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eudeloitte-my.sharepoint.com/personal/ebrenneisen_deloitte_de/Documents/Desktop/"/>
    </mc:Choice>
  </mc:AlternateContent>
  <xr:revisionPtr revIDLastSave="0" documentId="8_{D89354A5-3F6A-46A5-B5A5-58A10C04C448}" xr6:coauthVersionLast="47" xr6:coauthVersionMax="47" xr10:uidLastSave="{00000000-0000-0000-0000-000000000000}"/>
  <bookViews>
    <workbookView xWindow="-120" yWindow="-120" windowWidth="38640" windowHeight="21120" xr2:uid="{B1F24103-7723-47D1-8E22-F869519E46CF}"/>
  </bookViews>
  <sheets>
    <sheet name="Übersicht Titeländer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50" i="1" l="1" a="1"/>
  <c r="R850" i="1" s="1"/>
  <c r="S850" i="1" s="1"/>
  <c r="R849" i="1" a="1"/>
  <c r="R849" i="1" s="1"/>
  <c r="S849" i="1" s="1"/>
  <c r="R848" i="1"/>
  <c r="S848" i="1" s="1"/>
  <c r="R848" i="1" a="1"/>
  <c r="R847" i="1" a="1"/>
  <c r="R847" i="1" s="1"/>
  <c r="S847" i="1" s="1"/>
  <c r="R846" i="1" a="1"/>
  <c r="R846" i="1" s="1"/>
  <c r="S846" i="1" s="1"/>
  <c r="R845" i="1" a="1"/>
  <c r="R845" i="1" s="1"/>
  <c r="S845" i="1" s="1"/>
  <c r="R844" i="1" a="1"/>
  <c r="R844" i="1" s="1"/>
  <c r="S844" i="1" s="1"/>
  <c r="R843" i="1" a="1"/>
  <c r="R843" i="1" s="1"/>
  <c r="S843" i="1" s="1"/>
  <c r="R842" i="1" a="1"/>
  <c r="R842" i="1" s="1"/>
  <c r="S842" i="1" s="1"/>
  <c r="R841" i="1" a="1"/>
  <c r="R841" i="1" s="1"/>
  <c r="S841" i="1" s="1"/>
  <c r="R840" i="1" a="1"/>
  <c r="R840" i="1" s="1"/>
  <c r="S840" i="1" s="1"/>
  <c r="R839" i="1" a="1"/>
  <c r="R839" i="1" s="1"/>
  <c r="S839" i="1" s="1"/>
  <c r="R838" i="1" a="1"/>
  <c r="R838" i="1" s="1"/>
  <c r="S838" i="1" s="1"/>
  <c r="R837" i="1" a="1"/>
  <c r="R837" i="1" s="1"/>
  <c r="S837" i="1" s="1"/>
  <c r="R836" i="1" a="1"/>
  <c r="R836" i="1" s="1"/>
  <c r="S836" i="1" s="1"/>
  <c r="R835" i="1"/>
  <c r="S835" i="1" s="1"/>
  <c r="R835" i="1" a="1"/>
  <c r="R834" i="1" a="1"/>
  <c r="R834" i="1" s="1"/>
  <c r="S834" i="1" s="1"/>
  <c r="R833" i="1" a="1"/>
  <c r="R833" i="1" s="1"/>
  <c r="S833" i="1" s="1"/>
  <c r="R832" i="1" a="1"/>
  <c r="R832" i="1" s="1"/>
  <c r="S832" i="1" s="1"/>
  <c r="R831" i="1" a="1"/>
  <c r="R831" i="1" s="1"/>
  <c r="S831" i="1" s="1"/>
  <c r="R830" i="1" a="1"/>
  <c r="R830" i="1" s="1"/>
  <c r="S830" i="1" s="1"/>
  <c r="R829" i="1" a="1"/>
  <c r="R829" i="1" s="1"/>
  <c r="S829" i="1" s="1"/>
  <c r="R828" i="1" a="1"/>
  <c r="R828" i="1" s="1"/>
  <c r="S828" i="1" s="1"/>
  <c r="R827" i="1" a="1"/>
  <c r="R827" i="1" s="1"/>
  <c r="S827" i="1" s="1"/>
  <c r="R826" i="1"/>
  <c r="S826" i="1" s="1"/>
  <c r="R826" i="1" a="1"/>
  <c r="R825" i="1" a="1"/>
  <c r="R825" i="1" s="1"/>
  <c r="S825" i="1" s="1"/>
  <c r="R824" i="1" a="1"/>
  <c r="R824" i="1" s="1"/>
  <c r="S824" i="1" s="1"/>
  <c r="R823" i="1" a="1"/>
  <c r="R823" i="1" s="1"/>
  <c r="S823" i="1" s="1"/>
  <c r="R822" i="1" a="1"/>
  <c r="R822" i="1" s="1"/>
  <c r="S822" i="1" s="1"/>
  <c r="R821" i="1" a="1"/>
  <c r="R821" i="1" s="1"/>
  <c r="S821" i="1" s="1"/>
  <c r="R820" i="1" a="1"/>
  <c r="R820" i="1" s="1"/>
  <c r="S820" i="1" s="1"/>
  <c r="R819" i="1" a="1"/>
  <c r="R819" i="1" s="1"/>
  <c r="S819" i="1" s="1"/>
  <c r="R818" i="1"/>
  <c r="S818" i="1" s="1"/>
  <c r="R818" i="1" a="1"/>
  <c r="R817" i="1" a="1"/>
  <c r="R817" i="1" s="1"/>
  <c r="S817" i="1" s="1"/>
  <c r="S816" i="1"/>
  <c r="R816" i="1" a="1"/>
  <c r="R816" i="1" s="1"/>
  <c r="R815" i="1" a="1"/>
  <c r="R815" i="1" s="1"/>
  <c r="S815" i="1" s="1"/>
  <c r="S814" i="1"/>
  <c r="R814" i="1"/>
  <c r="R814" i="1" a="1"/>
  <c r="R813" i="1"/>
  <c r="S813" i="1" s="1"/>
  <c r="R813" i="1" a="1"/>
  <c r="R812" i="1" a="1"/>
  <c r="R812" i="1" s="1"/>
  <c r="S812" i="1" s="1"/>
  <c r="R811" i="1" a="1"/>
  <c r="R811" i="1" s="1"/>
  <c r="S811" i="1" s="1"/>
  <c r="R810" i="1" a="1"/>
  <c r="R810" i="1" s="1"/>
  <c r="S810" i="1" s="1"/>
  <c r="R809" i="1" a="1"/>
  <c r="R809" i="1" s="1"/>
  <c r="S809" i="1" s="1"/>
  <c r="R808" i="1" a="1"/>
  <c r="R808" i="1" s="1"/>
  <c r="S808" i="1" s="1"/>
  <c r="R807" i="1" a="1"/>
  <c r="R807" i="1" s="1"/>
  <c r="S807" i="1" s="1"/>
  <c r="R806" i="1"/>
  <c r="S806" i="1" s="1"/>
  <c r="R806" i="1" a="1"/>
  <c r="R805" i="1" a="1"/>
  <c r="R805" i="1" s="1"/>
  <c r="S805" i="1" s="1"/>
  <c r="R804" i="1"/>
  <c r="S804" i="1" s="1"/>
  <c r="R804" i="1" a="1"/>
  <c r="R803" i="1" a="1"/>
  <c r="R803" i="1" s="1"/>
  <c r="S803" i="1" s="1"/>
  <c r="R802" i="1" a="1"/>
  <c r="R802" i="1" s="1"/>
  <c r="S802" i="1" s="1"/>
  <c r="R801" i="1" a="1"/>
  <c r="R801" i="1" s="1"/>
  <c r="S801" i="1" s="1"/>
  <c r="R800" i="1"/>
  <c r="S800" i="1" s="1"/>
  <c r="R800" i="1" a="1"/>
  <c r="R799" i="1" a="1"/>
  <c r="R799" i="1" s="1"/>
  <c r="S799" i="1" s="1"/>
  <c r="R798" i="1" a="1"/>
  <c r="R798" i="1" s="1"/>
  <c r="S798" i="1" s="1"/>
  <c r="R797" i="1" a="1"/>
  <c r="R797" i="1" s="1"/>
  <c r="S797" i="1" s="1"/>
  <c r="R796" i="1" a="1"/>
  <c r="R796" i="1" s="1"/>
  <c r="S796" i="1" s="1"/>
  <c r="R795" i="1" a="1"/>
  <c r="R795" i="1" s="1"/>
  <c r="S795" i="1" s="1"/>
  <c r="R794" i="1" a="1"/>
  <c r="R794" i="1" s="1"/>
  <c r="S794" i="1" s="1"/>
  <c r="R793" i="1" a="1"/>
  <c r="R793" i="1" s="1"/>
  <c r="S793" i="1" s="1"/>
  <c r="S792" i="1"/>
  <c r="R792" i="1"/>
  <c r="R792" i="1" a="1"/>
  <c r="R791" i="1" a="1"/>
  <c r="R791" i="1" s="1"/>
  <c r="S791" i="1" s="1"/>
  <c r="R790" i="1" a="1"/>
  <c r="R790" i="1" s="1"/>
  <c r="S790" i="1" s="1"/>
  <c r="R789" i="1" a="1"/>
  <c r="R789" i="1" s="1"/>
  <c r="S789" i="1" s="1"/>
  <c r="R788" i="1" a="1"/>
  <c r="R788" i="1" s="1"/>
  <c r="S788" i="1" s="1"/>
  <c r="R787" i="1" a="1"/>
  <c r="R787" i="1" s="1"/>
  <c r="S787" i="1" s="1"/>
  <c r="R786" i="1" a="1"/>
  <c r="R786" i="1" s="1"/>
  <c r="S786" i="1" s="1"/>
  <c r="R785" i="1" a="1"/>
  <c r="R785" i="1" s="1"/>
  <c r="S785" i="1" s="1"/>
  <c r="R784" i="1" a="1"/>
  <c r="R784" i="1" s="1"/>
  <c r="S784" i="1" s="1"/>
  <c r="R783" i="1" a="1"/>
  <c r="R783" i="1" s="1"/>
  <c r="S783" i="1" s="1"/>
  <c r="R782" i="1" a="1"/>
  <c r="R782" i="1" s="1"/>
  <c r="S782" i="1" s="1"/>
  <c r="R781" i="1" a="1"/>
  <c r="R781" i="1" s="1"/>
  <c r="S781" i="1" s="1"/>
  <c r="R780" i="1" a="1"/>
  <c r="R780" i="1" s="1"/>
  <c r="S780" i="1" s="1"/>
  <c r="R779" i="1" a="1"/>
  <c r="R779" i="1" s="1"/>
  <c r="S779" i="1" s="1"/>
  <c r="R778" i="1" a="1"/>
  <c r="R778" i="1" s="1"/>
  <c r="S778" i="1" s="1"/>
  <c r="R777" i="1" a="1"/>
  <c r="R777" i="1" s="1"/>
  <c r="S777" i="1" s="1"/>
  <c r="R776" i="1" a="1"/>
  <c r="R776" i="1" s="1"/>
  <c r="S776" i="1" s="1"/>
  <c r="R775" i="1" a="1"/>
  <c r="R775" i="1" s="1"/>
  <c r="S775" i="1" s="1"/>
  <c r="R774" i="1" a="1"/>
  <c r="R774" i="1" s="1"/>
  <c r="S774" i="1" s="1"/>
  <c r="R773" i="1" a="1"/>
  <c r="R773" i="1" s="1"/>
  <c r="S773" i="1" s="1"/>
  <c r="R772" i="1" a="1"/>
  <c r="R772" i="1" s="1"/>
  <c r="S772" i="1" s="1"/>
  <c r="R771" i="1" a="1"/>
  <c r="R771" i="1" s="1"/>
  <c r="S771" i="1" s="1"/>
  <c r="R770" i="1" a="1"/>
  <c r="R770" i="1" s="1"/>
  <c r="S770" i="1" s="1"/>
  <c r="R769" i="1" a="1"/>
  <c r="R769" i="1" s="1"/>
  <c r="S769" i="1" s="1"/>
  <c r="R768" i="1" a="1"/>
  <c r="R768" i="1" s="1"/>
  <c r="S768" i="1" s="1"/>
  <c r="R767" i="1" a="1"/>
  <c r="R767" i="1" s="1"/>
  <c r="S767" i="1" s="1"/>
  <c r="R766" i="1" a="1"/>
  <c r="R766" i="1" s="1"/>
  <c r="S766" i="1" s="1"/>
  <c r="R765" i="1" a="1"/>
  <c r="R765" i="1" s="1"/>
  <c r="S765" i="1" s="1"/>
  <c r="R764" i="1" a="1"/>
  <c r="R764" i="1" s="1"/>
  <c r="S764" i="1" s="1"/>
  <c r="R763" i="1" a="1"/>
  <c r="R763" i="1" s="1"/>
  <c r="S763" i="1" s="1"/>
  <c r="R762" i="1"/>
  <c r="S762" i="1" s="1"/>
  <c r="R762" i="1" a="1"/>
  <c r="R761" i="1" a="1"/>
  <c r="R761" i="1" s="1"/>
  <c r="S761" i="1" s="1"/>
  <c r="R760" i="1" a="1"/>
  <c r="R760" i="1" s="1"/>
  <c r="S760" i="1" s="1"/>
  <c r="R759" i="1" a="1"/>
  <c r="R759" i="1" s="1"/>
  <c r="S759" i="1" s="1"/>
  <c r="R758" i="1" a="1"/>
  <c r="R758" i="1" s="1"/>
  <c r="S758" i="1" s="1"/>
  <c r="R757" i="1" a="1"/>
  <c r="R757" i="1" s="1"/>
  <c r="S757" i="1" s="1"/>
  <c r="R756" i="1" a="1"/>
  <c r="R756" i="1" s="1"/>
  <c r="S756" i="1" s="1"/>
  <c r="R755" i="1" a="1"/>
  <c r="R755" i="1" s="1"/>
  <c r="S755" i="1" s="1"/>
  <c r="R754" i="1" a="1"/>
  <c r="R754" i="1" s="1"/>
  <c r="S754" i="1" s="1"/>
  <c r="R753" i="1" a="1"/>
  <c r="R753" i="1" s="1"/>
  <c r="S753" i="1" s="1"/>
  <c r="R752" i="1" a="1"/>
  <c r="R752" i="1" s="1"/>
  <c r="S752" i="1" s="1"/>
  <c r="R751" i="1" a="1"/>
  <c r="R751" i="1" s="1"/>
  <c r="S751" i="1" s="1"/>
  <c r="R750" i="1" a="1"/>
  <c r="R750" i="1" s="1"/>
  <c r="S750" i="1" s="1"/>
  <c r="R749" i="1" a="1"/>
  <c r="R749" i="1" s="1"/>
  <c r="S749" i="1" s="1"/>
  <c r="R748" i="1"/>
  <c r="S748" i="1" s="1"/>
  <c r="R748" i="1" a="1"/>
  <c r="S747" i="1"/>
  <c r="R747" i="1"/>
  <c r="R747" i="1" a="1"/>
  <c r="R746" i="1" a="1"/>
  <c r="R746" i="1" s="1"/>
  <c r="S746" i="1" s="1"/>
  <c r="R745" i="1" a="1"/>
  <c r="R745" i="1" s="1"/>
  <c r="S745" i="1" s="1"/>
  <c r="R744" i="1" a="1"/>
  <c r="R744" i="1" s="1"/>
  <c r="S744" i="1" s="1"/>
  <c r="R743" i="1" a="1"/>
  <c r="R743" i="1" s="1"/>
  <c r="S743" i="1" s="1"/>
  <c r="R742" i="1" a="1"/>
  <c r="R742" i="1" s="1"/>
  <c r="S742" i="1" s="1"/>
  <c r="R741" i="1" a="1"/>
  <c r="R741" i="1" s="1"/>
  <c r="S741" i="1" s="1"/>
  <c r="R740" i="1"/>
  <c r="S740" i="1" s="1"/>
  <c r="R740" i="1" a="1"/>
  <c r="R739" i="1" a="1"/>
  <c r="R739" i="1" s="1"/>
  <c r="S739" i="1" s="1"/>
  <c r="R738" i="1" a="1"/>
  <c r="R738" i="1" s="1"/>
  <c r="S738" i="1" s="1"/>
  <c r="S737" i="1"/>
  <c r="R737" i="1"/>
  <c r="R737" i="1" a="1"/>
  <c r="R736" i="1" a="1"/>
  <c r="R736" i="1" s="1"/>
  <c r="S736" i="1" s="1"/>
  <c r="R735" i="1" a="1"/>
  <c r="R735" i="1" s="1"/>
  <c r="S735" i="1" s="1"/>
  <c r="R734" i="1" a="1"/>
  <c r="R734" i="1" s="1"/>
  <c r="S734" i="1" s="1"/>
  <c r="R733" i="1" a="1"/>
  <c r="R733" i="1" s="1"/>
  <c r="S733" i="1" s="1"/>
  <c r="R732" i="1" a="1"/>
  <c r="R732" i="1" s="1"/>
  <c r="S732" i="1" s="1"/>
  <c r="R731" i="1" a="1"/>
  <c r="R731" i="1" s="1"/>
  <c r="S731" i="1" s="1"/>
  <c r="R730" i="1" a="1"/>
  <c r="R730" i="1" s="1"/>
  <c r="S730" i="1" s="1"/>
  <c r="R729" i="1" a="1"/>
  <c r="R729" i="1" s="1"/>
  <c r="S729" i="1" s="1"/>
  <c r="R728" i="1" a="1"/>
  <c r="R728" i="1" s="1"/>
  <c r="S728" i="1" s="1"/>
  <c r="R727" i="1" a="1"/>
  <c r="R727" i="1" s="1"/>
  <c r="S727" i="1" s="1"/>
  <c r="R726" i="1" a="1"/>
  <c r="R726" i="1" s="1"/>
  <c r="S726" i="1" s="1"/>
  <c r="R725" i="1" a="1"/>
  <c r="R725" i="1" s="1"/>
  <c r="S725" i="1" s="1"/>
  <c r="R724" i="1" a="1"/>
  <c r="R724" i="1" s="1"/>
  <c r="S724" i="1" s="1"/>
  <c r="R723" i="1" a="1"/>
  <c r="R723" i="1" s="1"/>
  <c r="S723" i="1" s="1"/>
  <c r="R722" i="1" a="1"/>
  <c r="R722" i="1" s="1"/>
  <c r="S722" i="1" s="1"/>
  <c r="R721" i="1" a="1"/>
  <c r="R721" i="1" s="1"/>
  <c r="S721" i="1" s="1"/>
  <c r="R720" i="1"/>
  <c r="S720" i="1" s="1"/>
  <c r="R720" i="1" a="1"/>
  <c r="R719" i="1" a="1"/>
  <c r="R719" i="1" s="1"/>
  <c r="S719" i="1" s="1"/>
  <c r="R718" i="1"/>
  <c r="S718" i="1" s="1"/>
  <c r="R718" i="1" a="1"/>
  <c r="R717" i="1" a="1"/>
  <c r="R717" i="1" s="1"/>
  <c r="S717" i="1" s="1"/>
  <c r="R716" i="1" a="1"/>
  <c r="R716" i="1" s="1"/>
  <c r="S716" i="1" s="1"/>
  <c r="R715" i="1" a="1"/>
  <c r="R715" i="1" s="1"/>
  <c r="S715" i="1" s="1"/>
  <c r="R714" i="1" a="1"/>
  <c r="R714" i="1" s="1"/>
  <c r="S714" i="1" s="1"/>
  <c r="R713" i="1" a="1"/>
  <c r="R713" i="1" s="1"/>
  <c r="S713" i="1" s="1"/>
  <c r="R712" i="1" a="1"/>
  <c r="R712" i="1" s="1"/>
  <c r="S712" i="1" s="1"/>
  <c r="R711" i="1" a="1"/>
  <c r="R711" i="1" s="1"/>
  <c r="S711" i="1" s="1"/>
  <c r="R710" i="1" a="1"/>
  <c r="R710" i="1" s="1"/>
  <c r="S710" i="1" s="1"/>
  <c r="R709" i="1" a="1"/>
  <c r="R709" i="1" s="1"/>
  <c r="S709" i="1" s="1"/>
  <c r="R708" i="1"/>
  <c r="S708" i="1" s="1"/>
  <c r="R708" i="1" a="1"/>
  <c r="R707" i="1" a="1"/>
  <c r="R707" i="1" s="1"/>
  <c r="S707" i="1" s="1"/>
  <c r="R706" i="1" a="1"/>
  <c r="R706" i="1" s="1"/>
  <c r="S706" i="1" s="1"/>
  <c r="R705" i="1" a="1"/>
  <c r="R705" i="1" s="1"/>
  <c r="S705" i="1" s="1"/>
  <c r="R704" i="1"/>
  <c r="S704" i="1" s="1"/>
  <c r="R704" i="1" a="1"/>
  <c r="R703" i="1" a="1"/>
  <c r="R703" i="1" s="1"/>
  <c r="S703" i="1" s="1"/>
  <c r="R702" i="1" a="1"/>
  <c r="R702" i="1" s="1"/>
  <c r="S702" i="1" s="1"/>
  <c r="R701" i="1" a="1"/>
  <c r="R701" i="1" s="1"/>
  <c r="S701" i="1" s="1"/>
  <c r="R700" i="1" a="1"/>
  <c r="R700" i="1" s="1"/>
  <c r="S700" i="1" s="1"/>
  <c r="R699" i="1" a="1"/>
  <c r="R699" i="1" s="1"/>
  <c r="S699" i="1" s="1"/>
  <c r="R698" i="1" a="1"/>
  <c r="R698" i="1" s="1"/>
  <c r="S698" i="1" s="1"/>
  <c r="R697" i="1" a="1"/>
  <c r="R697" i="1" s="1"/>
  <c r="S697" i="1" s="1"/>
  <c r="R696" i="1" a="1"/>
  <c r="R696" i="1" s="1"/>
  <c r="S696" i="1" s="1"/>
  <c r="R695" i="1" a="1"/>
  <c r="R695" i="1" s="1"/>
  <c r="S695" i="1" s="1"/>
  <c r="R694" i="1"/>
  <c r="S694" i="1" s="1"/>
  <c r="R694" i="1" a="1"/>
  <c r="R693" i="1"/>
  <c r="S693" i="1" s="1"/>
  <c r="R693" i="1" a="1"/>
  <c r="R692" i="1" a="1"/>
  <c r="R692" i="1" s="1"/>
  <c r="S692" i="1" s="1"/>
  <c r="R691" i="1"/>
  <c r="S691" i="1" s="1"/>
  <c r="R691" i="1" a="1"/>
  <c r="R690" i="1" a="1"/>
  <c r="R690" i="1" s="1"/>
  <c r="S690" i="1" s="1"/>
  <c r="R689" i="1" a="1"/>
  <c r="R689" i="1" s="1"/>
  <c r="S689" i="1" s="1"/>
  <c r="R688" i="1" a="1"/>
  <c r="R688" i="1" s="1"/>
  <c r="S688" i="1" s="1"/>
  <c r="R687" i="1" a="1"/>
  <c r="R687" i="1" s="1"/>
  <c r="S687" i="1" s="1"/>
  <c r="R686" i="1" a="1"/>
  <c r="R686" i="1" s="1"/>
  <c r="S686" i="1" s="1"/>
  <c r="R685" i="1" a="1"/>
  <c r="R685" i="1" s="1"/>
  <c r="S685" i="1" s="1"/>
  <c r="R684" i="1" a="1"/>
  <c r="R684" i="1" s="1"/>
  <c r="S684" i="1" s="1"/>
  <c r="R683" i="1" a="1"/>
  <c r="R683" i="1" s="1"/>
  <c r="S683" i="1" s="1"/>
  <c r="R682" i="1" a="1"/>
  <c r="R682" i="1" s="1"/>
  <c r="S682" i="1" s="1"/>
  <c r="S681" i="1"/>
  <c r="R681" i="1"/>
  <c r="R681" i="1" a="1"/>
  <c r="R680" i="1" a="1"/>
  <c r="R680" i="1" s="1"/>
  <c r="S680" i="1" s="1"/>
  <c r="R679" i="1" a="1"/>
  <c r="R679" i="1" s="1"/>
  <c r="S679" i="1" s="1"/>
  <c r="R678" i="1" a="1"/>
  <c r="R678" i="1" s="1"/>
  <c r="S678" i="1" s="1"/>
  <c r="R677" i="1" a="1"/>
  <c r="R677" i="1" s="1"/>
  <c r="S677" i="1" s="1"/>
  <c r="R676" i="1" a="1"/>
  <c r="R676" i="1" s="1"/>
  <c r="S676" i="1" s="1"/>
  <c r="R675" i="1" a="1"/>
  <c r="R675" i="1" s="1"/>
  <c r="S675" i="1" s="1"/>
  <c r="R674" i="1" a="1"/>
  <c r="R674" i="1" s="1"/>
  <c r="S674" i="1" s="1"/>
  <c r="R673" i="1" a="1"/>
  <c r="R673" i="1" s="1"/>
  <c r="S673" i="1" s="1"/>
  <c r="R672" i="1"/>
  <c r="S672" i="1" s="1"/>
  <c r="R672" i="1" a="1"/>
  <c r="R671" i="1"/>
  <c r="S671" i="1" s="1"/>
  <c r="R671" i="1" a="1"/>
  <c r="R670" i="1"/>
  <c r="S670" i="1" s="1"/>
  <c r="R670" i="1" a="1"/>
  <c r="R669" i="1" a="1"/>
  <c r="R669" i="1" s="1"/>
  <c r="S669" i="1" s="1"/>
  <c r="R668" i="1" a="1"/>
  <c r="R668" i="1" s="1"/>
  <c r="S668" i="1" s="1"/>
  <c r="R667" i="1" a="1"/>
  <c r="R667" i="1" s="1"/>
  <c r="S667" i="1" s="1"/>
  <c r="R666" i="1" a="1"/>
  <c r="R666" i="1" s="1"/>
  <c r="S666" i="1" s="1"/>
  <c r="R665" i="1" a="1"/>
  <c r="R665" i="1" s="1"/>
  <c r="S665" i="1" s="1"/>
  <c r="R664" i="1"/>
  <c r="S664" i="1" s="1"/>
  <c r="R664" i="1" a="1"/>
  <c r="R663" i="1" a="1"/>
  <c r="R663" i="1" s="1"/>
  <c r="S663" i="1" s="1"/>
  <c r="R662" i="1" a="1"/>
  <c r="R662" i="1" s="1"/>
  <c r="S662" i="1" s="1"/>
  <c r="R661" i="1" a="1"/>
  <c r="R661" i="1" s="1"/>
  <c r="S661" i="1" s="1"/>
  <c r="R660" i="1" a="1"/>
  <c r="R660" i="1" s="1"/>
  <c r="S660" i="1" s="1"/>
  <c r="R659" i="1"/>
  <c r="S659" i="1" s="1"/>
  <c r="R659" i="1" a="1"/>
  <c r="R658" i="1" a="1"/>
  <c r="R658" i="1" s="1"/>
  <c r="S658" i="1" s="1"/>
  <c r="R657" i="1" a="1"/>
  <c r="R657" i="1" s="1"/>
  <c r="S657" i="1" s="1"/>
  <c r="R656" i="1" a="1"/>
  <c r="R656" i="1" s="1"/>
  <c r="S656" i="1" s="1"/>
  <c r="R655" i="1" a="1"/>
  <c r="R655" i="1" s="1"/>
  <c r="S655" i="1" s="1"/>
  <c r="R654" i="1" a="1"/>
  <c r="R654" i="1" s="1"/>
  <c r="S654" i="1" s="1"/>
  <c r="R653" i="1" a="1"/>
  <c r="R653" i="1" s="1"/>
  <c r="S653" i="1" s="1"/>
  <c r="R652" i="1" a="1"/>
  <c r="R652" i="1" s="1"/>
  <c r="S652" i="1" s="1"/>
  <c r="R651" i="1" a="1"/>
  <c r="R651" i="1" s="1"/>
  <c r="S651" i="1" s="1"/>
  <c r="R650" i="1"/>
  <c r="S650" i="1" s="1"/>
  <c r="R650" i="1" a="1"/>
  <c r="R649" i="1" a="1"/>
  <c r="R649" i="1" s="1"/>
  <c r="S649" i="1" s="1"/>
  <c r="R648" i="1" a="1"/>
  <c r="R648" i="1" s="1"/>
  <c r="S648" i="1" s="1"/>
  <c r="R647" i="1" a="1"/>
  <c r="R647" i="1" s="1"/>
  <c r="S647" i="1" s="1"/>
  <c r="R646" i="1" a="1"/>
  <c r="R646" i="1" s="1"/>
  <c r="S646" i="1" s="1"/>
  <c r="R645" i="1" a="1"/>
  <c r="R645" i="1" s="1"/>
  <c r="S645" i="1" s="1"/>
  <c r="R644" i="1" a="1"/>
  <c r="R644" i="1" s="1"/>
  <c r="S644" i="1" s="1"/>
  <c r="R643" i="1" a="1"/>
  <c r="R643" i="1" s="1"/>
  <c r="S643" i="1" s="1"/>
  <c r="R642" i="1" a="1"/>
  <c r="R642" i="1" s="1"/>
  <c r="S642" i="1" s="1"/>
  <c r="R641" i="1" a="1"/>
  <c r="R641" i="1" s="1"/>
  <c r="S641" i="1" s="1"/>
  <c r="R640" i="1" a="1"/>
  <c r="R640" i="1" s="1"/>
  <c r="S640" i="1" s="1"/>
  <c r="R639" i="1" a="1"/>
  <c r="R639" i="1" s="1"/>
  <c r="S639" i="1" s="1"/>
  <c r="R638" i="1" a="1"/>
  <c r="R638" i="1" s="1"/>
  <c r="S638" i="1" s="1"/>
  <c r="S637" i="1"/>
  <c r="R637" i="1"/>
  <c r="R637" i="1" a="1"/>
  <c r="R636" i="1" a="1"/>
  <c r="R636" i="1" s="1"/>
  <c r="S636" i="1" s="1"/>
  <c r="R635" i="1" a="1"/>
  <c r="R635" i="1" s="1"/>
  <c r="S635" i="1" s="1"/>
  <c r="R634" i="1" a="1"/>
  <c r="R634" i="1" s="1"/>
  <c r="S634" i="1" s="1"/>
  <c r="R633" i="1" a="1"/>
  <c r="R633" i="1" s="1"/>
  <c r="S633" i="1" s="1"/>
  <c r="R632" i="1" a="1"/>
  <c r="R632" i="1" s="1"/>
  <c r="S632" i="1" s="1"/>
  <c r="R631" i="1"/>
  <c r="S631" i="1" s="1"/>
  <c r="R631" i="1" a="1"/>
  <c r="R630" i="1" a="1"/>
  <c r="R630" i="1" s="1"/>
  <c r="S630" i="1" s="1"/>
  <c r="R629" i="1" a="1"/>
  <c r="R629" i="1" s="1"/>
  <c r="S629" i="1" s="1"/>
  <c r="R628" i="1" a="1"/>
  <c r="R628" i="1" s="1"/>
  <c r="S628" i="1" s="1"/>
  <c r="R627" i="1" a="1"/>
  <c r="R627" i="1" s="1"/>
  <c r="S627" i="1" s="1"/>
  <c r="R626" i="1" a="1"/>
  <c r="R626" i="1" s="1"/>
  <c r="S626" i="1" s="1"/>
  <c r="R625" i="1" a="1"/>
  <c r="R625" i="1" s="1"/>
  <c r="S625" i="1" s="1"/>
  <c r="R624" i="1" a="1"/>
  <c r="R624" i="1" s="1"/>
  <c r="S624" i="1" s="1"/>
  <c r="R623" i="1" a="1"/>
  <c r="R623" i="1" s="1"/>
  <c r="S623" i="1" s="1"/>
  <c r="R622" i="1" a="1"/>
  <c r="R622" i="1" s="1"/>
  <c r="S622" i="1" s="1"/>
  <c r="R621" i="1" a="1"/>
  <c r="R621" i="1" s="1"/>
  <c r="S621" i="1" s="1"/>
  <c r="R620" i="1" a="1"/>
  <c r="R620" i="1" s="1"/>
  <c r="S620" i="1" s="1"/>
  <c r="R619" i="1" a="1"/>
  <c r="R619" i="1" s="1"/>
  <c r="S619" i="1" s="1"/>
  <c r="R618" i="1" a="1"/>
  <c r="R618" i="1" s="1"/>
  <c r="S618" i="1" s="1"/>
  <c r="R617" i="1"/>
  <c r="S617" i="1" s="1"/>
  <c r="R617" i="1" a="1"/>
  <c r="R616" i="1" a="1"/>
  <c r="R616" i="1" s="1"/>
  <c r="S616" i="1" s="1"/>
  <c r="R615" i="1"/>
  <c r="S615" i="1" s="1"/>
  <c r="R615" i="1" a="1"/>
  <c r="R614" i="1" a="1"/>
  <c r="R614" i="1" s="1"/>
  <c r="S614" i="1" s="1"/>
  <c r="R613" i="1" a="1"/>
  <c r="R613" i="1" s="1"/>
  <c r="S613" i="1" s="1"/>
  <c r="R612" i="1" a="1"/>
  <c r="R612" i="1" s="1"/>
  <c r="S612" i="1" s="1"/>
  <c r="R611" i="1" a="1"/>
  <c r="R611" i="1" s="1"/>
  <c r="S611" i="1" s="1"/>
  <c r="R610" i="1" a="1"/>
  <c r="R610" i="1" s="1"/>
  <c r="S610" i="1" s="1"/>
  <c r="R609" i="1" a="1"/>
  <c r="R609" i="1" s="1"/>
  <c r="S609" i="1" s="1"/>
  <c r="R608" i="1"/>
  <c r="S608" i="1" s="1"/>
  <c r="R608" i="1" a="1"/>
  <c r="R607" i="1" a="1"/>
  <c r="R607" i="1" s="1"/>
  <c r="S607" i="1" s="1"/>
  <c r="R606" i="1"/>
  <c r="S606" i="1" s="1"/>
  <c r="R606" i="1" a="1"/>
  <c r="R605" i="1" a="1"/>
  <c r="R605" i="1" s="1"/>
  <c r="S605" i="1" s="1"/>
  <c r="R604" i="1" a="1"/>
  <c r="R604" i="1" s="1"/>
  <c r="S604" i="1" s="1"/>
  <c r="R603" i="1" a="1"/>
  <c r="R603" i="1" s="1"/>
  <c r="S603" i="1" s="1"/>
  <c r="R602" i="1" a="1"/>
  <c r="R602" i="1" s="1"/>
  <c r="S602" i="1" s="1"/>
  <c r="S601" i="1"/>
  <c r="R601" i="1" a="1"/>
  <c r="R601" i="1" s="1"/>
  <c r="R600" i="1" a="1"/>
  <c r="R600" i="1" s="1"/>
  <c r="S600" i="1" s="1"/>
  <c r="R599" i="1" a="1"/>
  <c r="R599" i="1" s="1"/>
  <c r="S599" i="1" s="1"/>
  <c r="R598" i="1" a="1"/>
  <c r="R598" i="1" s="1"/>
  <c r="S598" i="1" s="1"/>
  <c r="R597" i="1" a="1"/>
  <c r="R597" i="1" s="1"/>
  <c r="S597" i="1" s="1"/>
  <c r="R596" i="1" a="1"/>
  <c r="R596" i="1" s="1"/>
  <c r="S596" i="1" s="1"/>
  <c r="R595" i="1"/>
  <c r="S595" i="1" s="1"/>
  <c r="R595" i="1" a="1"/>
  <c r="R594" i="1" a="1"/>
  <c r="R594" i="1" s="1"/>
  <c r="S594" i="1" s="1"/>
  <c r="R593" i="1" a="1"/>
  <c r="R593" i="1" s="1"/>
  <c r="S593" i="1" s="1"/>
  <c r="R592" i="1"/>
  <c r="S592" i="1" s="1"/>
  <c r="R592" i="1" a="1"/>
  <c r="R591" i="1" a="1"/>
  <c r="R591" i="1" s="1"/>
  <c r="S591" i="1" s="1"/>
  <c r="R590" i="1" a="1"/>
  <c r="R590" i="1" s="1"/>
  <c r="S590" i="1" s="1"/>
  <c r="R589" i="1" a="1"/>
  <c r="R589" i="1" s="1"/>
  <c r="S589" i="1" s="1"/>
  <c r="R588" i="1"/>
  <c r="S588" i="1" s="1"/>
  <c r="R588" i="1" a="1"/>
  <c r="R587" i="1" a="1"/>
  <c r="R587" i="1" s="1"/>
  <c r="S587" i="1" s="1"/>
  <c r="R586" i="1" a="1"/>
  <c r="R586" i="1" s="1"/>
  <c r="S586" i="1" s="1"/>
  <c r="R585" i="1" a="1"/>
  <c r="R585" i="1" s="1"/>
  <c r="S585" i="1" s="1"/>
  <c r="R584" i="1" a="1"/>
  <c r="R584" i="1" s="1"/>
  <c r="S584" i="1" s="1"/>
  <c r="R583" i="1"/>
  <c r="S583" i="1" s="1"/>
  <c r="R583" i="1" a="1"/>
  <c r="R582" i="1" a="1"/>
  <c r="R582" i="1" s="1"/>
  <c r="S582" i="1" s="1"/>
  <c r="R581" i="1" a="1"/>
  <c r="R581" i="1" s="1"/>
  <c r="S581" i="1" s="1"/>
  <c r="R580" i="1" a="1"/>
  <c r="R580" i="1" s="1"/>
  <c r="S580" i="1" s="1"/>
  <c r="S579" i="1"/>
  <c r="R579" i="1" a="1"/>
  <c r="R579" i="1" s="1"/>
  <c r="R578" i="1" a="1"/>
  <c r="R578" i="1" s="1"/>
  <c r="S578" i="1" s="1"/>
  <c r="R577" i="1" a="1"/>
  <c r="R577" i="1" s="1"/>
  <c r="S577" i="1" s="1"/>
  <c r="R576" i="1"/>
  <c r="S576" i="1" s="1"/>
  <c r="R576" i="1" a="1"/>
  <c r="R575" i="1" a="1"/>
  <c r="R575" i="1" s="1"/>
  <c r="S575" i="1" s="1"/>
  <c r="R574" i="1" a="1"/>
  <c r="R574" i="1" s="1"/>
  <c r="S574" i="1" s="1"/>
  <c r="R573" i="1" a="1"/>
  <c r="R573" i="1" s="1"/>
  <c r="S573" i="1" s="1"/>
  <c r="R572" i="1" a="1"/>
  <c r="R572" i="1" s="1"/>
  <c r="S572" i="1" s="1"/>
  <c r="S571" i="1"/>
  <c r="R571" i="1"/>
  <c r="R571" i="1" a="1"/>
  <c r="R570" i="1"/>
  <c r="S570" i="1" s="1"/>
  <c r="R570" i="1" a="1"/>
  <c r="R569" i="1" a="1"/>
  <c r="R569" i="1" s="1"/>
  <c r="S569" i="1" s="1"/>
  <c r="R568" i="1" a="1"/>
  <c r="R568" i="1" s="1"/>
  <c r="S568" i="1" s="1"/>
  <c r="R567" i="1"/>
  <c r="S567" i="1" s="1"/>
  <c r="R567" i="1" a="1"/>
  <c r="R566" i="1" a="1"/>
  <c r="R566" i="1" s="1"/>
  <c r="S566" i="1" s="1"/>
  <c r="R565" i="1"/>
  <c r="S565" i="1" s="1"/>
  <c r="R565" i="1" a="1"/>
  <c r="R564" i="1" a="1"/>
  <c r="R564" i="1" s="1"/>
  <c r="S564" i="1" s="1"/>
  <c r="R563" i="1" a="1"/>
  <c r="R563" i="1" s="1"/>
  <c r="S563" i="1" s="1"/>
  <c r="R562" i="1" a="1"/>
  <c r="R562" i="1" s="1"/>
  <c r="S562" i="1" s="1"/>
  <c r="R561" i="1" a="1"/>
  <c r="R561" i="1" s="1"/>
  <c r="S561" i="1" s="1"/>
  <c r="R560" i="1" a="1"/>
  <c r="R560" i="1" s="1"/>
  <c r="S560" i="1" s="1"/>
  <c r="S559" i="1"/>
  <c r="R559" i="1"/>
  <c r="R559" i="1" a="1"/>
  <c r="R558" i="1" a="1"/>
  <c r="R558" i="1" s="1"/>
  <c r="S558" i="1" s="1"/>
  <c r="R557" i="1" a="1"/>
  <c r="R557" i="1" s="1"/>
  <c r="S557" i="1" s="1"/>
  <c r="R556" i="1" a="1"/>
  <c r="R556" i="1" s="1"/>
  <c r="S556" i="1" s="1"/>
  <c r="R555" i="1" a="1"/>
  <c r="R555" i="1" s="1"/>
  <c r="S555" i="1" s="1"/>
  <c r="R554" i="1" a="1"/>
  <c r="R554" i="1" s="1"/>
  <c r="S554" i="1" s="1"/>
  <c r="R553" i="1" a="1"/>
  <c r="R553" i="1" s="1"/>
  <c r="S553" i="1" s="1"/>
  <c r="R552" i="1" a="1"/>
  <c r="R552" i="1" s="1"/>
  <c r="S552" i="1" s="1"/>
  <c r="R551" i="1"/>
  <c r="S551" i="1" s="1"/>
  <c r="R551" i="1" a="1"/>
  <c r="R550" i="1"/>
  <c r="S550" i="1" s="1"/>
  <c r="R550" i="1" a="1"/>
  <c r="R549" i="1" a="1"/>
  <c r="R549" i="1" s="1"/>
  <c r="S549" i="1" s="1"/>
  <c r="R548" i="1"/>
  <c r="S548" i="1" s="1"/>
  <c r="R548" i="1" a="1"/>
  <c r="R547" i="1" a="1"/>
  <c r="R547" i="1" s="1"/>
  <c r="S547" i="1" s="1"/>
  <c r="R546" i="1" a="1"/>
  <c r="R546" i="1" s="1"/>
  <c r="S546" i="1" s="1"/>
  <c r="R545" i="1" a="1"/>
  <c r="R545" i="1" s="1"/>
  <c r="S545" i="1" s="1"/>
  <c r="R544" i="1" a="1"/>
  <c r="R544" i="1" s="1"/>
  <c r="S544" i="1" s="1"/>
  <c r="R543" i="1" a="1"/>
  <c r="R543" i="1" s="1"/>
  <c r="S543" i="1" s="1"/>
  <c r="R542" i="1"/>
  <c r="S542" i="1" s="1"/>
  <c r="R542" i="1" a="1"/>
  <c r="R541" i="1" a="1"/>
  <c r="R541" i="1" s="1"/>
  <c r="S541" i="1" s="1"/>
  <c r="R540" i="1" a="1"/>
  <c r="R540" i="1" s="1"/>
  <c r="S540" i="1" s="1"/>
  <c r="R539" i="1" a="1"/>
  <c r="R539" i="1" s="1"/>
  <c r="S539" i="1" s="1"/>
  <c r="R538" i="1"/>
  <c r="S538" i="1" s="1"/>
  <c r="R538" i="1" a="1"/>
  <c r="R537" i="1" a="1"/>
  <c r="R537" i="1" s="1"/>
  <c r="S537" i="1" s="1"/>
  <c r="R536" i="1" a="1"/>
  <c r="R536" i="1" s="1"/>
  <c r="S536" i="1" s="1"/>
  <c r="R535" i="1" a="1"/>
  <c r="R535" i="1" s="1"/>
  <c r="S535" i="1" s="1"/>
  <c r="R534" i="1" a="1"/>
  <c r="R534" i="1" s="1"/>
  <c r="S534" i="1" s="1"/>
  <c r="R533" i="1" a="1"/>
  <c r="R533" i="1" s="1"/>
  <c r="S533" i="1" s="1"/>
  <c r="R532" i="1" a="1"/>
  <c r="R532" i="1" s="1"/>
  <c r="S532" i="1" s="1"/>
  <c r="R531" i="1" a="1"/>
  <c r="R531" i="1" s="1"/>
  <c r="S531" i="1" s="1"/>
  <c r="R530" i="1" a="1"/>
  <c r="R530" i="1" s="1"/>
  <c r="S530" i="1" s="1"/>
  <c r="R529" i="1" a="1"/>
  <c r="R529" i="1" s="1"/>
  <c r="S529" i="1" s="1"/>
  <c r="R528" i="1" a="1"/>
  <c r="R528" i="1" s="1"/>
  <c r="S528" i="1" s="1"/>
  <c r="R527" i="1" a="1"/>
  <c r="R527" i="1" s="1"/>
  <c r="S527" i="1" s="1"/>
  <c r="R526" i="1" a="1"/>
  <c r="R526" i="1" s="1"/>
  <c r="S526" i="1" s="1"/>
  <c r="R525" i="1" a="1"/>
  <c r="R525" i="1" s="1"/>
  <c r="S525" i="1" s="1"/>
  <c r="R524" i="1" a="1"/>
  <c r="R524" i="1" s="1"/>
  <c r="S524" i="1" s="1"/>
  <c r="R523" i="1" a="1"/>
  <c r="R523" i="1" s="1"/>
  <c r="S523" i="1" s="1"/>
  <c r="R522" i="1"/>
  <c r="S522" i="1" s="1"/>
  <c r="R522" i="1" a="1"/>
  <c r="R521" i="1" a="1"/>
  <c r="R521" i="1" s="1"/>
  <c r="S521" i="1" s="1"/>
  <c r="R520" i="1"/>
  <c r="S520" i="1" s="1"/>
  <c r="R520" i="1" a="1"/>
  <c r="R519" i="1" a="1"/>
  <c r="R519" i="1" s="1"/>
  <c r="S519" i="1" s="1"/>
  <c r="R518" i="1" a="1"/>
  <c r="R518" i="1" s="1"/>
  <c r="S518" i="1" s="1"/>
  <c r="S517" i="1"/>
  <c r="R517" i="1"/>
  <c r="R517" i="1" a="1"/>
  <c r="R516" i="1" a="1"/>
  <c r="R516" i="1" s="1"/>
  <c r="S516" i="1" s="1"/>
  <c r="R515" i="1" a="1"/>
  <c r="R515" i="1" s="1"/>
  <c r="S515" i="1" s="1"/>
  <c r="R514" i="1" a="1"/>
  <c r="R514" i="1" s="1"/>
  <c r="S514" i="1" s="1"/>
  <c r="S513" i="1"/>
  <c r="R513" i="1" a="1"/>
  <c r="R513" i="1" s="1"/>
  <c r="R512" i="1" a="1"/>
  <c r="R512" i="1" s="1"/>
  <c r="S512" i="1" s="1"/>
  <c r="R511" i="1" a="1"/>
  <c r="R511" i="1" s="1"/>
  <c r="S511" i="1" s="1"/>
  <c r="R510" i="1" a="1"/>
  <c r="R510" i="1" s="1"/>
  <c r="S510" i="1" s="1"/>
  <c r="R509" i="1" a="1"/>
  <c r="R509" i="1" s="1"/>
  <c r="S509" i="1" s="1"/>
  <c r="R508" i="1" a="1"/>
  <c r="R508" i="1" s="1"/>
  <c r="S508" i="1" s="1"/>
  <c r="R507" i="1" a="1"/>
  <c r="R507" i="1" s="1"/>
  <c r="S507" i="1" s="1"/>
  <c r="R506" i="1" a="1"/>
  <c r="R506" i="1" s="1"/>
  <c r="S506" i="1" s="1"/>
  <c r="R505" i="1"/>
  <c r="S505" i="1" s="1"/>
  <c r="R505" i="1" a="1"/>
  <c r="R504" i="1"/>
  <c r="S504" i="1" s="1"/>
  <c r="R504" i="1" a="1"/>
  <c r="R503" i="1" a="1"/>
  <c r="R503" i="1" s="1"/>
  <c r="S503" i="1" s="1"/>
  <c r="R502" i="1" a="1"/>
  <c r="R502" i="1" s="1"/>
  <c r="S502" i="1" s="1"/>
  <c r="R501" i="1" a="1"/>
  <c r="R501" i="1" s="1"/>
  <c r="S501" i="1" s="1"/>
  <c r="R500" i="1" a="1"/>
  <c r="R500" i="1" s="1"/>
  <c r="S500" i="1" s="1"/>
  <c r="R499" i="1" a="1"/>
  <c r="R499" i="1" s="1"/>
  <c r="S499" i="1" s="1"/>
  <c r="R498" i="1" a="1"/>
  <c r="R498" i="1" s="1"/>
  <c r="S498" i="1" s="1"/>
  <c r="R497" i="1" a="1"/>
  <c r="R497" i="1" s="1"/>
  <c r="S497" i="1" s="1"/>
  <c r="R496" i="1"/>
  <c r="S496" i="1" s="1"/>
  <c r="R496" i="1" a="1"/>
  <c r="R495" i="1" a="1"/>
  <c r="R495" i="1" s="1"/>
  <c r="S495" i="1" s="1"/>
  <c r="R494" i="1"/>
  <c r="S494" i="1" s="1"/>
  <c r="R494" i="1" a="1"/>
  <c r="R493" i="1" a="1"/>
  <c r="R493" i="1" s="1"/>
  <c r="S493" i="1" s="1"/>
  <c r="R492" i="1"/>
  <c r="S492" i="1" s="1"/>
  <c r="R492" i="1" a="1"/>
  <c r="R491" i="1" a="1"/>
  <c r="R491" i="1" s="1"/>
  <c r="S491" i="1" s="1"/>
  <c r="R490" i="1" a="1"/>
  <c r="R490" i="1" s="1"/>
  <c r="S490" i="1" s="1"/>
  <c r="R489" i="1" a="1"/>
  <c r="R489" i="1" s="1"/>
  <c r="S489" i="1" s="1"/>
  <c r="R488" i="1"/>
  <c r="S488" i="1" s="1"/>
  <c r="R488" i="1" a="1"/>
  <c r="R487" i="1" a="1"/>
  <c r="R487" i="1" s="1"/>
  <c r="S487" i="1" s="1"/>
  <c r="R486" i="1" a="1"/>
  <c r="R486" i="1" s="1"/>
  <c r="S486" i="1" s="1"/>
  <c r="R485" i="1"/>
  <c r="S485" i="1" s="1"/>
  <c r="R485" i="1" a="1"/>
  <c r="R484" i="1"/>
  <c r="S484" i="1" s="1"/>
  <c r="R484" i="1" a="1"/>
  <c r="R483" i="1" a="1"/>
  <c r="R483" i="1" s="1"/>
  <c r="S483" i="1" s="1"/>
  <c r="R482" i="1" a="1"/>
  <c r="R482" i="1" s="1"/>
  <c r="S482" i="1" s="1"/>
  <c r="R481" i="1" a="1"/>
  <c r="R481" i="1" s="1"/>
  <c r="S481" i="1" s="1"/>
  <c r="R480" i="1" a="1"/>
  <c r="R480" i="1" s="1"/>
  <c r="S480" i="1" s="1"/>
  <c r="R479" i="1" a="1"/>
  <c r="R479" i="1" s="1"/>
  <c r="S479" i="1" s="1"/>
  <c r="R478" i="1" a="1"/>
  <c r="R478" i="1" s="1"/>
  <c r="S478" i="1" s="1"/>
  <c r="R477" i="1" a="1"/>
  <c r="R477" i="1" s="1"/>
  <c r="S477" i="1" s="1"/>
  <c r="R476" i="1"/>
  <c r="S476" i="1" s="1"/>
  <c r="R476" i="1" a="1"/>
  <c r="R475" i="1" a="1"/>
  <c r="R475" i="1" s="1"/>
  <c r="S475" i="1" s="1"/>
  <c r="R474" i="1" a="1"/>
  <c r="R474" i="1" s="1"/>
  <c r="S474" i="1" s="1"/>
  <c r="R473" i="1" a="1"/>
  <c r="R473" i="1" s="1"/>
  <c r="S473" i="1" s="1"/>
  <c r="R472" i="1" a="1"/>
  <c r="R472" i="1" s="1"/>
  <c r="S472" i="1" s="1"/>
  <c r="R471" i="1" a="1"/>
  <c r="R471" i="1" s="1"/>
  <c r="S471" i="1" s="1"/>
  <c r="R470" i="1" a="1"/>
  <c r="R470" i="1" s="1"/>
  <c r="S470" i="1" s="1"/>
  <c r="S469" i="1"/>
  <c r="R469" i="1" a="1"/>
  <c r="R469" i="1" s="1"/>
  <c r="R468" i="1" a="1"/>
  <c r="R468" i="1" s="1"/>
  <c r="S468" i="1" s="1"/>
  <c r="R467" i="1" a="1"/>
  <c r="R467" i="1" s="1"/>
  <c r="S467" i="1" s="1"/>
  <c r="R466" i="1" a="1"/>
  <c r="R466" i="1" s="1"/>
  <c r="S466" i="1" s="1"/>
  <c r="R465" i="1" a="1"/>
  <c r="R465" i="1" s="1"/>
  <c r="S465" i="1" s="1"/>
  <c r="R464" i="1" a="1"/>
  <c r="R464" i="1" s="1"/>
  <c r="S464" i="1" s="1"/>
  <c r="R463" i="1" a="1"/>
  <c r="R463" i="1" s="1"/>
  <c r="S463" i="1" s="1"/>
  <c r="R462" i="1" a="1"/>
  <c r="R462" i="1" s="1"/>
  <c r="S462" i="1" s="1"/>
  <c r="R461" i="1" a="1"/>
  <c r="R461" i="1" s="1"/>
  <c r="S461" i="1" s="1"/>
  <c r="R460" i="1" a="1"/>
  <c r="R460" i="1" s="1"/>
  <c r="S460" i="1" s="1"/>
  <c r="R459" i="1" a="1"/>
  <c r="R459" i="1" s="1"/>
  <c r="S459" i="1" s="1"/>
  <c r="R458" i="1" a="1"/>
  <c r="R458" i="1" s="1"/>
  <c r="S458" i="1" s="1"/>
  <c r="R457" i="1" a="1"/>
  <c r="R457" i="1" s="1"/>
  <c r="S457" i="1" s="1"/>
  <c r="R456" i="1" a="1"/>
  <c r="R456" i="1" s="1"/>
  <c r="S456" i="1" s="1"/>
  <c r="R455" i="1" a="1"/>
  <c r="R455" i="1" s="1"/>
  <c r="S455" i="1" s="1"/>
  <c r="R454" i="1"/>
  <c r="S454" i="1" s="1"/>
  <c r="R454" i="1" a="1"/>
  <c r="R453" i="1" a="1"/>
  <c r="R453" i="1" s="1"/>
  <c r="S453" i="1" s="1"/>
  <c r="R452" i="1" a="1"/>
  <c r="R452" i="1" s="1"/>
  <c r="S452" i="1" s="1"/>
  <c r="R451" i="1"/>
  <c r="S451" i="1" s="1"/>
  <c r="R451" i="1" a="1"/>
  <c r="R450" i="1" a="1"/>
  <c r="R450" i="1" s="1"/>
  <c r="S450" i="1" s="1"/>
  <c r="R449" i="1" a="1"/>
  <c r="R449" i="1" s="1"/>
  <c r="S449" i="1" s="1"/>
  <c r="R448" i="1" a="1"/>
  <c r="R448" i="1" s="1"/>
  <c r="S448" i="1" s="1"/>
  <c r="R447" i="1" a="1"/>
  <c r="R447" i="1" s="1"/>
  <c r="S447" i="1" s="1"/>
  <c r="R446" i="1" a="1"/>
  <c r="R446" i="1" s="1"/>
  <c r="S446" i="1" s="1"/>
  <c r="R445" i="1" a="1"/>
  <c r="R445" i="1" s="1"/>
  <c r="S445" i="1" s="1"/>
  <c r="R444" i="1"/>
  <c r="S444" i="1" s="1"/>
  <c r="R444" i="1" a="1"/>
  <c r="R443" i="1" a="1"/>
  <c r="R443" i="1" s="1"/>
  <c r="S443" i="1" s="1"/>
  <c r="R442" i="1" a="1"/>
  <c r="R442" i="1" s="1"/>
  <c r="S442" i="1" s="1"/>
  <c r="R441" i="1" a="1"/>
  <c r="R441" i="1" s="1"/>
  <c r="S441" i="1" s="1"/>
  <c r="S440" i="1"/>
  <c r="R440" i="1"/>
  <c r="R440" i="1" a="1"/>
  <c r="R439" i="1" a="1"/>
  <c r="R439" i="1" s="1"/>
  <c r="S439" i="1" s="1"/>
  <c r="R438" i="1" a="1"/>
  <c r="R438" i="1" s="1"/>
  <c r="S438" i="1" s="1"/>
  <c r="R437" i="1" a="1"/>
  <c r="R437" i="1" s="1"/>
  <c r="S437" i="1" s="1"/>
  <c r="R436" i="1" a="1"/>
  <c r="R436" i="1" s="1"/>
  <c r="S436" i="1" s="1"/>
  <c r="R435" i="1" a="1"/>
  <c r="R435" i="1" s="1"/>
  <c r="S435" i="1" s="1"/>
  <c r="R434" i="1" a="1"/>
  <c r="R434" i="1" s="1"/>
  <c r="S434" i="1" s="1"/>
  <c r="R433" i="1" a="1"/>
  <c r="R433" i="1" s="1"/>
  <c r="S433" i="1" s="1"/>
  <c r="R432" i="1" a="1"/>
  <c r="R432" i="1" s="1"/>
  <c r="S432" i="1" s="1"/>
  <c r="R431" i="1" a="1"/>
  <c r="R431" i="1" s="1"/>
  <c r="S431" i="1" s="1"/>
  <c r="R430" i="1"/>
  <c r="S430" i="1" s="1"/>
  <c r="R430" i="1" a="1"/>
  <c r="R429" i="1" a="1"/>
  <c r="R429" i="1" s="1"/>
  <c r="S429" i="1" s="1"/>
  <c r="R428" i="1"/>
  <c r="S428" i="1" s="1"/>
  <c r="R428" i="1" a="1"/>
  <c r="R427" i="1"/>
  <c r="S427" i="1" s="1"/>
  <c r="R427" i="1" a="1"/>
  <c r="R426" i="1" a="1"/>
  <c r="R426" i="1" s="1"/>
  <c r="S426" i="1" s="1"/>
  <c r="R425" i="1" a="1"/>
  <c r="R425" i="1" s="1"/>
  <c r="S425" i="1" s="1"/>
  <c r="R424" i="1" a="1"/>
  <c r="R424" i="1" s="1"/>
  <c r="S424" i="1" s="1"/>
  <c r="R423" i="1" a="1"/>
  <c r="R423" i="1" s="1"/>
  <c r="S423" i="1" s="1"/>
  <c r="R422" i="1" a="1"/>
  <c r="R422" i="1" s="1"/>
  <c r="S422" i="1" s="1"/>
  <c r="R421" i="1"/>
  <c r="S421" i="1" s="1"/>
  <c r="R421" i="1" a="1"/>
  <c r="R420" i="1" a="1"/>
  <c r="R420" i="1" s="1"/>
  <c r="S420" i="1" s="1"/>
  <c r="R419" i="1" a="1"/>
  <c r="R419" i="1" s="1"/>
  <c r="S419" i="1" s="1"/>
  <c r="R418" i="1" a="1"/>
  <c r="R418" i="1" s="1"/>
  <c r="S418" i="1" s="1"/>
  <c r="R417" i="1" a="1"/>
  <c r="R417" i="1" s="1"/>
  <c r="S417" i="1" s="1"/>
  <c r="R416" i="1"/>
  <c r="S416" i="1" s="1"/>
  <c r="R416" i="1" a="1"/>
  <c r="R415" i="1" a="1"/>
  <c r="R415" i="1" s="1"/>
  <c r="S415" i="1" s="1"/>
  <c r="R414" i="1" a="1"/>
  <c r="R414" i="1" s="1"/>
  <c r="S414" i="1" s="1"/>
  <c r="R413" i="1" a="1"/>
  <c r="R413" i="1" s="1"/>
  <c r="S413" i="1" s="1"/>
  <c r="R412" i="1" a="1"/>
  <c r="R412" i="1" s="1"/>
  <c r="S412" i="1" s="1"/>
  <c r="R411" i="1"/>
  <c r="S411" i="1" s="1"/>
  <c r="R411" i="1" a="1"/>
  <c r="R410" i="1" a="1"/>
  <c r="R410" i="1" s="1"/>
  <c r="S410" i="1" s="1"/>
  <c r="R409" i="1" a="1"/>
  <c r="R409" i="1" s="1"/>
  <c r="S409" i="1" s="1"/>
  <c r="R408" i="1" a="1"/>
  <c r="R408" i="1" s="1"/>
  <c r="S408" i="1" s="1"/>
  <c r="R407" i="1" a="1"/>
  <c r="R407" i="1" s="1"/>
  <c r="S407" i="1" s="1"/>
  <c r="R406" i="1" a="1"/>
  <c r="R406" i="1" s="1"/>
  <c r="S406" i="1" s="1"/>
  <c r="R405" i="1" a="1"/>
  <c r="R405" i="1" s="1"/>
  <c r="S405" i="1" s="1"/>
  <c r="R404" i="1"/>
  <c r="S404" i="1" s="1"/>
  <c r="R404" i="1" a="1"/>
  <c r="R403" i="1" a="1"/>
  <c r="R403" i="1" s="1"/>
  <c r="S403" i="1" s="1"/>
  <c r="R402" i="1" a="1"/>
  <c r="R402" i="1" s="1"/>
  <c r="S402" i="1" s="1"/>
  <c r="R401" i="1" a="1"/>
  <c r="R401" i="1" s="1"/>
  <c r="S401" i="1" s="1"/>
  <c r="R400" i="1" a="1"/>
  <c r="R400" i="1" s="1"/>
  <c r="S400" i="1" s="1"/>
  <c r="R399" i="1" a="1"/>
  <c r="R399" i="1" s="1"/>
  <c r="S399" i="1" s="1"/>
  <c r="R398" i="1" a="1"/>
  <c r="R398" i="1" s="1"/>
  <c r="S398" i="1" s="1"/>
  <c r="R397" i="1" a="1"/>
  <c r="R397" i="1" s="1"/>
  <c r="S397" i="1" s="1"/>
  <c r="R396" i="1" a="1"/>
  <c r="R396" i="1" s="1"/>
  <c r="S396" i="1" s="1"/>
  <c r="R395" i="1" a="1"/>
  <c r="R395" i="1" s="1"/>
  <c r="S395" i="1" s="1"/>
  <c r="R394" i="1" a="1"/>
  <c r="R394" i="1" s="1"/>
  <c r="S394" i="1" s="1"/>
  <c r="R393" i="1" a="1"/>
  <c r="R393" i="1" s="1"/>
  <c r="S393" i="1" s="1"/>
  <c r="R392" i="1" a="1"/>
  <c r="R392" i="1" s="1"/>
  <c r="S392" i="1" s="1"/>
  <c r="R391" i="1" a="1"/>
  <c r="R391" i="1" s="1"/>
  <c r="S391" i="1" s="1"/>
  <c r="R390" i="1" a="1"/>
  <c r="R390" i="1" s="1"/>
  <c r="S390" i="1" s="1"/>
  <c r="R389" i="1" a="1"/>
  <c r="R389" i="1" s="1"/>
  <c r="S389" i="1" s="1"/>
  <c r="R388" i="1" a="1"/>
  <c r="R388" i="1" s="1"/>
  <c r="S388" i="1" s="1"/>
  <c r="R387" i="1" a="1"/>
  <c r="R387" i="1" s="1"/>
  <c r="S387" i="1" s="1"/>
  <c r="R386" i="1"/>
  <c r="S386" i="1" s="1"/>
  <c r="R386" i="1" a="1"/>
  <c r="S385" i="1"/>
  <c r="R385" i="1"/>
  <c r="R385" i="1" a="1"/>
  <c r="R384" i="1" a="1"/>
  <c r="R384" i="1" s="1"/>
  <c r="S384" i="1" s="1"/>
  <c r="R383" i="1" a="1"/>
  <c r="R383" i="1" s="1"/>
  <c r="S383" i="1" s="1"/>
  <c r="R382" i="1" a="1"/>
  <c r="R382" i="1" s="1"/>
  <c r="S382" i="1" s="1"/>
  <c r="R381" i="1" a="1"/>
  <c r="R381" i="1" s="1"/>
  <c r="S381" i="1" s="1"/>
  <c r="R380" i="1" a="1"/>
  <c r="R380" i="1" s="1"/>
  <c r="S380" i="1" s="1"/>
  <c r="R379" i="1" a="1"/>
  <c r="R379" i="1" s="1"/>
  <c r="S379" i="1" s="1"/>
  <c r="R378" i="1" a="1"/>
  <c r="R378" i="1" s="1"/>
  <c r="S378" i="1" s="1"/>
  <c r="R377" i="1" a="1"/>
  <c r="R377" i="1" s="1"/>
  <c r="S377" i="1" s="1"/>
  <c r="R376" i="1" a="1"/>
  <c r="R376" i="1" s="1"/>
  <c r="S376" i="1" s="1"/>
  <c r="R375" i="1" a="1"/>
  <c r="R375" i="1" s="1"/>
  <c r="S375" i="1" s="1"/>
  <c r="R374" i="1"/>
  <c r="S374" i="1" s="1"/>
  <c r="R374" i="1" a="1"/>
  <c r="R373" i="1" a="1"/>
  <c r="R373" i="1" s="1"/>
  <c r="S373" i="1" s="1"/>
  <c r="R372" i="1"/>
  <c r="S372" i="1" s="1"/>
  <c r="R372" i="1" a="1"/>
  <c r="R371" i="1" a="1"/>
  <c r="R371" i="1" s="1"/>
  <c r="S371" i="1" s="1"/>
  <c r="R370" i="1" a="1"/>
  <c r="R370" i="1" s="1"/>
  <c r="S370" i="1" s="1"/>
  <c r="R369" i="1" a="1"/>
  <c r="R369" i="1" s="1"/>
  <c r="S369" i="1" s="1"/>
  <c r="R368" i="1" a="1"/>
  <c r="R368" i="1" s="1"/>
  <c r="S368" i="1" s="1"/>
  <c r="R367" i="1" a="1"/>
  <c r="R367" i="1" s="1"/>
  <c r="S367" i="1" s="1"/>
  <c r="R366" i="1" a="1"/>
  <c r="R366" i="1" s="1"/>
  <c r="S366" i="1" s="1"/>
  <c r="R365" i="1" a="1"/>
  <c r="R365" i="1" s="1"/>
  <c r="S365" i="1" s="1"/>
  <c r="R364" i="1"/>
  <c r="S364" i="1" s="1"/>
  <c r="R364" i="1" a="1"/>
  <c r="R363" i="1"/>
  <c r="S363" i="1" s="1"/>
  <c r="R363" i="1" a="1"/>
  <c r="R362" i="1" a="1"/>
  <c r="R362" i="1" s="1"/>
  <c r="S362" i="1" s="1"/>
  <c r="R361" i="1" a="1"/>
  <c r="R361" i="1" s="1"/>
  <c r="S361" i="1" s="1"/>
  <c r="R360" i="1" a="1"/>
  <c r="R360" i="1" s="1"/>
  <c r="S360" i="1" s="1"/>
  <c r="R359" i="1" a="1"/>
  <c r="R359" i="1" s="1"/>
  <c r="S359" i="1" s="1"/>
  <c r="R358" i="1" a="1"/>
  <c r="R358" i="1" s="1"/>
  <c r="S358" i="1" s="1"/>
  <c r="R357" i="1" a="1"/>
  <c r="R357" i="1" s="1"/>
  <c r="S357" i="1" s="1"/>
  <c r="R356" i="1" a="1"/>
  <c r="R356" i="1" s="1"/>
  <c r="S356" i="1" s="1"/>
  <c r="R355" i="1"/>
  <c r="S355" i="1" s="1"/>
  <c r="R355" i="1" a="1"/>
  <c r="R354" i="1"/>
  <c r="S354" i="1" s="1"/>
  <c r="R354" i="1" a="1"/>
  <c r="R353" i="1" a="1"/>
  <c r="R353" i="1" s="1"/>
  <c r="S353" i="1" s="1"/>
  <c r="R352" i="1" a="1"/>
  <c r="R352" i="1" s="1"/>
  <c r="S352" i="1" s="1"/>
  <c r="R351" i="1" a="1"/>
  <c r="R351" i="1" s="1"/>
  <c r="S351" i="1" s="1"/>
  <c r="R350" i="1"/>
  <c r="S350" i="1" s="1"/>
  <c r="R350" i="1" a="1"/>
  <c r="R349" i="1" a="1"/>
  <c r="R349" i="1" s="1"/>
  <c r="S349" i="1" s="1"/>
  <c r="R348" i="1" a="1"/>
  <c r="R348" i="1" s="1"/>
  <c r="S348" i="1" s="1"/>
  <c r="R347" i="1" a="1"/>
  <c r="R347" i="1" s="1"/>
  <c r="S347" i="1" s="1"/>
  <c r="R346" i="1"/>
  <c r="S346" i="1" s="1"/>
  <c r="R346" i="1" a="1"/>
  <c r="R345" i="1"/>
  <c r="S345" i="1" s="1"/>
  <c r="R345" i="1" a="1"/>
  <c r="R344" i="1" a="1"/>
  <c r="R344" i="1" s="1"/>
  <c r="S344" i="1" s="1"/>
  <c r="R343" i="1" a="1"/>
  <c r="R343" i="1" s="1"/>
  <c r="S343" i="1" s="1"/>
  <c r="R342" i="1" a="1"/>
  <c r="R342" i="1" s="1"/>
  <c r="S342" i="1" s="1"/>
  <c r="R341" i="1"/>
  <c r="S341" i="1" s="1"/>
  <c r="R341" i="1" a="1"/>
  <c r="R340" i="1" a="1"/>
  <c r="R340" i="1" s="1"/>
  <c r="S340" i="1" s="1"/>
  <c r="R339" i="1" a="1"/>
  <c r="R339" i="1" s="1"/>
  <c r="S339" i="1" s="1"/>
  <c r="R338" i="1"/>
  <c r="S338" i="1" s="1"/>
  <c r="R338" i="1" a="1"/>
  <c r="S337" i="1"/>
  <c r="R337" i="1" a="1"/>
  <c r="R337" i="1" s="1"/>
  <c r="R336" i="1" a="1"/>
  <c r="R336" i="1" s="1"/>
  <c r="S336" i="1" s="1"/>
  <c r="R335" i="1" a="1"/>
  <c r="R335" i="1" s="1"/>
  <c r="S335" i="1" s="1"/>
  <c r="R334" i="1" a="1"/>
  <c r="R334" i="1" s="1"/>
  <c r="S334" i="1" s="1"/>
  <c r="R333" i="1" a="1"/>
  <c r="R333" i="1" s="1"/>
  <c r="S333" i="1" s="1"/>
  <c r="R332" i="1" a="1"/>
  <c r="R332" i="1" s="1"/>
  <c r="S332" i="1" s="1"/>
  <c r="R331" i="1" a="1"/>
  <c r="R331" i="1" s="1"/>
  <c r="S331" i="1" s="1"/>
  <c r="R330" i="1" a="1"/>
  <c r="R330" i="1" s="1"/>
  <c r="S330" i="1" s="1"/>
  <c r="R329" i="1" a="1"/>
  <c r="R329" i="1" s="1"/>
  <c r="S329" i="1" s="1"/>
  <c r="R328" i="1" a="1"/>
  <c r="R328" i="1" s="1"/>
  <c r="S328" i="1" s="1"/>
  <c r="R327" i="1" a="1"/>
  <c r="R327" i="1" s="1"/>
  <c r="S327" i="1" s="1"/>
  <c r="R326" i="1" a="1"/>
  <c r="R326" i="1" s="1"/>
  <c r="S326" i="1" s="1"/>
  <c r="R325" i="1" a="1"/>
  <c r="R325" i="1" s="1"/>
  <c r="S325" i="1" s="1"/>
  <c r="R324" i="1"/>
  <c r="S324" i="1" s="1"/>
  <c r="R324" i="1" a="1"/>
  <c r="R323" i="1" a="1"/>
  <c r="R323" i="1" s="1"/>
  <c r="S323" i="1" s="1"/>
  <c r="R322" i="1"/>
  <c r="S322" i="1" s="1"/>
  <c r="R322" i="1" a="1"/>
  <c r="R321" i="1" a="1"/>
  <c r="R321" i="1" s="1"/>
  <c r="S321" i="1" s="1"/>
  <c r="R320" i="1"/>
  <c r="S320" i="1" s="1"/>
  <c r="R320" i="1" a="1"/>
  <c r="R319" i="1" a="1"/>
  <c r="R319" i="1" s="1"/>
  <c r="S319" i="1" s="1"/>
  <c r="R318" i="1"/>
  <c r="S318" i="1" s="1"/>
  <c r="R318" i="1" a="1"/>
  <c r="R317" i="1" a="1"/>
  <c r="R317" i="1" s="1"/>
  <c r="S317" i="1" s="1"/>
  <c r="R316" i="1" a="1"/>
  <c r="R316" i="1" s="1"/>
  <c r="S316" i="1" s="1"/>
  <c r="S315" i="1"/>
  <c r="R315" i="1" a="1"/>
  <c r="R315" i="1" s="1"/>
  <c r="R314" i="1" a="1"/>
  <c r="R314" i="1" s="1"/>
  <c r="S314" i="1" s="1"/>
  <c r="R313" i="1" a="1"/>
  <c r="R313" i="1" s="1"/>
  <c r="S313" i="1" s="1"/>
  <c r="R312" i="1" a="1"/>
  <c r="R312" i="1" s="1"/>
  <c r="S312" i="1" s="1"/>
  <c r="R311" i="1" a="1"/>
  <c r="R311" i="1" s="1"/>
  <c r="S311" i="1" s="1"/>
  <c r="R310" i="1" a="1"/>
  <c r="R310" i="1" s="1"/>
  <c r="S310" i="1" s="1"/>
  <c r="R309" i="1"/>
  <c r="S309" i="1" s="1"/>
  <c r="R309" i="1" a="1"/>
  <c r="R308" i="1"/>
  <c r="S308" i="1" s="1"/>
  <c r="R308" i="1" a="1"/>
  <c r="R307" i="1" a="1"/>
  <c r="R307" i="1" s="1"/>
  <c r="S307" i="1" s="1"/>
  <c r="R306" i="1"/>
  <c r="S306" i="1" s="1"/>
  <c r="R306" i="1" a="1"/>
  <c r="R305" i="1" a="1"/>
  <c r="R305" i="1" s="1"/>
  <c r="S305" i="1" s="1"/>
  <c r="R304" i="1" a="1"/>
  <c r="R304" i="1" s="1"/>
  <c r="S304" i="1" s="1"/>
  <c r="R303" i="1" a="1"/>
  <c r="R303" i="1" s="1"/>
  <c r="S303" i="1" s="1"/>
  <c r="R302" i="1" a="1"/>
  <c r="R302" i="1" s="1"/>
  <c r="S302" i="1" s="1"/>
  <c r="R301" i="1" a="1"/>
  <c r="R301" i="1" s="1"/>
  <c r="S301" i="1" s="1"/>
  <c r="R300" i="1"/>
  <c r="S300" i="1" s="1"/>
  <c r="R300" i="1" a="1"/>
  <c r="R299" i="1" a="1"/>
  <c r="R299" i="1" s="1"/>
  <c r="S299" i="1" s="1"/>
  <c r="R298" i="1" a="1"/>
  <c r="R298" i="1" s="1"/>
  <c r="S298" i="1" s="1"/>
  <c r="R297" i="1"/>
  <c r="S297" i="1" s="1"/>
  <c r="R297" i="1" a="1"/>
  <c r="R296" i="1"/>
  <c r="S296" i="1" s="1"/>
  <c r="R296" i="1" a="1"/>
  <c r="R295" i="1" a="1"/>
  <c r="R295" i="1" s="1"/>
  <c r="S295" i="1" s="1"/>
  <c r="R294" i="1" a="1"/>
  <c r="R294" i="1" s="1"/>
  <c r="S294" i="1" s="1"/>
  <c r="S293" i="1"/>
  <c r="R293" i="1" a="1"/>
  <c r="R293" i="1" s="1"/>
  <c r="R292" i="1" a="1"/>
  <c r="R292" i="1" s="1"/>
  <c r="S292" i="1" s="1"/>
  <c r="R291" i="1" a="1"/>
  <c r="R291" i="1" s="1"/>
  <c r="S291" i="1" s="1"/>
  <c r="R290" i="1"/>
  <c r="S290" i="1" s="1"/>
  <c r="R290" i="1" a="1"/>
  <c r="R289" i="1" a="1"/>
  <c r="R289" i="1" s="1"/>
  <c r="S289" i="1" s="1"/>
  <c r="R288" i="1" a="1"/>
  <c r="R288" i="1" s="1"/>
  <c r="S288" i="1" s="1"/>
  <c r="R287" i="1" a="1"/>
  <c r="R287" i="1" s="1"/>
  <c r="S287" i="1" s="1"/>
  <c r="R286" i="1" a="1"/>
  <c r="R286" i="1" s="1"/>
  <c r="S286" i="1" s="1"/>
  <c r="R285" i="1" a="1"/>
  <c r="R285" i="1" s="1"/>
  <c r="S285" i="1" s="1"/>
  <c r="S284" i="1"/>
  <c r="R284" i="1"/>
  <c r="R284" i="1" a="1"/>
  <c r="R283" i="1" a="1"/>
  <c r="R283" i="1" s="1"/>
  <c r="S283" i="1" s="1"/>
  <c r="R282" i="1" a="1"/>
  <c r="R282" i="1" s="1"/>
  <c r="S282" i="1" s="1"/>
  <c r="R281" i="1" a="1"/>
  <c r="R281" i="1" s="1"/>
  <c r="S281" i="1" s="1"/>
  <c r="R280" i="1" a="1"/>
  <c r="R280" i="1" s="1"/>
  <c r="S280" i="1" s="1"/>
  <c r="R279" i="1" a="1"/>
  <c r="R279" i="1" s="1"/>
  <c r="S279" i="1" s="1"/>
  <c r="R278" i="1" a="1"/>
  <c r="R278" i="1" s="1"/>
  <c r="S278" i="1" s="1"/>
  <c r="R277" i="1" a="1"/>
  <c r="R277" i="1" s="1"/>
  <c r="S277" i="1" s="1"/>
  <c r="R276" i="1"/>
  <c r="S276" i="1" s="1"/>
  <c r="R276" i="1" a="1"/>
  <c r="R275" i="1" a="1"/>
  <c r="R275" i="1" s="1"/>
  <c r="S275" i="1" s="1"/>
  <c r="R274" i="1" a="1"/>
  <c r="R274" i="1" s="1"/>
  <c r="S274" i="1" s="1"/>
  <c r="R273" i="1"/>
  <c r="S273" i="1" s="1"/>
  <c r="R273" i="1" a="1"/>
  <c r="R272" i="1" a="1"/>
  <c r="R272" i="1" s="1"/>
  <c r="S272" i="1" s="1"/>
  <c r="S271" i="1"/>
  <c r="R271" i="1" a="1"/>
  <c r="R271" i="1" s="1"/>
  <c r="R270" i="1" a="1"/>
  <c r="R270" i="1" s="1"/>
  <c r="S270" i="1" s="1"/>
  <c r="R269" i="1" a="1"/>
  <c r="R269" i="1" s="1"/>
  <c r="S269" i="1" s="1"/>
  <c r="R268" i="1" a="1"/>
  <c r="R268" i="1" s="1"/>
  <c r="S268" i="1" s="1"/>
  <c r="R267" i="1" a="1"/>
  <c r="R267" i="1" s="1"/>
  <c r="S267" i="1" s="1"/>
  <c r="R266" i="1" a="1"/>
  <c r="R266" i="1" s="1"/>
  <c r="S266" i="1" s="1"/>
  <c r="R265" i="1" a="1"/>
  <c r="R265" i="1" s="1"/>
  <c r="S265" i="1" s="1"/>
  <c r="R264" i="1" a="1"/>
  <c r="R264" i="1" s="1"/>
  <c r="S264" i="1" s="1"/>
  <c r="R263" i="1" a="1"/>
  <c r="R263" i="1" s="1"/>
  <c r="S263" i="1" s="1"/>
  <c r="R262" i="1" a="1"/>
  <c r="R262" i="1" s="1"/>
  <c r="S262" i="1" s="1"/>
  <c r="R261" i="1" a="1"/>
  <c r="R261" i="1" s="1"/>
  <c r="S261" i="1" s="1"/>
  <c r="R260" i="1" a="1"/>
  <c r="R260" i="1" s="1"/>
  <c r="S260" i="1" s="1"/>
  <c r="R259" i="1" a="1"/>
  <c r="R259" i="1" s="1"/>
  <c r="S259" i="1" s="1"/>
  <c r="R258" i="1" a="1"/>
  <c r="R258" i="1" s="1"/>
  <c r="S258" i="1" s="1"/>
  <c r="R257" i="1" a="1"/>
  <c r="R257" i="1" s="1"/>
  <c r="S257" i="1" s="1"/>
  <c r="R256" i="1"/>
  <c r="S256" i="1" s="1"/>
  <c r="R256" i="1" a="1"/>
  <c r="R255" i="1" a="1"/>
  <c r="R255" i="1" s="1"/>
  <c r="S255" i="1" s="1"/>
  <c r="R254" i="1" a="1"/>
  <c r="R254" i="1" s="1"/>
  <c r="S254" i="1" s="1"/>
  <c r="R253" i="1" a="1"/>
  <c r="R253" i="1" s="1"/>
  <c r="S253" i="1" s="1"/>
  <c r="R252" i="1" a="1"/>
  <c r="R252" i="1" s="1"/>
  <c r="S252" i="1" s="1"/>
  <c r="R251" i="1"/>
  <c r="S251" i="1" s="1"/>
  <c r="R251" i="1" a="1"/>
  <c r="R250" i="1" a="1"/>
  <c r="R250" i="1" s="1"/>
  <c r="S250" i="1" s="1"/>
  <c r="R249" i="1" a="1"/>
  <c r="R249" i="1" s="1"/>
  <c r="S249" i="1" s="1"/>
  <c r="R248" i="1" a="1"/>
  <c r="R248" i="1" s="1"/>
  <c r="S248" i="1" s="1"/>
  <c r="R247" i="1" a="1"/>
  <c r="R247" i="1" s="1"/>
  <c r="S247" i="1" s="1"/>
  <c r="R246" i="1"/>
  <c r="S246" i="1" s="1"/>
  <c r="R246" i="1" a="1"/>
  <c r="R245" i="1" a="1"/>
  <c r="R245" i="1" s="1"/>
  <c r="S245" i="1" s="1"/>
  <c r="R244" i="1" a="1"/>
  <c r="R244" i="1" s="1"/>
  <c r="S244" i="1" s="1"/>
  <c r="R243" i="1"/>
  <c r="S243" i="1" s="1"/>
  <c r="R243" i="1" a="1"/>
  <c r="R242" i="1"/>
  <c r="S242" i="1" s="1"/>
  <c r="R242" i="1" a="1"/>
  <c r="R241" i="1" a="1"/>
  <c r="R241" i="1" s="1"/>
  <c r="S241" i="1" s="1"/>
  <c r="R240" i="1" a="1"/>
  <c r="R240" i="1" s="1"/>
  <c r="S240" i="1" s="1"/>
  <c r="R239" i="1" a="1"/>
  <c r="R239" i="1" s="1"/>
  <c r="S239" i="1" s="1"/>
  <c r="R238" i="1" a="1"/>
  <c r="R238" i="1" s="1"/>
  <c r="S238" i="1" s="1"/>
  <c r="R237" i="1" a="1"/>
  <c r="R237" i="1" s="1"/>
  <c r="S237" i="1" s="1"/>
  <c r="R236" i="1" a="1"/>
  <c r="R236" i="1" s="1"/>
  <c r="S236" i="1" s="1"/>
  <c r="R235" i="1"/>
  <c r="S235" i="1" s="1"/>
  <c r="R235" i="1" a="1"/>
  <c r="R234" i="1"/>
  <c r="S234" i="1" s="1"/>
  <c r="R234" i="1" a="1"/>
  <c r="R233" i="1" a="1"/>
  <c r="R233" i="1" s="1"/>
  <c r="S233" i="1" s="1"/>
  <c r="R232" i="1"/>
  <c r="S232" i="1" s="1"/>
  <c r="R232" i="1" a="1"/>
  <c r="R231" i="1" a="1"/>
  <c r="R231" i="1" s="1"/>
  <c r="S231" i="1" s="1"/>
  <c r="R230" i="1" a="1"/>
  <c r="R230" i="1" s="1"/>
  <c r="S230" i="1" s="1"/>
  <c r="R229" i="1" a="1"/>
  <c r="R229" i="1" s="1"/>
  <c r="S229" i="1" s="1"/>
  <c r="R228" i="1" a="1"/>
  <c r="R228" i="1" s="1"/>
  <c r="S228" i="1" s="1"/>
  <c r="R227" i="1" a="1"/>
  <c r="R227" i="1" s="1"/>
  <c r="S227" i="1" s="1"/>
  <c r="R226" i="1" a="1"/>
  <c r="R226" i="1" s="1"/>
  <c r="S226" i="1" s="1"/>
  <c r="R225" i="1" a="1"/>
  <c r="R225" i="1" s="1"/>
  <c r="S225" i="1" s="1"/>
  <c r="R224" i="1" a="1"/>
  <c r="R224" i="1" s="1"/>
  <c r="S224" i="1" s="1"/>
  <c r="R223" i="1" a="1"/>
  <c r="R223" i="1" s="1"/>
  <c r="S223" i="1" s="1"/>
  <c r="R222" i="1" a="1"/>
  <c r="R222" i="1" s="1"/>
  <c r="S222" i="1" s="1"/>
  <c r="R221" i="1" a="1"/>
  <c r="R221" i="1" s="1"/>
  <c r="S221" i="1" s="1"/>
  <c r="R220" i="1"/>
  <c r="S220" i="1" s="1"/>
  <c r="R220" i="1" a="1"/>
  <c r="R219" i="1" a="1"/>
  <c r="R219" i="1" s="1"/>
  <c r="S219" i="1" s="1"/>
  <c r="R218" i="1" a="1"/>
  <c r="R218" i="1" s="1"/>
  <c r="S218" i="1" s="1"/>
  <c r="R217" i="1" a="1"/>
  <c r="R217" i="1" s="1"/>
  <c r="S217" i="1" s="1"/>
  <c r="R216" i="1" a="1"/>
  <c r="R216" i="1" s="1"/>
  <c r="S216" i="1" s="1"/>
  <c r="R215" i="1" a="1"/>
  <c r="R215" i="1" s="1"/>
  <c r="S215" i="1" s="1"/>
  <c r="R214" i="1" a="1"/>
  <c r="R214" i="1" s="1"/>
  <c r="S214" i="1" s="1"/>
  <c r="R213" i="1" a="1"/>
  <c r="R213" i="1" s="1"/>
  <c r="S213" i="1" s="1"/>
  <c r="R212" i="1"/>
  <c r="S212" i="1" s="1"/>
  <c r="R212" i="1" a="1"/>
  <c r="R211" i="1" a="1"/>
  <c r="R211" i="1" s="1"/>
  <c r="S211" i="1" s="1"/>
  <c r="R210" i="1"/>
  <c r="S210" i="1" s="1"/>
  <c r="R210" i="1" a="1"/>
  <c r="R209" i="1" a="1"/>
  <c r="R209" i="1" s="1"/>
  <c r="S209" i="1" s="1"/>
  <c r="R208" i="1"/>
  <c r="S208" i="1" s="1"/>
  <c r="R208" i="1" a="1"/>
  <c r="R207" i="1" a="1"/>
  <c r="R207" i="1" s="1"/>
  <c r="S207" i="1" s="1"/>
  <c r="R206" i="1" a="1"/>
  <c r="R206" i="1" s="1"/>
  <c r="S206" i="1" s="1"/>
  <c r="S205" i="1"/>
  <c r="R205" i="1" a="1"/>
  <c r="R205" i="1" s="1"/>
  <c r="R204" i="1" a="1"/>
  <c r="R204" i="1" s="1"/>
  <c r="S204" i="1" s="1"/>
  <c r="R203" i="1" a="1"/>
  <c r="R203" i="1" s="1"/>
  <c r="S203" i="1" s="1"/>
  <c r="R202" i="1" a="1"/>
  <c r="R202" i="1" s="1"/>
  <c r="S202" i="1" s="1"/>
  <c r="R201" i="1"/>
  <c r="S201" i="1" s="1"/>
  <c r="R201" i="1" a="1"/>
  <c r="R200" i="1" a="1"/>
  <c r="R200" i="1" s="1"/>
  <c r="S200" i="1" s="1"/>
  <c r="R199" i="1"/>
  <c r="S199" i="1" s="1"/>
  <c r="R199" i="1" a="1"/>
  <c r="R198" i="1" a="1"/>
  <c r="R198" i="1" s="1"/>
  <c r="S198" i="1" s="1"/>
  <c r="R197" i="1" a="1"/>
  <c r="R197" i="1" s="1"/>
  <c r="S197" i="1" s="1"/>
  <c r="S196" i="1"/>
  <c r="R196" i="1"/>
  <c r="R196" i="1" a="1"/>
  <c r="R195" i="1" a="1"/>
  <c r="R195" i="1" s="1"/>
  <c r="S195" i="1" s="1"/>
  <c r="R194" i="1" a="1"/>
  <c r="R194" i="1" s="1"/>
  <c r="S194" i="1" s="1"/>
  <c r="R193" i="1" a="1"/>
  <c r="R193" i="1" s="1"/>
  <c r="S193" i="1" s="1"/>
  <c r="R192" i="1" a="1"/>
  <c r="R192" i="1" s="1"/>
  <c r="S192" i="1" s="1"/>
  <c r="R191" i="1" a="1"/>
  <c r="R191" i="1" s="1"/>
  <c r="S191" i="1" s="1"/>
  <c r="R190" i="1" a="1"/>
  <c r="R190" i="1" s="1"/>
  <c r="S190" i="1" s="1"/>
  <c r="R189" i="1"/>
  <c r="S189" i="1" s="1"/>
  <c r="R189" i="1" a="1"/>
  <c r="R188" i="1" a="1"/>
  <c r="R188" i="1" s="1"/>
  <c r="S188" i="1" s="1"/>
  <c r="R187" i="1" a="1"/>
  <c r="R187" i="1" s="1"/>
  <c r="S187" i="1" s="1"/>
  <c r="R186" i="1" a="1"/>
  <c r="R186" i="1" s="1"/>
  <c r="S186" i="1" s="1"/>
  <c r="R185" i="1"/>
  <c r="S185" i="1" s="1"/>
  <c r="R185" i="1" a="1"/>
  <c r="R184" i="1" a="1"/>
  <c r="R184" i="1" s="1"/>
  <c r="S184" i="1" s="1"/>
  <c r="R183" i="1" a="1"/>
  <c r="R183" i="1" s="1"/>
  <c r="S183" i="1" s="1"/>
  <c r="R182" i="1" a="1"/>
  <c r="R182" i="1" s="1"/>
  <c r="S182" i="1" s="1"/>
  <c r="R181" i="1" a="1"/>
  <c r="R181" i="1" s="1"/>
  <c r="S181" i="1" s="1"/>
  <c r="R180" i="1" a="1"/>
  <c r="R180" i="1" s="1"/>
  <c r="S180" i="1" s="1"/>
  <c r="R179" i="1" a="1"/>
  <c r="R179" i="1" s="1"/>
  <c r="S179" i="1" s="1"/>
  <c r="R178" i="1"/>
  <c r="S178" i="1" s="1"/>
  <c r="R178" i="1" a="1"/>
  <c r="R177" i="1" a="1"/>
  <c r="R177" i="1" s="1"/>
  <c r="S177" i="1" s="1"/>
  <c r="R176" i="1"/>
  <c r="S176" i="1" s="1"/>
  <c r="R176" i="1" a="1"/>
  <c r="R175" i="1" a="1"/>
  <c r="R175" i="1" s="1"/>
  <c r="S175" i="1" s="1"/>
  <c r="R174" i="1" a="1"/>
  <c r="R174" i="1" s="1"/>
  <c r="S174" i="1" s="1"/>
  <c r="R173" i="1" a="1"/>
  <c r="R173" i="1" s="1"/>
  <c r="S173" i="1" s="1"/>
  <c r="R172" i="1" a="1"/>
  <c r="R172" i="1" s="1"/>
  <c r="S172" i="1" s="1"/>
  <c r="R171" i="1" a="1"/>
  <c r="R171" i="1" s="1"/>
  <c r="S171" i="1" s="1"/>
  <c r="R170" i="1"/>
  <c r="S170" i="1" s="1"/>
  <c r="R170" i="1" a="1"/>
  <c r="R169" i="1"/>
  <c r="S169" i="1" s="1"/>
  <c r="R169" i="1" a="1"/>
  <c r="R168" i="1"/>
  <c r="S168" i="1" s="1"/>
  <c r="R168" i="1" a="1"/>
  <c r="R167" i="1" a="1"/>
  <c r="R167" i="1" s="1"/>
  <c r="S167" i="1" s="1"/>
  <c r="R166" i="1" a="1"/>
  <c r="R166" i="1" s="1"/>
  <c r="S166" i="1" s="1"/>
  <c r="R165" i="1"/>
  <c r="S165" i="1" s="1"/>
  <c r="R165" i="1" a="1"/>
  <c r="R164" i="1"/>
  <c r="S164" i="1" s="1"/>
  <c r="R164" i="1" a="1"/>
  <c r="R163" i="1" a="1"/>
  <c r="R163" i="1" s="1"/>
  <c r="S163" i="1" s="1"/>
  <c r="R162" i="1" a="1"/>
  <c r="R162" i="1" s="1"/>
  <c r="S162" i="1" s="1"/>
  <c r="R161" i="1" a="1"/>
  <c r="R161" i="1" s="1"/>
  <c r="S161" i="1" s="1"/>
  <c r="R160" i="1" a="1"/>
  <c r="R160" i="1" s="1"/>
  <c r="S160" i="1" s="1"/>
  <c r="R159" i="1" a="1"/>
  <c r="R159" i="1" s="1"/>
  <c r="S159" i="1" s="1"/>
  <c r="R158" i="1" a="1"/>
  <c r="R158" i="1" s="1"/>
  <c r="S158" i="1" s="1"/>
  <c r="R157" i="1" a="1"/>
  <c r="R157" i="1" s="1"/>
  <c r="S157" i="1" s="1"/>
  <c r="R156" i="1" a="1"/>
  <c r="R156" i="1" s="1"/>
  <c r="S156" i="1" s="1"/>
  <c r="R155" i="1" a="1"/>
  <c r="R155" i="1" s="1"/>
  <c r="S155" i="1" s="1"/>
  <c r="R154" i="1" a="1"/>
  <c r="R154" i="1" s="1"/>
  <c r="S154" i="1" s="1"/>
  <c r="R153" i="1" a="1"/>
  <c r="R153" i="1" s="1"/>
  <c r="S153" i="1" s="1"/>
  <c r="R152" i="1"/>
  <c r="S152" i="1" s="1"/>
  <c r="R152" i="1" a="1"/>
  <c r="R151" i="1" a="1"/>
  <c r="R151" i="1" s="1"/>
  <c r="S151" i="1" s="1"/>
  <c r="R150" i="1" a="1"/>
  <c r="R150" i="1" s="1"/>
  <c r="S150" i="1" s="1"/>
  <c r="R149" i="1" a="1"/>
  <c r="R149" i="1" s="1"/>
  <c r="S149" i="1" s="1"/>
  <c r="R148" i="1" a="1"/>
  <c r="R148" i="1" s="1"/>
  <c r="S148" i="1" s="1"/>
  <c r="R147" i="1" a="1"/>
  <c r="R147" i="1" s="1"/>
  <c r="S147" i="1" s="1"/>
  <c r="R146" i="1" a="1"/>
  <c r="R146" i="1" s="1"/>
  <c r="S146" i="1" s="1"/>
  <c r="R145" i="1" a="1"/>
  <c r="R145" i="1" s="1"/>
  <c r="S145" i="1" s="1"/>
  <c r="R144" i="1"/>
  <c r="S144" i="1" s="1"/>
  <c r="R144" i="1" a="1"/>
  <c r="R143" i="1" a="1"/>
  <c r="R143" i="1" s="1"/>
  <c r="S143" i="1" s="1"/>
  <c r="R142" i="1"/>
  <c r="S142" i="1" s="1"/>
  <c r="R142" i="1" a="1"/>
  <c r="R141" i="1" a="1"/>
  <c r="R141" i="1" s="1"/>
  <c r="S141" i="1" s="1"/>
  <c r="R140" i="1" a="1"/>
  <c r="R140" i="1" s="1"/>
  <c r="S140" i="1" s="1"/>
  <c r="R139" i="1" a="1"/>
  <c r="R139" i="1" s="1"/>
  <c r="S139" i="1" s="1"/>
  <c r="R138" i="1" a="1"/>
  <c r="R138" i="1" s="1"/>
  <c r="S138" i="1" s="1"/>
  <c r="R137" i="1" a="1"/>
  <c r="R137" i="1" s="1"/>
  <c r="S137" i="1" s="1"/>
  <c r="R136" i="1"/>
  <c r="S136" i="1" s="1"/>
  <c r="R136" i="1" a="1"/>
  <c r="R135" i="1" a="1"/>
  <c r="R135" i="1" s="1"/>
  <c r="S135" i="1" s="1"/>
  <c r="R134" i="1" a="1"/>
  <c r="R134" i="1" s="1"/>
  <c r="S134" i="1" s="1"/>
  <c r="R133" i="1" a="1"/>
  <c r="R133" i="1" s="1"/>
  <c r="S133" i="1" s="1"/>
  <c r="R132" i="1" a="1"/>
  <c r="R132" i="1" s="1"/>
  <c r="S132" i="1" s="1"/>
  <c r="R131" i="1" a="1"/>
  <c r="R131" i="1" s="1"/>
  <c r="S131" i="1" s="1"/>
  <c r="R130" i="1"/>
  <c r="S130" i="1" s="1"/>
  <c r="R130" i="1" a="1"/>
  <c r="R129" i="1" a="1"/>
  <c r="R129" i="1" s="1"/>
  <c r="S129" i="1" s="1"/>
  <c r="R128" i="1" a="1"/>
  <c r="R128" i="1" s="1"/>
  <c r="S128" i="1" s="1"/>
  <c r="R127" i="1"/>
  <c r="S127" i="1" s="1"/>
  <c r="R127" i="1" a="1"/>
  <c r="R126" i="1" a="1"/>
  <c r="R126" i="1" s="1"/>
  <c r="S126" i="1" s="1"/>
  <c r="R125" i="1" a="1"/>
  <c r="R125" i="1" s="1"/>
  <c r="S125" i="1" s="1"/>
  <c r="R124" i="1" a="1"/>
  <c r="R124" i="1" s="1"/>
  <c r="S124" i="1" s="1"/>
  <c r="R123" i="1"/>
  <c r="S123" i="1" s="1"/>
  <c r="R123" i="1" a="1"/>
  <c r="R122" i="1"/>
  <c r="S122" i="1" s="1"/>
  <c r="R122" i="1" a="1"/>
  <c r="R121" i="1"/>
  <c r="S121" i="1" s="1"/>
  <c r="R121" i="1" a="1"/>
  <c r="R120" i="1" a="1"/>
  <c r="R120" i="1" s="1"/>
  <c r="S120" i="1" s="1"/>
  <c r="R119" i="1" a="1"/>
  <c r="R119" i="1" s="1"/>
  <c r="S119" i="1" s="1"/>
  <c r="R118" i="1" a="1"/>
  <c r="R118" i="1" s="1"/>
  <c r="S118" i="1" s="1"/>
  <c r="R117" i="1" a="1"/>
  <c r="R117" i="1" s="1"/>
  <c r="S117" i="1" s="1"/>
  <c r="R116" i="1" a="1"/>
  <c r="R116" i="1" s="1"/>
  <c r="S116" i="1" s="1"/>
  <c r="R115" i="1" a="1"/>
  <c r="R115" i="1" s="1"/>
  <c r="S115" i="1" s="1"/>
  <c r="R114" i="1" a="1"/>
  <c r="R114" i="1" s="1"/>
  <c r="S114" i="1" s="1"/>
  <c r="R113" i="1" a="1"/>
  <c r="R113" i="1" s="1"/>
  <c r="S113" i="1" s="1"/>
  <c r="R112" i="1"/>
  <c r="S112" i="1" s="1"/>
  <c r="R112" i="1" a="1"/>
  <c r="R111" i="1" a="1"/>
  <c r="R111" i="1" s="1"/>
  <c r="S111" i="1" s="1"/>
  <c r="R110" i="1"/>
  <c r="S110" i="1" s="1"/>
  <c r="R110" i="1" a="1"/>
  <c r="R109" i="1"/>
  <c r="S109" i="1" s="1"/>
  <c r="R109" i="1" a="1"/>
  <c r="R108" i="1" a="1"/>
  <c r="R108" i="1" s="1"/>
  <c r="S108" i="1" s="1"/>
  <c r="S107" i="1"/>
  <c r="R107" i="1" a="1"/>
  <c r="R107" i="1" s="1"/>
  <c r="R106" i="1" a="1"/>
  <c r="R106" i="1" s="1"/>
  <c r="S106" i="1" s="1"/>
  <c r="R105" i="1" a="1"/>
  <c r="R105" i="1" s="1"/>
  <c r="S105" i="1" s="1"/>
  <c r="R104" i="1"/>
  <c r="S104" i="1" s="1"/>
  <c r="R104" i="1" a="1"/>
  <c r="R103" i="1" a="1"/>
  <c r="R103" i="1" s="1"/>
  <c r="S103" i="1" s="1"/>
  <c r="R102" i="1" a="1"/>
  <c r="R102" i="1" s="1"/>
  <c r="S102" i="1" s="1"/>
  <c r="R101" i="1"/>
  <c r="S101" i="1" s="1"/>
  <c r="R101" i="1" a="1"/>
  <c r="R100" i="1" a="1"/>
  <c r="R100" i="1" s="1"/>
  <c r="S100" i="1" s="1"/>
  <c r="R99" i="1"/>
  <c r="S99" i="1" s="1"/>
  <c r="R99" i="1" a="1"/>
  <c r="R98" i="1" a="1"/>
  <c r="R98" i="1" s="1"/>
  <c r="S98" i="1" s="1"/>
  <c r="R97" i="1" a="1"/>
  <c r="R97" i="1" s="1"/>
  <c r="S97" i="1" s="1"/>
  <c r="R96" i="1" a="1"/>
  <c r="R96" i="1" s="1"/>
  <c r="S96" i="1" s="1"/>
  <c r="S95" i="1"/>
  <c r="R95" i="1" a="1"/>
  <c r="R95" i="1" s="1"/>
  <c r="R94" i="1" a="1"/>
  <c r="R94" i="1" s="1"/>
  <c r="S94" i="1" s="1"/>
  <c r="R93" i="1" a="1"/>
  <c r="R93" i="1" s="1"/>
  <c r="S93" i="1" s="1"/>
  <c r="R92" i="1" a="1"/>
  <c r="R92" i="1" s="1"/>
  <c r="S92" i="1" s="1"/>
  <c r="R91" i="1" a="1"/>
  <c r="R91" i="1" s="1"/>
  <c r="S91" i="1" s="1"/>
  <c r="R90" i="1" a="1"/>
  <c r="R90" i="1" s="1"/>
  <c r="S90" i="1" s="1"/>
  <c r="R89" i="1" a="1"/>
  <c r="R89" i="1" s="1"/>
  <c r="S89" i="1" s="1"/>
  <c r="R88" i="1" a="1"/>
  <c r="R88" i="1" s="1"/>
  <c r="S88" i="1" s="1"/>
  <c r="R87" i="1" a="1"/>
  <c r="R87" i="1" s="1"/>
  <c r="S87" i="1" s="1"/>
  <c r="R86" i="1" a="1"/>
  <c r="R86" i="1" s="1"/>
  <c r="S86" i="1" s="1"/>
  <c r="R85" i="1" a="1"/>
  <c r="R85" i="1" s="1"/>
  <c r="S85" i="1" s="1"/>
  <c r="R84" i="1" a="1"/>
  <c r="R84" i="1" s="1"/>
  <c r="S84" i="1" s="1"/>
  <c r="R83" i="1" a="1"/>
  <c r="R83" i="1" s="1"/>
  <c r="S83" i="1" s="1"/>
  <c r="R82" i="1" a="1"/>
  <c r="R82" i="1" s="1"/>
  <c r="S82" i="1" s="1"/>
  <c r="R81" i="1" a="1"/>
  <c r="R81" i="1" s="1"/>
  <c r="S81" i="1" s="1"/>
  <c r="R80" i="1"/>
  <c r="S80" i="1" s="1"/>
  <c r="R80" i="1" a="1"/>
  <c r="R79" i="1" a="1"/>
  <c r="R79" i="1" s="1"/>
  <c r="S79" i="1" s="1"/>
  <c r="R78" i="1" a="1"/>
  <c r="R78" i="1" s="1"/>
  <c r="S78" i="1" s="1"/>
  <c r="R77" i="1" a="1"/>
  <c r="R77" i="1" s="1"/>
  <c r="S77" i="1" s="1"/>
  <c r="R76" i="1" a="1"/>
  <c r="R76" i="1" s="1"/>
  <c r="S76" i="1" s="1"/>
  <c r="R75" i="1" a="1"/>
  <c r="R75" i="1" s="1"/>
  <c r="S75" i="1" s="1"/>
  <c r="R74" i="1"/>
  <c r="S74" i="1" s="1"/>
  <c r="R74" i="1" a="1"/>
  <c r="R73" i="1" a="1"/>
  <c r="R73" i="1" s="1"/>
  <c r="S73" i="1" s="1"/>
  <c r="R72" i="1" a="1"/>
  <c r="R72" i="1" s="1"/>
  <c r="S72" i="1" s="1"/>
  <c r="R71" i="1" a="1"/>
  <c r="R71" i="1" s="1"/>
  <c r="S71" i="1" s="1"/>
  <c r="R70" i="1" a="1"/>
  <c r="R70" i="1" s="1"/>
  <c r="S70" i="1" s="1"/>
  <c r="R69" i="1"/>
  <c r="S69" i="1" s="1"/>
  <c r="R69" i="1" a="1"/>
  <c r="R68" i="1" a="1"/>
  <c r="R68" i="1" s="1"/>
  <c r="S68" i="1" s="1"/>
  <c r="R67" i="1" a="1"/>
  <c r="R67" i="1" s="1"/>
  <c r="S67" i="1" s="1"/>
  <c r="R66" i="1"/>
  <c r="S66" i="1" s="1"/>
  <c r="R66" i="1" a="1"/>
  <c r="R65" i="1" a="1"/>
  <c r="R65" i="1" s="1"/>
  <c r="S65" i="1" s="1"/>
  <c r="R64" i="1" a="1"/>
  <c r="R64" i="1" s="1"/>
  <c r="S64" i="1" s="1"/>
  <c r="R63" i="1" a="1"/>
  <c r="R63" i="1" s="1"/>
  <c r="S63" i="1" s="1"/>
  <c r="S62" i="1"/>
  <c r="R62" i="1" a="1"/>
  <c r="R62" i="1" s="1"/>
  <c r="R61" i="1" a="1"/>
  <c r="R61" i="1" s="1"/>
  <c r="S61" i="1" s="1"/>
  <c r="R60" i="1" a="1"/>
  <c r="R60" i="1" s="1"/>
  <c r="S60" i="1" s="1"/>
  <c r="R59" i="1"/>
  <c r="S59" i="1" s="1"/>
  <c r="R59" i="1" a="1"/>
  <c r="R58" i="1"/>
  <c r="S58" i="1" s="1"/>
  <c r="R58" i="1" a="1"/>
  <c r="R57" i="1" a="1"/>
  <c r="R57" i="1" s="1"/>
  <c r="S57" i="1" s="1"/>
  <c r="R56" i="1"/>
  <c r="S56" i="1" s="1"/>
  <c r="R56" i="1" a="1"/>
  <c r="R55" i="1" a="1"/>
  <c r="R55" i="1" s="1"/>
  <c r="S55" i="1" s="1"/>
  <c r="R54" i="1" a="1"/>
  <c r="R54" i="1" s="1"/>
  <c r="S54" i="1" s="1"/>
  <c r="R53" i="1" a="1"/>
  <c r="R53" i="1" s="1"/>
  <c r="S53" i="1" s="1"/>
  <c r="R52" i="1" a="1"/>
  <c r="R52" i="1" s="1"/>
  <c r="S52" i="1" s="1"/>
  <c r="R51" i="1" a="1"/>
  <c r="R51" i="1" s="1"/>
  <c r="S51" i="1" s="1"/>
  <c r="R50" i="1" a="1"/>
  <c r="R50" i="1" s="1"/>
  <c r="S50" i="1" s="1"/>
  <c r="R49" i="1" a="1"/>
  <c r="R49" i="1" s="1"/>
  <c r="S49" i="1" s="1"/>
  <c r="R48" i="1" a="1"/>
  <c r="R48" i="1" s="1"/>
  <c r="S48" i="1" s="1"/>
  <c r="R47" i="1" a="1"/>
  <c r="R47" i="1" s="1"/>
  <c r="S47" i="1" s="1"/>
  <c r="R46" i="1" a="1"/>
  <c r="R46" i="1" s="1"/>
  <c r="S46" i="1" s="1"/>
  <c r="R45" i="1" a="1"/>
  <c r="R45" i="1" s="1"/>
  <c r="S45" i="1" s="1"/>
  <c r="R44" i="1"/>
  <c r="S44" i="1" s="1"/>
  <c r="R44" i="1" a="1"/>
  <c r="R43" i="1" a="1"/>
  <c r="R43" i="1" s="1"/>
  <c r="S43" i="1" s="1"/>
  <c r="S42" i="1"/>
  <c r="R42" i="1"/>
  <c r="R42" i="1" a="1"/>
  <c r="S41" i="1"/>
  <c r="R41" i="1" a="1"/>
  <c r="R41" i="1" s="1"/>
  <c r="R40" i="1" a="1"/>
  <c r="R40" i="1" s="1"/>
  <c r="S40" i="1" s="1"/>
  <c r="R39" i="1" a="1"/>
  <c r="R39" i="1" s="1"/>
  <c r="S39" i="1" s="1"/>
  <c r="R38" i="1" a="1"/>
  <c r="R38" i="1" s="1"/>
  <c r="S38" i="1" s="1"/>
  <c r="R37" i="1" a="1"/>
  <c r="R37" i="1" s="1"/>
  <c r="S37" i="1" s="1"/>
  <c r="R36" i="1" a="1"/>
  <c r="R36" i="1" s="1"/>
  <c r="S36" i="1" s="1"/>
  <c r="R35" i="1"/>
  <c r="S35" i="1" s="1"/>
  <c r="R35" i="1" a="1"/>
  <c r="R34" i="1"/>
  <c r="S34" i="1" s="1"/>
  <c r="R34" i="1" a="1"/>
  <c r="R33" i="1" a="1"/>
  <c r="R33" i="1" s="1"/>
  <c r="S33" i="1" s="1"/>
  <c r="R32" i="1" a="1"/>
  <c r="R32" i="1" s="1"/>
  <c r="S32" i="1" s="1"/>
  <c r="R31" i="1" a="1"/>
  <c r="R31" i="1" s="1"/>
  <c r="S31" i="1" s="1"/>
  <c r="S30" i="1"/>
  <c r="R30" i="1"/>
  <c r="R30" i="1" a="1"/>
  <c r="S29" i="1"/>
  <c r="R29" i="1" a="1"/>
  <c r="R29" i="1" s="1"/>
  <c r="R28" i="1" a="1"/>
  <c r="R28" i="1" s="1"/>
  <c r="S28" i="1" s="1"/>
  <c r="R27" i="1" a="1"/>
  <c r="R27" i="1" s="1"/>
  <c r="S27" i="1" s="1"/>
  <c r="R26" i="1" a="1"/>
  <c r="R26" i="1" s="1"/>
  <c r="S26" i="1" s="1"/>
  <c r="R25" i="1" a="1"/>
  <c r="R25" i="1" s="1"/>
  <c r="S25" i="1" s="1"/>
  <c r="R24" i="1" a="1"/>
  <c r="R24" i="1" s="1"/>
  <c r="S24" i="1" s="1"/>
  <c r="R23" i="1" a="1"/>
  <c r="R23" i="1" s="1"/>
  <c r="S23" i="1" s="1"/>
  <c r="R22" i="1" a="1"/>
  <c r="R22" i="1" s="1"/>
  <c r="S22" i="1" s="1"/>
  <c r="R21" i="1" a="1"/>
  <c r="R21" i="1" s="1"/>
  <c r="S21" i="1" s="1"/>
  <c r="R20" i="1" a="1"/>
  <c r="R20" i="1" s="1"/>
  <c r="S20" i="1" s="1"/>
  <c r="R19" i="1" a="1"/>
  <c r="R19" i="1" s="1"/>
  <c r="S19" i="1" s="1"/>
  <c r="R18" i="1" a="1"/>
  <c r="R18" i="1" s="1"/>
  <c r="S18" i="1" s="1"/>
  <c r="R17" i="1" a="1"/>
  <c r="R17" i="1" s="1"/>
  <c r="S17" i="1" s="1"/>
  <c r="R16" i="1" a="1"/>
  <c r="R16" i="1" s="1"/>
  <c r="S16" i="1" s="1"/>
  <c r="R15" i="1" a="1"/>
  <c r="R15" i="1" s="1"/>
  <c r="S15" i="1" s="1"/>
  <c r="R14" i="1"/>
  <c r="S14" i="1" s="1"/>
  <c r="R14" i="1" a="1"/>
  <c r="R13" i="1"/>
  <c r="S13" i="1" s="1"/>
  <c r="R13" i="1" a="1"/>
  <c r="R12" i="1" a="1"/>
  <c r="R12" i="1" s="1"/>
  <c r="S12" i="1" s="1"/>
  <c r="R11" i="1"/>
  <c r="S11" i="1" s="1"/>
  <c r="R11" i="1" a="1"/>
  <c r="R10" i="1" a="1"/>
  <c r="R10" i="1" s="1"/>
  <c r="S10" i="1" s="1"/>
  <c r="R9" i="1"/>
  <c r="S9" i="1" s="1"/>
  <c r="R9" i="1" a="1"/>
  <c r="R8" i="1" a="1"/>
  <c r="R8" i="1" s="1"/>
  <c r="S8" i="1" s="1"/>
  <c r="R7" i="1" a="1"/>
  <c r="R7" i="1" s="1"/>
  <c r="S7" i="1" s="1"/>
  <c r="R6" i="1" a="1"/>
  <c r="R6" i="1" s="1"/>
  <c r="S6" i="1" s="1"/>
  <c r="R5" i="1" a="1"/>
  <c r="R5" i="1" s="1"/>
  <c r="S5" i="1" s="1"/>
  <c r="R4" i="1" a="1"/>
  <c r="R4" i="1" s="1"/>
  <c r="S4" i="1" s="1"/>
  <c r="R3" i="1" a="1"/>
  <c r="R3" i="1" s="1"/>
  <c r="S3" i="1" s="1"/>
  <c r="R2" i="1" a="1"/>
  <c r="R2" i="1" s="1"/>
  <c r="S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<sst xmlns="http://schemas.openxmlformats.org/spreadsheetml/2006/main" count="13636" uniqueCount="3113">
  <si>
    <t>Match</t>
  </si>
  <si>
    <t>VD-Wechsler-Neue-Nummer</t>
  </si>
  <si>
    <t>VZ-Alt</t>
  </si>
  <si>
    <t>VZ-Alt Name</t>
  </si>
  <si>
    <t>VZ-Neu (Nach Wechsel)</t>
  </si>
  <si>
    <t>VZ-Neu Name</t>
  </si>
  <si>
    <t>VD-Alt</t>
  </si>
  <si>
    <t>VD-Neu</t>
  </si>
  <si>
    <t>Vorname</t>
  </si>
  <si>
    <t>Nachname</t>
  </si>
  <si>
    <t>Email</t>
  </si>
  <si>
    <r>
      <t xml:space="preserve">BGAV AgtFunktion 
</t>
    </r>
    <r>
      <rPr>
        <sz val="11"/>
        <color theme="0"/>
        <rFont val="Aptos Narrow"/>
        <family val="2"/>
        <scheme val="minor"/>
      </rPr>
      <t>(gemäß Simulationstool)</t>
    </r>
  </si>
  <si>
    <r>
      <t xml:space="preserve">BGAV Long
</t>
    </r>
    <r>
      <rPr>
        <sz val="11"/>
        <color theme="0"/>
        <rFont val="Aptos Narrow"/>
        <family val="2"/>
        <scheme val="minor"/>
      </rPr>
      <t>(gemäß Simulationstool)</t>
    </r>
  </si>
  <si>
    <t>Titel_ALT (gemäß Auswertung Januar)</t>
  </si>
  <si>
    <r>
      <t xml:space="preserve">Titel gemäß 1:1 Überführung 
</t>
    </r>
    <r>
      <rPr>
        <sz val="11"/>
        <color theme="0"/>
        <rFont val="Aptos Narrow"/>
        <family val="2"/>
        <scheme val="minor"/>
      </rPr>
      <t>(bspw. BD = Leiter des Service Centers)</t>
    </r>
  </si>
  <si>
    <t>Potenzielle Herabstufung/Titel_Aktuell</t>
  </si>
  <si>
    <t>Titel nach Widerspruch bzw. Mail</t>
  </si>
  <si>
    <t>Neuer Titel</t>
  </si>
  <si>
    <t>Änderung Notwendig</t>
  </si>
  <si>
    <t>00010075</t>
  </si>
  <si>
    <t/>
  </si>
  <si>
    <t>0001</t>
  </si>
  <si>
    <t>Berlin</t>
  </si>
  <si>
    <t>VD Berlin</t>
  </si>
  <si>
    <t>Hans-Juergen</t>
  </si>
  <si>
    <t>Bastian</t>
  </si>
  <si>
    <t>hans-juergen.bastian@barmenia.de</t>
  </si>
  <si>
    <t>GA</t>
  </si>
  <si>
    <t>Generalagentur I (GAI)</t>
  </si>
  <si>
    <t>Generalagent/in</t>
  </si>
  <si>
    <t>Agenturleiter</t>
  </si>
  <si>
    <t>00010091</t>
  </si>
  <si>
    <t>Bernd</t>
  </si>
  <si>
    <t>Kirschke</t>
  </si>
  <si>
    <t>bernd.kirschke@barmenia.de</t>
  </si>
  <si>
    <t>Leiter/in einer Geschäftsstelle</t>
  </si>
  <si>
    <t>00010210</t>
  </si>
  <si>
    <t>Sybille</t>
  </si>
  <si>
    <t>Caesar</t>
  </si>
  <si>
    <t>sybille.caesar@barmenia.de</t>
  </si>
  <si>
    <t>GST</t>
  </si>
  <si>
    <t>Geschäftsstelle (GST)</t>
  </si>
  <si>
    <t>Hauptvertreter/in (Versicherungsfachmann/-frau)</t>
  </si>
  <si>
    <t>Repräsentantin</t>
  </si>
  <si>
    <t>00010818</t>
  </si>
  <si>
    <t>Frank-Roland</t>
  </si>
  <si>
    <t>Scheide</t>
  </si>
  <si>
    <t>frank-roland.scheide@barmenia.de</t>
  </si>
  <si>
    <t>Repräsentant</t>
  </si>
  <si>
    <t>Abstufung</t>
  </si>
  <si>
    <t>00011367</t>
  </si>
  <si>
    <t>Kerstin</t>
  </si>
  <si>
    <t>Siebert</t>
  </si>
  <si>
    <t>kerstin.siebert@barmenia.de</t>
  </si>
  <si>
    <t>Agenturleiterin</t>
  </si>
  <si>
    <t>00011456</t>
  </si>
  <si>
    <t>Roland</t>
  </si>
  <si>
    <t>Grau</t>
  </si>
  <si>
    <t>roland.grau@barmenia.de</t>
  </si>
  <si>
    <t>Leiter/in des Service Centers</t>
  </si>
  <si>
    <t>00011525</t>
  </si>
  <si>
    <t>Roman-Marcus</t>
  </si>
  <si>
    <t>Potempa</t>
  </si>
  <si>
    <t>umstellung1ev@barmenia.de</t>
  </si>
  <si>
    <t>BDI</t>
  </si>
  <si>
    <t>Bezirksdirektion I (BDI)</t>
  </si>
  <si>
    <t>Repräsentant/in</t>
  </si>
  <si>
    <t>Leiter des Service Centers</t>
  </si>
  <si>
    <t>00011648</t>
  </si>
  <si>
    <t>Agentur Kaufmann UG</t>
  </si>
  <si>
    <t>kaufmann-ug@barmenia.de</t>
  </si>
  <si>
    <t>00011718</t>
  </si>
  <si>
    <t>Jens</t>
  </si>
  <si>
    <t>Wetzel</t>
  </si>
  <si>
    <t>jens.wetzel@barmenia.de</t>
  </si>
  <si>
    <t>Kundenbetreuer/in</t>
  </si>
  <si>
    <t>00011767</t>
  </si>
  <si>
    <t>Luca</t>
  </si>
  <si>
    <t>Cappello</t>
  </si>
  <si>
    <t>luca.cappello@barmenia.de</t>
  </si>
  <si>
    <t>Versicherungsfachmann/-frau</t>
  </si>
  <si>
    <t>00011829</t>
  </si>
  <si>
    <t>Hakan</t>
  </si>
  <si>
    <t>Ohri</t>
  </si>
  <si>
    <t>hakan.ohri@barmenia.de</t>
  </si>
  <si>
    <t>00011802</t>
  </si>
  <si>
    <t>Ambos</t>
  </si>
  <si>
    <t>luca.ambos@barmenia.de</t>
  </si>
  <si>
    <t>Kundenberater</t>
  </si>
  <si>
    <t>00010141</t>
  </si>
  <si>
    <t>Uwe</t>
  </si>
  <si>
    <t>Cichoszewski</t>
  </si>
  <si>
    <t>uwe.cichoszewski@barmenia.de</t>
  </si>
  <si>
    <t>Leiter/in einer Hauptgeschäftsstelle</t>
  </si>
  <si>
    <t>00010238</t>
  </si>
  <si>
    <t>Hellner</t>
  </si>
  <si>
    <t>bernd.hellner@barmenia.de</t>
  </si>
  <si>
    <t>HGST</t>
  </si>
  <si>
    <t>Hauptgeschäftsstelle (HGST)</t>
  </si>
  <si>
    <t>Hauptagent</t>
  </si>
  <si>
    <t>00011431</t>
  </si>
  <si>
    <t>Wolfgang</t>
  </si>
  <si>
    <t>Dill</t>
  </si>
  <si>
    <t>00011556</t>
  </si>
  <si>
    <t>Andreas</t>
  </si>
  <si>
    <t>Retzlaff</t>
  </si>
  <si>
    <t>andreas.retzlaff@barmenia.de</t>
  </si>
  <si>
    <t>00011561</t>
  </si>
  <si>
    <t>Barbara</t>
  </si>
  <si>
    <t>Geffe</t>
  </si>
  <si>
    <t>barbara.geffe@barmenia.de</t>
  </si>
  <si>
    <t>Hauptagent/in</t>
  </si>
  <si>
    <t>00011777</t>
  </si>
  <si>
    <t>Anas</t>
  </si>
  <si>
    <t>Kadi</t>
  </si>
  <si>
    <t>anas.kadi@barmenia.de</t>
  </si>
  <si>
    <t>00011848</t>
  </si>
  <si>
    <t>Marlen</t>
  </si>
  <si>
    <t>Kirsch</t>
  </si>
  <si>
    <t>marlen.kirsch@barmenia.de</t>
  </si>
  <si>
    <t>Kundenberaterin</t>
  </si>
  <si>
    <t>00010422</t>
  </si>
  <si>
    <t>Christian</t>
  </si>
  <si>
    <t>Spallek</t>
  </si>
  <si>
    <t>BDII</t>
  </si>
  <si>
    <t>Bezirksdirektion II (BDII)</t>
  </si>
  <si>
    <t>Leiter einer Hauptgeschäftsstelle</t>
  </si>
  <si>
    <t>00010499</t>
  </si>
  <si>
    <t>Beatrix</t>
  </si>
  <si>
    <t>Kahler</t>
  </si>
  <si>
    <t>beatrix.kahler@barmenia.de</t>
  </si>
  <si>
    <t>00010567</t>
  </si>
  <si>
    <t>Daniel</t>
  </si>
  <si>
    <t>Föllmer</t>
  </si>
  <si>
    <t>00010820</t>
  </si>
  <si>
    <t>Christian M.</t>
  </si>
  <si>
    <t>Schuchert</t>
  </si>
  <si>
    <t>00011082</t>
  </si>
  <si>
    <t>Heike</t>
  </si>
  <si>
    <t>Braun</t>
  </si>
  <si>
    <t>heike.braun@barmenia.de</t>
  </si>
  <si>
    <t>00011421</t>
  </si>
  <si>
    <t>Sylke-Damaris</t>
  </si>
  <si>
    <t>Lehmann</t>
  </si>
  <si>
    <t>sylke-damaris.lehmann@barmenia.de</t>
  </si>
  <si>
    <t>00011588</t>
  </si>
  <si>
    <t>Pierre</t>
  </si>
  <si>
    <t>Trinko</t>
  </si>
  <si>
    <t>pierre.trinko@barmenia.de</t>
  </si>
  <si>
    <t>Generalagent</t>
  </si>
  <si>
    <t>00011632</t>
  </si>
  <si>
    <t>Klevis</t>
  </si>
  <si>
    <t>Muzho</t>
  </si>
  <si>
    <t>klevis.muzho@barmenia.de</t>
  </si>
  <si>
    <t>00011654</t>
  </si>
  <si>
    <t>Niklas</t>
  </si>
  <si>
    <t>Knittel</t>
  </si>
  <si>
    <t>niklas.knittel@barmenia.de</t>
  </si>
  <si>
    <t>00011711</t>
  </si>
  <si>
    <t>Sven</t>
  </si>
  <si>
    <t>Matuschak</t>
  </si>
  <si>
    <t>sven.matuschak@barmenia.de</t>
  </si>
  <si>
    <t>00011771</t>
  </si>
  <si>
    <t>Frank</t>
  </si>
  <si>
    <t>Frach</t>
  </si>
  <si>
    <t>frank.frach@barmenia.de</t>
  </si>
  <si>
    <t>00011789</t>
  </si>
  <si>
    <t>Chadi</t>
  </si>
  <si>
    <t>Daoud</t>
  </si>
  <si>
    <t>chadi.daoud@barmenia.de</t>
  </si>
  <si>
    <t>00011813</t>
  </si>
  <si>
    <t>Künne</t>
  </si>
  <si>
    <t>niklas.kuenne@barmenia.de</t>
  </si>
  <si>
    <t>00011820</t>
  </si>
  <si>
    <t>Samir</t>
  </si>
  <si>
    <t>Bekkour</t>
  </si>
  <si>
    <t>samir.bekkour@barmenia.de</t>
  </si>
  <si>
    <t>00011835</t>
  </si>
  <si>
    <t>Juri</t>
  </si>
  <si>
    <t>Erdrich</t>
  </si>
  <si>
    <t>juri.erdrich@barmenia.de</t>
  </si>
  <si>
    <t>00011840</t>
  </si>
  <si>
    <t>Andre</t>
  </si>
  <si>
    <t>Gruschinski</t>
  </si>
  <si>
    <t>andre.gruschinski@barmenia.de</t>
  </si>
  <si>
    <t>00011841</t>
  </si>
  <si>
    <t>Stefan</t>
  </si>
  <si>
    <t>Dronszkiewicz</t>
  </si>
  <si>
    <t>stefan.dronszkiewicz@barmenia.de</t>
  </si>
  <si>
    <t>00012531</t>
  </si>
  <si>
    <t>Sabine</t>
  </si>
  <si>
    <t>Pätz</t>
  </si>
  <si>
    <t>sabine.paetz@barmenia.de</t>
  </si>
  <si>
    <t>00012655</t>
  </si>
  <si>
    <t>Flath &amp; Sohn OHG</t>
  </si>
  <si>
    <t>00012666</t>
  </si>
  <si>
    <t>Versicherungsbüro Schmücker UG</t>
  </si>
  <si>
    <t>schmuecker-ug@barmenia.de</t>
  </si>
  <si>
    <t>00011842</t>
  </si>
  <si>
    <t>Asya</t>
  </si>
  <si>
    <t>Irgi</t>
  </si>
  <si>
    <t>asya.irgi@barmenia.de</t>
  </si>
  <si>
    <t>00011845</t>
  </si>
  <si>
    <t>Kimberley</t>
  </si>
  <si>
    <t>Hesse</t>
  </si>
  <si>
    <t>kimberley.hesse@barmenia.de</t>
  </si>
  <si>
    <t>00011847</t>
  </si>
  <si>
    <t>Sahin</t>
  </si>
  <si>
    <t>Dursun</t>
  </si>
  <si>
    <t>sahin.dursun@barmenia.de</t>
  </si>
  <si>
    <t>00261077</t>
  </si>
  <si>
    <t>0026</t>
  </si>
  <si>
    <t>Kiel</t>
  </si>
  <si>
    <t>VD Hamburg</t>
  </si>
  <si>
    <t>Franz</t>
  </si>
  <si>
    <t>Heuer</t>
  </si>
  <si>
    <t>franz.heuer@barmenia.de</t>
  </si>
  <si>
    <t>00261153</t>
  </si>
  <si>
    <t>Ruhbach</t>
  </si>
  <si>
    <t>frank.ruhbach@barmenia.de</t>
  </si>
  <si>
    <t>00261157</t>
  </si>
  <si>
    <t>Klaus</t>
  </si>
  <si>
    <t>Köpke</t>
  </si>
  <si>
    <t>klaus.koepke@barmenia.de</t>
  </si>
  <si>
    <t>00261173</t>
  </si>
  <si>
    <t>Marius</t>
  </si>
  <si>
    <t>Lockowandt</t>
  </si>
  <si>
    <t>marius.lockowandt@barmenia.de</t>
  </si>
  <si>
    <t>GAII</t>
  </si>
  <si>
    <t>Generalagentur II (GAII)</t>
  </si>
  <si>
    <t>00261189</t>
  </si>
  <si>
    <t>Jan</t>
  </si>
  <si>
    <t>Flohr</t>
  </si>
  <si>
    <t>jan.flohr@barmenia.de</t>
  </si>
  <si>
    <t>00261204</t>
  </si>
  <si>
    <t>Adam</t>
  </si>
  <si>
    <t>Kateh</t>
  </si>
  <si>
    <t>adam.kateh@barmenia.de</t>
  </si>
  <si>
    <t>Agenturleiter/in</t>
  </si>
  <si>
    <t>00261225</t>
  </si>
  <si>
    <t>Julian</t>
  </si>
  <si>
    <t>Merta</t>
  </si>
  <si>
    <t>julian.merta@barmenia.de</t>
  </si>
  <si>
    <t>00261230</t>
  </si>
  <si>
    <t>Yenin</t>
  </si>
  <si>
    <t>Kakuschke</t>
  </si>
  <si>
    <t>yenin.kakuschke@barmenia.de</t>
  </si>
  <si>
    <t>00261231</t>
  </si>
  <si>
    <t>Selena</t>
  </si>
  <si>
    <t>Höge</t>
  </si>
  <si>
    <t>selena.hoege@barmenia.de</t>
  </si>
  <si>
    <t>Hauptagentin</t>
  </si>
  <si>
    <t>00261241</t>
  </si>
  <si>
    <t>Tim</t>
  </si>
  <si>
    <t>Stanislawski</t>
  </si>
  <si>
    <t>tim.stanislawski@barmenia.de</t>
  </si>
  <si>
    <t>00261244</t>
  </si>
  <si>
    <t>Merz</t>
  </si>
  <si>
    <t>bernd.merz@barmenia.de</t>
  </si>
  <si>
    <t>00261213</t>
  </si>
  <si>
    <t>Malte</t>
  </si>
  <si>
    <t>malte.frank@barmenia.de</t>
  </si>
  <si>
    <t>00261237</t>
  </si>
  <si>
    <t>Denis</t>
  </si>
  <si>
    <t>Zymeraj</t>
  </si>
  <si>
    <t>denis.zymeraj@barmenia.de</t>
  </si>
  <si>
    <t>00261238</t>
  </si>
  <si>
    <t>Iman</t>
  </si>
  <si>
    <t>Abueva</t>
  </si>
  <si>
    <t>iman.abueva@barmenia.de</t>
  </si>
  <si>
    <t>00261251</t>
  </si>
  <si>
    <t>Tjark</t>
  </si>
  <si>
    <t>Ceglarek</t>
  </si>
  <si>
    <t>tjark.ceglarek@barmenia.de</t>
  </si>
  <si>
    <t>00261252</t>
  </si>
  <si>
    <t>Zeynep</t>
  </si>
  <si>
    <t>Bingöl</t>
  </si>
  <si>
    <t>zeynep.bingoel@barmenia.de</t>
  </si>
  <si>
    <t>00261120</t>
  </si>
  <si>
    <t>Alexandra</t>
  </si>
  <si>
    <t>Oeverdieck</t>
  </si>
  <si>
    <t>alexandra-ivonne.oeverdieck@barmenia.de</t>
  </si>
  <si>
    <t>00260493</t>
  </si>
  <si>
    <t>Dünnhaupt</t>
  </si>
  <si>
    <t>00400230</t>
  </si>
  <si>
    <t>0040</t>
  </si>
  <si>
    <t>Rostock</t>
  </si>
  <si>
    <t>Christian Siegfried</t>
  </si>
  <si>
    <t>Pingel</t>
  </si>
  <si>
    <t>christian-siegfried.pingel@barmenia.de</t>
  </si>
  <si>
    <t>00400242</t>
  </si>
  <si>
    <t>Jenny</t>
  </si>
  <si>
    <t>Ruhnke</t>
  </si>
  <si>
    <t>jenny.ruhnke@barmenia.de</t>
  </si>
  <si>
    <t>00400257</t>
  </si>
  <si>
    <t>Friedrich Leo</t>
  </si>
  <si>
    <t>Steinbrink</t>
  </si>
  <si>
    <t>friedrich-leo.steinbrink@barmenia.de</t>
  </si>
  <si>
    <t>00400260</t>
  </si>
  <si>
    <t>Wölk</t>
  </si>
  <si>
    <t>kerstin.woelk@barmenia.de</t>
  </si>
  <si>
    <t>00400274</t>
  </si>
  <si>
    <t>Robert</t>
  </si>
  <si>
    <t>Benkert</t>
  </si>
  <si>
    <t>robert.benkert@barmenia.de</t>
  </si>
  <si>
    <t>00400277</t>
  </si>
  <si>
    <t>Jähnigen</t>
  </si>
  <si>
    <t>andreas.jaehnigen@barmenia.de</t>
  </si>
  <si>
    <t>00400292</t>
  </si>
  <si>
    <t>Ronny</t>
  </si>
  <si>
    <t>Kaether</t>
  </si>
  <si>
    <t>ronny.kaether@barmenia.de</t>
  </si>
  <si>
    <t>00400299</t>
  </si>
  <si>
    <t>Jörg</t>
  </si>
  <si>
    <t>Rutkowski</t>
  </si>
  <si>
    <t>joerg.rutkowski@barmenia.de</t>
  </si>
  <si>
    <t>00420016</t>
  </si>
  <si>
    <t>0042</t>
  </si>
  <si>
    <t>Erfurt</t>
  </si>
  <si>
    <t>VD Leipzig</t>
  </si>
  <si>
    <t>Holger</t>
  </si>
  <si>
    <t>Akelbein</t>
  </si>
  <si>
    <t>holger.akelbein@barmenia.de</t>
  </si>
  <si>
    <t>00420080</t>
  </si>
  <si>
    <t>Michael</t>
  </si>
  <si>
    <t>Termeer</t>
  </si>
  <si>
    <t>michael.termeer@barmenia.de</t>
  </si>
  <si>
    <t>00420140</t>
  </si>
  <si>
    <t>Chris</t>
  </si>
  <si>
    <t>Schwalbe</t>
  </si>
  <si>
    <t>chris.schwalbe@barmenia.de</t>
  </si>
  <si>
    <t>00420147</t>
  </si>
  <si>
    <t>Madeleine</t>
  </si>
  <si>
    <t>Ernst</t>
  </si>
  <si>
    <t>Generalagentin</t>
  </si>
  <si>
    <t>00420292</t>
  </si>
  <si>
    <t>Jacqueline</t>
  </si>
  <si>
    <t>Schultz-Engelhard</t>
  </si>
  <si>
    <t>00420355</t>
  </si>
  <si>
    <t>Vanessa</t>
  </si>
  <si>
    <t>Berisha</t>
  </si>
  <si>
    <t>vanessa.berisha@barmenia.de</t>
  </si>
  <si>
    <t>00420468</t>
  </si>
  <si>
    <t>Peter</t>
  </si>
  <si>
    <t>Schmidt</t>
  </si>
  <si>
    <t>peter.schmidt@barmenia.de</t>
  </si>
  <si>
    <t>00420470</t>
  </si>
  <si>
    <t>Fischer</t>
  </si>
  <si>
    <t>00420476</t>
  </si>
  <si>
    <t>Gajane</t>
  </si>
  <si>
    <t>Maschurjan</t>
  </si>
  <si>
    <t>gajane.maschurjan@barmenia.de</t>
  </si>
  <si>
    <t>00420509</t>
  </si>
  <si>
    <t>Gerald</t>
  </si>
  <si>
    <t>Streisel</t>
  </si>
  <si>
    <t>gerald.streisel@barmenia.de</t>
  </si>
  <si>
    <t>00420520</t>
  </si>
  <si>
    <t>Yessin</t>
  </si>
  <si>
    <t>Labidi</t>
  </si>
  <si>
    <t>yessin.labidi@barmenia.de</t>
  </si>
  <si>
    <t>00420541</t>
  </si>
  <si>
    <t>Annett</t>
  </si>
  <si>
    <t>Bender</t>
  </si>
  <si>
    <t>annett.bender@barmenia.de</t>
  </si>
  <si>
    <t>00420525</t>
  </si>
  <si>
    <t>Marie</t>
  </si>
  <si>
    <t>Seeber</t>
  </si>
  <si>
    <t>marie.seeber@barmenia.de</t>
  </si>
  <si>
    <t>00420537</t>
  </si>
  <si>
    <t>Pascal</t>
  </si>
  <si>
    <t>Kupfer</t>
  </si>
  <si>
    <t>pascal.kupfer@barmenia.de</t>
  </si>
  <si>
    <t>00430457</t>
  </si>
  <si>
    <t>0043</t>
  </si>
  <si>
    <t>Leipzig</t>
  </si>
  <si>
    <t>René</t>
  </si>
  <si>
    <t>Kullmann</t>
  </si>
  <si>
    <t>rene.kullmann@barmenia.de</t>
  </si>
  <si>
    <t>00430495</t>
  </si>
  <si>
    <t>Kathleen</t>
  </si>
  <si>
    <t>Lohn</t>
  </si>
  <si>
    <t>kathleen.lohn@barmenia.de</t>
  </si>
  <si>
    <t>00430574</t>
  </si>
  <si>
    <t>Gisa</t>
  </si>
  <si>
    <t>Bauer</t>
  </si>
  <si>
    <t>gisa.bauer@barmenia.de</t>
  </si>
  <si>
    <t>00430626</t>
  </si>
  <si>
    <t>Angelika</t>
  </si>
  <si>
    <t>Schröder</t>
  </si>
  <si>
    <t>angelika.schroeder@barmenia.de</t>
  </si>
  <si>
    <t>00430697</t>
  </si>
  <si>
    <t>Juliane</t>
  </si>
  <si>
    <t>juliane.lehmann@barmenia.de</t>
  </si>
  <si>
    <t>00430577</t>
  </si>
  <si>
    <t>Jannis</t>
  </si>
  <si>
    <t>Nikolay</t>
  </si>
  <si>
    <t>jannis.nikolay@barmenia.de</t>
  </si>
  <si>
    <t>00430578</t>
  </si>
  <si>
    <t>Niclas</t>
  </si>
  <si>
    <t>Gläsel</t>
  </si>
  <si>
    <t>niclas.glaesel@barmenia.de</t>
  </si>
  <si>
    <t>00430579</t>
  </si>
  <si>
    <t>Thor Arne</t>
  </si>
  <si>
    <t>Beyer</t>
  </si>
  <si>
    <t>thor-arne.beyer@barmenia.de</t>
  </si>
  <si>
    <t>00430646</t>
  </si>
  <si>
    <t>Kevin</t>
  </si>
  <si>
    <t>Kaiser</t>
  </si>
  <si>
    <t>kevin.kaiser@barmenia.de</t>
  </si>
  <si>
    <t>00430593</t>
  </si>
  <si>
    <t>Michelle</t>
  </si>
  <si>
    <t>Thiel</t>
  </si>
  <si>
    <t>michelle.thiel@barmenia.de</t>
  </si>
  <si>
    <t>00430430</t>
  </si>
  <si>
    <t>Viktorija</t>
  </si>
  <si>
    <t>Margarit</t>
  </si>
  <si>
    <t>viktorija.margarit@barmenia.de</t>
  </si>
  <si>
    <t>00430493</t>
  </si>
  <si>
    <t>Abel</t>
  </si>
  <si>
    <t>michael.abel@barmenia.de</t>
  </si>
  <si>
    <t>00430564</t>
  </si>
  <si>
    <t>Lars</t>
  </si>
  <si>
    <t>Böhnstedt</t>
  </si>
  <si>
    <t>lars.boehnstedt@barmenia.de</t>
  </si>
  <si>
    <t>00430571</t>
  </si>
  <si>
    <t>Sebastian</t>
  </si>
  <si>
    <t>Strehler</t>
  </si>
  <si>
    <t>sebastian.strehler@barmenia.de</t>
  </si>
  <si>
    <t>00430692</t>
  </si>
  <si>
    <t>Falko</t>
  </si>
  <si>
    <t>Heinicke</t>
  </si>
  <si>
    <t>falko.heinicke@barmenia.de</t>
  </si>
  <si>
    <t>00430705</t>
  </si>
  <si>
    <t>Tobias</t>
  </si>
  <si>
    <t>Krös</t>
  </si>
  <si>
    <t>tobias.kroes@barmenia.de</t>
  </si>
  <si>
    <t>00430706</t>
  </si>
  <si>
    <t>Steffen</t>
  </si>
  <si>
    <t>Fox</t>
  </si>
  <si>
    <t>steffen.fox@barmenia.de</t>
  </si>
  <si>
    <t>00430632</t>
  </si>
  <si>
    <t>Otto</t>
  </si>
  <si>
    <t>Boldt</t>
  </si>
  <si>
    <t>otto.boldt@barmenia.de</t>
  </si>
  <si>
    <t>00430592</t>
  </si>
  <si>
    <t>Skady</t>
  </si>
  <si>
    <t>Huttunen</t>
  </si>
  <si>
    <t>skady.huttunen@barmenia.de</t>
  </si>
  <si>
    <t>00450111</t>
  </si>
  <si>
    <t>0045</t>
  </si>
  <si>
    <t>Dresden</t>
  </si>
  <si>
    <t>Piechotta</t>
  </si>
  <si>
    <t>bernd.piechotta@barmenia.de</t>
  </si>
  <si>
    <t>00450309</t>
  </si>
  <si>
    <t>Petra</t>
  </si>
  <si>
    <t>Herms</t>
  </si>
  <si>
    <t>petra.herms@barmenia.de</t>
  </si>
  <si>
    <t>00450335</t>
  </si>
  <si>
    <t>Sabrina</t>
  </si>
  <si>
    <t>Kroll</t>
  </si>
  <si>
    <t>sabrina.kroll@barmenia.de</t>
  </si>
  <si>
    <t>00450357</t>
  </si>
  <si>
    <t>Gries</t>
  </si>
  <si>
    <t>sebastian.gries@barmenia.de</t>
  </si>
  <si>
    <t>00450412</t>
  </si>
  <si>
    <t>Heinrich</t>
  </si>
  <si>
    <t>frank.heinrich@barmenia.de</t>
  </si>
  <si>
    <t>00450430</t>
  </si>
  <si>
    <t>Sten</t>
  </si>
  <si>
    <t>Voigtländer</t>
  </si>
  <si>
    <t>sten.voigtlaender@barmenia.de</t>
  </si>
  <si>
    <t>00450452</t>
  </si>
  <si>
    <t>Alexander Paul</t>
  </si>
  <si>
    <t>Fröhlich</t>
  </si>
  <si>
    <t>alexander-paul.froehlich@barmenia.de</t>
  </si>
  <si>
    <t>00450456</t>
  </si>
  <si>
    <t>Fröbel</t>
  </si>
  <si>
    <t>rene.froebel@barmenia.de</t>
  </si>
  <si>
    <t>00450463</t>
  </si>
  <si>
    <t>Enrico</t>
  </si>
  <si>
    <t>Krahl</t>
  </si>
  <si>
    <t>enrico.krahl@barmenia.de</t>
  </si>
  <si>
    <t>00450464</t>
  </si>
  <si>
    <t>Wyßuwa</t>
  </si>
  <si>
    <t>rene.wyssuwa@barmenia.de</t>
  </si>
  <si>
    <t>00450466</t>
  </si>
  <si>
    <t>Katrin</t>
  </si>
  <si>
    <t>Viehfeger</t>
  </si>
  <si>
    <t>katrin.viehfeger@barmenia.de</t>
  </si>
  <si>
    <t>00450468</t>
  </si>
  <si>
    <t>Bösemüller</t>
  </si>
  <si>
    <t>frank.boesemueller@barmenia.de</t>
  </si>
  <si>
    <t>00450470</t>
  </si>
  <si>
    <t>Pierags</t>
  </si>
  <si>
    <t>bernd.pierags@barmenia.de</t>
  </si>
  <si>
    <t>00450474</t>
  </si>
  <si>
    <t>Jürgen</t>
  </si>
  <si>
    <t>Grunert</t>
  </si>
  <si>
    <t>juergen.grunert@barmenia.de</t>
  </si>
  <si>
    <t>00450483</t>
  </si>
  <si>
    <t>Paul</t>
  </si>
  <si>
    <t>Bellmann</t>
  </si>
  <si>
    <t>paul.bellmann@barmenia.de</t>
  </si>
  <si>
    <t>00450485</t>
  </si>
  <si>
    <t>Anja</t>
  </si>
  <si>
    <t>Tilgner-Helbig</t>
  </si>
  <si>
    <t>anja.tilgner-helbig@barmenia.de</t>
  </si>
  <si>
    <t>00451073</t>
  </si>
  <si>
    <t>Wehner</t>
  </si>
  <si>
    <t>heike.wehner@barmenia.de</t>
  </si>
  <si>
    <t>Leiterin des Service Centers</t>
  </si>
  <si>
    <t>00451080</t>
  </si>
  <si>
    <t>Becker</t>
  </si>
  <si>
    <t>00451104</t>
  </si>
  <si>
    <t>Gunter</t>
  </si>
  <si>
    <t>Trenkmann</t>
  </si>
  <si>
    <t>00451124</t>
  </si>
  <si>
    <t>Joachim</t>
  </si>
  <si>
    <t>joachim.boehnstedt@barmenia.de</t>
  </si>
  <si>
    <t>00451367</t>
  </si>
  <si>
    <t>Dirk</t>
  </si>
  <si>
    <t>dirk.schmidt@barmenia.de</t>
  </si>
  <si>
    <t>00450478</t>
  </si>
  <si>
    <t>Gutekunst</t>
  </si>
  <si>
    <t>jens.gutekunst@barmenia.de</t>
  </si>
  <si>
    <t>00450481</t>
  </si>
  <si>
    <t>André</t>
  </si>
  <si>
    <t>Korn</t>
  </si>
  <si>
    <t>andre.korn@barmenia.de</t>
  </si>
  <si>
    <t>00450486</t>
  </si>
  <si>
    <t>Jana</t>
  </si>
  <si>
    <t>Jülich</t>
  </si>
  <si>
    <t>jana.juelich@barmenia.de</t>
  </si>
  <si>
    <t>00450488</t>
  </si>
  <si>
    <t>Gordon</t>
  </si>
  <si>
    <t>gordon.froebel@barmenia.de</t>
  </si>
  <si>
    <t>00450489</t>
  </si>
  <si>
    <t>Heiko</t>
  </si>
  <si>
    <t>Winzi</t>
  </si>
  <si>
    <t>heiko.winzi@barmenia.de</t>
  </si>
  <si>
    <t>00480810</t>
  </si>
  <si>
    <t>0048</t>
  </si>
  <si>
    <t>Sonder</t>
  </si>
  <si>
    <t>Stephan</t>
  </si>
  <si>
    <t>Didion</t>
  </si>
  <si>
    <t>stephan.didion@barmenia.de</t>
  </si>
  <si>
    <t>00520579</t>
  </si>
  <si>
    <t>0052</t>
  </si>
  <si>
    <t>Bremen</t>
  </si>
  <si>
    <t>VD Bremen</t>
  </si>
  <si>
    <t>Rüdiger</t>
  </si>
  <si>
    <t>Heit</t>
  </si>
  <si>
    <t>ruediger.heit@barmenia.de</t>
  </si>
  <si>
    <t>00520811</t>
  </si>
  <si>
    <t>Aydin</t>
  </si>
  <si>
    <t>Pekyalcin</t>
  </si>
  <si>
    <t>aydin.pekyalcin@barmenia.de</t>
  </si>
  <si>
    <t>00520834</t>
  </si>
  <si>
    <t>Leif</t>
  </si>
  <si>
    <t>Hamann</t>
  </si>
  <si>
    <t>leif.hamann@barmenia.de</t>
  </si>
  <si>
    <t>00520842</t>
  </si>
  <si>
    <t>Dietwulf</t>
  </si>
  <si>
    <t>Tempel</t>
  </si>
  <si>
    <t>dietwulf.tempel@barmenia.de</t>
  </si>
  <si>
    <t>00520850</t>
  </si>
  <si>
    <t>Hergen</t>
  </si>
  <si>
    <t>Cordes</t>
  </si>
  <si>
    <t>hergen.cordes@barmenia.de</t>
  </si>
  <si>
    <t>00520857</t>
  </si>
  <si>
    <t>Luitjens</t>
  </si>
  <si>
    <t>michael.luitjens@barmenia.de</t>
  </si>
  <si>
    <t>00520859</t>
  </si>
  <si>
    <t>Mirco</t>
  </si>
  <si>
    <t>Strüber</t>
  </si>
  <si>
    <t>mirco.strueber@barmenia.de</t>
  </si>
  <si>
    <t>00520928</t>
  </si>
  <si>
    <t>Dilara</t>
  </si>
  <si>
    <t>Canbaz</t>
  </si>
  <si>
    <t>dilara.canbaz@barmenia.de</t>
  </si>
  <si>
    <t>00520986</t>
  </si>
  <si>
    <t>Dennis</t>
  </si>
  <si>
    <t>Wallbaum</t>
  </si>
  <si>
    <t>dennis.wallbaum@barmenia.de</t>
  </si>
  <si>
    <t>00520925</t>
  </si>
  <si>
    <t>Markus</t>
  </si>
  <si>
    <t>Voigt</t>
  </si>
  <si>
    <t>markus.voigt@barmenia.de</t>
  </si>
  <si>
    <t>00520976</t>
  </si>
  <si>
    <t>Valbona</t>
  </si>
  <si>
    <t>Pepa</t>
  </si>
  <si>
    <t>valbona.pepa@barmenia.de</t>
  </si>
  <si>
    <t>00520978</t>
  </si>
  <si>
    <t>Sandra</t>
  </si>
  <si>
    <t>Reiß</t>
  </si>
  <si>
    <t>sandra.reiss@barmenia.de</t>
  </si>
  <si>
    <t>00520981</t>
  </si>
  <si>
    <t>Tia Marie</t>
  </si>
  <si>
    <t>Warnke</t>
  </si>
  <si>
    <t>tia-marie.warnke@barmenia.de</t>
  </si>
  <si>
    <t>00520988</t>
  </si>
  <si>
    <t>Praneeth</t>
  </si>
  <si>
    <t>praneeth.schmidt@barmenia.de</t>
  </si>
  <si>
    <t>00520994</t>
  </si>
  <si>
    <t>Kristin</t>
  </si>
  <si>
    <t>Flemer</t>
  </si>
  <si>
    <t>kristin.flemer@barmenia.de</t>
  </si>
  <si>
    <t>00521001</t>
  </si>
  <si>
    <t>Genco</t>
  </si>
  <si>
    <t>Defli</t>
  </si>
  <si>
    <t>genco.defli@barmenia.de</t>
  </si>
  <si>
    <t>00521006</t>
  </si>
  <si>
    <t>Kastenberg</t>
  </si>
  <si>
    <t>malte.kastenberg@barmenia.de</t>
  </si>
  <si>
    <t>00521008</t>
  </si>
  <si>
    <t>Chantal</t>
  </si>
  <si>
    <t>Vogt</t>
  </si>
  <si>
    <t>chantal.vogt@barmenia.de</t>
  </si>
  <si>
    <t>00521022</t>
  </si>
  <si>
    <t>Kieu Anh</t>
  </si>
  <si>
    <t>Ha</t>
  </si>
  <si>
    <t>kieu-anh.ha@barmenia.de</t>
  </si>
  <si>
    <t>00521023</t>
  </si>
  <si>
    <t>Lionel</t>
  </si>
  <si>
    <t>Fokou</t>
  </si>
  <si>
    <t>lionel.fokou@barmenia.de</t>
  </si>
  <si>
    <t>00521024</t>
  </si>
  <si>
    <t>Christine</t>
  </si>
  <si>
    <t>Backer</t>
  </si>
  <si>
    <t>christine.backer@barmenia.de</t>
  </si>
  <si>
    <t>00521026</t>
  </si>
  <si>
    <t>Salah</t>
  </si>
  <si>
    <t>Birekdar</t>
  </si>
  <si>
    <t>salah.birekdar@barmenia.de</t>
  </si>
  <si>
    <t>00520499</t>
  </si>
  <si>
    <t>Oliver</t>
  </si>
  <si>
    <t>Schulz</t>
  </si>
  <si>
    <t>oliver.schulz@barmenia.de</t>
  </si>
  <si>
    <t>00520616</t>
  </si>
  <si>
    <t>Segelke</t>
  </si>
  <si>
    <t>bernd.segelke@barmenia.de</t>
  </si>
  <si>
    <t>00520777</t>
  </si>
  <si>
    <t>Kortmann &amp; Schulmann oHG</t>
  </si>
  <si>
    <t>kortmann-schulmann-ohg@barmenia.de</t>
  </si>
  <si>
    <t>00520918</t>
  </si>
  <si>
    <t>Kaap &amp; Bozgün oHG</t>
  </si>
  <si>
    <t>kaap-bozguen-ohg@barmenia.de</t>
  </si>
  <si>
    <t>00520926</t>
  </si>
  <si>
    <t>Clouden &amp; Böden Vers. oHG</t>
  </si>
  <si>
    <t>clouden-boeden-ohg@barmenia.de</t>
  </si>
  <si>
    <t>00520972</t>
  </si>
  <si>
    <t>Qoutaiba</t>
  </si>
  <si>
    <t>Shakwa</t>
  </si>
  <si>
    <t>qoutaiba.shakwa@barmenia.de</t>
  </si>
  <si>
    <t>00520984</t>
  </si>
  <si>
    <t>Dilbirin</t>
  </si>
  <si>
    <t>Celik</t>
  </si>
  <si>
    <t>dilbirin.celik@barmenia.de</t>
  </si>
  <si>
    <t>00521002</t>
  </si>
  <si>
    <t>Manuela</t>
  </si>
  <si>
    <t>Schreiber</t>
  </si>
  <si>
    <t>manuela.schreiber@barmenia.de</t>
  </si>
  <si>
    <t>00521020</t>
  </si>
  <si>
    <t>Oguz</t>
  </si>
  <si>
    <t>Erden</t>
  </si>
  <si>
    <t>oguz.erden@barmenia.de</t>
  </si>
  <si>
    <t>00530261</t>
  </si>
  <si>
    <t>0053</t>
  </si>
  <si>
    <t>Dortmund</t>
  </si>
  <si>
    <t>VD Dortmund</t>
  </si>
  <si>
    <t>Martin</t>
  </si>
  <si>
    <t>Biermann</t>
  </si>
  <si>
    <t>martin.biermann@barmenia.de</t>
  </si>
  <si>
    <t>00530263</t>
  </si>
  <si>
    <t>Heinz-Peter</t>
  </si>
  <si>
    <t>Bartlewski</t>
  </si>
  <si>
    <t>heinz-peter.bartlewski@barmenia.de</t>
  </si>
  <si>
    <t>00530573</t>
  </si>
  <si>
    <t>Yildiray</t>
  </si>
  <si>
    <t>Yildirim</t>
  </si>
  <si>
    <t>yildiray.yildirim@barmenia.de</t>
  </si>
  <si>
    <t>00530591</t>
  </si>
  <si>
    <t>Till</t>
  </si>
  <si>
    <t>Jaworek</t>
  </si>
  <si>
    <t>till.jaworek@barmenia.de</t>
  </si>
  <si>
    <t>00530593</t>
  </si>
  <si>
    <t>Jessica</t>
  </si>
  <si>
    <t>Effinier</t>
  </si>
  <si>
    <t>jessica.effinier@barmenia.de</t>
  </si>
  <si>
    <t>00530599</t>
  </si>
  <si>
    <t>Adel</t>
  </si>
  <si>
    <t>Dugopoljac</t>
  </si>
  <si>
    <t>adel.dugopoljac@barmenia.de</t>
  </si>
  <si>
    <t>00530601</t>
  </si>
  <si>
    <t>Marcel</t>
  </si>
  <si>
    <t>Oschatz</t>
  </si>
  <si>
    <t>marcel.oschatz@barmenia.de</t>
  </si>
  <si>
    <t>00530612</t>
  </si>
  <si>
    <t>Kociubinski</t>
  </si>
  <si>
    <t>sandra.kociubinski@barmenia.de</t>
  </si>
  <si>
    <t>00530029</t>
  </si>
  <si>
    <t>Kornelia</t>
  </si>
  <si>
    <t>Kraechter</t>
  </si>
  <si>
    <t>kornelia.kraechter@barmenia.de</t>
  </si>
  <si>
    <t>00530034</t>
  </si>
  <si>
    <t>Doris</t>
  </si>
  <si>
    <t>Hoffmann</t>
  </si>
  <si>
    <t>doris.hoffmann@barmenia.de</t>
  </si>
  <si>
    <t>00530243</t>
  </si>
  <si>
    <t>Grüne</t>
  </si>
  <si>
    <t>manuela.gruene@barmenia.de</t>
  </si>
  <si>
    <t>00530247</t>
  </si>
  <si>
    <t>Sascha</t>
  </si>
  <si>
    <t>Rademacher</t>
  </si>
  <si>
    <t>00530295</t>
  </si>
  <si>
    <t>Svenja</t>
  </si>
  <si>
    <t>Sinen</t>
  </si>
  <si>
    <t>00530564</t>
  </si>
  <si>
    <t>Ilhan</t>
  </si>
  <si>
    <t>Kilinc</t>
  </si>
  <si>
    <t>ilhan.kilinc@barmenia.de</t>
  </si>
  <si>
    <t>00530587</t>
  </si>
  <si>
    <t>Melanie</t>
  </si>
  <si>
    <t>Heide</t>
  </si>
  <si>
    <t>melanie.heide@barmenia.de</t>
  </si>
  <si>
    <t>00530219</t>
  </si>
  <si>
    <t>Korfhage</t>
  </si>
  <si>
    <t>ruediger.korfhage@barmenia.de</t>
  </si>
  <si>
    <t>00530271</t>
  </si>
  <si>
    <t>Adem</t>
  </si>
  <si>
    <t>Kama</t>
  </si>
  <si>
    <t>adem.kama@barmenia.de</t>
  </si>
  <si>
    <t>00530594</t>
  </si>
  <si>
    <t>Lutz</t>
  </si>
  <si>
    <t>lutz.hesse@barmenia.de</t>
  </si>
  <si>
    <t>00530609</t>
  </si>
  <si>
    <t>Ingold</t>
  </si>
  <si>
    <t>marcel.ingold@barmenia.de</t>
  </si>
  <si>
    <t>00530202</t>
  </si>
  <si>
    <t>00640801</t>
  </si>
  <si>
    <t>0064</t>
  </si>
  <si>
    <t>Wuppertal</t>
  </si>
  <si>
    <t>VD Wuppertal</t>
  </si>
  <si>
    <t>Ariel</t>
  </si>
  <si>
    <t>Sielski</t>
  </si>
  <si>
    <t>ariel.sielski@barmenia.de</t>
  </si>
  <si>
    <t>00530228</t>
  </si>
  <si>
    <t>00640228</t>
  </si>
  <si>
    <t>Jan Philip</t>
  </si>
  <si>
    <t>Soltek</t>
  </si>
  <si>
    <t>jan-philip.soltek@barmenia.de</t>
  </si>
  <si>
    <t>00530260</t>
  </si>
  <si>
    <t>00640260</t>
  </si>
  <si>
    <t>Martinez</t>
  </si>
  <si>
    <t>sascha.martinez@barmenia.de</t>
  </si>
  <si>
    <t>00530280</t>
  </si>
  <si>
    <t>00640280</t>
  </si>
  <si>
    <t>Fricker</t>
  </si>
  <si>
    <t>peter.fricker@barmenia.de</t>
  </si>
  <si>
    <t>00530289</t>
  </si>
  <si>
    <t>00640800</t>
  </si>
  <si>
    <t>Benjamin</t>
  </si>
  <si>
    <t>Friedrich</t>
  </si>
  <si>
    <t>benjamin.friedrich@barmenia.de</t>
  </si>
  <si>
    <t>00530297</t>
  </si>
  <si>
    <t>00640297</t>
  </si>
  <si>
    <t>Schöler</t>
  </si>
  <si>
    <t>markus.schoeler@barmenia.de</t>
  </si>
  <si>
    <t>00530575</t>
  </si>
  <si>
    <t>00640575</t>
  </si>
  <si>
    <t>Felix</t>
  </si>
  <si>
    <t>Buttgereit</t>
  </si>
  <si>
    <t>felix.buttgereit@barmenia.de</t>
  </si>
  <si>
    <t>00530584</t>
  </si>
  <si>
    <t>00632319</t>
  </si>
  <si>
    <t>0063</t>
  </si>
  <si>
    <t>Münster</t>
  </si>
  <si>
    <t>VD Münster</t>
  </si>
  <si>
    <t>Barwig</t>
  </si>
  <si>
    <t>juergen.barwig@barmenia.de</t>
  </si>
  <si>
    <t>00530590</t>
  </si>
  <si>
    <t>00640590</t>
  </si>
  <si>
    <t>Voß</t>
  </si>
  <si>
    <t>tobias.voss@barmenia.de</t>
  </si>
  <si>
    <t>00530606</t>
  </si>
  <si>
    <t>00640802</t>
  </si>
  <si>
    <t>Runkel</t>
  </si>
  <si>
    <t>sandra.runkel@barmenia.de</t>
  </si>
  <si>
    <t>00530607</t>
  </si>
  <si>
    <t>00640607</t>
  </si>
  <si>
    <t>Nebojsa-Neso</t>
  </si>
  <si>
    <t>Mandic</t>
  </si>
  <si>
    <t>nebojsa-neso.mandic@barmenia.de</t>
  </si>
  <si>
    <t>00540220</t>
  </si>
  <si>
    <t>0054</t>
  </si>
  <si>
    <t>Düsseldorf</t>
  </si>
  <si>
    <t>VD Düsseldorf</t>
  </si>
  <si>
    <t>Florian</t>
  </si>
  <si>
    <t>Steinke</t>
  </si>
  <si>
    <t>florian.steinke@barmenia.de</t>
  </si>
  <si>
    <t>00540222</t>
  </si>
  <si>
    <t>Carsten</t>
  </si>
  <si>
    <t>Lasczka</t>
  </si>
  <si>
    <t>carsten.lasczka@barmenia.de</t>
  </si>
  <si>
    <t>00540283</t>
  </si>
  <si>
    <t>Werner</t>
  </si>
  <si>
    <t>Benzinger</t>
  </si>
  <si>
    <t>werner.benzinger@barmenia.de</t>
  </si>
  <si>
    <t>00540887</t>
  </si>
  <si>
    <t>Detlef</t>
  </si>
  <si>
    <t>Elstner</t>
  </si>
  <si>
    <t>detlef.elstner@barmenia.de</t>
  </si>
  <si>
    <t>00540897</t>
  </si>
  <si>
    <t>Irina</t>
  </si>
  <si>
    <t>Plaga</t>
  </si>
  <si>
    <t>irina.plaga@barmenia.de</t>
  </si>
  <si>
    <t>00541016</t>
  </si>
  <si>
    <t>Meves</t>
  </si>
  <si>
    <t>frank.meves@barmenia.de</t>
  </si>
  <si>
    <t>00541017</t>
  </si>
  <si>
    <t>Krebber</t>
  </si>
  <si>
    <t>joerg.krebber@barmenia.de</t>
  </si>
  <si>
    <t>00541077</t>
  </si>
  <si>
    <t>Burak Ceyhun</t>
  </si>
  <si>
    <t>Sertcelik</t>
  </si>
  <si>
    <t>burak-ceyhun.sertcelik@barmenia.de</t>
  </si>
  <si>
    <t>00541093</t>
  </si>
  <si>
    <t>Schaffeld</t>
  </si>
  <si>
    <t>carsten.schaffeld@barmenia.de</t>
  </si>
  <si>
    <t>00541138</t>
  </si>
  <si>
    <t>Siegfried</t>
  </si>
  <si>
    <t>Bialdyga</t>
  </si>
  <si>
    <t>siegfried.bialdyga@barmenia.de</t>
  </si>
  <si>
    <t>00541140</t>
  </si>
  <si>
    <t>Maximilian</t>
  </si>
  <si>
    <t>maximilian.steinke@barmenia.de</t>
  </si>
  <si>
    <t>00541163</t>
  </si>
  <si>
    <t>Lothar</t>
  </si>
  <si>
    <t>Niederstein</t>
  </si>
  <si>
    <t>lothar.niederstein@barmenia.de</t>
  </si>
  <si>
    <t>00541170</t>
  </si>
  <si>
    <t>Carolina-Eva</t>
  </si>
  <si>
    <t>carolina-eva.niederstein@barmenia.de</t>
  </si>
  <si>
    <t>00541189</t>
  </si>
  <si>
    <t>Miguel</t>
  </si>
  <si>
    <t>Groth</t>
  </si>
  <si>
    <t>miguel.groth@barmenia.de</t>
  </si>
  <si>
    <t>00541230</t>
  </si>
  <si>
    <t>Amal</t>
  </si>
  <si>
    <t>Emanetoglu</t>
  </si>
  <si>
    <t>amal.emanetoglu@barmenia.de</t>
  </si>
  <si>
    <t>00541243</t>
  </si>
  <si>
    <t>Den Besten</t>
  </si>
  <si>
    <t>jens.den-besten@barmenia.de</t>
  </si>
  <si>
    <t>00540199</t>
  </si>
  <si>
    <t>Karl-Dieter</t>
  </si>
  <si>
    <t>Kramer</t>
  </si>
  <si>
    <t>karl-dieter.kramer@barmenia.de</t>
  </si>
  <si>
    <t>00540241</t>
  </si>
  <si>
    <t>Joanna</t>
  </si>
  <si>
    <t>Galica-Galilea</t>
  </si>
  <si>
    <t>00540888</t>
  </si>
  <si>
    <t>Olaf</t>
  </si>
  <si>
    <t>Kathe</t>
  </si>
  <si>
    <t>olaf.kathe@barmenia.de</t>
  </si>
  <si>
    <t>00541015</t>
  </si>
  <si>
    <t>Biesel</t>
  </si>
  <si>
    <t>werner.biesel@barmenia.de</t>
  </si>
  <si>
    <t>00541117</t>
  </si>
  <si>
    <t>daniel.bialdyga@barmenia.de</t>
  </si>
  <si>
    <t>00541177</t>
  </si>
  <si>
    <t>Moll</t>
  </si>
  <si>
    <t>michael.moll@barmenia.de</t>
  </si>
  <si>
    <t>00541242</t>
  </si>
  <si>
    <t>Klaudia Patrycja</t>
  </si>
  <si>
    <t>klaudia-patrycja.moll@barmenia.de</t>
  </si>
  <si>
    <t>00540277</t>
  </si>
  <si>
    <t>Manfred</t>
  </si>
  <si>
    <t>Klausner</t>
  </si>
  <si>
    <t>manfred.klausner@barmenia.de</t>
  </si>
  <si>
    <t>00540855</t>
  </si>
  <si>
    <t>Schaumkessel</t>
  </si>
  <si>
    <t>oliver.schaumkessel@barmenia.de</t>
  </si>
  <si>
    <t>00541013</t>
  </si>
  <si>
    <t>Ute</t>
  </si>
  <si>
    <t>Heuser</t>
  </si>
  <si>
    <t>ute.heuser@barmenia.de</t>
  </si>
  <si>
    <t>00541019</t>
  </si>
  <si>
    <t>Boos</t>
  </si>
  <si>
    <t>frank.boos@barmenia.de</t>
  </si>
  <si>
    <t>00541035</t>
  </si>
  <si>
    <t>heike.schaffeld@barmenia.de</t>
  </si>
  <si>
    <t>Leiterin einer Hauptgeschäftsstelle</t>
  </si>
  <si>
    <t>00541234</t>
  </si>
  <si>
    <t>Mohamed</t>
  </si>
  <si>
    <t>El Hihi</t>
  </si>
  <si>
    <t>mohamed.el-hihi@barmenia.de</t>
  </si>
  <si>
    <t>00541236</t>
  </si>
  <si>
    <t>Senden</t>
  </si>
  <si>
    <t>daniel.senden@barmenia.de</t>
  </si>
  <si>
    <t>00541240</t>
  </si>
  <si>
    <t>Evren</t>
  </si>
  <si>
    <t>Keskin</t>
  </si>
  <si>
    <t>evren.keskin@barmenia.de</t>
  </si>
  <si>
    <t>00541021</t>
  </si>
  <si>
    <t>Torsten</t>
  </si>
  <si>
    <t>Schulze</t>
  </si>
  <si>
    <t>torsten.schulze@barmenia.de</t>
  </si>
  <si>
    <t>00541245</t>
  </si>
  <si>
    <t>Dario</t>
  </si>
  <si>
    <t>Lovric</t>
  </si>
  <si>
    <t>dario.lovric@barmenia.de</t>
  </si>
  <si>
    <t>00541018</t>
  </si>
  <si>
    <t>00530614</t>
  </si>
  <si>
    <t>Josef Peter</t>
  </si>
  <si>
    <t>Bühner</t>
  </si>
  <si>
    <t>josef-peter.buehner@barmenia.de</t>
  </si>
  <si>
    <t>00550086</t>
  </si>
  <si>
    <t>0055</t>
  </si>
  <si>
    <t>Ruhr</t>
  </si>
  <si>
    <t>Jasmin Fränzi</t>
  </si>
  <si>
    <t>Burghardt</t>
  </si>
  <si>
    <t>00550299</t>
  </si>
  <si>
    <t>Matthias</t>
  </si>
  <si>
    <t>Duic</t>
  </si>
  <si>
    <t>matthias.duic@barmenia.de</t>
  </si>
  <si>
    <t>00550166</t>
  </si>
  <si>
    <t>Nicole</t>
  </si>
  <si>
    <t>Stoschek</t>
  </si>
  <si>
    <t>nicole.stoschek@barmenia.de</t>
  </si>
  <si>
    <t>00550263</t>
  </si>
  <si>
    <t>Rene</t>
  </si>
  <si>
    <t>Recknagel</t>
  </si>
  <si>
    <t>rene.recknagel@barmenia.de</t>
  </si>
  <si>
    <t>00550133</t>
  </si>
  <si>
    <t>Anke</t>
  </si>
  <si>
    <t>Hardam</t>
  </si>
  <si>
    <t>anke.hardam@barmenia.de</t>
  </si>
  <si>
    <t>00550142</t>
  </si>
  <si>
    <t>Schmidtke</t>
  </si>
  <si>
    <t>andreas.schmidtke@barmenia.de</t>
  </si>
  <si>
    <t>00550290</t>
  </si>
  <si>
    <t>Baran</t>
  </si>
  <si>
    <t>Köseoglu</t>
  </si>
  <si>
    <t>baran.koeseoglu@barmenia.de</t>
  </si>
  <si>
    <t>00550322</t>
  </si>
  <si>
    <t>Dea</t>
  </si>
  <si>
    <t>Tofik</t>
  </si>
  <si>
    <t>dea.tofik@barmenia.de</t>
  </si>
  <si>
    <t>00550326</t>
  </si>
  <si>
    <t>Branko</t>
  </si>
  <si>
    <t>branko.duic@barmenia.de</t>
  </si>
  <si>
    <t>00550162</t>
  </si>
  <si>
    <t>00530615</t>
  </si>
  <si>
    <t>christian-1.becker@barmenia.de</t>
  </si>
  <si>
    <t>00550189</t>
  </si>
  <si>
    <t>00530628</t>
  </si>
  <si>
    <t>Udo</t>
  </si>
  <si>
    <t>Günther</t>
  </si>
  <si>
    <t>udo.guenther@barmenia.de</t>
  </si>
  <si>
    <t>00550207</t>
  </si>
  <si>
    <t>00530630</t>
  </si>
  <si>
    <t>Reimund</t>
  </si>
  <si>
    <t>Weishaupt</t>
  </si>
  <si>
    <t>reimund.weishaupt@barmenia.de</t>
  </si>
  <si>
    <t>00550216</t>
  </si>
  <si>
    <t>00530624</t>
  </si>
  <si>
    <t>Niestradt-Budde &amp; Budde oHG</t>
  </si>
  <si>
    <t>niebu-ohg@barmenia.de</t>
  </si>
  <si>
    <t>00550262</t>
  </si>
  <si>
    <t>00541248</t>
  </si>
  <si>
    <t>Andreas Driefmeier &amp; Torsten Roth GbR</t>
  </si>
  <si>
    <t>driefmeier-roth-gbr@barmenia.de</t>
  </si>
  <si>
    <t>00550313</t>
  </si>
  <si>
    <t>00541251</t>
  </si>
  <si>
    <t>Thomas</t>
  </si>
  <si>
    <t>dirk.thomas@barmenia.de</t>
  </si>
  <si>
    <t>00550682</t>
  </si>
  <si>
    <t>00530626</t>
  </si>
  <si>
    <t>Schlotzhauer</t>
  </si>
  <si>
    <t>ute.schlotzhauer@barmenia.de</t>
  </si>
  <si>
    <t>00550770</t>
  </si>
  <si>
    <t>00530623</t>
  </si>
  <si>
    <t>Franke</t>
  </si>
  <si>
    <t>andre.franke@barmenia.de</t>
  </si>
  <si>
    <t>00550935</t>
  </si>
  <si>
    <t>00530621</t>
  </si>
  <si>
    <t>Dominik</t>
  </si>
  <si>
    <t>Deller</t>
  </si>
  <si>
    <t>dominik.deller@barmenia.de</t>
  </si>
  <si>
    <t>00550161</t>
  </si>
  <si>
    <t>00530620</t>
  </si>
  <si>
    <t>Patrick</t>
  </si>
  <si>
    <t>Klaßmann</t>
  </si>
  <si>
    <t>patrick.klassmann@barmenia.de</t>
  </si>
  <si>
    <t>00550179</t>
  </si>
  <si>
    <t>00530627</t>
  </si>
  <si>
    <t>Laurent</t>
  </si>
  <si>
    <t>Klingenberger</t>
  </si>
  <si>
    <t>laurent.klingenberger@barmenia.de</t>
  </si>
  <si>
    <t>00550304</t>
  </si>
  <si>
    <t>00530616</t>
  </si>
  <si>
    <t>Scherreiks &amp; Vogel OHG</t>
  </si>
  <si>
    <t>schevo-ohg@barmenia.de</t>
  </si>
  <si>
    <t>00550591</t>
  </si>
  <si>
    <t>00530622</t>
  </si>
  <si>
    <t>Lubbers</t>
  </si>
  <si>
    <t>00550311</t>
  </si>
  <si>
    <t>00530632</t>
  </si>
  <si>
    <t>Ludwig</t>
  </si>
  <si>
    <t>Franta</t>
  </si>
  <si>
    <t>ludwig.franta@barmenia.de</t>
  </si>
  <si>
    <t>00550321</t>
  </si>
  <si>
    <t>00530629</t>
  </si>
  <si>
    <t>Bryan</t>
  </si>
  <si>
    <t>Ojiako</t>
  </si>
  <si>
    <t>bryan.ojiako@barmenia.de</t>
  </si>
  <si>
    <t>00550323</t>
  </si>
  <si>
    <t>00530634</t>
  </si>
  <si>
    <t>Wiebke</t>
  </si>
  <si>
    <t>Buss</t>
  </si>
  <si>
    <t>wiebke.buss@barmenia.de</t>
  </si>
  <si>
    <t>00550325</t>
  </si>
  <si>
    <t>00530635</t>
  </si>
  <si>
    <t>Artur</t>
  </si>
  <si>
    <t>Kirinjak</t>
  </si>
  <si>
    <t>artur.kirinjak@barmenia.de</t>
  </si>
  <si>
    <t>00570637</t>
  </si>
  <si>
    <t>0057</t>
  </si>
  <si>
    <t>Hamburg</t>
  </si>
  <si>
    <t>Agentur Rokitta oHG</t>
  </si>
  <si>
    <t>rokitta-ohg@barmenia.de</t>
  </si>
  <si>
    <t>00570783</t>
  </si>
  <si>
    <t>Schlüter</t>
  </si>
  <si>
    <t>stefan.schlueter@barmenia.de</t>
  </si>
  <si>
    <t>00570931</t>
  </si>
  <si>
    <t>Ilmi</t>
  </si>
  <si>
    <t>Saliov</t>
  </si>
  <si>
    <t>ilmi.saliov@barmenia.de</t>
  </si>
  <si>
    <t>00571077</t>
  </si>
  <si>
    <t>Hartwig</t>
  </si>
  <si>
    <t>Benzler</t>
  </si>
  <si>
    <t>hartwig.benzler@barmenia.de</t>
  </si>
  <si>
    <t>00571084</t>
  </si>
  <si>
    <t>Waldemar</t>
  </si>
  <si>
    <t>Rudolf</t>
  </si>
  <si>
    <t>waldemar.rudolf@barmenia.de</t>
  </si>
  <si>
    <t>00571103</t>
  </si>
  <si>
    <t>Schöneberg Versicherungskontor OHG</t>
  </si>
  <si>
    <t>schoeneberg-ohg@barmenia.de</t>
  </si>
  <si>
    <t>00571108</t>
  </si>
  <si>
    <t>David</t>
  </si>
  <si>
    <t>Goldnik</t>
  </si>
  <si>
    <t>david.goldnik@barmenia.de</t>
  </si>
  <si>
    <t>00571115</t>
  </si>
  <si>
    <t>Kai</t>
  </si>
  <si>
    <t>Lemke</t>
  </si>
  <si>
    <t>kai.lemke@barmenia.de</t>
  </si>
  <si>
    <t>00571138</t>
  </si>
  <si>
    <t>Mogdeh</t>
  </si>
  <si>
    <t>Rahimi</t>
  </si>
  <si>
    <t>mogdeh.rahimi@barmenia.de</t>
  </si>
  <si>
    <t>00571117</t>
  </si>
  <si>
    <t>Senad</t>
  </si>
  <si>
    <t>Redzepi-Saliov</t>
  </si>
  <si>
    <t>senad.redzepi-saliov@barmenia.de</t>
  </si>
  <si>
    <t>00571120</t>
  </si>
  <si>
    <t>matthias.paul@barmenia.de</t>
  </si>
  <si>
    <t>00571127</t>
  </si>
  <si>
    <t>Jennifer</t>
  </si>
  <si>
    <t>Pump</t>
  </si>
  <si>
    <t>jennifer.pump@barmenia.de</t>
  </si>
  <si>
    <t>00571152</t>
  </si>
  <si>
    <t>Ferzend</t>
  </si>
  <si>
    <t>Hussein</t>
  </si>
  <si>
    <t>ferzend.hussein@barmenia.de</t>
  </si>
  <si>
    <t>00571156</t>
  </si>
  <si>
    <t>Marian</t>
  </si>
  <si>
    <t>Valdivia</t>
  </si>
  <si>
    <t>marian.valdivia@barmenia.de</t>
  </si>
  <si>
    <t>00571157</t>
  </si>
  <si>
    <t>Jawad</t>
  </si>
  <si>
    <t>Zalehi</t>
  </si>
  <si>
    <t>jawad.zalehi@barmenia.de</t>
  </si>
  <si>
    <t>00571149</t>
  </si>
  <si>
    <t>Yelitze</t>
  </si>
  <si>
    <t>Peña Friedrich</t>
  </si>
  <si>
    <t>yelitze.pena-friedrich@barmenia.de</t>
  </si>
  <si>
    <t>00571151</t>
  </si>
  <si>
    <t>Luis</t>
  </si>
  <si>
    <t>Palomino</t>
  </si>
  <si>
    <t>luis.palomino@barmenia.de</t>
  </si>
  <si>
    <t>00571159</t>
  </si>
  <si>
    <t>Elibeth</t>
  </si>
  <si>
    <t>Gonzalez</t>
  </si>
  <si>
    <t>elibeth.gonzalez@barmenia.de</t>
  </si>
  <si>
    <t>00571163</t>
  </si>
  <si>
    <t>Mario</t>
  </si>
  <si>
    <t>Tejada</t>
  </si>
  <si>
    <t>mario.tejada@barmenia.de</t>
  </si>
  <si>
    <t>00571164</t>
  </si>
  <si>
    <t>Mihaela</t>
  </si>
  <si>
    <t>Petrache</t>
  </si>
  <si>
    <t>mihaela.petrache@barmenia.de</t>
  </si>
  <si>
    <t>00571167</t>
  </si>
  <si>
    <t>Katharina</t>
  </si>
  <si>
    <t>Viegas Duarte</t>
  </si>
  <si>
    <t>katharina.viegas-duarte@barmenia.de</t>
  </si>
  <si>
    <t>00571168</t>
  </si>
  <si>
    <t>José-Leandro</t>
  </si>
  <si>
    <t>Leuteritz</t>
  </si>
  <si>
    <t>jose-leandro.leuteritz@barmenia.de</t>
  </si>
  <si>
    <t>00570453</t>
  </si>
  <si>
    <t>Wallat</t>
  </si>
  <si>
    <t>oliver.wallat@barmenia.de</t>
  </si>
  <si>
    <t>00570929</t>
  </si>
  <si>
    <t>Timo</t>
  </si>
  <si>
    <t>Haase</t>
  </si>
  <si>
    <t>timo.haase@barmenia.de</t>
  </si>
  <si>
    <t>00571072</t>
  </si>
  <si>
    <t>Marvin</t>
  </si>
  <si>
    <t>Giesecke</t>
  </si>
  <si>
    <t>marvin.giesecke@barmenia.de</t>
  </si>
  <si>
    <t>00571109</t>
  </si>
  <si>
    <t>Danny</t>
  </si>
  <si>
    <t>Gaafke</t>
  </si>
  <si>
    <t>danny.gaafke@barmenia.de</t>
  </si>
  <si>
    <t>00571146</t>
  </si>
  <si>
    <t>Assil</t>
  </si>
  <si>
    <t>amal.assil@barmenia.de</t>
  </si>
  <si>
    <t>00571150</t>
  </si>
  <si>
    <t>Alexander</t>
  </si>
  <si>
    <t>Benar</t>
  </si>
  <si>
    <t>alexander.benar@barmenia.de</t>
  </si>
  <si>
    <t>00571143</t>
  </si>
  <si>
    <t>Noah</t>
  </si>
  <si>
    <t>El Ammar</t>
  </si>
  <si>
    <t>noah.el-ammar@barmenia.de</t>
  </si>
  <si>
    <t>00571165</t>
  </si>
  <si>
    <t>Nico</t>
  </si>
  <si>
    <t>Thonfeld</t>
  </si>
  <si>
    <t>nico.thonfeld@barmenia.de</t>
  </si>
  <si>
    <t>00570825</t>
  </si>
  <si>
    <t>Buchauer</t>
  </si>
  <si>
    <t>manuela.buchauer@barmenia.de</t>
  </si>
  <si>
    <t>00571142</t>
  </si>
  <si>
    <t>Jans</t>
  </si>
  <si>
    <t>benjamin.jans@barmenia.de</t>
  </si>
  <si>
    <t>00571145</t>
  </si>
  <si>
    <t>Elvis</t>
  </si>
  <si>
    <t>Campuzano</t>
  </si>
  <si>
    <t>elvis-abdul.campuzano-vasquez@barmenia.de</t>
  </si>
  <si>
    <t>Geschäftsstellenleiter/in</t>
  </si>
  <si>
    <t>00580773</t>
  </si>
  <si>
    <t>0058</t>
  </si>
  <si>
    <t>Hannover</t>
  </si>
  <si>
    <t>VD Hannover</t>
  </si>
  <si>
    <t>Mundt</t>
  </si>
  <si>
    <t>olaf.mundt@barmenia.de</t>
  </si>
  <si>
    <t>00580793</t>
  </si>
  <si>
    <t>Bernhard</t>
  </si>
  <si>
    <t>Drauschke</t>
  </si>
  <si>
    <t>00580839</t>
  </si>
  <si>
    <t>Erika</t>
  </si>
  <si>
    <t>Wedekind</t>
  </si>
  <si>
    <t>erika.wedekind@barmenia.de</t>
  </si>
  <si>
    <t>00580855</t>
  </si>
  <si>
    <t>Burkhardt</t>
  </si>
  <si>
    <t>andreas.burkhardt@barmenia.de</t>
  </si>
  <si>
    <t>00580891</t>
  </si>
  <si>
    <t>Wiesner</t>
  </si>
  <si>
    <t>frank.wiesner@barmenia.de</t>
  </si>
  <si>
    <t>00580920</t>
  </si>
  <si>
    <t>Ronald</t>
  </si>
  <si>
    <t>Villmann</t>
  </si>
  <si>
    <t>ronald.villmann@barmenia.de</t>
  </si>
  <si>
    <t>00581035</t>
  </si>
  <si>
    <t>Björn</t>
  </si>
  <si>
    <t>Lindemann</t>
  </si>
  <si>
    <t>bjoern.lindemann@barmenia.de</t>
  </si>
  <si>
    <t>00580551</t>
  </si>
  <si>
    <t>Bartsch</t>
  </si>
  <si>
    <t>sybille.bartsch@barmenia.de</t>
  </si>
  <si>
    <t>00580657</t>
  </si>
  <si>
    <t>Hinze</t>
  </si>
  <si>
    <t>martin.hinze@barmenia.de</t>
  </si>
  <si>
    <t>00580709</t>
  </si>
  <si>
    <t>Heinemann</t>
  </si>
  <si>
    <t>andreas.heinemann@barmenia.de</t>
  </si>
  <si>
    <t>00580854</t>
  </si>
  <si>
    <t>Karsten</t>
  </si>
  <si>
    <t>Treutler</t>
  </si>
  <si>
    <t>karsten.treutler@barmenia.de</t>
  </si>
  <si>
    <t>00580865</t>
  </si>
  <si>
    <t>Rafael</t>
  </si>
  <si>
    <t>Dubiel</t>
  </si>
  <si>
    <t>00580887</t>
  </si>
  <si>
    <t>Vössing</t>
  </si>
  <si>
    <t>bernhard.voessing@barmenia.de</t>
  </si>
  <si>
    <t>00580888</t>
  </si>
  <si>
    <t>Wissel</t>
  </si>
  <si>
    <t>heiko.wissel@barmenia.de</t>
  </si>
  <si>
    <t>00580912</t>
  </si>
  <si>
    <t>Pahl</t>
  </si>
  <si>
    <t>waldemar.pahl@barmenia.de</t>
  </si>
  <si>
    <t>00581017</t>
  </si>
  <si>
    <t>Kühn</t>
  </si>
  <si>
    <t>thomas.kuehn@barmenia.de</t>
  </si>
  <si>
    <t>00581600</t>
  </si>
  <si>
    <t>Nora</t>
  </si>
  <si>
    <t>Jäger</t>
  </si>
  <si>
    <t>nora.jaeger@barmenia.de</t>
  </si>
  <si>
    <t>00581075</t>
  </si>
  <si>
    <t>Akpinar</t>
  </si>
  <si>
    <t>ilhan.akpinar@barmenia.de</t>
  </si>
  <si>
    <t>00580732</t>
  </si>
  <si>
    <t>Zimmermann</t>
  </si>
  <si>
    <t>00580822</t>
  </si>
  <si>
    <t>dirk.warnke@barmenia.de</t>
  </si>
  <si>
    <t>00580856</t>
  </si>
  <si>
    <t>Saskia</t>
  </si>
  <si>
    <t>Klingenberg</t>
  </si>
  <si>
    <t>saskia.klingenberg@barmenia.de</t>
  </si>
  <si>
    <t>00580860</t>
  </si>
  <si>
    <t>Braasch</t>
  </si>
  <si>
    <t>maximilian.braasch@barmenia.de</t>
  </si>
  <si>
    <t>00580861</t>
  </si>
  <si>
    <t>Raban</t>
  </si>
  <si>
    <t>Esser</t>
  </si>
  <si>
    <t>raban.esser@barmenia.de</t>
  </si>
  <si>
    <t>00580907</t>
  </si>
  <si>
    <t>WS-Die Versicherungsspezialisten UG</t>
  </si>
  <si>
    <t>ws-ug@barmenia.de</t>
  </si>
  <si>
    <t>00581615</t>
  </si>
  <si>
    <t>Natali</t>
  </si>
  <si>
    <t>natali.braasch@barmenia.de</t>
  </si>
  <si>
    <t>00580883</t>
  </si>
  <si>
    <t>Decker</t>
  </si>
  <si>
    <t>martin.decker@barmenia.de</t>
  </si>
  <si>
    <t>00581602</t>
  </si>
  <si>
    <t>Helmut</t>
  </si>
  <si>
    <t>Dannenberg</t>
  </si>
  <si>
    <t>helmut.dannenberg@barmenia.de</t>
  </si>
  <si>
    <t>00581616</t>
  </si>
  <si>
    <t>Loos</t>
  </si>
  <si>
    <t>christian.loos@barmenia.de</t>
  </si>
  <si>
    <t>00580866</t>
  </si>
  <si>
    <t>00013001</t>
  </si>
  <si>
    <t>Axel</t>
  </si>
  <si>
    <t>Janaschke</t>
  </si>
  <si>
    <t>axel.janaschke@barmenia.de</t>
  </si>
  <si>
    <t>00580893</t>
  </si>
  <si>
    <t>00013002</t>
  </si>
  <si>
    <t>Vaceslav</t>
  </si>
  <si>
    <t>Palschewski</t>
  </si>
  <si>
    <t>vaceslav.palschewski@barmenia.de</t>
  </si>
  <si>
    <t>00600405</t>
  </si>
  <si>
    <t>0060</t>
  </si>
  <si>
    <t>Köln</t>
  </si>
  <si>
    <t>VD Köln</t>
  </si>
  <si>
    <t>Ursula</t>
  </si>
  <si>
    <t>Krawinkel</t>
  </si>
  <si>
    <t>ursula.krawinkel@barmenia.de</t>
  </si>
  <si>
    <t>00600565</t>
  </si>
  <si>
    <t>Anne</t>
  </si>
  <si>
    <t>Schulte-Gosewinkel</t>
  </si>
  <si>
    <t>00600574</t>
  </si>
  <si>
    <t>Hans-Georg</t>
  </si>
  <si>
    <t>Scharfenkamp</t>
  </si>
  <si>
    <t>h-g.scharfenkamp@barmenia.de</t>
  </si>
  <si>
    <t>00600720</t>
  </si>
  <si>
    <t>Dieter</t>
  </si>
  <si>
    <t>Pütz</t>
  </si>
  <si>
    <t>00600732</t>
  </si>
  <si>
    <t>Lepper</t>
  </si>
  <si>
    <t>00600856</t>
  </si>
  <si>
    <t>Küspert</t>
  </si>
  <si>
    <t>thomas.kuespert@barmenia.de</t>
  </si>
  <si>
    <t>00600965</t>
  </si>
  <si>
    <t>Max</t>
  </si>
  <si>
    <t>Schumacher</t>
  </si>
  <si>
    <t>max.schumacher@barmenia.de</t>
  </si>
  <si>
    <t>00601001</t>
  </si>
  <si>
    <t>Wagner &amp; Wagner OHG</t>
  </si>
  <si>
    <t>wagner-ohg@barmenia.de</t>
  </si>
  <si>
    <t>00601013</t>
  </si>
  <si>
    <t>Ali Haydar</t>
  </si>
  <si>
    <t>Koc</t>
  </si>
  <si>
    <t>ali-haydar.koc@barmenia.de</t>
  </si>
  <si>
    <t>00601014</t>
  </si>
  <si>
    <t>Deniz</t>
  </si>
  <si>
    <t>deniz.koc@barmenia.de</t>
  </si>
  <si>
    <t>00601042</t>
  </si>
  <si>
    <t>Muharem</t>
  </si>
  <si>
    <t>Besirevic</t>
  </si>
  <si>
    <t>muharem.besirevic@barmenia.de</t>
  </si>
  <si>
    <t>00601057</t>
  </si>
  <si>
    <t>Murat</t>
  </si>
  <si>
    <t>Kaplan</t>
  </si>
  <si>
    <t>murat.kaplan@barmenia.de</t>
  </si>
  <si>
    <t>00601073</t>
  </si>
  <si>
    <t>Ralph</t>
  </si>
  <si>
    <t>Gilles</t>
  </si>
  <si>
    <t>ralph.gilles@barmenia.de</t>
  </si>
  <si>
    <t>00601078</t>
  </si>
  <si>
    <t>Serrano</t>
  </si>
  <si>
    <t>rafael.serrano@barmenia.de</t>
  </si>
  <si>
    <t>00601093</t>
  </si>
  <si>
    <t>Konstantinos Loukas</t>
  </si>
  <si>
    <t>Michalopoulos</t>
  </si>
  <si>
    <t>konstantinos-louka.michalopoulos@barmenia.de</t>
  </si>
  <si>
    <t>00601097</t>
  </si>
  <si>
    <t>Edon</t>
  </si>
  <si>
    <t>Kadrija</t>
  </si>
  <si>
    <t>edon.kadrija@barmenia.de</t>
  </si>
  <si>
    <t>00601104</t>
  </si>
  <si>
    <t>Lino</t>
  </si>
  <si>
    <t>Marx</t>
  </si>
  <si>
    <t>lino.marx@barmenia.de</t>
  </si>
  <si>
    <t>00601108</t>
  </si>
  <si>
    <t>Parastu</t>
  </si>
  <si>
    <t>Alafar</t>
  </si>
  <si>
    <t>parastu.alafar@barmenia.de</t>
  </si>
  <si>
    <t>00601115</t>
  </si>
  <si>
    <t>Smit &amp; Schilling OHG</t>
  </si>
  <si>
    <t>smit-schilling-ohg@barmenia.de</t>
  </si>
  <si>
    <t>00601133</t>
  </si>
  <si>
    <t>Norin</t>
  </si>
  <si>
    <t>Amraei</t>
  </si>
  <si>
    <t>norin.amraei@barmenia.de</t>
  </si>
  <si>
    <t>00601150</t>
  </si>
  <si>
    <t>Sezen</t>
  </si>
  <si>
    <t>Schaffrath</t>
  </si>
  <si>
    <t>sezen.schaffrath@barmenia.de</t>
  </si>
  <si>
    <t>00601168</t>
  </si>
  <si>
    <t>Butz</t>
  </si>
  <si>
    <t>saskia.butz@barmenia.de</t>
  </si>
  <si>
    <t>00601178</t>
  </si>
  <si>
    <t>Vito</t>
  </si>
  <si>
    <t>Mossa</t>
  </si>
  <si>
    <t>vito.mossa@barmenia.de</t>
  </si>
  <si>
    <t>00601188</t>
  </si>
  <si>
    <t>Sad oHG</t>
  </si>
  <si>
    <t>sad-ohg@barmenia.de</t>
  </si>
  <si>
    <t>00601191</t>
  </si>
  <si>
    <t>Brockelt</t>
  </si>
  <si>
    <t>sebastian.brockelt@barmenia.de</t>
  </si>
  <si>
    <t>00601200</t>
  </si>
  <si>
    <t>Carolin</t>
  </si>
  <si>
    <t>Corsi</t>
  </si>
  <si>
    <t>carolin.corsi@barmenia.de</t>
  </si>
  <si>
    <t>00601222</t>
  </si>
  <si>
    <t>Scheruan</t>
  </si>
  <si>
    <t>Ammo</t>
  </si>
  <si>
    <t>scheruan.ammo@barmenia.de</t>
  </si>
  <si>
    <t>00601246</t>
  </si>
  <si>
    <t>Andrea</t>
  </si>
  <si>
    <t>Salamone</t>
  </si>
  <si>
    <t>andrea.salamone@barmenia.de</t>
  </si>
  <si>
    <t>00601527</t>
  </si>
  <si>
    <t>Marina</t>
  </si>
  <si>
    <t>Hahnemann-Schramm</t>
  </si>
  <si>
    <t>marina.hahnemann@barmenia.de</t>
  </si>
  <si>
    <t>00601193</t>
  </si>
  <si>
    <t>Kenan</t>
  </si>
  <si>
    <t>Dalgic</t>
  </si>
  <si>
    <t>kenan.dalgic@barmenia.de</t>
  </si>
  <si>
    <t>00601268</t>
  </si>
  <si>
    <t>Davide</t>
  </si>
  <si>
    <t>davide.salamone@barmenia.de</t>
  </si>
  <si>
    <t>00601278</t>
  </si>
  <si>
    <t>Andre Giuseppe</t>
  </si>
  <si>
    <t>Timpanaro</t>
  </si>
  <si>
    <t>andre.timpanaro@barmenia.de</t>
  </si>
  <si>
    <t>00601279</t>
  </si>
  <si>
    <t>Chris Philipp</t>
  </si>
  <si>
    <t>Gevelhoff</t>
  </si>
  <si>
    <t>chris-philipp.gevelhoff@barmenia.de</t>
  </si>
  <si>
    <t>00601284</t>
  </si>
  <si>
    <t>Julius</t>
  </si>
  <si>
    <t>Biada</t>
  </si>
  <si>
    <t>julius.biada@barmenia.de</t>
  </si>
  <si>
    <t>00600358</t>
  </si>
  <si>
    <t>Susanne</t>
  </si>
  <si>
    <t>Zurek</t>
  </si>
  <si>
    <t>susanne.zurek@barmenia.de</t>
  </si>
  <si>
    <t>00600903</t>
  </si>
  <si>
    <t>Yazdan</t>
  </si>
  <si>
    <t>Izadi</t>
  </si>
  <si>
    <t>00601063</t>
  </si>
  <si>
    <t>frank.kramer@barmenia.de</t>
  </si>
  <si>
    <t>00601077</t>
  </si>
  <si>
    <t>Prack &amp; Stahlberg oHG</t>
  </si>
  <si>
    <t>00601092</t>
  </si>
  <si>
    <t>Müller</t>
  </si>
  <si>
    <t>patrick.mueller@barmenia.de</t>
  </si>
  <si>
    <t>00601194</t>
  </si>
  <si>
    <t>Frederik</t>
  </si>
  <si>
    <t>Hilterhaus</t>
  </si>
  <si>
    <t>frederik.hilterhaus@barmenia.de</t>
  </si>
  <si>
    <t>00601196</t>
  </si>
  <si>
    <t>Ditmir</t>
  </si>
  <si>
    <t>Mucja</t>
  </si>
  <si>
    <t>ditmir.mucja@barmenia.de</t>
  </si>
  <si>
    <t>00601258</t>
  </si>
  <si>
    <t>De Vries GmbH</t>
  </si>
  <si>
    <t>devries-gmbh@barmenia.de</t>
  </si>
  <si>
    <t>00601269</t>
  </si>
  <si>
    <t>Denizcan</t>
  </si>
  <si>
    <t>Sanli</t>
  </si>
  <si>
    <t>denizcan.sanli@barmenia.de</t>
  </si>
  <si>
    <t>00601271</t>
  </si>
  <si>
    <t>Ardit</t>
  </si>
  <si>
    <t>Bytyqi</t>
  </si>
  <si>
    <t>ardit.bytyqi@barmenia.de</t>
  </si>
  <si>
    <t>00601275</t>
  </si>
  <si>
    <t>Heldmann</t>
  </si>
  <si>
    <t>tim.heldmann@barmenia.de</t>
  </si>
  <si>
    <t>00601277</t>
  </si>
  <si>
    <t>Lachnit</t>
  </si>
  <si>
    <t>andreas.lachnit@barmenia.de</t>
  </si>
  <si>
    <t>00600152</t>
  </si>
  <si>
    <t>Anders OHG</t>
  </si>
  <si>
    <t>anders-ohg@barmenia.de</t>
  </si>
  <si>
    <t>00601144</t>
  </si>
  <si>
    <t>Becker Finanz GmbH &amp; Co. KG</t>
  </si>
  <si>
    <t>becker-finanz@barmenia.de</t>
  </si>
  <si>
    <t>00601276</t>
  </si>
  <si>
    <t>Caspar Care &amp; Pet GmbH</t>
  </si>
  <si>
    <t>andre.caspar@barmenia.de</t>
  </si>
  <si>
    <t>00601215</t>
  </si>
  <si>
    <t>Vella Versicherungen oHG</t>
  </si>
  <si>
    <t>service@dogprotect24.de</t>
  </si>
  <si>
    <t>00600668</t>
  </si>
  <si>
    <t>00571170</t>
  </si>
  <si>
    <t>Jules Pierre</t>
  </si>
  <si>
    <t>jules-pierre.schroeder@barmenia.de</t>
  </si>
  <si>
    <t>Subdirektor</t>
  </si>
  <si>
    <t>00601261</t>
  </si>
  <si>
    <t>00541253</t>
  </si>
  <si>
    <t>Apostolos</t>
  </si>
  <si>
    <t>Konstantinidis</t>
  </si>
  <si>
    <t>apostolos.konstantinidis@barmenia.de</t>
  </si>
  <si>
    <t>00601270</t>
  </si>
  <si>
    <t>00641270</t>
  </si>
  <si>
    <t>Nebi</t>
  </si>
  <si>
    <t>Temizyürek</t>
  </si>
  <si>
    <t>nebi.temizyuerek@barmenia.de</t>
  </si>
  <si>
    <t>00620001</t>
  </si>
  <si>
    <t>0062</t>
  </si>
  <si>
    <t>Aachen</t>
  </si>
  <si>
    <t>Meurer</t>
  </si>
  <si>
    <t>dieter.meurer@barmenia.de</t>
  </si>
  <si>
    <t>Verkaufsleiter/in</t>
  </si>
  <si>
    <t>00620391</t>
  </si>
  <si>
    <t>Rudolph</t>
  </si>
  <si>
    <t>markus.rudolph@barmenia.de</t>
  </si>
  <si>
    <t>00620440</t>
  </si>
  <si>
    <t>Abdellatife</t>
  </si>
  <si>
    <t>Abtitoui</t>
  </si>
  <si>
    <t>abdellatife.abtitoui@barmenia.de</t>
  </si>
  <si>
    <t>00620447</t>
  </si>
  <si>
    <t>Grewe</t>
  </si>
  <si>
    <t>stefan.grewe@barmenia.de</t>
  </si>
  <si>
    <t>00620508</t>
  </si>
  <si>
    <t>Thorsten</t>
  </si>
  <si>
    <t>Dawel</t>
  </si>
  <si>
    <t>thorsten.dawel@barmenia.de</t>
  </si>
  <si>
    <t>00620545</t>
  </si>
  <si>
    <t>Dietmar</t>
  </si>
  <si>
    <t>Löder</t>
  </si>
  <si>
    <t>dietmar.loeder@barmenia.de</t>
  </si>
  <si>
    <t>00620604</t>
  </si>
  <si>
    <t>Christoph</t>
  </si>
  <si>
    <t>Sobel</t>
  </si>
  <si>
    <t>christoph.sobel@barmenia.de</t>
  </si>
  <si>
    <t>00620618</t>
  </si>
  <si>
    <t>Cauberg</t>
  </si>
  <si>
    <t>patrick.cauberg@barmenia.de</t>
  </si>
  <si>
    <t>00620624</t>
  </si>
  <si>
    <t>Thien Tam</t>
  </si>
  <si>
    <t>Phan</t>
  </si>
  <si>
    <t>thien-tam.phan@barmenia.de</t>
  </si>
  <si>
    <t>00620627</t>
  </si>
  <si>
    <t>Scholzen</t>
  </si>
  <si>
    <t>thomas.scholzen@barmenia.de</t>
  </si>
  <si>
    <t>00620630</t>
  </si>
  <si>
    <t>Krohn</t>
  </si>
  <si>
    <t>axel.krohn@barmenia.de</t>
  </si>
  <si>
    <t>00620651</t>
  </si>
  <si>
    <t>Weiermann</t>
  </si>
  <si>
    <t>thorsten.weiermann@barmenia.de</t>
  </si>
  <si>
    <t>00620652</t>
  </si>
  <si>
    <t>Spanagel</t>
  </si>
  <si>
    <t>waldemar.spanagel@barmenia.de</t>
  </si>
  <si>
    <t>00620654</t>
  </si>
  <si>
    <t>florian.mueller@barmenia.de</t>
  </si>
  <si>
    <t>00620662</t>
  </si>
  <si>
    <t>Ali</t>
  </si>
  <si>
    <t>Alter</t>
  </si>
  <si>
    <t>ali.alter@barmenia.de</t>
  </si>
  <si>
    <t>00620433</t>
  </si>
  <si>
    <t>Coca Ortmanns</t>
  </si>
  <si>
    <t>peter.coca-ortmanns@barmenia.de</t>
  </si>
  <si>
    <t>00620469</t>
  </si>
  <si>
    <t>Christopher</t>
  </si>
  <si>
    <t>Barthel</t>
  </si>
  <si>
    <t>christopher.barthel@barmenia.de</t>
  </si>
  <si>
    <t>00620514</t>
  </si>
  <si>
    <t>hakan.deniz@barmenia.de</t>
  </si>
  <si>
    <t>00620526</t>
  </si>
  <si>
    <t>Marcin</t>
  </si>
  <si>
    <t>Urbanowicz</t>
  </si>
  <si>
    <t>marcin.urbanowicz@barmenia.de</t>
  </si>
  <si>
    <t>00620557</t>
  </si>
  <si>
    <t>L &amp; L Finanz GmbH &amp; Co. KG</t>
  </si>
  <si>
    <t>l-und-l-gmbh@barmenia.de</t>
  </si>
  <si>
    <t>00620605</t>
  </si>
  <si>
    <t>Patrik</t>
  </si>
  <si>
    <t>Jüngst</t>
  </si>
  <si>
    <t>patrik.juengst@barmenia.de</t>
  </si>
  <si>
    <t>00620608</t>
  </si>
  <si>
    <t>Marc</t>
  </si>
  <si>
    <t>Montenbruck</t>
  </si>
  <si>
    <t>marc.montenbruck@barmenia.de</t>
  </si>
  <si>
    <t>00620639</t>
  </si>
  <si>
    <t>Klett</t>
  </si>
  <si>
    <t>niclas.klett@barmenia.de</t>
  </si>
  <si>
    <t>00620467</t>
  </si>
  <si>
    <t>Sundarp</t>
  </si>
  <si>
    <t>christoph.sundarp@barmenia.de</t>
  </si>
  <si>
    <t>00620638</t>
  </si>
  <si>
    <t>Meyer</t>
  </si>
  <si>
    <t>chris.meyer@barmenia.de</t>
  </si>
  <si>
    <t>00620474</t>
  </si>
  <si>
    <t>00541254</t>
  </si>
  <si>
    <t>Waldemar Jan</t>
  </si>
  <si>
    <t>Radecki</t>
  </si>
  <si>
    <t>00620506</t>
  </si>
  <si>
    <t>00541256</t>
  </si>
  <si>
    <t>Heinz-Josef</t>
  </si>
  <si>
    <t>Beckers</t>
  </si>
  <si>
    <t>heinz-josef.beckers@barmenia.de</t>
  </si>
  <si>
    <t>00620519</t>
  </si>
  <si>
    <t>00541257</t>
  </si>
  <si>
    <t>Heel</t>
  </si>
  <si>
    <t>sascha.van-heel@barmenia.de</t>
  </si>
  <si>
    <t>00620656</t>
  </si>
  <si>
    <t>00541258</t>
  </si>
  <si>
    <t>Eva</t>
  </si>
  <si>
    <t>eva.schumacher@barmenia.de</t>
  </si>
  <si>
    <t>00630432</t>
  </si>
  <si>
    <t>Venker</t>
  </si>
  <si>
    <t>kai.venker@barmenia.de</t>
  </si>
  <si>
    <t>00630500</t>
  </si>
  <si>
    <t>BKM Westmünsterland oHG</t>
  </si>
  <si>
    <t>bkm-westmuensterland-ohg@barmenia.de</t>
  </si>
  <si>
    <t>00630593</t>
  </si>
  <si>
    <t>Maik</t>
  </si>
  <si>
    <t>Lauhoff</t>
  </si>
  <si>
    <t>maik.lauhoff@barmenia.de</t>
  </si>
  <si>
    <t>00630595</t>
  </si>
  <si>
    <t>Reinhold</t>
  </si>
  <si>
    <t>Ihmig</t>
  </si>
  <si>
    <t>reinhold.ihmig@barmenia.de</t>
  </si>
  <si>
    <t>00630605</t>
  </si>
  <si>
    <t>Hubert</t>
  </si>
  <si>
    <t>Nöring</t>
  </si>
  <si>
    <t>hubert.noering@barmenia.de</t>
  </si>
  <si>
    <t>00630614</t>
  </si>
  <si>
    <t>Denise</t>
  </si>
  <si>
    <t>Kaligas</t>
  </si>
  <si>
    <t>denise.kaligas@barmenia.de</t>
  </si>
  <si>
    <t>00630631</t>
  </si>
  <si>
    <t>michael.kaligas@barmenia.de</t>
  </si>
  <si>
    <t>00631146</t>
  </si>
  <si>
    <t>00631548</t>
  </si>
  <si>
    <t>Elisabeth</t>
  </si>
  <si>
    <t>Stelmaszczyk</t>
  </si>
  <si>
    <t>elisabeth.stelmaszczyk@barmenia.de</t>
  </si>
  <si>
    <t>00631733</t>
  </si>
  <si>
    <t>dominik.zimmermann@barmenia.de</t>
  </si>
  <si>
    <t>00631746</t>
  </si>
  <si>
    <t>Atasoy</t>
  </si>
  <si>
    <t>asya.atasoy@barmenia.de</t>
  </si>
  <si>
    <t>00632302</t>
  </si>
  <si>
    <t>Fiening</t>
  </si>
  <si>
    <t>kevin.fiening@barmenia.de</t>
  </si>
  <si>
    <t>00632304</t>
  </si>
  <si>
    <t>Philipp</t>
  </si>
  <si>
    <t>Lilier</t>
  </si>
  <si>
    <t>philipp.lilier@barmenia.de</t>
  </si>
  <si>
    <t>00630479</t>
  </si>
  <si>
    <t>Zemler</t>
  </si>
  <si>
    <t>daniel.zemler@barmenia.de</t>
  </si>
  <si>
    <t>00631769</t>
  </si>
  <si>
    <t>Gonzales Ortiz</t>
  </si>
  <si>
    <t>mario.gonzales-ortiz@barmenia.de</t>
  </si>
  <si>
    <t>00632011</t>
  </si>
  <si>
    <t>Baris</t>
  </si>
  <si>
    <t>Colak</t>
  </si>
  <si>
    <t>baris.colak@barmenia.de</t>
  </si>
  <si>
    <t>00632308</t>
  </si>
  <si>
    <t>Beheshta</t>
  </si>
  <si>
    <t>Sarhadi</t>
  </si>
  <si>
    <t>beheshta.sarhadi@barmenia.de</t>
  </si>
  <si>
    <t>00632310</t>
  </si>
  <si>
    <t>Sirin</t>
  </si>
  <si>
    <t>Moustafa</t>
  </si>
  <si>
    <t>sirin.moustafa@barmenia.de</t>
  </si>
  <si>
    <t>00632607</t>
  </si>
  <si>
    <t>Schkoljar</t>
  </si>
  <si>
    <t>jessica.schkoljar@barmenia.de</t>
  </si>
  <si>
    <t>00632608</t>
  </si>
  <si>
    <t>Mattner</t>
  </si>
  <si>
    <t>nicole.mattner@barmenia.de</t>
  </si>
  <si>
    <t>00632013</t>
  </si>
  <si>
    <t>Palmroth</t>
  </si>
  <si>
    <t>daniel.palmroth@barmenia.de</t>
  </si>
  <si>
    <t>00632014</t>
  </si>
  <si>
    <t>Marie-Claire</t>
  </si>
  <si>
    <t>Heppe</t>
  </si>
  <si>
    <t>marie-claire.heppe@barmenia.de</t>
  </si>
  <si>
    <t>00632610</t>
  </si>
  <si>
    <t>Emily</t>
  </si>
  <si>
    <t>Bettich</t>
  </si>
  <si>
    <t>emily.bettich@barmenia.de</t>
  </si>
  <si>
    <t>00632313</t>
  </si>
  <si>
    <t>Dauda David</t>
  </si>
  <si>
    <t>Fofana</t>
  </si>
  <si>
    <t>dauda-david.fofana@barmenia.de</t>
  </si>
  <si>
    <t>00630300</t>
  </si>
  <si>
    <t>Feld, Wright &amp; Lorenz oHG</t>
  </si>
  <si>
    <t>feld-wright-ohg@barmenia.de</t>
  </si>
  <si>
    <t>00630398</t>
  </si>
  <si>
    <t>Mordhorst</t>
  </si>
  <si>
    <t>max.mordhorst@barmenia.de</t>
  </si>
  <si>
    <t>00630404</t>
  </si>
  <si>
    <t>Ronak</t>
  </si>
  <si>
    <t>Acar</t>
  </si>
  <si>
    <t>ronak.acar@barmenia.de</t>
  </si>
  <si>
    <t>00630567</t>
  </si>
  <si>
    <t>Temme</t>
  </si>
  <si>
    <t>dirk.temme@barmenia.de</t>
  </si>
  <si>
    <t>00630620</t>
  </si>
  <si>
    <t>Beate</t>
  </si>
  <si>
    <t>Borowsky</t>
  </si>
  <si>
    <t>beate.borowsky@barmenia.de</t>
  </si>
  <si>
    <t>00631531</t>
  </si>
  <si>
    <t>Pohlmeier</t>
  </si>
  <si>
    <t>michael.pohlmeier@barmenia.de</t>
  </si>
  <si>
    <t>00631758</t>
  </si>
  <si>
    <t>joerg.temme@barmenia.de</t>
  </si>
  <si>
    <t>00631777</t>
  </si>
  <si>
    <t>Schneider</t>
  </si>
  <si>
    <t>matthias.schneider@barmenia.de</t>
  </si>
  <si>
    <t>00630591</t>
  </si>
  <si>
    <t>Effkemann</t>
  </si>
  <si>
    <t>petra.effkemann@barmenia.de</t>
  </si>
  <si>
    <t>00631280</t>
  </si>
  <si>
    <t>Sommer</t>
  </si>
  <si>
    <t>klaus.sommer@barmenia.de</t>
  </si>
  <si>
    <t>00630444</t>
  </si>
  <si>
    <t>VersicherungsKontor MTW oHG</t>
  </si>
  <si>
    <t>Agentur-MTW@barmenia.de</t>
  </si>
  <si>
    <t>00632601</t>
  </si>
  <si>
    <t>Renz</t>
  </si>
  <si>
    <t>thomas.renz@barmenia.de</t>
  </si>
  <si>
    <t>00631592</t>
  </si>
  <si>
    <t>00581092</t>
  </si>
  <si>
    <t>Maria Barbara</t>
  </si>
  <si>
    <t>Anker</t>
  </si>
  <si>
    <t>maria-barbara.anker@barmenia.de</t>
  </si>
  <si>
    <t>00640093</t>
  </si>
  <si>
    <t>Volker</t>
  </si>
  <si>
    <t>Nettelbeck</t>
  </si>
  <si>
    <t>volker.nettelbeck@barmenia.de</t>
  </si>
  <si>
    <t>00640128</t>
  </si>
  <si>
    <t>Falk</t>
  </si>
  <si>
    <t>Thome</t>
  </si>
  <si>
    <t>00640307</t>
  </si>
  <si>
    <t>Regine</t>
  </si>
  <si>
    <t>Heinrichs</t>
  </si>
  <si>
    <t>regine.heinrichs@barmenia.de</t>
  </si>
  <si>
    <t>Hauptvertreter/in d. Titelprüfg.</t>
  </si>
  <si>
    <t>00640360</t>
  </si>
  <si>
    <t>Helge</t>
  </si>
  <si>
    <t>Liebnitzky</t>
  </si>
  <si>
    <t>helge.liebnitzky@barmenia.de</t>
  </si>
  <si>
    <t>00640386</t>
  </si>
  <si>
    <t>Sondermann</t>
  </si>
  <si>
    <t>00640478</t>
  </si>
  <si>
    <t>Chiara</t>
  </si>
  <si>
    <t>Dykgers</t>
  </si>
  <si>
    <t>chiara.dykgers@barmenia.de</t>
  </si>
  <si>
    <t>00640508</t>
  </si>
  <si>
    <t>Feisel</t>
  </si>
  <si>
    <t>holger.feisel@barmenia.de</t>
  </si>
  <si>
    <t>00640551</t>
  </si>
  <si>
    <t>Esther</t>
  </si>
  <si>
    <t>Cramer</t>
  </si>
  <si>
    <t>00640634</t>
  </si>
  <si>
    <t>Streetz</t>
  </si>
  <si>
    <t>alexander.streetz@barmenia.de</t>
  </si>
  <si>
    <t>00640640</t>
  </si>
  <si>
    <t>Rolf</t>
  </si>
  <si>
    <t>Klee</t>
  </si>
  <si>
    <t>rolf.klee@barmenia.de</t>
  </si>
  <si>
    <t>00640701</t>
  </si>
  <si>
    <t>Deborah</t>
  </si>
  <si>
    <t>Rotondaro</t>
  </si>
  <si>
    <t>deborah.rotondaro@barmenia.de</t>
  </si>
  <si>
    <t>00640704</t>
  </si>
  <si>
    <t>Krivenko</t>
  </si>
  <si>
    <t>daniel.krivenko@barmenia.de</t>
  </si>
  <si>
    <t>00640705</t>
  </si>
  <si>
    <t>Gille</t>
  </si>
  <si>
    <t>frank.gille@barmenia.de</t>
  </si>
  <si>
    <t>00640730</t>
  </si>
  <si>
    <t>Neofitos</t>
  </si>
  <si>
    <t>Papadopoulos</t>
  </si>
  <si>
    <t>neofitos.papadopoulos@barmenia.de</t>
  </si>
  <si>
    <t>00640748</t>
  </si>
  <si>
    <t>Mahler</t>
  </si>
  <si>
    <t>jessica.mahler@barmenia.de</t>
  </si>
  <si>
    <t>00640770</t>
  </si>
  <si>
    <t>Fynn</t>
  </si>
  <si>
    <t>Wacker</t>
  </si>
  <si>
    <t>fynn.wacker@barmenia.de</t>
  </si>
  <si>
    <t>00640781</t>
  </si>
  <si>
    <t>Annette</t>
  </si>
  <si>
    <t>Piras</t>
  </si>
  <si>
    <t>annette.piras@barmenia.de</t>
  </si>
  <si>
    <t>00640792</t>
  </si>
  <si>
    <t>Elvira Evina</t>
  </si>
  <si>
    <t>Hartjes</t>
  </si>
  <si>
    <t>elvira-evina.hartjes@barmenia.de</t>
  </si>
  <si>
    <t>00640400</t>
  </si>
  <si>
    <t>Küchelmann</t>
  </si>
  <si>
    <t>petra.kuechelmann@barmenia.de</t>
  </si>
  <si>
    <t>00640411</t>
  </si>
  <si>
    <t>Julian Alexander</t>
  </si>
  <si>
    <t>Witting</t>
  </si>
  <si>
    <t>julian-alexander.witting@barmenia.de</t>
  </si>
  <si>
    <t>00640419</t>
  </si>
  <si>
    <t>Filipovic</t>
  </si>
  <si>
    <t>robert.filipovic@barmenia.de</t>
  </si>
  <si>
    <t>00640594</t>
  </si>
  <si>
    <t>Sieben</t>
  </si>
  <si>
    <t>michael.sieben@barmenia.de</t>
  </si>
  <si>
    <t>Gebiets-Organisationsleiter/in</t>
  </si>
  <si>
    <t>00640733</t>
  </si>
  <si>
    <t>Konstantyn</t>
  </si>
  <si>
    <t>Drabik</t>
  </si>
  <si>
    <t>konstantyn.drabik@barmenia.de</t>
  </si>
  <si>
    <t>00640772</t>
  </si>
  <si>
    <t>Al Ali</t>
  </si>
  <si>
    <t>ali.al-ali@barmenia.de</t>
  </si>
  <si>
    <t>00640899</t>
  </si>
  <si>
    <t>Hens</t>
  </si>
  <si>
    <t>andreas.hens@barmenia.de</t>
  </si>
  <si>
    <t>00641014</t>
  </si>
  <si>
    <t>juergen.otto@barmenia.de</t>
  </si>
  <si>
    <t>00640500</t>
  </si>
  <si>
    <t>Niedergriese</t>
  </si>
  <si>
    <t>00640621</t>
  </si>
  <si>
    <t>Hein oHG</t>
  </si>
  <si>
    <t>hein-ohg@barmenia.de</t>
  </si>
  <si>
    <t>00640623</t>
  </si>
  <si>
    <t>Onnebrink</t>
  </si>
  <si>
    <t>christian.onnebrink@barmenia.de</t>
  </si>
  <si>
    <t>00641028</t>
  </si>
  <si>
    <t>Giovanni</t>
  </si>
  <si>
    <t>Schultz</t>
  </si>
  <si>
    <t>giovanni.schultz@barmenia.de</t>
  </si>
  <si>
    <t>00641101</t>
  </si>
  <si>
    <t>Ruben</t>
  </si>
  <si>
    <t>Alonso</t>
  </si>
  <si>
    <t>ruben.alonso@barmenia.de</t>
  </si>
  <si>
    <t>00640182</t>
  </si>
  <si>
    <t>Nadia</t>
  </si>
  <si>
    <t>Bishay</t>
  </si>
  <si>
    <t>nadia.bishay@barmenia.de</t>
  </si>
  <si>
    <t>00640210</t>
  </si>
  <si>
    <t>Zahrt</t>
  </si>
  <si>
    <t>ute.zahrt@barmenia.de</t>
  </si>
  <si>
    <t>00640628</t>
  </si>
  <si>
    <t>Erdinc</t>
  </si>
  <si>
    <t>Özcan-Schulz</t>
  </si>
  <si>
    <t>erdinc.oezcan-schulz@barmenia.de</t>
  </si>
  <si>
    <t>00640715</t>
  </si>
  <si>
    <t>christian.lindemann@barmenia.de</t>
  </si>
  <si>
    <t>00640952</t>
  </si>
  <si>
    <t>Simons</t>
  </si>
  <si>
    <t>lothar.simons@barmenia.de</t>
  </si>
  <si>
    <t>00670672</t>
  </si>
  <si>
    <t>0067</t>
  </si>
  <si>
    <t>Siegen</t>
  </si>
  <si>
    <t>Jutta</t>
  </si>
  <si>
    <t>Hengstebeck</t>
  </si>
  <si>
    <t>jutta.hengstebeck@barmenia.de</t>
  </si>
  <si>
    <t>00670692</t>
  </si>
  <si>
    <t>Albach</t>
  </si>
  <si>
    <t>00670699</t>
  </si>
  <si>
    <t>Kirchner</t>
  </si>
  <si>
    <t>andreas.kirchner@barmenia.de</t>
  </si>
  <si>
    <t>00670720</t>
  </si>
  <si>
    <t>Mahmoud</t>
  </si>
  <si>
    <t>Ramezanpour</t>
  </si>
  <si>
    <t>mahmoud.ramezanpour@barmenia.de</t>
  </si>
  <si>
    <t>00670819</t>
  </si>
  <si>
    <t>Poudineh</t>
  </si>
  <si>
    <t>ali.poudineh@barmenia.de</t>
  </si>
  <si>
    <t>00670794</t>
  </si>
  <si>
    <t>Said</t>
  </si>
  <si>
    <t>Hassoun</t>
  </si>
  <si>
    <t>said.hassoun@barmenia.de</t>
  </si>
  <si>
    <t>00670795</t>
  </si>
  <si>
    <t>Mohammad Khaliel</t>
  </si>
  <si>
    <t>Shabaani</t>
  </si>
  <si>
    <t>mohammad-khaliel.shabaani@barmenia.de</t>
  </si>
  <si>
    <t>00670796</t>
  </si>
  <si>
    <t>Fuchs</t>
  </si>
  <si>
    <t>nico.fuchs@barmenia.de</t>
  </si>
  <si>
    <t>00670818</t>
  </si>
  <si>
    <t>Katz</t>
  </si>
  <si>
    <t>nicole.katz@barmenia.de</t>
  </si>
  <si>
    <t>00670705</t>
  </si>
  <si>
    <t>Monika</t>
  </si>
  <si>
    <t>Schlotter</t>
  </si>
  <si>
    <t>monika.schlotter@barmenia.de</t>
  </si>
  <si>
    <t>00670733</t>
  </si>
  <si>
    <t>VD Göttingen</t>
  </si>
  <si>
    <t>Maier oHG</t>
  </si>
  <si>
    <t>maier-ohg@barmenia.de</t>
  </si>
  <si>
    <t>00670555</t>
  </si>
  <si>
    <t>in der Weide &amp; Gertsos oHG</t>
  </si>
  <si>
    <t>attendorn-ohg@barmenia.de</t>
  </si>
  <si>
    <t>00670634</t>
  </si>
  <si>
    <t>Joana Maria</t>
  </si>
  <si>
    <t>Wenz</t>
  </si>
  <si>
    <t>joana-maria.wenz@barmenia.de</t>
  </si>
  <si>
    <t>00670700</t>
  </si>
  <si>
    <t>Stöcker OHG</t>
  </si>
  <si>
    <t>stoecker-ohg@barmenia.de</t>
  </si>
  <si>
    <t>00670453</t>
  </si>
  <si>
    <t>00901453</t>
  </si>
  <si>
    <t>0090</t>
  </si>
  <si>
    <t>Rhein-Mosel</t>
  </si>
  <si>
    <t>VD Rhein-Mosel</t>
  </si>
  <si>
    <t>Gundolf</t>
  </si>
  <si>
    <t>Schupp</t>
  </si>
  <si>
    <t>00670691</t>
  </si>
  <si>
    <t>00901691</t>
  </si>
  <si>
    <t>Corina</t>
  </si>
  <si>
    <t>Wilhelms</t>
  </si>
  <si>
    <t>corina.wilhelms@barmenia.de</t>
  </si>
  <si>
    <t>00670719</t>
  </si>
  <si>
    <t>00901719</t>
  </si>
  <si>
    <t>Wippler</t>
  </si>
  <si>
    <t>martin.wippler@barmenia.de</t>
  </si>
  <si>
    <t>00700072</t>
  </si>
  <si>
    <t>0070</t>
  </si>
  <si>
    <t>Karlsruhe</t>
  </si>
  <si>
    <t>VD Karlsruhe</t>
  </si>
  <si>
    <t>Raphael</t>
  </si>
  <si>
    <t>Gruber</t>
  </si>
  <si>
    <t>info@bgrg.de</t>
  </si>
  <si>
    <t>00700128</t>
  </si>
  <si>
    <t>Daniele Christian</t>
  </si>
  <si>
    <t>Biagi</t>
  </si>
  <si>
    <t>daniele-christian.biagi@barmenia.de</t>
  </si>
  <si>
    <t>00700173</t>
  </si>
  <si>
    <t>Söhner</t>
  </si>
  <si>
    <t>thomas.soehner@barmenia.de</t>
  </si>
  <si>
    <t>00700179</t>
  </si>
  <si>
    <t>Gerstenlauer</t>
  </si>
  <si>
    <t>waldemar.gerstenlauer@barmenia.de</t>
  </si>
  <si>
    <t>00700227</t>
  </si>
  <si>
    <t>Ermioni</t>
  </si>
  <si>
    <t>Pegiou</t>
  </si>
  <si>
    <t>00700298</t>
  </si>
  <si>
    <t>Döffinger</t>
  </si>
  <si>
    <t>jutta.doeffinger@barmenia.de</t>
  </si>
  <si>
    <t>00700400</t>
  </si>
  <si>
    <t>Berndt</t>
  </si>
  <si>
    <t>felix.berndt@barmenia.de</t>
  </si>
  <si>
    <t>00700455</t>
  </si>
  <si>
    <t>Pilyus</t>
  </si>
  <si>
    <t>alexandra.pilyus@barmenia.de</t>
  </si>
  <si>
    <t>00700663</t>
  </si>
  <si>
    <t>Focht</t>
  </si>
  <si>
    <t>markus.focht@barmenia.de</t>
  </si>
  <si>
    <t>00700664</t>
  </si>
  <si>
    <t>Rumeysa</t>
  </si>
  <si>
    <t>Korkmaz</t>
  </si>
  <si>
    <t>rumeysa.korkmaz@barmenia.de</t>
  </si>
  <si>
    <t>00700665</t>
  </si>
  <si>
    <t>Sue-Malie</t>
  </si>
  <si>
    <t>Schweizer</t>
  </si>
  <si>
    <t>sue-malie.schweizer@barmenia.de</t>
  </si>
  <si>
    <t>00700669</t>
  </si>
  <si>
    <t>Catalina</t>
  </si>
  <si>
    <t>Matei-Argeseanu</t>
  </si>
  <si>
    <t>catalina.matei-argeseanu@barmenia.de</t>
  </si>
  <si>
    <t>00700671</t>
  </si>
  <si>
    <t>Alexandru-Valentin</t>
  </si>
  <si>
    <t>Litu</t>
  </si>
  <si>
    <t>alexandru-valentin.litu@barmenia.de</t>
  </si>
  <si>
    <t>00700700</t>
  </si>
  <si>
    <t>Johannes</t>
  </si>
  <si>
    <t>Net</t>
  </si>
  <si>
    <t>johannes.net@barmenia.de</t>
  </si>
  <si>
    <t>00700703</t>
  </si>
  <si>
    <t>Carusillo</t>
  </si>
  <si>
    <t>alexander.carusillo@barmenia.de</t>
  </si>
  <si>
    <t>00700704</t>
  </si>
  <si>
    <t>Plate</t>
  </si>
  <si>
    <t>00700705</t>
  </si>
  <si>
    <t>Marco</t>
  </si>
  <si>
    <t>marco.mueller@barmenia.de</t>
  </si>
  <si>
    <t>00700714</t>
  </si>
  <si>
    <t>Möllerberndt</t>
  </si>
  <si>
    <t>stefan.moellerberndt@barmenia.de</t>
  </si>
  <si>
    <t>00700736</t>
  </si>
  <si>
    <t>Lena</t>
  </si>
  <si>
    <t>lena.net@barmenia.de</t>
  </si>
  <si>
    <t>00700739</t>
  </si>
  <si>
    <t>Bader</t>
  </si>
  <si>
    <t>marco.bader@barmenia.de</t>
  </si>
  <si>
    <t>00700762</t>
  </si>
  <si>
    <t>Silvia</t>
  </si>
  <si>
    <t>Olszowski</t>
  </si>
  <si>
    <t>silvia.olszowski@barmenia.de</t>
  </si>
  <si>
    <t>00700791</t>
  </si>
  <si>
    <t>michael-1.schmidt@barmenia.de</t>
  </si>
  <si>
    <t>00700777</t>
  </si>
  <si>
    <t>Hagn</t>
  </si>
  <si>
    <t>gerald.hagn@barmenia.de</t>
  </si>
  <si>
    <t>gst</t>
  </si>
  <si>
    <t>00700333</t>
  </si>
  <si>
    <t>Lyes</t>
  </si>
  <si>
    <t>Ouili</t>
  </si>
  <si>
    <t>lyes.ouili@barmenia.de</t>
  </si>
  <si>
    <t>00700542</t>
  </si>
  <si>
    <t>Kohler</t>
  </si>
  <si>
    <t>florian.kohler@barmenia.de</t>
  </si>
  <si>
    <t>00700557</t>
  </si>
  <si>
    <t>Hofmann</t>
  </si>
  <si>
    <t>sascha.hofmann@barmenia.de</t>
  </si>
  <si>
    <t>00700566</t>
  </si>
  <si>
    <t>Schäffner</t>
  </si>
  <si>
    <t>sabrina.schaeffner@barmenia.de</t>
  </si>
  <si>
    <t>00700574</t>
  </si>
  <si>
    <t>Kemal</t>
  </si>
  <si>
    <t>Gündüzoglu</t>
  </si>
  <si>
    <t>kemal.guenduezoglu@barmenia.de</t>
  </si>
  <si>
    <t>00700583</t>
  </si>
  <si>
    <t>Gross</t>
  </si>
  <si>
    <t>sven.gross@barmenia.de</t>
  </si>
  <si>
    <t>00700584</t>
  </si>
  <si>
    <t>Antonio</t>
  </si>
  <si>
    <t>Mazzotta</t>
  </si>
  <si>
    <t>antonio.mazzotta@barmenia.de</t>
  </si>
  <si>
    <t>00700620</t>
  </si>
  <si>
    <t>Julia</t>
  </si>
  <si>
    <t>Rittershofer</t>
  </si>
  <si>
    <t>julia.rittershofer@barmenia.de</t>
  </si>
  <si>
    <t>00700623</t>
  </si>
  <si>
    <t>Cisak</t>
  </si>
  <si>
    <t>christian.cisak@barmenia.de</t>
  </si>
  <si>
    <t>00700651</t>
  </si>
  <si>
    <t>Andreea</t>
  </si>
  <si>
    <t>Juncu</t>
  </si>
  <si>
    <t>andreea.juncu@barmenia.de</t>
  </si>
  <si>
    <t>00700667</t>
  </si>
  <si>
    <t>Ritter</t>
  </si>
  <si>
    <t>benjamin.ritter@barmenia.de</t>
  </si>
  <si>
    <t>00700793</t>
  </si>
  <si>
    <t>Kelsch</t>
  </si>
  <si>
    <t>matthias.kelsch@barmenia.de</t>
  </si>
  <si>
    <t>00700668</t>
  </si>
  <si>
    <t>Selle</t>
  </si>
  <si>
    <t>peter.selle@barmenia.de</t>
  </si>
  <si>
    <t>00700677</t>
  </si>
  <si>
    <t>VE Versicherungsagentur GmbH</t>
  </si>
  <si>
    <t>ve-gmbh@barmenia.de</t>
  </si>
  <si>
    <t>00700679</t>
  </si>
  <si>
    <t>Bagci</t>
  </si>
  <si>
    <t>deniz.bagci@barmenia.de</t>
  </si>
  <si>
    <t>00700452</t>
  </si>
  <si>
    <t>00811167</t>
  </si>
  <si>
    <t>0081</t>
  </si>
  <si>
    <t>Stuttgart</t>
  </si>
  <si>
    <t>VD Stuttgart</t>
  </si>
  <si>
    <t>Minardi</t>
  </si>
  <si>
    <t>antonio.minardi@barmenia.de</t>
  </si>
  <si>
    <t>00700458</t>
  </si>
  <si>
    <t>00811168</t>
  </si>
  <si>
    <t>Salvatore</t>
  </si>
  <si>
    <t>Schipani</t>
  </si>
  <si>
    <t>salvatore.schipani@barmenia.de</t>
  </si>
  <si>
    <t>00700562</t>
  </si>
  <si>
    <t>00811172</t>
  </si>
  <si>
    <t>Daniele</t>
  </si>
  <si>
    <t>Barletta</t>
  </si>
  <si>
    <t>daniele.barletta@barmenia.de</t>
  </si>
  <si>
    <t>00700570</t>
  </si>
  <si>
    <t>00811173</t>
  </si>
  <si>
    <t>Chiera</t>
  </si>
  <si>
    <t>Bossert</t>
  </si>
  <si>
    <t>chiera.bossert@barmenia.de</t>
  </si>
  <si>
    <t>00700581</t>
  </si>
  <si>
    <t>00811174</t>
  </si>
  <si>
    <t>Özdemir</t>
  </si>
  <si>
    <t>murat.oezdemir@barmenia.de</t>
  </si>
  <si>
    <t>00700582</t>
  </si>
  <si>
    <t>00811175</t>
  </si>
  <si>
    <t>Vincenzo</t>
  </si>
  <si>
    <t>Chianta</t>
  </si>
  <si>
    <t>vincenzo.chianta@barmenia.de</t>
  </si>
  <si>
    <t>00700675</t>
  </si>
  <si>
    <t>00811171</t>
  </si>
  <si>
    <t>Marlin</t>
  </si>
  <si>
    <t>Haxhiu</t>
  </si>
  <si>
    <t>marlin.haxhiu@barmenia.de</t>
  </si>
  <si>
    <t>00750087</t>
  </si>
  <si>
    <t>0075</t>
  </si>
  <si>
    <t>Frankfurt/M.</t>
  </si>
  <si>
    <t>VD Frankfurt</t>
  </si>
  <si>
    <t>Beerbaum</t>
  </si>
  <si>
    <t>00750112</t>
  </si>
  <si>
    <t>Neumann</t>
  </si>
  <si>
    <t>sybille.neumann@barmenia.de</t>
  </si>
  <si>
    <t>00750297</t>
  </si>
  <si>
    <t>Cebrail</t>
  </si>
  <si>
    <t>Ceyran</t>
  </si>
  <si>
    <t>cebrail.ceyran@barmenia.de</t>
  </si>
  <si>
    <t>00750298</t>
  </si>
  <si>
    <t>Mike</t>
  </si>
  <si>
    <t>mike.lehmann@barmenia.de</t>
  </si>
  <si>
    <t>00750313</t>
  </si>
  <si>
    <t>danny.lehmann@barmenia.de</t>
  </si>
  <si>
    <t>00750351</t>
  </si>
  <si>
    <t>Saturno</t>
  </si>
  <si>
    <t>marco.saturno@barmenia.de</t>
  </si>
  <si>
    <t>00750357</t>
  </si>
  <si>
    <t>michael.daniel@barmenia.de</t>
  </si>
  <si>
    <t>00750361</t>
  </si>
  <si>
    <t>Abedini</t>
  </si>
  <si>
    <t>00750960</t>
  </si>
  <si>
    <t>Elzenheimer</t>
  </si>
  <si>
    <t>heiko.elzenheimer-von-storch@barmenia.de</t>
  </si>
  <si>
    <t>00751232</t>
  </si>
  <si>
    <t>Ogulcan</t>
  </si>
  <si>
    <t>Inceoglu</t>
  </si>
  <si>
    <t>ogulcan.inceoglu@barmenia.de</t>
  </si>
  <si>
    <t>00751258</t>
  </si>
  <si>
    <t>Ayten</t>
  </si>
  <si>
    <t>Tekin</t>
  </si>
  <si>
    <t>ayten.tekin@barmenia.de</t>
  </si>
  <si>
    <t>00751261</t>
  </si>
  <si>
    <t>Jozef</t>
  </si>
  <si>
    <t>Jankovic</t>
  </si>
  <si>
    <t>jozef.jankovic@barmenia.de</t>
  </si>
  <si>
    <t>00751323</t>
  </si>
  <si>
    <t>Zargarian Sangbarani</t>
  </si>
  <si>
    <t>monika.zargarian-sangbarani@barmenia.de</t>
  </si>
  <si>
    <t>00751354</t>
  </si>
  <si>
    <t>Emil</t>
  </si>
  <si>
    <t>Etemovic</t>
  </si>
  <si>
    <t>emil.etemovic@barmenia.de</t>
  </si>
  <si>
    <t>00751364</t>
  </si>
  <si>
    <t>Muharrem Can</t>
  </si>
  <si>
    <t>Cördükcü</t>
  </si>
  <si>
    <t>muharrem-can.coerduekcue@barmenia.de</t>
  </si>
  <si>
    <t>00751377</t>
  </si>
  <si>
    <t>Aysu</t>
  </si>
  <si>
    <t>Külah</t>
  </si>
  <si>
    <t>aysu.kuelah@barmenia.de</t>
  </si>
  <si>
    <t>00751382</t>
  </si>
  <si>
    <t>Mahmud Suad</t>
  </si>
  <si>
    <t>Lafci</t>
  </si>
  <si>
    <t>mahmud-suad.lafci@barmenia.de</t>
  </si>
  <si>
    <t>00751414</t>
  </si>
  <si>
    <t>Halit</t>
  </si>
  <si>
    <t>Bayrak</t>
  </si>
  <si>
    <t>halit.bayrak@barmenia.de</t>
  </si>
  <si>
    <t>00751421</t>
  </si>
  <si>
    <t>Mert</t>
  </si>
  <si>
    <t>Alan</t>
  </si>
  <si>
    <t>mert.alan@barmenia.de</t>
  </si>
  <si>
    <t>00751427</t>
  </si>
  <si>
    <t>Reitz</t>
  </si>
  <si>
    <t>patrick.reitz@barmenia.de</t>
  </si>
  <si>
    <t>00751435</t>
  </si>
  <si>
    <t>Bartlomiej Tayfur</t>
  </si>
  <si>
    <t>Kirci</t>
  </si>
  <si>
    <t>bartlomiej-tayfur.kirci@barmenia.de</t>
  </si>
  <si>
    <t>00751441</t>
  </si>
  <si>
    <t>Aladin</t>
  </si>
  <si>
    <t>Hajdarevic</t>
  </si>
  <si>
    <t>aladin.hajdarevic@barmenia.de</t>
  </si>
  <si>
    <t>00751443</t>
  </si>
  <si>
    <t>Yasin</t>
  </si>
  <si>
    <t>Sarac</t>
  </si>
  <si>
    <t>yasin.sarac@barmenia.de</t>
  </si>
  <si>
    <t>00751451</t>
  </si>
  <si>
    <t>Jeremiah</t>
  </si>
  <si>
    <t>Boachie</t>
  </si>
  <si>
    <t>jeremiah.boachie@barmenia.de</t>
  </si>
  <si>
    <t>00751452</t>
  </si>
  <si>
    <t>Kaya</t>
  </si>
  <si>
    <t>Yeksek</t>
  </si>
  <si>
    <t>kaya.yeksek@barmenia.de</t>
  </si>
  <si>
    <t>00751463</t>
  </si>
  <si>
    <t>Berathan</t>
  </si>
  <si>
    <t>Kürüm</t>
  </si>
  <si>
    <t>berathan.kueruem@barmenia.de</t>
  </si>
  <si>
    <t>00751464</t>
  </si>
  <si>
    <t>Aylin</t>
  </si>
  <si>
    <t>Sodhi</t>
  </si>
  <si>
    <t>aylin.sodhi@barmenia.de</t>
  </si>
  <si>
    <t>00751468</t>
  </si>
  <si>
    <t>Okan</t>
  </si>
  <si>
    <t>okan.yildirim@barmenia.de</t>
  </si>
  <si>
    <t>00751477</t>
  </si>
  <si>
    <t>Selzer</t>
  </si>
  <si>
    <t>markus.selzer@barmenia.de</t>
  </si>
  <si>
    <t>00751479</t>
  </si>
  <si>
    <t>Selin</t>
  </si>
  <si>
    <t>Yazici</t>
  </si>
  <si>
    <t>selin.yazici@barmenia.de</t>
  </si>
  <si>
    <t>00751491</t>
  </si>
  <si>
    <t>Marvin Daryl</t>
  </si>
  <si>
    <t>Stewart</t>
  </si>
  <si>
    <t>marvin-daryl.stewart@barmenia.de</t>
  </si>
  <si>
    <t>00751498</t>
  </si>
  <si>
    <t>Malek-Podjaski</t>
  </si>
  <si>
    <t>jacqueline.von-malek-podjaski@barmenia.de</t>
  </si>
  <si>
    <t>00751551</t>
  </si>
  <si>
    <t>Nexhdet</t>
  </si>
  <si>
    <t>Jasiqi</t>
  </si>
  <si>
    <t>nexhdet.jasiqi@barmenia.de</t>
  </si>
  <si>
    <t>00751556</t>
  </si>
  <si>
    <t>Steven</t>
  </si>
  <si>
    <t>Krauß</t>
  </si>
  <si>
    <t>steven.krauss@barmenia.de</t>
  </si>
  <si>
    <t>00751578</t>
  </si>
  <si>
    <t>Kai-Erik</t>
  </si>
  <si>
    <t>Adler</t>
  </si>
  <si>
    <t>kai-erik.adler@barmenia.de</t>
  </si>
  <si>
    <t>00751610</t>
  </si>
  <si>
    <t>Hovhannes</t>
  </si>
  <si>
    <t>Zamanyan</t>
  </si>
  <si>
    <t>hovhannes.zamanyan@barmenia.de</t>
  </si>
  <si>
    <t>00751657</t>
  </si>
  <si>
    <t>Lukas</t>
  </si>
  <si>
    <t>Aksu</t>
  </si>
  <si>
    <t>lukas.aksu@barmenia.de</t>
  </si>
  <si>
    <t>00751489</t>
  </si>
  <si>
    <t>Oya</t>
  </si>
  <si>
    <t>Kalafat</t>
  </si>
  <si>
    <t>oya.kalafat@barmenia.de</t>
  </si>
  <si>
    <t>00751495</t>
  </si>
  <si>
    <t>Asselborn</t>
  </si>
  <si>
    <t>rudolf.asselborn@barmenia.de</t>
  </si>
  <si>
    <t>00751532</t>
  </si>
  <si>
    <t>Omran</t>
  </si>
  <si>
    <t>Abu Roumiya Alsadi</t>
  </si>
  <si>
    <t>omran.abu-roumiya-alsadi@barmenia.de</t>
  </si>
  <si>
    <t>00751546</t>
  </si>
  <si>
    <t>Erion</t>
  </si>
  <si>
    <t>Derguti</t>
  </si>
  <si>
    <t>erion.derguti@barmenia.de</t>
  </si>
  <si>
    <t>00751548</t>
  </si>
  <si>
    <t>Tabish</t>
  </si>
  <si>
    <t>Manzoor</t>
  </si>
  <si>
    <t>tabish.manzoor@barmenia.de</t>
  </si>
  <si>
    <t>00751562</t>
  </si>
  <si>
    <t>Hergenreider</t>
  </si>
  <si>
    <t>christian.hergenreider@barmenia.de</t>
  </si>
  <si>
    <t>00751564</t>
  </si>
  <si>
    <t>Nikola</t>
  </si>
  <si>
    <t>Zelic</t>
  </si>
  <si>
    <t>nikola.zelic@barmenia.de</t>
  </si>
  <si>
    <t>00751571</t>
  </si>
  <si>
    <t>Ismael</t>
  </si>
  <si>
    <t>Ebrahimi</t>
  </si>
  <si>
    <t>ismael.ebrahimi@barmenia.de</t>
  </si>
  <si>
    <t>00751574</t>
  </si>
  <si>
    <t>Yesmin</t>
  </si>
  <si>
    <t>yesmin.celik@barmenia.de</t>
  </si>
  <si>
    <t>00751580</t>
  </si>
  <si>
    <t>Adryen</t>
  </si>
  <si>
    <t>Mehrmand</t>
  </si>
  <si>
    <t>adryen.mehrmand@barmenia.de</t>
  </si>
  <si>
    <t>00751581</t>
  </si>
  <si>
    <t>Szymon</t>
  </si>
  <si>
    <t>Pabich</t>
  </si>
  <si>
    <t>szymon.pabich@barmenia.de</t>
  </si>
  <si>
    <t>00751591</t>
  </si>
  <si>
    <t>Sereena Jasmin</t>
  </si>
  <si>
    <t>Singh</t>
  </si>
  <si>
    <t>sereena-jasmin.singh@barmenia.de</t>
  </si>
  <si>
    <t>00751600</t>
  </si>
  <si>
    <t>Berdan</t>
  </si>
  <si>
    <t>berdan.ceyran@barmenia.de</t>
  </si>
  <si>
    <t>00751612</t>
  </si>
  <si>
    <t>Calvin</t>
  </si>
  <si>
    <t>Detlefsen</t>
  </si>
  <si>
    <t>calvin.detlefsen@barmenia.de</t>
  </si>
  <si>
    <t>00751613</t>
  </si>
  <si>
    <t>Ronaldo</t>
  </si>
  <si>
    <t>Brogno</t>
  </si>
  <si>
    <t>ronaldo.brogno@barmenia.de</t>
  </si>
  <si>
    <t>00751619</t>
  </si>
  <si>
    <t>Seydanur</t>
  </si>
  <si>
    <t>Gökdemir</t>
  </si>
  <si>
    <t>seydanur.goekdemir@barmenia.de</t>
  </si>
  <si>
    <t>00751626</t>
  </si>
  <si>
    <t>Anil</t>
  </si>
  <si>
    <t>Anik</t>
  </si>
  <si>
    <t>anil.anik@barmenia.de</t>
  </si>
  <si>
    <t>00751648</t>
  </si>
  <si>
    <t>Milad</t>
  </si>
  <si>
    <t>Piri</t>
  </si>
  <si>
    <t>milad.piri@barmenia.de</t>
  </si>
  <si>
    <t>00751650</t>
  </si>
  <si>
    <t>Oskar</t>
  </si>
  <si>
    <t>Wojtylak</t>
  </si>
  <si>
    <t>oskar.wojtylak@barmenia.de</t>
  </si>
  <si>
    <t>00751651</t>
  </si>
  <si>
    <t>James</t>
  </si>
  <si>
    <t>Davison</t>
  </si>
  <si>
    <t>james.davison@barmenia.de</t>
  </si>
  <si>
    <t>00751654</t>
  </si>
  <si>
    <t>Nazar</t>
  </si>
  <si>
    <t>Bayram</t>
  </si>
  <si>
    <t>nazar.bayram@barmenia.de</t>
  </si>
  <si>
    <t>00751655</t>
  </si>
  <si>
    <t>Barone-Paz</t>
  </si>
  <si>
    <t>sabrina.barone-paz@barmenia.de</t>
  </si>
  <si>
    <t>00750287</t>
  </si>
  <si>
    <t>Keshia</t>
  </si>
  <si>
    <t>Birkenstock</t>
  </si>
  <si>
    <t>00751389</t>
  </si>
  <si>
    <t>Hüseyin</t>
  </si>
  <si>
    <t>hueseyin.yildirim@barmenia.de</t>
  </si>
  <si>
    <t>00751409</t>
  </si>
  <si>
    <t>Heß</t>
  </si>
  <si>
    <t>nicole.hess@barmenia.de</t>
  </si>
  <si>
    <t>00751499</t>
  </si>
  <si>
    <t>Bünyamin</t>
  </si>
  <si>
    <t>Mat</t>
  </si>
  <si>
    <t>buenyamin.mat@barmenia.de</t>
  </si>
  <si>
    <t>00751541</t>
  </si>
  <si>
    <t>Sonja</t>
  </si>
  <si>
    <t>Kolle-Hutans</t>
  </si>
  <si>
    <t>00751559</t>
  </si>
  <si>
    <t>Ebelt</t>
  </si>
  <si>
    <t>andreas.ebelt@barmenia.de</t>
  </si>
  <si>
    <t>00751624</t>
  </si>
  <si>
    <t>Can</t>
  </si>
  <si>
    <t>Kapan</t>
  </si>
  <si>
    <t>can.kapan@barmenia.de</t>
  </si>
  <si>
    <t>00751631</t>
  </si>
  <si>
    <t>Diel</t>
  </si>
  <si>
    <t>00750043</t>
  </si>
  <si>
    <t>00751243</t>
  </si>
  <si>
    <t>Reisebüro Central GmbH</t>
  </si>
  <si>
    <t>00751274</t>
  </si>
  <si>
    <t>Gabriele</t>
  </si>
  <si>
    <t>Taraseviciute</t>
  </si>
  <si>
    <t>gabriele.taraseviciute@barmenia.de</t>
  </si>
  <si>
    <t>00751460</t>
  </si>
  <si>
    <t>Alena</t>
  </si>
  <si>
    <t>Julevic</t>
  </si>
  <si>
    <t>alena.julevic@barmenia.de</t>
  </si>
  <si>
    <t>00751507</t>
  </si>
  <si>
    <t>Erkan</t>
  </si>
  <si>
    <t>Hökelekli</t>
  </si>
  <si>
    <t>00750137</t>
  </si>
  <si>
    <t>Kämpfer</t>
  </si>
  <si>
    <t>00751352</t>
  </si>
  <si>
    <t>Meuer</t>
  </si>
  <si>
    <t>jessica.meuer@barmenia.de</t>
  </si>
  <si>
    <t>00770464</t>
  </si>
  <si>
    <t>0077</t>
  </si>
  <si>
    <t>Kassel</t>
  </si>
  <si>
    <t>Mark</t>
  </si>
  <si>
    <t>Jordan</t>
  </si>
  <si>
    <t>mark.jordan@barmenia.de</t>
  </si>
  <si>
    <t>00770526</t>
  </si>
  <si>
    <t>Johanna</t>
  </si>
  <si>
    <t>Schweiner</t>
  </si>
  <si>
    <t>johanna.schweiner@barmenia.de</t>
  </si>
  <si>
    <t>00771583</t>
  </si>
  <si>
    <t>Zinaida</t>
  </si>
  <si>
    <t>Göllner</t>
  </si>
  <si>
    <t>zinaida.goellner@barmenia.de</t>
  </si>
  <si>
    <t>00771696</t>
  </si>
  <si>
    <t>Renate</t>
  </si>
  <si>
    <t>Littmann</t>
  </si>
  <si>
    <t>renate.littmann@barmenia.de</t>
  </si>
  <si>
    <t>00770559</t>
  </si>
  <si>
    <t>Jan Paolo</t>
  </si>
  <si>
    <t>Heere</t>
  </si>
  <si>
    <t>jan-paolo.heere@barmenia.de</t>
  </si>
  <si>
    <t>00770570</t>
  </si>
  <si>
    <t>Emre Can</t>
  </si>
  <si>
    <t>Budak</t>
  </si>
  <si>
    <t>emre-can.budak@barmenia.de</t>
  </si>
  <si>
    <t>00770571</t>
  </si>
  <si>
    <t>Hüttel</t>
  </si>
  <si>
    <t>andrea.huettel@barmenia.de</t>
  </si>
  <si>
    <t>00770300</t>
  </si>
  <si>
    <t>Buhle</t>
  </si>
  <si>
    <t>benjamin.buhle@barmenia.de</t>
  </si>
  <si>
    <t>00770417</t>
  </si>
  <si>
    <t>Giesler</t>
  </si>
  <si>
    <t>patrick.giesler@barmenia.de</t>
  </si>
  <si>
    <t>00770428</t>
  </si>
  <si>
    <t>Krug</t>
  </si>
  <si>
    <t>ronald.krug@barmenia.de</t>
  </si>
  <si>
    <t>00770563</t>
  </si>
  <si>
    <t>Koch</t>
  </si>
  <si>
    <t>torsten.koch@barmenia.de</t>
  </si>
  <si>
    <t>00771186</t>
  </si>
  <si>
    <t>Martschinke</t>
  </si>
  <si>
    <t>ursula.martschinke@barmenia.de</t>
  </si>
  <si>
    <t>00770265</t>
  </si>
  <si>
    <t>Korell &amp; Lutz oHG</t>
  </si>
  <si>
    <t>korell-lutz-ohg@barmenia.de</t>
  </si>
  <si>
    <t>00790508</t>
  </si>
  <si>
    <t>0079</t>
  </si>
  <si>
    <t>München</t>
  </si>
  <si>
    <t>VD München</t>
  </si>
  <si>
    <t>Süß</t>
  </si>
  <si>
    <t>manuela.suess@barmenia.de</t>
  </si>
  <si>
    <t>00790595</t>
  </si>
  <si>
    <t>Rossmann</t>
  </si>
  <si>
    <t>00791120</t>
  </si>
  <si>
    <t>Ingelore</t>
  </si>
  <si>
    <t>ingelore.mueller@barmenia.de</t>
  </si>
  <si>
    <t>00791283</t>
  </si>
  <si>
    <t>Hans</t>
  </si>
  <si>
    <t>Wolff von Schutter</t>
  </si>
  <si>
    <t>hans.wolff-von-schutter@barmenia.de</t>
  </si>
  <si>
    <t>00791326</t>
  </si>
  <si>
    <t>00791425</t>
  </si>
  <si>
    <t>maximilian.wolff-von-schutter@barmenia.de</t>
  </si>
  <si>
    <t>00791488</t>
  </si>
  <si>
    <t>Wiegandt</t>
  </si>
  <si>
    <t>manfred.wiegandt@barmenia.de</t>
  </si>
  <si>
    <t>00791491</t>
  </si>
  <si>
    <t>Windstetter</t>
  </si>
  <si>
    <t>stefan.windstetter@barmenia.de</t>
  </si>
  <si>
    <t>00791492</t>
  </si>
  <si>
    <t>Arnd Leo</t>
  </si>
  <si>
    <t>Gauklitz</t>
  </si>
  <si>
    <t>arnd-leo.gauklitz@barmenia.de</t>
  </si>
  <si>
    <t>00791505</t>
  </si>
  <si>
    <t>Prankl</t>
  </si>
  <si>
    <t>thomas.prankl@barmenia.de</t>
  </si>
  <si>
    <t>00791521</t>
  </si>
  <si>
    <t>Akkus</t>
  </si>
  <si>
    <t>kenan.akkus@barmenia.de</t>
  </si>
  <si>
    <t>00791526</t>
  </si>
  <si>
    <t>Sturm</t>
  </si>
  <si>
    <t>bernhard.sturm@barmenia.de</t>
  </si>
  <si>
    <t>00791527</t>
  </si>
  <si>
    <t>Versicherungsagentur Geibig oHG</t>
  </si>
  <si>
    <t>00791528</t>
  </si>
  <si>
    <t>Timmler</t>
  </si>
  <si>
    <t>carolin.timmler@barmenia.de</t>
  </si>
  <si>
    <t>00791531</t>
  </si>
  <si>
    <t>Stephanie</t>
  </si>
  <si>
    <t>Kreutz</t>
  </si>
  <si>
    <t>stephanie.kreutz@barmenia.de</t>
  </si>
  <si>
    <t>00791534</t>
  </si>
  <si>
    <t>Fabian</t>
  </si>
  <si>
    <t>Kleinsasser</t>
  </si>
  <si>
    <t>fabian.kleinsasser@barmenia.de</t>
  </si>
  <si>
    <t>00791535</t>
  </si>
  <si>
    <t>Jona</t>
  </si>
  <si>
    <t>Schwarzenbeck</t>
  </si>
  <si>
    <t>jona.schwarzenbeck@barmenia.de</t>
  </si>
  <si>
    <t>00791558</t>
  </si>
  <si>
    <t>Simon</t>
  </si>
  <si>
    <t>christian.simon@barmenia.de</t>
  </si>
  <si>
    <t>00791561</t>
  </si>
  <si>
    <t>Maßmann</t>
  </si>
  <si>
    <t>timo.massmann@barmenia.de</t>
  </si>
  <si>
    <t>00791577</t>
  </si>
  <si>
    <t>Scholl</t>
  </si>
  <si>
    <t>johannes.scholl@barmenia.de</t>
  </si>
  <si>
    <t>00791584</t>
  </si>
  <si>
    <t>Radwan</t>
  </si>
  <si>
    <t>tobias.radwan@barmenia.de</t>
  </si>
  <si>
    <t>00791609</t>
  </si>
  <si>
    <t>Cigdem</t>
  </si>
  <si>
    <t>Tuncay</t>
  </si>
  <si>
    <t>cigdem.tuncay@barmenia.de</t>
  </si>
  <si>
    <t>00791613</t>
  </si>
  <si>
    <t>Garbe</t>
  </si>
  <si>
    <t>siegfried.garbe@barmenia.de</t>
  </si>
  <si>
    <t>00791619</t>
  </si>
  <si>
    <t>Mattern</t>
  </si>
  <si>
    <t>daniel.mattern@barmenia.de</t>
  </si>
  <si>
    <t>00791622</t>
  </si>
  <si>
    <t>Michael Elias</t>
  </si>
  <si>
    <t>Kitzeder</t>
  </si>
  <si>
    <t>michael-elias.kitzeder@barmenia.de</t>
  </si>
  <si>
    <t>00791625</t>
  </si>
  <si>
    <t>Manuel</t>
  </si>
  <si>
    <t>Neuberger</t>
  </si>
  <si>
    <t>manuel.neuberger@barmenia.de</t>
  </si>
  <si>
    <t>00791626</t>
  </si>
  <si>
    <t>Nils</t>
  </si>
  <si>
    <t>nils.timmler@barmenia.de</t>
  </si>
  <si>
    <t>00791627</t>
  </si>
  <si>
    <t>Retzke</t>
  </si>
  <si>
    <t>sandra.retzke@barmenia.de</t>
  </si>
  <si>
    <t>00791628</t>
  </si>
  <si>
    <t>Mehmet</t>
  </si>
  <si>
    <t>Ünal</t>
  </si>
  <si>
    <t>mehmet.uenal@barmenia.de</t>
  </si>
  <si>
    <t>00791636</t>
  </si>
  <si>
    <t>Brutscher</t>
  </si>
  <si>
    <t>philipp.brutscher@barmenia.de</t>
  </si>
  <si>
    <t>00790606</t>
  </si>
  <si>
    <t>Aigner</t>
  </si>
  <si>
    <t>00791529</t>
  </si>
  <si>
    <t>andreas.schneider@barmenia.de</t>
  </si>
  <si>
    <t>00791647</t>
  </si>
  <si>
    <t>Mühldorfer</t>
  </si>
  <si>
    <t>matthias.muehldorfer@barmenia.de</t>
  </si>
  <si>
    <t>00791653</t>
  </si>
  <si>
    <t>Streit</t>
  </si>
  <si>
    <t>juergen.streit@barmenia.de</t>
  </si>
  <si>
    <t>00791654</t>
  </si>
  <si>
    <t>Krystian</t>
  </si>
  <si>
    <t>Gul</t>
  </si>
  <si>
    <t>krystian.gul@barmenia.de</t>
  </si>
  <si>
    <t>00791655</t>
  </si>
  <si>
    <t>Robin</t>
  </si>
  <si>
    <t>Ringlstetter</t>
  </si>
  <si>
    <t>robin.ringlstetter@barmenia.de</t>
  </si>
  <si>
    <t>00791650</t>
  </si>
  <si>
    <t>Neuhauser</t>
  </si>
  <si>
    <t>felix.neuhauser@barmenia.de</t>
  </si>
  <si>
    <t>00791657</t>
  </si>
  <si>
    <t>Bech</t>
  </si>
  <si>
    <t>roland.bech@barmenia.de</t>
  </si>
  <si>
    <t>00791658</t>
  </si>
  <si>
    <t>Zdenka</t>
  </si>
  <si>
    <t>zdenka.uenal@barmenia.de</t>
  </si>
  <si>
    <t>00791659</t>
  </si>
  <si>
    <t>Vjollca</t>
  </si>
  <si>
    <t>Qela</t>
  </si>
  <si>
    <t>vjollca.qela@barmenia.de</t>
  </si>
  <si>
    <t>00791660</t>
  </si>
  <si>
    <t>Ferdinand</t>
  </si>
  <si>
    <t>ferdinand.rossmann@barmenia.de</t>
  </si>
  <si>
    <t>00791641</t>
  </si>
  <si>
    <t>Fürstler</t>
  </si>
  <si>
    <t>manfred.fuerstler@barmenia.de</t>
  </si>
  <si>
    <t>00791645</t>
  </si>
  <si>
    <t>Jonas</t>
  </si>
  <si>
    <t>Freese</t>
  </si>
  <si>
    <t>jonas.freese@barmenia.de</t>
  </si>
  <si>
    <t>00800131</t>
  </si>
  <si>
    <t>0080</t>
  </si>
  <si>
    <t>Nürnberg</t>
  </si>
  <si>
    <t>VD Nürnberg</t>
  </si>
  <si>
    <t>Horst</t>
  </si>
  <si>
    <t>Höhlein</t>
  </si>
  <si>
    <t>horst.hoehlein@barmenia.de</t>
  </si>
  <si>
    <t>00800250</t>
  </si>
  <si>
    <t>Hans-Peter</t>
  </si>
  <si>
    <t>Pertsch</t>
  </si>
  <si>
    <t>hans-peter.pertsch@barmenia.de</t>
  </si>
  <si>
    <t>00800357</t>
  </si>
  <si>
    <t>Rainer</t>
  </si>
  <si>
    <t>Wenzl</t>
  </si>
  <si>
    <t>rainer.wenzl@barmenia.de</t>
  </si>
  <si>
    <t>00800951</t>
  </si>
  <si>
    <t>christian.mueller@barmenia.de</t>
  </si>
  <si>
    <t>00800141</t>
  </si>
  <si>
    <t>Anders</t>
  </si>
  <si>
    <t>uwe.anders@barmenia.de</t>
  </si>
  <si>
    <t>00800162</t>
  </si>
  <si>
    <t>Georg</t>
  </si>
  <si>
    <t>Kinzel</t>
  </si>
  <si>
    <t>georg.kinzel@barmenia.de</t>
  </si>
  <si>
    <t>00800163</t>
  </si>
  <si>
    <t>Susann</t>
  </si>
  <si>
    <t>Schuster</t>
  </si>
  <si>
    <t>susann.schuster@barmenia.de</t>
  </si>
  <si>
    <t>00800307</t>
  </si>
  <si>
    <t>Eckstein</t>
  </si>
  <si>
    <t>bernd-konrad.eckstein@barmenia.de</t>
  </si>
  <si>
    <t>00800450</t>
  </si>
  <si>
    <t>Roland Hubert</t>
  </si>
  <si>
    <t>Götz</t>
  </si>
  <si>
    <t>00800528</t>
  </si>
  <si>
    <t>Haßler</t>
  </si>
  <si>
    <t>00800659</t>
  </si>
  <si>
    <t>Purrucker</t>
  </si>
  <si>
    <t>sabine.purrucker@barmenia.de</t>
  </si>
  <si>
    <t>00801004</t>
  </si>
  <si>
    <t>tobias.hassler@barmenia.de</t>
  </si>
  <si>
    <t>00801084</t>
  </si>
  <si>
    <t>Zippel</t>
  </si>
  <si>
    <t>klaus.zippel@barmenia.de</t>
  </si>
  <si>
    <t>00801091</t>
  </si>
  <si>
    <t>Markus Walter</t>
  </si>
  <si>
    <t>Bettenhausen</t>
  </si>
  <si>
    <t>markus.bettenhausen@barmenia.de</t>
  </si>
  <si>
    <t>00801092</t>
  </si>
  <si>
    <t>Weidinger</t>
  </si>
  <si>
    <t>reinhold.weidinger@barmenia.de</t>
  </si>
  <si>
    <t>00801096</t>
  </si>
  <si>
    <t>Hoch</t>
  </si>
  <si>
    <t>katharina.hoch@barmenia.de</t>
  </si>
  <si>
    <t>00801097</t>
  </si>
  <si>
    <t>Martina</t>
  </si>
  <si>
    <t>Feddrich</t>
  </si>
  <si>
    <t>martina.feddrich@barmenia.de</t>
  </si>
  <si>
    <t>00801162</t>
  </si>
  <si>
    <t>Steinhäuser</t>
  </si>
  <si>
    <t>pascal.steinhaeuser@barmenia.de</t>
  </si>
  <si>
    <t>00801185</t>
  </si>
  <si>
    <t>Solomon</t>
  </si>
  <si>
    <t>Kulok</t>
  </si>
  <si>
    <t>solomon.kulok@barmenia.de</t>
  </si>
  <si>
    <t>00801188</t>
  </si>
  <si>
    <t>Ergöz</t>
  </si>
  <si>
    <t>can.ergoez@barmenia.de</t>
  </si>
  <si>
    <t>00801233</t>
  </si>
  <si>
    <t>Celine</t>
  </si>
  <si>
    <t>celine.weidinger@barmenia.de</t>
  </si>
  <si>
    <t>00801235</t>
  </si>
  <si>
    <t>Fenzel</t>
  </si>
  <si>
    <t>luca.fenzel@barmenia.de</t>
  </si>
  <si>
    <t>00801254</t>
  </si>
  <si>
    <t>maximilian.goetz@barmenia.de</t>
  </si>
  <si>
    <t>00801249</t>
  </si>
  <si>
    <t>Körn</t>
  </si>
  <si>
    <t>sebastian.koern@barmenia.de</t>
  </si>
  <si>
    <t>00801258</t>
  </si>
  <si>
    <t>Entela</t>
  </si>
  <si>
    <t>Kastrati</t>
  </si>
  <si>
    <t>entela.kastrati@barmenia.de</t>
  </si>
  <si>
    <t>00801265</t>
  </si>
  <si>
    <t>Petroschka</t>
  </si>
  <si>
    <t>sascha.petroschka@barmenia.de</t>
  </si>
  <si>
    <t>00800007</t>
  </si>
  <si>
    <t>FA Franken Mitte SLD Gmbh&amp;Co.KG</t>
  </si>
  <si>
    <t>finanzagentur-franken-mitte@barmenia.de</t>
  </si>
  <si>
    <t>00800081</t>
  </si>
  <si>
    <t>felix.bauer@barmenia.de</t>
  </si>
  <si>
    <t>00800352</t>
  </si>
  <si>
    <t>Peine</t>
  </si>
  <si>
    <t>00800491</t>
  </si>
  <si>
    <t>ASF Assek.service Feucht GmbH</t>
  </si>
  <si>
    <t>asf-gmbh@barmenia.de</t>
  </si>
  <si>
    <t>00801026</t>
  </si>
  <si>
    <t>Heribert Paul</t>
  </si>
  <si>
    <t>Holfelder</t>
  </si>
  <si>
    <t>heribert-paul.holfelder@barmenia.de</t>
  </si>
  <si>
    <t>00801064</t>
  </si>
  <si>
    <t>Volkert</t>
  </si>
  <si>
    <t>joachim.volkert@barmenia.de</t>
  </si>
  <si>
    <t>00801113</t>
  </si>
  <si>
    <t>Schemm</t>
  </si>
  <si>
    <t>christian.schemm@barmenia.de</t>
  </si>
  <si>
    <t>00801114</t>
  </si>
  <si>
    <t>Altmann</t>
  </si>
  <si>
    <t>oliver.altmann@barmenia.de</t>
  </si>
  <si>
    <t>00801116</t>
  </si>
  <si>
    <t>Prozeller</t>
  </si>
  <si>
    <t>bernhard.prozeller@barmenia.de</t>
  </si>
  <si>
    <t>00801119</t>
  </si>
  <si>
    <t>Attila</t>
  </si>
  <si>
    <t>Lurtz</t>
  </si>
  <si>
    <t>00801127</t>
  </si>
  <si>
    <t>Obenauf</t>
  </si>
  <si>
    <t>michael.obenauf@barmenia.de</t>
  </si>
  <si>
    <t>00801211</t>
  </si>
  <si>
    <t>Korur</t>
  </si>
  <si>
    <t>dilara.korur@barmenia.de</t>
  </si>
  <si>
    <t>00801212</t>
  </si>
  <si>
    <t>Yildirimer</t>
  </si>
  <si>
    <t>can.yildirimer@barmenia.de</t>
  </si>
  <si>
    <t>00801230</t>
  </si>
  <si>
    <t>Giuliano</t>
  </si>
  <si>
    <t>Belibasakis</t>
  </si>
  <si>
    <t>giuliano.belibasakis@barmenia.de</t>
  </si>
  <si>
    <t>00801253</t>
  </si>
  <si>
    <t>Jieyu</t>
  </si>
  <si>
    <t>Ran</t>
  </si>
  <si>
    <t>jieyu.ran@barmenia.de</t>
  </si>
  <si>
    <t>00801252</t>
  </si>
  <si>
    <t>Marcus</t>
  </si>
  <si>
    <t>Vishtak</t>
  </si>
  <si>
    <t>marcus.vishtak@barmenia.de</t>
  </si>
  <si>
    <t>00801255</t>
  </si>
  <si>
    <t>Williams</t>
  </si>
  <si>
    <t>sabrina.williams@barmenia.de</t>
  </si>
  <si>
    <t>00801267</t>
  </si>
  <si>
    <t>Sila</t>
  </si>
  <si>
    <t>Kesici</t>
  </si>
  <si>
    <t>sila.kesici@barmenia.de</t>
  </si>
  <si>
    <t>00801095</t>
  </si>
  <si>
    <t>Pia</t>
  </si>
  <si>
    <t>pia.obenauf@barmenia.de</t>
  </si>
  <si>
    <t>00801115</t>
  </si>
  <si>
    <t>Hermann</t>
  </si>
  <si>
    <t>hermann.schemm@barmenia.de</t>
  </si>
  <si>
    <t>00801240</t>
  </si>
  <si>
    <t>Protect Profi UG</t>
  </si>
  <si>
    <t>protectprofi-ug@barmenia.de</t>
  </si>
  <si>
    <t>00801241</t>
  </si>
  <si>
    <t>Fenn</t>
  </si>
  <si>
    <t>tobias.fenn@mfg-info.de</t>
  </si>
  <si>
    <t>00801061</t>
  </si>
  <si>
    <t>00791669</t>
  </si>
  <si>
    <t>Broßmer</t>
  </si>
  <si>
    <t>frank.brossmer@barmenia.de</t>
  </si>
  <si>
    <t>00801101</t>
  </si>
  <si>
    <t>00791676</t>
  </si>
  <si>
    <t>Jung</t>
  </si>
  <si>
    <t>00801103</t>
  </si>
  <si>
    <t>00791670</t>
  </si>
  <si>
    <t>Rauch</t>
  </si>
  <si>
    <t>manfred.rauch@barmenia.de</t>
  </si>
  <si>
    <t>00801104</t>
  </si>
  <si>
    <t>00791677</t>
  </si>
  <si>
    <t>Hans-Joachim</t>
  </si>
  <si>
    <t>Kollmer</t>
  </si>
  <si>
    <t>00801105</t>
  </si>
  <si>
    <t>00791671</t>
  </si>
  <si>
    <t>Antonie</t>
  </si>
  <si>
    <t>Heinzelmeier</t>
  </si>
  <si>
    <t>antonie.heinzelmeier@barmenia.de</t>
  </si>
  <si>
    <t>00801176</t>
  </si>
  <si>
    <t>00791664</t>
  </si>
  <si>
    <t>Geier</t>
  </si>
  <si>
    <t>bernhard.geier@barmenia.de</t>
  </si>
  <si>
    <t>00801194</t>
  </si>
  <si>
    <t>00791672</t>
  </si>
  <si>
    <t>Sine</t>
  </si>
  <si>
    <t>tekin.sine@barmenia.de</t>
  </si>
  <si>
    <t>00801200</t>
  </si>
  <si>
    <t>00791673</t>
  </si>
  <si>
    <t>Josef</t>
  </si>
  <si>
    <t>Würf</t>
  </si>
  <si>
    <t>josef.wuerf@barmenia.de</t>
  </si>
  <si>
    <t>00801228</t>
  </si>
  <si>
    <t>00791674</t>
  </si>
  <si>
    <t>Devit</t>
  </si>
  <si>
    <t>Gabriel</t>
  </si>
  <si>
    <t>devit.gabriel@barmenia.de</t>
  </si>
  <si>
    <t>00811101</t>
  </si>
  <si>
    <t>Cinar</t>
  </si>
  <si>
    <t>mehmet.cinar@barmenia.de</t>
  </si>
  <si>
    <t>00811116</t>
  </si>
  <si>
    <t>Janik</t>
  </si>
  <si>
    <t>Michel</t>
  </si>
  <si>
    <t>janik.michel@barmenia.de</t>
  </si>
  <si>
    <t>00811758</t>
  </si>
  <si>
    <t>Weibing</t>
  </si>
  <si>
    <t>Shi-Schienle</t>
  </si>
  <si>
    <t>00811118</t>
  </si>
  <si>
    <t>oliver.kirchner@barmenia.de</t>
  </si>
  <si>
    <t>00810689</t>
  </si>
  <si>
    <t>Männer</t>
  </si>
  <si>
    <t>00810823</t>
  </si>
  <si>
    <t>Jenne</t>
  </si>
  <si>
    <t>dieter.jenne@barmenia.de</t>
  </si>
  <si>
    <t>00811067</t>
  </si>
  <si>
    <t>Linda</t>
  </si>
  <si>
    <t>Eisenmann</t>
  </si>
  <si>
    <t>linda.eisenmann@barmenia.de</t>
  </si>
  <si>
    <t>00811081</t>
  </si>
  <si>
    <t>Gülten</t>
  </si>
  <si>
    <t>Tokat</t>
  </si>
  <si>
    <t>guelten.tokat@barmenia.de</t>
  </si>
  <si>
    <t>00811094</t>
  </si>
  <si>
    <t>Agron</t>
  </si>
  <si>
    <t>Ferizaj</t>
  </si>
  <si>
    <t>agron.ferizaj@barmenia.de</t>
  </si>
  <si>
    <t>00811107</t>
  </si>
  <si>
    <t>Totzke</t>
  </si>
  <si>
    <t>joachim.totzke@barmenia.de</t>
  </si>
  <si>
    <t>00811124</t>
  </si>
  <si>
    <t>Viktor</t>
  </si>
  <si>
    <t>Kessler</t>
  </si>
  <si>
    <t>viktor.kessler@barmenia.de</t>
  </si>
  <si>
    <t>00811127</t>
  </si>
  <si>
    <t>Laura</t>
  </si>
  <si>
    <t>Madeo</t>
  </si>
  <si>
    <t>laura.madeo@barmenia.de</t>
  </si>
  <si>
    <t>00810046</t>
  </si>
  <si>
    <t>Pudritz</t>
  </si>
  <si>
    <t>00810099</t>
  </si>
  <si>
    <t>Mader</t>
  </si>
  <si>
    <t>markus.mader@barmenia.de</t>
  </si>
  <si>
    <t>00810165</t>
  </si>
  <si>
    <t>Hannelore</t>
  </si>
  <si>
    <t>Halama-Kok</t>
  </si>
  <si>
    <t>00810614</t>
  </si>
  <si>
    <t>Sanberger</t>
  </si>
  <si>
    <t>joachim.sanberger@barmenia.de</t>
  </si>
  <si>
    <t>00810730</t>
  </si>
  <si>
    <t>Steffel</t>
  </si>
  <si>
    <t>david.steffel@barmenia.de</t>
  </si>
  <si>
    <t>00810933</t>
  </si>
  <si>
    <t>Hans Peter</t>
  </si>
  <si>
    <t>Huff</t>
  </si>
  <si>
    <t>hans-peter.huff@barmenia.de</t>
  </si>
  <si>
    <t>00811052</t>
  </si>
  <si>
    <t>Narciso</t>
  </si>
  <si>
    <t>Filho</t>
  </si>
  <si>
    <t>narciso.filho@barmenia.de</t>
  </si>
  <si>
    <t>00811055</t>
  </si>
  <si>
    <t>Löbmann</t>
  </si>
  <si>
    <t>alexander.loebmann@barmenia.de</t>
  </si>
  <si>
    <t>00811087</t>
  </si>
  <si>
    <t>Walter</t>
  </si>
  <si>
    <t>heiko.walter@barmenia.de</t>
  </si>
  <si>
    <t>00811106</t>
  </si>
  <si>
    <t>Karin</t>
  </si>
  <si>
    <t>Schitterle</t>
  </si>
  <si>
    <t>karin.schitterle@barmenia.de</t>
  </si>
  <si>
    <t>00811108</t>
  </si>
  <si>
    <t>Scheurle</t>
  </si>
  <si>
    <t>alexander.scheurle@barmenia.de</t>
  </si>
  <si>
    <t>00811120</t>
  </si>
  <si>
    <t>Fritz</t>
  </si>
  <si>
    <t>sascha.fritz@barmenia.de</t>
  </si>
  <si>
    <t>00811122</t>
  </si>
  <si>
    <t>Marcello</t>
  </si>
  <si>
    <t>Tostoni</t>
  </si>
  <si>
    <t>marcello.tostoni@barmenia.de</t>
  </si>
  <si>
    <t>00811102</t>
  </si>
  <si>
    <t>Wäschle</t>
  </si>
  <si>
    <t>felix.waeschle@barmenia.de</t>
  </si>
  <si>
    <t>00811147</t>
  </si>
  <si>
    <t>Lambert</t>
  </si>
  <si>
    <t>andre.lambert@barmenia.de</t>
  </si>
  <si>
    <t>00811149</t>
  </si>
  <si>
    <t>Jasmin</t>
  </si>
  <si>
    <t>Walden</t>
  </si>
  <si>
    <t>jasmin.walden@barmenia.de</t>
  </si>
  <si>
    <t>00811150</t>
  </si>
  <si>
    <t>Melih</t>
  </si>
  <si>
    <t>melih.cinar@barmenia.de</t>
  </si>
  <si>
    <t>00811152</t>
  </si>
  <si>
    <t>Anna Marleen</t>
  </si>
  <si>
    <t>anna-marleen.schroeder@barmenia.de</t>
  </si>
  <si>
    <t>00811160</t>
  </si>
  <si>
    <t>julia.maenner@barmenia.de</t>
  </si>
  <si>
    <t>00811165</t>
  </si>
  <si>
    <t>Latisha Lashee</t>
  </si>
  <si>
    <t>Jackson</t>
  </si>
  <si>
    <t>latisha-lashee.jackson@barmenia.de</t>
  </si>
  <si>
    <t>00811198</t>
  </si>
  <si>
    <t>Jeremias OHG</t>
  </si>
  <si>
    <t>agentur-jeremias@barmenia.de</t>
  </si>
  <si>
    <t>00811144</t>
  </si>
  <si>
    <t>Elmer</t>
  </si>
  <si>
    <t>siegfried.elmer@barmenia.de</t>
  </si>
  <si>
    <t>00810220</t>
  </si>
  <si>
    <t>Georg-Christ.</t>
  </si>
  <si>
    <t>Stockinger</t>
  </si>
  <si>
    <t>00810675</t>
  </si>
  <si>
    <t>Sascha Michael</t>
  </si>
  <si>
    <t>König</t>
  </si>
  <si>
    <t>sascha.koenig@barmenia.de</t>
  </si>
  <si>
    <t>00811098</t>
  </si>
  <si>
    <t>Rosemann</t>
  </si>
  <si>
    <t>max.rosemann@barmenia.de</t>
  </si>
  <si>
    <t>00811647</t>
  </si>
  <si>
    <t>00791678</t>
  </si>
  <si>
    <t>N.C. Leasing GmbH</t>
  </si>
  <si>
    <t>00811764</t>
  </si>
  <si>
    <t>00791679</t>
  </si>
  <si>
    <t>Alfio</t>
  </si>
  <si>
    <t>Piazza</t>
  </si>
  <si>
    <t>alfio.piazza@barmenia.de</t>
  </si>
  <si>
    <t>00830366</t>
  </si>
  <si>
    <t>0083</t>
  </si>
  <si>
    <t>Saarbrücken</t>
  </si>
  <si>
    <t>Hussong</t>
  </si>
  <si>
    <t>joerg.hussong@barmenia.de</t>
  </si>
  <si>
    <t>00830465</t>
  </si>
  <si>
    <t>Gerhard</t>
  </si>
  <si>
    <t>Gering</t>
  </si>
  <si>
    <t>gerhard.gering@barmenia.de</t>
  </si>
  <si>
    <t>00830603</t>
  </si>
  <si>
    <t>Klaus-Dieter</t>
  </si>
  <si>
    <t>Wolf</t>
  </si>
  <si>
    <t>klaus-dieter.wolf@barmenia.de</t>
  </si>
  <si>
    <t>00830724</t>
  </si>
  <si>
    <t>Jacobs und Hanser OHG</t>
  </si>
  <si>
    <t>jacobs-hanser-ohg@barmenia.de</t>
  </si>
  <si>
    <t>00830761</t>
  </si>
  <si>
    <t>Natascha</t>
  </si>
  <si>
    <t>Limbach</t>
  </si>
  <si>
    <t>natascha.limbach@barmenia.de</t>
  </si>
  <si>
    <t>00830171</t>
  </si>
  <si>
    <t>Hartmann</t>
  </si>
  <si>
    <t>stephanie.hartmann@barmenia.de</t>
  </si>
  <si>
    <t>00830182</t>
  </si>
  <si>
    <t>Annen</t>
  </si>
  <si>
    <t>00830240</t>
  </si>
  <si>
    <t>Schuft</t>
  </si>
  <si>
    <t>ruediger.schuft@barmenia.de</t>
  </si>
  <si>
    <t>00830515</t>
  </si>
  <si>
    <t>Wagner</t>
  </si>
  <si>
    <t>timo.wagner@barmenia.de</t>
  </si>
  <si>
    <t>00830599</t>
  </si>
  <si>
    <t>Jaskaran</t>
  </si>
  <si>
    <t>jaskaran.singh@barmenia.de</t>
  </si>
  <si>
    <t>00830607</t>
  </si>
  <si>
    <t>Fiorica &amp; Rudi oHG</t>
  </si>
  <si>
    <t>fiorica-rudi-ohg@barmenia.de</t>
  </si>
  <si>
    <t>00831202</t>
  </si>
  <si>
    <t>Diego</t>
  </si>
  <si>
    <t>Marasca</t>
  </si>
  <si>
    <t>diego.marasca@barmenia.de</t>
  </si>
  <si>
    <t>00830201</t>
  </si>
  <si>
    <t>Milan</t>
  </si>
  <si>
    <t>Oskan</t>
  </si>
  <si>
    <t>milan.oskan@barmenia.de</t>
  </si>
  <si>
    <t>00830134</t>
  </si>
  <si>
    <t>00701134</t>
  </si>
  <si>
    <t>Lundgrün</t>
  </si>
  <si>
    <t>waldemar.lundgruen@barmenia.de</t>
  </si>
  <si>
    <t>00830246</t>
  </si>
  <si>
    <t>00701246</t>
  </si>
  <si>
    <t>Haberlach</t>
  </si>
  <si>
    <t>daniel.haberlach@barmenia.de</t>
  </si>
  <si>
    <t>00830254</t>
  </si>
  <si>
    <t>00701254</t>
  </si>
  <si>
    <t>Christer</t>
  </si>
  <si>
    <t>Englund</t>
  </si>
  <si>
    <t>christer.englund@barmenia.de</t>
  </si>
  <si>
    <t>00830390</t>
  </si>
  <si>
    <t>00701390</t>
  </si>
  <si>
    <t>Achim</t>
  </si>
  <si>
    <t>Schäfer</t>
  </si>
  <si>
    <t>achim.schaefer@barmenia.de</t>
  </si>
  <si>
    <t>00830565</t>
  </si>
  <si>
    <t>00701565</t>
  </si>
  <si>
    <t>Ralf</t>
  </si>
  <si>
    <t>Göppner</t>
  </si>
  <si>
    <t>ralf.goeppner@barmenia.de</t>
  </si>
  <si>
    <t>00831060</t>
  </si>
  <si>
    <t>00701060</t>
  </si>
  <si>
    <t>Adolf</t>
  </si>
  <si>
    <t>Kallmayer</t>
  </si>
  <si>
    <t>adolf.kallmayer@barmenia.de</t>
  </si>
  <si>
    <t>00831079</t>
  </si>
  <si>
    <t>00701079</t>
  </si>
  <si>
    <t>Catherine</t>
  </si>
  <si>
    <t>Hellmig</t>
  </si>
  <si>
    <t>catherine.hellmig@barmenia.de</t>
  </si>
  <si>
    <t>00840285</t>
  </si>
  <si>
    <t>0084</t>
  </si>
  <si>
    <t>Freiburg</t>
  </si>
  <si>
    <t>Cornelia</t>
  </si>
  <si>
    <t>Waidmann</t>
  </si>
  <si>
    <t>cornelia.waidmann@barmenia.de</t>
  </si>
  <si>
    <t>00840355</t>
  </si>
  <si>
    <t>Adrian</t>
  </si>
  <si>
    <t>Riesterer</t>
  </si>
  <si>
    <t>adrian.riesterer@barmenia.de</t>
  </si>
  <si>
    <t>00840412</t>
  </si>
  <si>
    <t>Haas</t>
  </si>
  <si>
    <t>dominik.haas@barmenia.de</t>
  </si>
  <si>
    <t>00840416</t>
  </si>
  <si>
    <t>Karlheinz</t>
  </si>
  <si>
    <t>Klinke</t>
  </si>
  <si>
    <t>00840428</t>
  </si>
  <si>
    <t>Holger Udo</t>
  </si>
  <si>
    <t>Knöller</t>
  </si>
  <si>
    <t>holger-udo.knoeller@barmenia.de</t>
  </si>
  <si>
    <t>00840437</t>
  </si>
  <si>
    <t>Jankowski</t>
  </si>
  <si>
    <t>00840499</t>
  </si>
  <si>
    <t>Wassmer</t>
  </si>
  <si>
    <t>00840513</t>
  </si>
  <si>
    <t>Löffler</t>
  </si>
  <si>
    <t>florian.loeffler@barmenia.de</t>
  </si>
  <si>
    <t>00840516</t>
  </si>
  <si>
    <t>Sajed</t>
  </si>
  <si>
    <t>Al Kasabreh</t>
  </si>
  <si>
    <t>sajed.al-kasabreh@barmenia.de</t>
  </si>
  <si>
    <t>00840535</t>
  </si>
  <si>
    <t>Claudia</t>
  </si>
  <si>
    <t>Jahn</t>
  </si>
  <si>
    <t>claudia.jahn@barmenia.de</t>
  </si>
  <si>
    <t>00840539</t>
  </si>
  <si>
    <t>Tatjana</t>
  </si>
  <si>
    <t>Meienreis</t>
  </si>
  <si>
    <t>tatjana.meienreis@barmenia.de</t>
  </si>
  <si>
    <t>00840741</t>
  </si>
  <si>
    <t>Berthold</t>
  </si>
  <si>
    <t>Willmann</t>
  </si>
  <si>
    <t>berthold.willmann@barmenia.de</t>
  </si>
  <si>
    <t>00840742</t>
  </si>
  <si>
    <t>Reiner</t>
  </si>
  <si>
    <t>Gißler</t>
  </si>
  <si>
    <t>00840786</t>
  </si>
  <si>
    <t>Martin Franzes</t>
  </si>
  <si>
    <t>Sifer</t>
  </si>
  <si>
    <t>martin-franzes.sifer@barmenia.de</t>
  </si>
  <si>
    <t>00840541</t>
  </si>
  <si>
    <t>kerstin.mueller@barmenia.de</t>
  </si>
  <si>
    <t>00840256</t>
  </si>
  <si>
    <t>00811176</t>
  </si>
  <si>
    <t>Weikert</t>
  </si>
  <si>
    <t>00840265</t>
  </si>
  <si>
    <t>00811177</t>
  </si>
  <si>
    <t>Riehle</t>
  </si>
  <si>
    <t>juergen.riehle@barmenia.de</t>
  </si>
  <si>
    <t>00900349</t>
  </si>
  <si>
    <t>Mareike</t>
  </si>
  <si>
    <t>Stark</t>
  </si>
  <si>
    <t>mareike.stark@barmenia.de</t>
  </si>
  <si>
    <t>00900363</t>
  </si>
  <si>
    <t>Hack</t>
  </si>
  <si>
    <t>jona.hack@barmenia.de</t>
  </si>
  <si>
    <t>00900365</t>
  </si>
  <si>
    <t>Lesser</t>
  </si>
  <si>
    <t>christian.lesser@barmenia.de</t>
  </si>
  <si>
    <t>00900370</t>
  </si>
  <si>
    <t>Klöckner</t>
  </si>
  <si>
    <t>michelle.kloeckner@barmenia.de</t>
  </si>
  <si>
    <t>00900273</t>
  </si>
  <si>
    <t>Breidbach</t>
  </si>
  <si>
    <t>andre.breidbach@barmenia.de</t>
  </si>
  <si>
    <t>00900292</t>
  </si>
  <si>
    <t>Gebert</t>
  </si>
  <si>
    <t>hans.gebert@barmenia.de</t>
  </si>
  <si>
    <t>00900348</t>
  </si>
  <si>
    <t>Lorscheider</t>
  </si>
  <si>
    <t>florian.lorscheider@barmenia.de</t>
  </si>
  <si>
    <t>00900360</t>
  </si>
  <si>
    <t>Klaudia</t>
  </si>
  <si>
    <t>Misaczek</t>
  </si>
  <si>
    <t>klaudia.misaczek@barmenia.de</t>
  </si>
  <si>
    <t>00900371</t>
  </si>
  <si>
    <t>Kratz</t>
  </si>
  <si>
    <t>christoph.kratz@barmenia.de</t>
  </si>
  <si>
    <t>00900555</t>
  </si>
  <si>
    <t>Th. Kugel &amp; N. Mazarakis oHG</t>
  </si>
  <si>
    <t>kugel-mazarakis-ohg@barmenia.de</t>
  </si>
  <si>
    <t>00900387</t>
  </si>
  <si>
    <t>Baumann</t>
  </si>
  <si>
    <t>00900340</t>
  </si>
  <si>
    <t>Zelter</t>
  </si>
  <si>
    <t>lukas.zelter@barmenia.de</t>
  </si>
  <si>
    <t>00900359</t>
  </si>
  <si>
    <t>Radostina</t>
  </si>
  <si>
    <t>Tsvetanova</t>
  </si>
  <si>
    <t>radostina.tsvetanova@barmenia.de</t>
  </si>
  <si>
    <t>00900433</t>
  </si>
  <si>
    <t>Weinand</t>
  </si>
  <si>
    <t>axel.weinand@barmenia.de</t>
  </si>
  <si>
    <t>00900383</t>
  </si>
  <si>
    <t>Neda</t>
  </si>
  <si>
    <t>Choobchian</t>
  </si>
  <si>
    <t>neda.choobchian@barmenia.de</t>
  </si>
  <si>
    <t>00900384</t>
  </si>
  <si>
    <t>Emirhan</t>
  </si>
  <si>
    <t>Eren</t>
  </si>
  <si>
    <t>emirhan.eren@barmenia.de</t>
  </si>
  <si>
    <t>00900341</t>
  </si>
  <si>
    <t>Gäb</t>
  </si>
  <si>
    <t>sebastian.gaeb@barmenia.de</t>
  </si>
  <si>
    <t>00900351</t>
  </si>
  <si>
    <t>Zahnen</t>
  </si>
  <si>
    <t>00900358</t>
  </si>
  <si>
    <t>Raabe</t>
  </si>
  <si>
    <t>00900367</t>
  </si>
  <si>
    <t>00900366</t>
  </si>
  <si>
    <t>00751663</t>
  </si>
  <si>
    <t>Henrici</t>
  </si>
  <si>
    <t>frank.henrici@barmenia.de</t>
  </si>
  <si>
    <t>00900385</t>
  </si>
  <si>
    <t>00751664</t>
  </si>
  <si>
    <t>Dobener</t>
  </si>
  <si>
    <t>christian.dobener@barmenia.de</t>
  </si>
  <si>
    <t>00930215</t>
  </si>
  <si>
    <t>0093</t>
  </si>
  <si>
    <t>Regensburg</t>
  </si>
  <si>
    <t>Danninger</t>
  </si>
  <si>
    <t>00930273</t>
  </si>
  <si>
    <t>Katja</t>
  </si>
  <si>
    <t>Kollerbaur</t>
  </si>
  <si>
    <t>00930377</t>
  </si>
  <si>
    <t>Heribert</t>
  </si>
  <si>
    <t>Plechinger</t>
  </si>
  <si>
    <t>heribert.plechinger@barmenia.de</t>
  </si>
  <si>
    <t>00930400</t>
  </si>
  <si>
    <t>Srdan</t>
  </si>
  <si>
    <t>Veljkovic</t>
  </si>
  <si>
    <t>srdan.veljkovic@barmenia.de</t>
  </si>
  <si>
    <t>00930407</t>
  </si>
  <si>
    <t>Six</t>
  </si>
  <si>
    <t>holger.six@barmenia.de</t>
  </si>
  <si>
    <t>00930413</t>
  </si>
  <si>
    <t>Christiane</t>
  </si>
  <si>
    <t>Roelen</t>
  </si>
  <si>
    <t>christiane.roelen@barmenia.de</t>
  </si>
  <si>
    <t>00930453</t>
  </si>
  <si>
    <t>Seidl</t>
  </si>
  <si>
    <t>00930460</t>
  </si>
  <si>
    <t>Bachmann</t>
  </si>
  <si>
    <t>christian.bachmann@barmenia.de</t>
  </si>
  <si>
    <t>00930467</t>
  </si>
  <si>
    <t>Dworatzek</t>
  </si>
  <si>
    <t>alexander.dworatzek@barmenia.de</t>
  </si>
  <si>
    <t>00930480</t>
  </si>
  <si>
    <t>Mandl</t>
  </si>
  <si>
    <t>alexander.mandl@barmenia.de</t>
  </si>
  <si>
    <t>00930485</t>
  </si>
  <si>
    <t>Isabel</t>
  </si>
  <si>
    <t>00930491</t>
  </si>
  <si>
    <t>Kiesewetter</t>
  </si>
  <si>
    <t>jens.kiesewetter@barmenia.de</t>
  </si>
  <si>
    <t>00930507</t>
  </si>
  <si>
    <t>Lisa Maria Th.</t>
  </si>
  <si>
    <t>Österreicher</t>
  </si>
  <si>
    <t>lisa-maria-therese.oesterreicher@barmenia.de</t>
  </si>
  <si>
    <t>00930541</t>
  </si>
  <si>
    <t>Sergej</t>
  </si>
  <si>
    <t>Steif</t>
  </si>
  <si>
    <t>sergej.steif@barmenia.de</t>
  </si>
  <si>
    <t>00930557</t>
  </si>
  <si>
    <t>Laschinger oHG</t>
  </si>
  <si>
    <t>laschinger-ohg@barmenia.de</t>
  </si>
  <si>
    <t>00930625</t>
  </si>
  <si>
    <t>Laschinger</t>
  </si>
  <si>
    <t>jonas.laschinger@barmenia.de</t>
  </si>
  <si>
    <t>00930659</t>
  </si>
  <si>
    <t>Koray</t>
  </si>
  <si>
    <t>Garip</t>
  </si>
  <si>
    <t>koray.garip@barmenia.de</t>
  </si>
  <si>
    <t>00930671</t>
  </si>
  <si>
    <t>Wilfried</t>
  </si>
  <si>
    <t>wilfried.hofmann@barmenia.de</t>
  </si>
  <si>
    <t>00930676</t>
  </si>
  <si>
    <t>Alvin</t>
  </si>
  <si>
    <t>Lisebushira</t>
  </si>
  <si>
    <t>alvin.lisebushira@barmenia.de</t>
  </si>
  <si>
    <t>00930680</t>
  </si>
  <si>
    <t>Baumgartner</t>
  </si>
  <si>
    <t>thomas.baumgartner@barmenia.de</t>
  </si>
  <si>
    <t>00930682</t>
  </si>
  <si>
    <t>Köglmeier</t>
  </si>
  <si>
    <t>daniel.koeglmeier@barmenia.de</t>
  </si>
  <si>
    <t>00930684</t>
  </si>
  <si>
    <t>Schwarz</t>
  </si>
  <si>
    <t>benjamin.schwarz@barmenia.de</t>
  </si>
  <si>
    <t>00930688</t>
  </si>
  <si>
    <t>Haseneder</t>
  </si>
  <si>
    <t>kerstin.haseneder@barmenia.de</t>
  </si>
  <si>
    <t>00930693</t>
  </si>
  <si>
    <t>Vasily</t>
  </si>
  <si>
    <t>Kuts</t>
  </si>
  <si>
    <t>vasily.kuts@barmenia.de</t>
  </si>
  <si>
    <t>00930698</t>
  </si>
  <si>
    <t>Brückner</t>
  </si>
  <si>
    <t>christian.brueckner@barmenia.de</t>
  </si>
  <si>
    <t>00930696</t>
  </si>
  <si>
    <t>Olga</t>
  </si>
  <si>
    <t>Ayzel</t>
  </si>
  <si>
    <t>olga.ayzel@barmenia.de</t>
  </si>
  <si>
    <t>00930595</t>
  </si>
  <si>
    <t>00801271</t>
  </si>
  <si>
    <t>walter.wagner@barmenia.de</t>
  </si>
  <si>
    <t>00930233</t>
  </si>
  <si>
    <t>00801273</t>
  </si>
  <si>
    <t>Riedl</t>
  </si>
  <si>
    <t>christoph.riedl@barmenia.de</t>
  </si>
  <si>
    <t>00930622</t>
  </si>
  <si>
    <t>00801272</t>
  </si>
  <si>
    <t>peter.neumann@barmenia.de</t>
  </si>
  <si>
    <t>01030255</t>
  </si>
  <si>
    <t>0103</t>
  </si>
  <si>
    <t>Baum</t>
  </si>
  <si>
    <t>thomas.baum@barmenia.de</t>
  </si>
  <si>
    <t>01030431</t>
  </si>
  <si>
    <t>Handwerk</t>
  </si>
  <si>
    <t>rainer.handwerk@barmenia.de</t>
  </si>
  <si>
    <t>01030625</t>
  </si>
  <si>
    <t>Sauer</t>
  </si>
  <si>
    <t>christiane.sauer@barmenia.de</t>
  </si>
  <si>
    <t>01032300</t>
  </si>
  <si>
    <t>Nina</t>
  </si>
  <si>
    <t>Scherer</t>
  </si>
  <si>
    <t>nina.scherer@barmenia.de</t>
  </si>
  <si>
    <t>01032302</t>
  </si>
  <si>
    <t>jennifer.hofmann@barmenia.de</t>
  </si>
  <si>
    <t>01030951</t>
  </si>
  <si>
    <t>Reiter</t>
  </si>
  <si>
    <t>ralf.reiter@barmenia.de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</si>
</sst>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2" xfId="1" applyFont="1" applyFill="1" applyBorder="1"/>
    <xf numFmtId="0" fontId="4" fillId="0" borderId="3" xfId="0" applyFont="1" applyBorder="1"/>
    <xf numFmtId="0" fontId="4" fillId="0" borderId="3" xfId="1" applyFont="1" applyFill="1" applyBorder="1"/>
    <xf numFmtId="0" fontId="4" fillId="0" borderId="4" xfId="0" applyFont="1" applyBorder="1"/>
    <xf numFmtId="0" fontId="0" fillId="0" borderId="2" xfId="0" applyBorder="1"/>
    <xf numFmtId="0" fontId="5" fillId="0" borderId="2" xfId="1" applyBorder="1"/>
    <xf numFmtId="0" fontId="5" fillId="0" borderId="3" xfId="1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8B9B63-D071-4A30-B27A-55B1B4BFCE21}" name="Table3353" displayName="Table3353" ref="A1:S850" totalsRowShown="0" headerRowDxfId="23" dataDxfId="22" headerRowBorderDxfId="20" tableBorderDxfId="21" totalsRowBorderDxfId="19">
  <autoFilter ref="A1:S850" xr:uid="{708B9B63-D071-4A30-B27A-55B1B4BFCE21}">
    <filterColumn colId="13">
      <filters>
        <filter val="Leiter/in einer Hauptgeschäftsstelle"/>
        <filter val="Leiterin einer Hauptgeschäftsstelle"/>
      </filters>
    </filterColumn>
  </autoFilter>
  <tableColumns count="19">
    <tableColumn id="1" xr3:uid="{797AE450-47F5-4AC5-A8F7-44ABD6021606}" name="Match" dataDxfId="18"/>
    <tableColumn id="2" xr3:uid="{348C49A1-50D1-49CB-A22C-C2B905DE88C3}" name="VD-Wechsler-Neue-Nummer" dataDxfId="17"/>
    <tableColumn id="3" xr3:uid="{D9E19A10-862B-4D96-A6BF-0BC5BAF9CD68}" name="VZ-Alt" dataDxfId="16"/>
    <tableColumn id="4" xr3:uid="{DA67B26D-8BBC-418A-8F30-31879C8144A2}" name="VZ-Alt Name" dataDxfId="15"/>
    <tableColumn id="5" xr3:uid="{F50B58D1-9091-4F58-AE0D-D95CD4123D6F}" name="VZ-Neu (Nach Wechsel)" dataDxfId="14"/>
    <tableColumn id="6" xr3:uid="{313F16E0-F317-4910-A193-A09DE9B63134}" name="VZ-Neu Name" dataDxfId="13"/>
    <tableColumn id="7" xr3:uid="{1A41A43A-227A-4095-BA23-201DD4BDEEF0}" name="VD-Alt" dataDxfId="12"/>
    <tableColumn id="8" xr3:uid="{8DC2C739-D880-4726-AFC4-A363AA62D2F4}" name="VD-Neu" dataDxfId="11"/>
    <tableColumn id="12" xr3:uid="{2707A128-E4FF-4BB3-A294-F267BA7DA3DE}" name="Vorname" dataDxfId="10" dataCellStyle="Hyperlink"/>
    <tableColumn id="13" xr3:uid="{3E19C843-2F7B-425E-8485-8BD2F8F8DEB6}" name="Nachname" dataDxfId="9"/>
    <tableColumn id="14" xr3:uid="{3CE1AA86-D32B-48D3-ABD9-D61677474129}" name="Email" dataDxfId="8" dataCellStyle="Hyperlink"/>
    <tableColumn id="15" xr3:uid="{86D3DC34-76C3-4EB0-BAA0-1B91943491A6}" name="BGAV AgtFunktion _x000a_(gemäß Simulationstool)" dataDxfId="7"/>
    <tableColumn id="16" xr3:uid="{AEDEE0B9-BC5E-4155-BA03-7938DD1981AF}" name="BGAV Long_x000a_(gemäß Simulationstool)" dataDxfId="6"/>
    <tableColumn id="17" xr3:uid="{70BE0EED-C95C-4606-9256-8433DFE46493}" name="Titel_ALT (gemäß Auswertung Januar)" dataDxfId="5"/>
    <tableColumn id="18" xr3:uid="{2EAEBD89-9481-4CFE-A906-F5A1BC75E593}" name="Titel gemäß 1:1 Überführung _x000a_(bspw. BD = Leiter des Service Centers)" dataDxfId="4"/>
    <tableColumn id="19" xr3:uid="{A0346361-CD85-4C08-B85E-259DD4DF6FA0}" name="Potenzielle Herabstufung/Titel_Aktuell" dataDxfId="3"/>
    <tableColumn id="37" xr3:uid="{EDF3219D-710F-4480-AAF4-3276A671370D}" name="Titel nach Widerspruch bzw. Mail" dataDxfId="2"/>
    <tableColumn id="38" xr3:uid="{447B4C17-C16A-4DBF-B777-42B694F914AD}" name="Neuer Titel" dataDxfId="1">
      <calculatedColumnFormula array="1">IF(AND(Q2="",P2&lt;&gt;""),N2,_xlfn.SWITCH(IF(Q2&lt;&gt;"",Q2,O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Centers",IF(Q2&lt;&gt;"",Q2,O2)))</calculatedColumnFormula>
    </tableColumn>
    <tableColumn id="39" xr3:uid="{C5977265-4702-4836-9340-DBB985E0350D}" name="Änderung Notwendig" dataDxfId="0">
      <calculatedColumnFormula>IF(N2&lt;&gt;R2,"x","")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rilya.mitkova@extern.barmenia.de" TargetMode="External"/><Relationship Id="rId671" Type="http://schemas.openxmlformats.org/officeDocument/2006/relationships/hyperlink" Target="mailto:marilya.mitkova@extern.barmenia.de" TargetMode="External"/><Relationship Id="rId769" Type="http://schemas.openxmlformats.org/officeDocument/2006/relationships/hyperlink" Target="mailto:umstellung1ev@barmenia.de" TargetMode="External"/><Relationship Id="rId21" Type="http://schemas.openxmlformats.org/officeDocument/2006/relationships/hyperlink" Target="mailto:marilya.mitkova@extern.barmenia.de" TargetMode="External"/><Relationship Id="rId324" Type="http://schemas.openxmlformats.org/officeDocument/2006/relationships/hyperlink" Target="mailto:marilya.mitkova@extern.barmenia.de" TargetMode="External"/><Relationship Id="rId531" Type="http://schemas.openxmlformats.org/officeDocument/2006/relationships/hyperlink" Target="mailto:marilya.mitkova@extern.barmenia.de" TargetMode="External"/><Relationship Id="rId629" Type="http://schemas.openxmlformats.org/officeDocument/2006/relationships/hyperlink" Target="mailto:marilya.mitkova@extern.barmenia.de" TargetMode="External"/><Relationship Id="rId170" Type="http://schemas.openxmlformats.org/officeDocument/2006/relationships/hyperlink" Target="mailto:marilya.mitkova@extern.barmenia.de" TargetMode="External"/><Relationship Id="rId268" Type="http://schemas.openxmlformats.org/officeDocument/2006/relationships/hyperlink" Target="mailto:marilya.mitkova@extern.barmenia.de" TargetMode="External"/><Relationship Id="rId475" Type="http://schemas.openxmlformats.org/officeDocument/2006/relationships/hyperlink" Target="mailto:marilya.mitkova@extern.barmenia.de" TargetMode="External"/><Relationship Id="rId682" Type="http://schemas.openxmlformats.org/officeDocument/2006/relationships/hyperlink" Target="mailto:marilya.mitkova@extern.barmenia.de" TargetMode="External"/><Relationship Id="rId32" Type="http://schemas.openxmlformats.org/officeDocument/2006/relationships/hyperlink" Target="mailto:marilya.mitkova@extern.barmenia.de" TargetMode="External"/><Relationship Id="rId128" Type="http://schemas.openxmlformats.org/officeDocument/2006/relationships/hyperlink" Target="mailto:marilya.mitkova@extern.barmenia.de" TargetMode="External"/><Relationship Id="rId335" Type="http://schemas.openxmlformats.org/officeDocument/2006/relationships/hyperlink" Target="mailto:marilya.mitkova@extern.barmenia.de" TargetMode="External"/><Relationship Id="rId542" Type="http://schemas.openxmlformats.org/officeDocument/2006/relationships/hyperlink" Target="mailto:marilya.mitkova@extern.barmenia.de" TargetMode="External"/><Relationship Id="rId181" Type="http://schemas.openxmlformats.org/officeDocument/2006/relationships/hyperlink" Target="mailto:marilya.mitkova@extern.barmenia.de" TargetMode="External"/><Relationship Id="rId402" Type="http://schemas.openxmlformats.org/officeDocument/2006/relationships/hyperlink" Target="mailto:marilya.mitkova@extern.barmenia.de" TargetMode="External"/><Relationship Id="rId279" Type="http://schemas.openxmlformats.org/officeDocument/2006/relationships/hyperlink" Target="mailto:marilya.mitkova@extern.barmenia.de" TargetMode="External"/><Relationship Id="rId486" Type="http://schemas.openxmlformats.org/officeDocument/2006/relationships/hyperlink" Target="mailto:marilya.mitkova@extern.barmenia.de" TargetMode="External"/><Relationship Id="rId693" Type="http://schemas.openxmlformats.org/officeDocument/2006/relationships/hyperlink" Target="mailto:marilya.mitkova@extern.barmenia.de" TargetMode="External"/><Relationship Id="rId707" Type="http://schemas.openxmlformats.org/officeDocument/2006/relationships/hyperlink" Target="mailto:marilya.mitkova@extern.barmenia.de" TargetMode="External"/><Relationship Id="rId43" Type="http://schemas.openxmlformats.org/officeDocument/2006/relationships/hyperlink" Target="mailto:marilya.mitkova@extern.barmenia.de" TargetMode="External"/><Relationship Id="rId139" Type="http://schemas.openxmlformats.org/officeDocument/2006/relationships/hyperlink" Target="mailto:marilya.mitkova@extern.barmenia.de" TargetMode="External"/><Relationship Id="rId346" Type="http://schemas.openxmlformats.org/officeDocument/2006/relationships/hyperlink" Target="mailto:marilya.mitkova@extern.barmenia.de" TargetMode="External"/><Relationship Id="rId553" Type="http://schemas.openxmlformats.org/officeDocument/2006/relationships/hyperlink" Target="mailto:marilya.mitkova@extern.barmenia.de" TargetMode="External"/><Relationship Id="rId760" Type="http://schemas.openxmlformats.org/officeDocument/2006/relationships/hyperlink" Target="mailto:umstellung1ev@barmenia.de" TargetMode="External"/><Relationship Id="rId192" Type="http://schemas.openxmlformats.org/officeDocument/2006/relationships/hyperlink" Target="mailto:marilya.mitkova@extern.barmenia.de" TargetMode="External"/><Relationship Id="rId206" Type="http://schemas.openxmlformats.org/officeDocument/2006/relationships/hyperlink" Target="mailto:marilya.mitkova@extern.barmenia.de" TargetMode="External"/><Relationship Id="rId413" Type="http://schemas.openxmlformats.org/officeDocument/2006/relationships/hyperlink" Target="mailto:marilya.mitkova@extern.barmenia.de" TargetMode="External"/><Relationship Id="rId497" Type="http://schemas.openxmlformats.org/officeDocument/2006/relationships/hyperlink" Target="mailto:marilya.mitkova@extern.barmenia.de" TargetMode="External"/><Relationship Id="rId620" Type="http://schemas.openxmlformats.org/officeDocument/2006/relationships/hyperlink" Target="mailto:marilya.mitkova@extern.barmenia.de" TargetMode="External"/><Relationship Id="rId718" Type="http://schemas.openxmlformats.org/officeDocument/2006/relationships/hyperlink" Target="mailto:marilya.mitkova@extern.barmenia.de" TargetMode="External"/><Relationship Id="rId357" Type="http://schemas.openxmlformats.org/officeDocument/2006/relationships/hyperlink" Target="mailto:marilya.mitkova@extern.barmenia.de" TargetMode="External"/><Relationship Id="rId54" Type="http://schemas.openxmlformats.org/officeDocument/2006/relationships/hyperlink" Target="mailto:marilya.mitkova@extern.barmenia.de" TargetMode="External"/><Relationship Id="rId217" Type="http://schemas.openxmlformats.org/officeDocument/2006/relationships/hyperlink" Target="mailto:marilya.mitkova@extern.barmenia.de" TargetMode="External"/><Relationship Id="rId564" Type="http://schemas.openxmlformats.org/officeDocument/2006/relationships/hyperlink" Target="mailto:marilya.mitkova@extern.barmenia.de" TargetMode="External"/><Relationship Id="rId771" Type="http://schemas.openxmlformats.org/officeDocument/2006/relationships/hyperlink" Target="mailto:umstellung1ev@barmenia.de" TargetMode="External"/><Relationship Id="rId424" Type="http://schemas.openxmlformats.org/officeDocument/2006/relationships/hyperlink" Target="mailto:marilya.mitkova@extern.barmenia.de" TargetMode="External"/><Relationship Id="rId631" Type="http://schemas.openxmlformats.org/officeDocument/2006/relationships/hyperlink" Target="mailto:marilya.mitkova@extern.barmenia.de" TargetMode="External"/><Relationship Id="rId729" Type="http://schemas.openxmlformats.org/officeDocument/2006/relationships/hyperlink" Target="mailto:marilya.mitkova@extern.barmenia.de" TargetMode="External"/><Relationship Id="rId270" Type="http://schemas.openxmlformats.org/officeDocument/2006/relationships/hyperlink" Target="mailto:marilya.mitkova@extern.barmenia.de" TargetMode="External"/><Relationship Id="rId65" Type="http://schemas.openxmlformats.org/officeDocument/2006/relationships/hyperlink" Target="mailto:marilya.mitkova@extern.barmenia.de" TargetMode="External"/><Relationship Id="rId130" Type="http://schemas.openxmlformats.org/officeDocument/2006/relationships/hyperlink" Target="mailto:marilya.mitkova@extern.barmenia.de" TargetMode="External"/><Relationship Id="rId368" Type="http://schemas.openxmlformats.org/officeDocument/2006/relationships/hyperlink" Target="mailto:marilya.mitkova@extern.barmenia.de" TargetMode="External"/><Relationship Id="rId575" Type="http://schemas.openxmlformats.org/officeDocument/2006/relationships/hyperlink" Target="mailto:marilya.mitkova@extern.barmenia.de" TargetMode="External"/><Relationship Id="rId782" Type="http://schemas.openxmlformats.org/officeDocument/2006/relationships/hyperlink" Target="mailto:umstellung1ev@barmenia.de" TargetMode="External"/><Relationship Id="rId228" Type="http://schemas.openxmlformats.org/officeDocument/2006/relationships/hyperlink" Target="mailto:marilya.mitkova@extern.barmenia.de" TargetMode="External"/><Relationship Id="rId435" Type="http://schemas.openxmlformats.org/officeDocument/2006/relationships/hyperlink" Target="mailto:marilya.mitkova@extern.barmenia.de" TargetMode="External"/><Relationship Id="rId642" Type="http://schemas.openxmlformats.org/officeDocument/2006/relationships/hyperlink" Target="mailto:marilya.mitkova@extern.barmenia.de" TargetMode="External"/><Relationship Id="rId281" Type="http://schemas.openxmlformats.org/officeDocument/2006/relationships/hyperlink" Target="mailto:marilya.mitkova@extern.barmenia.de" TargetMode="External"/><Relationship Id="rId502" Type="http://schemas.openxmlformats.org/officeDocument/2006/relationships/hyperlink" Target="mailto:marilya.mitkova@extern.barmenia.de" TargetMode="External"/><Relationship Id="rId76" Type="http://schemas.openxmlformats.org/officeDocument/2006/relationships/hyperlink" Target="mailto:marilya.mitkova@extern.barmenia.de" TargetMode="External"/><Relationship Id="rId141" Type="http://schemas.openxmlformats.org/officeDocument/2006/relationships/hyperlink" Target="mailto:marilya.mitkova@extern.barmenia.de" TargetMode="External"/><Relationship Id="rId379" Type="http://schemas.openxmlformats.org/officeDocument/2006/relationships/hyperlink" Target="mailto:marilya.mitkova@extern.barmenia.de" TargetMode="External"/><Relationship Id="rId586" Type="http://schemas.openxmlformats.org/officeDocument/2006/relationships/hyperlink" Target="mailto:marilya.mitkova@extern.barmenia.de" TargetMode="External"/><Relationship Id="rId793" Type="http://schemas.openxmlformats.org/officeDocument/2006/relationships/hyperlink" Target="mailto:marilya.mitkova@extern.barmenia.de" TargetMode="External"/><Relationship Id="rId7" Type="http://schemas.openxmlformats.org/officeDocument/2006/relationships/hyperlink" Target="mailto:marilya.mitkova@extern.barmenia.de" TargetMode="External"/><Relationship Id="rId239" Type="http://schemas.openxmlformats.org/officeDocument/2006/relationships/hyperlink" Target="mailto:marilya.mitkova@extern.barmenia.de" TargetMode="External"/><Relationship Id="rId446" Type="http://schemas.openxmlformats.org/officeDocument/2006/relationships/hyperlink" Target="mailto:marilya.mitkova@extern.barmenia.de" TargetMode="External"/><Relationship Id="rId653" Type="http://schemas.openxmlformats.org/officeDocument/2006/relationships/hyperlink" Target="mailto:marilya.mitkova@extern.barmenia.de" TargetMode="External"/><Relationship Id="rId292" Type="http://schemas.openxmlformats.org/officeDocument/2006/relationships/hyperlink" Target="mailto:marilya.mitkova@extern.barmenia.de" TargetMode="External"/><Relationship Id="rId306" Type="http://schemas.openxmlformats.org/officeDocument/2006/relationships/hyperlink" Target="mailto:marilya.mitkova@extern.barmenia.de" TargetMode="External"/><Relationship Id="rId87" Type="http://schemas.openxmlformats.org/officeDocument/2006/relationships/hyperlink" Target="mailto:marilya.mitkova@extern.barmenia.de" TargetMode="External"/><Relationship Id="rId513" Type="http://schemas.openxmlformats.org/officeDocument/2006/relationships/hyperlink" Target="mailto:marilya.mitkova@extern.barmenia.de" TargetMode="External"/><Relationship Id="rId597" Type="http://schemas.openxmlformats.org/officeDocument/2006/relationships/hyperlink" Target="mailto:marilya.mitkova@extern.barmenia.de" TargetMode="External"/><Relationship Id="rId720" Type="http://schemas.openxmlformats.org/officeDocument/2006/relationships/hyperlink" Target="mailto:marilya.mitkova@extern.barmenia.de" TargetMode="External"/><Relationship Id="rId152" Type="http://schemas.openxmlformats.org/officeDocument/2006/relationships/hyperlink" Target="mailto:marilya.mitkova@extern.barmenia.de" TargetMode="External"/><Relationship Id="rId457" Type="http://schemas.openxmlformats.org/officeDocument/2006/relationships/hyperlink" Target="mailto:marilya.mitkova@extern.barmenia.de" TargetMode="External"/><Relationship Id="rId664" Type="http://schemas.openxmlformats.org/officeDocument/2006/relationships/hyperlink" Target="mailto:marilya.mitkova@extern.barmenia.de" TargetMode="External"/><Relationship Id="rId14" Type="http://schemas.openxmlformats.org/officeDocument/2006/relationships/hyperlink" Target="mailto:marilya.mitkova@extern.barmenia.de" TargetMode="External"/><Relationship Id="rId317" Type="http://schemas.openxmlformats.org/officeDocument/2006/relationships/hyperlink" Target="mailto:marilya.mitkova@extern.barmenia.de" TargetMode="External"/><Relationship Id="rId524" Type="http://schemas.openxmlformats.org/officeDocument/2006/relationships/hyperlink" Target="mailto:marilya.mitkova@extern.barmenia.de" TargetMode="External"/><Relationship Id="rId731" Type="http://schemas.openxmlformats.org/officeDocument/2006/relationships/hyperlink" Target="mailto:umstellung1ev@barmenia.de" TargetMode="External"/><Relationship Id="rId98" Type="http://schemas.openxmlformats.org/officeDocument/2006/relationships/hyperlink" Target="mailto:marilya.mitkova@extern.barmenia.de" TargetMode="External"/><Relationship Id="rId163" Type="http://schemas.openxmlformats.org/officeDocument/2006/relationships/hyperlink" Target="mailto:marilya.mitkova@extern.barmenia.de" TargetMode="External"/><Relationship Id="rId370" Type="http://schemas.openxmlformats.org/officeDocument/2006/relationships/hyperlink" Target="mailto:marilya.mitkova@extern.barmenia.de" TargetMode="External"/><Relationship Id="rId230" Type="http://schemas.openxmlformats.org/officeDocument/2006/relationships/hyperlink" Target="mailto:marilya.mitkova@extern.barmenia.de" TargetMode="External"/><Relationship Id="rId468" Type="http://schemas.openxmlformats.org/officeDocument/2006/relationships/hyperlink" Target="mailto:marilya.mitkova@extern.barmenia.de" TargetMode="External"/><Relationship Id="rId675" Type="http://schemas.openxmlformats.org/officeDocument/2006/relationships/hyperlink" Target="mailto:marilya.mitkova@extern.barmenia.de" TargetMode="External"/><Relationship Id="rId25" Type="http://schemas.openxmlformats.org/officeDocument/2006/relationships/hyperlink" Target="mailto:marilya.mitkova@extern.barmenia.de" TargetMode="External"/><Relationship Id="rId328" Type="http://schemas.openxmlformats.org/officeDocument/2006/relationships/hyperlink" Target="mailto:marilya.mitkova@extern.barmenia.de" TargetMode="External"/><Relationship Id="rId535" Type="http://schemas.openxmlformats.org/officeDocument/2006/relationships/hyperlink" Target="mailto:marilya.mitkova@extern.barmenia.de" TargetMode="External"/><Relationship Id="rId742" Type="http://schemas.openxmlformats.org/officeDocument/2006/relationships/hyperlink" Target="mailto:umstellung1ev@barmenia.de" TargetMode="External"/><Relationship Id="rId174" Type="http://schemas.openxmlformats.org/officeDocument/2006/relationships/hyperlink" Target="mailto:marilya.mitkova@extern.barmenia.de" TargetMode="External"/><Relationship Id="rId381" Type="http://schemas.openxmlformats.org/officeDocument/2006/relationships/hyperlink" Target="mailto:marilya.mitkova@extern.barmenia.de" TargetMode="External"/><Relationship Id="rId602" Type="http://schemas.openxmlformats.org/officeDocument/2006/relationships/hyperlink" Target="mailto:marilya.mitkova@extern.barmenia.de" TargetMode="External"/><Relationship Id="rId241" Type="http://schemas.openxmlformats.org/officeDocument/2006/relationships/hyperlink" Target="mailto:marilya.mitkova@extern.barmenia.de" TargetMode="External"/><Relationship Id="rId479" Type="http://schemas.openxmlformats.org/officeDocument/2006/relationships/hyperlink" Target="mailto:marilya.mitkova@extern.barmenia.de" TargetMode="External"/><Relationship Id="rId686" Type="http://schemas.openxmlformats.org/officeDocument/2006/relationships/hyperlink" Target="mailto:marilya.mitkova@extern.barmenia.de" TargetMode="External"/><Relationship Id="rId36" Type="http://schemas.openxmlformats.org/officeDocument/2006/relationships/hyperlink" Target="mailto:marilya.mitkova@extern.barmenia.de" TargetMode="External"/><Relationship Id="rId339" Type="http://schemas.openxmlformats.org/officeDocument/2006/relationships/hyperlink" Target="mailto:marilya.mitkova@extern.barmenia.de" TargetMode="External"/><Relationship Id="rId546" Type="http://schemas.openxmlformats.org/officeDocument/2006/relationships/hyperlink" Target="mailto:marilya.mitkova@extern.barmenia.de" TargetMode="External"/><Relationship Id="rId753" Type="http://schemas.openxmlformats.org/officeDocument/2006/relationships/hyperlink" Target="mailto:umstellung1ev@barmenia.de" TargetMode="External"/><Relationship Id="rId101" Type="http://schemas.openxmlformats.org/officeDocument/2006/relationships/hyperlink" Target="mailto:marilya.mitkova@extern.barmenia.de" TargetMode="External"/><Relationship Id="rId185" Type="http://schemas.openxmlformats.org/officeDocument/2006/relationships/hyperlink" Target="mailto:marilya.mitkova@extern.barmenia.de" TargetMode="External"/><Relationship Id="rId406" Type="http://schemas.openxmlformats.org/officeDocument/2006/relationships/hyperlink" Target="mailto:marilya.mitkova@extern.barmenia.de" TargetMode="External"/><Relationship Id="rId392" Type="http://schemas.openxmlformats.org/officeDocument/2006/relationships/hyperlink" Target="mailto:marilya.mitkova@extern.barmenia.de" TargetMode="External"/><Relationship Id="rId613" Type="http://schemas.openxmlformats.org/officeDocument/2006/relationships/hyperlink" Target="mailto:marilya.mitkova@extern.barmenia.de" TargetMode="External"/><Relationship Id="rId697" Type="http://schemas.openxmlformats.org/officeDocument/2006/relationships/hyperlink" Target="mailto:marilya.mitkova@extern.barmenia.de" TargetMode="External"/><Relationship Id="rId252" Type="http://schemas.openxmlformats.org/officeDocument/2006/relationships/hyperlink" Target="mailto:marilya.mitkova@extern.barmenia.de" TargetMode="External"/><Relationship Id="rId47" Type="http://schemas.openxmlformats.org/officeDocument/2006/relationships/hyperlink" Target="mailto:marilya.mitkova@extern.barmenia.de" TargetMode="External"/><Relationship Id="rId112" Type="http://schemas.openxmlformats.org/officeDocument/2006/relationships/hyperlink" Target="mailto:marilya.mitkova@extern.barmenia.de" TargetMode="External"/><Relationship Id="rId557" Type="http://schemas.openxmlformats.org/officeDocument/2006/relationships/hyperlink" Target="mailto:marilya.mitkova@extern.barmenia.de" TargetMode="External"/><Relationship Id="rId764" Type="http://schemas.openxmlformats.org/officeDocument/2006/relationships/hyperlink" Target="mailto:umstellung1ev@barmenia.de" TargetMode="External"/><Relationship Id="rId196" Type="http://schemas.openxmlformats.org/officeDocument/2006/relationships/hyperlink" Target="mailto:marilya.mitkova@extern.barmenia.de" TargetMode="External"/><Relationship Id="rId417" Type="http://schemas.openxmlformats.org/officeDocument/2006/relationships/hyperlink" Target="mailto:marilya.mitkova@extern.barmenia.de" TargetMode="External"/><Relationship Id="rId624" Type="http://schemas.openxmlformats.org/officeDocument/2006/relationships/hyperlink" Target="mailto:marilya.mitkova@extern.barmenia.de" TargetMode="External"/><Relationship Id="rId263" Type="http://schemas.openxmlformats.org/officeDocument/2006/relationships/hyperlink" Target="mailto:marilya.mitkova@extern.barmenia.de" TargetMode="External"/><Relationship Id="rId470" Type="http://schemas.openxmlformats.org/officeDocument/2006/relationships/hyperlink" Target="mailto:marilya.mitkova@extern.barmenia.de" TargetMode="External"/><Relationship Id="rId58" Type="http://schemas.openxmlformats.org/officeDocument/2006/relationships/hyperlink" Target="mailto:marilya.mitkova@extern.barmenia.de" TargetMode="External"/><Relationship Id="rId123" Type="http://schemas.openxmlformats.org/officeDocument/2006/relationships/hyperlink" Target="mailto:marilya.mitkova@extern.barmenia.de" TargetMode="External"/><Relationship Id="rId330" Type="http://schemas.openxmlformats.org/officeDocument/2006/relationships/hyperlink" Target="mailto:marilya.mitkova@extern.barmenia.de" TargetMode="External"/><Relationship Id="rId568" Type="http://schemas.openxmlformats.org/officeDocument/2006/relationships/hyperlink" Target="mailto:marilya.mitkova@extern.barmenia.de" TargetMode="External"/><Relationship Id="rId775" Type="http://schemas.openxmlformats.org/officeDocument/2006/relationships/hyperlink" Target="mailto:umstellung1ev@barmenia.de" TargetMode="External"/><Relationship Id="rId428" Type="http://schemas.openxmlformats.org/officeDocument/2006/relationships/hyperlink" Target="mailto:marilya.mitkova@extern.barmenia.de" TargetMode="External"/><Relationship Id="rId635" Type="http://schemas.openxmlformats.org/officeDocument/2006/relationships/hyperlink" Target="mailto:marilya.mitkova@extern.barmenia.de" TargetMode="External"/><Relationship Id="rId274" Type="http://schemas.openxmlformats.org/officeDocument/2006/relationships/hyperlink" Target="mailto:marilya.mitkova@extern.barmenia.de" TargetMode="External"/><Relationship Id="rId481" Type="http://schemas.openxmlformats.org/officeDocument/2006/relationships/hyperlink" Target="mailto:marilya.mitkova@extern.barmenia.de" TargetMode="External"/><Relationship Id="rId702" Type="http://schemas.openxmlformats.org/officeDocument/2006/relationships/hyperlink" Target="mailto:marilya.mitkova@extern.barmenia.de" TargetMode="External"/><Relationship Id="rId69" Type="http://schemas.openxmlformats.org/officeDocument/2006/relationships/hyperlink" Target="mailto:marilya.mitkova@extern.barmenia.de" TargetMode="External"/><Relationship Id="rId134" Type="http://schemas.openxmlformats.org/officeDocument/2006/relationships/hyperlink" Target="mailto:marilya.mitkova@extern.barmenia.de" TargetMode="External"/><Relationship Id="rId579" Type="http://schemas.openxmlformats.org/officeDocument/2006/relationships/hyperlink" Target="mailto:marilya.mitkova@extern.barmenia.de" TargetMode="External"/><Relationship Id="rId786" Type="http://schemas.openxmlformats.org/officeDocument/2006/relationships/hyperlink" Target="mailto:umstellung1ev@barmenia.de" TargetMode="External"/><Relationship Id="rId341" Type="http://schemas.openxmlformats.org/officeDocument/2006/relationships/hyperlink" Target="mailto:marilya.mitkova@extern.barmenia.de" TargetMode="External"/><Relationship Id="rId439" Type="http://schemas.openxmlformats.org/officeDocument/2006/relationships/hyperlink" Target="mailto:marilya.mitkova@extern.barmenia.de" TargetMode="External"/><Relationship Id="rId646" Type="http://schemas.openxmlformats.org/officeDocument/2006/relationships/hyperlink" Target="mailto:marilya.mitkova@extern.barmenia.de" TargetMode="External"/><Relationship Id="rId201" Type="http://schemas.openxmlformats.org/officeDocument/2006/relationships/hyperlink" Target="mailto:marilya.mitkova@extern.barmenia.de" TargetMode="External"/><Relationship Id="rId285" Type="http://schemas.openxmlformats.org/officeDocument/2006/relationships/hyperlink" Target="mailto:marilya.mitkova@extern.barmenia.de" TargetMode="External"/><Relationship Id="rId506" Type="http://schemas.openxmlformats.org/officeDocument/2006/relationships/hyperlink" Target="mailto:marilya.mitkova@extern.barmenia.de" TargetMode="External"/><Relationship Id="rId492" Type="http://schemas.openxmlformats.org/officeDocument/2006/relationships/hyperlink" Target="mailto:marilya.mitkova@extern.barmenia.de" TargetMode="External"/><Relationship Id="rId713" Type="http://schemas.openxmlformats.org/officeDocument/2006/relationships/hyperlink" Target="mailto:marilya.mitkova@extern.barmenia.de" TargetMode="External"/><Relationship Id="rId797" Type="http://schemas.openxmlformats.org/officeDocument/2006/relationships/hyperlink" Target="mailto:umstellung1ev@barmenia.de" TargetMode="External"/><Relationship Id="rId145" Type="http://schemas.openxmlformats.org/officeDocument/2006/relationships/hyperlink" Target="mailto:marilya.mitkova@extern.barmenia.de" TargetMode="External"/><Relationship Id="rId352" Type="http://schemas.openxmlformats.org/officeDocument/2006/relationships/hyperlink" Target="mailto:marilya.mitkova@extern.barmenia.de" TargetMode="External"/><Relationship Id="rId212" Type="http://schemas.openxmlformats.org/officeDocument/2006/relationships/hyperlink" Target="mailto:marilya.mitkova@extern.barmenia.de" TargetMode="External"/><Relationship Id="rId657" Type="http://schemas.openxmlformats.org/officeDocument/2006/relationships/hyperlink" Target="mailto:marilya.mitkova@extern.barmenia.de" TargetMode="External"/><Relationship Id="rId296" Type="http://schemas.openxmlformats.org/officeDocument/2006/relationships/hyperlink" Target="mailto:marilya.mitkova@extern.barmenia.de" TargetMode="External"/><Relationship Id="rId517" Type="http://schemas.openxmlformats.org/officeDocument/2006/relationships/hyperlink" Target="mailto:marilya.mitkova@extern.barmenia.de" TargetMode="External"/><Relationship Id="rId724" Type="http://schemas.openxmlformats.org/officeDocument/2006/relationships/hyperlink" Target="mailto:marilya.mitkova@extern.barmenia.de" TargetMode="External"/><Relationship Id="rId60" Type="http://schemas.openxmlformats.org/officeDocument/2006/relationships/hyperlink" Target="mailto:marilya.mitkova@extern.barmenia.de" TargetMode="External"/><Relationship Id="rId156" Type="http://schemas.openxmlformats.org/officeDocument/2006/relationships/hyperlink" Target="mailto:marilya.mitkova@extern.barmenia.de" TargetMode="External"/><Relationship Id="rId363" Type="http://schemas.openxmlformats.org/officeDocument/2006/relationships/hyperlink" Target="mailto:marilya.mitkova@extern.barmenia.de" TargetMode="External"/><Relationship Id="rId570" Type="http://schemas.openxmlformats.org/officeDocument/2006/relationships/hyperlink" Target="mailto:marilya.mitkova@extern.barmenia.de" TargetMode="External"/><Relationship Id="rId223" Type="http://schemas.openxmlformats.org/officeDocument/2006/relationships/hyperlink" Target="mailto:marilya.mitkova@extern.barmenia.de" TargetMode="External"/><Relationship Id="rId430" Type="http://schemas.openxmlformats.org/officeDocument/2006/relationships/hyperlink" Target="mailto:marilya.mitkova@extern.barmenia.de" TargetMode="External"/><Relationship Id="rId668" Type="http://schemas.openxmlformats.org/officeDocument/2006/relationships/hyperlink" Target="mailto:marilya.mitkova@extern.barmenia.de" TargetMode="External"/><Relationship Id="rId18" Type="http://schemas.openxmlformats.org/officeDocument/2006/relationships/hyperlink" Target="mailto:marilya.mitkova@extern.barmenia.de" TargetMode="External"/><Relationship Id="rId528" Type="http://schemas.openxmlformats.org/officeDocument/2006/relationships/hyperlink" Target="mailto:marilya.mitkova@extern.barmenia.de" TargetMode="External"/><Relationship Id="rId735" Type="http://schemas.openxmlformats.org/officeDocument/2006/relationships/hyperlink" Target="mailto:umstellung1ev@barmenia.de" TargetMode="External"/><Relationship Id="rId167" Type="http://schemas.openxmlformats.org/officeDocument/2006/relationships/hyperlink" Target="mailto:marilya.mitkova@extern.barmenia.de" TargetMode="External"/><Relationship Id="rId374" Type="http://schemas.openxmlformats.org/officeDocument/2006/relationships/hyperlink" Target="mailto:marilya.mitkova@extern.barmenia.de" TargetMode="External"/><Relationship Id="rId581" Type="http://schemas.openxmlformats.org/officeDocument/2006/relationships/hyperlink" Target="mailto:marilya.mitkova@extern.barmenia.de" TargetMode="External"/><Relationship Id="rId71" Type="http://schemas.openxmlformats.org/officeDocument/2006/relationships/hyperlink" Target="mailto:marilya.mitkova@extern.barmenia.de" TargetMode="External"/><Relationship Id="rId234" Type="http://schemas.openxmlformats.org/officeDocument/2006/relationships/hyperlink" Target="mailto:marilya.mitkova@extern.barmenia.de" TargetMode="External"/><Relationship Id="rId679" Type="http://schemas.openxmlformats.org/officeDocument/2006/relationships/hyperlink" Target="mailto:marilya.mitkova@extern.barmenia.de" TargetMode="External"/><Relationship Id="rId802" Type="http://schemas.openxmlformats.org/officeDocument/2006/relationships/table" Target="../tables/table1.xml"/><Relationship Id="rId2" Type="http://schemas.openxmlformats.org/officeDocument/2006/relationships/hyperlink" Target="mailto:steffen.fox@barmenia.de" TargetMode="External"/><Relationship Id="rId29" Type="http://schemas.openxmlformats.org/officeDocument/2006/relationships/hyperlink" Target="mailto:marilya.mitkova@extern.barmenia.de" TargetMode="External"/><Relationship Id="rId441" Type="http://schemas.openxmlformats.org/officeDocument/2006/relationships/hyperlink" Target="mailto:marilya.mitkova@extern.barmenia.de" TargetMode="External"/><Relationship Id="rId539" Type="http://schemas.openxmlformats.org/officeDocument/2006/relationships/hyperlink" Target="mailto:marilya.mitkova@extern.barmenia.de" TargetMode="External"/><Relationship Id="rId746" Type="http://schemas.openxmlformats.org/officeDocument/2006/relationships/hyperlink" Target="mailto:umstellung1ev@barmenia.de" TargetMode="External"/><Relationship Id="rId178" Type="http://schemas.openxmlformats.org/officeDocument/2006/relationships/hyperlink" Target="mailto:marilya.mitkova@extern.barmenia.de" TargetMode="External"/><Relationship Id="rId301" Type="http://schemas.openxmlformats.org/officeDocument/2006/relationships/hyperlink" Target="mailto:marilya.mitkova@extern.barmenia.de" TargetMode="External"/><Relationship Id="rId82" Type="http://schemas.openxmlformats.org/officeDocument/2006/relationships/hyperlink" Target="mailto:marilya.mitkova@extern.barmenia.de" TargetMode="External"/><Relationship Id="rId385" Type="http://schemas.openxmlformats.org/officeDocument/2006/relationships/hyperlink" Target="mailto:marilya.mitkova@extern.barmenia.de" TargetMode="External"/><Relationship Id="rId592" Type="http://schemas.openxmlformats.org/officeDocument/2006/relationships/hyperlink" Target="mailto:marilya.mitkova@extern.barmenia.de" TargetMode="External"/><Relationship Id="rId606" Type="http://schemas.openxmlformats.org/officeDocument/2006/relationships/hyperlink" Target="mailto:marilya.mitkova@extern.barmenia.de" TargetMode="External"/><Relationship Id="rId245" Type="http://schemas.openxmlformats.org/officeDocument/2006/relationships/hyperlink" Target="mailto:marilya.mitkova@extern.barmenia.de" TargetMode="External"/><Relationship Id="rId452" Type="http://schemas.openxmlformats.org/officeDocument/2006/relationships/hyperlink" Target="mailto:marilya.mitkova@extern.barmenia.de" TargetMode="External"/><Relationship Id="rId105" Type="http://schemas.openxmlformats.org/officeDocument/2006/relationships/hyperlink" Target="mailto:marilya.mitkova@extern.barmenia.de" TargetMode="External"/><Relationship Id="rId312" Type="http://schemas.openxmlformats.org/officeDocument/2006/relationships/hyperlink" Target="mailto:marilya.mitkova@extern.barmenia.de" TargetMode="External"/><Relationship Id="rId757" Type="http://schemas.openxmlformats.org/officeDocument/2006/relationships/hyperlink" Target="mailto:umstellung1ev@barmenia.de" TargetMode="External"/><Relationship Id="rId93" Type="http://schemas.openxmlformats.org/officeDocument/2006/relationships/hyperlink" Target="mailto:marilya.mitkova@extern.barmenia.de" TargetMode="External"/><Relationship Id="rId189" Type="http://schemas.openxmlformats.org/officeDocument/2006/relationships/hyperlink" Target="mailto:marilya.mitkova@extern.barmenia.de" TargetMode="External"/><Relationship Id="rId396" Type="http://schemas.openxmlformats.org/officeDocument/2006/relationships/hyperlink" Target="mailto:marilya.mitkova@extern.barmenia.de" TargetMode="External"/><Relationship Id="rId617" Type="http://schemas.openxmlformats.org/officeDocument/2006/relationships/hyperlink" Target="mailto:marilya.mitkova@extern.barmenia.de" TargetMode="External"/><Relationship Id="rId256" Type="http://schemas.openxmlformats.org/officeDocument/2006/relationships/hyperlink" Target="mailto:marilya.mitkova@extern.barmenia.de" TargetMode="External"/><Relationship Id="rId463" Type="http://schemas.openxmlformats.org/officeDocument/2006/relationships/hyperlink" Target="mailto:marilya.mitkova@extern.barmenia.de" TargetMode="External"/><Relationship Id="rId670" Type="http://schemas.openxmlformats.org/officeDocument/2006/relationships/hyperlink" Target="mailto:marilya.mitkova@extern.barmenia.de" TargetMode="External"/><Relationship Id="rId116" Type="http://schemas.openxmlformats.org/officeDocument/2006/relationships/hyperlink" Target="mailto:marilya.mitkova@extern.barmenia.de" TargetMode="External"/><Relationship Id="rId323" Type="http://schemas.openxmlformats.org/officeDocument/2006/relationships/hyperlink" Target="mailto:marilya.mitkova@extern.barmenia.de" TargetMode="External"/><Relationship Id="rId530" Type="http://schemas.openxmlformats.org/officeDocument/2006/relationships/hyperlink" Target="mailto:marilya.mitkova@extern.barmenia.de" TargetMode="External"/><Relationship Id="rId768" Type="http://schemas.openxmlformats.org/officeDocument/2006/relationships/hyperlink" Target="mailto:umstellung1ev@barmenia.de" TargetMode="External"/><Relationship Id="rId20" Type="http://schemas.openxmlformats.org/officeDocument/2006/relationships/hyperlink" Target="mailto:marilya.mitkova@extern.barmenia.de" TargetMode="External"/><Relationship Id="rId628" Type="http://schemas.openxmlformats.org/officeDocument/2006/relationships/hyperlink" Target="mailto:marilya.mitkova@extern.barmenia.de" TargetMode="External"/><Relationship Id="rId267" Type="http://schemas.openxmlformats.org/officeDocument/2006/relationships/hyperlink" Target="mailto:marilya.mitkova@extern.barmenia.de" TargetMode="External"/><Relationship Id="rId474" Type="http://schemas.openxmlformats.org/officeDocument/2006/relationships/hyperlink" Target="mailto:marilya.mitkova@extern.barmenia.de" TargetMode="External"/><Relationship Id="rId127" Type="http://schemas.openxmlformats.org/officeDocument/2006/relationships/hyperlink" Target="mailto:marilya.mitkova@extern.barmenia.de" TargetMode="External"/><Relationship Id="rId681" Type="http://schemas.openxmlformats.org/officeDocument/2006/relationships/hyperlink" Target="mailto:marilya.mitkova@extern.barmenia.de" TargetMode="External"/><Relationship Id="rId779" Type="http://schemas.openxmlformats.org/officeDocument/2006/relationships/hyperlink" Target="mailto:umstellung1ev@barmenia.de" TargetMode="External"/><Relationship Id="rId31" Type="http://schemas.openxmlformats.org/officeDocument/2006/relationships/hyperlink" Target="mailto:marilya.mitkova@extern.barmenia.de" TargetMode="External"/><Relationship Id="rId334" Type="http://schemas.openxmlformats.org/officeDocument/2006/relationships/hyperlink" Target="mailto:marilya.mitkova@extern.barmenia.de" TargetMode="External"/><Relationship Id="rId541" Type="http://schemas.openxmlformats.org/officeDocument/2006/relationships/hyperlink" Target="mailto:marilya.mitkova@extern.barmenia.de" TargetMode="External"/><Relationship Id="rId639" Type="http://schemas.openxmlformats.org/officeDocument/2006/relationships/hyperlink" Target="mailto:marilya.mitkova@extern.barmenia.de" TargetMode="External"/><Relationship Id="rId180" Type="http://schemas.openxmlformats.org/officeDocument/2006/relationships/hyperlink" Target="mailto:marilya.mitkova@extern.barmenia.de" TargetMode="External"/><Relationship Id="rId278" Type="http://schemas.openxmlformats.org/officeDocument/2006/relationships/hyperlink" Target="mailto:marilya.mitkova@extern.barmenia.de" TargetMode="External"/><Relationship Id="rId401" Type="http://schemas.openxmlformats.org/officeDocument/2006/relationships/hyperlink" Target="mailto:marilya.mitkova@extern.barmenia.de" TargetMode="External"/><Relationship Id="rId485" Type="http://schemas.openxmlformats.org/officeDocument/2006/relationships/hyperlink" Target="mailto:marilya.mitkova@extern.barmenia.de" TargetMode="External"/><Relationship Id="rId692" Type="http://schemas.openxmlformats.org/officeDocument/2006/relationships/hyperlink" Target="mailto:marilya.mitkova@extern.barmenia.de" TargetMode="External"/><Relationship Id="rId706" Type="http://schemas.openxmlformats.org/officeDocument/2006/relationships/hyperlink" Target="mailto:marilya.mitkova@extern.barmenia.de" TargetMode="External"/><Relationship Id="rId42" Type="http://schemas.openxmlformats.org/officeDocument/2006/relationships/hyperlink" Target="mailto:marilya.mitkova@extern.barmenia.de" TargetMode="External"/><Relationship Id="rId138" Type="http://schemas.openxmlformats.org/officeDocument/2006/relationships/hyperlink" Target="mailto:marilya.mitkova@extern.barmenia.de" TargetMode="External"/><Relationship Id="rId345" Type="http://schemas.openxmlformats.org/officeDocument/2006/relationships/hyperlink" Target="mailto:marilya.mitkova@extern.barmenia.de" TargetMode="External"/><Relationship Id="rId552" Type="http://schemas.openxmlformats.org/officeDocument/2006/relationships/hyperlink" Target="mailto:marilya.mitkova@extern.barmenia.de" TargetMode="External"/><Relationship Id="rId191" Type="http://schemas.openxmlformats.org/officeDocument/2006/relationships/hyperlink" Target="mailto:marilya.mitkova@extern.barmenia.de" TargetMode="External"/><Relationship Id="rId205" Type="http://schemas.openxmlformats.org/officeDocument/2006/relationships/hyperlink" Target="mailto:marilya.mitkova@extern.barmenia.de" TargetMode="External"/><Relationship Id="rId412" Type="http://schemas.openxmlformats.org/officeDocument/2006/relationships/hyperlink" Target="mailto:marilya.mitkova@extern.barmenia.de" TargetMode="External"/><Relationship Id="rId289" Type="http://schemas.openxmlformats.org/officeDocument/2006/relationships/hyperlink" Target="mailto:marilya.mitkova@extern.barmenia.de" TargetMode="External"/><Relationship Id="rId496" Type="http://schemas.openxmlformats.org/officeDocument/2006/relationships/hyperlink" Target="mailto:marilya.mitkova@extern.barmenia.de" TargetMode="External"/><Relationship Id="rId717" Type="http://schemas.openxmlformats.org/officeDocument/2006/relationships/hyperlink" Target="mailto:marilya.mitkova@extern.barmenia.de" TargetMode="External"/><Relationship Id="rId53" Type="http://schemas.openxmlformats.org/officeDocument/2006/relationships/hyperlink" Target="mailto:marilya.mitkova@extern.barmenia.de" TargetMode="External"/><Relationship Id="rId149" Type="http://schemas.openxmlformats.org/officeDocument/2006/relationships/hyperlink" Target="mailto:marilya.mitkova@extern.barmenia.de" TargetMode="External"/><Relationship Id="rId356" Type="http://schemas.openxmlformats.org/officeDocument/2006/relationships/hyperlink" Target="mailto:marilya.mitkova@extern.barmenia.de" TargetMode="External"/><Relationship Id="rId563" Type="http://schemas.openxmlformats.org/officeDocument/2006/relationships/hyperlink" Target="mailto:marilya.mitkova@extern.barmenia.de" TargetMode="External"/><Relationship Id="rId770" Type="http://schemas.openxmlformats.org/officeDocument/2006/relationships/hyperlink" Target="mailto:umstellung1ev@barmenia.de" TargetMode="External"/><Relationship Id="rId216" Type="http://schemas.openxmlformats.org/officeDocument/2006/relationships/hyperlink" Target="mailto:marilya.mitkova@extern.barmenia.de" TargetMode="External"/><Relationship Id="rId423" Type="http://schemas.openxmlformats.org/officeDocument/2006/relationships/hyperlink" Target="mailto:marilya.mitkova@extern.barmenia.de" TargetMode="External"/><Relationship Id="rId630" Type="http://schemas.openxmlformats.org/officeDocument/2006/relationships/hyperlink" Target="mailto:marilya.mitkova@extern.barmenia.de" TargetMode="External"/><Relationship Id="rId728" Type="http://schemas.openxmlformats.org/officeDocument/2006/relationships/hyperlink" Target="mailto:marilya.mitkova@extern.barmenia.de" TargetMode="External"/><Relationship Id="rId64" Type="http://schemas.openxmlformats.org/officeDocument/2006/relationships/hyperlink" Target="mailto:marilya.mitkova@extern.barmenia.de" TargetMode="External"/><Relationship Id="rId367" Type="http://schemas.openxmlformats.org/officeDocument/2006/relationships/hyperlink" Target="mailto:marilya.mitkova@extern.barmenia.de" TargetMode="External"/><Relationship Id="rId574" Type="http://schemas.openxmlformats.org/officeDocument/2006/relationships/hyperlink" Target="mailto:marilya.mitkova@extern.barmenia.de" TargetMode="External"/><Relationship Id="rId227" Type="http://schemas.openxmlformats.org/officeDocument/2006/relationships/hyperlink" Target="mailto:marilya.mitkova@extern.barmenia.de" TargetMode="External"/><Relationship Id="rId781" Type="http://schemas.openxmlformats.org/officeDocument/2006/relationships/hyperlink" Target="mailto:umstellung1ev@barmenia.de" TargetMode="External"/><Relationship Id="rId269" Type="http://schemas.openxmlformats.org/officeDocument/2006/relationships/hyperlink" Target="mailto:marilya.mitkova@extern.barmenia.de" TargetMode="External"/><Relationship Id="rId434" Type="http://schemas.openxmlformats.org/officeDocument/2006/relationships/hyperlink" Target="mailto:marilya.mitkova@extern.barmenia.de" TargetMode="External"/><Relationship Id="rId476" Type="http://schemas.openxmlformats.org/officeDocument/2006/relationships/hyperlink" Target="mailto:marilya.mitkova@extern.barmenia.de" TargetMode="External"/><Relationship Id="rId641" Type="http://schemas.openxmlformats.org/officeDocument/2006/relationships/hyperlink" Target="mailto:marilya.mitkova@extern.barmenia.de" TargetMode="External"/><Relationship Id="rId683" Type="http://schemas.openxmlformats.org/officeDocument/2006/relationships/hyperlink" Target="mailto:marilya.mitkova@extern.barmenia.de" TargetMode="External"/><Relationship Id="rId739" Type="http://schemas.openxmlformats.org/officeDocument/2006/relationships/hyperlink" Target="mailto:umstellung1ev@barmenia.de" TargetMode="External"/><Relationship Id="rId33" Type="http://schemas.openxmlformats.org/officeDocument/2006/relationships/hyperlink" Target="mailto:marilya.mitkova@extern.barmenia.de" TargetMode="External"/><Relationship Id="rId129" Type="http://schemas.openxmlformats.org/officeDocument/2006/relationships/hyperlink" Target="mailto:marilya.mitkova@extern.barmenia.de" TargetMode="External"/><Relationship Id="rId280" Type="http://schemas.openxmlformats.org/officeDocument/2006/relationships/hyperlink" Target="mailto:marilya.mitkova@extern.barmenia.de" TargetMode="External"/><Relationship Id="rId336" Type="http://schemas.openxmlformats.org/officeDocument/2006/relationships/hyperlink" Target="mailto:marilya.mitkova@extern.barmenia.de" TargetMode="External"/><Relationship Id="rId501" Type="http://schemas.openxmlformats.org/officeDocument/2006/relationships/hyperlink" Target="mailto:marilya.mitkova@extern.barmenia.de" TargetMode="External"/><Relationship Id="rId543" Type="http://schemas.openxmlformats.org/officeDocument/2006/relationships/hyperlink" Target="mailto:marilya.mitkova@extern.barmenia.de" TargetMode="External"/><Relationship Id="rId75" Type="http://schemas.openxmlformats.org/officeDocument/2006/relationships/hyperlink" Target="mailto:marilya.mitkova@extern.barmenia.de" TargetMode="External"/><Relationship Id="rId140" Type="http://schemas.openxmlformats.org/officeDocument/2006/relationships/hyperlink" Target="mailto:marilya.mitkova@extern.barmenia.de" TargetMode="External"/><Relationship Id="rId182" Type="http://schemas.openxmlformats.org/officeDocument/2006/relationships/hyperlink" Target="mailto:marilya.mitkova@extern.barmenia.de" TargetMode="External"/><Relationship Id="rId378" Type="http://schemas.openxmlformats.org/officeDocument/2006/relationships/hyperlink" Target="mailto:marilya.mitkova@extern.barmenia.de" TargetMode="External"/><Relationship Id="rId403" Type="http://schemas.openxmlformats.org/officeDocument/2006/relationships/hyperlink" Target="mailto:marilya.mitkova@extern.barmenia.de" TargetMode="External"/><Relationship Id="rId585" Type="http://schemas.openxmlformats.org/officeDocument/2006/relationships/hyperlink" Target="mailto:marilya.mitkova@extern.barmenia.de" TargetMode="External"/><Relationship Id="rId750" Type="http://schemas.openxmlformats.org/officeDocument/2006/relationships/hyperlink" Target="mailto:umstellung1ev@barmenia.de" TargetMode="External"/><Relationship Id="rId792" Type="http://schemas.openxmlformats.org/officeDocument/2006/relationships/hyperlink" Target="mailto:marilya.mitkova@extern.barmenia.de" TargetMode="External"/><Relationship Id="rId6" Type="http://schemas.openxmlformats.org/officeDocument/2006/relationships/hyperlink" Target="mailto:marilya.mitkova@extern.barmenia.de" TargetMode="External"/><Relationship Id="rId238" Type="http://schemas.openxmlformats.org/officeDocument/2006/relationships/hyperlink" Target="mailto:marilya.mitkova@extern.barmenia.de" TargetMode="External"/><Relationship Id="rId445" Type="http://schemas.openxmlformats.org/officeDocument/2006/relationships/hyperlink" Target="mailto:marilya.mitkova@extern.barmenia.de" TargetMode="External"/><Relationship Id="rId487" Type="http://schemas.openxmlformats.org/officeDocument/2006/relationships/hyperlink" Target="mailto:marilya.mitkova@extern.barmenia.de" TargetMode="External"/><Relationship Id="rId610" Type="http://schemas.openxmlformats.org/officeDocument/2006/relationships/hyperlink" Target="mailto:marilya.mitkova@extern.barmenia.de" TargetMode="External"/><Relationship Id="rId652" Type="http://schemas.openxmlformats.org/officeDocument/2006/relationships/hyperlink" Target="mailto:marilya.mitkova@extern.barmenia.de" TargetMode="External"/><Relationship Id="rId694" Type="http://schemas.openxmlformats.org/officeDocument/2006/relationships/hyperlink" Target="mailto:marilya.mitkova@extern.barmenia.de" TargetMode="External"/><Relationship Id="rId708" Type="http://schemas.openxmlformats.org/officeDocument/2006/relationships/hyperlink" Target="mailto:marilya.mitkova@extern.barmenia.de" TargetMode="External"/><Relationship Id="rId291" Type="http://schemas.openxmlformats.org/officeDocument/2006/relationships/hyperlink" Target="mailto:marilya.mitkova@extern.barmenia.de" TargetMode="External"/><Relationship Id="rId305" Type="http://schemas.openxmlformats.org/officeDocument/2006/relationships/hyperlink" Target="mailto:marilya.mitkova@extern.barmenia.de" TargetMode="External"/><Relationship Id="rId347" Type="http://schemas.openxmlformats.org/officeDocument/2006/relationships/hyperlink" Target="mailto:marilya.mitkova@extern.barmenia.de" TargetMode="External"/><Relationship Id="rId512" Type="http://schemas.openxmlformats.org/officeDocument/2006/relationships/hyperlink" Target="mailto:marilya.mitkova@extern.barmenia.de" TargetMode="External"/><Relationship Id="rId44" Type="http://schemas.openxmlformats.org/officeDocument/2006/relationships/hyperlink" Target="mailto:marilya.mitkova@extern.barmenia.de" TargetMode="External"/><Relationship Id="rId86" Type="http://schemas.openxmlformats.org/officeDocument/2006/relationships/hyperlink" Target="mailto:marilya.mitkova@extern.barmenia.de" TargetMode="External"/><Relationship Id="rId151" Type="http://schemas.openxmlformats.org/officeDocument/2006/relationships/hyperlink" Target="mailto:marilya.mitkova@extern.barmenia.de" TargetMode="External"/><Relationship Id="rId389" Type="http://schemas.openxmlformats.org/officeDocument/2006/relationships/hyperlink" Target="mailto:marilya.mitkova@extern.barmenia.de" TargetMode="External"/><Relationship Id="rId554" Type="http://schemas.openxmlformats.org/officeDocument/2006/relationships/hyperlink" Target="mailto:marilya.mitkova@extern.barmenia.de" TargetMode="External"/><Relationship Id="rId596" Type="http://schemas.openxmlformats.org/officeDocument/2006/relationships/hyperlink" Target="mailto:marilya.mitkova@extern.barmenia.de" TargetMode="External"/><Relationship Id="rId761" Type="http://schemas.openxmlformats.org/officeDocument/2006/relationships/hyperlink" Target="mailto:umstellung1ev@barmenia.de" TargetMode="External"/><Relationship Id="rId193" Type="http://schemas.openxmlformats.org/officeDocument/2006/relationships/hyperlink" Target="mailto:marilya.mitkova@extern.barmenia.de" TargetMode="External"/><Relationship Id="rId207" Type="http://schemas.openxmlformats.org/officeDocument/2006/relationships/hyperlink" Target="mailto:marilya.mitkova@extern.barmenia.de" TargetMode="External"/><Relationship Id="rId249" Type="http://schemas.openxmlformats.org/officeDocument/2006/relationships/hyperlink" Target="mailto:marilya.mitkova@extern.barmenia.de" TargetMode="External"/><Relationship Id="rId414" Type="http://schemas.openxmlformats.org/officeDocument/2006/relationships/hyperlink" Target="mailto:marilya.mitkova@extern.barmenia.de" TargetMode="External"/><Relationship Id="rId456" Type="http://schemas.openxmlformats.org/officeDocument/2006/relationships/hyperlink" Target="mailto:marilya.mitkova@extern.barmenia.de" TargetMode="External"/><Relationship Id="rId498" Type="http://schemas.openxmlformats.org/officeDocument/2006/relationships/hyperlink" Target="mailto:marilya.mitkova@extern.barmenia.de" TargetMode="External"/><Relationship Id="rId621" Type="http://schemas.openxmlformats.org/officeDocument/2006/relationships/hyperlink" Target="mailto:marilya.mitkova@extern.barmenia.de" TargetMode="External"/><Relationship Id="rId663" Type="http://schemas.openxmlformats.org/officeDocument/2006/relationships/hyperlink" Target="mailto:marilya.mitkova@extern.barmenia.de" TargetMode="External"/><Relationship Id="rId13" Type="http://schemas.openxmlformats.org/officeDocument/2006/relationships/hyperlink" Target="mailto:marilya.mitkova@extern.barmenia.de" TargetMode="External"/><Relationship Id="rId109" Type="http://schemas.openxmlformats.org/officeDocument/2006/relationships/hyperlink" Target="mailto:marilya.mitkova@extern.barmenia.de" TargetMode="External"/><Relationship Id="rId260" Type="http://schemas.openxmlformats.org/officeDocument/2006/relationships/hyperlink" Target="mailto:marilya.mitkova@extern.barmenia.de" TargetMode="External"/><Relationship Id="rId316" Type="http://schemas.openxmlformats.org/officeDocument/2006/relationships/hyperlink" Target="mailto:marilya.mitkova@extern.barmenia.de" TargetMode="External"/><Relationship Id="rId523" Type="http://schemas.openxmlformats.org/officeDocument/2006/relationships/hyperlink" Target="mailto:marilya.mitkova@extern.barmenia.de" TargetMode="External"/><Relationship Id="rId719" Type="http://schemas.openxmlformats.org/officeDocument/2006/relationships/hyperlink" Target="mailto:marilya.mitkova@extern.barmenia.de" TargetMode="External"/><Relationship Id="rId55" Type="http://schemas.openxmlformats.org/officeDocument/2006/relationships/hyperlink" Target="mailto:marilya.mitkova@extern.barmenia.de" TargetMode="External"/><Relationship Id="rId97" Type="http://schemas.openxmlformats.org/officeDocument/2006/relationships/hyperlink" Target="mailto:marilya.mitkova@extern.barmenia.de" TargetMode="External"/><Relationship Id="rId120" Type="http://schemas.openxmlformats.org/officeDocument/2006/relationships/hyperlink" Target="mailto:marilya.mitkova@extern.barmenia.de" TargetMode="External"/><Relationship Id="rId358" Type="http://schemas.openxmlformats.org/officeDocument/2006/relationships/hyperlink" Target="mailto:marilya.mitkova@extern.barmenia.de" TargetMode="External"/><Relationship Id="rId565" Type="http://schemas.openxmlformats.org/officeDocument/2006/relationships/hyperlink" Target="mailto:marilya.mitkova@extern.barmenia.de" TargetMode="External"/><Relationship Id="rId730" Type="http://schemas.openxmlformats.org/officeDocument/2006/relationships/hyperlink" Target="mailto:marilya.mitkova@extern.barmenia.de" TargetMode="External"/><Relationship Id="rId772" Type="http://schemas.openxmlformats.org/officeDocument/2006/relationships/hyperlink" Target="mailto:umstellung1ev@barmenia.de" TargetMode="External"/><Relationship Id="rId162" Type="http://schemas.openxmlformats.org/officeDocument/2006/relationships/hyperlink" Target="mailto:marilya.mitkova@extern.barmenia.de" TargetMode="External"/><Relationship Id="rId218" Type="http://schemas.openxmlformats.org/officeDocument/2006/relationships/hyperlink" Target="mailto:marilya.mitkova@extern.barmenia.de" TargetMode="External"/><Relationship Id="rId425" Type="http://schemas.openxmlformats.org/officeDocument/2006/relationships/hyperlink" Target="mailto:marilya.mitkova@extern.barmenia.de" TargetMode="External"/><Relationship Id="rId467" Type="http://schemas.openxmlformats.org/officeDocument/2006/relationships/hyperlink" Target="mailto:marilya.mitkova@extern.barmenia.de" TargetMode="External"/><Relationship Id="rId632" Type="http://schemas.openxmlformats.org/officeDocument/2006/relationships/hyperlink" Target="mailto:marilya.mitkova@extern.barmenia.de" TargetMode="External"/><Relationship Id="rId271" Type="http://schemas.openxmlformats.org/officeDocument/2006/relationships/hyperlink" Target="mailto:marilya.mitkova@extern.barmenia.de" TargetMode="External"/><Relationship Id="rId674" Type="http://schemas.openxmlformats.org/officeDocument/2006/relationships/hyperlink" Target="mailto:marilya.mitkova@extern.barmenia.de" TargetMode="External"/><Relationship Id="rId24" Type="http://schemas.openxmlformats.org/officeDocument/2006/relationships/hyperlink" Target="mailto:marilya.mitkova@extern.barmenia.de" TargetMode="External"/><Relationship Id="rId66" Type="http://schemas.openxmlformats.org/officeDocument/2006/relationships/hyperlink" Target="mailto:marilya.mitkova@extern.barmenia.de" TargetMode="External"/><Relationship Id="rId131" Type="http://schemas.openxmlformats.org/officeDocument/2006/relationships/hyperlink" Target="mailto:marilya.mitkova@extern.barmenia.de" TargetMode="External"/><Relationship Id="rId327" Type="http://schemas.openxmlformats.org/officeDocument/2006/relationships/hyperlink" Target="mailto:marilya.mitkova@extern.barmenia.de" TargetMode="External"/><Relationship Id="rId369" Type="http://schemas.openxmlformats.org/officeDocument/2006/relationships/hyperlink" Target="mailto:marilya.mitkova@extern.barmenia.de" TargetMode="External"/><Relationship Id="rId534" Type="http://schemas.openxmlformats.org/officeDocument/2006/relationships/hyperlink" Target="mailto:marilya.mitkova@extern.barmenia.de" TargetMode="External"/><Relationship Id="rId576" Type="http://schemas.openxmlformats.org/officeDocument/2006/relationships/hyperlink" Target="mailto:marilya.mitkova@extern.barmenia.de" TargetMode="External"/><Relationship Id="rId741" Type="http://schemas.openxmlformats.org/officeDocument/2006/relationships/hyperlink" Target="mailto:umstellung1ev@barmenia.de" TargetMode="External"/><Relationship Id="rId783" Type="http://schemas.openxmlformats.org/officeDocument/2006/relationships/hyperlink" Target="mailto:umstellung1ev@barmenia.de" TargetMode="External"/><Relationship Id="rId173" Type="http://schemas.openxmlformats.org/officeDocument/2006/relationships/hyperlink" Target="mailto:marilya.mitkova@extern.barmenia.de" TargetMode="External"/><Relationship Id="rId229" Type="http://schemas.openxmlformats.org/officeDocument/2006/relationships/hyperlink" Target="mailto:marilya.mitkova@extern.barmenia.de" TargetMode="External"/><Relationship Id="rId380" Type="http://schemas.openxmlformats.org/officeDocument/2006/relationships/hyperlink" Target="mailto:marilya.mitkova@extern.barmenia.de" TargetMode="External"/><Relationship Id="rId436" Type="http://schemas.openxmlformats.org/officeDocument/2006/relationships/hyperlink" Target="mailto:marilya.mitkova@extern.barmenia.de" TargetMode="External"/><Relationship Id="rId601" Type="http://schemas.openxmlformats.org/officeDocument/2006/relationships/hyperlink" Target="mailto:marilya.mitkova@extern.barmenia.de" TargetMode="External"/><Relationship Id="rId643" Type="http://schemas.openxmlformats.org/officeDocument/2006/relationships/hyperlink" Target="mailto:marilya.mitkova@extern.barmenia.de" TargetMode="External"/><Relationship Id="rId240" Type="http://schemas.openxmlformats.org/officeDocument/2006/relationships/hyperlink" Target="mailto:marilya.mitkova@extern.barmenia.de" TargetMode="External"/><Relationship Id="rId478" Type="http://schemas.openxmlformats.org/officeDocument/2006/relationships/hyperlink" Target="mailto:marilya.mitkova@extern.barmenia.de" TargetMode="External"/><Relationship Id="rId685" Type="http://schemas.openxmlformats.org/officeDocument/2006/relationships/hyperlink" Target="mailto:marilya.mitkova@extern.barmenia.de" TargetMode="External"/><Relationship Id="rId35" Type="http://schemas.openxmlformats.org/officeDocument/2006/relationships/hyperlink" Target="mailto:vjollca.qela@barmenia.de" TargetMode="External"/><Relationship Id="rId77" Type="http://schemas.openxmlformats.org/officeDocument/2006/relationships/hyperlink" Target="mailto:marilya.mitkova@extern.barmenia.de" TargetMode="External"/><Relationship Id="rId100" Type="http://schemas.openxmlformats.org/officeDocument/2006/relationships/hyperlink" Target="mailto:marilya.mitkova@extern.barmenia.de" TargetMode="External"/><Relationship Id="rId282" Type="http://schemas.openxmlformats.org/officeDocument/2006/relationships/hyperlink" Target="mailto:marilya.mitkova@extern.barmenia.de" TargetMode="External"/><Relationship Id="rId338" Type="http://schemas.openxmlformats.org/officeDocument/2006/relationships/hyperlink" Target="mailto:marilya.mitkova@extern.barmenia.de" TargetMode="External"/><Relationship Id="rId503" Type="http://schemas.openxmlformats.org/officeDocument/2006/relationships/hyperlink" Target="mailto:marilya.mitkova@extern.barmenia.de" TargetMode="External"/><Relationship Id="rId545" Type="http://schemas.openxmlformats.org/officeDocument/2006/relationships/hyperlink" Target="mailto:marilya.mitkova@extern.barmenia.de" TargetMode="External"/><Relationship Id="rId587" Type="http://schemas.openxmlformats.org/officeDocument/2006/relationships/hyperlink" Target="mailto:marilya.mitkova@extern.barmenia.de" TargetMode="External"/><Relationship Id="rId710" Type="http://schemas.openxmlformats.org/officeDocument/2006/relationships/hyperlink" Target="mailto:marilya.mitkova@extern.barmenia.de" TargetMode="External"/><Relationship Id="rId752" Type="http://schemas.openxmlformats.org/officeDocument/2006/relationships/hyperlink" Target="mailto:umstellung1ev@barmenia.de" TargetMode="External"/><Relationship Id="rId8" Type="http://schemas.openxmlformats.org/officeDocument/2006/relationships/hyperlink" Target="mailto:marilya.mitkova@extern.barmenia.de" TargetMode="External"/><Relationship Id="rId142" Type="http://schemas.openxmlformats.org/officeDocument/2006/relationships/hyperlink" Target="mailto:marilya.mitkova@extern.barmenia.de" TargetMode="External"/><Relationship Id="rId184" Type="http://schemas.openxmlformats.org/officeDocument/2006/relationships/hyperlink" Target="mailto:marilya.mitkova@extern.barmenia.de" TargetMode="External"/><Relationship Id="rId391" Type="http://schemas.openxmlformats.org/officeDocument/2006/relationships/hyperlink" Target="mailto:marilya.mitkova@extern.barmenia.de" TargetMode="External"/><Relationship Id="rId405" Type="http://schemas.openxmlformats.org/officeDocument/2006/relationships/hyperlink" Target="mailto:marilya.mitkova@extern.barmenia.de" TargetMode="External"/><Relationship Id="rId447" Type="http://schemas.openxmlformats.org/officeDocument/2006/relationships/hyperlink" Target="mailto:marilya.mitkova@extern.barmenia.de" TargetMode="External"/><Relationship Id="rId612" Type="http://schemas.openxmlformats.org/officeDocument/2006/relationships/hyperlink" Target="mailto:marilya.mitkova@extern.barmenia.de" TargetMode="External"/><Relationship Id="rId794" Type="http://schemas.openxmlformats.org/officeDocument/2006/relationships/hyperlink" Target="mailto:umstellung1ev@barmenia.de" TargetMode="External"/><Relationship Id="rId251" Type="http://schemas.openxmlformats.org/officeDocument/2006/relationships/hyperlink" Target="mailto:marilya.mitkova@extern.barmenia.de" TargetMode="External"/><Relationship Id="rId489" Type="http://schemas.openxmlformats.org/officeDocument/2006/relationships/hyperlink" Target="mailto:marilya.mitkova@extern.barmenia.de" TargetMode="External"/><Relationship Id="rId654" Type="http://schemas.openxmlformats.org/officeDocument/2006/relationships/hyperlink" Target="mailto:marilya.mitkova@extern.barmenia.de" TargetMode="External"/><Relationship Id="rId696" Type="http://schemas.openxmlformats.org/officeDocument/2006/relationships/hyperlink" Target="mailto:marilya.mitkova@extern.barmenia.de" TargetMode="External"/><Relationship Id="rId46" Type="http://schemas.openxmlformats.org/officeDocument/2006/relationships/hyperlink" Target="mailto:marilya.mitkova@extern.barmenia.de" TargetMode="External"/><Relationship Id="rId293" Type="http://schemas.openxmlformats.org/officeDocument/2006/relationships/hyperlink" Target="mailto:marilya.mitkova@extern.barmenia.de" TargetMode="External"/><Relationship Id="rId307" Type="http://schemas.openxmlformats.org/officeDocument/2006/relationships/hyperlink" Target="mailto:marilya.mitkova@extern.barmenia.de" TargetMode="External"/><Relationship Id="rId349" Type="http://schemas.openxmlformats.org/officeDocument/2006/relationships/hyperlink" Target="mailto:marilya.mitkova@extern.barmenia.de" TargetMode="External"/><Relationship Id="rId514" Type="http://schemas.openxmlformats.org/officeDocument/2006/relationships/hyperlink" Target="mailto:marilya.mitkova@extern.barmenia.de" TargetMode="External"/><Relationship Id="rId556" Type="http://schemas.openxmlformats.org/officeDocument/2006/relationships/hyperlink" Target="mailto:marilya.mitkova@extern.barmenia.de" TargetMode="External"/><Relationship Id="rId721" Type="http://schemas.openxmlformats.org/officeDocument/2006/relationships/hyperlink" Target="mailto:marilya.mitkova@extern.barmenia.de" TargetMode="External"/><Relationship Id="rId763" Type="http://schemas.openxmlformats.org/officeDocument/2006/relationships/hyperlink" Target="mailto:umstellung1ev@barmenia.de" TargetMode="External"/><Relationship Id="rId88" Type="http://schemas.openxmlformats.org/officeDocument/2006/relationships/hyperlink" Target="mailto:marilya.mitkova@extern.barmenia.de" TargetMode="External"/><Relationship Id="rId111" Type="http://schemas.openxmlformats.org/officeDocument/2006/relationships/hyperlink" Target="mailto:marilya.mitkova@extern.barmenia.de" TargetMode="External"/><Relationship Id="rId153" Type="http://schemas.openxmlformats.org/officeDocument/2006/relationships/hyperlink" Target="mailto:marilya.mitkova@extern.barmenia.de" TargetMode="External"/><Relationship Id="rId195" Type="http://schemas.openxmlformats.org/officeDocument/2006/relationships/hyperlink" Target="mailto:marilya.mitkova@extern.barmenia.de" TargetMode="External"/><Relationship Id="rId209" Type="http://schemas.openxmlformats.org/officeDocument/2006/relationships/hyperlink" Target="mailto:marilya.mitkova@extern.barmenia.de" TargetMode="External"/><Relationship Id="rId360" Type="http://schemas.openxmlformats.org/officeDocument/2006/relationships/hyperlink" Target="mailto:marilya.mitkova@extern.barmenia.de" TargetMode="External"/><Relationship Id="rId416" Type="http://schemas.openxmlformats.org/officeDocument/2006/relationships/hyperlink" Target="mailto:marilya.mitkova@extern.barmenia.de" TargetMode="External"/><Relationship Id="rId598" Type="http://schemas.openxmlformats.org/officeDocument/2006/relationships/hyperlink" Target="mailto:marilya.mitkova@extern.barmenia.de" TargetMode="External"/><Relationship Id="rId220" Type="http://schemas.openxmlformats.org/officeDocument/2006/relationships/hyperlink" Target="mailto:marilya.mitkova@extern.barmenia.de" TargetMode="External"/><Relationship Id="rId458" Type="http://schemas.openxmlformats.org/officeDocument/2006/relationships/hyperlink" Target="mailto:marilya.mitkova@extern.barmenia.de" TargetMode="External"/><Relationship Id="rId623" Type="http://schemas.openxmlformats.org/officeDocument/2006/relationships/hyperlink" Target="mailto:marilya.mitkova@extern.barmenia.de" TargetMode="External"/><Relationship Id="rId665" Type="http://schemas.openxmlformats.org/officeDocument/2006/relationships/hyperlink" Target="mailto:marilya.mitkova@extern.barmenia.de" TargetMode="External"/><Relationship Id="rId15" Type="http://schemas.openxmlformats.org/officeDocument/2006/relationships/hyperlink" Target="mailto:marilya.mitkova@extern.barmenia.de" TargetMode="External"/><Relationship Id="rId57" Type="http://schemas.openxmlformats.org/officeDocument/2006/relationships/hyperlink" Target="mailto:marilya.mitkova@extern.barmenia.de" TargetMode="External"/><Relationship Id="rId262" Type="http://schemas.openxmlformats.org/officeDocument/2006/relationships/hyperlink" Target="mailto:marilya.mitkova@extern.barmenia.de" TargetMode="External"/><Relationship Id="rId318" Type="http://schemas.openxmlformats.org/officeDocument/2006/relationships/hyperlink" Target="mailto:marilya.mitkova@extern.barmenia.de" TargetMode="External"/><Relationship Id="rId525" Type="http://schemas.openxmlformats.org/officeDocument/2006/relationships/hyperlink" Target="mailto:marilya.mitkova@extern.barmenia.de" TargetMode="External"/><Relationship Id="rId567" Type="http://schemas.openxmlformats.org/officeDocument/2006/relationships/hyperlink" Target="mailto:marilya.mitkova@extern.barmenia.de" TargetMode="External"/><Relationship Id="rId732" Type="http://schemas.openxmlformats.org/officeDocument/2006/relationships/hyperlink" Target="mailto:umstellung1ev@barmenia.de" TargetMode="External"/><Relationship Id="rId99" Type="http://schemas.openxmlformats.org/officeDocument/2006/relationships/hyperlink" Target="mailto:marilya.mitkova@extern.barmenia.de" TargetMode="External"/><Relationship Id="rId122" Type="http://schemas.openxmlformats.org/officeDocument/2006/relationships/hyperlink" Target="mailto:marilya.mitkova@extern.barmenia.de" TargetMode="External"/><Relationship Id="rId164" Type="http://schemas.openxmlformats.org/officeDocument/2006/relationships/hyperlink" Target="mailto:marilya.mitkova@extern.barmenia.de" TargetMode="External"/><Relationship Id="rId371" Type="http://schemas.openxmlformats.org/officeDocument/2006/relationships/hyperlink" Target="mailto:marilya.mitkova@extern.barmenia.de" TargetMode="External"/><Relationship Id="rId774" Type="http://schemas.openxmlformats.org/officeDocument/2006/relationships/hyperlink" Target="mailto:umstellung1ev@barmenia.de" TargetMode="External"/><Relationship Id="rId427" Type="http://schemas.openxmlformats.org/officeDocument/2006/relationships/hyperlink" Target="mailto:marilya.mitkova@extern.barmenia.de" TargetMode="External"/><Relationship Id="rId469" Type="http://schemas.openxmlformats.org/officeDocument/2006/relationships/hyperlink" Target="mailto:marilya.mitkova@extern.barmenia.de" TargetMode="External"/><Relationship Id="rId634" Type="http://schemas.openxmlformats.org/officeDocument/2006/relationships/hyperlink" Target="mailto:marilya.mitkova@extern.barmenia.de" TargetMode="External"/><Relationship Id="rId676" Type="http://schemas.openxmlformats.org/officeDocument/2006/relationships/hyperlink" Target="mailto:marilya.mitkova@extern.barmenia.de" TargetMode="External"/><Relationship Id="rId26" Type="http://schemas.openxmlformats.org/officeDocument/2006/relationships/hyperlink" Target="mailto:marilya.mitkova@extern.barmenia.de" TargetMode="External"/><Relationship Id="rId231" Type="http://schemas.openxmlformats.org/officeDocument/2006/relationships/hyperlink" Target="mailto:marilya.mitkova@extern.barmenia.de" TargetMode="External"/><Relationship Id="rId273" Type="http://schemas.openxmlformats.org/officeDocument/2006/relationships/hyperlink" Target="mailto:marilya.mitkova@extern.barmenia.de" TargetMode="External"/><Relationship Id="rId329" Type="http://schemas.openxmlformats.org/officeDocument/2006/relationships/hyperlink" Target="mailto:marilya.mitkova@extern.barmenia.de" TargetMode="External"/><Relationship Id="rId480" Type="http://schemas.openxmlformats.org/officeDocument/2006/relationships/hyperlink" Target="mailto:marilya.mitkova@extern.barmenia.de" TargetMode="External"/><Relationship Id="rId536" Type="http://schemas.openxmlformats.org/officeDocument/2006/relationships/hyperlink" Target="mailto:marilya.mitkova@extern.barmenia.de" TargetMode="External"/><Relationship Id="rId701" Type="http://schemas.openxmlformats.org/officeDocument/2006/relationships/hyperlink" Target="mailto:marilya.mitkova@extern.barmenia.de" TargetMode="External"/><Relationship Id="rId68" Type="http://schemas.openxmlformats.org/officeDocument/2006/relationships/hyperlink" Target="mailto:marilya.mitkova@extern.barmenia.de" TargetMode="External"/><Relationship Id="rId133" Type="http://schemas.openxmlformats.org/officeDocument/2006/relationships/hyperlink" Target="mailto:marilya.mitkova@extern.barmenia.de" TargetMode="External"/><Relationship Id="rId175" Type="http://schemas.openxmlformats.org/officeDocument/2006/relationships/hyperlink" Target="mailto:marilya.mitkova@extern.barmenia.de" TargetMode="External"/><Relationship Id="rId340" Type="http://schemas.openxmlformats.org/officeDocument/2006/relationships/hyperlink" Target="mailto:marilya.mitkova@extern.barmenia.de" TargetMode="External"/><Relationship Id="rId578" Type="http://schemas.openxmlformats.org/officeDocument/2006/relationships/hyperlink" Target="mailto:marilya.mitkova@extern.barmenia.de" TargetMode="External"/><Relationship Id="rId743" Type="http://schemas.openxmlformats.org/officeDocument/2006/relationships/hyperlink" Target="mailto:umstellung1ev@barmenia.de" TargetMode="External"/><Relationship Id="rId785" Type="http://schemas.openxmlformats.org/officeDocument/2006/relationships/hyperlink" Target="mailto:umstellung1ev@barmenia.de" TargetMode="External"/><Relationship Id="rId200" Type="http://schemas.openxmlformats.org/officeDocument/2006/relationships/hyperlink" Target="mailto:marilya.mitkova@extern.barmenia.de" TargetMode="External"/><Relationship Id="rId382" Type="http://schemas.openxmlformats.org/officeDocument/2006/relationships/hyperlink" Target="mailto:marilya.mitkova@extern.barmenia.de" TargetMode="External"/><Relationship Id="rId438" Type="http://schemas.openxmlformats.org/officeDocument/2006/relationships/hyperlink" Target="mailto:marilya.mitkova@extern.barmenia.de" TargetMode="External"/><Relationship Id="rId603" Type="http://schemas.openxmlformats.org/officeDocument/2006/relationships/hyperlink" Target="mailto:marilya.mitkova@extern.barmenia.de" TargetMode="External"/><Relationship Id="rId645" Type="http://schemas.openxmlformats.org/officeDocument/2006/relationships/hyperlink" Target="mailto:marilya.mitkova@extern.barmenia.de" TargetMode="External"/><Relationship Id="rId687" Type="http://schemas.openxmlformats.org/officeDocument/2006/relationships/hyperlink" Target="mailto:marilya.mitkova@extern.barmenia.de" TargetMode="External"/><Relationship Id="rId242" Type="http://schemas.openxmlformats.org/officeDocument/2006/relationships/hyperlink" Target="mailto:marilya.mitkova@extern.barmenia.de" TargetMode="External"/><Relationship Id="rId284" Type="http://schemas.openxmlformats.org/officeDocument/2006/relationships/hyperlink" Target="mailto:marilya.mitkova@extern.barmenia.de" TargetMode="External"/><Relationship Id="rId491" Type="http://schemas.openxmlformats.org/officeDocument/2006/relationships/hyperlink" Target="mailto:marilya.mitkova@extern.barmenia.de" TargetMode="External"/><Relationship Id="rId505" Type="http://schemas.openxmlformats.org/officeDocument/2006/relationships/hyperlink" Target="mailto:marilya.mitkova@extern.barmenia.de" TargetMode="External"/><Relationship Id="rId712" Type="http://schemas.openxmlformats.org/officeDocument/2006/relationships/hyperlink" Target="mailto:marilya.mitkova@extern.barmenia.de" TargetMode="External"/><Relationship Id="rId37" Type="http://schemas.openxmlformats.org/officeDocument/2006/relationships/hyperlink" Target="mailto:marilya.mitkova@extern.barmenia.de" TargetMode="External"/><Relationship Id="rId79" Type="http://schemas.openxmlformats.org/officeDocument/2006/relationships/hyperlink" Target="mailto:marilya.mitkova@extern.barmenia.de" TargetMode="External"/><Relationship Id="rId102" Type="http://schemas.openxmlformats.org/officeDocument/2006/relationships/hyperlink" Target="mailto:marilya.mitkova@extern.barmenia.de" TargetMode="External"/><Relationship Id="rId144" Type="http://schemas.openxmlformats.org/officeDocument/2006/relationships/hyperlink" Target="mailto:marilya.mitkova@extern.barmenia.de" TargetMode="External"/><Relationship Id="rId547" Type="http://schemas.openxmlformats.org/officeDocument/2006/relationships/hyperlink" Target="mailto:marilya.mitkova@extern.barmenia.de" TargetMode="External"/><Relationship Id="rId589" Type="http://schemas.openxmlformats.org/officeDocument/2006/relationships/hyperlink" Target="mailto:marilya.mitkova@extern.barmenia.de" TargetMode="External"/><Relationship Id="rId754" Type="http://schemas.openxmlformats.org/officeDocument/2006/relationships/hyperlink" Target="mailto:umstellung1ev@barmenia.de" TargetMode="External"/><Relationship Id="rId796" Type="http://schemas.openxmlformats.org/officeDocument/2006/relationships/hyperlink" Target="mailto:umstellung1ev@barmenia.de" TargetMode="External"/><Relationship Id="rId90" Type="http://schemas.openxmlformats.org/officeDocument/2006/relationships/hyperlink" Target="mailto:marilya.mitkova@extern.barmenia.de" TargetMode="External"/><Relationship Id="rId186" Type="http://schemas.openxmlformats.org/officeDocument/2006/relationships/hyperlink" Target="mailto:marilya.mitkova@extern.barmenia.de" TargetMode="External"/><Relationship Id="rId351" Type="http://schemas.openxmlformats.org/officeDocument/2006/relationships/hyperlink" Target="mailto:marilya.mitkova@extern.barmenia.de" TargetMode="External"/><Relationship Id="rId393" Type="http://schemas.openxmlformats.org/officeDocument/2006/relationships/hyperlink" Target="mailto:marilya.mitkova@extern.barmenia.de" TargetMode="External"/><Relationship Id="rId407" Type="http://schemas.openxmlformats.org/officeDocument/2006/relationships/hyperlink" Target="mailto:marilya.mitkova@extern.barmenia.de" TargetMode="External"/><Relationship Id="rId449" Type="http://schemas.openxmlformats.org/officeDocument/2006/relationships/hyperlink" Target="mailto:marilya.mitkova@extern.barmenia.de" TargetMode="External"/><Relationship Id="rId614" Type="http://schemas.openxmlformats.org/officeDocument/2006/relationships/hyperlink" Target="mailto:marilya.mitkova@extern.barmenia.de" TargetMode="External"/><Relationship Id="rId656" Type="http://schemas.openxmlformats.org/officeDocument/2006/relationships/hyperlink" Target="mailto:marilya.mitkova@extern.barmenia.de" TargetMode="External"/><Relationship Id="rId211" Type="http://schemas.openxmlformats.org/officeDocument/2006/relationships/hyperlink" Target="mailto:marilya.mitkova@extern.barmenia.de" TargetMode="External"/><Relationship Id="rId253" Type="http://schemas.openxmlformats.org/officeDocument/2006/relationships/hyperlink" Target="mailto:marilya.mitkova@extern.barmenia.de" TargetMode="External"/><Relationship Id="rId295" Type="http://schemas.openxmlformats.org/officeDocument/2006/relationships/hyperlink" Target="mailto:marilya.mitkova@extern.barmenia.de" TargetMode="External"/><Relationship Id="rId309" Type="http://schemas.openxmlformats.org/officeDocument/2006/relationships/hyperlink" Target="mailto:marilya.mitkova@extern.barmenia.de" TargetMode="External"/><Relationship Id="rId460" Type="http://schemas.openxmlformats.org/officeDocument/2006/relationships/hyperlink" Target="mailto:marilya.mitkova@extern.barmenia.de" TargetMode="External"/><Relationship Id="rId516" Type="http://schemas.openxmlformats.org/officeDocument/2006/relationships/hyperlink" Target="mailto:marilya.mitkova@extern.barmenia.de" TargetMode="External"/><Relationship Id="rId698" Type="http://schemas.openxmlformats.org/officeDocument/2006/relationships/hyperlink" Target="mailto:marilya.mitkova@extern.barmenia.de" TargetMode="External"/><Relationship Id="rId48" Type="http://schemas.openxmlformats.org/officeDocument/2006/relationships/hyperlink" Target="mailto:marilya.mitkova@extern.barmenia.de" TargetMode="External"/><Relationship Id="rId113" Type="http://schemas.openxmlformats.org/officeDocument/2006/relationships/hyperlink" Target="mailto:marilya.mitkova@extern.barmenia.de" TargetMode="External"/><Relationship Id="rId320" Type="http://schemas.openxmlformats.org/officeDocument/2006/relationships/hyperlink" Target="mailto:marilya.mitkova@extern.barmenia.de" TargetMode="External"/><Relationship Id="rId558" Type="http://schemas.openxmlformats.org/officeDocument/2006/relationships/hyperlink" Target="mailto:marilya.mitkova@extern.barmenia.de" TargetMode="External"/><Relationship Id="rId723" Type="http://schemas.openxmlformats.org/officeDocument/2006/relationships/hyperlink" Target="mailto:marilya.mitkova@extern.barmenia.de" TargetMode="External"/><Relationship Id="rId765" Type="http://schemas.openxmlformats.org/officeDocument/2006/relationships/hyperlink" Target="mailto:umstellung1ev@barmenia.de" TargetMode="External"/><Relationship Id="rId155" Type="http://schemas.openxmlformats.org/officeDocument/2006/relationships/hyperlink" Target="mailto:marilya.mitkova@extern.barmenia.de" TargetMode="External"/><Relationship Id="rId197" Type="http://schemas.openxmlformats.org/officeDocument/2006/relationships/hyperlink" Target="mailto:marilya.mitkova@extern.barmenia.de" TargetMode="External"/><Relationship Id="rId362" Type="http://schemas.openxmlformats.org/officeDocument/2006/relationships/hyperlink" Target="mailto:marilya.mitkova@extern.barmenia.de" TargetMode="External"/><Relationship Id="rId418" Type="http://schemas.openxmlformats.org/officeDocument/2006/relationships/hyperlink" Target="mailto:marilya.mitkova@extern.barmenia.de" TargetMode="External"/><Relationship Id="rId625" Type="http://schemas.openxmlformats.org/officeDocument/2006/relationships/hyperlink" Target="mailto:marilya.mitkova@extern.barmenia.de" TargetMode="External"/><Relationship Id="rId222" Type="http://schemas.openxmlformats.org/officeDocument/2006/relationships/hyperlink" Target="mailto:marilya.mitkova@extern.barmenia.de" TargetMode="External"/><Relationship Id="rId264" Type="http://schemas.openxmlformats.org/officeDocument/2006/relationships/hyperlink" Target="mailto:marilya.mitkova@extern.barmenia.de" TargetMode="External"/><Relationship Id="rId471" Type="http://schemas.openxmlformats.org/officeDocument/2006/relationships/hyperlink" Target="mailto:marilya.mitkova@extern.barmenia.de" TargetMode="External"/><Relationship Id="rId667" Type="http://schemas.openxmlformats.org/officeDocument/2006/relationships/hyperlink" Target="mailto:marilya.mitkova@extern.barmenia.de" TargetMode="External"/><Relationship Id="rId17" Type="http://schemas.openxmlformats.org/officeDocument/2006/relationships/hyperlink" Target="mailto:marilya.mitkova@extern.barmenia.de" TargetMode="External"/><Relationship Id="rId59" Type="http://schemas.openxmlformats.org/officeDocument/2006/relationships/hyperlink" Target="mailto:marilya.mitkova@extern.barmenia.de" TargetMode="External"/><Relationship Id="rId124" Type="http://schemas.openxmlformats.org/officeDocument/2006/relationships/hyperlink" Target="mailto:marilya.mitkova@extern.barmenia.de" TargetMode="External"/><Relationship Id="rId527" Type="http://schemas.openxmlformats.org/officeDocument/2006/relationships/hyperlink" Target="mailto:marilya.mitkova@extern.barmenia.de" TargetMode="External"/><Relationship Id="rId569" Type="http://schemas.openxmlformats.org/officeDocument/2006/relationships/hyperlink" Target="mailto:marilya.mitkova@extern.barmenia.de" TargetMode="External"/><Relationship Id="rId734" Type="http://schemas.openxmlformats.org/officeDocument/2006/relationships/hyperlink" Target="mailto:umstellung1ev@barmenia.de" TargetMode="External"/><Relationship Id="rId776" Type="http://schemas.openxmlformats.org/officeDocument/2006/relationships/hyperlink" Target="mailto:umstellung1ev@barmenia.de" TargetMode="External"/><Relationship Id="rId70" Type="http://schemas.openxmlformats.org/officeDocument/2006/relationships/hyperlink" Target="mailto:marilya.mitkova@extern.barmenia.de" TargetMode="External"/><Relationship Id="rId166" Type="http://schemas.openxmlformats.org/officeDocument/2006/relationships/hyperlink" Target="mailto:marilya.mitkova@extern.barmenia.de" TargetMode="External"/><Relationship Id="rId331" Type="http://schemas.openxmlformats.org/officeDocument/2006/relationships/hyperlink" Target="mailto:marilya.mitkova@extern.barmenia.de" TargetMode="External"/><Relationship Id="rId373" Type="http://schemas.openxmlformats.org/officeDocument/2006/relationships/hyperlink" Target="mailto:marilya.mitkova@extern.barmenia.de" TargetMode="External"/><Relationship Id="rId429" Type="http://schemas.openxmlformats.org/officeDocument/2006/relationships/hyperlink" Target="mailto:marilya.mitkova@extern.barmenia.de" TargetMode="External"/><Relationship Id="rId580" Type="http://schemas.openxmlformats.org/officeDocument/2006/relationships/hyperlink" Target="mailto:marilya.mitkova@extern.barmenia.de" TargetMode="External"/><Relationship Id="rId636" Type="http://schemas.openxmlformats.org/officeDocument/2006/relationships/hyperlink" Target="mailto:marilya.mitkova@extern.barmenia.de" TargetMode="External"/><Relationship Id="rId801" Type="http://schemas.openxmlformats.org/officeDocument/2006/relationships/printerSettings" Target="../printerSettings/printerSettings1.bin"/><Relationship Id="rId1" Type="http://schemas.openxmlformats.org/officeDocument/2006/relationships/hyperlink" Target="mailto:marilya.mitkova@extern.barmenia.de" TargetMode="External"/><Relationship Id="rId233" Type="http://schemas.openxmlformats.org/officeDocument/2006/relationships/hyperlink" Target="mailto:marilya.mitkova@extern.barmenia.de" TargetMode="External"/><Relationship Id="rId440" Type="http://schemas.openxmlformats.org/officeDocument/2006/relationships/hyperlink" Target="mailto:marilya.mitkova@extern.barmenia.de" TargetMode="External"/><Relationship Id="rId678" Type="http://schemas.openxmlformats.org/officeDocument/2006/relationships/hyperlink" Target="mailto:marilya.mitkova@extern.barmenia.de" TargetMode="External"/><Relationship Id="rId28" Type="http://schemas.openxmlformats.org/officeDocument/2006/relationships/hyperlink" Target="mailto:marilya.mitkova@extern.barmenia.de" TargetMode="External"/><Relationship Id="rId275" Type="http://schemas.openxmlformats.org/officeDocument/2006/relationships/hyperlink" Target="mailto:marilya.mitkova@extern.barmenia.de" TargetMode="External"/><Relationship Id="rId300" Type="http://schemas.openxmlformats.org/officeDocument/2006/relationships/hyperlink" Target="mailto:marilya.mitkova@extern.barmenia.de" TargetMode="External"/><Relationship Id="rId482" Type="http://schemas.openxmlformats.org/officeDocument/2006/relationships/hyperlink" Target="mailto:marilya.mitkova@extern.barmenia.de" TargetMode="External"/><Relationship Id="rId538" Type="http://schemas.openxmlformats.org/officeDocument/2006/relationships/hyperlink" Target="mailto:marilya.mitkova@extern.barmenia.de" TargetMode="External"/><Relationship Id="rId703" Type="http://schemas.openxmlformats.org/officeDocument/2006/relationships/hyperlink" Target="mailto:marilya.mitkova@extern.barmenia.de" TargetMode="External"/><Relationship Id="rId745" Type="http://schemas.openxmlformats.org/officeDocument/2006/relationships/hyperlink" Target="mailto:umstellung1ev@barmenia.de" TargetMode="External"/><Relationship Id="rId81" Type="http://schemas.openxmlformats.org/officeDocument/2006/relationships/hyperlink" Target="mailto:marilya.mitkova@extern.barmenia.de" TargetMode="External"/><Relationship Id="rId135" Type="http://schemas.openxmlformats.org/officeDocument/2006/relationships/hyperlink" Target="mailto:marilya.mitkova@extern.barmenia.de" TargetMode="External"/><Relationship Id="rId177" Type="http://schemas.openxmlformats.org/officeDocument/2006/relationships/hyperlink" Target="mailto:marilya.mitkova@extern.barmenia.de" TargetMode="External"/><Relationship Id="rId342" Type="http://schemas.openxmlformats.org/officeDocument/2006/relationships/hyperlink" Target="mailto:marilya.mitkova@extern.barmenia.de" TargetMode="External"/><Relationship Id="rId384" Type="http://schemas.openxmlformats.org/officeDocument/2006/relationships/hyperlink" Target="mailto:marilya.mitkova@extern.barmenia.de" TargetMode="External"/><Relationship Id="rId591" Type="http://schemas.openxmlformats.org/officeDocument/2006/relationships/hyperlink" Target="mailto:marilya.mitkova@extern.barmenia.de" TargetMode="External"/><Relationship Id="rId605" Type="http://schemas.openxmlformats.org/officeDocument/2006/relationships/hyperlink" Target="mailto:marilya.mitkova@extern.barmenia.de" TargetMode="External"/><Relationship Id="rId787" Type="http://schemas.openxmlformats.org/officeDocument/2006/relationships/hyperlink" Target="mailto:marilya.mitkova@extern.barmenia.de" TargetMode="External"/><Relationship Id="rId202" Type="http://schemas.openxmlformats.org/officeDocument/2006/relationships/hyperlink" Target="mailto:marilya.mitkova@extern.barmenia.de" TargetMode="External"/><Relationship Id="rId244" Type="http://schemas.openxmlformats.org/officeDocument/2006/relationships/hyperlink" Target="mailto:marilya.mitkova@extern.barmenia.de" TargetMode="External"/><Relationship Id="rId647" Type="http://schemas.openxmlformats.org/officeDocument/2006/relationships/hyperlink" Target="mailto:marilya.mitkova@extern.barmenia.de" TargetMode="External"/><Relationship Id="rId689" Type="http://schemas.openxmlformats.org/officeDocument/2006/relationships/hyperlink" Target="mailto:marilya.mitkova@extern.barmenia.de" TargetMode="External"/><Relationship Id="rId39" Type="http://schemas.openxmlformats.org/officeDocument/2006/relationships/hyperlink" Target="mailto:marilya.mitkova@extern.barmenia.de" TargetMode="External"/><Relationship Id="rId286" Type="http://schemas.openxmlformats.org/officeDocument/2006/relationships/hyperlink" Target="mailto:marilya.mitkova@extern.barmenia.de" TargetMode="External"/><Relationship Id="rId451" Type="http://schemas.openxmlformats.org/officeDocument/2006/relationships/hyperlink" Target="mailto:marilya.mitkova@extern.barmenia.de" TargetMode="External"/><Relationship Id="rId493" Type="http://schemas.openxmlformats.org/officeDocument/2006/relationships/hyperlink" Target="mailto:marilya.mitkova@extern.barmenia.de" TargetMode="External"/><Relationship Id="rId507" Type="http://schemas.openxmlformats.org/officeDocument/2006/relationships/hyperlink" Target="mailto:marilya.mitkova@extern.barmenia.de" TargetMode="External"/><Relationship Id="rId549" Type="http://schemas.openxmlformats.org/officeDocument/2006/relationships/hyperlink" Target="mailto:marilya.mitkova@extern.barmenia.de" TargetMode="External"/><Relationship Id="rId714" Type="http://schemas.openxmlformats.org/officeDocument/2006/relationships/hyperlink" Target="mailto:marilya.mitkova@extern.barmenia.de" TargetMode="External"/><Relationship Id="rId756" Type="http://schemas.openxmlformats.org/officeDocument/2006/relationships/hyperlink" Target="mailto:umstellung1ev@barmenia.de" TargetMode="External"/><Relationship Id="rId50" Type="http://schemas.openxmlformats.org/officeDocument/2006/relationships/hyperlink" Target="mailto:marilya.mitkova@extern.barmenia.de" TargetMode="External"/><Relationship Id="rId104" Type="http://schemas.openxmlformats.org/officeDocument/2006/relationships/hyperlink" Target="mailto:marilya.mitkova@extern.barmenia.de" TargetMode="External"/><Relationship Id="rId146" Type="http://schemas.openxmlformats.org/officeDocument/2006/relationships/hyperlink" Target="mailto:marilya.mitkova@extern.barmenia.de" TargetMode="External"/><Relationship Id="rId188" Type="http://schemas.openxmlformats.org/officeDocument/2006/relationships/hyperlink" Target="mailto:marilya.mitkova@extern.barmenia.de" TargetMode="External"/><Relationship Id="rId311" Type="http://schemas.openxmlformats.org/officeDocument/2006/relationships/hyperlink" Target="mailto:marilya.mitkova@extern.barmenia.de" TargetMode="External"/><Relationship Id="rId353" Type="http://schemas.openxmlformats.org/officeDocument/2006/relationships/hyperlink" Target="mailto:marilya.mitkova@extern.barmenia.de" TargetMode="External"/><Relationship Id="rId395" Type="http://schemas.openxmlformats.org/officeDocument/2006/relationships/hyperlink" Target="mailto:marilya.mitkova@extern.barmenia.de" TargetMode="External"/><Relationship Id="rId409" Type="http://schemas.openxmlformats.org/officeDocument/2006/relationships/hyperlink" Target="mailto:marilya.mitkova@extern.barmenia.de" TargetMode="External"/><Relationship Id="rId560" Type="http://schemas.openxmlformats.org/officeDocument/2006/relationships/hyperlink" Target="mailto:marilya.mitkova@extern.barmenia.de" TargetMode="External"/><Relationship Id="rId798" Type="http://schemas.openxmlformats.org/officeDocument/2006/relationships/hyperlink" Target="mailto:umstellung1ev@barmenia.de" TargetMode="External"/><Relationship Id="rId92" Type="http://schemas.openxmlformats.org/officeDocument/2006/relationships/hyperlink" Target="mailto:marilya.mitkova@extern.barmenia.de" TargetMode="External"/><Relationship Id="rId213" Type="http://schemas.openxmlformats.org/officeDocument/2006/relationships/hyperlink" Target="mailto:marilya.mitkova@extern.barmenia.de" TargetMode="External"/><Relationship Id="rId420" Type="http://schemas.openxmlformats.org/officeDocument/2006/relationships/hyperlink" Target="mailto:marilya.mitkova@extern.barmenia.de" TargetMode="External"/><Relationship Id="rId616" Type="http://schemas.openxmlformats.org/officeDocument/2006/relationships/hyperlink" Target="mailto:marilya.mitkova@extern.barmenia.de" TargetMode="External"/><Relationship Id="rId658" Type="http://schemas.openxmlformats.org/officeDocument/2006/relationships/hyperlink" Target="mailto:marilya.mitkova@extern.barmenia.de" TargetMode="External"/><Relationship Id="rId255" Type="http://schemas.openxmlformats.org/officeDocument/2006/relationships/hyperlink" Target="mailto:marilya.mitkova@extern.barmenia.de" TargetMode="External"/><Relationship Id="rId297" Type="http://schemas.openxmlformats.org/officeDocument/2006/relationships/hyperlink" Target="mailto:marilya.mitkova@extern.barmenia.de" TargetMode="External"/><Relationship Id="rId462" Type="http://schemas.openxmlformats.org/officeDocument/2006/relationships/hyperlink" Target="mailto:marilya.mitkova@extern.barmenia.de" TargetMode="External"/><Relationship Id="rId518" Type="http://schemas.openxmlformats.org/officeDocument/2006/relationships/hyperlink" Target="mailto:marilya.mitkova@extern.barmenia.de" TargetMode="External"/><Relationship Id="rId725" Type="http://schemas.openxmlformats.org/officeDocument/2006/relationships/hyperlink" Target="mailto:marilya.mitkova@extern.barmenia.de" TargetMode="External"/><Relationship Id="rId115" Type="http://schemas.openxmlformats.org/officeDocument/2006/relationships/hyperlink" Target="mailto:marilya.mitkova@extern.barmenia.de" TargetMode="External"/><Relationship Id="rId157" Type="http://schemas.openxmlformats.org/officeDocument/2006/relationships/hyperlink" Target="mailto:marilya.mitkova@extern.barmenia.de" TargetMode="External"/><Relationship Id="rId322" Type="http://schemas.openxmlformats.org/officeDocument/2006/relationships/hyperlink" Target="mailto:marilya.mitkova@extern.barmenia.de" TargetMode="External"/><Relationship Id="rId364" Type="http://schemas.openxmlformats.org/officeDocument/2006/relationships/hyperlink" Target="mailto:marilya.mitkova@extern.barmenia.de" TargetMode="External"/><Relationship Id="rId767" Type="http://schemas.openxmlformats.org/officeDocument/2006/relationships/hyperlink" Target="mailto:umstellung1ev@barmenia.de" TargetMode="External"/><Relationship Id="rId61" Type="http://schemas.openxmlformats.org/officeDocument/2006/relationships/hyperlink" Target="mailto:marilya.mitkova@extern.barmenia.de" TargetMode="External"/><Relationship Id="rId199" Type="http://schemas.openxmlformats.org/officeDocument/2006/relationships/hyperlink" Target="mailto:marilya.mitkova@extern.barmenia.de" TargetMode="External"/><Relationship Id="rId571" Type="http://schemas.openxmlformats.org/officeDocument/2006/relationships/hyperlink" Target="mailto:marilya.mitkova@extern.barmenia.de" TargetMode="External"/><Relationship Id="rId627" Type="http://schemas.openxmlformats.org/officeDocument/2006/relationships/hyperlink" Target="mailto:marilya.mitkova@extern.barmenia.de" TargetMode="External"/><Relationship Id="rId669" Type="http://schemas.openxmlformats.org/officeDocument/2006/relationships/hyperlink" Target="mailto:marilya.mitkova@extern.barmenia.de" TargetMode="External"/><Relationship Id="rId19" Type="http://schemas.openxmlformats.org/officeDocument/2006/relationships/hyperlink" Target="mailto:marilya.mitkova@extern.barmenia.de" TargetMode="External"/><Relationship Id="rId224" Type="http://schemas.openxmlformats.org/officeDocument/2006/relationships/hyperlink" Target="mailto:marilya.mitkova@extern.barmenia.de" TargetMode="External"/><Relationship Id="rId266" Type="http://schemas.openxmlformats.org/officeDocument/2006/relationships/hyperlink" Target="mailto:marilya.mitkova@extern.barmenia.de" TargetMode="External"/><Relationship Id="rId431" Type="http://schemas.openxmlformats.org/officeDocument/2006/relationships/hyperlink" Target="mailto:marilya.mitkova@extern.barmenia.de" TargetMode="External"/><Relationship Id="rId473" Type="http://schemas.openxmlformats.org/officeDocument/2006/relationships/hyperlink" Target="mailto:marilya.mitkova@extern.barmenia.de" TargetMode="External"/><Relationship Id="rId529" Type="http://schemas.openxmlformats.org/officeDocument/2006/relationships/hyperlink" Target="mailto:marilya.mitkova@extern.barmenia.de" TargetMode="External"/><Relationship Id="rId680" Type="http://schemas.openxmlformats.org/officeDocument/2006/relationships/hyperlink" Target="mailto:marilya.mitkova@extern.barmenia.de" TargetMode="External"/><Relationship Id="rId736" Type="http://schemas.openxmlformats.org/officeDocument/2006/relationships/hyperlink" Target="mailto:umstellung1ev@barmenia.de" TargetMode="External"/><Relationship Id="rId30" Type="http://schemas.openxmlformats.org/officeDocument/2006/relationships/hyperlink" Target="mailto:marilya.mitkova@extern.barmenia.de" TargetMode="External"/><Relationship Id="rId126" Type="http://schemas.openxmlformats.org/officeDocument/2006/relationships/hyperlink" Target="mailto:marilya.mitkova@extern.barmenia.de" TargetMode="External"/><Relationship Id="rId168" Type="http://schemas.openxmlformats.org/officeDocument/2006/relationships/hyperlink" Target="mailto:marilya.mitkova@extern.barmenia.de" TargetMode="External"/><Relationship Id="rId333" Type="http://schemas.openxmlformats.org/officeDocument/2006/relationships/hyperlink" Target="mailto:marilya.mitkova@extern.barmenia.de" TargetMode="External"/><Relationship Id="rId540" Type="http://schemas.openxmlformats.org/officeDocument/2006/relationships/hyperlink" Target="mailto:marilya.mitkova@extern.barmenia.de" TargetMode="External"/><Relationship Id="rId778" Type="http://schemas.openxmlformats.org/officeDocument/2006/relationships/hyperlink" Target="mailto:umstellung1ev@barmenia.de" TargetMode="External"/><Relationship Id="rId72" Type="http://schemas.openxmlformats.org/officeDocument/2006/relationships/hyperlink" Target="mailto:marilya.mitkova@extern.barmenia.de" TargetMode="External"/><Relationship Id="rId375" Type="http://schemas.openxmlformats.org/officeDocument/2006/relationships/hyperlink" Target="mailto:marilya.mitkova@extern.barmenia.de" TargetMode="External"/><Relationship Id="rId582" Type="http://schemas.openxmlformats.org/officeDocument/2006/relationships/hyperlink" Target="mailto:marilya.mitkova@extern.barmenia.de" TargetMode="External"/><Relationship Id="rId638" Type="http://schemas.openxmlformats.org/officeDocument/2006/relationships/hyperlink" Target="mailto:marilya.mitkova@extern.barmenia.de" TargetMode="External"/><Relationship Id="rId3" Type="http://schemas.openxmlformats.org/officeDocument/2006/relationships/hyperlink" Target="mailto:tobias.kroes@barmenia.de" TargetMode="External"/><Relationship Id="rId235" Type="http://schemas.openxmlformats.org/officeDocument/2006/relationships/hyperlink" Target="mailto:marilya.mitkova@extern.barmenia.de" TargetMode="External"/><Relationship Id="rId277" Type="http://schemas.openxmlformats.org/officeDocument/2006/relationships/hyperlink" Target="mailto:marilya.mitkova@extern.barmenia.de" TargetMode="External"/><Relationship Id="rId400" Type="http://schemas.openxmlformats.org/officeDocument/2006/relationships/hyperlink" Target="mailto:marilya.mitkova@extern.barmenia.de" TargetMode="External"/><Relationship Id="rId442" Type="http://schemas.openxmlformats.org/officeDocument/2006/relationships/hyperlink" Target="mailto:marilya.mitkova@extern.barmenia.de" TargetMode="External"/><Relationship Id="rId484" Type="http://schemas.openxmlformats.org/officeDocument/2006/relationships/hyperlink" Target="mailto:marilya.mitkova@extern.barmenia.de" TargetMode="External"/><Relationship Id="rId705" Type="http://schemas.openxmlformats.org/officeDocument/2006/relationships/hyperlink" Target="mailto:marilya.mitkova@extern.barmenia.de" TargetMode="External"/><Relationship Id="rId137" Type="http://schemas.openxmlformats.org/officeDocument/2006/relationships/hyperlink" Target="mailto:marilya.mitkova@extern.barmenia.de" TargetMode="External"/><Relationship Id="rId302" Type="http://schemas.openxmlformats.org/officeDocument/2006/relationships/hyperlink" Target="mailto:marilya.mitkova@extern.barmenia.de" TargetMode="External"/><Relationship Id="rId344" Type="http://schemas.openxmlformats.org/officeDocument/2006/relationships/hyperlink" Target="mailto:marilya.mitkova@extern.barmenia.de" TargetMode="External"/><Relationship Id="rId691" Type="http://schemas.openxmlformats.org/officeDocument/2006/relationships/hyperlink" Target="mailto:marilya.mitkova@extern.barmenia.de" TargetMode="External"/><Relationship Id="rId747" Type="http://schemas.openxmlformats.org/officeDocument/2006/relationships/hyperlink" Target="mailto:umstellung1ev@barmenia.de" TargetMode="External"/><Relationship Id="rId789" Type="http://schemas.openxmlformats.org/officeDocument/2006/relationships/hyperlink" Target="mailto:marilya.mitkova@extern.barmenia.de" TargetMode="External"/><Relationship Id="rId41" Type="http://schemas.openxmlformats.org/officeDocument/2006/relationships/hyperlink" Target="mailto:marilya.mitkova@extern.barmenia.de" TargetMode="External"/><Relationship Id="rId83" Type="http://schemas.openxmlformats.org/officeDocument/2006/relationships/hyperlink" Target="mailto:marilya.mitkova@extern.barmenia.de" TargetMode="External"/><Relationship Id="rId179" Type="http://schemas.openxmlformats.org/officeDocument/2006/relationships/hyperlink" Target="mailto:marilya.mitkova@extern.barmenia.de" TargetMode="External"/><Relationship Id="rId386" Type="http://schemas.openxmlformats.org/officeDocument/2006/relationships/hyperlink" Target="mailto:marilya.mitkova@extern.barmenia.de" TargetMode="External"/><Relationship Id="rId551" Type="http://schemas.openxmlformats.org/officeDocument/2006/relationships/hyperlink" Target="mailto:marilya.mitkova@extern.barmenia.de" TargetMode="External"/><Relationship Id="rId593" Type="http://schemas.openxmlformats.org/officeDocument/2006/relationships/hyperlink" Target="mailto:marilya.mitkova@extern.barmenia.de" TargetMode="External"/><Relationship Id="rId607" Type="http://schemas.openxmlformats.org/officeDocument/2006/relationships/hyperlink" Target="mailto:marilya.mitkova@extern.barmenia.de" TargetMode="External"/><Relationship Id="rId649" Type="http://schemas.openxmlformats.org/officeDocument/2006/relationships/hyperlink" Target="mailto:marilya.mitkova@extern.barmenia.de" TargetMode="External"/><Relationship Id="rId190" Type="http://schemas.openxmlformats.org/officeDocument/2006/relationships/hyperlink" Target="mailto:marilya.mitkova@extern.barmenia.de" TargetMode="External"/><Relationship Id="rId204" Type="http://schemas.openxmlformats.org/officeDocument/2006/relationships/hyperlink" Target="mailto:marilya.mitkova@extern.barmenia.de" TargetMode="External"/><Relationship Id="rId246" Type="http://schemas.openxmlformats.org/officeDocument/2006/relationships/hyperlink" Target="mailto:marilya.mitkova@extern.barmenia.de" TargetMode="External"/><Relationship Id="rId288" Type="http://schemas.openxmlformats.org/officeDocument/2006/relationships/hyperlink" Target="mailto:marilya.mitkova@extern.barmenia.de" TargetMode="External"/><Relationship Id="rId411" Type="http://schemas.openxmlformats.org/officeDocument/2006/relationships/hyperlink" Target="mailto:marilya.mitkova@extern.barmenia.de" TargetMode="External"/><Relationship Id="rId453" Type="http://schemas.openxmlformats.org/officeDocument/2006/relationships/hyperlink" Target="mailto:marilya.mitkova@extern.barmenia.de" TargetMode="External"/><Relationship Id="rId509" Type="http://schemas.openxmlformats.org/officeDocument/2006/relationships/hyperlink" Target="mailto:marilya.mitkova@extern.barmenia.de" TargetMode="External"/><Relationship Id="rId660" Type="http://schemas.openxmlformats.org/officeDocument/2006/relationships/hyperlink" Target="mailto:marilya.mitkova@extern.barmenia.de" TargetMode="External"/><Relationship Id="rId106" Type="http://schemas.openxmlformats.org/officeDocument/2006/relationships/hyperlink" Target="mailto:marilya.mitkova@extern.barmenia.de" TargetMode="External"/><Relationship Id="rId313" Type="http://schemas.openxmlformats.org/officeDocument/2006/relationships/hyperlink" Target="mailto:marilya.mitkova@extern.barmenia.de" TargetMode="External"/><Relationship Id="rId495" Type="http://schemas.openxmlformats.org/officeDocument/2006/relationships/hyperlink" Target="mailto:marilya.mitkova@extern.barmenia.de" TargetMode="External"/><Relationship Id="rId716" Type="http://schemas.openxmlformats.org/officeDocument/2006/relationships/hyperlink" Target="mailto:marilya.mitkova@extern.barmenia.de" TargetMode="External"/><Relationship Id="rId758" Type="http://schemas.openxmlformats.org/officeDocument/2006/relationships/hyperlink" Target="mailto:umstellung1ev@barmenia.de" TargetMode="External"/><Relationship Id="rId10" Type="http://schemas.openxmlformats.org/officeDocument/2006/relationships/hyperlink" Target="mailto:marilya.mitkova@extern.barmenia.de" TargetMode="External"/><Relationship Id="rId52" Type="http://schemas.openxmlformats.org/officeDocument/2006/relationships/hyperlink" Target="mailto:marilya.mitkova@extern.barmenia.de" TargetMode="External"/><Relationship Id="rId94" Type="http://schemas.openxmlformats.org/officeDocument/2006/relationships/hyperlink" Target="mailto:marilya.mitkova@extern.barmenia.de" TargetMode="External"/><Relationship Id="rId148" Type="http://schemas.openxmlformats.org/officeDocument/2006/relationships/hyperlink" Target="mailto:marilya.mitkova@extern.barmenia.de" TargetMode="External"/><Relationship Id="rId355" Type="http://schemas.openxmlformats.org/officeDocument/2006/relationships/hyperlink" Target="mailto:marilya.mitkova@extern.barmenia.de" TargetMode="External"/><Relationship Id="rId397" Type="http://schemas.openxmlformats.org/officeDocument/2006/relationships/hyperlink" Target="mailto:marilya.mitkova@extern.barmenia.de" TargetMode="External"/><Relationship Id="rId520" Type="http://schemas.openxmlformats.org/officeDocument/2006/relationships/hyperlink" Target="mailto:marilya.mitkova@extern.barmenia.de" TargetMode="External"/><Relationship Id="rId562" Type="http://schemas.openxmlformats.org/officeDocument/2006/relationships/hyperlink" Target="mailto:marilya.mitkova@extern.barmenia.de" TargetMode="External"/><Relationship Id="rId618" Type="http://schemas.openxmlformats.org/officeDocument/2006/relationships/hyperlink" Target="mailto:marilya.mitkova@extern.barmenia.de" TargetMode="External"/><Relationship Id="rId215" Type="http://schemas.openxmlformats.org/officeDocument/2006/relationships/hyperlink" Target="mailto:marilya.mitkova@extern.barmenia.de" TargetMode="External"/><Relationship Id="rId257" Type="http://schemas.openxmlformats.org/officeDocument/2006/relationships/hyperlink" Target="mailto:marilya.mitkova@extern.barmenia.de" TargetMode="External"/><Relationship Id="rId422" Type="http://schemas.openxmlformats.org/officeDocument/2006/relationships/hyperlink" Target="mailto:marilya.mitkova@extern.barmenia.de" TargetMode="External"/><Relationship Id="rId464" Type="http://schemas.openxmlformats.org/officeDocument/2006/relationships/hyperlink" Target="mailto:marilya.mitkova@extern.barmenia.de" TargetMode="External"/><Relationship Id="rId299" Type="http://schemas.openxmlformats.org/officeDocument/2006/relationships/hyperlink" Target="mailto:marilya.mitkova@extern.barmenia.de" TargetMode="External"/><Relationship Id="rId727" Type="http://schemas.openxmlformats.org/officeDocument/2006/relationships/hyperlink" Target="mailto:marilya.mitkova@extern.barmenia.de" TargetMode="External"/><Relationship Id="rId63" Type="http://schemas.openxmlformats.org/officeDocument/2006/relationships/hyperlink" Target="mailto:marilya.mitkova@extern.barmenia.de" TargetMode="External"/><Relationship Id="rId159" Type="http://schemas.openxmlformats.org/officeDocument/2006/relationships/hyperlink" Target="mailto:marilya.mitkova@extern.barmenia.de" TargetMode="External"/><Relationship Id="rId366" Type="http://schemas.openxmlformats.org/officeDocument/2006/relationships/hyperlink" Target="mailto:marilya.mitkova@extern.barmenia.de" TargetMode="External"/><Relationship Id="rId573" Type="http://schemas.openxmlformats.org/officeDocument/2006/relationships/hyperlink" Target="mailto:marilya.mitkova@extern.barmenia.de" TargetMode="External"/><Relationship Id="rId780" Type="http://schemas.openxmlformats.org/officeDocument/2006/relationships/hyperlink" Target="mailto:umstellung1ev@barmenia.de" TargetMode="External"/><Relationship Id="rId226" Type="http://schemas.openxmlformats.org/officeDocument/2006/relationships/hyperlink" Target="mailto:marilya.mitkova@extern.barmenia.de" TargetMode="External"/><Relationship Id="rId433" Type="http://schemas.openxmlformats.org/officeDocument/2006/relationships/hyperlink" Target="mailto:marilya.mitkova@extern.barmenia.de" TargetMode="External"/><Relationship Id="rId640" Type="http://schemas.openxmlformats.org/officeDocument/2006/relationships/hyperlink" Target="mailto:marilya.mitkova@extern.barmenia.de" TargetMode="External"/><Relationship Id="rId738" Type="http://schemas.openxmlformats.org/officeDocument/2006/relationships/hyperlink" Target="mailto:umstellung1ev@barmenia.de" TargetMode="External"/><Relationship Id="rId74" Type="http://schemas.openxmlformats.org/officeDocument/2006/relationships/hyperlink" Target="mailto:marilya.mitkova@extern.barmenia.de" TargetMode="External"/><Relationship Id="rId377" Type="http://schemas.openxmlformats.org/officeDocument/2006/relationships/hyperlink" Target="mailto:marilya.mitkova@extern.barmenia.de" TargetMode="External"/><Relationship Id="rId500" Type="http://schemas.openxmlformats.org/officeDocument/2006/relationships/hyperlink" Target="mailto:marilya.mitkova@extern.barmenia.de" TargetMode="External"/><Relationship Id="rId584" Type="http://schemas.openxmlformats.org/officeDocument/2006/relationships/hyperlink" Target="mailto:marilya.mitkova@extern.barmenia.de" TargetMode="External"/><Relationship Id="rId5" Type="http://schemas.openxmlformats.org/officeDocument/2006/relationships/hyperlink" Target="mailto:marilya.mitkova@extern.barmenia.de" TargetMode="External"/><Relationship Id="rId237" Type="http://schemas.openxmlformats.org/officeDocument/2006/relationships/hyperlink" Target="mailto:marilya.mitkova@extern.barmenia.de" TargetMode="External"/><Relationship Id="rId791" Type="http://schemas.openxmlformats.org/officeDocument/2006/relationships/hyperlink" Target="mailto:marilya.mitkova@extern.barmenia.de" TargetMode="External"/><Relationship Id="rId444" Type="http://schemas.openxmlformats.org/officeDocument/2006/relationships/hyperlink" Target="mailto:marilya.mitkova@extern.barmenia.de" TargetMode="External"/><Relationship Id="rId651" Type="http://schemas.openxmlformats.org/officeDocument/2006/relationships/hyperlink" Target="mailto:marilya.mitkova@extern.barmenia.de" TargetMode="External"/><Relationship Id="rId749" Type="http://schemas.openxmlformats.org/officeDocument/2006/relationships/hyperlink" Target="mailto:umstellung1ev@barmenia.de" TargetMode="External"/><Relationship Id="rId290" Type="http://schemas.openxmlformats.org/officeDocument/2006/relationships/hyperlink" Target="mailto:marilya.mitkova@extern.barmenia.de" TargetMode="External"/><Relationship Id="rId304" Type="http://schemas.openxmlformats.org/officeDocument/2006/relationships/hyperlink" Target="mailto:marilya.mitkova@extern.barmenia.de" TargetMode="External"/><Relationship Id="rId388" Type="http://schemas.openxmlformats.org/officeDocument/2006/relationships/hyperlink" Target="mailto:marilya.mitkova@extern.barmenia.de" TargetMode="External"/><Relationship Id="rId511" Type="http://schemas.openxmlformats.org/officeDocument/2006/relationships/hyperlink" Target="mailto:marilya.mitkova@extern.barmenia.de" TargetMode="External"/><Relationship Id="rId609" Type="http://schemas.openxmlformats.org/officeDocument/2006/relationships/hyperlink" Target="mailto:marilya.mitkova@extern.barmenia.de" TargetMode="External"/><Relationship Id="rId85" Type="http://schemas.openxmlformats.org/officeDocument/2006/relationships/hyperlink" Target="mailto:marilya.mitkova@extern.barmenia.de" TargetMode="External"/><Relationship Id="rId150" Type="http://schemas.openxmlformats.org/officeDocument/2006/relationships/hyperlink" Target="mailto:marilya.mitkova@extern.barmenia.de" TargetMode="External"/><Relationship Id="rId595" Type="http://schemas.openxmlformats.org/officeDocument/2006/relationships/hyperlink" Target="mailto:marilya.mitkova@extern.barmenia.de" TargetMode="External"/><Relationship Id="rId248" Type="http://schemas.openxmlformats.org/officeDocument/2006/relationships/hyperlink" Target="mailto:marilya.mitkova@extern.barmenia.de" TargetMode="External"/><Relationship Id="rId455" Type="http://schemas.openxmlformats.org/officeDocument/2006/relationships/hyperlink" Target="mailto:marilya.mitkova@extern.barmenia.de" TargetMode="External"/><Relationship Id="rId662" Type="http://schemas.openxmlformats.org/officeDocument/2006/relationships/hyperlink" Target="mailto:marilya.mitkova@extern.barmenia.de" TargetMode="External"/><Relationship Id="rId12" Type="http://schemas.openxmlformats.org/officeDocument/2006/relationships/hyperlink" Target="mailto:marilya.mitkova@extern.barmenia.de" TargetMode="External"/><Relationship Id="rId108" Type="http://schemas.openxmlformats.org/officeDocument/2006/relationships/hyperlink" Target="mailto:marilya.mitkova@extern.barmenia.de" TargetMode="External"/><Relationship Id="rId315" Type="http://schemas.openxmlformats.org/officeDocument/2006/relationships/hyperlink" Target="mailto:marilya.mitkova@extern.barmenia.de" TargetMode="External"/><Relationship Id="rId522" Type="http://schemas.openxmlformats.org/officeDocument/2006/relationships/hyperlink" Target="mailto:marilya.mitkova@extern.barmenia.de" TargetMode="External"/><Relationship Id="rId96" Type="http://schemas.openxmlformats.org/officeDocument/2006/relationships/hyperlink" Target="mailto:marilya.mitkova@extern.barmenia.de" TargetMode="External"/><Relationship Id="rId161" Type="http://schemas.openxmlformats.org/officeDocument/2006/relationships/hyperlink" Target="mailto:marilya.mitkova@extern.barmenia.de" TargetMode="External"/><Relationship Id="rId399" Type="http://schemas.openxmlformats.org/officeDocument/2006/relationships/hyperlink" Target="mailto:marilya.mitkova@extern.barmenia.de" TargetMode="External"/><Relationship Id="rId259" Type="http://schemas.openxmlformats.org/officeDocument/2006/relationships/hyperlink" Target="mailto:marilya.mitkova@extern.barmenia.de" TargetMode="External"/><Relationship Id="rId466" Type="http://schemas.openxmlformats.org/officeDocument/2006/relationships/hyperlink" Target="mailto:marilya.mitkova@extern.barmenia.de" TargetMode="External"/><Relationship Id="rId673" Type="http://schemas.openxmlformats.org/officeDocument/2006/relationships/hyperlink" Target="mailto:marilya.mitkova@extern.barmenia.de" TargetMode="External"/><Relationship Id="rId23" Type="http://schemas.openxmlformats.org/officeDocument/2006/relationships/hyperlink" Target="mailto:marilya.mitkova@extern.barmenia.de" TargetMode="External"/><Relationship Id="rId119" Type="http://schemas.openxmlformats.org/officeDocument/2006/relationships/hyperlink" Target="mailto:marilya.mitkova@extern.barmenia.de" TargetMode="External"/><Relationship Id="rId326" Type="http://schemas.openxmlformats.org/officeDocument/2006/relationships/hyperlink" Target="mailto:marilya.mitkova@extern.barmenia.de" TargetMode="External"/><Relationship Id="rId533" Type="http://schemas.openxmlformats.org/officeDocument/2006/relationships/hyperlink" Target="mailto:marilya.mitkova@extern.barmenia.de" TargetMode="External"/><Relationship Id="rId740" Type="http://schemas.openxmlformats.org/officeDocument/2006/relationships/hyperlink" Target="mailto:umstellung1ev@barmenia.de" TargetMode="External"/><Relationship Id="rId172" Type="http://schemas.openxmlformats.org/officeDocument/2006/relationships/hyperlink" Target="mailto:marilya.mitkova@extern.barmenia.de" TargetMode="External"/><Relationship Id="rId477" Type="http://schemas.openxmlformats.org/officeDocument/2006/relationships/hyperlink" Target="mailto:marilya.mitkova@extern.barmenia.de" TargetMode="External"/><Relationship Id="rId600" Type="http://schemas.openxmlformats.org/officeDocument/2006/relationships/hyperlink" Target="mailto:marilya.mitkova@extern.barmenia.de" TargetMode="External"/><Relationship Id="rId684" Type="http://schemas.openxmlformats.org/officeDocument/2006/relationships/hyperlink" Target="mailto:marilya.mitkova@extern.barmenia.de" TargetMode="External"/><Relationship Id="rId337" Type="http://schemas.openxmlformats.org/officeDocument/2006/relationships/hyperlink" Target="mailto:marilya.mitkova@extern.barmenia.de" TargetMode="External"/><Relationship Id="rId34" Type="http://schemas.openxmlformats.org/officeDocument/2006/relationships/hyperlink" Target="mailto:marilya.mitkova@extern.barmenia.de" TargetMode="External"/><Relationship Id="rId544" Type="http://schemas.openxmlformats.org/officeDocument/2006/relationships/hyperlink" Target="mailto:marilya.mitkova@extern.barmenia.de" TargetMode="External"/><Relationship Id="rId751" Type="http://schemas.openxmlformats.org/officeDocument/2006/relationships/hyperlink" Target="mailto:umstellung1ev@barmenia.de" TargetMode="External"/><Relationship Id="rId183" Type="http://schemas.openxmlformats.org/officeDocument/2006/relationships/hyperlink" Target="mailto:marilya.mitkova@extern.barmenia.de" TargetMode="External"/><Relationship Id="rId390" Type="http://schemas.openxmlformats.org/officeDocument/2006/relationships/hyperlink" Target="mailto:marilya.mitkova@extern.barmenia.de" TargetMode="External"/><Relationship Id="rId404" Type="http://schemas.openxmlformats.org/officeDocument/2006/relationships/hyperlink" Target="mailto:marilya.mitkova@extern.barmenia.de" TargetMode="External"/><Relationship Id="rId611" Type="http://schemas.openxmlformats.org/officeDocument/2006/relationships/hyperlink" Target="mailto:marilya.mitkova@extern.barmenia.de" TargetMode="External"/><Relationship Id="rId250" Type="http://schemas.openxmlformats.org/officeDocument/2006/relationships/hyperlink" Target="mailto:marilya.mitkova@extern.barmenia.de" TargetMode="External"/><Relationship Id="rId488" Type="http://schemas.openxmlformats.org/officeDocument/2006/relationships/hyperlink" Target="mailto:marilya.mitkova@extern.barmenia.de" TargetMode="External"/><Relationship Id="rId695" Type="http://schemas.openxmlformats.org/officeDocument/2006/relationships/hyperlink" Target="mailto:marilya.mitkova@extern.barmenia.de" TargetMode="External"/><Relationship Id="rId709" Type="http://schemas.openxmlformats.org/officeDocument/2006/relationships/hyperlink" Target="mailto:marilya.mitkova@extern.barmenia.de" TargetMode="External"/><Relationship Id="rId45" Type="http://schemas.openxmlformats.org/officeDocument/2006/relationships/hyperlink" Target="mailto:marilya.mitkova@extern.barmenia.de" TargetMode="External"/><Relationship Id="rId110" Type="http://schemas.openxmlformats.org/officeDocument/2006/relationships/hyperlink" Target="mailto:marilya.mitkova@extern.barmenia.de" TargetMode="External"/><Relationship Id="rId348" Type="http://schemas.openxmlformats.org/officeDocument/2006/relationships/hyperlink" Target="mailto:marilya.mitkova@extern.barmenia.de" TargetMode="External"/><Relationship Id="rId555" Type="http://schemas.openxmlformats.org/officeDocument/2006/relationships/hyperlink" Target="mailto:marilya.mitkova@extern.barmenia.de" TargetMode="External"/><Relationship Id="rId762" Type="http://schemas.openxmlformats.org/officeDocument/2006/relationships/hyperlink" Target="mailto:umstellung1ev@barmenia.de" TargetMode="External"/><Relationship Id="rId194" Type="http://schemas.openxmlformats.org/officeDocument/2006/relationships/hyperlink" Target="mailto:marilya.mitkova@extern.barmenia.de" TargetMode="External"/><Relationship Id="rId208" Type="http://schemas.openxmlformats.org/officeDocument/2006/relationships/hyperlink" Target="mailto:marilya.mitkova@extern.barmenia.de" TargetMode="External"/><Relationship Id="rId415" Type="http://schemas.openxmlformats.org/officeDocument/2006/relationships/hyperlink" Target="mailto:marilya.mitkova@extern.barmenia.de" TargetMode="External"/><Relationship Id="rId622" Type="http://schemas.openxmlformats.org/officeDocument/2006/relationships/hyperlink" Target="mailto:marilya.mitkova@extern.barmenia.de" TargetMode="External"/><Relationship Id="rId261" Type="http://schemas.openxmlformats.org/officeDocument/2006/relationships/hyperlink" Target="mailto:marilya.mitkova@extern.barmenia.de" TargetMode="External"/><Relationship Id="rId499" Type="http://schemas.openxmlformats.org/officeDocument/2006/relationships/hyperlink" Target="mailto:marilya.mitkova@extern.barmenia.de" TargetMode="External"/><Relationship Id="rId56" Type="http://schemas.openxmlformats.org/officeDocument/2006/relationships/hyperlink" Target="mailto:marilya.mitkova@extern.barmenia.de" TargetMode="External"/><Relationship Id="rId359" Type="http://schemas.openxmlformats.org/officeDocument/2006/relationships/hyperlink" Target="mailto:marilya.mitkova@extern.barmenia.de" TargetMode="External"/><Relationship Id="rId566" Type="http://schemas.openxmlformats.org/officeDocument/2006/relationships/hyperlink" Target="mailto:marilya.mitkova@extern.barmenia.de" TargetMode="External"/><Relationship Id="rId773" Type="http://schemas.openxmlformats.org/officeDocument/2006/relationships/hyperlink" Target="mailto:umstellung1ev@barmenia.de" TargetMode="External"/><Relationship Id="rId121" Type="http://schemas.openxmlformats.org/officeDocument/2006/relationships/hyperlink" Target="mailto:marilya.mitkova@extern.barmenia.de" TargetMode="External"/><Relationship Id="rId219" Type="http://schemas.openxmlformats.org/officeDocument/2006/relationships/hyperlink" Target="mailto:marilya.mitkova@extern.barmenia.de" TargetMode="External"/><Relationship Id="rId426" Type="http://schemas.openxmlformats.org/officeDocument/2006/relationships/hyperlink" Target="mailto:marilya.mitkova@extern.barmenia.de" TargetMode="External"/><Relationship Id="rId633" Type="http://schemas.openxmlformats.org/officeDocument/2006/relationships/hyperlink" Target="mailto:marilya.mitkova@extern.barmenia.de" TargetMode="External"/><Relationship Id="rId67" Type="http://schemas.openxmlformats.org/officeDocument/2006/relationships/hyperlink" Target="mailto:marilya.mitkova@extern.barmenia.de" TargetMode="External"/><Relationship Id="rId272" Type="http://schemas.openxmlformats.org/officeDocument/2006/relationships/hyperlink" Target="mailto:marilya.mitkova@extern.barmenia.de" TargetMode="External"/><Relationship Id="rId577" Type="http://schemas.openxmlformats.org/officeDocument/2006/relationships/hyperlink" Target="mailto:marilya.mitkova@extern.barmenia.de" TargetMode="External"/><Relationship Id="rId700" Type="http://schemas.openxmlformats.org/officeDocument/2006/relationships/hyperlink" Target="mailto:marilya.mitkova@extern.barmenia.de" TargetMode="External"/><Relationship Id="rId132" Type="http://schemas.openxmlformats.org/officeDocument/2006/relationships/hyperlink" Target="mailto:marilya.mitkova@extern.barmenia.de" TargetMode="External"/><Relationship Id="rId784" Type="http://schemas.openxmlformats.org/officeDocument/2006/relationships/hyperlink" Target="mailto:umstellung1ev@barmenia.de" TargetMode="External"/><Relationship Id="rId437" Type="http://schemas.openxmlformats.org/officeDocument/2006/relationships/hyperlink" Target="mailto:marilya.mitkova@extern.barmenia.de" TargetMode="External"/><Relationship Id="rId644" Type="http://schemas.openxmlformats.org/officeDocument/2006/relationships/hyperlink" Target="mailto:marilya.mitkova@extern.barmenia.de" TargetMode="External"/><Relationship Id="rId283" Type="http://schemas.openxmlformats.org/officeDocument/2006/relationships/hyperlink" Target="mailto:marilya.mitkova@extern.barmenia.de" TargetMode="External"/><Relationship Id="rId490" Type="http://schemas.openxmlformats.org/officeDocument/2006/relationships/hyperlink" Target="mailto:marilya.mitkova@extern.barmenia.de" TargetMode="External"/><Relationship Id="rId504" Type="http://schemas.openxmlformats.org/officeDocument/2006/relationships/hyperlink" Target="mailto:marilya.mitkova@extern.barmenia.de" TargetMode="External"/><Relationship Id="rId711" Type="http://schemas.openxmlformats.org/officeDocument/2006/relationships/hyperlink" Target="mailto:marilya.mitkova@extern.barmenia.de" TargetMode="External"/><Relationship Id="rId78" Type="http://schemas.openxmlformats.org/officeDocument/2006/relationships/hyperlink" Target="mailto:marilya.mitkova@extern.barmenia.de" TargetMode="External"/><Relationship Id="rId143" Type="http://schemas.openxmlformats.org/officeDocument/2006/relationships/hyperlink" Target="mailto:marilya.mitkova@extern.barmenia.de" TargetMode="External"/><Relationship Id="rId350" Type="http://schemas.openxmlformats.org/officeDocument/2006/relationships/hyperlink" Target="mailto:marilya.mitkova@extern.barmenia.de" TargetMode="External"/><Relationship Id="rId588" Type="http://schemas.openxmlformats.org/officeDocument/2006/relationships/hyperlink" Target="mailto:marilya.mitkova@extern.barmenia.de" TargetMode="External"/><Relationship Id="rId795" Type="http://schemas.openxmlformats.org/officeDocument/2006/relationships/hyperlink" Target="mailto:umstellung1ev@barmenia.de" TargetMode="External"/><Relationship Id="rId9" Type="http://schemas.openxmlformats.org/officeDocument/2006/relationships/hyperlink" Target="mailto:marilya.mitkova@extern.barmenia.de" TargetMode="External"/><Relationship Id="rId210" Type="http://schemas.openxmlformats.org/officeDocument/2006/relationships/hyperlink" Target="mailto:marilya.mitkova@extern.barmenia.de" TargetMode="External"/><Relationship Id="rId448" Type="http://schemas.openxmlformats.org/officeDocument/2006/relationships/hyperlink" Target="mailto:marilya.mitkova@extern.barmenia.de" TargetMode="External"/><Relationship Id="rId655" Type="http://schemas.openxmlformats.org/officeDocument/2006/relationships/hyperlink" Target="mailto:marilya.mitkova@extern.barmenia.de" TargetMode="External"/><Relationship Id="rId294" Type="http://schemas.openxmlformats.org/officeDocument/2006/relationships/hyperlink" Target="mailto:marilya.mitkova@extern.barmenia.de" TargetMode="External"/><Relationship Id="rId308" Type="http://schemas.openxmlformats.org/officeDocument/2006/relationships/hyperlink" Target="mailto:marilya.mitkova@extern.barmenia.de" TargetMode="External"/><Relationship Id="rId515" Type="http://schemas.openxmlformats.org/officeDocument/2006/relationships/hyperlink" Target="mailto:marilya.mitkova@extern.barmenia.de" TargetMode="External"/><Relationship Id="rId722" Type="http://schemas.openxmlformats.org/officeDocument/2006/relationships/hyperlink" Target="mailto:marilya.mitkova@extern.barmenia.de" TargetMode="External"/><Relationship Id="rId89" Type="http://schemas.openxmlformats.org/officeDocument/2006/relationships/hyperlink" Target="mailto:marilya.mitkova@extern.barmenia.de" TargetMode="External"/><Relationship Id="rId154" Type="http://schemas.openxmlformats.org/officeDocument/2006/relationships/hyperlink" Target="mailto:marilya.mitkova@extern.barmenia.de" TargetMode="External"/><Relationship Id="rId361" Type="http://schemas.openxmlformats.org/officeDocument/2006/relationships/hyperlink" Target="mailto:marilya.mitkova@extern.barmenia.de" TargetMode="External"/><Relationship Id="rId599" Type="http://schemas.openxmlformats.org/officeDocument/2006/relationships/hyperlink" Target="mailto:marilya.mitkova@extern.barmenia.de" TargetMode="External"/><Relationship Id="rId459" Type="http://schemas.openxmlformats.org/officeDocument/2006/relationships/hyperlink" Target="mailto:marilya.mitkova@extern.barmenia.de" TargetMode="External"/><Relationship Id="rId666" Type="http://schemas.openxmlformats.org/officeDocument/2006/relationships/hyperlink" Target="mailto:marilya.mitkova@extern.barmenia.de" TargetMode="External"/><Relationship Id="rId16" Type="http://schemas.openxmlformats.org/officeDocument/2006/relationships/hyperlink" Target="mailto:marilya.mitkova@extern.barmenia.de" TargetMode="External"/><Relationship Id="rId221" Type="http://schemas.openxmlformats.org/officeDocument/2006/relationships/hyperlink" Target="mailto:marilya.mitkova@extern.barmenia.de" TargetMode="External"/><Relationship Id="rId319" Type="http://schemas.openxmlformats.org/officeDocument/2006/relationships/hyperlink" Target="mailto:marilya.mitkova@extern.barmenia.de" TargetMode="External"/><Relationship Id="rId526" Type="http://schemas.openxmlformats.org/officeDocument/2006/relationships/hyperlink" Target="mailto:marilya.mitkova@extern.barmenia.de" TargetMode="External"/><Relationship Id="rId733" Type="http://schemas.openxmlformats.org/officeDocument/2006/relationships/hyperlink" Target="mailto:umstellung1ev@barmenia.de" TargetMode="External"/><Relationship Id="rId165" Type="http://schemas.openxmlformats.org/officeDocument/2006/relationships/hyperlink" Target="mailto:marilya.mitkova@extern.barmenia.de" TargetMode="External"/><Relationship Id="rId372" Type="http://schemas.openxmlformats.org/officeDocument/2006/relationships/hyperlink" Target="mailto:marilya.mitkova@extern.barmenia.de" TargetMode="External"/><Relationship Id="rId677" Type="http://schemas.openxmlformats.org/officeDocument/2006/relationships/hyperlink" Target="mailto:marilya.mitkova@extern.barmenia.de" TargetMode="External"/><Relationship Id="rId800" Type="http://schemas.openxmlformats.org/officeDocument/2006/relationships/hyperlink" Target="mailto:umstellung1ev@barmenia.de" TargetMode="External"/><Relationship Id="rId232" Type="http://schemas.openxmlformats.org/officeDocument/2006/relationships/hyperlink" Target="mailto:marilya.mitkova@extern.barmenia.de" TargetMode="External"/><Relationship Id="rId27" Type="http://schemas.openxmlformats.org/officeDocument/2006/relationships/hyperlink" Target="mailto:marilya.mitkova@extern.barmenia.de" TargetMode="External"/><Relationship Id="rId537" Type="http://schemas.openxmlformats.org/officeDocument/2006/relationships/hyperlink" Target="mailto:marilya.mitkova@extern.barmenia.de" TargetMode="External"/><Relationship Id="rId744" Type="http://schemas.openxmlformats.org/officeDocument/2006/relationships/hyperlink" Target="mailto:umstellung1ev@barmenia.de" TargetMode="External"/><Relationship Id="rId80" Type="http://schemas.openxmlformats.org/officeDocument/2006/relationships/hyperlink" Target="mailto:marilya.mitkova@extern.barmenia.de" TargetMode="External"/><Relationship Id="rId176" Type="http://schemas.openxmlformats.org/officeDocument/2006/relationships/hyperlink" Target="mailto:marilya.mitkova@extern.barmenia.de" TargetMode="External"/><Relationship Id="rId383" Type="http://schemas.openxmlformats.org/officeDocument/2006/relationships/hyperlink" Target="mailto:marilya.mitkova@extern.barmenia.de" TargetMode="External"/><Relationship Id="rId590" Type="http://schemas.openxmlformats.org/officeDocument/2006/relationships/hyperlink" Target="mailto:marilya.mitkova@extern.barmenia.de" TargetMode="External"/><Relationship Id="rId604" Type="http://schemas.openxmlformats.org/officeDocument/2006/relationships/hyperlink" Target="mailto:marilya.mitkova@extern.barmenia.de" TargetMode="External"/><Relationship Id="rId243" Type="http://schemas.openxmlformats.org/officeDocument/2006/relationships/hyperlink" Target="mailto:marilya.mitkova@extern.barmenia.de" TargetMode="External"/><Relationship Id="rId450" Type="http://schemas.openxmlformats.org/officeDocument/2006/relationships/hyperlink" Target="mailto:marilya.mitkova@extern.barmenia.de" TargetMode="External"/><Relationship Id="rId688" Type="http://schemas.openxmlformats.org/officeDocument/2006/relationships/hyperlink" Target="mailto:marilya.mitkova@extern.barmenia.de" TargetMode="External"/><Relationship Id="rId38" Type="http://schemas.openxmlformats.org/officeDocument/2006/relationships/hyperlink" Target="mailto:marilya.mitkova@extern.barmenia.de" TargetMode="External"/><Relationship Id="rId103" Type="http://schemas.openxmlformats.org/officeDocument/2006/relationships/hyperlink" Target="mailto:marilya.mitkova@extern.barmenia.de" TargetMode="External"/><Relationship Id="rId310" Type="http://schemas.openxmlformats.org/officeDocument/2006/relationships/hyperlink" Target="mailto:marilya.mitkova@extern.barmenia.de" TargetMode="External"/><Relationship Id="rId548" Type="http://schemas.openxmlformats.org/officeDocument/2006/relationships/hyperlink" Target="mailto:marilya.mitkova@extern.barmenia.de" TargetMode="External"/><Relationship Id="rId755" Type="http://schemas.openxmlformats.org/officeDocument/2006/relationships/hyperlink" Target="mailto:umstellung1ev@barmenia.de" TargetMode="External"/><Relationship Id="rId91" Type="http://schemas.openxmlformats.org/officeDocument/2006/relationships/hyperlink" Target="mailto:marilya.mitkova@extern.barmenia.de" TargetMode="External"/><Relationship Id="rId187" Type="http://schemas.openxmlformats.org/officeDocument/2006/relationships/hyperlink" Target="mailto:marilya.mitkova@extern.barmenia.de" TargetMode="External"/><Relationship Id="rId394" Type="http://schemas.openxmlformats.org/officeDocument/2006/relationships/hyperlink" Target="mailto:marilya.mitkova@extern.barmenia.de" TargetMode="External"/><Relationship Id="rId408" Type="http://schemas.openxmlformats.org/officeDocument/2006/relationships/hyperlink" Target="mailto:marilya.mitkova@extern.barmenia.de" TargetMode="External"/><Relationship Id="rId615" Type="http://schemas.openxmlformats.org/officeDocument/2006/relationships/hyperlink" Target="mailto:marilya.mitkova@extern.barmenia.de" TargetMode="External"/><Relationship Id="rId254" Type="http://schemas.openxmlformats.org/officeDocument/2006/relationships/hyperlink" Target="mailto:marilya.mitkova@extern.barmenia.de" TargetMode="External"/><Relationship Id="rId699" Type="http://schemas.openxmlformats.org/officeDocument/2006/relationships/hyperlink" Target="mailto:marilya.mitkova@extern.barmenia.de" TargetMode="External"/><Relationship Id="rId49" Type="http://schemas.openxmlformats.org/officeDocument/2006/relationships/hyperlink" Target="mailto:marilya.mitkova@extern.barmenia.de" TargetMode="External"/><Relationship Id="rId114" Type="http://schemas.openxmlformats.org/officeDocument/2006/relationships/hyperlink" Target="mailto:marilya.mitkova@extern.barmenia.de" TargetMode="External"/><Relationship Id="rId461" Type="http://schemas.openxmlformats.org/officeDocument/2006/relationships/hyperlink" Target="mailto:marilya.mitkova@extern.barmenia.de" TargetMode="External"/><Relationship Id="rId559" Type="http://schemas.openxmlformats.org/officeDocument/2006/relationships/hyperlink" Target="mailto:marilya.mitkova@extern.barmenia.de" TargetMode="External"/><Relationship Id="rId766" Type="http://schemas.openxmlformats.org/officeDocument/2006/relationships/hyperlink" Target="mailto:umstellung1ev@barmenia.de" TargetMode="External"/><Relationship Id="rId198" Type="http://schemas.openxmlformats.org/officeDocument/2006/relationships/hyperlink" Target="mailto:marilya.mitkova@extern.barmenia.de" TargetMode="External"/><Relationship Id="rId321" Type="http://schemas.openxmlformats.org/officeDocument/2006/relationships/hyperlink" Target="mailto:marilya.mitkova@extern.barmenia.de" TargetMode="External"/><Relationship Id="rId419" Type="http://schemas.openxmlformats.org/officeDocument/2006/relationships/hyperlink" Target="mailto:marilya.mitkova@extern.barmenia.de" TargetMode="External"/><Relationship Id="rId626" Type="http://schemas.openxmlformats.org/officeDocument/2006/relationships/hyperlink" Target="mailto:marilya.mitkova@extern.barmenia.de" TargetMode="External"/><Relationship Id="rId265" Type="http://schemas.openxmlformats.org/officeDocument/2006/relationships/hyperlink" Target="mailto:marilya.mitkova@extern.barmenia.de" TargetMode="External"/><Relationship Id="rId472" Type="http://schemas.openxmlformats.org/officeDocument/2006/relationships/hyperlink" Target="mailto:marilya.mitkova@extern.barmenia.de" TargetMode="External"/><Relationship Id="rId125" Type="http://schemas.openxmlformats.org/officeDocument/2006/relationships/hyperlink" Target="mailto:marilya.mitkova@extern.barmenia.de" TargetMode="External"/><Relationship Id="rId332" Type="http://schemas.openxmlformats.org/officeDocument/2006/relationships/hyperlink" Target="mailto:marilya.mitkova@extern.barmenia.de" TargetMode="External"/><Relationship Id="rId777" Type="http://schemas.openxmlformats.org/officeDocument/2006/relationships/hyperlink" Target="mailto:umstellung1ev@barmenia.de" TargetMode="External"/><Relationship Id="rId637" Type="http://schemas.openxmlformats.org/officeDocument/2006/relationships/hyperlink" Target="mailto:marilya.mitkova@extern.barmenia.de" TargetMode="External"/><Relationship Id="rId276" Type="http://schemas.openxmlformats.org/officeDocument/2006/relationships/hyperlink" Target="mailto:marilya.mitkova@extern.barmenia.de" TargetMode="External"/><Relationship Id="rId483" Type="http://schemas.openxmlformats.org/officeDocument/2006/relationships/hyperlink" Target="mailto:marilya.mitkova@extern.barmenia.de" TargetMode="External"/><Relationship Id="rId690" Type="http://schemas.openxmlformats.org/officeDocument/2006/relationships/hyperlink" Target="mailto:marilya.mitkova@extern.barmenia.de" TargetMode="External"/><Relationship Id="rId704" Type="http://schemas.openxmlformats.org/officeDocument/2006/relationships/hyperlink" Target="mailto:marilya.mitkova@extern.barmenia.de" TargetMode="External"/><Relationship Id="rId40" Type="http://schemas.openxmlformats.org/officeDocument/2006/relationships/hyperlink" Target="mailto:marilya.mitkova@extern.barmenia.de" TargetMode="External"/><Relationship Id="rId136" Type="http://schemas.openxmlformats.org/officeDocument/2006/relationships/hyperlink" Target="mailto:marilya.mitkova@extern.barmenia.de" TargetMode="External"/><Relationship Id="rId343" Type="http://schemas.openxmlformats.org/officeDocument/2006/relationships/hyperlink" Target="mailto:marilya.mitkova@extern.barmenia.de" TargetMode="External"/><Relationship Id="rId550" Type="http://schemas.openxmlformats.org/officeDocument/2006/relationships/hyperlink" Target="mailto:marilya.mitkova@extern.barmenia.de" TargetMode="External"/><Relationship Id="rId788" Type="http://schemas.openxmlformats.org/officeDocument/2006/relationships/hyperlink" Target="mailto:marilya.mitkova@extern.barmenia.de" TargetMode="External"/><Relationship Id="rId203" Type="http://schemas.openxmlformats.org/officeDocument/2006/relationships/hyperlink" Target="mailto:marilya.mitkova@extern.barmenia.de" TargetMode="External"/><Relationship Id="rId648" Type="http://schemas.openxmlformats.org/officeDocument/2006/relationships/hyperlink" Target="mailto:marilya.mitkova@extern.barmenia.de" TargetMode="External"/><Relationship Id="rId287" Type="http://schemas.openxmlformats.org/officeDocument/2006/relationships/hyperlink" Target="mailto:marilya.mitkova@extern.barmenia.de" TargetMode="External"/><Relationship Id="rId410" Type="http://schemas.openxmlformats.org/officeDocument/2006/relationships/hyperlink" Target="mailto:marilya.mitkova@extern.barmenia.de" TargetMode="External"/><Relationship Id="rId494" Type="http://schemas.openxmlformats.org/officeDocument/2006/relationships/hyperlink" Target="mailto:marilya.mitkova@extern.barmenia.de" TargetMode="External"/><Relationship Id="rId508" Type="http://schemas.openxmlformats.org/officeDocument/2006/relationships/hyperlink" Target="mailto:marilya.mitkova@extern.barmenia.de" TargetMode="External"/><Relationship Id="rId715" Type="http://schemas.openxmlformats.org/officeDocument/2006/relationships/hyperlink" Target="mailto:marilya.mitkova@extern.barmenia.de" TargetMode="External"/><Relationship Id="rId147" Type="http://schemas.openxmlformats.org/officeDocument/2006/relationships/hyperlink" Target="mailto:marilya.mitkova@extern.barmenia.de" TargetMode="External"/><Relationship Id="rId354" Type="http://schemas.openxmlformats.org/officeDocument/2006/relationships/hyperlink" Target="mailto:marilya.mitkova@extern.barmenia.de" TargetMode="External"/><Relationship Id="rId799" Type="http://schemas.openxmlformats.org/officeDocument/2006/relationships/hyperlink" Target="mailto:umstellung1ev@barmenia.de" TargetMode="External"/><Relationship Id="rId51" Type="http://schemas.openxmlformats.org/officeDocument/2006/relationships/hyperlink" Target="mailto:marilya.mitkova@extern.barmenia.de" TargetMode="External"/><Relationship Id="rId561" Type="http://schemas.openxmlformats.org/officeDocument/2006/relationships/hyperlink" Target="mailto:marilya.mitkova@extern.barmenia.de" TargetMode="External"/><Relationship Id="rId659" Type="http://schemas.openxmlformats.org/officeDocument/2006/relationships/hyperlink" Target="mailto:marilya.mitkova@extern.barmenia.de" TargetMode="External"/><Relationship Id="rId214" Type="http://schemas.openxmlformats.org/officeDocument/2006/relationships/hyperlink" Target="mailto:marilya.mitkova@extern.barmenia.de" TargetMode="External"/><Relationship Id="rId298" Type="http://schemas.openxmlformats.org/officeDocument/2006/relationships/hyperlink" Target="mailto:marilya.mitkova@extern.barmenia.de" TargetMode="External"/><Relationship Id="rId421" Type="http://schemas.openxmlformats.org/officeDocument/2006/relationships/hyperlink" Target="mailto:marilya.mitkova@extern.barmenia.de" TargetMode="External"/><Relationship Id="rId519" Type="http://schemas.openxmlformats.org/officeDocument/2006/relationships/hyperlink" Target="mailto:marilya.mitkova@extern.barmenia.de" TargetMode="External"/><Relationship Id="rId158" Type="http://schemas.openxmlformats.org/officeDocument/2006/relationships/hyperlink" Target="mailto:marilya.mitkova@extern.barmenia.de" TargetMode="External"/><Relationship Id="rId726" Type="http://schemas.openxmlformats.org/officeDocument/2006/relationships/hyperlink" Target="mailto:marilya.mitkova@extern.barmenia.de" TargetMode="External"/><Relationship Id="rId62" Type="http://schemas.openxmlformats.org/officeDocument/2006/relationships/hyperlink" Target="mailto:marilya.mitkova@extern.barmenia.de" TargetMode="External"/><Relationship Id="rId365" Type="http://schemas.openxmlformats.org/officeDocument/2006/relationships/hyperlink" Target="mailto:marilya.mitkova@extern.barmenia.de" TargetMode="External"/><Relationship Id="rId572" Type="http://schemas.openxmlformats.org/officeDocument/2006/relationships/hyperlink" Target="mailto:marilya.mitkova@extern.barmenia.de" TargetMode="External"/><Relationship Id="rId225" Type="http://schemas.openxmlformats.org/officeDocument/2006/relationships/hyperlink" Target="mailto:marilya.mitkova@extern.barmenia.de" TargetMode="External"/><Relationship Id="rId432" Type="http://schemas.openxmlformats.org/officeDocument/2006/relationships/hyperlink" Target="mailto:marilya.mitkova@extern.barmenia.de" TargetMode="External"/><Relationship Id="rId737" Type="http://schemas.openxmlformats.org/officeDocument/2006/relationships/hyperlink" Target="mailto:umstellung1ev@barmenia.de" TargetMode="External"/><Relationship Id="rId73" Type="http://schemas.openxmlformats.org/officeDocument/2006/relationships/hyperlink" Target="mailto:marilya.mitkova@extern.barmenia.de" TargetMode="External"/><Relationship Id="rId169" Type="http://schemas.openxmlformats.org/officeDocument/2006/relationships/hyperlink" Target="mailto:marilya.mitkova@extern.barmenia.de" TargetMode="External"/><Relationship Id="rId376" Type="http://schemas.openxmlformats.org/officeDocument/2006/relationships/hyperlink" Target="mailto:marilya.mitkova@extern.barmenia.de" TargetMode="External"/><Relationship Id="rId583" Type="http://schemas.openxmlformats.org/officeDocument/2006/relationships/hyperlink" Target="mailto:marilya.mitkova@extern.barmenia.de" TargetMode="External"/><Relationship Id="rId790" Type="http://schemas.openxmlformats.org/officeDocument/2006/relationships/hyperlink" Target="mailto:marilya.mitkova@extern.barmenia.de" TargetMode="External"/><Relationship Id="rId4" Type="http://schemas.openxmlformats.org/officeDocument/2006/relationships/hyperlink" Target="mailto:marilya.mitkova@extern.barmenia.de" TargetMode="External"/><Relationship Id="rId236" Type="http://schemas.openxmlformats.org/officeDocument/2006/relationships/hyperlink" Target="mailto:marilya.mitkova@extern.barmenia.de" TargetMode="External"/><Relationship Id="rId443" Type="http://schemas.openxmlformats.org/officeDocument/2006/relationships/hyperlink" Target="mailto:marilya.mitkova@extern.barmenia.de" TargetMode="External"/><Relationship Id="rId650" Type="http://schemas.openxmlformats.org/officeDocument/2006/relationships/hyperlink" Target="mailto:marilya.mitkova@extern.barmenia.de" TargetMode="External"/><Relationship Id="rId303" Type="http://schemas.openxmlformats.org/officeDocument/2006/relationships/hyperlink" Target="mailto:marilya.mitkova@extern.barmenia.de" TargetMode="External"/><Relationship Id="rId748" Type="http://schemas.openxmlformats.org/officeDocument/2006/relationships/hyperlink" Target="mailto:umstellung1ev@barmenia.de" TargetMode="External"/><Relationship Id="rId84" Type="http://schemas.openxmlformats.org/officeDocument/2006/relationships/hyperlink" Target="mailto:marilya.mitkova@extern.barmenia.de" TargetMode="External"/><Relationship Id="rId387" Type="http://schemas.openxmlformats.org/officeDocument/2006/relationships/hyperlink" Target="mailto:marilya.mitkova@extern.barmenia.de" TargetMode="External"/><Relationship Id="rId510" Type="http://schemas.openxmlformats.org/officeDocument/2006/relationships/hyperlink" Target="mailto:marilya.mitkova@extern.barmenia.de" TargetMode="External"/><Relationship Id="rId594" Type="http://schemas.openxmlformats.org/officeDocument/2006/relationships/hyperlink" Target="mailto:marilya.mitkova@extern.barmenia.de" TargetMode="External"/><Relationship Id="rId608" Type="http://schemas.openxmlformats.org/officeDocument/2006/relationships/hyperlink" Target="mailto:marilya.mitkova@extern.barmenia.de" TargetMode="External"/><Relationship Id="rId247" Type="http://schemas.openxmlformats.org/officeDocument/2006/relationships/hyperlink" Target="mailto:marilya.mitkova@extern.barmenia.de" TargetMode="External"/><Relationship Id="rId107" Type="http://schemas.openxmlformats.org/officeDocument/2006/relationships/hyperlink" Target="mailto:marilya.mitkova@extern.barmenia.de" TargetMode="External"/><Relationship Id="rId454" Type="http://schemas.openxmlformats.org/officeDocument/2006/relationships/hyperlink" Target="mailto:marilya.mitkova@extern.barmenia.de" TargetMode="External"/><Relationship Id="rId661" Type="http://schemas.openxmlformats.org/officeDocument/2006/relationships/hyperlink" Target="mailto:marilya.mitkova@extern.barmenia.de" TargetMode="External"/><Relationship Id="rId759" Type="http://schemas.openxmlformats.org/officeDocument/2006/relationships/hyperlink" Target="mailto:umstellung1ev@barmenia.de" TargetMode="External"/><Relationship Id="rId11" Type="http://schemas.openxmlformats.org/officeDocument/2006/relationships/hyperlink" Target="mailto:marilya.mitkova@extern.barmenia.de" TargetMode="External"/><Relationship Id="rId314" Type="http://schemas.openxmlformats.org/officeDocument/2006/relationships/hyperlink" Target="mailto:marilya.mitkova@extern.barmenia.de" TargetMode="External"/><Relationship Id="rId398" Type="http://schemas.openxmlformats.org/officeDocument/2006/relationships/hyperlink" Target="mailto:marilya.mitkova@extern.barmenia.de" TargetMode="External"/><Relationship Id="rId521" Type="http://schemas.openxmlformats.org/officeDocument/2006/relationships/hyperlink" Target="mailto:marilya.mitkova@extern.barmenia.de" TargetMode="External"/><Relationship Id="rId619" Type="http://schemas.openxmlformats.org/officeDocument/2006/relationships/hyperlink" Target="mailto:marilya.mitkova@extern.barmenia.de" TargetMode="External"/><Relationship Id="rId95" Type="http://schemas.openxmlformats.org/officeDocument/2006/relationships/hyperlink" Target="mailto:marilya.mitkova@extern.barmenia.de" TargetMode="External"/><Relationship Id="rId160" Type="http://schemas.openxmlformats.org/officeDocument/2006/relationships/hyperlink" Target="mailto:marilya.mitkova@extern.barmenia.de" TargetMode="External"/><Relationship Id="rId258" Type="http://schemas.openxmlformats.org/officeDocument/2006/relationships/hyperlink" Target="mailto:marilya.mitkova@extern.barmenia.de" TargetMode="External"/><Relationship Id="rId465" Type="http://schemas.openxmlformats.org/officeDocument/2006/relationships/hyperlink" Target="mailto:marilya.mitkova@extern.barmenia.de" TargetMode="External"/><Relationship Id="rId672" Type="http://schemas.openxmlformats.org/officeDocument/2006/relationships/hyperlink" Target="mailto:marilya.mitkova@extern.barmenia.de" TargetMode="External"/><Relationship Id="rId22" Type="http://schemas.openxmlformats.org/officeDocument/2006/relationships/hyperlink" Target="mailto:marilya.mitkova@extern.barmenia.de" TargetMode="External"/><Relationship Id="rId118" Type="http://schemas.openxmlformats.org/officeDocument/2006/relationships/hyperlink" Target="mailto:marilya.mitkova@extern.barmenia.de" TargetMode="External"/><Relationship Id="rId325" Type="http://schemas.openxmlformats.org/officeDocument/2006/relationships/hyperlink" Target="mailto:marilya.mitkova@extern.barmenia.de" TargetMode="External"/><Relationship Id="rId532" Type="http://schemas.openxmlformats.org/officeDocument/2006/relationships/hyperlink" Target="mailto:marilya.mitkova@extern.barmenia.de" TargetMode="External"/><Relationship Id="rId171" Type="http://schemas.openxmlformats.org/officeDocument/2006/relationships/hyperlink" Target="mailto:marilya.mitkova@extern.barmenia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9B59-5B1A-4D34-867B-F068FE64A341}">
  <dimension ref="A1:S855"/>
  <sheetViews>
    <sheetView tabSelected="1" topLeftCell="L1" workbookViewId="0">
      <selection activeCell="O243" sqref="O243"/>
    </sheetView>
  </sheetViews>
  <sheetFormatPr defaultColWidth="9" defaultRowHeight="15" outlineLevelCol="1" x14ac:dyDescent="0.25"/>
  <cols>
    <col min="2" max="2" width="29.140625" customWidth="1"/>
    <col min="4" max="4" width="14.140625" customWidth="1"/>
    <col min="5" max="5" width="24.42578125" customWidth="1"/>
    <col min="6" max="6" width="15.42578125" customWidth="1"/>
    <col min="7" max="7" width="36" customWidth="1"/>
    <col min="8" max="8" width="19.5703125" customWidth="1"/>
    <col min="9" max="9" width="24.5703125" customWidth="1"/>
    <col min="10" max="10" width="20.5703125" customWidth="1"/>
    <col min="11" max="11" width="57.140625" customWidth="1"/>
    <col min="12" max="12" width="26.42578125" customWidth="1"/>
    <col min="13" max="13" width="34.28515625" customWidth="1"/>
    <col min="14" max="14" width="38.28515625" customWidth="1"/>
    <col min="15" max="15" width="44.140625" customWidth="1" outlineLevel="1"/>
    <col min="16" max="16" width="37.140625" customWidth="1" outlineLevel="1"/>
    <col min="17" max="17" width="31.85546875" customWidth="1" outlineLevel="1"/>
    <col min="18" max="18" width="34.5703125" customWidth="1"/>
    <col min="19" max="19" width="21.42578125" customWidth="1"/>
  </cols>
  <sheetData>
    <row r="1" spans="1:19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1" t="s">
        <v>16</v>
      </c>
      <c r="R1" s="5" t="s">
        <v>17</v>
      </c>
      <c r="S1" s="6" t="s">
        <v>18</v>
      </c>
    </row>
    <row r="2" spans="1:19" hidden="1" x14ac:dyDescent="0.25">
      <c r="A2" s="7" t="s">
        <v>19</v>
      </c>
      <c r="B2" s="7" t="s">
        <v>20</v>
      </c>
      <c r="C2" s="7" t="s">
        <v>21</v>
      </c>
      <c r="D2" s="7" t="s">
        <v>22</v>
      </c>
      <c r="E2" s="7" t="s">
        <v>20</v>
      </c>
      <c r="F2" s="7" t="s">
        <v>20</v>
      </c>
      <c r="G2" s="7" t="s">
        <v>23</v>
      </c>
      <c r="H2" s="7" t="s">
        <v>20</v>
      </c>
      <c r="I2" s="8" t="s">
        <v>24</v>
      </c>
      <c r="J2" s="7" t="s">
        <v>25</v>
      </c>
      <c r="K2" s="9" t="s">
        <v>26</v>
      </c>
      <c r="L2" s="9" t="s">
        <v>27</v>
      </c>
      <c r="M2" s="9" t="s">
        <v>28</v>
      </c>
      <c r="N2" s="9" t="s">
        <v>29</v>
      </c>
      <c r="O2" s="7" t="s">
        <v>30</v>
      </c>
      <c r="P2" s="7" t="s">
        <v>20</v>
      </c>
      <c r="Q2" s="9" t="s">
        <v>29</v>
      </c>
      <c r="R2" s="9" t="str" cm="1">
        <f t="array" ref="R2">IF(AND(Q2="",P2&lt;&gt;""),N2,_xlfn.SWITCH(IF(Q2&lt;&gt;"",Q2,O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Centers",IF(Q2&lt;&gt;"",Q2,O2)))</f>
        <v>Generalagent/in</v>
      </c>
      <c r="S2" s="9" t="str">
        <f>IF(N2&lt;&gt;R2,"x","")</f>
        <v/>
      </c>
    </row>
    <row r="3" spans="1:19" hidden="1" x14ac:dyDescent="0.25">
      <c r="A3" s="7" t="s">
        <v>31</v>
      </c>
      <c r="B3" s="7" t="s">
        <v>20</v>
      </c>
      <c r="C3" s="7" t="s">
        <v>21</v>
      </c>
      <c r="D3" s="7" t="s">
        <v>22</v>
      </c>
      <c r="E3" s="7" t="s">
        <v>20</v>
      </c>
      <c r="F3" s="7" t="s">
        <v>20</v>
      </c>
      <c r="G3" s="7" t="s">
        <v>23</v>
      </c>
      <c r="H3" s="7" t="s">
        <v>20</v>
      </c>
      <c r="I3" s="8" t="s">
        <v>32</v>
      </c>
      <c r="J3" s="7" t="s">
        <v>33</v>
      </c>
      <c r="K3" s="7" t="s">
        <v>34</v>
      </c>
      <c r="L3" s="7" t="s">
        <v>27</v>
      </c>
      <c r="M3" s="7" t="s">
        <v>28</v>
      </c>
      <c r="N3" s="9" t="s">
        <v>35</v>
      </c>
      <c r="O3" s="7" t="s">
        <v>30</v>
      </c>
      <c r="P3" s="7" t="s">
        <v>20</v>
      </c>
      <c r="Q3" s="7"/>
      <c r="R3" s="7" t="str" cm="1">
        <f t="array" ref="R3">IF(AND(Q3="",P3&lt;&gt;""),N3,_xlfn.SWITCH(IF(Q3&lt;&gt;"",Q3,O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Centers",IF(Q3&lt;&gt;"",Q3,O3)))</f>
        <v>Agenturleiter/in</v>
      </c>
      <c r="S3" s="7" t="str">
        <f>IF(N3&lt;&gt;R3,"x","")</f>
        <v>x</v>
      </c>
    </row>
    <row r="4" spans="1:19" hidden="1" x14ac:dyDescent="0.25">
      <c r="A4" s="7" t="s">
        <v>36</v>
      </c>
      <c r="B4" s="7" t="s">
        <v>20</v>
      </c>
      <c r="C4" s="7" t="s">
        <v>21</v>
      </c>
      <c r="D4" s="7" t="s">
        <v>22</v>
      </c>
      <c r="E4" s="7" t="s">
        <v>20</v>
      </c>
      <c r="F4" s="7" t="s">
        <v>20</v>
      </c>
      <c r="G4" s="7" t="s">
        <v>23</v>
      </c>
      <c r="H4" s="7" t="s">
        <v>20</v>
      </c>
      <c r="I4" s="8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9" t="s">
        <v>42</v>
      </c>
      <c r="O4" s="7" t="s">
        <v>43</v>
      </c>
      <c r="P4" s="7" t="s">
        <v>20</v>
      </c>
      <c r="Q4" s="7"/>
      <c r="R4" s="7" t="str" cm="1">
        <f t="array" ref="R4">IF(AND(Q4="",P4&lt;&gt;""),N4,_xlfn.SWITCH(IF(Q4&lt;&gt;"",Q4,O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Centers",IF(Q4&lt;&gt;"",Q4,O4)))</f>
        <v>Repräsentant/in</v>
      </c>
      <c r="S4" s="7" t="str">
        <f>IF(N4&lt;&gt;R4,"x","")</f>
        <v>x</v>
      </c>
    </row>
    <row r="5" spans="1:19" hidden="1" x14ac:dyDescent="0.25">
      <c r="A5" s="7" t="s">
        <v>44</v>
      </c>
      <c r="B5" s="7" t="s">
        <v>20</v>
      </c>
      <c r="C5" s="7" t="s">
        <v>21</v>
      </c>
      <c r="D5" s="7" t="s">
        <v>22</v>
      </c>
      <c r="E5" s="7" t="s">
        <v>20</v>
      </c>
      <c r="F5" s="7" t="s">
        <v>20</v>
      </c>
      <c r="G5" s="7" t="s">
        <v>23</v>
      </c>
      <c r="H5" s="7" t="s">
        <v>20</v>
      </c>
      <c r="I5" s="8" t="s">
        <v>45</v>
      </c>
      <c r="J5" s="7" t="s">
        <v>46</v>
      </c>
      <c r="K5" s="7" t="s">
        <v>47</v>
      </c>
      <c r="L5" s="7" t="s">
        <v>40</v>
      </c>
      <c r="M5" s="7" t="s">
        <v>41</v>
      </c>
      <c r="N5" s="9" t="s">
        <v>29</v>
      </c>
      <c r="O5" s="7" t="s">
        <v>48</v>
      </c>
      <c r="P5" s="7" t="s">
        <v>49</v>
      </c>
      <c r="Q5" s="7"/>
      <c r="R5" s="7" t="str" cm="1">
        <f t="array" ref="R5">IF(AND(Q5="",P5&lt;&gt;""),N5,_xlfn.SWITCH(IF(Q5&lt;&gt;"",Q5,O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Centers",IF(Q5&lt;&gt;"",Q5,O5)))</f>
        <v>Generalagent/in</v>
      </c>
      <c r="S5" s="7" t="str">
        <f>IF(N5&lt;&gt;R5,"x","")</f>
        <v/>
      </c>
    </row>
    <row r="6" spans="1:19" hidden="1" x14ac:dyDescent="0.25">
      <c r="A6" s="7" t="s">
        <v>50</v>
      </c>
      <c r="B6" s="7" t="s">
        <v>20</v>
      </c>
      <c r="C6" s="7" t="s">
        <v>21</v>
      </c>
      <c r="D6" s="7" t="s">
        <v>22</v>
      </c>
      <c r="E6" s="7" t="s">
        <v>20</v>
      </c>
      <c r="F6" s="7" t="s">
        <v>20</v>
      </c>
      <c r="G6" s="7" t="s">
        <v>23</v>
      </c>
      <c r="H6" s="7" t="s">
        <v>20</v>
      </c>
      <c r="I6" s="8" t="s">
        <v>51</v>
      </c>
      <c r="J6" s="7" t="s">
        <v>52</v>
      </c>
      <c r="K6" s="7" t="s">
        <v>53</v>
      </c>
      <c r="L6" s="7" t="s">
        <v>27</v>
      </c>
      <c r="M6" s="7" t="s">
        <v>28</v>
      </c>
      <c r="N6" s="9" t="s">
        <v>35</v>
      </c>
      <c r="O6" s="7" t="s">
        <v>54</v>
      </c>
      <c r="P6" s="7" t="s">
        <v>20</v>
      </c>
      <c r="Q6" s="7"/>
      <c r="R6" s="7" t="str" cm="1">
        <f t="array" ref="R6">IF(AND(Q6="",P6&lt;&gt;""),N6,_xlfn.SWITCH(IF(Q6&lt;&gt;"",Q6,O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Centers",IF(Q6&lt;&gt;"",Q6,O6)))</f>
        <v>Agenturleiter/in</v>
      </c>
      <c r="S6" s="7" t="str">
        <f>IF(N6&lt;&gt;R6,"x","")</f>
        <v>x</v>
      </c>
    </row>
    <row r="7" spans="1:19" hidden="1" x14ac:dyDescent="0.25">
      <c r="A7" s="7" t="s">
        <v>55</v>
      </c>
      <c r="B7" s="7" t="s">
        <v>20</v>
      </c>
      <c r="C7" s="7" t="s">
        <v>21</v>
      </c>
      <c r="D7" s="7" t="s">
        <v>22</v>
      </c>
      <c r="E7" s="7" t="s">
        <v>20</v>
      </c>
      <c r="F7" s="7" t="s">
        <v>20</v>
      </c>
      <c r="G7" s="7" t="s">
        <v>23</v>
      </c>
      <c r="H7" s="7" t="s">
        <v>20</v>
      </c>
      <c r="I7" s="8" t="s">
        <v>56</v>
      </c>
      <c r="J7" s="7" t="s">
        <v>57</v>
      </c>
      <c r="K7" s="7" t="s">
        <v>58</v>
      </c>
      <c r="L7" s="7" t="s">
        <v>27</v>
      </c>
      <c r="M7" s="7" t="s">
        <v>28</v>
      </c>
      <c r="N7" s="9" t="s">
        <v>59</v>
      </c>
      <c r="O7" s="7" t="s">
        <v>30</v>
      </c>
      <c r="P7" s="7" t="s">
        <v>49</v>
      </c>
      <c r="Q7" s="7"/>
      <c r="R7" s="7" t="str" cm="1">
        <f t="array" ref="R7">IF(AND(Q7="",P7&lt;&gt;""),N7,_xlfn.SWITCH(IF(Q7&lt;&gt;"",Q7,O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Centers",IF(Q7&lt;&gt;"",Q7,O7)))</f>
        <v>Leiter/in des Service Centers</v>
      </c>
      <c r="S7" s="7" t="str">
        <f>IF(N7&lt;&gt;R7,"x","")</f>
        <v/>
      </c>
    </row>
    <row r="8" spans="1:19" hidden="1" x14ac:dyDescent="0.25">
      <c r="A8" s="7" t="s">
        <v>60</v>
      </c>
      <c r="B8" s="7" t="s">
        <v>20</v>
      </c>
      <c r="C8" s="7" t="s">
        <v>21</v>
      </c>
      <c r="D8" s="7" t="s">
        <v>22</v>
      </c>
      <c r="E8" s="7" t="s">
        <v>20</v>
      </c>
      <c r="F8" s="7" t="s">
        <v>20</v>
      </c>
      <c r="G8" s="7" t="s">
        <v>23</v>
      </c>
      <c r="H8" s="7" t="s">
        <v>20</v>
      </c>
      <c r="I8" s="8" t="s">
        <v>61</v>
      </c>
      <c r="J8" s="7" t="s">
        <v>62</v>
      </c>
      <c r="K8" s="8" t="s">
        <v>63</v>
      </c>
      <c r="L8" s="7" t="s">
        <v>64</v>
      </c>
      <c r="M8" s="7" t="s">
        <v>65</v>
      </c>
      <c r="N8" s="9" t="s">
        <v>66</v>
      </c>
      <c r="O8" s="7" t="s">
        <v>67</v>
      </c>
      <c r="P8" s="7" t="s">
        <v>20</v>
      </c>
      <c r="Q8" s="7"/>
      <c r="R8" s="7" t="str" cm="1">
        <f t="array" ref="R8">IF(AND(Q8="",P8&lt;&gt;""),N8,_xlfn.SWITCH(IF(Q8&lt;&gt;"",Q8,O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Centers",IF(Q8&lt;&gt;"",Q8,O8)))</f>
        <v>Leiter/in des Service Centers</v>
      </c>
      <c r="S8" s="7" t="str">
        <f>IF(N8&lt;&gt;R8,"x","")</f>
        <v>x</v>
      </c>
    </row>
    <row r="9" spans="1:19" hidden="1" x14ac:dyDescent="0.25">
      <c r="A9" s="7" t="s">
        <v>68</v>
      </c>
      <c r="B9" s="7" t="s">
        <v>20</v>
      </c>
      <c r="C9" s="7" t="s">
        <v>21</v>
      </c>
      <c r="D9" s="7" t="s">
        <v>22</v>
      </c>
      <c r="E9" s="7" t="s">
        <v>20</v>
      </c>
      <c r="F9" s="7" t="s">
        <v>20</v>
      </c>
      <c r="G9" s="7" t="s">
        <v>23</v>
      </c>
      <c r="H9" s="7" t="s">
        <v>20</v>
      </c>
      <c r="I9" s="8" t="s">
        <v>69</v>
      </c>
      <c r="J9" s="7" t="s">
        <v>69</v>
      </c>
      <c r="K9" s="7" t="s">
        <v>70</v>
      </c>
      <c r="L9" s="7" t="s">
        <v>40</v>
      </c>
      <c r="M9" s="7" t="s">
        <v>41</v>
      </c>
      <c r="N9" s="9" t="s">
        <v>66</v>
      </c>
      <c r="O9" s="7" t="s">
        <v>66</v>
      </c>
      <c r="P9" s="7" t="s">
        <v>20</v>
      </c>
      <c r="Q9" s="7"/>
      <c r="R9" s="7" t="str" cm="1">
        <f t="array" ref="R9">IF(AND(Q9="",P9&lt;&gt;""),N9,_xlfn.SWITCH(IF(Q9&lt;&gt;"",Q9,O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Centers",IF(Q9&lt;&gt;"",Q9,O9)))</f>
        <v>Repräsentant/in</v>
      </c>
      <c r="S9" s="7" t="str">
        <f>IF(N9&lt;&gt;R9,"x","")</f>
        <v/>
      </c>
    </row>
    <row r="10" spans="1:19" hidden="1" x14ac:dyDescent="0.25">
      <c r="A10" s="7" t="s">
        <v>71</v>
      </c>
      <c r="B10" s="7" t="s">
        <v>20</v>
      </c>
      <c r="C10" s="7" t="s">
        <v>21</v>
      </c>
      <c r="D10" s="7" t="s">
        <v>22</v>
      </c>
      <c r="E10" s="7" t="s">
        <v>20</v>
      </c>
      <c r="F10" s="7" t="s">
        <v>20</v>
      </c>
      <c r="G10" s="7" t="s">
        <v>23</v>
      </c>
      <c r="H10" s="7" t="s">
        <v>20</v>
      </c>
      <c r="I10" s="8" t="s">
        <v>72</v>
      </c>
      <c r="J10" s="7" t="s">
        <v>73</v>
      </c>
      <c r="K10" s="7" t="s">
        <v>74</v>
      </c>
      <c r="L10" s="7" t="s">
        <v>40</v>
      </c>
      <c r="M10" s="7" t="s">
        <v>41</v>
      </c>
      <c r="N10" s="9" t="s">
        <v>75</v>
      </c>
      <c r="O10" s="7" t="s">
        <v>48</v>
      </c>
      <c r="P10" s="7" t="s">
        <v>20</v>
      </c>
      <c r="Q10" s="7"/>
      <c r="R10" s="7" t="str" cm="1">
        <f t="array" ref="R10">IF(AND(Q10="",P10&lt;&gt;""),N10,_xlfn.SWITCH(IF(Q10&lt;&gt;"",Q10,O10)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Centers",IF(Q10&lt;&gt;"",Q10,O10)))</f>
        <v>Repräsentant/in</v>
      </c>
      <c r="S10" s="7" t="str">
        <f>IF(N10&lt;&gt;R10,"x","")</f>
        <v>x</v>
      </c>
    </row>
    <row r="11" spans="1:19" hidden="1" x14ac:dyDescent="0.25">
      <c r="A11" s="7" t="s">
        <v>76</v>
      </c>
      <c r="B11" s="7" t="s">
        <v>20</v>
      </c>
      <c r="C11" s="7" t="s">
        <v>21</v>
      </c>
      <c r="D11" s="7" t="s">
        <v>22</v>
      </c>
      <c r="E11" s="7" t="s">
        <v>20</v>
      </c>
      <c r="F11" s="7" t="s">
        <v>20</v>
      </c>
      <c r="G11" s="7" t="s">
        <v>23</v>
      </c>
      <c r="H11" s="7" t="s">
        <v>20</v>
      </c>
      <c r="I11" s="8" t="s">
        <v>77</v>
      </c>
      <c r="J11" s="7" t="s">
        <v>78</v>
      </c>
      <c r="K11" s="7" t="s">
        <v>79</v>
      </c>
      <c r="L11" s="7" t="s">
        <v>40</v>
      </c>
      <c r="M11" s="7" t="s">
        <v>41</v>
      </c>
      <c r="N11" s="9" t="s">
        <v>80</v>
      </c>
      <c r="O11" s="7" t="s">
        <v>48</v>
      </c>
      <c r="P11" s="7" t="s">
        <v>20</v>
      </c>
      <c r="Q11" s="7"/>
      <c r="R11" s="7" t="str" cm="1">
        <f t="array" ref="R11">IF(AND(Q11="",P11&lt;&gt;""),N11,_xlfn.SWITCH(IF(Q11&lt;&gt;"",Q11,O11)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Centers",IF(Q11&lt;&gt;"",Q11,O11)))</f>
        <v>Repräsentant/in</v>
      </c>
      <c r="S11" s="7" t="str">
        <f>IF(N11&lt;&gt;R11,"x","")</f>
        <v>x</v>
      </c>
    </row>
    <row r="12" spans="1:19" hidden="1" x14ac:dyDescent="0.25">
      <c r="A12" s="7" t="s">
        <v>81</v>
      </c>
      <c r="B12" s="7" t="s">
        <v>20</v>
      </c>
      <c r="C12" s="7" t="s">
        <v>21</v>
      </c>
      <c r="D12" s="7" t="s">
        <v>22</v>
      </c>
      <c r="E12" s="7" t="s">
        <v>20</v>
      </c>
      <c r="F12" s="7" t="s">
        <v>20</v>
      </c>
      <c r="G12" s="7" t="s">
        <v>23</v>
      </c>
      <c r="H12" s="7" t="s">
        <v>20</v>
      </c>
      <c r="I12" s="8" t="s">
        <v>82</v>
      </c>
      <c r="J12" s="7" t="s">
        <v>83</v>
      </c>
      <c r="K12" s="7" t="s">
        <v>84</v>
      </c>
      <c r="L12" s="7" t="s">
        <v>40</v>
      </c>
      <c r="M12" s="7" t="s">
        <v>41</v>
      </c>
      <c r="N12" s="9" t="s">
        <v>75</v>
      </c>
      <c r="O12" s="7" t="s">
        <v>48</v>
      </c>
      <c r="P12" s="7" t="s">
        <v>20</v>
      </c>
      <c r="Q12" s="7"/>
      <c r="R12" s="7" t="str" cm="1">
        <f t="array" ref="R12">IF(AND(Q12="",P12&lt;&gt;""),N12,_xlfn.SWITCH(IF(Q12&lt;&gt;"",Q12,O12)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Centers",IF(Q12&lt;&gt;"",Q12,O12)))</f>
        <v>Repräsentant/in</v>
      </c>
      <c r="S12" s="7" t="str">
        <f>IF(N12&lt;&gt;R12,"x","")</f>
        <v>x</v>
      </c>
    </row>
    <row r="13" spans="1:19" hidden="1" x14ac:dyDescent="0.25">
      <c r="A13" s="7" t="s">
        <v>85</v>
      </c>
      <c r="B13" s="7" t="s">
        <v>20</v>
      </c>
      <c r="C13" s="7" t="s">
        <v>21</v>
      </c>
      <c r="D13" s="7" t="s">
        <v>22</v>
      </c>
      <c r="E13" s="7" t="s">
        <v>20</v>
      </c>
      <c r="F13" s="7" t="s">
        <v>20</v>
      </c>
      <c r="G13" s="7" t="s">
        <v>23</v>
      </c>
      <c r="H13" s="7" t="s">
        <v>20</v>
      </c>
      <c r="I13" s="8" t="s">
        <v>77</v>
      </c>
      <c r="J13" s="7" t="s">
        <v>86</v>
      </c>
      <c r="K13" s="7" t="s">
        <v>87</v>
      </c>
      <c r="L13" s="7" t="s">
        <v>40</v>
      </c>
      <c r="M13" s="7" t="s">
        <v>41</v>
      </c>
      <c r="N13" s="9" t="s">
        <v>75</v>
      </c>
      <c r="O13" s="7" t="s">
        <v>88</v>
      </c>
      <c r="P13" s="7" t="s">
        <v>20</v>
      </c>
      <c r="Q13" s="7"/>
      <c r="R13" s="7" t="str" cm="1">
        <f t="array" ref="R13">IF(AND(Q13="",P13&lt;&gt;""),N13,_xlfn.SWITCH(IF(Q13&lt;&gt;"",Q13,O13)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Centers",IF(Q13&lt;&gt;"",Q13,O13)))</f>
        <v>Kundenberater/in</v>
      </c>
      <c r="S13" s="7" t="str">
        <f>IF(N13&lt;&gt;R13,"x","")</f>
        <v>x</v>
      </c>
    </row>
    <row r="14" spans="1:19" x14ac:dyDescent="0.25">
      <c r="A14" s="7" t="s">
        <v>89</v>
      </c>
      <c r="B14" s="7" t="s">
        <v>20</v>
      </c>
      <c r="C14" s="7" t="s">
        <v>21</v>
      </c>
      <c r="D14" s="7" t="s">
        <v>22</v>
      </c>
      <c r="E14" s="7" t="s">
        <v>20</v>
      </c>
      <c r="F14" s="7" t="s">
        <v>20</v>
      </c>
      <c r="G14" s="7" t="s">
        <v>23</v>
      </c>
      <c r="H14" s="7" t="s">
        <v>20</v>
      </c>
      <c r="I14" s="8" t="s">
        <v>90</v>
      </c>
      <c r="J14" s="7" t="s">
        <v>91</v>
      </c>
      <c r="K14" s="7" t="s">
        <v>92</v>
      </c>
      <c r="L14" s="7" t="s">
        <v>64</v>
      </c>
      <c r="M14" s="7" t="s">
        <v>65</v>
      </c>
      <c r="N14" s="9" t="s">
        <v>93</v>
      </c>
      <c r="O14" s="7" t="s">
        <v>67</v>
      </c>
      <c r="P14" s="7" t="s">
        <v>20</v>
      </c>
      <c r="Q14" s="7"/>
      <c r="R14" s="7" t="str" cm="1">
        <f t="array" ref="R14">IF(AND(Q14="",P14&lt;&gt;""),N14,_xlfn.SWITCH(IF(Q14&lt;&gt;"",Q14,O14)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Centers",IF(Q14&lt;&gt;"",Q14,O14)))</f>
        <v>Leiter/in des Service Centers</v>
      </c>
      <c r="S14" s="7" t="str">
        <f>IF(N14&lt;&gt;R14,"x","")</f>
        <v>x</v>
      </c>
    </row>
    <row r="15" spans="1:19" hidden="1" x14ac:dyDescent="0.25">
      <c r="A15" s="7" t="s">
        <v>94</v>
      </c>
      <c r="B15" s="7" t="s">
        <v>20</v>
      </c>
      <c r="C15" s="7" t="s">
        <v>21</v>
      </c>
      <c r="D15" s="7" t="s">
        <v>22</v>
      </c>
      <c r="E15" s="7" t="s">
        <v>20</v>
      </c>
      <c r="F15" s="7" t="s">
        <v>20</v>
      </c>
      <c r="G15" s="7" t="s">
        <v>23</v>
      </c>
      <c r="H15" s="7" t="s">
        <v>20</v>
      </c>
      <c r="I15" s="8" t="s">
        <v>32</v>
      </c>
      <c r="J15" s="7" t="s">
        <v>95</v>
      </c>
      <c r="K15" s="7" t="s">
        <v>96</v>
      </c>
      <c r="L15" s="7" t="s">
        <v>97</v>
      </c>
      <c r="M15" s="7" t="s">
        <v>98</v>
      </c>
      <c r="N15" s="9" t="s">
        <v>59</v>
      </c>
      <c r="O15" s="7" t="s">
        <v>99</v>
      </c>
      <c r="P15" s="7" t="s">
        <v>49</v>
      </c>
      <c r="Q15" s="7"/>
      <c r="R15" s="7" t="str" cm="1">
        <f t="array" ref="R15">IF(AND(Q15="",P15&lt;&gt;""),N15,_xlfn.SWITCH(IF(Q15&lt;&gt;"",Q15,O15)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Centers",IF(Q15&lt;&gt;"",Q15,O15)))</f>
        <v>Leiter/in des Service Centers</v>
      </c>
      <c r="S15" s="7" t="str">
        <f>IF(N15&lt;&gt;R15,"x","")</f>
        <v/>
      </c>
    </row>
    <row r="16" spans="1:19" hidden="1" x14ac:dyDescent="0.25">
      <c r="A16" s="7" t="s">
        <v>100</v>
      </c>
      <c r="B16" s="7" t="s">
        <v>20</v>
      </c>
      <c r="C16" s="7" t="s">
        <v>21</v>
      </c>
      <c r="D16" s="7" t="s">
        <v>22</v>
      </c>
      <c r="E16" s="7" t="s">
        <v>20</v>
      </c>
      <c r="F16" s="7" t="s">
        <v>20</v>
      </c>
      <c r="G16" s="7" t="s">
        <v>23</v>
      </c>
      <c r="H16" s="7" t="s">
        <v>20</v>
      </c>
      <c r="I16" s="8" t="s">
        <v>101</v>
      </c>
      <c r="J16" s="7" t="s">
        <v>102</v>
      </c>
      <c r="K16" s="8" t="s">
        <v>63</v>
      </c>
      <c r="L16" s="7" t="s">
        <v>97</v>
      </c>
      <c r="M16" s="7" t="s">
        <v>98</v>
      </c>
      <c r="N16" s="9" t="s">
        <v>66</v>
      </c>
      <c r="O16" s="7" t="s">
        <v>99</v>
      </c>
      <c r="P16" s="7" t="s">
        <v>20</v>
      </c>
      <c r="Q16" s="7"/>
      <c r="R16" s="7" t="str" cm="1">
        <f t="array" ref="R16">IF(AND(Q16="",P16&lt;&gt;""),N16,_xlfn.SWITCH(IF(Q16&lt;&gt;"",Q16,O16)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Centers",IF(Q16&lt;&gt;"",Q16,O16)))</f>
        <v>Hauptagent/in</v>
      </c>
      <c r="S16" s="7" t="str">
        <f>IF(N16&lt;&gt;R16,"x","")</f>
        <v>x</v>
      </c>
    </row>
    <row r="17" spans="1:19" hidden="1" x14ac:dyDescent="0.25">
      <c r="A17" s="7" t="s">
        <v>103</v>
      </c>
      <c r="B17" s="7" t="s">
        <v>20</v>
      </c>
      <c r="C17" s="7" t="s">
        <v>21</v>
      </c>
      <c r="D17" s="7" t="s">
        <v>22</v>
      </c>
      <c r="E17" s="7" t="s">
        <v>20</v>
      </c>
      <c r="F17" s="7" t="s">
        <v>20</v>
      </c>
      <c r="G17" s="7" t="s">
        <v>23</v>
      </c>
      <c r="H17" s="7" t="s">
        <v>20</v>
      </c>
      <c r="I17" s="8" t="s">
        <v>104</v>
      </c>
      <c r="J17" s="7" t="s">
        <v>105</v>
      </c>
      <c r="K17" s="7" t="s">
        <v>106</v>
      </c>
      <c r="L17" s="7" t="s">
        <v>40</v>
      </c>
      <c r="M17" s="7" t="s">
        <v>41</v>
      </c>
      <c r="N17" s="9" t="s">
        <v>80</v>
      </c>
      <c r="O17" s="7" t="s">
        <v>48</v>
      </c>
      <c r="P17" s="7" t="s">
        <v>20</v>
      </c>
      <c r="Q17" s="7"/>
      <c r="R17" s="7" t="str" cm="1">
        <f t="array" ref="R17">IF(AND(Q17="",P17&lt;&gt;""),N17,_xlfn.SWITCH(IF(Q17&lt;&gt;"",Q17,O17)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Centers",IF(Q17&lt;&gt;"",Q17,O17)))</f>
        <v>Repräsentant/in</v>
      </c>
      <c r="S17" s="7" t="str">
        <f>IF(N17&lt;&gt;R17,"x","")</f>
        <v>x</v>
      </c>
    </row>
    <row r="18" spans="1:19" hidden="1" x14ac:dyDescent="0.25">
      <c r="A18" s="7" t="s">
        <v>107</v>
      </c>
      <c r="B18" s="7" t="s">
        <v>20</v>
      </c>
      <c r="C18" s="7" t="s">
        <v>21</v>
      </c>
      <c r="D18" s="7" t="s">
        <v>22</v>
      </c>
      <c r="E18" s="7" t="s">
        <v>20</v>
      </c>
      <c r="F18" s="7" t="s">
        <v>20</v>
      </c>
      <c r="G18" s="7" t="s">
        <v>23</v>
      </c>
      <c r="H18" s="7" t="s">
        <v>20</v>
      </c>
      <c r="I18" s="8" t="s">
        <v>108</v>
      </c>
      <c r="J18" s="7" t="s">
        <v>109</v>
      </c>
      <c r="K18" s="7" t="s">
        <v>110</v>
      </c>
      <c r="L18" s="7" t="s">
        <v>27</v>
      </c>
      <c r="M18" s="7" t="s">
        <v>28</v>
      </c>
      <c r="N18" s="9" t="s">
        <v>111</v>
      </c>
      <c r="O18" s="7" t="s">
        <v>54</v>
      </c>
      <c r="P18" s="7" t="s">
        <v>20</v>
      </c>
      <c r="Q18" s="7"/>
      <c r="R18" s="7" t="str" cm="1">
        <f t="array" ref="R18">IF(AND(Q18="",P18&lt;&gt;""),N18,_xlfn.SWITCH(IF(Q18&lt;&gt;"",Q18,O18)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Centers",IF(Q18&lt;&gt;"",Q18,O18)))</f>
        <v>Agenturleiter/in</v>
      </c>
      <c r="S18" s="7" t="str">
        <f>IF(N18&lt;&gt;R18,"x","")</f>
        <v>x</v>
      </c>
    </row>
    <row r="19" spans="1:19" hidden="1" x14ac:dyDescent="0.25">
      <c r="A19" s="7" t="s">
        <v>112</v>
      </c>
      <c r="B19" s="7" t="s">
        <v>20</v>
      </c>
      <c r="C19" s="7" t="s">
        <v>21</v>
      </c>
      <c r="D19" s="7" t="s">
        <v>22</v>
      </c>
      <c r="E19" s="7" t="s">
        <v>20</v>
      </c>
      <c r="F19" s="7" t="s">
        <v>20</v>
      </c>
      <c r="G19" s="7" t="s">
        <v>23</v>
      </c>
      <c r="H19" s="7" t="s">
        <v>20</v>
      </c>
      <c r="I19" s="8" t="s">
        <v>113</v>
      </c>
      <c r="J19" s="7" t="s">
        <v>114</v>
      </c>
      <c r="K19" s="7" t="s">
        <v>115</v>
      </c>
      <c r="L19" s="7" t="s">
        <v>40</v>
      </c>
      <c r="M19" s="7" t="s">
        <v>41</v>
      </c>
      <c r="N19" s="9" t="s">
        <v>20</v>
      </c>
      <c r="O19" s="7" t="s">
        <v>88</v>
      </c>
      <c r="P19" s="7" t="s">
        <v>20</v>
      </c>
      <c r="Q19" s="7"/>
      <c r="R19" s="7" t="str" cm="1">
        <f t="array" ref="R19">IF(AND(Q19="",P19&lt;&gt;""),N19,_xlfn.SWITCH(IF(Q19&lt;&gt;"",Q19,O19)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Centers",IF(Q19&lt;&gt;"",Q19,O19)))</f>
        <v>Kundenberater/in</v>
      </c>
      <c r="S19" s="7" t="str">
        <f>IF(N19&lt;&gt;R19,"x","")</f>
        <v>x</v>
      </c>
    </row>
    <row r="20" spans="1:19" hidden="1" x14ac:dyDescent="0.25">
      <c r="A20" s="7" t="s">
        <v>116</v>
      </c>
      <c r="B20" s="7" t="s">
        <v>20</v>
      </c>
      <c r="C20" s="7" t="s">
        <v>21</v>
      </c>
      <c r="D20" s="7" t="s">
        <v>22</v>
      </c>
      <c r="E20" s="7" t="s">
        <v>20</v>
      </c>
      <c r="F20" s="7" t="s">
        <v>20</v>
      </c>
      <c r="G20" s="7" t="s">
        <v>23</v>
      </c>
      <c r="H20" s="7" t="s">
        <v>20</v>
      </c>
      <c r="I20" s="8" t="s">
        <v>117</v>
      </c>
      <c r="J20" s="7" t="s">
        <v>118</v>
      </c>
      <c r="K20" s="7" t="s">
        <v>119</v>
      </c>
      <c r="L20" s="7" t="s">
        <v>40</v>
      </c>
      <c r="M20" s="7" t="s">
        <v>41</v>
      </c>
      <c r="N20" s="9" t="s">
        <v>75</v>
      </c>
      <c r="O20" s="7" t="s">
        <v>120</v>
      </c>
      <c r="P20" s="7" t="s">
        <v>20</v>
      </c>
      <c r="Q20" s="7"/>
      <c r="R20" s="7" t="str" cm="1">
        <f t="array" ref="R20">IF(AND(Q20="",P20&lt;&gt;""),N20,_xlfn.SWITCH(IF(Q20&lt;&gt;"",Q20,O20)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Centers",IF(Q20&lt;&gt;"",Q20,O20)))</f>
        <v>Kundenberater/in</v>
      </c>
      <c r="S20" s="7" t="str">
        <f>IF(N20&lt;&gt;R20,"x","")</f>
        <v>x</v>
      </c>
    </row>
    <row r="21" spans="1:19" hidden="1" x14ac:dyDescent="0.25">
      <c r="A21" s="7" t="s">
        <v>121</v>
      </c>
      <c r="B21" s="7" t="s">
        <v>20</v>
      </c>
      <c r="C21" s="7" t="s">
        <v>21</v>
      </c>
      <c r="D21" s="7" t="s">
        <v>22</v>
      </c>
      <c r="E21" s="7" t="s">
        <v>20</v>
      </c>
      <c r="F21" s="7" t="s">
        <v>20</v>
      </c>
      <c r="G21" s="7" t="s">
        <v>23</v>
      </c>
      <c r="H21" s="7" t="s">
        <v>20</v>
      </c>
      <c r="I21" s="8" t="s">
        <v>122</v>
      </c>
      <c r="J21" s="7" t="s">
        <v>123</v>
      </c>
      <c r="K21" s="8" t="s">
        <v>63</v>
      </c>
      <c r="L21" s="7" t="s">
        <v>124</v>
      </c>
      <c r="M21" s="7" t="s">
        <v>125</v>
      </c>
      <c r="N21" s="9" t="s">
        <v>126</v>
      </c>
      <c r="O21" s="7" t="s">
        <v>67</v>
      </c>
      <c r="P21" s="7" t="s">
        <v>20</v>
      </c>
      <c r="Q21" s="7"/>
      <c r="R21" s="7" t="str" cm="1">
        <f t="array" ref="R21">IF(AND(Q21="",P21&lt;&gt;""),N21,_xlfn.SWITCH(IF(Q21&lt;&gt;"",Q21,O21)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Centers",IF(Q21&lt;&gt;"",Q21,O21)))</f>
        <v>Leiter/in des Service Centers</v>
      </c>
      <c r="S21" s="7" t="str">
        <f>IF(N21&lt;&gt;R21,"x","")</f>
        <v>x</v>
      </c>
    </row>
    <row r="22" spans="1:19" hidden="1" x14ac:dyDescent="0.25">
      <c r="A22" s="7" t="s">
        <v>127</v>
      </c>
      <c r="B22" s="7" t="s">
        <v>20</v>
      </c>
      <c r="C22" s="7" t="s">
        <v>21</v>
      </c>
      <c r="D22" s="7" t="s">
        <v>22</v>
      </c>
      <c r="E22" s="7" t="s">
        <v>20</v>
      </c>
      <c r="F22" s="7" t="s">
        <v>20</v>
      </c>
      <c r="G22" s="7" t="s">
        <v>23</v>
      </c>
      <c r="H22" s="7" t="s">
        <v>20</v>
      </c>
      <c r="I22" s="8" t="s">
        <v>128</v>
      </c>
      <c r="J22" s="7" t="s">
        <v>129</v>
      </c>
      <c r="K22" s="7" t="s">
        <v>130</v>
      </c>
      <c r="L22" s="7" t="s">
        <v>27</v>
      </c>
      <c r="M22" s="7" t="s">
        <v>28</v>
      </c>
      <c r="N22" s="9" t="s">
        <v>29</v>
      </c>
      <c r="O22" s="7" t="s">
        <v>54</v>
      </c>
      <c r="P22" s="7" t="s">
        <v>20</v>
      </c>
      <c r="Q22" s="7"/>
      <c r="R22" s="7" t="str" cm="1">
        <f t="array" ref="R22">IF(AND(Q22="",P22&lt;&gt;""),N22,_xlfn.SWITCH(IF(Q22&lt;&gt;"",Q22,O22)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Centers",IF(Q22&lt;&gt;"",Q22,O22)))</f>
        <v>Agenturleiter/in</v>
      </c>
      <c r="S22" s="7" t="str">
        <f>IF(N22&lt;&gt;R22,"x","")</f>
        <v>x</v>
      </c>
    </row>
    <row r="23" spans="1:19" hidden="1" x14ac:dyDescent="0.25">
      <c r="A23" s="7" t="s">
        <v>131</v>
      </c>
      <c r="B23" s="7" t="s">
        <v>20</v>
      </c>
      <c r="C23" s="7" t="s">
        <v>21</v>
      </c>
      <c r="D23" s="7" t="s">
        <v>22</v>
      </c>
      <c r="E23" s="7" t="s">
        <v>20</v>
      </c>
      <c r="F23" s="7" t="s">
        <v>20</v>
      </c>
      <c r="G23" s="7" t="s">
        <v>23</v>
      </c>
      <c r="H23" s="7" t="s">
        <v>20</v>
      </c>
      <c r="I23" s="8" t="s">
        <v>132</v>
      </c>
      <c r="J23" s="7" t="s">
        <v>133</v>
      </c>
      <c r="K23" s="8" t="s">
        <v>63</v>
      </c>
      <c r="L23" s="7" t="s">
        <v>64</v>
      </c>
      <c r="M23" s="7" t="s">
        <v>65</v>
      </c>
      <c r="N23" s="9" t="s">
        <v>59</v>
      </c>
      <c r="O23" s="7" t="s">
        <v>67</v>
      </c>
      <c r="P23" s="7" t="s">
        <v>20</v>
      </c>
      <c r="Q23" s="7"/>
      <c r="R23" s="7" t="str" cm="1">
        <f t="array" ref="R23">IF(AND(Q23="",P23&lt;&gt;""),N23,_xlfn.SWITCH(IF(Q23&lt;&gt;"",Q23,O23)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Centers",IF(Q23&lt;&gt;"",Q23,O23)))</f>
        <v>Leiter/in des Service Centers</v>
      </c>
      <c r="S23" s="7" t="str">
        <f>IF(N23&lt;&gt;R23,"x","")</f>
        <v/>
      </c>
    </row>
    <row r="24" spans="1:19" hidden="1" x14ac:dyDescent="0.25">
      <c r="A24" s="7" t="s">
        <v>134</v>
      </c>
      <c r="B24" s="7" t="s">
        <v>20</v>
      </c>
      <c r="C24" s="7" t="s">
        <v>21</v>
      </c>
      <c r="D24" s="7" t="s">
        <v>22</v>
      </c>
      <c r="E24" s="7" t="s">
        <v>20</v>
      </c>
      <c r="F24" s="7" t="s">
        <v>20</v>
      </c>
      <c r="G24" s="7" t="s">
        <v>23</v>
      </c>
      <c r="H24" s="7" t="s">
        <v>20</v>
      </c>
      <c r="I24" s="8" t="s">
        <v>135</v>
      </c>
      <c r="J24" s="7" t="s">
        <v>136</v>
      </c>
      <c r="K24" s="8" t="s">
        <v>63</v>
      </c>
      <c r="L24" s="7" t="s">
        <v>27</v>
      </c>
      <c r="M24" s="7" t="s">
        <v>28</v>
      </c>
      <c r="N24" s="9" t="s">
        <v>29</v>
      </c>
      <c r="O24" s="7" t="s">
        <v>30</v>
      </c>
      <c r="P24" s="7" t="s">
        <v>20</v>
      </c>
      <c r="Q24" s="7"/>
      <c r="R24" s="7" t="str" cm="1">
        <f t="array" ref="R24">IF(AND(Q24="",P24&lt;&gt;""),N24,_xlfn.SWITCH(IF(Q24&lt;&gt;"",Q24,O24)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Centers",IF(Q24&lt;&gt;"",Q24,O24)))</f>
        <v>Agenturleiter/in</v>
      </c>
      <c r="S24" s="7" t="str">
        <f>IF(N24&lt;&gt;R24,"x","")</f>
        <v>x</v>
      </c>
    </row>
    <row r="25" spans="1:19" hidden="1" x14ac:dyDescent="0.25">
      <c r="A25" s="7" t="s">
        <v>137</v>
      </c>
      <c r="B25" s="7" t="s">
        <v>20</v>
      </c>
      <c r="C25" s="7" t="s">
        <v>21</v>
      </c>
      <c r="D25" s="7" t="s">
        <v>22</v>
      </c>
      <c r="E25" s="7" t="s">
        <v>20</v>
      </c>
      <c r="F25" s="7" t="s">
        <v>20</v>
      </c>
      <c r="G25" s="7" t="s">
        <v>23</v>
      </c>
      <c r="H25" s="7" t="s">
        <v>20</v>
      </c>
      <c r="I25" s="8" t="s">
        <v>138</v>
      </c>
      <c r="J25" s="7" t="s">
        <v>139</v>
      </c>
      <c r="K25" s="7" t="s">
        <v>140</v>
      </c>
      <c r="L25" s="7" t="s">
        <v>27</v>
      </c>
      <c r="M25" s="7" t="s">
        <v>28</v>
      </c>
      <c r="N25" s="9" t="s">
        <v>66</v>
      </c>
      <c r="O25" s="7" t="s">
        <v>54</v>
      </c>
      <c r="P25" s="7" t="s">
        <v>20</v>
      </c>
      <c r="Q25" s="7"/>
      <c r="R25" s="7" t="str" cm="1">
        <f t="array" ref="R25">IF(AND(Q25="",P25&lt;&gt;""),N25,_xlfn.SWITCH(IF(Q25&lt;&gt;"",Q25,O25)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Centers",IF(Q25&lt;&gt;"",Q25,O25)))</f>
        <v>Agenturleiter/in</v>
      </c>
      <c r="S25" s="7" t="str">
        <f>IF(N25&lt;&gt;R25,"x","")</f>
        <v>x</v>
      </c>
    </row>
    <row r="26" spans="1:19" x14ac:dyDescent="0.25">
      <c r="A26" s="7" t="s">
        <v>141</v>
      </c>
      <c r="B26" s="7" t="s">
        <v>20</v>
      </c>
      <c r="C26" s="7" t="s">
        <v>21</v>
      </c>
      <c r="D26" s="7" t="s">
        <v>22</v>
      </c>
      <c r="E26" s="7" t="s">
        <v>20</v>
      </c>
      <c r="F26" s="7" t="s">
        <v>20</v>
      </c>
      <c r="G26" s="7" t="s">
        <v>23</v>
      </c>
      <c r="H26" s="7" t="s">
        <v>20</v>
      </c>
      <c r="I26" s="8" t="s">
        <v>142</v>
      </c>
      <c r="J26" s="7" t="s">
        <v>143</v>
      </c>
      <c r="K26" s="7" t="s">
        <v>144</v>
      </c>
      <c r="L26" s="7" t="s">
        <v>27</v>
      </c>
      <c r="M26" s="7" t="s">
        <v>28</v>
      </c>
      <c r="N26" s="9" t="s">
        <v>93</v>
      </c>
      <c r="O26" s="7" t="s">
        <v>54</v>
      </c>
      <c r="P26" s="7" t="s">
        <v>49</v>
      </c>
      <c r="Q26" s="9" t="s">
        <v>93</v>
      </c>
      <c r="R26" s="7" t="str" cm="1">
        <f t="array" ref="R26">IF(AND(Q26="",P26&lt;&gt;""),N26,_xlfn.SWITCH(IF(Q26&lt;&gt;"",Q26,O26)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Centers",IF(Q26&lt;&gt;"",Q26,O26)))</f>
        <v>Leiter/in einer Hauptgeschäftsstelle</v>
      </c>
      <c r="S26" s="7" t="str">
        <f>IF(N26&lt;&gt;R26,"x","")</f>
        <v/>
      </c>
    </row>
    <row r="27" spans="1:19" hidden="1" x14ac:dyDescent="0.25">
      <c r="A27" s="7" t="s">
        <v>145</v>
      </c>
      <c r="B27" s="7" t="s">
        <v>20</v>
      </c>
      <c r="C27" s="7" t="s">
        <v>21</v>
      </c>
      <c r="D27" s="7" t="s">
        <v>22</v>
      </c>
      <c r="E27" s="7" t="s">
        <v>20</v>
      </c>
      <c r="F27" s="7" t="s">
        <v>20</v>
      </c>
      <c r="G27" s="7" t="s">
        <v>23</v>
      </c>
      <c r="H27" s="7" t="s">
        <v>20</v>
      </c>
      <c r="I27" s="8" t="s">
        <v>146</v>
      </c>
      <c r="J27" s="7" t="s">
        <v>147</v>
      </c>
      <c r="K27" s="7" t="s">
        <v>148</v>
      </c>
      <c r="L27" s="7" t="s">
        <v>40</v>
      </c>
      <c r="M27" s="7" t="s">
        <v>41</v>
      </c>
      <c r="N27" s="9" t="s">
        <v>149</v>
      </c>
      <c r="O27" s="7" t="s">
        <v>48</v>
      </c>
      <c r="P27" s="7" t="s">
        <v>49</v>
      </c>
      <c r="Q27" s="7"/>
      <c r="R27" s="7" t="str" cm="1">
        <f t="array" ref="R27">IF(AND(Q27="",P27&lt;&gt;""),N27,_xlfn.SWITCH(IF(Q27&lt;&gt;"",Q27,O27)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Centers",IF(Q27&lt;&gt;"",Q27,O27)))</f>
        <v>Generalagent</v>
      </c>
      <c r="S27" s="7" t="str">
        <f>IF(N27&lt;&gt;R27,"x","")</f>
        <v/>
      </c>
    </row>
    <row r="28" spans="1:19" hidden="1" x14ac:dyDescent="0.25">
      <c r="A28" s="7" t="s">
        <v>150</v>
      </c>
      <c r="B28" s="7" t="s">
        <v>20</v>
      </c>
      <c r="C28" s="7" t="s">
        <v>21</v>
      </c>
      <c r="D28" s="7" t="s">
        <v>22</v>
      </c>
      <c r="E28" s="7" t="s">
        <v>20</v>
      </c>
      <c r="F28" s="7" t="s">
        <v>20</v>
      </c>
      <c r="G28" s="7" t="s">
        <v>23</v>
      </c>
      <c r="H28" s="7" t="s">
        <v>20</v>
      </c>
      <c r="I28" s="8" t="s">
        <v>151</v>
      </c>
      <c r="J28" s="7" t="s">
        <v>152</v>
      </c>
      <c r="K28" s="7" t="s">
        <v>153</v>
      </c>
      <c r="L28" s="7" t="s">
        <v>64</v>
      </c>
      <c r="M28" s="7" t="s">
        <v>65</v>
      </c>
      <c r="N28" s="9" t="s">
        <v>59</v>
      </c>
      <c r="O28" s="7" t="s">
        <v>67</v>
      </c>
      <c r="P28" s="7" t="s">
        <v>20</v>
      </c>
      <c r="Q28" s="7"/>
      <c r="R28" s="7" t="str" cm="1">
        <f t="array" ref="R28">IF(AND(Q28="",P28&lt;&gt;""),N28,_xlfn.SWITCH(IF(Q28&lt;&gt;"",Q28,O28)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Centers",IF(Q28&lt;&gt;"",Q28,O28)))</f>
        <v>Leiter/in des Service Centers</v>
      </c>
      <c r="S28" s="7" t="str">
        <f>IF(N28&lt;&gt;R28,"x","")</f>
        <v/>
      </c>
    </row>
    <row r="29" spans="1:19" hidden="1" x14ac:dyDescent="0.25">
      <c r="A29" s="7" t="s">
        <v>154</v>
      </c>
      <c r="B29" s="7" t="s">
        <v>20</v>
      </c>
      <c r="C29" s="7" t="s">
        <v>21</v>
      </c>
      <c r="D29" s="7" t="s">
        <v>22</v>
      </c>
      <c r="E29" s="7" t="s">
        <v>20</v>
      </c>
      <c r="F29" s="7" t="s">
        <v>20</v>
      </c>
      <c r="G29" s="7" t="s">
        <v>23</v>
      </c>
      <c r="H29" s="7" t="s">
        <v>20</v>
      </c>
      <c r="I29" s="8" t="s">
        <v>155</v>
      </c>
      <c r="J29" s="7" t="s">
        <v>156</v>
      </c>
      <c r="K29" s="7" t="s">
        <v>157</v>
      </c>
      <c r="L29" s="7" t="s">
        <v>40</v>
      </c>
      <c r="M29" s="7" t="s">
        <v>41</v>
      </c>
      <c r="N29" s="9" t="s">
        <v>75</v>
      </c>
      <c r="O29" s="7" t="s">
        <v>48</v>
      </c>
      <c r="P29" s="7" t="s">
        <v>20</v>
      </c>
      <c r="Q29" s="7"/>
      <c r="R29" s="7" t="str" cm="1">
        <f t="array" ref="R29">IF(AND(Q29="",P29&lt;&gt;""),N29,_xlfn.SWITCH(IF(Q29&lt;&gt;"",Q29,O29)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Centers",IF(Q29&lt;&gt;"",Q29,O29)))</f>
        <v>Repräsentant/in</v>
      </c>
      <c r="S29" s="7" t="str">
        <f>IF(N29&lt;&gt;R29,"x","")</f>
        <v>x</v>
      </c>
    </row>
    <row r="30" spans="1:19" hidden="1" x14ac:dyDescent="0.25">
      <c r="A30" s="7" t="s">
        <v>158</v>
      </c>
      <c r="B30" s="7" t="s">
        <v>20</v>
      </c>
      <c r="C30" s="7" t="s">
        <v>21</v>
      </c>
      <c r="D30" s="7" t="s">
        <v>22</v>
      </c>
      <c r="E30" s="7" t="s">
        <v>20</v>
      </c>
      <c r="F30" s="7" t="s">
        <v>20</v>
      </c>
      <c r="G30" s="7" t="s">
        <v>23</v>
      </c>
      <c r="H30" s="7" t="s">
        <v>20</v>
      </c>
      <c r="I30" s="8" t="s">
        <v>159</v>
      </c>
      <c r="J30" s="7" t="s">
        <v>160</v>
      </c>
      <c r="K30" s="7" t="s">
        <v>161</v>
      </c>
      <c r="L30" s="7" t="s">
        <v>27</v>
      </c>
      <c r="M30" s="7" t="s">
        <v>28</v>
      </c>
      <c r="N30" s="9" t="s">
        <v>111</v>
      </c>
      <c r="O30" s="7" t="s">
        <v>30</v>
      </c>
      <c r="P30" s="7" t="s">
        <v>20</v>
      </c>
      <c r="Q30" s="7"/>
      <c r="R30" s="7" t="str" cm="1">
        <f t="array" ref="R30">IF(AND(Q30="",P30&lt;&gt;""),N30,_xlfn.SWITCH(IF(Q30&lt;&gt;"",Q30,O30)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Centers",IF(Q30&lt;&gt;"",Q30,O30)))</f>
        <v>Agenturleiter/in</v>
      </c>
      <c r="S30" s="7" t="str">
        <f>IF(N30&lt;&gt;R30,"x","")</f>
        <v>x</v>
      </c>
    </row>
    <row r="31" spans="1:19" hidden="1" x14ac:dyDescent="0.25">
      <c r="A31" s="7" t="s">
        <v>162</v>
      </c>
      <c r="B31" s="7" t="s">
        <v>20</v>
      </c>
      <c r="C31" s="7" t="s">
        <v>21</v>
      </c>
      <c r="D31" s="7" t="s">
        <v>22</v>
      </c>
      <c r="E31" s="7" t="s">
        <v>20</v>
      </c>
      <c r="F31" s="7" t="s">
        <v>20</v>
      </c>
      <c r="G31" s="7" t="s">
        <v>23</v>
      </c>
      <c r="H31" s="7" t="s">
        <v>20</v>
      </c>
      <c r="I31" s="8" t="s">
        <v>163</v>
      </c>
      <c r="J31" s="7" t="s">
        <v>164</v>
      </c>
      <c r="K31" s="7" t="s">
        <v>165</v>
      </c>
      <c r="L31" s="7" t="s">
        <v>40</v>
      </c>
      <c r="M31" s="7" t="s">
        <v>41</v>
      </c>
      <c r="N31" s="9" t="s">
        <v>75</v>
      </c>
      <c r="O31" s="7" t="s">
        <v>48</v>
      </c>
      <c r="P31" s="7" t="s">
        <v>20</v>
      </c>
      <c r="Q31" s="7"/>
      <c r="R31" s="7" t="str" cm="1">
        <f t="array" ref="R31">IF(AND(Q31="",P31&lt;&gt;""),N31,_xlfn.SWITCH(IF(Q31&lt;&gt;"",Q31,O31)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Centers",IF(Q31&lt;&gt;"",Q31,O31)))</f>
        <v>Repräsentant/in</v>
      </c>
      <c r="S31" s="7" t="str">
        <f>IF(N31&lt;&gt;R31,"x","")</f>
        <v>x</v>
      </c>
    </row>
    <row r="32" spans="1:19" hidden="1" x14ac:dyDescent="0.25">
      <c r="A32" s="7" t="s">
        <v>166</v>
      </c>
      <c r="B32" s="7" t="s">
        <v>20</v>
      </c>
      <c r="C32" s="7" t="s">
        <v>21</v>
      </c>
      <c r="D32" s="7" t="s">
        <v>22</v>
      </c>
      <c r="E32" s="7" t="s">
        <v>20</v>
      </c>
      <c r="F32" s="7" t="s">
        <v>20</v>
      </c>
      <c r="G32" s="7" t="s">
        <v>23</v>
      </c>
      <c r="H32" s="7" t="s">
        <v>20</v>
      </c>
      <c r="I32" s="8" t="s">
        <v>167</v>
      </c>
      <c r="J32" s="7" t="s">
        <v>168</v>
      </c>
      <c r="K32" s="7" t="s">
        <v>169</v>
      </c>
      <c r="L32" s="7" t="s">
        <v>40</v>
      </c>
      <c r="M32" s="7" t="s">
        <v>41</v>
      </c>
      <c r="N32" s="9" t="s">
        <v>75</v>
      </c>
      <c r="O32" s="7" t="s">
        <v>88</v>
      </c>
      <c r="P32" s="7" t="s">
        <v>20</v>
      </c>
      <c r="Q32" s="7"/>
      <c r="R32" s="7" t="str" cm="1">
        <f t="array" ref="R32">IF(AND(Q32="",P32&lt;&gt;""),N32,_xlfn.SWITCH(IF(Q32&lt;&gt;"",Q32,O32)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Centers",IF(Q32&lt;&gt;"",Q32,O32)))</f>
        <v>Kundenberater/in</v>
      </c>
      <c r="S32" s="7" t="str">
        <f>IF(N32&lt;&gt;R32,"x","")</f>
        <v>x</v>
      </c>
    </row>
    <row r="33" spans="1:19" hidden="1" x14ac:dyDescent="0.25">
      <c r="A33" s="7" t="s">
        <v>170</v>
      </c>
      <c r="B33" s="7" t="s">
        <v>20</v>
      </c>
      <c r="C33" s="7" t="s">
        <v>21</v>
      </c>
      <c r="D33" s="7" t="s">
        <v>22</v>
      </c>
      <c r="E33" s="7" t="s">
        <v>20</v>
      </c>
      <c r="F33" s="7" t="s">
        <v>20</v>
      </c>
      <c r="G33" s="7" t="s">
        <v>23</v>
      </c>
      <c r="H33" s="7" t="s">
        <v>20</v>
      </c>
      <c r="I33" s="8" t="s">
        <v>155</v>
      </c>
      <c r="J33" s="7" t="s">
        <v>171</v>
      </c>
      <c r="K33" s="7" t="s">
        <v>172</v>
      </c>
      <c r="L33" s="7" t="s">
        <v>40</v>
      </c>
      <c r="M33" s="7" t="s">
        <v>41</v>
      </c>
      <c r="N33" s="9" t="s">
        <v>75</v>
      </c>
      <c r="O33" s="7" t="s">
        <v>88</v>
      </c>
      <c r="P33" s="7" t="s">
        <v>20</v>
      </c>
      <c r="Q33" s="7"/>
      <c r="R33" s="7" t="str" cm="1">
        <f t="array" ref="R33">IF(AND(Q33="",P33&lt;&gt;""),N33,_xlfn.SWITCH(IF(Q33&lt;&gt;"",Q33,O33)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Centers",IF(Q33&lt;&gt;"",Q33,O33)))</f>
        <v>Kundenberater/in</v>
      </c>
      <c r="S33" s="7" t="str">
        <f>IF(N33&lt;&gt;R33,"x","")</f>
        <v>x</v>
      </c>
    </row>
    <row r="34" spans="1:19" hidden="1" x14ac:dyDescent="0.25">
      <c r="A34" s="7" t="s">
        <v>173</v>
      </c>
      <c r="B34" s="7" t="s">
        <v>20</v>
      </c>
      <c r="C34" s="7" t="s">
        <v>21</v>
      </c>
      <c r="D34" s="7" t="s">
        <v>22</v>
      </c>
      <c r="E34" s="7" t="s">
        <v>20</v>
      </c>
      <c r="F34" s="7" t="s">
        <v>20</v>
      </c>
      <c r="G34" s="7" t="s">
        <v>23</v>
      </c>
      <c r="H34" s="7" t="s">
        <v>20</v>
      </c>
      <c r="I34" s="8" t="s">
        <v>174</v>
      </c>
      <c r="J34" s="7" t="s">
        <v>175</v>
      </c>
      <c r="K34" s="7" t="s">
        <v>176</v>
      </c>
      <c r="L34" s="7" t="s">
        <v>40</v>
      </c>
      <c r="M34" s="7" t="s">
        <v>41</v>
      </c>
      <c r="N34" s="9" t="s">
        <v>75</v>
      </c>
      <c r="O34" s="7" t="s">
        <v>88</v>
      </c>
      <c r="P34" s="7" t="s">
        <v>20</v>
      </c>
      <c r="Q34" s="7"/>
      <c r="R34" s="7" t="str" cm="1">
        <f t="array" ref="R34">IF(AND(Q34="",P34&lt;&gt;""),N34,_xlfn.SWITCH(IF(Q34&lt;&gt;"",Q34,O34)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Centers",IF(Q34&lt;&gt;"",Q34,O34)))</f>
        <v>Kundenberater/in</v>
      </c>
      <c r="S34" s="7" t="str">
        <f>IF(N34&lt;&gt;R34,"x","")</f>
        <v>x</v>
      </c>
    </row>
    <row r="35" spans="1:19" hidden="1" x14ac:dyDescent="0.25">
      <c r="A35" s="7" t="s">
        <v>177</v>
      </c>
      <c r="B35" s="7" t="s">
        <v>20</v>
      </c>
      <c r="C35" s="7" t="s">
        <v>21</v>
      </c>
      <c r="D35" s="7" t="s">
        <v>22</v>
      </c>
      <c r="E35" s="7" t="s">
        <v>20</v>
      </c>
      <c r="F35" s="7" t="s">
        <v>20</v>
      </c>
      <c r="G35" s="7" t="s">
        <v>23</v>
      </c>
      <c r="H35" s="7" t="s">
        <v>20</v>
      </c>
      <c r="I35" s="8" t="s">
        <v>178</v>
      </c>
      <c r="J35" s="7" t="s">
        <v>179</v>
      </c>
      <c r="K35" s="7" t="s">
        <v>180</v>
      </c>
      <c r="L35" s="7" t="s">
        <v>40</v>
      </c>
      <c r="M35" s="7" t="s">
        <v>41</v>
      </c>
      <c r="N35" s="9" t="s">
        <v>75</v>
      </c>
      <c r="O35" s="7" t="s">
        <v>88</v>
      </c>
      <c r="P35" s="7" t="s">
        <v>20</v>
      </c>
      <c r="Q35" s="7"/>
      <c r="R35" s="7" t="str" cm="1">
        <f t="array" ref="R35">IF(AND(Q35="",P35&lt;&gt;""),N35,_xlfn.SWITCH(IF(Q35&lt;&gt;"",Q35,O35)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Centers",IF(Q35&lt;&gt;"",Q35,O35)))</f>
        <v>Kundenberater/in</v>
      </c>
      <c r="S35" s="7" t="str">
        <f>IF(N35&lt;&gt;R35,"x","")</f>
        <v>x</v>
      </c>
    </row>
    <row r="36" spans="1:19" hidden="1" x14ac:dyDescent="0.25">
      <c r="A36" s="7" t="s">
        <v>181</v>
      </c>
      <c r="B36" s="7" t="s">
        <v>20</v>
      </c>
      <c r="C36" s="7" t="s">
        <v>21</v>
      </c>
      <c r="D36" s="7" t="s">
        <v>22</v>
      </c>
      <c r="E36" s="7" t="s">
        <v>20</v>
      </c>
      <c r="F36" s="7" t="s">
        <v>20</v>
      </c>
      <c r="G36" s="7" t="s">
        <v>23</v>
      </c>
      <c r="H36" s="7" t="s">
        <v>20</v>
      </c>
      <c r="I36" s="8" t="s">
        <v>182</v>
      </c>
      <c r="J36" s="7" t="s">
        <v>183</v>
      </c>
      <c r="K36" s="7" t="s">
        <v>184</v>
      </c>
      <c r="L36" s="7" t="s">
        <v>27</v>
      </c>
      <c r="M36" s="7" t="s">
        <v>28</v>
      </c>
      <c r="N36" s="9" t="s">
        <v>75</v>
      </c>
      <c r="O36" s="7" t="s">
        <v>30</v>
      </c>
      <c r="P36" s="7" t="s">
        <v>20</v>
      </c>
      <c r="Q36" s="7"/>
      <c r="R36" s="7" t="str" cm="1">
        <f t="array" ref="R36">IF(AND(Q36="",P36&lt;&gt;""),N36,_xlfn.SWITCH(IF(Q36&lt;&gt;"",Q36,O36)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Centers",IF(Q36&lt;&gt;"",Q36,O36)))</f>
        <v>Agenturleiter/in</v>
      </c>
      <c r="S36" s="7" t="str">
        <f>IF(N36&lt;&gt;R36,"x","")</f>
        <v>x</v>
      </c>
    </row>
    <row r="37" spans="1:19" hidden="1" x14ac:dyDescent="0.25">
      <c r="A37" s="7" t="s">
        <v>185</v>
      </c>
      <c r="B37" s="7" t="s">
        <v>20</v>
      </c>
      <c r="C37" s="7" t="s">
        <v>21</v>
      </c>
      <c r="D37" s="7" t="s">
        <v>22</v>
      </c>
      <c r="E37" s="7" t="s">
        <v>20</v>
      </c>
      <c r="F37" s="7" t="s">
        <v>20</v>
      </c>
      <c r="G37" s="7" t="s">
        <v>23</v>
      </c>
      <c r="H37" s="7" t="s">
        <v>20</v>
      </c>
      <c r="I37" s="8" t="s">
        <v>186</v>
      </c>
      <c r="J37" s="7" t="s">
        <v>187</v>
      </c>
      <c r="K37" s="7" t="s">
        <v>188</v>
      </c>
      <c r="L37" s="7" t="s">
        <v>124</v>
      </c>
      <c r="M37" s="7" t="s">
        <v>125</v>
      </c>
      <c r="N37" s="9" t="s">
        <v>75</v>
      </c>
      <c r="O37" s="7" t="s">
        <v>67</v>
      </c>
      <c r="P37" s="7" t="s">
        <v>20</v>
      </c>
      <c r="Q37" s="7"/>
      <c r="R37" s="7" t="str" cm="1">
        <f t="array" ref="R37">IF(AND(Q37="",P37&lt;&gt;""),N37,_xlfn.SWITCH(IF(Q37&lt;&gt;"",Q37,O37)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Centers",IF(Q37&lt;&gt;"",Q37,O37)))</f>
        <v>Leiter/in des Service Centers</v>
      </c>
      <c r="S37" s="7" t="str">
        <f>IF(N37&lt;&gt;R37,"x","")</f>
        <v>x</v>
      </c>
    </row>
    <row r="38" spans="1:19" hidden="1" x14ac:dyDescent="0.25">
      <c r="A38" s="7" t="s">
        <v>189</v>
      </c>
      <c r="B38" s="7" t="s">
        <v>20</v>
      </c>
      <c r="C38" s="7" t="s">
        <v>21</v>
      </c>
      <c r="D38" s="7" t="s">
        <v>22</v>
      </c>
      <c r="E38" s="7" t="s">
        <v>20</v>
      </c>
      <c r="F38" s="7" t="s">
        <v>20</v>
      </c>
      <c r="G38" s="7" t="s">
        <v>23</v>
      </c>
      <c r="H38" s="7" t="s">
        <v>20</v>
      </c>
      <c r="I38" s="8" t="s">
        <v>190</v>
      </c>
      <c r="J38" s="7" t="s">
        <v>191</v>
      </c>
      <c r="K38" s="7" t="s">
        <v>192</v>
      </c>
      <c r="L38" s="7" t="s">
        <v>40</v>
      </c>
      <c r="M38" s="7" t="s">
        <v>41</v>
      </c>
      <c r="N38" s="9" t="s">
        <v>75</v>
      </c>
      <c r="O38" s="7" t="s">
        <v>43</v>
      </c>
      <c r="P38" s="7" t="s">
        <v>20</v>
      </c>
      <c r="Q38" s="7"/>
      <c r="R38" s="7" t="str" cm="1">
        <f t="array" ref="R38">IF(AND(Q38="",P38&lt;&gt;""),N38,_xlfn.SWITCH(IF(Q38&lt;&gt;"",Q38,O38)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Centers",IF(Q38&lt;&gt;"",Q38,O38)))</f>
        <v>Repräsentant/in</v>
      </c>
      <c r="S38" s="7" t="str">
        <f>IF(N38&lt;&gt;R38,"x","")</f>
        <v>x</v>
      </c>
    </row>
    <row r="39" spans="1:19" x14ac:dyDescent="0.25">
      <c r="A39" s="7" t="s">
        <v>193</v>
      </c>
      <c r="B39" s="7" t="s">
        <v>20</v>
      </c>
      <c r="C39" s="7" t="s">
        <v>21</v>
      </c>
      <c r="D39" s="7" t="s">
        <v>22</v>
      </c>
      <c r="E39" s="7" t="s">
        <v>20</v>
      </c>
      <c r="F39" s="7" t="s">
        <v>20</v>
      </c>
      <c r="G39" s="7" t="s">
        <v>23</v>
      </c>
      <c r="H39" s="7" t="s">
        <v>20</v>
      </c>
      <c r="I39" s="8" t="s">
        <v>194</v>
      </c>
      <c r="J39" s="7" t="s">
        <v>194</v>
      </c>
      <c r="K39" s="8" t="s">
        <v>63</v>
      </c>
      <c r="L39" s="7" t="s">
        <v>64</v>
      </c>
      <c r="M39" s="7" t="s">
        <v>65</v>
      </c>
      <c r="N39" s="9" t="s">
        <v>93</v>
      </c>
      <c r="O39" s="7" t="s">
        <v>59</v>
      </c>
      <c r="P39" s="7" t="s">
        <v>20</v>
      </c>
      <c r="Q39" s="7"/>
      <c r="R39" s="7" t="str" cm="1">
        <f t="array" ref="R39">IF(AND(Q39="",P39&lt;&gt;""),N39,_xlfn.SWITCH(IF(Q39&lt;&gt;"",Q39,O39)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Centers",IF(Q39&lt;&gt;"",Q39,O39)))</f>
        <v>Leiter/in des Service Centers</v>
      </c>
      <c r="S39" s="7" t="str">
        <f>IF(N39&lt;&gt;R39,"x","")</f>
        <v>x</v>
      </c>
    </row>
    <row r="40" spans="1:19" hidden="1" x14ac:dyDescent="0.25">
      <c r="A40" s="7" t="s">
        <v>195</v>
      </c>
      <c r="B40" s="7" t="s">
        <v>20</v>
      </c>
      <c r="C40" s="7" t="s">
        <v>21</v>
      </c>
      <c r="D40" s="7" t="s">
        <v>22</v>
      </c>
      <c r="E40" s="7" t="s">
        <v>20</v>
      </c>
      <c r="F40" s="7" t="s">
        <v>20</v>
      </c>
      <c r="G40" s="7" t="s">
        <v>23</v>
      </c>
      <c r="H40" s="7" t="s">
        <v>20</v>
      </c>
      <c r="I40" s="8" t="s">
        <v>196</v>
      </c>
      <c r="J40" s="7" t="s">
        <v>196</v>
      </c>
      <c r="K40" s="7" t="s">
        <v>197</v>
      </c>
      <c r="L40" s="7" t="s">
        <v>64</v>
      </c>
      <c r="M40" s="7" t="s">
        <v>65</v>
      </c>
      <c r="N40" s="9" t="s">
        <v>59</v>
      </c>
      <c r="O40" s="7" t="s">
        <v>59</v>
      </c>
      <c r="P40" s="7" t="s">
        <v>20</v>
      </c>
      <c r="Q40" s="7"/>
      <c r="R40" s="7" t="str" cm="1">
        <f t="array" ref="R40">IF(AND(Q40="",P40&lt;&gt;""),N40,_xlfn.SWITCH(IF(Q40&lt;&gt;"",Q40,O40)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Centers",IF(Q40&lt;&gt;"",Q40,O40)))</f>
        <v>Leiter/in des Service Centers</v>
      </c>
      <c r="S40" s="7" t="str">
        <f>IF(N40&lt;&gt;R40,"x","")</f>
        <v/>
      </c>
    </row>
    <row r="41" spans="1:19" hidden="1" x14ac:dyDescent="0.25">
      <c r="A41" s="7" t="s">
        <v>198</v>
      </c>
      <c r="B41" s="7" t="s">
        <v>20</v>
      </c>
      <c r="C41" s="7" t="s">
        <v>21</v>
      </c>
      <c r="D41" s="7" t="s">
        <v>22</v>
      </c>
      <c r="E41" s="7" t="s">
        <v>20</v>
      </c>
      <c r="F41" s="7" t="s">
        <v>20</v>
      </c>
      <c r="G41" s="7" t="s">
        <v>23</v>
      </c>
      <c r="H41" s="7" t="s">
        <v>20</v>
      </c>
      <c r="I41" s="8" t="s">
        <v>199</v>
      </c>
      <c r="J41" s="7" t="s">
        <v>200</v>
      </c>
      <c r="K41" s="7" t="s">
        <v>201</v>
      </c>
      <c r="L41" s="7" t="s">
        <v>40</v>
      </c>
      <c r="M41" s="7" t="s">
        <v>41</v>
      </c>
      <c r="N41" s="9" t="s">
        <v>75</v>
      </c>
      <c r="O41" s="7" t="s">
        <v>120</v>
      </c>
      <c r="P41" s="7" t="s">
        <v>20</v>
      </c>
      <c r="Q41" s="7"/>
      <c r="R41" s="7" t="str" cm="1">
        <f t="array" ref="R41">IF(AND(Q41="",P41&lt;&gt;""),N41,_xlfn.SWITCH(IF(Q41&lt;&gt;"",Q41,O41)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Centers",IF(Q41&lt;&gt;"",Q41,O41)))</f>
        <v>Kundenberater/in</v>
      </c>
      <c r="S41" s="7" t="str">
        <f>IF(N41&lt;&gt;R41,"x","")</f>
        <v>x</v>
      </c>
    </row>
    <row r="42" spans="1:19" hidden="1" x14ac:dyDescent="0.25">
      <c r="A42" s="7" t="s">
        <v>202</v>
      </c>
      <c r="B42" s="7" t="s">
        <v>20</v>
      </c>
      <c r="C42" s="7" t="s">
        <v>21</v>
      </c>
      <c r="D42" s="7" t="s">
        <v>22</v>
      </c>
      <c r="E42" s="7" t="s">
        <v>20</v>
      </c>
      <c r="F42" s="7" t="s">
        <v>20</v>
      </c>
      <c r="G42" s="7" t="s">
        <v>23</v>
      </c>
      <c r="H42" s="7" t="s">
        <v>20</v>
      </c>
      <c r="I42" s="8" t="s">
        <v>203</v>
      </c>
      <c r="J42" s="7" t="s">
        <v>204</v>
      </c>
      <c r="K42" s="7" t="s">
        <v>205</v>
      </c>
      <c r="L42" s="7" t="s">
        <v>40</v>
      </c>
      <c r="M42" s="7" t="s">
        <v>41</v>
      </c>
      <c r="N42" s="9" t="s">
        <v>75</v>
      </c>
      <c r="O42" s="7" t="s">
        <v>120</v>
      </c>
      <c r="P42" s="7" t="s">
        <v>20</v>
      </c>
      <c r="Q42" s="7"/>
      <c r="R42" s="7" t="str" cm="1">
        <f t="array" ref="R42">IF(AND(Q42="",P42&lt;&gt;""),N42,_xlfn.SWITCH(IF(Q42&lt;&gt;"",Q42,O42)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Centers",IF(Q42&lt;&gt;"",Q42,O42)))</f>
        <v>Kundenberater/in</v>
      </c>
      <c r="S42" s="7" t="str">
        <f>IF(N42&lt;&gt;R42,"x","")</f>
        <v>x</v>
      </c>
    </row>
    <row r="43" spans="1:19" hidden="1" x14ac:dyDescent="0.25">
      <c r="A43" s="7" t="s">
        <v>206</v>
      </c>
      <c r="B43" s="7" t="s">
        <v>20</v>
      </c>
      <c r="C43" s="7" t="s">
        <v>21</v>
      </c>
      <c r="D43" s="7" t="s">
        <v>22</v>
      </c>
      <c r="E43" s="7" t="s">
        <v>20</v>
      </c>
      <c r="F43" s="7" t="s">
        <v>20</v>
      </c>
      <c r="G43" s="7" t="s">
        <v>23</v>
      </c>
      <c r="H43" s="7" t="s">
        <v>20</v>
      </c>
      <c r="I43" s="8" t="s">
        <v>207</v>
      </c>
      <c r="J43" s="7" t="s">
        <v>208</v>
      </c>
      <c r="K43" s="7" t="s">
        <v>209</v>
      </c>
      <c r="L43" s="7" t="s">
        <v>40</v>
      </c>
      <c r="M43" s="7" t="s">
        <v>41</v>
      </c>
      <c r="N43" s="9" t="s">
        <v>75</v>
      </c>
      <c r="O43" s="7" t="s">
        <v>88</v>
      </c>
      <c r="P43" s="7" t="s">
        <v>20</v>
      </c>
      <c r="Q43" s="7"/>
      <c r="R43" s="7" t="str" cm="1">
        <f t="array" ref="R43">IF(AND(Q43="",P43&lt;&gt;""),N43,_xlfn.SWITCH(IF(Q43&lt;&gt;"",Q43,O43)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Centers",IF(Q43&lt;&gt;"",Q43,O43)))</f>
        <v>Kundenberater/in</v>
      </c>
      <c r="S43" s="7" t="str">
        <f>IF(N43&lt;&gt;R43,"x","")</f>
        <v>x</v>
      </c>
    </row>
    <row r="44" spans="1:19" hidden="1" x14ac:dyDescent="0.25">
      <c r="A44" s="7" t="s">
        <v>210</v>
      </c>
      <c r="B44" s="7" t="s">
        <v>20</v>
      </c>
      <c r="C44" s="7" t="s">
        <v>211</v>
      </c>
      <c r="D44" s="7" t="s">
        <v>212</v>
      </c>
      <c r="E44" s="7" t="s">
        <v>20</v>
      </c>
      <c r="F44" s="7" t="s">
        <v>20</v>
      </c>
      <c r="G44" s="7" t="s">
        <v>213</v>
      </c>
      <c r="H44" s="7" t="s">
        <v>20</v>
      </c>
      <c r="I44" s="8" t="s">
        <v>214</v>
      </c>
      <c r="J44" s="7" t="s">
        <v>215</v>
      </c>
      <c r="K44" s="7" t="s">
        <v>216</v>
      </c>
      <c r="L44" s="7" t="s">
        <v>40</v>
      </c>
      <c r="M44" s="7" t="s">
        <v>41</v>
      </c>
      <c r="N44" s="9" t="s">
        <v>66</v>
      </c>
      <c r="O44" s="7" t="s">
        <v>48</v>
      </c>
      <c r="P44" s="7" t="s">
        <v>20</v>
      </c>
      <c r="Q44" s="7"/>
      <c r="R44" s="7" t="str" cm="1">
        <f t="array" ref="R44">IF(AND(Q44="",P44&lt;&gt;""),N44,_xlfn.SWITCH(IF(Q44&lt;&gt;"",Q44,O44)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Centers",IF(Q44&lt;&gt;"",Q44,O44)))</f>
        <v>Repräsentant/in</v>
      </c>
      <c r="S44" s="7" t="str">
        <f>IF(N44&lt;&gt;R44,"x","")</f>
        <v/>
      </c>
    </row>
    <row r="45" spans="1:19" hidden="1" x14ac:dyDescent="0.25">
      <c r="A45" s="7" t="s">
        <v>217</v>
      </c>
      <c r="B45" s="7" t="s">
        <v>20</v>
      </c>
      <c r="C45" s="7" t="s">
        <v>211</v>
      </c>
      <c r="D45" s="7" t="s">
        <v>212</v>
      </c>
      <c r="E45" s="7" t="s">
        <v>20</v>
      </c>
      <c r="F45" s="7" t="s">
        <v>20</v>
      </c>
      <c r="G45" s="7" t="s">
        <v>213</v>
      </c>
      <c r="H45" s="7" t="s">
        <v>20</v>
      </c>
      <c r="I45" s="8" t="s">
        <v>163</v>
      </c>
      <c r="J45" s="7" t="s">
        <v>218</v>
      </c>
      <c r="K45" s="7" t="s">
        <v>219</v>
      </c>
      <c r="L45" s="7" t="s">
        <v>27</v>
      </c>
      <c r="M45" s="7" t="s">
        <v>28</v>
      </c>
      <c r="N45" s="9" t="s">
        <v>66</v>
      </c>
      <c r="O45" s="7" t="s">
        <v>30</v>
      </c>
      <c r="P45" s="7" t="s">
        <v>20</v>
      </c>
      <c r="Q45" s="7"/>
      <c r="R45" s="7" t="str" cm="1">
        <f t="array" ref="R45">IF(AND(Q45="",P45&lt;&gt;""),N45,_xlfn.SWITCH(IF(Q45&lt;&gt;"",Q45,O45)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Centers",IF(Q45&lt;&gt;"",Q45,O45)))</f>
        <v>Agenturleiter/in</v>
      </c>
      <c r="S45" s="7" t="str">
        <f>IF(N45&lt;&gt;R45,"x","")</f>
        <v>x</v>
      </c>
    </row>
    <row r="46" spans="1:19" hidden="1" x14ac:dyDescent="0.25">
      <c r="A46" s="7" t="s">
        <v>220</v>
      </c>
      <c r="B46" s="7" t="s">
        <v>20</v>
      </c>
      <c r="C46" s="7" t="s">
        <v>211</v>
      </c>
      <c r="D46" s="7" t="s">
        <v>212</v>
      </c>
      <c r="E46" s="7" t="s">
        <v>20</v>
      </c>
      <c r="F46" s="7" t="s">
        <v>20</v>
      </c>
      <c r="G46" s="7" t="s">
        <v>213</v>
      </c>
      <c r="H46" s="7" t="s">
        <v>20</v>
      </c>
      <c r="I46" s="8" t="s">
        <v>221</v>
      </c>
      <c r="J46" s="7" t="s">
        <v>222</v>
      </c>
      <c r="K46" s="7" t="s">
        <v>223</v>
      </c>
      <c r="L46" s="7" t="s">
        <v>40</v>
      </c>
      <c r="M46" s="7" t="s">
        <v>41</v>
      </c>
      <c r="N46" s="9" t="s">
        <v>66</v>
      </c>
      <c r="O46" s="7" t="s">
        <v>48</v>
      </c>
      <c r="P46" s="7" t="s">
        <v>20</v>
      </c>
      <c r="Q46" s="7"/>
      <c r="R46" s="7" t="str" cm="1">
        <f t="array" ref="R46">IF(AND(Q46="",P46&lt;&gt;""),N46,_xlfn.SWITCH(IF(Q46&lt;&gt;"",Q46,O46)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Centers",IF(Q46&lt;&gt;"",Q46,O46)))</f>
        <v>Repräsentant/in</v>
      </c>
      <c r="S46" s="7" t="str">
        <f>IF(N46&lt;&gt;R46,"x","")</f>
        <v/>
      </c>
    </row>
    <row r="47" spans="1:19" hidden="1" x14ac:dyDescent="0.25">
      <c r="A47" s="7" t="s">
        <v>224</v>
      </c>
      <c r="B47" s="7" t="s">
        <v>20</v>
      </c>
      <c r="C47" s="7" t="s">
        <v>211</v>
      </c>
      <c r="D47" s="7" t="s">
        <v>212</v>
      </c>
      <c r="E47" s="7" t="s">
        <v>20</v>
      </c>
      <c r="F47" s="7" t="s">
        <v>20</v>
      </c>
      <c r="G47" s="7" t="s">
        <v>213</v>
      </c>
      <c r="H47" s="7" t="s">
        <v>20</v>
      </c>
      <c r="I47" s="8" t="s">
        <v>225</v>
      </c>
      <c r="J47" s="7" t="s">
        <v>226</v>
      </c>
      <c r="K47" s="7" t="s">
        <v>227</v>
      </c>
      <c r="L47" s="7" t="s">
        <v>228</v>
      </c>
      <c r="M47" s="7" t="s">
        <v>229</v>
      </c>
      <c r="N47" s="9" t="s">
        <v>111</v>
      </c>
      <c r="O47" s="7" t="s">
        <v>30</v>
      </c>
      <c r="P47" s="7" t="s">
        <v>20</v>
      </c>
      <c r="Q47" s="7"/>
      <c r="R47" s="7" t="str" cm="1">
        <f t="array" ref="R47">IF(AND(Q47="",P47&lt;&gt;""),N47,_xlfn.SWITCH(IF(Q47&lt;&gt;"",Q47,O47)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Centers",IF(Q47&lt;&gt;"",Q47,O47)))</f>
        <v>Agenturleiter/in</v>
      </c>
      <c r="S47" s="7" t="str">
        <f>IF(N47&lt;&gt;R47,"x","")</f>
        <v>x</v>
      </c>
    </row>
    <row r="48" spans="1:19" hidden="1" x14ac:dyDescent="0.25">
      <c r="A48" s="7" t="s">
        <v>230</v>
      </c>
      <c r="B48" s="7" t="s">
        <v>20</v>
      </c>
      <c r="C48" s="7" t="s">
        <v>211</v>
      </c>
      <c r="D48" s="7" t="s">
        <v>212</v>
      </c>
      <c r="E48" s="7" t="s">
        <v>20</v>
      </c>
      <c r="F48" s="7" t="s">
        <v>20</v>
      </c>
      <c r="G48" s="7" t="s">
        <v>213</v>
      </c>
      <c r="H48" s="7" t="s">
        <v>20</v>
      </c>
      <c r="I48" s="8" t="s">
        <v>231</v>
      </c>
      <c r="J48" s="7" t="s">
        <v>232</v>
      </c>
      <c r="K48" s="7" t="s">
        <v>233</v>
      </c>
      <c r="L48" s="7" t="s">
        <v>40</v>
      </c>
      <c r="M48" s="7" t="s">
        <v>41</v>
      </c>
      <c r="N48" s="9" t="s">
        <v>66</v>
      </c>
      <c r="O48" s="7" t="s">
        <v>48</v>
      </c>
      <c r="P48" s="7" t="s">
        <v>20</v>
      </c>
      <c r="Q48" s="7"/>
      <c r="R48" s="7" t="str" cm="1">
        <f t="array" ref="R48">IF(AND(Q48="",P48&lt;&gt;""),N48,_xlfn.SWITCH(IF(Q48&lt;&gt;"",Q48,O48)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Centers",IF(Q48&lt;&gt;"",Q48,O48)))</f>
        <v>Repräsentant/in</v>
      </c>
      <c r="S48" s="7" t="str">
        <f>IF(N48&lt;&gt;R48,"x","")</f>
        <v/>
      </c>
    </row>
    <row r="49" spans="1:19" hidden="1" x14ac:dyDescent="0.25">
      <c r="A49" s="7" t="s">
        <v>234</v>
      </c>
      <c r="B49" s="7" t="s">
        <v>20</v>
      </c>
      <c r="C49" s="7" t="s">
        <v>211</v>
      </c>
      <c r="D49" s="7" t="s">
        <v>212</v>
      </c>
      <c r="E49" s="7" t="s">
        <v>20</v>
      </c>
      <c r="F49" s="7" t="s">
        <v>20</v>
      </c>
      <c r="G49" s="7" t="s">
        <v>213</v>
      </c>
      <c r="H49" s="7" t="s">
        <v>20</v>
      </c>
      <c r="I49" s="8" t="s">
        <v>235</v>
      </c>
      <c r="J49" s="7" t="s">
        <v>236</v>
      </c>
      <c r="K49" s="7" t="s">
        <v>237</v>
      </c>
      <c r="L49" s="7" t="s">
        <v>228</v>
      </c>
      <c r="M49" s="7" t="s">
        <v>229</v>
      </c>
      <c r="N49" s="9" t="s">
        <v>238</v>
      </c>
      <c r="O49" s="7" t="s">
        <v>30</v>
      </c>
      <c r="P49" s="7" t="s">
        <v>20</v>
      </c>
      <c r="Q49" s="7"/>
      <c r="R49" s="7" t="str" cm="1">
        <f t="array" ref="R49">IF(AND(Q49="",P49&lt;&gt;""),N49,_xlfn.SWITCH(IF(Q49&lt;&gt;"",Q49,O49)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Centers",IF(Q49&lt;&gt;"",Q49,O49)))</f>
        <v>Agenturleiter/in</v>
      </c>
      <c r="S49" s="7" t="str">
        <f>IF(N49&lt;&gt;R49,"x","")</f>
        <v/>
      </c>
    </row>
    <row r="50" spans="1:19" hidden="1" x14ac:dyDescent="0.25">
      <c r="A50" s="7" t="s">
        <v>239</v>
      </c>
      <c r="B50" s="7" t="s">
        <v>20</v>
      </c>
      <c r="C50" s="7" t="s">
        <v>211</v>
      </c>
      <c r="D50" s="7" t="s">
        <v>212</v>
      </c>
      <c r="E50" s="7" t="s">
        <v>20</v>
      </c>
      <c r="F50" s="7" t="s">
        <v>20</v>
      </c>
      <c r="G50" s="7" t="s">
        <v>213</v>
      </c>
      <c r="H50" s="7" t="s">
        <v>20</v>
      </c>
      <c r="I50" s="8" t="s">
        <v>240</v>
      </c>
      <c r="J50" s="7" t="s">
        <v>241</v>
      </c>
      <c r="K50" s="7" t="s">
        <v>242</v>
      </c>
      <c r="L50" s="7" t="s">
        <v>40</v>
      </c>
      <c r="M50" s="7" t="s">
        <v>41</v>
      </c>
      <c r="N50" s="9" t="s">
        <v>75</v>
      </c>
      <c r="O50" s="7" t="s">
        <v>48</v>
      </c>
      <c r="P50" s="7" t="s">
        <v>20</v>
      </c>
      <c r="Q50" s="7"/>
      <c r="R50" s="7" t="str" cm="1">
        <f t="array" ref="R50">IF(AND(Q50="",P50&lt;&gt;""),N50,_xlfn.SWITCH(IF(Q50&lt;&gt;"",Q50,O50)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Centers",IF(Q50&lt;&gt;"",Q50,O50)))</f>
        <v>Repräsentant/in</v>
      </c>
      <c r="S50" s="7" t="str">
        <f>IF(N50&lt;&gt;R50,"x","")</f>
        <v>x</v>
      </c>
    </row>
    <row r="51" spans="1:19" hidden="1" x14ac:dyDescent="0.25">
      <c r="A51" s="7" t="s">
        <v>243</v>
      </c>
      <c r="B51" s="7" t="s">
        <v>20</v>
      </c>
      <c r="C51" s="7" t="s">
        <v>211</v>
      </c>
      <c r="D51" s="7" t="s">
        <v>212</v>
      </c>
      <c r="E51" s="7" t="s">
        <v>20</v>
      </c>
      <c r="F51" s="7" t="s">
        <v>20</v>
      </c>
      <c r="G51" s="7" t="s">
        <v>213</v>
      </c>
      <c r="H51" s="7" t="s">
        <v>20</v>
      </c>
      <c r="I51" s="8" t="s">
        <v>244</v>
      </c>
      <c r="J51" s="7" t="s">
        <v>245</v>
      </c>
      <c r="K51" s="7" t="s">
        <v>246</v>
      </c>
      <c r="L51" s="7" t="s">
        <v>40</v>
      </c>
      <c r="M51" s="7" t="s">
        <v>41</v>
      </c>
      <c r="N51" s="9" t="s">
        <v>75</v>
      </c>
      <c r="O51" s="7" t="s">
        <v>43</v>
      </c>
      <c r="P51" s="7" t="s">
        <v>20</v>
      </c>
      <c r="Q51" s="7"/>
      <c r="R51" s="7" t="str" cm="1">
        <f t="array" ref="R51">IF(AND(Q51="",P51&lt;&gt;""),N51,_xlfn.SWITCH(IF(Q51&lt;&gt;"",Q51,O51)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Centers",IF(Q51&lt;&gt;"",Q51,O51)))</f>
        <v>Repräsentant/in</v>
      </c>
      <c r="S51" s="7" t="str">
        <f>IF(N51&lt;&gt;R51,"x","")</f>
        <v>x</v>
      </c>
    </row>
    <row r="52" spans="1:19" hidden="1" x14ac:dyDescent="0.25">
      <c r="A52" s="7" t="s">
        <v>247</v>
      </c>
      <c r="B52" s="7" t="s">
        <v>20</v>
      </c>
      <c r="C52" s="7" t="s">
        <v>211</v>
      </c>
      <c r="D52" s="7" t="s">
        <v>212</v>
      </c>
      <c r="E52" s="7" t="s">
        <v>20</v>
      </c>
      <c r="F52" s="7" t="s">
        <v>20</v>
      </c>
      <c r="G52" s="7" t="s">
        <v>213</v>
      </c>
      <c r="H52" s="7" t="s">
        <v>20</v>
      </c>
      <c r="I52" s="8" t="s">
        <v>248</v>
      </c>
      <c r="J52" s="7" t="s">
        <v>249</v>
      </c>
      <c r="K52" s="7" t="s">
        <v>250</v>
      </c>
      <c r="L52" s="7" t="s">
        <v>97</v>
      </c>
      <c r="M52" s="7" t="s">
        <v>98</v>
      </c>
      <c r="N52" s="9" t="s">
        <v>75</v>
      </c>
      <c r="O52" s="7" t="s">
        <v>251</v>
      </c>
      <c r="P52" s="7" t="s">
        <v>20</v>
      </c>
      <c r="Q52" s="7"/>
      <c r="R52" s="7" t="str" cm="1">
        <f t="array" ref="R52">IF(AND(Q52="",P52&lt;&gt;""),N52,_xlfn.SWITCH(IF(Q52&lt;&gt;"",Q52,O52)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Centers",IF(Q52&lt;&gt;"",Q52,O52)))</f>
        <v>Hauptagent/in</v>
      </c>
      <c r="S52" s="7" t="str">
        <f>IF(N52&lt;&gt;R52,"x","")</f>
        <v>x</v>
      </c>
    </row>
    <row r="53" spans="1:19" hidden="1" x14ac:dyDescent="0.25">
      <c r="A53" s="7" t="s">
        <v>252</v>
      </c>
      <c r="B53" s="7" t="s">
        <v>20</v>
      </c>
      <c r="C53" s="7" t="s">
        <v>211</v>
      </c>
      <c r="D53" s="7" t="s">
        <v>212</v>
      </c>
      <c r="E53" s="7" t="s">
        <v>20</v>
      </c>
      <c r="F53" s="7" t="s">
        <v>20</v>
      </c>
      <c r="G53" s="7" t="s">
        <v>213</v>
      </c>
      <c r="H53" s="7" t="s">
        <v>20</v>
      </c>
      <c r="I53" s="8" t="s">
        <v>253</v>
      </c>
      <c r="J53" s="7" t="s">
        <v>254</v>
      </c>
      <c r="K53" s="7" t="s">
        <v>255</v>
      </c>
      <c r="L53" s="7" t="s">
        <v>27</v>
      </c>
      <c r="M53" s="7" t="s">
        <v>28</v>
      </c>
      <c r="N53" s="9" t="s">
        <v>75</v>
      </c>
      <c r="O53" s="7" t="s">
        <v>30</v>
      </c>
      <c r="P53" s="7" t="s">
        <v>20</v>
      </c>
      <c r="Q53" s="7"/>
      <c r="R53" s="7" t="str" cm="1">
        <f t="array" ref="R53">IF(AND(Q53="",P53&lt;&gt;""),N53,_xlfn.SWITCH(IF(Q53&lt;&gt;"",Q53,O53)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Centers",IF(Q53&lt;&gt;"",Q53,O53)))</f>
        <v>Agenturleiter/in</v>
      </c>
      <c r="S53" s="7" t="str">
        <f>IF(N53&lt;&gt;R53,"x","")</f>
        <v>x</v>
      </c>
    </row>
    <row r="54" spans="1:19" hidden="1" x14ac:dyDescent="0.25">
      <c r="A54" s="7" t="s">
        <v>256</v>
      </c>
      <c r="B54" s="7" t="s">
        <v>20</v>
      </c>
      <c r="C54" s="7" t="s">
        <v>211</v>
      </c>
      <c r="D54" s="7" t="s">
        <v>212</v>
      </c>
      <c r="E54" s="7" t="s">
        <v>20</v>
      </c>
      <c r="F54" s="7" t="s">
        <v>20</v>
      </c>
      <c r="G54" s="7" t="s">
        <v>213</v>
      </c>
      <c r="H54" s="7" t="s">
        <v>20</v>
      </c>
      <c r="I54" s="8" t="s">
        <v>32</v>
      </c>
      <c r="J54" s="7" t="s">
        <v>257</v>
      </c>
      <c r="K54" s="7" t="s">
        <v>258</v>
      </c>
      <c r="L54" s="7" t="s">
        <v>40</v>
      </c>
      <c r="M54" s="7" t="s">
        <v>41</v>
      </c>
      <c r="N54" s="9" t="s">
        <v>75</v>
      </c>
      <c r="O54" s="7" t="s">
        <v>48</v>
      </c>
      <c r="P54" s="7" t="s">
        <v>20</v>
      </c>
      <c r="Q54" s="7"/>
      <c r="R54" s="7" t="str" cm="1">
        <f t="array" ref="R54">IF(AND(Q54="",P54&lt;&gt;""),N54,_xlfn.SWITCH(IF(Q54&lt;&gt;"",Q54,O54)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Centers",IF(Q54&lt;&gt;"",Q54,O54)))</f>
        <v>Repräsentant/in</v>
      </c>
      <c r="S54" s="7" t="str">
        <f>IF(N54&lt;&gt;R54,"x","")</f>
        <v>x</v>
      </c>
    </row>
    <row r="55" spans="1:19" hidden="1" x14ac:dyDescent="0.25">
      <c r="A55" s="7" t="s">
        <v>259</v>
      </c>
      <c r="B55" s="7" t="s">
        <v>20</v>
      </c>
      <c r="C55" s="7" t="s">
        <v>211</v>
      </c>
      <c r="D55" s="7" t="s">
        <v>212</v>
      </c>
      <c r="E55" s="7" t="s">
        <v>20</v>
      </c>
      <c r="F55" s="7" t="s">
        <v>20</v>
      </c>
      <c r="G55" s="7" t="s">
        <v>213</v>
      </c>
      <c r="H55" s="7" t="s">
        <v>20</v>
      </c>
      <c r="I55" s="8" t="s">
        <v>260</v>
      </c>
      <c r="J55" s="7" t="s">
        <v>163</v>
      </c>
      <c r="K55" s="7" t="s">
        <v>261</v>
      </c>
      <c r="L55" s="7" t="s">
        <v>40</v>
      </c>
      <c r="M55" s="7" t="s">
        <v>41</v>
      </c>
      <c r="N55" s="9" t="s">
        <v>75</v>
      </c>
      <c r="O55" s="7" t="s">
        <v>88</v>
      </c>
      <c r="P55" s="7" t="s">
        <v>20</v>
      </c>
      <c r="Q55" s="7"/>
      <c r="R55" s="7" t="str" cm="1">
        <f t="array" ref="R55">IF(AND(Q55="",P55&lt;&gt;""),N55,_xlfn.SWITCH(IF(Q55&lt;&gt;"",Q55,O55)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Centers",IF(Q55&lt;&gt;"",Q55,O55)))</f>
        <v>Kundenberater/in</v>
      </c>
      <c r="S55" s="7" t="str">
        <f>IF(N55&lt;&gt;R55,"x","")</f>
        <v>x</v>
      </c>
    </row>
    <row r="56" spans="1:19" hidden="1" x14ac:dyDescent="0.25">
      <c r="A56" s="7" t="s">
        <v>262</v>
      </c>
      <c r="B56" s="7" t="s">
        <v>20</v>
      </c>
      <c r="C56" s="7" t="s">
        <v>211</v>
      </c>
      <c r="D56" s="7" t="s">
        <v>212</v>
      </c>
      <c r="E56" s="7" t="s">
        <v>20</v>
      </c>
      <c r="F56" s="7" t="s">
        <v>20</v>
      </c>
      <c r="G56" s="7" t="s">
        <v>213</v>
      </c>
      <c r="H56" s="7" t="s">
        <v>20</v>
      </c>
      <c r="I56" s="8" t="s">
        <v>263</v>
      </c>
      <c r="J56" s="7" t="s">
        <v>264</v>
      </c>
      <c r="K56" s="7" t="s">
        <v>265</v>
      </c>
      <c r="L56" s="7" t="s">
        <v>40</v>
      </c>
      <c r="M56" s="7" t="s">
        <v>41</v>
      </c>
      <c r="N56" s="9" t="s">
        <v>75</v>
      </c>
      <c r="O56" s="7" t="s">
        <v>88</v>
      </c>
      <c r="P56" s="7" t="s">
        <v>20</v>
      </c>
      <c r="Q56" s="7"/>
      <c r="R56" s="7" t="str" cm="1">
        <f t="array" ref="R56">IF(AND(Q56="",P56&lt;&gt;""),N56,_xlfn.SWITCH(IF(Q56&lt;&gt;"",Q56,O56)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Centers",IF(Q56&lt;&gt;"",Q56,O56)))</f>
        <v>Kundenberater/in</v>
      </c>
      <c r="S56" s="7" t="str">
        <f>IF(N56&lt;&gt;R56,"x","")</f>
        <v>x</v>
      </c>
    </row>
    <row r="57" spans="1:19" hidden="1" x14ac:dyDescent="0.25">
      <c r="A57" s="7" t="s">
        <v>266</v>
      </c>
      <c r="B57" s="7" t="s">
        <v>20</v>
      </c>
      <c r="C57" s="7" t="s">
        <v>211</v>
      </c>
      <c r="D57" s="7" t="s">
        <v>212</v>
      </c>
      <c r="E57" s="7" t="s">
        <v>20</v>
      </c>
      <c r="F57" s="7" t="s">
        <v>20</v>
      </c>
      <c r="G57" s="7" t="s">
        <v>213</v>
      </c>
      <c r="H57" s="7" t="s">
        <v>20</v>
      </c>
      <c r="I57" s="8" t="s">
        <v>267</v>
      </c>
      <c r="J57" s="7" t="s">
        <v>268</v>
      </c>
      <c r="K57" s="7" t="s">
        <v>269</v>
      </c>
      <c r="L57" s="7" t="s">
        <v>40</v>
      </c>
      <c r="M57" s="7" t="s">
        <v>41</v>
      </c>
      <c r="N57" s="9" t="s">
        <v>75</v>
      </c>
      <c r="O57" s="7" t="s">
        <v>120</v>
      </c>
      <c r="P57" s="7" t="s">
        <v>20</v>
      </c>
      <c r="Q57" s="7"/>
      <c r="R57" s="7" t="str" cm="1">
        <f t="array" ref="R57">IF(AND(Q57="",P57&lt;&gt;""),N57,_xlfn.SWITCH(IF(Q57&lt;&gt;"",Q57,O57)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Centers",IF(Q57&lt;&gt;"",Q57,O57)))</f>
        <v>Kundenberater/in</v>
      </c>
      <c r="S57" s="7" t="str">
        <f>IF(N57&lt;&gt;R57,"x","")</f>
        <v>x</v>
      </c>
    </row>
    <row r="58" spans="1:19" hidden="1" x14ac:dyDescent="0.25">
      <c r="A58" s="7" t="s">
        <v>270</v>
      </c>
      <c r="B58" s="7" t="s">
        <v>20</v>
      </c>
      <c r="C58" s="7" t="s">
        <v>211</v>
      </c>
      <c r="D58" s="7" t="s">
        <v>212</v>
      </c>
      <c r="E58" s="7" t="s">
        <v>20</v>
      </c>
      <c r="F58" s="7" t="s">
        <v>20</v>
      </c>
      <c r="G58" s="7" t="s">
        <v>213</v>
      </c>
      <c r="H58" s="7" t="s">
        <v>20</v>
      </c>
      <c r="I58" s="8" t="s">
        <v>271</v>
      </c>
      <c r="J58" s="7" t="s">
        <v>272</v>
      </c>
      <c r="K58" s="7" t="s">
        <v>273</v>
      </c>
      <c r="L58" s="7" t="s">
        <v>40</v>
      </c>
      <c r="M58" s="7" t="s">
        <v>41</v>
      </c>
      <c r="N58" s="9" t="s">
        <v>75</v>
      </c>
      <c r="O58" s="7" t="s">
        <v>88</v>
      </c>
      <c r="P58" s="7" t="s">
        <v>20</v>
      </c>
      <c r="Q58" s="7"/>
      <c r="R58" s="7" t="str" cm="1">
        <f t="array" ref="R58">IF(AND(Q58="",P58&lt;&gt;""),N58,_xlfn.SWITCH(IF(Q58&lt;&gt;"",Q58,O58)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Centers",IF(Q58&lt;&gt;"",Q58,O58)))</f>
        <v>Kundenberater/in</v>
      </c>
      <c r="S58" s="7" t="str">
        <f>IF(N58&lt;&gt;R58,"x","")</f>
        <v>x</v>
      </c>
    </row>
    <row r="59" spans="1:19" hidden="1" x14ac:dyDescent="0.25">
      <c r="A59" s="7" t="s">
        <v>274</v>
      </c>
      <c r="B59" s="7" t="s">
        <v>20</v>
      </c>
      <c r="C59" s="7" t="s">
        <v>211</v>
      </c>
      <c r="D59" s="7" t="s">
        <v>212</v>
      </c>
      <c r="E59" s="7" t="s">
        <v>20</v>
      </c>
      <c r="F59" s="7" t="s">
        <v>20</v>
      </c>
      <c r="G59" s="7" t="s">
        <v>213</v>
      </c>
      <c r="H59" s="7" t="s">
        <v>20</v>
      </c>
      <c r="I59" s="8" t="s">
        <v>275</v>
      </c>
      <c r="J59" s="7" t="s">
        <v>276</v>
      </c>
      <c r="K59" s="7" t="s">
        <v>277</v>
      </c>
      <c r="L59" s="7" t="s">
        <v>40</v>
      </c>
      <c r="M59" s="7" t="s">
        <v>41</v>
      </c>
      <c r="N59" s="9" t="s">
        <v>75</v>
      </c>
      <c r="O59" s="7" t="s">
        <v>120</v>
      </c>
      <c r="P59" s="7" t="s">
        <v>20</v>
      </c>
      <c r="Q59" s="7"/>
      <c r="R59" s="7" t="str" cm="1">
        <f t="array" ref="R59">IF(AND(Q59="",P59&lt;&gt;""),N59,_xlfn.SWITCH(IF(Q59&lt;&gt;"",Q59,O59)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Centers",IF(Q59&lt;&gt;"",Q59,O59)))</f>
        <v>Kundenberater/in</v>
      </c>
      <c r="S59" s="7" t="str">
        <f>IF(N59&lt;&gt;R59,"x","")</f>
        <v>x</v>
      </c>
    </row>
    <row r="60" spans="1:19" hidden="1" x14ac:dyDescent="0.25">
      <c r="A60" s="7" t="s">
        <v>278</v>
      </c>
      <c r="B60" s="7" t="s">
        <v>20</v>
      </c>
      <c r="C60" s="7" t="s">
        <v>211</v>
      </c>
      <c r="D60" s="7" t="s">
        <v>212</v>
      </c>
      <c r="E60" s="7" t="s">
        <v>20</v>
      </c>
      <c r="F60" s="7" t="s">
        <v>20</v>
      </c>
      <c r="G60" s="7" t="s">
        <v>213</v>
      </c>
      <c r="H60" s="7" t="s">
        <v>20</v>
      </c>
      <c r="I60" s="8" t="s">
        <v>279</v>
      </c>
      <c r="J60" s="7" t="s">
        <v>280</v>
      </c>
      <c r="K60" s="7" t="s">
        <v>281</v>
      </c>
      <c r="L60" s="7" t="s">
        <v>27</v>
      </c>
      <c r="M60" s="7" t="s">
        <v>28</v>
      </c>
      <c r="N60" s="9" t="s">
        <v>66</v>
      </c>
      <c r="O60" s="7" t="s">
        <v>54</v>
      </c>
      <c r="P60" s="7" t="s">
        <v>20</v>
      </c>
      <c r="Q60" s="7"/>
      <c r="R60" s="7" t="str" cm="1">
        <f t="array" ref="R60">IF(AND(Q60="",P60&lt;&gt;""),N60,_xlfn.SWITCH(IF(Q60&lt;&gt;"",Q60,O60)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Centers",IF(Q60&lt;&gt;"",Q60,O60)))</f>
        <v>Agenturleiter/in</v>
      </c>
      <c r="S60" s="7" t="str">
        <f>IF(N60&lt;&gt;R60,"x","")</f>
        <v>x</v>
      </c>
    </row>
    <row r="61" spans="1:19" hidden="1" x14ac:dyDescent="0.25">
      <c r="A61" s="7" t="s">
        <v>282</v>
      </c>
      <c r="B61" s="7" t="s">
        <v>20</v>
      </c>
      <c r="C61" s="7" t="s">
        <v>211</v>
      </c>
      <c r="D61" s="7" t="s">
        <v>212</v>
      </c>
      <c r="E61" s="7" t="s">
        <v>20</v>
      </c>
      <c r="F61" s="7" t="s">
        <v>20</v>
      </c>
      <c r="G61" s="7" t="s">
        <v>213</v>
      </c>
      <c r="H61" s="7" t="s">
        <v>20</v>
      </c>
      <c r="I61" s="8" t="s">
        <v>163</v>
      </c>
      <c r="J61" s="7" t="s">
        <v>283</v>
      </c>
      <c r="K61" s="7" t="s">
        <v>63</v>
      </c>
      <c r="L61" s="7" t="s">
        <v>97</v>
      </c>
      <c r="M61" s="7" t="s">
        <v>98</v>
      </c>
      <c r="N61" s="9" t="s">
        <v>35</v>
      </c>
      <c r="O61" s="7" t="s">
        <v>99</v>
      </c>
      <c r="P61" s="7" t="s">
        <v>49</v>
      </c>
      <c r="Q61" s="7"/>
      <c r="R61" s="7" t="str" cm="1">
        <f t="array" ref="R61">IF(AND(Q61="",P61&lt;&gt;""),N61,_xlfn.SWITCH(IF(Q61&lt;&gt;"",Q61,O61)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Centers",IF(Q61&lt;&gt;"",Q61,O61)))</f>
        <v>Leiter/in einer Geschäftsstelle</v>
      </c>
      <c r="S61" s="7" t="str">
        <f>IF(N61&lt;&gt;R61,"x","")</f>
        <v/>
      </c>
    </row>
    <row r="62" spans="1:19" hidden="1" x14ac:dyDescent="0.25">
      <c r="A62" s="7" t="s">
        <v>284</v>
      </c>
      <c r="B62" s="7" t="s">
        <v>20</v>
      </c>
      <c r="C62" s="7" t="s">
        <v>285</v>
      </c>
      <c r="D62" s="7" t="s">
        <v>286</v>
      </c>
      <c r="E62" s="7" t="s">
        <v>20</v>
      </c>
      <c r="F62" s="7" t="s">
        <v>20</v>
      </c>
      <c r="G62" s="7" t="s">
        <v>23</v>
      </c>
      <c r="H62" s="7" t="s">
        <v>20</v>
      </c>
      <c r="I62" s="8" t="s">
        <v>287</v>
      </c>
      <c r="J62" s="7" t="s">
        <v>288</v>
      </c>
      <c r="K62" s="7" t="s">
        <v>289</v>
      </c>
      <c r="L62" s="7" t="s">
        <v>124</v>
      </c>
      <c r="M62" s="7" t="s">
        <v>125</v>
      </c>
      <c r="N62" s="9" t="s">
        <v>111</v>
      </c>
      <c r="O62" s="7" t="s">
        <v>67</v>
      </c>
      <c r="P62" s="7" t="s">
        <v>20</v>
      </c>
      <c r="Q62" s="7"/>
      <c r="R62" s="7" t="str" cm="1">
        <f t="array" ref="R62">IF(AND(Q62="",P62&lt;&gt;""),N62,_xlfn.SWITCH(IF(Q62&lt;&gt;"",Q62,O62)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Centers",IF(Q62&lt;&gt;"",Q62,O62)))</f>
        <v>Leiter/in des Service Centers</v>
      </c>
      <c r="S62" s="7" t="str">
        <f>IF(N62&lt;&gt;R62,"x","")</f>
        <v>x</v>
      </c>
    </row>
    <row r="63" spans="1:19" hidden="1" x14ac:dyDescent="0.25">
      <c r="A63" s="7" t="s">
        <v>290</v>
      </c>
      <c r="B63" s="7" t="s">
        <v>20</v>
      </c>
      <c r="C63" s="7" t="s">
        <v>285</v>
      </c>
      <c r="D63" s="7" t="s">
        <v>286</v>
      </c>
      <c r="E63" s="7" t="s">
        <v>20</v>
      </c>
      <c r="F63" s="7" t="s">
        <v>20</v>
      </c>
      <c r="G63" s="7" t="s">
        <v>23</v>
      </c>
      <c r="H63" s="7" t="s">
        <v>20</v>
      </c>
      <c r="I63" s="8" t="s">
        <v>291</v>
      </c>
      <c r="J63" s="7" t="s">
        <v>292</v>
      </c>
      <c r="K63" s="7" t="s">
        <v>293</v>
      </c>
      <c r="L63" s="7" t="s">
        <v>97</v>
      </c>
      <c r="M63" s="7" t="s">
        <v>98</v>
      </c>
      <c r="N63" s="9" t="s">
        <v>66</v>
      </c>
      <c r="O63" s="7" t="s">
        <v>251</v>
      </c>
      <c r="P63" s="7" t="s">
        <v>20</v>
      </c>
      <c r="Q63" s="7"/>
      <c r="R63" s="7" t="str" cm="1">
        <f t="array" ref="R63">IF(AND(Q63="",P63&lt;&gt;""),N63,_xlfn.SWITCH(IF(Q63&lt;&gt;"",Q63,O63)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Centers",IF(Q63&lt;&gt;"",Q63,O63)))</f>
        <v>Hauptagent/in</v>
      </c>
      <c r="S63" s="7" t="str">
        <f>IF(N63&lt;&gt;R63,"x","")</f>
        <v>x</v>
      </c>
    </row>
    <row r="64" spans="1:19" hidden="1" x14ac:dyDescent="0.25">
      <c r="A64" s="7" t="s">
        <v>294</v>
      </c>
      <c r="B64" s="7" t="s">
        <v>20</v>
      </c>
      <c r="C64" s="7" t="s">
        <v>285</v>
      </c>
      <c r="D64" s="7" t="s">
        <v>286</v>
      </c>
      <c r="E64" s="7" t="s">
        <v>20</v>
      </c>
      <c r="F64" s="7" t="s">
        <v>20</v>
      </c>
      <c r="G64" s="7" t="s">
        <v>23</v>
      </c>
      <c r="H64" s="7" t="s">
        <v>20</v>
      </c>
      <c r="I64" s="8" t="s">
        <v>295</v>
      </c>
      <c r="J64" s="7" t="s">
        <v>296</v>
      </c>
      <c r="K64" s="7" t="s">
        <v>297</v>
      </c>
      <c r="L64" s="7" t="s">
        <v>40</v>
      </c>
      <c r="M64" s="7" t="s">
        <v>41</v>
      </c>
      <c r="N64" s="9" t="s">
        <v>75</v>
      </c>
      <c r="O64" s="7" t="s">
        <v>48</v>
      </c>
      <c r="P64" s="7" t="s">
        <v>20</v>
      </c>
      <c r="Q64" s="7"/>
      <c r="R64" s="7" t="str" cm="1">
        <f t="array" ref="R64">IF(AND(Q64="",P64&lt;&gt;""),N64,_xlfn.SWITCH(IF(Q64&lt;&gt;"",Q64,O64)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Centers",IF(Q64&lt;&gt;"",Q64,O64)))</f>
        <v>Repräsentant/in</v>
      </c>
      <c r="S64" s="7" t="str">
        <f>IF(N64&lt;&gt;R64,"x","")</f>
        <v>x</v>
      </c>
    </row>
    <row r="65" spans="1:19" hidden="1" x14ac:dyDescent="0.25">
      <c r="A65" s="7" t="s">
        <v>298</v>
      </c>
      <c r="B65" s="7" t="s">
        <v>20</v>
      </c>
      <c r="C65" s="7" t="s">
        <v>285</v>
      </c>
      <c r="D65" s="7" t="s">
        <v>286</v>
      </c>
      <c r="E65" s="7" t="s">
        <v>20</v>
      </c>
      <c r="F65" s="7" t="s">
        <v>20</v>
      </c>
      <c r="G65" s="7" t="s">
        <v>23</v>
      </c>
      <c r="H65" s="7" t="s">
        <v>20</v>
      </c>
      <c r="I65" s="8" t="s">
        <v>51</v>
      </c>
      <c r="J65" s="7" t="s">
        <v>299</v>
      </c>
      <c r="K65" s="7" t="s">
        <v>300</v>
      </c>
      <c r="L65" s="7" t="s">
        <v>97</v>
      </c>
      <c r="M65" s="7" t="s">
        <v>98</v>
      </c>
      <c r="N65" s="9" t="s">
        <v>75</v>
      </c>
      <c r="O65" s="7" t="s">
        <v>251</v>
      </c>
      <c r="P65" s="7" t="s">
        <v>20</v>
      </c>
      <c r="Q65" s="7"/>
      <c r="R65" s="7" t="str" cm="1">
        <f t="array" ref="R65">IF(AND(Q65="",P65&lt;&gt;""),N65,_xlfn.SWITCH(IF(Q65&lt;&gt;"",Q65,O65)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Centers",IF(Q65&lt;&gt;"",Q65,O65)))</f>
        <v>Hauptagent/in</v>
      </c>
      <c r="S65" s="7" t="str">
        <f>IF(N65&lt;&gt;R65,"x","")</f>
        <v>x</v>
      </c>
    </row>
    <row r="66" spans="1:19" hidden="1" x14ac:dyDescent="0.25">
      <c r="A66" s="7" t="s">
        <v>301</v>
      </c>
      <c r="B66" s="7" t="s">
        <v>20</v>
      </c>
      <c r="C66" s="7" t="s">
        <v>285</v>
      </c>
      <c r="D66" s="7" t="s">
        <v>286</v>
      </c>
      <c r="E66" s="7" t="s">
        <v>20</v>
      </c>
      <c r="F66" s="7" t="s">
        <v>20</v>
      </c>
      <c r="G66" s="7" t="s">
        <v>23</v>
      </c>
      <c r="H66" s="7" t="s">
        <v>20</v>
      </c>
      <c r="I66" s="8" t="s">
        <v>302</v>
      </c>
      <c r="J66" s="7" t="s">
        <v>303</v>
      </c>
      <c r="K66" s="7" t="s">
        <v>304</v>
      </c>
      <c r="L66" s="7" t="s">
        <v>40</v>
      </c>
      <c r="M66" s="7" t="s">
        <v>41</v>
      </c>
      <c r="N66" s="9" t="s">
        <v>66</v>
      </c>
      <c r="O66" s="7" t="s">
        <v>48</v>
      </c>
      <c r="P66" s="7" t="s">
        <v>20</v>
      </c>
      <c r="Q66" s="7"/>
      <c r="R66" s="7" t="str" cm="1">
        <f t="array" ref="R66">IF(AND(Q66="",P66&lt;&gt;""),N66,_xlfn.SWITCH(IF(Q66&lt;&gt;"",Q66,O66)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Centers",IF(Q66&lt;&gt;"",Q66,O66)))</f>
        <v>Repräsentant/in</v>
      </c>
      <c r="S66" s="7" t="str">
        <f>IF(N66&lt;&gt;R66,"x","")</f>
        <v/>
      </c>
    </row>
    <row r="67" spans="1:19" hidden="1" x14ac:dyDescent="0.25">
      <c r="A67" s="7" t="s">
        <v>305</v>
      </c>
      <c r="B67" s="7" t="s">
        <v>20</v>
      </c>
      <c r="C67" s="7" t="s">
        <v>285</v>
      </c>
      <c r="D67" s="7" t="s">
        <v>286</v>
      </c>
      <c r="E67" s="7" t="s">
        <v>20</v>
      </c>
      <c r="F67" s="7" t="s">
        <v>20</v>
      </c>
      <c r="G67" s="7" t="s">
        <v>23</v>
      </c>
      <c r="H67" s="7" t="s">
        <v>20</v>
      </c>
      <c r="I67" s="8" t="s">
        <v>104</v>
      </c>
      <c r="J67" s="7" t="s">
        <v>306</v>
      </c>
      <c r="K67" s="7" t="s">
        <v>307</v>
      </c>
      <c r="L67" s="7" t="s">
        <v>27</v>
      </c>
      <c r="M67" s="7" t="s">
        <v>28</v>
      </c>
      <c r="N67" s="9" t="s">
        <v>111</v>
      </c>
      <c r="O67" s="7" t="s">
        <v>30</v>
      </c>
      <c r="P67" s="7" t="s">
        <v>20</v>
      </c>
      <c r="Q67" s="7"/>
      <c r="R67" s="7" t="str" cm="1">
        <f t="array" ref="R67">IF(AND(Q67="",P67&lt;&gt;""),N67,_xlfn.SWITCH(IF(Q67&lt;&gt;"",Q67,O67)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Centers",IF(Q67&lt;&gt;"",Q67,O67)))</f>
        <v>Agenturleiter/in</v>
      </c>
      <c r="S67" s="7" t="str">
        <f>IF(N67&lt;&gt;R67,"x","")</f>
        <v>x</v>
      </c>
    </row>
    <row r="68" spans="1:19" hidden="1" x14ac:dyDescent="0.25">
      <c r="A68" s="7" t="s">
        <v>308</v>
      </c>
      <c r="B68" s="7" t="s">
        <v>20</v>
      </c>
      <c r="C68" s="7" t="s">
        <v>285</v>
      </c>
      <c r="D68" s="7" t="s">
        <v>286</v>
      </c>
      <c r="E68" s="7" t="s">
        <v>20</v>
      </c>
      <c r="F68" s="7" t="s">
        <v>20</v>
      </c>
      <c r="G68" s="7" t="s">
        <v>23</v>
      </c>
      <c r="H68" s="7" t="s">
        <v>20</v>
      </c>
      <c r="I68" s="8" t="s">
        <v>309</v>
      </c>
      <c r="J68" s="7" t="s">
        <v>310</v>
      </c>
      <c r="K68" s="7" t="s">
        <v>311</v>
      </c>
      <c r="L68" s="7" t="s">
        <v>228</v>
      </c>
      <c r="M68" s="7" t="s">
        <v>229</v>
      </c>
      <c r="N68" s="9" t="s">
        <v>75</v>
      </c>
      <c r="O68" s="7" t="s">
        <v>30</v>
      </c>
      <c r="P68" s="7" t="s">
        <v>20</v>
      </c>
      <c r="Q68" s="7"/>
      <c r="R68" s="7" t="str" cm="1">
        <f t="array" ref="R68">IF(AND(Q68="",P68&lt;&gt;""),N68,_xlfn.SWITCH(IF(Q68&lt;&gt;"",Q68,O68)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Centers",IF(Q68&lt;&gt;"",Q68,O68)))</f>
        <v>Agenturleiter/in</v>
      </c>
      <c r="S68" s="7" t="str">
        <f>IF(N68&lt;&gt;R68,"x","")</f>
        <v>x</v>
      </c>
    </row>
    <row r="69" spans="1:19" hidden="1" x14ac:dyDescent="0.25">
      <c r="A69" s="7" t="s">
        <v>312</v>
      </c>
      <c r="B69" s="7" t="s">
        <v>20</v>
      </c>
      <c r="C69" s="7" t="s">
        <v>285</v>
      </c>
      <c r="D69" s="7" t="s">
        <v>286</v>
      </c>
      <c r="E69" s="7" t="s">
        <v>20</v>
      </c>
      <c r="F69" s="7" t="s">
        <v>20</v>
      </c>
      <c r="G69" s="7" t="s">
        <v>23</v>
      </c>
      <c r="H69" s="7" t="s">
        <v>20</v>
      </c>
      <c r="I69" s="8" t="s">
        <v>313</v>
      </c>
      <c r="J69" s="7" t="s">
        <v>314</v>
      </c>
      <c r="K69" s="7" t="s">
        <v>315</v>
      </c>
      <c r="L69" s="7" t="s">
        <v>40</v>
      </c>
      <c r="M69" s="7" t="s">
        <v>41</v>
      </c>
      <c r="N69" s="9" t="s">
        <v>75</v>
      </c>
      <c r="O69" s="7" t="s">
        <v>88</v>
      </c>
      <c r="P69" s="7" t="s">
        <v>20</v>
      </c>
      <c r="Q69" s="7"/>
      <c r="R69" s="7" t="str" cm="1">
        <f t="array" ref="R69">IF(AND(Q69="",P69&lt;&gt;""),N69,_xlfn.SWITCH(IF(Q69&lt;&gt;"",Q69,O69)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Centers",IF(Q69&lt;&gt;"",Q69,O69)))</f>
        <v>Kundenberater/in</v>
      </c>
      <c r="S69" s="7" t="str">
        <f>IF(N69&lt;&gt;R69,"x","")</f>
        <v>x</v>
      </c>
    </row>
    <row r="70" spans="1:19" hidden="1" x14ac:dyDescent="0.25">
      <c r="A70" s="7" t="s">
        <v>316</v>
      </c>
      <c r="B70" s="7" t="s">
        <v>20</v>
      </c>
      <c r="C70" s="7" t="s">
        <v>317</v>
      </c>
      <c r="D70" s="7" t="s">
        <v>318</v>
      </c>
      <c r="E70" s="7" t="s">
        <v>20</v>
      </c>
      <c r="F70" s="7" t="s">
        <v>20</v>
      </c>
      <c r="G70" s="7" t="s">
        <v>319</v>
      </c>
      <c r="H70" s="7" t="s">
        <v>20</v>
      </c>
      <c r="I70" s="8" t="s">
        <v>320</v>
      </c>
      <c r="J70" s="7" t="s">
        <v>321</v>
      </c>
      <c r="K70" s="7" t="s">
        <v>322</v>
      </c>
      <c r="L70" s="7" t="s">
        <v>97</v>
      </c>
      <c r="M70" s="7" t="s">
        <v>98</v>
      </c>
      <c r="N70" s="9" t="s">
        <v>111</v>
      </c>
      <c r="O70" s="7" t="s">
        <v>99</v>
      </c>
      <c r="P70" s="7" t="s">
        <v>20</v>
      </c>
      <c r="Q70" s="7"/>
      <c r="R70" s="7" t="str" cm="1">
        <f t="array" ref="R70">IF(AND(Q70="",P70&lt;&gt;""),N70,_xlfn.SWITCH(IF(Q70&lt;&gt;"",Q70,O70)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Centers",IF(Q70&lt;&gt;"",Q70,O70)))</f>
        <v>Hauptagent/in</v>
      </c>
      <c r="S70" s="7" t="str">
        <f>IF(N70&lt;&gt;R70,"x","")</f>
        <v/>
      </c>
    </row>
    <row r="71" spans="1:19" hidden="1" x14ac:dyDescent="0.25">
      <c r="A71" s="7" t="s">
        <v>323</v>
      </c>
      <c r="B71" s="7" t="s">
        <v>20</v>
      </c>
      <c r="C71" s="7" t="s">
        <v>317</v>
      </c>
      <c r="D71" s="7" t="s">
        <v>318</v>
      </c>
      <c r="E71" s="7" t="s">
        <v>20</v>
      </c>
      <c r="F71" s="7" t="s">
        <v>20</v>
      </c>
      <c r="G71" s="7" t="s">
        <v>319</v>
      </c>
      <c r="H71" s="7" t="s">
        <v>20</v>
      </c>
      <c r="I71" s="8" t="s">
        <v>324</v>
      </c>
      <c r="J71" s="7" t="s">
        <v>325</v>
      </c>
      <c r="K71" s="7" t="s">
        <v>326</v>
      </c>
      <c r="L71" s="7" t="s">
        <v>64</v>
      </c>
      <c r="M71" s="7" t="s">
        <v>65</v>
      </c>
      <c r="N71" s="9" t="s">
        <v>35</v>
      </c>
      <c r="O71" s="7" t="s">
        <v>67</v>
      </c>
      <c r="P71" s="7" t="s">
        <v>20</v>
      </c>
      <c r="Q71" s="7"/>
      <c r="R71" s="7" t="str" cm="1">
        <f t="array" ref="R71">IF(AND(Q71="",P71&lt;&gt;""),N71,_xlfn.SWITCH(IF(Q71&lt;&gt;"",Q71,O71)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Centers",IF(Q71&lt;&gt;"",Q71,O71)))</f>
        <v>Leiter/in des Service Centers</v>
      </c>
      <c r="S71" s="7" t="str">
        <f>IF(N71&lt;&gt;R71,"x","")</f>
        <v>x</v>
      </c>
    </row>
    <row r="72" spans="1:19" hidden="1" x14ac:dyDescent="0.25">
      <c r="A72" s="7" t="s">
        <v>327</v>
      </c>
      <c r="B72" s="7" t="s">
        <v>20</v>
      </c>
      <c r="C72" s="7" t="s">
        <v>317</v>
      </c>
      <c r="D72" s="7" t="s">
        <v>318</v>
      </c>
      <c r="E72" s="7" t="s">
        <v>20</v>
      </c>
      <c r="F72" s="7" t="s">
        <v>20</v>
      </c>
      <c r="G72" s="7" t="s">
        <v>319</v>
      </c>
      <c r="H72" s="7" t="s">
        <v>20</v>
      </c>
      <c r="I72" s="8" t="s">
        <v>328</v>
      </c>
      <c r="J72" s="7" t="s">
        <v>329</v>
      </c>
      <c r="K72" s="7" t="s">
        <v>330</v>
      </c>
      <c r="L72" s="7" t="s">
        <v>27</v>
      </c>
      <c r="M72" s="7" t="s">
        <v>28</v>
      </c>
      <c r="N72" s="9" t="s">
        <v>111</v>
      </c>
      <c r="O72" s="7" t="s">
        <v>30</v>
      </c>
      <c r="P72" s="7" t="s">
        <v>20</v>
      </c>
      <c r="Q72" s="7"/>
      <c r="R72" s="7" t="str" cm="1">
        <f t="array" ref="R72">IF(AND(Q72="",P72&lt;&gt;""),N72,_xlfn.SWITCH(IF(Q72&lt;&gt;"",Q72,O72)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Centers",IF(Q72&lt;&gt;"",Q72,O72)))</f>
        <v>Agenturleiter/in</v>
      </c>
      <c r="S72" s="7" t="str">
        <f>IF(N72&lt;&gt;R72,"x","")</f>
        <v>x</v>
      </c>
    </row>
    <row r="73" spans="1:19" hidden="1" x14ac:dyDescent="0.25">
      <c r="A73" s="7" t="s">
        <v>331</v>
      </c>
      <c r="B73" s="7" t="s">
        <v>20</v>
      </c>
      <c r="C73" s="7" t="s">
        <v>317</v>
      </c>
      <c r="D73" s="7" t="s">
        <v>318</v>
      </c>
      <c r="E73" s="7" t="s">
        <v>20</v>
      </c>
      <c r="F73" s="7" t="s">
        <v>20</v>
      </c>
      <c r="G73" s="7" t="s">
        <v>319</v>
      </c>
      <c r="H73" s="7" t="s">
        <v>20</v>
      </c>
      <c r="I73" s="8" t="s">
        <v>332</v>
      </c>
      <c r="J73" s="7" t="s">
        <v>333</v>
      </c>
      <c r="K73" s="7" t="s">
        <v>63</v>
      </c>
      <c r="L73" s="7" t="s">
        <v>97</v>
      </c>
      <c r="M73" s="7" t="s">
        <v>98</v>
      </c>
      <c r="N73" s="9" t="s">
        <v>334</v>
      </c>
      <c r="O73" s="7" t="s">
        <v>251</v>
      </c>
      <c r="P73" s="7" t="s">
        <v>49</v>
      </c>
      <c r="Q73" s="7"/>
      <c r="R73" s="7" t="str" cm="1">
        <f t="array" ref="R73">IF(AND(Q73="",P73&lt;&gt;""),N73,_xlfn.SWITCH(IF(Q73&lt;&gt;"",Q73,O73)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Centers",IF(Q73&lt;&gt;"",Q73,O73)))</f>
        <v>Generalagentin</v>
      </c>
      <c r="S73" s="7" t="str">
        <f>IF(N73&lt;&gt;R73,"x","")</f>
        <v/>
      </c>
    </row>
    <row r="74" spans="1:19" hidden="1" x14ac:dyDescent="0.25">
      <c r="A74" s="7" t="s">
        <v>335</v>
      </c>
      <c r="B74" s="7" t="s">
        <v>20</v>
      </c>
      <c r="C74" s="7" t="s">
        <v>317</v>
      </c>
      <c r="D74" s="7" t="s">
        <v>318</v>
      </c>
      <c r="E74" s="7" t="s">
        <v>20</v>
      </c>
      <c r="F74" s="7" t="s">
        <v>20</v>
      </c>
      <c r="G74" s="7" t="s">
        <v>319</v>
      </c>
      <c r="H74" s="7" t="s">
        <v>20</v>
      </c>
      <c r="I74" s="8" t="s">
        <v>336</v>
      </c>
      <c r="J74" s="7" t="s">
        <v>337</v>
      </c>
      <c r="K74" s="7" t="s">
        <v>63</v>
      </c>
      <c r="L74" s="7" t="s">
        <v>97</v>
      </c>
      <c r="M74" s="7" t="s">
        <v>98</v>
      </c>
      <c r="N74" s="9" t="s">
        <v>334</v>
      </c>
      <c r="O74" s="7" t="s">
        <v>251</v>
      </c>
      <c r="P74" s="7" t="s">
        <v>49</v>
      </c>
      <c r="Q74" s="7"/>
      <c r="R74" s="7" t="str" cm="1">
        <f t="array" ref="R74">IF(AND(Q74="",P74&lt;&gt;""),N74,_xlfn.SWITCH(IF(Q74&lt;&gt;"",Q74,O74)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Centers",IF(Q74&lt;&gt;"",Q74,O74)))</f>
        <v>Generalagentin</v>
      </c>
      <c r="S74" s="7" t="str">
        <f>IF(N74&lt;&gt;R74,"x","")</f>
        <v/>
      </c>
    </row>
    <row r="75" spans="1:19" hidden="1" x14ac:dyDescent="0.25">
      <c r="A75" s="7" t="s">
        <v>338</v>
      </c>
      <c r="B75" s="7" t="s">
        <v>20</v>
      </c>
      <c r="C75" s="7" t="s">
        <v>317</v>
      </c>
      <c r="D75" s="7" t="s">
        <v>318</v>
      </c>
      <c r="E75" s="7" t="s">
        <v>20</v>
      </c>
      <c r="F75" s="7" t="s">
        <v>20</v>
      </c>
      <c r="G75" s="7" t="s">
        <v>319</v>
      </c>
      <c r="H75" s="7" t="s">
        <v>20</v>
      </c>
      <c r="I75" s="8" t="s">
        <v>339</v>
      </c>
      <c r="J75" s="7" t="s">
        <v>340</v>
      </c>
      <c r="K75" s="7" t="s">
        <v>341</v>
      </c>
      <c r="L75" s="7" t="s">
        <v>97</v>
      </c>
      <c r="M75" s="7" t="s">
        <v>98</v>
      </c>
      <c r="N75" s="9" t="s">
        <v>66</v>
      </c>
      <c r="O75" s="7" t="s">
        <v>251</v>
      </c>
      <c r="P75" s="7" t="s">
        <v>20</v>
      </c>
      <c r="Q75" s="7"/>
      <c r="R75" s="7" t="str" cm="1">
        <f t="array" ref="R75">IF(AND(Q75="",P75&lt;&gt;""),N75,_xlfn.SWITCH(IF(Q75&lt;&gt;"",Q75,O75)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Centers",IF(Q75&lt;&gt;"",Q75,O75)))</f>
        <v>Hauptagent/in</v>
      </c>
      <c r="S75" s="7" t="str">
        <f>IF(N75&lt;&gt;R75,"x","")</f>
        <v>x</v>
      </c>
    </row>
    <row r="76" spans="1:19" hidden="1" x14ac:dyDescent="0.25">
      <c r="A76" s="7" t="s">
        <v>342</v>
      </c>
      <c r="B76" s="7" t="s">
        <v>20</v>
      </c>
      <c r="C76" s="7" t="s">
        <v>317</v>
      </c>
      <c r="D76" s="7" t="s">
        <v>318</v>
      </c>
      <c r="E76" s="7" t="s">
        <v>20</v>
      </c>
      <c r="F76" s="7" t="s">
        <v>20</v>
      </c>
      <c r="G76" s="7" t="s">
        <v>319</v>
      </c>
      <c r="H76" s="7" t="s">
        <v>20</v>
      </c>
      <c r="I76" s="8" t="s">
        <v>343</v>
      </c>
      <c r="J76" s="7" t="s">
        <v>344</v>
      </c>
      <c r="K76" s="7" t="s">
        <v>345</v>
      </c>
      <c r="L76" s="7" t="s">
        <v>97</v>
      </c>
      <c r="M76" s="7" t="s">
        <v>98</v>
      </c>
      <c r="N76" s="9" t="s">
        <v>66</v>
      </c>
      <c r="O76" s="7" t="s">
        <v>99</v>
      </c>
      <c r="P76" s="7" t="s">
        <v>20</v>
      </c>
      <c r="Q76" s="7"/>
      <c r="R76" s="7" t="str" cm="1">
        <f t="array" ref="R76">IF(AND(Q76="",P76&lt;&gt;""),N76,_xlfn.SWITCH(IF(Q76&lt;&gt;"",Q76,O76)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Centers",IF(Q76&lt;&gt;"",Q76,O76)))</f>
        <v>Hauptagent/in</v>
      </c>
      <c r="S76" s="7" t="str">
        <f>IF(N76&lt;&gt;R76,"x","")</f>
        <v>x</v>
      </c>
    </row>
    <row r="77" spans="1:19" hidden="1" x14ac:dyDescent="0.25">
      <c r="A77" s="7" t="s">
        <v>346</v>
      </c>
      <c r="B77" s="7" t="s">
        <v>20</v>
      </c>
      <c r="C77" s="7" t="s">
        <v>317</v>
      </c>
      <c r="D77" s="7" t="s">
        <v>318</v>
      </c>
      <c r="E77" s="7" t="s">
        <v>20</v>
      </c>
      <c r="F77" s="7" t="s">
        <v>20</v>
      </c>
      <c r="G77" s="7" t="s">
        <v>319</v>
      </c>
      <c r="H77" s="7" t="s">
        <v>20</v>
      </c>
      <c r="I77" s="8" t="s">
        <v>72</v>
      </c>
      <c r="J77" s="7" t="s">
        <v>347</v>
      </c>
      <c r="K77" s="7" t="s">
        <v>63</v>
      </c>
      <c r="L77" s="7" t="s">
        <v>97</v>
      </c>
      <c r="M77" s="7" t="s">
        <v>98</v>
      </c>
      <c r="N77" s="9" t="s">
        <v>149</v>
      </c>
      <c r="O77" s="7" t="s">
        <v>99</v>
      </c>
      <c r="P77" s="7" t="s">
        <v>49</v>
      </c>
      <c r="Q77" s="7"/>
      <c r="R77" s="7" t="str" cm="1">
        <f t="array" ref="R77">IF(AND(Q77="",P77&lt;&gt;""),N77,_xlfn.SWITCH(IF(Q77&lt;&gt;"",Q77,O77)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Centers",IF(Q77&lt;&gt;"",Q77,O77)))</f>
        <v>Generalagent</v>
      </c>
      <c r="S77" s="7" t="str">
        <f>IF(N77&lt;&gt;R77,"x","")</f>
        <v/>
      </c>
    </row>
    <row r="78" spans="1:19" hidden="1" x14ac:dyDescent="0.25">
      <c r="A78" s="7" t="s">
        <v>348</v>
      </c>
      <c r="B78" s="7" t="s">
        <v>20</v>
      </c>
      <c r="C78" s="7" t="s">
        <v>317</v>
      </c>
      <c r="D78" s="7" t="s">
        <v>318</v>
      </c>
      <c r="E78" s="7" t="s">
        <v>20</v>
      </c>
      <c r="F78" s="7" t="s">
        <v>20</v>
      </c>
      <c r="G78" s="7" t="s">
        <v>319</v>
      </c>
      <c r="H78" s="7" t="s">
        <v>20</v>
      </c>
      <c r="I78" s="8" t="s">
        <v>349</v>
      </c>
      <c r="J78" s="7" t="s">
        <v>350</v>
      </c>
      <c r="K78" s="7" t="s">
        <v>351</v>
      </c>
      <c r="L78" s="7" t="s">
        <v>27</v>
      </c>
      <c r="M78" s="7" t="s">
        <v>28</v>
      </c>
      <c r="N78" s="9" t="s">
        <v>66</v>
      </c>
      <c r="O78" s="7" t="s">
        <v>54</v>
      </c>
      <c r="P78" s="7" t="s">
        <v>20</v>
      </c>
      <c r="Q78" s="7"/>
      <c r="R78" s="7" t="str" cm="1">
        <f t="array" ref="R78">IF(AND(Q78="",P78&lt;&gt;""),N78,_xlfn.SWITCH(IF(Q78&lt;&gt;"",Q78,O78)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Centers",IF(Q78&lt;&gt;"",Q78,O78)))</f>
        <v>Agenturleiter/in</v>
      </c>
      <c r="S78" s="7" t="str">
        <f>IF(N78&lt;&gt;R78,"x","")</f>
        <v>x</v>
      </c>
    </row>
    <row r="79" spans="1:19" hidden="1" x14ac:dyDescent="0.25">
      <c r="A79" s="7" t="s">
        <v>352</v>
      </c>
      <c r="B79" s="7" t="s">
        <v>20</v>
      </c>
      <c r="C79" s="7" t="s">
        <v>317</v>
      </c>
      <c r="D79" s="7" t="s">
        <v>318</v>
      </c>
      <c r="E79" s="7" t="s">
        <v>20</v>
      </c>
      <c r="F79" s="7" t="s">
        <v>20</v>
      </c>
      <c r="G79" s="7" t="s">
        <v>319</v>
      </c>
      <c r="H79" s="7" t="s">
        <v>20</v>
      </c>
      <c r="I79" s="8" t="s">
        <v>353</v>
      </c>
      <c r="J79" s="7" t="s">
        <v>354</v>
      </c>
      <c r="K79" s="7" t="s">
        <v>355</v>
      </c>
      <c r="L79" s="7" t="s">
        <v>40</v>
      </c>
      <c r="M79" s="7" t="s">
        <v>41</v>
      </c>
      <c r="N79" s="9" t="s">
        <v>66</v>
      </c>
      <c r="O79" s="7" t="s">
        <v>48</v>
      </c>
      <c r="P79" s="7" t="s">
        <v>20</v>
      </c>
      <c r="Q79" s="7"/>
      <c r="R79" s="7" t="str" cm="1">
        <f t="array" ref="R79">IF(AND(Q79="",P79&lt;&gt;""),N79,_xlfn.SWITCH(IF(Q79&lt;&gt;"",Q79,O79)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Centers",IF(Q79&lt;&gt;"",Q79,O79)))</f>
        <v>Repräsentant/in</v>
      </c>
      <c r="S79" s="7" t="str">
        <f>IF(N79&lt;&gt;R79,"x","")</f>
        <v/>
      </c>
    </row>
    <row r="80" spans="1:19" hidden="1" x14ac:dyDescent="0.25">
      <c r="A80" s="7" t="s">
        <v>356</v>
      </c>
      <c r="B80" s="7" t="s">
        <v>20</v>
      </c>
      <c r="C80" s="7" t="s">
        <v>317</v>
      </c>
      <c r="D80" s="7" t="s">
        <v>318</v>
      </c>
      <c r="E80" s="7" t="s">
        <v>20</v>
      </c>
      <c r="F80" s="7" t="s">
        <v>20</v>
      </c>
      <c r="G80" s="7" t="s">
        <v>319</v>
      </c>
      <c r="H80" s="7" t="s">
        <v>20</v>
      </c>
      <c r="I80" s="8" t="s">
        <v>357</v>
      </c>
      <c r="J80" s="7" t="s">
        <v>358</v>
      </c>
      <c r="K80" s="7" t="s">
        <v>359</v>
      </c>
      <c r="L80" s="7" t="s">
        <v>40</v>
      </c>
      <c r="M80" s="7" t="s">
        <v>41</v>
      </c>
      <c r="N80" s="9" t="s">
        <v>66</v>
      </c>
      <c r="O80" s="7" t="s">
        <v>48</v>
      </c>
      <c r="P80" s="7" t="s">
        <v>20</v>
      </c>
      <c r="Q80" s="7"/>
      <c r="R80" s="7" t="str" cm="1">
        <f t="array" ref="R80">IF(AND(Q80="",P80&lt;&gt;""),N80,_xlfn.SWITCH(IF(Q80&lt;&gt;"",Q80,O80)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Centers",IF(Q80&lt;&gt;"",Q80,O80)))</f>
        <v>Repräsentant/in</v>
      </c>
      <c r="S80" s="7" t="str">
        <f>IF(N80&lt;&gt;R80,"x","")</f>
        <v/>
      </c>
    </row>
    <row r="81" spans="1:19" hidden="1" x14ac:dyDescent="0.25">
      <c r="A81" s="7" t="s">
        <v>360</v>
      </c>
      <c r="B81" s="7" t="s">
        <v>20</v>
      </c>
      <c r="C81" s="7" t="s">
        <v>317</v>
      </c>
      <c r="D81" s="7" t="s">
        <v>318</v>
      </c>
      <c r="E81" s="7" t="s">
        <v>20</v>
      </c>
      <c r="F81" s="7" t="s">
        <v>20</v>
      </c>
      <c r="G81" s="7" t="s">
        <v>319</v>
      </c>
      <c r="H81" s="7" t="s">
        <v>20</v>
      </c>
      <c r="I81" s="8" t="s">
        <v>361</v>
      </c>
      <c r="J81" s="7" t="s">
        <v>362</v>
      </c>
      <c r="K81" s="7" t="s">
        <v>363</v>
      </c>
      <c r="L81" s="7" t="s">
        <v>40</v>
      </c>
      <c r="M81" s="7" t="s">
        <v>41</v>
      </c>
      <c r="N81" s="9" t="s">
        <v>75</v>
      </c>
      <c r="O81" s="7" t="s">
        <v>43</v>
      </c>
      <c r="P81" s="7" t="s">
        <v>20</v>
      </c>
      <c r="Q81" s="7"/>
      <c r="R81" s="7" t="str" cm="1">
        <f t="array" ref="R81">IF(AND(Q81="",P81&lt;&gt;""),N81,_xlfn.SWITCH(IF(Q81&lt;&gt;"",Q81,O81)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Centers",IF(Q81&lt;&gt;"",Q81,O81)))</f>
        <v>Repräsentant/in</v>
      </c>
      <c r="S81" s="7" t="str">
        <f>IF(N81&lt;&gt;R81,"x","")</f>
        <v>x</v>
      </c>
    </row>
    <row r="82" spans="1:19" hidden="1" x14ac:dyDescent="0.25">
      <c r="A82" s="7" t="s">
        <v>364</v>
      </c>
      <c r="B82" s="7" t="s">
        <v>20</v>
      </c>
      <c r="C82" s="7" t="s">
        <v>317</v>
      </c>
      <c r="D82" s="7" t="s">
        <v>318</v>
      </c>
      <c r="E82" s="7" t="s">
        <v>20</v>
      </c>
      <c r="F82" s="7" t="s">
        <v>20</v>
      </c>
      <c r="G82" s="7" t="s">
        <v>319</v>
      </c>
      <c r="H82" s="7" t="s">
        <v>20</v>
      </c>
      <c r="I82" s="8" t="s">
        <v>365</v>
      </c>
      <c r="J82" s="7" t="s">
        <v>366</v>
      </c>
      <c r="K82" s="7" t="s">
        <v>367</v>
      </c>
      <c r="L82" s="7" t="s">
        <v>40</v>
      </c>
      <c r="M82" s="7" t="s">
        <v>41</v>
      </c>
      <c r="N82" s="9" t="s">
        <v>75</v>
      </c>
      <c r="O82" s="7" t="s">
        <v>120</v>
      </c>
      <c r="P82" s="7" t="s">
        <v>20</v>
      </c>
      <c r="Q82" s="7"/>
      <c r="R82" s="7" t="str" cm="1">
        <f t="array" ref="R82">IF(AND(Q82="",P82&lt;&gt;""),N82,_xlfn.SWITCH(IF(Q82&lt;&gt;"",Q82,O82)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Centers",IF(Q82&lt;&gt;"",Q82,O82)))</f>
        <v>Kundenberater/in</v>
      </c>
      <c r="S82" s="7" t="str">
        <f>IF(N82&lt;&gt;R82,"x","")</f>
        <v>x</v>
      </c>
    </row>
    <row r="83" spans="1:19" hidden="1" x14ac:dyDescent="0.25">
      <c r="A83" s="7" t="s">
        <v>368</v>
      </c>
      <c r="B83" s="7" t="s">
        <v>20</v>
      </c>
      <c r="C83" s="7" t="s">
        <v>317</v>
      </c>
      <c r="D83" s="7" t="s">
        <v>318</v>
      </c>
      <c r="E83" s="7" t="s">
        <v>20</v>
      </c>
      <c r="F83" s="7" t="s">
        <v>20</v>
      </c>
      <c r="G83" s="7" t="s">
        <v>319</v>
      </c>
      <c r="H83" s="7" t="s">
        <v>20</v>
      </c>
      <c r="I83" s="8" t="s">
        <v>369</v>
      </c>
      <c r="J83" s="7" t="s">
        <v>370</v>
      </c>
      <c r="K83" s="7" t="s">
        <v>371</v>
      </c>
      <c r="L83" s="7" t="s">
        <v>40</v>
      </c>
      <c r="M83" s="7" t="s">
        <v>41</v>
      </c>
      <c r="N83" s="9" t="s">
        <v>75</v>
      </c>
      <c r="O83" s="7" t="s">
        <v>88</v>
      </c>
      <c r="P83" s="7" t="s">
        <v>20</v>
      </c>
      <c r="Q83" s="7"/>
      <c r="R83" s="7" t="str" cm="1">
        <f t="array" ref="R83">IF(AND(Q83="",P83&lt;&gt;""),N83,_xlfn.SWITCH(IF(Q83&lt;&gt;"",Q83,O83)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Centers",IF(Q83&lt;&gt;"",Q83,O83)))</f>
        <v>Kundenberater/in</v>
      </c>
      <c r="S83" s="7" t="str">
        <f>IF(N83&lt;&gt;R83,"x","")</f>
        <v>x</v>
      </c>
    </row>
    <row r="84" spans="1:19" hidden="1" x14ac:dyDescent="0.25">
      <c r="A84" s="7" t="s">
        <v>372</v>
      </c>
      <c r="B84" s="7" t="s">
        <v>20</v>
      </c>
      <c r="C84" s="7" t="s">
        <v>373</v>
      </c>
      <c r="D84" s="7" t="s">
        <v>374</v>
      </c>
      <c r="E84" s="7" t="s">
        <v>20</v>
      </c>
      <c r="F84" s="7" t="s">
        <v>20</v>
      </c>
      <c r="G84" s="7" t="s">
        <v>319</v>
      </c>
      <c r="H84" s="7" t="s">
        <v>20</v>
      </c>
      <c r="I84" s="8" t="s">
        <v>375</v>
      </c>
      <c r="J84" s="7" t="s">
        <v>376</v>
      </c>
      <c r="K84" s="7" t="s">
        <v>377</v>
      </c>
      <c r="L84" s="7" t="s">
        <v>124</v>
      </c>
      <c r="M84" s="7" t="s">
        <v>125</v>
      </c>
      <c r="N84" s="9" t="s">
        <v>149</v>
      </c>
      <c r="O84" s="7" t="s">
        <v>67</v>
      </c>
      <c r="P84" s="7" t="s">
        <v>20</v>
      </c>
      <c r="Q84" s="7"/>
      <c r="R84" s="7" t="str" cm="1">
        <f t="array" ref="R84">IF(AND(Q84="",P84&lt;&gt;""),N84,_xlfn.SWITCH(IF(Q84&lt;&gt;"",Q84,O84)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Centers",IF(Q84&lt;&gt;"",Q84,O84)))</f>
        <v>Leiter/in des Service Centers</v>
      </c>
      <c r="S84" s="7" t="str">
        <f>IF(N84&lt;&gt;R84,"x","")</f>
        <v>x</v>
      </c>
    </row>
    <row r="85" spans="1:19" hidden="1" x14ac:dyDescent="0.25">
      <c r="A85" s="7" t="s">
        <v>378</v>
      </c>
      <c r="B85" s="7" t="s">
        <v>20</v>
      </c>
      <c r="C85" s="7" t="s">
        <v>373</v>
      </c>
      <c r="D85" s="7" t="s">
        <v>374</v>
      </c>
      <c r="E85" s="7" t="s">
        <v>20</v>
      </c>
      <c r="F85" s="7" t="s">
        <v>20</v>
      </c>
      <c r="G85" s="7" t="s">
        <v>319</v>
      </c>
      <c r="H85" s="7" t="s">
        <v>20</v>
      </c>
      <c r="I85" s="8" t="s">
        <v>379</v>
      </c>
      <c r="J85" s="7" t="s">
        <v>380</v>
      </c>
      <c r="K85" s="7" t="s">
        <v>381</v>
      </c>
      <c r="L85" s="7" t="s">
        <v>97</v>
      </c>
      <c r="M85" s="7" t="s">
        <v>98</v>
      </c>
      <c r="N85" s="9" t="s">
        <v>66</v>
      </c>
      <c r="O85" s="7" t="s">
        <v>251</v>
      </c>
      <c r="P85" s="7" t="s">
        <v>20</v>
      </c>
      <c r="Q85" s="7"/>
      <c r="R85" s="7" t="str" cm="1">
        <f t="array" ref="R85">IF(AND(Q85="",P85&lt;&gt;""),N85,_xlfn.SWITCH(IF(Q85&lt;&gt;"",Q85,O85)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Centers",IF(Q85&lt;&gt;"",Q85,O85)))</f>
        <v>Hauptagent/in</v>
      </c>
      <c r="S85" s="7" t="str">
        <f>IF(N85&lt;&gt;R85,"x","")</f>
        <v>x</v>
      </c>
    </row>
    <row r="86" spans="1:19" hidden="1" x14ac:dyDescent="0.25">
      <c r="A86" s="7" t="s">
        <v>382</v>
      </c>
      <c r="B86" s="7" t="s">
        <v>20</v>
      </c>
      <c r="C86" s="7" t="s">
        <v>373</v>
      </c>
      <c r="D86" s="7" t="s">
        <v>374</v>
      </c>
      <c r="E86" s="7" t="s">
        <v>20</v>
      </c>
      <c r="F86" s="7" t="s">
        <v>20</v>
      </c>
      <c r="G86" s="7" t="s">
        <v>319</v>
      </c>
      <c r="H86" s="7" t="s">
        <v>20</v>
      </c>
      <c r="I86" s="8" t="s">
        <v>383</v>
      </c>
      <c r="J86" s="7" t="s">
        <v>384</v>
      </c>
      <c r="K86" s="7" t="s">
        <v>385</v>
      </c>
      <c r="L86" s="7" t="s">
        <v>40</v>
      </c>
      <c r="M86" s="7" t="s">
        <v>41</v>
      </c>
      <c r="N86" s="9" t="s">
        <v>66</v>
      </c>
      <c r="O86" s="7" t="s">
        <v>43</v>
      </c>
      <c r="P86" s="7" t="s">
        <v>20</v>
      </c>
      <c r="Q86" s="7"/>
      <c r="R86" s="7" t="str" cm="1">
        <f t="array" ref="R86">IF(AND(Q86="",P86&lt;&gt;""),N86,_xlfn.SWITCH(IF(Q86&lt;&gt;"",Q86,O86)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Centers",IF(Q86&lt;&gt;"",Q86,O86)))</f>
        <v>Repräsentant/in</v>
      </c>
      <c r="S86" s="7" t="str">
        <f>IF(N86&lt;&gt;R86,"x","")</f>
        <v/>
      </c>
    </row>
    <row r="87" spans="1:19" hidden="1" x14ac:dyDescent="0.25">
      <c r="A87" s="7" t="s">
        <v>386</v>
      </c>
      <c r="B87" s="7" t="s">
        <v>20</v>
      </c>
      <c r="C87" s="7" t="s">
        <v>373</v>
      </c>
      <c r="D87" s="7" t="s">
        <v>374</v>
      </c>
      <c r="E87" s="7" t="s">
        <v>20</v>
      </c>
      <c r="F87" s="7" t="s">
        <v>20</v>
      </c>
      <c r="G87" s="7" t="s">
        <v>319</v>
      </c>
      <c r="H87" s="7" t="s">
        <v>20</v>
      </c>
      <c r="I87" s="8" t="s">
        <v>387</v>
      </c>
      <c r="J87" s="7" t="s">
        <v>388</v>
      </c>
      <c r="K87" s="7" t="s">
        <v>389</v>
      </c>
      <c r="L87" s="7" t="s">
        <v>40</v>
      </c>
      <c r="M87" s="7" t="s">
        <v>41</v>
      </c>
      <c r="N87" s="9" t="s">
        <v>66</v>
      </c>
      <c r="O87" s="7" t="s">
        <v>43</v>
      </c>
      <c r="P87" s="7" t="s">
        <v>20</v>
      </c>
      <c r="Q87" s="7"/>
      <c r="R87" s="7" t="str" cm="1">
        <f t="array" ref="R87">IF(AND(Q87="",P87&lt;&gt;""),N87,_xlfn.SWITCH(IF(Q87&lt;&gt;"",Q87,O87)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Centers",IF(Q87&lt;&gt;"",Q87,O87)))</f>
        <v>Repräsentant/in</v>
      </c>
      <c r="S87" s="7" t="str">
        <f>IF(N87&lt;&gt;R87,"x","")</f>
        <v/>
      </c>
    </row>
    <row r="88" spans="1:19" hidden="1" x14ac:dyDescent="0.25">
      <c r="A88" s="7" t="s">
        <v>390</v>
      </c>
      <c r="B88" s="7" t="s">
        <v>20</v>
      </c>
      <c r="C88" s="7" t="s">
        <v>373</v>
      </c>
      <c r="D88" s="7" t="s">
        <v>374</v>
      </c>
      <c r="E88" s="7" t="s">
        <v>20</v>
      </c>
      <c r="F88" s="7" t="s">
        <v>20</v>
      </c>
      <c r="G88" s="7" t="s">
        <v>319</v>
      </c>
      <c r="H88" s="7" t="s">
        <v>20</v>
      </c>
      <c r="I88" s="8" t="s">
        <v>391</v>
      </c>
      <c r="J88" s="7" t="s">
        <v>143</v>
      </c>
      <c r="K88" s="7" t="s">
        <v>392</v>
      </c>
      <c r="L88" s="7" t="s">
        <v>97</v>
      </c>
      <c r="M88" s="7" t="s">
        <v>98</v>
      </c>
      <c r="N88" s="9" t="s">
        <v>80</v>
      </c>
      <c r="O88" s="7" t="s">
        <v>251</v>
      </c>
      <c r="P88" s="7" t="s">
        <v>20</v>
      </c>
      <c r="Q88" s="7"/>
      <c r="R88" s="7" t="str" cm="1">
        <f t="array" ref="R88">IF(AND(Q88="",P88&lt;&gt;""),N88,_xlfn.SWITCH(IF(Q88&lt;&gt;"",Q88,O88)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Centers",IF(Q88&lt;&gt;"",Q88,O88)))</f>
        <v>Hauptagent/in</v>
      </c>
      <c r="S88" s="7" t="str">
        <f>IF(N88&lt;&gt;R88,"x","")</f>
        <v>x</v>
      </c>
    </row>
    <row r="89" spans="1:19" hidden="1" x14ac:dyDescent="0.25">
      <c r="A89" s="7" t="s">
        <v>393</v>
      </c>
      <c r="B89" s="7" t="s">
        <v>20</v>
      </c>
      <c r="C89" s="7" t="s">
        <v>373</v>
      </c>
      <c r="D89" s="7" t="s">
        <v>374</v>
      </c>
      <c r="E89" s="7" t="s">
        <v>20</v>
      </c>
      <c r="F89" s="7" t="s">
        <v>20</v>
      </c>
      <c r="G89" s="7" t="s">
        <v>319</v>
      </c>
      <c r="H89" s="7" t="s">
        <v>20</v>
      </c>
      <c r="I89" s="8" t="s">
        <v>394</v>
      </c>
      <c r="J89" s="7" t="s">
        <v>395</v>
      </c>
      <c r="K89" s="7" t="s">
        <v>396</v>
      </c>
      <c r="L89" s="7" t="s">
        <v>40</v>
      </c>
      <c r="M89" s="7" t="s">
        <v>41</v>
      </c>
      <c r="N89" s="9" t="s">
        <v>75</v>
      </c>
      <c r="O89" s="7" t="s">
        <v>88</v>
      </c>
      <c r="P89" s="7" t="s">
        <v>20</v>
      </c>
      <c r="Q89" s="7"/>
      <c r="R89" s="7" t="str" cm="1">
        <f t="array" ref="R89">IF(AND(Q89="",P89&lt;&gt;""),N89,_xlfn.SWITCH(IF(Q89&lt;&gt;"",Q89,O89)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Centers",IF(Q89&lt;&gt;"",Q89,O89)))</f>
        <v>Kundenberater/in</v>
      </c>
      <c r="S89" s="7" t="str">
        <f>IF(N89&lt;&gt;R89,"x","")</f>
        <v>x</v>
      </c>
    </row>
    <row r="90" spans="1:19" hidden="1" x14ac:dyDescent="0.25">
      <c r="A90" s="7" t="s">
        <v>397</v>
      </c>
      <c r="B90" s="7" t="s">
        <v>20</v>
      </c>
      <c r="C90" s="7" t="s">
        <v>373</v>
      </c>
      <c r="D90" s="7" t="s">
        <v>374</v>
      </c>
      <c r="E90" s="7" t="s">
        <v>20</v>
      </c>
      <c r="F90" s="7" t="s">
        <v>20</v>
      </c>
      <c r="G90" s="7" t="s">
        <v>319</v>
      </c>
      <c r="H90" s="7" t="s">
        <v>20</v>
      </c>
      <c r="I90" s="8" t="s">
        <v>398</v>
      </c>
      <c r="J90" s="7" t="s">
        <v>399</v>
      </c>
      <c r="K90" s="7" t="s">
        <v>400</v>
      </c>
      <c r="L90" s="7" t="s">
        <v>40</v>
      </c>
      <c r="M90" s="7" t="s">
        <v>41</v>
      </c>
      <c r="N90" s="9" t="s">
        <v>75</v>
      </c>
      <c r="O90" s="7" t="s">
        <v>88</v>
      </c>
      <c r="P90" s="7" t="s">
        <v>20</v>
      </c>
      <c r="Q90" s="7"/>
      <c r="R90" s="7" t="str" cm="1">
        <f t="array" ref="R90">IF(AND(Q90="",P90&lt;&gt;""),N90,_xlfn.SWITCH(IF(Q90&lt;&gt;"",Q90,O90)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Centers",IF(Q90&lt;&gt;"",Q90,O90)))</f>
        <v>Kundenberater/in</v>
      </c>
      <c r="S90" s="7" t="str">
        <f>IF(N90&lt;&gt;R90,"x","")</f>
        <v>x</v>
      </c>
    </row>
    <row r="91" spans="1:19" hidden="1" x14ac:dyDescent="0.25">
      <c r="A91" s="7" t="s">
        <v>401</v>
      </c>
      <c r="B91" s="7" t="s">
        <v>20</v>
      </c>
      <c r="C91" s="7" t="s">
        <v>373</v>
      </c>
      <c r="D91" s="7" t="s">
        <v>374</v>
      </c>
      <c r="E91" s="7" t="s">
        <v>20</v>
      </c>
      <c r="F91" s="7" t="s">
        <v>20</v>
      </c>
      <c r="G91" s="7" t="s">
        <v>319</v>
      </c>
      <c r="H91" s="7" t="s">
        <v>20</v>
      </c>
      <c r="I91" s="8" t="s">
        <v>402</v>
      </c>
      <c r="J91" s="7" t="s">
        <v>403</v>
      </c>
      <c r="K91" s="7" t="s">
        <v>404</v>
      </c>
      <c r="L91" s="7" t="s">
        <v>40</v>
      </c>
      <c r="M91" s="7" t="s">
        <v>41</v>
      </c>
      <c r="N91" s="9" t="s">
        <v>75</v>
      </c>
      <c r="O91" s="7" t="s">
        <v>88</v>
      </c>
      <c r="P91" s="7" t="s">
        <v>20</v>
      </c>
      <c r="Q91" s="7"/>
      <c r="R91" s="7" t="str" cm="1">
        <f t="array" ref="R91">IF(AND(Q91="",P91&lt;&gt;""),N91,_xlfn.SWITCH(IF(Q91&lt;&gt;"",Q91,O91)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Centers",IF(Q91&lt;&gt;"",Q91,O91)))</f>
        <v>Kundenberater/in</v>
      </c>
      <c r="S91" s="7" t="str">
        <f>IF(N91&lt;&gt;R91,"x","")</f>
        <v>x</v>
      </c>
    </row>
    <row r="92" spans="1:19" hidden="1" x14ac:dyDescent="0.25">
      <c r="A92" s="7" t="s">
        <v>405</v>
      </c>
      <c r="B92" s="7" t="s">
        <v>20</v>
      </c>
      <c r="C92" s="7" t="s">
        <v>373</v>
      </c>
      <c r="D92" s="7" t="s">
        <v>374</v>
      </c>
      <c r="E92" s="7" t="s">
        <v>20</v>
      </c>
      <c r="F92" s="7" t="s">
        <v>20</v>
      </c>
      <c r="G92" s="7" t="s">
        <v>319</v>
      </c>
      <c r="H92" s="7" t="s">
        <v>20</v>
      </c>
      <c r="I92" s="8" t="s">
        <v>406</v>
      </c>
      <c r="J92" s="7" t="s">
        <v>407</v>
      </c>
      <c r="K92" s="7" t="s">
        <v>408</v>
      </c>
      <c r="L92" s="7" t="s">
        <v>40</v>
      </c>
      <c r="M92" s="7" t="s">
        <v>41</v>
      </c>
      <c r="N92" s="9" t="s">
        <v>20</v>
      </c>
      <c r="O92" s="7" t="s">
        <v>88</v>
      </c>
      <c r="P92" s="7" t="s">
        <v>20</v>
      </c>
      <c r="Q92" s="7"/>
      <c r="R92" s="7" t="str" cm="1">
        <f t="array" ref="R92">IF(AND(Q92="",P92&lt;&gt;""),N92,_xlfn.SWITCH(IF(Q92&lt;&gt;"",Q92,O92)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Centers",IF(Q92&lt;&gt;"",Q92,O92)))</f>
        <v>Kundenberater/in</v>
      </c>
      <c r="S92" s="7" t="str">
        <f>IF(N92&lt;&gt;R92,"x","")</f>
        <v>x</v>
      </c>
    </row>
    <row r="93" spans="1:19" hidden="1" x14ac:dyDescent="0.25">
      <c r="A93" s="7" t="s">
        <v>409</v>
      </c>
      <c r="B93" s="7" t="s">
        <v>20</v>
      </c>
      <c r="C93" s="7" t="s">
        <v>373</v>
      </c>
      <c r="D93" s="7" t="s">
        <v>374</v>
      </c>
      <c r="E93" s="7" t="s">
        <v>20</v>
      </c>
      <c r="F93" s="7" t="s">
        <v>20</v>
      </c>
      <c r="G93" s="7" t="s">
        <v>319</v>
      </c>
      <c r="H93" s="7" t="s">
        <v>20</v>
      </c>
      <c r="I93" s="8" t="s">
        <v>410</v>
      </c>
      <c r="J93" s="7" t="s">
        <v>411</v>
      </c>
      <c r="K93" s="7" t="s">
        <v>412</v>
      </c>
      <c r="L93" s="7" t="s">
        <v>40</v>
      </c>
      <c r="M93" s="7" t="s">
        <v>41</v>
      </c>
      <c r="N93" s="9" t="s">
        <v>75</v>
      </c>
      <c r="O93" s="7" t="s">
        <v>120</v>
      </c>
      <c r="P93" s="7" t="s">
        <v>20</v>
      </c>
      <c r="Q93" s="7"/>
      <c r="R93" s="7" t="str" cm="1">
        <f t="array" ref="R93">IF(AND(Q93="",P93&lt;&gt;""),N93,_xlfn.SWITCH(IF(Q93&lt;&gt;"",Q93,O93)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Centers",IF(Q93&lt;&gt;"",Q93,O93)))</f>
        <v>Kundenberater/in</v>
      </c>
      <c r="S93" s="7" t="str">
        <f>IF(N93&lt;&gt;R93,"x","")</f>
        <v>x</v>
      </c>
    </row>
    <row r="94" spans="1:19" hidden="1" x14ac:dyDescent="0.25">
      <c r="A94" s="7" t="s">
        <v>413</v>
      </c>
      <c r="B94" s="7" t="s">
        <v>20</v>
      </c>
      <c r="C94" s="7" t="s">
        <v>373</v>
      </c>
      <c r="D94" s="7" t="s">
        <v>374</v>
      </c>
      <c r="E94" s="7" t="s">
        <v>20</v>
      </c>
      <c r="F94" s="7" t="s">
        <v>20</v>
      </c>
      <c r="G94" s="7" t="s">
        <v>319</v>
      </c>
      <c r="H94" s="7" t="s">
        <v>20</v>
      </c>
      <c r="I94" s="8" t="s">
        <v>414</v>
      </c>
      <c r="J94" s="7" t="s">
        <v>415</v>
      </c>
      <c r="K94" s="7" t="s">
        <v>416</v>
      </c>
      <c r="L94" s="7" t="s">
        <v>40</v>
      </c>
      <c r="M94" s="7" t="s">
        <v>41</v>
      </c>
      <c r="N94" s="9" t="s">
        <v>66</v>
      </c>
      <c r="O94" s="7" t="s">
        <v>43</v>
      </c>
      <c r="P94" s="7" t="s">
        <v>20</v>
      </c>
      <c r="Q94" s="7"/>
      <c r="R94" s="7" t="str" cm="1">
        <f t="array" ref="R94">IF(AND(Q94="",P94&lt;&gt;""),N94,_xlfn.SWITCH(IF(Q94&lt;&gt;"",Q94,O94)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Centers",IF(Q94&lt;&gt;"",Q94,O94)))</f>
        <v>Repräsentant/in</v>
      </c>
      <c r="S94" s="7" t="str">
        <f>IF(N94&lt;&gt;R94,"x","")</f>
        <v/>
      </c>
    </row>
    <row r="95" spans="1:19" hidden="1" x14ac:dyDescent="0.25">
      <c r="A95" s="7" t="s">
        <v>417</v>
      </c>
      <c r="B95" s="7" t="s">
        <v>20</v>
      </c>
      <c r="C95" s="7" t="s">
        <v>373</v>
      </c>
      <c r="D95" s="7" t="s">
        <v>374</v>
      </c>
      <c r="E95" s="7" t="s">
        <v>20</v>
      </c>
      <c r="F95" s="7" t="s">
        <v>20</v>
      </c>
      <c r="G95" s="7" t="s">
        <v>319</v>
      </c>
      <c r="H95" s="7" t="s">
        <v>20</v>
      </c>
      <c r="I95" s="8" t="s">
        <v>324</v>
      </c>
      <c r="J95" s="7" t="s">
        <v>418</v>
      </c>
      <c r="K95" s="7" t="s">
        <v>419</v>
      </c>
      <c r="L95" s="7" t="s">
        <v>27</v>
      </c>
      <c r="M95" s="7" t="s">
        <v>28</v>
      </c>
      <c r="N95" s="9" t="s">
        <v>149</v>
      </c>
      <c r="O95" s="7" t="s">
        <v>30</v>
      </c>
      <c r="P95" s="7" t="s">
        <v>20</v>
      </c>
      <c r="Q95" s="9" t="s">
        <v>149</v>
      </c>
      <c r="R95" s="7" t="str" cm="1">
        <f t="array" ref="R95">IF(AND(Q95="",P95&lt;&gt;""),N95,_xlfn.SWITCH(IF(Q95&lt;&gt;"",Q95,O95)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Centers",IF(Q95&lt;&gt;"",Q95,O95)))</f>
        <v>Generalagent</v>
      </c>
      <c r="S95" s="7" t="str">
        <f>IF(N95&lt;&gt;R95,"x","")</f>
        <v/>
      </c>
    </row>
    <row r="96" spans="1:19" hidden="1" x14ac:dyDescent="0.25">
      <c r="A96" s="7" t="s">
        <v>420</v>
      </c>
      <c r="B96" s="7" t="s">
        <v>20</v>
      </c>
      <c r="C96" s="7" t="s">
        <v>373</v>
      </c>
      <c r="D96" s="7" t="s">
        <v>374</v>
      </c>
      <c r="E96" s="7" t="s">
        <v>20</v>
      </c>
      <c r="F96" s="7" t="s">
        <v>20</v>
      </c>
      <c r="G96" s="7" t="s">
        <v>319</v>
      </c>
      <c r="H96" s="7" t="s">
        <v>20</v>
      </c>
      <c r="I96" s="8" t="s">
        <v>421</v>
      </c>
      <c r="J96" s="7" t="s">
        <v>422</v>
      </c>
      <c r="K96" s="7" t="s">
        <v>423</v>
      </c>
      <c r="L96" s="7" t="s">
        <v>124</v>
      </c>
      <c r="M96" s="7" t="s">
        <v>125</v>
      </c>
      <c r="N96" s="9" t="s">
        <v>149</v>
      </c>
      <c r="O96" s="7" t="s">
        <v>67</v>
      </c>
      <c r="P96" s="7" t="s">
        <v>20</v>
      </c>
      <c r="Q96" s="7"/>
      <c r="R96" s="7" t="str" cm="1">
        <f t="array" ref="R96">IF(AND(Q96="",P96&lt;&gt;""),N96,_xlfn.SWITCH(IF(Q96&lt;&gt;"",Q96,O96)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Centers",IF(Q96&lt;&gt;"",Q96,O96)))</f>
        <v>Leiter/in des Service Centers</v>
      </c>
      <c r="S96" s="7" t="str">
        <f>IF(N96&lt;&gt;R96,"x","")</f>
        <v>x</v>
      </c>
    </row>
    <row r="97" spans="1:19" hidden="1" x14ac:dyDescent="0.25">
      <c r="A97" s="7" t="s">
        <v>424</v>
      </c>
      <c r="B97" s="7" t="s">
        <v>20</v>
      </c>
      <c r="C97" s="7" t="s">
        <v>373</v>
      </c>
      <c r="D97" s="7" t="s">
        <v>374</v>
      </c>
      <c r="E97" s="7" t="s">
        <v>20</v>
      </c>
      <c r="F97" s="7" t="s">
        <v>20</v>
      </c>
      <c r="G97" s="7" t="s">
        <v>319</v>
      </c>
      <c r="H97" s="7" t="s">
        <v>20</v>
      </c>
      <c r="I97" s="8" t="s">
        <v>425</v>
      </c>
      <c r="J97" s="7" t="s">
        <v>426</v>
      </c>
      <c r="K97" s="7" t="s">
        <v>427</v>
      </c>
      <c r="L97" s="7" t="s">
        <v>27</v>
      </c>
      <c r="M97" s="7" t="s">
        <v>28</v>
      </c>
      <c r="N97" s="9" t="s">
        <v>111</v>
      </c>
      <c r="O97" s="7" t="s">
        <v>30</v>
      </c>
      <c r="P97" s="7" t="s">
        <v>20</v>
      </c>
      <c r="Q97" s="7"/>
      <c r="R97" s="7" t="str" cm="1">
        <f t="array" ref="R97">IF(AND(Q97="",P97&lt;&gt;""),N97,_xlfn.SWITCH(IF(Q97&lt;&gt;"",Q97,O97)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Centers",IF(Q97&lt;&gt;"",Q97,O97)))</f>
        <v>Agenturleiter/in</v>
      </c>
      <c r="S97" s="7" t="str">
        <f>IF(N97&lt;&gt;R97,"x","")</f>
        <v>x</v>
      </c>
    </row>
    <row r="98" spans="1:19" hidden="1" x14ac:dyDescent="0.25">
      <c r="A98" s="7" t="s">
        <v>428</v>
      </c>
      <c r="B98" s="7" t="s">
        <v>20</v>
      </c>
      <c r="C98" s="7" t="s">
        <v>373</v>
      </c>
      <c r="D98" s="7" t="s">
        <v>374</v>
      </c>
      <c r="E98" s="7" t="s">
        <v>20</v>
      </c>
      <c r="F98" s="7" t="s">
        <v>20</v>
      </c>
      <c r="G98" s="7" t="s">
        <v>319</v>
      </c>
      <c r="H98" s="7" t="s">
        <v>20</v>
      </c>
      <c r="I98" s="8" t="s">
        <v>429</v>
      </c>
      <c r="J98" s="7" t="s">
        <v>430</v>
      </c>
      <c r="K98" s="7" t="s">
        <v>431</v>
      </c>
      <c r="L98" s="7" t="s">
        <v>40</v>
      </c>
      <c r="M98" s="7" t="s">
        <v>41</v>
      </c>
      <c r="N98" s="9" t="s">
        <v>80</v>
      </c>
      <c r="O98" s="7" t="s">
        <v>48</v>
      </c>
      <c r="P98" s="7" t="s">
        <v>20</v>
      </c>
      <c r="Q98" s="7"/>
      <c r="R98" s="7" t="str" cm="1">
        <f t="array" ref="R98">IF(AND(Q98="",P98&lt;&gt;""),N98,_xlfn.SWITCH(IF(Q98&lt;&gt;"",Q98,O98)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Centers",IF(Q98&lt;&gt;"",Q98,O98)))</f>
        <v>Repräsentant/in</v>
      </c>
      <c r="S98" s="7" t="str">
        <f>IF(N98&lt;&gt;R98,"x","")</f>
        <v>x</v>
      </c>
    </row>
    <row r="99" spans="1:19" hidden="1" x14ac:dyDescent="0.25">
      <c r="A99" s="7" t="s">
        <v>432</v>
      </c>
      <c r="B99" s="7" t="s">
        <v>20</v>
      </c>
      <c r="C99" s="7" t="s">
        <v>373</v>
      </c>
      <c r="D99" s="7" t="s">
        <v>374</v>
      </c>
      <c r="E99" s="7" t="s">
        <v>20</v>
      </c>
      <c r="F99" s="7" t="s">
        <v>20</v>
      </c>
      <c r="G99" s="7" t="s">
        <v>319</v>
      </c>
      <c r="H99" s="7" t="s">
        <v>20</v>
      </c>
      <c r="I99" s="8" t="s">
        <v>433</v>
      </c>
      <c r="J99" s="7" t="s">
        <v>434</v>
      </c>
      <c r="K99" s="7" t="s">
        <v>435</v>
      </c>
      <c r="L99" s="7" t="s">
        <v>228</v>
      </c>
      <c r="M99" s="7" t="s">
        <v>229</v>
      </c>
      <c r="N99" s="9" t="s">
        <v>80</v>
      </c>
      <c r="O99" s="7" t="s">
        <v>30</v>
      </c>
      <c r="P99" s="7" t="s">
        <v>20</v>
      </c>
      <c r="Q99" s="7"/>
      <c r="R99" s="7" t="str" cm="1">
        <f t="array" ref="R99">IF(AND(Q99="",P99&lt;&gt;""),N99,_xlfn.SWITCH(IF(Q99&lt;&gt;"",Q99,O99)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Centers",IF(Q99&lt;&gt;"",Q99,O99)))</f>
        <v>Agenturleiter/in</v>
      </c>
      <c r="S99" s="7" t="str">
        <f>IF(N99&lt;&gt;R99,"x","")</f>
        <v>x</v>
      </c>
    </row>
    <row r="100" spans="1:19" hidden="1" x14ac:dyDescent="0.25">
      <c r="A100" s="7" t="s">
        <v>436</v>
      </c>
      <c r="B100" s="7" t="s">
        <v>20</v>
      </c>
      <c r="C100" s="7" t="s">
        <v>373</v>
      </c>
      <c r="D100" s="7" t="s">
        <v>374</v>
      </c>
      <c r="E100" s="7" t="s">
        <v>20</v>
      </c>
      <c r="F100" s="7" t="s">
        <v>20</v>
      </c>
      <c r="G100" s="7" t="s">
        <v>319</v>
      </c>
      <c r="H100" s="7" t="s">
        <v>20</v>
      </c>
      <c r="I100" s="8" t="s">
        <v>437</v>
      </c>
      <c r="J100" s="7" t="s">
        <v>438</v>
      </c>
      <c r="K100" s="7" t="s">
        <v>439</v>
      </c>
      <c r="L100" s="7" t="s">
        <v>228</v>
      </c>
      <c r="M100" s="7" t="s">
        <v>229</v>
      </c>
      <c r="N100" s="9" t="s">
        <v>80</v>
      </c>
      <c r="O100" s="7" t="s">
        <v>30</v>
      </c>
      <c r="P100" s="7" t="s">
        <v>20</v>
      </c>
      <c r="Q100" s="7"/>
      <c r="R100" s="7" t="str" cm="1">
        <f t="array" ref="R100">IF(AND(Q100="",P100&lt;&gt;""),N100,_xlfn.SWITCH(IF(Q100&lt;&gt;"",Q100,O100)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Centers",IF(Q100&lt;&gt;"",Q100,O100)))</f>
        <v>Agenturleiter/in</v>
      </c>
      <c r="S100" s="7" t="str">
        <f>IF(N100&lt;&gt;R100,"x","")</f>
        <v>x</v>
      </c>
    </row>
    <row r="101" spans="1:19" hidden="1" x14ac:dyDescent="0.25">
      <c r="A101" s="7" t="s">
        <v>440</v>
      </c>
      <c r="B101" s="7" t="s">
        <v>20</v>
      </c>
      <c r="C101" s="7" t="s">
        <v>373</v>
      </c>
      <c r="D101" s="7" t="s">
        <v>374</v>
      </c>
      <c r="E101" s="7" t="s">
        <v>20</v>
      </c>
      <c r="F101" s="7" t="s">
        <v>20</v>
      </c>
      <c r="G101" s="7" t="s">
        <v>319</v>
      </c>
      <c r="H101" s="7" t="s">
        <v>20</v>
      </c>
      <c r="I101" s="8" t="s">
        <v>441</v>
      </c>
      <c r="J101" s="7" t="s">
        <v>442</v>
      </c>
      <c r="K101" s="7" t="s">
        <v>443</v>
      </c>
      <c r="L101" s="7" t="s">
        <v>228</v>
      </c>
      <c r="M101" s="7" t="s">
        <v>229</v>
      </c>
      <c r="N101" s="9" t="s">
        <v>75</v>
      </c>
      <c r="O101" s="7" t="s">
        <v>30</v>
      </c>
      <c r="P101" s="7" t="s">
        <v>20</v>
      </c>
      <c r="Q101" s="7"/>
      <c r="R101" s="7" t="str" cm="1">
        <f t="array" ref="R101">IF(AND(Q101="",P101&lt;&gt;""),N101,_xlfn.SWITCH(IF(Q101&lt;&gt;"",Q101,O101)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Centers",IF(Q101&lt;&gt;"",Q101,O101)))</f>
        <v>Agenturleiter/in</v>
      </c>
      <c r="S101" s="7" t="str">
        <f>IF(N101&lt;&gt;R101,"x","")</f>
        <v>x</v>
      </c>
    </row>
    <row r="102" spans="1:19" hidden="1" x14ac:dyDescent="0.25">
      <c r="A102" s="7" t="s">
        <v>444</v>
      </c>
      <c r="B102" s="7" t="s">
        <v>20</v>
      </c>
      <c r="C102" s="7" t="s">
        <v>373</v>
      </c>
      <c r="D102" s="7" t="s">
        <v>374</v>
      </c>
      <c r="E102" s="7" t="s">
        <v>20</v>
      </c>
      <c r="F102" s="7" t="s">
        <v>20</v>
      </c>
      <c r="G102" s="7" t="s">
        <v>319</v>
      </c>
      <c r="H102" s="7" t="s">
        <v>20</v>
      </c>
      <c r="I102" s="8" t="s">
        <v>445</v>
      </c>
      <c r="J102" s="7" t="s">
        <v>446</v>
      </c>
      <c r="K102" s="7" t="s">
        <v>447</v>
      </c>
      <c r="L102" s="7" t="s">
        <v>40</v>
      </c>
      <c r="M102" s="7" t="s">
        <v>41</v>
      </c>
      <c r="N102" s="9" t="s">
        <v>75</v>
      </c>
      <c r="O102" s="7" t="s">
        <v>120</v>
      </c>
      <c r="P102" s="7" t="s">
        <v>20</v>
      </c>
      <c r="Q102" s="7"/>
      <c r="R102" s="7" t="str" cm="1">
        <f t="array" ref="R102">IF(AND(Q102="",P102&lt;&gt;""),N102,_xlfn.SWITCH(IF(Q102&lt;&gt;"",Q102,O102)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Centers",IF(Q102&lt;&gt;"",Q102,O102)))</f>
        <v>Kundenberater/in</v>
      </c>
      <c r="S102" s="7" t="str">
        <f>IF(N102&lt;&gt;R102,"x","")</f>
        <v>x</v>
      </c>
    </row>
    <row r="103" spans="1:19" hidden="1" x14ac:dyDescent="0.25">
      <c r="A103" s="7" t="s">
        <v>448</v>
      </c>
      <c r="B103" s="7" t="s">
        <v>20</v>
      </c>
      <c r="C103" s="7" t="s">
        <v>449</v>
      </c>
      <c r="D103" s="7" t="s">
        <v>450</v>
      </c>
      <c r="E103" s="7" t="s">
        <v>20</v>
      </c>
      <c r="F103" s="7" t="s">
        <v>20</v>
      </c>
      <c r="G103" s="7" t="s">
        <v>319</v>
      </c>
      <c r="H103" s="7" t="s">
        <v>20</v>
      </c>
      <c r="I103" s="8" t="s">
        <v>32</v>
      </c>
      <c r="J103" s="7" t="s">
        <v>451</v>
      </c>
      <c r="K103" s="7" t="s">
        <v>452</v>
      </c>
      <c r="L103" s="7" t="s">
        <v>27</v>
      </c>
      <c r="M103" s="7" t="s">
        <v>28</v>
      </c>
      <c r="N103" s="9" t="s">
        <v>149</v>
      </c>
      <c r="O103" s="7" t="s">
        <v>30</v>
      </c>
      <c r="P103" s="7" t="s">
        <v>20</v>
      </c>
      <c r="Q103" s="9" t="s">
        <v>149</v>
      </c>
      <c r="R103" s="7" t="str" cm="1">
        <f t="array" ref="R103">IF(AND(Q103="",P103&lt;&gt;""),N103,_xlfn.SWITCH(IF(Q103&lt;&gt;"",Q103,O103)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Centers",IF(Q103&lt;&gt;"",Q103,O103)))</f>
        <v>Generalagent</v>
      </c>
      <c r="S103" s="7" t="str">
        <f>IF(N103&lt;&gt;R103,"x","")</f>
        <v/>
      </c>
    </row>
    <row r="104" spans="1:19" hidden="1" x14ac:dyDescent="0.25">
      <c r="A104" s="7" t="s">
        <v>453</v>
      </c>
      <c r="B104" s="7" t="s">
        <v>20</v>
      </c>
      <c r="C104" s="7" t="s">
        <v>449</v>
      </c>
      <c r="D104" s="7" t="s">
        <v>450</v>
      </c>
      <c r="E104" s="7" t="s">
        <v>20</v>
      </c>
      <c r="F104" s="7" t="s">
        <v>20</v>
      </c>
      <c r="G104" s="7" t="s">
        <v>319</v>
      </c>
      <c r="H104" s="7" t="s">
        <v>20</v>
      </c>
      <c r="I104" s="8" t="s">
        <v>454</v>
      </c>
      <c r="J104" s="7" t="s">
        <v>455</v>
      </c>
      <c r="K104" s="7" t="s">
        <v>456</v>
      </c>
      <c r="L104" s="7" t="s">
        <v>97</v>
      </c>
      <c r="M104" s="7" t="s">
        <v>98</v>
      </c>
      <c r="N104" s="9" t="s">
        <v>66</v>
      </c>
      <c r="O104" s="7" t="s">
        <v>251</v>
      </c>
      <c r="P104" s="7" t="s">
        <v>20</v>
      </c>
      <c r="Q104" s="7"/>
      <c r="R104" s="7" t="str" cm="1">
        <f t="array" ref="R104">IF(AND(Q104="",P104&lt;&gt;""),N104,_xlfn.SWITCH(IF(Q104&lt;&gt;"",Q104,O104)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Centers",IF(Q104&lt;&gt;"",Q104,O104)))</f>
        <v>Hauptagent/in</v>
      </c>
      <c r="S104" s="7" t="str">
        <f>IF(N104&lt;&gt;R104,"x","")</f>
        <v>x</v>
      </c>
    </row>
    <row r="105" spans="1:19" hidden="1" x14ac:dyDescent="0.25">
      <c r="A105" s="7" t="s">
        <v>457</v>
      </c>
      <c r="B105" s="7" t="s">
        <v>20</v>
      </c>
      <c r="C105" s="7" t="s">
        <v>449</v>
      </c>
      <c r="D105" s="7" t="s">
        <v>450</v>
      </c>
      <c r="E105" s="7" t="s">
        <v>20</v>
      </c>
      <c r="F105" s="7" t="s">
        <v>20</v>
      </c>
      <c r="G105" s="7" t="s">
        <v>319</v>
      </c>
      <c r="H105" s="7" t="s">
        <v>20</v>
      </c>
      <c r="I105" s="8" t="s">
        <v>458</v>
      </c>
      <c r="J105" s="7" t="s">
        <v>459</v>
      </c>
      <c r="K105" s="7" t="s">
        <v>460</v>
      </c>
      <c r="L105" s="7" t="s">
        <v>228</v>
      </c>
      <c r="M105" s="7" t="s">
        <v>229</v>
      </c>
      <c r="N105" s="9" t="s">
        <v>29</v>
      </c>
      <c r="O105" s="7" t="s">
        <v>54</v>
      </c>
      <c r="P105" s="7" t="s">
        <v>20</v>
      </c>
      <c r="Q105" s="9" t="s">
        <v>29</v>
      </c>
      <c r="R105" s="7" t="str" cm="1">
        <f t="array" ref="R105">IF(AND(Q105="",P105&lt;&gt;""),N105,_xlfn.SWITCH(IF(Q105&lt;&gt;"",Q105,O105)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Centers",IF(Q105&lt;&gt;"",Q105,O105)))</f>
        <v>Generalagent/in</v>
      </c>
      <c r="S105" s="7" t="str">
        <f>IF(N105&lt;&gt;R105,"x","")</f>
        <v/>
      </c>
    </row>
    <row r="106" spans="1:19" hidden="1" x14ac:dyDescent="0.25">
      <c r="A106" s="7" t="s">
        <v>461</v>
      </c>
      <c r="B106" s="7" t="s">
        <v>20</v>
      </c>
      <c r="C106" s="7" t="s">
        <v>449</v>
      </c>
      <c r="D106" s="7" t="s">
        <v>450</v>
      </c>
      <c r="E106" s="7" t="s">
        <v>20</v>
      </c>
      <c r="F106" s="7" t="s">
        <v>20</v>
      </c>
      <c r="G106" s="7" t="s">
        <v>319</v>
      </c>
      <c r="H106" s="7" t="s">
        <v>20</v>
      </c>
      <c r="I106" s="8" t="s">
        <v>425</v>
      </c>
      <c r="J106" s="7" t="s">
        <v>462</v>
      </c>
      <c r="K106" s="7" t="s">
        <v>463</v>
      </c>
      <c r="L106" s="7" t="s">
        <v>27</v>
      </c>
      <c r="M106" s="7" t="s">
        <v>28</v>
      </c>
      <c r="N106" s="9" t="s">
        <v>111</v>
      </c>
      <c r="O106" s="7" t="s">
        <v>30</v>
      </c>
      <c r="P106" s="7" t="s">
        <v>20</v>
      </c>
      <c r="Q106" s="7"/>
      <c r="R106" s="7" t="str" cm="1">
        <f t="array" ref="R106">IF(AND(Q106="",P106&lt;&gt;""),N106,_xlfn.SWITCH(IF(Q106&lt;&gt;"",Q106,O106)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Centers",IF(Q106&lt;&gt;"",Q106,O106)))</f>
        <v>Agenturleiter/in</v>
      </c>
      <c r="S106" s="7" t="str">
        <f>IF(N106&lt;&gt;R106,"x","")</f>
        <v>x</v>
      </c>
    </row>
    <row r="107" spans="1:19" hidden="1" x14ac:dyDescent="0.25">
      <c r="A107" s="7" t="s">
        <v>464</v>
      </c>
      <c r="B107" s="7" t="s">
        <v>20</v>
      </c>
      <c r="C107" s="7" t="s">
        <v>449</v>
      </c>
      <c r="D107" s="7" t="s">
        <v>450</v>
      </c>
      <c r="E107" s="7" t="s">
        <v>20</v>
      </c>
      <c r="F107" s="7" t="s">
        <v>20</v>
      </c>
      <c r="G107" s="7" t="s">
        <v>319</v>
      </c>
      <c r="H107" s="7" t="s">
        <v>20</v>
      </c>
      <c r="I107" s="8" t="s">
        <v>163</v>
      </c>
      <c r="J107" s="7" t="s">
        <v>465</v>
      </c>
      <c r="K107" s="7" t="s">
        <v>466</v>
      </c>
      <c r="L107" s="7" t="s">
        <v>40</v>
      </c>
      <c r="M107" s="7" t="s">
        <v>41</v>
      </c>
      <c r="N107" s="9" t="s">
        <v>75</v>
      </c>
      <c r="O107" s="7" t="s">
        <v>48</v>
      </c>
      <c r="P107" s="7" t="s">
        <v>20</v>
      </c>
      <c r="Q107" s="7"/>
      <c r="R107" s="7" t="str" cm="1">
        <f t="array" ref="R107">IF(AND(Q107="",P107&lt;&gt;""),N107,_xlfn.SWITCH(IF(Q107&lt;&gt;"",Q107,O107)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Centers",IF(Q107&lt;&gt;"",Q107,O107)))</f>
        <v>Repräsentant/in</v>
      </c>
      <c r="S107" s="7" t="str">
        <f>IF(N107&lt;&gt;R107,"x","")</f>
        <v>x</v>
      </c>
    </row>
    <row r="108" spans="1:19" hidden="1" x14ac:dyDescent="0.25">
      <c r="A108" s="7" t="s">
        <v>467</v>
      </c>
      <c r="B108" s="7" t="s">
        <v>20</v>
      </c>
      <c r="C108" s="7" t="s">
        <v>449</v>
      </c>
      <c r="D108" s="7" t="s">
        <v>450</v>
      </c>
      <c r="E108" s="7" t="s">
        <v>20</v>
      </c>
      <c r="F108" s="7" t="s">
        <v>20</v>
      </c>
      <c r="G108" s="7" t="s">
        <v>319</v>
      </c>
      <c r="H108" s="7" t="s">
        <v>20</v>
      </c>
      <c r="I108" s="8" t="s">
        <v>468</v>
      </c>
      <c r="J108" s="7" t="s">
        <v>469</v>
      </c>
      <c r="K108" s="7" t="s">
        <v>470</v>
      </c>
      <c r="L108" s="7" t="s">
        <v>228</v>
      </c>
      <c r="M108" s="7" t="s">
        <v>229</v>
      </c>
      <c r="N108" s="9" t="s">
        <v>111</v>
      </c>
      <c r="O108" s="7" t="s">
        <v>30</v>
      </c>
      <c r="P108" s="7" t="s">
        <v>20</v>
      </c>
      <c r="Q108" s="7"/>
      <c r="R108" s="7" t="str" cm="1">
        <f t="array" ref="R108">IF(AND(Q108="",P108&lt;&gt;""),N108,_xlfn.SWITCH(IF(Q108&lt;&gt;"",Q108,O108)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Centers",IF(Q108&lt;&gt;"",Q108,O108)))</f>
        <v>Agenturleiter/in</v>
      </c>
      <c r="S108" s="7" t="str">
        <f>IF(N108&lt;&gt;R108,"x","")</f>
        <v>x</v>
      </c>
    </row>
    <row r="109" spans="1:19" hidden="1" x14ac:dyDescent="0.25">
      <c r="A109" s="7" t="s">
        <v>471</v>
      </c>
      <c r="B109" s="7" t="s">
        <v>20</v>
      </c>
      <c r="C109" s="7" t="s">
        <v>449</v>
      </c>
      <c r="D109" s="7" t="s">
        <v>450</v>
      </c>
      <c r="E109" s="7" t="s">
        <v>20</v>
      </c>
      <c r="F109" s="7" t="s">
        <v>20</v>
      </c>
      <c r="G109" s="7" t="s">
        <v>319</v>
      </c>
      <c r="H109" s="7" t="s">
        <v>20</v>
      </c>
      <c r="I109" s="8" t="s">
        <v>472</v>
      </c>
      <c r="J109" s="7" t="s">
        <v>473</v>
      </c>
      <c r="K109" s="7" t="s">
        <v>474</v>
      </c>
      <c r="L109" s="7" t="s">
        <v>40</v>
      </c>
      <c r="M109" s="7" t="s">
        <v>41</v>
      </c>
      <c r="N109" s="9" t="s">
        <v>75</v>
      </c>
      <c r="O109" s="7" t="s">
        <v>48</v>
      </c>
      <c r="P109" s="7" t="s">
        <v>20</v>
      </c>
      <c r="Q109" s="7"/>
      <c r="R109" s="7" t="str" cm="1">
        <f t="array" ref="R109">IF(AND(Q109="",P109&lt;&gt;""),N109,_xlfn.SWITCH(IF(Q109&lt;&gt;"",Q109,O109)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Centers",IF(Q109&lt;&gt;"",Q109,O109)))</f>
        <v>Repräsentant/in</v>
      </c>
      <c r="S109" s="7" t="str">
        <f>IF(N109&lt;&gt;R109,"x","")</f>
        <v>x</v>
      </c>
    </row>
    <row r="110" spans="1:19" hidden="1" x14ac:dyDescent="0.25">
      <c r="A110" s="7" t="s">
        <v>475</v>
      </c>
      <c r="B110" s="7" t="s">
        <v>20</v>
      </c>
      <c r="C110" s="7" t="s">
        <v>449</v>
      </c>
      <c r="D110" s="7" t="s">
        <v>450</v>
      </c>
      <c r="E110" s="7" t="s">
        <v>20</v>
      </c>
      <c r="F110" s="7" t="s">
        <v>20</v>
      </c>
      <c r="G110" s="7" t="s">
        <v>319</v>
      </c>
      <c r="H110" s="7" t="s">
        <v>20</v>
      </c>
      <c r="I110" s="8" t="s">
        <v>375</v>
      </c>
      <c r="J110" s="7" t="s">
        <v>476</v>
      </c>
      <c r="K110" s="7" t="s">
        <v>477</v>
      </c>
      <c r="L110" s="7" t="s">
        <v>27</v>
      </c>
      <c r="M110" s="7" t="s">
        <v>28</v>
      </c>
      <c r="N110" s="9" t="s">
        <v>75</v>
      </c>
      <c r="O110" s="7" t="s">
        <v>30</v>
      </c>
      <c r="P110" s="7" t="s">
        <v>20</v>
      </c>
      <c r="Q110" s="7"/>
      <c r="R110" s="7" t="str" cm="1">
        <f t="array" ref="R110">IF(AND(Q110="",P110&lt;&gt;""),N110,_xlfn.SWITCH(IF(Q110&lt;&gt;"",Q110,O110)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Centers",IF(Q110&lt;&gt;"",Q110,O110)))</f>
        <v>Agenturleiter/in</v>
      </c>
      <c r="S110" s="7" t="str">
        <f>IF(N110&lt;&gt;R110,"x","")</f>
        <v>x</v>
      </c>
    </row>
    <row r="111" spans="1:19" hidden="1" x14ac:dyDescent="0.25">
      <c r="A111" s="7" t="s">
        <v>478</v>
      </c>
      <c r="B111" s="7" t="s">
        <v>20</v>
      </c>
      <c r="C111" s="7" t="s">
        <v>449</v>
      </c>
      <c r="D111" s="7" t="s">
        <v>450</v>
      </c>
      <c r="E111" s="7" t="s">
        <v>20</v>
      </c>
      <c r="F111" s="7" t="s">
        <v>20</v>
      </c>
      <c r="G111" s="7" t="s">
        <v>319</v>
      </c>
      <c r="H111" s="7" t="s">
        <v>20</v>
      </c>
      <c r="I111" s="8" t="s">
        <v>479</v>
      </c>
      <c r="J111" s="7" t="s">
        <v>480</v>
      </c>
      <c r="K111" s="7" t="s">
        <v>481</v>
      </c>
      <c r="L111" s="7" t="s">
        <v>27</v>
      </c>
      <c r="M111" s="7" t="s">
        <v>28</v>
      </c>
      <c r="N111" s="9" t="s">
        <v>75</v>
      </c>
      <c r="O111" s="7" t="s">
        <v>30</v>
      </c>
      <c r="P111" s="7" t="s">
        <v>20</v>
      </c>
      <c r="Q111" s="7"/>
      <c r="R111" s="7" t="str" cm="1">
        <f t="array" ref="R111">IF(AND(Q111="",P111&lt;&gt;""),N111,_xlfn.SWITCH(IF(Q111&lt;&gt;"",Q111,O111)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Centers",IF(Q111&lt;&gt;"",Q111,O111)))</f>
        <v>Agenturleiter/in</v>
      </c>
      <c r="S111" s="7" t="str">
        <f>IF(N111&lt;&gt;R111,"x","")</f>
        <v>x</v>
      </c>
    </row>
    <row r="112" spans="1:19" hidden="1" x14ac:dyDescent="0.25">
      <c r="A112" s="7" t="s">
        <v>482</v>
      </c>
      <c r="B112" s="7" t="s">
        <v>20</v>
      </c>
      <c r="C112" s="7" t="s">
        <v>449</v>
      </c>
      <c r="D112" s="7" t="s">
        <v>450</v>
      </c>
      <c r="E112" s="7" t="s">
        <v>20</v>
      </c>
      <c r="F112" s="7" t="s">
        <v>20</v>
      </c>
      <c r="G112" s="7" t="s">
        <v>319</v>
      </c>
      <c r="H112" s="7" t="s">
        <v>20</v>
      </c>
      <c r="I112" s="8" t="s">
        <v>375</v>
      </c>
      <c r="J112" s="7" t="s">
        <v>483</v>
      </c>
      <c r="K112" s="7" t="s">
        <v>484</v>
      </c>
      <c r="L112" s="7" t="s">
        <v>97</v>
      </c>
      <c r="M112" s="7" t="s">
        <v>98</v>
      </c>
      <c r="N112" s="9" t="s">
        <v>80</v>
      </c>
      <c r="O112" s="7" t="s">
        <v>99</v>
      </c>
      <c r="P112" s="7" t="s">
        <v>20</v>
      </c>
      <c r="Q112" s="7"/>
      <c r="R112" s="7" t="str" cm="1">
        <f t="array" ref="R112">IF(AND(Q112="",P112&lt;&gt;""),N112,_xlfn.SWITCH(IF(Q112&lt;&gt;"",Q112,O112)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Centers",IF(Q112&lt;&gt;"",Q112,O112)))</f>
        <v>Hauptagent/in</v>
      </c>
      <c r="S112" s="7" t="str">
        <f>IF(N112&lt;&gt;R112,"x","")</f>
        <v>x</v>
      </c>
    </row>
    <row r="113" spans="1:19" hidden="1" x14ac:dyDescent="0.25">
      <c r="A113" s="7" t="s">
        <v>485</v>
      </c>
      <c r="B113" s="7" t="s">
        <v>20</v>
      </c>
      <c r="C113" s="7" t="s">
        <v>449</v>
      </c>
      <c r="D113" s="7" t="s">
        <v>450</v>
      </c>
      <c r="E113" s="7" t="s">
        <v>20</v>
      </c>
      <c r="F113" s="7" t="s">
        <v>20</v>
      </c>
      <c r="G113" s="7" t="s">
        <v>319</v>
      </c>
      <c r="H113" s="7" t="s">
        <v>20</v>
      </c>
      <c r="I113" s="8" t="s">
        <v>486</v>
      </c>
      <c r="J113" s="7" t="s">
        <v>487</v>
      </c>
      <c r="K113" s="7" t="s">
        <v>488</v>
      </c>
      <c r="L113" s="7" t="s">
        <v>27</v>
      </c>
      <c r="M113" s="7" t="s">
        <v>28</v>
      </c>
      <c r="N113" s="9" t="s">
        <v>75</v>
      </c>
      <c r="O113" s="7" t="s">
        <v>54</v>
      </c>
      <c r="P113" s="7" t="s">
        <v>20</v>
      </c>
      <c r="Q113" s="7"/>
      <c r="R113" s="7" t="str" cm="1">
        <f t="array" ref="R113">IF(AND(Q113="",P113&lt;&gt;""),N113,_xlfn.SWITCH(IF(Q113&lt;&gt;"",Q113,O113)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Centers",IF(Q113&lt;&gt;"",Q113,O113)))</f>
        <v>Agenturleiter/in</v>
      </c>
      <c r="S113" s="7" t="str">
        <f>IF(N113&lt;&gt;R113,"x","")</f>
        <v>x</v>
      </c>
    </row>
    <row r="114" spans="1:19" hidden="1" x14ac:dyDescent="0.25">
      <c r="A114" s="7" t="s">
        <v>489</v>
      </c>
      <c r="B114" s="7" t="s">
        <v>20</v>
      </c>
      <c r="C114" s="7" t="s">
        <v>449</v>
      </c>
      <c r="D114" s="7" t="s">
        <v>450</v>
      </c>
      <c r="E114" s="7" t="s">
        <v>20</v>
      </c>
      <c r="F114" s="7" t="s">
        <v>20</v>
      </c>
      <c r="G114" s="7" t="s">
        <v>319</v>
      </c>
      <c r="H114" s="7" t="s">
        <v>20</v>
      </c>
      <c r="I114" s="8" t="s">
        <v>163</v>
      </c>
      <c r="J114" s="7" t="s">
        <v>490</v>
      </c>
      <c r="K114" s="7" t="s">
        <v>491</v>
      </c>
      <c r="L114" s="7" t="s">
        <v>40</v>
      </c>
      <c r="M114" s="7" t="s">
        <v>41</v>
      </c>
      <c r="N114" s="9" t="s">
        <v>80</v>
      </c>
      <c r="O114" s="7" t="s">
        <v>48</v>
      </c>
      <c r="P114" s="7" t="s">
        <v>20</v>
      </c>
      <c r="Q114" s="7"/>
      <c r="R114" s="7" t="str" cm="1">
        <f t="array" ref="R114">IF(AND(Q114="",P114&lt;&gt;""),N114,_xlfn.SWITCH(IF(Q114&lt;&gt;"",Q114,O114)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Centers",IF(Q114&lt;&gt;"",Q114,O114)))</f>
        <v>Repräsentant/in</v>
      </c>
      <c r="S114" s="7" t="str">
        <f>IF(N114&lt;&gt;R114,"x","")</f>
        <v>x</v>
      </c>
    </row>
    <row r="115" spans="1:19" hidden="1" x14ac:dyDescent="0.25">
      <c r="A115" s="7" t="s">
        <v>492</v>
      </c>
      <c r="B115" s="7" t="s">
        <v>20</v>
      </c>
      <c r="C115" s="7" t="s">
        <v>449</v>
      </c>
      <c r="D115" s="7" t="s">
        <v>450</v>
      </c>
      <c r="E115" s="7" t="s">
        <v>20</v>
      </c>
      <c r="F115" s="7" t="s">
        <v>20</v>
      </c>
      <c r="G115" s="7" t="s">
        <v>319</v>
      </c>
      <c r="H115" s="7" t="s">
        <v>20</v>
      </c>
      <c r="I115" s="8" t="s">
        <v>32</v>
      </c>
      <c r="J115" s="7" t="s">
        <v>493</v>
      </c>
      <c r="K115" s="7" t="s">
        <v>494</v>
      </c>
      <c r="L115" s="7" t="s">
        <v>27</v>
      </c>
      <c r="M115" s="7" t="s">
        <v>28</v>
      </c>
      <c r="N115" s="9" t="s">
        <v>80</v>
      </c>
      <c r="O115" s="7" t="s">
        <v>30</v>
      </c>
      <c r="P115" s="7" t="s">
        <v>20</v>
      </c>
      <c r="Q115" s="7"/>
      <c r="R115" s="7" t="str" cm="1">
        <f t="array" ref="R115">IF(AND(Q115="",P115&lt;&gt;""),N115,_xlfn.SWITCH(IF(Q115&lt;&gt;"",Q115,O115)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Centers",IF(Q115&lt;&gt;"",Q115,O115)))</f>
        <v>Agenturleiter/in</v>
      </c>
      <c r="S115" s="7" t="str">
        <f>IF(N115&lt;&gt;R115,"x","")</f>
        <v>x</v>
      </c>
    </row>
    <row r="116" spans="1:19" hidden="1" x14ac:dyDescent="0.25">
      <c r="A116" s="7" t="s">
        <v>495</v>
      </c>
      <c r="B116" s="7" t="s">
        <v>20</v>
      </c>
      <c r="C116" s="7" t="s">
        <v>449</v>
      </c>
      <c r="D116" s="7" t="s">
        <v>450</v>
      </c>
      <c r="E116" s="7" t="s">
        <v>20</v>
      </c>
      <c r="F116" s="7" t="s">
        <v>20</v>
      </c>
      <c r="G116" s="7" t="s">
        <v>319</v>
      </c>
      <c r="H116" s="7" t="s">
        <v>20</v>
      </c>
      <c r="I116" s="8" t="s">
        <v>496</v>
      </c>
      <c r="J116" s="7" t="s">
        <v>497</v>
      </c>
      <c r="K116" s="7" t="s">
        <v>498</v>
      </c>
      <c r="L116" s="7" t="s">
        <v>40</v>
      </c>
      <c r="M116" s="7" t="s">
        <v>41</v>
      </c>
      <c r="N116" s="9" t="s">
        <v>80</v>
      </c>
      <c r="O116" s="7" t="s">
        <v>48</v>
      </c>
      <c r="P116" s="7" t="s">
        <v>20</v>
      </c>
      <c r="Q116" s="7"/>
      <c r="R116" s="7" t="str" cm="1">
        <f t="array" ref="R116">IF(AND(Q116="",P116&lt;&gt;""),N116,_xlfn.SWITCH(IF(Q116&lt;&gt;"",Q116,O116)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Centers",IF(Q116&lt;&gt;"",Q116,O116)))</f>
        <v>Repräsentant/in</v>
      </c>
      <c r="S116" s="7" t="str">
        <f>IF(N116&lt;&gt;R116,"x","")</f>
        <v>x</v>
      </c>
    </row>
    <row r="117" spans="1:19" hidden="1" x14ac:dyDescent="0.25">
      <c r="A117" s="7" t="s">
        <v>499</v>
      </c>
      <c r="B117" s="7" t="s">
        <v>20</v>
      </c>
      <c r="C117" s="7" t="s">
        <v>449</v>
      </c>
      <c r="D117" s="7" t="s">
        <v>450</v>
      </c>
      <c r="E117" s="7" t="s">
        <v>20</v>
      </c>
      <c r="F117" s="7" t="s">
        <v>20</v>
      </c>
      <c r="G117" s="7" t="s">
        <v>319</v>
      </c>
      <c r="H117" s="7" t="s">
        <v>20</v>
      </c>
      <c r="I117" s="8" t="s">
        <v>500</v>
      </c>
      <c r="J117" s="7" t="s">
        <v>501</v>
      </c>
      <c r="K117" s="7" t="s">
        <v>502</v>
      </c>
      <c r="L117" s="7" t="s">
        <v>40</v>
      </c>
      <c r="M117" s="7" t="s">
        <v>41</v>
      </c>
      <c r="N117" s="9" t="s">
        <v>75</v>
      </c>
      <c r="O117" s="7" t="s">
        <v>48</v>
      </c>
      <c r="P117" s="7" t="s">
        <v>20</v>
      </c>
      <c r="Q117" s="7"/>
      <c r="R117" s="7" t="str" cm="1">
        <f t="array" ref="R117">IF(AND(Q117="",P117&lt;&gt;""),N117,_xlfn.SWITCH(IF(Q117&lt;&gt;"",Q117,O117)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Centers",IF(Q117&lt;&gt;"",Q117,O117)))</f>
        <v>Repräsentant/in</v>
      </c>
      <c r="S117" s="7" t="str">
        <f>IF(N117&lt;&gt;R117,"x","")</f>
        <v>x</v>
      </c>
    </row>
    <row r="118" spans="1:19" hidden="1" x14ac:dyDescent="0.25">
      <c r="A118" s="7" t="s">
        <v>503</v>
      </c>
      <c r="B118" s="7" t="s">
        <v>20</v>
      </c>
      <c r="C118" s="7" t="s">
        <v>449</v>
      </c>
      <c r="D118" s="7" t="s">
        <v>450</v>
      </c>
      <c r="E118" s="7" t="s">
        <v>20</v>
      </c>
      <c r="F118" s="7" t="s">
        <v>20</v>
      </c>
      <c r="G118" s="7" t="s">
        <v>319</v>
      </c>
      <c r="H118" s="7" t="s">
        <v>20</v>
      </c>
      <c r="I118" s="8" t="s">
        <v>504</v>
      </c>
      <c r="J118" s="7" t="s">
        <v>505</v>
      </c>
      <c r="K118" s="7" t="s">
        <v>506</v>
      </c>
      <c r="L118" s="7" t="s">
        <v>40</v>
      </c>
      <c r="M118" s="7" t="s">
        <v>41</v>
      </c>
      <c r="N118" s="9" t="s">
        <v>75</v>
      </c>
      <c r="O118" s="7" t="s">
        <v>43</v>
      </c>
      <c r="P118" s="7" t="s">
        <v>20</v>
      </c>
      <c r="Q118" s="7"/>
      <c r="R118" s="7" t="str" cm="1">
        <f t="array" ref="R118">IF(AND(Q118="",P118&lt;&gt;""),N118,_xlfn.SWITCH(IF(Q118&lt;&gt;"",Q118,O118)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Centers",IF(Q118&lt;&gt;"",Q118,O118)))</f>
        <v>Repräsentant/in</v>
      </c>
      <c r="S118" s="7" t="str">
        <f>IF(N118&lt;&gt;R118,"x","")</f>
        <v>x</v>
      </c>
    </row>
    <row r="119" spans="1:19" hidden="1" x14ac:dyDescent="0.25">
      <c r="A119" s="7" t="s">
        <v>507</v>
      </c>
      <c r="B119" s="7" t="s">
        <v>20</v>
      </c>
      <c r="C119" s="7" t="s">
        <v>449</v>
      </c>
      <c r="D119" s="7" t="s">
        <v>450</v>
      </c>
      <c r="E119" s="7" t="s">
        <v>20</v>
      </c>
      <c r="F119" s="7" t="s">
        <v>20</v>
      </c>
      <c r="G119" s="7" t="s">
        <v>319</v>
      </c>
      <c r="H119" s="7" t="s">
        <v>20</v>
      </c>
      <c r="I119" s="8" t="s">
        <v>138</v>
      </c>
      <c r="J119" s="7" t="s">
        <v>508</v>
      </c>
      <c r="K119" s="7" t="s">
        <v>509</v>
      </c>
      <c r="L119" s="7" t="s">
        <v>64</v>
      </c>
      <c r="M119" s="7" t="s">
        <v>65</v>
      </c>
      <c r="N119" s="9" t="s">
        <v>334</v>
      </c>
      <c r="O119" s="7" t="s">
        <v>510</v>
      </c>
      <c r="P119" s="7" t="s">
        <v>20</v>
      </c>
      <c r="Q119" s="9" t="s">
        <v>334</v>
      </c>
      <c r="R119" s="7" t="str" cm="1">
        <f t="array" ref="R119">IF(AND(Q119="",P119&lt;&gt;""),N119,_xlfn.SWITCH(IF(Q119&lt;&gt;"",Q119,O119)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Centers",IF(Q119&lt;&gt;"",Q119,O119)))</f>
        <v>Generalagentin</v>
      </c>
      <c r="S119" s="7" t="str">
        <f>IF(N119&lt;&gt;R119,"x","")</f>
        <v/>
      </c>
    </row>
    <row r="120" spans="1:19" hidden="1" x14ac:dyDescent="0.25">
      <c r="A120" s="7" t="s">
        <v>511</v>
      </c>
      <c r="B120" s="7" t="s">
        <v>20</v>
      </c>
      <c r="C120" s="7" t="s">
        <v>449</v>
      </c>
      <c r="D120" s="7" t="s">
        <v>450</v>
      </c>
      <c r="E120" s="7" t="s">
        <v>20</v>
      </c>
      <c r="F120" s="7" t="s">
        <v>20</v>
      </c>
      <c r="G120" s="7" t="s">
        <v>319</v>
      </c>
      <c r="H120" s="7" t="s">
        <v>20</v>
      </c>
      <c r="I120" s="8" t="s">
        <v>343</v>
      </c>
      <c r="J120" s="7" t="s">
        <v>512</v>
      </c>
      <c r="K120" s="7" t="s">
        <v>63</v>
      </c>
      <c r="L120" s="7" t="s">
        <v>27</v>
      </c>
      <c r="M120" s="7" t="s">
        <v>28</v>
      </c>
      <c r="N120" s="9" t="s">
        <v>126</v>
      </c>
      <c r="O120" s="7" t="s">
        <v>30</v>
      </c>
      <c r="P120" s="7" t="s">
        <v>49</v>
      </c>
      <c r="Q120" s="7"/>
      <c r="R120" s="7" t="str" cm="1">
        <f t="array" ref="R120">IF(AND(Q120="",P120&lt;&gt;""),N120,_xlfn.SWITCH(IF(Q120&lt;&gt;"",Q120,O120)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Centers",IF(Q120&lt;&gt;"",Q120,O120)))</f>
        <v>Leiter einer Hauptgeschäftsstelle</v>
      </c>
      <c r="S120" s="7" t="str">
        <f>IF(N120&lt;&gt;R120,"x","")</f>
        <v/>
      </c>
    </row>
    <row r="121" spans="1:19" hidden="1" x14ac:dyDescent="0.25">
      <c r="A121" s="7" t="s">
        <v>513</v>
      </c>
      <c r="B121" s="7" t="s">
        <v>20</v>
      </c>
      <c r="C121" s="7" t="s">
        <v>449</v>
      </c>
      <c r="D121" s="7" t="s">
        <v>450</v>
      </c>
      <c r="E121" s="7" t="s">
        <v>20</v>
      </c>
      <c r="F121" s="7" t="s">
        <v>20</v>
      </c>
      <c r="G121" s="7" t="s">
        <v>319</v>
      </c>
      <c r="H121" s="7" t="s">
        <v>20</v>
      </c>
      <c r="I121" s="8" t="s">
        <v>514</v>
      </c>
      <c r="J121" s="7" t="s">
        <v>515</v>
      </c>
      <c r="K121" s="7" t="s">
        <v>63</v>
      </c>
      <c r="L121" s="7" t="s">
        <v>97</v>
      </c>
      <c r="M121" s="7" t="s">
        <v>98</v>
      </c>
      <c r="N121" s="9" t="s">
        <v>35</v>
      </c>
      <c r="O121" s="7" t="s">
        <v>99</v>
      </c>
      <c r="P121" s="7" t="s">
        <v>49</v>
      </c>
      <c r="Q121" s="7"/>
      <c r="R121" s="7" t="str" cm="1">
        <f t="array" ref="R121">IF(AND(Q121="",P121&lt;&gt;""),N121,_xlfn.SWITCH(IF(Q121&lt;&gt;"",Q121,O121)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Centers",IF(Q121&lt;&gt;"",Q121,O121)))</f>
        <v>Leiter/in einer Geschäftsstelle</v>
      </c>
      <c r="S121" s="7" t="str">
        <f>IF(N121&lt;&gt;R121,"x","")</f>
        <v/>
      </c>
    </row>
    <row r="122" spans="1:19" hidden="1" x14ac:dyDescent="0.25">
      <c r="A122" s="7" t="s">
        <v>516</v>
      </c>
      <c r="B122" s="7" t="s">
        <v>20</v>
      </c>
      <c r="C122" s="7" t="s">
        <v>449</v>
      </c>
      <c r="D122" s="7" t="s">
        <v>450</v>
      </c>
      <c r="E122" s="7" t="s">
        <v>20</v>
      </c>
      <c r="F122" s="7" t="s">
        <v>20</v>
      </c>
      <c r="G122" s="7" t="s">
        <v>319</v>
      </c>
      <c r="H122" s="7" t="s">
        <v>20</v>
      </c>
      <c r="I122" s="8" t="s">
        <v>517</v>
      </c>
      <c r="J122" s="7" t="s">
        <v>422</v>
      </c>
      <c r="K122" s="7" t="s">
        <v>518</v>
      </c>
      <c r="L122" s="7" t="s">
        <v>228</v>
      </c>
      <c r="M122" s="7" t="s">
        <v>229</v>
      </c>
      <c r="N122" s="9" t="s">
        <v>35</v>
      </c>
      <c r="O122" s="7" t="s">
        <v>30</v>
      </c>
      <c r="P122" s="7" t="s">
        <v>20</v>
      </c>
      <c r="Q122" s="9" t="s">
        <v>35</v>
      </c>
      <c r="R122" s="7" t="str" cm="1">
        <f t="array" ref="R122">IF(AND(Q122="",P122&lt;&gt;""),N122,_xlfn.SWITCH(IF(Q122&lt;&gt;"",Q122,O122)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Centers",IF(Q122&lt;&gt;"",Q122,O122)))</f>
        <v>Leiter/in einer Geschäftsstelle</v>
      </c>
      <c r="S122" s="7" t="str">
        <f>IF(N122&lt;&gt;R122,"x","")</f>
        <v/>
      </c>
    </row>
    <row r="123" spans="1:19" hidden="1" x14ac:dyDescent="0.25">
      <c r="A123" s="7" t="s">
        <v>519</v>
      </c>
      <c r="B123" s="7" t="s">
        <v>20</v>
      </c>
      <c r="C123" s="7" t="s">
        <v>449</v>
      </c>
      <c r="D123" s="7" t="s">
        <v>450</v>
      </c>
      <c r="E123" s="7" t="s">
        <v>20</v>
      </c>
      <c r="F123" s="7" t="s">
        <v>20</v>
      </c>
      <c r="G123" s="7" t="s">
        <v>319</v>
      </c>
      <c r="H123" s="7" t="s">
        <v>20</v>
      </c>
      <c r="I123" s="8" t="s">
        <v>520</v>
      </c>
      <c r="J123" s="7" t="s">
        <v>344</v>
      </c>
      <c r="K123" s="7" t="s">
        <v>521</v>
      </c>
      <c r="L123" s="7" t="s">
        <v>97</v>
      </c>
      <c r="M123" s="7" t="s">
        <v>98</v>
      </c>
      <c r="N123" s="9" t="s">
        <v>66</v>
      </c>
      <c r="O123" s="7" t="s">
        <v>99</v>
      </c>
      <c r="P123" s="7" t="s">
        <v>20</v>
      </c>
      <c r="Q123" s="7"/>
      <c r="R123" s="7" t="str" cm="1">
        <f t="array" ref="R123">IF(AND(Q123="",P123&lt;&gt;""),N123,_xlfn.SWITCH(IF(Q123&lt;&gt;"",Q123,O123)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Centers",IF(Q123&lt;&gt;"",Q123,O123)))</f>
        <v>Hauptagent/in</v>
      </c>
      <c r="S123" s="7" t="str">
        <f>IF(N123&lt;&gt;R123,"x","")</f>
        <v>x</v>
      </c>
    </row>
    <row r="124" spans="1:19" hidden="1" x14ac:dyDescent="0.25">
      <c r="A124" s="7" t="s">
        <v>522</v>
      </c>
      <c r="B124" s="7" t="s">
        <v>20</v>
      </c>
      <c r="C124" s="7" t="s">
        <v>449</v>
      </c>
      <c r="D124" s="7" t="s">
        <v>450</v>
      </c>
      <c r="E124" s="7" t="s">
        <v>20</v>
      </c>
      <c r="F124" s="7" t="s">
        <v>20</v>
      </c>
      <c r="G124" s="7" t="s">
        <v>319</v>
      </c>
      <c r="H124" s="7" t="s">
        <v>20</v>
      </c>
      <c r="I124" s="8" t="s">
        <v>72</v>
      </c>
      <c r="J124" s="7" t="s">
        <v>523</v>
      </c>
      <c r="K124" s="7" t="s">
        <v>524</v>
      </c>
      <c r="L124" s="7" t="s">
        <v>27</v>
      </c>
      <c r="M124" s="7" t="s">
        <v>28</v>
      </c>
      <c r="N124" s="9" t="s">
        <v>75</v>
      </c>
      <c r="O124" s="7" t="s">
        <v>30</v>
      </c>
      <c r="P124" s="7" t="s">
        <v>20</v>
      </c>
      <c r="Q124" s="7"/>
      <c r="R124" s="7" t="str" cm="1">
        <f t="array" ref="R124">IF(AND(Q124="",P124&lt;&gt;""),N124,_xlfn.SWITCH(IF(Q124&lt;&gt;"",Q124,O124)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Centers",IF(Q124&lt;&gt;"",Q124,O124)))</f>
        <v>Agenturleiter/in</v>
      </c>
      <c r="S124" s="7" t="str">
        <f>IF(N124&lt;&gt;R124,"x","")</f>
        <v>x</v>
      </c>
    </row>
    <row r="125" spans="1:19" hidden="1" x14ac:dyDescent="0.25">
      <c r="A125" s="7" t="s">
        <v>525</v>
      </c>
      <c r="B125" s="7" t="s">
        <v>20</v>
      </c>
      <c r="C125" s="7" t="s">
        <v>449</v>
      </c>
      <c r="D125" s="7" t="s">
        <v>450</v>
      </c>
      <c r="E125" s="7" t="s">
        <v>20</v>
      </c>
      <c r="F125" s="7" t="s">
        <v>20</v>
      </c>
      <c r="G125" s="7" t="s">
        <v>319</v>
      </c>
      <c r="H125" s="7" t="s">
        <v>20</v>
      </c>
      <c r="I125" s="8" t="s">
        <v>526</v>
      </c>
      <c r="J125" s="7" t="s">
        <v>527</v>
      </c>
      <c r="K125" s="7" t="s">
        <v>528</v>
      </c>
      <c r="L125" s="7" t="s">
        <v>40</v>
      </c>
      <c r="M125" s="7" t="s">
        <v>41</v>
      </c>
      <c r="N125" s="9" t="s">
        <v>75</v>
      </c>
      <c r="O125" s="7" t="s">
        <v>88</v>
      </c>
      <c r="P125" s="7" t="s">
        <v>20</v>
      </c>
      <c r="Q125" s="7"/>
      <c r="R125" s="7" t="str" cm="1">
        <f t="array" ref="R125">IF(AND(Q125="",P125&lt;&gt;""),N125,_xlfn.SWITCH(IF(Q125&lt;&gt;"",Q125,O125)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Centers",IF(Q125&lt;&gt;"",Q125,O125)))</f>
        <v>Kundenberater/in</v>
      </c>
      <c r="S125" s="7" t="str">
        <f>IF(N125&lt;&gt;R125,"x","")</f>
        <v>x</v>
      </c>
    </row>
    <row r="126" spans="1:19" hidden="1" x14ac:dyDescent="0.25">
      <c r="A126" s="7" t="s">
        <v>529</v>
      </c>
      <c r="B126" s="7" t="s">
        <v>20</v>
      </c>
      <c r="C126" s="7" t="s">
        <v>449</v>
      </c>
      <c r="D126" s="7" t="s">
        <v>450</v>
      </c>
      <c r="E126" s="7" t="s">
        <v>20</v>
      </c>
      <c r="F126" s="7" t="s">
        <v>20</v>
      </c>
      <c r="G126" s="7" t="s">
        <v>319</v>
      </c>
      <c r="H126" s="7" t="s">
        <v>20</v>
      </c>
      <c r="I126" s="8" t="s">
        <v>530</v>
      </c>
      <c r="J126" s="7" t="s">
        <v>531</v>
      </c>
      <c r="K126" s="7" t="s">
        <v>532</v>
      </c>
      <c r="L126" s="7" t="s">
        <v>40</v>
      </c>
      <c r="M126" s="7" t="s">
        <v>41</v>
      </c>
      <c r="N126" s="9" t="s">
        <v>80</v>
      </c>
      <c r="O126" s="7" t="s">
        <v>43</v>
      </c>
      <c r="P126" s="7" t="s">
        <v>20</v>
      </c>
      <c r="Q126" s="7"/>
      <c r="R126" s="7" t="str" cm="1">
        <f t="array" ref="R126">IF(AND(Q126="",P126&lt;&gt;""),N126,_xlfn.SWITCH(IF(Q126&lt;&gt;"",Q126,O126)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Centers",IF(Q126&lt;&gt;"",Q126,O126)))</f>
        <v>Repräsentant/in</v>
      </c>
      <c r="S126" s="7" t="str">
        <f>IF(N126&lt;&gt;R126,"x","")</f>
        <v>x</v>
      </c>
    </row>
    <row r="127" spans="1:19" hidden="1" x14ac:dyDescent="0.25">
      <c r="A127" s="7" t="s">
        <v>533</v>
      </c>
      <c r="B127" s="7" t="s">
        <v>20</v>
      </c>
      <c r="C127" s="7" t="s">
        <v>449</v>
      </c>
      <c r="D127" s="7" t="s">
        <v>450</v>
      </c>
      <c r="E127" s="7" t="s">
        <v>20</v>
      </c>
      <c r="F127" s="7" t="s">
        <v>20</v>
      </c>
      <c r="G127" s="7" t="s">
        <v>319</v>
      </c>
      <c r="H127" s="7" t="s">
        <v>20</v>
      </c>
      <c r="I127" s="8" t="s">
        <v>534</v>
      </c>
      <c r="J127" s="7" t="s">
        <v>476</v>
      </c>
      <c r="K127" s="7" t="s">
        <v>535</v>
      </c>
      <c r="L127" s="7" t="s">
        <v>40</v>
      </c>
      <c r="M127" s="7" t="s">
        <v>41</v>
      </c>
      <c r="N127" s="9" t="s">
        <v>75</v>
      </c>
      <c r="O127" s="7" t="s">
        <v>88</v>
      </c>
      <c r="P127" s="7" t="s">
        <v>20</v>
      </c>
      <c r="Q127" s="7"/>
      <c r="R127" s="7" t="str" cm="1">
        <f t="array" ref="R127">IF(AND(Q127="",P127&lt;&gt;""),N127,_xlfn.SWITCH(IF(Q127&lt;&gt;"",Q127,O127)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Centers",IF(Q127&lt;&gt;"",Q127,O127)))</f>
        <v>Kundenberater/in</v>
      </c>
      <c r="S127" s="7" t="str">
        <f>IF(N127&lt;&gt;R127,"x","")</f>
        <v>x</v>
      </c>
    </row>
    <row r="128" spans="1:19" hidden="1" x14ac:dyDescent="0.25">
      <c r="A128" s="7" t="s">
        <v>536</v>
      </c>
      <c r="B128" s="7" t="s">
        <v>20</v>
      </c>
      <c r="C128" s="7" t="s">
        <v>449</v>
      </c>
      <c r="D128" s="7" t="s">
        <v>450</v>
      </c>
      <c r="E128" s="7" t="s">
        <v>20</v>
      </c>
      <c r="F128" s="7" t="s">
        <v>20</v>
      </c>
      <c r="G128" s="7" t="s">
        <v>319</v>
      </c>
      <c r="H128" s="7" t="s">
        <v>20</v>
      </c>
      <c r="I128" s="8" t="s">
        <v>537</v>
      </c>
      <c r="J128" s="7" t="s">
        <v>538</v>
      </c>
      <c r="K128" s="7" t="s">
        <v>539</v>
      </c>
      <c r="L128" s="7" t="s">
        <v>40</v>
      </c>
      <c r="M128" s="7" t="s">
        <v>41</v>
      </c>
      <c r="N128" s="9" t="s">
        <v>75</v>
      </c>
      <c r="O128" s="7" t="s">
        <v>48</v>
      </c>
      <c r="P128" s="7" t="s">
        <v>20</v>
      </c>
      <c r="Q128" s="7"/>
      <c r="R128" s="7" t="str" cm="1">
        <f t="array" ref="R128">IF(AND(Q128="",P128&lt;&gt;""),N128,_xlfn.SWITCH(IF(Q128&lt;&gt;"",Q128,O128)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Centers",IF(Q128&lt;&gt;"",Q128,O128)))</f>
        <v>Repräsentant/in</v>
      </c>
      <c r="S128" s="7" t="str">
        <f>IF(N128&lt;&gt;R128,"x","")</f>
        <v>x</v>
      </c>
    </row>
    <row r="129" spans="1:19" x14ac:dyDescent="0.25">
      <c r="A129" s="7" t="s">
        <v>540</v>
      </c>
      <c r="B129" s="7" t="s">
        <v>20</v>
      </c>
      <c r="C129" s="7" t="s">
        <v>541</v>
      </c>
      <c r="D129" s="7" t="s">
        <v>542</v>
      </c>
      <c r="E129" s="7" t="s">
        <v>20</v>
      </c>
      <c r="F129" s="7" t="s">
        <v>20</v>
      </c>
      <c r="G129" s="7" t="e">
        <v>#N/A</v>
      </c>
      <c r="H129" s="7" t="s">
        <v>20</v>
      </c>
      <c r="I129" s="8" t="s">
        <v>543</v>
      </c>
      <c r="J129" s="7" t="s">
        <v>544</v>
      </c>
      <c r="K129" s="7" t="s">
        <v>545</v>
      </c>
      <c r="L129" s="7" t="s">
        <v>64</v>
      </c>
      <c r="M129" s="7" t="s">
        <v>65</v>
      </c>
      <c r="N129" s="9" t="s">
        <v>93</v>
      </c>
      <c r="O129" s="7" t="s">
        <v>67</v>
      </c>
      <c r="P129" s="7" t="s">
        <v>20</v>
      </c>
      <c r="Q129" s="7"/>
      <c r="R129" s="7" t="str" cm="1">
        <f t="array" ref="R129">IF(AND(Q129="",P129&lt;&gt;""),N129,_xlfn.SWITCH(IF(Q129&lt;&gt;"",Q129,O129)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Centers",IF(Q129&lt;&gt;"",Q129,O129)))</f>
        <v>Leiter/in des Service Centers</v>
      </c>
      <c r="S129" s="7" t="str">
        <f>IF(N129&lt;&gt;R129,"x","")</f>
        <v>x</v>
      </c>
    </row>
    <row r="130" spans="1:19" hidden="1" x14ac:dyDescent="0.25">
      <c r="A130" s="7" t="s">
        <v>546</v>
      </c>
      <c r="B130" s="7" t="s">
        <v>20</v>
      </c>
      <c r="C130" s="7" t="s">
        <v>547</v>
      </c>
      <c r="D130" s="7" t="s">
        <v>548</v>
      </c>
      <c r="E130" s="7" t="s">
        <v>20</v>
      </c>
      <c r="F130" s="7" t="s">
        <v>20</v>
      </c>
      <c r="G130" s="7" t="s">
        <v>549</v>
      </c>
      <c r="H130" s="7" t="s">
        <v>20</v>
      </c>
      <c r="I130" s="8" t="s">
        <v>550</v>
      </c>
      <c r="J130" s="7" t="s">
        <v>551</v>
      </c>
      <c r="K130" s="7" t="s">
        <v>552</v>
      </c>
      <c r="L130" s="7" t="s">
        <v>27</v>
      </c>
      <c r="M130" s="7" t="s">
        <v>28</v>
      </c>
      <c r="N130" s="10" t="s">
        <v>149</v>
      </c>
      <c r="O130" s="7" t="s">
        <v>30</v>
      </c>
      <c r="P130" s="7" t="s">
        <v>20</v>
      </c>
      <c r="Q130" s="7"/>
      <c r="R130" s="7" t="str" cm="1">
        <f t="array" ref="R130">IF(AND(Q130="",P130&lt;&gt;""),N130,_xlfn.SWITCH(IF(Q130&lt;&gt;"",Q130,O130)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Centers",IF(Q130&lt;&gt;"",Q130,O130)))</f>
        <v>Agenturleiter/in</v>
      </c>
      <c r="S130" s="7" t="str">
        <f>IF(N130&lt;&gt;R130,"x","")</f>
        <v>x</v>
      </c>
    </row>
    <row r="131" spans="1:19" hidden="1" x14ac:dyDescent="0.25">
      <c r="A131" s="7" t="s">
        <v>553</v>
      </c>
      <c r="B131" s="7" t="s">
        <v>20</v>
      </c>
      <c r="C131" s="7" t="s">
        <v>547</v>
      </c>
      <c r="D131" s="7" t="s">
        <v>548</v>
      </c>
      <c r="E131" s="7" t="s">
        <v>20</v>
      </c>
      <c r="F131" s="7" t="s">
        <v>20</v>
      </c>
      <c r="G131" s="7" t="s">
        <v>549</v>
      </c>
      <c r="H131" s="7" t="s">
        <v>20</v>
      </c>
      <c r="I131" s="8" t="s">
        <v>554</v>
      </c>
      <c r="J131" s="7" t="s">
        <v>555</v>
      </c>
      <c r="K131" s="7" t="s">
        <v>556</v>
      </c>
      <c r="L131" s="7" t="s">
        <v>124</v>
      </c>
      <c r="M131" s="7" t="s">
        <v>125</v>
      </c>
      <c r="N131" s="9" t="s">
        <v>149</v>
      </c>
      <c r="O131" s="7" t="s">
        <v>67</v>
      </c>
      <c r="P131" s="7" t="s">
        <v>20</v>
      </c>
      <c r="Q131" s="7"/>
      <c r="R131" s="7" t="str" cm="1">
        <f t="array" ref="R131">IF(AND(Q131="",P131&lt;&gt;""),N131,_xlfn.SWITCH(IF(Q131&lt;&gt;"",Q131,O131)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Centers",IF(Q131&lt;&gt;"",Q131,O131)))</f>
        <v>Leiter/in des Service Centers</v>
      </c>
      <c r="S131" s="7" t="str">
        <f>IF(N131&lt;&gt;R131,"x","")</f>
        <v>x</v>
      </c>
    </row>
    <row r="132" spans="1:19" hidden="1" x14ac:dyDescent="0.25">
      <c r="A132" s="7" t="s">
        <v>557</v>
      </c>
      <c r="B132" s="7" t="s">
        <v>20</v>
      </c>
      <c r="C132" s="7" t="s">
        <v>547</v>
      </c>
      <c r="D132" s="7" t="s">
        <v>548</v>
      </c>
      <c r="E132" s="7" t="s">
        <v>20</v>
      </c>
      <c r="F132" s="7" t="s">
        <v>20</v>
      </c>
      <c r="G132" s="7" t="s">
        <v>549</v>
      </c>
      <c r="H132" s="7" t="s">
        <v>20</v>
      </c>
      <c r="I132" s="8" t="s">
        <v>558</v>
      </c>
      <c r="J132" s="7" t="s">
        <v>559</v>
      </c>
      <c r="K132" s="7" t="s">
        <v>560</v>
      </c>
      <c r="L132" s="7" t="s">
        <v>40</v>
      </c>
      <c r="M132" s="7" t="s">
        <v>41</v>
      </c>
      <c r="N132" s="9" t="s">
        <v>75</v>
      </c>
      <c r="O132" s="7" t="s">
        <v>48</v>
      </c>
      <c r="P132" s="7" t="s">
        <v>20</v>
      </c>
      <c r="Q132" s="7"/>
      <c r="R132" s="7" t="str" cm="1">
        <f t="array" ref="R132">IF(AND(Q132="",P132&lt;&gt;""),N132,_xlfn.SWITCH(IF(Q132&lt;&gt;"",Q132,O132)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Centers",IF(Q132&lt;&gt;"",Q132,O132)))</f>
        <v>Repräsentant/in</v>
      </c>
      <c r="S132" s="7" t="str">
        <f>IF(N132&lt;&gt;R132,"x","")</f>
        <v>x</v>
      </c>
    </row>
    <row r="133" spans="1:19" hidden="1" x14ac:dyDescent="0.25">
      <c r="A133" s="7" t="s">
        <v>561</v>
      </c>
      <c r="B133" s="7" t="s">
        <v>20</v>
      </c>
      <c r="C133" s="7" t="s">
        <v>547</v>
      </c>
      <c r="D133" s="7" t="s">
        <v>548</v>
      </c>
      <c r="E133" s="7" t="s">
        <v>20</v>
      </c>
      <c r="F133" s="7" t="s">
        <v>20</v>
      </c>
      <c r="G133" s="7" t="s">
        <v>549</v>
      </c>
      <c r="H133" s="7" t="s">
        <v>20</v>
      </c>
      <c r="I133" s="8" t="s">
        <v>562</v>
      </c>
      <c r="J133" s="7" t="s">
        <v>563</v>
      </c>
      <c r="K133" s="7" t="s">
        <v>564</v>
      </c>
      <c r="L133" s="7" t="s">
        <v>27</v>
      </c>
      <c r="M133" s="7" t="s">
        <v>28</v>
      </c>
      <c r="N133" s="9" t="s">
        <v>66</v>
      </c>
      <c r="O133" s="7" t="s">
        <v>30</v>
      </c>
      <c r="P133" s="7" t="s">
        <v>20</v>
      </c>
      <c r="Q133" s="7"/>
      <c r="R133" s="7" t="str" cm="1">
        <f t="array" ref="R133">IF(AND(Q133="",P133&lt;&gt;""),N133,_xlfn.SWITCH(IF(Q133&lt;&gt;"",Q133,O133)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Centers",IF(Q133&lt;&gt;"",Q133,O133)))</f>
        <v>Agenturleiter/in</v>
      </c>
      <c r="S133" s="7" t="str">
        <f>IF(N133&lt;&gt;R133,"x","")</f>
        <v>x</v>
      </c>
    </row>
    <row r="134" spans="1:19" hidden="1" x14ac:dyDescent="0.25">
      <c r="A134" s="7" t="s">
        <v>565</v>
      </c>
      <c r="B134" s="7" t="s">
        <v>20</v>
      </c>
      <c r="C134" s="7" t="s">
        <v>547</v>
      </c>
      <c r="D134" s="7" t="s">
        <v>548</v>
      </c>
      <c r="E134" s="7" t="s">
        <v>20</v>
      </c>
      <c r="F134" s="7" t="s">
        <v>20</v>
      </c>
      <c r="G134" s="7" t="s">
        <v>549</v>
      </c>
      <c r="H134" s="7" t="s">
        <v>20</v>
      </c>
      <c r="I134" s="8" t="s">
        <v>566</v>
      </c>
      <c r="J134" s="7" t="s">
        <v>567</v>
      </c>
      <c r="K134" s="7" t="s">
        <v>568</v>
      </c>
      <c r="L134" s="7" t="s">
        <v>40</v>
      </c>
      <c r="M134" s="7" t="s">
        <v>41</v>
      </c>
      <c r="N134" s="9" t="s">
        <v>66</v>
      </c>
      <c r="O134" s="7" t="s">
        <v>48</v>
      </c>
      <c r="P134" s="7" t="s">
        <v>20</v>
      </c>
      <c r="Q134" s="7"/>
      <c r="R134" s="7" t="str" cm="1">
        <f t="array" ref="R134">IF(AND(Q134="",P134&lt;&gt;""),N134,_xlfn.SWITCH(IF(Q134&lt;&gt;"",Q134,O134)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Centers",IF(Q134&lt;&gt;"",Q134,O134)))</f>
        <v>Repräsentant/in</v>
      </c>
      <c r="S134" s="7" t="str">
        <f>IF(N134&lt;&gt;R134,"x","")</f>
        <v/>
      </c>
    </row>
    <row r="135" spans="1:19" hidden="1" x14ac:dyDescent="0.25">
      <c r="A135" s="7" t="s">
        <v>569</v>
      </c>
      <c r="B135" s="7" t="s">
        <v>20</v>
      </c>
      <c r="C135" s="7" t="s">
        <v>547</v>
      </c>
      <c r="D135" s="7" t="s">
        <v>548</v>
      </c>
      <c r="E135" s="7" t="s">
        <v>20</v>
      </c>
      <c r="F135" s="7" t="s">
        <v>20</v>
      </c>
      <c r="G135" s="7" t="s">
        <v>549</v>
      </c>
      <c r="H135" s="7" t="s">
        <v>20</v>
      </c>
      <c r="I135" s="8" t="s">
        <v>324</v>
      </c>
      <c r="J135" s="7" t="s">
        <v>570</v>
      </c>
      <c r="K135" s="7" t="s">
        <v>571</v>
      </c>
      <c r="L135" s="7" t="s">
        <v>64</v>
      </c>
      <c r="M135" s="7" t="s">
        <v>65</v>
      </c>
      <c r="N135" s="9" t="s">
        <v>111</v>
      </c>
      <c r="O135" s="7" t="s">
        <v>67</v>
      </c>
      <c r="P135" s="7" t="s">
        <v>20</v>
      </c>
      <c r="Q135" s="7"/>
      <c r="R135" s="7" t="str" cm="1">
        <f t="array" ref="R135">IF(AND(Q135="",P135&lt;&gt;""),N135,_xlfn.SWITCH(IF(Q135&lt;&gt;"",Q135,O135)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Centers",IF(Q135&lt;&gt;"",Q135,O135)))</f>
        <v>Leiter/in des Service Centers</v>
      </c>
      <c r="S135" s="7" t="str">
        <f>IF(N135&lt;&gt;R135,"x","")</f>
        <v>x</v>
      </c>
    </row>
    <row r="136" spans="1:19" hidden="1" x14ac:dyDescent="0.25">
      <c r="A136" s="7" t="s">
        <v>572</v>
      </c>
      <c r="B136" s="7" t="s">
        <v>20</v>
      </c>
      <c r="C136" s="7" t="s">
        <v>547</v>
      </c>
      <c r="D136" s="7" t="s">
        <v>548</v>
      </c>
      <c r="E136" s="7" t="s">
        <v>20</v>
      </c>
      <c r="F136" s="7" t="s">
        <v>20</v>
      </c>
      <c r="G136" s="7" t="s">
        <v>549</v>
      </c>
      <c r="H136" s="7" t="s">
        <v>20</v>
      </c>
      <c r="I136" s="8" t="s">
        <v>573</v>
      </c>
      <c r="J136" s="7" t="s">
        <v>574</v>
      </c>
      <c r="K136" s="7" t="s">
        <v>575</v>
      </c>
      <c r="L136" s="7" t="s">
        <v>64</v>
      </c>
      <c r="M136" s="7" t="s">
        <v>65</v>
      </c>
      <c r="N136" s="9" t="s">
        <v>111</v>
      </c>
      <c r="O136" s="7" t="s">
        <v>67</v>
      </c>
      <c r="P136" s="7" t="s">
        <v>20</v>
      </c>
      <c r="Q136" s="7"/>
      <c r="R136" s="7" t="str" cm="1">
        <f t="array" ref="R136">IF(AND(Q136="",P136&lt;&gt;""),N136,_xlfn.SWITCH(IF(Q136&lt;&gt;"",Q136,O136)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Centers",IF(Q136&lt;&gt;"",Q136,O136)))</f>
        <v>Leiter/in des Service Centers</v>
      </c>
      <c r="S136" s="7" t="str">
        <f>IF(N136&lt;&gt;R136,"x","")</f>
        <v>x</v>
      </c>
    </row>
    <row r="137" spans="1:19" hidden="1" x14ac:dyDescent="0.25">
      <c r="A137" s="7" t="s">
        <v>576</v>
      </c>
      <c r="B137" s="7" t="s">
        <v>20</v>
      </c>
      <c r="C137" s="7" t="s">
        <v>547</v>
      </c>
      <c r="D137" s="7" t="s">
        <v>548</v>
      </c>
      <c r="E137" s="7" t="s">
        <v>20</v>
      </c>
      <c r="F137" s="7" t="s">
        <v>20</v>
      </c>
      <c r="G137" s="7" t="s">
        <v>549</v>
      </c>
      <c r="H137" s="7" t="s">
        <v>20</v>
      </c>
      <c r="I137" s="8" t="s">
        <v>577</v>
      </c>
      <c r="J137" s="7" t="s">
        <v>578</v>
      </c>
      <c r="K137" s="7" t="s">
        <v>579</v>
      </c>
      <c r="L137" s="7" t="s">
        <v>40</v>
      </c>
      <c r="M137" s="7" t="s">
        <v>41</v>
      </c>
      <c r="N137" s="9" t="s">
        <v>75</v>
      </c>
      <c r="O137" s="7" t="s">
        <v>43</v>
      </c>
      <c r="P137" s="7" t="s">
        <v>20</v>
      </c>
      <c r="Q137" s="7"/>
      <c r="R137" s="7" t="str" cm="1">
        <f t="array" ref="R137">IF(AND(Q137="",P137&lt;&gt;""),N137,_xlfn.SWITCH(IF(Q137&lt;&gt;"",Q137,O137)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Centers",IF(Q137&lt;&gt;"",Q137,O137)))</f>
        <v>Repräsentant/in</v>
      </c>
      <c r="S137" s="7" t="str">
        <f>IF(N137&lt;&gt;R137,"x","")</f>
        <v>x</v>
      </c>
    </row>
    <row r="138" spans="1:19" hidden="1" x14ac:dyDescent="0.25">
      <c r="A138" s="7" t="s">
        <v>580</v>
      </c>
      <c r="B138" s="7" t="s">
        <v>20</v>
      </c>
      <c r="C138" s="7" t="s">
        <v>547</v>
      </c>
      <c r="D138" s="7" t="s">
        <v>548</v>
      </c>
      <c r="E138" s="7" t="s">
        <v>20</v>
      </c>
      <c r="F138" s="7" t="s">
        <v>20</v>
      </c>
      <c r="G138" s="7" t="s">
        <v>549</v>
      </c>
      <c r="H138" s="7" t="s">
        <v>20</v>
      </c>
      <c r="I138" s="8" t="s">
        <v>581</v>
      </c>
      <c r="J138" s="7" t="s">
        <v>582</v>
      </c>
      <c r="K138" s="7" t="s">
        <v>583</v>
      </c>
      <c r="L138" s="7" t="s">
        <v>97</v>
      </c>
      <c r="M138" s="7" t="s">
        <v>98</v>
      </c>
      <c r="N138" s="9" t="s">
        <v>75</v>
      </c>
      <c r="O138" s="7" t="s">
        <v>99</v>
      </c>
      <c r="P138" s="7" t="s">
        <v>20</v>
      </c>
      <c r="Q138" s="7"/>
      <c r="R138" s="7" t="str" cm="1">
        <f t="array" ref="R138">IF(AND(Q138="",P138&lt;&gt;""),N138,_xlfn.SWITCH(IF(Q138&lt;&gt;"",Q138,O138)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Centers",IF(Q138&lt;&gt;"",Q138,O138)))</f>
        <v>Hauptagent/in</v>
      </c>
      <c r="S138" s="7" t="str">
        <f>IF(N138&lt;&gt;R138,"x","")</f>
        <v>x</v>
      </c>
    </row>
    <row r="139" spans="1:19" hidden="1" x14ac:dyDescent="0.25">
      <c r="A139" s="7" t="s">
        <v>584</v>
      </c>
      <c r="B139" s="7" t="s">
        <v>20</v>
      </c>
      <c r="C139" s="7" t="s">
        <v>547</v>
      </c>
      <c r="D139" s="7" t="s">
        <v>548</v>
      </c>
      <c r="E139" s="7" t="s">
        <v>20</v>
      </c>
      <c r="F139" s="7" t="s">
        <v>20</v>
      </c>
      <c r="G139" s="7" t="s">
        <v>549</v>
      </c>
      <c r="H139" s="7" t="s">
        <v>20</v>
      </c>
      <c r="I139" s="8" t="s">
        <v>585</v>
      </c>
      <c r="J139" s="7" t="s">
        <v>586</v>
      </c>
      <c r="K139" s="7" t="s">
        <v>587</v>
      </c>
      <c r="L139" s="7" t="s">
        <v>40</v>
      </c>
      <c r="M139" s="7" t="s">
        <v>41</v>
      </c>
      <c r="N139" s="9" t="s">
        <v>66</v>
      </c>
      <c r="O139" s="7" t="s">
        <v>88</v>
      </c>
      <c r="P139" s="7" t="s">
        <v>20</v>
      </c>
      <c r="Q139" s="7"/>
      <c r="R139" s="7" t="str" cm="1">
        <f t="array" ref="R139">IF(AND(Q139="",P139&lt;&gt;""),N139,_xlfn.SWITCH(IF(Q139&lt;&gt;"",Q139,O139)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Centers",IF(Q139&lt;&gt;"",Q139,O139)))</f>
        <v>Kundenberater/in</v>
      </c>
      <c r="S139" s="7" t="str">
        <f>IF(N139&lt;&gt;R139,"x","")</f>
        <v>x</v>
      </c>
    </row>
    <row r="140" spans="1:19" hidden="1" x14ac:dyDescent="0.25">
      <c r="A140" s="7" t="s">
        <v>588</v>
      </c>
      <c r="B140" s="7" t="s">
        <v>20</v>
      </c>
      <c r="C140" s="7" t="s">
        <v>547</v>
      </c>
      <c r="D140" s="7" t="s">
        <v>548</v>
      </c>
      <c r="E140" s="7" t="s">
        <v>20</v>
      </c>
      <c r="F140" s="7" t="s">
        <v>20</v>
      </c>
      <c r="G140" s="7" t="s">
        <v>549</v>
      </c>
      <c r="H140" s="7" t="s">
        <v>20</v>
      </c>
      <c r="I140" s="8" t="s">
        <v>589</v>
      </c>
      <c r="J140" s="7" t="s">
        <v>590</v>
      </c>
      <c r="K140" s="7" t="s">
        <v>591</v>
      </c>
      <c r="L140" s="7" t="s">
        <v>40</v>
      </c>
      <c r="M140" s="7" t="s">
        <v>41</v>
      </c>
      <c r="N140" s="9" t="s">
        <v>75</v>
      </c>
      <c r="O140" s="7" t="s">
        <v>120</v>
      </c>
      <c r="P140" s="7" t="s">
        <v>20</v>
      </c>
      <c r="Q140" s="7"/>
      <c r="R140" s="7" t="str" cm="1">
        <f t="array" ref="R140">IF(AND(Q140="",P140&lt;&gt;""),N140,_xlfn.SWITCH(IF(Q140&lt;&gt;"",Q140,O140)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Centers",IF(Q140&lt;&gt;"",Q140,O140)))</f>
        <v>Kundenberater/in</v>
      </c>
      <c r="S140" s="7" t="str">
        <f>IF(N140&lt;&gt;R140,"x","")</f>
        <v>x</v>
      </c>
    </row>
    <row r="141" spans="1:19" hidden="1" x14ac:dyDescent="0.25">
      <c r="A141" s="7" t="s">
        <v>592</v>
      </c>
      <c r="B141" s="7" t="s">
        <v>20</v>
      </c>
      <c r="C141" s="7" t="s">
        <v>547</v>
      </c>
      <c r="D141" s="7" t="s">
        <v>548</v>
      </c>
      <c r="E141" s="7" t="s">
        <v>20</v>
      </c>
      <c r="F141" s="7" t="s">
        <v>20</v>
      </c>
      <c r="G141" s="7" t="s">
        <v>549</v>
      </c>
      <c r="H141" s="7" t="s">
        <v>20</v>
      </c>
      <c r="I141" s="8" t="s">
        <v>593</v>
      </c>
      <c r="J141" s="7" t="s">
        <v>594</v>
      </c>
      <c r="K141" s="7" t="s">
        <v>595</v>
      </c>
      <c r="L141" s="7" t="s">
        <v>40</v>
      </c>
      <c r="M141" s="7" t="s">
        <v>41</v>
      </c>
      <c r="N141" s="9" t="s">
        <v>75</v>
      </c>
      <c r="O141" s="7" t="s">
        <v>120</v>
      </c>
      <c r="P141" s="7" t="s">
        <v>20</v>
      </c>
      <c r="Q141" s="7"/>
      <c r="R141" s="7" t="str" cm="1">
        <f t="array" ref="R141">IF(AND(Q141="",P141&lt;&gt;""),N141,_xlfn.SWITCH(IF(Q141&lt;&gt;"",Q141,O141)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Centers",IF(Q141&lt;&gt;"",Q141,O141)))</f>
        <v>Kundenberater/in</v>
      </c>
      <c r="S141" s="7" t="str">
        <f>IF(N141&lt;&gt;R141,"x","")</f>
        <v>x</v>
      </c>
    </row>
    <row r="142" spans="1:19" hidden="1" x14ac:dyDescent="0.25">
      <c r="A142" s="7" t="s">
        <v>596</v>
      </c>
      <c r="B142" s="7" t="s">
        <v>20</v>
      </c>
      <c r="C142" s="7" t="s">
        <v>547</v>
      </c>
      <c r="D142" s="7" t="s">
        <v>548</v>
      </c>
      <c r="E142" s="7" t="s">
        <v>20</v>
      </c>
      <c r="F142" s="7" t="s">
        <v>20</v>
      </c>
      <c r="G142" s="7" t="s">
        <v>549</v>
      </c>
      <c r="H142" s="7" t="s">
        <v>20</v>
      </c>
      <c r="I142" s="8" t="s">
        <v>597</v>
      </c>
      <c r="J142" s="7" t="s">
        <v>598</v>
      </c>
      <c r="K142" s="7" t="s">
        <v>599</v>
      </c>
      <c r="L142" s="7" t="s">
        <v>40</v>
      </c>
      <c r="M142" s="7" t="s">
        <v>41</v>
      </c>
      <c r="N142" s="9" t="s">
        <v>75</v>
      </c>
      <c r="O142" s="7" t="s">
        <v>120</v>
      </c>
      <c r="P142" s="7" t="s">
        <v>20</v>
      </c>
      <c r="Q142" s="7"/>
      <c r="R142" s="7" t="str" cm="1">
        <f t="array" ref="R142">IF(AND(Q142="",P142&lt;&gt;""),N142,_xlfn.SWITCH(IF(Q142&lt;&gt;"",Q142,O142)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Centers",IF(Q142&lt;&gt;"",Q142,O142)))</f>
        <v>Kundenberater/in</v>
      </c>
      <c r="S142" s="7" t="str">
        <f>IF(N142&lt;&gt;R142,"x","")</f>
        <v>x</v>
      </c>
    </row>
    <row r="143" spans="1:19" hidden="1" x14ac:dyDescent="0.25">
      <c r="A143" s="7" t="s">
        <v>600</v>
      </c>
      <c r="B143" s="7" t="s">
        <v>20</v>
      </c>
      <c r="C143" s="7" t="s">
        <v>547</v>
      </c>
      <c r="D143" s="7" t="s">
        <v>548</v>
      </c>
      <c r="E143" s="7" t="s">
        <v>20</v>
      </c>
      <c r="F143" s="7" t="s">
        <v>20</v>
      </c>
      <c r="G143" s="7" t="s">
        <v>549</v>
      </c>
      <c r="H143" s="7" t="s">
        <v>20</v>
      </c>
      <c r="I143" s="8" t="s">
        <v>601</v>
      </c>
      <c r="J143" s="7" t="s">
        <v>344</v>
      </c>
      <c r="K143" s="7" t="s">
        <v>602</v>
      </c>
      <c r="L143" s="7" t="s">
        <v>40</v>
      </c>
      <c r="M143" s="7" t="s">
        <v>41</v>
      </c>
      <c r="N143" s="9" t="s">
        <v>75</v>
      </c>
      <c r="O143" s="7" t="s">
        <v>88</v>
      </c>
      <c r="P143" s="7" t="s">
        <v>20</v>
      </c>
      <c r="Q143" s="7"/>
      <c r="R143" s="7" t="str" cm="1">
        <f t="array" ref="R143">IF(AND(Q143="",P143&lt;&gt;""),N143,_xlfn.SWITCH(IF(Q143&lt;&gt;"",Q143,O143)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Centers",IF(Q143&lt;&gt;"",Q143,O143)))</f>
        <v>Kundenberater/in</v>
      </c>
      <c r="S143" s="7" t="str">
        <f>IF(N143&lt;&gt;R143,"x","")</f>
        <v>x</v>
      </c>
    </row>
    <row r="144" spans="1:19" hidden="1" x14ac:dyDescent="0.25">
      <c r="A144" s="7" t="s">
        <v>603</v>
      </c>
      <c r="B144" s="7" t="s">
        <v>20</v>
      </c>
      <c r="C144" s="7" t="s">
        <v>547</v>
      </c>
      <c r="D144" s="7" t="s">
        <v>548</v>
      </c>
      <c r="E144" s="7" t="s">
        <v>20</v>
      </c>
      <c r="F144" s="7" t="s">
        <v>20</v>
      </c>
      <c r="G144" s="7" t="s">
        <v>549</v>
      </c>
      <c r="H144" s="7" t="s">
        <v>20</v>
      </c>
      <c r="I144" s="8" t="s">
        <v>604</v>
      </c>
      <c r="J144" s="7" t="s">
        <v>605</v>
      </c>
      <c r="K144" s="7" t="s">
        <v>606</v>
      </c>
      <c r="L144" s="7" t="s">
        <v>40</v>
      </c>
      <c r="M144" s="7" t="s">
        <v>41</v>
      </c>
      <c r="N144" s="9" t="s">
        <v>75</v>
      </c>
      <c r="O144" s="7" t="s">
        <v>120</v>
      </c>
      <c r="P144" s="7" t="s">
        <v>20</v>
      </c>
      <c r="Q144" s="7"/>
      <c r="R144" s="7" t="str" cm="1">
        <f t="array" ref="R144">IF(AND(Q144="",P144&lt;&gt;""),N144,_xlfn.SWITCH(IF(Q144&lt;&gt;"",Q144,O144)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Centers",IF(Q144&lt;&gt;"",Q144,O144)))</f>
        <v>Kundenberater/in</v>
      </c>
      <c r="S144" s="7" t="str">
        <f>IF(N144&lt;&gt;R144,"x","")</f>
        <v>x</v>
      </c>
    </row>
    <row r="145" spans="1:19" hidden="1" x14ac:dyDescent="0.25">
      <c r="A145" s="7" t="s">
        <v>607</v>
      </c>
      <c r="B145" s="7" t="s">
        <v>20</v>
      </c>
      <c r="C145" s="7" t="s">
        <v>547</v>
      </c>
      <c r="D145" s="7" t="s">
        <v>548</v>
      </c>
      <c r="E145" s="7" t="s">
        <v>20</v>
      </c>
      <c r="F145" s="7" t="s">
        <v>20</v>
      </c>
      <c r="G145" s="7" t="s">
        <v>549</v>
      </c>
      <c r="H145" s="7" t="s">
        <v>20</v>
      </c>
      <c r="I145" s="8" t="s">
        <v>608</v>
      </c>
      <c r="J145" s="7" t="s">
        <v>609</v>
      </c>
      <c r="K145" s="7" t="s">
        <v>610</v>
      </c>
      <c r="L145" s="7" t="s">
        <v>40</v>
      </c>
      <c r="M145" s="7" t="s">
        <v>41</v>
      </c>
      <c r="N145" s="9" t="s">
        <v>75</v>
      </c>
      <c r="O145" s="7" t="s">
        <v>88</v>
      </c>
      <c r="P145" s="7" t="s">
        <v>20</v>
      </c>
      <c r="Q145" s="7"/>
      <c r="R145" s="7" t="str" cm="1">
        <f t="array" ref="R145">IF(AND(Q145="",P145&lt;&gt;""),N145,_xlfn.SWITCH(IF(Q145&lt;&gt;"",Q145,O145)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Centers",IF(Q145&lt;&gt;"",Q145,O145)))</f>
        <v>Kundenberater/in</v>
      </c>
      <c r="S145" s="7" t="str">
        <f>IF(N145&lt;&gt;R145,"x","")</f>
        <v>x</v>
      </c>
    </row>
    <row r="146" spans="1:19" hidden="1" x14ac:dyDescent="0.25">
      <c r="A146" s="7" t="s">
        <v>611</v>
      </c>
      <c r="B146" s="7" t="s">
        <v>20</v>
      </c>
      <c r="C146" s="7" t="s">
        <v>547</v>
      </c>
      <c r="D146" s="7" t="s">
        <v>548</v>
      </c>
      <c r="E146" s="7" t="s">
        <v>20</v>
      </c>
      <c r="F146" s="7" t="s">
        <v>20</v>
      </c>
      <c r="G146" s="7" t="s">
        <v>549</v>
      </c>
      <c r="H146" s="7" t="s">
        <v>20</v>
      </c>
      <c r="I146" s="8" t="s">
        <v>260</v>
      </c>
      <c r="J146" s="7" t="s">
        <v>612</v>
      </c>
      <c r="K146" s="7" t="s">
        <v>613</v>
      </c>
      <c r="L146" s="7" t="s">
        <v>40</v>
      </c>
      <c r="M146" s="7" t="s">
        <v>41</v>
      </c>
      <c r="N146" s="9" t="s">
        <v>75</v>
      </c>
      <c r="O146" s="7" t="s">
        <v>88</v>
      </c>
      <c r="P146" s="7" t="s">
        <v>20</v>
      </c>
      <c r="Q146" s="7"/>
      <c r="R146" s="7" t="str" cm="1">
        <f t="array" ref="R146">IF(AND(Q146="",P146&lt;&gt;""),N146,_xlfn.SWITCH(IF(Q146&lt;&gt;"",Q146,O146)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Centers",IF(Q146&lt;&gt;"",Q146,O146)))</f>
        <v>Kundenberater/in</v>
      </c>
      <c r="S146" s="7" t="str">
        <f>IF(N146&lt;&gt;R146,"x","")</f>
        <v>x</v>
      </c>
    </row>
    <row r="147" spans="1:19" hidden="1" x14ac:dyDescent="0.25">
      <c r="A147" s="7" t="s">
        <v>614</v>
      </c>
      <c r="B147" s="7" t="s">
        <v>20</v>
      </c>
      <c r="C147" s="7" t="s">
        <v>547</v>
      </c>
      <c r="D147" s="7" t="s">
        <v>548</v>
      </c>
      <c r="E147" s="7" t="s">
        <v>20</v>
      </c>
      <c r="F147" s="7" t="s">
        <v>20</v>
      </c>
      <c r="G147" s="7" t="s">
        <v>549</v>
      </c>
      <c r="H147" s="7" t="s">
        <v>20</v>
      </c>
      <c r="I147" s="8" t="s">
        <v>615</v>
      </c>
      <c r="J147" s="7" t="s">
        <v>616</v>
      </c>
      <c r="K147" s="7" t="s">
        <v>617</v>
      </c>
      <c r="L147" s="7" t="s">
        <v>40</v>
      </c>
      <c r="M147" s="7" t="s">
        <v>41</v>
      </c>
      <c r="N147" s="9" t="s">
        <v>75</v>
      </c>
      <c r="O147" s="7" t="s">
        <v>120</v>
      </c>
      <c r="P147" s="7" t="s">
        <v>20</v>
      </c>
      <c r="Q147" s="7"/>
      <c r="R147" s="7" t="str" cm="1">
        <f t="array" ref="R147">IF(AND(Q147="",P147&lt;&gt;""),N147,_xlfn.SWITCH(IF(Q147&lt;&gt;"",Q147,O147)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Centers",IF(Q147&lt;&gt;"",Q147,O147)))</f>
        <v>Kundenberater/in</v>
      </c>
      <c r="S147" s="7" t="str">
        <f>IF(N147&lt;&gt;R147,"x","")</f>
        <v>x</v>
      </c>
    </row>
    <row r="148" spans="1:19" hidden="1" x14ac:dyDescent="0.25">
      <c r="A148" s="7" t="s">
        <v>618</v>
      </c>
      <c r="B148" s="7" t="s">
        <v>20</v>
      </c>
      <c r="C148" s="7" t="s">
        <v>547</v>
      </c>
      <c r="D148" s="7" t="s">
        <v>548</v>
      </c>
      <c r="E148" s="7" t="s">
        <v>20</v>
      </c>
      <c r="F148" s="7" t="s">
        <v>20</v>
      </c>
      <c r="G148" s="7" t="s">
        <v>549</v>
      </c>
      <c r="H148" s="7" t="s">
        <v>20</v>
      </c>
      <c r="I148" s="8" t="s">
        <v>619</v>
      </c>
      <c r="J148" s="7" t="s">
        <v>620</v>
      </c>
      <c r="K148" s="7" t="s">
        <v>621</v>
      </c>
      <c r="L148" s="7" t="s">
        <v>40</v>
      </c>
      <c r="M148" s="7" t="s">
        <v>41</v>
      </c>
      <c r="N148" s="9" t="s">
        <v>75</v>
      </c>
      <c r="O148" s="7" t="s">
        <v>120</v>
      </c>
      <c r="P148" s="7" t="s">
        <v>20</v>
      </c>
      <c r="Q148" s="7"/>
      <c r="R148" s="7" t="str" cm="1">
        <f t="array" ref="R148">IF(AND(Q148="",P148&lt;&gt;""),N148,_xlfn.SWITCH(IF(Q148&lt;&gt;"",Q148,O148)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Centers",IF(Q148&lt;&gt;"",Q148,O148)))</f>
        <v>Kundenberater/in</v>
      </c>
      <c r="S148" s="7" t="str">
        <f>IF(N148&lt;&gt;R148,"x","")</f>
        <v>x</v>
      </c>
    </row>
    <row r="149" spans="1:19" hidden="1" x14ac:dyDescent="0.25">
      <c r="A149" s="7" t="s">
        <v>622</v>
      </c>
      <c r="B149" s="7" t="s">
        <v>20</v>
      </c>
      <c r="C149" s="7" t="s">
        <v>547</v>
      </c>
      <c r="D149" s="7" t="s">
        <v>548</v>
      </c>
      <c r="E149" s="7" t="s">
        <v>20</v>
      </c>
      <c r="F149" s="7" t="s">
        <v>20</v>
      </c>
      <c r="G149" s="7" t="s">
        <v>549</v>
      </c>
      <c r="H149" s="7" t="s">
        <v>20</v>
      </c>
      <c r="I149" s="8" t="s">
        <v>623</v>
      </c>
      <c r="J149" s="7" t="s">
        <v>624</v>
      </c>
      <c r="K149" s="7" t="s">
        <v>625</v>
      </c>
      <c r="L149" s="7" t="s">
        <v>40</v>
      </c>
      <c r="M149" s="7" t="s">
        <v>41</v>
      </c>
      <c r="N149" s="9" t="s">
        <v>75</v>
      </c>
      <c r="O149" s="7" t="s">
        <v>88</v>
      </c>
      <c r="P149" s="7" t="s">
        <v>20</v>
      </c>
      <c r="Q149" s="7"/>
      <c r="R149" s="7" t="str" cm="1">
        <f t="array" ref="R149">IF(AND(Q149="",P149&lt;&gt;""),N149,_xlfn.SWITCH(IF(Q149&lt;&gt;"",Q149,O149)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Centers",IF(Q149&lt;&gt;"",Q149,O149)))</f>
        <v>Kundenberater/in</v>
      </c>
      <c r="S149" s="7" t="str">
        <f>IF(N149&lt;&gt;R149,"x","")</f>
        <v>x</v>
      </c>
    </row>
    <row r="150" spans="1:19" hidden="1" x14ac:dyDescent="0.25">
      <c r="A150" s="7" t="s">
        <v>626</v>
      </c>
      <c r="B150" s="7" t="s">
        <v>20</v>
      </c>
      <c r="C150" s="7" t="s">
        <v>547</v>
      </c>
      <c r="D150" s="7" t="s">
        <v>548</v>
      </c>
      <c r="E150" s="7" t="s">
        <v>20</v>
      </c>
      <c r="F150" s="7" t="s">
        <v>20</v>
      </c>
      <c r="G150" s="7" t="s">
        <v>549</v>
      </c>
      <c r="H150" s="7" t="s">
        <v>20</v>
      </c>
      <c r="I150" s="8" t="s">
        <v>627</v>
      </c>
      <c r="J150" s="7" t="s">
        <v>628</v>
      </c>
      <c r="K150" s="7" t="s">
        <v>629</v>
      </c>
      <c r="L150" s="7" t="s">
        <v>40</v>
      </c>
      <c r="M150" s="7" t="s">
        <v>41</v>
      </c>
      <c r="N150" s="9" t="s">
        <v>75</v>
      </c>
      <c r="O150" s="7" t="s">
        <v>120</v>
      </c>
      <c r="P150" s="7" t="s">
        <v>20</v>
      </c>
      <c r="Q150" s="7"/>
      <c r="R150" s="7" t="str" cm="1">
        <f t="array" ref="R150">IF(AND(Q150="",P150&lt;&gt;""),N150,_xlfn.SWITCH(IF(Q150&lt;&gt;"",Q150,O150)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Centers",IF(Q150&lt;&gt;"",Q150,O150)))</f>
        <v>Kundenberater/in</v>
      </c>
      <c r="S150" s="7" t="str">
        <f>IF(N150&lt;&gt;R150,"x","")</f>
        <v>x</v>
      </c>
    </row>
    <row r="151" spans="1:19" hidden="1" x14ac:dyDescent="0.25">
      <c r="A151" s="7" t="s">
        <v>630</v>
      </c>
      <c r="B151" s="7" t="s">
        <v>20</v>
      </c>
      <c r="C151" s="7" t="s">
        <v>547</v>
      </c>
      <c r="D151" s="7" t="s">
        <v>548</v>
      </c>
      <c r="E151" s="7" t="s">
        <v>20</v>
      </c>
      <c r="F151" s="7" t="s">
        <v>20</v>
      </c>
      <c r="G151" s="7" t="s">
        <v>549</v>
      </c>
      <c r="H151" s="7" t="s">
        <v>20</v>
      </c>
      <c r="I151" s="8" t="s">
        <v>631</v>
      </c>
      <c r="J151" s="7" t="s">
        <v>632</v>
      </c>
      <c r="K151" s="7" t="s">
        <v>633</v>
      </c>
      <c r="L151" s="7" t="s">
        <v>40</v>
      </c>
      <c r="M151" s="7" t="s">
        <v>41</v>
      </c>
      <c r="N151" s="9" t="s">
        <v>75</v>
      </c>
      <c r="O151" s="7" t="s">
        <v>88</v>
      </c>
      <c r="P151" s="7" t="s">
        <v>20</v>
      </c>
      <c r="Q151" s="7"/>
      <c r="R151" s="7" t="str" cm="1">
        <f t="array" ref="R151">IF(AND(Q151="",P151&lt;&gt;""),N151,_xlfn.SWITCH(IF(Q151&lt;&gt;"",Q151,O151)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Centers",IF(Q151&lt;&gt;"",Q151,O151)))</f>
        <v>Kundenberater/in</v>
      </c>
      <c r="S151" s="7" t="str">
        <f>IF(N151&lt;&gt;R151,"x","")</f>
        <v>x</v>
      </c>
    </row>
    <row r="152" spans="1:19" hidden="1" x14ac:dyDescent="0.25">
      <c r="A152" s="7" t="s">
        <v>634</v>
      </c>
      <c r="B152" s="7" t="s">
        <v>20</v>
      </c>
      <c r="C152" s="7" t="s">
        <v>547</v>
      </c>
      <c r="D152" s="7" t="s">
        <v>548</v>
      </c>
      <c r="E152" s="7" t="s">
        <v>20</v>
      </c>
      <c r="F152" s="7" t="s">
        <v>20</v>
      </c>
      <c r="G152" s="7" t="s">
        <v>549</v>
      </c>
      <c r="H152" s="7" t="s">
        <v>20</v>
      </c>
      <c r="I152" s="8" t="s">
        <v>635</v>
      </c>
      <c r="J152" s="7" t="s">
        <v>636</v>
      </c>
      <c r="K152" s="7" t="s">
        <v>637</v>
      </c>
      <c r="L152" s="7" t="s">
        <v>97</v>
      </c>
      <c r="M152" s="7" t="s">
        <v>98</v>
      </c>
      <c r="N152" s="9" t="s">
        <v>111</v>
      </c>
      <c r="O152" s="7" t="s">
        <v>99</v>
      </c>
      <c r="P152" s="7" t="s">
        <v>20</v>
      </c>
      <c r="Q152" s="7"/>
      <c r="R152" s="7" t="str" cm="1">
        <f t="array" ref="R152">IF(AND(Q152="",P152&lt;&gt;""),N152,_xlfn.SWITCH(IF(Q152&lt;&gt;"",Q152,O152)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Centers",IF(Q152&lt;&gt;"",Q152,O152)))</f>
        <v>Hauptagent/in</v>
      </c>
      <c r="S152" s="7" t="str">
        <f>IF(N152&lt;&gt;R152,"x","")</f>
        <v/>
      </c>
    </row>
    <row r="153" spans="1:19" hidden="1" x14ac:dyDescent="0.25">
      <c r="A153" s="7" t="s">
        <v>638</v>
      </c>
      <c r="B153" s="7" t="s">
        <v>20</v>
      </c>
      <c r="C153" s="7" t="s">
        <v>547</v>
      </c>
      <c r="D153" s="7" t="s">
        <v>548</v>
      </c>
      <c r="E153" s="7" t="s">
        <v>20</v>
      </c>
      <c r="F153" s="7" t="s">
        <v>20</v>
      </c>
      <c r="G153" s="7" t="s">
        <v>549</v>
      </c>
      <c r="H153" s="7" t="s">
        <v>20</v>
      </c>
      <c r="I153" s="8" t="s">
        <v>32</v>
      </c>
      <c r="J153" s="7" t="s">
        <v>639</v>
      </c>
      <c r="K153" s="7" t="s">
        <v>640</v>
      </c>
      <c r="L153" s="7" t="s">
        <v>27</v>
      </c>
      <c r="M153" s="7" t="s">
        <v>28</v>
      </c>
      <c r="N153" s="9" t="s">
        <v>149</v>
      </c>
      <c r="O153" s="7" t="s">
        <v>30</v>
      </c>
      <c r="P153" s="7" t="s">
        <v>20</v>
      </c>
      <c r="Q153" s="7"/>
      <c r="R153" s="7" t="str" cm="1">
        <f t="array" ref="R153">IF(AND(Q153="",P153&lt;&gt;""),N153,_xlfn.SWITCH(IF(Q153&lt;&gt;"",Q153,O153)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Centers",IF(Q153&lt;&gt;"",Q153,O153)))</f>
        <v>Agenturleiter/in</v>
      </c>
      <c r="S153" s="7" t="str">
        <f>IF(N153&lt;&gt;R153,"x","")</f>
        <v>x</v>
      </c>
    </row>
    <row r="154" spans="1:19" hidden="1" x14ac:dyDescent="0.25">
      <c r="A154" s="7" t="s">
        <v>641</v>
      </c>
      <c r="B154" s="7" t="s">
        <v>20</v>
      </c>
      <c r="C154" s="7" t="s">
        <v>547</v>
      </c>
      <c r="D154" s="7" t="s">
        <v>548</v>
      </c>
      <c r="E154" s="7" t="s">
        <v>20</v>
      </c>
      <c r="F154" s="7" t="s">
        <v>20</v>
      </c>
      <c r="G154" s="7" t="s">
        <v>549</v>
      </c>
      <c r="H154" s="7" t="s">
        <v>20</v>
      </c>
      <c r="I154" s="8" t="s">
        <v>642</v>
      </c>
      <c r="J154" s="7" t="s">
        <v>642</v>
      </c>
      <c r="K154" s="7" t="s">
        <v>643</v>
      </c>
      <c r="L154" s="7" t="s">
        <v>27</v>
      </c>
      <c r="M154" s="7" t="s">
        <v>28</v>
      </c>
      <c r="N154" s="9" t="s">
        <v>35</v>
      </c>
      <c r="O154" s="7" t="s">
        <v>238</v>
      </c>
      <c r="P154" s="7" t="s">
        <v>20</v>
      </c>
      <c r="Q154" s="7"/>
      <c r="R154" s="7" t="str" cm="1">
        <f t="array" ref="R154">IF(AND(Q154="",P154&lt;&gt;""),N154,_xlfn.SWITCH(IF(Q154&lt;&gt;"",Q154,O154)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Centers",IF(Q154&lt;&gt;"",Q154,O154)))</f>
        <v>Agenturleiter/in</v>
      </c>
      <c r="S154" s="7" t="str">
        <f>IF(N154&lt;&gt;R154,"x","")</f>
        <v>x</v>
      </c>
    </row>
    <row r="155" spans="1:19" hidden="1" x14ac:dyDescent="0.25">
      <c r="A155" s="7" t="s">
        <v>644</v>
      </c>
      <c r="B155" s="7" t="s">
        <v>20</v>
      </c>
      <c r="C155" s="7" t="s">
        <v>547</v>
      </c>
      <c r="D155" s="7" t="s">
        <v>548</v>
      </c>
      <c r="E155" s="7" t="s">
        <v>20</v>
      </c>
      <c r="F155" s="7" t="s">
        <v>20</v>
      </c>
      <c r="G155" s="7" t="s">
        <v>549</v>
      </c>
      <c r="H155" s="7" t="s">
        <v>20</v>
      </c>
      <c r="I155" s="8" t="s">
        <v>645</v>
      </c>
      <c r="J155" s="7" t="s">
        <v>645</v>
      </c>
      <c r="K155" s="7" t="s">
        <v>646</v>
      </c>
      <c r="L155" s="7" t="s">
        <v>64</v>
      </c>
      <c r="M155" s="7" t="s">
        <v>65</v>
      </c>
      <c r="N155" s="9" t="s">
        <v>59</v>
      </c>
      <c r="O155" s="7" t="s">
        <v>59</v>
      </c>
      <c r="P155" s="7" t="s">
        <v>20</v>
      </c>
      <c r="Q155" s="7"/>
      <c r="R155" s="7" t="str" cm="1">
        <f t="array" ref="R155">IF(AND(Q155="",P155&lt;&gt;""),N155,_xlfn.SWITCH(IF(Q155&lt;&gt;"",Q155,O155)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Centers",IF(Q155&lt;&gt;"",Q155,O155)))</f>
        <v>Leiter/in des Service Centers</v>
      </c>
      <c r="S155" s="7" t="str">
        <f>IF(N155&lt;&gt;R155,"x","")</f>
        <v/>
      </c>
    </row>
    <row r="156" spans="1:19" hidden="1" x14ac:dyDescent="0.25">
      <c r="A156" s="7" t="s">
        <v>647</v>
      </c>
      <c r="B156" s="7" t="s">
        <v>20</v>
      </c>
      <c r="C156" s="7" t="s">
        <v>547</v>
      </c>
      <c r="D156" s="7" t="s">
        <v>548</v>
      </c>
      <c r="E156" s="7" t="s">
        <v>20</v>
      </c>
      <c r="F156" s="7" t="s">
        <v>20</v>
      </c>
      <c r="G156" s="7" t="s">
        <v>549</v>
      </c>
      <c r="H156" s="7" t="s">
        <v>20</v>
      </c>
      <c r="I156" s="8" t="s">
        <v>648</v>
      </c>
      <c r="J156" s="7" t="s">
        <v>648</v>
      </c>
      <c r="K156" s="7" t="s">
        <v>649</v>
      </c>
      <c r="L156" s="7" t="s">
        <v>64</v>
      </c>
      <c r="M156" s="7" t="s">
        <v>65</v>
      </c>
      <c r="N156" s="9" t="s">
        <v>66</v>
      </c>
      <c r="O156" s="7" t="s">
        <v>59</v>
      </c>
      <c r="P156" s="7" t="s">
        <v>20</v>
      </c>
      <c r="Q156" s="7"/>
      <c r="R156" s="7" t="str" cm="1">
        <f t="array" ref="R156">IF(AND(Q156="",P156&lt;&gt;""),N156,_xlfn.SWITCH(IF(Q156&lt;&gt;"",Q156,O156)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Centers",IF(Q156&lt;&gt;"",Q156,O156)))</f>
        <v>Leiter/in des Service Centers</v>
      </c>
      <c r="S156" s="7" t="str">
        <f>IF(N156&lt;&gt;R156,"x","")</f>
        <v>x</v>
      </c>
    </row>
    <row r="157" spans="1:19" hidden="1" x14ac:dyDescent="0.25">
      <c r="A157" s="7" t="s">
        <v>650</v>
      </c>
      <c r="B157" s="7" t="s">
        <v>20</v>
      </c>
      <c r="C157" s="7" t="s">
        <v>547</v>
      </c>
      <c r="D157" s="7" t="s">
        <v>548</v>
      </c>
      <c r="E157" s="7" t="s">
        <v>20</v>
      </c>
      <c r="F157" s="7" t="s">
        <v>20</v>
      </c>
      <c r="G157" s="7" t="s">
        <v>549</v>
      </c>
      <c r="H157" s="7" t="s">
        <v>20</v>
      </c>
      <c r="I157" s="8" t="s">
        <v>651</v>
      </c>
      <c r="J157" s="7" t="s">
        <v>652</v>
      </c>
      <c r="K157" s="7" t="s">
        <v>653</v>
      </c>
      <c r="L157" s="7" t="s">
        <v>40</v>
      </c>
      <c r="M157" s="7" t="s">
        <v>41</v>
      </c>
      <c r="N157" s="9" t="s">
        <v>75</v>
      </c>
      <c r="O157" s="7" t="s">
        <v>88</v>
      </c>
      <c r="P157" s="7" t="s">
        <v>20</v>
      </c>
      <c r="Q157" s="7"/>
      <c r="R157" s="7" t="str" cm="1">
        <f t="array" ref="R157">IF(AND(Q157="",P157&lt;&gt;""),N157,_xlfn.SWITCH(IF(Q157&lt;&gt;"",Q157,O157)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Centers",IF(Q157&lt;&gt;"",Q157,O157)))</f>
        <v>Kundenberater/in</v>
      </c>
      <c r="S157" s="7" t="str">
        <f>IF(N157&lt;&gt;R157,"x","")</f>
        <v>x</v>
      </c>
    </row>
    <row r="158" spans="1:19" hidden="1" x14ac:dyDescent="0.25">
      <c r="A158" s="7" t="s">
        <v>654</v>
      </c>
      <c r="B158" s="7" t="s">
        <v>20</v>
      </c>
      <c r="C158" s="7" t="s">
        <v>547</v>
      </c>
      <c r="D158" s="7" t="s">
        <v>548</v>
      </c>
      <c r="E158" s="7" t="s">
        <v>20</v>
      </c>
      <c r="F158" s="7" t="s">
        <v>20</v>
      </c>
      <c r="G158" s="7" t="s">
        <v>549</v>
      </c>
      <c r="H158" s="7" t="s">
        <v>20</v>
      </c>
      <c r="I158" s="8" t="s">
        <v>655</v>
      </c>
      <c r="J158" s="7" t="s">
        <v>656</v>
      </c>
      <c r="K158" s="7" t="s">
        <v>657</v>
      </c>
      <c r="L158" s="7" t="s">
        <v>40</v>
      </c>
      <c r="M158" s="7" t="s">
        <v>41</v>
      </c>
      <c r="N158" s="9" t="s">
        <v>75</v>
      </c>
      <c r="O158" s="7" t="s">
        <v>88</v>
      </c>
      <c r="P158" s="7" t="s">
        <v>20</v>
      </c>
      <c r="Q158" s="7"/>
      <c r="R158" s="7" t="str" cm="1">
        <f t="array" ref="R158">IF(AND(Q158="",P158&lt;&gt;""),N158,_xlfn.SWITCH(IF(Q158&lt;&gt;"",Q158,O158)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Centers",IF(Q158&lt;&gt;"",Q158,O158)))</f>
        <v>Kundenberater/in</v>
      </c>
      <c r="S158" s="7" t="str">
        <f>IF(N158&lt;&gt;R158,"x","")</f>
        <v>x</v>
      </c>
    </row>
    <row r="159" spans="1:19" hidden="1" x14ac:dyDescent="0.25">
      <c r="A159" s="7" t="s">
        <v>658</v>
      </c>
      <c r="B159" s="7" t="s">
        <v>20</v>
      </c>
      <c r="C159" s="7" t="s">
        <v>547</v>
      </c>
      <c r="D159" s="7" t="s">
        <v>548</v>
      </c>
      <c r="E159" s="7" t="s">
        <v>20</v>
      </c>
      <c r="F159" s="7" t="s">
        <v>20</v>
      </c>
      <c r="G159" s="7" t="s">
        <v>549</v>
      </c>
      <c r="H159" s="7" t="s">
        <v>20</v>
      </c>
      <c r="I159" s="8" t="s">
        <v>659</v>
      </c>
      <c r="J159" s="7" t="s">
        <v>660</v>
      </c>
      <c r="K159" s="7" t="s">
        <v>661</v>
      </c>
      <c r="L159" s="7" t="s">
        <v>97</v>
      </c>
      <c r="M159" s="7" t="s">
        <v>98</v>
      </c>
      <c r="N159" s="9" t="s">
        <v>75</v>
      </c>
      <c r="O159" s="7" t="s">
        <v>251</v>
      </c>
      <c r="P159" s="7" t="s">
        <v>20</v>
      </c>
      <c r="Q159" s="7"/>
      <c r="R159" s="7" t="str" cm="1">
        <f t="array" ref="R159">IF(AND(Q159="",P159&lt;&gt;""),N159,_xlfn.SWITCH(IF(Q159&lt;&gt;"",Q159,O159)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Centers",IF(Q159&lt;&gt;"",Q159,O159)))</f>
        <v>Hauptagent/in</v>
      </c>
      <c r="S159" s="7" t="str">
        <f>IF(N159&lt;&gt;R159,"x","")</f>
        <v>x</v>
      </c>
    </row>
    <row r="160" spans="1:19" hidden="1" x14ac:dyDescent="0.25">
      <c r="A160" s="7" t="s">
        <v>662</v>
      </c>
      <c r="B160" s="7" t="s">
        <v>20</v>
      </c>
      <c r="C160" s="7" t="s">
        <v>547</v>
      </c>
      <c r="D160" s="7" t="s">
        <v>548</v>
      </c>
      <c r="E160" s="7" t="s">
        <v>20</v>
      </c>
      <c r="F160" s="7" t="s">
        <v>20</v>
      </c>
      <c r="G160" s="7" t="s">
        <v>549</v>
      </c>
      <c r="H160" s="7" t="s">
        <v>20</v>
      </c>
      <c r="I160" s="8" t="s">
        <v>663</v>
      </c>
      <c r="J160" s="7" t="s">
        <v>664</v>
      </c>
      <c r="K160" s="7" t="s">
        <v>665</v>
      </c>
      <c r="L160" s="7" t="s">
        <v>40</v>
      </c>
      <c r="M160" s="7" t="s">
        <v>41</v>
      </c>
      <c r="N160" s="9" t="s">
        <v>75</v>
      </c>
      <c r="O160" s="7" t="s">
        <v>48</v>
      </c>
      <c r="P160" s="7" t="s">
        <v>20</v>
      </c>
      <c r="Q160" s="7"/>
      <c r="R160" s="7" t="str" cm="1">
        <f t="array" ref="R160">IF(AND(Q160="",P160&lt;&gt;""),N160,_xlfn.SWITCH(IF(Q160&lt;&gt;"",Q160,O160)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Centers",IF(Q160&lt;&gt;"",Q160,O160)))</f>
        <v>Repräsentant/in</v>
      </c>
      <c r="S160" s="7" t="str">
        <f>IF(N160&lt;&gt;R160,"x","")</f>
        <v>x</v>
      </c>
    </row>
    <row r="161" spans="1:19" hidden="1" x14ac:dyDescent="0.25">
      <c r="A161" s="7" t="s">
        <v>666</v>
      </c>
      <c r="B161" s="7" t="s">
        <v>20</v>
      </c>
      <c r="C161" s="7" t="s">
        <v>667</v>
      </c>
      <c r="D161" s="7" t="s">
        <v>668</v>
      </c>
      <c r="E161" s="7" t="s">
        <v>20</v>
      </c>
      <c r="F161" s="7" t="s">
        <v>20</v>
      </c>
      <c r="G161" s="7" t="s">
        <v>669</v>
      </c>
      <c r="H161" s="7" t="s">
        <v>20</v>
      </c>
      <c r="I161" s="8" t="s">
        <v>670</v>
      </c>
      <c r="J161" s="7" t="s">
        <v>671</v>
      </c>
      <c r="K161" s="7" t="s">
        <v>672</v>
      </c>
      <c r="L161" s="7" t="s">
        <v>27</v>
      </c>
      <c r="M161" s="7" t="s">
        <v>28</v>
      </c>
      <c r="N161" s="9" t="s">
        <v>66</v>
      </c>
      <c r="O161" s="7" t="s">
        <v>30</v>
      </c>
      <c r="P161" s="7" t="s">
        <v>20</v>
      </c>
      <c r="Q161" s="7"/>
      <c r="R161" s="7" t="str" cm="1">
        <f t="array" ref="R161">IF(AND(Q161="",P161&lt;&gt;""),N161,_xlfn.SWITCH(IF(Q161&lt;&gt;"",Q161,O161)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Centers",IF(Q161&lt;&gt;"",Q161,O161)))</f>
        <v>Agenturleiter/in</v>
      </c>
      <c r="S161" s="7" t="str">
        <f>IF(N161&lt;&gt;R161,"x","")</f>
        <v>x</v>
      </c>
    </row>
    <row r="162" spans="1:19" hidden="1" x14ac:dyDescent="0.25">
      <c r="A162" s="7" t="s">
        <v>673</v>
      </c>
      <c r="B162" s="7" t="s">
        <v>20</v>
      </c>
      <c r="C162" s="7" t="s">
        <v>667</v>
      </c>
      <c r="D162" s="7" t="s">
        <v>668</v>
      </c>
      <c r="E162" s="7" t="s">
        <v>20</v>
      </c>
      <c r="F162" s="7" t="s">
        <v>20</v>
      </c>
      <c r="G162" s="7" t="s">
        <v>669</v>
      </c>
      <c r="H162" s="7" t="s">
        <v>20</v>
      </c>
      <c r="I162" s="8" t="s">
        <v>674</v>
      </c>
      <c r="J162" s="7" t="s">
        <v>675</v>
      </c>
      <c r="K162" s="7" t="s">
        <v>676</v>
      </c>
      <c r="L162" s="7" t="s">
        <v>40</v>
      </c>
      <c r="M162" s="7" t="s">
        <v>41</v>
      </c>
      <c r="N162" s="9" t="s">
        <v>66</v>
      </c>
      <c r="O162" s="7" t="s">
        <v>48</v>
      </c>
      <c r="P162" s="7" t="s">
        <v>20</v>
      </c>
      <c r="Q162" s="7"/>
      <c r="R162" s="7" t="str" cm="1">
        <f t="array" ref="R162">IF(AND(Q162="",P162&lt;&gt;""),N162,_xlfn.SWITCH(IF(Q162&lt;&gt;"",Q162,O162)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Centers",IF(Q162&lt;&gt;"",Q162,O162)))</f>
        <v>Repräsentant/in</v>
      </c>
      <c r="S162" s="7" t="str">
        <f>IF(N162&lt;&gt;R162,"x","")</f>
        <v/>
      </c>
    </row>
    <row r="163" spans="1:19" hidden="1" x14ac:dyDescent="0.25">
      <c r="A163" s="7" t="s">
        <v>677</v>
      </c>
      <c r="B163" s="7" t="s">
        <v>20</v>
      </c>
      <c r="C163" s="7" t="s">
        <v>667</v>
      </c>
      <c r="D163" s="7" t="s">
        <v>668</v>
      </c>
      <c r="E163" s="7" t="s">
        <v>20</v>
      </c>
      <c r="F163" s="7" t="s">
        <v>20</v>
      </c>
      <c r="G163" s="7" t="s">
        <v>669</v>
      </c>
      <c r="H163" s="7" t="s">
        <v>20</v>
      </c>
      <c r="I163" s="8" t="s">
        <v>678</v>
      </c>
      <c r="J163" s="7" t="s">
        <v>679</v>
      </c>
      <c r="K163" s="7" t="s">
        <v>680</v>
      </c>
      <c r="L163" s="7" t="s">
        <v>40</v>
      </c>
      <c r="M163" s="7" t="s">
        <v>41</v>
      </c>
      <c r="N163" s="9" t="s">
        <v>66</v>
      </c>
      <c r="O163" s="7" t="s">
        <v>48</v>
      </c>
      <c r="P163" s="7" t="s">
        <v>20</v>
      </c>
      <c r="Q163" s="7"/>
      <c r="R163" s="7" t="str" cm="1">
        <f t="array" ref="R163">IF(AND(Q163="",P163&lt;&gt;""),N163,_xlfn.SWITCH(IF(Q163&lt;&gt;"",Q163,O163)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Centers",IF(Q163&lt;&gt;"",Q163,O163)))</f>
        <v>Repräsentant/in</v>
      </c>
      <c r="S163" s="7" t="str">
        <f>IF(N163&lt;&gt;R163,"x","")</f>
        <v/>
      </c>
    </row>
    <row r="164" spans="1:19" hidden="1" x14ac:dyDescent="0.25">
      <c r="A164" s="7" t="s">
        <v>681</v>
      </c>
      <c r="B164" s="7" t="s">
        <v>20</v>
      </c>
      <c r="C164" s="7" t="s">
        <v>667</v>
      </c>
      <c r="D164" s="7" t="s">
        <v>668</v>
      </c>
      <c r="E164" s="7" t="s">
        <v>20</v>
      </c>
      <c r="F164" s="7" t="s">
        <v>20</v>
      </c>
      <c r="G164" s="7" t="s">
        <v>669</v>
      </c>
      <c r="H164" s="7" t="s">
        <v>20</v>
      </c>
      <c r="I164" s="8" t="s">
        <v>682</v>
      </c>
      <c r="J164" s="7" t="s">
        <v>683</v>
      </c>
      <c r="K164" s="7" t="s">
        <v>684</v>
      </c>
      <c r="L164" s="7" t="s">
        <v>64</v>
      </c>
      <c r="M164" s="7" t="s">
        <v>65</v>
      </c>
      <c r="N164" s="9" t="s">
        <v>75</v>
      </c>
      <c r="O164" s="7" t="s">
        <v>67</v>
      </c>
      <c r="P164" s="7" t="s">
        <v>20</v>
      </c>
      <c r="Q164" s="7"/>
      <c r="R164" s="7" t="str" cm="1">
        <f t="array" ref="R164">IF(AND(Q164="",P164&lt;&gt;""),N164,_xlfn.SWITCH(IF(Q164&lt;&gt;"",Q164,O164)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Centers",IF(Q164&lt;&gt;"",Q164,O164)))</f>
        <v>Leiter/in des Service Centers</v>
      </c>
      <c r="S164" s="7" t="str">
        <f>IF(N164&lt;&gt;R164,"x","")</f>
        <v>x</v>
      </c>
    </row>
    <row r="165" spans="1:19" hidden="1" x14ac:dyDescent="0.25">
      <c r="A165" s="7" t="s">
        <v>685</v>
      </c>
      <c r="B165" s="7" t="s">
        <v>20</v>
      </c>
      <c r="C165" s="7" t="s">
        <v>667</v>
      </c>
      <c r="D165" s="7" t="s">
        <v>668</v>
      </c>
      <c r="E165" s="7" t="s">
        <v>20</v>
      </c>
      <c r="F165" s="7" t="s">
        <v>20</v>
      </c>
      <c r="G165" s="7" t="s">
        <v>669</v>
      </c>
      <c r="H165" s="7" t="s">
        <v>20</v>
      </c>
      <c r="I165" s="8" t="s">
        <v>686</v>
      </c>
      <c r="J165" s="7" t="s">
        <v>687</v>
      </c>
      <c r="K165" s="7" t="s">
        <v>688</v>
      </c>
      <c r="L165" s="7" t="s">
        <v>40</v>
      </c>
      <c r="M165" s="7" t="s">
        <v>41</v>
      </c>
      <c r="N165" s="9" t="s">
        <v>75</v>
      </c>
      <c r="O165" s="7" t="s">
        <v>120</v>
      </c>
      <c r="P165" s="7" t="s">
        <v>20</v>
      </c>
      <c r="Q165" s="7"/>
      <c r="R165" s="7" t="str" cm="1">
        <f t="array" ref="R165">IF(AND(Q165="",P165&lt;&gt;""),N165,_xlfn.SWITCH(IF(Q165&lt;&gt;"",Q165,O165)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Centers",IF(Q165&lt;&gt;"",Q165,O165)))</f>
        <v>Kundenberater/in</v>
      </c>
      <c r="S165" s="7" t="str">
        <f>IF(N165&lt;&gt;R165,"x","")</f>
        <v>x</v>
      </c>
    </row>
    <row r="166" spans="1:19" hidden="1" x14ac:dyDescent="0.25">
      <c r="A166" s="7" t="s">
        <v>689</v>
      </c>
      <c r="B166" s="7" t="s">
        <v>20</v>
      </c>
      <c r="C166" s="7" t="s">
        <v>667</v>
      </c>
      <c r="D166" s="7" t="s">
        <v>668</v>
      </c>
      <c r="E166" s="7" t="s">
        <v>20</v>
      </c>
      <c r="F166" s="7" t="s">
        <v>20</v>
      </c>
      <c r="G166" s="7" t="s">
        <v>669</v>
      </c>
      <c r="H166" s="7" t="s">
        <v>20</v>
      </c>
      <c r="I166" s="8" t="s">
        <v>690</v>
      </c>
      <c r="J166" s="7" t="s">
        <v>691</v>
      </c>
      <c r="K166" s="7" t="s">
        <v>692</v>
      </c>
      <c r="L166" s="7" t="s">
        <v>40</v>
      </c>
      <c r="M166" s="7" t="s">
        <v>41</v>
      </c>
      <c r="N166" s="9" t="s">
        <v>75</v>
      </c>
      <c r="O166" s="7" t="s">
        <v>88</v>
      </c>
      <c r="P166" s="7" t="s">
        <v>20</v>
      </c>
      <c r="Q166" s="7"/>
      <c r="R166" s="7" t="str" cm="1">
        <f t="array" ref="R166">IF(AND(Q166="",P166&lt;&gt;""),N166,_xlfn.SWITCH(IF(Q166&lt;&gt;"",Q166,O166)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Centers",IF(Q166&lt;&gt;"",Q166,O166)))</f>
        <v>Kundenberater/in</v>
      </c>
      <c r="S166" s="7" t="str">
        <f>IF(N166&lt;&gt;R166,"x","")</f>
        <v>x</v>
      </c>
    </row>
    <row r="167" spans="1:19" hidden="1" x14ac:dyDescent="0.25">
      <c r="A167" s="7" t="s">
        <v>693</v>
      </c>
      <c r="B167" s="7" t="s">
        <v>20</v>
      </c>
      <c r="C167" s="7" t="s">
        <v>667</v>
      </c>
      <c r="D167" s="7" t="s">
        <v>668</v>
      </c>
      <c r="E167" s="7" t="s">
        <v>20</v>
      </c>
      <c r="F167" s="7" t="s">
        <v>20</v>
      </c>
      <c r="G167" s="7" t="s">
        <v>669</v>
      </c>
      <c r="H167" s="7" t="s">
        <v>20</v>
      </c>
      <c r="I167" s="8" t="s">
        <v>694</v>
      </c>
      <c r="J167" s="7" t="s">
        <v>695</v>
      </c>
      <c r="K167" s="7" t="s">
        <v>696</v>
      </c>
      <c r="L167" s="7" t="s">
        <v>40</v>
      </c>
      <c r="M167" s="7" t="s">
        <v>41</v>
      </c>
      <c r="N167" s="9" t="s">
        <v>75</v>
      </c>
      <c r="O167" s="7" t="s">
        <v>88</v>
      </c>
      <c r="P167" s="7" t="s">
        <v>20</v>
      </c>
      <c r="Q167" s="7"/>
      <c r="R167" s="7" t="str" cm="1">
        <f t="array" ref="R167">IF(AND(Q167="",P167&lt;&gt;""),N167,_xlfn.SWITCH(IF(Q167&lt;&gt;"",Q167,O167)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Centers",IF(Q167&lt;&gt;"",Q167,O167)))</f>
        <v>Kundenberater/in</v>
      </c>
      <c r="S167" s="7" t="str">
        <f>IF(N167&lt;&gt;R167,"x","")</f>
        <v>x</v>
      </c>
    </row>
    <row r="168" spans="1:19" hidden="1" x14ac:dyDescent="0.25">
      <c r="A168" s="7" t="s">
        <v>697</v>
      </c>
      <c r="B168" s="7" t="s">
        <v>20</v>
      </c>
      <c r="C168" s="7" t="s">
        <v>667</v>
      </c>
      <c r="D168" s="7" t="s">
        <v>668</v>
      </c>
      <c r="E168" s="7" t="s">
        <v>20</v>
      </c>
      <c r="F168" s="7" t="s">
        <v>20</v>
      </c>
      <c r="G168" s="7" t="s">
        <v>669</v>
      </c>
      <c r="H168" s="7" t="s">
        <v>20</v>
      </c>
      <c r="I168" s="8" t="s">
        <v>593</v>
      </c>
      <c r="J168" s="7" t="s">
        <v>698</v>
      </c>
      <c r="K168" s="7" t="s">
        <v>699</v>
      </c>
      <c r="L168" s="7" t="s">
        <v>40</v>
      </c>
      <c r="M168" s="7" t="s">
        <v>41</v>
      </c>
      <c r="N168" s="9" t="s">
        <v>75</v>
      </c>
      <c r="O168" s="7" t="s">
        <v>120</v>
      </c>
      <c r="P168" s="7" t="s">
        <v>20</v>
      </c>
      <c r="Q168" s="7"/>
      <c r="R168" s="7" t="str" cm="1">
        <f t="array" ref="R168">IF(AND(Q168="",P168&lt;&gt;""),N168,_xlfn.SWITCH(IF(Q168&lt;&gt;"",Q168,O168)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Centers",IF(Q168&lt;&gt;"",Q168,O168)))</f>
        <v>Kundenberater/in</v>
      </c>
      <c r="S168" s="7" t="str">
        <f>IF(N168&lt;&gt;R168,"x","")</f>
        <v>x</v>
      </c>
    </row>
    <row r="169" spans="1:19" hidden="1" x14ac:dyDescent="0.25">
      <c r="A169" s="7" t="s">
        <v>700</v>
      </c>
      <c r="B169" s="7" t="s">
        <v>20</v>
      </c>
      <c r="C169" s="7" t="s">
        <v>667</v>
      </c>
      <c r="D169" s="7" t="s">
        <v>668</v>
      </c>
      <c r="E169" s="7" t="s">
        <v>20</v>
      </c>
      <c r="F169" s="7" t="s">
        <v>20</v>
      </c>
      <c r="G169" s="7" t="s">
        <v>669</v>
      </c>
      <c r="H169" s="7" t="s">
        <v>20</v>
      </c>
      <c r="I169" s="8" t="s">
        <v>701</v>
      </c>
      <c r="J169" s="7" t="s">
        <v>702</v>
      </c>
      <c r="K169" s="7" t="s">
        <v>703</v>
      </c>
      <c r="L169" s="7" t="s">
        <v>27</v>
      </c>
      <c r="M169" s="7" t="s">
        <v>28</v>
      </c>
      <c r="N169" s="9" t="s">
        <v>111</v>
      </c>
      <c r="O169" s="7" t="s">
        <v>54</v>
      </c>
      <c r="P169" s="7" t="s">
        <v>20</v>
      </c>
      <c r="Q169" s="7"/>
      <c r="R169" s="7" t="str" cm="1">
        <f t="array" ref="R169">IF(AND(Q169="",P169&lt;&gt;""),N169,_xlfn.SWITCH(IF(Q169&lt;&gt;"",Q169,O169)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Centers",IF(Q169&lt;&gt;"",Q169,O169)))</f>
        <v>Agenturleiter/in</v>
      </c>
      <c r="S169" s="7" t="str">
        <f>IF(N169&lt;&gt;R169,"x","")</f>
        <v>x</v>
      </c>
    </row>
    <row r="170" spans="1:19" hidden="1" x14ac:dyDescent="0.25">
      <c r="A170" s="7" t="s">
        <v>704</v>
      </c>
      <c r="B170" s="7" t="s">
        <v>20</v>
      </c>
      <c r="C170" s="7" t="s">
        <v>667</v>
      </c>
      <c r="D170" s="7" t="s">
        <v>668</v>
      </c>
      <c r="E170" s="7" t="s">
        <v>20</v>
      </c>
      <c r="F170" s="7" t="s">
        <v>20</v>
      </c>
      <c r="G170" s="7" t="s">
        <v>669</v>
      </c>
      <c r="H170" s="7" t="s">
        <v>20</v>
      </c>
      <c r="I170" s="8" t="s">
        <v>705</v>
      </c>
      <c r="J170" s="7" t="s">
        <v>706</v>
      </c>
      <c r="K170" s="7" t="s">
        <v>707</v>
      </c>
      <c r="L170" s="7" t="s">
        <v>97</v>
      </c>
      <c r="M170" s="7" t="s">
        <v>98</v>
      </c>
      <c r="N170" s="9" t="s">
        <v>111</v>
      </c>
      <c r="O170" s="7" t="s">
        <v>251</v>
      </c>
      <c r="P170" s="7" t="s">
        <v>20</v>
      </c>
      <c r="Q170" s="7"/>
      <c r="R170" s="7" t="str" cm="1">
        <f t="array" ref="R170">IF(AND(Q170="",P170&lt;&gt;""),N170,_xlfn.SWITCH(IF(Q170&lt;&gt;"",Q170,O170)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Centers",IF(Q170&lt;&gt;"",Q170,O170)))</f>
        <v>Hauptagent/in</v>
      </c>
      <c r="S170" s="7" t="str">
        <f>IF(N170&lt;&gt;R170,"x","")</f>
        <v/>
      </c>
    </row>
    <row r="171" spans="1:19" hidden="1" x14ac:dyDescent="0.25">
      <c r="A171" s="7" t="s">
        <v>708</v>
      </c>
      <c r="B171" s="7" t="s">
        <v>20</v>
      </c>
      <c r="C171" s="7" t="s">
        <v>667</v>
      </c>
      <c r="D171" s="7" t="s">
        <v>668</v>
      </c>
      <c r="E171" s="7" t="s">
        <v>20</v>
      </c>
      <c r="F171" s="7" t="s">
        <v>20</v>
      </c>
      <c r="G171" s="7" t="s">
        <v>669</v>
      </c>
      <c r="H171" s="7" t="s">
        <v>20</v>
      </c>
      <c r="I171" s="8" t="s">
        <v>659</v>
      </c>
      <c r="J171" s="7" t="s">
        <v>709</v>
      </c>
      <c r="K171" s="7" t="s">
        <v>710</v>
      </c>
      <c r="L171" s="7" t="s">
        <v>228</v>
      </c>
      <c r="M171" s="7" t="s">
        <v>229</v>
      </c>
      <c r="N171" s="9" t="s">
        <v>334</v>
      </c>
      <c r="O171" s="7" t="s">
        <v>54</v>
      </c>
      <c r="P171" s="7" t="s">
        <v>20</v>
      </c>
      <c r="Q171" s="7"/>
      <c r="R171" s="7" t="str" cm="1">
        <f t="array" ref="R171">IF(AND(Q171="",P171&lt;&gt;""),N171,_xlfn.SWITCH(IF(Q171&lt;&gt;"",Q171,O171)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Centers",IF(Q171&lt;&gt;"",Q171,O171)))</f>
        <v>Agenturleiter/in</v>
      </c>
      <c r="S171" s="7" t="str">
        <f>IF(N171&lt;&gt;R171,"x","")</f>
        <v>x</v>
      </c>
    </row>
    <row r="172" spans="1:19" hidden="1" x14ac:dyDescent="0.25">
      <c r="A172" s="7" t="s">
        <v>711</v>
      </c>
      <c r="B172" s="7" t="s">
        <v>20</v>
      </c>
      <c r="C172" s="7" t="s">
        <v>667</v>
      </c>
      <c r="D172" s="7" t="s">
        <v>668</v>
      </c>
      <c r="E172" s="7" t="s">
        <v>20</v>
      </c>
      <c r="F172" s="7" t="s">
        <v>20</v>
      </c>
      <c r="G172" s="7" t="s">
        <v>669</v>
      </c>
      <c r="H172" s="7" t="s">
        <v>20</v>
      </c>
      <c r="I172" s="8" t="s">
        <v>712</v>
      </c>
      <c r="J172" s="7" t="s">
        <v>713</v>
      </c>
      <c r="K172" s="7" t="s">
        <v>63</v>
      </c>
      <c r="L172" s="7" t="s">
        <v>97</v>
      </c>
      <c r="M172" s="7" t="s">
        <v>98</v>
      </c>
      <c r="N172" s="9" t="s">
        <v>59</v>
      </c>
      <c r="O172" s="7" t="s">
        <v>99</v>
      </c>
      <c r="P172" s="7" t="s">
        <v>49</v>
      </c>
      <c r="Q172" s="7"/>
      <c r="R172" s="7" t="str" cm="1">
        <f t="array" ref="R172">IF(AND(Q172="",P172&lt;&gt;""),N172,_xlfn.SWITCH(IF(Q172&lt;&gt;"",Q172,O172)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Centers",IF(Q172&lt;&gt;"",Q172,O172)))</f>
        <v>Leiter/in des Service Centers</v>
      </c>
      <c r="S172" s="7" t="str">
        <f>IF(N172&lt;&gt;R172,"x","")</f>
        <v/>
      </c>
    </row>
    <row r="173" spans="1:19" hidden="1" x14ac:dyDescent="0.25">
      <c r="A173" s="7" t="s">
        <v>714</v>
      </c>
      <c r="B173" s="7" t="s">
        <v>20</v>
      </c>
      <c r="C173" s="7" t="s">
        <v>667</v>
      </c>
      <c r="D173" s="7" t="s">
        <v>668</v>
      </c>
      <c r="E173" s="7" t="s">
        <v>20</v>
      </c>
      <c r="F173" s="7" t="s">
        <v>20</v>
      </c>
      <c r="G173" s="7" t="s">
        <v>669</v>
      </c>
      <c r="H173" s="7" t="s">
        <v>20</v>
      </c>
      <c r="I173" s="8" t="s">
        <v>715</v>
      </c>
      <c r="J173" s="7" t="s">
        <v>716</v>
      </c>
      <c r="K173" s="7" t="s">
        <v>63</v>
      </c>
      <c r="L173" s="7" t="s">
        <v>40</v>
      </c>
      <c r="M173" s="7" t="s">
        <v>41</v>
      </c>
      <c r="N173" s="9" t="s">
        <v>111</v>
      </c>
      <c r="O173" s="7" t="s">
        <v>43</v>
      </c>
      <c r="P173" s="7" t="s">
        <v>49</v>
      </c>
      <c r="Q173" s="7"/>
      <c r="R173" s="7" t="str" cm="1">
        <f t="array" ref="R173">IF(AND(Q173="",P173&lt;&gt;""),N173,_xlfn.SWITCH(IF(Q173&lt;&gt;"",Q173,O173)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Centers",IF(Q173&lt;&gt;"",Q173,O173)))</f>
        <v>Hauptagent/in</v>
      </c>
      <c r="S173" s="7" t="str">
        <f>IF(N173&lt;&gt;R173,"x","")</f>
        <v/>
      </c>
    </row>
    <row r="174" spans="1:19" hidden="1" x14ac:dyDescent="0.25">
      <c r="A174" s="7" t="s">
        <v>717</v>
      </c>
      <c r="B174" s="7" t="s">
        <v>20</v>
      </c>
      <c r="C174" s="7" t="s">
        <v>667</v>
      </c>
      <c r="D174" s="7" t="s">
        <v>668</v>
      </c>
      <c r="E174" s="7" t="s">
        <v>20</v>
      </c>
      <c r="F174" s="7" t="s">
        <v>20</v>
      </c>
      <c r="G174" s="7" t="s">
        <v>669</v>
      </c>
      <c r="H174" s="7" t="s">
        <v>20</v>
      </c>
      <c r="I174" s="8" t="s">
        <v>718</v>
      </c>
      <c r="J174" s="7" t="s">
        <v>719</v>
      </c>
      <c r="K174" s="7" t="s">
        <v>720</v>
      </c>
      <c r="L174" s="7" t="s">
        <v>27</v>
      </c>
      <c r="M174" s="7" t="s">
        <v>28</v>
      </c>
      <c r="N174" s="9" t="s">
        <v>111</v>
      </c>
      <c r="O174" s="7" t="s">
        <v>30</v>
      </c>
      <c r="P174" s="7" t="s">
        <v>20</v>
      </c>
      <c r="Q174" s="7"/>
      <c r="R174" s="7" t="str" cm="1">
        <f t="array" ref="R174">IF(AND(Q174="",P174&lt;&gt;""),N174,_xlfn.SWITCH(IF(Q174&lt;&gt;"",Q174,O174)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Centers",IF(Q174&lt;&gt;"",Q174,O174)))</f>
        <v>Agenturleiter/in</v>
      </c>
      <c r="S174" s="7" t="str">
        <f>IF(N174&lt;&gt;R174,"x","")</f>
        <v>x</v>
      </c>
    </row>
    <row r="175" spans="1:19" hidden="1" x14ac:dyDescent="0.25">
      <c r="A175" s="7" t="s">
        <v>721</v>
      </c>
      <c r="B175" s="7" t="s">
        <v>20</v>
      </c>
      <c r="C175" s="7" t="s">
        <v>667</v>
      </c>
      <c r="D175" s="7" t="s">
        <v>668</v>
      </c>
      <c r="E175" s="7" t="s">
        <v>20</v>
      </c>
      <c r="F175" s="7" t="s">
        <v>20</v>
      </c>
      <c r="G175" s="7" t="s">
        <v>669</v>
      </c>
      <c r="H175" s="7" t="s">
        <v>20</v>
      </c>
      <c r="I175" s="8" t="s">
        <v>722</v>
      </c>
      <c r="J175" s="7" t="s">
        <v>723</v>
      </c>
      <c r="K175" s="7" t="s">
        <v>724</v>
      </c>
      <c r="L175" s="7" t="s">
        <v>40</v>
      </c>
      <c r="M175" s="7" t="s">
        <v>41</v>
      </c>
      <c r="N175" s="9" t="s">
        <v>75</v>
      </c>
      <c r="O175" s="7" t="s">
        <v>120</v>
      </c>
      <c r="P175" s="7" t="s">
        <v>20</v>
      </c>
      <c r="Q175" s="7"/>
      <c r="R175" s="7" t="str" cm="1">
        <f t="array" ref="R175">IF(AND(Q175="",P175&lt;&gt;""),N175,_xlfn.SWITCH(IF(Q175&lt;&gt;"",Q175,O175)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Centers",IF(Q175&lt;&gt;"",Q175,O175)))</f>
        <v>Kundenberater/in</v>
      </c>
      <c r="S175" s="7" t="str">
        <f>IF(N175&lt;&gt;R175,"x","")</f>
        <v>x</v>
      </c>
    </row>
    <row r="176" spans="1:19" hidden="1" x14ac:dyDescent="0.25">
      <c r="A176" s="7" t="s">
        <v>725</v>
      </c>
      <c r="B176" s="7" t="s">
        <v>20</v>
      </c>
      <c r="C176" s="7" t="s">
        <v>667</v>
      </c>
      <c r="D176" s="7" t="s">
        <v>668</v>
      </c>
      <c r="E176" s="7" t="s">
        <v>20</v>
      </c>
      <c r="F176" s="7" t="s">
        <v>20</v>
      </c>
      <c r="G176" s="7" t="s">
        <v>669</v>
      </c>
      <c r="H176" s="7" t="s">
        <v>20</v>
      </c>
      <c r="I176" s="8" t="s">
        <v>550</v>
      </c>
      <c r="J176" s="7" t="s">
        <v>726</v>
      </c>
      <c r="K176" s="7" t="s">
        <v>727</v>
      </c>
      <c r="L176" s="7" t="s">
        <v>27</v>
      </c>
      <c r="M176" s="7" t="s">
        <v>28</v>
      </c>
      <c r="N176" s="9" t="s">
        <v>66</v>
      </c>
      <c r="O176" s="7" t="s">
        <v>30</v>
      </c>
      <c r="P176" s="7" t="s">
        <v>20</v>
      </c>
      <c r="Q176" s="7"/>
      <c r="R176" s="7" t="str" cm="1">
        <f t="array" ref="R176">IF(AND(Q176="",P176&lt;&gt;""),N176,_xlfn.SWITCH(IF(Q176&lt;&gt;"",Q176,O176)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Centers",IF(Q176&lt;&gt;"",Q176,O176)))</f>
        <v>Agenturleiter/in</v>
      </c>
      <c r="S176" s="7" t="str">
        <f>IF(N176&lt;&gt;R176,"x","")</f>
        <v>x</v>
      </c>
    </row>
    <row r="177" spans="1:19" hidden="1" x14ac:dyDescent="0.25">
      <c r="A177" s="7" t="s">
        <v>728</v>
      </c>
      <c r="B177" s="7" t="s">
        <v>20</v>
      </c>
      <c r="C177" s="7" t="s">
        <v>667</v>
      </c>
      <c r="D177" s="7" t="s">
        <v>668</v>
      </c>
      <c r="E177" s="7" t="s">
        <v>20</v>
      </c>
      <c r="F177" s="7" t="s">
        <v>20</v>
      </c>
      <c r="G177" s="7" t="s">
        <v>669</v>
      </c>
      <c r="H177" s="7" t="s">
        <v>20</v>
      </c>
      <c r="I177" s="8" t="s">
        <v>729</v>
      </c>
      <c r="J177" s="7" t="s">
        <v>730</v>
      </c>
      <c r="K177" s="7" t="s">
        <v>731</v>
      </c>
      <c r="L177" s="7" t="s">
        <v>27</v>
      </c>
      <c r="M177" s="7" t="s">
        <v>28</v>
      </c>
      <c r="N177" s="9" t="s">
        <v>29</v>
      </c>
      <c r="O177" s="7" t="s">
        <v>30</v>
      </c>
      <c r="P177" s="7" t="s">
        <v>20</v>
      </c>
      <c r="Q177" s="7"/>
      <c r="R177" s="7" t="str" cm="1">
        <f t="array" ref="R177">IF(AND(Q177="",P177&lt;&gt;""),N177,_xlfn.SWITCH(IF(Q177&lt;&gt;"",Q177,O177)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Centers",IF(Q177&lt;&gt;"",Q177,O177)))</f>
        <v>Agenturleiter/in</v>
      </c>
      <c r="S177" s="7" t="str">
        <f>IF(N177&lt;&gt;R177,"x","")</f>
        <v>x</v>
      </c>
    </row>
    <row r="178" spans="1:19" hidden="1" x14ac:dyDescent="0.25">
      <c r="A178" s="7" t="s">
        <v>732</v>
      </c>
      <c r="B178" s="7" t="s">
        <v>20</v>
      </c>
      <c r="C178" s="7" t="s">
        <v>667</v>
      </c>
      <c r="D178" s="7" t="s">
        <v>668</v>
      </c>
      <c r="E178" s="7" t="s">
        <v>20</v>
      </c>
      <c r="F178" s="7" t="s">
        <v>20</v>
      </c>
      <c r="G178" s="7" t="s">
        <v>669</v>
      </c>
      <c r="H178" s="7" t="s">
        <v>20</v>
      </c>
      <c r="I178" s="8" t="s">
        <v>733</v>
      </c>
      <c r="J178" s="7" t="s">
        <v>204</v>
      </c>
      <c r="K178" s="7" t="s">
        <v>734</v>
      </c>
      <c r="L178" s="7" t="s">
        <v>40</v>
      </c>
      <c r="M178" s="7" t="s">
        <v>41</v>
      </c>
      <c r="N178" s="9" t="s">
        <v>75</v>
      </c>
      <c r="O178" s="7" t="s">
        <v>48</v>
      </c>
      <c r="P178" s="7" t="s">
        <v>20</v>
      </c>
      <c r="Q178" s="7"/>
      <c r="R178" s="7" t="str" cm="1">
        <f t="array" ref="R178">IF(AND(Q178="",P178&lt;&gt;""),N178,_xlfn.SWITCH(IF(Q178&lt;&gt;"",Q178,O178)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Centers",IF(Q178&lt;&gt;"",Q178,O178)))</f>
        <v>Repräsentant/in</v>
      </c>
      <c r="S178" s="7" t="str">
        <f>IF(N178&lt;&gt;R178,"x","")</f>
        <v>x</v>
      </c>
    </row>
    <row r="179" spans="1:19" hidden="1" x14ac:dyDescent="0.25">
      <c r="A179" s="7" t="s">
        <v>735</v>
      </c>
      <c r="B179" s="7" t="s">
        <v>20</v>
      </c>
      <c r="C179" s="7" t="s">
        <v>667</v>
      </c>
      <c r="D179" s="7" t="s">
        <v>668</v>
      </c>
      <c r="E179" s="7" t="s">
        <v>20</v>
      </c>
      <c r="F179" s="7" t="s">
        <v>20</v>
      </c>
      <c r="G179" s="7" t="s">
        <v>669</v>
      </c>
      <c r="H179" s="7" t="s">
        <v>20</v>
      </c>
      <c r="I179" s="8" t="s">
        <v>694</v>
      </c>
      <c r="J179" s="7" t="s">
        <v>736</v>
      </c>
      <c r="K179" s="7" t="s">
        <v>737</v>
      </c>
      <c r="L179" s="7" t="s">
        <v>40</v>
      </c>
      <c r="M179" s="7" t="s">
        <v>41</v>
      </c>
      <c r="N179" s="9" t="s">
        <v>75</v>
      </c>
      <c r="O179" s="7" t="s">
        <v>48</v>
      </c>
      <c r="P179" s="7" t="s">
        <v>20</v>
      </c>
      <c r="Q179" s="7"/>
      <c r="R179" s="7" t="str" cm="1">
        <f t="array" ref="R179">IF(AND(Q179="",P179&lt;&gt;""),N179,_xlfn.SWITCH(IF(Q179&lt;&gt;"",Q179,O179)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Centers",IF(Q179&lt;&gt;"",Q179,O179)))</f>
        <v>Repräsentant/in</v>
      </c>
      <c r="S179" s="7" t="str">
        <f>IF(N179&lt;&gt;R179,"x","")</f>
        <v>x</v>
      </c>
    </row>
    <row r="180" spans="1:19" hidden="1" x14ac:dyDescent="0.25">
      <c r="A180" s="7" t="s">
        <v>738</v>
      </c>
      <c r="B180" s="7" t="s">
        <v>739</v>
      </c>
      <c r="C180" s="7" t="s">
        <v>667</v>
      </c>
      <c r="D180" s="7" t="s">
        <v>668</v>
      </c>
      <c r="E180" s="7" t="s">
        <v>740</v>
      </c>
      <c r="F180" s="7" t="s">
        <v>741</v>
      </c>
      <c r="G180" s="7" t="s">
        <v>742</v>
      </c>
      <c r="H180" s="7" t="s">
        <v>742</v>
      </c>
      <c r="I180" s="8" t="s">
        <v>743</v>
      </c>
      <c r="J180" s="7" t="s">
        <v>744</v>
      </c>
      <c r="K180" s="7" t="s">
        <v>745</v>
      </c>
      <c r="L180" s="7" t="s">
        <v>27</v>
      </c>
      <c r="M180" s="7" t="s">
        <v>28</v>
      </c>
      <c r="N180" s="9" t="s">
        <v>149</v>
      </c>
      <c r="O180" s="7" t="s">
        <v>30</v>
      </c>
      <c r="P180" s="7" t="s">
        <v>20</v>
      </c>
      <c r="Q180" s="9" t="s">
        <v>149</v>
      </c>
      <c r="R180" s="7" t="str" cm="1">
        <f t="array" ref="R180">IF(AND(Q180="",P180&lt;&gt;""),N180,_xlfn.SWITCH(IF(Q180&lt;&gt;"",Q180,O180)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Centers",IF(Q180&lt;&gt;"",Q180,O180)))</f>
        <v>Generalagent</v>
      </c>
      <c r="S180" s="7" t="str">
        <f>IF(N180&lt;&gt;R180,"x","")</f>
        <v/>
      </c>
    </row>
    <row r="181" spans="1:19" hidden="1" x14ac:dyDescent="0.25">
      <c r="A181" s="7" t="s">
        <v>746</v>
      </c>
      <c r="B181" s="7" t="s">
        <v>747</v>
      </c>
      <c r="C181" s="7" t="s">
        <v>667</v>
      </c>
      <c r="D181" s="7" t="s">
        <v>668</v>
      </c>
      <c r="E181" s="7" t="s">
        <v>740</v>
      </c>
      <c r="F181" s="7" t="s">
        <v>741</v>
      </c>
      <c r="G181" s="7" t="s">
        <v>742</v>
      </c>
      <c r="H181" s="7" t="s">
        <v>742</v>
      </c>
      <c r="I181" s="8" t="s">
        <v>748</v>
      </c>
      <c r="J181" s="7" t="s">
        <v>749</v>
      </c>
      <c r="K181" s="7" t="s">
        <v>750</v>
      </c>
      <c r="L181" s="7" t="s">
        <v>27</v>
      </c>
      <c r="M181" s="7" t="s">
        <v>28</v>
      </c>
      <c r="N181" s="9" t="s">
        <v>75</v>
      </c>
      <c r="O181" s="7" t="s">
        <v>30</v>
      </c>
      <c r="P181" s="7" t="s">
        <v>20</v>
      </c>
      <c r="Q181" s="7"/>
      <c r="R181" s="7" t="str" cm="1">
        <f t="array" ref="R181">IF(AND(Q181="",P181&lt;&gt;""),N181,_xlfn.SWITCH(IF(Q181&lt;&gt;"",Q181,O181)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Centers",IF(Q181&lt;&gt;"",Q181,O181)))</f>
        <v>Agenturleiter/in</v>
      </c>
      <c r="S181" s="7" t="str">
        <f>IF(N181&lt;&gt;R181,"x","")</f>
        <v>x</v>
      </c>
    </row>
    <row r="182" spans="1:19" hidden="1" x14ac:dyDescent="0.25">
      <c r="A182" s="7" t="s">
        <v>751</v>
      </c>
      <c r="B182" s="7" t="s">
        <v>752</v>
      </c>
      <c r="C182" s="7" t="s">
        <v>667</v>
      </c>
      <c r="D182" s="7" t="s">
        <v>668</v>
      </c>
      <c r="E182" s="7" t="s">
        <v>740</v>
      </c>
      <c r="F182" s="7" t="s">
        <v>741</v>
      </c>
      <c r="G182" s="7" t="s">
        <v>742</v>
      </c>
      <c r="H182" s="7" t="s">
        <v>742</v>
      </c>
      <c r="I182" s="8" t="s">
        <v>712</v>
      </c>
      <c r="J182" s="7" t="s">
        <v>753</v>
      </c>
      <c r="K182" s="7" t="s">
        <v>754</v>
      </c>
      <c r="L182" s="7" t="s">
        <v>124</v>
      </c>
      <c r="M182" s="7" t="s">
        <v>125</v>
      </c>
      <c r="N182" s="9" t="s">
        <v>59</v>
      </c>
      <c r="O182" s="7" t="s">
        <v>67</v>
      </c>
      <c r="P182" s="7" t="s">
        <v>20</v>
      </c>
      <c r="Q182" s="7"/>
      <c r="R182" s="7" t="str" cm="1">
        <f t="array" ref="R182">IF(AND(Q182="",P182&lt;&gt;""),N182,_xlfn.SWITCH(IF(Q182&lt;&gt;"",Q182,O182)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Centers",IF(Q182&lt;&gt;"",Q182,O182)))</f>
        <v>Leiter/in des Service Centers</v>
      </c>
      <c r="S182" s="7" t="str">
        <f>IF(N182&lt;&gt;R182,"x","")</f>
        <v/>
      </c>
    </row>
    <row r="183" spans="1:19" hidden="1" x14ac:dyDescent="0.25">
      <c r="A183" s="7" t="s">
        <v>755</v>
      </c>
      <c r="B183" s="7" t="s">
        <v>756</v>
      </c>
      <c r="C183" s="7" t="s">
        <v>667</v>
      </c>
      <c r="D183" s="7" t="s">
        <v>668</v>
      </c>
      <c r="E183" s="7" t="s">
        <v>740</v>
      </c>
      <c r="F183" s="7" t="s">
        <v>741</v>
      </c>
      <c r="G183" s="7" t="s">
        <v>742</v>
      </c>
      <c r="H183" s="7" t="s">
        <v>742</v>
      </c>
      <c r="I183" s="8" t="s">
        <v>343</v>
      </c>
      <c r="J183" s="7" t="s">
        <v>757</v>
      </c>
      <c r="K183" s="7" t="s">
        <v>758</v>
      </c>
      <c r="L183" s="7" t="s">
        <v>97</v>
      </c>
      <c r="M183" s="7" t="s">
        <v>98</v>
      </c>
      <c r="N183" s="9" t="s">
        <v>66</v>
      </c>
      <c r="O183" s="7" t="s">
        <v>99</v>
      </c>
      <c r="P183" s="7" t="s">
        <v>20</v>
      </c>
      <c r="Q183" s="7"/>
      <c r="R183" s="7" t="str" cm="1">
        <f t="array" ref="R183">IF(AND(Q183="",P183&lt;&gt;""),N183,_xlfn.SWITCH(IF(Q183&lt;&gt;"",Q183,O183)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Centers",IF(Q183&lt;&gt;"",Q183,O183)))</f>
        <v>Hauptagent/in</v>
      </c>
      <c r="S183" s="7" t="str">
        <f>IF(N183&lt;&gt;R183,"x","")</f>
        <v>x</v>
      </c>
    </row>
    <row r="184" spans="1:19" hidden="1" x14ac:dyDescent="0.25">
      <c r="A184" s="7" t="s">
        <v>759</v>
      </c>
      <c r="B184" s="7" t="s">
        <v>760</v>
      </c>
      <c r="C184" s="7" t="s">
        <v>667</v>
      </c>
      <c r="D184" s="7" t="s">
        <v>668</v>
      </c>
      <c r="E184" s="7" t="s">
        <v>740</v>
      </c>
      <c r="F184" s="7" t="s">
        <v>741</v>
      </c>
      <c r="G184" s="7" t="s">
        <v>742</v>
      </c>
      <c r="H184" s="7" t="s">
        <v>742</v>
      </c>
      <c r="I184" s="8" t="s">
        <v>761</v>
      </c>
      <c r="J184" s="7" t="s">
        <v>762</v>
      </c>
      <c r="K184" s="7" t="s">
        <v>763</v>
      </c>
      <c r="L184" s="7" t="s">
        <v>64</v>
      </c>
      <c r="M184" s="7" t="s">
        <v>65</v>
      </c>
      <c r="N184" s="9" t="s">
        <v>149</v>
      </c>
      <c r="O184" s="7" t="s">
        <v>67</v>
      </c>
      <c r="P184" s="7" t="s">
        <v>20</v>
      </c>
      <c r="Q184" s="7"/>
      <c r="R184" s="7" t="str" cm="1">
        <f t="array" ref="R184">IF(AND(Q184="",P184&lt;&gt;""),N184,_xlfn.SWITCH(IF(Q184&lt;&gt;"",Q184,O184)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Centers",IF(Q184&lt;&gt;"",Q184,O184)))</f>
        <v>Leiter/in des Service Centers</v>
      </c>
      <c r="S184" s="7" t="str">
        <f>IF(N184&lt;&gt;R184,"x","")</f>
        <v>x</v>
      </c>
    </row>
    <row r="185" spans="1:19" hidden="1" x14ac:dyDescent="0.25">
      <c r="A185" s="7" t="s">
        <v>764</v>
      </c>
      <c r="B185" s="7" t="s">
        <v>765</v>
      </c>
      <c r="C185" s="7" t="s">
        <v>667</v>
      </c>
      <c r="D185" s="7" t="s">
        <v>668</v>
      </c>
      <c r="E185" s="7" t="s">
        <v>740</v>
      </c>
      <c r="F185" s="7" t="s">
        <v>741</v>
      </c>
      <c r="G185" s="7" t="s">
        <v>742</v>
      </c>
      <c r="H185" s="7" t="s">
        <v>742</v>
      </c>
      <c r="I185" s="8" t="s">
        <v>585</v>
      </c>
      <c r="J185" s="7" t="s">
        <v>766</v>
      </c>
      <c r="K185" s="7" t="s">
        <v>767</v>
      </c>
      <c r="L185" s="7" t="s">
        <v>40</v>
      </c>
      <c r="M185" s="7" t="s">
        <v>41</v>
      </c>
      <c r="N185" s="9" t="s">
        <v>75</v>
      </c>
      <c r="O185" s="7" t="s">
        <v>48</v>
      </c>
      <c r="P185" s="7" t="s">
        <v>20</v>
      </c>
      <c r="Q185" s="7"/>
      <c r="R185" s="7" t="str" cm="1">
        <f t="array" ref="R185">IF(AND(Q185="",P185&lt;&gt;""),N185,_xlfn.SWITCH(IF(Q185&lt;&gt;"",Q185,O185)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Centers",IF(Q185&lt;&gt;"",Q185,O185)))</f>
        <v>Repräsentant/in</v>
      </c>
      <c r="S185" s="7" t="str">
        <f>IF(N185&lt;&gt;R185,"x","")</f>
        <v>x</v>
      </c>
    </row>
    <row r="186" spans="1:19" hidden="1" x14ac:dyDescent="0.25">
      <c r="A186" s="7" t="s">
        <v>768</v>
      </c>
      <c r="B186" s="7" t="s">
        <v>769</v>
      </c>
      <c r="C186" s="7" t="s">
        <v>667</v>
      </c>
      <c r="D186" s="7" t="s">
        <v>668</v>
      </c>
      <c r="E186" s="7" t="s">
        <v>740</v>
      </c>
      <c r="F186" s="7" t="s">
        <v>741</v>
      </c>
      <c r="G186" s="7" t="s">
        <v>742</v>
      </c>
      <c r="H186" s="7" t="s">
        <v>742</v>
      </c>
      <c r="I186" s="8" t="s">
        <v>770</v>
      </c>
      <c r="J186" s="7" t="s">
        <v>771</v>
      </c>
      <c r="K186" s="7" t="s">
        <v>772</v>
      </c>
      <c r="L186" s="7" t="s">
        <v>40</v>
      </c>
      <c r="M186" s="7" t="s">
        <v>41</v>
      </c>
      <c r="N186" s="9" t="s">
        <v>75</v>
      </c>
      <c r="O186" s="7" t="s">
        <v>88</v>
      </c>
      <c r="P186" s="7" t="s">
        <v>20</v>
      </c>
      <c r="Q186" s="7"/>
      <c r="R186" s="7" t="str" cm="1">
        <f t="array" ref="R186">IF(AND(Q186="",P186&lt;&gt;""),N186,_xlfn.SWITCH(IF(Q186&lt;&gt;"",Q186,O186)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Centers",IF(Q186&lt;&gt;"",Q186,O186)))</f>
        <v>Kundenberater/in</v>
      </c>
      <c r="S186" s="7" t="str">
        <f>IF(N186&lt;&gt;R186,"x","")</f>
        <v>x</v>
      </c>
    </row>
    <row r="187" spans="1:19" hidden="1" x14ac:dyDescent="0.25">
      <c r="A187" s="7" t="s">
        <v>773</v>
      </c>
      <c r="B187" s="7" t="s">
        <v>774</v>
      </c>
      <c r="C187" s="7" t="s">
        <v>667</v>
      </c>
      <c r="D187" s="7" t="s">
        <v>668</v>
      </c>
      <c r="E187" s="7" t="s">
        <v>775</v>
      </c>
      <c r="F187" s="7" t="s">
        <v>776</v>
      </c>
      <c r="G187" s="7" t="s">
        <v>777</v>
      </c>
      <c r="H187" s="7" t="s">
        <v>777</v>
      </c>
      <c r="I187" s="8" t="s">
        <v>496</v>
      </c>
      <c r="J187" s="7" t="s">
        <v>778</v>
      </c>
      <c r="K187" s="7" t="s">
        <v>779</v>
      </c>
      <c r="L187" s="7" t="s">
        <v>40</v>
      </c>
      <c r="M187" s="7" t="s">
        <v>41</v>
      </c>
      <c r="N187" s="9" t="s">
        <v>75</v>
      </c>
      <c r="O187" s="7" t="s">
        <v>48</v>
      </c>
      <c r="P187" s="7" t="s">
        <v>20</v>
      </c>
      <c r="Q187" s="7"/>
      <c r="R187" s="7" t="str" cm="1">
        <f t="array" ref="R187">IF(AND(Q187="",P187&lt;&gt;""),N187,_xlfn.SWITCH(IF(Q187&lt;&gt;"",Q187,O187)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Centers",IF(Q187&lt;&gt;"",Q187,O187)))</f>
        <v>Repräsentant/in</v>
      </c>
      <c r="S187" s="7" t="str">
        <f>IF(N187&lt;&gt;R187,"x","")</f>
        <v>x</v>
      </c>
    </row>
    <row r="188" spans="1:19" hidden="1" x14ac:dyDescent="0.25">
      <c r="A188" s="7" t="s">
        <v>780</v>
      </c>
      <c r="B188" s="7" t="s">
        <v>781</v>
      </c>
      <c r="C188" s="7" t="s">
        <v>667</v>
      </c>
      <c r="D188" s="7" t="s">
        <v>668</v>
      </c>
      <c r="E188" s="7" t="s">
        <v>740</v>
      </c>
      <c r="F188" s="7" t="s">
        <v>741</v>
      </c>
      <c r="G188" s="7" t="s">
        <v>742</v>
      </c>
      <c r="H188" s="7" t="s">
        <v>742</v>
      </c>
      <c r="I188" s="8" t="s">
        <v>433</v>
      </c>
      <c r="J188" s="7" t="s">
        <v>782</v>
      </c>
      <c r="K188" s="7" t="s">
        <v>783</v>
      </c>
      <c r="L188" s="7" t="s">
        <v>40</v>
      </c>
      <c r="M188" s="7" t="s">
        <v>41</v>
      </c>
      <c r="N188" s="9" t="s">
        <v>75</v>
      </c>
      <c r="O188" s="7" t="s">
        <v>88</v>
      </c>
      <c r="P188" s="7" t="s">
        <v>20</v>
      </c>
      <c r="Q188" s="7"/>
      <c r="R188" s="7" t="str" cm="1">
        <f t="array" ref="R188">IF(AND(Q188="",P188&lt;&gt;""),N188,_xlfn.SWITCH(IF(Q188&lt;&gt;"",Q188,O188)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Centers",IF(Q188&lt;&gt;"",Q188,O188)))</f>
        <v>Kundenberater/in</v>
      </c>
      <c r="S188" s="7" t="str">
        <f>IF(N188&lt;&gt;R188,"x","")</f>
        <v>x</v>
      </c>
    </row>
    <row r="189" spans="1:19" hidden="1" x14ac:dyDescent="0.25">
      <c r="A189" s="7" t="s">
        <v>784</v>
      </c>
      <c r="B189" s="7" t="s">
        <v>785</v>
      </c>
      <c r="C189" s="7" t="s">
        <v>667</v>
      </c>
      <c r="D189" s="7" t="s">
        <v>668</v>
      </c>
      <c r="E189" s="7" t="s">
        <v>740</v>
      </c>
      <c r="F189" s="7" t="s">
        <v>741</v>
      </c>
      <c r="G189" s="7" t="s">
        <v>742</v>
      </c>
      <c r="H189" s="7" t="s">
        <v>742</v>
      </c>
      <c r="I189" s="8" t="s">
        <v>593</v>
      </c>
      <c r="J189" s="7" t="s">
        <v>786</v>
      </c>
      <c r="K189" s="7" t="s">
        <v>787</v>
      </c>
      <c r="L189" s="7" t="s">
        <v>40</v>
      </c>
      <c r="M189" s="7" t="s">
        <v>41</v>
      </c>
      <c r="N189" s="9" t="s">
        <v>75</v>
      </c>
      <c r="O189" s="7" t="s">
        <v>120</v>
      </c>
      <c r="P189" s="7" t="s">
        <v>20</v>
      </c>
      <c r="Q189" s="7"/>
      <c r="R189" s="7" t="str" cm="1">
        <f t="array" ref="R189">IF(AND(Q189="",P189&lt;&gt;""),N189,_xlfn.SWITCH(IF(Q189&lt;&gt;"",Q189,O189)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Centers",IF(Q189&lt;&gt;"",Q189,O189)))</f>
        <v>Kundenberater/in</v>
      </c>
      <c r="S189" s="7" t="str">
        <f>IF(N189&lt;&gt;R189,"x","")</f>
        <v>x</v>
      </c>
    </row>
    <row r="190" spans="1:19" hidden="1" x14ac:dyDescent="0.25">
      <c r="A190" s="7" t="s">
        <v>788</v>
      </c>
      <c r="B190" s="7" t="s">
        <v>789</v>
      </c>
      <c r="C190" s="7" t="s">
        <v>667</v>
      </c>
      <c r="D190" s="7" t="s">
        <v>668</v>
      </c>
      <c r="E190" s="7" t="s">
        <v>740</v>
      </c>
      <c r="F190" s="7" t="s">
        <v>741</v>
      </c>
      <c r="G190" s="7" t="s">
        <v>742</v>
      </c>
      <c r="H190" s="7" t="s">
        <v>742</v>
      </c>
      <c r="I190" s="8" t="s">
        <v>790</v>
      </c>
      <c r="J190" s="7" t="s">
        <v>791</v>
      </c>
      <c r="K190" s="7" t="s">
        <v>792</v>
      </c>
      <c r="L190" s="7" t="s">
        <v>40</v>
      </c>
      <c r="M190" s="7" t="s">
        <v>41</v>
      </c>
      <c r="N190" s="9" t="s">
        <v>75</v>
      </c>
      <c r="O190" s="7" t="s">
        <v>88</v>
      </c>
      <c r="P190" s="7" t="s">
        <v>20</v>
      </c>
      <c r="Q190" s="7"/>
      <c r="R190" s="7" t="str" cm="1">
        <f t="array" ref="R190">IF(AND(Q190="",P190&lt;&gt;""),N190,_xlfn.SWITCH(IF(Q190&lt;&gt;"",Q190,O190)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Centers",IF(Q190&lt;&gt;"",Q190,O190)))</f>
        <v>Kundenberater/in</v>
      </c>
      <c r="S190" s="7" t="str">
        <f>IF(N190&lt;&gt;R190,"x","")</f>
        <v>x</v>
      </c>
    </row>
    <row r="191" spans="1:19" hidden="1" x14ac:dyDescent="0.25">
      <c r="A191" s="7" t="s">
        <v>793</v>
      </c>
      <c r="B191" s="7" t="s">
        <v>20</v>
      </c>
      <c r="C191" s="7" t="s">
        <v>794</v>
      </c>
      <c r="D191" s="7" t="s">
        <v>795</v>
      </c>
      <c r="E191" s="7" t="s">
        <v>20</v>
      </c>
      <c r="F191" s="7" t="s">
        <v>20</v>
      </c>
      <c r="G191" s="7" t="s">
        <v>796</v>
      </c>
      <c r="H191" s="7" t="s">
        <v>20</v>
      </c>
      <c r="I191" s="8" t="s">
        <v>797</v>
      </c>
      <c r="J191" s="7" t="s">
        <v>798</v>
      </c>
      <c r="K191" s="7" t="s">
        <v>799</v>
      </c>
      <c r="L191" s="7" t="s">
        <v>124</v>
      </c>
      <c r="M191" s="7" t="s">
        <v>125</v>
      </c>
      <c r="N191" s="9" t="s">
        <v>59</v>
      </c>
      <c r="O191" s="7" t="s">
        <v>67</v>
      </c>
      <c r="P191" s="7" t="s">
        <v>20</v>
      </c>
      <c r="Q191" s="7"/>
      <c r="R191" s="7" t="str" cm="1">
        <f t="array" ref="R191">IF(AND(Q191="",P191&lt;&gt;""),N191,_xlfn.SWITCH(IF(Q191&lt;&gt;"",Q191,O191)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Centers",IF(Q191&lt;&gt;"",Q191,O191)))</f>
        <v>Leiter/in des Service Centers</v>
      </c>
      <c r="S191" s="7" t="str">
        <f>IF(N191&lt;&gt;R191,"x","")</f>
        <v/>
      </c>
    </row>
    <row r="192" spans="1:19" hidden="1" x14ac:dyDescent="0.25">
      <c r="A192" s="7" t="s">
        <v>800</v>
      </c>
      <c r="B192" s="7" t="s">
        <v>20</v>
      </c>
      <c r="C192" s="7" t="s">
        <v>794</v>
      </c>
      <c r="D192" s="7" t="s">
        <v>795</v>
      </c>
      <c r="E192" s="7" t="s">
        <v>20</v>
      </c>
      <c r="F192" s="7" t="s">
        <v>20</v>
      </c>
      <c r="G192" s="7" t="s">
        <v>796</v>
      </c>
      <c r="H192" s="7" t="s">
        <v>20</v>
      </c>
      <c r="I192" s="8" t="s">
        <v>801</v>
      </c>
      <c r="J192" s="7" t="s">
        <v>802</v>
      </c>
      <c r="K192" s="7" t="s">
        <v>803</v>
      </c>
      <c r="L192" s="7" t="s">
        <v>27</v>
      </c>
      <c r="M192" s="7" t="s">
        <v>28</v>
      </c>
      <c r="N192" s="9" t="s">
        <v>149</v>
      </c>
      <c r="O192" s="7" t="s">
        <v>30</v>
      </c>
      <c r="P192" s="7" t="s">
        <v>20</v>
      </c>
      <c r="Q192" s="7"/>
      <c r="R192" s="7" t="str" cm="1">
        <f t="array" ref="R192">IF(AND(Q192="",P192&lt;&gt;""),N192,_xlfn.SWITCH(IF(Q192&lt;&gt;"",Q192,O192)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Centers",IF(Q192&lt;&gt;"",Q192,O192)))</f>
        <v>Agenturleiter/in</v>
      </c>
      <c r="S192" s="7" t="str">
        <f>IF(N192&lt;&gt;R192,"x","")</f>
        <v>x</v>
      </c>
    </row>
    <row r="193" spans="1:19" hidden="1" x14ac:dyDescent="0.25">
      <c r="A193" s="7" t="s">
        <v>804</v>
      </c>
      <c r="B193" s="7" t="s">
        <v>20</v>
      </c>
      <c r="C193" s="7" t="s">
        <v>794</v>
      </c>
      <c r="D193" s="7" t="s">
        <v>795</v>
      </c>
      <c r="E193" s="7" t="s">
        <v>20</v>
      </c>
      <c r="F193" s="7" t="s">
        <v>20</v>
      </c>
      <c r="G193" s="7" t="s">
        <v>796</v>
      </c>
      <c r="H193" s="7" t="s">
        <v>20</v>
      </c>
      <c r="I193" s="8" t="s">
        <v>805</v>
      </c>
      <c r="J193" s="7" t="s">
        <v>806</v>
      </c>
      <c r="K193" s="7" t="s">
        <v>807</v>
      </c>
      <c r="L193" s="7" t="s">
        <v>27</v>
      </c>
      <c r="M193" s="7" t="s">
        <v>28</v>
      </c>
      <c r="N193" s="9" t="s">
        <v>111</v>
      </c>
      <c r="O193" s="7" t="s">
        <v>30</v>
      </c>
      <c r="P193" s="7" t="s">
        <v>20</v>
      </c>
      <c r="Q193" s="7"/>
      <c r="R193" s="7" t="str" cm="1">
        <f t="array" ref="R193">IF(AND(Q193="",P193&lt;&gt;""),N193,_xlfn.SWITCH(IF(Q193&lt;&gt;"",Q193,O193)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Centers",IF(Q193&lt;&gt;"",Q193,O193)))</f>
        <v>Agenturleiter/in</v>
      </c>
      <c r="S193" s="7" t="str">
        <f>IF(N193&lt;&gt;R193,"x","")</f>
        <v>x</v>
      </c>
    </row>
    <row r="194" spans="1:19" hidden="1" x14ac:dyDescent="0.25">
      <c r="A194" s="7" t="s">
        <v>808</v>
      </c>
      <c r="B194" s="7" t="s">
        <v>20</v>
      </c>
      <c r="C194" s="7" t="s">
        <v>794</v>
      </c>
      <c r="D194" s="7" t="s">
        <v>795</v>
      </c>
      <c r="E194" s="7" t="s">
        <v>20</v>
      </c>
      <c r="F194" s="7" t="s">
        <v>20</v>
      </c>
      <c r="G194" s="7" t="s">
        <v>796</v>
      </c>
      <c r="H194" s="7" t="s">
        <v>20</v>
      </c>
      <c r="I194" s="8" t="s">
        <v>809</v>
      </c>
      <c r="J194" s="7" t="s">
        <v>810</v>
      </c>
      <c r="K194" s="7" t="s">
        <v>811</v>
      </c>
      <c r="L194" s="7" t="s">
        <v>27</v>
      </c>
      <c r="M194" s="7" t="s">
        <v>28</v>
      </c>
      <c r="N194" s="9" t="s">
        <v>149</v>
      </c>
      <c r="O194" s="7" t="s">
        <v>30</v>
      </c>
      <c r="P194" s="7" t="s">
        <v>20</v>
      </c>
      <c r="Q194" s="7"/>
      <c r="R194" s="7" t="str" cm="1">
        <f t="array" ref="R194">IF(AND(Q194="",P194&lt;&gt;""),N194,_xlfn.SWITCH(IF(Q194&lt;&gt;"",Q194,O194)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Centers",IF(Q194&lt;&gt;"",Q194,O194)))</f>
        <v>Agenturleiter/in</v>
      </c>
      <c r="S194" s="7" t="str">
        <f>IF(N194&lt;&gt;R194,"x","")</f>
        <v>x</v>
      </c>
    </row>
    <row r="195" spans="1:19" hidden="1" x14ac:dyDescent="0.25">
      <c r="A195" s="7" t="s">
        <v>812</v>
      </c>
      <c r="B195" s="7" t="s">
        <v>20</v>
      </c>
      <c r="C195" s="7" t="s">
        <v>794</v>
      </c>
      <c r="D195" s="7" t="s">
        <v>795</v>
      </c>
      <c r="E195" s="7" t="s">
        <v>20</v>
      </c>
      <c r="F195" s="7" t="s">
        <v>20</v>
      </c>
      <c r="G195" s="7" t="s">
        <v>796</v>
      </c>
      <c r="H195" s="7" t="s">
        <v>20</v>
      </c>
      <c r="I195" s="8" t="s">
        <v>813</v>
      </c>
      <c r="J195" s="7" t="s">
        <v>814</v>
      </c>
      <c r="K195" s="7" t="s">
        <v>815</v>
      </c>
      <c r="L195" s="7" t="s">
        <v>97</v>
      </c>
      <c r="M195" s="7" t="s">
        <v>98</v>
      </c>
      <c r="N195" s="9" t="s">
        <v>66</v>
      </c>
      <c r="O195" s="7" t="s">
        <v>251</v>
      </c>
      <c r="P195" s="7" t="s">
        <v>20</v>
      </c>
      <c r="Q195" s="7"/>
      <c r="R195" s="7" t="str" cm="1">
        <f t="array" ref="R195">IF(AND(Q195="",P195&lt;&gt;""),N195,_xlfn.SWITCH(IF(Q195&lt;&gt;"",Q195,O195)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Centers",IF(Q195&lt;&gt;"",Q195,O195)))</f>
        <v>Hauptagent/in</v>
      </c>
      <c r="S195" s="7" t="str">
        <f>IF(N195&lt;&gt;R195,"x","")</f>
        <v>x</v>
      </c>
    </row>
    <row r="196" spans="1:19" hidden="1" x14ac:dyDescent="0.25">
      <c r="A196" s="7" t="s">
        <v>816</v>
      </c>
      <c r="B196" s="7" t="s">
        <v>20</v>
      </c>
      <c r="C196" s="7" t="s">
        <v>794</v>
      </c>
      <c r="D196" s="7" t="s">
        <v>795</v>
      </c>
      <c r="E196" s="7" t="s">
        <v>20</v>
      </c>
      <c r="F196" s="7" t="s">
        <v>20</v>
      </c>
      <c r="G196" s="7" t="s">
        <v>796</v>
      </c>
      <c r="H196" s="7" t="s">
        <v>20</v>
      </c>
      <c r="I196" s="8" t="s">
        <v>163</v>
      </c>
      <c r="J196" s="7" t="s">
        <v>817</v>
      </c>
      <c r="K196" s="7" t="s">
        <v>818</v>
      </c>
      <c r="L196" s="7" t="s">
        <v>64</v>
      </c>
      <c r="M196" s="7" t="s">
        <v>65</v>
      </c>
      <c r="N196" s="9" t="s">
        <v>149</v>
      </c>
      <c r="O196" s="7" t="s">
        <v>67</v>
      </c>
      <c r="P196" s="7" t="s">
        <v>20</v>
      </c>
      <c r="Q196" s="7"/>
      <c r="R196" s="7" t="str" cm="1">
        <f t="array" ref="R196">IF(AND(Q196="",P196&lt;&gt;""),N196,_xlfn.SWITCH(IF(Q196&lt;&gt;"",Q196,O196)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Centers",IF(Q196&lt;&gt;"",Q196,O196)))</f>
        <v>Leiter/in des Service Centers</v>
      </c>
      <c r="S196" s="7" t="str">
        <f>IF(N196&lt;&gt;R196,"x","")</f>
        <v>x</v>
      </c>
    </row>
    <row r="197" spans="1:19" hidden="1" x14ac:dyDescent="0.25">
      <c r="A197" s="7" t="s">
        <v>819</v>
      </c>
      <c r="B197" s="7" t="s">
        <v>20</v>
      </c>
      <c r="C197" s="7" t="s">
        <v>794</v>
      </c>
      <c r="D197" s="7" t="s">
        <v>795</v>
      </c>
      <c r="E197" s="7" t="s">
        <v>20</v>
      </c>
      <c r="F197" s="7" t="s">
        <v>20</v>
      </c>
      <c r="G197" s="7" t="s">
        <v>796</v>
      </c>
      <c r="H197" s="7" t="s">
        <v>20</v>
      </c>
      <c r="I197" s="8" t="s">
        <v>313</v>
      </c>
      <c r="J197" s="7" t="s">
        <v>820</v>
      </c>
      <c r="K197" s="7" t="s">
        <v>821</v>
      </c>
      <c r="L197" s="7" t="s">
        <v>64</v>
      </c>
      <c r="M197" s="7" t="s">
        <v>65</v>
      </c>
      <c r="N197" s="9" t="s">
        <v>59</v>
      </c>
      <c r="O197" s="7" t="s">
        <v>67</v>
      </c>
      <c r="P197" s="7" t="s">
        <v>20</v>
      </c>
      <c r="Q197" s="7"/>
      <c r="R197" s="7" t="str" cm="1">
        <f t="array" ref="R197">IF(AND(Q197="",P197&lt;&gt;""),N197,_xlfn.SWITCH(IF(Q197&lt;&gt;"",Q197,O197)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Centers",IF(Q197&lt;&gt;"",Q197,O197)))</f>
        <v>Leiter/in des Service Centers</v>
      </c>
      <c r="S197" s="7" t="str">
        <f>IF(N197&lt;&gt;R197,"x","")</f>
        <v/>
      </c>
    </row>
    <row r="198" spans="1:19" hidden="1" x14ac:dyDescent="0.25">
      <c r="A198" s="7" t="s">
        <v>822</v>
      </c>
      <c r="B198" s="7" t="s">
        <v>20</v>
      </c>
      <c r="C198" s="7" t="s">
        <v>794</v>
      </c>
      <c r="D198" s="7" t="s">
        <v>795</v>
      </c>
      <c r="E198" s="7" t="s">
        <v>20</v>
      </c>
      <c r="F198" s="7" t="s">
        <v>20</v>
      </c>
      <c r="G198" s="7" t="s">
        <v>796</v>
      </c>
      <c r="H198" s="7" t="s">
        <v>20</v>
      </c>
      <c r="I198" s="8" t="s">
        <v>823</v>
      </c>
      <c r="J198" s="7" t="s">
        <v>824</v>
      </c>
      <c r="K198" s="7" t="s">
        <v>825</v>
      </c>
      <c r="L198" s="7" t="s">
        <v>97</v>
      </c>
      <c r="M198" s="7" t="s">
        <v>98</v>
      </c>
      <c r="N198" s="9" t="s">
        <v>66</v>
      </c>
      <c r="O198" s="7" t="s">
        <v>99</v>
      </c>
      <c r="P198" s="7" t="s">
        <v>20</v>
      </c>
      <c r="Q198" s="7"/>
      <c r="R198" s="7" t="str" cm="1">
        <f t="array" ref="R198">IF(AND(Q198="",P198&lt;&gt;""),N198,_xlfn.SWITCH(IF(Q198&lt;&gt;"",Q198,O198)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Centers",IF(Q198&lt;&gt;"",Q198,O198)))</f>
        <v>Hauptagent/in</v>
      </c>
      <c r="S198" s="7" t="str">
        <f>IF(N198&lt;&gt;R198,"x","")</f>
        <v>x</v>
      </c>
    </row>
    <row r="199" spans="1:19" hidden="1" x14ac:dyDescent="0.25">
      <c r="A199" s="7" t="s">
        <v>826</v>
      </c>
      <c r="B199" s="7" t="s">
        <v>20</v>
      </c>
      <c r="C199" s="7" t="s">
        <v>794</v>
      </c>
      <c r="D199" s="7" t="s">
        <v>795</v>
      </c>
      <c r="E199" s="7" t="s">
        <v>20</v>
      </c>
      <c r="F199" s="7" t="s">
        <v>20</v>
      </c>
      <c r="G199" s="7" t="s">
        <v>796</v>
      </c>
      <c r="H199" s="7" t="s">
        <v>20</v>
      </c>
      <c r="I199" s="8" t="s">
        <v>801</v>
      </c>
      <c r="J199" s="7" t="s">
        <v>827</v>
      </c>
      <c r="K199" s="7" t="s">
        <v>828</v>
      </c>
      <c r="L199" s="7" t="s">
        <v>64</v>
      </c>
      <c r="M199" s="7" t="s">
        <v>65</v>
      </c>
      <c r="N199" s="9" t="s">
        <v>111</v>
      </c>
      <c r="O199" s="7" t="s">
        <v>67</v>
      </c>
      <c r="P199" s="7" t="s">
        <v>20</v>
      </c>
      <c r="Q199" s="7"/>
      <c r="R199" s="7" t="str" cm="1">
        <f t="array" ref="R199">IF(AND(Q199="",P199&lt;&gt;""),N199,_xlfn.SWITCH(IF(Q199&lt;&gt;"",Q199,O199)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Centers",IF(Q199&lt;&gt;"",Q199,O199)))</f>
        <v>Leiter/in des Service Centers</v>
      </c>
      <c r="S199" s="7" t="str">
        <f>IF(N199&lt;&gt;R199,"x","")</f>
        <v>x</v>
      </c>
    </row>
    <row r="200" spans="1:19" hidden="1" x14ac:dyDescent="0.25">
      <c r="A200" s="7" t="s">
        <v>829</v>
      </c>
      <c r="B200" s="7" t="s">
        <v>20</v>
      </c>
      <c r="C200" s="7" t="s">
        <v>794</v>
      </c>
      <c r="D200" s="7" t="s">
        <v>795</v>
      </c>
      <c r="E200" s="7" t="s">
        <v>20</v>
      </c>
      <c r="F200" s="7" t="s">
        <v>20</v>
      </c>
      <c r="G200" s="7" t="s">
        <v>796</v>
      </c>
      <c r="H200" s="7" t="s">
        <v>20</v>
      </c>
      <c r="I200" s="8" t="s">
        <v>830</v>
      </c>
      <c r="J200" s="7" t="s">
        <v>831</v>
      </c>
      <c r="K200" s="7" t="s">
        <v>832</v>
      </c>
      <c r="L200" s="7" t="s">
        <v>27</v>
      </c>
      <c r="M200" s="7" t="s">
        <v>28</v>
      </c>
      <c r="N200" s="9" t="s">
        <v>111</v>
      </c>
      <c r="O200" s="7" t="s">
        <v>30</v>
      </c>
      <c r="P200" s="7" t="s">
        <v>20</v>
      </c>
      <c r="Q200" s="7"/>
      <c r="R200" s="7" t="str" cm="1">
        <f t="array" ref="R200">IF(AND(Q200="",P200&lt;&gt;""),N200,_xlfn.SWITCH(IF(Q200&lt;&gt;"",Q200,O200)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Centers",IF(Q200&lt;&gt;"",Q200,O200)))</f>
        <v>Agenturleiter/in</v>
      </c>
      <c r="S200" s="7" t="str">
        <f>IF(N200&lt;&gt;R200,"x","")</f>
        <v>x</v>
      </c>
    </row>
    <row r="201" spans="1:19" hidden="1" x14ac:dyDescent="0.25">
      <c r="A201" s="7" t="s">
        <v>833</v>
      </c>
      <c r="B201" s="7" t="s">
        <v>20</v>
      </c>
      <c r="C201" s="7" t="s">
        <v>794</v>
      </c>
      <c r="D201" s="7" t="s">
        <v>795</v>
      </c>
      <c r="E201" s="7" t="s">
        <v>20</v>
      </c>
      <c r="F201" s="7" t="s">
        <v>20</v>
      </c>
      <c r="G201" s="7" t="s">
        <v>796</v>
      </c>
      <c r="H201" s="7" t="s">
        <v>20</v>
      </c>
      <c r="I201" s="8" t="s">
        <v>834</v>
      </c>
      <c r="J201" s="7" t="s">
        <v>798</v>
      </c>
      <c r="K201" s="7" t="s">
        <v>835</v>
      </c>
      <c r="L201" s="7" t="s">
        <v>40</v>
      </c>
      <c r="M201" s="7" t="s">
        <v>41</v>
      </c>
      <c r="N201" s="9" t="s">
        <v>75</v>
      </c>
      <c r="O201" s="7" t="s">
        <v>48</v>
      </c>
      <c r="P201" s="7" t="s">
        <v>20</v>
      </c>
      <c r="Q201" s="7"/>
      <c r="R201" s="7" t="str" cm="1">
        <f t="array" ref="R201">IF(AND(Q201="",P201&lt;&gt;""),N201,_xlfn.SWITCH(IF(Q201&lt;&gt;"",Q201,O201)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Centers",IF(Q201&lt;&gt;"",Q201,O201)))</f>
        <v>Repräsentant/in</v>
      </c>
      <c r="S201" s="7" t="str">
        <f>IF(N201&lt;&gt;R201,"x","")</f>
        <v>x</v>
      </c>
    </row>
    <row r="202" spans="1:19" hidden="1" x14ac:dyDescent="0.25">
      <c r="A202" s="7" t="s">
        <v>836</v>
      </c>
      <c r="B202" s="7" t="s">
        <v>20</v>
      </c>
      <c r="C202" s="7" t="s">
        <v>794</v>
      </c>
      <c r="D202" s="7" t="s">
        <v>795</v>
      </c>
      <c r="E202" s="7" t="s">
        <v>20</v>
      </c>
      <c r="F202" s="7" t="s">
        <v>20</v>
      </c>
      <c r="G202" s="7" t="s">
        <v>796</v>
      </c>
      <c r="H202" s="7" t="s">
        <v>20</v>
      </c>
      <c r="I202" s="8" t="s">
        <v>837</v>
      </c>
      <c r="J202" s="7" t="s">
        <v>838</v>
      </c>
      <c r="K202" s="7" t="s">
        <v>839</v>
      </c>
      <c r="L202" s="7" t="s">
        <v>64</v>
      </c>
      <c r="M202" s="7" t="s">
        <v>65</v>
      </c>
      <c r="N202" s="9" t="s">
        <v>111</v>
      </c>
      <c r="O202" s="7" t="s">
        <v>67</v>
      </c>
      <c r="P202" s="7" t="s">
        <v>20</v>
      </c>
      <c r="Q202" s="7"/>
      <c r="R202" s="7" t="str" cm="1">
        <f t="array" ref="R202">IF(AND(Q202="",P202&lt;&gt;""),N202,_xlfn.SWITCH(IF(Q202&lt;&gt;"",Q202,O202)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Centers",IF(Q202&lt;&gt;"",Q202,O202)))</f>
        <v>Leiter/in des Service Centers</v>
      </c>
      <c r="S202" s="7" t="str">
        <f>IF(N202&lt;&gt;R202,"x","")</f>
        <v>x</v>
      </c>
    </row>
    <row r="203" spans="1:19" hidden="1" x14ac:dyDescent="0.25">
      <c r="A203" s="7" t="s">
        <v>840</v>
      </c>
      <c r="B203" s="7" t="s">
        <v>20</v>
      </c>
      <c r="C203" s="7" t="s">
        <v>794</v>
      </c>
      <c r="D203" s="7" t="s">
        <v>795</v>
      </c>
      <c r="E203" s="7" t="s">
        <v>20</v>
      </c>
      <c r="F203" s="7" t="s">
        <v>20</v>
      </c>
      <c r="G203" s="7" t="s">
        <v>796</v>
      </c>
      <c r="H203" s="7" t="s">
        <v>20</v>
      </c>
      <c r="I203" s="8" t="s">
        <v>841</v>
      </c>
      <c r="J203" s="7" t="s">
        <v>838</v>
      </c>
      <c r="K203" s="7" t="s">
        <v>842</v>
      </c>
      <c r="L203" s="7" t="s">
        <v>27</v>
      </c>
      <c r="M203" s="7" t="s">
        <v>28</v>
      </c>
      <c r="N203" s="9" t="s">
        <v>66</v>
      </c>
      <c r="O203" s="7" t="s">
        <v>54</v>
      </c>
      <c r="P203" s="7" t="s">
        <v>20</v>
      </c>
      <c r="Q203" s="7"/>
      <c r="R203" s="7" t="str" cm="1">
        <f t="array" ref="R203">IF(AND(Q203="",P203&lt;&gt;""),N203,_xlfn.SWITCH(IF(Q203&lt;&gt;"",Q203,O203)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Centers",IF(Q203&lt;&gt;"",Q203,O203)))</f>
        <v>Agenturleiter/in</v>
      </c>
      <c r="S203" s="7" t="str">
        <f>IF(N203&lt;&gt;R203,"x","")</f>
        <v>x</v>
      </c>
    </row>
    <row r="204" spans="1:19" hidden="1" x14ac:dyDescent="0.25">
      <c r="A204" s="7" t="s">
        <v>843</v>
      </c>
      <c r="B204" s="7" t="s">
        <v>20</v>
      </c>
      <c r="C204" s="7" t="s">
        <v>794</v>
      </c>
      <c r="D204" s="7" t="s">
        <v>795</v>
      </c>
      <c r="E204" s="7" t="s">
        <v>20</v>
      </c>
      <c r="F204" s="7" t="s">
        <v>20</v>
      </c>
      <c r="G204" s="7" t="s">
        <v>796</v>
      </c>
      <c r="H204" s="7" t="s">
        <v>20</v>
      </c>
      <c r="I204" s="8" t="s">
        <v>844</v>
      </c>
      <c r="J204" s="7" t="s">
        <v>845</v>
      </c>
      <c r="K204" s="7" t="s">
        <v>846</v>
      </c>
      <c r="L204" s="7" t="s">
        <v>27</v>
      </c>
      <c r="M204" s="7" t="s">
        <v>28</v>
      </c>
      <c r="N204" s="9" t="s">
        <v>66</v>
      </c>
      <c r="O204" s="7" t="s">
        <v>30</v>
      </c>
      <c r="P204" s="7" t="s">
        <v>20</v>
      </c>
      <c r="Q204" s="7"/>
      <c r="R204" s="7" t="str" cm="1">
        <f t="array" ref="R204">IF(AND(Q204="",P204&lt;&gt;""),N204,_xlfn.SWITCH(IF(Q204&lt;&gt;"",Q204,O204)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Centers",IF(Q204&lt;&gt;"",Q204,O204)))</f>
        <v>Agenturleiter/in</v>
      </c>
      <c r="S204" s="7" t="str">
        <f>IF(N204&lt;&gt;R204,"x","")</f>
        <v>x</v>
      </c>
    </row>
    <row r="205" spans="1:19" hidden="1" x14ac:dyDescent="0.25">
      <c r="A205" s="7" t="s">
        <v>847</v>
      </c>
      <c r="B205" s="7" t="s">
        <v>20</v>
      </c>
      <c r="C205" s="7" t="s">
        <v>794</v>
      </c>
      <c r="D205" s="7" t="s">
        <v>795</v>
      </c>
      <c r="E205" s="7" t="s">
        <v>20</v>
      </c>
      <c r="F205" s="7" t="s">
        <v>20</v>
      </c>
      <c r="G205" s="7" t="s">
        <v>796</v>
      </c>
      <c r="H205" s="7" t="s">
        <v>20</v>
      </c>
      <c r="I205" s="8" t="s">
        <v>848</v>
      </c>
      <c r="J205" s="7" t="s">
        <v>849</v>
      </c>
      <c r="K205" s="7" t="s">
        <v>850</v>
      </c>
      <c r="L205" s="7" t="s">
        <v>40</v>
      </c>
      <c r="M205" s="7" t="s">
        <v>41</v>
      </c>
      <c r="N205" s="9" t="s">
        <v>75</v>
      </c>
      <c r="O205" s="7" t="s">
        <v>120</v>
      </c>
      <c r="P205" s="7" t="s">
        <v>20</v>
      </c>
      <c r="Q205" s="7"/>
      <c r="R205" s="7" t="str" cm="1">
        <f t="array" ref="R205">IF(AND(Q205="",P205&lt;&gt;""),N205,_xlfn.SWITCH(IF(Q205&lt;&gt;"",Q205,O205)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Centers",IF(Q205&lt;&gt;"",Q205,O205)))</f>
        <v>Kundenberater/in</v>
      </c>
      <c r="S205" s="7" t="str">
        <f>IF(N205&lt;&gt;R205,"x","")</f>
        <v>x</v>
      </c>
    </row>
    <row r="206" spans="1:19" hidden="1" x14ac:dyDescent="0.25">
      <c r="A206" s="7" t="s">
        <v>851</v>
      </c>
      <c r="B206" s="7" t="s">
        <v>20</v>
      </c>
      <c r="C206" s="7" t="s">
        <v>794</v>
      </c>
      <c r="D206" s="7" t="s">
        <v>795</v>
      </c>
      <c r="E206" s="7" t="s">
        <v>20</v>
      </c>
      <c r="F206" s="7" t="s">
        <v>20</v>
      </c>
      <c r="G206" s="7" t="s">
        <v>796</v>
      </c>
      <c r="H206" s="7" t="s">
        <v>20</v>
      </c>
      <c r="I206" s="8" t="s">
        <v>72</v>
      </c>
      <c r="J206" s="7" t="s">
        <v>852</v>
      </c>
      <c r="K206" s="7" t="s">
        <v>853</v>
      </c>
      <c r="L206" s="7" t="s">
        <v>40</v>
      </c>
      <c r="M206" s="7" t="s">
        <v>41</v>
      </c>
      <c r="N206" s="9" t="s">
        <v>75</v>
      </c>
      <c r="O206" s="7" t="s">
        <v>88</v>
      </c>
      <c r="P206" s="7" t="s">
        <v>20</v>
      </c>
      <c r="Q206" s="7"/>
      <c r="R206" s="7" t="str" cm="1">
        <f t="array" ref="R206">IF(AND(Q206="",P206&lt;&gt;""),N206,_xlfn.SWITCH(IF(Q206&lt;&gt;"",Q206,O206)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Centers",IF(Q206&lt;&gt;"",Q206,O206)))</f>
        <v>Kundenberater/in</v>
      </c>
      <c r="S206" s="7" t="str">
        <f>IF(N206&lt;&gt;R206,"x","")</f>
        <v>x</v>
      </c>
    </row>
    <row r="207" spans="1:19" hidden="1" x14ac:dyDescent="0.25">
      <c r="A207" s="7" t="s">
        <v>854</v>
      </c>
      <c r="B207" s="7" t="s">
        <v>20</v>
      </c>
      <c r="C207" s="7" t="s">
        <v>794</v>
      </c>
      <c r="D207" s="7" t="s">
        <v>795</v>
      </c>
      <c r="E207" s="7" t="s">
        <v>20</v>
      </c>
      <c r="F207" s="7" t="s">
        <v>20</v>
      </c>
      <c r="G207" s="7" t="s">
        <v>796</v>
      </c>
      <c r="H207" s="7" t="s">
        <v>20</v>
      </c>
      <c r="I207" s="8" t="s">
        <v>855</v>
      </c>
      <c r="J207" s="7" t="s">
        <v>856</v>
      </c>
      <c r="K207" s="7" t="s">
        <v>857</v>
      </c>
      <c r="L207" s="7" t="s">
        <v>27</v>
      </c>
      <c r="M207" s="7" t="s">
        <v>28</v>
      </c>
      <c r="N207" s="9" t="s">
        <v>149</v>
      </c>
      <c r="O207" s="7" t="s">
        <v>30</v>
      </c>
      <c r="P207" s="7" t="s">
        <v>20</v>
      </c>
      <c r="Q207" s="7"/>
      <c r="R207" s="7" t="str" cm="1">
        <f t="array" ref="R207">IF(AND(Q207="",P207&lt;&gt;""),N207,_xlfn.SWITCH(IF(Q207&lt;&gt;"",Q207,O207)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Centers",IF(Q207&lt;&gt;"",Q207,O207)))</f>
        <v>Agenturleiter/in</v>
      </c>
      <c r="S207" s="7" t="str">
        <f>IF(N207&lt;&gt;R207,"x","")</f>
        <v>x</v>
      </c>
    </row>
    <row r="208" spans="1:19" hidden="1" x14ac:dyDescent="0.25">
      <c r="A208" s="7" t="s">
        <v>858</v>
      </c>
      <c r="B208" s="7" t="s">
        <v>20</v>
      </c>
      <c r="C208" s="7" t="s">
        <v>794</v>
      </c>
      <c r="D208" s="7" t="s">
        <v>795</v>
      </c>
      <c r="E208" s="7" t="s">
        <v>20</v>
      </c>
      <c r="F208" s="7" t="s">
        <v>20</v>
      </c>
      <c r="G208" s="7" t="s">
        <v>796</v>
      </c>
      <c r="H208" s="7" t="s">
        <v>20</v>
      </c>
      <c r="I208" s="8" t="s">
        <v>859</v>
      </c>
      <c r="J208" s="7" t="s">
        <v>860</v>
      </c>
      <c r="K208" s="7" t="s">
        <v>63</v>
      </c>
      <c r="L208" s="7" t="s">
        <v>97</v>
      </c>
      <c r="M208" s="7" t="s">
        <v>98</v>
      </c>
      <c r="N208" s="9" t="s">
        <v>334</v>
      </c>
      <c r="O208" s="7" t="s">
        <v>251</v>
      </c>
      <c r="P208" s="7" t="s">
        <v>49</v>
      </c>
      <c r="Q208" s="7"/>
      <c r="R208" s="7" t="str" cm="1">
        <f t="array" ref="R208">IF(AND(Q208="",P208&lt;&gt;""),N208,_xlfn.SWITCH(IF(Q208&lt;&gt;"",Q208,O208)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Centers",IF(Q208&lt;&gt;"",Q208,O208)))</f>
        <v>Generalagentin</v>
      </c>
      <c r="S208" s="7" t="str">
        <f>IF(N208&lt;&gt;R208,"x","")</f>
        <v/>
      </c>
    </row>
    <row r="209" spans="1:19" hidden="1" x14ac:dyDescent="0.25">
      <c r="A209" s="7" t="s">
        <v>861</v>
      </c>
      <c r="B209" s="7" t="s">
        <v>20</v>
      </c>
      <c r="C209" s="7" t="s">
        <v>794</v>
      </c>
      <c r="D209" s="7" t="s">
        <v>795</v>
      </c>
      <c r="E209" s="7" t="s">
        <v>20</v>
      </c>
      <c r="F209" s="7" t="s">
        <v>20</v>
      </c>
      <c r="G209" s="7" t="s">
        <v>796</v>
      </c>
      <c r="H209" s="7" t="s">
        <v>20</v>
      </c>
      <c r="I209" s="8" t="s">
        <v>862</v>
      </c>
      <c r="J209" s="7" t="s">
        <v>863</v>
      </c>
      <c r="K209" s="7" t="s">
        <v>864</v>
      </c>
      <c r="L209" s="7" t="s">
        <v>27</v>
      </c>
      <c r="M209" s="7" t="s">
        <v>28</v>
      </c>
      <c r="N209" s="9" t="s">
        <v>66</v>
      </c>
      <c r="O209" s="7" t="s">
        <v>30</v>
      </c>
      <c r="P209" s="7" t="s">
        <v>20</v>
      </c>
      <c r="Q209" s="7"/>
      <c r="R209" s="7" t="str" cm="1">
        <f t="array" ref="R209">IF(AND(Q209="",P209&lt;&gt;""),N209,_xlfn.SWITCH(IF(Q209&lt;&gt;"",Q209,O209)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Centers",IF(Q209&lt;&gt;"",Q209,O209)))</f>
        <v>Agenturleiter/in</v>
      </c>
      <c r="S209" s="7" t="str">
        <f>IF(N209&lt;&gt;R209,"x","")</f>
        <v>x</v>
      </c>
    </row>
    <row r="210" spans="1:19" hidden="1" x14ac:dyDescent="0.25">
      <c r="A210" s="7" t="s">
        <v>865</v>
      </c>
      <c r="B210" s="7" t="s">
        <v>20</v>
      </c>
      <c r="C210" s="7" t="s">
        <v>794</v>
      </c>
      <c r="D210" s="7" t="s">
        <v>795</v>
      </c>
      <c r="E210" s="7" t="s">
        <v>20</v>
      </c>
      <c r="F210" s="7" t="s">
        <v>20</v>
      </c>
      <c r="G210" s="7" t="s">
        <v>796</v>
      </c>
      <c r="H210" s="7" t="s">
        <v>20</v>
      </c>
      <c r="I210" s="8" t="s">
        <v>805</v>
      </c>
      <c r="J210" s="7" t="s">
        <v>866</v>
      </c>
      <c r="K210" s="7" t="s">
        <v>867</v>
      </c>
      <c r="L210" s="7" t="s">
        <v>27</v>
      </c>
      <c r="M210" s="7" t="s">
        <v>28</v>
      </c>
      <c r="N210" s="9" t="s">
        <v>29</v>
      </c>
      <c r="O210" s="7" t="s">
        <v>30</v>
      </c>
      <c r="P210" s="7" t="s">
        <v>20</v>
      </c>
      <c r="Q210" s="7"/>
      <c r="R210" s="7" t="str" cm="1">
        <f t="array" ref="R210">IF(AND(Q210="",P210&lt;&gt;""),N210,_xlfn.SWITCH(IF(Q210&lt;&gt;"",Q210,O210)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Centers",IF(Q210&lt;&gt;"",Q210,O210)))</f>
        <v>Agenturleiter/in</v>
      </c>
      <c r="S210" s="7" t="str">
        <f>IF(N210&lt;&gt;R210,"x","")</f>
        <v>x</v>
      </c>
    </row>
    <row r="211" spans="1:19" hidden="1" x14ac:dyDescent="0.25">
      <c r="A211" s="7" t="s">
        <v>868</v>
      </c>
      <c r="B211" s="7" t="s">
        <v>20</v>
      </c>
      <c r="C211" s="7" t="s">
        <v>794</v>
      </c>
      <c r="D211" s="7" t="s">
        <v>795</v>
      </c>
      <c r="E211" s="7" t="s">
        <v>20</v>
      </c>
      <c r="F211" s="7" t="s">
        <v>20</v>
      </c>
      <c r="G211" s="7" t="s">
        <v>796</v>
      </c>
      <c r="H211" s="7" t="s">
        <v>20</v>
      </c>
      <c r="I211" s="8" t="s">
        <v>132</v>
      </c>
      <c r="J211" s="7" t="s">
        <v>831</v>
      </c>
      <c r="K211" s="7" t="s">
        <v>869</v>
      </c>
      <c r="L211" s="7" t="s">
        <v>27</v>
      </c>
      <c r="M211" s="7" t="s">
        <v>28</v>
      </c>
      <c r="N211" s="9" t="s">
        <v>111</v>
      </c>
      <c r="O211" s="7" t="s">
        <v>30</v>
      </c>
      <c r="P211" s="7" t="s">
        <v>20</v>
      </c>
      <c r="Q211" s="7"/>
      <c r="R211" s="7" t="str" cm="1">
        <f t="array" ref="R211">IF(AND(Q211="",P211&lt;&gt;""),N211,_xlfn.SWITCH(IF(Q211&lt;&gt;"",Q211,O211)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Centers",IF(Q211&lt;&gt;"",Q211,O211)))</f>
        <v>Agenturleiter/in</v>
      </c>
      <c r="S211" s="7" t="str">
        <f>IF(N211&lt;&gt;R211,"x","")</f>
        <v>x</v>
      </c>
    </row>
    <row r="212" spans="1:19" hidden="1" x14ac:dyDescent="0.25">
      <c r="A212" s="7" t="s">
        <v>870</v>
      </c>
      <c r="B212" s="7" t="s">
        <v>20</v>
      </c>
      <c r="C212" s="7" t="s">
        <v>794</v>
      </c>
      <c r="D212" s="7" t="s">
        <v>795</v>
      </c>
      <c r="E212" s="7" t="s">
        <v>20</v>
      </c>
      <c r="F212" s="7" t="s">
        <v>20</v>
      </c>
      <c r="G212" s="7" t="s">
        <v>796</v>
      </c>
      <c r="H212" s="7" t="s">
        <v>20</v>
      </c>
      <c r="I212" s="8" t="s">
        <v>324</v>
      </c>
      <c r="J212" s="7" t="s">
        <v>871</v>
      </c>
      <c r="K212" s="7" t="s">
        <v>872</v>
      </c>
      <c r="L212" s="7" t="s">
        <v>64</v>
      </c>
      <c r="M212" s="7" t="s">
        <v>65</v>
      </c>
      <c r="N212" s="9" t="s">
        <v>66</v>
      </c>
      <c r="O212" s="7" t="s">
        <v>67</v>
      </c>
      <c r="P212" s="7" t="s">
        <v>20</v>
      </c>
      <c r="Q212" s="7"/>
      <c r="R212" s="7" t="str" cm="1">
        <f t="array" ref="R212">IF(AND(Q212="",P212&lt;&gt;""),N212,_xlfn.SWITCH(IF(Q212&lt;&gt;"",Q212,O212)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Centers",IF(Q212&lt;&gt;"",Q212,O212)))</f>
        <v>Leiter/in des Service Centers</v>
      </c>
      <c r="S212" s="7" t="str">
        <f>IF(N212&lt;&gt;R212,"x","")</f>
        <v>x</v>
      </c>
    </row>
    <row r="213" spans="1:19" hidden="1" x14ac:dyDescent="0.25">
      <c r="A213" s="7" t="s">
        <v>873</v>
      </c>
      <c r="B213" s="7" t="s">
        <v>20</v>
      </c>
      <c r="C213" s="7" t="s">
        <v>794</v>
      </c>
      <c r="D213" s="7" t="s">
        <v>795</v>
      </c>
      <c r="E213" s="7" t="s">
        <v>20</v>
      </c>
      <c r="F213" s="7" t="s">
        <v>20</v>
      </c>
      <c r="G213" s="7" t="s">
        <v>796</v>
      </c>
      <c r="H213" s="7" t="s">
        <v>20</v>
      </c>
      <c r="I213" s="8" t="s">
        <v>874</v>
      </c>
      <c r="J213" s="7" t="s">
        <v>871</v>
      </c>
      <c r="K213" s="7" t="s">
        <v>875</v>
      </c>
      <c r="L213" s="7" t="s">
        <v>40</v>
      </c>
      <c r="M213" s="7" t="s">
        <v>41</v>
      </c>
      <c r="N213" s="9" t="s">
        <v>75</v>
      </c>
      <c r="O213" s="7" t="s">
        <v>120</v>
      </c>
      <c r="P213" s="7" t="s">
        <v>20</v>
      </c>
      <c r="Q213" s="7"/>
      <c r="R213" s="7" t="str" cm="1">
        <f t="array" ref="R213">IF(AND(Q213="",P213&lt;&gt;""),N213,_xlfn.SWITCH(IF(Q213&lt;&gt;"",Q213,O213)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Centers",IF(Q213&lt;&gt;"",Q213,O213)))</f>
        <v>Kundenberater/in</v>
      </c>
      <c r="S213" s="7" t="str">
        <f>IF(N213&lt;&gt;R213,"x","")</f>
        <v>x</v>
      </c>
    </row>
    <row r="214" spans="1:19" hidden="1" x14ac:dyDescent="0.25">
      <c r="A214" s="7" t="s">
        <v>876</v>
      </c>
      <c r="B214" s="7" t="s">
        <v>20</v>
      </c>
      <c r="C214" s="7" t="s">
        <v>794</v>
      </c>
      <c r="D214" s="7" t="s">
        <v>795</v>
      </c>
      <c r="E214" s="7" t="s">
        <v>20</v>
      </c>
      <c r="F214" s="7" t="s">
        <v>20</v>
      </c>
      <c r="G214" s="7" t="s">
        <v>796</v>
      </c>
      <c r="H214" s="7" t="s">
        <v>20</v>
      </c>
      <c r="I214" s="8" t="s">
        <v>877</v>
      </c>
      <c r="J214" s="7" t="s">
        <v>878</v>
      </c>
      <c r="K214" s="7" t="s">
        <v>879</v>
      </c>
      <c r="L214" s="7" t="s">
        <v>64</v>
      </c>
      <c r="M214" s="7" t="s">
        <v>65</v>
      </c>
      <c r="N214" s="9" t="s">
        <v>35</v>
      </c>
      <c r="O214" s="7" t="s">
        <v>67</v>
      </c>
      <c r="P214" s="7" t="s">
        <v>20</v>
      </c>
      <c r="Q214" s="7"/>
      <c r="R214" s="7" t="str" cm="1">
        <f t="array" ref="R214">IF(AND(Q214="",P214&lt;&gt;""),N214,_xlfn.SWITCH(IF(Q214&lt;&gt;"",Q214,O214)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Centers",IF(Q214&lt;&gt;"",Q214,O214)))</f>
        <v>Leiter/in des Service Centers</v>
      </c>
      <c r="S214" s="7" t="str">
        <f>IF(N214&lt;&gt;R214,"x","")</f>
        <v>x</v>
      </c>
    </row>
    <row r="215" spans="1:19" hidden="1" x14ac:dyDescent="0.25">
      <c r="A215" s="7" t="s">
        <v>880</v>
      </c>
      <c r="B215" s="7" t="s">
        <v>20</v>
      </c>
      <c r="C215" s="7" t="s">
        <v>794</v>
      </c>
      <c r="D215" s="7" t="s">
        <v>795</v>
      </c>
      <c r="E215" s="7" t="s">
        <v>20</v>
      </c>
      <c r="F215" s="7" t="s">
        <v>20</v>
      </c>
      <c r="G215" s="7" t="s">
        <v>796</v>
      </c>
      <c r="H215" s="7" t="s">
        <v>20</v>
      </c>
      <c r="I215" s="8" t="s">
        <v>635</v>
      </c>
      <c r="J215" s="7" t="s">
        <v>881</v>
      </c>
      <c r="K215" s="7" t="s">
        <v>882</v>
      </c>
      <c r="L215" s="7" t="s">
        <v>27</v>
      </c>
      <c r="M215" s="7" t="s">
        <v>28</v>
      </c>
      <c r="N215" s="9" t="s">
        <v>149</v>
      </c>
      <c r="O215" s="7" t="s">
        <v>30</v>
      </c>
      <c r="P215" s="7" t="s">
        <v>20</v>
      </c>
      <c r="Q215" s="7"/>
      <c r="R215" s="7" t="str" cm="1">
        <f t="array" ref="R215">IF(AND(Q215="",P215&lt;&gt;""),N215,_xlfn.SWITCH(IF(Q215&lt;&gt;"",Q215,O215)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Centers",IF(Q215&lt;&gt;"",Q215,O215)))</f>
        <v>Agenturleiter/in</v>
      </c>
      <c r="S215" s="7" t="str">
        <f>IF(N215&lt;&gt;R215,"x","")</f>
        <v>x</v>
      </c>
    </row>
    <row r="216" spans="1:19" hidden="1" x14ac:dyDescent="0.25">
      <c r="A216" s="7" t="s">
        <v>883</v>
      </c>
      <c r="B216" s="7" t="s">
        <v>20</v>
      </c>
      <c r="C216" s="7" t="s">
        <v>794</v>
      </c>
      <c r="D216" s="7" t="s">
        <v>795</v>
      </c>
      <c r="E216" s="7" t="s">
        <v>20</v>
      </c>
      <c r="F216" s="7" t="s">
        <v>20</v>
      </c>
      <c r="G216" s="7" t="s">
        <v>796</v>
      </c>
      <c r="H216" s="7" t="s">
        <v>20</v>
      </c>
      <c r="I216" s="8" t="s">
        <v>884</v>
      </c>
      <c r="J216" s="7" t="s">
        <v>885</v>
      </c>
      <c r="K216" s="7" t="s">
        <v>886</v>
      </c>
      <c r="L216" s="7" t="s">
        <v>27</v>
      </c>
      <c r="M216" s="7" t="s">
        <v>28</v>
      </c>
      <c r="N216" s="9" t="s">
        <v>35</v>
      </c>
      <c r="O216" s="7" t="s">
        <v>54</v>
      </c>
      <c r="P216" s="7" t="s">
        <v>20</v>
      </c>
      <c r="Q216" s="7"/>
      <c r="R216" s="7" t="str" cm="1">
        <f t="array" ref="R216">IF(AND(Q216="",P216&lt;&gt;""),N216,_xlfn.SWITCH(IF(Q216&lt;&gt;"",Q216,O216)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Centers",IF(Q216&lt;&gt;"",Q216,O216)))</f>
        <v>Agenturleiter/in</v>
      </c>
      <c r="S216" s="7" t="str">
        <f>IF(N216&lt;&gt;R216,"x","")</f>
        <v>x</v>
      </c>
    </row>
    <row r="217" spans="1:19" hidden="1" x14ac:dyDescent="0.25">
      <c r="A217" s="7" t="s">
        <v>887</v>
      </c>
      <c r="B217" s="7" t="s">
        <v>20</v>
      </c>
      <c r="C217" s="7" t="s">
        <v>794</v>
      </c>
      <c r="D217" s="7" t="s">
        <v>795</v>
      </c>
      <c r="E217" s="7" t="s">
        <v>20</v>
      </c>
      <c r="F217" s="7" t="s">
        <v>20</v>
      </c>
      <c r="G217" s="7" t="s">
        <v>796</v>
      </c>
      <c r="H217" s="7" t="s">
        <v>20</v>
      </c>
      <c r="I217" s="8" t="s">
        <v>163</v>
      </c>
      <c r="J217" s="7" t="s">
        <v>888</v>
      </c>
      <c r="K217" s="7" t="s">
        <v>889</v>
      </c>
      <c r="L217" s="7" t="s">
        <v>97</v>
      </c>
      <c r="M217" s="7" t="s">
        <v>98</v>
      </c>
      <c r="N217" s="9" t="s">
        <v>66</v>
      </c>
      <c r="O217" s="7" t="s">
        <v>99</v>
      </c>
      <c r="P217" s="7" t="s">
        <v>20</v>
      </c>
      <c r="Q217" s="7"/>
      <c r="R217" s="7" t="str" cm="1">
        <f t="array" ref="R217">IF(AND(Q217="",P217&lt;&gt;""),N217,_xlfn.SWITCH(IF(Q217&lt;&gt;"",Q217,O217)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Centers",IF(Q217&lt;&gt;"",Q217,O217)))</f>
        <v>Hauptagent/in</v>
      </c>
      <c r="S217" s="7" t="str">
        <f>IF(N217&lt;&gt;R217,"x","")</f>
        <v>x</v>
      </c>
    </row>
    <row r="218" spans="1:19" x14ac:dyDescent="0.25">
      <c r="A218" s="7" t="s">
        <v>890</v>
      </c>
      <c r="B218" s="7" t="s">
        <v>20</v>
      </c>
      <c r="C218" s="7" t="s">
        <v>794</v>
      </c>
      <c r="D218" s="7" t="s">
        <v>795</v>
      </c>
      <c r="E218" s="7" t="s">
        <v>20</v>
      </c>
      <c r="F218" s="7" t="s">
        <v>20</v>
      </c>
      <c r="G218" s="7" t="s">
        <v>796</v>
      </c>
      <c r="H218" s="7" t="s">
        <v>20</v>
      </c>
      <c r="I218" s="8" t="s">
        <v>138</v>
      </c>
      <c r="J218" s="7" t="s">
        <v>827</v>
      </c>
      <c r="K218" s="7" t="s">
        <v>891</v>
      </c>
      <c r="L218" s="7" t="s">
        <v>64</v>
      </c>
      <c r="M218" s="7" t="s">
        <v>65</v>
      </c>
      <c r="N218" s="9" t="s">
        <v>892</v>
      </c>
      <c r="O218" s="7" t="s">
        <v>510</v>
      </c>
      <c r="P218" s="7" t="s">
        <v>20</v>
      </c>
      <c r="Q218" s="7"/>
      <c r="R218" s="7" t="str" cm="1">
        <f t="array" ref="R218">IF(AND(Q218="",P218&lt;&gt;""),N218,_xlfn.SWITCH(IF(Q218&lt;&gt;"",Q218,O218)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Centers",IF(Q218&lt;&gt;"",Q218,O218)))</f>
        <v>Leiter/in des Service Centers</v>
      </c>
      <c r="S218" s="7" t="str">
        <f>IF(N218&lt;&gt;R218,"x","")</f>
        <v>x</v>
      </c>
    </row>
    <row r="219" spans="1:19" hidden="1" x14ac:dyDescent="0.25">
      <c r="A219" s="7" t="s">
        <v>893</v>
      </c>
      <c r="B219" s="7" t="s">
        <v>20</v>
      </c>
      <c r="C219" s="7" t="s">
        <v>794</v>
      </c>
      <c r="D219" s="7" t="s">
        <v>795</v>
      </c>
      <c r="E219" s="7" t="s">
        <v>20</v>
      </c>
      <c r="F219" s="7" t="s">
        <v>20</v>
      </c>
      <c r="G219" s="7" t="s">
        <v>796</v>
      </c>
      <c r="H219" s="7" t="s">
        <v>20</v>
      </c>
      <c r="I219" s="8" t="s">
        <v>894</v>
      </c>
      <c r="J219" s="7" t="s">
        <v>895</v>
      </c>
      <c r="K219" s="7" t="s">
        <v>896</v>
      </c>
      <c r="L219" s="7" t="s">
        <v>40</v>
      </c>
      <c r="M219" s="7" t="s">
        <v>41</v>
      </c>
      <c r="N219" s="9" t="s">
        <v>20</v>
      </c>
      <c r="O219" s="7" t="s">
        <v>88</v>
      </c>
      <c r="P219" s="7" t="s">
        <v>20</v>
      </c>
      <c r="Q219" s="7"/>
      <c r="R219" s="7" t="str" cm="1">
        <f t="array" ref="R219">IF(AND(Q219="",P219&lt;&gt;""),N219,_xlfn.SWITCH(IF(Q219&lt;&gt;"",Q219,O219)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Centers",IF(Q219&lt;&gt;"",Q219,O219)))</f>
        <v>Kundenberater/in</v>
      </c>
      <c r="S219" s="7" t="str">
        <f>IF(N219&lt;&gt;R219,"x","")</f>
        <v>x</v>
      </c>
    </row>
    <row r="220" spans="1:19" hidden="1" x14ac:dyDescent="0.25">
      <c r="A220" s="7" t="s">
        <v>897</v>
      </c>
      <c r="B220" s="7" t="s">
        <v>20</v>
      </c>
      <c r="C220" s="7" t="s">
        <v>794</v>
      </c>
      <c r="D220" s="7" t="s">
        <v>795</v>
      </c>
      <c r="E220" s="7" t="s">
        <v>20</v>
      </c>
      <c r="F220" s="7" t="s">
        <v>20</v>
      </c>
      <c r="G220" s="7" t="s">
        <v>796</v>
      </c>
      <c r="H220" s="7" t="s">
        <v>20</v>
      </c>
      <c r="I220" s="8" t="s">
        <v>132</v>
      </c>
      <c r="J220" s="7" t="s">
        <v>898</v>
      </c>
      <c r="K220" s="7" t="s">
        <v>899</v>
      </c>
      <c r="L220" s="7" t="s">
        <v>40</v>
      </c>
      <c r="M220" s="7" t="s">
        <v>41</v>
      </c>
      <c r="N220" s="9" t="s">
        <v>80</v>
      </c>
      <c r="O220" s="7" t="s">
        <v>48</v>
      </c>
      <c r="P220" s="7" t="s">
        <v>20</v>
      </c>
      <c r="Q220" s="7"/>
      <c r="R220" s="7" t="str" cm="1">
        <f t="array" ref="R220">IF(AND(Q220="",P220&lt;&gt;""),N220,_xlfn.SWITCH(IF(Q220&lt;&gt;"",Q220,O220)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Centers",IF(Q220&lt;&gt;"",Q220,O220)))</f>
        <v>Repräsentant/in</v>
      </c>
      <c r="S220" s="7" t="str">
        <f>IF(N220&lt;&gt;R220,"x","")</f>
        <v>x</v>
      </c>
    </row>
    <row r="221" spans="1:19" hidden="1" x14ac:dyDescent="0.25">
      <c r="A221" s="7" t="s">
        <v>900</v>
      </c>
      <c r="B221" s="7" t="s">
        <v>20</v>
      </c>
      <c r="C221" s="7" t="s">
        <v>794</v>
      </c>
      <c r="D221" s="7" t="s">
        <v>795</v>
      </c>
      <c r="E221" s="7" t="s">
        <v>20</v>
      </c>
      <c r="F221" s="7" t="s">
        <v>20</v>
      </c>
      <c r="G221" s="7" t="s">
        <v>796</v>
      </c>
      <c r="H221" s="7" t="s">
        <v>20</v>
      </c>
      <c r="I221" s="8" t="s">
        <v>901</v>
      </c>
      <c r="J221" s="7" t="s">
        <v>902</v>
      </c>
      <c r="K221" s="7" t="s">
        <v>903</v>
      </c>
      <c r="L221" s="7" t="s">
        <v>40</v>
      </c>
      <c r="M221" s="7" t="s">
        <v>41</v>
      </c>
      <c r="N221" s="9" t="s">
        <v>75</v>
      </c>
      <c r="O221" s="7" t="s">
        <v>88</v>
      </c>
      <c r="P221" s="7" t="s">
        <v>20</v>
      </c>
      <c r="Q221" s="7"/>
      <c r="R221" s="7" t="str" cm="1">
        <f t="array" ref="R221">IF(AND(Q221="",P221&lt;&gt;""),N221,_xlfn.SWITCH(IF(Q221&lt;&gt;"",Q221,O221)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Centers",IF(Q221&lt;&gt;"",Q221,O221)))</f>
        <v>Kundenberater/in</v>
      </c>
      <c r="S221" s="7" t="str">
        <f>IF(N221&lt;&gt;R221,"x","")</f>
        <v>x</v>
      </c>
    </row>
    <row r="222" spans="1:19" hidden="1" x14ac:dyDescent="0.25">
      <c r="A222" s="7" t="s">
        <v>904</v>
      </c>
      <c r="B222" s="7" t="s">
        <v>20</v>
      </c>
      <c r="C222" s="7" t="s">
        <v>794</v>
      </c>
      <c r="D222" s="7" t="s">
        <v>795</v>
      </c>
      <c r="E222" s="7" t="s">
        <v>20</v>
      </c>
      <c r="F222" s="7" t="s">
        <v>20</v>
      </c>
      <c r="G222" s="7" t="s">
        <v>796</v>
      </c>
      <c r="H222" s="7" t="s">
        <v>20</v>
      </c>
      <c r="I222" s="8" t="s">
        <v>905</v>
      </c>
      <c r="J222" s="7" t="s">
        <v>906</v>
      </c>
      <c r="K222" s="7" t="s">
        <v>907</v>
      </c>
      <c r="L222" s="7" t="s">
        <v>64</v>
      </c>
      <c r="M222" s="7" t="s">
        <v>65</v>
      </c>
      <c r="N222" s="9" t="s">
        <v>59</v>
      </c>
      <c r="O222" s="7" t="s">
        <v>67</v>
      </c>
      <c r="P222" s="7" t="s">
        <v>20</v>
      </c>
      <c r="Q222" s="7"/>
      <c r="R222" s="7" t="str" cm="1">
        <f t="array" ref="R222">IF(AND(Q222="",P222&lt;&gt;""),N222,_xlfn.SWITCH(IF(Q222&lt;&gt;"",Q222,O222)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Centers",IF(Q222&lt;&gt;"",Q222,O222)))</f>
        <v>Leiter/in des Service Centers</v>
      </c>
      <c r="S222" s="7" t="str">
        <f>IF(N222&lt;&gt;R222,"x","")</f>
        <v/>
      </c>
    </row>
    <row r="223" spans="1:19" hidden="1" x14ac:dyDescent="0.25">
      <c r="A223" s="7" t="s">
        <v>908</v>
      </c>
      <c r="B223" s="7" t="s">
        <v>20</v>
      </c>
      <c r="C223" s="7" t="s">
        <v>794</v>
      </c>
      <c r="D223" s="7" t="s">
        <v>795</v>
      </c>
      <c r="E223" s="7" t="s">
        <v>20</v>
      </c>
      <c r="F223" s="7" t="s">
        <v>20</v>
      </c>
      <c r="G223" s="7" t="s">
        <v>669</v>
      </c>
      <c r="H223" s="7" t="s">
        <v>20</v>
      </c>
      <c r="I223" s="8" t="s">
        <v>909</v>
      </c>
      <c r="J223" s="7" t="s">
        <v>910</v>
      </c>
      <c r="K223" s="7" t="s">
        <v>911</v>
      </c>
      <c r="L223" s="7" t="s">
        <v>40</v>
      </c>
      <c r="M223" s="7" t="s">
        <v>41</v>
      </c>
      <c r="N223" s="9" t="s">
        <v>75</v>
      </c>
      <c r="O223" s="7" t="s">
        <v>88</v>
      </c>
      <c r="P223" s="7" t="s">
        <v>20</v>
      </c>
      <c r="Q223" s="7"/>
      <c r="R223" s="7" t="str" cm="1">
        <f t="array" ref="R223">IF(AND(Q223="",P223&lt;&gt;""),N223,_xlfn.SWITCH(IF(Q223&lt;&gt;"",Q223,O223)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Centers",IF(Q223&lt;&gt;"",Q223,O223)))</f>
        <v>Kundenberater/in</v>
      </c>
      <c r="S223" s="7" t="str">
        <f>IF(N223&lt;&gt;R223,"x","")</f>
        <v>x</v>
      </c>
    </row>
    <row r="224" spans="1:19" hidden="1" x14ac:dyDescent="0.25">
      <c r="A224" s="7" t="s">
        <v>912</v>
      </c>
      <c r="B224" s="7" t="s">
        <v>913</v>
      </c>
      <c r="C224" s="7" t="s">
        <v>794</v>
      </c>
      <c r="D224" s="7" t="s">
        <v>795</v>
      </c>
      <c r="E224" s="7" t="s">
        <v>667</v>
      </c>
      <c r="F224" s="7" t="s">
        <v>668</v>
      </c>
      <c r="G224" s="7" t="s">
        <v>669</v>
      </c>
      <c r="H224" s="7" t="s">
        <v>669</v>
      </c>
      <c r="I224" s="8" t="s">
        <v>914</v>
      </c>
      <c r="J224" s="7" t="s">
        <v>915</v>
      </c>
      <c r="K224" s="7" t="s">
        <v>916</v>
      </c>
      <c r="L224" s="7" t="s">
        <v>40</v>
      </c>
      <c r="M224" s="7" t="s">
        <v>41</v>
      </c>
      <c r="N224" s="9" t="s">
        <v>75</v>
      </c>
      <c r="O224" s="7" t="s">
        <v>48</v>
      </c>
      <c r="P224" s="7" t="s">
        <v>20</v>
      </c>
      <c r="Q224" s="7"/>
      <c r="R224" s="7" t="str" cm="1">
        <f t="array" ref="R224">IF(AND(Q224="",P224&lt;&gt;""),N224,_xlfn.SWITCH(IF(Q224&lt;&gt;"",Q224,O224)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Centers",IF(Q224&lt;&gt;"",Q224,O224)))</f>
        <v>Repräsentant/in</v>
      </c>
      <c r="S224" s="7" t="str">
        <f>IF(N224&lt;&gt;R224,"x","")</f>
        <v>x</v>
      </c>
    </row>
    <row r="225" spans="1:19" x14ac:dyDescent="0.25">
      <c r="A225" s="7" t="s">
        <v>917</v>
      </c>
      <c r="B225" s="7" t="s">
        <v>20</v>
      </c>
      <c r="C225" s="7" t="s">
        <v>918</v>
      </c>
      <c r="D225" s="7" t="s">
        <v>919</v>
      </c>
      <c r="E225" s="7" t="s">
        <v>20</v>
      </c>
      <c r="F225" s="7" t="s">
        <v>20</v>
      </c>
      <c r="G225" s="7" t="s">
        <v>742</v>
      </c>
      <c r="H225" s="7" t="s">
        <v>20</v>
      </c>
      <c r="I225" s="8" t="s">
        <v>920</v>
      </c>
      <c r="J225" s="7" t="s">
        <v>921</v>
      </c>
      <c r="K225" s="7" t="s">
        <v>63</v>
      </c>
      <c r="L225" s="7" t="s">
        <v>27</v>
      </c>
      <c r="M225" s="7" t="s">
        <v>28</v>
      </c>
      <c r="N225" s="9" t="s">
        <v>93</v>
      </c>
      <c r="O225" s="7" t="s">
        <v>54</v>
      </c>
      <c r="P225" s="7" t="s">
        <v>49</v>
      </c>
      <c r="Q225" s="7"/>
      <c r="R225" s="7" t="str" cm="1">
        <f t="array" ref="R225">IF(AND(Q225="",P225&lt;&gt;""),N225,_xlfn.SWITCH(IF(Q225&lt;&gt;"",Q225,O225)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Centers",IF(Q225&lt;&gt;"",Q225,O225)))</f>
        <v>Leiter/in einer Hauptgeschäftsstelle</v>
      </c>
      <c r="S225" s="7" t="str">
        <f>IF(N225&lt;&gt;R225,"x","")</f>
        <v/>
      </c>
    </row>
    <row r="226" spans="1:19" hidden="1" x14ac:dyDescent="0.25">
      <c r="A226" s="7" t="s">
        <v>922</v>
      </c>
      <c r="B226" s="7" t="s">
        <v>20</v>
      </c>
      <c r="C226" s="7" t="s">
        <v>918</v>
      </c>
      <c r="D226" s="7" t="s">
        <v>919</v>
      </c>
      <c r="E226" s="7" t="s">
        <v>20</v>
      </c>
      <c r="F226" s="7" t="s">
        <v>20</v>
      </c>
      <c r="G226" s="7" t="s">
        <v>742</v>
      </c>
      <c r="H226" s="7" t="s">
        <v>20</v>
      </c>
      <c r="I226" s="8" t="s">
        <v>923</v>
      </c>
      <c r="J226" s="7" t="s">
        <v>924</v>
      </c>
      <c r="K226" s="7" t="s">
        <v>925</v>
      </c>
      <c r="L226" s="7" t="s">
        <v>97</v>
      </c>
      <c r="M226" s="7" t="s">
        <v>98</v>
      </c>
      <c r="N226" s="9" t="s">
        <v>75</v>
      </c>
      <c r="O226" s="7" t="s">
        <v>99</v>
      </c>
      <c r="P226" s="7" t="s">
        <v>20</v>
      </c>
      <c r="Q226" s="7"/>
      <c r="R226" s="7" t="str" cm="1">
        <f t="array" ref="R226">IF(AND(Q226="",P226&lt;&gt;""),N226,_xlfn.SWITCH(IF(Q226&lt;&gt;"",Q226,O226)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Centers",IF(Q226&lt;&gt;"",Q226,O226)))</f>
        <v>Hauptagent/in</v>
      </c>
      <c r="S226" s="7" t="str">
        <f>IF(N226&lt;&gt;R226,"x","")</f>
        <v>x</v>
      </c>
    </row>
    <row r="227" spans="1:19" hidden="1" x14ac:dyDescent="0.25">
      <c r="A227" s="7" t="s">
        <v>926</v>
      </c>
      <c r="B227" s="7" t="s">
        <v>20</v>
      </c>
      <c r="C227" s="7" t="s">
        <v>918</v>
      </c>
      <c r="D227" s="7" t="s">
        <v>919</v>
      </c>
      <c r="E227" s="7" t="s">
        <v>20</v>
      </c>
      <c r="F227" s="7" t="s">
        <v>20</v>
      </c>
      <c r="G227" s="7" t="s">
        <v>742</v>
      </c>
      <c r="H227" s="7" t="s">
        <v>20</v>
      </c>
      <c r="I227" s="8" t="s">
        <v>927</v>
      </c>
      <c r="J227" s="7" t="s">
        <v>928</v>
      </c>
      <c r="K227" s="7" t="s">
        <v>929</v>
      </c>
      <c r="L227" s="7" t="s">
        <v>97</v>
      </c>
      <c r="M227" s="7" t="s">
        <v>98</v>
      </c>
      <c r="N227" s="9" t="s">
        <v>111</v>
      </c>
      <c r="O227" s="7" t="s">
        <v>251</v>
      </c>
      <c r="P227" s="7" t="s">
        <v>20</v>
      </c>
      <c r="Q227" s="7"/>
      <c r="R227" s="7" t="str" cm="1">
        <f t="array" ref="R227">IF(AND(Q227="",P227&lt;&gt;""),N227,_xlfn.SWITCH(IF(Q227&lt;&gt;"",Q227,O227)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Centers",IF(Q227&lt;&gt;"",Q227,O227)))</f>
        <v>Hauptagent/in</v>
      </c>
      <c r="S227" s="7" t="str">
        <f>IF(N227&lt;&gt;R227,"x","")</f>
        <v/>
      </c>
    </row>
    <row r="228" spans="1:19" hidden="1" x14ac:dyDescent="0.25">
      <c r="A228" s="7" t="s">
        <v>930</v>
      </c>
      <c r="B228" s="7" t="s">
        <v>20</v>
      </c>
      <c r="C228" s="7" t="s">
        <v>918</v>
      </c>
      <c r="D228" s="7" t="s">
        <v>919</v>
      </c>
      <c r="E228" s="7" t="s">
        <v>20</v>
      </c>
      <c r="F228" s="7" t="s">
        <v>20</v>
      </c>
      <c r="G228" s="7" t="s">
        <v>742</v>
      </c>
      <c r="H228" s="7" t="s">
        <v>20</v>
      </c>
      <c r="I228" s="8" t="s">
        <v>931</v>
      </c>
      <c r="J228" s="7" t="s">
        <v>932</v>
      </c>
      <c r="K228" s="7" t="s">
        <v>933</v>
      </c>
      <c r="L228" s="7" t="s">
        <v>40</v>
      </c>
      <c r="M228" s="7" t="s">
        <v>41</v>
      </c>
      <c r="N228" s="9" t="s">
        <v>75</v>
      </c>
      <c r="O228" s="7" t="s">
        <v>48</v>
      </c>
      <c r="P228" s="7" t="s">
        <v>20</v>
      </c>
      <c r="Q228" s="7"/>
      <c r="R228" s="7" t="str" cm="1">
        <f t="array" ref="R228">IF(AND(Q228="",P228&lt;&gt;""),N228,_xlfn.SWITCH(IF(Q228&lt;&gt;"",Q228,O228)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Centers",IF(Q228&lt;&gt;"",Q228,O228)))</f>
        <v>Repräsentant/in</v>
      </c>
      <c r="S228" s="7" t="str">
        <f>IF(N228&lt;&gt;R228,"x","")</f>
        <v>x</v>
      </c>
    </row>
    <row r="229" spans="1:19" hidden="1" x14ac:dyDescent="0.25">
      <c r="A229" s="7" t="s">
        <v>934</v>
      </c>
      <c r="B229" s="7" t="s">
        <v>20</v>
      </c>
      <c r="C229" s="7" t="s">
        <v>918</v>
      </c>
      <c r="D229" s="7" t="s">
        <v>919</v>
      </c>
      <c r="E229" s="7" t="s">
        <v>20</v>
      </c>
      <c r="F229" s="7" t="s">
        <v>20</v>
      </c>
      <c r="G229" s="7" t="s">
        <v>742</v>
      </c>
      <c r="H229" s="7" t="s">
        <v>20</v>
      </c>
      <c r="I229" s="8" t="s">
        <v>935</v>
      </c>
      <c r="J229" s="7" t="s">
        <v>936</v>
      </c>
      <c r="K229" s="7" t="s">
        <v>937</v>
      </c>
      <c r="L229" s="7" t="s">
        <v>27</v>
      </c>
      <c r="M229" s="7" t="s">
        <v>28</v>
      </c>
      <c r="N229" s="9" t="s">
        <v>334</v>
      </c>
      <c r="O229" s="7" t="s">
        <v>54</v>
      </c>
      <c r="P229" s="7" t="s">
        <v>20</v>
      </c>
      <c r="Q229" s="9" t="s">
        <v>334</v>
      </c>
      <c r="R229" s="7" t="str" cm="1">
        <f t="array" ref="R229">IF(AND(Q229="",P229&lt;&gt;""),N229,_xlfn.SWITCH(IF(Q229&lt;&gt;"",Q229,O229)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Centers",IF(Q229&lt;&gt;"",Q229,O229)))</f>
        <v>Generalagentin</v>
      </c>
      <c r="S229" s="7" t="str">
        <f>IF(N229&lt;&gt;R229,"x","")</f>
        <v/>
      </c>
    </row>
    <row r="230" spans="1:19" hidden="1" x14ac:dyDescent="0.25">
      <c r="A230" s="7" t="s">
        <v>938</v>
      </c>
      <c r="B230" s="7" t="s">
        <v>20</v>
      </c>
      <c r="C230" s="7" t="s">
        <v>918</v>
      </c>
      <c r="D230" s="7" t="s">
        <v>919</v>
      </c>
      <c r="E230" s="7" t="s">
        <v>20</v>
      </c>
      <c r="F230" s="7" t="s">
        <v>20</v>
      </c>
      <c r="G230" s="7" t="s">
        <v>742</v>
      </c>
      <c r="H230" s="7" t="s">
        <v>20</v>
      </c>
      <c r="I230" s="8" t="s">
        <v>104</v>
      </c>
      <c r="J230" s="7" t="s">
        <v>939</v>
      </c>
      <c r="K230" s="7" t="s">
        <v>940</v>
      </c>
      <c r="L230" s="7" t="s">
        <v>97</v>
      </c>
      <c r="M230" s="7" t="s">
        <v>98</v>
      </c>
      <c r="N230" s="9" t="s">
        <v>66</v>
      </c>
      <c r="O230" s="7" t="s">
        <v>99</v>
      </c>
      <c r="P230" s="7" t="s">
        <v>20</v>
      </c>
      <c r="Q230" s="7"/>
      <c r="R230" s="7" t="str" cm="1">
        <f t="array" ref="R230">IF(AND(Q230="",P230&lt;&gt;""),N230,_xlfn.SWITCH(IF(Q230&lt;&gt;"",Q230,O230)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Centers",IF(Q230&lt;&gt;"",Q230,O230)))</f>
        <v>Hauptagent/in</v>
      </c>
      <c r="S230" s="7" t="str">
        <f>IF(N230&lt;&gt;R230,"x","")</f>
        <v>x</v>
      </c>
    </row>
    <row r="231" spans="1:19" hidden="1" x14ac:dyDescent="0.25">
      <c r="A231" s="7" t="s">
        <v>941</v>
      </c>
      <c r="B231" s="7" t="s">
        <v>20</v>
      </c>
      <c r="C231" s="7" t="s">
        <v>918</v>
      </c>
      <c r="D231" s="7" t="s">
        <v>919</v>
      </c>
      <c r="E231" s="7" t="s">
        <v>20</v>
      </c>
      <c r="F231" s="7" t="s">
        <v>20</v>
      </c>
      <c r="G231" s="7" t="s">
        <v>742</v>
      </c>
      <c r="H231" s="7" t="s">
        <v>20</v>
      </c>
      <c r="I231" s="8" t="s">
        <v>942</v>
      </c>
      <c r="J231" s="7" t="s">
        <v>943</v>
      </c>
      <c r="K231" s="7" t="s">
        <v>944</v>
      </c>
      <c r="L231" s="7" t="s">
        <v>97</v>
      </c>
      <c r="M231" s="7" t="s">
        <v>98</v>
      </c>
      <c r="N231" s="9" t="s">
        <v>75</v>
      </c>
      <c r="O231" s="7" t="s">
        <v>99</v>
      </c>
      <c r="P231" s="7" t="s">
        <v>20</v>
      </c>
      <c r="Q231" s="7"/>
      <c r="R231" s="7" t="str" cm="1">
        <f t="array" ref="R231">IF(AND(Q231="",P231&lt;&gt;""),N231,_xlfn.SWITCH(IF(Q231&lt;&gt;"",Q231,O231)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Centers",IF(Q231&lt;&gt;"",Q231,O231)))</f>
        <v>Hauptagent/in</v>
      </c>
      <c r="S231" s="7" t="str">
        <f>IF(N231&lt;&gt;R231,"x","")</f>
        <v>x</v>
      </c>
    </row>
    <row r="232" spans="1:19" hidden="1" x14ac:dyDescent="0.25">
      <c r="A232" s="7" t="s">
        <v>945</v>
      </c>
      <c r="B232" s="7" t="s">
        <v>20</v>
      </c>
      <c r="C232" s="7" t="s">
        <v>918</v>
      </c>
      <c r="D232" s="7" t="s">
        <v>919</v>
      </c>
      <c r="E232" s="7" t="s">
        <v>20</v>
      </c>
      <c r="F232" s="7" t="s">
        <v>20</v>
      </c>
      <c r="G232" s="7" t="s">
        <v>742</v>
      </c>
      <c r="H232" s="7" t="s">
        <v>20</v>
      </c>
      <c r="I232" s="8" t="s">
        <v>946</v>
      </c>
      <c r="J232" s="7" t="s">
        <v>947</v>
      </c>
      <c r="K232" s="7" t="s">
        <v>948</v>
      </c>
      <c r="L232" s="7" t="s">
        <v>40</v>
      </c>
      <c r="M232" s="7" t="s">
        <v>41</v>
      </c>
      <c r="N232" s="9" t="s">
        <v>75</v>
      </c>
      <c r="O232" s="7" t="s">
        <v>120</v>
      </c>
      <c r="P232" s="7" t="s">
        <v>20</v>
      </c>
      <c r="Q232" s="7"/>
      <c r="R232" s="7" t="str" cm="1">
        <f t="array" ref="R232">IF(AND(Q232="",P232&lt;&gt;""),N232,_xlfn.SWITCH(IF(Q232&lt;&gt;"",Q232,O232)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Centers",IF(Q232&lt;&gt;"",Q232,O232)))</f>
        <v>Kundenberater/in</v>
      </c>
      <c r="S232" s="7" t="str">
        <f>IF(N232&lt;&gt;R232,"x","")</f>
        <v>x</v>
      </c>
    </row>
    <row r="233" spans="1:19" hidden="1" x14ac:dyDescent="0.25">
      <c r="A233" s="7" t="s">
        <v>949</v>
      </c>
      <c r="B233" s="7" t="s">
        <v>20</v>
      </c>
      <c r="C233" s="7" t="s">
        <v>918</v>
      </c>
      <c r="D233" s="7" t="s">
        <v>919</v>
      </c>
      <c r="E233" s="7" t="s">
        <v>20</v>
      </c>
      <c r="F233" s="7" t="s">
        <v>20</v>
      </c>
      <c r="G233" s="7" t="s">
        <v>742</v>
      </c>
      <c r="H233" s="7" t="s">
        <v>20</v>
      </c>
      <c r="I233" s="8" t="s">
        <v>950</v>
      </c>
      <c r="J233" s="7" t="s">
        <v>924</v>
      </c>
      <c r="K233" s="7" t="s">
        <v>951</v>
      </c>
      <c r="L233" s="7" t="s">
        <v>40</v>
      </c>
      <c r="M233" s="7" t="s">
        <v>41</v>
      </c>
      <c r="N233" s="9" t="s">
        <v>75</v>
      </c>
      <c r="O233" s="7" t="s">
        <v>48</v>
      </c>
      <c r="P233" s="7" t="s">
        <v>20</v>
      </c>
      <c r="Q233" s="7"/>
      <c r="R233" s="7" t="str" cm="1">
        <f t="array" ref="R233">IF(AND(Q233="",P233&lt;&gt;""),N233,_xlfn.SWITCH(IF(Q233&lt;&gt;"",Q233,O233)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Centers",IF(Q233&lt;&gt;"",Q233,O233)))</f>
        <v>Repräsentant/in</v>
      </c>
      <c r="S233" s="7" t="str">
        <f>IF(N233&lt;&gt;R233,"x","")</f>
        <v>x</v>
      </c>
    </row>
    <row r="234" spans="1:19" hidden="1" x14ac:dyDescent="0.25">
      <c r="A234" s="7" t="s">
        <v>952</v>
      </c>
      <c r="B234" s="7" t="s">
        <v>953</v>
      </c>
      <c r="C234" s="7" t="s">
        <v>918</v>
      </c>
      <c r="D234" s="7" t="s">
        <v>919</v>
      </c>
      <c r="E234" s="7" t="s">
        <v>667</v>
      </c>
      <c r="F234" s="7" t="s">
        <v>668</v>
      </c>
      <c r="G234" s="7" t="s">
        <v>669</v>
      </c>
      <c r="H234" s="7" t="s">
        <v>669</v>
      </c>
      <c r="I234" s="8" t="s">
        <v>122</v>
      </c>
      <c r="J234" s="7" t="s">
        <v>512</v>
      </c>
      <c r="K234" s="7" t="s">
        <v>954</v>
      </c>
      <c r="L234" s="7" t="s">
        <v>27</v>
      </c>
      <c r="M234" s="7" t="s">
        <v>28</v>
      </c>
      <c r="N234" s="9" t="s">
        <v>35</v>
      </c>
      <c r="O234" s="7" t="s">
        <v>30</v>
      </c>
      <c r="P234" s="7" t="s">
        <v>20</v>
      </c>
      <c r="Q234" s="7"/>
      <c r="R234" s="7" t="str" cm="1">
        <f t="array" ref="R234">IF(AND(Q234="",P234&lt;&gt;""),N234,_xlfn.SWITCH(IF(Q234&lt;&gt;"",Q234,O234)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Centers",IF(Q234&lt;&gt;"",Q234,O234)))</f>
        <v>Agenturleiter/in</v>
      </c>
      <c r="S234" s="7" t="str">
        <f>IF(N234&lt;&gt;R234,"x","")</f>
        <v>x</v>
      </c>
    </row>
    <row r="235" spans="1:19" hidden="1" x14ac:dyDescent="0.25">
      <c r="A235" s="7" t="s">
        <v>955</v>
      </c>
      <c r="B235" s="7" t="s">
        <v>956</v>
      </c>
      <c r="C235" s="7" t="s">
        <v>918</v>
      </c>
      <c r="D235" s="7" t="s">
        <v>919</v>
      </c>
      <c r="E235" s="7" t="s">
        <v>667</v>
      </c>
      <c r="F235" s="7" t="s">
        <v>668</v>
      </c>
      <c r="G235" s="7" t="s">
        <v>669</v>
      </c>
      <c r="H235" s="7" t="s">
        <v>669</v>
      </c>
      <c r="I235" s="8" t="s">
        <v>957</v>
      </c>
      <c r="J235" s="7" t="s">
        <v>958</v>
      </c>
      <c r="K235" s="7" t="s">
        <v>959</v>
      </c>
      <c r="L235" s="7" t="s">
        <v>40</v>
      </c>
      <c r="M235" s="7" t="s">
        <v>41</v>
      </c>
      <c r="N235" s="9" t="s">
        <v>75</v>
      </c>
      <c r="O235" s="7" t="s">
        <v>48</v>
      </c>
      <c r="P235" s="7" t="s">
        <v>20</v>
      </c>
      <c r="Q235" s="7"/>
      <c r="R235" s="7" t="str" cm="1">
        <f t="array" ref="R235">IF(AND(Q235="",P235&lt;&gt;""),N235,_xlfn.SWITCH(IF(Q235&lt;&gt;"",Q235,O235)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Centers",IF(Q235&lt;&gt;"",Q235,O235)))</f>
        <v>Repräsentant/in</v>
      </c>
      <c r="S235" s="7" t="str">
        <f>IF(N235&lt;&gt;R235,"x","")</f>
        <v>x</v>
      </c>
    </row>
    <row r="236" spans="1:19" hidden="1" x14ac:dyDescent="0.25">
      <c r="A236" s="7" t="s">
        <v>960</v>
      </c>
      <c r="B236" s="7" t="s">
        <v>961</v>
      </c>
      <c r="C236" s="7" t="s">
        <v>918</v>
      </c>
      <c r="D236" s="7" t="s">
        <v>919</v>
      </c>
      <c r="E236" s="7" t="s">
        <v>667</v>
      </c>
      <c r="F236" s="7" t="s">
        <v>668</v>
      </c>
      <c r="G236" s="7" t="s">
        <v>669</v>
      </c>
      <c r="H236" s="7" t="s">
        <v>669</v>
      </c>
      <c r="I236" s="8" t="s">
        <v>962</v>
      </c>
      <c r="J236" s="7" t="s">
        <v>963</v>
      </c>
      <c r="K236" s="7" t="s">
        <v>964</v>
      </c>
      <c r="L236" s="7" t="s">
        <v>97</v>
      </c>
      <c r="M236" s="7" t="s">
        <v>98</v>
      </c>
      <c r="N236" s="9" t="s">
        <v>75</v>
      </c>
      <c r="O236" s="7" t="s">
        <v>99</v>
      </c>
      <c r="P236" s="7" t="s">
        <v>20</v>
      </c>
      <c r="Q236" s="7"/>
      <c r="R236" s="7" t="str" cm="1">
        <f t="array" ref="R236">IF(AND(Q236="",P236&lt;&gt;""),N236,_xlfn.SWITCH(IF(Q236&lt;&gt;"",Q236,O236)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Centers",IF(Q236&lt;&gt;"",Q236,O236)))</f>
        <v>Hauptagent/in</v>
      </c>
      <c r="S236" s="7" t="str">
        <f>IF(N236&lt;&gt;R236,"x","")</f>
        <v>x</v>
      </c>
    </row>
    <row r="237" spans="1:19" hidden="1" x14ac:dyDescent="0.25">
      <c r="A237" s="7" t="s">
        <v>965</v>
      </c>
      <c r="B237" s="7" t="s">
        <v>966</v>
      </c>
      <c r="C237" s="7" t="s">
        <v>918</v>
      </c>
      <c r="D237" s="7" t="s">
        <v>919</v>
      </c>
      <c r="E237" s="7" t="s">
        <v>667</v>
      </c>
      <c r="F237" s="7" t="s">
        <v>668</v>
      </c>
      <c r="G237" s="7" t="s">
        <v>669</v>
      </c>
      <c r="H237" s="7" t="s">
        <v>669</v>
      </c>
      <c r="I237" s="8" t="s">
        <v>967</v>
      </c>
      <c r="J237" s="7" t="s">
        <v>967</v>
      </c>
      <c r="K237" s="7" t="s">
        <v>968</v>
      </c>
      <c r="L237" s="7" t="s">
        <v>64</v>
      </c>
      <c r="M237" s="7" t="s">
        <v>65</v>
      </c>
      <c r="N237" s="9"/>
      <c r="O237" s="7" t="s">
        <v>59</v>
      </c>
      <c r="P237" s="7" t="s">
        <v>20</v>
      </c>
      <c r="Q237" s="7"/>
      <c r="R237" s="7" t="str" cm="1">
        <f t="array" ref="R237">IF(AND(Q237="",P237&lt;&gt;""),N237,_xlfn.SWITCH(IF(Q237&lt;&gt;"",Q237,O237)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Centers",IF(Q237&lt;&gt;"",Q237,O237)))</f>
        <v>Leiter/in des Service Centers</v>
      </c>
      <c r="S237" s="7" t="str">
        <f>IF(N237&lt;&gt;R237,"x","")</f>
        <v>x</v>
      </c>
    </row>
    <row r="238" spans="1:19" hidden="1" x14ac:dyDescent="0.25">
      <c r="A238" s="7" t="s">
        <v>969</v>
      </c>
      <c r="B238" s="7" t="s">
        <v>970</v>
      </c>
      <c r="C238" s="7" t="s">
        <v>918</v>
      </c>
      <c r="D238" s="7" t="s">
        <v>919</v>
      </c>
      <c r="E238" s="7" t="s">
        <v>794</v>
      </c>
      <c r="F238" s="7" t="s">
        <v>795</v>
      </c>
      <c r="G238" s="7" t="s">
        <v>796</v>
      </c>
      <c r="H238" s="7" t="s">
        <v>796</v>
      </c>
      <c r="I238" s="8" t="s">
        <v>971</v>
      </c>
      <c r="J238" s="7" t="s">
        <v>971</v>
      </c>
      <c r="K238" s="7" t="s">
        <v>972</v>
      </c>
      <c r="L238" s="7" t="s">
        <v>40</v>
      </c>
      <c r="M238" s="7" t="s">
        <v>41</v>
      </c>
      <c r="N238" s="9" t="s">
        <v>20</v>
      </c>
      <c r="O238" s="7" t="s">
        <v>66</v>
      </c>
      <c r="P238" s="7" t="s">
        <v>20</v>
      </c>
      <c r="Q238" s="7"/>
      <c r="R238" s="7" t="str" cm="1">
        <f t="array" ref="R238">IF(AND(Q238="",P238&lt;&gt;""),N238,_xlfn.SWITCH(IF(Q238&lt;&gt;"",Q238,O238)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Centers",IF(Q238&lt;&gt;"",Q238,O238)))</f>
        <v>Repräsentant/in</v>
      </c>
      <c r="S238" s="7" t="str">
        <f>IF(N238&lt;&gt;R238,"x","")</f>
        <v>x</v>
      </c>
    </row>
    <row r="239" spans="1:19" hidden="1" x14ac:dyDescent="0.25">
      <c r="A239" s="7" t="s">
        <v>973</v>
      </c>
      <c r="B239" s="7" t="s">
        <v>974</v>
      </c>
      <c r="C239" s="7" t="s">
        <v>918</v>
      </c>
      <c r="D239" s="7" t="s">
        <v>919</v>
      </c>
      <c r="E239" s="7" t="s">
        <v>794</v>
      </c>
      <c r="F239" s="7" t="s">
        <v>795</v>
      </c>
      <c r="G239" s="7" t="s">
        <v>796</v>
      </c>
      <c r="H239" s="7" t="s">
        <v>796</v>
      </c>
      <c r="I239" s="8" t="s">
        <v>520</v>
      </c>
      <c r="J239" s="7" t="s">
        <v>975</v>
      </c>
      <c r="K239" s="7" t="s">
        <v>976</v>
      </c>
      <c r="L239" s="7" t="s">
        <v>40</v>
      </c>
      <c r="M239" s="7" t="s">
        <v>41</v>
      </c>
      <c r="N239" s="9" t="s">
        <v>75</v>
      </c>
      <c r="O239" s="7" t="s">
        <v>48</v>
      </c>
      <c r="P239" s="7" t="s">
        <v>20</v>
      </c>
      <c r="Q239" s="7"/>
      <c r="R239" s="7" t="str" cm="1">
        <f t="array" ref="R239">IF(AND(Q239="",P239&lt;&gt;""),N239,_xlfn.SWITCH(IF(Q239&lt;&gt;"",Q239,O239)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Centers",IF(Q239&lt;&gt;"",Q239,O239)))</f>
        <v>Repräsentant/in</v>
      </c>
      <c r="S239" s="7" t="str">
        <f>IF(N239&lt;&gt;R239,"x","")</f>
        <v>x</v>
      </c>
    </row>
    <row r="240" spans="1:19" hidden="1" x14ac:dyDescent="0.25">
      <c r="A240" s="7" t="s">
        <v>977</v>
      </c>
      <c r="B240" s="7" t="s">
        <v>978</v>
      </c>
      <c r="C240" s="7" t="s">
        <v>918</v>
      </c>
      <c r="D240" s="7" t="s">
        <v>919</v>
      </c>
      <c r="E240" s="7" t="s">
        <v>667</v>
      </c>
      <c r="F240" s="7" t="s">
        <v>668</v>
      </c>
      <c r="G240" s="7" t="s">
        <v>669</v>
      </c>
      <c r="H240" s="7" t="s">
        <v>669</v>
      </c>
      <c r="I240" s="8" t="s">
        <v>884</v>
      </c>
      <c r="J240" s="7" t="s">
        <v>979</v>
      </c>
      <c r="K240" s="7" t="s">
        <v>980</v>
      </c>
      <c r="L240" s="7" t="s">
        <v>40</v>
      </c>
      <c r="M240" s="7" t="s">
        <v>41</v>
      </c>
      <c r="N240" s="9" t="s">
        <v>75</v>
      </c>
      <c r="O240" s="7" t="s">
        <v>43</v>
      </c>
      <c r="P240" s="7" t="s">
        <v>20</v>
      </c>
      <c r="Q240" s="7"/>
      <c r="R240" s="7" t="str" cm="1">
        <f t="array" ref="R240">IF(AND(Q240="",P240&lt;&gt;""),N240,_xlfn.SWITCH(IF(Q240&lt;&gt;"",Q240,O240)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Centers",IF(Q240&lt;&gt;"",Q240,O240)))</f>
        <v>Repräsentant/in</v>
      </c>
      <c r="S240" s="7" t="str">
        <f>IF(N240&lt;&gt;R240,"x","")</f>
        <v>x</v>
      </c>
    </row>
    <row r="241" spans="1:19" hidden="1" x14ac:dyDescent="0.25">
      <c r="A241" s="7" t="s">
        <v>981</v>
      </c>
      <c r="B241" s="7" t="s">
        <v>982</v>
      </c>
      <c r="C241" s="7" t="s">
        <v>918</v>
      </c>
      <c r="D241" s="7" t="s">
        <v>919</v>
      </c>
      <c r="E241" s="7" t="s">
        <v>667</v>
      </c>
      <c r="F241" s="7" t="s">
        <v>668</v>
      </c>
      <c r="G241" s="7" t="s">
        <v>669</v>
      </c>
      <c r="H241" s="7" t="s">
        <v>669</v>
      </c>
      <c r="I241" s="8" t="s">
        <v>182</v>
      </c>
      <c r="J241" s="7" t="s">
        <v>983</v>
      </c>
      <c r="K241" s="7" t="s">
        <v>984</v>
      </c>
      <c r="L241" s="7" t="s">
        <v>27</v>
      </c>
      <c r="M241" s="7" t="s">
        <v>28</v>
      </c>
      <c r="N241" s="9" t="s">
        <v>35</v>
      </c>
      <c r="O241" s="7" t="s">
        <v>30</v>
      </c>
      <c r="P241" s="7" t="s">
        <v>20</v>
      </c>
      <c r="Q241" s="7"/>
      <c r="R241" s="7" t="str" cm="1">
        <f t="array" ref="R241">IF(AND(Q241="",P241&lt;&gt;""),N241,_xlfn.SWITCH(IF(Q241&lt;&gt;"",Q241,O241)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Centers",IF(Q241&lt;&gt;"",Q241,O241)))</f>
        <v>Agenturleiter/in</v>
      </c>
      <c r="S241" s="7" t="str">
        <f>IF(N241&lt;&gt;R241,"x","")</f>
        <v>x</v>
      </c>
    </row>
    <row r="242" spans="1:19" hidden="1" x14ac:dyDescent="0.25">
      <c r="A242" s="7" t="s">
        <v>985</v>
      </c>
      <c r="B242" s="7" t="s">
        <v>986</v>
      </c>
      <c r="C242" s="7" t="s">
        <v>918</v>
      </c>
      <c r="D242" s="7" t="s">
        <v>919</v>
      </c>
      <c r="E242" s="7" t="s">
        <v>667</v>
      </c>
      <c r="F242" s="7" t="s">
        <v>668</v>
      </c>
      <c r="G242" s="7" t="s">
        <v>669</v>
      </c>
      <c r="H242" s="7" t="s">
        <v>669</v>
      </c>
      <c r="I242" s="8" t="s">
        <v>987</v>
      </c>
      <c r="J242" s="7" t="s">
        <v>988</v>
      </c>
      <c r="K242" s="7" t="s">
        <v>989</v>
      </c>
      <c r="L242" s="7" t="s">
        <v>27</v>
      </c>
      <c r="M242" s="7" t="s">
        <v>28</v>
      </c>
      <c r="N242" s="9" t="s">
        <v>149</v>
      </c>
      <c r="O242" s="7" t="s">
        <v>30</v>
      </c>
      <c r="P242" s="7" t="s">
        <v>20</v>
      </c>
      <c r="Q242" s="7"/>
      <c r="R242" s="7" t="str" cm="1">
        <f t="array" ref="R242">IF(AND(Q242="",P242&lt;&gt;""),N242,_xlfn.SWITCH(IF(Q242&lt;&gt;"",Q242,O242)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Centers",IF(Q242&lt;&gt;"",Q242,O242)))</f>
        <v>Agenturleiter/in</v>
      </c>
      <c r="S242" s="7" t="str">
        <f>IF(N242&lt;&gt;R242,"x","")</f>
        <v>x</v>
      </c>
    </row>
    <row r="243" spans="1:19" x14ac:dyDescent="0.25">
      <c r="A243" s="7" t="s">
        <v>990</v>
      </c>
      <c r="B243" s="7" t="s">
        <v>991</v>
      </c>
      <c r="C243" s="7" t="s">
        <v>918</v>
      </c>
      <c r="D243" s="7" t="s">
        <v>919</v>
      </c>
      <c r="E243" s="7" t="s">
        <v>667</v>
      </c>
      <c r="F243" s="7" t="s">
        <v>668</v>
      </c>
      <c r="G243" s="7" t="s">
        <v>669</v>
      </c>
      <c r="H243" s="7" t="s">
        <v>669</v>
      </c>
      <c r="I243" s="8" t="s">
        <v>992</v>
      </c>
      <c r="J243" s="7" t="s">
        <v>993</v>
      </c>
      <c r="K243" s="7" t="s">
        <v>994</v>
      </c>
      <c r="L243" s="7" t="s">
        <v>64</v>
      </c>
      <c r="M243" s="7" t="s">
        <v>65</v>
      </c>
      <c r="N243" s="9" t="s">
        <v>93</v>
      </c>
      <c r="O243" s="7" t="s">
        <v>67</v>
      </c>
      <c r="P243" s="7" t="s">
        <v>20</v>
      </c>
      <c r="Q243" s="9" t="s">
        <v>93</v>
      </c>
      <c r="R243" s="7" t="str" cm="1">
        <f t="array" ref="R243">IF(AND(Q243="",P243&lt;&gt;""),N243,_xlfn.SWITCH(IF(Q243&lt;&gt;"",Q243,O243)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Centers",IF(Q243&lt;&gt;"",Q243,O243)))</f>
        <v>Leiter/in einer Hauptgeschäftsstelle</v>
      </c>
      <c r="S243" s="7" t="str">
        <f>IF(N243&lt;&gt;R243,"x","")</f>
        <v/>
      </c>
    </row>
    <row r="244" spans="1:19" x14ac:dyDescent="0.25">
      <c r="A244" s="7" t="s">
        <v>995</v>
      </c>
      <c r="B244" s="7" t="s">
        <v>996</v>
      </c>
      <c r="C244" s="7" t="s">
        <v>918</v>
      </c>
      <c r="D244" s="7" t="s">
        <v>919</v>
      </c>
      <c r="E244" s="7" t="s">
        <v>667</v>
      </c>
      <c r="F244" s="7" t="s">
        <v>668</v>
      </c>
      <c r="G244" s="7" t="s">
        <v>669</v>
      </c>
      <c r="H244" s="7" t="s">
        <v>669</v>
      </c>
      <c r="I244" s="8" t="s">
        <v>997</v>
      </c>
      <c r="J244" s="7" t="s">
        <v>998</v>
      </c>
      <c r="K244" s="7" t="s">
        <v>999</v>
      </c>
      <c r="L244" s="7" t="s">
        <v>124</v>
      </c>
      <c r="M244" s="7" t="s">
        <v>125</v>
      </c>
      <c r="N244" s="9" t="s">
        <v>93</v>
      </c>
      <c r="O244" s="7" t="s">
        <v>67</v>
      </c>
      <c r="P244" s="7" t="s">
        <v>20</v>
      </c>
      <c r="Q244" s="9" t="s">
        <v>93</v>
      </c>
      <c r="R244" s="7" t="str" cm="1">
        <f t="array" ref="R244">IF(AND(Q244="",P244&lt;&gt;""),N244,_xlfn.SWITCH(IF(Q244&lt;&gt;"",Q244,O244)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Centers",IF(Q244&lt;&gt;"",Q244,O244)))</f>
        <v>Leiter/in einer Hauptgeschäftsstelle</v>
      </c>
      <c r="S244" s="7" t="str">
        <f>IF(N244&lt;&gt;R244,"x","")</f>
        <v/>
      </c>
    </row>
    <row r="245" spans="1:19" hidden="1" x14ac:dyDescent="0.25">
      <c r="A245" s="7" t="s">
        <v>1000</v>
      </c>
      <c r="B245" s="7" t="s">
        <v>1001</v>
      </c>
      <c r="C245" s="7" t="s">
        <v>918</v>
      </c>
      <c r="D245" s="7" t="s">
        <v>919</v>
      </c>
      <c r="E245" s="7" t="s">
        <v>667</v>
      </c>
      <c r="F245" s="7" t="s">
        <v>668</v>
      </c>
      <c r="G245" s="7" t="s">
        <v>669</v>
      </c>
      <c r="H245" s="7" t="s">
        <v>669</v>
      </c>
      <c r="I245" s="8" t="s">
        <v>1002</v>
      </c>
      <c r="J245" s="7" t="s">
        <v>1002</v>
      </c>
      <c r="K245" s="7" t="s">
        <v>1003</v>
      </c>
      <c r="L245" s="7" t="s">
        <v>124</v>
      </c>
      <c r="M245" s="7" t="s">
        <v>125</v>
      </c>
      <c r="N245" s="9" t="s">
        <v>20</v>
      </c>
      <c r="O245" s="7" t="s">
        <v>59</v>
      </c>
      <c r="P245" s="7" t="s">
        <v>20</v>
      </c>
      <c r="Q245" s="7"/>
      <c r="R245" s="7" t="str" cm="1">
        <f t="array" ref="R245">IF(AND(Q245="",P245&lt;&gt;""),N245,_xlfn.SWITCH(IF(Q245&lt;&gt;"",Q245,O245)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Centers",IF(Q245&lt;&gt;"",Q245,O245)))</f>
        <v>Leiter/in des Service Centers</v>
      </c>
      <c r="S245" s="7" t="str">
        <f>IF(N245&lt;&gt;R245,"x","")</f>
        <v>x</v>
      </c>
    </row>
    <row r="246" spans="1:19" hidden="1" x14ac:dyDescent="0.25">
      <c r="A246" s="7" t="s">
        <v>1004</v>
      </c>
      <c r="B246" s="7" t="s">
        <v>1005</v>
      </c>
      <c r="C246" s="7" t="s">
        <v>918</v>
      </c>
      <c r="D246" s="7" t="s">
        <v>919</v>
      </c>
      <c r="E246" s="7" t="s">
        <v>667</v>
      </c>
      <c r="F246" s="7" t="s">
        <v>668</v>
      </c>
      <c r="G246" s="7" t="s">
        <v>669</v>
      </c>
      <c r="H246" s="7" t="s">
        <v>669</v>
      </c>
      <c r="I246" s="8" t="s">
        <v>975</v>
      </c>
      <c r="J246" s="7" t="s">
        <v>1006</v>
      </c>
      <c r="K246" s="7" t="s">
        <v>63</v>
      </c>
      <c r="L246" s="7" t="s">
        <v>27</v>
      </c>
      <c r="M246" s="7" t="s">
        <v>28</v>
      </c>
      <c r="N246" s="9" t="s">
        <v>59</v>
      </c>
      <c r="O246" s="7" t="s">
        <v>30</v>
      </c>
      <c r="P246" s="7" t="s">
        <v>49</v>
      </c>
      <c r="Q246" s="7"/>
      <c r="R246" s="7" t="str" cm="1">
        <f t="array" ref="R246">IF(AND(Q246="",P246&lt;&gt;""),N246,_xlfn.SWITCH(IF(Q246&lt;&gt;"",Q246,O246)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Centers",IF(Q246&lt;&gt;"",Q246,O246)))</f>
        <v>Leiter/in des Service Centers</v>
      </c>
      <c r="S246" s="7" t="str">
        <f>IF(N246&lt;&gt;R246,"x","")</f>
        <v/>
      </c>
    </row>
    <row r="247" spans="1:19" hidden="1" x14ac:dyDescent="0.25">
      <c r="A247" s="7" t="s">
        <v>1007</v>
      </c>
      <c r="B247" s="7" t="s">
        <v>1008</v>
      </c>
      <c r="C247" s="7" t="s">
        <v>918</v>
      </c>
      <c r="D247" s="7" t="s">
        <v>919</v>
      </c>
      <c r="E247" s="7" t="s">
        <v>667</v>
      </c>
      <c r="F247" s="7" t="s">
        <v>668</v>
      </c>
      <c r="G247" s="7" t="s">
        <v>669</v>
      </c>
      <c r="H247" s="7" t="s">
        <v>669</v>
      </c>
      <c r="I247" s="8" t="s">
        <v>1009</v>
      </c>
      <c r="J247" s="7" t="s">
        <v>1010</v>
      </c>
      <c r="K247" s="7" t="s">
        <v>1011</v>
      </c>
      <c r="L247" s="7" t="s">
        <v>124</v>
      </c>
      <c r="M247" s="7" t="s">
        <v>125</v>
      </c>
      <c r="N247" s="9" t="s">
        <v>75</v>
      </c>
      <c r="O247" s="7" t="s">
        <v>67</v>
      </c>
      <c r="P247" s="7" t="s">
        <v>20</v>
      </c>
      <c r="Q247" s="7"/>
      <c r="R247" s="7" t="str" cm="1">
        <f t="array" ref="R247">IF(AND(Q247="",P247&lt;&gt;""),N247,_xlfn.SWITCH(IF(Q247&lt;&gt;"",Q247,O247)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Centers",IF(Q247&lt;&gt;"",Q247,O247)))</f>
        <v>Leiter/in des Service Centers</v>
      </c>
      <c r="S247" s="7" t="str">
        <f>IF(N247&lt;&gt;R247,"x","")</f>
        <v>x</v>
      </c>
    </row>
    <row r="248" spans="1:19" hidden="1" x14ac:dyDescent="0.25">
      <c r="A248" s="7" t="s">
        <v>1012</v>
      </c>
      <c r="B248" s="7" t="s">
        <v>1013</v>
      </c>
      <c r="C248" s="7" t="s">
        <v>918</v>
      </c>
      <c r="D248" s="7" t="s">
        <v>919</v>
      </c>
      <c r="E248" s="7" t="s">
        <v>667</v>
      </c>
      <c r="F248" s="7" t="s">
        <v>668</v>
      </c>
      <c r="G248" s="7" t="s">
        <v>669</v>
      </c>
      <c r="H248" s="7" t="s">
        <v>669</v>
      </c>
      <c r="I248" s="8" t="s">
        <v>1014</v>
      </c>
      <c r="J248" s="7" t="s">
        <v>1015</v>
      </c>
      <c r="K248" s="7" t="s">
        <v>1016</v>
      </c>
      <c r="L248" s="7" t="s">
        <v>40</v>
      </c>
      <c r="M248" s="7" t="s">
        <v>41</v>
      </c>
      <c r="N248" s="9" t="s">
        <v>75</v>
      </c>
      <c r="O248" s="7" t="s">
        <v>88</v>
      </c>
      <c r="P248" s="7" t="s">
        <v>20</v>
      </c>
      <c r="Q248" s="7"/>
      <c r="R248" s="7" t="str" cm="1">
        <f t="array" ref="R248">IF(AND(Q248="",P248&lt;&gt;""),N248,_xlfn.SWITCH(IF(Q248&lt;&gt;"",Q248,O248)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Centers",IF(Q248&lt;&gt;"",Q248,O248)))</f>
        <v>Kundenberater/in</v>
      </c>
      <c r="S248" s="7" t="str">
        <f>IF(N248&lt;&gt;R248,"x","")</f>
        <v>x</v>
      </c>
    </row>
    <row r="249" spans="1:19" hidden="1" x14ac:dyDescent="0.25">
      <c r="A249" s="7" t="s">
        <v>1017</v>
      </c>
      <c r="B249" s="7" t="s">
        <v>1018</v>
      </c>
      <c r="C249" s="7" t="s">
        <v>918</v>
      </c>
      <c r="D249" s="7" t="s">
        <v>919</v>
      </c>
      <c r="E249" s="7" t="s">
        <v>667</v>
      </c>
      <c r="F249" s="7" t="s">
        <v>668</v>
      </c>
      <c r="G249" s="7" t="s">
        <v>669</v>
      </c>
      <c r="H249" s="7" t="s">
        <v>669</v>
      </c>
      <c r="I249" s="8" t="s">
        <v>1019</v>
      </c>
      <c r="J249" s="7" t="s">
        <v>1020</v>
      </c>
      <c r="K249" s="7" t="s">
        <v>1021</v>
      </c>
      <c r="L249" s="7" t="s">
        <v>64</v>
      </c>
      <c r="M249" s="7" t="s">
        <v>65</v>
      </c>
      <c r="N249" s="9" t="s">
        <v>75</v>
      </c>
      <c r="O249" s="7" t="s">
        <v>510</v>
      </c>
      <c r="P249" s="7" t="s">
        <v>20</v>
      </c>
      <c r="Q249" s="7"/>
      <c r="R249" s="7" t="str" cm="1">
        <f t="array" ref="R249">IF(AND(Q249="",P249&lt;&gt;""),N249,_xlfn.SWITCH(IF(Q249&lt;&gt;"",Q249,O249)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Centers",IF(Q249&lt;&gt;"",Q249,O249)))</f>
        <v>Leiter/in des Service Centers</v>
      </c>
      <c r="S249" s="7" t="str">
        <f>IF(N249&lt;&gt;R249,"x","")</f>
        <v>x</v>
      </c>
    </row>
    <row r="250" spans="1:19" hidden="1" x14ac:dyDescent="0.25">
      <c r="A250" s="7" t="s">
        <v>1022</v>
      </c>
      <c r="B250" s="7" t="s">
        <v>1023</v>
      </c>
      <c r="C250" s="7" t="s">
        <v>918</v>
      </c>
      <c r="D250" s="7" t="s">
        <v>919</v>
      </c>
      <c r="E250" s="7" t="s">
        <v>667</v>
      </c>
      <c r="F250" s="7" t="s">
        <v>668</v>
      </c>
      <c r="G250" s="7" t="s">
        <v>669</v>
      </c>
      <c r="H250" s="7" t="s">
        <v>669</v>
      </c>
      <c r="I250" s="8" t="s">
        <v>1024</v>
      </c>
      <c r="J250" s="7" t="s">
        <v>1025</v>
      </c>
      <c r="K250" s="7" t="s">
        <v>1026</v>
      </c>
      <c r="L250" s="7" t="s">
        <v>64</v>
      </c>
      <c r="M250" s="7" t="s">
        <v>65</v>
      </c>
      <c r="N250" s="9" t="s">
        <v>75</v>
      </c>
      <c r="O250" s="7" t="s">
        <v>67</v>
      </c>
      <c r="P250" s="7" t="s">
        <v>20</v>
      </c>
      <c r="Q250" s="7"/>
      <c r="R250" s="7" t="str" cm="1">
        <f t="array" ref="R250">IF(AND(Q250="",P250&lt;&gt;""),N250,_xlfn.SWITCH(IF(Q250&lt;&gt;"",Q250,O250)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Centers",IF(Q250&lt;&gt;"",Q250,O250)))</f>
        <v>Leiter/in des Service Centers</v>
      </c>
      <c r="S250" s="7" t="str">
        <f>IF(N250&lt;&gt;R250,"x","")</f>
        <v>x</v>
      </c>
    </row>
    <row r="251" spans="1:19" hidden="1" x14ac:dyDescent="0.25">
      <c r="A251" s="7" t="s">
        <v>1027</v>
      </c>
      <c r="B251" s="7" t="s">
        <v>20</v>
      </c>
      <c r="C251" s="7" t="s">
        <v>1028</v>
      </c>
      <c r="D251" s="7" t="s">
        <v>1029</v>
      </c>
      <c r="E251" s="7" t="s">
        <v>20</v>
      </c>
      <c r="F251" s="7" t="s">
        <v>20</v>
      </c>
      <c r="G251" s="7" t="s">
        <v>213</v>
      </c>
      <c r="H251" s="7" t="s">
        <v>20</v>
      </c>
      <c r="I251" s="8" t="s">
        <v>1030</v>
      </c>
      <c r="J251" s="7" t="s">
        <v>1030</v>
      </c>
      <c r="K251" s="7" t="s">
        <v>1031</v>
      </c>
      <c r="L251" s="7" t="s">
        <v>124</v>
      </c>
      <c r="M251" s="7" t="s">
        <v>125</v>
      </c>
      <c r="N251" s="9" t="s">
        <v>59</v>
      </c>
      <c r="O251" s="7" t="s">
        <v>59</v>
      </c>
      <c r="P251" s="7" t="s">
        <v>20</v>
      </c>
      <c r="Q251" s="7"/>
      <c r="R251" s="7" t="str" cm="1">
        <f t="array" ref="R251">IF(AND(Q251="",P251&lt;&gt;""),N251,_xlfn.SWITCH(IF(Q251&lt;&gt;"",Q251,O251)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Centers",IF(Q251&lt;&gt;"",Q251,O251)))</f>
        <v>Leiter/in des Service Centers</v>
      </c>
      <c r="S251" s="7" t="str">
        <f>IF(N251&lt;&gt;R251,"x","")</f>
        <v/>
      </c>
    </row>
    <row r="252" spans="1:19" hidden="1" x14ac:dyDescent="0.25">
      <c r="A252" s="7" t="s">
        <v>1032</v>
      </c>
      <c r="B252" s="7" t="s">
        <v>20</v>
      </c>
      <c r="C252" s="7" t="s">
        <v>1028</v>
      </c>
      <c r="D252" s="7" t="s">
        <v>1029</v>
      </c>
      <c r="E252" s="7" t="s">
        <v>20</v>
      </c>
      <c r="F252" s="7" t="s">
        <v>20</v>
      </c>
      <c r="G252" s="7" t="s">
        <v>213</v>
      </c>
      <c r="H252" s="7" t="s">
        <v>20</v>
      </c>
      <c r="I252" s="8" t="s">
        <v>186</v>
      </c>
      <c r="J252" s="7" t="s">
        <v>1033</v>
      </c>
      <c r="K252" s="7" t="s">
        <v>1034</v>
      </c>
      <c r="L252" s="7" t="s">
        <v>64</v>
      </c>
      <c r="M252" s="7" t="s">
        <v>65</v>
      </c>
      <c r="N252" s="9" t="s">
        <v>111</v>
      </c>
      <c r="O252" s="7" t="s">
        <v>67</v>
      </c>
      <c r="P252" s="7" t="s">
        <v>20</v>
      </c>
      <c r="Q252" s="7"/>
      <c r="R252" s="7" t="str" cm="1">
        <f t="array" ref="R252">IF(AND(Q252="",P252&lt;&gt;""),N252,_xlfn.SWITCH(IF(Q252&lt;&gt;"",Q252,O252)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Centers",IF(Q252&lt;&gt;"",Q252,O252)))</f>
        <v>Leiter/in des Service Centers</v>
      </c>
      <c r="S252" s="7" t="str">
        <f>IF(N252&lt;&gt;R252,"x","")</f>
        <v>x</v>
      </c>
    </row>
    <row r="253" spans="1:19" hidden="1" x14ac:dyDescent="0.25">
      <c r="A253" s="7" t="s">
        <v>1035</v>
      </c>
      <c r="B253" s="7" t="s">
        <v>20</v>
      </c>
      <c r="C253" s="7" t="s">
        <v>1028</v>
      </c>
      <c r="D253" s="7" t="s">
        <v>1029</v>
      </c>
      <c r="E253" s="7" t="s">
        <v>20</v>
      </c>
      <c r="F253" s="7" t="s">
        <v>20</v>
      </c>
      <c r="G253" s="7" t="s">
        <v>213</v>
      </c>
      <c r="H253" s="7" t="s">
        <v>20</v>
      </c>
      <c r="I253" s="8" t="s">
        <v>1036</v>
      </c>
      <c r="J253" s="7" t="s">
        <v>1037</v>
      </c>
      <c r="K253" s="7" t="s">
        <v>1038</v>
      </c>
      <c r="L253" s="7" t="s">
        <v>124</v>
      </c>
      <c r="M253" s="7" t="s">
        <v>125</v>
      </c>
      <c r="N253" s="9" t="s">
        <v>59</v>
      </c>
      <c r="O253" s="7" t="s">
        <v>67</v>
      </c>
      <c r="P253" s="7" t="s">
        <v>20</v>
      </c>
      <c r="Q253" s="7"/>
      <c r="R253" s="7" t="str" cm="1">
        <f t="array" ref="R253">IF(AND(Q253="",P253&lt;&gt;""),N253,_xlfn.SWITCH(IF(Q253&lt;&gt;"",Q253,O253)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Centers",IF(Q253&lt;&gt;"",Q253,O253)))</f>
        <v>Leiter/in des Service Centers</v>
      </c>
      <c r="S253" s="7" t="str">
        <f>IF(N253&lt;&gt;R253,"x","")</f>
        <v/>
      </c>
    </row>
    <row r="254" spans="1:19" hidden="1" x14ac:dyDescent="0.25">
      <c r="A254" s="7" t="s">
        <v>1039</v>
      </c>
      <c r="B254" s="7" t="s">
        <v>20</v>
      </c>
      <c r="C254" s="7" t="s">
        <v>1028</v>
      </c>
      <c r="D254" s="7" t="s">
        <v>1029</v>
      </c>
      <c r="E254" s="7" t="s">
        <v>20</v>
      </c>
      <c r="F254" s="7" t="s">
        <v>20</v>
      </c>
      <c r="G254" s="7" t="s">
        <v>213</v>
      </c>
      <c r="H254" s="7" t="s">
        <v>20</v>
      </c>
      <c r="I254" s="8" t="s">
        <v>1040</v>
      </c>
      <c r="J254" s="7" t="s">
        <v>1041</v>
      </c>
      <c r="K254" s="7" t="s">
        <v>1042</v>
      </c>
      <c r="L254" s="7" t="s">
        <v>27</v>
      </c>
      <c r="M254" s="7" t="s">
        <v>28</v>
      </c>
      <c r="N254" s="9" t="s">
        <v>111</v>
      </c>
      <c r="O254" s="7" t="s">
        <v>30</v>
      </c>
      <c r="P254" s="7" t="s">
        <v>20</v>
      </c>
      <c r="Q254" s="7"/>
      <c r="R254" s="7" t="str" cm="1">
        <f t="array" ref="R254">IF(AND(Q254="",P254&lt;&gt;""),N254,_xlfn.SWITCH(IF(Q254&lt;&gt;"",Q254,O254)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Centers",IF(Q254&lt;&gt;"",Q254,O254)))</f>
        <v>Agenturleiter/in</v>
      </c>
      <c r="S254" s="7" t="str">
        <f>IF(N254&lt;&gt;R254,"x","")</f>
        <v>x</v>
      </c>
    </row>
    <row r="255" spans="1:19" hidden="1" x14ac:dyDescent="0.25">
      <c r="A255" s="7" t="s">
        <v>1043</v>
      </c>
      <c r="B255" s="7" t="s">
        <v>20</v>
      </c>
      <c r="C255" s="7" t="s">
        <v>1028</v>
      </c>
      <c r="D255" s="7" t="s">
        <v>1029</v>
      </c>
      <c r="E255" s="7" t="s">
        <v>20</v>
      </c>
      <c r="F255" s="7" t="s">
        <v>20</v>
      </c>
      <c r="G255" s="7" t="s">
        <v>213</v>
      </c>
      <c r="H255" s="7" t="s">
        <v>20</v>
      </c>
      <c r="I255" s="8" t="s">
        <v>1044</v>
      </c>
      <c r="J255" s="7" t="s">
        <v>1045</v>
      </c>
      <c r="K255" s="7" t="s">
        <v>1046</v>
      </c>
      <c r="L255" s="7" t="s">
        <v>124</v>
      </c>
      <c r="M255" s="7" t="s">
        <v>125</v>
      </c>
      <c r="N255" s="9" t="s">
        <v>66</v>
      </c>
      <c r="O255" s="7" t="s">
        <v>67</v>
      </c>
      <c r="P255" s="7" t="s">
        <v>20</v>
      </c>
      <c r="Q255" s="7"/>
      <c r="R255" s="7" t="str" cm="1">
        <f t="array" ref="R255">IF(AND(Q255="",P255&lt;&gt;""),N255,_xlfn.SWITCH(IF(Q255&lt;&gt;"",Q255,O255)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Centers",IF(Q255&lt;&gt;"",Q255,O255)))</f>
        <v>Leiter/in des Service Centers</v>
      </c>
      <c r="S255" s="7" t="str">
        <f>IF(N255&lt;&gt;R255,"x","")</f>
        <v>x</v>
      </c>
    </row>
    <row r="256" spans="1:19" hidden="1" x14ac:dyDescent="0.25">
      <c r="A256" s="7" t="s">
        <v>1047</v>
      </c>
      <c r="B256" s="7" t="s">
        <v>20</v>
      </c>
      <c r="C256" s="7" t="s">
        <v>1028</v>
      </c>
      <c r="D256" s="7" t="s">
        <v>1029</v>
      </c>
      <c r="E256" s="7" t="s">
        <v>20</v>
      </c>
      <c r="F256" s="7" t="s">
        <v>20</v>
      </c>
      <c r="G256" s="7" t="s">
        <v>213</v>
      </c>
      <c r="H256" s="7" t="s">
        <v>20</v>
      </c>
      <c r="I256" s="8" t="s">
        <v>1048</v>
      </c>
      <c r="J256" s="7" t="s">
        <v>1048</v>
      </c>
      <c r="K256" s="7" t="s">
        <v>1049</v>
      </c>
      <c r="L256" s="7" t="s">
        <v>27</v>
      </c>
      <c r="M256" s="7" t="s">
        <v>28</v>
      </c>
      <c r="N256" s="9" t="s">
        <v>66</v>
      </c>
      <c r="O256" s="7" t="s">
        <v>238</v>
      </c>
      <c r="P256" s="7" t="s">
        <v>20</v>
      </c>
      <c r="Q256" s="7"/>
      <c r="R256" s="7" t="str" cm="1">
        <f t="array" ref="R256">IF(AND(Q256="",P256&lt;&gt;""),N256,_xlfn.SWITCH(IF(Q256&lt;&gt;"",Q256,O256)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Centers",IF(Q256&lt;&gt;"",Q256,O256)))</f>
        <v>Agenturleiter/in</v>
      </c>
      <c r="S256" s="7" t="str">
        <f>IF(N256&lt;&gt;R256,"x","")</f>
        <v>x</v>
      </c>
    </row>
    <row r="257" spans="1:19" hidden="1" x14ac:dyDescent="0.25">
      <c r="A257" s="7" t="s">
        <v>1050</v>
      </c>
      <c r="B257" s="7" t="s">
        <v>20</v>
      </c>
      <c r="C257" s="7" t="s">
        <v>1028</v>
      </c>
      <c r="D257" s="7" t="s">
        <v>1029</v>
      </c>
      <c r="E257" s="7" t="s">
        <v>20</v>
      </c>
      <c r="F257" s="7" t="s">
        <v>20</v>
      </c>
      <c r="G257" s="7" t="s">
        <v>213</v>
      </c>
      <c r="H257" s="7" t="s">
        <v>20</v>
      </c>
      <c r="I257" s="8" t="s">
        <v>1051</v>
      </c>
      <c r="J257" s="7" t="s">
        <v>1052</v>
      </c>
      <c r="K257" s="7" t="s">
        <v>1053</v>
      </c>
      <c r="L257" s="7" t="s">
        <v>124</v>
      </c>
      <c r="M257" s="7" t="s">
        <v>125</v>
      </c>
      <c r="N257" s="9" t="s">
        <v>80</v>
      </c>
      <c r="O257" s="7" t="s">
        <v>67</v>
      </c>
      <c r="P257" s="7" t="s">
        <v>20</v>
      </c>
      <c r="Q257" s="7"/>
      <c r="R257" s="7" t="str" cm="1">
        <f t="array" ref="R257">IF(AND(Q257="",P257&lt;&gt;""),N257,_xlfn.SWITCH(IF(Q257&lt;&gt;"",Q257,O257)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Centers",IF(Q257&lt;&gt;"",Q257,O257)))</f>
        <v>Leiter/in des Service Centers</v>
      </c>
      <c r="S257" s="7" t="str">
        <f>IF(N257&lt;&gt;R257,"x","")</f>
        <v>x</v>
      </c>
    </row>
    <row r="258" spans="1:19" hidden="1" x14ac:dyDescent="0.25">
      <c r="A258" s="7" t="s">
        <v>1054</v>
      </c>
      <c r="B258" s="7" t="s">
        <v>20</v>
      </c>
      <c r="C258" s="7" t="s">
        <v>1028</v>
      </c>
      <c r="D258" s="7" t="s">
        <v>1029</v>
      </c>
      <c r="E258" s="7" t="s">
        <v>20</v>
      </c>
      <c r="F258" s="7" t="s">
        <v>20</v>
      </c>
      <c r="G258" s="7" t="s">
        <v>213</v>
      </c>
      <c r="H258" s="7" t="s">
        <v>20</v>
      </c>
      <c r="I258" s="8" t="s">
        <v>1055</v>
      </c>
      <c r="J258" s="7" t="s">
        <v>1056</v>
      </c>
      <c r="K258" s="7" t="s">
        <v>1057</v>
      </c>
      <c r="L258" s="7" t="s">
        <v>97</v>
      </c>
      <c r="M258" s="7" t="s">
        <v>98</v>
      </c>
      <c r="N258" s="9" t="s">
        <v>80</v>
      </c>
      <c r="O258" s="7" t="s">
        <v>99</v>
      </c>
      <c r="P258" s="7" t="s">
        <v>20</v>
      </c>
      <c r="Q258" s="7"/>
      <c r="R258" s="7" t="str" cm="1">
        <f t="array" ref="R258">IF(AND(Q258="",P258&lt;&gt;""),N258,_xlfn.SWITCH(IF(Q258&lt;&gt;"",Q258,O258)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Centers",IF(Q258&lt;&gt;"",Q258,O258)))</f>
        <v>Hauptagent/in</v>
      </c>
      <c r="S258" s="7" t="str">
        <f>IF(N258&lt;&gt;R258,"x","")</f>
        <v>x</v>
      </c>
    </row>
    <row r="259" spans="1:19" hidden="1" x14ac:dyDescent="0.25">
      <c r="A259" s="7" t="s">
        <v>1058</v>
      </c>
      <c r="B259" s="7" t="s">
        <v>20</v>
      </c>
      <c r="C259" s="7" t="s">
        <v>1028</v>
      </c>
      <c r="D259" s="7" t="s">
        <v>1029</v>
      </c>
      <c r="E259" s="7" t="s">
        <v>20</v>
      </c>
      <c r="F259" s="7" t="s">
        <v>20</v>
      </c>
      <c r="G259" s="7" t="s">
        <v>213</v>
      </c>
      <c r="H259" s="7" t="s">
        <v>20</v>
      </c>
      <c r="I259" s="8" t="s">
        <v>1059</v>
      </c>
      <c r="J259" s="7" t="s">
        <v>1060</v>
      </c>
      <c r="K259" s="7" t="s">
        <v>1061</v>
      </c>
      <c r="L259" s="7" t="s">
        <v>27</v>
      </c>
      <c r="M259" s="7" t="s">
        <v>28</v>
      </c>
      <c r="N259" s="9" t="s">
        <v>75</v>
      </c>
      <c r="O259" s="7" t="s">
        <v>54</v>
      </c>
      <c r="P259" s="7" t="s">
        <v>20</v>
      </c>
      <c r="Q259" s="7"/>
      <c r="R259" s="7" t="str" cm="1">
        <f t="array" ref="R259">IF(AND(Q259="",P259&lt;&gt;""),N259,_xlfn.SWITCH(IF(Q259&lt;&gt;"",Q259,O259)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Centers",IF(Q259&lt;&gt;"",Q259,O259)))</f>
        <v>Agenturleiter/in</v>
      </c>
      <c r="S259" s="7" t="str">
        <f>IF(N259&lt;&gt;R259,"x","")</f>
        <v>x</v>
      </c>
    </row>
    <row r="260" spans="1:19" hidden="1" x14ac:dyDescent="0.25">
      <c r="A260" s="7" t="s">
        <v>1062</v>
      </c>
      <c r="B260" s="7" t="s">
        <v>20</v>
      </c>
      <c r="C260" s="7" t="s">
        <v>1028</v>
      </c>
      <c r="D260" s="7" t="s">
        <v>1029</v>
      </c>
      <c r="E260" s="7" t="s">
        <v>20</v>
      </c>
      <c r="F260" s="7" t="s">
        <v>20</v>
      </c>
      <c r="G260" s="7" t="s">
        <v>213</v>
      </c>
      <c r="H260" s="7" t="s">
        <v>20</v>
      </c>
      <c r="I260" s="8" t="s">
        <v>1063</v>
      </c>
      <c r="J260" s="7" t="s">
        <v>1064</v>
      </c>
      <c r="K260" s="7" t="s">
        <v>1065</v>
      </c>
      <c r="L260" s="7" t="s">
        <v>40</v>
      </c>
      <c r="M260" s="7" t="s">
        <v>41</v>
      </c>
      <c r="N260" s="9" t="s">
        <v>75</v>
      </c>
      <c r="O260" s="7" t="s">
        <v>88</v>
      </c>
      <c r="P260" s="7" t="s">
        <v>20</v>
      </c>
      <c r="Q260" s="7"/>
      <c r="R260" s="7" t="str" cm="1">
        <f t="array" ref="R260">IF(AND(Q260="",P260&lt;&gt;""),N260,_xlfn.SWITCH(IF(Q260&lt;&gt;"",Q260,O260)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Centers",IF(Q260&lt;&gt;"",Q260,O260)))</f>
        <v>Kundenberater/in</v>
      </c>
      <c r="S260" s="7" t="str">
        <f>IF(N260&lt;&gt;R260,"x","")</f>
        <v>x</v>
      </c>
    </row>
    <row r="261" spans="1:19" hidden="1" x14ac:dyDescent="0.25">
      <c r="A261" s="7" t="s">
        <v>1066</v>
      </c>
      <c r="B261" s="7" t="s">
        <v>20</v>
      </c>
      <c r="C261" s="7" t="s">
        <v>1028</v>
      </c>
      <c r="D261" s="7" t="s">
        <v>1029</v>
      </c>
      <c r="E261" s="7" t="s">
        <v>20</v>
      </c>
      <c r="F261" s="7" t="s">
        <v>20</v>
      </c>
      <c r="G261" s="7" t="s">
        <v>213</v>
      </c>
      <c r="H261" s="7" t="s">
        <v>20</v>
      </c>
      <c r="I261" s="8" t="s">
        <v>923</v>
      </c>
      <c r="J261" s="7" t="s">
        <v>500</v>
      </c>
      <c r="K261" s="7" t="s">
        <v>1067</v>
      </c>
      <c r="L261" s="7" t="s">
        <v>40</v>
      </c>
      <c r="M261" s="7" t="s">
        <v>41</v>
      </c>
      <c r="N261" s="9" t="s">
        <v>75</v>
      </c>
      <c r="O261" s="7" t="s">
        <v>88</v>
      </c>
      <c r="P261" s="7" t="s">
        <v>20</v>
      </c>
      <c r="Q261" s="7"/>
      <c r="R261" s="7" t="str" cm="1">
        <f t="array" ref="R261">IF(AND(Q261="",P261&lt;&gt;""),N261,_xlfn.SWITCH(IF(Q261&lt;&gt;"",Q261,O261)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Centers",IF(Q261&lt;&gt;"",Q261,O261)))</f>
        <v>Kundenberater/in</v>
      </c>
      <c r="S261" s="7" t="str">
        <f>IF(N261&lt;&gt;R261,"x","")</f>
        <v>x</v>
      </c>
    </row>
    <row r="262" spans="1:19" hidden="1" x14ac:dyDescent="0.25">
      <c r="A262" s="7" t="s">
        <v>1068</v>
      </c>
      <c r="B262" s="7" t="s">
        <v>20</v>
      </c>
      <c r="C262" s="7" t="s">
        <v>1028</v>
      </c>
      <c r="D262" s="7" t="s">
        <v>1029</v>
      </c>
      <c r="E262" s="7" t="s">
        <v>20</v>
      </c>
      <c r="F262" s="7" t="s">
        <v>20</v>
      </c>
      <c r="G262" s="7" t="s">
        <v>213</v>
      </c>
      <c r="H262" s="7" t="s">
        <v>20</v>
      </c>
      <c r="I262" s="8" t="s">
        <v>1069</v>
      </c>
      <c r="J262" s="7" t="s">
        <v>1070</v>
      </c>
      <c r="K262" s="7" t="s">
        <v>1071</v>
      </c>
      <c r="L262" s="7" t="s">
        <v>40</v>
      </c>
      <c r="M262" s="7" t="s">
        <v>41</v>
      </c>
      <c r="N262" s="9" t="s">
        <v>75</v>
      </c>
      <c r="O262" s="7" t="s">
        <v>120</v>
      </c>
      <c r="P262" s="7" t="s">
        <v>20</v>
      </c>
      <c r="Q262" s="7"/>
      <c r="R262" s="7" t="str" cm="1">
        <f t="array" ref="R262">IF(AND(Q262="",P262&lt;&gt;""),N262,_xlfn.SWITCH(IF(Q262&lt;&gt;"",Q262,O262)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Centers",IF(Q262&lt;&gt;"",Q262,O262)))</f>
        <v>Kundenberater/in</v>
      </c>
      <c r="S262" s="7" t="str">
        <f>IF(N262&lt;&gt;R262,"x","")</f>
        <v>x</v>
      </c>
    </row>
    <row r="263" spans="1:19" hidden="1" x14ac:dyDescent="0.25">
      <c r="A263" s="7" t="s">
        <v>1072</v>
      </c>
      <c r="B263" s="7" t="s">
        <v>20</v>
      </c>
      <c r="C263" s="7" t="s">
        <v>1028</v>
      </c>
      <c r="D263" s="7" t="s">
        <v>1029</v>
      </c>
      <c r="E263" s="7" t="s">
        <v>20</v>
      </c>
      <c r="F263" s="7" t="s">
        <v>20</v>
      </c>
      <c r="G263" s="7" t="s">
        <v>213</v>
      </c>
      <c r="H263" s="7" t="s">
        <v>20</v>
      </c>
      <c r="I263" s="8" t="s">
        <v>1073</v>
      </c>
      <c r="J263" s="7" t="s">
        <v>1074</v>
      </c>
      <c r="K263" s="7" t="s">
        <v>1075</v>
      </c>
      <c r="L263" s="7" t="s">
        <v>40</v>
      </c>
      <c r="M263" s="7" t="s">
        <v>41</v>
      </c>
      <c r="N263" s="9" t="s">
        <v>75</v>
      </c>
      <c r="O263" s="7" t="s">
        <v>88</v>
      </c>
      <c r="P263" s="7" t="s">
        <v>20</v>
      </c>
      <c r="Q263" s="7"/>
      <c r="R263" s="7" t="str" cm="1">
        <f t="array" ref="R263">IF(AND(Q263="",P263&lt;&gt;""),N263,_xlfn.SWITCH(IF(Q263&lt;&gt;"",Q263,O263)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Centers",IF(Q263&lt;&gt;"",Q263,O263)))</f>
        <v>Kundenberater/in</v>
      </c>
      <c r="S263" s="7" t="str">
        <f>IF(N263&lt;&gt;R263,"x","")</f>
        <v>x</v>
      </c>
    </row>
    <row r="264" spans="1:19" hidden="1" x14ac:dyDescent="0.25">
      <c r="A264" s="7" t="s">
        <v>1076</v>
      </c>
      <c r="B264" s="7" t="s">
        <v>20</v>
      </c>
      <c r="C264" s="7" t="s">
        <v>1028</v>
      </c>
      <c r="D264" s="7" t="s">
        <v>1029</v>
      </c>
      <c r="E264" s="7" t="s">
        <v>20</v>
      </c>
      <c r="F264" s="7" t="s">
        <v>20</v>
      </c>
      <c r="G264" s="7" t="s">
        <v>213</v>
      </c>
      <c r="H264" s="7" t="s">
        <v>20</v>
      </c>
      <c r="I264" s="8" t="s">
        <v>1077</v>
      </c>
      <c r="J264" s="7" t="s">
        <v>1078</v>
      </c>
      <c r="K264" s="7" t="s">
        <v>1079</v>
      </c>
      <c r="L264" s="7" t="s">
        <v>40</v>
      </c>
      <c r="M264" s="7" t="s">
        <v>41</v>
      </c>
      <c r="N264" s="9" t="s">
        <v>75</v>
      </c>
      <c r="O264" s="7" t="s">
        <v>120</v>
      </c>
      <c r="P264" s="7" t="s">
        <v>20</v>
      </c>
      <c r="Q264" s="7"/>
      <c r="R264" s="7" t="str" cm="1">
        <f t="array" ref="R264">IF(AND(Q264="",P264&lt;&gt;""),N264,_xlfn.SWITCH(IF(Q264&lt;&gt;"",Q264,O264)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Centers",IF(Q264&lt;&gt;"",Q264,O264)))</f>
        <v>Kundenberater/in</v>
      </c>
      <c r="S264" s="7" t="str">
        <f>IF(N264&lt;&gt;R264,"x","")</f>
        <v>x</v>
      </c>
    </row>
    <row r="265" spans="1:19" hidden="1" x14ac:dyDescent="0.25">
      <c r="A265" s="7" t="s">
        <v>1080</v>
      </c>
      <c r="B265" s="7" t="s">
        <v>20</v>
      </c>
      <c r="C265" s="7" t="s">
        <v>1028</v>
      </c>
      <c r="D265" s="7" t="s">
        <v>1029</v>
      </c>
      <c r="E265" s="7" t="s">
        <v>20</v>
      </c>
      <c r="F265" s="7" t="s">
        <v>20</v>
      </c>
      <c r="G265" s="7" t="s">
        <v>213</v>
      </c>
      <c r="H265" s="7" t="s">
        <v>20</v>
      </c>
      <c r="I265" s="8" t="s">
        <v>1081</v>
      </c>
      <c r="J265" s="7" t="s">
        <v>1082</v>
      </c>
      <c r="K265" s="7" t="s">
        <v>1083</v>
      </c>
      <c r="L265" s="7" t="s">
        <v>40</v>
      </c>
      <c r="M265" s="7" t="s">
        <v>41</v>
      </c>
      <c r="N265" s="9" t="s">
        <v>75</v>
      </c>
      <c r="O265" s="7" t="s">
        <v>88</v>
      </c>
      <c r="P265" s="7" t="s">
        <v>20</v>
      </c>
      <c r="Q265" s="7"/>
      <c r="R265" s="7" t="str" cm="1">
        <f t="array" ref="R265">IF(AND(Q265="",P265&lt;&gt;""),N265,_xlfn.SWITCH(IF(Q265&lt;&gt;"",Q265,O265)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Centers",IF(Q265&lt;&gt;"",Q265,O265)))</f>
        <v>Kundenberater/in</v>
      </c>
      <c r="S265" s="7" t="str">
        <f>IF(N265&lt;&gt;R265,"x","")</f>
        <v>x</v>
      </c>
    </row>
    <row r="266" spans="1:19" hidden="1" x14ac:dyDescent="0.25">
      <c r="A266" s="7" t="s">
        <v>1084</v>
      </c>
      <c r="B266" s="7" t="s">
        <v>20</v>
      </c>
      <c r="C266" s="7" t="s">
        <v>1028</v>
      </c>
      <c r="D266" s="7" t="s">
        <v>1029</v>
      </c>
      <c r="E266" s="7" t="s">
        <v>20</v>
      </c>
      <c r="F266" s="7" t="s">
        <v>20</v>
      </c>
      <c r="G266" s="7" t="s">
        <v>213</v>
      </c>
      <c r="H266" s="7" t="s">
        <v>20</v>
      </c>
      <c r="I266" s="8" t="s">
        <v>1085</v>
      </c>
      <c r="J266" s="7" t="s">
        <v>1086</v>
      </c>
      <c r="K266" s="7" t="s">
        <v>1087</v>
      </c>
      <c r="L266" s="7" t="s">
        <v>40</v>
      </c>
      <c r="M266" s="7" t="s">
        <v>41</v>
      </c>
      <c r="N266" s="9" t="s">
        <v>75</v>
      </c>
      <c r="O266" s="7" t="s">
        <v>120</v>
      </c>
      <c r="P266" s="7" t="s">
        <v>20</v>
      </c>
      <c r="Q266" s="7"/>
      <c r="R266" s="7" t="str" cm="1">
        <f t="array" ref="R266">IF(AND(Q266="",P266&lt;&gt;""),N266,_xlfn.SWITCH(IF(Q266&lt;&gt;"",Q266,O266)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Centers",IF(Q266&lt;&gt;"",Q266,O266)))</f>
        <v>Kundenberater/in</v>
      </c>
      <c r="S266" s="7" t="str">
        <f>IF(N266&lt;&gt;R266,"x","")</f>
        <v>x</v>
      </c>
    </row>
    <row r="267" spans="1:19" hidden="1" x14ac:dyDescent="0.25">
      <c r="A267" s="7" t="s">
        <v>1088</v>
      </c>
      <c r="B267" s="7" t="s">
        <v>20</v>
      </c>
      <c r="C267" s="7" t="s">
        <v>1028</v>
      </c>
      <c r="D267" s="7" t="s">
        <v>1029</v>
      </c>
      <c r="E267" s="7" t="s">
        <v>20</v>
      </c>
      <c r="F267" s="7" t="s">
        <v>20</v>
      </c>
      <c r="G267" s="7" t="s">
        <v>213</v>
      </c>
      <c r="H267" s="7" t="s">
        <v>20</v>
      </c>
      <c r="I267" s="8" t="s">
        <v>1089</v>
      </c>
      <c r="J267" s="7" t="s">
        <v>1090</v>
      </c>
      <c r="K267" s="7" t="s">
        <v>1091</v>
      </c>
      <c r="L267" s="7" t="s">
        <v>40</v>
      </c>
      <c r="M267" s="7" t="s">
        <v>41</v>
      </c>
      <c r="N267" s="9" t="s">
        <v>75</v>
      </c>
      <c r="O267" s="7" t="s">
        <v>88</v>
      </c>
      <c r="P267" s="7" t="s">
        <v>20</v>
      </c>
      <c r="Q267" s="7"/>
      <c r="R267" s="7" t="str" cm="1">
        <f t="array" ref="R267">IF(AND(Q267="",P267&lt;&gt;""),N267,_xlfn.SWITCH(IF(Q267&lt;&gt;"",Q267,O267)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Centers",IF(Q267&lt;&gt;"",Q267,O267)))</f>
        <v>Kundenberater/in</v>
      </c>
      <c r="S267" s="7" t="str">
        <f>IF(N267&lt;&gt;R267,"x","")</f>
        <v>x</v>
      </c>
    </row>
    <row r="268" spans="1:19" hidden="1" x14ac:dyDescent="0.25">
      <c r="A268" s="7" t="s">
        <v>1092</v>
      </c>
      <c r="B268" s="7" t="s">
        <v>20</v>
      </c>
      <c r="C268" s="7" t="s">
        <v>1028</v>
      </c>
      <c r="D268" s="7" t="s">
        <v>1029</v>
      </c>
      <c r="E268" s="7" t="s">
        <v>20</v>
      </c>
      <c r="F268" s="7" t="s">
        <v>20</v>
      </c>
      <c r="G268" s="7" t="s">
        <v>213</v>
      </c>
      <c r="H268" s="7" t="s">
        <v>20</v>
      </c>
      <c r="I268" s="8" t="s">
        <v>1093</v>
      </c>
      <c r="J268" s="7" t="s">
        <v>1094</v>
      </c>
      <c r="K268" s="7" t="s">
        <v>1095</v>
      </c>
      <c r="L268" s="7" t="s">
        <v>40</v>
      </c>
      <c r="M268" s="7" t="s">
        <v>41</v>
      </c>
      <c r="N268" s="9" t="s">
        <v>75</v>
      </c>
      <c r="O268" s="7" t="s">
        <v>120</v>
      </c>
      <c r="P268" s="7" t="s">
        <v>20</v>
      </c>
      <c r="Q268" s="7"/>
      <c r="R268" s="7" t="str" cm="1">
        <f t="array" ref="R268">IF(AND(Q268="",P268&lt;&gt;""),N268,_xlfn.SWITCH(IF(Q268&lt;&gt;"",Q268,O268)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Centers",IF(Q268&lt;&gt;"",Q268,O268)))</f>
        <v>Kundenberater/in</v>
      </c>
      <c r="S268" s="7" t="str">
        <f>IF(N268&lt;&gt;R268,"x","")</f>
        <v>x</v>
      </c>
    </row>
    <row r="269" spans="1:19" hidden="1" x14ac:dyDescent="0.25">
      <c r="A269" s="7" t="s">
        <v>1096</v>
      </c>
      <c r="B269" s="7" t="s">
        <v>20</v>
      </c>
      <c r="C269" s="7" t="s">
        <v>1028</v>
      </c>
      <c r="D269" s="7" t="s">
        <v>1029</v>
      </c>
      <c r="E269" s="7" t="s">
        <v>20</v>
      </c>
      <c r="F269" s="7" t="s">
        <v>20</v>
      </c>
      <c r="G269" s="7" t="s">
        <v>213</v>
      </c>
      <c r="H269" s="7" t="s">
        <v>20</v>
      </c>
      <c r="I269" s="8" t="s">
        <v>1097</v>
      </c>
      <c r="J269" s="7" t="s">
        <v>1098</v>
      </c>
      <c r="K269" s="7" t="s">
        <v>1099</v>
      </c>
      <c r="L269" s="7" t="s">
        <v>40</v>
      </c>
      <c r="M269" s="7" t="s">
        <v>41</v>
      </c>
      <c r="N269" s="9" t="s">
        <v>75</v>
      </c>
      <c r="O269" s="7" t="s">
        <v>88</v>
      </c>
      <c r="P269" s="7" t="s">
        <v>20</v>
      </c>
      <c r="Q269" s="7"/>
      <c r="R269" s="7" t="str" cm="1">
        <f t="array" ref="R269">IF(AND(Q269="",P269&lt;&gt;""),N269,_xlfn.SWITCH(IF(Q269&lt;&gt;"",Q269,O269)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Centers",IF(Q269&lt;&gt;"",Q269,O269)))</f>
        <v>Kundenberater/in</v>
      </c>
      <c r="S269" s="7" t="str">
        <f>IF(N269&lt;&gt;R269,"x","")</f>
        <v>x</v>
      </c>
    </row>
    <row r="270" spans="1:19" hidden="1" x14ac:dyDescent="0.25">
      <c r="A270" s="7" t="s">
        <v>1100</v>
      </c>
      <c r="B270" s="7" t="s">
        <v>20</v>
      </c>
      <c r="C270" s="7" t="s">
        <v>1028</v>
      </c>
      <c r="D270" s="7" t="s">
        <v>1029</v>
      </c>
      <c r="E270" s="7" t="s">
        <v>20</v>
      </c>
      <c r="F270" s="7" t="s">
        <v>20</v>
      </c>
      <c r="G270" s="7" t="s">
        <v>213</v>
      </c>
      <c r="H270" s="7" t="s">
        <v>20</v>
      </c>
      <c r="I270" s="8" t="s">
        <v>1101</v>
      </c>
      <c r="J270" s="7" t="s">
        <v>1102</v>
      </c>
      <c r="K270" s="7" t="s">
        <v>1103</v>
      </c>
      <c r="L270" s="7" t="s">
        <v>40</v>
      </c>
      <c r="M270" s="7" t="s">
        <v>41</v>
      </c>
      <c r="N270" s="9" t="s">
        <v>75</v>
      </c>
      <c r="O270" s="7" t="s">
        <v>120</v>
      </c>
      <c r="P270" s="7" t="s">
        <v>20</v>
      </c>
      <c r="Q270" s="7"/>
      <c r="R270" s="7" t="str" cm="1">
        <f t="array" ref="R270">IF(AND(Q270="",P270&lt;&gt;""),N270,_xlfn.SWITCH(IF(Q270&lt;&gt;"",Q270,O270)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Centers",IF(Q270&lt;&gt;"",Q270,O270)))</f>
        <v>Kundenberater/in</v>
      </c>
      <c r="S270" s="7" t="str">
        <f>IF(N270&lt;&gt;R270,"x","")</f>
        <v>x</v>
      </c>
    </row>
    <row r="271" spans="1:19" hidden="1" x14ac:dyDescent="0.25">
      <c r="A271" s="7" t="s">
        <v>1104</v>
      </c>
      <c r="B271" s="7" t="s">
        <v>20</v>
      </c>
      <c r="C271" s="7" t="s">
        <v>1028</v>
      </c>
      <c r="D271" s="7" t="s">
        <v>1029</v>
      </c>
      <c r="E271" s="7" t="s">
        <v>20</v>
      </c>
      <c r="F271" s="7" t="s">
        <v>20</v>
      </c>
      <c r="G271" s="7" t="s">
        <v>213</v>
      </c>
      <c r="H271" s="7" t="s">
        <v>20</v>
      </c>
      <c r="I271" s="8" t="s">
        <v>1105</v>
      </c>
      <c r="J271" s="7" t="s">
        <v>1106</v>
      </c>
      <c r="K271" s="7" t="s">
        <v>1107</v>
      </c>
      <c r="L271" s="7" t="s">
        <v>40</v>
      </c>
      <c r="M271" s="7" t="s">
        <v>41</v>
      </c>
      <c r="N271" s="9" t="s">
        <v>75</v>
      </c>
      <c r="O271" s="7" t="s">
        <v>120</v>
      </c>
      <c r="P271" s="7" t="s">
        <v>20</v>
      </c>
      <c r="Q271" s="7"/>
      <c r="R271" s="7" t="str" cm="1">
        <f t="array" ref="R271">IF(AND(Q271="",P271&lt;&gt;""),N271,_xlfn.SWITCH(IF(Q271&lt;&gt;"",Q271,O271)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Centers",IF(Q271&lt;&gt;"",Q271,O271)))</f>
        <v>Kundenberater/in</v>
      </c>
      <c r="S271" s="7" t="str">
        <f>IF(N271&lt;&gt;R271,"x","")</f>
        <v>x</v>
      </c>
    </row>
    <row r="272" spans="1:19" hidden="1" x14ac:dyDescent="0.25">
      <c r="A272" s="7" t="s">
        <v>1108</v>
      </c>
      <c r="B272" s="7" t="s">
        <v>20</v>
      </c>
      <c r="C272" s="7" t="s">
        <v>1028</v>
      </c>
      <c r="D272" s="7" t="s">
        <v>1029</v>
      </c>
      <c r="E272" s="7" t="s">
        <v>20</v>
      </c>
      <c r="F272" s="7" t="s">
        <v>20</v>
      </c>
      <c r="G272" s="7" t="s">
        <v>213</v>
      </c>
      <c r="H272" s="7" t="s">
        <v>20</v>
      </c>
      <c r="I272" s="8" t="s">
        <v>1109</v>
      </c>
      <c r="J272" s="7" t="s">
        <v>1110</v>
      </c>
      <c r="K272" s="7" t="s">
        <v>1111</v>
      </c>
      <c r="L272" s="7" t="s">
        <v>40</v>
      </c>
      <c r="M272" s="7" t="s">
        <v>41</v>
      </c>
      <c r="N272" s="9" t="s">
        <v>75</v>
      </c>
      <c r="O272" s="7" t="s">
        <v>88</v>
      </c>
      <c r="P272" s="7" t="s">
        <v>20</v>
      </c>
      <c r="Q272" s="7"/>
      <c r="R272" s="7" t="str" cm="1">
        <f t="array" ref="R272">IF(AND(Q272="",P272&lt;&gt;""),N272,_xlfn.SWITCH(IF(Q272&lt;&gt;"",Q272,O272)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Centers",IF(Q272&lt;&gt;"",Q272,O272)))</f>
        <v>Kundenberater/in</v>
      </c>
      <c r="S272" s="7" t="str">
        <f>IF(N272&lt;&gt;R272,"x","")</f>
        <v>x</v>
      </c>
    </row>
    <row r="273" spans="1:19" hidden="1" x14ac:dyDescent="0.25">
      <c r="A273" s="7" t="s">
        <v>1112</v>
      </c>
      <c r="B273" s="7" t="s">
        <v>20</v>
      </c>
      <c r="C273" s="7" t="s">
        <v>1028</v>
      </c>
      <c r="D273" s="7" t="s">
        <v>1029</v>
      </c>
      <c r="E273" s="7" t="s">
        <v>20</v>
      </c>
      <c r="F273" s="7" t="s">
        <v>20</v>
      </c>
      <c r="G273" s="7" t="s">
        <v>213</v>
      </c>
      <c r="H273" s="7" t="s">
        <v>20</v>
      </c>
      <c r="I273" s="8" t="s">
        <v>635</v>
      </c>
      <c r="J273" s="7" t="s">
        <v>1113</v>
      </c>
      <c r="K273" s="7" t="s">
        <v>1114</v>
      </c>
      <c r="L273" s="7" t="s">
        <v>64</v>
      </c>
      <c r="M273" s="7" t="s">
        <v>65</v>
      </c>
      <c r="N273" s="9" t="s">
        <v>126</v>
      </c>
      <c r="O273" s="7" t="s">
        <v>67</v>
      </c>
      <c r="P273" s="7" t="s">
        <v>20</v>
      </c>
      <c r="Q273" s="7"/>
      <c r="R273" s="7" t="str" cm="1">
        <f t="array" ref="R273">IF(AND(Q273="",P273&lt;&gt;""),N273,_xlfn.SWITCH(IF(Q273&lt;&gt;"",Q273,O273)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Centers",IF(Q273&lt;&gt;"",Q273,O273)))</f>
        <v>Leiter/in des Service Centers</v>
      </c>
      <c r="S273" s="7" t="str">
        <f>IF(N273&lt;&gt;R273,"x","")</f>
        <v>x</v>
      </c>
    </row>
    <row r="274" spans="1:19" hidden="1" x14ac:dyDescent="0.25">
      <c r="A274" s="7" t="s">
        <v>1115</v>
      </c>
      <c r="B274" s="7" t="s">
        <v>20</v>
      </c>
      <c r="C274" s="7" t="s">
        <v>1028</v>
      </c>
      <c r="D274" s="7" t="s">
        <v>1029</v>
      </c>
      <c r="E274" s="7" t="s">
        <v>20</v>
      </c>
      <c r="F274" s="7" t="s">
        <v>20</v>
      </c>
      <c r="G274" s="7" t="s">
        <v>213</v>
      </c>
      <c r="H274" s="7" t="s">
        <v>20</v>
      </c>
      <c r="I274" s="8" t="s">
        <v>1116</v>
      </c>
      <c r="J274" s="7" t="s">
        <v>1117</v>
      </c>
      <c r="K274" s="7" t="s">
        <v>1118</v>
      </c>
      <c r="L274" s="7" t="s">
        <v>27</v>
      </c>
      <c r="M274" s="7" t="s">
        <v>28</v>
      </c>
      <c r="N274" s="9" t="s">
        <v>149</v>
      </c>
      <c r="O274" s="7" t="s">
        <v>30</v>
      </c>
      <c r="P274" s="7" t="s">
        <v>20</v>
      </c>
      <c r="Q274" s="9" t="s">
        <v>149</v>
      </c>
      <c r="R274" s="7" t="str" cm="1">
        <f t="array" ref="R274">IF(AND(Q274="",P274&lt;&gt;""),N274,_xlfn.SWITCH(IF(Q274&lt;&gt;"",Q274,O274)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Centers",IF(Q274&lt;&gt;"",Q274,O274)))</f>
        <v>Generalagent</v>
      </c>
      <c r="S274" s="7" t="str">
        <f>IF(N274&lt;&gt;R274,"x","")</f>
        <v/>
      </c>
    </row>
    <row r="275" spans="1:19" hidden="1" x14ac:dyDescent="0.25">
      <c r="A275" s="7" t="s">
        <v>1119</v>
      </c>
      <c r="B275" s="7" t="s">
        <v>20</v>
      </c>
      <c r="C275" s="7" t="s">
        <v>1028</v>
      </c>
      <c r="D275" s="7" t="s">
        <v>1029</v>
      </c>
      <c r="E275" s="7" t="s">
        <v>20</v>
      </c>
      <c r="F275" s="7" t="s">
        <v>20</v>
      </c>
      <c r="G275" s="7" t="s">
        <v>213</v>
      </c>
      <c r="H275" s="7" t="s">
        <v>20</v>
      </c>
      <c r="I275" s="8" t="s">
        <v>1120</v>
      </c>
      <c r="J275" s="7" t="s">
        <v>1121</v>
      </c>
      <c r="K275" s="7" t="s">
        <v>1122</v>
      </c>
      <c r="L275" s="7" t="s">
        <v>27</v>
      </c>
      <c r="M275" s="7" t="s">
        <v>28</v>
      </c>
      <c r="N275" s="9" t="s">
        <v>66</v>
      </c>
      <c r="O275" s="7" t="s">
        <v>30</v>
      </c>
      <c r="P275" s="7" t="s">
        <v>20</v>
      </c>
      <c r="Q275" s="7"/>
      <c r="R275" s="7" t="str" cm="1">
        <f t="array" ref="R275">IF(AND(Q275="",P275&lt;&gt;""),N275,_xlfn.SWITCH(IF(Q275&lt;&gt;"",Q275,O275)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Centers",IF(Q275&lt;&gt;"",Q275,O275)))</f>
        <v>Agenturleiter/in</v>
      </c>
      <c r="S275" s="7" t="str">
        <f>IF(N275&lt;&gt;R275,"x","")</f>
        <v>x</v>
      </c>
    </row>
    <row r="276" spans="1:19" hidden="1" x14ac:dyDescent="0.25">
      <c r="A276" s="7" t="s">
        <v>1123</v>
      </c>
      <c r="B276" s="7" t="s">
        <v>20</v>
      </c>
      <c r="C276" s="7" t="s">
        <v>1028</v>
      </c>
      <c r="D276" s="7" t="s">
        <v>1029</v>
      </c>
      <c r="E276" s="7" t="s">
        <v>20</v>
      </c>
      <c r="F276" s="7" t="s">
        <v>20</v>
      </c>
      <c r="G276" s="7" t="s">
        <v>213</v>
      </c>
      <c r="H276" s="7" t="s">
        <v>20</v>
      </c>
      <c r="I276" s="8" t="s">
        <v>1124</v>
      </c>
      <c r="J276" s="7" t="s">
        <v>1125</v>
      </c>
      <c r="K276" s="7" t="s">
        <v>1126</v>
      </c>
      <c r="L276" s="7" t="s">
        <v>228</v>
      </c>
      <c r="M276" s="7" t="s">
        <v>229</v>
      </c>
      <c r="N276" s="9" t="s">
        <v>80</v>
      </c>
      <c r="O276" s="7" t="s">
        <v>30</v>
      </c>
      <c r="P276" s="7" t="s">
        <v>20</v>
      </c>
      <c r="Q276" s="7"/>
      <c r="R276" s="7" t="str" cm="1">
        <f t="array" ref="R276">IF(AND(Q276="",P276&lt;&gt;""),N276,_xlfn.SWITCH(IF(Q276&lt;&gt;"",Q276,O276)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Centers",IF(Q276&lt;&gt;"",Q276,O276)))</f>
        <v>Agenturleiter/in</v>
      </c>
      <c r="S276" s="7" t="str">
        <f>IF(N276&lt;&gt;R276,"x","")</f>
        <v>x</v>
      </c>
    </row>
    <row r="277" spans="1:19" hidden="1" x14ac:dyDescent="0.25">
      <c r="A277" s="7" t="s">
        <v>1127</v>
      </c>
      <c r="B277" s="7" t="s">
        <v>20</v>
      </c>
      <c r="C277" s="7" t="s">
        <v>1028</v>
      </c>
      <c r="D277" s="7" t="s">
        <v>1029</v>
      </c>
      <c r="E277" s="7" t="s">
        <v>20</v>
      </c>
      <c r="F277" s="7" t="s">
        <v>20</v>
      </c>
      <c r="G277" s="7" t="s">
        <v>213</v>
      </c>
      <c r="H277" s="7" t="s">
        <v>20</v>
      </c>
      <c r="I277" s="8" t="s">
        <v>848</v>
      </c>
      <c r="J277" s="7" t="s">
        <v>1128</v>
      </c>
      <c r="K277" s="7" t="s">
        <v>1129</v>
      </c>
      <c r="L277" s="7" t="s">
        <v>228</v>
      </c>
      <c r="M277" s="7" t="s">
        <v>229</v>
      </c>
      <c r="N277" s="9" t="s">
        <v>80</v>
      </c>
      <c r="O277" s="7" t="s">
        <v>30</v>
      </c>
      <c r="P277" s="7" t="s">
        <v>20</v>
      </c>
      <c r="Q277" s="7"/>
      <c r="R277" s="7" t="str" cm="1">
        <f t="array" ref="R277">IF(AND(Q277="",P277&lt;&gt;""),N277,_xlfn.SWITCH(IF(Q277&lt;&gt;"",Q277,O277)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Centers",IF(Q277&lt;&gt;"",Q277,O277)))</f>
        <v>Agenturleiter/in</v>
      </c>
      <c r="S277" s="7" t="str">
        <f>IF(N277&lt;&gt;R277,"x","")</f>
        <v>x</v>
      </c>
    </row>
    <row r="278" spans="1:19" hidden="1" x14ac:dyDescent="0.25">
      <c r="A278" s="7" t="s">
        <v>1130</v>
      </c>
      <c r="B278" s="7" t="s">
        <v>20</v>
      </c>
      <c r="C278" s="7" t="s">
        <v>1028</v>
      </c>
      <c r="D278" s="7" t="s">
        <v>1029</v>
      </c>
      <c r="E278" s="7" t="s">
        <v>20</v>
      </c>
      <c r="F278" s="7" t="s">
        <v>20</v>
      </c>
      <c r="G278" s="7" t="s">
        <v>213</v>
      </c>
      <c r="H278" s="7" t="s">
        <v>20</v>
      </c>
      <c r="I278" s="8" t="s">
        <v>1131</v>
      </c>
      <c r="J278" s="7" t="s">
        <v>1132</v>
      </c>
      <c r="K278" s="7" t="s">
        <v>1133</v>
      </c>
      <c r="L278" s="7" t="s">
        <v>40</v>
      </c>
      <c r="M278" s="7" t="s">
        <v>41</v>
      </c>
      <c r="N278" s="9" t="s">
        <v>75</v>
      </c>
      <c r="O278" s="7" t="s">
        <v>48</v>
      </c>
      <c r="P278" s="7" t="s">
        <v>20</v>
      </c>
      <c r="Q278" s="7"/>
      <c r="R278" s="7" t="str" cm="1">
        <f t="array" ref="R278">IF(AND(Q278="",P278&lt;&gt;""),N278,_xlfn.SWITCH(IF(Q278&lt;&gt;"",Q278,O278)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Centers",IF(Q278&lt;&gt;"",Q278,O278)))</f>
        <v>Repräsentant/in</v>
      </c>
      <c r="S278" s="7" t="str">
        <f>IF(N278&lt;&gt;R278,"x","")</f>
        <v>x</v>
      </c>
    </row>
    <row r="279" spans="1:19" hidden="1" x14ac:dyDescent="0.25">
      <c r="A279" s="7" t="s">
        <v>1134</v>
      </c>
      <c r="B279" s="7" t="s">
        <v>20</v>
      </c>
      <c r="C279" s="7" t="s">
        <v>1028</v>
      </c>
      <c r="D279" s="7" t="s">
        <v>1029</v>
      </c>
      <c r="E279" s="7" t="s">
        <v>20</v>
      </c>
      <c r="F279" s="7" t="s">
        <v>20</v>
      </c>
      <c r="G279" s="7" t="s">
        <v>213</v>
      </c>
      <c r="H279" s="7" t="s">
        <v>20</v>
      </c>
      <c r="I279" s="8" t="s">
        <v>1135</v>
      </c>
      <c r="J279" s="7" t="s">
        <v>1136</v>
      </c>
      <c r="K279" s="7" t="s">
        <v>1137</v>
      </c>
      <c r="L279" s="7" t="s">
        <v>40</v>
      </c>
      <c r="M279" s="7" t="s">
        <v>41</v>
      </c>
      <c r="N279" s="9" t="s">
        <v>80</v>
      </c>
      <c r="O279" s="7" t="s">
        <v>48</v>
      </c>
      <c r="P279" s="7" t="s">
        <v>20</v>
      </c>
      <c r="Q279" s="7"/>
      <c r="R279" s="7" t="str" cm="1">
        <f t="array" ref="R279">IF(AND(Q279="",P279&lt;&gt;""),N279,_xlfn.SWITCH(IF(Q279&lt;&gt;"",Q279,O279)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Centers",IF(Q279&lt;&gt;"",Q279,O279)))</f>
        <v>Repräsentant/in</v>
      </c>
      <c r="S279" s="7" t="str">
        <f>IF(N279&lt;&gt;R279,"x","")</f>
        <v>x</v>
      </c>
    </row>
    <row r="280" spans="1:19" hidden="1" x14ac:dyDescent="0.25">
      <c r="A280" s="7" t="s">
        <v>1138</v>
      </c>
      <c r="B280" s="7" t="s">
        <v>20</v>
      </c>
      <c r="C280" s="7" t="s">
        <v>1028</v>
      </c>
      <c r="D280" s="7" t="s">
        <v>1029</v>
      </c>
      <c r="E280" s="7" t="s">
        <v>20</v>
      </c>
      <c r="F280" s="7" t="s">
        <v>20</v>
      </c>
      <c r="G280" s="7" t="s">
        <v>213</v>
      </c>
      <c r="H280" s="7" t="s">
        <v>20</v>
      </c>
      <c r="I280" s="8" t="s">
        <v>1139</v>
      </c>
      <c r="J280" s="7" t="s">
        <v>1140</v>
      </c>
      <c r="K280" s="7" t="s">
        <v>1141</v>
      </c>
      <c r="L280" s="7" t="s">
        <v>97</v>
      </c>
      <c r="M280" s="7" t="s">
        <v>98</v>
      </c>
      <c r="N280" s="9" t="s">
        <v>75</v>
      </c>
      <c r="O280" s="7" t="s">
        <v>99</v>
      </c>
      <c r="P280" s="7" t="s">
        <v>20</v>
      </c>
      <c r="Q280" s="7"/>
      <c r="R280" s="7" t="str" cm="1">
        <f t="array" ref="R280">IF(AND(Q280="",P280&lt;&gt;""),N280,_xlfn.SWITCH(IF(Q280&lt;&gt;"",Q280,O280)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Centers",IF(Q280&lt;&gt;"",Q280,O280)))</f>
        <v>Hauptagent/in</v>
      </c>
      <c r="S280" s="7" t="str">
        <f>IF(N280&lt;&gt;R280,"x","")</f>
        <v>x</v>
      </c>
    </row>
    <row r="281" spans="1:19" hidden="1" x14ac:dyDescent="0.25">
      <c r="A281" s="7" t="s">
        <v>1142</v>
      </c>
      <c r="B281" s="7" t="s">
        <v>20</v>
      </c>
      <c r="C281" s="7" t="s">
        <v>1028</v>
      </c>
      <c r="D281" s="7" t="s">
        <v>1029</v>
      </c>
      <c r="E281" s="7" t="s">
        <v>20</v>
      </c>
      <c r="F281" s="7" t="s">
        <v>20</v>
      </c>
      <c r="G281" s="7" t="s">
        <v>213</v>
      </c>
      <c r="H281" s="7" t="s">
        <v>20</v>
      </c>
      <c r="I281" s="8" t="s">
        <v>659</v>
      </c>
      <c r="J281" s="7" t="s">
        <v>1143</v>
      </c>
      <c r="K281" s="7" t="s">
        <v>1144</v>
      </c>
      <c r="L281" s="7" t="s">
        <v>64</v>
      </c>
      <c r="M281" s="7" t="s">
        <v>65</v>
      </c>
      <c r="N281" s="9" t="s">
        <v>59</v>
      </c>
      <c r="O281" s="7" t="s">
        <v>510</v>
      </c>
      <c r="P281" s="7" t="s">
        <v>20</v>
      </c>
      <c r="Q281" s="7"/>
      <c r="R281" s="7" t="str" cm="1">
        <f t="array" ref="R281">IF(AND(Q281="",P281&lt;&gt;""),N281,_xlfn.SWITCH(IF(Q281&lt;&gt;"",Q281,O281)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Centers",IF(Q281&lt;&gt;"",Q281,O281)))</f>
        <v>Leiter/in des Service Centers</v>
      </c>
      <c r="S281" s="7" t="str">
        <f>IF(N281&lt;&gt;R281,"x","")</f>
        <v/>
      </c>
    </row>
    <row r="282" spans="1:19" hidden="1" x14ac:dyDescent="0.25">
      <c r="A282" s="7" t="s">
        <v>1145</v>
      </c>
      <c r="B282" s="7" t="s">
        <v>20</v>
      </c>
      <c r="C282" s="7" t="s">
        <v>1028</v>
      </c>
      <c r="D282" s="7" t="s">
        <v>1029</v>
      </c>
      <c r="E282" s="7" t="s">
        <v>20</v>
      </c>
      <c r="F282" s="7" t="s">
        <v>20</v>
      </c>
      <c r="G282" s="7" t="s">
        <v>213</v>
      </c>
      <c r="H282" s="7" t="s">
        <v>20</v>
      </c>
      <c r="I282" s="8" t="s">
        <v>761</v>
      </c>
      <c r="J282" s="7" t="s">
        <v>1146</v>
      </c>
      <c r="K282" s="7" t="s">
        <v>1147</v>
      </c>
      <c r="L282" s="7" t="s">
        <v>40</v>
      </c>
      <c r="M282" s="7" t="s">
        <v>41</v>
      </c>
      <c r="N282" s="9" t="s">
        <v>80</v>
      </c>
      <c r="O282" s="7" t="s">
        <v>48</v>
      </c>
      <c r="P282" s="7" t="s">
        <v>20</v>
      </c>
      <c r="Q282" s="7"/>
      <c r="R282" s="7" t="str" cm="1">
        <f t="array" ref="R282">IF(AND(Q282="",P282&lt;&gt;""),N282,_xlfn.SWITCH(IF(Q282&lt;&gt;"",Q282,O282)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Centers",IF(Q282&lt;&gt;"",Q282,O282)))</f>
        <v>Repräsentant/in</v>
      </c>
      <c r="S282" s="7" t="str">
        <f>IF(N282&lt;&gt;R282,"x","")</f>
        <v>x</v>
      </c>
    </row>
    <row r="283" spans="1:19" hidden="1" x14ac:dyDescent="0.25">
      <c r="A283" s="7" t="s">
        <v>1148</v>
      </c>
      <c r="B283" s="7" t="s">
        <v>20</v>
      </c>
      <c r="C283" s="7" t="s">
        <v>1028</v>
      </c>
      <c r="D283" s="7" t="s">
        <v>1029</v>
      </c>
      <c r="E283" s="7" t="s">
        <v>20</v>
      </c>
      <c r="F283" s="7" t="s">
        <v>20</v>
      </c>
      <c r="G283" s="7" t="s">
        <v>213</v>
      </c>
      <c r="H283" s="7" t="s">
        <v>20</v>
      </c>
      <c r="I283" s="8" t="s">
        <v>1149</v>
      </c>
      <c r="J283" s="7" t="s">
        <v>1150</v>
      </c>
      <c r="K283" s="7" t="s">
        <v>1151</v>
      </c>
      <c r="L283" s="7" t="s">
        <v>124</v>
      </c>
      <c r="M283" s="7" t="s">
        <v>125</v>
      </c>
      <c r="N283" s="9" t="s">
        <v>1152</v>
      </c>
      <c r="O283" s="7" t="s">
        <v>67</v>
      </c>
      <c r="P283" s="7" t="s">
        <v>20</v>
      </c>
      <c r="Q283" s="7"/>
      <c r="R283" s="7" t="str" cm="1">
        <f t="array" ref="R283">IF(AND(Q283="",P283&lt;&gt;""),N283,_xlfn.SWITCH(IF(Q283&lt;&gt;"",Q283,O283)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Centers",IF(Q283&lt;&gt;"",Q283,O283)))</f>
        <v>Leiter/in des Service Centers</v>
      </c>
      <c r="S283" s="7" t="str">
        <f>IF(N283&lt;&gt;R283,"x","")</f>
        <v>x</v>
      </c>
    </row>
    <row r="284" spans="1:19" hidden="1" x14ac:dyDescent="0.25">
      <c r="A284" s="7" t="s">
        <v>1153</v>
      </c>
      <c r="B284" s="7" t="s">
        <v>20</v>
      </c>
      <c r="C284" s="7" t="s">
        <v>1154</v>
      </c>
      <c r="D284" s="7" t="s">
        <v>1155</v>
      </c>
      <c r="E284" s="7" t="s">
        <v>20</v>
      </c>
      <c r="F284" s="7" t="s">
        <v>20</v>
      </c>
      <c r="G284" s="7" t="s">
        <v>1156</v>
      </c>
      <c r="H284" s="7" t="s">
        <v>20</v>
      </c>
      <c r="I284" s="8" t="s">
        <v>862</v>
      </c>
      <c r="J284" s="7" t="s">
        <v>1157</v>
      </c>
      <c r="K284" s="7" t="s">
        <v>1158</v>
      </c>
      <c r="L284" s="7" t="s">
        <v>27</v>
      </c>
      <c r="M284" s="7" t="s">
        <v>28</v>
      </c>
      <c r="N284" s="9" t="s">
        <v>35</v>
      </c>
      <c r="O284" s="7" t="s">
        <v>30</v>
      </c>
      <c r="P284" s="7" t="s">
        <v>20</v>
      </c>
      <c r="Q284" s="9" t="s">
        <v>35</v>
      </c>
      <c r="R284" s="7" t="str" cm="1">
        <f t="array" ref="R284">IF(AND(Q284="",P284&lt;&gt;""),N284,_xlfn.SWITCH(IF(Q284&lt;&gt;"",Q284,O284)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Centers",IF(Q284&lt;&gt;"",Q284,O284)))</f>
        <v>Leiter/in einer Geschäftsstelle</v>
      </c>
      <c r="S284" s="7" t="str">
        <f>IF(N284&lt;&gt;R284,"x","")</f>
        <v/>
      </c>
    </row>
    <row r="285" spans="1:19" hidden="1" x14ac:dyDescent="0.25">
      <c r="A285" s="7" t="s">
        <v>1159</v>
      </c>
      <c r="B285" s="7" t="s">
        <v>20</v>
      </c>
      <c r="C285" s="7" t="s">
        <v>1154</v>
      </c>
      <c r="D285" s="7" t="s">
        <v>1155</v>
      </c>
      <c r="E285" s="7" t="s">
        <v>20</v>
      </c>
      <c r="F285" s="7" t="s">
        <v>20</v>
      </c>
      <c r="G285" s="7" t="s">
        <v>1156</v>
      </c>
      <c r="H285" s="7" t="s">
        <v>20</v>
      </c>
      <c r="I285" s="8" t="s">
        <v>1160</v>
      </c>
      <c r="J285" s="7" t="s">
        <v>1161</v>
      </c>
      <c r="K285" s="7" t="s">
        <v>63</v>
      </c>
      <c r="L285" s="7" t="s">
        <v>97</v>
      </c>
      <c r="M285" s="7" t="s">
        <v>98</v>
      </c>
      <c r="N285" s="9" t="s">
        <v>35</v>
      </c>
      <c r="O285" s="7" t="s">
        <v>99</v>
      </c>
      <c r="P285" s="7" t="s">
        <v>49</v>
      </c>
      <c r="Q285" s="7"/>
      <c r="R285" s="7" t="str" cm="1">
        <f t="array" ref="R285">IF(AND(Q285="",P285&lt;&gt;""),N285,_xlfn.SWITCH(IF(Q285&lt;&gt;"",Q285,O285)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Centers",IF(Q285&lt;&gt;"",Q285,O285)))</f>
        <v>Leiter/in einer Geschäftsstelle</v>
      </c>
      <c r="S285" s="7" t="str">
        <f>IF(N285&lt;&gt;R285,"x","")</f>
        <v/>
      </c>
    </row>
    <row r="286" spans="1:19" hidden="1" x14ac:dyDescent="0.25">
      <c r="A286" s="7" t="s">
        <v>1162</v>
      </c>
      <c r="B286" s="7" t="s">
        <v>20</v>
      </c>
      <c r="C286" s="7" t="s">
        <v>1154</v>
      </c>
      <c r="D286" s="7" t="s">
        <v>1155</v>
      </c>
      <c r="E286" s="7" t="s">
        <v>20</v>
      </c>
      <c r="F286" s="7" t="s">
        <v>20</v>
      </c>
      <c r="G286" s="7" t="s">
        <v>1156</v>
      </c>
      <c r="H286" s="7" t="s">
        <v>20</v>
      </c>
      <c r="I286" s="8" t="s">
        <v>1163</v>
      </c>
      <c r="J286" s="7" t="s">
        <v>1164</v>
      </c>
      <c r="K286" s="7" t="s">
        <v>1165</v>
      </c>
      <c r="L286" s="7" t="s">
        <v>97</v>
      </c>
      <c r="M286" s="7" t="s">
        <v>98</v>
      </c>
      <c r="N286" s="9" t="s">
        <v>66</v>
      </c>
      <c r="O286" s="7" t="s">
        <v>251</v>
      </c>
      <c r="P286" s="7" t="s">
        <v>20</v>
      </c>
      <c r="Q286" s="7"/>
      <c r="R286" s="7" t="str" cm="1">
        <f t="array" ref="R286">IF(AND(Q286="",P286&lt;&gt;""),N286,_xlfn.SWITCH(IF(Q286&lt;&gt;"",Q286,O286)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Centers",IF(Q286&lt;&gt;"",Q286,O286)))</f>
        <v>Hauptagent/in</v>
      </c>
      <c r="S286" s="7" t="str">
        <f>IF(N286&lt;&gt;R286,"x","")</f>
        <v>x</v>
      </c>
    </row>
    <row r="287" spans="1:19" hidden="1" x14ac:dyDescent="0.25">
      <c r="A287" s="7" t="s">
        <v>1166</v>
      </c>
      <c r="B287" s="7" t="s">
        <v>20</v>
      </c>
      <c r="C287" s="7" t="s">
        <v>1154</v>
      </c>
      <c r="D287" s="7" t="s">
        <v>1155</v>
      </c>
      <c r="E287" s="7" t="s">
        <v>20</v>
      </c>
      <c r="F287" s="7" t="s">
        <v>20</v>
      </c>
      <c r="G287" s="7" t="s">
        <v>1156</v>
      </c>
      <c r="H287" s="7" t="s">
        <v>20</v>
      </c>
      <c r="I287" s="8" t="s">
        <v>104</v>
      </c>
      <c r="J287" s="7" t="s">
        <v>1167</v>
      </c>
      <c r="K287" s="7" t="s">
        <v>1168</v>
      </c>
      <c r="L287" s="7" t="s">
        <v>27</v>
      </c>
      <c r="M287" s="7" t="s">
        <v>28</v>
      </c>
      <c r="N287" s="9" t="s">
        <v>66</v>
      </c>
      <c r="O287" s="7" t="s">
        <v>30</v>
      </c>
      <c r="P287" s="7" t="s">
        <v>20</v>
      </c>
      <c r="Q287" s="7"/>
      <c r="R287" s="7" t="str" cm="1">
        <f t="array" ref="R287">IF(AND(Q287="",P287&lt;&gt;""),N287,_xlfn.SWITCH(IF(Q287&lt;&gt;"",Q287,O287)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Centers",IF(Q287&lt;&gt;"",Q287,O287)))</f>
        <v>Agenturleiter/in</v>
      </c>
      <c r="S287" s="7" t="str">
        <f>IF(N287&lt;&gt;R287,"x","")</f>
        <v>x</v>
      </c>
    </row>
    <row r="288" spans="1:19" hidden="1" x14ac:dyDescent="0.25">
      <c r="A288" s="7" t="s">
        <v>1169</v>
      </c>
      <c r="B288" s="7" t="s">
        <v>20</v>
      </c>
      <c r="C288" s="7" t="s">
        <v>1154</v>
      </c>
      <c r="D288" s="7" t="s">
        <v>1155</v>
      </c>
      <c r="E288" s="7" t="s">
        <v>20</v>
      </c>
      <c r="F288" s="7" t="s">
        <v>20</v>
      </c>
      <c r="G288" s="7" t="s">
        <v>1156</v>
      </c>
      <c r="H288" s="7" t="s">
        <v>20</v>
      </c>
      <c r="I288" s="8" t="s">
        <v>163</v>
      </c>
      <c r="J288" s="7" t="s">
        <v>1170</v>
      </c>
      <c r="K288" s="7" t="s">
        <v>1171</v>
      </c>
      <c r="L288" s="7" t="s">
        <v>97</v>
      </c>
      <c r="M288" s="7" t="s">
        <v>98</v>
      </c>
      <c r="N288" s="9" t="s">
        <v>66</v>
      </c>
      <c r="O288" s="7" t="s">
        <v>99</v>
      </c>
      <c r="P288" s="7" t="s">
        <v>20</v>
      </c>
      <c r="Q288" s="7"/>
      <c r="R288" s="7" t="str" cm="1">
        <f t="array" ref="R288">IF(AND(Q288="",P288&lt;&gt;""),N288,_xlfn.SWITCH(IF(Q288&lt;&gt;"",Q288,O288)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Centers",IF(Q288&lt;&gt;"",Q288,O288)))</f>
        <v>Hauptagent/in</v>
      </c>
      <c r="S288" s="7" t="str">
        <f>IF(N288&lt;&gt;R288,"x","")</f>
        <v>x</v>
      </c>
    </row>
    <row r="289" spans="1:19" hidden="1" x14ac:dyDescent="0.25">
      <c r="A289" s="7" t="s">
        <v>1172</v>
      </c>
      <c r="B289" s="7" t="s">
        <v>20</v>
      </c>
      <c r="C289" s="7" t="s">
        <v>1154</v>
      </c>
      <c r="D289" s="7" t="s">
        <v>1155</v>
      </c>
      <c r="E289" s="7" t="s">
        <v>20</v>
      </c>
      <c r="F289" s="7" t="s">
        <v>20</v>
      </c>
      <c r="G289" s="7" t="s">
        <v>1156</v>
      </c>
      <c r="H289" s="7" t="s">
        <v>20</v>
      </c>
      <c r="I289" s="8" t="s">
        <v>1173</v>
      </c>
      <c r="J289" s="7" t="s">
        <v>1174</v>
      </c>
      <c r="K289" s="7" t="s">
        <v>1175</v>
      </c>
      <c r="L289" s="7" t="s">
        <v>97</v>
      </c>
      <c r="M289" s="7" t="s">
        <v>98</v>
      </c>
      <c r="N289" s="9" t="s">
        <v>111</v>
      </c>
      <c r="O289" s="7" t="s">
        <v>99</v>
      </c>
      <c r="P289" s="7" t="s">
        <v>20</v>
      </c>
      <c r="Q289" s="7"/>
      <c r="R289" s="7" t="str" cm="1">
        <f t="array" ref="R289">IF(AND(Q289="",P289&lt;&gt;""),N289,_xlfn.SWITCH(IF(Q289&lt;&gt;"",Q289,O289)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Centers",IF(Q289&lt;&gt;"",Q289,O289)))</f>
        <v>Hauptagent/in</v>
      </c>
      <c r="S289" s="7" t="str">
        <f>IF(N289&lt;&gt;R289,"x","")</f>
        <v/>
      </c>
    </row>
    <row r="290" spans="1:19" hidden="1" x14ac:dyDescent="0.25">
      <c r="A290" s="7" t="s">
        <v>1176</v>
      </c>
      <c r="B290" s="7" t="s">
        <v>20</v>
      </c>
      <c r="C290" s="7" t="s">
        <v>1154</v>
      </c>
      <c r="D290" s="7" t="s">
        <v>1155</v>
      </c>
      <c r="E290" s="7" t="s">
        <v>20</v>
      </c>
      <c r="F290" s="7" t="s">
        <v>20</v>
      </c>
      <c r="G290" s="7" t="s">
        <v>1156</v>
      </c>
      <c r="H290" s="7" t="s">
        <v>20</v>
      </c>
      <c r="I290" s="8" t="s">
        <v>1177</v>
      </c>
      <c r="J290" s="7" t="s">
        <v>1178</v>
      </c>
      <c r="K290" s="7" t="s">
        <v>1179</v>
      </c>
      <c r="L290" s="7" t="s">
        <v>40</v>
      </c>
      <c r="M290" s="7" t="s">
        <v>41</v>
      </c>
      <c r="N290" s="9" t="s">
        <v>75</v>
      </c>
      <c r="O290" s="7" t="s">
        <v>48</v>
      </c>
      <c r="P290" s="7" t="s">
        <v>20</v>
      </c>
      <c r="Q290" s="7"/>
      <c r="R290" s="7" t="str" cm="1">
        <f t="array" ref="R290">IF(AND(Q290="",P290&lt;&gt;""),N290,_xlfn.SWITCH(IF(Q290&lt;&gt;"",Q290,O290)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Centers",IF(Q290&lt;&gt;"",Q290,O290)))</f>
        <v>Repräsentant/in</v>
      </c>
      <c r="S290" s="7" t="str">
        <f>IF(N290&lt;&gt;R290,"x","")</f>
        <v>x</v>
      </c>
    </row>
    <row r="291" spans="1:19" hidden="1" x14ac:dyDescent="0.25">
      <c r="A291" s="7" t="s">
        <v>1180</v>
      </c>
      <c r="B291" s="7" t="s">
        <v>20</v>
      </c>
      <c r="C291" s="7" t="s">
        <v>1154</v>
      </c>
      <c r="D291" s="7" t="s">
        <v>1155</v>
      </c>
      <c r="E291" s="7" t="s">
        <v>20</v>
      </c>
      <c r="F291" s="7" t="s">
        <v>20</v>
      </c>
      <c r="G291" s="7" t="s">
        <v>1156</v>
      </c>
      <c r="H291" s="7" t="s">
        <v>20</v>
      </c>
      <c r="I291" s="8" t="s">
        <v>37</v>
      </c>
      <c r="J291" s="7" t="s">
        <v>1181</v>
      </c>
      <c r="K291" s="7" t="s">
        <v>1182</v>
      </c>
      <c r="L291" s="7" t="s">
        <v>40</v>
      </c>
      <c r="M291" s="7" t="s">
        <v>41</v>
      </c>
      <c r="N291" s="9" t="s">
        <v>66</v>
      </c>
      <c r="O291" s="7" t="s">
        <v>43</v>
      </c>
      <c r="P291" s="7" t="s">
        <v>20</v>
      </c>
      <c r="Q291" s="7"/>
      <c r="R291" s="7" t="str" cm="1">
        <f t="array" ref="R291">IF(AND(Q291="",P291&lt;&gt;""),N291,_xlfn.SWITCH(IF(Q291&lt;&gt;"",Q291,O291)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Centers",IF(Q291&lt;&gt;"",Q291,O291)))</f>
        <v>Repräsentant/in</v>
      </c>
      <c r="S291" s="7" t="str">
        <f>IF(N291&lt;&gt;R291,"x","")</f>
        <v/>
      </c>
    </row>
    <row r="292" spans="1:19" hidden="1" x14ac:dyDescent="0.25">
      <c r="A292" s="7" t="s">
        <v>1183</v>
      </c>
      <c r="B292" s="7" t="s">
        <v>20</v>
      </c>
      <c r="C292" s="7" t="s">
        <v>1154</v>
      </c>
      <c r="D292" s="7" t="s">
        <v>1155</v>
      </c>
      <c r="E292" s="7" t="s">
        <v>20</v>
      </c>
      <c r="F292" s="7" t="s">
        <v>20</v>
      </c>
      <c r="G292" s="7" t="s">
        <v>1156</v>
      </c>
      <c r="H292" s="7" t="s">
        <v>20</v>
      </c>
      <c r="I292" s="8" t="s">
        <v>670</v>
      </c>
      <c r="J292" s="7" t="s">
        <v>1184</v>
      </c>
      <c r="K292" s="7" t="s">
        <v>1185</v>
      </c>
      <c r="L292" s="7" t="s">
        <v>97</v>
      </c>
      <c r="M292" s="7" t="s">
        <v>98</v>
      </c>
      <c r="N292" s="9" t="s">
        <v>75</v>
      </c>
      <c r="O292" s="7" t="s">
        <v>99</v>
      </c>
      <c r="P292" s="7" t="s">
        <v>20</v>
      </c>
      <c r="Q292" s="7"/>
      <c r="R292" s="7" t="str" cm="1">
        <f t="array" ref="R292">IF(AND(Q292="",P292&lt;&gt;""),N292,_xlfn.SWITCH(IF(Q292&lt;&gt;"",Q292,O292)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Centers",IF(Q292&lt;&gt;"",Q292,O292)))</f>
        <v>Hauptagent/in</v>
      </c>
      <c r="S292" s="7" t="str">
        <f>IF(N292&lt;&gt;R292,"x","")</f>
        <v>x</v>
      </c>
    </row>
    <row r="293" spans="1:19" hidden="1" x14ac:dyDescent="0.25">
      <c r="A293" s="7" t="s">
        <v>1186</v>
      </c>
      <c r="B293" s="7" t="s">
        <v>20</v>
      </c>
      <c r="C293" s="7" t="s">
        <v>1154</v>
      </c>
      <c r="D293" s="7" t="s">
        <v>1155</v>
      </c>
      <c r="E293" s="7" t="s">
        <v>20</v>
      </c>
      <c r="F293" s="7" t="s">
        <v>20</v>
      </c>
      <c r="G293" s="7" t="s">
        <v>1156</v>
      </c>
      <c r="H293" s="7" t="s">
        <v>20</v>
      </c>
      <c r="I293" s="8" t="s">
        <v>104</v>
      </c>
      <c r="J293" s="7" t="s">
        <v>1187</v>
      </c>
      <c r="K293" s="7" t="s">
        <v>1188</v>
      </c>
      <c r="L293" s="7" t="s">
        <v>64</v>
      </c>
      <c r="M293" s="7" t="s">
        <v>65</v>
      </c>
      <c r="N293" s="9" t="s">
        <v>126</v>
      </c>
      <c r="O293" s="7" t="s">
        <v>67</v>
      </c>
      <c r="P293" s="7" t="s">
        <v>20</v>
      </c>
      <c r="Q293" s="7"/>
      <c r="R293" s="7" t="str" cm="1">
        <f t="array" ref="R293">IF(AND(Q293="",P293&lt;&gt;""),N293,_xlfn.SWITCH(IF(Q293&lt;&gt;"",Q293,O293)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Centers",IF(Q293&lt;&gt;"",Q293,O293)))</f>
        <v>Leiter/in des Service Centers</v>
      </c>
      <c r="S293" s="7" t="str">
        <f>IF(N293&lt;&gt;R293,"x","")</f>
        <v>x</v>
      </c>
    </row>
    <row r="294" spans="1:19" hidden="1" x14ac:dyDescent="0.25">
      <c r="A294" s="7" t="s">
        <v>1189</v>
      </c>
      <c r="B294" s="7" t="s">
        <v>20</v>
      </c>
      <c r="C294" s="7" t="s">
        <v>1154</v>
      </c>
      <c r="D294" s="7" t="s">
        <v>1155</v>
      </c>
      <c r="E294" s="7" t="s">
        <v>20</v>
      </c>
      <c r="F294" s="7" t="s">
        <v>20</v>
      </c>
      <c r="G294" s="7" t="s">
        <v>1156</v>
      </c>
      <c r="H294" s="7" t="s">
        <v>20</v>
      </c>
      <c r="I294" s="8" t="s">
        <v>1190</v>
      </c>
      <c r="J294" s="7" t="s">
        <v>1191</v>
      </c>
      <c r="K294" s="7" t="s">
        <v>1192</v>
      </c>
      <c r="L294" s="7" t="s">
        <v>27</v>
      </c>
      <c r="M294" s="7" t="s">
        <v>28</v>
      </c>
      <c r="N294" s="9" t="s">
        <v>111</v>
      </c>
      <c r="O294" s="7" t="s">
        <v>30</v>
      </c>
      <c r="P294" s="7" t="s">
        <v>20</v>
      </c>
      <c r="Q294" s="7"/>
      <c r="R294" s="7" t="str" cm="1">
        <f t="array" ref="R294">IF(AND(Q294="",P294&lt;&gt;""),N294,_xlfn.SWITCH(IF(Q294&lt;&gt;"",Q294,O294)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Centers",IF(Q294&lt;&gt;"",Q294,O294)))</f>
        <v>Agenturleiter/in</v>
      </c>
      <c r="S294" s="7" t="str">
        <f>IF(N294&lt;&gt;R294,"x","")</f>
        <v>x</v>
      </c>
    </row>
    <row r="295" spans="1:19" hidden="1" x14ac:dyDescent="0.25">
      <c r="A295" s="7" t="s">
        <v>1193</v>
      </c>
      <c r="B295" s="7" t="s">
        <v>20</v>
      </c>
      <c r="C295" s="7" t="s">
        <v>1154</v>
      </c>
      <c r="D295" s="7" t="s">
        <v>1155</v>
      </c>
      <c r="E295" s="7" t="s">
        <v>20</v>
      </c>
      <c r="F295" s="7" t="s">
        <v>20</v>
      </c>
      <c r="G295" s="7" t="s">
        <v>1156</v>
      </c>
      <c r="H295" s="7" t="s">
        <v>20</v>
      </c>
      <c r="I295" s="8" t="s">
        <v>1194</v>
      </c>
      <c r="J295" s="7" t="s">
        <v>1195</v>
      </c>
      <c r="K295" s="7" t="s">
        <v>63</v>
      </c>
      <c r="L295" s="7" t="s">
        <v>40</v>
      </c>
      <c r="M295" s="7" t="s">
        <v>41</v>
      </c>
      <c r="N295" s="9" t="s">
        <v>111</v>
      </c>
      <c r="O295" s="7" t="s">
        <v>48</v>
      </c>
      <c r="P295" s="7" t="s">
        <v>49</v>
      </c>
      <c r="Q295" s="7"/>
      <c r="R295" s="7" t="str" cm="1">
        <f t="array" ref="R295">IF(AND(Q295="",P295&lt;&gt;""),N295,_xlfn.SWITCH(IF(Q295&lt;&gt;"",Q295,O295)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Centers",IF(Q295&lt;&gt;"",Q295,O295)))</f>
        <v>Hauptagent/in</v>
      </c>
      <c r="S295" s="7" t="str">
        <f>IF(N295&lt;&gt;R295,"x","")</f>
        <v/>
      </c>
    </row>
    <row r="296" spans="1:19" hidden="1" x14ac:dyDescent="0.25">
      <c r="A296" s="7" t="s">
        <v>1196</v>
      </c>
      <c r="B296" s="7" t="s">
        <v>20</v>
      </c>
      <c r="C296" s="7" t="s">
        <v>1154</v>
      </c>
      <c r="D296" s="7" t="s">
        <v>1155</v>
      </c>
      <c r="E296" s="7" t="s">
        <v>20</v>
      </c>
      <c r="F296" s="7" t="s">
        <v>20</v>
      </c>
      <c r="G296" s="7" t="s">
        <v>1156</v>
      </c>
      <c r="H296" s="7" t="s">
        <v>20</v>
      </c>
      <c r="I296" s="8" t="s">
        <v>1160</v>
      </c>
      <c r="J296" s="7" t="s">
        <v>1197</v>
      </c>
      <c r="K296" s="7" t="s">
        <v>1198</v>
      </c>
      <c r="L296" s="7" t="s">
        <v>64</v>
      </c>
      <c r="M296" s="7" t="s">
        <v>65</v>
      </c>
      <c r="N296" s="9" t="s">
        <v>111</v>
      </c>
      <c r="O296" s="7" t="s">
        <v>67</v>
      </c>
      <c r="P296" s="7" t="s">
        <v>20</v>
      </c>
      <c r="Q296" s="7"/>
      <c r="R296" s="7" t="str" cm="1">
        <f t="array" ref="R296">IF(AND(Q296="",P296&lt;&gt;""),N296,_xlfn.SWITCH(IF(Q296&lt;&gt;"",Q296,O296)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Centers",IF(Q296&lt;&gt;"",Q296,O296)))</f>
        <v>Leiter/in des Service Centers</v>
      </c>
      <c r="S296" s="7" t="str">
        <f>IF(N296&lt;&gt;R296,"x","")</f>
        <v>x</v>
      </c>
    </row>
    <row r="297" spans="1:19" hidden="1" x14ac:dyDescent="0.25">
      <c r="A297" s="7" t="s">
        <v>1199</v>
      </c>
      <c r="B297" s="7" t="s">
        <v>20</v>
      </c>
      <c r="C297" s="7" t="s">
        <v>1154</v>
      </c>
      <c r="D297" s="7" t="s">
        <v>1155</v>
      </c>
      <c r="E297" s="7" t="s">
        <v>20</v>
      </c>
      <c r="F297" s="7" t="s">
        <v>20</v>
      </c>
      <c r="G297" s="7" t="s">
        <v>1156</v>
      </c>
      <c r="H297" s="7" t="s">
        <v>20</v>
      </c>
      <c r="I297" s="8" t="s">
        <v>537</v>
      </c>
      <c r="J297" s="7" t="s">
        <v>1200</v>
      </c>
      <c r="K297" s="7" t="s">
        <v>1201</v>
      </c>
      <c r="L297" s="7" t="s">
        <v>27</v>
      </c>
      <c r="M297" s="7" t="s">
        <v>28</v>
      </c>
      <c r="N297" s="9" t="s">
        <v>66</v>
      </c>
      <c r="O297" s="7" t="s">
        <v>30</v>
      </c>
      <c r="P297" s="7" t="s">
        <v>20</v>
      </c>
      <c r="Q297" s="7"/>
      <c r="R297" s="7" t="str" cm="1">
        <f t="array" ref="R297">IF(AND(Q297="",P297&lt;&gt;""),N297,_xlfn.SWITCH(IF(Q297&lt;&gt;"",Q297,O297)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Centers",IF(Q297&lt;&gt;"",Q297,O297)))</f>
        <v>Agenturleiter/in</v>
      </c>
      <c r="S297" s="7" t="str">
        <f>IF(N297&lt;&gt;R297,"x","")</f>
        <v>x</v>
      </c>
    </row>
    <row r="298" spans="1:19" hidden="1" x14ac:dyDescent="0.25">
      <c r="A298" s="7" t="s">
        <v>1202</v>
      </c>
      <c r="B298" s="7" t="s">
        <v>20</v>
      </c>
      <c r="C298" s="7" t="s">
        <v>1154</v>
      </c>
      <c r="D298" s="7" t="s">
        <v>1155</v>
      </c>
      <c r="E298" s="7" t="s">
        <v>20</v>
      </c>
      <c r="F298" s="7" t="s">
        <v>20</v>
      </c>
      <c r="G298" s="7" t="s">
        <v>1156</v>
      </c>
      <c r="H298" s="7" t="s">
        <v>20</v>
      </c>
      <c r="I298" s="8" t="s">
        <v>1044</v>
      </c>
      <c r="J298" s="7" t="s">
        <v>1203</v>
      </c>
      <c r="K298" s="7" t="s">
        <v>1204</v>
      </c>
      <c r="L298" s="7" t="s">
        <v>27</v>
      </c>
      <c r="M298" s="7" t="s">
        <v>28</v>
      </c>
      <c r="N298" s="9" t="s">
        <v>111</v>
      </c>
      <c r="O298" s="7" t="s">
        <v>30</v>
      </c>
      <c r="P298" s="7" t="s">
        <v>20</v>
      </c>
      <c r="Q298" s="7"/>
      <c r="R298" s="7" t="str" cm="1">
        <f t="array" ref="R298">IF(AND(Q298="",P298&lt;&gt;""),N298,_xlfn.SWITCH(IF(Q298&lt;&gt;"",Q298,O298)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Centers",IF(Q298&lt;&gt;"",Q298,O298)))</f>
        <v>Agenturleiter/in</v>
      </c>
      <c r="S298" s="7" t="str">
        <f>IF(N298&lt;&gt;R298,"x","")</f>
        <v>x</v>
      </c>
    </row>
    <row r="299" spans="1:19" hidden="1" x14ac:dyDescent="0.25">
      <c r="A299" s="7" t="s">
        <v>1205</v>
      </c>
      <c r="B299" s="7" t="s">
        <v>20</v>
      </c>
      <c r="C299" s="7" t="s">
        <v>1154</v>
      </c>
      <c r="D299" s="7" t="s">
        <v>1155</v>
      </c>
      <c r="E299" s="7" t="s">
        <v>20</v>
      </c>
      <c r="F299" s="7" t="s">
        <v>20</v>
      </c>
      <c r="G299" s="7" t="s">
        <v>1156</v>
      </c>
      <c r="H299" s="7" t="s">
        <v>20</v>
      </c>
      <c r="I299" s="8" t="s">
        <v>975</v>
      </c>
      <c r="J299" s="7" t="s">
        <v>1206</v>
      </c>
      <c r="K299" s="7" t="s">
        <v>1207</v>
      </c>
      <c r="L299" s="7" t="s">
        <v>40</v>
      </c>
      <c r="M299" s="7" t="s">
        <v>41</v>
      </c>
      <c r="N299" s="9" t="s">
        <v>75</v>
      </c>
      <c r="O299" s="7" t="s">
        <v>48</v>
      </c>
      <c r="P299" s="7" t="s">
        <v>20</v>
      </c>
      <c r="Q299" s="7"/>
      <c r="R299" s="7" t="str" cm="1">
        <f t="array" ref="R299">IF(AND(Q299="",P299&lt;&gt;""),N299,_xlfn.SWITCH(IF(Q299&lt;&gt;"",Q299,O299)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Centers",IF(Q299&lt;&gt;"",Q299,O299)))</f>
        <v>Repräsentant/in</v>
      </c>
      <c r="S299" s="7" t="str">
        <f>IF(N299&lt;&gt;R299,"x","")</f>
        <v>x</v>
      </c>
    </row>
    <row r="300" spans="1:19" hidden="1" x14ac:dyDescent="0.25">
      <c r="A300" s="7" t="s">
        <v>1208</v>
      </c>
      <c r="B300" s="7" t="s">
        <v>20</v>
      </c>
      <c r="C300" s="7" t="s">
        <v>1154</v>
      </c>
      <c r="D300" s="7" t="s">
        <v>1155</v>
      </c>
      <c r="E300" s="7" t="s">
        <v>20</v>
      </c>
      <c r="F300" s="7" t="s">
        <v>20</v>
      </c>
      <c r="G300" s="7" t="s">
        <v>1156</v>
      </c>
      <c r="H300" s="7" t="s">
        <v>20</v>
      </c>
      <c r="I300" s="8" t="s">
        <v>1209</v>
      </c>
      <c r="J300" s="7" t="s">
        <v>1210</v>
      </c>
      <c r="K300" s="7" t="s">
        <v>1211</v>
      </c>
      <c r="L300" s="7" t="s">
        <v>228</v>
      </c>
      <c r="M300" s="7" t="s">
        <v>229</v>
      </c>
      <c r="N300" s="9" t="s">
        <v>334</v>
      </c>
      <c r="O300" s="7" t="s">
        <v>54</v>
      </c>
      <c r="P300" s="7" t="s">
        <v>20</v>
      </c>
      <c r="Q300" s="7"/>
      <c r="R300" s="7" t="str" cm="1">
        <f t="array" ref="R300">IF(AND(Q300="",P300&lt;&gt;""),N300,_xlfn.SWITCH(IF(Q300&lt;&gt;"",Q300,O300)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Centers",IF(Q300&lt;&gt;"",Q300,O300)))</f>
        <v>Agenturleiter/in</v>
      </c>
      <c r="S300" s="7" t="str">
        <f>IF(N300&lt;&gt;R300,"x","")</f>
        <v>x</v>
      </c>
    </row>
    <row r="301" spans="1:19" hidden="1" x14ac:dyDescent="0.25">
      <c r="A301" s="7" t="s">
        <v>1212</v>
      </c>
      <c r="B301" s="7" t="s">
        <v>20</v>
      </c>
      <c r="C301" s="7" t="s">
        <v>1154</v>
      </c>
      <c r="D301" s="7" t="s">
        <v>1155</v>
      </c>
      <c r="E301" s="7" t="s">
        <v>20</v>
      </c>
      <c r="F301" s="7" t="s">
        <v>20</v>
      </c>
      <c r="G301" s="7" t="s">
        <v>1156</v>
      </c>
      <c r="H301" s="7" t="s">
        <v>20</v>
      </c>
      <c r="I301" s="8" t="s">
        <v>718</v>
      </c>
      <c r="J301" s="7" t="s">
        <v>1213</v>
      </c>
      <c r="K301" s="7" t="s">
        <v>1214</v>
      </c>
      <c r="L301" s="7" t="s">
        <v>40</v>
      </c>
      <c r="M301" s="7" t="s">
        <v>41</v>
      </c>
      <c r="N301" s="9" t="s">
        <v>75</v>
      </c>
      <c r="O301" s="7" t="s">
        <v>48</v>
      </c>
      <c r="P301" s="7" t="s">
        <v>20</v>
      </c>
      <c r="Q301" s="7"/>
      <c r="R301" s="7" t="str" cm="1">
        <f t="array" ref="R301">IF(AND(Q301="",P301&lt;&gt;""),N301,_xlfn.SWITCH(IF(Q301&lt;&gt;"",Q301,O301)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Centers",IF(Q301&lt;&gt;"",Q301,O301)))</f>
        <v>Repräsentant/in</v>
      </c>
      <c r="S301" s="7" t="str">
        <f>IF(N301&lt;&gt;R301,"x","")</f>
        <v>x</v>
      </c>
    </row>
    <row r="302" spans="1:19" hidden="1" x14ac:dyDescent="0.25">
      <c r="A302" s="7" t="s">
        <v>1215</v>
      </c>
      <c r="B302" s="7" t="s">
        <v>20</v>
      </c>
      <c r="C302" s="7" t="s">
        <v>1154</v>
      </c>
      <c r="D302" s="7" t="s">
        <v>1155</v>
      </c>
      <c r="E302" s="7" t="s">
        <v>20</v>
      </c>
      <c r="F302" s="7" t="s">
        <v>20</v>
      </c>
      <c r="G302" s="7" t="s">
        <v>1156</v>
      </c>
      <c r="H302" s="7" t="s">
        <v>20</v>
      </c>
      <c r="I302" s="8" t="s">
        <v>231</v>
      </c>
      <c r="J302" s="7" t="s">
        <v>1216</v>
      </c>
      <c r="K302" s="7" t="s">
        <v>63</v>
      </c>
      <c r="L302" s="7" t="s">
        <v>40</v>
      </c>
      <c r="M302" s="7" t="s">
        <v>41</v>
      </c>
      <c r="N302" s="9" t="s">
        <v>29</v>
      </c>
      <c r="O302" s="7" t="s">
        <v>48</v>
      </c>
      <c r="P302" s="7" t="s">
        <v>49</v>
      </c>
      <c r="Q302" s="7"/>
      <c r="R302" s="7" t="str" cm="1">
        <f t="array" ref="R302">IF(AND(Q302="",P302&lt;&gt;""),N302,_xlfn.SWITCH(IF(Q302&lt;&gt;"",Q302,O302)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Centers",IF(Q302&lt;&gt;"",Q302,O302)))</f>
        <v>Generalagent/in</v>
      </c>
      <c r="S302" s="7" t="str">
        <f>IF(N302&lt;&gt;R302,"x","")</f>
        <v/>
      </c>
    </row>
    <row r="303" spans="1:19" hidden="1" x14ac:dyDescent="0.25">
      <c r="A303" s="7" t="s">
        <v>1217</v>
      </c>
      <c r="B303" s="7" t="s">
        <v>20</v>
      </c>
      <c r="C303" s="7" t="s">
        <v>1154</v>
      </c>
      <c r="D303" s="7" t="s">
        <v>1155</v>
      </c>
      <c r="E303" s="7" t="s">
        <v>20</v>
      </c>
      <c r="F303" s="7" t="s">
        <v>20</v>
      </c>
      <c r="G303" s="7" t="s">
        <v>1156</v>
      </c>
      <c r="H303" s="7" t="s">
        <v>20</v>
      </c>
      <c r="I303" s="8" t="s">
        <v>520</v>
      </c>
      <c r="J303" s="7" t="s">
        <v>598</v>
      </c>
      <c r="K303" s="7" t="s">
        <v>1218</v>
      </c>
      <c r="L303" s="7" t="s">
        <v>27</v>
      </c>
      <c r="M303" s="7" t="s">
        <v>28</v>
      </c>
      <c r="N303" s="9" t="s">
        <v>111</v>
      </c>
      <c r="O303" s="7" t="s">
        <v>30</v>
      </c>
      <c r="P303" s="7" t="s">
        <v>20</v>
      </c>
      <c r="Q303" s="7"/>
      <c r="R303" s="7" t="str" cm="1">
        <f t="array" ref="R303">IF(AND(Q303="",P303&lt;&gt;""),N303,_xlfn.SWITCH(IF(Q303&lt;&gt;"",Q303,O303)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Centers",IF(Q303&lt;&gt;"",Q303,O303)))</f>
        <v>Agenturleiter/in</v>
      </c>
      <c r="S303" s="7" t="str">
        <f>IF(N303&lt;&gt;R303,"x","")</f>
        <v>x</v>
      </c>
    </row>
    <row r="304" spans="1:19" hidden="1" x14ac:dyDescent="0.25">
      <c r="A304" s="7" t="s">
        <v>1219</v>
      </c>
      <c r="B304" s="7" t="s">
        <v>20</v>
      </c>
      <c r="C304" s="7" t="s">
        <v>1154</v>
      </c>
      <c r="D304" s="7" t="s">
        <v>1155</v>
      </c>
      <c r="E304" s="7" t="s">
        <v>20</v>
      </c>
      <c r="F304" s="7" t="s">
        <v>20</v>
      </c>
      <c r="G304" s="7" t="s">
        <v>1156</v>
      </c>
      <c r="H304" s="7" t="s">
        <v>20</v>
      </c>
      <c r="I304" s="8" t="s">
        <v>1220</v>
      </c>
      <c r="J304" s="7" t="s">
        <v>1221</v>
      </c>
      <c r="K304" s="7" t="s">
        <v>1222</v>
      </c>
      <c r="L304" s="7" t="s">
        <v>27</v>
      </c>
      <c r="M304" s="7" t="s">
        <v>28</v>
      </c>
      <c r="N304" s="9" t="s">
        <v>111</v>
      </c>
      <c r="O304" s="7" t="s">
        <v>54</v>
      </c>
      <c r="P304" s="7" t="s">
        <v>20</v>
      </c>
      <c r="Q304" s="7"/>
      <c r="R304" s="7" t="str" cm="1">
        <f t="array" ref="R304">IF(AND(Q304="",P304&lt;&gt;""),N304,_xlfn.SWITCH(IF(Q304&lt;&gt;"",Q304,O304)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Centers",IF(Q304&lt;&gt;"",Q304,O304)))</f>
        <v>Agenturleiter/in</v>
      </c>
      <c r="S304" s="7" t="str">
        <f>IF(N304&lt;&gt;R304,"x","")</f>
        <v>x</v>
      </c>
    </row>
    <row r="305" spans="1:19" hidden="1" x14ac:dyDescent="0.25">
      <c r="A305" s="7" t="s">
        <v>1223</v>
      </c>
      <c r="B305" s="7" t="s">
        <v>20</v>
      </c>
      <c r="C305" s="7" t="s">
        <v>1154</v>
      </c>
      <c r="D305" s="7" t="s">
        <v>1155</v>
      </c>
      <c r="E305" s="7" t="s">
        <v>20</v>
      </c>
      <c r="F305" s="7" t="s">
        <v>20</v>
      </c>
      <c r="G305" s="7" t="s">
        <v>1156</v>
      </c>
      <c r="H305" s="7" t="s">
        <v>20</v>
      </c>
      <c r="I305" s="8" t="s">
        <v>834</v>
      </c>
      <c r="J305" s="7" t="s">
        <v>1224</v>
      </c>
      <c r="K305" s="7" t="s">
        <v>1225</v>
      </c>
      <c r="L305" s="7" t="s">
        <v>64</v>
      </c>
      <c r="M305" s="7" t="s">
        <v>65</v>
      </c>
      <c r="N305" s="9" t="s">
        <v>149</v>
      </c>
      <c r="O305" s="7" t="s">
        <v>67</v>
      </c>
      <c r="P305" s="7" t="s">
        <v>20</v>
      </c>
      <c r="Q305" s="7"/>
      <c r="R305" s="7" t="str" cm="1">
        <f t="array" ref="R305">IF(AND(Q305="",P305&lt;&gt;""),N305,_xlfn.SWITCH(IF(Q305&lt;&gt;"",Q305,O305)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Centers",IF(Q305&lt;&gt;"",Q305,O305)))</f>
        <v>Leiter/in des Service Centers</v>
      </c>
      <c r="S305" s="7" t="str">
        <f>IF(N305&lt;&gt;R305,"x","")</f>
        <v>x</v>
      </c>
    </row>
    <row r="306" spans="1:19" hidden="1" x14ac:dyDescent="0.25">
      <c r="A306" s="7" t="s">
        <v>1226</v>
      </c>
      <c r="B306" s="7" t="s">
        <v>20</v>
      </c>
      <c r="C306" s="7" t="s">
        <v>1154</v>
      </c>
      <c r="D306" s="7" t="s">
        <v>1155</v>
      </c>
      <c r="E306" s="7" t="s">
        <v>20</v>
      </c>
      <c r="F306" s="7" t="s">
        <v>20</v>
      </c>
      <c r="G306" s="7" t="s">
        <v>1156</v>
      </c>
      <c r="H306" s="7" t="s">
        <v>20</v>
      </c>
      <c r="I306" s="8" t="s">
        <v>1227</v>
      </c>
      <c r="J306" s="7" t="s">
        <v>1228</v>
      </c>
      <c r="K306" s="7" t="s">
        <v>1229</v>
      </c>
      <c r="L306" s="7" t="s">
        <v>64</v>
      </c>
      <c r="M306" s="7" t="s">
        <v>65</v>
      </c>
      <c r="N306" s="9" t="s">
        <v>59</v>
      </c>
      <c r="O306" s="7" t="s">
        <v>67</v>
      </c>
      <c r="P306" s="7" t="s">
        <v>20</v>
      </c>
      <c r="Q306" s="7"/>
      <c r="R306" s="7" t="str" cm="1">
        <f t="array" ref="R306">IF(AND(Q306="",P306&lt;&gt;""),N306,_xlfn.SWITCH(IF(Q306&lt;&gt;"",Q306,O306)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Centers",IF(Q306&lt;&gt;"",Q306,O306)))</f>
        <v>Leiter/in des Service Centers</v>
      </c>
      <c r="S306" s="7" t="str">
        <f>IF(N306&lt;&gt;R306,"x","")</f>
        <v/>
      </c>
    </row>
    <row r="307" spans="1:19" hidden="1" x14ac:dyDescent="0.25">
      <c r="A307" s="7" t="s">
        <v>1230</v>
      </c>
      <c r="B307" s="7" t="s">
        <v>20</v>
      </c>
      <c r="C307" s="7" t="s">
        <v>1154</v>
      </c>
      <c r="D307" s="7" t="s">
        <v>1155</v>
      </c>
      <c r="E307" s="7" t="s">
        <v>20</v>
      </c>
      <c r="F307" s="7" t="s">
        <v>20</v>
      </c>
      <c r="G307" s="7" t="s">
        <v>1156</v>
      </c>
      <c r="H307" s="7" t="s">
        <v>20</v>
      </c>
      <c r="I307" s="8" t="s">
        <v>1231</v>
      </c>
      <c r="J307" s="7" t="s">
        <v>1231</v>
      </c>
      <c r="K307" s="7" t="s">
        <v>1232</v>
      </c>
      <c r="L307" s="7" t="s">
        <v>40</v>
      </c>
      <c r="M307" s="7" t="s">
        <v>41</v>
      </c>
      <c r="N307" s="9" t="s">
        <v>20</v>
      </c>
      <c r="O307" s="7" t="s">
        <v>66</v>
      </c>
      <c r="P307" s="7" t="s">
        <v>20</v>
      </c>
      <c r="Q307" s="7"/>
      <c r="R307" s="7" t="str" cm="1">
        <f t="array" ref="R307">IF(AND(Q307="",P307&lt;&gt;""),N307,_xlfn.SWITCH(IF(Q307&lt;&gt;"",Q307,O307)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Centers",IF(Q307&lt;&gt;"",Q307,O307)))</f>
        <v>Repräsentant/in</v>
      </c>
      <c r="S307" s="7" t="str">
        <f>IF(N307&lt;&gt;R307,"x","")</f>
        <v>x</v>
      </c>
    </row>
    <row r="308" spans="1:19" hidden="1" x14ac:dyDescent="0.25">
      <c r="A308" s="7" t="s">
        <v>1233</v>
      </c>
      <c r="B308" s="7" t="s">
        <v>20</v>
      </c>
      <c r="C308" s="7" t="s">
        <v>1154</v>
      </c>
      <c r="D308" s="7" t="s">
        <v>1155</v>
      </c>
      <c r="E308" s="7" t="s">
        <v>20</v>
      </c>
      <c r="F308" s="7" t="s">
        <v>20</v>
      </c>
      <c r="G308" s="7" t="s">
        <v>1156</v>
      </c>
      <c r="H308" s="7" t="s">
        <v>20</v>
      </c>
      <c r="I308" s="8" t="s">
        <v>1234</v>
      </c>
      <c r="J308" s="7" t="s">
        <v>1224</v>
      </c>
      <c r="K308" s="7" t="s">
        <v>1235</v>
      </c>
      <c r="L308" s="7" t="s">
        <v>40</v>
      </c>
      <c r="M308" s="7" t="s">
        <v>41</v>
      </c>
      <c r="N308" s="9" t="s">
        <v>75</v>
      </c>
      <c r="O308" s="7" t="s">
        <v>120</v>
      </c>
      <c r="P308" s="7" t="s">
        <v>20</v>
      </c>
      <c r="Q308" s="7"/>
      <c r="R308" s="7" t="str" cm="1">
        <f t="array" ref="R308">IF(AND(Q308="",P308&lt;&gt;""),N308,_xlfn.SWITCH(IF(Q308&lt;&gt;"",Q308,O308)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Centers",IF(Q308&lt;&gt;"",Q308,O308)))</f>
        <v>Kundenberater/in</v>
      </c>
      <c r="S308" s="7" t="str">
        <f>IF(N308&lt;&gt;R308,"x","")</f>
        <v>x</v>
      </c>
    </row>
    <row r="309" spans="1:19" hidden="1" x14ac:dyDescent="0.25">
      <c r="A309" s="7" t="s">
        <v>1236</v>
      </c>
      <c r="B309" s="7" t="s">
        <v>20</v>
      </c>
      <c r="C309" s="7" t="s">
        <v>1154</v>
      </c>
      <c r="D309" s="7" t="s">
        <v>1155</v>
      </c>
      <c r="E309" s="7" t="s">
        <v>20</v>
      </c>
      <c r="F309" s="7" t="s">
        <v>20</v>
      </c>
      <c r="G309" s="7" t="s">
        <v>1156</v>
      </c>
      <c r="H309" s="7" t="s">
        <v>20</v>
      </c>
      <c r="I309" s="8" t="s">
        <v>670</v>
      </c>
      <c r="J309" s="7" t="s">
        <v>1237</v>
      </c>
      <c r="K309" s="7" t="s">
        <v>1238</v>
      </c>
      <c r="L309" s="7" t="s">
        <v>27</v>
      </c>
      <c r="M309" s="7" t="s">
        <v>28</v>
      </c>
      <c r="N309" s="9" t="s">
        <v>111</v>
      </c>
      <c r="O309" s="7" t="s">
        <v>30</v>
      </c>
      <c r="P309" s="7" t="s">
        <v>20</v>
      </c>
      <c r="Q309" s="7"/>
      <c r="R309" s="7" t="str" cm="1">
        <f t="array" ref="R309">IF(AND(Q309="",P309&lt;&gt;""),N309,_xlfn.SWITCH(IF(Q309&lt;&gt;"",Q309,O309)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Centers",IF(Q309&lt;&gt;"",Q309,O309)))</f>
        <v>Agenturleiter/in</v>
      </c>
      <c r="S309" s="7" t="str">
        <f>IF(N309&lt;&gt;R309,"x","")</f>
        <v>x</v>
      </c>
    </row>
    <row r="310" spans="1:19" hidden="1" x14ac:dyDescent="0.25">
      <c r="A310" s="7" t="s">
        <v>1239</v>
      </c>
      <c r="B310" s="7" t="s">
        <v>20</v>
      </c>
      <c r="C310" s="7" t="s">
        <v>1154</v>
      </c>
      <c r="D310" s="7" t="s">
        <v>1155</v>
      </c>
      <c r="E310" s="7" t="s">
        <v>20</v>
      </c>
      <c r="F310" s="7" t="s">
        <v>20</v>
      </c>
      <c r="G310" s="7" t="s">
        <v>1156</v>
      </c>
      <c r="H310" s="7" t="s">
        <v>20</v>
      </c>
      <c r="I310" s="8" t="s">
        <v>1240</v>
      </c>
      <c r="J310" s="7" t="s">
        <v>1241</v>
      </c>
      <c r="K310" s="7" t="s">
        <v>1242</v>
      </c>
      <c r="L310" s="7" t="s">
        <v>40</v>
      </c>
      <c r="M310" s="7" t="s">
        <v>41</v>
      </c>
      <c r="N310" s="9" t="s">
        <v>75</v>
      </c>
      <c r="O310" s="7" t="s">
        <v>48</v>
      </c>
      <c r="P310" s="7" t="s">
        <v>20</v>
      </c>
      <c r="Q310" s="7"/>
      <c r="R310" s="7" t="str" cm="1">
        <f t="array" ref="R310">IF(AND(Q310="",P310&lt;&gt;""),N310,_xlfn.SWITCH(IF(Q310&lt;&gt;"",Q310,O310)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Centers",IF(Q310&lt;&gt;"",Q310,O310)))</f>
        <v>Repräsentant/in</v>
      </c>
      <c r="S310" s="7" t="str">
        <f>IF(N310&lt;&gt;R310,"x","")</f>
        <v>x</v>
      </c>
    </row>
    <row r="311" spans="1:19" hidden="1" x14ac:dyDescent="0.25">
      <c r="A311" s="7" t="s">
        <v>1243</v>
      </c>
      <c r="B311" s="7" t="s">
        <v>20</v>
      </c>
      <c r="C311" s="7" t="s">
        <v>1154</v>
      </c>
      <c r="D311" s="7" t="s">
        <v>1155</v>
      </c>
      <c r="E311" s="7" t="s">
        <v>20</v>
      </c>
      <c r="F311" s="7" t="s">
        <v>20</v>
      </c>
      <c r="G311" s="7" t="s">
        <v>1156</v>
      </c>
      <c r="H311" s="7" t="s">
        <v>20</v>
      </c>
      <c r="I311" s="8" t="s">
        <v>122</v>
      </c>
      <c r="J311" s="7" t="s">
        <v>1244</v>
      </c>
      <c r="K311" s="7" t="s">
        <v>1245</v>
      </c>
      <c r="L311" s="7" t="s">
        <v>40</v>
      </c>
      <c r="M311" s="7" t="s">
        <v>41</v>
      </c>
      <c r="N311" s="9" t="s">
        <v>75</v>
      </c>
      <c r="O311" s="7" t="s">
        <v>88</v>
      </c>
      <c r="P311" s="7" t="s">
        <v>20</v>
      </c>
      <c r="Q311" s="7"/>
      <c r="R311" s="7" t="str" cm="1">
        <f t="array" ref="R311">IF(AND(Q311="",P311&lt;&gt;""),N311,_xlfn.SWITCH(IF(Q311&lt;&gt;"",Q311,O311)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Centers",IF(Q311&lt;&gt;"",Q311,O311)))</f>
        <v>Kundenberater/in</v>
      </c>
      <c r="S311" s="7" t="str">
        <f>IF(N311&lt;&gt;R311,"x","")</f>
        <v>x</v>
      </c>
    </row>
    <row r="312" spans="1:19" hidden="1" x14ac:dyDescent="0.25">
      <c r="A312" s="7" t="s">
        <v>1246</v>
      </c>
      <c r="B312" s="7" t="s">
        <v>1247</v>
      </c>
      <c r="C312" s="7" t="s">
        <v>1154</v>
      </c>
      <c r="D312" s="7" t="s">
        <v>1155</v>
      </c>
      <c r="E312" s="7" t="s">
        <v>21</v>
      </c>
      <c r="F312" s="7" t="s">
        <v>22</v>
      </c>
      <c r="G312" s="7" t="s">
        <v>23</v>
      </c>
      <c r="H312" s="7" t="s">
        <v>23</v>
      </c>
      <c r="I312" s="8" t="s">
        <v>1248</v>
      </c>
      <c r="J312" s="7" t="s">
        <v>1249</v>
      </c>
      <c r="K312" s="7" t="s">
        <v>1250</v>
      </c>
      <c r="L312" s="7" t="s">
        <v>64</v>
      </c>
      <c r="M312" s="7" t="s">
        <v>65</v>
      </c>
      <c r="N312" s="9" t="s">
        <v>111</v>
      </c>
      <c r="O312" s="7" t="s">
        <v>67</v>
      </c>
      <c r="P312" s="7" t="s">
        <v>20</v>
      </c>
      <c r="Q312" s="7"/>
      <c r="R312" s="7" t="str" cm="1">
        <f t="array" ref="R312">IF(AND(Q312="",P312&lt;&gt;""),N312,_xlfn.SWITCH(IF(Q312&lt;&gt;"",Q312,O312)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Centers",IF(Q312&lt;&gt;"",Q312,O312)))</f>
        <v>Leiter/in des Service Centers</v>
      </c>
      <c r="S312" s="7" t="str">
        <f>IF(N312&lt;&gt;R312,"x","")</f>
        <v>x</v>
      </c>
    </row>
    <row r="313" spans="1:19" hidden="1" x14ac:dyDescent="0.25">
      <c r="A313" s="7" t="s">
        <v>1251</v>
      </c>
      <c r="B313" s="7" t="s">
        <v>1252</v>
      </c>
      <c r="C313" s="7" t="s">
        <v>1154</v>
      </c>
      <c r="D313" s="7" t="s">
        <v>1155</v>
      </c>
      <c r="E313" s="7" t="s">
        <v>21</v>
      </c>
      <c r="F313" s="7" t="s">
        <v>22</v>
      </c>
      <c r="G313" s="7" t="s">
        <v>23</v>
      </c>
      <c r="H313" s="7" t="s">
        <v>23</v>
      </c>
      <c r="I313" s="8" t="s">
        <v>1253</v>
      </c>
      <c r="J313" s="7" t="s">
        <v>1254</v>
      </c>
      <c r="K313" s="7" t="s">
        <v>1255</v>
      </c>
      <c r="L313" s="7" t="s">
        <v>27</v>
      </c>
      <c r="M313" s="7" t="s">
        <v>28</v>
      </c>
      <c r="N313" s="9" t="s">
        <v>111</v>
      </c>
      <c r="O313" s="7" t="s">
        <v>30</v>
      </c>
      <c r="P313" s="7" t="s">
        <v>20</v>
      </c>
      <c r="Q313" s="7"/>
      <c r="R313" s="7" t="str" cm="1">
        <f t="array" ref="R313">IF(AND(Q313="",P313&lt;&gt;""),N313,_xlfn.SWITCH(IF(Q313&lt;&gt;"",Q313,O313)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Centers",IF(Q313&lt;&gt;"",Q313,O313)))</f>
        <v>Agenturleiter/in</v>
      </c>
      <c r="S313" s="7" t="str">
        <f>IF(N313&lt;&gt;R313,"x","")</f>
        <v>x</v>
      </c>
    </row>
    <row r="314" spans="1:19" hidden="1" x14ac:dyDescent="0.25">
      <c r="A314" s="7" t="s">
        <v>1256</v>
      </c>
      <c r="B314" s="7" t="s">
        <v>20</v>
      </c>
      <c r="C314" s="7" t="s">
        <v>1257</v>
      </c>
      <c r="D314" s="7" t="s">
        <v>1258</v>
      </c>
      <c r="E314" s="7" t="s">
        <v>20</v>
      </c>
      <c r="F314" s="7" t="s">
        <v>20</v>
      </c>
      <c r="G314" s="7" t="s">
        <v>1259</v>
      </c>
      <c r="H314" s="7" t="s">
        <v>20</v>
      </c>
      <c r="I314" s="8" t="s">
        <v>1260</v>
      </c>
      <c r="J314" s="7" t="s">
        <v>1261</v>
      </c>
      <c r="K314" s="7" t="s">
        <v>1262</v>
      </c>
      <c r="L314" s="7" t="s">
        <v>64</v>
      </c>
      <c r="M314" s="7" t="s">
        <v>65</v>
      </c>
      <c r="N314" s="9" t="s">
        <v>35</v>
      </c>
      <c r="O314" s="7" t="s">
        <v>510</v>
      </c>
      <c r="P314" s="7" t="s">
        <v>20</v>
      </c>
      <c r="Q314" s="7"/>
      <c r="R314" s="7" t="str" cm="1">
        <f t="array" ref="R314">IF(AND(Q314="",P314&lt;&gt;""),N314,_xlfn.SWITCH(IF(Q314&lt;&gt;"",Q314,O314)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Centers",IF(Q314&lt;&gt;"",Q314,O314)))</f>
        <v>Leiter/in des Service Centers</v>
      </c>
      <c r="S314" s="7" t="str">
        <f>IF(N314&lt;&gt;R314,"x","")</f>
        <v>x</v>
      </c>
    </row>
    <row r="315" spans="1:19" hidden="1" x14ac:dyDescent="0.25">
      <c r="A315" s="7" t="s">
        <v>1263</v>
      </c>
      <c r="B315" s="7" t="s">
        <v>20</v>
      </c>
      <c r="C315" s="7" t="s">
        <v>1257</v>
      </c>
      <c r="D315" s="7" t="s">
        <v>1258</v>
      </c>
      <c r="E315" s="7" t="s">
        <v>20</v>
      </c>
      <c r="F315" s="7" t="s">
        <v>20</v>
      </c>
      <c r="G315" s="7" t="s">
        <v>1259</v>
      </c>
      <c r="H315" s="7" t="s">
        <v>20</v>
      </c>
      <c r="I315" s="8" t="s">
        <v>1264</v>
      </c>
      <c r="J315" s="7" t="s">
        <v>1265</v>
      </c>
      <c r="K315" s="7" t="s">
        <v>63</v>
      </c>
      <c r="L315" s="7" t="s">
        <v>97</v>
      </c>
      <c r="M315" s="7" t="s">
        <v>98</v>
      </c>
      <c r="N315" s="9" t="s">
        <v>334</v>
      </c>
      <c r="O315" s="7" t="s">
        <v>251</v>
      </c>
      <c r="P315" s="7" t="s">
        <v>49</v>
      </c>
      <c r="Q315" s="7"/>
      <c r="R315" s="7" t="str" cm="1">
        <f t="array" ref="R315">IF(AND(Q315="",P315&lt;&gt;""),N315,_xlfn.SWITCH(IF(Q315&lt;&gt;"",Q315,O315)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Centers",IF(Q315&lt;&gt;"",Q315,O315)))</f>
        <v>Generalagentin</v>
      </c>
      <c r="S315" s="7" t="str">
        <f>IF(N315&lt;&gt;R315,"x","")</f>
        <v/>
      </c>
    </row>
    <row r="316" spans="1:19" hidden="1" x14ac:dyDescent="0.25">
      <c r="A316" s="7" t="s">
        <v>1266</v>
      </c>
      <c r="B316" s="7" t="s">
        <v>20</v>
      </c>
      <c r="C316" s="7" t="s">
        <v>1257</v>
      </c>
      <c r="D316" s="7" t="s">
        <v>1258</v>
      </c>
      <c r="E316" s="7" t="s">
        <v>20</v>
      </c>
      <c r="F316" s="7" t="s">
        <v>20</v>
      </c>
      <c r="G316" s="7" t="s">
        <v>1259</v>
      </c>
      <c r="H316" s="7" t="s">
        <v>20</v>
      </c>
      <c r="I316" s="8" t="s">
        <v>1267</v>
      </c>
      <c r="J316" s="7" t="s">
        <v>1268</v>
      </c>
      <c r="K316" s="7" t="s">
        <v>1269</v>
      </c>
      <c r="L316" s="7" t="s">
        <v>97</v>
      </c>
      <c r="M316" s="7" t="s">
        <v>98</v>
      </c>
      <c r="N316" s="9" t="s">
        <v>66</v>
      </c>
      <c r="O316" s="7" t="s">
        <v>99</v>
      </c>
      <c r="P316" s="7" t="s">
        <v>20</v>
      </c>
      <c r="Q316" s="7"/>
      <c r="R316" s="7" t="str" cm="1">
        <f t="array" ref="R316">IF(AND(Q316="",P316&lt;&gt;""),N316,_xlfn.SWITCH(IF(Q316&lt;&gt;"",Q316,O316)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Centers",IF(Q316&lt;&gt;"",Q316,O316)))</f>
        <v>Hauptagent/in</v>
      </c>
      <c r="S316" s="7" t="str">
        <f>IF(N316&lt;&gt;R316,"x","")</f>
        <v>x</v>
      </c>
    </row>
    <row r="317" spans="1:19" hidden="1" x14ac:dyDescent="0.25">
      <c r="A317" s="7" t="s">
        <v>1270</v>
      </c>
      <c r="B317" s="7" t="s">
        <v>20</v>
      </c>
      <c r="C317" s="7" t="s">
        <v>1257</v>
      </c>
      <c r="D317" s="7" t="s">
        <v>1258</v>
      </c>
      <c r="E317" s="7" t="s">
        <v>20</v>
      </c>
      <c r="F317" s="7" t="s">
        <v>20</v>
      </c>
      <c r="G317" s="7" t="s">
        <v>1259</v>
      </c>
      <c r="H317" s="7" t="s">
        <v>20</v>
      </c>
      <c r="I317" s="8" t="s">
        <v>1271</v>
      </c>
      <c r="J317" s="7" t="s">
        <v>1272</v>
      </c>
      <c r="K317" s="7" t="s">
        <v>63</v>
      </c>
      <c r="L317" s="7" t="s">
        <v>97</v>
      </c>
      <c r="M317" s="7" t="s">
        <v>98</v>
      </c>
      <c r="N317" s="9" t="s">
        <v>35</v>
      </c>
      <c r="O317" s="7" t="s">
        <v>99</v>
      </c>
      <c r="P317" s="7" t="s">
        <v>49</v>
      </c>
      <c r="Q317" s="7"/>
      <c r="R317" s="7" t="str" cm="1">
        <f t="array" ref="R317">IF(AND(Q317="",P317&lt;&gt;""),N317,_xlfn.SWITCH(IF(Q317&lt;&gt;"",Q317,O317)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Centers",IF(Q317&lt;&gt;"",Q317,O317)))</f>
        <v>Leiter/in einer Geschäftsstelle</v>
      </c>
      <c r="S317" s="7" t="str">
        <f>IF(N317&lt;&gt;R317,"x","")</f>
        <v/>
      </c>
    </row>
    <row r="318" spans="1:19" x14ac:dyDescent="0.25">
      <c r="A318" s="7" t="s">
        <v>1273</v>
      </c>
      <c r="B318" s="7" t="s">
        <v>20</v>
      </c>
      <c r="C318" s="7" t="s">
        <v>1257</v>
      </c>
      <c r="D318" s="7" t="s">
        <v>1258</v>
      </c>
      <c r="E318" s="7" t="s">
        <v>20</v>
      </c>
      <c r="F318" s="7" t="s">
        <v>20</v>
      </c>
      <c r="G318" s="7" t="s">
        <v>1259</v>
      </c>
      <c r="H318" s="7" t="s">
        <v>20</v>
      </c>
      <c r="I318" s="8" t="s">
        <v>837</v>
      </c>
      <c r="J318" s="7" t="s">
        <v>1274</v>
      </c>
      <c r="K318" s="7" t="s">
        <v>63</v>
      </c>
      <c r="L318" s="7" t="s">
        <v>27</v>
      </c>
      <c r="M318" s="7" t="s">
        <v>28</v>
      </c>
      <c r="N318" s="9" t="s">
        <v>93</v>
      </c>
      <c r="O318" s="7" t="s">
        <v>30</v>
      </c>
      <c r="P318" s="7" t="s">
        <v>49</v>
      </c>
      <c r="Q318" s="7"/>
      <c r="R318" s="7" t="str" cm="1">
        <f t="array" ref="R318">IF(AND(Q318="",P318&lt;&gt;""),N318,_xlfn.SWITCH(IF(Q318&lt;&gt;"",Q318,O318)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Centers",IF(Q318&lt;&gt;"",Q318,O318)))</f>
        <v>Leiter/in einer Hauptgeschäftsstelle</v>
      </c>
      <c r="S318" s="7" t="str">
        <f>IF(N318&lt;&gt;R318,"x","")</f>
        <v/>
      </c>
    </row>
    <row r="319" spans="1:19" hidden="1" x14ac:dyDescent="0.25">
      <c r="A319" s="7" t="s">
        <v>1275</v>
      </c>
      <c r="B319" s="7" t="s">
        <v>20</v>
      </c>
      <c r="C319" s="7" t="s">
        <v>1257</v>
      </c>
      <c r="D319" s="7" t="s">
        <v>1258</v>
      </c>
      <c r="E319" s="7" t="s">
        <v>20</v>
      </c>
      <c r="F319" s="7" t="s">
        <v>20</v>
      </c>
      <c r="G319" s="7" t="s">
        <v>1259</v>
      </c>
      <c r="H319" s="7" t="s">
        <v>20</v>
      </c>
      <c r="I319" s="8" t="s">
        <v>975</v>
      </c>
      <c r="J319" s="7" t="s">
        <v>1276</v>
      </c>
      <c r="K319" s="7" t="s">
        <v>1277</v>
      </c>
      <c r="L319" s="7" t="s">
        <v>64</v>
      </c>
      <c r="M319" s="7" t="s">
        <v>65</v>
      </c>
      <c r="N319" s="9" t="s">
        <v>59</v>
      </c>
      <c r="O319" s="7" t="s">
        <v>67</v>
      </c>
      <c r="P319" s="7" t="s">
        <v>20</v>
      </c>
      <c r="Q319" s="7"/>
      <c r="R319" s="7" t="str" cm="1">
        <f t="array" ref="R319">IF(AND(Q319="",P319&lt;&gt;""),N319,_xlfn.SWITCH(IF(Q319&lt;&gt;"",Q319,O319)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Centers",IF(Q319&lt;&gt;"",Q319,O319)))</f>
        <v>Leiter/in des Service Centers</v>
      </c>
      <c r="S319" s="7" t="str">
        <f>IF(N319&lt;&gt;R319,"x","")</f>
        <v/>
      </c>
    </row>
    <row r="320" spans="1:19" x14ac:dyDescent="0.25">
      <c r="A320" s="7" t="s">
        <v>1278</v>
      </c>
      <c r="B320" s="7" t="s">
        <v>20</v>
      </c>
      <c r="C320" s="7" t="s">
        <v>1257</v>
      </c>
      <c r="D320" s="7" t="s">
        <v>1258</v>
      </c>
      <c r="E320" s="7" t="s">
        <v>20</v>
      </c>
      <c r="F320" s="7" t="s">
        <v>20</v>
      </c>
      <c r="G320" s="7" t="s">
        <v>1259</v>
      </c>
      <c r="H320" s="7" t="s">
        <v>20</v>
      </c>
      <c r="I320" s="8" t="s">
        <v>1279</v>
      </c>
      <c r="J320" s="7" t="s">
        <v>1280</v>
      </c>
      <c r="K320" s="7" t="s">
        <v>1281</v>
      </c>
      <c r="L320" s="7" t="s">
        <v>64</v>
      </c>
      <c r="M320" s="7" t="s">
        <v>65</v>
      </c>
      <c r="N320" s="9" t="s">
        <v>93</v>
      </c>
      <c r="O320" s="7" t="s">
        <v>67</v>
      </c>
      <c r="P320" s="7" t="s">
        <v>20</v>
      </c>
      <c r="Q320" s="7"/>
      <c r="R320" s="7" t="str" cm="1">
        <f t="array" ref="R320">IF(AND(Q320="",P320&lt;&gt;""),N320,_xlfn.SWITCH(IF(Q320&lt;&gt;"",Q320,O320)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Centers",IF(Q320&lt;&gt;"",Q320,O320)))</f>
        <v>Leiter/in des Service Centers</v>
      </c>
      <c r="S320" s="7" t="str">
        <f>IF(N320&lt;&gt;R320,"x","")</f>
        <v>x</v>
      </c>
    </row>
    <row r="321" spans="1:19" hidden="1" x14ac:dyDescent="0.25">
      <c r="A321" s="7" t="s">
        <v>1282</v>
      </c>
      <c r="B321" s="7" t="s">
        <v>20</v>
      </c>
      <c r="C321" s="7" t="s">
        <v>1257</v>
      </c>
      <c r="D321" s="7" t="s">
        <v>1258</v>
      </c>
      <c r="E321" s="7" t="s">
        <v>20</v>
      </c>
      <c r="F321" s="7" t="s">
        <v>20</v>
      </c>
      <c r="G321" s="7" t="s">
        <v>1259</v>
      </c>
      <c r="H321" s="7" t="s">
        <v>20</v>
      </c>
      <c r="I321" s="8" t="s">
        <v>1283</v>
      </c>
      <c r="J321" s="7" t="s">
        <v>1283</v>
      </c>
      <c r="K321" s="7" t="s">
        <v>1284</v>
      </c>
      <c r="L321" s="7" t="s">
        <v>64</v>
      </c>
      <c r="M321" s="7" t="s">
        <v>65</v>
      </c>
      <c r="N321" s="9" t="s">
        <v>59</v>
      </c>
      <c r="O321" s="7" t="s">
        <v>59</v>
      </c>
      <c r="P321" s="7" t="s">
        <v>20</v>
      </c>
      <c r="Q321" s="7"/>
      <c r="R321" s="7" t="str" cm="1">
        <f t="array" ref="R321">IF(AND(Q321="",P321&lt;&gt;""),N321,_xlfn.SWITCH(IF(Q321&lt;&gt;"",Q321,O321)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Centers",IF(Q321&lt;&gt;"",Q321,O321)))</f>
        <v>Leiter/in des Service Centers</v>
      </c>
      <c r="S321" s="7" t="str">
        <f>IF(N321&lt;&gt;R321,"x","")</f>
        <v/>
      </c>
    </row>
    <row r="322" spans="1:19" hidden="1" x14ac:dyDescent="0.25">
      <c r="A322" s="7" t="s">
        <v>1285</v>
      </c>
      <c r="B322" s="7" t="s">
        <v>20</v>
      </c>
      <c r="C322" s="7" t="s">
        <v>1257</v>
      </c>
      <c r="D322" s="7" t="s">
        <v>1258</v>
      </c>
      <c r="E322" s="7" t="s">
        <v>20</v>
      </c>
      <c r="F322" s="7" t="s">
        <v>20</v>
      </c>
      <c r="G322" s="7" t="s">
        <v>1259</v>
      </c>
      <c r="H322" s="7" t="s">
        <v>20</v>
      </c>
      <c r="I322" s="8" t="s">
        <v>1286</v>
      </c>
      <c r="J322" s="7" t="s">
        <v>1287</v>
      </c>
      <c r="K322" s="7" t="s">
        <v>1288</v>
      </c>
      <c r="L322" s="7" t="s">
        <v>97</v>
      </c>
      <c r="M322" s="7" t="s">
        <v>98</v>
      </c>
      <c r="N322" s="9" t="s">
        <v>111</v>
      </c>
      <c r="O322" s="7" t="s">
        <v>99</v>
      </c>
      <c r="P322" s="7" t="s">
        <v>20</v>
      </c>
      <c r="Q322" s="7"/>
      <c r="R322" s="7" t="str" cm="1">
        <f t="array" ref="R322">IF(AND(Q322="",P322&lt;&gt;""),N322,_xlfn.SWITCH(IF(Q322&lt;&gt;"",Q322,O322)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Centers",IF(Q322&lt;&gt;"",Q322,O322)))</f>
        <v>Hauptagent/in</v>
      </c>
      <c r="S322" s="7" t="str">
        <f>IF(N322&lt;&gt;R322,"x","")</f>
        <v/>
      </c>
    </row>
    <row r="323" spans="1:19" hidden="1" x14ac:dyDescent="0.25">
      <c r="A323" s="7" t="s">
        <v>1289</v>
      </c>
      <c r="B323" s="7" t="s">
        <v>20</v>
      </c>
      <c r="C323" s="7" t="s">
        <v>1257</v>
      </c>
      <c r="D323" s="7" t="s">
        <v>1258</v>
      </c>
      <c r="E323" s="7" t="s">
        <v>20</v>
      </c>
      <c r="F323" s="7" t="s">
        <v>20</v>
      </c>
      <c r="G323" s="7" t="s">
        <v>1259</v>
      </c>
      <c r="H323" s="7" t="s">
        <v>20</v>
      </c>
      <c r="I323" s="8" t="s">
        <v>1290</v>
      </c>
      <c r="J323" s="7" t="s">
        <v>1287</v>
      </c>
      <c r="K323" s="7" t="s">
        <v>1291</v>
      </c>
      <c r="L323" s="7" t="s">
        <v>124</v>
      </c>
      <c r="M323" s="7" t="s">
        <v>125</v>
      </c>
      <c r="N323" s="9" t="s">
        <v>149</v>
      </c>
      <c r="O323" s="7" t="s">
        <v>67</v>
      </c>
      <c r="P323" s="7" t="s">
        <v>20</v>
      </c>
      <c r="Q323" s="7"/>
      <c r="R323" s="7" t="str" cm="1">
        <f t="array" ref="R323">IF(AND(Q323="",P323&lt;&gt;""),N323,_xlfn.SWITCH(IF(Q323&lt;&gt;"",Q323,O323)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Centers",IF(Q323&lt;&gt;"",Q323,O323)))</f>
        <v>Leiter/in des Service Centers</v>
      </c>
      <c r="S323" s="7" t="str">
        <f>IF(N323&lt;&gt;R323,"x","")</f>
        <v>x</v>
      </c>
    </row>
    <row r="324" spans="1:19" hidden="1" x14ac:dyDescent="0.25">
      <c r="A324" s="7" t="s">
        <v>1292</v>
      </c>
      <c r="B324" s="7" t="s">
        <v>20</v>
      </c>
      <c r="C324" s="7" t="s">
        <v>1257</v>
      </c>
      <c r="D324" s="7" t="s">
        <v>1258</v>
      </c>
      <c r="E324" s="7" t="s">
        <v>20</v>
      </c>
      <c r="F324" s="7" t="s">
        <v>20</v>
      </c>
      <c r="G324" s="7" t="s">
        <v>1259</v>
      </c>
      <c r="H324" s="7" t="s">
        <v>20</v>
      </c>
      <c r="I324" s="8" t="s">
        <v>1293</v>
      </c>
      <c r="J324" s="7" t="s">
        <v>1294</v>
      </c>
      <c r="K324" s="7" t="s">
        <v>1295</v>
      </c>
      <c r="L324" s="7" t="s">
        <v>97</v>
      </c>
      <c r="M324" s="7" t="s">
        <v>98</v>
      </c>
      <c r="N324" s="9" t="s">
        <v>66</v>
      </c>
      <c r="O324" s="7" t="s">
        <v>99</v>
      </c>
      <c r="P324" s="7" t="s">
        <v>20</v>
      </c>
      <c r="Q324" s="7"/>
      <c r="R324" s="7" t="str" cm="1">
        <f t="array" ref="R324">IF(AND(Q324="",P324&lt;&gt;""),N324,_xlfn.SWITCH(IF(Q324&lt;&gt;"",Q324,O324)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Centers",IF(Q324&lt;&gt;"",Q324,O324)))</f>
        <v>Hauptagent/in</v>
      </c>
      <c r="S324" s="7" t="str">
        <f>IF(N324&lt;&gt;R324,"x","")</f>
        <v>x</v>
      </c>
    </row>
    <row r="325" spans="1:19" hidden="1" x14ac:dyDescent="0.25">
      <c r="A325" s="7" t="s">
        <v>1296</v>
      </c>
      <c r="B325" s="7" t="s">
        <v>20</v>
      </c>
      <c r="C325" s="7" t="s">
        <v>1257</v>
      </c>
      <c r="D325" s="7" t="s">
        <v>1258</v>
      </c>
      <c r="E325" s="7" t="s">
        <v>20</v>
      </c>
      <c r="F325" s="7" t="s">
        <v>20</v>
      </c>
      <c r="G325" s="7" t="s">
        <v>1259</v>
      </c>
      <c r="H325" s="7" t="s">
        <v>20</v>
      </c>
      <c r="I325" s="8" t="s">
        <v>1297</v>
      </c>
      <c r="J325" s="7" t="s">
        <v>1298</v>
      </c>
      <c r="K325" s="7" t="s">
        <v>1299</v>
      </c>
      <c r="L325" s="7" t="s">
        <v>124</v>
      </c>
      <c r="M325" s="7" t="s">
        <v>125</v>
      </c>
      <c r="N325" s="9" t="s">
        <v>59</v>
      </c>
      <c r="O325" s="7" t="s">
        <v>67</v>
      </c>
      <c r="P325" s="7" t="s">
        <v>20</v>
      </c>
      <c r="Q325" s="7"/>
      <c r="R325" s="7" t="str" cm="1">
        <f t="array" ref="R325">IF(AND(Q325="",P325&lt;&gt;""),N325,_xlfn.SWITCH(IF(Q325&lt;&gt;"",Q325,O325)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Centers",IF(Q325&lt;&gt;"",Q325,O325)))</f>
        <v>Leiter/in des Service Centers</v>
      </c>
      <c r="S325" s="7" t="str">
        <f>IF(N325&lt;&gt;R325,"x","")</f>
        <v/>
      </c>
    </row>
    <row r="326" spans="1:19" hidden="1" x14ac:dyDescent="0.25">
      <c r="A326" s="7" t="s">
        <v>1300</v>
      </c>
      <c r="B326" s="7" t="s">
        <v>20</v>
      </c>
      <c r="C326" s="7" t="s">
        <v>1257</v>
      </c>
      <c r="D326" s="7" t="s">
        <v>1258</v>
      </c>
      <c r="E326" s="7" t="s">
        <v>20</v>
      </c>
      <c r="F326" s="7" t="s">
        <v>20</v>
      </c>
      <c r="G326" s="7" t="s">
        <v>1259</v>
      </c>
      <c r="H326" s="7" t="s">
        <v>20</v>
      </c>
      <c r="I326" s="8" t="s">
        <v>1301</v>
      </c>
      <c r="J326" s="7" t="s">
        <v>1302</v>
      </c>
      <c r="K326" s="7" t="s">
        <v>1303</v>
      </c>
      <c r="L326" s="7" t="s">
        <v>27</v>
      </c>
      <c r="M326" s="7" t="s">
        <v>28</v>
      </c>
      <c r="N326" s="9" t="s">
        <v>29</v>
      </c>
      <c r="O326" s="7" t="s">
        <v>30</v>
      </c>
      <c r="P326" s="7" t="s">
        <v>20</v>
      </c>
      <c r="Q326" s="7"/>
      <c r="R326" s="7" t="str" cm="1">
        <f t="array" ref="R326">IF(AND(Q326="",P326&lt;&gt;""),N326,_xlfn.SWITCH(IF(Q326&lt;&gt;"",Q326,O326)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Centers",IF(Q326&lt;&gt;"",Q326,O326)))</f>
        <v>Agenturleiter/in</v>
      </c>
      <c r="S326" s="7" t="str">
        <f>IF(N326&lt;&gt;R326,"x","")</f>
        <v>x</v>
      </c>
    </row>
    <row r="327" spans="1:19" hidden="1" x14ac:dyDescent="0.25">
      <c r="A327" s="7" t="s">
        <v>1304</v>
      </c>
      <c r="B327" s="7" t="s">
        <v>20</v>
      </c>
      <c r="C327" s="7" t="s">
        <v>1257</v>
      </c>
      <c r="D327" s="7" t="s">
        <v>1258</v>
      </c>
      <c r="E327" s="7" t="s">
        <v>20</v>
      </c>
      <c r="F327" s="7" t="s">
        <v>20</v>
      </c>
      <c r="G327" s="7" t="s">
        <v>1259</v>
      </c>
      <c r="H327" s="7" t="s">
        <v>20</v>
      </c>
      <c r="I327" s="8" t="s">
        <v>1194</v>
      </c>
      <c r="J327" s="7" t="s">
        <v>1305</v>
      </c>
      <c r="K327" s="7" t="s">
        <v>1306</v>
      </c>
      <c r="L327" s="7" t="s">
        <v>40</v>
      </c>
      <c r="M327" s="7" t="s">
        <v>41</v>
      </c>
      <c r="N327" s="9" t="s">
        <v>66</v>
      </c>
      <c r="O327" s="7" t="s">
        <v>48</v>
      </c>
      <c r="P327" s="7" t="s">
        <v>20</v>
      </c>
      <c r="Q327" s="7"/>
      <c r="R327" s="7" t="str" cm="1">
        <f t="array" ref="R327">IF(AND(Q327="",P327&lt;&gt;""),N327,_xlfn.SWITCH(IF(Q327&lt;&gt;"",Q327,O327)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Centers",IF(Q327&lt;&gt;"",Q327,O327)))</f>
        <v>Repräsentant/in</v>
      </c>
      <c r="S327" s="7" t="str">
        <f>IF(N327&lt;&gt;R327,"x","")</f>
        <v/>
      </c>
    </row>
    <row r="328" spans="1:19" hidden="1" x14ac:dyDescent="0.25">
      <c r="A328" s="7" t="s">
        <v>1307</v>
      </c>
      <c r="B328" s="7" t="s">
        <v>20</v>
      </c>
      <c r="C328" s="7" t="s">
        <v>1257</v>
      </c>
      <c r="D328" s="7" t="s">
        <v>1258</v>
      </c>
      <c r="E328" s="7" t="s">
        <v>20</v>
      </c>
      <c r="F328" s="7" t="s">
        <v>20</v>
      </c>
      <c r="G328" s="7" t="s">
        <v>1259</v>
      </c>
      <c r="H328" s="7" t="s">
        <v>20</v>
      </c>
      <c r="I328" s="8" t="s">
        <v>1308</v>
      </c>
      <c r="J328" s="7" t="s">
        <v>1309</v>
      </c>
      <c r="K328" s="7" t="s">
        <v>1310</v>
      </c>
      <c r="L328" s="7" t="s">
        <v>97</v>
      </c>
      <c r="M328" s="7" t="s">
        <v>98</v>
      </c>
      <c r="N328" s="9" t="s">
        <v>75</v>
      </c>
      <c r="O328" s="7" t="s">
        <v>99</v>
      </c>
      <c r="P328" s="7" t="s">
        <v>20</v>
      </c>
      <c r="Q328" s="7"/>
      <c r="R328" s="7" t="str" cm="1">
        <f t="array" ref="R328">IF(AND(Q328="",P328&lt;&gt;""),N328,_xlfn.SWITCH(IF(Q328&lt;&gt;"",Q328,O328)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Centers",IF(Q328&lt;&gt;"",Q328,O328)))</f>
        <v>Hauptagent/in</v>
      </c>
      <c r="S328" s="7" t="str">
        <f>IF(N328&lt;&gt;R328,"x","")</f>
        <v>x</v>
      </c>
    </row>
    <row r="329" spans="1:19" hidden="1" x14ac:dyDescent="0.25">
      <c r="A329" s="7" t="s">
        <v>1311</v>
      </c>
      <c r="B329" s="7" t="s">
        <v>20</v>
      </c>
      <c r="C329" s="7" t="s">
        <v>1257</v>
      </c>
      <c r="D329" s="7" t="s">
        <v>1258</v>
      </c>
      <c r="E329" s="7" t="s">
        <v>20</v>
      </c>
      <c r="F329" s="7" t="s">
        <v>20</v>
      </c>
      <c r="G329" s="7" t="s">
        <v>1259</v>
      </c>
      <c r="H329" s="7" t="s">
        <v>20</v>
      </c>
      <c r="I329" s="8" t="s">
        <v>1312</v>
      </c>
      <c r="J329" s="7" t="s">
        <v>1313</v>
      </c>
      <c r="K329" s="7" t="s">
        <v>1314</v>
      </c>
      <c r="L329" s="7" t="s">
        <v>124</v>
      </c>
      <c r="M329" s="7" t="s">
        <v>125</v>
      </c>
      <c r="N329" s="9" t="s">
        <v>149</v>
      </c>
      <c r="O329" s="7" t="s">
        <v>67</v>
      </c>
      <c r="P329" s="7" t="s">
        <v>20</v>
      </c>
      <c r="Q329" s="7"/>
      <c r="R329" s="7" t="str" cm="1">
        <f t="array" ref="R329">IF(AND(Q329="",P329&lt;&gt;""),N329,_xlfn.SWITCH(IF(Q329&lt;&gt;"",Q329,O329)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Centers",IF(Q329&lt;&gt;"",Q329,O329)))</f>
        <v>Leiter/in des Service Centers</v>
      </c>
      <c r="S329" s="7" t="str">
        <f>IF(N329&lt;&gt;R329,"x","")</f>
        <v>x</v>
      </c>
    </row>
    <row r="330" spans="1:19" hidden="1" x14ac:dyDescent="0.25">
      <c r="A330" s="7" t="s">
        <v>1315</v>
      </c>
      <c r="B330" s="7" t="s">
        <v>20</v>
      </c>
      <c r="C330" s="7" t="s">
        <v>1257</v>
      </c>
      <c r="D330" s="7" t="s">
        <v>1258</v>
      </c>
      <c r="E330" s="7" t="s">
        <v>20</v>
      </c>
      <c r="F330" s="7" t="s">
        <v>20</v>
      </c>
      <c r="G330" s="7" t="s">
        <v>1259</v>
      </c>
      <c r="H330" s="7" t="s">
        <v>20</v>
      </c>
      <c r="I330" s="8" t="s">
        <v>1316</v>
      </c>
      <c r="J330" s="7" t="s">
        <v>1317</v>
      </c>
      <c r="K330" s="7" t="s">
        <v>1318</v>
      </c>
      <c r="L330" s="7" t="s">
        <v>64</v>
      </c>
      <c r="M330" s="7" t="s">
        <v>65</v>
      </c>
      <c r="N330" s="9" t="s">
        <v>149</v>
      </c>
      <c r="O330" s="7" t="s">
        <v>67</v>
      </c>
      <c r="P330" s="7" t="s">
        <v>20</v>
      </c>
      <c r="Q330" s="7"/>
      <c r="R330" s="7" t="str" cm="1">
        <f t="array" ref="R330">IF(AND(Q330="",P330&lt;&gt;""),N330,_xlfn.SWITCH(IF(Q330&lt;&gt;"",Q330,O330)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Centers",IF(Q330&lt;&gt;"",Q330,O330)))</f>
        <v>Leiter/in des Service Centers</v>
      </c>
      <c r="S330" s="7" t="str">
        <f>IF(N330&lt;&gt;R330,"x","")</f>
        <v>x</v>
      </c>
    </row>
    <row r="331" spans="1:19" hidden="1" x14ac:dyDescent="0.25">
      <c r="A331" s="7" t="s">
        <v>1319</v>
      </c>
      <c r="B331" s="7" t="s">
        <v>20</v>
      </c>
      <c r="C331" s="7" t="s">
        <v>1257</v>
      </c>
      <c r="D331" s="7" t="s">
        <v>1258</v>
      </c>
      <c r="E331" s="7" t="s">
        <v>20</v>
      </c>
      <c r="F331" s="7" t="s">
        <v>20</v>
      </c>
      <c r="G331" s="7" t="s">
        <v>1259</v>
      </c>
      <c r="H331" s="7" t="s">
        <v>20</v>
      </c>
      <c r="I331" s="8" t="s">
        <v>1320</v>
      </c>
      <c r="J331" s="7" t="s">
        <v>1321</v>
      </c>
      <c r="K331" s="7" t="s">
        <v>1322</v>
      </c>
      <c r="L331" s="7" t="s">
        <v>40</v>
      </c>
      <c r="M331" s="7" t="s">
        <v>41</v>
      </c>
      <c r="N331" s="9" t="s">
        <v>66</v>
      </c>
      <c r="O331" s="7" t="s">
        <v>43</v>
      </c>
      <c r="P331" s="7" t="s">
        <v>20</v>
      </c>
      <c r="Q331" s="7"/>
      <c r="R331" s="7" t="str" cm="1">
        <f t="array" ref="R331">IF(AND(Q331="",P331&lt;&gt;""),N331,_xlfn.SWITCH(IF(Q331&lt;&gt;"",Q331,O331)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Centers",IF(Q331&lt;&gt;"",Q331,O331)))</f>
        <v>Repräsentant/in</v>
      </c>
      <c r="S331" s="7" t="str">
        <f>IF(N331&lt;&gt;R331,"x","")</f>
        <v/>
      </c>
    </row>
    <row r="332" spans="1:19" hidden="1" x14ac:dyDescent="0.25">
      <c r="A332" s="7" t="s">
        <v>1323</v>
      </c>
      <c r="B332" s="7" t="s">
        <v>20</v>
      </c>
      <c r="C332" s="7" t="s">
        <v>1257</v>
      </c>
      <c r="D332" s="7" t="s">
        <v>1258</v>
      </c>
      <c r="E332" s="7" t="s">
        <v>20</v>
      </c>
      <c r="F332" s="7" t="s">
        <v>20</v>
      </c>
      <c r="G332" s="7" t="s">
        <v>1259</v>
      </c>
      <c r="H332" s="7" t="s">
        <v>20</v>
      </c>
      <c r="I332" s="8" t="s">
        <v>1324</v>
      </c>
      <c r="J332" s="7" t="s">
        <v>1324</v>
      </c>
      <c r="K332" s="7" t="s">
        <v>1325</v>
      </c>
      <c r="L332" s="7" t="s">
        <v>124</v>
      </c>
      <c r="M332" s="7" t="s">
        <v>125</v>
      </c>
      <c r="N332" s="9" t="s">
        <v>35</v>
      </c>
      <c r="O332" s="7" t="s">
        <v>59</v>
      </c>
      <c r="P332" s="7" t="s">
        <v>20</v>
      </c>
      <c r="Q332" s="7"/>
      <c r="R332" s="7" t="str" cm="1">
        <f t="array" ref="R332">IF(AND(Q332="",P332&lt;&gt;""),N332,_xlfn.SWITCH(IF(Q332&lt;&gt;"",Q332,O332)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Centers",IF(Q332&lt;&gt;"",Q332,O332)))</f>
        <v>Leiter/in des Service Centers</v>
      </c>
      <c r="S332" s="7" t="str">
        <f>IF(N332&lt;&gt;R332,"x","")</f>
        <v>x</v>
      </c>
    </row>
    <row r="333" spans="1:19" hidden="1" x14ac:dyDescent="0.25">
      <c r="A333" s="7" t="s">
        <v>1326</v>
      </c>
      <c r="B333" s="7" t="s">
        <v>20</v>
      </c>
      <c r="C333" s="7" t="s">
        <v>1257</v>
      </c>
      <c r="D333" s="7" t="s">
        <v>1258</v>
      </c>
      <c r="E333" s="7" t="s">
        <v>20</v>
      </c>
      <c r="F333" s="7" t="s">
        <v>20</v>
      </c>
      <c r="G333" s="7" t="s">
        <v>1259</v>
      </c>
      <c r="H333" s="7" t="s">
        <v>20</v>
      </c>
      <c r="I333" s="8" t="s">
        <v>1327</v>
      </c>
      <c r="J333" s="7" t="s">
        <v>1328</v>
      </c>
      <c r="K333" s="7" t="s">
        <v>1329</v>
      </c>
      <c r="L333" s="7" t="s">
        <v>97</v>
      </c>
      <c r="M333" s="7" t="s">
        <v>98</v>
      </c>
      <c r="N333" s="9" t="s">
        <v>66</v>
      </c>
      <c r="O333" s="7" t="s">
        <v>251</v>
      </c>
      <c r="P333" s="7" t="s">
        <v>20</v>
      </c>
      <c r="Q333" s="7"/>
      <c r="R333" s="7" t="str" cm="1">
        <f t="array" ref="R333">IF(AND(Q333="",P333&lt;&gt;""),N333,_xlfn.SWITCH(IF(Q333&lt;&gt;"",Q333,O333)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Centers",IF(Q333&lt;&gt;"",Q333,O333)))</f>
        <v>Hauptagent/in</v>
      </c>
      <c r="S333" s="7" t="str">
        <f>IF(N333&lt;&gt;R333,"x","")</f>
        <v>x</v>
      </c>
    </row>
    <row r="334" spans="1:19" hidden="1" x14ac:dyDescent="0.25">
      <c r="A334" s="7" t="s">
        <v>1330</v>
      </c>
      <c r="B334" s="7" t="s">
        <v>20</v>
      </c>
      <c r="C334" s="7" t="s">
        <v>1257</v>
      </c>
      <c r="D334" s="7" t="s">
        <v>1258</v>
      </c>
      <c r="E334" s="7" t="s">
        <v>20</v>
      </c>
      <c r="F334" s="7" t="s">
        <v>20</v>
      </c>
      <c r="G334" s="7" t="s">
        <v>1259</v>
      </c>
      <c r="H334" s="7" t="s">
        <v>20</v>
      </c>
      <c r="I334" s="8" t="s">
        <v>1331</v>
      </c>
      <c r="J334" s="7" t="s">
        <v>1332</v>
      </c>
      <c r="K334" s="7" t="s">
        <v>1333</v>
      </c>
      <c r="L334" s="7" t="s">
        <v>64</v>
      </c>
      <c r="M334" s="7" t="s">
        <v>65</v>
      </c>
      <c r="N334" s="9" t="s">
        <v>111</v>
      </c>
      <c r="O334" s="7" t="s">
        <v>510</v>
      </c>
      <c r="P334" s="7" t="s">
        <v>20</v>
      </c>
      <c r="Q334" s="7"/>
      <c r="R334" s="7" t="str" cm="1">
        <f t="array" ref="R334">IF(AND(Q334="",P334&lt;&gt;""),N334,_xlfn.SWITCH(IF(Q334&lt;&gt;"",Q334,O334)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Centers",IF(Q334&lt;&gt;"",Q334,O334)))</f>
        <v>Leiter/in des Service Centers</v>
      </c>
      <c r="S334" s="7" t="str">
        <f>IF(N334&lt;&gt;R334,"x","")</f>
        <v>x</v>
      </c>
    </row>
    <row r="335" spans="1:19" hidden="1" x14ac:dyDescent="0.25">
      <c r="A335" s="7" t="s">
        <v>1334</v>
      </c>
      <c r="B335" s="7" t="s">
        <v>20</v>
      </c>
      <c r="C335" s="7" t="s">
        <v>1257</v>
      </c>
      <c r="D335" s="7" t="s">
        <v>1258</v>
      </c>
      <c r="E335" s="7" t="s">
        <v>20</v>
      </c>
      <c r="F335" s="7" t="s">
        <v>20</v>
      </c>
      <c r="G335" s="7" t="s">
        <v>1259</v>
      </c>
      <c r="H335" s="7" t="s">
        <v>20</v>
      </c>
      <c r="I335" s="8" t="s">
        <v>1220</v>
      </c>
      <c r="J335" s="7" t="s">
        <v>1335</v>
      </c>
      <c r="K335" s="7" t="s">
        <v>1336</v>
      </c>
      <c r="L335" s="7" t="s">
        <v>27</v>
      </c>
      <c r="M335" s="7" t="s">
        <v>28</v>
      </c>
      <c r="N335" s="9" t="s">
        <v>66</v>
      </c>
      <c r="O335" s="7" t="s">
        <v>54</v>
      </c>
      <c r="P335" s="7" t="s">
        <v>20</v>
      </c>
      <c r="Q335" s="7"/>
      <c r="R335" s="7" t="str" cm="1">
        <f t="array" ref="R335">IF(AND(Q335="",P335&lt;&gt;""),N335,_xlfn.SWITCH(IF(Q335&lt;&gt;"",Q335,O335)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Centers",IF(Q335&lt;&gt;"",Q335,O335)))</f>
        <v>Agenturleiter/in</v>
      </c>
      <c r="S335" s="7" t="str">
        <f>IF(N335&lt;&gt;R335,"x","")</f>
        <v>x</v>
      </c>
    </row>
    <row r="336" spans="1:19" hidden="1" x14ac:dyDescent="0.25">
      <c r="A336" s="7" t="s">
        <v>1337</v>
      </c>
      <c r="B336" s="7" t="s">
        <v>20</v>
      </c>
      <c r="C336" s="7" t="s">
        <v>1257</v>
      </c>
      <c r="D336" s="7" t="s">
        <v>1258</v>
      </c>
      <c r="E336" s="7" t="s">
        <v>20</v>
      </c>
      <c r="F336" s="7" t="s">
        <v>20</v>
      </c>
      <c r="G336" s="7" t="s">
        <v>1259</v>
      </c>
      <c r="H336" s="7" t="s">
        <v>20</v>
      </c>
      <c r="I336" s="8" t="s">
        <v>1338</v>
      </c>
      <c r="J336" s="7" t="s">
        <v>1339</v>
      </c>
      <c r="K336" s="7" t="s">
        <v>1340</v>
      </c>
      <c r="L336" s="7" t="s">
        <v>97</v>
      </c>
      <c r="M336" s="7" t="s">
        <v>98</v>
      </c>
      <c r="N336" s="9" t="s">
        <v>66</v>
      </c>
      <c r="O336" s="7" t="s">
        <v>99</v>
      </c>
      <c r="P336" s="7" t="s">
        <v>20</v>
      </c>
      <c r="Q336" s="7"/>
      <c r="R336" s="7" t="str" cm="1">
        <f t="array" ref="R336">IF(AND(Q336="",P336&lt;&gt;""),N336,_xlfn.SWITCH(IF(Q336&lt;&gt;"",Q336,O336)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Centers",IF(Q336&lt;&gt;"",Q336,O336)))</f>
        <v>Hauptagent/in</v>
      </c>
      <c r="S336" s="7" t="str">
        <f>IF(N336&lt;&gt;R336,"x","")</f>
        <v>x</v>
      </c>
    </row>
    <row r="337" spans="1:19" hidden="1" x14ac:dyDescent="0.25">
      <c r="A337" s="7" t="s">
        <v>1341</v>
      </c>
      <c r="B337" s="7" t="s">
        <v>20</v>
      </c>
      <c r="C337" s="7" t="s">
        <v>1257</v>
      </c>
      <c r="D337" s="7" t="s">
        <v>1258</v>
      </c>
      <c r="E337" s="7" t="s">
        <v>20</v>
      </c>
      <c r="F337" s="7" t="s">
        <v>20</v>
      </c>
      <c r="G337" s="7" t="s">
        <v>1259</v>
      </c>
      <c r="H337" s="7" t="s">
        <v>20</v>
      </c>
      <c r="I337" s="8" t="s">
        <v>1342</v>
      </c>
      <c r="J337" s="7" t="s">
        <v>1342</v>
      </c>
      <c r="K337" s="7" t="s">
        <v>1343</v>
      </c>
      <c r="L337" s="7" t="s">
        <v>27</v>
      </c>
      <c r="M337" s="7" t="s">
        <v>28</v>
      </c>
      <c r="N337" s="9" t="s">
        <v>20</v>
      </c>
      <c r="O337" s="7" t="s">
        <v>238</v>
      </c>
      <c r="P337" s="7" t="s">
        <v>20</v>
      </c>
      <c r="Q337" s="7"/>
      <c r="R337" s="7" t="str" cm="1">
        <f t="array" ref="R337">IF(AND(Q337="",P337&lt;&gt;""),N337,_xlfn.SWITCH(IF(Q337&lt;&gt;"",Q337,O337)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Centers",IF(Q337&lt;&gt;"",Q337,O337)))</f>
        <v>Agenturleiter/in</v>
      </c>
      <c r="S337" s="7" t="str">
        <f>IF(N337&lt;&gt;R337,"x","")</f>
        <v>x</v>
      </c>
    </row>
    <row r="338" spans="1:19" hidden="1" x14ac:dyDescent="0.25">
      <c r="A338" s="7" t="s">
        <v>1344</v>
      </c>
      <c r="B338" s="7" t="s">
        <v>20</v>
      </c>
      <c r="C338" s="7" t="s">
        <v>1257</v>
      </c>
      <c r="D338" s="7" t="s">
        <v>1258</v>
      </c>
      <c r="E338" s="7" t="s">
        <v>20</v>
      </c>
      <c r="F338" s="7" t="s">
        <v>20</v>
      </c>
      <c r="G338" s="7" t="s">
        <v>1259</v>
      </c>
      <c r="H338" s="7" t="s">
        <v>20</v>
      </c>
      <c r="I338" s="8" t="s">
        <v>425</v>
      </c>
      <c r="J338" s="7" t="s">
        <v>1345</v>
      </c>
      <c r="K338" s="7" t="s">
        <v>1346</v>
      </c>
      <c r="L338" s="7" t="s">
        <v>27</v>
      </c>
      <c r="M338" s="7" t="s">
        <v>28</v>
      </c>
      <c r="N338" s="9" t="s">
        <v>111</v>
      </c>
      <c r="O338" s="7" t="s">
        <v>30</v>
      </c>
      <c r="P338" s="7" t="s">
        <v>20</v>
      </c>
      <c r="Q338" s="7"/>
      <c r="R338" s="7" t="str" cm="1">
        <f t="array" ref="R338">IF(AND(Q338="",P338&lt;&gt;""),N338,_xlfn.SWITCH(IF(Q338&lt;&gt;"",Q338,O338)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Centers",IF(Q338&lt;&gt;"",Q338,O338)))</f>
        <v>Agenturleiter/in</v>
      </c>
      <c r="S338" s="7" t="str">
        <f>IF(N338&lt;&gt;R338,"x","")</f>
        <v>x</v>
      </c>
    </row>
    <row r="339" spans="1:19" hidden="1" x14ac:dyDescent="0.25">
      <c r="A339" s="7" t="s">
        <v>1347</v>
      </c>
      <c r="B339" s="7" t="s">
        <v>20</v>
      </c>
      <c r="C339" s="7" t="s">
        <v>1257</v>
      </c>
      <c r="D339" s="7" t="s">
        <v>1258</v>
      </c>
      <c r="E339" s="7" t="s">
        <v>20</v>
      </c>
      <c r="F339" s="7" t="s">
        <v>20</v>
      </c>
      <c r="G339" s="7" t="s">
        <v>1259</v>
      </c>
      <c r="H339" s="7" t="s">
        <v>20</v>
      </c>
      <c r="I339" s="8" t="s">
        <v>1348</v>
      </c>
      <c r="J339" s="7" t="s">
        <v>1349</v>
      </c>
      <c r="K339" s="7" t="s">
        <v>1350</v>
      </c>
      <c r="L339" s="7" t="s">
        <v>27</v>
      </c>
      <c r="M339" s="7" t="s">
        <v>28</v>
      </c>
      <c r="N339" s="9" t="s">
        <v>111</v>
      </c>
      <c r="O339" s="7" t="s">
        <v>54</v>
      </c>
      <c r="P339" s="7" t="s">
        <v>20</v>
      </c>
      <c r="Q339" s="7"/>
      <c r="R339" s="7" t="str" cm="1">
        <f t="array" ref="R339">IF(AND(Q339="",P339&lt;&gt;""),N339,_xlfn.SWITCH(IF(Q339&lt;&gt;"",Q339,O339)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Centers",IF(Q339&lt;&gt;"",Q339,O339)))</f>
        <v>Agenturleiter/in</v>
      </c>
      <c r="S339" s="7" t="str">
        <f>IF(N339&lt;&gt;R339,"x","")</f>
        <v>x</v>
      </c>
    </row>
    <row r="340" spans="1:19" hidden="1" x14ac:dyDescent="0.25">
      <c r="A340" s="7" t="s">
        <v>1351</v>
      </c>
      <c r="B340" s="7" t="s">
        <v>20</v>
      </c>
      <c r="C340" s="7" t="s">
        <v>1257</v>
      </c>
      <c r="D340" s="7" t="s">
        <v>1258</v>
      </c>
      <c r="E340" s="7" t="s">
        <v>20</v>
      </c>
      <c r="F340" s="7" t="s">
        <v>20</v>
      </c>
      <c r="G340" s="7" t="s">
        <v>1259</v>
      </c>
      <c r="H340" s="7" t="s">
        <v>20</v>
      </c>
      <c r="I340" s="8" t="s">
        <v>1352</v>
      </c>
      <c r="J340" s="7" t="s">
        <v>1353</v>
      </c>
      <c r="K340" s="7" t="s">
        <v>1354</v>
      </c>
      <c r="L340" s="7" t="s">
        <v>64</v>
      </c>
      <c r="M340" s="7" t="s">
        <v>65</v>
      </c>
      <c r="N340" s="9" t="s">
        <v>66</v>
      </c>
      <c r="O340" s="7" t="s">
        <v>67</v>
      </c>
      <c r="P340" s="7" t="s">
        <v>20</v>
      </c>
      <c r="Q340" s="7"/>
      <c r="R340" s="7" t="str" cm="1">
        <f t="array" ref="R340">IF(AND(Q340="",P340&lt;&gt;""),N340,_xlfn.SWITCH(IF(Q340&lt;&gt;"",Q340,O340)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Centers",IF(Q340&lt;&gt;"",Q340,O340)))</f>
        <v>Leiter/in des Service Centers</v>
      </c>
      <c r="S340" s="7" t="str">
        <f>IF(N340&lt;&gt;R340,"x","")</f>
        <v>x</v>
      </c>
    </row>
    <row r="341" spans="1:19" hidden="1" x14ac:dyDescent="0.25">
      <c r="A341" s="7" t="s">
        <v>1355</v>
      </c>
      <c r="B341" s="7" t="s">
        <v>20</v>
      </c>
      <c r="C341" s="7" t="s">
        <v>1257</v>
      </c>
      <c r="D341" s="7" t="s">
        <v>1258</v>
      </c>
      <c r="E341" s="7" t="s">
        <v>20</v>
      </c>
      <c r="F341" s="7" t="s">
        <v>20</v>
      </c>
      <c r="G341" s="7" t="s">
        <v>1259</v>
      </c>
      <c r="H341" s="7" t="s">
        <v>20</v>
      </c>
      <c r="I341" s="8" t="s">
        <v>1356</v>
      </c>
      <c r="J341" s="7" t="s">
        <v>1357</v>
      </c>
      <c r="K341" s="7" t="s">
        <v>1358</v>
      </c>
      <c r="L341" s="7" t="s">
        <v>97</v>
      </c>
      <c r="M341" s="7" t="s">
        <v>98</v>
      </c>
      <c r="N341" s="9" t="s">
        <v>80</v>
      </c>
      <c r="O341" s="7" t="s">
        <v>99</v>
      </c>
      <c r="P341" s="7" t="s">
        <v>20</v>
      </c>
      <c r="Q341" s="7"/>
      <c r="R341" s="7" t="str" cm="1">
        <f t="array" ref="R341">IF(AND(Q341="",P341&lt;&gt;""),N341,_xlfn.SWITCH(IF(Q341&lt;&gt;"",Q341,O341)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Centers",IF(Q341&lt;&gt;"",Q341,O341)))</f>
        <v>Hauptagent/in</v>
      </c>
      <c r="S341" s="7" t="str">
        <f>IF(N341&lt;&gt;R341,"x","")</f>
        <v>x</v>
      </c>
    </row>
    <row r="342" spans="1:19" hidden="1" x14ac:dyDescent="0.25">
      <c r="A342" s="7" t="s">
        <v>1359</v>
      </c>
      <c r="B342" s="7" t="s">
        <v>20</v>
      </c>
      <c r="C342" s="7" t="s">
        <v>1257</v>
      </c>
      <c r="D342" s="7" t="s">
        <v>1258</v>
      </c>
      <c r="E342" s="7" t="s">
        <v>20</v>
      </c>
      <c r="F342" s="7" t="s">
        <v>20</v>
      </c>
      <c r="G342" s="7" t="s">
        <v>1259</v>
      </c>
      <c r="H342" s="7" t="s">
        <v>20</v>
      </c>
      <c r="I342" s="8" t="s">
        <v>1360</v>
      </c>
      <c r="J342" s="7" t="s">
        <v>1361</v>
      </c>
      <c r="K342" s="7" t="s">
        <v>1362</v>
      </c>
      <c r="L342" s="7" t="s">
        <v>64</v>
      </c>
      <c r="M342" s="7" t="s">
        <v>65</v>
      </c>
      <c r="N342" s="9" t="s">
        <v>59</v>
      </c>
      <c r="O342" s="7" t="s">
        <v>510</v>
      </c>
      <c r="P342" s="7" t="s">
        <v>20</v>
      </c>
      <c r="Q342" s="7"/>
      <c r="R342" s="7" t="str" cm="1">
        <f t="array" ref="R342">IF(AND(Q342="",P342&lt;&gt;""),N342,_xlfn.SWITCH(IF(Q342&lt;&gt;"",Q342,O342)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Centers",IF(Q342&lt;&gt;"",Q342,O342)))</f>
        <v>Leiter/in des Service Centers</v>
      </c>
      <c r="S342" s="7" t="str">
        <f>IF(N342&lt;&gt;R342,"x","")</f>
        <v/>
      </c>
    </row>
    <row r="343" spans="1:19" hidden="1" x14ac:dyDescent="0.25">
      <c r="A343" s="7" t="s">
        <v>1363</v>
      </c>
      <c r="B343" s="7" t="s">
        <v>20</v>
      </c>
      <c r="C343" s="7" t="s">
        <v>1257</v>
      </c>
      <c r="D343" s="7" t="s">
        <v>1258</v>
      </c>
      <c r="E343" s="7" t="s">
        <v>20</v>
      </c>
      <c r="F343" s="7" t="s">
        <v>20</v>
      </c>
      <c r="G343" s="7" t="s">
        <v>1259</v>
      </c>
      <c r="H343" s="7" t="s">
        <v>20</v>
      </c>
      <c r="I343" s="8" t="s">
        <v>1364</v>
      </c>
      <c r="J343" s="7" t="s">
        <v>1365</v>
      </c>
      <c r="K343" s="7" t="s">
        <v>1366</v>
      </c>
      <c r="L343" s="7" t="s">
        <v>40</v>
      </c>
      <c r="M343" s="7" t="s">
        <v>41</v>
      </c>
      <c r="N343" s="9" t="s">
        <v>66</v>
      </c>
      <c r="O343" s="7" t="s">
        <v>88</v>
      </c>
      <c r="P343" s="7" t="s">
        <v>20</v>
      </c>
      <c r="Q343" s="7"/>
      <c r="R343" s="7" t="str" cm="1">
        <f t="array" ref="R343">IF(AND(Q343="",P343&lt;&gt;""),N343,_xlfn.SWITCH(IF(Q343&lt;&gt;"",Q343,O343)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Centers",IF(Q343&lt;&gt;"",Q343,O343)))</f>
        <v>Kundenberater/in</v>
      </c>
      <c r="S343" s="7" t="str">
        <f>IF(N343&lt;&gt;R343,"x","")</f>
        <v>x</v>
      </c>
    </row>
    <row r="344" spans="1:19" hidden="1" x14ac:dyDescent="0.25">
      <c r="A344" s="7" t="s">
        <v>1367</v>
      </c>
      <c r="B344" s="7" t="s">
        <v>20</v>
      </c>
      <c r="C344" s="7" t="s">
        <v>1257</v>
      </c>
      <c r="D344" s="7" t="s">
        <v>1258</v>
      </c>
      <c r="E344" s="7" t="s">
        <v>20</v>
      </c>
      <c r="F344" s="7" t="s">
        <v>20</v>
      </c>
      <c r="G344" s="7" t="s">
        <v>1259</v>
      </c>
      <c r="H344" s="7" t="s">
        <v>20</v>
      </c>
      <c r="I344" s="8" t="s">
        <v>1368</v>
      </c>
      <c r="J344" s="7" t="s">
        <v>1357</v>
      </c>
      <c r="K344" s="7" t="s">
        <v>1369</v>
      </c>
      <c r="L344" s="7" t="s">
        <v>40</v>
      </c>
      <c r="M344" s="7" t="s">
        <v>41</v>
      </c>
      <c r="N344" s="9" t="s">
        <v>75</v>
      </c>
      <c r="O344" s="7" t="s">
        <v>88</v>
      </c>
      <c r="P344" s="7" t="s">
        <v>20</v>
      </c>
      <c r="Q344" s="7"/>
      <c r="R344" s="7" t="str" cm="1">
        <f t="array" ref="R344">IF(AND(Q344="",P344&lt;&gt;""),N344,_xlfn.SWITCH(IF(Q344&lt;&gt;"",Q344,O344)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Centers",IF(Q344&lt;&gt;"",Q344,O344)))</f>
        <v>Kundenberater/in</v>
      </c>
      <c r="S344" s="7" t="str">
        <f>IF(N344&lt;&gt;R344,"x","")</f>
        <v>x</v>
      </c>
    </row>
    <row r="345" spans="1:19" hidden="1" x14ac:dyDescent="0.25">
      <c r="A345" s="7" t="s">
        <v>1370</v>
      </c>
      <c r="B345" s="7" t="s">
        <v>20</v>
      </c>
      <c r="C345" s="7" t="s">
        <v>1257</v>
      </c>
      <c r="D345" s="7" t="s">
        <v>1258</v>
      </c>
      <c r="E345" s="7" t="s">
        <v>20</v>
      </c>
      <c r="F345" s="7" t="s">
        <v>20</v>
      </c>
      <c r="G345" s="7" t="s">
        <v>1259</v>
      </c>
      <c r="H345" s="7" t="s">
        <v>20</v>
      </c>
      <c r="I345" s="8" t="s">
        <v>1371</v>
      </c>
      <c r="J345" s="7" t="s">
        <v>1372</v>
      </c>
      <c r="K345" s="7" t="s">
        <v>1373</v>
      </c>
      <c r="L345" s="7" t="s">
        <v>40</v>
      </c>
      <c r="M345" s="7" t="s">
        <v>41</v>
      </c>
      <c r="N345" s="9" t="s">
        <v>75</v>
      </c>
      <c r="O345" s="7" t="s">
        <v>88</v>
      </c>
      <c r="P345" s="7" t="s">
        <v>20</v>
      </c>
      <c r="Q345" s="7"/>
      <c r="R345" s="7" t="str" cm="1">
        <f t="array" ref="R345">IF(AND(Q345="",P345&lt;&gt;""),N345,_xlfn.SWITCH(IF(Q345&lt;&gt;"",Q345,O345)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Centers",IF(Q345&lt;&gt;"",Q345,O345)))</f>
        <v>Kundenberater/in</v>
      </c>
      <c r="S345" s="7" t="str">
        <f>IF(N345&lt;&gt;R345,"x","")</f>
        <v>x</v>
      </c>
    </row>
    <row r="346" spans="1:19" hidden="1" x14ac:dyDescent="0.25">
      <c r="A346" s="7" t="s">
        <v>1374</v>
      </c>
      <c r="B346" s="7" t="s">
        <v>20</v>
      </c>
      <c r="C346" s="7" t="s">
        <v>1257</v>
      </c>
      <c r="D346" s="7" t="s">
        <v>1258</v>
      </c>
      <c r="E346" s="7" t="s">
        <v>20</v>
      </c>
      <c r="F346" s="7" t="s">
        <v>20</v>
      </c>
      <c r="G346" s="7" t="s">
        <v>1259</v>
      </c>
      <c r="H346" s="7" t="s">
        <v>20</v>
      </c>
      <c r="I346" s="8" t="s">
        <v>1375</v>
      </c>
      <c r="J346" s="7" t="s">
        <v>1376</v>
      </c>
      <c r="K346" s="7" t="s">
        <v>1377</v>
      </c>
      <c r="L346" s="7" t="s">
        <v>40</v>
      </c>
      <c r="M346" s="7" t="s">
        <v>41</v>
      </c>
      <c r="N346" s="9" t="s">
        <v>75</v>
      </c>
      <c r="O346" s="7" t="s">
        <v>88</v>
      </c>
      <c r="P346" s="7" t="s">
        <v>20</v>
      </c>
      <c r="Q346" s="7"/>
      <c r="R346" s="7" t="str" cm="1">
        <f t="array" ref="R346">IF(AND(Q346="",P346&lt;&gt;""),N346,_xlfn.SWITCH(IF(Q346&lt;&gt;"",Q346,O346)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Centers",IF(Q346&lt;&gt;"",Q346,O346)))</f>
        <v>Kundenberater/in</v>
      </c>
      <c r="S346" s="7" t="str">
        <f>IF(N346&lt;&gt;R346,"x","")</f>
        <v>x</v>
      </c>
    </row>
    <row r="347" spans="1:19" hidden="1" x14ac:dyDescent="0.25">
      <c r="A347" s="7" t="s">
        <v>1378</v>
      </c>
      <c r="B347" s="7" t="s">
        <v>20</v>
      </c>
      <c r="C347" s="7" t="s">
        <v>1257</v>
      </c>
      <c r="D347" s="7" t="s">
        <v>1258</v>
      </c>
      <c r="E347" s="7" t="s">
        <v>20</v>
      </c>
      <c r="F347" s="7" t="s">
        <v>20</v>
      </c>
      <c r="G347" s="7" t="s">
        <v>1259</v>
      </c>
      <c r="H347" s="7" t="s">
        <v>20</v>
      </c>
      <c r="I347" s="8" t="s">
        <v>1379</v>
      </c>
      <c r="J347" s="7" t="s">
        <v>1380</v>
      </c>
      <c r="K347" s="7" t="s">
        <v>1381</v>
      </c>
      <c r="L347" s="7" t="s">
        <v>40</v>
      </c>
      <c r="M347" s="7" t="s">
        <v>41</v>
      </c>
      <c r="N347" s="9" t="s">
        <v>75</v>
      </c>
      <c r="O347" s="7" t="s">
        <v>88</v>
      </c>
      <c r="P347" s="7" t="s">
        <v>20</v>
      </c>
      <c r="Q347" s="7"/>
      <c r="R347" s="7" t="str" cm="1">
        <f t="array" ref="R347">IF(AND(Q347="",P347&lt;&gt;""),N347,_xlfn.SWITCH(IF(Q347&lt;&gt;"",Q347,O347)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Centers",IF(Q347&lt;&gt;"",Q347,O347)))</f>
        <v>Kundenberater/in</v>
      </c>
      <c r="S347" s="7" t="str">
        <f>IF(N347&lt;&gt;R347,"x","")</f>
        <v>x</v>
      </c>
    </row>
    <row r="348" spans="1:19" hidden="1" x14ac:dyDescent="0.25">
      <c r="A348" s="7" t="s">
        <v>1382</v>
      </c>
      <c r="B348" s="7" t="s">
        <v>20</v>
      </c>
      <c r="C348" s="7" t="s">
        <v>1257</v>
      </c>
      <c r="D348" s="7" t="s">
        <v>1258</v>
      </c>
      <c r="E348" s="7" t="s">
        <v>20</v>
      </c>
      <c r="F348" s="7" t="s">
        <v>20</v>
      </c>
      <c r="G348" s="7" t="s">
        <v>1259</v>
      </c>
      <c r="H348" s="7" t="s">
        <v>20</v>
      </c>
      <c r="I348" s="8" t="s">
        <v>1383</v>
      </c>
      <c r="J348" s="7" t="s">
        <v>1384</v>
      </c>
      <c r="K348" s="7" t="s">
        <v>1385</v>
      </c>
      <c r="L348" s="7" t="s">
        <v>27</v>
      </c>
      <c r="M348" s="7" t="s">
        <v>28</v>
      </c>
      <c r="N348" s="9" t="s">
        <v>334</v>
      </c>
      <c r="O348" s="7" t="s">
        <v>54</v>
      </c>
      <c r="P348" s="7" t="s">
        <v>20</v>
      </c>
      <c r="Q348" s="7"/>
      <c r="R348" s="7" t="str" cm="1">
        <f t="array" ref="R348">IF(AND(Q348="",P348&lt;&gt;""),N348,_xlfn.SWITCH(IF(Q348&lt;&gt;"",Q348,O348)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Centers",IF(Q348&lt;&gt;"",Q348,O348)))</f>
        <v>Agenturleiter/in</v>
      </c>
      <c r="S348" s="7" t="str">
        <f>IF(N348&lt;&gt;R348,"x","")</f>
        <v>x</v>
      </c>
    </row>
    <row r="349" spans="1:19" hidden="1" x14ac:dyDescent="0.25">
      <c r="A349" s="7" t="s">
        <v>1386</v>
      </c>
      <c r="B349" s="7" t="s">
        <v>20</v>
      </c>
      <c r="C349" s="7" t="s">
        <v>1257</v>
      </c>
      <c r="D349" s="7" t="s">
        <v>1258</v>
      </c>
      <c r="E349" s="7" t="s">
        <v>20</v>
      </c>
      <c r="F349" s="7" t="s">
        <v>20</v>
      </c>
      <c r="G349" s="7" t="s">
        <v>1259</v>
      </c>
      <c r="H349" s="7" t="s">
        <v>20</v>
      </c>
      <c r="I349" s="8" t="s">
        <v>1387</v>
      </c>
      <c r="J349" s="7" t="s">
        <v>1388</v>
      </c>
      <c r="K349" s="7" t="s">
        <v>63</v>
      </c>
      <c r="L349" s="7" t="s">
        <v>97</v>
      </c>
      <c r="M349" s="7" t="s">
        <v>98</v>
      </c>
      <c r="N349" s="9" t="s">
        <v>149</v>
      </c>
      <c r="O349" s="7" t="s">
        <v>99</v>
      </c>
      <c r="P349" s="7" t="s">
        <v>49</v>
      </c>
      <c r="Q349" s="7"/>
      <c r="R349" s="7" t="str" cm="1">
        <f t="array" ref="R349">IF(AND(Q349="",P349&lt;&gt;""),N349,_xlfn.SWITCH(IF(Q349&lt;&gt;"",Q349,O349)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Centers",IF(Q349&lt;&gt;"",Q349,O349)))</f>
        <v>Generalagent</v>
      </c>
      <c r="S349" s="7" t="str">
        <f>IF(N349&lt;&gt;R349,"x","")</f>
        <v/>
      </c>
    </row>
    <row r="350" spans="1:19" hidden="1" x14ac:dyDescent="0.25">
      <c r="A350" s="7" t="s">
        <v>1389</v>
      </c>
      <c r="B350" s="7" t="s">
        <v>20</v>
      </c>
      <c r="C350" s="7" t="s">
        <v>1257</v>
      </c>
      <c r="D350" s="7" t="s">
        <v>1258</v>
      </c>
      <c r="E350" s="7" t="s">
        <v>20</v>
      </c>
      <c r="F350" s="7" t="s">
        <v>20</v>
      </c>
      <c r="G350" s="7" t="s">
        <v>1259</v>
      </c>
      <c r="H350" s="7" t="s">
        <v>20</v>
      </c>
      <c r="I350" s="8" t="s">
        <v>163</v>
      </c>
      <c r="J350" s="7" t="s">
        <v>856</v>
      </c>
      <c r="K350" s="7" t="s">
        <v>1390</v>
      </c>
      <c r="L350" s="7" t="s">
        <v>27</v>
      </c>
      <c r="M350" s="7" t="s">
        <v>28</v>
      </c>
      <c r="N350" s="9" t="s">
        <v>29</v>
      </c>
      <c r="O350" s="7" t="s">
        <v>30</v>
      </c>
      <c r="P350" s="7" t="s">
        <v>20</v>
      </c>
      <c r="Q350" s="7"/>
      <c r="R350" s="7" t="str" cm="1">
        <f t="array" ref="R350">IF(AND(Q350="",P350&lt;&gt;""),N350,_xlfn.SWITCH(IF(Q350&lt;&gt;"",Q350,O350)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Centers",IF(Q350&lt;&gt;"",Q350,O350)))</f>
        <v>Agenturleiter/in</v>
      </c>
      <c r="S350" s="7" t="str">
        <f>IF(N350&lt;&gt;R350,"x","")</f>
        <v>x</v>
      </c>
    </row>
    <row r="351" spans="1:19" hidden="1" x14ac:dyDescent="0.25">
      <c r="A351" s="7" t="s">
        <v>1391</v>
      </c>
      <c r="B351" s="7" t="s">
        <v>20</v>
      </c>
      <c r="C351" s="7" t="s">
        <v>1257</v>
      </c>
      <c r="D351" s="7" t="s">
        <v>1258</v>
      </c>
      <c r="E351" s="7" t="s">
        <v>20</v>
      </c>
      <c r="F351" s="7" t="s">
        <v>20</v>
      </c>
      <c r="G351" s="7" t="s">
        <v>1259</v>
      </c>
      <c r="H351" s="7" t="s">
        <v>20</v>
      </c>
      <c r="I351" s="8" t="s">
        <v>1392</v>
      </c>
      <c r="J351" s="7" t="s">
        <v>1392</v>
      </c>
      <c r="K351" s="7" t="s">
        <v>63</v>
      </c>
      <c r="L351" s="7" t="s">
        <v>27</v>
      </c>
      <c r="M351" s="7" t="s">
        <v>28</v>
      </c>
      <c r="N351" s="9" t="s">
        <v>59</v>
      </c>
      <c r="O351" s="7" t="s">
        <v>238</v>
      </c>
      <c r="P351" s="7" t="s">
        <v>49</v>
      </c>
      <c r="Q351" s="7"/>
      <c r="R351" s="7" t="str" cm="1">
        <f t="array" ref="R351">IF(AND(Q351="",P351&lt;&gt;""),N351,_xlfn.SWITCH(IF(Q351&lt;&gt;"",Q351,O351)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Centers",IF(Q351&lt;&gt;"",Q351,O351)))</f>
        <v>Leiter/in des Service Centers</v>
      </c>
      <c r="S351" s="7" t="str">
        <f>IF(N351&lt;&gt;R351,"x","")</f>
        <v/>
      </c>
    </row>
    <row r="352" spans="1:19" hidden="1" x14ac:dyDescent="0.25">
      <c r="A352" s="7" t="s">
        <v>1393</v>
      </c>
      <c r="B352" s="7" t="s">
        <v>20</v>
      </c>
      <c r="C352" s="7" t="s">
        <v>1257</v>
      </c>
      <c r="D352" s="7" t="s">
        <v>1258</v>
      </c>
      <c r="E352" s="7" t="s">
        <v>20</v>
      </c>
      <c r="F352" s="7" t="s">
        <v>20</v>
      </c>
      <c r="G352" s="7" t="s">
        <v>1259</v>
      </c>
      <c r="H352" s="7" t="s">
        <v>20</v>
      </c>
      <c r="I352" s="8" t="s">
        <v>992</v>
      </c>
      <c r="J352" s="7" t="s">
        <v>1394</v>
      </c>
      <c r="K352" s="7" t="s">
        <v>1395</v>
      </c>
      <c r="L352" s="7" t="s">
        <v>27</v>
      </c>
      <c r="M352" s="7" t="s">
        <v>28</v>
      </c>
      <c r="N352" s="9" t="s">
        <v>149</v>
      </c>
      <c r="O352" s="7" t="s">
        <v>30</v>
      </c>
      <c r="P352" s="7" t="s">
        <v>20</v>
      </c>
      <c r="Q352" s="7"/>
      <c r="R352" s="7" t="str" cm="1">
        <f t="array" ref="R352">IF(AND(Q352="",P352&lt;&gt;""),N352,_xlfn.SWITCH(IF(Q352&lt;&gt;"",Q352,O352)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Centers",IF(Q352&lt;&gt;"",Q352,O352)))</f>
        <v>Agenturleiter/in</v>
      </c>
      <c r="S352" s="7" t="str">
        <f>IF(N352&lt;&gt;R352,"x","")</f>
        <v>x</v>
      </c>
    </row>
    <row r="353" spans="1:19" hidden="1" x14ac:dyDescent="0.25">
      <c r="A353" s="7" t="s">
        <v>1396</v>
      </c>
      <c r="B353" s="7" t="s">
        <v>20</v>
      </c>
      <c r="C353" s="7" t="s">
        <v>1257</v>
      </c>
      <c r="D353" s="7" t="s">
        <v>1258</v>
      </c>
      <c r="E353" s="7" t="s">
        <v>20</v>
      </c>
      <c r="F353" s="7" t="s">
        <v>20</v>
      </c>
      <c r="G353" s="7" t="s">
        <v>1259</v>
      </c>
      <c r="H353" s="7" t="s">
        <v>20</v>
      </c>
      <c r="I353" s="8" t="s">
        <v>1397</v>
      </c>
      <c r="J353" s="7" t="s">
        <v>1398</v>
      </c>
      <c r="K353" s="7" t="s">
        <v>1399</v>
      </c>
      <c r="L353" s="7" t="s">
        <v>40</v>
      </c>
      <c r="M353" s="7" t="s">
        <v>41</v>
      </c>
      <c r="N353" s="9" t="s">
        <v>75</v>
      </c>
      <c r="O353" s="7" t="s">
        <v>88</v>
      </c>
      <c r="P353" s="7" t="s">
        <v>20</v>
      </c>
      <c r="Q353" s="7"/>
      <c r="R353" s="7" t="str" cm="1">
        <f t="array" ref="R353">IF(AND(Q353="",P353&lt;&gt;""),N353,_xlfn.SWITCH(IF(Q353&lt;&gt;"",Q353,O353)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Centers",IF(Q353&lt;&gt;"",Q353,O353)))</f>
        <v>Kundenberater/in</v>
      </c>
      <c r="S353" s="7" t="str">
        <f>IF(N353&lt;&gt;R353,"x","")</f>
        <v>x</v>
      </c>
    </row>
    <row r="354" spans="1:19" hidden="1" x14ac:dyDescent="0.25">
      <c r="A354" s="7" t="s">
        <v>1400</v>
      </c>
      <c r="B354" s="7" t="s">
        <v>20</v>
      </c>
      <c r="C354" s="7" t="s">
        <v>1257</v>
      </c>
      <c r="D354" s="7" t="s">
        <v>1258</v>
      </c>
      <c r="E354" s="7" t="s">
        <v>20</v>
      </c>
      <c r="F354" s="7" t="s">
        <v>20</v>
      </c>
      <c r="G354" s="7" t="s">
        <v>1259</v>
      </c>
      <c r="H354" s="7" t="s">
        <v>20</v>
      </c>
      <c r="I354" s="8" t="s">
        <v>1401</v>
      </c>
      <c r="J354" s="7" t="s">
        <v>1402</v>
      </c>
      <c r="K354" s="7" t="s">
        <v>1403</v>
      </c>
      <c r="L354" s="7" t="s">
        <v>40</v>
      </c>
      <c r="M354" s="7" t="s">
        <v>41</v>
      </c>
      <c r="N354" s="9" t="s">
        <v>75</v>
      </c>
      <c r="O354" s="7" t="s">
        <v>88</v>
      </c>
      <c r="P354" s="7" t="s">
        <v>20</v>
      </c>
      <c r="Q354" s="7"/>
      <c r="R354" s="7" t="str" cm="1">
        <f t="array" ref="R354">IF(AND(Q354="",P354&lt;&gt;""),N354,_xlfn.SWITCH(IF(Q354&lt;&gt;"",Q354,O354)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Centers",IF(Q354&lt;&gt;"",Q354,O354)))</f>
        <v>Kundenberater/in</v>
      </c>
      <c r="S354" s="7" t="str">
        <f>IF(N354&lt;&gt;R354,"x","")</f>
        <v>x</v>
      </c>
    </row>
    <row r="355" spans="1:19" hidden="1" x14ac:dyDescent="0.25">
      <c r="A355" s="7" t="s">
        <v>1404</v>
      </c>
      <c r="B355" s="7" t="s">
        <v>20</v>
      </c>
      <c r="C355" s="7" t="s">
        <v>1257</v>
      </c>
      <c r="D355" s="7" t="s">
        <v>1258</v>
      </c>
      <c r="E355" s="7" t="s">
        <v>20</v>
      </c>
      <c r="F355" s="7" t="s">
        <v>20</v>
      </c>
      <c r="G355" s="7" t="s">
        <v>1259</v>
      </c>
      <c r="H355" s="7" t="s">
        <v>20</v>
      </c>
      <c r="I355" s="8" t="s">
        <v>1405</v>
      </c>
      <c r="J355" s="7" t="s">
        <v>1405</v>
      </c>
      <c r="K355" s="7" t="s">
        <v>1406</v>
      </c>
      <c r="L355" s="7" t="s">
        <v>97</v>
      </c>
      <c r="M355" s="7" t="s">
        <v>98</v>
      </c>
      <c r="N355" s="9" t="s">
        <v>20</v>
      </c>
      <c r="O355" s="7" t="s">
        <v>111</v>
      </c>
      <c r="P355" s="7" t="s">
        <v>20</v>
      </c>
      <c r="Q355" s="7"/>
      <c r="R355" s="7" t="str" cm="1">
        <f t="array" ref="R355">IF(AND(Q355="",P355&lt;&gt;""),N355,_xlfn.SWITCH(IF(Q355&lt;&gt;"",Q355,O355)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Centers",IF(Q355&lt;&gt;"",Q355,O355)))</f>
        <v>Hauptagent/in</v>
      </c>
      <c r="S355" s="7" t="str">
        <f>IF(N355&lt;&gt;R355,"x","")</f>
        <v>x</v>
      </c>
    </row>
    <row r="356" spans="1:19" hidden="1" x14ac:dyDescent="0.25">
      <c r="A356" s="7" t="s">
        <v>1407</v>
      </c>
      <c r="B356" s="7" t="s">
        <v>20</v>
      </c>
      <c r="C356" s="7" t="s">
        <v>1257</v>
      </c>
      <c r="D356" s="7" t="s">
        <v>1258</v>
      </c>
      <c r="E356" s="7" t="s">
        <v>20</v>
      </c>
      <c r="F356" s="7" t="s">
        <v>20</v>
      </c>
      <c r="G356" s="7" t="s">
        <v>1259</v>
      </c>
      <c r="H356" s="7" t="s">
        <v>20</v>
      </c>
      <c r="I356" s="8" t="s">
        <v>1408</v>
      </c>
      <c r="J356" s="7" t="s">
        <v>1409</v>
      </c>
      <c r="K356" s="7" t="s">
        <v>1410</v>
      </c>
      <c r="L356" s="7" t="s">
        <v>40</v>
      </c>
      <c r="M356" s="7" t="s">
        <v>41</v>
      </c>
      <c r="N356" s="9" t="s">
        <v>75</v>
      </c>
      <c r="O356" s="7" t="s">
        <v>88</v>
      </c>
      <c r="P356" s="7" t="s">
        <v>20</v>
      </c>
      <c r="Q356" s="7"/>
      <c r="R356" s="7" t="str" cm="1">
        <f t="array" ref="R356">IF(AND(Q356="",P356&lt;&gt;""),N356,_xlfn.SWITCH(IF(Q356&lt;&gt;"",Q356,O356)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Centers",IF(Q356&lt;&gt;"",Q356,O356)))</f>
        <v>Kundenberater/in</v>
      </c>
      <c r="S356" s="7" t="str">
        <f>IF(N356&lt;&gt;R356,"x","")</f>
        <v>x</v>
      </c>
    </row>
    <row r="357" spans="1:19" hidden="1" x14ac:dyDescent="0.25">
      <c r="A357" s="7" t="s">
        <v>1411</v>
      </c>
      <c r="B357" s="7" t="s">
        <v>20</v>
      </c>
      <c r="C357" s="7" t="s">
        <v>1257</v>
      </c>
      <c r="D357" s="7" t="s">
        <v>1258</v>
      </c>
      <c r="E357" s="7" t="s">
        <v>20</v>
      </c>
      <c r="F357" s="7" t="s">
        <v>20</v>
      </c>
      <c r="G357" s="7" t="s">
        <v>1259</v>
      </c>
      <c r="H357" s="7" t="s">
        <v>20</v>
      </c>
      <c r="I357" s="8" t="s">
        <v>1412</v>
      </c>
      <c r="J357" s="7" t="s">
        <v>1413</v>
      </c>
      <c r="K357" s="7" t="s">
        <v>1414</v>
      </c>
      <c r="L357" s="7" t="s">
        <v>40</v>
      </c>
      <c r="M357" s="7" t="s">
        <v>41</v>
      </c>
      <c r="N357" s="9" t="s">
        <v>75</v>
      </c>
      <c r="O357" s="7" t="s">
        <v>88</v>
      </c>
      <c r="P357" s="7" t="s">
        <v>20</v>
      </c>
      <c r="Q357" s="7"/>
      <c r="R357" s="7" t="str" cm="1">
        <f t="array" ref="R357">IF(AND(Q357="",P357&lt;&gt;""),N357,_xlfn.SWITCH(IF(Q357&lt;&gt;"",Q357,O357)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Centers",IF(Q357&lt;&gt;"",Q357,O357)))</f>
        <v>Kundenberater/in</v>
      </c>
      <c r="S357" s="7" t="str">
        <f>IF(N357&lt;&gt;R357,"x","")</f>
        <v>x</v>
      </c>
    </row>
    <row r="358" spans="1:19" hidden="1" x14ac:dyDescent="0.25">
      <c r="A358" s="7" t="s">
        <v>1415</v>
      </c>
      <c r="B358" s="7" t="s">
        <v>20</v>
      </c>
      <c r="C358" s="7" t="s">
        <v>1257</v>
      </c>
      <c r="D358" s="7" t="s">
        <v>1258</v>
      </c>
      <c r="E358" s="7" t="s">
        <v>20</v>
      </c>
      <c r="F358" s="7" t="s">
        <v>20</v>
      </c>
      <c r="G358" s="7" t="s">
        <v>1259</v>
      </c>
      <c r="H358" s="7" t="s">
        <v>20</v>
      </c>
      <c r="I358" s="8" t="s">
        <v>253</v>
      </c>
      <c r="J358" s="7" t="s">
        <v>1416</v>
      </c>
      <c r="K358" s="7" t="s">
        <v>1417</v>
      </c>
      <c r="L358" s="7" t="s">
        <v>40</v>
      </c>
      <c r="M358" s="7" t="s">
        <v>41</v>
      </c>
      <c r="N358" s="9" t="s">
        <v>75</v>
      </c>
      <c r="O358" s="7" t="s">
        <v>88</v>
      </c>
      <c r="P358" s="7" t="s">
        <v>20</v>
      </c>
      <c r="Q358" s="7"/>
      <c r="R358" s="7" t="str" cm="1">
        <f t="array" ref="R358">IF(AND(Q358="",P358&lt;&gt;""),N358,_xlfn.SWITCH(IF(Q358&lt;&gt;"",Q358,O358)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Centers",IF(Q358&lt;&gt;"",Q358,O358)))</f>
        <v>Kundenberater/in</v>
      </c>
      <c r="S358" s="7" t="str">
        <f>IF(N358&lt;&gt;R358,"x","")</f>
        <v>x</v>
      </c>
    </row>
    <row r="359" spans="1:19" hidden="1" x14ac:dyDescent="0.25">
      <c r="A359" s="7" t="s">
        <v>1418</v>
      </c>
      <c r="B359" s="7" t="s">
        <v>20</v>
      </c>
      <c r="C359" s="7" t="s">
        <v>1257</v>
      </c>
      <c r="D359" s="7" t="s">
        <v>1258</v>
      </c>
      <c r="E359" s="7" t="s">
        <v>20</v>
      </c>
      <c r="F359" s="7" t="s">
        <v>20</v>
      </c>
      <c r="G359" s="7" t="s">
        <v>1259</v>
      </c>
      <c r="H359" s="7" t="s">
        <v>20</v>
      </c>
      <c r="I359" s="8" t="s">
        <v>104</v>
      </c>
      <c r="J359" s="7" t="s">
        <v>1419</v>
      </c>
      <c r="K359" s="7" t="s">
        <v>1420</v>
      </c>
      <c r="L359" s="7" t="s">
        <v>40</v>
      </c>
      <c r="M359" s="7" t="s">
        <v>41</v>
      </c>
      <c r="N359" s="9" t="s">
        <v>80</v>
      </c>
      <c r="O359" s="7" t="s">
        <v>48</v>
      </c>
      <c r="P359" s="7" t="s">
        <v>20</v>
      </c>
      <c r="Q359" s="7"/>
      <c r="R359" s="7" t="str" cm="1">
        <f t="array" ref="R359">IF(AND(Q359="",P359&lt;&gt;""),N359,_xlfn.SWITCH(IF(Q359&lt;&gt;"",Q359,O359)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Centers",IF(Q359&lt;&gt;"",Q359,O359)))</f>
        <v>Repräsentant/in</v>
      </c>
      <c r="S359" s="7" t="str">
        <f>IF(N359&lt;&gt;R359,"x","")</f>
        <v>x</v>
      </c>
    </row>
    <row r="360" spans="1:19" hidden="1" x14ac:dyDescent="0.25">
      <c r="A360" s="7" t="s">
        <v>1421</v>
      </c>
      <c r="B360" s="7" t="s">
        <v>20</v>
      </c>
      <c r="C360" s="7" t="s">
        <v>1257</v>
      </c>
      <c r="D360" s="7" t="s">
        <v>1258</v>
      </c>
      <c r="E360" s="7" t="s">
        <v>20</v>
      </c>
      <c r="F360" s="7" t="s">
        <v>20</v>
      </c>
      <c r="G360" s="7" t="s">
        <v>1259</v>
      </c>
      <c r="H360" s="7" t="s">
        <v>20</v>
      </c>
      <c r="I360" s="8" t="s">
        <v>1422</v>
      </c>
      <c r="J360" s="7" t="s">
        <v>1422</v>
      </c>
      <c r="K360" s="7" t="s">
        <v>1423</v>
      </c>
      <c r="L360" s="7" t="s">
        <v>124</v>
      </c>
      <c r="M360" s="7" t="s">
        <v>125</v>
      </c>
      <c r="N360" s="9" t="s">
        <v>59</v>
      </c>
      <c r="O360" s="7" t="s">
        <v>59</v>
      </c>
      <c r="P360" s="7" t="s">
        <v>20</v>
      </c>
      <c r="Q360" s="7"/>
      <c r="R360" s="7" t="str" cm="1">
        <f t="array" ref="R360">IF(AND(Q360="",P360&lt;&gt;""),N360,_xlfn.SWITCH(IF(Q360&lt;&gt;"",Q360,O360)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Centers",IF(Q360&lt;&gt;"",Q360,O360)))</f>
        <v>Leiter/in des Service Centers</v>
      </c>
      <c r="S360" s="7" t="str">
        <f>IF(N360&lt;&gt;R360,"x","")</f>
        <v/>
      </c>
    </row>
    <row r="361" spans="1:19" hidden="1" x14ac:dyDescent="0.25">
      <c r="A361" s="7" t="s">
        <v>1424</v>
      </c>
      <c r="B361" s="7" t="s">
        <v>20</v>
      </c>
      <c r="C361" s="7" t="s">
        <v>1257</v>
      </c>
      <c r="D361" s="7" t="s">
        <v>1258</v>
      </c>
      <c r="E361" s="7" t="s">
        <v>20</v>
      </c>
      <c r="F361" s="7" t="s">
        <v>20</v>
      </c>
      <c r="G361" s="7" t="s">
        <v>1259</v>
      </c>
      <c r="H361" s="7" t="s">
        <v>20</v>
      </c>
      <c r="I361" s="8" t="s">
        <v>1425</v>
      </c>
      <c r="J361" s="7" t="s">
        <v>1425</v>
      </c>
      <c r="K361" s="7" t="s">
        <v>1426</v>
      </c>
      <c r="L361" s="7" t="s">
        <v>64</v>
      </c>
      <c r="M361" s="7" t="s">
        <v>65</v>
      </c>
      <c r="N361" s="9" t="s">
        <v>59</v>
      </c>
      <c r="O361" s="7" t="s">
        <v>59</v>
      </c>
      <c r="P361" s="7" t="s">
        <v>20</v>
      </c>
      <c r="Q361" s="7"/>
      <c r="R361" s="7" t="str" cm="1">
        <f t="array" ref="R361">IF(AND(Q361="",P361&lt;&gt;""),N361,_xlfn.SWITCH(IF(Q361&lt;&gt;"",Q361,O361)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Centers",IF(Q361&lt;&gt;"",Q361,O361)))</f>
        <v>Leiter/in des Service Centers</v>
      </c>
      <c r="S361" s="7" t="str">
        <f>IF(N361&lt;&gt;R361,"x","")</f>
        <v/>
      </c>
    </row>
    <row r="362" spans="1:19" hidden="1" x14ac:dyDescent="0.25">
      <c r="A362" s="7" t="s">
        <v>1427</v>
      </c>
      <c r="B362" s="7" t="s">
        <v>20</v>
      </c>
      <c r="C362" s="7" t="s">
        <v>1257</v>
      </c>
      <c r="D362" s="7" t="s">
        <v>1258</v>
      </c>
      <c r="E362" s="7" t="s">
        <v>20</v>
      </c>
      <c r="F362" s="7" t="s">
        <v>20</v>
      </c>
      <c r="G362" s="7" t="s">
        <v>1259</v>
      </c>
      <c r="H362" s="7" t="s">
        <v>20</v>
      </c>
      <c r="I362" s="8" t="s">
        <v>1428</v>
      </c>
      <c r="J362" s="7" t="s">
        <v>1428</v>
      </c>
      <c r="K362" s="7" t="s">
        <v>1429</v>
      </c>
      <c r="L362" s="7" t="s">
        <v>40</v>
      </c>
      <c r="M362" s="7" t="s">
        <v>41</v>
      </c>
      <c r="N362" s="9" t="s">
        <v>20</v>
      </c>
      <c r="O362" s="7" t="s">
        <v>66</v>
      </c>
      <c r="P362" s="7" t="s">
        <v>20</v>
      </c>
      <c r="Q362" s="7"/>
      <c r="R362" s="7" t="str" cm="1">
        <f t="array" ref="R362">IF(AND(Q362="",P362&lt;&gt;""),N362,_xlfn.SWITCH(IF(Q362&lt;&gt;"",Q362,O362)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Centers",IF(Q362&lt;&gt;"",Q362,O362)))</f>
        <v>Repräsentant/in</v>
      </c>
      <c r="S362" s="7" t="str">
        <f>IF(N362&lt;&gt;R362,"x","")</f>
        <v>x</v>
      </c>
    </row>
    <row r="363" spans="1:19" hidden="1" x14ac:dyDescent="0.25">
      <c r="A363" s="7" t="s">
        <v>1430</v>
      </c>
      <c r="B363" s="7" t="s">
        <v>20</v>
      </c>
      <c r="C363" s="7" t="s">
        <v>1257</v>
      </c>
      <c r="D363" s="7" t="s">
        <v>1258</v>
      </c>
      <c r="E363" s="7" t="s">
        <v>20</v>
      </c>
      <c r="F363" s="7" t="s">
        <v>20</v>
      </c>
      <c r="G363" s="7" t="s">
        <v>1259</v>
      </c>
      <c r="H363" s="7" t="s">
        <v>20</v>
      </c>
      <c r="I363" s="8" t="s">
        <v>1431</v>
      </c>
      <c r="J363" s="7" t="s">
        <v>1431</v>
      </c>
      <c r="K363" s="7" t="s">
        <v>1432</v>
      </c>
      <c r="L363" s="7" t="s">
        <v>64</v>
      </c>
      <c r="M363" s="7" t="s">
        <v>65</v>
      </c>
      <c r="N363" s="9" t="s">
        <v>59</v>
      </c>
      <c r="O363" s="7" t="s">
        <v>59</v>
      </c>
      <c r="P363" s="7" t="s">
        <v>20</v>
      </c>
      <c r="Q363" s="7"/>
      <c r="R363" s="7" t="str" cm="1">
        <f t="array" ref="R363">IF(AND(Q363="",P363&lt;&gt;""),N363,_xlfn.SWITCH(IF(Q363&lt;&gt;"",Q363,O363)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Centers",IF(Q363&lt;&gt;"",Q363,O363)))</f>
        <v>Leiter/in des Service Centers</v>
      </c>
      <c r="S363" s="7" t="str">
        <f>IF(N363&lt;&gt;R363,"x","")</f>
        <v/>
      </c>
    </row>
    <row r="364" spans="1:19" hidden="1" x14ac:dyDescent="0.25">
      <c r="A364" s="7" t="s">
        <v>1433</v>
      </c>
      <c r="B364" s="7" t="s">
        <v>1434</v>
      </c>
      <c r="C364" s="7" t="s">
        <v>1257</v>
      </c>
      <c r="D364" s="7" t="s">
        <v>1258</v>
      </c>
      <c r="E364" s="7" t="s">
        <v>1028</v>
      </c>
      <c r="F364" s="7" t="s">
        <v>1029</v>
      </c>
      <c r="G364" s="7" t="s">
        <v>213</v>
      </c>
      <c r="H364" s="7" t="s">
        <v>213</v>
      </c>
      <c r="I364" s="8" t="s">
        <v>1435</v>
      </c>
      <c r="J364" s="7" t="s">
        <v>388</v>
      </c>
      <c r="K364" s="7" t="s">
        <v>1436</v>
      </c>
      <c r="L364" s="7" t="s">
        <v>97</v>
      </c>
      <c r="M364" s="7" t="s">
        <v>98</v>
      </c>
      <c r="N364" s="9" t="s">
        <v>1437</v>
      </c>
      <c r="O364" s="7" t="s">
        <v>99</v>
      </c>
      <c r="P364" s="7" t="s">
        <v>20</v>
      </c>
      <c r="Q364" s="9" t="s">
        <v>1437</v>
      </c>
      <c r="R364" s="7" t="str" cm="1">
        <f t="array" ref="R364">IF(AND(Q364="",P364&lt;&gt;""),N364,_xlfn.SWITCH(IF(Q364&lt;&gt;"",Q364,O364)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Centers",IF(Q364&lt;&gt;"",Q364,O364)))</f>
        <v>Subdirektor</v>
      </c>
      <c r="S364" s="7" t="str">
        <f>IF(N364&lt;&gt;R364,"x","")</f>
        <v/>
      </c>
    </row>
    <row r="365" spans="1:19" hidden="1" x14ac:dyDescent="0.25">
      <c r="A365" s="7" t="s">
        <v>1438</v>
      </c>
      <c r="B365" s="7" t="s">
        <v>1439</v>
      </c>
      <c r="C365" s="7" t="s">
        <v>1257</v>
      </c>
      <c r="D365" s="7" t="s">
        <v>1258</v>
      </c>
      <c r="E365" s="7" t="s">
        <v>794</v>
      </c>
      <c r="F365" s="7" t="s">
        <v>795</v>
      </c>
      <c r="G365" s="7" t="s">
        <v>796</v>
      </c>
      <c r="H365" s="7" t="s">
        <v>796</v>
      </c>
      <c r="I365" s="8" t="s">
        <v>1440</v>
      </c>
      <c r="J365" s="7" t="s">
        <v>1441</v>
      </c>
      <c r="K365" s="7" t="s">
        <v>1442</v>
      </c>
      <c r="L365" s="7" t="s">
        <v>40</v>
      </c>
      <c r="M365" s="7" t="s">
        <v>41</v>
      </c>
      <c r="N365" s="9" t="s">
        <v>75</v>
      </c>
      <c r="O365" s="7" t="s">
        <v>88</v>
      </c>
      <c r="P365" s="7" t="s">
        <v>20</v>
      </c>
      <c r="Q365" s="7"/>
      <c r="R365" s="7" t="str" cm="1">
        <f t="array" ref="R365">IF(AND(Q365="",P365&lt;&gt;""),N365,_xlfn.SWITCH(IF(Q365&lt;&gt;"",Q365,O365)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Centers",IF(Q365&lt;&gt;"",Q365,O365)))</f>
        <v>Kundenberater/in</v>
      </c>
      <c r="S365" s="7" t="str">
        <f>IF(N365&lt;&gt;R365,"x","")</f>
        <v>x</v>
      </c>
    </row>
    <row r="366" spans="1:19" hidden="1" x14ac:dyDescent="0.25">
      <c r="A366" s="7" t="s">
        <v>1443</v>
      </c>
      <c r="B366" s="7" t="s">
        <v>1444</v>
      </c>
      <c r="C366" s="7" t="s">
        <v>1257</v>
      </c>
      <c r="D366" s="7" t="s">
        <v>1258</v>
      </c>
      <c r="E366" s="7" t="s">
        <v>740</v>
      </c>
      <c r="F366" s="7" t="s">
        <v>741</v>
      </c>
      <c r="G366" s="7" t="s">
        <v>742</v>
      </c>
      <c r="H366" s="7" t="s">
        <v>742</v>
      </c>
      <c r="I366" s="8" t="s">
        <v>1445</v>
      </c>
      <c r="J366" s="7" t="s">
        <v>1446</v>
      </c>
      <c r="K366" s="7" t="s">
        <v>1447</v>
      </c>
      <c r="L366" s="7" t="s">
        <v>40</v>
      </c>
      <c r="M366" s="7" t="s">
        <v>41</v>
      </c>
      <c r="N366" s="9" t="s">
        <v>75</v>
      </c>
      <c r="O366" s="7" t="s">
        <v>88</v>
      </c>
      <c r="P366" s="7" t="s">
        <v>20</v>
      </c>
      <c r="Q366" s="7"/>
      <c r="R366" s="7" t="str" cm="1">
        <f t="array" ref="R366">IF(AND(Q366="",P366&lt;&gt;""),N366,_xlfn.SWITCH(IF(Q366&lt;&gt;"",Q366,O366)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Centers",IF(Q366&lt;&gt;"",Q366,O366)))</f>
        <v>Kundenberater/in</v>
      </c>
      <c r="S366" s="7" t="str">
        <f>IF(N366&lt;&gt;R366,"x","")</f>
        <v>x</v>
      </c>
    </row>
    <row r="367" spans="1:19" hidden="1" x14ac:dyDescent="0.25">
      <c r="A367" s="7" t="s">
        <v>1448</v>
      </c>
      <c r="B367" s="7" t="s">
        <v>20</v>
      </c>
      <c r="C367" s="7" t="s">
        <v>1449</v>
      </c>
      <c r="D367" s="7" t="s">
        <v>1450</v>
      </c>
      <c r="E367" s="7" t="s">
        <v>20</v>
      </c>
      <c r="F367" s="7" t="s">
        <v>20</v>
      </c>
      <c r="G367" s="7" t="s">
        <v>1259</v>
      </c>
      <c r="H367" s="7" t="s">
        <v>20</v>
      </c>
      <c r="I367" s="8" t="s">
        <v>1271</v>
      </c>
      <c r="J367" s="7" t="s">
        <v>1451</v>
      </c>
      <c r="K367" s="7" t="s">
        <v>1452</v>
      </c>
      <c r="L367" s="7" t="s">
        <v>64</v>
      </c>
      <c r="M367" s="7" t="s">
        <v>65</v>
      </c>
      <c r="N367" s="9" t="s">
        <v>1453</v>
      </c>
      <c r="O367" s="7" t="s">
        <v>67</v>
      </c>
      <c r="P367" s="7" t="s">
        <v>20</v>
      </c>
      <c r="Q367" s="7"/>
      <c r="R367" s="7" t="str" cm="1">
        <f t="array" ref="R367">IF(AND(Q367="",P367&lt;&gt;""),N367,_xlfn.SWITCH(IF(Q367&lt;&gt;"",Q367,O367)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Centers",IF(Q367&lt;&gt;"",Q367,O367)))</f>
        <v>Leiter/in des Service Centers</v>
      </c>
      <c r="S367" s="7" t="str">
        <f>IF(N367&lt;&gt;R367,"x","")</f>
        <v>x</v>
      </c>
    </row>
    <row r="368" spans="1:19" hidden="1" x14ac:dyDescent="0.25">
      <c r="A368" s="7" t="s">
        <v>1454</v>
      </c>
      <c r="B368" s="7" t="s">
        <v>20</v>
      </c>
      <c r="C368" s="7" t="s">
        <v>1449</v>
      </c>
      <c r="D368" s="7" t="s">
        <v>1450</v>
      </c>
      <c r="E368" s="7" t="s">
        <v>20</v>
      </c>
      <c r="F368" s="7" t="s">
        <v>20</v>
      </c>
      <c r="G368" s="7" t="s">
        <v>1259</v>
      </c>
      <c r="H368" s="7" t="s">
        <v>20</v>
      </c>
      <c r="I368" s="8" t="s">
        <v>585</v>
      </c>
      <c r="J368" s="7" t="s">
        <v>1455</v>
      </c>
      <c r="K368" s="7" t="s">
        <v>1456</v>
      </c>
      <c r="L368" s="7" t="s">
        <v>64</v>
      </c>
      <c r="M368" s="7" t="s">
        <v>65</v>
      </c>
      <c r="N368" s="9" t="s">
        <v>59</v>
      </c>
      <c r="O368" s="7" t="s">
        <v>67</v>
      </c>
      <c r="P368" s="7" t="s">
        <v>20</v>
      </c>
      <c r="Q368" s="7"/>
      <c r="R368" s="7" t="str" cm="1">
        <f t="array" ref="R368">IF(AND(Q368="",P368&lt;&gt;""),N368,_xlfn.SWITCH(IF(Q368&lt;&gt;"",Q368,O368)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Centers",IF(Q368&lt;&gt;"",Q368,O368)))</f>
        <v>Leiter/in des Service Centers</v>
      </c>
      <c r="S368" s="7" t="str">
        <f>IF(N368&lt;&gt;R368,"x","")</f>
        <v/>
      </c>
    </row>
    <row r="369" spans="1:19" hidden="1" x14ac:dyDescent="0.25">
      <c r="A369" s="7" t="s">
        <v>1457</v>
      </c>
      <c r="B369" s="7" t="s">
        <v>20</v>
      </c>
      <c r="C369" s="7" t="s">
        <v>1449</v>
      </c>
      <c r="D369" s="7" t="s">
        <v>1450</v>
      </c>
      <c r="E369" s="7" t="s">
        <v>20</v>
      </c>
      <c r="F369" s="7" t="s">
        <v>20</v>
      </c>
      <c r="G369" s="7" t="s">
        <v>1259</v>
      </c>
      <c r="H369" s="7" t="s">
        <v>20</v>
      </c>
      <c r="I369" s="8" t="s">
        <v>1458</v>
      </c>
      <c r="J369" s="7" t="s">
        <v>1459</v>
      </c>
      <c r="K369" s="7" t="s">
        <v>1460</v>
      </c>
      <c r="L369" s="7" t="s">
        <v>40</v>
      </c>
      <c r="M369" s="7" t="s">
        <v>41</v>
      </c>
      <c r="N369" s="9" t="s">
        <v>80</v>
      </c>
      <c r="O369" s="7" t="s">
        <v>48</v>
      </c>
      <c r="P369" s="7" t="s">
        <v>20</v>
      </c>
      <c r="Q369" s="7"/>
      <c r="R369" s="7" t="str" cm="1">
        <f t="array" ref="R369">IF(AND(Q369="",P369&lt;&gt;""),N369,_xlfn.SWITCH(IF(Q369&lt;&gt;"",Q369,O369)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Centers",IF(Q369&lt;&gt;"",Q369,O369)))</f>
        <v>Repräsentant/in</v>
      </c>
      <c r="S369" s="7" t="str">
        <f>IF(N369&lt;&gt;R369,"x","")</f>
        <v>x</v>
      </c>
    </row>
    <row r="370" spans="1:19" hidden="1" x14ac:dyDescent="0.25">
      <c r="A370" s="7" t="s">
        <v>1461</v>
      </c>
      <c r="B370" s="7" t="s">
        <v>20</v>
      </c>
      <c r="C370" s="7" t="s">
        <v>1449</v>
      </c>
      <c r="D370" s="7" t="s">
        <v>1450</v>
      </c>
      <c r="E370" s="7" t="s">
        <v>20</v>
      </c>
      <c r="F370" s="7" t="s">
        <v>20</v>
      </c>
      <c r="G370" s="7" t="s">
        <v>1259</v>
      </c>
      <c r="H370" s="7" t="s">
        <v>20</v>
      </c>
      <c r="I370" s="8" t="s">
        <v>186</v>
      </c>
      <c r="J370" s="7" t="s">
        <v>1462</v>
      </c>
      <c r="K370" s="7" t="s">
        <v>1463</v>
      </c>
      <c r="L370" s="7" t="s">
        <v>97</v>
      </c>
      <c r="M370" s="7" t="s">
        <v>98</v>
      </c>
      <c r="N370" s="9" t="s">
        <v>111</v>
      </c>
      <c r="O370" s="7" t="s">
        <v>99</v>
      </c>
      <c r="P370" s="7" t="s">
        <v>20</v>
      </c>
      <c r="Q370" s="7"/>
      <c r="R370" s="7" t="str" cm="1">
        <f t="array" ref="R370">IF(AND(Q370="",P370&lt;&gt;""),N370,_xlfn.SWITCH(IF(Q370&lt;&gt;"",Q370,O370)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Centers",IF(Q370&lt;&gt;"",Q370,O370)))</f>
        <v>Hauptagent/in</v>
      </c>
      <c r="S370" s="7" t="str">
        <f>IF(N370&lt;&gt;R370,"x","")</f>
        <v/>
      </c>
    </row>
    <row r="371" spans="1:19" hidden="1" x14ac:dyDescent="0.25">
      <c r="A371" s="7" t="s">
        <v>1464</v>
      </c>
      <c r="B371" s="7" t="s">
        <v>20</v>
      </c>
      <c r="C371" s="7" t="s">
        <v>1449</v>
      </c>
      <c r="D371" s="7" t="s">
        <v>1450</v>
      </c>
      <c r="E371" s="7" t="s">
        <v>20</v>
      </c>
      <c r="F371" s="7" t="s">
        <v>20</v>
      </c>
      <c r="G371" s="7" t="s">
        <v>1259</v>
      </c>
      <c r="H371" s="7" t="s">
        <v>20</v>
      </c>
      <c r="I371" s="8" t="s">
        <v>1465</v>
      </c>
      <c r="J371" s="7" t="s">
        <v>1466</v>
      </c>
      <c r="K371" s="7" t="s">
        <v>1467</v>
      </c>
      <c r="L371" s="7" t="s">
        <v>40</v>
      </c>
      <c r="M371" s="7" t="s">
        <v>41</v>
      </c>
      <c r="N371" s="9" t="s">
        <v>80</v>
      </c>
      <c r="O371" s="7" t="s">
        <v>48</v>
      </c>
      <c r="P371" s="7" t="s">
        <v>20</v>
      </c>
      <c r="Q371" s="7"/>
      <c r="R371" s="7" t="str" cm="1">
        <f t="array" ref="R371">IF(AND(Q371="",P371&lt;&gt;""),N371,_xlfn.SWITCH(IF(Q371&lt;&gt;"",Q371,O371)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Centers",IF(Q371&lt;&gt;"",Q371,O371)))</f>
        <v>Repräsentant/in</v>
      </c>
      <c r="S371" s="7" t="str">
        <f>IF(N371&lt;&gt;R371,"x","")</f>
        <v>x</v>
      </c>
    </row>
    <row r="372" spans="1:19" hidden="1" x14ac:dyDescent="0.25">
      <c r="A372" s="7" t="s">
        <v>1468</v>
      </c>
      <c r="B372" s="7" t="s">
        <v>20</v>
      </c>
      <c r="C372" s="7" t="s">
        <v>1449</v>
      </c>
      <c r="D372" s="7" t="s">
        <v>1450</v>
      </c>
      <c r="E372" s="7" t="s">
        <v>20</v>
      </c>
      <c r="F372" s="7" t="s">
        <v>20</v>
      </c>
      <c r="G372" s="7" t="s">
        <v>1259</v>
      </c>
      <c r="H372" s="7" t="s">
        <v>20</v>
      </c>
      <c r="I372" s="8" t="s">
        <v>1469</v>
      </c>
      <c r="J372" s="7" t="s">
        <v>1470</v>
      </c>
      <c r="K372" s="7" t="s">
        <v>1471</v>
      </c>
      <c r="L372" s="7" t="s">
        <v>27</v>
      </c>
      <c r="M372" s="7" t="s">
        <v>28</v>
      </c>
      <c r="N372" s="9" t="s">
        <v>66</v>
      </c>
      <c r="O372" s="7" t="s">
        <v>30</v>
      </c>
      <c r="P372" s="7" t="s">
        <v>20</v>
      </c>
      <c r="Q372" s="7"/>
      <c r="R372" s="7" t="str" cm="1">
        <f t="array" ref="R372">IF(AND(Q372="",P372&lt;&gt;""),N372,_xlfn.SWITCH(IF(Q372&lt;&gt;"",Q372,O372)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Centers",IF(Q372&lt;&gt;"",Q372,O372)))</f>
        <v>Agenturleiter/in</v>
      </c>
      <c r="S372" s="7" t="str">
        <f>IF(N372&lt;&gt;R372,"x","")</f>
        <v>x</v>
      </c>
    </row>
    <row r="373" spans="1:19" hidden="1" x14ac:dyDescent="0.25">
      <c r="A373" s="7" t="s">
        <v>1472</v>
      </c>
      <c r="B373" s="7" t="s">
        <v>20</v>
      </c>
      <c r="C373" s="7" t="s">
        <v>1449</v>
      </c>
      <c r="D373" s="7" t="s">
        <v>1450</v>
      </c>
      <c r="E373" s="7" t="s">
        <v>20</v>
      </c>
      <c r="F373" s="7" t="s">
        <v>20</v>
      </c>
      <c r="G373" s="7" t="s">
        <v>1259</v>
      </c>
      <c r="H373" s="7" t="s">
        <v>20</v>
      </c>
      <c r="I373" s="8" t="s">
        <v>1473</v>
      </c>
      <c r="J373" s="7" t="s">
        <v>1474</v>
      </c>
      <c r="K373" s="7" t="s">
        <v>1475</v>
      </c>
      <c r="L373" s="7" t="s">
        <v>97</v>
      </c>
      <c r="M373" s="7" t="s">
        <v>98</v>
      </c>
      <c r="N373" s="9" t="s">
        <v>111</v>
      </c>
      <c r="O373" s="7" t="s">
        <v>99</v>
      </c>
      <c r="P373" s="7" t="s">
        <v>20</v>
      </c>
      <c r="Q373" s="7"/>
      <c r="R373" s="7" t="str" cm="1">
        <f t="array" ref="R373">IF(AND(Q373="",P373&lt;&gt;""),N373,_xlfn.SWITCH(IF(Q373&lt;&gt;"",Q373,O373)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Centers",IF(Q373&lt;&gt;"",Q373,O373)))</f>
        <v>Hauptagent/in</v>
      </c>
      <c r="S373" s="7" t="str">
        <f>IF(N373&lt;&gt;R373,"x","")</f>
        <v/>
      </c>
    </row>
    <row r="374" spans="1:19" hidden="1" x14ac:dyDescent="0.25">
      <c r="A374" s="7" t="s">
        <v>1476</v>
      </c>
      <c r="B374" s="7" t="s">
        <v>20</v>
      </c>
      <c r="C374" s="7" t="s">
        <v>1449</v>
      </c>
      <c r="D374" s="7" t="s">
        <v>1450</v>
      </c>
      <c r="E374" s="7" t="s">
        <v>20</v>
      </c>
      <c r="F374" s="7" t="s">
        <v>20</v>
      </c>
      <c r="G374" s="7" t="s">
        <v>1259</v>
      </c>
      <c r="H374" s="7" t="s">
        <v>20</v>
      </c>
      <c r="I374" s="8" t="s">
        <v>992</v>
      </c>
      <c r="J374" s="7" t="s">
        <v>1477</v>
      </c>
      <c r="K374" s="7" t="s">
        <v>1478</v>
      </c>
      <c r="L374" s="7" t="s">
        <v>40</v>
      </c>
      <c r="M374" s="7" t="s">
        <v>41</v>
      </c>
      <c r="N374" s="9" t="s">
        <v>75</v>
      </c>
      <c r="O374" s="7" t="s">
        <v>48</v>
      </c>
      <c r="P374" s="7" t="s">
        <v>20</v>
      </c>
      <c r="Q374" s="7"/>
      <c r="R374" s="7" t="str" cm="1">
        <f t="array" ref="R374">IF(AND(Q374="",P374&lt;&gt;""),N374,_xlfn.SWITCH(IF(Q374&lt;&gt;"",Q374,O374)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Centers",IF(Q374&lt;&gt;"",Q374,O374)))</f>
        <v>Repräsentant/in</v>
      </c>
      <c r="S374" s="7" t="str">
        <f>IF(N374&lt;&gt;R374,"x","")</f>
        <v>x</v>
      </c>
    </row>
    <row r="375" spans="1:19" hidden="1" x14ac:dyDescent="0.25">
      <c r="A375" s="7" t="s">
        <v>1479</v>
      </c>
      <c r="B375" s="7" t="s">
        <v>20</v>
      </c>
      <c r="C375" s="7" t="s">
        <v>1449</v>
      </c>
      <c r="D375" s="7" t="s">
        <v>1450</v>
      </c>
      <c r="E375" s="7" t="s">
        <v>20</v>
      </c>
      <c r="F375" s="7" t="s">
        <v>20</v>
      </c>
      <c r="G375" s="7" t="s">
        <v>1259</v>
      </c>
      <c r="H375" s="7" t="s">
        <v>20</v>
      </c>
      <c r="I375" s="8" t="s">
        <v>1480</v>
      </c>
      <c r="J375" s="7" t="s">
        <v>1481</v>
      </c>
      <c r="K375" s="7" t="s">
        <v>1482</v>
      </c>
      <c r="L375" s="7" t="s">
        <v>40</v>
      </c>
      <c r="M375" s="7" t="s">
        <v>41</v>
      </c>
      <c r="N375" s="9" t="s">
        <v>75</v>
      </c>
      <c r="O375" s="7" t="s">
        <v>48</v>
      </c>
      <c r="P375" s="7" t="s">
        <v>20</v>
      </c>
      <c r="Q375" s="7"/>
      <c r="R375" s="7" t="str" cm="1">
        <f t="array" ref="R375">IF(AND(Q375="",P375&lt;&gt;""),N375,_xlfn.SWITCH(IF(Q375&lt;&gt;"",Q375,O375)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Centers",IF(Q375&lt;&gt;"",Q375,O375)))</f>
        <v>Repräsentant/in</v>
      </c>
      <c r="S375" s="7" t="str">
        <f>IF(N375&lt;&gt;R375,"x","")</f>
        <v>x</v>
      </c>
    </row>
    <row r="376" spans="1:19" hidden="1" x14ac:dyDescent="0.25">
      <c r="A376" s="7" t="s">
        <v>1483</v>
      </c>
      <c r="B376" s="7" t="s">
        <v>20</v>
      </c>
      <c r="C376" s="7" t="s">
        <v>1449</v>
      </c>
      <c r="D376" s="7" t="s">
        <v>1450</v>
      </c>
      <c r="E376" s="7" t="s">
        <v>20</v>
      </c>
      <c r="F376" s="7" t="s">
        <v>20</v>
      </c>
      <c r="G376" s="7" t="s">
        <v>1259</v>
      </c>
      <c r="H376" s="7" t="s">
        <v>20</v>
      </c>
      <c r="I376" s="8" t="s">
        <v>975</v>
      </c>
      <c r="J376" s="7" t="s">
        <v>1484</v>
      </c>
      <c r="K376" s="7" t="s">
        <v>1485</v>
      </c>
      <c r="L376" s="7" t="s">
        <v>97</v>
      </c>
      <c r="M376" s="7" t="s">
        <v>98</v>
      </c>
      <c r="N376" s="9" t="s">
        <v>75</v>
      </c>
      <c r="O376" s="7" t="s">
        <v>99</v>
      </c>
      <c r="P376" s="7" t="s">
        <v>20</v>
      </c>
      <c r="Q376" s="7"/>
      <c r="R376" s="7" t="str" cm="1">
        <f t="array" ref="R376">IF(AND(Q376="",P376&lt;&gt;""),N376,_xlfn.SWITCH(IF(Q376&lt;&gt;"",Q376,O376)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Centers",IF(Q376&lt;&gt;"",Q376,O376)))</f>
        <v>Hauptagent/in</v>
      </c>
      <c r="S376" s="7" t="str">
        <f>IF(N376&lt;&gt;R376,"x","")</f>
        <v>x</v>
      </c>
    </row>
    <row r="377" spans="1:19" hidden="1" x14ac:dyDescent="0.25">
      <c r="A377" s="7" t="s">
        <v>1486</v>
      </c>
      <c r="B377" s="7" t="s">
        <v>20</v>
      </c>
      <c r="C377" s="7" t="s">
        <v>1449</v>
      </c>
      <c r="D377" s="7" t="s">
        <v>1450</v>
      </c>
      <c r="E377" s="7" t="s">
        <v>20</v>
      </c>
      <c r="F377" s="7" t="s">
        <v>20</v>
      </c>
      <c r="G377" s="7" t="s">
        <v>1259</v>
      </c>
      <c r="H377" s="7" t="s">
        <v>20</v>
      </c>
      <c r="I377" s="8" t="s">
        <v>1248</v>
      </c>
      <c r="J377" s="7" t="s">
        <v>1487</v>
      </c>
      <c r="K377" s="7" t="s">
        <v>1488</v>
      </c>
      <c r="L377" s="7" t="s">
        <v>40</v>
      </c>
      <c r="M377" s="7" t="s">
        <v>41</v>
      </c>
      <c r="N377" s="9" t="s">
        <v>66</v>
      </c>
      <c r="O377" s="7" t="s">
        <v>48</v>
      </c>
      <c r="P377" s="7" t="s">
        <v>20</v>
      </c>
      <c r="Q377" s="7"/>
      <c r="R377" s="7" t="str" cm="1">
        <f t="array" ref="R377">IF(AND(Q377="",P377&lt;&gt;""),N377,_xlfn.SWITCH(IF(Q377&lt;&gt;"",Q377,O377)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Centers",IF(Q377&lt;&gt;"",Q377,O377)))</f>
        <v>Repräsentant/in</v>
      </c>
      <c r="S377" s="7" t="str">
        <f>IF(N377&lt;&gt;R377,"x","")</f>
        <v/>
      </c>
    </row>
    <row r="378" spans="1:19" hidden="1" x14ac:dyDescent="0.25">
      <c r="A378" s="7" t="s">
        <v>1489</v>
      </c>
      <c r="B378" s="7" t="s">
        <v>20</v>
      </c>
      <c r="C378" s="7" t="s">
        <v>1449</v>
      </c>
      <c r="D378" s="7" t="s">
        <v>1450</v>
      </c>
      <c r="E378" s="7" t="s">
        <v>20</v>
      </c>
      <c r="F378" s="7" t="s">
        <v>20</v>
      </c>
      <c r="G378" s="7" t="s">
        <v>1259</v>
      </c>
      <c r="H378" s="7" t="s">
        <v>20</v>
      </c>
      <c r="I378" s="8" t="s">
        <v>1465</v>
      </c>
      <c r="J378" s="7" t="s">
        <v>1490</v>
      </c>
      <c r="K378" s="7" t="s">
        <v>1491</v>
      </c>
      <c r="L378" s="7" t="s">
        <v>124</v>
      </c>
      <c r="M378" s="7" t="s">
        <v>125</v>
      </c>
      <c r="N378" s="9" t="s">
        <v>75</v>
      </c>
      <c r="O378" s="7" t="s">
        <v>67</v>
      </c>
      <c r="P378" s="7" t="s">
        <v>20</v>
      </c>
      <c r="Q378" s="7"/>
      <c r="R378" s="7" t="str" cm="1">
        <f t="array" ref="R378">IF(AND(Q378="",P378&lt;&gt;""),N378,_xlfn.SWITCH(IF(Q378&lt;&gt;"",Q378,O378)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Centers",IF(Q378&lt;&gt;"",Q378,O378)))</f>
        <v>Leiter/in des Service Centers</v>
      </c>
      <c r="S378" s="7" t="str">
        <f>IF(N378&lt;&gt;R378,"x","")</f>
        <v>x</v>
      </c>
    </row>
    <row r="379" spans="1:19" hidden="1" x14ac:dyDescent="0.25">
      <c r="A379" s="7" t="s">
        <v>1492</v>
      </c>
      <c r="B379" s="7" t="s">
        <v>20</v>
      </c>
      <c r="C379" s="7" t="s">
        <v>1449</v>
      </c>
      <c r="D379" s="7" t="s">
        <v>1450</v>
      </c>
      <c r="E379" s="7" t="s">
        <v>20</v>
      </c>
      <c r="F379" s="7" t="s">
        <v>20</v>
      </c>
      <c r="G379" s="7" t="s">
        <v>1259</v>
      </c>
      <c r="H379" s="7" t="s">
        <v>20</v>
      </c>
      <c r="I379" s="8" t="s">
        <v>1044</v>
      </c>
      <c r="J379" s="7" t="s">
        <v>1493</v>
      </c>
      <c r="K379" s="7" t="s">
        <v>1494</v>
      </c>
      <c r="L379" s="7" t="s">
        <v>40</v>
      </c>
      <c r="M379" s="7" t="s">
        <v>41</v>
      </c>
      <c r="N379" s="9" t="s">
        <v>75</v>
      </c>
      <c r="O379" s="7" t="s">
        <v>48</v>
      </c>
      <c r="P379" s="7" t="s">
        <v>20</v>
      </c>
      <c r="Q379" s="7"/>
      <c r="R379" s="7" t="str" cm="1">
        <f t="array" ref="R379">IF(AND(Q379="",P379&lt;&gt;""),N379,_xlfn.SWITCH(IF(Q379&lt;&gt;"",Q379,O379)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Centers",IF(Q379&lt;&gt;"",Q379,O379)))</f>
        <v>Repräsentant/in</v>
      </c>
      <c r="S379" s="7" t="str">
        <f>IF(N379&lt;&gt;R379,"x","")</f>
        <v>x</v>
      </c>
    </row>
    <row r="380" spans="1:19" hidden="1" x14ac:dyDescent="0.25">
      <c r="A380" s="7" t="s">
        <v>1495</v>
      </c>
      <c r="B380" s="7" t="s">
        <v>20</v>
      </c>
      <c r="C380" s="7" t="s">
        <v>1449</v>
      </c>
      <c r="D380" s="7" t="s">
        <v>1450</v>
      </c>
      <c r="E380" s="7" t="s">
        <v>20</v>
      </c>
      <c r="F380" s="7" t="s">
        <v>20</v>
      </c>
      <c r="G380" s="7" t="s">
        <v>1259</v>
      </c>
      <c r="H380" s="7" t="s">
        <v>20</v>
      </c>
      <c r="I380" s="8" t="s">
        <v>797</v>
      </c>
      <c r="J380" s="7" t="s">
        <v>1394</v>
      </c>
      <c r="K380" s="7" t="s">
        <v>1496</v>
      </c>
      <c r="L380" s="7" t="s">
        <v>27</v>
      </c>
      <c r="M380" s="7" t="s">
        <v>28</v>
      </c>
      <c r="N380" s="9" t="s">
        <v>75</v>
      </c>
      <c r="O380" s="7" t="s">
        <v>30</v>
      </c>
      <c r="P380" s="7" t="s">
        <v>20</v>
      </c>
      <c r="Q380" s="7"/>
      <c r="R380" s="7" t="str" cm="1">
        <f t="array" ref="R380">IF(AND(Q380="",P380&lt;&gt;""),N380,_xlfn.SWITCH(IF(Q380&lt;&gt;"",Q380,O380)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Centers",IF(Q380&lt;&gt;"",Q380,O380)))</f>
        <v>Agenturleiter/in</v>
      </c>
      <c r="S380" s="7" t="str">
        <f>IF(N380&lt;&gt;R380,"x","")</f>
        <v>x</v>
      </c>
    </row>
    <row r="381" spans="1:19" hidden="1" x14ac:dyDescent="0.25">
      <c r="A381" s="7" t="s">
        <v>1497</v>
      </c>
      <c r="B381" s="7" t="s">
        <v>20</v>
      </c>
      <c r="C381" s="7" t="s">
        <v>1449</v>
      </c>
      <c r="D381" s="7" t="s">
        <v>1450</v>
      </c>
      <c r="E381" s="7" t="s">
        <v>20</v>
      </c>
      <c r="F381" s="7" t="s">
        <v>20</v>
      </c>
      <c r="G381" s="7" t="s">
        <v>1259</v>
      </c>
      <c r="H381" s="7" t="s">
        <v>20</v>
      </c>
      <c r="I381" s="8" t="s">
        <v>1498</v>
      </c>
      <c r="J381" s="7" t="s">
        <v>1499</v>
      </c>
      <c r="K381" s="7" t="s">
        <v>1500</v>
      </c>
      <c r="L381" s="7" t="s">
        <v>40</v>
      </c>
      <c r="M381" s="7" t="s">
        <v>41</v>
      </c>
      <c r="N381" s="9" t="s">
        <v>75</v>
      </c>
      <c r="O381" s="7" t="s">
        <v>88</v>
      </c>
      <c r="P381" s="7" t="s">
        <v>20</v>
      </c>
      <c r="Q381" s="7"/>
      <c r="R381" s="7" t="str" cm="1">
        <f t="array" ref="R381">IF(AND(Q381="",P381&lt;&gt;""),N381,_xlfn.SWITCH(IF(Q381&lt;&gt;"",Q381,O381)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Centers",IF(Q381&lt;&gt;"",Q381,O381)))</f>
        <v>Kundenberater/in</v>
      </c>
      <c r="S381" s="7" t="str">
        <f>IF(N381&lt;&gt;R381,"x","")</f>
        <v>x</v>
      </c>
    </row>
    <row r="382" spans="1:19" hidden="1" x14ac:dyDescent="0.25">
      <c r="A382" s="7" t="s">
        <v>1501</v>
      </c>
      <c r="B382" s="7" t="s">
        <v>20</v>
      </c>
      <c r="C382" s="7" t="s">
        <v>1449</v>
      </c>
      <c r="D382" s="7" t="s">
        <v>1450</v>
      </c>
      <c r="E382" s="7" t="s">
        <v>20</v>
      </c>
      <c r="F382" s="7" t="s">
        <v>20</v>
      </c>
      <c r="G382" s="7" t="s">
        <v>1259</v>
      </c>
      <c r="H382" s="7" t="s">
        <v>20</v>
      </c>
      <c r="I382" s="8" t="s">
        <v>343</v>
      </c>
      <c r="J382" s="7" t="s">
        <v>1502</v>
      </c>
      <c r="K382" s="7" t="s">
        <v>1503</v>
      </c>
      <c r="L382" s="7" t="s">
        <v>40</v>
      </c>
      <c r="M382" s="7" t="s">
        <v>41</v>
      </c>
      <c r="N382" s="9" t="s">
        <v>66</v>
      </c>
      <c r="O382" s="7" t="s">
        <v>48</v>
      </c>
      <c r="P382" s="7" t="s">
        <v>20</v>
      </c>
      <c r="Q382" s="7"/>
      <c r="R382" s="7" t="str" cm="1">
        <f t="array" ref="R382">IF(AND(Q382="",P382&lt;&gt;""),N382,_xlfn.SWITCH(IF(Q382&lt;&gt;"",Q382,O382)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Centers",IF(Q382&lt;&gt;"",Q382,O382)))</f>
        <v>Repräsentant/in</v>
      </c>
      <c r="S382" s="7" t="str">
        <f>IF(N382&lt;&gt;R382,"x","")</f>
        <v/>
      </c>
    </row>
    <row r="383" spans="1:19" hidden="1" x14ac:dyDescent="0.25">
      <c r="A383" s="7" t="s">
        <v>1504</v>
      </c>
      <c r="B383" s="7" t="s">
        <v>20</v>
      </c>
      <c r="C383" s="7" t="s">
        <v>1449</v>
      </c>
      <c r="D383" s="7" t="s">
        <v>1450</v>
      </c>
      <c r="E383" s="7" t="s">
        <v>20</v>
      </c>
      <c r="F383" s="7" t="s">
        <v>20</v>
      </c>
      <c r="G383" s="7" t="s">
        <v>1259</v>
      </c>
      <c r="H383" s="7" t="s">
        <v>20</v>
      </c>
      <c r="I383" s="8" t="s">
        <v>1505</v>
      </c>
      <c r="J383" s="7" t="s">
        <v>1506</v>
      </c>
      <c r="K383" s="7" t="s">
        <v>1507</v>
      </c>
      <c r="L383" s="7" t="s">
        <v>64</v>
      </c>
      <c r="M383" s="7" t="s">
        <v>65</v>
      </c>
      <c r="N383" s="9" t="s">
        <v>149</v>
      </c>
      <c r="O383" s="7" t="s">
        <v>67</v>
      </c>
      <c r="P383" s="7" t="s">
        <v>20</v>
      </c>
      <c r="Q383" s="7"/>
      <c r="R383" s="7" t="str" cm="1">
        <f t="array" ref="R383">IF(AND(Q383="",P383&lt;&gt;""),N383,_xlfn.SWITCH(IF(Q383&lt;&gt;"",Q383,O383)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Centers",IF(Q383&lt;&gt;"",Q383,O383)))</f>
        <v>Leiter/in des Service Centers</v>
      </c>
      <c r="S383" s="7" t="str">
        <f>IF(N383&lt;&gt;R383,"x","")</f>
        <v>x</v>
      </c>
    </row>
    <row r="384" spans="1:19" hidden="1" x14ac:dyDescent="0.25">
      <c r="A384" s="7" t="s">
        <v>1508</v>
      </c>
      <c r="B384" s="7" t="s">
        <v>20</v>
      </c>
      <c r="C384" s="7" t="s">
        <v>1449</v>
      </c>
      <c r="D384" s="7" t="s">
        <v>1450</v>
      </c>
      <c r="E384" s="7" t="s">
        <v>20</v>
      </c>
      <c r="F384" s="7" t="s">
        <v>20</v>
      </c>
      <c r="G384" s="7" t="s">
        <v>1259</v>
      </c>
      <c r="H384" s="7" t="s">
        <v>20</v>
      </c>
      <c r="I384" s="8" t="s">
        <v>82</v>
      </c>
      <c r="J384" s="7" t="s">
        <v>1290</v>
      </c>
      <c r="K384" s="7" t="s">
        <v>1509</v>
      </c>
      <c r="L384" s="7" t="s">
        <v>27</v>
      </c>
      <c r="M384" s="7" t="s">
        <v>28</v>
      </c>
      <c r="N384" s="9" t="s">
        <v>80</v>
      </c>
      <c r="O384" s="7" t="s">
        <v>30</v>
      </c>
      <c r="P384" s="7" t="s">
        <v>20</v>
      </c>
      <c r="Q384" s="7"/>
      <c r="R384" s="7" t="str" cm="1">
        <f t="array" ref="R384">IF(AND(Q384="",P384&lt;&gt;""),N384,_xlfn.SWITCH(IF(Q384&lt;&gt;"",Q384,O384)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Centers",IF(Q384&lt;&gt;"",Q384,O384)))</f>
        <v>Agenturleiter/in</v>
      </c>
      <c r="S384" s="7" t="str">
        <f>IF(N384&lt;&gt;R384,"x","")</f>
        <v>x</v>
      </c>
    </row>
    <row r="385" spans="1:19" hidden="1" x14ac:dyDescent="0.25">
      <c r="A385" s="7" t="s">
        <v>1510</v>
      </c>
      <c r="B385" s="7" t="s">
        <v>20</v>
      </c>
      <c r="C385" s="7" t="s">
        <v>1449</v>
      </c>
      <c r="D385" s="7" t="s">
        <v>1450</v>
      </c>
      <c r="E385" s="7" t="s">
        <v>20</v>
      </c>
      <c r="F385" s="7" t="s">
        <v>20</v>
      </c>
      <c r="G385" s="7" t="s">
        <v>1259</v>
      </c>
      <c r="H385" s="7" t="s">
        <v>20</v>
      </c>
      <c r="I385" s="8" t="s">
        <v>1511</v>
      </c>
      <c r="J385" s="7" t="s">
        <v>1512</v>
      </c>
      <c r="K385" s="7" t="s">
        <v>1513</v>
      </c>
      <c r="L385" s="7" t="s">
        <v>40</v>
      </c>
      <c r="M385" s="7" t="s">
        <v>41</v>
      </c>
      <c r="N385" s="9" t="s">
        <v>75</v>
      </c>
      <c r="O385" s="7" t="s">
        <v>48</v>
      </c>
      <c r="P385" s="7" t="s">
        <v>20</v>
      </c>
      <c r="Q385" s="7"/>
      <c r="R385" s="7" t="str" cm="1">
        <f t="array" ref="R385">IF(AND(Q385="",P385&lt;&gt;""),N385,_xlfn.SWITCH(IF(Q385&lt;&gt;"",Q385,O385)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Centers",IF(Q385&lt;&gt;"",Q385,O385)))</f>
        <v>Repräsentant/in</v>
      </c>
      <c r="S385" s="7" t="str">
        <f>IF(N385&lt;&gt;R385,"x","")</f>
        <v>x</v>
      </c>
    </row>
    <row r="386" spans="1:19" hidden="1" x14ac:dyDescent="0.25">
      <c r="A386" s="7" t="s">
        <v>1514</v>
      </c>
      <c r="B386" s="7" t="s">
        <v>20</v>
      </c>
      <c r="C386" s="7" t="s">
        <v>1449</v>
      </c>
      <c r="D386" s="7" t="s">
        <v>1450</v>
      </c>
      <c r="E386" s="7" t="s">
        <v>20</v>
      </c>
      <c r="F386" s="7" t="s">
        <v>20</v>
      </c>
      <c r="G386" s="7" t="s">
        <v>1259</v>
      </c>
      <c r="H386" s="7" t="s">
        <v>20</v>
      </c>
      <c r="I386" s="8" t="s">
        <v>1515</v>
      </c>
      <c r="J386" s="7" t="s">
        <v>1515</v>
      </c>
      <c r="K386" s="7" t="s">
        <v>1516</v>
      </c>
      <c r="L386" s="7" t="s">
        <v>228</v>
      </c>
      <c r="M386" s="7" t="s">
        <v>229</v>
      </c>
      <c r="N386" s="9" t="s">
        <v>66</v>
      </c>
      <c r="O386" s="7" t="s">
        <v>238</v>
      </c>
      <c r="P386" s="7" t="s">
        <v>20</v>
      </c>
      <c r="Q386" s="7"/>
      <c r="R386" s="7" t="str" cm="1">
        <f t="array" ref="R386">IF(AND(Q386="",P386&lt;&gt;""),N386,_xlfn.SWITCH(IF(Q386&lt;&gt;"",Q386,O386)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Centers",IF(Q386&lt;&gt;"",Q386,O386)))</f>
        <v>Agenturleiter/in</v>
      </c>
      <c r="S386" s="7" t="str">
        <f>IF(N386&lt;&gt;R386,"x","")</f>
        <v>x</v>
      </c>
    </row>
    <row r="387" spans="1:19" hidden="1" x14ac:dyDescent="0.25">
      <c r="A387" s="7" t="s">
        <v>1517</v>
      </c>
      <c r="B387" s="7" t="s">
        <v>20</v>
      </c>
      <c r="C387" s="7" t="s">
        <v>1449</v>
      </c>
      <c r="D387" s="7" t="s">
        <v>1450</v>
      </c>
      <c r="E387" s="7" t="s">
        <v>20</v>
      </c>
      <c r="F387" s="7" t="s">
        <v>20</v>
      </c>
      <c r="G387" s="7" t="s">
        <v>1259</v>
      </c>
      <c r="H387" s="7" t="s">
        <v>20</v>
      </c>
      <c r="I387" s="8" t="s">
        <v>1518</v>
      </c>
      <c r="J387" s="7" t="s">
        <v>1519</v>
      </c>
      <c r="K387" s="7" t="s">
        <v>1520</v>
      </c>
      <c r="L387" s="7" t="s">
        <v>64</v>
      </c>
      <c r="M387" s="7" t="s">
        <v>65</v>
      </c>
      <c r="N387" s="9" t="s">
        <v>149</v>
      </c>
      <c r="O387" s="7" t="s">
        <v>67</v>
      </c>
      <c r="P387" s="7" t="s">
        <v>20</v>
      </c>
      <c r="Q387" s="7"/>
      <c r="R387" s="7" t="str" cm="1">
        <f t="array" ref="R387">IF(AND(Q387="",P387&lt;&gt;""),N387,_xlfn.SWITCH(IF(Q387&lt;&gt;"",Q387,O387)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Centers",IF(Q387&lt;&gt;"",Q387,O387)))</f>
        <v>Leiter/in des Service Centers</v>
      </c>
      <c r="S387" s="7" t="str">
        <f>IF(N387&lt;&gt;R387,"x","")</f>
        <v>x</v>
      </c>
    </row>
    <row r="388" spans="1:19" hidden="1" x14ac:dyDescent="0.25">
      <c r="A388" s="7" t="s">
        <v>1521</v>
      </c>
      <c r="B388" s="7" t="s">
        <v>20</v>
      </c>
      <c r="C388" s="7" t="s">
        <v>1449</v>
      </c>
      <c r="D388" s="7" t="s">
        <v>1450</v>
      </c>
      <c r="E388" s="7" t="s">
        <v>20</v>
      </c>
      <c r="F388" s="7" t="s">
        <v>20</v>
      </c>
      <c r="G388" s="7" t="s">
        <v>1259</v>
      </c>
      <c r="H388" s="7" t="s">
        <v>20</v>
      </c>
      <c r="I388" s="8" t="s">
        <v>1522</v>
      </c>
      <c r="J388" s="7" t="s">
        <v>1523</v>
      </c>
      <c r="K388" s="7" t="s">
        <v>1524</v>
      </c>
      <c r="L388" s="7" t="s">
        <v>64</v>
      </c>
      <c r="M388" s="7" t="s">
        <v>65</v>
      </c>
      <c r="N388" s="9" t="s">
        <v>111</v>
      </c>
      <c r="O388" s="7" t="s">
        <v>67</v>
      </c>
      <c r="P388" s="7" t="s">
        <v>20</v>
      </c>
      <c r="Q388" s="7"/>
      <c r="R388" s="7" t="str" cm="1">
        <f t="array" ref="R388">IF(AND(Q388="",P388&lt;&gt;""),N388,_xlfn.SWITCH(IF(Q388&lt;&gt;"",Q388,O388)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Centers",IF(Q388&lt;&gt;"",Q388,O388)))</f>
        <v>Leiter/in des Service Centers</v>
      </c>
      <c r="S388" s="7" t="str">
        <f>IF(N388&lt;&gt;R388,"x","")</f>
        <v>x</v>
      </c>
    </row>
    <row r="389" spans="1:19" hidden="1" x14ac:dyDescent="0.25">
      <c r="A389" s="7" t="s">
        <v>1525</v>
      </c>
      <c r="B389" s="7" t="s">
        <v>20</v>
      </c>
      <c r="C389" s="7" t="s">
        <v>1449</v>
      </c>
      <c r="D389" s="7" t="s">
        <v>1450</v>
      </c>
      <c r="E389" s="7" t="s">
        <v>20</v>
      </c>
      <c r="F389" s="7" t="s">
        <v>20</v>
      </c>
      <c r="G389" s="7" t="s">
        <v>1259</v>
      </c>
      <c r="H389" s="7" t="s">
        <v>20</v>
      </c>
      <c r="I389" s="8" t="s">
        <v>398</v>
      </c>
      <c r="J389" s="7" t="s">
        <v>1526</v>
      </c>
      <c r="K389" s="7" t="s">
        <v>1527</v>
      </c>
      <c r="L389" s="7" t="s">
        <v>40</v>
      </c>
      <c r="M389" s="7" t="s">
        <v>41</v>
      </c>
      <c r="N389" s="9" t="s">
        <v>75</v>
      </c>
      <c r="O389" s="7" t="s">
        <v>88</v>
      </c>
      <c r="P389" s="7" t="s">
        <v>20</v>
      </c>
      <c r="Q389" s="7"/>
      <c r="R389" s="7" t="str" cm="1">
        <f t="array" ref="R389">IF(AND(Q389="",P389&lt;&gt;""),N389,_xlfn.SWITCH(IF(Q389&lt;&gt;"",Q389,O389)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Centers",IF(Q389&lt;&gt;"",Q389,O389)))</f>
        <v>Kundenberater/in</v>
      </c>
      <c r="S389" s="7" t="str">
        <f>IF(N389&lt;&gt;R389,"x","")</f>
        <v>x</v>
      </c>
    </row>
    <row r="390" spans="1:19" hidden="1" x14ac:dyDescent="0.25">
      <c r="A390" s="7" t="s">
        <v>1528</v>
      </c>
      <c r="B390" s="7" t="s">
        <v>20</v>
      </c>
      <c r="C390" s="7" t="s">
        <v>1449</v>
      </c>
      <c r="D390" s="7" t="s">
        <v>1450</v>
      </c>
      <c r="E390" s="7" t="s">
        <v>20</v>
      </c>
      <c r="F390" s="7" t="s">
        <v>20</v>
      </c>
      <c r="G390" s="7" t="s">
        <v>1259</v>
      </c>
      <c r="H390" s="7" t="s">
        <v>20</v>
      </c>
      <c r="I390" s="8" t="s">
        <v>1473</v>
      </c>
      <c r="J390" s="7" t="s">
        <v>1529</v>
      </c>
      <c r="K390" s="7" t="s">
        <v>1530</v>
      </c>
      <c r="L390" s="7" t="s">
        <v>124</v>
      </c>
      <c r="M390" s="7" t="s">
        <v>125</v>
      </c>
      <c r="N390" s="9" t="s">
        <v>59</v>
      </c>
      <c r="O390" s="7" t="s">
        <v>67</v>
      </c>
      <c r="P390" s="7" t="s">
        <v>20</v>
      </c>
      <c r="Q390" s="7"/>
      <c r="R390" s="7" t="str" cm="1">
        <f t="array" ref="R390">IF(AND(Q390="",P390&lt;&gt;""),N390,_xlfn.SWITCH(IF(Q390&lt;&gt;"",Q390,O390)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Centers",IF(Q390&lt;&gt;"",Q390,O390)))</f>
        <v>Leiter/in des Service Centers</v>
      </c>
      <c r="S390" s="7" t="str">
        <f>IF(N390&lt;&gt;R390,"x","")</f>
        <v/>
      </c>
    </row>
    <row r="391" spans="1:19" hidden="1" x14ac:dyDescent="0.25">
      <c r="A391" s="7" t="s">
        <v>1531</v>
      </c>
      <c r="B391" s="7" t="s">
        <v>20</v>
      </c>
      <c r="C391" s="7" t="s">
        <v>1449</v>
      </c>
      <c r="D391" s="7" t="s">
        <v>1450</v>
      </c>
      <c r="E391" s="7" t="s">
        <v>20</v>
      </c>
      <c r="F391" s="7" t="s">
        <v>20</v>
      </c>
      <c r="G391" s="7" t="s">
        <v>1259</v>
      </c>
      <c r="H391" s="7" t="s">
        <v>20</v>
      </c>
      <c r="I391" s="8" t="s">
        <v>122</v>
      </c>
      <c r="J391" s="7" t="s">
        <v>1532</v>
      </c>
      <c r="K391" s="7" t="s">
        <v>1533</v>
      </c>
      <c r="L391" s="7" t="s">
        <v>124</v>
      </c>
      <c r="M391" s="7" t="s">
        <v>125</v>
      </c>
      <c r="N391" s="9" t="s">
        <v>75</v>
      </c>
      <c r="O391" s="7" t="s">
        <v>67</v>
      </c>
      <c r="P391" s="7" t="s">
        <v>20</v>
      </c>
      <c r="Q391" s="7"/>
      <c r="R391" s="7" t="str" cm="1">
        <f t="array" ref="R391">IF(AND(Q391="",P391&lt;&gt;""),N391,_xlfn.SWITCH(IF(Q391&lt;&gt;"",Q391,O391)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Centers",IF(Q391&lt;&gt;"",Q391,O391)))</f>
        <v>Leiter/in des Service Centers</v>
      </c>
      <c r="S391" s="7" t="str">
        <f>IF(N391&lt;&gt;R391,"x","")</f>
        <v>x</v>
      </c>
    </row>
    <row r="392" spans="1:19" hidden="1" x14ac:dyDescent="0.25">
      <c r="A392" s="7" t="s">
        <v>1534</v>
      </c>
      <c r="B392" s="7" t="s">
        <v>1535</v>
      </c>
      <c r="C392" s="7" t="s">
        <v>1449</v>
      </c>
      <c r="D392" s="7" t="s">
        <v>1450</v>
      </c>
      <c r="E392" s="7" t="s">
        <v>794</v>
      </c>
      <c r="F392" s="7" t="s">
        <v>795</v>
      </c>
      <c r="G392" s="7" t="s">
        <v>796</v>
      </c>
      <c r="H392" s="7" t="s">
        <v>796</v>
      </c>
      <c r="I392" s="8" t="s">
        <v>1536</v>
      </c>
      <c r="J392" s="7" t="s">
        <v>1537</v>
      </c>
      <c r="K392" s="7" t="s">
        <v>63</v>
      </c>
      <c r="L392" s="7" t="s">
        <v>40</v>
      </c>
      <c r="M392" s="7" t="s">
        <v>41</v>
      </c>
      <c r="N392" s="9" t="s">
        <v>111</v>
      </c>
      <c r="O392" s="7" t="s">
        <v>48</v>
      </c>
      <c r="P392" s="7" t="s">
        <v>49</v>
      </c>
      <c r="Q392" s="7"/>
      <c r="R392" s="7" t="str" cm="1">
        <f t="array" ref="R392">IF(AND(Q392="",P392&lt;&gt;""),N392,_xlfn.SWITCH(IF(Q392&lt;&gt;"",Q392,O392)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Centers",IF(Q392&lt;&gt;"",Q392,O392)))</f>
        <v>Hauptagent/in</v>
      </c>
      <c r="S392" s="7" t="str">
        <f>IF(N392&lt;&gt;R392,"x","")</f>
        <v/>
      </c>
    </row>
    <row r="393" spans="1:19" hidden="1" x14ac:dyDescent="0.25">
      <c r="A393" s="7" t="s">
        <v>1538</v>
      </c>
      <c r="B393" s="7" t="s">
        <v>1539</v>
      </c>
      <c r="C393" s="7" t="s">
        <v>1449</v>
      </c>
      <c r="D393" s="7" t="s">
        <v>1450</v>
      </c>
      <c r="E393" s="7" t="s">
        <v>794</v>
      </c>
      <c r="F393" s="7" t="s">
        <v>795</v>
      </c>
      <c r="G393" s="7" t="s">
        <v>796</v>
      </c>
      <c r="H393" s="7" t="s">
        <v>796</v>
      </c>
      <c r="I393" s="8" t="s">
        <v>1540</v>
      </c>
      <c r="J393" s="7" t="s">
        <v>1541</v>
      </c>
      <c r="K393" s="7" t="s">
        <v>1542</v>
      </c>
      <c r="L393" s="7" t="s">
        <v>40</v>
      </c>
      <c r="M393" s="7" t="s">
        <v>41</v>
      </c>
      <c r="N393" s="9" t="s">
        <v>20</v>
      </c>
      <c r="O393" s="7" t="s">
        <v>48</v>
      </c>
      <c r="P393" s="7" t="s">
        <v>20</v>
      </c>
      <c r="Q393" s="7"/>
      <c r="R393" s="7" t="str" cm="1">
        <f t="array" ref="R393">IF(AND(Q393="",P393&lt;&gt;""),N393,_xlfn.SWITCH(IF(Q393&lt;&gt;"",Q393,O393)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Centers",IF(Q393&lt;&gt;"",Q393,O393)))</f>
        <v>Repräsentant/in</v>
      </c>
      <c r="S393" s="7" t="str">
        <f>IF(N393&lt;&gt;R393,"x","")</f>
        <v>x</v>
      </c>
    </row>
    <row r="394" spans="1:19" hidden="1" x14ac:dyDescent="0.25">
      <c r="A394" s="7" t="s">
        <v>1543</v>
      </c>
      <c r="B394" s="7" t="s">
        <v>1544</v>
      </c>
      <c r="C394" s="7" t="s">
        <v>1449</v>
      </c>
      <c r="D394" s="7" t="s">
        <v>1450</v>
      </c>
      <c r="E394" s="7" t="s">
        <v>794</v>
      </c>
      <c r="F394" s="7" t="s">
        <v>795</v>
      </c>
      <c r="G394" s="7" t="s">
        <v>796</v>
      </c>
      <c r="H394" s="7" t="s">
        <v>796</v>
      </c>
      <c r="I394" s="8" t="s">
        <v>712</v>
      </c>
      <c r="J394" s="7" t="s">
        <v>1545</v>
      </c>
      <c r="K394" s="7" t="s">
        <v>1546</v>
      </c>
      <c r="L394" s="7" t="s">
        <v>228</v>
      </c>
      <c r="M394" s="7" t="s">
        <v>229</v>
      </c>
      <c r="N394" s="9" t="s">
        <v>111</v>
      </c>
      <c r="O394" s="7" t="s">
        <v>30</v>
      </c>
      <c r="P394" s="7" t="s">
        <v>20</v>
      </c>
      <c r="Q394" s="7"/>
      <c r="R394" s="7" t="str" cm="1">
        <f t="array" ref="R394">IF(AND(Q394="",P394&lt;&gt;""),N394,_xlfn.SWITCH(IF(Q394&lt;&gt;"",Q394,O394)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Centers",IF(Q394&lt;&gt;"",Q394,O394)))</f>
        <v>Agenturleiter/in</v>
      </c>
      <c r="S394" s="7" t="str">
        <f>IF(N394&lt;&gt;R394,"x","")</f>
        <v>x</v>
      </c>
    </row>
    <row r="395" spans="1:19" hidden="1" x14ac:dyDescent="0.25">
      <c r="A395" s="7" t="s">
        <v>1547</v>
      </c>
      <c r="B395" s="7" t="s">
        <v>1548</v>
      </c>
      <c r="C395" s="7" t="s">
        <v>1449</v>
      </c>
      <c r="D395" s="7" t="s">
        <v>1450</v>
      </c>
      <c r="E395" s="7" t="s">
        <v>794</v>
      </c>
      <c r="F395" s="7" t="s">
        <v>795</v>
      </c>
      <c r="G395" s="7" t="s">
        <v>796</v>
      </c>
      <c r="H395" s="7" t="s">
        <v>796</v>
      </c>
      <c r="I395" s="8" t="s">
        <v>1549</v>
      </c>
      <c r="J395" s="7" t="s">
        <v>1280</v>
      </c>
      <c r="K395" s="7" t="s">
        <v>1550</v>
      </c>
      <c r="L395" s="7" t="s">
        <v>40</v>
      </c>
      <c r="M395" s="7" t="s">
        <v>41</v>
      </c>
      <c r="N395" s="9" t="s">
        <v>75</v>
      </c>
      <c r="O395" s="7" t="s">
        <v>120</v>
      </c>
      <c r="P395" s="7" t="s">
        <v>20</v>
      </c>
      <c r="Q395" s="7"/>
      <c r="R395" s="7" t="str" cm="1">
        <f t="array" ref="R395">IF(AND(Q395="",P395&lt;&gt;""),N395,_xlfn.SWITCH(IF(Q395&lt;&gt;"",Q395,O395)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Centers",IF(Q395&lt;&gt;"",Q395,O395)))</f>
        <v>Kundenberater/in</v>
      </c>
      <c r="S395" s="7" t="str">
        <f>IF(N395&lt;&gt;R395,"x","")</f>
        <v>x</v>
      </c>
    </row>
    <row r="396" spans="1:19" hidden="1" x14ac:dyDescent="0.25">
      <c r="A396" s="7" t="s">
        <v>1551</v>
      </c>
      <c r="B396" s="7" t="s">
        <v>20</v>
      </c>
      <c r="C396" s="7" t="s">
        <v>775</v>
      </c>
      <c r="D396" s="7" t="s">
        <v>776</v>
      </c>
      <c r="E396" s="7" t="s">
        <v>20</v>
      </c>
      <c r="F396" s="7" t="s">
        <v>20</v>
      </c>
      <c r="G396" s="7" t="s">
        <v>777</v>
      </c>
      <c r="H396" s="7" t="s">
        <v>20</v>
      </c>
      <c r="I396" s="8" t="s">
        <v>1055</v>
      </c>
      <c r="J396" s="7" t="s">
        <v>1552</v>
      </c>
      <c r="K396" s="7" t="s">
        <v>1553</v>
      </c>
      <c r="L396" s="7" t="s">
        <v>228</v>
      </c>
      <c r="M396" s="7" t="s">
        <v>229</v>
      </c>
      <c r="N396" s="9" t="s">
        <v>149</v>
      </c>
      <c r="O396" s="7" t="s">
        <v>30</v>
      </c>
      <c r="P396" s="7" t="s">
        <v>20</v>
      </c>
      <c r="Q396" s="7"/>
      <c r="R396" s="7" t="str" cm="1">
        <f t="array" ref="R396">IF(AND(Q396="",P396&lt;&gt;""),N396,_xlfn.SWITCH(IF(Q396&lt;&gt;"",Q396,O396)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Centers",IF(Q396&lt;&gt;"",Q396,O396)))</f>
        <v>Agenturleiter/in</v>
      </c>
      <c r="S396" s="7" t="str">
        <f>IF(N396&lt;&gt;R396,"x","")</f>
        <v>x</v>
      </c>
    </row>
    <row r="397" spans="1:19" hidden="1" x14ac:dyDescent="0.25">
      <c r="A397" s="7" t="s">
        <v>1554</v>
      </c>
      <c r="B397" s="7" t="s">
        <v>20</v>
      </c>
      <c r="C397" s="7" t="s">
        <v>775</v>
      </c>
      <c r="D397" s="7" t="s">
        <v>776</v>
      </c>
      <c r="E397" s="7" t="s">
        <v>20</v>
      </c>
      <c r="F397" s="7" t="s">
        <v>20</v>
      </c>
      <c r="G397" s="7" t="s">
        <v>777</v>
      </c>
      <c r="H397" s="7" t="s">
        <v>20</v>
      </c>
      <c r="I397" s="8" t="s">
        <v>1555</v>
      </c>
      <c r="J397" s="7" t="s">
        <v>1555</v>
      </c>
      <c r="K397" s="7" t="s">
        <v>1556</v>
      </c>
      <c r="L397" s="7" t="s">
        <v>64</v>
      </c>
      <c r="M397" s="7" t="s">
        <v>65</v>
      </c>
      <c r="N397" s="9" t="s">
        <v>59</v>
      </c>
      <c r="O397" s="7" t="s">
        <v>59</v>
      </c>
      <c r="P397" s="7" t="s">
        <v>20</v>
      </c>
      <c r="Q397" s="7"/>
      <c r="R397" s="7" t="str" cm="1">
        <f t="array" ref="R397">IF(AND(Q397="",P397&lt;&gt;""),N397,_xlfn.SWITCH(IF(Q397&lt;&gt;"",Q397,O397)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Centers",IF(Q397&lt;&gt;"",Q397,O397)))</f>
        <v>Leiter/in des Service Centers</v>
      </c>
      <c r="S397" s="7" t="str">
        <f>IF(N397&lt;&gt;R397,"x","")</f>
        <v/>
      </c>
    </row>
    <row r="398" spans="1:19" hidden="1" x14ac:dyDescent="0.25">
      <c r="A398" s="7" t="s">
        <v>1557</v>
      </c>
      <c r="B398" s="7" t="s">
        <v>20</v>
      </c>
      <c r="C398" s="7" t="s">
        <v>775</v>
      </c>
      <c r="D398" s="7" t="s">
        <v>776</v>
      </c>
      <c r="E398" s="7" t="s">
        <v>20</v>
      </c>
      <c r="F398" s="7" t="s">
        <v>20</v>
      </c>
      <c r="G398" s="7" t="s">
        <v>777</v>
      </c>
      <c r="H398" s="7" t="s">
        <v>20</v>
      </c>
      <c r="I398" s="8" t="s">
        <v>1558</v>
      </c>
      <c r="J398" s="7" t="s">
        <v>1559</v>
      </c>
      <c r="K398" s="7" t="s">
        <v>1560</v>
      </c>
      <c r="L398" s="7" t="s">
        <v>97</v>
      </c>
      <c r="M398" s="7" t="s">
        <v>98</v>
      </c>
      <c r="N398" s="9" t="s">
        <v>66</v>
      </c>
      <c r="O398" s="7" t="s">
        <v>99</v>
      </c>
      <c r="P398" s="7" t="s">
        <v>20</v>
      </c>
      <c r="Q398" s="7"/>
      <c r="R398" s="7" t="str" cm="1">
        <f t="array" ref="R398">IF(AND(Q398="",P398&lt;&gt;""),N398,_xlfn.SWITCH(IF(Q398&lt;&gt;"",Q398,O398)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Centers",IF(Q398&lt;&gt;"",Q398,O398)))</f>
        <v>Hauptagent/in</v>
      </c>
      <c r="S398" s="7" t="str">
        <f>IF(N398&lt;&gt;R398,"x","")</f>
        <v>x</v>
      </c>
    </row>
    <row r="399" spans="1:19" hidden="1" x14ac:dyDescent="0.25">
      <c r="A399" s="7" t="s">
        <v>1561</v>
      </c>
      <c r="B399" s="7" t="s">
        <v>20</v>
      </c>
      <c r="C399" s="7" t="s">
        <v>775</v>
      </c>
      <c r="D399" s="7" t="s">
        <v>776</v>
      </c>
      <c r="E399" s="7" t="s">
        <v>20</v>
      </c>
      <c r="F399" s="7" t="s">
        <v>20</v>
      </c>
      <c r="G399" s="7" t="s">
        <v>777</v>
      </c>
      <c r="H399" s="7" t="s">
        <v>20</v>
      </c>
      <c r="I399" s="8" t="s">
        <v>1562</v>
      </c>
      <c r="J399" s="7" t="s">
        <v>1563</v>
      </c>
      <c r="K399" s="7" t="s">
        <v>1564</v>
      </c>
      <c r="L399" s="7" t="s">
        <v>40</v>
      </c>
      <c r="M399" s="7" t="s">
        <v>41</v>
      </c>
      <c r="N399" s="9" t="s">
        <v>66</v>
      </c>
      <c r="O399" s="7" t="s">
        <v>48</v>
      </c>
      <c r="P399" s="7" t="s">
        <v>20</v>
      </c>
      <c r="Q399" s="7"/>
      <c r="R399" s="7" t="str" cm="1">
        <f t="array" ref="R399">IF(AND(Q399="",P399&lt;&gt;""),N399,_xlfn.SWITCH(IF(Q399&lt;&gt;"",Q399,O399)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Centers",IF(Q399&lt;&gt;"",Q399,O399)))</f>
        <v>Repräsentant/in</v>
      </c>
      <c r="S399" s="7" t="str">
        <f>IF(N399&lt;&gt;R399,"x","")</f>
        <v/>
      </c>
    </row>
    <row r="400" spans="1:19" hidden="1" x14ac:dyDescent="0.25">
      <c r="A400" s="7" t="s">
        <v>1565</v>
      </c>
      <c r="B400" s="7" t="s">
        <v>20</v>
      </c>
      <c r="C400" s="7" t="s">
        <v>775</v>
      </c>
      <c r="D400" s="7" t="s">
        <v>776</v>
      </c>
      <c r="E400" s="7" t="s">
        <v>20</v>
      </c>
      <c r="F400" s="7" t="s">
        <v>20</v>
      </c>
      <c r="G400" s="7" t="s">
        <v>777</v>
      </c>
      <c r="H400" s="7" t="s">
        <v>20</v>
      </c>
      <c r="I400" s="8" t="s">
        <v>1566</v>
      </c>
      <c r="J400" s="7" t="s">
        <v>1567</v>
      </c>
      <c r="K400" s="7" t="s">
        <v>1568</v>
      </c>
      <c r="L400" s="7" t="s">
        <v>97</v>
      </c>
      <c r="M400" s="7" t="s">
        <v>98</v>
      </c>
      <c r="N400" s="9" t="s">
        <v>66</v>
      </c>
      <c r="O400" s="7" t="s">
        <v>99</v>
      </c>
      <c r="P400" s="7" t="s">
        <v>20</v>
      </c>
      <c r="Q400" s="7"/>
      <c r="R400" s="7" t="str" cm="1">
        <f t="array" ref="R400">IF(AND(Q400="",P400&lt;&gt;""),N400,_xlfn.SWITCH(IF(Q400&lt;&gt;"",Q400,O400)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Centers",IF(Q400&lt;&gt;"",Q400,O400)))</f>
        <v>Hauptagent/in</v>
      </c>
      <c r="S400" s="7" t="str">
        <f>IF(N400&lt;&gt;R400,"x","")</f>
        <v>x</v>
      </c>
    </row>
    <row r="401" spans="1:19" hidden="1" x14ac:dyDescent="0.25">
      <c r="A401" s="7" t="s">
        <v>1569</v>
      </c>
      <c r="B401" s="7" t="s">
        <v>20</v>
      </c>
      <c r="C401" s="7" t="s">
        <v>775</v>
      </c>
      <c r="D401" s="7" t="s">
        <v>776</v>
      </c>
      <c r="E401" s="7" t="s">
        <v>20</v>
      </c>
      <c r="F401" s="7" t="s">
        <v>20</v>
      </c>
      <c r="G401" s="7" t="s">
        <v>777</v>
      </c>
      <c r="H401" s="7" t="s">
        <v>20</v>
      </c>
      <c r="I401" s="8" t="s">
        <v>1570</v>
      </c>
      <c r="J401" s="7" t="s">
        <v>1571</v>
      </c>
      <c r="K401" s="7" t="s">
        <v>1572</v>
      </c>
      <c r="L401" s="7" t="s">
        <v>228</v>
      </c>
      <c r="M401" s="7" t="s">
        <v>229</v>
      </c>
      <c r="N401" s="9" t="s">
        <v>66</v>
      </c>
      <c r="O401" s="7" t="s">
        <v>54</v>
      </c>
      <c r="P401" s="7" t="s">
        <v>20</v>
      </c>
      <c r="Q401" s="7"/>
      <c r="R401" s="7" t="str" cm="1">
        <f t="array" ref="R401">IF(AND(Q401="",P401&lt;&gt;""),N401,_xlfn.SWITCH(IF(Q401&lt;&gt;"",Q401,O401)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Centers",IF(Q401&lt;&gt;"",Q401,O401)))</f>
        <v>Agenturleiter/in</v>
      </c>
      <c r="S401" s="7" t="str">
        <f>IF(N401&lt;&gt;R401,"x","")</f>
        <v>x</v>
      </c>
    </row>
    <row r="402" spans="1:19" hidden="1" x14ac:dyDescent="0.25">
      <c r="A402" s="7" t="s">
        <v>1573</v>
      </c>
      <c r="B402" s="7" t="s">
        <v>20</v>
      </c>
      <c r="C402" s="7" t="s">
        <v>775</v>
      </c>
      <c r="D402" s="7" t="s">
        <v>776</v>
      </c>
      <c r="E402" s="7" t="s">
        <v>20</v>
      </c>
      <c r="F402" s="7" t="s">
        <v>20</v>
      </c>
      <c r="G402" s="7" t="s">
        <v>777</v>
      </c>
      <c r="H402" s="7" t="s">
        <v>20</v>
      </c>
      <c r="I402" s="8" t="s">
        <v>324</v>
      </c>
      <c r="J402" s="7" t="s">
        <v>1571</v>
      </c>
      <c r="K402" s="7" t="s">
        <v>1574</v>
      </c>
      <c r="L402" s="7" t="s">
        <v>64</v>
      </c>
      <c r="M402" s="7" t="s">
        <v>65</v>
      </c>
      <c r="N402" s="9" t="s">
        <v>149</v>
      </c>
      <c r="O402" s="7" t="s">
        <v>67</v>
      </c>
      <c r="P402" s="7" t="s">
        <v>20</v>
      </c>
      <c r="Q402" s="7"/>
      <c r="R402" s="7" t="str" cm="1">
        <f t="array" ref="R402">IF(AND(Q402="",P402&lt;&gt;""),N402,_xlfn.SWITCH(IF(Q402&lt;&gt;"",Q402,O402)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Centers",IF(Q402&lt;&gt;"",Q402,O402)))</f>
        <v>Leiter/in des Service Centers</v>
      </c>
      <c r="S402" s="7" t="str">
        <f>IF(N402&lt;&gt;R402,"x","")</f>
        <v>x</v>
      </c>
    </row>
    <row r="403" spans="1:19" hidden="1" x14ac:dyDescent="0.25">
      <c r="A403" s="7" t="s">
        <v>1575</v>
      </c>
      <c r="B403" s="7" t="s">
        <v>20</v>
      </c>
      <c r="C403" s="7" t="s">
        <v>775</v>
      </c>
      <c r="D403" s="7" t="s">
        <v>776</v>
      </c>
      <c r="E403" s="7" t="s">
        <v>20</v>
      </c>
      <c r="F403" s="7" t="s">
        <v>20</v>
      </c>
      <c r="G403" s="7" t="s">
        <v>777</v>
      </c>
      <c r="H403" s="7" t="s">
        <v>20</v>
      </c>
      <c r="I403" s="8" t="s">
        <v>496</v>
      </c>
      <c r="J403" s="7" t="s">
        <v>1280</v>
      </c>
      <c r="K403" s="7" t="s">
        <v>63</v>
      </c>
      <c r="L403" s="7" t="s">
        <v>40</v>
      </c>
      <c r="M403" s="7" t="s">
        <v>41</v>
      </c>
      <c r="N403" s="9" t="s">
        <v>29</v>
      </c>
      <c r="O403" s="7" t="s">
        <v>48</v>
      </c>
      <c r="P403" s="7" t="s">
        <v>49</v>
      </c>
      <c r="Q403" s="7"/>
      <c r="R403" s="7" t="str" cm="1">
        <f t="array" ref="R403">IF(AND(Q403="",P403&lt;&gt;""),N403,_xlfn.SWITCH(IF(Q403&lt;&gt;"",Q403,O403)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Centers",IF(Q403&lt;&gt;"",Q403,O403)))</f>
        <v>Generalagent/in</v>
      </c>
      <c r="S403" s="7" t="str">
        <f>IF(N403&lt;&gt;R403,"x","")</f>
        <v/>
      </c>
    </row>
    <row r="404" spans="1:19" hidden="1" x14ac:dyDescent="0.25">
      <c r="A404" s="7" t="s">
        <v>1576</v>
      </c>
      <c r="B404" s="7" t="s">
        <v>20</v>
      </c>
      <c r="C404" s="7" t="s">
        <v>775</v>
      </c>
      <c r="D404" s="7" t="s">
        <v>776</v>
      </c>
      <c r="E404" s="7" t="s">
        <v>20</v>
      </c>
      <c r="F404" s="7" t="s">
        <v>20</v>
      </c>
      <c r="G404" s="7" t="s">
        <v>777</v>
      </c>
      <c r="H404" s="7" t="s">
        <v>20</v>
      </c>
      <c r="I404" s="8" t="s">
        <v>1577</v>
      </c>
      <c r="J404" s="7" t="s">
        <v>1578</v>
      </c>
      <c r="K404" s="7" t="s">
        <v>1579</v>
      </c>
      <c r="L404" s="7" t="s">
        <v>27</v>
      </c>
      <c r="M404" s="7" t="s">
        <v>28</v>
      </c>
      <c r="N404" s="9" t="s">
        <v>66</v>
      </c>
      <c r="O404" s="7" t="s">
        <v>54</v>
      </c>
      <c r="P404" s="7" t="s">
        <v>20</v>
      </c>
      <c r="Q404" s="7"/>
      <c r="R404" s="7" t="str" cm="1">
        <f t="array" ref="R404">IF(AND(Q404="",P404&lt;&gt;""),N404,_xlfn.SWITCH(IF(Q404&lt;&gt;"",Q404,O404)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Centers",IF(Q404&lt;&gt;"",Q404,O404)))</f>
        <v>Agenturleiter/in</v>
      </c>
      <c r="S404" s="7" t="str">
        <f>IF(N404&lt;&gt;R404,"x","")</f>
        <v>x</v>
      </c>
    </row>
    <row r="405" spans="1:19" hidden="1" x14ac:dyDescent="0.25">
      <c r="A405" s="7" t="s">
        <v>1580</v>
      </c>
      <c r="B405" s="7" t="s">
        <v>20</v>
      </c>
      <c r="C405" s="7" t="s">
        <v>775</v>
      </c>
      <c r="D405" s="7" t="s">
        <v>776</v>
      </c>
      <c r="E405" s="7" t="s">
        <v>20</v>
      </c>
      <c r="F405" s="7" t="s">
        <v>20</v>
      </c>
      <c r="G405" s="7" t="s">
        <v>777</v>
      </c>
      <c r="H405" s="7" t="s">
        <v>20</v>
      </c>
      <c r="I405" s="8" t="s">
        <v>987</v>
      </c>
      <c r="J405" s="7" t="s">
        <v>1216</v>
      </c>
      <c r="K405" s="7" t="s">
        <v>1581</v>
      </c>
      <c r="L405" s="7" t="s">
        <v>27</v>
      </c>
      <c r="M405" s="7" t="s">
        <v>28</v>
      </c>
      <c r="N405" s="9" t="s">
        <v>111</v>
      </c>
      <c r="O405" s="7" t="s">
        <v>30</v>
      </c>
      <c r="P405" s="7" t="s">
        <v>20</v>
      </c>
      <c r="Q405" s="7"/>
      <c r="R405" s="7" t="str" cm="1">
        <f t="array" ref="R405">IF(AND(Q405="",P405&lt;&gt;""),N405,_xlfn.SWITCH(IF(Q405&lt;&gt;"",Q405,O405)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Centers",IF(Q405&lt;&gt;"",Q405,O405)))</f>
        <v>Agenturleiter/in</v>
      </c>
      <c r="S405" s="7" t="str">
        <f>IF(N405&lt;&gt;R405,"x","")</f>
        <v>x</v>
      </c>
    </row>
    <row r="406" spans="1:19" hidden="1" x14ac:dyDescent="0.25">
      <c r="A406" s="7" t="s">
        <v>1582</v>
      </c>
      <c r="B406" s="7" t="s">
        <v>20</v>
      </c>
      <c r="C406" s="7" t="s">
        <v>775</v>
      </c>
      <c r="D406" s="7" t="s">
        <v>776</v>
      </c>
      <c r="E406" s="7" t="s">
        <v>20</v>
      </c>
      <c r="F406" s="7" t="s">
        <v>20</v>
      </c>
      <c r="G406" s="7" t="s">
        <v>777</v>
      </c>
      <c r="H406" s="7" t="s">
        <v>20</v>
      </c>
      <c r="I406" s="8" t="s">
        <v>199</v>
      </c>
      <c r="J406" s="7" t="s">
        <v>1583</v>
      </c>
      <c r="K406" s="7" t="s">
        <v>1584</v>
      </c>
      <c r="L406" s="7" t="s">
        <v>40</v>
      </c>
      <c r="M406" s="7" t="s">
        <v>41</v>
      </c>
      <c r="N406" s="9" t="s">
        <v>66</v>
      </c>
      <c r="O406" s="7" t="s">
        <v>43</v>
      </c>
      <c r="P406" s="7" t="s">
        <v>20</v>
      </c>
      <c r="Q406" s="7"/>
      <c r="R406" s="7" t="str" cm="1">
        <f t="array" ref="R406">IF(AND(Q406="",P406&lt;&gt;""),N406,_xlfn.SWITCH(IF(Q406&lt;&gt;"",Q406,O406)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Centers",IF(Q406&lt;&gt;"",Q406,O406)))</f>
        <v>Repräsentant/in</v>
      </c>
      <c r="S406" s="7" t="str">
        <f>IF(N406&lt;&gt;R406,"x","")</f>
        <v/>
      </c>
    </row>
    <row r="407" spans="1:19" hidden="1" x14ac:dyDescent="0.25">
      <c r="A407" s="7" t="s">
        <v>1585</v>
      </c>
      <c r="B407" s="7" t="s">
        <v>20</v>
      </c>
      <c r="C407" s="7" t="s">
        <v>775</v>
      </c>
      <c r="D407" s="7" t="s">
        <v>776</v>
      </c>
      <c r="E407" s="7" t="s">
        <v>20</v>
      </c>
      <c r="F407" s="7" t="s">
        <v>20</v>
      </c>
      <c r="G407" s="7" t="s">
        <v>777</v>
      </c>
      <c r="H407" s="7" t="s">
        <v>20</v>
      </c>
      <c r="I407" s="8" t="s">
        <v>406</v>
      </c>
      <c r="J407" s="7" t="s">
        <v>1586</v>
      </c>
      <c r="K407" s="7" t="s">
        <v>1587</v>
      </c>
      <c r="L407" s="7" t="s">
        <v>40</v>
      </c>
      <c r="M407" s="7" t="s">
        <v>41</v>
      </c>
      <c r="N407" s="9" t="s">
        <v>75</v>
      </c>
      <c r="O407" s="7" t="s">
        <v>48</v>
      </c>
      <c r="P407" s="7" t="s">
        <v>20</v>
      </c>
      <c r="Q407" s="7"/>
      <c r="R407" s="7" t="str" cm="1">
        <f t="array" ref="R407">IF(AND(Q407="",P407&lt;&gt;""),N407,_xlfn.SWITCH(IF(Q407&lt;&gt;"",Q407,O407)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Centers",IF(Q407&lt;&gt;"",Q407,O407)))</f>
        <v>Repräsentant/in</v>
      </c>
      <c r="S407" s="7" t="str">
        <f>IF(N407&lt;&gt;R407,"x","")</f>
        <v>x</v>
      </c>
    </row>
    <row r="408" spans="1:19" hidden="1" x14ac:dyDescent="0.25">
      <c r="A408" s="7" t="s">
        <v>1588</v>
      </c>
      <c r="B408" s="7" t="s">
        <v>20</v>
      </c>
      <c r="C408" s="7" t="s">
        <v>775</v>
      </c>
      <c r="D408" s="7" t="s">
        <v>776</v>
      </c>
      <c r="E408" s="7" t="s">
        <v>20</v>
      </c>
      <c r="F408" s="7" t="s">
        <v>20</v>
      </c>
      <c r="G408" s="7" t="s">
        <v>777</v>
      </c>
      <c r="H408" s="7" t="s">
        <v>20</v>
      </c>
      <c r="I408" s="8" t="s">
        <v>1589</v>
      </c>
      <c r="J408" s="7" t="s">
        <v>1590</v>
      </c>
      <c r="K408" s="7" t="s">
        <v>1591</v>
      </c>
      <c r="L408" s="7" t="s">
        <v>228</v>
      </c>
      <c r="M408" s="7" t="s">
        <v>229</v>
      </c>
      <c r="N408" s="9" t="s">
        <v>75</v>
      </c>
      <c r="O408" s="7" t="s">
        <v>30</v>
      </c>
      <c r="P408" s="7" t="s">
        <v>20</v>
      </c>
      <c r="Q408" s="7"/>
      <c r="R408" s="7" t="str" cm="1">
        <f t="array" ref="R408">IF(AND(Q408="",P408&lt;&gt;""),N408,_xlfn.SWITCH(IF(Q408&lt;&gt;"",Q408,O408)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Centers",IF(Q408&lt;&gt;"",Q408,O408)))</f>
        <v>Agenturleiter/in</v>
      </c>
      <c r="S408" s="7" t="str">
        <f>IF(N408&lt;&gt;R408,"x","")</f>
        <v>x</v>
      </c>
    </row>
    <row r="409" spans="1:19" hidden="1" x14ac:dyDescent="0.25">
      <c r="A409" s="7" t="s">
        <v>1592</v>
      </c>
      <c r="B409" s="7" t="s">
        <v>20</v>
      </c>
      <c r="C409" s="7" t="s">
        <v>775</v>
      </c>
      <c r="D409" s="7" t="s">
        <v>776</v>
      </c>
      <c r="E409" s="7" t="s">
        <v>20</v>
      </c>
      <c r="F409" s="7" t="s">
        <v>20</v>
      </c>
      <c r="G409" s="7" t="s">
        <v>777</v>
      </c>
      <c r="H409" s="7" t="s">
        <v>20</v>
      </c>
      <c r="I409" s="8" t="s">
        <v>132</v>
      </c>
      <c r="J409" s="7" t="s">
        <v>1593</v>
      </c>
      <c r="K409" s="7" t="s">
        <v>1594</v>
      </c>
      <c r="L409" s="7" t="s">
        <v>40</v>
      </c>
      <c r="M409" s="7" t="s">
        <v>41</v>
      </c>
      <c r="N409" s="9" t="s">
        <v>66</v>
      </c>
      <c r="O409" s="7" t="s">
        <v>88</v>
      </c>
      <c r="P409" s="7" t="s">
        <v>20</v>
      </c>
      <c r="Q409" s="7"/>
      <c r="R409" s="7" t="str" cm="1">
        <f t="array" ref="R409">IF(AND(Q409="",P409&lt;&gt;""),N409,_xlfn.SWITCH(IF(Q409&lt;&gt;"",Q409,O409)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Centers",IF(Q409&lt;&gt;"",Q409,O409)))</f>
        <v>Kundenberater/in</v>
      </c>
      <c r="S409" s="7" t="str">
        <f>IF(N409&lt;&gt;R409,"x","")</f>
        <v>x</v>
      </c>
    </row>
    <row r="410" spans="1:19" hidden="1" x14ac:dyDescent="0.25">
      <c r="A410" s="7" t="s">
        <v>1595</v>
      </c>
      <c r="B410" s="7" t="s">
        <v>20</v>
      </c>
      <c r="C410" s="7" t="s">
        <v>775</v>
      </c>
      <c r="D410" s="7" t="s">
        <v>776</v>
      </c>
      <c r="E410" s="7" t="s">
        <v>20</v>
      </c>
      <c r="F410" s="7" t="s">
        <v>20</v>
      </c>
      <c r="G410" s="7" t="s">
        <v>777</v>
      </c>
      <c r="H410" s="7" t="s">
        <v>20</v>
      </c>
      <c r="I410" s="8" t="s">
        <v>1097</v>
      </c>
      <c r="J410" s="7" t="s">
        <v>1596</v>
      </c>
      <c r="K410" s="7" t="s">
        <v>1597</v>
      </c>
      <c r="L410" s="7" t="s">
        <v>40</v>
      </c>
      <c r="M410" s="7" t="s">
        <v>41</v>
      </c>
      <c r="N410" s="9" t="s">
        <v>75</v>
      </c>
      <c r="O410" s="7" t="s">
        <v>88</v>
      </c>
      <c r="P410" s="7" t="s">
        <v>20</v>
      </c>
      <c r="Q410" s="7"/>
      <c r="R410" s="7" t="str" cm="1">
        <f t="array" ref="R410">IF(AND(Q410="",P410&lt;&gt;""),N410,_xlfn.SWITCH(IF(Q410&lt;&gt;"",Q410,O410)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Centers",IF(Q410&lt;&gt;"",Q410,O410)))</f>
        <v>Kundenberater/in</v>
      </c>
      <c r="S410" s="7" t="str">
        <f>IF(N410&lt;&gt;R410,"x","")</f>
        <v>x</v>
      </c>
    </row>
    <row r="411" spans="1:19" hidden="1" x14ac:dyDescent="0.25">
      <c r="A411" s="7" t="s">
        <v>1598</v>
      </c>
      <c r="B411" s="7" t="s">
        <v>20</v>
      </c>
      <c r="C411" s="7" t="s">
        <v>775</v>
      </c>
      <c r="D411" s="7" t="s">
        <v>776</v>
      </c>
      <c r="E411" s="7" t="s">
        <v>20</v>
      </c>
      <c r="F411" s="7" t="s">
        <v>20</v>
      </c>
      <c r="G411" s="7" t="s">
        <v>777</v>
      </c>
      <c r="H411" s="7" t="s">
        <v>20</v>
      </c>
      <c r="I411" s="8" t="s">
        <v>1599</v>
      </c>
      <c r="J411" s="7" t="s">
        <v>1600</v>
      </c>
      <c r="K411" s="7" t="s">
        <v>1601</v>
      </c>
      <c r="L411" s="7" t="s">
        <v>40</v>
      </c>
      <c r="M411" s="7" t="s">
        <v>41</v>
      </c>
      <c r="N411" s="9" t="s">
        <v>75</v>
      </c>
      <c r="O411" s="7" t="s">
        <v>88</v>
      </c>
      <c r="P411" s="7" t="s">
        <v>20</v>
      </c>
      <c r="Q411" s="7"/>
      <c r="R411" s="7" t="str" cm="1">
        <f t="array" ref="R411">IF(AND(Q411="",P411&lt;&gt;""),N411,_xlfn.SWITCH(IF(Q411&lt;&gt;"",Q411,O411)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Centers",IF(Q411&lt;&gt;"",Q411,O411)))</f>
        <v>Kundenberater/in</v>
      </c>
      <c r="S411" s="7" t="str">
        <f>IF(N411&lt;&gt;R411,"x","")</f>
        <v>x</v>
      </c>
    </row>
    <row r="412" spans="1:19" hidden="1" x14ac:dyDescent="0.25">
      <c r="A412" s="7" t="s">
        <v>1602</v>
      </c>
      <c r="B412" s="7" t="s">
        <v>20</v>
      </c>
      <c r="C412" s="7" t="s">
        <v>775</v>
      </c>
      <c r="D412" s="7" t="s">
        <v>776</v>
      </c>
      <c r="E412" s="7" t="s">
        <v>20</v>
      </c>
      <c r="F412" s="7" t="s">
        <v>20</v>
      </c>
      <c r="G412" s="7" t="s">
        <v>777</v>
      </c>
      <c r="H412" s="7" t="s">
        <v>20</v>
      </c>
      <c r="I412" s="8" t="s">
        <v>1603</v>
      </c>
      <c r="J412" s="7" t="s">
        <v>1604</v>
      </c>
      <c r="K412" s="7" t="s">
        <v>1605</v>
      </c>
      <c r="L412" s="7" t="s">
        <v>40</v>
      </c>
      <c r="M412" s="7" t="s">
        <v>41</v>
      </c>
      <c r="N412" s="9" t="s">
        <v>75</v>
      </c>
      <c r="O412" s="7" t="s">
        <v>120</v>
      </c>
      <c r="P412" s="7" t="s">
        <v>20</v>
      </c>
      <c r="Q412" s="7"/>
      <c r="R412" s="7" t="str" cm="1">
        <f t="array" ref="R412">IF(AND(Q412="",P412&lt;&gt;""),N412,_xlfn.SWITCH(IF(Q412&lt;&gt;"",Q412,O412)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Centers",IF(Q412&lt;&gt;"",Q412,O412)))</f>
        <v>Kundenberater/in</v>
      </c>
      <c r="S412" s="7" t="str">
        <f>IF(N412&lt;&gt;R412,"x","")</f>
        <v>x</v>
      </c>
    </row>
    <row r="413" spans="1:19" hidden="1" x14ac:dyDescent="0.25">
      <c r="A413" s="7" t="s">
        <v>1606</v>
      </c>
      <c r="B413" s="7" t="s">
        <v>20</v>
      </c>
      <c r="C413" s="7" t="s">
        <v>775</v>
      </c>
      <c r="D413" s="7" t="s">
        <v>776</v>
      </c>
      <c r="E413" s="7" t="s">
        <v>20</v>
      </c>
      <c r="F413" s="7" t="s">
        <v>20</v>
      </c>
      <c r="G413" s="7" t="s">
        <v>777</v>
      </c>
      <c r="H413" s="7" t="s">
        <v>20</v>
      </c>
      <c r="I413" s="8" t="s">
        <v>1607</v>
      </c>
      <c r="J413" s="7" t="s">
        <v>1608</v>
      </c>
      <c r="K413" s="7" t="s">
        <v>1609</v>
      </c>
      <c r="L413" s="7" t="s">
        <v>40</v>
      </c>
      <c r="M413" s="7" t="s">
        <v>41</v>
      </c>
      <c r="N413" s="9" t="s">
        <v>75</v>
      </c>
      <c r="O413" s="7" t="s">
        <v>120</v>
      </c>
      <c r="P413" s="7" t="s">
        <v>20</v>
      </c>
      <c r="Q413" s="7"/>
      <c r="R413" s="7" t="str" cm="1">
        <f t="array" ref="R413">IF(AND(Q413="",P413&lt;&gt;""),N413,_xlfn.SWITCH(IF(Q413&lt;&gt;"",Q413,O413)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Centers",IF(Q413&lt;&gt;"",Q413,O413)))</f>
        <v>Kundenberater/in</v>
      </c>
      <c r="S413" s="7" t="str">
        <f>IF(N413&lt;&gt;R413,"x","")</f>
        <v>x</v>
      </c>
    </row>
    <row r="414" spans="1:19" hidden="1" x14ac:dyDescent="0.25">
      <c r="A414" s="7" t="s">
        <v>1610</v>
      </c>
      <c r="B414" s="7" t="s">
        <v>20</v>
      </c>
      <c r="C414" s="7" t="s">
        <v>775</v>
      </c>
      <c r="D414" s="7" t="s">
        <v>776</v>
      </c>
      <c r="E414" s="7" t="s">
        <v>20</v>
      </c>
      <c r="F414" s="7" t="s">
        <v>20</v>
      </c>
      <c r="G414" s="7" t="s">
        <v>777</v>
      </c>
      <c r="H414" s="7" t="s">
        <v>20</v>
      </c>
      <c r="I414" s="8" t="s">
        <v>686</v>
      </c>
      <c r="J414" s="7" t="s">
        <v>1611</v>
      </c>
      <c r="K414" s="7" t="s">
        <v>1612</v>
      </c>
      <c r="L414" s="7" t="s">
        <v>40</v>
      </c>
      <c r="M414" s="7" t="s">
        <v>41</v>
      </c>
      <c r="N414" s="9" t="s">
        <v>75</v>
      </c>
      <c r="O414" s="7" t="s">
        <v>120</v>
      </c>
      <c r="P414" s="7" t="s">
        <v>20</v>
      </c>
      <c r="Q414" s="7"/>
      <c r="R414" s="7" t="str" cm="1">
        <f t="array" ref="R414">IF(AND(Q414="",P414&lt;&gt;""),N414,_xlfn.SWITCH(IF(Q414&lt;&gt;"",Q414,O414)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Centers",IF(Q414&lt;&gt;"",Q414,O414)))</f>
        <v>Kundenberater/in</v>
      </c>
      <c r="S414" s="7" t="str">
        <f>IF(N414&lt;&gt;R414,"x","")</f>
        <v>x</v>
      </c>
    </row>
    <row r="415" spans="1:19" hidden="1" x14ac:dyDescent="0.25">
      <c r="A415" s="7" t="s">
        <v>1613</v>
      </c>
      <c r="B415" s="7" t="s">
        <v>20</v>
      </c>
      <c r="C415" s="7" t="s">
        <v>775</v>
      </c>
      <c r="D415" s="7" t="s">
        <v>776</v>
      </c>
      <c r="E415" s="7" t="s">
        <v>20</v>
      </c>
      <c r="F415" s="7" t="s">
        <v>20</v>
      </c>
      <c r="G415" s="7" t="s">
        <v>777</v>
      </c>
      <c r="H415" s="7" t="s">
        <v>20</v>
      </c>
      <c r="I415" s="8" t="s">
        <v>927</v>
      </c>
      <c r="J415" s="7" t="s">
        <v>1614</v>
      </c>
      <c r="K415" s="7" t="s">
        <v>1615</v>
      </c>
      <c r="L415" s="7" t="s">
        <v>40</v>
      </c>
      <c r="M415" s="7" t="s">
        <v>41</v>
      </c>
      <c r="N415" s="9" t="s">
        <v>75</v>
      </c>
      <c r="O415" s="7" t="s">
        <v>120</v>
      </c>
      <c r="P415" s="7" t="s">
        <v>20</v>
      </c>
      <c r="Q415" s="7"/>
      <c r="R415" s="7" t="str" cm="1">
        <f t="array" ref="R415">IF(AND(Q415="",P415&lt;&gt;""),N415,_xlfn.SWITCH(IF(Q415&lt;&gt;"",Q415,O415)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Centers",IF(Q415&lt;&gt;"",Q415,O415)))</f>
        <v>Kundenberater/in</v>
      </c>
      <c r="S415" s="7" t="str">
        <f>IF(N415&lt;&gt;R415,"x","")</f>
        <v>x</v>
      </c>
    </row>
    <row r="416" spans="1:19" hidden="1" x14ac:dyDescent="0.25">
      <c r="A416" s="7" t="s">
        <v>1616</v>
      </c>
      <c r="B416" s="7" t="s">
        <v>20</v>
      </c>
      <c r="C416" s="7" t="s">
        <v>775</v>
      </c>
      <c r="D416" s="7" t="s">
        <v>776</v>
      </c>
      <c r="E416" s="7" t="s">
        <v>20</v>
      </c>
      <c r="F416" s="7" t="s">
        <v>20</v>
      </c>
      <c r="G416" s="7" t="s">
        <v>777</v>
      </c>
      <c r="H416" s="7" t="s">
        <v>20</v>
      </c>
      <c r="I416" s="8" t="s">
        <v>132</v>
      </c>
      <c r="J416" s="7" t="s">
        <v>1617</v>
      </c>
      <c r="K416" s="7" t="s">
        <v>1618</v>
      </c>
      <c r="L416" s="7" t="s">
        <v>40</v>
      </c>
      <c r="M416" s="7" t="s">
        <v>41</v>
      </c>
      <c r="N416" s="9" t="s">
        <v>75</v>
      </c>
      <c r="O416" s="7" t="s">
        <v>88</v>
      </c>
      <c r="P416" s="7" t="s">
        <v>20</v>
      </c>
      <c r="Q416" s="7"/>
      <c r="R416" s="7" t="str" cm="1">
        <f t="array" ref="R416">IF(AND(Q416="",P416&lt;&gt;""),N416,_xlfn.SWITCH(IF(Q416&lt;&gt;"",Q416,O416)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Centers",IF(Q416&lt;&gt;"",Q416,O416)))</f>
        <v>Kundenberater/in</v>
      </c>
      <c r="S416" s="7" t="str">
        <f>IF(N416&lt;&gt;R416,"x","")</f>
        <v>x</v>
      </c>
    </row>
    <row r="417" spans="1:19" hidden="1" x14ac:dyDescent="0.25">
      <c r="A417" s="7" t="s">
        <v>1619</v>
      </c>
      <c r="B417" s="7" t="s">
        <v>20</v>
      </c>
      <c r="C417" s="7" t="s">
        <v>775</v>
      </c>
      <c r="D417" s="7" t="s">
        <v>776</v>
      </c>
      <c r="E417" s="7" t="s">
        <v>20</v>
      </c>
      <c r="F417" s="7" t="s">
        <v>20</v>
      </c>
      <c r="G417" s="7" t="s">
        <v>777</v>
      </c>
      <c r="H417" s="7" t="s">
        <v>20</v>
      </c>
      <c r="I417" s="8" t="s">
        <v>1620</v>
      </c>
      <c r="J417" s="7" t="s">
        <v>1621</v>
      </c>
      <c r="K417" s="7" t="s">
        <v>1622</v>
      </c>
      <c r="L417" s="7" t="s">
        <v>40</v>
      </c>
      <c r="M417" s="7" t="s">
        <v>41</v>
      </c>
      <c r="N417" s="9" t="s">
        <v>75</v>
      </c>
      <c r="O417" s="7" t="s">
        <v>120</v>
      </c>
      <c r="P417" s="7" t="s">
        <v>20</v>
      </c>
      <c r="Q417" s="7"/>
      <c r="R417" s="7" t="str" cm="1">
        <f t="array" ref="R417">IF(AND(Q417="",P417&lt;&gt;""),N417,_xlfn.SWITCH(IF(Q417&lt;&gt;"",Q417,O417)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Centers",IF(Q417&lt;&gt;"",Q417,O417)))</f>
        <v>Kundenberater/in</v>
      </c>
      <c r="S417" s="7" t="str">
        <f>IF(N417&lt;&gt;R417,"x","")</f>
        <v>x</v>
      </c>
    </row>
    <row r="418" spans="1:19" hidden="1" x14ac:dyDescent="0.25">
      <c r="A418" s="7" t="s">
        <v>1623</v>
      </c>
      <c r="B418" s="7" t="s">
        <v>20</v>
      </c>
      <c r="C418" s="7" t="s">
        <v>775</v>
      </c>
      <c r="D418" s="7" t="s">
        <v>776</v>
      </c>
      <c r="E418" s="7" t="s">
        <v>20</v>
      </c>
      <c r="F418" s="7" t="s">
        <v>20</v>
      </c>
      <c r="G418" s="7" t="s">
        <v>777</v>
      </c>
      <c r="H418" s="7" t="s">
        <v>20</v>
      </c>
      <c r="I418" s="8" t="s">
        <v>1624</v>
      </c>
      <c r="J418" s="7" t="s">
        <v>1625</v>
      </c>
      <c r="K418" s="7" t="s">
        <v>1626</v>
      </c>
      <c r="L418" s="7" t="s">
        <v>40</v>
      </c>
      <c r="M418" s="7" t="s">
        <v>41</v>
      </c>
      <c r="N418" s="9" t="s">
        <v>75</v>
      </c>
      <c r="O418" s="7" t="s">
        <v>120</v>
      </c>
      <c r="P418" s="7" t="s">
        <v>20</v>
      </c>
      <c r="Q418" s="7"/>
      <c r="R418" s="7" t="str" cm="1">
        <f t="array" ref="R418">IF(AND(Q418="",P418&lt;&gt;""),N418,_xlfn.SWITCH(IF(Q418&lt;&gt;"",Q418,O418)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Centers",IF(Q418&lt;&gt;"",Q418,O418)))</f>
        <v>Kundenberater/in</v>
      </c>
      <c r="S418" s="7" t="str">
        <f>IF(N418&lt;&gt;R418,"x","")</f>
        <v>x</v>
      </c>
    </row>
    <row r="419" spans="1:19" hidden="1" x14ac:dyDescent="0.25">
      <c r="A419" s="7" t="s">
        <v>1627</v>
      </c>
      <c r="B419" s="7" t="s">
        <v>20</v>
      </c>
      <c r="C419" s="7" t="s">
        <v>775</v>
      </c>
      <c r="D419" s="7" t="s">
        <v>776</v>
      </c>
      <c r="E419" s="7" t="s">
        <v>20</v>
      </c>
      <c r="F419" s="7" t="s">
        <v>20</v>
      </c>
      <c r="G419" s="7" t="s">
        <v>777</v>
      </c>
      <c r="H419" s="7" t="s">
        <v>20</v>
      </c>
      <c r="I419" s="8" t="s">
        <v>1628</v>
      </c>
      <c r="J419" s="7" t="s">
        <v>1629</v>
      </c>
      <c r="K419" s="7" t="s">
        <v>1630</v>
      </c>
      <c r="L419" s="7" t="s">
        <v>40</v>
      </c>
      <c r="M419" s="7" t="s">
        <v>41</v>
      </c>
      <c r="N419" s="9" t="s">
        <v>75</v>
      </c>
      <c r="O419" s="7" t="s">
        <v>88</v>
      </c>
      <c r="P419" s="7" t="s">
        <v>20</v>
      </c>
      <c r="Q419" s="7"/>
      <c r="R419" s="7" t="str" cm="1">
        <f t="array" ref="R419">IF(AND(Q419="",P419&lt;&gt;""),N419,_xlfn.SWITCH(IF(Q419&lt;&gt;"",Q419,O419)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Centers",IF(Q419&lt;&gt;"",Q419,O419)))</f>
        <v>Kundenberater/in</v>
      </c>
      <c r="S419" s="7" t="str">
        <f>IF(N419&lt;&gt;R419,"x","")</f>
        <v>x</v>
      </c>
    </row>
    <row r="420" spans="1:19" hidden="1" x14ac:dyDescent="0.25">
      <c r="A420" s="7" t="s">
        <v>1631</v>
      </c>
      <c r="B420" s="7" t="s">
        <v>20</v>
      </c>
      <c r="C420" s="7" t="s">
        <v>775</v>
      </c>
      <c r="D420" s="7" t="s">
        <v>776</v>
      </c>
      <c r="E420" s="7" t="s">
        <v>20</v>
      </c>
      <c r="F420" s="7" t="s">
        <v>20</v>
      </c>
      <c r="G420" s="7" t="s">
        <v>777</v>
      </c>
      <c r="H420" s="7" t="s">
        <v>20</v>
      </c>
      <c r="I420" s="8" t="s">
        <v>1632</v>
      </c>
      <c r="J420" s="7" t="s">
        <v>1632</v>
      </c>
      <c r="K420" s="7" t="s">
        <v>1633</v>
      </c>
      <c r="L420" s="7" t="s">
        <v>64</v>
      </c>
      <c r="M420" s="7" t="s">
        <v>65</v>
      </c>
      <c r="N420" s="9" t="s">
        <v>59</v>
      </c>
      <c r="O420" s="7" t="s">
        <v>59</v>
      </c>
      <c r="P420" s="7" t="s">
        <v>20</v>
      </c>
      <c r="Q420" s="7"/>
      <c r="R420" s="7" t="str" cm="1">
        <f t="array" ref="R420">IF(AND(Q420="",P420&lt;&gt;""),N420,_xlfn.SWITCH(IF(Q420&lt;&gt;"",Q420,O420)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Centers",IF(Q420&lt;&gt;"",Q420,O420)))</f>
        <v>Leiter/in des Service Centers</v>
      </c>
      <c r="S420" s="7" t="str">
        <f>IF(N420&lt;&gt;R420,"x","")</f>
        <v/>
      </c>
    </row>
    <row r="421" spans="1:19" hidden="1" x14ac:dyDescent="0.25">
      <c r="A421" s="7" t="s">
        <v>1634</v>
      </c>
      <c r="B421" s="7" t="s">
        <v>20</v>
      </c>
      <c r="C421" s="7" t="s">
        <v>775</v>
      </c>
      <c r="D421" s="7" t="s">
        <v>776</v>
      </c>
      <c r="E421" s="7" t="s">
        <v>20</v>
      </c>
      <c r="F421" s="7" t="s">
        <v>20</v>
      </c>
      <c r="G421" s="7" t="s">
        <v>777</v>
      </c>
      <c r="H421" s="7" t="s">
        <v>20</v>
      </c>
      <c r="I421" s="8" t="s">
        <v>1279</v>
      </c>
      <c r="J421" s="7" t="s">
        <v>1635</v>
      </c>
      <c r="K421" s="7" t="s">
        <v>1636</v>
      </c>
      <c r="L421" s="7" t="s">
        <v>97</v>
      </c>
      <c r="M421" s="7" t="s">
        <v>98</v>
      </c>
      <c r="N421" s="9" t="s">
        <v>66</v>
      </c>
      <c r="O421" s="7" t="s">
        <v>99</v>
      </c>
      <c r="P421" s="7" t="s">
        <v>20</v>
      </c>
      <c r="Q421" s="7"/>
      <c r="R421" s="7" t="str" cm="1">
        <f t="array" ref="R421">IF(AND(Q421="",P421&lt;&gt;""),N421,_xlfn.SWITCH(IF(Q421&lt;&gt;"",Q421,O421)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Centers",IF(Q421&lt;&gt;"",Q421,O421)))</f>
        <v>Hauptagent/in</v>
      </c>
      <c r="S421" s="7" t="str">
        <f>IF(N421&lt;&gt;R421,"x","")</f>
        <v>x</v>
      </c>
    </row>
    <row r="422" spans="1:19" hidden="1" x14ac:dyDescent="0.25">
      <c r="A422" s="7" t="s">
        <v>1637</v>
      </c>
      <c r="B422" s="7" t="s">
        <v>20</v>
      </c>
      <c r="C422" s="7" t="s">
        <v>775</v>
      </c>
      <c r="D422" s="7" t="s">
        <v>776</v>
      </c>
      <c r="E422" s="7" t="s">
        <v>20</v>
      </c>
      <c r="F422" s="7" t="s">
        <v>20</v>
      </c>
      <c r="G422" s="7" t="s">
        <v>777</v>
      </c>
      <c r="H422" s="7" t="s">
        <v>20</v>
      </c>
      <c r="I422" s="8" t="s">
        <v>1638</v>
      </c>
      <c r="J422" s="7" t="s">
        <v>1639</v>
      </c>
      <c r="K422" s="7" t="s">
        <v>1640</v>
      </c>
      <c r="L422" s="7" t="s">
        <v>40</v>
      </c>
      <c r="M422" s="7" t="s">
        <v>41</v>
      </c>
      <c r="N422" s="9" t="s">
        <v>20</v>
      </c>
      <c r="O422" s="7" t="s">
        <v>48</v>
      </c>
      <c r="P422" s="7" t="s">
        <v>20</v>
      </c>
      <c r="Q422" s="7"/>
      <c r="R422" s="7" t="str" cm="1">
        <f t="array" ref="R422">IF(AND(Q422="",P422&lt;&gt;""),N422,_xlfn.SWITCH(IF(Q422&lt;&gt;"",Q422,O422)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Centers",IF(Q422&lt;&gt;"",Q422,O422)))</f>
        <v>Repräsentant/in</v>
      </c>
      <c r="S422" s="7" t="str">
        <f>IF(N422&lt;&gt;R422,"x","")</f>
        <v>x</v>
      </c>
    </row>
    <row r="423" spans="1:19" hidden="1" x14ac:dyDescent="0.25">
      <c r="A423" s="7" t="s">
        <v>1641</v>
      </c>
      <c r="B423" s="7" t="s">
        <v>20</v>
      </c>
      <c r="C423" s="7" t="s">
        <v>775</v>
      </c>
      <c r="D423" s="7" t="s">
        <v>776</v>
      </c>
      <c r="E423" s="7" t="s">
        <v>20</v>
      </c>
      <c r="F423" s="7" t="s">
        <v>20</v>
      </c>
      <c r="G423" s="7" t="s">
        <v>777</v>
      </c>
      <c r="H423" s="7" t="s">
        <v>20</v>
      </c>
      <c r="I423" s="8" t="s">
        <v>520</v>
      </c>
      <c r="J423" s="7" t="s">
        <v>1642</v>
      </c>
      <c r="K423" s="7" t="s">
        <v>1643</v>
      </c>
      <c r="L423" s="7" t="s">
        <v>64</v>
      </c>
      <c r="M423" s="7" t="s">
        <v>65</v>
      </c>
      <c r="N423" s="9" t="s">
        <v>149</v>
      </c>
      <c r="O423" s="7" t="s">
        <v>67</v>
      </c>
      <c r="P423" s="7" t="s">
        <v>20</v>
      </c>
      <c r="Q423" s="7"/>
      <c r="R423" s="7" t="str" cm="1">
        <f t="array" ref="R423">IF(AND(Q423="",P423&lt;&gt;""),N423,_xlfn.SWITCH(IF(Q423&lt;&gt;"",Q423,O423)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Centers",IF(Q423&lt;&gt;"",Q423,O423)))</f>
        <v>Leiter/in des Service Centers</v>
      </c>
      <c r="S423" s="7" t="str">
        <f>IF(N423&lt;&gt;R423,"x","")</f>
        <v>x</v>
      </c>
    </row>
    <row r="424" spans="1:19" hidden="1" x14ac:dyDescent="0.25">
      <c r="A424" s="7" t="s">
        <v>1644</v>
      </c>
      <c r="B424" s="7" t="s">
        <v>20</v>
      </c>
      <c r="C424" s="7" t="s">
        <v>775</v>
      </c>
      <c r="D424" s="7" t="s">
        <v>776</v>
      </c>
      <c r="E424" s="7" t="s">
        <v>20</v>
      </c>
      <c r="F424" s="7" t="s">
        <v>20</v>
      </c>
      <c r="G424" s="7" t="s">
        <v>777</v>
      </c>
      <c r="H424" s="7" t="s">
        <v>20</v>
      </c>
      <c r="I424" s="8" t="s">
        <v>1645</v>
      </c>
      <c r="J424" s="7" t="s">
        <v>1646</v>
      </c>
      <c r="K424" s="7" t="s">
        <v>1647</v>
      </c>
      <c r="L424" s="7" t="s">
        <v>27</v>
      </c>
      <c r="M424" s="7" t="s">
        <v>28</v>
      </c>
      <c r="N424" s="9" t="s">
        <v>111</v>
      </c>
      <c r="O424" s="7" t="s">
        <v>54</v>
      </c>
      <c r="P424" s="7" t="s">
        <v>20</v>
      </c>
      <c r="Q424" s="7"/>
      <c r="R424" s="7" t="str" cm="1">
        <f t="array" ref="R424">IF(AND(Q424="",P424&lt;&gt;""),N424,_xlfn.SWITCH(IF(Q424&lt;&gt;"",Q424,O424)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Centers",IF(Q424&lt;&gt;"",Q424,O424)))</f>
        <v>Agenturleiter/in</v>
      </c>
      <c r="S424" s="7" t="str">
        <f>IF(N424&lt;&gt;R424,"x","")</f>
        <v>x</v>
      </c>
    </row>
    <row r="425" spans="1:19" hidden="1" x14ac:dyDescent="0.25">
      <c r="A425" s="7" t="s">
        <v>1648</v>
      </c>
      <c r="B425" s="7" t="s">
        <v>20</v>
      </c>
      <c r="C425" s="7" t="s">
        <v>775</v>
      </c>
      <c r="D425" s="7" t="s">
        <v>776</v>
      </c>
      <c r="E425" s="7" t="s">
        <v>20</v>
      </c>
      <c r="F425" s="7" t="s">
        <v>20</v>
      </c>
      <c r="G425" s="7" t="s">
        <v>777</v>
      </c>
      <c r="H425" s="7" t="s">
        <v>20</v>
      </c>
      <c r="I425" s="8" t="s">
        <v>324</v>
      </c>
      <c r="J425" s="7" t="s">
        <v>1649</v>
      </c>
      <c r="K425" s="7" t="s">
        <v>1650</v>
      </c>
      <c r="L425" s="7" t="s">
        <v>97</v>
      </c>
      <c r="M425" s="7" t="s">
        <v>98</v>
      </c>
      <c r="N425" s="9" t="s">
        <v>66</v>
      </c>
      <c r="O425" s="7" t="s">
        <v>99</v>
      </c>
      <c r="P425" s="7" t="s">
        <v>20</v>
      </c>
      <c r="Q425" s="7"/>
      <c r="R425" s="7" t="str" cm="1">
        <f t="array" ref="R425">IF(AND(Q425="",P425&lt;&gt;""),N425,_xlfn.SWITCH(IF(Q425&lt;&gt;"",Q425,O425)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Centers",IF(Q425&lt;&gt;"",Q425,O425)))</f>
        <v>Hauptagent/in</v>
      </c>
      <c r="S425" s="7" t="str">
        <f>IF(N425&lt;&gt;R425,"x","")</f>
        <v>x</v>
      </c>
    </row>
    <row r="426" spans="1:19" hidden="1" x14ac:dyDescent="0.25">
      <c r="A426" s="7" t="s">
        <v>1651</v>
      </c>
      <c r="B426" s="7" t="s">
        <v>20</v>
      </c>
      <c r="C426" s="7" t="s">
        <v>775</v>
      </c>
      <c r="D426" s="7" t="s">
        <v>776</v>
      </c>
      <c r="E426" s="7" t="s">
        <v>20</v>
      </c>
      <c r="F426" s="7" t="s">
        <v>20</v>
      </c>
      <c r="G426" s="7" t="s">
        <v>777</v>
      </c>
      <c r="H426" s="7" t="s">
        <v>20</v>
      </c>
      <c r="I426" s="8" t="s">
        <v>313</v>
      </c>
      <c r="J426" s="7" t="s">
        <v>1642</v>
      </c>
      <c r="K426" s="7" t="s">
        <v>1652</v>
      </c>
      <c r="L426" s="7" t="s">
        <v>97</v>
      </c>
      <c r="M426" s="7" t="s">
        <v>98</v>
      </c>
      <c r="N426" s="9" t="s">
        <v>66</v>
      </c>
      <c r="O426" s="7" t="s">
        <v>99</v>
      </c>
      <c r="P426" s="7" t="s">
        <v>20</v>
      </c>
      <c r="Q426" s="7"/>
      <c r="R426" s="7" t="str" cm="1">
        <f t="array" ref="R426">IF(AND(Q426="",P426&lt;&gt;""),N426,_xlfn.SWITCH(IF(Q426&lt;&gt;"",Q426,O426)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Centers",IF(Q426&lt;&gt;"",Q426,O426)))</f>
        <v>Hauptagent/in</v>
      </c>
      <c r="S426" s="7" t="str">
        <f>IF(N426&lt;&gt;R426,"x","")</f>
        <v>x</v>
      </c>
    </row>
    <row r="427" spans="1:19" hidden="1" x14ac:dyDescent="0.25">
      <c r="A427" s="7" t="s">
        <v>1653</v>
      </c>
      <c r="B427" s="7" t="s">
        <v>20</v>
      </c>
      <c r="C427" s="7" t="s">
        <v>775</v>
      </c>
      <c r="D427" s="7" t="s">
        <v>776</v>
      </c>
      <c r="E427" s="7" t="s">
        <v>20</v>
      </c>
      <c r="F427" s="7" t="s">
        <v>20</v>
      </c>
      <c r="G427" s="7" t="s">
        <v>777</v>
      </c>
      <c r="H427" s="7" t="s">
        <v>20</v>
      </c>
      <c r="I427" s="8" t="s">
        <v>923</v>
      </c>
      <c r="J427" s="7" t="s">
        <v>1654</v>
      </c>
      <c r="K427" s="7" t="s">
        <v>1655</v>
      </c>
      <c r="L427" s="7" t="s">
        <v>40</v>
      </c>
      <c r="M427" s="7" t="s">
        <v>41</v>
      </c>
      <c r="N427" s="9" t="s">
        <v>66</v>
      </c>
      <c r="O427" s="7" t="s">
        <v>48</v>
      </c>
      <c r="P427" s="7" t="s">
        <v>20</v>
      </c>
      <c r="Q427" s="7"/>
      <c r="R427" s="7" t="str" cm="1">
        <f t="array" ref="R427">IF(AND(Q427="",P427&lt;&gt;""),N427,_xlfn.SWITCH(IF(Q427&lt;&gt;"",Q427,O427)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Centers",IF(Q427&lt;&gt;"",Q427,O427)))</f>
        <v>Repräsentant/in</v>
      </c>
      <c r="S427" s="7" t="str">
        <f>IF(N427&lt;&gt;R427,"x","")</f>
        <v/>
      </c>
    </row>
    <row r="428" spans="1:19" hidden="1" x14ac:dyDescent="0.25">
      <c r="A428" s="7" t="s">
        <v>1656</v>
      </c>
      <c r="B428" s="7" t="s">
        <v>20</v>
      </c>
      <c r="C428" s="7" t="s">
        <v>775</v>
      </c>
      <c r="D428" s="7" t="s">
        <v>776</v>
      </c>
      <c r="E428" s="7" t="s">
        <v>20</v>
      </c>
      <c r="F428" s="7" t="s">
        <v>20</v>
      </c>
      <c r="G428" s="7" t="s">
        <v>777</v>
      </c>
      <c r="H428" s="7" t="s">
        <v>20</v>
      </c>
      <c r="I428" s="8" t="s">
        <v>454</v>
      </c>
      <c r="J428" s="7" t="s">
        <v>1657</v>
      </c>
      <c r="K428" s="7" t="s">
        <v>1658</v>
      </c>
      <c r="L428" s="7" t="s">
        <v>40</v>
      </c>
      <c r="M428" s="7" t="s">
        <v>41</v>
      </c>
      <c r="N428" s="9" t="s">
        <v>66</v>
      </c>
      <c r="O428" s="7" t="s">
        <v>43</v>
      </c>
      <c r="P428" s="7" t="s">
        <v>20</v>
      </c>
      <c r="Q428" s="7"/>
      <c r="R428" s="7" t="str" cm="1">
        <f t="array" ref="R428">IF(AND(Q428="",P428&lt;&gt;""),N428,_xlfn.SWITCH(IF(Q428&lt;&gt;"",Q428,O428)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Centers",IF(Q428&lt;&gt;"",Q428,O428)))</f>
        <v>Repräsentant/in</v>
      </c>
      <c r="S428" s="7" t="str">
        <f>IF(N428&lt;&gt;R428,"x","")</f>
        <v/>
      </c>
    </row>
    <row r="429" spans="1:19" hidden="1" x14ac:dyDescent="0.25">
      <c r="A429" s="7" t="s">
        <v>1659</v>
      </c>
      <c r="B429" s="7" t="s">
        <v>20</v>
      </c>
      <c r="C429" s="7" t="s">
        <v>775</v>
      </c>
      <c r="D429" s="7" t="s">
        <v>776</v>
      </c>
      <c r="E429" s="7" t="s">
        <v>20</v>
      </c>
      <c r="F429" s="7" t="s">
        <v>20</v>
      </c>
      <c r="G429" s="7" t="s">
        <v>777</v>
      </c>
      <c r="H429" s="7" t="s">
        <v>20</v>
      </c>
      <c r="I429" s="8" t="s">
        <v>221</v>
      </c>
      <c r="J429" s="7" t="s">
        <v>1660</v>
      </c>
      <c r="K429" s="7" t="s">
        <v>1661</v>
      </c>
      <c r="L429" s="7" t="s">
        <v>40</v>
      </c>
      <c r="M429" s="7" t="s">
        <v>41</v>
      </c>
      <c r="N429" s="9" t="s">
        <v>66</v>
      </c>
      <c r="O429" s="7" t="s">
        <v>48</v>
      </c>
      <c r="P429" s="7" t="s">
        <v>20</v>
      </c>
      <c r="Q429" s="7"/>
      <c r="R429" s="7" t="str" cm="1">
        <f t="array" ref="R429">IF(AND(Q429="",P429&lt;&gt;""),N429,_xlfn.SWITCH(IF(Q429&lt;&gt;"",Q429,O429)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Centers",IF(Q429&lt;&gt;"",Q429,O429)))</f>
        <v>Repräsentant/in</v>
      </c>
      <c r="S429" s="7" t="str">
        <f>IF(N429&lt;&gt;R429,"x","")</f>
        <v/>
      </c>
    </row>
    <row r="430" spans="1:19" hidden="1" x14ac:dyDescent="0.25">
      <c r="A430" s="7" t="s">
        <v>1662</v>
      </c>
      <c r="B430" s="7" t="s">
        <v>20</v>
      </c>
      <c r="C430" s="7" t="s">
        <v>775</v>
      </c>
      <c r="D430" s="7" t="s">
        <v>776</v>
      </c>
      <c r="E430" s="7" t="s">
        <v>20</v>
      </c>
      <c r="F430" s="7" t="s">
        <v>20</v>
      </c>
      <c r="G430" s="7" t="s">
        <v>777</v>
      </c>
      <c r="H430" s="7" t="s">
        <v>20</v>
      </c>
      <c r="I430" s="8" t="s">
        <v>1663</v>
      </c>
      <c r="J430" s="7" t="s">
        <v>1663</v>
      </c>
      <c r="K430" s="7" t="s">
        <v>1664</v>
      </c>
      <c r="L430" s="7" t="s">
        <v>64</v>
      </c>
      <c r="M430" s="7" t="s">
        <v>65</v>
      </c>
      <c r="N430" s="9" t="s">
        <v>59</v>
      </c>
      <c r="O430" s="7" t="s">
        <v>59</v>
      </c>
      <c r="P430" s="7" t="s">
        <v>20</v>
      </c>
      <c r="Q430" s="7"/>
      <c r="R430" s="7" t="str" cm="1">
        <f t="array" ref="R430">IF(AND(Q430="",P430&lt;&gt;""),N430,_xlfn.SWITCH(IF(Q430&lt;&gt;"",Q430,O430)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Centers",IF(Q430&lt;&gt;"",Q430,O430)))</f>
        <v>Leiter/in des Service Centers</v>
      </c>
      <c r="S430" s="7" t="str">
        <f>IF(N430&lt;&gt;R430,"x","")</f>
        <v/>
      </c>
    </row>
    <row r="431" spans="1:19" hidden="1" x14ac:dyDescent="0.25">
      <c r="A431" s="7" t="s">
        <v>1665</v>
      </c>
      <c r="B431" s="7" t="s">
        <v>20</v>
      </c>
      <c r="C431" s="7" t="s">
        <v>775</v>
      </c>
      <c r="D431" s="7" t="s">
        <v>776</v>
      </c>
      <c r="E431" s="7" t="s">
        <v>20</v>
      </c>
      <c r="F431" s="7" t="s">
        <v>20</v>
      </c>
      <c r="G431" s="7" t="s">
        <v>777</v>
      </c>
      <c r="H431" s="7" t="s">
        <v>20</v>
      </c>
      <c r="I431" s="8" t="s">
        <v>975</v>
      </c>
      <c r="J431" s="7" t="s">
        <v>1666</v>
      </c>
      <c r="K431" s="7" t="s">
        <v>1667</v>
      </c>
      <c r="L431" s="7" t="s">
        <v>40</v>
      </c>
      <c r="M431" s="7" t="s">
        <v>41</v>
      </c>
      <c r="N431" s="9" t="s">
        <v>75</v>
      </c>
      <c r="O431" s="7" t="s">
        <v>48</v>
      </c>
      <c r="P431" s="7" t="s">
        <v>20</v>
      </c>
      <c r="Q431" s="7"/>
      <c r="R431" s="7" t="str" cm="1">
        <f t="array" ref="R431">IF(AND(Q431="",P431&lt;&gt;""),N431,_xlfn.SWITCH(IF(Q431&lt;&gt;"",Q431,O431)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Centers",IF(Q431&lt;&gt;"",Q431,O431)))</f>
        <v>Repräsentant/in</v>
      </c>
      <c r="S431" s="7" t="str">
        <f>IF(N431&lt;&gt;R431,"x","")</f>
        <v>x</v>
      </c>
    </row>
    <row r="432" spans="1:19" hidden="1" x14ac:dyDescent="0.25">
      <c r="A432" s="7" t="s">
        <v>1668</v>
      </c>
      <c r="B432" s="7" t="s">
        <v>1669</v>
      </c>
      <c r="C432" s="7" t="s">
        <v>775</v>
      </c>
      <c r="D432" s="7" t="s">
        <v>776</v>
      </c>
      <c r="E432" s="7" t="s">
        <v>1154</v>
      </c>
      <c r="F432" s="7" t="s">
        <v>1155</v>
      </c>
      <c r="G432" s="7" t="s">
        <v>1156</v>
      </c>
      <c r="H432" s="7" t="s">
        <v>1156</v>
      </c>
      <c r="I432" s="8" t="s">
        <v>1670</v>
      </c>
      <c r="J432" s="7" t="s">
        <v>1671</v>
      </c>
      <c r="K432" s="7" t="s">
        <v>1672</v>
      </c>
      <c r="L432" s="7" t="s">
        <v>40</v>
      </c>
      <c r="M432" s="7" t="s">
        <v>41</v>
      </c>
      <c r="N432" s="9" t="s">
        <v>66</v>
      </c>
      <c r="O432" s="7" t="s">
        <v>43</v>
      </c>
      <c r="P432" s="7" t="s">
        <v>20</v>
      </c>
      <c r="Q432" s="7"/>
      <c r="R432" s="7" t="str" cm="1">
        <f t="array" ref="R432">IF(AND(Q432="",P432&lt;&gt;""),N432,_xlfn.SWITCH(IF(Q432&lt;&gt;"",Q432,O432)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Centers",IF(Q432&lt;&gt;"",Q432,O432)))</f>
        <v>Repräsentant/in</v>
      </c>
      <c r="S432" s="7" t="str">
        <f>IF(N432&lt;&gt;R432,"x","")</f>
        <v/>
      </c>
    </row>
    <row r="433" spans="1:19" hidden="1" x14ac:dyDescent="0.25">
      <c r="A433" s="7" t="s">
        <v>1673</v>
      </c>
      <c r="B433" s="7" t="s">
        <v>20</v>
      </c>
      <c r="C433" s="7" t="s">
        <v>740</v>
      </c>
      <c r="D433" s="7" t="s">
        <v>741</v>
      </c>
      <c r="E433" s="7" t="s">
        <v>20</v>
      </c>
      <c r="F433" s="7" t="s">
        <v>20</v>
      </c>
      <c r="G433" s="7" t="s">
        <v>742</v>
      </c>
      <c r="H433" s="7" t="s">
        <v>20</v>
      </c>
      <c r="I433" s="8" t="s">
        <v>1674</v>
      </c>
      <c r="J433" s="7" t="s">
        <v>1675</v>
      </c>
      <c r="K433" s="7" t="s">
        <v>1676</v>
      </c>
      <c r="L433" s="7" t="s">
        <v>64</v>
      </c>
      <c r="M433" s="7" t="s">
        <v>65</v>
      </c>
      <c r="N433" s="9" t="s">
        <v>59</v>
      </c>
      <c r="O433" s="7" t="s">
        <v>67</v>
      </c>
      <c r="P433" s="7" t="s">
        <v>20</v>
      </c>
      <c r="Q433" s="7"/>
      <c r="R433" s="7" t="str" cm="1">
        <f t="array" ref="R433">IF(AND(Q433="",P433&lt;&gt;""),N433,_xlfn.SWITCH(IF(Q433&lt;&gt;"",Q433,O433)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Centers",IF(Q433&lt;&gt;"",Q433,O433)))</f>
        <v>Leiter/in des Service Centers</v>
      </c>
      <c r="S433" s="7" t="str">
        <f>IF(N433&lt;&gt;R433,"x","")</f>
        <v/>
      </c>
    </row>
    <row r="434" spans="1:19" hidden="1" x14ac:dyDescent="0.25">
      <c r="A434" s="7" t="s">
        <v>1677</v>
      </c>
      <c r="B434" s="7" t="s">
        <v>20</v>
      </c>
      <c r="C434" s="7" t="s">
        <v>740</v>
      </c>
      <c r="D434" s="7" t="s">
        <v>741</v>
      </c>
      <c r="E434" s="7" t="s">
        <v>20</v>
      </c>
      <c r="F434" s="7" t="s">
        <v>20</v>
      </c>
      <c r="G434" s="7" t="s">
        <v>742</v>
      </c>
      <c r="H434" s="7" t="s">
        <v>20</v>
      </c>
      <c r="I434" s="8" t="s">
        <v>1678</v>
      </c>
      <c r="J434" s="7" t="s">
        <v>1679</v>
      </c>
      <c r="K434" s="7" t="s">
        <v>63</v>
      </c>
      <c r="L434" s="7" t="s">
        <v>97</v>
      </c>
      <c r="M434" s="7" t="s">
        <v>98</v>
      </c>
      <c r="N434" s="9" t="s">
        <v>35</v>
      </c>
      <c r="O434" s="7" t="s">
        <v>99</v>
      </c>
      <c r="P434" s="7" t="s">
        <v>49</v>
      </c>
      <c r="Q434" s="7"/>
      <c r="R434" s="7" t="str" cm="1">
        <f t="array" ref="R434">IF(AND(Q434="",P434&lt;&gt;""),N434,_xlfn.SWITCH(IF(Q434&lt;&gt;"",Q434,O434)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Centers",IF(Q434&lt;&gt;"",Q434,O434)))</f>
        <v>Leiter/in einer Geschäftsstelle</v>
      </c>
      <c r="S434" s="7" t="str">
        <f>IF(N434&lt;&gt;R434,"x","")</f>
        <v/>
      </c>
    </row>
    <row r="435" spans="1:19" hidden="1" x14ac:dyDescent="0.25">
      <c r="A435" s="7" t="s">
        <v>1680</v>
      </c>
      <c r="B435" s="7" t="s">
        <v>20</v>
      </c>
      <c r="C435" s="7" t="s">
        <v>740</v>
      </c>
      <c r="D435" s="7" t="s">
        <v>741</v>
      </c>
      <c r="E435" s="7" t="s">
        <v>20</v>
      </c>
      <c r="F435" s="7" t="s">
        <v>20</v>
      </c>
      <c r="G435" s="7" t="s">
        <v>742</v>
      </c>
      <c r="H435" s="7" t="s">
        <v>20</v>
      </c>
      <c r="I435" s="8" t="s">
        <v>1681</v>
      </c>
      <c r="J435" s="7" t="s">
        <v>1682</v>
      </c>
      <c r="K435" s="7" t="s">
        <v>1683</v>
      </c>
      <c r="L435" s="7" t="s">
        <v>97</v>
      </c>
      <c r="M435" s="7" t="s">
        <v>98</v>
      </c>
      <c r="N435" s="9" t="s">
        <v>1684</v>
      </c>
      <c r="O435" s="7" t="s">
        <v>251</v>
      </c>
      <c r="P435" s="7" t="s">
        <v>20</v>
      </c>
      <c r="Q435" s="7"/>
      <c r="R435" s="7" t="str" cm="1">
        <f t="array" ref="R435">IF(AND(Q435="",P435&lt;&gt;""),N435,_xlfn.SWITCH(IF(Q435&lt;&gt;"",Q435,O435)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Centers",IF(Q435&lt;&gt;"",Q435,O435)))</f>
        <v>Hauptagent/in</v>
      </c>
      <c r="S435" s="7" t="str">
        <f>IF(N435&lt;&gt;R435,"x","")</f>
        <v>x</v>
      </c>
    </row>
    <row r="436" spans="1:19" hidden="1" x14ac:dyDescent="0.25">
      <c r="A436" s="7" t="s">
        <v>1685</v>
      </c>
      <c r="B436" s="7" t="s">
        <v>20</v>
      </c>
      <c r="C436" s="7" t="s">
        <v>740</v>
      </c>
      <c r="D436" s="7" t="s">
        <v>741</v>
      </c>
      <c r="E436" s="7" t="s">
        <v>20</v>
      </c>
      <c r="F436" s="7" t="s">
        <v>20</v>
      </c>
      <c r="G436" s="7" t="s">
        <v>742</v>
      </c>
      <c r="H436" s="7" t="s">
        <v>20</v>
      </c>
      <c r="I436" s="8" t="s">
        <v>1686</v>
      </c>
      <c r="J436" s="7" t="s">
        <v>1687</v>
      </c>
      <c r="K436" s="7" t="s">
        <v>1688</v>
      </c>
      <c r="L436" s="7" t="s">
        <v>97</v>
      </c>
      <c r="M436" s="7" t="s">
        <v>98</v>
      </c>
      <c r="N436" s="9" t="s">
        <v>111</v>
      </c>
      <c r="O436" s="7" t="s">
        <v>99</v>
      </c>
      <c r="P436" s="7" t="s">
        <v>20</v>
      </c>
      <c r="Q436" s="7"/>
      <c r="R436" s="7" t="str" cm="1">
        <f t="array" ref="R436">IF(AND(Q436="",P436&lt;&gt;""),N436,_xlfn.SWITCH(IF(Q436&lt;&gt;"",Q436,O436)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Centers",IF(Q436&lt;&gt;"",Q436,O436)))</f>
        <v>Hauptagent/in</v>
      </c>
      <c r="S436" s="7" t="str">
        <f>IF(N436&lt;&gt;R436,"x","")</f>
        <v/>
      </c>
    </row>
    <row r="437" spans="1:19" x14ac:dyDescent="0.25">
      <c r="A437" s="7" t="s">
        <v>1689</v>
      </c>
      <c r="B437" s="7" t="s">
        <v>20</v>
      </c>
      <c r="C437" s="7" t="s">
        <v>740</v>
      </c>
      <c r="D437" s="7" t="s">
        <v>741</v>
      </c>
      <c r="E437" s="7" t="s">
        <v>20</v>
      </c>
      <c r="F437" s="7" t="s">
        <v>20</v>
      </c>
      <c r="G437" s="7" t="s">
        <v>742</v>
      </c>
      <c r="H437" s="7" t="s">
        <v>20</v>
      </c>
      <c r="I437" s="8" t="s">
        <v>1301</v>
      </c>
      <c r="J437" s="7" t="s">
        <v>1690</v>
      </c>
      <c r="K437" s="7" t="s">
        <v>63</v>
      </c>
      <c r="L437" s="7" t="s">
        <v>97</v>
      </c>
      <c r="M437" s="7" t="s">
        <v>98</v>
      </c>
      <c r="N437" s="9" t="s">
        <v>93</v>
      </c>
      <c r="O437" s="7" t="s">
        <v>99</v>
      </c>
      <c r="P437" s="7" t="s">
        <v>49</v>
      </c>
      <c r="Q437" s="7"/>
      <c r="R437" s="7" t="str" cm="1">
        <f t="array" ref="R437">IF(AND(Q437="",P437&lt;&gt;""),N437,_xlfn.SWITCH(IF(Q437&lt;&gt;"",Q437,O437)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Centers",IF(Q437&lt;&gt;"",Q437,O437)))</f>
        <v>Leiter/in einer Hauptgeschäftsstelle</v>
      </c>
      <c r="S437" s="7" t="str">
        <f>IF(N437&lt;&gt;R437,"x","")</f>
        <v/>
      </c>
    </row>
    <row r="438" spans="1:19" hidden="1" x14ac:dyDescent="0.25">
      <c r="A438" s="7" t="s">
        <v>1691</v>
      </c>
      <c r="B438" s="7" t="s">
        <v>20</v>
      </c>
      <c r="C438" s="7" t="s">
        <v>740</v>
      </c>
      <c r="D438" s="7" t="s">
        <v>741</v>
      </c>
      <c r="E438" s="7" t="s">
        <v>20</v>
      </c>
      <c r="F438" s="7" t="s">
        <v>20</v>
      </c>
      <c r="G438" s="7" t="s">
        <v>742</v>
      </c>
      <c r="H438" s="7" t="s">
        <v>20</v>
      </c>
      <c r="I438" s="8" t="s">
        <v>1692</v>
      </c>
      <c r="J438" s="7" t="s">
        <v>1693</v>
      </c>
      <c r="K438" s="7" t="s">
        <v>1694</v>
      </c>
      <c r="L438" s="7" t="s">
        <v>64</v>
      </c>
      <c r="M438" s="7" t="s">
        <v>65</v>
      </c>
      <c r="N438" s="9" t="s">
        <v>334</v>
      </c>
      <c r="O438" s="7" t="s">
        <v>510</v>
      </c>
      <c r="P438" s="7" t="s">
        <v>20</v>
      </c>
      <c r="Q438" s="7"/>
      <c r="R438" s="7" t="str" cm="1">
        <f t="array" ref="R438">IF(AND(Q438="",P438&lt;&gt;""),N438,_xlfn.SWITCH(IF(Q438&lt;&gt;"",Q438,O438)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Centers",IF(Q438&lt;&gt;"",Q438,O438)))</f>
        <v>Leiter/in des Service Centers</v>
      </c>
      <c r="S438" s="7" t="str">
        <f>IF(N438&lt;&gt;R438,"x","")</f>
        <v>x</v>
      </c>
    </row>
    <row r="439" spans="1:19" hidden="1" x14ac:dyDescent="0.25">
      <c r="A439" s="7" t="s">
        <v>1695</v>
      </c>
      <c r="B439" s="7" t="s">
        <v>20</v>
      </c>
      <c r="C439" s="7" t="s">
        <v>740</v>
      </c>
      <c r="D439" s="7" t="s">
        <v>741</v>
      </c>
      <c r="E439" s="7" t="s">
        <v>20</v>
      </c>
      <c r="F439" s="7" t="s">
        <v>20</v>
      </c>
      <c r="G439" s="7" t="s">
        <v>742</v>
      </c>
      <c r="H439" s="7" t="s">
        <v>20</v>
      </c>
      <c r="I439" s="8" t="s">
        <v>320</v>
      </c>
      <c r="J439" s="7" t="s">
        <v>1696</v>
      </c>
      <c r="K439" s="7" t="s">
        <v>1697</v>
      </c>
      <c r="L439" s="7" t="s">
        <v>40</v>
      </c>
      <c r="M439" s="7" t="s">
        <v>41</v>
      </c>
      <c r="N439" s="9" t="s">
        <v>75</v>
      </c>
      <c r="O439" s="7" t="s">
        <v>48</v>
      </c>
      <c r="P439" s="7" t="s">
        <v>20</v>
      </c>
      <c r="Q439" s="7"/>
      <c r="R439" s="7" t="str" cm="1">
        <f t="array" ref="R439">IF(AND(Q439="",P439&lt;&gt;""),N439,_xlfn.SWITCH(IF(Q439&lt;&gt;"",Q439,O439)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Centers",IF(Q439&lt;&gt;"",Q439,O439)))</f>
        <v>Repräsentant/in</v>
      </c>
      <c r="S439" s="7" t="str">
        <f>IF(N439&lt;&gt;R439,"x","")</f>
        <v>x</v>
      </c>
    </row>
    <row r="440" spans="1:19" hidden="1" x14ac:dyDescent="0.25">
      <c r="A440" s="7" t="s">
        <v>1698</v>
      </c>
      <c r="B440" s="7" t="s">
        <v>20</v>
      </c>
      <c r="C440" s="7" t="s">
        <v>740</v>
      </c>
      <c r="D440" s="7" t="s">
        <v>741</v>
      </c>
      <c r="E440" s="7" t="s">
        <v>20</v>
      </c>
      <c r="F440" s="7" t="s">
        <v>20</v>
      </c>
      <c r="G440" s="7" t="s">
        <v>742</v>
      </c>
      <c r="H440" s="7" t="s">
        <v>20</v>
      </c>
      <c r="I440" s="8" t="s">
        <v>1699</v>
      </c>
      <c r="J440" s="7" t="s">
        <v>1700</v>
      </c>
      <c r="K440" s="7" t="s">
        <v>63</v>
      </c>
      <c r="L440" s="7" t="s">
        <v>40</v>
      </c>
      <c r="M440" s="7" t="s">
        <v>41</v>
      </c>
      <c r="N440" s="9" t="s">
        <v>35</v>
      </c>
      <c r="O440" s="7" t="s">
        <v>43</v>
      </c>
      <c r="P440" s="7" t="s">
        <v>49</v>
      </c>
      <c r="Q440" s="7"/>
      <c r="R440" s="7" t="str" cm="1">
        <f t="array" ref="R440">IF(AND(Q440="",P440&lt;&gt;""),N440,_xlfn.SWITCH(IF(Q440&lt;&gt;"",Q440,O440)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Centers",IF(Q440&lt;&gt;"",Q440,O440)))</f>
        <v>Leiter/in einer Geschäftsstelle</v>
      </c>
      <c r="S440" s="7" t="str">
        <f>IF(N440&lt;&gt;R440,"x","")</f>
        <v/>
      </c>
    </row>
    <row r="441" spans="1:19" hidden="1" x14ac:dyDescent="0.25">
      <c r="A441" s="7" t="s">
        <v>1701</v>
      </c>
      <c r="B441" s="7" t="s">
        <v>20</v>
      </c>
      <c r="C441" s="7" t="s">
        <v>740</v>
      </c>
      <c r="D441" s="7" t="s">
        <v>741</v>
      </c>
      <c r="E441" s="7" t="s">
        <v>20</v>
      </c>
      <c r="F441" s="7" t="s">
        <v>20</v>
      </c>
      <c r="G441" s="7" t="s">
        <v>742</v>
      </c>
      <c r="H441" s="7" t="s">
        <v>20</v>
      </c>
      <c r="I441" s="8" t="s">
        <v>1131</v>
      </c>
      <c r="J441" s="7" t="s">
        <v>1702</v>
      </c>
      <c r="K441" s="7" t="s">
        <v>1703</v>
      </c>
      <c r="L441" s="7" t="s">
        <v>64</v>
      </c>
      <c r="M441" s="7" t="s">
        <v>65</v>
      </c>
      <c r="N441" s="9" t="s">
        <v>111</v>
      </c>
      <c r="O441" s="7" t="s">
        <v>67</v>
      </c>
      <c r="P441" s="7" t="s">
        <v>20</v>
      </c>
      <c r="Q441" s="7"/>
      <c r="R441" s="7" t="str" cm="1">
        <f t="array" ref="R441">IF(AND(Q441="",P441&lt;&gt;""),N441,_xlfn.SWITCH(IF(Q441&lt;&gt;"",Q441,O441)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Centers",IF(Q441&lt;&gt;"",Q441,O441)))</f>
        <v>Leiter/in des Service Centers</v>
      </c>
      <c r="S441" s="7" t="str">
        <f>IF(N441&lt;&gt;R441,"x","")</f>
        <v>x</v>
      </c>
    </row>
    <row r="442" spans="1:19" hidden="1" x14ac:dyDescent="0.25">
      <c r="A442" s="7" t="s">
        <v>1704</v>
      </c>
      <c r="B442" s="7" t="s">
        <v>20</v>
      </c>
      <c r="C442" s="7" t="s">
        <v>740</v>
      </c>
      <c r="D442" s="7" t="s">
        <v>741</v>
      </c>
      <c r="E442" s="7" t="s">
        <v>20</v>
      </c>
      <c r="F442" s="7" t="s">
        <v>20</v>
      </c>
      <c r="G442" s="7" t="s">
        <v>742</v>
      </c>
      <c r="H442" s="7" t="s">
        <v>20</v>
      </c>
      <c r="I442" s="8" t="s">
        <v>1705</v>
      </c>
      <c r="J442" s="7" t="s">
        <v>1706</v>
      </c>
      <c r="K442" s="7" t="s">
        <v>1707</v>
      </c>
      <c r="L442" s="7" t="s">
        <v>27</v>
      </c>
      <c r="M442" s="7" t="s">
        <v>28</v>
      </c>
      <c r="N442" s="9" t="s">
        <v>66</v>
      </c>
      <c r="O442" s="7" t="s">
        <v>30</v>
      </c>
      <c r="P442" s="7" t="s">
        <v>20</v>
      </c>
      <c r="Q442" s="7"/>
      <c r="R442" s="7" t="str" cm="1">
        <f t="array" ref="R442">IF(AND(Q442="",P442&lt;&gt;""),N442,_xlfn.SWITCH(IF(Q442&lt;&gt;"",Q442,O442)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Centers",IF(Q442&lt;&gt;"",Q442,O442)))</f>
        <v>Agenturleiter/in</v>
      </c>
      <c r="S442" s="7" t="str">
        <f>IF(N442&lt;&gt;R442,"x","")</f>
        <v>x</v>
      </c>
    </row>
    <row r="443" spans="1:19" hidden="1" x14ac:dyDescent="0.25">
      <c r="A443" s="7" t="s">
        <v>1708</v>
      </c>
      <c r="B443" s="7" t="s">
        <v>20</v>
      </c>
      <c r="C443" s="7" t="s">
        <v>740</v>
      </c>
      <c r="D443" s="7" t="s">
        <v>741</v>
      </c>
      <c r="E443" s="7" t="s">
        <v>20</v>
      </c>
      <c r="F443" s="7" t="s">
        <v>20</v>
      </c>
      <c r="G443" s="7" t="s">
        <v>742</v>
      </c>
      <c r="H443" s="7" t="s">
        <v>20</v>
      </c>
      <c r="I443" s="8" t="s">
        <v>1709</v>
      </c>
      <c r="J443" s="7" t="s">
        <v>1710</v>
      </c>
      <c r="K443" s="7" t="s">
        <v>1711</v>
      </c>
      <c r="L443" s="7" t="s">
        <v>40</v>
      </c>
      <c r="M443" s="7" t="s">
        <v>41</v>
      </c>
      <c r="N443" s="9" t="s">
        <v>66</v>
      </c>
      <c r="O443" s="7" t="s">
        <v>43</v>
      </c>
      <c r="P443" s="7" t="s">
        <v>20</v>
      </c>
      <c r="Q443" s="7"/>
      <c r="R443" s="7" t="str" cm="1">
        <f t="array" ref="R443">IF(AND(Q443="",P443&lt;&gt;""),N443,_xlfn.SWITCH(IF(Q443&lt;&gt;"",Q443,O443)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Centers",IF(Q443&lt;&gt;"",Q443,O443)))</f>
        <v>Repräsentant/in</v>
      </c>
      <c r="S443" s="7" t="str">
        <f>IF(N443&lt;&gt;R443,"x","")</f>
        <v/>
      </c>
    </row>
    <row r="444" spans="1:19" hidden="1" x14ac:dyDescent="0.25">
      <c r="A444" s="7" t="s">
        <v>1712</v>
      </c>
      <c r="B444" s="7" t="s">
        <v>20</v>
      </c>
      <c r="C444" s="7" t="s">
        <v>740</v>
      </c>
      <c r="D444" s="7" t="s">
        <v>741</v>
      </c>
      <c r="E444" s="7" t="s">
        <v>20</v>
      </c>
      <c r="F444" s="7" t="s">
        <v>20</v>
      </c>
      <c r="G444" s="7" t="s">
        <v>742</v>
      </c>
      <c r="H444" s="7" t="s">
        <v>20</v>
      </c>
      <c r="I444" s="8" t="s">
        <v>132</v>
      </c>
      <c r="J444" s="7" t="s">
        <v>1713</v>
      </c>
      <c r="K444" s="7" t="s">
        <v>1714</v>
      </c>
      <c r="L444" s="7" t="s">
        <v>40</v>
      </c>
      <c r="M444" s="7" t="s">
        <v>41</v>
      </c>
      <c r="N444" s="9" t="s">
        <v>80</v>
      </c>
      <c r="O444" s="7" t="s">
        <v>48</v>
      </c>
      <c r="P444" s="7" t="s">
        <v>20</v>
      </c>
      <c r="Q444" s="7"/>
      <c r="R444" s="7" t="str" cm="1">
        <f t="array" ref="R444">IF(AND(Q444="",P444&lt;&gt;""),N444,_xlfn.SWITCH(IF(Q444&lt;&gt;"",Q444,O444)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Centers",IF(Q444&lt;&gt;"",Q444,O444)))</f>
        <v>Repräsentant/in</v>
      </c>
      <c r="S444" s="7" t="str">
        <f>IF(N444&lt;&gt;R444,"x","")</f>
        <v>x</v>
      </c>
    </row>
    <row r="445" spans="1:19" hidden="1" x14ac:dyDescent="0.25">
      <c r="A445" s="7" t="s">
        <v>1715</v>
      </c>
      <c r="B445" s="7" t="s">
        <v>20</v>
      </c>
      <c r="C445" s="7" t="s">
        <v>740</v>
      </c>
      <c r="D445" s="7" t="s">
        <v>741</v>
      </c>
      <c r="E445" s="7" t="s">
        <v>20</v>
      </c>
      <c r="F445" s="7" t="s">
        <v>20</v>
      </c>
      <c r="G445" s="7" t="s">
        <v>742</v>
      </c>
      <c r="H445" s="7" t="s">
        <v>20</v>
      </c>
      <c r="I445" s="8" t="s">
        <v>163</v>
      </c>
      <c r="J445" s="7" t="s">
        <v>1716</v>
      </c>
      <c r="K445" s="7" t="s">
        <v>1717</v>
      </c>
      <c r="L445" s="7" t="s">
        <v>40</v>
      </c>
      <c r="M445" s="7" t="s">
        <v>41</v>
      </c>
      <c r="N445" s="9" t="s">
        <v>75</v>
      </c>
      <c r="O445" s="7" t="s">
        <v>48</v>
      </c>
      <c r="P445" s="7" t="s">
        <v>20</v>
      </c>
      <c r="Q445" s="7"/>
      <c r="R445" s="7" t="str" cm="1">
        <f t="array" ref="R445">IF(AND(Q445="",P445&lt;&gt;""),N445,_xlfn.SWITCH(IF(Q445&lt;&gt;"",Q445,O445)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Centers",IF(Q445&lt;&gt;"",Q445,O445)))</f>
        <v>Repräsentant/in</v>
      </c>
      <c r="S445" s="7" t="str">
        <f>IF(N445&lt;&gt;R445,"x","")</f>
        <v>x</v>
      </c>
    </row>
    <row r="446" spans="1:19" hidden="1" x14ac:dyDescent="0.25">
      <c r="A446" s="7" t="s">
        <v>1718</v>
      </c>
      <c r="B446" s="7" t="s">
        <v>20</v>
      </c>
      <c r="C446" s="7" t="s">
        <v>740</v>
      </c>
      <c r="D446" s="7" t="s">
        <v>741</v>
      </c>
      <c r="E446" s="7" t="s">
        <v>20</v>
      </c>
      <c r="F446" s="7" t="s">
        <v>20</v>
      </c>
      <c r="G446" s="7" t="s">
        <v>742</v>
      </c>
      <c r="H446" s="7" t="s">
        <v>20</v>
      </c>
      <c r="I446" s="8" t="s">
        <v>1719</v>
      </c>
      <c r="J446" s="7" t="s">
        <v>1720</v>
      </c>
      <c r="K446" s="7" t="s">
        <v>1721</v>
      </c>
      <c r="L446" s="7" t="s">
        <v>97</v>
      </c>
      <c r="M446" s="7" t="s">
        <v>98</v>
      </c>
      <c r="N446" s="9" t="s">
        <v>66</v>
      </c>
      <c r="O446" s="7" t="s">
        <v>99</v>
      </c>
      <c r="P446" s="7" t="s">
        <v>20</v>
      </c>
      <c r="Q446" s="7"/>
      <c r="R446" s="7" t="str" cm="1">
        <f t="array" ref="R446">IF(AND(Q446="",P446&lt;&gt;""),N446,_xlfn.SWITCH(IF(Q446&lt;&gt;"",Q446,O446)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Centers",IF(Q446&lt;&gt;"",Q446,O446)))</f>
        <v>Hauptagent/in</v>
      </c>
      <c r="S446" s="7" t="str">
        <f>IF(N446&lt;&gt;R446,"x","")</f>
        <v>x</v>
      </c>
    </row>
    <row r="447" spans="1:19" hidden="1" x14ac:dyDescent="0.25">
      <c r="A447" s="7" t="s">
        <v>1722</v>
      </c>
      <c r="B447" s="7" t="s">
        <v>20</v>
      </c>
      <c r="C447" s="7" t="s">
        <v>740</v>
      </c>
      <c r="D447" s="7" t="s">
        <v>741</v>
      </c>
      <c r="E447" s="7" t="s">
        <v>20</v>
      </c>
      <c r="F447" s="7" t="s">
        <v>20</v>
      </c>
      <c r="G447" s="7" t="s">
        <v>742</v>
      </c>
      <c r="H447" s="7" t="s">
        <v>20</v>
      </c>
      <c r="I447" s="8" t="s">
        <v>686</v>
      </c>
      <c r="J447" s="7" t="s">
        <v>1723</v>
      </c>
      <c r="K447" s="7" t="s">
        <v>1724</v>
      </c>
      <c r="L447" s="7" t="s">
        <v>40</v>
      </c>
      <c r="M447" s="7" t="s">
        <v>41</v>
      </c>
      <c r="N447" s="9" t="s">
        <v>75</v>
      </c>
      <c r="O447" s="7" t="s">
        <v>120</v>
      </c>
      <c r="P447" s="7" t="s">
        <v>20</v>
      </c>
      <c r="Q447" s="7"/>
      <c r="R447" s="7" t="str" cm="1">
        <f t="array" ref="R447">IF(AND(Q447="",P447&lt;&gt;""),N447,_xlfn.SWITCH(IF(Q447&lt;&gt;"",Q447,O447)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Centers",IF(Q447&lt;&gt;"",Q447,O447)))</f>
        <v>Kundenberater/in</v>
      </c>
      <c r="S447" s="7" t="str">
        <f>IF(N447&lt;&gt;R447,"x","")</f>
        <v>x</v>
      </c>
    </row>
    <row r="448" spans="1:19" hidden="1" x14ac:dyDescent="0.25">
      <c r="A448" s="7" t="s">
        <v>1725</v>
      </c>
      <c r="B448" s="7" t="s">
        <v>20</v>
      </c>
      <c r="C448" s="7" t="s">
        <v>740</v>
      </c>
      <c r="D448" s="7" t="s">
        <v>741</v>
      </c>
      <c r="E448" s="7" t="s">
        <v>20</v>
      </c>
      <c r="F448" s="7" t="s">
        <v>20</v>
      </c>
      <c r="G448" s="7" t="s">
        <v>742</v>
      </c>
      <c r="H448" s="7" t="s">
        <v>20</v>
      </c>
      <c r="I448" s="8" t="s">
        <v>1726</v>
      </c>
      <c r="J448" s="7" t="s">
        <v>1727</v>
      </c>
      <c r="K448" s="7" t="s">
        <v>1728</v>
      </c>
      <c r="L448" s="7" t="s">
        <v>40</v>
      </c>
      <c r="M448" s="7" t="s">
        <v>41</v>
      </c>
      <c r="N448" s="9" t="s">
        <v>75</v>
      </c>
      <c r="O448" s="7" t="s">
        <v>88</v>
      </c>
      <c r="P448" s="7" t="s">
        <v>20</v>
      </c>
      <c r="Q448" s="7"/>
      <c r="R448" s="7" t="str" cm="1">
        <f t="array" ref="R448">IF(AND(Q448="",P448&lt;&gt;""),N448,_xlfn.SWITCH(IF(Q448&lt;&gt;"",Q448,O448)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Centers",IF(Q448&lt;&gt;"",Q448,O448)))</f>
        <v>Kundenberater/in</v>
      </c>
      <c r="S448" s="7" t="str">
        <f>IF(N448&lt;&gt;R448,"x","")</f>
        <v>x</v>
      </c>
    </row>
    <row r="449" spans="1:19" hidden="1" x14ac:dyDescent="0.25">
      <c r="A449" s="7" t="s">
        <v>1729</v>
      </c>
      <c r="B449" s="7" t="s">
        <v>20</v>
      </c>
      <c r="C449" s="7" t="s">
        <v>740</v>
      </c>
      <c r="D449" s="7" t="s">
        <v>741</v>
      </c>
      <c r="E449" s="7" t="s">
        <v>20</v>
      </c>
      <c r="F449" s="7" t="s">
        <v>20</v>
      </c>
      <c r="G449" s="7" t="s">
        <v>742</v>
      </c>
      <c r="H449" s="7" t="s">
        <v>20</v>
      </c>
      <c r="I449" s="8" t="s">
        <v>1730</v>
      </c>
      <c r="J449" s="7" t="s">
        <v>1731</v>
      </c>
      <c r="K449" s="7" t="s">
        <v>1732</v>
      </c>
      <c r="L449" s="7" t="s">
        <v>40</v>
      </c>
      <c r="M449" s="7" t="s">
        <v>41</v>
      </c>
      <c r="N449" s="9" t="s">
        <v>75</v>
      </c>
      <c r="O449" s="7" t="s">
        <v>120</v>
      </c>
      <c r="P449" s="7" t="s">
        <v>20</v>
      </c>
      <c r="Q449" s="7"/>
      <c r="R449" s="7" t="str" cm="1">
        <f t="array" ref="R449">IF(AND(Q449="",P449&lt;&gt;""),N449,_xlfn.SWITCH(IF(Q449&lt;&gt;"",Q449,O449)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Centers",IF(Q449&lt;&gt;"",Q449,O449)))</f>
        <v>Kundenberater/in</v>
      </c>
      <c r="S449" s="7" t="str">
        <f>IF(N449&lt;&gt;R449,"x","")</f>
        <v>x</v>
      </c>
    </row>
    <row r="450" spans="1:19" hidden="1" x14ac:dyDescent="0.25">
      <c r="A450" s="7" t="s">
        <v>1733</v>
      </c>
      <c r="B450" s="7" t="s">
        <v>20</v>
      </c>
      <c r="C450" s="7" t="s">
        <v>740</v>
      </c>
      <c r="D450" s="7" t="s">
        <v>741</v>
      </c>
      <c r="E450" s="7" t="s">
        <v>20</v>
      </c>
      <c r="F450" s="7" t="s">
        <v>20</v>
      </c>
      <c r="G450" s="7" t="s">
        <v>742</v>
      </c>
      <c r="H450" s="7" t="s">
        <v>20</v>
      </c>
      <c r="I450" s="8" t="s">
        <v>1734</v>
      </c>
      <c r="J450" s="7" t="s">
        <v>1735</v>
      </c>
      <c r="K450" s="7" t="s">
        <v>1736</v>
      </c>
      <c r="L450" s="7" t="s">
        <v>40</v>
      </c>
      <c r="M450" s="7" t="s">
        <v>41</v>
      </c>
      <c r="N450" s="9" t="s">
        <v>75</v>
      </c>
      <c r="O450" s="7" t="s">
        <v>120</v>
      </c>
      <c r="P450" s="7" t="s">
        <v>20</v>
      </c>
      <c r="Q450" s="7"/>
      <c r="R450" s="7" t="str" cm="1">
        <f t="array" ref="R450">IF(AND(Q450="",P450&lt;&gt;""),N450,_xlfn.SWITCH(IF(Q450&lt;&gt;"",Q450,O450)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Centers",IF(Q450&lt;&gt;"",Q450,O450)))</f>
        <v>Kundenberater/in</v>
      </c>
      <c r="S450" s="7" t="str">
        <f>IF(N450&lt;&gt;R450,"x","")</f>
        <v>x</v>
      </c>
    </row>
    <row r="451" spans="1:19" hidden="1" x14ac:dyDescent="0.25">
      <c r="A451" s="7" t="s">
        <v>1737</v>
      </c>
      <c r="B451" s="7" t="s">
        <v>20</v>
      </c>
      <c r="C451" s="7" t="s">
        <v>740</v>
      </c>
      <c r="D451" s="7" t="s">
        <v>741</v>
      </c>
      <c r="E451" s="7" t="s">
        <v>20</v>
      </c>
      <c r="F451" s="7" t="s">
        <v>20</v>
      </c>
      <c r="G451" s="7" t="s">
        <v>742</v>
      </c>
      <c r="H451" s="7" t="s">
        <v>20</v>
      </c>
      <c r="I451" s="8" t="s">
        <v>454</v>
      </c>
      <c r="J451" s="7" t="s">
        <v>1738</v>
      </c>
      <c r="K451" s="7" t="s">
        <v>1739</v>
      </c>
      <c r="L451" s="7" t="s">
        <v>40</v>
      </c>
      <c r="M451" s="7" t="s">
        <v>41</v>
      </c>
      <c r="N451" s="9" t="s">
        <v>75</v>
      </c>
      <c r="O451" s="7" t="s">
        <v>43</v>
      </c>
      <c r="P451" s="7" t="s">
        <v>20</v>
      </c>
      <c r="Q451" s="7"/>
      <c r="R451" s="7" t="str" cm="1">
        <f t="array" ref="R451">IF(AND(Q451="",P451&lt;&gt;""),N451,_xlfn.SWITCH(IF(Q451&lt;&gt;"",Q451,O451)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Centers",IF(Q451&lt;&gt;"",Q451,O451)))</f>
        <v>Repräsentant/in</v>
      </c>
      <c r="S451" s="7" t="str">
        <f>IF(N451&lt;&gt;R451,"x","")</f>
        <v>x</v>
      </c>
    </row>
    <row r="452" spans="1:19" hidden="1" x14ac:dyDescent="0.25">
      <c r="A452" s="7" t="s">
        <v>1740</v>
      </c>
      <c r="B452" s="7" t="s">
        <v>20</v>
      </c>
      <c r="C452" s="7" t="s">
        <v>740</v>
      </c>
      <c r="D452" s="7" t="s">
        <v>741</v>
      </c>
      <c r="E452" s="7" t="s">
        <v>20</v>
      </c>
      <c r="F452" s="7" t="s">
        <v>20</v>
      </c>
      <c r="G452" s="7" t="s">
        <v>742</v>
      </c>
      <c r="H452" s="7" t="s">
        <v>20</v>
      </c>
      <c r="I452" s="8" t="s">
        <v>1741</v>
      </c>
      <c r="J452" s="7" t="s">
        <v>1742</v>
      </c>
      <c r="K452" s="7" t="s">
        <v>1743</v>
      </c>
      <c r="L452" s="7" t="s">
        <v>64</v>
      </c>
      <c r="M452" s="7" t="s">
        <v>65</v>
      </c>
      <c r="N452" s="9" t="s">
        <v>149</v>
      </c>
      <c r="O452" s="7" t="s">
        <v>67</v>
      </c>
      <c r="P452" s="7" t="s">
        <v>20</v>
      </c>
      <c r="Q452" s="7"/>
      <c r="R452" s="7" t="str" cm="1">
        <f t="array" ref="R452">IF(AND(Q452="",P452&lt;&gt;""),N452,_xlfn.SWITCH(IF(Q452&lt;&gt;"",Q452,O452)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Centers",IF(Q452&lt;&gt;"",Q452,O452)))</f>
        <v>Leiter/in des Service Centers</v>
      </c>
      <c r="S452" s="7" t="str">
        <f>IF(N452&lt;&gt;R452,"x","")</f>
        <v>x</v>
      </c>
    </row>
    <row r="453" spans="1:19" hidden="1" x14ac:dyDescent="0.25">
      <c r="A453" s="7" t="s">
        <v>1744</v>
      </c>
      <c r="B453" s="7" t="s">
        <v>20</v>
      </c>
      <c r="C453" s="7" t="s">
        <v>740</v>
      </c>
      <c r="D453" s="7" t="s">
        <v>741</v>
      </c>
      <c r="E453" s="7" t="s">
        <v>20</v>
      </c>
      <c r="F453" s="7" t="s">
        <v>20</v>
      </c>
      <c r="G453" s="7" t="s">
        <v>742</v>
      </c>
      <c r="H453" s="7" t="s">
        <v>20</v>
      </c>
      <c r="I453" s="8" t="s">
        <v>302</v>
      </c>
      <c r="J453" s="7" t="s">
        <v>1745</v>
      </c>
      <c r="K453" s="7" t="s">
        <v>1746</v>
      </c>
      <c r="L453" s="7" t="s">
        <v>64</v>
      </c>
      <c r="M453" s="7" t="s">
        <v>65</v>
      </c>
      <c r="N453" s="9" t="s">
        <v>35</v>
      </c>
      <c r="O453" s="7" t="s">
        <v>67</v>
      </c>
      <c r="P453" s="7" t="s">
        <v>20</v>
      </c>
      <c r="Q453" s="7"/>
      <c r="R453" s="7" t="str" cm="1">
        <f t="array" ref="R453">IF(AND(Q453="",P453&lt;&gt;""),N453,_xlfn.SWITCH(IF(Q453&lt;&gt;"",Q453,O453)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Centers",IF(Q453&lt;&gt;"",Q453,O453)))</f>
        <v>Leiter/in des Service Centers</v>
      </c>
      <c r="S453" s="7" t="str">
        <f>IF(N453&lt;&gt;R453,"x","")</f>
        <v>x</v>
      </c>
    </row>
    <row r="454" spans="1:19" hidden="1" x14ac:dyDescent="0.25">
      <c r="A454" s="7" t="s">
        <v>1747</v>
      </c>
      <c r="B454" s="7" t="s">
        <v>20</v>
      </c>
      <c r="C454" s="7" t="s">
        <v>740</v>
      </c>
      <c r="D454" s="7" t="s">
        <v>741</v>
      </c>
      <c r="E454" s="7" t="s">
        <v>20</v>
      </c>
      <c r="F454" s="7" t="s">
        <v>20</v>
      </c>
      <c r="G454" s="7" t="s">
        <v>742</v>
      </c>
      <c r="H454" s="7" t="s">
        <v>20</v>
      </c>
      <c r="I454" s="8" t="s">
        <v>324</v>
      </c>
      <c r="J454" s="7" t="s">
        <v>1748</v>
      </c>
      <c r="K454" s="7" t="s">
        <v>1749</v>
      </c>
      <c r="L454" s="7" t="s">
        <v>124</v>
      </c>
      <c r="M454" s="7" t="s">
        <v>125</v>
      </c>
      <c r="N454" s="9" t="s">
        <v>1750</v>
      </c>
      <c r="O454" s="7" t="s">
        <v>67</v>
      </c>
      <c r="P454" s="7" t="s">
        <v>20</v>
      </c>
      <c r="Q454" s="9" t="s">
        <v>1750</v>
      </c>
      <c r="R454" s="7" t="str" cm="1">
        <f t="array" ref="R454">IF(AND(Q454="",P454&lt;&gt;""),N454,_xlfn.SWITCH(IF(Q454&lt;&gt;"",Q454,O454)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Centers",IF(Q454&lt;&gt;"",Q454,O454)))</f>
        <v>Gebiets-Organisationsleiter/in</v>
      </c>
      <c r="S454" s="7" t="str">
        <f>IF(N454&lt;&gt;R454,"x","")</f>
        <v/>
      </c>
    </row>
    <row r="455" spans="1:19" hidden="1" x14ac:dyDescent="0.25">
      <c r="A455" s="7" t="s">
        <v>1751</v>
      </c>
      <c r="B455" s="7" t="s">
        <v>20</v>
      </c>
      <c r="C455" s="7" t="s">
        <v>740</v>
      </c>
      <c r="D455" s="7" t="s">
        <v>741</v>
      </c>
      <c r="E455" s="7" t="s">
        <v>20</v>
      </c>
      <c r="F455" s="7" t="s">
        <v>20</v>
      </c>
      <c r="G455" s="7" t="s">
        <v>742</v>
      </c>
      <c r="H455" s="7" t="s">
        <v>20</v>
      </c>
      <c r="I455" s="8" t="s">
        <v>1752</v>
      </c>
      <c r="J455" s="7" t="s">
        <v>1753</v>
      </c>
      <c r="K455" s="7" t="s">
        <v>1754</v>
      </c>
      <c r="L455" s="7" t="s">
        <v>40</v>
      </c>
      <c r="M455" s="7" t="s">
        <v>41</v>
      </c>
      <c r="N455" s="9" t="s">
        <v>66</v>
      </c>
      <c r="O455" s="7" t="s">
        <v>88</v>
      </c>
      <c r="P455" s="7" t="s">
        <v>20</v>
      </c>
      <c r="Q455" s="7"/>
      <c r="R455" s="7" t="str" cm="1">
        <f t="array" ref="R455">IF(AND(Q455="",P455&lt;&gt;""),N455,_xlfn.SWITCH(IF(Q455&lt;&gt;"",Q455,O455)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Centers",IF(Q455&lt;&gt;"",Q455,O455)))</f>
        <v>Kundenberater/in</v>
      </c>
      <c r="S455" s="7" t="str">
        <f>IF(N455&lt;&gt;R455,"x","")</f>
        <v>x</v>
      </c>
    </row>
    <row r="456" spans="1:19" hidden="1" x14ac:dyDescent="0.25">
      <c r="A456" s="7" t="s">
        <v>1755</v>
      </c>
      <c r="B456" s="7" t="s">
        <v>20</v>
      </c>
      <c r="C456" s="7" t="s">
        <v>740</v>
      </c>
      <c r="D456" s="7" t="s">
        <v>741</v>
      </c>
      <c r="E456" s="7" t="s">
        <v>20</v>
      </c>
      <c r="F456" s="7" t="s">
        <v>20</v>
      </c>
      <c r="G456" s="7" t="s">
        <v>742</v>
      </c>
      <c r="H456" s="7" t="s">
        <v>20</v>
      </c>
      <c r="I456" s="8" t="s">
        <v>1498</v>
      </c>
      <c r="J456" s="7" t="s">
        <v>1756</v>
      </c>
      <c r="K456" s="7" t="s">
        <v>1757</v>
      </c>
      <c r="L456" s="7" t="s">
        <v>40</v>
      </c>
      <c r="M456" s="7" t="s">
        <v>41</v>
      </c>
      <c r="N456" s="9" t="s">
        <v>75</v>
      </c>
      <c r="O456" s="7" t="s">
        <v>88</v>
      </c>
      <c r="P456" s="7" t="s">
        <v>20</v>
      </c>
      <c r="Q456" s="7"/>
      <c r="R456" s="7" t="str" cm="1">
        <f t="array" ref="R456">IF(AND(Q456="",P456&lt;&gt;""),N456,_xlfn.SWITCH(IF(Q456&lt;&gt;"",Q456,O456)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Centers",IF(Q456&lt;&gt;"",Q456,O456)))</f>
        <v>Kundenberater/in</v>
      </c>
      <c r="S456" s="7" t="str">
        <f>IF(N456&lt;&gt;R456,"x","")</f>
        <v>x</v>
      </c>
    </row>
    <row r="457" spans="1:19" hidden="1" x14ac:dyDescent="0.25">
      <c r="A457" s="7" t="s">
        <v>1758</v>
      </c>
      <c r="B457" s="7" t="s">
        <v>20</v>
      </c>
      <c r="C457" s="7" t="s">
        <v>740</v>
      </c>
      <c r="D457" s="7" t="s">
        <v>741</v>
      </c>
      <c r="E457" s="7" t="s">
        <v>20</v>
      </c>
      <c r="F457" s="7" t="s">
        <v>20</v>
      </c>
      <c r="G457" s="7" t="s">
        <v>742</v>
      </c>
      <c r="H457" s="7" t="s">
        <v>20</v>
      </c>
      <c r="I457" s="8" t="s">
        <v>104</v>
      </c>
      <c r="J457" s="7" t="s">
        <v>1759</v>
      </c>
      <c r="K457" s="7" t="s">
        <v>1760</v>
      </c>
      <c r="L457" s="7" t="s">
        <v>27</v>
      </c>
      <c r="M457" s="7" t="s">
        <v>28</v>
      </c>
      <c r="N457" s="9" t="s">
        <v>35</v>
      </c>
      <c r="O457" s="7" t="s">
        <v>30</v>
      </c>
      <c r="P457" s="7" t="s">
        <v>20</v>
      </c>
      <c r="Q457" s="9" t="s">
        <v>35</v>
      </c>
      <c r="R457" s="7" t="str" cm="1">
        <f t="array" ref="R457">IF(AND(Q457="",P457&lt;&gt;""),N457,_xlfn.SWITCH(IF(Q457&lt;&gt;"",Q457,O457)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Centers",IF(Q457&lt;&gt;"",Q457,O457)))</f>
        <v>Leiter/in einer Geschäftsstelle</v>
      </c>
      <c r="S457" s="7" t="str">
        <f>IF(N457&lt;&gt;R457,"x","")</f>
        <v/>
      </c>
    </row>
    <row r="458" spans="1:19" hidden="1" x14ac:dyDescent="0.25">
      <c r="A458" s="7" t="s">
        <v>1761</v>
      </c>
      <c r="B458" s="7" t="s">
        <v>20</v>
      </c>
      <c r="C458" s="7" t="s">
        <v>740</v>
      </c>
      <c r="D458" s="7" t="s">
        <v>741</v>
      </c>
      <c r="E458" s="7" t="s">
        <v>20</v>
      </c>
      <c r="F458" s="7" t="s">
        <v>20</v>
      </c>
      <c r="G458" s="7" t="s">
        <v>742</v>
      </c>
      <c r="H458" s="7" t="s">
        <v>20</v>
      </c>
      <c r="I458" s="8" t="s">
        <v>496</v>
      </c>
      <c r="J458" s="7" t="s">
        <v>441</v>
      </c>
      <c r="K458" s="7" t="s">
        <v>1762</v>
      </c>
      <c r="L458" s="7" t="s">
        <v>27</v>
      </c>
      <c r="M458" s="7" t="s">
        <v>28</v>
      </c>
      <c r="N458" s="9" t="s">
        <v>35</v>
      </c>
      <c r="O458" s="7" t="s">
        <v>30</v>
      </c>
      <c r="P458" s="7" t="s">
        <v>20</v>
      </c>
      <c r="Q458" s="9" t="s">
        <v>35</v>
      </c>
      <c r="R458" s="7" t="str" cm="1">
        <f t="array" ref="R458">IF(AND(Q458="",P458&lt;&gt;""),N458,_xlfn.SWITCH(IF(Q458&lt;&gt;"",Q458,O458)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Centers",IF(Q458&lt;&gt;"",Q458,O458)))</f>
        <v>Leiter/in einer Geschäftsstelle</v>
      </c>
      <c r="S458" s="7" t="str">
        <f>IF(N458&lt;&gt;R458,"x","")</f>
        <v/>
      </c>
    </row>
    <row r="459" spans="1:19" x14ac:dyDescent="0.25">
      <c r="A459" s="7" t="s">
        <v>1763</v>
      </c>
      <c r="B459" s="7" t="s">
        <v>20</v>
      </c>
      <c r="C459" s="7" t="s">
        <v>740</v>
      </c>
      <c r="D459" s="7" t="s">
        <v>741</v>
      </c>
      <c r="E459" s="7" t="s">
        <v>20</v>
      </c>
      <c r="F459" s="7" t="s">
        <v>20</v>
      </c>
      <c r="G459" s="7" t="s">
        <v>742</v>
      </c>
      <c r="H459" s="7" t="s">
        <v>20</v>
      </c>
      <c r="I459" s="8" t="s">
        <v>324</v>
      </c>
      <c r="J459" s="7" t="s">
        <v>1764</v>
      </c>
      <c r="K459" s="7" t="s">
        <v>63</v>
      </c>
      <c r="L459" s="7" t="s">
        <v>228</v>
      </c>
      <c r="M459" s="7" t="s">
        <v>229</v>
      </c>
      <c r="N459" s="9" t="s">
        <v>93</v>
      </c>
      <c r="O459" s="7" t="s">
        <v>30</v>
      </c>
      <c r="P459" s="7" t="s">
        <v>49</v>
      </c>
      <c r="Q459" s="7"/>
      <c r="R459" s="7" t="str" cm="1">
        <f t="array" ref="R459">IF(AND(Q459="",P459&lt;&gt;""),N459,_xlfn.SWITCH(IF(Q459&lt;&gt;"",Q459,O459)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Centers",IF(Q459&lt;&gt;"",Q459,O459)))</f>
        <v>Leiter/in einer Hauptgeschäftsstelle</v>
      </c>
      <c r="S459" s="7" t="str">
        <f>IF(N459&lt;&gt;R459,"x","")</f>
        <v/>
      </c>
    </row>
    <row r="460" spans="1:19" hidden="1" x14ac:dyDescent="0.25">
      <c r="A460" s="7" t="s">
        <v>1765</v>
      </c>
      <c r="B460" s="7" t="s">
        <v>20</v>
      </c>
      <c r="C460" s="7" t="s">
        <v>740</v>
      </c>
      <c r="D460" s="7" t="s">
        <v>741</v>
      </c>
      <c r="E460" s="7" t="s">
        <v>20</v>
      </c>
      <c r="F460" s="7" t="s">
        <v>20</v>
      </c>
      <c r="G460" s="7" t="s">
        <v>742</v>
      </c>
      <c r="H460" s="7" t="s">
        <v>20</v>
      </c>
      <c r="I460" s="8" t="s">
        <v>1766</v>
      </c>
      <c r="J460" s="7" t="s">
        <v>1766</v>
      </c>
      <c r="K460" s="7" t="s">
        <v>1767</v>
      </c>
      <c r="L460" s="7" t="s">
        <v>64</v>
      </c>
      <c r="M460" s="7" t="s">
        <v>65</v>
      </c>
      <c r="N460" s="9" t="s">
        <v>20</v>
      </c>
      <c r="O460" s="7" t="s">
        <v>59</v>
      </c>
      <c r="P460" s="7" t="s">
        <v>20</v>
      </c>
      <c r="Q460" s="7"/>
      <c r="R460" s="7" t="str" cm="1">
        <f t="array" ref="R460">IF(AND(Q460="",P460&lt;&gt;""),N460,_xlfn.SWITCH(IF(Q460&lt;&gt;"",Q460,O460)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Centers",IF(Q460&lt;&gt;"",Q460,O460)))</f>
        <v>Leiter/in des Service Centers</v>
      </c>
      <c r="S460" s="7" t="str">
        <f>IF(N460&lt;&gt;R460,"x","")</f>
        <v>x</v>
      </c>
    </row>
    <row r="461" spans="1:19" hidden="1" x14ac:dyDescent="0.25">
      <c r="A461" s="7" t="s">
        <v>1768</v>
      </c>
      <c r="B461" s="7" t="s">
        <v>20</v>
      </c>
      <c r="C461" s="7" t="s">
        <v>740</v>
      </c>
      <c r="D461" s="7" t="s">
        <v>741</v>
      </c>
      <c r="E461" s="7" t="s">
        <v>20</v>
      </c>
      <c r="F461" s="7" t="s">
        <v>20</v>
      </c>
      <c r="G461" s="7" t="s">
        <v>742</v>
      </c>
      <c r="H461" s="7" t="s">
        <v>20</v>
      </c>
      <c r="I461" s="8" t="s">
        <v>122</v>
      </c>
      <c r="J461" s="7" t="s">
        <v>1769</v>
      </c>
      <c r="K461" s="7" t="s">
        <v>1770</v>
      </c>
      <c r="L461" s="7" t="s">
        <v>64</v>
      </c>
      <c r="M461" s="7" t="s">
        <v>65</v>
      </c>
      <c r="N461" s="9" t="s">
        <v>111</v>
      </c>
      <c r="O461" s="7" t="s">
        <v>67</v>
      </c>
      <c r="P461" s="7" t="s">
        <v>20</v>
      </c>
      <c r="Q461" s="7"/>
      <c r="R461" s="7" t="str" cm="1">
        <f t="array" ref="R461">IF(AND(Q461="",P461&lt;&gt;""),N461,_xlfn.SWITCH(IF(Q461&lt;&gt;"",Q461,O461)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Centers",IF(Q461&lt;&gt;"",Q461,O461)))</f>
        <v>Leiter/in des Service Centers</v>
      </c>
      <c r="S461" s="7" t="str">
        <f>IF(N461&lt;&gt;R461,"x","")</f>
        <v>x</v>
      </c>
    </row>
    <row r="462" spans="1:19" hidden="1" x14ac:dyDescent="0.25">
      <c r="A462" s="7" t="s">
        <v>1771</v>
      </c>
      <c r="B462" s="7" t="s">
        <v>20</v>
      </c>
      <c r="C462" s="7" t="s">
        <v>740</v>
      </c>
      <c r="D462" s="7" t="s">
        <v>741</v>
      </c>
      <c r="E462" s="7" t="s">
        <v>20</v>
      </c>
      <c r="F462" s="7" t="s">
        <v>20</v>
      </c>
      <c r="G462" s="7" t="s">
        <v>742</v>
      </c>
      <c r="H462" s="7" t="s">
        <v>20</v>
      </c>
      <c r="I462" s="8" t="s">
        <v>1772</v>
      </c>
      <c r="J462" s="7" t="s">
        <v>1773</v>
      </c>
      <c r="K462" s="7" t="s">
        <v>1774</v>
      </c>
      <c r="L462" s="7" t="s">
        <v>124</v>
      </c>
      <c r="M462" s="7" t="s">
        <v>125</v>
      </c>
      <c r="N462" s="9" t="s">
        <v>35</v>
      </c>
      <c r="O462" s="7" t="s">
        <v>67</v>
      </c>
      <c r="P462" s="7" t="s">
        <v>20</v>
      </c>
      <c r="Q462" s="9" t="s">
        <v>35</v>
      </c>
      <c r="R462" s="7" t="str" cm="1">
        <f t="array" ref="R462">IF(AND(Q462="",P462&lt;&gt;""),N462,_xlfn.SWITCH(IF(Q462&lt;&gt;"",Q462,O462)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Centers",IF(Q462&lt;&gt;"",Q462,O462)))</f>
        <v>Leiter/in einer Geschäftsstelle</v>
      </c>
      <c r="S462" s="7" t="str">
        <f>IF(N462&lt;&gt;R462,"x","")</f>
        <v/>
      </c>
    </row>
    <row r="463" spans="1:19" hidden="1" x14ac:dyDescent="0.25">
      <c r="A463" s="7" t="s">
        <v>1775</v>
      </c>
      <c r="B463" s="7" t="s">
        <v>20</v>
      </c>
      <c r="C463" s="7" t="s">
        <v>740</v>
      </c>
      <c r="D463" s="7" t="s">
        <v>741</v>
      </c>
      <c r="E463" s="7" t="s">
        <v>20</v>
      </c>
      <c r="F463" s="7" t="s">
        <v>20</v>
      </c>
      <c r="G463" s="7" t="s">
        <v>742</v>
      </c>
      <c r="H463" s="7" t="s">
        <v>20</v>
      </c>
      <c r="I463" s="8" t="s">
        <v>1776</v>
      </c>
      <c r="J463" s="7" t="s">
        <v>1777</v>
      </c>
      <c r="K463" s="7" t="s">
        <v>1778</v>
      </c>
      <c r="L463" s="7" t="s">
        <v>27</v>
      </c>
      <c r="M463" s="7" t="s">
        <v>28</v>
      </c>
      <c r="N463" s="9" t="s">
        <v>149</v>
      </c>
      <c r="O463" s="7" t="s">
        <v>30</v>
      </c>
      <c r="P463" s="7" t="s">
        <v>20</v>
      </c>
      <c r="Q463" s="9" t="s">
        <v>149</v>
      </c>
      <c r="R463" s="7" t="str" cm="1">
        <f t="array" ref="R463">IF(AND(Q463="",P463&lt;&gt;""),N463,_xlfn.SWITCH(IF(Q463&lt;&gt;"",Q463,O463)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Centers",IF(Q463&lt;&gt;"",Q463,O463)))</f>
        <v>Generalagent</v>
      </c>
      <c r="S463" s="7" t="str">
        <f>IF(N463&lt;&gt;R463,"x","")</f>
        <v/>
      </c>
    </row>
    <row r="464" spans="1:19" x14ac:dyDescent="0.25">
      <c r="A464" s="7" t="s">
        <v>1779</v>
      </c>
      <c r="B464" s="7" t="s">
        <v>20</v>
      </c>
      <c r="C464" s="7" t="s">
        <v>740</v>
      </c>
      <c r="D464" s="7" t="s">
        <v>741</v>
      </c>
      <c r="E464" s="7" t="s">
        <v>20</v>
      </c>
      <c r="F464" s="7" t="s">
        <v>20</v>
      </c>
      <c r="G464" s="7" t="s">
        <v>742</v>
      </c>
      <c r="H464" s="7" t="s">
        <v>20</v>
      </c>
      <c r="I464" s="8" t="s">
        <v>1780</v>
      </c>
      <c r="J464" s="7" t="s">
        <v>1781</v>
      </c>
      <c r="K464" s="7" t="s">
        <v>1782</v>
      </c>
      <c r="L464" s="7" t="s">
        <v>64</v>
      </c>
      <c r="M464" s="7" t="s">
        <v>65</v>
      </c>
      <c r="N464" s="9" t="s">
        <v>892</v>
      </c>
      <c r="O464" s="7" t="s">
        <v>510</v>
      </c>
      <c r="P464" s="7" t="s">
        <v>20</v>
      </c>
      <c r="Q464" s="9" t="s">
        <v>892</v>
      </c>
      <c r="R464" s="7" t="str" cm="1">
        <f t="array" ref="R464">IF(AND(Q464="",P464&lt;&gt;""),N464,_xlfn.SWITCH(IF(Q464&lt;&gt;"",Q464,O464)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Centers",IF(Q464&lt;&gt;"",Q464,O464)))</f>
        <v>Leiterin einer Hauptgeschäftsstelle</v>
      </c>
      <c r="S464" s="7" t="str">
        <f>IF(N464&lt;&gt;R464,"x","")</f>
        <v/>
      </c>
    </row>
    <row r="465" spans="1:19" hidden="1" x14ac:dyDescent="0.25">
      <c r="A465" s="7" t="s">
        <v>1783</v>
      </c>
      <c r="B465" s="7" t="s">
        <v>20</v>
      </c>
      <c r="C465" s="7" t="s">
        <v>740</v>
      </c>
      <c r="D465" s="7" t="s">
        <v>741</v>
      </c>
      <c r="E465" s="7" t="s">
        <v>20</v>
      </c>
      <c r="F465" s="7" t="s">
        <v>20</v>
      </c>
      <c r="G465" s="7" t="s">
        <v>742</v>
      </c>
      <c r="H465" s="7" t="s">
        <v>20</v>
      </c>
      <c r="I465" s="8" t="s">
        <v>884</v>
      </c>
      <c r="J465" s="7" t="s">
        <v>1784</v>
      </c>
      <c r="K465" s="7" t="s">
        <v>1785</v>
      </c>
      <c r="L465" s="7" t="s">
        <v>64</v>
      </c>
      <c r="M465" s="7" t="s">
        <v>65</v>
      </c>
      <c r="N465" s="9" t="s">
        <v>59</v>
      </c>
      <c r="O465" s="7" t="s">
        <v>510</v>
      </c>
      <c r="P465" s="7" t="s">
        <v>20</v>
      </c>
      <c r="Q465" s="7"/>
      <c r="R465" s="7" t="str" cm="1">
        <f t="array" ref="R465">IF(AND(Q465="",P465&lt;&gt;""),N465,_xlfn.SWITCH(IF(Q465&lt;&gt;"",Q465,O465)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Centers",IF(Q465&lt;&gt;"",Q465,O465)))</f>
        <v>Leiter/in des Service Centers</v>
      </c>
      <c r="S465" s="7" t="str">
        <f>IF(N465&lt;&gt;R465,"x","")</f>
        <v/>
      </c>
    </row>
    <row r="466" spans="1:19" hidden="1" x14ac:dyDescent="0.25">
      <c r="A466" s="7" t="s">
        <v>1786</v>
      </c>
      <c r="B466" s="7" t="s">
        <v>20</v>
      </c>
      <c r="C466" s="7" t="s">
        <v>740</v>
      </c>
      <c r="D466" s="7" t="s">
        <v>741</v>
      </c>
      <c r="E466" s="7" t="s">
        <v>20</v>
      </c>
      <c r="F466" s="7" t="s">
        <v>20</v>
      </c>
      <c r="G466" s="7" t="s">
        <v>742</v>
      </c>
      <c r="H466" s="7" t="s">
        <v>20</v>
      </c>
      <c r="I466" s="8" t="s">
        <v>1787</v>
      </c>
      <c r="J466" s="7" t="s">
        <v>1788</v>
      </c>
      <c r="K466" s="7" t="s">
        <v>1789</v>
      </c>
      <c r="L466" s="7" t="s">
        <v>27</v>
      </c>
      <c r="M466" s="7" t="s">
        <v>28</v>
      </c>
      <c r="N466" s="9" t="s">
        <v>111</v>
      </c>
      <c r="O466" s="7" t="s">
        <v>30</v>
      </c>
      <c r="P466" s="7" t="s">
        <v>20</v>
      </c>
      <c r="Q466" s="7"/>
      <c r="R466" s="7" t="str" cm="1">
        <f t="array" ref="R466">IF(AND(Q466="",P466&lt;&gt;""),N466,_xlfn.SWITCH(IF(Q466&lt;&gt;"",Q466,O466)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Centers",IF(Q466&lt;&gt;"",Q466,O466)))</f>
        <v>Agenturleiter/in</v>
      </c>
      <c r="S466" s="7" t="str">
        <f>IF(N466&lt;&gt;R466,"x","")</f>
        <v>x</v>
      </c>
    </row>
    <row r="467" spans="1:19" hidden="1" x14ac:dyDescent="0.25">
      <c r="A467" s="7" t="s">
        <v>1790</v>
      </c>
      <c r="B467" s="7" t="s">
        <v>20</v>
      </c>
      <c r="C467" s="7" t="s">
        <v>740</v>
      </c>
      <c r="D467" s="7" t="s">
        <v>741</v>
      </c>
      <c r="E467" s="7" t="s">
        <v>20</v>
      </c>
      <c r="F467" s="7" t="s">
        <v>20</v>
      </c>
      <c r="G467" s="7" t="s">
        <v>742</v>
      </c>
      <c r="H467" s="7" t="s">
        <v>20</v>
      </c>
      <c r="I467" s="8" t="s">
        <v>122</v>
      </c>
      <c r="J467" s="7" t="s">
        <v>1178</v>
      </c>
      <c r="K467" s="7" t="s">
        <v>1791</v>
      </c>
      <c r="L467" s="7" t="s">
        <v>64</v>
      </c>
      <c r="M467" s="7" t="s">
        <v>65</v>
      </c>
      <c r="N467" s="9" t="s">
        <v>66</v>
      </c>
      <c r="O467" s="7" t="s">
        <v>67</v>
      </c>
      <c r="P467" s="7" t="s">
        <v>20</v>
      </c>
      <c r="Q467" s="7"/>
      <c r="R467" s="7" t="str" cm="1">
        <f t="array" ref="R467">IF(AND(Q467="",P467&lt;&gt;""),N467,_xlfn.SWITCH(IF(Q467&lt;&gt;"",Q467,O467)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Centers",IF(Q467&lt;&gt;"",Q467,O467)))</f>
        <v>Leiter/in des Service Centers</v>
      </c>
      <c r="S467" s="7" t="str">
        <f>IF(N467&lt;&gt;R467,"x","")</f>
        <v>x</v>
      </c>
    </row>
    <row r="468" spans="1:19" x14ac:dyDescent="0.25">
      <c r="A468" s="7" t="s">
        <v>1792</v>
      </c>
      <c r="B468" s="7" t="s">
        <v>20</v>
      </c>
      <c r="C468" s="7" t="s">
        <v>740</v>
      </c>
      <c r="D468" s="7" t="s">
        <v>741</v>
      </c>
      <c r="E468" s="7" t="s">
        <v>20</v>
      </c>
      <c r="F468" s="7" t="s">
        <v>20</v>
      </c>
      <c r="G468" s="7" t="s">
        <v>742</v>
      </c>
      <c r="H468" s="7" t="s">
        <v>20</v>
      </c>
      <c r="I468" s="8" t="s">
        <v>837</v>
      </c>
      <c r="J468" s="7" t="s">
        <v>1793</v>
      </c>
      <c r="K468" s="7" t="s">
        <v>1794</v>
      </c>
      <c r="L468" s="7" t="s">
        <v>64</v>
      </c>
      <c r="M468" s="7" t="s">
        <v>65</v>
      </c>
      <c r="N468" s="9" t="s">
        <v>93</v>
      </c>
      <c r="O468" s="7" t="s">
        <v>67</v>
      </c>
      <c r="P468" s="7" t="s">
        <v>20</v>
      </c>
      <c r="Q468" s="9" t="s">
        <v>93</v>
      </c>
      <c r="R468" s="7" t="str" cm="1">
        <f t="array" ref="R468">IF(AND(Q468="",P468&lt;&gt;""),N468,_xlfn.SWITCH(IF(Q468&lt;&gt;"",Q468,O468)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Centers",IF(Q468&lt;&gt;"",Q468,O468)))</f>
        <v>Leiter/in einer Hauptgeschäftsstelle</v>
      </c>
      <c r="S468" s="7" t="str">
        <f>IF(N468&lt;&gt;R468,"x","")</f>
        <v/>
      </c>
    </row>
    <row r="469" spans="1:19" hidden="1" x14ac:dyDescent="0.25">
      <c r="A469" s="7" t="s">
        <v>1795</v>
      </c>
      <c r="B469" s="7" t="s">
        <v>20</v>
      </c>
      <c r="C469" s="7" t="s">
        <v>1796</v>
      </c>
      <c r="D469" s="7" t="s">
        <v>1797</v>
      </c>
      <c r="E469" s="7" t="s">
        <v>20</v>
      </c>
      <c r="F469" s="7" t="s">
        <v>20</v>
      </c>
      <c r="G469" s="7" t="s">
        <v>742</v>
      </c>
      <c r="H469" s="7" t="s">
        <v>20</v>
      </c>
      <c r="I469" s="8" t="s">
        <v>1798</v>
      </c>
      <c r="J469" s="7" t="s">
        <v>1799</v>
      </c>
      <c r="K469" s="7" t="s">
        <v>1800</v>
      </c>
      <c r="L469" s="7" t="s">
        <v>27</v>
      </c>
      <c r="M469" s="7" t="s">
        <v>28</v>
      </c>
      <c r="N469" s="9" t="s">
        <v>111</v>
      </c>
      <c r="O469" s="7" t="s">
        <v>54</v>
      </c>
      <c r="P469" s="7" t="s">
        <v>20</v>
      </c>
      <c r="Q469" s="7"/>
      <c r="R469" s="7" t="str" cm="1">
        <f t="array" ref="R469">IF(AND(Q469="",P469&lt;&gt;""),N469,_xlfn.SWITCH(IF(Q469&lt;&gt;"",Q469,O469)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Centers",IF(Q469&lt;&gt;"",Q469,O469)))</f>
        <v>Agenturleiter/in</v>
      </c>
      <c r="S469" s="7" t="str">
        <f>IF(N469&lt;&gt;R469,"x","")</f>
        <v>x</v>
      </c>
    </row>
    <row r="470" spans="1:19" hidden="1" x14ac:dyDescent="0.25">
      <c r="A470" s="7" t="s">
        <v>1801</v>
      </c>
      <c r="B470" s="7" t="s">
        <v>20</v>
      </c>
      <c r="C470" s="7" t="s">
        <v>1796</v>
      </c>
      <c r="D470" s="7" t="s">
        <v>1797</v>
      </c>
      <c r="E470" s="7" t="s">
        <v>20</v>
      </c>
      <c r="F470" s="7" t="s">
        <v>20</v>
      </c>
      <c r="G470" s="7" t="s">
        <v>742</v>
      </c>
      <c r="H470" s="7" t="s">
        <v>20</v>
      </c>
      <c r="I470" s="8" t="s">
        <v>496</v>
      </c>
      <c r="J470" s="7" t="s">
        <v>1802</v>
      </c>
      <c r="K470" s="7" t="s">
        <v>63</v>
      </c>
      <c r="L470" s="7" t="s">
        <v>40</v>
      </c>
      <c r="M470" s="7" t="s">
        <v>41</v>
      </c>
      <c r="N470" s="9" t="s">
        <v>29</v>
      </c>
      <c r="O470" s="7" t="s">
        <v>48</v>
      </c>
      <c r="P470" s="7" t="s">
        <v>49</v>
      </c>
      <c r="Q470" s="7"/>
      <c r="R470" s="7" t="str" cm="1">
        <f t="array" ref="R470">IF(AND(Q470="",P470&lt;&gt;""),N470,_xlfn.SWITCH(IF(Q470&lt;&gt;"",Q470,O470)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Centers",IF(Q470&lt;&gt;"",Q470,O470)))</f>
        <v>Generalagent/in</v>
      </c>
      <c r="S470" s="7" t="str">
        <f>IF(N470&lt;&gt;R470,"x","")</f>
        <v/>
      </c>
    </row>
    <row r="471" spans="1:19" hidden="1" x14ac:dyDescent="0.25">
      <c r="A471" s="7" t="s">
        <v>1803</v>
      </c>
      <c r="B471" s="7" t="s">
        <v>20</v>
      </c>
      <c r="C471" s="7" t="s">
        <v>1796</v>
      </c>
      <c r="D471" s="7" t="s">
        <v>1797</v>
      </c>
      <c r="E471" s="7" t="s">
        <v>20</v>
      </c>
      <c r="F471" s="7" t="s">
        <v>20</v>
      </c>
      <c r="G471" s="7" t="s">
        <v>742</v>
      </c>
      <c r="H471" s="7" t="s">
        <v>20</v>
      </c>
      <c r="I471" s="8" t="s">
        <v>104</v>
      </c>
      <c r="J471" s="7" t="s">
        <v>1804</v>
      </c>
      <c r="K471" s="7" t="s">
        <v>1805</v>
      </c>
      <c r="L471" s="7" t="s">
        <v>40</v>
      </c>
      <c r="M471" s="7" t="s">
        <v>41</v>
      </c>
      <c r="N471" s="9" t="s">
        <v>80</v>
      </c>
      <c r="O471" s="7" t="s">
        <v>48</v>
      </c>
      <c r="P471" s="7" t="s">
        <v>20</v>
      </c>
      <c r="Q471" s="7"/>
      <c r="R471" s="7" t="str" cm="1">
        <f t="array" ref="R471">IF(AND(Q471="",P471&lt;&gt;""),N471,_xlfn.SWITCH(IF(Q471&lt;&gt;"",Q471,O471)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Centers",IF(Q471&lt;&gt;"",Q471,O471)))</f>
        <v>Repräsentant/in</v>
      </c>
      <c r="S471" s="7" t="str">
        <f>IF(N471&lt;&gt;R471,"x","")</f>
        <v>x</v>
      </c>
    </row>
    <row r="472" spans="1:19" hidden="1" x14ac:dyDescent="0.25">
      <c r="A472" s="7" t="s">
        <v>1806</v>
      </c>
      <c r="B472" s="7" t="s">
        <v>20</v>
      </c>
      <c r="C472" s="7" t="s">
        <v>1796</v>
      </c>
      <c r="D472" s="7" t="s">
        <v>1797</v>
      </c>
      <c r="E472" s="7" t="s">
        <v>20</v>
      </c>
      <c r="F472" s="7" t="s">
        <v>20</v>
      </c>
      <c r="G472" s="7" t="s">
        <v>742</v>
      </c>
      <c r="H472" s="7" t="s">
        <v>20</v>
      </c>
      <c r="I472" s="8" t="s">
        <v>1807</v>
      </c>
      <c r="J472" s="7" t="s">
        <v>1808</v>
      </c>
      <c r="K472" s="7" t="s">
        <v>1809</v>
      </c>
      <c r="L472" s="7" t="s">
        <v>97</v>
      </c>
      <c r="M472" s="7" t="s">
        <v>98</v>
      </c>
      <c r="N472" s="9" t="s">
        <v>111</v>
      </c>
      <c r="O472" s="7" t="s">
        <v>99</v>
      </c>
      <c r="P472" s="7" t="s">
        <v>20</v>
      </c>
      <c r="Q472" s="7"/>
      <c r="R472" s="7" t="str" cm="1">
        <f t="array" ref="R472">IF(AND(Q472="",P472&lt;&gt;""),N472,_xlfn.SWITCH(IF(Q472&lt;&gt;"",Q472,O472)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Centers",IF(Q472&lt;&gt;"",Q472,O472)))</f>
        <v>Hauptagent/in</v>
      </c>
      <c r="S472" s="7" t="str">
        <f>IF(N472&lt;&gt;R472,"x","")</f>
        <v/>
      </c>
    </row>
    <row r="473" spans="1:19" hidden="1" x14ac:dyDescent="0.25">
      <c r="A473" s="7" t="s">
        <v>1810</v>
      </c>
      <c r="B473" s="7" t="s">
        <v>20</v>
      </c>
      <c r="C473" s="7" t="s">
        <v>1796</v>
      </c>
      <c r="D473" s="7" t="s">
        <v>1797</v>
      </c>
      <c r="E473" s="7" t="s">
        <v>20</v>
      </c>
      <c r="F473" s="7" t="s">
        <v>20</v>
      </c>
      <c r="G473" s="7" t="s">
        <v>742</v>
      </c>
      <c r="H473" s="7" t="s">
        <v>20</v>
      </c>
      <c r="I473" s="8" t="s">
        <v>1498</v>
      </c>
      <c r="J473" s="7" t="s">
        <v>1811</v>
      </c>
      <c r="K473" s="7" t="s">
        <v>1812</v>
      </c>
      <c r="L473" s="7" t="s">
        <v>40</v>
      </c>
      <c r="M473" s="7" t="s">
        <v>41</v>
      </c>
      <c r="N473" s="9" t="s">
        <v>75</v>
      </c>
      <c r="O473" s="7" t="s">
        <v>88</v>
      </c>
      <c r="P473" s="7" t="s">
        <v>20</v>
      </c>
      <c r="Q473" s="7"/>
      <c r="R473" s="7" t="str" cm="1">
        <f t="array" ref="R473">IF(AND(Q473="",P473&lt;&gt;""),N473,_xlfn.SWITCH(IF(Q473&lt;&gt;"",Q473,O473)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Centers",IF(Q473&lt;&gt;"",Q473,O473)))</f>
        <v>Kundenberater/in</v>
      </c>
      <c r="S473" s="7" t="str">
        <f>IF(N473&lt;&gt;R473,"x","")</f>
        <v>x</v>
      </c>
    </row>
    <row r="474" spans="1:19" hidden="1" x14ac:dyDescent="0.25">
      <c r="A474" s="7" t="s">
        <v>1813</v>
      </c>
      <c r="B474" s="7" t="s">
        <v>20</v>
      </c>
      <c r="C474" s="7" t="s">
        <v>1796</v>
      </c>
      <c r="D474" s="7" t="s">
        <v>1797</v>
      </c>
      <c r="E474" s="7" t="s">
        <v>20</v>
      </c>
      <c r="F474" s="7" t="s">
        <v>20</v>
      </c>
      <c r="G474" s="7" t="s">
        <v>742</v>
      </c>
      <c r="H474" s="7" t="s">
        <v>20</v>
      </c>
      <c r="I474" s="8" t="s">
        <v>1814</v>
      </c>
      <c r="J474" s="7" t="s">
        <v>1815</v>
      </c>
      <c r="K474" s="7" t="s">
        <v>1816</v>
      </c>
      <c r="L474" s="7" t="s">
        <v>40</v>
      </c>
      <c r="M474" s="7" t="s">
        <v>41</v>
      </c>
      <c r="N474" s="9" t="s">
        <v>75</v>
      </c>
      <c r="O474" s="7" t="s">
        <v>88</v>
      </c>
      <c r="P474" s="7" t="s">
        <v>20</v>
      </c>
      <c r="Q474" s="7"/>
      <c r="R474" s="7" t="str" cm="1">
        <f t="array" ref="R474">IF(AND(Q474="",P474&lt;&gt;""),N474,_xlfn.SWITCH(IF(Q474&lt;&gt;"",Q474,O474)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Centers",IF(Q474&lt;&gt;"",Q474,O474)))</f>
        <v>Kundenberater/in</v>
      </c>
      <c r="S474" s="7" t="str">
        <f>IF(N474&lt;&gt;R474,"x","")</f>
        <v>x</v>
      </c>
    </row>
    <row r="475" spans="1:19" hidden="1" x14ac:dyDescent="0.25">
      <c r="A475" s="7" t="s">
        <v>1817</v>
      </c>
      <c r="B475" s="7" t="s">
        <v>20</v>
      </c>
      <c r="C475" s="7" t="s">
        <v>1796</v>
      </c>
      <c r="D475" s="7" t="s">
        <v>1797</v>
      </c>
      <c r="E475" s="7" t="s">
        <v>20</v>
      </c>
      <c r="F475" s="7" t="s">
        <v>20</v>
      </c>
      <c r="G475" s="7" t="s">
        <v>742</v>
      </c>
      <c r="H475" s="7" t="s">
        <v>20</v>
      </c>
      <c r="I475" s="8" t="s">
        <v>1818</v>
      </c>
      <c r="J475" s="7" t="s">
        <v>1819</v>
      </c>
      <c r="K475" s="7" t="s">
        <v>1820</v>
      </c>
      <c r="L475" s="7" t="s">
        <v>40</v>
      </c>
      <c r="M475" s="7" t="s">
        <v>41</v>
      </c>
      <c r="N475" s="9" t="s">
        <v>75</v>
      </c>
      <c r="O475" s="7" t="s">
        <v>88</v>
      </c>
      <c r="P475" s="7" t="s">
        <v>20</v>
      </c>
      <c r="Q475" s="7"/>
      <c r="R475" s="7" t="str" cm="1">
        <f t="array" ref="R475">IF(AND(Q475="",P475&lt;&gt;""),N475,_xlfn.SWITCH(IF(Q475&lt;&gt;"",Q475,O475)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Centers",IF(Q475&lt;&gt;"",Q475,O475)))</f>
        <v>Kundenberater/in</v>
      </c>
      <c r="S475" s="7" t="str">
        <f>IF(N475&lt;&gt;R475,"x","")</f>
        <v>x</v>
      </c>
    </row>
    <row r="476" spans="1:19" hidden="1" x14ac:dyDescent="0.25">
      <c r="A476" s="7" t="s">
        <v>1821</v>
      </c>
      <c r="B476" s="7" t="s">
        <v>20</v>
      </c>
      <c r="C476" s="7" t="s">
        <v>1796</v>
      </c>
      <c r="D476" s="7" t="s">
        <v>1797</v>
      </c>
      <c r="E476" s="7" t="s">
        <v>20</v>
      </c>
      <c r="F476" s="7" t="s">
        <v>20</v>
      </c>
      <c r="G476" s="7" t="s">
        <v>742</v>
      </c>
      <c r="H476" s="7" t="s">
        <v>20</v>
      </c>
      <c r="I476" s="8" t="s">
        <v>1139</v>
      </c>
      <c r="J476" s="7" t="s">
        <v>1822</v>
      </c>
      <c r="K476" s="7" t="s">
        <v>1823</v>
      </c>
      <c r="L476" s="7" t="s">
        <v>40</v>
      </c>
      <c r="M476" s="7" t="s">
        <v>41</v>
      </c>
      <c r="N476" s="9" t="s">
        <v>75</v>
      </c>
      <c r="O476" s="7" t="s">
        <v>48</v>
      </c>
      <c r="P476" s="7" t="s">
        <v>20</v>
      </c>
      <c r="Q476" s="7"/>
      <c r="R476" s="7" t="str" cm="1">
        <f t="array" ref="R476">IF(AND(Q476="",P476&lt;&gt;""),N476,_xlfn.SWITCH(IF(Q476&lt;&gt;"",Q476,O476)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Centers",IF(Q476&lt;&gt;"",Q476,O476)))</f>
        <v>Repräsentant/in</v>
      </c>
      <c r="S476" s="7" t="str">
        <f>IF(N476&lt;&gt;R476,"x","")</f>
        <v>x</v>
      </c>
    </row>
    <row r="477" spans="1:19" hidden="1" x14ac:dyDescent="0.25">
      <c r="A477" s="7" t="s">
        <v>1824</v>
      </c>
      <c r="B477" s="7" t="s">
        <v>20</v>
      </c>
      <c r="C477" s="7" t="s">
        <v>1796</v>
      </c>
      <c r="D477" s="7" t="s">
        <v>1797</v>
      </c>
      <c r="E477" s="7" t="s">
        <v>20</v>
      </c>
      <c r="F477" s="7" t="s">
        <v>20</v>
      </c>
      <c r="G477" s="7" t="s">
        <v>742</v>
      </c>
      <c r="H477" s="7" t="s">
        <v>20</v>
      </c>
      <c r="I477" s="8" t="s">
        <v>927</v>
      </c>
      <c r="J477" s="7" t="s">
        <v>1825</v>
      </c>
      <c r="K477" s="7" t="s">
        <v>1826</v>
      </c>
      <c r="L477" s="7" t="s">
        <v>40</v>
      </c>
      <c r="M477" s="7" t="s">
        <v>41</v>
      </c>
      <c r="N477" s="9" t="s">
        <v>80</v>
      </c>
      <c r="O477" s="7" t="s">
        <v>43</v>
      </c>
      <c r="P477" s="7" t="s">
        <v>20</v>
      </c>
      <c r="Q477" s="7"/>
      <c r="R477" s="7" t="str" cm="1">
        <f t="array" ref="R477">IF(AND(Q477="",P477&lt;&gt;""),N477,_xlfn.SWITCH(IF(Q477&lt;&gt;"",Q477,O477)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Centers",IF(Q477&lt;&gt;"",Q477,O477)))</f>
        <v>Repräsentant/in</v>
      </c>
      <c r="S477" s="7" t="str">
        <f>IF(N477&lt;&gt;R477,"x","")</f>
        <v>x</v>
      </c>
    </row>
    <row r="478" spans="1:19" hidden="1" x14ac:dyDescent="0.25">
      <c r="A478" s="7" t="s">
        <v>1827</v>
      </c>
      <c r="B478" s="7" t="s">
        <v>20</v>
      </c>
      <c r="C478" s="7" t="s">
        <v>1796</v>
      </c>
      <c r="D478" s="7" t="s">
        <v>1797</v>
      </c>
      <c r="E478" s="7" t="s">
        <v>20</v>
      </c>
      <c r="F478" s="7" t="s">
        <v>20</v>
      </c>
      <c r="G478" s="7" t="s">
        <v>742</v>
      </c>
      <c r="H478" s="7" t="s">
        <v>20</v>
      </c>
      <c r="I478" s="8" t="s">
        <v>1828</v>
      </c>
      <c r="J478" s="7" t="s">
        <v>1829</v>
      </c>
      <c r="K478" s="7" t="s">
        <v>1830</v>
      </c>
      <c r="L478" s="7" t="s">
        <v>27</v>
      </c>
      <c r="M478" s="7" t="s">
        <v>28</v>
      </c>
      <c r="N478" s="9" t="s">
        <v>66</v>
      </c>
      <c r="O478" s="7" t="s">
        <v>54</v>
      </c>
      <c r="P478" s="7" t="s">
        <v>20</v>
      </c>
      <c r="Q478" s="7"/>
      <c r="R478" s="7" t="str" cm="1">
        <f t="array" ref="R478">IF(AND(Q478="",P478&lt;&gt;""),N478,_xlfn.SWITCH(IF(Q478&lt;&gt;"",Q478,O478)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Centers",IF(Q478&lt;&gt;"",Q478,O478)))</f>
        <v>Agenturleiter/in</v>
      </c>
      <c r="S478" s="7" t="str">
        <f>IF(N478&lt;&gt;R478,"x","")</f>
        <v>x</v>
      </c>
    </row>
    <row r="479" spans="1:19" hidden="1" x14ac:dyDescent="0.25">
      <c r="A479" s="7" t="s">
        <v>1831</v>
      </c>
      <c r="B479" s="7" t="s">
        <v>20</v>
      </c>
      <c r="C479" s="7" t="s">
        <v>1796</v>
      </c>
      <c r="D479" s="7" t="s">
        <v>1797</v>
      </c>
      <c r="E479" s="7" t="s">
        <v>20</v>
      </c>
      <c r="F479" s="7" t="s">
        <v>20</v>
      </c>
      <c r="G479" s="7" t="s">
        <v>1832</v>
      </c>
      <c r="H479" s="7" t="s">
        <v>20</v>
      </c>
      <c r="I479" s="8" t="s">
        <v>1833</v>
      </c>
      <c r="J479" s="7" t="s">
        <v>1833</v>
      </c>
      <c r="K479" s="7" t="s">
        <v>1834</v>
      </c>
      <c r="L479" s="7" t="s">
        <v>64</v>
      </c>
      <c r="M479" s="7" t="s">
        <v>65</v>
      </c>
      <c r="N479" s="9" t="s">
        <v>59</v>
      </c>
      <c r="O479" s="7" t="s">
        <v>59</v>
      </c>
      <c r="P479" s="7" t="s">
        <v>20</v>
      </c>
      <c r="Q479" s="7"/>
      <c r="R479" s="7" t="str" cm="1">
        <f t="array" ref="R479">IF(AND(Q479="",P479&lt;&gt;""),N479,_xlfn.SWITCH(IF(Q479&lt;&gt;"",Q479,O479)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Centers",IF(Q479&lt;&gt;"",Q479,O479)))</f>
        <v>Leiter/in des Service Centers</v>
      </c>
      <c r="S479" s="7" t="str">
        <f>IF(N479&lt;&gt;R479,"x","")</f>
        <v/>
      </c>
    </row>
    <row r="480" spans="1:19" hidden="1" x14ac:dyDescent="0.25">
      <c r="A480" s="7" t="s">
        <v>1835</v>
      </c>
      <c r="B480" s="7" t="s">
        <v>20</v>
      </c>
      <c r="C480" s="7" t="s">
        <v>1796</v>
      </c>
      <c r="D480" s="7" t="s">
        <v>1797</v>
      </c>
      <c r="E480" s="7" t="s">
        <v>20</v>
      </c>
      <c r="F480" s="7" t="s">
        <v>20</v>
      </c>
      <c r="G480" s="7" t="s">
        <v>742</v>
      </c>
      <c r="H480" s="7" t="s">
        <v>20</v>
      </c>
      <c r="I480" s="8" t="s">
        <v>1836</v>
      </c>
      <c r="J480" s="7" t="s">
        <v>1836</v>
      </c>
      <c r="K480" s="7" t="s">
        <v>1837</v>
      </c>
      <c r="L480" s="7" t="s">
        <v>64</v>
      </c>
      <c r="M480" s="7" t="s">
        <v>65</v>
      </c>
      <c r="N480" s="9" t="s">
        <v>126</v>
      </c>
      <c r="O480" s="7" t="s">
        <v>59</v>
      </c>
      <c r="P480" s="7" t="s">
        <v>20</v>
      </c>
      <c r="Q480" s="9" t="s">
        <v>126</v>
      </c>
      <c r="R480" s="7" t="str" cm="1">
        <f t="array" ref="R480">IF(AND(Q480="",P480&lt;&gt;""),N480,_xlfn.SWITCH(IF(Q480&lt;&gt;"",Q480,O480)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Centers",IF(Q480&lt;&gt;"",Q480,O480)))</f>
        <v>Leiter einer Hauptgeschäftsstelle</v>
      </c>
      <c r="S480" s="7" t="str">
        <f>IF(N480&lt;&gt;R480,"x","")</f>
        <v/>
      </c>
    </row>
    <row r="481" spans="1:19" hidden="1" x14ac:dyDescent="0.25">
      <c r="A481" s="7" t="s">
        <v>1838</v>
      </c>
      <c r="B481" s="7" t="s">
        <v>20</v>
      </c>
      <c r="C481" s="7" t="s">
        <v>1796</v>
      </c>
      <c r="D481" s="7" t="s">
        <v>1797</v>
      </c>
      <c r="E481" s="7" t="s">
        <v>20</v>
      </c>
      <c r="F481" s="7" t="s">
        <v>20</v>
      </c>
      <c r="G481" s="7" t="s">
        <v>742</v>
      </c>
      <c r="H481" s="7" t="s">
        <v>20</v>
      </c>
      <c r="I481" s="8" t="s">
        <v>1839</v>
      </c>
      <c r="J481" s="7" t="s">
        <v>1840</v>
      </c>
      <c r="K481" s="7" t="s">
        <v>1841</v>
      </c>
      <c r="L481" s="7" t="s">
        <v>64</v>
      </c>
      <c r="M481" s="7" t="s">
        <v>65</v>
      </c>
      <c r="N481" s="9" t="s">
        <v>59</v>
      </c>
      <c r="O481" s="7" t="s">
        <v>510</v>
      </c>
      <c r="P481" s="7" t="s">
        <v>20</v>
      </c>
      <c r="Q481" s="7"/>
      <c r="R481" s="7" t="str" cm="1">
        <f t="array" ref="R481">IF(AND(Q481="",P481&lt;&gt;""),N481,_xlfn.SWITCH(IF(Q481&lt;&gt;"",Q481,O481)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Centers",IF(Q481&lt;&gt;"",Q481,O481)))</f>
        <v>Leiter/in des Service Centers</v>
      </c>
      <c r="S481" s="7" t="str">
        <f>IF(N481&lt;&gt;R481,"x","")</f>
        <v/>
      </c>
    </row>
    <row r="482" spans="1:19" x14ac:dyDescent="0.25">
      <c r="A482" s="7" t="s">
        <v>1842</v>
      </c>
      <c r="B482" s="7" t="s">
        <v>20</v>
      </c>
      <c r="C482" s="7" t="s">
        <v>1796</v>
      </c>
      <c r="D482" s="7" t="s">
        <v>1797</v>
      </c>
      <c r="E482" s="7" t="s">
        <v>20</v>
      </c>
      <c r="F482" s="7" t="s">
        <v>20</v>
      </c>
      <c r="G482" s="7" t="s">
        <v>742</v>
      </c>
      <c r="H482" s="7" t="s">
        <v>20</v>
      </c>
      <c r="I482" s="8" t="s">
        <v>1843</v>
      </c>
      <c r="J482" s="7" t="s">
        <v>1843</v>
      </c>
      <c r="K482" s="7" t="s">
        <v>1844</v>
      </c>
      <c r="L482" s="7" t="s">
        <v>64</v>
      </c>
      <c r="M482" s="7" t="s">
        <v>65</v>
      </c>
      <c r="N482" s="9" t="s">
        <v>93</v>
      </c>
      <c r="O482" s="7" t="s">
        <v>59</v>
      </c>
      <c r="P482" s="7" t="s">
        <v>20</v>
      </c>
      <c r="Q482" s="9" t="s">
        <v>93</v>
      </c>
      <c r="R482" s="7" t="str" cm="1">
        <f t="array" ref="R482">IF(AND(Q482="",P482&lt;&gt;""),N482,_xlfn.SWITCH(IF(Q482&lt;&gt;"",Q482,O482)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Centers",IF(Q482&lt;&gt;"",Q482,O482)))</f>
        <v>Leiter/in einer Hauptgeschäftsstelle</v>
      </c>
      <c r="S482" s="7" t="str">
        <f>IF(N482&lt;&gt;R482,"x","")</f>
        <v/>
      </c>
    </row>
    <row r="483" spans="1:19" hidden="1" x14ac:dyDescent="0.25">
      <c r="A483" s="7" t="s">
        <v>1845</v>
      </c>
      <c r="B483" s="7" t="s">
        <v>1846</v>
      </c>
      <c r="C483" s="7" t="s">
        <v>1796</v>
      </c>
      <c r="D483" s="7" t="s">
        <v>1797</v>
      </c>
      <c r="E483" s="7" t="s">
        <v>1847</v>
      </c>
      <c r="F483" s="7" t="s">
        <v>1848</v>
      </c>
      <c r="G483" s="7" t="s">
        <v>1849</v>
      </c>
      <c r="H483" s="7" t="s">
        <v>1849</v>
      </c>
      <c r="I483" s="8" t="s">
        <v>1850</v>
      </c>
      <c r="J483" s="7" t="s">
        <v>1851</v>
      </c>
      <c r="K483" s="7" t="s">
        <v>63</v>
      </c>
      <c r="L483" s="7" t="s">
        <v>40</v>
      </c>
      <c r="M483" s="7" t="s">
        <v>41</v>
      </c>
      <c r="N483" s="9" t="s">
        <v>35</v>
      </c>
      <c r="O483" s="7" t="s">
        <v>48</v>
      </c>
      <c r="P483" s="7" t="s">
        <v>49</v>
      </c>
      <c r="Q483" s="7"/>
      <c r="R483" s="7" t="str" cm="1">
        <f t="array" ref="R483">IF(AND(Q483="",P483&lt;&gt;""),N483,_xlfn.SWITCH(IF(Q483&lt;&gt;"",Q483,O483)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Centers",IF(Q483&lt;&gt;"",Q483,O483)))</f>
        <v>Leiter/in einer Geschäftsstelle</v>
      </c>
      <c r="S483" s="7" t="str">
        <f>IF(N483&lt;&gt;R483,"x","")</f>
        <v/>
      </c>
    </row>
    <row r="484" spans="1:19" hidden="1" x14ac:dyDescent="0.25">
      <c r="A484" s="7" t="s">
        <v>1852</v>
      </c>
      <c r="B484" s="7" t="s">
        <v>1853</v>
      </c>
      <c r="C484" s="7" t="s">
        <v>1796</v>
      </c>
      <c r="D484" s="7" t="s">
        <v>1797</v>
      </c>
      <c r="E484" s="7" t="s">
        <v>1847</v>
      </c>
      <c r="F484" s="7" t="s">
        <v>1848</v>
      </c>
      <c r="G484" s="7" t="s">
        <v>1849</v>
      </c>
      <c r="H484" s="7" t="s">
        <v>1849</v>
      </c>
      <c r="I484" s="8" t="s">
        <v>1854</v>
      </c>
      <c r="J484" s="7" t="s">
        <v>1855</v>
      </c>
      <c r="K484" s="7" t="s">
        <v>1856</v>
      </c>
      <c r="L484" s="7" t="s">
        <v>97</v>
      </c>
      <c r="M484" s="7" t="s">
        <v>98</v>
      </c>
      <c r="N484" s="9" t="s">
        <v>111</v>
      </c>
      <c r="O484" s="7" t="s">
        <v>251</v>
      </c>
      <c r="P484" s="7" t="s">
        <v>20</v>
      </c>
      <c r="Q484" s="7"/>
      <c r="R484" s="7" t="str" cm="1">
        <f t="array" ref="R484">IF(AND(Q484="",P484&lt;&gt;""),N484,_xlfn.SWITCH(IF(Q484&lt;&gt;"",Q484,O484)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Centers",IF(Q484&lt;&gt;"",Q484,O484)))</f>
        <v>Hauptagent/in</v>
      </c>
      <c r="S484" s="7" t="str">
        <f>IF(N484&lt;&gt;R484,"x","")</f>
        <v/>
      </c>
    </row>
    <row r="485" spans="1:19" hidden="1" x14ac:dyDescent="0.25">
      <c r="A485" s="7" t="s">
        <v>1857</v>
      </c>
      <c r="B485" s="7" t="s">
        <v>1858</v>
      </c>
      <c r="C485" s="7" t="s">
        <v>1796</v>
      </c>
      <c r="D485" s="7" t="s">
        <v>1797</v>
      </c>
      <c r="E485" s="7" t="s">
        <v>1847</v>
      </c>
      <c r="F485" s="7" t="s">
        <v>1848</v>
      </c>
      <c r="G485" s="7" t="s">
        <v>1849</v>
      </c>
      <c r="H485" s="7" t="s">
        <v>1849</v>
      </c>
      <c r="I485" s="8" t="s">
        <v>670</v>
      </c>
      <c r="J485" s="7" t="s">
        <v>1859</v>
      </c>
      <c r="K485" s="7" t="s">
        <v>1860</v>
      </c>
      <c r="L485" s="7" t="s">
        <v>27</v>
      </c>
      <c r="M485" s="7" t="s">
        <v>28</v>
      </c>
      <c r="N485" s="9" t="s">
        <v>111</v>
      </c>
      <c r="O485" s="7" t="s">
        <v>30</v>
      </c>
      <c r="P485" s="7" t="s">
        <v>20</v>
      </c>
      <c r="Q485" s="7"/>
      <c r="R485" s="7" t="str" cm="1">
        <f t="array" ref="R485">IF(AND(Q485="",P485&lt;&gt;""),N485,_xlfn.SWITCH(IF(Q485&lt;&gt;"",Q485,O485)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Centers",IF(Q485&lt;&gt;"",Q485,O485)))</f>
        <v>Agenturleiter/in</v>
      </c>
      <c r="S485" s="7" t="str">
        <f>IF(N485&lt;&gt;R485,"x","")</f>
        <v>x</v>
      </c>
    </row>
    <row r="486" spans="1:19" hidden="1" x14ac:dyDescent="0.25">
      <c r="A486" s="7" t="s">
        <v>1861</v>
      </c>
      <c r="B486" s="7" t="s">
        <v>20</v>
      </c>
      <c r="C486" s="7" t="s">
        <v>1862</v>
      </c>
      <c r="D486" s="7" t="s">
        <v>1863</v>
      </c>
      <c r="E486" s="7" t="s">
        <v>20</v>
      </c>
      <c r="F486" s="7" t="s">
        <v>20</v>
      </c>
      <c r="G486" s="7" t="s">
        <v>1864</v>
      </c>
      <c r="H486" s="7" t="s">
        <v>20</v>
      </c>
      <c r="I486" s="8" t="s">
        <v>1865</v>
      </c>
      <c r="J486" s="7" t="s">
        <v>1866</v>
      </c>
      <c r="K486" s="7" t="s">
        <v>1867</v>
      </c>
      <c r="L486" s="7" t="s">
        <v>27</v>
      </c>
      <c r="M486" s="7" t="s">
        <v>28</v>
      </c>
      <c r="N486" s="9" t="s">
        <v>35</v>
      </c>
      <c r="O486" s="7" t="s">
        <v>30</v>
      </c>
      <c r="P486" s="7" t="s">
        <v>20</v>
      </c>
      <c r="Q486" s="7"/>
      <c r="R486" s="7" t="str" cm="1">
        <f t="array" ref="R486">IF(AND(Q486="",P486&lt;&gt;""),N486,_xlfn.SWITCH(IF(Q486&lt;&gt;"",Q486,O486)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Centers",IF(Q486&lt;&gt;"",Q486,O486)))</f>
        <v>Agenturleiter/in</v>
      </c>
      <c r="S486" s="7" t="str">
        <f>IF(N486&lt;&gt;R486,"x","")</f>
        <v>x</v>
      </c>
    </row>
    <row r="487" spans="1:19" hidden="1" x14ac:dyDescent="0.25">
      <c r="A487" s="7" t="s">
        <v>1868</v>
      </c>
      <c r="B487" s="7" t="s">
        <v>20</v>
      </c>
      <c r="C487" s="7" t="s">
        <v>1862</v>
      </c>
      <c r="D487" s="7" t="s">
        <v>1863</v>
      </c>
      <c r="E487" s="7" t="s">
        <v>20</v>
      </c>
      <c r="F487" s="7" t="s">
        <v>20</v>
      </c>
      <c r="G487" s="7" t="s">
        <v>1864</v>
      </c>
      <c r="H487" s="7" t="s">
        <v>20</v>
      </c>
      <c r="I487" s="8" t="s">
        <v>1869</v>
      </c>
      <c r="J487" s="7" t="s">
        <v>1870</v>
      </c>
      <c r="K487" s="7" t="s">
        <v>1871</v>
      </c>
      <c r="L487" s="7" t="s">
        <v>27</v>
      </c>
      <c r="M487" s="7" t="s">
        <v>28</v>
      </c>
      <c r="N487" s="9" t="s">
        <v>149</v>
      </c>
      <c r="O487" s="7" t="s">
        <v>30</v>
      </c>
      <c r="P487" s="7" t="s">
        <v>20</v>
      </c>
      <c r="Q487" s="7"/>
      <c r="R487" s="7" t="str" cm="1">
        <f t="array" ref="R487">IF(AND(Q487="",P487&lt;&gt;""),N487,_xlfn.SWITCH(IF(Q487&lt;&gt;"",Q487,O487)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Centers",IF(Q487&lt;&gt;"",Q487,O487)))</f>
        <v>Agenturleiter/in</v>
      </c>
      <c r="S487" s="7" t="str">
        <f>IF(N487&lt;&gt;R487,"x","")</f>
        <v>x</v>
      </c>
    </row>
    <row r="488" spans="1:19" hidden="1" x14ac:dyDescent="0.25">
      <c r="A488" s="7" t="s">
        <v>1872</v>
      </c>
      <c r="B488" s="7" t="s">
        <v>20</v>
      </c>
      <c r="C488" s="7" t="s">
        <v>1862</v>
      </c>
      <c r="D488" s="7" t="s">
        <v>1863</v>
      </c>
      <c r="E488" s="7" t="s">
        <v>20</v>
      </c>
      <c r="F488" s="7" t="s">
        <v>20</v>
      </c>
      <c r="G488" s="7" t="s">
        <v>1864</v>
      </c>
      <c r="H488" s="7" t="s">
        <v>20</v>
      </c>
      <c r="I488" s="8" t="s">
        <v>975</v>
      </c>
      <c r="J488" s="7" t="s">
        <v>1873</v>
      </c>
      <c r="K488" s="7" t="s">
        <v>1874</v>
      </c>
      <c r="L488" s="7" t="s">
        <v>97</v>
      </c>
      <c r="M488" s="7" t="s">
        <v>98</v>
      </c>
      <c r="N488" s="9" t="s">
        <v>111</v>
      </c>
      <c r="O488" s="7" t="s">
        <v>99</v>
      </c>
      <c r="P488" s="7" t="s">
        <v>20</v>
      </c>
      <c r="Q488" s="7"/>
      <c r="R488" s="7" t="str" cm="1">
        <f t="array" ref="R488">IF(AND(Q488="",P488&lt;&gt;""),N488,_xlfn.SWITCH(IF(Q488&lt;&gt;"",Q488,O488)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Centers",IF(Q488&lt;&gt;"",Q488,O488)))</f>
        <v>Hauptagent/in</v>
      </c>
      <c r="S488" s="7" t="str">
        <f>IF(N488&lt;&gt;R488,"x","")</f>
        <v/>
      </c>
    </row>
    <row r="489" spans="1:19" hidden="1" x14ac:dyDescent="0.25">
      <c r="A489" s="7" t="s">
        <v>1875</v>
      </c>
      <c r="B489" s="7" t="s">
        <v>20</v>
      </c>
      <c r="C489" s="7" t="s">
        <v>1862</v>
      </c>
      <c r="D489" s="7" t="s">
        <v>1863</v>
      </c>
      <c r="E489" s="7" t="s">
        <v>20</v>
      </c>
      <c r="F489" s="7" t="s">
        <v>20</v>
      </c>
      <c r="G489" s="7" t="s">
        <v>1864</v>
      </c>
      <c r="H489" s="7" t="s">
        <v>20</v>
      </c>
      <c r="I489" s="8" t="s">
        <v>1044</v>
      </c>
      <c r="J489" s="7" t="s">
        <v>1876</v>
      </c>
      <c r="K489" s="7" t="s">
        <v>1877</v>
      </c>
      <c r="L489" s="7" t="s">
        <v>27</v>
      </c>
      <c r="M489" s="7" t="s">
        <v>28</v>
      </c>
      <c r="N489" s="9" t="s">
        <v>35</v>
      </c>
      <c r="O489" s="7" t="s">
        <v>30</v>
      </c>
      <c r="P489" s="7" t="s">
        <v>20</v>
      </c>
      <c r="Q489" s="7"/>
      <c r="R489" s="7" t="str" cm="1">
        <f t="array" ref="R489">IF(AND(Q489="",P489&lt;&gt;""),N489,_xlfn.SWITCH(IF(Q489&lt;&gt;"",Q489,O489)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Centers",IF(Q489&lt;&gt;"",Q489,O489)))</f>
        <v>Agenturleiter/in</v>
      </c>
      <c r="S489" s="7" t="str">
        <f>IF(N489&lt;&gt;R489,"x","")</f>
        <v>x</v>
      </c>
    </row>
    <row r="490" spans="1:19" hidden="1" x14ac:dyDescent="0.25">
      <c r="A490" s="7" t="s">
        <v>1878</v>
      </c>
      <c r="B490" s="7" t="s">
        <v>20</v>
      </c>
      <c r="C490" s="7" t="s">
        <v>1862</v>
      </c>
      <c r="D490" s="7" t="s">
        <v>1863</v>
      </c>
      <c r="E490" s="7" t="s">
        <v>20</v>
      </c>
      <c r="F490" s="7" t="s">
        <v>20</v>
      </c>
      <c r="G490" s="7" t="s">
        <v>1864</v>
      </c>
      <c r="H490" s="7" t="s">
        <v>20</v>
      </c>
      <c r="I490" s="8" t="s">
        <v>1879</v>
      </c>
      <c r="J490" s="7" t="s">
        <v>1880</v>
      </c>
      <c r="K490" s="7" t="s">
        <v>63</v>
      </c>
      <c r="L490" s="7" t="s">
        <v>97</v>
      </c>
      <c r="M490" s="7" t="s">
        <v>98</v>
      </c>
      <c r="N490" s="9" t="s">
        <v>29</v>
      </c>
      <c r="O490" s="7" t="s">
        <v>251</v>
      </c>
      <c r="P490" s="7" t="s">
        <v>49</v>
      </c>
      <c r="Q490" s="7"/>
      <c r="R490" s="7" t="str" cm="1">
        <f t="array" ref="R490">IF(AND(Q490="",P490&lt;&gt;""),N490,_xlfn.SWITCH(IF(Q490&lt;&gt;"",Q490,O490)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Centers",IF(Q490&lt;&gt;"",Q490,O490)))</f>
        <v>Generalagent/in</v>
      </c>
      <c r="S490" s="7" t="str">
        <f>IF(N490&lt;&gt;R490,"x","")</f>
        <v/>
      </c>
    </row>
    <row r="491" spans="1:19" hidden="1" x14ac:dyDescent="0.25">
      <c r="A491" s="7" t="s">
        <v>1881</v>
      </c>
      <c r="B491" s="7" t="s">
        <v>20</v>
      </c>
      <c r="C491" s="7" t="s">
        <v>1862</v>
      </c>
      <c r="D491" s="7" t="s">
        <v>1863</v>
      </c>
      <c r="E491" s="7" t="s">
        <v>20</v>
      </c>
      <c r="F491" s="7" t="s">
        <v>20</v>
      </c>
      <c r="G491" s="7" t="s">
        <v>1864</v>
      </c>
      <c r="H491" s="7" t="s">
        <v>20</v>
      </c>
      <c r="I491" s="8" t="s">
        <v>1798</v>
      </c>
      <c r="J491" s="7" t="s">
        <v>1882</v>
      </c>
      <c r="K491" s="7" t="s">
        <v>1883</v>
      </c>
      <c r="L491" s="7" t="s">
        <v>27</v>
      </c>
      <c r="M491" s="7" t="s">
        <v>28</v>
      </c>
      <c r="N491" s="9" t="s">
        <v>334</v>
      </c>
      <c r="O491" s="7" t="s">
        <v>54</v>
      </c>
      <c r="P491" s="7" t="s">
        <v>20</v>
      </c>
      <c r="Q491" s="7"/>
      <c r="R491" s="7" t="str" cm="1">
        <f t="array" ref="R491">IF(AND(Q491="",P491&lt;&gt;""),N491,_xlfn.SWITCH(IF(Q491&lt;&gt;"",Q491,O491)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Centers",IF(Q491&lt;&gt;"",Q491,O491)))</f>
        <v>Agenturleiter/in</v>
      </c>
      <c r="S491" s="7" t="str">
        <f>IF(N491&lt;&gt;R491,"x","")</f>
        <v>x</v>
      </c>
    </row>
    <row r="492" spans="1:19" hidden="1" x14ac:dyDescent="0.25">
      <c r="A492" s="7" t="s">
        <v>1884</v>
      </c>
      <c r="B492" s="7" t="s">
        <v>20</v>
      </c>
      <c r="C492" s="7" t="s">
        <v>1862</v>
      </c>
      <c r="D492" s="7" t="s">
        <v>1863</v>
      </c>
      <c r="E492" s="7" t="s">
        <v>20</v>
      </c>
      <c r="F492" s="7" t="s">
        <v>20</v>
      </c>
      <c r="G492" s="7" t="s">
        <v>1864</v>
      </c>
      <c r="H492" s="7" t="s">
        <v>20</v>
      </c>
      <c r="I492" s="8" t="s">
        <v>770</v>
      </c>
      <c r="J492" s="7" t="s">
        <v>1885</v>
      </c>
      <c r="K492" s="7" t="s">
        <v>1886</v>
      </c>
      <c r="L492" s="7" t="s">
        <v>64</v>
      </c>
      <c r="M492" s="7" t="s">
        <v>65</v>
      </c>
      <c r="N492" s="9" t="s">
        <v>35</v>
      </c>
      <c r="O492" s="7" t="s">
        <v>67</v>
      </c>
      <c r="P492" s="7" t="s">
        <v>20</v>
      </c>
      <c r="Q492" s="7"/>
      <c r="R492" s="7" t="str" cm="1">
        <f t="array" ref="R492">IF(AND(Q492="",P492&lt;&gt;""),N492,_xlfn.SWITCH(IF(Q492&lt;&gt;"",Q492,O492)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Centers",IF(Q492&lt;&gt;"",Q492,O492)))</f>
        <v>Leiter/in des Service Centers</v>
      </c>
      <c r="S492" s="7" t="str">
        <f>IF(N492&lt;&gt;R492,"x","")</f>
        <v>x</v>
      </c>
    </row>
    <row r="493" spans="1:19" hidden="1" x14ac:dyDescent="0.25">
      <c r="A493" s="7" t="s">
        <v>1887</v>
      </c>
      <c r="B493" s="7" t="s">
        <v>20</v>
      </c>
      <c r="C493" s="7" t="s">
        <v>1862</v>
      </c>
      <c r="D493" s="7" t="s">
        <v>1863</v>
      </c>
      <c r="E493" s="7" t="s">
        <v>20</v>
      </c>
      <c r="F493" s="7" t="s">
        <v>20</v>
      </c>
      <c r="G493" s="7" t="s">
        <v>1864</v>
      </c>
      <c r="H493" s="7" t="s">
        <v>20</v>
      </c>
      <c r="I493" s="8" t="s">
        <v>279</v>
      </c>
      <c r="J493" s="7" t="s">
        <v>1888</v>
      </c>
      <c r="K493" s="7" t="s">
        <v>1889</v>
      </c>
      <c r="L493" s="7" t="s">
        <v>40</v>
      </c>
      <c r="M493" s="7" t="s">
        <v>41</v>
      </c>
      <c r="N493" s="9" t="s">
        <v>75</v>
      </c>
      <c r="O493" s="7" t="s">
        <v>120</v>
      </c>
      <c r="P493" s="7" t="s">
        <v>20</v>
      </c>
      <c r="Q493" s="7"/>
      <c r="R493" s="7" t="str" cm="1">
        <f t="array" ref="R493">IF(AND(Q493="",P493&lt;&gt;""),N493,_xlfn.SWITCH(IF(Q493&lt;&gt;"",Q493,O493)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Centers",IF(Q493&lt;&gt;"",Q493,O493)))</f>
        <v>Kundenberater/in</v>
      </c>
      <c r="S493" s="7" t="str">
        <f>IF(N493&lt;&gt;R493,"x","")</f>
        <v>x</v>
      </c>
    </row>
    <row r="494" spans="1:19" hidden="1" x14ac:dyDescent="0.25">
      <c r="A494" s="7" t="s">
        <v>1890</v>
      </c>
      <c r="B494" s="7" t="s">
        <v>20</v>
      </c>
      <c r="C494" s="7" t="s">
        <v>1862</v>
      </c>
      <c r="D494" s="7" t="s">
        <v>1863</v>
      </c>
      <c r="E494" s="7" t="s">
        <v>20</v>
      </c>
      <c r="F494" s="7" t="s">
        <v>20</v>
      </c>
      <c r="G494" s="7" t="s">
        <v>1864</v>
      </c>
      <c r="H494" s="7" t="s">
        <v>20</v>
      </c>
      <c r="I494" s="8" t="s">
        <v>585</v>
      </c>
      <c r="J494" s="7" t="s">
        <v>1891</v>
      </c>
      <c r="K494" s="7" t="s">
        <v>1892</v>
      </c>
      <c r="L494" s="7" t="s">
        <v>27</v>
      </c>
      <c r="M494" s="7" t="s">
        <v>28</v>
      </c>
      <c r="N494" s="9" t="s">
        <v>75</v>
      </c>
      <c r="O494" s="7" t="s">
        <v>30</v>
      </c>
      <c r="P494" s="7" t="s">
        <v>20</v>
      </c>
      <c r="Q494" s="7"/>
      <c r="R494" s="7" t="str" cm="1">
        <f t="array" ref="R494">IF(AND(Q494="",P494&lt;&gt;""),N494,_xlfn.SWITCH(IF(Q494&lt;&gt;"",Q494,O494)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Centers",IF(Q494&lt;&gt;"",Q494,O494)))</f>
        <v>Agenturleiter/in</v>
      </c>
      <c r="S494" s="7" t="str">
        <f>IF(N494&lt;&gt;R494,"x","")</f>
        <v>x</v>
      </c>
    </row>
    <row r="495" spans="1:19" hidden="1" x14ac:dyDescent="0.25">
      <c r="A495" s="7" t="s">
        <v>1893</v>
      </c>
      <c r="B495" s="7" t="s">
        <v>20</v>
      </c>
      <c r="C495" s="7" t="s">
        <v>1862</v>
      </c>
      <c r="D495" s="7" t="s">
        <v>1863</v>
      </c>
      <c r="E495" s="7" t="s">
        <v>20</v>
      </c>
      <c r="F495" s="7" t="s">
        <v>20</v>
      </c>
      <c r="G495" s="7" t="s">
        <v>1864</v>
      </c>
      <c r="H495" s="7" t="s">
        <v>20</v>
      </c>
      <c r="I495" s="8" t="s">
        <v>1894</v>
      </c>
      <c r="J495" s="7" t="s">
        <v>1895</v>
      </c>
      <c r="K495" s="7" t="s">
        <v>1896</v>
      </c>
      <c r="L495" s="7" t="s">
        <v>40</v>
      </c>
      <c r="M495" s="7" t="s">
        <v>41</v>
      </c>
      <c r="N495" s="9" t="s">
        <v>75</v>
      </c>
      <c r="O495" s="7" t="s">
        <v>120</v>
      </c>
      <c r="P495" s="7" t="s">
        <v>20</v>
      </c>
      <c r="Q495" s="7"/>
      <c r="R495" s="7" t="str" cm="1">
        <f t="array" ref="R495">IF(AND(Q495="",P495&lt;&gt;""),N495,_xlfn.SWITCH(IF(Q495&lt;&gt;"",Q495,O495)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Centers",IF(Q495&lt;&gt;"",Q495,O495)))</f>
        <v>Kundenberater/in</v>
      </c>
      <c r="S495" s="7" t="str">
        <f>IF(N495&lt;&gt;R495,"x","")</f>
        <v>x</v>
      </c>
    </row>
    <row r="496" spans="1:19" hidden="1" x14ac:dyDescent="0.25">
      <c r="A496" s="7" t="s">
        <v>1897</v>
      </c>
      <c r="B496" s="7" t="s">
        <v>20</v>
      </c>
      <c r="C496" s="7" t="s">
        <v>1862</v>
      </c>
      <c r="D496" s="7" t="s">
        <v>1863</v>
      </c>
      <c r="E496" s="7" t="s">
        <v>20</v>
      </c>
      <c r="F496" s="7" t="s">
        <v>20</v>
      </c>
      <c r="G496" s="7" t="s">
        <v>1864</v>
      </c>
      <c r="H496" s="7" t="s">
        <v>20</v>
      </c>
      <c r="I496" s="8" t="s">
        <v>1898</v>
      </c>
      <c r="J496" s="7" t="s">
        <v>1899</v>
      </c>
      <c r="K496" s="7" t="s">
        <v>1900</v>
      </c>
      <c r="L496" s="7" t="s">
        <v>40</v>
      </c>
      <c r="M496" s="7" t="s">
        <v>41</v>
      </c>
      <c r="N496" s="9" t="s">
        <v>75</v>
      </c>
      <c r="O496" s="7" t="s">
        <v>120</v>
      </c>
      <c r="P496" s="7" t="s">
        <v>20</v>
      </c>
      <c r="Q496" s="7"/>
      <c r="R496" s="7" t="str" cm="1">
        <f t="array" ref="R496">IF(AND(Q496="",P496&lt;&gt;""),N496,_xlfn.SWITCH(IF(Q496&lt;&gt;"",Q496,O496)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Centers",IF(Q496&lt;&gt;"",Q496,O496)))</f>
        <v>Kundenberater/in</v>
      </c>
      <c r="S496" s="7" t="str">
        <f>IF(N496&lt;&gt;R496,"x","")</f>
        <v>x</v>
      </c>
    </row>
    <row r="497" spans="1:19" hidden="1" x14ac:dyDescent="0.25">
      <c r="A497" s="7" t="s">
        <v>1901</v>
      </c>
      <c r="B497" s="7" t="s">
        <v>20</v>
      </c>
      <c r="C497" s="7" t="s">
        <v>1862</v>
      </c>
      <c r="D497" s="7" t="s">
        <v>1863</v>
      </c>
      <c r="E497" s="7" t="s">
        <v>20</v>
      </c>
      <c r="F497" s="7" t="s">
        <v>20</v>
      </c>
      <c r="G497" s="7" t="s">
        <v>1864</v>
      </c>
      <c r="H497" s="7" t="s">
        <v>20</v>
      </c>
      <c r="I497" s="8" t="s">
        <v>1902</v>
      </c>
      <c r="J497" s="7" t="s">
        <v>1903</v>
      </c>
      <c r="K497" s="7" t="s">
        <v>1904</v>
      </c>
      <c r="L497" s="7" t="s">
        <v>97</v>
      </c>
      <c r="M497" s="7" t="s">
        <v>98</v>
      </c>
      <c r="N497" s="9" t="s">
        <v>75</v>
      </c>
      <c r="O497" s="7" t="s">
        <v>251</v>
      </c>
      <c r="P497" s="7" t="s">
        <v>20</v>
      </c>
      <c r="Q497" s="7"/>
      <c r="R497" s="7" t="str" cm="1">
        <f t="array" ref="R497">IF(AND(Q497="",P497&lt;&gt;""),N497,_xlfn.SWITCH(IF(Q497&lt;&gt;"",Q497,O497)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Centers",IF(Q497&lt;&gt;"",Q497,O497)))</f>
        <v>Hauptagent/in</v>
      </c>
      <c r="S497" s="7" t="str">
        <f>IF(N497&lt;&gt;R497,"x","")</f>
        <v>x</v>
      </c>
    </row>
    <row r="498" spans="1:19" hidden="1" x14ac:dyDescent="0.25">
      <c r="A498" s="7" t="s">
        <v>1905</v>
      </c>
      <c r="B498" s="7" t="s">
        <v>20</v>
      </c>
      <c r="C498" s="7" t="s">
        <v>1862</v>
      </c>
      <c r="D498" s="7" t="s">
        <v>1863</v>
      </c>
      <c r="E498" s="7" t="s">
        <v>20</v>
      </c>
      <c r="F498" s="7" t="s">
        <v>20</v>
      </c>
      <c r="G498" s="7" t="s">
        <v>1864</v>
      </c>
      <c r="H498" s="7" t="s">
        <v>20</v>
      </c>
      <c r="I498" s="8" t="s">
        <v>1906</v>
      </c>
      <c r="J498" s="7" t="s">
        <v>1907</v>
      </c>
      <c r="K498" s="7" t="s">
        <v>1908</v>
      </c>
      <c r="L498" s="7" t="s">
        <v>97</v>
      </c>
      <c r="M498" s="7" t="s">
        <v>98</v>
      </c>
      <c r="N498" s="9" t="s">
        <v>75</v>
      </c>
      <c r="O498" s="7" t="s">
        <v>99</v>
      </c>
      <c r="P498" s="7" t="s">
        <v>20</v>
      </c>
      <c r="Q498" s="7"/>
      <c r="R498" s="7" t="str" cm="1">
        <f t="array" ref="R498">IF(AND(Q498="",P498&lt;&gt;""),N498,_xlfn.SWITCH(IF(Q498&lt;&gt;"",Q498,O498)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Centers",IF(Q498&lt;&gt;"",Q498,O498)))</f>
        <v>Hauptagent/in</v>
      </c>
      <c r="S498" s="7" t="str">
        <f>IF(N498&lt;&gt;R498,"x","")</f>
        <v>x</v>
      </c>
    </row>
    <row r="499" spans="1:19" hidden="1" x14ac:dyDescent="0.25">
      <c r="A499" s="7" t="s">
        <v>1909</v>
      </c>
      <c r="B499" s="7" t="s">
        <v>20</v>
      </c>
      <c r="C499" s="7" t="s">
        <v>1862</v>
      </c>
      <c r="D499" s="7" t="s">
        <v>1863</v>
      </c>
      <c r="E499" s="7" t="s">
        <v>20</v>
      </c>
      <c r="F499" s="7" t="s">
        <v>20</v>
      </c>
      <c r="G499" s="7" t="s">
        <v>1864</v>
      </c>
      <c r="H499" s="7" t="s">
        <v>20</v>
      </c>
      <c r="I499" s="8" t="s">
        <v>1910</v>
      </c>
      <c r="J499" s="7" t="s">
        <v>1911</v>
      </c>
      <c r="K499" s="7" t="s">
        <v>1912</v>
      </c>
      <c r="L499" s="7" t="s">
        <v>124</v>
      </c>
      <c r="M499" s="7" t="s">
        <v>125</v>
      </c>
      <c r="N499" s="9" t="s">
        <v>59</v>
      </c>
      <c r="O499" s="7" t="s">
        <v>67</v>
      </c>
      <c r="P499" s="7" t="s">
        <v>20</v>
      </c>
      <c r="Q499" s="7"/>
      <c r="R499" s="7" t="str" cm="1">
        <f t="array" ref="R499">IF(AND(Q499="",P499&lt;&gt;""),N499,_xlfn.SWITCH(IF(Q499&lt;&gt;"",Q499,O499)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Centers",IF(Q499&lt;&gt;"",Q499,O499)))</f>
        <v>Leiter/in des Service Centers</v>
      </c>
      <c r="S499" s="7" t="str">
        <f>IF(N499&lt;&gt;R499,"x","")</f>
        <v/>
      </c>
    </row>
    <row r="500" spans="1:19" hidden="1" x14ac:dyDescent="0.25">
      <c r="A500" s="7" t="s">
        <v>1913</v>
      </c>
      <c r="B500" s="7" t="s">
        <v>20</v>
      </c>
      <c r="C500" s="7" t="s">
        <v>1862</v>
      </c>
      <c r="D500" s="7" t="s">
        <v>1863</v>
      </c>
      <c r="E500" s="7" t="s">
        <v>20</v>
      </c>
      <c r="F500" s="7" t="s">
        <v>20</v>
      </c>
      <c r="G500" s="7" t="s">
        <v>1864</v>
      </c>
      <c r="H500" s="7" t="s">
        <v>20</v>
      </c>
      <c r="I500" s="8" t="s">
        <v>1131</v>
      </c>
      <c r="J500" s="7" t="s">
        <v>1914</v>
      </c>
      <c r="K500" s="7" t="s">
        <v>1915</v>
      </c>
      <c r="L500" s="7" t="s">
        <v>27</v>
      </c>
      <c r="M500" s="7" t="s">
        <v>28</v>
      </c>
      <c r="N500" s="9" t="s">
        <v>149</v>
      </c>
      <c r="O500" s="7" t="s">
        <v>30</v>
      </c>
      <c r="P500" s="7" t="s">
        <v>20</v>
      </c>
      <c r="Q500" s="7"/>
      <c r="R500" s="7" t="str" cm="1">
        <f t="array" ref="R500">IF(AND(Q500="",P500&lt;&gt;""),N500,_xlfn.SWITCH(IF(Q500&lt;&gt;"",Q500,O500)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Centers",IF(Q500&lt;&gt;"",Q500,O500)))</f>
        <v>Agenturleiter/in</v>
      </c>
      <c r="S500" s="7" t="str">
        <f>IF(N500&lt;&gt;R500,"x","")</f>
        <v>x</v>
      </c>
    </row>
    <row r="501" spans="1:19" x14ac:dyDescent="0.25">
      <c r="A501" s="7" t="s">
        <v>1916</v>
      </c>
      <c r="B501" s="7" t="s">
        <v>20</v>
      </c>
      <c r="C501" s="7" t="s">
        <v>1862</v>
      </c>
      <c r="D501" s="7" t="s">
        <v>1863</v>
      </c>
      <c r="E501" s="7" t="s">
        <v>20</v>
      </c>
      <c r="F501" s="7" t="s">
        <v>20</v>
      </c>
      <c r="G501" s="7" t="s">
        <v>1864</v>
      </c>
      <c r="H501" s="7" t="s">
        <v>20</v>
      </c>
      <c r="I501" s="8" t="s">
        <v>1131</v>
      </c>
      <c r="J501" s="7" t="s">
        <v>1917</v>
      </c>
      <c r="K501" s="7" t="s">
        <v>63</v>
      </c>
      <c r="L501" s="7" t="s">
        <v>228</v>
      </c>
      <c r="M501" s="7" t="s">
        <v>229</v>
      </c>
      <c r="N501" s="9" t="s">
        <v>93</v>
      </c>
      <c r="O501" s="7" t="s">
        <v>30</v>
      </c>
      <c r="P501" s="7" t="s">
        <v>49</v>
      </c>
      <c r="Q501" s="7"/>
      <c r="R501" s="7" t="str" cm="1">
        <f t="array" ref="R501">IF(AND(Q501="",P501&lt;&gt;""),N501,_xlfn.SWITCH(IF(Q501&lt;&gt;"",Q501,O501)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Centers",IF(Q501&lt;&gt;"",Q501,O501)))</f>
        <v>Leiter/in einer Hauptgeschäftsstelle</v>
      </c>
      <c r="S501" s="7" t="str">
        <f>IF(N501&lt;&gt;R501,"x","")</f>
        <v/>
      </c>
    </row>
    <row r="502" spans="1:19" hidden="1" x14ac:dyDescent="0.25">
      <c r="A502" s="7" t="s">
        <v>1918</v>
      </c>
      <c r="B502" s="7" t="s">
        <v>20</v>
      </c>
      <c r="C502" s="7" t="s">
        <v>1862</v>
      </c>
      <c r="D502" s="7" t="s">
        <v>1863</v>
      </c>
      <c r="E502" s="7" t="s">
        <v>20</v>
      </c>
      <c r="F502" s="7" t="s">
        <v>20</v>
      </c>
      <c r="G502" s="7" t="s">
        <v>1864</v>
      </c>
      <c r="H502" s="7" t="s">
        <v>20</v>
      </c>
      <c r="I502" s="8" t="s">
        <v>1919</v>
      </c>
      <c r="J502" s="7" t="s">
        <v>1394</v>
      </c>
      <c r="K502" s="7" t="s">
        <v>1920</v>
      </c>
      <c r="L502" s="7" t="s">
        <v>97</v>
      </c>
      <c r="M502" s="7" t="s">
        <v>98</v>
      </c>
      <c r="N502" s="9" t="s">
        <v>66</v>
      </c>
      <c r="O502" s="7" t="s">
        <v>99</v>
      </c>
      <c r="P502" s="7" t="s">
        <v>20</v>
      </c>
      <c r="Q502" s="7"/>
      <c r="R502" s="7" t="str" cm="1">
        <f t="array" ref="R502">IF(AND(Q502="",P502&lt;&gt;""),N502,_xlfn.SWITCH(IF(Q502&lt;&gt;"",Q502,O502)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Centers",IF(Q502&lt;&gt;"",Q502,O502)))</f>
        <v>Hauptagent/in</v>
      </c>
      <c r="S502" s="7" t="str">
        <f>IF(N502&lt;&gt;R502,"x","")</f>
        <v>x</v>
      </c>
    </row>
    <row r="503" spans="1:19" hidden="1" x14ac:dyDescent="0.25">
      <c r="A503" s="7" t="s">
        <v>1921</v>
      </c>
      <c r="B503" s="7" t="s">
        <v>20</v>
      </c>
      <c r="C503" s="7" t="s">
        <v>1862</v>
      </c>
      <c r="D503" s="7" t="s">
        <v>1863</v>
      </c>
      <c r="E503" s="7" t="s">
        <v>20</v>
      </c>
      <c r="F503" s="7" t="s">
        <v>20</v>
      </c>
      <c r="G503" s="7" t="s">
        <v>1864</v>
      </c>
      <c r="H503" s="7" t="s">
        <v>20</v>
      </c>
      <c r="I503" s="8" t="s">
        <v>186</v>
      </c>
      <c r="J503" s="7" t="s">
        <v>1922</v>
      </c>
      <c r="K503" s="7" t="s">
        <v>1923</v>
      </c>
      <c r="L503" s="7" t="s">
        <v>40</v>
      </c>
      <c r="M503" s="7" t="s">
        <v>41</v>
      </c>
      <c r="N503" s="9" t="s">
        <v>66</v>
      </c>
      <c r="O503" s="7" t="s">
        <v>48</v>
      </c>
      <c r="P503" s="7" t="s">
        <v>20</v>
      </c>
      <c r="Q503" s="7"/>
      <c r="R503" s="7" t="str" cm="1">
        <f t="array" ref="R503">IF(AND(Q503="",P503&lt;&gt;""),N503,_xlfn.SWITCH(IF(Q503&lt;&gt;"",Q503,O503)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Centers",IF(Q503&lt;&gt;"",Q503,O503)))</f>
        <v>Repräsentant/in</v>
      </c>
      <c r="S503" s="7" t="str">
        <f>IF(N503&lt;&gt;R503,"x","")</f>
        <v/>
      </c>
    </row>
    <row r="504" spans="1:19" hidden="1" x14ac:dyDescent="0.25">
      <c r="A504" s="7" t="s">
        <v>1924</v>
      </c>
      <c r="B504" s="7" t="s">
        <v>20</v>
      </c>
      <c r="C504" s="7" t="s">
        <v>1862</v>
      </c>
      <c r="D504" s="7" t="s">
        <v>1863</v>
      </c>
      <c r="E504" s="7" t="s">
        <v>20</v>
      </c>
      <c r="F504" s="7" t="s">
        <v>20</v>
      </c>
      <c r="G504" s="7" t="s">
        <v>1864</v>
      </c>
      <c r="H504" s="7" t="s">
        <v>20</v>
      </c>
      <c r="I504" s="8" t="s">
        <v>1925</v>
      </c>
      <c r="J504" s="7" t="s">
        <v>1911</v>
      </c>
      <c r="K504" s="7" t="s">
        <v>1926</v>
      </c>
      <c r="L504" s="7" t="s">
        <v>40</v>
      </c>
      <c r="M504" s="7" t="s">
        <v>41</v>
      </c>
      <c r="N504" s="9" t="s">
        <v>66</v>
      </c>
      <c r="O504" s="7" t="s">
        <v>120</v>
      </c>
      <c r="P504" s="7" t="s">
        <v>20</v>
      </c>
      <c r="Q504" s="7"/>
      <c r="R504" s="7" t="str" cm="1">
        <f t="array" ref="R504">IF(AND(Q504="",P504&lt;&gt;""),N504,_xlfn.SWITCH(IF(Q504&lt;&gt;"",Q504,O504)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Centers",IF(Q504&lt;&gt;"",Q504,O504)))</f>
        <v>Kundenberater/in</v>
      </c>
      <c r="S504" s="7" t="str">
        <f>IF(N504&lt;&gt;R504,"x","")</f>
        <v>x</v>
      </c>
    </row>
    <row r="505" spans="1:19" hidden="1" x14ac:dyDescent="0.25">
      <c r="A505" s="7" t="s">
        <v>1927</v>
      </c>
      <c r="B505" s="7" t="s">
        <v>20</v>
      </c>
      <c r="C505" s="7" t="s">
        <v>1862</v>
      </c>
      <c r="D505" s="7" t="s">
        <v>1863</v>
      </c>
      <c r="E505" s="7" t="s">
        <v>20</v>
      </c>
      <c r="F505" s="7" t="s">
        <v>20</v>
      </c>
      <c r="G505" s="7" t="s">
        <v>1864</v>
      </c>
      <c r="H505" s="7" t="s">
        <v>20</v>
      </c>
      <c r="I505" s="8" t="s">
        <v>1919</v>
      </c>
      <c r="J505" s="7" t="s">
        <v>1928</v>
      </c>
      <c r="K505" s="7" t="s">
        <v>1929</v>
      </c>
      <c r="L505" s="7" t="s">
        <v>40</v>
      </c>
      <c r="M505" s="7" t="s">
        <v>41</v>
      </c>
      <c r="N505" s="9" t="s">
        <v>75</v>
      </c>
      <c r="O505" s="7" t="s">
        <v>88</v>
      </c>
      <c r="P505" s="7" t="s">
        <v>20</v>
      </c>
      <c r="Q505" s="7"/>
      <c r="R505" s="7" t="str" cm="1">
        <f t="array" ref="R505">IF(AND(Q505="",P505&lt;&gt;""),N505,_xlfn.SWITCH(IF(Q505&lt;&gt;"",Q505,O505)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Centers",IF(Q505&lt;&gt;"",Q505,O505)))</f>
        <v>Kundenberater/in</v>
      </c>
      <c r="S505" s="7" t="str">
        <f>IF(N505&lt;&gt;R505,"x","")</f>
        <v>x</v>
      </c>
    </row>
    <row r="506" spans="1:19" hidden="1" x14ac:dyDescent="0.25">
      <c r="A506" s="7" t="s">
        <v>1930</v>
      </c>
      <c r="B506" s="7" t="s">
        <v>20</v>
      </c>
      <c r="C506" s="7" t="s">
        <v>1862</v>
      </c>
      <c r="D506" s="7" t="s">
        <v>1863</v>
      </c>
      <c r="E506" s="7" t="s">
        <v>20</v>
      </c>
      <c r="F506" s="7" t="s">
        <v>20</v>
      </c>
      <c r="G506" s="7" t="s">
        <v>1864</v>
      </c>
      <c r="H506" s="7" t="s">
        <v>20</v>
      </c>
      <c r="I506" s="8" t="s">
        <v>1931</v>
      </c>
      <c r="J506" s="7" t="s">
        <v>1932</v>
      </c>
      <c r="K506" s="7" t="s">
        <v>1933</v>
      </c>
      <c r="L506" s="7" t="s">
        <v>97</v>
      </c>
      <c r="M506" s="7" t="s">
        <v>98</v>
      </c>
      <c r="N506" s="9" t="s">
        <v>80</v>
      </c>
      <c r="O506" s="7" t="s">
        <v>251</v>
      </c>
      <c r="P506" s="7" t="s">
        <v>20</v>
      </c>
      <c r="Q506" s="7"/>
      <c r="R506" s="7" t="str" cm="1">
        <f t="array" ref="R506">IF(AND(Q506="",P506&lt;&gt;""),N506,_xlfn.SWITCH(IF(Q506&lt;&gt;"",Q506,O506)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Centers",IF(Q506&lt;&gt;"",Q506,O506)))</f>
        <v>Hauptagent/in</v>
      </c>
      <c r="S506" s="7" t="str">
        <f>IF(N506&lt;&gt;R506,"x","")</f>
        <v>x</v>
      </c>
    </row>
    <row r="507" spans="1:19" hidden="1" x14ac:dyDescent="0.25">
      <c r="A507" s="7" t="s">
        <v>1934</v>
      </c>
      <c r="B507" s="7" t="s">
        <v>20</v>
      </c>
      <c r="C507" s="7" t="s">
        <v>1862</v>
      </c>
      <c r="D507" s="7" t="s">
        <v>1863</v>
      </c>
      <c r="E507" s="7" t="s">
        <v>20</v>
      </c>
      <c r="F507" s="7" t="s">
        <v>20</v>
      </c>
      <c r="G507" s="7" t="s">
        <v>1864</v>
      </c>
      <c r="H507" s="7" t="s">
        <v>20</v>
      </c>
      <c r="I507" s="8" t="s">
        <v>324</v>
      </c>
      <c r="J507" s="7" t="s">
        <v>344</v>
      </c>
      <c r="K507" s="7" t="s">
        <v>1935</v>
      </c>
      <c r="L507" s="7" t="s">
        <v>27</v>
      </c>
      <c r="M507" s="7" t="s">
        <v>28</v>
      </c>
      <c r="N507" s="9" t="s">
        <v>35</v>
      </c>
      <c r="O507" s="7" t="s">
        <v>30</v>
      </c>
      <c r="P507" s="7" t="s">
        <v>20</v>
      </c>
      <c r="Q507" s="7"/>
      <c r="R507" s="7" t="str" cm="1">
        <f t="array" ref="R507">IF(AND(Q507="",P507&lt;&gt;""),N507,_xlfn.SWITCH(IF(Q507&lt;&gt;"",Q507,O507)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Centers",IF(Q507&lt;&gt;"",Q507,O507)))</f>
        <v>Agenturleiter/in</v>
      </c>
      <c r="S507" s="7" t="str">
        <f>IF(N507&lt;&gt;R507,"x","")</f>
        <v>x</v>
      </c>
    </row>
    <row r="508" spans="1:19" hidden="1" x14ac:dyDescent="0.25">
      <c r="A508" s="7" t="s">
        <v>1936</v>
      </c>
      <c r="B508" s="7" t="s">
        <v>20</v>
      </c>
      <c r="C508" s="7" t="s">
        <v>1862</v>
      </c>
      <c r="D508" s="7" t="s">
        <v>1863</v>
      </c>
      <c r="E508" s="7" t="s">
        <v>20</v>
      </c>
      <c r="F508" s="7" t="s">
        <v>20</v>
      </c>
      <c r="G508" s="7" t="s">
        <v>1864</v>
      </c>
      <c r="H508" s="7" t="s">
        <v>20</v>
      </c>
      <c r="I508" s="8" t="s">
        <v>353</v>
      </c>
      <c r="J508" s="7" t="s">
        <v>1937</v>
      </c>
      <c r="K508" s="7" t="s">
        <v>1938</v>
      </c>
      <c r="L508" s="7" t="s">
        <v>1939</v>
      </c>
      <c r="M508" s="7" t="s">
        <v>41</v>
      </c>
      <c r="N508" s="9" t="s">
        <v>75</v>
      </c>
      <c r="O508" s="7" t="s">
        <v>48</v>
      </c>
      <c r="P508" s="7" t="s">
        <v>20</v>
      </c>
      <c r="Q508" s="7"/>
      <c r="R508" s="7" t="str" cm="1">
        <f t="array" ref="R508">IF(AND(Q508="",P508&lt;&gt;""),N508,_xlfn.SWITCH(IF(Q508&lt;&gt;"",Q508,O508)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Centers",IF(Q508&lt;&gt;"",Q508,O508)))</f>
        <v>Repräsentant/in</v>
      </c>
      <c r="S508" s="7" t="str">
        <f>IF(N508&lt;&gt;R508,"x","")</f>
        <v>x</v>
      </c>
    </row>
    <row r="509" spans="1:19" hidden="1" x14ac:dyDescent="0.25">
      <c r="A509" s="7" t="s">
        <v>1940</v>
      </c>
      <c r="B509" s="7" t="s">
        <v>20</v>
      </c>
      <c r="C509" s="7" t="s">
        <v>1862</v>
      </c>
      <c r="D509" s="7" t="s">
        <v>1863</v>
      </c>
      <c r="E509" s="7" t="s">
        <v>20</v>
      </c>
      <c r="F509" s="7" t="s">
        <v>20</v>
      </c>
      <c r="G509" s="7" t="s">
        <v>1864</v>
      </c>
      <c r="H509" s="7" t="s">
        <v>20</v>
      </c>
      <c r="I509" s="8" t="s">
        <v>1941</v>
      </c>
      <c r="J509" s="7" t="s">
        <v>1942</v>
      </c>
      <c r="K509" s="7" t="s">
        <v>1943</v>
      </c>
      <c r="L509" s="7" t="s">
        <v>64</v>
      </c>
      <c r="M509" s="7" t="s">
        <v>65</v>
      </c>
      <c r="N509" s="9" t="s">
        <v>29</v>
      </c>
      <c r="O509" s="7" t="s">
        <v>67</v>
      </c>
      <c r="P509" s="7" t="s">
        <v>20</v>
      </c>
      <c r="Q509" s="7"/>
      <c r="R509" s="7" t="str" cm="1">
        <f t="array" ref="R509">IF(AND(Q509="",P509&lt;&gt;""),N509,_xlfn.SWITCH(IF(Q509&lt;&gt;"",Q509,O509)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Centers",IF(Q509&lt;&gt;"",Q509,O509)))</f>
        <v>Leiter/in des Service Centers</v>
      </c>
      <c r="S509" s="7" t="str">
        <f>IF(N509&lt;&gt;R509,"x","")</f>
        <v>x</v>
      </c>
    </row>
    <row r="510" spans="1:19" hidden="1" x14ac:dyDescent="0.25">
      <c r="A510" s="7" t="s">
        <v>1944</v>
      </c>
      <c r="B510" s="7" t="s">
        <v>20</v>
      </c>
      <c r="C510" s="7" t="s">
        <v>1862</v>
      </c>
      <c r="D510" s="7" t="s">
        <v>1863</v>
      </c>
      <c r="E510" s="7" t="s">
        <v>20</v>
      </c>
      <c r="F510" s="7" t="s">
        <v>20</v>
      </c>
      <c r="G510" s="7" t="s">
        <v>1864</v>
      </c>
      <c r="H510" s="7" t="s">
        <v>20</v>
      </c>
      <c r="I510" s="8" t="s">
        <v>797</v>
      </c>
      <c r="J510" s="7" t="s">
        <v>1945</v>
      </c>
      <c r="K510" s="7" t="s">
        <v>1946</v>
      </c>
      <c r="L510" s="7" t="s">
        <v>27</v>
      </c>
      <c r="M510" s="7" t="s">
        <v>28</v>
      </c>
      <c r="N510" s="9" t="s">
        <v>111</v>
      </c>
      <c r="O510" s="7" t="s">
        <v>30</v>
      </c>
      <c r="P510" s="7" t="s">
        <v>20</v>
      </c>
      <c r="Q510" s="7"/>
      <c r="R510" s="7" t="str" cm="1">
        <f t="array" ref="R510">IF(AND(Q510="",P510&lt;&gt;""),N510,_xlfn.SWITCH(IF(Q510&lt;&gt;"",Q510,O510)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Centers",IF(Q510&lt;&gt;"",Q510,O510)))</f>
        <v>Agenturleiter/in</v>
      </c>
      <c r="S510" s="7" t="str">
        <f>IF(N510&lt;&gt;R510,"x","")</f>
        <v>x</v>
      </c>
    </row>
    <row r="511" spans="1:19" hidden="1" x14ac:dyDescent="0.25">
      <c r="A511" s="7" t="s">
        <v>1947</v>
      </c>
      <c r="B511" s="7" t="s">
        <v>20</v>
      </c>
      <c r="C511" s="7" t="s">
        <v>1862</v>
      </c>
      <c r="D511" s="7" t="s">
        <v>1863</v>
      </c>
      <c r="E511" s="7" t="s">
        <v>20</v>
      </c>
      <c r="F511" s="7" t="s">
        <v>20</v>
      </c>
      <c r="G511" s="7" t="s">
        <v>1864</v>
      </c>
      <c r="H511" s="7" t="s">
        <v>20</v>
      </c>
      <c r="I511" s="8" t="s">
        <v>712</v>
      </c>
      <c r="J511" s="7" t="s">
        <v>1948</v>
      </c>
      <c r="K511" s="7" t="s">
        <v>1949</v>
      </c>
      <c r="L511" s="7" t="s">
        <v>97</v>
      </c>
      <c r="M511" s="7" t="s">
        <v>98</v>
      </c>
      <c r="N511" s="9" t="s">
        <v>66</v>
      </c>
      <c r="O511" s="7" t="s">
        <v>99</v>
      </c>
      <c r="P511" s="7" t="s">
        <v>20</v>
      </c>
      <c r="Q511" s="7"/>
      <c r="R511" s="7" t="str" cm="1">
        <f t="array" ref="R511">IF(AND(Q511="",P511&lt;&gt;""),N511,_xlfn.SWITCH(IF(Q511&lt;&gt;"",Q511,O511)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Centers",IF(Q511&lt;&gt;"",Q511,O511)))</f>
        <v>Hauptagent/in</v>
      </c>
      <c r="S511" s="7" t="str">
        <f>IF(N511&lt;&gt;R511,"x","")</f>
        <v>x</v>
      </c>
    </row>
    <row r="512" spans="1:19" hidden="1" x14ac:dyDescent="0.25">
      <c r="A512" s="7" t="s">
        <v>1950</v>
      </c>
      <c r="B512" s="7" t="s">
        <v>20</v>
      </c>
      <c r="C512" s="7" t="s">
        <v>1862</v>
      </c>
      <c r="D512" s="7" t="s">
        <v>1863</v>
      </c>
      <c r="E512" s="7" t="s">
        <v>20</v>
      </c>
      <c r="F512" s="7" t="s">
        <v>20</v>
      </c>
      <c r="G512" s="7" t="s">
        <v>1864</v>
      </c>
      <c r="H512" s="7" t="s">
        <v>20</v>
      </c>
      <c r="I512" s="8" t="s">
        <v>458</v>
      </c>
      <c r="J512" s="7" t="s">
        <v>1951</v>
      </c>
      <c r="K512" s="7" t="s">
        <v>1952</v>
      </c>
      <c r="L512" s="7" t="s">
        <v>40</v>
      </c>
      <c r="M512" s="7" t="s">
        <v>41</v>
      </c>
      <c r="N512" s="9" t="s">
        <v>66</v>
      </c>
      <c r="O512" s="7" t="s">
        <v>120</v>
      </c>
      <c r="P512" s="7" t="s">
        <v>20</v>
      </c>
      <c r="Q512" s="7"/>
      <c r="R512" s="7" t="str" cm="1">
        <f t="array" ref="R512">IF(AND(Q512="",P512&lt;&gt;""),N512,_xlfn.SWITCH(IF(Q512&lt;&gt;"",Q512,O512)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Centers",IF(Q512&lt;&gt;"",Q512,O512)))</f>
        <v>Kundenberater/in</v>
      </c>
      <c r="S512" s="7" t="str">
        <f>IF(N512&lt;&gt;R512,"x","")</f>
        <v>x</v>
      </c>
    </row>
    <row r="513" spans="1:19" hidden="1" x14ac:dyDescent="0.25">
      <c r="A513" s="7" t="s">
        <v>1953</v>
      </c>
      <c r="B513" s="7" t="s">
        <v>20</v>
      </c>
      <c r="C513" s="7" t="s">
        <v>1862</v>
      </c>
      <c r="D513" s="7" t="s">
        <v>1863</v>
      </c>
      <c r="E513" s="7" t="s">
        <v>20</v>
      </c>
      <c r="F513" s="7" t="s">
        <v>20</v>
      </c>
      <c r="G513" s="7" t="s">
        <v>1864</v>
      </c>
      <c r="H513" s="7" t="s">
        <v>20</v>
      </c>
      <c r="I513" s="8" t="s">
        <v>1954</v>
      </c>
      <c r="J513" s="7" t="s">
        <v>1955</v>
      </c>
      <c r="K513" s="7" t="s">
        <v>1956</v>
      </c>
      <c r="L513" s="7" t="s">
        <v>40</v>
      </c>
      <c r="M513" s="7" t="s">
        <v>41</v>
      </c>
      <c r="N513" s="9" t="s">
        <v>75</v>
      </c>
      <c r="O513" s="7" t="s">
        <v>88</v>
      </c>
      <c r="P513" s="7" t="s">
        <v>20</v>
      </c>
      <c r="Q513" s="7"/>
      <c r="R513" s="7" t="str" cm="1">
        <f t="array" ref="R513">IF(AND(Q513="",P513&lt;&gt;""),N513,_xlfn.SWITCH(IF(Q513&lt;&gt;"",Q513,O513)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Centers",IF(Q513&lt;&gt;"",Q513,O513)))</f>
        <v>Kundenberater/in</v>
      </c>
      <c r="S513" s="7" t="str">
        <f>IF(N513&lt;&gt;R513,"x","")</f>
        <v>x</v>
      </c>
    </row>
    <row r="514" spans="1:19" hidden="1" x14ac:dyDescent="0.25">
      <c r="A514" s="7" t="s">
        <v>1957</v>
      </c>
      <c r="B514" s="7" t="s">
        <v>20</v>
      </c>
      <c r="C514" s="7" t="s">
        <v>1862</v>
      </c>
      <c r="D514" s="7" t="s">
        <v>1863</v>
      </c>
      <c r="E514" s="7" t="s">
        <v>20</v>
      </c>
      <c r="F514" s="7" t="s">
        <v>20</v>
      </c>
      <c r="G514" s="7" t="s">
        <v>1864</v>
      </c>
      <c r="H514" s="7" t="s">
        <v>20</v>
      </c>
      <c r="I514" s="8" t="s">
        <v>159</v>
      </c>
      <c r="J514" s="7" t="s">
        <v>1958</v>
      </c>
      <c r="K514" s="7" t="s">
        <v>1959</v>
      </c>
      <c r="L514" s="7" t="s">
        <v>40</v>
      </c>
      <c r="M514" s="7" t="s">
        <v>41</v>
      </c>
      <c r="N514" s="9" t="s">
        <v>75</v>
      </c>
      <c r="O514" s="7" t="s">
        <v>88</v>
      </c>
      <c r="P514" s="7" t="s">
        <v>20</v>
      </c>
      <c r="Q514" s="7"/>
      <c r="R514" s="7" t="str" cm="1">
        <f t="array" ref="R514">IF(AND(Q514="",P514&lt;&gt;""),N514,_xlfn.SWITCH(IF(Q514&lt;&gt;"",Q514,O514)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Centers",IF(Q514&lt;&gt;"",Q514,O514)))</f>
        <v>Kundenberater/in</v>
      </c>
      <c r="S514" s="7" t="str">
        <f>IF(N514&lt;&gt;R514,"x","")</f>
        <v>x</v>
      </c>
    </row>
    <row r="515" spans="1:19" hidden="1" x14ac:dyDescent="0.25">
      <c r="A515" s="7" t="s">
        <v>1960</v>
      </c>
      <c r="B515" s="7" t="s">
        <v>20</v>
      </c>
      <c r="C515" s="7" t="s">
        <v>1862</v>
      </c>
      <c r="D515" s="7" t="s">
        <v>1863</v>
      </c>
      <c r="E515" s="7" t="s">
        <v>20</v>
      </c>
      <c r="F515" s="7" t="s">
        <v>20</v>
      </c>
      <c r="G515" s="7" t="s">
        <v>1864</v>
      </c>
      <c r="H515" s="7" t="s">
        <v>20</v>
      </c>
      <c r="I515" s="8" t="s">
        <v>1961</v>
      </c>
      <c r="J515" s="7" t="s">
        <v>1962</v>
      </c>
      <c r="K515" s="7" t="s">
        <v>1963</v>
      </c>
      <c r="L515" s="7" t="s">
        <v>40</v>
      </c>
      <c r="M515" s="7" t="s">
        <v>41</v>
      </c>
      <c r="N515" s="9" t="s">
        <v>75</v>
      </c>
      <c r="O515" s="7" t="s">
        <v>88</v>
      </c>
      <c r="P515" s="7" t="s">
        <v>20</v>
      </c>
      <c r="Q515" s="7"/>
      <c r="R515" s="7" t="str" cm="1">
        <f t="array" ref="R515">IF(AND(Q515="",P515&lt;&gt;""),N515,_xlfn.SWITCH(IF(Q515&lt;&gt;"",Q515,O515)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Centers",IF(Q515&lt;&gt;"",Q515,O515)))</f>
        <v>Kundenberater/in</v>
      </c>
      <c r="S515" s="7" t="str">
        <f>IF(N515&lt;&gt;R515,"x","")</f>
        <v>x</v>
      </c>
    </row>
    <row r="516" spans="1:19" hidden="1" x14ac:dyDescent="0.25">
      <c r="A516" s="7" t="s">
        <v>1964</v>
      </c>
      <c r="B516" s="7" t="s">
        <v>20</v>
      </c>
      <c r="C516" s="7" t="s">
        <v>1862</v>
      </c>
      <c r="D516" s="7" t="s">
        <v>1863</v>
      </c>
      <c r="E516" s="7" t="s">
        <v>20</v>
      </c>
      <c r="F516" s="7" t="s">
        <v>20</v>
      </c>
      <c r="G516" s="7" t="s">
        <v>1864</v>
      </c>
      <c r="H516" s="7" t="s">
        <v>20</v>
      </c>
      <c r="I516" s="8" t="s">
        <v>1965</v>
      </c>
      <c r="J516" s="7" t="s">
        <v>1966</v>
      </c>
      <c r="K516" s="7" t="s">
        <v>1967</v>
      </c>
      <c r="L516" s="7" t="s">
        <v>97</v>
      </c>
      <c r="M516" s="7" t="s">
        <v>98</v>
      </c>
      <c r="N516" s="9" t="s">
        <v>111</v>
      </c>
      <c r="O516" s="7" t="s">
        <v>251</v>
      </c>
      <c r="P516" s="7" t="s">
        <v>20</v>
      </c>
      <c r="Q516" s="7"/>
      <c r="R516" s="7" t="str" cm="1">
        <f t="array" ref="R516">IF(AND(Q516="",P516&lt;&gt;""),N516,_xlfn.SWITCH(IF(Q516&lt;&gt;"",Q516,O516)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Centers",IF(Q516&lt;&gt;"",Q516,O516)))</f>
        <v>Hauptagent/in</v>
      </c>
      <c r="S516" s="7" t="str">
        <f>IF(N516&lt;&gt;R516,"x","")</f>
        <v/>
      </c>
    </row>
    <row r="517" spans="1:19" hidden="1" x14ac:dyDescent="0.25">
      <c r="A517" s="7" t="s">
        <v>1968</v>
      </c>
      <c r="B517" s="7" t="s">
        <v>20</v>
      </c>
      <c r="C517" s="7" t="s">
        <v>1862</v>
      </c>
      <c r="D517" s="7" t="s">
        <v>1863</v>
      </c>
      <c r="E517" s="7" t="s">
        <v>20</v>
      </c>
      <c r="F517" s="7" t="s">
        <v>20</v>
      </c>
      <c r="G517" s="7" t="s">
        <v>1864</v>
      </c>
      <c r="H517" s="7" t="s">
        <v>20</v>
      </c>
      <c r="I517" s="8" t="s">
        <v>122</v>
      </c>
      <c r="J517" s="7" t="s">
        <v>1969</v>
      </c>
      <c r="K517" s="7" t="s">
        <v>1970</v>
      </c>
      <c r="L517" s="7" t="s">
        <v>27</v>
      </c>
      <c r="M517" s="7" t="s">
        <v>28</v>
      </c>
      <c r="N517" s="9" t="s">
        <v>66</v>
      </c>
      <c r="O517" s="7" t="s">
        <v>30</v>
      </c>
      <c r="P517" s="7" t="s">
        <v>20</v>
      </c>
      <c r="Q517" s="7"/>
      <c r="R517" s="7" t="str" cm="1">
        <f t="array" ref="R517">IF(AND(Q517="",P517&lt;&gt;""),N517,_xlfn.SWITCH(IF(Q517&lt;&gt;"",Q517,O517)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Centers",IF(Q517&lt;&gt;"",Q517,O517)))</f>
        <v>Agenturleiter/in</v>
      </c>
      <c r="S517" s="7" t="str">
        <f>IF(N517&lt;&gt;R517,"x","")</f>
        <v>x</v>
      </c>
    </row>
    <row r="518" spans="1:19" hidden="1" x14ac:dyDescent="0.25">
      <c r="A518" s="7" t="s">
        <v>1971</v>
      </c>
      <c r="B518" s="7" t="s">
        <v>20</v>
      </c>
      <c r="C518" s="7" t="s">
        <v>1862</v>
      </c>
      <c r="D518" s="7" t="s">
        <v>1863</v>
      </c>
      <c r="E518" s="7" t="s">
        <v>20</v>
      </c>
      <c r="F518" s="7" t="s">
        <v>20</v>
      </c>
      <c r="G518" s="7" t="s">
        <v>1864</v>
      </c>
      <c r="H518" s="7" t="s">
        <v>20</v>
      </c>
      <c r="I518" s="8" t="s">
        <v>1972</v>
      </c>
      <c r="J518" s="7" t="s">
        <v>1973</v>
      </c>
      <c r="K518" s="7" t="s">
        <v>1974</v>
      </c>
      <c r="L518" s="7" t="s">
        <v>27</v>
      </c>
      <c r="M518" s="7" t="s">
        <v>28</v>
      </c>
      <c r="N518" s="9" t="s">
        <v>238</v>
      </c>
      <c r="O518" s="7" t="s">
        <v>54</v>
      </c>
      <c r="P518" s="7" t="s">
        <v>20</v>
      </c>
      <c r="Q518" s="7"/>
      <c r="R518" s="7" t="str" cm="1">
        <f t="array" ref="R518">IF(AND(Q518="",P518&lt;&gt;""),N518,_xlfn.SWITCH(IF(Q518&lt;&gt;"",Q518,O518)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Centers",IF(Q518&lt;&gt;"",Q518,O518)))</f>
        <v>Agenturleiter/in</v>
      </c>
      <c r="S518" s="7" t="str">
        <f>IF(N518&lt;&gt;R518,"x","")</f>
        <v/>
      </c>
    </row>
    <row r="519" spans="1:19" hidden="1" x14ac:dyDescent="0.25">
      <c r="A519" s="7" t="s">
        <v>1975</v>
      </c>
      <c r="B519" s="7" t="s">
        <v>20</v>
      </c>
      <c r="C519" s="7" t="s">
        <v>1862</v>
      </c>
      <c r="D519" s="7" t="s">
        <v>1863</v>
      </c>
      <c r="E519" s="7" t="s">
        <v>20</v>
      </c>
      <c r="F519" s="7" t="s">
        <v>20</v>
      </c>
      <c r="G519" s="7" t="s">
        <v>1864</v>
      </c>
      <c r="H519" s="7" t="s">
        <v>20</v>
      </c>
      <c r="I519" s="8" t="s">
        <v>761</v>
      </c>
      <c r="J519" s="7" t="s">
        <v>1976</v>
      </c>
      <c r="K519" s="7" t="s">
        <v>1977</v>
      </c>
      <c r="L519" s="7" t="s">
        <v>124</v>
      </c>
      <c r="M519" s="7" t="s">
        <v>125</v>
      </c>
      <c r="N519" s="9" t="s">
        <v>1152</v>
      </c>
      <c r="O519" s="7" t="s">
        <v>67</v>
      </c>
      <c r="P519" s="7" t="s">
        <v>20</v>
      </c>
      <c r="Q519" s="9" t="s">
        <v>1152</v>
      </c>
      <c r="R519" s="7" t="str" cm="1">
        <f t="array" ref="R519">IF(AND(Q519="",P519&lt;&gt;""),N519,_xlfn.SWITCH(IF(Q519&lt;&gt;"",Q519,O519)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Centers",IF(Q519&lt;&gt;"",Q519,O519)))</f>
        <v>Geschäftsstellenleiter/in</v>
      </c>
      <c r="S519" s="7" t="str">
        <f>IF(N519&lt;&gt;R519,"x","")</f>
        <v/>
      </c>
    </row>
    <row r="520" spans="1:19" x14ac:dyDescent="0.25">
      <c r="A520" s="7" t="s">
        <v>1978</v>
      </c>
      <c r="B520" s="7" t="s">
        <v>20</v>
      </c>
      <c r="C520" s="7" t="s">
        <v>1862</v>
      </c>
      <c r="D520" s="7" t="s">
        <v>1863</v>
      </c>
      <c r="E520" s="7" t="s">
        <v>20</v>
      </c>
      <c r="F520" s="7" t="s">
        <v>20</v>
      </c>
      <c r="G520" s="7" t="s">
        <v>1864</v>
      </c>
      <c r="H520" s="7" t="s">
        <v>20</v>
      </c>
      <c r="I520" s="8" t="s">
        <v>923</v>
      </c>
      <c r="J520" s="7" t="s">
        <v>1979</v>
      </c>
      <c r="K520" s="7" t="s">
        <v>1980</v>
      </c>
      <c r="L520" s="7" t="s">
        <v>124</v>
      </c>
      <c r="M520" s="7" t="s">
        <v>125</v>
      </c>
      <c r="N520" s="9" t="s">
        <v>93</v>
      </c>
      <c r="O520" s="7" t="s">
        <v>67</v>
      </c>
      <c r="P520" s="7" t="s">
        <v>20</v>
      </c>
      <c r="Q520" s="7"/>
      <c r="R520" s="7" t="str" cm="1">
        <f t="array" ref="R520">IF(AND(Q520="",P520&lt;&gt;""),N520,_xlfn.SWITCH(IF(Q520&lt;&gt;"",Q520,O520)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Centers",IF(Q520&lt;&gt;"",Q520,O520)))</f>
        <v>Leiter/in des Service Centers</v>
      </c>
      <c r="S520" s="7" t="str">
        <f>IF(N520&lt;&gt;R520,"x","")</f>
        <v>x</v>
      </c>
    </row>
    <row r="521" spans="1:19" hidden="1" x14ac:dyDescent="0.25">
      <c r="A521" s="7" t="s">
        <v>1981</v>
      </c>
      <c r="B521" s="7" t="s">
        <v>20</v>
      </c>
      <c r="C521" s="7" t="s">
        <v>1862</v>
      </c>
      <c r="D521" s="7" t="s">
        <v>1863</v>
      </c>
      <c r="E521" s="7" t="s">
        <v>20</v>
      </c>
      <c r="F521" s="7" t="s">
        <v>20</v>
      </c>
      <c r="G521" s="7" t="s">
        <v>1864</v>
      </c>
      <c r="H521" s="7" t="s">
        <v>20</v>
      </c>
      <c r="I521" s="8" t="s">
        <v>343</v>
      </c>
      <c r="J521" s="7" t="s">
        <v>1982</v>
      </c>
      <c r="K521" s="7" t="s">
        <v>1983</v>
      </c>
      <c r="L521" s="7" t="s">
        <v>27</v>
      </c>
      <c r="M521" s="7" t="s">
        <v>28</v>
      </c>
      <c r="N521" s="9" t="s">
        <v>75</v>
      </c>
      <c r="O521" s="7" t="s">
        <v>30</v>
      </c>
      <c r="P521" s="7" t="s">
        <v>20</v>
      </c>
      <c r="Q521" s="7"/>
      <c r="R521" s="7" t="str" cm="1">
        <f t="array" ref="R521">IF(AND(Q521="",P521&lt;&gt;""),N521,_xlfn.SWITCH(IF(Q521&lt;&gt;"",Q521,O521)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Centers",IF(Q521&lt;&gt;"",Q521,O521)))</f>
        <v>Agenturleiter/in</v>
      </c>
      <c r="S521" s="7" t="str">
        <f>IF(N521&lt;&gt;R521,"x","")</f>
        <v>x</v>
      </c>
    </row>
    <row r="522" spans="1:19" hidden="1" x14ac:dyDescent="0.25">
      <c r="A522" s="7" t="s">
        <v>1984</v>
      </c>
      <c r="B522" s="7" t="s">
        <v>20</v>
      </c>
      <c r="C522" s="7" t="s">
        <v>1862</v>
      </c>
      <c r="D522" s="7" t="s">
        <v>1863</v>
      </c>
      <c r="E522" s="7" t="s">
        <v>20</v>
      </c>
      <c r="F522" s="7" t="s">
        <v>20</v>
      </c>
      <c r="G522" s="7" t="s">
        <v>1864</v>
      </c>
      <c r="H522" s="7" t="s">
        <v>20</v>
      </c>
      <c r="I522" s="8" t="s">
        <v>1985</v>
      </c>
      <c r="J522" s="7" t="s">
        <v>1985</v>
      </c>
      <c r="K522" s="7" t="s">
        <v>1986</v>
      </c>
      <c r="L522" s="7" t="s">
        <v>124</v>
      </c>
      <c r="M522" s="7" t="s">
        <v>125</v>
      </c>
      <c r="N522" s="9" t="s">
        <v>75</v>
      </c>
      <c r="O522" s="7" t="s">
        <v>59</v>
      </c>
      <c r="P522" s="7" t="s">
        <v>20</v>
      </c>
      <c r="Q522" s="7"/>
      <c r="R522" s="7" t="str" cm="1">
        <f t="array" ref="R522">IF(AND(Q522="",P522&lt;&gt;""),N522,_xlfn.SWITCH(IF(Q522&lt;&gt;"",Q522,O522)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Centers",IF(Q522&lt;&gt;"",Q522,O522)))</f>
        <v>Leiter/in des Service Centers</v>
      </c>
      <c r="S522" s="7" t="str">
        <f>IF(N522&lt;&gt;R522,"x","")</f>
        <v>x</v>
      </c>
    </row>
    <row r="523" spans="1:19" hidden="1" x14ac:dyDescent="0.25">
      <c r="A523" s="7" t="s">
        <v>1987</v>
      </c>
      <c r="B523" s="7" t="s">
        <v>20</v>
      </c>
      <c r="C523" s="7" t="s">
        <v>1862</v>
      </c>
      <c r="D523" s="7" t="s">
        <v>1863</v>
      </c>
      <c r="E523" s="7" t="s">
        <v>20</v>
      </c>
      <c r="F523" s="7" t="s">
        <v>20</v>
      </c>
      <c r="G523" s="7" t="s">
        <v>1864</v>
      </c>
      <c r="H523" s="7" t="s">
        <v>20</v>
      </c>
      <c r="I523" s="8" t="s">
        <v>1290</v>
      </c>
      <c r="J523" s="7" t="s">
        <v>1988</v>
      </c>
      <c r="K523" s="7" t="s">
        <v>1989</v>
      </c>
      <c r="L523" s="7" t="s">
        <v>27</v>
      </c>
      <c r="M523" s="7" t="s">
        <v>28</v>
      </c>
      <c r="N523" s="9" t="s">
        <v>80</v>
      </c>
      <c r="O523" s="7" t="s">
        <v>30</v>
      </c>
      <c r="P523" s="7" t="s">
        <v>20</v>
      </c>
      <c r="Q523" s="7"/>
      <c r="R523" s="7" t="str" cm="1">
        <f t="array" ref="R523">IF(AND(Q523="",P523&lt;&gt;""),N523,_xlfn.SWITCH(IF(Q523&lt;&gt;"",Q523,O523)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Centers",IF(Q523&lt;&gt;"",Q523,O523)))</f>
        <v>Agenturleiter/in</v>
      </c>
      <c r="S523" s="7" t="str">
        <f>IF(N523&lt;&gt;R523,"x","")</f>
        <v>x</v>
      </c>
    </row>
    <row r="524" spans="1:19" hidden="1" x14ac:dyDescent="0.25">
      <c r="A524" s="7" t="s">
        <v>1990</v>
      </c>
      <c r="B524" s="7" t="s">
        <v>1991</v>
      </c>
      <c r="C524" s="7" t="s">
        <v>1862</v>
      </c>
      <c r="D524" s="7" t="s">
        <v>1863</v>
      </c>
      <c r="E524" s="7" t="s">
        <v>1992</v>
      </c>
      <c r="F524" s="7" t="s">
        <v>1993</v>
      </c>
      <c r="G524" s="7" t="s">
        <v>1994</v>
      </c>
      <c r="H524" s="7" t="s">
        <v>1994</v>
      </c>
      <c r="I524" s="8" t="s">
        <v>1961</v>
      </c>
      <c r="J524" s="7" t="s">
        <v>1995</v>
      </c>
      <c r="K524" s="7" t="s">
        <v>1996</v>
      </c>
      <c r="L524" s="7" t="s">
        <v>27</v>
      </c>
      <c r="M524" s="7" t="s">
        <v>28</v>
      </c>
      <c r="N524" s="9" t="s">
        <v>80</v>
      </c>
      <c r="O524" s="7" t="s">
        <v>30</v>
      </c>
      <c r="P524" s="7" t="s">
        <v>20</v>
      </c>
      <c r="Q524" s="7"/>
      <c r="R524" s="7" t="str" cm="1">
        <f t="array" ref="R524">IF(AND(Q524="",P524&lt;&gt;""),N524,_xlfn.SWITCH(IF(Q524&lt;&gt;"",Q524,O524)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Centers",IF(Q524&lt;&gt;"",Q524,O524)))</f>
        <v>Agenturleiter/in</v>
      </c>
      <c r="S524" s="7" t="str">
        <f>IF(N524&lt;&gt;R524,"x","")</f>
        <v>x</v>
      </c>
    </row>
    <row r="525" spans="1:19" hidden="1" x14ac:dyDescent="0.25">
      <c r="A525" s="7" t="s">
        <v>1997</v>
      </c>
      <c r="B525" s="7" t="s">
        <v>1998</v>
      </c>
      <c r="C525" s="7" t="s">
        <v>1862</v>
      </c>
      <c r="D525" s="7" t="s">
        <v>1863</v>
      </c>
      <c r="E525" s="7" t="s">
        <v>1992</v>
      </c>
      <c r="F525" s="7" t="s">
        <v>1993</v>
      </c>
      <c r="G525" s="7" t="s">
        <v>1994</v>
      </c>
      <c r="H525" s="7" t="s">
        <v>1994</v>
      </c>
      <c r="I525" s="8" t="s">
        <v>1999</v>
      </c>
      <c r="J525" s="7" t="s">
        <v>2000</v>
      </c>
      <c r="K525" s="7" t="s">
        <v>2001</v>
      </c>
      <c r="L525" s="7" t="s">
        <v>40</v>
      </c>
      <c r="M525" s="7" t="s">
        <v>41</v>
      </c>
      <c r="N525" s="9" t="s">
        <v>75</v>
      </c>
      <c r="O525" s="7" t="s">
        <v>88</v>
      </c>
      <c r="P525" s="7" t="s">
        <v>20</v>
      </c>
      <c r="Q525" s="7"/>
      <c r="R525" s="7" t="str" cm="1">
        <f t="array" ref="R525">IF(AND(Q525="",P525&lt;&gt;""),N525,_xlfn.SWITCH(IF(Q525&lt;&gt;"",Q525,O525)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Centers",IF(Q525&lt;&gt;"",Q525,O525)))</f>
        <v>Kundenberater/in</v>
      </c>
      <c r="S525" s="7" t="str">
        <f>IF(N525&lt;&gt;R525,"x","")</f>
        <v>x</v>
      </c>
    </row>
    <row r="526" spans="1:19" hidden="1" x14ac:dyDescent="0.25">
      <c r="A526" s="7" t="s">
        <v>2002</v>
      </c>
      <c r="B526" s="7" t="s">
        <v>2003</v>
      </c>
      <c r="C526" s="7" t="s">
        <v>1862</v>
      </c>
      <c r="D526" s="7" t="s">
        <v>1863</v>
      </c>
      <c r="E526" s="7" t="s">
        <v>1992</v>
      </c>
      <c r="F526" s="7" t="s">
        <v>1993</v>
      </c>
      <c r="G526" s="7" t="s">
        <v>1994</v>
      </c>
      <c r="H526" s="7" t="s">
        <v>1994</v>
      </c>
      <c r="I526" s="8" t="s">
        <v>2004</v>
      </c>
      <c r="J526" s="7" t="s">
        <v>2005</v>
      </c>
      <c r="K526" s="7" t="s">
        <v>2006</v>
      </c>
      <c r="L526" s="7" t="s">
        <v>40</v>
      </c>
      <c r="M526" s="7" t="s">
        <v>41</v>
      </c>
      <c r="N526" s="9" t="s">
        <v>75</v>
      </c>
      <c r="O526" s="7" t="s">
        <v>88</v>
      </c>
      <c r="P526" s="7" t="s">
        <v>20</v>
      </c>
      <c r="Q526" s="7"/>
      <c r="R526" s="7" t="str" cm="1">
        <f t="array" ref="R526">IF(AND(Q526="",P526&lt;&gt;""),N526,_xlfn.SWITCH(IF(Q526&lt;&gt;"",Q526,O526)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Centers",IF(Q526&lt;&gt;"",Q526,O526)))</f>
        <v>Kundenberater/in</v>
      </c>
      <c r="S526" s="7" t="str">
        <f>IF(N526&lt;&gt;R526,"x","")</f>
        <v>x</v>
      </c>
    </row>
    <row r="527" spans="1:19" hidden="1" x14ac:dyDescent="0.25">
      <c r="A527" s="7" t="s">
        <v>2007</v>
      </c>
      <c r="B527" s="7" t="s">
        <v>2008</v>
      </c>
      <c r="C527" s="7" t="s">
        <v>1862</v>
      </c>
      <c r="D527" s="7" t="s">
        <v>1863</v>
      </c>
      <c r="E527" s="7" t="s">
        <v>1992</v>
      </c>
      <c r="F527" s="7" t="s">
        <v>1993</v>
      </c>
      <c r="G527" s="7" t="s">
        <v>1994</v>
      </c>
      <c r="H527" s="7" t="s">
        <v>1994</v>
      </c>
      <c r="I527" s="8" t="s">
        <v>2009</v>
      </c>
      <c r="J527" s="7" t="s">
        <v>2010</v>
      </c>
      <c r="K527" s="7" t="s">
        <v>2011</v>
      </c>
      <c r="L527" s="7" t="s">
        <v>40</v>
      </c>
      <c r="M527" s="7" t="s">
        <v>41</v>
      </c>
      <c r="N527" s="9" t="s">
        <v>75</v>
      </c>
      <c r="O527" s="7" t="s">
        <v>120</v>
      </c>
      <c r="P527" s="7" t="s">
        <v>20</v>
      </c>
      <c r="Q527" s="7"/>
      <c r="R527" s="7" t="str" cm="1">
        <f t="array" ref="R527">IF(AND(Q527="",P527&lt;&gt;""),N527,_xlfn.SWITCH(IF(Q527&lt;&gt;"",Q527,O527)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Centers",IF(Q527&lt;&gt;"",Q527,O527)))</f>
        <v>Kundenberater/in</v>
      </c>
      <c r="S527" s="7" t="str">
        <f>IF(N527&lt;&gt;R527,"x","")</f>
        <v>x</v>
      </c>
    </row>
    <row r="528" spans="1:19" hidden="1" x14ac:dyDescent="0.25">
      <c r="A528" s="7" t="s">
        <v>2012</v>
      </c>
      <c r="B528" s="7" t="s">
        <v>2013</v>
      </c>
      <c r="C528" s="7" t="s">
        <v>1862</v>
      </c>
      <c r="D528" s="7" t="s">
        <v>1863</v>
      </c>
      <c r="E528" s="7" t="s">
        <v>1992</v>
      </c>
      <c r="F528" s="7" t="s">
        <v>1993</v>
      </c>
      <c r="G528" s="7" t="s">
        <v>1994</v>
      </c>
      <c r="H528" s="7" t="s">
        <v>1994</v>
      </c>
      <c r="I528" s="8" t="s">
        <v>1297</v>
      </c>
      <c r="J528" s="7" t="s">
        <v>2014</v>
      </c>
      <c r="K528" s="7" t="s">
        <v>2015</v>
      </c>
      <c r="L528" s="7" t="s">
        <v>27</v>
      </c>
      <c r="M528" s="7" t="s">
        <v>28</v>
      </c>
      <c r="N528" s="9" t="s">
        <v>75</v>
      </c>
      <c r="O528" s="7" t="s">
        <v>30</v>
      </c>
      <c r="P528" s="7" t="s">
        <v>20</v>
      </c>
      <c r="Q528" s="7"/>
      <c r="R528" s="7" t="str" cm="1">
        <f t="array" ref="R528">IF(AND(Q528="",P528&lt;&gt;""),N528,_xlfn.SWITCH(IF(Q528&lt;&gt;"",Q528,O528)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Centers",IF(Q528&lt;&gt;"",Q528,O528)))</f>
        <v>Agenturleiter/in</v>
      </c>
      <c r="S528" s="7" t="str">
        <f>IF(N528&lt;&gt;R528,"x","")</f>
        <v>x</v>
      </c>
    </row>
    <row r="529" spans="1:19" hidden="1" x14ac:dyDescent="0.25">
      <c r="A529" s="7" t="s">
        <v>2016</v>
      </c>
      <c r="B529" s="7" t="s">
        <v>2017</v>
      </c>
      <c r="C529" s="7" t="s">
        <v>1862</v>
      </c>
      <c r="D529" s="7" t="s">
        <v>1863</v>
      </c>
      <c r="E529" s="7" t="s">
        <v>1992</v>
      </c>
      <c r="F529" s="7" t="s">
        <v>1993</v>
      </c>
      <c r="G529" s="7" t="s">
        <v>1994</v>
      </c>
      <c r="H529" s="7" t="s">
        <v>1994</v>
      </c>
      <c r="I529" s="8" t="s">
        <v>2018</v>
      </c>
      <c r="J529" s="7" t="s">
        <v>2019</v>
      </c>
      <c r="K529" s="7" t="s">
        <v>2020</v>
      </c>
      <c r="L529" s="7" t="s">
        <v>27</v>
      </c>
      <c r="M529" s="7" t="s">
        <v>28</v>
      </c>
      <c r="N529" s="9" t="s">
        <v>75</v>
      </c>
      <c r="O529" s="7" t="s">
        <v>30</v>
      </c>
      <c r="P529" s="7" t="s">
        <v>20</v>
      </c>
      <c r="Q529" s="7"/>
      <c r="R529" s="7" t="str" cm="1">
        <f t="array" ref="R529">IF(AND(Q529="",P529&lt;&gt;""),N529,_xlfn.SWITCH(IF(Q529&lt;&gt;"",Q529,O529)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Centers",IF(Q529&lt;&gt;"",Q529,O529)))</f>
        <v>Agenturleiter/in</v>
      </c>
      <c r="S529" s="7" t="str">
        <f>IF(N529&lt;&gt;R529,"x","")</f>
        <v>x</v>
      </c>
    </row>
    <row r="530" spans="1:19" hidden="1" x14ac:dyDescent="0.25">
      <c r="A530" s="7" t="s">
        <v>2021</v>
      </c>
      <c r="B530" s="7" t="s">
        <v>2022</v>
      </c>
      <c r="C530" s="7" t="s">
        <v>1862</v>
      </c>
      <c r="D530" s="7" t="s">
        <v>1863</v>
      </c>
      <c r="E530" s="7" t="s">
        <v>1992</v>
      </c>
      <c r="F530" s="7" t="s">
        <v>1993</v>
      </c>
      <c r="G530" s="7" t="s">
        <v>1994</v>
      </c>
      <c r="H530" s="7" t="s">
        <v>1994</v>
      </c>
      <c r="I530" s="8" t="s">
        <v>2023</v>
      </c>
      <c r="J530" s="7" t="s">
        <v>2024</v>
      </c>
      <c r="K530" s="7" t="s">
        <v>2025</v>
      </c>
      <c r="L530" s="7" t="s">
        <v>40</v>
      </c>
      <c r="M530" s="7" t="s">
        <v>41</v>
      </c>
      <c r="N530" s="9" t="s">
        <v>75</v>
      </c>
      <c r="O530" s="7" t="s">
        <v>88</v>
      </c>
      <c r="P530" s="7" t="s">
        <v>20</v>
      </c>
      <c r="Q530" s="7"/>
      <c r="R530" s="7" t="str" cm="1">
        <f t="array" ref="R530">IF(AND(Q530="",P530&lt;&gt;""),N530,_xlfn.SWITCH(IF(Q530&lt;&gt;"",Q530,O530)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Centers",IF(Q530&lt;&gt;"",Q530,O530)))</f>
        <v>Kundenberater/in</v>
      </c>
      <c r="S530" s="7" t="str">
        <f>IF(N530&lt;&gt;R530,"x","")</f>
        <v>x</v>
      </c>
    </row>
    <row r="531" spans="1:19" hidden="1" x14ac:dyDescent="0.25">
      <c r="A531" s="7" t="s">
        <v>2026</v>
      </c>
      <c r="B531" s="7" t="s">
        <v>20</v>
      </c>
      <c r="C531" s="7" t="s">
        <v>2027</v>
      </c>
      <c r="D531" s="7" t="s">
        <v>2028</v>
      </c>
      <c r="E531" s="7" t="s">
        <v>20</v>
      </c>
      <c r="F531" s="7" t="s">
        <v>20</v>
      </c>
      <c r="G531" s="7" t="s">
        <v>2029</v>
      </c>
      <c r="H531" s="7" t="s">
        <v>20</v>
      </c>
      <c r="I531" s="8" t="s">
        <v>1674</v>
      </c>
      <c r="J531" s="7" t="s">
        <v>2030</v>
      </c>
      <c r="K531" s="7" t="s">
        <v>63</v>
      </c>
      <c r="L531" s="7" t="s">
        <v>27</v>
      </c>
      <c r="M531" s="7" t="s">
        <v>28</v>
      </c>
      <c r="N531" s="9" t="s">
        <v>35</v>
      </c>
      <c r="O531" s="7" t="s">
        <v>30</v>
      </c>
      <c r="P531" s="7" t="s">
        <v>20</v>
      </c>
      <c r="Q531" s="7"/>
      <c r="R531" s="7" t="str" cm="1">
        <f t="array" ref="R531">IF(AND(Q531="",P531&lt;&gt;""),N531,_xlfn.SWITCH(IF(Q531&lt;&gt;"",Q531,O531)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Centers",IF(Q531&lt;&gt;"",Q531,O531)))</f>
        <v>Agenturleiter/in</v>
      </c>
      <c r="S531" s="7" t="str">
        <f>IF(N531&lt;&gt;R531,"x","")</f>
        <v>x</v>
      </c>
    </row>
    <row r="532" spans="1:19" hidden="1" x14ac:dyDescent="0.25">
      <c r="A532" s="7" t="s">
        <v>2031</v>
      </c>
      <c r="B532" s="7" t="s">
        <v>20</v>
      </c>
      <c r="C532" s="7" t="s">
        <v>2027</v>
      </c>
      <c r="D532" s="7" t="s">
        <v>2028</v>
      </c>
      <c r="E532" s="7" t="s">
        <v>20</v>
      </c>
      <c r="F532" s="7" t="s">
        <v>20</v>
      </c>
      <c r="G532" s="7" t="s">
        <v>2029</v>
      </c>
      <c r="H532" s="7" t="s">
        <v>20</v>
      </c>
      <c r="I532" s="8" t="s">
        <v>37</v>
      </c>
      <c r="J532" s="7" t="s">
        <v>2032</v>
      </c>
      <c r="K532" s="7" t="s">
        <v>2033</v>
      </c>
      <c r="L532" s="7" t="s">
        <v>124</v>
      </c>
      <c r="M532" s="7" t="s">
        <v>125</v>
      </c>
      <c r="N532" s="9" t="s">
        <v>59</v>
      </c>
      <c r="O532" s="7" t="s">
        <v>510</v>
      </c>
      <c r="P532" s="7" t="s">
        <v>20</v>
      </c>
      <c r="Q532" s="7"/>
      <c r="R532" s="7" t="str" cm="1">
        <f t="array" ref="R532">IF(AND(Q532="",P532&lt;&gt;""),N532,_xlfn.SWITCH(IF(Q532&lt;&gt;"",Q532,O532)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Centers",IF(Q532&lt;&gt;"",Q532,O532)))</f>
        <v>Leiter/in des Service Centers</v>
      </c>
      <c r="S532" s="7" t="str">
        <f>IF(N532&lt;&gt;R532,"x","")</f>
        <v/>
      </c>
    </row>
    <row r="533" spans="1:19" x14ac:dyDescent="0.25">
      <c r="A533" s="7" t="s">
        <v>2034</v>
      </c>
      <c r="B533" s="7" t="s">
        <v>20</v>
      </c>
      <c r="C533" s="7" t="s">
        <v>2027</v>
      </c>
      <c r="D533" s="7" t="s">
        <v>2028</v>
      </c>
      <c r="E533" s="7" t="s">
        <v>20</v>
      </c>
      <c r="F533" s="7" t="s">
        <v>20</v>
      </c>
      <c r="G533" s="7" t="s">
        <v>2029</v>
      </c>
      <c r="H533" s="7" t="s">
        <v>20</v>
      </c>
      <c r="I533" s="8" t="s">
        <v>2035</v>
      </c>
      <c r="J533" s="7" t="s">
        <v>2036</v>
      </c>
      <c r="K533" s="7" t="s">
        <v>2037</v>
      </c>
      <c r="L533" s="7" t="s">
        <v>124</v>
      </c>
      <c r="M533" s="7" t="s">
        <v>125</v>
      </c>
      <c r="N533" s="9" t="s">
        <v>93</v>
      </c>
      <c r="O533" s="7" t="s">
        <v>67</v>
      </c>
      <c r="P533" s="7" t="s">
        <v>20</v>
      </c>
      <c r="Q533" s="7"/>
      <c r="R533" s="7" t="str" cm="1">
        <f t="array" ref="R533">IF(AND(Q533="",P533&lt;&gt;""),N533,_xlfn.SWITCH(IF(Q533&lt;&gt;"",Q533,O533)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Centers",IF(Q533&lt;&gt;"",Q533,O533)))</f>
        <v>Leiter/in des Service Centers</v>
      </c>
      <c r="S533" s="7" t="str">
        <f>IF(N533&lt;&gt;R533,"x","")</f>
        <v>x</v>
      </c>
    </row>
    <row r="534" spans="1:19" hidden="1" x14ac:dyDescent="0.25">
      <c r="A534" s="7" t="s">
        <v>2038</v>
      </c>
      <c r="B534" s="7" t="s">
        <v>20</v>
      </c>
      <c r="C534" s="7" t="s">
        <v>2027</v>
      </c>
      <c r="D534" s="7" t="s">
        <v>2028</v>
      </c>
      <c r="E534" s="7" t="s">
        <v>20</v>
      </c>
      <c r="F534" s="7" t="s">
        <v>20</v>
      </c>
      <c r="G534" s="7" t="s">
        <v>2029</v>
      </c>
      <c r="H534" s="7" t="s">
        <v>20</v>
      </c>
      <c r="I534" s="8" t="s">
        <v>2039</v>
      </c>
      <c r="J534" s="7" t="s">
        <v>143</v>
      </c>
      <c r="K534" s="7" t="s">
        <v>2040</v>
      </c>
      <c r="L534" s="7" t="s">
        <v>97</v>
      </c>
      <c r="M534" s="7" t="s">
        <v>98</v>
      </c>
      <c r="N534" s="9" t="s">
        <v>111</v>
      </c>
      <c r="O534" s="7" t="s">
        <v>99</v>
      </c>
      <c r="P534" s="7" t="s">
        <v>20</v>
      </c>
      <c r="Q534" s="7"/>
      <c r="R534" s="7" t="str" cm="1">
        <f t="array" ref="R534">IF(AND(Q534="",P534&lt;&gt;""),N534,_xlfn.SWITCH(IF(Q534&lt;&gt;"",Q534,O534)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Centers",IF(Q534&lt;&gt;"",Q534,O534)))</f>
        <v>Hauptagent/in</v>
      </c>
      <c r="S534" s="7" t="str">
        <f>IF(N534&lt;&gt;R534,"x","")</f>
        <v/>
      </c>
    </row>
    <row r="535" spans="1:19" hidden="1" x14ac:dyDescent="0.25">
      <c r="A535" s="7" t="s">
        <v>2041</v>
      </c>
      <c r="B535" s="7" t="s">
        <v>20</v>
      </c>
      <c r="C535" s="7" t="s">
        <v>2027</v>
      </c>
      <c r="D535" s="7" t="s">
        <v>2028</v>
      </c>
      <c r="E535" s="7" t="s">
        <v>20</v>
      </c>
      <c r="F535" s="7" t="s">
        <v>20</v>
      </c>
      <c r="G535" s="7" t="s">
        <v>2029</v>
      </c>
      <c r="H535" s="7" t="s">
        <v>20</v>
      </c>
      <c r="I535" s="8" t="s">
        <v>1124</v>
      </c>
      <c r="J535" s="7" t="s">
        <v>143</v>
      </c>
      <c r="K535" s="7" t="s">
        <v>2042</v>
      </c>
      <c r="L535" s="7" t="s">
        <v>97</v>
      </c>
      <c r="M535" s="7" t="s">
        <v>98</v>
      </c>
      <c r="N535" s="9" t="s">
        <v>111</v>
      </c>
      <c r="O535" s="7" t="s">
        <v>99</v>
      </c>
      <c r="P535" s="7" t="s">
        <v>20</v>
      </c>
      <c r="Q535" s="7"/>
      <c r="R535" s="7" t="str" cm="1">
        <f t="array" ref="R535">IF(AND(Q535="",P535&lt;&gt;""),N535,_xlfn.SWITCH(IF(Q535&lt;&gt;"",Q535,O535)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Centers",IF(Q535&lt;&gt;"",Q535,O535)))</f>
        <v>Hauptagent/in</v>
      </c>
      <c r="S535" s="7" t="str">
        <f>IF(N535&lt;&gt;R535,"x","")</f>
        <v/>
      </c>
    </row>
    <row r="536" spans="1:19" hidden="1" x14ac:dyDescent="0.25">
      <c r="A536" s="7" t="s">
        <v>2043</v>
      </c>
      <c r="B536" s="7" t="s">
        <v>20</v>
      </c>
      <c r="C536" s="7" t="s">
        <v>2027</v>
      </c>
      <c r="D536" s="7" t="s">
        <v>2028</v>
      </c>
      <c r="E536" s="7" t="s">
        <v>20</v>
      </c>
      <c r="F536" s="7" t="s">
        <v>20</v>
      </c>
      <c r="G536" s="7" t="s">
        <v>2029</v>
      </c>
      <c r="H536" s="7" t="s">
        <v>20</v>
      </c>
      <c r="I536" s="8" t="s">
        <v>1919</v>
      </c>
      <c r="J536" s="7" t="s">
        <v>2044</v>
      </c>
      <c r="K536" s="7" t="s">
        <v>2045</v>
      </c>
      <c r="L536" s="7" t="s">
        <v>97</v>
      </c>
      <c r="M536" s="7" t="s">
        <v>98</v>
      </c>
      <c r="N536" s="9" t="s">
        <v>66</v>
      </c>
      <c r="O536" s="7" t="s">
        <v>99</v>
      </c>
      <c r="P536" s="7" t="s">
        <v>20</v>
      </c>
      <c r="Q536" s="7"/>
      <c r="R536" s="7" t="str" cm="1">
        <f t="array" ref="R536">IF(AND(Q536="",P536&lt;&gt;""),N536,_xlfn.SWITCH(IF(Q536&lt;&gt;"",Q536,O536)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Centers",IF(Q536&lt;&gt;"",Q536,O536)))</f>
        <v>Hauptagent/in</v>
      </c>
      <c r="S536" s="7" t="str">
        <f>IF(N536&lt;&gt;R536,"x","")</f>
        <v>x</v>
      </c>
    </row>
    <row r="537" spans="1:19" hidden="1" x14ac:dyDescent="0.25">
      <c r="A537" s="7" t="s">
        <v>2046</v>
      </c>
      <c r="B537" s="7" t="s">
        <v>20</v>
      </c>
      <c r="C537" s="7" t="s">
        <v>2027</v>
      </c>
      <c r="D537" s="7" t="s">
        <v>2028</v>
      </c>
      <c r="E537" s="7" t="s">
        <v>20</v>
      </c>
      <c r="F537" s="7" t="s">
        <v>20</v>
      </c>
      <c r="G537" s="7" t="s">
        <v>2029</v>
      </c>
      <c r="H537" s="7" t="s">
        <v>20</v>
      </c>
      <c r="I537" s="8" t="s">
        <v>324</v>
      </c>
      <c r="J537" s="7" t="s">
        <v>132</v>
      </c>
      <c r="K537" s="7" t="s">
        <v>2047</v>
      </c>
      <c r="L537" s="7" t="s">
        <v>64</v>
      </c>
      <c r="M537" s="7" t="s">
        <v>65</v>
      </c>
      <c r="N537" s="9" t="s">
        <v>59</v>
      </c>
      <c r="O537" s="7" t="s">
        <v>67</v>
      </c>
      <c r="P537" s="7" t="s">
        <v>20</v>
      </c>
      <c r="Q537" s="7"/>
      <c r="R537" s="7" t="str" cm="1">
        <f t="array" ref="R537">IF(AND(Q537="",P537&lt;&gt;""),N537,_xlfn.SWITCH(IF(Q537&lt;&gt;"",Q537,O537)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Centers",IF(Q537&lt;&gt;"",Q537,O537)))</f>
        <v>Leiter/in des Service Centers</v>
      </c>
      <c r="S537" s="7" t="str">
        <f>IF(N537&lt;&gt;R537,"x","")</f>
        <v/>
      </c>
    </row>
    <row r="538" spans="1:19" hidden="1" x14ac:dyDescent="0.25">
      <c r="A538" s="7" t="s">
        <v>2048</v>
      </c>
      <c r="B538" s="7" t="s">
        <v>20</v>
      </c>
      <c r="C538" s="7" t="s">
        <v>2027</v>
      </c>
      <c r="D538" s="7" t="s">
        <v>2028</v>
      </c>
      <c r="E538" s="7" t="s">
        <v>20</v>
      </c>
      <c r="F538" s="7" t="s">
        <v>20</v>
      </c>
      <c r="G538" s="7" t="s">
        <v>2029</v>
      </c>
      <c r="H538" s="7" t="s">
        <v>20</v>
      </c>
      <c r="I538" s="8" t="s">
        <v>1498</v>
      </c>
      <c r="J538" s="7" t="s">
        <v>2049</v>
      </c>
      <c r="K538" s="7" t="s">
        <v>63</v>
      </c>
      <c r="L538" s="7" t="s">
        <v>40</v>
      </c>
      <c r="M538" s="7" t="s">
        <v>41</v>
      </c>
      <c r="N538" s="9" t="s">
        <v>111</v>
      </c>
      <c r="O538" s="7" t="s">
        <v>48</v>
      </c>
      <c r="P538" s="7" t="s">
        <v>49</v>
      </c>
      <c r="Q538" s="7"/>
      <c r="R538" s="7" t="str" cm="1">
        <f t="array" ref="R538">IF(AND(Q538="",P538&lt;&gt;""),N538,_xlfn.SWITCH(IF(Q538&lt;&gt;"",Q538,O538)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Centers",IF(Q538&lt;&gt;"",Q538,O538)))</f>
        <v>Hauptagent/in</v>
      </c>
      <c r="S538" s="7" t="str">
        <f>IF(N538&lt;&gt;R538,"x","")</f>
        <v/>
      </c>
    </row>
    <row r="539" spans="1:19" hidden="1" x14ac:dyDescent="0.25">
      <c r="A539" s="7" t="s">
        <v>2050</v>
      </c>
      <c r="B539" s="7" t="s">
        <v>20</v>
      </c>
      <c r="C539" s="7" t="s">
        <v>2027</v>
      </c>
      <c r="D539" s="7" t="s">
        <v>2028</v>
      </c>
      <c r="E539" s="7" t="s">
        <v>20</v>
      </c>
      <c r="F539" s="7" t="s">
        <v>20</v>
      </c>
      <c r="G539" s="7" t="s">
        <v>2029</v>
      </c>
      <c r="H539" s="7" t="s">
        <v>20</v>
      </c>
      <c r="I539" s="8" t="s">
        <v>537</v>
      </c>
      <c r="J539" s="7" t="s">
        <v>2051</v>
      </c>
      <c r="K539" s="7" t="s">
        <v>2052</v>
      </c>
      <c r="L539" s="7" t="s">
        <v>64</v>
      </c>
      <c r="M539" s="7" t="s">
        <v>65</v>
      </c>
      <c r="N539" s="9" t="s">
        <v>59</v>
      </c>
      <c r="O539" s="7" t="s">
        <v>67</v>
      </c>
      <c r="P539" s="7" t="s">
        <v>20</v>
      </c>
      <c r="Q539" s="7"/>
      <c r="R539" s="7" t="str" cm="1">
        <f t="array" ref="R539">IF(AND(Q539="",P539&lt;&gt;""),N539,_xlfn.SWITCH(IF(Q539&lt;&gt;"",Q539,O539)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Centers",IF(Q539&lt;&gt;"",Q539,O539)))</f>
        <v>Leiter/in des Service Centers</v>
      </c>
      <c r="S539" s="7" t="str">
        <f>IF(N539&lt;&gt;R539,"x","")</f>
        <v/>
      </c>
    </row>
    <row r="540" spans="1:19" hidden="1" x14ac:dyDescent="0.25">
      <c r="A540" s="7" t="s">
        <v>2053</v>
      </c>
      <c r="B540" s="7" t="s">
        <v>20</v>
      </c>
      <c r="C540" s="7" t="s">
        <v>2027</v>
      </c>
      <c r="D540" s="7" t="s">
        <v>2028</v>
      </c>
      <c r="E540" s="7" t="s">
        <v>20</v>
      </c>
      <c r="F540" s="7" t="s">
        <v>20</v>
      </c>
      <c r="G540" s="7" t="s">
        <v>2029</v>
      </c>
      <c r="H540" s="7" t="s">
        <v>20</v>
      </c>
      <c r="I540" s="8" t="s">
        <v>2054</v>
      </c>
      <c r="J540" s="7" t="s">
        <v>2055</v>
      </c>
      <c r="K540" s="7" t="s">
        <v>2056</v>
      </c>
      <c r="L540" s="7" t="s">
        <v>124</v>
      </c>
      <c r="M540" s="7" t="s">
        <v>125</v>
      </c>
      <c r="N540" s="9" t="s">
        <v>149</v>
      </c>
      <c r="O540" s="7" t="s">
        <v>67</v>
      </c>
      <c r="P540" s="7" t="s">
        <v>20</v>
      </c>
      <c r="Q540" s="7"/>
      <c r="R540" s="7" t="str" cm="1">
        <f t="array" ref="R540">IF(AND(Q540="",P540&lt;&gt;""),N540,_xlfn.SWITCH(IF(Q540&lt;&gt;"",Q540,O540)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Centers",IF(Q540&lt;&gt;"",Q540,O540)))</f>
        <v>Leiter/in des Service Centers</v>
      </c>
      <c r="S540" s="7" t="str">
        <f>IF(N540&lt;&gt;R540,"x","")</f>
        <v>x</v>
      </c>
    </row>
    <row r="541" spans="1:19" hidden="1" x14ac:dyDescent="0.25">
      <c r="A541" s="7" t="s">
        <v>2057</v>
      </c>
      <c r="B541" s="7" t="s">
        <v>20</v>
      </c>
      <c r="C541" s="7" t="s">
        <v>2027</v>
      </c>
      <c r="D541" s="7" t="s">
        <v>2028</v>
      </c>
      <c r="E541" s="7" t="s">
        <v>20</v>
      </c>
      <c r="F541" s="7" t="s">
        <v>20</v>
      </c>
      <c r="G541" s="7" t="s">
        <v>2029</v>
      </c>
      <c r="H541" s="7" t="s">
        <v>20</v>
      </c>
      <c r="I541" s="8" t="s">
        <v>2058</v>
      </c>
      <c r="J541" s="7" t="s">
        <v>2059</v>
      </c>
      <c r="K541" s="7" t="s">
        <v>2060</v>
      </c>
      <c r="L541" s="7" t="s">
        <v>40</v>
      </c>
      <c r="M541" s="7" t="s">
        <v>41</v>
      </c>
      <c r="N541" s="9" t="s">
        <v>75</v>
      </c>
      <c r="O541" s="7" t="s">
        <v>43</v>
      </c>
      <c r="P541" s="7" t="s">
        <v>20</v>
      </c>
      <c r="Q541" s="7"/>
      <c r="R541" s="7" t="str" cm="1">
        <f t="array" ref="R541">IF(AND(Q541="",P541&lt;&gt;""),N541,_xlfn.SWITCH(IF(Q541&lt;&gt;"",Q541,O541)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Centers",IF(Q541&lt;&gt;"",Q541,O541)))</f>
        <v>Repräsentant/in</v>
      </c>
      <c r="S541" s="7" t="str">
        <f>IF(N541&lt;&gt;R541,"x","")</f>
        <v>x</v>
      </c>
    </row>
    <row r="542" spans="1:19" hidden="1" x14ac:dyDescent="0.25">
      <c r="A542" s="7" t="s">
        <v>2061</v>
      </c>
      <c r="B542" s="7" t="s">
        <v>20</v>
      </c>
      <c r="C542" s="7" t="s">
        <v>2027</v>
      </c>
      <c r="D542" s="7" t="s">
        <v>2028</v>
      </c>
      <c r="E542" s="7" t="s">
        <v>20</v>
      </c>
      <c r="F542" s="7" t="s">
        <v>20</v>
      </c>
      <c r="G542" s="7" t="s">
        <v>2029</v>
      </c>
      <c r="H542" s="7" t="s">
        <v>20</v>
      </c>
      <c r="I542" s="8" t="s">
        <v>2062</v>
      </c>
      <c r="J542" s="7" t="s">
        <v>2063</v>
      </c>
      <c r="K542" s="7" t="s">
        <v>2064</v>
      </c>
      <c r="L542" s="7" t="s">
        <v>64</v>
      </c>
      <c r="M542" s="7" t="s">
        <v>65</v>
      </c>
      <c r="N542" s="9" t="s">
        <v>59</v>
      </c>
      <c r="O542" s="7" t="s">
        <v>67</v>
      </c>
      <c r="P542" s="7" t="s">
        <v>20</v>
      </c>
      <c r="Q542" s="7"/>
      <c r="R542" s="7" t="str" cm="1">
        <f t="array" ref="R542">IF(AND(Q542="",P542&lt;&gt;""),N542,_xlfn.SWITCH(IF(Q542&lt;&gt;"",Q542,O542)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Centers",IF(Q542&lt;&gt;"",Q542,O542)))</f>
        <v>Leiter/in des Service Centers</v>
      </c>
      <c r="S542" s="7" t="str">
        <f>IF(N542&lt;&gt;R542,"x","")</f>
        <v/>
      </c>
    </row>
    <row r="543" spans="1:19" hidden="1" x14ac:dyDescent="0.25">
      <c r="A543" s="7" t="s">
        <v>2065</v>
      </c>
      <c r="B543" s="7" t="s">
        <v>20</v>
      </c>
      <c r="C543" s="7" t="s">
        <v>2027</v>
      </c>
      <c r="D543" s="7" t="s">
        <v>2028</v>
      </c>
      <c r="E543" s="7" t="s">
        <v>20</v>
      </c>
      <c r="F543" s="7" t="s">
        <v>20</v>
      </c>
      <c r="G543" s="7" t="s">
        <v>2029</v>
      </c>
      <c r="H543" s="7" t="s">
        <v>20</v>
      </c>
      <c r="I543" s="8" t="s">
        <v>1828</v>
      </c>
      <c r="J543" s="7" t="s">
        <v>2066</v>
      </c>
      <c r="K543" s="7" t="s">
        <v>2067</v>
      </c>
      <c r="L543" s="7" t="s">
        <v>228</v>
      </c>
      <c r="M543" s="7" t="s">
        <v>229</v>
      </c>
      <c r="N543" s="9" t="s">
        <v>66</v>
      </c>
      <c r="O543" s="7" t="s">
        <v>54</v>
      </c>
      <c r="P543" s="7" t="s">
        <v>20</v>
      </c>
      <c r="Q543" s="7"/>
      <c r="R543" s="7" t="str" cm="1">
        <f t="array" ref="R543">IF(AND(Q543="",P543&lt;&gt;""),N543,_xlfn.SWITCH(IF(Q543&lt;&gt;"",Q543,O543)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Centers",IF(Q543&lt;&gt;"",Q543,O543)))</f>
        <v>Agenturleiter/in</v>
      </c>
      <c r="S543" s="7" t="str">
        <f>IF(N543&lt;&gt;R543,"x","")</f>
        <v>x</v>
      </c>
    </row>
    <row r="544" spans="1:19" hidden="1" x14ac:dyDescent="0.25">
      <c r="A544" s="7" t="s">
        <v>2068</v>
      </c>
      <c r="B544" s="7" t="s">
        <v>20</v>
      </c>
      <c r="C544" s="7" t="s">
        <v>2027</v>
      </c>
      <c r="D544" s="7" t="s">
        <v>2028</v>
      </c>
      <c r="E544" s="7" t="s">
        <v>20</v>
      </c>
      <c r="F544" s="7" t="s">
        <v>20</v>
      </c>
      <c r="G544" s="7" t="s">
        <v>2029</v>
      </c>
      <c r="H544" s="7" t="s">
        <v>20</v>
      </c>
      <c r="I544" s="8" t="s">
        <v>2069</v>
      </c>
      <c r="J544" s="7" t="s">
        <v>2070</v>
      </c>
      <c r="K544" s="7" t="s">
        <v>2071</v>
      </c>
      <c r="L544" s="7" t="s">
        <v>124</v>
      </c>
      <c r="M544" s="7" t="s">
        <v>125</v>
      </c>
      <c r="N544" s="9" t="s">
        <v>111</v>
      </c>
      <c r="O544" s="7" t="s">
        <v>67</v>
      </c>
      <c r="P544" s="7" t="s">
        <v>20</v>
      </c>
      <c r="Q544" s="7"/>
      <c r="R544" s="7" t="str" cm="1">
        <f t="array" ref="R544">IF(AND(Q544="",P544&lt;&gt;""),N544,_xlfn.SWITCH(IF(Q544&lt;&gt;"",Q544,O544)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Centers",IF(Q544&lt;&gt;"",Q544,O544)))</f>
        <v>Leiter/in des Service Centers</v>
      </c>
      <c r="S544" s="7" t="str">
        <f>IF(N544&lt;&gt;R544,"x","")</f>
        <v>x</v>
      </c>
    </row>
    <row r="545" spans="1:19" hidden="1" x14ac:dyDescent="0.25">
      <c r="A545" s="7" t="s">
        <v>2072</v>
      </c>
      <c r="B545" s="7" t="s">
        <v>20</v>
      </c>
      <c r="C545" s="7" t="s">
        <v>2027</v>
      </c>
      <c r="D545" s="7" t="s">
        <v>2028</v>
      </c>
      <c r="E545" s="7" t="s">
        <v>20</v>
      </c>
      <c r="F545" s="7" t="s">
        <v>20</v>
      </c>
      <c r="G545" s="7" t="s">
        <v>2029</v>
      </c>
      <c r="H545" s="7" t="s">
        <v>20</v>
      </c>
      <c r="I545" s="8" t="s">
        <v>2073</v>
      </c>
      <c r="J545" s="7" t="s">
        <v>2074</v>
      </c>
      <c r="K545" s="7" t="s">
        <v>2075</v>
      </c>
      <c r="L545" s="7" t="s">
        <v>97</v>
      </c>
      <c r="M545" s="7" t="s">
        <v>98</v>
      </c>
      <c r="N545" s="9" t="s">
        <v>66</v>
      </c>
      <c r="O545" s="7" t="s">
        <v>99</v>
      </c>
      <c r="P545" s="7" t="s">
        <v>20</v>
      </c>
      <c r="Q545" s="7"/>
      <c r="R545" s="7" t="str" cm="1">
        <f t="array" ref="R545">IF(AND(Q545="",P545&lt;&gt;""),N545,_xlfn.SWITCH(IF(Q545&lt;&gt;"",Q545,O545)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Centers",IF(Q545&lt;&gt;"",Q545,O545)))</f>
        <v>Hauptagent/in</v>
      </c>
      <c r="S545" s="7" t="str">
        <f>IF(N545&lt;&gt;R545,"x","")</f>
        <v>x</v>
      </c>
    </row>
    <row r="546" spans="1:19" hidden="1" x14ac:dyDescent="0.25">
      <c r="A546" s="7" t="s">
        <v>2076</v>
      </c>
      <c r="B546" s="7" t="s">
        <v>20</v>
      </c>
      <c r="C546" s="7" t="s">
        <v>2027</v>
      </c>
      <c r="D546" s="7" t="s">
        <v>2028</v>
      </c>
      <c r="E546" s="7" t="s">
        <v>20</v>
      </c>
      <c r="F546" s="7" t="s">
        <v>20</v>
      </c>
      <c r="G546" s="7" t="s">
        <v>2029</v>
      </c>
      <c r="H546" s="7" t="s">
        <v>20</v>
      </c>
      <c r="I546" s="8" t="s">
        <v>2077</v>
      </c>
      <c r="J546" s="7" t="s">
        <v>2078</v>
      </c>
      <c r="K546" s="7" t="s">
        <v>2079</v>
      </c>
      <c r="L546" s="7" t="s">
        <v>27</v>
      </c>
      <c r="M546" s="7" t="s">
        <v>28</v>
      </c>
      <c r="N546" s="9" t="s">
        <v>111</v>
      </c>
      <c r="O546" s="7" t="s">
        <v>54</v>
      </c>
      <c r="P546" s="7" t="s">
        <v>20</v>
      </c>
      <c r="Q546" s="7"/>
      <c r="R546" s="7" t="str" cm="1">
        <f t="array" ref="R546">IF(AND(Q546="",P546&lt;&gt;""),N546,_xlfn.SWITCH(IF(Q546&lt;&gt;"",Q546,O546)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Centers",IF(Q546&lt;&gt;"",Q546,O546)))</f>
        <v>Agenturleiter/in</v>
      </c>
      <c r="S546" s="7" t="str">
        <f>IF(N546&lt;&gt;R546,"x","")</f>
        <v>x</v>
      </c>
    </row>
    <row r="547" spans="1:19" hidden="1" x14ac:dyDescent="0.25">
      <c r="A547" s="7" t="s">
        <v>2080</v>
      </c>
      <c r="B547" s="7" t="s">
        <v>20</v>
      </c>
      <c r="C547" s="7" t="s">
        <v>2027</v>
      </c>
      <c r="D547" s="7" t="s">
        <v>2028</v>
      </c>
      <c r="E547" s="7" t="s">
        <v>20</v>
      </c>
      <c r="F547" s="7" t="s">
        <v>20</v>
      </c>
      <c r="G547" s="7" t="s">
        <v>2029</v>
      </c>
      <c r="H547" s="7" t="s">
        <v>20</v>
      </c>
      <c r="I547" s="8" t="s">
        <v>2081</v>
      </c>
      <c r="J547" s="7" t="s">
        <v>2082</v>
      </c>
      <c r="K547" s="7" t="s">
        <v>2083</v>
      </c>
      <c r="L547" s="7" t="s">
        <v>64</v>
      </c>
      <c r="M547" s="7" t="s">
        <v>65</v>
      </c>
      <c r="N547" s="9" t="s">
        <v>111</v>
      </c>
      <c r="O547" s="7" t="s">
        <v>67</v>
      </c>
      <c r="P547" s="7" t="s">
        <v>20</v>
      </c>
      <c r="Q547" s="7"/>
      <c r="R547" s="7" t="str" cm="1">
        <f t="array" ref="R547">IF(AND(Q547="",P547&lt;&gt;""),N547,_xlfn.SWITCH(IF(Q547&lt;&gt;"",Q547,O547)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Centers",IF(Q547&lt;&gt;"",Q547,O547)))</f>
        <v>Leiter/in des Service Centers</v>
      </c>
      <c r="S547" s="7" t="str">
        <f>IF(N547&lt;&gt;R547,"x","")</f>
        <v>x</v>
      </c>
    </row>
    <row r="548" spans="1:19" hidden="1" x14ac:dyDescent="0.25">
      <c r="A548" s="7" t="s">
        <v>2084</v>
      </c>
      <c r="B548" s="7" t="s">
        <v>20</v>
      </c>
      <c r="C548" s="7" t="s">
        <v>2027</v>
      </c>
      <c r="D548" s="7" t="s">
        <v>2028</v>
      </c>
      <c r="E548" s="7" t="s">
        <v>20</v>
      </c>
      <c r="F548" s="7" t="s">
        <v>20</v>
      </c>
      <c r="G548" s="7" t="s">
        <v>2029</v>
      </c>
      <c r="H548" s="7" t="s">
        <v>20</v>
      </c>
      <c r="I548" s="8" t="s">
        <v>2085</v>
      </c>
      <c r="J548" s="7" t="s">
        <v>2086</v>
      </c>
      <c r="K548" s="7" t="s">
        <v>2087</v>
      </c>
      <c r="L548" s="7" t="s">
        <v>27</v>
      </c>
      <c r="M548" s="7" t="s">
        <v>28</v>
      </c>
      <c r="N548" s="9" t="s">
        <v>111</v>
      </c>
      <c r="O548" s="7" t="s">
        <v>30</v>
      </c>
      <c r="P548" s="7" t="s">
        <v>20</v>
      </c>
      <c r="Q548" s="7"/>
      <c r="R548" s="7" t="str" cm="1">
        <f t="array" ref="R548">IF(AND(Q548="",P548&lt;&gt;""),N548,_xlfn.SWITCH(IF(Q548&lt;&gt;"",Q548,O548)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Centers",IF(Q548&lt;&gt;"",Q548,O548)))</f>
        <v>Agenturleiter/in</v>
      </c>
      <c r="S548" s="7" t="str">
        <f>IF(N548&lt;&gt;R548,"x","")</f>
        <v>x</v>
      </c>
    </row>
    <row r="549" spans="1:19" hidden="1" x14ac:dyDescent="0.25">
      <c r="A549" s="7" t="s">
        <v>2088</v>
      </c>
      <c r="B549" s="7" t="s">
        <v>20</v>
      </c>
      <c r="C549" s="7" t="s">
        <v>2027</v>
      </c>
      <c r="D549" s="7" t="s">
        <v>2028</v>
      </c>
      <c r="E549" s="7" t="s">
        <v>20</v>
      </c>
      <c r="F549" s="7" t="s">
        <v>20</v>
      </c>
      <c r="G549" s="7" t="s">
        <v>2029</v>
      </c>
      <c r="H549" s="7" t="s">
        <v>20</v>
      </c>
      <c r="I549" s="8" t="s">
        <v>2089</v>
      </c>
      <c r="J549" s="7" t="s">
        <v>2090</v>
      </c>
      <c r="K549" s="7" t="s">
        <v>2091</v>
      </c>
      <c r="L549" s="7" t="s">
        <v>228</v>
      </c>
      <c r="M549" s="7" t="s">
        <v>229</v>
      </c>
      <c r="N549" s="9" t="s">
        <v>111</v>
      </c>
      <c r="O549" s="7" t="s">
        <v>30</v>
      </c>
      <c r="P549" s="7" t="s">
        <v>20</v>
      </c>
      <c r="Q549" s="7"/>
      <c r="R549" s="7" t="str" cm="1">
        <f t="array" ref="R549">IF(AND(Q549="",P549&lt;&gt;""),N549,_xlfn.SWITCH(IF(Q549&lt;&gt;"",Q549,O549)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Centers",IF(Q549&lt;&gt;"",Q549,O549)))</f>
        <v>Agenturleiter/in</v>
      </c>
      <c r="S549" s="7" t="str">
        <f>IF(N549&lt;&gt;R549,"x","")</f>
        <v>x</v>
      </c>
    </row>
    <row r="550" spans="1:19" hidden="1" x14ac:dyDescent="0.25">
      <c r="A550" s="7" t="s">
        <v>2092</v>
      </c>
      <c r="B550" s="7" t="s">
        <v>20</v>
      </c>
      <c r="C550" s="7" t="s">
        <v>2027</v>
      </c>
      <c r="D550" s="7" t="s">
        <v>2028</v>
      </c>
      <c r="E550" s="7" t="s">
        <v>20</v>
      </c>
      <c r="F550" s="7" t="s">
        <v>20</v>
      </c>
      <c r="G550" s="7" t="s">
        <v>2029</v>
      </c>
      <c r="H550" s="7" t="s">
        <v>20</v>
      </c>
      <c r="I550" s="8" t="s">
        <v>992</v>
      </c>
      <c r="J550" s="7" t="s">
        <v>2093</v>
      </c>
      <c r="K550" s="7" t="s">
        <v>2094</v>
      </c>
      <c r="L550" s="7" t="s">
        <v>124</v>
      </c>
      <c r="M550" s="7" t="s">
        <v>125</v>
      </c>
      <c r="N550" s="9" t="s">
        <v>66</v>
      </c>
      <c r="O550" s="7" t="s">
        <v>67</v>
      </c>
      <c r="P550" s="7" t="s">
        <v>20</v>
      </c>
      <c r="Q550" s="7"/>
      <c r="R550" s="7" t="str" cm="1">
        <f t="array" ref="R550">IF(AND(Q550="",P550&lt;&gt;""),N550,_xlfn.SWITCH(IF(Q550&lt;&gt;"",Q550,O550)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Centers",IF(Q550&lt;&gt;"",Q550,O550)))</f>
        <v>Leiter/in des Service Centers</v>
      </c>
      <c r="S550" s="7" t="str">
        <f>IF(N550&lt;&gt;R550,"x","")</f>
        <v>x</v>
      </c>
    </row>
    <row r="551" spans="1:19" hidden="1" x14ac:dyDescent="0.25">
      <c r="A551" s="7" t="s">
        <v>2095</v>
      </c>
      <c r="B551" s="7" t="s">
        <v>20</v>
      </c>
      <c r="C551" s="7" t="s">
        <v>2027</v>
      </c>
      <c r="D551" s="7" t="s">
        <v>2028</v>
      </c>
      <c r="E551" s="7" t="s">
        <v>20</v>
      </c>
      <c r="F551" s="7" t="s">
        <v>20</v>
      </c>
      <c r="G551" s="7" t="s">
        <v>2029</v>
      </c>
      <c r="H551" s="7" t="s">
        <v>20</v>
      </c>
      <c r="I551" s="8" t="s">
        <v>2096</v>
      </c>
      <c r="J551" s="7" t="s">
        <v>2097</v>
      </c>
      <c r="K551" s="7" t="s">
        <v>2098</v>
      </c>
      <c r="L551" s="7" t="s">
        <v>228</v>
      </c>
      <c r="M551" s="7" t="s">
        <v>229</v>
      </c>
      <c r="N551" s="9" t="s">
        <v>66</v>
      </c>
      <c r="O551" s="7" t="s">
        <v>30</v>
      </c>
      <c r="P551" s="7" t="s">
        <v>20</v>
      </c>
      <c r="Q551" s="7"/>
      <c r="R551" s="7" t="str" cm="1">
        <f t="array" ref="R551">IF(AND(Q551="",P551&lt;&gt;""),N551,_xlfn.SWITCH(IF(Q551&lt;&gt;"",Q551,O551)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Centers",IF(Q551&lt;&gt;"",Q551,O551)))</f>
        <v>Agenturleiter/in</v>
      </c>
      <c r="S551" s="7" t="str">
        <f>IF(N551&lt;&gt;R551,"x","")</f>
        <v>x</v>
      </c>
    </row>
    <row r="552" spans="1:19" hidden="1" x14ac:dyDescent="0.25">
      <c r="A552" s="7" t="s">
        <v>2099</v>
      </c>
      <c r="B552" s="7" t="s">
        <v>20</v>
      </c>
      <c r="C552" s="7" t="s">
        <v>2027</v>
      </c>
      <c r="D552" s="7" t="s">
        <v>2028</v>
      </c>
      <c r="E552" s="7" t="s">
        <v>20</v>
      </c>
      <c r="F552" s="7" t="s">
        <v>20</v>
      </c>
      <c r="G552" s="7" t="s">
        <v>2029</v>
      </c>
      <c r="H552" s="7" t="s">
        <v>20</v>
      </c>
      <c r="I552" s="8" t="s">
        <v>2100</v>
      </c>
      <c r="J552" s="7" t="s">
        <v>2101</v>
      </c>
      <c r="K552" s="7" t="s">
        <v>2102</v>
      </c>
      <c r="L552" s="7" t="s">
        <v>97</v>
      </c>
      <c r="M552" s="7" t="s">
        <v>98</v>
      </c>
      <c r="N552" s="9" t="s">
        <v>66</v>
      </c>
      <c r="O552" s="7" t="s">
        <v>99</v>
      </c>
      <c r="P552" s="7" t="s">
        <v>20</v>
      </c>
      <c r="Q552" s="7"/>
      <c r="R552" s="7" t="str" cm="1">
        <f t="array" ref="R552">IF(AND(Q552="",P552&lt;&gt;""),N552,_xlfn.SWITCH(IF(Q552&lt;&gt;"",Q552,O552)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Centers",IF(Q552&lt;&gt;"",Q552,O552)))</f>
        <v>Hauptagent/in</v>
      </c>
      <c r="S552" s="7" t="str">
        <f>IF(N552&lt;&gt;R552,"x","")</f>
        <v>x</v>
      </c>
    </row>
    <row r="553" spans="1:19" hidden="1" x14ac:dyDescent="0.25">
      <c r="A553" s="7" t="s">
        <v>2103</v>
      </c>
      <c r="B553" s="7" t="s">
        <v>20</v>
      </c>
      <c r="C553" s="7" t="s">
        <v>2027</v>
      </c>
      <c r="D553" s="7" t="s">
        <v>2028</v>
      </c>
      <c r="E553" s="7" t="s">
        <v>20</v>
      </c>
      <c r="F553" s="7" t="s">
        <v>20</v>
      </c>
      <c r="G553" s="7" t="s">
        <v>2029</v>
      </c>
      <c r="H553" s="7" t="s">
        <v>20</v>
      </c>
      <c r="I553" s="8" t="s">
        <v>2104</v>
      </c>
      <c r="J553" s="7" t="s">
        <v>2105</v>
      </c>
      <c r="K553" s="7" t="s">
        <v>2106</v>
      </c>
      <c r="L553" s="7" t="s">
        <v>97</v>
      </c>
      <c r="M553" s="7" t="s">
        <v>98</v>
      </c>
      <c r="N553" s="9" t="s">
        <v>66</v>
      </c>
      <c r="O553" s="7" t="s">
        <v>99</v>
      </c>
      <c r="P553" s="7" t="s">
        <v>20</v>
      </c>
      <c r="Q553" s="7"/>
      <c r="R553" s="7" t="str" cm="1">
        <f t="array" ref="R553">IF(AND(Q553="",P553&lt;&gt;""),N553,_xlfn.SWITCH(IF(Q553&lt;&gt;"",Q553,O553)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Centers",IF(Q553&lt;&gt;"",Q553,O553)))</f>
        <v>Hauptagent/in</v>
      </c>
      <c r="S553" s="7" t="str">
        <f>IF(N553&lt;&gt;R553,"x","")</f>
        <v>x</v>
      </c>
    </row>
    <row r="554" spans="1:19" hidden="1" x14ac:dyDescent="0.25">
      <c r="A554" s="7" t="s">
        <v>2107</v>
      </c>
      <c r="B554" s="7" t="s">
        <v>20</v>
      </c>
      <c r="C554" s="7" t="s">
        <v>2027</v>
      </c>
      <c r="D554" s="7" t="s">
        <v>2028</v>
      </c>
      <c r="E554" s="7" t="s">
        <v>20</v>
      </c>
      <c r="F554" s="7" t="s">
        <v>20</v>
      </c>
      <c r="G554" s="7" t="s">
        <v>2029</v>
      </c>
      <c r="H554" s="7" t="s">
        <v>20</v>
      </c>
      <c r="I554" s="8" t="s">
        <v>2108</v>
      </c>
      <c r="J554" s="7" t="s">
        <v>2109</v>
      </c>
      <c r="K554" s="7" t="s">
        <v>2110</v>
      </c>
      <c r="L554" s="7" t="s">
        <v>228</v>
      </c>
      <c r="M554" s="7" t="s">
        <v>229</v>
      </c>
      <c r="N554" s="9" t="s">
        <v>66</v>
      </c>
      <c r="O554" s="7" t="s">
        <v>30</v>
      </c>
      <c r="P554" s="7" t="s">
        <v>20</v>
      </c>
      <c r="Q554" s="7"/>
      <c r="R554" s="7" t="str" cm="1">
        <f t="array" ref="R554">IF(AND(Q554="",P554&lt;&gt;""),N554,_xlfn.SWITCH(IF(Q554&lt;&gt;"",Q554,O554)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Centers",IF(Q554&lt;&gt;"",Q554,O554)))</f>
        <v>Agenturleiter/in</v>
      </c>
      <c r="S554" s="7" t="str">
        <f>IF(N554&lt;&gt;R554,"x","")</f>
        <v>x</v>
      </c>
    </row>
    <row r="555" spans="1:19" hidden="1" x14ac:dyDescent="0.25">
      <c r="A555" s="7" t="s">
        <v>2111</v>
      </c>
      <c r="B555" s="7" t="s">
        <v>20</v>
      </c>
      <c r="C555" s="7" t="s">
        <v>2027</v>
      </c>
      <c r="D555" s="7" t="s">
        <v>2028</v>
      </c>
      <c r="E555" s="7" t="s">
        <v>20</v>
      </c>
      <c r="F555" s="7" t="s">
        <v>20</v>
      </c>
      <c r="G555" s="7" t="s">
        <v>2029</v>
      </c>
      <c r="H555" s="7" t="s">
        <v>20</v>
      </c>
      <c r="I555" s="8" t="s">
        <v>2112</v>
      </c>
      <c r="J555" s="7" t="s">
        <v>2113</v>
      </c>
      <c r="K555" s="7" t="s">
        <v>2114</v>
      </c>
      <c r="L555" s="7" t="s">
        <v>40</v>
      </c>
      <c r="M555" s="7" t="s">
        <v>41</v>
      </c>
      <c r="N555" s="9" t="s">
        <v>75</v>
      </c>
      <c r="O555" s="7" t="s">
        <v>48</v>
      </c>
      <c r="P555" s="7" t="s">
        <v>20</v>
      </c>
      <c r="Q555" s="7"/>
      <c r="R555" s="7" t="str" cm="1">
        <f t="array" ref="R555">IF(AND(Q555="",P555&lt;&gt;""),N555,_xlfn.SWITCH(IF(Q555&lt;&gt;"",Q555,O555)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Centers",IF(Q555&lt;&gt;"",Q555,O555)))</f>
        <v>Repräsentant/in</v>
      </c>
      <c r="S555" s="7" t="str">
        <f>IF(N555&lt;&gt;R555,"x","")</f>
        <v>x</v>
      </c>
    </row>
    <row r="556" spans="1:19" hidden="1" x14ac:dyDescent="0.25">
      <c r="A556" s="7" t="s">
        <v>2115</v>
      </c>
      <c r="B556" s="7" t="s">
        <v>20</v>
      </c>
      <c r="C556" s="7" t="s">
        <v>2027</v>
      </c>
      <c r="D556" s="7" t="s">
        <v>2028</v>
      </c>
      <c r="E556" s="7" t="s">
        <v>20</v>
      </c>
      <c r="F556" s="7" t="s">
        <v>20</v>
      </c>
      <c r="G556" s="7" t="s">
        <v>2029</v>
      </c>
      <c r="H556" s="7" t="s">
        <v>20</v>
      </c>
      <c r="I556" s="8" t="s">
        <v>2116</v>
      </c>
      <c r="J556" s="7" t="s">
        <v>2117</v>
      </c>
      <c r="K556" s="7" t="s">
        <v>2118</v>
      </c>
      <c r="L556" s="7" t="s">
        <v>27</v>
      </c>
      <c r="M556" s="7" t="s">
        <v>28</v>
      </c>
      <c r="N556" s="9" t="s">
        <v>66</v>
      </c>
      <c r="O556" s="7" t="s">
        <v>30</v>
      </c>
      <c r="P556" s="7" t="s">
        <v>20</v>
      </c>
      <c r="Q556" s="7"/>
      <c r="R556" s="7" t="str" cm="1">
        <f t="array" ref="R556">IF(AND(Q556="",P556&lt;&gt;""),N556,_xlfn.SWITCH(IF(Q556&lt;&gt;"",Q556,O556)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Centers",IF(Q556&lt;&gt;"",Q556,O556)))</f>
        <v>Agenturleiter/in</v>
      </c>
      <c r="S556" s="7" t="str">
        <f>IF(N556&lt;&gt;R556,"x","")</f>
        <v>x</v>
      </c>
    </row>
    <row r="557" spans="1:19" hidden="1" x14ac:dyDescent="0.25">
      <c r="A557" s="7" t="s">
        <v>2119</v>
      </c>
      <c r="B557" s="7" t="s">
        <v>20</v>
      </c>
      <c r="C557" s="7" t="s">
        <v>2027</v>
      </c>
      <c r="D557" s="7" t="s">
        <v>2028</v>
      </c>
      <c r="E557" s="7" t="s">
        <v>20</v>
      </c>
      <c r="F557" s="7" t="s">
        <v>20</v>
      </c>
      <c r="G557" s="7" t="s">
        <v>2029</v>
      </c>
      <c r="H557" s="7" t="s">
        <v>20</v>
      </c>
      <c r="I557" s="8" t="s">
        <v>2120</v>
      </c>
      <c r="J557" s="7" t="s">
        <v>2121</v>
      </c>
      <c r="K557" s="7" t="s">
        <v>2122</v>
      </c>
      <c r="L557" s="7" t="s">
        <v>97</v>
      </c>
      <c r="M557" s="7" t="s">
        <v>98</v>
      </c>
      <c r="N557" s="9" t="s">
        <v>66</v>
      </c>
      <c r="O557" s="7" t="s">
        <v>251</v>
      </c>
      <c r="P557" s="7" t="s">
        <v>20</v>
      </c>
      <c r="Q557" s="7"/>
      <c r="R557" s="7" t="str" cm="1">
        <f t="array" ref="R557">IF(AND(Q557="",P557&lt;&gt;""),N557,_xlfn.SWITCH(IF(Q557&lt;&gt;"",Q557,O557)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Centers",IF(Q557&lt;&gt;"",Q557,O557)))</f>
        <v>Hauptagent/in</v>
      </c>
      <c r="S557" s="7" t="str">
        <f>IF(N557&lt;&gt;R557,"x","")</f>
        <v>x</v>
      </c>
    </row>
    <row r="558" spans="1:19" hidden="1" x14ac:dyDescent="0.25">
      <c r="A558" s="7" t="s">
        <v>2123</v>
      </c>
      <c r="B558" s="7" t="s">
        <v>20</v>
      </c>
      <c r="C558" s="7" t="s">
        <v>2027</v>
      </c>
      <c r="D558" s="7" t="s">
        <v>2028</v>
      </c>
      <c r="E558" s="7" t="s">
        <v>20</v>
      </c>
      <c r="F558" s="7" t="s">
        <v>20</v>
      </c>
      <c r="G558" s="7" t="s">
        <v>2029</v>
      </c>
      <c r="H558" s="7" t="s">
        <v>20</v>
      </c>
      <c r="I558" s="8" t="s">
        <v>2124</v>
      </c>
      <c r="J558" s="7" t="s">
        <v>679</v>
      </c>
      <c r="K558" s="7" t="s">
        <v>2125</v>
      </c>
      <c r="L558" s="7" t="s">
        <v>228</v>
      </c>
      <c r="M558" s="7" t="s">
        <v>229</v>
      </c>
      <c r="N558" s="9" t="s">
        <v>66</v>
      </c>
      <c r="O558" s="7" t="s">
        <v>30</v>
      </c>
      <c r="P558" s="7" t="s">
        <v>20</v>
      </c>
      <c r="Q558" s="7"/>
      <c r="R558" s="7" t="str" cm="1">
        <f t="array" ref="R558">IF(AND(Q558="",P558&lt;&gt;""),N558,_xlfn.SWITCH(IF(Q558&lt;&gt;"",Q558,O558)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Centers",IF(Q558&lt;&gt;"",Q558,O558)))</f>
        <v>Agenturleiter/in</v>
      </c>
      <c r="S558" s="7" t="str">
        <f>IF(N558&lt;&gt;R558,"x","")</f>
        <v>x</v>
      </c>
    </row>
    <row r="559" spans="1:19" hidden="1" x14ac:dyDescent="0.25">
      <c r="A559" s="7" t="s">
        <v>2126</v>
      </c>
      <c r="B559" s="7" t="s">
        <v>20</v>
      </c>
      <c r="C559" s="7" t="s">
        <v>2027</v>
      </c>
      <c r="D559" s="7" t="s">
        <v>2028</v>
      </c>
      <c r="E559" s="7" t="s">
        <v>20</v>
      </c>
      <c r="F559" s="7" t="s">
        <v>20</v>
      </c>
      <c r="G559" s="7" t="s">
        <v>2029</v>
      </c>
      <c r="H559" s="7" t="s">
        <v>20</v>
      </c>
      <c r="I559" s="8" t="s">
        <v>585</v>
      </c>
      <c r="J559" s="7" t="s">
        <v>2127</v>
      </c>
      <c r="K559" s="7" t="s">
        <v>2128</v>
      </c>
      <c r="L559" s="7" t="s">
        <v>27</v>
      </c>
      <c r="M559" s="7" t="s">
        <v>28</v>
      </c>
      <c r="N559" s="9" t="s">
        <v>66</v>
      </c>
      <c r="O559" s="7" t="s">
        <v>30</v>
      </c>
      <c r="P559" s="7" t="s">
        <v>20</v>
      </c>
      <c r="Q559" s="7"/>
      <c r="R559" s="7" t="str" cm="1">
        <f t="array" ref="R559">IF(AND(Q559="",P559&lt;&gt;""),N559,_xlfn.SWITCH(IF(Q559&lt;&gt;"",Q559,O559)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Centers",IF(Q559&lt;&gt;"",Q559,O559)))</f>
        <v>Agenturleiter/in</v>
      </c>
      <c r="S559" s="7" t="str">
        <f>IF(N559&lt;&gt;R559,"x","")</f>
        <v>x</v>
      </c>
    </row>
    <row r="560" spans="1:19" hidden="1" x14ac:dyDescent="0.25">
      <c r="A560" s="7" t="s">
        <v>2129</v>
      </c>
      <c r="B560" s="7" t="s">
        <v>20</v>
      </c>
      <c r="C560" s="7" t="s">
        <v>2027</v>
      </c>
      <c r="D560" s="7" t="s">
        <v>2028</v>
      </c>
      <c r="E560" s="7" t="s">
        <v>20</v>
      </c>
      <c r="F560" s="7" t="s">
        <v>20</v>
      </c>
      <c r="G560" s="7" t="s">
        <v>2029</v>
      </c>
      <c r="H560" s="7" t="s">
        <v>20</v>
      </c>
      <c r="I560" s="8" t="s">
        <v>2130</v>
      </c>
      <c r="J560" s="7" t="s">
        <v>2131</v>
      </c>
      <c r="K560" s="7" t="s">
        <v>2132</v>
      </c>
      <c r="L560" s="7" t="s">
        <v>40</v>
      </c>
      <c r="M560" s="7" t="s">
        <v>41</v>
      </c>
      <c r="N560" s="9" t="s">
        <v>66</v>
      </c>
      <c r="O560" s="7" t="s">
        <v>43</v>
      </c>
      <c r="P560" s="7" t="s">
        <v>20</v>
      </c>
      <c r="Q560" s="7"/>
      <c r="R560" s="7" t="str" cm="1">
        <f t="array" ref="R560">IF(AND(Q560="",P560&lt;&gt;""),N560,_xlfn.SWITCH(IF(Q560&lt;&gt;"",Q560,O560)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Centers",IF(Q560&lt;&gt;"",Q560,O560)))</f>
        <v>Repräsentant/in</v>
      </c>
      <c r="S560" s="7" t="str">
        <f>IF(N560&lt;&gt;R560,"x","")</f>
        <v/>
      </c>
    </row>
    <row r="561" spans="1:19" hidden="1" x14ac:dyDescent="0.25">
      <c r="A561" s="7" t="s">
        <v>2133</v>
      </c>
      <c r="B561" s="7" t="s">
        <v>20</v>
      </c>
      <c r="C561" s="7" t="s">
        <v>2027</v>
      </c>
      <c r="D561" s="7" t="s">
        <v>2028</v>
      </c>
      <c r="E561" s="7" t="s">
        <v>20</v>
      </c>
      <c r="F561" s="7" t="s">
        <v>20</v>
      </c>
      <c r="G561" s="7" t="s">
        <v>2029</v>
      </c>
      <c r="H561" s="7" t="s">
        <v>20</v>
      </c>
      <c r="I561" s="8" t="s">
        <v>2134</v>
      </c>
      <c r="J561" s="7" t="s">
        <v>2135</v>
      </c>
      <c r="K561" s="7" t="s">
        <v>2136</v>
      </c>
      <c r="L561" s="7" t="s">
        <v>97</v>
      </c>
      <c r="M561" s="7" t="s">
        <v>98</v>
      </c>
      <c r="N561" s="9" t="s">
        <v>66</v>
      </c>
      <c r="O561" s="7" t="s">
        <v>99</v>
      </c>
      <c r="P561" s="7" t="s">
        <v>20</v>
      </c>
      <c r="Q561" s="7"/>
      <c r="R561" s="7" t="str" cm="1">
        <f t="array" ref="R561">IF(AND(Q561="",P561&lt;&gt;""),N561,_xlfn.SWITCH(IF(Q561&lt;&gt;"",Q561,O561)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Centers",IF(Q561&lt;&gt;"",Q561,O561)))</f>
        <v>Hauptagent/in</v>
      </c>
      <c r="S561" s="7" t="str">
        <f>IF(N561&lt;&gt;R561,"x","")</f>
        <v>x</v>
      </c>
    </row>
    <row r="562" spans="1:19" hidden="1" x14ac:dyDescent="0.25">
      <c r="A562" s="7" t="s">
        <v>2137</v>
      </c>
      <c r="B562" s="7" t="s">
        <v>20</v>
      </c>
      <c r="C562" s="7" t="s">
        <v>2027</v>
      </c>
      <c r="D562" s="7" t="s">
        <v>2028</v>
      </c>
      <c r="E562" s="7" t="s">
        <v>20</v>
      </c>
      <c r="F562" s="7" t="s">
        <v>20</v>
      </c>
      <c r="G562" s="7" t="s">
        <v>2029</v>
      </c>
      <c r="H562" s="7" t="s">
        <v>20</v>
      </c>
      <c r="I562" s="8" t="s">
        <v>336</v>
      </c>
      <c r="J562" s="7" t="s">
        <v>2138</v>
      </c>
      <c r="K562" s="7" t="s">
        <v>2139</v>
      </c>
      <c r="L562" s="7" t="s">
        <v>27</v>
      </c>
      <c r="M562" s="7" t="s">
        <v>28</v>
      </c>
      <c r="N562" s="9" t="s">
        <v>75</v>
      </c>
      <c r="O562" s="7" t="s">
        <v>54</v>
      </c>
      <c r="P562" s="7" t="s">
        <v>20</v>
      </c>
      <c r="Q562" s="7"/>
      <c r="R562" s="7" t="str" cm="1">
        <f t="array" ref="R562">IF(AND(Q562="",P562&lt;&gt;""),N562,_xlfn.SWITCH(IF(Q562&lt;&gt;"",Q562,O562)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Centers",IF(Q562&lt;&gt;"",Q562,O562)))</f>
        <v>Agenturleiter/in</v>
      </c>
      <c r="S562" s="7" t="str">
        <f>IF(N562&lt;&gt;R562,"x","")</f>
        <v>x</v>
      </c>
    </row>
    <row r="563" spans="1:19" hidden="1" x14ac:dyDescent="0.25">
      <c r="A563" s="7" t="s">
        <v>2140</v>
      </c>
      <c r="B563" s="7" t="s">
        <v>20</v>
      </c>
      <c r="C563" s="7" t="s">
        <v>2027</v>
      </c>
      <c r="D563" s="7" t="s">
        <v>2028</v>
      </c>
      <c r="E563" s="7" t="s">
        <v>20</v>
      </c>
      <c r="F563" s="7" t="s">
        <v>20</v>
      </c>
      <c r="G563" s="7" t="s">
        <v>2029</v>
      </c>
      <c r="H563" s="7" t="s">
        <v>20</v>
      </c>
      <c r="I563" s="8" t="s">
        <v>2141</v>
      </c>
      <c r="J563" s="7" t="s">
        <v>2142</v>
      </c>
      <c r="K563" s="7" t="s">
        <v>2143</v>
      </c>
      <c r="L563" s="7" t="s">
        <v>97</v>
      </c>
      <c r="M563" s="7" t="s">
        <v>98</v>
      </c>
      <c r="N563" s="9" t="s">
        <v>75</v>
      </c>
      <c r="O563" s="7" t="s">
        <v>99</v>
      </c>
      <c r="P563" s="7" t="s">
        <v>20</v>
      </c>
      <c r="Q563" s="7"/>
      <c r="R563" s="7" t="str" cm="1">
        <f t="array" ref="R563">IF(AND(Q563="",P563&lt;&gt;""),N563,_xlfn.SWITCH(IF(Q563&lt;&gt;"",Q563,O563)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Centers",IF(Q563&lt;&gt;"",Q563,O563)))</f>
        <v>Hauptagent/in</v>
      </c>
      <c r="S563" s="7" t="str">
        <f>IF(N563&lt;&gt;R563,"x","")</f>
        <v>x</v>
      </c>
    </row>
    <row r="564" spans="1:19" hidden="1" x14ac:dyDescent="0.25">
      <c r="A564" s="7" t="s">
        <v>2144</v>
      </c>
      <c r="B564" s="7" t="s">
        <v>20</v>
      </c>
      <c r="C564" s="7" t="s">
        <v>2027</v>
      </c>
      <c r="D564" s="7" t="s">
        <v>2028</v>
      </c>
      <c r="E564" s="7" t="s">
        <v>20</v>
      </c>
      <c r="F564" s="7" t="s">
        <v>20</v>
      </c>
      <c r="G564" s="7" t="s">
        <v>2029</v>
      </c>
      <c r="H564" s="7" t="s">
        <v>20</v>
      </c>
      <c r="I564" s="8" t="s">
        <v>2145</v>
      </c>
      <c r="J564" s="7" t="s">
        <v>2146</v>
      </c>
      <c r="K564" s="7" t="s">
        <v>2147</v>
      </c>
      <c r="L564" s="7" t="s">
        <v>228</v>
      </c>
      <c r="M564" s="7" t="s">
        <v>229</v>
      </c>
      <c r="N564" s="9" t="s">
        <v>75</v>
      </c>
      <c r="O564" s="7" t="s">
        <v>30</v>
      </c>
      <c r="P564" s="7" t="s">
        <v>20</v>
      </c>
      <c r="Q564" s="7"/>
      <c r="R564" s="7" t="str" cm="1">
        <f t="array" ref="R564">IF(AND(Q564="",P564&lt;&gt;""),N564,_xlfn.SWITCH(IF(Q564&lt;&gt;"",Q564,O564)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Centers",IF(Q564&lt;&gt;"",Q564,O564)))</f>
        <v>Agenturleiter/in</v>
      </c>
      <c r="S564" s="7" t="str">
        <f>IF(N564&lt;&gt;R564,"x","")</f>
        <v>x</v>
      </c>
    </row>
    <row r="565" spans="1:19" hidden="1" x14ac:dyDescent="0.25">
      <c r="A565" s="7" t="s">
        <v>2148</v>
      </c>
      <c r="B565" s="7" t="s">
        <v>20</v>
      </c>
      <c r="C565" s="7" t="s">
        <v>2027</v>
      </c>
      <c r="D565" s="7" t="s">
        <v>2028</v>
      </c>
      <c r="E565" s="7" t="s">
        <v>20</v>
      </c>
      <c r="F565" s="7" t="s">
        <v>20</v>
      </c>
      <c r="G565" s="7" t="s">
        <v>2029</v>
      </c>
      <c r="H565" s="7" t="s">
        <v>20</v>
      </c>
      <c r="I565" s="8" t="s">
        <v>2149</v>
      </c>
      <c r="J565" s="7" t="s">
        <v>2150</v>
      </c>
      <c r="K565" s="7" t="s">
        <v>2151</v>
      </c>
      <c r="L565" s="7" t="s">
        <v>27</v>
      </c>
      <c r="M565" s="7" t="s">
        <v>28</v>
      </c>
      <c r="N565" s="9" t="s">
        <v>80</v>
      </c>
      <c r="O565" s="7" t="s">
        <v>30</v>
      </c>
      <c r="P565" s="7" t="s">
        <v>20</v>
      </c>
      <c r="Q565" s="7"/>
      <c r="R565" s="7" t="str" cm="1">
        <f t="array" ref="R565">IF(AND(Q565="",P565&lt;&gt;""),N565,_xlfn.SWITCH(IF(Q565&lt;&gt;"",Q565,O565)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Centers",IF(Q565&lt;&gt;"",Q565,O565)))</f>
        <v>Agenturleiter/in</v>
      </c>
      <c r="S565" s="7" t="str">
        <f>IF(N565&lt;&gt;R565,"x","")</f>
        <v>x</v>
      </c>
    </row>
    <row r="566" spans="1:19" hidden="1" x14ac:dyDescent="0.25">
      <c r="A566" s="7" t="s">
        <v>2152</v>
      </c>
      <c r="B566" s="7" t="s">
        <v>20</v>
      </c>
      <c r="C566" s="7" t="s">
        <v>2027</v>
      </c>
      <c r="D566" s="7" t="s">
        <v>2028</v>
      </c>
      <c r="E566" s="7" t="s">
        <v>20</v>
      </c>
      <c r="F566" s="7" t="s">
        <v>20</v>
      </c>
      <c r="G566" s="7" t="s">
        <v>2029</v>
      </c>
      <c r="H566" s="7" t="s">
        <v>20</v>
      </c>
      <c r="I566" s="8" t="s">
        <v>2153</v>
      </c>
      <c r="J566" s="7" t="s">
        <v>2154</v>
      </c>
      <c r="K566" s="7" t="s">
        <v>2155</v>
      </c>
      <c r="L566" s="7" t="s">
        <v>27</v>
      </c>
      <c r="M566" s="7" t="s">
        <v>28</v>
      </c>
      <c r="N566" s="9" t="s">
        <v>75</v>
      </c>
      <c r="O566" s="7" t="s">
        <v>30</v>
      </c>
      <c r="P566" s="7" t="s">
        <v>20</v>
      </c>
      <c r="Q566" s="7"/>
      <c r="R566" s="7" t="str" cm="1">
        <f t="array" ref="R566">IF(AND(Q566="",P566&lt;&gt;""),N566,_xlfn.SWITCH(IF(Q566&lt;&gt;"",Q566,O566)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Centers",IF(Q566&lt;&gt;"",Q566,O566)))</f>
        <v>Agenturleiter/in</v>
      </c>
      <c r="S566" s="7" t="str">
        <f>IF(N566&lt;&gt;R566,"x","")</f>
        <v>x</v>
      </c>
    </row>
    <row r="567" spans="1:19" hidden="1" x14ac:dyDescent="0.25">
      <c r="A567" s="7" t="s">
        <v>2156</v>
      </c>
      <c r="B567" s="7" t="s">
        <v>20</v>
      </c>
      <c r="C567" s="7" t="s">
        <v>2027</v>
      </c>
      <c r="D567" s="7" t="s">
        <v>2028</v>
      </c>
      <c r="E567" s="7" t="s">
        <v>20</v>
      </c>
      <c r="F567" s="7" t="s">
        <v>20</v>
      </c>
      <c r="G567" s="7" t="s">
        <v>2029</v>
      </c>
      <c r="H567" s="7" t="s">
        <v>20</v>
      </c>
      <c r="I567" s="8" t="s">
        <v>2157</v>
      </c>
      <c r="J567" s="7" t="s">
        <v>2158</v>
      </c>
      <c r="K567" s="7" t="s">
        <v>2159</v>
      </c>
      <c r="L567" s="7" t="s">
        <v>40</v>
      </c>
      <c r="M567" s="7" t="s">
        <v>41</v>
      </c>
      <c r="N567" s="9" t="s">
        <v>20</v>
      </c>
      <c r="O567" s="7" t="s">
        <v>48</v>
      </c>
      <c r="P567" s="7" t="s">
        <v>20</v>
      </c>
      <c r="Q567" s="7"/>
      <c r="R567" s="7" t="str" cm="1">
        <f t="array" ref="R567">IF(AND(Q567="",P567&lt;&gt;""),N567,_xlfn.SWITCH(IF(Q567&lt;&gt;"",Q567,O567)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Centers",IF(Q567&lt;&gt;"",Q567,O567)))</f>
        <v>Repräsentant/in</v>
      </c>
      <c r="S567" s="7" t="str">
        <f>IF(N567&lt;&gt;R567,"x","")</f>
        <v>x</v>
      </c>
    </row>
    <row r="568" spans="1:19" hidden="1" x14ac:dyDescent="0.25">
      <c r="A568" s="7" t="s">
        <v>2160</v>
      </c>
      <c r="B568" s="7" t="s">
        <v>20</v>
      </c>
      <c r="C568" s="7" t="s">
        <v>2027</v>
      </c>
      <c r="D568" s="7" t="s">
        <v>2028</v>
      </c>
      <c r="E568" s="7" t="s">
        <v>20</v>
      </c>
      <c r="F568" s="7" t="s">
        <v>20</v>
      </c>
      <c r="G568" s="7" t="s">
        <v>2029</v>
      </c>
      <c r="H568" s="7" t="s">
        <v>20</v>
      </c>
      <c r="I568" s="8" t="s">
        <v>2161</v>
      </c>
      <c r="J568" s="7" t="s">
        <v>2162</v>
      </c>
      <c r="K568" s="7" t="s">
        <v>2163</v>
      </c>
      <c r="L568" s="7" t="s">
        <v>40</v>
      </c>
      <c r="M568" s="7" t="s">
        <v>41</v>
      </c>
      <c r="N568" s="9" t="s">
        <v>66</v>
      </c>
      <c r="O568" s="7" t="s">
        <v>120</v>
      </c>
      <c r="P568" s="7" t="s">
        <v>20</v>
      </c>
      <c r="Q568" s="7"/>
      <c r="R568" s="7" t="str" cm="1">
        <f t="array" ref="R568">IF(AND(Q568="",P568&lt;&gt;""),N568,_xlfn.SWITCH(IF(Q568&lt;&gt;"",Q568,O568)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Centers",IF(Q568&lt;&gt;"",Q568,O568)))</f>
        <v>Kundenberater/in</v>
      </c>
      <c r="S568" s="7" t="str">
        <f>IF(N568&lt;&gt;R568,"x","")</f>
        <v>x</v>
      </c>
    </row>
    <row r="569" spans="1:19" hidden="1" x14ac:dyDescent="0.25">
      <c r="A569" s="7" t="s">
        <v>2164</v>
      </c>
      <c r="B569" s="7" t="s">
        <v>20</v>
      </c>
      <c r="C569" s="7" t="s">
        <v>2027</v>
      </c>
      <c r="D569" s="7" t="s">
        <v>2028</v>
      </c>
      <c r="E569" s="7" t="s">
        <v>20</v>
      </c>
      <c r="F569" s="7" t="s">
        <v>20</v>
      </c>
      <c r="G569" s="7" t="s">
        <v>2029</v>
      </c>
      <c r="H569" s="7" t="s">
        <v>20</v>
      </c>
      <c r="I569" s="8" t="s">
        <v>1045</v>
      </c>
      <c r="J569" s="7" t="s">
        <v>2165</v>
      </c>
      <c r="K569" s="7" t="s">
        <v>2166</v>
      </c>
      <c r="L569" s="7" t="s">
        <v>40</v>
      </c>
      <c r="M569" s="7" t="s">
        <v>41</v>
      </c>
      <c r="N569" s="9" t="s">
        <v>75</v>
      </c>
      <c r="O569" s="7" t="s">
        <v>88</v>
      </c>
      <c r="P569" s="7" t="s">
        <v>20</v>
      </c>
      <c r="Q569" s="7"/>
      <c r="R569" s="7" t="str" cm="1">
        <f t="array" ref="R569">IF(AND(Q569="",P569&lt;&gt;""),N569,_xlfn.SWITCH(IF(Q569&lt;&gt;"",Q569,O569)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Centers",IF(Q569&lt;&gt;"",Q569,O569)))</f>
        <v>Kundenberater/in</v>
      </c>
      <c r="S569" s="7" t="str">
        <f>IF(N569&lt;&gt;R569,"x","")</f>
        <v>x</v>
      </c>
    </row>
    <row r="570" spans="1:19" hidden="1" x14ac:dyDescent="0.25">
      <c r="A570" s="7" t="s">
        <v>2167</v>
      </c>
      <c r="B570" s="7" t="s">
        <v>20</v>
      </c>
      <c r="C570" s="7" t="s">
        <v>2027</v>
      </c>
      <c r="D570" s="7" t="s">
        <v>2028</v>
      </c>
      <c r="E570" s="7" t="s">
        <v>20</v>
      </c>
      <c r="F570" s="7" t="s">
        <v>20</v>
      </c>
      <c r="G570" s="7" t="s">
        <v>2029</v>
      </c>
      <c r="H570" s="7" t="s">
        <v>20</v>
      </c>
      <c r="I570" s="8" t="s">
        <v>2168</v>
      </c>
      <c r="J570" s="7" t="s">
        <v>2169</v>
      </c>
      <c r="K570" s="7" t="s">
        <v>2170</v>
      </c>
      <c r="L570" s="7" t="s">
        <v>40</v>
      </c>
      <c r="M570" s="7" t="s">
        <v>41</v>
      </c>
      <c r="N570" s="9" t="s">
        <v>75</v>
      </c>
      <c r="O570" s="7" t="s">
        <v>88</v>
      </c>
      <c r="P570" s="7" t="s">
        <v>20</v>
      </c>
      <c r="Q570" s="7"/>
      <c r="R570" s="7" t="str" cm="1">
        <f t="array" ref="R570">IF(AND(Q570="",P570&lt;&gt;""),N570,_xlfn.SWITCH(IF(Q570&lt;&gt;"",Q570,O570)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Centers",IF(Q570&lt;&gt;"",Q570,O570)))</f>
        <v>Kundenberater/in</v>
      </c>
      <c r="S570" s="7" t="str">
        <f>IF(N570&lt;&gt;R570,"x","")</f>
        <v>x</v>
      </c>
    </row>
    <row r="571" spans="1:19" hidden="1" x14ac:dyDescent="0.25">
      <c r="A571" s="7" t="s">
        <v>2171</v>
      </c>
      <c r="B571" s="7" t="s">
        <v>20</v>
      </c>
      <c r="C571" s="7" t="s">
        <v>2027</v>
      </c>
      <c r="D571" s="7" t="s">
        <v>2028</v>
      </c>
      <c r="E571" s="7" t="s">
        <v>20</v>
      </c>
      <c r="F571" s="7" t="s">
        <v>20</v>
      </c>
      <c r="G571" s="7" t="s">
        <v>2029</v>
      </c>
      <c r="H571" s="7" t="s">
        <v>20</v>
      </c>
      <c r="I571" s="8" t="s">
        <v>2172</v>
      </c>
      <c r="J571" s="7" t="s">
        <v>2173</v>
      </c>
      <c r="K571" s="7" t="s">
        <v>2174</v>
      </c>
      <c r="L571" s="7" t="s">
        <v>40</v>
      </c>
      <c r="M571" s="7" t="s">
        <v>41</v>
      </c>
      <c r="N571" s="9" t="s">
        <v>75</v>
      </c>
      <c r="O571" s="7" t="s">
        <v>88</v>
      </c>
      <c r="P571" s="7" t="s">
        <v>20</v>
      </c>
      <c r="Q571" s="7"/>
      <c r="R571" s="7" t="str" cm="1">
        <f t="array" ref="R571">IF(AND(Q571="",P571&lt;&gt;""),N571,_xlfn.SWITCH(IF(Q571&lt;&gt;"",Q571,O571)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Centers",IF(Q571&lt;&gt;"",Q571,O571)))</f>
        <v>Kundenberater/in</v>
      </c>
      <c r="S571" s="7" t="str">
        <f>IF(N571&lt;&gt;R571,"x","")</f>
        <v>x</v>
      </c>
    </row>
    <row r="572" spans="1:19" hidden="1" x14ac:dyDescent="0.25">
      <c r="A572" s="7" t="s">
        <v>2175</v>
      </c>
      <c r="B572" s="7" t="s">
        <v>20</v>
      </c>
      <c r="C572" s="7" t="s">
        <v>2027</v>
      </c>
      <c r="D572" s="7" t="s">
        <v>2028</v>
      </c>
      <c r="E572" s="7" t="s">
        <v>20</v>
      </c>
      <c r="F572" s="7" t="s">
        <v>20</v>
      </c>
      <c r="G572" s="7" t="s">
        <v>2029</v>
      </c>
      <c r="H572" s="7" t="s">
        <v>20</v>
      </c>
      <c r="I572" s="8" t="s">
        <v>2176</v>
      </c>
      <c r="J572" s="7" t="s">
        <v>2177</v>
      </c>
      <c r="K572" s="7" t="s">
        <v>2178</v>
      </c>
      <c r="L572" s="7" t="s">
        <v>40</v>
      </c>
      <c r="M572" s="7" t="s">
        <v>41</v>
      </c>
      <c r="N572" s="9" t="s">
        <v>75</v>
      </c>
      <c r="O572" s="7" t="s">
        <v>88</v>
      </c>
      <c r="P572" s="7" t="s">
        <v>20</v>
      </c>
      <c r="Q572" s="7"/>
      <c r="R572" s="7" t="str" cm="1">
        <f t="array" ref="R572">IF(AND(Q572="",P572&lt;&gt;""),N572,_xlfn.SWITCH(IF(Q572&lt;&gt;"",Q572,O572)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Centers",IF(Q572&lt;&gt;"",Q572,O572)))</f>
        <v>Kundenberater/in</v>
      </c>
      <c r="S572" s="7" t="str">
        <f>IF(N572&lt;&gt;R572,"x","")</f>
        <v>x</v>
      </c>
    </row>
    <row r="573" spans="1:19" hidden="1" x14ac:dyDescent="0.25">
      <c r="A573" s="7" t="s">
        <v>2179</v>
      </c>
      <c r="B573" s="7" t="s">
        <v>20</v>
      </c>
      <c r="C573" s="7" t="s">
        <v>2027</v>
      </c>
      <c r="D573" s="7" t="s">
        <v>2028</v>
      </c>
      <c r="E573" s="7" t="s">
        <v>20</v>
      </c>
      <c r="F573" s="7" t="s">
        <v>20</v>
      </c>
      <c r="G573" s="7" t="s">
        <v>2029</v>
      </c>
      <c r="H573" s="7" t="s">
        <v>20</v>
      </c>
      <c r="I573" s="8" t="s">
        <v>122</v>
      </c>
      <c r="J573" s="7" t="s">
        <v>2180</v>
      </c>
      <c r="K573" s="7" t="s">
        <v>2181</v>
      </c>
      <c r="L573" s="7" t="s">
        <v>40</v>
      </c>
      <c r="M573" s="7" t="s">
        <v>41</v>
      </c>
      <c r="N573" s="9" t="s">
        <v>75</v>
      </c>
      <c r="O573" s="7" t="s">
        <v>88</v>
      </c>
      <c r="P573" s="7" t="s">
        <v>20</v>
      </c>
      <c r="Q573" s="7"/>
      <c r="R573" s="7" t="str" cm="1">
        <f t="array" ref="R573">IF(AND(Q573="",P573&lt;&gt;""),N573,_xlfn.SWITCH(IF(Q573&lt;&gt;"",Q573,O573)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Centers",IF(Q573&lt;&gt;"",Q573,O573)))</f>
        <v>Kundenberater/in</v>
      </c>
      <c r="S573" s="7" t="str">
        <f>IF(N573&lt;&gt;R573,"x","")</f>
        <v>x</v>
      </c>
    </row>
    <row r="574" spans="1:19" hidden="1" x14ac:dyDescent="0.25">
      <c r="A574" s="7" t="s">
        <v>2182</v>
      </c>
      <c r="B574" s="7" t="s">
        <v>20</v>
      </c>
      <c r="C574" s="7" t="s">
        <v>2027</v>
      </c>
      <c r="D574" s="7" t="s">
        <v>2028</v>
      </c>
      <c r="E574" s="7" t="s">
        <v>20</v>
      </c>
      <c r="F574" s="7" t="s">
        <v>20</v>
      </c>
      <c r="G574" s="7" t="s">
        <v>2029</v>
      </c>
      <c r="H574" s="7" t="s">
        <v>20</v>
      </c>
      <c r="I574" s="8" t="s">
        <v>2183</v>
      </c>
      <c r="J574" s="7" t="s">
        <v>2184</v>
      </c>
      <c r="K574" s="7" t="s">
        <v>2185</v>
      </c>
      <c r="L574" s="7" t="s">
        <v>40</v>
      </c>
      <c r="M574" s="7" t="s">
        <v>41</v>
      </c>
      <c r="N574" s="9" t="s">
        <v>75</v>
      </c>
      <c r="O574" s="7" t="s">
        <v>88</v>
      </c>
      <c r="P574" s="7" t="s">
        <v>20</v>
      </c>
      <c r="Q574" s="7"/>
      <c r="R574" s="7" t="str" cm="1">
        <f t="array" ref="R574">IF(AND(Q574="",P574&lt;&gt;""),N574,_xlfn.SWITCH(IF(Q574&lt;&gt;"",Q574,O574)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Centers",IF(Q574&lt;&gt;"",Q574,O574)))</f>
        <v>Kundenberater/in</v>
      </c>
      <c r="S574" s="7" t="str">
        <f>IF(N574&lt;&gt;R574,"x","")</f>
        <v>x</v>
      </c>
    </row>
    <row r="575" spans="1:19" hidden="1" x14ac:dyDescent="0.25">
      <c r="A575" s="7" t="s">
        <v>2186</v>
      </c>
      <c r="B575" s="7" t="s">
        <v>20</v>
      </c>
      <c r="C575" s="7" t="s">
        <v>2027</v>
      </c>
      <c r="D575" s="7" t="s">
        <v>2028</v>
      </c>
      <c r="E575" s="7" t="s">
        <v>20</v>
      </c>
      <c r="F575" s="7" t="s">
        <v>20</v>
      </c>
      <c r="G575" s="7" t="s">
        <v>2029</v>
      </c>
      <c r="H575" s="7" t="s">
        <v>20</v>
      </c>
      <c r="I575" s="8" t="s">
        <v>2187</v>
      </c>
      <c r="J575" s="7" t="s">
        <v>2188</v>
      </c>
      <c r="K575" s="7" t="s">
        <v>2189</v>
      </c>
      <c r="L575" s="7" t="s">
        <v>40</v>
      </c>
      <c r="M575" s="7" t="s">
        <v>41</v>
      </c>
      <c r="N575" s="9" t="s">
        <v>75</v>
      </c>
      <c r="O575" s="7" t="s">
        <v>88</v>
      </c>
      <c r="P575" s="7" t="s">
        <v>20</v>
      </c>
      <c r="Q575" s="7"/>
      <c r="R575" s="7" t="str" cm="1">
        <f t="array" ref="R575">IF(AND(Q575="",P575&lt;&gt;""),N575,_xlfn.SWITCH(IF(Q575&lt;&gt;"",Q575,O575)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Centers",IF(Q575&lt;&gt;"",Q575,O575)))</f>
        <v>Kundenberater/in</v>
      </c>
      <c r="S575" s="7" t="str">
        <f>IF(N575&lt;&gt;R575,"x","")</f>
        <v>x</v>
      </c>
    </row>
    <row r="576" spans="1:19" hidden="1" x14ac:dyDescent="0.25">
      <c r="A576" s="7" t="s">
        <v>2190</v>
      </c>
      <c r="B576" s="7" t="s">
        <v>20</v>
      </c>
      <c r="C576" s="7" t="s">
        <v>2027</v>
      </c>
      <c r="D576" s="7" t="s">
        <v>2028</v>
      </c>
      <c r="E576" s="7" t="s">
        <v>20</v>
      </c>
      <c r="F576" s="7" t="s">
        <v>20</v>
      </c>
      <c r="G576" s="7" t="s">
        <v>2029</v>
      </c>
      <c r="H576" s="7" t="s">
        <v>20</v>
      </c>
      <c r="I576" s="8" t="s">
        <v>2191</v>
      </c>
      <c r="J576" s="7" t="s">
        <v>656</v>
      </c>
      <c r="K576" s="7" t="s">
        <v>2192</v>
      </c>
      <c r="L576" s="7" t="s">
        <v>40</v>
      </c>
      <c r="M576" s="7" t="s">
        <v>41</v>
      </c>
      <c r="N576" s="9" t="s">
        <v>75</v>
      </c>
      <c r="O576" s="7" t="s">
        <v>120</v>
      </c>
      <c r="P576" s="7" t="s">
        <v>20</v>
      </c>
      <c r="Q576" s="7"/>
      <c r="R576" s="7" t="str" cm="1">
        <f t="array" ref="R576">IF(AND(Q576="",P576&lt;&gt;""),N576,_xlfn.SWITCH(IF(Q576&lt;&gt;"",Q576,O576)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Centers",IF(Q576&lt;&gt;"",Q576,O576)))</f>
        <v>Kundenberater/in</v>
      </c>
      <c r="S576" s="7" t="str">
        <f>IF(N576&lt;&gt;R576,"x","")</f>
        <v>x</v>
      </c>
    </row>
    <row r="577" spans="1:19" hidden="1" x14ac:dyDescent="0.25">
      <c r="A577" s="7" t="s">
        <v>2193</v>
      </c>
      <c r="B577" s="7" t="s">
        <v>20</v>
      </c>
      <c r="C577" s="7" t="s">
        <v>2027</v>
      </c>
      <c r="D577" s="7" t="s">
        <v>2028</v>
      </c>
      <c r="E577" s="7" t="s">
        <v>20</v>
      </c>
      <c r="F577" s="7" t="s">
        <v>20</v>
      </c>
      <c r="G577" s="7" t="s">
        <v>2029</v>
      </c>
      <c r="H577" s="7" t="s">
        <v>20</v>
      </c>
      <c r="I577" s="8" t="s">
        <v>2194</v>
      </c>
      <c r="J577" s="7" t="s">
        <v>2195</v>
      </c>
      <c r="K577" s="7" t="s">
        <v>2196</v>
      </c>
      <c r="L577" s="7" t="s">
        <v>40</v>
      </c>
      <c r="M577" s="7" t="s">
        <v>41</v>
      </c>
      <c r="N577" s="9" t="s">
        <v>75</v>
      </c>
      <c r="O577" s="7" t="s">
        <v>88</v>
      </c>
      <c r="P577" s="7" t="s">
        <v>20</v>
      </c>
      <c r="Q577" s="7"/>
      <c r="R577" s="7" t="str" cm="1">
        <f t="array" ref="R577">IF(AND(Q577="",P577&lt;&gt;""),N577,_xlfn.SWITCH(IF(Q577&lt;&gt;"",Q577,O577)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Centers",IF(Q577&lt;&gt;"",Q577,O577)))</f>
        <v>Kundenberater/in</v>
      </c>
      <c r="S577" s="7" t="str">
        <f>IF(N577&lt;&gt;R577,"x","")</f>
        <v>x</v>
      </c>
    </row>
    <row r="578" spans="1:19" hidden="1" x14ac:dyDescent="0.25">
      <c r="A578" s="7" t="s">
        <v>2197</v>
      </c>
      <c r="B578" s="7" t="s">
        <v>20</v>
      </c>
      <c r="C578" s="7" t="s">
        <v>2027</v>
      </c>
      <c r="D578" s="7" t="s">
        <v>2028</v>
      </c>
      <c r="E578" s="7" t="s">
        <v>20</v>
      </c>
      <c r="F578" s="7" t="s">
        <v>20</v>
      </c>
      <c r="G578" s="7" t="s">
        <v>2029</v>
      </c>
      <c r="H578" s="7" t="s">
        <v>20</v>
      </c>
      <c r="I578" s="8" t="s">
        <v>2198</v>
      </c>
      <c r="J578" s="7" t="s">
        <v>2199</v>
      </c>
      <c r="K578" s="7" t="s">
        <v>2200</v>
      </c>
      <c r="L578" s="7" t="s">
        <v>40</v>
      </c>
      <c r="M578" s="7" t="s">
        <v>41</v>
      </c>
      <c r="N578" s="9" t="s">
        <v>75</v>
      </c>
      <c r="O578" s="7" t="s">
        <v>88</v>
      </c>
      <c r="P578" s="7" t="s">
        <v>20</v>
      </c>
      <c r="Q578" s="7"/>
      <c r="R578" s="7" t="str" cm="1">
        <f t="array" ref="R578">IF(AND(Q578="",P578&lt;&gt;""),N578,_xlfn.SWITCH(IF(Q578&lt;&gt;"",Q578,O578)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Centers",IF(Q578&lt;&gt;"",Q578,O578)))</f>
        <v>Kundenberater/in</v>
      </c>
      <c r="S578" s="7" t="str">
        <f>IF(N578&lt;&gt;R578,"x","")</f>
        <v>x</v>
      </c>
    </row>
    <row r="579" spans="1:19" hidden="1" x14ac:dyDescent="0.25">
      <c r="A579" s="7" t="s">
        <v>2201</v>
      </c>
      <c r="B579" s="7" t="s">
        <v>20</v>
      </c>
      <c r="C579" s="7" t="s">
        <v>2027</v>
      </c>
      <c r="D579" s="7" t="s">
        <v>2028</v>
      </c>
      <c r="E579" s="7" t="s">
        <v>20</v>
      </c>
      <c r="F579" s="7" t="s">
        <v>20</v>
      </c>
      <c r="G579" s="7" t="s">
        <v>2029</v>
      </c>
      <c r="H579" s="7" t="s">
        <v>20</v>
      </c>
      <c r="I579" s="8" t="s">
        <v>2202</v>
      </c>
      <c r="J579" s="7" t="s">
        <v>2203</v>
      </c>
      <c r="K579" s="7" t="s">
        <v>2204</v>
      </c>
      <c r="L579" s="7" t="s">
        <v>40</v>
      </c>
      <c r="M579" s="7" t="s">
        <v>41</v>
      </c>
      <c r="N579" s="9" t="s">
        <v>75</v>
      </c>
      <c r="O579" s="7" t="s">
        <v>120</v>
      </c>
      <c r="P579" s="7" t="s">
        <v>20</v>
      </c>
      <c r="Q579" s="7"/>
      <c r="R579" s="7" t="str" cm="1">
        <f t="array" ref="R579">IF(AND(Q579="",P579&lt;&gt;""),N579,_xlfn.SWITCH(IF(Q579&lt;&gt;"",Q579,O579)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Centers",IF(Q579&lt;&gt;"",Q579,O579)))</f>
        <v>Kundenberater/in</v>
      </c>
      <c r="S579" s="7" t="str">
        <f>IF(N579&lt;&gt;R579,"x","")</f>
        <v>x</v>
      </c>
    </row>
    <row r="580" spans="1:19" hidden="1" x14ac:dyDescent="0.25">
      <c r="A580" s="7" t="s">
        <v>2205</v>
      </c>
      <c r="B580" s="7" t="s">
        <v>20</v>
      </c>
      <c r="C580" s="7" t="s">
        <v>2027</v>
      </c>
      <c r="D580" s="7" t="s">
        <v>2028</v>
      </c>
      <c r="E580" s="7" t="s">
        <v>20</v>
      </c>
      <c r="F580" s="7" t="s">
        <v>20</v>
      </c>
      <c r="G580" s="7" t="s">
        <v>2029</v>
      </c>
      <c r="H580" s="7" t="s">
        <v>20</v>
      </c>
      <c r="I580" s="8" t="s">
        <v>2206</v>
      </c>
      <c r="J580" s="7" t="s">
        <v>2036</v>
      </c>
      <c r="K580" s="7" t="s">
        <v>2207</v>
      </c>
      <c r="L580" s="7" t="s">
        <v>40</v>
      </c>
      <c r="M580" s="7" t="s">
        <v>41</v>
      </c>
      <c r="N580" s="9" t="s">
        <v>75</v>
      </c>
      <c r="O580" s="7" t="s">
        <v>88</v>
      </c>
      <c r="P580" s="7" t="s">
        <v>20</v>
      </c>
      <c r="Q580" s="7"/>
      <c r="R580" s="7" t="str" cm="1">
        <f t="array" ref="R580">IF(AND(Q580="",P580&lt;&gt;""),N580,_xlfn.SWITCH(IF(Q580&lt;&gt;"",Q580,O580)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Centers",IF(Q580&lt;&gt;"",Q580,O580)))</f>
        <v>Kundenberater/in</v>
      </c>
      <c r="S580" s="7" t="str">
        <f>IF(N580&lt;&gt;R580,"x","")</f>
        <v>x</v>
      </c>
    </row>
    <row r="581" spans="1:19" hidden="1" x14ac:dyDescent="0.25">
      <c r="A581" s="7" t="s">
        <v>2208</v>
      </c>
      <c r="B581" s="7" t="s">
        <v>20</v>
      </c>
      <c r="C581" s="7" t="s">
        <v>2027</v>
      </c>
      <c r="D581" s="7" t="s">
        <v>2028</v>
      </c>
      <c r="E581" s="7" t="s">
        <v>20</v>
      </c>
      <c r="F581" s="7" t="s">
        <v>20</v>
      </c>
      <c r="G581" s="7" t="s">
        <v>2029</v>
      </c>
      <c r="H581" s="7" t="s">
        <v>20</v>
      </c>
      <c r="I581" s="8" t="s">
        <v>2209</v>
      </c>
      <c r="J581" s="7" t="s">
        <v>2210</v>
      </c>
      <c r="K581" s="7" t="s">
        <v>2211</v>
      </c>
      <c r="L581" s="7" t="s">
        <v>40</v>
      </c>
      <c r="M581" s="7" t="s">
        <v>41</v>
      </c>
      <c r="N581" s="9" t="s">
        <v>75</v>
      </c>
      <c r="O581" s="7" t="s">
        <v>88</v>
      </c>
      <c r="P581" s="7" t="s">
        <v>20</v>
      </c>
      <c r="Q581" s="7"/>
      <c r="R581" s="7" t="str" cm="1">
        <f t="array" ref="R581">IF(AND(Q581="",P581&lt;&gt;""),N581,_xlfn.SWITCH(IF(Q581&lt;&gt;"",Q581,O581)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Centers",IF(Q581&lt;&gt;"",Q581,O581)))</f>
        <v>Kundenberater/in</v>
      </c>
      <c r="S581" s="7" t="str">
        <f>IF(N581&lt;&gt;R581,"x","")</f>
        <v>x</v>
      </c>
    </row>
    <row r="582" spans="1:19" hidden="1" x14ac:dyDescent="0.25">
      <c r="A582" s="7" t="s">
        <v>2212</v>
      </c>
      <c r="B582" s="7" t="s">
        <v>20</v>
      </c>
      <c r="C582" s="7" t="s">
        <v>2027</v>
      </c>
      <c r="D582" s="7" t="s">
        <v>2028</v>
      </c>
      <c r="E582" s="7" t="s">
        <v>20</v>
      </c>
      <c r="F582" s="7" t="s">
        <v>20</v>
      </c>
      <c r="G582" s="7" t="s">
        <v>2029</v>
      </c>
      <c r="H582" s="7" t="s">
        <v>20</v>
      </c>
      <c r="I582" s="8" t="s">
        <v>2213</v>
      </c>
      <c r="J582" s="7" t="s">
        <v>2214</v>
      </c>
      <c r="K582" s="7" t="s">
        <v>2215</v>
      </c>
      <c r="L582" s="7" t="s">
        <v>40</v>
      </c>
      <c r="M582" s="7" t="s">
        <v>41</v>
      </c>
      <c r="N582" s="9" t="s">
        <v>75</v>
      </c>
      <c r="O582" s="7" t="s">
        <v>88</v>
      </c>
      <c r="P582" s="7" t="s">
        <v>20</v>
      </c>
      <c r="Q582" s="7"/>
      <c r="R582" s="7" t="str" cm="1">
        <f t="array" ref="R582">IF(AND(Q582="",P582&lt;&gt;""),N582,_xlfn.SWITCH(IF(Q582&lt;&gt;"",Q582,O582)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Centers",IF(Q582&lt;&gt;"",Q582,O582)))</f>
        <v>Kundenberater/in</v>
      </c>
      <c r="S582" s="7" t="str">
        <f>IF(N582&lt;&gt;R582,"x","")</f>
        <v>x</v>
      </c>
    </row>
    <row r="583" spans="1:19" hidden="1" x14ac:dyDescent="0.25">
      <c r="A583" s="7" t="s">
        <v>2216</v>
      </c>
      <c r="B583" s="7" t="s">
        <v>20</v>
      </c>
      <c r="C583" s="7" t="s">
        <v>2027</v>
      </c>
      <c r="D583" s="7" t="s">
        <v>2028</v>
      </c>
      <c r="E583" s="7" t="s">
        <v>20</v>
      </c>
      <c r="F583" s="7" t="s">
        <v>20</v>
      </c>
      <c r="G583" s="7" t="s">
        <v>2029</v>
      </c>
      <c r="H583" s="7" t="s">
        <v>20</v>
      </c>
      <c r="I583" s="8" t="s">
        <v>2217</v>
      </c>
      <c r="J583" s="7" t="s">
        <v>2218</v>
      </c>
      <c r="K583" s="7" t="s">
        <v>2219</v>
      </c>
      <c r="L583" s="7" t="s">
        <v>40</v>
      </c>
      <c r="M583" s="7" t="s">
        <v>41</v>
      </c>
      <c r="N583" s="9" t="s">
        <v>75</v>
      </c>
      <c r="O583" s="7" t="s">
        <v>120</v>
      </c>
      <c r="P583" s="7" t="s">
        <v>20</v>
      </c>
      <c r="Q583" s="7"/>
      <c r="R583" s="7" t="str" cm="1">
        <f t="array" ref="R583">IF(AND(Q583="",P583&lt;&gt;""),N583,_xlfn.SWITCH(IF(Q583&lt;&gt;"",Q583,O583)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Centers",IF(Q583&lt;&gt;"",Q583,O583)))</f>
        <v>Kundenberater/in</v>
      </c>
      <c r="S583" s="7" t="str">
        <f>IF(N583&lt;&gt;R583,"x","")</f>
        <v>x</v>
      </c>
    </row>
    <row r="584" spans="1:19" hidden="1" x14ac:dyDescent="0.25">
      <c r="A584" s="7" t="s">
        <v>2220</v>
      </c>
      <c r="B584" s="7" t="s">
        <v>20</v>
      </c>
      <c r="C584" s="7" t="s">
        <v>2027</v>
      </c>
      <c r="D584" s="7" t="s">
        <v>2028</v>
      </c>
      <c r="E584" s="7" t="s">
        <v>20</v>
      </c>
      <c r="F584" s="7" t="s">
        <v>20</v>
      </c>
      <c r="G584" s="7" t="s">
        <v>2029</v>
      </c>
      <c r="H584" s="7" t="s">
        <v>20</v>
      </c>
      <c r="I584" s="8" t="s">
        <v>2221</v>
      </c>
      <c r="J584" s="7" t="s">
        <v>2222</v>
      </c>
      <c r="K584" s="7" t="s">
        <v>2223</v>
      </c>
      <c r="L584" s="7" t="s">
        <v>40</v>
      </c>
      <c r="M584" s="7" t="s">
        <v>41</v>
      </c>
      <c r="N584" s="9" t="s">
        <v>75</v>
      </c>
      <c r="O584" s="7" t="s">
        <v>88</v>
      </c>
      <c r="P584" s="7" t="s">
        <v>20</v>
      </c>
      <c r="Q584" s="7"/>
      <c r="R584" s="7" t="str" cm="1">
        <f t="array" ref="R584">IF(AND(Q584="",P584&lt;&gt;""),N584,_xlfn.SWITCH(IF(Q584&lt;&gt;"",Q584,O584)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Centers",IF(Q584&lt;&gt;"",Q584,O584)))</f>
        <v>Kundenberater/in</v>
      </c>
      <c r="S584" s="7" t="str">
        <f>IF(N584&lt;&gt;R584,"x","")</f>
        <v>x</v>
      </c>
    </row>
    <row r="585" spans="1:19" hidden="1" x14ac:dyDescent="0.25">
      <c r="A585" s="7" t="s">
        <v>2224</v>
      </c>
      <c r="B585" s="7" t="s">
        <v>20</v>
      </c>
      <c r="C585" s="7" t="s">
        <v>2027</v>
      </c>
      <c r="D585" s="7" t="s">
        <v>2028</v>
      </c>
      <c r="E585" s="7" t="s">
        <v>20</v>
      </c>
      <c r="F585" s="7" t="s">
        <v>20</v>
      </c>
      <c r="G585" s="7" t="s">
        <v>2029</v>
      </c>
      <c r="H585" s="7" t="s">
        <v>20</v>
      </c>
      <c r="I585" s="8" t="s">
        <v>2225</v>
      </c>
      <c r="J585" s="7" t="s">
        <v>2226</v>
      </c>
      <c r="K585" s="7" t="s">
        <v>2227</v>
      </c>
      <c r="L585" s="7" t="s">
        <v>40</v>
      </c>
      <c r="M585" s="7" t="s">
        <v>41</v>
      </c>
      <c r="N585" s="9" t="s">
        <v>75</v>
      </c>
      <c r="O585" s="7" t="s">
        <v>88</v>
      </c>
      <c r="P585" s="7" t="s">
        <v>20</v>
      </c>
      <c r="Q585" s="7"/>
      <c r="R585" s="7" t="str" cm="1">
        <f t="array" ref="R585">IF(AND(Q585="",P585&lt;&gt;""),N585,_xlfn.SWITCH(IF(Q585&lt;&gt;"",Q585,O585)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Centers",IF(Q585&lt;&gt;"",Q585,O585)))</f>
        <v>Kundenberater/in</v>
      </c>
      <c r="S585" s="7" t="str">
        <f>IF(N585&lt;&gt;R585,"x","")</f>
        <v>x</v>
      </c>
    </row>
    <row r="586" spans="1:19" hidden="1" x14ac:dyDescent="0.25">
      <c r="A586" s="7" t="s">
        <v>2228</v>
      </c>
      <c r="B586" s="7" t="s">
        <v>20</v>
      </c>
      <c r="C586" s="7" t="s">
        <v>2027</v>
      </c>
      <c r="D586" s="7" t="s">
        <v>2028</v>
      </c>
      <c r="E586" s="7" t="s">
        <v>20</v>
      </c>
      <c r="F586" s="7" t="s">
        <v>20</v>
      </c>
      <c r="G586" s="7" t="s">
        <v>2029</v>
      </c>
      <c r="H586" s="7" t="s">
        <v>20</v>
      </c>
      <c r="I586" s="8" t="s">
        <v>2229</v>
      </c>
      <c r="J586" s="7" t="s">
        <v>2230</v>
      </c>
      <c r="K586" s="7" t="s">
        <v>2231</v>
      </c>
      <c r="L586" s="7" t="s">
        <v>40</v>
      </c>
      <c r="M586" s="7" t="s">
        <v>41</v>
      </c>
      <c r="N586" s="9" t="s">
        <v>75</v>
      </c>
      <c r="O586" s="7" t="s">
        <v>88</v>
      </c>
      <c r="P586" s="7" t="s">
        <v>20</v>
      </c>
      <c r="Q586" s="7"/>
      <c r="R586" s="7" t="str" cm="1">
        <f t="array" ref="R586">IF(AND(Q586="",P586&lt;&gt;""),N586,_xlfn.SWITCH(IF(Q586&lt;&gt;"",Q586,O586)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Centers",IF(Q586&lt;&gt;"",Q586,O586)))</f>
        <v>Kundenberater/in</v>
      </c>
      <c r="S586" s="7" t="str">
        <f>IF(N586&lt;&gt;R586,"x","")</f>
        <v>x</v>
      </c>
    </row>
    <row r="587" spans="1:19" hidden="1" x14ac:dyDescent="0.25">
      <c r="A587" s="7" t="s">
        <v>2232</v>
      </c>
      <c r="B587" s="7" t="s">
        <v>20</v>
      </c>
      <c r="C587" s="7" t="s">
        <v>2027</v>
      </c>
      <c r="D587" s="7" t="s">
        <v>2028</v>
      </c>
      <c r="E587" s="7" t="s">
        <v>20</v>
      </c>
      <c r="F587" s="7" t="s">
        <v>20</v>
      </c>
      <c r="G587" s="7" t="s">
        <v>2029</v>
      </c>
      <c r="H587" s="7" t="s">
        <v>20</v>
      </c>
      <c r="I587" s="8" t="s">
        <v>2233</v>
      </c>
      <c r="J587" s="7" t="s">
        <v>2234</v>
      </c>
      <c r="K587" s="7" t="s">
        <v>2235</v>
      </c>
      <c r="L587" s="7" t="s">
        <v>40</v>
      </c>
      <c r="M587" s="7" t="s">
        <v>41</v>
      </c>
      <c r="N587" s="9" t="s">
        <v>75</v>
      </c>
      <c r="O587" s="7" t="s">
        <v>88</v>
      </c>
      <c r="P587" s="7" t="s">
        <v>20</v>
      </c>
      <c r="Q587" s="7"/>
      <c r="R587" s="7" t="str" cm="1">
        <f t="array" ref="R587">IF(AND(Q587="",P587&lt;&gt;""),N587,_xlfn.SWITCH(IF(Q587&lt;&gt;"",Q587,O587)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Centers",IF(Q587&lt;&gt;"",Q587,O587)))</f>
        <v>Kundenberater/in</v>
      </c>
      <c r="S587" s="7" t="str">
        <f>IF(N587&lt;&gt;R587,"x","")</f>
        <v>x</v>
      </c>
    </row>
    <row r="588" spans="1:19" hidden="1" x14ac:dyDescent="0.25">
      <c r="A588" s="7" t="s">
        <v>2236</v>
      </c>
      <c r="B588" s="7" t="s">
        <v>20</v>
      </c>
      <c r="C588" s="7" t="s">
        <v>2027</v>
      </c>
      <c r="D588" s="7" t="s">
        <v>2028</v>
      </c>
      <c r="E588" s="7" t="s">
        <v>20</v>
      </c>
      <c r="F588" s="7" t="s">
        <v>20</v>
      </c>
      <c r="G588" s="7" t="s">
        <v>2029</v>
      </c>
      <c r="H588" s="7" t="s">
        <v>20</v>
      </c>
      <c r="I588" s="8" t="s">
        <v>2237</v>
      </c>
      <c r="J588" s="7" t="s">
        <v>2238</v>
      </c>
      <c r="K588" s="7" t="s">
        <v>2239</v>
      </c>
      <c r="L588" s="7" t="s">
        <v>40</v>
      </c>
      <c r="M588" s="7" t="s">
        <v>41</v>
      </c>
      <c r="N588" s="9" t="s">
        <v>75</v>
      </c>
      <c r="O588" s="7" t="s">
        <v>120</v>
      </c>
      <c r="P588" s="7" t="s">
        <v>20</v>
      </c>
      <c r="Q588" s="7"/>
      <c r="R588" s="7" t="str" cm="1">
        <f t="array" ref="R588">IF(AND(Q588="",P588&lt;&gt;""),N588,_xlfn.SWITCH(IF(Q588&lt;&gt;"",Q588,O588)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Centers",IF(Q588&lt;&gt;"",Q588,O588)))</f>
        <v>Kundenberater/in</v>
      </c>
      <c r="S588" s="7" t="str">
        <f>IF(N588&lt;&gt;R588,"x","")</f>
        <v>x</v>
      </c>
    </row>
    <row r="589" spans="1:19" hidden="1" x14ac:dyDescent="0.25">
      <c r="A589" s="7" t="s">
        <v>2240</v>
      </c>
      <c r="B589" s="7" t="s">
        <v>20</v>
      </c>
      <c r="C589" s="7" t="s">
        <v>2027</v>
      </c>
      <c r="D589" s="7" t="s">
        <v>2028</v>
      </c>
      <c r="E589" s="7" t="s">
        <v>20</v>
      </c>
      <c r="F589" s="7" t="s">
        <v>20</v>
      </c>
      <c r="G589" s="7" t="s">
        <v>2029</v>
      </c>
      <c r="H589" s="7" t="s">
        <v>20</v>
      </c>
      <c r="I589" s="8" t="s">
        <v>458</v>
      </c>
      <c r="J589" s="7" t="s">
        <v>2241</v>
      </c>
      <c r="K589" s="7" t="s">
        <v>2242</v>
      </c>
      <c r="L589" s="7" t="s">
        <v>40</v>
      </c>
      <c r="M589" s="7" t="s">
        <v>41</v>
      </c>
      <c r="N589" s="9" t="s">
        <v>75</v>
      </c>
      <c r="O589" s="7" t="s">
        <v>120</v>
      </c>
      <c r="P589" s="7" t="s">
        <v>20</v>
      </c>
      <c r="Q589" s="7"/>
      <c r="R589" s="7" t="str" cm="1">
        <f t="array" ref="R589">IF(AND(Q589="",P589&lt;&gt;""),N589,_xlfn.SWITCH(IF(Q589&lt;&gt;"",Q589,O589)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Centers",IF(Q589&lt;&gt;"",Q589,O589)))</f>
        <v>Kundenberater/in</v>
      </c>
      <c r="S589" s="7" t="str">
        <f>IF(N589&lt;&gt;R589,"x","")</f>
        <v>x</v>
      </c>
    </row>
    <row r="590" spans="1:19" hidden="1" x14ac:dyDescent="0.25">
      <c r="A590" s="7" t="s">
        <v>2243</v>
      </c>
      <c r="B590" s="7" t="s">
        <v>20</v>
      </c>
      <c r="C590" s="7" t="s">
        <v>2027</v>
      </c>
      <c r="D590" s="7" t="s">
        <v>2028</v>
      </c>
      <c r="E590" s="7" t="s">
        <v>20</v>
      </c>
      <c r="F590" s="7" t="s">
        <v>20</v>
      </c>
      <c r="G590" s="7" t="s">
        <v>2029</v>
      </c>
      <c r="H590" s="7" t="s">
        <v>20</v>
      </c>
      <c r="I590" s="8" t="s">
        <v>2244</v>
      </c>
      <c r="J590" s="7" t="s">
        <v>2245</v>
      </c>
      <c r="K590" s="7" t="s">
        <v>63</v>
      </c>
      <c r="L590" s="7" t="s">
        <v>40</v>
      </c>
      <c r="M590" s="7" t="s">
        <v>41</v>
      </c>
      <c r="N590" s="9" t="s">
        <v>111</v>
      </c>
      <c r="O590" s="7" t="s">
        <v>43</v>
      </c>
      <c r="P590" s="7" t="s">
        <v>49</v>
      </c>
      <c r="Q590" s="7"/>
      <c r="R590" s="7" t="str" cm="1">
        <f t="array" ref="R590">IF(AND(Q590="",P590&lt;&gt;""),N590,_xlfn.SWITCH(IF(Q590&lt;&gt;"",Q590,O590)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Centers",IF(Q590&lt;&gt;"",Q590,O590)))</f>
        <v>Hauptagent/in</v>
      </c>
      <c r="S590" s="7" t="str">
        <f>IF(N590&lt;&gt;R590,"x","")</f>
        <v/>
      </c>
    </row>
    <row r="591" spans="1:19" hidden="1" x14ac:dyDescent="0.25">
      <c r="A591" s="7" t="s">
        <v>2246</v>
      </c>
      <c r="B591" s="7" t="s">
        <v>20</v>
      </c>
      <c r="C591" s="7" t="s">
        <v>2027</v>
      </c>
      <c r="D591" s="7" t="s">
        <v>2028</v>
      </c>
      <c r="E591" s="7" t="s">
        <v>20</v>
      </c>
      <c r="F591" s="7" t="s">
        <v>20</v>
      </c>
      <c r="G591" s="7" t="s">
        <v>2029</v>
      </c>
      <c r="H591" s="7" t="s">
        <v>20</v>
      </c>
      <c r="I591" s="8" t="s">
        <v>2247</v>
      </c>
      <c r="J591" s="7" t="s">
        <v>679</v>
      </c>
      <c r="K591" s="7" t="s">
        <v>2248</v>
      </c>
      <c r="L591" s="7" t="s">
        <v>124</v>
      </c>
      <c r="M591" s="7" t="s">
        <v>125</v>
      </c>
      <c r="N591" s="9" t="s">
        <v>111</v>
      </c>
      <c r="O591" s="7" t="s">
        <v>67</v>
      </c>
      <c r="P591" s="7" t="s">
        <v>20</v>
      </c>
      <c r="Q591" s="7"/>
      <c r="R591" s="7" t="str" cm="1">
        <f t="array" ref="R591">IF(AND(Q591="",P591&lt;&gt;""),N591,_xlfn.SWITCH(IF(Q591&lt;&gt;"",Q591,O591)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Centers",IF(Q591&lt;&gt;"",Q591,O591)))</f>
        <v>Leiter/in des Service Centers</v>
      </c>
      <c r="S591" s="7" t="str">
        <f>IF(N591&lt;&gt;R591,"x","")</f>
        <v>x</v>
      </c>
    </row>
    <row r="592" spans="1:19" hidden="1" x14ac:dyDescent="0.25">
      <c r="A592" s="7" t="s">
        <v>2249</v>
      </c>
      <c r="B592" s="7" t="s">
        <v>20</v>
      </c>
      <c r="C592" s="7" t="s">
        <v>2027</v>
      </c>
      <c r="D592" s="7" t="s">
        <v>2028</v>
      </c>
      <c r="E592" s="7" t="s">
        <v>20</v>
      </c>
      <c r="F592" s="7" t="s">
        <v>20</v>
      </c>
      <c r="G592" s="7" t="s">
        <v>2029</v>
      </c>
      <c r="H592" s="7" t="s">
        <v>20</v>
      </c>
      <c r="I592" s="8" t="s">
        <v>927</v>
      </c>
      <c r="J592" s="7" t="s">
        <v>2250</v>
      </c>
      <c r="K592" s="7" t="s">
        <v>2251</v>
      </c>
      <c r="L592" s="7" t="s">
        <v>27</v>
      </c>
      <c r="M592" s="7" t="s">
        <v>28</v>
      </c>
      <c r="N592" s="9" t="s">
        <v>66</v>
      </c>
      <c r="O592" s="7" t="s">
        <v>54</v>
      </c>
      <c r="P592" s="7" t="s">
        <v>20</v>
      </c>
      <c r="Q592" s="7"/>
      <c r="R592" s="7" t="str" cm="1">
        <f t="array" ref="R592">IF(AND(Q592="",P592&lt;&gt;""),N592,_xlfn.SWITCH(IF(Q592&lt;&gt;"",Q592,O592)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Centers",IF(Q592&lt;&gt;"",Q592,O592)))</f>
        <v>Agenturleiter/in</v>
      </c>
      <c r="S592" s="7" t="str">
        <f>IF(N592&lt;&gt;R592,"x","")</f>
        <v>x</v>
      </c>
    </row>
    <row r="593" spans="1:19" hidden="1" x14ac:dyDescent="0.25">
      <c r="A593" s="7" t="s">
        <v>2252</v>
      </c>
      <c r="B593" s="7" t="s">
        <v>20</v>
      </c>
      <c r="C593" s="7" t="s">
        <v>2027</v>
      </c>
      <c r="D593" s="7" t="s">
        <v>2028</v>
      </c>
      <c r="E593" s="7" t="s">
        <v>20</v>
      </c>
      <c r="F593" s="7" t="s">
        <v>20</v>
      </c>
      <c r="G593" s="7" t="s">
        <v>2029</v>
      </c>
      <c r="H593" s="7" t="s">
        <v>20</v>
      </c>
      <c r="I593" s="8" t="s">
        <v>2253</v>
      </c>
      <c r="J593" s="7" t="s">
        <v>2254</v>
      </c>
      <c r="K593" s="7" t="s">
        <v>2255</v>
      </c>
      <c r="L593" s="7" t="s">
        <v>40</v>
      </c>
      <c r="M593" s="7" t="s">
        <v>41</v>
      </c>
      <c r="N593" s="9" t="s">
        <v>75</v>
      </c>
      <c r="O593" s="7" t="s">
        <v>88</v>
      </c>
      <c r="P593" s="7" t="s">
        <v>20</v>
      </c>
      <c r="Q593" s="7"/>
      <c r="R593" s="7" t="str" cm="1">
        <f t="array" ref="R593">IF(AND(Q593="",P593&lt;&gt;""),N593,_xlfn.SWITCH(IF(Q593&lt;&gt;"",Q593,O593)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Centers",IF(Q593&lt;&gt;"",Q593,O593)))</f>
        <v>Kundenberater/in</v>
      </c>
      <c r="S593" s="7" t="str">
        <f>IF(N593&lt;&gt;R593,"x","")</f>
        <v>x</v>
      </c>
    </row>
    <row r="594" spans="1:19" x14ac:dyDescent="0.25">
      <c r="A594" s="7" t="s">
        <v>2256</v>
      </c>
      <c r="B594" s="7" t="s">
        <v>20</v>
      </c>
      <c r="C594" s="7" t="s">
        <v>2027</v>
      </c>
      <c r="D594" s="7" t="s">
        <v>2028</v>
      </c>
      <c r="E594" s="7" t="s">
        <v>20</v>
      </c>
      <c r="F594" s="7" t="s">
        <v>20</v>
      </c>
      <c r="G594" s="7" t="s">
        <v>2029</v>
      </c>
      <c r="H594" s="7" t="s">
        <v>20</v>
      </c>
      <c r="I594" s="8" t="s">
        <v>2257</v>
      </c>
      <c r="J594" s="7" t="s">
        <v>2258</v>
      </c>
      <c r="K594" s="7" t="s">
        <v>63</v>
      </c>
      <c r="L594" s="7" t="s">
        <v>97</v>
      </c>
      <c r="M594" s="7" t="s">
        <v>98</v>
      </c>
      <c r="N594" s="9" t="s">
        <v>93</v>
      </c>
      <c r="O594" s="7" t="s">
        <v>251</v>
      </c>
      <c r="P594" s="7" t="s">
        <v>49</v>
      </c>
      <c r="Q594" s="7"/>
      <c r="R594" s="7" t="str" cm="1">
        <f t="array" ref="R594">IF(AND(Q594="",P594&lt;&gt;""),N594,_xlfn.SWITCH(IF(Q594&lt;&gt;"",Q594,O594)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Centers",IF(Q594&lt;&gt;"",Q594,O594)))</f>
        <v>Leiter/in einer Hauptgeschäftsstelle</v>
      </c>
      <c r="S594" s="7" t="str">
        <f>IF(N594&lt;&gt;R594,"x","")</f>
        <v/>
      </c>
    </row>
    <row r="595" spans="1:19" hidden="1" x14ac:dyDescent="0.25">
      <c r="A595" s="7" t="s">
        <v>2259</v>
      </c>
      <c r="B595" s="7" t="s">
        <v>20</v>
      </c>
      <c r="C595" s="7" t="s">
        <v>2027</v>
      </c>
      <c r="D595" s="7" t="s">
        <v>2028</v>
      </c>
      <c r="E595" s="7" t="s">
        <v>20</v>
      </c>
      <c r="F595" s="7" t="s">
        <v>20</v>
      </c>
      <c r="G595" s="7" t="s">
        <v>2029</v>
      </c>
      <c r="H595" s="7" t="s">
        <v>20</v>
      </c>
      <c r="I595" s="8" t="s">
        <v>104</v>
      </c>
      <c r="J595" s="7" t="s">
        <v>2260</v>
      </c>
      <c r="K595" s="7" t="s">
        <v>2261</v>
      </c>
      <c r="L595" s="7" t="s">
        <v>40</v>
      </c>
      <c r="M595" s="7" t="s">
        <v>41</v>
      </c>
      <c r="N595" s="9" t="s">
        <v>66</v>
      </c>
      <c r="O595" s="7" t="s">
        <v>48</v>
      </c>
      <c r="P595" s="7" t="s">
        <v>20</v>
      </c>
      <c r="Q595" s="7"/>
      <c r="R595" s="7" t="str" cm="1">
        <f t="array" ref="R595">IF(AND(Q595="",P595&lt;&gt;""),N595,_xlfn.SWITCH(IF(Q595&lt;&gt;"",Q595,O595)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Centers",IF(Q595&lt;&gt;"",Q595,O595)))</f>
        <v>Repräsentant/in</v>
      </c>
      <c r="S595" s="7" t="str">
        <f>IF(N595&lt;&gt;R595,"x","")</f>
        <v/>
      </c>
    </row>
    <row r="596" spans="1:19" hidden="1" x14ac:dyDescent="0.25">
      <c r="A596" s="7" t="s">
        <v>2262</v>
      </c>
      <c r="B596" s="7" t="s">
        <v>20</v>
      </c>
      <c r="C596" s="7" t="s">
        <v>2027</v>
      </c>
      <c r="D596" s="7" t="s">
        <v>2028</v>
      </c>
      <c r="E596" s="7" t="s">
        <v>20</v>
      </c>
      <c r="F596" s="7" t="s">
        <v>20</v>
      </c>
      <c r="G596" s="7" t="s">
        <v>2029</v>
      </c>
      <c r="H596" s="7" t="s">
        <v>20</v>
      </c>
      <c r="I596" s="8" t="s">
        <v>2263</v>
      </c>
      <c r="J596" s="7" t="s">
        <v>2264</v>
      </c>
      <c r="K596" s="7" t="s">
        <v>2265</v>
      </c>
      <c r="L596" s="7" t="s">
        <v>40</v>
      </c>
      <c r="M596" s="7" t="s">
        <v>41</v>
      </c>
      <c r="N596" s="9" t="s">
        <v>75</v>
      </c>
      <c r="O596" s="7" t="s">
        <v>88</v>
      </c>
      <c r="P596" s="7" t="s">
        <v>20</v>
      </c>
      <c r="Q596" s="7"/>
      <c r="R596" s="7" t="str" cm="1">
        <f t="array" ref="R596">IF(AND(Q596="",P596&lt;&gt;""),N596,_xlfn.SWITCH(IF(Q596&lt;&gt;"",Q596,O596)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Centers",IF(Q596&lt;&gt;"",Q596,O596)))</f>
        <v>Kundenberater/in</v>
      </c>
      <c r="S596" s="7" t="str">
        <f>IF(N596&lt;&gt;R596,"x","")</f>
        <v>x</v>
      </c>
    </row>
    <row r="597" spans="1:19" x14ac:dyDescent="0.25">
      <c r="A597" s="7" t="s">
        <v>2266</v>
      </c>
      <c r="B597" s="7" t="s">
        <v>20</v>
      </c>
      <c r="C597" s="7" t="s">
        <v>2027</v>
      </c>
      <c r="D597" s="7" t="s">
        <v>2028</v>
      </c>
      <c r="E597" s="7" t="s">
        <v>20</v>
      </c>
      <c r="F597" s="7" t="s">
        <v>20</v>
      </c>
      <c r="G597" s="7" t="s">
        <v>2029</v>
      </c>
      <c r="H597" s="7" t="s">
        <v>20</v>
      </c>
      <c r="I597" s="8" t="s">
        <v>935</v>
      </c>
      <c r="J597" s="7" t="s">
        <v>2267</v>
      </c>
      <c r="K597" s="7" t="s">
        <v>63</v>
      </c>
      <c r="L597" s="7" t="s">
        <v>228</v>
      </c>
      <c r="M597" s="7" t="s">
        <v>229</v>
      </c>
      <c r="N597" s="9" t="s">
        <v>93</v>
      </c>
      <c r="O597" s="7" t="s">
        <v>54</v>
      </c>
      <c r="P597" s="7" t="s">
        <v>49</v>
      </c>
      <c r="Q597" s="7"/>
      <c r="R597" s="7" t="str" cm="1">
        <f t="array" ref="R597">IF(AND(Q597="",P597&lt;&gt;""),N597,_xlfn.SWITCH(IF(Q597&lt;&gt;"",Q597,O597)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Centers",IF(Q597&lt;&gt;"",Q597,O597)))</f>
        <v>Leiter/in einer Hauptgeschäftsstelle</v>
      </c>
      <c r="S597" s="7" t="str">
        <f>IF(N597&lt;&gt;R597,"x","")</f>
        <v/>
      </c>
    </row>
    <row r="598" spans="1:19" hidden="1" x14ac:dyDescent="0.25">
      <c r="A598" s="7" t="s">
        <v>2268</v>
      </c>
      <c r="B598" s="7" t="s">
        <v>20</v>
      </c>
      <c r="C598" s="7" t="s">
        <v>2027</v>
      </c>
      <c r="D598" s="7" t="s">
        <v>2028</v>
      </c>
      <c r="E598" s="7" t="s">
        <v>20</v>
      </c>
      <c r="F598" s="7" t="s">
        <v>20</v>
      </c>
      <c r="G598" s="7" t="s">
        <v>2029</v>
      </c>
      <c r="H598" s="7" t="s">
        <v>20</v>
      </c>
      <c r="I598" s="8" t="s">
        <v>987</v>
      </c>
      <c r="J598" s="7" t="s">
        <v>1654</v>
      </c>
      <c r="K598" s="7" t="s">
        <v>63</v>
      </c>
      <c r="L598" s="7" t="s">
        <v>64</v>
      </c>
      <c r="M598" s="7" t="s">
        <v>65</v>
      </c>
      <c r="N598" s="9" t="s">
        <v>126</v>
      </c>
      <c r="O598" s="7" t="s">
        <v>67</v>
      </c>
      <c r="P598" s="7" t="s">
        <v>20</v>
      </c>
      <c r="Q598" s="9" t="s">
        <v>126</v>
      </c>
      <c r="R598" s="7" t="str" cm="1">
        <f t="array" ref="R598">IF(AND(Q598="",P598&lt;&gt;""),N598,_xlfn.SWITCH(IF(Q598&lt;&gt;"",Q598,O598)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Centers",IF(Q598&lt;&gt;"",Q598,O598)))</f>
        <v>Leiter einer Hauptgeschäftsstelle</v>
      </c>
      <c r="S598" s="7" t="str">
        <f>IF(N598&lt;&gt;R598,"x","")</f>
        <v/>
      </c>
    </row>
    <row r="599" spans="1:19" hidden="1" x14ac:dyDescent="0.25">
      <c r="A599" s="7" t="s">
        <v>2269</v>
      </c>
      <c r="B599" s="7" t="s">
        <v>20</v>
      </c>
      <c r="C599" s="7" t="s">
        <v>2027</v>
      </c>
      <c r="D599" s="7" t="s">
        <v>2028</v>
      </c>
      <c r="E599" s="7" t="s">
        <v>20</v>
      </c>
      <c r="F599" s="7" t="s">
        <v>20</v>
      </c>
      <c r="G599" s="7" t="s">
        <v>2029</v>
      </c>
      <c r="H599" s="7" t="s">
        <v>20</v>
      </c>
      <c r="I599" s="8" t="s">
        <v>2270</v>
      </c>
      <c r="J599" s="7" t="s">
        <v>2270</v>
      </c>
      <c r="K599" s="7" t="s">
        <v>63</v>
      </c>
      <c r="L599" s="7" t="s">
        <v>228</v>
      </c>
      <c r="M599" s="7" t="s">
        <v>229</v>
      </c>
      <c r="N599" s="9" t="s">
        <v>59</v>
      </c>
      <c r="O599" s="7" t="s">
        <v>238</v>
      </c>
      <c r="P599" s="7" t="s">
        <v>49</v>
      </c>
      <c r="Q599" s="7"/>
      <c r="R599" s="7" t="str" cm="1">
        <f t="array" ref="R599">IF(AND(Q599="",P599&lt;&gt;""),N599,_xlfn.SWITCH(IF(Q599&lt;&gt;"",Q599,O599)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Centers",IF(Q599&lt;&gt;"",Q599,O599)))</f>
        <v>Leiter/in des Service Centers</v>
      </c>
      <c r="S599" s="7" t="str">
        <f>IF(N599&lt;&gt;R599,"x","")</f>
        <v/>
      </c>
    </row>
    <row r="600" spans="1:19" hidden="1" x14ac:dyDescent="0.25">
      <c r="A600" s="7" t="s">
        <v>2271</v>
      </c>
      <c r="B600" s="7" t="s">
        <v>20</v>
      </c>
      <c r="C600" s="7" t="s">
        <v>2027</v>
      </c>
      <c r="D600" s="7" t="s">
        <v>2028</v>
      </c>
      <c r="E600" s="7" t="s">
        <v>20</v>
      </c>
      <c r="F600" s="7" t="s">
        <v>20</v>
      </c>
      <c r="G600" s="7" t="s">
        <v>2029</v>
      </c>
      <c r="H600" s="7" t="s">
        <v>20</v>
      </c>
      <c r="I600" s="8" t="s">
        <v>2272</v>
      </c>
      <c r="J600" s="7" t="s">
        <v>2273</v>
      </c>
      <c r="K600" s="7" t="s">
        <v>2274</v>
      </c>
      <c r="L600" s="7" t="s">
        <v>40</v>
      </c>
      <c r="M600" s="7" t="s">
        <v>41</v>
      </c>
      <c r="N600" s="9" t="s">
        <v>66</v>
      </c>
      <c r="O600" s="7" t="s">
        <v>43</v>
      </c>
      <c r="P600" s="7" t="s">
        <v>20</v>
      </c>
      <c r="Q600" s="7"/>
      <c r="R600" s="7" t="str" cm="1">
        <f t="array" ref="R600">IF(AND(Q600="",P600&lt;&gt;""),N600,_xlfn.SWITCH(IF(Q600&lt;&gt;"",Q600,O600)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Centers",IF(Q600&lt;&gt;"",Q600,O600)))</f>
        <v>Repräsentant/in</v>
      </c>
      <c r="S600" s="7" t="str">
        <f>IF(N600&lt;&gt;R600,"x","")</f>
        <v/>
      </c>
    </row>
    <row r="601" spans="1:19" hidden="1" x14ac:dyDescent="0.25">
      <c r="A601" s="7" t="s">
        <v>2275</v>
      </c>
      <c r="B601" s="7" t="s">
        <v>20</v>
      </c>
      <c r="C601" s="7" t="s">
        <v>2027</v>
      </c>
      <c r="D601" s="7" t="s">
        <v>2028</v>
      </c>
      <c r="E601" s="7" t="s">
        <v>20</v>
      </c>
      <c r="F601" s="7" t="s">
        <v>20</v>
      </c>
      <c r="G601" s="7" t="s">
        <v>2029</v>
      </c>
      <c r="H601" s="7" t="s">
        <v>20</v>
      </c>
      <c r="I601" s="8" t="s">
        <v>2276</v>
      </c>
      <c r="J601" s="7" t="s">
        <v>2277</v>
      </c>
      <c r="K601" s="7" t="s">
        <v>2278</v>
      </c>
      <c r="L601" s="7" t="s">
        <v>40</v>
      </c>
      <c r="M601" s="7" t="s">
        <v>41</v>
      </c>
      <c r="N601" s="9" t="s">
        <v>66</v>
      </c>
      <c r="O601" s="7" t="s">
        <v>43</v>
      </c>
      <c r="P601" s="7" t="s">
        <v>20</v>
      </c>
      <c r="Q601" s="7"/>
      <c r="R601" s="7" t="str" cm="1">
        <f t="array" ref="R601">IF(AND(Q601="",P601&lt;&gt;""),N601,_xlfn.SWITCH(IF(Q601&lt;&gt;"",Q601,O601)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Centers",IF(Q601&lt;&gt;"",Q601,O601)))</f>
        <v>Repräsentant/in</v>
      </c>
      <c r="S601" s="7" t="str">
        <f>IF(N601&lt;&gt;R601,"x","")</f>
        <v/>
      </c>
    </row>
    <row r="602" spans="1:19" hidden="1" x14ac:dyDescent="0.25">
      <c r="A602" s="7" t="s">
        <v>2279</v>
      </c>
      <c r="B602" s="7" t="s">
        <v>20</v>
      </c>
      <c r="C602" s="7" t="s">
        <v>2027</v>
      </c>
      <c r="D602" s="7" t="s">
        <v>2028</v>
      </c>
      <c r="E602" s="7" t="s">
        <v>20</v>
      </c>
      <c r="F602" s="7" t="s">
        <v>20</v>
      </c>
      <c r="G602" s="7" t="s">
        <v>2029</v>
      </c>
      <c r="H602" s="7" t="s">
        <v>20</v>
      </c>
      <c r="I602" s="8" t="s">
        <v>2280</v>
      </c>
      <c r="J602" s="7" t="s">
        <v>2281</v>
      </c>
      <c r="K602" s="7" t="s">
        <v>63</v>
      </c>
      <c r="L602" s="7" t="s">
        <v>97</v>
      </c>
      <c r="M602" s="7" t="s">
        <v>98</v>
      </c>
      <c r="N602" s="9" t="s">
        <v>35</v>
      </c>
      <c r="O602" s="7" t="s">
        <v>99</v>
      </c>
      <c r="P602" s="7" t="s">
        <v>49</v>
      </c>
      <c r="Q602" s="7"/>
      <c r="R602" s="7" t="str" cm="1">
        <f t="array" ref="R602">IF(AND(Q602="",P602&lt;&gt;""),N602,_xlfn.SWITCH(IF(Q602&lt;&gt;"",Q602,O602)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Centers",IF(Q602&lt;&gt;"",Q602,O602)))</f>
        <v>Leiter/in einer Geschäftsstelle</v>
      </c>
      <c r="S602" s="7" t="str">
        <f>IF(N602&lt;&gt;R602,"x","")</f>
        <v/>
      </c>
    </row>
    <row r="603" spans="1:19" hidden="1" x14ac:dyDescent="0.25">
      <c r="A603" s="7" t="s">
        <v>2282</v>
      </c>
      <c r="B603" s="7" t="s">
        <v>20</v>
      </c>
      <c r="C603" s="7" t="s">
        <v>2027</v>
      </c>
      <c r="D603" s="7" t="s">
        <v>2028</v>
      </c>
      <c r="E603" s="7" t="s">
        <v>20</v>
      </c>
      <c r="F603" s="7" t="s">
        <v>20</v>
      </c>
      <c r="G603" s="7" t="s">
        <v>2029</v>
      </c>
      <c r="H603" s="7" t="s">
        <v>20</v>
      </c>
      <c r="I603" s="8" t="s">
        <v>1505</v>
      </c>
      <c r="J603" s="7" t="s">
        <v>2283</v>
      </c>
      <c r="K603" s="7" t="s">
        <v>63</v>
      </c>
      <c r="L603" s="7" t="s">
        <v>27</v>
      </c>
      <c r="M603" s="7" t="s">
        <v>28</v>
      </c>
      <c r="N603" s="9" t="s">
        <v>59</v>
      </c>
      <c r="O603" s="7" t="s">
        <v>30</v>
      </c>
      <c r="P603" s="7" t="s">
        <v>49</v>
      </c>
      <c r="Q603" s="7"/>
      <c r="R603" s="7" t="str" cm="1">
        <f t="array" ref="R603">IF(AND(Q603="",P603&lt;&gt;""),N603,_xlfn.SWITCH(IF(Q603&lt;&gt;"",Q603,O603)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Centers",IF(Q603&lt;&gt;"",Q603,O603)))</f>
        <v>Leiter/in des Service Centers</v>
      </c>
      <c r="S603" s="7" t="str">
        <f>IF(N603&lt;&gt;R603,"x","")</f>
        <v/>
      </c>
    </row>
    <row r="604" spans="1:19" hidden="1" x14ac:dyDescent="0.25">
      <c r="A604" s="7" t="s">
        <v>2284</v>
      </c>
      <c r="B604" s="7" t="s">
        <v>20</v>
      </c>
      <c r="C604" s="7" t="s">
        <v>2027</v>
      </c>
      <c r="D604" s="7" t="s">
        <v>2028</v>
      </c>
      <c r="E604" s="7" t="s">
        <v>20</v>
      </c>
      <c r="F604" s="7" t="s">
        <v>20</v>
      </c>
      <c r="G604" s="7" t="s">
        <v>2029</v>
      </c>
      <c r="H604" s="7" t="s">
        <v>20</v>
      </c>
      <c r="I604" s="8" t="s">
        <v>686</v>
      </c>
      <c r="J604" s="7" t="s">
        <v>2285</v>
      </c>
      <c r="K604" s="7" t="s">
        <v>2286</v>
      </c>
      <c r="L604" s="7" t="s">
        <v>64</v>
      </c>
      <c r="M604" s="7" t="s">
        <v>65</v>
      </c>
      <c r="N604" s="9" t="s">
        <v>334</v>
      </c>
      <c r="O604" s="7" t="s">
        <v>510</v>
      </c>
      <c r="P604" s="7" t="s">
        <v>20</v>
      </c>
      <c r="Q604" s="7"/>
      <c r="R604" s="7" t="str" cm="1">
        <f t="array" ref="R604">IF(AND(Q604="",P604&lt;&gt;""),N604,_xlfn.SWITCH(IF(Q604&lt;&gt;"",Q604,O604)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Centers",IF(Q604&lt;&gt;"",Q604,O604)))</f>
        <v>Leiter/in des Service Centers</v>
      </c>
      <c r="S604" s="7" t="str">
        <f>IF(N604&lt;&gt;R604,"x","")</f>
        <v>x</v>
      </c>
    </row>
    <row r="605" spans="1:19" hidden="1" x14ac:dyDescent="0.25">
      <c r="A605" s="7" t="s">
        <v>2287</v>
      </c>
      <c r="B605" s="7" t="s">
        <v>20</v>
      </c>
      <c r="C605" s="7" t="s">
        <v>2288</v>
      </c>
      <c r="D605" s="7" t="s">
        <v>2289</v>
      </c>
      <c r="E605" s="7" t="s">
        <v>20</v>
      </c>
      <c r="F605" s="7" t="s">
        <v>20</v>
      </c>
      <c r="G605" s="7" t="s">
        <v>1832</v>
      </c>
      <c r="H605" s="7" t="s">
        <v>20</v>
      </c>
      <c r="I605" s="8" t="s">
        <v>2290</v>
      </c>
      <c r="J605" s="7" t="s">
        <v>2291</v>
      </c>
      <c r="K605" s="7" t="s">
        <v>2292</v>
      </c>
      <c r="L605" s="7" t="s">
        <v>40</v>
      </c>
      <c r="M605" s="7" t="s">
        <v>41</v>
      </c>
      <c r="N605" s="9" t="s">
        <v>75</v>
      </c>
      <c r="O605" s="7" t="s">
        <v>48</v>
      </c>
      <c r="P605" s="7" t="s">
        <v>20</v>
      </c>
      <c r="Q605" s="7"/>
      <c r="R605" s="7" t="str" cm="1">
        <f t="array" ref="R605">IF(AND(Q605="",P605&lt;&gt;""),N605,_xlfn.SWITCH(IF(Q605&lt;&gt;"",Q605,O605)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Centers",IF(Q605&lt;&gt;"",Q605,O605)))</f>
        <v>Repräsentant/in</v>
      </c>
      <c r="S605" s="7" t="str">
        <f>IF(N605&lt;&gt;R605,"x","")</f>
        <v>x</v>
      </c>
    </row>
    <row r="606" spans="1:19" hidden="1" x14ac:dyDescent="0.25">
      <c r="A606" s="7" t="s">
        <v>2293</v>
      </c>
      <c r="B606" s="7" t="s">
        <v>20</v>
      </c>
      <c r="C606" s="7" t="s">
        <v>2288</v>
      </c>
      <c r="D606" s="7" t="s">
        <v>2289</v>
      </c>
      <c r="E606" s="7" t="s">
        <v>20</v>
      </c>
      <c r="F606" s="7" t="s">
        <v>20</v>
      </c>
      <c r="G606" s="7" t="s">
        <v>1832</v>
      </c>
      <c r="H606" s="7" t="s">
        <v>20</v>
      </c>
      <c r="I606" s="8" t="s">
        <v>2294</v>
      </c>
      <c r="J606" s="7" t="s">
        <v>2295</v>
      </c>
      <c r="K606" s="7" t="s">
        <v>2296</v>
      </c>
      <c r="L606" s="7" t="s">
        <v>27</v>
      </c>
      <c r="M606" s="7" t="s">
        <v>28</v>
      </c>
      <c r="N606" s="9" t="s">
        <v>75</v>
      </c>
      <c r="O606" s="7" t="s">
        <v>54</v>
      </c>
      <c r="P606" s="7" t="s">
        <v>20</v>
      </c>
      <c r="Q606" s="7"/>
      <c r="R606" s="7" t="str" cm="1">
        <f t="array" ref="R606">IF(AND(Q606="",P606&lt;&gt;""),N606,_xlfn.SWITCH(IF(Q606&lt;&gt;"",Q606,O606)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Centers",IF(Q606&lt;&gt;"",Q606,O606)))</f>
        <v>Agenturleiter/in</v>
      </c>
      <c r="S606" s="7" t="str">
        <f>IF(N606&lt;&gt;R606,"x","")</f>
        <v>x</v>
      </c>
    </row>
    <row r="607" spans="1:19" hidden="1" x14ac:dyDescent="0.25">
      <c r="A607" s="7" t="s">
        <v>2297</v>
      </c>
      <c r="B607" s="7" t="s">
        <v>20</v>
      </c>
      <c r="C607" s="7" t="s">
        <v>2288</v>
      </c>
      <c r="D607" s="7" t="s">
        <v>2289</v>
      </c>
      <c r="E607" s="7" t="s">
        <v>20</v>
      </c>
      <c r="F607" s="7" t="s">
        <v>20</v>
      </c>
      <c r="G607" s="7" t="s">
        <v>1832</v>
      </c>
      <c r="H607" s="7" t="s">
        <v>20</v>
      </c>
      <c r="I607" s="8" t="s">
        <v>2298</v>
      </c>
      <c r="J607" s="7" t="s">
        <v>2299</v>
      </c>
      <c r="K607" s="7" t="s">
        <v>2300</v>
      </c>
      <c r="L607" s="7" t="s">
        <v>97</v>
      </c>
      <c r="M607" s="7" t="s">
        <v>98</v>
      </c>
      <c r="N607" s="9" t="s">
        <v>111</v>
      </c>
      <c r="O607" s="7" t="s">
        <v>251</v>
      </c>
      <c r="P607" s="7" t="s">
        <v>20</v>
      </c>
      <c r="Q607" s="7"/>
      <c r="R607" s="7" t="str" cm="1">
        <f t="array" ref="R607">IF(AND(Q607="",P607&lt;&gt;""),N607,_xlfn.SWITCH(IF(Q607&lt;&gt;"",Q607,O607)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Centers",IF(Q607&lt;&gt;"",Q607,O607)))</f>
        <v>Hauptagent/in</v>
      </c>
      <c r="S607" s="7" t="str">
        <f>IF(N607&lt;&gt;R607,"x","")</f>
        <v/>
      </c>
    </row>
    <row r="608" spans="1:19" hidden="1" x14ac:dyDescent="0.25">
      <c r="A608" s="7" t="s">
        <v>2301</v>
      </c>
      <c r="B608" s="7" t="s">
        <v>20</v>
      </c>
      <c r="C608" s="7" t="s">
        <v>2288</v>
      </c>
      <c r="D608" s="7" t="s">
        <v>2289</v>
      </c>
      <c r="E608" s="7" t="s">
        <v>20</v>
      </c>
      <c r="F608" s="7" t="s">
        <v>20</v>
      </c>
      <c r="G608" s="7" t="s">
        <v>1832</v>
      </c>
      <c r="H608" s="7" t="s">
        <v>20</v>
      </c>
      <c r="I608" s="8" t="s">
        <v>2302</v>
      </c>
      <c r="J608" s="7" t="s">
        <v>2303</v>
      </c>
      <c r="K608" s="7" t="s">
        <v>2304</v>
      </c>
      <c r="L608" s="7" t="s">
        <v>97</v>
      </c>
      <c r="M608" s="7" t="s">
        <v>98</v>
      </c>
      <c r="N608" s="9" t="s">
        <v>66</v>
      </c>
      <c r="O608" s="7" t="s">
        <v>251</v>
      </c>
      <c r="P608" s="7" t="s">
        <v>20</v>
      </c>
      <c r="Q608" s="7"/>
      <c r="R608" s="7" t="str" cm="1">
        <f t="array" ref="R608">IF(AND(Q608="",P608&lt;&gt;""),N608,_xlfn.SWITCH(IF(Q608&lt;&gt;"",Q608,O608)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Centers",IF(Q608&lt;&gt;"",Q608,O608)))</f>
        <v>Hauptagent/in</v>
      </c>
      <c r="S608" s="7" t="str">
        <f>IF(N608&lt;&gt;R608,"x","")</f>
        <v>x</v>
      </c>
    </row>
    <row r="609" spans="1:19" hidden="1" x14ac:dyDescent="0.25">
      <c r="A609" s="7" t="s">
        <v>2305</v>
      </c>
      <c r="B609" s="7" t="s">
        <v>20</v>
      </c>
      <c r="C609" s="7" t="s">
        <v>2288</v>
      </c>
      <c r="D609" s="7" t="s">
        <v>2289</v>
      </c>
      <c r="E609" s="7" t="s">
        <v>20</v>
      </c>
      <c r="F609" s="7" t="s">
        <v>20</v>
      </c>
      <c r="G609" s="7" t="s">
        <v>1832</v>
      </c>
      <c r="H609" s="7" t="s">
        <v>20</v>
      </c>
      <c r="I609" s="8" t="s">
        <v>2306</v>
      </c>
      <c r="J609" s="7" t="s">
        <v>2307</v>
      </c>
      <c r="K609" s="7" t="s">
        <v>2308</v>
      </c>
      <c r="L609" s="7" t="s">
        <v>40</v>
      </c>
      <c r="M609" s="7" t="s">
        <v>41</v>
      </c>
      <c r="N609" s="9" t="s">
        <v>75</v>
      </c>
      <c r="O609" s="7" t="s">
        <v>88</v>
      </c>
      <c r="P609" s="7" t="s">
        <v>20</v>
      </c>
      <c r="Q609" s="7"/>
      <c r="R609" s="7" t="str" cm="1">
        <f t="array" ref="R609">IF(AND(Q609="",P609&lt;&gt;""),N609,_xlfn.SWITCH(IF(Q609&lt;&gt;"",Q609,O609)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Centers",IF(Q609&lt;&gt;"",Q609,O609)))</f>
        <v>Kundenberater/in</v>
      </c>
      <c r="S609" s="7" t="str">
        <f>IF(N609&lt;&gt;R609,"x","")</f>
        <v>x</v>
      </c>
    </row>
    <row r="610" spans="1:19" hidden="1" x14ac:dyDescent="0.25">
      <c r="A610" s="7" t="s">
        <v>2309</v>
      </c>
      <c r="B610" s="7" t="s">
        <v>20</v>
      </c>
      <c r="C610" s="7" t="s">
        <v>2288</v>
      </c>
      <c r="D610" s="7" t="s">
        <v>2289</v>
      </c>
      <c r="E610" s="7" t="s">
        <v>20</v>
      </c>
      <c r="F610" s="7" t="s">
        <v>20</v>
      </c>
      <c r="G610" s="7" t="s">
        <v>1832</v>
      </c>
      <c r="H610" s="7" t="s">
        <v>20</v>
      </c>
      <c r="I610" s="8" t="s">
        <v>2310</v>
      </c>
      <c r="J610" s="7" t="s">
        <v>2311</v>
      </c>
      <c r="K610" s="7" t="s">
        <v>2312</v>
      </c>
      <c r="L610" s="7" t="s">
        <v>40</v>
      </c>
      <c r="M610" s="7" t="s">
        <v>41</v>
      </c>
      <c r="N610" s="9" t="s">
        <v>75</v>
      </c>
      <c r="O610" s="7" t="s">
        <v>88</v>
      </c>
      <c r="P610" s="7" t="s">
        <v>20</v>
      </c>
      <c r="Q610" s="7"/>
      <c r="R610" s="7" t="str" cm="1">
        <f t="array" ref="R610">IF(AND(Q610="",P610&lt;&gt;""),N610,_xlfn.SWITCH(IF(Q610&lt;&gt;"",Q610,O610)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Centers",IF(Q610&lt;&gt;"",Q610,O610)))</f>
        <v>Kundenberater/in</v>
      </c>
      <c r="S610" s="7" t="str">
        <f>IF(N610&lt;&gt;R610,"x","")</f>
        <v>x</v>
      </c>
    </row>
    <row r="611" spans="1:19" hidden="1" x14ac:dyDescent="0.25">
      <c r="A611" s="7" t="s">
        <v>2313</v>
      </c>
      <c r="B611" s="7" t="s">
        <v>20</v>
      </c>
      <c r="C611" s="7" t="s">
        <v>2288</v>
      </c>
      <c r="D611" s="7" t="s">
        <v>2289</v>
      </c>
      <c r="E611" s="7" t="s">
        <v>20</v>
      </c>
      <c r="F611" s="7" t="s">
        <v>20</v>
      </c>
      <c r="G611" s="7" t="s">
        <v>1832</v>
      </c>
      <c r="H611" s="7" t="s">
        <v>20</v>
      </c>
      <c r="I611" s="8" t="s">
        <v>1356</v>
      </c>
      <c r="J611" s="7" t="s">
        <v>2314</v>
      </c>
      <c r="K611" s="7" t="s">
        <v>2315</v>
      </c>
      <c r="L611" s="7" t="s">
        <v>40</v>
      </c>
      <c r="M611" s="7" t="s">
        <v>41</v>
      </c>
      <c r="N611" s="9" t="s">
        <v>75</v>
      </c>
      <c r="O611" s="7" t="s">
        <v>120</v>
      </c>
      <c r="P611" s="7" t="s">
        <v>20</v>
      </c>
      <c r="Q611" s="7"/>
      <c r="R611" s="7" t="str" cm="1">
        <f t="array" ref="R611">IF(AND(Q611="",P611&lt;&gt;""),N611,_xlfn.SWITCH(IF(Q611&lt;&gt;"",Q611,O611)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Centers",IF(Q611&lt;&gt;"",Q611,O611)))</f>
        <v>Kundenberater/in</v>
      </c>
      <c r="S611" s="7" t="str">
        <f>IF(N611&lt;&gt;R611,"x","")</f>
        <v>x</v>
      </c>
    </row>
    <row r="612" spans="1:19" hidden="1" x14ac:dyDescent="0.25">
      <c r="A612" s="7" t="s">
        <v>2316</v>
      </c>
      <c r="B612" s="7" t="s">
        <v>20</v>
      </c>
      <c r="C612" s="7" t="s">
        <v>2288</v>
      </c>
      <c r="D612" s="7" t="s">
        <v>2289</v>
      </c>
      <c r="E612" s="7" t="s">
        <v>20</v>
      </c>
      <c r="F612" s="7" t="s">
        <v>20</v>
      </c>
      <c r="G612" s="7" t="s">
        <v>1832</v>
      </c>
      <c r="H612" s="7" t="s">
        <v>20</v>
      </c>
      <c r="I612" s="8" t="s">
        <v>761</v>
      </c>
      <c r="J612" s="7" t="s">
        <v>2317</v>
      </c>
      <c r="K612" s="7" t="s">
        <v>2318</v>
      </c>
      <c r="L612" s="7" t="s">
        <v>27</v>
      </c>
      <c r="M612" s="7" t="s">
        <v>28</v>
      </c>
      <c r="N612" s="9" t="s">
        <v>149</v>
      </c>
      <c r="O612" s="7" t="s">
        <v>30</v>
      </c>
      <c r="P612" s="7" t="s">
        <v>20</v>
      </c>
      <c r="Q612" s="9" t="s">
        <v>149</v>
      </c>
      <c r="R612" s="7" t="str" cm="1">
        <f t="array" ref="R612">IF(AND(Q612="",P612&lt;&gt;""),N612,_xlfn.SWITCH(IF(Q612&lt;&gt;"",Q612,O612)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Centers",IF(Q612&lt;&gt;"",Q612,O612)))</f>
        <v>Generalagent</v>
      </c>
      <c r="S612" s="7" t="str">
        <f>IF(N612&lt;&gt;R612,"x","")</f>
        <v/>
      </c>
    </row>
    <row r="613" spans="1:19" hidden="1" x14ac:dyDescent="0.25">
      <c r="A613" s="7" t="s">
        <v>2319</v>
      </c>
      <c r="B613" s="7" t="s">
        <v>20</v>
      </c>
      <c r="C613" s="7" t="s">
        <v>2288</v>
      </c>
      <c r="D613" s="7" t="s">
        <v>2289</v>
      </c>
      <c r="E613" s="7" t="s">
        <v>20</v>
      </c>
      <c r="F613" s="7" t="s">
        <v>20</v>
      </c>
      <c r="G613" s="7" t="s">
        <v>1832</v>
      </c>
      <c r="H613" s="7" t="s">
        <v>20</v>
      </c>
      <c r="I613" s="8" t="s">
        <v>992</v>
      </c>
      <c r="J613" s="7" t="s">
        <v>2320</v>
      </c>
      <c r="K613" s="7" t="s">
        <v>2321</v>
      </c>
      <c r="L613" s="7" t="s">
        <v>124</v>
      </c>
      <c r="M613" s="7" t="s">
        <v>125</v>
      </c>
      <c r="N613" s="9" t="s">
        <v>149</v>
      </c>
      <c r="O613" s="7" t="s">
        <v>67</v>
      </c>
      <c r="P613" s="7" t="s">
        <v>20</v>
      </c>
      <c r="Q613" s="7"/>
      <c r="R613" s="7" t="str" cm="1">
        <f t="array" ref="R613">IF(AND(Q613="",P613&lt;&gt;""),N613,_xlfn.SWITCH(IF(Q613&lt;&gt;"",Q613,O613)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Centers",IF(Q613&lt;&gt;"",Q613,O613)))</f>
        <v>Leiter/in des Service Centers</v>
      </c>
      <c r="S613" s="7" t="str">
        <f>IF(N613&lt;&gt;R613,"x","")</f>
        <v>x</v>
      </c>
    </row>
    <row r="614" spans="1:19" hidden="1" x14ac:dyDescent="0.25">
      <c r="A614" s="7" t="s">
        <v>2322</v>
      </c>
      <c r="B614" s="7" t="s">
        <v>20</v>
      </c>
      <c r="C614" s="7" t="s">
        <v>2288</v>
      </c>
      <c r="D614" s="7" t="s">
        <v>2289</v>
      </c>
      <c r="E614" s="7" t="s">
        <v>20</v>
      </c>
      <c r="F614" s="7" t="s">
        <v>20</v>
      </c>
      <c r="G614" s="7" t="s">
        <v>1832</v>
      </c>
      <c r="H614" s="7" t="s">
        <v>20</v>
      </c>
      <c r="I614" s="8" t="s">
        <v>1173</v>
      </c>
      <c r="J614" s="7" t="s">
        <v>2323</v>
      </c>
      <c r="K614" s="7" t="s">
        <v>2324</v>
      </c>
      <c r="L614" s="7" t="s">
        <v>40</v>
      </c>
      <c r="M614" s="7" t="s">
        <v>41</v>
      </c>
      <c r="N614" s="9" t="s">
        <v>75</v>
      </c>
      <c r="O614" s="7" t="s">
        <v>48</v>
      </c>
      <c r="P614" s="7" t="s">
        <v>20</v>
      </c>
      <c r="Q614" s="7"/>
      <c r="R614" s="7" t="str" cm="1">
        <f t="array" ref="R614">IF(AND(Q614="",P614&lt;&gt;""),N614,_xlfn.SWITCH(IF(Q614&lt;&gt;"",Q614,O614)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Centers",IF(Q614&lt;&gt;"",Q614,O614)))</f>
        <v>Repräsentant/in</v>
      </c>
      <c r="S614" s="7" t="str">
        <f>IF(N614&lt;&gt;R614,"x","")</f>
        <v>x</v>
      </c>
    </row>
    <row r="615" spans="1:19" hidden="1" x14ac:dyDescent="0.25">
      <c r="A615" s="7" t="s">
        <v>2325</v>
      </c>
      <c r="B615" s="7" t="s">
        <v>20</v>
      </c>
      <c r="C615" s="7" t="s">
        <v>2288</v>
      </c>
      <c r="D615" s="7" t="s">
        <v>2289</v>
      </c>
      <c r="E615" s="7" t="s">
        <v>20</v>
      </c>
      <c r="F615" s="7" t="s">
        <v>20</v>
      </c>
      <c r="G615" s="7" t="s">
        <v>1832</v>
      </c>
      <c r="H615" s="7" t="s">
        <v>20</v>
      </c>
      <c r="I615" s="8" t="s">
        <v>905</v>
      </c>
      <c r="J615" s="7" t="s">
        <v>2326</v>
      </c>
      <c r="K615" s="7" t="s">
        <v>2327</v>
      </c>
      <c r="L615" s="7" t="s">
        <v>40</v>
      </c>
      <c r="M615" s="7" t="s">
        <v>41</v>
      </c>
      <c r="N615" s="9" t="s">
        <v>75</v>
      </c>
      <c r="O615" s="7" t="s">
        <v>48</v>
      </c>
      <c r="P615" s="7" t="s">
        <v>20</v>
      </c>
      <c r="Q615" s="7"/>
      <c r="R615" s="7" t="str" cm="1">
        <f t="array" ref="R615">IF(AND(Q615="",P615&lt;&gt;""),N615,_xlfn.SWITCH(IF(Q615&lt;&gt;"",Q615,O615)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Centers",IF(Q615&lt;&gt;"",Q615,O615)))</f>
        <v>Repräsentant/in</v>
      </c>
      <c r="S615" s="7" t="str">
        <f>IF(N615&lt;&gt;R615,"x","")</f>
        <v>x</v>
      </c>
    </row>
    <row r="616" spans="1:19" hidden="1" x14ac:dyDescent="0.25">
      <c r="A616" s="7" t="s">
        <v>2328</v>
      </c>
      <c r="B616" s="7" t="s">
        <v>20</v>
      </c>
      <c r="C616" s="7" t="s">
        <v>2288</v>
      </c>
      <c r="D616" s="7" t="s">
        <v>2289</v>
      </c>
      <c r="E616" s="7" t="s">
        <v>20</v>
      </c>
      <c r="F616" s="7" t="s">
        <v>20</v>
      </c>
      <c r="G616" s="7" t="s">
        <v>1832</v>
      </c>
      <c r="H616" s="7" t="s">
        <v>20</v>
      </c>
      <c r="I616" s="8" t="s">
        <v>1260</v>
      </c>
      <c r="J616" s="7" t="s">
        <v>2329</v>
      </c>
      <c r="K616" s="7" t="s">
        <v>2330</v>
      </c>
      <c r="L616" s="7" t="s">
        <v>40</v>
      </c>
      <c r="M616" s="7" t="s">
        <v>41</v>
      </c>
      <c r="N616" s="9" t="s">
        <v>42</v>
      </c>
      <c r="O616" s="7" t="s">
        <v>43</v>
      </c>
      <c r="P616" s="7" t="s">
        <v>20</v>
      </c>
      <c r="Q616" s="7"/>
      <c r="R616" s="7" t="str" cm="1">
        <f t="array" ref="R616">IF(AND(Q616="",P616&lt;&gt;""),N616,_xlfn.SWITCH(IF(Q616&lt;&gt;"",Q616,O616)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Centers",IF(Q616&lt;&gt;"",Q616,O616)))</f>
        <v>Repräsentant/in</v>
      </c>
      <c r="S616" s="7" t="str">
        <f>IF(N616&lt;&gt;R616,"x","")</f>
        <v>x</v>
      </c>
    </row>
    <row r="617" spans="1:19" hidden="1" x14ac:dyDescent="0.25">
      <c r="A617" s="7" t="s">
        <v>2331</v>
      </c>
      <c r="B617" s="7" t="s">
        <v>20</v>
      </c>
      <c r="C617" s="7" t="s">
        <v>2288</v>
      </c>
      <c r="D617" s="7" t="s">
        <v>2289</v>
      </c>
      <c r="E617" s="7" t="s">
        <v>20</v>
      </c>
      <c r="F617" s="7" t="s">
        <v>20</v>
      </c>
      <c r="G617" s="7" t="s">
        <v>1832</v>
      </c>
      <c r="H617" s="7" t="s">
        <v>20</v>
      </c>
      <c r="I617" s="8" t="s">
        <v>2332</v>
      </c>
      <c r="J617" s="7" t="s">
        <v>2332</v>
      </c>
      <c r="K617" s="7" t="s">
        <v>2333</v>
      </c>
      <c r="L617" s="7" t="s">
        <v>64</v>
      </c>
      <c r="M617" s="7" t="s">
        <v>65</v>
      </c>
      <c r="N617" s="9" t="s">
        <v>59</v>
      </c>
      <c r="O617" s="7" t="s">
        <v>59</v>
      </c>
      <c r="P617" s="7" t="s">
        <v>20</v>
      </c>
      <c r="Q617" s="7"/>
      <c r="R617" s="7" t="str" cm="1">
        <f t="array" ref="R617">IF(AND(Q617="",P617&lt;&gt;""),N617,_xlfn.SWITCH(IF(Q617&lt;&gt;"",Q617,O617)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Centers",IF(Q617&lt;&gt;"",Q617,O617)))</f>
        <v>Leiter/in des Service Centers</v>
      </c>
      <c r="S617" s="7" t="str">
        <f>IF(N617&lt;&gt;R617,"x","")</f>
        <v/>
      </c>
    </row>
    <row r="618" spans="1:19" hidden="1" x14ac:dyDescent="0.25">
      <c r="A618" s="7" t="s">
        <v>2334</v>
      </c>
      <c r="B618" s="7" t="s">
        <v>20</v>
      </c>
      <c r="C618" s="7" t="s">
        <v>2335</v>
      </c>
      <c r="D618" s="7" t="s">
        <v>2336</v>
      </c>
      <c r="E618" s="7" t="s">
        <v>20</v>
      </c>
      <c r="F618" s="7" t="s">
        <v>20</v>
      </c>
      <c r="G618" s="7" t="s">
        <v>2337</v>
      </c>
      <c r="H618" s="7" t="s">
        <v>20</v>
      </c>
      <c r="I618" s="8" t="s">
        <v>659</v>
      </c>
      <c r="J618" s="7" t="s">
        <v>2338</v>
      </c>
      <c r="K618" s="7" t="s">
        <v>2339</v>
      </c>
      <c r="L618" s="7" t="s">
        <v>64</v>
      </c>
      <c r="M618" s="7" t="s">
        <v>65</v>
      </c>
      <c r="N618" s="9" t="s">
        <v>59</v>
      </c>
      <c r="O618" s="7" t="s">
        <v>510</v>
      </c>
      <c r="P618" s="7" t="s">
        <v>20</v>
      </c>
      <c r="Q618" s="7"/>
      <c r="R618" s="7" t="str" cm="1">
        <f t="array" ref="R618">IF(AND(Q618="",P618&lt;&gt;""),N618,_xlfn.SWITCH(IF(Q618&lt;&gt;"",Q618,O618)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Centers",IF(Q618&lt;&gt;"",Q618,O618)))</f>
        <v>Leiter/in des Service Centers</v>
      </c>
      <c r="S618" s="7" t="str">
        <f>IF(N618&lt;&gt;R618,"x","")</f>
        <v/>
      </c>
    </row>
    <row r="619" spans="1:19" hidden="1" x14ac:dyDescent="0.25">
      <c r="A619" s="7" t="s">
        <v>2340</v>
      </c>
      <c r="B619" s="7" t="s">
        <v>20</v>
      </c>
      <c r="C619" s="7" t="s">
        <v>2335</v>
      </c>
      <c r="D619" s="7" t="s">
        <v>2336</v>
      </c>
      <c r="E619" s="7" t="s">
        <v>20</v>
      </c>
      <c r="F619" s="7" t="s">
        <v>20</v>
      </c>
      <c r="G619" s="7" t="s">
        <v>2337</v>
      </c>
      <c r="H619" s="7" t="s">
        <v>20</v>
      </c>
      <c r="I619" s="8" t="s">
        <v>805</v>
      </c>
      <c r="J619" s="7" t="s">
        <v>2341</v>
      </c>
      <c r="K619" s="7" t="s">
        <v>63</v>
      </c>
      <c r="L619" s="7" t="s">
        <v>27</v>
      </c>
      <c r="M619" s="7" t="s">
        <v>28</v>
      </c>
      <c r="N619" s="9" t="s">
        <v>59</v>
      </c>
      <c r="O619" s="7" t="s">
        <v>30</v>
      </c>
      <c r="P619" s="7" t="s">
        <v>49</v>
      </c>
      <c r="Q619" s="7"/>
      <c r="R619" s="7" t="str" cm="1">
        <f t="array" ref="R619">IF(AND(Q619="",P619&lt;&gt;""),N619,_xlfn.SWITCH(IF(Q619&lt;&gt;"",Q619,O619)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Centers",IF(Q619&lt;&gt;"",Q619,O619)))</f>
        <v>Leiter/in des Service Centers</v>
      </c>
      <c r="S619" s="7" t="str">
        <f>IF(N619&lt;&gt;R619,"x","")</f>
        <v/>
      </c>
    </row>
    <row r="620" spans="1:19" hidden="1" x14ac:dyDescent="0.25">
      <c r="A620" s="7" t="s">
        <v>2342</v>
      </c>
      <c r="B620" s="7" t="s">
        <v>20</v>
      </c>
      <c r="C620" s="7" t="s">
        <v>2335</v>
      </c>
      <c r="D620" s="7" t="s">
        <v>2336</v>
      </c>
      <c r="E620" s="7" t="s">
        <v>20</v>
      </c>
      <c r="F620" s="7" t="s">
        <v>20</v>
      </c>
      <c r="G620" s="7" t="s">
        <v>2337</v>
      </c>
      <c r="H620" s="7" t="s">
        <v>20</v>
      </c>
      <c r="I620" s="8" t="s">
        <v>2343</v>
      </c>
      <c r="J620" s="7" t="s">
        <v>1394</v>
      </c>
      <c r="K620" s="7" t="s">
        <v>2344</v>
      </c>
      <c r="L620" s="7" t="s">
        <v>27</v>
      </c>
      <c r="M620" s="7" t="s">
        <v>28</v>
      </c>
      <c r="N620" s="9" t="s">
        <v>35</v>
      </c>
      <c r="O620" s="7" t="s">
        <v>54</v>
      </c>
      <c r="P620" s="7" t="s">
        <v>20</v>
      </c>
      <c r="Q620" s="9" t="s">
        <v>35</v>
      </c>
      <c r="R620" s="7" t="str" cm="1">
        <f t="array" ref="R620">IF(AND(Q620="",P620&lt;&gt;""),N620,_xlfn.SWITCH(IF(Q620&lt;&gt;"",Q620,O620)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Centers",IF(Q620&lt;&gt;"",Q620,O620)))</f>
        <v>Leiter/in einer Geschäftsstelle</v>
      </c>
      <c r="S620" s="7" t="str">
        <f>IF(N620&lt;&gt;R620,"x","")</f>
        <v/>
      </c>
    </row>
    <row r="621" spans="1:19" hidden="1" x14ac:dyDescent="0.25">
      <c r="A621" s="7" t="s">
        <v>2345</v>
      </c>
      <c r="B621" s="7" t="s">
        <v>20</v>
      </c>
      <c r="C621" s="7" t="s">
        <v>2335</v>
      </c>
      <c r="D621" s="7" t="s">
        <v>2336</v>
      </c>
      <c r="E621" s="7" t="s">
        <v>20</v>
      </c>
      <c r="F621" s="7" t="s">
        <v>20</v>
      </c>
      <c r="G621" s="7" t="s">
        <v>2337</v>
      </c>
      <c r="H621" s="7" t="s">
        <v>20</v>
      </c>
      <c r="I621" s="8" t="s">
        <v>2346</v>
      </c>
      <c r="J621" s="7" t="s">
        <v>2347</v>
      </c>
      <c r="K621" s="7" t="s">
        <v>2348</v>
      </c>
      <c r="L621" s="7" t="s">
        <v>64</v>
      </c>
      <c r="M621" s="7" t="s">
        <v>65</v>
      </c>
      <c r="N621" s="9" t="s">
        <v>59</v>
      </c>
      <c r="O621" s="7" t="s">
        <v>67</v>
      </c>
      <c r="P621" s="7" t="s">
        <v>20</v>
      </c>
      <c r="Q621" s="7"/>
      <c r="R621" s="7" t="str" cm="1">
        <f t="array" ref="R621">IF(AND(Q621="",P621&lt;&gt;""),N621,_xlfn.SWITCH(IF(Q621&lt;&gt;"",Q621,O621)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Centers",IF(Q621&lt;&gt;"",Q621,O621)))</f>
        <v>Leiter/in des Service Centers</v>
      </c>
      <c r="S621" s="7" t="str">
        <f>IF(N621&lt;&gt;R621,"x","")</f>
        <v/>
      </c>
    </row>
    <row r="622" spans="1:19" hidden="1" x14ac:dyDescent="0.25">
      <c r="A622" s="7" t="s">
        <v>2349</v>
      </c>
      <c r="B622" s="7" t="s">
        <v>20</v>
      </c>
      <c r="C622" s="7" t="s">
        <v>2335</v>
      </c>
      <c r="D622" s="7" t="s">
        <v>2336</v>
      </c>
      <c r="E622" s="7" t="s">
        <v>20</v>
      </c>
      <c r="F622" s="7" t="s">
        <v>20</v>
      </c>
      <c r="G622" s="7" t="s">
        <v>2337</v>
      </c>
      <c r="H622" s="7" t="s">
        <v>20</v>
      </c>
      <c r="I622" s="8" t="s">
        <v>122</v>
      </c>
      <c r="J622" s="7" t="s">
        <v>22</v>
      </c>
      <c r="K622" s="7" t="s">
        <v>63</v>
      </c>
      <c r="L622" s="7" t="s">
        <v>27</v>
      </c>
      <c r="M622" s="7" t="s">
        <v>28</v>
      </c>
      <c r="N622" s="9" t="s">
        <v>59</v>
      </c>
      <c r="O622" s="7" t="s">
        <v>30</v>
      </c>
      <c r="P622" s="7" t="s">
        <v>49</v>
      </c>
      <c r="Q622" s="7"/>
      <c r="R622" s="7" t="str" cm="1">
        <f t="array" ref="R622">IF(AND(Q622="",P622&lt;&gt;""),N622,_xlfn.SWITCH(IF(Q622&lt;&gt;"",Q622,O622)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Centers",IF(Q622&lt;&gt;"",Q622,O622)))</f>
        <v>Leiter/in des Service Centers</v>
      </c>
      <c r="S622" s="7" t="str">
        <f>IF(N622&lt;&gt;R622,"x","")</f>
        <v/>
      </c>
    </row>
    <row r="623" spans="1:19" hidden="1" x14ac:dyDescent="0.25">
      <c r="A623" s="7" t="s">
        <v>2350</v>
      </c>
      <c r="B623" s="7" t="s">
        <v>20</v>
      </c>
      <c r="C623" s="7" t="s">
        <v>2335</v>
      </c>
      <c r="D623" s="7" t="s">
        <v>2336</v>
      </c>
      <c r="E623" s="7" t="s">
        <v>20</v>
      </c>
      <c r="F623" s="7" t="s">
        <v>20</v>
      </c>
      <c r="G623" s="7" t="s">
        <v>2337</v>
      </c>
      <c r="H623" s="7" t="s">
        <v>20</v>
      </c>
      <c r="I623" s="8" t="s">
        <v>834</v>
      </c>
      <c r="J623" s="7" t="s">
        <v>2347</v>
      </c>
      <c r="K623" s="7" t="s">
        <v>2351</v>
      </c>
      <c r="L623" s="7" t="s">
        <v>124</v>
      </c>
      <c r="M623" s="7" t="s">
        <v>125</v>
      </c>
      <c r="N623" s="9" t="s">
        <v>59</v>
      </c>
      <c r="O623" s="7" t="s">
        <v>67</v>
      </c>
      <c r="P623" s="7" t="s">
        <v>20</v>
      </c>
      <c r="Q623" s="7"/>
      <c r="R623" s="7" t="str" cm="1">
        <f t="array" ref="R623">IF(AND(Q623="",P623&lt;&gt;""),N623,_xlfn.SWITCH(IF(Q623&lt;&gt;"",Q623,O623)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Centers",IF(Q623&lt;&gt;"",Q623,O623)))</f>
        <v>Leiter/in des Service Centers</v>
      </c>
      <c r="S623" s="7" t="str">
        <f>IF(N623&lt;&gt;R623,"x","")</f>
        <v/>
      </c>
    </row>
    <row r="624" spans="1:19" hidden="1" x14ac:dyDescent="0.25">
      <c r="A624" s="7" t="s">
        <v>2352</v>
      </c>
      <c r="B624" s="7" t="s">
        <v>20</v>
      </c>
      <c r="C624" s="7" t="s">
        <v>2335</v>
      </c>
      <c r="D624" s="7" t="s">
        <v>2336</v>
      </c>
      <c r="E624" s="7" t="s">
        <v>20</v>
      </c>
      <c r="F624" s="7" t="s">
        <v>20</v>
      </c>
      <c r="G624" s="7" t="s">
        <v>2337</v>
      </c>
      <c r="H624" s="7" t="s">
        <v>20</v>
      </c>
      <c r="I624" s="8" t="s">
        <v>877</v>
      </c>
      <c r="J624" s="7" t="s">
        <v>2353</v>
      </c>
      <c r="K624" s="7" t="s">
        <v>2354</v>
      </c>
      <c r="L624" s="7" t="s">
        <v>40</v>
      </c>
      <c r="M624" s="7" t="s">
        <v>41</v>
      </c>
      <c r="N624" s="9" t="s">
        <v>75</v>
      </c>
      <c r="O624" s="7" t="s">
        <v>48</v>
      </c>
      <c r="P624" s="7" t="s">
        <v>20</v>
      </c>
      <c r="Q624" s="7"/>
      <c r="R624" s="7" t="str" cm="1">
        <f t="array" ref="R624">IF(AND(Q624="",P624&lt;&gt;""),N624,_xlfn.SWITCH(IF(Q624&lt;&gt;"",Q624,O624)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Centers",IF(Q624&lt;&gt;"",Q624,O624)))</f>
        <v>Repräsentant/in</v>
      </c>
      <c r="S624" s="7" t="str">
        <f>IF(N624&lt;&gt;R624,"x","")</f>
        <v>x</v>
      </c>
    </row>
    <row r="625" spans="1:19" hidden="1" x14ac:dyDescent="0.25">
      <c r="A625" s="7" t="s">
        <v>2355</v>
      </c>
      <c r="B625" s="7" t="s">
        <v>20</v>
      </c>
      <c r="C625" s="7" t="s">
        <v>2335</v>
      </c>
      <c r="D625" s="7" t="s">
        <v>2336</v>
      </c>
      <c r="E625" s="7" t="s">
        <v>20</v>
      </c>
      <c r="F625" s="7" t="s">
        <v>20</v>
      </c>
      <c r="G625" s="7" t="s">
        <v>2337</v>
      </c>
      <c r="H625" s="7" t="s">
        <v>20</v>
      </c>
      <c r="I625" s="8" t="s">
        <v>186</v>
      </c>
      <c r="J625" s="7" t="s">
        <v>2356</v>
      </c>
      <c r="K625" s="7" t="s">
        <v>2357</v>
      </c>
      <c r="L625" s="7" t="s">
        <v>27</v>
      </c>
      <c r="M625" s="7" t="s">
        <v>28</v>
      </c>
      <c r="N625" s="9" t="s">
        <v>149</v>
      </c>
      <c r="O625" s="7" t="s">
        <v>30</v>
      </c>
      <c r="P625" s="7" t="s">
        <v>20</v>
      </c>
      <c r="Q625" s="9" t="s">
        <v>149</v>
      </c>
      <c r="R625" s="7" t="str" cm="1">
        <f t="array" ref="R625">IF(AND(Q625="",P625&lt;&gt;""),N625,_xlfn.SWITCH(IF(Q625&lt;&gt;"",Q625,O625)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Centers",IF(Q625&lt;&gt;"",Q625,O625)))</f>
        <v>Generalagent</v>
      </c>
      <c r="S625" s="7" t="str">
        <f>IF(N625&lt;&gt;R625,"x","")</f>
        <v/>
      </c>
    </row>
    <row r="626" spans="1:19" hidden="1" x14ac:dyDescent="0.25">
      <c r="A626" s="7" t="s">
        <v>2358</v>
      </c>
      <c r="B626" s="7" t="s">
        <v>20</v>
      </c>
      <c r="C626" s="7" t="s">
        <v>2335</v>
      </c>
      <c r="D626" s="7" t="s">
        <v>2336</v>
      </c>
      <c r="E626" s="7" t="s">
        <v>20</v>
      </c>
      <c r="F626" s="7" t="s">
        <v>20</v>
      </c>
      <c r="G626" s="7" t="s">
        <v>2337</v>
      </c>
      <c r="H626" s="7" t="s">
        <v>20</v>
      </c>
      <c r="I626" s="8" t="s">
        <v>2359</v>
      </c>
      <c r="J626" s="7" t="s">
        <v>2360</v>
      </c>
      <c r="K626" s="7" t="s">
        <v>2361</v>
      </c>
      <c r="L626" s="7" t="s">
        <v>27</v>
      </c>
      <c r="M626" s="7" t="s">
        <v>28</v>
      </c>
      <c r="N626" s="9" t="s">
        <v>149</v>
      </c>
      <c r="O626" s="7" t="s">
        <v>30</v>
      </c>
      <c r="P626" s="7" t="s">
        <v>20</v>
      </c>
      <c r="Q626" s="7"/>
      <c r="R626" s="7" t="str" cm="1">
        <f t="array" ref="R626">IF(AND(Q626="",P626&lt;&gt;""),N626,_xlfn.SWITCH(IF(Q626&lt;&gt;"",Q626,O626)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Centers",IF(Q626&lt;&gt;"",Q626,O626)))</f>
        <v>Agenturleiter/in</v>
      </c>
      <c r="S626" s="7" t="str">
        <f>IF(N626&lt;&gt;R626,"x","")</f>
        <v>x</v>
      </c>
    </row>
    <row r="627" spans="1:19" hidden="1" x14ac:dyDescent="0.25">
      <c r="A627" s="7" t="s">
        <v>2362</v>
      </c>
      <c r="B627" s="7" t="s">
        <v>20</v>
      </c>
      <c r="C627" s="7" t="s">
        <v>2335</v>
      </c>
      <c r="D627" s="7" t="s">
        <v>2336</v>
      </c>
      <c r="E627" s="7" t="s">
        <v>20</v>
      </c>
      <c r="F627" s="7" t="s">
        <v>20</v>
      </c>
      <c r="G627" s="7" t="s">
        <v>2337</v>
      </c>
      <c r="H627" s="7" t="s">
        <v>20</v>
      </c>
      <c r="I627" s="8" t="s">
        <v>975</v>
      </c>
      <c r="J627" s="7" t="s">
        <v>2363</v>
      </c>
      <c r="K627" s="7" t="s">
        <v>2364</v>
      </c>
      <c r="L627" s="7" t="s">
        <v>64</v>
      </c>
      <c r="M627" s="7" t="s">
        <v>65</v>
      </c>
      <c r="N627" s="9" t="s">
        <v>59</v>
      </c>
      <c r="O627" s="7" t="s">
        <v>67</v>
      </c>
      <c r="P627" s="7" t="s">
        <v>20</v>
      </c>
      <c r="Q627" s="7"/>
      <c r="R627" s="7" t="str" cm="1">
        <f t="array" ref="R627">IF(AND(Q627="",P627&lt;&gt;""),N627,_xlfn.SWITCH(IF(Q627&lt;&gt;"",Q627,O627)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Centers",IF(Q627&lt;&gt;"",Q627,O627)))</f>
        <v>Leiter/in des Service Centers</v>
      </c>
      <c r="S627" s="7" t="str">
        <f>IF(N627&lt;&gt;R627,"x","")</f>
        <v/>
      </c>
    </row>
    <row r="628" spans="1:19" hidden="1" x14ac:dyDescent="0.25">
      <c r="A628" s="7" t="s">
        <v>2365</v>
      </c>
      <c r="B628" s="7" t="s">
        <v>20</v>
      </c>
      <c r="C628" s="7" t="s">
        <v>2335</v>
      </c>
      <c r="D628" s="7" t="s">
        <v>2336</v>
      </c>
      <c r="E628" s="7" t="s">
        <v>20</v>
      </c>
      <c r="F628" s="7" t="s">
        <v>20</v>
      </c>
      <c r="G628" s="7" t="s">
        <v>2337</v>
      </c>
      <c r="H628" s="7" t="s">
        <v>20</v>
      </c>
      <c r="I628" s="8" t="s">
        <v>1364</v>
      </c>
      <c r="J628" s="7" t="s">
        <v>2366</v>
      </c>
      <c r="K628" s="7" t="s">
        <v>2367</v>
      </c>
      <c r="L628" s="7" t="s">
        <v>40</v>
      </c>
      <c r="M628" s="7" t="s">
        <v>41</v>
      </c>
      <c r="N628" s="9" t="s">
        <v>75</v>
      </c>
      <c r="O628" s="7" t="s">
        <v>48</v>
      </c>
      <c r="P628" s="7" t="s">
        <v>20</v>
      </c>
      <c r="Q628" s="7"/>
      <c r="R628" s="7" t="str" cm="1">
        <f t="array" ref="R628">IF(AND(Q628="",P628&lt;&gt;""),N628,_xlfn.SWITCH(IF(Q628&lt;&gt;"",Q628,O628)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Centers",IF(Q628&lt;&gt;"",Q628,O628)))</f>
        <v>Repräsentant/in</v>
      </c>
      <c r="S628" s="7" t="str">
        <f>IF(N628&lt;&gt;R628,"x","")</f>
        <v>x</v>
      </c>
    </row>
    <row r="629" spans="1:19" hidden="1" x14ac:dyDescent="0.25">
      <c r="A629" s="7" t="s">
        <v>2368</v>
      </c>
      <c r="B629" s="7" t="s">
        <v>20</v>
      </c>
      <c r="C629" s="7" t="s">
        <v>2335</v>
      </c>
      <c r="D629" s="7" t="s">
        <v>2336</v>
      </c>
      <c r="E629" s="7" t="s">
        <v>20</v>
      </c>
      <c r="F629" s="7" t="s">
        <v>20</v>
      </c>
      <c r="G629" s="7" t="s">
        <v>2337</v>
      </c>
      <c r="H629" s="7" t="s">
        <v>20</v>
      </c>
      <c r="I629" s="8" t="s">
        <v>1160</v>
      </c>
      <c r="J629" s="7" t="s">
        <v>2369</v>
      </c>
      <c r="K629" s="7" t="s">
        <v>2370</v>
      </c>
      <c r="L629" s="7" t="s">
        <v>64</v>
      </c>
      <c r="M629" s="7" t="s">
        <v>65</v>
      </c>
      <c r="N629" s="9" t="s">
        <v>59</v>
      </c>
      <c r="O629" s="7" t="s">
        <v>67</v>
      </c>
      <c r="P629" s="7" t="s">
        <v>20</v>
      </c>
      <c r="Q629" s="7"/>
      <c r="R629" s="7" t="str" cm="1">
        <f t="array" ref="R629">IF(AND(Q629="",P629&lt;&gt;""),N629,_xlfn.SWITCH(IF(Q629&lt;&gt;"",Q629,O629)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Centers",IF(Q629&lt;&gt;"",Q629,O629)))</f>
        <v>Leiter/in des Service Centers</v>
      </c>
      <c r="S629" s="7" t="str">
        <f>IF(N629&lt;&gt;R629,"x","")</f>
        <v/>
      </c>
    </row>
    <row r="630" spans="1:19" hidden="1" x14ac:dyDescent="0.25">
      <c r="A630" s="7" t="s">
        <v>2371</v>
      </c>
      <c r="B630" s="7" t="s">
        <v>20</v>
      </c>
      <c r="C630" s="7" t="s">
        <v>2335</v>
      </c>
      <c r="D630" s="7" t="s">
        <v>2336</v>
      </c>
      <c r="E630" s="7" t="s">
        <v>20</v>
      </c>
      <c r="F630" s="7" t="s">
        <v>20</v>
      </c>
      <c r="G630" s="7" t="s">
        <v>2337</v>
      </c>
      <c r="H630" s="7" t="s">
        <v>20</v>
      </c>
      <c r="I630" s="8" t="s">
        <v>2372</v>
      </c>
      <c r="J630" s="7" t="s">
        <v>2372</v>
      </c>
      <c r="K630" s="7" t="s">
        <v>63</v>
      </c>
      <c r="L630" s="7" t="s">
        <v>97</v>
      </c>
      <c r="M630" s="7" t="s">
        <v>98</v>
      </c>
      <c r="N630" s="9" t="s">
        <v>149</v>
      </c>
      <c r="O630" s="7" t="s">
        <v>111</v>
      </c>
      <c r="P630" s="7" t="s">
        <v>49</v>
      </c>
      <c r="Q630" s="7"/>
      <c r="R630" s="7" t="str" cm="1">
        <f t="array" ref="R630">IF(AND(Q630="",P630&lt;&gt;""),N630,_xlfn.SWITCH(IF(Q630&lt;&gt;"",Q630,O630)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Centers",IF(Q630&lt;&gt;"",Q630,O630)))</f>
        <v>Generalagent</v>
      </c>
      <c r="S630" s="7" t="str">
        <f>IF(N630&lt;&gt;R630,"x","")</f>
        <v/>
      </c>
    </row>
    <row r="631" spans="1:19" hidden="1" x14ac:dyDescent="0.25">
      <c r="A631" s="7" t="s">
        <v>2373</v>
      </c>
      <c r="B631" s="7" t="s">
        <v>20</v>
      </c>
      <c r="C631" s="7" t="s">
        <v>2335</v>
      </c>
      <c r="D631" s="7" t="s">
        <v>2336</v>
      </c>
      <c r="E631" s="7" t="s">
        <v>20</v>
      </c>
      <c r="F631" s="7" t="s">
        <v>20</v>
      </c>
      <c r="G631" s="7" t="s">
        <v>2337</v>
      </c>
      <c r="H631" s="7" t="s">
        <v>20</v>
      </c>
      <c r="I631" s="8" t="s">
        <v>1348</v>
      </c>
      <c r="J631" s="7" t="s">
        <v>2374</v>
      </c>
      <c r="K631" s="7" t="s">
        <v>2375</v>
      </c>
      <c r="L631" s="7" t="s">
        <v>27</v>
      </c>
      <c r="M631" s="7" t="s">
        <v>28</v>
      </c>
      <c r="N631" s="9" t="s">
        <v>334</v>
      </c>
      <c r="O631" s="7" t="s">
        <v>54</v>
      </c>
      <c r="P631" s="7" t="s">
        <v>20</v>
      </c>
      <c r="Q631" s="9" t="s">
        <v>334</v>
      </c>
      <c r="R631" s="7" t="str" cm="1">
        <f t="array" ref="R631">IF(AND(Q631="",P631&lt;&gt;""),N631,_xlfn.SWITCH(IF(Q631&lt;&gt;"",Q631,O631)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Centers",IF(Q631&lt;&gt;"",Q631,O631)))</f>
        <v>Generalagentin</v>
      </c>
      <c r="S631" s="7" t="str">
        <f>IF(N631&lt;&gt;R631,"x","")</f>
        <v/>
      </c>
    </row>
    <row r="632" spans="1:19" hidden="1" x14ac:dyDescent="0.25">
      <c r="A632" s="7" t="s">
        <v>2376</v>
      </c>
      <c r="B632" s="7" t="s">
        <v>20</v>
      </c>
      <c r="C632" s="7" t="s">
        <v>2335</v>
      </c>
      <c r="D632" s="7" t="s">
        <v>2336</v>
      </c>
      <c r="E632" s="7" t="s">
        <v>20</v>
      </c>
      <c r="F632" s="7" t="s">
        <v>20</v>
      </c>
      <c r="G632" s="7" t="s">
        <v>2337</v>
      </c>
      <c r="H632" s="7" t="s">
        <v>20</v>
      </c>
      <c r="I632" s="8" t="s">
        <v>2377</v>
      </c>
      <c r="J632" s="7" t="s">
        <v>2378</v>
      </c>
      <c r="K632" s="7" t="s">
        <v>2379</v>
      </c>
      <c r="L632" s="7" t="s">
        <v>64</v>
      </c>
      <c r="M632" s="7" t="s">
        <v>65</v>
      </c>
      <c r="N632" s="9" t="s">
        <v>334</v>
      </c>
      <c r="O632" s="7" t="s">
        <v>510</v>
      </c>
      <c r="P632" s="7" t="s">
        <v>20</v>
      </c>
      <c r="Q632" s="7"/>
      <c r="R632" s="7" t="str" cm="1">
        <f t="array" ref="R632">IF(AND(Q632="",P632&lt;&gt;""),N632,_xlfn.SWITCH(IF(Q632&lt;&gt;"",Q632,O632)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Centers",IF(Q632&lt;&gt;"",Q632,O632)))</f>
        <v>Leiter/in des Service Centers</v>
      </c>
      <c r="S632" s="7" t="str">
        <f>IF(N632&lt;&gt;R632,"x","")</f>
        <v>x</v>
      </c>
    </row>
    <row r="633" spans="1:19" hidden="1" x14ac:dyDescent="0.25">
      <c r="A633" s="7" t="s">
        <v>2380</v>
      </c>
      <c r="B633" s="7" t="s">
        <v>20</v>
      </c>
      <c r="C633" s="7" t="s">
        <v>2335</v>
      </c>
      <c r="D633" s="7" t="s">
        <v>2336</v>
      </c>
      <c r="E633" s="7" t="s">
        <v>20</v>
      </c>
      <c r="F633" s="7" t="s">
        <v>20</v>
      </c>
      <c r="G633" s="7" t="s">
        <v>2337</v>
      </c>
      <c r="H633" s="7" t="s">
        <v>20</v>
      </c>
      <c r="I633" s="8" t="s">
        <v>2381</v>
      </c>
      <c r="J633" s="7" t="s">
        <v>2382</v>
      </c>
      <c r="K633" s="7" t="s">
        <v>2383</v>
      </c>
      <c r="L633" s="7" t="s">
        <v>27</v>
      </c>
      <c r="M633" s="7" t="s">
        <v>28</v>
      </c>
      <c r="N633" s="9" t="s">
        <v>75</v>
      </c>
      <c r="O633" s="7" t="s">
        <v>30</v>
      </c>
      <c r="P633" s="7" t="s">
        <v>20</v>
      </c>
      <c r="Q633" s="7"/>
      <c r="R633" s="7" t="str" cm="1">
        <f t="array" ref="R633">IF(AND(Q633="",P633&lt;&gt;""),N633,_xlfn.SWITCH(IF(Q633&lt;&gt;"",Q633,O633)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Centers",IF(Q633&lt;&gt;"",Q633,O633)))</f>
        <v>Agenturleiter/in</v>
      </c>
      <c r="S633" s="7" t="str">
        <f>IF(N633&lt;&gt;R633,"x","")</f>
        <v>x</v>
      </c>
    </row>
    <row r="634" spans="1:19" hidden="1" x14ac:dyDescent="0.25">
      <c r="A634" s="7" t="s">
        <v>2384</v>
      </c>
      <c r="B634" s="7" t="s">
        <v>20</v>
      </c>
      <c r="C634" s="7" t="s">
        <v>2335</v>
      </c>
      <c r="D634" s="7" t="s">
        <v>2336</v>
      </c>
      <c r="E634" s="7" t="s">
        <v>20</v>
      </c>
      <c r="F634" s="7" t="s">
        <v>20</v>
      </c>
      <c r="G634" s="7" t="s">
        <v>2337</v>
      </c>
      <c r="H634" s="7" t="s">
        <v>20</v>
      </c>
      <c r="I634" s="8" t="s">
        <v>2385</v>
      </c>
      <c r="J634" s="7" t="s">
        <v>2386</v>
      </c>
      <c r="K634" s="7" t="s">
        <v>2387</v>
      </c>
      <c r="L634" s="7" t="s">
        <v>64</v>
      </c>
      <c r="M634" s="7" t="s">
        <v>65</v>
      </c>
      <c r="N634" s="9" t="s">
        <v>111</v>
      </c>
      <c r="O634" s="7" t="s">
        <v>67</v>
      </c>
      <c r="P634" s="7" t="s">
        <v>20</v>
      </c>
      <c r="Q634" s="7"/>
      <c r="R634" s="7" t="str" cm="1">
        <f t="array" ref="R634">IF(AND(Q634="",P634&lt;&gt;""),N634,_xlfn.SWITCH(IF(Q634&lt;&gt;"",Q634,O634)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Centers",IF(Q634&lt;&gt;"",Q634,O634)))</f>
        <v>Leiter/in des Service Centers</v>
      </c>
      <c r="S634" s="7" t="str">
        <f>IF(N634&lt;&gt;R634,"x","")</f>
        <v>x</v>
      </c>
    </row>
    <row r="635" spans="1:19" hidden="1" x14ac:dyDescent="0.25">
      <c r="A635" s="7" t="s">
        <v>2388</v>
      </c>
      <c r="B635" s="7" t="s">
        <v>20</v>
      </c>
      <c r="C635" s="7" t="s">
        <v>2335</v>
      </c>
      <c r="D635" s="7" t="s">
        <v>2336</v>
      </c>
      <c r="E635" s="7" t="s">
        <v>20</v>
      </c>
      <c r="F635" s="7" t="s">
        <v>20</v>
      </c>
      <c r="G635" s="7" t="s">
        <v>2337</v>
      </c>
      <c r="H635" s="7" t="s">
        <v>20</v>
      </c>
      <c r="I635" s="8" t="s">
        <v>122</v>
      </c>
      <c r="J635" s="7" t="s">
        <v>2389</v>
      </c>
      <c r="K635" s="7" t="s">
        <v>2390</v>
      </c>
      <c r="L635" s="7" t="s">
        <v>97</v>
      </c>
      <c r="M635" s="7" t="s">
        <v>98</v>
      </c>
      <c r="N635" s="9" t="s">
        <v>66</v>
      </c>
      <c r="O635" s="7" t="s">
        <v>99</v>
      </c>
      <c r="P635" s="7" t="s">
        <v>20</v>
      </c>
      <c r="Q635" s="7"/>
      <c r="R635" s="7" t="str" cm="1">
        <f t="array" ref="R635">IF(AND(Q635="",P635&lt;&gt;""),N635,_xlfn.SWITCH(IF(Q635&lt;&gt;"",Q635,O635)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Centers",IF(Q635&lt;&gt;"",Q635,O635)))</f>
        <v>Hauptagent/in</v>
      </c>
      <c r="S635" s="7" t="str">
        <f>IF(N635&lt;&gt;R635,"x","")</f>
        <v>x</v>
      </c>
    </row>
    <row r="636" spans="1:19" hidden="1" x14ac:dyDescent="0.25">
      <c r="A636" s="7" t="s">
        <v>2391</v>
      </c>
      <c r="B636" s="7" t="s">
        <v>20</v>
      </c>
      <c r="C636" s="7" t="s">
        <v>2335</v>
      </c>
      <c r="D636" s="7" t="s">
        <v>2336</v>
      </c>
      <c r="E636" s="7" t="s">
        <v>20</v>
      </c>
      <c r="F636" s="7" t="s">
        <v>20</v>
      </c>
      <c r="G636" s="7" t="s">
        <v>2337</v>
      </c>
      <c r="H636" s="7" t="s">
        <v>20</v>
      </c>
      <c r="I636" s="8" t="s">
        <v>1116</v>
      </c>
      <c r="J636" s="7" t="s">
        <v>2392</v>
      </c>
      <c r="K636" s="7" t="s">
        <v>2393</v>
      </c>
      <c r="L636" s="7" t="s">
        <v>27</v>
      </c>
      <c r="M636" s="7" t="s">
        <v>28</v>
      </c>
      <c r="N636" s="9" t="s">
        <v>111</v>
      </c>
      <c r="O636" s="7" t="s">
        <v>30</v>
      </c>
      <c r="P636" s="7" t="s">
        <v>20</v>
      </c>
      <c r="Q636" s="7"/>
      <c r="R636" s="7" t="str" cm="1">
        <f t="array" ref="R636">IF(AND(Q636="",P636&lt;&gt;""),N636,_xlfn.SWITCH(IF(Q636&lt;&gt;"",Q636,O636)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Centers",IF(Q636&lt;&gt;"",Q636,O636)))</f>
        <v>Agenturleiter/in</v>
      </c>
      <c r="S636" s="7" t="str">
        <f>IF(N636&lt;&gt;R636,"x","")</f>
        <v>x</v>
      </c>
    </row>
    <row r="637" spans="1:19" hidden="1" x14ac:dyDescent="0.25">
      <c r="A637" s="7" t="s">
        <v>2394</v>
      </c>
      <c r="B637" s="7" t="s">
        <v>20</v>
      </c>
      <c r="C637" s="7" t="s">
        <v>2335</v>
      </c>
      <c r="D637" s="7" t="s">
        <v>2336</v>
      </c>
      <c r="E637" s="7" t="s">
        <v>20</v>
      </c>
      <c r="F637" s="7" t="s">
        <v>20</v>
      </c>
      <c r="G637" s="7" t="s">
        <v>2337</v>
      </c>
      <c r="H637" s="7" t="s">
        <v>20</v>
      </c>
      <c r="I637" s="8" t="s">
        <v>1910</v>
      </c>
      <c r="J637" s="7" t="s">
        <v>2395</v>
      </c>
      <c r="K637" s="7" t="s">
        <v>2396</v>
      </c>
      <c r="L637" s="7" t="s">
        <v>27</v>
      </c>
      <c r="M637" s="7" t="s">
        <v>28</v>
      </c>
      <c r="N637" s="9" t="s">
        <v>66</v>
      </c>
      <c r="O637" s="7" t="s">
        <v>30</v>
      </c>
      <c r="P637" s="7" t="s">
        <v>20</v>
      </c>
      <c r="Q637" s="7"/>
      <c r="R637" s="7" t="str" cm="1">
        <f t="array" ref="R637">IF(AND(Q637="",P637&lt;&gt;""),N637,_xlfn.SWITCH(IF(Q637&lt;&gt;"",Q637,O637)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Centers",IF(Q637&lt;&gt;"",Q637,O637)))</f>
        <v>Agenturleiter/in</v>
      </c>
      <c r="S637" s="7" t="str">
        <f>IF(N637&lt;&gt;R637,"x","")</f>
        <v>x</v>
      </c>
    </row>
    <row r="638" spans="1:19" hidden="1" x14ac:dyDescent="0.25">
      <c r="A638" s="7" t="s">
        <v>2397</v>
      </c>
      <c r="B638" s="7" t="s">
        <v>20</v>
      </c>
      <c r="C638" s="7" t="s">
        <v>2335</v>
      </c>
      <c r="D638" s="7" t="s">
        <v>2336</v>
      </c>
      <c r="E638" s="7" t="s">
        <v>20</v>
      </c>
      <c r="F638" s="7" t="s">
        <v>20</v>
      </c>
      <c r="G638" s="7" t="s">
        <v>2337</v>
      </c>
      <c r="H638" s="7" t="s">
        <v>20</v>
      </c>
      <c r="I638" s="8" t="s">
        <v>433</v>
      </c>
      <c r="J638" s="7" t="s">
        <v>2398</v>
      </c>
      <c r="K638" s="7" t="s">
        <v>2399</v>
      </c>
      <c r="L638" s="7" t="s">
        <v>97</v>
      </c>
      <c r="M638" s="7" t="s">
        <v>98</v>
      </c>
      <c r="N638" s="9" t="s">
        <v>66</v>
      </c>
      <c r="O638" s="7" t="s">
        <v>99</v>
      </c>
      <c r="P638" s="7" t="s">
        <v>20</v>
      </c>
      <c r="Q638" s="7"/>
      <c r="R638" s="7" t="str" cm="1">
        <f t="array" ref="R638">IF(AND(Q638="",P638&lt;&gt;""),N638,_xlfn.SWITCH(IF(Q638&lt;&gt;"",Q638,O638)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Centers",IF(Q638&lt;&gt;"",Q638,O638)))</f>
        <v>Hauptagent/in</v>
      </c>
      <c r="S638" s="7" t="str">
        <f>IF(N638&lt;&gt;R638,"x","")</f>
        <v>x</v>
      </c>
    </row>
    <row r="639" spans="1:19" hidden="1" x14ac:dyDescent="0.25">
      <c r="A639" s="7" t="s">
        <v>2400</v>
      </c>
      <c r="B639" s="7" t="s">
        <v>20</v>
      </c>
      <c r="C639" s="7" t="s">
        <v>2335</v>
      </c>
      <c r="D639" s="7" t="s">
        <v>2336</v>
      </c>
      <c r="E639" s="7" t="s">
        <v>20</v>
      </c>
      <c r="F639" s="7" t="s">
        <v>20</v>
      </c>
      <c r="G639" s="7" t="s">
        <v>2337</v>
      </c>
      <c r="H639" s="7" t="s">
        <v>20</v>
      </c>
      <c r="I639" s="8" t="s">
        <v>2401</v>
      </c>
      <c r="J639" s="7" t="s">
        <v>2402</v>
      </c>
      <c r="K639" s="7" t="s">
        <v>2403</v>
      </c>
      <c r="L639" s="7" t="s">
        <v>64</v>
      </c>
      <c r="M639" s="7" t="s">
        <v>65</v>
      </c>
      <c r="N639" s="9" t="s">
        <v>75</v>
      </c>
      <c r="O639" s="7" t="s">
        <v>510</v>
      </c>
      <c r="P639" s="7" t="s">
        <v>20</v>
      </c>
      <c r="Q639" s="7"/>
      <c r="R639" s="7" t="str" cm="1">
        <f t="array" ref="R639">IF(AND(Q639="",P639&lt;&gt;""),N639,_xlfn.SWITCH(IF(Q639&lt;&gt;"",Q639,O639)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Centers",IF(Q639&lt;&gt;"",Q639,O639)))</f>
        <v>Leiter/in des Service Centers</v>
      </c>
      <c r="S639" s="7" t="str">
        <f>IF(N639&lt;&gt;R639,"x","")</f>
        <v>x</v>
      </c>
    </row>
    <row r="640" spans="1:19" hidden="1" x14ac:dyDescent="0.25">
      <c r="A640" s="7" t="s">
        <v>2404</v>
      </c>
      <c r="B640" s="7" t="s">
        <v>20</v>
      </c>
      <c r="C640" s="7" t="s">
        <v>2335</v>
      </c>
      <c r="D640" s="7" t="s">
        <v>2336</v>
      </c>
      <c r="E640" s="7" t="s">
        <v>20</v>
      </c>
      <c r="F640" s="7" t="s">
        <v>20</v>
      </c>
      <c r="G640" s="7" t="s">
        <v>2337</v>
      </c>
      <c r="H640" s="7" t="s">
        <v>20</v>
      </c>
      <c r="I640" s="8" t="s">
        <v>830</v>
      </c>
      <c r="J640" s="7" t="s">
        <v>2405</v>
      </c>
      <c r="K640" s="7" t="s">
        <v>2406</v>
      </c>
      <c r="L640" s="7" t="s">
        <v>40</v>
      </c>
      <c r="M640" s="7" t="s">
        <v>41</v>
      </c>
      <c r="N640" s="9" t="s">
        <v>75</v>
      </c>
      <c r="O640" s="7" t="s">
        <v>48</v>
      </c>
      <c r="P640" s="7" t="s">
        <v>20</v>
      </c>
      <c r="Q640" s="7"/>
      <c r="R640" s="7" t="str" cm="1">
        <f t="array" ref="R640">IF(AND(Q640="",P640&lt;&gt;""),N640,_xlfn.SWITCH(IF(Q640&lt;&gt;"",Q640,O640)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Centers",IF(Q640&lt;&gt;"",Q640,O640)))</f>
        <v>Repräsentant/in</v>
      </c>
      <c r="S640" s="7" t="str">
        <f>IF(N640&lt;&gt;R640,"x","")</f>
        <v>x</v>
      </c>
    </row>
    <row r="641" spans="1:19" hidden="1" x14ac:dyDescent="0.25">
      <c r="A641" s="7" t="s">
        <v>2407</v>
      </c>
      <c r="B641" s="7" t="s">
        <v>20</v>
      </c>
      <c r="C641" s="7" t="s">
        <v>2335</v>
      </c>
      <c r="D641" s="7" t="s">
        <v>2336</v>
      </c>
      <c r="E641" s="7" t="s">
        <v>20</v>
      </c>
      <c r="F641" s="7" t="s">
        <v>20</v>
      </c>
      <c r="G641" s="7" t="s">
        <v>2337</v>
      </c>
      <c r="H641" s="7" t="s">
        <v>20</v>
      </c>
      <c r="I641" s="8" t="s">
        <v>132</v>
      </c>
      <c r="J641" s="7" t="s">
        <v>2408</v>
      </c>
      <c r="K641" s="7" t="s">
        <v>2409</v>
      </c>
      <c r="L641" s="7" t="s">
        <v>27</v>
      </c>
      <c r="M641" s="7" t="s">
        <v>28</v>
      </c>
      <c r="N641" s="9" t="s">
        <v>80</v>
      </c>
      <c r="O641" s="7" t="s">
        <v>30</v>
      </c>
      <c r="P641" s="7" t="s">
        <v>20</v>
      </c>
      <c r="Q641" s="7"/>
      <c r="R641" s="7" t="str" cm="1">
        <f t="array" ref="R641">IF(AND(Q641="",P641&lt;&gt;""),N641,_xlfn.SWITCH(IF(Q641&lt;&gt;"",Q641,O641)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Centers",IF(Q641&lt;&gt;"",Q641,O641)))</f>
        <v>Agenturleiter/in</v>
      </c>
      <c r="S641" s="7" t="str">
        <f>IF(N641&lt;&gt;R641,"x","")</f>
        <v>x</v>
      </c>
    </row>
    <row r="642" spans="1:19" hidden="1" x14ac:dyDescent="0.25">
      <c r="A642" s="7" t="s">
        <v>2410</v>
      </c>
      <c r="B642" s="7" t="s">
        <v>20</v>
      </c>
      <c r="C642" s="7" t="s">
        <v>2335</v>
      </c>
      <c r="D642" s="7" t="s">
        <v>2336</v>
      </c>
      <c r="E642" s="7" t="s">
        <v>20</v>
      </c>
      <c r="F642" s="7" t="s">
        <v>20</v>
      </c>
      <c r="G642" s="7" t="s">
        <v>2337</v>
      </c>
      <c r="H642" s="7" t="s">
        <v>20</v>
      </c>
      <c r="I642" s="8" t="s">
        <v>2411</v>
      </c>
      <c r="J642" s="7" t="s">
        <v>2412</v>
      </c>
      <c r="K642" s="7" t="s">
        <v>2413</v>
      </c>
      <c r="L642" s="7" t="s">
        <v>228</v>
      </c>
      <c r="M642" s="7" t="s">
        <v>229</v>
      </c>
      <c r="N642" s="9" t="s">
        <v>75</v>
      </c>
      <c r="O642" s="7" t="s">
        <v>30</v>
      </c>
      <c r="P642" s="7" t="s">
        <v>20</v>
      </c>
      <c r="Q642" s="7" t="s">
        <v>30</v>
      </c>
      <c r="R642" s="7" t="str" cm="1">
        <f t="array" ref="R642">IF(AND(Q642="",P642&lt;&gt;""),N642,_xlfn.SWITCH(IF(Q642&lt;&gt;"",Q642,O642)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Centers",IF(Q642&lt;&gt;"",Q642,O642)))</f>
        <v>Agenturleiter/in</v>
      </c>
      <c r="S642" s="7" t="str">
        <f>IF(N642&lt;&gt;R642,"x","")</f>
        <v>x</v>
      </c>
    </row>
    <row r="643" spans="1:19" hidden="1" x14ac:dyDescent="0.25">
      <c r="A643" s="7" t="s">
        <v>2414</v>
      </c>
      <c r="B643" s="7" t="s">
        <v>20</v>
      </c>
      <c r="C643" s="7" t="s">
        <v>2335</v>
      </c>
      <c r="D643" s="7" t="s">
        <v>2336</v>
      </c>
      <c r="E643" s="7" t="s">
        <v>20</v>
      </c>
      <c r="F643" s="7" t="s">
        <v>20</v>
      </c>
      <c r="G643" s="7" t="s">
        <v>2337</v>
      </c>
      <c r="H643" s="7" t="s">
        <v>20</v>
      </c>
      <c r="I643" s="8" t="s">
        <v>2415</v>
      </c>
      <c r="J643" s="7" t="s">
        <v>2416</v>
      </c>
      <c r="K643" s="7" t="s">
        <v>2417</v>
      </c>
      <c r="L643" s="7" t="s">
        <v>64</v>
      </c>
      <c r="M643" s="7" t="s">
        <v>65</v>
      </c>
      <c r="N643" s="9" t="s">
        <v>75</v>
      </c>
      <c r="O643" s="7" t="s">
        <v>67</v>
      </c>
      <c r="P643" s="7" t="s">
        <v>20</v>
      </c>
      <c r="Q643" s="7"/>
      <c r="R643" s="7" t="str" cm="1">
        <f t="array" ref="R643">IF(AND(Q643="",P643&lt;&gt;""),N643,_xlfn.SWITCH(IF(Q643&lt;&gt;"",Q643,O643)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Centers",IF(Q643&lt;&gt;"",Q643,O643)))</f>
        <v>Leiter/in des Service Centers</v>
      </c>
      <c r="S643" s="7" t="str">
        <f>IF(N643&lt;&gt;R643,"x","")</f>
        <v>x</v>
      </c>
    </row>
    <row r="644" spans="1:19" hidden="1" x14ac:dyDescent="0.25">
      <c r="A644" s="7" t="s">
        <v>2418</v>
      </c>
      <c r="B644" s="7" t="s">
        <v>20</v>
      </c>
      <c r="C644" s="7" t="s">
        <v>2335</v>
      </c>
      <c r="D644" s="7" t="s">
        <v>2336</v>
      </c>
      <c r="E644" s="7" t="s">
        <v>20</v>
      </c>
      <c r="F644" s="7" t="s">
        <v>20</v>
      </c>
      <c r="G644" s="7" t="s">
        <v>2337</v>
      </c>
      <c r="H644" s="7" t="s">
        <v>20</v>
      </c>
      <c r="I644" s="8" t="s">
        <v>2419</v>
      </c>
      <c r="J644" s="7" t="s">
        <v>2374</v>
      </c>
      <c r="K644" s="7" t="s">
        <v>2420</v>
      </c>
      <c r="L644" s="7" t="s">
        <v>40</v>
      </c>
      <c r="M644" s="7" t="s">
        <v>41</v>
      </c>
      <c r="N644" s="9" t="s">
        <v>75</v>
      </c>
      <c r="O644" s="7" t="s">
        <v>88</v>
      </c>
      <c r="P644" s="7" t="s">
        <v>20</v>
      </c>
      <c r="Q644" s="7"/>
      <c r="R644" s="7" t="str" cm="1">
        <f t="array" ref="R644">IF(AND(Q644="",P644&lt;&gt;""),N644,_xlfn.SWITCH(IF(Q644&lt;&gt;"",Q644,O644)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Centers",IF(Q644&lt;&gt;"",Q644,O644)))</f>
        <v>Kundenberater/in</v>
      </c>
      <c r="S644" s="7" t="str">
        <f>IF(N644&lt;&gt;R644,"x","")</f>
        <v>x</v>
      </c>
    </row>
    <row r="645" spans="1:19" hidden="1" x14ac:dyDescent="0.25">
      <c r="A645" s="7" t="s">
        <v>2421</v>
      </c>
      <c r="B645" s="7" t="s">
        <v>20</v>
      </c>
      <c r="C645" s="7" t="s">
        <v>2335</v>
      </c>
      <c r="D645" s="7" t="s">
        <v>2336</v>
      </c>
      <c r="E645" s="7" t="s">
        <v>20</v>
      </c>
      <c r="F645" s="7" t="s">
        <v>20</v>
      </c>
      <c r="G645" s="7" t="s">
        <v>2337</v>
      </c>
      <c r="H645" s="7" t="s">
        <v>20</v>
      </c>
      <c r="I645" s="8" t="s">
        <v>593</v>
      </c>
      <c r="J645" s="7" t="s">
        <v>2422</v>
      </c>
      <c r="K645" s="7" t="s">
        <v>2423</v>
      </c>
      <c r="L645" s="7" t="s">
        <v>40</v>
      </c>
      <c r="M645" s="7" t="s">
        <v>41</v>
      </c>
      <c r="N645" s="9" t="s">
        <v>80</v>
      </c>
      <c r="O645" s="7" t="s">
        <v>43</v>
      </c>
      <c r="P645" s="7" t="s">
        <v>20</v>
      </c>
      <c r="Q645" s="7"/>
      <c r="R645" s="7" t="str" cm="1">
        <f t="array" ref="R645">IF(AND(Q645="",P645&lt;&gt;""),N645,_xlfn.SWITCH(IF(Q645&lt;&gt;"",Q645,O645)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Centers",IF(Q645&lt;&gt;"",Q645,O645)))</f>
        <v>Repräsentant/in</v>
      </c>
      <c r="S645" s="7" t="str">
        <f>IF(N645&lt;&gt;R645,"x","")</f>
        <v>x</v>
      </c>
    </row>
    <row r="646" spans="1:19" hidden="1" x14ac:dyDescent="0.25">
      <c r="A646" s="7" t="s">
        <v>2424</v>
      </c>
      <c r="B646" s="7" t="s">
        <v>20</v>
      </c>
      <c r="C646" s="7" t="s">
        <v>2335</v>
      </c>
      <c r="D646" s="7" t="s">
        <v>2336</v>
      </c>
      <c r="E646" s="7" t="s">
        <v>20</v>
      </c>
      <c r="F646" s="7" t="s">
        <v>20</v>
      </c>
      <c r="G646" s="7" t="s">
        <v>2337</v>
      </c>
      <c r="H646" s="7" t="s">
        <v>20</v>
      </c>
      <c r="I646" s="8" t="s">
        <v>2425</v>
      </c>
      <c r="J646" s="7" t="s">
        <v>2426</v>
      </c>
      <c r="K646" s="7" t="s">
        <v>2427</v>
      </c>
      <c r="L646" s="7" t="s">
        <v>27</v>
      </c>
      <c r="M646" s="7" t="s">
        <v>28</v>
      </c>
      <c r="N646" s="9" t="s">
        <v>75</v>
      </c>
      <c r="O646" s="7" t="s">
        <v>30</v>
      </c>
      <c r="P646" s="7" t="s">
        <v>20</v>
      </c>
      <c r="Q646" s="7"/>
      <c r="R646" s="7" t="str" cm="1">
        <f t="array" ref="R646">IF(AND(Q646="",P646&lt;&gt;""),N646,_xlfn.SWITCH(IF(Q646&lt;&gt;"",Q646,O646)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Centers",IF(Q646&lt;&gt;"",Q646,O646)))</f>
        <v>Agenturleiter/in</v>
      </c>
      <c r="S646" s="7" t="str">
        <f>IF(N646&lt;&gt;R646,"x","")</f>
        <v>x</v>
      </c>
    </row>
    <row r="647" spans="1:19" hidden="1" x14ac:dyDescent="0.25">
      <c r="A647" s="7" t="s">
        <v>2428</v>
      </c>
      <c r="B647" s="7" t="s">
        <v>20</v>
      </c>
      <c r="C647" s="7" t="s">
        <v>2335</v>
      </c>
      <c r="D647" s="7" t="s">
        <v>2336</v>
      </c>
      <c r="E647" s="7" t="s">
        <v>20</v>
      </c>
      <c r="F647" s="7" t="s">
        <v>20</v>
      </c>
      <c r="G647" s="7" t="s">
        <v>2337</v>
      </c>
      <c r="H647" s="7" t="s">
        <v>20</v>
      </c>
      <c r="I647" s="8" t="s">
        <v>1589</v>
      </c>
      <c r="J647" s="7" t="s">
        <v>2429</v>
      </c>
      <c r="K647" s="7" t="s">
        <v>2430</v>
      </c>
      <c r="L647" s="7" t="s">
        <v>40</v>
      </c>
      <c r="M647" s="7" t="s">
        <v>41</v>
      </c>
      <c r="N647" s="9" t="s">
        <v>75</v>
      </c>
      <c r="O647" s="7" t="s">
        <v>88</v>
      </c>
      <c r="P647" s="7" t="s">
        <v>20</v>
      </c>
      <c r="Q647" s="7"/>
      <c r="R647" s="7" t="str" cm="1">
        <f t="array" ref="R647">IF(AND(Q647="",P647&lt;&gt;""),N647,_xlfn.SWITCH(IF(Q647&lt;&gt;"",Q647,O647)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Centers",IF(Q647&lt;&gt;"",Q647,O647)))</f>
        <v>Kundenberater/in</v>
      </c>
      <c r="S647" s="7" t="str">
        <f>IF(N647&lt;&gt;R647,"x","")</f>
        <v>x</v>
      </c>
    </row>
    <row r="648" spans="1:19" hidden="1" x14ac:dyDescent="0.25">
      <c r="A648" s="7" t="s">
        <v>2431</v>
      </c>
      <c r="B648" s="7" t="s">
        <v>20</v>
      </c>
      <c r="C648" s="7" t="s">
        <v>2335</v>
      </c>
      <c r="D648" s="7" t="s">
        <v>2336</v>
      </c>
      <c r="E648" s="7" t="s">
        <v>20</v>
      </c>
      <c r="F648" s="7" t="s">
        <v>20</v>
      </c>
      <c r="G648" s="7" t="s">
        <v>2337</v>
      </c>
      <c r="H648" s="7" t="s">
        <v>20</v>
      </c>
      <c r="I648" s="8" t="s">
        <v>186</v>
      </c>
      <c r="J648" s="7" t="s">
        <v>2432</v>
      </c>
      <c r="K648" s="7" t="s">
        <v>63</v>
      </c>
      <c r="L648" s="7" t="s">
        <v>27</v>
      </c>
      <c r="M648" s="7" t="s">
        <v>28</v>
      </c>
      <c r="N648" s="9" t="s">
        <v>59</v>
      </c>
      <c r="O648" s="7" t="s">
        <v>30</v>
      </c>
      <c r="P648" s="7" t="s">
        <v>49</v>
      </c>
      <c r="Q648" s="7"/>
      <c r="R648" s="7" t="str" cm="1">
        <f t="array" ref="R648">IF(AND(Q648="",P648&lt;&gt;""),N648,_xlfn.SWITCH(IF(Q648&lt;&gt;"",Q648,O648)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Centers",IF(Q648&lt;&gt;"",Q648,O648)))</f>
        <v>Leiter/in des Service Centers</v>
      </c>
      <c r="S648" s="7" t="str">
        <f>IF(N648&lt;&gt;R648,"x","")</f>
        <v/>
      </c>
    </row>
    <row r="649" spans="1:19" hidden="1" x14ac:dyDescent="0.25">
      <c r="A649" s="7" t="s">
        <v>2433</v>
      </c>
      <c r="B649" s="7" t="s">
        <v>20</v>
      </c>
      <c r="C649" s="7" t="s">
        <v>2335</v>
      </c>
      <c r="D649" s="7" t="s">
        <v>2336</v>
      </c>
      <c r="E649" s="7" t="s">
        <v>20</v>
      </c>
      <c r="F649" s="7" t="s">
        <v>20</v>
      </c>
      <c r="G649" s="7" t="s">
        <v>2337</v>
      </c>
      <c r="H649" s="7" t="s">
        <v>20</v>
      </c>
      <c r="I649" s="8" t="s">
        <v>104</v>
      </c>
      <c r="J649" s="7" t="s">
        <v>1654</v>
      </c>
      <c r="K649" s="7" t="s">
        <v>2434</v>
      </c>
      <c r="L649" s="7" t="s">
        <v>27</v>
      </c>
      <c r="M649" s="7" t="s">
        <v>28</v>
      </c>
      <c r="N649" s="9" t="s">
        <v>29</v>
      </c>
      <c r="O649" s="7" t="s">
        <v>30</v>
      </c>
      <c r="P649" s="7" t="s">
        <v>20</v>
      </c>
      <c r="Q649" s="9" t="s">
        <v>29</v>
      </c>
      <c r="R649" s="7" t="str" cm="1">
        <f t="array" ref="R649">IF(AND(Q649="",P649&lt;&gt;""),N649,_xlfn.SWITCH(IF(Q649&lt;&gt;"",Q649,O649)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Centers",IF(Q649&lt;&gt;"",Q649,O649)))</f>
        <v>Generalagent/in</v>
      </c>
      <c r="S649" s="7" t="str">
        <f>IF(N649&lt;&gt;R649,"x","")</f>
        <v/>
      </c>
    </row>
    <row r="650" spans="1:19" hidden="1" x14ac:dyDescent="0.25">
      <c r="A650" s="7" t="s">
        <v>2435</v>
      </c>
      <c r="B650" s="7" t="s">
        <v>20</v>
      </c>
      <c r="C650" s="7" t="s">
        <v>2335</v>
      </c>
      <c r="D650" s="7" t="s">
        <v>2336</v>
      </c>
      <c r="E650" s="7" t="s">
        <v>20</v>
      </c>
      <c r="F650" s="7" t="s">
        <v>20</v>
      </c>
      <c r="G650" s="7" t="s">
        <v>2337</v>
      </c>
      <c r="H650" s="7" t="s">
        <v>20</v>
      </c>
      <c r="I650" s="8" t="s">
        <v>923</v>
      </c>
      <c r="J650" s="7" t="s">
        <v>2436</v>
      </c>
      <c r="K650" s="7" t="s">
        <v>2437</v>
      </c>
      <c r="L650" s="7" t="s">
        <v>40</v>
      </c>
      <c r="M650" s="7" t="s">
        <v>41</v>
      </c>
      <c r="N650" s="9" t="s">
        <v>75</v>
      </c>
      <c r="O650" s="7" t="s">
        <v>48</v>
      </c>
      <c r="P650" s="7" t="s">
        <v>20</v>
      </c>
      <c r="Q650" s="7"/>
      <c r="R650" s="7" t="str" cm="1">
        <f t="array" ref="R650">IF(AND(Q650="",P650&lt;&gt;""),N650,_xlfn.SWITCH(IF(Q650&lt;&gt;"",Q650,O650)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Centers",IF(Q650&lt;&gt;"",Q650,O650)))</f>
        <v>Repräsentant/in</v>
      </c>
      <c r="S650" s="7" t="str">
        <f>IF(N650&lt;&gt;R650,"x","")</f>
        <v>x</v>
      </c>
    </row>
    <row r="651" spans="1:19" hidden="1" x14ac:dyDescent="0.25">
      <c r="A651" s="7" t="s">
        <v>2438</v>
      </c>
      <c r="B651" s="7" t="s">
        <v>20</v>
      </c>
      <c r="C651" s="7" t="s">
        <v>2335</v>
      </c>
      <c r="D651" s="7" t="s">
        <v>2336</v>
      </c>
      <c r="E651" s="7" t="s">
        <v>20</v>
      </c>
      <c r="F651" s="7" t="s">
        <v>20</v>
      </c>
      <c r="G651" s="7" t="s">
        <v>2337</v>
      </c>
      <c r="H651" s="7" t="s">
        <v>20</v>
      </c>
      <c r="I651" s="8" t="s">
        <v>496</v>
      </c>
      <c r="J651" s="7" t="s">
        <v>2439</v>
      </c>
      <c r="K651" s="7" t="s">
        <v>2440</v>
      </c>
      <c r="L651" s="7" t="s">
        <v>40</v>
      </c>
      <c r="M651" s="7" t="s">
        <v>41</v>
      </c>
      <c r="N651" s="9" t="s">
        <v>75</v>
      </c>
      <c r="O651" s="7" t="s">
        <v>48</v>
      </c>
      <c r="P651" s="7" t="s">
        <v>20</v>
      </c>
      <c r="Q651" s="7"/>
      <c r="R651" s="7" t="str" cm="1">
        <f t="array" ref="R651">IF(AND(Q651="",P651&lt;&gt;""),N651,_xlfn.SWITCH(IF(Q651&lt;&gt;"",Q651,O651)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Centers",IF(Q651&lt;&gt;"",Q651,O651)))</f>
        <v>Repräsentant/in</v>
      </c>
      <c r="S651" s="7" t="str">
        <f>IF(N651&lt;&gt;R651,"x","")</f>
        <v>x</v>
      </c>
    </row>
    <row r="652" spans="1:19" hidden="1" x14ac:dyDescent="0.25">
      <c r="A652" s="7" t="s">
        <v>2441</v>
      </c>
      <c r="B652" s="7" t="s">
        <v>20</v>
      </c>
      <c r="C652" s="7" t="s">
        <v>2335</v>
      </c>
      <c r="D652" s="7" t="s">
        <v>2336</v>
      </c>
      <c r="E652" s="7" t="s">
        <v>20</v>
      </c>
      <c r="F652" s="7" t="s">
        <v>20</v>
      </c>
      <c r="G652" s="7" t="s">
        <v>2337</v>
      </c>
      <c r="H652" s="7" t="s">
        <v>20</v>
      </c>
      <c r="I652" s="8" t="s">
        <v>2442</v>
      </c>
      <c r="J652" s="7" t="s">
        <v>2443</v>
      </c>
      <c r="K652" s="7" t="s">
        <v>2444</v>
      </c>
      <c r="L652" s="7" t="s">
        <v>40</v>
      </c>
      <c r="M652" s="7" t="s">
        <v>41</v>
      </c>
      <c r="N652" s="9" t="s">
        <v>75</v>
      </c>
      <c r="O652" s="7" t="s">
        <v>88</v>
      </c>
      <c r="P652" s="7" t="s">
        <v>20</v>
      </c>
      <c r="Q652" s="7"/>
      <c r="R652" s="7" t="str" cm="1">
        <f t="array" ref="R652">IF(AND(Q652="",P652&lt;&gt;""),N652,_xlfn.SWITCH(IF(Q652&lt;&gt;"",Q652,O652)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Centers",IF(Q652&lt;&gt;"",Q652,O652)))</f>
        <v>Kundenberater/in</v>
      </c>
      <c r="S652" s="7" t="str">
        <f>IF(N652&lt;&gt;R652,"x","")</f>
        <v>x</v>
      </c>
    </row>
    <row r="653" spans="1:19" hidden="1" x14ac:dyDescent="0.25">
      <c r="A653" s="7" t="s">
        <v>2445</v>
      </c>
      <c r="B653" s="7" t="s">
        <v>20</v>
      </c>
      <c r="C653" s="7" t="s">
        <v>2335</v>
      </c>
      <c r="D653" s="7" t="s">
        <v>2336</v>
      </c>
      <c r="E653" s="7" t="s">
        <v>20</v>
      </c>
      <c r="F653" s="7" t="s">
        <v>20</v>
      </c>
      <c r="G653" s="7" t="s">
        <v>2337</v>
      </c>
      <c r="H653" s="7" t="s">
        <v>20</v>
      </c>
      <c r="I653" s="8" t="s">
        <v>2446</v>
      </c>
      <c r="J653" s="7" t="s">
        <v>2447</v>
      </c>
      <c r="K653" s="7" t="s">
        <v>2448</v>
      </c>
      <c r="L653" s="7" t="s">
        <v>40</v>
      </c>
      <c r="M653" s="7" t="s">
        <v>41</v>
      </c>
      <c r="N653" s="9" t="s">
        <v>80</v>
      </c>
      <c r="O653" s="7" t="s">
        <v>48</v>
      </c>
      <c r="P653" s="7" t="s">
        <v>20</v>
      </c>
      <c r="Q653" s="7"/>
      <c r="R653" s="7" t="str" cm="1">
        <f t="array" ref="R653">IF(AND(Q653="",P653&lt;&gt;""),N653,_xlfn.SWITCH(IF(Q653&lt;&gt;"",Q653,O653)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Centers",IF(Q653&lt;&gt;"",Q653,O653)))</f>
        <v>Repräsentant/in</v>
      </c>
      <c r="S653" s="7" t="str">
        <f>IF(N653&lt;&gt;R653,"x","")</f>
        <v>x</v>
      </c>
    </row>
    <row r="654" spans="1:19" hidden="1" x14ac:dyDescent="0.25">
      <c r="A654" s="7" t="s">
        <v>2449</v>
      </c>
      <c r="B654" s="7" t="s">
        <v>20</v>
      </c>
      <c r="C654" s="7" t="s">
        <v>2335</v>
      </c>
      <c r="D654" s="7" t="s">
        <v>2336</v>
      </c>
      <c r="E654" s="7" t="s">
        <v>20</v>
      </c>
      <c r="F654" s="7" t="s">
        <v>20</v>
      </c>
      <c r="G654" s="7" t="s">
        <v>2337</v>
      </c>
      <c r="H654" s="7" t="s">
        <v>20</v>
      </c>
      <c r="I654" s="8" t="s">
        <v>770</v>
      </c>
      <c r="J654" s="7" t="s">
        <v>2450</v>
      </c>
      <c r="K654" s="7" t="s">
        <v>2451</v>
      </c>
      <c r="L654" s="7" t="s">
        <v>40</v>
      </c>
      <c r="M654" s="7" t="s">
        <v>41</v>
      </c>
      <c r="N654" s="9" t="s">
        <v>75</v>
      </c>
      <c r="O654" s="7" t="s">
        <v>48</v>
      </c>
      <c r="P654" s="7" t="s">
        <v>20</v>
      </c>
      <c r="Q654" s="7"/>
      <c r="R654" s="7" t="str" cm="1">
        <f t="array" ref="R654">IF(AND(Q654="",P654&lt;&gt;""),N654,_xlfn.SWITCH(IF(Q654&lt;&gt;"",Q654,O654)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Centers",IF(Q654&lt;&gt;"",Q654,O654)))</f>
        <v>Repräsentant/in</v>
      </c>
      <c r="S654" s="7" t="str">
        <f>IF(N654&lt;&gt;R654,"x","")</f>
        <v>x</v>
      </c>
    </row>
    <row r="655" spans="1:19" hidden="1" x14ac:dyDescent="0.25">
      <c r="A655" s="7" t="s">
        <v>2452</v>
      </c>
      <c r="B655" s="7" t="s">
        <v>20</v>
      </c>
      <c r="C655" s="7" t="s">
        <v>2335</v>
      </c>
      <c r="D655" s="7" t="s">
        <v>2336</v>
      </c>
      <c r="E655" s="7" t="s">
        <v>20</v>
      </c>
      <c r="F655" s="7" t="s">
        <v>20</v>
      </c>
      <c r="G655" s="7" t="s">
        <v>2337</v>
      </c>
      <c r="H655" s="7" t="s">
        <v>20</v>
      </c>
      <c r="I655" s="8" t="s">
        <v>56</v>
      </c>
      <c r="J655" s="7" t="s">
        <v>2453</v>
      </c>
      <c r="K655" s="7" t="s">
        <v>2454</v>
      </c>
      <c r="L655" s="7" t="s">
        <v>40</v>
      </c>
      <c r="M655" s="7" t="s">
        <v>41</v>
      </c>
      <c r="N655" s="9" t="s">
        <v>75</v>
      </c>
      <c r="O655" s="7" t="s">
        <v>48</v>
      </c>
      <c r="P655" s="7" t="s">
        <v>20</v>
      </c>
      <c r="Q655" s="7"/>
      <c r="R655" s="7" t="str" cm="1">
        <f t="array" ref="R655">IF(AND(Q655="",P655&lt;&gt;""),N655,_xlfn.SWITCH(IF(Q655&lt;&gt;"",Q655,O655)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Centers",IF(Q655&lt;&gt;"",Q655,O655)))</f>
        <v>Repräsentant/in</v>
      </c>
      <c r="S655" s="7" t="str">
        <f>IF(N655&lt;&gt;R655,"x","")</f>
        <v>x</v>
      </c>
    </row>
    <row r="656" spans="1:19" hidden="1" x14ac:dyDescent="0.25">
      <c r="A656" s="7" t="s">
        <v>2455</v>
      </c>
      <c r="B656" s="7" t="s">
        <v>20</v>
      </c>
      <c r="C656" s="7" t="s">
        <v>2335</v>
      </c>
      <c r="D656" s="7" t="s">
        <v>2336</v>
      </c>
      <c r="E656" s="7" t="s">
        <v>20</v>
      </c>
      <c r="F656" s="7" t="s">
        <v>20</v>
      </c>
      <c r="G656" s="7" t="s">
        <v>2337</v>
      </c>
      <c r="H656" s="7" t="s">
        <v>20</v>
      </c>
      <c r="I656" s="8" t="s">
        <v>2456</v>
      </c>
      <c r="J656" s="7" t="s">
        <v>2426</v>
      </c>
      <c r="K656" s="7" t="s">
        <v>2457</v>
      </c>
      <c r="L656" s="7" t="s">
        <v>1939</v>
      </c>
      <c r="M656" s="7" t="s">
        <v>41</v>
      </c>
      <c r="N656" s="9" t="s">
        <v>80</v>
      </c>
      <c r="O656" s="7" t="s">
        <v>43</v>
      </c>
      <c r="P656" s="7" t="s">
        <v>20</v>
      </c>
      <c r="Q656" s="7"/>
      <c r="R656" s="7" t="str" cm="1">
        <f t="array" ref="R656">IF(AND(Q656="",P656&lt;&gt;""),N656,_xlfn.SWITCH(IF(Q656&lt;&gt;"",Q656,O656)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Centers",IF(Q656&lt;&gt;"",Q656,O656)))</f>
        <v>Repräsentant/in</v>
      </c>
      <c r="S656" s="7" t="str">
        <f>IF(N656&lt;&gt;R656,"x","")</f>
        <v>x</v>
      </c>
    </row>
    <row r="657" spans="1:19" hidden="1" x14ac:dyDescent="0.25">
      <c r="A657" s="7" t="s">
        <v>2458</v>
      </c>
      <c r="B657" s="7" t="s">
        <v>20</v>
      </c>
      <c r="C657" s="7" t="s">
        <v>2335</v>
      </c>
      <c r="D657" s="7" t="s">
        <v>2336</v>
      </c>
      <c r="E657" s="7" t="s">
        <v>20</v>
      </c>
      <c r="F657" s="7" t="s">
        <v>20</v>
      </c>
      <c r="G657" s="7" t="s">
        <v>2337</v>
      </c>
      <c r="H657" s="7" t="s">
        <v>20</v>
      </c>
      <c r="I657" s="8" t="s">
        <v>2459</v>
      </c>
      <c r="J657" s="7" t="s">
        <v>2460</v>
      </c>
      <c r="K657" s="7" t="s">
        <v>2461</v>
      </c>
      <c r="L657" s="7" t="s">
        <v>40</v>
      </c>
      <c r="M657" s="7" t="s">
        <v>41</v>
      </c>
      <c r="N657" s="9" t="s">
        <v>75</v>
      </c>
      <c r="O657" s="7" t="s">
        <v>120</v>
      </c>
      <c r="P657" s="7" t="s">
        <v>20</v>
      </c>
      <c r="Q657" s="7"/>
      <c r="R657" s="7" t="str" cm="1">
        <f t="array" ref="R657">IF(AND(Q657="",P657&lt;&gt;""),N657,_xlfn.SWITCH(IF(Q657&lt;&gt;"",Q657,O657)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Centers",IF(Q657&lt;&gt;"",Q657,O657)))</f>
        <v>Kundenberater/in</v>
      </c>
      <c r="S657" s="7" t="str">
        <f>IF(N657&lt;&gt;R657,"x","")</f>
        <v>x</v>
      </c>
    </row>
    <row r="658" spans="1:19" hidden="1" x14ac:dyDescent="0.25">
      <c r="A658" s="7" t="s">
        <v>2462</v>
      </c>
      <c r="B658" s="7" t="s">
        <v>20</v>
      </c>
      <c r="C658" s="7" t="s">
        <v>2335</v>
      </c>
      <c r="D658" s="7" t="s">
        <v>2336</v>
      </c>
      <c r="E658" s="7" t="s">
        <v>20</v>
      </c>
      <c r="F658" s="7" t="s">
        <v>20</v>
      </c>
      <c r="G658" s="7" t="s">
        <v>2337</v>
      </c>
      <c r="H658" s="7" t="s">
        <v>20</v>
      </c>
      <c r="I658" s="8" t="s">
        <v>2463</v>
      </c>
      <c r="J658" s="7" t="s">
        <v>2341</v>
      </c>
      <c r="K658" s="7" t="s">
        <v>2464</v>
      </c>
      <c r="L658" s="7" t="s">
        <v>40</v>
      </c>
      <c r="M658" s="7" t="s">
        <v>41</v>
      </c>
      <c r="N658" s="9" t="s">
        <v>75</v>
      </c>
      <c r="O658" s="7" t="s">
        <v>88</v>
      </c>
      <c r="P658" s="7" t="s">
        <v>20</v>
      </c>
      <c r="Q658" s="7"/>
      <c r="R658" s="7" t="str" cm="1">
        <f t="array" ref="R658">IF(AND(Q658="",P658&lt;&gt;""),N658,_xlfn.SWITCH(IF(Q658&lt;&gt;"",Q658,O658)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Centers",IF(Q658&lt;&gt;"",Q658,O658)))</f>
        <v>Kundenberater/in</v>
      </c>
      <c r="S658" s="7" t="str">
        <f>IF(N658&lt;&gt;R658,"x","")</f>
        <v>x</v>
      </c>
    </row>
    <row r="659" spans="1:19" hidden="1" x14ac:dyDescent="0.25">
      <c r="A659" s="7" t="s">
        <v>2465</v>
      </c>
      <c r="B659" s="7" t="s">
        <v>20</v>
      </c>
      <c r="C659" s="7" t="s">
        <v>2335</v>
      </c>
      <c r="D659" s="7" t="s">
        <v>2336</v>
      </c>
      <c r="E659" s="7" t="s">
        <v>20</v>
      </c>
      <c r="F659" s="7" t="s">
        <v>20</v>
      </c>
      <c r="G659" s="7" t="s">
        <v>2337</v>
      </c>
      <c r="H659" s="7" t="s">
        <v>20</v>
      </c>
      <c r="I659" s="8" t="s">
        <v>877</v>
      </c>
      <c r="J659" s="7" t="s">
        <v>2466</v>
      </c>
      <c r="K659" s="7" t="s">
        <v>2467</v>
      </c>
      <c r="L659" s="7" t="s">
        <v>40</v>
      </c>
      <c r="M659" s="7" t="s">
        <v>41</v>
      </c>
      <c r="N659" s="9" t="s">
        <v>75</v>
      </c>
      <c r="O659" s="7" t="s">
        <v>48</v>
      </c>
      <c r="P659" s="7" t="s">
        <v>20</v>
      </c>
      <c r="Q659" s="7"/>
      <c r="R659" s="7" t="str" cm="1">
        <f t="array" ref="R659">IF(AND(Q659="",P659&lt;&gt;""),N659,_xlfn.SWITCH(IF(Q659&lt;&gt;"",Q659,O659)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Centers",IF(Q659&lt;&gt;"",Q659,O659)))</f>
        <v>Repräsentant/in</v>
      </c>
      <c r="S659" s="7" t="str">
        <f>IF(N659&lt;&gt;R659,"x","")</f>
        <v>x</v>
      </c>
    </row>
    <row r="660" spans="1:19" hidden="1" x14ac:dyDescent="0.25">
      <c r="A660" s="7" t="s">
        <v>2468</v>
      </c>
      <c r="B660" s="7" t="s">
        <v>20</v>
      </c>
      <c r="C660" s="7" t="s">
        <v>2335</v>
      </c>
      <c r="D660" s="7" t="s">
        <v>2336</v>
      </c>
      <c r="E660" s="7" t="s">
        <v>20</v>
      </c>
      <c r="F660" s="7" t="s">
        <v>20</v>
      </c>
      <c r="G660" s="7" t="s">
        <v>2337</v>
      </c>
      <c r="H660" s="7" t="s">
        <v>20</v>
      </c>
      <c r="I660" s="8" t="s">
        <v>2469</v>
      </c>
      <c r="J660" s="7" t="s">
        <v>2470</v>
      </c>
      <c r="K660" s="7" t="s">
        <v>2471</v>
      </c>
      <c r="L660" s="7" t="s">
        <v>40</v>
      </c>
      <c r="M660" s="7" t="s">
        <v>41</v>
      </c>
      <c r="N660" s="9" t="s">
        <v>75</v>
      </c>
      <c r="O660" s="7" t="s">
        <v>88</v>
      </c>
      <c r="P660" s="7" t="s">
        <v>20</v>
      </c>
      <c r="Q660" s="7"/>
      <c r="R660" s="7" t="str" cm="1">
        <f t="array" ref="R660">IF(AND(Q660="",P660&lt;&gt;""),N660,_xlfn.SWITCH(IF(Q660&lt;&gt;"",Q660,O660)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Centers",IF(Q660&lt;&gt;"",Q660,O660)))</f>
        <v>Kundenberater/in</v>
      </c>
      <c r="S660" s="7" t="str">
        <f>IF(N660&lt;&gt;R660,"x","")</f>
        <v>x</v>
      </c>
    </row>
    <row r="661" spans="1:19" hidden="1" x14ac:dyDescent="0.25">
      <c r="A661" s="7" t="s">
        <v>2472</v>
      </c>
      <c r="B661" s="7" t="s">
        <v>20</v>
      </c>
      <c r="C661" s="7" t="s">
        <v>2473</v>
      </c>
      <c r="D661" s="7" t="s">
        <v>2474</v>
      </c>
      <c r="E661" s="7" t="s">
        <v>20</v>
      </c>
      <c r="F661" s="7" t="s">
        <v>20</v>
      </c>
      <c r="G661" s="7" t="s">
        <v>2475</v>
      </c>
      <c r="H661" s="7" t="s">
        <v>20</v>
      </c>
      <c r="I661" s="8" t="s">
        <v>2476</v>
      </c>
      <c r="J661" s="7" t="s">
        <v>2477</v>
      </c>
      <c r="K661" s="7" t="s">
        <v>2478</v>
      </c>
      <c r="L661" s="7" t="s">
        <v>64</v>
      </c>
      <c r="M661" s="7" t="s">
        <v>65</v>
      </c>
      <c r="N661" s="9" t="s">
        <v>149</v>
      </c>
      <c r="O661" s="7" t="s">
        <v>67</v>
      </c>
      <c r="P661" s="7" t="s">
        <v>20</v>
      </c>
      <c r="Q661" s="7"/>
      <c r="R661" s="7" t="str" cm="1">
        <f t="array" ref="R661">IF(AND(Q661="",P661&lt;&gt;""),N661,_xlfn.SWITCH(IF(Q661&lt;&gt;"",Q661,O661)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Centers",IF(Q661&lt;&gt;"",Q661,O661)))</f>
        <v>Leiter/in des Service Centers</v>
      </c>
      <c r="S661" s="7" t="str">
        <f>IF(N661&lt;&gt;R661,"x","")</f>
        <v>x</v>
      </c>
    </row>
    <row r="662" spans="1:19" hidden="1" x14ac:dyDescent="0.25">
      <c r="A662" s="7" t="s">
        <v>2479</v>
      </c>
      <c r="B662" s="7" t="s">
        <v>20</v>
      </c>
      <c r="C662" s="7" t="s">
        <v>2473</v>
      </c>
      <c r="D662" s="7" t="s">
        <v>2474</v>
      </c>
      <c r="E662" s="7" t="s">
        <v>20</v>
      </c>
      <c r="F662" s="7" t="s">
        <v>20</v>
      </c>
      <c r="G662" s="7" t="s">
        <v>2475</v>
      </c>
      <c r="H662" s="7" t="s">
        <v>20</v>
      </c>
      <c r="I662" s="8" t="s">
        <v>2480</v>
      </c>
      <c r="J662" s="7" t="s">
        <v>2481</v>
      </c>
      <c r="K662" s="7" t="s">
        <v>2482</v>
      </c>
      <c r="L662" s="7" t="s">
        <v>40</v>
      </c>
      <c r="M662" s="7" t="s">
        <v>41</v>
      </c>
      <c r="N662" s="9" t="s">
        <v>66</v>
      </c>
      <c r="O662" s="7" t="s">
        <v>48</v>
      </c>
      <c r="P662" s="7" t="s">
        <v>20</v>
      </c>
      <c r="Q662" s="7"/>
      <c r="R662" s="7" t="str" cm="1">
        <f t="array" ref="R662">IF(AND(Q662="",P662&lt;&gt;""),N662,_xlfn.SWITCH(IF(Q662&lt;&gt;"",Q662,O662)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Centers",IF(Q662&lt;&gt;"",Q662,O662)))</f>
        <v>Repräsentant/in</v>
      </c>
      <c r="S662" s="7" t="str">
        <f>IF(N662&lt;&gt;R662,"x","")</f>
        <v/>
      </c>
    </row>
    <row r="663" spans="1:19" hidden="1" x14ac:dyDescent="0.25">
      <c r="A663" s="7" t="s">
        <v>2483</v>
      </c>
      <c r="B663" s="7" t="s">
        <v>20</v>
      </c>
      <c r="C663" s="7" t="s">
        <v>2473</v>
      </c>
      <c r="D663" s="7" t="s">
        <v>2474</v>
      </c>
      <c r="E663" s="7" t="s">
        <v>20</v>
      </c>
      <c r="F663" s="7" t="s">
        <v>20</v>
      </c>
      <c r="G663" s="7" t="s">
        <v>2475</v>
      </c>
      <c r="H663" s="7" t="s">
        <v>20</v>
      </c>
      <c r="I663" s="8" t="s">
        <v>2484</v>
      </c>
      <c r="J663" s="7" t="s">
        <v>2485</v>
      </c>
      <c r="K663" s="7" t="s">
        <v>2486</v>
      </c>
      <c r="L663" s="7" t="s">
        <v>40</v>
      </c>
      <c r="M663" s="7" t="s">
        <v>41</v>
      </c>
      <c r="N663" s="9" t="s">
        <v>75</v>
      </c>
      <c r="O663" s="7" t="s">
        <v>48</v>
      </c>
      <c r="P663" s="7" t="s">
        <v>20</v>
      </c>
      <c r="Q663" s="7"/>
      <c r="R663" s="7" t="str" cm="1">
        <f t="array" ref="R663">IF(AND(Q663="",P663&lt;&gt;""),N663,_xlfn.SWITCH(IF(Q663&lt;&gt;"",Q663,O663)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Centers",IF(Q663&lt;&gt;"",Q663,O663)))</f>
        <v>Repräsentant/in</v>
      </c>
      <c r="S663" s="7" t="str">
        <f>IF(N663&lt;&gt;R663,"x","")</f>
        <v>x</v>
      </c>
    </row>
    <row r="664" spans="1:19" x14ac:dyDescent="0.25">
      <c r="A664" s="7" t="s">
        <v>2487</v>
      </c>
      <c r="B664" s="7" t="s">
        <v>20</v>
      </c>
      <c r="C664" s="7" t="s">
        <v>2473</v>
      </c>
      <c r="D664" s="7" t="s">
        <v>2474</v>
      </c>
      <c r="E664" s="7" t="s">
        <v>20</v>
      </c>
      <c r="F664" s="7" t="s">
        <v>20</v>
      </c>
      <c r="G664" s="7" t="s">
        <v>2475</v>
      </c>
      <c r="H664" s="7" t="s">
        <v>20</v>
      </c>
      <c r="I664" s="8" t="s">
        <v>122</v>
      </c>
      <c r="J664" s="7" t="s">
        <v>1394</v>
      </c>
      <c r="K664" s="7" t="s">
        <v>2488</v>
      </c>
      <c r="L664" s="7" t="s">
        <v>64</v>
      </c>
      <c r="M664" s="7" t="s">
        <v>65</v>
      </c>
      <c r="N664" s="9" t="s">
        <v>93</v>
      </c>
      <c r="O664" s="7" t="s">
        <v>67</v>
      </c>
      <c r="P664" s="7" t="s">
        <v>20</v>
      </c>
      <c r="Q664" s="7"/>
      <c r="R664" s="7" t="str" cm="1">
        <f t="array" ref="R664">IF(AND(Q664="",P664&lt;&gt;""),N664,_xlfn.SWITCH(IF(Q664&lt;&gt;"",Q664,O664)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Centers",IF(Q664&lt;&gt;"",Q664,O664)))</f>
        <v>Leiter/in des Service Centers</v>
      </c>
      <c r="S664" s="7" t="str">
        <f>IF(N664&lt;&gt;R664,"x","")</f>
        <v>x</v>
      </c>
    </row>
    <row r="665" spans="1:19" hidden="1" x14ac:dyDescent="0.25">
      <c r="A665" s="7" t="s">
        <v>2489</v>
      </c>
      <c r="B665" s="7" t="s">
        <v>20</v>
      </c>
      <c r="C665" s="7" t="s">
        <v>2473</v>
      </c>
      <c r="D665" s="7" t="s">
        <v>2474</v>
      </c>
      <c r="E665" s="7" t="s">
        <v>20</v>
      </c>
      <c r="F665" s="7" t="s">
        <v>20</v>
      </c>
      <c r="G665" s="7" t="s">
        <v>2475</v>
      </c>
      <c r="H665" s="7" t="s">
        <v>20</v>
      </c>
      <c r="I665" s="8" t="s">
        <v>90</v>
      </c>
      <c r="J665" s="7" t="s">
        <v>2490</v>
      </c>
      <c r="K665" s="7" t="s">
        <v>2491</v>
      </c>
      <c r="L665" s="7" t="s">
        <v>27</v>
      </c>
      <c r="M665" s="7" t="s">
        <v>28</v>
      </c>
      <c r="N665" s="9" t="s">
        <v>149</v>
      </c>
      <c r="O665" s="7" t="s">
        <v>30</v>
      </c>
      <c r="P665" s="7" t="s">
        <v>20</v>
      </c>
      <c r="Q665" s="7"/>
      <c r="R665" s="7" t="str" cm="1">
        <f t="array" ref="R665">IF(AND(Q665="",P665&lt;&gt;""),N665,_xlfn.SWITCH(IF(Q665&lt;&gt;"",Q665,O665)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Centers",IF(Q665&lt;&gt;"",Q665,O665)))</f>
        <v>Agenturleiter/in</v>
      </c>
      <c r="S665" s="7" t="str">
        <f>IF(N665&lt;&gt;R665,"x","")</f>
        <v>x</v>
      </c>
    </row>
    <row r="666" spans="1:19" hidden="1" x14ac:dyDescent="0.25">
      <c r="A666" s="7" t="s">
        <v>2492</v>
      </c>
      <c r="B666" s="7" t="s">
        <v>20</v>
      </c>
      <c r="C666" s="7" t="s">
        <v>2473</v>
      </c>
      <c r="D666" s="7" t="s">
        <v>2474</v>
      </c>
      <c r="E666" s="7" t="s">
        <v>20</v>
      </c>
      <c r="F666" s="7" t="s">
        <v>20</v>
      </c>
      <c r="G666" s="7" t="s">
        <v>2475</v>
      </c>
      <c r="H666" s="7" t="s">
        <v>20</v>
      </c>
      <c r="I666" s="8" t="s">
        <v>2493</v>
      </c>
      <c r="J666" s="7" t="s">
        <v>2494</v>
      </c>
      <c r="K666" s="7" t="s">
        <v>2495</v>
      </c>
      <c r="L666" s="7" t="s">
        <v>97</v>
      </c>
      <c r="M666" s="7" t="s">
        <v>98</v>
      </c>
      <c r="N666" s="9" t="s">
        <v>75</v>
      </c>
      <c r="O666" s="7" t="s">
        <v>99</v>
      </c>
      <c r="P666" s="7" t="s">
        <v>20</v>
      </c>
      <c r="Q666" s="7"/>
      <c r="R666" s="7" t="str" cm="1">
        <f t="array" ref="R666">IF(AND(Q666="",P666&lt;&gt;""),N666,_xlfn.SWITCH(IF(Q666&lt;&gt;"",Q666,O666)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Centers",IF(Q666&lt;&gt;"",Q666,O666)))</f>
        <v>Hauptagent/in</v>
      </c>
      <c r="S666" s="7" t="str">
        <f>IF(N666&lt;&gt;R666,"x","")</f>
        <v>x</v>
      </c>
    </row>
    <row r="667" spans="1:19" hidden="1" x14ac:dyDescent="0.25">
      <c r="A667" s="7" t="s">
        <v>2496</v>
      </c>
      <c r="B667" s="7" t="s">
        <v>20</v>
      </c>
      <c r="C667" s="7" t="s">
        <v>2473</v>
      </c>
      <c r="D667" s="7" t="s">
        <v>2474</v>
      </c>
      <c r="E667" s="7" t="s">
        <v>20</v>
      </c>
      <c r="F667" s="7" t="s">
        <v>20</v>
      </c>
      <c r="G667" s="7" t="s">
        <v>2475</v>
      </c>
      <c r="H667" s="7" t="s">
        <v>20</v>
      </c>
      <c r="I667" s="8" t="s">
        <v>2497</v>
      </c>
      <c r="J667" s="7" t="s">
        <v>2498</v>
      </c>
      <c r="K667" s="7" t="s">
        <v>2499</v>
      </c>
      <c r="L667" s="7" t="s">
        <v>40</v>
      </c>
      <c r="M667" s="7" t="s">
        <v>41</v>
      </c>
      <c r="N667" s="9" t="s">
        <v>66</v>
      </c>
      <c r="O667" s="7" t="s">
        <v>43</v>
      </c>
      <c r="P667" s="7" t="s">
        <v>20</v>
      </c>
      <c r="Q667" s="7"/>
      <c r="R667" s="7" t="str" cm="1">
        <f t="array" ref="R667">IF(AND(Q667="",P667&lt;&gt;""),N667,_xlfn.SWITCH(IF(Q667&lt;&gt;"",Q667,O667)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Centers",IF(Q667&lt;&gt;"",Q667,O667)))</f>
        <v>Repräsentant/in</v>
      </c>
      <c r="S667" s="7" t="str">
        <f>IF(N667&lt;&gt;R667,"x","")</f>
        <v/>
      </c>
    </row>
    <row r="668" spans="1:19" hidden="1" x14ac:dyDescent="0.25">
      <c r="A668" s="7" t="s">
        <v>2500</v>
      </c>
      <c r="B668" s="7" t="s">
        <v>20</v>
      </c>
      <c r="C668" s="7" t="s">
        <v>2473</v>
      </c>
      <c r="D668" s="7" t="s">
        <v>2474</v>
      </c>
      <c r="E668" s="7" t="s">
        <v>20</v>
      </c>
      <c r="F668" s="7" t="s">
        <v>20</v>
      </c>
      <c r="G668" s="7" t="s">
        <v>2475</v>
      </c>
      <c r="H668" s="7" t="s">
        <v>20</v>
      </c>
      <c r="I668" s="8" t="s">
        <v>32</v>
      </c>
      <c r="J668" s="7" t="s">
        <v>2501</v>
      </c>
      <c r="K668" s="7" t="s">
        <v>2502</v>
      </c>
      <c r="L668" s="7" t="s">
        <v>124</v>
      </c>
      <c r="M668" s="7" t="s">
        <v>125</v>
      </c>
      <c r="N668" s="9" t="s">
        <v>126</v>
      </c>
      <c r="O668" s="7" t="s">
        <v>67</v>
      </c>
      <c r="P668" s="7" t="s">
        <v>20</v>
      </c>
      <c r="Q668" s="9" t="s">
        <v>126</v>
      </c>
      <c r="R668" s="7" t="str" cm="1">
        <f t="array" ref="R668">IF(AND(Q668="",P668&lt;&gt;""),N668,_xlfn.SWITCH(IF(Q668&lt;&gt;"",Q668,O668)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Centers",IF(Q668&lt;&gt;"",Q668,O668)))</f>
        <v>Leiter einer Hauptgeschäftsstelle</v>
      </c>
      <c r="S668" s="7" t="str">
        <f>IF(N668&lt;&gt;R668,"x","")</f>
        <v/>
      </c>
    </row>
    <row r="669" spans="1:19" hidden="1" x14ac:dyDescent="0.25">
      <c r="A669" s="7" t="s">
        <v>2503</v>
      </c>
      <c r="B669" s="7" t="s">
        <v>20</v>
      </c>
      <c r="C669" s="7" t="s">
        <v>2473</v>
      </c>
      <c r="D669" s="7" t="s">
        <v>2474</v>
      </c>
      <c r="E669" s="7" t="s">
        <v>20</v>
      </c>
      <c r="F669" s="7" t="s">
        <v>20</v>
      </c>
      <c r="G669" s="7" t="s">
        <v>2475</v>
      </c>
      <c r="H669" s="7" t="s">
        <v>20</v>
      </c>
      <c r="I669" s="8" t="s">
        <v>2504</v>
      </c>
      <c r="J669" s="7" t="s">
        <v>2505</v>
      </c>
      <c r="K669" s="7" t="s">
        <v>63</v>
      </c>
      <c r="L669" s="7" t="s">
        <v>40</v>
      </c>
      <c r="M669" s="7" t="s">
        <v>41</v>
      </c>
      <c r="N669" s="9" t="s">
        <v>149</v>
      </c>
      <c r="O669" s="7" t="s">
        <v>48</v>
      </c>
      <c r="P669" s="7" t="s">
        <v>49</v>
      </c>
      <c r="Q669" s="7"/>
      <c r="R669" s="7" t="str" cm="1">
        <f t="array" ref="R669">IF(AND(Q669="",P669&lt;&gt;""),N669,_xlfn.SWITCH(IF(Q669&lt;&gt;"",Q669,O669)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Centers",IF(Q669&lt;&gt;"",Q669,O669)))</f>
        <v>Generalagent</v>
      </c>
      <c r="S669" s="7" t="str">
        <f>IF(N669&lt;&gt;R669,"x","")</f>
        <v/>
      </c>
    </row>
    <row r="670" spans="1:19" hidden="1" x14ac:dyDescent="0.25">
      <c r="A670" s="7" t="s">
        <v>2506</v>
      </c>
      <c r="B670" s="7" t="s">
        <v>20</v>
      </c>
      <c r="C670" s="7" t="s">
        <v>2473</v>
      </c>
      <c r="D670" s="7" t="s">
        <v>2474</v>
      </c>
      <c r="E670" s="7" t="s">
        <v>20</v>
      </c>
      <c r="F670" s="7" t="s">
        <v>20</v>
      </c>
      <c r="G670" s="7" t="s">
        <v>2475</v>
      </c>
      <c r="H670" s="7" t="s">
        <v>20</v>
      </c>
      <c r="I670" s="8" t="s">
        <v>324</v>
      </c>
      <c r="J670" s="7" t="s">
        <v>2507</v>
      </c>
      <c r="K670" s="7" t="s">
        <v>63</v>
      </c>
      <c r="L670" s="7" t="s">
        <v>228</v>
      </c>
      <c r="M670" s="7" t="s">
        <v>229</v>
      </c>
      <c r="N670" s="9" t="s">
        <v>59</v>
      </c>
      <c r="O670" s="7" t="s">
        <v>30</v>
      </c>
      <c r="P670" s="7" t="s">
        <v>49</v>
      </c>
      <c r="Q670" s="7"/>
      <c r="R670" s="7" t="str" cm="1">
        <f t="array" ref="R670">IF(AND(Q670="",P670&lt;&gt;""),N670,_xlfn.SWITCH(IF(Q670&lt;&gt;"",Q670,O670)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Centers",IF(Q670&lt;&gt;"",Q670,O670)))</f>
        <v>Leiter/in des Service Centers</v>
      </c>
      <c r="S670" s="7" t="str">
        <f>IF(N670&lt;&gt;R670,"x","")</f>
        <v/>
      </c>
    </row>
    <row r="671" spans="1:19" hidden="1" x14ac:dyDescent="0.25">
      <c r="A671" s="7" t="s">
        <v>2508</v>
      </c>
      <c r="B671" s="7" t="s">
        <v>20</v>
      </c>
      <c r="C671" s="7" t="s">
        <v>2473</v>
      </c>
      <c r="D671" s="7" t="s">
        <v>2474</v>
      </c>
      <c r="E671" s="7" t="s">
        <v>20</v>
      </c>
      <c r="F671" s="7" t="s">
        <v>20</v>
      </c>
      <c r="G671" s="7" t="s">
        <v>2475</v>
      </c>
      <c r="H671" s="7" t="s">
        <v>20</v>
      </c>
      <c r="I671" s="8" t="s">
        <v>190</v>
      </c>
      <c r="J671" s="7" t="s">
        <v>2509</v>
      </c>
      <c r="K671" s="7" t="s">
        <v>2510</v>
      </c>
      <c r="L671" s="7" t="s">
        <v>228</v>
      </c>
      <c r="M671" s="7" t="s">
        <v>229</v>
      </c>
      <c r="N671" s="9" t="s">
        <v>35</v>
      </c>
      <c r="O671" s="7" t="s">
        <v>54</v>
      </c>
      <c r="P671" s="7" t="s">
        <v>20</v>
      </c>
      <c r="Q671" s="7"/>
      <c r="R671" s="7" t="str" cm="1">
        <f t="array" ref="R671">IF(AND(Q671="",P671&lt;&gt;""),N671,_xlfn.SWITCH(IF(Q671&lt;&gt;"",Q671,O671)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Centers",IF(Q671&lt;&gt;"",Q671,O671)))</f>
        <v>Agenturleiter/in</v>
      </c>
      <c r="S671" s="7" t="str">
        <f>IF(N671&lt;&gt;R671,"x","")</f>
        <v>x</v>
      </c>
    </row>
    <row r="672" spans="1:19" hidden="1" x14ac:dyDescent="0.25">
      <c r="A672" s="7" t="s">
        <v>2511</v>
      </c>
      <c r="B672" s="7" t="s">
        <v>20</v>
      </c>
      <c r="C672" s="7" t="s">
        <v>2473</v>
      </c>
      <c r="D672" s="7" t="s">
        <v>2474</v>
      </c>
      <c r="E672" s="7" t="s">
        <v>20</v>
      </c>
      <c r="F672" s="7" t="s">
        <v>20</v>
      </c>
      <c r="G672" s="7" t="s">
        <v>2475</v>
      </c>
      <c r="H672" s="7" t="s">
        <v>20</v>
      </c>
      <c r="I672" s="8" t="s">
        <v>433</v>
      </c>
      <c r="J672" s="7" t="s">
        <v>2507</v>
      </c>
      <c r="K672" s="7" t="s">
        <v>2512</v>
      </c>
      <c r="L672" s="7" t="s">
        <v>97</v>
      </c>
      <c r="M672" s="7" t="s">
        <v>98</v>
      </c>
      <c r="N672" s="9" t="s">
        <v>75</v>
      </c>
      <c r="O672" s="7" t="s">
        <v>99</v>
      </c>
      <c r="P672" s="7" t="s">
        <v>20</v>
      </c>
      <c r="Q672" s="7"/>
      <c r="R672" s="7" t="str" cm="1">
        <f t="array" ref="R672">IF(AND(Q672="",P672&lt;&gt;""),N672,_xlfn.SWITCH(IF(Q672&lt;&gt;"",Q672,O672)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Centers",IF(Q672&lt;&gt;"",Q672,O672)))</f>
        <v>Hauptagent/in</v>
      </c>
      <c r="S672" s="7" t="str">
        <f>IF(N672&lt;&gt;R672,"x","")</f>
        <v>x</v>
      </c>
    </row>
    <row r="673" spans="1:19" hidden="1" x14ac:dyDescent="0.25">
      <c r="A673" s="7" t="s">
        <v>2513</v>
      </c>
      <c r="B673" s="7" t="s">
        <v>20</v>
      </c>
      <c r="C673" s="7" t="s">
        <v>2473</v>
      </c>
      <c r="D673" s="7" t="s">
        <v>2474</v>
      </c>
      <c r="E673" s="7" t="s">
        <v>20</v>
      </c>
      <c r="F673" s="7" t="s">
        <v>20</v>
      </c>
      <c r="G673" s="7" t="s">
        <v>2475</v>
      </c>
      <c r="H673" s="7" t="s">
        <v>20</v>
      </c>
      <c r="I673" s="8" t="s">
        <v>221</v>
      </c>
      <c r="J673" s="7" t="s">
        <v>2514</v>
      </c>
      <c r="K673" s="7" t="s">
        <v>2515</v>
      </c>
      <c r="L673" s="7" t="s">
        <v>228</v>
      </c>
      <c r="M673" s="7" t="s">
        <v>229</v>
      </c>
      <c r="N673" s="9" t="s">
        <v>66</v>
      </c>
      <c r="O673" s="7" t="s">
        <v>30</v>
      </c>
      <c r="P673" s="7" t="s">
        <v>20</v>
      </c>
      <c r="Q673" s="7"/>
      <c r="R673" s="7" t="str" cm="1">
        <f t="array" ref="R673">IF(AND(Q673="",P673&lt;&gt;""),N673,_xlfn.SWITCH(IF(Q673&lt;&gt;"",Q673,O673)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Centers",IF(Q673&lt;&gt;"",Q673,O673)))</f>
        <v>Agenturleiter/in</v>
      </c>
      <c r="S673" s="7" t="str">
        <f>IF(N673&lt;&gt;R673,"x","")</f>
        <v>x</v>
      </c>
    </row>
    <row r="674" spans="1:19" hidden="1" x14ac:dyDescent="0.25">
      <c r="A674" s="7" t="s">
        <v>2516</v>
      </c>
      <c r="B674" s="7" t="s">
        <v>20</v>
      </c>
      <c r="C674" s="7" t="s">
        <v>2473</v>
      </c>
      <c r="D674" s="7" t="s">
        <v>2474</v>
      </c>
      <c r="E674" s="7" t="s">
        <v>20</v>
      </c>
      <c r="F674" s="7" t="s">
        <v>20</v>
      </c>
      <c r="G674" s="7" t="s">
        <v>1832</v>
      </c>
      <c r="H674" s="7" t="s">
        <v>20</v>
      </c>
      <c r="I674" s="8" t="s">
        <v>2517</v>
      </c>
      <c r="J674" s="7" t="s">
        <v>2518</v>
      </c>
      <c r="K674" s="7" t="s">
        <v>2519</v>
      </c>
      <c r="L674" s="7" t="s">
        <v>97</v>
      </c>
      <c r="M674" s="7" t="s">
        <v>98</v>
      </c>
      <c r="N674" s="9" t="s">
        <v>20</v>
      </c>
      <c r="O674" s="7" t="s">
        <v>99</v>
      </c>
      <c r="P674" s="7" t="s">
        <v>20</v>
      </c>
      <c r="Q674" s="7"/>
      <c r="R674" s="7" t="str" cm="1">
        <f t="array" ref="R674">IF(AND(Q674="",P674&lt;&gt;""),N674,_xlfn.SWITCH(IF(Q674&lt;&gt;"",Q674,O674)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Centers",IF(Q674&lt;&gt;"",Q674,O674)))</f>
        <v>Hauptagent/in</v>
      </c>
      <c r="S674" s="7" t="str">
        <f>IF(N674&lt;&gt;R674,"x","")</f>
        <v>x</v>
      </c>
    </row>
    <row r="675" spans="1:19" hidden="1" x14ac:dyDescent="0.25">
      <c r="A675" s="7" t="s">
        <v>2520</v>
      </c>
      <c r="B675" s="7" t="s">
        <v>20</v>
      </c>
      <c r="C675" s="7" t="s">
        <v>2473</v>
      </c>
      <c r="D675" s="7" t="s">
        <v>2474</v>
      </c>
      <c r="E675" s="7" t="s">
        <v>20</v>
      </c>
      <c r="F675" s="7" t="s">
        <v>20</v>
      </c>
      <c r="G675" s="7" t="s">
        <v>2475</v>
      </c>
      <c r="H675" s="7" t="s">
        <v>20</v>
      </c>
      <c r="I675" s="8" t="s">
        <v>1562</v>
      </c>
      <c r="J675" s="7" t="s">
        <v>2521</v>
      </c>
      <c r="K675" s="7" t="s">
        <v>2522</v>
      </c>
      <c r="L675" s="7" t="s">
        <v>40</v>
      </c>
      <c r="M675" s="7" t="s">
        <v>41</v>
      </c>
      <c r="N675" s="9" t="s">
        <v>66</v>
      </c>
      <c r="O675" s="7" t="s">
        <v>48</v>
      </c>
      <c r="P675" s="7" t="s">
        <v>20</v>
      </c>
      <c r="Q675" s="7"/>
      <c r="R675" s="7" t="str" cm="1">
        <f t="array" ref="R675">IF(AND(Q675="",P675&lt;&gt;""),N675,_xlfn.SWITCH(IF(Q675&lt;&gt;"",Q675,O675)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Centers",IF(Q675&lt;&gt;"",Q675,O675)))</f>
        <v>Repräsentant/in</v>
      </c>
      <c r="S675" s="7" t="str">
        <f>IF(N675&lt;&gt;R675,"x","")</f>
        <v/>
      </c>
    </row>
    <row r="676" spans="1:19" hidden="1" x14ac:dyDescent="0.25">
      <c r="A676" s="7" t="s">
        <v>2523</v>
      </c>
      <c r="B676" s="7" t="s">
        <v>20</v>
      </c>
      <c r="C676" s="7" t="s">
        <v>2473</v>
      </c>
      <c r="D676" s="7" t="s">
        <v>2474</v>
      </c>
      <c r="E676" s="7" t="s">
        <v>20</v>
      </c>
      <c r="F676" s="7" t="s">
        <v>20</v>
      </c>
      <c r="G676" s="7" t="s">
        <v>2475</v>
      </c>
      <c r="H676" s="7" t="s">
        <v>20</v>
      </c>
      <c r="I676" s="8" t="s">
        <v>1105</v>
      </c>
      <c r="J676" s="7" t="s">
        <v>2524</v>
      </c>
      <c r="K676" s="7" t="s">
        <v>2525</v>
      </c>
      <c r="L676" s="7" t="s">
        <v>40</v>
      </c>
      <c r="M676" s="7" t="s">
        <v>41</v>
      </c>
      <c r="N676" s="9" t="s">
        <v>75</v>
      </c>
      <c r="O676" s="7" t="s">
        <v>43</v>
      </c>
      <c r="P676" s="7" t="s">
        <v>20</v>
      </c>
      <c r="Q676" s="7"/>
      <c r="R676" s="7" t="str" cm="1">
        <f t="array" ref="R676">IF(AND(Q676="",P676&lt;&gt;""),N676,_xlfn.SWITCH(IF(Q676&lt;&gt;"",Q676,O676)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Centers",IF(Q676&lt;&gt;"",Q676,O676)))</f>
        <v>Repräsentant/in</v>
      </c>
      <c r="S676" s="7" t="str">
        <f>IF(N676&lt;&gt;R676,"x","")</f>
        <v>x</v>
      </c>
    </row>
    <row r="677" spans="1:19" hidden="1" x14ac:dyDescent="0.25">
      <c r="A677" s="7" t="s">
        <v>2526</v>
      </c>
      <c r="B677" s="7" t="s">
        <v>20</v>
      </c>
      <c r="C677" s="7" t="s">
        <v>2473</v>
      </c>
      <c r="D677" s="7" t="s">
        <v>2474</v>
      </c>
      <c r="E677" s="7" t="s">
        <v>20</v>
      </c>
      <c r="F677" s="7" t="s">
        <v>20</v>
      </c>
      <c r="G677" s="7" t="s">
        <v>2475</v>
      </c>
      <c r="H677" s="7" t="s">
        <v>20</v>
      </c>
      <c r="I677" s="8" t="s">
        <v>2527</v>
      </c>
      <c r="J677" s="7" t="s">
        <v>2528</v>
      </c>
      <c r="K677" s="7" t="s">
        <v>2529</v>
      </c>
      <c r="L677" s="7" t="s">
        <v>40</v>
      </c>
      <c r="M677" s="7" t="s">
        <v>41</v>
      </c>
      <c r="N677" s="9" t="s">
        <v>66</v>
      </c>
      <c r="O677" s="7" t="s">
        <v>43</v>
      </c>
      <c r="P677" s="7" t="s">
        <v>20</v>
      </c>
      <c r="Q677" s="7"/>
      <c r="R677" s="7" t="str" cm="1">
        <f t="array" ref="R677">IF(AND(Q677="",P677&lt;&gt;""),N677,_xlfn.SWITCH(IF(Q677&lt;&gt;"",Q677,O677)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Centers",IF(Q677&lt;&gt;"",Q677,O677)))</f>
        <v>Repräsentant/in</v>
      </c>
      <c r="S677" s="7" t="str">
        <f>IF(N677&lt;&gt;R677,"x","")</f>
        <v/>
      </c>
    </row>
    <row r="678" spans="1:19" hidden="1" x14ac:dyDescent="0.25">
      <c r="A678" s="7" t="s">
        <v>2530</v>
      </c>
      <c r="B678" s="7" t="s">
        <v>20</v>
      </c>
      <c r="C678" s="7" t="s">
        <v>2473</v>
      </c>
      <c r="D678" s="7" t="s">
        <v>2474</v>
      </c>
      <c r="E678" s="7" t="s">
        <v>20</v>
      </c>
      <c r="F678" s="7" t="s">
        <v>20</v>
      </c>
      <c r="G678" s="7" t="s">
        <v>2475</v>
      </c>
      <c r="H678" s="7" t="s">
        <v>20</v>
      </c>
      <c r="I678" s="8" t="s">
        <v>369</v>
      </c>
      <c r="J678" s="7" t="s">
        <v>2531</v>
      </c>
      <c r="K678" s="7" t="s">
        <v>2532</v>
      </c>
      <c r="L678" s="7" t="s">
        <v>97</v>
      </c>
      <c r="M678" s="7" t="s">
        <v>98</v>
      </c>
      <c r="N678" s="9" t="s">
        <v>75</v>
      </c>
      <c r="O678" s="7" t="s">
        <v>99</v>
      </c>
      <c r="P678" s="7" t="s">
        <v>20</v>
      </c>
      <c r="Q678" s="7"/>
      <c r="R678" s="7" t="str" cm="1">
        <f t="array" ref="R678">IF(AND(Q678="",P678&lt;&gt;""),N678,_xlfn.SWITCH(IF(Q678&lt;&gt;"",Q678,O678)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Centers",IF(Q678&lt;&gt;"",Q678,O678)))</f>
        <v>Hauptagent/in</v>
      </c>
      <c r="S678" s="7" t="str">
        <f>IF(N678&lt;&gt;R678,"x","")</f>
        <v>x</v>
      </c>
    </row>
    <row r="679" spans="1:19" hidden="1" x14ac:dyDescent="0.25">
      <c r="A679" s="7" t="s">
        <v>2533</v>
      </c>
      <c r="B679" s="7" t="s">
        <v>20</v>
      </c>
      <c r="C679" s="7" t="s">
        <v>2473</v>
      </c>
      <c r="D679" s="7" t="s">
        <v>2474</v>
      </c>
      <c r="E679" s="7" t="s">
        <v>20</v>
      </c>
      <c r="F679" s="7" t="s">
        <v>20</v>
      </c>
      <c r="G679" s="7" t="s">
        <v>2475</v>
      </c>
      <c r="H679" s="7" t="s">
        <v>20</v>
      </c>
      <c r="I679" s="8" t="s">
        <v>2534</v>
      </c>
      <c r="J679" s="7" t="s">
        <v>2535</v>
      </c>
      <c r="K679" s="7" t="s">
        <v>2536</v>
      </c>
      <c r="L679" s="7" t="s">
        <v>27</v>
      </c>
      <c r="M679" s="7" t="s">
        <v>28</v>
      </c>
      <c r="N679" s="9" t="s">
        <v>75</v>
      </c>
      <c r="O679" s="7" t="s">
        <v>30</v>
      </c>
      <c r="P679" s="7" t="s">
        <v>20</v>
      </c>
      <c r="Q679" s="7"/>
      <c r="R679" s="7" t="str" cm="1">
        <f t="array" ref="R679">IF(AND(Q679="",P679&lt;&gt;""),N679,_xlfn.SWITCH(IF(Q679&lt;&gt;"",Q679,O679)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Centers",IF(Q679&lt;&gt;"",Q679,O679)))</f>
        <v>Agenturleiter/in</v>
      </c>
      <c r="S679" s="7" t="str">
        <f>IF(N679&lt;&gt;R679,"x","")</f>
        <v>x</v>
      </c>
    </row>
    <row r="680" spans="1:19" hidden="1" x14ac:dyDescent="0.25">
      <c r="A680" s="7" t="s">
        <v>2537</v>
      </c>
      <c r="B680" s="7" t="s">
        <v>20</v>
      </c>
      <c r="C680" s="7" t="s">
        <v>2473</v>
      </c>
      <c r="D680" s="7" t="s">
        <v>2474</v>
      </c>
      <c r="E680" s="7" t="s">
        <v>20</v>
      </c>
      <c r="F680" s="7" t="s">
        <v>20</v>
      </c>
      <c r="G680" s="7" t="s">
        <v>2475</v>
      </c>
      <c r="H680" s="7" t="s">
        <v>20</v>
      </c>
      <c r="I680" s="8" t="s">
        <v>2263</v>
      </c>
      <c r="J680" s="7" t="s">
        <v>2538</v>
      </c>
      <c r="K680" s="7" t="s">
        <v>2539</v>
      </c>
      <c r="L680" s="7" t="s">
        <v>40</v>
      </c>
      <c r="M680" s="7" t="s">
        <v>41</v>
      </c>
      <c r="N680" s="9" t="s">
        <v>75</v>
      </c>
      <c r="O680" s="7" t="s">
        <v>48</v>
      </c>
      <c r="P680" s="7" t="s">
        <v>20</v>
      </c>
      <c r="Q680" s="7"/>
      <c r="R680" s="7" t="str" cm="1">
        <f t="array" ref="R680">IF(AND(Q680="",P680&lt;&gt;""),N680,_xlfn.SWITCH(IF(Q680&lt;&gt;"",Q680,O680)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Centers",IF(Q680&lt;&gt;"",Q680,O680)))</f>
        <v>Repräsentant/in</v>
      </c>
      <c r="S680" s="7" t="str">
        <f>IF(N680&lt;&gt;R680,"x","")</f>
        <v>x</v>
      </c>
    </row>
    <row r="681" spans="1:19" hidden="1" x14ac:dyDescent="0.25">
      <c r="A681" s="7" t="s">
        <v>2540</v>
      </c>
      <c r="B681" s="7" t="s">
        <v>20</v>
      </c>
      <c r="C681" s="7" t="s">
        <v>2473</v>
      </c>
      <c r="D681" s="7" t="s">
        <v>2474</v>
      </c>
      <c r="E681" s="7" t="s">
        <v>20</v>
      </c>
      <c r="F681" s="7" t="s">
        <v>20</v>
      </c>
      <c r="G681" s="7" t="s">
        <v>2475</v>
      </c>
      <c r="H681" s="7" t="s">
        <v>20</v>
      </c>
      <c r="I681" s="8" t="s">
        <v>2541</v>
      </c>
      <c r="J681" s="7" t="s">
        <v>2521</v>
      </c>
      <c r="K681" s="7" t="s">
        <v>2542</v>
      </c>
      <c r="L681" s="7" t="s">
        <v>40</v>
      </c>
      <c r="M681" s="7" t="s">
        <v>41</v>
      </c>
      <c r="N681" s="9" t="s">
        <v>75</v>
      </c>
      <c r="O681" s="7" t="s">
        <v>120</v>
      </c>
      <c r="P681" s="7" t="s">
        <v>20</v>
      </c>
      <c r="Q681" s="7"/>
      <c r="R681" s="7" t="str" cm="1">
        <f t="array" ref="R681">IF(AND(Q681="",P681&lt;&gt;""),N681,_xlfn.SWITCH(IF(Q681&lt;&gt;"",Q681,O681)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Centers",IF(Q681&lt;&gt;"",Q681,O681)))</f>
        <v>Kundenberater/in</v>
      </c>
      <c r="S681" s="7" t="str">
        <f>IF(N681&lt;&gt;R681,"x","")</f>
        <v>x</v>
      </c>
    </row>
    <row r="682" spans="1:19" hidden="1" x14ac:dyDescent="0.25">
      <c r="A682" s="7" t="s">
        <v>2543</v>
      </c>
      <c r="B682" s="7" t="s">
        <v>20</v>
      </c>
      <c r="C682" s="7" t="s">
        <v>2473</v>
      </c>
      <c r="D682" s="7" t="s">
        <v>2474</v>
      </c>
      <c r="E682" s="7" t="s">
        <v>20</v>
      </c>
      <c r="F682" s="7" t="s">
        <v>20</v>
      </c>
      <c r="G682" s="7" t="s">
        <v>2475</v>
      </c>
      <c r="H682" s="7" t="s">
        <v>20</v>
      </c>
      <c r="I682" s="8" t="s">
        <v>77</v>
      </c>
      <c r="J682" s="7" t="s">
        <v>2544</v>
      </c>
      <c r="K682" s="7" t="s">
        <v>2545</v>
      </c>
      <c r="L682" s="7" t="s">
        <v>40</v>
      </c>
      <c r="M682" s="7" t="s">
        <v>41</v>
      </c>
      <c r="N682" s="9" t="s">
        <v>75</v>
      </c>
      <c r="O682" s="7" t="s">
        <v>88</v>
      </c>
      <c r="P682" s="7" t="s">
        <v>20</v>
      </c>
      <c r="Q682" s="7"/>
      <c r="R682" s="7" t="str" cm="1">
        <f t="array" ref="R682">IF(AND(Q682="",P682&lt;&gt;""),N682,_xlfn.SWITCH(IF(Q682&lt;&gt;"",Q682,O682)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Centers",IF(Q682&lt;&gt;"",Q682,O682)))</f>
        <v>Kundenberater/in</v>
      </c>
      <c r="S682" s="7" t="str">
        <f>IF(N682&lt;&gt;R682,"x","")</f>
        <v>x</v>
      </c>
    </row>
    <row r="683" spans="1:19" hidden="1" x14ac:dyDescent="0.25">
      <c r="A683" s="7" t="s">
        <v>2546</v>
      </c>
      <c r="B683" s="7" t="s">
        <v>20</v>
      </c>
      <c r="C683" s="7" t="s">
        <v>2473</v>
      </c>
      <c r="D683" s="7" t="s">
        <v>2474</v>
      </c>
      <c r="E683" s="7" t="s">
        <v>20</v>
      </c>
      <c r="F683" s="7" t="s">
        <v>20</v>
      </c>
      <c r="G683" s="7" t="s">
        <v>2475</v>
      </c>
      <c r="H683" s="7" t="s">
        <v>20</v>
      </c>
      <c r="I683" s="8" t="s">
        <v>834</v>
      </c>
      <c r="J683" s="7" t="s">
        <v>2505</v>
      </c>
      <c r="K683" s="7" t="s">
        <v>2547</v>
      </c>
      <c r="L683" s="7" t="s">
        <v>40</v>
      </c>
      <c r="M683" s="7" t="s">
        <v>41</v>
      </c>
      <c r="N683" s="9" t="s">
        <v>75</v>
      </c>
      <c r="O683" s="7" t="s">
        <v>48</v>
      </c>
      <c r="P683" s="7" t="s">
        <v>20</v>
      </c>
      <c r="Q683" s="7"/>
      <c r="R683" s="7" t="str" cm="1">
        <f t="array" ref="R683">IF(AND(Q683="",P683&lt;&gt;""),N683,_xlfn.SWITCH(IF(Q683&lt;&gt;"",Q683,O683)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Centers",IF(Q683&lt;&gt;"",Q683,O683)))</f>
        <v>Repräsentant/in</v>
      </c>
      <c r="S683" s="7" t="str">
        <f>IF(N683&lt;&gt;R683,"x","")</f>
        <v>x</v>
      </c>
    </row>
    <row r="684" spans="1:19" hidden="1" x14ac:dyDescent="0.25">
      <c r="A684" s="7" t="s">
        <v>2548</v>
      </c>
      <c r="B684" s="7" t="s">
        <v>20</v>
      </c>
      <c r="C684" s="7" t="s">
        <v>2473</v>
      </c>
      <c r="D684" s="7" t="s">
        <v>2474</v>
      </c>
      <c r="E684" s="7" t="s">
        <v>20</v>
      </c>
      <c r="F684" s="7" t="s">
        <v>20</v>
      </c>
      <c r="G684" s="7" t="s">
        <v>2475</v>
      </c>
      <c r="H684" s="7" t="s">
        <v>20</v>
      </c>
      <c r="I684" s="8" t="s">
        <v>425</v>
      </c>
      <c r="J684" s="7" t="s">
        <v>2549</v>
      </c>
      <c r="K684" s="7" t="s">
        <v>2550</v>
      </c>
      <c r="L684" s="7" t="s">
        <v>40</v>
      </c>
      <c r="M684" s="7" t="s">
        <v>41</v>
      </c>
      <c r="N684" s="9" t="s">
        <v>75</v>
      </c>
      <c r="O684" s="7" t="s">
        <v>88</v>
      </c>
      <c r="P684" s="7" t="s">
        <v>20</v>
      </c>
      <c r="Q684" s="7"/>
      <c r="R684" s="7" t="str" cm="1">
        <f t="array" ref="R684">IF(AND(Q684="",P684&lt;&gt;""),N684,_xlfn.SWITCH(IF(Q684&lt;&gt;"",Q684,O684)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Centers",IF(Q684&lt;&gt;"",Q684,O684)))</f>
        <v>Kundenberater/in</v>
      </c>
      <c r="S684" s="7" t="str">
        <f>IF(N684&lt;&gt;R684,"x","")</f>
        <v>x</v>
      </c>
    </row>
    <row r="685" spans="1:19" hidden="1" x14ac:dyDescent="0.25">
      <c r="A685" s="7" t="s">
        <v>2551</v>
      </c>
      <c r="B685" s="7" t="s">
        <v>20</v>
      </c>
      <c r="C685" s="7" t="s">
        <v>2473</v>
      </c>
      <c r="D685" s="7" t="s">
        <v>2474</v>
      </c>
      <c r="E685" s="7" t="s">
        <v>20</v>
      </c>
      <c r="F685" s="7" t="s">
        <v>20</v>
      </c>
      <c r="G685" s="7" t="s">
        <v>2475</v>
      </c>
      <c r="H685" s="7" t="s">
        <v>20</v>
      </c>
      <c r="I685" s="8" t="s">
        <v>2552</v>
      </c>
      <c r="J685" s="7" t="s">
        <v>2553</v>
      </c>
      <c r="K685" s="7" t="s">
        <v>2554</v>
      </c>
      <c r="L685" s="7" t="s">
        <v>40</v>
      </c>
      <c r="M685" s="7" t="s">
        <v>41</v>
      </c>
      <c r="N685" s="9" t="s">
        <v>75</v>
      </c>
      <c r="O685" s="7" t="s">
        <v>43</v>
      </c>
      <c r="P685" s="7" t="s">
        <v>20</v>
      </c>
      <c r="Q685" s="7"/>
      <c r="R685" s="7" t="str" cm="1">
        <f t="array" ref="R685">IF(AND(Q685="",P685&lt;&gt;""),N685,_xlfn.SWITCH(IF(Q685&lt;&gt;"",Q685,O685)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Centers",IF(Q685&lt;&gt;"",Q685,O685)))</f>
        <v>Repräsentant/in</v>
      </c>
      <c r="S685" s="7" t="str">
        <f>IF(N685&lt;&gt;R685,"x","")</f>
        <v>x</v>
      </c>
    </row>
    <row r="686" spans="1:19" hidden="1" x14ac:dyDescent="0.25">
      <c r="A686" s="7" t="s">
        <v>2555</v>
      </c>
      <c r="B686" s="7" t="s">
        <v>20</v>
      </c>
      <c r="C686" s="7" t="s">
        <v>2473</v>
      </c>
      <c r="D686" s="7" t="s">
        <v>2474</v>
      </c>
      <c r="E686" s="7" t="s">
        <v>20</v>
      </c>
      <c r="F686" s="7" t="s">
        <v>20</v>
      </c>
      <c r="G686" s="7" t="s">
        <v>2337</v>
      </c>
      <c r="H686" s="7" t="s">
        <v>20</v>
      </c>
      <c r="I686" s="8" t="s">
        <v>712</v>
      </c>
      <c r="J686" s="7" t="s">
        <v>2556</v>
      </c>
      <c r="K686" s="7" t="s">
        <v>2557</v>
      </c>
      <c r="L686" s="7" t="s">
        <v>27</v>
      </c>
      <c r="M686" s="7" t="s">
        <v>28</v>
      </c>
      <c r="N686" s="9" t="s">
        <v>75</v>
      </c>
      <c r="O686" s="7" t="s">
        <v>30</v>
      </c>
      <c r="P686" s="7" t="s">
        <v>20</v>
      </c>
      <c r="Q686" s="7"/>
      <c r="R686" s="7" t="str" cm="1">
        <f t="array" ref="R686">IF(AND(Q686="",P686&lt;&gt;""),N686,_xlfn.SWITCH(IF(Q686&lt;&gt;"",Q686,O686)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Centers",IF(Q686&lt;&gt;"",Q686,O686)))</f>
        <v>Agenturleiter/in</v>
      </c>
      <c r="S686" s="7" t="str">
        <f>IF(N686&lt;&gt;R686,"x","")</f>
        <v>x</v>
      </c>
    </row>
    <row r="687" spans="1:19" hidden="1" x14ac:dyDescent="0.25">
      <c r="A687" s="7" t="s">
        <v>2558</v>
      </c>
      <c r="B687" s="7" t="s">
        <v>20</v>
      </c>
      <c r="C687" s="7" t="s">
        <v>2473</v>
      </c>
      <c r="D687" s="7" t="s">
        <v>2474</v>
      </c>
      <c r="E687" s="7" t="s">
        <v>20</v>
      </c>
      <c r="F687" s="7" t="s">
        <v>20</v>
      </c>
      <c r="G687" s="7" t="s">
        <v>2475</v>
      </c>
      <c r="H687" s="7" t="s">
        <v>20</v>
      </c>
      <c r="I687" s="8" t="s">
        <v>2559</v>
      </c>
      <c r="J687" s="7" t="s">
        <v>2559</v>
      </c>
      <c r="K687" s="7" t="s">
        <v>2560</v>
      </c>
      <c r="L687" s="7" t="s">
        <v>64</v>
      </c>
      <c r="M687" s="7" t="s">
        <v>65</v>
      </c>
      <c r="N687" s="9" t="s">
        <v>59</v>
      </c>
      <c r="O687" s="7" t="s">
        <v>59</v>
      </c>
      <c r="P687" s="7" t="s">
        <v>20</v>
      </c>
      <c r="Q687" s="7"/>
      <c r="R687" s="7" t="str" cm="1">
        <f t="array" ref="R687">IF(AND(Q687="",P687&lt;&gt;""),N687,_xlfn.SWITCH(IF(Q687&lt;&gt;"",Q687,O687)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Centers",IF(Q687&lt;&gt;"",Q687,O687)))</f>
        <v>Leiter/in des Service Centers</v>
      </c>
      <c r="S687" s="7" t="str">
        <f>IF(N687&lt;&gt;R687,"x","")</f>
        <v/>
      </c>
    </row>
    <row r="688" spans="1:19" hidden="1" x14ac:dyDescent="0.25">
      <c r="A688" s="7" t="s">
        <v>2561</v>
      </c>
      <c r="B688" s="7" t="s">
        <v>20</v>
      </c>
      <c r="C688" s="7" t="s">
        <v>2473</v>
      </c>
      <c r="D688" s="7" t="s">
        <v>2474</v>
      </c>
      <c r="E688" s="7" t="s">
        <v>20</v>
      </c>
      <c r="F688" s="7" t="s">
        <v>20</v>
      </c>
      <c r="G688" s="7" t="s">
        <v>2475</v>
      </c>
      <c r="H688" s="7" t="s">
        <v>20</v>
      </c>
      <c r="I688" s="8" t="s">
        <v>770</v>
      </c>
      <c r="J688" s="7" t="s">
        <v>384</v>
      </c>
      <c r="K688" s="7" t="s">
        <v>2562</v>
      </c>
      <c r="L688" s="7" t="s">
        <v>64</v>
      </c>
      <c r="M688" s="7" t="s">
        <v>65</v>
      </c>
      <c r="N688" s="9" t="s">
        <v>149</v>
      </c>
      <c r="O688" s="7" t="s">
        <v>67</v>
      </c>
      <c r="P688" s="7" t="s">
        <v>20</v>
      </c>
      <c r="Q688" s="7"/>
      <c r="R688" s="7" t="str" cm="1">
        <f t="array" ref="R688">IF(AND(Q688="",P688&lt;&gt;""),N688,_xlfn.SWITCH(IF(Q688&lt;&gt;"",Q688,O688)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Centers",IF(Q688&lt;&gt;"",Q688,O688)))</f>
        <v>Leiter/in des Service Centers</v>
      </c>
      <c r="S688" s="7" t="str">
        <f>IF(N688&lt;&gt;R688,"x","")</f>
        <v>x</v>
      </c>
    </row>
    <row r="689" spans="1:19" hidden="1" x14ac:dyDescent="0.25">
      <c r="A689" s="7" t="s">
        <v>2563</v>
      </c>
      <c r="B689" s="7" t="s">
        <v>20</v>
      </c>
      <c r="C689" s="7" t="s">
        <v>2473</v>
      </c>
      <c r="D689" s="7" t="s">
        <v>2474</v>
      </c>
      <c r="E689" s="7" t="s">
        <v>20</v>
      </c>
      <c r="F689" s="7" t="s">
        <v>20</v>
      </c>
      <c r="G689" s="7" t="s">
        <v>2475</v>
      </c>
      <c r="H689" s="7" t="s">
        <v>20</v>
      </c>
      <c r="I689" s="8" t="s">
        <v>627</v>
      </c>
      <c r="J689" s="7" t="s">
        <v>2564</v>
      </c>
      <c r="K689" s="7" t="s">
        <v>63</v>
      </c>
      <c r="L689" s="7" t="s">
        <v>97</v>
      </c>
      <c r="M689" s="7" t="s">
        <v>98</v>
      </c>
      <c r="N689" s="9" t="s">
        <v>35</v>
      </c>
      <c r="O689" s="7" t="s">
        <v>251</v>
      </c>
      <c r="P689" s="7" t="s">
        <v>49</v>
      </c>
      <c r="Q689" s="7"/>
      <c r="R689" s="7" t="str" cm="1">
        <f t="array" ref="R689">IF(AND(Q689="",P689&lt;&gt;""),N689,_xlfn.SWITCH(IF(Q689&lt;&gt;"",Q689,O689)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Centers",IF(Q689&lt;&gt;"",Q689,O689)))</f>
        <v>Leiter/in einer Geschäftsstelle</v>
      </c>
      <c r="S689" s="7" t="str">
        <f>IF(N689&lt;&gt;R689,"x","")</f>
        <v/>
      </c>
    </row>
    <row r="690" spans="1:19" hidden="1" x14ac:dyDescent="0.25">
      <c r="A690" s="7" t="s">
        <v>2565</v>
      </c>
      <c r="B690" s="7" t="s">
        <v>20</v>
      </c>
      <c r="C690" s="7" t="s">
        <v>2473</v>
      </c>
      <c r="D690" s="7" t="s">
        <v>2474</v>
      </c>
      <c r="E690" s="7" t="s">
        <v>20</v>
      </c>
      <c r="F690" s="7" t="s">
        <v>20</v>
      </c>
      <c r="G690" s="7" t="s">
        <v>2475</v>
      </c>
      <c r="H690" s="7" t="s">
        <v>20</v>
      </c>
      <c r="I690" s="8" t="s">
        <v>2566</v>
      </c>
      <c r="J690" s="7" t="s">
        <v>2566</v>
      </c>
      <c r="K690" s="7" t="s">
        <v>2567</v>
      </c>
      <c r="L690" s="7" t="s">
        <v>40</v>
      </c>
      <c r="M690" s="7" t="s">
        <v>41</v>
      </c>
      <c r="N690" s="9" t="s">
        <v>75</v>
      </c>
      <c r="O690" s="7" t="s">
        <v>66</v>
      </c>
      <c r="P690" s="7" t="s">
        <v>20</v>
      </c>
      <c r="Q690" s="7"/>
      <c r="R690" s="7" t="str" cm="1">
        <f t="array" ref="R690">IF(AND(Q690="",P690&lt;&gt;""),N690,_xlfn.SWITCH(IF(Q690&lt;&gt;"",Q690,O690)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Centers",IF(Q690&lt;&gt;"",Q690,O690)))</f>
        <v>Repräsentant/in</v>
      </c>
      <c r="S690" s="7" t="str">
        <f>IF(N690&lt;&gt;R690,"x","")</f>
        <v>x</v>
      </c>
    </row>
    <row r="691" spans="1:19" hidden="1" x14ac:dyDescent="0.25">
      <c r="A691" s="7" t="s">
        <v>2568</v>
      </c>
      <c r="B691" s="7" t="s">
        <v>20</v>
      </c>
      <c r="C691" s="7" t="s">
        <v>2473</v>
      </c>
      <c r="D691" s="7" t="s">
        <v>2474</v>
      </c>
      <c r="E691" s="7" t="s">
        <v>20</v>
      </c>
      <c r="F691" s="7" t="s">
        <v>20</v>
      </c>
      <c r="G691" s="7" t="s">
        <v>2475</v>
      </c>
      <c r="H691" s="7" t="s">
        <v>20</v>
      </c>
      <c r="I691" s="8" t="s">
        <v>2569</v>
      </c>
      <c r="J691" s="7" t="s">
        <v>2570</v>
      </c>
      <c r="K691" s="7" t="s">
        <v>2571</v>
      </c>
      <c r="L691" s="7" t="s">
        <v>27</v>
      </c>
      <c r="M691" s="7" t="s">
        <v>28</v>
      </c>
      <c r="N691" s="9" t="s">
        <v>149</v>
      </c>
      <c r="O691" s="7" t="s">
        <v>30</v>
      </c>
      <c r="P691" s="7" t="s">
        <v>20</v>
      </c>
      <c r="Q691" s="7"/>
      <c r="R691" s="7" t="str" cm="1">
        <f t="array" ref="R691">IF(AND(Q691="",P691&lt;&gt;""),N691,_xlfn.SWITCH(IF(Q691&lt;&gt;"",Q691,O691)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Centers",IF(Q691&lt;&gt;"",Q691,O691)))</f>
        <v>Agenturleiter/in</v>
      </c>
      <c r="S691" s="7" t="str">
        <f>IF(N691&lt;&gt;R691,"x","")</f>
        <v>x</v>
      </c>
    </row>
    <row r="692" spans="1:19" hidden="1" x14ac:dyDescent="0.25">
      <c r="A692" s="7" t="s">
        <v>2572</v>
      </c>
      <c r="B692" s="7" t="s">
        <v>20</v>
      </c>
      <c r="C692" s="7" t="s">
        <v>2473</v>
      </c>
      <c r="D692" s="7" t="s">
        <v>2474</v>
      </c>
      <c r="E692" s="7" t="s">
        <v>20</v>
      </c>
      <c r="F692" s="7" t="s">
        <v>20</v>
      </c>
      <c r="G692" s="7" t="s">
        <v>2475</v>
      </c>
      <c r="H692" s="7" t="s">
        <v>20</v>
      </c>
      <c r="I692" s="8" t="s">
        <v>517</v>
      </c>
      <c r="J692" s="7" t="s">
        <v>2573</v>
      </c>
      <c r="K692" s="7" t="s">
        <v>2574</v>
      </c>
      <c r="L692" s="7" t="s">
        <v>228</v>
      </c>
      <c r="M692" s="7" t="s">
        <v>229</v>
      </c>
      <c r="N692" s="9" t="s">
        <v>111</v>
      </c>
      <c r="O692" s="7" t="s">
        <v>30</v>
      </c>
      <c r="P692" s="7" t="s">
        <v>20</v>
      </c>
      <c r="Q692" s="7"/>
      <c r="R692" s="7" t="str" cm="1">
        <f t="array" ref="R692">IF(AND(Q692="",P692&lt;&gt;""),N692,_xlfn.SWITCH(IF(Q692&lt;&gt;"",Q692,O692)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Centers",IF(Q692&lt;&gt;"",Q692,O692)))</f>
        <v>Agenturleiter/in</v>
      </c>
      <c r="S692" s="7" t="str">
        <f>IF(N692&lt;&gt;R692,"x","")</f>
        <v>x</v>
      </c>
    </row>
    <row r="693" spans="1:19" hidden="1" x14ac:dyDescent="0.25">
      <c r="A693" s="7" t="s">
        <v>2575</v>
      </c>
      <c r="B693" s="7" t="s">
        <v>20</v>
      </c>
      <c r="C693" s="7" t="s">
        <v>2473</v>
      </c>
      <c r="D693" s="7" t="s">
        <v>2474</v>
      </c>
      <c r="E693" s="7" t="s">
        <v>20</v>
      </c>
      <c r="F693" s="7" t="s">
        <v>20</v>
      </c>
      <c r="G693" s="7" t="s">
        <v>2475</v>
      </c>
      <c r="H693" s="7" t="s">
        <v>20</v>
      </c>
      <c r="I693" s="8" t="s">
        <v>122</v>
      </c>
      <c r="J693" s="7" t="s">
        <v>2576</v>
      </c>
      <c r="K693" s="7" t="s">
        <v>2577</v>
      </c>
      <c r="L693" s="7" t="s">
        <v>124</v>
      </c>
      <c r="M693" s="7" t="s">
        <v>125</v>
      </c>
      <c r="N693" s="9" t="s">
        <v>59</v>
      </c>
      <c r="O693" s="7" t="s">
        <v>67</v>
      </c>
      <c r="P693" s="7" t="s">
        <v>20</v>
      </c>
      <c r="Q693" s="7"/>
      <c r="R693" s="7" t="str" cm="1">
        <f t="array" ref="R693">IF(AND(Q693="",P693&lt;&gt;""),N693,_xlfn.SWITCH(IF(Q693&lt;&gt;"",Q693,O693)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Centers",IF(Q693&lt;&gt;"",Q693,O693)))</f>
        <v>Leiter/in des Service Centers</v>
      </c>
      <c r="S693" s="7" t="str">
        <f>IF(N693&lt;&gt;R693,"x","")</f>
        <v/>
      </c>
    </row>
    <row r="694" spans="1:19" hidden="1" x14ac:dyDescent="0.25">
      <c r="A694" s="7" t="s">
        <v>2578</v>
      </c>
      <c r="B694" s="7" t="s">
        <v>20</v>
      </c>
      <c r="C694" s="7" t="s">
        <v>2473</v>
      </c>
      <c r="D694" s="7" t="s">
        <v>2474</v>
      </c>
      <c r="E694" s="7" t="s">
        <v>20</v>
      </c>
      <c r="F694" s="7" t="s">
        <v>20</v>
      </c>
      <c r="G694" s="7" t="s">
        <v>2475</v>
      </c>
      <c r="H694" s="7" t="s">
        <v>20</v>
      </c>
      <c r="I694" s="8" t="s">
        <v>635</v>
      </c>
      <c r="J694" s="7" t="s">
        <v>2579</v>
      </c>
      <c r="K694" s="7" t="s">
        <v>2580</v>
      </c>
      <c r="L694" s="7" t="s">
        <v>124</v>
      </c>
      <c r="M694" s="7" t="s">
        <v>125</v>
      </c>
      <c r="N694" s="9" t="s">
        <v>59</v>
      </c>
      <c r="O694" s="7" t="s">
        <v>67</v>
      </c>
      <c r="P694" s="7" t="s">
        <v>20</v>
      </c>
      <c r="Q694" s="7"/>
      <c r="R694" s="7" t="str" cm="1">
        <f t="array" ref="R694">IF(AND(Q694="",P694&lt;&gt;""),N694,_xlfn.SWITCH(IF(Q694&lt;&gt;"",Q694,O694)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Centers",IF(Q694&lt;&gt;"",Q694,O694)))</f>
        <v>Leiter/in des Service Centers</v>
      </c>
      <c r="S694" s="7" t="str">
        <f>IF(N694&lt;&gt;R694,"x","")</f>
        <v/>
      </c>
    </row>
    <row r="695" spans="1:19" hidden="1" x14ac:dyDescent="0.25">
      <c r="A695" s="7" t="s">
        <v>2581</v>
      </c>
      <c r="B695" s="7" t="s">
        <v>20</v>
      </c>
      <c r="C695" s="7" t="s">
        <v>2473</v>
      </c>
      <c r="D695" s="7" t="s">
        <v>2474</v>
      </c>
      <c r="E695" s="7" t="s">
        <v>20</v>
      </c>
      <c r="F695" s="7" t="s">
        <v>20</v>
      </c>
      <c r="G695" s="7" t="s">
        <v>2475</v>
      </c>
      <c r="H695" s="7" t="s">
        <v>20</v>
      </c>
      <c r="I695" s="8" t="s">
        <v>1160</v>
      </c>
      <c r="J695" s="7" t="s">
        <v>2582</v>
      </c>
      <c r="K695" s="7" t="s">
        <v>2583</v>
      </c>
      <c r="L695" s="7" t="s">
        <v>27</v>
      </c>
      <c r="M695" s="7" t="s">
        <v>28</v>
      </c>
      <c r="N695" s="9" t="s">
        <v>29</v>
      </c>
      <c r="O695" s="7" t="s">
        <v>30</v>
      </c>
      <c r="P695" s="7" t="s">
        <v>20</v>
      </c>
      <c r="Q695" s="7"/>
      <c r="R695" s="7" t="str" cm="1">
        <f t="array" ref="R695">IF(AND(Q695="",P695&lt;&gt;""),N695,_xlfn.SWITCH(IF(Q695&lt;&gt;"",Q695,O695)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Centers",IF(Q695&lt;&gt;"",Q695,O695)))</f>
        <v>Agenturleiter/in</v>
      </c>
      <c r="S695" s="7" t="str">
        <f>IF(N695&lt;&gt;R695,"x","")</f>
        <v>x</v>
      </c>
    </row>
    <row r="696" spans="1:19" hidden="1" x14ac:dyDescent="0.25">
      <c r="A696" s="7" t="s">
        <v>2584</v>
      </c>
      <c r="B696" s="7" t="s">
        <v>20</v>
      </c>
      <c r="C696" s="7" t="s">
        <v>2473</v>
      </c>
      <c r="D696" s="7" t="s">
        <v>2474</v>
      </c>
      <c r="E696" s="7" t="s">
        <v>20</v>
      </c>
      <c r="F696" s="7" t="s">
        <v>20</v>
      </c>
      <c r="G696" s="7" t="s">
        <v>2475</v>
      </c>
      <c r="H696" s="7" t="s">
        <v>20</v>
      </c>
      <c r="I696" s="8" t="s">
        <v>2585</v>
      </c>
      <c r="J696" s="7" t="s">
        <v>2586</v>
      </c>
      <c r="K696" s="7" t="s">
        <v>63</v>
      </c>
      <c r="L696" s="7" t="s">
        <v>40</v>
      </c>
      <c r="M696" s="7" t="s">
        <v>41</v>
      </c>
      <c r="N696" s="9" t="s">
        <v>111</v>
      </c>
      <c r="O696" s="7" t="s">
        <v>48</v>
      </c>
      <c r="P696" s="7" t="s">
        <v>49</v>
      </c>
      <c r="Q696" s="7"/>
      <c r="R696" s="7" t="str" cm="1">
        <f t="array" ref="R696">IF(AND(Q696="",P696&lt;&gt;""),N696,_xlfn.SWITCH(IF(Q696&lt;&gt;"",Q696,O696)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Centers",IF(Q696&lt;&gt;"",Q696,O696)))</f>
        <v>Hauptagent/in</v>
      </c>
      <c r="S696" s="7" t="str">
        <f>IF(N696&lt;&gt;R696,"x","")</f>
        <v/>
      </c>
    </row>
    <row r="697" spans="1:19" hidden="1" x14ac:dyDescent="0.25">
      <c r="A697" s="7" t="s">
        <v>2587</v>
      </c>
      <c r="B697" s="7" t="s">
        <v>20</v>
      </c>
      <c r="C697" s="7" t="s">
        <v>2473</v>
      </c>
      <c r="D697" s="7" t="s">
        <v>2474</v>
      </c>
      <c r="E697" s="7" t="s">
        <v>20</v>
      </c>
      <c r="F697" s="7" t="s">
        <v>20</v>
      </c>
      <c r="G697" s="7" t="s">
        <v>2475</v>
      </c>
      <c r="H697" s="7" t="s">
        <v>20</v>
      </c>
      <c r="I697" s="8" t="s">
        <v>324</v>
      </c>
      <c r="J697" s="7" t="s">
        <v>2588</v>
      </c>
      <c r="K697" s="7" t="s">
        <v>2589</v>
      </c>
      <c r="L697" s="7" t="s">
        <v>27</v>
      </c>
      <c r="M697" s="7" t="s">
        <v>28</v>
      </c>
      <c r="N697" s="9" t="s">
        <v>149</v>
      </c>
      <c r="O697" s="7" t="s">
        <v>30</v>
      </c>
      <c r="P697" s="7" t="s">
        <v>20</v>
      </c>
      <c r="Q697" s="7"/>
      <c r="R697" s="7" t="str" cm="1">
        <f t="array" ref="R697">IF(AND(Q697="",P697&lt;&gt;""),N697,_xlfn.SWITCH(IF(Q697&lt;&gt;"",Q697,O697)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Centers",IF(Q697&lt;&gt;"",Q697,O697)))</f>
        <v>Agenturleiter/in</v>
      </c>
      <c r="S697" s="7" t="str">
        <f>IF(N697&lt;&gt;R697,"x","")</f>
        <v>x</v>
      </c>
    </row>
    <row r="698" spans="1:19" hidden="1" x14ac:dyDescent="0.25">
      <c r="A698" s="7" t="s">
        <v>2590</v>
      </c>
      <c r="B698" s="7" t="s">
        <v>20</v>
      </c>
      <c r="C698" s="7" t="s">
        <v>2473</v>
      </c>
      <c r="D698" s="7" t="s">
        <v>2474</v>
      </c>
      <c r="E698" s="7" t="s">
        <v>20</v>
      </c>
      <c r="F698" s="7" t="s">
        <v>20</v>
      </c>
      <c r="G698" s="7" t="s">
        <v>2475</v>
      </c>
      <c r="H698" s="7" t="s">
        <v>20</v>
      </c>
      <c r="I698" s="8" t="s">
        <v>577</v>
      </c>
      <c r="J698" s="7" t="s">
        <v>2591</v>
      </c>
      <c r="K698" s="7" t="s">
        <v>2592</v>
      </c>
      <c r="L698" s="7" t="s">
        <v>40</v>
      </c>
      <c r="M698" s="7" t="s">
        <v>41</v>
      </c>
      <c r="N698" s="9" t="s">
        <v>75</v>
      </c>
      <c r="O698" s="7" t="s">
        <v>120</v>
      </c>
      <c r="P698" s="7" t="s">
        <v>20</v>
      </c>
      <c r="Q698" s="7"/>
      <c r="R698" s="7" t="str" cm="1">
        <f t="array" ref="R698">IF(AND(Q698="",P698&lt;&gt;""),N698,_xlfn.SWITCH(IF(Q698&lt;&gt;"",Q698,O698)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Centers",IF(Q698&lt;&gt;"",Q698,O698)))</f>
        <v>Kundenberater/in</v>
      </c>
      <c r="S698" s="7" t="str">
        <f>IF(N698&lt;&gt;R698,"x","")</f>
        <v>x</v>
      </c>
    </row>
    <row r="699" spans="1:19" hidden="1" x14ac:dyDescent="0.25">
      <c r="A699" s="7" t="s">
        <v>2593</v>
      </c>
      <c r="B699" s="7" t="s">
        <v>20</v>
      </c>
      <c r="C699" s="7" t="s">
        <v>2473</v>
      </c>
      <c r="D699" s="7" t="s">
        <v>2474</v>
      </c>
      <c r="E699" s="7" t="s">
        <v>20</v>
      </c>
      <c r="F699" s="7" t="s">
        <v>20</v>
      </c>
      <c r="G699" s="7" t="s">
        <v>2475</v>
      </c>
      <c r="H699" s="7" t="s">
        <v>20</v>
      </c>
      <c r="I699" s="8" t="s">
        <v>2263</v>
      </c>
      <c r="J699" s="7" t="s">
        <v>2594</v>
      </c>
      <c r="K699" s="7" t="s">
        <v>2595</v>
      </c>
      <c r="L699" s="7" t="s">
        <v>40</v>
      </c>
      <c r="M699" s="7" t="s">
        <v>41</v>
      </c>
      <c r="N699" s="9" t="s">
        <v>75</v>
      </c>
      <c r="O699" s="7" t="s">
        <v>88</v>
      </c>
      <c r="P699" s="7" t="s">
        <v>20</v>
      </c>
      <c r="Q699" s="7"/>
      <c r="R699" s="7" t="str" cm="1">
        <f t="array" ref="R699">IF(AND(Q699="",P699&lt;&gt;""),N699,_xlfn.SWITCH(IF(Q699&lt;&gt;"",Q699,O699)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Centers",IF(Q699&lt;&gt;"",Q699,O699)))</f>
        <v>Kundenberater/in</v>
      </c>
      <c r="S699" s="7" t="str">
        <f>IF(N699&lt;&gt;R699,"x","")</f>
        <v>x</v>
      </c>
    </row>
    <row r="700" spans="1:19" hidden="1" x14ac:dyDescent="0.25">
      <c r="A700" s="7" t="s">
        <v>2596</v>
      </c>
      <c r="B700" s="7" t="s">
        <v>20</v>
      </c>
      <c r="C700" s="7" t="s">
        <v>2473</v>
      </c>
      <c r="D700" s="7" t="s">
        <v>2474</v>
      </c>
      <c r="E700" s="7" t="s">
        <v>20</v>
      </c>
      <c r="F700" s="7" t="s">
        <v>20</v>
      </c>
      <c r="G700" s="7" t="s">
        <v>2475</v>
      </c>
      <c r="H700" s="7" t="s">
        <v>20</v>
      </c>
      <c r="I700" s="8" t="s">
        <v>2597</v>
      </c>
      <c r="J700" s="7" t="s">
        <v>2598</v>
      </c>
      <c r="K700" s="7" t="s">
        <v>2599</v>
      </c>
      <c r="L700" s="7" t="s">
        <v>40</v>
      </c>
      <c r="M700" s="7" t="s">
        <v>41</v>
      </c>
      <c r="N700" s="9" t="s">
        <v>75</v>
      </c>
      <c r="O700" s="7" t="s">
        <v>88</v>
      </c>
      <c r="P700" s="7" t="s">
        <v>20</v>
      </c>
      <c r="Q700" s="7"/>
      <c r="R700" s="7" t="str" cm="1">
        <f t="array" ref="R700">IF(AND(Q700="",P700&lt;&gt;""),N700,_xlfn.SWITCH(IF(Q700&lt;&gt;"",Q700,O700)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Centers",IF(Q700&lt;&gt;"",Q700,O700)))</f>
        <v>Kundenberater/in</v>
      </c>
      <c r="S700" s="7" t="str">
        <f>IF(N700&lt;&gt;R700,"x","")</f>
        <v>x</v>
      </c>
    </row>
    <row r="701" spans="1:19" hidden="1" x14ac:dyDescent="0.25">
      <c r="A701" s="7" t="s">
        <v>2600</v>
      </c>
      <c r="B701" s="7" t="s">
        <v>20</v>
      </c>
      <c r="C701" s="7" t="s">
        <v>2473</v>
      </c>
      <c r="D701" s="7" t="s">
        <v>2474</v>
      </c>
      <c r="E701" s="7" t="s">
        <v>20</v>
      </c>
      <c r="F701" s="7" t="s">
        <v>20</v>
      </c>
      <c r="G701" s="7" t="s">
        <v>2475</v>
      </c>
      <c r="H701" s="7" t="s">
        <v>20</v>
      </c>
      <c r="I701" s="8" t="s">
        <v>2601</v>
      </c>
      <c r="J701" s="7" t="s">
        <v>2602</v>
      </c>
      <c r="K701" s="7" t="s">
        <v>2603</v>
      </c>
      <c r="L701" s="7" t="s">
        <v>40</v>
      </c>
      <c r="M701" s="7" t="s">
        <v>41</v>
      </c>
      <c r="N701" s="9" t="s">
        <v>75</v>
      </c>
      <c r="O701" s="7" t="s">
        <v>120</v>
      </c>
      <c r="P701" s="7" t="s">
        <v>20</v>
      </c>
      <c r="Q701" s="7"/>
      <c r="R701" s="7" t="str" cm="1">
        <f t="array" ref="R701">IF(AND(Q701="",P701&lt;&gt;""),N701,_xlfn.SWITCH(IF(Q701&lt;&gt;"",Q701,O701)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Centers",IF(Q701&lt;&gt;"",Q701,O701)))</f>
        <v>Kundenberater/in</v>
      </c>
      <c r="S701" s="7" t="str">
        <f>IF(N701&lt;&gt;R701,"x","")</f>
        <v>x</v>
      </c>
    </row>
    <row r="702" spans="1:19" hidden="1" x14ac:dyDescent="0.25">
      <c r="A702" s="7" t="s">
        <v>2604</v>
      </c>
      <c r="B702" s="7" t="s">
        <v>20</v>
      </c>
      <c r="C702" s="7" t="s">
        <v>2473</v>
      </c>
      <c r="D702" s="7" t="s">
        <v>2474</v>
      </c>
      <c r="E702" s="7" t="s">
        <v>20</v>
      </c>
      <c r="F702" s="7" t="s">
        <v>20</v>
      </c>
      <c r="G702" s="7" t="s">
        <v>2475</v>
      </c>
      <c r="H702" s="7" t="s">
        <v>20</v>
      </c>
      <c r="I702" s="8" t="s">
        <v>2605</v>
      </c>
      <c r="J702" s="7" t="s">
        <v>2606</v>
      </c>
      <c r="K702" s="7" t="s">
        <v>2607</v>
      </c>
      <c r="L702" s="7" t="s">
        <v>40</v>
      </c>
      <c r="M702" s="7" t="s">
        <v>41</v>
      </c>
      <c r="N702" s="9" t="s">
        <v>75</v>
      </c>
      <c r="O702" s="7" t="s">
        <v>88</v>
      </c>
      <c r="P702" s="7" t="s">
        <v>20</v>
      </c>
      <c r="Q702" s="7"/>
      <c r="R702" s="7" t="str" cm="1">
        <f t="array" ref="R702">IF(AND(Q702="",P702&lt;&gt;""),N702,_xlfn.SWITCH(IF(Q702&lt;&gt;"",Q702,O702)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Centers",IF(Q702&lt;&gt;"",Q702,O702)))</f>
        <v>Kundenberater/in</v>
      </c>
      <c r="S702" s="7" t="str">
        <f>IF(N702&lt;&gt;R702,"x","")</f>
        <v>x</v>
      </c>
    </row>
    <row r="703" spans="1:19" hidden="1" x14ac:dyDescent="0.25">
      <c r="A703" s="7" t="s">
        <v>2608</v>
      </c>
      <c r="B703" s="7" t="s">
        <v>20</v>
      </c>
      <c r="C703" s="7" t="s">
        <v>2473</v>
      </c>
      <c r="D703" s="7" t="s">
        <v>2474</v>
      </c>
      <c r="E703" s="7" t="s">
        <v>20</v>
      </c>
      <c r="F703" s="7" t="s">
        <v>20</v>
      </c>
      <c r="G703" s="7" t="s">
        <v>2475</v>
      </c>
      <c r="H703" s="7" t="s">
        <v>20</v>
      </c>
      <c r="I703" s="8" t="s">
        <v>458</v>
      </c>
      <c r="J703" s="7" t="s">
        <v>2609</v>
      </c>
      <c r="K703" s="7" t="s">
        <v>2610</v>
      </c>
      <c r="L703" s="7" t="s">
        <v>40</v>
      </c>
      <c r="M703" s="7" t="s">
        <v>41</v>
      </c>
      <c r="N703" s="9" t="s">
        <v>75</v>
      </c>
      <c r="O703" s="7" t="s">
        <v>120</v>
      </c>
      <c r="P703" s="7" t="s">
        <v>20</v>
      </c>
      <c r="Q703" s="7"/>
      <c r="R703" s="7" t="str" cm="1">
        <f t="array" ref="R703">IF(AND(Q703="",P703&lt;&gt;""),N703,_xlfn.SWITCH(IF(Q703&lt;&gt;"",Q703,O703)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Centers",IF(Q703&lt;&gt;"",Q703,O703)))</f>
        <v>Kundenberater/in</v>
      </c>
      <c r="S703" s="7" t="str">
        <f>IF(N703&lt;&gt;R703,"x","")</f>
        <v>x</v>
      </c>
    </row>
    <row r="704" spans="1:19" hidden="1" x14ac:dyDescent="0.25">
      <c r="A704" s="7" t="s">
        <v>2611</v>
      </c>
      <c r="B704" s="7" t="s">
        <v>20</v>
      </c>
      <c r="C704" s="7" t="s">
        <v>2473</v>
      </c>
      <c r="D704" s="7" t="s">
        <v>2474</v>
      </c>
      <c r="E704" s="7" t="s">
        <v>20</v>
      </c>
      <c r="F704" s="7" t="s">
        <v>20</v>
      </c>
      <c r="G704" s="7" t="s">
        <v>2475</v>
      </c>
      <c r="H704" s="7" t="s">
        <v>20</v>
      </c>
      <c r="I704" s="8" t="s">
        <v>2612</v>
      </c>
      <c r="J704" s="7" t="s">
        <v>2613</v>
      </c>
      <c r="K704" s="7" t="s">
        <v>2614</v>
      </c>
      <c r="L704" s="7" t="s">
        <v>40</v>
      </c>
      <c r="M704" s="7" t="s">
        <v>41</v>
      </c>
      <c r="N704" s="9" t="s">
        <v>75</v>
      </c>
      <c r="O704" s="7" t="s">
        <v>120</v>
      </c>
      <c r="P704" s="7" t="s">
        <v>20</v>
      </c>
      <c r="Q704" s="7"/>
      <c r="R704" s="7" t="str" cm="1">
        <f t="array" ref="R704">IF(AND(Q704="",P704&lt;&gt;""),N704,_xlfn.SWITCH(IF(Q704&lt;&gt;"",Q704,O704)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Centers",IF(Q704&lt;&gt;"",Q704,O704)))</f>
        <v>Kundenberater/in</v>
      </c>
      <c r="S704" s="7" t="str">
        <f>IF(N704&lt;&gt;R704,"x","")</f>
        <v>x</v>
      </c>
    </row>
    <row r="705" spans="1:19" hidden="1" x14ac:dyDescent="0.25">
      <c r="A705" s="7" t="s">
        <v>2615</v>
      </c>
      <c r="B705" s="7" t="s">
        <v>20</v>
      </c>
      <c r="C705" s="7" t="s">
        <v>2473</v>
      </c>
      <c r="D705" s="7" t="s">
        <v>2474</v>
      </c>
      <c r="E705" s="7" t="s">
        <v>20</v>
      </c>
      <c r="F705" s="7" t="s">
        <v>20</v>
      </c>
      <c r="G705" s="7" t="s">
        <v>2475</v>
      </c>
      <c r="H705" s="7" t="s">
        <v>20</v>
      </c>
      <c r="I705" s="8" t="s">
        <v>2616</v>
      </c>
      <c r="J705" s="7" t="s">
        <v>2588</v>
      </c>
      <c r="K705" s="7" t="s">
        <v>2617</v>
      </c>
      <c r="L705" s="7" t="s">
        <v>40</v>
      </c>
      <c r="M705" s="7" t="s">
        <v>41</v>
      </c>
      <c r="N705" s="9" t="s">
        <v>75</v>
      </c>
      <c r="O705" s="7" t="s">
        <v>43</v>
      </c>
      <c r="P705" s="7" t="s">
        <v>20</v>
      </c>
      <c r="Q705" s="7"/>
      <c r="R705" s="7" t="str" cm="1">
        <f t="array" ref="R705">IF(AND(Q705="",P705&lt;&gt;""),N705,_xlfn.SWITCH(IF(Q705&lt;&gt;"",Q705,O705)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Centers",IF(Q705&lt;&gt;"",Q705,O705)))</f>
        <v>Repräsentant/in</v>
      </c>
      <c r="S705" s="7" t="str">
        <f>IF(N705&lt;&gt;R705,"x","")</f>
        <v>x</v>
      </c>
    </row>
    <row r="706" spans="1:19" hidden="1" x14ac:dyDescent="0.25">
      <c r="A706" s="7" t="s">
        <v>2618</v>
      </c>
      <c r="B706" s="7" t="s">
        <v>20</v>
      </c>
      <c r="C706" s="7" t="s">
        <v>2473</v>
      </c>
      <c r="D706" s="7" t="s">
        <v>2474</v>
      </c>
      <c r="E706" s="7" t="s">
        <v>20</v>
      </c>
      <c r="F706" s="7" t="s">
        <v>20</v>
      </c>
      <c r="G706" s="7" t="s">
        <v>2475</v>
      </c>
      <c r="H706" s="7" t="s">
        <v>20</v>
      </c>
      <c r="I706" s="8" t="s">
        <v>2619</v>
      </c>
      <c r="J706" s="7" t="s">
        <v>2576</v>
      </c>
      <c r="K706" s="7" t="s">
        <v>2620</v>
      </c>
      <c r="L706" s="7" t="s">
        <v>40</v>
      </c>
      <c r="M706" s="7" t="s">
        <v>41</v>
      </c>
      <c r="N706" s="9" t="s">
        <v>66</v>
      </c>
      <c r="O706" s="7" t="s">
        <v>48</v>
      </c>
      <c r="P706" s="7" t="s">
        <v>20</v>
      </c>
      <c r="Q706" s="7"/>
      <c r="R706" s="7" t="str" cm="1">
        <f t="array" ref="R706">IF(AND(Q706="",P706&lt;&gt;""),N706,_xlfn.SWITCH(IF(Q706&lt;&gt;"",Q706,O706)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Centers",IF(Q706&lt;&gt;"",Q706,O706)))</f>
        <v>Repräsentant/in</v>
      </c>
      <c r="S706" s="7" t="str">
        <f>IF(N706&lt;&gt;R706,"x","")</f>
        <v/>
      </c>
    </row>
    <row r="707" spans="1:19" hidden="1" x14ac:dyDescent="0.25">
      <c r="A707" s="7" t="s">
        <v>2621</v>
      </c>
      <c r="B707" s="7" t="s">
        <v>20</v>
      </c>
      <c r="C707" s="7" t="s">
        <v>2473</v>
      </c>
      <c r="D707" s="7" t="s">
        <v>2474</v>
      </c>
      <c r="E707" s="7" t="s">
        <v>20</v>
      </c>
      <c r="F707" s="7" t="s">
        <v>20</v>
      </c>
      <c r="G707" s="7" t="s">
        <v>2475</v>
      </c>
      <c r="H707" s="7" t="s">
        <v>20</v>
      </c>
      <c r="I707" s="8" t="s">
        <v>2622</v>
      </c>
      <c r="J707" s="7" t="s">
        <v>2622</v>
      </c>
      <c r="K707" s="7" t="s">
        <v>2623</v>
      </c>
      <c r="L707" s="7" t="s">
        <v>40</v>
      </c>
      <c r="M707" s="7" t="s">
        <v>41</v>
      </c>
      <c r="N707" s="9" t="s">
        <v>20</v>
      </c>
      <c r="O707" s="7" t="s">
        <v>66</v>
      </c>
      <c r="P707" s="7" t="s">
        <v>20</v>
      </c>
      <c r="Q707" s="7"/>
      <c r="R707" s="7" t="str" cm="1">
        <f t="array" ref="R707">IF(AND(Q707="",P707&lt;&gt;""),N707,_xlfn.SWITCH(IF(Q707&lt;&gt;"",Q707,O707)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Centers",IF(Q707&lt;&gt;"",Q707,O707)))</f>
        <v>Repräsentant/in</v>
      </c>
      <c r="S707" s="7" t="str">
        <f>IF(N707&lt;&gt;R707,"x","")</f>
        <v>x</v>
      </c>
    </row>
    <row r="708" spans="1:19" hidden="1" x14ac:dyDescent="0.25">
      <c r="A708" s="7" t="s">
        <v>2624</v>
      </c>
      <c r="B708" s="7" t="s">
        <v>20</v>
      </c>
      <c r="C708" s="7" t="s">
        <v>2473</v>
      </c>
      <c r="D708" s="7" t="s">
        <v>2474</v>
      </c>
      <c r="E708" s="7" t="s">
        <v>20</v>
      </c>
      <c r="F708" s="7" t="s">
        <v>20</v>
      </c>
      <c r="G708" s="7" t="s">
        <v>2475</v>
      </c>
      <c r="H708" s="7" t="s">
        <v>20</v>
      </c>
      <c r="I708" s="8" t="s">
        <v>433</v>
      </c>
      <c r="J708" s="7" t="s">
        <v>2625</v>
      </c>
      <c r="K708" s="7" t="s">
        <v>2626</v>
      </c>
      <c r="L708" s="7" t="s">
        <v>97</v>
      </c>
      <c r="M708" s="7" t="s">
        <v>98</v>
      </c>
      <c r="N708" s="9" t="s">
        <v>75</v>
      </c>
      <c r="O708" s="7" t="s">
        <v>99</v>
      </c>
      <c r="P708" s="7" t="s">
        <v>20</v>
      </c>
      <c r="Q708" s="7"/>
      <c r="R708" s="7" t="str" cm="1">
        <f t="array" ref="R708">IF(AND(Q708="",P708&lt;&gt;""),N708,_xlfn.SWITCH(IF(Q708&lt;&gt;"",Q708,O708)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Centers",IF(Q708&lt;&gt;"",Q708,O708)))</f>
        <v>Hauptagent/in</v>
      </c>
      <c r="S708" s="7" t="str">
        <f>IF(N708&lt;&gt;R708,"x","")</f>
        <v>x</v>
      </c>
    </row>
    <row r="709" spans="1:19" hidden="1" x14ac:dyDescent="0.25">
      <c r="A709" s="7" t="s">
        <v>2627</v>
      </c>
      <c r="B709" s="7" t="s">
        <v>2628</v>
      </c>
      <c r="C709" s="7" t="s">
        <v>2473</v>
      </c>
      <c r="D709" s="7" t="s">
        <v>2474</v>
      </c>
      <c r="E709" s="7" t="s">
        <v>2335</v>
      </c>
      <c r="F709" s="7" t="s">
        <v>2336</v>
      </c>
      <c r="G709" s="7" t="s">
        <v>2337</v>
      </c>
      <c r="H709" s="7" t="s">
        <v>2337</v>
      </c>
      <c r="I709" s="8" t="s">
        <v>163</v>
      </c>
      <c r="J709" s="7" t="s">
        <v>2629</v>
      </c>
      <c r="K709" s="7" t="s">
        <v>2630</v>
      </c>
      <c r="L709" s="7" t="s">
        <v>40</v>
      </c>
      <c r="M709" s="7" t="s">
        <v>41</v>
      </c>
      <c r="N709" s="9" t="s">
        <v>66</v>
      </c>
      <c r="O709" s="7" t="s">
        <v>48</v>
      </c>
      <c r="P709" s="7" t="s">
        <v>20</v>
      </c>
      <c r="Q709" s="7"/>
      <c r="R709" s="7" t="str" cm="1">
        <f t="array" ref="R709">IF(AND(Q709="",P709&lt;&gt;""),N709,_xlfn.SWITCH(IF(Q709&lt;&gt;"",Q709,O709)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Centers",IF(Q709&lt;&gt;"",Q709,O709)))</f>
        <v>Repräsentant/in</v>
      </c>
      <c r="S709" s="7" t="str">
        <f>IF(N709&lt;&gt;R709,"x","")</f>
        <v/>
      </c>
    </row>
    <row r="710" spans="1:19" hidden="1" x14ac:dyDescent="0.25">
      <c r="A710" s="7" t="s">
        <v>2631</v>
      </c>
      <c r="B710" s="7" t="s">
        <v>2632</v>
      </c>
      <c r="C710" s="7" t="s">
        <v>2473</v>
      </c>
      <c r="D710" s="7" t="s">
        <v>2474</v>
      </c>
      <c r="E710" s="7" t="s">
        <v>2335</v>
      </c>
      <c r="F710" s="7" t="s">
        <v>2336</v>
      </c>
      <c r="G710" s="7" t="s">
        <v>2337</v>
      </c>
      <c r="H710" s="7" t="s">
        <v>2337</v>
      </c>
      <c r="I710" s="8" t="s">
        <v>104</v>
      </c>
      <c r="J710" s="7" t="s">
        <v>2633</v>
      </c>
      <c r="K710" s="7" t="s">
        <v>63</v>
      </c>
      <c r="L710" s="7" t="s">
        <v>27</v>
      </c>
      <c r="M710" s="7" t="s">
        <v>28</v>
      </c>
      <c r="N710" s="9" t="s">
        <v>59</v>
      </c>
      <c r="O710" s="7" t="s">
        <v>30</v>
      </c>
      <c r="P710" s="7" t="s">
        <v>49</v>
      </c>
      <c r="Q710" s="7"/>
      <c r="R710" s="7" t="str" cm="1">
        <f t="array" ref="R710">IF(AND(Q710="",P710&lt;&gt;""),N710,_xlfn.SWITCH(IF(Q710&lt;&gt;"",Q710,O710)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Centers",IF(Q710&lt;&gt;"",Q710,O710)))</f>
        <v>Leiter/in des Service Centers</v>
      </c>
      <c r="S710" s="7" t="str">
        <f>IF(N710&lt;&gt;R710,"x","")</f>
        <v/>
      </c>
    </row>
    <row r="711" spans="1:19" hidden="1" x14ac:dyDescent="0.25">
      <c r="A711" s="7" t="s">
        <v>2634</v>
      </c>
      <c r="B711" s="7" t="s">
        <v>2635</v>
      </c>
      <c r="C711" s="7" t="s">
        <v>2473</v>
      </c>
      <c r="D711" s="7" t="s">
        <v>2474</v>
      </c>
      <c r="E711" s="7" t="s">
        <v>2335</v>
      </c>
      <c r="F711" s="7" t="s">
        <v>2336</v>
      </c>
      <c r="G711" s="7" t="s">
        <v>2337</v>
      </c>
      <c r="H711" s="7" t="s">
        <v>2337</v>
      </c>
      <c r="I711" s="8" t="s">
        <v>877</v>
      </c>
      <c r="J711" s="7" t="s">
        <v>2636</v>
      </c>
      <c r="K711" s="7" t="s">
        <v>2637</v>
      </c>
      <c r="L711" s="7" t="s">
        <v>27</v>
      </c>
      <c r="M711" s="7" t="s">
        <v>28</v>
      </c>
      <c r="N711" s="9" t="s">
        <v>75</v>
      </c>
      <c r="O711" s="7" t="s">
        <v>30</v>
      </c>
      <c r="P711" s="7" t="s">
        <v>20</v>
      </c>
      <c r="Q711" s="7"/>
      <c r="R711" s="7" t="str" cm="1">
        <f t="array" ref="R711">IF(AND(Q711="",P711&lt;&gt;""),N711,_xlfn.SWITCH(IF(Q711&lt;&gt;"",Q711,O711)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Centers",IF(Q711&lt;&gt;"",Q711,O711)))</f>
        <v>Agenturleiter/in</v>
      </c>
      <c r="S711" s="7" t="str">
        <f>IF(N711&lt;&gt;R711,"x","")</f>
        <v>x</v>
      </c>
    </row>
    <row r="712" spans="1:19" hidden="1" x14ac:dyDescent="0.25">
      <c r="A712" s="7" t="s">
        <v>2638</v>
      </c>
      <c r="B712" s="7" t="s">
        <v>2639</v>
      </c>
      <c r="C712" s="7" t="s">
        <v>2473</v>
      </c>
      <c r="D712" s="7" t="s">
        <v>2474</v>
      </c>
      <c r="E712" s="7" t="s">
        <v>2335</v>
      </c>
      <c r="F712" s="7" t="s">
        <v>2336</v>
      </c>
      <c r="G712" s="7" t="s">
        <v>2337</v>
      </c>
      <c r="H712" s="7" t="s">
        <v>2337</v>
      </c>
      <c r="I712" s="8" t="s">
        <v>2640</v>
      </c>
      <c r="J712" s="7" t="s">
        <v>2641</v>
      </c>
      <c r="K712" s="7" t="s">
        <v>63</v>
      </c>
      <c r="L712" s="7" t="s">
        <v>97</v>
      </c>
      <c r="M712" s="7" t="s">
        <v>98</v>
      </c>
      <c r="N712" s="9" t="s">
        <v>29</v>
      </c>
      <c r="O712" s="7" t="s">
        <v>99</v>
      </c>
      <c r="P712" s="7" t="s">
        <v>49</v>
      </c>
      <c r="Q712" s="7"/>
      <c r="R712" s="7" t="str" cm="1">
        <f t="array" ref="R712">IF(AND(Q712="",P712&lt;&gt;""),N712,_xlfn.SWITCH(IF(Q712&lt;&gt;"",Q712,O712)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Centers",IF(Q712&lt;&gt;"",Q712,O712)))</f>
        <v>Generalagent/in</v>
      </c>
      <c r="S712" s="7" t="str">
        <f>IF(N712&lt;&gt;R712,"x","")</f>
        <v/>
      </c>
    </row>
    <row r="713" spans="1:19" hidden="1" x14ac:dyDescent="0.25">
      <c r="A713" s="7" t="s">
        <v>2642</v>
      </c>
      <c r="B713" s="7" t="s">
        <v>2643</v>
      </c>
      <c r="C713" s="7" t="s">
        <v>2473</v>
      </c>
      <c r="D713" s="7" t="s">
        <v>2474</v>
      </c>
      <c r="E713" s="7" t="s">
        <v>2335</v>
      </c>
      <c r="F713" s="7" t="s">
        <v>2336</v>
      </c>
      <c r="G713" s="7" t="s">
        <v>2337</v>
      </c>
      <c r="H713" s="7" t="s">
        <v>2337</v>
      </c>
      <c r="I713" s="8" t="s">
        <v>2644</v>
      </c>
      <c r="J713" s="7" t="s">
        <v>2645</v>
      </c>
      <c r="K713" s="7" t="s">
        <v>2646</v>
      </c>
      <c r="L713" s="7" t="s">
        <v>228</v>
      </c>
      <c r="M713" s="7" t="s">
        <v>229</v>
      </c>
      <c r="N713" s="9" t="s">
        <v>334</v>
      </c>
      <c r="O713" s="7" t="s">
        <v>54</v>
      </c>
      <c r="P713" s="7" t="s">
        <v>20</v>
      </c>
      <c r="Q713" s="9" t="s">
        <v>334</v>
      </c>
      <c r="R713" s="7" t="str" cm="1">
        <f t="array" ref="R713">IF(AND(Q713="",P713&lt;&gt;""),N713,_xlfn.SWITCH(IF(Q713&lt;&gt;"",Q713,O713)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Centers",IF(Q713&lt;&gt;"",Q713,O713)))</f>
        <v>Generalagentin</v>
      </c>
      <c r="S713" s="7" t="str">
        <f>IF(N713&lt;&gt;R713,"x","")</f>
        <v/>
      </c>
    </row>
    <row r="714" spans="1:19" hidden="1" x14ac:dyDescent="0.25">
      <c r="A714" s="7" t="s">
        <v>2647</v>
      </c>
      <c r="B714" s="7" t="s">
        <v>2648</v>
      </c>
      <c r="C714" s="7" t="s">
        <v>2473</v>
      </c>
      <c r="D714" s="7" t="s">
        <v>2474</v>
      </c>
      <c r="E714" s="7" t="s">
        <v>2335</v>
      </c>
      <c r="F714" s="7" t="s">
        <v>2336</v>
      </c>
      <c r="G714" s="7" t="s">
        <v>2337</v>
      </c>
      <c r="H714" s="7" t="s">
        <v>2337</v>
      </c>
      <c r="I714" s="8" t="s">
        <v>1160</v>
      </c>
      <c r="J714" s="7" t="s">
        <v>2649</v>
      </c>
      <c r="K714" s="7" t="s">
        <v>2650</v>
      </c>
      <c r="L714" s="7" t="s">
        <v>40</v>
      </c>
      <c r="M714" s="7" t="s">
        <v>41</v>
      </c>
      <c r="N714" s="9" t="s">
        <v>75</v>
      </c>
      <c r="O714" s="7" t="s">
        <v>48</v>
      </c>
      <c r="P714" s="7" t="s">
        <v>20</v>
      </c>
      <c r="Q714" s="7"/>
      <c r="R714" s="7" t="str" cm="1">
        <f t="array" ref="R714">IF(AND(Q714="",P714&lt;&gt;""),N714,_xlfn.SWITCH(IF(Q714&lt;&gt;"",Q714,O714)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Centers",IF(Q714&lt;&gt;"",Q714,O714)))</f>
        <v>Repräsentant/in</v>
      </c>
      <c r="S714" s="7" t="str">
        <f>IF(N714&lt;&gt;R714,"x","")</f>
        <v>x</v>
      </c>
    </row>
    <row r="715" spans="1:19" hidden="1" x14ac:dyDescent="0.25">
      <c r="A715" s="7" t="s">
        <v>2651</v>
      </c>
      <c r="B715" s="7" t="s">
        <v>2652</v>
      </c>
      <c r="C715" s="7" t="s">
        <v>2473</v>
      </c>
      <c r="D715" s="7" t="s">
        <v>2474</v>
      </c>
      <c r="E715" s="7" t="s">
        <v>2335</v>
      </c>
      <c r="F715" s="7" t="s">
        <v>2336</v>
      </c>
      <c r="G715" s="7" t="s">
        <v>2337</v>
      </c>
      <c r="H715" s="7" t="s">
        <v>2337</v>
      </c>
      <c r="I715" s="8" t="s">
        <v>2059</v>
      </c>
      <c r="J715" s="7" t="s">
        <v>2653</v>
      </c>
      <c r="K715" s="7" t="s">
        <v>2654</v>
      </c>
      <c r="L715" s="7" t="s">
        <v>40</v>
      </c>
      <c r="M715" s="7" t="s">
        <v>41</v>
      </c>
      <c r="N715" s="9" t="s">
        <v>75</v>
      </c>
      <c r="O715" s="7" t="s">
        <v>48</v>
      </c>
      <c r="P715" s="7" t="s">
        <v>20</v>
      </c>
      <c r="Q715" s="7"/>
      <c r="R715" s="7" t="str" cm="1">
        <f t="array" ref="R715">IF(AND(Q715="",P715&lt;&gt;""),N715,_xlfn.SWITCH(IF(Q715&lt;&gt;"",Q715,O715)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Centers",IF(Q715&lt;&gt;"",Q715,O715)))</f>
        <v>Repräsentant/in</v>
      </c>
      <c r="S715" s="7" t="str">
        <f>IF(N715&lt;&gt;R715,"x","")</f>
        <v>x</v>
      </c>
    </row>
    <row r="716" spans="1:19" hidden="1" x14ac:dyDescent="0.25">
      <c r="A716" s="7" t="s">
        <v>2655</v>
      </c>
      <c r="B716" s="7" t="s">
        <v>2656</v>
      </c>
      <c r="C716" s="7" t="s">
        <v>2473</v>
      </c>
      <c r="D716" s="7" t="s">
        <v>2474</v>
      </c>
      <c r="E716" s="7" t="s">
        <v>2335</v>
      </c>
      <c r="F716" s="7" t="s">
        <v>2336</v>
      </c>
      <c r="G716" s="7" t="s">
        <v>2337</v>
      </c>
      <c r="H716" s="7" t="s">
        <v>2337</v>
      </c>
      <c r="I716" s="8" t="s">
        <v>2657</v>
      </c>
      <c r="J716" s="7" t="s">
        <v>2658</v>
      </c>
      <c r="K716" s="7" t="s">
        <v>2659</v>
      </c>
      <c r="L716" s="7" t="s">
        <v>27</v>
      </c>
      <c r="M716" s="7" t="s">
        <v>28</v>
      </c>
      <c r="N716" s="9" t="s">
        <v>75</v>
      </c>
      <c r="O716" s="7" t="s">
        <v>30</v>
      </c>
      <c r="P716" s="7" t="s">
        <v>20</v>
      </c>
      <c r="Q716" s="7"/>
      <c r="R716" s="7" t="str" cm="1">
        <f t="array" ref="R716">IF(AND(Q716="",P716&lt;&gt;""),N716,_xlfn.SWITCH(IF(Q716&lt;&gt;"",Q716,O716)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Centers",IF(Q716&lt;&gt;"",Q716,O716)))</f>
        <v>Agenturleiter/in</v>
      </c>
      <c r="S716" s="7" t="str">
        <f>IF(N716&lt;&gt;R716,"x","")</f>
        <v>x</v>
      </c>
    </row>
    <row r="717" spans="1:19" hidden="1" x14ac:dyDescent="0.25">
      <c r="A717" s="7" t="s">
        <v>2660</v>
      </c>
      <c r="B717" s="7" t="s">
        <v>2661</v>
      </c>
      <c r="C717" s="7" t="s">
        <v>2473</v>
      </c>
      <c r="D717" s="7" t="s">
        <v>2474</v>
      </c>
      <c r="E717" s="7" t="s">
        <v>2335</v>
      </c>
      <c r="F717" s="7" t="s">
        <v>2336</v>
      </c>
      <c r="G717" s="7" t="s">
        <v>2337</v>
      </c>
      <c r="H717" s="7" t="s">
        <v>2337</v>
      </c>
      <c r="I717" s="8" t="s">
        <v>2662</v>
      </c>
      <c r="J717" s="7" t="s">
        <v>2663</v>
      </c>
      <c r="K717" s="7" t="s">
        <v>2664</v>
      </c>
      <c r="L717" s="7" t="s">
        <v>97</v>
      </c>
      <c r="M717" s="7" t="s">
        <v>98</v>
      </c>
      <c r="N717" s="9" t="s">
        <v>75</v>
      </c>
      <c r="O717" s="7" t="s">
        <v>99</v>
      </c>
      <c r="P717" s="7" t="s">
        <v>20</v>
      </c>
      <c r="Q717" s="7"/>
      <c r="R717" s="7" t="str" cm="1">
        <f t="array" ref="R717">IF(AND(Q717="",P717&lt;&gt;""),N717,_xlfn.SWITCH(IF(Q717&lt;&gt;"",Q717,O717)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Centers",IF(Q717&lt;&gt;"",Q717,O717)))</f>
        <v>Hauptagent/in</v>
      </c>
      <c r="S717" s="7" t="str">
        <f>IF(N717&lt;&gt;R717,"x","")</f>
        <v>x</v>
      </c>
    </row>
    <row r="718" spans="1:19" hidden="1" x14ac:dyDescent="0.25">
      <c r="A718" s="7" t="s">
        <v>2665</v>
      </c>
      <c r="B718" s="7" t="s">
        <v>20</v>
      </c>
      <c r="C718" s="7" t="s">
        <v>1992</v>
      </c>
      <c r="D718" s="7" t="s">
        <v>1993</v>
      </c>
      <c r="E718" s="7" t="s">
        <v>20</v>
      </c>
      <c r="F718" s="7" t="s">
        <v>20</v>
      </c>
      <c r="G718" s="7" t="s">
        <v>1994</v>
      </c>
      <c r="H718" s="7" t="s">
        <v>20</v>
      </c>
      <c r="I718" s="8" t="s">
        <v>2425</v>
      </c>
      <c r="J718" s="7" t="s">
        <v>2666</v>
      </c>
      <c r="K718" s="7" t="s">
        <v>2667</v>
      </c>
      <c r="L718" s="7" t="s">
        <v>124</v>
      </c>
      <c r="M718" s="7" t="s">
        <v>125</v>
      </c>
      <c r="N718" s="9" t="s">
        <v>59</v>
      </c>
      <c r="O718" s="7" t="s">
        <v>67</v>
      </c>
      <c r="P718" s="7" t="s">
        <v>20</v>
      </c>
      <c r="Q718" s="7"/>
      <c r="R718" s="7" t="str" cm="1">
        <f t="array" ref="R718">IF(AND(Q718="",P718&lt;&gt;""),N718,_xlfn.SWITCH(IF(Q718&lt;&gt;"",Q718,O718)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Centers",IF(Q718&lt;&gt;"",Q718,O718)))</f>
        <v>Leiter/in des Service Centers</v>
      </c>
      <c r="S718" s="7" t="str">
        <f>IF(N718&lt;&gt;R718,"x","")</f>
        <v/>
      </c>
    </row>
    <row r="719" spans="1:19" hidden="1" x14ac:dyDescent="0.25">
      <c r="A719" s="7" t="s">
        <v>2668</v>
      </c>
      <c r="B719" s="7" t="s">
        <v>20</v>
      </c>
      <c r="C719" s="7" t="s">
        <v>1992</v>
      </c>
      <c r="D719" s="7" t="s">
        <v>1993</v>
      </c>
      <c r="E719" s="7" t="s">
        <v>20</v>
      </c>
      <c r="F719" s="7" t="s">
        <v>20</v>
      </c>
      <c r="G719" s="7" t="s">
        <v>1994</v>
      </c>
      <c r="H719" s="7" t="s">
        <v>20</v>
      </c>
      <c r="I719" s="8" t="s">
        <v>2669</v>
      </c>
      <c r="J719" s="7" t="s">
        <v>2670</v>
      </c>
      <c r="K719" s="7" t="s">
        <v>2671</v>
      </c>
      <c r="L719" s="7" t="s">
        <v>40</v>
      </c>
      <c r="M719" s="7" t="s">
        <v>41</v>
      </c>
      <c r="N719" s="9" t="s">
        <v>66</v>
      </c>
      <c r="O719" s="7" t="s">
        <v>48</v>
      </c>
      <c r="P719" s="7" t="s">
        <v>20</v>
      </c>
      <c r="Q719" s="7"/>
      <c r="R719" s="7" t="str" cm="1">
        <f t="array" ref="R719">IF(AND(Q719="",P719&lt;&gt;""),N719,_xlfn.SWITCH(IF(Q719&lt;&gt;"",Q719,O719)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Centers",IF(Q719&lt;&gt;"",Q719,O719)))</f>
        <v>Repräsentant/in</v>
      </c>
      <c r="S719" s="7" t="str">
        <f>IF(N719&lt;&gt;R719,"x","")</f>
        <v/>
      </c>
    </row>
    <row r="720" spans="1:19" hidden="1" x14ac:dyDescent="0.25">
      <c r="A720" s="7" t="s">
        <v>2672</v>
      </c>
      <c r="B720" s="7" t="s">
        <v>20</v>
      </c>
      <c r="C720" s="7" t="s">
        <v>1992</v>
      </c>
      <c r="D720" s="7" t="s">
        <v>1993</v>
      </c>
      <c r="E720" s="7" t="s">
        <v>20</v>
      </c>
      <c r="F720" s="7" t="s">
        <v>20</v>
      </c>
      <c r="G720" s="7" t="s">
        <v>1994</v>
      </c>
      <c r="H720" s="7" t="s">
        <v>20</v>
      </c>
      <c r="I720" s="8" t="s">
        <v>2673</v>
      </c>
      <c r="J720" s="7" t="s">
        <v>2674</v>
      </c>
      <c r="K720" s="7" t="s">
        <v>63</v>
      </c>
      <c r="L720" s="7" t="s">
        <v>40</v>
      </c>
      <c r="M720" s="7" t="s">
        <v>41</v>
      </c>
      <c r="N720" s="9" t="s">
        <v>111</v>
      </c>
      <c r="O720" s="7" t="s">
        <v>43</v>
      </c>
      <c r="P720" s="7" t="s">
        <v>49</v>
      </c>
      <c r="Q720" s="7"/>
      <c r="R720" s="7" t="str" cm="1">
        <f t="array" ref="R720">IF(AND(Q720="",P720&lt;&gt;""),N720,_xlfn.SWITCH(IF(Q720&lt;&gt;"",Q720,O720)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Centers",IF(Q720&lt;&gt;"",Q720,O720)))</f>
        <v>Hauptagent/in</v>
      </c>
      <c r="S720" s="7" t="str">
        <f>IF(N720&lt;&gt;R720,"x","")</f>
        <v/>
      </c>
    </row>
    <row r="721" spans="1:19" hidden="1" x14ac:dyDescent="0.25">
      <c r="A721" s="7" t="s">
        <v>2675</v>
      </c>
      <c r="B721" s="7" t="s">
        <v>20</v>
      </c>
      <c r="C721" s="7" t="s">
        <v>1992</v>
      </c>
      <c r="D721" s="7" t="s">
        <v>1993</v>
      </c>
      <c r="E721" s="7" t="s">
        <v>20</v>
      </c>
      <c r="F721" s="7" t="s">
        <v>20</v>
      </c>
      <c r="G721" s="7" t="s">
        <v>1994</v>
      </c>
      <c r="H721" s="7" t="s">
        <v>20</v>
      </c>
      <c r="I721" s="8" t="s">
        <v>635</v>
      </c>
      <c r="J721" s="7" t="s">
        <v>1804</v>
      </c>
      <c r="K721" s="7" t="s">
        <v>2676</v>
      </c>
      <c r="L721" s="7" t="s">
        <v>40</v>
      </c>
      <c r="M721" s="7" t="s">
        <v>41</v>
      </c>
      <c r="N721" s="9" t="s">
        <v>80</v>
      </c>
      <c r="O721" s="7" t="s">
        <v>48</v>
      </c>
      <c r="P721" s="7" t="s">
        <v>20</v>
      </c>
      <c r="Q721" s="7"/>
      <c r="R721" s="7" t="str" cm="1">
        <f t="array" ref="R721">IF(AND(Q721="",P721&lt;&gt;""),N721,_xlfn.SWITCH(IF(Q721&lt;&gt;"",Q721,O721)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Centers",IF(Q721&lt;&gt;"",Q721,O721)))</f>
        <v>Repräsentant/in</v>
      </c>
      <c r="S721" s="7" t="str">
        <f>IF(N721&lt;&gt;R721,"x","")</f>
        <v>x</v>
      </c>
    </row>
    <row r="722" spans="1:19" hidden="1" x14ac:dyDescent="0.25">
      <c r="A722" s="7" t="s">
        <v>2677</v>
      </c>
      <c r="B722" s="7" t="s">
        <v>20</v>
      </c>
      <c r="C722" s="7" t="s">
        <v>1992</v>
      </c>
      <c r="D722" s="7" t="s">
        <v>1993</v>
      </c>
      <c r="E722" s="7" t="s">
        <v>20</v>
      </c>
      <c r="F722" s="7" t="s">
        <v>20</v>
      </c>
      <c r="G722" s="7" t="s">
        <v>1994</v>
      </c>
      <c r="H722" s="7" t="s">
        <v>20</v>
      </c>
      <c r="I722" s="8" t="s">
        <v>1160</v>
      </c>
      <c r="J722" s="7" t="s">
        <v>2678</v>
      </c>
      <c r="K722" s="7" t="s">
        <v>63</v>
      </c>
      <c r="L722" s="7" t="s">
        <v>97</v>
      </c>
      <c r="M722" s="7" t="s">
        <v>98</v>
      </c>
      <c r="N722" s="9" t="s">
        <v>149</v>
      </c>
      <c r="O722" s="7" t="s">
        <v>99</v>
      </c>
      <c r="P722" s="7" t="s">
        <v>49</v>
      </c>
      <c r="Q722" s="7"/>
      <c r="R722" s="7" t="str" cm="1">
        <f t="array" ref="R722">IF(AND(Q722="",P722&lt;&gt;""),N722,_xlfn.SWITCH(IF(Q722&lt;&gt;"",Q722,O722)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Centers",IF(Q722&lt;&gt;"",Q722,O722)))</f>
        <v>Generalagent</v>
      </c>
      <c r="S722" s="7" t="str">
        <f>IF(N722&lt;&gt;R722,"x","")</f>
        <v/>
      </c>
    </row>
    <row r="723" spans="1:19" hidden="1" x14ac:dyDescent="0.25">
      <c r="A723" s="7" t="s">
        <v>2679</v>
      </c>
      <c r="B723" s="7" t="s">
        <v>20</v>
      </c>
      <c r="C723" s="7" t="s">
        <v>1992</v>
      </c>
      <c r="D723" s="7" t="s">
        <v>1993</v>
      </c>
      <c r="E723" s="7" t="s">
        <v>20</v>
      </c>
      <c r="F723" s="7" t="s">
        <v>20</v>
      </c>
      <c r="G723" s="7" t="s">
        <v>1994</v>
      </c>
      <c r="H723" s="7" t="s">
        <v>20</v>
      </c>
      <c r="I723" s="8" t="s">
        <v>1271</v>
      </c>
      <c r="J723" s="7" t="s">
        <v>2680</v>
      </c>
      <c r="K723" s="7" t="s">
        <v>2681</v>
      </c>
      <c r="L723" s="7" t="s">
        <v>27</v>
      </c>
      <c r="M723" s="7" t="s">
        <v>28</v>
      </c>
      <c r="N723" s="9" t="s">
        <v>35</v>
      </c>
      <c r="O723" s="7" t="s">
        <v>30</v>
      </c>
      <c r="P723" s="7" t="s">
        <v>20</v>
      </c>
      <c r="Q723" s="7"/>
      <c r="R723" s="7" t="str" cm="1">
        <f t="array" ref="R723">IF(AND(Q723="",P723&lt;&gt;""),N723,_xlfn.SWITCH(IF(Q723&lt;&gt;"",Q723,O723)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Centers",IF(Q723&lt;&gt;"",Q723,O723)))</f>
        <v>Agenturleiter/in</v>
      </c>
      <c r="S723" s="7" t="str">
        <f>IF(N723&lt;&gt;R723,"x","")</f>
        <v>x</v>
      </c>
    </row>
    <row r="724" spans="1:19" hidden="1" x14ac:dyDescent="0.25">
      <c r="A724" s="7" t="s">
        <v>2682</v>
      </c>
      <c r="B724" s="7" t="s">
        <v>20</v>
      </c>
      <c r="C724" s="7" t="s">
        <v>1992</v>
      </c>
      <c r="D724" s="7" t="s">
        <v>1993</v>
      </c>
      <c r="E724" s="7" t="s">
        <v>20</v>
      </c>
      <c r="F724" s="7" t="s">
        <v>20</v>
      </c>
      <c r="G724" s="7" t="s">
        <v>1994</v>
      </c>
      <c r="H724" s="7" t="s">
        <v>20</v>
      </c>
      <c r="I724" s="8" t="s">
        <v>2683</v>
      </c>
      <c r="J724" s="7" t="s">
        <v>2684</v>
      </c>
      <c r="K724" s="7" t="s">
        <v>2685</v>
      </c>
      <c r="L724" s="7" t="s">
        <v>27</v>
      </c>
      <c r="M724" s="7" t="s">
        <v>28</v>
      </c>
      <c r="N724" s="9" t="s">
        <v>334</v>
      </c>
      <c r="O724" s="7" t="s">
        <v>54</v>
      </c>
      <c r="P724" s="7" t="s">
        <v>20</v>
      </c>
      <c r="Q724" s="7"/>
      <c r="R724" s="7" t="str" cm="1">
        <f t="array" ref="R724">IF(AND(Q724="",P724&lt;&gt;""),N724,_xlfn.SWITCH(IF(Q724&lt;&gt;"",Q724,O724)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Centers",IF(Q724&lt;&gt;"",Q724,O724)))</f>
        <v>Agenturleiter/in</v>
      </c>
      <c r="S724" s="7" t="str">
        <f>IF(N724&lt;&gt;R724,"x","")</f>
        <v>x</v>
      </c>
    </row>
    <row r="725" spans="1:19" hidden="1" x14ac:dyDescent="0.25">
      <c r="A725" s="7" t="s">
        <v>2686</v>
      </c>
      <c r="B725" s="7" t="s">
        <v>20</v>
      </c>
      <c r="C725" s="7" t="s">
        <v>1992</v>
      </c>
      <c r="D725" s="7" t="s">
        <v>1993</v>
      </c>
      <c r="E725" s="7" t="s">
        <v>20</v>
      </c>
      <c r="F725" s="7" t="s">
        <v>20</v>
      </c>
      <c r="G725" s="7" t="s">
        <v>1994</v>
      </c>
      <c r="H725" s="7" t="s">
        <v>20</v>
      </c>
      <c r="I725" s="8" t="s">
        <v>2687</v>
      </c>
      <c r="J725" s="7" t="s">
        <v>2688</v>
      </c>
      <c r="K725" s="7" t="s">
        <v>2689</v>
      </c>
      <c r="L725" s="7" t="s">
        <v>97</v>
      </c>
      <c r="M725" s="7" t="s">
        <v>98</v>
      </c>
      <c r="N725" s="9" t="s">
        <v>111</v>
      </c>
      <c r="O725" s="7" t="s">
        <v>251</v>
      </c>
      <c r="P725" s="7" t="s">
        <v>20</v>
      </c>
      <c r="Q725" s="7"/>
      <c r="R725" s="7" t="str" cm="1">
        <f t="array" ref="R725">IF(AND(Q725="",P725&lt;&gt;""),N725,_xlfn.SWITCH(IF(Q725&lt;&gt;"",Q725,O725)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Centers",IF(Q725&lt;&gt;"",Q725,O725)))</f>
        <v>Hauptagent/in</v>
      </c>
      <c r="S725" s="7" t="str">
        <f>IF(N725&lt;&gt;R725,"x","")</f>
        <v/>
      </c>
    </row>
    <row r="726" spans="1:19" hidden="1" x14ac:dyDescent="0.25">
      <c r="A726" s="7" t="s">
        <v>2690</v>
      </c>
      <c r="B726" s="7" t="s">
        <v>20</v>
      </c>
      <c r="C726" s="7" t="s">
        <v>1992</v>
      </c>
      <c r="D726" s="7" t="s">
        <v>1993</v>
      </c>
      <c r="E726" s="7" t="s">
        <v>20</v>
      </c>
      <c r="F726" s="7" t="s">
        <v>20</v>
      </c>
      <c r="G726" s="7" t="s">
        <v>1994</v>
      </c>
      <c r="H726" s="7" t="s">
        <v>20</v>
      </c>
      <c r="I726" s="8" t="s">
        <v>2691</v>
      </c>
      <c r="J726" s="7" t="s">
        <v>2692</v>
      </c>
      <c r="K726" s="7" t="s">
        <v>2693</v>
      </c>
      <c r="L726" s="7" t="s">
        <v>27</v>
      </c>
      <c r="M726" s="7" t="s">
        <v>28</v>
      </c>
      <c r="N726" s="9" t="s">
        <v>75</v>
      </c>
      <c r="O726" s="7" t="s">
        <v>30</v>
      </c>
      <c r="P726" s="7" t="s">
        <v>20</v>
      </c>
      <c r="Q726" s="7"/>
      <c r="R726" s="7" t="str" cm="1">
        <f t="array" ref="R726">IF(AND(Q726="",P726&lt;&gt;""),N726,_xlfn.SWITCH(IF(Q726&lt;&gt;"",Q726,O726)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Centers",IF(Q726&lt;&gt;"",Q726,O726)))</f>
        <v>Agenturleiter/in</v>
      </c>
      <c r="S726" s="7" t="str">
        <f>IF(N726&lt;&gt;R726,"x","")</f>
        <v>x</v>
      </c>
    </row>
    <row r="727" spans="1:19" hidden="1" x14ac:dyDescent="0.25">
      <c r="A727" s="7" t="s">
        <v>2694</v>
      </c>
      <c r="B727" s="7" t="s">
        <v>20</v>
      </c>
      <c r="C727" s="7" t="s">
        <v>1992</v>
      </c>
      <c r="D727" s="7" t="s">
        <v>1993</v>
      </c>
      <c r="E727" s="7" t="s">
        <v>20</v>
      </c>
      <c r="F727" s="7" t="s">
        <v>20</v>
      </c>
      <c r="G727" s="7" t="s">
        <v>1994</v>
      </c>
      <c r="H727" s="7" t="s">
        <v>20</v>
      </c>
      <c r="I727" s="8" t="s">
        <v>517</v>
      </c>
      <c r="J727" s="7" t="s">
        <v>2695</v>
      </c>
      <c r="K727" s="7" t="s">
        <v>2696</v>
      </c>
      <c r="L727" s="7" t="s">
        <v>27</v>
      </c>
      <c r="M727" s="7" t="s">
        <v>28</v>
      </c>
      <c r="N727" s="9" t="s">
        <v>111</v>
      </c>
      <c r="O727" s="7" t="s">
        <v>30</v>
      </c>
      <c r="P727" s="7" t="s">
        <v>20</v>
      </c>
      <c r="Q727" s="7"/>
      <c r="R727" s="7" t="str" cm="1">
        <f t="array" ref="R727">IF(AND(Q727="",P727&lt;&gt;""),N727,_xlfn.SWITCH(IF(Q727&lt;&gt;"",Q727,O727)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Centers",IF(Q727&lt;&gt;"",Q727,O727)))</f>
        <v>Agenturleiter/in</v>
      </c>
      <c r="S727" s="7" t="str">
        <f>IF(N727&lt;&gt;R727,"x","")</f>
        <v>x</v>
      </c>
    </row>
    <row r="728" spans="1:19" hidden="1" x14ac:dyDescent="0.25">
      <c r="A728" s="7" t="s">
        <v>2697</v>
      </c>
      <c r="B728" s="7" t="s">
        <v>20</v>
      </c>
      <c r="C728" s="7" t="s">
        <v>1992</v>
      </c>
      <c r="D728" s="7" t="s">
        <v>1993</v>
      </c>
      <c r="E728" s="7" t="s">
        <v>20</v>
      </c>
      <c r="F728" s="7" t="s">
        <v>20</v>
      </c>
      <c r="G728" s="7" t="s">
        <v>1994</v>
      </c>
      <c r="H728" s="7" t="s">
        <v>20</v>
      </c>
      <c r="I728" s="8" t="s">
        <v>2698</v>
      </c>
      <c r="J728" s="7" t="s">
        <v>2699</v>
      </c>
      <c r="K728" s="7" t="s">
        <v>2700</v>
      </c>
      <c r="L728" s="7" t="s">
        <v>124</v>
      </c>
      <c r="M728" s="7" t="s">
        <v>125</v>
      </c>
      <c r="N728" s="9" t="s">
        <v>66</v>
      </c>
      <c r="O728" s="7" t="s">
        <v>67</v>
      </c>
      <c r="P728" s="7" t="s">
        <v>20</v>
      </c>
      <c r="Q728" s="7"/>
      <c r="R728" s="7" t="str" cm="1">
        <f t="array" ref="R728">IF(AND(Q728="",P728&lt;&gt;""),N728,_xlfn.SWITCH(IF(Q728&lt;&gt;"",Q728,O728)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Centers",IF(Q728&lt;&gt;"",Q728,O728)))</f>
        <v>Leiter/in des Service Centers</v>
      </c>
      <c r="S728" s="7" t="str">
        <f>IF(N728&lt;&gt;R728,"x","")</f>
        <v>x</v>
      </c>
    </row>
    <row r="729" spans="1:19" hidden="1" x14ac:dyDescent="0.25">
      <c r="A729" s="7" t="s">
        <v>2701</v>
      </c>
      <c r="B729" s="7" t="s">
        <v>20</v>
      </c>
      <c r="C729" s="7" t="s">
        <v>1992</v>
      </c>
      <c r="D729" s="7" t="s">
        <v>1993</v>
      </c>
      <c r="E729" s="7" t="s">
        <v>20</v>
      </c>
      <c r="F729" s="7" t="s">
        <v>20</v>
      </c>
      <c r="G729" s="7" t="s">
        <v>1994</v>
      </c>
      <c r="H729" s="7" t="s">
        <v>20</v>
      </c>
      <c r="I729" s="8" t="s">
        <v>2702</v>
      </c>
      <c r="J729" s="7" t="s">
        <v>2703</v>
      </c>
      <c r="K729" s="7" t="s">
        <v>2704</v>
      </c>
      <c r="L729" s="7" t="s">
        <v>97</v>
      </c>
      <c r="M729" s="7" t="s">
        <v>98</v>
      </c>
      <c r="N729" s="9" t="s">
        <v>66</v>
      </c>
      <c r="O729" s="7" t="s">
        <v>251</v>
      </c>
      <c r="P729" s="7" t="s">
        <v>20</v>
      </c>
      <c r="Q729" s="7"/>
      <c r="R729" s="7" t="str" cm="1">
        <f t="array" ref="R729">IF(AND(Q729="",P729&lt;&gt;""),N729,_xlfn.SWITCH(IF(Q729&lt;&gt;"",Q729,O729)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Centers",IF(Q729&lt;&gt;"",Q729,O729)))</f>
        <v>Hauptagent/in</v>
      </c>
      <c r="S729" s="7" t="str">
        <f>IF(N729&lt;&gt;R729,"x","")</f>
        <v>x</v>
      </c>
    </row>
    <row r="730" spans="1:19" hidden="1" x14ac:dyDescent="0.25">
      <c r="A730" s="7" t="s">
        <v>2705</v>
      </c>
      <c r="B730" s="7" t="s">
        <v>20</v>
      </c>
      <c r="C730" s="7" t="s">
        <v>1992</v>
      </c>
      <c r="D730" s="7" t="s">
        <v>1993</v>
      </c>
      <c r="E730" s="7" t="s">
        <v>20</v>
      </c>
      <c r="F730" s="7" t="s">
        <v>20</v>
      </c>
      <c r="G730" s="7" t="s">
        <v>1994</v>
      </c>
      <c r="H730" s="7" t="s">
        <v>20</v>
      </c>
      <c r="I730" s="8" t="s">
        <v>837</v>
      </c>
      <c r="J730" s="7" t="s">
        <v>2706</v>
      </c>
      <c r="K730" s="7" t="s">
        <v>63</v>
      </c>
      <c r="L730" s="7" t="s">
        <v>97</v>
      </c>
      <c r="M730" s="7" t="s">
        <v>98</v>
      </c>
      <c r="N730" s="9" t="s">
        <v>35</v>
      </c>
      <c r="O730" s="7" t="s">
        <v>99</v>
      </c>
      <c r="P730" s="7" t="s">
        <v>49</v>
      </c>
      <c r="Q730" s="7"/>
      <c r="R730" s="7" t="str" cm="1">
        <f t="array" ref="R730">IF(AND(Q730="",P730&lt;&gt;""),N730,_xlfn.SWITCH(IF(Q730&lt;&gt;"",Q730,O730)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Centers",IF(Q730&lt;&gt;"",Q730,O730)))</f>
        <v>Leiter/in einer Geschäftsstelle</v>
      </c>
      <c r="S730" s="7" t="str">
        <f>IF(N730&lt;&gt;R730,"x","")</f>
        <v/>
      </c>
    </row>
    <row r="731" spans="1:19" hidden="1" x14ac:dyDescent="0.25">
      <c r="A731" s="7" t="s">
        <v>2707</v>
      </c>
      <c r="B731" s="7" t="s">
        <v>20</v>
      </c>
      <c r="C731" s="7" t="s">
        <v>1992</v>
      </c>
      <c r="D731" s="7" t="s">
        <v>1993</v>
      </c>
      <c r="E731" s="7" t="s">
        <v>20</v>
      </c>
      <c r="F731" s="7" t="s">
        <v>20</v>
      </c>
      <c r="G731" s="7" t="s">
        <v>1994</v>
      </c>
      <c r="H731" s="7" t="s">
        <v>20</v>
      </c>
      <c r="I731" s="8" t="s">
        <v>585</v>
      </c>
      <c r="J731" s="7" t="s">
        <v>2708</v>
      </c>
      <c r="K731" s="7" t="s">
        <v>2709</v>
      </c>
      <c r="L731" s="7" t="s">
        <v>27</v>
      </c>
      <c r="M731" s="7" t="s">
        <v>28</v>
      </c>
      <c r="N731" s="9" t="s">
        <v>149</v>
      </c>
      <c r="O731" s="7" t="s">
        <v>30</v>
      </c>
      <c r="P731" s="7" t="s">
        <v>20</v>
      </c>
      <c r="Q731" s="7"/>
      <c r="R731" s="7" t="str" cm="1">
        <f t="array" ref="R731">IF(AND(Q731="",P731&lt;&gt;""),N731,_xlfn.SWITCH(IF(Q731&lt;&gt;"",Q731,O731)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Centers",IF(Q731&lt;&gt;"",Q731,O731)))</f>
        <v>Agenturleiter/in</v>
      </c>
      <c r="S731" s="7" t="str">
        <f>IF(N731&lt;&gt;R731,"x","")</f>
        <v>x</v>
      </c>
    </row>
    <row r="732" spans="1:19" hidden="1" x14ac:dyDescent="0.25">
      <c r="A732" s="7" t="s">
        <v>2710</v>
      </c>
      <c r="B732" s="7" t="s">
        <v>20</v>
      </c>
      <c r="C732" s="7" t="s">
        <v>1992</v>
      </c>
      <c r="D732" s="7" t="s">
        <v>1993</v>
      </c>
      <c r="E732" s="7" t="s">
        <v>20</v>
      </c>
      <c r="F732" s="7" t="s">
        <v>20</v>
      </c>
      <c r="G732" s="7" t="s">
        <v>1994</v>
      </c>
      <c r="H732" s="7" t="s">
        <v>20</v>
      </c>
      <c r="I732" s="8" t="s">
        <v>2711</v>
      </c>
      <c r="J732" s="7" t="s">
        <v>2712</v>
      </c>
      <c r="K732" s="7" t="s">
        <v>63</v>
      </c>
      <c r="L732" s="7" t="s">
        <v>97</v>
      </c>
      <c r="M732" s="7" t="s">
        <v>98</v>
      </c>
      <c r="N732" s="9" t="s">
        <v>35</v>
      </c>
      <c r="O732" s="7" t="s">
        <v>251</v>
      </c>
      <c r="P732" s="7" t="s">
        <v>49</v>
      </c>
      <c r="Q732" s="7"/>
      <c r="R732" s="7" t="str" cm="1">
        <f t="array" ref="R732">IF(AND(Q732="",P732&lt;&gt;""),N732,_xlfn.SWITCH(IF(Q732&lt;&gt;"",Q732,O732)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Centers",IF(Q732&lt;&gt;"",Q732,O732)))</f>
        <v>Leiter/in einer Geschäftsstelle</v>
      </c>
      <c r="S732" s="7" t="str">
        <f>IF(N732&lt;&gt;R732,"x","")</f>
        <v/>
      </c>
    </row>
    <row r="733" spans="1:19" x14ac:dyDescent="0.25">
      <c r="A733" s="7" t="s">
        <v>2713</v>
      </c>
      <c r="B733" s="7" t="s">
        <v>20</v>
      </c>
      <c r="C733" s="7" t="s">
        <v>1992</v>
      </c>
      <c r="D733" s="7" t="s">
        <v>1993</v>
      </c>
      <c r="E733" s="7" t="s">
        <v>20</v>
      </c>
      <c r="F733" s="7" t="s">
        <v>20</v>
      </c>
      <c r="G733" s="7" t="s">
        <v>1994</v>
      </c>
      <c r="H733" s="7" t="s">
        <v>20</v>
      </c>
      <c r="I733" s="8" t="s">
        <v>517</v>
      </c>
      <c r="J733" s="7" t="s">
        <v>2714</v>
      </c>
      <c r="K733" s="7" t="s">
        <v>2715</v>
      </c>
      <c r="L733" s="7" t="s">
        <v>64</v>
      </c>
      <c r="M733" s="7" t="s">
        <v>65</v>
      </c>
      <c r="N733" s="9" t="s">
        <v>93</v>
      </c>
      <c r="O733" s="7" t="s">
        <v>67</v>
      </c>
      <c r="P733" s="7" t="s">
        <v>20</v>
      </c>
      <c r="Q733" s="7"/>
      <c r="R733" s="7" t="str" cm="1">
        <f t="array" ref="R733">IF(AND(Q733="",P733&lt;&gt;""),N733,_xlfn.SWITCH(IF(Q733&lt;&gt;"",Q733,O733)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Centers",IF(Q733&lt;&gt;"",Q733,O733)))</f>
        <v>Leiter/in des Service Centers</v>
      </c>
      <c r="S733" s="7" t="str">
        <f>IF(N733&lt;&gt;R733,"x","")</f>
        <v>x</v>
      </c>
    </row>
    <row r="734" spans="1:19" hidden="1" x14ac:dyDescent="0.25">
      <c r="A734" s="7" t="s">
        <v>2716</v>
      </c>
      <c r="B734" s="7" t="s">
        <v>20</v>
      </c>
      <c r="C734" s="7" t="s">
        <v>1992</v>
      </c>
      <c r="D734" s="7" t="s">
        <v>1993</v>
      </c>
      <c r="E734" s="7" t="s">
        <v>20</v>
      </c>
      <c r="F734" s="7" t="s">
        <v>20</v>
      </c>
      <c r="G734" s="7" t="s">
        <v>1994</v>
      </c>
      <c r="H734" s="7" t="s">
        <v>20</v>
      </c>
      <c r="I734" s="8" t="s">
        <v>1051</v>
      </c>
      <c r="J734" s="7" t="s">
        <v>2717</v>
      </c>
      <c r="K734" s="7" t="s">
        <v>2718</v>
      </c>
      <c r="L734" s="7" t="s">
        <v>27</v>
      </c>
      <c r="M734" s="7" t="s">
        <v>28</v>
      </c>
      <c r="N734" s="9" t="s">
        <v>29</v>
      </c>
      <c r="O734" s="7" t="s">
        <v>30</v>
      </c>
      <c r="P734" s="7" t="s">
        <v>20</v>
      </c>
      <c r="Q734" s="7"/>
      <c r="R734" s="7" t="str" cm="1">
        <f t="array" ref="R734">IF(AND(Q734="",P734&lt;&gt;""),N734,_xlfn.SWITCH(IF(Q734&lt;&gt;"",Q734,O734)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Centers",IF(Q734&lt;&gt;"",Q734,O734)))</f>
        <v>Agenturleiter/in</v>
      </c>
      <c r="S734" s="7" t="str">
        <f>IF(N734&lt;&gt;R734,"x","")</f>
        <v>x</v>
      </c>
    </row>
    <row r="735" spans="1:19" hidden="1" x14ac:dyDescent="0.25">
      <c r="A735" s="7" t="s">
        <v>2719</v>
      </c>
      <c r="B735" s="7" t="s">
        <v>20</v>
      </c>
      <c r="C735" s="7" t="s">
        <v>1992</v>
      </c>
      <c r="D735" s="7" t="s">
        <v>1993</v>
      </c>
      <c r="E735" s="7" t="s">
        <v>20</v>
      </c>
      <c r="F735" s="7" t="s">
        <v>20</v>
      </c>
      <c r="G735" s="7" t="s">
        <v>1994</v>
      </c>
      <c r="H735" s="7" t="s">
        <v>20</v>
      </c>
      <c r="I735" s="8" t="s">
        <v>2720</v>
      </c>
      <c r="J735" s="7" t="s">
        <v>2721</v>
      </c>
      <c r="K735" s="7" t="s">
        <v>2722</v>
      </c>
      <c r="L735" s="7" t="s">
        <v>40</v>
      </c>
      <c r="M735" s="7" t="s">
        <v>41</v>
      </c>
      <c r="N735" s="9" t="s">
        <v>66</v>
      </c>
      <c r="O735" s="7" t="s">
        <v>48</v>
      </c>
      <c r="P735" s="7" t="s">
        <v>20</v>
      </c>
      <c r="Q735" s="7"/>
      <c r="R735" s="7" t="str" cm="1">
        <f t="array" ref="R735">IF(AND(Q735="",P735&lt;&gt;""),N735,_xlfn.SWITCH(IF(Q735&lt;&gt;"",Q735,O735)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Centers",IF(Q735&lt;&gt;"",Q735,O735)))</f>
        <v>Repräsentant/in</v>
      </c>
      <c r="S735" s="7" t="str">
        <f>IF(N735&lt;&gt;R735,"x","")</f>
        <v/>
      </c>
    </row>
    <row r="736" spans="1:19" hidden="1" x14ac:dyDescent="0.25">
      <c r="A736" s="7" t="s">
        <v>2723</v>
      </c>
      <c r="B736" s="7" t="s">
        <v>20</v>
      </c>
      <c r="C736" s="7" t="s">
        <v>1992</v>
      </c>
      <c r="D736" s="7" t="s">
        <v>1993</v>
      </c>
      <c r="E736" s="7" t="s">
        <v>20</v>
      </c>
      <c r="F736" s="7" t="s">
        <v>20</v>
      </c>
      <c r="G736" s="7" t="s">
        <v>1994</v>
      </c>
      <c r="H736" s="7" t="s">
        <v>20</v>
      </c>
      <c r="I736" s="8" t="s">
        <v>2724</v>
      </c>
      <c r="J736" s="7" t="s">
        <v>2725</v>
      </c>
      <c r="K736" s="7" t="s">
        <v>2726</v>
      </c>
      <c r="L736" s="7" t="s">
        <v>124</v>
      </c>
      <c r="M736" s="7" t="s">
        <v>125</v>
      </c>
      <c r="N736" s="9" t="s">
        <v>149</v>
      </c>
      <c r="O736" s="7" t="s">
        <v>67</v>
      </c>
      <c r="P736" s="7" t="s">
        <v>20</v>
      </c>
      <c r="Q736" s="7"/>
      <c r="R736" s="7" t="str" cm="1">
        <f t="array" ref="R736">IF(AND(Q736="",P736&lt;&gt;""),N736,_xlfn.SWITCH(IF(Q736&lt;&gt;"",Q736,O736)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Centers",IF(Q736&lt;&gt;"",Q736,O736)))</f>
        <v>Leiter/in des Service Centers</v>
      </c>
      <c r="S736" s="7" t="str">
        <f>IF(N736&lt;&gt;R736,"x","")</f>
        <v>x</v>
      </c>
    </row>
    <row r="737" spans="1:19" hidden="1" x14ac:dyDescent="0.25">
      <c r="A737" s="7" t="s">
        <v>2727</v>
      </c>
      <c r="B737" s="7" t="s">
        <v>20</v>
      </c>
      <c r="C737" s="7" t="s">
        <v>1992</v>
      </c>
      <c r="D737" s="7" t="s">
        <v>1993</v>
      </c>
      <c r="E737" s="7" t="s">
        <v>20</v>
      </c>
      <c r="F737" s="7" t="s">
        <v>20</v>
      </c>
      <c r="G737" s="7" t="s">
        <v>1994</v>
      </c>
      <c r="H737" s="7" t="s">
        <v>20</v>
      </c>
      <c r="I737" s="8" t="s">
        <v>1131</v>
      </c>
      <c r="J737" s="7" t="s">
        <v>2728</v>
      </c>
      <c r="K737" s="7" t="s">
        <v>2729</v>
      </c>
      <c r="L737" s="7" t="s">
        <v>64</v>
      </c>
      <c r="M737" s="7" t="s">
        <v>65</v>
      </c>
      <c r="N737" s="9" t="s">
        <v>59</v>
      </c>
      <c r="O737" s="7" t="s">
        <v>67</v>
      </c>
      <c r="P737" s="7" t="s">
        <v>20</v>
      </c>
      <c r="Q737" s="7"/>
      <c r="R737" s="7" t="str" cm="1">
        <f t="array" ref="R737">IF(AND(Q737="",P737&lt;&gt;""),N737,_xlfn.SWITCH(IF(Q737&lt;&gt;"",Q737,O737)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Centers",IF(Q737&lt;&gt;"",Q737,O737)))</f>
        <v>Leiter/in des Service Centers</v>
      </c>
      <c r="S737" s="7" t="str">
        <f>IF(N737&lt;&gt;R737,"x","")</f>
        <v/>
      </c>
    </row>
    <row r="738" spans="1:19" hidden="1" x14ac:dyDescent="0.25">
      <c r="A738" s="7" t="s">
        <v>2730</v>
      </c>
      <c r="B738" s="7" t="s">
        <v>20</v>
      </c>
      <c r="C738" s="7" t="s">
        <v>1992</v>
      </c>
      <c r="D738" s="7" t="s">
        <v>1993</v>
      </c>
      <c r="E738" s="7" t="s">
        <v>20</v>
      </c>
      <c r="F738" s="7" t="s">
        <v>20</v>
      </c>
      <c r="G738" s="7" t="s">
        <v>1994</v>
      </c>
      <c r="H738" s="7" t="s">
        <v>20</v>
      </c>
      <c r="I738" s="8" t="s">
        <v>537</v>
      </c>
      <c r="J738" s="7" t="s">
        <v>2731</v>
      </c>
      <c r="K738" s="7" t="s">
        <v>2732</v>
      </c>
      <c r="L738" s="7" t="s">
        <v>97</v>
      </c>
      <c r="M738" s="7" t="s">
        <v>98</v>
      </c>
      <c r="N738" s="9" t="s">
        <v>66</v>
      </c>
      <c r="O738" s="7" t="s">
        <v>99</v>
      </c>
      <c r="P738" s="7" t="s">
        <v>20</v>
      </c>
      <c r="Q738" s="7"/>
      <c r="R738" s="7" t="str" cm="1">
        <f t="array" ref="R738">IF(AND(Q738="",P738&lt;&gt;""),N738,_xlfn.SWITCH(IF(Q738&lt;&gt;"",Q738,O738)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Centers",IF(Q738&lt;&gt;"",Q738,O738)))</f>
        <v>Hauptagent/in</v>
      </c>
      <c r="S738" s="7" t="str">
        <f>IF(N738&lt;&gt;R738,"x","")</f>
        <v>x</v>
      </c>
    </row>
    <row r="739" spans="1:19" hidden="1" x14ac:dyDescent="0.25">
      <c r="A739" s="7" t="s">
        <v>2733</v>
      </c>
      <c r="B739" s="7" t="s">
        <v>20</v>
      </c>
      <c r="C739" s="7" t="s">
        <v>1992</v>
      </c>
      <c r="D739" s="7" t="s">
        <v>1993</v>
      </c>
      <c r="E739" s="7" t="s">
        <v>20</v>
      </c>
      <c r="F739" s="7" t="s">
        <v>20</v>
      </c>
      <c r="G739" s="7" t="s">
        <v>1994</v>
      </c>
      <c r="H739" s="7" t="s">
        <v>20</v>
      </c>
      <c r="I739" s="8" t="s">
        <v>2734</v>
      </c>
      <c r="J739" s="7" t="s">
        <v>2735</v>
      </c>
      <c r="K739" s="7" t="s">
        <v>2736</v>
      </c>
      <c r="L739" s="7" t="s">
        <v>27</v>
      </c>
      <c r="M739" s="7" t="s">
        <v>28</v>
      </c>
      <c r="N739" s="9" t="s">
        <v>334</v>
      </c>
      <c r="O739" s="7" t="s">
        <v>54</v>
      </c>
      <c r="P739" s="7" t="s">
        <v>20</v>
      </c>
      <c r="Q739" s="7"/>
      <c r="R739" s="7" t="str" cm="1">
        <f t="array" ref="R739">IF(AND(Q739="",P739&lt;&gt;""),N739,_xlfn.SWITCH(IF(Q739&lt;&gt;"",Q739,O739)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Centers",IF(Q739&lt;&gt;"",Q739,O739)))</f>
        <v>Agenturleiter/in</v>
      </c>
      <c r="S739" s="7" t="str">
        <f>IF(N739&lt;&gt;R739,"x","")</f>
        <v>x</v>
      </c>
    </row>
    <row r="740" spans="1:19" hidden="1" x14ac:dyDescent="0.25">
      <c r="A740" s="7" t="s">
        <v>2737</v>
      </c>
      <c r="B740" s="7" t="s">
        <v>20</v>
      </c>
      <c r="C740" s="7" t="s">
        <v>1992</v>
      </c>
      <c r="D740" s="7" t="s">
        <v>1993</v>
      </c>
      <c r="E740" s="7" t="s">
        <v>20</v>
      </c>
      <c r="F740" s="7" t="s">
        <v>20</v>
      </c>
      <c r="G740" s="7" t="s">
        <v>1994</v>
      </c>
      <c r="H740" s="7" t="s">
        <v>20</v>
      </c>
      <c r="I740" s="8" t="s">
        <v>1131</v>
      </c>
      <c r="J740" s="7" t="s">
        <v>2738</v>
      </c>
      <c r="K740" s="7" t="s">
        <v>2739</v>
      </c>
      <c r="L740" s="7" t="s">
        <v>124</v>
      </c>
      <c r="M740" s="7" t="s">
        <v>125</v>
      </c>
      <c r="N740" s="9" t="s">
        <v>149</v>
      </c>
      <c r="O740" s="7" t="s">
        <v>67</v>
      </c>
      <c r="P740" s="7" t="s">
        <v>20</v>
      </c>
      <c r="Q740" s="7"/>
      <c r="R740" s="7" t="str" cm="1">
        <f t="array" ref="R740">IF(AND(Q740="",P740&lt;&gt;""),N740,_xlfn.SWITCH(IF(Q740&lt;&gt;"",Q740,O740)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Centers",IF(Q740&lt;&gt;"",Q740,O740)))</f>
        <v>Leiter/in des Service Centers</v>
      </c>
      <c r="S740" s="7" t="str">
        <f>IF(N740&lt;&gt;R740,"x","")</f>
        <v>x</v>
      </c>
    </row>
    <row r="741" spans="1:19" hidden="1" x14ac:dyDescent="0.25">
      <c r="A741" s="7" t="s">
        <v>2740</v>
      </c>
      <c r="B741" s="7" t="s">
        <v>20</v>
      </c>
      <c r="C741" s="7" t="s">
        <v>1992</v>
      </c>
      <c r="D741" s="7" t="s">
        <v>1993</v>
      </c>
      <c r="E741" s="7" t="s">
        <v>20</v>
      </c>
      <c r="F741" s="7" t="s">
        <v>20</v>
      </c>
      <c r="G741" s="7" t="s">
        <v>1994</v>
      </c>
      <c r="H741" s="7" t="s">
        <v>20</v>
      </c>
      <c r="I741" s="8" t="s">
        <v>712</v>
      </c>
      <c r="J741" s="7" t="s">
        <v>2741</v>
      </c>
      <c r="K741" s="7" t="s">
        <v>2742</v>
      </c>
      <c r="L741" s="7" t="s">
        <v>97</v>
      </c>
      <c r="M741" s="7" t="s">
        <v>98</v>
      </c>
      <c r="N741" s="9" t="s">
        <v>66</v>
      </c>
      <c r="O741" s="7" t="s">
        <v>99</v>
      </c>
      <c r="P741" s="7" t="s">
        <v>20</v>
      </c>
      <c r="Q741" s="7"/>
      <c r="R741" s="7" t="str" cm="1">
        <f t="array" ref="R741">IF(AND(Q741="",P741&lt;&gt;""),N741,_xlfn.SWITCH(IF(Q741&lt;&gt;"",Q741,O741)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Centers",IF(Q741&lt;&gt;"",Q741,O741)))</f>
        <v>Hauptagent/in</v>
      </c>
      <c r="S741" s="7" t="str">
        <f>IF(N741&lt;&gt;R741,"x","")</f>
        <v>x</v>
      </c>
    </row>
    <row r="742" spans="1:19" hidden="1" x14ac:dyDescent="0.25">
      <c r="A742" s="7" t="s">
        <v>2743</v>
      </c>
      <c r="B742" s="7" t="s">
        <v>20</v>
      </c>
      <c r="C742" s="7" t="s">
        <v>1992</v>
      </c>
      <c r="D742" s="7" t="s">
        <v>1993</v>
      </c>
      <c r="E742" s="7" t="s">
        <v>20</v>
      </c>
      <c r="F742" s="7" t="s">
        <v>20</v>
      </c>
      <c r="G742" s="7" t="s">
        <v>1994</v>
      </c>
      <c r="H742" s="7" t="s">
        <v>20</v>
      </c>
      <c r="I742" s="8" t="s">
        <v>2744</v>
      </c>
      <c r="J742" s="7" t="s">
        <v>2745</v>
      </c>
      <c r="K742" s="7" t="s">
        <v>2746</v>
      </c>
      <c r="L742" s="7" t="s">
        <v>27</v>
      </c>
      <c r="M742" s="7" t="s">
        <v>28</v>
      </c>
      <c r="N742" s="9" t="s">
        <v>66</v>
      </c>
      <c r="O742" s="7" t="s">
        <v>30</v>
      </c>
      <c r="P742" s="7" t="s">
        <v>20</v>
      </c>
      <c r="Q742" s="7"/>
      <c r="R742" s="7" t="str" cm="1">
        <f t="array" ref="R742">IF(AND(Q742="",P742&lt;&gt;""),N742,_xlfn.SWITCH(IF(Q742&lt;&gt;"",Q742,O742)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Centers",IF(Q742&lt;&gt;"",Q742,O742)))</f>
        <v>Agenturleiter/in</v>
      </c>
      <c r="S742" s="7" t="str">
        <f>IF(N742&lt;&gt;R742,"x","")</f>
        <v>x</v>
      </c>
    </row>
    <row r="743" spans="1:19" hidden="1" x14ac:dyDescent="0.25">
      <c r="A743" s="7" t="s">
        <v>2747</v>
      </c>
      <c r="B743" s="7" t="s">
        <v>20</v>
      </c>
      <c r="C743" s="7" t="s">
        <v>1992</v>
      </c>
      <c r="D743" s="7" t="s">
        <v>1993</v>
      </c>
      <c r="E743" s="7" t="s">
        <v>20</v>
      </c>
      <c r="F743" s="7" t="s">
        <v>20</v>
      </c>
      <c r="G743" s="7" t="s">
        <v>1994</v>
      </c>
      <c r="H743" s="7" t="s">
        <v>20</v>
      </c>
      <c r="I743" s="8" t="s">
        <v>770</v>
      </c>
      <c r="J743" s="7" t="s">
        <v>2748</v>
      </c>
      <c r="K743" s="7" t="s">
        <v>2749</v>
      </c>
      <c r="L743" s="7" t="s">
        <v>64</v>
      </c>
      <c r="M743" s="7" t="s">
        <v>65</v>
      </c>
      <c r="N743" s="9" t="s">
        <v>126</v>
      </c>
      <c r="O743" s="7" t="s">
        <v>67</v>
      </c>
      <c r="P743" s="7" t="s">
        <v>20</v>
      </c>
      <c r="Q743" s="7"/>
      <c r="R743" s="7" t="str" cm="1">
        <f t="array" ref="R743">IF(AND(Q743="",P743&lt;&gt;""),N743,_xlfn.SWITCH(IF(Q743&lt;&gt;"",Q743,O743)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Centers",IF(Q743&lt;&gt;"",Q743,O743)))</f>
        <v>Leiter/in des Service Centers</v>
      </c>
      <c r="S743" s="7" t="str">
        <f>IF(N743&lt;&gt;R743,"x","")</f>
        <v>x</v>
      </c>
    </row>
    <row r="744" spans="1:19" hidden="1" x14ac:dyDescent="0.25">
      <c r="A744" s="7" t="s">
        <v>2750</v>
      </c>
      <c r="B744" s="7" t="s">
        <v>20</v>
      </c>
      <c r="C744" s="7" t="s">
        <v>1992</v>
      </c>
      <c r="D744" s="7" t="s">
        <v>1993</v>
      </c>
      <c r="E744" s="7" t="s">
        <v>20</v>
      </c>
      <c r="F744" s="7" t="s">
        <v>20</v>
      </c>
      <c r="G744" s="7" t="s">
        <v>1994</v>
      </c>
      <c r="H744" s="7" t="s">
        <v>20</v>
      </c>
      <c r="I744" s="8" t="s">
        <v>526</v>
      </c>
      <c r="J744" s="7" t="s">
        <v>2751</v>
      </c>
      <c r="K744" s="7" t="s">
        <v>2752</v>
      </c>
      <c r="L744" s="7" t="s">
        <v>40</v>
      </c>
      <c r="M744" s="7" t="s">
        <v>41</v>
      </c>
      <c r="N744" s="9" t="s">
        <v>75</v>
      </c>
      <c r="O744" s="7" t="s">
        <v>88</v>
      </c>
      <c r="P744" s="7" t="s">
        <v>20</v>
      </c>
      <c r="Q744" s="7"/>
      <c r="R744" s="7" t="str" cm="1">
        <f t="array" ref="R744">IF(AND(Q744="",P744&lt;&gt;""),N744,_xlfn.SWITCH(IF(Q744&lt;&gt;"",Q744,O744)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Centers",IF(Q744&lt;&gt;"",Q744,O744)))</f>
        <v>Kundenberater/in</v>
      </c>
      <c r="S744" s="7" t="str">
        <f>IF(N744&lt;&gt;R744,"x","")</f>
        <v>x</v>
      </c>
    </row>
    <row r="745" spans="1:19" hidden="1" x14ac:dyDescent="0.25">
      <c r="A745" s="7" t="s">
        <v>2753</v>
      </c>
      <c r="B745" s="7" t="s">
        <v>20</v>
      </c>
      <c r="C745" s="7" t="s">
        <v>1992</v>
      </c>
      <c r="D745" s="7" t="s">
        <v>1993</v>
      </c>
      <c r="E745" s="7" t="s">
        <v>20</v>
      </c>
      <c r="F745" s="7" t="s">
        <v>20</v>
      </c>
      <c r="G745" s="7" t="s">
        <v>1994</v>
      </c>
      <c r="H745" s="7" t="s">
        <v>20</v>
      </c>
      <c r="I745" s="8" t="s">
        <v>2754</v>
      </c>
      <c r="J745" s="7" t="s">
        <v>2755</v>
      </c>
      <c r="K745" s="7" t="s">
        <v>2756</v>
      </c>
      <c r="L745" s="7" t="s">
        <v>40</v>
      </c>
      <c r="M745" s="7" t="s">
        <v>41</v>
      </c>
      <c r="N745" s="9" t="s">
        <v>75</v>
      </c>
      <c r="O745" s="7" t="s">
        <v>120</v>
      </c>
      <c r="P745" s="7" t="s">
        <v>20</v>
      </c>
      <c r="Q745" s="7"/>
      <c r="R745" s="7" t="str" cm="1">
        <f t="array" ref="R745">IF(AND(Q745="",P745&lt;&gt;""),N745,_xlfn.SWITCH(IF(Q745&lt;&gt;"",Q745,O745)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Centers",IF(Q745&lt;&gt;"",Q745,O745)))</f>
        <v>Kundenberater/in</v>
      </c>
      <c r="S745" s="7" t="str">
        <f>IF(N745&lt;&gt;R745,"x","")</f>
        <v>x</v>
      </c>
    </row>
    <row r="746" spans="1:19" hidden="1" x14ac:dyDescent="0.25">
      <c r="A746" s="7" t="s">
        <v>2757</v>
      </c>
      <c r="B746" s="7" t="s">
        <v>20</v>
      </c>
      <c r="C746" s="7" t="s">
        <v>1992</v>
      </c>
      <c r="D746" s="7" t="s">
        <v>1993</v>
      </c>
      <c r="E746" s="7" t="s">
        <v>20</v>
      </c>
      <c r="F746" s="7" t="s">
        <v>20</v>
      </c>
      <c r="G746" s="7" t="s">
        <v>1994</v>
      </c>
      <c r="H746" s="7" t="s">
        <v>20</v>
      </c>
      <c r="I746" s="8" t="s">
        <v>2758</v>
      </c>
      <c r="J746" s="7" t="s">
        <v>2666</v>
      </c>
      <c r="K746" s="7" t="s">
        <v>2759</v>
      </c>
      <c r="L746" s="7" t="s">
        <v>40</v>
      </c>
      <c r="M746" s="7" t="s">
        <v>41</v>
      </c>
      <c r="N746" s="9" t="s">
        <v>75</v>
      </c>
      <c r="O746" s="7" t="s">
        <v>88</v>
      </c>
      <c r="P746" s="7" t="s">
        <v>20</v>
      </c>
      <c r="Q746" s="7"/>
      <c r="R746" s="7" t="str" cm="1">
        <f t="array" ref="R746">IF(AND(Q746="",P746&lt;&gt;""),N746,_xlfn.SWITCH(IF(Q746&lt;&gt;"",Q746,O746)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Centers",IF(Q746&lt;&gt;"",Q746,O746)))</f>
        <v>Kundenberater/in</v>
      </c>
      <c r="S746" s="7" t="str">
        <f>IF(N746&lt;&gt;R746,"x","")</f>
        <v>x</v>
      </c>
    </row>
    <row r="747" spans="1:19" hidden="1" x14ac:dyDescent="0.25">
      <c r="A747" s="7" t="s">
        <v>2760</v>
      </c>
      <c r="B747" s="7" t="s">
        <v>20</v>
      </c>
      <c r="C747" s="7" t="s">
        <v>1992</v>
      </c>
      <c r="D747" s="7" t="s">
        <v>1993</v>
      </c>
      <c r="E747" s="7" t="s">
        <v>20</v>
      </c>
      <c r="F747" s="7" t="s">
        <v>20</v>
      </c>
      <c r="G747" s="7" t="s">
        <v>1994</v>
      </c>
      <c r="H747" s="7" t="s">
        <v>20</v>
      </c>
      <c r="I747" s="8" t="s">
        <v>2761</v>
      </c>
      <c r="J747" s="7" t="s">
        <v>388</v>
      </c>
      <c r="K747" s="7" t="s">
        <v>2762</v>
      </c>
      <c r="L747" s="7" t="s">
        <v>40</v>
      </c>
      <c r="M747" s="7" t="s">
        <v>41</v>
      </c>
      <c r="N747" s="9" t="s">
        <v>75</v>
      </c>
      <c r="O747" s="7" t="s">
        <v>120</v>
      </c>
      <c r="P747" s="7" t="s">
        <v>20</v>
      </c>
      <c r="Q747" s="7"/>
      <c r="R747" s="7" t="str" cm="1">
        <f t="array" ref="R747">IF(AND(Q747="",P747&lt;&gt;""),N747,_xlfn.SWITCH(IF(Q747&lt;&gt;"",Q747,O747)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Centers",IF(Q747&lt;&gt;"",Q747,O747)))</f>
        <v>Kundenberater/in</v>
      </c>
      <c r="S747" s="7" t="str">
        <f>IF(N747&lt;&gt;R747,"x","")</f>
        <v>x</v>
      </c>
    </row>
    <row r="748" spans="1:19" hidden="1" x14ac:dyDescent="0.25">
      <c r="A748" s="7" t="s">
        <v>2763</v>
      </c>
      <c r="B748" s="7" t="s">
        <v>20</v>
      </c>
      <c r="C748" s="7" t="s">
        <v>1992</v>
      </c>
      <c r="D748" s="7" t="s">
        <v>1993</v>
      </c>
      <c r="E748" s="7" t="s">
        <v>20</v>
      </c>
      <c r="F748" s="7" t="s">
        <v>20</v>
      </c>
      <c r="G748" s="7" t="s">
        <v>1994</v>
      </c>
      <c r="H748" s="7" t="s">
        <v>20</v>
      </c>
      <c r="I748" s="8" t="s">
        <v>1965</v>
      </c>
      <c r="J748" s="7" t="s">
        <v>2678</v>
      </c>
      <c r="K748" s="7" t="s">
        <v>2764</v>
      </c>
      <c r="L748" s="7" t="s">
        <v>40</v>
      </c>
      <c r="M748" s="7" t="s">
        <v>41</v>
      </c>
      <c r="N748" s="9" t="s">
        <v>75</v>
      </c>
      <c r="O748" s="7" t="s">
        <v>120</v>
      </c>
      <c r="P748" s="7" t="s">
        <v>20</v>
      </c>
      <c r="Q748" s="7"/>
      <c r="R748" s="7" t="str" cm="1">
        <f t="array" ref="R748">IF(AND(Q748="",P748&lt;&gt;""),N748,_xlfn.SWITCH(IF(Q748&lt;&gt;"",Q748,O748)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Centers",IF(Q748&lt;&gt;"",Q748,O748)))</f>
        <v>Kundenberater/in</v>
      </c>
      <c r="S748" s="7" t="str">
        <f>IF(N748&lt;&gt;R748,"x","")</f>
        <v>x</v>
      </c>
    </row>
    <row r="749" spans="1:19" hidden="1" x14ac:dyDescent="0.25">
      <c r="A749" s="7" t="s">
        <v>2765</v>
      </c>
      <c r="B749" s="7" t="s">
        <v>20</v>
      </c>
      <c r="C749" s="7" t="s">
        <v>1992</v>
      </c>
      <c r="D749" s="7" t="s">
        <v>1993</v>
      </c>
      <c r="E749" s="7" t="s">
        <v>20</v>
      </c>
      <c r="F749" s="7" t="s">
        <v>20</v>
      </c>
      <c r="G749" s="7" t="s">
        <v>1994</v>
      </c>
      <c r="H749" s="7" t="s">
        <v>20</v>
      </c>
      <c r="I749" s="8" t="s">
        <v>2766</v>
      </c>
      <c r="J749" s="7" t="s">
        <v>2767</v>
      </c>
      <c r="K749" s="7" t="s">
        <v>2768</v>
      </c>
      <c r="L749" s="7" t="s">
        <v>40</v>
      </c>
      <c r="M749" s="7" t="s">
        <v>41</v>
      </c>
      <c r="N749" s="9" t="s">
        <v>75</v>
      </c>
      <c r="O749" s="7" t="s">
        <v>43</v>
      </c>
      <c r="P749" s="7" t="s">
        <v>20</v>
      </c>
      <c r="Q749" s="7"/>
      <c r="R749" s="7" t="str" cm="1">
        <f t="array" ref="R749">IF(AND(Q749="",P749&lt;&gt;""),N749,_xlfn.SWITCH(IF(Q749&lt;&gt;"",Q749,O749)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Centers",IF(Q749&lt;&gt;"",Q749,O749)))</f>
        <v>Repräsentant/in</v>
      </c>
      <c r="S749" s="7" t="str">
        <f>IF(N749&lt;&gt;R749,"x","")</f>
        <v>x</v>
      </c>
    </row>
    <row r="750" spans="1:19" x14ac:dyDescent="0.25">
      <c r="A750" s="7" t="s">
        <v>2769</v>
      </c>
      <c r="B750" s="7" t="s">
        <v>20</v>
      </c>
      <c r="C750" s="7" t="s">
        <v>1992</v>
      </c>
      <c r="D750" s="7" t="s">
        <v>1993</v>
      </c>
      <c r="E750" s="7" t="s">
        <v>20</v>
      </c>
      <c r="F750" s="7" t="s">
        <v>20</v>
      </c>
      <c r="G750" s="7" t="s">
        <v>1994</v>
      </c>
      <c r="H750" s="7" t="s">
        <v>20</v>
      </c>
      <c r="I750" s="8" t="s">
        <v>2770</v>
      </c>
      <c r="J750" s="7" t="s">
        <v>2770</v>
      </c>
      <c r="K750" s="7" t="s">
        <v>2771</v>
      </c>
      <c r="L750" s="7" t="s">
        <v>64</v>
      </c>
      <c r="M750" s="7" t="s">
        <v>65</v>
      </c>
      <c r="N750" s="9" t="s">
        <v>93</v>
      </c>
      <c r="O750" s="7" t="s">
        <v>59</v>
      </c>
      <c r="P750" s="7" t="s">
        <v>20</v>
      </c>
      <c r="Q750" s="7"/>
      <c r="R750" s="7" t="str" cm="1">
        <f t="array" ref="R750">IF(AND(Q750="",P750&lt;&gt;""),N750,_xlfn.SWITCH(IF(Q750&lt;&gt;"",Q750,O750)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Centers",IF(Q750&lt;&gt;"",Q750,O750)))</f>
        <v>Leiter/in des Service Centers</v>
      </c>
      <c r="S750" s="7" t="str">
        <f>IF(N750&lt;&gt;R750,"x","")</f>
        <v>x</v>
      </c>
    </row>
    <row r="751" spans="1:19" hidden="1" x14ac:dyDescent="0.25">
      <c r="A751" s="7" t="s">
        <v>2772</v>
      </c>
      <c r="B751" s="7" t="s">
        <v>20</v>
      </c>
      <c r="C751" s="7" t="s">
        <v>1992</v>
      </c>
      <c r="D751" s="7" t="s">
        <v>1993</v>
      </c>
      <c r="E751" s="7" t="s">
        <v>20</v>
      </c>
      <c r="F751" s="7" t="s">
        <v>20</v>
      </c>
      <c r="G751" s="7" t="s">
        <v>1994</v>
      </c>
      <c r="H751" s="7" t="s">
        <v>20</v>
      </c>
      <c r="I751" s="8" t="s">
        <v>830</v>
      </c>
      <c r="J751" s="7" t="s">
        <v>2773</v>
      </c>
      <c r="K751" s="7" t="s">
        <v>2774</v>
      </c>
      <c r="L751" s="7" t="s">
        <v>40</v>
      </c>
      <c r="M751" s="7" t="s">
        <v>41</v>
      </c>
      <c r="N751" s="9" t="s">
        <v>75</v>
      </c>
      <c r="O751" s="7" t="s">
        <v>48</v>
      </c>
      <c r="P751" s="7" t="s">
        <v>20</v>
      </c>
      <c r="Q751" s="7"/>
      <c r="R751" s="7" t="str" cm="1">
        <f t="array" ref="R751">IF(AND(Q751="",P751&lt;&gt;""),N751,_xlfn.SWITCH(IF(Q751&lt;&gt;"",Q751,O751)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Centers",IF(Q751&lt;&gt;"",Q751,O751)))</f>
        <v>Repräsentant/in</v>
      </c>
      <c r="S751" s="7" t="str">
        <f>IF(N751&lt;&gt;R751,"x","")</f>
        <v>x</v>
      </c>
    </row>
    <row r="752" spans="1:19" x14ac:dyDescent="0.25">
      <c r="A752" s="7" t="s">
        <v>2775</v>
      </c>
      <c r="B752" s="7" t="s">
        <v>20</v>
      </c>
      <c r="C752" s="7" t="s">
        <v>1992</v>
      </c>
      <c r="D752" s="7" t="s">
        <v>1993</v>
      </c>
      <c r="E752" s="7" t="s">
        <v>20</v>
      </c>
      <c r="F752" s="7" t="s">
        <v>20</v>
      </c>
      <c r="G752" s="7" t="s">
        <v>1994</v>
      </c>
      <c r="H752" s="7" t="s">
        <v>20</v>
      </c>
      <c r="I752" s="8" t="s">
        <v>2776</v>
      </c>
      <c r="J752" s="7" t="s">
        <v>2777</v>
      </c>
      <c r="K752" s="7" t="s">
        <v>63</v>
      </c>
      <c r="L752" s="7" t="s">
        <v>228</v>
      </c>
      <c r="M752" s="7" t="s">
        <v>229</v>
      </c>
      <c r="N752" s="9" t="s">
        <v>93</v>
      </c>
      <c r="O752" s="7" t="s">
        <v>30</v>
      </c>
      <c r="P752" s="7" t="s">
        <v>49</v>
      </c>
      <c r="Q752" s="7"/>
      <c r="R752" s="7" t="str" cm="1">
        <f t="array" ref="R752">IF(AND(Q752="",P752&lt;&gt;""),N752,_xlfn.SWITCH(IF(Q752&lt;&gt;"",Q752,O752)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Centers",IF(Q752&lt;&gt;"",Q752,O752)))</f>
        <v>Leiter/in einer Hauptgeschäftsstelle</v>
      </c>
      <c r="S752" s="7" t="str">
        <f>IF(N752&lt;&gt;R752,"x","")</f>
        <v/>
      </c>
    </row>
    <row r="753" spans="1:19" hidden="1" x14ac:dyDescent="0.25">
      <c r="A753" s="7" t="s">
        <v>2778</v>
      </c>
      <c r="B753" s="7" t="s">
        <v>20</v>
      </c>
      <c r="C753" s="7" t="s">
        <v>1992</v>
      </c>
      <c r="D753" s="7" t="s">
        <v>1993</v>
      </c>
      <c r="E753" s="7" t="s">
        <v>20</v>
      </c>
      <c r="F753" s="7" t="s">
        <v>20</v>
      </c>
      <c r="G753" s="7" t="s">
        <v>1994</v>
      </c>
      <c r="H753" s="7" t="s">
        <v>20</v>
      </c>
      <c r="I753" s="8" t="s">
        <v>2779</v>
      </c>
      <c r="J753" s="7" t="s">
        <v>2780</v>
      </c>
      <c r="K753" s="7" t="s">
        <v>2781</v>
      </c>
      <c r="L753" s="7" t="s">
        <v>124</v>
      </c>
      <c r="M753" s="7" t="s">
        <v>125</v>
      </c>
      <c r="N753" s="9" t="s">
        <v>126</v>
      </c>
      <c r="O753" s="7" t="s">
        <v>67</v>
      </c>
      <c r="P753" s="7" t="s">
        <v>20</v>
      </c>
      <c r="Q753" s="7"/>
      <c r="R753" s="7" t="str" cm="1">
        <f t="array" ref="R753">IF(AND(Q753="",P753&lt;&gt;""),N753,_xlfn.SWITCH(IF(Q753&lt;&gt;"",Q753,O753)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Centers",IF(Q753&lt;&gt;"",Q753,O753)))</f>
        <v>Leiter/in des Service Centers</v>
      </c>
      <c r="S753" s="7" t="str">
        <f>IF(N753&lt;&gt;R753,"x","")</f>
        <v>x</v>
      </c>
    </row>
    <row r="754" spans="1:19" hidden="1" x14ac:dyDescent="0.25">
      <c r="A754" s="7" t="s">
        <v>2782</v>
      </c>
      <c r="B754" s="7" t="s">
        <v>20</v>
      </c>
      <c r="C754" s="7" t="s">
        <v>1992</v>
      </c>
      <c r="D754" s="7" t="s">
        <v>1993</v>
      </c>
      <c r="E754" s="7" t="s">
        <v>20</v>
      </c>
      <c r="F754" s="7" t="s">
        <v>20</v>
      </c>
      <c r="G754" s="7" t="s">
        <v>1994</v>
      </c>
      <c r="H754" s="7" t="s">
        <v>20</v>
      </c>
      <c r="I754" s="8" t="s">
        <v>1279</v>
      </c>
      <c r="J754" s="7" t="s">
        <v>2783</v>
      </c>
      <c r="K754" s="7" t="s">
        <v>2784</v>
      </c>
      <c r="L754" s="7" t="s">
        <v>40</v>
      </c>
      <c r="M754" s="7" t="s">
        <v>41</v>
      </c>
      <c r="N754" s="9" t="s">
        <v>75</v>
      </c>
      <c r="O754" s="7" t="s">
        <v>48</v>
      </c>
      <c r="P754" s="7" t="s">
        <v>20</v>
      </c>
      <c r="Q754" s="7"/>
      <c r="R754" s="7" t="str" cm="1">
        <f t="array" ref="R754">IF(AND(Q754="",P754&lt;&gt;""),N754,_xlfn.SWITCH(IF(Q754&lt;&gt;"",Q754,O754)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Centers",IF(Q754&lt;&gt;"",Q754,O754)))</f>
        <v>Repräsentant/in</v>
      </c>
      <c r="S754" s="7" t="str">
        <f>IF(N754&lt;&gt;R754,"x","")</f>
        <v>x</v>
      </c>
    </row>
    <row r="755" spans="1:19" hidden="1" x14ac:dyDescent="0.25">
      <c r="A755" s="7" t="s">
        <v>2785</v>
      </c>
      <c r="B755" s="7" t="s">
        <v>2786</v>
      </c>
      <c r="C755" s="7" t="s">
        <v>1992</v>
      </c>
      <c r="D755" s="7" t="s">
        <v>1993</v>
      </c>
      <c r="E755" s="7" t="s">
        <v>2335</v>
      </c>
      <c r="F755" s="7" t="s">
        <v>2336</v>
      </c>
      <c r="G755" s="7" t="s">
        <v>2337</v>
      </c>
      <c r="H755" s="7" t="s">
        <v>2337</v>
      </c>
      <c r="I755" s="8" t="s">
        <v>2787</v>
      </c>
      <c r="J755" s="7" t="s">
        <v>2787</v>
      </c>
      <c r="K755" s="7" t="s">
        <v>63</v>
      </c>
      <c r="L755" s="7" t="s">
        <v>40</v>
      </c>
      <c r="M755" s="7" t="s">
        <v>41</v>
      </c>
      <c r="N755" s="9" t="s">
        <v>59</v>
      </c>
      <c r="O755" s="7" t="s">
        <v>66</v>
      </c>
      <c r="P755" s="7" t="s">
        <v>49</v>
      </c>
      <c r="Q755" s="7"/>
      <c r="R755" s="7" t="str" cm="1">
        <f t="array" ref="R755">IF(AND(Q755="",P755&lt;&gt;""),N755,_xlfn.SWITCH(IF(Q755&lt;&gt;"",Q755,O755)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Centers",IF(Q755&lt;&gt;"",Q755,O755)))</f>
        <v>Leiter/in des Service Centers</v>
      </c>
      <c r="S755" s="7" t="str">
        <f>IF(N755&lt;&gt;R755,"x","")</f>
        <v/>
      </c>
    </row>
    <row r="756" spans="1:19" hidden="1" x14ac:dyDescent="0.25">
      <c r="A756" s="7" t="s">
        <v>2788</v>
      </c>
      <c r="B756" s="7" t="s">
        <v>2789</v>
      </c>
      <c r="C756" s="7" t="s">
        <v>1992</v>
      </c>
      <c r="D756" s="7" t="s">
        <v>1993</v>
      </c>
      <c r="E756" s="7" t="s">
        <v>2335</v>
      </c>
      <c r="F756" s="7" t="s">
        <v>2336</v>
      </c>
      <c r="G756" s="7" t="s">
        <v>2337</v>
      </c>
      <c r="H756" s="7" t="s">
        <v>2337</v>
      </c>
      <c r="I756" s="8" t="s">
        <v>2790</v>
      </c>
      <c r="J756" s="7" t="s">
        <v>2791</v>
      </c>
      <c r="K756" s="7" t="s">
        <v>2792</v>
      </c>
      <c r="L756" s="7" t="s">
        <v>40</v>
      </c>
      <c r="M756" s="7" t="s">
        <v>41</v>
      </c>
      <c r="N756" s="9" t="s">
        <v>80</v>
      </c>
      <c r="O756" s="7" t="s">
        <v>48</v>
      </c>
      <c r="P756" s="7" t="s">
        <v>20</v>
      </c>
      <c r="Q756" s="7"/>
      <c r="R756" s="7" t="str" cm="1">
        <f t="array" ref="R756">IF(AND(Q756="",P756&lt;&gt;""),N756,_xlfn.SWITCH(IF(Q756&lt;&gt;"",Q756,O756)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Centers",IF(Q756&lt;&gt;"",Q756,O756)))</f>
        <v>Repräsentant/in</v>
      </c>
      <c r="S756" s="7" t="str">
        <f>IF(N756&lt;&gt;R756,"x","")</f>
        <v>x</v>
      </c>
    </row>
    <row r="757" spans="1:19" hidden="1" x14ac:dyDescent="0.25">
      <c r="A757" s="7" t="s">
        <v>2793</v>
      </c>
      <c r="B757" s="7" t="s">
        <v>20</v>
      </c>
      <c r="C757" s="7" t="s">
        <v>2794</v>
      </c>
      <c r="D757" s="7" t="s">
        <v>2795</v>
      </c>
      <c r="E757" s="7" t="s">
        <v>20</v>
      </c>
      <c r="F757" s="7" t="s">
        <v>20</v>
      </c>
      <c r="G757" s="7" t="s">
        <v>1849</v>
      </c>
      <c r="H757" s="7" t="s">
        <v>20</v>
      </c>
      <c r="I757" s="8" t="s">
        <v>313</v>
      </c>
      <c r="J757" s="7" t="s">
        <v>2796</v>
      </c>
      <c r="K757" s="7" t="s">
        <v>2797</v>
      </c>
      <c r="L757" s="7" t="s">
        <v>40</v>
      </c>
      <c r="M757" s="7" t="s">
        <v>41</v>
      </c>
      <c r="N757" s="9" t="s">
        <v>75</v>
      </c>
      <c r="O757" s="7" t="s">
        <v>48</v>
      </c>
      <c r="P757" s="7" t="s">
        <v>20</v>
      </c>
      <c r="Q757" s="7"/>
      <c r="R757" s="7" t="str" cm="1">
        <f t="array" ref="R757">IF(AND(Q757="",P757&lt;&gt;""),N757,_xlfn.SWITCH(IF(Q757&lt;&gt;"",Q757,O757)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Centers",IF(Q757&lt;&gt;"",Q757,O757)))</f>
        <v>Repräsentant/in</v>
      </c>
      <c r="S757" s="7" t="str">
        <f>IF(N757&lt;&gt;R757,"x","")</f>
        <v>x</v>
      </c>
    </row>
    <row r="758" spans="1:19" hidden="1" x14ac:dyDescent="0.25">
      <c r="A758" s="7" t="s">
        <v>2798</v>
      </c>
      <c r="B758" s="7" t="s">
        <v>20</v>
      </c>
      <c r="C758" s="7" t="s">
        <v>2794</v>
      </c>
      <c r="D758" s="7" t="s">
        <v>2795</v>
      </c>
      <c r="E758" s="7" t="s">
        <v>20</v>
      </c>
      <c r="F758" s="7" t="s">
        <v>20</v>
      </c>
      <c r="G758" s="7" t="s">
        <v>1849</v>
      </c>
      <c r="H758" s="7" t="s">
        <v>20</v>
      </c>
      <c r="I758" s="8" t="s">
        <v>2799</v>
      </c>
      <c r="J758" s="7" t="s">
        <v>2800</v>
      </c>
      <c r="K758" s="7" t="s">
        <v>2801</v>
      </c>
      <c r="L758" s="7" t="s">
        <v>97</v>
      </c>
      <c r="M758" s="7" t="s">
        <v>98</v>
      </c>
      <c r="N758" s="9" t="s">
        <v>80</v>
      </c>
      <c r="O758" s="7" t="s">
        <v>99</v>
      </c>
      <c r="P758" s="7" t="s">
        <v>20</v>
      </c>
      <c r="Q758" s="7"/>
      <c r="R758" s="7" t="str" cm="1">
        <f t="array" ref="R758">IF(AND(Q758="",P758&lt;&gt;""),N758,_xlfn.SWITCH(IF(Q758&lt;&gt;"",Q758,O758)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Centers",IF(Q758&lt;&gt;"",Q758,O758)))</f>
        <v>Hauptagent/in</v>
      </c>
      <c r="S758" s="7" t="str">
        <f>IF(N758&lt;&gt;R758,"x","")</f>
        <v>x</v>
      </c>
    </row>
    <row r="759" spans="1:19" hidden="1" x14ac:dyDescent="0.25">
      <c r="A759" s="7" t="s">
        <v>2802</v>
      </c>
      <c r="B759" s="7" t="s">
        <v>20</v>
      </c>
      <c r="C759" s="7" t="s">
        <v>2794</v>
      </c>
      <c r="D759" s="7" t="s">
        <v>2795</v>
      </c>
      <c r="E759" s="7" t="s">
        <v>20</v>
      </c>
      <c r="F759" s="7" t="s">
        <v>20</v>
      </c>
      <c r="G759" s="7" t="s">
        <v>1849</v>
      </c>
      <c r="H759" s="7" t="s">
        <v>20</v>
      </c>
      <c r="I759" s="8" t="s">
        <v>2803</v>
      </c>
      <c r="J759" s="7" t="s">
        <v>2804</v>
      </c>
      <c r="K759" s="7" t="s">
        <v>2805</v>
      </c>
      <c r="L759" s="7" t="s">
        <v>27</v>
      </c>
      <c r="M759" s="7" t="s">
        <v>28</v>
      </c>
      <c r="N759" s="9" t="s">
        <v>66</v>
      </c>
      <c r="O759" s="7" t="s">
        <v>30</v>
      </c>
      <c r="P759" s="7" t="s">
        <v>20</v>
      </c>
      <c r="Q759" s="7"/>
      <c r="R759" s="7" t="str" cm="1">
        <f t="array" ref="R759">IF(AND(Q759="",P759&lt;&gt;""),N759,_xlfn.SWITCH(IF(Q759&lt;&gt;"",Q759,O759)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Centers",IF(Q759&lt;&gt;"",Q759,O759)))</f>
        <v>Agenturleiter/in</v>
      </c>
      <c r="S759" s="7" t="str">
        <f>IF(N759&lt;&gt;R759,"x","")</f>
        <v>x</v>
      </c>
    </row>
    <row r="760" spans="1:19" hidden="1" x14ac:dyDescent="0.25">
      <c r="A760" s="7" t="s">
        <v>2806</v>
      </c>
      <c r="B760" s="7" t="s">
        <v>20</v>
      </c>
      <c r="C760" s="7" t="s">
        <v>2794</v>
      </c>
      <c r="D760" s="7" t="s">
        <v>2795</v>
      </c>
      <c r="E760" s="7" t="s">
        <v>20</v>
      </c>
      <c r="F760" s="7" t="s">
        <v>20</v>
      </c>
      <c r="G760" s="7" t="s">
        <v>1849</v>
      </c>
      <c r="H760" s="7" t="s">
        <v>20</v>
      </c>
      <c r="I760" s="8" t="s">
        <v>2807</v>
      </c>
      <c r="J760" s="7" t="s">
        <v>2807</v>
      </c>
      <c r="K760" s="7" t="s">
        <v>2808</v>
      </c>
      <c r="L760" s="7" t="s">
        <v>27</v>
      </c>
      <c r="M760" s="7" t="s">
        <v>28</v>
      </c>
      <c r="N760" s="9" t="s">
        <v>20</v>
      </c>
      <c r="O760" s="7" t="s">
        <v>238</v>
      </c>
      <c r="P760" s="7" t="s">
        <v>20</v>
      </c>
      <c r="Q760" s="7"/>
      <c r="R760" s="7" t="str" cm="1">
        <f t="array" ref="R760">IF(AND(Q760="",P760&lt;&gt;""),N760,_xlfn.SWITCH(IF(Q760&lt;&gt;"",Q760,O760)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Centers",IF(Q760&lt;&gt;"",Q760,O760)))</f>
        <v>Agenturleiter/in</v>
      </c>
      <c r="S760" s="7" t="str">
        <f>IF(N760&lt;&gt;R760,"x","")</f>
        <v>x</v>
      </c>
    </row>
    <row r="761" spans="1:19" hidden="1" x14ac:dyDescent="0.25">
      <c r="A761" s="7" t="s">
        <v>2809</v>
      </c>
      <c r="B761" s="7" t="s">
        <v>20</v>
      </c>
      <c r="C761" s="7" t="s">
        <v>2794</v>
      </c>
      <c r="D761" s="7" t="s">
        <v>2795</v>
      </c>
      <c r="E761" s="7" t="s">
        <v>20</v>
      </c>
      <c r="F761" s="7" t="s">
        <v>20</v>
      </c>
      <c r="G761" s="7" t="s">
        <v>1849</v>
      </c>
      <c r="H761" s="7" t="s">
        <v>20</v>
      </c>
      <c r="I761" s="8" t="s">
        <v>2810</v>
      </c>
      <c r="J761" s="7" t="s">
        <v>2811</v>
      </c>
      <c r="K761" s="7" t="s">
        <v>2812</v>
      </c>
      <c r="L761" s="7" t="s">
        <v>64</v>
      </c>
      <c r="M761" s="7" t="s">
        <v>65</v>
      </c>
      <c r="N761" s="9" t="s">
        <v>75</v>
      </c>
      <c r="O761" s="7" t="s">
        <v>510</v>
      </c>
      <c r="P761" s="7" t="s">
        <v>20</v>
      </c>
      <c r="Q761" s="7"/>
      <c r="R761" s="7" t="str" cm="1">
        <f t="array" ref="R761">IF(AND(Q761="",P761&lt;&gt;""),N761,_xlfn.SWITCH(IF(Q761&lt;&gt;"",Q761,O761)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Centers",IF(Q761&lt;&gt;"",Q761,O761)))</f>
        <v>Leiter/in des Service Centers</v>
      </c>
      <c r="S761" s="7" t="str">
        <f>IF(N761&lt;&gt;R761,"x","")</f>
        <v>x</v>
      </c>
    </row>
    <row r="762" spans="1:19" hidden="1" x14ac:dyDescent="0.25">
      <c r="A762" s="7" t="s">
        <v>2813</v>
      </c>
      <c r="B762" s="7" t="s">
        <v>20</v>
      </c>
      <c r="C762" s="7" t="s">
        <v>2794</v>
      </c>
      <c r="D762" s="7" t="s">
        <v>2795</v>
      </c>
      <c r="E762" s="7" t="s">
        <v>20</v>
      </c>
      <c r="F762" s="7" t="s">
        <v>20</v>
      </c>
      <c r="G762" s="7" t="s">
        <v>1849</v>
      </c>
      <c r="H762" s="7" t="s">
        <v>20</v>
      </c>
      <c r="I762" s="8" t="s">
        <v>2377</v>
      </c>
      <c r="J762" s="7" t="s">
        <v>2814</v>
      </c>
      <c r="K762" s="7" t="s">
        <v>2815</v>
      </c>
      <c r="L762" s="7" t="s">
        <v>40</v>
      </c>
      <c r="M762" s="7" t="s">
        <v>41</v>
      </c>
      <c r="N762" s="9" t="s">
        <v>75</v>
      </c>
      <c r="O762" s="7" t="s">
        <v>43</v>
      </c>
      <c r="P762" s="7" t="s">
        <v>20</v>
      </c>
      <c r="Q762" s="7"/>
      <c r="R762" s="7" t="str" cm="1">
        <f t="array" ref="R762">IF(AND(Q762="",P762&lt;&gt;""),N762,_xlfn.SWITCH(IF(Q762&lt;&gt;"",Q762,O762)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Centers",IF(Q762&lt;&gt;"",Q762,O762)))</f>
        <v>Repräsentant/in</v>
      </c>
      <c r="S762" s="7" t="str">
        <f>IF(N762&lt;&gt;R762,"x","")</f>
        <v>x</v>
      </c>
    </row>
    <row r="763" spans="1:19" hidden="1" x14ac:dyDescent="0.25">
      <c r="A763" s="7" t="s">
        <v>2816</v>
      </c>
      <c r="B763" s="7" t="s">
        <v>20</v>
      </c>
      <c r="C763" s="7" t="s">
        <v>2794</v>
      </c>
      <c r="D763" s="7" t="s">
        <v>2795</v>
      </c>
      <c r="E763" s="7" t="s">
        <v>20</v>
      </c>
      <c r="F763" s="7" t="s">
        <v>20</v>
      </c>
      <c r="G763" s="7" t="s">
        <v>1849</v>
      </c>
      <c r="H763" s="7" t="s">
        <v>20</v>
      </c>
      <c r="I763" s="8" t="s">
        <v>992</v>
      </c>
      <c r="J763" s="7" t="s">
        <v>2817</v>
      </c>
      <c r="K763" s="7" t="s">
        <v>63</v>
      </c>
      <c r="L763" s="7" t="s">
        <v>27</v>
      </c>
      <c r="M763" s="7" t="s">
        <v>28</v>
      </c>
      <c r="N763" s="9" t="s">
        <v>59</v>
      </c>
      <c r="O763" s="7" t="s">
        <v>30</v>
      </c>
      <c r="P763" s="7" t="s">
        <v>49</v>
      </c>
      <c r="Q763" s="7"/>
      <c r="R763" s="7" t="str" cm="1">
        <f t="array" ref="R763">IF(AND(Q763="",P763&lt;&gt;""),N763,_xlfn.SWITCH(IF(Q763&lt;&gt;"",Q763,O763)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Centers",IF(Q763&lt;&gt;"",Q763,O763)))</f>
        <v>Leiter/in des Service Centers</v>
      </c>
      <c r="S763" s="7" t="str">
        <f>IF(N763&lt;&gt;R763,"x","")</f>
        <v/>
      </c>
    </row>
    <row r="764" spans="1:19" hidden="1" x14ac:dyDescent="0.25">
      <c r="A764" s="7" t="s">
        <v>2818</v>
      </c>
      <c r="B764" s="7" t="s">
        <v>20</v>
      </c>
      <c r="C764" s="7" t="s">
        <v>2794</v>
      </c>
      <c r="D764" s="7" t="s">
        <v>2795</v>
      </c>
      <c r="E764" s="7" t="s">
        <v>20</v>
      </c>
      <c r="F764" s="7" t="s">
        <v>20</v>
      </c>
      <c r="G764" s="7" t="s">
        <v>1849</v>
      </c>
      <c r="H764" s="7" t="s">
        <v>20</v>
      </c>
      <c r="I764" s="8" t="s">
        <v>550</v>
      </c>
      <c r="J764" s="7" t="s">
        <v>2819</v>
      </c>
      <c r="K764" s="7" t="s">
        <v>2820</v>
      </c>
      <c r="L764" s="7" t="s">
        <v>124</v>
      </c>
      <c r="M764" s="7" t="s">
        <v>125</v>
      </c>
      <c r="N764" s="9" t="s">
        <v>59</v>
      </c>
      <c r="O764" s="7" t="s">
        <v>67</v>
      </c>
      <c r="P764" s="7" t="s">
        <v>20</v>
      </c>
      <c r="Q764" s="7"/>
      <c r="R764" s="7" t="str" cm="1">
        <f t="array" ref="R764">IF(AND(Q764="",P764&lt;&gt;""),N764,_xlfn.SWITCH(IF(Q764&lt;&gt;"",Q764,O764)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Centers",IF(Q764&lt;&gt;"",Q764,O764)))</f>
        <v>Leiter/in des Service Centers</v>
      </c>
      <c r="S764" s="7" t="str">
        <f>IF(N764&lt;&gt;R764,"x","")</f>
        <v/>
      </c>
    </row>
    <row r="765" spans="1:19" hidden="1" x14ac:dyDescent="0.25">
      <c r="A765" s="7" t="s">
        <v>2821</v>
      </c>
      <c r="B765" s="7" t="s">
        <v>20</v>
      </c>
      <c r="C765" s="7" t="s">
        <v>2794</v>
      </c>
      <c r="D765" s="7" t="s">
        <v>2795</v>
      </c>
      <c r="E765" s="7" t="s">
        <v>20</v>
      </c>
      <c r="F765" s="7" t="s">
        <v>20</v>
      </c>
      <c r="G765" s="7" t="s">
        <v>1849</v>
      </c>
      <c r="H765" s="7" t="s">
        <v>20</v>
      </c>
      <c r="I765" s="8" t="s">
        <v>1116</v>
      </c>
      <c r="J765" s="7" t="s">
        <v>2822</v>
      </c>
      <c r="K765" s="7" t="s">
        <v>2823</v>
      </c>
      <c r="L765" s="7" t="s">
        <v>64</v>
      </c>
      <c r="M765" s="7" t="s">
        <v>65</v>
      </c>
      <c r="N765" s="9" t="s">
        <v>111</v>
      </c>
      <c r="O765" s="7" t="s">
        <v>67</v>
      </c>
      <c r="P765" s="7" t="s">
        <v>20</v>
      </c>
      <c r="Q765" s="7"/>
      <c r="R765" s="7" t="str" cm="1">
        <f t="array" ref="R765">IF(AND(Q765="",P765&lt;&gt;""),N765,_xlfn.SWITCH(IF(Q765&lt;&gt;"",Q765,O765)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Centers",IF(Q765&lt;&gt;"",Q765,O765)))</f>
        <v>Leiter/in des Service Centers</v>
      </c>
      <c r="S765" s="7" t="str">
        <f>IF(N765&lt;&gt;R765,"x","")</f>
        <v>x</v>
      </c>
    </row>
    <row r="766" spans="1:19" hidden="1" x14ac:dyDescent="0.25">
      <c r="A766" s="7" t="s">
        <v>2824</v>
      </c>
      <c r="B766" s="7" t="s">
        <v>20</v>
      </c>
      <c r="C766" s="7" t="s">
        <v>2794</v>
      </c>
      <c r="D766" s="7" t="s">
        <v>2795</v>
      </c>
      <c r="E766" s="7" t="s">
        <v>20</v>
      </c>
      <c r="F766" s="7" t="s">
        <v>20</v>
      </c>
      <c r="G766" s="7" t="s">
        <v>1849</v>
      </c>
      <c r="H766" s="7" t="s">
        <v>20</v>
      </c>
      <c r="I766" s="8" t="s">
        <v>2825</v>
      </c>
      <c r="J766" s="7" t="s">
        <v>2203</v>
      </c>
      <c r="K766" s="7" t="s">
        <v>2826</v>
      </c>
      <c r="L766" s="7" t="s">
        <v>40</v>
      </c>
      <c r="M766" s="7" t="s">
        <v>41</v>
      </c>
      <c r="N766" s="9" t="s">
        <v>75</v>
      </c>
      <c r="O766" s="7" t="s">
        <v>88</v>
      </c>
      <c r="P766" s="7" t="s">
        <v>20</v>
      </c>
      <c r="Q766" s="7"/>
      <c r="R766" s="7" t="str" cm="1">
        <f t="array" ref="R766">IF(AND(Q766="",P766&lt;&gt;""),N766,_xlfn.SWITCH(IF(Q766&lt;&gt;"",Q766,O766)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Centers",IF(Q766&lt;&gt;"",Q766,O766)))</f>
        <v>Kundenberater/in</v>
      </c>
      <c r="S766" s="7" t="str">
        <f>IF(N766&lt;&gt;R766,"x","")</f>
        <v>x</v>
      </c>
    </row>
    <row r="767" spans="1:19" hidden="1" x14ac:dyDescent="0.25">
      <c r="A767" s="7" t="s">
        <v>2827</v>
      </c>
      <c r="B767" s="7" t="s">
        <v>20</v>
      </c>
      <c r="C767" s="7" t="s">
        <v>2794</v>
      </c>
      <c r="D767" s="7" t="s">
        <v>2795</v>
      </c>
      <c r="E767" s="7" t="s">
        <v>20</v>
      </c>
      <c r="F767" s="7" t="s">
        <v>20</v>
      </c>
      <c r="G767" s="7" t="s">
        <v>1849</v>
      </c>
      <c r="H767" s="7" t="s">
        <v>20</v>
      </c>
      <c r="I767" s="8" t="s">
        <v>2828</v>
      </c>
      <c r="J767" s="7" t="s">
        <v>2828</v>
      </c>
      <c r="K767" s="7" t="s">
        <v>2829</v>
      </c>
      <c r="L767" s="7" t="s">
        <v>64</v>
      </c>
      <c r="M767" s="7" t="s">
        <v>65</v>
      </c>
      <c r="N767" s="9" t="s">
        <v>59</v>
      </c>
      <c r="O767" s="7" t="s">
        <v>59</v>
      </c>
      <c r="P767" s="7" t="s">
        <v>20</v>
      </c>
      <c r="Q767" s="7"/>
      <c r="R767" s="7" t="str" cm="1">
        <f t="array" ref="R767">IF(AND(Q767="",P767&lt;&gt;""),N767,_xlfn.SWITCH(IF(Q767&lt;&gt;"",Q767,O767)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Centers",IF(Q767&lt;&gt;"",Q767,O767)))</f>
        <v>Leiter/in des Service Centers</v>
      </c>
      <c r="S767" s="7" t="str">
        <f>IF(N767&lt;&gt;R767,"x","")</f>
        <v/>
      </c>
    </row>
    <row r="768" spans="1:19" hidden="1" x14ac:dyDescent="0.25">
      <c r="A768" s="7" t="s">
        <v>2830</v>
      </c>
      <c r="B768" s="7" t="s">
        <v>20</v>
      </c>
      <c r="C768" s="7" t="s">
        <v>2794</v>
      </c>
      <c r="D768" s="7" t="s">
        <v>2795</v>
      </c>
      <c r="E768" s="7" t="s">
        <v>20</v>
      </c>
      <c r="F768" s="7" t="s">
        <v>20</v>
      </c>
      <c r="G768" s="7" t="s">
        <v>1849</v>
      </c>
      <c r="H768" s="7" t="s">
        <v>20</v>
      </c>
      <c r="I768" s="8" t="s">
        <v>2831</v>
      </c>
      <c r="J768" s="7" t="s">
        <v>2832</v>
      </c>
      <c r="K768" s="7" t="s">
        <v>2833</v>
      </c>
      <c r="L768" s="7" t="s">
        <v>40</v>
      </c>
      <c r="M768" s="7" t="s">
        <v>41</v>
      </c>
      <c r="N768" s="9" t="s">
        <v>75</v>
      </c>
      <c r="O768" s="7" t="s">
        <v>88</v>
      </c>
      <c r="P768" s="7" t="s">
        <v>20</v>
      </c>
      <c r="Q768" s="7"/>
      <c r="R768" s="7" t="str" cm="1">
        <f t="array" ref="R768">IF(AND(Q768="",P768&lt;&gt;""),N768,_xlfn.SWITCH(IF(Q768&lt;&gt;"",Q768,O768)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Centers",IF(Q768&lt;&gt;"",Q768,O768)))</f>
        <v>Kundenberater/in</v>
      </c>
      <c r="S768" s="7" t="str">
        <f>IF(N768&lt;&gt;R768,"x","")</f>
        <v>x</v>
      </c>
    </row>
    <row r="769" spans="1:19" hidden="1" x14ac:dyDescent="0.25">
      <c r="A769" s="7" t="s">
        <v>2834</v>
      </c>
      <c r="B769" s="7" t="s">
        <v>20</v>
      </c>
      <c r="C769" s="7" t="s">
        <v>2794</v>
      </c>
      <c r="D769" s="7" t="s">
        <v>2795</v>
      </c>
      <c r="E769" s="7" t="s">
        <v>20</v>
      </c>
      <c r="F769" s="7" t="s">
        <v>20</v>
      </c>
      <c r="G769" s="7" t="s">
        <v>1849</v>
      </c>
      <c r="H769" s="7" t="s">
        <v>20</v>
      </c>
      <c r="I769" s="8" t="s">
        <v>2835</v>
      </c>
      <c r="J769" s="7" t="s">
        <v>2836</v>
      </c>
      <c r="K769" s="7" t="s">
        <v>2837</v>
      </c>
      <c r="L769" s="7" t="s">
        <v>40</v>
      </c>
      <c r="M769" s="7" t="s">
        <v>41</v>
      </c>
      <c r="N769" s="9" t="s">
        <v>75</v>
      </c>
      <c r="O769" s="7" t="s">
        <v>88</v>
      </c>
      <c r="P769" s="7" t="s">
        <v>20</v>
      </c>
      <c r="Q769" s="7"/>
      <c r="R769" s="7" t="str" cm="1">
        <f t="array" ref="R769">IF(AND(Q769="",P769&lt;&gt;""),N769,_xlfn.SWITCH(IF(Q769&lt;&gt;"",Q769,O769)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Centers",IF(Q769&lt;&gt;"",Q769,O769)))</f>
        <v>Kundenberater/in</v>
      </c>
      <c r="S769" s="7" t="str">
        <f>IF(N769&lt;&gt;R769,"x","")</f>
        <v>x</v>
      </c>
    </row>
    <row r="770" spans="1:19" hidden="1" x14ac:dyDescent="0.25">
      <c r="A770" s="7" t="s">
        <v>2838</v>
      </c>
      <c r="B770" s="7" t="s">
        <v>2839</v>
      </c>
      <c r="C770" s="7" t="s">
        <v>2794</v>
      </c>
      <c r="D770" s="7" t="s">
        <v>2795</v>
      </c>
      <c r="E770" s="7" t="s">
        <v>1862</v>
      </c>
      <c r="F770" s="7" t="s">
        <v>1863</v>
      </c>
      <c r="G770" s="7" t="s">
        <v>1864</v>
      </c>
      <c r="H770" s="7" t="s">
        <v>1864</v>
      </c>
      <c r="I770" s="8" t="s">
        <v>1044</v>
      </c>
      <c r="J770" s="7" t="s">
        <v>2840</v>
      </c>
      <c r="K770" s="7" t="s">
        <v>2841</v>
      </c>
      <c r="L770" s="7" t="s">
        <v>97</v>
      </c>
      <c r="M770" s="7" t="s">
        <v>98</v>
      </c>
      <c r="N770" s="9" t="s">
        <v>66</v>
      </c>
      <c r="O770" s="7" t="s">
        <v>99</v>
      </c>
      <c r="P770" s="7" t="s">
        <v>20</v>
      </c>
      <c r="Q770" s="7"/>
      <c r="R770" s="7" t="str" cm="1">
        <f t="array" ref="R770">IF(AND(Q770="",P770&lt;&gt;""),N770,_xlfn.SWITCH(IF(Q770&lt;&gt;"",Q770,O770)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Centers",IF(Q770&lt;&gt;"",Q770,O770)))</f>
        <v>Hauptagent/in</v>
      </c>
      <c r="S770" s="7" t="str">
        <f>IF(N770&lt;&gt;R770,"x","")</f>
        <v>x</v>
      </c>
    </row>
    <row r="771" spans="1:19" hidden="1" x14ac:dyDescent="0.25">
      <c r="A771" s="7" t="s">
        <v>2842</v>
      </c>
      <c r="B771" s="7" t="s">
        <v>2843</v>
      </c>
      <c r="C771" s="7" t="s">
        <v>2794</v>
      </c>
      <c r="D771" s="7" t="s">
        <v>2795</v>
      </c>
      <c r="E771" s="7" t="s">
        <v>1862</v>
      </c>
      <c r="F771" s="7" t="s">
        <v>1863</v>
      </c>
      <c r="G771" s="7" t="s">
        <v>1864</v>
      </c>
      <c r="H771" s="7" t="s">
        <v>1864</v>
      </c>
      <c r="I771" s="8" t="s">
        <v>132</v>
      </c>
      <c r="J771" s="7" t="s">
        <v>2844</v>
      </c>
      <c r="K771" s="7" t="s">
        <v>2845</v>
      </c>
      <c r="L771" s="7" t="s">
        <v>40</v>
      </c>
      <c r="M771" s="7" t="s">
        <v>41</v>
      </c>
      <c r="N771" s="9" t="s">
        <v>75</v>
      </c>
      <c r="O771" s="7" t="s">
        <v>88</v>
      </c>
      <c r="P771" s="7" t="s">
        <v>20</v>
      </c>
      <c r="Q771" s="7"/>
      <c r="R771" s="7" t="str" cm="1">
        <f t="array" ref="R771">IF(AND(Q771="",P771&lt;&gt;""),N771,_xlfn.SWITCH(IF(Q771&lt;&gt;"",Q771,O771)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Centers",IF(Q771&lt;&gt;"",Q771,O771)))</f>
        <v>Kundenberater/in</v>
      </c>
      <c r="S771" s="7" t="str">
        <f>IF(N771&lt;&gt;R771,"x","")</f>
        <v>x</v>
      </c>
    </row>
    <row r="772" spans="1:19" hidden="1" x14ac:dyDescent="0.25">
      <c r="A772" s="7" t="s">
        <v>2846</v>
      </c>
      <c r="B772" s="7" t="s">
        <v>2847</v>
      </c>
      <c r="C772" s="7" t="s">
        <v>2794</v>
      </c>
      <c r="D772" s="7" t="s">
        <v>2795</v>
      </c>
      <c r="E772" s="7" t="s">
        <v>1862</v>
      </c>
      <c r="F772" s="7" t="s">
        <v>1863</v>
      </c>
      <c r="G772" s="7" t="s">
        <v>1864</v>
      </c>
      <c r="H772" s="7" t="s">
        <v>1864</v>
      </c>
      <c r="I772" s="8" t="s">
        <v>2848</v>
      </c>
      <c r="J772" s="7" t="s">
        <v>2849</v>
      </c>
      <c r="K772" s="7" t="s">
        <v>2850</v>
      </c>
      <c r="L772" s="7" t="s">
        <v>97</v>
      </c>
      <c r="M772" s="7" t="s">
        <v>98</v>
      </c>
      <c r="N772" s="9" t="s">
        <v>80</v>
      </c>
      <c r="O772" s="7" t="s">
        <v>99</v>
      </c>
      <c r="P772" s="7" t="s">
        <v>20</v>
      </c>
      <c r="Q772" s="7"/>
      <c r="R772" s="7" t="str" cm="1">
        <f t="array" ref="R772">IF(AND(Q772="",P772&lt;&gt;""),N772,_xlfn.SWITCH(IF(Q772&lt;&gt;"",Q772,O772)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Centers",IF(Q772&lt;&gt;"",Q772,O772)))</f>
        <v>Hauptagent/in</v>
      </c>
      <c r="S772" s="7" t="str">
        <f>IF(N772&lt;&gt;R772,"x","")</f>
        <v>x</v>
      </c>
    </row>
    <row r="773" spans="1:19" hidden="1" x14ac:dyDescent="0.25">
      <c r="A773" s="7" t="s">
        <v>2851</v>
      </c>
      <c r="B773" s="7" t="s">
        <v>2852</v>
      </c>
      <c r="C773" s="7" t="s">
        <v>2794</v>
      </c>
      <c r="D773" s="7" t="s">
        <v>2795</v>
      </c>
      <c r="E773" s="7" t="s">
        <v>1862</v>
      </c>
      <c r="F773" s="7" t="s">
        <v>1863</v>
      </c>
      <c r="G773" s="7" t="s">
        <v>1864</v>
      </c>
      <c r="H773" s="7" t="s">
        <v>1864</v>
      </c>
      <c r="I773" s="8" t="s">
        <v>2853</v>
      </c>
      <c r="J773" s="7" t="s">
        <v>2854</v>
      </c>
      <c r="K773" s="7" t="s">
        <v>2855</v>
      </c>
      <c r="L773" s="7" t="s">
        <v>27</v>
      </c>
      <c r="M773" s="7" t="s">
        <v>28</v>
      </c>
      <c r="N773" s="9" t="s">
        <v>75</v>
      </c>
      <c r="O773" s="7" t="s">
        <v>30</v>
      </c>
      <c r="P773" s="7" t="s">
        <v>20</v>
      </c>
      <c r="Q773" s="7"/>
      <c r="R773" s="7" t="str" cm="1">
        <f t="array" ref="R773">IF(AND(Q773="",P773&lt;&gt;""),N773,_xlfn.SWITCH(IF(Q773&lt;&gt;"",Q773,O773)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Centers",IF(Q773&lt;&gt;"",Q773,O773)))</f>
        <v>Agenturleiter/in</v>
      </c>
      <c r="S773" s="7" t="str">
        <f>IF(N773&lt;&gt;R773,"x","")</f>
        <v>x</v>
      </c>
    </row>
    <row r="774" spans="1:19" hidden="1" x14ac:dyDescent="0.25">
      <c r="A774" s="7" t="s">
        <v>2856</v>
      </c>
      <c r="B774" s="7" t="s">
        <v>2857</v>
      </c>
      <c r="C774" s="7" t="s">
        <v>2794</v>
      </c>
      <c r="D774" s="7" t="s">
        <v>2795</v>
      </c>
      <c r="E774" s="7" t="s">
        <v>1862</v>
      </c>
      <c r="F774" s="7" t="s">
        <v>1863</v>
      </c>
      <c r="G774" s="7" t="s">
        <v>1864</v>
      </c>
      <c r="H774" s="7" t="s">
        <v>1864</v>
      </c>
      <c r="I774" s="8" t="s">
        <v>2858</v>
      </c>
      <c r="J774" s="7" t="s">
        <v>2859</v>
      </c>
      <c r="K774" s="7" t="s">
        <v>2860</v>
      </c>
      <c r="L774" s="7" t="s">
        <v>124</v>
      </c>
      <c r="M774" s="7" t="s">
        <v>125</v>
      </c>
      <c r="N774" s="9" t="s">
        <v>75</v>
      </c>
      <c r="O774" s="7" t="s">
        <v>67</v>
      </c>
      <c r="P774" s="7" t="s">
        <v>20</v>
      </c>
      <c r="Q774" s="7"/>
      <c r="R774" s="7" t="str" cm="1">
        <f t="array" ref="R774">IF(AND(Q774="",P774&lt;&gt;""),N774,_xlfn.SWITCH(IF(Q774&lt;&gt;"",Q774,O774)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Centers",IF(Q774&lt;&gt;"",Q774,O774)))</f>
        <v>Leiter/in des Service Centers</v>
      </c>
      <c r="S774" s="7" t="str">
        <f>IF(N774&lt;&gt;R774,"x","")</f>
        <v>x</v>
      </c>
    </row>
    <row r="775" spans="1:19" hidden="1" x14ac:dyDescent="0.25">
      <c r="A775" s="7" t="s">
        <v>2861</v>
      </c>
      <c r="B775" s="7" t="s">
        <v>2862</v>
      </c>
      <c r="C775" s="7" t="s">
        <v>2794</v>
      </c>
      <c r="D775" s="7" t="s">
        <v>2795</v>
      </c>
      <c r="E775" s="7" t="s">
        <v>1862</v>
      </c>
      <c r="F775" s="7" t="s">
        <v>1863</v>
      </c>
      <c r="G775" s="7" t="s">
        <v>1864</v>
      </c>
      <c r="H775" s="7" t="s">
        <v>1864</v>
      </c>
      <c r="I775" s="8" t="s">
        <v>2863</v>
      </c>
      <c r="J775" s="7" t="s">
        <v>2864</v>
      </c>
      <c r="K775" s="7" t="s">
        <v>2865</v>
      </c>
      <c r="L775" s="7" t="s">
        <v>27</v>
      </c>
      <c r="M775" s="7" t="s">
        <v>28</v>
      </c>
      <c r="N775" s="9" t="s">
        <v>75</v>
      </c>
      <c r="O775" s="7" t="s">
        <v>30</v>
      </c>
      <c r="P775" s="7" t="s">
        <v>20</v>
      </c>
      <c r="Q775" s="7"/>
      <c r="R775" s="7" t="str" cm="1">
        <f t="array" ref="R775">IF(AND(Q775="",P775&lt;&gt;""),N775,_xlfn.SWITCH(IF(Q775&lt;&gt;"",Q775,O775)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Centers",IF(Q775&lt;&gt;"",Q775,O775)))</f>
        <v>Agenturleiter/in</v>
      </c>
      <c r="S775" s="7" t="str">
        <f>IF(N775&lt;&gt;R775,"x","")</f>
        <v>x</v>
      </c>
    </row>
    <row r="776" spans="1:19" hidden="1" x14ac:dyDescent="0.25">
      <c r="A776" s="7" t="s">
        <v>2866</v>
      </c>
      <c r="B776" s="7" t="s">
        <v>2867</v>
      </c>
      <c r="C776" s="7" t="s">
        <v>2794</v>
      </c>
      <c r="D776" s="7" t="s">
        <v>2795</v>
      </c>
      <c r="E776" s="7" t="s">
        <v>1862</v>
      </c>
      <c r="F776" s="7" t="s">
        <v>1863</v>
      </c>
      <c r="G776" s="7" t="s">
        <v>1864</v>
      </c>
      <c r="H776" s="7" t="s">
        <v>1864</v>
      </c>
      <c r="I776" s="8" t="s">
        <v>2868</v>
      </c>
      <c r="J776" s="7" t="s">
        <v>2869</v>
      </c>
      <c r="K776" s="7" t="s">
        <v>2870</v>
      </c>
      <c r="L776" s="7" t="s">
        <v>40</v>
      </c>
      <c r="M776" s="7" t="s">
        <v>41</v>
      </c>
      <c r="N776" s="9" t="s">
        <v>75</v>
      </c>
      <c r="O776" s="7" t="s">
        <v>43</v>
      </c>
      <c r="P776" s="7" t="s">
        <v>20</v>
      </c>
      <c r="Q776" s="7"/>
      <c r="R776" s="7" t="str" cm="1">
        <f t="array" ref="R776">IF(AND(Q776="",P776&lt;&gt;""),N776,_xlfn.SWITCH(IF(Q776&lt;&gt;"",Q776,O776)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Centers",IF(Q776&lt;&gt;"",Q776,O776)))</f>
        <v>Repräsentant/in</v>
      </c>
      <c r="S776" s="7" t="str">
        <f>IF(N776&lt;&gt;R776,"x","")</f>
        <v>x</v>
      </c>
    </row>
    <row r="777" spans="1:19" hidden="1" x14ac:dyDescent="0.25">
      <c r="A777" s="7" t="s">
        <v>2871</v>
      </c>
      <c r="B777" s="7" t="s">
        <v>20</v>
      </c>
      <c r="C777" s="7" t="s">
        <v>2872</v>
      </c>
      <c r="D777" s="7" t="s">
        <v>2873</v>
      </c>
      <c r="E777" s="7" t="s">
        <v>20</v>
      </c>
      <c r="F777" s="7" t="s">
        <v>20</v>
      </c>
      <c r="G777" s="7" t="s">
        <v>1864</v>
      </c>
      <c r="H777" s="7" t="s">
        <v>20</v>
      </c>
      <c r="I777" s="8" t="s">
        <v>2874</v>
      </c>
      <c r="J777" s="7" t="s">
        <v>2875</v>
      </c>
      <c r="K777" s="7" t="s">
        <v>2876</v>
      </c>
      <c r="L777" s="7" t="s">
        <v>27</v>
      </c>
      <c r="M777" s="7" t="s">
        <v>28</v>
      </c>
      <c r="N777" s="9" t="s">
        <v>35</v>
      </c>
      <c r="O777" s="7" t="s">
        <v>54</v>
      </c>
      <c r="P777" s="7" t="s">
        <v>20</v>
      </c>
      <c r="Q777" s="7"/>
      <c r="R777" s="7" t="str" cm="1">
        <f t="array" ref="R777">IF(AND(Q777="",P777&lt;&gt;""),N777,_xlfn.SWITCH(IF(Q777&lt;&gt;"",Q777,O777)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Centers",IF(Q777&lt;&gt;"",Q777,O777)))</f>
        <v>Agenturleiter/in</v>
      </c>
      <c r="S777" s="7" t="str">
        <f>IF(N777&lt;&gt;R777,"x","")</f>
        <v>x</v>
      </c>
    </row>
    <row r="778" spans="1:19" hidden="1" x14ac:dyDescent="0.25">
      <c r="A778" s="7" t="s">
        <v>2877</v>
      </c>
      <c r="B778" s="7" t="s">
        <v>20</v>
      </c>
      <c r="C778" s="7" t="s">
        <v>2872</v>
      </c>
      <c r="D778" s="7" t="s">
        <v>2873</v>
      </c>
      <c r="E778" s="7" t="s">
        <v>20</v>
      </c>
      <c r="F778" s="7" t="s">
        <v>20</v>
      </c>
      <c r="G778" s="7" t="s">
        <v>1864</v>
      </c>
      <c r="H778" s="7" t="s">
        <v>20</v>
      </c>
      <c r="I778" s="8" t="s">
        <v>2878</v>
      </c>
      <c r="J778" s="7" t="s">
        <v>2879</v>
      </c>
      <c r="K778" s="7" t="s">
        <v>2880</v>
      </c>
      <c r="L778" s="7" t="s">
        <v>27</v>
      </c>
      <c r="M778" s="7" t="s">
        <v>28</v>
      </c>
      <c r="N778" s="9" t="s">
        <v>149</v>
      </c>
      <c r="O778" s="7" t="s">
        <v>30</v>
      </c>
      <c r="P778" s="7" t="s">
        <v>20</v>
      </c>
      <c r="Q778" s="7"/>
      <c r="R778" s="7" t="str" cm="1">
        <f t="array" ref="R778">IF(AND(Q778="",P778&lt;&gt;""),N778,_xlfn.SWITCH(IF(Q778&lt;&gt;"",Q778,O778)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Centers",IF(Q778&lt;&gt;"",Q778,O778)))</f>
        <v>Agenturleiter/in</v>
      </c>
      <c r="S778" s="7" t="str">
        <f>IF(N778&lt;&gt;R778,"x","")</f>
        <v>x</v>
      </c>
    </row>
    <row r="779" spans="1:19" hidden="1" x14ac:dyDescent="0.25">
      <c r="A779" s="7" t="s">
        <v>2881</v>
      </c>
      <c r="B779" s="7" t="s">
        <v>20</v>
      </c>
      <c r="C779" s="7" t="s">
        <v>2872</v>
      </c>
      <c r="D779" s="7" t="s">
        <v>2873</v>
      </c>
      <c r="E779" s="7" t="s">
        <v>20</v>
      </c>
      <c r="F779" s="7" t="s">
        <v>20</v>
      </c>
      <c r="G779" s="7" t="s">
        <v>1864</v>
      </c>
      <c r="H779" s="7" t="s">
        <v>20</v>
      </c>
      <c r="I779" s="8" t="s">
        <v>987</v>
      </c>
      <c r="J779" s="7" t="s">
        <v>2882</v>
      </c>
      <c r="K779" s="7" t="s">
        <v>2883</v>
      </c>
      <c r="L779" s="7" t="s">
        <v>27</v>
      </c>
      <c r="M779" s="7" t="s">
        <v>28</v>
      </c>
      <c r="N779" s="9" t="s">
        <v>149</v>
      </c>
      <c r="O779" s="7" t="s">
        <v>30</v>
      </c>
      <c r="P779" s="7" t="s">
        <v>20</v>
      </c>
      <c r="Q779" s="7"/>
      <c r="R779" s="7" t="str" cm="1">
        <f t="array" ref="R779">IF(AND(Q779="",P779&lt;&gt;""),N779,_xlfn.SWITCH(IF(Q779&lt;&gt;"",Q779,O779)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Centers",IF(Q779&lt;&gt;"",Q779,O779)))</f>
        <v>Agenturleiter/in</v>
      </c>
      <c r="S779" s="7" t="str">
        <f>IF(N779&lt;&gt;R779,"x","")</f>
        <v>x</v>
      </c>
    </row>
    <row r="780" spans="1:19" hidden="1" x14ac:dyDescent="0.25">
      <c r="A780" s="7" t="s">
        <v>2884</v>
      </c>
      <c r="B780" s="7" t="s">
        <v>20</v>
      </c>
      <c r="C780" s="7" t="s">
        <v>2872</v>
      </c>
      <c r="D780" s="7" t="s">
        <v>2873</v>
      </c>
      <c r="E780" s="7" t="s">
        <v>20</v>
      </c>
      <c r="F780" s="7" t="s">
        <v>20</v>
      </c>
      <c r="G780" s="7" t="s">
        <v>1864</v>
      </c>
      <c r="H780" s="7" t="s">
        <v>20</v>
      </c>
      <c r="I780" s="8" t="s">
        <v>2885</v>
      </c>
      <c r="J780" s="7" t="s">
        <v>2886</v>
      </c>
      <c r="K780" s="7" t="s">
        <v>63</v>
      </c>
      <c r="L780" s="7" t="s">
        <v>27</v>
      </c>
      <c r="M780" s="7" t="s">
        <v>28</v>
      </c>
      <c r="N780" s="9" t="s">
        <v>126</v>
      </c>
      <c r="O780" s="7" t="s">
        <v>30</v>
      </c>
      <c r="P780" s="7" t="s">
        <v>49</v>
      </c>
      <c r="Q780" s="7"/>
      <c r="R780" s="7" t="str" cm="1">
        <f t="array" ref="R780">IF(AND(Q780="",P780&lt;&gt;""),N780,_xlfn.SWITCH(IF(Q780&lt;&gt;"",Q780,O780)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Centers",IF(Q780&lt;&gt;"",Q780,O780)))</f>
        <v>Leiter einer Hauptgeschäftsstelle</v>
      </c>
      <c r="S780" s="7" t="str">
        <f>IF(N780&lt;&gt;R780,"x","")</f>
        <v/>
      </c>
    </row>
    <row r="781" spans="1:19" hidden="1" x14ac:dyDescent="0.25">
      <c r="A781" s="7" t="s">
        <v>2887</v>
      </c>
      <c r="B781" s="7" t="s">
        <v>20</v>
      </c>
      <c r="C781" s="7" t="s">
        <v>2872</v>
      </c>
      <c r="D781" s="7" t="s">
        <v>2873</v>
      </c>
      <c r="E781" s="7" t="s">
        <v>20</v>
      </c>
      <c r="F781" s="7" t="s">
        <v>20</v>
      </c>
      <c r="G781" s="7" t="s">
        <v>1864</v>
      </c>
      <c r="H781" s="7" t="s">
        <v>20</v>
      </c>
      <c r="I781" s="8" t="s">
        <v>2888</v>
      </c>
      <c r="J781" s="7" t="s">
        <v>2889</v>
      </c>
      <c r="K781" s="7" t="s">
        <v>2890</v>
      </c>
      <c r="L781" s="7" t="s">
        <v>27</v>
      </c>
      <c r="M781" s="7" t="s">
        <v>28</v>
      </c>
      <c r="N781" s="9" t="s">
        <v>29</v>
      </c>
      <c r="O781" s="7" t="s">
        <v>30</v>
      </c>
      <c r="P781" s="7" t="s">
        <v>20</v>
      </c>
      <c r="Q781" s="7"/>
      <c r="R781" s="7" t="str" cm="1">
        <f t="array" ref="R781">IF(AND(Q781="",P781&lt;&gt;""),N781,_xlfn.SWITCH(IF(Q781&lt;&gt;"",Q781,O781)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Centers",IF(Q781&lt;&gt;"",Q781,O781)))</f>
        <v>Agenturleiter/in</v>
      </c>
      <c r="S781" s="7" t="str">
        <f>IF(N781&lt;&gt;R781,"x","")</f>
        <v>x</v>
      </c>
    </row>
    <row r="782" spans="1:19" hidden="1" x14ac:dyDescent="0.25">
      <c r="A782" s="7" t="s">
        <v>2891</v>
      </c>
      <c r="B782" s="7" t="s">
        <v>20</v>
      </c>
      <c r="C782" s="7" t="s">
        <v>2872</v>
      </c>
      <c r="D782" s="7" t="s">
        <v>2873</v>
      </c>
      <c r="E782" s="7" t="s">
        <v>20</v>
      </c>
      <c r="F782" s="7" t="s">
        <v>20</v>
      </c>
      <c r="G782" s="7" t="s">
        <v>1864</v>
      </c>
      <c r="H782" s="7" t="s">
        <v>20</v>
      </c>
      <c r="I782" s="8" t="s">
        <v>1271</v>
      </c>
      <c r="J782" s="7" t="s">
        <v>2892</v>
      </c>
      <c r="K782" s="7" t="s">
        <v>63</v>
      </c>
      <c r="L782" s="7" t="s">
        <v>97</v>
      </c>
      <c r="M782" s="7" t="s">
        <v>98</v>
      </c>
      <c r="N782" s="9" t="s">
        <v>149</v>
      </c>
      <c r="O782" s="7" t="s">
        <v>99</v>
      </c>
      <c r="P782" s="7" t="s">
        <v>49</v>
      </c>
      <c r="Q782" s="7"/>
      <c r="R782" s="7" t="str" cm="1">
        <f t="array" ref="R782">IF(AND(Q782="",P782&lt;&gt;""),N782,_xlfn.SWITCH(IF(Q782&lt;&gt;"",Q782,O782)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Centers",IF(Q782&lt;&gt;"",Q782,O782)))</f>
        <v>Generalagent</v>
      </c>
      <c r="S782" s="7" t="str">
        <f>IF(N782&lt;&gt;R782,"x","")</f>
        <v/>
      </c>
    </row>
    <row r="783" spans="1:19" hidden="1" x14ac:dyDescent="0.25">
      <c r="A783" s="7" t="s">
        <v>2893</v>
      </c>
      <c r="B783" s="7" t="s">
        <v>20</v>
      </c>
      <c r="C783" s="7" t="s">
        <v>2872</v>
      </c>
      <c r="D783" s="7" t="s">
        <v>2873</v>
      </c>
      <c r="E783" s="7" t="s">
        <v>20</v>
      </c>
      <c r="F783" s="7" t="s">
        <v>20</v>
      </c>
      <c r="G783" s="7" t="s">
        <v>1864</v>
      </c>
      <c r="H783" s="7" t="s">
        <v>20</v>
      </c>
      <c r="I783" s="8" t="s">
        <v>122</v>
      </c>
      <c r="J783" s="7" t="s">
        <v>2894</v>
      </c>
      <c r="K783" s="7" t="s">
        <v>63</v>
      </c>
      <c r="L783" s="7" t="s">
        <v>97</v>
      </c>
      <c r="M783" s="7" t="s">
        <v>98</v>
      </c>
      <c r="N783" s="9" t="s">
        <v>59</v>
      </c>
      <c r="O783" s="7" t="s">
        <v>99</v>
      </c>
      <c r="P783" s="7" t="s">
        <v>49</v>
      </c>
      <c r="Q783" s="7"/>
      <c r="R783" s="7" t="str" cm="1">
        <f t="array" ref="R783">IF(AND(Q783="",P783&lt;&gt;""),N783,_xlfn.SWITCH(IF(Q783&lt;&gt;"",Q783,O783)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Centers",IF(Q783&lt;&gt;"",Q783,O783)))</f>
        <v>Leiter/in des Service Centers</v>
      </c>
      <c r="S783" s="7" t="str">
        <f>IF(N783&lt;&gt;R783,"x","")</f>
        <v/>
      </c>
    </row>
    <row r="784" spans="1:19" hidden="1" x14ac:dyDescent="0.25">
      <c r="A784" s="7" t="s">
        <v>2895</v>
      </c>
      <c r="B784" s="7" t="s">
        <v>20</v>
      </c>
      <c r="C784" s="7" t="s">
        <v>2872</v>
      </c>
      <c r="D784" s="7" t="s">
        <v>2873</v>
      </c>
      <c r="E784" s="7" t="s">
        <v>20</v>
      </c>
      <c r="F784" s="7" t="s">
        <v>20</v>
      </c>
      <c r="G784" s="7" t="s">
        <v>1864</v>
      </c>
      <c r="H784" s="7" t="s">
        <v>20</v>
      </c>
      <c r="I784" s="8" t="s">
        <v>797</v>
      </c>
      <c r="J784" s="7" t="s">
        <v>2896</v>
      </c>
      <c r="K784" s="7" t="s">
        <v>2897</v>
      </c>
      <c r="L784" s="7" t="s">
        <v>64</v>
      </c>
      <c r="M784" s="7" t="s">
        <v>65</v>
      </c>
      <c r="N784" s="9" t="s">
        <v>149</v>
      </c>
      <c r="O784" s="7" t="s">
        <v>67</v>
      </c>
      <c r="P784" s="7" t="s">
        <v>20</v>
      </c>
      <c r="Q784" s="7"/>
      <c r="R784" s="7" t="str" cm="1">
        <f t="array" ref="R784">IF(AND(Q784="",P784&lt;&gt;""),N784,_xlfn.SWITCH(IF(Q784&lt;&gt;"",Q784,O784)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Centers",IF(Q784&lt;&gt;"",Q784,O784)))</f>
        <v>Leiter/in des Service Centers</v>
      </c>
      <c r="S784" s="7" t="str">
        <f>IF(N784&lt;&gt;R784,"x","")</f>
        <v>x</v>
      </c>
    </row>
    <row r="785" spans="1:19" hidden="1" x14ac:dyDescent="0.25">
      <c r="A785" s="7" t="s">
        <v>2898</v>
      </c>
      <c r="B785" s="7" t="s">
        <v>20</v>
      </c>
      <c r="C785" s="7" t="s">
        <v>2872</v>
      </c>
      <c r="D785" s="7" t="s">
        <v>2873</v>
      </c>
      <c r="E785" s="7" t="s">
        <v>20</v>
      </c>
      <c r="F785" s="7" t="s">
        <v>20</v>
      </c>
      <c r="G785" s="7" t="s">
        <v>1864</v>
      </c>
      <c r="H785" s="7" t="s">
        <v>20</v>
      </c>
      <c r="I785" s="8" t="s">
        <v>2899</v>
      </c>
      <c r="J785" s="7" t="s">
        <v>2900</v>
      </c>
      <c r="K785" s="7" t="s">
        <v>2901</v>
      </c>
      <c r="L785" s="7" t="s">
        <v>40</v>
      </c>
      <c r="M785" s="7" t="s">
        <v>41</v>
      </c>
      <c r="N785" s="9" t="s">
        <v>66</v>
      </c>
      <c r="O785" s="7" t="s">
        <v>48</v>
      </c>
      <c r="P785" s="7" t="s">
        <v>20</v>
      </c>
      <c r="Q785" s="7"/>
      <c r="R785" s="7" t="str" cm="1">
        <f t="array" ref="R785">IF(AND(Q785="",P785&lt;&gt;""),N785,_xlfn.SWITCH(IF(Q785&lt;&gt;"",Q785,O785)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Centers",IF(Q785&lt;&gt;"",Q785,O785)))</f>
        <v>Repräsentant/in</v>
      </c>
      <c r="S785" s="7" t="str">
        <f>IF(N785&lt;&gt;R785,"x","")</f>
        <v/>
      </c>
    </row>
    <row r="786" spans="1:19" hidden="1" x14ac:dyDescent="0.25">
      <c r="A786" s="7" t="s">
        <v>2902</v>
      </c>
      <c r="B786" s="7" t="s">
        <v>20</v>
      </c>
      <c r="C786" s="7" t="s">
        <v>2872</v>
      </c>
      <c r="D786" s="7" t="s">
        <v>2873</v>
      </c>
      <c r="E786" s="7" t="s">
        <v>20</v>
      </c>
      <c r="F786" s="7" t="s">
        <v>20</v>
      </c>
      <c r="G786" s="7" t="s">
        <v>1864</v>
      </c>
      <c r="H786" s="7" t="s">
        <v>20</v>
      </c>
      <c r="I786" s="8" t="s">
        <v>2903</v>
      </c>
      <c r="J786" s="7" t="s">
        <v>2904</v>
      </c>
      <c r="K786" s="7" t="s">
        <v>2905</v>
      </c>
      <c r="L786" s="7" t="s">
        <v>40</v>
      </c>
      <c r="M786" s="7" t="s">
        <v>41</v>
      </c>
      <c r="N786" s="9" t="s">
        <v>75</v>
      </c>
      <c r="O786" s="7" t="s">
        <v>43</v>
      </c>
      <c r="P786" s="7" t="s">
        <v>20</v>
      </c>
      <c r="Q786" s="7"/>
      <c r="R786" s="7" t="str" cm="1">
        <f t="array" ref="R786">IF(AND(Q786="",P786&lt;&gt;""),N786,_xlfn.SWITCH(IF(Q786&lt;&gt;"",Q786,O786)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Centers",IF(Q786&lt;&gt;"",Q786,O786)))</f>
        <v>Repräsentant/in</v>
      </c>
      <c r="S786" s="7" t="str">
        <f>IF(N786&lt;&gt;R786,"x","")</f>
        <v>x</v>
      </c>
    </row>
    <row r="787" spans="1:19" hidden="1" x14ac:dyDescent="0.25">
      <c r="A787" s="7" t="s">
        <v>2906</v>
      </c>
      <c r="B787" s="7" t="s">
        <v>20</v>
      </c>
      <c r="C787" s="7" t="s">
        <v>2872</v>
      </c>
      <c r="D787" s="7" t="s">
        <v>2873</v>
      </c>
      <c r="E787" s="7" t="s">
        <v>20</v>
      </c>
      <c r="F787" s="7" t="s">
        <v>20</v>
      </c>
      <c r="G787" s="7" t="s">
        <v>1864</v>
      </c>
      <c r="H787" s="7" t="s">
        <v>20</v>
      </c>
      <c r="I787" s="8" t="s">
        <v>2907</v>
      </c>
      <c r="J787" s="7" t="s">
        <v>2908</v>
      </c>
      <c r="K787" s="7" t="s">
        <v>2909</v>
      </c>
      <c r="L787" s="7" t="s">
        <v>40</v>
      </c>
      <c r="M787" s="7" t="s">
        <v>41</v>
      </c>
      <c r="N787" s="9" t="s">
        <v>75</v>
      </c>
      <c r="O787" s="7" t="s">
        <v>120</v>
      </c>
      <c r="P787" s="7" t="s">
        <v>20</v>
      </c>
      <c r="Q787" s="7"/>
      <c r="R787" s="7" t="str" cm="1">
        <f t="array" ref="R787">IF(AND(Q787="",P787&lt;&gt;""),N787,_xlfn.SWITCH(IF(Q787&lt;&gt;"",Q787,O787)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Centers",IF(Q787&lt;&gt;"",Q787,O787)))</f>
        <v>Kundenberater/in</v>
      </c>
      <c r="S787" s="7" t="str">
        <f>IF(N787&lt;&gt;R787,"x","")</f>
        <v>x</v>
      </c>
    </row>
    <row r="788" spans="1:19" hidden="1" x14ac:dyDescent="0.25">
      <c r="A788" s="7" t="s">
        <v>2910</v>
      </c>
      <c r="B788" s="7" t="s">
        <v>20</v>
      </c>
      <c r="C788" s="7" t="s">
        <v>2872</v>
      </c>
      <c r="D788" s="7" t="s">
        <v>2873</v>
      </c>
      <c r="E788" s="7" t="s">
        <v>20</v>
      </c>
      <c r="F788" s="7" t="s">
        <v>20</v>
      </c>
      <c r="G788" s="7" t="s">
        <v>1864</v>
      </c>
      <c r="H788" s="7" t="s">
        <v>20</v>
      </c>
      <c r="I788" s="8" t="s">
        <v>2911</v>
      </c>
      <c r="J788" s="7" t="s">
        <v>2912</v>
      </c>
      <c r="K788" s="7" t="s">
        <v>2913</v>
      </c>
      <c r="L788" s="7" t="s">
        <v>64</v>
      </c>
      <c r="M788" s="7" t="s">
        <v>65</v>
      </c>
      <c r="N788" s="9" t="s">
        <v>59</v>
      </c>
      <c r="O788" s="7" t="s">
        <v>67</v>
      </c>
      <c r="P788" s="7" t="s">
        <v>20</v>
      </c>
      <c r="Q788" s="7"/>
      <c r="R788" s="7" t="str" cm="1">
        <f t="array" ref="R788">IF(AND(Q788="",P788&lt;&gt;""),N788,_xlfn.SWITCH(IF(Q788&lt;&gt;"",Q788,O788)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Centers",IF(Q788&lt;&gt;"",Q788,O788)))</f>
        <v>Leiter/in des Service Centers</v>
      </c>
      <c r="S788" s="7" t="str">
        <f>IF(N788&lt;&gt;R788,"x","")</f>
        <v/>
      </c>
    </row>
    <row r="789" spans="1:19" x14ac:dyDescent="0.25">
      <c r="A789" s="7" t="s">
        <v>2914</v>
      </c>
      <c r="B789" s="7" t="s">
        <v>20</v>
      </c>
      <c r="C789" s="7" t="s">
        <v>2872</v>
      </c>
      <c r="D789" s="7" t="s">
        <v>2873</v>
      </c>
      <c r="E789" s="7" t="s">
        <v>20</v>
      </c>
      <c r="F789" s="7" t="s">
        <v>20</v>
      </c>
      <c r="G789" s="7" t="s">
        <v>1864</v>
      </c>
      <c r="H789" s="7" t="s">
        <v>20</v>
      </c>
      <c r="I789" s="8" t="s">
        <v>2915</v>
      </c>
      <c r="J789" s="7" t="s">
        <v>2916</v>
      </c>
      <c r="K789" s="7" t="s">
        <v>63</v>
      </c>
      <c r="L789" s="7" t="s">
        <v>97</v>
      </c>
      <c r="M789" s="7" t="s">
        <v>98</v>
      </c>
      <c r="N789" s="9" t="s">
        <v>93</v>
      </c>
      <c r="O789" s="7" t="s">
        <v>99</v>
      </c>
      <c r="P789" s="7" t="s">
        <v>49</v>
      </c>
      <c r="Q789" s="7"/>
      <c r="R789" s="7" t="str" cm="1">
        <f t="array" ref="R789">IF(AND(Q789="",P789&lt;&gt;""),N789,_xlfn.SWITCH(IF(Q789&lt;&gt;"",Q789,O789)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Centers",IF(Q789&lt;&gt;"",Q789,O789)))</f>
        <v>Leiter/in einer Hauptgeschäftsstelle</v>
      </c>
      <c r="S789" s="7" t="str">
        <f>IF(N789&lt;&gt;R789,"x","")</f>
        <v/>
      </c>
    </row>
    <row r="790" spans="1:19" hidden="1" x14ac:dyDescent="0.25">
      <c r="A790" s="7" t="s">
        <v>2917</v>
      </c>
      <c r="B790" s="7" t="s">
        <v>20</v>
      </c>
      <c r="C790" s="7" t="s">
        <v>2872</v>
      </c>
      <c r="D790" s="7" t="s">
        <v>2873</v>
      </c>
      <c r="E790" s="7" t="s">
        <v>20</v>
      </c>
      <c r="F790" s="7" t="s">
        <v>20</v>
      </c>
      <c r="G790" s="7" t="s">
        <v>1864</v>
      </c>
      <c r="H790" s="7" t="s">
        <v>20</v>
      </c>
      <c r="I790" s="8" t="s">
        <v>2918</v>
      </c>
      <c r="J790" s="7" t="s">
        <v>2919</v>
      </c>
      <c r="K790" s="7" t="s">
        <v>2920</v>
      </c>
      <c r="L790" s="7" t="s">
        <v>27</v>
      </c>
      <c r="M790" s="7" t="s">
        <v>28</v>
      </c>
      <c r="N790" s="9" t="s">
        <v>111</v>
      </c>
      <c r="O790" s="7" t="s">
        <v>30</v>
      </c>
      <c r="P790" s="7" t="s">
        <v>20</v>
      </c>
      <c r="Q790" s="7"/>
      <c r="R790" s="7" t="str" cm="1">
        <f t="array" ref="R790">IF(AND(Q790="",P790&lt;&gt;""),N790,_xlfn.SWITCH(IF(Q790&lt;&gt;"",Q790,O790)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Centers",IF(Q790&lt;&gt;"",Q790,O790)))</f>
        <v>Agenturleiter/in</v>
      </c>
      <c r="S790" s="7" t="str">
        <f>IF(N790&lt;&gt;R790,"x","")</f>
        <v>x</v>
      </c>
    </row>
    <row r="791" spans="1:19" hidden="1" x14ac:dyDescent="0.25">
      <c r="A791" s="7" t="s">
        <v>2921</v>
      </c>
      <c r="B791" s="7" t="s">
        <v>20</v>
      </c>
      <c r="C791" s="7" t="s">
        <v>2872</v>
      </c>
      <c r="D791" s="7" t="s">
        <v>2873</v>
      </c>
      <c r="E791" s="7" t="s">
        <v>20</v>
      </c>
      <c r="F791" s="7" t="s">
        <v>20</v>
      </c>
      <c r="G791" s="7" t="s">
        <v>1864</v>
      </c>
      <c r="H791" s="7" t="s">
        <v>20</v>
      </c>
      <c r="I791" s="8" t="s">
        <v>51</v>
      </c>
      <c r="J791" s="7" t="s">
        <v>1394</v>
      </c>
      <c r="K791" s="7" t="s">
        <v>2922</v>
      </c>
      <c r="L791" s="7" t="s">
        <v>40</v>
      </c>
      <c r="M791" s="7" t="s">
        <v>41</v>
      </c>
      <c r="N791" s="9" t="s">
        <v>75</v>
      </c>
      <c r="O791" s="7" t="s">
        <v>120</v>
      </c>
      <c r="P791" s="7" t="s">
        <v>20</v>
      </c>
      <c r="Q791" s="7"/>
      <c r="R791" s="7" t="str" cm="1">
        <f t="array" ref="R791">IF(AND(Q791="",P791&lt;&gt;""),N791,_xlfn.SWITCH(IF(Q791&lt;&gt;"",Q791,O791)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Centers",IF(Q791&lt;&gt;"",Q791,O791)))</f>
        <v>Kundenberater/in</v>
      </c>
      <c r="S791" s="7" t="str">
        <f>IF(N791&lt;&gt;R791,"x","")</f>
        <v>x</v>
      </c>
    </row>
    <row r="792" spans="1:19" hidden="1" x14ac:dyDescent="0.25">
      <c r="A792" s="7" t="s">
        <v>2923</v>
      </c>
      <c r="B792" s="7" t="s">
        <v>2924</v>
      </c>
      <c r="C792" s="7" t="s">
        <v>2872</v>
      </c>
      <c r="D792" s="7" t="s">
        <v>2873</v>
      </c>
      <c r="E792" s="7" t="s">
        <v>1992</v>
      </c>
      <c r="F792" s="7" t="s">
        <v>1993</v>
      </c>
      <c r="G792" s="7" t="s">
        <v>1994</v>
      </c>
      <c r="H792" s="7" t="s">
        <v>1994</v>
      </c>
      <c r="I792" s="8" t="s">
        <v>975</v>
      </c>
      <c r="J792" s="7" t="s">
        <v>2925</v>
      </c>
      <c r="K792" s="7" t="s">
        <v>63</v>
      </c>
      <c r="L792" s="7" t="s">
        <v>40</v>
      </c>
      <c r="M792" s="7" t="s">
        <v>41</v>
      </c>
      <c r="N792" s="9" t="s">
        <v>35</v>
      </c>
      <c r="O792" s="7" t="s">
        <v>48</v>
      </c>
      <c r="P792" s="7" t="s">
        <v>49</v>
      </c>
      <c r="Q792" s="7"/>
      <c r="R792" s="7" t="str" cm="1">
        <f t="array" ref="R792">IF(AND(Q792="",P792&lt;&gt;""),N792,_xlfn.SWITCH(IF(Q792&lt;&gt;"",Q792,O792)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Centers",IF(Q792&lt;&gt;"",Q792,O792)))</f>
        <v>Leiter/in einer Geschäftsstelle</v>
      </c>
      <c r="S792" s="7" t="str">
        <f>IF(N792&lt;&gt;R792,"x","")</f>
        <v/>
      </c>
    </row>
    <row r="793" spans="1:19" hidden="1" x14ac:dyDescent="0.25">
      <c r="A793" s="7" t="s">
        <v>2926</v>
      </c>
      <c r="B793" s="7" t="s">
        <v>2927</v>
      </c>
      <c r="C793" s="7" t="s">
        <v>2872</v>
      </c>
      <c r="D793" s="7" t="s">
        <v>2873</v>
      </c>
      <c r="E793" s="7" t="s">
        <v>1992</v>
      </c>
      <c r="F793" s="7" t="s">
        <v>1993</v>
      </c>
      <c r="G793" s="7" t="s">
        <v>1994</v>
      </c>
      <c r="H793" s="7" t="s">
        <v>1994</v>
      </c>
      <c r="I793" s="8" t="s">
        <v>496</v>
      </c>
      <c r="J793" s="7" t="s">
        <v>2928</v>
      </c>
      <c r="K793" s="7" t="s">
        <v>2929</v>
      </c>
      <c r="L793" s="7" t="s">
        <v>97</v>
      </c>
      <c r="M793" s="7" t="s">
        <v>98</v>
      </c>
      <c r="N793" s="9" t="s">
        <v>111</v>
      </c>
      <c r="O793" s="7" t="s">
        <v>99</v>
      </c>
      <c r="P793" s="7" t="s">
        <v>20</v>
      </c>
      <c r="Q793" s="7"/>
      <c r="R793" s="7" t="str" cm="1">
        <f t="array" ref="R793">IF(AND(Q793="",P793&lt;&gt;""),N793,_xlfn.SWITCH(IF(Q793&lt;&gt;"",Q793,O793)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Centers",IF(Q793&lt;&gt;"",Q793,O793)))</f>
        <v>Hauptagent/in</v>
      </c>
      <c r="S793" s="7" t="str">
        <f>IF(N793&lt;&gt;R793,"x","")</f>
        <v/>
      </c>
    </row>
    <row r="794" spans="1:19" hidden="1" x14ac:dyDescent="0.25">
      <c r="A794" s="7" t="s">
        <v>2930</v>
      </c>
      <c r="B794" s="7" t="s">
        <v>20</v>
      </c>
      <c r="C794" s="7" t="s">
        <v>1847</v>
      </c>
      <c r="D794" s="7" t="s">
        <v>1848</v>
      </c>
      <c r="E794" s="7" t="s">
        <v>20</v>
      </c>
      <c r="F794" s="7" t="s">
        <v>20</v>
      </c>
      <c r="G794" s="7" t="s">
        <v>1849</v>
      </c>
      <c r="H794" s="7" t="s">
        <v>20</v>
      </c>
      <c r="I794" s="8" t="s">
        <v>2931</v>
      </c>
      <c r="J794" s="7" t="s">
        <v>2932</v>
      </c>
      <c r="K794" s="7" t="s">
        <v>2933</v>
      </c>
      <c r="L794" s="7" t="s">
        <v>40</v>
      </c>
      <c r="M794" s="7" t="s">
        <v>41</v>
      </c>
      <c r="N794" s="9" t="s">
        <v>75</v>
      </c>
      <c r="O794" s="7" t="s">
        <v>120</v>
      </c>
      <c r="P794" s="7" t="s">
        <v>20</v>
      </c>
      <c r="Q794" s="7"/>
      <c r="R794" s="7" t="str" cm="1">
        <f t="array" ref="R794">IF(AND(Q794="",P794&lt;&gt;""),N794,_xlfn.SWITCH(IF(Q794&lt;&gt;"",Q794,O794)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Centers",IF(Q794&lt;&gt;"",Q794,O794)))</f>
        <v>Kundenberater/in</v>
      </c>
      <c r="S794" s="7" t="str">
        <f>IF(N794&lt;&gt;R794,"x","")</f>
        <v>x</v>
      </c>
    </row>
    <row r="795" spans="1:19" hidden="1" x14ac:dyDescent="0.25">
      <c r="A795" s="7" t="s">
        <v>2934</v>
      </c>
      <c r="B795" s="7" t="s">
        <v>20</v>
      </c>
      <c r="C795" s="7" t="s">
        <v>1847</v>
      </c>
      <c r="D795" s="7" t="s">
        <v>1848</v>
      </c>
      <c r="E795" s="7" t="s">
        <v>20</v>
      </c>
      <c r="F795" s="7" t="s">
        <v>20</v>
      </c>
      <c r="G795" s="7" t="s">
        <v>1849</v>
      </c>
      <c r="H795" s="7" t="s">
        <v>20</v>
      </c>
      <c r="I795" s="8" t="s">
        <v>2385</v>
      </c>
      <c r="J795" s="7" t="s">
        <v>2935</v>
      </c>
      <c r="K795" s="7" t="s">
        <v>2936</v>
      </c>
      <c r="L795" s="7" t="s">
        <v>40</v>
      </c>
      <c r="M795" s="7" t="s">
        <v>41</v>
      </c>
      <c r="N795" s="9" t="s">
        <v>75</v>
      </c>
      <c r="O795" s="7" t="s">
        <v>88</v>
      </c>
      <c r="P795" s="7" t="s">
        <v>20</v>
      </c>
      <c r="Q795" s="7"/>
      <c r="R795" s="7" t="str" cm="1">
        <f t="array" ref="R795">IF(AND(Q795="",P795&lt;&gt;""),N795,_xlfn.SWITCH(IF(Q795&lt;&gt;"",Q795,O795)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Centers",IF(Q795&lt;&gt;"",Q795,O795)))</f>
        <v>Kundenberater/in</v>
      </c>
      <c r="S795" s="7" t="str">
        <f>IF(N795&lt;&gt;R795,"x","")</f>
        <v>x</v>
      </c>
    </row>
    <row r="796" spans="1:19" hidden="1" x14ac:dyDescent="0.25">
      <c r="A796" s="7" t="s">
        <v>2937</v>
      </c>
      <c r="B796" s="7" t="s">
        <v>20</v>
      </c>
      <c r="C796" s="7" t="s">
        <v>1847</v>
      </c>
      <c r="D796" s="7" t="s">
        <v>1848</v>
      </c>
      <c r="E796" s="7" t="s">
        <v>20</v>
      </c>
      <c r="F796" s="7" t="s">
        <v>20</v>
      </c>
      <c r="G796" s="7" t="s">
        <v>1849</v>
      </c>
      <c r="H796" s="7" t="s">
        <v>20</v>
      </c>
      <c r="I796" s="8" t="s">
        <v>122</v>
      </c>
      <c r="J796" s="7" t="s">
        <v>2938</v>
      </c>
      <c r="K796" s="7" t="s">
        <v>2939</v>
      </c>
      <c r="L796" s="7" t="s">
        <v>40</v>
      </c>
      <c r="M796" s="7" t="s">
        <v>41</v>
      </c>
      <c r="N796" s="9" t="s">
        <v>75</v>
      </c>
      <c r="O796" s="7" t="s">
        <v>88</v>
      </c>
      <c r="P796" s="7" t="s">
        <v>20</v>
      </c>
      <c r="Q796" s="7"/>
      <c r="R796" s="7" t="str" cm="1">
        <f t="array" ref="R796">IF(AND(Q796="",P796&lt;&gt;""),N796,_xlfn.SWITCH(IF(Q796&lt;&gt;"",Q796,O796)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Centers",IF(Q796&lt;&gt;"",Q796,O796)))</f>
        <v>Kundenberater/in</v>
      </c>
      <c r="S796" s="7" t="str">
        <f>IF(N796&lt;&gt;R796,"x","")</f>
        <v>x</v>
      </c>
    </row>
    <row r="797" spans="1:19" hidden="1" x14ac:dyDescent="0.25">
      <c r="A797" s="7" t="s">
        <v>2940</v>
      </c>
      <c r="B797" s="7" t="s">
        <v>20</v>
      </c>
      <c r="C797" s="7" t="s">
        <v>1847</v>
      </c>
      <c r="D797" s="7" t="s">
        <v>1848</v>
      </c>
      <c r="E797" s="7" t="s">
        <v>20</v>
      </c>
      <c r="F797" s="7" t="s">
        <v>20</v>
      </c>
      <c r="G797" s="7" t="s">
        <v>1849</v>
      </c>
      <c r="H797" s="7" t="s">
        <v>20</v>
      </c>
      <c r="I797" s="8" t="s">
        <v>410</v>
      </c>
      <c r="J797" s="7" t="s">
        <v>2941</v>
      </c>
      <c r="K797" s="7" t="s">
        <v>2942</v>
      </c>
      <c r="L797" s="7" t="s">
        <v>40</v>
      </c>
      <c r="M797" s="7" t="s">
        <v>41</v>
      </c>
      <c r="N797" s="9" t="s">
        <v>75</v>
      </c>
      <c r="O797" s="7" t="s">
        <v>120</v>
      </c>
      <c r="P797" s="7" t="s">
        <v>20</v>
      </c>
      <c r="Q797" s="7"/>
      <c r="R797" s="7" t="str" cm="1">
        <f t="array" ref="R797">IF(AND(Q797="",P797&lt;&gt;""),N797,_xlfn.SWITCH(IF(Q797&lt;&gt;"",Q797,O797)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Centers",IF(Q797&lt;&gt;"",Q797,O797)))</f>
        <v>Kundenberater/in</v>
      </c>
      <c r="S797" s="7" t="str">
        <f>IF(N797&lt;&gt;R797,"x","")</f>
        <v>x</v>
      </c>
    </row>
    <row r="798" spans="1:19" hidden="1" x14ac:dyDescent="0.25">
      <c r="A798" s="7" t="s">
        <v>2943</v>
      </c>
      <c r="B798" s="7" t="s">
        <v>20</v>
      </c>
      <c r="C798" s="7" t="s">
        <v>1847</v>
      </c>
      <c r="D798" s="7" t="s">
        <v>1848</v>
      </c>
      <c r="E798" s="7" t="s">
        <v>20</v>
      </c>
      <c r="F798" s="7" t="s">
        <v>20</v>
      </c>
      <c r="G798" s="7" t="s">
        <v>1849</v>
      </c>
      <c r="H798" s="7" t="s">
        <v>20</v>
      </c>
      <c r="I798" s="8" t="s">
        <v>526</v>
      </c>
      <c r="J798" s="7" t="s">
        <v>2944</v>
      </c>
      <c r="K798" s="7" t="s">
        <v>2945</v>
      </c>
      <c r="L798" s="7" t="s">
        <v>64</v>
      </c>
      <c r="M798" s="7" t="s">
        <v>65</v>
      </c>
      <c r="N798" s="9" t="s">
        <v>149</v>
      </c>
      <c r="O798" s="7" t="s">
        <v>67</v>
      </c>
      <c r="P798" s="7" t="s">
        <v>20</v>
      </c>
      <c r="Q798" s="7"/>
      <c r="R798" s="7" t="str" cm="1">
        <f t="array" ref="R798">IF(AND(Q798="",P798&lt;&gt;""),N798,_xlfn.SWITCH(IF(Q798&lt;&gt;"",Q798,O798)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Centers",IF(Q798&lt;&gt;"",Q798,O798)))</f>
        <v>Leiter/in des Service Centers</v>
      </c>
      <c r="S798" s="7" t="str">
        <f>IF(N798&lt;&gt;R798,"x","")</f>
        <v>x</v>
      </c>
    </row>
    <row r="799" spans="1:19" hidden="1" x14ac:dyDescent="0.25">
      <c r="A799" s="7" t="s">
        <v>2946</v>
      </c>
      <c r="B799" s="7" t="s">
        <v>20</v>
      </c>
      <c r="C799" s="7" t="s">
        <v>1847</v>
      </c>
      <c r="D799" s="7" t="s">
        <v>1848</v>
      </c>
      <c r="E799" s="7" t="s">
        <v>20</v>
      </c>
      <c r="F799" s="7" t="s">
        <v>20</v>
      </c>
      <c r="G799" s="7" t="s">
        <v>1849</v>
      </c>
      <c r="H799" s="7" t="s">
        <v>20</v>
      </c>
      <c r="I799" s="8" t="s">
        <v>2346</v>
      </c>
      <c r="J799" s="7" t="s">
        <v>2947</v>
      </c>
      <c r="K799" s="7" t="s">
        <v>2948</v>
      </c>
      <c r="L799" s="7" t="s">
        <v>228</v>
      </c>
      <c r="M799" s="7" t="s">
        <v>229</v>
      </c>
      <c r="N799" s="9" t="s">
        <v>149</v>
      </c>
      <c r="O799" s="7" t="s">
        <v>30</v>
      </c>
      <c r="P799" s="7" t="s">
        <v>20</v>
      </c>
      <c r="Q799" s="7"/>
      <c r="R799" s="7" t="str" cm="1">
        <f t="array" ref="R799">IF(AND(Q799="",P799&lt;&gt;""),N799,_xlfn.SWITCH(IF(Q799&lt;&gt;"",Q799,O799)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Centers",IF(Q799&lt;&gt;"",Q799,O799)))</f>
        <v>Agenturleiter/in</v>
      </c>
      <c r="S799" s="7" t="str">
        <f>IF(N799&lt;&gt;R799,"x","")</f>
        <v>x</v>
      </c>
    </row>
    <row r="800" spans="1:19" hidden="1" x14ac:dyDescent="0.25">
      <c r="A800" s="7" t="s">
        <v>2949</v>
      </c>
      <c r="B800" s="7" t="s">
        <v>20</v>
      </c>
      <c r="C800" s="7" t="s">
        <v>1847</v>
      </c>
      <c r="D800" s="7" t="s">
        <v>1848</v>
      </c>
      <c r="E800" s="7" t="s">
        <v>20</v>
      </c>
      <c r="F800" s="7" t="s">
        <v>20</v>
      </c>
      <c r="G800" s="7" t="s">
        <v>1849</v>
      </c>
      <c r="H800" s="7" t="s">
        <v>20</v>
      </c>
      <c r="I800" s="8" t="s">
        <v>797</v>
      </c>
      <c r="J800" s="7" t="s">
        <v>2950</v>
      </c>
      <c r="K800" s="7" t="s">
        <v>2951</v>
      </c>
      <c r="L800" s="7" t="s">
        <v>124</v>
      </c>
      <c r="M800" s="7" t="s">
        <v>125</v>
      </c>
      <c r="N800" s="9" t="s">
        <v>75</v>
      </c>
      <c r="O800" s="7" t="s">
        <v>67</v>
      </c>
      <c r="P800" s="7" t="s">
        <v>20</v>
      </c>
      <c r="Q800" s="7"/>
      <c r="R800" s="7" t="str" cm="1">
        <f t="array" ref="R800">IF(AND(Q800="",P800&lt;&gt;""),N800,_xlfn.SWITCH(IF(Q800&lt;&gt;"",Q800,O800)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Centers",IF(Q800&lt;&gt;"",Q800,O800)))</f>
        <v>Leiter/in des Service Centers</v>
      </c>
      <c r="S800" s="7" t="str">
        <f>IF(N800&lt;&gt;R800,"x","")</f>
        <v>x</v>
      </c>
    </row>
    <row r="801" spans="1:19" hidden="1" x14ac:dyDescent="0.25">
      <c r="A801" s="7" t="s">
        <v>2952</v>
      </c>
      <c r="B801" s="7" t="s">
        <v>20</v>
      </c>
      <c r="C801" s="7" t="s">
        <v>1847</v>
      </c>
      <c r="D801" s="7" t="s">
        <v>1848</v>
      </c>
      <c r="E801" s="7" t="s">
        <v>20</v>
      </c>
      <c r="F801" s="7" t="s">
        <v>20</v>
      </c>
      <c r="G801" s="7" t="s">
        <v>1849</v>
      </c>
      <c r="H801" s="7" t="s">
        <v>20</v>
      </c>
      <c r="I801" s="8" t="s">
        <v>2953</v>
      </c>
      <c r="J801" s="7" t="s">
        <v>2954</v>
      </c>
      <c r="K801" s="7" t="s">
        <v>2955</v>
      </c>
      <c r="L801" s="7" t="s">
        <v>40</v>
      </c>
      <c r="M801" s="7" t="s">
        <v>41</v>
      </c>
      <c r="N801" s="9" t="s">
        <v>75</v>
      </c>
      <c r="O801" s="7" t="s">
        <v>43</v>
      </c>
      <c r="P801" s="7" t="s">
        <v>20</v>
      </c>
      <c r="Q801" s="7"/>
      <c r="R801" s="7" t="str" cm="1">
        <f t="array" ref="R801">IF(AND(Q801="",P801&lt;&gt;""),N801,_xlfn.SWITCH(IF(Q801&lt;&gt;"",Q801,O801)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Centers",IF(Q801&lt;&gt;"",Q801,O801)))</f>
        <v>Repräsentant/in</v>
      </c>
      <c r="S801" s="7" t="str">
        <f>IF(N801&lt;&gt;R801,"x","")</f>
        <v>x</v>
      </c>
    </row>
    <row r="802" spans="1:19" hidden="1" x14ac:dyDescent="0.25">
      <c r="A802" s="7" t="s">
        <v>2956</v>
      </c>
      <c r="B802" s="7" t="s">
        <v>20</v>
      </c>
      <c r="C802" s="7" t="s">
        <v>1847</v>
      </c>
      <c r="D802" s="7" t="s">
        <v>1848</v>
      </c>
      <c r="E802" s="7" t="s">
        <v>20</v>
      </c>
      <c r="F802" s="7" t="s">
        <v>20</v>
      </c>
      <c r="G802" s="7" t="s">
        <v>1849</v>
      </c>
      <c r="H802" s="7" t="s">
        <v>20</v>
      </c>
      <c r="I802" s="8" t="s">
        <v>1473</v>
      </c>
      <c r="J802" s="7" t="s">
        <v>2957</v>
      </c>
      <c r="K802" s="7" t="s">
        <v>2958</v>
      </c>
      <c r="L802" s="7" t="s">
        <v>40</v>
      </c>
      <c r="M802" s="7" t="s">
        <v>41</v>
      </c>
      <c r="N802" s="9" t="s">
        <v>75</v>
      </c>
      <c r="O802" s="7" t="s">
        <v>48</v>
      </c>
      <c r="P802" s="7" t="s">
        <v>20</v>
      </c>
      <c r="Q802" s="7"/>
      <c r="R802" s="7" t="str" cm="1">
        <f t="array" ref="R802">IF(AND(Q802="",P802&lt;&gt;""),N802,_xlfn.SWITCH(IF(Q802&lt;&gt;"",Q802,O802)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Centers",IF(Q802&lt;&gt;"",Q802,O802)))</f>
        <v>Repräsentant/in</v>
      </c>
      <c r="S802" s="7" t="str">
        <f>IF(N802&lt;&gt;R802,"x","")</f>
        <v>x</v>
      </c>
    </row>
    <row r="803" spans="1:19" hidden="1" x14ac:dyDescent="0.25">
      <c r="A803" s="7" t="s">
        <v>2959</v>
      </c>
      <c r="B803" s="7" t="s">
        <v>20</v>
      </c>
      <c r="C803" s="7" t="s">
        <v>1847</v>
      </c>
      <c r="D803" s="7" t="s">
        <v>1848</v>
      </c>
      <c r="E803" s="7" t="s">
        <v>20</v>
      </c>
      <c r="F803" s="7" t="s">
        <v>20</v>
      </c>
      <c r="G803" s="7" t="s">
        <v>1849</v>
      </c>
      <c r="H803" s="7" t="s">
        <v>20</v>
      </c>
      <c r="I803" s="8" t="s">
        <v>2960</v>
      </c>
      <c r="J803" s="7" t="s">
        <v>2960</v>
      </c>
      <c r="K803" s="7" t="s">
        <v>2961</v>
      </c>
      <c r="L803" s="7" t="s">
        <v>64</v>
      </c>
      <c r="M803" s="7" t="s">
        <v>65</v>
      </c>
      <c r="N803" s="9" t="s">
        <v>59</v>
      </c>
      <c r="O803" s="7" t="s">
        <v>59</v>
      </c>
      <c r="P803" s="7" t="s">
        <v>20</v>
      </c>
      <c r="Q803" s="7"/>
      <c r="R803" s="7" t="str" cm="1">
        <f t="array" ref="R803">IF(AND(Q803="",P803&lt;&gt;""),N803,_xlfn.SWITCH(IF(Q803&lt;&gt;"",Q803,O803)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Centers",IF(Q803&lt;&gt;"",Q803,O803)))</f>
        <v>Leiter/in des Service Centers</v>
      </c>
      <c r="S803" s="7" t="str">
        <f>IF(N803&lt;&gt;R803,"x","")</f>
        <v/>
      </c>
    </row>
    <row r="804" spans="1:19" hidden="1" x14ac:dyDescent="0.25">
      <c r="A804" s="7" t="s">
        <v>2962</v>
      </c>
      <c r="B804" s="7" t="s">
        <v>20</v>
      </c>
      <c r="C804" s="7" t="s">
        <v>1847</v>
      </c>
      <c r="D804" s="7" t="s">
        <v>1848</v>
      </c>
      <c r="E804" s="7" t="s">
        <v>20</v>
      </c>
      <c r="F804" s="7" t="s">
        <v>20</v>
      </c>
      <c r="G804" s="7" t="s">
        <v>1849</v>
      </c>
      <c r="H804" s="7" t="s">
        <v>20</v>
      </c>
      <c r="I804" s="8" t="s">
        <v>992</v>
      </c>
      <c r="J804" s="7" t="s">
        <v>2963</v>
      </c>
      <c r="K804" s="7" t="s">
        <v>63</v>
      </c>
      <c r="L804" s="7" t="s">
        <v>40</v>
      </c>
      <c r="M804" s="7" t="s">
        <v>41</v>
      </c>
      <c r="N804" s="9" t="s">
        <v>75</v>
      </c>
      <c r="O804" s="7" t="s">
        <v>48</v>
      </c>
      <c r="P804" s="7" t="s">
        <v>20</v>
      </c>
      <c r="Q804" s="7"/>
      <c r="R804" s="7" t="str" cm="1">
        <f t="array" ref="R804">IF(AND(Q804="",P804&lt;&gt;""),N804,_xlfn.SWITCH(IF(Q804&lt;&gt;"",Q804,O804)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Centers",IF(Q804&lt;&gt;"",Q804,O804)))</f>
        <v>Repräsentant/in</v>
      </c>
      <c r="S804" s="7" t="str">
        <f>IF(N804&lt;&gt;R804,"x","")</f>
        <v>x</v>
      </c>
    </row>
    <row r="805" spans="1:19" hidden="1" x14ac:dyDescent="0.25">
      <c r="A805" s="7" t="s">
        <v>2964</v>
      </c>
      <c r="B805" s="7" t="s">
        <v>20</v>
      </c>
      <c r="C805" s="7" t="s">
        <v>1847</v>
      </c>
      <c r="D805" s="7" t="s">
        <v>1848</v>
      </c>
      <c r="E805" s="7" t="s">
        <v>20</v>
      </c>
      <c r="F805" s="7" t="s">
        <v>20</v>
      </c>
      <c r="G805" s="7" t="s">
        <v>1849</v>
      </c>
      <c r="H805" s="7" t="s">
        <v>20</v>
      </c>
      <c r="I805" s="8" t="s">
        <v>2157</v>
      </c>
      <c r="J805" s="7" t="s">
        <v>2965</v>
      </c>
      <c r="K805" s="7" t="s">
        <v>2966</v>
      </c>
      <c r="L805" s="7" t="s">
        <v>40</v>
      </c>
      <c r="M805" s="7" t="s">
        <v>41</v>
      </c>
      <c r="N805" s="9" t="s">
        <v>75</v>
      </c>
      <c r="O805" s="7" t="s">
        <v>88</v>
      </c>
      <c r="P805" s="7" t="s">
        <v>20</v>
      </c>
      <c r="Q805" s="7"/>
      <c r="R805" s="7" t="str" cm="1">
        <f t="array" ref="R805">IF(AND(Q805="",P805&lt;&gt;""),N805,_xlfn.SWITCH(IF(Q805&lt;&gt;"",Q805,O805)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Centers",IF(Q805&lt;&gt;"",Q805,O805)))</f>
        <v>Kundenberater/in</v>
      </c>
      <c r="S805" s="7" t="str">
        <f>IF(N805&lt;&gt;R805,"x","")</f>
        <v>x</v>
      </c>
    </row>
    <row r="806" spans="1:19" hidden="1" x14ac:dyDescent="0.25">
      <c r="A806" s="7" t="s">
        <v>2967</v>
      </c>
      <c r="B806" s="7" t="s">
        <v>20</v>
      </c>
      <c r="C806" s="7" t="s">
        <v>1847</v>
      </c>
      <c r="D806" s="7" t="s">
        <v>1848</v>
      </c>
      <c r="E806" s="7" t="s">
        <v>20</v>
      </c>
      <c r="F806" s="7" t="s">
        <v>20</v>
      </c>
      <c r="G806" s="7" t="s">
        <v>1849</v>
      </c>
      <c r="H806" s="7" t="s">
        <v>20</v>
      </c>
      <c r="I806" s="8" t="s">
        <v>2968</v>
      </c>
      <c r="J806" s="7" t="s">
        <v>2969</v>
      </c>
      <c r="K806" s="7" t="s">
        <v>2970</v>
      </c>
      <c r="L806" s="7" t="s">
        <v>40</v>
      </c>
      <c r="M806" s="7" t="s">
        <v>41</v>
      </c>
      <c r="N806" s="9" t="s">
        <v>75</v>
      </c>
      <c r="O806" s="7" t="s">
        <v>120</v>
      </c>
      <c r="P806" s="7" t="s">
        <v>20</v>
      </c>
      <c r="Q806" s="7"/>
      <c r="R806" s="7" t="str" cm="1">
        <f t="array" ref="R806">IF(AND(Q806="",P806&lt;&gt;""),N806,_xlfn.SWITCH(IF(Q806&lt;&gt;"",Q806,O806)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Centers",IF(Q806&lt;&gt;"",Q806,O806)))</f>
        <v>Kundenberater/in</v>
      </c>
      <c r="S806" s="7" t="str">
        <f>IF(N806&lt;&gt;R806,"x","")</f>
        <v>x</v>
      </c>
    </row>
    <row r="807" spans="1:19" x14ac:dyDescent="0.25">
      <c r="A807" s="7" t="s">
        <v>2971</v>
      </c>
      <c r="B807" s="7" t="s">
        <v>20</v>
      </c>
      <c r="C807" s="7" t="s">
        <v>1847</v>
      </c>
      <c r="D807" s="7" t="s">
        <v>1848</v>
      </c>
      <c r="E807" s="7" t="s">
        <v>20</v>
      </c>
      <c r="F807" s="7" t="s">
        <v>20</v>
      </c>
      <c r="G807" s="7" t="s">
        <v>1849</v>
      </c>
      <c r="H807" s="7" t="s">
        <v>20</v>
      </c>
      <c r="I807" s="8" t="s">
        <v>1248</v>
      </c>
      <c r="J807" s="7" t="s">
        <v>2972</v>
      </c>
      <c r="K807" s="7" t="s">
        <v>2973</v>
      </c>
      <c r="L807" s="7" t="s">
        <v>64</v>
      </c>
      <c r="M807" s="7" t="s">
        <v>65</v>
      </c>
      <c r="N807" s="9" t="s">
        <v>93</v>
      </c>
      <c r="O807" s="7" t="s">
        <v>67</v>
      </c>
      <c r="P807" s="7" t="s">
        <v>20</v>
      </c>
      <c r="Q807" s="7"/>
      <c r="R807" s="7" t="str" cm="1">
        <f t="array" ref="R807">IF(AND(Q807="",P807&lt;&gt;""),N807,_xlfn.SWITCH(IF(Q807&lt;&gt;"",Q807,O807)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Centers",IF(Q807&lt;&gt;"",Q807,O807)))</f>
        <v>Leiter/in des Service Centers</v>
      </c>
      <c r="S807" s="7" t="str">
        <f>IF(N807&lt;&gt;R807,"x","")</f>
        <v>x</v>
      </c>
    </row>
    <row r="808" spans="1:19" hidden="1" x14ac:dyDescent="0.25">
      <c r="A808" s="7" t="s">
        <v>2974</v>
      </c>
      <c r="B808" s="7" t="s">
        <v>20</v>
      </c>
      <c r="C808" s="7" t="s">
        <v>1847</v>
      </c>
      <c r="D808" s="7" t="s">
        <v>1848</v>
      </c>
      <c r="E808" s="7" t="s">
        <v>20</v>
      </c>
      <c r="F808" s="7" t="s">
        <v>20</v>
      </c>
      <c r="G808" s="7" t="s">
        <v>1849</v>
      </c>
      <c r="H808" s="7" t="s">
        <v>20</v>
      </c>
      <c r="I808" s="8" t="s">
        <v>2975</v>
      </c>
      <c r="J808" s="7" t="s">
        <v>2976</v>
      </c>
      <c r="K808" s="7" t="s">
        <v>2977</v>
      </c>
      <c r="L808" s="7" t="s">
        <v>40</v>
      </c>
      <c r="M808" s="7" t="s">
        <v>41</v>
      </c>
      <c r="N808" s="9" t="s">
        <v>75</v>
      </c>
      <c r="O808" s="7" t="s">
        <v>120</v>
      </c>
      <c r="P808" s="7" t="s">
        <v>20</v>
      </c>
      <c r="Q808" s="7"/>
      <c r="R808" s="7" t="str" cm="1">
        <f t="array" ref="R808">IF(AND(Q808="",P808&lt;&gt;""),N808,_xlfn.SWITCH(IF(Q808&lt;&gt;"",Q808,O808)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Centers",IF(Q808&lt;&gt;"",Q808,O808)))</f>
        <v>Kundenberater/in</v>
      </c>
      <c r="S808" s="7" t="str">
        <f>IF(N808&lt;&gt;R808,"x","")</f>
        <v>x</v>
      </c>
    </row>
    <row r="809" spans="1:19" hidden="1" x14ac:dyDescent="0.25">
      <c r="A809" s="7" t="s">
        <v>2978</v>
      </c>
      <c r="B809" s="7" t="s">
        <v>20</v>
      </c>
      <c r="C809" s="7" t="s">
        <v>1847</v>
      </c>
      <c r="D809" s="7" t="s">
        <v>1848</v>
      </c>
      <c r="E809" s="7" t="s">
        <v>20</v>
      </c>
      <c r="F809" s="7" t="s">
        <v>20</v>
      </c>
      <c r="G809" s="7" t="s">
        <v>1849</v>
      </c>
      <c r="H809" s="7" t="s">
        <v>20</v>
      </c>
      <c r="I809" s="8" t="s">
        <v>2979</v>
      </c>
      <c r="J809" s="7" t="s">
        <v>2980</v>
      </c>
      <c r="K809" s="7" t="s">
        <v>2981</v>
      </c>
      <c r="L809" s="7" t="s">
        <v>40</v>
      </c>
      <c r="M809" s="7" t="s">
        <v>41</v>
      </c>
      <c r="N809" s="9" t="s">
        <v>75</v>
      </c>
      <c r="O809" s="7" t="s">
        <v>88</v>
      </c>
      <c r="P809" s="7" t="s">
        <v>20</v>
      </c>
      <c r="Q809" s="7"/>
      <c r="R809" s="7" t="str" cm="1">
        <f t="array" ref="R809">IF(AND(Q809="",P809&lt;&gt;""),N809,_xlfn.SWITCH(IF(Q809&lt;&gt;"",Q809,O809)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Centers",IF(Q809&lt;&gt;"",Q809,O809)))</f>
        <v>Kundenberater/in</v>
      </c>
      <c r="S809" s="7" t="str">
        <f>IF(N809&lt;&gt;R809,"x","")</f>
        <v>x</v>
      </c>
    </row>
    <row r="810" spans="1:19" hidden="1" x14ac:dyDescent="0.25">
      <c r="A810" s="7" t="s">
        <v>2982</v>
      </c>
      <c r="B810" s="7" t="s">
        <v>20</v>
      </c>
      <c r="C810" s="7" t="s">
        <v>1847</v>
      </c>
      <c r="D810" s="7" t="s">
        <v>1848</v>
      </c>
      <c r="E810" s="7" t="s">
        <v>20</v>
      </c>
      <c r="F810" s="7" t="s">
        <v>20</v>
      </c>
      <c r="G810" s="7" t="s">
        <v>1849</v>
      </c>
      <c r="H810" s="7" t="s">
        <v>20</v>
      </c>
      <c r="I810" s="8" t="s">
        <v>425</v>
      </c>
      <c r="J810" s="7" t="s">
        <v>2983</v>
      </c>
      <c r="K810" s="7" t="s">
        <v>2984</v>
      </c>
      <c r="L810" s="7" t="s">
        <v>27</v>
      </c>
      <c r="M810" s="7" t="s">
        <v>28</v>
      </c>
      <c r="N810" s="9" t="s">
        <v>66</v>
      </c>
      <c r="O810" s="7" t="s">
        <v>30</v>
      </c>
      <c r="P810" s="7" t="s">
        <v>20</v>
      </c>
      <c r="Q810" s="7"/>
      <c r="R810" s="7" t="str" cm="1">
        <f t="array" ref="R810">IF(AND(Q810="",P810&lt;&gt;""),N810,_xlfn.SWITCH(IF(Q810&lt;&gt;"",Q810,O810)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Centers",IF(Q810&lt;&gt;"",Q810,O810)))</f>
        <v>Agenturleiter/in</v>
      </c>
      <c r="S810" s="7" t="str">
        <f>IF(N810&lt;&gt;R810,"x","")</f>
        <v>x</v>
      </c>
    </row>
    <row r="811" spans="1:19" hidden="1" x14ac:dyDescent="0.25">
      <c r="A811" s="7" t="s">
        <v>2985</v>
      </c>
      <c r="B811" s="7" t="s">
        <v>20</v>
      </c>
      <c r="C811" s="7" t="s">
        <v>1847</v>
      </c>
      <c r="D811" s="7" t="s">
        <v>1848</v>
      </c>
      <c r="E811" s="7" t="s">
        <v>20</v>
      </c>
      <c r="F811" s="7" t="s">
        <v>20</v>
      </c>
      <c r="G811" s="7" t="s">
        <v>1849</v>
      </c>
      <c r="H811" s="7" t="s">
        <v>20</v>
      </c>
      <c r="I811" s="8" t="s">
        <v>324</v>
      </c>
      <c r="J811" s="7" t="s">
        <v>2986</v>
      </c>
      <c r="K811" s="7" t="s">
        <v>63</v>
      </c>
      <c r="L811" s="7" t="s">
        <v>124</v>
      </c>
      <c r="M811" s="7" t="s">
        <v>125</v>
      </c>
      <c r="N811" s="9" t="s">
        <v>75</v>
      </c>
      <c r="O811" s="7" t="s">
        <v>67</v>
      </c>
      <c r="P811" s="7" t="s">
        <v>20</v>
      </c>
      <c r="Q811" s="9" t="s">
        <v>1152</v>
      </c>
      <c r="R811" s="7" t="str" cm="1">
        <f t="array" ref="R811">IF(AND(Q811="",P811&lt;&gt;""),N811,_xlfn.SWITCH(IF(Q811&lt;&gt;"",Q811,O811)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Centers",IF(Q811&lt;&gt;"",Q811,O811)))</f>
        <v>Geschäftsstellenleiter/in</v>
      </c>
      <c r="S811" s="7" t="str">
        <f>IF(N811&lt;&gt;R811,"x","")</f>
        <v>x</v>
      </c>
    </row>
    <row r="812" spans="1:19" hidden="1" x14ac:dyDescent="0.25">
      <c r="A812" s="7" t="s">
        <v>2987</v>
      </c>
      <c r="B812" s="7" t="s">
        <v>20</v>
      </c>
      <c r="C812" s="7" t="s">
        <v>1847</v>
      </c>
      <c r="D812" s="7" t="s">
        <v>1848</v>
      </c>
      <c r="E812" s="7" t="s">
        <v>20</v>
      </c>
      <c r="F812" s="7" t="s">
        <v>20</v>
      </c>
      <c r="G812" s="7" t="s">
        <v>1849</v>
      </c>
      <c r="H812" s="7" t="s">
        <v>20</v>
      </c>
      <c r="I812" s="8" t="s">
        <v>1865</v>
      </c>
      <c r="J812" s="7" t="s">
        <v>2988</v>
      </c>
      <c r="K812" s="7" t="s">
        <v>63</v>
      </c>
      <c r="L812" s="7" t="s">
        <v>124</v>
      </c>
      <c r="M812" s="7" t="s">
        <v>125</v>
      </c>
      <c r="N812" s="9" t="s">
        <v>75</v>
      </c>
      <c r="O812" s="7" t="s">
        <v>67</v>
      </c>
      <c r="P812" s="7" t="s">
        <v>20</v>
      </c>
      <c r="Q812" s="7"/>
      <c r="R812" s="7" t="str" cm="1">
        <f t="array" ref="R812">IF(AND(Q812="",P812&lt;&gt;""),N812,_xlfn.SWITCH(IF(Q812&lt;&gt;"",Q812,O812)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Centers",IF(Q812&lt;&gt;"",Q812,O812)))</f>
        <v>Leiter/in des Service Centers</v>
      </c>
      <c r="S812" s="7" t="str">
        <f>IF(N812&lt;&gt;R812,"x","")</f>
        <v>x</v>
      </c>
    </row>
    <row r="813" spans="1:19" hidden="1" x14ac:dyDescent="0.25">
      <c r="A813" s="7" t="s">
        <v>2989</v>
      </c>
      <c r="B813" s="7" t="s">
        <v>20</v>
      </c>
      <c r="C813" s="7" t="s">
        <v>1847</v>
      </c>
      <c r="D813" s="7" t="s">
        <v>1848</v>
      </c>
      <c r="E813" s="7" t="s">
        <v>20</v>
      </c>
      <c r="F813" s="7" t="s">
        <v>20</v>
      </c>
      <c r="G813" s="7" t="s">
        <v>1849</v>
      </c>
      <c r="H813" s="7" t="s">
        <v>20</v>
      </c>
      <c r="I813" s="8" t="s">
        <v>253</v>
      </c>
      <c r="J813" s="7" t="s">
        <v>1976</v>
      </c>
      <c r="K813" s="7" t="s">
        <v>63</v>
      </c>
      <c r="L813" s="7" t="s">
        <v>124</v>
      </c>
      <c r="M813" s="7" t="s">
        <v>125</v>
      </c>
      <c r="N813" s="9" t="s">
        <v>75</v>
      </c>
      <c r="O813" s="7" t="s">
        <v>67</v>
      </c>
      <c r="P813" s="7" t="s">
        <v>20</v>
      </c>
      <c r="Q813" s="7"/>
      <c r="R813" s="7" t="str" cm="1">
        <f t="array" ref="R813">IF(AND(Q813="",P813&lt;&gt;""),N813,_xlfn.SWITCH(IF(Q813&lt;&gt;"",Q813,O813)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Centers",IF(Q813&lt;&gt;"",Q813,O813)))</f>
        <v>Leiter/in des Service Centers</v>
      </c>
      <c r="S813" s="7" t="str">
        <f>IF(N813&lt;&gt;R813,"x","")</f>
        <v>x</v>
      </c>
    </row>
    <row r="814" spans="1:19" hidden="1" x14ac:dyDescent="0.25">
      <c r="A814" s="7" t="s">
        <v>2990</v>
      </c>
      <c r="B814" s="7" t="s">
        <v>2991</v>
      </c>
      <c r="C814" s="7" t="s">
        <v>1847</v>
      </c>
      <c r="D814" s="7" t="s">
        <v>1848</v>
      </c>
      <c r="E814" s="7" t="s">
        <v>2027</v>
      </c>
      <c r="F814" s="7" t="s">
        <v>2028</v>
      </c>
      <c r="G814" s="7" t="s">
        <v>2029</v>
      </c>
      <c r="H814" s="7" t="s">
        <v>2029</v>
      </c>
      <c r="I814" s="8" t="s">
        <v>163</v>
      </c>
      <c r="J814" s="7" t="s">
        <v>2992</v>
      </c>
      <c r="K814" s="7" t="s">
        <v>2993</v>
      </c>
      <c r="L814" s="7" t="s">
        <v>27</v>
      </c>
      <c r="M814" s="7" t="s">
        <v>28</v>
      </c>
      <c r="N814" s="9" t="s">
        <v>75</v>
      </c>
      <c r="O814" s="7" t="s">
        <v>30</v>
      </c>
      <c r="P814" s="7" t="s">
        <v>20</v>
      </c>
      <c r="Q814" s="7"/>
      <c r="R814" s="7" t="str" cm="1">
        <f t="array" ref="R814">IF(AND(Q814="",P814&lt;&gt;""),N814,_xlfn.SWITCH(IF(Q814&lt;&gt;"",Q814,O814)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Centers",IF(Q814&lt;&gt;"",Q814,O814)))</f>
        <v>Agenturleiter/in</v>
      </c>
      <c r="S814" s="7" t="str">
        <f>IF(N814&lt;&gt;R814,"x","")</f>
        <v>x</v>
      </c>
    </row>
    <row r="815" spans="1:19" hidden="1" x14ac:dyDescent="0.25">
      <c r="A815" s="7" t="s">
        <v>2994</v>
      </c>
      <c r="B815" s="7" t="s">
        <v>2995</v>
      </c>
      <c r="C815" s="7" t="s">
        <v>1847</v>
      </c>
      <c r="D815" s="7" t="s">
        <v>1848</v>
      </c>
      <c r="E815" s="7" t="s">
        <v>2027</v>
      </c>
      <c r="F815" s="7" t="s">
        <v>2028</v>
      </c>
      <c r="G815" s="7" t="s">
        <v>2029</v>
      </c>
      <c r="H815" s="7" t="s">
        <v>2029</v>
      </c>
      <c r="I815" s="8" t="s">
        <v>122</v>
      </c>
      <c r="J815" s="7" t="s">
        <v>2996</v>
      </c>
      <c r="K815" s="7" t="s">
        <v>2997</v>
      </c>
      <c r="L815" s="7" t="s">
        <v>27</v>
      </c>
      <c r="M815" s="7" t="s">
        <v>28</v>
      </c>
      <c r="N815" s="9" t="s">
        <v>75</v>
      </c>
      <c r="O815" s="7" t="s">
        <v>30</v>
      </c>
      <c r="P815" s="7" t="s">
        <v>20</v>
      </c>
      <c r="Q815" s="7"/>
      <c r="R815" s="7" t="str" cm="1">
        <f t="array" ref="R815">IF(AND(Q815="",P815&lt;&gt;""),N815,_xlfn.SWITCH(IF(Q815&lt;&gt;"",Q815,O815)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Centers",IF(Q815&lt;&gt;"",Q815,O815)))</f>
        <v>Agenturleiter/in</v>
      </c>
      <c r="S815" s="7" t="str">
        <f>IF(N815&lt;&gt;R815,"x","")</f>
        <v>x</v>
      </c>
    </row>
    <row r="816" spans="1:19" hidden="1" x14ac:dyDescent="0.25">
      <c r="A816" s="7" t="s">
        <v>2998</v>
      </c>
      <c r="B816" s="7" t="s">
        <v>20</v>
      </c>
      <c r="C816" s="7" t="s">
        <v>2999</v>
      </c>
      <c r="D816" s="7" t="s">
        <v>3000</v>
      </c>
      <c r="E816" s="7" t="s">
        <v>20</v>
      </c>
      <c r="F816" s="7" t="s">
        <v>20</v>
      </c>
      <c r="G816" s="7" t="s">
        <v>2337</v>
      </c>
      <c r="H816" s="7" t="s">
        <v>20</v>
      </c>
      <c r="I816" s="8" t="s">
        <v>1566</v>
      </c>
      <c r="J816" s="7" t="s">
        <v>3001</v>
      </c>
      <c r="K816" s="7" t="s">
        <v>63</v>
      </c>
      <c r="L816" s="7" t="s">
        <v>228</v>
      </c>
      <c r="M816" s="7" t="s">
        <v>229</v>
      </c>
      <c r="N816" s="9" t="s">
        <v>59</v>
      </c>
      <c r="O816" s="7" t="s">
        <v>30</v>
      </c>
      <c r="P816" s="7" t="s">
        <v>49</v>
      </c>
      <c r="Q816" s="7"/>
      <c r="R816" s="7" t="str" cm="1">
        <f t="array" ref="R816">IF(AND(Q816="",P816&lt;&gt;""),N816,_xlfn.SWITCH(IF(Q816&lt;&gt;"",Q816,O816)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Centers",IF(Q816&lt;&gt;"",Q816,O816)))</f>
        <v>Leiter/in des Service Centers</v>
      </c>
      <c r="S816" s="7" t="str">
        <f>IF(N816&lt;&gt;R816,"x","")</f>
        <v/>
      </c>
    </row>
    <row r="817" spans="1:19" hidden="1" x14ac:dyDescent="0.25">
      <c r="A817" s="7" t="s">
        <v>3002</v>
      </c>
      <c r="B817" s="7" t="s">
        <v>20</v>
      </c>
      <c r="C817" s="7" t="s">
        <v>2999</v>
      </c>
      <c r="D817" s="7" t="s">
        <v>3000</v>
      </c>
      <c r="E817" s="7" t="s">
        <v>20</v>
      </c>
      <c r="F817" s="7" t="s">
        <v>20</v>
      </c>
      <c r="G817" s="7" t="s">
        <v>2337</v>
      </c>
      <c r="H817" s="7" t="s">
        <v>20</v>
      </c>
      <c r="I817" s="8" t="s">
        <v>3003</v>
      </c>
      <c r="J817" s="7" t="s">
        <v>3004</v>
      </c>
      <c r="K817" s="7" t="s">
        <v>63</v>
      </c>
      <c r="L817" s="7" t="s">
        <v>97</v>
      </c>
      <c r="M817" s="7" t="s">
        <v>98</v>
      </c>
      <c r="N817" s="9" t="s">
        <v>59</v>
      </c>
      <c r="O817" s="7" t="s">
        <v>251</v>
      </c>
      <c r="P817" s="7" t="s">
        <v>49</v>
      </c>
      <c r="Q817" s="7"/>
      <c r="R817" s="7" t="str" cm="1">
        <f t="array" ref="R817">IF(AND(Q817="",P817&lt;&gt;""),N817,_xlfn.SWITCH(IF(Q817&lt;&gt;"",Q817,O817)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Centers",IF(Q817&lt;&gt;"",Q817,O817)))</f>
        <v>Leiter/in des Service Centers</v>
      </c>
      <c r="S817" s="7" t="str">
        <f>IF(N817&lt;&gt;R817,"x","")</f>
        <v/>
      </c>
    </row>
    <row r="818" spans="1:19" hidden="1" x14ac:dyDescent="0.25">
      <c r="A818" s="7" t="s">
        <v>3005</v>
      </c>
      <c r="B818" s="7" t="s">
        <v>20</v>
      </c>
      <c r="C818" s="7" t="s">
        <v>2999</v>
      </c>
      <c r="D818" s="7" t="s">
        <v>3000</v>
      </c>
      <c r="E818" s="7" t="s">
        <v>20</v>
      </c>
      <c r="F818" s="7" t="s">
        <v>20</v>
      </c>
      <c r="G818" s="7" t="s">
        <v>2337</v>
      </c>
      <c r="H818" s="7" t="s">
        <v>20</v>
      </c>
      <c r="I818" s="8" t="s">
        <v>3006</v>
      </c>
      <c r="J818" s="7" t="s">
        <v>3007</v>
      </c>
      <c r="K818" s="7" t="s">
        <v>3008</v>
      </c>
      <c r="L818" s="7" t="s">
        <v>40</v>
      </c>
      <c r="M818" s="7" t="s">
        <v>41</v>
      </c>
      <c r="N818" s="9" t="s">
        <v>75</v>
      </c>
      <c r="O818" s="7" t="s">
        <v>48</v>
      </c>
      <c r="P818" s="7" t="s">
        <v>20</v>
      </c>
      <c r="Q818" s="7"/>
      <c r="R818" s="7" t="str" cm="1">
        <f t="array" ref="R818">IF(AND(Q818="",P818&lt;&gt;""),N818,_xlfn.SWITCH(IF(Q818&lt;&gt;"",Q818,O818)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Centers",IF(Q818&lt;&gt;"",Q818,O818)))</f>
        <v>Repräsentant/in</v>
      </c>
      <c r="S818" s="7" t="str">
        <f>IF(N818&lt;&gt;R818,"x","")</f>
        <v>x</v>
      </c>
    </row>
    <row r="819" spans="1:19" hidden="1" x14ac:dyDescent="0.25">
      <c r="A819" s="7" t="s">
        <v>3009</v>
      </c>
      <c r="B819" s="7" t="s">
        <v>20</v>
      </c>
      <c r="C819" s="7" t="s">
        <v>2999</v>
      </c>
      <c r="D819" s="7" t="s">
        <v>3000</v>
      </c>
      <c r="E819" s="7" t="s">
        <v>20</v>
      </c>
      <c r="F819" s="7" t="s">
        <v>20</v>
      </c>
      <c r="G819" s="7" t="s">
        <v>2337</v>
      </c>
      <c r="H819" s="7" t="s">
        <v>20</v>
      </c>
      <c r="I819" s="8" t="s">
        <v>3010</v>
      </c>
      <c r="J819" s="7" t="s">
        <v>3011</v>
      </c>
      <c r="K819" s="7" t="s">
        <v>3012</v>
      </c>
      <c r="L819" s="7" t="s">
        <v>124</v>
      </c>
      <c r="M819" s="7" t="s">
        <v>125</v>
      </c>
      <c r="N819" s="9" t="s">
        <v>35</v>
      </c>
      <c r="O819" s="7" t="s">
        <v>67</v>
      </c>
      <c r="P819" s="7" t="s">
        <v>20</v>
      </c>
      <c r="Q819" s="7"/>
      <c r="R819" s="7" t="str" cm="1">
        <f t="array" ref="R819">IF(AND(Q819="",P819&lt;&gt;""),N819,_xlfn.SWITCH(IF(Q819&lt;&gt;"",Q819,O819)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Centers",IF(Q819&lt;&gt;"",Q819,O819)))</f>
        <v>Leiter/in des Service Centers</v>
      </c>
      <c r="S819" s="7" t="str">
        <f>IF(N819&lt;&gt;R819,"x","")</f>
        <v>x</v>
      </c>
    </row>
    <row r="820" spans="1:19" hidden="1" x14ac:dyDescent="0.25">
      <c r="A820" s="7" t="s">
        <v>3013</v>
      </c>
      <c r="B820" s="7" t="s">
        <v>20</v>
      </c>
      <c r="C820" s="7" t="s">
        <v>2999</v>
      </c>
      <c r="D820" s="7" t="s">
        <v>3000</v>
      </c>
      <c r="E820" s="7" t="s">
        <v>20</v>
      </c>
      <c r="F820" s="7" t="s">
        <v>20</v>
      </c>
      <c r="G820" s="7" t="s">
        <v>2337</v>
      </c>
      <c r="H820" s="7" t="s">
        <v>20</v>
      </c>
      <c r="I820" s="8" t="s">
        <v>320</v>
      </c>
      <c r="J820" s="7" t="s">
        <v>3014</v>
      </c>
      <c r="K820" s="7" t="s">
        <v>3015</v>
      </c>
      <c r="L820" s="7" t="s">
        <v>64</v>
      </c>
      <c r="M820" s="7" t="s">
        <v>65</v>
      </c>
      <c r="N820" s="9" t="s">
        <v>126</v>
      </c>
      <c r="O820" s="7" t="s">
        <v>67</v>
      </c>
      <c r="P820" s="7" t="s">
        <v>20</v>
      </c>
      <c r="Q820" s="7"/>
      <c r="R820" s="7" t="str" cm="1">
        <f t="array" ref="R820">IF(AND(Q820="",P820&lt;&gt;""),N820,_xlfn.SWITCH(IF(Q820&lt;&gt;"",Q820,O820)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Centers",IF(Q820&lt;&gt;"",Q820,O820)))</f>
        <v>Leiter/in des Service Centers</v>
      </c>
      <c r="S820" s="7" t="str">
        <f>IF(N820&lt;&gt;R820,"x","")</f>
        <v>x</v>
      </c>
    </row>
    <row r="821" spans="1:19" hidden="1" x14ac:dyDescent="0.25">
      <c r="A821" s="7" t="s">
        <v>3016</v>
      </c>
      <c r="B821" s="7" t="s">
        <v>20</v>
      </c>
      <c r="C821" s="7" t="s">
        <v>2999</v>
      </c>
      <c r="D821" s="7" t="s">
        <v>3000</v>
      </c>
      <c r="E821" s="7" t="s">
        <v>20</v>
      </c>
      <c r="F821" s="7" t="s">
        <v>20</v>
      </c>
      <c r="G821" s="7" t="s">
        <v>2337</v>
      </c>
      <c r="H821" s="7" t="s">
        <v>20</v>
      </c>
      <c r="I821" s="8" t="s">
        <v>3017</v>
      </c>
      <c r="J821" s="7" t="s">
        <v>3018</v>
      </c>
      <c r="K821" s="7" t="s">
        <v>3019</v>
      </c>
      <c r="L821" s="7" t="s">
        <v>27</v>
      </c>
      <c r="M821" s="7" t="s">
        <v>28</v>
      </c>
      <c r="N821" s="9" t="s">
        <v>29</v>
      </c>
      <c r="O821" s="7" t="s">
        <v>54</v>
      </c>
      <c r="P821" s="7" t="s">
        <v>20</v>
      </c>
      <c r="Q821" s="9" t="s">
        <v>29</v>
      </c>
      <c r="R821" s="7" t="str" cm="1">
        <f t="array" ref="R821">IF(AND(Q821="",P821&lt;&gt;""),N821,_xlfn.SWITCH(IF(Q821&lt;&gt;"",Q821,O821)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Centers",IF(Q821&lt;&gt;"",Q821,O821)))</f>
        <v>Generalagent/in</v>
      </c>
      <c r="S821" s="7" t="str">
        <f>IF(N821&lt;&gt;R821,"x","")</f>
        <v/>
      </c>
    </row>
    <row r="822" spans="1:19" hidden="1" x14ac:dyDescent="0.25">
      <c r="A822" s="7" t="s">
        <v>3020</v>
      </c>
      <c r="B822" s="7" t="s">
        <v>20</v>
      </c>
      <c r="C822" s="7" t="s">
        <v>2999</v>
      </c>
      <c r="D822" s="7" t="s">
        <v>3000</v>
      </c>
      <c r="E822" s="7" t="s">
        <v>20</v>
      </c>
      <c r="F822" s="7" t="s">
        <v>20</v>
      </c>
      <c r="G822" s="7" t="s">
        <v>2337</v>
      </c>
      <c r="H822" s="7" t="s">
        <v>20</v>
      </c>
      <c r="I822" s="8" t="s">
        <v>2415</v>
      </c>
      <c r="J822" s="7" t="s">
        <v>3021</v>
      </c>
      <c r="K822" s="7" t="s">
        <v>63</v>
      </c>
      <c r="L822" s="7" t="s">
        <v>228</v>
      </c>
      <c r="M822" s="7" t="s">
        <v>229</v>
      </c>
      <c r="N822" s="9" t="s">
        <v>59</v>
      </c>
      <c r="O822" s="7" t="s">
        <v>30</v>
      </c>
      <c r="P822" s="7" t="s">
        <v>49</v>
      </c>
      <c r="Q822" s="7"/>
      <c r="R822" s="7" t="str" cm="1">
        <f t="array" ref="R822">IF(AND(Q822="",P822&lt;&gt;""),N822,_xlfn.SWITCH(IF(Q822&lt;&gt;"",Q822,O822)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Centers",IF(Q822&lt;&gt;"",Q822,O822)))</f>
        <v>Leiter/in des Service Centers</v>
      </c>
      <c r="S822" s="7" t="str">
        <f>IF(N822&lt;&gt;R822,"x","")</f>
        <v/>
      </c>
    </row>
    <row r="823" spans="1:19" hidden="1" x14ac:dyDescent="0.25">
      <c r="A823" s="7" t="s">
        <v>3022</v>
      </c>
      <c r="B823" s="7" t="s">
        <v>20</v>
      </c>
      <c r="C823" s="7" t="s">
        <v>2999</v>
      </c>
      <c r="D823" s="7" t="s">
        <v>3000</v>
      </c>
      <c r="E823" s="7" t="s">
        <v>20</v>
      </c>
      <c r="F823" s="7" t="s">
        <v>20</v>
      </c>
      <c r="G823" s="7" t="s">
        <v>2337</v>
      </c>
      <c r="H823" s="7" t="s">
        <v>20</v>
      </c>
      <c r="I823" s="8" t="s">
        <v>122</v>
      </c>
      <c r="J823" s="7" t="s">
        <v>3023</v>
      </c>
      <c r="K823" s="7" t="s">
        <v>3024</v>
      </c>
      <c r="L823" s="7" t="s">
        <v>64</v>
      </c>
      <c r="M823" s="7" t="s">
        <v>65</v>
      </c>
      <c r="N823" s="9" t="s">
        <v>149</v>
      </c>
      <c r="O823" s="7" t="s">
        <v>67</v>
      </c>
      <c r="P823" s="7" t="s">
        <v>20</v>
      </c>
      <c r="Q823" s="7"/>
      <c r="R823" s="7" t="str" cm="1">
        <f t="array" ref="R823">IF(AND(Q823="",P823&lt;&gt;""),N823,_xlfn.SWITCH(IF(Q823&lt;&gt;"",Q823,O823)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Centers",IF(Q823&lt;&gt;"",Q823,O823)))</f>
        <v>Leiter/in des Service Centers</v>
      </c>
      <c r="S823" s="7" t="str">
        <f>IF(N823&lt;&gt;R823,"x","")</f>
        <v>x</v>
      </c>
    </row>
    <row r="824" spans="1:19" hidden="1" x14ac:dyDescent="0.25">
      <c r="A824" s="7" t="s">
        <v>3025</v>
      </c>
      <c r="B824" s="7" t="s">
        <v>20</v>
      </c>
      <c r="C824" s="7" t="s">
        <v>2999</v>
      </c>
      <c r="D824" s="7" t="s">
        <v>3000</v>
      </c>
      <c r="E824" s="7" t="s">
        <v>20</v>
      </c>
      <c r="F824" s="7" t="s">
        <v>20</v>
      </c>
      <c r="G824" s="7" t="s">
        <v>2337</v>
      </c>
      <c r="H824" s="7" t="s">
        <v>20</v>
      </c>
      <c r="I824" s="8" t="s">
        <v>1131</v>
      </c>
      <c r="J824" s="7" t="s">
        <v>3026</v>
      </c>
      <c r="K824" s="7" t="s">
        <v>3027</v>
      </c>
      <c r="L824" s="7" t="s">
        <v>124</v>
      </c>
      <c r="M824" s="7" t="s">
        <v>125</v>
      </c>
      <c r="N824" s="9" t="s">
        <v>59</v>
      </c>
      <c r="O824" s="7" t="s">
        <v>67</v>
      </c>
      <c r="P824" s="7" t="s">
        <v>20</v>
      </c>
      <c r="Q824" s="7"/>
      <c r="R824" s="7" t="str" cm="1">
        <f t="array" ref="R824">IF(AND(Q824="",P824&lt;&gt;""),N824,_xlfn.SWITCH(IF(Q824&lt;&gt;"",Q824,O824)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Centers",IF(Q824&lt;&gt;"",Q824,O824)))</f>
        <v>Leiter/in des Service Centers</v>
      </c>
      <c r="S824" s="7" t="str">
        <f>IF(N824&lt;&gt;R824,"x","")</f>
        <v/>
      </c>
    </row>
    <row r="825" spans="1:19" hidden="1" x14ac:dyDescent="0.25">
      <c r="A825" s="7" t="s">
        <v>3028</v>
      </c>
      <c r="B825" s="7" t="s">
        <v>20</v>
      </c>
      <c r="C825" s="7" t="s">
        <v>2999</v>
      </c>
      <c r="D825" s="7" t="s">
        <v>3000</v>
      </c>
      <c r="E825" s="7" t="s">
        <v>20</v>
      </c>
      <c r="F825" s="7" t="s">
        <v>20</v>
      </c>
      <c r="G825" s="7" t="s">
        <v>2337</v>
      </c>
      <c r="H825" s="7" t="s">
        <v>20</v>
      </c>
      <c r="I825" s="8" t="s">
        <v>1131</v>
      </c>
      <c r="J825" s="7" t="s">
        <v>3029</v>
      </c>
      <c r="K825" s="7" t="s">
        <v>3030</v>
      </c>
      <c r="L825" s="7" t="s">
        <v>64</v>
      </c>
      <c r="M825" s="7" t="s">
        <v>65</v>
      </c>
      <c r="N825" s="9" t="s">
        <v>59</v>
      </c>
      <c r="O825" s="7" t="s">
        <v>67</v>
      </c>
      <c r="P825" s="7" t="s">
        <v>20</v>
      </c>
      <c r="Q825" s="7"/>
      <c r="R825" s="7" t="str" cm="1">
        <f t="array" ref="R825">IF(AND(Q825="",P825&lt;&gt;""),N825,_xlfn.SWITCH(IF(Q825&lt;&gt;"",Q825,O825)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Centers",IF(Q825&lt;&gt;"",Q825,O825)))</f>
        <v>Leiter/in des Service Centers</v>
      </c>
      <c r="S825" s="7" t="str">
        <f>IF(N825&lt;&gt;R825,"x","")</f>
        <v/>
      </c>
    </row>
    <row r="826" spans="1:19" hidden="1" x14ac:dyDescent="0.25">
      <c r="A826" s="7" t="s">
        <v>3031</v>
      </c>
      <c r="B826" s="7" t="s">
        <v>20</v>
      </c>
      <c r="C826" s="7" t="s">
        <v>2999</v>
      </c>
      <c r="D826" s="7" t="s">
        <v>3000</v>
      </c>
      <c r="E826" s="7" t="s">
        <v>20</v>
      </c>
      <c r="F826" s="7" t="s">
        <v>20</v>
      </c>
      <c r="G826" s="7" t="s">
        <v>2337</v>
      </c>
      <c r="H826" s="7" t="s">
        <v>20</v>
      </c>
      <c r="I826" s="8" t="s">
        <v>3032</v>
      </c>
      <c r="J826" s="7" t="s">
        <v>1976</v>
      </c>
      <c r="K826" s="7" t="s">
        <v>63</v>
      </c>
      <c r="L826" s="7" t="s">
        <v>40</v>
      </c>
      <c r="M826" s="7" t="s">
        <v>41</v>
      </c>
      <c r="N826" s="9" t="s">
        <v>111</v>
      </c>
      <c r="O826" s="7" t="s">
        <v>43</v>
      </c>
      <c r="P826" s="7" t="s">
        <v>49</v>
      </c>
      <c r="Q826" s="7"/>
      <c r="R826" s="7" t="str" cm="1">
        <f t="array" ref="R826">IF(AND(Q826="",P826&lt;&gt;""),N826,_xlfn.SWITCH(IF(Q826&lt;&gt;"",Q826,O826)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Centers",IF(Q826&lt;&gt;"",Q826,O826)))</f>
        <v>Hauptagent/in</v>
      </c>
      <c r="S826" s="7" t="str">
        <f>IF(N826&lt;&gt;R826,"x","")</f>
        <v/>
      </c>
    </row>
    <row r="827" spans="1:19" hidden="1" x14ac:dyDescent="0.25">
      <c r="A827" s="7" t="s">
        <v>3033</v>
      </c>
      <c r="B827" s="7" t="s">
        <v>20</v>
      </c>
      <c r="C827" s="7" t="s">
        <v>2999</v>
      </c>
      <c r="D827" s="7" t="s">
        <v>3000</v>
      </c>
      <c r="E827" s="7" t="s">
        <v>20</v>
      </c>
      <c r="F827" s="7" t="s">
        <v>20</v>
      </c>
      <c r="G827" s="7" t="s">
        <v>2337</v>
      </c>
      <c r="H827" s="7" t="s">
        <v>20</v>
      </c>
      <c r="I827" s="8" t="s">
        <v>72</v>
      </c>
      <c r="J827" s="7" t="s">
        <v>3034</v>
      </c>
      <c r="K827" s="7" t="s">
        <v>3035</v>
      </c>
      <c r="L827" s="7" t="s">
        <v>64</v>
      </c>
      <c r="M827" s="7" t="s">
        <v>65</v>
      </c>
      <c r="N827" s="9" t="s">
        <v>59</v>
      </c>
      <c r="O827" s="7" t="s">
        <v>67</v>
      </c>
      <c r="P827" s="7" t="s">
        <v>20</v>
      </c>
      <c r="Q827" s="7"/>
      <c r="R827" s="7" t="str" cm="1">
        <f t="array" ref="R827">IF(AND(Q827="",P827&lt;&gt;""),N827,_xlfn.SWITCH(IF(Q827&lt;&gt;"",Q827,O827)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Centers",IF(Q827&lt;&gt;"",Q827,O827)))</f>
        <v>Leiter/in des Service Centers</v>
      </c>
      <c r="S827" s="7" t="str">
        <f>IF(N827&lt;&gt;R827,"x","")</f>
        <v/>
      </c>
    </row>
    <row r="828" spans="1:19" hidden="1" x14ac:dyDescent="0.25">
      <c r="A828" s="7" t="s">
        <v>3036</v>
      </c>
      <c r="B828" s="7" t="s">
        <v>20</v>
      </c>
      <c r="C828" s="7" t="s">
        <v>2999</v>
      </c>
      <c r="D828" s="7" t="s">
        <v>3000</v>
      </c>
      <c r="E828" s="7" t="s">
        <v>20</v>
      </c>
      <c r="F828" s="7" t="s">
        <v>20</v>
      </c>
      <c r="G828" s="7" t="s">
        <v>2337</v>
      </c>
      <c r="H828" s="7" t="s">
        <v>20</v>
      </c>
      <c r="I828" s="8" t="s">
        <v>3037</v>
      </c>
      <c r="J828" s="7" t="s">
        <v>3038</v>
      </c>
      <c r="K828" s="7" t="s">
        <v>3039</v>
      </c>
      <c r="L828" s="7" t="s">
        <v>40</v>
      </c>
      <c r="M828" s="7" t="s">
        <v>41</v>
      </c>
      <c r="N828" s="9" t="s">
        <v>75</v>
      </c>
      <c r="O828" s="7" t="s">
        <v>43</v>
      </c>
      <c r="P828" s="7" t="s">
        <v>20</v>
      </c>
      <c r="Q828" s="7"/>
      <c r="R828" s="7" t="str" cm="1">
        <f t="array" ref="R828">IF(AND(Q828="",P828&lt;&gt;""),N828,_xlfn.SWITCH(IF(Q828&lt;&gt;"",Q828,O828)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Centers",IF(Q828&lt;&gt;"",Q828,O828)))</f>
        <v>Repräsentant/in</v>
      </c>
      <c r="S828" s="7" t="str">
        <f>IF(N828&lt;&gt;R828,"x","")</f>
        <v>x</v>
      </c>
    </row>
    <row r="829" spans="1:19" hidden="1" x14ac:dyDescent="0.25">
      <c r="A829" s="7" t="s">
        <v>3040</v>
      </c>
      <c r="B829" s="7" t="s">
        <v>20</v>
      </c>
      <c r="C829" s="7" t="s">
        <v>2999</v>
      </c>
      <c r="D829" s="7" t="s">
        <v>3000</v>
      </c>
      <c r="E829" s="7" t="s">
        <v>20</v>
      </c>
      <c r="F829" s="7" t="s">
        <v>20</v>
      </c>
      <c r="G829" s="7" t="s">
        <v>2337</v>
      </c>
      <c r="H829" s="7" t="s">
        <v>20</v>
      </c>
      <c r="I829" s="8" t="s">
        <v>3041</v>
      </c>
      <c r="J829" s="7" t="s">
        <v>3042</v>
      </c>
      <c r="K829" s="7" t="s">
        <v>3043</v>
      </c>
      <c r="L829" s="7" t="s">
        <v>64</v>
      </c>
      <c r="M829" s="7" t="s">
        <v>65</v>
      </c>
      <c r="N829" s="9" t="s">
        <v>20</v>
      </c>
      <c r="O829" s="7" t="s">
        <v>67</v>
      </c>
      <c r="P829" s="7" t="s">
        <v>20</v>
      </c>
      <c r="Q829" s="7"/>
      <c r="R829" s="7" t="str" cm="1">
        <f t="array" ref="R829">IF(AND(Q829="",P829&lt;&gt;""),N829,_xlfn.SWITCH(IF(Q829&lt;&gt;"",Q829,O829)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Centers",IF(Q829&lt;&gt;"",Q829,O829)))</f>
        <v>Leiter/in des Service Centers</v>
      </c>
      <c r="S829" s="7" t="str">
        <f>IF(N829&lt;&gt;R829,"x","")</f>
        <v>x</v>
      </c>
    </row>
    <row r="830" spans="1:19" hidden="1" x14ac:dyDescent="0.25">
      <c r="A830" s="7" t="s">
        <v>3044</v>
      </c>
      <c r="B830" s="7" t="s">
        <v>20</v>
      </c>
      <c r="C830" s="7" t="s">
        <v>2999</v>
      </c>
      <c r="D830" s="7" t="s">
        <v>3000</v>
      </c>
      <c r="E830" s="7" t="s">
        <v>20</v>
      </c>
      <c r="F830" s="7" t="s">
        <v>20</v>
      </c>
      <c r="G830" s="7" t="s">
        <v>2337</v>
      </c>
      <c r="H830" s="7" t="s">
        <v>20</v>
      </c>
      <c r="I830" s="8" t="s">
        <v>3045</v>
      </c>
      <c r="J830" s="7" t="s">
        <v>3045</v>
      </c>
      <c r="K830" s="7" t="s">
        <v>3046</v>
      </c>
      <c r="L830" s="7" t="s">
        <v>64</v>
      </c>
      <c r="M830" s="7" t="s">
        <v>65</v>
      </c>
      <c r="N830" s="9" t="s">
        <v>59</v>
      </c>
      <c r="O830" s="7" t="s">
        <v>59</v>
      </c>
      <c r="P830" s="7" t="s">
        <v>20</v>
      </c>
      <c r="Q830" s="7"/>
      <c r="R830" s="7" t="str" cm="1">
        <f t="array" ref="R830">IF(AND(Q830="",P830&lt;&gt;""),N830,_xlfn.SWITCH(IF(Q830&lt;&gt;"",Q830,O830)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Centers",IF(Q830&lt;&gt;"",Q830,O830)))</f>
        <v>Leiter/in des Service Centers</v>
      </c>
      <c r="S830" s="7" t="str">
        <f>IF(N830&lt;&gt;R830,"x","")</f>
        <v/>
      </c>
    </row>
    <row r="831" spans="1:19" hidden="1" x14ac:dyDescent="0.25">
      <c r="A831" s="7" t="s">
        <v>3047</v>
      </c>
      <c r="B831" s="7" t="s">
        <v>20</v>
      </c>
      <c r="C831" s="7" t="s">
        <v>2999</v>
      </c>
      <c r="D831" s="7" t="s">
        <v>3000</v>
      </c>
      <c r="E831" s="7" t="s">
        <v>20</v>
      </c>
      <c r="F831" s="7" t="s">
        <v>20</v>
      </c>
      <c r="G831" s="7" t="s">
        <v>2337</v>
      </c>
      <c r="H831" s="7" t="s">
        <v>20</v>
      </c>
      <c r="I831" s="8" t="s">
        <v>2469</v>
      </c>
      <c r="J831" s="7" t="s">
        <v>3048</v>
      </c>
      <c r="K831" s="7" t="s">
        <v>3049</v>
      </c>
      <c r="L831" s="7" t="s">
        <v>40</v>
      </c>
      <c r="M831" s="7" t="s">
        <v>41</v>
      </c>
      <c r="N831" s="9" t="s">
        <v>75</v>
      </c>
      <c r="O831" s="7" t="s">
        <v>48</v>
      </c>
      <c r="P831" s="7" t="s">
        <v>20</v>
      </c>
      <c r="Q831" s="7"/>
      <c r="R831" s="7" t="str" cm="1">
        <f t="array" ref="R831">IF(AND(Q831="",P831&lt;&gt;""),N831,_xlfn.SWITCH(IF(Q831&lt;&gt;"",Q831,O831)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Centers",IF(Q831&lt;&gt;"",Q831,O831)))</f>
        <v>Repräsentant/in</v>
      </c>
      <c r="S831" s="7" t="str">
        <f>IF(N831&lt;&gt;R831,"x","")</f>
        <v>x</v>
      </c>
    </row>
    <row r="832" spans="1:19" hidden="1" x14ac:dyDescent="0.25">
      <c r="A832" s="7" t="s">
        <v>3050</v>
      </c>
      <c r="B832" s="7" t="s">
        <v>20</v>
      </c>
      <c r="C832" s="7" t="s">
        <v>2999</v>
      </c>
      <c r="D832" s="7" t="s">
        <v>3000</v>
      </c>
      <c r="E832" s="7" t="s">
        <v>20</v>
      </c>
      <c r="F832" s="7" t="s">
        <v>20</v>
      </c>
      <c r="G832" s="7" t="s">
        <v>2337</v>
      </c>
      <c r="H832" s="7" t="s">
        <v>20</v>
      </c>
      <c r="I832" s="8" t="s">
        <v>3051</v>
      </c>
      <c r="J832" s="7" t="s">
        <v>3052</v>
      </c>
      <c r="K832" s="7" t="s">
        <v>3053</v>
      </c>
      <c r="L832" s="7" t="s">
        <v>64</v>
      </c>
      <c r="M832" s="7" t="s">
        <v>65</v>
      </c>
      <c r="N832" s="9" t="s">
        <v>75</v>
      </c>
      <c r="O832" s="7" t="s">
        <v>67</v>
      </c>
      <c r="P832" s="7" t="s">
        <v>20</v>
      </c>
      <c r="Q832" s="7"/>
      <c r="R832" s="7" t="str" cm="1">
        <f t="array" ref="R832">IF(AND(Q832="",P832&lt;&gt;""),N832,_xlfn.SWITCH(IF(Q832&lt;&gt;"",Q832,O832)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Centers",IF(Q832&lt;&gt;"",Q832,O832)))</f>
        <v>Leiter/in des Service Centers</v>
      </c>
      <c r="S832" s="7" t="str">
        <f>IF(N832&lt;&gt;R832,"x","")</f>
        <v>x</v>
      </c>
    </row>
    <row r="833" spans="1:19" hidden="1" x14ac:dyDescent="0.25">
      <c r="A833" s="7" t="s">
        <v>3054</v>
      </c>
      <c r="B833" s="7" t="s">
        <v>20</v>
      </c>
      <c r="C833" s="7" t="s">
        <v>2999</v>
      </c>
      <c r="D833" s="7" t="s">
        <v>3000</v>
      </c>
      <c r="E833" s="7" t="s">
        <v>20</v>
      </c>
      <c r="F833" s="7" t="s">
        <v>20</v>
      </c>
      <c r="G833" s="7" t="s">
        <v>2337</v>
      </c>
      <c r="H833" s="7" t="s">
        <v>20</v>
      </c>
      <c r="I833" s="8" t="s">
        <v>3055</v>
      </c>
      <c r="J833" s="7" t="s">
        <v>1948</v>
      </c>
      <c r="K833" s="7" t="s">
        <v>3056</v>
      </c>
      <c r="L833" s="7" t="s">
        <v>27</v>
      </c>
      <c r="M833" s="7" t="s">
        <v>28</v>
      </c>
      <c r="N833" s="9" t="s">
        <v>75</v>
      </c>
      <c r="O833" s="7" t="s">
        <v>30</v>
      </c>
      <c r="P833" s="7" t="s">
        <v>20</v>
      </c>
      <c r="Q833" s="7"/>
      <c r="R833" s="7" t="str" cm="1">
        <f t="array" ref="R833">IF(AND(Q833="",P833&lt;&gt;""),N833,_xlfn.SWITCH(IF(Q833&lt;&gt;"",Q833,O833)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Centers",IF(Q833&lt;&gt;"",Q833,O833)))</f>
        <v>Agenturleiter/in</v>
      </c>
      <c r="S833" s="7" t="str">
        <f>IF(N833&lt;&gt;R833,"x","")</f>
        <v>x</v>
      </c>
    </row>
    <row r="834" spans="1:19" hidden="1" x14ac:dyDescent="0.25">
      <c r="A834" s="7" t="s">
        <v>3057</v>
      </c>
      <c r="B834" s="7" t="s">
        <v>20</v>
      </c>
      <c r="C834" s="7" t="s">
        <v>2999</v>
      </c>
      <c r="D834" s="7" t="s">
        <v>3000</v>
      </c>
      <c r="E834" s="7" t="s">
        <v>20</v>
      </c>
      <c r="F834" s="7" t="s">
        <v>20</v>
      </c>
      <c r="G834" s="7" t="s">
        <v>2337</v>
      </c>
      <c r="H834" s="7" t="s">
        <v>20</v>
      </c>
      <c r="I834" s="8" t="s">
        <v>3058</v>
      </c>
      <c r="J834" s="7" t="s">
        <v>3059</v>
      </c>
      <c r="K834" s="7" t="s">
        <v>3060</v>
      </c>
      <c r="L834" s="7" t="s">
        <v>228</v>
      </c>
      <c r="M834" s="7" t="s">
        <v>229</v>
      </c>
      <c r="N834" s="9" t="s">
        <v>75</v>
      </c>
      <c r="O834" s="7" t="s">
        <v>30</v>
      </c>
      <c r="P834" s="7" t="s">
        <v>20</v>
      </c>
      <c r="Q834" s="7"/>
      <c r="R834" s="7" t="str" cm="1">
        <f t="array" ref="R834">IF(AND(Q834="",P834&lt;&gt;""),N834,_xlfn.SWITCH(IF(Q834&lt;&gt;"",Q834,O834)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Centers",IF(Q834&lt;&gt;"",Q834,O834)))</f>
        <v>Agenturleiter/in</v>
      </c>
      <c r="S834" s="7" t="str">
        <f>IF(N834&lt;&gt;R834,"x","")</f>
        <v>x</v>
      </c>
    </row>
    <row r="835" spans="1:19" hidden="1" x14ac:dyDescent="0.25">
      <c r="A835" s="7" t="s">
        <v>3061</v>
      </c>
      <c r="B835" s="7" t="s">
        <v>20</v>
      </c>
      <c r="C835" s="7" t="s">
        <v>2999</v>
      </c>
      <c r="D835" s="7" t="s">
        <v>3000</v>
      </c>
      <c r="E835" s="7" t="s">
        <v>20</v>
      </c>
      <c r="F835" s="7" t="s">
        <v>20</v>
      </c>
      <c r="G835" s="7" t="s">
        <v>2337</v>
      </c>
      <c r="H835" s="7" t="s">
        <v>20</v>
      </c>
      <c r="I835" s="8" t="s">
        <v>975</v>
      </c>
      <c r="J835" s="7" t="s">
        <v>3062</v>
      </c>
      <c r="K835" s="7" t="s">
        <v>3063</v>
      </c>
      <c r="L835" s="7" t="s">
        <v>40</v>
      </c>
      <c r="M835" s="7" t="s">
        <v>41</v>
      </c>
      <c r="N835" s="9" t="s">
        <v>75</v>
      </c>
      <c r="O835" s="7" t="s">
        <v>48</v>
      </c>
      <c r="P835" s="7" t="s">
        <v>20</v>
      </c>
      <c r="Q835" s="7"/>
      <c r="R835" s="7" t="str" cm="1">
        <f t="array" ref="R835">IF(AND(Q835="",P835&lt;&gt;""),N835,_xlfn.SWITCH(IF(Q835&lt;&gt;"",Q835,O835)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Centers",IF(Q835&lt;&gt;"",Q835,O835)))</f>
        <v>Repräsentant/in</v>
      </c>
      <c r="S835" s="7" t="str">
        <f>IF(N835&lt;&gt;R835,"x","")</f>
        <v>x</v>
      </c>
    </row>
    <row r="836" spans="1:19" hidden="1" x14ac:dyDescent="0.25">
      <c r="A836" s="7" t="s">
        <v>3064</v>
      </c>
      <c r="B836" s="7" t="s">
        <v>20</v>
      </c>
      <c r="C836" s="7" t="s">
        <v>2999</v>
      </c>
      <c r="D836" s="7" t="s">
        <v>3000</v>
      </c>
      <c r="E836" s="7" t="s">
        <v>20</v>
      </c>
      <c r="F836" s="7" t="s">
        <v>20</v>
      </c>
      <c r="G836" s="7" t="s">
        <v>2337</v>
      </c>
      <c r="H836" s="7" t="s">
        <v>20</v>
      </c>
      <c r="I836" s="8" t="s">
        <v>132</v>
      </c>
      <c r="J836" s="7" t="s">
        <v>3065</v>
      </c>
      <c r="K836" s="7" t="s">
        <v>3066</v>
      </c>
      <c r="L836" s="7" t="s">
        <v>40</v>
      </c>
      <c r="M836" s="7" t="s">
        <v>41</v>
      </c>
      <c r="N836" s="9" t="s">
        <v>75</v>
      </c>
      <c r="O836" s="7" t="s">
        <v>88</v>
      </c>
      <c r="P836" s="7" t="s">
        <v>20</v>
      </c>
      <c r="Q836" s="7"/>
      <c r="R836" s="7" t="str" cm="1">
        <f t="array" ref="R836">IF(AND(Q836="",P836&lt;&gt;""),N836,_xlfn.SWITCH(IF(Q836&lt;&gt;"",Q836,O836)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Centers",IF(Q836&lt;&gt;"",Q836,O836)))</f>
        <v>Kundenberater/in</v>
      </c>
      <c r="S836" s="7" t="str">
        <f>IF(N836&lt;&gt;R836,"x","")</f>
        <v>x</v>
      </c>
    </row>
    <row r="837" spans="1:19" hidden="1" x14ac:dyDescent="0.25">
      <c r="A837" s="7" t="s">
        <v>3067</v>
      </c>
      <c r="B837" s="7" t="s">
        <v>20</v>
      </c>
      <c r="C837" s="7" t="s">
        <v>2999</v>
      </c>
      <c r="D837" s="7" t="s">
        <v>3000</v>
      </c>
      <c r="E837" s="7" t="s">
        <v>20</v>
      </c>
      <c r="F837" s="7" t="s">
        <v>20</v>
      </c>
      <c r="G837" s="7" t="s">
        <v>2337</v>
      </c>
      <c r="H837" s="7" t="s">
        <v>20</v>
      </c>
      <c r="I837" s="8" t="s">
        <v>761</v>
      </c>
      <c r="J837" s="7" t="s">
        <v>3068</v>
      </c>
      <c r="K837" s="7" t="s">
        <v>3069</v>
      </c>
      <c r="L837" s="7" t="s">
        <v>40</v>
      </c>
      <c r="M837" s="7" t="s">
        <v>41</v>
      </c>
      <c r="N837" s="9" t="s">
        <v>75</v>
      </c>
      <c r="O837" s="7" t="s">
        <v>88</v>
      </c>
      <c r="P837" s="7" t="s">
        <v>20</v>
      </c>
      <c r="Q837" s="7"/>
      <c r="R837" s="7" t="str" cm="1">
        <f t="array" ref="R837">IF(AND(Q837="",P837&lt;&gt;""),N837,_xlfn.SWITCH(IF(Q837&lt;&gt;"",Q837,O837)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Centers",IF(Q837&lt;&gt;"",Q837,O837)))</f>
        <v>Kundenberater/in</v>
      </c>
      <c r="S837" s="7" t="str">
        <f>IF(N837&lt;&gt;R837,"x","")</f>
        <v>x</v>
      </c>
    </row>
    <row r="838" spans="1:19" hidden="1" x14ac:dyDescent="0.25">
      <c r="A838" s="7" t="s">
        <v>3070</v>
      </c>
      <c r="B838" s="7" t="s">
        <v>20</v>
      </c>
      <c r="C838" s="7" t="s">
        <v>2999</v>
      </c>
      <c r="D838" s="7" t="s">
        <v>3000</v>
      </c>
      <c r="E838" s="7" t="s">
        <v>20</v>
      </c>
      <c r="F838" s="7" t="s">
        <v>20</v>
      </c>
      <c r="G838" s="7" t="s">
        <v>2337</v>
      </c>
      <c r="H838" s="7" t="s">
        <v>20</v>
      </c>
      <c r="I838" s="8" t="s">
        <v>51</v>
      </c>
      <c r="J838" s="7" t="s">
        <v>3071</v>
      </c>
      <c r="K838" s="7" t="s">
        <v>3072</v>
      </c>
      <c r="L838" s="7" t="s">
        <v>40</v>
      </c>
      <c r="M838" s="7" t="s">
        <v>41</v>
      </c>
      <c r="N838" s="9" t="s">
        <v>75</v>
      </c>
      <c r="O838" s="7" t="s">
        <v>120</v>
      </c>
      <c r="P838" s="7" t="s">
        <v>20</v>
      </c>
      <c r="Q838" s="7"/>
      <c r="R838" s="7" t="str" cm="1">
        <f t="array" ref="R838">IF(AND(Q838="",P838&lt;&gt;""),N838,_xlfn.SWITCH(IF(Q838&lt;&gt;"",Q838,O838)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Centers",IF(Q838&lt;&gt;"",Q838,O838)))</f>
        <v>Kundenberater/in</v>
      </c>
      <c r="S838" s="7" t="str">
        <f>IF(N838&lt;&gt;R838,"x","")</f>
        <v>x</v>
      </c>
    </row>
    <row r="839" spans="1:19" hidden="1" x14ac:dyDescent="0.25">
      <c r="A839" s="7" t="s">
        <v>3073</v>
      </c>
      <c r="B839" s="7" t="s">
        <v>20</v>
      </c>
      <c r="C839" s="7" t="s">
        <v>2999</v>
      </c>
      <c r="D839" s="7" t="s">
        <v>3000</v>
      </c>
      <c r="E839" s="7" t="s">
        <v>20</v>
      </c>
      <c r="F839" s="7" t="s">
        <v>20</v>
      </c>
      <c r="G839" s="7" t="s">
        <v>2337</v>
      </c>
      <c r="H839" s="7" t="s">
        <v>20</v>
      </c>
      <c r="I839" s="8" t="s">
        <v>3074</v>
      </c>
      <c r="J839" s="7" t="s">
        <v>3075</v>
      </c>
      <c r="K839" s="7" t="s">
        <v>3076</v>
      </c>
      <c r="L839" s="7" t="s">
        <v>40</v>
      </c>
      <c r="M839" s="7" t="s">
        <v>41</v>
      </c>
      <c r="N839" s="9" t="s">
        <v>75</v>
      </c>
      <c r="O839" s="7" t="s">
        <v>48</v>
      </c>
      <c r="P839" s="7" t="s">
        <v>20</v>
      </c>
      <c r="Q839" s="7"/>
      <c r="R839" s="7" t="str" cm="1">
        <f t="array" ref="R839">IF(AND(Q839="",P839&lt;&gt;""),N839,_xlfn.SWITCH(IF(Q839&lt;&gt;"",Q839,O839)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Centers",IF(Q839&lt;&gt;"",Q839,O839)))</f>
        <v>Repräsentant/in</v>
      </c>
      <c r="S839" s="7" t="str">
        <f>IF(N839&lt;&gt;R839,"x","")</f>
        <v>x</v>
      </c>
    </row>
    <row r="840" spans="1:19" hidden="1" x14ac:dyDescent="0.25">
      <c r="A840" s="7" t="s">
        <v>3077</v>
      </c>
      <c r="B840" s="7" t="s">
        <v>20</v>
      </c>
      <c r="C840" s="7" t="s">
        <v>2999</v>
      </c>
      <c r="D840" s="7" t="s">
        <v>3000</v>
      </c>
      <c r="E840" s="7" t="s">
        <v>20</v>
      </c>
      <c r="F840" s="7" t="s">
        <v>20</v>
      </c>
      <c r="G840" s="7" t="s">
        <v>2337</v>
      </c>
      <c r="H840" s="7" t="s">
        <v>20</v>
      </c>
      <c r="I840" s="8" t="s">
        <v>122</v>
      </c>
      <c r="J840" s="7" t="s">
        <v>3078</v>
      </c>
      <c r="K840" s="7" t="s">
        <v>3079</v>
      </c>
      <c r="L840" s="7" t="s">
        <v>124</v>
      </c>
      <c r="M840" s="7" t="s">
        <v>125</v>
      </c>
      <c r="N840" s="9" t="s">
        <v>1152</v>
      </c>
      <c r="O840" s="7" t="s">
        <v>67</v>
      </c>
      <c r="P840" s="7" t="s">
        <v>20</v>
      </c>
      <c r="Q840" s="7"/>
      <c r="R840" s="7" t="str" cm="1">
        <f t="array" ref="R840">IF(AND(Q840="",P840&lt;&gt;""),N840,_xlfn.SWITCH(IF(Q840&lt;&gt;"",Q840,O840)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Centers",IF(Q840&lt;&gt;"",Q840,O840)))</f>
        <v>Leiter/in des Service Centers</v>
      </c>
      <c r="S840" s="7" t="str">
        <f>IF(N840&lt;&gt;R840,"x","")</f>
        <v>x</v>
      </c>
    </row>
    <row r="841" spans="1:19" hidden="1" x14ac:dyDescent="0.25">
      <c r="A841" s="7" t="s">
        <v>3080</v>
      </c>
      <c r="B841" s="7" t="s">
        <v>20</v>
      </c>
      <c r="C841" s="7" t="s">
        <v>2999</v>
      </c>
      <c r="D841" s="7" t="s">
        <v>3000</v>
      </c>
      <c r="E841" s="7" t="s">
        <v>20</v>
      </c>
      <c r="F841" s="7" t="s">
        <v>20</v>
      </c>
      <c r="G841" s="7" t="s">
        <v>2337</v>
      </c>
      <c r="H841" s="7" t="s">
        <v>20</v>
      </c>
      <c r="I841" s="8" t="s">
        <v>3081</v>
      </c>
      <c r="J841" s="7" t="s">
        <v>3082</v>
      </c>
      <c r="K841" s="7" t="s">
        <v>3083</v>
      </c>
      <c r="L841" s="7" t="s">
        <v>40</v>
      </c>
      <c r="M841" s="7" t="s">
        <v>41</v>
      </c>
      <c r="N841" s="9" t="s">
        <v>75</v>
      </c>
      <c r="O841" s="7" t="s">
        <v>120</v>
      </c>
      <c r="P841" s="7" t="s">
        <v>20</v>
      </c>
      <c r="Q841" s="7"/>
      <c r="R841" s="7" t="str" cm="1">
        <f t="array" ref="R841">IF(AND(Q841="",P841&lt;&gt;""),N841,_xlfn.SWITCH(IF(Q841&lt;&gt;"",Q841,O841)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Centers",IF(Q841&lt;&gt;"",Q841,O841)))</f>
        <v>Kundenberater/in</v>
      </c>
      <c r="S841" s="7" t="str">
        <f>IF(N841&lt;&gt;R841,"x","")</f>
        <v>x</v>
      </c>
    </row>
    <row r="842" spans="1:19" hidden="1" x14ac:dyDescent="0.25">
      <c r="A842" s="7" t="s">
        <v>3084</v>
      </c>
      <c r="B842" s="7" t="s">
        <v>3085</v>
      </c>
      <c r="C842" s="7" t="s">
        <v>2999</v>
      </c>
      <c r="D842" s="7" t="s">
        <v>3000</v>
      </c>
      <c r="E842" s="7" t="s">
        <v>2473</v>
      </c>
      <c r="F842" s="7" t="s">
        <v>2474</v>
      </c>
      <c r="G842" s="7" t="s">
        <v>2475</v>
      </c>
      <c r="H842" s="7" t="s">
        <v>2475</v>
      </c>
      <c r="I842" s="8" t="s">
        <v>2731</v>
      </c>
      <c r="J842" s="7" t="s">
        <v>2822</v>
      </c>
      <c r="K842" s="7" t="s">
        <v>3086</v>
      </c>
      <c r="L842" s="7" t="s">
        <v>40</v>
      </c>
      <c r="M842" s="7" t="s">
        <v>41</v>
      </c>
      <c r="N842" s="9" t="s">
        <v>75</v>
      </c>
      <c r="O842" s="7" t="s">
        <v>48</v>
      </c>
      <c r="P842" s="7" t="s">
        <v>20</v>
      </c>
      <c r="Q842" s="7"/>
      <c r="R842" s="7" t="str" cm="1">
        <f t="array" ref="R842">IF(AND(Q842="",P842&lt;&gt;""),N842,_xlfn.SWITCH(IF(Q842&lt;&gt;"",Q842,O842)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Centers",IF(Q842&lt;&gt;"",Q842,O842)))</f>
        <v>Repräsentant/in</v>
      </c>
      <c r="S842" s="7" t="str">
        <f>IF(N842&lt;&gt;R842,"x","")</f>
        <v>x</v>
      </c>
    </row>
    <row r="843" spans="1:19" x14ac:dyDescent="0.25">
      <c r="A843" s="7" t="s">
        <v>3087</v>
      </c>
      <c r="B843" s="7" t="s">
        <v>3088</v>
      </c>
      <c r="C843" s="7" t="s">
        <v>2999</v>
      </c>
      <c r="D843" s="7" t="s">
        <v>3000</v>
      </c>
      <c r="E843" s="7" t="s">
        <v>2473</v>
      </c>
      <c r="F843" s="7" t="s">
        <v>2474</v>
      </c>
      <c r="G843" s="7" t="s">
        <v>2475</v>
      </c>
      <c r="H843" s="7" t="s">
        <v>2475</v>
      </c>
      <c r="I843" s="8" t="s">
        <v>1473</v>
      </c>
      <c r="J843" s="7" t="s">
        <v>3089</v>
      </c>
      <c r="K843" s="7" t="s">
        <v>3090</v>
      </c>
      <c r="L843" s="7" t="s">
        <v>64</v>
      </c>
      <c r="M843" s="7" t="s">
        <v>65</v>
      </c>
      <c r="N843" s="9" t="s">
        <v>93</v>
      </c>
      <c r="O843" s="7" t="s">
        <v>67</v>
      </c>
      <c r="P843" s="7" t="s">
        <v>20</v>
      </c>
      <c r="Q843" s="7"/>
      <c r="R843" s="7" t="str" cm="1">
        <f t="array" ref="R843">IF(AND(Q843="",P843&lt;&gt;""),N843,_xlfn.SWITCH(IF(Q843&lt;&gt;"",Q843,O843)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Centers",IF(Q843&lt;&gt;"",Q843,O843)))</f>
        <v>Leiter/in des Service Centers</v>
      </c>
      <c r="S843" s="7" t="str">
        <f>IF(N843&lt;&gt;R843,"x","")</f>
        <v>x</v>
      </c>
    </row>
    <row r="844" spans="1:19" hidden="1" x14ac:dyDescent="0.25">
      <c r="A844" s="7" t="s">
        <v>3091</v>
      </c>
      <c r="B844" s="7" t="s">
        <v>3092</v>
      </c>
      <c r="C844" s="7" t="s">
        <v>2999</v>
      </c>
      <c r="D844" s="7" t="s">
        <v>3000</v>
      </c>
      <c r="E844" s="7" t="s">
        <v>2473</v>
      </c>
      <c r="F844" s="7" t="s">
        <v>2474</v>
      </c>
      <c r="G844" s="7" t="s">
        <v>2475</v>
      </c>
      <c r="H844" s="7" t="s">
        <v>2475</v>
      </c>
      <c r="I844" s="8" t="s">
        <v>343</v>
      </c>
      <c r="J844" s="7" t="s">
        <v>2032</v>
      </c>
      <c r="K844" s="7" t="s">
        <v>3093</v>
      </c>
      <c r="L844" s="7" t="s">
        <v>27</v>
      </c>
      <c r="M844" s="7" t="s">
        <v>28</v>
      </c>
      <c r="N844" s="9" t="s">
        <v>75</v>
      </c>
      <c r="O844" s="7" t="s">
        <v>30</v>
      </c>
      <c r="P844" s="7" t="s">
        <v>20</v>
      </c>
      <c r="Q844" s="7"/>
      <c r="R844" s="7" t="str" cm="1">
        <f t="array" ref="R844">IF(AND(Q844="",P844&lt;&gt;""),N844,_xlfn.SWITCH(IF(Q844&lt;&gt;"",Q844,O844)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Centers",IF(Q844&lt;&gt;"",Q844,O844)))</f>
        <v>Agenturleiter/in</v>
      </c>
      <c r="S844" s="7" t="str">
        <f>IF(N844&lt;&gt;R844,"x","")</f>
        <v>x</v>
      </c>
    </row>
    <row r="845" spans="1:19" hidden="1" x14ac:dyDescent="0.25">
      <c r="A845" s="7" t="s">
        <v>3094</v>
      </c>
      <c r="B845" s="7" t="s">
        <v>20</v>
      </c>
      <c r="C845" s="7" t="s">
        <v>3095</v>
      </c>
      <c r="D845" s="7" t="s">
        <v>542</v>
      </c>
      <c r="E845" s="7" t="s">
        <v>20</v>
      </c>
      <c r="F845" s="7" t="s">
        <v>20</v>
      </c>
      <c r="G845" s="7" t="s">
        <v>542</v>
      </c>
      <c r="H845" s="7" t="s">
        <v>20</v>
      </c>
      <c r="I845" s="8" t="s">
        <v>975</v>
      </c>
      <c r="J845" s="7" t="s">
        <v>3096</v>
      </c>
      <c r="K845" s="7" t="s">
        <v>3097</v>
      </c>
      <c r="L845" s="7" t="s">
        <v>64</v>
      </c>
      <c r="M845" s="7" t="s">
        <v>65</v>
      </c>
      <c r="N845" s="9" t="s">
        <v>20</v>
      </c>
      <c r="O845" s="7" t="s">
        <v>67</v>
      </c>
      <c r="P845" s="7" t="s">
        <v>20</v>
      </c>
      <c r="Q845" s="7"/>
      <c r="R845" s="7" t="str" cm="1">
        <f t="array" ref="R845">IF(AND(Q845="",P845&lt;&gt;""),N845,_xlfn.SWITCH(IF(Q845&lt;&gt;"",Q845,O845)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Centers",IF(Q845&lt;&gt;"",Q845,O845)))</f>
        <v>Leiter/in des Service Centers</v>
      </c>
      <c r="S845" s="7" t="str">
        <f>IF(N845&lt;&gt;R845,"x","")</f>
        <v>x</v>
      </c>
    </row>
    <row r="846" spans="1:19" hidden="1" x14ac:dyDescent="0.25">
      <c r="A846" s="7" t="s">
        <v>3098</v>
      </c>
      <c r="B846" s="7" t="s">
        <v>20</v>
      </c>
      <c r="C846" s="7" t="s">
        <v>3095</v>
      </c>
      <c r="D846" s="7" t="s">
        <v>542</v>
      </c>
      <c r="E846" s="7" t="s">
        <v>20</v>
      </c>
      <c r="F846" s="7" t="s">
        <v>20</v>
      </c>
      <c r="G846" s="7" t="s">
        <v>542</v>
      </c>
      <c r="H846" s="7" t="s">
        <v>20</v>
      </c>
      <c r="I846" s="8" t="s">
        <v>2484</v>
      </c>
      <c r="J846" s="7" t="s">
        <v>3099</v>
      </c>
      <c r="K846" s="7" t="s">
        <v>3100</v>
      </c>
      <c r="L846" s="7" t="s">
        <v>27</v>
      </c>
      <c r="M846" s="7" t="s">
        <v>28</v>
      </c>
      <c r="N846" s="9" t="s">
        <v>80</v>
      </c>
      <c r="O846" s="7" t="s">
        <v>30</v>
      </c>
      <c r="P846" s="7" t="s">
        <v>20</v>
      </c>
      <c r="Q846" s="7"/>
      <c r="R846" s="7" t="str" cm="1">
        <f t="array" ref="R846">IF(AND(Q846="",P846&lt;&gt;""),N846,_xlfn.SWITCH(IF(Q846&lt;&gt;"",Q846,O846)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Centers",IF(Q846&lt;&gt;"",Q846,O846)))</f>
        <v>Agenturleiter/in</v>
      </c>
      <c r="S846" s="7" t="str">
        <f>IF(N846&lt;&gt;R846,"x","")</f>
        <v>x</v>
      </c>
    </row>
    <row r="847" spans="1:19" hidden="1" x14ac:dyDescent="0.25">
      <c r="A847" s="7" t="s">
        <v>3101</v>
      </c>
      <c r="B847" s="7" t="s">
        <v>20</v>
      </c>
      <c r="C847" s="7" t="s">
        <v>3095</v>
      </c>
      <c r="D847" s="7" t="s">
        <v>542</v>
      </c>
      <c r="E847" s="7" t="s">
        <v>20</v>
      </c>
      <c r="F847" s="7" t="s">
        <v>20</v>
      </c>
      <c r="G847" s="7" t="s">
        <v>542</v>
      </c>
      <c r="H847" s="7" t="s">
        <v>20</v>
      </c>
      <c r="I847" s="8" t="s">
        <v>3017</v>
      </c>
      <c r="J847" s="7" t="s">
        <v>3102</v>
      </c>
      <c r="K847" s="7" t="s">
        <v>3103</v>
      </c>
      <c r="L847" s="7" t="s">
        <v>40</v>
      </c>
      <c r="M847" s="7" t="s">
        <v>41</v>
      </c>
      <c r="N847" s="9" t="s">
        <v>20</v>
      </c>
      <c r="O847" s="7" t="s">
        <v>43</v>
      </c>
      <c r="P847" s="7" t="s">
        <v>20</v>
      </c>
      <c r="Q847" s="7"/>
      <c r="R847" s="7" t="str" cm="1">
        <f t="array" ref="R847">IF(AND(Q847="",P847&lt;&gt;""),N847,_xlfn.SWITCH(IF(Q847&lt;&gt;"",Q847,O847)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Centers",IF(Q847&lt;&gt;"",Q847,O847)))</f>
        <v>Repräsentant/in</v>
      </c>
      <c r="S847" s="7" t="str">
        <f>IF(N847&lt;&gt;R847,"x","")</f>
        <v>x</v>
      </c>
    </row>
    <row r="848" spans="1:19" hidden="1" x14ac:dyDescent="0.25">
      <c r="A848" s="7" t="s">
        <v>3104</v>
      </c>
      <c r="B848" s="7" t="s">
        <v>20</v>
      </c>
      <c r="C848" s="7" t="s">
        <v>3095</v>
      </c>
      <c r="D848" s="7" t="s">
        <v>542</v>
      </c>
      <c r="E848" s="7" t="s">
        <v>20</v>
      </c>
      <c r="F848" s="7" t="s">
        <v>20</v>
      </c>
      <c r="G848" s="7" t="s">
        <v>542</v>
      </c>
      <c r="H848" s="7" t="s">
        <v>20</v>
      </c>
      <c r="I848" s="8" t="s">
        <v>3105</v>
      </c>
      <c r="J848" s="7" t="s">
        <v>3106</v>
      </c>
      <c r="K848" s="7" t="s">
        <v>3107</v>
      </c>
      <c r="L848" s="7" t="s">
        <v>27</v>
      </c>
      <c r="M848" s="7" t="s">
        <v>28</v>
      </c>
      <c r="N848" s="9" t="s">
        <v>20</v>
      </c>
      <c r="O848" s="7" t="s">
        <v>54</v>
      </c>
      <c r="P848" s="7" t="s">
        <v>20</v>
      </c>
      <c r="Q848" s="7"/>
      <c r="R848" s="7" t="str" cm="1">
        <f t="array" ref="R848">IF(AND(Q848="",P848&lt;&gt;""),N848,_xlfn.SWITCH(IF(Q848&lt;&gt;"",Q848,O848)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Centers",IF(Q848&lt;&gt;"",Q848,O848)))</f>
        <v>Agenturleiter/in</v>
      </c>
      <c r="S848" s="7" t="str">
        <f>IF(N848&lt;&gt;R848,"x","")</f>
        <v>x</v>
      </c>
    </row>
    <row r="849" spans="1:19" hidden="1" x14ac:dyDescent="0.25">
      <c r="A849" s="7" t="s">
        <v>3108</v>
      </c>
      <c r="B849" s="7" t="s">
        <v>20</v>
      </c>
      <c r="C849" s="7" t="s">
        <v>3095</v>
      </c>
      <c r="D849" s="7" t="s">
        <v>542</v>
      </c>
      <c r="E849" s="7" t="s">
        <v>20</v>
      </c>
      <c r="F849" s="7" t="s">
        <v>20</v>
      </c>
      <c r="G849" s="7" t="s">
        <v>542</v>
      </c>
      <c r="H849" s="7" t="s">
        <v>20</v>
      </c>
      <c r="I849" s="8" t="s">
        <v>1069</v>
      </c>
      <c r="J849" s="7" t="s">
        <v>1948</v>
      </c>
      <c r="K849" s="7" t="s">
        <v>3109</v>
      </c>
      <c r="L849" s="7" t="s">
        <v>97</v>
      </c>
      <c r="M849" s="7" t="s">
        <v>98</v>
      </c>
      <c r="N849" s="9" t="s">
        <v>20</v>
      </c>
      <c r="O849" s="7" t="s">
        <v>251</v>
      </c>
      <c r="P849" s="7" t="s">
        <v>20</v>
      </c>
      <c r="Q849" s="7"/>
      <c r="R849" s="7" t="str" cm="1">
        <f t="array" ref="R849">IF(AND(Q849="",P849&lt;&gt;""),N849,_xlfn.SWITCH(IF(Q849&lt;&gt;"",Q849,O849)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Centers",IF(Q849&lt;&gt;"",Q849,O849)))</f>
        <v>Hauptagent/in</v>
      </c>
      <c r="S849" s="7" t="str">
        <f>IF(N849&lt;&gt;R849,"x","")</f>
        <v>x</v>
      </c>
    </row>
    <row r="850" spans="1:19" hidden="1" x14ac:dyDescent="0.25">
      <c r="A850" s="7" t="s">
        <v>3110</v>
      </c>
      <c r="B850" s="7" t="s">
        <v>20</v>
      </c>
      <c r="C850" s="7" t="s">
        <v>3095</v>
      </c>
      <c r="D850" s="7" t="s">
        <v>542</v>
      </c>
      <c r="E850" s="7" t="s">
        <v>20</v>
      </c>
      <c r="F850" s="7" t="s">
        <v>20</v>
      </c>
      <c r="G850" s="7" t="s">
        <v>542</v>
      </c>
      <c r="H850" s="7" t="s">
        <v>20</v>
      </c>
      <c r="I850" s="8" t="s">
        <v>2858</v>
      </c>
      <c r="J850" s="7" t="s">
        <v>3111</v>
      </c>
      <c r="K850" s="7" t="s">
        <v>3112</v>
      </c>
      <c r="L850" s="7" t="s">
        <v>124</v>
      </c>
      <c r="M850" s="7" t="s">
        <v>125</v>
      </c>
      <c r="N850" s="10" t="s">
        <v>20</v>
      </c>
      <c r="O850" s="11" t="s">
        <v>67</v>
      </c>
      <c r="P850" s="11" t="s">
        <v>20</v>
      </c>
      <c r="Q850" s="11"/>
      <c r="R850" s="11" t="str" cm="1">
        <f t="array" ref="R850">IF(AND(Q850="",P850&lt;&gt;""),N850,_xlfn.SWITCH(IF(Q850&lt;&gt;"",Q850,O850),"Agenturleiter","Agenturleiter/in","Agenturleiterin","Agenturleiter/in","Repräsentant","Repräsentant/in","Repräsentantin","Repräsentant/in","Kundenberater","Kundenberater/in","Kundenberaterin","Kundenberater/in","Hauptagent","Hauptagent/in","Hauptagentin","Hauptagent/in","Leiter des Service Centers","Leiter/in des Service Centers","Leiterin des Service Centers","Leiter/in des Service Centers",IF(Q850&lt;&gt;"",Q850,O850)))</f>
        <v>Leiter/in des Service Centers</v>
      </c>
      <c r="S850" s="11" t="str">
        <f>IF(N850&lt;&gt;R850,"x","")</f>
        <v>x</v>
      </c>
    </row>
    <row r="851" spans="1:19" x14ac:dyDescent="0.25">
      <c r="A851" s="12"/>
      <c r="B851" s="12"/>
      <c r="C851" s="12"/>
      <c r="D851" s="12"/>
      <c r="E851" s="12"/>
      <c r="F851" s="12"/>
      <c r="G851" s="12"/>
      <c r="H851" s="12"/>
      <c r="I851" s="13"/>
      <c r="J851" s="12"/>
      <c r="K851" s="12"/>
      <c r="L851" s="12"/>
      <c r="M851" s="12"/>
      <c r="N851" s="14"/>
    </row>
    <row r="852" spans="1:19" x14ac:dyDescent="0.25">
      <c r="A852" s="12"/>
      <c r="B852" s="12"/>
      <c r="C852" s="12"/>
      <c r="D852" s="12"/>
      <c r="E852" s="12"/>
      <c r="F852" s="12"/>
      <c r="G852" s="12"/>
      <c r="H852" s="12"/>
      <c r="I852" s="13"/>
      <c r="J852" s="12"/>
      <c r="K852" s="12"/>
      <c r="L852" s="12"/>
      <c r="M852" s="12"/>
      <c r="N852" s="14"/>
    </row>
    <row r="853" spans="1:19" x14ac:dyDescent="0.25">
      <c r="A853" s="12"/>
      <c r="B853" s="12"/>
      <c r="C853" s="12"/>
      <c r="D853" s="12"/>
      <c r="E853" s="12"/>
      <c r="F853" s="12"/>
      <c r="G853" s="12"/>
      <c r="H853" s="12"/>
      <c r="I853" s="13"/>
      <c r="J853" s="12"/>
      <c r="K853" s="12"/>
      <c r="L853" s="12"/>
      <c r="M853" s="12"/>
      <c r="N853" s="14"/>
    </row>
    <row r="854" spans="1:19" x14ac:dyDescent="0.25">
      <c r="A854" s="12"/>
      <c r="B854" s="12"/>
      <c r="C854" s="12"/>
      <c r="D854" s="12"/>
      <c r="E854" s="12"/>
      <c r="F854" s="12"/>
      <c r="G854" s="12"/>
      <c r="H854" s="12"/>
      <c r="I854" s="13"/>
      <c r="J854" s="12"/>
      <c r="K854" s="12"/>
      <c r="L854" s="12"/>
      <c r="M854" s="12"/>
      <c r="N854" s="14"/>
    </row>
    <row r="855" spans="1:19" x14ac:dyDescent="0.25">
      <c r="A855" s="12"/>
      <c r="B855" s="12"/>
      <c r="C855" s="12"/>
      <c r="D855" s="12"/>
      <c r="E855" s="12"/>
      <c r="F855" s="12"/>
      <c r="G855" s="12"/>
      <c r="H855" s="12"/>
      <c r="I855" s="13"/>
      <c r="J855" s="12"/>
      <c r="K855" s="15"/>
      <c r="L855" s="15"/>
      <c r="M855" s="15"/>
      <c r="N855" s="14"/>
    </row>
  </sheetData>
  <hyperlinks>
    <hyperlink ref="K159" r:id="rId1" display="marilya.mitkova@extern.barmenia.de" xr:uid="{B4F8B372-3617-432C-B008-3870F59ED760}"/>
    <hyperlink ref="K99" r:id="rId2" display="steffen.fox@barmenia.de" xr:uid="{EB37ABA7-BCEE-4412-8DEE-FCD0F772B76A}"/>
    <hyperlink ref="K98" r:id="rId3" display="tobias.kroes@barmenia.de" xr:uid="{8D81F02F-3803-4DE6-B657-CA329E571984}"/>
    <hyperlink ref="K803" r:id="rId4" display="marilya.mitkova@extern.barmenia.de" xr:uid="{F0B48DDD-C5EB-4F5B-B519-3C386BF9E854}"/>
    <hyperlink ref="K167" r:id="rId5" display="marilya.mitkova@extern.barmenia.de" xr:uid="{61FA01A3-4B68-4E43-90A7-944186DFDFAC}"/>
    <hyperlink ref="K279" r:id="rId6" display="marilya.mitkova@extern.barmenia.de" xr:uid="{9CB0C73B-9E36-41A1-B883-6C60861AC881}"/>
    <hyperlink ref="K507" r:id="rId7" display="marilya.mitkova@extern.barmenia.de" xr:uid="{E0530DA0-D49A-408E-9FAC-01F5D542EA5E}"/>
    <hyperlink ref="K685" r:id="rId8" display="marilya.mitkova@extern.barmenia.de" xr:uid="{32013A44-58B0-4180-8F05-664C5229F80E}"/>
    <hyperlink ref="K101" r:id="rId9" display="marilya.mitkova@extern.barmenia.de" xr:uid="{47191ED7-2398-4EB7-94E8-02DEA828CCB3}"/>
    <hyperlink ref="K178" r:id="rId10" display="marilya.mitkova@extern.barmenia.de" xr:uid="{6B0CACE7-1A9A-40EA-A027-559C1C8369A2}"/>
    <hyperlink ref="K361" r:id="rId11" display="marilya.mitkova@extern.barmenia.de" xr:uid="{07FAA5D7-9C5A-412F-9553-2529DAEB1F18}"/>
    <hyperlink ref="K68" r:id="rId12" display="marilya.mitkova@extern.barmenia.de" xr:uid="{8AE14577-9224-4380-BA31-EBAF8A2DD150}"/>
    <hyperlink ref="K124" r:id="rId13" display="marilya.mitkova@extern.barmenia.de" xr:uid="{568568BE-6384-45C7-9AC7-F3E7132C6D4E}"/>
    <hyperlink ref="K125" r:id="rId14" display="marilya.mitkova@extern.barmenia.de" xr:uid="{8EA925C9-D6BA-4674-BB83-F5EFC21E8164}"/>
    <hyperlink ref="K126" r:id="rId15" display="marilya.mitkova@extern.barmenia.de" xr:uid="{B8EBDADF-A04E-46B8-B926-B71F749DCF96}"/>
    <hyperlink ref="K127" r:id="rId16" display="marilya.mitkova@extern.barmenia.de" xr:uid="{0022FF22-FC19-4B8A-9810-38B64A16A7A3}"/>
    <hyperlink ref="K222" r:id="rId17" display="marilya.mitkova@extern.barmenia.de" xr:uid="{E0963A18-4C13-4B8B-A7BF-A850267C4B4F}"/>
    <hyperlink ref="K231" r:id="rId18" display="marilya.mitkova@extern.barmenia.de" xr:uid="{9CAB6432-00A2-4AD3-B834-458E3259F570}"/>
    <hyperlink ref="K232" r:id="rId19" display="marilya.mitkova@extern.barmenia.de" xr:uid="{DF7D6B1A-C734-4B7C-B0D3-65D08BE50119}"/>
    <hyperlink ref="K520" r:id="rId20" display="marilya.mitkova@extern.barmenia.de" xr:uid="{D99EB3C5-0AC8-467F-BDC7-578A934E4B4A}"/>
    <hyperlink ref="K521" r:id="rId21" display="marilya.mitkova@extern.barmenia.de" xr:uid="{6F35ADED-5291-4CAB-8175-544A8FA8DFA9}"/>
    <hyperlink ref="K522" r:id="rId22" display="marilya.mitkova@extern.barmenia.de" xr:uid="{1B9371A7-29E0-4C86-9135-4DAEA97251A8}"/>
    <hyperlink ref="K650" r:id="rId23" display="marilya.mitkova@extern.barmenia.de" xr:uid="{1CCAE377-6238-461E-93D1-3265ABC09466}"/>
    <hyperlink ref="K651" r:id="rId24" display="marilya.mitkova@extern.barmenia.de" xr:uid="{95E8A2A2-32F2-4846-9749-43C479C18CD3}"/>
    <hyperlink ref="K652" r:id="rId25" display="marilya.mitkova@extern.barmenia.de" xr:uid="{6699D354-7A40-4E3E-ACDA-62C3976E1301}"/>
    <hyperlink ref="K701" r:id="rId26" display="marilya.mitkova@extern.barmenia.de" xr:uid="{4F981EF5-EAE7-44CE-8430-5A72F24A94D2}"/>
    <hyperlink ref="K702" r:id="rId27" display="marilya.mitkova@extern.barmenia.de" xr:uid="{7D7B06CC-E9C1-4107-8B94-47490E729357}"/>
    <hyperlink ref="K750" r:id="rId28" display="marilya.mitkova@extern.barmenia.de" xr:uid="{F1D30366-A013-4D56-B04F-C8525809B223}"/>
    <hyperlink ref="K807" r:id="rId29" display="marilya.mitkova@extern.barmenia.de" xr:uid="{99D4CBDA-53F6-4E62-B51B-635F44FE0944}"/>
    <hyperlink ref="K808" r:id="rId30" display="marilya.mitkova@extern.barmenia.de" xr:uid="{08BD5AEC-23EE-4C3C-B19F-C977A5583E64}"/>
    <hyperlink ref="K837" r:id="rId31" display="marilya.mitkova@extern.barmenia.de" xr:uid="{118A29FB-F0A7-4686-AA11-099929351EB6}"/>
    <hyperlink ref="K838" r:id="rId32" display="marilya.mitkova@extern.barmenia.de" xr:uid="{13F18A1A-49F5-4226-A739-DA5F6E303936}"/>
    <hyperlink ref="K653" r:id="rId33" display="marilya.mitkova@extern.barmenia.de" xr:uid="{12BF99AA-CD51-42E3-A6FE-45A82E454D81}"/>
    <hyperlink ref="K654" r:id="rId34" display="marilya.mitkova@extern.barmenia.de" xr:uid="{6859D517-7522-4C27-B6FC-22D1DA370CB8}"/>
    <hyperlink ref="K656" r:id="rId35" display="vjollca.qela@barmenia.de" xr:uid="{A6FF6E4C-9C42-4AA7-B5B2-45C088F37D97}"/>
    <hyperlink ref="K655" r:id="rId36" display="marilya.mitkova@extern.barmenia.de" xr:uid="{2341B252-126F-46BC-B2F2-6D5637DFC499}"/>
    <hyperlink ref="K657" r:id="rId37" display="marilya.mitkova@extern.barmenia.de" xr:uid="{127900FB-7E6A-4969-91BF-4DE896AA2ECB}"/>
    <hyperlink ref="K703" r:id="rId38" display="marilya.mitkova@extern.barmenia.de" xr:uid="{03854C9A-07E3-45F1-9506-5FA95D698F38}"/>
    <hyperlink ref="K839" r:id="rId39" display="marilya.mitkova@extern.barmenia.de" xr:uid="{39B283C0-6872-4F10-9C14-74722EA78F69}"/>
    <hyperlink ref="K128" r:id="rId40" display="marilya.mitkova@extern.barmenia.de" xr:uid="{A15C414F-EFA4-4C32-95D7-C3F0312C031C}"/>
    <hyperlink ref="K188" r:id="rId41" display="marilya.mitkova@extern.barmenia.de" xr:uid="{C83D10DB-DA57-44D5-A37B-C8C3F98C5AF7}"/>
    <hyperlink ref="K189" r:id="rId42" display="marilya.mitkova@extern.barmenia.de" xr:uid="{5717C694-84DE-45F2-B55D-8B7BAE5A3D37}"/>
    <hyperlink ref="K247" r:id="rId43" display="marilya.mitkova@extern.barmenia.de" xr:uid="{5CFF15BF-D834-400F-8AE1-DA227C07FC71}"/>
    <hyperlink ref="K248" r:id="rId44" display="marilya.mitkova@extern.barmenia.de" xr:uid="{31414ABC-D52C-441B-8CFF-2A466756CD8C}"/>
    <hyperlink ref="K249" r:id="rId45" display="marilya.mitkova@extern.barmenia.de" xr:uid="{7998D20F-02CF-4F24-A0F1-BF44839FB420}"/>
    <hyperlink ref="K529" r:id="rId46" display="marilya.mitkova@extern.barmenia.de" xr:uid="{F884A443-78E3-499A-806F-1BC494714A5A}"/>
    <hyperlink ref="K814" r:id="rId47" display="marilya.mitkova@extern.barmenia.de" xr:uid="{AEE705DE-4A5D-46F8-86AE-732796BD771C}"/>
    <hyperlink ref="K394" r:id="rId48" display="marilya.mitkova@extern.barmenia.de" xr:uid="{E9BE7BA7-1847-4FD1-83C1-DD37BE469D57}"/>
    <hyperlink ref="K790" r:id="rId49" display="marilya.mitkova@extern.barmenia.de" xr:uid="{F47102DE-B1D8-4510-97C4-E40C310D8154}"/>
    <hyperlink ref="K684" r:id="rId50" display="marilya.mitkova@extern.barmenia.de" xr:uid="{F7424E29-A68C-4FCE-8E70-4CA599A745DF}"/>
    <hyperlink ref="K683" r:id="rId51" display="marilya.mitkova@extern.barmenia.de" xr:uid="{B3E8EA93-1180-487B-A4C1-D35071284A77}"/>
    <hyperlink ref="K476" r:id="rId52" display="marilya.mitkova@extern.barmenia.de" xr:uid="{CB5368BC-34AE-4FA4-BFBE-752B6C8FB095}"/>
    <hyperlink ref="K358" r:id="rId53" display="marilya.mitkova@extern.barmenia.de" xr:uid="{5527FF18-2759-4643-A894-7EB30C1BAB7F}"/>
    <hyperlink ref="K357" r:id="rId54" display="marilya.mitkova@extern.barmenia.de" xr:uid="{BF502006-6463-4023-986A-27ED7EB7DC5E}"/>
    <hyperlink ref="K300" r:id="rId55" display="marilya.mitkova@extern.barmenia.de" xr:uid="{43352D88-1748-474D-A14D-49D474B70BEB}"/>
    <hyperlink ref="K278" r:id="rId56" display="marilya.mitkova@extern.barmenia.de" xr:uid="{66B41CFA-C595-479E-BF51-DF1A01310DA7}"/>
    <hyperlink ref="K844" r:id="rId57" display="marilya.mitkova@extern.barmenia.de" xr:uid="{C5529253-AFFF-4C30-9B64-A4992E71A9DB}"/>
    <hyperlink ref="K449" r:id="rId58" display="marilya.mitkova@extern.barmenia.de" xr:uid="{EEC23927-921E-4A26-9B06-4108B34B0370}"/>
    <hyperlink ref="K418" r:id="rId59" display="marilya.mitkova@extern.barmenia.de" xr:uid="{361AE05E-D44E-4797-9BE8-BAF21B3903CE}"/>
    <hyperlink ref="K346" r:id="rId60" display="marilya.mitkova@extern.barmenia.de" xr:uid="{E2F908D6-5E99-4443-9D49-DFE56FB45583}"/>
    <hyperlink ref="K345" r:id="rId61" display="marilya.mitkova@extern.barmenia.de" xr:uid="{5000DA90-7E98-4357-9BA0-7CF044729654}"/>
    <hyperlink ref="K271" r:id="rId62" display="marilya.mitkova@extern.barmenia.de" xr:uid="{AC3667FF-E365-449A-8E4B-E970A9FE5CBE}"/>
    <hyperlink ref="K270" r:id="rId63" display="marilya.mitkova@extern.barmenia.de" xr:uid="{528FF082-A281-43D2-AC84-BA8CB8703684}"/>
    <hyperlink ref="K150" r:id="rId64" display="marilya.mitkova@extern.barmenia.de" xr:uid="{303C6A50-A99E-40F7-867D-D9805EFD732C}"/>
    <hyperlink ref="K149" r:id="rId65" display="marilya.mitkova@extern.barmenia.de" xr:uid="{FB6556BE-F54A-4ACC-A013-AA34BC600F75}"/>
    <hyperlink ref="K148" r:id="rId66" display="marilya.mitkova@extern.barmenia.de" xr:uid="{60268F0D-7305-4B5A-8357-57B5F7530BD5}"/>
    <hyperlink ref="K92" r:id="rId67" display="marilya.mitkova@extern.barmenia.de" xr:uid="{064C08AE-5C02-4D58-AB29-D4E903A9C0D5}"/>
    <hyperlink ref="K610" r:id="rId68" display="marilya.mitkova@extern.barmenia.de" xr:uid="{1920933B-026B-4783-989F-B5AEFEACF652}"/>
    <hyperlink ref="K609" r:id="rId69" display="marilya.mitkova@extern.barmenia.de" xr:uid="{317D1FEF-754F-4D09-962B-66310FCE07CB}"/>
    <hyperlink ref="K472" r:id="rId70" display="marilya.mitkova@extern.barmenia.de" xr:uid="{108FF256-33CA-4692-8CB7-CEEE284E4785}"/>
    <hyperlink ref="K417" r:id="rId71" display="marilya.mitkova@extern.barmenia.de" xr:uid="{7B1B64B2-728E-4A19-BBE5-D280ED26B65A}"/>
    <hyperlink ref="K416" r:id="rId72" display="marilya.mitkova@extern.barmenia.de" xr:uid="{5C9002BD-623B-420D-BA9A-CF3B4BD42435}"/>
    <hyperlink ref="K415" r:id="rId73" display="marilya.mitkova@extern.barmenia.de" xr:uid="{83C4A2BB-7181-4CDA-B6B7-8E634FF1D84A}"/>
    <hyperlink ref="K344" r:id="rId74" display="marilya.mitkova@extern.barmenia.de" xr:uid="{7320EC98-F422-473A-864D-391B54DC8601}"/>
    <hyperlink ref="K269" r:id="rId75" display="marilya.mitkova@extern.barmenia.de" xr:uid="{7FE49D98-A145-4B5B-A560-D3D81BCC33A9}"/>
    <hyperlink ref="K268" r:id="rId76" display="marilya.mitkova@extern.barmenia.de" xr:uid="{7C16AFB6-1166-4441-92B8-77A9CF741B5A}"/>
    <hyperlink ref="K267" r:id="rId77" display="marilya.mitkova@extern.barmenia.de" xr:uid="{F50B3175-E7B9-4E34-BD4B-17AADC11593C}"/>
    <hyperlink ref="K266" r:id="rId78" display="marilya.mitkova@extern.barmenia.de" xr:uid="{2F33F157-F982-48D4-873F-F9BB9FBB7C99}"/>
    <hyperlink ref="K265" r:id="rId79" display="marilya.mitkova@extern.barmenia.de" xr:uid="{21DDA86F-255A-4215-A186-DC6FEAB0A016}"/>
    <hyperlink ref="K147" r:id="rId80" display="marilya.mitkova@extern.barmenia.de" xr:uid="{C0A7D39B-0238-43EB-B3F3-253E0E4123CB}"/>
    <hyperlink ref="K58" r:id="rId81" display="marilya.mitkova@extern.barmenia.de" xr:uid="{A3614FA3-CEBD-43CD-9CF3-3BDA2D375201}"/>
    <hyperlink ref="K57" r:id="rId82" display="marilya.mitkova@extern.barmenia.de" xr:uid="{94C2D3C4-374E-45C2-AC0C-DA7F0B4D1B26}"/>
    <hyperlink ref="K566" r:id="rId83" display="marilya.mitkova@extern.barmenia.de" xr:uid="{3F883F53-11B6-4527-A483-1140009B8F51}"/>
    <hyperlink ref="K843" r:id="rId84" display="marilya.mitkova@extern.barmenia.de" xr:uid="{44BBAA62-0613-41A6-969B-2D43EEA21D24}"/>
    <hyperlink ref="K841" r:id="rId85" display="marilya.mitkova@extern.barmenia.de" xr:uid="{5098B463-73E6-4BC8-9A39-3F0FFDB68E89}"/>
    <hyperlink ref="K791" r:id="rId86" display="marilya.mitkova@extern.barmenia.de" xr:uid="{2FBC4B9F-3671-44B3-8960-B5F07AA2AC31}"/>
    <hyperlink ref="K774" r:id="rId87" display="marilya.mitkova@extern.barmenia.de" xr:uid="{700A35EA-8BC7-42A6-AAB1-008B34BE4ED9}"/>
    <hyperlink ref="K772" r:id="rId88" display="marilya.mitkova@extern.barmenia.de" xr:uid="{DE611A9F-0128-4A7F-AD67-FB7F9D079F41}"/>
    <hyperlink ref="K770" r:id="rId89" display="marilya.mitkova@extern.barmenia.de" xr:uid="{8BF64391-D82F-42DA-9834-5FDEE04D67D1}"/>
    <hyperlink ref="K716" r:id="rId90" display="marilya.mitkova@extern.barmenia.de" xr:uid="{E8328569-4096-47A8-905A-CAA10534951A}"/>
    <hyperlink ref="K714" r:id="rId91" display="marilya.mitkova@extern.barmenia.de" xr:uid="{4F196CC0-DB5D-4372-9C25-2BD80A9613D8}"/>
    <hyperlink ref="K708" r:id="rId92" display="marilya.mitkova@extern.barmenia.de" xr:uid="{B9B087F6-DA3E-4FD3-99C7-04BD08C88905}"/>
    <hyperlink ref="K527" r:id="rId93" display="marilya.mitkova@extern.barmenia.de" xr:uid="{CE323991-498E-47E8-A1FD-810FB3B371CB}"/>
    <hyperlink ref="K525" r:id="rId94" display="marilya.mitkova@extern.barmenia.de" xr:uid="{BDA7C688-8663-4C8A-BB24-0B42831BC49A}"/>
    <hyperlink ref="K523" r:id="rId95" display="marilya.mitkova@extern.barmenia.de" xr:uid="{7ECAEDFE-4FB5-4E79-BAA4-38789EE151FD}"/>
    <hyperlink ref="K245" r:id="rId96" display="marilya.mitkova@extern.barmenia.de" xr:uid="{9E3BE7C9-E1B7-4B27-848F-9C3299669F7C}"/>
    <hyperlink ref="K243" r:id="rId97" display="marilya.mitkova@extern.barmenia.de" xr:uid="{CA155CE6-BA7A-4471-8AEE-C73F5A732EAC}"/>
    <hyperlink ref="K393" r:id="rId98" display="marilya.mitkova@extern.barmenia.de" xr:uid="{C7CEEF30-F5CB-4123-87B8-D4EFCB7ABD06}"/>
    <hyperlink ref="K391" r:id="rId99" display="marilya.mitkova@extern.barmenia.de" xr:uid="{012772C7-9BED-42C2-ADE7-BCA3211A22D1}"/>
    <hyperlink ref="K364" r:id="rId100" display="marilya.mitkova@extern.barmenia.de" xr:uid="{433DF39D-D430-4431-94B9-CA3F5438A8C3}"/>
    <hyperlink ref="K241" r:id="rId101" display="marilya.mitkova@extern.barmenia.de" xr:uid="{F1C2A9CE-3B0A-4832-8A76-DE7367E03C30}"/>
    <hyperlink ref="K239" r:id="rId102" display="marilya.mitkova@extern.barmenia.de" xr:uid="{7896008F-1AC6-4168-9BEF-8EC7664662B7}"/>
    <hyperlink ref="K237" r:id="rId103" display="marilya.mitkova@extern.barmenia.de" xr:uid="{13CD88CA-E46D-41A3-935F-047B68FFE8FA}"/>
    <hyperlink ref="K235" r:id="rId104" display="marilya.mitkova@extern.barmenia.de" xr:uid="{F87DDF6C-BCEB-4EBC-A27D-FB5B4654FB13}"/>
    <hyperlink ref="K233" r:id="rId105" display="marilya.mitkova@extern.barmenia.de" xr:uid="{BEC40217-B865-44B7-8AB9-B41FAF1EBB22}"/>
    <hyperlink ref="K187" r:id="rId106" display="marilya.mitkova@extern.barmenia.de" xr:uid="{8D903FBC-9BAF-403E-87A7-17A02124FF44}"/>
    <hyperlink ref="K185" r:id="rId107" display="marilya.mitkova@extern.barmenia.de" xr:uid="{E6A17259-DD94-434A-BE93-8E2DFE500252}"/>
    <hyperlink ref="K183" r:id="rId108" display="marilya.mitkova@extern.barmenia.de" xr:uid="{481E597E-96BA-4EB7-BA64-10A942488346}"/>
    <hyperlink ref="K181" r:id="rId109" display="marilya.mitkova@extern.barmenia.de" xr:uid="{67ABCE58-8CEE-4D48-AE38-9012C9A4AFA8}"/>
    <hyperlink ref="K179" r:id="rId110" display="marilya.mitkova@extern.barmenia.de" xr:uid="{CCA4054E-0B00-4E7E-8D1A-6B16992CC0DE}"/>
    <hyperlink ref="K362" r:id="rId111" display="marilya.mitkova@extern.barmenia.de" xr:uid="{5B5C3480-B3EC-4CD7-9492-6554F2E8E58B}"/>
    <hyperlink ref="K809" r:id="rId112" display="marilya.mitkova@extern.barmenia.de" xr:uid="{1D138987-2E86-48EF-8C2C-54D709523CEB}"/>
    <hyperlink ref="K707" r:id="rId113" display="marilya.mitkova@extern.barmenia.de" xr:uid="{EED9B252-A237-4D02-8DB8-874CF2055C92}"/>
    <hyperlink ref="K706" r:id="rId114" display="marilya.mitkova@extern.barmenia.de" xr:uid="{A84590DE-8ECA-412A-BF01-4011C0E48AB6}"/>
    <hyperlink ref="K704" r:id="rId115" display="marilya.mitkova@extern.barmenia.de" xr:uid="{BF46E492-F9EE-413D-85EE-3441C019A246}"/>
    <hyperlink ref="K649" r:id="rId116" display="marilya.mitkova@extern.barmenia.de" xr:uid="{55E95545-32C1-4B13-9955-808F20A15EF9}"/>
    <hyperlink ref="K836" r:id="rId117" display="marilya.mitkova@extern.barmenia.de" xr:uid="{CA51D2F8-3AD3-4562-BCD0-37B16DDD230F}"/>
    <hyperlink ref="K834" r:id="rId118" display="marilya.mitkova@extern.barmenia.de" xr:uid="{E99AE59D-2EA8-49AE-A0D6-578288A88B35}"/>
    <hyperlink ref="K832" r:id="rId119" display="marilya.mitkova@extern.barmenia.de" xr:uid="{8CAD35F3-4D3A-486E-B4ED-6AE4A10F0891}"/>
    <hyperlink ref="K616" r:id="rId120" display="marilya.mitkova@extern.barmenia.de" xr:uid="{D892CDE0-A201-4900-B496-983F146D4FB4}"/>
    <hyperlink ref="K829" r:id="rId121" display="marilya.mitkova@extern.barmenia.de" xr:uid="{D3529480-BF91-431C-8C62-484C76D16EFA}"/>
    <hyperlink ref="K827" r:id="rId122" display="marilya.mitkova@extern.barmenia.de" xr:uid="{61247EEE-A597-4FC1-AD4D-9450108B16FB}"/>
    <hyperlink ref="K825" r:id="rId123" display="marilya.mitkova@extern.barmenia.de" xr:uid="{C3893CD9-F169-442E-8057-4C2260AA6847}"/>
    <hyperlink ref="K823" r:id="rId124" display="marilya.mitkova@extern.barmenia.de" xr:uid="{9E432DC0-1A1B-4B13-AB64-9BB34EB5F8F6}"/>
    <hyperlink ref="K821" r:id="rId125" display="marilya.mitkova@extern.barmenia.de" xr:uid="{03971A7A-C8E5-4C9A-84F6-C4300A78765A}"/>
    <hyperlink ref="K819" r:id="rId126" display="marilya.mitkova@extern.barmenia.de" xr:uid="{FD07F632-DD55-4C31-AFE8-70B4090A69CF}"/>
    <hyperlink ref="K815" r:id="rId127" display="marilya.mitkova@extern.barmenia.de" xr:uid="{13DB80FA-7648-4F90-9332-EC3A06F432DD}"/>
    <hyperlink ref="K806" r:id="rId128" display="marilya.mitkova@extern.barmenia.de" xr:uid="{1074C84C-0917-4ABC-9BEF-092A792948F3}"/>
    <hyperlink ref="K805" r:id="rId129" display="marilya.mitkova@extern.barmenia.de" xr:uid="{BA86FCF2-8D54-4DF3-B0F5-FF2355F56F41}"/>
    <hyperlink ref="K768" r:id="rId130" display="marilya.mitkova@extern.barmenia.de" xr:uid="{5C9D1CDE-2587-4494-A897-AD1976C3301E}"/>
    <hyperlink ref="K748" r:id="rId131" display="marilya.mitkova@extern.barmenia.de" xr:uid="{C760782D-BA6D-4363-8286-E57B09BC1FB0}"/>
    <hyperlink ref="K746" r:id="rId132" display="marilya.mitkova@extern.barmenia.de" xr:uid="{D85C983D-6495-4032-8879-52BE8358AC67}"/>
    <hyperlink ref="K744" r:id="rId133" display="marilya.mitkova@extern.barmenia.de" xr:uid="{16C26E9A-05A5-4C05-B155-9A64BD332B5D}"/>
    <hyperlink ref="K742" r:id="rId134" display="marilya.mitkova@extern.barmenia.de" xr:uid="{DFCDA9CC-CA63-4E91-979E-57A00CB03000}"/>
    <hyperlink ref="K740" r:id="rId135" display="marilya.mitkova@extern.barmenia.de" xr:uid="{2A81483B-8C83-43ED-BC63-33A83EA6C33A}"/>
    <hyperlink ref="K738" r:id="rId136" display="marilya.mitkova@extern.barmenia.de" xr:uid="{B9472626-0F91-4E50-B44F-7C56F21EF291}"/>
    <hyperlink ref="K736" r:id="rId137" display="marilya.mitkova@extern.barmenia.de" xr:uid="{60342833-F6EE-46B6-92DC-D541E10DC13B}"/>
    <hyperlink ref="K734" r:id="rId138" display="marilya.mitkova@extern.barmenia.de" xr:uid="{02544FFB-7727-4B41-86B7-2C96EF59B4FB}"/>
    <hyperlink ref="K481" r:id="rId139" display="marilya.mitkova@extern.barmenia.de" xr:uid="{BAA2E743-4EEF-4E8C-8EB5-3E229B075569}"/>
    <hyperlink ref="K480" r:id="rId140" display="marilya.mitkova@extern.barmenia.de" xr:uid="{BDC51F24-D2D7-408F-B93D-83909DDAD30F}"/>
    <hyperlink ref="K700" r:id="rId141" display="marilya.mitkova@extern.barmenia.de" xr:uid="{A8A2B0A7-0642-40B9-9963-C7932C588052}"/>
    <hyperlink ref="K699" r:id="rId142" display="marilya.mitkova@extern.barmenia.de" xr:uid="{A61408D0-3D3E-4C4C-9D08-196E5B953354}"/>
    <hyperlink ref="K466" r:id="rId143" display="marilya.mitkova@extern.barmenia.de" xr:uid="{271FB0BD-9715-46FB-9ED3-FDAC4050196E}"/>
    <hyperlink ref="K697" r:id="rId144" display="marilya.mitkova@extern.barmenia.de" xr:uid="{034010BC-CD9F-4419-80D9-1781A22A0BAC}"/>
    <hyperlink ref="K464" r:id="rId145" display="marilya.mitkova@extern.barmenia.de" xr:uid="{DFD47BA6-66D3-482A-A87E-B3A1B9D39C48}"/>
    <hyperlink ref="K695" r:id="rId146" display="marilya.mitkova@extern.barmenia.de" xr:uid="{696D520C-B5E1-443D-8A4D-ACDEBDBD55FA}"/>
    <hyperlink ref="K463" r:id="rId147" display="marilya.mitkova@extern.barmenia.de" xr:uid="{6412C5E5-93F7-41FC-A1FC-422C3286EB48}"/>
    <hyperlink ref="K692" r:id="rId148" display="marilya.mitkova@extern.barmenia.de" xr:uid="{5A8C8622-71B3-4336-BCA3-21A12F8594A9}"/>
    <hyperlink ref="K690" r:id="rId149" display="marilya.mitkova@extern.barmenia.de" xr:uid="{7C851774-89A5-463B-8A5A-5048581B8AB9}"/>
    <hyperlink ref="K688" r:id="rId150" display="marilya.mitkova@extern.barmenia.de" xr:uid="{CF31E63D-A20A-4A43-BD37-95161F74450D}"/>
    <hyperlink ref="K686" r:id="rId151" display="marilya.mitkova@extern.barmenia.de" xr:uid="{BFED0D56-73A7-423E-87E2-BA9DA6CCAB1A}"/>
    <hyperlink ref="K430" r:id="rId152" display="marilya.mitkova@extern.barmenia.de" xr:uid="{DDD4941F-7198-40FD-B961-7327E8F3E7A5}"/>
    <hyperlink ref="K646" r:id="rId153" display="marilya.mitkova@extern.barmenia.de" xr:uid="{991A9EDF-AC70-4BDC-9CC8-B50F2FCE9334}"/>
    <hyperlink ref="K645" r:id="rId154" display="marilya.mitkova@extern.barmenia.de" xr:uid="{33D05306-A8FB-4817-87FD-059B63A0797E}"/>
    <hyperlink ref="K643" r:id="rId155" display="marilya.mitkova@extern.barmenia.de" xr:uid="{FB37E7F7-CFF8-44E3-9C50-8EECFEDBBC53}"/>
    <hyperlink ref="K640" r:id="rId156" display="marilya.mitkova@extern.barmenia.de" xr:uid="{68835A55-D30F-435C-99DC-0667C3B5297B}"/>
    <hyperlink ref="K639" r:id="rId157" display="marilya.mitkova@extern.barmenia.de" xr:uid="{4852FEEB-DA07-4D1D-9500-4923651DE542}"/>
    <hyperlink ref="K389" r:id="rId158" display="marilya.mitkova@extern.barmenia.de" xr:uid="{D8D47755-B66B-4F52-98B8-821D00F66648}"/>
    <hyperlink ref="K637" r:id="rId159" display="marilya.mitkova@extern.barmenia.de" xr:uid="{9BD9C078-AF27-4AF4-BE7F-48D25EF7DB8C}"/>
    <hyperlink ref="K635" r:id="rId160" display="marilya.mitkova@extern.barmenia.de" xr:uid="{303B3540-058C-43F2-9366-75D21A59E4A5}"/>
    <hyperlink ref="K633" r:id="rId161" display="marilya.mitkova@extern.barmenia.de" xr:uid="{BA2C260D-771C-4CE8-9E77-9719A34F87FB}"/>
    <hyperlink ref="K631" r:id="rId162" display="marilya.mitkova@extern.barmenia.de" xr:uid="{E53AA1DE-7ABC-4EC5-A59E-914076F4AB87}"/>
    <hyperlink ref="K628" r:id="rId163" display="marilya.mitkova@extern.barmenia.de" xr:uid="{C4321564-346B-4A91-9CC3-ACF8A2A0E0DC}"/>
    <hyperlink ref="K626" r:id="rId164" display="marilya.mitkova@extern.barmenia.de" xr:uid="{E0700763-FD56-45DF-9036-1E991628EC60}"/>
    <hyperlink ref="K624" r:id="rId165" display="marilya.mitkova@extern.barmenia.de" xr:uid="{BA0795A7-BBC7-4A78-BFBB-8DF5C1215C85}"/>
    <hyperlink ref="K620" r:id="rId166" display="marilya.mitkova@extern.barmenia.de" xr:uid="{90362EB9-DBC1-441C-B084-AEFAB50ECD08}"/>
    <hyperlink ref="K617" r:id="rId167" display="marilya.mitkova@extern.barmenia.de" xr:uid="{297A5B8C-31A6-4BBA-83FB-7DB6E5D9F982}"/>
    <hyperlink ref="K309" r:id="rId168" display="marilya.mitkova@extern.barmenia.de" xr:uid="{40902530-D060-4718-94C9-25DD08FC08E1}"/>
    <hyperlink ref="K601" r:id="rId169" display="marilya.mitkova@extern.barmenia.de" xr:uid="{1291DAC5-553E-453C-B3DA-1900D9DAB29F}"/>
    <hyperlink ref="K282" r:id="rId170" display="marilya.mitkova@extern.barmenia.de" xr:uid="{28C30A90-B1FE-4331-8506-F856D1B11199}"/>
    <hyperlink ref="K518" r:id="rId171" display="marilya.mitkova@extern.barmenia.de" xr:uid="{901AC62E-8681-4931-B39E-06EAAE160E93}"/>
    <hyperlink ref="K280" r:id="rId172" display="marilya.mitkova@extern.barmenia.de" xr:uid="{EE33D2F8-09CC-4F24-8774-BB147A3B7490}"/>
    <hyperlink ref="K516" r:id="rId173" display="marilya.mitkova@extern.barmenia.de" xr:uid="{9E161FBE-0298-4F4E-A4C6-0489141CFBFD}"/>
    <hyperlink ref="K514" r:id="rId174" display="marilya.mitkova@extern.barmenia.de" xr:uid="{79A522F9-D423-4616-8E30-DAB205D73C54}"/>
    <hyperlink ref="K512" r:id="rId175" display="marilya.mitkova@extern.barmenia.de" xr:uid="{FF22BC0E-283E-4E45-A032-405EBE139874}"/>
    <hyperlink ref="K510" r:id="rId176" display="marilya.mitkova@extern.barmenia.de" xr:uid="{AD86EF46-3DFB-4887-9F0C-73F8E101FF92}"/>
    <hyperlink ref="K508" r:id="rId177" display="marilya.mitkova@extern.barmenia.de" xr:uid="{512135B0-E32D-42CD-AFF5-E7525D80C132}"/>
    <hyperlink ref="K477" r:id="rId178" display="marilya.mitkova@extern.barmenia.de" xr:uid="{819DE9CE-D7C5-473D-96AA-901DBB138F26}"/>
    <hyperlink ref="K461" r:id="rId179" display="marilya.mitkova@extern.barmenia.de" xr:uid="{52C29E3E-A483-4CD5-A532-852CB8E4D520}"/>
    <hyperlink ref="K460" r:id="rId180" display="marilya.mitkova@extern.barmenia.de" xr:uid="{DD03F591-5EFC-4D87-9AE0-5CB50D418300}"/>
    <hyperlink ref="K458" r:id="rId181" display="marilya.mitkova@extern.barmenia.de" xr:uid="{6E0AACB0-12C4-4205-8717-05C9B8DE419E}"/>
    <hyperlink ref="K428" r:id="rId182" display="marilya.mitkova@extern.barmenia.de" xr:uid="{6184A4B7-A37D-4FE2-B364-9FB5414D8AC2}"/>
    <hyperlink ref="K221" r:id="rId183" display="marilya.mitkova@extern.barmenia.de" xr:uid="{F628596F-BC4E-48E2-8343-6A1929086F2D}"/>
    <hyperlink ref="K177" r:id="rId184" display="marilya.mitkova@extern.barmenia.de" xr:uid="{48F70A1F-4CDC-42BB-8A74-709AD5780176}"/>
    <hyperlink ref="K176" r:id="rId185" display="marilya.mitkova@extern.barmenia.de" xr:uid="{5FC22FF7-E7E1-4D81-8D97-91909D9AA82A}"/>
    <hyperlink ref="K304" r:id="rId186" display="marilya.mitkova@extern.barmenia.de" xr:uid="{4093164B-C1FA-4D57-9A5B-DF7057CC4462}"/>
    <hyperlink ref="K175" r:id="rId187" display="marilya.mitkova@extern.barmenia.de" xr:uid="{91EEBFE1-F365-4139-810C-E98BCC2B4C99}"/>
    <hyperlink ref="K230" r:id="rId188" display="marilya.mitkova@extern.barmenia.de" xr:uid="{29186D70-2440-40D3-BB2A-FD8C5A181EA7}"/>
    <hyperlink ref="K228" r:id="rId189" display="marilya.mitkova@extern.barmenia.de" xr:uid="{23884421-6466-42AE-98A6-D4F5266602E4}"/>
    <hyperlink ref="K219" r:id="rId190" display="marilya.mitkova@extern.barmenia.de" xr:uid="{86D15117-6037-4486-BD47-7C234C59A927}"/>
    <hyperlink ref="K217" r:id="rId191" display="marilya.mitkova@extern.barmenia.de" xr:uid="{B5C98316-F14C-414C-ADF0-52788EB50DEE}"/>
    <hyperlink ref="K215" r:id="rId192" display="marilya.mitkova@extern.barmenia.de" xr:uid="{FE5B1713-E524-4510-AB57-5BFFB0961C41}"/>
    <hyperlink ref="K213" r:id="rId193" display="marilya.mitkova@extern.barmenia.de" xr:uid="{8C25BBB3-C08B-443F-A359-B14338EDB81A}"/>
    <hyperlink ref="K171" r:id="rId194" display="marilya.mitkova@extern.barmenia.de" xr:uid="{158D3C83-0E87-4140-9006-6DE8ECB189F6}"/>
    <hyperlink ref="K169" r:id="rId195" display="marilya.mitkova@extern.barmenia.de" xr:uid="{F9C25896-1567-4693-9FBE-E199B6025BEB}"/>
    <hyperlink ref="K122" r:id="rId196" display="marilya.mitkova@extern.barmenia.de" xr:uid="{F6D3E392-DFE1-4AEA-97E9-E996D840108F}"/>
    <hyperlink ref="K118" r:id="rId197" display="marilya.mitkova@extern.barmenia.de" xr:uid="{71F9CF98-0CBC-4D40-8D4C-C6DBA2C00761}"/>
    <hyperlink ref="K116" r:id="rId198" display="marilya.mitkova@extern.barmenia.de" xr:uid="{7EEABDA2-6C8D-44AA-A3A9-DA539A9A4214}"/>
    <hyperlink ref="K114" r:id="rId199" display="marilya.mitkova@extern.barmenia.de" xr:uid="{013AA3AC-C900-434E-9EBB-4586E83D5E24}"/>
    <hyperlink ref="K112" r:id="rId200" display="marilya.mitkova@extern.barmenia.de" xr:uid="{65775BF6-8981-4AEF-AC73-9BD7EAB5BE07}"/>
    <hyperlink ref="K110" r:id="rId201" display="marilya.mitkova@extern.barmenia.de" xr:uid="{A631F868-5D29-436C-9A03-6EA89A8C536C}"/>
    <hyperlink ref="K108" r:id="rId202" display="marilya.mitkova@extern.barmenia.de" xr:uid="{24F793C5-DE16-4E5C-A581-F1EE4BB0CCB4}"/>
    <hyperlink ref="K106" r:id="rId203" display="marilya.mitkova@extern.barmenia.de" xr:uid="{1BAD5523-8395-421C-B476-E9A7AD77EBC8}"/>
    <hyperlink ref="K104" r:id="rId204" display="marilya.mitkova@extern.barmenia.de" xr:uid="{6D9F62CF-E2BE-4013-9375-5AD403F87488}"/>
    <hyperlink ref="K102" r:id="rId205" display="marilya.mitkova@extern.barmenia.de" xr:uid="{7E90A240-F32E-4E01-8D03-5079B187773B}"/>
    <hyperlink ref="K67" r:id="rId206" display="marilya.mitkova@extern.barmenia.de" xr:uid="{5A1D1A54-DEA9-4282-8DCE-437BA87406AE}"/>
    <hyperlink ref="K65" r:id="rId207" display="marilya.mitkova@extern.barmenia.de" xr:uid="{FB322980-AB28-4969-B607-7AF77E926A0B}"/>
    <hyperlink ref="K63" r:id="rId208" display="marilya.mitkova@extern.barmenia.de" xr:uid="{4D1D3278-D6B1-4498-958B-29A752F7B7A9}"/>
    <hyperlink ref="K801" r:id="rId209" display="marilya.mitkova@extern.barmenia.de" xr:uid="{72A70028-D45A-4EB6-A429-A3D4766AF970}"/>
    <hyperlink ref="K799" r:id="rId210" display="marilya.mitkova@extern.barmenia.de" xr:uid="{F9DFF3C5-6603-4788-BBC4-167D107FA10A}"/>
    <hyperlink ref="K797" r:id="rId211" display="marilya.mitkova@extern.barmenia.de" xr:uid="{69CA6449-CA8A-4D79-868D-CE647F258BAD}"/>
    <hyperlink ref="K788" r:id="rId212" display="marilya.mitkova@extern.barmenia.de" xr:uid="{70B396C6-D513-43E4-8539-589EBBF30176}"/>
    <hyperlink ref="K786" r:id="rId213" display="marilya.mitkova@extern.barmenia.de" xr:uid="{766DCE1C-BC5C-4029-B218-9DBCC9FFE0AE}"/>
    <hyperlink ref="K784" r:id="rId214" display="marilya.mitkova@extern.barmenia.de" xr:uid="{11F5F2D3-BB63-42B2-9B84-2C4104605E6B}"/>
    <hyperlink ref="K778" r:id="rId215" display="marilya.mitkova@extern.barmenia.de" xr:uid="{79A79C8F-9C9A-439A-91FC-C6C0A8926FE5}"/>
    <hyperlink ref="K776" r:id="rId216" display="marilya.mitkova@extern.barmenia.de" xr:uid="{AB57E003-D018-4D28-B9EA-040C342DE59D}"/>
    <hyperlink ref="K766" r:id="rId217" display="marilya.mitkova@extern.barmenia.de" xr:uid="{F3126844-96C7-44A2-96BD-7132693E474F}"/>
    <hyperlink ref="K764" r:id="rId218" display="marilya.mitkova@extern.barmenia.de" xr:uid="{A86F6A6E-2B64-49CB-BADE-50496A023835}"/>
    <hyperlink ref="K762" r:id="rId219" display="marilya.mitkova@extern.barmenia.de" xr:uid="{6353953A-D67F-49A0-B125-055140EC4AA6}"/>
    <hyperlink ref="K728" r:id="rId220" display="marilya.mitkova@extern.barmenia.de" xr:uid="{2FB127F5-5377-4FA9-BB83-C2EEDAA20310}"/>
    <hyperlink ref="K726" r:id="rId221" display="marilya.mitkova@extern.barmenia.de" xr:uid="{F4467D33-DA05-494A-BEC4-638C339FB305}"/>
    <hyperlink ref="K724" r:id="rId222" display="marilya.mitkova@extern.barmenia.de" xr:uid="{B7BC62D4-C9D2-42C0-912C-8E5EB74039BC}"/>
    <hyperlink ref="K682" r:id="rId223" display="marilya.mitkova@extern.barmenia.de" xr:uid="{8FA2FE31-988F-4491-B2CC-378D085791E6}"/>
    <hyperlink ref="K680" r:id="rId224" display="marilya.mitkova@extern.barmenia.de" xr:uid="{02B9EFEB-4F31-42EB-8614-4A3418C5241C}"/>
    <hyperlink ref="K678" r:id="rId225" display="marilya.mitkova@extern.barmenia.de" xr:uid="{8BEACA58-46D2-4109-A529-4757E1D152F1}"/>
    <hyperlink ref="K676" r:id="rId226" display="marilya.mitkova@extern.barmenia.de" xr:uid="{52FCDFFF-E328-4434-A25F-99B9D2175513}"/>
    <hyperlink ref="K674" r:id="rId227" display="marilya.mitkova@extern.barmenia.de" xr:uid="{A4D80927-7AFC-4383-A23E-A7937C27AEB0}"/>
    <hyperlink ref="K672" r:id="rId228" display="marilya.mitkova@extern.barmenia.de" xr:uid="{C17195BC-FB6E-4109-A72C-F26A82797044}"/>
    <hyperlink ref="K668" r:id="rId229" display="marilya.mitkova@extern.barmenia.de" xr:uid="{CD2705DC-BFC4-415C-9D72-8F2F79B370C5}"/>
    <hyperlink ref="K666" r:id="rId230" display="marilya.mitkova@extern.barmenia.de" xr:uid="{9B60FE45-70EF-4A52-B7B3-910B9A7911C9}"/>
    <hyperlink ref="K664" r:id="rId231" display="marilya.mitkova@extern.barmenia.de" xr:uid="{1FB95BB6-E518-440F-8E35-C6F95A1BE3D5}"/>
    <hyperlink ref="K614" r:id="rId232" display="marilya.mitkova@extern.barmenia.de" xr:uid="{035EDC97-DC71-4048-AF54-5E9256CBA8E1}"/>
    <hyperlink ref="K612" r:id="rId233" display="marilya.mitkova@extern.barmenia.de" xr:uid="{2809E986-8331-46E4-9617-3468111C3D0B}"/>
    <hyperlink ref="K596" r:id="rId234" display="marilya.mitkova@extern.barmenia.de" xr:uid="{6743E702-EA58-4B9E-9995-D994CD417997}"/>
    <hyperlink ref="K592" r:id="rId235" display="marilya.mitkova@extern.barmenia.de" xr:uid="{660EB68A-BEB3-43AC-BCDE-F9D592FA3A34}"/>
    <hyperlink ref="K506" r:id="rId236" display="marilya.mitkova@extern.barmenia.de" xr:uid="{07FC7E0A-3E47-42FD-8030-273F7171FB10}"/>
    <hyperlink ref="K504" r:id="rId237" display="marilya.mitkova@extern.barmenia.de" xr:uid="{E9C3717B-6728-413A-A5C3-AE1245897480}"/>
    <hyperlink ref="K502" r:id="rId238" display="marilya.mitkova@extern.barmenia.de" xr:uid="{6EDDA2C8-79C9-4E72-ABE5-5D1F15D451EF}"/>
    <hyperlink ref="K500" r:id="rId239" display="marilya.mitkova@extern.barmenia.de" xr:uid="{321B6D03-A7B1-40E2-AA8C-02098AD14F06}"/>
    <hyperlink ref="K498" r:id="rId240" display="marilya.mitkova@extern.barmenia.de" xr:uid="{46ABF132-DC54-4F2E-8A09-B0F5BF9C071E}"/>
    <hyperlink ref="K496" r:id="rId241" display="marilya.mitkova@extern.barmenia.de" xr:uid="{C3D2B11C-545E-424D-9781-F75449CF64A9}"/>
    <hyperlink ref="K494" r:id="rId242" display="marilya.mitkova@extern.barmenia.de" xr:uid="{8129A2B1-8204-43CF-B62A-11A7FB2EEED9}"/>
    <hyperlink ref="K492" r:id="rId243" display="marilya.mitkova@extern.barmenia.de" xr:uid="{CB32B9F3-14F6-4373-AE7E-FC3C554E4CDF}"/>
    <hyperlink ref="K488" r:id="rId244" display="marilya.mitkova@extern.barmenia.de" xr:uid="{A71B7FC0-3FBA-4AC6-91CE-9C5AA1263297}"/>
    <hyperlink ref="K486" r:id="rId245" display="marilya.mitkova@extern.barmenia.de" xr:uid="{3BACC7BF-3CF3-4BB4-BE47-31D4FB97F149}"/>
    <hyperlink ref="K475" r:id="rId246" display="marilya.mitkova@extern.barmenia.de" xr:uid="{9F762D9C-A790-4F05-984D-8A834B30C517}"/>
    <hyperlink ref="K473" r:id="rId247" display="marilya.mitkova@extern.barmenia.de" xr:uid="{40B57F59-0916-42C6-9439-B96F25FADECF}"/>
    <hyperlink ref="K456" r:id="rId248" display="marilya.mitkova@extern.barmenia.de" xr:uid="{FF717A83-66B0-4319-B7C7-E4AC4AC38599}"/>
    <hyperlink ref="K454" r:id="rId249" display="marilya.mitkova@extern.barmenia.de" xr:uid="{8FDA1349-9772-45E3-820B-0EFEA9755B08}"/>
    <hyperlink ref="K452" r:id="rId250" display="marilya.mitkova@extern.barmenia.de" xr:uid="{E48E9735-596C-4990-B7BC-CB1B6B342927}"/>
    <hyperlink ref="K450" r:id="rId251" display="marilya.mitkova@extern.barmenia.de" xr:uid="{893CF6C5-D5F3-4C69-8134-A2172DFC5866}"/>
    <hyperlink ref="K425" r:id="rId252" display="marilya.mitkova@extern.barmenia.de" xr:uid="{878BE19F-B09A-4254-A0CE-60E1422D09DA}"/>
    <hyperlink ref="K423" r:id="rId253" display="marilya.mitkova@extern.barmenia.de" xr:uid="{AEA8011D-D726-49F6-9CF2-0D75D8F5C579}"/>
    <hyperlink ref="K421" r:id="rId254" display="marilya.mitkova@extern.barmenia.de" xr:uid="{B4359DBB-33C6-4BAF-9FCB-CF19C1DE06BC}"/>
    <hyperlink ref="K419" r:id="rId255" display="marilya.mitkova@extern.barmenia.de" xr:uid="{1F21F018-6A0F-4422-AAF8-2DE43A1D506D}"/>
    <hyperlink ref="K387" r:id="rId256" display="marilya.mitkova@extern.barmenia.de" xr:uid="{1D121ABC-9329-42CF-9641-F93B0856529F}"/>
    <hyperlink ref="K385" r:id="rId257" display="marilya.mitkova@extern.barmenia.de" xr:uid="{5B639B7B-0090-43FF-9A01-7BFC2D5138AA}"/>
    <hyperlink ref="K383" r:id="rId258" display="marilya.mitkova@extern.barmenia.de" xr:uid="{8CE18B16-5F0B-4014-9A65-906F199CCFAF}"/>
    <hyperlink ref="K381" r:id="rId259" display="marilya.mitkova@extern.barmenia.de" xr:uid="{AD9EB4B8-3B00-4F07-B42D-EDCBC25C1D1C}"/>
    <hyperlink ref="K355" r:id="rId260" display="marilya.mitkova@extern.barmenia.de" xr:uid="{F2D52DB3-CDEA-484B-B2D7-E05976221479}"/>
    <hyperlink ref="K353" r:id="rId261" display="marilya.mitkova@extern.barmenia.de" xr:uid="{283DCD1A-62C6-414B-A5F7-A281AB0259B9}"/>
    <hyperlink ref="K347" r:id="rId262" display="marilya.mitkova@extern.barmenia.de" xr:uid="{15473D52-31AF-4529-86F0-073786A7D6C4}"/>
    <hyperlink ref="K298" r:id="rId263" display="marilya.mitkova@extern.barmenia.de" xr:uid="{3F2B96EE-8B75-4E39-9433-B80B7A048AAC}"/>
    <hyperlink ref="K296" r:id="rId264" display="marilya.mitkova@extern.barmenia.de" xr:uid="{25E7D5E8-3152-4097-A4E1-28FE6740C1DD}"/>
    <hyperlink ref="K294" r:id="rId265" display="marilya.mitkova@extern.barmenia.de" xr:uid="{2EC426AD-CD3E-4132-9AF0-7B3FA20DDB23}"/>
    <hyperlink ref="K292" r:id="rId266" display="marilya.mitkova@extern.barmenia.de" xr:uid="{85E9CCC4-6D64-482D-9270-AC22872C6DC7}"/>
    <hyperlink ref="K290" r:id="rId267" display="marilya.mitkova@extern.barmenia.de" xr:uid="{09B62683-127C-49A4-8CF5-7708B23891D5}"/>
    <hyperlink ref="K276" r:id="rId268" display="marilya.mitkova@extern.barmenia.de" xr:uid="{FD57F488-2EA0-4F71-B0F4-91A94852030F}"/>
    <hyperlink ref="K274" r:id="rId269" display="marilya.mitkova@extern.barmenia.de" xr:uid="{9D07D212-F703-4323-A906-5FDEE520F64F}"/>
    <hyperlink ref="K272" r:id="rId270" display="marilya.mitkova@extern.barmenia.de" xr:uid="{52217ED7-E872-4E7E-A663-84CD05076193}"/>
    <hyperlink ref="K226" r:id="rId271" display="marilya.mitkova@extern.barmenia.de" xr:uid="{FEC039D1-F55B-44FD-8F3F-E02D8516231C}"/>
    <hyperlink ref="K211" r:id="rId272" display="marilya.mitkova@extern.barmenia.de" xr:uid="{D4DAD821-69F2-4780-BDE9-8670A1E8937A}"/>
    <hyperlink ref="K209" r:id="rId273" display="marilya.mitkova@extern.barmenia.de" xr:uid="{F9D1F7DC-2E9C-4D89-A877-5C6E19A8F4F2}"/>
    <hyperlink ref="K207" r:id="rId274" display="marilya.mitkova@extern.barmenia.de" xr:uid="{374857A4-34FB-44E4-B9BF-EF62F10D0ADF}"/>
    <hyperlink ref="K166" r:id="rId275" display="marilya.mitkova@extern.barmenia.de" xr:uid="{C778E348-5219-4FFB-81A8-34253C452F9F}"/>
    <hyperlink ref="K164" r:id="rId276" display="marilya.mitkova@extern.barmenia.de" xr:uid="{96DF02A8-B250-420E-BA10-263DBD9DB8FE}"/>
    <hyperlink ref="K162" r:id="rId277" display="marilya.mitkova@extern.barmenia.de" xr:uid="{599687B4-B870-43C4-BB24-B567F686113D}"/>
    <hyperlink ref="K160" r:id="rId278" display="marilya.mitkova@extern.barmenia.de" xr:uid="{6EA11AFC-A098-41CD-969F-35025EFB6101}"/>
    <hyperlink ref="K157" r:id="rId279" display="marilya.mitkova@extern.barmenia.de" xr:uid="{2C755F1B-E27F-4EDC-9E1E-385A3186DD5C}"/>
    <hyperlink ref="K155" r:id="rId280" display="marilya.mitkova@extern.barmenia.de" xr:uid="{45A03186-E57A-4D74-8FB2-BDFC1A1A39F5}"/>
    <hyperlink ref="K153" r:id="rId281" display="marilya.mitkova@extern.barmenia.de" xr:uid="{73858F7F-EEF5-4D82-AB71-57DD63DFAE65}"/>
    <hyperlink ref="K151" r:id="rId282" display="marilya.mitkova@extern.barmenia.de" xr:uid="{FE7A3EE0-F61E-4505-AEBC-B2E5A8F32A2B}"/>
    <hyperlink ref="K96" r:id="rId283" display="marilya.mitkova@extern.barmenia.de" xr:uid="{6E042779-0E5A-4CF5-8929-25BBCEF629EF}"/>
    <hyperlink ref="K94" r:id="rId284" display="marilya.mitkova@extern.barmenia.de" xr:uid="{5933DDC6-A52E-481A-A178-37E8E1E8DA9F}"/>
    <hyperlink ref="K59" r:id="rId285" display="marilya.mitkova@extern.barmenia.de" xr:uid="{119FA441-87EA-489D-AE61-28F33AE90A93}"/>
    <hyperlink ref="K796" r:id="rId286" display="marilya.mitkova@extern.barmenia.de" xr:uid="{E7FD6EA8-D291-4480-B59B-894C9A801D89}"/>
    <hyperlink ref="K794" r:id="rId287" display="marilya.mitkova@extern.barmenia.de" xr:uid="{F5EC8EAC-0849-45BF-AF87-9F6B81758238}"/>
    <hyperlink ref="K608" r:id="rId288" display="marilya.mitkova@extern.barmenia.de" xr:uid="{A682907C-487E-42DE-AFB3-2B8528CCA40E}"/>
    <hyperlink ref="K587" r:id="rId289" display="marilya.mitkova@extern.barmenia.de" xr:uid="{8916B644-AAC5-4B11-8F16-17603D161FC3}"/>
    <hyperlink ref="K585" r:id="rId290" display="marilya.mitkova@extern.barmenia.de" xr:uid="{11A27D9F-3ED9-4660-893D-8A2515588717}"/>
    <hyperlink ref="K584" r:id="rId291" display="marilya.mitkova@extern.barmenia.de" xr:uid="{F6DA08F4-FDFA-411D-8D66-DE497F9189D7}"/>
    <hyperlink ref="K582" r:id="rId292" display="marilya.mitkova@extern.barmenia.de" xr:uid="{127F47D2-BCFB-445E-A304-551F79BC427F}"/>
    <hyperlink ref="K580" r:id="rId293" display="marilya.mitkova@extern.barmenia.de" xr:uid="{106FCF0B-E7EE-4D3C-94FD-692EA5FC0064}"/>
    <hyperlink ref="K578" r:id="rId294" display="marilya.mitkova@extern.barmenia.de" xr:uid="{6987256D-552B-460F-890E-5A0A643256A3}"/>
    <hyperlink ref="K576" r:id="rId295" display="marilya.mitkova@extern.barmenia.de" xr:uid="{F85B7AE6-9F6D-416D-A08D-D2949533D648}"/>
    <hyperlink ref="K574" r:id="rId296" display="marilya.mitkova@extern.barmenia.de" xr:uid="{2B774F20-6126-4587-8638-17C47A1A9D2F}"/>
    <hyperlink ref="K572" r:id="rId297" display="marilya.mitkova@extern.barmenia.de" xr:uid="{34FAD4C6-FA0D-4304-9D84-6AD3853EB33C}"/>
    <hyperlink ref="K570" r:id="rId298" display="marilya.mitkova@extern.barmenia.de" xr:uid="{B680155E-FB51-4690-8C4F-44A551029AEC}"/>
    <hyperlink ref="K568" r:id="rId299" display="marilya.mitkova@extern.barmenia.de" xr:uid="{6CB09332-7BCF-4ACC-B9D5-7D847463DCFA}"/>
    <hyperlink ref="K448" r:id="rId300" display="marilya.mitkova@extern.barmenia.de" xr:uid="{48FAECEC-E5D6-44B1-B963-FE0545C761FF}"/>
    <hyperlink ref="K446" r:id="rId301" display="marilya.mitkova@extern.barmenia.de" xr:uid="{6DD86F48-0F52-4D1F-A223-8F4703627650}"/>
    <hyperlink ref="K413" r:id="rId302" display="marilya.mitkova@extern.barmenia.de" xr:uid="{48C7A541-10AF-4B3A-849D-5A019116496D}"/>
    <hyperlink ref="K411" r:id="rId303" display="marilya.mitkova@extern.barmenia.de" xr:uid="{6B6D3CD1-1F59-4126-8429-AD49EB789718}"/>
    <hyperlink ref="K409" r:id="rId304" display="marilya.mitkova@extern.barmenia.de" xr:uid="{D4A71501-CE0D-4580-B421-D109A6CC81C0}"/>
    <hyperlink ref="K380" r:id="rId305" display="marilya.mitkova@extern.barmenia.de" xr:uid="{1B008661-1BA7-4500-829A-049CE6C0848C}"/>
    <hyperlink ref="K342" r:id="rId306" display="marilya.mitkova@extern.barmenia.de" xr:uid="{49F8D842-30DC-4190-A02F-FA2D03645A9E}"/>
    <hyperlink ref="K263" r:id="rId307" display="marilya.mitkova@extern.barmenia.de" xr:uid="{AC0760A3-38E6-44B3-9A26-21C13D871788}"/>
    <hyperlink ref="K261" r:id="rId308" display="marilya.mitkova@extern.barmenia.de" xr:uid="{E83504B5-F5D7-4303-BD39-B1183CEA1CE3}"/>
    <hyperlink ref="K259" r:id="rId309" display="marilya.mitkova@extern.barmenia.de" xr:uid="{92E13A09-4F3E-419C-8168-2268B6CC1F1A}"/>
    <hyperlink ref="K204" r:id="rId310" display="marilya.mitkova@extern.barmenia.de" xr:uid="{EB694D06-0187-4189-BDF5-A3C4CF36966D}"/>
    <hyperlink ref="K145" r:id="rId311" display="marilya.mitkova@extern.barmenia.de" xr:uid="{F595362D-643B-403B-B180-D44A63FB8583}"/>
    <hyperlink ref="K143" r:id="rId312" display="marilya.mitkova@extern.barmenia.de" xr:uid="{7581C3D4-7CE4-43D1-A179-90B66281B35D}"/>
    <hyperlink ref="K141" r:id="rId313" display="marilya.mitkova@extern.barmenia.de" xr:uid="{C61A8093-0F45-4F28-9D47-8C201446CDF5}"/>
    <hyperlink ref="K139" r:id="rId314" display="marilya.mitkova@extern.barmenia.de" xr:uid="{9A06BE8E-32BC-42C8-B2E0-7D0187AD8329}"/>
    <hyperlink ref="K91" r:id="rId315" display="marilya.mitkova@extern.barmenia.de" xr:uid="{E9394304-3584-461D-892A-7BFFA2F0D793}"/>
    <hyperlink ref="K89" r:id="rId316" display="marilya.mitkova@extern.barmenia.de" xr:uid="{95C23E9E-A394-47C8-B582-D5AECE6B692D}"/>
    <hyperlink ref="K82" r:id="rId317" display="marilya.mitkova@extern.barmenia.de" xr:uid="{5390AC4D-60C1-4E6E-A149-6400E3A4FF98}"/>
    <hyperlink ref="K56" r:id="rId318" display="marilya.mitkova@extern.barmenia.de" xr:uid="{ED1B7AE6-8FBD-4A92-82A6-00D051E9336D}"/>
    <hyperlink ref="K54" r:id="rId319" display="marilya.mitkova@extern.barmenia.de" xr:uid="{D036447A-2907-4A1F-A3A4-6F6E0200550E}"/>
    <hyperlink ref="K87" r:id="rId320" display="marilya.mitkova@extern.barmenia.de" xr:uid="{7CE93482-BAE7-48DA-8CC4-E4A5D8C328FF}"/>
    <hyperlink ref="K759" r:id="rId321" display="marilya.mitkova@extern.barmenia.de" xr:uid="{BFEA7E16-0B8B-4E93-948E-17F85365A97D}"/>
    <hyperlink ref="K757" r:id="rId322" display="marilya.mitkova@extern.barmenia.de" xr:uid="{2918001E-F92A-419D-9D55-266DB825A89D}"/>
    <hyperlink ref="K719" r:id="rId323" display="marilya.mitkova@extern.barmenia.de" xr:uid="{362FECD3-3165-4CE4-B1C2-F401827B4BDC}"/>
    <hyperlink ref="K717" r:id="rId324" display="marilya.mitkova@extern.barmenia.de" xr:uid="{FEFEDE1B-13FB-4C79-808D-4A41F4DF4755}"/>
    <hyperlink ref="K662" r:id="rId325" display="marilya.mitkova@extern.barmenia.de" xr:uid="{0C4ECD4E-2769-4B14-930F-68E4FCCC93D7}"/>
    <hyperlink ref="K660" r:id="rId326" display="marilya.mitkova@extern.barmenia.de" xr:uid="{EFA82F1E-9224-43C7-BEFA-2D3BA48A8EAF}"/>
    <hyperlink ref="K606" r:id="rId327" display="marilya.mitkova@extern.barmenia.de" xr:uid="{8179F9F4-7EAE-4E3B-B83D-5D98B0FE5894}"/>
    <hyperlink ref="K604" r:id="rId328" display="marilya.mitkova@extern.barmenia.de" xr:uid="{94EA7FEC-03DD-4F27-8FB8-367E9B8E632E}"/>
    <hyperlink ref="K564" r:id="rId329" display="marilya.mitkova@extern.barmenia.de" xr:uid="{A646E4DB-FEF9-4459-9CC9-66871AE56CFB}"/>
    <hyperlink ref="K562" r:id="rId330" display="marilya.mitkova@extern.barmenia.de" xr:uid="{074E4371-01A3-4432-A5C4-3A82A76A100B}"/>
    <hyperlink ref="K560" r:id="rId331" display="marilya.mitkova@extern.barmenia.de" xr:uid="{346C6904-ED1B-488B-8D3F-E345A2FA3E5A}"/>
    <hyperlink ref="K558" r:id="rId332" display="marilya.mitkova@extern.barmenia.de" xr:uid="{C2F54CC8-25D0-4B07-813B-FF9B30121627}"/>
    <hyperlink ref="K556" r:id="rId333" display="marilya.mitkova@extern.barmenia.de" xr:uid="{CBDC049D-097B-4493-83DF-B43F973FD605}"/>
    <hyperlink ref="K554" r:id="rId334" display="marilya.mitkova@extern.barmenia.de" xr:uid="{D7CE3E42-D4C5-4AB3-80F0-D12D0E9FA5E7}"/>
    <hyperlink ref="K552" r:id="rId335" display="marilya.mitkova@extern.barmenia.de" xr:uid="{94CE3AD4-CDFE-42A4-945E-4E122E9C0ACF}"/>
    <hyperlink ref="K550" r:id="rId336" display="marilya.mitkova@extern.barmenia.de" xr:uid="{DC9A139D-82C7-4F00-9496-40D1123D5858}"/>
    <hyperlink ref="K548" r:id="rId337" display="marilya.mitkova@extern.barmenia.de" xr:uid="{8A4F0E81-6D32-4A5A-A8BF-420261279295}"/>
    <hyperlink ref="K546" r:id="rId338" display="marilya.mitkova@extern.barmenia.de" xr:uid="{7AEB02DD-B61A-4816-B1DD-A5CC0033D4E1}"/>
    <hyperlink ref="K544" r:id="rId339" display="marilya.mitkova@extern.barmenia.de" xr:uid="{024544F1-9202-4EBB-B08D-F93BCA1E224D}"/>
    <hyperlink ref="K542" r:id="rId340" display="marilya.mitkova@extern.barmenia.de" xr:uid="{4847EBDB-6BA3-4A37-AB6D-F3E15BB7AD1A}"/>
    <hyperlink ref="K540" r:id="rId341" display="marilya.mitkova@extern.barmenia.de" xr:uid="{5D26905F-89C6-4219-B5A1-0D6AF30DFDFA}"/>
    <hyperlink ref="K536" r:id="rId342" display="marilya.mitkova@extern.barmenia.de" xr:uid="{269720B4-D155-4FF1-93AC-4F39376602EE}"/>
    <hyperlink ref="K534" r:id="rId343" display="marilya.mitkova@extern.barmenia.de" xr:uid="{30B8ECEC-2D04-465B-B0A9-18DEEAACED14}"/>
    <hyperlink ref="K532" r:id="rId344" display="marilya.mitkova@extern.barmenia.de" xr:uid="{D00D4B84-6DC5-4E65-B53D-A26C29F64279}"/>
    <hyperlink ref="K530" r:id="rId345" display="marilya.mitkova@extern.barmenia.de" xr:uid="{184DF9BC-5913-4290-AD9E-8E359BD89B67}"/>
    <hyperlink ref="K468" r:id="rId346" display="marilya.mitkova@extern.barmenia.de" xr:uid="{AE745990-DBF4-426C-8453-7F2B0A2777FC}"/>
    <hyperlink ref="K444" r:id="rId347" display="marilya.mitkova@extern.barmenia.de" xr:uid="{CF0AD746-0D93-42DE-8C40-27D8766F0B61}"/>
    <hyperlink ref="K442" r:id="rId348" display="marilya.mitkova@extern.barmenia.de" xr:uid="{8DD4DBDF-84D6-44BC-A894-4AE090F62347}"/>
    <hyperlink ref="K438" r:id="rId349" display="marilya.mitkova@extern.barmenia.de" xr:uid="{B026B4E3-593A-4289-A4D2-61008C685F3A}"/>
    <hyperlink ref="K436" r:id="rId350" display="marilya.mitkova@extern.barmenia.de" xr:uid="{C71770B6-DCFD-4ACF-B7EF-A37A5D863655}"/>
    <hyperlink ref="K432" r:id="rId351" display="marilya.mitkova@extern.barmenia.de" xr:uid="{DB380D29-B48F-493E-8B90-F3B0BD617CBE}"/>
    <hyperlink ref="K406" r:id="rId352" display="marilya.mitkova@extern.barmenia.de" xr:uid="{F5DE67CB-3154-4641-A480-66D0C7DE61DF}"/>
    <hyperlink ref="K404" r:id="rId353" display="marilya.mitkova@extern.barmenia.de" xr:uid="{F4AB409C-2883-45B5-9903-DDD0D96C30F9}"/>
    <hyperlink ref="K402" r:id="rId354" display="marilya.mitkova@extern.barmenia.de" xr:uid="{23F60A0D-F558-412F-B68C-58D001686F4C}"/>
    <hyperlink ref="K400" r:id="rId355" display="marilya.mitkova@extern.barmenia.de" xr:uid="{191A6173-7DB8-4DFC-B78E-B5ABE9BCB40D}"/>
    <hyperlink ref="K398" r:id="rId356" display="marilya.mitkova@extern.barmenia.de" xr:uid="{15DE0976-5F11-4B2A-9351-5ACD3D5066D8}"/>
    <hyperlink ref="K396" r:id="rId357" display="marilya.mitkova@extern.barmenia.de" xr:uid="{39A71E2F-F4B0-457F-92DD-40BD69B77FF7}"/>
    <hyperlink ref="K379" r:id="rId358" display="marilya.mitkova@extern.barmenia.de" xr:uid="{21D8A84A-762D-435D-A17B-DA94D4991D19}"/>
    <hyperlink ref="K377" r:id="rId359" display="marilya.mitkova@extern.barmenia.de" xr:uid="{A296D50B-714F-4603-BA2B-3ED69E4D3965}"/>
    <hyperlink ref="K375" r:id="rId360" display="marilya.mitkova@extern.barmenia.de" xr:uid="{4EDDC245-C551-4C4F-893B-8C8961768939}"/>
    <hyperlink ref="K373" r:id="rId361" display="marilya.mitkova@extern.barmenia.de" xr:uid="{53E1C80B-FDC3-481A-9D55-9FD9BC7C959E}"/>
    <hyperlink ref="K371" r:id="rId362" display="marilya.mitkova@extern.barmenia.de" xr:uid="{266433E5-4E76-42CD-93F6-2A08E5779CEB}"/>
    <hyperlink ref="K369" r:id="rId363" display="marilya.mitkova@extern.barmenia.de" xr:uid="{8DC96711-B6CE-4FBB-8531-B3BD3BCD310C}"/>
    <hyperlink ref="K367" r:id="rId364" display="marilya.mitkova@extern.barmenia.de" xr:uid="{D876CDCF-85D0-4FA6-B89F-35B4F1B3F1FD}"/>
    <hyperlink ref="K341" r:id="rId365" display="marilya.mitkova@extern.barmenia.de" xr:uid="{50A036DA-DE9D-4874-B951-C95ACF6A6A87}"/>
    <hyperlink ref="K339" r:id="rId366" display="marilya.mitkova@extern.barmenia.de" xr:uid="{D3230202-2B11-4A03-92D7-2898FF97CE28}"/>
    <hyperlink ref="K337" r:id="rId367" display="marilya.mitkova@extern.barmenia.de" xr:uid="{9CD2DDF1-F516-464D-AFA8-6656B52B4E8A}"/>
    <hyperlink ref="K335" r:id="rId368" display="marilya.mitkova@extern.barmenia.de" xr:uid="{F0F95F8A-0A78-40F9-B616-5AEF410876E4}"/>
    <hyperlink ref="K333" r:id="rId369" display="marilya.mitkova@extern.barmenia.de" xr:uid="{B6FA9782-6F56-401C-9613-D6FD2ED818CE}"/>
    <hyperlink ref="K331" r:id="rId370" display="marilya.mitkova@extern.barmenia.de" xr:uid="{06AC7378-94C8-42CD-A97F-4DF4A43C310B}"/>
    <hyperlink ref="K329" r:id="rId371" display="marilya.mitkova@extern.barmenia.de" xr:uid="{7A8F1CF0-22BF-406B-86CF-7479B98539B0}"/>
    <hyperlink ref="K327" r:id="rId372" display="marilya.mitkova@extern.barmenia.de" xr:uid="{02BD1F4E-258C-4C9B-A78F-DD18283D0136}"/>
    <hyperlink ref="K325" r:id="rId373" display="marilya.mitkova@extern.barmenia.de" xr:uid="{B733E229-7076-4447-8077-B89227E58D3A}"/>
    <hyperlink ref="K323" r:id="rId374" display="marilya.mitkova@extern.barmenia.de" xr:uid="{4FD25CCA-B92C-4E18-880E-0CE86E4C4F8B}"/>
    <hyperlink ref="K321" r:id="rId375" display="marilya.mitkova@extern.barmenia.de" xr:uid="{20B6B8D9-643B-41F9-871D-FBE7E0A15F96}"/>
    <hyperlink ref="K319" r:id="rId376" display="marilya.mitkova@extern.barmenia.de" xr:uid="{95910374-B977-4E9D-A21E-4C8324F9CBBE}"/>
    <hyperlink ref="K288" r:id="rId377" display="marilya.mitkova@extern.barmenia.de" xr:uid="{36B97471-7055-4F02-A681-BC73F7975522}"/>
    <hyperlink ref="K286" r:id="rId378" display="marilya.mitkova@extern.barmenia.de" xr:uid="{7D895793-9193-438F-9C9A-20735B026866}"/>
    <hyperlink ref="K284" r:id="rId379" display="marilya.mitkova@extern.barmenia.de" xr:uid="{808A4206-7A8A-4189-8E85-1DA414B24539}"/>
    <hyperlink ref="K258" r:id="rId380" display="marilya.mitkova@extern.barmenia.de" xr:uid="{7C4869A8-FA42-4FFD-AA90-FE80A5880893}"/>
    <hyperlink ref="K256" r:id="rId381" display="marilya.mitkova@extern.barmenia.de" xr:uid="{CC189D2D-2D5C-412C-AAE3-BE43306E1F38}"/>
    <hyperlink ref="K254" r:id="rId382" display="marilya.mitkova@extern.barmenia.de" xr:uid="{000F481E-7347-4BBB-A8BA-44E5F88D12D3}"/>
    <hyperlink ref="K252" r:id="rId383" display="marilya.mitkova@extern.barmenia.de" xr:uid="{E4C7BBCB-FC9C-4B65-B1AD-88FCF7B29D7B}"/>
    <hyperlink ref="K250" r:id="rId384" display="marilya.mitkova@extern.barmenia.de" xr:uid="{2CE1A23E-3930-4D34-B21A-DCBFE453569A}"/>
    <hyperlink ref="K224" r:id="rId385" display="marilya.mitkova@extern.barmenia.de" xr:uid="{42B1F732-0ECB-4B47-8F06-B58C20BE8E70}"/>
    <hyperlink ref="K202" r:id="rId386" display="marilya.mitkova@extern.barmenia.de" xr:uid="{BC4B05E4-C348-4476-B6C2-B5751438F5ED}"/>
    <hyperlink ref="K200" r:id="rId387" display="marilya.mitkova@extern.barmenia.de" xr:uid="{C2AAEDF1-17EE-489B-B91D-13AB794779C4}"/>
    <hyperlink ref="K198" r:id="rId388" display="marilya.mitkova@extern.barmenia.de" xr:uid="{200850FF-9FC7-4105-AEDD-0DC08874AF7C}"/>
    <hyperlink ref="K196" r:id="rId389" display="marilya.mitkova@extern.barmenia.de" xr:uid="{716FBC17-A894-4BF9-BB75-CF5760A22DF6}"/>
    <hyperlink ref="K194" r:id="rId390" display="marilya.mitkova@extern.barmenia.de" xr:uid="{8EC548F9-6584-47CB-A62D-C8E9D51778CF}"/>
    <hyperlink ref="K192" r:id="rId391" display="marilya.mitkova@extern.barmenia.de" xr:uid="{756DB62E-A9DF-42E9-A77D-BA8B596824C2}"/>
    <hyperlink ref="K190" r:id="rId392" display="marilya.mitkova@extern.barmenia.de" xr:uid="{7D2B1171-7923-4F07-99D5-2DFC73599821}"/>
    <hyperlink ref="K136" r:id="rId393" display="marilya.mitkova@extern.barmenia.de" xr:uid="{0084C4ED-7D86-456D-AA5A-32869080CD2D}"/>
    <hyperlink ref="K134" r:id="rId394" display="marilya.mitkova@extern.barmenia.de" xr:uid="{F4994E0F-2173-49C1-BED1-B9B5C734EF49}"/>
    <hyperlink ref="K132" r:id="rId395" display="marilya.mitkova@extern.barmenia.de" xr:uid="{99108E3B-0E14-4D71-B1DB-72C2B968635C}"/>
    <hyperlink ref="K130" r:id="rId396" display="marilya.mitkova@extern.barmenia.de" xr:uid="{305469E9-C792-4F49-8524-87E21F1AD8D6}"/>
    <hyperlink ref="K86" r:id="rId397" display="marilya.mitkova@extern.barmenia.de" xr:uid="{12659812-2790-4B1A-9533-9CDB3D60A2A9}"/>
    <hyperlink ref="K84" r:id="rId398" display="marilya.mitkova@extern.barmenia.de" xr:uid="{10CED53E-B581-4242-A4C0-85341C3FE176}"/>
    <hyperlink ref="K80" r:id="rId399" display="marilya.mitkova@extern.barmenia.de" xr:uid="{454A6697-564B-4CA9-8206-473F105F4657}"/>
    <hyperlink ref="K78" r:id="rId400" display="marilya.mitkova@extern.barmenia.de" xr:uid="{B329C619-E38B-41EA-97DD-8DD882F52E77}"/>
    <hyperlink ref="K76" r:id="rId401" display="marilya.mitkova@extern.barmenia.de" xr:uid="{9C4F409E-F101-43D8-83CD-2945B541BEEC}"/>
    <hyperlink ref="K72" r:id="rId402" display="marilya.mitkova@extern.barmenia.de" xr:uid="{A17E349C-B1E3-4B97-BB6F-CD70AEE20442}"/>
    <hyperlink ref="K70" r:id="rId403" display="marilya.mitkova@extern.barmenia.de" xr:uid="{D4BE7132-E9D5-4EC0-8543-EF69CEF8C953}"/>
    <hyperlink ref="K53" r:id="rId404" display="marilya.mitkova@extern.barmenia.de" xr:uid="{D106CB1F-2824-4FB0-8991-7C1B08ED5A72}"/>
    <hyperlink ref="K51" r:id="rId405" display="marilya.mitkova@extern.barmenia.de" xr:uid="{F0AA4B71-85E3-4A05-91B4-DE28D0D7CB8B}"/>
    <hyperlink ref="K49" r:id="rId406" display="marilya.mitkova@extern.barmenia.de" xr:uid="{CBFD01E2-205C-4867-93E6-0545B0BC6CA0}"/>
    <hyperlink ref="K47" r:id="rId407" display="marilya.mitkova@extern.barmenia.de" xr:uid="{DE67FE00-4440-4A73-99CD-2759BFF3B8FC}"/>
    <hyperlink ref="K45" r:id="rId408" display="marilya.mitkova@extern.barmenia.de" xr:uid="{4BF81972-CB8D-46A5-AC6C-87425D1CA4AB}"/>
    <hyperlink ref="K842" r:id="rId409" display="marilya.mitkova@extern.barmenia.de" xr:uid="{4E70D39C-F534-4888-B1BA-936DFBD691DC}"/>
    <hyperlink ref="K775" r:id="rId410" display="marilya.mitkova@extern.barmenia.de" xr:uid="{4980BE8B-E891-4529-B077-4C8EC559679B}"/>
    <hyperlink ref="K773" r:id="rId411" display="marilya.mitkova@extern.barmenia.de" xr:uid="{D01893C4-2CE9-424C-A72E-EDBDEA622FCA}"/>
    <hyperlink ref="K771" r:id="rId412" display="marilya.mitkova@extern.barmenia.de" xr:uid="{36C63684-F708-4614-BB33-CB88F39A6644}"/>
    <hyperlink ref="K769" r:id="rId413" display="marilya.mitkova@extern.barmenia.de" xr:uid="{2A49DB5C-A513-4656-8E20-91A370CA0550}"/>
    <hyperlink ref="K754" r:id="rId414" display="marilya.mitkova@extern.barmenia.de" xr:uid="{469AC509-70AA-4125-8A8C-52E980E6B7FC}"/>
    <hyperlink ref="K715" r:id="rId415" display="marilya.mitkova@extern.barmenia.de" xr:uid="{7D5698AC-E341-4429-A1CA-7B78DC1D67CB}"/>
    <hyperlink ref="K713" r:id="rId416" display="marilya.mitkova@extern.barmenia.de" xr:uid="{367E8140-53DB-48FD-B017-8283EB69C4DB}"/>
    <hyperlink ref="K711" r:id="rId417" display="marilya.mitkova@extern.barmenia.de" xr:uid="{039A23FB-A540-4FE1-A5D5-85C727C90553}"/>
    <hyperlink ref="K709" r:id="rId418" display="marilya.mitkova@extern.barmenia.de" xr:uid="{C36B6AC1-E721-43F4-8D81-B65D24C5F325}"/>
    <hyperlink ref="K528" r:id="rId419" display="marilya.mitkova@extern.barmenia.de" xr:uid="{E960F3B0-A719-45A6-8D68-FD9F1AA762E5}"/>
    <hyperlink ref="K526" r:id="rId420" display="marilya.mitkova@extern.barmenia.de" xr:uid="{173F47ED-8AC6-4629-9A28-10A971284BD1}"/>
    <hyperlink ref="K524" r:id="rId421" display="marilya.mitkova@extern.barmenia.de" xr:uid="{7CE29F0A-8850-4952-A7F3-83D67A18DF6F}"/>
    <hyperlink ref="K484" r:id="rId422" display="marilya.mitkova@extern.barmenia.de" xr:uid="{60CECE46-CEF9-4D55-B659-59D017EF62BC}"/>
    <hyperlink ref="K482" r:id="rId423" display="marilya.mitkova@extern.barmenia.de" xr:uid="{5146BF90-B3E5-4FA4-9C00-6F4BCC312392}"/>
    <hyperlink ref="K244" r:id="rId424" display="marilya.mitkova@extern.barmenia.de" xr:uid="{686D4F81-9025-45B5-9207-E8EF1DCBFCCD}"/>
    <hyperlink ref="K431" r:id="rId425" display="marilya.mitkova@extern.barmenia.de" xr:uid="{B519F040-36A6-4C88-B480-5CA26D2E0E46}"/>
    <hyperlink ref="K242" r:id="rId426" display="marilya.mitkova@extern.barmenia.de" xr:uid="{22DB28E2-C182-4893-8575-9173B61EE29C}"/>
    <hyperlink ref="K365" r:id="rId427" display="marilya.mitkova@extern.barmenia.de" xr:uid="{2D1C8131-5F71-410A-AC10-99AB280B262B}"/>
    <hyperlink ref="K363" r:id="rId428" display="marilya.mitkova@extern.barmenia.de" xr:uid="{F3BC8783-F098-4D78-A69D-887D74E87F21}"/>
    <hyperlink ref="K311" r:id="rId429" display="marilya.mitkova@extern.barmenia.de" xr:uid="{DC1A6777-8C23-43F8-B452-229B3BAD36D8}"/>
    <hyperlink ref="K240" r:id="rId430" display="marilya.mitkova@extern.barmenia.de" xr:uid="{5B3273F9-0CB7-4FDA-8D86-3262BE72E9E4}"/>
    <hyperlink ref="K238" r:id="rId431" display="marilya.mitkova@extern.barmenia.de" xr:uid="{89A83A88-4442-4FAC-B3E3-B4A937B2D7F1}"/>
    <hyperlink ref="K236" r:id="rId432" display="marilya.mitkova@extern.barmenia.de" xr:uid="{71D92E81-5616-48E9-B96C-21A0F7AAEF1D}"/>
    <hyperlink ref="K234" r:id="rId433" display="marilya.mitkova@extern.barmenia.de" xr:uid="{2201F967-DC73-40A2-AF01-8458E042D316}"/>
    <hyperlink ref="K223" r:id="rId434" display="marilya.mitkova@extern.barmenia.de" xr:uid="{BFC53E7E-2AE1-47A1-86CA-598BC1033FE4}"/>
    <hyperlink ref="K186" r:id="rId435" display="marilya.mitkova@extern.barmenia.de" xr:uid="{564D2CAD-F3DC-4491-9D04-D870BBDCE3BD}"/>
    <hyperlink ref="K184" r:id="rId436" display="marilya.mitkova@extern.barmenia.de" xr:uid="{5E61C074-C06B-43D2-B2F8-A6C1BD67EA1B}"/>
    <hyperlink ref="K182" r:id="rId437" display="marilya.mitkova@extern.barmenia.de" xr:uid="{DFBBCA77-036C-4161-9AD5-AD4E557887A9}"/>
    <hyperlink ref="K180" r:id="rId438" display="marilya.mitkova@extern.barmenia.de" xr:uid="{6578871B-25FF-4CB3-9EA1-94DDBB34E5E2}"/>
    <hyperlink ref="K840" r:id="rId439" display="marilya.mitkova@extern.barmenia.de" xr:uid="{6EA67F27-3376-4B26-ADCC-595665E57740}"/>
    <hyperlink ref="K810" r:id="rId440" display="marilya.mitkova@extern.barmenia.de" xr:uid="{6B19A8FA-7175-4590-9514-E690E4FF413C}"/>
    <hyperlink ref="K753" r:id="rId441" display="marilya.mitkova@extern.barmenia.de" xr:uid="{D0B1199B-1948-4E25-96FA-562391DC0A65}"/>
    <hyperlink ref="K751" r:id="rId442" display="marilya.mitkova@extern.barmenia.de" xr:uid="{125AB3C2-D82E-44D7-A024-E0CF96D3C339}"/>
    <hyperlink ref="K705" r:id="rId443" display="marilya.mitkova@extern.barmenia.de" xr:uid="{69BB14A0-B329-4CD6-B8F8-09748BE390EE}"/>
    <hyperlink ref="K659" r:id="rId444" display="marilya.mitkova@extern.barmenia.de" xr:uid="{2DE37820-E8A1-451D-9243-046A0E4A3DC1}"/>
    <hyperlink ref="K658" r:id="rId445" display="marilya.mitkova@extern.barmenia.de" xr:uid="{142A9E23-B5EE-4B89-B1B6-76B0846694F7}"/>
    <hyperlink ref="K647" r:id="rId446" display="marilya.mitkova@extern.barmenia.de" xr:uid="{6CF97AB8-A4D8-4F6A-9D34-8A8E81A14C93}"/>
    <hyperlink ref="K835" r:id="rId447" display="marilya.mitkova@extern.barmenia.de" xr:uid="{BFBC69A8-9134-427E-8A22-D18E944C7F79}"/>
    <hyperlink ref="K833" r:id="rId448" display="marilya.mitkova@extern.barmenia.de" xr:uid="{192604A1-62F9-4BAC-A261-8C92E5898B01}"/>
    <hyperlink ref="K831" r:id="rId449" display="marilya.mitkova@extern.barmenia.de" xr:uid="{6ED90D5D-ED0F-4EE5-9541-2DE691CE3B85}"/>
    <hyperlink ref="K830" r:id="rId450" display="marilya.mitkova@extern.barmenia.de" xr:uid="{2B5B90F0-5761-4C48-99B0-2DE47B75C419}"/>
    <hyperlink ref="K828" r:id="rId451" display="marilya.mitkova@extern.barmenia.de" xr:uid="{71B14BE2-C000-43E7-BAAA-92F08AFBB0CA}"/>
    <hyperlink ref="K824" r:id="rId452" display="marilya.mitkova@extern.barmenia.de" xr:uid="{53E9DF1F-D1D9-45A1-BB27-EBC22E68FA6E}"/>
    <hyperlink ref="K820" r:id="rId453" display="marilya.mitkova@extern.barmenia.de" xr:uid="{0B427376-7893-481B-8BF0-8A9C8A6E534A}"/>
    <hyperlink ref="K818" r:id="rId454" display="marilya.mitkova@extern.barmenia.de" xr:uid="{F0E45216-D113-4D4A-AFEE-E0C4C782B570}"/>
    <hyperlink ref="K749" r:id="rId455" display="marilya.mitkova@extern.barmenia.de" xr:uid="{615B8F30-4BCB-4B19-9283-05F731AEED1F}"/>
    <hyperlink ref="K747" r:id="rId456" display="marilya.mitkova@extern.barmenia.de" xr:uid="{3C0D8931-CEBE-4DB2-9DE4-ECF40B810656}"/>
    <hyperlink ref="K745" r:id="rId457" display="marilya.mitkova@extern.barmenia.de" xr:uid="{6B01D85A-2FA3-42B3-BF46-48A19310B819}"/>
    <hyperlink ref="K743" r:id="rId458" display="marilya.mitkova@extern.barmenia.de" xr:uid="{8F0808FA-D0C5-4B7A-860B-3071749C1CDF}"/>
    <hyperlink ref="K741" r:id="rId459" display="marilya.mitkova@extern.barmenia.de" xr:uid="{1DE040D3-129D-4AC9-A646-AF332D41A41C}"/>
    <hyperlink ref="K739" r:id="rId460" display="marilya.mitkova@extern.barmenia.de" xr:uid="{B3F10C1A-D28F-4BEC-9FF0-151EA63BB6A3}"/>
    <hyperlink ref="K737" r:id="rId461" display="marilya.mitkova@extern.barmenia.de" xr:uid="{90FD3C8E-0FDC-47ED-8624-9CEE1D860FD1}"/>
    <hyperlink ref="K735" r:id="rId462" display="marilya.mitkova@extern.barmenia.de" xr:uid="{2C6E21FF-474F-4652-931C-AA4E44F31BEF}"/>
    <hyperlink ref="K733" r:id="rId463" display="marilya.mitkova@extern.barmenia.de" xr:uid="{090F6553-0093-4871-88A3-D5BF76D6C539}"/>
    <hyperlink ref="K731" r:id="rId464" display="marilya.mitkova@extern.barmenia.de" xr:uid="{C68F3C43-B482-4CA9-87CC-72E850B4C11C}"/>
    <hyperlink ref="K729" r:id="rId465" display="marilya.mitkova@extern.barmenia.de" xr:uid="{380C4C80-A4C7-4FBC-AE8D-B3608503AA15}"/>
    <hyperlink ref="K479" r:id="rId466" display="marilya.mitkova@extern.barmenia.de" xr:uid="{84E9DF13-DC4A-4559-99A1-594AD8E410E4}"/>
    <hyperlink ref="K467" r:id="rId467" display="marilya.mitkova@extern.barmenia.de" xr:uid="{557574F9-587F-4C89-8A92-BDD0568859A0}"/>
    <hyperlink ref="K698" r:id="rId468" display="marilya.mitkova@extern.barmenia.de" xr:uid="{C79A8301-C69B-4746-90A9-A4801A01D5B0}"/>
    <hyperlink ref="K465" r:id="rId469" display="marilya.mitkova@extern.barmenia.de" xr:uid="{BD412681-D632-4D14-83B9-B3396B81AE57}"/>
    <hyperlink ref="K694" r:id="rId470" display="marilya.mitkova@extern.barmenia.de" xr:uid="{AF4988C6-5BF0-4038-9E40-D18D4A52B22D}"/>
    <hyperlink ref="K693" r:id="rId471" display="marilya.mitkova@extern.barmenia.de" xr:uid="{01306DED-3AE0-4E2C-8E6C-BB9D8C6A8E34}"/>
    <hyperlink ref="K691" r:id="rId472" display="marilya.mitkova@extern.barmenia.de" xr:uid="{F79D6CA6-437B-4F71-934C-C3FA001AA8E9}"/>
    <hyperlink ref="K687" r:id="rId473" display="marilya.mitkova@extern.barmenia.de" xr:uid="{0475913E-5408-40BF-BFB9-11E6CA9DE425}"/>
    <hyperlink ref="K429" r:id="rId474" display="marilya.mitkova@extern.barmenia.de" xr:uid="{23DCD0CB-E890-4BE3-80C2-A2BF171CB957}"/>
    <hyperlink ref="K390" r:id="rId475" display="marilya.mitkova@extern.barmenia.de" xr:uid="{D9D5CD01-1689-4C6D-A6CE-4203C4B5E28D}"/>
    <hyperlink ref="K644" r:id="rId476" display="marilya.mitkova@extern.barmenia.de" xr:uid="{9F2B18FA-D920-485D-B34B-C2FE38F813C3}"/>
    <hyperlink ref="K642" r:id="rId477" display="marilya.mitkova@extern.barmenia.de" xr:uid="{256662BD-CECE-484C-BE6C-F04893CD1BE6}"/>
    <hyperlink ref="K641" r:id="rId478" display="marilya.mitkova@extern.barmenia.de" xr:uid="{0CD91C9D-2E0E-4949-9952-81585223905B}"/>
    <hyperlink ref="K638" r:id="rId479" display="marilya.mitkova@extern.barmenia.de" xr:uid="{4113DA4C-8C22-481B-9B7B-29F3C734DEBD}"/>
    <hyperlink ref="K636" r:id="rId480" display="marilya.mitkova@extern.barmenia.de" xr:uid="{E1D6B1A1-A06C-4560-8F66-AA12D9EF1CB1}"/>
    <hyperlink ref="K634" r:id="rId481" display="marilya.mitkova@extern.barmenia.de" xr:uid="{5A3BF8BC-738D-45B2-955C-ED2BCC1E83BB}"/>
    <hyperlink ref="K632" r:id="rId482" display="marilya.mitkova@extern.barmenia.de" xr:uid="{0AF829C3-42AD-44BA-B32F-ABAC74FCE913}"/>
    <hyperlink ref="K360" r:id="rId483" display="marilya.mitkova@extern.barmenia.de" xr:uid="{F7281BFD-3B34-4BDD-902E-12B230D98136}"/>
    <hyperlink ref="K629" r:id="rId484" display="marilya.mitkova@extern.barmenia.de" xr:uid="{8C45EF39-5E07-4A67-89A5-52C76FD04648}"/>
    <hyperlink ref="K627" r:id="rId485" display="marilya.mitkova@extern.barmenia.de" xr:uid="{1E292A19-77AD-4EE1-8016-9DE3917FCCA7}"/>
    <hyperlink ref="K625" r:id="rId486" display="marilya.mitkova@extern.barmenia.de" xr:uid="{5C33E6BA-0AE7-47BB-A187-1E8BF91956C3}"/>
    <hyperlink ref="K623" r:id="rId487" display="marilya.mitkova@extern.barmenia.de" xr:uid="{7F1B9577-7DB6-45BD-B1F3-0D3C888E177E}"/>
    <hyperlink ref="K621" r:id="rId488" display="marilya.mitkova@extern.barmenia.de" xr:uid="{DD71BEBB-ED75-4169-865E-970D8FB117F9}"/>
    <hyperlink ref="K618" r:id="rId489" display="marilya.mitkova@extern.barmenia.de" xr:uid="{F325B9B8-E86C-4BDC-9F7B-176E8403CF1E}"/>
    <hyperlink ref="K310" r:id="rId490" display="marilya.mitkova@extern.barmenia.de" xr:uid="{9D5D8306-21C5-436F-BF46-82C3D6040068}"/>
    <hyperlink ref="K308" r:id="rId491" display="marilya.mitkova@extern.barmenia.de" xr:uid="{36FE9D73-9B0F-4E3B-B213-C98953FF9A73}"/>
    <hyperlink ref="K600" r:id="rId492" display="marilya.mitkova@extern.barmenia.de" xr:uid="{76A3D4A2-A74A-4D79-A462-77C1310EEA6F}"/>
    <hyperlink ref="K281" r:id="rId493" display="marilya.mitkova@extern.barmenia.de" xr:uid="{218B0FA3-154E-4966-BF08-C6A433E3AAE4}"/>
    <hyperlink ref="K519" r:id="rId494" display="marilya.mitkova@extern.barmenia.de" xr:uid="{683E4115-6C0B-43B8-8B87-EA0D65140EE7}"/>
    <hyperlink ref="K517" r:id="rId495" display="marilya.mitkova@extern.barmenia.de" xr:uid="{B70B6551-3DD2-40EB-86DF-B48547315EF1}"/>
    <hyperlink ref="K515" r:id="rId496" display="marilya.mitkova@extern.barmenia.de" xr:uid="{6450B81B-E325-4811-8BC1-A2537A8B29BC}"/>
    <hyperlink ref="K513" r:id="rId497" display="marilya.mitkova@extern.barmenia.de" xr:uid="{F5199630-5BB0-4747-89B9-923BBDE6C413}"/>
    <hyperlink ref="K511" r:id="rId498" display="marilya.mitkova@extern.barmenia.de" xr:uid="{55183AF4-ED0F-4BE5-BC49-3F0516003C7B}"/>
    <hyperlink ref="K509" r:id="rId499" display="marilya.mitkova@extern.barmenia.de" xr:uid="{DC63E158-706C-40D7-A646-E3553BEF5C7B}"/>
    <hyperlink ref="K478" r:id="rId500" display="marilya.mitkova@extern.barmenia.de" xr:uid="{E7717BC9-BC25-4DD4-ABB1-627B534359E2}"/>
    <hyperlink ref="K462" r:id="rId501" display="marilya.mitkova@extern.barmenia.de" xr:uid="{075D11A0-6583-4CB2-90D5-F1BB02BF9541}"/>
    <hyperlink ref="K427" r:id="rId502" display="marilya.mitkova@extern.barmenia.de" xr:uid="{004FE90D-1E1E-43BB-A8E7-7BE7364173A2}"/>
    <hyperlink ref="K359" r:id="rId503" display="marilya.mitkova@extern.barmenia.de" xr:uid="{30F3F9D4-F865-4806-B806-F0939B35B153}"/>
    <hyperlink ref="K307" r:id="rId504" display="marilya.mitkova@extern.barmenia.de" xr:uid="{5284C358-62A1-426B-99A4-A17E84712EDE}"/>
    <hyperlink ref="K306" r:id="rId505" display="marilya.mitkova@extern.barmenia.de" xr:uid="{BDD1226B-9C71-4D3A-BD1C-585F5980BE17}"/>
    <hyperlink ref="K305" r:id="rId506" display="marilya.mitkova@extern.barmenia.de" xr:uid="{20E969D3-AAE0-4C04-8AAB-1B382DE3F0BF}"/>
    <hyperlink ref="K303" r:id="rId507" display="marilya.mitkova@extern.barmenia.de" xr:uid="{3503CBAB-B44E-48BA-8C89-D19C7DC7DB8A}"/>
    <hyperlink ref="K301" r:id="rId508" display="marilya.mitkova@extern.barmenia.de" xr:uid="{08B16612-3978-425A-A109-02D720ED9B60}"/>
    <hyperlink ref="K123" r:id="rId509" display="marilya.mitkova@extern.barmenia.de" xr:uid="{FC542AAD-BA3C-4D10-BA64-637ECB9F0042}"/>
    <hyperlink ref="K229" r:id="rId510" display="marilya.mitkova@extern.barmenia.de" xr:uid="{43AE30B1-E0C4-4CFC-A494-067E4FC82531}"/>
    <hyperlink ref="K220" r:id="rId511" display="marilya.mitkova@extern.barmenia.de" xr:uid="{63934D96-84F2-495A-BFA1-25CD0598E753}"/>
    <hyperlink ref="K218" r:id="rId512" display="marilya.mitkova@extern.barmenia.de" xr:uid="{42983478-F104-48E9-A08A-CD3D977B0B88}"/>
    <hyperlink ref="K216" r:id="rId513" display="marilya.mitkova@extern.barmenia.de" xr:uid="{975B5332-5964-42E1-A1BC-9716B338A91E}"/>
    <hyperlink ref="K214" r:id="rId514" display="marilya.mitkova@extern.barmenia.de" xr:uid="{F91D1E11-A095-4D3F-ACFA-F7A12C89C8A3}"/>
    <hyperlink ref="K174" r:id="rId515" display="marilya.mitkova@extern.barmenia.de" xr:uid="{E63571D8-CD95-4358-AA4E-AF81E79F8C6B}"/>
    <hyperlink ref="K170" r:id="rId516" display="marilya.mitkova@extern.barmenia.de" xr:uid="{1E22AAE7-236C-4BD7-A2FA-B60544930ECE}"/>
    <hyperlink ref="K168" r:id="rId517" display="marilya.mitkova@extern.barmenia.de" xr:uid="{03754039-0A50-452A-8292-E47F129D746B}"/>
    <hyperlink ref="K119" r:id="rId518" display="marilya.mitkova@extern.barmenia.de" xr:uid="{908B5B79-B140-4295-A956-DCD5FFA0DD4F}"/>
    <hyperlink ref="K117" r:id="rId519" display="marilya.mitkova@extern.barmenia.de" xr:uid="{522A0D45-BE1A-4664-955D-CBA5C92E13CA}"/>
    <hyperlink ref="K115" r:id="rId520" display="marilya.mitkova@extern.barmenia.de" xr:uid="{DDA76AC6-0076-4DCE-8F6C-3E196021FD67}"/>
    <hyperlink ref="K113" r:id="rId521" display="marilya.mitkova@extern.barmenia.de" xr:uid="{B4DC56BE-483B-4C46-90EF-007DC0B46ABF}"/>
    <hyperlink ref="K111" r:id="rId522" display="marilya.mitkova@extern.barmenia.de" xr:uid="{850B7AA8-ABC1-4361-8D01-D862C327156A}"/>
    <hyperlink ref="K109" r:id="rId523" display="marilya.mitkova@extern.barmenia.de" xr:uid="{213B278E-B267-42A4-8475-BDC214C75169}"/>
    <hyperlink ref="K107" r:id="rId524" display="marilya.mitkova@extern.barmenia.de" xr:uid="{2B8355D1-8C5D-401C-AFEC-BEABF8B36013}"/>
    <hyperlink ref="K105" r:id="rId525" display="marilya.mitkova@extern.barmenia.de" xr:uid="{BF2ADDBF-1C90-4CDC-AA24-8077746BDCFB}"/>
    <hyperlink ref="K103" r:id="rId526" display="marilya.mitkova@extern.barmenia.de" xr:uid="{95F87B6D-D8A2-4A3B-AB47-698C3DC7DB14}"/>
    <hyperlink ref="K100" r:id="rId527" display="marilya.mitkova@extern.barmenia.de" xr:uid="{159591B6-4C92-492E-BF3C-86CC897338CC}"/>
    <hyperlink ref="K66" r:id="rId528" display="marilya.mitkova@extern.barmenia.de" xr:uid="{0AB70087-65B0-46F5-BC3F-33916E4FF12B}"/>
    <hyperlink ref="K64" r:id="rId529" display="marilya.mitkova@extern.barmenia.de" xr:uid="{DBC0FEA4-AE1B-4A71-9BB4-95B72E226B79}"/>
    <hyperlink ref="K62" r:id="rId530" display="marilya.mitkova@extern.barmenia.de" xr:uid="{43BC97C1-F744-48B1-BF63-BC829A72FF3E}"/>
    <hyperlink ref="K60" r:id="rId531" display="marilya.mitkova@extern.barmenia.de" xr:uid="{8B7761F7-A5D7-4643-8163-BE9CC1D9FB5A}"/>
    <hyperlink ref="K802" r:id="rId532" display="marilya.mitkova@extern.barmenia.de" xr:uid="{CAF3953D-A550-4E22-9EDE-28D2444A4205}"/>
    <hyperlink ref="K800" r:id="rId533" display="marilya.mitkova@extern.barmenia.de" xr:uid="{944230ED-9B54-47ED-91DA-BDA327CF6035}"/>
    <hyperlink ref="K798" r:id="rId534" display="marilya.mitkova@extern.barmenia.de" xr:uid="{6679EC75-1D83-4BCC-9809-1398FE462143}"/>
    <hyperlink ref="K787" r:id="rId535" display="marilya.mitkova@extern.barmenia.de" xr:uid="{59ACEF5D-4C5D-4418-91CA-F02BDD991B55}"/>
    <hyperlink ref="K785" r:id="rId536" display="marilya.mitkova@extern.barmenia.de" xr:uid="{D509DC3C-9A37-4669-8236-E1EA9D9E0926}"/>
    <hyperlink ref="K781" r:id="rId537" display="marilya.mitkova@extern.barmenia.de" xr:uid="{DEAF7CDC-9611-4CB5-8549-FA9AF5F7B080}"/>
    <hyperlink ref="K779" r:id="rId538" display="marilya.mitkova@extern.barmenia.de" xr:uid="{97B886AF-A716-4CAD-81A7-4D5FA7DAF6DD}"/>
    <hyperlink ref="K777" r:id="rId539" display="marilya.mitkova@extern.barmenia.de" xr:uid="{4E1BE769-3141-4B80-A4AA-9AFF2C045F39}"/>
    <hyperlink ref="K767" r:id="rId540" display="marilya.mitkova@extern.barmenia.de" xr:uid="{2CC584B9-5E0A-4FC7-A141-8D9B9773BC5E}"/>
    <hyperlink ref="K765" r:id="rId541" display="marilya.mitkova@extern.barmenia.de" xr:uid="{EFE2B09F-FD72-4E42-B697-731229BD0104}"/>
    <hyperlink ref="K761" r:id="rId542" display="marilya.mitkova@extern.barmenia.de" xr:uid="{6C82DD75-FB76-4EA3-898E-E1A9D8D4C48F}"/>
    <hyperlink ref="K727" r:id="rId543" display="marilya.mitkova@extern.barmenia.de" xr:uid="{A544F449-E6F5-4855-AC25-B5A56390EDBB}"/>
    <hyperlink ref="K725" r:id="rId544" display="marilya.mitkova@extern.barmenia.de" xr:uid="{74B9D5FF-2FA5-47C2-AE2A-501B051B80C4}"/>
    <hyperlink ref="K723" r:id="rId545" display="marilya.mitkova@extern.barmenia.de" xr:uid="{D631CBE9-D5B5-466A-963B-1248C2592169}"/>
    <hyperlink ref="K721" r:id="rId546" display="marilya.mitkova@extern.barmenia.de" xr:uid="{7A668077-D2E6-4068-897F-F7F9268D99E7}"/>
    <hyperlink ref="K681" r:id="rId547" display="marilya.mitkova@extern.barmenia.de" xr:uid="{4870BFA7-CBE1-450F-92F7-79A5A2A7FA80}"/>
    <hyperlink ref="K679" r:id="rId548" display="marilya.mitkova@extern.barmenia.de" xr:uid="{96D1141A-80BC-4EC9-B0B4-B669C89FCB81}"/>
    <hyperlink ref="K677" r:id="rId549" display="marilya.mitkova@extern.barmenia.de" xr:uid="{8F437467-1E9B-48B9-8C90-A08DE2246143}"/>
    <hyperlink ref="K675" r:id="rId550" display="marilya.mitkova@extern.barmenia.de" xr:uid="{0403DC71-0789-4F3E-A726-D67458B63EF8}"/>
    <hyperlink ref="K673" r:id="rId551" display="marilya.mitkova@extern.barmenia.de" xr:uid="{E6BF8DD4-05C9-4EC5-917F-27251B3867F9}"/>
    <hyperlink ref="K671" r:id="rId552" display="marilya.mitkova@extern.barmenia.de" xr:uid="{B28FF1BF-BEA4-4525-AB8B-E9548A4070E7}"/>
    <hyperlink ref="K667" r:id="rId553" display="marilya.mitkova@extern.barmenia.de" xr:uid="{A1C680C1-068D-496D-9049-8378B519E219}"/>
    <hyperlink ref="K665" r:id="rId554" display="marilya.mitkova@extern.barmenia.de" xr:uid="{6C45C3F0-F497-471D-A638-91F5A5BA8972}"/>
    <hyperlink ref="K615" r:id="rId555" display="marilya.mitkova@extern.barmenia.de" xr:uid="{AF594966-AE34-4E61-ABAA-9272044206E9}"/>
    <hyperlink ref="K613" r:id="rId556" display="marilya.mitkova@extern.barmenia.de" xr:uid="{3ADA3425-BE3C-477A-A095-DEBE8C4FB726}"/>
    <hyperlink ref="K611" r:id="rId557" display="marilya.mitkova@extern.barmenia.de" xr:uid="{0BEA53C1-7A2F-4960-ABAD-EB3D43AF8AA2}"/>
    <hyperlink ref="K595" r:id="rId558" display="marilya.mitkova@extern.barmenia.de" xr:uid="{0A3C5893-EF17-4047-8B83-489121A89573}"/>
    <hyperlink ref="K593" r:id="rId559" display="marilya.mitkova@extern.barmenia.de" xr:uid="{9328C399-4286-4602-9694-A4E99DD44334}"/>
    <hyperlink ref="K591" r:id="rId560" display="marilya.mitkova@extern.barmenia.de" xr:uid="{FD3B3E5A-61DB-4FA1-9FA4-FDD1815DCE1C}"/>
    <hyperlink ref="K589" r:id="rId561" display="marilya.mitkova@extern.barmenia.de" xr:uid="{63275273-3ADA-4E89-ADB7-527620CB92DD}"/>
    <hyperlink ref="K505" r:id="rId562" display="marilya.mitkova@extern.barmenia.de" xr:uid="{2391CFE3-0DA4-4671-A03D-5B5E0DCB8CC4}"/>
    <hyperlink ref="K503" r:id="rId563" display="marilya.mitkova@extern.barmenia.de" xr:uid="{E4F93A14-D84F-4A69-A1D0-7B7379B1D384}"/>
    <hyperlink ref="K499" r:id="rId564" display="marilya.mitkova@extern.barmenia.de" xr:uid="{AD8F10BC-FD9A-41B3-B190-233AAF7F32A3}"/>
    <hyperlink ref="K497" r:id="rId565" display="marilya.mitkova@extern.barmenia.de" xr:uid="{9933FE71-052F-4BF2-90AA-5D5E89B5AFB1}"/>
    <hyperlink ref="K495" r:id="rId566" display="marilya.mitkova@extern.barmenia.de" xr:uid="{81FBD501-29F2-4DF3-9BD6-CF9856975492}"/>
    <hyperlink ref="K493" r:id="rId567" display="marilya.mitkova@extern.barmenia.de" xr:uid="{E22B20F3-9FD4-422D-81F4-A2166EAF39C6}"/>
    <hyperlink ref="K491" r:id="rId568" display="marilya.mitkova@extern.barmenia.de" xr:uid="{0D5FA4AD-B834-43BF-AFB0-150C43C70E07}"/>
    <hyperlink ref="K489" r:id="rId569" display="marilya.mitkova@extern.barmenia.de" xr:uid="{24D5F3C0-4103-464E-BE70-D3C92BA5625B}"/>
    <hyperlink ref="K487" r:id="rId570" display="marilya.mitkova@extern.barmenia.de" xr:uid="{8B990839-8857-4AE8-B4F8-9C146669425A}"/>
    <hyperlink ref="K485" r:id="rId571" display="marilya.mitkova@extern.barmenia.de" xr:uid="{133797A4-45D0-4800-AFD1-E787D1880C1F}"/>
    <hyperlink ref="K474" r:id="rId572" display="marilya.mitkova@extern.barmenia.de" xr:uid="{22F95297-0AEB-49A4-80FF-50EC548E298B}"/>
    <hyperlink ref="K457" r:id="rId573" display="marilya.mitkova@extern.barmenia.de" xr:uid="{A3F3FEA7-A663-4496-868F-2D93EC335967}"/>
    <hyperlink ref="K455" r:id="rId574" display="marilya.mitkova@extern.barmenia.de" xr:uid="{108DA391-4E11-4AD0-A1DD-C92CA32260E4}"/>
    <hyperlink ref="K453" r:id="rId575" display="marilya.mitkova@extern.barmenia.de" xr:uid="{15F3CD60-0F4E-4643-BF17-6F05926791D5}"/>
    <hyperlink ref="K451" r:id="rId576" display="marilya.mitkova@extern.barmenia.de" xr:uid="{F429E324-8360-4E07-9CB3-0F52BEF8612C}"/>
    <hyperlink ref="K426" r:id="rId577" display="marilya.mitkova@extern.barmenia.de" xr:uid="{B2B66DEA-1CFF-46EC-A577-C200CEA45446}"/>
    <hyperlink ref="K424" r:id="rId578" display="marilya.mitkova@extern.barmenia.de" xr:uid="{4E4BD2D1-FBF7-4CD6-956C-7A7723F4BB57}"/>
    <hyperlink ref="K422" r:id="rId579" display="marilya.mitkova@extern.barmenia.de" xr:uid="{C7A44A30-E991-41C7-A413-8FD9DAB3A7D9}"/>
    <hyperlink ref="K420" r:id="rId580" display="marilya.mitkova@extern.barmenia.de" xr:uid="{C8321461-FB42-48A2-84BA-7D508677C415}"/>
    <hyperlink ref="K388" r:id="rId581" display="marilya.mitkova@extern.barmenia.de" xr:uid="{70887CEF-B09F-4141-B995-FD72878CF01D}"/>
    <hyperlink ref="K386" r:id="rId582" display="marilya.mitkova@extern.barmenia.de" xr:uid="{CB65A27F-4042-4510-BFF3-B4FD3A70E5F7}"/>
    <hyperlink ref="K384" r:id="rId583" display="marilya.mitkova@extern.barmenia.de" xr:uid="{6F573229-505A-466A-8194-6056762CE0E8}"/>
    <hyperlink ref="K382" r:id="rId584" display="marilya.mitkova@extern.barmenia.de" xr:uid="{145115A7-7346-4A0D-B2E2-E1BC5138E832}"/>
    <hyperlink ref="K356" r:id="rId585" display="marilya.mitkova@extern.barmenia.de" xr:uid="{B3E591B4-7BF9-4ABD-9130-581A5202F7BD}"/>
    <hyperlink ref="K354" r:id="rId586" display="marilya.mitkova@extern.barmenia.de" xr:uid="{2B9E1540-FCF5-4F0E-818B-521C999F6147}"/>
    <hyperlink ref="K352" r:id="rId587" display="marilya.mitkova@extern.barmenia.de" xr:uid="{CEA058CC-F37E-474A-9D47-6008986660E5}"/>
    <hyperlink ref="K350" r:id="rId588" display="marilya.mitkova@extern.barmenia.de" xr:uid="{3F64E216-1AEE-4E0E-8123-8794203AAB3A}"/>
    <hyperlink ref="K348" r:id="rId589" display="marilya.mitkova@extern.barmenia.de" xr:uid="{611AA05E-5CB3-4F92-9366-14B5E5DCCE44}"/>
    <hyperlink ref="K299" r:id="rId590" display="marilya.mitkova@extern.barmenia.de" xr:uid="{CD985CD2-B414-4E97-997A-EAB26C931FB6}"/>
    <hyperlink ref="K297" r:id="rId591" display="marilya.mitkova@extern.barmenia.de" xr:uid="{FBE5AE5C-D9B8-4CD1-98C2-3C50BB30C986}"/>
    <hyperlink ref="K293" r:id="rId592" display="marilya.mitkova@extern.barmenia.de" xr:uid="{B30E8E4C-A602-4AD1-91D1-2CABAC0ED9F3}"/>
    <hyperlink ref="K291" r:id="rId593" display="marilya.mitkova@extern.barmenia.de" xr:uid="{E794AEA2-60BD-45D0-BE3C-ED2BF36F7552}"/>
    <hyperlink ref="K277" r:id="rId594" display="marilya.mitkova@extern.barmenia.de" xr:uid="{BE621C64-DE2C-4B60-8585-6049233FDDE9}"/>
    <hyperlink ref="K275" r:id="rId595" display="marilya.mitkova@extern.barmenia.de" xr:uid="{85C3B8F6-EA8A-435B-875D-156D756D1530}"/>
    <hyperlink ref="K273" r:id="rId596" display="marilya.mitkova@extern.barmenia.de" xr:uid="{48703E2B-4157-4075-AE4F-094C936600F8}"/>
    <hyperlink ref="K227" r:id="rId597" display="marilya.mitkova@extern.barmenia.de" xr:uid="{F7E21DE6-9632-45AC-A51F-B2B5CB101764}"/>
    <hyperlink ref="K212" r:id="rId598" display="marilya.mitkova@extern.barmenia.de" xr:uid="{BB0E4311-2E77-425E-A848-0C0A4E58FEDC}"/>
    <hyperlink ref="K210" r:id="rId599" display="marilya.mitkova@extern.barmenia.de" xr:uid="{4A983229-9E8E-4B5B-89A1-A42D28DD4199}"/>
    <hyperlink ref="K206" r:id="rId600" display="marilya.mitkova@extern.barmenia.de" xr:uid="{EE018293-E7CF-4BF3-ADFC-B65A0EB50E6A}"/>
    <hyperlink ref="K165" r:id="rId601" display="marilya.mitkova@extern.barmenia.de" xr:uid="{4A97508B-A878-4B2E-B0FD-41B40470B5C0}"/>
    <hyperlink ref="K163" r:id="rId602" display="marilya.mitkova@extern.barmenia.de" xr:uid="{7C327E42-996C-44C5-B2CE-109F700AD004}"/>
    <hyperlink ref="K161" r:id="rId603" display="marilya.mitkova@extern.barmenia.de" xr:uid="{08770F41-4FEB-4757-ABB8-1C7E38D6D676}"/>
    <hyperlink ref="K158" r:id="rId604" display="marilya.mitkova@extern.barmenia.de" xr:uid="{44BE5B0D-C803-407B-B8F9-6F2D9697AC73}"/>
    <hyperlink ref="K156" r:id="rId605" display="marilya.mitkova@extern.barmenia.de" xr:uid="{8480738C-3F26-45FC-AD68-B035480E802A}"/>
    <hyperlink ref="K154" r:id="rId606" display="marilya.mitkova@extern.barmenia.de" xr:uid="{DD09941D-93CB-4C06-8C40-6D7E3AD0F3EF}"/>
    <hyperlink ref="K152" r:id="rId607" display="marilya.mitkova@extern.barmenia.de" xr:uid="{807861FF-5444-472D-80BE-1C01C8FBFA5E}"/>
    <hyperlink ref="K97" r:id="rId608" display="marilya.mitkova@extern.barmenia.de" xr:uid="{9A7BB2D5-F0FF-47A6-B60D-704C08343619}"/>
    <hyperlink ref="K95" r:id="rId609" display="marilya.mitkova@extern.barmenia.de" xr:uid="{74B9EF2A-C127-4A17-B327-5A4E34C40C8A}"/>
    <hyperlink ref="K93" r:id="rId610" display="marilya.mitkova@extern.barmenia.de" xr:uid="{79D4172F-D1C2-44BC-B955-89EEDB709809}"/>
    <hyperlink ref="K795" r:id="rId611" display="marilya.mitkova@extern.barmenia.de" xr:uid="{9F99A9C2-03B8-4879-9385-F654F56C9873}"/>
    <hyperlink ref="K793" r:id="rId612" display="marilya.mitkova@extern.barmenia.de" xr:uid="{F713DB9E-0114-4DBF-8AC6-9FA84FCCCDAA}"/>
    <hyperlink ref="K588" r:id="rId613" display="marilya.mitkova@extern.barmenia.de" xr:uid="{E4B77DB9-6D41-4659-AFA4-F0F6F04B294D}"/>
    <hyperlink ref="K586" r:id="rId614" display="marilya.mitkova@extern.barmenia.de" xr:uid="{EEC55E9C-1F97-4293-BFCF-37EC55930987}"/>
    <hyperlink ref="K583" r:id="rId615" display="marilya.mitkova@extern.barmenia.de" xr:uid="{9AD5DE3F-493F-4F40-9C19-A2A08745C95A}"/>
    <hyperlink ref="K581" r:id="rId616" display="marilya.mitkova@extern.barmenia.de" xr:uid="{C17FEF3B-24E8-44BC-9E3A-094FA12C0DFB}"/>
    <hyperlink ref="K579" r:id="rId617" display="marilya.mitkova@extern.barmenia.de" xr:uid="{225B4308-7086-426E-B0A4-753E4B467A9A}"/>
    <hyperlink ref="K577" r:id="rId618" display="marilya.mitkova@extern.barmenia.de" xr:uid="{5CC8AF9E-7262-49F8-BAE3-36931A2F38A4}"/>
    <hyperlink ref="K575" r:id="rId619" display="marilya.mitkova@extern.barmenia.de" xr:uid="{03042FDE-614B-4B80-BA14-1EB98ECB7299}"/>
    <hyperlink ref="K573" r:id="rId620" display="marilya.mitkova@extern.barmenia.de" xr:uid="{AF5B1E3A-0A3C-4FE6-880E-580C5439F299}"/>
    <hyperlink ref="K571" r:id="rId621" display="marilya.mitkova@extern.barmenia.de" xr:uid="{EAA57E03-0D56-4C6E-827F-EBD5710A097F}"/>
    <hyperlink ref="K569" r:id="rId622" display="marilya.mitkova@extern.barmenia.de" xr:uid="{60B93863-8422-4208-8FD8-89859C37E7BC}"/>
    <hyperlink ref="K567" r:id="rId623" display="marilya.mitkova@extern.barmenia.de" xr:uid="{40F4A368-8D86-4335-A310-184CB856AE99}"/>
    <hyperlink ref="K447" r:id="rId624" display="marilya.mitkova@extern.barmenia.de" xr:uid="{30F3D9C5-E467-47A2-9000-584E9A003854}"/>
    <hyperlink ref="K414" r:id="rId625" display="marilya.mitkova@extern.barmenia.de" xr:uid="{97DDBBB5-56C7-40EA-9497-03A6FCF9ADF1}"/>
    <hyperlink ref="K412" r:id="rId626" display="marilya.mitkova@extern.barmenia.de" xr:uid="{0581E8A1-EA94-408C-ABD6-C4790E62A53A}"/>
    <hyperlink ref="K410" r:id="rId627" display="marilya.mitkova@extern.barmenia.de" xr:uid="{FD6ED3CF-978D-417B-849C-81700D1A2ADF}"/>
    <hyperlink ref="K408" r:id="rId628" display="marilya.mitkova@extern.barmenia.de" xr:uid="{D9715708-9501-4F33-AD26-C7C08662B5FC}"/>
    <hyperlink ref="K343" r:id="rId629" display="marilya.mitkova@extern.barmenia.de" xr:uid="{BC9F58D8-3351-421D-A872-6CA3FCF9C4D2}"/>
    <hyperlink ref="K264" r:id="rId630" display="marilya.mitkova@extern.barmenia.de" xr:uid="{6A405A14-5C21-435A-9FA8-1954C18A61D8}"/>
    <hyperlink ref="K262" r:id="rId631" display="marilya.mitkova@extern.barmenia.de" xr:uid="{0CD15B2B-A720-46B9-BCD4-9AF8584F043D}"/>
    <hyperlink ref="K260" r:id="rId632" display="marilya.mitkova@extern.barmenia.de" xr:uid="{856DED07-406D-48D2-9B48-2DE4EFA4664E}"/>
    <hyperlink ref="K205" r:id="rId633" display="marilya.mitkova@extern.barmenia.de" xr:uid="{3AB960C7-9160-43FC-BCD0-D7AC179E71D1}"/>
    <hyperlink ref="K146" r:id="rId634" display="marilya.mitkova@extern.barmenia.de" xr:uid="{7CBC1CFF-E68E-47E6-A25C-2C5FD1C8DD5E}"/>
    <hyperlink ref="K144" r:id="rId635" display="marilya.mitkova@extern.barmenia.de" xr:uid="{060D818E-2BF6-4723-99FF-C98F1182F8C5}"/>
    <hyperlink ref="K142" r:id="rId636" display="marilya.mitkova@extern.barmenia.de" xr:uid="{23070B28-D06F-4132-AAA8-43473DD783C6}"/>
    <hyperlink ref="K140" r:id="rId637" display="marilya.mitkova@extern.barmenia.de" xr:uid="{E3F02D92-2858-48DC-82D9-3903F961AF36}"/>
    <hyperlink ref="K138" r:id="rId638" display="marilya.mitkova@extern.barmenia.de" xr:uid="{F51903A0-4B3A-4132-9EA1-2051F52684D8}"/>
    <hyperlink ref="K90" r:id="rId639" display="marilya.mitkova@extern.barmenia.de" xr:uid="{6C1F4998-2E40-4A3C-8762-08BE5FF4D377}"/>
    <hyperlink ref="K88" r:id="rId640" display="marilya.mitkova@extern.barmenia.de" xr:uid="{426F7675-0D40-4E3C-92B0-47DBDCDC3B1A}"/>
    <hyperlink ref="K81" r:id="rId641" display="marilya.mitkova@extern.barmenia.de" xr:uid="{B8C349E1-57BB-487D-BFFD-81AE32B2BB62}"/>
    <hyperlink ref="K55" r:id="rId642" display="marilya.mitkova@extern.barmenia.de" xr:uid="{906AC629-F54F-49A3-8D57-E901A516D304}"/>
    <hyperlink ref="K760" r:id="rId643" display="marilya.mitkova@extern.barmenia.de" xr:uid="{F1559665-2DDA-4F92-B470-430BA2537050}"/>
    <hyperlink ref="K758" r:id="rId644" display="marilya.mitkova@extern.barmenia.de" xr:uid="{2D29516E-031B-4CE7-9E60-076C5ED82D3C}"/>
    <hyperlink ref="K756" r:id="rId645" display="marilya.mitkova@extern.barmenia.de" xr:uid="{543A54E2-BEBC-4B63-A650-6E1BF0C79FD7}"/>
    <hyperlink ref="K718" r:id="rId646" display="marilya.mitkova@extern.barmenia.de" xr:uid="{BAF4967F-A538-4013-9B35-DEFFB4EAB43C}"/>
    <hyperlink ref="K663" r:id="rId647" display="marilya.mitkova@extern.barmenia.de" xr:uid="{F12CE9C1-C9D4-4D8A-8A04-92D474DB6D1F}"/>
    <hyperlink ref="K661" r:id="rId648" display="marilya.mitkova@extern.barmenia.de" xr:uid="{40F5C42A-1F82-4338-8764-687C6D6FC1E7}"/>
    <hyperlink ref="K607" r:id="rId649" display="marilya.mitkova@extern.barmenia.de" xr:uid="{EDDAACF8-7385-4FCB-B023-364B791BC170}"/>
    <hyperlink ref="K605" r:id="rId650" display="marilya.mitkova@extern.barmenia.de" xr:uid="{85C4603C-C184-4D01-9E8A-AD875CF203D5}"/>
    <hyperlink ref="K565" r:id="rId651" display="marilya.mitkova@extern.barmenia.de" xr:uid="{18F716CC-1FD6-49D2-A4E2-BB28E8023349}"/>
    <hyperlink ref="K563" r:id="rId652" display="marilya.mitkova@extern.barmenia.de" xr:uid="{D7CEE3B0-8962-4A6B-A486-8087F45F18DD}"/>
    <hyperlink ref="K561" r:id="rId653" display="marilya.mitkova@extern.barmenia.de" xr:uid="{E8346C1F-AE64-4984-BB07-F5BE9631BBB8}"/>
    <hyperlink ref="K559" r:id="rId654" display="marilya.mitkova@extern.barmenia.de" xr:uid="{452479B3-919C-4F45-8A4D-2E87BE8F4F8B}"/>
    <hyperlink ref="K557" r:id="rId655" display="marilya.mitkova@extern.barmenia.de" xr:uid="{C8185403-2442-4045-B781-34429B3085E2}"/>
    <hyperlink ref="K555" r:id="rId656" display="marilya.mitkova@extern.barmenia.de" xr:uid="{531EE2A9-DBB0-4047-8076-A11D01FC8A7D}"/>
    <hyperlink ref="K553" r:id="rId657" display="marilya.mitkova@extern.barmenia.de" xr:uid="{29537E40-4D1A-41D6-919F-ED1A8B26FC53}"/>
    <hyperlink ref="K551" r:id="rId658" display="marilya.mitkova@extern.barmenia.de" xr:uid="{F992FFBD-D912-46E6-963E-276980013E45}"/>
    <hyperlink ref="K549" r:id="rId659" display="marilya.mitkova@extern.barmenia.de" xr:uid="{4D7367CC-2AB2-421F-A870-B9E024664AE6}"/>
    <hyperlink ref="K547" r:id="rId660" display="marilya.mitkova@extern.barmenia.de" xr:uid="{6B9E4CAB-5764-4E83-B36C-F9250A9E8CBD}"/>
    <hyperlink ref="K545" r:id="rId661" display="marilya.mitkova@extern.barmenia.de" xr:uid="{2AB338B9-4F06-42B5-8C37-E16DFD4A2502}"/>
    <hyperlink ref="K543" r:id="rId662" display="marilya.mitkova@extern.barmenia.de" xr:uid="{5DEE9C86-4FA2-477C-A7D4-7A5CA19387DB}"/>
    <hyperlink ref="K541" r:id="rId663" display="marilya.mitkova@extern.barmenia.de" xr:uid="{710CBD35-7B41-460E-A59C-CE46A89514A0}"/>
    <hyperlink ref="K539" r:id="rId664" display="marilya.mitkova@extern.barmenia.de" xr:uid="{76A17FFD-50D1-4CB5-8EE1-C20B3AAE6581}"/>
    <hyperlink ref="K537" r:id="rId665" display="marilya.mitkova@extern.barmenia.de" xr:uid="{976E0E7F-602E-4458-B605-CB5850E2E5E1}"/>
    <hyperlink ref="K535" r:id="rId666" display="marilya.mitkova@extern.barmenia.de" xr:uid="{CF0B1C06-F06B-473B-B712-798BA854A89A}"/>
    <hyperlink ref="K533" r:id="rId667" display="marilya.mitkova@extern.barmenia.de" xr:uid="{38279DD3-3D75-4E91-B515-C1BE72799799}"/>
    <hyperlink ref="K471" r:id="rId668" display="marilya.mitkova@extern.barmenia.de" xr:uid="{E01E527E-C20B-4318-9C71-14DE8E8802B4}"/>
    <hyperlink ref="K469" r:id="rId669" display="marilya.mitkova@extern.barmenia.de" xr:uid="{EF029F51-2D27-4460-95DE-1B6CCA24E31E}"/>
    <hyperlink ref="K445" r:id="rId670" display="marilya.mitkova@extern.barmenia.de" xr:uid="{C078BDA8-B703-491A-B9E6-24A26E02D37F}"/>
    <hyperlink ref="K443" r:id="rId671" display="marilya.mitkova@extern.barmenia.de" xr:uid="{54664842-3C15-4304-9C3F-8DA7B8B1A0BB}"/>
    <hyperlink ref="K441" r:id="rId672" display="marilya.mitkova@extern.barmenia.de" xr:uid="{E3708B03-4AFD-4DD6-90CD-0EC5A2905FC9}"/>
    <hyperlink ref="K439" r:id="rId673" display="marilya.mitkova@extern.barmenia.de" xr:uid="{7E737A77-3A87-49AD-A3DE-7E488512FD8B}"/>
    <hyperlink ref="K435" r:id="rId674" display="marilya.mitkova@extern.barmenia.de" xr:uid="{9E5C64D1-CFBF-45EC-9731-02B9CD2965C6}"/>
    <hyperlink ref="K433" r:id="rId675" display="marilya.mitkova@extern.barmenia.de" xr:uid="{BAF65AEC-37C4-4206-BD13-9E4C7CD44993}"/>
    <hyperlink ref="K407" r:id="rId676" display="marilya.mitkova@extern.barmenia.de" xr:uid="{F1D45F7D-9D8D-47A8-8F80-93ACA0CA2BA6}"/>
    <hyperlink ref="K405" r:id="rId677" display="marilya.mitkova@extern.barmenia.de" xr:uid="{5F800239-463B-40B9-A875-6A35E68A19E0}"/>
    <hyperlink ref="K401" r:id="rId678" display="marilya.mitkova@extern.barmenia.de" xr:uid="{2EDB3B72-0F42-4AFD-A41F-17D2BCE577C1}"/>
    <hyperlink ref="K399" r:id="rId679" display="marilya.mitkova@extern.barmenia.de" xr:uid="{B25CB396-B986-4030-B575-BA12EDB65DD0}"/>
    <hyperlink ref="K397" r:id="rId680" display="marilya.mitkova@extern.barmenia.de" xr:uid="{0E9618A9-27B4-4AAC-A7B6-449FA9D4F12D}"/>
    <hyperlink ref="K395" r:id="rId681" display="marilya.mitkova@extern.barmenia.de" xr:uid="{EE717221-822F-42BA-810B-CF2A8164B396}"/>
    <hyperlink ref="K378" r:id="rId682" display="marilya.mitkova@extern.barmenia.de" xr:uid="{C4EDD77D-F174-487F-A30F-E8D148566AF2}"/>
    <hyperlink ref="K376" r:id="rId683" display="marilya.mitkova@extern.barmenia.de" xr:uid="{DE6CCC94-28CA-424B-876D-916E9B06B153}"/>
    <hyperlink ref="K374" r:id="rId684" display="marilya.mitkova@extern.barmenia.de" xr:uid="{92518526-4B08-4F07-B5AB-77BFFA4D9FF9}"/>
    <hyperlink ref="K372" r:id="rId685" display="marilya.mitkova@extern.barmenia.de" xr:uid="{2D1F331B-D763-4FDF-A9C4-FAF45AFFD3C6}"/>
    <hyperlink ref="K370" r:id="rId686" display="marilya.mitkova@extern.barmenia.de" xr:uid="{C8CCEC2E-68D0-4B81-8ACF-572EBBDE7378}"/>
    <hyperlink ref="K368" r:id="rId687" display="marilya.mitkova@extern.barmenia.de" xr:uid="{9F7AC79D-8D6B-439B-831F-429BBB3D1DA0}"/>
    <hyperlink ref="K366" r:id="rId688" display="marilya.mitkova@extern.barmenia.de" xr:uid="{A0227628-6FC3-43F3-8079-D27EC330FA93}"/>
    <hyperlink ref="K340" r:id="rId689" display="marilya.mitkova@extern.barmenia.de" xr:uid="{12EE9D7D-3262-4720-839A-2CE5E3E2DD31}"/>
    <hyperlink ref="K338" r:id="rId690" display="marilya.mitkova@extern.barmenia.de" xr:uid="{1C54D80F-C71F-413E-854E-511DE171881E}"/>
    <hyperlink ref="K336" r:id="rId691" display="marilya.mitkova@extern.barmenia.de" xr:uid="{9F5195D4-2F0F-433F-9B78-D1D569040390}"/>
    <hyperlink ref="K334" r:id="rId692" display="marilya.mitkova@extern.barmenia.de" xr:uid="{A9AE4A67-9F5F-4599-A769-1082A0E606D8}"/>
    <hyperlink ref="K332" r:id="rId693" display="marilya.mitkova@extern.barmenia.de" xr:uid="{0DF11275-B110-4299-B62A-7B63C8863057}"/>
    <hyperlink ref="K330" r:id="rId694" display="marilya.mitkova@extern.barmenia.de" xr:uid="{0213BD9C-DD4F-4793-B6C9-BF3C1BC5DFF5}"/>
    <hyperlink ref="K328" r:id="rId695" display="marilya.mitkova@extern.barmenia.de" xr:uid="{EA611449-6041-4414-B780-3ADBD19B5947}"/>
    <hyperlink ref="K326" r:id="rId696" display="marilya.mitkova@extern.barmenia.de" xr:uid="{75289EA3-7016-4C25-B965-1B4994EE7497}"/>
    <hyperlink ref="K324" r:id="rId697" display="marilya.mitkova@extern.barmenia.de" xr:uid="{32173E6B-1E18-4B25-A82B-64AD1F361C0A}"/>
    <hyperlink ref="K322" r:id="rId698" display="marilya.mitkova@extern.barmenia.de" xr:uid="{A6F1D3A0-F7AD-4FF2-8427-3138333DE7B1}"/>
    <hyperlink ref="K320" r:id="rId699" display="marilya.mitkova@extern.barmenia.de" xr:uid="{B00F4D9F-2A62-40A6-9013-5470DD14F7C1}"/>
    <hyperlink ref="K316" r:id="rId700" display="marilya.mitkova@extern.barmenia.de" xr:uid="{F1D01CA8-7EE8-4C84-900C-2A10308B22F8}"/>
    <hyperlink ref="K314" r:id="rId701" display="marilya.mitkova@extern.barmenia.de" xr:uid="{298EDA60-C04B-4246-A1F1-24AEA87D6425}"/>
    <hyperlink ref="K289" r:id="rId702" display="marilya.mitkova@extern.barmenia.de" xr:uid="{0228AA97-1B2F-4103-A6C2-38CFA1FEF100}"/>
    <hyperlink ref="K287" r:id="rId703" display="marilya.mitkova@extern.barmenia.de" xr:uid="{114E459B-EB05-41AB-99BA-8B6979BAA990}"/>
    <hyperlink ref="K283" r:id="rId704" display="marilya.mitkova@extern.barmenia.de" xr:uid="{B8A4063F-1F1F-43A9-8AA0-362288F1A21C}"/>
    <hyperlink ref="K257" r:id="rId705" display="marilya.mitkova@extern.barmenia.de" xr:uid="{88A9E4A7-187B-4529-BF47-7540DD7D9451}"/>
    <hyperlink ref="K255" r:id="rId706" display="marilya.mitkova@extern.barmenia.de" xr:uid="{D36A8B5C-28B4-4F71-9A00-C754F406A752}"/>
    <hyperlink ref="K253" r:id="rId707" display="marilya.mitkova@extern.barmenia.de" xr:uid="{B9107DFF-69CF-4442-B3F8-186B89E950D7}"/>
    <hyperlink ref="K251" r:id="rId708" display="marilya.mitkova@extern.barmenia.de" xr:uid="{F88F396C-2327-465C-9790-BA6E3B8F63FD}"/>
    <hyperlink ref="K203" r:id="rId709" display="marilya.mitkova@extern.barmenia.de" xr:uid="{696B8FD0-1F69-4D27-ACEF-D0A965221BF0}"/>
    <hyperlink ref="K201" r:id="rId710" display="marilya.mitkova@extern.barmenia.de" xr:uid="{45A091FD-A3C5-4FCE-9D2D-69A3D6BC7A81}"/>
    <hyperlink ref="K199" r:id="rId711" display="marilya.mitkova@extern.barmenia.de" xr:uid="{6366CD4F-C40B-4B13-8A19-9F25DBC65DFE}"/>
    <hyperlink ref="K197" r:id="rId712" display="marilya.mitkova@extern.barmenia.de" xr:uid="{3D1D2D9F-4211-4E91-829D-52E1B5CCADD1}"/>
    <hyperlink ref="K195" r:id="rId713" display="marilya.mitkova@extern.barmenia.de" xr:uid="{D1D280F4-A6CD-4506-AC3D-E81B17E82A9B}"/>
    <hyperlink ref="K193" r:id="rId714" display="marilya.mitkova@extern.barmenia.de" xr:uid="{0FFCD543-D6BD-4EB0-AF8C-54C8B2F80BDE}"/>
    <hyperlink ref="K191" r:id="rId715" display="marilya.mitkova@extern.barmenia.de" xr:uid="{FE5629F5-9522-4A44-8058-23D98D0D4307}"/>
    <hyperlink ref="K137" r:id="rId716" display="marilya.mitkova@extern.barmenia.de" xr:uid="{2A3834C9-3B00-4A64-A01A-5B1BDAEBC64F}"/>
    <hyperlink ref="K135" r:id="rId717" display="marilya.mitkova@extern.barmenia.de" xr:uid="{89AC7B92-67FB-47BB-8C0F-E4A550B118A8}"/>
    <hyperlink ref="K133" r:id="rId718" display="marilya.mitkova@extern.barmenia.de" xr:uid="{F9A8B0C7-4181-4EBE-B087-EFE664DF6A24}"/>
    <hyperlink ref="K131" r:id="rId719" display="marilya.mitkova@extern.barmenia.de" xr:uid="{5B5D06BB-9F3A-4FDE-92B5-0D29A93DCF67}"/>
    <hyperlink ref="K85" r:id="rId720" display="marilya.mitkova@extern.barmenia.de" xr:uid="{8E367555-A5B2-4301-A6D9-9FACD6DC250D}"/>
    <hyperlink ref="K83" r:id="rId721" display="marilya.mitkova@extern.barmenia.de" xr:uid="{8641BC3A-D23A-45B2-9CAF-D277DEB5AFEB}"/>
    <hyperlink ref="K79" r:id="rId722" display="marilya.mitkova@extern.barmenia.de" xr:uid="{786A4E97-2AEE-49C2-8733-3BD97A3D586F}"/>
    <hyperlink ref="K75" r:id="rId723" display="marilya.mitkova@extern.barmenia.de" xr:uid="{C70803BC-6217-4152-8C43-164F7021DE6C}"/>
    <hyperlink ref="K71" r:id="rId724" display="marilya.mitkova@extern.barmenia.de" xr:uid="{2B705D61-9788-459C-93E9-9D5F6A7F516F}"/>
    <hyperlink ref="K69" r:id="rId725" display="marilya.mitkova@extern.barmenia.de" xr:uid="{9C3177F2-A349-453F-878D-011AF22A0E99}"/>
    <hyperlink ref="K52" r:id="rId726" display="marilya.mitkova@extern.barmenia.de" xr:uid="{36B4B2A3-8748-4C47-AB1A-CE0D463D1D14}"/>
    <hyperlink ref="K50" r:id="rId727" display="marilya.mitkova@extern.barmenia.de" xr:uid="{C2869424-D3E5-4AE2-BC48-288421F885A1}"/>
    <hyperlink ref="K48" r:id="rId728" display="marilya.mitkova@extern.barmenia.de" xr:uid="{C6002C82-5DD7-4810-BA92-0FEAD651E496}"/>
    <hyperlink ref="K46" r:id="rId729" display="marilya.mitkova@extern.barmenia.de" xr:uid="{807D4E81-DDD6-45CB-8D6B-52E5C9146B34}"/>
    <hyperlink ref="K44" r:id="rId730" display="marilya.mitkova@extern.barmenia.de" xr:uid="{74C324EB-544A-4BDA-B9BC-6AA72CC87957}"/>
    <hyperlink ref="K61" r:id="rId731" xr:uid="{EB0E95D4-871B-497D-A6D2-4487F699A7FA}"/>
    <hyperlink ref="K73:K74" r:id="rId732" display="umstellung1ev@barmenia.de" xr:uid="{78DFC3E0-4013-4A5D-B7D9-60BE15156C61}"/>
    <hyperlink ref="K77" r:id="rId733" xr:uid="{49B431E6-E648-45E5-8DC7-210A7E8AE444}"/>
    <hyperlink ref="K120:K121" r:id="rId734" display="umstellung1ev@barmenia.de" xr:uid="{06D5555C-8D86-4C52-9804-87149FF3F8F7}"/>
    <hyperlink ref="K172:K173" r:id="rId735" display="umstellung1ev@barmenia.de" xr:uid="{9293C0EF-39A5-4D92-AEBF-D1AF517483C9}"/>
    <hyperlink ref="K208" r:id="rId736" xr:uid="{96296B5B-1AF3-4B34-9B8C-BAD75266E89C}"/>
    <hyperlink ref="K225" r:id="rId737" xr:uid="{A58FAE03-0B4C-468F-8679-EB0B9BF46634}"/>
    <hyperlink ref="K246" r:id="rId738" xr:uid="{551F8FF8-FC97-4C45-8CAE-DBEC9C43677C}"/>
    <hyperlink ref="K285" r:id="rId739" xr:uid="{2B7E58DE-DC27-4A18-BC7D-DBAC3710BE98}"/>
    <hyperlink ref="K295" r:id="rId740" xr:uid="{F5664C99-665B-4D49-AAFD-F4F914A993CF}"/>
    <hyperlink ref="K302" r:id="rId741" xr:uid="{5288AA27-79B2-4067-9FD8-5C4033728E17}"/>
    <hyperlink ref="K315" r:id="rId742" xr:uid="{BBB8B8DC-8726-4874-9EBE-5094A920884F}"/>
    <hyperlink ref="K317:K318" r:id="rId743" display="umstellung1ev@barmenia.de" xr:uid="{A892FC06-7F1A-4709-ACD3-B3789FAF5434}"/>
    <hyperlink ref="K349" r:id="rId744" xr:uid="{8DCF6C49-0CAE-47CA-AE15-F28B4650BBA1}"/>
    <hyperlink ref="K351" r:id="rId745" xr:uid="{DC83A82A-A7F7-4FEE-A870-134690F2574D}"/>
    <hyperlink ref="K392" r:id="rId746" xr:uid="{0B633B6A-6175-406A-81AA-2D8F1E6BED06}"/>
    <hyperlink ref="K403" r:id="rId747" xr:uid="{6D5221AB-A25C-4E96-8B0C-3BE181EFE2D2}"/>
    <hyperlink ref="K434" r:id="rId748" xr:uid="{9E30243F-DF26-4930-BE99-A7101754D73E}"/>
    <hyperlink ref="K437" r:id="rId749" xr:uid="{501F261E-E0E1-4C8E-862D-1E6B74C00CC2}"/>
    <hyperlink ref="K440" r:id="rId750" xr:uid="{B728D7F3-63A3-4B36-85DA-4A60D64DE865}"/>
    <hyperlink ref="K459" r:id="rId751" xr:uid="{2F5F8124-0E30-4026-9E24-970263E899E7}"/>
    <hyperlink ref="K470" r:id="rId752" xr:uid="{A7F94069-888B-4F09-A6CB-43DE505B588D}"/>
    <hyperlink ref="K483" r:id="rId753" xr:uid="{41CC3EE0-CF05-4E6D-9BAA-53E4417FC84A}"/>
    <hyperlink ref="K490" r:id="rId754" xr:uid="{50549EC8-880D-400C-A735-9E4D1BB3C3F8}"/>
    <hyperlink ref="K501" r:id="rId755" xr:uid="{82B5CDAD-5C3F-46E9-B368-89D80B6ABC01}"/>
    <hyperlink ref="K531" r:id="rId756" xr:uid="{024E4F5C-3410-47FC-8AC5-388129D05FF8}"/>
    <hyperlink ref="K538" r:id="rId757" xr:uid="{E09BB69D-067E-4D92-8A72-C10156E6841F}"/>
    <hyperlink ref="K590" r:id="rId758" xr:uid="{5A7EA272-9318-4037-AFE2-D4CD7989A30B}"/>
    <hyperlink ref="K594" r:id="rId759" xr:uid="{43F628FC-B9CB-445C-92FE-A20B0E7938EE}"/>
    <hyperlink ref="K597:K599" r:id="rId760" display="umstellung1ev@barmenia.de" xr:uid="{860A6B01-0B54-4FA2-BB69-6826344173CB}"/>
    <hyperlink ref="K602:K603" r:id="rId761" display="umstellung1ev@barmenia.de" xr:uid="{F11AF680-0211-47A5-BC62-89BE3CE81437}"/>
    <hyperlink ref="K619" r:id="rId762" xr:uid="{18DBEE5E-8FF2-4F88-8D69-BE44A1200711}"/>
    <hyperlink ref="K622" r:id="rId763" xr:uid="{5C1CB37F-D5A1-4A98-BF77-7F8D4F891881}"/>
    <hyperlink ref="K630" r:id="rId764" xr:uid="{605E9FD5-C700-44BC-B1AA-B70F42251A23}"/>
    <hyperlink ref="K648" r:id="rId765" xr:uid="{6A22CCA3-0EBA-4369-A10F-E2CAE66BD905}"/>
    <hyperlink ref="K669:K670" r:id="rId766" display="umstellung1ev@barmenia.de" xr:uid="{2FDCA9A8-0428-4A1A-9674-55E3953E90A2}"/>
    <hyperlink ref="K689" r:id="rId767" xr:uid="{6468E0BB-5C35-469A-9E32-19552E531013}"/>
    <hyperlink ref="K696" r:id="rId768" xr:uid="{3BF4C772-8990-4657-93B1-54D07FB62399}"/>
    <hyperlink ref="K710" r:id="rId769" xr:uid="{6B532B4D-D87E-41FC-BBCF-2A8D4192E36D}"/>
    <hyperlink ref="K712" r:id="rId770" xr:uid="{75C6FE64-C0FB-4214-9205-939569A641E8}"/>
    <hyperlink ref="K720" r:id="rId771" xr:uid="{26C536C7-5ACA-45D9-8071-EF5C73BA0951}"/>
    <hyperlink ref="K722" r:id="rId772" xr:uid="{FA4FB846-589E-4320-8DD9-BCA8CAF2AC6F}"/>
    <hyperlink ref="K730" r:id="rId773" xr:uid="{76FB3EFE-8F45-4738-A07E-A61161475F1C}"/>
    <hyperlink ref="K732" r:id="rId774" xr:uid="{F0CF093A-D552-42B3-B346-B53358BE2F17}"/>
    <hyperlink ref="K752" r:id="rId775" xr:uid="{49C6E7E9-5A16-441B-872C-FD79FE1ECE8C}"/>
    <hyperlink ref="K755" r:id="rId776" xr:uid="{AF652CE8-4173-4475-B46C-0A97FD2EB630}"/>
    <hyperlink ref="K763" r:id="rId777" xr:uid="{4D12C7F2-F9E9-41DA-AC2E-5488C485C501}"/>
    <hyperlink ref="K780" r:id="rId778" xr:uid="{737A9D79-2B06-4BBB-8F03-2103A54A058E}"/>
    <hyperlink ref="K782:K783" r:id="rId779" display="umstellung1ev@barmenia.de" xr:uid="{07EDC463-B13C-4B3C-B912-DA7C9665F83E}"/>
    <hyperlink ref="K789" r:id="rId780" xr:uid="{C307F6C0-4D4C-47C3-9767-C8164046F284}"/>
    <hyperlink ref="K792" r:id="rId781" xr:uid="{247692B0-EA0C-46EA-8B52-083103000645}"/>
    <hyperlink ref="K804" r:id="rId782" xr:uid="{462138D2-0665-419A-B354-1F6F95ECDC8A}"/>
    <hyperlink ref="K811:K813" r:id="rId783" display="umstellung1ev@barmenia.de" xr:uid="{F24D0D0C-F097-42CE-BE44-1A92BEE321F4}"/>
    <hyperlink ref="K816:K817" r:id="rId784" display="umstellung1ev@barmenia.de" xr:uid="{13A6A0DF-4CAF-4997-94E7-843CF78E9720}"/>
    <hyperlink ref="K822" r:id="rId785" xr:uid="{AAFB8125-D594-4E7E-904B-F1A1813CE3BE}"/>
    <hyperlink ref="K826" r:id="rId786" xr:uid="{2D4CBBE0-B18A-4856-9B9E-ADC71F72AFEF}"/>
    <hyperlink ref="K850" r:id="rId787" display="marilya.mitkova@extern.barmenia.de" xr:uid="{32BD1323-78C4-4B82-9931-C0C4901E4F0C}"/>
    <hyperlink ref="K849" r:id="rId788" display="marilya.mitkova@extern.barmenia.de" xr:uid="{41963476-FB1E-4877-AACF-5B45344C1A48}"/>
    <hyperlink ref="K848" r:id="rId789" display="marilya.mitkova@extern.barmenia.de" xr:uid="{A6CCADC1-8328-4D1A-9B7D-76A1DECAEAA9}"/>
    <hyperlink ref="K847" r:id="rId790" display="marilya.mitkova@extern.barmenia.de" xr:uid="{277B426D-2FE2-4216-9AC9-B162463F50F0}"/>
    <hyperlink ref="K846" r:id="rId791" display="marilya.mitkova@extern.barmenia.de" xr:uid="{CEABDEC8-BA3E-417D-8113-A15D972CBE0A}"/>
    <hyperlink ref="K845" r:id="rId792" display="marilya.mitkova@extern.barmenia.de" xr:uid="{A8A0E199-0D61-40CE-8444-68E21F50AB81}"/>
    <hyperlink ref="K129" r:id="rId793" display="marilya.mitkova@extern.barmenia.de" xr:uid="{6A6409FD-9B4D-4BB4-97DB-B9B9ABE3F94F}"/>
    <hyperlink ref="K39" r:id="rId794" xr:uid="{8A386D9C-BC81-4D38-8833-4CEC13B082CF}"/>
    <hyperlink ref="K23" r:id="rId795" xr:uid="{FD147912-0239-47FD-8820-028AC0C27CA2}"/>
    <hyperlink ref="K24" r:id="rId796" xr:uid="{B941BC1B-AC5F-46AA-87D4-93F4E0AD7433}"/>
    <hyperlink ref="K21" r:id="rId797" xr:uid="{A0C7701F-DDDE-41E0-A15B-82035D70D030}"/>
    <hyperlink ref="K16" r:id="rId798" xr:uid="{4D580280-14FB-4E94-A6BA-081CAE255B39}"/>
    <hyperlink ref="K8" r:id="rId799" xr:uid="{7A40B2B7-7758-428B-81B2-316A381F82FC}"/>
    <hyperlink ref="K312:K313" r:id="rId800" display="umstellung1ev@barmenia.de" xr:uid="{11DC5CCF-8F2D-476F-AF85-F2F9E93EE96E}"/>
  </hyperlinks>
  <pageMargins left="0.7" right="0.7" top="0.75" bottom="0.75" header="0.3" footer="0.3"/>
  <pageSetup paperSize="9" orientation="portrait" r:id="rId801"/>
  <tableParts count="1">
    <tablePart r:id="rId802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Übersicht Titeländerung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Eike Brenneisen</dc:creator>
  <cp:lastModifiedBy>Brenneisen, Eike</cp:lastModifiedBy>
  <dcterms:created xsi:type="dcterms:W3CDTF">2026-02-25T12:33:30Z</dcterms:created>
  <dcterms:modified xsi:type="dcterms:W3CDTF">2026-02-25T14:56:50Z</dcterms:modified>
</cp:coreProperties>
</file>