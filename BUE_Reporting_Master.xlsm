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37E998C4-C9E5-D4B9-71C8-EB1FF731991C}"/>
  <workbookPr codeName="ThisWorkbook" defaultThemeVersion="124226"/>
  <mc:AlternateContent xmlns:mc="http://schemas.openxmlformats.org/markup-compatibility/2006">
    <mc:Choice Requires="x15">
      <x15ac:absPath xmlns:x15ac="http://schemas.microsoft.com/office/spreadsheetml/2010/11/ac" url="https://deudeloitte-my.sharepoint.com/personal/ebrenneisen_deloitte_de/Documents/Desktop/BÜ/"/>
    </mc:Choice>
  </mc:AlternateContent>
  <xr:revisionPtr revIDLastSave="0" documentId="8_{1B4FDDF5-9D74-4457-AA60-0BF5FADC4251}" xr6:coauthVersionLast="47" xr6:coauthVersionMax="47" xr10:uidLastSave="{00000000-0000-0000-0000-000000000000}"/>
  <bookViews>
    <workbookView xWindow="-120" yWindow="-120" windowWidth="38640" windowHeight="21120" xr2:uid="{00000000-000D-0000-FFFF-FFFF00000000}"/>
  </bookViews>
  <sheets>
    <sheet name="Cockpit" sheetId="1" r:id="rId1"/>
    <sheet name="PPT" sheetId="2" r:id="rId2"/>
    <sheet name="Anleitung" sheetId="3" r:id="rId3"/>
    <sheet name="Planung" sheetId="4" r:id="rId4"/>
    <sheet name="Mitarbeiter" sheetId="5" r:id="rId5"/>
    <sheet name="Verlauf" sheetId="6" r:id="rId6"/>
    <sheet name="KW" sheetId="7" r:id="rId7"/>
    <sheet name="Fakten" sheetId="8" r:id="rId8"/>
    <sheet name="Filter" sheetId="9" r:id="rId9"/>
    <sheet name="Konfiguration" sheetId="10" r:id="rId10"/>
    <sheet name="Ladeprotokoll" sheetId="11" r:id="rId11"/>
    <sheet name="Diagrammdaten" sheetId="12" r:id="rId12"/>
    <sheet name="Wirksam" sheetId="13" state="hidden" r:id="rId13"/>
    <sheet name="Snapshot_OPAG" sheetId="14" state="hidden" r:id="rId14"/>
    <sheet name="Snapshot_Verbund" sheetId="15" state="hidden" r:id="rId15"/>
  </sheets>
  <definedNames>
    <definedName name="_xlnm._FilterDatabase" localSheetId="7" hidden="1">Fakten!$A$1:$P$2</definedName>
    <definedName name="BUESchluessel">Konfiguration!$D$11:$D$20</definedName>
    <definedName name="F_A0">Fakten!$L$2:$L$300000</definedName>
    <definedName name="F_A1">Fakten!$M$2:$M$300000</definedName>
    <definedName name="F_A2">Fakten!$N$2:$N$300000</definedName>
    <definedName name="F_A3">Fakten!$O$2:$O$300000</definedName>
    <definedName name="F_Abgang">Fakten!$K$2:$K$300000</definedName>
    <definedName name="F_Aktiv">Fakten!$P$2:$P$300000</definedName>
    <definedName name="F_Eingang">Fakten!$J$2:$J$300000</definedName>
    <definedName name="F_GevoNr">Fakten!$H$2:$H$300000</definedName>
    <definedName name="F_GevoTyp">Fakten!$G$2:$G$300000</definedName>
    <definedName name="F_Postkorb">Fakten!$E$2:$E$300000</definedName>
    <definedName name="F_Quelle">Fakten!$B$2:$B$300000</definedName>
    <definedName name="F_Rueckstand">Fakten!$I$2:$I$300000</definedName>
    <definedName name="F_Sparte">Fakten!$C$2:$C$300000</definedName>
    <definedName name="F_Stichtag">Fakten!$A$2:$A$300000</definedName>
    <definedName name="GV_Aktiv">Filter!$H$5:$H$17</definedName>
    <definedName name="GV_Liste">Filter!$G$5:$G$17</definedName>
    <definedName name="PK_Aktiv">Filter!$C$5:$C$44</definedName>
    <definedName name="PK_Liste">Filter!$B$5:$B$44</definedName>
    <definedName name="PresetAktiv">Konfiguration!$F$11:$F$30</definedName>
    <definedName name="_xlnm.Print_Area" localSheetId="0">Cockpit!$A$1:$BG$119</definedName>
    <definedName name="_xlnm.Print_Area" localSheetId="1">PPT!$A$1:$AY$41</definedName>
    <definedName name="SP_Aktiv">Filter!$T$5:$T$8</definedName>
    <definedName name="SP_Liste">Filter!$S$5:$S$8</definedName>
    <definedName name="SparteZuordnung">Konfiguration!$A$11:$B$40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6" i="13" l="1"/>
  <c r="C65" i="13"/>
  <c r="C64" i="13"/>
  <c r="C63" i="13"/>
  <c r="C62" i="13"/>
  <c r="C61" i="13"/>
  <c r="C60" i="13"/>
  <c r="C59" i="13"/>
  <c r="C58" i="13"/>
  <c r="C57" i="13"/>
  <c r="C56" i="13"/>
  <c r="C55" i="13"/>
  <c r="C54" i="13"/>
  <c r="CN53" i="13"/>
  <c r="C53" i="13"/>
  <c r="C52" i="13"/>
  <c r="GK51" i="13"/>
  <c r="C51" i="13"/>
  <c r="AK50" i="13"/>
  <c r="C50" i="13"/>
  <c r="C49" i="13"/>
  <c r="C48" i="13"/>
  <c r="C47" i="13"/>
  <c r="C46" i="13"/>
  <c r="C45" i="13"/>
  <c r="C44" i="13"/>
  <c r="C43" i="13"/>
  <c r="C42" i="13"/>
  <c r="C41" i="13"/>
  <c r="C40" i="13"/>
  <c r="C39" i="13"/>
  <c r="FK38" i="13"/>
  <c r="C38" i="13"/>
  <c r="C37" i="13"/>
  <c r="FW36" i="13"/>
  <c r="EZ36" i="13"/>
  <c r="C36" i="13"/>
  <c r="C35" i="13"/>
  <c r="C34" i="13"/>
  <c r="C33" i="13"/>
  <c r="C32" i="13"/>
  <c r="C31" i="13"/>
  <c r="C30" i="13"/>
  <c r="BI29" i="13"/>
  <c r="C29" i="13"/>
  <c r="GL28" i="13"/>
  <c r="C28" i="13"/>
  <c r="C27" i="13"/>
  <c r="C26" i="13"/>
  <c r="C25" i="13"/>
  <c r="C24" i="13"/>
  <c r="CK23" i="13"/>
  <c r="I23" i="13"/>
  <c r="C23" i="13"/>
  <c r="C22" i="13"/>
  <c r="FF21" i="13"/>
  <c r="EX21" i="13"/>
  <c r="EL21" i="13"/>
  <c r="C21" i="13"/>
  <c r="CK20" i="13"/>
  <c r="C20" i="13"/>
  <c r="C19" i="13"/>
  <c r="C18" i="13"/>
  <c r="CP17" i="13"/>
  <c r="CE17" i="13"/>
  <c r="BW17" i="13"/>
  <c r="C17" i="13"/>
  <c r="FW16" i="13"/>
  <c r="C16" i="13"/>
  <c r="BV15" i="13"/>
  <c r="AN15" i="13"/>
  <c r="C15" i="13"/>
  <c r="BF14" i="13"/>
  <c r="BE14" i="13"/>
  <c r="BD14" i="13"/>
  <c r="C14" i="13"/>
  <c r="HR13" i="13"/>
  <c r="C13" i="13"/>
  <c r="C12" i="13"/>
  <c r="CQ11" i="13"/>
  <c r="CP11" i="13"/>
  <c r="BC11" i="13"/>
  <c r="AT11" i="13"/>
  <c r="AS11" i="13"/>
  <c r="AR11" i="13"/>
  <c r="AK11" i="13"/>
  <c r="C11" i="13"/>
  <c r="C10" i="13"/>
  <c r="DQ9" i="13"/>
  <c r="DM9" i="13"/>
  <c r="BU9" i="13"/>
  <c r="BT9" i="13"/>
  <c r="BS9" i="13"/>
  <c r="BO9" i="13"/>
  <c r="C9" i="13"/>
  <c r="FV8" i="13"/>
  <c r="FU8" i="13"/>
  <c r="C8" i="13"/>
  <c r="HW7" i="13"/>
  <c r="HT7" i="13"/>
  <c r="FT7" i="13"/>
  <c r="DY7" i="13"/>
  <c r="DS7" i="13"/>
  <c r="DI7" i="13"/>
  <c r="DH7" i="13"/>
  <c r="E7" i="13"/>
  <c r="C7" i="13"/>
  <c r="C44" i="12"/>
  <c r="A44" i="12"/>
  <c r="AB43" i="12"/>
  <c r="AA43" i="12"/>
  <c r="B43" i="12"/>
  <c r="AB42" i="12"/>
  <c r="AA42" i="12"/>
  <c r="AB41" i="12"/>
  <c r="AA41" i="12"/>
  <c r="AB40" i="12"/>
  <c r="AA40" i="12"/>
  <c r="A40" i="12"/>
  <c r="AB39" i="12"/>
  <c r="AA39" i="12"/>
  <c r="AA33" i="12"/>
  <c r="Z33" i="12"/>
  <c r="V33" i="12"/>
  <c r="U33" i="12"/>
  <c r="T33" i="12"/>
  <c r="S33" i="12"/>
  <c r="R33" i="12"/>
  <c r="Q33" i="12"/>
  <c r="M33" i="12"/>
  <c r="L33" i="12"/>
  <c r="H33" i="12"/>
  <c r="G33" i="12"/>
  <c r="F33" i="12"/>
  <c r="E33" i="12"/>
  <c r="D33" i="12"/>
  <c r="C33" i="12"/>
  <c r="AD32" i="12"/>
  <c r="AC32" i="12"/>
  <c r="AB32" i="12"/>
  <c r="Z32" i="12"/>
  <c r="Y32" i="12"/>
  <c r="X32" i="12"/>
  <c r="W32" i="12"/>
  <c r="S32" i="12"/>
  <c r="R32" i="12"/>
  <c r="Q32" i="12"/>
  <c r="P32" i="12"/>
  <c r="O32" i="12"/>
  <c r="N32" i="12"/>
  <c r="L32" i="12"/>
  <c r="K32" i="12"/>
  <c r="J32" i="12"/>
  <c r="I32" i="12"/>
  <c r="E32" i="12"/>
  <c r="D32" i="12"/>
  <c r="C32" i="12"/>
  <c r="B32" i="12"/>
  <c r="A32" i="12"/>
  <c r="AD31" i="12"/>
  <c r="AC31" i="12"/>
  <c r="AB31" i="12"/>
  <c r="AA31" i="12"/>
  <c r="Y31" i="12"/>
  <c r="X31" i="12"/>
  <c r="W31" i="12"/>
  <c r="V31" i="12"/>
  <c r="U31" i="12"/>
  <c r="T31" i="12"/>
  <c r="P31" i="12"/>
  <c r="O31" i="12"/>
  <c r="N31" i="12"/>
  <c r="M31" i="12"/>
  <c r="L31" i="12"/>
  <c r="K31" i="12"/>
  <c r="J31" i="12"/>
  <c r="I31" i="12"/>
  <c r="H31" i="12"/>
  <c r="G31" i="12"/>
  <c r="F31" i="12"/>
  <c r="E31" i="12"/>
  <c r="B31" i="12"/>
  <c r="A31" i="12"/>
  <c r="AA30" i="12"/>
  <c r="Z30" i="12"/>
  <c r="V30" i="12"/>
  <c r="U30" i="12"/>
  <c r="T30" i="12"/>
  <c r="S30" i="12"/>
  <c r="R30" i="12"/>
  <c r="Q30" i="12"/>
  <c r="M30" i="12"/>
  <c r="L30" i="12"/>
  <c r="H30" i="12"/>
  <c r="G30" i="12"/>
  <c r="F30" i="12"/>
  <c r="E30" i="12"/>
  <c r="D30" i="12"/>
  <c r="C30" i="12"/>
  <c r="AD29" i="12"/>
  <c r="AC29" i="12"/>
  <c r="AB29" i="12"/>
  <c r="Z29" i="12"/>
  <c r="Y29" i="12"/>
  <c r="X29" i="12"/>
  <c r="W29" i="12"/>
  <c r="S29" i="12"/>
  <c r="R29" i="12"/>
  <c r="Q29" i="12"/>
  <c r="P29" i="12"/>
  <c r="O29" i="12"/>
  <c r="N29" i="12"/>
  <c r="L29" i="12"/>
  <c r="K29" i="12"/>
  <c r="J29" i="12"/>
  <c r="I29" i="12"/>
  <c r="E29" i="12"/>
  <c r="D29" i="12"/>
  <c r="C29" i="12"/>
  <c r="AD28" i="12"/>
  <c r="AC28" i="12"/>
  <c r="AB28" i="12"/>
  <c r="AA28" i="12"/>
  <c r="Y28" i="12"/>
  <c r="X28" i="12"/>
  <c r="W28" i="12"/>
  <c r="V28" i="12"/>
  <c r="U28" i="12"/>
  <c r="T28" i="12"/>
  <c r="P28" i="12"/>
  <c r="O28" i="12"/>
  <c r="N28" i="12"/>
  <c r="M28" i="12"/>
  <c r="K28" i="12"/>
  <c r="J28" i="12"/>
  <c r="I28" i="12"/>
  <c r="H28" i="12"/>
  <c r="G28" i="12"/>
  <c r="F28" i="12"/>
  <c r="AA27" i="12"/>
  <c r="Z27" i="12"/>
  <c r="V27" i="12"/>
  <c r="U27" i="12"/>
  <c r="T27" i="12"/>
  <c r="S27" i="12"/>
  <c r="R27" i="12"/>
  <c r="Q27" i="12"/>
  <c r="M27" i="12"/>
  <c r="L27" i="12"/>
  <c r="H27" i="12"/>
  <c r="G27" i="12"/>
  <c r="F27" i="12"/>
  <c r="E27" i="12"/>
  <c r="D27" i="12"/>
  <c r="C27" i="12"/>
  <c r="AD26" i="12"/>
  <c r="AC26" i="12"/>
  <c r="AB26" i="12"/>
  <c r="Z26" i="12"/>
  <c r="Y26" i="12"/>
  <c r="X26" i="12"/>
  <c r="W26" i="12"/>
  <c r="S26" i="12"/>
  <c r="R26" i="12"/>
  <c r="Q26" i="12"/>
  <c r="P26" i="12"/>
  <c r="O26" i="12"/>
  <c r="N26" i="12"/>
  <c r="L26" i="12"/>
  <c r="K26" i="12"/>
  <c r="J26" i="12"/>
  <c r="I26" i="12"/>
  <c r="E26" i="12"/>
  <c r="D26" i="12"/>
  <c r="C26" i="12"/>
  <c r="AD25" i="12"/>
  <c r="AC25" i="12"/>
  <c r="AB25" i="12"/>
  <c r="AA25" i="12"/>
  <c r="Y25" i="12"/>
  <c r="X25" i="12"/>
  <c r="W25" i="12"/>
  <c r="V25" i="12"/>
  <c r="U25" i="12"/>
  <c r="T25" i="12"/>
  <c r="P25" i="12"/>
  <c r="O25" i="12"/>
  <c r="N25" i="12"/>
  <c r="M25" i="12"/>
  <c r="K25" i="12"/>
  <c r="J25" i="12"/>
  <c r="I25" i="12"/>
  <c r="H25" i="12"/>
  <c r="G25" i="12"/>
  <c r="F25" i="12"/>
  <c r="AA24" i="12"/>
  <c r="Z24" i="12"/>
  <c r="V24" i="12"/>
  <c r="U24" i="12"/>
  <c r="T24" i="12"/>
  <c r="S24" i="12"/>
  <c r="R24" i="12"/>
  <c r="Q24" i="12"/>
  <c r="M24" i="12"/>
  <c r="L24" i="12"/>
  <c r="H24" i="12"/>
  <c r="G24" i="12"/>
  <c r="F24" i="12"/>
  <c r="E24" i="12"/>
  <c r="D24" i="12"/>
  <c r="C24" i="12"/>
  <c r="AD23" i="12"/>
  <c r="AC23" i="12"/>
  <c r="AB23" i="12"/>
  <c r="Z23" i="12"/>
  <c r="Y23" i="12"/>
  <c r="X23" i="12"/>
  <c r="W23" i="12"/>
  <c r="S23" i="12"/>
  <c r="R23" i="12"/>
  <c r="Q23" i="12"/>
  <c r="P23" i="12"/>
  <c r="O23" i="12"/>
  <c r="N23" i="12"/>
  <c r="L23" i="12"/>
  <c r="K23" i="12"/>
  <c r="J23" i="12"/>
  <c r="I23" i="12"/>
  <c r="E23" i="12"/>
  <c r="D23" i="12"/>
  <c r="C23" i="12"/>
  <c r="AD22" i="12"/>
  <c r="AC22" i="12"/>
  <c r="AB22" i="12"/>
  <c r="AA22" i="12"/>
  <c r="Y22" i="12"/>
  <c r="X22" i="12"/>
  <c r="W22" i="12"/>
  <c r="V22" i="12"/>
  <c r="U22" i="12"/>
  <c r="T22" i="12"/>
  <c r="P22" i="12"/>
  <c r="O22" i="12"/>
  <c r="N22" i="12"/>
  <c r="M22" i="12"/>
  <c r="K22" i="12"/>
  <c r="J22" i="12"/>
  <c r="I22" i="12"/>
  <c r="H22" i="12"/>
  <c r="G22" i="12"/>
  <c r="F22" i="12"/>
  <c r="AA21" i="12"/>
  <c r="Z21" i="12"/>
  <c r="V21" i="12"/>
  <c r="U21" i="12"/>
  <c r="T21" i="12"/>
  <c r="S21" i="12"/>
  <c r="R21" i="12"/>
  <c r="Q21" i="12"/>
  <c r="M21" i="12"/>
  <c r="L21" i="12"/>
  <c r="H21" i="12"/>
  <c r="G21" i="12"/>
  <c r="F21" i="12"/>
  <c r="E21" i="12"/>
  <c r="D21" i="12"/>
  <c r="C21" i="12"/>
  <c r="AD20" i="12"/>
  <c r="AC20" i="12"/>
  <c r="AB20" i="12"/>
  <c r="Z20" i="12"/>
  <c r="Y20" i="12"/>
  <c r="X20" i="12"/>
  <c r="W20" i="12"/>
  <c r="S20" i="12"/>
  <c r="R20" i="12"/>
  <c r="Q20" i="12"/>
  <c r="P20" i="12"/>
  <c r="O20" i="12"/>
  <c r="N20" i="12"/>
  <c r="L20" i="12"/>
  <c r="K20" i="12"/>
  <c r="J20" i="12"/>
  <c r="I20" i="12"/>
  <c r="E20" i="12"/>
  <c r="D20" i="12"/>
  <c r="C20" i="12"/>
  <c r="AD19" i="12"/>
  <c r="AC19" i="12"/>
  <c r="AB19" i="12"/>
  <c r="AA19" i="12"/>
  <c r="Y19" i="12"/>
  <c r="X19" i="12"/>
  <c r="W19" i="12"/>
  <c r="V19" i="12"/>
  <c r="U19" i="12"/>
  <c r="T19" i="12"/>
  <c r="P19" i="12"/>
  <c r="O19" i="12"/>
  <c r="N19" i="12"/>
  <c r="M19" i="12"/>
  <c r="K19" i="12"/>
  <c r="J19" i="12"/>
  <c r="I19" i="12"/>
  <c r="H19" i="12"/>
  <c r="G19" i="12"/>
  <c r="F19" i="12"/>
  <c r="AA18" i="12"/>
  <c r="Z18" i="12"/>
  <c r="V18" i="12"/>
  <c r="U18" i="12"/>
  <c r="T18" i="12"/>
  <c r="S18" i="12"/>
  <c r="R18" i="12"/>
  <c r="Q18" i="12"/>
  <c r="M18" i="12"/>
  <c r="L18" i="12"/>
  <c r="H18" i="12"/>
  <c r="G18" i="12"/>
  <c r="F18" i="12"/>
  <c r="E18" i="12"/>
  <c r="D18" i="12"/>
  <c r="C18" i="12"/>
  <c r="AD17" i="12"/>
  <c r="AC17" i="12"/>
  <c r="AB17" i="12"/>
  <c r="Z17" i="12"/>
  <c r="Y17" i="12"/>
  <c r="X17" i="12"/>
  <c r="W17" i="12"/>
  <c r="S17" i="12"/>
  <c r="R17" i="12"/>
  <c r="Q17" i="12"/>
  <c r="P17" i="12"/>
  <c r="O17" i="12"/>
  <c r="N17" i="12"/>
  <c r="L17" i="12"/>
  <c r="K17" i="12"/>
  <c r="J17" i="12"/>
  <c r="I17" i="12"/>
  <c r="E17" i="12"/>
  <c r="D17" i="12"/>
  <c r="C17" i="12"/>
  <c r="AD16" i="12"/>
  <c r="AC16" i="12"/>
  <c r="AB16" i="12"/>
  <c r="AA16" i="12"/>
  <c r="Y16" i="12"/>
  <c r="X16" i="12"/>
  <c r="W16" i="12"/>
  <c r="V16" i="12"/>
  <c r="U16" i="12"/>
  <c r="T16" i="12"/>
  <c r="P16" i="12"/>
  <c r="O16" i="12"/>
  <c r="N16" i="12"/>
  <c r="M16" i="12"/>
  <c r="K16" i="12"/>
  <c r="J16" i="12"/>
  <c r="I16" i="12"/>
  <c r="H16" i="12"/>
  <c r="G16" i="12"/>
  <c r="F16" i="12"/>
  <c r="AB15" i="12"/>
  <c r="AA15" i="12"/>
  <c r="Z15" i="12"/>
  <c r="X15" i="12"/>
  <c r="W15" i="12"/>
  <c r="V15" i="12"/>
  <c r="U15" i="12"/>
  <c r="T15" i="12"/>
  <c r="S15" i="12"/>
  <c r="R15" i="12"/>
  <c r="Q15" i="12"/>
  <c r="P15" i="12"/>
  <c r="O15" i="12"/>
  <c r="M15" i="12"/>
  <c r="L15" i="12"/>
  <c r="H15" i="12"/>
  <c r="G15" i="12"/>
  <c r="F15" i="12"/>
  <c r="E15" i="12"/>
  <c r="D15" i="12"/>
  <c r="C15" i="12"/>
  <c r="B15" i="12"/>
  <c r="A15" i="12"/>
  <c r="AD14" i="12"/>
  <c r="AC14" i="12"/>
  <c r="AB14" i="12"/>
  <c r="AA14" i="12"/>
  <c r="Z14" i="12"/>
  <c r="Y14" i="12"/>
  <c r="X14" i="12"/>
  <c r="W14" i="12"/>
  <c r="T14" i="12"/>
  <c r="S14" i="12"/>
  <c r="R14" i="12"/>
  <c r="Q14" i="12"/>
  <c r="P14" i="12"/>
  <c r="O14" i="12"/>
  <c r="N14" i="12"/>
  <c r="M14" i="12"/>
  <c r="L14" i="12"/>
  <c r="K14" i="12"/>
  <c r="J14" i="12"/>
  <c r="I14" i="12"/>
  <c r="E14" i="12"/>
  <c r="D14" i="12"/>
  <c r="C14" i="12"/>
  <c r="B14" i="12"/>
  <c r="A14" i="12"/>
  <c r="AD13" i="12"/>
  <c r="AC13" i="12"/>
  <c r="AB13" i="12"/>
  <c r="AA13" i="12"/>
  <c r="Z13" i="12"/>
  <c r="Y13" i="12"/>
  <c r="X13" i="12"/>
  <c r="W13" i="12"/>
  <c r="V13" i="12"/>
  <c r="U13" i="12"/>
  <c r="T13" i="12"/>
  <c r="R13" i="12"/>
  <c r="Q13" i="12"/>
  <c r="P13" i="12"/>
  <c r="O13" i="12"/>
  <c r="N13" i="12"/>
  <c r="M13" i="12"/>
  <c r="K13" i="12"/>
  <c r="J13" i="12"/>
  <c r="I13" i="12"/>
  <c r="H13" i="12"/>
  <c r="G13" i="12"/>
  <c r="F13" i="12"/>
  <c r="B13" i="12"/>
  <c r="O10" i="12"/>
  <c r="N10" i="12"/>
  <c r="M10" i="12"/>
  <c r="L10" i="12"/>
  <c r="K10" i="12"/>
  <c r="J10" i="12"/>
  <c r="I10" i="12"/>
  <c r="H10" i="12"/>
  <c r="D10" i="12"/>
  <c r="Y7" i="12"/>
  <c r="T7" i="12"/>
  <c r="P7" i="12"/>
  <c r="O7" i="12"/>
  <c r="K7" i="12"/>
  <c r="H7" i="12"/>
  <c r="G7" i="12"/>
  <c r="E7" i="12"/>
  <c r="D7" i="12"/>
  <c r="B7" i="12"/>
  <c r="A7" i="12"/>
  <c r="G6" i="12"/>
  <c r="F6" i="12"/>
  <c r="E6" i="12"/>
  <c r="B6" i="12"/>
  <c r="Y5" i="12"/>
  <c r="E5" i="12"/>
  <c r="D5" i="12"/>
  <c r="B5" i="12"/>
  <c r="A5" i="12" s="1"/>
  <c r="A38" i="12" s="1"/>
  <c r="X4" i="12"/>
  <c r="W4" i="12"/>
  <c r="T4" i="12"/>
  <c r="S4" i="12"/>
  <c r="Q4" i="12"/>
  <c r="P4" i="12"/>
  <c r="O4" i="12"/>
  <c r="L4" i="12"/>
  <c r="H4" i="12"/>
  <c r="G4" i="12"/>
  <c r="E4" i="12"/>
  <c r="B4" i="12"/>
  <c r="A4" i="12"/>
  <c r="A37" i="12" s="1"/>
  <c r="AF2" i="12"/>
  <c r="B10" i="12" s="1"/>
  <c r="E44" i="9"/>
  <c r="D44" i="9"/>
  <c r="E43" i="9"/>
  <c r="D43" i="9"/>
  <c r="E42" i="9"/>
  <c r="D42" i="9"/>
  <c r="E41" i="9"/>
  <c r="D41" i="9"/>
  <c r="E40" i="9"/>
  <c r="D40" i="9"/>
  <c r="E39" i="9"/>
  <c r="D39" i="9"/>
  <c r="E38" i="9"/>
  <c r="D38" i="9"/>
  <c r="E37" i="9"/>
  <c r="D37" i="9"/>
  <c r="E36" i="9"/>
  <c r="D36" i="9"/>
  <c r="E35" i="9"/>
  <c r="D35" i="9"/>
  <c r="E34" i="9"/>
  <c r="D34" i="9"/>
  <c r="E33" i="9"/>
  <c r="D33" i="9"/>
  <c r="E32" i="9"/>
  <c r="D32" i="9"/>
  <c r="E31" i="9"/>
  <c r="D31" i="9"/>
  <c r="E30" i="9"/>
  <c r="D30" i="9"/>
  <c r="E29" i="9"/>
  <c r="D29" i="9"/>
  <c r="E28" i="9"/>
  <c r="D28" i="9"/>
  <c r="E27" i="9"/>
  <c r="D27" i="9"/>
  <c r="E26" i="9"/>
  <c r="D26" i="9"/>
  <c r="O25" i="9"/>
  <c r="E25" i="9"/>
  <c r="D25" i="9"/>
  <c r="O24" i="9"/>
  <c r="E24" i="9"/>
  <c r="D24" i="9"/>
  <c r="E23" i="9"/>
  <c r="D23" i="9"/>
  <c r="E22" i="9"/>
  <c r="D22" i="9"/>
  <c r="E21" i="9"/>
  <c r="D21" i="9"/>
  <c r="E20" i="9"/>
  <c r="D20" i="9"/>
  <c r="E19" i="9"/>
  <c r="D19" i="9"/>
  <c r="I18" i="9"/>
  <c r="E18" i="9"/>
  <c r="D18" i="9"/>
  <c r="I17" i="9"/>
  <c r="E17" i="9"/>
  <c r="D17" i="9"/>
  <c r="I16" i="9"/>
  <c r="E16" i="9"/>
  <c r="D16" i="9"/>
  <c r="I15" i="9"/>
  <c r="E15" i="9"/>
  <c r="D15" i="9"/>
  <c r="I14" i="9"/>
  <c r="E14" i="9"/>
  <c r="D14" i="9"/>
  <c r="I13" i="9"/>
  <c r="I12" i="9"/>
  <c r="I11" i="9"/>
  <c r="I10" i="9"/>
  <c r="I9" i="9"/>
  <c r="I8" i="9"/>
  <c r="O7" i="9"/>
  <c r="O20" i="9" s="1"/>
  <c r="I7" i="9"/>
  <c r="O6" i="9"/>
  <c r="O8" i="9" s="1"/>
  <c r="I6" i="9"/>
  <c r="O5" i="9"/>
  <c r="N5" i="9" s="1"/>
  <c r="I5" i="9"/>
  <c r="P2" i="8"/>
  <c r="W237" i="7"/>
  <c r="C237" i="7"/>
  <c r="W236" i="7"/>
  <c r="C236" i="7"/>
  <c r="W235" i="7"/>
  <c r="C235" i="7"/>
  <c r="W234" i="7"/>
  <c r="C234" i="7"/>
  <c r="W233" i="7"/>
  <c r="C233" i="7"/>
  <c r="W232" i="7"/>
  <c r="C232" i="7"/>
  <c r="W231" i="7"/>
  <c r="C231" i="7"/>
  <c r="AC230" i="7"/>
  <c r="Y230" i="7"/>
  <c r="W230" i="7"/>
  <c r="C230" i="7"/>
  <c r="W229" i="7"/>
  <c r="C229" i="7"/>
  <c r="W228" i="7"/>
  <c r="C228" i="7"/>
  <c r="W227" i="7"/>
  <c r="C227" i="7"/>
  <c r="W226" i="7"/>
  <c r="C226" i="7"/>
  <c r="W225" i="7"/>
  <c r="H225" i="7"/>
  <c r="F225" i="7"/>
  <c r="C225" i="7"/>
  <c r="W224" i="7"/>
  <c r="C224" i="7"/>
  <c r="W223" i="7"/>
  <c r="C223" i="7"/>
  <c r="W222" i="7"/>
  <c r="C222" i="7"/>
  <c r="W221" i="7"/>
  <c r="C221" i="7"/>
  <c r="AE220" i="7"/>
  <c r="W220" i="7"/>
  <c r="C220" i="7"/>
  <c r="W219" i="7"/>
  <c r="C219" i="7"/>
  <c r="W218" i="7"/>
  <c r="C218" i="7"/>
  <c r="W217" i="7"/>
  <c r="C217" i="7"/>
  <c r="W216" i="7"/>
  <c r="C216" i="7"/>
  <c r="W215" i="7"/>
  <c r="C215" i="7"/>
  <c r="X214" i="7"/>
  <c r="W214" i="7"/>
  <c r="C214" i="7"/>
  <c r="W213" i="7"/>
  <c r="J213" i="7"/>
  <c r="G213" i="7"/>
  <c r="C213" i="7"/>
  <c r="W212" i="7"/>
  <c r="D212" i="7"/>
  <c r="C212" i="7"/>
  <c r="W211" i="7"/>
  <c r="C211" i="7"/>
  <c r="W210" i="7"/>
  <c r="D210" i="7"/>
  <c r="C210" i="7"/>
  <c r="W209" i="7"/>
  <c r="C209" i="7"/>
  <c r="W208" i="7"/>
  <c r="K208" i="7"/>
  <c r="C208" i="7"/>
  <c r="W207" i="7"/>
  <c r="C207" i="7"/>
  <c r="W206" i="7"/>
  <c r="C206" i="7"/>
  <c r="W205" i="7"/>
  <c r="C205" i="7"/>
  <c r="Z204" i="7"/>
  <c r="W204" i="7"/>
  <c r="C204" i="7"/>
  <c r="W203" i="7"/>
  <c r="C203" i="7"/>
  <c r="W202" i="7"/>
  <c r="G202" i="7"/>
  <c r="C202" i="7"/>
  <c r="AD201" i="7"/>
  <c r="W201" i="7"/>
  <c r="C201" i="7"/>
  <c r="W200" i="7"/>
  <c r="C200" i="7"/>
  <c r="W199" i="7"/>
  <c r="C199" i="7"/>
  <c r="AD198" i="7"/>
  <c r="W198" i="7"/>
  <c r="C198" i="7"/>
  <c r="W197" i="7"/>
  <c r="C197" i="7"/>
  <c r="W196" i="7"/>
  <c r="C196" i="7"/>
  <c r="W195" i="7"/>
  <c r="C195" i="7"/>
  <c r="AD194" i="7"/>
  <c r="W194" i="7"/>
  <c r="C194" i="7"/>
  <c r="W193" i="7"/>
  <c r="C193" i="7"/>
  <c r="W192" i="7"/>
  <c r="C192" i="7"/>
  <c r="AD191" i="7"/>
  <c r="AA191" i="7"/>
  <c r="Z191" i="7"/>
  <c r="Y191" i="7"/>
  <c r="W191" i="7"/>
  <c r="C191" i="7"/>
  <c r="W190" i="7"/>
  <c r="C190" i="7"/>
  <c r="W189" i="7"/>
  <c r="C189" i="7"/>
  <c r="W188" i="7"/>
  <c r="C188" i="7"/>
  <c r="W187" i="7"/>
  <c r="C187" i="7"/>
  <c r="W186" i="7"/>
  <c r="K186" i="7"/>
  <c r="J186" i="7"/>
  <c r="E186" i="7"/>
  <c r="C186" i="7"/>
  <c r="W185" i="7"/>
  <c r="C185" i="7"/>
  <c r="AB184" i="7"/>
  <c r="W184" i="7"/>
  <c r="C184" i="7"/>
  <c r="W183" i="7"/>
  <c r="C183" i="7"/>
  <c r="W182" i="7"/>
  <c r="C182" i="7"/>
  <c r="Z181" i="7"/>
  <c r="W181" i="7"/>
  <c r="U181" i="7"/>
  <c r="C181" i="7"/>
  <c r="W180" i="7"/>
  <c r="C180" i="7"/>
  <c r="AE179" i="7"/>
  <c r="W179" i="7"/>
  <c r="C179" i="7"/>
  <c r="W178" i="7"/>
  <c r="C178" i="7"/>
  <c r="W177" i="7"/>
  <c r="C177" i="7"/>
  <c r="AE176" i="7"/>
  <c r="W176" i="7"/>
  <c r="I176" i="7"/>
  <c r="C176" i="7"/>
  <c r="W175" i="7"/>
  <c r="C175" i="7"/>
  <c r="W174" i="7"/>
  <c r="C174" i="7"/>
  <c r="W173" i="7"/>
  <c r="J173" i="7"/>
  <c r="C173" i="7"/>
  <c r="W172" i="7"/>
  <c r="U172" i="7"/>
  <c r="C172" i="7"/>
  <c r="W171" i="7"/>
  <c r="C171" i="7"/>
  <c r="AE170" i="7"/>
  <c r="W170" i="7"/>
  <c r="C170" i="7"/>
  <c r="W169" i="7"/>
  <c r="C169" i="7"/>
  <c r="W168" i="7"/>
  <c r="G168" i="7"/>
  <c r="F168" i="7"/>
  <c r="C168" i="7"/>
  <c r="Y167" i="7"/>
  <c r="W167" i="7"/>
  <c r="I167" i="7"/>
  <c r="C167" i="7"/>
  <c r="W166" i="7"/>
  <c r="C166" i="7"/>
  <c r="W165" i="7"/>
  <c r="C165" i="7"/>
  <c r="W164" i="7"/>
  <c r="C164" i="7"/>
  <c r="W163" i="7"/>
  <c r="C163" i="7"/>
  <c r="AC162" i="7"/>
  <c r="W162" i="7"/>
  <c r="C162" i="7"/>
  <c r="AE161" i="7"/>
  <c r="W161" i="7"/>
  <c r="C161" i="7"/>
  <c r="W160" i="7"/>
  <c r="C160" i="7"/>
  <c r="AE159" i="7"/>
  <c r="AD159" i="7"/>
  <c r="W159" i="7"/>
  <c r="C159" i="7"/>
  <c r="W158" i="7"/>
  <c r="C158" i="7"/>
  <c r="W157" i="7"/>
  <c r="C157" i="7"/>
  <c r="W156" i="7"/>
  <c r="C156" i="7"/>
  <c r="AD155" i="7"/>
  <c r="W155" i="7"/>
  <c r="C155" i="7"/>
  <c r="W154" i="7"/>
  <c r="J154" i="7"/>
  <c r="F154" i="7"/>
  <c r="C154" i="7"/>
  <c r="W153" i="7"/>
  <c r="I153" i="7"/>
  <c r="C153" i="7"/>
  <c r="W152" i="7"/>
  <c r="C152" i="7"/>
  <c r="W151" i="7"/>
  <c r="K151" i="7"/>
  <c r="J151" i="7"/>
  <c r="I151" i="7"/>
  <c r="H151" i="7"/>
  <c r="G151" i="7"/>
  <c r="F151" i="7"/>
  <c r="C151" i="7"/>
  <c r="W150" i="7"/>
  <c r="C150" i="7"/>
  <c r="W149" i="7"/>
  <c r="C149" i="7"/>
  <c r="AA148" i="7"/>
  <c r="W148" i="7"/>
  <c r="C148" i="7"/>
  <c r="W147" i="7"/>
  <c r="E147" i="7"/>
  <c r="C147" i="7"/>
  <c r="W146" i="7"/>
  <c r="C146" i="7"/>
  <c r="AE145" i="7"/>
  <c r="W145" i="7"/>
  <c r="C145" i="7"/>
  <c r="W144" i="7"/>
  <c r="C144" i="7"/>
  <c r="AB143" i="7"/>
  <c r="W143" i="7"/>
  <c r="C143" i="7"/>
  <c r="W142" i="7"/>
  <c r="H142" i="7"/>
  <c r="C142" i="7"/>
  <c r="W141" i="7"/>
  <c r="C141" i="7"/>
  <c r="W140" i="7"/>
  <c r="C140" i="7"/>
  <c r="W139" i="7"/>
  <c r="E139" i="7"/>
  <c r="D139" i="7"/>
  <c r="C139" i="7"/>
  <c r="W138" i="7"/>
  <c r="D138" i="7"/>
  <c r="C138" i="7"/>
  <c r="W137" i="7"/>
  <c r="C137" i="7"/>
  <c r="W136" i="7"/>
  <c r="C136" i="7"/>
  <c r="AD135" i="7"/>
  <c r="AC135" i="7"/>
  <c r="X135" i="7"/>
  <c r="W135" i="7"/>
  <c r="U135" i="7"/>
  <c r="K135" i="7"/>
  <c r="I135" i="7"/>
  <c r="H135" i="7"/>
  <c r="C135" i="7"/>
  <c r="W134" i="7"/>
  <c r="C134" i="7"/>
  <c r="W133" i="7"/>
  <c r="K133" i="7"/>
  <c r="J133" i="7"/>
  <c r="I133" i="7"/>
  <c r="C133" i="7"/>
  <c r="W132" i="7"/>
  <c r="C132" i="7"/>
  <c r="AE131" i="7"/>
  <c r="W131" i="7"/>
  <c r="U131" i="7"/>
  <c r="C131" i="7"/>
  <c r="W130" i="7"/>
  <c r="C130" i="7"/>
  <c r="W129" i="7"/>
  <c r="H129" i="7"/>
  <c r="D129" i="7"/>
  <c r="C129" i="7"/>
  <c r="AD128" i="7"/>
  <c r="AB128" i="7"/>
  <c r="W128" i="7"/>
  <c r="C128" i="7"/>
  <c r="Y127" i="7"/>
  <c r="W127" i="7"/>
  <c r="C127" i="7"/>
  <c r="W126" i="7"/>
  <c r="C126" i="7"/>
  <c r="W125" i="7"/>
  <c r="E125" i="7"/>
  <c r="C125" i="7"/>
  <c r="Y124" i="7"/>
  <c r="X124" i="7"/>
  <c r="W124" i="7"/>
  <c r="C124" i="7"/>
  <c r="W123" i="7"/>
  <c r="C123" i="7"/>
  <c r="W122" i="7"/>
  <c r="U122" i="7"/>
  <c r="C122" i="7"/>
  <c r="W121" i="7"/>
  <c r="C121" i="7"/>
  <c r="AA120" i="7"/>
  <c r="W120" i="7"/>
  <c r="C120" i="7"/>
  <c r="W119" i="7"/>
  <c r="C119" i="7"/>
  <c r="AC118" i="7"/>
  <c r="W118" i="7"/>
  <c r="C118" i="7"/>
  <c r="AB117" i="7"/>
  <c r="W117" i="7"/>
  <c r="C117" i="7"/>
  <c r="W116" i="7"/>
  <c r="C116" i="7"/>
  <c r="W115" i="7"/>
  <c r="C115" i="7"/>
  <c r="W114" i="7"/>
  <c r="C114" i="7"/>
  <c r="W113" i="7"/>
  <c r="I113" i="7"/>
  <c r="H113" i="7"/>
  <c r="C113" i="7"/>
  <c r="W112" i="7"/>
  <c r="E112" i="7"/>
  <c r="C112" i="7"/>
  <c r="W111" i="7"/>
  <c r="F111" i="7"/>
  <c r="C111" i="7"/>
  <c r="W110" i="7"/>
  <c r="C110" i="7"/>
  <c r="AE109" i="7"/>
  <c r="W109" i="7"/>
  <c r="U109" i="7"/>
  <c r="AN109" i="7" s="1"/>
  <c r="C109" i="7"/>
  <c r="W108" i="7"/>
  <c r="C108" i="7"/>
  <c r="W107" i="7"/>
  <c r="C107" i="7"/>
  <c r="AB106" i="7"/>
  <c r="AA106" i="7"/>
  <c r="Y106" i="7"/>
  <c r="X106" i="7"/>
  <c r="W106" i="7"/>
  <c r="C106" i="7"/>
  <c r="AE105" i="7"/>
  <c r="AD105" i="7"/>
  <c r="AB105" i="7"/>
  <c r="W105" i="7"/>
  <c r="C105" i="7"/>
  <c r="W104" i="7"/>
  <c r="C104" i="7"/>
  <c r="W103" i="7"/>
  <c r="C103" i="7"/>
  <c r="AD102" i="7"/>
  <c r="AA102" i="7"/>
  <c r="Y102" i="7"/>
  <c r="W102" i="7"/>
  <c r="C102" i="7"/>
  <c r="W101" i="7"/>
  <c r="C101" i="7"/>
  <c r="W100" i="7"/>
  <c r="F100" i="7"/>
  <c r="C100" i="7"/>
  <c r="Y99" i="7"/>
  <c r="W99" i="7"/>
  <c r="C99" i="7"/>
  <c r="AC98" i="7"/>
  <c r="W98" i="7"/>
  <c r="C98" i="7"/>
  <c r="W97" i="7"/>
  <c r="C97" i="7"/>
  <c r="W96" i="7"/>
  <c r="C96" i="7"/>
  <c r="W95" i="7"/>
  <c r="E95" i="7"/>
  <c r="C95" i="7"/>
  <c r="W94" i="7"/>
  <c r="C94" i="7"/>
  <c r="W93" i="7"/>
  <c r="H93" i="7"/>
  <c r="C93" i="7"/>
  <c r="AE92" i="7"/>
  <c r="W92" i="7"/>
  <c r="C92" i="7"/>
  <c r="W91" i="7"/>
  <c r="C91" i="7"/>
  <c r="W90" i="7"/>
  <c r="C90" i="7"/>
  <c r="AE89" i="7"/>
  <c r="AB89" i="7"/>
  <c r="X89" i="7"/>
  <c r="W89" i="7"/>
  <c r="C89" i="7"/>
  <c r="W88" i="7"/>
  <c r="C88" i="7"/>
  <c r="Z87" i="7"/>
  <c r="Y87" i="7"/>
  <c r="W87" i="7"/>
  <c r="C87" i="7"/>
  <c r="AA86" i="7"/>
  <c r="Z86" i="7"/>
  <c r="X86" i="7"/>
  <c r="W86" i="7"/>
  <c r="J86" i="7"/>
  <c r="C86" i="7"/>
  <c r="W85" i="7"/>
  <c r="C85" i="7"/>
  <c r="AE84" i="7"/>
  <c r="AD84" i="7"/>
  <c r="AB84" i="7"/>
  <c r="W84" i="7"/>
  <c r="C84" i="7"/>
  <c r="W83" i="7"/>
  <c r="G83" i="7"/>
  <c r="F83" i="7"/>
  <c r="C83" i="7"/>
  <c r="W82" i="7"/>
  <c r="C82" i="7"/>
  <c r="W81" i="7"/>
  <c r="G81" i="7"/>
  <c r="F81" i="7"/>
  <c r="E81" i="7"/>
  <c r="C81" i="7"/>
  <c r="AB80" i="7"/>
  <c r="W80" i="7"/>
  <c r="C80" i="7"/>
  <c r="W79" i="7"/>
  <c r="U79" i="7"/>
  <c r="H79" i="7"/>
  <c r="C79" i="7"/>
  <c r="W78" i="7"/>
  <c r="I78" i="7"/>
  <c r="F78" i="7"/>
  <c r="C78" i="7"/>
  <c r="W77" i="7"/>
  <c r="C77" i="7"/>
  <c r="AA76" i="7"/>
  <c r="W76" i="7"/>
  <c r="C76" i="7"/>
  <c r="W75" i="7"/>
  <c r="C75" i="7"/>
  <c r="W74" i="7"/>
  <c r="C74" i="7"/>
  <c r="W73" i="7"/>
  <c r="J73" i="7"/>
  <c r="H73" i="7"/>
  <c r="G73" i="7"/>
  <c r="C73" i="7"/>
  <c r="AB72" i="7"/>
  <c r="AA72" i="7"/>
  <c r="Z72" i="7"/>
  <c r="X72" i="7"/>
  <c r="W72" i="7"/>
  <c r="D72" i="7"/>
  <c r="C72" i="7"/>
  <c r="Z71" i="7"/>
  <c r="W71" i="7"/>
  <c r="C71" i="7"/>
  <c r="Z70" i="7"/>
  <c r="W70" i="7"/>
  <c r="U70" i="7"/>
  <c r="AN70" i="7" s="1"/>
  <c r="C70" i="7"/>
  <c r="W69" i="7"/>
  <c r="C69" i="7"/>
  <c r="AE68" i="7"/>
  <c r="W68" i="7"/>
  <c r="F68" i="7"/>
  <c r="E68" i="7"/>
  <c r="C68" i="7"/>
  <c r="W67" i="7"/>
  <c r="C67" i="7"/>
  <c r="AE66" i="7"/>
  <c r="W66" i="7"/>
  <c r="I66" i="7"/>
  <c r="G66" i="7"/>
  <c r="F66" i="7"/>
  <c r="C66" i="7"/>
  <c r="AA65" i="7"/>
  <c r="W65" i="7"/>
  <c r="C65" i="7"/>
  <c r="AE64" i="7"/>
  <c r="AB64" i="7"/>
  <c r="Z64" i="7"/>
  <c r="W64" i="7"/>
  <c r="U64" i="7"/>
  <c r="AN64" i="7" s="1"/>
  <c r="AK64" i="7" s="1"/>
  <c r="C64" i="7"/>
  <c r="W63" i="7"/>
  <c r="G63" i="7"/>
  <c r="E63" i="7"/>
  <c r="D63" i="7"/>
  <c r="C63" i="7"/>
  <c r="Z62" i="7"/>
  <c r="X62" i="7"/>
  <c r="W62" i="7"/>
  <c r="C62" i="7"/>
  <c r="W61" i="7"/>
  <c r="U61" i="7"/>
  <c r="AN61" i="7" s="1"/>
  <c r="C61" i="7"/>
  <c r="AE60" i="7"/>
  <c r="AD60" i="7"/>
  <c r="W60" i="7"/>
  <c r="C60" i="7"/>
  <c r="AD59" i="7"/>
  <c r="W59" i="7"/>
  <c r="D59" i="7"/>
  <c r="C59" i="7"/>
  <c r="AB58" i="7"/>
  <c r="AA58" i="7"/>
  <c r="W58" i="7"/>
  <c r="C58" i="7"/>
  <c r="AD57" i="7"/>
  <c r="X57" i="7"/>
  <c r="W57" i="7"/>
  <c r="U57" i="7"/>
  <c r="AN57" i="7" s="1"/>
  <c r="AG57" i="7" s="1"/>
  <c r="C57" i="7"/>
  <c r="W56" i="7"/>
  <c r="E56" i="7"/>
  <c r="C56" i="7"/>
  <c r="AB55" i="7"/>
  <c r="AA55" i="7"/>
  <c r="Z55" i="7"/>
  <c r="Y55" i="7"/>
  <c r="X55" i="7"/>
  <c r="W55" i="7"/>
  <c r="C55" i="7"/>
  <c r="Y54" i="7"/>
  <c r="X54" i="7"/>
  <c r="W54" i="7"/>
  <c r="C54" i="7"/>
  <c r="W53" i="7"/>
  <c r="C53" i="7"/>
  <c r="AE52" i="7"/>
  <c r="Z52" i="7"/>
  <c r="W52" i="7"/>
  <c r="J52" i="7"/>
  <c r="I52" i="7"/>
  <c r="H52" i="7"/>
  <c r="C52" i="7"/>
  <c r="AE51" i="7"/>
  <c r="W51" i="7"/>
  <c r="I51" i="7"/>
  <c r="C51" i="7"/>
  <c r="W50" i="7"/>
  <c r="G50" i="7"/>
  <c r="C50" i="7"/>
  <c r="W49" i="7"/>
  <c r="K49" i="7"/>
  <c r="I49" i="7"/>
  <c r="C49" i="7"/>
  <c r="AA48" i="7"/>
  <c r="W48" i="7"/>
  <c r="K48" i="7"/>
  <c r="J48" i="7"/>
  <c r="E48" i="7"/>
  <c r="C48" i="7"/>
  <c r="AC47" i="7"/>
  <c r="AA47" i="7"/>
  <c r="Z47" i="7"/>
  <c r="Y47" i="7"/>
  <c r="W47" i="7"/>
  <c r="K47" i="7"/>
  <c r="C47" i="7"/>
  <c r="AD46" i="7"/>
  <c r="W46" i="7"/>
  <c r="U46" i="7"/>
  <c r="AN46" i="7" s="1"/>
  <c r="C46" i="7"/>
  <c r="AD45" i="7"/>
  <c r="W45" i="7"/>
  <c r="U45" i="7"/>
  <c r="G45" i="7"/>
  <c r="E45" i="7"/>
  <c r="C45" i="7"/>
  <c r="AE44" i="7"/>
  <c r="W44" i="7"/>
  <c r="K44" i="7"/>
  <c r="C44" i="7"/>
  <c r="AN43" i="7"/>
  <c r="AM43" i="7" s="1"/>
  <c r="AE43" i="7"/>
  <c r="W43" i="7"/>
  <c r="U43" i="7"/>
  <c r="C43" i="7"/>
  <c r="W42" i="7"/>
  <c r="K42" i="7"/>
  <c r="J42" i="7"/>
  <c r="C42" i="7"/>
  <c r="Z41" i="7"/>
  <c r="W41" i="7"/>
  <c r="F41" i="7"/>
  <c r="E41" i="7"/>
  <c r="C41" i="7"/>
  <c r="W40" i="7"/>
  <c r="D40" i="7"/>
  <c r="C40" i="7"/>
  <c r="AG39" i="7"/>
  <c r="AE39" i="7"/>
  <c r="AD39" i="7"/>
  <c r="AA39" i="7"/>
  <c r="W39" i="7"/>
  <c r="U39" i="7"/>
  <c r="AN39" i="7" s="1"/>
  <c r="F39" i="7"/>
  <c r="C39" i="7"/>
  <c r="AE38" i="7"/>
  <c r="AD38" i="7"/>
  <c r="W38" i="7"/>
  <c r="U38" i="7"/>
  <c r="K38" i="7"/>
  <c r="J38" i="7"/>
  <c r="E38" i="7"/>
  <c r="C38" i="7"/>
  <c r="W37" i="7"/>
  <c r="U37" i="7"/>
  <c r="AN37" i="7" s="1"/>
  <c r="C37" i="7"/>
  <c r="W36" i="7"/>
  <c r="K36" i="7"/>
  <c r="I36" i="7"/>
  <c r="D36" i="7"/>
  <c r="C36" i="7"/>
  <c r="W35" i="7"/>
  <c r="K35" i="7"/>
  <c r="C35" i="7"/>
  <c r="AD34" i="7"/>
  <c r="AC34" i="7"/>
  <c r="AB34" i="7"/>
  <c r="AA34" i="7"/>
  <c r="Z34" i="7"/>
  <c r="W34" i="7"/>
  <c r="J34" i="7"/>
  <c r="H34" i="7"/>
  <c r="C34" i="7"/>
  <c r="W33" i="7"/>
  <c r="G33" i="7"/>
  <c r="F33" i="7"/>
  <c r="C33" i="7"/>
  <c r="X32" i="7"/>
  <c r="W32" i="7"/>
  <c r="U32" i="7"/>
  <c r="AN32" i="7" s="1"/>
  <c r="H32" i="7"/>
  <c r="C32" i="7"/>
  <c r="W31" i="7"/>
  <c r="K31" i="7"/>
  <c r="J31" i="7"/>
  <c r="I31" i="7"/>
  <c r="H31" i="7"/>
  <c r="G31" i="7"/>
  <c r="F31" i="7"/>
  <c r="E31" i="7"/>
  <c r="D31" i="7"/>
  <c r="C31" i="7"/>
  <c r="Z30" i="7"/>
  <c r="Y30" i="7"/>
  <c r="W30" i="7"/>
  <c r="C30" i="7"/>
  <c r="AB29" i="7"/>
  <c r="AA29" i="7"/>
  <c r="W29" i="7"/>
  <c r="C29" i="7"/>
  <c r="AA28" i="7"/>
  <c r="W28" i="7"/>
  <c r="U28" i="7"/>
  <c r="C28" i="7"/>
  <c r="AE27" i="7"/>
  <c r="AD27" i="7"/>
  <c r="AC27" i="7"/>
  <c r="AB27" i="7"/>
  <c r="AA27" i="7"/>
  <c r="Z27" i="7"/>
  <c r="Y27" i="7"/>
  <c r="X27" i="7"/>
  <c r="W27" i="7"/>
  <c r="K27" i="7"/>
  <c r="E27" i="7"/>
  <c r="D27" i="7"/>
  <c r="C27" i="7"/>
  <c r="W26" i="7"/>
  <c r="U26" i="7"/>
  <c r="I26" i="7"/>
  <c r="H26" i="7"/>
  <c r="G26" i="7"/>
  <c r="C26" i="7"/>
  <c r="W25" i="7"/>
  <c r="I25" i="7"/>
  <c r="C25" i="7"/>
  <c r="AD24" i="7"/>
  <c r="W24" i="7"/>
  <c r="J24" i="7"/>
  <c r="H24" i="7"/>
  <c r="G24" i="7"/>
  <c r="F24" i="7"/>
  <c r="E24" i="7"/>
  <c r="C24" i="7"/>
  <c r="AD23" i="7"/>
  <c r="AB23" i="7"/>
  <c r="AA23" i="7"/>
  <c r="Z23" i="7"/>
  <c r="W23" i="7"/>
  <c r="U23" i="7"/>
  <c r="C23" i="7"/>
  <c r="AD22" i="7"/>
  <c r="AC22" i="7"/>
  <c r="AA22" i="7"/>
  <c r="Y22" i="7"/>
  <c r="W22" i="7"/>
  <c r="H22" i="7"/>
  <c r="F22" i="7"/>
  <c r="C22" i="7"/>
  <c r="X21" i="7"/>
  <c r="W21" i="7"/>
  <c r="U21" i="7"/>
  <c r="AN21" i="7" s="1"/>
  <c r="AK21" i="7" s="1"/>
  <c r="C21" i="7"/>
  <c r="AB20" i="7"/>
  <c r="Z20" i="7"/>
  <c r="X20" i="7"/>
  <c r="W20" i="7"/>
  <c r="K20" i="7"/>
  <c r="I20" i="7"/>
  <c r="H20" i="7"/>
  <c r="G20" i="7"/>
  <c r="E20" i="7"/>
  <c r="C20" i="7"/>
  <c r="W19" i="7"/>
  <c r="K19" i="7"/>
  <c r="J19" i="7"/>
  <c r="I19" i="7"/>
  <c r="H19" i="7"/>
  <c r="G19" i="7"/>
  <c r="F19" i="7"/>
  <c r="C19" i="7"/>
  <c r="X18" i="7"/>
  <c r="W18" i="7"/>
  <c r="C18" i="7"/>
  <c r="AE17" i="7"/>
  <c r="AD17" i="7"/>
  <c r="W17" i="7"/>
  <c r="F17" i="7"/>
  <c r="E17" i="7"/>
  <c r="C17" i="7"/>
  <c r="AC16" i="7"/>
  <c r="AA16" i="7"/>
  <c r="Y16" i="7"/>
  <c r="X16" i="7"/>
  <c r="W16" i="7"/>
  <c r="F16" i="7"/>
  <c r="C16" i="7"/>
  <c r="AE15" i="7"/>
  <c r="AD15" i="7"/>
  <c r="W15" i="7"/>
  <c r="U15" i="7"/>
  <c r="J15" i="7"/>
  <c r="C15" i="7"/>
  <c r="AE14" i="7"/>
  <c r="AD14" i="7"/>
  <c r="AC14" i="7"/>
  <c r="AB14" i="7"/>
  <c r="AA14" i="7"/>
  <c r="Z14" i="7"/>
  <c r="Y14" i="7"/>
  <c r="X14" i="7"/>
  <c r="W14" i="7"/>
  <c r="I14" i="7"/>
  <c r="H14" i="7"/>
  <c r="C14" i="7"/>
  <c r="AE13" i="7"/>
  <c r="AC13" i="7"/>
  <c r="AB13" i="7"/>
  <c r="AA13" i="7"/>
  <c r="Y13" i="7"/>
  <c r="W13" i="7"/>
  <c r="U13" i="7"/>
  <c r="AN13" i="7" s="1"/>
  <c r="F13" i="7"/>
  <c r="E13" i="7"/>
  <c r="C13" i="7"/>
  <c r="Y12" i="7"/>
  <c r="W12" i="7"/>
  <c r="U12" i="7"/>
  <c r="AN12" i="7" s="1"/>
  <c r="AI12" i="7" s="1"/>
  <c r="C12" i="7"/>
  <c r="AD11" i="7"/>
  <c r="AB11" i="7"/>
  <c r="W11" i="7"/>
  <c r="H11" i="7"/>
  <c r="G11" i="7"/>
  <c r="C11" i="7"/>
  <c r="AC10" i="7"/>
  <c r="AB10" i="7"/>
  <c r="AA10" i="7"/>
  <c r="Z10" i="7"/>
  <c r="Y10" i="7"/>
  <c r="X10" i="7"/>
  <c r="W10" i="7"/>
  <c r="K10" i="7"/>
  <c r="E10" i="7"/>
  <c r="D10" i="7"/>
  <c r="C10" i="7"/>
  <c r="Z9" i="7"/>
  <c r="Y9" i="7"/>
  <c r="W9" i="7"/>
  <c r="U9" i="7"/>
  <c r="AN9" i="7" s="1"/>
  <c r="G9" i="7"/>
  <c r="C9" i="7"/>
  <c r="AN8" i="7"/>
  <c r="AM8" i="7"/>
  <c r="X8" i="7"/>
  <c r="W8" i="7"/>
  <c r="U8" i="7"/>
  <c r="C8" i="7"/>
  <c r="AE7" i="7"/>
  <c r="AD7" i="7"/>
  <c r="AC7" i="7"/>
  <c r="AB7" i="7"/>
  <c r="W7" i="7"/>
  <c r="H7" i="7"/>
  <c r="C7" i="7"/>
  <c r="AD6" i="7"/>
  <c r="AC6" i="7"/>
  <c r="AB6" i="7"/>
  <c r="AA6" i="7"/>
  <c r="Z6" i="7"/>
  <c r="Y6" i="7"/>
  <c r="X6" i="7"/>
  <c r="W6" i="7"/>
  <c r="K6" i="7"/>
  <c r="F6" i="7"/>
  <c r="E6" i="7"/>
  <c r="C6" i="7"/>
  <c r="AC6" i="6"/>
  <c r="AB6" i="6"/>
  <c r="AA6" i="6"/>
  <c r="Z6" i="6"/>
  <c r="Y6" i="6"/>
  <c r="X6" i="6"/>
  <c r="W6" i="6"/>
  <c r="AI6" i="6" s="1"/>
  <c r="V6" i="6"/>
  <c r="AH6" i="6" s="1"/>
  <c r="U6" i="6"/>
  <c r="AG6" i="6" s="1"/>
  <c r="T6" i="6"/>
  <c r="S6" i="6"/>
  <c r="AK6" i="6" s="1"/>
  <c r="Q6" i="6"/>
  <c r="R6" i="6" s="1"/>
  <c r="P6" i="6"/>
  <c r="O6" i="6"/>
  <c r="N6" i="6"/>
  <c r="M6" i="6"/>
  <c r="AF6" i="6" s="1"/>
  <c r="L6" i="6"/>
  <c r="AE6" i="6" s="1"/>
  <c r="K6" i="6"/>
  <c r="AD6" i="6" s="1"/>
  <c r="J6" i="6"/>
  <c r="I6" i="6"/>
  <c r="AJ6" i="6" s="1"/>
  <c r="G6" i="6"/>
  <c r="F6" i="6"/>
  <c r="E6" i="6"/>
  <c r="D6" i="6"/>
  <c r="H6" i="6" s="1"/>
  <c r="C6" i="6"/>
  <c r="B6" i="6"/>
  <c r="U202" i="7" s="1"/>
  <c r="HH69" i="4"/>
  <c r="HG69" i="4"/>
  <c r="HF69" i="4"/>
  <c r="M216" i="7" s="1"/>
  <c r="FB69" i="4"/>
  <c r="FA69" i="4"/>
  <c r="EZ69" i="4"/>
  <c r="M158" i="7" s="1"/>
  <c r="DL69" i="4"/>
  <c r="M118" i="7" s="1"/>
  <c r="DG69" i="4"/>
  <c r="M113" i="7" s="1"/>
  <c r="DF69" i="4"/>
  <c r="BK69" i="4"/>
  <c r="BJ69" i="4"/>
  <c r="M64" i="7" s="1"/>
  <c r="BI69" i="4"/>
  <c r="M63" i="7" s="1"/>
  <c r="F69" i="4"/>
  <c r="M8" i="7" s="1"/>
  <c r="D69" i="4"/>
  <c r="IA68" i="4"/>
  <c r="GJ68" i="4"/>
  <c r="GI68" i="4"/>
  <c r="GB68" i="4"/>
  <c r="EO68" i="4"/>
  <c r="EN68" i="4"/>
  <c r="EM68" i="4"/>
  <c r="CS68" i="4"/>
  <c r="L99" i="7" s="1"/>
  <c r="CR68" i="4"/>
  <c r="CQ68" i="4"/>
  <c r="BC68" i="4"/>
  <c r="AS68" i="4"/>
  <c r="AR68" i="4"/>
  <c r="J68" i="4"/>
  <c r="I68" i="4"/>
  <c r="H68" i="4"/>
  <c r="C66" i="4"/>
  <c r="B66" i="4"/>
  <c r="B66" i="13" s="1"/>
  <c r="A66" i="4"/>
  <c r="A66" i="13" s="1"/>
  <c r="C65" i="4"/>
  <c r="B65" i="4"/>
  <c r="B65" i="13" s="1"/>
  <c r="A65" i="4"/>
  <c r="A65" i="13" s="1"/>
  <c r="C64" i="4"/>
  <c r="B64" i="4"/>
  <c r="B64" i="13" s="1"/>
  <c r="A64" i="4"/>
  <c r="A64" i="13" s="1"/>
  <c r="C63" i="4"/>
  <c r="B63" i="4"/>
  <c r="B63" i="13" s="1"/>
  <c r="A63" i="4"/>
  <c r="A63" i="13" s="1"/>
  <c r="C62" i="4"/>
  <c r="B62" i="4"/>
  <c r="B62" i="13" s="1"/>
  <c r="A62" i="4"/>
  <c r="A62" i="13" s="1"/>
  <c r="C61" i="4"/>
  <c r="B61" i="4"/>
  <c r="B61" i="13" s="1"/>
  <c r="A61" i="4"/>
  <c r="A61" i="13" s="1"/>
  <c r="C60" i="4"/>
  <c r="B60" i="4"/>
  <c r="B60" i="13" s="1"/>
  <c r="A60" i="4"/>
  <c r="A60" i="13" s="1"/>
  <c r="C59" i="4"/>
  <c r="B59" i="4"/>
  <c r="B59" i="13" s="1"/>
  <c r="A59" i="4"/>
  <c r="A59" i="13" s="1"/>
  <c r="C58" i="4"/>
  <c r="B58" i="4"/>
  <c r="B58" i="13" s="1"/>
  <c r="A58" i="4"/>
  <c r="A58" i="13" s="1"/>
  <c r="C57" i="4"/>
  <c r="B57" i="4"/>
  <c r="B57" i="13" s="1"/>
  <c r="A57" i="4"/>
  <c r="A57" i="13" s="1"/>
  <c r="C56" i="4"/>
  <c r="B56" i="4"/>
  <c r="B56" i="13" s="1"/>
  <c r="A56" i="4"/>
  <c r="A56" i="13" s="1"/>
  <c r="C55" i="4"/>
  <c r="B55" i="4"/>
  <c r="B55" i="13" s="1"/>
  <c r="A55" i="4"/>
  <c r="A55" i="13" s="1"/>
  <c r="C54" i="4"/>
  <c r="B54" i="4"/>
  <c r="B54" i="13" s="1"/>
  <c r="A54" i="4"/>
  <c r="A54" i="13" s="1"/>
  <c r="C53" i="4"/>
  <c r="B53" i="4"/>
  <c r="B53" i="13" s="1"/>
  <c r="A53" i="4"/>
  <c r="A53" i="13" s="1"/>
  <c r="C52" i="4"/>
  <c r="B52" i="4"/>
  <c r="B52" i="13" s="1"/>
  <c r="A52" i="4"/>
  <c r="A52" i="13" s="1"/>
  <c r="C51" i="4"/>
  <c r="B51" i="4"/>
  <c r="B51" i="13" s="1"/>
  <c r="A51" i="4"/>
  <c r="A51" i="13" s="1"/>
  <c r="C50" i="4"/>
  <c r="B50" i="4"/>
  <c r="B50" i="13" s="1"/>
  <c r="A50" i="4"/>
  <c r="A50" i="13" s="1"/>
  <c r="C49" i="4"/>
  <c r="B49" i="4"/>
  <c r="B49" i="13" s="1"/>
  <c r="A49" i="4"/>
  <c r="A49" i="13" s="1"/>
  <c r="C48" i="4"/>
  <c r="B48" i="4"/>
  <c r="B48" i="13" s="1"/>
  <c r="A48" i="4"/>
  <c r="A48" i="13" s="1"/>
  <c r="C47" i="4"/>
  <c r="B47" i="4"/>
  <c r="B47" i="13" s="1"/>
  <c r="A47" i="4"/>
  <c r="A47" i="13" s="1"/>
  <c r="C46" i="4"/>
  <c r="B46" i="4"/>
  <c r="B46" i="13" s="1"/>
  <c r="A46" i="4"/>
  <c r="A46" i="13" s="1"/>
  <c r="C45" i="4"/>
  <c r="B45" i="4"/>
  <c r="B45" i="13" s="1"/>
  <c r="A45" i="4"/>
  <c r="A45" i="13" s="1"/>
  <c r="C44" i="4"/>
  <c r="B44" i="4"/>
  <c r="B44" i="13" s="1"/>
  <c r="A44" i="4"/>
  <c r="A44" i="13" s="1"/>
  <c r="C43" i="4"/>
  <c r="B43" i="4"/>
  <c r="B43" i="13" s="1"/>
  <c r="A43" i="4"/>
  <c r="A43" i="13" s="1"/>
  <c r="C42" i="4"/>
  <c r="B42" i="4"/>
  <c r="B42" i="13" s="1"/>
  <c r="A42" i="4"/>
  <c r="A42" i="13" s="1"/>
  <c r="C41" i="4"/>
  <c r="B41" i="4"/>
  <c r="B41" i="13" s="1"/>
  <c r="A41" i="4"/>
  <c r="A41" i="13" s="1"/>
  <c r="C40" i="4"/>
  <c r="B40" i="4"/>
  <c r="B40" i="13" s="1"/>
  <c r="A40" i="4"/>
  <c r="A40" i="13" s="1"/>
  <c r="C39" i="4"/>
  <c r="B39" i="4"/>
  <c r="B39" i="13" s="1"/>
  <c r="A39" i="4"/>
  <c r="A39" i="13" s="1"/>
  <c r="C38" i="4"/>
  <c r="B38" i="4"/>
  <c r="B38" i="13" s="1"/>
  <c r="A38" i="4"/>
  <c r="A38" i="13" s="1"/>
  <c r="C37" i="4"/>
  <c r="B37" i="4"/>
  <c r="B37" i="13" s="1"/>
  <c r="A37" i="4"/>
  <c r="A37" i="13" s="1"/>
  <c r="C36" i="4"/>
  <c r="B36" i="4"/>
  <c r="B36" i="13" s="1"/>
  <c r="A36" i="4"/>
  <c r="A36" i="13" s="1"/>
  <c r="C35" i="4"/>
  <c r="B35" i="4"/>
  <c r="B35" i="13" s="1"/>
  <c r="A35" i="4"/>
  <c r="A35" i="13" s="1"/>
  <c r="C34" i="4"/>
  <c r="B34" i="4"/>
  <c r="B34" i="13" s="1"/>
  <c r="A34" i="4"/>
  <c r="A34" i="13" s="1"/>
  <c r="C33" i="4"/>
  <c r="B33" i="4"/>
  <c r="B33" i="13" s="1"/>
  <c r="A33" i="4"/>
  <c r="A33" i="13" s="1"/>
  <c r="C32" i="4"/>
  <c r="B32" i="4"/>
  <c r="B32" i="13" s="1"/>
  <c r="A32" i="4"/>
  <c r="A32" i="13" s="1"/>
  <c r="C31" i="4"/>
  <c r="B31" i="4"/>
  <c r="B31" i="13" s="1"/>
  <c r="A31" i="4"/>
  <c r="A31" i="13" s="1"/>
  <c r="C30" i="4"/>
  <c r="B30" i="4"/>
  <c r="B30" i="13" s="1"/>
  <c r="A30" i="4"/>
  <c r="A30" i="13" s="1"/>
  <c r="GS30" i="13" s="1"/>
  <c r="C29" i="4"/>
  <c r="B29" i="4"/>
  <c r="B29" i="13" s="1"/>
  <c r="A29" i="4"/>
  <c r="A29" i="13" s="1"/>
  <c r="C28" i="4"/>
  <c r="B28" i="4"/>
  <c r="B28" i="13" s="1"/>
  <c r="A28" i="4"/>
  <c r="A28" i="13" s="1"/>
  <c r="C27" i="4"/>
  <c r="B27" i="4"/>
  <c r="B27" i="13" s="1"/>
  <c r="A27" i="4"/>
  <c r="A27" i="13" s="1"/>
  <c r="C26" i="4"/>
  <c r="B26" i="4"/>
  <c r="B26" i="13" s="1"/>
  <c r="A26" i="4"/>
  <c r="A26" i="13" s="1"/>
  <c r="C25" i="4"/>
  <c r="B25" i="4"/>
  <c r="B25" i="13" s="1"/>
  <c r="A25" i="4"/>
  <c r="A25" i="13" s="1"/>
  <c r="FK25" i="13" s="1"/>
  <c r="C24" i="4"/>
  <c r="B24" i="4"/>
  <c r="B24" i="13" s="1"/>
  <c r="A24" i="4"/>
  <c r="A24" i="13" s="1"/>
  <c r="C23" i="4"/>
  <c r="B23" i="4"/>
  <c r="B23" i="13" s="1"/>
  <c r="A23" i="4"/>
  <c r="A23" i="13" s="1"/>
  <c r="HP23" i="13" s="1"/>
  <c r="C22" i="4"/>
  <c r="B22" i="4"/>
  <c r="B22" i="13" s="1"/>
  <c r="A22" i="4"/>
  <c r="A22" i="13" s="1"/>
  <c r="C21" i="4"/>
  <c r="B21" i="4"/>
  <c r="B21" i="13" s="1"/>
  <c r="A21" i="4"/>
  <c r="A21" i="13" s="1"/>
  <c r="C20" i="4"/>
  <c r="B20" i="4"/>
  <c r="B20" i="13" s="1"/>
  <c r="A20" i="4"/>
  <c r="A20" i="13" s="1"/>
  <c r="C19" i="4"/>
  <c r="B19" i="4"/>
  <c r="B19" i="13" s="1"/>
  <c r="A19" i="4"/>
  <c r="A19" i="13" s="1"/>
  <c r="C18" i="4"/>
  <c r="B18" i="4"/>
  <c r="B18" i="13" s="1"/>
  <c r="A18" i="4"/>
  <c r="A18" i="13" s="1"/>
  <c r="C17" i="4"/>
  <c r="B17" i="4"/>
  <c r="B17" i="13" s="1"/>
  <c r="A17" i="4"/>
  <c r="A17" i="13" s="1"/>
  <c r="C16" i="4"/>
  <c r="B16" i="4"/>
  <c r="B16" i="13" s="1"/>
  <c r="A16" i="4"/>
  <c r="A16" i="13" s="1"/>
  <c r="C15" i="4"/>
  <c r="B15" i="4"/>
  <c r="B15" i="13" s="1"/>
  <c r="A15" i="4"/>
  <c r="A15" i="13" s="1"/>
  <c r="DC15" i="13" s="1"/>
  <c r="C14" i="4"/>
  <c r="B14" i="4"/>
  <c r="B14" i="13" s="1"/>
  <c r="A14" i="4"/>
  <c r="A14" i="13" s="1"/>
  <c r="BM14" i="13" s="1"/>
  <c r="C13" i="4"/>
  <c r="B13" i="4"/>
  <c r="B13" i="13" s="1"/>
  <c r="A13" i="4"/>
  <c r="A13" i="13" s="1"/>
  <c r="C12" i="4"/>
  <c r="B12" i="4"/>
  <c r="B12" i="13" s="1"/>
  <c r="A12" i="4"/>
  <c r="A12" i="13" s="1"/>
  <c r="C11" i="4"/>
  <c r="B11" i="4"/>
  <c r="B11" i="13" s="1"/>
  <c r="A11" i="4"/>
  <c r="A11" i="13" s="1"/>
  <c r="C10" i="4"/>
  <c r="B10" i="4"/>
  <c r="B10" i="13" s="1"/>
  <c r="A10" i="4"/>
  <c r="A10" i="13" s="1"/>
  <c r="C9" i="4"/>
  <c r="B9" i="4"/>
  <c r="B9" i="13" s="1"/>
  <c r="GX69" i="4" s="1"/>
  <c r="M208" i="7" s="1"/>
  <c r="A9" i="4"/>
  <c r="A9" i="13" s="1"/>
  <c r="BB9" i="13" s="1"/>
  <c r="C8" i="4"/>
  <c r="B8" i="4"/>
  <c r="B8" i="13" s="1"/>
  <c r="A8" i="4"/>
  <c r="A8" i="13" s="1"/>
  <c r="CR8" i="13" s="1"/>
  <c r="C7" i="4"/>
  <c r="B7" i="4"/>
  <c r="B7" i="13" s="1"/>
  <c r="A7" i="4"/>
  <c r="A7" i="13" s="1"/>
  <c r="BA12" i="2"/>
  <c r="BA10" i="2"/>
  <c r="BA8" i="2"/>
  <c r="BA7" i="2"/>
  <c r="BA6" i="2"/>
  <c r="BA5" i="2"/>
  <c r="BA2" i="2"/>
  <c r="BA1" i="2"/>
  <c r="B60" i="1"/>
  <c r="B54" i="1"/>
  <c r="B53" i="1"/>
  <c r="B52" i="1"/>
  <c r="B51" i="1"/>
  <c r="B50" i="1"/>
  <c r="B49" i="1"/>
  <c r="B48" i="1"/>
  <c r="B47" i="1"/>
  <c r="B46" i="1"/>
  <c r="B45" i="1"/>
  <c r="B44" i="1"/>
  <c r="B43" i="1"/>
  <c r="B42" i="1"/>
  <c r="B41" i="1"/>
  <c r="B40" i="1"/>
  <c r="B39" i="1"/>
  <c r="B38" i="1"/>
  <c r="I32" i="1"/>
  <c r="B31" i="1"/>
  <c r="B30" i="1"/>
  <c r="B29" i="1"/>
  <c r="B28" i="1"/>
  <c r="B27" i="1"/>
  <c r="B26" i="1"/>
  <c r="B25" i="1"/>
  <c r="B24" i="1"/>
  <c r="B23" i="1"/>
  <c r="B22" i="1"/>
  <c r="B18" i="1"/>
  <c r="B17" i="1"/>
  <c r="B16" i="1"/>
  <c r="AH15" i="1"/>
  <c r="I15" i="1"/>
  <c r="B15" i="1"/>
  <c r="B14" i="1"/>
  <c r="AG7" i="1"/>
  <c r="Y7" i="1"/>
  <c r="Q7" i="1"/>
  <c r="AG6" i="1"/>
  <c r="Y6" i="1"/>
  <c r="Q6" i="1"/>
  <c r="I6" i="1"/>
  <c r="AT3" i="1"/>
  <c r="AZ2" i="1"/>
  <c r="H70" i="4" l="1"/>
  <c r="J70" i="4"/>
  <c r="S8" i="7"/>
  <c r="P8" i="7"/>
  <c r="AN202" i="7"/>
  <c r="R99" i="7"/>
  <c r="O99" i="7"/>
  <c r="N99" i="7"/>
  <c r="EM70" i="4"/>
  <c r="L193" i="7"/>
  <c r="L147" i="7"/>
  <c r="EO70" i="4"/>
  <c r="FP69" i="4"/>
  <c r="M174" i="7" s="1"/>
  <c r="BH68" i="4"/>
  <c r="BH70" i="4" s="1"/>
  <c r="HQ11" i="13"/>
  <c r="GU11" i="13"/>
  <c r="FY11" i="13"/>
  <c r="FC11" i="13"/>
  <c r="EG11" i="13"/>
  <c r="HV11" i="13"/>
  <c r="GY11" i="13"/>
  <c r="GB11" i="13"/>
  <c r="FE11" i="13"/>
  <c r="EH11" i="13"/>
  <c r="DK11" i="13"/>
  <c r="CO11" i="13"/>
  <c r="BS11" i="13"/>
  <c r="AW11" i="13"/>
  <c r="AA11" i="13"/>
  <c r="E11" i="13"/>
  <c r="HU11" i="13"/>
  <c r="GX11" i="13"/>
  <c r="GA11" i="13"/>
  <c r="FD11" i="13"/>
  <c r="EF11" i="13"/>
  <c r="DJ11" i="13"/>
  <c r="CN11" i="13"/>
  <c r="BR11" i="13"/>
  <c r="AV11" i="13"/>
  <c r="Z11" i="13"/>
  <c r="D11" i="13"/>
  <c r="HM11" i="13"/>
  <c r="GP11" i="13"/>
  <c r="FS11" i="13"/>
  <c r="EV11" i="13"/>
  <c r="DY11" i="13"/>
  <c r="DC11" i="13"/>
  <c r="CG11" i="13"/>
  <c r="BK11" i="13"/>
  <c r="AO11" i="13"/>
  <c r="S11" i="13"/>
  <c r="HL11" i="13"/>
  <c r="GO11" i="13"/>
  <c r="FR11" i="13"/>
  <c r="EU11" i="13"/>
  <c r="DX11" i="13"/>
  <c r="DB11" i="13"/>
  <c r="CF11" i="13"/>
  <c r="BJ11" i="13"/>
  <c r="AN11" i="13"/>
  <c r="R11" i="13"/>
  <c r="HH11" i="13"/>
  <c r="GK11" i="13"/>
  <c r="FN11" i="13"/>
  <c r="EQ11" i="13"/>
  <c r="DT11" i="13"/>
  <c r="CX11" i="13"/>
  <c r="CB11" i="13"/>
  <c r="BF11" i="13"/>
  <c r="AJ11" i="13"/>
  <c r="N11" i="13"/>
  <c r="IA11" i="13"/>
  <c r="GW11" i="13"/>
  <c r="FT11" i="13"/>
  <c r="EO11" i="13"/>
  <c r="DM11" i="13"/>
  <c r="CJ11" i="13"/>
  <c r="BG11" i="13"/>
  <c r="AE11" i="13"/>
  <c r="HZ11" i="13"/>
  <c r="GV11" i="13"/>
  <c r="FQ11" i="13"/>
  <c r="EN11" i="13"/>
  <c r="DL11" i="13"/>
  <c r="CI11" i="13"/>
  <c r="BE11" i="13"/>
  <c r="AD11" i="13"/>
  <c r="HY11" i="13"/>
  <c r="GT11" i="13"/>
  <c r="FP11" i="13"/>
  <c r="EM11" i="13"/>
  <c r="DI11" i="13"/>
  <c r="CH11" i="13"/>
  <c r="BD11" i="13"/>
  <c r="AC11" i="13"/>
  <c r="HW11" i="13"/>
  <c r="GR11" i="13"/>
  <c r="FM11" i="13"/>
  <c r="EK11" i="13"/>
  <c r="DG11" i="13"/>
  <c r="CD11" i="13"/>
  <c r="BB11" i="13"/>
  <c r="Y11" i="13"/>
  <c r="HT11" i="13"/>
  <c r="GQ11" i="13"/>
  <c r="FL11" i="13"/>
  <c r="EJ11" i="13"/>
  <c r="DF11" i="13"/>
  <c r="CC11" i="13"/>
  <c r="BA11" i="13"/>
  <c r="X11" i="13"/>
  <c r="HP11" i="13"/>
  <c r="GL11" i="13"/>
  <c r="FI11" i="13"/>
  <c r="ED11" i="13"/>
  <c r="DA11" i="13"/>
  <c r="BY11" i="13"/>
  <c r="AX11" i="13"/>
  <c r="U11" i="13"/>
  <c r="HE11" i="13"/>
  <c r="GC11" i="13"/>
  <c r="EX11" i="13"/>
  <c r="DS11" i="13"/>
  <c r="CR11" i="13"/>
  <c r="BO11" i="13"/>
  <c r="AL11" i="13"/>
  <c r="J11" i="13"/>
  <c r="GM11" i="13"/>
  <c r="EY11" i="13"/>
  <c r="DE11" i="13"/>
  <c r="BQ11" i="13"/>
  <c r="AB11" i="13"/>
  <c r="GJ11" i="13"/>
  <c r="EW11" i="13"/>
  <c r="DD11" i="13"/>
  <c r="BP11" i="13"/>
  <c r="W11" i="13"/>
  <c r="GH11" i="13"/>
  <c r="ES11" i="13"/>
  <c r="CY11" i="13"/>
  <c r="BM11" i="13"/>
  <c r="T11" i="13"/>
  <c r="GG11" i="13"/>
  <c r="ER11" i="13"/>
  <c r="CW11" i="13"/>
  <c r="BL11" i="13"/>
  <c r="Q11" i="13"/>
  <c r="HX11" i="13"/>
  <c r="GF11" i="13"/>
  <c r="EP11" i="13"/>
  <c r="CV11" i="13"/>
  <c r="BI11" i="13"/>
  <c r="P11" i="13"/>
  <c r="HO11" i="13"/>
  <c r="FZ11" i="13"/>
  <c r="EE11" i="13"/>
  <c r="CS11" i="13"/>
  <c r="AZ11" i="13"/>
  <c r="L11" i="13"/>
  <c r="GZ11" i="13"/>
  <c r="EC11" i="13"/>
  <c r="CA11" i="13"/>
  <c r="AF11" i="13"/>
  <c r="GS11" i="13"/>
  <c r="EB11" i="13"/>
  <c r="BZ11" i="13"/>
  <c r="V11" i="13"/>
  <c r="GN11" i="13"/>
  <c r="EA11" i="13"/>
  <c r="BX11" i="13"/>
  <c r="O11" i="13"/>
  <c r="GE11" i="13"/>
  <c r="DW11" i="13"/>
  <c r="BV11" i="13"/>
  <c r="K11" i="13"/>
  <c r="GD11" i="13"/>
  <c r="DV11" i="13"/>
  <c r="BU11" i="13"/>
  <c r="I11" i="13"/>
  <c r="FV11" i="13"/>
  <c r="DQ11" i="13"/>
  <c r="BH11" i="13"/>
  <c r="F11" i="13"/>
  <c r="FJ11" i="13"/>
  <c r="CM11" i="13"/>
  <c r="G11" i="13"/>
  <c r="FH11" i="13"/>
  <c r="CL11" i="13"/>
  <c r="FG11" i="13"/>
  <c r="CK11" i="13"/>
  <c r="FF11" i="13"/>
  <c r="CE11" i="13"/>
  <c r="HS11" i="13"/>
  <c r="FB11" i="13"/>
  <c r="BW11" i="13"/>
  <c r="HR11" i="13"/>
  <c r="FA11" i="13"/>
  <c r="BT11" i="13"/>
  <c r="HJ11" i="13"/>
  <c r="EL11" i="13"/>
  <c r="AY11" i="13"/>
  <c r="HI11" i="13"/>
  <c r="EI11" i="13"/>
  <c r="AU11" i="13"/>
  <c r="DO11" i="13"/>
  <c r="DN11" i="13"/>
  <c r="HN11" i="13"/>
  <c r="DH11" i="13"/>
  <c r="HK11" i="13"/>
  <c r="CZ11" i="13"/>
  <c r="HG11" i="13"/>
  <c r="CU11" i="13"/>
  <c r="HF11" i="13"/>
  <c r="CT11" i="13"/>
  <c r="HB11" i="13"/>
  <c r="BN11" i="13"/>
  <c r="FK11" i="13"/>
  <c r="AM11" i="13"/>
  <c r="AQ11" i="13"/>
  <c r="AP11" i="13"/>
  <c r="HC11" i="13"/>
  <c r="AI11" i="13"/>
  <c r="HA11" i="13"/>
  <c r="AH11" i="13"/>
  <c r="GI11" i="13"/>
  <c r="AG11" i="13"/>
  <c r="FW11" i="13"/>
  <c r="H11" i="13"/>
  <c r="FU11" i="13"/>
  <c r="HD11" i="13"/>
  <c r="FX11" i="13"/>
  <c r="FO11" i="13"/>
  <c r="EZ11" i="13"/>
  <c r="ET11" i="13"/>
  <c r="DP11" i="13"/>
  <c r="M11" i="13"/>
  <c r="DR11" i="13"/>
  <c r="DZ11" i="13"/>
  <c r="DU11" i="13"/>
  <c r="AN23" i="7"/>
  <c r="AC69" i="4"/>
  <c r="M31" i="7" s="1"/>
  <c r="DO68" i="4"/>
  <c r="AH12" i="7"/>
  <c r="AF69" i="4"/>
  <c r="M34" i="7" s="1"/>
  <c r="DQ68" i="4"/>
  <c r="AM69" i="4"/>
  <c r="AK68" i="4"/>
  <c r="CD68" i="4"/>
  <c r="DT68" i="4"/>
  <c r="DT70" i="4" s="1"/>
  <c r="FQ68" i="4"/>
  <c r="HU68" i="4"/>
  <c r="AN69" i="4"/>
  <c r="M42" i="7" s="1"/>
  <c r="CN69" i="4"/>
  <c r="M94" i="7" s="1"/>
  <c r="ET69" i="4"/>
  <c r="GK69" i="4"/>
  <c r="AJ64" i="7"/>
  <c r="AA87" i="7"/>
  <c r="AE102" i="7"/>
  <c r="K131" i="7"/>
  <c r="AB135" i="7"/>
  <c r="I202" i="7"/>
  <c r="AA208" i="7"/>
  <c r="CQ70" i="4"/>
  <c r="P158" i="7"/>
  <c r="AF46" i="7"/>
  <c r="AM46" i="7"/>
  <c r="AL46" i="7"/>
  <c r="AK46" i="7"/>
  <c r="AI46" i="7"/>
  <c r="AG46" i="7"/>
  <c r="AH46" i="7"/>
  <c r="AJ46" i="7"/>
  <c r="L98" i="7"/>
  <c r="L10" i="7"/>
  <c r="AM109" i="7"/>
  <c r="AK109" i="7"/>
  <c r="AJ109" i="7"/>
  <c r="AI109" i="7"/>
  <c r="AH109" i="7"/>
  <c r="AF109" i="7"/>
  <c r="CT68" i="4"/>
  <c r="L100" i="7" s="1"/>
  <c r="DM69" i="4"/>
  <c r="M119" i="7" s="1"/>
  <c r="AN26" i="7"/>
  <c r="HZ17" i="13"/>
  <c r="HD17" i="13"/>
  <c r="GH17" i="13"/>
  <c r="HY17" i="13"/>
  <c r="HC17" i="13"/>
  <c r="GG17" i="13"/>
  <c r="FK17" i="13"/>
  <c r="EO17" i="13"/>
  <c r="DS17" i="13"/>
  <c r="CW17" i="13"/>
  <c r="CA17" i="13"/>
  <c r="BE17" i="13"/>
  <c r="AI17" i="13"/>
  <c r="M17" i="13"/>
  <c r="HR17" i="13"/>
  <c r="GV17" i="13"/>
  <c r="FZ17" i="13"/>
  <c r="HI17" i="13"/>
  <c r="GJ17" i="13"/>
  <c r="FJ17" i="13"/>
  <c r="EM17" i="13"/>
  <c r="DP17" i="13"/>
  <c r="CS17" i="13"/>
  <c r="BV17" i="13"/>
  <c r="AY17" i="13"/>
  <c r="AB17" i="13"/>
  <c r="E17" i="13"/>
  <c r="HH17" i="13"/>
  <c r="GI17" i="13"/>
  <c r="FI17" i="13"/>
  <c r="EL17" i="13"/>
  <c r="DO17" i="13"/>
  <c r="CR17" i="13"/>
  <c r="BU17" i="13"/>
  <c r="AX17" i="13"/>
  <c r="AA17" i="13"/>
  <c r="D17" i="13"/>
  <c r="HE17" i="13"/>
  <c r="GD17" i="13"/>
  <c r="FF17" i="13"/>
  <c r="HX17" i="13"/>
  <c r="GY17" i="13"/>
  <c r="FY17" i="13"/>
  <c r="FB17" i="13"/>
  <c r="EE17" i="13"/>
  <c r="DH17" i="13"/>
  <c r="CK17" i="13"/>
  <c r="BN17" i="13"/>
  <c r="AQ17" i="13"/>
  <c r="T17" i="13"/>
  <c r="HW17" i="13"/>
  <c r="GX17" i="13"/>
  <c r="FX17" i="13"/>
  <c r="FA17" i="13"/>
  <c r="ED17" i="13"/>
  <c r="DG17" i="13"/>
  <c r="CJ17" i="13"/>
  <c r="BM17" i="13"/>
  <c r="AP17" i="13"/>
  <c r="S17" i="13"/>
  <c r="HS17" i="13"/>
  <c r="GS17" i="13"/>
  <c r="FT17" i="13"/>
  <c r="EW17" i="13"/>
  <c r="DZ17" i="13"/>
  <c r="DC17" i="13"/>
  <c r="HL17" i="13"/>
  <c r="GB17" i="13"/>
  <c r="EU17" i="13"/>
  <c r="DR17" i="13"/>
  <c r="CN17" i="13"/>
  <c r="BK17" i="13"/>
  <c r="AJ17" i="13"/>
  <c r="H17" i="13"/>
  <c r="HK17" i="13"/>
  <c r="GA17" i="13"/>
  <c r="ET17" i="13"/>
  <c r="DQ17" i="13"/>
  <c r="CM17" i="13"/>
  <c r="BJ17" i="13"/>
  <c r="AH17" i="13"/>
  <c r="G17" i="13"/>
  <c r="GW17" i="13"/>
  <c r="FP17" i="13"/>
  <c r="EJ17" i="13"/>
  <c r="DF17" i="13"/>
  <c r="CD17" i="13"/>
  <c r="BB17" i="13"/>
  <c r="Y17" i="13"/>
  <c r="GU17" i="13"/>
  <c r="FO17" i="13"/>
  <c r="EI17" i="13"/>
  <c r="DE17" i="13"/>
  <c r="CC17" i="13"/>
  <c r="BA17" i="13"/>
  <c r="X17" i="13"/>
  <c r="IA17" i="13"/>
  <c r="GP17" i="13"/>
  <c r="FH17" i="13"/>
  <c r="EC17" i="13"/>
  <c r="CZ17" i="13"/>
  <c r="BX17" i="13"/>
  <c r="AU17" i="13"/>
  <c r="R17" i="13"/>
  <c r="HU17" i="13"/>
  <c r="GN17" i="13"/>
  <c r="FE17" i="13"/>
  <c r="EA17" i="13"/>
  <c r="CX17" i="13"/>
  <c r="BT17" i="13"/>
  <c r="AS17" i="13"/>
  <c r="P17" i="13"/>
  <c r="HT17" i="13"/>
  <c r="GM17" i="13"/>
  <c r="FD17" i="13"/>
  <c r="DY17" i="13"/>
  <c r="CV17" i="13"/>
  <c r="BS17" i="13"/>
  <c r="AR17" i="13"/>
  <c r="O17" i="13"/>
  <c r="GK17" i="13"/>
  <c r="EP17" i="13"/>
  <c r="CU17" i="13"/>
  <c r="BG17" i="13"/>
  <c r="Q17" i="13"/>
  <c r="GF17" i="13"/>
  <c r="EN17" i="13"/>
  <c r="CT17" i="13"/>
  <c r="BF17" i="13"/>
  <c r="N17" i="13"/>
  <c r="GE17" i="13"/>
  <c r="EK17" i="13"/>
  <c r="CQ17" i="13"/>
  <c r="BD17" i="13"/>
  <c r="L17" i="13"/>
  <c r="FW17" i="13"/>
  <c r="EG17" i="13"/>
  <c r="CO17" i="13"/>
  <c r="AZ17" i="13"/>
  <c r="J17" i="13"/>
  <c r="HV17" i="13"/>
  <c r="FV17" i="13"/>
  <c r="EF17" i="13"/>
  <c r="CL17" i="13"/>
  <c r="AW17" i="13"/>
  <c r="I17" i="13"/>
  <c r="HO17" i="13"/>
  <c r="FR17" i="13"/>
  <c r="DW17" i="13"/>
  <c r="CG17" i="13"/>
  <c r="AO17" i="13"/>
  <c r="HN17" i="13"/>
  <c r="FQ17" i="13"/>
  <c r="DV17" i="13"/>
  <c r="CF17" i="13"/>
  <c r="AN17" i="13"/>
  <c r="GZ17" i="13"/>
  <c r="EY17" i="13"/>
  <c r="DJ17" i="13"/>
  <c r="BQ17" i="13"/>
  <c r="AD17" i="13"/>
  <c r="FC17" i="13"/>
  <c r="CI17" i="13"/>
  <c r="AC17" i="13"/>
  <c r="EZ17" i="13"/>
  <c r="CH17" i="13"/>
  <c r="Z17" i="13"/>
  <c r="HP17" i="13"/>
  <c r="EV17" i="13"/>
  <c r="CB17" i="13"/>
  <c r="V17" i="13"/>
  <c r="HM17" i="13"/>
  <c r="ES17" i="13"/>
  <c r="BZ17" i="13"/>
  <c r="U17" i="13"/>
  <c r="HJ17" i="13"/>
  <c r="ER17" i="13"/>
  <c r="BY17" i="13"/>
  <c r="K17" i="13"/>
  <c r="HB17" i="13"/>
  <c r="EB17" i="13"/>
  <c r="BP17" i="13"/>
  <c r="FN17" i="13"/>
  <c r="BR17" i="13"/>
  <c r="FM17" i="13"/>
  <c r="BO17" i="13"/>
  <c r="FL17" i="13"/>
  <c r="BL17" i="13"/>
  <c r="EX17" i="13"/>
  <c r="BH17" i="13"/>
  <c r="EQ17" i="13"/>
  <c r="BC17" i="13"/>
  <c r="DU17" i="13"/>
  <c r="AM17" i="13"/>
  <c r="DT17" i="13"/>
  <c r="F17" i="13"/>
  <c r="DN17" i="13"/>
  <c r="DM17" i="13"/>
  <c r="DL17" i="13"/>
  <c r="DK17" i="13"/>
  <c r="DI17" i="13"/>
  <c r="HG17" i="13"/>
  <c r="DA17" i="13"/>
  <c r="HF17" i="13"/>
  <c r="CY17" i="13"/>
  <c r="AT17" i="13"/>
  <c r="AL17" i="13"/>
  <c r="HQ17" i="13"/>
  <c r="AK17" i="13"/>
  <c r="HA17" i="13"/>
  <c r="AG17" i="13"/>
  <c r="GT17" i="13"/>
  <c r="AF17" i="13"/>
  <c r="GR17" i="13"/>
  <c r="AE17" i="13"/>
  <c r="GL17" i="13"/>
  <c r="DD17" i="13"/>
  <c r="GO17" i="13"/>
  <c r="GC17" i="13"/>
  <c r="GQ17" i="13"/>
  <c r="FU17" i="13"/>
  <c r="FS17" i="13"/>
  <c r="FG17" i="13"/>
  <c r="EH17" i="13"/>
  <c r="BI17" i="13"/>
  <c r="DX17" i="13"/>
  <c r="DB17" i="13"/>
  <c r="HP39" i="13"/>
  <c r="GT39" i="13"/>
  <c r="FX39" i="13"/>
  <c r="FB39" i="13"/>
  <c r="EF39" i="13"/>
  <c r="DJ39" i="13"/>
  <c r="CN39" i="13"/>
  <c r="BR39" i="13"/>
  <c r="AV39" i="13"/>
  <c r="Z39" i="13"/>
  <c r="D39" i="13"/>
  <c r="HO39" i="13"/>
  <c r="GS39" i="13"/>
  <c r="FW39" i="13"/>
  <c r="FA39" i="13"/>
  <c r="EE39" i="13"/>
  <c r="DI39" i="13"/>
  <c r="CM39" i="13"/>
  <c r="HM39" i="13"/>
  <c r="GQ39" i="13"/>
  <c r="FU39" i="13"/>
  <c r="EY39" i="13"/>
  <c r="EC39" i="13"/>
  <c r="DG39" i="13"/>
  <c r="CK39" i="13"/>
  <c r="HL39" i="13"/>
  <c r="GP39" i="13"/>
  <c r="FT39" i="13"/>
  <c r="EX39" i="13"/>
  <c r="EB39" i="13"/>
  <c r="DF39" i="13"/>
  <c r="CJ39" i="13"/>
  <c r="BN39" i="13"/>
  <c r="AR39" i="13"/>
  <c r="V39" i="13"/>
  <c r="HK39" i="13"/>
  <c r="GO39" i="13"/>
  <c r="FS39" i="13"/>
  <c r="EW39" i="13"/>
  <c r="EA39" i="13"/>
  <c r="DE39" i="13"/>
  <c r="CI39" i="13"/>
  <c r="BM39" i="13"/>
  <c r="AQ39" i="13"/>
  <c r="U39" i="13"/>
  <c r="HJ39" i="13"/>
  <c r="GN39" i="13"/>
  <c r="FR39" i="13"/>
  <c r="EV39" i="13"/>
  <c r="DZ39" i="13"/>
  <c r="DD39" i="13"/>
  <c r="CH39" i="13"/>
  <c r="HR39" i="13"/>
  <c r="GJ39" i="13"/>
  <c r="FH39" i="13"/>
  <c r="ED39" i="13"/>
  <c r="CX39" i="13"/>
  <c r="BV39" i="13"/>
  <c r="AW39" i="13"/>
  <c r="W39" i="13"/>
  <c r="HQ39" i="13"/>
  <c r="GI39" i="13"/>
  <c r="FG39" i="13"/>
  <c r="DY39" i="13"/>
  <c r="CW39" i="13"/>
  <c r="HH39" i="13"/>
  <c r="GF39" i="13"/>
  <c r="FD39" i="13"/>
  <c r="DV39" i="13"/>
  <c r="CT39" i="13"/>
  <c r="BQ39" i="13"/>
  <c r="AP39" i="13"/>
  <c r="Q39" i="13"/>
  <c r="HG39" i="13"/>
  <c r="GE39" i="13"/>
  <c r="FC39" i="13"/>
  <c r="DU39" i="13"/>
  <c r="CS39" i="13"/>
  <c r="BP39" i="13"/>
  <c r="AO39" i="13"/>
  <c r="P39" i="13"/>
  <c r="HF39" i="13"/>
  <c r="GD39" i="13"/>
  <c r="EZ39" i="13"/>
  <c r="DT39" i="13"/>
  <c r="CR39" i="13"/>
  <c r="BO39" i="13"/>
  <c r="AN39" i="13"/>
  <c r="O39" i="13"/>
  <c r="HD39" i="13"/>
  <c r="GB39" i="13"/>
  <c r="ET39" i="13"/>
  <c r="DR39" i="13"/>
  <c r="CP39" i="13"/>
  <c r="BK39" i="13"/>
  <c r="AL39" i="13"/>
  <c r="M39" i="13"/>
  <c r="HC39" i="13"/>
  <c r="GA39" i="13"/>
  <c r="ES39" i="13"/>
  <c r="DQ39" i="13"/>
  <c r="CO39" i="13"/>
  <c r="HB39" i="13"/>
  <c r="FZ39" i="13"/>
  <c r="ER39" i="13"/>
  <c r="DP39" i="13"/>
  <c r="CL39" i="13"/>
  <c r="BI39" i="13"/>
  <c r="AJ39" i="13"/>
  <c r="K39" i="13"/>
  <c r="IA39" i="13"/>
  <c r="GK39" i="13"/>
  <c r="EM39" i="13"/>
  <c r="CU39" i="13"/>
  <c r="BD39" i="13"/>
  <c r="X39" i="13"/>
  <c r="HZ39" i="13"/>
  <c r="GH39" i="13"/>
  <c r="EL39" i="13"/>
  <c r="CQ39" i="13"/>
  <c r="BC39" i="13"/>
  <c r="T39" i="13"/>
  <c r="HY39" i="13"/>
  <c r="GG39" i="13"/>
  <c r="EK39" i="13"/>
  <c r="CG39" i="13"/>
  <c r="BB39" i="13"/>
  <c r="S39" i="13"/>
  <c r="HX39" i="13"/>
  <c r="GC39" i="13"/>
  <c r="EJ39" i="13"/>
  <c r="CF39" i="13"/>
  <c r="BA39" i="13"/>
  <c r="R39" i="13"/>
  <c r="HW39" i="13"/>
  <c r="FY39" i="13"/>
  <c r="EI39" i="13"/>
  <c r="CE39" i="13"/>
  <c r="AZ39" i="13"/>
  <c r="N39" i="13"/>
  <c r="HV39" i="13"/>
  <c r="FV39" i="13"/>
  <c r="EH39" i="13"/>
  <c r="CD39" i="13"/>
  <c r="AY39" i="13"/>
  <c r="L39" i="13"/>
  <c r="HU39" i="13"/>
  <c r="FQ39" i="13"/>
  <c r="EG39" i="13"/>
  <c r="CC39" i="13"/>
  <c r="AX39" i="13"/>
  <c r="J39" i="13"/>
  <c r="HN39" i="13"/>
  <c r="FN39" i="13"/>
  <c r="DS39" i="13"/>
  <c r="BZ39" i="13"/>
  <c r="AS39" i="13"/>
  <c r="G39" i="13"/>
  <c r="HT39" i="13"/>
  <c r="FE39" i="13"/>
  <c r="BY39" i="13"/>
  <c r="AC39" i="13"/>
  <c r="HS39" i="13"/>
  <c r="EU39" i="13"/>
  <c r="BX39" i="13"/>
  <c r="AB39" i="13"/>
  <c r="HE39" i="13"/>
  <c r="EP39" i="13"/>
  <c r="BU39" i="13"/>
  <c r="Y39" i="13"/>
  <c r="GW39" i="13"/>
  <c r="DO39" i="13"/>
  <c r="BH39" i="13"/>
  <c r="GV39" i="13"/>
  <c r="DN39" i="13"/>
  <c r="BG39" i="13"/>
  <c r="GL39" i="13"/>
  <c r="DH39" i="13"/>
  <c r="AT39" i="13"/>
  <c r="FO39" i="13"/>
  <c r="DB39" i="13"/>
  <c r="AK39" i="13"/>
  <c r="FM39" i="13"/>
  <c r="DA39" i="13"/>
  <c r="AI39" i="13"/>
  <c r="GY39" i="13"/>
  <c r="CV39" i="13"/>
  <c r="GX39" i="13"/>
  <c r="CB39" i="13"/>
  <c r="GU39" i="13"/>
  <c r="CA39" i="13"/>
  <c r="GR39" i="13"/>
  <c r="BW39" i="13"/>
  <c r="GM39" i="13"/>
  <c r="BT39" i="13"/>
  <c r="FP39" i="13"/>
  <c r="BS39" i="13"/>
  <c r="FK39" i="13"/>
  <c r="BJ39" i="13"/>
  <c r="FI39" i="13"/>
  <c r="BE39" i="13"/>
  <c r="FF39" i="13"/>
  <c r="AU39" i="13"/>
  <c r="DW39" i="13"/>
  <c r="AE39" i="13"/>
  <c r="EN39" i="13"/>
  <c r="DX39" i="13"/>
  <c r="DM39" i="13"/>
  <c r="DL39" i="13"/>
  <c r="BL39" i="13"/>
  <c r="BF39" i="13"/>
  <c r="AF39" i="13"/>
  <c r="HI39" i="13"/>
  <c r="AA39" i="13"/>
  <c r="FJ39" i="13"/>
  <c r="EQ39" i="13"/>
  <c r="DK39" i="13"/>
  <c r="DC39" i="13"/>
  <c r="AH39" i="13"/>
  <c r="AG39" i="13"/>
  <c r="F39" i="13"/>
  <c r="I39" i="13"/>
  <c r="H39" i="13"/>
  <c r="GZ39" i="13"/>
  <c r="FL39" i="13"/>
  <c r="HA39" i="13"/>
  <c r="EO39" i="13"/>
  <c r="CY39" i="13"/>
  <c r="AM39" i="13"/>
  <c r="CZ39" i="13"/>
  <c r="AD39" i="13"/>
  <c r="E39" i="13"/>
  <c r="L68" i="4"/>
  <c r="H69" i="4"/>
  <c r="CV68" i="4"/>
  <c r="CV70" i="4" s="1"/>
  <c r="T69" i="4"/>
  <c r="M22" i="7" s="1"/>
  <c r="HK69" i="4"/>
  <c r="M221" i="7" s="1"/>
  <c r="CS70" i="4"/>
  <c r="HU47" i="13"/>
  <c r="GY47" i="13"/>
  <c r="GC47" i="13"/>
  <c r="FG47" i="13"/>
  <c r="EK47" i="13"/>
  <c r="DO47" i="13"/>
  <c r="CS47" i="13"/>
  <c r="BW47" i="13"/>
  <c r="BA47" i="13"/>
  <c r="AE47" i="13"/>
  <c r="I47" i="13"/>
  <c r="HT47" i="13"/>
  <c r="GX47" i="13"/>
  <c r="GB47" i="13"/>
  <c r="FF47" i="13"/>
  <c r="EJ47" i="13"/>
  <c r="DN47" i="13"/>
  <c r="CR47" i="13"/>
  <c r="BV47" i="13"/>
  <c r="AZ47" i="13"/>
  <c r="AD47" i="13"/>
  <c r="H47" i="13"/>
  <c r="HS47" i="13"/>
  <c r="GW47" i="13"/>
  <c r="GA47" i="13"/>
  <c r="FE47" i="13"/>
  <c r="EI47" i="13"/>
  <c r="DM47" i="13"/>
  <c r="CQ47" i="13"/>
  <c r="BU47" i="13"/>
  <c r="AY47" i="13"/>
  <c r="AC47" i="13"/>
  <c r="HF47" i="13"/>
  <c r="GG47" i="13"/>
  <c r="FH47" i="13"/>
  <c r="EF47" i="13"/>
  <c r="DG47" i="13"/>
  <c r="CH47" i="13"/>
  <c r="BI47" i="13"/>
  <c r="AJ47" i="13"/>
  <c r="K47" i="13"/>
  <c r="HE47" i="13"/>
  <c r="GF47" i="13"/>
  <c r="FD47" i="13"/>
  <c r="EE47" i="13"/>
  <c r="DF47" i="13"/>
  <c r="CG47" i="13"/>
  <c r="BH47" i="13"/>
  <c r="AI47" i="13"/>
  <c r="J47" i="13"/>
  <c r="HD47" i="13"/>
  <c r="GE47" i="13"/>
  <c r="FC47" i="13"/>
  <c r="ED47" i="13"/>
  <c r="DE47" i="13"/>
  <c r="CF47" i="13"/>
  <c r="BG47" i="13"/>
  <c r="AH47" i="13"/>
  <c r="G47" i="13"/>
  <c r="HC47" i="13"/>
  <c r="GD47" i="13"/>
  <c r="FB47" i="13"/>
  <c r="EC47" i="13"/>
  <c r="DD47" i="13"/>
  <c r="CE47" i="13"/>
  <c r="BF47" i="13"/>
  <c r="AG47" i="13"/>
  <c r="F47" i="13"/>
  <c r="HJ47" i="13"/>
  <c r="FZ47" i="13"/>
  <c r="EW47" i="13"/>
  <c r="DT47" i="13"/>
  <c r="HH47" i="13"/>
  <c r="FX47" i="13"/>
  <c r="EU47" i="13"/>
  <c r="DR47" i="13"/>
  <c r="CL47" i="13"/>
  <c r="BE47" i="13"/>
  <c r="Y47" i="13"/>
  <c r="HB47" i="13"/>
  <c r="HG47" i="13"/>
  <c r="FT47" i="13"/>
  <c r="EO47" i="13"/>
  <c r="DC47" i="13"/>
  <c r="BY47" i="13"/>
  <c r="AR47" i="13"/>
  <c r="N47" i="13"/>
  <c r="HA47" i="13"/>
  <c r="FS47" i="13"/>
  <c r="EN47" i="13"/>
  <c r="DB47" i="13"/>
  <c r="BX47" i="13"/>
  <c r="AQ47" i="13"/>
  <c r="M47" i="13"/>
  <c r="GV47" i="13"/>
  <c r="FQ47" i="13"/>
  <c r="EL47" i="13"/>
  <c r="CZ47" i="13"/>
  <c r="BS47" i="13"/>
  <c r="AO47" i="13"/>
  <c r="E47" i="13"/>
  <c r="GU47" i="13"/>
  <c r="FP47" i="13"/>
  <c r="EH47" i="13"/>
  <c r="CY47" i="13"/>
  <c r="BR47" i="13"/>
  <c r="AN47" i="13"/>
  <c r="D47" i="13"/>
  <c r="GT47" i="13"/>
  <c r="FO47" i="13"/>
  <c r="EG47" i="13"/>
  <c r="CX47" i="13"/>
  <c r="BQ47" i="13"/>
  <c r="AM47" i="13"/>
  <c r="GS47" i="13"/>
  <c r="FN47" i="13"/>
  <c r="EB47" i="13"/>
  <c r="CW47" i="13"/>
  <c r="BP47" i="13"/>
  <c r="AL47" i="13"/>
  <c r="HZ47" i="13"/>
  <c r="GQ47" i="13"/>
  <c r="FL47" i="13"/>
  <c r="DZ47" i="13"/>
  <c r="CU47" i="13"/>
  <c r="BN47" i="13"/>
  <c r="AF47" i="13"/>
  <c r="HN47" i="13"/>
  <c r="FK47" i="13"/>
  <c r="DP47" i="13"/>
  <c r="BO47" i="13"/>
  <c r="U47" i="13"/>
  <c r="HM47" i="13"/>
  <c r="FJ47" i="13"/>
  <c r="DL47" i="13"/>
  <c r="BM47" i="13"/>
  <c r="T47" i="13"/>
  <c r="HL47" i="13"/>
  <c r="FI47" i="13"/>
  <c r="DK47" i="13"/>
  <c r="BL47" i="13"/>
  <c r="S47" i="13"/>
  <c r="GZ47" i="13"/>
  <c r="EY47" i="13"/>
  <c r="DH47" i="13"/>
  <c r="BD47" i="13"/>
  <c r="P47" i="13"/>
  <c r="HR47" i="13"/>
  <c r="FA47" i="13"/>
  <c r="CT47" i="13"/>
  <c r="AT47" i="13"/>
  <c r="HQ47" i="13"/>
  <c r="EZ47" i="13"/>
  <c r="CP47" i="13"/>
  <c r="AS47" i="13"/>
  <c r="HK47" i="13"/>
  <c r="ET47" i="13"/>
  <c r="CM47" i="13"/>
  <c r="AB47" i="13"/>
  <c r="HI47" i="13"/>
  <c r="ES47" i="13"/>
  <c r="CK47" i="13"/>
  <c r="AA47" i="13"/>
  <c r="GR47" i="13"/>
  <c r="ER47" i="13"/>
  <c r="CJ47" i="13"/>
  <c r="Z47" i="13"/>
  <c r="GO47" i="13"/>
  <c r="EP47" i="13"/>
  <c r="CD47" i="13"/>
  <c r="W47" i="13"/>
  <c r="GN47" i="13"/>
  <c r="EM47" i="13"/>
  <c r="CC47" i="13"/>
  <c r="V47" i="13"/>
  <c r="GM47" i="13"/>
  <c r="EA47" i="13"/>
  <c r="CB47" i="13"/>
  <c r="R47" i="13"/>
  <c r="GH47" i="13"/>
  <c r="DU47" i="13"/>
  <c r="BJ47" i="13"/>
  <c r="HX47" i="13"/>
  <c r="DV47" i="13"/>
  <c r="X47" i="13"/>
  <c r="HW47" i="13"/>
  <c r="DS47" i="13"/>
  <c r="Q47" i="13"/>
  <c r="HV47" i="13"/>
  <c r="DQ47" i="13"/>
  <c r="O47" i="13"/>
  <c r="HP47" i="13"/>
  <c r="DJ47" i="13"/>
  <c r="L47" i="13"/>
  <c r="HO47" i="13"/>
  <c r="DI47" i="13"/>
  <c r="GP47" i="13"/>
  <c r="DA47" i="13"/>
  <c r="GL47" i="13"/>
  <c r="CV47" i="13"/>
  <c r="GI47" i="13"/>
  <c r="CI47" i="13"/>
  <c r="EX47" i="13"/>
  <c r="AX47" i="13"/>
  <c r="DY47" i="13"/>
  <c r="DX47" i="13"/>
  <c r="CO47" i="13"/>
  <c r="BK47" i="13"/>
  <c r="BC47" i="13"/>
  <c r="GJ47" i="13"/>
  <c r="AU47" i="13"/>
  <c r="FW47" i="13"/>
  <c r="AK47" i="13"/>
  <c r="FV47" i="13"/>
  <c r="CN47" i="13"/>
  <c r="CA47" i="13"/>
  <c r="BZ47" i="13"/>
  <c r="BT47" i="13"/>
  <c r="BB47" i="13"/>
  <c r="AW47" i="13"/>
  <c r="AP47" i="13"/>
  <c r="FY47" i="13"/>
  <c r="IA47" i="13"/>
  <c r="HY47" i="13"/>
  <c r="FM47" i="13"/>
  <c r="EQ47" i="13"/>
  <c r="DW47" i="13"/>
  <c r="AV47" i="13"/>
  <c r="GK47" i="13"/>
  <c r="EV47" i="13"/>
  <c r="FU47" i="13"/>
  <c r="FR47" i="13"/>
  <c r="DC68" i="4"/>
  <c r="DC70" i="4" s="1"/>
  <c r="GV68" i="4"/>
  <c r="GV70" i="4" s="1"/>
  <c r="BO69" i="4"/>
  <c r="M69" i="7" s="1"/>
  <c r="FU69" i="4"/>
  <c r="M179" i="7" s="1"/>
  <c r="O68" i="4"/>
  <c r="ET68" i="4"/>
  <c r="ET70" i="4" s="1"/>
  <c r="Y69" i="4"/>
  <c r="M27" i="7" s="1"/>
  <c r="FV69" i="4"/>
  <c r="M180" i="7" s="1"/>
  <c r="HT55" i="13"/>
  <c r="GX55" i="13"/>
  <c r="HG55" i="13"/>
  <c r="GJ55" i="13"/>
  <c r="FN55" i="13"/>
  <c r="ER55" i="13"/>
  <c r="DV55" i="13"/>
  <c r="CZ55" i="13"/>
  <c r="CD55" i="13"/>
  <c r="BH55" i="13"/>
  <c r="AL55" i="13"/>
  <c r="P55" i="13"/>
  <c r="HF55" i="13"/>
  <c r="GI55" i="13"/>
  <c r="FM55" i="13"/>
  <c r="EQ55" i="13"/>
  <c r="DU55" i="13"/>
  <c r="CY55" i="13"/>
  <c r="CC55" i="13"/>
  <c r="IA55" i="13"/>
  <c r="HD55" i="13"/>
  <c r="GG55" i="13"/>
  <c r="FK55" i="13"/>
  <c r="EO55" i="13"/>
  <c r="DS55" i="13"/>
  <c r="CW55" i="13"/>
  <c r="CA55" i="13"/>
  <c r="BE55" i="13"/>
  <c r="AI55" i="13"/>
  <c r="M55" i="13"/>
  <c r="HY55" i="13"/>
  <c r="HB55" i="13"/>
  <c r="GE55" i="13"/>
  <c r="HP55" i="13"/>
  <c r="GO55" i="13"/>
  <c r="FO55" i="13"/>
  <c r="EM55" i="13"/>
  <c r="DN55" i="13"/>
  <c r="CO55" i="13"/>
  <c r="BP55" i="13"/>
  <c r="AR55" i="13"/>
  <c r="T55" i="13"/>
  <c r="HO55" i="13"/>
  <c r="GN55" i="13"/>
  <c r="FL55" i="13"/>
  <c r="EL55" i="13"/>
  <c r="DM55" i="13"/>
  <c r="CN55" i="13"/>
  <c r="BO55" i="13"/>
  <c r="AQ55" i="13"/>
  <c r="S55" i="13"/>
  <c r="HN55" i="13"/>
  <c r="GM55" i="13"/>
  <c r="FJ55" i="13"/>
  <c r="EK55" i="13"/>
  <c r="DL55" i="13"/>
  <c r="CM55" i="13"/>
  <c r="BN55" i="13"/>
  <c r="AP55" i="13"/>
  <c r="R55" i="13"/>
  <c r="HM55" i="13"/>
  <c r="GL55" i="13"/>
  <c r="FI55" i="13"/>
  <c r="EJ55" i="13"/>
  <c r="DK55" i="13"/>
  <c r="CL55" i="13"/>
  <c r="BM55" i="13"/>
  <c r="AO55" i="13"/>
  <c r="Q55" i="13"/>
  <c r="HK55" i="13"/>
  <c r="GH55" i="13"/>
  <c r="FG55" i="13"/>
  <c r="EH55" i="13"/>
  <c r="DI55" i="13"/>
  <c r="CJ55" i="13"/>
  <c r="BK55" i="13"/>
  <c r="AM55" i="13"/>
  <c r="N55" i="13"/>
  <c r="HJ55" i="13"/>
  <c r="FZ55" i="13"/>
  <c r="EV55" i="13"/>
  <c r="DO55" i="13"/>
  <c r="CF55" i="13"/>
  <c r="AZ55" i="13"/>
  <c r="W55" i="13"/>
  <c r="HI55" i="13"/>
  <c r="FY55" i="13"/>
  <c r="EU55" i="13"/>
  <c r="DJ55" i="13"/>
  <c r="CE55" i="13"/>
  <c r="AY55" i="13"/>
  <c r="V55" i="13"/>
  <c r="HH55" i="13"/>
  <c r="FX55" i="13"/>
  <c r="ET55" i="13"/>
  <c r="DH55" i="13"/>
  <c r="CB55" i="13"/>
  <c r="AX55" i="13"/>
  <c r="U55" i="13"/>
  <c r="HE55" i="13"/>
  <c r="FW55" i="13"/>
  <c r="ES55" i="13"/>
  <c r="DG55" i="13"/>
  <c r="BZ55" i="13"/>
  <c r="AW55" i="13"/>
  <c r="O55" i="13"/>
  <c r="HZ55" i="13"/>
  <c r="GF55" i="13"/>
  <c r="EW55" i="13"/>
  <c r="DC55" i="13"/>
  <c r="BR55" i="13"/>
  <c r="AD55" i="13"/>
  <c r="HV55" i="13"/>
  <c r="GB55" i="13"/>
  <c r="EI55" i="13"/>
  <c r="CX55" i="13"/>
  <c r="BJ55" i="13"/>
  <c r="AA55" i="13"/>
  <c r="HU55" i="13"/>
  <c r="GA55" i="13"/>
  <c r="EG55" i="13"/>
  <c r="CV55" i="13"/>
  <c r="BI55" i="13"/>
  <c r="Z55" i="13"/>
  <c r="GT55" i="13"/>
  <c r="EZ55" i="13"/>
  <c r="DB55" i="13"/>
  <c r="BF55" i="13"/>
  <c r="J55" i="13"/>
  <c r="GS55" i="13"/>
  <c r="EY55" i="13"/>
  <c r="DA55" i="13"/>
  <c r="BD55" i="13"/>
  <c r="I55" i="13"/>
  <c r="GR55" i="13"/>
  <c r="EX55" i="13"/>
  <c r="CU55" i="13"/>
  <c r="BC55" i="13"/>
  <c r="H55" i="13"/>
  <c r="GQ55" i="13"/>
  <c r="EP55" i="13"/>
  <c r="CT55" i="13"/>
  <c r="BB55" i="13"/>
  <c r="G55" i="13"/>
  <c r="GP55" i="13"/>
  <c r="EN55" i="13"/>
  <c r="CS55" i="13"/>
  <c r="BA55" i="13"/>
  <c r="F55" i="13"/>
  <c r="GK55" i="13"/>
  <c r="EF55" i="13"/>
  <c r="CR55" i="13"/>
  <c r="AV55" i="13"/>
  <c r="E55" i="13"/>
  <c r="GW55" i="13"/>
  <c r="EB55" i="13"/>
  <c r="BV55" i="13"/>
  <c r="K55" i="13"/>
  <c r="GV55" i="13"/>
  <c r="EA55" i="13"/>
  <c r="BU55" i="13"/>
  <c r="D55" i="13"/>
  <c r="GD55" i="13"/>
  <c r="DY55" i="13"/>
  <c r="BS55" i="13"/>
  <c r="GC55" i="13"/>
  <c r="DX55" i="13"/>
  <c r="BQ55" i="13"/>
  <c r="FV55" i="13"/>
  <c r="DW55" i="13"/>
  <c r="BL55" i="13"/>
  <c r="FU55" i="13"/>
  <c r="DT55" i="13"/>
  <c r="BG55" i="13"/>
  <c r="FS55" i="13"/>
  <c r="DQ55" i="13"/>
  <c r="AT55" i="13"/>
  <c r="HA55" i="13"/>
  <c r="DE55" i="13"/>
  <c r="AB55" i="13"/>
  <c r="GZ55" i="13"/>
  <c r="DD55" i="13"/>
  <c r="Y55" i="13"/>
  <c r="GY55" i="13"/>
  <c r="CQ55" i="13"/>
  <c r="X55" i="13"/>
  <c r="FR55" i="13"/>
  <c r="CI55" i="13"/>
  <c r="FH55" i="13"/>
  <c r="BY55" i="13"/>
  <c r="ED55" i="13"/>
  <c r="AC55" i="13"/>
  <c r="EC55" i="13"/>
  <c r="L55" i="13"/>
  <c r="HX55" i="13"/>
  <c r="DP55" i="13"/>
  <c r="HW55" i="13"/>
  <c r="DF55" i="13"/>
  <c r="HS55" i="13"/>
  <c r="CP55" i="13"/>
  <c r="HQ55" i="13"/>
  <c r="CH55" i="13"/>
  <c r="HL55" i="13"/>
  <c r="CG55" i="13"/>
  <c r="HC55" i="13"/>
  <c r="BX55" i="13"/>
  <c r="FF55" i="13"/>
  <c r="AN55" i="13"/>
  <c r="FC55" i="13"/>
  <c r="FB55" i="13"/>
  <c r="FA55" i="13"/>
  <c r="EE55" i="13"/>
  <c r="DZ55" i="13"/>
  <c r="DR55" i="13"/>
  <c r="CK55" i="13"/>
  <c r="AU55" i="13"/>
  <c r="GU55" i="13"/>
  <c r="AE55" i="13"/>
  <c r="HR55" i="13"/>
  <c r="FQ55" i="13"/>
  <c r="BT55" i="13"/>
  <c r="AS55" i="13"/>
  <c r="AG55" i="13"/>
  <c r="AF55" i="13"/>
  <c r="FP55" i="13"/>
  <c r="FE55" i="13"/>
  <c r="BW55" i="13"/>
  <c r="AK55" i="13"/>
  <c r="FT55" i="13"/>
  <c r="AJ55" i="13"/>
  <c r="AH55" i="13"/>
  <c r="BL68" i="4"/>
  <c r="GX68" i="4"/>
  <c r="BQ69" i="4"/>
  <c r="M71" i="7" s="1"/>
  <c r="FW69" i="4"/>
  <c r="L32" i="7"/>
  <c r="DM68" i="4"/>
  <c r="DM70" i="4" s="1"/>
  <c r="AB69" i="4"/>
  <c r="M30" i="7" s="1"/>
  <c r="FX69" i="4"/>
  <c r="M182" i="7" s="1"/>
  <c r="M12" i="7"/>
  <c r="L12" i="7"/>
  <c r="M23" i="7"/>
  <c r="HR19" i="13"/>
  <c r="GV19" i="13"/>
  <c r="FZ19" i="13"/>
  <c r="FD19" i="13"/>
  <c r="EH19" i="13"/>
  <c r="DL19" i="13"/>
  <c r="CP19" i="13"/>
  <c r="BT19" i="13"/>
  <c r="AX19" i="13"/>
  <c r="AB19" i="13"/>
  <c r="F19" i="13"/>
  <c r="HQ19" i="13"/>
  <c r="GU19" i="13"/>
  <c r="FY19" i="13"/>
  <c r="FC19" i="13"/>
  <c r="EG19" i="13"/>
  <c r="DK19" i="13"/>
  <c r="CO19" i="13"/>
  <c r="BS19" i="13"/>
  <c r="AW19" i="13"/>
  <c r="AA19" i="13"/>
  <c r="E19" i="13"/>
  <c r="HP19" i="13"/>
  <c r="GT19" i="13"/>
  <c r="FX19" i="13"/>
  <c r="FB19" i="13"/>
  <c r="EF19" i="13"/>
  <c r="DJ19" i="13"/>
  <c r="CN19" i="13"/>
  <c r="BR19" i="13"/>
  <c r="HJ19" i="13"/>
  <c r="GN19" i="13"/>
  <c r="FR19" i="13"/>
  <c r="EV19" i="13"/>
  <c r="DZ19" i="13"/>
  <c r="DD19" i="13"/>
  <c r="CH19" i="13"/>
  <c r="BL19" i="13"/>
  <c r="AP19" i="13"/>
  <c r="T19" i="13"/>
  <c r="HE19" i="13"/>
  <c r="GE19" i="13"/>
  <c r="FE19" i="13"/>
  <c r="EB19" i="13"/>
  <c r="DA19" i="13"/>
  <c r="CA19" i="13"/>
  <c r="BA19" i="13"/>
  <c r="Z19" i="13"/>
  <c r="HD19" i="13"/>
  <c r="GD19" i="13"/>
  <c r="FA19" i="13"/>
  <c r="EA19" i="13"/>
  <c r="CZ19" i="13"/>
  <c r="BZ19" i="13"/>
  <c r="AZ19" i="13"/>
  <c r="Y19" i="13"/>
  <c r="IA19" i="13"/>
  <c r="HA19" i="13"/>
  <c r="GA19" i="13"/>
  <c r="EX19" i="13"/>
  <c r="DW19" i="13"/>
  <c r="CW19" i="13"/>
  <c r="BW19" i="13"/>
  <c r="AU19" i="13"/>
  <c r="V19" i="13"/>
  <c r="HW19" i="13"/>
  <c r="GW19" i="13"/>
  <c r="FT19" i="13"/>
  <c r="ES19" i="13"/>
  <c r="DS19" i="13"/>
  <c r="CS19" i="13"/>
  <c r="BP19" i="13"/>
  <c r="AQ19" i="13"/>
  <c r="Q19" i="13"/>
  <c r="HV19" i="13"/>
  <c r="GS19" i="13"/>
  <c r="FS19" i="13"/>
  <c r="ER19" i="13"/>
  <c r="DR19" i="13"/>
  <c r="CR19" i="13"/>
  <c r="BO19" i="13"/>
  <c r="AO19" i="13"/>
  <c r="P19" i="13"/>
  <c r="HO19" i="13"/>
  <c r="GO19" i="13"/>
  <c r="FN19" i="13"/>
  <c r="EN19" i="13"/>
  <c r="DN19" i="13"/>
  <c r="CK19" i="13"/>
  <c r="BJ19" i="13"/>
  <c r="AK19" i="13"/>
  <c r="L19" i="13"/>
  <c r="HC19" i="13"/>
  <c r="FP19" i="13"/>
  <c r="EI19" i="13"/>
  <c r="CV19" i="13"/>
  <c r="BI19" i="13"/>
  <c r="AD19" i="13"/>
  <c r="HB19" i="13"/>
  <c r="FO19" i="13"/>
  <c r="EE19" i="13"/>
  <c r="CU19" i="13"/>
  <c r="BH19" i="13"/>
  <c r="AC19" i="13"/>
  <c r="HZ19" i="13"/>
  <c r="GM19" i="13"/>
  <c r="FG19" i="13"/>
  <c r="DT19" i="13"/>
  <c r="CG19" i="13"/>
  <c r="AY19" i="13"/>
  <c r="N19" i="13"/>
  <c r="HY19" i="13"/>
  <c r="GL19" i="13"/>
  <c r="FF19" i="13"/>
  <c r="DQ19" i="13"/>
  <c r="CF19" i="13"/>
  <c r="AV19" i="13"/>
  <c r="M19" i="13"/>
  <c r="HS19" i="13"/>
  <c r="GH19" i="13"/>
  <c r="EU19" i="13"/>
  <c r="DI19" i="13"/>
  <c r="CB19" i="13"/>
  <c r="AN19" i="13"/>
  <c r="H19" i="13"/>
  <c r="HM19" i="13"/>
  <c r="GF19" i="13"/>
  <c r="EQ19" i="13"/>
  <c r="DG19" i="13"/>
  <c r="BX19" i="13"/>
  <c r="AL19" i="13"/>
  <c r="D19" i="13"/>
  <c r="HL19" i="13"/>
  <c r="GC19" i="13"/>
  <c r="EP19" i="13"/>
  <c r="DF19" i="13"/>
  <c r="BV19" i="13"/>
  <c r="AJ19" i="13"/>
  <c r="GG19" i="13"/>
  <c r="EC19" i="13"/>
  <c r="CC19" i="13"/>
  <c r="X19" i="13"/>
  <c r="GB19" i="13"/>
  <c r="DY19" i="13"/>
  <c r="BY19" i="13"/>
  <c r="W19" i="13"/>
  <c r="FW19" i="13"/>
  <c r="DX19" i="13"/>
  <c r="BU19" i="13"/>
  <c r="U19" i="13"/>
  <c r="HX19" i="13"/>
  <c r="FU19" i="13"/>
  <c r="DU19" i="13"/>
  <c r="BN19" i="13"/>
  <c r="R19" i="13"/>
  <c r="HU19" i="13"/>
  <c r="FQ19" i="13"/>
  <c r="DP19" i="13"/>
  <c r="BM19" i="13"/>
  <c r="O19" i="13"/>
  <c r="HK19" i="13"/>
  <c r="FK19" i="13"/>
  <c r="DH19" i="13"/>
  <c r="BF19" i="13"/>
  <c r="I19" i="13"/>
  <c r="HI19" i="13"/>
  <c r="FJ19" i="13"/>
  <c r="DE19" i="13"/>
  <c r="BE19" i="13"/>
  <c r="G19" i="13"/>
  <c r="GR19" i="13"/>
  <c r="EO19" i="13"/>
  <c r="CM19" i="13"/>
  <c r="AM19" i="13"/>
  <c r="FL19" i="13"/>
  <c r="CJ19" i="13"/>
  <c r="FI19" i="13"/>
  <c r="CI19" i="13"/>
  <c r="EZ19" i="13"/>
  <c r="CD19" i="13"/>
  <c r="EY19" i="13"/>
  <c r="BQ19" i="13"/>
  <c r="EW19" i="13"/>
  <c r="BK19" i="13"/>
  <c r="HN19" i="13"/>
  <c r="EL19" i="13"/>
  <c r="BC19" i="13"/>
  <c r="ED19" i="13"/>
  <c r="AE19" i="13"/>
  <c r="DV19" i="13"/>
  <c r="S19" i="13"/>
  <c r="DO19" i="13"/>
  <c r="K19" i="13"/>
  <c r="HH19" i="13"/>
  <c r="DC19" i="13"/>
  <c r="HG19" i="13"/>
  <c r="DB19" i="13"/>
  <c r="GY19" i="13"/>
  <c r="CT19" i="13"/>
  <c r="CX19" i="13"/>
  <c r="CQ19" i="13"/>
  <c r="CL19" i="13"/>
  <c r="CE19" i="13"/>
  <c r="HT19" i="13"/>
  <c r="BG19" i="13"/>
  <c r="HF19" i="13"/>
  <c r="BD19" i="13"/>
  <c r="GQ19" i="13"/>
  <c r="AS19" i="13"/>
  <c r="GP19" i="13"/>
  <c r="AR19" i="13"/>
  <c r="AF19" i="13"/>
  <c r="J19" i="13"/>
  <c r="GZ19" i="13"/>
  <c r="GX19" i="13"/>
  <c r="GK19" i="13"/>
  <c r="FV19" i="13"/>
  <c r="DM19" i="13"/>
  <c r="FM19" i="13"/>
  <c r="FH19" i="13"/>
  <c r="EM19" i="13"/>
  <c r="EK19" i="13"/>
  <c r="EJ19" i="13"/>
  <c r="BB19" i="13"/>
  <c r="AT19" i="13"/>
  <c r="GJ19" i="13"/>
  <c r="GI19" i="13"/>
  <c r="AG19" i="13"/>
  <c r="ET19" i="13"/>
  <c r="CY19" i="13"/>
  <c r="AI19" i="13"/>
  <c r="AH19" i="13"/>
  <c r="HF63" i="13"/>
  <c r="GJ63" i="13"/>
  <c r="FN63" i="13"/>
  <c r="ER63" i="13"/>
  <c r="DV63" i="13"/>
  <c r="CZ63" i="13"/>
  <c r="CD63" i="13"/>
  <c r="BH63" i="13"/>
  <c r="AL63" i="13"/>
  <c r="P63" i="13"/>
  <c r="IA63" i="13"/>
  <c r="HE63" i="13"/>
  <c r="GI63" i="13"/>
  <c r="FM63" i="13"/>
  <c r="EQ63" i="13"/>
  <c r="DU63" i="13"/>
  <c r="CY63" i="13"/>
  <c r="CC63" i="13"/>
  <c r="BG63" i="13"/>
  <c r="AK63" i="13"/>
  <c r="O63" i="13"/>
  <c r="HY63" i="13"/>
  <c r="HC63" i="13"/>
  <c r="GG63" i="13"/>
  <c r="FK63" i="13"/>
  <c r="EO63" i="13"/>
  <c r="DS63" i="13"/>
  <c r="CW63" i="13"/>
  <c r="CA63" i="13"/>
  <c r="BE63" i="13"/>
  <c r="AI63" i="13"/>
  <c r="M63" i="13"/>
  <c r="HQ63" i="13"/>
  <c r="GR63" i="13"/>
  <c r="FS63" i="13"/>
  <c r="ET63" i="13"/>
  <c r="DR63" i="13"/>
  <c r="CS63" i="13"/>
  <c r="BT63" i="13"/>
  <c r="AU63" i="13"/>
  <c r="V63" i="13"/>
  <c r="HP63" i="13"/>
  <c r="GQ63" i="13"/>
  <c r="FR63" i="13"/>
  <c r="ES63" i="13"/>
  <c r="DQ63" i="13"/>
  <c r="CR63" i="13"/>
  <c r="BS63" i="13"/>
  <c r="AT63" i="13"/>
  <c r="U63" i="13"/>
  <c r="HN63" i="13"/>
  <c r="GO63" i="13"/>
  <c r="FP63" i="13"/>
  <c r="EN63" i="13"/>
  <c r="DO63" i="13"/>
  <c r="CP63" i="13"/>
  <c r="BQ63" i="13"/>
  <c r="AR63" i="13"/>
  <c r="S63" i="13"/>
  <c r="HL63" i="13"/>
  <c r="GM63" i="13"/>
  <c r="FL63" i="13"/>
  <c r="EL63" i="13"/>
  <c r="DM63" i="13"/>
  <c r="CN63" i="13"/>
  <c r="BO63" i="13"/>
  <c r="AP63" i="13"/>
  <c r="Q63" i="13"/>
  <c r="HK63" i="13"/>
  <c r="GL63" i="13"/>
  <c r="FJ63" i="13"/>
  <c r="EK63" i="13"/>
  <c r="DL63" i="13"/>
  <c r="CM63" i="13"/>
  <c r="BN63" i="13"/>
  <c r="AO63" i="13"/>
  <c r="N63" i="13"/>
  <c r="HG63" i="13"/>
  <c r="FZ63" i="13"/>
  <c r="EV63" i="13"/>
  <c r="DJ63" i="13"/>
  <c r="CF63" i="13"/>
  <c r="AY63" i="13"/>
  <c r="R63" i="13"/>
  <c r="HD63" i="13"/>
  <c r="FY63" i="13"/>
  <c r="EU63" i="13"/>
  <c r="DI63" i="13"/>
  <c r="CE63" i="13"/>
  <c r="AX63" i="13"/>
  <c r="L63" i="13"/>
  <c r="HB63" i="13"/>
  <c r="FX63" i="13"/>
  <c r="EP63" i="13"/>
  <c r="DH63" i="13"/>
  <c r="CB63" i="13"/>
  <c r="AW63" i="13"/>
  <c r="K63" i="13"/>
  <c r="GY63" i="13"/>
  <c r="FU63" i="13"/>
  <c r="EI63" i="13"/>
  <c r="DE63" i="13"/>
  <c r="BX63" i="13"/>
  <c r="AQ63" i="13"/>
  <c r="H63" i="13"/>
  <c r="HO63" i="13"/>
  <c r="GA63" i="13"/>
  <c r="EG63" i="13"/>
  <c r="CV63" i="13"/>
  <c r="BI63" i="13"/>
  <c r="X63" i="13"/>
  <c r="HM63" i="13"/>
  <c r="FW63" i="13"/>
  <c r="EF63" i="13"/>
  <c r="CU63" i="13"/>
  <c r="BF63" i="13"/>
  <c r="W63" i="13"/>
  <c r="HJ63" i="13"/>
  <c r="FV63" i="13"/>
  <c r="EE63" i="13"/>
  <c r="CT63" i="13"/>
  <c r="BD63" i="13"/>
  <c r="T63" i="13"/>
  <c r="HI63" i="13"/>
  <c r="FT63" i="13"/>
  <c r="ED63" i="13"/>
  <c r="CQ63" i="13"/>
  <c r="BC63" i="13"/>
  <c r="J63" i="13"/>
  <c r="HA63" i="13"/>
  <c r="FO63" i="13"/>
  <c r="EB63" i="13"/>
  <c r="CL63" i="13"/>
  <c r="BA63" i="13"/>
  <c r="G63" i="13"/>
  <c r="HU63" i="13"/>
  <c r="FI63" i="13"/>
  <c r="DT63" i="13"/>
  <c r="BR63" i="13"/>
  <c r="Y63" i="13"/>
  <c r="HT63" i="13"/>
  <c r="FH63" i="13"/>
  <c r="DP63" i="13"/>
  <c r="BP63" i="13"/>
  <c r="I63" i="13"/>
  <c r="HS63" i="13"/>
  <c r="FG63" i="13"/>
  <c r="DN63" i="13"/>
  <c r="BM63" i="13"/>
  <c r="F63" i="13"/>
  <c r="HR63" i="13"/>
  <c r="FF63" i="13"/>
  <c r="DK63" i="13"/>
  <c r="BL63" i="13"/>
  <c r="E63" i="13"/>
  <c r="GZ63" i="13"/>
  <c r="FD63" i="13"/>
  <c r="DF63" i="13"/>
  <c r="BJ63" i="13"/>
  <c r="HH63" i="13"/>
  <c r="EY63" i="13"/>
  <c r="CH63" i="13"/>
  <c r="AA63" i="13"/>
  <c r="GX63" i="13"/>
  <c r="EX63" i="13"/>
  <c r="CG63" i="13"/>
  <c r="Z63" i="13"/>
  <c r="GW63" i="13"/>
  <c r="EW63" i="13"/>
  <c r="BZ63" i="13"/>
  <c r="D63" i="13"/>
  <c r="GV63" i="13"/>
  <c r="EM63" i="13"/>
  <c r="BY63" i="13"/>
  <c r="GP63" i="13"/>
  <c r="EA63" i="13"/>
  <c r="BK63" i="13"/>
  <c r="GS63" i="13"/>
  <c r="DG63" i="13"/>
  <c r="AF63" i="13"/>
  <c r="GH63" i="13"/>
  <c r="DB63" i="13"/>
  <c r="AC63" i="13"/>
  <c r="GF63" i="13"/>
  <c r="DA63" i="13"/>
  <c r="AB63" i="13"/>
  <c r="GE63" i="13"/>
  <c r="CX63" i="13"/>
  <c r="DY63" i="13"/>
  <c r="AD63" i="13"/>
  <c r="HZ63" i="13"/>
  <c r="DX63" i="13"/>
  <c r="HX63" i="13"/>
  <c r="DW63" i="13"/>
  <c r="HW63" i="13"/>
  <c r="DD63" i="13"/>
  <c r="HV63" i="13"/>
  <c r="DC63" i="13"/>
  <c r="GU63" i="13"/>
  <c r="CO63" i="13"/>
  <c r="GN63" i="13"/>
  <c r="CJ63" i="13"/>
  <c r="BU63" i="13"/>
  <c r="BB63" i="13"/>
  <c r="GT63" i="13"/>
  <c r="AV63" i="13"/>
  <c r="GK63" i="13"/>
  <c r="AS63" i="13"/>
  <c r="GD63" i="13"/>
  <c r="AN63" i="13"/>
  <c r="GC63" i="13"/>
  <c r="AM63" i="13"/>
  <c r="FQ63" i="13"/>
  <c r="AH63" i="13"/>
  <c r="FA63" i="13"/>
  <c r="EZ63" i="13"/>
  <c r="EJ63" i="13"/>
  <c r="DZ63" i="13"/>
  <c r="BW63" i="13"/>
  <c r="GB63" i="13"/>
  <c r="FE63" i="13"/>
  <c r="EH63" i="13"/>
  <c r="EC63" i="13"/>
  <c r="CK63" i="13"/>
  <c r="BV63" i="13"/>
  <c r="AZ63" i="13"/>
  <c r="AJ63" i="13"/>
  <c r="FC63" i="13"/>
  <c r="AG63" i="13"/>
  <c r="FB63" i="13"/>
  <c r="CI63" i="13"/>
  <c r="AE63" i="13"/>
  <c r="DN68" i="4"/>
  <c r="DN70" i="4" s="1"/>
  <c r="CE69" i="4"/>
  <c r="M85" i="7" s="1"/>
  <c r="AN28" i="7"/>
  <c r="AN181" i="7"/>
  <c r="HX12" i="13"/>
  <c r="HB12" i="13"/>
  <c r="GF12" i="13"/>
  <c r="FJ12" i="13"/>
  <c r="EN12" i="13"/>
  <c r="DR12" i="13"/>
  <c r="CV12" i="13"/>
  <c r="BZ12" i="13"/>
  <c r="BD12" i="13"/>
  <c r="AH12" i="13"/>
  <c r="L12" i="13"/>
  <c r="HW12" i="13"/>
  <c r="HA12" i="13"/>
  <c r="GE12" i="13"/>
  <c r="FI12" i="13"/>
  <c r="EM12" i="13"/>
  <c r="DQ12" i="13"/>
  <c r="CU12" i="13"/>
  <c r="BY12" i="13"/>
  <c r="BC12" i="13"/>
  <c r="AG12" i="13"/>
  <c r="K12" i="13"/>
  <c r="HE12" i="13"/>
  <c r="GG12" i="13"/>
  <c r="FG12" i="13"/>
  <c r="EI12" i="13"/>
  <c r="DK12" i="13"/>
  <c r="CM12" i="13"/>
  <c r="BO12" i="13"/>
  <c r="AQ12" i="13"/>
  <c r="S12" i="13"/>
  <c r="HD12" i="13"/>
  <c r="GD12" i="13"/>
  <c r="FF12" i="13"/>
  <c r="EH12" i="13"/>
  <c r="DJ12" i="13"/>
  <c r="CL12" i="13"/>
  <c r="BN12" i="13"/>
  <c r="AP12" i="13"/>
  <c r="R12" i="13"/>
  <c r="HS12" i="13"/>
  <c r="GU12" i="13"/>
  <c r="FW12" i="13"/>
  <c r="EY12" i="13"/>
  <c r="EA12" i="13"/>
  <c r="DC12" i="13"/>
  <c r="CE12" i="13"/>
  <c r="BG12" i="13"/>
  <c r="AI12" i="13"/>
  <c r="I12" i="13"/>
  <c r="HR12" i="13"/>
  <c r="GT12" i="13"/>
  <c r="FV12" i="13"/>
  <c r="EX12" i="13"/>
  <c r="DZ12" i="13"/>
  <c r="DB12" i="13"/>
  <c r="CD12" i="13"/>
  <c r="BF12" i="13"/>
  <c r="AF12" i="13"/>
  <c r="H12" i="13"/>
  <c r="HN12" i="13"/>
  <c r="GP12" i="13"/>
  <c r="FR12" i="13"/>
  <c r="ET12" i="13"/>
  <c r="DV12" i="13"/>
  <c r="CX12" i="13"/>
  <c r="BX12" i="13"/>
  <c r="AZ12" i="13"/>
  <c r="AB12" i="13"/>
  <c r="D12" i="13"/>
  <c r="HK12" i="13"/>
  <c r="GH12" i="13"/>
  <c r="FA12" i="13"/>
  <c r="DU12" i="13"/>
  <c r="CP12" i="13"/>
  <c r="BK12" i="13"/>
  <c r="AD12" i="13"/>
  <c r="HJ12" i="13"/>
  <c r="GC12" i="13"/>
  <c r="EZ12" i="13"/>
  <c r="DT12" i="13"/>
  <c r="CO12" i="13"/>
  <c r="BJ12" i="13"/>
  <c r="AC12" i="13"/>
  <c r="HI12" i="13"/>
  <c r="GB12" i="13"/>
  <c r="EW12" i="13"/>
  <c r="DS12" i="13"/>
  <c r="CN12" i="13"/>
  <c r="BI12" i="13"/>
  <c r="AA12" i="13"/>
  <c r="HG12" i="13"/>
  <c r="FZ12" i="13"/>
  <c r="EU12" i="13"/>
  <c r="DO12" i="13"/>
  <c r="CJ12" i="13"/>
  <c r="BE12" i="13"/>
  <c r="Y12" i="13"/>
  <c r="HF12" i="13"/>
  <c r="FY12" i="13"/>
  <c r="ES12" i="13"/>
  <c r="DN12" i="13"/>
  <c r="CI12" i="13"/>
  <c r="BB12" i="13"/>
  <c r="X12" i="13"/>
  <c r="GY12" i="13"/>
  <c r="FT12" i="13"/>
  <c r="EP12" i="13"/>
  <c r="DI12" i="13"/>
  <c r="CF12" i="13"/>
  <c r="AX12" i="13"/>
  <c r="U12" i="13"/>
  <c r="GX12" i="13"/>
  <c r="FS12" i="13"/>
  <c r="EO12" i="13"/>
  <c r="DH12" i="13"/>
  <c r="CC12" i="13"/>
  <c r="AW12" i="13"/>
  <c r="T12" i="13"/>
  <c r="HT12" i="13"/>
  <c r="GN12" i="13"/>
  <c r="FK12" i="13"/>
  <c r="ED12" i="13"/>
  <c r="CY12" i="13"/>
  <c r="BS12" i="13"/>
  <c r="AN12" i="13"/>
  <c r="G12" i="13"/>
  <c r="GS12" i="13"/>
  <c r="FB12" i="13"/>
  <c r="DA12" i="13"/>
  <c r="BA12" i="13"/>
  <c r="F12" i="13"/>
  <c r="GR12" i="13"/>
  <c r="EV12" i="13"/>
  <c r="CZ12" i="13"/>
  <c r="AY12" i="13"/>
  <c r="E12" i="13"/>
  <c r="GO12" i="13"/>
  <c r="EQ12" i="13"/>
  <c r="CT12" i="13"/>
  <c r="AU12" i="13"/>
  <c r="GM12" i="13"/>
  <c r="EL12" i="13"/>
  <c r="CS12" i="13"/>
  <c r="AT12" i="13"/>
  <c r="GL12" i="13"/>
  <c r="EK12" i="13"/>
  <c r="CR12" i="13"/>
  <c r="AS12" i="13"/>
  <c r="HZ12" i="13"/>
  <c r="GI12" i="13"/>
  <c r="EF12" i="13"/>
  <c r="CH12" i="13"/>
  <c r="AM12" i="13"/>
  <c r="HU12" i="13"/>
  <c r="FL12" i="13"/>
  <c r="CQ12" i="13"/>
  <c r="Z12" i="13"/>
  <c r="HQ12" i="13"/>
  <c r="FH12" i="13"/>
  <c r="CK12" i="13"/>
  <c r="W12" i="13"/>
  <c r="HP12" i="13"/>
  <c r="FE12" i="13"/>
  <c r="CG12" i="13"/>
  <c r="V12" i="13"/>
  <c r="HM12" i="13"/>
  <c r="FC12" i="13"/>
  <c r="CA12" i="13"/>
  <c r="P12" i="13"/>
  <c r="HL12" i="13"/>
  <c r="ER12" i="13"/>
  <c r="BW12" i="13"/>
  <c r="O12" i="13"/>
  <c r="GZ12" i="13"/>
  <c r="EE12" i="13"/>
  <c r="BT12" i="13"/>
  <c r="J12" i="13"/>
  <c r="GV12" i="13"/>
  <c r="DL12" i="13"/>
  <c r="Q12" i="13"/>
  <c r="GQ12" i="13"/>
  <c r="DG12" i="13"/>
  <c r="N12" i="13"/>
  <c r="GK12" i="13"/>
  <c r="DF12" i="13"/>
  <c r="M12" i="13"/>
  <c r="GJ12" i="13"/>
  <c r="DE12" i="13"/>
  <c r="GA12" i="13"/>
  <c r="DD12" i="13"/>
  <c r="FX12" i="13"/>
  <c r="CW12" i="13"/>
  <c r="FP12" i="13"/>
  <c r="BU12" i="13"/>
  <c r="FO12" i="13"/>
  <c r="BR12" i="13"/>
  <c r="EJ12" i="13"/>
  <c r="AE12" i="13"/>
  <c r="EG12" i="13"/>
  <c r="EC12" i="13"/>
  <c r="EB12" i="13"/>
  <c r="DY12" i="13"/>
  <c r="DX12" i="13"/>
  <c r="DM12" i="13"/>
  <c r="HC12" i="13"/>
  <c r="BH12" i="13"/>
  <c r="HV12" i="13"/>
  <c r="AJ12" i="13"/>
  <c r="HO12" i="13"/>
  <c r="GW12" i="13"/>
  <c r="FU12" i="13"/>
  <c r="FQ12" i="13"/>
  <c r="FM12" i="13"/>
  <c r="FD12" i="13"/>
  <c r="AR12" i="13"/>
  <c r="AO12" i="13"/>
  <c r="AL12" i="13"/>
  <c r="AK12" i="13"/>
  <c r="BL12" i="13"/>
  <c r="AV12" i="13"/>
  <c r="DP12" i="13"/>
  <c r="IA12" i="13"/>
  <c r="HY12" i="13"/>
  <c r="HH12" i="13"/>
  <c r="FN12" i="13"/>
  <c r="DW12" i="13"/>
  <c r="CB12" i="13"/>
  <c r="BV12" i="13"/>
  <c r="BQ12" i="13"/>
  <c r="BP12" i="13"/>
  <c r="BM12" i="13"/>
  <c r="HN34" i="13"/>
  <c r="GR34" i="13"/>
  <c r="FV34" i="13"/>
  <c r="EZ34" i="13"/>
  <c r="ED34" i="13"/>
  <c r="DH34" i="13"/>
  <c r="CL34" i="13"/>
  <c r="BP34" i="13"/>
  <c r="HS34" i="13"/>
  <c r="GV34" i="13"/>
  <c r="FY34" i="13"/>
  <c r="FB34" i="13"/>
  <c r="EE34" i="13"/>
  <c r="DG34" i="13"/>
  <c r="CJ34" i="13"/>
  <c r="BM34" i="13"/>
  <c r="AQ34" i="13"/>
  <c r="U34" i="13"/>
  <c r="HR34" i="13"/>
  <c r="GU34" i="13"/>
  <c r="FX34" i="13"/>
  <c r="FA34" i="13"/>
  <c r="EC34" i="13"/>
  <c r="DF34" i="13"/>
  <c r="CI34" i="13"/>
  <c r="BL34" i="13"/>
  <c r="AP34" i="13"/>
  <c r="T34" i="13"/>
  <c r="HQ34" i="13"/>
  <c r="GT34" i="13"/>
  <c r="FW34" i="13"/>
  <c r="EY34" i="13"/>
  <c r="EB34" i="13"/>
  <c r="DE34" i="13"/>
  <c r="CH34" i="13"/>
  <c r="BK34" i="13"/>
  <c r="AO34" i="13"/>
  <c r="S34" i="13"/>
  <c r="HP34" i="13"/>
  <c r="GS34" i="13"/>
  <c r="FU34" i="13"/>
  <c r="EX34" i="13"/>
  <c r="EA34" i="13"/>
  <c r="DD34" i="13"/>
  <c r="CG34" i="13"/>
  <c r="BJ34" i="13"/>
  <c r="AN34" i="13"/>
  <c r="R34" i="13"/>
  <c r="HO34" i="13"/>
  <c r="GQ34" i="13"/>
  <c r="FT34" i="13"/>
  <c r="EW34" i="13"/>
  <c r="DZ34" i="13"/>
  <c r="DC34" i="13"/>
  <c r="CF34" i="13"/>
  <c r="BI34" i="13"/>
  <c r="AM34" i="13"/>
  <c r="Q34" i="13"/>
  <c r="HL34" i="13"/>
  <c r="GO34" i="13"/>
  <c r="FR34" i="13"/>
  <c r="EU34" i="13"/>
  <c r="DX34" i="13"/>
  <c r="DA34" i="13"/>
  <c r="CD34" i="13"/>
  <c r="BG34" i="13"/>
  <c r="AK34" i="13"/>
  <c r="O34" i="13"/>
  <c r="HX34" i="13"/>
  <c r="GN34" i="13"/>
  <c r="FK34" i="13"/>
  <c r="EH34" i="13"/>
  <c r="CX34" i="13"/>
  <c r="BU34" i="13"/>
  <c r="AR34" i="13"/>
  <c r="J34" i="13"/>
  <c r="HW34" i="13"/>
  <c r="GM34" i="13"/>
  <c r="FJ34" i="13"/>
  <c r="EG34" i="13"/>
  <c r="CW34" i="13"/>
  <c r="BT34" i="13"/>
  <c r="AL34" i="13"/>
  <c r="I34" i="13"/>
  <c r="HU34" i="13"/>
  <c r="GK34" i="13"/>
  <c r="FH34" i="13"/>
  <c r="DY34" i="13"/>
  <c r="CU34" i="13"/>
  <c r="BR34" i="13"/>
  <c r="AI34" i="13"/>
  <c r="G34" i="13"/>
  <c r="HI34" i="13"/>
  <c r="GF34" i="13"/>
  <c r="FC34" i="13"/>
  <c r="DS34" i="13"/>
  <c r="CP34" i="13"/>
  <c r="BF34" i="13"/>
  <c r="AD34" i="13"/>
  <c r="HH34" i="13"/>
  <c r="GE34" i="13"/>
  <c r="EV34" i="13"/>
  <c r="DR34" i="13"/>
  <c r="CO34" i="13"/>
  <c r="BE34" i="13"/>
  <c r="AC34" i="13"/>
  <c r="HD34" i="13"/>
  <c r="GA34" i="13"/>
  <c r="EQ34" i="13"/>
  <c r="DN34" i="13"/>
  <c r="CE34" i="13"/>
  <c r="BA34" i="13"/>
  <c r="Y34" i="13"/>
  <c r="HB34" i="13"/>
  <c r="GI34" i="13"/>
  <c r="EP34" i="13"/>
  <c r="CZ34" i="13"/>
  <c r="BH34" i="13"/>
  <c r="V34" i="13"/>
  <c r="GH34" i="13"/>
  <c r="EO34" i="13"/>
  <c r="CY34" i="13"/>
  <c r="BD34" i="13"/>
  <c r="P34" i="13"/>
  <c r="HZ34" i="13"/>
  <c r="GD34" i="13"/>
  <c r="EM34" i="13"/>
  <c r="CT34" i="13"/>
  <c r="BB34" i="13"/>
  <c r="M34" i="13"/>
  <c r="HY34" i="13"/>
  <c r="GC34" i="13"/>
  <c r="EL34" i="13"/>
  <c r="CS34" i="13"/>
  <c r="AZ34" i="13"/>
  <c r="L34" i="13"/>
  <c r="HV34" i="13"/>
  <c r="GB34" i="13"/>
  <c r="EK34" i="13"/>
  <c r="CR34" i="13"/>
  <c r="AY34" i="13"/>
  <c r="K34" i="13"/>
  <c r="HM34" i="13"/>
  <c r="FS34" i="13"/>
  <c r="EI34" i="13"/>
  <c r="CN34" i="13"/>
  <c r="AW34" i="13"/>
  <c r="F34" i="13"/>
  <c r="HJ34" i="13"/>
  <c r="FP34" i="13"/>
  <c r="DW34" i="13"/>
  <c r="CK34" i="13"/>
  <c r="AU34" i="13"/>
  <c r="D34" i="13"/>
  <c r="HG34" i="13"/>
  <c r="FO34" i="13"/>
  <c r="DV34" i="13"/>
  <c r="CC34" i="13"/>
  <c r="AT34" i="13"/>
  <c r="GZ34" i="13"/>
  <c r="FG34" i="13"/>
  <c r="DO34" i="13"/>
  <c r="BX34" i="13"/>
  <c r="AF34" i="13"/>
  <c r="FM34" i="13"/>
  <c r="CV34" i="13"/>
  <c r="AA34" i="13"/>
  <c r="FL34" i="13"/>
  <c r="CQ34" i="13"/>
  <c r="Z34" i="13"/>
  <c r="FI34" i="13"/>
  <c r="CM34" i="13"/>
  <c r="X34" i="13"/>
  <c r="FF34" i="13"/>
  <c r="CB34" i="13"/>
  <c r="W34" i="13"/>
  <c r="HF34" i="13"/>
  <c r="ER34" i="13"/>
  <c r="BV34" i="13"/>
  <c r="HE34" i="13"/>
  <c r="EN34" i="13"/>
  <c r="BS34" i="13"/>
  <c r="GX34" i="13"/>
  <c r="DT34" i="13"/>
  <c r="BC34" i="13"/>
  <c r="GP34" i="13"/>
  <c r="DP34" i="13"/>
  <c r="AV34" i="13"/>
  <c r="IA34" i="13"/>
  <c r="DL34" i="13"/>
  <c r="HT34" i="13"/>
  <c r="DK34" i="13"/>
  <c r="HC34" i="13"/>
  <c r="DI34" i="13"/>
  <c r="HA34" i="13"/>
  <c r="DB34" i="13"/>
  <c r="GJ34" i="13"/>
  <c r="BW34" i="13"/>
  <c r="GG34" i="13"/>
  <c r="BQ34" i="13"/>
  <c r="FE34" i="13"/>
  <c r="AS34" i="13"/>
  <c r="ET34" i="13"/>
  <c r="AH34" i="13"/>
  <c r="ES34" i="13"/>
  <c r="AG34" i="13"/>
  <c r="DJ34" i="13"/>
  <c r="CA34" i="13"/>
  <c r="AE34" i="13"/>
  <c r="HK34" i="13"/>
  <c r="AB34" i="13"/>
  <c r="FZ34" i="13"/>
  <c r="FN34" i="13"/>
  <c r="FD34" i="13"/>
  <c r="GY34" i="13"/>
  <c r="GL34" i="13"/>
  <c r="FQ34" i="13"/>
  <c r="DU34" i="13"/>
  <c r="DQ34" i="13"/>
  <c r="AJ34" i="13"/>
  <c r="GW34" i="13"/>
  <c r="E34" i="13"/>
  <c r="EJ34" i="13"/>
  <c r="EF34" i="13"/>
  <c r="DM34" i="13"/>
  <c r="BZ34" i="13"/>
  <c r="BN34" i="13"/>
  <c r="AX34" i="13"/>
  <c r="BO34" i="13"/>
  <c r="BY34" i="13"/>
  <c r="H34" i="13"/>
  <c r="N34" i="13"/>
  <c r="AC68" i="4"/>
  <c r="HA68" i="4"/>
  <c r="L211" i="7" s="1"/>
  <c r="GA69" i="4"/>
  <c r="M185" i="7" s="1"/>
  <c r="AK9" i="7"/>
  <c r="AJ9" i="7"/>
  <c r="AI9" i="7"/>
  <c r="AH9" i="7"/>
  <c r="AG9" i="7"/>
  <c r="AF9" i="7"/>
  <c r="AM9" i="7"/>
  <c r="AL9" i="7"/>
  <c r="L201" i="7"/>
  <c r="M201" i="7"/>
  <c r="HM49" i="13"/>
  <c r="GQ49" i="13"/>
  <c r="FU49" i="13"/>
  <c r="EY49" i="13"/>
  <c r="EC49" i="13"/>
  <c r="DG49" i="13"/>
  <c r="CK49" i="13"/>
  <c r="BO49" i="13"/>
  <c r="AS49" i="13"/>
  <c r="W49" i="13"/>
  <c r="HL49" i="13"/>
  <c r="GP49" i="13"/>
  <c r="FT49" i="13"/>
  <c r="EX49" i="13"/>
  <c r="EB49" i="13"/>
  <c r="DF49" i="13"/>
  <c r="CJ49" i="13"/>
  <c r="BN49" i="13"/>
  <c r="AR49" i="13"/>
  <c r="V49" i="13"/>
  <c r="HK49" i="13"/>
  <c r="GO49" i="13"/>
  <c r="FS49" i="13"/>
  <c r="EW49" i="13"/>
  <c r="EA49" i="13"/>
  <c r="DE49" i="13"/>
  <c r="CI49" i="13"/>
  <c r="BM49" i="13"/>
  <c r="AQ49" i="13"/>
  <c r="U49" i="13"/>
  <c r="HT49" i="13"/>
  <c r="GU49" i="13"/>
  <c r="FV49" i="13"/>
  <c r="ET49" i="13"/>
  <c r="DU49" i="13"/>
  <c r="CV49" i="13"/>
  <c r="BW49" i="13"/>
  <c r="AX49" i="13"/>
  <c r="Y49" i="13"/>
  <c r="HS49" i="13"/>
  <c r="GT49" i="13"/>
  <c r="FR49" i="13"/>
  <c r="ES49" i="13"/>
  <c r="DT49" i="13"/>
  <c r="CU49" i="13"/>
  <c r="BV49" i="13"/>
  <c r="AW49" i="13"/>
  <c r="X49" i="13"/>
  <c r="HR49" i="13"/>
  <c r="GS49" i="13"/>
  <c r="FQ49" i="13"/>
  <c r="ER49" i="13"/>
  <c r="DS49" i="13"/>
  <c r="CT49" i="13"/>
  <c r="BU49" i="13"/>
  <c r="AV49" i="13"/>
  <c r="T49" i="13"/>
  <c r="HQ49" i="13"/>
  <c r="GR49" i="13"/>
  <c r="FP49" i="13"/>
  <c r="EQ49" i="13"/>
  <c r="DR49" i="13"/>
  <c r="CS49" i="13"/>
  <c r="BT49" i="13"/>
  <c r="AU49" i="13"/>
  <c r="S49" i="13"/>
  <c r="HN49" i="13"/>
  <c r="GH49" i="13"/>
  <c r="FE49" i="13"/>
  <c r="DY49" i="13"/>
  <c r="CR49" i="13"/>
  <c r="BL49" i="13"/>
  <c r="AI49" i="13"/>
  <c r="F49" i="13"/>
  <c r="HP49" i="13"/>
  <c r="GI49" i="13"/>
  <c r="FD49" i="13"/>
  <c r="DW49" i="13"/>
  <c r="CO49" i="13"/>
  <c r="BH49" i="13"/>
  <c r="AD49" i="13"/>
  <c r="HO49" i="13"/>
  <c r="GG49" i="13"/>
  <c r="FC49" i="13"/>
  <c r="DV49" i="13"/>
  <c r="CN49" i="13"/>
  <c r="BG49" i="13"/>
  <c r="AC49" i="13"/>
  <c r="HJ49" i="13"/>
  <c r="GF49" i="13"/>
  <c r="FB49" i="13"/>
  <c r="DQ49" i="13"/>
  <c r="CM49" i="13"/>
  <c r="BF49" i="13"/>
  <c r="AB49" i="13"/>
  <c r="HH49" i="13"/>
  <c r="GD49" i="13"/>
  <c r="EZ49" i="13"/>
  <c r="DO49" i="13"/>
  <c r="CH49" i="13"/>
  <c r="BD49" i="13"/>
  <c r="Z49" i="13"/>
  <c r="HG49" i="13"/>
  <c r="GC49" i="13"/>
  <c r="EV49" i="13"/>
  <c r="DN49" i="13"/>
  <c r="CG49" i="13"/>
  <c r="BC49" i="13"/>
  <c r="R49" i="13"/>
  <c r="HE49" i="13"/>
  <c r="FO49" i="13"/>
  <c r="EF49" i="13"/>
  <c r="CL49" i="13"/>
  <c r="AT49" i="13"/>
  <c r="H49" i="13"/>
  <c r="HD49" i="13"/>
  <c r="FN49" i="13"/>
  <c r="EE49" i="13"/>
  <c r="CF49" i="13"/>
  <c r="AP49" i="13"/>
  <c r="G49" i="13"/>
  <c r="HB49" i="13"/>
  <c r="FL49" i="13"/>
  <c r="DZ49" i="13"/>
  <c r="CD49" i="13"/>
  <c r="AN49" i="13"/>
  <c r="D49" i="13"/>
  <c r="HA49" i="13"/>
  <c r="FK49" i="13"/>
  <c r="DX49" i="13"/>
  <c r="CC49" i="13"/>
  <c r="AM49" i="13"/>
  <c r="GZ49" i="13"/>
  <c r="FJ49" i="13"/>
  <c r="DP49" i="13"/>
  <c r="CB49" i="13"/>
  <c r="AL49" i="13"/>
  <c r="GY49" i="13"/>
  <c r="FI49" i="13"/>
  <c r="DM49" i="13"/>
  <c r="CA49" i="13"/>
  <c r="AK49" i="13"/>
  <c r="GW49" i="13"/>
  <c r="FG49" i="13"/>
  <c r="DK49" i="13"/>
  <c r="BY49" i="13"/>
  <c r="AH49" i="13"/>
  <c r="GX49" i="13"/>
  <c r="EM49" i="13"/>
  <c r="CE49" i="13"/>
  <c r="P49" i="13"/>
  <c r="GV49" i="13"/>
  <c r="EL49" i="13"/>
  <c r="BZ49" i="13"/>
  <c r="O49" i="13"/>
  <c r="GN49" i="13"/>
  <c r="EK49" i="13"/>
  <c r="BX49" i="13"/>
  <c r="N49" i="13"/>
  <c r="GK49" i="13"/>
  <c r="EH49" i="13"/>
  <c r="BQ49" i="13"/>
  <c r="K49" i="13"/>
  <c r="FX49" i="13"/>
  <c r="CZ49" i="13"/>
  <c r="AA49" i="13"/>
  <c r="FW49" i="13"/>
  <c r="CY49" i="13"/>
  <c r="Q49" i="13"/>
  <c r="IA49" i="13"/>
  <c r="FF49" i="13"/>
  <c r="CQ49" i="13"/>
  <c r="J49" i="13"/>
  <c r="HZ49" i="13"/>
  <c r="FA49" i="13"/>
  <c r="CP49" i="13"/>
  <c r="I49" i="13"/>
  <c r="HY49" i="13"/>
  <c r="EU49" i="13"/>
  <c r="BS49" i="13"/>
  <c r="E49" i="13"/>
  <c r="HW49" i="13"/>
  <c r="EO49" i="13"/>
  <c r="BP49" i="13"/>
  <c r="HV49" i="13"/>
  <c r="EN49" i="13"/>
  <c r="BK49" i="13"/>
  <c r="HU49" i="13"/>
  <c r="EJ49" i="13"/>
  <c r="BJ49" i="13"/>
  <c r="GL49" i="13"/>
  <c r="DJ49" i="13"/>
  <c r="AZ49" i="13"/>
  <c r="DD49" i="13"/>
  <c r="DC49" i="13"/>
  <c r="HX49" i="13"/>
  <c r="DB49" i="13"/>
  <c r="HI49" i="13"/>
  <c r="DA49" i="13"/>
  <c r="HF49" i="13"/>
  <c r="CX49" i="13"/>
  <c r="HC49" i="13"/>
  <c r="CW49" i="13"/>
  <c r="GM49" i="13"/>
  <c r="BR49" i="13"/>
  <c r="GB49" i="13"/>
  <c r="BB49" i="13"/>
  <c r="EI49" i="13"/>
  <c r="AE49" i="13"/>
  <c r="AJ49" i="13"/>
  <c r="AG49" i="13"/>
  <c r="M49" i="13"/>
  <c r="FY49" i="13"/>
  <c r="FM49" i="13"/>
  <c r="ED49" i="13"/>
  <c r="DI49" i="13"/>
  <c r="DH49" i="13"/>
  <c r="GJ49" i="13"/>
  <c r="GE49" i="13"/>
  <c r="GA49" i="13"/>
  <c r="FZ49" i="13"/>
  <c r="FH49" i="13"/>
  <c r="EG49" i="13"/>
  <c r="BI49" i="13"/>
  <c r="BE49" i="13"/>
  <c r="L49" i="13"/>
  <c r="EP49" i="13"/>
  <c r="DL49" i="13"/>
  <c r="BA49" i="13"/>
  <c r="AY49" i="13"/>
  <c r="AO49" i="13"/>
  <c r="AF49" i="13"/>
  <c r="AD68" i="4"/>
  <c r="FM68" i="4"/>
  <c r="FM70" i="4" s="1"/>
  <c r="CJ69" i="4"/>
  <c r="M90" i="7" s="1"/>
  <c r="AN45" i="7"/>
  <c r="L102" i="7"/>
  <c r="HY20" i="13"/>
  <c r="HC20" i="13"/>
  <c r="GG20" i="13"/>
  <c r="FK20" i="13"/>
  <c r="EO20" i="13"/>
  <c r="DS20" i="13"/>
  <c r="CW20" i="13"/>
  <c r="CA20" i="13"/>
  <c r="BE20" i="13"/>
  <c r="AI20" i="13"/>
  <c r="M20" i="13"/>
  <c r="HX20" i="13"/>
  <c r="HB20" i="13"/>
  <c r="GF20" i="13"/>
  <c r="FJ20" i="13"/>
  <c r="EN20" i="13"/>
  <c r="DR20" i="13"/>
  <c r="CV20" i="13"/>
  <c r="BZ20" i="13"/>
  <c r="BD20" i="13"/>
  <c r="AH20" i="13"/>
  <c r="L20" i="13"/>
  <c r="HW20" i="13"/>
  <c r="HA20" i="13"/>
  <c r="GE20" i="13"/>
  <c r="FI20" i="13"/>
  <c r="EM20" i="13"/>
  <c r="DQ20" i="13"/>
  <c r="CU20" i="13"/>
  <c r="BY20" i="13"/>
  <c r="BC20" i="13"/>
  <c r="AG20" i="13"/>
  <c r="K20" i="13"/>
  <c r="HQ20" i="13"/>
  <c r="GU20" i="13"/>
  <c r="FY20" i="13"/>
  <c r="FC20" i="13"/>
  <c r="EG20" i="13"/>
  <c r="DK20" i="13"/>
  <c r="CO20" i="13"/>
  <c r="BS20" i="13"/>
  <c r="AW20" i="13"/>
  <c r="AA20" i="13"/>
  <c r="E20" i="13"/>
  <c r="HL20" i="13"/>
  <c r="GL20" i="13"/>
  <c r="FL20" i="13"/>
  <c r="EI20" i="13"/>
  <c r="DH20" i="13"/>
  <c r="CH20" i="13"/>
  <c r="BH20" i="13"/>
  <c r="AE20" i="13"/>
  <c r="D20" i="13"/>
  <c r="HK20" i="13"/>
  <c r="GK20" i="13"/>
  <c r="FH20" i="13"/>
  <c r="EH20" i="13"/>
  <c r="DG20" i="13"/>
  <c r="CG20" i="13"/>
  <c r="BG20" i="13"/>
  <c r="AD20" i="13"/>
  <c r="HH20" i="13"/>
  <c r="GH20" i="13"/>
  <c r="FE20" i="13"/>
  <c r="ED20" i="13"/>
  <c r="DD20" i="13"/>
  <c r="CD20" i="13"/>
  <c r="BA20" i="13"/>
  <c r="Z20" i="13"/>
  <c r="HD20" i="13"/>
  <c r="GA20" i="13"/>
  <c r="EZ20" i="13"/>
  <c r="DZ20" i="13"/>
  <c r="CZ20" i="13"/>
  <c r="BW20" i="13"/>
  <c r="AV20" i="13"/>
  <c r="V20" i="13"/>
  <c r="GZ20" i="13"/>
  <c r="FZ20" i="13"/>
  <c r="EY20" i="13"/>
  <c r="DY20" i="13"/>
  <c r="CY20" i="13"/>
  <c r="BV20" i="13"/>
  <c r="AU20" i="13"/>
  <c r="U20" i="13"/>
  <c r="HV20" i="13"/>
  <c r="GV20" i="13"/>
  <c r="FU20" i="13"/>
  <c r="EU20" i="13"/>
  <c r="DU20" i="13"/>
  <c r="CR20" i="13"/>
  <c r="BQ20" i="13"/>
  <c r="AQ20" i="13"/>
  <c r="Q20" i="13"/>
  <c r="HZ20" i="13"/>
  <c r="GO20" i="13"/>
  <c r="FB20" i="13"/>
  <c r="DP20" i="13"/>
  <c r="CI20" i="13"/>
  <c r="AT20" i="13"/>
  <c r="J20" i="13"/>
  <c r="HU20" i="13"/>
  <c r="GN20" i="13"/>
  <c r="FA20" i="13"/>
  <c r="DO20" i="13"/>
  <c r="CF20" i="13"/>
  <c r="AS20" i="13"/>
  <c r="I20" i="13"/>
  <c r="HM20" i="13"/>
  <c r="FX20" i="13"/>
  <c r="EQ20" i="13"/>
  <c r="DE20" i="13"/>
  <c r="BR20" i="13"/>
  <c r="AK20" i="13"/>
  <c r="HJ20" i="13"/>
  <c r="FW20" i="13"/>
  <c r="EP20" i="13"/>
  <c r="DC20" i="13"/>
  <c r="BP20" i="13"/>
  <c r="AJ20" i="13"/>
  <c r="HE20" i="13"/>
  <c r="FR20" i="13"/>
  <c r="EF20" i="13"/>
  <c r="CT20" i="13"/>
  <c r="BL20" i="13"/>
  <c r="Y20" i="13"/>
  <c r="GX20" i="13"/>
  <c r="FP20" i="13"/>
  <c r="EC20" i="13"/>
  <c r="CQ20" i="13"/>
  <c r="BJ20" i="13"/>
  <c r="W20" i="13"/>
  <c r="GW20" i="13"/>
  <c r="FO20" i="13"/>
  <c r="EB20" i="13"/>
  <c r="CP20" i="13"/>
  <c r="BI20" i="13"/>
  <c r="T20" i="13"/>
  <c r="HO20" i="13"/>
  <c r="FM20" i="13"/>
  <c r="DJ20" i="13"/>
  <c r="BF20" i="13"/>
  <c r="F20" i="13"/>
  <c r="HN20" i="13"/>
  <c r="FG20" i="13"/>
  <c r="DI20" i="13"/>
  <c r="BB20" i="13"/>
  <c r="HI20" i="13"/>
  <c r="FF20" i="13"/>
  <c r="DF20" i="13"/>
  <c r="AZ20" i="13"/>
  <c r="HF20" i="13"/>
  <c r="EX20" i="13"/>
  <c r="DA20" i="13"/>
  <c r="AX20" i="13"/>
  <c r="GY20" i="13"/>
  <c r="EW20" i="13"/>
  <c r="CX20" i="13"/>
  <c r="AR20" i="13"/>
  <c r="GR20" i="13"/>
  <c r="ES20" i="13"/>
  <c r="CM20" i="13"/>
  <c r="AN20" i="13"/>
  <c r="GQ20" i="13"/>
  <c r="ER20" i="13"/>
  <c r="CL20" i="13"/>
  <c r="AM20" i="13"/>
  <c r="GB20" i="13"/>
  <c r="DW20" i="13"/>
  <c r="BU20" i="13"/>
  <c r="R20" i="13"/>
  <c r="GD20" i="13"/>
  <c r="CS20" i="13"/>
  <c r="P20" i="13"/>
  <c r="GC20" i="13"/>
  <c r="CN20" i="13"/>
  <c r="O20" i="13"/>
  <c r="FT20" i="13"/>
  <c r="CJ20" i="13"/>
  <c r="H20" i="13"/>
  <c r="FS20" i="13"/>
  <c r="CE20" i="13"/>
  <c r="G20" i="13"/>
  <c r="FQ20" i="13"/>
  <c r="CC20" i="13"/>
  <c r="EV20" i="13"/>
  <c r="BT20" i="13"/>
  <c r="IA20" i="13"/>
  <c r="DV20" i="13"/>
  <c r="N20" i="13"/>
  <c r="HT20" i="13"/>
  <c r="DT20" i="13"/>
  <c r="HS20" i="13"/>
  <c r="DN20" i="13"/>
  <c r="HP20" i="13"/>
  <c r="DL20" i="13"/>
  <c r="HG20" i="13"/>
  <c r="DB20" i="13"/>
  <c r="GP20" i="13"/>
  <c r="BX20" i="13"/>
  <c r="FN20" i="13"/>
  <c r="AB20" i="13"/>
  <c r="FD20" i="13"/>
  <c r="X20" i="13"/>
  <c r="ET20" i="13"/>
  <c r="S20" i="13"/>
  <c r="EL20" i="13"/>
  <c r="EK20" i="13"/>
  <c r="EJ20" i="13"/>
  <c r="DX20" i="13"/>
  <c r="DM20" i="13"/>
  <c r="AF20" i="13"/>
  <c r="AC20" i="13"/>
  <c r="HR20" i="13"/>
  <c r="GT20" i="13"/>
  <c r="GS20" i="13"/>
  <c r="GI20" i="13"/>
  <c r="BN20" i="13"/>
  <c r="GM20" i="13"/>
  <c r="FV20" i="13"/>
  <c r="EE20" i="13"/>
  <c r="BK20" i="13"/>
  <c r="AY20" i="13"/>
  <c r="AP20" i="13"/>
  <c r="AO20" i="13"/>
  <c r="AL20" i="13"/>
  <c r="BM20" i="13"/>
  <c r="CB20" i="13"/>
  <c r="BO20" i="13"/>
  <c r="GJ20" i="13"/>
  <c r="EA20" i="13"/>
  <c r="HL42" i="13"/>
  <c r="GP42" i="13"/>
  <c r="FT42" i="13"/>
  <c r="EX42" i="13"/>
  <c r="EB42" i="13"/>
  <c r="DF42" i="13"/>
  <c r="CJ42" i="13"/>
  <c r="HV42" i="13"/>
  <c r="GY42" i="13"/>
  <c r="GB42" i="13"/>
  <c r="FE42" i="13"/>
  <c r="EH42" i="13"/>
  <c r="DK42" i="13"/>
  <c r="CN42" i="13"/>
  <c r="BQ42" i="13"/>
  <c r="AU42" i="13"/>
  <c r="Y42" i="13"/>
  <c r="HU42" i="13"/>
  <c r="GX42" i="13"/>
  <c r="GA42" i="13"/>
  <c r="FD42" i="13"/>
  <c r="EG42" i="13"/>
  <c r="DJ42" i="13"/>
  <c r="CM42" i="13"/>
  <c r="BP42" i="13"/>
  <c r="AT42" i="13"/>
  <c r="X42" i="13"/>
  <c r="HS42" i="13"/>
  <c r="GV42" i="13"/>
  <c r="FY42" i="13"/>
  <c r="FB42" i="13"/>
  <c r="EE42" i="13"/>
  <c r="DH42" i="13"/>
  <c r="CK42" i="13"/>
  <c r="BN42" i="13"/>
  <c r="AR42" i="13"/>
  <c r="V42" i="13"/>
  <c r="HR42" i="13"/>
  <c r="GU42" i="13"/>
  <c r="FX42" i="13"/>
  <c r="FA42" i="13"/>
  <c r="ED42" i="13"/>
  <c r="DG42" i="13"/>
  <c r="CI42" i="13"/>
  <c r="BM42" i="13"/>
  <c r="AQ42" i="13"/>
  <c r="U42" i="13"/>
  <c r="HQ42" i="13"/>
  <c r="GT42" i="13"/>
  <c r="FW42" i="13"/>
  <c r="EZ42" i="13"/>
  <c r="EC42" i="13"/>
  <c r="DE42" i="13"/>
  <c r="CH42" i="13"/>
  <c r="BL42" i="13"/>
  <c r="AP42" i="13"/>
  <c r="T42" i="13"/>
  <c r="HP42" i="13"/>
  <c r="GS42" i="13"/>
  <c r="FV42" i="13"/>
  <c r="EY42" i="13"/>
  <c r="EA42" i="13"/>
  <c r="DD42" i="13"/>
  <c r="CG42" i="13"/>
  <c r="BK42" i="13"/>
  <c r="AO42" i="13"/>
  <c r="S42" i="13"/>
  <c r="HY42" i="13"/>
  <c r="GO42" i="13"/>
  <c r="FL42" i="13"/>
  <c r="EI42" i="13"/>
  <c r="CY42" i="13"/>
  <c r="BV42" i="13"/>
  <c r="AN42" i="13"/>
  <c r="L42" i="13"/>
  <c r="HX42" i="13"/>
  <c r="GN42" i="13"/>
  <c r="FK42" i="13"/>
  <c r="EF42" i="13"/>
  <c r="CX42" i="13"/>
  <c r="BU42" i="13"/>
  <c r="AM42" i="13"/>
  <c r="K42" i="13"/>
  <c r="HW42" i="13"/>
  <c r="GM42" i="13"/>
  <c r="FJ42" i="13"/>
  <c r="DZ42" i="13"/>
  <c r="CW42" i="13"/>
  <c r="BT42" i="13"/>
  <c r="AL42" i="13"/>
  <c r="J42" i="13"/>
  <c r="HN42" i="13"/>
  <c r="GJ42" i="13"/>
  <c r="FG42" i="13"/>
  <c r="DW42" i="13"/>
  <c r="HH42" i="13"/>
  <c r="FU42" i="13"/>
  <c r="EM42" i="13"/>
  <c r="CV42" i="13"/>
  <c r="BJ42" i="13"/>
  <c r="AE42" i="13"/>
  <c r="HG42" i="13"/>
  <c r="FS42" i="13"/>
  <c r="EL42" i="13"/>
  <c r="CU42" i="13"/>
  <c r="BI42" i="13"/>
  <c r="AD42" i="13"/>
  <c r="HD42" i="13"/>
  <c r="FP42" i="13"/>
  <c r="DY42" i="13"/>
  <c r="CR42" i="13"/>
  <c r="BF42" i="13"/>
  <c r="AA42" i="13"/>
  <c r="HC42" i="13"/>
  <c r="FO42" i="13"/>
  <c r="DX42" i="13"/>
  <c r="CQ42" i="13"/>
  <c r="BE42" i="13"/>
  <c r="Z42" i="13"/>
  <c r="HB42" i="13"/>
  <c r="FN42" i="13"/>
  <c r="DV42" i="13"/>
  <c r="CP42" i="13"/>
  <c r="BD42" i="13"/>
  <c r="W42" i="13"/>
  <c r="GZ42" i="13"/>
  <c r="FI42" i="13"/>
  <c r="DT42" i="13"/>
  <c r="CL42" i="13"/>
  <c r="BB42" i="13"/>
  <c r="Q42" i="13"/>
  <c r="GW42" i="13"/>
  <c r="FH42" i="13"/>
  <c r="DS42" i="13"/>
  <c r="CF42" i="13"/>
  <c r="BA42" i="13"/>
  <c r="P42" i="13"/>
  <c r="GR42" i="13"/>
  <c r="FF42" i="13"/>
  <c r="DR42" i="13"/>
  <c r="CE42" i="13"/>
  <c r="AZ42" i="13"/>
  <c r="O42" i="13"/>
  <c r="HZ42" i="13"/>
  <c r="HF42" i="13"/>
  <c r="ES42" i="13"/>
  <c r="CO42" i="13"/>
  <c r="AI42" i="13"/>
  <c r="HE42" i="13"/>
  <c r="ER42" i="13"/>
  <c r="CD42" i="13"/>
  <c r="AH42" i="13"/>
  <c r="HA42" i="13"/>
  <c r="EQ42" i="13"/>
  <c r="CC42" i="13"/>
  <c r="AG42" i="13"/>
  <c r="GQ42" i="13"/>
  <c r="EP42" i="13"/>
  <c r="CB42" i="13"/>
  <c r="AF42" i="13"/>
  <c r="GL42" i="13"/>
  <c r="EO42" i="13"/>
  <c r="CA42" i="13"/>
  <c r="AC42" i="13"/>
  <c r="GK42" i="13"/>
  <c r="EN42" i="13"/>
  <c r="BZ42" i="13"/>
  <c r="AB42" i="13"/>
  <c r="GI42" i="13"/>
  <c r="EK42" i="13"/>
  <c r="BY42" i="13"/>
  <c r="R42" i="13"/>
  <c r="GF42" i="13"/>
  <c r="DQ42" i="13"/>
  <c r="BS42" i="13"/>
  <c r="I42" i="13"/>
  <c r="FQ42" i="13"/>
  <c r="BW42" i="13"/>
  <c r="FM42" i="13"/>
  <c r="BR42" i="13"/>
  <c r="EW42" i="13"/>
  <c r="BH42" i="13"/>
  <c r="IA42" i="13"/>
  <c r="DU42" i="13"/>
  <c r="AW42" i="13"/>
  <c r="HT42" i="13"/>
  <c r="DP42" i="13"/>
  <c r="AV42" i="13"/>
  <c r="HJ42" i="13"/>
  <c r="DL42" i="13"/>
  <c r="N42" i="13"/>
  <c r="GH42" i="13"/>
  <c r="DC42" i="13"/>
  <c r="H42" i="13"/>
  <c r="GG42" i="13"/>
  <c r="DB42" i="13"/>
  <c r="G42" i="13"/>
  <c r="DO42" i="13"/>
  <c r="DN42" i="13"/>
  <c r="DM42" i="13"/>
  <c r="DI42" i="13"/>
  <c r="DA42" i="13"/>
  <c r="CZ42" i="13"/>
  <c r="CS42" i="13"/>
  <c r="HM42" i="13"/>
  <c r="BO42" i="13"/>
  <c r="HK42" i="13"/>
  <c r="BG42" i="13"/>
  <c r="FZ42" i="13"/>
  <c r="AK42" i="13"/>
  <c r="ET42" i="13"/>
  <c r="EJ42" i="13"/>
  <c r="CT42" i="13"/>
  <c r="BX42" i="13"/>
  <c r="AJ42" i="13"/>
  <c r="M42" i="13"/>
  <c r="HO42" i="13"/>
  <c r="GE42" i="13"/>
  <c r="FR42" i="13"/>
  <c r="FC42" i="13"/>
  <c r="EU42" i="13"/>
  <c r="BC42" i="13"/>
  <c r="F42" i="13"/>
  <c r="E42" i="13"/>
  <c r="HI42" i="13"/>
  <c r="AY42" i="13"/>
  <c r="AS42" i="13"/>
  <c r="D42" i="13"/>
  <c r="AX42" i="13"/>
  <c r="GD42" i="13"/>
  <c r="EV42" i="13"/>
  <c r="GC42" i="13"/>
  <c r="HM64" i="13"/>
  <c r="GQ64" i="13"/>
  <c r="FU64" i="13"/>
  <c r="EY64" i="13"/>
  <c r="EC64" i="13"/>
  <c r="DG64" i="13"/>
  <c r="CK64" i="13"/>
  <c r="BO64" i="13"/>
  <c r="AS64" i="13"/>
  <c r="W64" i="13"/>
  <c r="HL64" i="13"/>
  <c r="GP64" i="13"/>
  <c r="FT64" i="13"/>
  <c r="EX64" i="13"/>
  <c r="EB64" i="13"/>
  <c r="DF64" i="13"/>
  <c r="CJ64" i="13"/>
  <c r="BN64" i="13"/>
  <c r="AR64" i="13"/>
  <c r="V64" i="13"/>
  <c r="HJ64" i="13"/>
  <c r="GN64" i="13"/>
  <c r="FR64" i="13"/>
  <c r="EV64" i="13"/>
  <c r="DZ64" i="13"/>
  <c r="DD64" i="13"/>
  <c r="CH64" i="13"/>
  <c r="BL64" i="13"/>
  <c r="AP64" i="13"/>
  <c r="T64" i="13"/>
  <c r="HK64" i="13"/>
  <c r="GK64" i="13"/>
  <c r="FL64" i="13"/>
  <c r="EM64" i="13"/>
  <c r="DN64" i="13"/>
  <c r="CO64" i="13"/>
  <c r="BP64" i="13"/>
  <c r="AN64" i="13"/>
  <c r="O64" i="13"/>
  <c r="HI64" i="13"/>
  <c r="GJ64" i="13"/>
  <c r="FK64" i="13"/>
  <c r="EL64" i="13"/>
  <c r="DM64" i="13"/>
  <c r="CN64" i="13"/>
  <c r="BM64" i="13"/>
  <c r="AM64" i="13"/>
  <c r="N64" i="13"/>
  <c r="HG64" i="13"/>
  <c r="GH64" i="13"/>
  <c r="FI64" i="13"/>
  <c r="EJ64" i="13"/>
  <c r="DK64" i="13"/>
  <c r="CL64" i="13"/>
  <c r="BJ64" i="13"/>
  <c r="AK64" i="13"/>
  <c r="L64" i="13"/>
  <c r="HE64" i="13"/>
  <c r="GF64" i="13"/>
  <c r="FG64" i="13"/>
  <c r="EH64" i="13"/>
  <c r="DI64" i="13"/>
  <c r="CG64" i="13"/>
  <c r="BH64" i="13"/>
  <c r="AI64" i="13"/>
  <c r="J64" i="13"/>
  <c r="HD64" i="13"/>
  <c r="GE64" i="13"/>
  <c r="FF64" i="13"/>
  <c r="EG64" i="13"/>
  <c r="DH64" i="13"/>
  <c r="CF64" i="13"/>
  <c r="BG64" i="13"/>
  <c r="AH64" i="13"/>
  <c r="I64" i="13"/>
  <c r="HA64" i="13"/>
  <c r="FW64" i="13"/>
  <c r="EP64" i="13"/>
  <c r="DE64" i="13"/>
  <c r="BZ64" i="13"/>
  <c r="AV64" i="13"/>
  <c r="M64" i="13"/>
  <c r="GZ64" i="13"/>
  <c r="FV64" i="13"/>
  <c r="EO64" i="13"/>
  <c r="DC64" i="13"/>
  <c r="BY64" i="13"/>
  <c r="AU64" i="13"/>
  <c r="K64" i="13"/>
  <c r="GY64" i="13"/>
  <c r="FS64" i="13"/>
  <c r="EN64" i="13"/>
  <c r="DB64" i="13"/>
  <c r="BX64" i="13"/>
  <c r="AT64" i="13"/>
  <c r="H64" i="13"/>
  <c r="HZ64" i="13"/>
  <c r="GV64" i="13"/>
  <c r="FO64" i="13"/>
  <c r="EF64" i="13"/>
  <c r="CY64" i="13"/>
  <c r="BU64" i="13"/>
  <c r="AL64" i="13"/>
  <c r="E64" i="13"/>
  <c r="HT64" i="13"/>
  <c r="GD64" i="13"/>
  <c r="ES64" i="13"/>
  <c r="CZ64" i="13"/>
  <c r="BQ64" i="13"/>
  <c r="AA64" i="13"/>
  <c r="HS64" i="13"/>
  <c r="GC64" i="13"/>
  <c r="ER64" i="13"/>
  <c r="CX64" i="13"/>
  <c r="BK64" i="13"/>
  <c r="Z64" i="13"/>
  <c r="HR64" i="13"/>
  <c r="GB64" i="13"/>
  <c r="EQ64" i="13"/>
  <c r="CW64" i="13"/>
  <c r="BI64" i="13"/>
  <c r="Y64" i="13"/>
  <c r="HQ64" i="13"/>
  <c r="GA64" i="13"/>
  <c r="EK64" i="13"/>
  <c r="CV64" i="13"/>
  <c r="BF64" i="13"/>
  <c r="X64" i="13"/>
  <c r="HO64" i="13"/>
  <c r="FY64" i="13"/>
  <c r="EE64" i="13"/>
  <c r="CT64" i="13"/>
  <c r="BD64" i="13"/>
  <c r="S64" i="13"/>
  <c r="GS64" i="13"/>
  <c r="EU64" i="13"/>
  <c r="CQ64" i="13"/>
  <c r="AQ64" i="13"/>
  <c r="GR64" i="13"/>
  <c r="ET64" i="13"/>
  <c r="CP64" i="13"/>
  <c r="AO64" i="13"/>
  <c r="GO64" i="13"/>
  <c r="EI64" i="13"/>
  <c r="CM64" i="13"/>
  <c r="AJ64" i="13"/>
  <c r="GM64" i="13"/>
  <c r="ED64" i="13"/>
  <c r="CI64" i="13"/>
  <c r="AG64" i="13"/>
  <c r="GI64" i="13"/>
  <c r="DY64" i="13"/>
  <c r="CD64" i="13"/>
  <c r="AE64" i="13"/>
  <c r="FZ64" i="13"/>
  <c r="DR64" i="13"/>
  <c r="BA64" i="13"/>
  <c r="FX64" i="13"/>
  <c r="DQ64" i="13"/>
  <c r="AZ64" i="13"/>
  <c r="FQ64" i="13"/>
  <c r="DP64" i="13"/>
  <c r="AY64" i="13"/>
  <c r="FP64" i="13"/>
  <c r="DO64" i="13"/>
  <c r="AX64" i="13"/>
  <c r="HW64" i="13"/>
  <c r="FH64" i="13"/>
  <c r="CU64" i="13"/>
  <c r="AC64" i="13"/>
  <c r="HU64" i="13"/>
  <c r="EW64" i="13"/>
  <c r="BE64" i="13"/>
  <c r="HH64" i="13"/>
  <c r="DW64" i="13"/>
  <c r="AW64" i="13"/>
  <c r="HF64" i="13"/>
  <c r="DV64" i="13"/>
  <c r="AF64" i="13"/>
  <c r="HC64" i="13"/>
  <c r="DU64" i="13"/>
  <c r="AD64" i="13"/>
  <c r="GX64" i="13"/>
  <c r="CS64" i="13"/>
  <c r="GW64" i="13"/>
  <c r="CR64" i="13"/>
  <c r="GU64" i="13"/>
  <c r="CE64" i="13"/>
  <c r="GT64" i="13"/>
  <c r="CC64" i="13"/>
  <c r="GL64" i="13"/>
  <c r="CB64" i="13"/>
  <c r="GG64" i="13"/>
  <c r="CA64" i="13"/>
  <c r="FM64" i="13"/>
  <c r="BV64" i="13"/>
  <c r="FB64" i="13"/>
  <c r="F64" i="13"/>
  <c r="FA64" i="13"/>
  <c r="D64" i="13"/>
  <c r="EA64" i="13"/>
  <c r="DX64" i="13"/>
  <c r="DT64" i="13"/>
  <c r="DS64" i="13"/>
  <c r="DJ64" i="13"/>
  <c r="FD64" i="13"/>
  <c r="FC64" i="13"/>
  <c r="EZ64" i="13"/>
  <c r="BW64" i="13"/>
  <c r="BR64" i="13"/>
  <c r="HY64" i="13"/>
  <c r="R64" i="13"/>
  <c r="IA64" i="13"/>
  <c r="HP64" i="13"/>
  <c r="HN64" i="13"/>
  <c r="HB64" i="13"/>
  <c r="FJ64" i="13"/>
  <c r="FE64" i="13"/>
  <c r="DL64" i="13"/>
  <c r="BB64" i="13"/>
  <c r="AB64" i="13"/>
  <c r="U64" i="13"/>
  <c r="Q64" i="13"/>
  <c r="P64" i="13"/>
  <c r="G64" i="13"/>
  <c r="HV64" i="13"/>
  <c r="HX64" i="13"/>
  <c r="FN64" i="13"/>
  <c r="BC64" i="13"/>
  <c r="BT64" i="13"/>
  <c r="DA64" i="13"/>
  <c r="BS64" i="13"/>
  <c r="BU68" i="4"/>
  <c r="L75" i="7" s="1"/>
  <c r="HC68" i="4"/>
  <c r="EI69" i="4"/>
  <c r="M141" i="7" s="1"/>
  <c r="DR68" i="4"/>
  <c r="L124" i="7" s="1"/>
  <c r="AL69" i="4"/>
  <c r="M40" i="7" s="1"/>
  <c r="GE69" i="4"/>
  <c r="M189" i="7" s="1"/>
  <c r="HM68" i="4"/>
  <c r="AG64" i="7"/>
  <c r="EU69" i="4"/>
  <c r="M153" i="7" s="1"/>
  <c r="FT68" i="4"/>
  <c r="FM25" i="13"/>
  <c r="L46" i="7"/>
  <c r="AR70" i="4"/>
  <c r="S64" i="7"/>
  <c r="P64" i="7"/>
  <c r="HN46" i="13"/>
  <c r="GR46" i="13"/>
  <c r="FV46" i="13"/>
  <c r="EZ46" i="13"/>
  <c r="ED46" i="13"/>
  <c r="DH46" i="13"/>
  <c r="CL46" i="13"/>
  <c r="BP46" i="13"/>
  <c r="AT46" i="13"/>
  <c r="HM46" i="13"/>
  <c r="GQ46" i="13"/>
  <c r="FU46" i="13"/>
  <c r="EY46" i="13"/>
  <c r="EC46" i="13"/>
  <c r="DG46" i="13"/>
  <c r="CK46" i="13"/>
  <c r="BO46" i="13"/>
  <c r="AS46" i="13"/>
  <c r="HL46" i="13"/>
  <c r="GN46" i="13"/>
  <c r="FP46" i="13"/>
  <c r="ER46" i="13"/>
  <c r="DT46" i="13"/>
  <c r="CV46" i="13"/>
  <c r="BX46" i="13"/>
  <c r="AZ46" i="13"/>
  <c r="AB46" i="13"/>
  <c r="F46" i="13"/>
  <c r="HK46" i="13"/>
  <c r="GM46" i="13"/>
  <c r="FO46" i="13"/>
  <c r="EQ46" i="13"/>
  <c r="DS46" i="13"/>
  <c r="CU46" i="13"/>
  <c r="BW46" i="13"/>
  <c r="AY46" i="13"/>
  <c r="AA46" i="13"/>
  <c r="E46" i="13"/>
  <c r="HJ46" i="13"/>
  <c r="GL46" i="13"/>
  <c r="FN46" i="13"/>
  <c r="EP46" i="13"/>
  <c r="DR46" i="13"/>
  <c r="CT46" i="13"/>
  <c r="BV46" i="13"/>
  <c r="AX46" i="13"/>
  <c r="Z46" i="13"/>
  <c r="D46" i="13"/>
  <c r="HX46" i="13"/>
  <c r="GW46" i="13"/>
  <c r="FT46" i="13"/>
  <c r="ES46" i="13"/>
  <c r="DO46" i="13"/>
  <c r="CN46" i="13"/>
  <c r="BK46" i="13"/>
  <c r="HG46" i="13"/>
  <c r="GE46" i="13"/>
  <c r="FC46" i="13"/>
  <c r="DY46" i="13"/>
  <c r="CW46" i="13"/>
  <c r="BR46" i="13"/>
  <c r="AN46" i="13"/>
  <c r="O46" i="13"/>
  <c r="HF46" i="13"/>
  <c r="GD46" i="13"/>
  <c r="FB46" i="13"/>
  <c r="DX46" i="13"/>
  <c r="CS46" i="13"/>
  <c r="BQ46" i="13"/>
  <c r="AM46" i="13"/>
  <c r="N46" i="13"/>
  <c r="HD46" i="13"/>
  <c r="GB46" i="13"/>
  <c r="EX46" i="13"/>
  <c r="DV46" i="13"/>
  <c r="CQ46" i="13"/>
  <c r="BM46" i="13"/>
  <c r="AK46" i="13"/>
  <c r="L46" i="13"/>
  <c r="HC46" i="13"/>
  <c r="GA46" i="13"/>
  <c r="EW46" i="13"/>
  <c r="DU46" i="13"/>
  <c r="CP46" i="13"/>
  <c r="BL46" i="13"/>
  <c r="AJ46" i="13"/>
  <c r="K46" i="13"/>
  <c r="HB46" i="13"/>
  <c r="FZ46" i="13"/>
  <c r="EV46" i="13"/>
  <c r="DQ46" i="13"/>
  <c r="CO46" i="13"/>
  <c r="BJ46" i="13"/>
  <c r="AI46" i="13"/>
  <c r="J46" i="13"/>
  <c r="HA46" i="13"/>
  <c r="FY46" i="13"/>
  <c r="EU46" i="13"/>
  <c r="DP46" i="13"/>
  <c r="CM46" i="13"/>
  <c r="BI46" i="13"/>
  <c r="AH46" i="13"/>
  <c r="I46" i="13"/>
  <c r="IA46" i="13"/>
  <c r="GY46" i="13"/>
  <c r="FW46" i="13"/>
  <c r="EO46" i="13"/>
  <c r="DM46" i="13"/>
  <c r="CI46" i="13"/>
  <c r="BG46" i="13"/>
  <c r="AF46" i="13"/>
  <c r="G46" i="13"/>
  <c r="HH46" i="13"/>
  <c r="FL46" i="13"/>
  <c r="EA46" i="13"/>
  <c r="CE46" i="13"/>
  <c r="AQ46" i="13"/>
  <c r="HE46" i="13"/>
  <c r="FK46" i="13"/>
  <c r="DZ46" i="13"/>
  <c r="CD46" i="13"/>
  <c r="AP46" i="13"/>
  <c r="GZ46" i="13"/>
  <c r="FJ46" i="13"/>
  <c r="DW46" i="13"/>
  <c r="CC46" i="13"/>
  <c r="AO46" i="13"/>
  <c r="GU46" i="13"/>
  <c r="FG46" i="13"/>
  <c r="DK46" i="13"/>
  <c r="BZ46" i="13"/>
  <c r="AE46" i="13"/>
  <c r="HS46" i="13"/>
  <c r="FQ46" i="13"/>
  <c r="DJ46" i="13"/>
  <c r="BN46" i="13"/>
  <c r="S46" i="13"/>
  <c r="HR46" i="13"/>
  <c r="FM46" i="13"/>
  <c r="DI46" i="13"/>
  <c r="BH46" i="13"/>
  <c r="R46" i="13"/>
  <c r="HO46" i="13"/>
  <c r="FF46" i="13"/>
  <c r="DD46" i="13"/>
  <c r="BD46" i="13"/>
  <c r="M46" i="13"/>
  <c r="HI46" i="13"/>
  <c r="FE46" i="13"/>
  <c r="DC46" i="13"/>
  <c r="BC46" i="13"/>
  <c r="H46" i="13"/>
  <c r="GX46" i="13"/>
  <c r="FD46" i="13"/>
  <c r="DB46" i="13"/>
  <c r="BB46" i="13"/>
  <c r="GT46" i="13"/>
  <c r="ET46" i="13"/>
  <c r="CZ46" i="13"/>
  <c r="AW46" i="13"/>
  <c r="GS46" i="13"/>
  <c r="EN46" i="13"/>
  <c r="CY46" i="13"/>
  <c r="AV46" i="13"/>
  <c r="GP46" i="13"/>
  <c r="EM46" i="13"/>
  <c r="CX46" i="13"/>
  <c r="AU46" i="13"/>
  <c r="GH46" i="13"/>
  <c r="EH46" i="13"/>
  <c r="CF46" i="13"/>
  <c r="AC46" i="13"/>
  <c r="FS46" i="13"/>
  <c r="CB46" i="13"/>
  <c r="FR46" i="13"/>
  <c r="CA46" i="13"/>
  <c r="FI46" i="13"/>
  <c r="BY46" i="13"/>
  <c r="FH46" i="13"/>
  <c r="BU46" i="13"/>
  <c r="FA46" i="13"/>
  <c r="BT46" i="13"/>
  <c r="HZ46" i="13"/>
  <c r="EL46" i="13"/>
  <c r="BS46" i="13"/>
  <c r="HY46" i="13"/>
  <c r="EK46" i="13"/>
  <c r="BF46" i="13"/>
  <c r="HU46" i="13"/>
  <c r="EG46" i="13"/>
  <c r="AR46" i="13"/>
  <c r="GJ46" i="13"/>
  <c r="DE46" i="13"/>
  <c r="V46" i="13"/>
  <c r="GV46" i="13"/>
  <c r="BA46" i="13"/>
  <c r="GO46" i="13"/>
  <c r="AL46" i="13"/>
  <c r="GI46" i="13"/>
  <c r="AD46" i="13"/>
  <c r="EJ46" i="13"/>
  <c r="T46" i="13"/>
  <c r="EI46" i="13"/>
  <c r="Q46" i="13"/>
  <c r="DN46" i="13"/>
  <c r="DF46" i="13"/>
  <c r="DA46" i="13"/>
  <c r="DL46" i="13"/>
  <c r="CR46" i="13"/>
  <c r="CJ46" i="13"/>
  <c r="CH46" i="13"/>
  <c r="CG46" i="13"/>
  <c r="BE46" i="13"/>
  <c r="Y46" i="13"/>
  <c r="HW46" i="13"/>
  <c r="W46" i="13"/>
  <c r="HV46" i="13"/>
  <c r="U46" i="13"/>
  <c r="GG46" i="13"/>
  <c r="GK46" i="13"/>
  <c r="GF46" i="13"/>
  <c r="GC46" i="13"/>
  <c r="FX46" i="13"/>
  <c r="X46" i="13"/>
  <c r="P46" i="13"/>
  <c r="HQ46" i="13"/>
  <c r="HP46" i="13"/>
  <c r="AG46" i="13"/>
  <c r="EE46" i="13"/>
  <c r="EB46" i="13"/>
  <c r="HT46" i="13"/>
  <c r="EF46" i="13"/>
  <c r="K68" i="4"/>
  <c r="K70" i="4" s="1"/>
  <c r="EP68" i="4"/>
  <c r="EP70" i="4" s="1"/>
  <c r="GN68" i="4"/>
  <c r="GN70" i="4" s="1"/>
  <c r="BL69" i="4"/>
  <c r="M66" i="7" s="1"/>
  <c r="FD69" i="4"/>
  <c r="M162" i="7" s="1"/>
  <c r="AF8" i="7"/>
  <c r="AL8" i="7"/>
  <c r="AH8" i="7"/>
  <c r="AK8" i="7"/>
  <c r="AJ8" i="7"/>
  <c r="AI8" i="7"/>
  <c r="AG8" i="7"/>
  <c r="HM61" i="13"/>
  <c r="GQ61" i="13"/>
  <c r="FU61" i="13"/>
  <c r="HK61" i="13"/>
  <c r="GO61" i="13"/>
  <c r="FS61" i="13"/>
  <c r="EW61" i="13"/>
  <c r="EA61" i="13"/>
  <c r="DE61" i="13"/>
  <c r="CI61" i="13"/>
  <c r="BM61" i="13"/>
  <c r="AQ61" i="13"/>
  <c r="U61" i="13"/>
  <c r="HG61" i="13"/>
  <c r="GI61" i="13"/>
  <c r="FK61" i="13"/>
  <c r="EN61" i="13"/>
  <c r="DQ61" i="13"/>
  <c r="CT61" i="13"/>
  <c r="BW61" i="13"/>
  <c r="AZ61" i="13"/>
  <c r="AC61" i="13"/>
  <c r="F61" i="13"/>
  <c r="HF61" i="13"/>
  <c r="GH61" i="13"/>
  <c r="FJ61" i="13"/>
  <c r="EM61" i="13"/>
  <c r="DP61" i="13"/>
  <c r="CS61" i="13"/>
  <c r="BV61" i="13"/>
  <c r="HD61" i="13"/>
  <c r="GF61" i="13"/>
  <c r="FH61" i="13"/>
  <c r="EK61" i="13"/>
  <c r="DN61" i="13"/>
  <c r="CQ61" i="13"/>
  <c r="BT61" i="13"/>
  <c r="AW61" i="13"/>
  <c r="Z61" i="13"/>
  <c r="HZ61" i="13"/>
  <c r="HB61" i="13"/>
  <c r="GD61" i="13"/>
  <c r="FF61" i="13"/>
  <c r="EI61" i="13"/>
  <c r="DL61" i="13"/>
  <c r="CO61" i="13"/>
  <c r="BR61" i="13"/>
  <c r="AU61" i="13"/>
  <c r="X61" i="13"/>
  <c r="HY61" i="13"/>
  <c r="HA61" i="13"/>
  <c r="GC61" i="13"/>
  <c r="FE61" i="13"/>
  <c r="EH61" i="13"/>
  <c r="DK61" i="13"/>
  <c r="CN61" i="13"/>
  <c r="BQ61" i="13"/>
  <c r="AT61" i="13"/>
  <c r="W61" i="13"/>
  <c r="HT61" i="13"/>
  <c r="GP61" i="13"/>
  <c r="FL61" i="13"/>
  <c r="EE61" i="13"/>
  <c r="DB61" i="13"/>
  <c r="BZ61" i="13"/>
  <c r="AV61" i="13"/>
  <c r="R61" i="13"/>
  <c r="HS61" i="13"/>
  <c r="GN61" i="13"/>
  <c r="FI61" i="13"/>
  <c r="ED61" i="13"/>
  <c r="DA61" i="13"/>
  <c r="BY61" i="13"/>
  <c r="AS61" i="13"/>
  <c r="Q61" i="13"/>
  <c r="HR61" i="13"/>
  <c r="GM61" i="13"/>
  <c r="FG61" i="13"/>
  <c r="EC61" i="13"/>
  <c r="CZ61" i="13"/>
  <c r="BX61" i="13"/>
  <c r="AR61" i="13"/>
  <c r="P61" i="13"/>
  <c r="HI61" i="13"/>
  <c r="FX61" i="13"/>
  <c r="EQ61" i="13"/>
  <c r="DG61" i="13"/>
  <c r="CA61" i="13"/>
  <c r="AN61" i="13"/>
  <c r="J61" i="13"/>
  <c r="HH61" i="13"/>
  <c r="FW61" i="13"/>
  <c r="EP61" i="13"/>
  <c r="DF61" i="13"/>
  <c r="BU61" i="13"/>
  <c r="AM61" i="13"/>
  <c r="I61" i="13"/>
  <c r="HE61" i="13"/>
  <c r="FV61" i="13"/>
  <c r="EO61" i="13"/>
  <c r="DD61" i="13"/>
  <c r="BS61" i="13"/>
  <c r="AL61" i="13"/>
  <c r="H61" i="13"/>
  <c r="HC61" i="13"/>
  <c r="FT61" i="13"/>
  <c r="EL61" i="13"/>
  <c r="DC61" i="13"/>
  <c r="BP61" i="13"/>
  <c r="AK61" i="13"/>
  <c r="G61" i="13"/>
  <c r="GY61" i="13"/>
  <c r="FQ61" i="13"/>
  <c r="EG61" i="13"/>
  <c r="CX61" i="13"/>
  <c r="BN61" i="13"/>
  <c r="AI61" i="13"/>
  <c r="D61" i="13"/>
  <c r="HX61" i="13"/>
  <c r="GE61" i="13"/>
  <c r="EJ61" i="13"/>
  <c r="CP61" i="13"/>
  <c r="BC61" i="13"/>
  <c r="L61" i="13"/>
  <c r="HW61" i="13"/>
  <c r="GB61" i="13"/>
  <c r="EF61" i="13"/>
  <c r="CM61" i="13"/>
  <c r="BB61" i="13"/>
  <c r="K61" i="13"/>
  <c r="HV61" i="13"/>
  <c r="GA61" i="13"/>
  <c r="EB61" i="13"/>
  <c r="CL61" i="13"/>
  <c r="BA61" i="13"/>
  <c r="E61" i="13"/>
  <c r="HU61" i="13"/>
  <c r="FZ61" i="13"/>
  <c r="DZ61" i="13"/>
  <c r="CK61" i="13"/>
  <c r="AY61" i="13"/>
  <c r="HP61" i="13"/>
  <c r="FR61" i="13"/>
  <c r="DX61" i="13"/>
  <c r="CH61" i="13"/>
  <c r="AP61" i="13"/>
  <c r="HQ61" i="13"/>
  <c r="FD61" i="13"/>
  <c r="DI61" i="13"/>
  <c r="BE61" i="13"/>
  <c r="HO61" i="13"/>
  <c r="FC61" i="13"/>
  <c r="DH61" i="13"/>
  <c r="BD61" i="13"/>
  <c r="HN61" i="13"/>
  <c r="FB61" i="13"/>
  <c r="CY61" i="13"/>
  <c r="AX61" i="13"/>
  <c r="HL61" i="13"/>
  <c r="FA61" i="13"/>
  <c r="CW61" i="13"/>
  <c r="AO61" i="13"/>
  <c r="GW61" i="13"/>
  <c r="EV61" i="13"/>
  <c r="CJ61" i="13"/>
  <c r="AF61" i="13"/>
  <c r="FO61" i="13"/>
  <c r="CR61" i="13"/>
  <c r="Y61" i="13"/>
  <c r="EZ61" i="13"/>
  <c r="CE61" i="13"/>
  <c r="S61" i="13"/>
  <c r="EY61" i="13"/>
  <c r="CD61" i="13"/>
  <c r="O61" i="13"/>
  <c r="EX61" i="13"/>
  <c r="CC61" i="13"/>
  <c r="N61" i="13"/>
  <c r="GR61" i="13"/>
  <c r="DJ61" i="13"/>
  <c r="T61" i="13"/>
  <c r="GL61" i="13"/>
  <c r="CV61" i="13"/>
  <c r="M61" i="13"/>
  <c r="GK61" i="13"/>
  <c r="CU61" i="13"/>
  <c r="GJ61" i="13"/>
  <c r="CG61" i="13"/>
  <c r="GG61" i="13"/>
  <c r="CF61" i="13"/>
  <c r="FY61" i="13"/>
  <c r="CB61" i="13"/>
  <c r="FN61" i="13"/>
  <c r="BL61" i="13"/>
  <c r="DU61" i="13"/>
  <c r="DT61" i="13"/>
  <c r="DR61" i="13"/>
  <c r="DO61" i="13"/>
  <c r="IA61" i="13"/>
  <c r="DM61" i="13"/>
  <c r="HJ61" i="13"/>
  <c r="BO61" i="13"/>
  <c r="GX61" i="13"/>
  <c r="BJ61" i="13"/>
  <c r="GU61" i="13"/>
  <c r="AD61" i="13"/>
  <c r="GT61" i="13"/>
  <c r="AB61" i="13"/>
  <c r="GS61" i="13"/>
  <c r="AA61" i="13"/>
  <c r="EU61" i="13"/>
  <c r="ER61" i="13"/>
  <c r="DV61" i="13"/>
  <c r="DS61" i="13"/>
  <c r="BH61" i="13"/>
  <c r="BG61" i="13"/>
  <c r="BF61" i="13"/>
  <c r="AH61" i="13"/>
  <c r="AG61" i="13"/>
  <c r="AE61" i="13"/>
  <c r="GV61" i="13"/>
  <c r="GZ61" i="13"/>
  <c r="FP61" i="13"/>
  <c r="FM61" i="13"/>
  <c r="ET61" i="13"/>
  <c r="DW61" i="13"/>
  <c r="DY61" i="13"/>
  <c r="BK61" i="13"/>
  <c r="V61" i="13"/>
  <c r="BI61" i="13"/>
  <c r="ES61" i="13"/>
  <c r="AJ61" i="13"/>
  <c r="EQ68" i="4"/>
  <c r="DN69" i="4"/>
  <c r="AN15" i="7"/>
  <c r="AN172" i="7"/>
  <c r="HJ10" i="13"/>
  <c r="GN10" i="13"/>
  <c r="FR10" i="13"/>
  <c r="EV10" i="13"/>
  <c r="DZ10" i="13"/>
  <c r="DD10" i="13"/>
  <c r="CH10" i="13"/>
  <c r="BL10" i="13"/>
  <c r="AP10" i="13"/>
  <c r="T10" i="13"/>
  <c r="HI10" i="13"/>
  <c r="GM10" i="13"/>
  <c r="FQ10" i="13"/>
  <c r="EU10" i="13"/>
  <c r="DY10" i="13"/>
  <c r="DC10" i="13"/>
  <c r="CG10" i="13"/>
  <c r="BK10" i="13"/>
  <c r="AO10" i="13"/>
  <c r="S10" i="13"/>
  <c r="HX10" i="13"/>
  <c r="HB10" i="13"/>
  <c r="GF10" i="13"/>
  <c r="FJ10" i="13"/>
  <c r="EN10" i="13"/>
  <c r="DR10" i="13"/>
  <c r="CV10" i="13"/>
  <c r="BZ10" i="13"/>
  <c r="BD10" i="13"/>
  <c r="AH10" i="13"/>
  <c r="L10" i="13"/>
  <c r="HW10" i="13"/>
  <c r="HA10" i="13"/>
  <c r="GE10" i="13"/>
  <c r="FI10" i="13"/>
  <c r="EM10" i="13"/>
  <c r="DQ10" i="13"/>
  <c r="CU10" i="13"/>
  <c r="BY10" i="13"/>
  <c r="BC10" i="13"/>
  <c r="AG10" i="13"/>
  <c r="K10" i="13"/>
  <c r="HS10" i="13"/>
  <c r="GW10" i="13"/>
  <c r="GA10" i="13"/>
  <c r="FE10" i="13"/>
  <c r="EI10" i="13"/>
  <c r="DM10" i="13"/>
  <c r="CQ10" i="13"/>
  <c r="GZ10" i="13"/>
  <c r="FX10" i="13"/>
  <c r="EW10" i="13"/>
  <c r="DT10" i="13"/>
  <c r="CP10" i="13"/>
  <c r="BP10" i="13"/>
  <c r="AN10" i="13"/>
  <c r="N10" i="13"/>
  <c r="GY10" i="13"/>
  <c r="FW10" i="13"/>
  <c r="ET10" i="13"/>
  <c r="DS10" i="13"/>
  <c r="CO10" i="13"/>
  <c r="BO10" i="13"/>
  <c r="AM10" i="13"/>
  <c r="M10" i="13"/>
  <c r="IA10" i="13"/>
  <c r="GX10" i="13"/>
  <c r="FV10" i="13"/>
  <c r="ES10" i="13"/>
  <c r="DP10" i="13"/>
  <c r="CN10" i="13"/>
  <c r="BN10" i="13"/>
  <c r="AL10" i="13"/>
  <c r="J10" i="13"/>
  <c r="HY10" i="13"/>
  <c r="GU10" i="13"/>
  <c r="FT10" i="13"/>
  <c r="EQ10" i="13"/>
  <c r="DN10" i="13"/>
  <c r="CL10" i="13"/>
  <c r="BJ10" i="13"/>
  <c r="AJ10" i="13"/>
  <c r="H10" i="13"/>
  <c r="HV10" i="13"/>
  <c r="GT10" i="13"/>
  <c r="FS10" i="13"/>
  <c r="EP10" i="13"/>
  <c r="DL10" i="13"/>
  <c r="CK10" i="13"/>
  <c r="BI10" i="13"/>
  <c r="AI10" i="13"/>
  <c r="G10" i="13"/>
  <c r="HR10" i="13"/>
  <c r="GQ10" i="13"/>
  <c r="FN10" i="13"/>
  <c r="EK10" i="13"/>
  <c r="DI10" i="13"/>
  <c r="CF10" i="13"/>
  <c r="BF10" i="13"/>
  <c r="AD10" i="13"/>
  <c r="D10" i="13"/>
  <c r="HH10" i="13"/>
  <c r="GG10" i="13"/>
  <c r="FC10" i="13"/>
  <c r="EB10" i="13"/>
  <c r="CY10" i="13"/>
  <c r="BV10" i="13"/>
  <c r="AV10" i="13"/>
  <c r="V10" i="13"/>
  <c r="HM10" i="13"/>
  <c r="FY10" i="13"/>
  <c r="EF10" i="13"/>
  <c r="CS10" i="13"/>
  <c r="BA10" i="13"/>
  <c r="Q10" i="13"/>
  <c r="HL10" i="13"/>
  <c r="FU10" i="13"/>
  <c r="EE10" i="13"/>
  <c r="CR10" i="13"/>
  <c r="AZ10" i="13"/>
  <c r="P10" i="13"/>
  <c r="HG10" i="13"/>
  <c r="FO10" i="13"/>
  <c r="EC10" i="13"/>
  <c r="CJ10" i="13"/>
  <c r="AX10" i="13"/>
  <c r="I10" i="13"/>
  <c r="HF10" i="13"/>
  <c r="FM10" i="13"/>
  <c r="EA10" i="13"/>
  <c r="CI10" i="13"/>
  <c r="AW10" i="13"/>
  <c r="F10" i="13"/>
  <c r="HE10" i="13"/>
  <c r="FL10" i="13"/>
  <c r="DX10" i="13"/>
  <c r="CE10" i="13"/>
  <c r="AU10" i="13"/>
  <c r="E10" i="13"/>
  <c r="GV10" i="13"/>
  <c r="FG10" i="13"/>
  <c r="DU10" i="13"/>
  <c r="CB10" i="13"/>
  <c r="AR10" i="13"/>
  <c r="GP10" i="13"/>
  <c r="EO10" i="13"/>
  <c r="CD10" i="13"/>
  <c r="AC10" i="13"/>
  <c r="GO10" i="13"/>
  <c r="EL10" i="13"/>
  <c r="CC10" i="13"/>
  <c r="AB10" i="13"/>
  <c r="GL10" i="13"/>
  <c r="EJ10" i="13"/>
  <c r="CA10" i="13"/>
  <c r="AA10" i="13"/>
  <c r="GJ10" i="13"/>
  <c r="EG10" i="13"/>
  <c r="BW10" i="13"/>
  <c r="Y10" i="13"/>
  <c r="GI10" i="13"/>
  <c r="ED10" i="13"/>
  <c r="BU10" i="13"/>
  <c r="X10" i="13"/>
  <c r="GC10" i="13"/>
  <c r="DO10" i="13"/>
  <c r="BR10" i="13"/>
  <c r="R10" i="13"/>
  <c r="FF10" i="13"/>
  <c r="CT10" i="13"/>
  <c r="FD10" i="13"/>
  <c r="CM10" i="13"/>
  <c r="HZ10" i="13"/>
  <c r="FB10" i="13"/>
  <c r="BX10" i="13"/>
  <c r="HU10" i="13"/>
  <c r="FA10" i="13"/>
  <c r="BT10" i="13"/>
  <c r="HT10" i="13"/>
  <c r="EZ10" i="13"/>
  <c r="BS10" i="13"/>
  <c r="HQ10" i="13"/>
  <c r="EY10" i="13"/>
  <c r="BQ10" i="13"/>
  <c r="HN10" i="13"/>
  <c r="EH10" i="13"/>
  <c r="BG10" i="13"/>
  <c r="HK10" i="13"/>
  <c r="DW10" i="13"/>
  <c r="BE10" i="13"/>
  <c r="DF10" i="13"/>
  <c r="HP10" i="13"/>
  <c r="DE10" i="13"/>
  <c r="HD10" i="13"/>
  <c r="DA10" i="13"/>
  <c r="HC10" i="13"/>
  <c r="CZ10" i="13"/>
  <c r="GS10" i="13"/>
  <c r="CX10" i="13"/>
  <c r="GH10" i="13"/>
  <c r="BH10" i="13"/>
  <c r="EX10" i="13"/>
  <c r="AF10" i="13"/>
  <c r="DH10" i="13"/>
  <c r="DG10" i="13"/>
  <c r="CW10" i="13"/>
  <c r="BM10" i="13"/>
  <c r="BB10" i="13"/>
  <c r="AT10" i="13"/>
  <c r="AS10" i="13"/>
  <c r="O10" i="13"/>
  <c r="HO10" i="13"/>
  <c r="GR10" i="13"/>
  <c r="GK10" i="13"/>
  <c r="GD10" i="13"/>
  <c r="GB10" i="13"/>
  <c r="FZ10" i="13"/>
  <c r="FP10" i="13"/>
  <c r="DK10" i="13"/>
  <c r="DJ10" i="13"/>
  <c r="DB10" i="13"/>
  <c r="AY10" i="13"/>
  <c r="AQ10" i="13"/>
  <c r="W10" i="13"/>
  <c r="FK10" i="13"/>
  <c r="FH10" i="13"/>
  <c r="ER10" i="13"/>
  <c r="DV10" i="13"/>
  <c r="AK10" i="13"/>
  <c r="AE10" i="13"/>
  <c r="Z10" i="13"/>
  <c r="U10" i="13"/>
  <c r="HS32" i="13"/>
  <c r="GW32" i="13"/>
  <c r="GA32" i="13"/>
  <c r="FE32" i="13"/>
  <c r="EI32" i="13"/>
  <c r="DM32" i="13"/>
  <c r="CQ32" i="13"/>
  <c r="BU32" i="13"/>
  <c r="AY32" i="13"/>
  <c r="AC32" i="13"/>
  <c r="G32" i="13"/>
  <c r="HK32" i="13"/>
  <c r="GN32" i="13"/>
  <c r="FQ32" i="13"/>
  <c r="ET32" i="13"/>
  <c r="DW32" i="13"/>
  <c r="CZ32" i="13"/>
  <c r="CC32" i="13"/>
  <c r="BF32" i="13"/>
  <c r="AI32" i="13"/>
  <c r="L32" i="13"/>
  <c r="HJ32" i="13"/>
  <c r="GM32" i="13"/>
  <c r="FP32" i="13"/>
  <c r="ES32" i="13"/>
  <c r="DV32" i="13"/>
  <c r="CY32" i="13"/>
  <c r="CB32" i="13"/>
  <c r="BE32" i="13"/>
  <c r="AH32" i="13"/>
  <c r="K32" i="13"/>
  <c r="HH32" i="13"/>
  <c r="GK32" i="13"/>
  <c r="FN32" i="13"/>
  <c r="EQ32" i="13"/>
  <c r="DT32" i="13"/>
  <c r="CW32" i="13"/>
  <c r="BZ32" i="13"/>
  <c r="BC32" i="13"/>
  <c r="AF32" i="13"/>
  <c r="I32" i="13"/>
  <c r="HZ32" i="13"/>
  <c r="HC32" i="13"/>
  <c r="GF32" i="13"/>
  <c r="FI32" i="13"/>
  <c r="EL32" i="13"/>
  <c r="DO32" i="13"/>
  <c r="CR32" i="13"/>
  <c r="BT32" i="13"/>
  <c r="AW32" i="13"/>
  <c r="Z32" i="13"/>
  <c r="HY32" i="13"/>
  <c r="HB32" i="13"/>
  <c r="GE32" i="13"/>
  <c r="FH32" i="13"/>
  <c r="EK32" i="13"/>
  <c r="DN32" i="13"/>
  <c r="CP32" i="13"/>
  <c r="BS32" i="13"/>
  <c r="AV32" i="13"/>
  <c r="Y32" i="13"/>
  <c r="HU32" i="13"/>
  <c r="GX32" i="13"/>
  <c r="FZ32" i="13"/>
  <c r="FC32" i="13"/>
  <c r="EF32" i="13"/>
  <c r="DI32" i="13"/>
  <c r="CL32" i="13"/>
  <c r="BO32" i="13"/>
  <c r="AR32" i="13"/>
  <c r="U32" i="13"/>
  <c r="IA32" i="13"/>
  <c r="GT32" i="13"/>
  <c r="FO32" i="13"/>
  <c r="EH32" i="13"/>
  <c r="DD32" i="13"/>
  <c r="BX32" i="13"/>
  <c r="AQ32" i="13"/>
  <c r="N32" i="13"/>
  <c r="HX32" i="13"/>
  <c r="GS32" i="13"/>
  <c r="FM32" i="13"/>
  <c r="EG32" i="13"/>
  <c r="DC32" i="13"/>
  <c r="BW32" i="13"/>
  <c r="AP32" i="13"/>
  <c r="M32" i="13"/>
  <c r="HV32" i="13"/>
  <c r="GQ32" i="13"/>
  <c r="FK32" i="13"/>
  <c r="ED32" i="13"/>
  <c r="DA32" i="13"/>
  <c r="BR32" i="13"/>
  <c r="AN32" i="13"/>
  <c r="H32" i="13"/>
  <c r="HT32" i="13"/>
  <c r="GP32" i="13"/>
  <c r="FJ32" i="13"/>
  <c r="EC32" i="13"/>
  <c r="CX32" i="13"/>
  <c r="BQ32" i="13"/>
  <c r="AM32" i="13"/>
  <c r="F32" i="13"/>
  <c r="HR32" i="13"/>
  <c r="GO32" i="13"/>
  <c r="FG32" i="13"/>
  <c r="EB32" i="13"/>
  <c r="CV32" i="13"/>
  <c r="BP32" i="13"/>
  <c r="AL32" i="13"/>
  <c r="E32" i="13"/>
  <c r="HP32" i="13"/>
  <c r="GJ32" i="13"/>
  <c r="FD32" i="13"/>
  <c r="DZ32" i="13"/>
  <c r="CT32" i="13"/>
  <c r="BM32" i="13"/>
  <c r="AJ32" i="13"/>
  <c r="HN32" i="13"/>
  <c r="GH32" i="13"/>
  <c r="FA32" i="13"/>
  <c r="DX32" i="13"/>
  <c r="CO32" i="13"/>
  <c r="BK32" i="13"/>
  <c r="AE32" i="13"/>
  <c r="HM32" i="13"/>
  <c r="GG32" i="13"/>
  <c r="EZ32" i="13"/>
  <c r="DU32" i="13"/>
  <c r="CN32" i="13"/>
  <c r="BJ32" i="13"/>
  <c r="AD32" i="13"/>
  <c r="HE32" i="13"/>
  <c r="FX32" i="13"/>
  <c r="EU32" i="13"/>
  <c r="DL32" i="13"/>
  <c r="CH32" i="13"/>
  <c r="BB32" i="13"/>
  <c r="V32" i="13"/>
  <c r="GL32" i="13"/>
  <c r="EN32" i="13"/>
  <c r="CI32" i="13"/>
  <c r="AG32" i="13"/>
  <c r="GI32" i="13"/>
  <c r="EM32" i="13"/>
  <c r="CG32" i="13"/>
  <c r="AB32" i="13"/>
  <c r="GD32" i="13"/>
  <c r="EJ32" i="13"/>
  <c r="CF32" i="13"/>
  <c r="AA32" i="13"/>
  <c r="GC32" i="13"/>
  <c r="EE32" i="13"/>
  <c r="CE32" i="13"/>
  <c r="X32" i="13"/>
  <c r="HW32" i="13"/>
  <c r="FU32" i="13"/>
  <c r="DQ32" i="13"/>
  <c r="BN32" i="13"/>
  <c r="Q32" i="13"/>
  <c r="HQ32" i="13"/>
  <c r="FT32" i="13"/>
  <c r="DP32" i="13"/>
  <c r="BL32" i="13"/>
  <c r="P32" i="13"/>
  <c r="HG32" i="13"/>
  <c r="FF32" i="13"/>
  <c r="DG32" i="13"/>
  <c r="BD32" i="13"/>
  <c r="HD32" i="13"/>
  <c r="EY32" i="13"/>
  <c r="DE32" i="13"/>
  <c r="AZ32" i="13"/>
  <c r="GR32" i="13"/>
  <c r="DF32" i="13"/>
  <c r="T32" i="13"/>
  <c r="GB32" i="13"/>
  <c r="DB32" i="13"/>
  <c r="S32" i="13"/>
  <c r="FW32" i="13"/>
  <c r="CS32" i="13"/>
  <c r="O32" i="13"/>
  <c r="FV32" i="13"/>
  <c r="CM32" i="13"/>
  <c r="J32" i="13"/>
  <c r="FB32" i="13"/>
  <c r="CA32" i="13"/>
  <c r="EX32" i="13"/>
  <c r="BY32" i="13"/>
  <c r="HO32" i="13"/>
  <c r="EP32" i="13"/>
  <c r="BG32" i="13"/>
  <c r="HI32" i="13"/>
  <c r="EA32" i="13"/>
  <c r="AX32" i="13"/>
  <c r="HF32" i="13"/>
  <c r="DY32" i="13"/>
  <c r="AU32" i="13"/>
  <c r="CU32" i="13"/>
  <c r="CK32" i="13"/>
  <c r="GU32" i="13"/>
  <c r="AT32" i="13"/>
  <c r="FY32" i="13"/>
  <c r="AS32" i="13"/>
  <c r="EW32" i="13"/>
  <c r="R32" i="13"/>
  <c r="ER32" i="13"/>
  <c r="EO32" i="13"/>
  <c r="HL32" i="13"/>
  <c r="W32" i="13"/>
  <c r="HA32" i="13"/>
  <c r="D32" i="13"/>
  <c r="GZ32" i="13"/>
  <c r="GV32" i="13"/>
  <c r="FS32" i="13"/>
  <c r="EV32" i="13"/>
  <c r="DS32" i="13"/>
  <c r="BV32" i="13"/>
  <c r="CD32" i="13"/>
  <c r="BI32" i="13"/>
  <c r="BA32" i="13"/>
  <c r="AO32" i="13"/>
  <c r="AK32" i="13"/>
  <c r="DK32" i="13"/>
  <c r="DJ32" i="13"/>
  <c r="DH32" i="13"/>
  <c r="CJ32" i="13"/>
  <c r="BH32" i="13"/>
  <c r="GY32" i="13"/>
  <c r="FR32" i="13"/>
  <c r="FL32" i="13"/>
  <c r="DR32" i="13"/>
  <c r="HU54" i="13"/>
  <c r="GY54" i="13"/>
  <c r="GC54" i="13"/>
  <c r="FG54" i="13"/>
  <c r="EK54" i="13"/>
  <c r="DO54" i="13"/>
  <c r="CS54" i="13"/>
  <c r="BW54" i="13"/>
  <c r="BA54" i="13"/>
  <c r="AE54" i="13"/>
  <c r="I54" i="13"/>
  <c r="HR54" i="13"/>
  <c r="GV54" i="13"/>
  <c r="FZ54" i="13"/>
  <c r="FD54" i="13"/>
  <c r="EH54" i="13"/>
  <c r="DL54" i="13"/>
  <c r="CP54" i="13"/>
  <c r="BT54" i="13"/>
  <c r="AX54" i="13"/>
  <c r="AB54" i="13"/>
  <c r="F54" i="13"/>
  <c r="HW54" i="13"/>
  <c r="GX54" i="13"/>
  <c r="FY54" i="13"/>
  <c r="FA54" i="13"/>
  <c r="EC54" i="13"/>
  <c r="DE54" i="13"/>
  <c r="CG54" i="13"/>
  <c r="BI54" i="13"/>
  <c r="AK54" i="13"/>
  <c r="M54" i="13"/>
  <c r="HV54" i="13"/>
  <c r="GW54" i="13"/>
  <c r="FX54" i="13"/>
  <c r="EZ54" i="13"/>
  <c r="EB54" i="13"/>
  <c r="DD54" i="13"/>
  <c r="CF54" i="13"/>
  <c r="BH54" i="13"/>
  <c r="AJ54" i="13"/>
  <c r="L54" i="13"/>
  <c r="HT54" i="13"/>
  <c r="GU54" i="13"/>
  <c r="FW54" i="13"/>
  <c r="EY54" i="13"/>
  <c r="EA54" i="13"/>
  <c r="DC54" i="13"/>
  <c r="CE54" i="13"/>
  <c r="BG54" i="13"/>
  <c r="AI54" i="13"/>
  <c r="K54" i="13"/>
  <c r="HS54" i="13"/>
  <c r="GT54" i="13"/>
  <c r="FV54" i="13"/>
  <c r="EX54" i="13"/>
  <c r="DZ54" i="13"/>
  <c r="DB54" i="13"/>
  <c r="CD54" i="13"/>
  <c r="BF54" i="13"/>
  <c r="AH54" i="13"/>
  <c r="J54" i="13"/>
  <c r="HP54" i="13"/>
  <c r="GR54" i="13"/>
  <c r="FT54" i="13"/>
  <c r="EV54" i="13"/>
  <c r="DX54" i="13"/>
  <c r="CZ54" i="13"/>
  <c r="CB54" i="13"/>
  <c r="BD54" i="13"/>
  <c r="AF54" i="13"/>
  <c r="G54" i="13"/>
  <c r="HN54" i="13"/>
  <c r="GK54" i="13"/>
  <c r="FH54" i="13"/>
  <c r="DY54" i="13"/>
  <c r="CU54" i="13"/>
  <c r="BP54" i="13"/>
  <c r="AM54" i="13"/>
  <c r="HM54" i="13"/>
  <c r="GJ54" i="13"/>
  <c r="FF54" i="13"/>
  <c r="DW54" i="13"/>
  <c r="CT54" i="13"/>
  <c r="BO54" i="13"/>
  <c r="AL54" i="13"/>
  <c r="HL54" i="13"/>
  <c r="GI54" i="13"/>
  <c r="FE54" i="13"/>
  <c r="DV54" i="13"/>
  <c r="CR54" i="13"/>
  <c r="BN54" i="13"/>
  <c r="AG54" i="13"/>
  <c r="HK54" i="13"/>
  <c r="GH54" i="13"/>
  <c r="FC54" i="13"/>
  <c r="DU54" i="13"/>
  <c r="CQ54" i="13"/>
  <c r="BM54" i="13"/>
  <c r="AD54" i="13"/>
  <c r="HX54" i="13"/>
  <c r="GF54" i="13"/>
  <c r="ER54" i="13"/>
  <c r="DI54" i="13"/>
  <c r="BV54" i="13"/>
  <c r="AN54" i="13"/>
  <c r="HJ54" i="13"/>
  <c r="GB54" i="13"/>
  <c r="EO54" i="13"/>
  <c r="DF54" i="13"/>
  <c r="BR54" i="13"/>
  <c r="Z54" i="13"/>
  <c r="HI54" i="13"/>
  <c r="GA54" i="13"/>
  <c r="HA54" i="13"/>
  <c r="FJ54" i="13"/>
  <c r="DP54" i="13"/>
  <c r="BZ54" i="13"/>
  <c r="AO54" i="13"/>
  <c r="GZ54" i="13"/>
  <c r="FI54" i="13"/>
  <c r="DN54" i="13"/>
  <c r="BY54" i="13"/>
  <c r="AC54" i="13"/>
  <c r="GS54" i="13"/>
  <c r="FB54" i="13"/>
  <c r="DM54" i="13"/>
  <c r="BX54" i="13"/>
  <c r="AA54" i="13"/>
  <c r="GQ54" i="13"/>
  <c r="EW54" i="13"/>
  <c r="DK54" i="13"/>
  <c r="BU54" i="13"/>
  <c r="Y54" i="13"/>
  <c r="GP54" i="13"/>
  <c r="EU54" i="13"/>
  <c r="DJ54" i="13"/>
  <c r="BS54" i="13"/>
  <c r="X54" i="13"/>
  <c r="GO54" i="13"/>
  <c r="ET54" i="13"/>
  <c r="DH54" i="13"/>
  <c r="BQ54" i="13"/>
  <c r="W54" i="13"/>
  <c r="GD54" i="13"/>
  <c r="ED54" i="13"/>
  <c r="BK54" i="13"/>
  <c r="O54" i="13"/>
  <c r="FU54" i="13"/>
  <c r="DT54" i="13"/>
  <c r="BJ54" i="13"/>
  <c r="N54" i="13"/>
  <c r="FR54" i="13"/>
  <c r="DR54" i="13"/>
  <c r="BC54" i="13"/>
  <c r="E54" i="13"/>
  <c r="FQ54" i="13"/>
  <c r="DQ54" i="13"/>
  <c r="BB54" i="13"/>
  <c r="D54" i="13"/>
  <c r="IA54" i="13"/>
  <c r="FP54" i="13"/>
  <c r="DG54" i="13"/>
  <c r="AZ54" i="13"/>
  <c r="HZ54" i="13"/>
  <c r="FO54" i="13"/>
  <c r="DA54" i="13"/>
  <c r="AY54" i="13"/>
  <c r="HQ54" i="13"/>
  <c r="FM54" i="13"/>
  <c r="CX54" i="13"/>
  <c r="AV54" i="13"/>
  <c r="FK54" i="13"/>
  <c r="CI54" i="13"/>
  <c r="ES54" i="13"/>
  <c r="CH54" i="13"/>
  <c r="EQ54" i="13"/>
  <c r="CC54" i="13"/>
  <c r="HY54" i="13"/>
  <c r="EM54" i="13"/>
  <c r="BE54" i="13"/>
  <c r="HG54" i="13"/>
  <c r="EI54" i="13"/>
  <c r="AT54" i="13"/>
  <c r="EG54" i="13"/>
  <c r="U54" i="13"/>
  <c r="EF54" i="13"/>
  <c r="T54" i="13"/>
  <c r="HH54" i="13"/>
  <c r="CY54" i="13"/>
  <c r="Q54" i="13"/>
  <c r="HF54" i="13"/>
  <c r="CW54" i="13"/>
  <c r="P54" i="13"/>
  <c r="HE54" i="13"/>
  <c r="CV54" i="13"/>
  <c r="H54" i="13"/>
  <c r="HC54" i="13"/>
  <c r="CN54" i="13"/>
  <c r="HB54" i="13"/>
  <c r="CM54" i="13"/>
  <c r="GN54" i="13"/>
  <c r="CL54" i="13"/>
  <c r="FS54" i="13"/>
  <c r="AW54" i="13"/>
  <c r="GG54" i="13"/>
  <c r="R54" i="13"/>
  <c r="GE54" i="13"/>
  <c r="FN54" i="13"/>
  <c r="FL54" i="13"/>
  <c r="EP54" i="13"/>
  <c r="EN54" i="13"/>
  <c r="EL54" i="13"/>
  <c r="DS54" i="13"/>
  <c r="AS54" i="13"/>
  <c r="CO54" i="13"/>
  <c r="CK54" i="13"/>
  <c r="CA54" i="13"/>
  <c r="AP54" i="13"/>
  <c r="V54" i="13"/>
  <c r="HO54" i="13"/>
  <c r="HD54" i="13"/>
  <c r="GM54" i="13"/>
  <c r="GL54" i="13"/>
  <c r="EJ54" i="13"/>
  <c r="CJ54" i="13"/>
  <c r="AU54" i="13"/>
  <c r="AR54" i="13"/>
  <c r="AQ54" i="13"/>
  <c r="S54" i="13"/>
  <c r="EE54" i="13"/>
  <c r="BL54" i="13"/>
  <c r="BI68" i="4"/>
  <c r="GQ68" i="4"/>
  <c r="DP69" i="4"/>
  <c r="M122" i="7" s="1"/>
  <c r="L57" i="7"/>
  <c r="BJ68" i="4"/>
  <c r="AM32" i="7"/>
  <c r="AL32" i="7"/>
  <c r="AK32" i="7"/>
  <c r="AJ32" i="7"/>
  <c r="AI32" i="7"/>
  <c r="AG32" i="7"/>
  <c r="AH32" i="7"/>
  <c r="AF32" i="7"/>
  <c r="M47" i="7"/>
  <c r="L47" i="7"/>
  <c r="HK18" i="13"/>
  <c r="GO18" i="13"/>
  <c r="FS18" i="13"/>
  <c r="EW18" i="13"/>
  <c r="EA18" i="13"/>
  <c r="DE18" i="13"/>
  <c r="CI18" i="13"/>
  <c r="BM18" i="13"/>
  <c r="AQ18" i="13"/>
  <c r="U18" i="13"/>
  <c r="HJ18" i="13"/>
  <c r="GN18" i="13"/>
  <c r="FR18" i="13"/>
  <c r="EV18" i="13"/>
  <c r="DZ18" i="13"/>
  <c r="DD18" i="13"/>
  <c r="CH18" i="13"/>
  <c r="BL18" i="13"/>
  <c r="AP18" i="13"/>
  <c r="T18" i="13"/>
  <c r="HY18" i="13"/>
  <c r="HC18" i="13"/>
  <c r="GG18" i="13"/>
  <c r="FK18" i="13"/>
  <c r="EO18" i="13"/>
  <c r="DS18" i="13"/>
  <c r="CW18" i="13"/>
  <c r="CA18" i="13"/>
  <c r="BE18" i="13"/>
  <c r="AI18" i="13"/>
  <c r="M18" i="13"/>
  <c r="HB18" i="13"/>
  <c r="GC18" i="13"/>
  <c r="FD18" i="13"/>
  <c r="EE18" i="13"/>
  <c r="DF18" i="13"/>
  <c r="CE18" i="13"/>
  <c r="BF18" i="13"/>
  <c r="AF18" i="13"/>
  <c r="G18" i="13"/>
  <c r="IA18" i="13"/>
  <c r="HA18" i="13"/>
  <c r="GB18" i="13"/>
  <c r="FC18" i="13"/>
  <c r="ED18" i="13"/>
  <c r="DC18" i="13"/>
  <c r="CD18" i="13"/>
  <c r="BD18" i="13"/>
  <c r="AE18" i="13"/>
  <c r="F18" i="13"/>
  <c r="HW18" i="13"/>
  <c r="GX18" i="13"/>
  <c r="FY18" i="13"/>
  <c r="EZ18" i="13"/>
  <c r="DY18" i="13"/>
  <c r="CZ18" i="13"/>
  <c r="BZ18" i="13"/>
  <c r="BA18" i="13"/>
  <c r="AB18" i="13"/>
  <c r="HS18" i="13"/>
  <c r="GT18" i="13"/>
  <c r="FU18" i="13"/>
  <c r="ET18" i="13"/>
  <c r="DU18" i="13"/>
  <c r="CU18" i="13"/>
  <c r="BV18" i="13"/>
  <c r="AW18" i="13"/>
  <c r="X18" i="13"/>
  <c r="HR18" i="13"/>
  <c r="GS18" i="13"/>
  <c r="FT18" i="13"/>
  <c r="ES18" i="13"/>
  <c r="DT18" i="13"/>
  <c r="CT18" i="13"/>
  <c r="BU18" i="13"/>
  <c r="AV18" i="13"/>
  <c r="W18" i="13"/>
  <c r="HN18" i="13"/>
  <c r="GM18" i="13"/>
  <c r="FN18" i="13"/>
  <c r="EN18" i="13"/>
  <c r="DO18" i="13"/>
  <c r="CP18" i="13"/>
  <c r="BQ18" i="13"/>
  <c r="AR18" i="13"/>
  <c r="Q18" i="13"/>
  <c r="HT18" i="13"/>
  <c r="GJ18" i="13"/>
  <c r="FB18" i="13"/>
  <c r="DQ18" i="13"/>
  <c r="CK18" i="13"/>
  <c r="AZ18" i="13"/>
  <c r="P18" i="13"/>
  <c r="HQ18" i="13"/>
  <c r="GI18" i="13"/>
  <c r="FA18" i="13"/>
  <c r="DP18" i="13"/>
  <c r="CJ18" i="13"/>
  <c r="AY18" i="13"/>
  <c r="O18" i="13"/>
  <c r="HG18" i="13"/>
  <c r="FX18" i="13"/>
  <c r="EM18" i="13"/>
  <c r="DH18" i="13"/>
  <c r="BW18" i="13"/>
  <c r="AM18" i="13"/>
  <c r="E18" i="13"/>
  <c r="HF18" i="13"/>
  <c r="FW18" i="13"/>
  <c r="EL18" i="13"/>
  <c r="DG18" i="13"/>
  <c r="BT18" i="13"/>
  <c r="AL18" i="13"/>
  <c r="D18" i="13"/>
  <c r="GY18" i="13"/>
  <c r="FO18" i="13"/>
  <c r="EH18" i="13"/>
  <c r="CX18" i="13"/>
  <c r="BO18" i="13"/>
  <c r="AG18" i="13"/>
  <c r="GV18" i="13"/>
  <c r="FL18" i="13"/>
  <c r="EF18" i="13"/>
  <c r="CS18" i="13"/>
  <c r="BK18" i="13"/>
  <c r="AC18" i="13"/>
  <c r="GU18" i="13"/>
  <c r="FJ18" i="13"/>
  <c r="EC18" i="13"/>
  <c r="CR18" i="13"/>
  <c r="BJ18" i="13"/>
  <c r="AA18" i="13"/>
  <c r="HE18" i="13"/>
  <c r="FF18" i="13"/>
  <c r="DI18" i="13"/>
  <c r="BG18" i="13"/>
  <c r="I18" i="13"/>
  <c r="HD18" i="13"/>
  <c r="FE18" i="13"/>
  <c r="DB18" i="13"/>
  <c r="BC18" i="13"/>
  <c r="H18" i="13"/>
  <c r="GZ18" i="13"/>
  <c r="EY18" i="13"/>
  <c r="DA18" i="13"/>
  <c r="BB18" i="13"/>
  <c r="GR18" i="13"/>
  <c r="EU18" i="13"/>
  <c r="CV18" i="13"/>
  <c r="AU18" i="13"/>
  <c r="GQ18" i="13"/>
  <c r="ER18" i="13"/>
  <c r="CQ18" i="13"/>
  <c r="AT18" i="13"/>
  <c r="GK18" i="13"/>
  <c r="EK18" i="13"/>
  <c r="CM18" i="13"/>
  <c r="AN18" i="13"/>
  <c r="GH18" i="13"/>
  <c r="EJ18" i="13"/>
  <c r="CL18" i="13"/>
  <c r="AK18" i="13"/>
  <c r="HP18" i="13"/>
  <c r="FQ18" i="13"/>
  <c r="DR18" i="13"/>
  <c r="BS18" i="13"/>
  <c r="S18" i="13"/>
  <c r="FH18" i="13"/>
  <c r="CB18" i="13"/>
  <c r="HZ18" i="13"/>
  <c r="FG18" i="13"/>
  <c r="BY18" i="13"/>
  <c r="HV18" i="13"/>
  <c r="EQ18" i="13"/>
  <c r="BR18" i="13"/>
  <c r="HU18" i="13"/>
  <c r="EP18" i="13"/>
  <c r="BP18" i="13"/>
  <c r="HO18" i="13"/>
  <c r="EI18" i="13"/>
  <c r="BN18" i="13"/>
  <c r="HI18" i="13"/>
  <c r="DX18" i="13"/>
  <c r="AX18" i="13"/>
  <c r="EG18" i="13"/>
  <c r="AD18" i="13"/>
  <c r="EB18" i="13"/>
  <c r="Z18" i="13"/>
  <c r="DW18" i="13"/>
  <c r="Y18" i="13"/>
  <c r="DN18" i="13"/>
  <c r="R18" i="13"/>
  <c r="HX18" i="13"/>
  <c r="DM18" i="13"/>
  <c r="N18" i="13"/>
  <c r="HH18" i="13"/>
  <c r="DJ18" i="13"/>
  <c r="J18" i="13"/>
  <c r="GE18" i="13"/>
  <c r="AO18" i="13"/>
  <c r="GD18" i="13"/>
  <c r="AJ18" i="13"/>
  <c r="GA18" i="13"/>
  <c r="AH18" i="13"/>
  <c r="FZ18" i="13"/>
  <c r="V18" i="13"/>
  <c r="FV18" i="13"/>
  <c r="L18" i="13"/>
  <c r="FP18" i="13"/>
  <c r="K18" i="13"/>
  <c r="EX18" i="13"/>
  <c r="DV18" i="13"/>
  <c r="AS18" i="13"/>
  <c r="HM18" i="13"/>
  <c r="HL18" i="13"/>
  <c r="GW18" i="13"/>
  <c r="GF18" i="13"/>
  <c r="CN18" i="13"/>
  <c r="CF18" i="13"/>
  <c r="CC18" i="13"/>
  <c r="BI18" i="13"/>
  <c r="BH18" i="13"/>
  <c r="CG18" i="13"/>
  <c r="BX18" i="13"/>
  <c r="GP18" i="13"/>
  <c r="GL18" i="13"/>
  <c r="FM18" i="13"/>
  <c r="CY18" i="13"/>
  <c r="FI18" i="13"/>
  <c r="DL18" i="13"/>
  <c r="DK18" i="13"/>
  <c r="CO18" i="13"/>
  <c r="HU62" i="13"/>
  <c r="GY62" i="13"/>
  <c r="GC62" i="13"/>
  <c r="FG62" i="13"/>
  <c r="EK62" i="13"/>
  <c r="DO62" i="13"/>
  <c r="CS62" i="13"/>
  <c r="BW62" i="13"/>
  <c r="HT62" i="13"/>
  <c r="GX62" i="13"/>
  <c r="GB62" i="13"/>
  <c r="FF62" i="13"/>
  <c r="EJ62" i="13"/>
  <c r="DN62" i="13"/>
  <c r="CR62" i="13"/>
  <c r="BV62" i="13"/>
  <c r="AZ62" i="13"/>
  <c r="AD62" i="13"/>
  <c r="H62" i="13"/>
  <c r="HR62" i="13"/>
  <c r="GV62" i="13"/>
  <c r="FZ62" i="13"/>
  <c r="FD62" i="13"/>
  <c r="EH62" i="13"/>
  <c r="DL62" i="13"/>
  <c r="CP62" i="13"/>
  <c r="BT62" i="13"/>
  <c r="AX62" i="13"/>
  <c r="AB62" i="13"/>
  <c r="F62" i="13"/>
  <c r="HX62" i="13"/>
  <c r="GW62" i="13"/>
  <c r="FW62" i="13"/>
  <c r="EX62" i="13"/>
  <c r="DY62" i="13"/>
  <c r="CZ62" i="13"/>
  <c r="CA62" i="13"/>
  <c r="BB62" i="13"/>
  <c r="AC62" i="13"/>
  <c r="D62" i="13"/>
  <c r="HW62" i="13"/>
  <c r="GU62" i="13"/>
  <c r="FV62" i="13"/>
  <c r="EW62" i="13"/>
  <c r="DX62" i="13"/>
  <c r="CY62" i="13"/>
  <c r="BZ62" i="13"/>
  <c r="BA62" i="13"/>
  <c r="AA62" i="13"/>
  <c r="HS62" i="13"/>
  <c r="GS62" i="13"/>
  <c r="FT62" i="13"/>
  <c r="EU62" i="13"/>
  <c r="DV62" i="13"/>
  <c r="CW62" i="13"/>
  <c r="BX62" i="13"/>
  <c r="AW62" i="13"/>
  <c r="Y62" i="13"/>
  <c r="HP62" i="13"/>
  <c r="GQ62" i="13"/>
  <c r="FR62" i="13"/>
  <c r="ES62" i="13"/>
  <c r="DT62" i="13"/>
  <c r="CU62" i="13"/>
  <c r="BS62" i="13"/>
  <c r="AU62" i="13"/>
  <c r="W62" i="13"/>
  <c r="HO62" i="13"/>
  <c r="GP62" i="13"/>
  <c r="FQ62" i="13"/>
  <c r="ER62" i="13"/>
  <c r="DS62" i="13"/>
  <c r="CT62" i="13"/>
  <c r="BR62" i="13"/>
  <c r="AT62" i="13"/>
  <c r="V62" i="13"/>
  <c r="HJ62" i="13"/>
  <c r="GF62" i="13"/>
  <c r="EY62" i="13"/>
  <c r="DP62" i="13"/>
  <c r="CI62" i="13"/>
  <c r="BE62" i="13"/>
  <c r="U62" i="13"/>
  <c r="HI62" i="13"/>
  <c r="GE62" i="13"/>
  <c r="EV62" i="13"/>
  <c r="DM62" i="13"/>
  <c r="CH62" i="13"/>
  <c r="BD62" i="13"/>
  <c r="T62" i="13"/>
  <c r="HH62" i="13"/>
  <c r="GD62" i="13"/>
  <c r="ET62" i="13"/>
  <c r="DK62" i="13"/>
  <c r="CG62" i="13"/>
  <c r="BC62" i="13"/>
  <c r="S62" i="13"/>
  <c r="HE62" i="13"/>
  <c r="FX62" i="13"/>
  <c r="EO62" i="13"/>
  <c r="DH62" i="13"/>
  <c r="CD62" i="13"/>
  <c r="AS62" i="13"/>
  <c r="HF62" i="13"/>
  <c r="FO62" i="13"/>
  <c r="ED62" i="13"/>
  <c r="CN62" i="13"/>
  <c r="BF62" i="13"/>
  <c r="O62" i="13"/>
  <c r="HD62" i="13"/>
  <c r="FN62" i="13"/>
  <c r="EC62" i="13"/>
  <c r="CM62" i="13"/>
  <c r="AY62" i="13"/>
  <c r="N62" i="13"/>
  <c r="HC62" i="13"/>
  <c r="FM62" i="13"/>
  <c r="EB62" i="13"/>
  <c r="CL62" i="13"/>
  <c r="AV62" i="13"/>
  <c r="M62" i="13"/>
  <c r="HB62" i="13"/>
  <c r="FL62" i="13"/>
  <c r="EA62" i="13"/>
  <c r="CK62" i="13"/>
  <c r="AR62" i="13"/>
  <c r="L62" i="13"/>
  <c r="GZ62" i="13"/>
  <c r="FJ62" i="13"/>
  <c r="DW62" i="13"/>
  <c r="CF62" i="13"/>
  <c r="AP62" i="13"/>
  <c r="J62" i="13"/>
  <c r="GN62" i="13"/>
  <c r="EP62" i="13"/>
  <c r="CV62" i="13"/>
  <c r="AN62" i="13"/>
  <c r="GM62" i="13"/>
  <c r="EN62" i="13"/>
  <c r="CQ62" i="13"/>
  <c r="AM62" i="13"/>
  <c r="GL62" i="13"/>
  <c r="EM62" i="13"/>
  <c r="CO62" i="13"/>
  <c r="AL62" i="13"/>
  <c r="GK62" i="13"/>
  <c r="EL62" i="13"/>
  <c r="CJ62" i="13"/>
  <c r="AK62" i="13"/>
  <c r="GI62" i="13"/>
  <c r="EG62" i="13"/>
  <c r="CC62" i="13"/>
  <c r="AI62" i="13"/>
  <c r="GG62" i="13"/>
  <c r="DJ62" i="13"/>
  <c r="BI62" i="13"/>
  <c r="GA62" i="13"/>
  <c r="DI62" i="13"/>
  <c r="BH62" i="13"/>
  <c r="FY62" i="13"/>
  <c r="DG62" i="13"/>
  <c r="BG62" i="13"/>
  <c r="FU62" i="13"/>
  <c r="DF62" i="13"/>
  <c r="AQ62" i="13"/>
  <c r="HZ62" i="13"/>
  <c r="FI62" i="13"/>
  <c r="DB62" i="13"/>
  <c r="AG62" i="13"/>
  <c r="GH62" i="13"/>
  <c r="CX62" i="13"/>
  <c r="P62" i="13"/>
  <c r="FK62" i="13"/>
  <c r="BY62" i="13"/>
  <c r="G62" i="13"/>
  <c r="FH62" i="13"/>
  <c r="BU62" i="13"/>
  <c r="E62" i="13"/>
  <c r="FE62" i="13"/>
  <c r="BQ62" i="13"/>
  <c r="FA62" i="13"/>
  <c r="BJ62" i="13"/>
  <c r="EZ62" i="13"/>
  <c r="AO62" i="13"/>
  <c r="EQ62" i="13"/>
  <c r="AJ62" i="13"/>
  <c r="EI62" i="13"/>
  <c r="AH62" i="13"/>
  <c r="IA62" i="13"/>
  <c r="EF62" i="13"/>
  <c r="AF62" i="13"/>
  <c r="HY62" i="13"/>
  <c r="EE62" i="13"/>
  <c r="AE62" i="13"/>
  <c r="HQ62" i="13"/>
  <c r="DU62" i="13"/>
  <c r="X62" i="13"/>
  <c r="GJ62" i="13"/>
  <c r="Q62" i="13"/>
  <c r="FS62" i="13"/>
  <c r="K62" i="13"/>
  <c r="FC62" i="13"/>
  <c r="FB62" i="13"/>
  <c r="DZ62" i="13"/>
  <c r="DR62" i="13"/>
  <c r="DE62" i="13"/>
  <c r="GT62" i="13"/>
  <c r="GR62" i="13"/>
  <c r="GO62" i="13"/>
  <c r="DD62" i="13"/>
  <c r="CE62" i="13"/>
  <c r="DQ62" i="13"/>
  <c r="DC62" i="13"/>
  <c r="BP62" i="13"/>
  <c r="BO62" i="13"/>
  <c r="BN62" i="13"/>
  <c r="BL62" i="13"/>
  <c r="BK62" i="13"/>
  <c r="Z62" i="13"/>
  <c r="HN62" i="13"/>
  <c r="R62" i="13"/>
  <c r="I62" i="13"/>
  <c r="HG62" i="13"/>
  <c r="HK62" i="13"/>
  <c r="HA62" i="13"/>
  <c r="DA62" i="13"/>
  <c r="FP62" i="13"/>
  <c r="HL62" i="13"/>
  <c r="CB62" i="13"/>
  <c r="HV62" i="13"/>
  <c r="HM62" i="13"/>
  <c r="BM62" i="13"/>
  <c r="DD68" i="4"/>
  <c r="BP69" i="4"/>
  <c r="M70" i="7" s="1"/>
  <c r="AG12" i="7"/>
  <c r="AF12" i="7"/>
  <c r="AK12" i="7"/>
  <c r="AM12" i="7"/>
  <c r="AJ12" i="7"/>
  <c r="AL12" i="7"/>
  <c r="AL109" i="7"/>
  <c r="HZ33" i="13"/>
  <c r="HD33" i="13"/>
  <c r="GH33" i="13"/>
  <c r="FL33" i="13"/>
  <c r="EP33" i="13"/>
  <c r="DT33" i="13"/>
  <c r="CX33" i="13"/>
  <c r="CB33" i="13"/>
  <c r="BF33" i="13"/>
  <c r="AJ33" i="13"/>
  <c r="N33" i="13"/>
  <c r="HY33" i="13"/>
  <c r="HC33" i="13"/>
  <c r="HX33" i="13"/>
  <c r="HB33" i="13"/>
  <c r="GF33" i="13"/>
  <c r="FJ33" i="13"/>
  <c r="EN33" i="13"/>
  <c r="DR33" i="13"/>
  <c r="CV33" i="13"/>
  <c r="BZ33" i="13"/>
  <c r="BD33" i="13"/>
  <c r="AH33" i="13"/>
  <c r="L33" i="13"/>
  <c r="HV33" i="13"/>
  <c r="GZ33" i="13"/>
  <c r="GD33" i="13"/>
  <c r="FH33" i="13"/>
  <c r="EL33" i="13"/>
  <c r="DP33" i="13"/>
  <c r="HT33" i="13"/>
  <c r="GX33" i="13"/>
  <c r="GB33" i="13"/>
  <c r="FF33" i="13"/>
  <c r="EJ33" i="13"/>
  <c r="DN33" i="13"/>
  <c r="CR33" i="13"/>
  <c r="BV33" i="13"/>
  <c r="AZ33" i="13"/>
  <c r="AD33" i="13"/>
  <c r="HJ33" i="13"/>
  <c r="GI33" i="13"/>
  <c r="FE33" i="13"/>
  <c r="EE33" i="13"/>
  <c r="DE33" i="13"/>
  <c r="CF33" i="13"/>
  <c r="BG33" i="13"/>
  <c r="AF33" i="13"/>
  <c r="G33" i="13"/>
  <c r="HI33" i="13"/>
  <c r="GG33" i="13"/>
  <c r="FD33" i="13"/>
  <c r="ED33" i="13"/>
  <c r="DD33" i="13"/>
  <c r="CE33" i="13"/>
  <c r="BE33" i="13"/>
  <c r="AE33" i="13"/>
  <c r="F33" i="13"/>
  <c r="HG33" i="13"/>
  <c r="GC33" i="13"/>
  <c r="FB33" i="13"/>
  <c r="EB33" i="13"/>
  <c r="DB33" i="13"/>
  <c r="CC33" i="13"/>
  <c r="BB33" i="13"/>
  <c r="AB33" i="13"/>
  <c r="D33" i="13"/>
  <c r="GW33" i="13"/>
  <c r="FW33" i="13"/>
  <c r="EW33" i="13"/>
  <c r="DW33" i="13"/>
  <c r="CU33" i="13"/>
  <c r="BU33" i="13"/>
  <c r="AV33" i="13"/>
  <c r="W33" i="13"/>
  <c r="GV33" i="13"/>
  <c r="FV33" i="13"/>
  <c r="EV33" i="13"/>
  <c r="DV33" i="13"/>
  <c r="CT33" i="13"/>
  <c r="BT33" i="13"/>
  <c r="AU33" i="13"/>
  <c r="V33" i="13"/>
  <c r="HS33" i="13"/>
  <c r="GR33" i="13"/>
  <c r="FR33" i="13"/>
  <c r="ER33" i="13"/>
  <c r="DO33" i="13"/>
  <c r="CO33" i="13"/>
  <c r="BP33" i="13"/>
  <c r="AQ33" i="13"/>
  <c r="R33" i="13"/>
  <c r="HH33" i="13"/>
  <c r="FT33" i="13"/>
  <c r="EI33" i="13"/>
  <c r="CZ33" i="13"/>
  <c r="BO33" i="13"/>
  <c r="AI33" i="13"/>
  <c r="HF33" i="13"/>
  <c r="FS33" i="13"/>
  <c r="EH33" i="13"/>
  <c r="CY33" i="13"/>
  <c r="BN33" i="13"/>
  <c r="AG33" i="13"/>
  <c r="HA33" i="13"/>
  <c r="FP33" i="13"/>
  <c r="EF33" i="13"/>
  <c r="CS33" i="13"/>
  <c r="BL33" i="13"/>
  <c r="AA33" i="13"/>
  <c r="GY33" i="13"/>
  <c r="FO33" i="13"/>
  <c r="EC33" i="13"/>
  <c r="CQ33" i="13"/>
  <c r="BK33" i="13"/>
  <c r="Z33" i="13"/>
  <c r="GU33" i="13"/>
  <c r="FN33" i="13"/>
  <c r="EA33" i="13"/>
  <c r="CP33" i="13"/>
  <c r="BJ33" i="13"/>
  <c r="Y33" i="13"/>
  <c r="GS33" i="13"/>
  <c r="FK33" i="13"/>
  <c r="DY33" i="13"/>
  <c r="CM33" i="13"/>
  <c r="BH33" i="13"/>
  <c r="U33" i="13"/>
  <c r="GP33" i="13"/>
  <c r="FG33" i="13"/>
  <c r="DU33" i="13"/>
  <c r="CK33" i="13"/>
  <c r="BA33" i="13"/>
  <c r="S33" i="13"/>
  <c r="GO33" i="13"/>
  <c r="FC33" i="13"/>
  <c r="DS33" i="13"/>
  <c r="CJ33" i="13"/>
  <c r="AY33" i="13"/>
  <c r="Q33" i="13"/>
  <c r="HQ33" i="13"/>
  <c r="GJ33" i="13"/>
  <c r="EU33" i="13"/>
  <c r="DJ33" i="13"/>
  <c r="CA33" i="13"/>
  <c r="AR33" i="13"/>
  <c r="J33" i="13"/>
  <c r="GM33" i="13"/>
  <c r="EG33" i="13"/>
  <c r="BW33" i="13"/>
  <c r="M33" i="13"/>
  <c r="GL33" i="13"/>
  <c r="DZ33" i="13"/>
  <c r="BS33" i="13"/>
  <c r="K33" i="13"/>
  <c r="GK33" i="13"/>
  <c r="DX33" i="13"/>
  <c r="BR33" i="13"/>
  <c r="I33" i="13"/>
  <c r="GE33" i="13"/>
  <c r="DQ33" i="13"/>
  <c r="BQ33" i="13"/>
  <c r="H33" i="13"/>
  <c r="IA33" i="13"/>
  <c r="FU33" i="13"/>
  <c r="DH33" i="13"/>
  <c r="AW33" i="13"/>
  <c r="HW33" i="13"/>
  <c r="FQ33" i="13"/>
  <c r="DG33" i="13"/>
  <c r="AT33" i="13"/>
  <c r="HO33" i="13"/>
  <c r="EZ33" i="13"/>
  <c r="CW33" i="13"/>
  <c r="AN33" i="13"/>
  <c r="HM33" i="13"/>
  <c r="EX33" i="13"/>
  <c r="CL33" i="13"/>
  <c r="AL33" i="13"/>
  <c r="EO33" i="13"/>
  <c r="AP33" i="13"/>
  <c r="HU33" i="13"/>
  <c r="EM33" i="13"/>
  <c r="AO33" i="13"/>
  <c r="HP33" i="13"/>
  <c r="DM33" i="13"/>
  <c r="AK33" i="13"/>
  <c r="HN33" i="13"/>
  <c r="DL33" i="13"/>
  <c r="AC33" i="13"/>
  <c r="GT33" i="13"/>
  <c r="DC33" i="13"/>
  <c r="O33" i="13"/>
  <c r="GQ33" i="13"/>
  <c r="DA33" i="13"/>
  <c r="E33" i="13"/>
  <c r="FY33" i="13"/>
  <c r="CG33" i="13"/>
  <c r="FM33" i="13"/>
  <c r="BY33" i="13"/>
  <c r="FI33" i="13"/>
  <c r="BX33" i="13"/>
  <c r="FA33" i="13"/>
  <c r="EY33" i="13"/>
  <c r="DF33" i="13"/>
  <c r="CN33" i="13"/>
  <c r="BM33" i="13"/>
  <c r="HL33" i="13"/>
  <c r="BC33" i="13"/>
  <c r="HK33" i="13"/>
  <c r="AX33" i="13"/>
  <c r="HE33" i="13"/>
  <c r="GN33" i="13"/>
  <c r="GA33" i="13"/>
  <c r="FX33" i="13"/>
  <c r="ET33" i="13"/>
  <c r="EK33" i="13"/>
  <c r="DK33" i="13"/>
  <c r="AM33" i="13"/>
  <c r="FZ33" i="13"/>
  <c r="ES33" i="13"/>
  <c r="DI33" i="13"/>
  <c r="CI33" i="13"/>
  <c r="CH33" i="13"/>
  <c r="AS33" i="13"/>
  <c r="HR33" i="13"/>
  <c r="CD33" i="13"/>
  <c r="BI33" i="13"/>
  <c r="P33" i="13"/>
  <c r="EQ33" i="13"/>
  <c r="X33" i="13"/>
  <c r="T33" i="13"/>
  <c r="P68" i="4"/>
  <c r="DL68" i="4"/>
  <c r="Z69" i="4"/>
  <c r="M28" i="7" s="1"/>
  <c r="DW69" i="4"/>
  <c r="M129" i="7" s="1"/>
  <c r="AN38" i="7"/>
  <c r="BN68" i="4"/>
  <c r="L68" i="7" s="1"/>
  <c r="GY68" i="4"/>
  <c r="DX69" i="4"/>
  <c r="AJ21" i="7"/>
  <c r="AI21" i="7"/>
  <c r="AH21" i="7"/>
  <c r="AG21" i="7"/>
  <c r="AF21" i="7"/>
  <c r="AM21" i="7"/>
  <c r="AL21" i="7"/>
  <c r="V32" i="12"/>
  <c r="U32" i="12"/>
  <c r="F32" i="12"/>
  <c r="H32" i="12"/>
  <c r="G32" i="12"/>
  <c r="M32" i="12"/>
  <c r="AA32" i="12"/>
  <c r="T32" i="12"/>
  <c r="HH41" i="13"/>
  <c r="GL41" i="13"/>
  <c r="FP41" i="13"/>
  <c r="ET41" i="13"/>
  <c r="DX41" i="13"/>
  <c r="DB41" i="13"/>
  <c r="CF41" i="13"/>
  <c r="BJ41" i="13"/>
  <c r="AN41" i="13"/>
  <c r="R41" i="13"/>
  <c r="HG41" i="13"/>
  <c r="GK41" i="13"/>
  <c r="FO41" i="13"/>
  <c r="ES41" i="13"/>
  <c r="DW41" i="13"/>
  <c r="DA41" i="13"/>
  <c r="CE41" i="13"/>
  <c r="BI41" i="13"/>
  <c r="AM41" i="13"/>
  <c r="Q41" i="13"/>
  <c r="IA41" i="13"/>
  <c r="HE41" i="13"/>
  <c r="GI41" i="13"/>
  <c r="FM41" i="13"/>
  <c r="EQ41" i="13"/>
  <c r="DU41" i="13"/>
  <c r="CY41" i="13"/>
  <c r="CC41" i="13"/>
  <c r="BG41" i="13"/>
  <c r="AK41" i="13"/>
  <c r="O41" i="13"/>
  <c r="HZ41" i="13"/>
  <c r="HD41" i="13"/>
  <c r="GH41" i="13"/>
  <c r="FL41" i="13"/>
  <c r="EP41" i="13"/>
  <c r="DT41" i="13"/>
  <c r="CX41" i="13"/>
  <c r="CB41" i="13"/>
  <c r="BF41" i="13"/>
  <c r="AJ41" i="13"/>
  <c r="N41" i="13"/>
  <c r="HY41" i="13"/>
  <c r="HC41" i="13"/>
  <c r="GG41" i="13"/>
  <c r="FK41" i="13"/>
  <c r="EO41" i="13"/>
  <c r="DS41" i="13"/>
  <c r="CW41" i="13"/>
  <c r="CA41" i="13"/>
  <c r="BE41" i="13"/>
  <c r="AI41" i="13"/>
  <c r="M41" i="13"/>
  <c r="HX41" i="13"/>
  <c r="HB41" i="13"/>
  <c r="GF41" i="13"/>
  <c r="FJ41" i="13"/>
  <c r="EN41" i="13"/>
  <c r="DR41" i="13"/>
  <c r="CV41" i="13"/>
  <c r="BZ41" i="13"/>
  <c r="BD41" i="13"/>
  <c r="AH41" i="13"/>
  <c r="L41" i="13"/>
  <c r="HL41" i="13"/>
  <c r="GD41" i="13"/>
  <c r="FB41" i="13"/>
  <c r="DZ41" i="13"/>
  <c r="CR41" i="13"/>
  <c r="BP41" i="13"/>
  <c r="HK41" i="13"/>
  <c r="GC41" i="13"/>
  <c r="FA41" i="13"/>
  <c r="DY41" i="13"/>
  <c r="CQ41" i="13"/>
  <c r="BO41" i="13"/>
  <c r="HJ41" i="13"/>
  <c r="GB41" i="13"/>
  <c r="EZ41" i="13"/>
  <c r="DV41" i="13"/>
  <c r="CP41" i="13"/>
  <c r="BN41" i="13"/>
  <c r="HV41" i="13"/>
  <c r="GQ41" i="13"/>
  <c r="FF41" i="13"/>
  <c r="EA41" i="13"/>
  <c r="CM41" i="13"/>
  <c r="BB41" i="13"/>
  <c r="Z41" i="13"/>
  <c r="HU41" i="13"/>
  <c r="GP41" i="13"/>
  <c r="FE41" i="13"/>
  <c r="DQ41" i="13"/>
  <c r="CL41" i="13"/>
  <c r="BA41" i="13"/>
  <c r="Y41" i="13"/>
  <c r="HR41" i="13"/>
  <c r="GM41" i="13"/>
  <c r="EY41" i="13"/>
  <c r="DN41" i="13"/>
  <c r="CI41" i="13"/>
  <c r="AX41" i="13"/>
  <c r="V41" i="13"/>
  <c r="HQ41" i="13"/>
  <c r="GJ41" i="13"/>
  <c r="EX41" i="13"/>
  <c r="DM41" i="13"/>
  <c r="CH41" i="13"/>
  <c r="AW41" i="13"/>
  <c r="U41" i="13"/>
  <c r="HP41" i="13"/>
  <c r="GE41" i="13"/>
  <c r="EW41" i="13"/>
  <c r="DL41" i="13"/>
  <c r="CG41" i="13"/>
  <c r="AV41" i="13"/>
  <c r="T41" i="13"/>
  <c r="HN41" i="13"/>
  <c r="FZ41" i="13"/>
  <c r="EU41" i="13"/>
  <c r="DJ41" i="13"/>
  <c r="BY41" i="13"/>
  <c r="AT41" i="13"/>
  <c r="P41" i="13"/>
  <c r="HM41" i="13"/>
  <c r="FY41" i="13"/>
  <c r="ER41" i="13"/>
  <c r="DI41" i="13"/>
  <c r="BX41" i="13"/>
  <c r="AS41" i="13"/>
  <c r="K41" i="13"/>
  <c r="HI41" i="13"/>
  <c r="FX41" i="13"/>
  <c r="EM41" i="13"/>
  <c r="DH41" i="13"/>
  <c r="BW41" i="13"/>
  <c r="AR41" i="13"/>
  <c r="J41" i="13"/>
  <c r="HA41" i="13"/>
  <c r="FH41" i="13"/>
  <c r="DD41" i="13"/>
  <c r="AZ41" i="13"/>
  <c r="D41" i="13"/>
  <c r="GZ41" i="13"/>
  <c r="FG41" i="13"/>
  <c r="DC41" i="13"/>
  <c r="AY41" i="13"/>
  <c r="GY41" i="13"/>
  <c r="FD41" i="13"/>
  <c r="CZ41" i="13"/>
  <c r="AU41" i="13"/>
  <c r="GX41" i="13"/>
  <c r="FC41" i="13"/>
  <c r="CU41" i="13"/>
  <c r="AQ41" i="13"/>
  <c r="GW41" i="13"/>
  <c r="EV41" i="13"/>
  <c r="CT41" i="13"/>
  <c r="AP41" i="13"/>
  <c r="GV41" i="13"/>
  <c r="EL41" i="13"/>
  <c r="CS41" i="13"/>
  <c r="AO41" i="13"/>
  <c r="GU41" i="13"/>
  <c r="EK41" i="13"/>
  <c r="CO41" i="13"/>
  <c r="AL41" i="13"/>
  <c r="GR41" i="13"/>
  <c r="EH41" i="13"/>
  <c r="CJ41" i="13"/>
  <c r="AE41" i="13"/>
  <c r="HW41" i="13"/>
  <c r="EF41" i="13"/>
  <c r="BK41" i="13"/>
  <c r="HT41" i="13"/>
  <c r="EE41" i="13"/>
  <c r="BH41" i="13"/>
  <c r="HO41" i="13"/>
  <c r="EC41" i="13"/>
  <c r="AG41" i="13"/>
  <c r="GN41" i="13"/>
  <c r="DG41" i="13"/>
  <c r="AA41" i="13"/>
  <c r="GA41" i="13"/>
  <c r="DF41" i="13"/>
  <c r="X41" i="13"/>
  <c r="FT41" i="13"/>
  <c r="CD41" i="13"/>
  <c r="H41" i="13"/>
  <c r="FR41" i="13"/>
  <c r="BU41" i="13"/>
  <c r="F41" i="13"/>
  <c r="FQ41" i="13"/>
  <c r="BT41" i="13"/>
  <c r="E41" i="13"/>
  <c r="CK41" i="13"/>
  <c r="HS41" i="13"/>
  <c r="BV41" i="13"/>
  <c r="HF41" i="13"/>
  <c r="BS41" i="13"/>
  <c r="GT41" i="13"/>
  <c r="BR41" i="13"/>
  <c r="GS41" i="13"/>
  <c r="BQ41" i="13"/>
  <c r="GO41" i="13"/>
  <c r="BM41" i="13"/>
  <c r="FV41" i="13"/>
  <c r="BC41" i="13"/>
  <c r="FS41" i="13"/>
  <c r="AD41" i="13"/>
  <c r="FN41" i="13"/>
  <c r="AC41" i="13"/>
  <c r="ED41" i="13"/>
  <c r="G41" i="13"/>
  <c r="DO41" i="13"/>
  <c r="DK41" i="13"/>
  <c r="DE41" i="13"/>
  <c r="CN41" i="13"/>
  <c r="S41" i="13"/>
  <c r="I41" i="13"/>
  <c r="FU41" i="13"/>
  <c r="W41" i="13"/>
  <c r="FI41" i="13"/>
  <c r="EI41" i="13"/>
  <c r="EG41" i="13"/>
  <c r="BL41" i="13"/>
  <c r="AF41" i="13"/>
  <c r="AB41" i="13"/>
  <c r="FW41" i="13"/>
  <c r="EB41" i="13"/>
  <c r="DP41" i="13"/>
  <c r="EJ41" i="13"/>
  <c r="BO68" i="4"/>
  <c r="DY69" i="4"/>
  <c r="M131" i="7" s="1"/>
  <c r="M6" i="7"/>
  <c r="BS68" i="4"/>
  <c r="BS70" i="4" s="1"/>
  <c r="FI68" i="4"/>
  <c r="FI70" i="4" s="1"/>
  <c r="AD69" i="4"/>
  <c r="M32" i="7" s="1"/>
  <c r="CI69" i="4"/>
  <c r="M89" i="7" s="1"/>
  <c r="DZ69" i="4"/>
  <c r="M132" i="7" s="1"/>
  <c r="L11" i="7"/>
  <c r="M106" i="7"/>
  <c r="HU27" i="13"/>
  <c r="GY27" i="13"/>
  <c r="GC27" i="13"/>
  <c r="FG27" i="13"/>
  <c r="EK27" i="13"/>
  <c r="DO27" i="13"/>
  <c r="CS27" i="13"/>
  <c r="BW27" i="13"/>
  <c r="BA27" i="13"/>
  <c r="AE27" i="13"/>
  <c r="I27" i="13"/>
  <c r="HT27" i="13"/>
  <c r="GX27" i="13"/>
  <c r="GB27" i="13"/>
  <c r="FF27" i="13"/>
  <c r="HR27" i="13"/>
  <c r="GV27" i="13"/>
  <c r="FZ27" i="13"/>
  <c r="FD27" i="13"/>
  <c r="EH27" i="13"/>
  <c r="DL27" i="13"/>
  <c r="CP27" i="13"/>
  <c r="BT27" i="13"/>
  <c r="AX27" i="13"/>
  <c r="AB27" i="13"/>
  <c r="F27" i="13"/>
  <c r="HP27" i="13"/>
  <c r="GT27" i="13"/>
  <c r="FX27" i="13"/>
  <c r="FB27" i="13"/>
  <c r="EF27" i="13"/>
  <c r="DJ27" i="13"/>
  <c r="CN27" i="13"/>
  <c r="BR27" i="13"/>
  <c r="AV27" i="13"/>
  <c r="Z27" i="13"/>
  <c r="D27" i="13"/>
  <c r="HG27" i="13"/>
  <c r="GG27" i="13"/>
  <c r="FE27" i="13"/>
  <c r="ED27" i="13"/>
  <c r="DE27" i="13"/>
  <c r="CF27" i="13"/>
  <c r="BG27" i="13"/>
  <c r="AH27" i="13"/>
  <c r="H27" i="13"/>
  <c r="HF27" i="13"/>
  <c r="GF27" i="13"/>
  <c r="FC27" i="13"/>
  <c r="EC27" i="13"/>
  <c r="DD27" i="13"/>
  <c r="CE27" i="13"/>
  <c r="BF27" i="13"/>
  <c r="AG27" i="13"/>
  <c r="G27" i="13"/>
  <c r="HE27" i="13"/>
  <c r="GE27" i="13"/>
  <c r="FA27" i="13"/>
  <c r="EB27" i="13"/>
  <c r="DC27" i="13"/>
  <c r="CD27" i="13"/>
  <c r="BE27" i="13"/>
  <c r="AF27" i="13"/>
  <c r="E27" i="13"/>
  <c r="HY27" i="13"/>
  <c r="GW27" i="13"/>
  <c r="FU27" i="13"/>
  <c r="EU27" i="13"/>
  <c r="DV27" i="13"/>
  <c r="CW27" i="13"/>
  <c r="BX27" i="13"/>
  <c r="AW27" i="13"/>
  <c r="W27" i="13"/>
  <c r="HX27" i="13"/>
  <c r="GU27" i="13"/>
  <c r="FT27" i="13"/>
  <c r="ET27" i="13"/>
  <c r="DU27" i="13"/>
  <c r="CV27" i="13"/>
  <c r="BV27" i="13"/>
  <c r="AU27" i="13"/>
  <c r="V27" i="13"/>
  <c r="HQ27" i="13"/>
  <c r="GP27" i="13"/>
  <c r="FP27" i="13"/>
  <c r="EP27" i="13"/>
  <c r="DQ27" i="13"/>
  <c r="CQ27" i="13"/>
  <c r="BP27" i="13"/>
  <c r="AQ27" i="13"/>
  <c r="R27" i="13"/>
  <c r="HN27" i="13"/>
  <c r="GN27" i="13"/>
  <c r="FN27" i="13"/>
  <c r="EN27" i="13"/>
  <c r="DN27" i="13"/>
  <c r="CM27" i="13"/>
  <c r="BN27" i="13"/>
  <c r="AO27" i="13"/>
  <c r="P27" i="13"/>
  <c r="HI27" i="13"/>
  <c r="FS27" i="13"/>
  <c r="EI27" i="13"/>
  <c r="CX27" i="13"/>
  <c r="BK27" i="13"/>
  <c r="Y27" i="13"/>
  <c r="HH27" i="13"/>
  <c r="FR27" i="13"/>
  <c r="EG27" i="13"/>
  <c r="CU27" i="13"/>
  <c r="BJ27" i="13"/>
  <c r="X27" i="13"/>
  <c r="HC27" i="13"/>
  <c r="FO27" i="13"/>
  <c r="EA27" i="13"/>
  <c r="CR27" i="13"/>
  <c r="BH27" i="13"/>
  <c r="T27" i="13"/>
  <c r="HB27" i="13"/>
  <c r="FM27" i="13"/>
  <c r="DZ27" i="13"/>
  <c r="CO27" i="13"/>
  <c r="BD27" i="13"/>
  <c r="S27" i="13"/>
  <c r="GR27" i="13"/>
  <c r="FI27" i="13"/>
  <c r="DT27" i="13"/>
  <c r="CI27" i="13"/>
  <c r="AY27" i="13"/>
  <c r="M27" i="13"/>
  <c r="GQ27" i="13"/>
  <c r="FH27" i="13"/>
  <c r="DS27" i="13"/>
  <c r="CH27" i="13"/>
  <c r="AT27" i="13"/>
  <c r="L27" i="13"/>
  <c r="HZ27" i="13"/>
  <c r="GK27" i="13"/>
  <c r="EW27" i="13"/>
  <c r="DK27" i="13"/>
  <c r="CA27" i="13"/>
  <c r="AN27" i="13"/>
  <c r="HV27" i="13"/>
  <c r="GI27" i="13"/>
  <c r="ES27" i="13"/>
  <c r="DH27" i="13"/>
  <c r="BY27" i="13"/>
  <c r="AL27" i="13"/>
  <c r="HS27" i="13"/>
  <c r="GH27" i="13"/>
  <c r="ER27" i="13"/>
  <c r="DG27" i="13"/>
  <c r="BU27" i="13"/>
  <c r="AK27" i="13"/>
  <c r="GM27" i="13"/>
  <c r="DY27" i="13"/>
  <c r="BO27" i="13"/>
  <c r="GL27" i="13"/>
  <c r="DX27" i="13"/>
  <c r="BM27" i="13"/>
  <c r="FQ27" i="13"/>
  <c r="DB27" i="13"/>
  <c r="AR27" i="13"/>
  <c r="FL27" i="13"/>
  <c r="DA27" i="13"/>
  <c r="AP27" i="13"/>
  <c r="HM27" i="13"/>
  <c r="EY27" i="13"/>
  <c r="CL27" i="13"/>
  <c r="AD27" i="13"/>
  <c r="HK27" i="13"/>
  <c r="EV27" i="13"/>
  <c r="CJ27" i="13"/>
  <c r="AA27" i="13"/>
  <c r="HJ27" i="13"/>
  <c r="EQ27" i="13"/>
  <c r="CG27" i="13"/>
  <c r="U27" i="13"/>
  <c r="HA27" i="13"/>
  <c r="DM27" i="13"/>
  <c r="Q27" i="13"/>
  <c r="GZ27" i="13"/>
  <c r="DI27" i="13"/>
  <c r="O27" i="13"/>
  <c r="GS27" i="13"/>
  <c r="DF27" i="13"/>
  <c r="N27" i="13"/>
  <c r="GJ27" i="13"/>
  <c r="CY27" i="13"/>
  <c r="J27" i="13"/>
  <c r="GD27" i="13"/>
  <c r="CT27" i="13"/>
  <c r="FW27" i="13"/>
  <c r="CB27" i="13"/>
  <c r="FV27" i="13"/>
  <c r="BZ27" i="13"/>
  <c r="EL27" i="13"/>
  <c r="AZ27" i="13"/>
  <c r="GA27" i="13"/>
  <c r="AS27" i="13"/>
  <c r="FY27" i="13"/>
  <c r="AM27" i="13"/>
  <c r="FJ27" i="13"/>
  <c r="AI27" i="13"/>
  <c r="EZ27" i="13"/>
  <c r="AC27" i="13"/>
  <c r="EX27" i="13"/>
  <c r="K27" i="13"/>
  <c r="EJ27" i="13"/>
  <c r="BS27" i="13"/>
  <c r="BQ27" i="13"/>
  <c r="BL27" i="13"/>
  <c r="BC27" i="13"/>
  <c r="BB27" i="13"/>
  <c r="HO27" i="13"/>
  <c r="EE27" i="13"/>
  <c r="DW27" i="13"/>
  <c r="DR27" i="13"/>
  <c r="DP27" i="13"/>
  <c r="CZ27" i="13"/>
  <c r="CK27" i="13"/>
  <c r="AJ27" i="13"/>
  <c r="HL27" i="13"/>
  <c r="HD27" i="13"/>
  <c r="GO27" i="13"/>
  <c r="FK27" i="13"/>
  <c r="EO27" i="13"/>
  <c r="EM27" i="13"/>
  <c r="IA27" i="13"/>
  <c r="HW27" i="13"/>
  <c r="CC27" i="13"/>
  <c r="BI27" i="13"/>
  <c r="DP68" i="4"/>
  <c r="EA69" i="4"/>
  <c r="M133" i="7" s="1"/>
  <c r="AL70" i="7"/>
  <c r="AK70" i="7"/>
  <c r="AJ70" i="7"/>
  <c r="AI70" i="7"/>
  <c r="AG70" i="7"/>
  <c r="AF70" i="7"/>
  <c r="AM70" i="7"/>
  <c r="AH70" i="7"/>
  <c r="AH68" i="4"/>
  <c r="FN68" i="4"/>
  <c r="AG69" i="4"/>
  <c r="M35" i="7" s="1"/>
  <c r="CK69" i="4"/>
  <c r="M91" i="7" s="1"/>
  <c r="GD69" i="4"/>
  <c r="M188" i="7" s="1"/>
  <c r="AN135" i="7"/>
  <c r="FD55" i="13"/>
  <c r="BV68" i="4"/>
  <c r="HL68" i="4"/>
  <c r="CL69" i="4"/>
  <c r="M92" i="7" s="1"/>
  <c r="AF64" i="7"/>
  <c r="L70" i="7"/>
  <c r="L115" i="7"/>
  <c r="CC68" i="4"/>
  <c r="L83" i="7" s="1"/>
  <c r="FP68" i="4"/>
  <c r="L174" i="7" s="1"/>
  <c r="CM69" i="4"/>
  <c r="M93" i="7" s="1"/>
  <c r="GJ69" i="4"/>
  <c r="GJ70" i="4" s="1"/>
  <c r="M16" i="7"/>
  <c r="L16" i="7"/>
  <c r="AN79" i="7"/>
  <c r="AL68" i="4"/>
  <c r="CH68" i="4"/>
  <c r="DU68" i="4"/>
  <c r="FR68" i="4"/>
  <c r="HV68" i="4"/>
  <c r="HV70" i="4" s="1"/>
  <c r="AO69" i="4"/>
  <c r="CP69" i="4"/>
  <c r="M96" i="7" s="1"/>
  <c r="GR69" i="4"/>
  <c r="AM39" i="7"/>
  <c r="AL39" i="7"/>
  <c r="AK39" i="7"/>
  <c r="AJ39" i="7"/>
  <c r="AI39" i="7"/>
  <c r="AH39" i="7"/>
  <c r="AF39" i="7"/>
  <c r="AM68" i="4"/>
  <c r="CJ68" i="4"/>
  <c r="DV68" i="4"/>
  <c r="HW68" i="4"/>
  <c r="HW70" i="4" s="1"/>
  <c r="AV69" i="4"/>
  <c r="M50" i="7" s="1"/>
  <c r="CQ69" i="4"/>
  <c r="M97" i="7" s="1"/>
  <c r="EV69" i="4"/>
  <c r="M154" i="7" s="1"/>
  <c r="GS69" i="4"/>
  <c r="AM13" i="7"/>
  <c r="AL13" i="7"/>
  <c r="AK13" i="7"/>
  <c r="AJ13" i="7"/>
  <c r="AI13" i="7"/>
  <c r="AH13" i="7"/>
  <c r="AG13" i="7"/>
  <c r="AF13" i="7"/>
  <c r="AN131" i="7"/>
  <c r="HS69" i="4"/>
  <c r="M229" i="7" s="1"/>
  <c r="AN68" i="4"/>
  <c r="CK68" i="4"/>
  <c r="EG68" i="4"/>
  <c r="FU68" i="4"/>
  <c r="HX68" i="4"/>
  <c r="AX69" i="4"/>
  <c r="M52" i="7" s="1"/>
  <c r="CR69" i="4"/>
  <c r="CR70" i="4" s="1"/>
  <c r="EW69" i="4"/>
  <c r="M155" i="7" s="1"/>
  <c r="G7" i="7"/>
  <c r="J10" i="7"/>
  <c r="AC11" i="7"/>
  <c r="AB16" i="7"/>
  <c r="Y20" i="7"/>
  <c r="Z22" i="7"/>
  <c r="I24" i="7"/>
  <c r="J26" i="7"/>
  <c r="AD56" i="7"/>
  <c r="Y62" i="7"/>
  <c r="Y80" i="7"/>
  <c r="M84" i="7"/>
  <c r="L84" i="7"/>
  <c r="D108" i="7"/>
  <c r="G142" i="7"/>
  <c r="U164" i="7"/>
  <c r="D191" i="7"/>
  <c r="L237" i="7"/>
  <c r="IA70" i="4"/>
  <c r="M37" i="7"/>
  <c r="L146" i="7"/>
  <c r="AN122" i="7"/>
  <c r="X69" i="4"/>
  <c r="M26" i="7" s="1"/>
  <c r="HT68" i="4"/>
  <c r="GM68" i="4"/>
  <c r="FL68" i="4"/>
  <c r="FL70" i="4" s="1"/>
  <c r="EK68" i="4"/>
  <c r="DK68" i="4"/>
  <c r="DK70" i="4" s="1"/>
  <c r="CG68" i="4"/>
  <c r="BG68" i="4"/>
  <c r="BG70" i="4" s="1"/>
  <c r="AG68" i="4"/>
  <c r="G68" i="4"/>
  <c r="G70" i="4" s="1"/>
  <c r="GV69" i="4"/>
  <c r="FS69" i="4"/>
  <c r="EM69" i="4"/>
  <c r="M145" i="7" s="1"/>
  <c r="DI69" i="4"/>
  <c r="M115" i="7" s="1"/>
  <c r="CG69" i="4"/>
  <c r="M87" i="7" s="1"/>
  <c r="AZ69" i="4"/>
  <c r="M54" i="7" s="1"/>
  <c r="W69" i="4"/>
  <c r="HS68" i="4"/>
  <c r="GL68" i="4"/>
  <c r="FK68" i="4"/>
  <c r="EJ68" i="4"/>
  <c r="DG68" i="4"/>
  <c r="CF68" i="4"/>
  <c r="BF68" i="4"/>
  <c r="AF68" i="4"/>
  <c r="F68" i="4"/>
  <c r="GT69" i="4"/>
  <c r="M204" i="7" s="1"/>
  <c r="FR69" i="4"/>
  <c r="M176" i="7" s="1"/>
  <c r="EL69" i="4"/>
  <c r="M144" i="7" s="1"/>
  <c r="DH69" i="4"/>
  <c r="M114" i="7" s="1"/>
  <c r="CF69" i="4"/>
  <c r="AY69" i="4"/>
  <c r="M53" i="7" s="1"/>
  <c r="V69" i="4"/>
  <c r="M24" i="7" s="1"/>
  <c r="HR68" i="4"/>
  <c r="GK68" i="4"/>
  <c r="GK70" i="4" s="1"/>
  <c r="FJ68" i="4"/>
  <c r="FJ70" i="4" s="1"/>
  <c r="EI68" i="4"/>
  <c r="EI70" i="4" s="1"/>
  <c r="DF68" i="4"/>
  <c r="DF70" i="4" s="1"/>
  <c r="CE68" i="4"/>
  <c r="BE68" i="4"/>
  <c r="BE70" i="4" s="1"/>
  <c r="AE68" i="4"/>
  <c r="E68" i="4"/>
  <c r="HR69" i="4"/>
  <c r="M228" i="7" s="1"/>
  <c r="GO69" i="4"/>
  <c r="FI69" i="4"/>
  <c r="EE69" i="4"/>
  <c r="DC69" i="4"/>
  <c r="BV69" i="4"/>
  <c r="M76" i="7" s="1"/>
  <c r="AS69" i="4"/>
  <c r="AS70" i="4" s="1"/>
  <c r="Q69" i="4"/>
  <c r="HH68" i="4"/>
  <c r="HH70" i="4" s="1"/>
  <c r="FE68" i="4"/>
  <c r="DZ68" i="4"/>
  <c r="CZ68" i="4"/>
  <c r="CZ70" i="4" s="1"/>
  <c r="BZ68" i="4"/>
  <c r="AZ68" i="4"/>
  <c r="W68" i="4"/>
  <c r="W70" i="4" s="1"/>
  <c r="HO69" i="4"/>
  <c r="M225" i="7" s="1"/>
  <c r="GM69" i="4"/>
  <c r="M197" i="7" s="1"/>
  <c r="FF69" i="4"/>
  <c r="M164" i="7" s="1"/>
  <c r="EC69" i="4"/>
  <c r="M135" i="7" s="1"/>
  <c r="DA69" i="4"/>
  <c r="M107" i="7" s="1"/>
  <c r="BT69" i="4"/>
  <c r="M74" i="7" s="1"/>
  <c r="AQ69" i="4"/>
  <c r="M45" i="7" s="1"/>
  <c r="K69" i="4"/>
  <c r="GD68" i="4"/>
  <c r="GD70" i="4" s="1"/>
  <c r="DX68" i="4"/>
  <c r="DX70" i="4" s="1"/>
  <c r="CX68" i="4"/>
  <c r="BX68" i="4"/>
  <c r="AX68" i="4"/>
  <c r="AP69" i="4"/>
  <c r="M44" i="7" s="1"/>
  <c r="DW68" i="4"/>
  <c r="BW68" i="4"/>
  <c r="DA68" i="4"/>
  <c r="CA68" i="4"/>
  <c r="BA68" i="4"/>
  <c r="BA70" i="4" s="1"/>
  <c r="AA68" i="4"/>
  <c r="GF68" i="4"/>
  <c r="EY68" i="4"/>
  <c r="EY70" i="4" s="1"/>
  <c r="T68" i="4"/>
  <c r="T70" i="4" s="1"/>
  <c r="HN69" i="4"/>
  <c r="M224" i="7" s="1"/>
  <c r="FE69" i="4"/>
  <c r="M163" i="7" s="1"/>
  <c r="EB69" i="4"/>
  <c r="CZ69" i="4"/>
  <c r="BR69" i="4"/>
  <c r="M72" i="7" s="1"/>
  <c r="J69" i="4"/>
  <c r="GC68" i="4"/>
  <c r="EX68" i="4"/>
  <c r="CW68" i="4"/>
  <c r="AW68" i="4"/>
  <c r="AW70" i="4" s="1"/>
  <c r="HP69" i="4"/>
  <c r="GN69" i="4"/>
  <c r="FH69" i="4"/>
  <c r="M166" i="7" s="1"/>
  <c r="ED69" i="4"/>
  <c r="M136" i="7" s="1"/>
  <c r="DB69" i="4"/>
  <c r="M108" i="7" s="1"/>
  <c r="BU69" i="4"/>
  <c r="M75" i="7" s="1"/>
  <c r="AR69" i="4"/>
  <c r="M46" i="7" s="1"/>
  <c r="P69" i="4"/>
  <c r="M18" i="7" s="1"/>
  <c r="HF68" i="4"/>
  <c r="GE68" i="4"/>
  <c r="FD68" i="4"/>
  <c r="DY68" i="4"/>
  <c r="DY70" i="4" s="1"/>
  <c r="CY68" i="4"/>
  <c r="CY70" i="4" s="1"/>
  <c r="BY68" i="4"/>
  <c r="AY68" i="4"/>
  <c r="V68" i="4"/>
  <c r="HE68" i="4"/>
  <c r="GL69" i="4"/>
  <c r="HD68" i="4"/>
  <c r="S68" i="4"/>
  <c r="HV24" i="13"/>
  <c r="GZ24" i="13"/>
  <c r="GD24" i="13"/>
  <c r="FH24" i="13"/>
  <c r="EL24" i="13"/>
  <c r="DP24" i="13"/>
  <c r="CT24" i="13"/>
  <c r="BX24" i="13"/>
  <c r="BB24" i="13"/>
  <c r="AF24" i="13"/>
  <c r="J24" i="13"/>
  <c r="HG24" i="13"/>
  <c r="GJ24" i="13"/>
  <c r="FM24" i="13"/>
  <c r="EP24" i="13"/>
  <c r="DS24" i="13"/>
  <c r="CV24" i="13"/>
  <c r="BY24" i="13"/>
  <c r="BA24" i="13"/>
  <c r="AD24" i="13"/>
  <c r="G24" i="13"/>
  <c r="HF24" i="13"/>
  <c r="GI24" i="13"/>
  <c r="FL24" i="13"/>
  <c r="EO24" i="13"/>
  <c r="DR24" i="13"/>
  <c r="CU24" i="13"/>
  <c r="BW24" i="13"/>
  <c r="AZ24" i="13"/>
  <c r="AC24" i="13"/>
  <c r="F24" i="13"/>
  <c r="HE24" i="13"/>
  <c r="GH24" i="13"/>
  <c r="FK24" i="13"/>
  <c r="EN24" i="13"/>
  <c r="DQ24" i="13"/>
  <c r="CS24" i="13"/>
  <c r="BV24" i="13"/>
  <c r="AY24" i="13"/>
  <c r="AB24" i="13"/>
  <c r="E24" i="13"/>
  <c r="HU24" i="13"/>
  <c r="GX24" i="13"/>
  <c r="GA24" i="13"/>
  <c r="FD24" i="13"/>
  <c r="EG24" i="13"/>
  <c r="DJ24" i="13"/>
  <c r="CM24" i="13"/>
  <c r="BP24" i="13"/>
  <c r="AS24" i="13"/>
  <c r="V24" i="13"/>
  <c r="HT24" i="13"/>
  <c r="GW24" i="13"/>
  <c r="FZ24" i="13"/>
  <c r="FC24" i="13"/>
  <c r="EF24" i="13"/>
  <c r="DI24" i="13"/>
  <c r="CL24" i="13"/>
  <c r="BO24" i="13"/>
  <c r="AR24" i="13"/>
  <c r="U24" i="13"/>
  <c r="HP24" i="13"/>
  <c r="GS24" i="13"/>
  <c r="FV24" i="13"/>
  <c r="EY24" i="13"/>
  <c r="EB24" i="13"/>
  <c r="DE24" i="13"/>
  <c r="CH24" i="13"/>
  <c r="BK24" i="13"/>
  <c r="AN24" i="13"/>
  <c r="Q24" i="13"/>
  <c r="HY24" i="13"/>
  <c r="GR24" i="13"/>
  <c r="FO24" i="13"/>
  <c r="EH24" i="13"/>
  <c r="DB24" i="13"/>
  <c r="BU24" i="13"/>
  <c r="AP24" i="13"/>
  <c r="L24" i="13"/>
  <c r="HX24" i="13"/>
  <c r="GQ24" i="13"/>
  <c r="FN24" i="13"/>
  <c r="EE24" i="13"/>
  <c r="DA24" i="13"/>
  <c r="BT24" i="13"/>
  <c r="AO24" i="13"/>
  <c r="K24" i="13"/>
  <c r="HR24" i="13"/>
  <c r="GN24" i="13"/>
  <c r="FG24" i="13"/>
  <c r="EA24" i="13"/>
  <c r="CX24" i="13"/>
  <c r="BQ24" i="13"/>
  <c r="AK24" i="13"/>
  <c r="D24" i="13"/>
  <c r="HM24" i="13"/>
  <c r="GG24" i="13"/>
  <c r="FA24" i="13"/>
  <c r="DW24" i="13"/>
  <c r="CP24" i="13"/>
  <c r="BJ24" i="13"/>
  <c r="AG24" i="13"/>
  <c r="HL24" i="13"/>
  <c r="GF24" i="13"/>
  <c r="EZ24" i="13"/>
  <c r="DV24" i="13"/>
  <c r="CO24" i="13"/>
  <c r="BI24" i="13"/>
  <c r="AE24" i="13"/>
  <c r="HH24" i="13"/>
  <c r="FY24" i="13"/>
  <c r="EU24" i="13"/>
  <c r="DN24" i="13"/>
  <c r="CI24" i="13"/>
  <c r="BE24" i="13"/>
  <c r="X24" i="13"/>
  <c r="HC24" i="13"/>
  <c r="FW24" i="13"/>
  <c r="ES24" i="13"/>
  <c r="DL24" i="13"/>
  <c r="CF24" i="13"/>
  <c r="BC24" i="13"/>
  <c r="T24" i="13"/>
  <c r="GV24" i="13"/>
  <c r="FB24" i="13"/>
  <c r="DG24" i="13"/>
  <c r="BM24" i="13"/>
  <c r="R24" i="13"/>
  <c r="GU24" i="13"/>
  <c r="EX24" i="13"/>
  <c r="DF24" i="13"/>
  <c r="BL24" i="13"/>
  <c r="P24" i="13"/>
  <c r="IA24" i="13"/>
  <c r="GE24" i="13"/>
  <c r="EK24" i="13"/>
  <c r="CQ24" i="13"/>
  <c r="AV24" i="13"/>
  <c r="HZ24" i="13"/>
  <c r="GC24" i="13"/>
  <c r="EJ24" i="13"/>
  <c r="CN24" i="13"/>
  <c r="AU24" i="13"/>
  <c r="HO24" i="13"/>
  <c r="FT24" i="13"/>
  <c r="DZ24" i="13"/>
  <c r="CE24" i="13"/>
  <c r="AL24" i="13"/>
  <c r="HK24" i="13"/>
  <c r="FR24" i="13"/>
  <c r="DX24" i="13"/>
  <c r="CC24" i="13"/>
  <c r="AI24" i="13"/>
  <c r="HJ24" i="13"/>
  <c r="FQ24" i="13"/>
  <c r="DU24" i="13"/>
  <c r="CB24" i="13"/>
  <c r="AH24" i="13"/>
  <c r="HW24" i="13"/>
  <c r="FF24" i="13"/>
  <c r="CR24" i="13"/>
  <c r="Y24" i="13"/>
  <c r="HS24" i="13"/>
  <c r="FE24" i="13"/>
  <c r="CK24" i="13"/>
  <c r="W24" i="13"/>
  <c r="HQ24" i="13"/>
  <c r="EW24" i="13"/>
  <c r="CJ24" i="13"/>
  <c r="S24" i="13"/>
  <c r="HI24" i="13"/>
  <c r="ET24" i="13"/>
  <c r="CD24" i="13"/>
  <c r="N24" i="13"/>
  <c r="HD24" i="13"/>
  <c r="ER24" i="13"/>
  <c r="CA24" i="13"/>
  <c r="M24" i="13"/>
  <c r="GY24" i="13"/>
  <c r="EI24" i="13"/>
  <c r="BR24" i="13"/>
  <c r="GT24" i="13"/>
  <c r="ED24" i="13"/>
  <c r="BN24" i="13"/>
  <c r="FX24" i="13"/>
  <c r="DH24" i="13"/>
  <c r="AT24" i="13"/>
  <c r="DO24" i="13"/>
  <c r="O24" i="13"/>
  <c r="DM24" i="13"/>
  <c r="I24" i="13"/>
  <c r="HB24" i="13"/>
  <c r="DD24" i="13"/>
  <c r="HA24" i="13"/>
  <c r="DC24" i="13"/>
  <c r="GP24" i="13"/>
  <c r="CZ24" i="13"/>
  <c r="GL24" i="13"/>
  <c r="CG24" i="13"/>
  <c r="CY24" i="13"/>
  <c r="CW24" i="13"/>
  <c r="BZ24" i="13"/>
  <c r="BH24" i="13"/>
  <c r="HN24" i="13"/>
  <c r="BG24" i="13"/>
  <c r="GK24" i="13"/>
  <c r="AX24" i="13"/>
  <c r="EQ24" i="13"/>
  <c r="EM24" i="13"/>
  <c r="EC24" i="13"/>
  <c r="DY24" i="13"/>
  <c r="DT24" i="13"/>
  <c r="DK24" i="13"/>
  <c r="BD24" i="13"/>
  <c r="AW24" i="13"/>
  <c r="FS24" i="13"/>
  <c r="FP24" i="13"/>
  <c r="FJ24" i="13"/>
  <c r="FI24" i="13"/>
  <c r="EV24" i="13"/>
  <c r="BS24" i="13"/>
  <c r="AM24" i="13"/>
  <c r="GO24" i="13"/>
  <c r="GB24" i="13"/>
  <c r="FU24" i="13"/>
  <c r="BF24" i="13"/>
  <c r="AJ24" i="13"/>
  <c r="AA24" i="13"/>
  <c r="GM24" i="13"/>
  <c r="AQ24" i="13"/>
  <c r="Z24" i="13"/>
  <c r="H24" i="13"/>
  <c r="BD68" i="4"/>
  <c r="G69" i="4"/>
  <c r="M9" i="7" s="1"/>
  <c r="HI69" i="4"/>
  <c r="M219" i="7" s="1"/>
  <c r="AF57" i="7"/>
  <c r="AI57" i="7"/>
  <c r="AM57" i="7"/>
  <c r="AL57" i="7"/>
  <c r="AJ57" i="7"/>
  <c r="AK57" i="7"/>
  <c r="AH57" i="7"/>
  <c r="CU68" i="4"/>
  <c r="GP68" i="4"/>
  <c r="BM69" i="4"/>
  <c r="M67" i="7" s="1"/>
  <c r="HJ69" i="4"/>
  <c r="M68" i="4"/>
  <c r="ER68" i="4"/>
  <c r="ER70" i="4" s="1"/>
  <c r="BN69" i="4"/>
  <c r="M68" i="7" s="1"/>
  <c r="FQ69" i="4"/>
  <c r="M175" i="7" s="1"/>
  <c r="HG25" i="13"/>
  <c r="GK25" i="13"/>
  <c r="FO25" i="13"/>
  <c r="ES25" i="13"/>
  <c r="DW25" i="13"/>
  <c r="DA25" i="13"/>
  <c r="CE25" i="13"/>
  <c r="BI25" i="13"/>
  <c r="AM25" i="13"/>
  <c r="Q25" i="13"/>
  <c r="HZ25" i="13"/>
  <c r="HD25" i="13"/>
  <c r="GH25" i="13"/>
  <c r="FL25" i="13"/>
  <c r="EP25" i="13"/>
  <c r="DT25" i="13"/>
  <c r="CX25" i="13"/>
  <c r="HX25" i="13"/>
  <c r="HB25" i="13"/>
  <c r="GF25" i="13"/>
  <c r="FJ25" i="13"/>
  <c r="EN25" i="13"/>
  <c r="DR25" i="13"/>
  <c r="CV25" i="13"/>
  <c r="HO25" i="13"/>
  <c r="GP25" i="13"/>
  <c r="FQ25" i="13"/>
  <c r="EQ25" i="13"/>
  <c r="DP25" i="13"/>
  <c r="CQ25" i="13"/>
  <c r="BT25" i="13"/>
  <c r="AW25" i="13"/>
  <c r="Z25" i="13"/>
  <c r="HN25" i="13"/>
  <c r="GO25" i="13"/>
  <c r="FP25" i="13"/>
  <c r="EO25" i="13"/>
  <c r="DO25" i="13"/>
  <c r="CP25" i="13"/>
  <c r="BS25" i="13"/>
  <c r="AV25" i="13"/>
  <c r="Y25" i="13"/>
  <c r="HM25" i="13"/>
  <c r="GN25" i="13"/>
  <c r="FN25" i="13"/>
  <c r="EM25" i="13"/>
  <c r="DN25" i="13"/>
  <c r="CO25" i="13"/>
  <c r="BR25" i="13"/>
  <c r="AU25" i="13"/>
  <c r="X25" i="13"/>
  <c r="HF25" i="13"/>
  <c r="GE25" i="13"/>
  <c r="FF25" i="13"/>
  <c r="EG25" i="13"/>
  <c r="DH25" i="13"/>
  <c r="CI25" i="13"/>
  <c r="BL25" i="13"/>
  <c r="AO25" i="13"/>
  <c r="R25" i="13"/>
  <c r="HE25" i="13"/>
  <c r="GD25" i="13"/>
  <c r="FE25" i="13"/>
  <c r="EF25" i="13"/>
  <c r="DG25" i="13"/>
  <c r="CH25" i="13"/>
  <c r="BK25" i="13"/>
  <c r="AN25" i="13"/>
  <c r="P25" i="13"/>
  <c r="HY25" i="13"/>
  <c r="GY25" i="13"/>
  <c r="FZ25" i="13"/>
  <c r="FA25" i="13"/>
  <c r="EB25" i="13"/>
  <c r="DC25" i="13"/>
  <c r="CC25" i="13"/>
  <c r="BF25" i="13"/>
  <c r="AI25" i="13"/>
  <c r="L25" i="13"/>
  <c r="HV25" i="13"/>
  <c r="GW25" i="13"/>
  <c r="IA25" i="13"/>
  <c r="GQ25" i="13"/>
  <c r="FD25" i="13"/>
  <c r="DX25" i="13"/>
  <c r="CM25" i="13"/>
  <c r="BG25" i="13"/>
  <c r="AC25" i="13"/>
  <c r="HW25" i="13"/>
  <c r="GM25" i="13"/>
  <c r="FC25" i="13"/>
  <c r="DV25" i="13"/>
  <c r="CL25" i="13"/>
  <c r="BE25" i="13"/>
  <c r="AB25" i="13"/>
  <c r="HS25" i="13"/>
  <c r="GI25" i="13"/>
  <c r="EY25" i="13"/>
  <c r="DQ25" i="13"/>
  <c r="CG25" i="13"/>
  <c r="BB25" i="13"/>
  <c r="V25" i="13"/>
  <c r="HL25" i="13"/>
  <c r="GA25" i="13"/>
  <c r="EU25" i="13"/>
  <c r="DJ25" i="13"/>
  <c r="CA25" i="13"/>
  <c r="AX25" i="13"/>
  <c r="O25" i="13"/>
  <c r="HK25" i="13"/>
  <c r="FY25" i="13"/>
  <c r="ET25" i="13"/>
  <c r="DI25" i="13"/>
  <c r="BZ25" i="13"/>
  <c r="AT25" i="13"/>
  <c r="N25" i="13"/>
  <c r="HC25" i="13"/>
  <c r="FU25" i="13"/>
  <c r="EJ25" i="13"/>
  <c r="DB25" i="13"/>
  <c r="BV25" i="13"/>
  <c r="AP25" i="13"/>
  <c r="I25" i="13"/>
  <c r="GZ25" i="13"/>
  <c r="FS25" i="13"/>
  <c r="EH25" i="13"/>
  <c r="CY25" i="13"/>
  <c r="BQ25" i="13"/>
  <c r="AK25" i="13"/>
  <c r="G25" i="13"/>
  <c r="GX25" i="13"/>
  <c r="FR25" i="13"/>
  <c r="EE25" i="13"/>
  <c r="CW25" i="13"/>
  <c r="HQ25" i="13"/>
  <c r="FI25" i="13"/>
  <c r="DF25" i="13"/>
  <c r="BJ25" i="13"/>
  <c r="M25" i="13"/>
  <c r="HP25" i="13"/>
  <c r="FH25" i="13"/>
  <c r="DE25" i="13"/>
  <c r="BH25" i="13"/>
  <c r="K25" i="13"/>
  <c r="GT25" i="13"/>
  <c r="ER25" i="13"/>
  <c r="CN25" i="13"/>
  <c r="AR25" i="13"/>
  <c r="GS25" i="13"/>
  <c r="EL25" i="13"/>
  <c r="CK25" i="13"/>
  <c r="AQ25" i="13"/>
  <c r="GG25" i="13"/>
  <c r="EC25" i="13"/>
  <c r="CB25" i="13"/>
  <c r="AG25" i="13"/>
  <c r="GB25" i="13"/>
  <c r="DZ25" i="13"/>
  <c r="BX25" i="13"/>
  <c r="AE25" i="13"/>
  <c r="FX25" i="13"/>
  <c r="DY25" i="13"/>
  <c r="BW25" i="13"/>
  <c r="AD25" i="13"/>
  <c r="HJ25" i="13"/>
  <c r="EI25" i="13"/>
  <c r="BM25" i="13"/>
  <c r="HI25" i="13"/>
  <c r="ED25" i="13"/>
  <c r="BD25" i="13"/>
  <c r="HH25" i="13"/>
  <c r="EA25" i="13"/>
  <c r="BC25" i="13"/>
  <c r="GV25" i="13"/>
  <c r="DS25" i="13"/>
  <c r="AZ25" i="13"/>
  <c r="GU25" i="13"/>
  <c r="DM25" i="13"/>
  <c r="AY25" i="13"/>
  <c r="GJ25" i="13"/>
  <c r="DD25" i="13"/>
  <c r="AJ25" i="13"/>
  <c r="GC25" i="13"/>
  <c r="CZ25" i="13"/>
  <c r="AH25" i="13"/>
  <c r="FB25" i="13"/>
  <c r="CD25" i="13"/>
  <c r="J25" i="13"/>
  <c r="CT25" i="13"/>
  <c r="D25" i="13"/>
  <c r="HU25" i="13"/>
  <c r="CS25" i="13"/>
  <c r="HR25" i="13"/>
  <c r="CJ25" i="13"/>
  <c r="HA25" i="13"/>
  <c r="CF25" i="13"/>
  <c r="GR25" i="13"/>
  <c r="BY25" i="13"/>
  <c r="FV25" i="13"/>
  <c r="BO25" i="13"/>
  <c r="FG25" i="13"/>
  <c r="S25" i="13"/>
  <c r="EZ25" i="13"/>
  <c r="H25" i="13"/>
  <c r="EX25" i="13"/>
  <c r="F25" i="13"/>
  <c r="EV25" i="13"/>
  <c r="EK25" i="13"/>
  <c r="DK25" i="13"/>
  <c r="BU25" i="13"/>
  <c r="BP25" i="13"/>
  <c r="BN25" i="13"/>
  <c r="BA25" i="13"/>
  <c r="AS25" i="13"/>
  <c r="AL25" i="13"/>
  <c r="W25" i="13"/>
  <c r="U25" i="13"/>
  <c r="HT25" i="13"/>
  <c r="GL25" i="13"/>
  <c r="FW25" i="13"/>
  <c r="FT25" i="13"/>
  <c r="EW25" i="13"/>
  <c r="T25" i="13"/>
  <c r="CU25" i="13"/>
  <c r="CR25" i="13"/>
  <c r="AF25" i="13"/>
  <c r="AA25" i="13"/>
  <c r="E25" i="13"/>
  <c r="DL25" i="13"/>
  <c r="DU25" i="13"/>
  <c r="N68" i="4"/>
  <c r="ES68" i="4"/>
  <c r="U69" i="4"/>
  <c r="DQ69" i="4"/>
  <c r="HL69" i="4"/>
  <c r="M222" i="7" s="1"/>
  <c r="AG109" i="7"/>
  <c r="HW40" i="13"/>
  <c r="HA40" i="13"/>
  <c r="GE40" i="13"/>
  <c r="FI40" i="13"/>
  <c r="EM40" i="13"/>
  <c r="DQ40" i="13"/>
  <c r="CU40" i="13"/>
  <c r="BY40" i="13"/>
  <c r="BC40" i="13"/>
  <c r="AG40" i="13"/>
  <c r="K40" i="13"/>
  <c r="HV40" i="13"/>
  <c r="GZ40" i="13"/>
  <c r="GD40" i="13"/>
  <c r="FH40" i="13"/>
  <c r="EL40" i="13"/>
  <c r="DP40" i="13"/>
  <c r="CT40" i="13"/>
  <c r="BX40" i="13"/>
  <c r="BB40" i="13"/>
  <c r="AF40" i="13"/>
  <c r="J40" i="13"/>
  <c r="HT40" i="13"/>
  <c r="GX40" i="13"/>
  <c r="GB40" i="13"/>
  <c r="FF40" i="13"/>
  <c r="EJ40" i="13"/>
  <c r="DN40" i="13"/>
  <c r="CR40" i="13"/>
  <c r="BV40" i="13"/>
  <c r="AZ40" i="13"/>
  <c r="AD40" i="13"/>
  <c r="H40" i="13"/>
  <c r="HS40" i="13"/>
  <c r="GW40" i="13"/>
  <c r="GA40" i="13"/>
  <c r="FE40" i="13"/>
  <c r="EI40" i="13"/>
  <c r="DM40" i="13"/>
  <c r="CQ40" i="13"/>
  <c r="BU40" i="13"/>
  <c r="AY40" i="13"/>
  <c r="AC40" i="13"/>
  <c r="G40" i="13"/>
  <c r="HR40" i="13"/>
  <c r="GV40" i="13"/>
  <c r="FZ40" i="13"/>
  <c r="FD40" i="13"/>
  <c r="EH40" i="13"/>
  <c r="DL40" i="13"/>
  <c r="CP40" i="13"/>
  <c r="BT40" i="13"/>
  <c r="AX40" i="13"/>
  <c r="AB40" i="13"/>
  <c r="F40" i="13"/>
  <c r="HQ40" i="13"/>
  <c r="GU40" i="13"/>
  <c r="FY40" i="13"/>
  <c r="FC40" i="13"/>
  <c r="EG40" i="13"/>
  <c r="DK40" i="13"/>
  <c r="CO40" i="13"/>
  <c r="BS40" i="13"/>
  <c r="AW40" i="13"/>
  <c r="AA40" i="13"/>
  <c r="E40" i="13"/>
  <c r="HY40" i="13"/>
  <c r="GQ40" i="13"/>
  <c r="FO40" i="13"/>
  <c r="EK40" i="13"/>
  <c r="DE40" i="13"/>
  <c r="CC40" i="13"/>
  <c r="AU40" i="13"/>
  <c r="S40" i="13"/>
  <c r="HX40" i="13"/>
  <c r="GP40" i="13"/>
  <c r="FN40" i="13"/>
  <c r="EF40" i="13"/>
  <c r="DD40" i="13"/>
  <c r="CB40" i="13"/>
  <c r="AT40" i="13"/>
  <c r="R40" i="13"/>
  <c r="HO40" i="13"/>
  <c r="GM40" i="13"/>
  <c r="FK40" i="13"/>
  <c r="EC40" i="13"/>
  <c r="DA40" i="13"/>
  <c r="BW40" i="13"/>
  <c r="AQ40" i="13"/>
  <c r="O40" i="13"/>
  <c r="HN40" i="13"/>
  <c r="GL40" i="13"/>
  <c r="FJ40" i="13"/>
  <c r="EB40" i="13"/>
  <c r="CZ40" i="13"/>
  <c r="BR40" i="13"/>
  <c r="AP40" i="13"/>
  <c r="N40" i="13"/>
  <c r="HM40" i="13"/>
  <c r="GK40" i="13"/>
  <c r="FG40" i="13"/>
  <c r="EA40" i="13"/>
  <c r="CY40" i="13"/>
  <c r="BQ40" i="13"/>
  <c r="AO40" i="13"/>
  <c r="M40" i="13"/>
  <c r="HK40" i="13"/>
  <c r="GI40" i="13"/>
  <c r="FA40" i="13"/>
  <c r="DY40" i="13"/>
  <c r="CW40" i="13"/>
  <c r="BO40" i="13"/>
  <c r="AM40" i="13"/>
  <c r="I40" i="13"/>
  <c r="HJ40" i="13"/>
  <c r="GH40" i="13"/>
  <c r="EZ40" i="13"/>
  <c r="DX40" i="13"/>
  <c r="CV40" i="13"/>
  <c r="BN40" i="13"/>
  <c r="AL40" i="13"/>
  <c r="D40" i="13"/>
  <c r="HI40" i="13"/>
  <c r="GG40" i="13"/>
  <c r="EY40" i="13"/>
  <c r="DW40" i="13"/>
  <c r="CS40" i="13"/>
  <c r="BM40" i="13"/>
  <c r="AK40" i="13"/>
  <c r="GJ40" i="13"/>
  <c r="EQ40" i="13"/>
  <c r="CM40" i="13"/>
  <c r="BA40" i="13"/>
  <c r="GF40" i="13"/>
  <c r="EP40" i="13"/>
  <c r="CL40" i="13"/>
  <c r="AV40" i="13"/>
  <c r="GC40" i="13"/>
  <c r="EO40" i="13"/>
  <c r="CK40" i="13"/>
  <c r="AS40" i="13"/>
  <c r="FX40" i="13"/>
  <c r="EN40" i="13"/>
  <c r="CJ40" i="13"/>
  <c r="AR40" i="13"/>
  <c r="IA40" i="13"/>
  <c r="FW40" i="13"/>
  <c r="EE40" i="13"/>
  <c r="CI40" i="13"/>
  <c r="AN40" i="13"/>
  <c r="HZ40" i="13"/>
  <c r="FV40" i="13"/>
  <c r="ED40" i="13"/>
  <c r="CH40" i="13"/>
  <c r="AJ40" i="13"/>
  <c r="HU40" i="13"/>
  <c r="FU40" i="13"/>
  <c r="DZ40" i="13"/>
  <c r="CG40" i="13"/>
  <c r="AI40" i="13"/>
  <c r="HH40" i="13"/>
  <c r="FR40" i="13"/>
  <c r="DT40" i="13"/>
  <c r="CD40" i="13"/>
  <c r="Z40" i="13"/>
  <c r="HE40" i="13"/>
  <c r="ES40" i="13"/>
  <c r="BK40" i="13"/>
  <c r="HD40" i="13"/>
  <c r="ER40" i="13"/>
  <c r="BJ40" i="13"/>
  <c r="HB40" i="13"/>
  <c r="DU40" i="13"/>
  <c r="BH40" i="13"/>
  <c r="GO40" i="13"/>
  <c r="DI40" i="13"/>
  <c r="AH40" i="13"/>
  <c r="GN40" i="13"/>
  <c r="DH40" i="13"/>
  <c r="AE40" i="13"/>
  <c r="FP40" i="13"/>
  <c r="DB40" i="13"/>
  <c r="V40" i="13"/>
  <c r="FL40" i="13"/>
  <c r="CN40" i="13"/>
  <c r="T40" i="13"/>
  <c r="FB40" i="13"/>
  <c r="CF40" i="13"/>
  <c r="Q40" i="13"/>
  <c r="GY40" i="13"/>
  <c r="CE40" i="13"/>
  <c r="GT40" i="13"/>
  <c r="CA40" i="13"/>
  <c r="GS40" i="13"/>
  <c r="BZ40" i="13"/>
  <c r="GR40" i="13"/>
  <c r="BP40" i="13"/>
  <c r="FT40" i="13"/>
  <c r="BL40" i="13"/>
  <c r="FS40" i="13"/>
  <c r="BI40" i="13"/>
  <c r="FM40" i="13"/>
  <c r="BF40" i="13"/>
  <c r="EW40" i="13"/>
  <c r="BD40" i="13"/>
  <c r="EV40" i="13"/>
  <c r="Y40" i="13"/>
  <c r="DR40" i="13"/>
  <c r="L40" i="13"/>
  <c r="DO40" i="13"/>
  <c r="DJ40" i="13"/>
  <c r="DG40" i="13"/>
  <c r="DF40" i="13"/>
  <c r="X40" i="13"/>
  <c r="W40" i="13"/>
  <c r="HG40" i="13"/>
  <c r="HC40" i="13"/>
  <c r="HL40" i="13"/>
  <c r="HF40" i="13"/>
  <c r="ET40" i="13"/>
  <c r="DV40" i="13"/>
  <c r="BG40" i="13"/>
  <c r="U40" i="13"/>
  <c r="P40" i="13"/>
  <c r="DS40" i="13"/>
  <c r="DC40" i="13"/>
  <c r="HP40" i="13"/>
  <c r="EX40" i="13"/>
  <c r="EU40" i="13"/>
  <c r="BE40" i="13"/>
  <c r="CX40" i="13"/>
  <c r="FQ40" i="13"/>
  <c r="BK68" i="4"/>
  <c r="BK70" i="4" s="1"/>
  <c r="GW68" i="4"/>
  <c r="DV69" i="4"/>
  <c r="M128" i="7" s="1"/>
  <c r="HM69" i="4"/>
  <c r="EU68" i="4"/>
  <c r="HV69" i="4"/>
  <c r="AM64" i="7"/>
  <c r="AL64" i="7"/>
  <c r="AH64" i="7"/>
  <c r="AI64" i="7"/>
  <c r="HN26" i="13"/>
  <c r="GR26" i="13"/>
  <c r="FV26" i="13"/>
  <c r="EZ26" i="13"/>
  <c r="ED26" i="13"/>
  <c r="DH26" i="13"/>
  <c r="CL26" i="13"/>
  <c r="BP26" i="13"/>
  <c r="AT26" i="13"/>
  <c r="X26" i="13"/>
  <c r="HK26" i="13"/>
  <c r="GO26" i="13"/>
  <c r="FS26" i="13"/>
  <c r="EW26" i="13"/>
  <c r="EA26" i="13"/>
  <c r="DE26" i="13"/>
  <c r="CI26" i="13"/>
  <c r="BM26" i="13"/>
  <c r="AQ26" i="13"/>
  <c r="U26" i="13"/>
  <c r="HI26" i="13"/>
  <c r="GM26" i="13"/>
  <c r="FQ26" i="13"/>
  <c r="EU26" i="13"/>
  <c r="DY26" i="13"/>
  <c r="DC26" i="13"/>
  <c r="CG26" i="13"/>
  <c r="BK26" i="13"/>
  <c r="AO26" i="13"/>
  <c r="S26" i="13"/>
  <c r="HH26" i="13"/>
  <c r="GI26" i="13"/>
  <c r="FJ26" i="13"/>
  <c r="EK26" i="13"/>
  <c r="DL26" i="13"/>
  <c r="CM26" i="13"/>
  <c r="BL26" i="13"/>
  <c r="AL26" i="13"/>
  <c r="M26" i="13"/>
  <c r="HG26" i="13"/>
  <c r="GH26" i="13"/>
  <c r="FI26" i="13"/>
  <c r="EJ26" i="13"/>
  <c r="DK26" i="13"/>
  <c r="CK26" i="13"/>
  <c r="BJ26" i="13"/>
  <c r="AK26" i="13"/>
  <c r="L26" i="13"/>
  <c r="HF26" i="13"/>
  <c r="GG26" i="13"/>
  <c r="FH26" i="13"/>
  <c r="EI26" i="13"/>
  <c r="DJ26" i="13"/>
  <c r="CJ26" i="13"/>
  <c r="BI26" i="13"/>
  <c r="AJ26" i="13"/>
  <c r="K26" i="13"/>
  <c r="HY26" i="13"/>
  <c r="GZ26" i="13"/>
  <c r="GA26" i="13"/>
  <c r="FB26" i="13"/>
  <c r="EB26" i="13"/>
  <c r="DA26" i="13"/>
  <c r="CB26" i="13"/>
  <c r="BC26" i="13"/>
  <c r="AD26" i="13"/>
  <c r="E26" i="13"/>
  <c r="HX26" i="13"/>
  <c r="GY26" i="13"/>
  <c r="FZ26" i="13"/>
  <c r="FA26" i="13"/>
  <c r="DZ26" i="13"/>
  <c r="CZ26" i="13"/>
  <c r="CA26" i="13"/>
  <c r="BB26" i="13"/>
  <c r="AC26" i="13"/>
  <c r="D26" i="13"/>
  <c r="HT26" i="13"/>
  <c r="GU26" i="13"/>
  <c r="FU26" i="13"/>
  <c r="ET26" i="13"/>
  <c r="DU26" i="13"/>
  <c r="CV26" i="13"/>
  <c r="BW26" i="13"/>
  <c r="AX26" i="13"/>
  <c r="Y26" i="13"/>
  <c r="HR26" i="13"/>
  <c r="GS26" i="13"/>
  <c r="FR26" i="13"/>
  <c r="ER26" i="13"/>
  <c r="DS26" i="13"/>
  <c r="CT26" i="13"/>
  <c r="BU26" i="13"/>
  <c r="AV26" i="13"/>
  <c r="V26" i="13"/>
  <c r="HP26" i="13"/>
  <c r="GD26" i="13"/>
  <c r="EQ26" i="13"/>
  <c r="DG26" i="13"/>
  <c r="BV26" i="13"/>
  <c r="AI26" i="13"/>
  <c r="HO26" i="13"/>
  <c r="GC26" i="13"/>
  <c r="EP26" i="13"/>
  <c r="DF26" i="13"/>
  <c r="BT26" i="13"/>
  <c r="AH26" i="13"/>
  <c r="HL26" i="13"/>
  <c r="FY26" i="13"/>
  <c r="EN26" i="13"/>
  <c r="DB26" i="13"/>
  <c r="BR26" i="13"/>
  <c r="AF26" i="13"/>
  <c r="HJ26" i="13"/>
  <c r="FX26" i="13"/>
  <c r="EM26" i="13"/>
  <c r="CY26" i="13"/>
  <c r="BQ26" i="13"/>
  <c r="AE26" i="13"/>
  <c r="HB26" i="13"/>
  <c r="FO26" i="13"/>
  <c r="EF26" i="13"/>
  <c r="CS26" i="13"/>
  <c r="BG26" i="13"/>
  <c r="W26" i="13"/>
  <c r="HA26" i="13"/>
  <c r="FN26" i="13"/>
  <c r="EE26" i="13"/>
  <c r="CR26" i="13"/>
  <c r="BF26" i="13"/>
  <c r="T26" i="13"/>
  <c r="GT26" i="13"/>
  <c r="FG26" i="13"/>
  <c r="DV26" i="13"/>
  <c r="CN26" i="13"/>
  <c r="AZ26" i="13"/>
  <c r="O26" i="13"/>
  <c r="IA26" i="13"/>
  <c r="GP26" i="13"/>
  <c r="FE26" i="13"/>
  <c r="DR26" i="13"/>
  <c r="CF26" i="13"/>
  <c r="AW26" i="13"/>
  <c r="J26" i="13"/>
  <c r="HZ26" i="13"/>
  <c r="GN26" i="13"/>
  <c r="FD26" i="13"/>
  <c r="DQ26" i="13"/>
  <c r="CE26" i="13"/>
  <c r="AU26" i="13"/>
  <c r="I26" i="13"/>
  <c r="FT26" i="13"/>
  <c r="DM26" i="13"/>
  <c r="AY26" i="13"/>
  <c r="FP26" i="13"/>
  <c r="DI26" i="13"/>
  <c r="AS26" i="13"/>
  <c r="HE26" i="13"/>
  <c r="EX26" i="13"/>
  <c r="CO26" i="13"/>
  <c r="AA26" i="13"/>
  <c r="HD26" i="13"/>
  <c r="EV26" i="13"/>
  <c r="CH26" i="13"/>
  <c r="Z26" i="13"/>
  <c r="GV26" i="13"/>
  <c r="EH26" i="13"/>
  <c r="BY26" i="13"/>
  <c r="N26" i="13"/>
  <c r="GL26" i="13"/>
  <c r="EC26" i="13"/>
  <c r="BS26" i="13"/>
  <c r="G26" i="13"/>
  <c r="GK26" i="13"/>
  <c r="DX26" i="13"/>
  <c r="BO26" i="13"/>
  <c r="F26" i="13"/>
  <c r="FL26" i="13"/>
  <c r="BZ26" i="13"/>
  <c r="FK26" i="13"/>
  <c r="BX26" i="13"/>
  <c r="FF26" i="13"/>
  <c r="BN26" i="13"/>
  <c r="EY26" i="13"/>
  <c r="BE26" i="13"/>
  <c r="ES26" i="13"/>
  <c r="BD26" i="13"/>
  <c r="HU26" i="13"/>
  <c r="EG26" i="13"/>
  <c r="AP26" i="13"/>
  <c r="HS26" i="13"/>
  <c r="DW26" i="13"/>
  <c r="AN26" i="13"/>
  <c r="GJ26" i="13"/>
  <c r="CW26" i="13"/>
  <c r="H26" i="13"/>
  <c r="EL26" i="13"/>
  <c r="DT26" i="13"/>
  <c r="DO26" i="13"/>
  <c r="DN26" i="13"/>
  <c r="DD26" i="13"/>
  <c r="HV26" i="13"/>
  <c r="CQ26" i="13"/>
  <c r="DP26" i="13"/>
  <c r="CX26" i="13"/>
  <c r="CU26" i="13"/>
  <c r="CD26" i="13"/>
  <c r="CC26" i="13"/>
  <c r="HW26" i="13"/>
  <c r="AR26" i="13"/>
  <c r="EO26" i="13"/>
  <c r="CP26" i="13"/>
  <c r="BH26" i="13"/>
  <c r="BA26" i="13"/>
  <c r="AM26" i="13"/>
  <c r="AG26" i="13"/>
  <c r="Q26" i="13"/>
  <c r="P26" i="13"/>
  <c r="R26" i="13"/>
  <c r="GF26" i="13"/>
  <c r="HQ26" i="13"/>
  <c r="HM26" i="13"/>
  <c r="GX26" i="13"/>
  <c r="GW26" i="13"/>
  <c r="GQ26" i="13"/>
  <c r="GB26" i="13"/>
  <c r="FW26" i="13"/>
  <c r="GE26" i="13"/>
  <c r="FM26" i="13"/>
  <c r="FC26" i="13"/>
  <c r="AB26" i="13"/>
  <c r="HC26" i="13"/>
  <c r="HF48" i="13"/>
  <c r="GJ48" i="13"/>
  <c r="FN48" i="13"/>
  <c r="ER48" i="13"/>
  <c r="DV48" i="13"/>
  <c r="CZ48" i="13"/>
  <c r="CD48" i="13"/>
  <c r="BH48" i="13"/>
  <c r="AL48" i="13"/>
  <c r="P48" i="13"/>
  <c r="IA48" i="13"/>
  <c r="HE48" i="13"/>
  <c r="GI48" i="13"/>
  <c r="FM48" i="13"/>
  <c r="EQ48" i="13"/>
  <c r="DU48" i="13"/>
  <c r="CY48" i="13"/>
  <c r="CC48" i="13"/>
  <c r="BG48" i="13"/>
  <c r="AK48" i="13"/>
  <c r="O48" i="13"/>
  <c r="HZ48" i="13"/>
  <c r="HD48" i="13"/>
  <c r="GH48" i="13"/>
  <c r="FL48" i="13"/>
  <c r="EP48" i="13"/>
  <c r="DT48" i="13"/>
  <c r="CX48" i="13"/>
  <c r="CB48" i="13"/>
  <c r="BF48" i="13"/>
  <c r="AJ48" i="13"/>
  <c r="N48" i="13"/>
  <c r="HX48" i="13"/>
  <c r="GY48" i="13"/>
  <c r="FZ48" i="13"/>
  <c r="FA48" i="13"/>
  <c r="EB48" i="13"/>
  <c r="DC48" i="13"/>
  <c r="CA48" i="13"/>
  <c r="BB48" i="13"/>
  <c r="AC48" i="13"/>
  <c r="D48" i="13"/>
  <c r="HW48" i="13"/>
  <c r="GX48" i="13"/>
  <c r="FY48" i="13"/>
  <c r="EZ48" i="13"/>
  <c r="EA48" i="13"/>
  <c r="DB48" i="13"/>
  <c r="BZ48" i="13"/>
  <c r="BA48" i="13"/>
  <c r="AB48" i="13"/>
  <c r="HV48" i="13"/>
  <c r="GW48" i="13"/>
  <c r="FX48" i="13"/>
  <c r="EY48" i="13"/>
  <c r="DZ48" i="13"/>
  <c r="DA48" i="13"/>
  <c r="BY48" i="13"/>
  <c r="AZ48" i="13"/>
  <c r="AA48" i="13"/>
  <c r="HU48" i="13"/>
  <c r="GV48" i="13"/>
  <c r="FW48" i="13"/>
  <c r="EX48" i="13"/>
  <c r="DY48" i="13"/>
  <c r="CW48" i="13"/>
  <c r="BX48" i="13"/>
  <c r="AY48" i="13"/>
  <c r="Z48" i="13"/>
  <c r="HA48" i="13"/>
  <c r="HT48" i="13"/>
  <c r="GP48" i="13"/>
  <c r="FJ48" i="13"/>
  <c r="EG48" i="13"/>
  <c r="DD48" i="13"/>
  <c r="BT48" i="13"/>
  <c r="AQ48" i="13"/>
  <c r="K48" i="13"/>
  <c r="HS48" i="13"/>
  <c r="GO48" i="13"/>
  <c r="FI48" i="13"/>
  <c r="EF48" i="13"/>
  <c r="CV48" i="13"/>
  <c r="HR48" i="13"/>
  <c r="GN48" i="13"/>
  <c r="FH48" i="13"/>
  <c r="EE48" i="13"/>
  <c r="CU48" i="13"/>
  <c r="BR48" i="13"/>
  <c r="AO48" i="13"/>
  <c r="I48" i="13"/>
  <c r="HP48" i="13"/>
  <c r="GL48" i="13"/>
  <c r="FF48" i="13"/>
  <c r="EC48" i="13"/>
  <c r="CS48" i="13"/>
  <c r="BP48" i="13"/>
  <c r="AM48" i="13"/>
  <c r="G48" i="13"/>
  <c r="HO48" i="13"/>
  <c r="GR48" i="13"/>
  <c r="FD48" i="13"/>
  <c r="DP48" i="13"/>
  <c r="CI48" i="13"/>
  <c r="AV48" i="13"/>
  <c r="M48" i="13"/>
  <c r="GQ48" i="13"/>
  <c r="FC48" i="13"/>
  <c r="DO48" i="13"/>
  <c r="CH48" i="13"/>
  <c r="AU48" i="13"/>
  <c r="L48" i="13"/>
  <c r="GK48" i="13"/>
  <c r="EW48" i="13"/>
  <c r="DM48" i="13"/>
  <c r="CF48" i="13"/>
  <c r="AS48" i="13"/>
  <c r="H48" i="13"/>
  <c r="GG48" i="13"/>
  <c r="EV48" i="13"/>
  <c r="DL48" i="13"/>
  <c r="CE48" i="13"/>
  <c r="AR48" i="13"/>
  <c r="F48" i="13"/>
  <c r="GF48" i="13"/>
  <c r="EU48" i="13"/>
  <c r="DK48" i="13"/>
  <c r="BW48" i="13"/>
  <c r="AP48" i="13"/>
  <c r="E48" i="13"/>
  <c r="HY48" i="13"/>
  <c r="GE48" i="13"/>
  <c r="ET48" i="13"/>
  <c r="DJ48" i="13"/>
  <c r="BV48" i="13"/>
  <c r="AN48" i="13"/>
  <c r="HN48" i="13"/>
  <c r="GC48" i="13"/>
  <c r="EO48" i="13"/>
  <c r="DH48" i="13"/>
  <c r="BS48" i="13"/>
  <c r="AH48" i="13"/>
  <c r="GT48" i="13"/>
  <c r="EK48" i="13"/>
  <c r="CL48" i="13"/>
  <c r="AE48" i="13"/>
  <c r="GS48" i="13"/>
  <c r="EJ48" i="13"/>
  <c r="CK48" i="13"/>
  <c r="AD48" i="13"/>
  <c r="GM48" i="13"/>
  <c r="EI48" i="13"/>
  <c r="CJ48" i="13"/>
  <c r="Y48" i="13"/>
  <c r="GA48" i="13"/>
  <c r="DX48" i="13"/>
  <c r="BQ48" i="13"/>
  <c r="V48" i="13"/>
  <c r="FV48" i="13"/>
  <c r="DN48" i="13"/>
  <c r="BD48" i="13"/>
  <c r="FU48" i="13"/>
  <c r="DI48" i="13"/>
  <c r="BC48" i="13"/>
  <c r="FR48" i="13"/>
  <c r="DE48" i="13"/>
  <c r="AT48" i="13"/>
  <c r="FQ48" i="13"/>
  <c r="CT48" i="13"/>
  <c r="AI48" i="13"/>
  <c r="FP48" i="13"/>
  <c r="CR48" i="13"/>
  <c r="AG48" i="13"/>
  <c r="HQ48" i="13"/>
  <c r="FK48" i="13"/>
  <c r="CP48" i="13"/>
  <c r="X48" i="13"/>
  <c r="HM48" i="13"/>
  <c r="FG48" i="13"/>
  <c r="CO48" i="13"/>
  <c r="W48" i="13"/>
  <c r="HL48" i="13"/>
  <c r="FE48" i="13"/>
  <c r="CN48" i="13"/>
  <c r="U48" i="13"/>
  <c r="HG48" i="13"/>
  <c r="EL48" i="13"/>
  <c r="BN48" i="13"/>
  <c r="J48" i="13"/>
  <c r="HI48" i="13"/>
  <c r="DF48" i="13"/>
  <c r="HH48" i="13"/>
  <c r="CQ48" i="13"/>
  <c r="HC48" i="13"/>
  <c r="CM48" i="13"/>
  <c r="HB48" i="13"/>
  <c r="CG48" i="13"/>
  <c r="GZ48" i="13"/>
  <c r="BU48" i="13"/>
  <c r="GU48" i="13"/>
  <c r="BO48" i="13"/>
  <c r="GD48" i="13"/>
  <c r="BM48" i="13"/>
  <c r="FS48" i="13"/>
  <c r="BJ48" i="13"/>
  <c r="ED48" i="13"/>
  <c r="S48" i="13"/>
  <c r="BK48" i="13"/>
  <c r="BI48" i="13"/>
  <c r="AX48" i="13"/>
  <c r="GB48" i="13"/>
  <c r="Q48" i="13"/>
  <c r="FT48" i="13"/>
  <c r="EN48" i="13"/>
  <c r="EH48" i="13"/>
  <c r="DW48" i="13"/>
  <c r="EM48" i="13"/>
  <c r="DS48" i="13"/>
  <c r="DR48" i="13"/>
  <c r="DQ48" i="13"/>
  <c r="DG48" i="13"/>
  <c r="BL48" i="13"/>
  <c r="AW48" i="13"/>
  <c r="T48" i="13"/>
  <c r="R48" i="13"/>
  <c r="HK48" i="13"/>
  <c r="HJ48" i="13"/>
  <c r="FO48" i="13"/>
  <c r="FB48" i="13"/>
  <c r="BE48" i="13"/>
  <c r="AF48" i="13"/>
  <c r="ES48" i="13"/>
  <c r="Q68" i="4"/>
  <c r="EV68" i="4"/>
  <c r="EV70" i="4" s="1"/>
  <c r="CD69" i="4"/>
  <c r="HW69" i="4"/>
  <c r="R68" i="4"/>
  <c r="FH68" i="4"/>
  <c r="GZ68" i="4"/>
  <c r="GZ70" i="4" s="1"/>
  <c r="FZ69" i="4"/>
  <c r="M184" i="7" s="1"/>
  <c r="IA56" i="13"/>
  <c r="HE56" i="13"/>
  <c r="GI56" i="13"/>
  <c r="FM56" i="13"/>
  <c r="EQ56" i="13"/>
  <c r="DU56" i="13"/>
  <c r="CY56" i="13"/>
  <c r="CC56" i="13"/>
  <c r="BG56" i="13"/>
  <c r="AK56" i="13"/>
  <c r="O56" i="13"/>
  <c r="HY56" i="13"/>
  <c r="HC56" i="13"/>
  <c r="GG56" i="13"/>
  <c r="FK56" i="13"/>
  <c r="EO56" i="13"/>
  <c r="HG56" i="13"/>
  <c r="GH56" i="13"/>
  <c r="FI56" i="13"/>
  <c r="EK56" i="13"/>
  <c r="DN56" i="13"/>
  <c r="CQ56" i="13"/>
  <c r="BT56" i="13"/>
  <c r="AW56" i="13"/>
  <c r="Z56" i="13"/>
  <c r="HF56" i="13"/>
  <c r="GF56" i="13"/>
  <c r="FH56" i="13"/>
  <c r="EJ56" i="13"/>
  <c r="DM56" i="13"/>
  <c r="CP56" i="13"/>
  <c r="BS56" i="13"/>
  <c r="AV56" i="13"/>
  <c r="Y56" i="13"/>
  <c r="HB56" i="13"/>
  <c r="GD56" i="13"/>
  <c r="FF56" i="13"/>
  <c r="EH56" i="13"/>
  <c r="DK56" i="13"/>
  <c r="CN56" i="13"/>
  <c r="BQ56" i="13"/>
  <c r="AT56" i="13"/>
  <c r="W56" i="13"/>
  <c r="HX56" i="13"/>
  <c r="GZ56" i="13"/>
  <c r="GB56" i="13"/>
  <c r="FD56" i="13"/>
  <c r="EF56" i="13"/>
  <c r="DI56" i="13"/>
  <c r="CL56" i="13"/>
  <c r="BO56" i="13"/>
  <c r="AR56" i="13"/>
  <c r="U56" i="13"/>
  <c r="HK56" i="13"/>
  <c r="GE56" i="13"/>
  <c r="FA56" i="13"/>
  <c r="DY56" i="13"/>
  <c r="CW56" i="13"/>
  <c r="BV56" i="13"/>
  <c r="AQ56" i="13"/>
  <c r="P56" i="13"/>
  <c r="HJ56" i="13"/>
  <c r="GC56" i="13"/>
  <c r="EZ56" i="13"/>
  <c r="DX56" i="13"/>
  <c r="CV56" i="13"/>
  <c r="BU56" i="13"/>
  <c r="AP56" i="13"/>
  <c r="N56" i="13"/>
  <c r="HI56" i="13"/>
  <c r="GA56" i="13"/>
  <c r="EY56" i="13"/>
  <c r="DW56" i="13"/>
  <c r="CU56" i="13"/>
  <c r="BR56" i="13"/>
  <c r="AO56" i="13"/>
  <c r="M56" i="13"/>
  <c r="HH56" i="13"/>
  <c r="FZ56" i="13"/>
  <c r="EX56" i="13"/>
  <c r="DV56" i="13"/>
  <c r="CT56" i="13"/>
  <c r="BP56" i="13"/>
  <c r="AN56" i="13"/>
  <c r="L56" i="13"/>
  <c r="HA56" i="13"/>
  <c r="FX56" i="13"/>
  <c r="EV56" i="13"/>
  <c r="DS56" i="13"/>
  <c r="CR56" i="13"/>
  <c r="BM56" i="13"/>
  <c r="AL56" i="13"/>
  <c r="J56" i="13"/>
  <c r="GU56" i="13"/>
  <c r="FN56" i="13"/>
  <c r="EA56" i="13"/>
  <c r="CK56" i="13"/>
  <c r="BD56" i="13"/>
  <c r="T56" i="13"/>
  <c r="GT56" i="13"/>
  <c r="FL56" i="13"/>
  <c r="DZ56" i="13"/>
  <c r="CJ56" i="13"/>
  <c r="BC56" i="13"/>
  <c r="S56" i="13"/>
  <c r="GS56" i="13"/>
  <c r="FJ56" i="13"/>
  <c r="DT56" i="13"/>
  <c r="CI56" i="13"/>
  <c r="BB56" i="13"/>
  <c r="R56" i="13"/>
  <c r="GR56" i="13"/>
  <c r="FG56" i="13"/>
  <c r="DR56" i="13"/>
  <c r="CH56" i="13"/>
  <c r="BA56" i="13"/>
  <c r="Q56" i="13"/>
  <c r="HU56" i="13"/>
  <c r="GN56" i="13"/>
  <c r="EW56" i="13"/>
  <c r="DL56" i="13"/>
  <c r="CD56" i="13"/>
  <c r="AU56" i="13"/>
  <c r="G56" i="13"/>
  <c r="HZ56" i="13"/>
  <c r="GK56" i="13"/>
  <c r="EL56" i="13"/>
  <c r="CO56" i="13"/>
  <c r="AS56" i="13"/>
  <c r="HT56" i="13"/>
  <c r="FW56" i="13"/>
  <c r="EE56" i="13"/>
  <c r="CF56" i="13"/>
  <c r="AI56" i="13"/>
  <c r="HS56" i="13"/>
  <c r="FV56" i="13"/>
  <c r="ED56" i="13"/>
  <c r="CE56" i="13"/>
  <c r="AH56" i="13"/>
  <c r="FY56" i="13"/>
  <c r="DQ56" i="13"/>
  <c r="BW56" i="13"/>
  <c r="V56" i="13"/>
  <c r="FU56" i="13"/>
  <c r="DP56" i="13"/>
  <c r="BN56" i="13"/>
  <c r="K56" i="13"/>
  <c r="HW56" i="13"/>
  <c r="FT56" i="13"/>
  <c r="DO56" i="13"/>
  <c r="BL56" i="13"/>
  <c r="I56" i="13"/>
  <c r="HV56" i="13"/>
  <c r="FS56" i="13"/>
  <c r="DJ56" i="13"/>
  <c r="BK56" i="13"/>
  <c r="H56" i="13"/>
  <c r="HR56" i="13"/>
  <c r="FR56" i="13"/>
  <c r="DH56" i="13"/>
  <c r="BJ56" i="13"/>
  <c r="F56" i="13"/>
  <c r="HQ56" i="13"/>
  <c r="FQ56" i="13"/>
  <c r="DG56" i="13"/>
  <c r="BI56" i="13"/>
  <c r="E56" i="13"/>
  <c r="GP56" i="13"/>
  <c r="DE56" i="13"/>
  <c r="AJ56" i="13"/>
  <c r="GO56" i="13"/>
  <c r="DD56" i="13"/>
  <c r="AG56" i="13"/>
  <c r="GL56" i="13"/>
  <c r="DB56" i="13"/>
  <c r="AE56" i="13"/>
  <c r="GJ56" i="13"/>
  <c r="DA56" i="13"/>
  <c r="AD56" i="13"/>
  <c r="FP56" i="13"/>
  <c r="CZ56" i="13"/>
  <c r="AC56" i="13"/>
  <c r="FO56" i="13"/>
  <c r="CX56" i="13"/>
  <c r="AB56" i="13"/>
  <c r="FC56" i="13"/>
  <c r="CM56" i="13"/>
  <c r="X56" i="13"/>
  <c r="GV56" i="13"/>
  <c r="BZ56" i="13"/>
  <c r="GQ56" i="13"/>
  <c r="BY56" i="13"/>
  <c r="GM56" i="13"/>
  <c r="BX56" i="13"/>
  <c r="EU56" i="13"/>
  <c r="BE56" i="13"/>
  <c r="ER56" i="13"/>
  <c r="AX56" i="13"/>
  <c r="FB56" i="13"/>
  <c r="AA56" i="13"/>
  <c r="ET56" i="13"/>
  <c r="D56" i="13"/>
  <c r="EN56" i="13"/>
  <c r="EM56" i="13"/>
  <c r="EI56" i="13"/>
  <c r="EC56" i="13"/>
  <c r="EB56" i="13"/>
  <c r="DF56" i="13"/>
  <c r="HM56" i="13"/>
  <c r="CA56" i="13"/>
  <c r="ES56" i="13"/>
  <c r="EP56" i="13"/>
  <c r="EG56" i="13"/>
  <c r="DC56" i="13"/>
  <c r="CS56" i="13"/>
  <c r="CG56" i="13"/>
  <c r="CB56" i="13"/>
  <c r="AZ56" i="13"/>
  <c r="HL56" i="13"/>
  <c r="HP56" i="13"/>
  <c r="HO56" i="13"/>
  <c r="GX56" i="13"/>
  <c r="FE56" i="13"/>
  <c r="BH56" i="13"/>
  <c r="HN56" i="13"/>
  <c r="GY56" i="13"/>
  <c r="BF56" i="13"/>
  <c r="AY56" i="13"/>
  <c r="GW56" i="13"/>
  <c r="AM56" i="13"/>
  <c r="HD56" i="13"/>
  <c r="AF56" i="13"/>
  <c r="BT68" i="4"/>
  <c r="HB68" i="4"/>
  <c r="GB69" i="4"/>
  <c r="M186" i="7" s="1"/>
  <c r="L194" i="7"/>
  <c r="AH61" i="7"/>
  <c r="AG61" i="7"/>
  <c r="AM61" i="7"/>
  <c r="AL61" i="7"/>
  <c r="AK61" i="7"/>
  <c r="AI61" i="7"/>
  <c r="AJ61" i="7"/>
  <c r="AF61" i="7"/>
  <c r="AI68" i="4"/>
  <c r="FO68" i="4"/>
  <c r="EJ69" i="4"/>
  <c r="AJ68" i="4"/>
  <c r="DS68" i="4"/>
  <c r="ES69" i="4"/>
  <c r="M151" i="7" s="1"/>
  <c r="AO68" i="4"/>
  <c r="CO68" i="4"/>
  <c r="CO70" i="4" s="1"/>
  <c r="EH68" i="4"/>
  <c r="FZ68" i="4"/>
  <c r="HY68" i="4"/>
  <c r="BC69" i="4"/>
  <c r="M57" i="7" s="1"/>
  <c r="CT69" i="4"/>
  <c r="M100" i="7" s="1"/>
  <c r="EX69" i="4"/>
  <c r="M156" i="7" s="1"/>
  <c r="GZ69" i="4"/>
  <c r="M13" i="7"/>
  <c r="AJ37" i="7"/>
  <c r="AI37" i="7"/>
  <c r="AH37" i="7"/>
  <c r="AG37" i="7"/>
  <c r="AM37" i="7"/>
  <c r="AL37" i="7"/>
  <c r="AK37" i="7"/>
  <c r="AF37" i="7"/>
  <c r="AJ43" i="7"/>
  <c r="AI43" i="7"/>
  <c r="AG43" i="7"/>
  <c r="AL43" i="7"/>
  <c r="AK43" i="7"/>
  <c r="AH43" i="7"/>
  <c r="AF43" i="7"/>
  <c r="L59" i="7"/>
  <c r="M170" i="7"/>
  <c r="L170" i="7"/>
  <c r="M217" i="7"/>
  <c r="W17" i="13"/>
  <c r="AP68" i="4"/>
  <c r="CP68" i="4"/>
  <c r="EL68" i="4"/>
  <c r="GA68" i="4"/>
  <c r="HZ68" i="4"/>
  <c r="BH69" i="4"/>
  <c r="CU69" i="4"/>
  <c r="EY69" i="4"/>
  <c r="M157" i="7" s="1"/>
  <c r="HA69" i="4"/>
  <c r="M211" i="7" s="1"/>
  <c r="AE235" i="7"/>
  <c r="I235" i="7"/>
  <c r="Y234" i="7"/>
  <c r="AC231" i="7"/>
  <c r="G231" i="7"/>
  <c r="K228" i="7"/>
  <c r="AA227" i="7"/>
  <c r="E227" i="7"/>
  <c r="U226" i="7"/>
  <c r="AE224" i="7"/>
  <c r="I224" i="7"/>
  <c r="Y223" i="7"/>
  <c r="AC220" i="7"/>
  <c r="G220" i="7"/>
  <c r="K217" i="7"/>
  <c r="AA216" i="7"/>
  <c r="E216" i="7"/>
  <c r="U215" i="7"/>
  <c r="AE213" i="7"/>
  <c r="I213" i="7"/>
  <c r="Y212" i="7"/>
  <c r="AC209" i="7"/>
  <c r="G209" i="7"/>
  <c r="K206" i="7"/>
  <c r="AA205" i="7"/>
  <c r="E205" i="7"/>
  <c r="AD235" i="7"/>
  <c r="H235" i="7"/>
  <c r="X234" i="7"/>
  <c r="AB231" i="7"/>
  <c r="F231" i="7"/>
  <c r="J228" i="7"/>
  <c r="Z227" i="7"/>
  <c r="D227" i="7"/>
  <c r="AD224" i="7"/>
  <c r="H224" i="7"/>
  <c r="X223" i="7"/>
  <c r="AB220" i="7"/>
  <c r="F220" i="7"/>
  <c r="J217" i="7"/>
  <c r="Z216" i="7"/>
  <c r="D216" i="7"/>
  <c r="AD213" i="7"/>
  <c r="H213" i="7"/>
  <c r="X212" i="7"/>
  <c r="AB209" i="7"/>
  <c r="F209" i="7"/>
  <c r="J206" i="7"/>
  <c r="Z205" i="7"/>
  <c r="D205" i="7"/>
  <c r="AD202" i="7"/>
  <c r="H202" i="7"/>
  <c r="X201" i="7"/>
  <c r="AB198" i="7"/>
  <c r="F198" i="7"/>
  <c r="AB235" i="7"/>
  <c r="F235" i="7"/>
  <c r="J232" i="7"/>
  <c r="Z231" i="7"/>
  <c r="D231" i="7"/>
  <c r="AD228" i="7"/>
  <c r="H228" i="7"/>
  <c r="X227" i="7"/>
  <c r="AB224" i="7"/>
  <c r="F224" i="7"/>
  <c r="J221" i="7"/>
  <c r="Z220" i="7"/>
  <c r="D220" i="7"/>
  <c r="AD217" i="7"/>
  <c r="H217" i="7"/>
  <c r="X216" i="7"/>
  <c r="AB213" i="7"/>
  <c r="F213" i="7"/>
  <c r="J210" i="7"/>
  <c r="Z209" i="7"/>
  <c r="D209" i="7"/>
  <c r="AD206" i="7"/>
  <c r="H206" i="7"/>
  <c r="X205" i="7"/>
  <c r="AB202" i="7"/>
  <c r="F202" i="7"/>
  <c r="J199" i="7"/>
  <c r="Z198" i="7"/>
  <c r="D198" i="7"/>
  <c r="AD195" i="7"/>
  <c r="K236" i="7"/>
  <c r="AA235" i="7"/>
  <c r="E235" i="7"/>
  <c r="U234" i="7"/>
  <c r="AE232" i="7"/>
  <c r="I232" i="7"/>
  <c r="Y231" i="7"/>
  <c r="AC228" i="7"/>
  <c r="G228" i="7"/>
  <c r="K225" i="7"/>
  <c r="AA224" i="7"/>
  <c r="E224" i="7"/>
  <c r="U223" i="7"/>
  <c r="AE221" i="7"/>
  <c r="I221" i="7"/>
  <c r="Y220" i="7"/>
  <c r="AC217" i="7"/>
  <c r="G217" i="7"/>
  <c r="K214" i="7"/>
  <c r="AA213" i="7"/>
  <c r="E213" i="7"/>
  <c r="U212" i="7"/>
  <c r="AE210" i="7"/>
  <c r="I210" i="7"/>
  <c r="Y209" i="7"/>
  <c r="AC206" i="7"/>
  <c r="G206" i="7"/>
  <c r="K203" i="7"/>
  <c r="AA202" i="7"/>
  <c r="E202" i="7"/>
  <c r="U201" i="7"/>
  <c r="J236" i="7"/>
  <c r="Z235" i="7"/>
  <c r="D235" i="7"/>
  <c r="AD232" i="7"/>
  <c r="H232" i="7"/>
  <c r="X231" i="7"/>
  <c r="AB228" i="7"/>
  <c r="F228" i="7"/>
  <c r="J225" i="7"/>
  <c r="Z224" i="7"/>
  <c r="D224" i="7"/>
  <c r="AD221" i="7"/>
  <c r="H221" i="7"/>
  <c r="X220" i="7"/>
  <c r="AB217" i="7"/>
  <c r="F217" i="7"/>
  <c r="J214" i="7"/>
  <c r="Z213" i="7"/>
  <c r="D213" i="7"/>
  <c r="AD210" i="7"/>
  <c r="H210" i="7"/>
  <c r="AC236" i="7"/>
  <c r="G236" i="7"/>
  <c r="K233" i="7"/>
  <c r="AA232" i="7"/>
  <c r="E232" i="7"/>
  <c r="U231" i="7"/>
  <c r="AE229" i="7"/>
  <c r="I229" i="7"/>
  <c r="Y228" i="7"/>
  <c r="AC225" i="7"/>
  <c r="G225" i="7"/>
  <c r="X236" i="7"/>
  <c r="K234" i="7"/>
  <c r="Z232" i="7"/>
  <c r="H231" i="7"/>
  <c r="X229" i="7"/>
  <c r="Z225" i="7"/>
  <c r="G224" i="7"/>
  <c r="Y222" i="7"/>
  <c r="D221" i="7"/>
  <c r="AA219" i="7"/>
  <c r="G218" i="7"/>
  <c r="AC216" i="7"/>
  <c r="I215" i="7"/>
  <c r="AC213" i="7"/>
  <c r="J212" i="7"/>
  <c r="AB210" i="7"/>
  <c r="Z208" i="7"/>
  <c r="I207" i="7"/>
  <c r="U206" i="7"/>
  <c r="H205" i="7"/>
  <c r="AD203" i="7"/>
  <c r="E203" i="7"/>
  <c r="AE201" i="7"/>
  <c r="F201" i="7"/>
  <c r="H199" i="7"/>
  <c r="J234" i="7"/>
  <c r="U233" i="7"/>
  <c r="Y232" i="7"/>
  <c r="E231" i="7"/>
  <c r="AE228" i="7"/>
  <c r="K227" i="7"/>
  <c r="Y225" i="7"/>
  <c r="I234" i="7"/>
  <c r="X232" i="7"/>
  <c r="AA228" i="7"/>
  <c r="J227" i="7"/>
  <c r="X225" i="7"/>
  <c r="K223" i="7"/>
  <c r="AC221" i="7"/>
  <c r="Y219" i="7"/>
  <c r="E218" i="7"/>
  <c r="Y216" i="7"/>
  <c r="G215" i="7"/>
  <c r="K237" i="7"/>
  <c r="Y235" i="7"/>
  <c r="G234" i="7"/>
  <c r="J230" i="7"/>
  <c r="X228" i="7"/>
  <c r="H227" i="7"/>
  <c r="I223" i="7"/>
  <c r="U222" i="7"/>
  <c r="AA221" i="7"/>
  <c r="K220" i="7"/>
  <c r="AD218" i="7"/>
  <c r="U216" i="7"/>
  <c r="E215" i="7"/>
  <c r="F212" i="7"/>
  <c r="X210" i="7"/>
  <c r="I209" i="7"/>
  <c r="U208" i="7"/>
  <c r="S208" i="7" s="1"/>
  <c r="AE207" i="7"/>
  <c r="E207" i="7"/>
  <c r="AC205" i="7"/>
  <c r="Z203" i="7"/>
  <c r="AA201" i="7"/>
  <c r="AB199" i="7"/>
  <c r="D199" i="7"/>
  <c r="H197" i="7"/>
  <c r="AC194" i="7"/>
  <c r="G194" i="7"/>
  <c r="K191" i="7"/>
  <c r="AA190" i="7"/>
  <c r="E190" i="7"/>
  <c r="U189" i="7"/>
  <c r="AE187" i="7"/>
  <c r="I187" i="7"/>
  <c r="Y186" i="7"/>
  <c r="AC183" i="7"/>
  <c r="G183" i="7"/>
  <c r="J237" i="7"/>
  <c r="X235" i="7"/>
  <c r="F234" i="7"/>
  <c r="U232" i="7"/>
  <c r="AE231" i="7"/>
  <c r="I230" i="7"/>
  <c r="G227" i="7"/>
  <c r="K226" i="7"/>
  <c r="U225" i="7"/>
  <c r="AC224" i="7"/>
  <c r="H223" i="7"/>
  <c r="Z221" i="7"/>
  <c r="J220" i="7"/>
  <c r="U219" i="7"/>
  <c r="AC218" i="7"/>
  <c r="AE215" i="7"/>
  <c r="D215" i="7"/>
  <c r="U213" i="7"/>
  <c r="E212" i="7"/>
  <c r="H209" i="7"/>
  <c r="AD207" i="7"/>
  <c r="D207" i="7"/>
  <c r="AB205" i="7"/>
  <c r="Y203" i="7"/>
  <c r="Z201" i="7"/>
  <c r="AA199" i="7"/>
  <c r="AE197" i="7"/>
  <c r="G197" i="7"/>
  <c r="U196" i="7"/>
  <c r="AB194" i="7"/>
  <c r="F194" i="7"/>
  <c r="J191" i="7"/>
  <c r="Z190" i="7"/>
  <c r="D190" i="7"/>
  <c r="AD187" i="7"/>
  <c r="H187" i="7"/>
  <c r="X186" i="7"/>
  <c r="AB183" i="7"/>
  <c r="F183" i="7"/>
  <c r="J180" i="7"/>
  <c r="Z179" i="7"/>
  <c r="G237" i="7"/>
  <c r="U235" i="7"/>
  <c r="AE234" i="7"/>
  <c r="H233" i="7"/>
  <c r="F230" i="7"/>
  <c r="K229" i="7"/>
  <c r="AE227" i="7"/>
  <c r="H226" i="7"/>
  <c r="E223" i="7"/>
  <c r="E220" i="7"/>
  <c r="Z218" i="7"/>
  <c r="E217" i="7"/>
  <c r="AB215" i="7"/>
  <c r="G214" i="7"/>
  <c r="AC212" i="7"/>
  <c r="I211" i="7"/>
  <c r="AE209" i="7"/>
  <c r="AA207" i="7"/>
  <c r="I204" i="7"/>
  <c r="J202" i="7"/>
  <c r="J200" i="7"/>
  <c r="X199" i="7"/>
  <c r="AB197" i="7"/>
  <c r="D197" i="7"/>
  <c r="I195" i="7"/>
  <c r="Y194" i="7"/>
  <c r="AC191" i="7"/>
  <c r="G191" i="7"/>
  <c r="K188" i="7"/>
  <c r="AA187" i="7"/>
  <c r="E187" i="7"/>
  <c r="U186" i="7"/>
  <c r="AE184" i="7"/>
  <c r="I184" i="7"/>
  <c r="Y183" i="7"/>
  <c r="AC180" i="7"/>
  <c r="G180" i="7"/>
  <c r="K177" i="7"/>
  <c r="AA176" i="7"/>
  <c r="E176" i="7"/>
  <c r="U175" i="7"/>
  <c r="AE173" i="7"/>
  <c r="I173" i="7"/>
  <c r="Y237" i="7"/>
  <c r="I233" i="7"/>
  <c r="G232" i="7"/>
  <c r="K231" i="7"/>
  <c r="G230" i="7"/>
  <c r="E229" i="7"/>
  <c r="E228" i="7"/>
  <c r="E221" i="7"/>
  <c r="J219" i="7"/>
  <c r="K218" i="7"/>
  <c r="AA212" i="7"/>
  <c r="AD211" i="7"/>
  <c r="E209" i="7"/>
  <c r="X206" i="7"/>
  <c r="AE205" i="7"/>
  <c r="D204" i="7"/>
  <c r="J203" i="7"/>
  <c r="Y201" i="7"/>
  <c r="AE200" i="7"/>
  <c r="U198" i="7"/>
  <c r="AD197" i="7"/>
  <c r="K196" i="7"/>
  <c r="K194" i="7"/>
  <c r="Y193" i="7"/>
  <c r="K192" i="7"/>
  <c r="X191" i="7"/>
  <c r="Z189" i="7"/>
  <c r="X187" i="7"/>
  <c r="Z185" i="7"/>
  <c r="X183" i="7"/>
  <c r="AA181" i="7"/>
  <c r="AC179" i="7"/>
  <c r="F179" i="7"/>
  <c r="U178" i="7"/>
  <c r="AB176" i="7"/>
  <c r="D176" i="7"/>
  <c r="K174" i="7"/>
  <c r="Z173" i="7"/>
  <c r="AC170" i="7"/>
  <c r="G170" i="7"/>
  <c r="K167" i="7"/>
  <c r="AA166" i="7"/>
  <c r="E166" i="7"/>
  <c r="U165" i="7"/>
  <c r="AE163" i="7"/>
  <c r="I163" i="7"/>
  <c r="Y162" i="7"/>
  <c r="AC159" i="7"/>
  <c r="G159" i="7"/>
  <c r="K156" i="7"/>
  <c r="AA155" i="7"/>
  <c r="E155" i="7"/>
  <c r="U154" i="7"/>
  <c r="AE152" i="7"/>
  <c r="I152" i="7"/>
  <c r="Y151" i="7"/>
  <c r="X237" i="7"/>
  <c r="U237" i="7"/>
  <c r="I236" i="7"/>
  <c r="H234" i="7"/>
  <c r="E233" i="7"/>
  <c r="Y224" i="7"/>
  <c r="AD223" i="7"/>
  <c r="AE222" i="7"/>
  <c r="G219" i="7"/>
  <c r="H218" i="7"/>
  <c r="I217" i="7"/>
  <c r="AA211" i="7"/>
  <c r="AC210" i="7"/>
  <c r="I208" i="7"/>
  <c r="AD204" i="7"/>
  <c r="G203" i="7"/>
  <c r="AB200" i="7"/>
  <c r="G199" i="7"/>
  <c r="Z197" i="7"/>
  <c r="H196" i="7"/>
  <c r="H194" i="7"/>
  <c r="U193" i="7"/>
  <c r="H192" i="7"/>
  <c r="U191" i="7"/>
  <c r="J190" i="7"/>
  <c r="H188" i="7"/>
  <c r="U187" i="7"/>
  <c r="I186" i="7"/>
  <c r="H184" i="7"/>
  <c r="U183" i="7"/>
  <c r="K182" i="7"/>
  <c r="X181" i="7"/>
  <c r="Y179" i="7"/>
  <c r="I177" i="7"/>
  <c r="X176" i="7"/>
  <c r="AE174" i="7"/>
  <c r="H174" i="7"/>
  <c r="J171" i="7"/>
  <c r="Z170" i="7"/>
  <c r="D170" i="7"/>
  <c r="AD167" i="7"/>
  <c r="H167" i="7"/>
  <c r="X166" i="7"/>
  <c r="AB163" i="7"/>
  <c r="F163" i="7"/>
  <c r="J160" i="7"/>
  <c r="Z159" i="7"/>
  <c r="D159" i="7"/>
  <c r="AD156" i="7"/>
  <c r="H156" i="7"/>
  <c r="X155" i="7"/>
  <c r="AB152" i="7"/>
  <c r="F152" i="7"/>
  <c r="J149" i="7"/>
  <c r="Z148" i="7"/>
  <c r="D148" i="7"/>
  <c r="AD145" i="7"/>
  <c r="H236" i="7"/>
  <c r="E234" i="7"/>
  <c r="D233" i="7"/>
  <c r="AE225" i="7"/>
  <c r="X224" i="7"/>
  <c r="AC223" i="7"/>
  <c r="AD222" i="7"/>
  <c r="F219" i="7"/>
  <c r="F218" i="7"/>
  <c r="D217" i="7"/>
  <c r="K216" i="7"/>
  <c r="Z211" i="7"/>
  <c r="AA210" i="7"/>
  <c r="H208" i="7"/>
  <c r="U205" i="7"/>
  <c r="AC204" i="7"/>
  <c r="F203" i="7"/>
  <c r="AA200" i="7"/>
  <c r="F199" i="7"/>
  <c r="Y197" i="7"/>
  <c r="G196" i="7"/>
  <c r="E194" i="7"/>
  <c r="G192" i="7"/>
  <c r="I190" i="7"/>
  <c r="G188" i="7"/>
  <c r="H186" i="7"/>
  <c r="G184" i="7"/>
  <c r="J182" i="7"/>
  <c r="K180" i="7"/>
  <c r="X179" i="7"/>
  <c r="AE177" i="7"/>
  <c r="H177" i="7"/>
  <c r="AD174" i="7"/>
  <c r="G174" i="7"/>
  <c r="AE171" i="7"/>
  <c r="I171" i="7"/>
  <c r="Y170" i="7"/>
  <c r="AC167" i="7"/>
  <c r="G167" i="7"/>
  <c r="K164" i="7"/>
  <c r="AA163" i="7"/>
  <c r="E163" i="7"/>
  <c r="U162" i="7"/>
  <c r="AE160" i="7"/>
  <c r="I160" i="7"/>
  <c r="Y159" i="7"/>
  <c r="AC156" i="7"/>
  <c r="G156" i="7"/>
  <c r="K153" i="7"/>
  <c r="AA152" i="7"/>
  <c r="E152" i="7"/>
  <c r="U151" i="7"/>
  <c r="AE149" i="7"/>
  <c r="I237" i="7"/>
  <c r="F236" i="7"/>
  <c r="K235" i="7"/>
  <c r="D234" i="7"/>
  <c r="AE226" i="7"/>
  <c r="AD225" i="7"/>
  <c r="AB223" i="7"/>
  <c r="AC222" i="7"/>
  <c r="E219" i="7"/>
  <c r="D218" i="7"/>
  <c r="J216" i="7"/>
  <c r="K215" i="7"/>
  <c r="I214" i="7"/>
  <c r="Y211" i="7"/>
  <c r="Z210" i="7"/>
  <c r="G208" i="7"/>
  <c r="K207" i="7"/>
  <c r="AB204" i="7"/>
  <c r="D203" i="7"/>
  <c r="K202" i="7"/>
  <c r="Z200" i="7"/>
  <c r="E199" i="7"/>
  <c r="X197" i="7"/>
  <c r="F196" i="7"/>
  <c r="AE194" i="7"/>
  <c r="D194" i="7"/>
  <c r="AE192" i="7"/>
  <c r="F192" i="7"/>
  <c r="H190" i="7"/>
  <c r="AE188" i="7"/>
  <c r="F188" i="7"/>
  <c r="G186" i="7"/>
  <c r="U185" i="7"/>
  <c r="F184" i="7"/>
  <c r="I182" i="7"/>
  <c r="I180" i="7"/>
  <c r="AD177" i="7"/>
  <c r="G177" i="7"/>
  <c r="AC174" i="7"/>
  <c r="F174" i="7"/>
  <c r="U173" i="7"/>
  <c r="AD171" i="7"/>
  <c r="H171" i="7"/>
  <c r="X170" i="7"/>
  <c r="AB167" i="7"/>
  <c r="F167" i="7"/>
  <c r="J164" i="7"/>
  <c r="Z163" i="7"/>
  <c r="D163" i="7"/>
  <c r="AD160" i="7"/>
  <c r="H160" i="7"/>
  <c r="X159" i="7"/>
  <c r="AB156" i="7"/>
  <c r="F156" i="7"/>
  <c r="J153" i="7"/>
  <c r="Z152" i="7"/>
  <c r="D152" i="7"/>
  <c r="AD149" i="7"/>
  <c r="H149" i="7"/>
  <c r="E237" i="7"/>
  <c r="AE230" i="7"/>
  <c r="AD229" i="7"/>
  <c r="AC227" i="7"/>
  <c r="AB226" i="7"/>
  <c r="Z222" i="7"/>
  <c r="X221" i="7"/>
  <c r="AD220" i="7"/>
  <c r="G216" i="7"/>
  <c r="F215" i="7"/>
  <c r="E214" i="7"/>
  <c r="D237" i="7"/>
  <c r="AD231" i="7"/>
  <c r="AD230" i="7"/>
  <c r="AC229" i="7"/>
  <c r="Z228" i="7"/>
  <c r="AB227" i="7"/>
  <c r="AA226" i="7"/>
  <c r="X222" i="7"/>
  <c r="AA220" i="7"/>
  <c r="AE219" i="7"/>
  <c r="F216" i="7"/>
  <c r="D214" i="7"/>
  <c r="K213" i="7"/>
  <c r="U210" i="7"/>
  <c r="F207" i="7"/>
  <c r="I206" i="7"/>
  <c r="X204" i="7"/>
  <c r="AC203" i="7"/>
  <c r="AC199" i="7"/>
  <c r="I198" i="7"/>
  <c r="AC196" i="7"/>
  <c r="X194" i="7"/>
  <c r="AA192" i="7"/>
  <c r="AB190" i="7"/>
  <c r="AA188" i="7"/>
  <c r="AB186" i="7"/>
  <c r="AA184" i="7"/>
  <c r="AC182" i="7"/>
  <c r="E182" i="7"/>
  <c r="AB180" i="7"/>
  <c r="D180" i="7"/>
  <c r="K178" i="7"/>
  <c r="Z177" i="7"/>
  <c r="J175" i="7"/>
  <c r="Y174" i="7"/>
  <c r="J172" i="7"/>
  <c r="Z171" i="7"/>
  <c r="D171" i="7"/>
  <c r="AD168" i="7"/>
  <c r="H168" i="7"/>
  <c r="X167" i="7"/>
  <c r="AB164" i="7"/>
  <c r="F164" i="7"/>
  <c r="J161" i="7"/>
  <c r="Z160" i="7"/>
  <c r="D160" i="7"/>
  <c r="AD157" i="7"/>
  <c r="H157" i="7"/>
  <c r="X156" i="7"/>
  <c r="AB153" i="7"/>
  <c r="F153" i="7"/>
  <c r="AA236" i="7"/>
  <c r="AE233" i="7"/>
  <c r="F227" i="7"/>
  <c r="AB221" i="7"/>
  <c r="X215" i="7"/>
  <c r="H214" i="7"/>
  <c r="Y208" i="7"/>
  <c r="K204" i="7"/>
  <c r="D202" i="7"/>
  <c r="H201" i="7"/>
  <c r="G200" i="7"/>
  <c r="K199" i="7"/>
  <c r="H198" i="7"/>
  <c r="U194" i="7"/>
  <c r="AD193" i="7"/>
  <c r="F191" i="7"/>
  <c r="X188" i="7"/>
  <c r="J185" i="7"/>
  <c r="AA182" i="7"/>
  <c r="D181" i="7"/>
  <c r="F180" i="7"/>
  <c r="AA178" i="7"/>
  <c r="D177" i="7"/>
  <c r="Y175" i="7"/>
  <c r="Y169" i="7"/>
  <c r="E168" i="7"/>
  <c r="Z166" i="7"/>
  <c r="G165" i="7"/>
  <c r="Y163" i="7"/>
  <c r="H162" i="7"/>
  <c r="AA160" i="7"/>
  <c r="J159" i="7"/>
  <c r="AC157" i="7"/>
  <c r="U155" i="7"/>
  <c r="AE154" i="7"/>
  <c r="D154" i="7"/>
  <c r="U152" i="7"/>
  <c r="E151" i="7"/>
  <c r="Y149" i="7"/>
  <c r="AD147" i="7"/>
  <c r="G147" i="7"/>
  <c r="AD144" i="7"/>
  <c r="H144" i="7"/>
  <c r="X143" i="7"/>
  <c r="AB140" i="7"/>
  <c r="F140" i="7"/>
  <c r="J137" i="7"/>
  <c r="Z136" i="7"/>
  <c r="D136" i="7"/>
  <c r="AD133" i="7"/>
  <c r="H133" i="7"/>
  <c r="X132" i="7"/>
  <c r="AB129" i="7"/>
  <c r="F129" i="7"/>
  <c r="J126" i="7"/>
  <c r="Z125" i="7"/>
  <c r="D125" i="7"/>
  <c r="AD122" i="7"/>
  <c r="H122" i="7"/>
  <c r="X121" i="7"/>
  <c r="AB118" i="7"/>
  <c r="F118" i="7"/>
  <c r="J115" i="7"/>
  <c r="Z114" i="7"/>
  <c r="D114" i="7"/>
  <c r="AD111" i="7"/>
  <c r="H111" i="7"/>
  <c r="X110" i="7"/>
  <c r="AB107" i="7"/>
  <c r="F107" i="7"/>
  <c r="J104" i="7"/>
  <c r="Z103" i="7"/>
  <c r="D103" i="7"/>
  <c r="AD100" i="7"/>
  <c r="H100" i="7"/>
  <c r="X99" i="7"/>
  <c r="AB96" i="7"/>
  <c r="F96" i="7"/>
  <c r="J93" i="7"/>
  <c r="Z92" i="7"/>
  <c r="D92" i="7"/>
  <c r="AD89" i="7"/>
  <c r="H89" i="7"/>
  <c r="X88" i="7"/>
  <c r="AB85" i="7"/>
  <c r="F85" i="7"/>
  <c r="J82" i="7"/>
  <c r="Z81" i="7"/>
  <c r="D81" i="7"/>
  <c r="AD78" i="7"/>
  <c r="H78" i="7"/>
  <c r="X77" i="7"/>
  <c r="AB74" i="7"/>
  <c r="F74" i="7"/>
  <c r="Z236" i="7"/>
  <c r="AD233" i="7"/>
  <c r="J231" i="7"/>
  <c r="AB229" i="7"/>
  <c r="Y221" i="7"/>
  <c r="F214" i="7"/>
  <c r="Y210" i="7"/>
  <c r="U209" i="7"/>
  <c r="X208" i="7"/>
  <c r="J204" i="7"/>
  <c r="I203" i="7"/>
  <c r="G201" i="7"/>
  <c r="F200" i="7"/>
  <c r="I199" i="7"/>
  <c r="G198" i="7"/>
  <c r="K197" i="7"/>
  <c r="AC193" i="7"/>
  <c r="E191" i="7"/>
  <c r="AC187" i="7"/>
  <c r="I185" i="7"/>
  <c r="Z182" i="7"/>
  <c r="E180" i="7"/>
  <c r="Z178" i="7"/>
  <c r="X175" i="7"/>
  <c r="K173" i="7"/>
  <c r="AC171" i="7"/>
  <c r="X169" i="7"/>
  <c r="D168" i="7"/>
  <c r="Y166" i="7"/>
  <c r="F165" i="7"/>
  <c r="X163" i="7"/>
  <c r="G162" i="7"/>
  <c r="Y160" i="7"/>
  <c r="I159" i="7"/>
  <c r="U158" i="7"/>
  <c r="S158" i="7" s="1"/>
  <c r="AB157" i="7"/>
  <c r="AD154" i="7"/>
  <c r="AE151" i="7"/>
  <c r="D151" i="7"/>
  <c r="X149" i="7"/>
  <c r="AC147" i="7"/>
  <c r="F147" i="7"/>
  <c r="U146" i="7"/>
  <c r="AC144" i="7"/>
  <c r="G144" i="7"/>
  <c r="K141" i="7"/>
  <c r="AA140" i="7"/>
  <c r="E140" i="7"/>
  <c r="U139" i="7"/>
  <c r="AE137" i="7"/>
  <c r="I137" i="7"/>
  <c r="Y136" i="7"/>
  <c r="AC133" i="7"/>
  <c r="G133" i="7"/>
  <c r="K130" i="7"/>
  <c r="AA129" i="7"/>
  <c r="E129" i="7"/>
  <c r="U128" i="7"/>
  <c r="AE126" i="7"/>
  <c r="I126" i="7"/>
  <c r="Y125" i="7"/>
  <c r="AC122" i="7"/>
  <c r="G122" i="7"/>
  <c r="K119" i="7"/>
  <c r="AA118" i="7"/>
  <c r="E118" i="7"/>
  <c r="U117" i="7"/>
  <c r="AE115" i="7"/>
  <c r="I115" i="7"/>
  <c r="Y114" i="7"/>
  <c r="AC111" i="7"/>
  <c r="G111" i="7"/>
  <c r="K108" i="7"/>
  <c r="AA107" i="7"/>
  <c r="E107" i="7"/>
  <c r="U106" i="7"/>
  <c r="AE104" i="7"/>
  <c r="I104" i="7"/>
  <c r="Y103" i="7"/>
  <c r="AC100" i="7"/>
  <c r="G100" i="7"/>
  <c r="K97" i="7"/>
  <c r="AA96" i="7"/>
  <c r="E96" i="7"/>
  <c r="U95" i="7"/>
  <c r="AE93" i="7"/>
  <c r="I93" i="7"/>
  <c r="Y92" i="7"/>
  <c r="AC89" i="7"/>
  <c r="G89" i="7"/>
  <c r="K86" i="7"/>
  <c r="AA85" i="7"/>
  <c r="E85" i="7"/>
  <c r="U84" i="7"/>
  <c r="AE82" i="7"/>
  <c r="I82" i="7"/>
  <c r="Y81" i="7"/>
  <c r="AC78" i="7"/>
  <c r="G78" i="7"/>
  <c r="K75" i="7"/>
  <c r="AA74" i="7"/>
  <c r="E74" i="7"/>
  <c r="U73" i="7"/>
  <c r="G235" i="7"/>
  <c r="AB233" i="7"/>
  <c r="Z229" i="7"/>
  <c r="K224" i="7"/>
  <c r="K219" i="7"/>
  <c r="AD216" i="7"/>
  <c r="AE211" i="7"/>
  <c r="F206" i="7"/>
  <c r="K205" i="7"/>
  <c r="G204" i="7"/>
  <c r="D201" i="7"/>
  <c r="D200" i="7"/>
  <c r="I197" i="7"/>
  <c r="I196" i="7"/>
  <c r="K195" i="7"/>
  <c r="AA193" i="7"/>
  <c r="AC192" i="7"/>
  <c r="K190" i="7"/>
  <c r="U188" i="7"/>
  <c r="Z187" i="7"/>
  <c r="AD186" i="7"/>
  <c r="G185" i="7"/>
  <c r="X182" i="7"/>
  <c r="AD181" i="7"/>
  <c r="X178" i="7"/>
  <c r="AC177" i="7"/>
  <c r="AA174" i="7"/>
  <c r="H173" i="7"/>
  <c r="AA171" i="7"/>
  <c r="J170" i="7"/>
  <c r="AC168" i="7"/>
  <c r="U166" i="7"/>
  <c r="AE165" i="7"/>
  <c r="D165" i="7"/>
  <c r="U163" i="7"/>
  <c r="E162" i="7"/>
  <c r="F159" i="7"/>
  <c r="Z157" i="7"/>
  <c r="I156" i="7"/>
  <c r="AB154" i="7"/>
  <c r="H153" i="7"/>
  <c r="AC151" i="7"/>
  <c r="J150" i="7"/>
  <c r="AA147" i="7"/>
  <c r="D147" i="7"/>
  <c r="K145" i="7"/>
  <c r="AA144" i="7"/>
  <c r="E144" i="7"/>
  <c r="U143" i="7"/>
  <c r="AE141" i="7"/>
  <c r="I141" i="7"/>
  <c r="Y140" i="7"/>
  <c r="AC137" i="7"/>
  <c r="G137" i="7"/>
  <c r="K134" i="7"/>
  <c r="AA133" i="7"/>
  <c r="E133" i="7"/>
  <c r="U132" i="7"/>
  <c r="AE130" i="7"/>
  <c r="I130" i="7"/>
  <c r="Y129" i="7"/>
  <c r="AC126" i="7"/>
  <c r="G126" i="7"/>
  <c r="K123" i="7"/>
  <c r="AA122" i="7"/>
  <c r="E122" i="7"/>
  <c r="U121" i="7"/>
  <c r="AE119" i="7"/>
  <c r="I119" i="7"/>
  <c r="Y118" i="7"/>
  <c r="AC115" i="7"/>
  <c r="G115" i="7"/>
  <c r="K112" i="7"/>
  <c r="AA111" i="7"/>
  <c r="E111" i="7"/>
  <c r="U110" i="7"/>
  <c r="AE108" i="7"/>
  <c r="I108" i="7"/>
  <c r="Y107" i="7"/>
  <c r="AC104" i="7"/>
  <c r="G104" i="7"/>
  <c r="K101" i="7"/>
  <c r="AA100" i="7"/>
  <c r="E100" i="7"/>
  <c r="U99" i="7"/>
  <c r="AE97" i="7"/>
  <c r="I97" i="7"/>
  <c r="Y96" i="7"/>
  <c r="AC93" i="7"/>
  <c r="G93" i="7"/>
  <c r="K90" i="7"/>
  <c r="AA89" i="7"/>
  <c r="E89" i="7"/>
  <c r="U88" i="7"/>
  <c r="AE86" i="7"/>
  <c r="I86" i="7"/>
  <c r="Y85" i="7"/>
  <c r="AC82" i="7"/>
  <c r="G82" i="7"/>
  <c r="K79" i="7"/>
  <c r="AA78" i="7"/>
  <c r="E78" i="7"/>
  <c r="U77" i="7"/>
  <c r="AE75" i="7"/>
  <c r="I75" i="7"/>
  <c r="Y74" i="7"/>
  <c r="U236" i="7"/>
  <c r="AA233" i="7"/>
  <c r="Y229" i="7"/>
  <c r="AD226" i="7"/>
  <c r="J224" i="7"/>
  <c r="U221" i="7"/>
  <c r="I219" i="7"/>
  <c r="AE217" i="7"/>
  <c r="AB216" i="7"/>
  <c r="AC211" i="7"/>
  <c r="E206" i="7"/>
  <c r="J205" i="7"/>
  <c r="F204" i="7"/>
  <c r="F197" i="7"/>
  <c r="E196" i="7"/>
  <c r="J195" i="7"/>
  <c r="Z193" i="7"/>
  <c r="AB192" i="7"/>
  <c r="G190" i="7"/>
  <c r="Y187" i="7"/>
  <c r="AC186" i="7"/>
  <c r="F185" i="7"/>
  <c r="K184" i="7"/>
  <c r="AC181" i="7"/>
  <c r="AB177" i="7"/>
  <c r="K176" i="7"/>
  <c r="Z174" i="7"/>
  <c r="G173" i="7"/>
  <c r="Y171" i="7"/>
  <c r="I170" i="7"/>
  <c r="U169" i="7"/>
  <c r="AB168" i="7"/>
  <c r="AD165" i="7"/>
  <c r="AE162" i="7"/>
  <c r="D162" i="7"/>
  <c r="E159" i="7"/>
  <c r="Y157" i="7"/>
  <c r="E156" i="7"/>
  <c r="AA154" i="7"/>
  <c r="G153" i="7"/>
  <c r="AB151" i="7"/>
  <c r="I150" i="7"/>
  <c r="U149" i="7"/>
  <c r="K148" i="7"/>
  <c r="Z147" i="7"/>
  <c r="J145" i="7"/>
  <c r="Z144" i="7"/>
  <c r="D144" i="7"/>
  <c r="AD141" i="7"/>
  <c r="H141" i="7"/>
  <c r="X140" i="7"/>
  <c r="AB137" i="7"/>
  <c r="F137" i="7"/>
  <c r="J134" i="7"/>
  <c r="Z133" i="7"/>
  <c r="D133" i="7"/>
  <c r="AD130" i="7"/>
  <c r="H130" i="7"/>
  <c r="X129" i="7"/>
  <c r="AB126" i="7"/>
  <c r="F126" i="7"/>
  <c r="J123" i="7"/>
  <c r="Z122" i="7"/>
  <c r="D122" i="7"/>
  <c r="AD119" i="7"/>
  <c r="H119" i="7"/>
  <c r="X118" i="7"/>
  <c r="AB115" i="7"/>
  <c r="F115" i="7"/>
  <c r="J112" i="7"/>
  <c r="Z111" i="7"/>
  <c r="D111" i="7"/>
  <c r="AD108" i="7"/>
  <c r="H108" i="7"/>
  <c r="X107" i="7"/>
  <c r="AB104" i="7"/>
  <c r="F104" i="7"/>
  <c r="J101" i="7"/>
  <c r="Z100" i="7"/>
  <c r="D100" i="7"/>
  <c r="AD97" i="7"/>
  <c r="H97" i="7"/>
  <c r="X96" i="7"/>
  <c r="AB93" i="7"/>
  <c r="F93" i="7"/>
  <c r="J90" i="7"/>
  <c r="Z89" i="7"/>
  <c r="D89" i="7"/>
  <c r="AD86" i="7"/>
  <c r="H86" i="7"/>
  <c r="X85" i="7"/>
  <c r="AB82" i="7"/>
  <c r="F82" i="7"/>
  <c r="J79" i="7"/>
  <c r="Z78" i="7"/>
  <c r="D78" i="7"/>
  <c r="AD75" i="7"/>
  <c r="H75" i="7"/>
  <c r="X74" i="7"/>
  <c r="Z233" i="7"/>
  <c r="K232" i="7"/>
  <c r="AC226" i="7"/>
  <c r="I225" i="7"/>
  <c r="AB222" i="7"/>
  <c r="H219" i="7"/>
  <c r="AA217" i="7"/>
  <c r="J215" i="7"/>
  <c r="AB211" i="7"/>
  <c r="J207" i="7"/>
  <c r="D206" i="7"/>
  <c r="I205" i="7"/>
  <c r="E204" i="7"/>
  <c r="E197" i="7"/>
  <c r="D196" i="7"/>
  <c r="H195" i="7"/>
  <c r="X193" i="7"/>
  <c r="Z192" i="7"/>
  <c r="F190" i="7"/>
  <c r="K189" i="7"/>
  <c r="AA186" i="7"/>
  <c r="E185" i="7"/>
  <c r="J184" i="7"/>
  <c r="U182" i="7"/>
  <c r="AB181" i="7"/>
  <c r="AE180" i="7"/>
  <c r="K179" i="7"/>
  <c r="AA177" i="7"/>
  <c r="J176" i="7"/>
  <c r="X174" i="7"/>
  <c r="F173" i="7"/>
  <c r="X171" i="7"/>
  <c r="H170" i="7"/>
  <c r="AA168" i="7"/>
  <c r="J167" i="7"/>
  <c r="AC165" i="7"/>
  <c r="I164" i="7"/>
  <c r="AD162" i="7"/>
  <c r="K161" i="7"/>
  <c r="U160" i="7"/>
  <c r="X157" i="7"/>
  <c r="D156" i="7"/>
  <c r="Z154" i="7"/>
  <c r="E153" i="7"/>
  <c r="AA151" i="7"/>
  <c r="H150" i="7"/>
  <c r="J148" i="7"/>
  <c r="Y147" i="7"/>
  <c r="I145" i="7"/>
  <c r="Y144" i="7"/>
  <c r="AC141" i="7"/>
  <c r="G141" i="7"/>
  <c r="K138" i="7"/>
  <c r="AA137" i="7"/>
  <c r="E137" i="7"/>
  <c r="U136" i="7"/>
  <c r="AE134" i="7"/>
  <c r="I134" i="7"/>
  <c r="Y133" i="7"/>
  <c r="AC130" i="7"/>
  <c r="G130" i="7"/>
  <c r="K127" i="7"/>
  <c r="AA126" i="7"/>
  <c r="E126" i="7"/>
  <c r="U125" i="7"/>
  <c r="AE123" i="7"/>
  <c r="I123" i="7"/>
  <c r="Y122" i="7"/>
  <c r="AC119" i="7"/>
  <c r="G119" i="7"/>
  <c r="K116" i="7"/>
  <c r="AA115" i="7"/>
  <c r="E115" i="7"/>
  <c r="U114" i="7"/>
  <c r="AE112" i="7"/>
  <c r="I112" i="7"/>
  <c r="Y111" i="7"/>
  <c r="AC108" i="7"/>
  <c r="G108" i="7"/>
  <c r="K105" i="7"/>
  <c r="AA104" i="7"/>
  <c r="E104" i="7"/>
  <c r="U103" i="7"/>
  <c r="AE101" i="7"/>
  <c r="I101" i="7"/>
  <c r="Y100" i="7"/>
  <c r="AC97" i="7"/>
  <c r="G97" i="7"/>
  <c r="K94" i="7"/>
  <c r="AA93" i="7"/>
  <c r="E93" i="7"/>
  <c r="U92" i="7"/>
  <c r="AE90" i="7"/>
  <c r="I90" i="7"/>
  <c r="Y89" i="7"/>
  <c r="AC86" i="7"/>
  <c r="G86" i="7"/>
  <c r="K83" i="7"/>
  <c r="AA82" i="7"/>
  <c r="E82" i="7"/>
  <c r="U81" i="7"/>
  <c r="AE79" i="7"/>
  <c r="I79" i="7"/>
  <c r="Y78" i="7"/>
  <c r="AC75" i="7"/>
  <c r="G75" i="7"/>
  <c r="K72" i="7"/>
  <c r="AC237" i="7"/>
  <c r="D236" i="7"/>
  <c r="AC234" i="7"/>
  <c r="AA230" i="7"/>
  <c r="X226" i="7"/>
  <c r="E225" i="7"/>
  <c r="H220" i="7"/>
  <c r="AE218" i="7"/>
  <c r="X217" i="7"/>
  <c r="AB212" i="7"/>
  <c r="U211" i="7"/>
  <c r="J208" i="7"/>
  <c r="AE199" i="7"/>
  <c r="E195" i="7"/>
  <c r="AB191" i="7"/>
  <c r="H189" i="7"/>
  <c r="AE185" i="7"/>
  <c r="J183" i="7"/>
  <c r="Z180" i="7"/>
  <c r="H179" i="7"/>
  <c r="G176" i="7"/>
  <c r="U174" i="7"/>
  <c r="AD173" i="7"/>
  <c r="K172" i="7"/>
  <c r="U171" i="7"/>
  <c r="X168" i="7"/>
  <c r="D167" i="7"/>
  <c r="Z165" i="7"/>
  <c r="E164" i="7"/>
  <c r="AA162" i="7"/>
  <c r="G161" i="7"/>
  <c r="AB159" i="7"/>
  <c r="J158" i="7"/>
  <c r="U157" i="7"/>
  <c r="AE156" i="7"/>
  <c r="AD153" i="7"/>
  <c r="AE150" i="7"/>
  <c r="E150" i="7"/>
  <c r="AD148" i="7"/>
  <c r="G148" i="7"/>
  <c r="AB145" i="7"/>
  <c r="F145" i="7"/>
  <c r="J142" i="7"/>
  <c r="Z141" i="7"/>
  <c r="D141" i="7"/>
  <c r="AD138" i="7"/>
  <c r="H138" i="7"/>
  <c r="X137" i="7"/>
  <c r="AB134" i="7"/>
  <c r="F134" i="7"/>
  <c r="J131" i="7"/>
  <c r="Z130" i="7"/>
  <c r="AC235" i="7"/>
  <c r="E226" i="7"/>
  <c r="G222" i="7"/>
  <c r="AC219" i="7"/>
  <c r="U218" i="7"/>
  <c r="AA214" i="7"/>
  <c r="K212" i="7"/>
  <c r="E211" i="7"/>
  <c r="AE206" i="7"/>
  <c r="AD205" i="7"/>
  <c r="Y204" i="7"/>
  <c r="U203" i="7"/>
  <c r="X198" i="7"/>
  <c r="U197" i="7"/>
  <c r="Y196" i="7"/>
  <c r="AA195" i="7"/>
  <c r="H193" i="7"/>
  <c r="AD189" i="7"/>
  <c r="G187" i="7"/>
  <c r="Y184" i="7"/>
  <c r="F182" i="7"/>
  <c r="K181" i="7"/>
  <c r="AA179" i="7"/>
  <c r="F178" i="7"/>
  <c r="Y176" i="7"/>
  <c r="D175" i="7"/>
  <c r="AD172" i="7"/>
  <c r="U170" i="7"/>
  <c r="F169" i="7"/>
  <c r="H166" i="7"/>
  <c r="Y164" i="7"/>
  <c r="H163" i="7"/>
  <c r="AA161" i="7"/>
  <c r="G160" i="7"/>
  <c r="AC158" i="7"/>
  <c r="J157" i="7"/>
  <c r="AE155" i="7"/>
  <c r="D155" i="7"/>
  <c r="K154" i="7"/>
  <c r="X150" i="7"/>
  <c r="G149" i="7"/>
  <c r="AC146" i="7"/>
  <c r="F146" i="7"/>
  <c r="U145" i="7"/>
  <c r="AE143" i="7"/>
  <c r="I143" i="7"/>
  <c r="Y142" i="7"/>
  <c r="AC139" i="7"/>
  <c r="G139" i="7"/>
  <c r="K136" i="7"/>
  <c r="AA135" i="7"/>
  <c r="E135" i="7"/>
  <c r="U134" i="7"/>
  <c r="AE132" i="7"/>
  <c r="I132" i="7"/>
  <c r="Y131" i="7"/>
  <c r="AC128" i="7"/>
  <c r="G128" i="7"/>
  <c r="K125" i="7"/>
  <c r="AA124" i="7"/>
  <c r="E124" i="7"/>
  <c r="U123" i="7"/>
  <c r="AE121" i="7"/>
  <c r="I121" i="7"/>
  <c r="Y120" i="7"/>
  <c r="AB232" i="7"/>
  <c r="AB230" i="7"/>
  <c r="I227" i="7"/>
  <c r="J218" i="7"/>
  <c r="Z214" i="7"/>
  <c r="AE212" i="7"/>
  <c r="F211" i="7"/>
  <c r="Z206" i="7"/>
  <c r="Y200" i="7"/>
  <c r="X196" i="7"/>
  <c r="G195" i="7"/>
  <c r="AD192" i="7"/>
  <c r="F189" i="7"/>
  <c r="Z186" i="7"/>
  <c r="Y185" i="7"/>
  <c r="H183" i="7"/>
  <c r="AD179" i="7"/>
  <c r="AB178" i="7"/>
  <c r="U177" i="7"/>
  <c r="U176" i="7"/>
  <c r="E173" i="7"/>
  <c r="F172" i="7"/>
  <c r="F171" i="7"/>
  <c r="D169" i="7"/>
  <c r="AC164" i="7"/>
  <c r="AD163" i="7"/>
  <c r="X161" i="7"/>
  <c r="I155" i="7"/>
  <c r="H154" i="7"/>
  <c r="I147" i="7"/>
  <c r="K146" i="7"/>
  <c r="U144" i="7"/>
  <c r="AD143" i="7"/>
  <c r="E142" i="7"/>
  <c r="AA139" i="7"/>
  <c r="AE138" i="7"/>
  <c r="H137" i="7"/>
  <c r="Z134" i="7"/>
  <c r="J132" i="7"/>
  <c r="AE129" i="7"/>
  <c r="J128" i="7"/>
  <c r="Y126" i="7"/>
  <c r="G125" i="7"/>
  <c r="K121" i="7"/>
  <c r="Z119" i="7"/>
  <c r="I118" i="7"/>
  <c r="AA116" i="7"/>
  <c r="K115" i="7"/>
  <c r="AD113" i="7"/>
  <c r="F110" i="7"/>
  <c r="H107" i="7"/>
  <c r="Z105" i="7"/>
  <c r="H104" i="7"/>
  <c r="AC102" i="7"/>
  <c r="H101" i="7"/>
  <c r="AE99" i="7"/>
  <c r="E99" i="7"/>
  <c r="K98" i="7"/>
  <c r="G96" i="7"/>
  <c r="Y94" i="7"/>
  <c r="D93" i="7"/>
  <c r="AB91" i="7"/>
  <c r="G90" i="7"/>
  <c r="AD88" i="7"/>
  <c r="D88" i="7"/>
  <c r="J87" i="7"/>
  <c r="U86" i="7"/>
  <c r="D85" i="7"/>
  <c r="X83" i="7"/>
  <c r="AA80" i="7"/>
  <c r="F79" i="7"/>
  <c r="AC77" i="7"/>
  <c r="I76" i="7"/>
  <c r="AE74" i="7"/>
  <c r="AE70" i="7"/>
  <c r="Z230" i="7"/>
  <c r="I218" i="7"/>
  <c r="Y214" i="7"/>
  <c r="AD212" i="7"/>
  <c r="D211" i="7"/>
  <c r="Y206" i="7"/>
  <c r="X200" i="7"/>
  <c r="F195" i="7"/>
  <c r="Y192" i="7"/>
  <c r="E189" i="7"/>
  <c r="X185" i="7"/>
  <c r="E183" i="7"/>
  <c r="AD180" i="7"/>
  <c r="AB179" i="7"/>
  <c r="Y178" i="7"/>
  <c r="K175" i="7"/>
  <c r="J174" i="7"/>
  <c r="D173" i="7"/>
  <c r="E172" i="7"/>
  <c r="E171" i="7"/>
  <c r="AB165" i="7"/>
  <c r="AA164" i="7"/>
  <c r="AC163" i="7"/>
  <c r="H155" i="7"/>
  <c r="G154" i="7"/>
  <c r="H147" i="7"/>
  <c r="J146" i="7"/>
  <c r="AC143" i="7"/>
  <c r="D142" i="7"/>
  <c r="Z139" i="7"/>
  <c r="AC138" i="7"/>
  <c r="D137" i="7"/>
  <c r="Y134" i="7"/>
  <c r="H132" i="7"/>
  <c r="U130" i="7"/>
  <c r="AD129" i="7"/>
  <c r="I128" i="7"/>
  <c r="X126" i="7"/>
  <c r="F125" i="7"/>
  <c r="AE122" i="7"/>
  <c r="J121" i="7"/>
  <c r="Y119" i="7"/>
  <c r="H118" i="7"/>
  <c r="Z116" i="7"/>
  <c r="H115" i="7"/>
  <c r="AC113" i="7"/>
  <c r="H112" i="7"/>
  <c r="AE110" i="7"/>
  <c r="E110" i="7"/>
  <c r="K109" i="7"/>
  <c r="G107" i="7"/>
  <c r="Y105" i="7"/>
  <c r="D104" i="7"/>
  <c r="AB102" i="7"/>
  <c r="G101" i="7"/>
  <c r="AD99" i="7"/>
  <c r="D99" i="7"/>
  <c r="J98" i="7"/>
  <c r="U97" i="7"/>
  <c r="D96" i="7"/>
  <c r="X94" i="7"/>
  <c r="AA91" i="7"/>
  <c r="F90" i="7"/>
  <c r="AC88" i="7"/>
  <c r="I87" i="7"/>
  <c r="AE85" i="7"/>
  <c r="Z80" i="7"/>
  <c r="E79" i="7"/>
  <c r="AB77" i="7"/>
  <c r="H76" i="7"/>
  <c r="AD74" i="7"/>
  <c r="K73" i="7"/>
  <c r="AD70" i="7"/>
  <c r="H70" i="7"/>
  <c r="X69" i="7"/>
  <c r="X230" i="7"/>
  <c r="Z226" i="7"/>
  <c r="G223" i="7"/>
  <c r="AB219" i="7"/>
  <c r="H216" i="7"/>
  <c r="U200" i="7"/>
  <c r="E184" i="7"/>
  <c r="Y180" i="7"/>
  <c r="H175" i="7"/>
  <c r="E174" i="7"/>
  <c r="AE167" i="7"/>
  <c r="AE166" i="7"/>
  <c r="Y165" i="7"/>
  <c r="X164" i="7"/>
  <c r="U161" i="7"/>
  <c r="I158" i="7"/>
  <c r="I157" i="7"/>
  <c r="F155" i="7"/>
  <c r="E154" i="7"/>
  <c r="AD150" i="7"/>
  <c r="AE148" i="7"/>
  <c r="H146" i="7"/>
  <c r="AA143" i="7"/>
  <c r="AE142" i="7"/>
  <c r="F141" i="7"/>
  <c r="X139" i="7"/>
  <c r="AA138" i="7"/>
  <c r="J136" i="7"/>
  <c r="AE133" i="7"/>
  <c r="F132" i="7"/>
  <c r="I131" i="7"/>
  <c r="Z129" i="7"/>
  <c r="F128" i="7"/>
  <c r="AE125" i="7"/>
  <c r="J124" i="7"/>
  <c r="X122" i="7"/>
  <c r="G121" i="7"/>
  <c r="D118" i="7"/>
  <c r="X116" i="7"/>
  <c r="AA113" i="7"/>
  <c r="F112" i="7"/>
  <c r="AC110" i="7"/>
  <c r="I109" i="7"/>
  <c r="AE107" i="7"/>
  <c r="Z102" i="7"/>
  <c r="E101" i="7"/>
  <c r="AB99" i="7"/>
  <c r="H98" i="7"/>
  <c r="AD96" i="7"/>
  <c r="K95" i="7"/>
  <c r="Y91" i="7"/>
  <c r="D90" i="7"/>
  <c r="AA88" i="7"/>
  <c r="G87" i="7"/>
  <c r="AC85" i="7"/>
  <c r="J84" i="7"/>
  <c r="U83" i="7"/>
  <c r="AD82" i="7"/>
  <c r="X80" i="7"/>
  <c r="AD79" i="7"/>
  <c r="Z77" i="7"/>
  <c r="F76" i="7"/>
  <c r="Z74" i="7"/>
  <c r="I73" i="7"/>
  <c r="AB70" i="7"/>
  <c r="F70" i="7"/>
  <c r="J67" i="7"/>
  <c r="Z66" i="7"/>
  <c r="D66" i="7"/>
  <c r="F232" i="7"/>
  <c r="U228" i="7"/>
  <c r="Y226" i="7"/>
  <c r="F223" i="7"/>
  <c r="Z219" i="7"/>
  <c r="Z217" i="7"/>
  <c r="U214" i="7"/>
  <c r="AC207" i="7"/>
  <c r="AE204" i="7"/>
  <c r="AC197" i="7"/>
  <c r="D184" i="7"/>
  <c r="X180" i="7"/>
  <c r="U179" i="7"/>
  <c r="G175" i="7"/>
  <c r="D174" i="7"/>
  <c r="AA167" i="7"/>
  <c r="AD166" i="7"/>
  <c r="X165" i="7"/>
  <c r="H158" i="7"/>
  <c r="G157" i="7"/>
  <c r="AC150" i="7"/>
  <c r="AC149" i="7"/>
  <c r="AC148" i="7"/>
  <c r="G146" i="7"/>
  <c r="Z143" i="7"/>
  <c r="AD142" i="7"/>
  <c r="E141" i="7"/>
  <c r="Z138" i="7"/>
  <c r="I136" i="7"/>
  <c r="AB133" i="7"/>
  <c r="E132" i="7"/>
  <c r="H131" i="7"/>
  <c r="E128" i="7"/>
  <c r="U126" i="7"/>
  <c r="AD125" i="7"/>
  <c r="I124" i="7"/>
  <c r="F121" i="7"/>
  <c r="K120" i="7"/>
  <c r="AE118" i="7"/>
  <c r="D232" i="7"/>
  <c r="U230" i="7"/>
  <c r="D223" i="7"/>
  <c r="X219" i="7"/>
  <c r="Y217" i="7"/>
  <c r="K209" i="7"/>
  <c r="AB207" i="7"/>
  <c r="AA204" i="7"/>
  <c r="AA197" i="7"/>
  <c r="U192" i="7"/>
  <c r="AB187" i="7"/>
  <c r="AE181" i="7"/>
  <c r="F175" i="7"/>
  <c r="AE168" i="7"/>
  <c r="Z167" i="7"/>
  <c r="AC166" i="7"/>
  <c r="I161" i="7"/>
  <c r="K159" i="7"/>
  <c r="G158" i="7"/>
  <c r="F157" i="7"/>
  <c r="AB150" i="7"/>
  <c r="AB149" i="7"/>
  <c r="AB148" i="7"/>
  <c r="E146" i="7"/>
  <c r="H145" i="7"/>
  <c r="Y143" i="7"/>
  <c r="AC142" i="7"/>
  <c r="Y138" i="7"/>
  <c r="H136" i="7"/>
  <c r="X133" i="7"/>
  <c r="D132" i="7"/>
  <c r="G131" i="7"/>
  <c r="D128" i="7"/>
  <c r="J127" i="7"/>
  <c r="AC125" i="7"/>
  <c r="H124" i="7"/>
  <c r="E121" i="7"/>
  <c r="J120" i="7"/>
  <c r="U119" i="7"/>
  <c r="AD118" i="7"/>
  <c r="K117" i="7"/>
  <c r="Y113" i="7"/>
  <c r="D112" i="7"/>
  <c r="AA110" i="7"/>
  <c r="G109" i="7"/>
  <c r="AC107" i="7"/>
  <c r="J106" i="7"/>
  <c r="U105" i="7"/>
  <c r="AD104" i="7"/>
  <c r="X102" i="7"/>
  <c r="AD101" i="7"/>
  <c r="Z99" i="7"/>
  <c r="F98" i="7"/>
  <c r="Z96" i="7"/>
  <c r="I95" i="7"/>
  <c r="Z93" i="7"/>
  <c r="K92" i="7"/>
  <c r="AC90" i="7"/>
  <c r="Y88" i="7"/>
  <c r="E87" i="7"/>
  <c r="H84" i="7"/>
  <c r="Y82" i="7"/>
  <c r="J81" i="7"/>
  <c r="AB79" i="7"/>
  <c r="AD237" i="7"/>
  <c r="K230" i="7"/>
  <c r="J226" i="7"/>
  <c r="U224" i="7"/>
  <c r="G221" i="7"/>
  <c r="AD215" i="7"/>
  <c r="Y207" i="7"/>
  <c r="AC201" i="7"/>
  <c r="K200" i="7"/>
  <c r="AB193" i="7"/>
  <c r="I191" i="7"/>
  <c r="AC188" i="7"/>
  <c r="Y181" i="7"/>
  <c r="U180" i="7"/>
  <c r="J178" i="7"/>
  <c r="H176" i="7"/>
  <c r="AD170" i="7"/>
  <c r="AD169" i="7"/>
  <c r="Y168" i="7"/>
  <c r="K162" i="7"/>
  <c r="F161" i="7"/>
  <c r="F160" i="7"/>
  <c r="E158" i="7"/>
  <c r="D157" i="7"/>
  <c r="AE153" i="7"/>
  <c r="Z151" i="7"/>
  <c r="Z150" i="7"/>
  <c r="Z149" i="7"/>
  <c r="Y148" i="7"/>
  <c r="E145" i="7"/>
  <c r="AA142" i="7"/>
  <c r="J140" i="7"/>
  <c r="AD137" i="7"/>
  <c r="F136" i="7"/>
  <c r="J135" i="7"/>
  <c r="U133" i="7"/>
  <c r="AD132" i="7"/>
  <c r="E131" i="7"/>
  <c r="AE128" i="7"/>
  <c r="H127" i="7"/>
  <c r="AA125" i="7"/>
  <c r="F124" i="7"/>
  <c r="AD121" i="7"/>
  <c r="H120" i="7"/>
  <c r="Z118" i="7"/>
  <c r="I117" i="7"/>
  <c r="Z115" i="7"/>
  <c r="K114" i="7"/>
  <c r="AC112" i="7"/>
  <c r="Y110" i="7"/>
  <c r="E109" i="7"/>
  <c r="H106" i="7"/>
  <c r="Y104" i="7"/>
  <c r="J103" i="7"/>
  <c r="AB101" i="7"/>
  <c r="AE98" i="7"/>
  <c r="D98" i="7"/>
  <c r="G95" i="7"/>
  <c r="X93" i="7"/>
  <c r="I92" i="7"/>
  <c r="U91" i="7"/>
  <c r="AA90" i="7"/>
  <c r="K89" i="7"/>
  <c r="AD87" i="7"/>
  <c r="U85" i="7"/>
  <c r="F84" i="7"/>
  <c r="H81" i="7"/>
  <c r="Z79" i="7"/>
  <c r="J78" i="7"/>
  <c r="AB237" i="7"/>
  <c r="H230" i="7"/>
  <c r="I228" i="7"/>
  <c r="I226" i="7"/>
  <c r="AA222" i="7"/>
  <c r="F221" i="7"/>
  <c r="U217" i="7"/>
  <c r="AC215" i="7"/>
  <c r="I212" i="7"/>
  <c r="X207" i="7"/>
  <c r="AB201" i="7"/>
  <c r="I200" i="7"/>
  <c r="AE198" i="7"/>
  <c r="H191" i="7"/>
  <c r="AB188" i="7"/>
  <c r="K185" i="7"/>
  <c r="AE182" i="7"/>
  <c r="I178" i="7"/>
  <c r="J177" i="7"/>
  <c r="F176" i="7"/>
  <c r="AE172" i="7"/>
  <c r="AB170" i="7"/>
  <c r="AC169" i="7"/>
  <c r="J162" i="7"/>
  <c r="E161" i="7"/>
  <c r="E160" i="7"/>
  <c r="D158" i="7"/>
  <c r="AC153" i="7"/>
  <c r="AD152" i="7"/>
  <c r="X151" i="7"/>
  <c r="Y150" i="7"/>
  <c r="X148" i="7"/>
  <c r="AE147" i="7"/>
  <c r="D145" i="7"/>
  <c r="Z142" i="7"/>
  <c r="I140" i="7"/>
  <c r="AE236" i="7"/>
  <c r="G229" i="7"/>
  <c r="AE216" i="7"/>
  <c r="AA209" i="7"/>
  <c r="X203" i="7"/>
  <c r="AC195" i="7"/>
  <c r="I194" i="7"/>
  <c r="AC190" i="7"/>
  <c r="G189" i="7"/>
  <c r="AD185" i="7"/>
  <c r="E181" i="7"/>
  <c r="G179" i="7"/>
  <c r="Y177" i="7"/>
  <c r="E170" i="7"/>
  <c r="U168" i="7"/>
  <c r="E167" i="7"/>
  <c r="AA165" i="7"/>
  <c r="D164" i="7"/>
  <c r="AB162" i="7"/>
  <c r="D161" i="7"/>
  <c r="AA159" i="7"/>
  <c r="K158" i="7"/>
  <c r="Z156" i="7"/>
  <c r="AA153" i="7"/>
  <c r="F148" i="7"/>
  <c r="AE146" i="7"/>
  <c r="Y145" i="7"/>
  <c r="J143" i="7"/>
  <c r="AD139" i="7"/>
  <c r="U138" i="7"/>
  <c r="G135" i="7"/>
  <c r="D134" i="7"/>
  <c r="AD131" i="7"/>
  <c r="AB130" i="7"/>
  <c r="Y128" i="7"/>
  <c r="X127" i="7"/>
  <c r="U124" i="7"/>
  <c r="G120" i="7"/>
  <c r="J119" i="7"/>
  <c r="J117" i="7"/>
  <c r="J116" i="7"/>
  <c r="X112" i="7"/>
  <c r="AB111" i="7"/>
  <c r="AD110" i="7"/>
  <c r="AD109" i="7"/>
  <c r="D107" i="7"/>
  <c r="F106" i="7"/>
  <c r="H105" i="7"/>
  <c r="U100" i="7"/>
  <c r="Z98" i="7"/>
  <c r="AA97" i="7"/>
  <c r="AE96" i="7"/>
  <c r="AE95" i="7"/>
  <c r="G91" i="7"/>
  <c r="H90" i="7"/>
  <c r="I89" i="7"/>
  <c r="AA84" i="7"/>
  <c r="AB83" i="7"/>
  <c r="D80" i="7"/>
  <c r="U76" i="7"/>
  <c r="X75" i="7"/>
  <c r="E73" i="7"/>
  <c r="Y71" i="7"/>
  <c r="AA69" i="7"/>
  <c r="AC67" i="7"/>
  <c r="F67" i="7"/>
  <c r="U66" i="7"/>
  <c r="AD64" i="7"/>
  <c r="H64" i="7"/>
  <c r="X63" i="7"/>
  <c r="AB60" i="7"/>
  <c r="F60" i="7"/>
  <c r="J57" i="7"/>
  <c r="Z56" i="7"/>
  <c r="D56" i="7"/>
  <c r="AD53" i="7"/>
  <c r="H53" i="7"/>
  <c r="X52" i="7"/>
  <c r="AB49" i="7"/>
  <c r="F49" i="7"/>
  <c r="J46" i="7"/>
  <c r="Z45" i="7"/>
  <c r="D45" i="7"/>
  <c r="AD42" i="7"/>
  <c r="AD236" i="7"/>
  <c r="F229" i="7"/>
  <c r="G226" i="7"/>
  <c r="AB218" i="7"/>
  <c r="X211" i="7"/>
  <c r="X209" i="7"/>
  <c r="U207" i="7"/>
  <c r="AB195" i="7"/>
  <c r="Y190" i="7"/>
  <c r="D189" i="7"/>
  <c r="K187" i="7"/>
  <c r="AC185" i="7"/>
  <c r="E179" i="7"/>
  <c r="X177" i="7"/>
  <c r="Z162" i="7"/>
  <c r="F158" i="7"/>
  <c r="Y156" i="7"/>
  <c r="K155" i="7"/>
  <c r="Z153" i="7"/>
  <c r="E148" i="7"/>
  <c r="AD146" i="7"/>
  <c r="X145" i="7"/>
  <c r="K144" i="7"/>
  <c r="H143" i="7"/>
  <c r="AE140" i="7"/>
  <c r="AB139" i="7"/>
  <c r="F135" i="7"/>
  <c r="AC131" i="7"/>
  <c r="AA130" i="7"/>
  <c r="U129" i="7"/>
  <c r="X128" i="7"/>
  <c r="H123" i="7"/>
  <c r="F120" i="7"/>
  <c r="F119" i="7"/>
  <c r="K118" i="7"/>
  <c r="H117" i="7"/>
  <c r="I116" i="7"/>
  <c r="U113" i="7"/>
  <c r="P113" i="7" s="1"/>
  <c r="X111" i="7"/>
  <c r="AB110" i="7"/>
  <c r="AC109" i="7"/>
  <c r="E106" i="7"/>
  <c r="G105" i="7"/>
  <c r="K103" i="7"/>
  <c r="Y98" i="7"/>
  <c r="Z97" i="7"/>
  <c r="AC96" i="7"/>
  <c r="AD95" i="7"/>
  <c r="AE94" i="7"/>
  <c r="F91" i="7"/>
  <c r="E90" i="7"/>
  <c r="F89" i="7"/>
  <c r="K88" i="7"/>
  <c r="Z84" i="7"/>
  <c r="AA83" i="7"/>
  <c r="Z82" i="7"/>
  <c r="K77" i="7"/>
  <c r="AC74" i="7"/>
  <c r="D73" i="7"/>
  <c r="X71" i="7"/>
  <c r="Z69" i="7"/>
  <c r="AB67" i="7"/>
  <c r="E67" i="7"/>
  <c r="AC64" i="7"/>
  <c r="G64" i="7"/>
  <c r="K61" i="7"/>
  <c r="AA60" i="7"/>
  <c r="E60" i="7"/>
  <c r="U59" i="7"/>
  <c r="AE57" i="7"/>
  <c r="I57" i="7"/>
  <c r="Y56" i="7"/>
  <c r="AC53" i="7"/>
  <c r="G53" i="7"/>
  <c r="K50" i="7"/>
  <c r="AA49" i="7"/>
  <c r="E49" i="7"/>
  <c r="U48" i="7"/>
  <c r="AE46" i="7"/>
  <c r="I46" i="7"/>
  <c r="Y45" i="7"/>
  <c r="AC42" i="7"/>
  <c r="AB236" i="7"/>
  <c r="AC233" i="7"/>
  <c r="D229" i="7"/>
  <c r="F226" i="7"/>
  <c r="AA218" i="7"/>
  <c r="H207" i="7"/>
  <c r="U199" i="7"/>
  <c r="Z195" i="7"/>
  <c r="J192" i="7"/>
  <c r="X190" i="7"/>
  <c r="J187" i="7"/>
  <c r="AB185" i="7"/>
  <c r="AA180" i="7"/>
  <c r="D179" i="7"/>
  <c r="AC172" i="7"/>
  <c r="X162" i="7"/>
  <c r="J155" i="7"/>
  <c r="Y153" i="7"/>
  <c r="K152" i="7"/>
  <c r="AA150" i="7"/>
  <c r="AB146" i="7"/>
  <c r="J144" i="7"/>
  <c r="G143" i="7"/>
  <c r="AD140" i="7"/>
  <c r="Y139" i="7"/>
  <c r="G136" i="7"/>
  <c r="D135" i="7"/>
  <c r="AB131" i="7"/>
  <c r="Y130" i="7"/>
  <c r="G123" i="7"/>
  <c r="K122" i="7"/>
  <c r="E120" i="7"/>
  <c r="E119" i="7"/>
  <c r="J118" i="7"/>
  <c r="G117" i="7"/>
  <c r="H116" i="7"/>
  <c r="Z110" i="7"/>
  <c r="AB109" i="7"/>
  <c r="D106" i="7"/>
  <c r="F105" i="7"/>
  <c r="I103" i="7"/>
  <c r="K102" i="7"/>
  <c r="X98" i="7"/>
  <c r="Y97" i="7"/>
  <c r="AC95" i="7"/>
  <c r="AD94" i="7"/>
  <c r="E91" i="7"/>
  <c r="J88" i="7"/>
  <c r="Y84" i="7"/>
  <c r="Z83" i="7"/>
  <c r="X82" i="7"/>
  <c r="AE81" i="7"/>
  <c r="J77" i="7"/>
  <c r="J72" i="7"/>
  <c r="K70" i="7"/>
  <c r="Y236" i="7"/>
  <c r="Y233" i="7"/>
  <c r="D226" i="7"/>
  <c r="AE223" i="7"/>
  <c r="Y218" i="7"/>
  <c r="G207" i="7"/>
  <c r="H203" i="7"/>
  <c r="K201" i="7"/>
  <c r="Y195" i="7"/>
  <c r="I192" i="7"/>
  <c r="AD188" i="7"/>
  <c r="F187" i="7"/>
  <c r="AA185" i="7"/>
  <c r="AB172" i="7"/>
  <c r="AE169" i="7"/>
  <c r="U159" i="7"/>
  <c r="G155" i="7"/>
  <c r="X153" i="7"/>
  <c r="J152" i="7"/>
  <c r="K149" i="7"/>
  <c r="AA146" i="7"/>
  <c r="I144" i="7"/>
  <c r="F143" i="7"/>
  <c r="AB141" i="7"/>
  <c r="AC140" i="7"/>
  <c r="E136" i="7"/>
  <c r="AC132" i="7"/>
  <c r="AA131" i="7"/>
  <c r="X130" i="7"/>
  <c r="U127" i="7"/>
  <c r="K124" i="7"/>
  <c r="F123" i="7"/>
  <c r="J122" i="7"/>
  <c r="H121" i="7"/>
  <c r="D120" i="7"/>
  <c r="D119" i="7"/>
  <c r="G118" i="7"/>
  <c r="F117" i="7"/>
  <c r="G116" i="7"/>
  <c r="U112" i="7"/>
  <c r="AA109" i="7"/>
  <c r="AB108" i="7"/>
  <c r="E105" i="7"/>
  <c r="K104" i="7"/>
  <c r="H103" i="7"/>
  <c r="J102" i="7"/>
  <c r="X97" i="7"/>
  <c r="U96" i="7"/>
  <c r="AB95" i="7"/>
  <c r="AC94" i="7"/>
  <c r="AD93" i="7"/>
  <c r="D91" i="7"/>
  <c r="I88" i="7"/>
  <c r="K87" i="7"/>
  <c r="X84" i="7"/>
  <c r="Y83" i="7"/>
  <c r="AD81" i="7"/>
  <c r="I77" i="7"/>
  <c r="U75" i="7"/>
  <c r="I72" i="7"/>
  <c r="J70" i="7"/>
  <c r="Z67" i="7"/>
  <c r="K65" i="7"/>
  <c r="AA64" i="7"/>
  <c r="E64" i="7"/>
  <c r="U63" i="7"/>
  <c r="AE61" i="7"/>
  <c r="I61" i="7"/>
  <c r="Y60" i="7"/>
  <c r="AC57" i="7"/>
  <c r="G57" i="7"/>
  <c r="K54" i="7"/>
  <c r="AA53" i="7"/>
  <c r="E53" i="7"/>
  <c r="U52" i="7"/>
  <c r="AE50" i="7"/>
  <c r="I50" i="7"/>
  <c r="Y49" i="7"/>
  <c r="AC46" i="7"/>
  <c r="G46" i="7"/>
  <c r="K43" i="7"/>
  <c r="X233" i="7"/>
  <c r="AA223" i="7"/>
  <c r="K221" i="7"/>
  <c r="X218" i="7"/>
  <c r="I216" i="7"/>
  <c r="Y213" i="7"/>
  <c r="K211" i="7"/>
  <c r="J209" i="7"/>
  <c r="J201" i="7"/>
  <c r="X195" i="7"/>
  <c r="AE193" i="7"/>
  <c r="E192" i="7"/>
  <c r="U190" i="7"/>
  <c r="Z188" i="7"/>
  <c r="D187" i="7"/>
  <c r="AE183" i="7"/>
  <c r="H182" i="7"/>
  <c r="AE175" i="7"/>
  <c r="AA172" i="7"/>
  <c r="AB169" i="7"/>
  <c r="U156" i="7"/>
  <c r="H152" i="7"/>
  <c r="I149" i="7"/>
  <c r="Z146" i="7"/>
  <c r="F144" i="7"/>
  <c r="E143" i="7"/>
  <c r="AA141" i="7"/>
  <c r="Z140" i="7"/>
  <c r="AB132" i="7"/>
  <c r="Z131" i="7"/>
  <c r="G124" i="7"/>
  <c r="E123" i="7"/>
  <c r="I122" i="7"/>
  <c r="D121" i="7"/>
  <c r="E117" i="7"/>
  <c r="F116" i="7"/>
  <c r="J114" i="7"/>
  <c r="U111" i="7"/>
  <c r="Z109" i="7"/>
  <c r="AA108" i="7"/>
  <c r="D105" i="7"/>
  <c r="G103" i="7"/>
  <c r="I102" i="7"/>
  <c r="AA95" i="7"/>
  <c r="AB94" i="7"/>
  <c r="Y93" i="7"/>
  <c r="E236" i="7"/>
  <c r="Z223" i="7"/>
  <c r="X213" i="7"/>
  <c r="J211" i="7"/>
  <c r="G205" i="7"/>
  <c r="I201" i="7"/>
  <c r="J197" i="7"/>
  <c r="D192" i="7"/>
  <c r="Y188" i="7"/>
  <c r="AD183" i="7"/>
  <c r="G182" i="7"/>
  <c r="AD175" i="7"/>
  <c r="Z172" i="7"/>
  <c r="AA169" i="7"/>
  <c r="K168" i="7"/>
  <c r="K165" i="7"/>
  <c r="U153" i="7"/>
  <c r="G152" i="7"/>
  <c r="U150" i="7"/>
  <c r="F149" i="7"/>
  <c r="AB147" i="7"/>
  <c r="Y146" i="7"/>
  <c r="D143" i="7"/>
  <c r="Y141" i="7"/>
  <c r="AA132" i="7"/>
  <c r="X131" i="7"/>
  <c r="I127" i="7"/>
  <c r="K126" i="7"/>
  <c r="J125" i="7"/>
  <c r="D124" i="7"/>
  <c r="D123" i="7"/>
  <c r="F122" i="7"/>
  <c r="D117" i="7"/>
  <c r="E116" i="7"/>
  <c r="D115" i="7"/>
  <c r="I114" i="7"/>
  <c r="Y109" i="7"/>
  <c r="Z108" i="7"/>
  <c r="AD107" i="7"/>
  <c r="F103" i="7"/>
  <c r="H102" i="7"/>
  <c r="K100" i="7"/>
  <c r="U98" i="7"/>
  <c r="Z95" i="7"/>
  <c r="AA94" i="7"/>
  <c r="AD92" i="7"/>
  <c r="G88" i="7"/>
  <c r="F87" i="7"/>
  <c r="F86" i="7"/>
  <c r="U82" i="7"/>
  <c r="AB81" i="7"/>
  <c r="AE80" i="7"/>
  <c r="AC79" i="7"/>
  <c r="G77" i="7"/>
  <c r="K76" i="7"/>
  <c r="AD73" i="7"/>
  <c r="G72" i="7"/>
  <c r="G70" i="7"/>
  <c r="J68" i="7"/>
  <c r="X67" i="7"/>
  <c r="AE65" i="7"/>
  <c r="I65" i="7"/>
  <c r="Y64" i="7"/>
  <c r="AC61" i="7"/>
  <c r="G61" i="7"/>
  <c r="K58" i="7"/>
  <c r="AA57" i="7"/>
  <c r="E57" i="7"/>
  <c r="U56" i="7"/>
  <c r="AE54" i="7"/>
  <c r="I54" i="7"/>
  <c r="Y53" i="7"/>
  <c r="I231" i="7"/>
  <c r="D228" i="7"/>
  <c r="H211" i="7"/>
  <c r="F205" i="7"/>
  <c r="AE202" i="7"/>
  <c r="E201" i="7"/>
  <c r="H185" i="7"/>
  <c r="AA183" i="7"/>
  <c r="D182" i="7"/>
  <c r="F177" i="7"/>
  <c r="AC175" i="7"/>
  <c r="I174" i="7"/>
  <c r="Y172" i="7"/>
  <c r="Z169" i="7"/>
  <c r="J168" i="7"/>
  <c r="J165" i="7"/>
  <c r="I162" i="7"/>
  <c r="E149" i="7"/>
  <c r="X147" i="7"/>
  <c r="X146" i="7"/>
  <c r="X141" i="7"/>
  <c r="K139" i="7"/>
  <c r="J138" i="7"/>
  <c r="K137" i="7"/>
  <c r="Z132" i="7"/>
  <c r="G127" i="7"/>
  <c r="H126" i="7"/>
  <c r="I125" i="7"/>
  <c r="D116" i="7"/>
  <c r="H114" i="7"/>
  <c r="K113" i="7"/>
  <c r="X109" i="7"/>
  <c r="Y108" i="7"/>
  <c r="Z107" i="7"/>
  <c r="E103" i="7"/>
  <c r="G102" i="7"/>
  <c r="F101" i="7"/>
  <c r="J100" i="7"/>
  <c r="Y95" i="7"/>
  <c r="Z94" i="7"/>
  <c r="AC92" i="7"/>
  <c r="F88" i="7"/>
  <c r="D87" i="7"/>
  <c r="E86" i="7"/>
  <c r="AA81" i="7"/>
  <c r="AD80" i="7"/>
  <c r="AA79" i="7"/>
  <c r="F77" i="7"/>
  <c r="J76" i="7"/>
  <c r="AC73" i="7"/>
  <c r="F72" i="7"/>
  <c r="E70" i="7"/>
  <c r="I68" i="7"/>
  <c r="AD65" i="7"/>
  <c r="H65" i="7"/>
  <c r="X64" i="7"/>
  <c r="AB61" i="7"/>
  <c r="F61" i="7"/>
  <c r="J58" i="7"/>
  <c r="Z57" i="7"/>
  <c r="D57" i="7"/>
  <c r="AD54" i="7"/>
  <c r="H54" i="7"/>
  <c r="X53" i="7"/>
  <c r="AB50" i="7"/>
  <c r="F50" i="7"/>
  <c r="J47" i="7"/>
  <c r="Z46" i="7"/>
  <c r="D46" i="7"/>
  <c r="J233" i="7"/>
  <c r="AB225" i="7"/>
  <c r="AA215" i="7"/>
  <c r="G211" i="7"/>
  <c r="AC202" i="7"/>
  <c r="U195" i="7"/>
  <c r="D185" i="7"/>
  <c r="Z183" i="7"/>
  <c r="E177" i="7"/>
  <c r="AB175" i="7"/>
  <c r="X172" i="7"/>
  <c r="K171" i="7"/>
  <c r="I168" i="7"/>
  <c r="AB166" i="7"/>
  <c r="I165" i="7"/>
  <c r="F162" i="7"/>
  <c r="H159" i="7"/>
  <c r="AC154" i="7"/>
  <c r="D149" i="7"/>
  <c r="G145" i="7"/>
  <c r="U140" i="7"/>
  <c r="J139" i="7"/>
  <c r="I138" i="7"/>
  <c r="Y132" i="7"/>
  <c r="F127" i="7"/>
  <c r="D126" i="7"/>
  <c r="H125" i="7"/>
  <c r="G114" i="7"/>
  <c r="J113" i="7"/>
  <c r="X108" i="7"/>
  <c r="AE106" i="7"/>
  <c r="F102" i="7"/>
  <c r="D101" i="7"/>
  <c r="I100" i="7"/>
  <c r="X95" i="7"/>
  <c r="U93" i="7"/>
  <c r="AB92" i="7"/>
  <c r="AE91" i="7"/>
  <c r="AD90" i="7"/>
  <c r="E88" i="7"/>
  <c r="D86" i="7"/>
  <c r="X81" i="7"/>
  <c r="AC80" i="7"/>
  <c r="Y79" i="7"/>
  <c r="E77" i="7"/>
  <c r="G76" i="7"/>
  <c r="AB73" i="7"/>
  <c r="AE72" i="7"/>
  <c r="E72" i="7"/>
  <c r="AC70" i="7"/>
  <c r="D70" i="7"/>
  <c r="H68" i="7"/>
  <c r="AC65" i="7"/>
  <c r="G65" i="7"/>
  <c r="K62" i="7"/>
  <c r="AA61" i="7"/>
  <c r="E61" i="7"/>
  <c r="U60" i="7"/>
  <c r="AE58" i="7"/>
  <c r="I58" i="7"/>
  <c r="Y57" i="7"/>
  <c r="AC54" i="7"/>
  <c r="G54" i="7"/>
  <c r="K51" i="7"/>
  <c r="AA50" i="7"/>
  <c r="E50" i="7"/>
  <c r="U49" i="7"/>
  <c r="AE47" i="7"/>
  <c r="I47" i="7"/>
  <c r="Y46" i="7"/>
  <c r="AC43" i="7"/>
  <c r="G43" i="7"/>
  <c r="F233" i="7"/>
  <c r="AA229" i="7"/>
  <c r="AD219" i="7"/>
  <c r="Z215" i="7"/>
  <c r="Z212" i="7"/>
  <c r="AD209" i="7"/>
  <c r="AB206" i="7"/>
  <c r="AE195" i="7"/>
  <c r="I193" i="7"/>
  <c r="D186" i="7"/>
  <c r="J181" i="7"/>
  <c r="AE178" i="7"/>
  <c r="AD176" i="7"/>
  <c r="D172" i="7"/>
  <c r="U167" i="7"/>
  <c r="G163" i="7"/>
  <c r="H161" i="7"/>
  <c r="G150" i="7"/>
  <c r="AB142" i="7"/>
  <c r="AE139" i="7"/>
  <c r="F133" i="7"/>
  <c r="D131" i="7"/>
  <c r="Z126" i="7"/>
  <c r="AE124" i="7"/>
  <c r="AB121" i="7"/>
  <c r="U120" i="7"/>
  <c r="AB114" i="7"/>
  <c r="F113" i="7"/>
  <c r="X103" i="7"/>
  <c r="D102" i="7"/>
  <c r="AE100" i="7"/>
  <c r="J99" i="7"/>
  <c r="D95" i="7"/>
  <c r="AD85" i="7"/>
  <c r="K84" i="7"/>
  <c r="AC81" i="7"/>
  <c r="G79" i="7"/>
  <c r="AE77" i="7"/>
  <c r="Z76" i="7"/>
  <c r="K74" i="7"/>
  <c r="F73" i="7"/>
  <c r="D71" i="7"/>
  <c r="J69" i="7"/>
  <c r="AD66" i="7"/>
  <c r="D65" i="7"/>
  <c r="Z63" i="7"/>
  <c r="AE62" i="7"/>
  <c r="AC59" i="7"/>
  <c r="E58" i="7"/>
  <c r="X56" i="7"/>
  <c r="D55" i="7"/>
  <c r="AD52" i="7"/>
  <c r="G51" i="7"/>
  <c r="AC49" i="7"/>
  <c r="I48" i="7"/>
  <c r="AB46" i="7"/>
  <c r="Z44" i="7"/>
  <c r="I43" i="7"/>
  <c r="J40" i="7"/>
  <c r="Z39" i="7"/>
  <c r="D39" i="7"/>
  <c r="AD36" i="7"/>
  <c r="H36" i="7"/>
  <c r="X35" i="7"/>
  <c r="AB32" i="7"/>
  <c r="F32" i="7"/>
  <c r="J29" i="7"/>
  <c r="Z28" i="7"/>
  <c r="D28" i="7"/>
  <c r="AD25" i="7"/>
  <c r="H25" i="7"/>
  <c r="X24" i="7"/>
  <c r="AB21" i="7"/>
  <c r="F21" i="7"/>
  <c r="J18" i="7"/>
  <c r="Z17" i="7"/>
  <c r="D17" i="7"/>
  <c r="Y215" i="7"/>
  <c r="AA206" i="7"/>
  <c r="AE203" i="7"/>
  <c r="AD200" i="7"/>
  <c r="K198" i="7"/>
  <c r="G193" i="7"/>
  <c r="AE190" i="7"/>
  <c r="J188" i="7"/>
  <c r="K183" i="7"/>
  <c r="I181" i="7"/>
  <c r="AD178" i="7"/>
  <c r="AC176" i="7"/>
  <c r="AC173" i="7"/>
  <c r="H165" i="7"/>
  <c r="AE158" i="7"/>
  <c r="AA156" i="7"/>
  <c r="F150" i="7"/>
  <c r="AE144" i="7"/>
  <c r="X142" i="7"/>
  <c r="J141" i="7"/>
  <c r="Z137" i="7"/>
  <c r="AC129" i="7"/>
  <c r="AD124" i="7"/>
  <c r="AA121" i="7"/>
  <c r="AA114" i="7"/>
  <c r="E113" i="7"/>
  <c r="AB100" i="7"/>
  <c r="I99" i="7"/>
  <c r="J92" i="7"/>
  <c r="AB90" i="7"/>
  <c r="Z85" i="7"/>
  <c r="I84" i="7"/>
  <c r="K80" i="7"/>
  <c r="D79" i="7"/>
  <c r="AD77" i="7"/>
  <c r="Y76" i="7"/>
  <c r="J75" i="7"/>
  <c r="J74" i="7"/>
  <c r="I69" i="7"/>
  <c r="AC66" i="7"/>
  <c r="Y63" i="7"/>
  <c r="AD62" i="7"/>
  <c r="J61" i="7"/>
  <c r="AB59" i="7"/>
  <c r="D58" i="7"/>
  <c r="AE55" i="7"/>
  <c r="J54" i="7"/>
  <c r="AC52" i="7"/>
  <c r="F51" i="7"/>
  <c r="Z49" i="7"/>
  <c r="H48" i="7"/>
  <c r="AA46" i="7"/>
  <c r="Y44" i="7"/>
  <c r="H43" i="7"/>
  <c r="U42" i="7"/>
  <c r="AE40" i="7"/>
  <c r="I40" i="7"/>
  <c r="Y39" i="7"/>
  <c r="AC36" i="7"/>
  <c r="G36" i="7"/>
  <c r="K33" i="7"/>
  <c r="AA32" i="7"/>
  <c r="E32" i="7"/>
  <c r="U31" i="7"/>
  <c r="AE29" i="7"/>
  <c r="I29" i="7"/>
  <c r="Y28" i="7"/>
  <c r="AC25" i="7"/>
  <c r="G25" i="7"/>
  <c r="K22" i="7"/>
  <c r="AA21" i="7"/>
  <c r="E21" i="7"/>
  <c r="U20" i="7"/>
  <c r="AE18" i="7"/>
  <c r="I18" i="7"/>
  <c r="Y17" i="7"/>
  <c r="U229" i="7"/>
  <c r="AA225" i="7"/>
  <c r="K222" i="7"/>
  <c r="AB203" i="7"/>
  <c r="AC200" i="7"/>
  <c r="J198" i="7"/>
  <c r="F193" i="7"/>
  <c r="AD190" i="7"/>
  <c r="I188" i="7"/>
  <c r="I183" i="7"/>
  <c r="H181" i="7"/>
  <c r="AC178" i="7"/>
  <c r="Z176" i="7"/>
  <c r="AB173" i="7"/>
  <c r="E165" i="7"/>
  <c r="AC160" i="7"/>
  <c r="AD158" i="7"/>
  <c r="D150" i="7"/>
  <c r="I148" i="7"/>
  <c r="AB144" i="7"/>
  <c r="I139" i="7"/>
  <c r="Y137" i="7"/>
  <c r="AC124" i="7"/>
  <c r="Z121" i="7"/>
  <c r="I120" i="7"/>
  <c r="U118" i="7"/>
  <c r="S118" i="7" s="1"/>
  <c r="AD115" i="7"/>
  <c r="X114" i="7"/>
  <c r="D113" i="7"/>
  <c r="K110" i="7"/>
  <c r="K106" i="7"/>
  <c r="Z104" i="7"/>
  <c r="X100" i="7"/>
  <c r="H99" i="7"/>
  <c r="H92" i="7"/>
  <c r="Z90" i="7"/>
  <c r="U89" i="7"/>
  <c r="G84" i="7"/>
  <c r="J80" i="7"/>
  <c r="AA77" i="7"/>
  <c r="X76" i="7"/>
  <c r="F75" i="7"/>
  <c r="I74" i="7"/>
  <c r="H69" i="7"/>
  <c r="AB66" i="7"/>
  <c r="AC62" i="7"/>
  <c r="H61" i="7"/>
  <c r="AA59" i="7"/>
  <c r="AD55" i="7"/>
  <c r="F54" i="7"/>
  <c r="AB52" i="7"/>
  <c r="E51" i="7"/>
  <c r="X49" i="7"/>
  <c r="G48" i="7"/>
  <c r="X46" i="7"/>
  <c r="K45" i="7"/>
  <c r="X44" i="7"/>
  <c r="F43" i="7"/>
  <c r="AD40" i="7"/>
  <c r="H40" i="7"/>
  <c r="X39" i="7"/>
  <c r="AB36" i="7"/>
  <c r="F36" i="7"/>
  <c r="J33" i="7"/>
  <c r="Z32" i="7"/>
  <c r="D32" i="7"/>
  <c r="AD29" i="7"/>
  <c r="H29" i="7"/>
  <c r="X28" i="7"/>
  <c r="AB25" i="7"/>
  <c r="F25" i="7"/>
  <c r="J22" i="7"/>
  <c r="Z21" i="7"/>
  <c r="D21" i="7"/>
  <c r="AD18" i="7"/>
  <c r="H18" i="7"/>
  <c r="X17" i="7"/>
  <c r="J222" i="7"/>
  <c r="D219" i="7"/>
  <c r="H212" i="7"/>
  <c r="AE208" i="7"/>
  <c r="AA203" i="7"/>
  <c r="E198" i="7"/>
  <c r="D195" i="7"/>
  <c r="E193" i="7"/>
  <c r="E188" i="7"/>
  <c r="D183" i="7"/>
  <c r="G181" i="7"/>
  <c r="AA173" i="7"/>
  <c r="AB160" i="7"/>
  <c r="AB158" i="7"/>
  <c r="H148" i="7"/>
  <c r="I146" i="7"/>
  <c r="X144" i="7"/>
  <c r="H139" i="7"/>
  <c r="AE127" i="7"/>
  <c r="AB124" i="7"/>
  <c r="Y121" i="7"/>
  <c r="Y115" i="7"/>
  <c r="AE111" i="7"/>
  <c r="J110" i="7"/>
  <c r="I106" i="7"/>
  <c r="X104" i="7"/>
  <c r="G99" i="7"/>
  <c r="G92" i="7"/>
  <c r="Y90" i="7"/>
  <c r="H88" i="7"/>
  <c r="E84" i="7"/>
  <c r="I80" i="7"/>
  <c r="Y77" i="7"/>
  <c r="E75" i="7"/>
  <c r="H74" i="7"/>
  <c r="AD72" i="7"/>
  <c r="G69" i="7"/>
  <c r="K68" i="7"/>
  <c r="AA66" i="7"/>
  <c r="AB62" i="7"/>
  <c r="D61" i="7"/>
  <c r="Z59" i="7"/>
  <c r="AD58" i="7"/>
  <c r="AC55" i="7"/>
  <c r="E54" i="7"/>
  <c r="AA52" i="7"/>
  <c r="D51" i="7"/>
  <c r="F48" i="7"/>
  <c r="J45" i="7"/>
  <c r="E43" i="7"/>
  <c r="AC40" i="7"/>
  <c r="G40" i="7"/>
  <c r="K37" i="7"/>
  <c r="AA36" i="7"/>
  <c r="E36" i="7"/>
  <c r="U35" i="7"/>
  <c r="AE33" i="7"/>
  <c r="I33" i="7"/>
  <c r="Y32" i="7"/>
  <c r="AC29" i="7"/>
  <c r="G29" i="7"/>
  <c r="K26" i="7"/>
  <c r="AA25" i="7"/>
  <c r="E25" i="7"/>
  <c r="U24" i="7"/>
  <c r="AE22" i="7"/>
  <c r="I22" i="7"/>
  <c r="Y21" i="7"/>
  <c r="AC18" i="7"/>
  <c r="G18" i="7"/>
  <c r="J229" i="7"/>
  <c r="I222" i="7"/>
  <c r="H215" i="7"/>
  <c r="G212" i="7"/>
  <c r="AD208" i="7"/>
  <c r="D193" i="7"/>
  <c r="D188" i="7"/>
  <c r="F181" i="7"/>
  <c r="Y173" i="7"/>
  <c r="AB171" i="7"/>
  <c r="K169" i="7"/>
  <c r="X160" i="7"/>
  <c r="AA158" i="7"/>
  <c r="J156" i="7"/>
  <c r="AD151" i="7"/>
  <c r="D146" i="7"/>
  <c r="U142" i="7"/>
  <c r="F139" i="7"/>
  <c r="AE135" i="7"/>
  <c r="K129" i="7"/>
  <c r="AD127" i="7"/>
  <c r="Z124" i="7"/>
  <c r="X115" i="7"/>
  <c r="I110" i="7"/>
  <c r="G106" i="7"/>
  <c r="AC101" i="7"/>
  <c r="F99" i="7"/>
  <c r="AB97" i="7"/>
  <c r="K96" i="7"/>
  <c r="F92" i="7"/>
  <c r="X90" i="7"/>
  <c r="D84" i="7"/>
  <c r="H80" i="7"/>
  <c r="AE78" i="7"/>
  <c r="D75" i="7"/>
  <c r="G74" i="7"/>
  <c r="AC72" i="7"/>
  <c r="AE71" i="7"/>
  <c r="F69" i="7"/>
  <c r="G68" i="7"/>
  <c r="Y66" i="7"/>
  <c r="AB65" i="7"/>
  <c r="K64" i="7"/>
  <c r="AA62" i="7"/>
  <c r="Y59" i="7"/>
  <c r="AC58" i="7"/>
  <c r="D222" i="7"/>
  <c r="AE214" i="7"/>
  <c r="X202" i="7"/>
  <c r="Z194" i="7"/>
  <c r="AE189" i="7"/>
  <c r="Y182" i="7"/>
  <c r="D178" i="7"/>
  <c r="Z175" i="7"/>
  <c r="G169" i="7"/>
  <c r="AD164" i="7"/>
  <c r="K160" i="7"/>
  <c r="Z135" i="7"/>
  <c r="E134" i="7"/>
  <c r="G129" i="7"/>
  <c r="Z127" i="7"/>
  <c r="AB119" i="7"/>
  <c r="AE116" i="7"/>
  <c r="AA112" i="7"/>
  <c r="I111" i="7"/>
  <c r="AC105" i="7"/>
  <c r="X101" i="7"/>
  <c r="AD98" i="7"/>
  <c r="J97" i="7"/>
  <c r="K93" i="7"/>
  <c r="AD91" i="7"/>
  <c r="J89" i="7"/>
  <c r="AC87" i="7"/>
  <c r="Y86" i="7"/>
  <c r="I85" i="7"/>
  <c r="K81" i="7"/>
  <c r="AE73" i="7"/>
  <c r="Y72" i="7"/>
  <c r="AA71" i="7"/>
  <c r="X70" i="7"/>
  <c r="AE69" i="7"/>
  <c r="X65" i="7"/>
  <c r="D64" i="7"/>
  <c r="AD61" i="7"/>
  <c r="J60" i="7"/>
  <c r="Y58" i="7"/>
  <c r="AA237" i="7"/>
  <c r="AA234" i="7"/>
  <c r="F210" i="7"/>
  <c r="Z207" i="7"/>
  <c r="AC198" i="7"/>
  <c r="D225" i="7"/>
  <c r="F208" i="7"/>
  <c r="AE196" i="7"/>
  <c r="J194" i="7"/>
  <c r="Z184" i="7"/>
  <c r="H178" i="7"/>
  <c r="I175" i="7"/>
  <c r="H164" i="7"/>
  <c r="AB161" i="7"/>
  <c r="Z158" i="7"/>
  <c r="AC155" i="7"/>
  <c r="D153" i="7"/>
  <c r="Z145" i="7"/>
  <c r="AD136" i="7"/>
  <c r="AD134" i="7"/>
  <c r="J130" i="7"/>
  <c r="AA128" i="7"/>
  <c r="AD126" i="7"/>
  <c r="X120" i="7"/>
  <c r="AB116" i="7"/>
  <c r="AA105" i="7"/>
  <c r="AA92" i="7"/>
  <c r="I91" i="7"/>
  <c r="X87" i="7"/>
  <c r="AB78" i="7"/>
  <c r="J71" i="7"/>
  <c r="AD68" i="7"/>
  <c r="AE67" i="7"/>
  <c r="X66" i="7"/>
  <c r="U54" i="7"/>
  <c r="Y52" i="7"/>
  <c r="AA51" i="7"/>
  <c r="AD50" i="7"/>
  <c r="D48" i="7"/>
  <c r="F47" i="7"/>
  <c r="AB44" i="7"/>
  <c r="AD43" i="7"/>
  <c r="I42" i="7"/>
  <c r="U41" i="7"/>
  <c r="AC38" i="7"/>
  <c r="J35" i="7"/>
  <c r="AD33" i="7"/>
  <c r="D33" i="7"/>
  <c r="AC31" i="7"/>
  <c r="K30" i="7"/>
  <c r="J28" i="7"/>
  <c r="AE26" i="7"/>
  <c r="E26" i="7"/>
  <c r="AC24" i="7"/>
  <c r="D24" i="7"/>
  <c r="X22" i="7"/>
  <c r="J21" i="7"/>
  <c r="AE19" i="7"/>
  <c r="E19" i="7"/>
  <c r="AC17" i="7"/>
  <c r="AC15" i="7"/>
  <c r="G15" i="7"/>
  <c r="K12" i="7"/>
  <c r="AA11" i="7"/>
  <c r="E11" i="7"/>
  <c r="U10" i="7"/>
  <c r="J8" i="7"/>
  <c r="AA7" i="7"/>
  <c r="E7" i="7"/>
  <c r="H229" i="7"/>
  <c r="E208" i="7"/>
  <c r="H200" i="7"/>
  <c r="AD196" i="7"/>
  <c r="X184" i="7"/>
  <c r="G178" i="7"/>
  <c r="E175" i="7"/>
  <c r="G164" i="7"/>
  <c r="Z161" i="7"/>
  <c r="Y158" i="7"/>
  <c r="AB155" i="7"/>
  <c r="U147" i="7"/>
  <c r="AC136" i="7"/>
  <c r="AC134" i="7"/>
  <c r="F130" i="7"/>
  <c r="Z128" i="7"/>
  <c r="Y116" i="7"/>
  <c r="U107" i="7"/>
  <c r="X105" i="7"/>
  <c r="E102" i="7"/>
  <c r="I98" i="7"/>
  <c r="X92" i="7"/>
  <c r="H91" i="7"/>
  <c r="U80" i="7"/>
  <c r="X78" i="7"/>
  <c r="H77" i="7"/>
  <c r="AB75" i="7"/>
  <c r="D74" i="7"/>
  <c r="U72" i="7"/>
  <c r="I71" i="7"/>
  <c r="AC68" i="7"/>
  <c r="AD67" i="7"/>
  <c r="K59" i="7"/>
  <c r="K57" i="7"/>
  <c r="U53" i="7"/>
  <c r="Z51" i="7"/>
  <c r="AC50" i="7"/>
  <c r="E47" i="7"/>
  <c r="AA44" i="7"/>
  <c r="AB43" i="7"/>
  <c r="H42" i="7"/>
  <c r="AB40" i="7"/>
  <c r="AB38" i="7"/>
  <c r="J37" i="7"/>
  <c r="I35" i="7"/>
  <c r="U34" i="7"/>
  <c r="AC33" i="7"/>
  <c r="AB31" i="7"/>
  <c r="J30" i="7"/>
  <c r="I28" i="7"/>
  <c r="AD26" i="7"/>
  <c r="D26" i="7"/>
  <c r="AB24" i="7"/>
  <c r="K23" i="7"/>
  <c r="I21" i="7"/>
  <c r="AD19" i="7"/>
  <c r="D19" i="7"/>
  <c r="AB17" i="7"/>
  <c r="AB15" i="7"/>
  <c r="F15" i="7"/>
  <c r="J12" i="7"/>
  <c r="Z11" i="7"/>
  <c r="D11" i="7"/>
  <c r="AE8" i="7"/>
  <c r="I8" i="7"/>
  <c r="Z7" i="7"/>
  <c r="D7" i="7"/>
  <c r="U6" i="7"/>
  <c r="U220" i="7"/>
  <c r="D208" i="7"/>
  <c r="H204" i="7"/>
  <c r="E200" i="7"/>
  <c r="AB196" i="7"/>
  <c r="E178" i="7"/>
  <c r="I172" i="7"/>
  <c r="J169" i="7"/>
  <c r="Y161" i="7"/>
  <c r="X158" i="7"/>
  <c r="Z155" i="7"/>
  <c r="K150" i="7"/>
  <c r="AB136" i="7"/>
  <c r="AA134" i="7"/>
  <c r="E130" i="7"/>
  <c r="AE114" i="7"/>
  <c r="AD112" i="7"/>
  <c r="AE103" i="7"/>
  <c r="G98" i="7"/>
  <c r="J96" i="7"/>
  <c r="J94" i="7"/>
  <c r="AE83" i="7"/>
  <c r="K82" i="7"/>
  <c r="D77" i="7"/>
  <c r="AA75" i="7"/>
  <c r="H71" i="7"/>
  <c r="AB68" i="7"/>
  <c r="AA67" i="7"/>
  <c r="J59" i="7"/>
  <c r="H58" i="7"/>
  <c r="H57" i="7"/>
  <c r="K56" i="7"/>
  <c r="Y51" i="7"/>
  <c r="Z50" i="7"/>
  <c r="D47" i="7"/>
  <c r="AA43" i="7"/>
  <c r="G42" i="7"/>
  <c r="AA40" i="7"/>
  <c r="AA38" i="7"/>
  <c r="I37" i="7"/>
  <c r="U36" i="7"/>
  <c r="H35" i="7"/>
  <c r="AB33" i="7"/>
  <c r="AA31" i="7"/>
  <c r="I30" i="7"/>
  <c r="U29" i="7"/>
  <c r="H28" i="7"/>
  <c r="U27" i="7"/>
  <c r="AC26" i="7"/>
  <c r="AA24" i="7"/>
  <c r="J23" i="7"/>
  <c r="H21" i="7"/>
  <c r="AC19" i="7"/>
  <c r="AA17" i="7"/>
  <c r="AA15" i="7"/>
  <c r="E15" i="7"/>
  <c r="U14" i="7"/>
  <c r="AE12" i="7"/>
  <c r="I12" i="7"/>
  <c r="Y11" i="7"/>
  <c r="AD8" i="7"/>
  <c r="H8" i="7"/>
  <c r="Y7" i="7"/>
  <c r="AE237" i="7"/>
  <c r="G233" i="7"/>
  <c r="AA196" i="7"/>
  <c r="H172" i="7"/>
  <c r="I169" i="7"/>
  <c r="Y155" i="7"/>
  <c r="K143" i="7"/>
  <c r="AB138" i="7"/>
  <c r="AA136" i="7"/>
  <c r="X134" i="7"/>
  <c r="D130" i="7"/>
  <c r="U116" i="7"/>
  <c r="AD114" i="7"/>
  <c r="AB112" i="7"/>
  <c r="J109" i="7"/>
  <c r="AD103" i="7"/>
  <c r="AA101" i="7"/>
  <c r="E98" i="7"/>
  <c r="I96" i="7"/>
  <c r="I94" i="7"/>
  <c r="U87" i="7"/>
  <c r="AD83" i="7"/>
  <c r="H82" i="7"/>
  <c r="U78" i="7"/>
  <c r="Z75" i="7"/>
  <c r="G71" i="7"/>
  <c r="AA68" i="7"/>
  <c r="Y67" i="7"/>
  <c r="K60" i="7"/>
  <c r="I59" i="7"/>
  <c r="G58" i="7"/>
  <c r="F57" i="7"/>
  <c r="J56" i="7"/>
  <c r="K55" i="7"/>
  <c r="X51" i="7"/>
  <c r="Y50" i="7"/>
  <c r="K46" i="7"/>
  <c r="Z43" i="7"/>
  <c r="F42" i="7"/>
  <c r="Z40" i="7"/>
  <c r="Z38" i="7"/>
  <c r="H37" i="7"/>
  <c r="G35" i="7"/>
  <c r="AA33" i="7"/>
  <c r="Z31" i="7"/>
  <c r="H30" i="7"/>
  <c r="G28" i="7"/>
  <c r="AB26" i="7"/>
  <c r="Z24" i="7"/>
  <c r="I23" i="7"/>
  <c r="U22" i="7"/>
  <c r="G21" i="7"/>
  <c r="AB19" i="7"/>
  <c r="K16" i="7"/>
  <c r="Z15" i="7"/>
  <c r="D15" i="7"/>
  <c r="AD12" i="7"/>
  <c r="H12" i="7"/>
  <c r="X11" i="7"/>
  <c r="AC8" i="7"/>
  <c r="G8" i="7"/>
  <c r="X7" i="7"/>
  <c r="Z237" i="7"/>
  <c r="I220" i="7"/>
  <c r="Z196" i="7"/>
  <c r="U184" i="7"/>
  <c r="G172" i="7"/>
  <c r="H169" i="7"/>
  <c r="K166" i="7"/>
  <c r="AC152" i="7"/>
  <c r="X138" i="7"/>
  <c r="X136" i="7"/>
  <c r="K128" i="7"/>
  <c r="AC114" i="7"/>
  <c r="Z112" i="7"/>
  <c r="H109" i="7"/>
  <c r="AC103" i="7"/>
  <c r="Z101" i="7"/>
  <c r="H96" i="7"/>
  <c r="H94" i="7"/>
  <c r="AC83" i="7"/>
  <c r="D82" i="7"/>
  <c r="G80" i="7"/>
  <c r="Y75" i="7"/>
  <c r="AA73" i="7"/>
  <c r="F71" i="7"/>
  <c r="AD69" i="7"/>
  <c r="Z68" i="7"/>
  <c r="K63" i="7"/>
  <c r="J62" i="7"/>
  <c r="I60" i="7"/>
  <c r="H59" i="7"/>
  <c r="F58" i="7"/>
  <c r="I56" i="7"/>
  <c r="J55" i="7"/>
  <c r="X50" i="7"/>
  <c r="AE49" i="7"/>
  <c r="AE48" i="7"/>
  <c r="H46" i="7"/>
  <c r="U44" i="7"/>
  <c r="Y43" i="7"/>
  <c r="E42" i="7"/>
  <c r="Y40" i="7"/>
  <c r="Y38" i="7"/>
  <c r="G37" i="7"/>
  <c r="AE35" i="7"/>
  <c r="F35" i="7"/>
  <c r="Z33" i="7"/>
  <c r="Y31" i="7"/>
  <c r="G30" i="7"/>
  <c r="AE28" i="7"/>
  <c r="F28" i="7"/>
  <c r="AA26" i="7"/>
  <c r="Y24" i="7"/>
  <c r="H23" i="7"/>
  <c r="AA19" i="7"/>
  <c r="J16" i="7"/>
  <c r="Y15" i="7"/>
  <c r="AC12" i="7"/>
  <c r="G12" i="7"/>
  <c r="K9" i="7"/>
  <c r="AB8" i="7"/>
  <c r="F8" i="7"/>
  <c r="D12" i="7"/>
  <c r="Y8" i="7"/>
  <c r="AC232" i="7"/>
  <c r="AD199" i="7"/>
  <c r="K193" i="7"/>
  <c r="E169" i="7"/>
  <c r="J166" i="7"/>
  <c r="AE157" i="7"/>
  <c r="Y152" i="7"/>
  <c r="K132" i="7"/>
  <c r="H128" i="7"/>
  <c r="AD123" i="7"/>
  <c r="Y112" i="7"/>
  <c r="F109" i="7"/>
  <c r="K107" i="7"/>
  <c r="AB103" i="7"/>
  <c r="Y101" i="7"/>
  <c r="G94" i="7"/>
  <c r="U90" i="7"/>
  <c r="H87" i="7"/>
  <c r="K85" i="7"/>
  <c r="F80" i="7"/>
  <c r="Z73" i="7"/>
  <c r="E71" i="7"/>
  <c r="AC69" i="7"/>
  <c r="Y68" i="7"/>
  <c r="U67" i="7"/>
  <c r="J64" i="7"/>
  <c r="J63" i="7"/>
  <c r="I62" i="7"/>
  <c r="H60" i="7"/>
  <c r="G59" i="7"/>
  <c r="H56" i="7"/>
  <c r="I55" i="7"/>
  <c r="AD49" i="7"/>
  <c r="AD48" i="7"/>
  <c r="F46" i="7"/>
  <c r="X43" i="7"/>
  <c r="D42" i="7"/>
  <c r="X40" i="7"/>
  <c r="K39" i="7"/>
  <c r="X38" i="7"/>
  <c r="F37" i="7"/>
  <c r="AD35" i="7"/>
  <c r="E35" i="7"/>
  <c r="Y33" i="7"/>
  <c r="K32" i="7"/>
  <c r="X31" i="7"/>
  <c r="F30" i="7"/>
  <c r="AD28" i="7"/>
  <c r="E28" i="7"/>
  <c r="Z26" i="7"/>
  <c r="G23" i="7"/>
  <c r="AE21" i="7"/>
  <c r="Z19" i="7"/>
  <c r="U17" i="7"/>
  <c r="I16" i="7"/>
  <c r="X15" i="7"/>
  <c r="AB12" i="7"/>
  <c r="F12" i="7"/>
  <c r="J9" i="7"/>
  <c r="AA8" i="7"/>
  <c r="E8" i="7"/>
  <c r="H237" i="7"/>
  <c r="AD227" i="7"/>
  <c r="Z199" i="7"/>
  <c r="J196" i="7"/>
  <c r="J193" i="7"/>
  <c r="I166" i="7"/>
  <c r="AA157" i="7"/>
  <c r="X152" i="7"/>
  <c r="AA149" i="7"/>
  <c r="H134" i="7"/>
  <c r="G132" i="7"/>
  <c r="AC123" i="7"/>
  <c r="F114" i="7"/>
  <c r="D109" i="7"/>
  <c r="J107" i="7"/>
  <c r="AA103" i="7"/>
  <c r="F94" i="7"/>
  <c r="J85" i="7"/>
  <c r="E80" i="7"/>
  <c r="AE76" i="7"/>
  <c r="Y73" i="7"/>
  <c r="AB69" i="7"/>
  <c r="X68" i="7"/>
  <c r="K66" i="7"/>
  <c r="I64" i="7"/>
  <c r="I63" i="7"/>
  <c r="H62" i="7"/>
  <c r="G60" i="7"/>
  <c r="F59" i="7"/>
  <c r="G56" i="7"/>
  <c r="H55" i="7"/>
  <c r="U51" i="7"/>
  <c r="AC48" i="7"/>
  <c r="E46" i="7"/>
  <c r="I45" i="7"/>
  <c r="AE42" i="7"/>
  <c r="K41" i="7"/>
  <c r="J39" i="7"/>
  <c r="AE37" i="7"/>
  <c r="E37" i="7"/>
  <c r="AC35" i="7"/>
  <c r="D35" i="7"/>
  <c r="X33" i="7"/>
  <c r="J32" i="7"/>
  <c r="AE30" i="7"/>
  <c r="E30" i="7"/>
  <c r="AC28" i="7"/>
  <c r="Y26" i="7"/>
  <c r="K25" i="7"/>
  <c r="F23" i="7"/>
  <c r="AD21" i="7"/>
  <c r="Y19" i="7"/>
  <c r="K18" i="7"/>
  <c r="H16" i="7"/>
  <c r="K13" i="7"/>
  <c r="AA12" i="7"/>
  <c r="E12" i="7"/>
  <c r="U11" i="7"/>
  <c r="AE9" i="7"/>
  <c r="I9" i="7"/>
  <c r="Z8" i="7"/>
  <c r="D8" i="7"/>
  <c r="U7" i="7"/>
  <c r="F237" i="7"/>
  <c r="Y227" i="7"/>
  <c r="AD214" i="7"/>
  <c r="K210" i="7"/>
  <c r="Z202" i="7"/>
  <c r="Y199" i="7"/>
  <c r="AC189" i="7"/>
  <c r="AE186" i="7"/>
  <c r="AB174" i="7"/>
  <c r="G166" i="7"/>
  <c r="K163" i="7"/>
  <c r="K140" i="7"/>
  <c r="G138" i="7"/>
  <c r="G134" i="7"/>
  <c r="AC127" i="7"/>
  <c r="AB125" i="7"/>
  <c r="AB123" i="7"/>
  <c r="AC121" i="7"/>
  <c r="AA119" i="7"/>
  <c r="AE117" i="7"/>
  <c r="E114" i="7"/>
  <c r="I107" i="7"/>
  <c r="E94" i="7"/>
  <c r="AE88" i="7"/>
  <c r="H85" i="7"/>
  <c r="J83" i="7"/>
  <c r="AD76" i="7"/>
  <c r="X73" i="7"/>
  <c r="H72" i="7"/>
  <c r="AA70" i="7"/>
  <c r="Y69" i="7"/>
  <c r="J66" i="7"/>
  <c r="J65" i="7"/>
  <c r="F64" i="7"/>
  <c r="H63" i="7"/>
  <c r="G62" i="7"/>
  <c r="D60" i="7"/>
  <c r="E59" i="7"/>
  <c r="F56" i="7"/>
  <c r="G55" i="7"/>
  <c r="D54" i="7"/>
  <c r="K53" i="7"/>
  <c r="U50" i="7"/>
  <c r="AB48" i="7"/>
  <c r="AD47" i="7"/>
  <c r="H45" i="7"/>
  <c r="AB42" i="7"/>
  <c r="J41" i="7"/>
  <c r="I39" i="7"/>
  <c r="AD37" i="7"/>
  <c r="D37" i="7"/>
  <c r="AB35" i="7"/>
  <c r="K34" i="7"/>
  <c r="I32" i="7"/>
  <c r="AD30" i="7"/>
  <c r="D30" i="7"/>
  <c r="AB28" i="7"/>
  <c r="X26" i="7"/>
  <c r="J25" i="7"/>
  <c r="AE23" i="7"/>
  <c r="E23" i="7"/>
  <c r="AC21" i="7"/>
  <c r="X19" i="7"/>
  <c r="F18" i="7"/>
  <c r="G16" i="7"/>
  <c r="J13" i="7"/>
  <c r="Z12" i="7"/>
  <c r="AD9" i="7"/>
  <c r="H9" i="7"/>
  <c r="AC214" i="7"/>
  <c r="G210" i="7"/>
  <c r="Y202" i="7"/>
  <c r="AB189" i="7"/>
  <c r="H180" i="7"/>
  <c r="G171" i="7"/>
  <c r="Z168" i="7"/>
  <c r="F166" i="7"/>
  <c r="J163" i="7"/>
  <c r="Y154" i="7"/>
  <c r="K147" i="7"/>
  <c r="H140" i="7"/>
  <c r="F138" i="7"/>
  <c r="AB127" i="7"/>
  <c r="X125" i="7"/>
  <c r="AA123" i="7"/>
  <c r="X119" i="7"/>
  <c r="AD117" i="7"/>
  <c r="J105" i="7"/>
  <c r="U101" i="7"/>
  <c r="AC99" i="7"/>
  <c r="D94" i="7"/>
  <c r="E92" i="7"/>
  <c r="AB88" i="7"/>
  <c r="G85" i="7"/>
  <c r="I83" i="7"/>
  <c r="AC76" i="7"/>
  <c r="AA231" i="7"/>
  <c r="U227" i="7"/>
  <c r="AB214" i="7"/>
  <c r="E210" i="7"/>
  <c r="X192" i="7"/>
  <c r="AA189" i="7"/>
  <c r="D166" i="7"/>
  <c r="X154" i="7"/>
  <c r="J147" i="7"/>
  <c r="K142" i="7"/>
  <c r="G140" i="7"/>
  <c r="E138" i="7"/>
  <c r="AA127" i="7"/>
  <c r="Z123" i="7"/>
  <c r="AC117" i="7"/>
  <c r="G112" i="7"/>
  <c r="U108" i="7"/>
  <c r="AD106" i="7"/>
  <c r="I105" i="7"/>
  <c r="AA99" i="7"/>
  <c r="Z88" i="7"/>
  <c r="AB86" i="7"/>
  <c r="H83" i="7"/>
  <c r="X79" i="7"/>
  <c r="K78" i="7"/>
  <c r="AB76" i="7"/>
  <c r="Y70" i="7"/>
  <c r="U69" i="7"/>
  <c r="U68" i="7"/>
  <c r="K67" i="7"/>
  <c r="H66" i="7"/>
  <c r="E65" i="7"/>
  <c r="F63" i="7"/>
  <c r="E62" i="7"/>
  <c r="E55" i="7"/>
  <c r="I53" i="7"/>
  <c r="K52" i="7"/>
  <c r="Z48" i="7"/>
  <c r="AB47" i="7"/>
  <c r="F45" i="7"/>
  <c r="Z42" i="7"/>
  <c r="H41" i="7"/>
  <c r="G39" i="7"/>
  <c r="AB37" i="7"/>
  <c r="Z35" i="7"/>
  <c r="I34" i="7"/>
  <c r="U33" i="7"/>
  <c r="G32" i="7"/>
  <c r="AB30" i="7"/>
  <c r="J27" i="7"/>
  <c r="D25" i="7"/>
  <c r="AC23" i="7"/>
  <c r="J20" i="7"/>
  <c r="D18" i="7"/>
  <c r="AD16" i="7"/>
  <c r="E16" i="7"/>
  <c r="AD13" i="7"/>
  <c r="H13" i="7"/>
  <c r="X12" i="7"/>
  <c r="AB9" i="7"/>
  <c r="F9" i="7"/>
  <c r="AE191" i="7"/>
  <c r="F186" i="7"/>
  <c r="AB182" i="7"/>
  <c r="E157" i="7"/>
  <c r="I154" i="7"/>
  <c r="F142" i="7"/>
  <c r="Y135" i="7"/>
  <c r="J129" i="7"/>
  <c r="D127" i="7"/>
  <c r="Y117" i="7"/>
  <c r="U115" i="7"/>
  <c r="G110" i="7"/>
  <c r="Z106" i="7"/>
  <c r="K99" i="7"/>
  <c r="D97" i="7"/>
  <c r="X91" i="7"/>
  <c r="D83" i="7"/>
  <c r="I81" i="7"/>
  <c r="E76" i="7"/>
  <c r="AC71" i="7"/>
  <c r="D68" i="7"/>
  <c r="D67" i="7"/>
  <c r="Z58" i="7"/>
  <c r="AB57" i="7"/>
  <c r="AE56" i="7"/>
  <c r="G52" i="7"/>
  <c r="H51" i="7"/>
  <c r="H50" i="7"/>
  <c r="X47" i="7"/>
  <c r="AE45" i="7"/>
  <c r="H44" i="7"/>
  <c r="AD41" i="7"/>
  <c r="D41" i="7"/>
  <c r="AB39" i="7"/>
  <c r="X37" i="7"/>
  <c r="J36" i="7"/>
  <c r="AE34" i="7"/>
  <c r="E34" i="7"/>
  <c r="AC32" i="7"/>
  <c r="X30" i="7"/>
  <c r="F29" i="7"/>
  <c r="F27" i="7"/>
  <c r="Z25" i="7"/>
  <c r="Y23" i="7"/>
  <c r="G22" i="7"/>
  <c r="F20" i="7"/>
  <c r="Z18" i="7"/>
  <c r="Z16" i="7"/>
  <c r="J14" i="7"/>
  <c r="Z13" i="7"/>
  <c r="D13" i="7"/>
  <c r="AD10" i="7"/>
  <c r="H10" i="7"/>
  <c r="X9" i="7"/>
  <c r="AE6" i="7"/>
  <c r="I6" i="7"/>
  <c r="E230" i="7"/>
  <c r="Y205" i="7"/>
  <c r="AA194" i="7"/>
  <c r="AA175" i="7"/>
  <c r="AC145" i="7"/>
  <c r="F131" i="7"/>
  <c r="E127" i="7"/>
  <c r="AE120" i="7"/>
  <c r="AA117" i="7"/>
  <c r="U102" i="7"/>
  <c r="AB98" i="7"/>
  <c r="E83" i="7"/>
  <c r="U74" i="7"/>
  <c r="I70" i="7"/>
  <c r="E66" i="7"/>
  <c r="AC60" i="7"/>
  <c r="X58" i="7"/>
  <c r="F52" i="7"/>
  <c r="H49" i="7"/>
  <c r="AD44" i="7"/>
  <c r="J43" i="7"/>
  <c r="AE41" i="7"/>
  <c r="U40" i="7"/>
  <c r="I38" i="7"/>
  <c r="AA35" i="7"/>
  <c r="Y34" i="7"/>
  <c r="Z29" i="7"/>
  <c r="I27" i="7"/>
  <c r="F26" i="7"/>
  <c r="X23" i="7"/>
  <c r="D20" i="7"/>
  <c r="AB18" i="7"/>
  <c r="U16" i="7"/>
  <c r="K11" i="7"/>
  <c r="I10" i="7"/>
  <c r="E9" i="7"/>
  <c r="K7" i="7"/>
  <c r="J6" i="7"/>
  <c r="D230" i="7"/>
  <c r="AA145" i="7"/>
  <c r="U141" i="7"/>
  <c r="AD120" i="7"/>
  <c r="Z117" i="7"/>
  <c r="J108" i="7"/>
  <c r="AA98" i="7"/>
  <c r="J95" i="7"/>
  <c r="AC91" i="7"/>
  <c r="U62" i="7"/>
  <c r="Z60" i="7"/>
  <c r="AE53" i="7"/>
  <c r="E52" i="7"/>
  <c r="G49" i="7"/>
  <c r="U47" i="7"/>
  <c r="AC44" i="7"/>
  <c r="D43" i="7"/>
  <c r="AC41" i="7"/>
  <c r="H38" i="7"/>
  <c r="Y35" i="7"/>
  <c r="X34" i="7"/>
  <c r="AC30" i="7"/>
  <c r="Y29" i="7"/>
  <c r="H27" i="7"/>
  <c r="AA18" i="7"/>
  <c r="I13" i="7"/>
  <c r="J11" i="7"/>
  <c r="G10" i="7"/>
  <c r="D9" i="7"/>
  <c r="K8" i="7"/>
  <c r="J7" i="7"/>
  <c r="H6" i="7"/>
  <c r="J235" i="7"/>
  <c r="Y189" i="7"/>
  <c r="AD184" i="7"/>
  <c r="U137" i="7"/>
  <c r="Y123" i="7"/>
  <c r="AC120" i="7"/>
  <c r="X117" i="7"/>
  <c r="K111" i="7"/>
  <c r="F108" i="7"/>
  <c r="H95" i="7"/>
  <c r="Z91" i="7"/>
  <c r="AD71" i="7"/>
  <c r="F62" i="7"/>
  <c r="X60" i="7"/>
  <c r="U55" i="7"/>
  <c r="AB53" i="7"/>
  <c r="D52" i="7"/>
  <c r="D49" i="7"/>
  <c r="AB41" i="7"/>
  <c r="G38" i="7"/>
  <c r="H33" i="7"/>
  <c r="AA30" i="7"/>
  <c r="X29" i="7"/>
  <c r="G27" i="7"/>
  <c r="AE24" i="7"/>
  <c r="K21" i="7"/>
  <c r="Y18" i="7"/>
  <c r="K14" i="7"/>
  <c r="G13" i="7"/>
  <c r="I11" i="7"/>
  <c r="F10" i="7"/>
  <c r="I7" i="7"/>
  <c r="G6" i="7"/>
  <c r="J223" i="7"/>
  <c r="X189" i="7"/>
  <c r="AC184" i="7"/>
  <c r="X123" i="7"/>
  <c r="AB120" i="7"/>
  <c r="J111" i="7"/>
  <c r="E108" i="7"/>
  <c r="U104" i="7"/>
  <c r="F95" i="7"/>
  <c r="AB71" i="7"/>
  <c r="D62" i="7"/>
  <c r="U58" i="7"/>
  <c r="F55" i="7"/>
  <c r="Z53" i="7"/>
  <c r="J50" i="7"/>
  <c r="AA41" i="7"/>
  <c r="H39" i="7"/>
  <c r="F38" i="7"/>
  <c r="AD234" i="7"/>
  <c r="AA198" i="7"/>
  <c r="J189" i="7"/>
  <c r="AD161" i="7"/>
  <c r="K157" i="7"/>
  <c r="Z120" i="7"/>
  <c r="Z65" i="7"/>
  <c r="AC56" i="7"/>
  <c r="J53" i="7"/>
  <c r="AD51" i="7"/>
  <c r="D50" i="7"/>
  <c r="Y48" i="7"/>
  <c r="H47" i="7"/>
  <c r="AC45" i="7"/>
  <c r="J44" i="7"/>
  <c r="Y41" i="7"/>
  <c r="E39" i="7"/>
  <c r="D38" i="7"/>
  <c r="AE36" i="7"/>
  <c r="G34" i="7"/>
  <c r="E33" i="7"/>
  <c r="AE25" i="7"/>
  <c r="E22" i="7"/>
  <c r="D16" i="7"/>
  <c r="I15" i="7"/>
  <c r="G14" i="7"/>
  <c r="F11" i="7"/>
  <c r="F7" i="7"/>
  <c r="D6" i="7"/>
  <c r="F222" i="7"/>
  <c r="F170" i="7"/>
  <c r="F97" i="7"/>
  <c r="D76" i="7"/>
  <c r="I67" i="7"/>
  <c r="AD63" i="7"/>
  <c r="AA56" i="7"/>
  <c r="D53" i="7"/>
  <c r="AB51" i="7"/>
  <c r="G44" i="7"/>
  <c r="Y42" i="7"/>
  <c r="Y36" i="7"/>
  <c r="U30" i="7"/>
  <c r="X25" i="7"/>
  <c r="E14" i="7"/>
  <c r="AC208" i="7"/>
  <c r="H110" i="7"/>
  <c r="E69" i="7"/>
  <c r="U65" i="7"/>
  <c r="X61" i="7"/>
  <c r="F40" i="7"/>
  <c r="AD20" i="7"/>
  <c r="AB208" i="7"/>
  <c r="AD182" i="7"/>
  <c r="I129" i="7"/>
  <c r="D110" i="7"/>
  <c r="J91" i="7"/>
  <c r="K71" i="7"/>
  <c r="AA63" i="7"/>
  <c r="AE59" i="7"/>
  <c r="E40" i="7"/>
  <c r="Y37" i="7"/>
  <c r="AD32" i="7"/>
  <c r="K24" i="7"/>
  <c r="E18" i="7"/>
  <c r="AA9" i="7"/>
  <c r="AB234" i="7"/>
  <c r="H222" i="7"/>
  <c r="U204" i="7"/>
  <c r="Y198" i="7"/>
  <c r="I189" i="7"/>
  <c r="X173" i="7"/>
  <c r="K170" i="7"/>
  <c r="AC161" i="7"/>
  <c r="U148" i="7"/>
  <c r="AE113" i="7"/>
  <c r="U71" i="7"/>
  <c r="Y65" i="7"/>
  <c r="AE63" i="7"/>
  <c r="AB56" i="7"/>
  <c r="F53" i="7"/>
  <c r="AC51" i="7"/>
  <c r="X48" i="7"/>
  <c r="G47" i="7"/>
  <c r="AB45" i="7"/>
  <c r="I44" i="7"/>
  <c r="AA42" i="7"/>
  <c r="X41" i="7"/>
  <c r="Z36" i="7"/>
  <c r="F34" i="7"/>
  <c r="K28" i="7"/>
  <c r="Y25" i="7"/>
  <c r="D22" i="7"/>
  <c r="U18" i="7"/>
  <c r="K17" i="7"/>
  <c r="H15" i="7"/>
  <c r="F14" i="7"/>
  <c r="Z234" i="7"/>
  <c r="J179" i="7"/>
  <c r="AB113" i="7"/>
  <c r="U94" i="7"/>
  <c r="Z61" i="7"/>
  <c r="AA45" i="7"/>
  <c r="AC37" i="7"/>
  <c r="D34" i="7"/>
  <c r="AE31" i="7"/>
  <c r="K29" i="7"/>
  <c r="J17" i="7"/>
  <c r="AE164" i="7"/>
  <c r="AE136" i="7"/>
  <c r="AB122" i="7"/>
  <c r="AC116" i="7"/>
  <c r="X113" i="7"/>
  <c r="K91" i="7"/>
  <c r="AE87" i="7"/>
  <c r="G67" i="7"/>
  <c r="AB63" i="7"/>
  <c r="AA54" i="7"/>
  <c r="E44" i="7"/>
  <c r="I41" i="7"/>
  <c r="Z37" i="7"/>
  <c r="AE32" i="7"/>
  <c r="D29" i="7"/>
  <c r="H17" i="7"/>
  <c r="AC9" i="7"/>
  <c r="Z164" i="7"/>
  <c r="AB87" i="7"/>
  <c r="D69" i="7"/>
  <c r="F65" i="7"/>
  <c r="Z54" i="7"/>
  <c r="D44" i="7"/>
  <c r="G41" i="7"/>
  <c r="U25" i="7"/>
  <c r="AC20" i="7"/>
  <c r="G17" i="7"/>
  <c r="AE10" i="7"/>
  <c r="E222" i="7"/>
  <c r="I179" i="7"/>
  <c r="D140" i="7"/>
  <c r="AD116" i="7"/>
  <c r="Z113" i="7"/>
  <c r="E97" i="7"/>
  <c r="K69" i="7"/>
  <c r="H67" i="7"/>
  <c r="AC63" i="7"/>
  <c r="Y61" i="7"/>
  <c r="AB54" i="7"/>
  <c r="X45" i="7"/>
  <c r="F44" i="7"/>
  <c r="X42" i="7"/>
  <c r="K40" i="7"/>
  <c r="AA37" i="7"/>
  <c r="X36" i="7"/>
  <c r="AD31" i="7"/>
  <c r="E29" i="7"/>
  <c r="D23" i="7"/>
  <c r="AE20" i="7"/>
  <c r="U19" i="7"/>
  <c r="I17" i="7"/>
  <c r="D14" i="7"/>
  <c r="AC106" i="7"/>
  <c r="M10" i="7"/>
  <c r="AE11" i="7"/>
  <c r="X13" i="7"/>
  <c r="K15" i="7"/>
  <c r="AE16" i="7"/>
  <c r="AA20" i="7"/>
  <c r="AB22" i="7"/>
  <c r="AC39" i="7"/>
  <c r="J49" i="7"/>
  <c r="J51" i="7"/>
  <c r="X59" i="7"/>
  <c r="AC84" i="7"/>
  <c r="G113" i="7"/>
  <c r="I142" i="7"/>
  <c r="AA170" i="7"/>
  <c r="AV17" i="13"/>
  <c r="HF28" i="13"/>
  <c r="GJ28" i="13"/>
  <c r="FN28" i="13"/>
  <c r="ER28" i="13"/>
  <c r="DV28" i="13"/>
  <c r="CZ28" i="13"/>
  <c r="CD28" i="13"/>
  <c r="BH28" i="13"/>
  <c r="AL28" i="13"/>
  <c r="P28" i="13"/>
  <c r="IA28" i="13"/>
  <c r="HE28" i="13"/>
  <c r="GI28" i="13"/>
  <c r="FM28" i="13"/>
  <c r="EQ28" i="13"/>
  <c r="DU28" i="13"/>
  <c r="CY28" i="13"/>
  <c r="CC28" i="13"/>
  <c r="BG28" i="13"/>
  <c r="AK28" i="13"/>
  <c r="O28" i="13"/>
  <c r="HY28" i="13"/>
  <c r="HC28" i="13"/>
  <c r="GG28" i="13"/>
  <c r="FK28" i="13"/>
  <c r="EO28" i="13"/>
  <c r="DS28" i="13"/>
  <c r="CW28" i="13"/>
  <c r="CA28" i="13"/>
  <c r="BE28" i="13"/>
  <c r="AI28" i="13"/>
  <c r="M28" i="13"/>
  <c r="HW28" i="13"/>
  <c r="HA28" i="13"/>
  <c r="GE28" i="13"/>
  <c r="FI28" i="13"/>
  <c r="EM28" i="13"/>
  <c r="DQ28" i="13"/>
  <c r="CU28" i="13"/>
  <c r="BY28" i="13"/>
  <c r="BC28" i="13"/>
  <c r="AG28" i="13"/>
  <c r="K28" i="13"/>
  <c r="HU28" i="13"/>
  <c r="GY28" i="13"/>
  <c r="GC28" i="13"/>
  <c r="FG28" i="13"/>
  <c r="EK28" i="13"/>
  <c r="DO28" i="13"/>
  <c r="HS28" i="13"/>
  <c r="GW28" i="13"/>
  <c r="HV28" i="13"/>
  <c r="GR28" i="13"/>
  <c r="FQ28" i="13"/>
  <c r="EL28" i="13"/>
  <c r="DJ28" i="13"/>
  <c r="CJ28" i="13"/>
  <c r="BJ28" i="13"/>
  <c r="AF28" i="13"/>
  <c r="F28" i="13"/>
  <c r="HT28" i="13"/>
  <c r="GQ28" i="13"/>
  <c r="FP28" i="13"/>
  <c r="EJ28" i="13"/>
  <c r="DI28" i="13"/>
  <c r="CI28" i="13"/>
  <c r="BI28" i="13"/>
  <c r="AE28" i="13"/>
  <c r="E28" i="13"/>
  <c r="HR28" i="13"/>
  <c r="GP28" i="13"/>
  <c r="FO28" i="13"/>
  <c r="EI28" i="13"/>
  <c r="DH28" i="13"/>
  <c r="CH28" i="13"/>
  <c r="BF28" i="13"/>
  <c r="AD28" i="13"/>
  <c r="D28" i="13"/>
  <c r="HL28" i="13"/>
  <c r="GH28" i="13"/>
  <c r="FD28" i="13"/>
  <c r="EC28" i="13"/>
  <c r="DB28" i="13"/>
  <c r="BX28" i="13"/>
  <c r="AX28" i="13"/>
  <c r="X28" i="13"/>
  <c r="HK28" i="13"/>
  <c r="GF28" i="13"/>
  <c r="FC28" i="13"/>
  <c r="EB28" i="13"/>
  <c r="DA28" i="13"/>
  <c r="BW28" i="13"/>
  <c r="AW28" i="13"/>
  <c r="W28" i="13"/>
  <c r="HG28" i="13"/>
  <c r="FZ28" i="13"/>
  <c r="EY28" i="13"/>
  <c r="DX28" i="13"/>
  <c r="CS28" i="13"/>
  <c r="BS28" i="13"/>
  <c r="AS28" i="13"/>
  <c r="S28" i="13"/>
  <c r="HB28" i="13"/>
  <c r="FX28" i="13"/>
  <c r="EW28" i="13"/>
  <c r="DT28" i="13"/>
  <c r="CQ28" i="13"/>
  <c r="BQ28" i="13"/>
  <c r="AQ28" i="13"/>
  <c r="Q28" i="13"/>
  <c r="HP28" i="13"/>
  <c r="FY28" i="13"/>
  <c r="EH28" i="13"/>
  <c r="CT28" i="13"/>
  <c r="BK28" i="13"/>
  <c r="U28" i="13"/>
  <c r="HO28" i="13"/>
  <c r="FW28" i="13"/>
  <c r="EG28" i="13"/>
  <c r="CR28" i="13"/>
  <c r="BD28" i="13"/>
  <c r="T28" i="13"/>
  <c r="HM28" i="13"/>
  <c r="FU28" i="13"/>
  <c r="EE28" i="13"/>
  <c r="CO28" i="13"/>
  <c r="BA28" i="13"/>
  <c r="N28" i="13"/>
  <c r="HJ28" i="13"/>
  <c r="FT28" i="13"/>
  <c r="ED28" i="13"/>
  <c r="CN28" i="13"/>
  <c r="AZ28" i="13"/>
  <c r="L28" i="13"/>
  <c r="GZ28" i="13"/>
  <c r="FJ28" i="13"/>
  <c r="DW28" i="13"/>
  <c r="CG28" i="13"/>
  <c r="AT28" i="13"/>
  <c r="G28" i="13"/>
  <c r="GX28" i="13"/>
  <c r="FH28" i="13"/>
  <c r="DR28" i="13"/>
  <c r="CF28" i="13"/>
  <c r="AR28" i="13"/>
  <c r="GS28" i="13"/>
  <c r="FA28" i="13"/>
  <c r="DL28" i="13"/>
  <c r="BV28" i="13"/>
  <c r="AM28" i="13"/>
  <c r="GN28" i="13"/>
  <c r="EX28" i="13"/>
  <c r="DG28" i="13"/>
  <c r="BT28" i="13"/>
  <c r="AH28" i="13"/>
  <c r="GM28" i="13"/>
  <c r="EV28" i="13"/>
  <c r="DF28" i="13"/>
  <c r="BR28" i="13"/>
  <c r="AC28" i="13"/>
  <c r="FE28" i="13"/>
  <c r="CM28" i="13"/>
  <c r="Z28" i="13"/>
  <c r="HZ28" i="13"/>
  <c r="FB28" i="13"/>
  <c r="CL28" i="13"/>
  <c r="Y28" i="13"/>
  <c r="GV28" i="13"/>
  <c r="EF28" i="13"/>
  <c r="BO28" i="13"/>
  <c r="GU28" i="13"/>
  <c r="EA28" i="13"/>
  <c r="BN28" i="13"/>
  <c r="GK28" i="13"/>
  <c r="DN28" i="13"/>
  <c r="AY28" i="13"/>
  <c r="GB28" i="13"/>
  <c r="DK28" i="13"/>
  <c r="AU28" i="13"/>
  <c r="GA28" i="13"/>
  <c r="DE28" i="13"/>
  <c r="AP28" i="13"/>
  <c r="FR28" i="13"/>
  <c r="BU28" i="13"/>
  <c r="FL28" i="13"/>
  <c r="BP28" i="13"/>
  <c r="FF28" i="13"/>
  <c r="BM28" i="13"/>
  <c r="EU28" i="13"/>
  <c r="BB28" i="13"/>
  <c r="ET28" i="13"/>
  <c r="AV28" i="13"/>
  <c r="EN28" i="13"/>
  <c r="AJ28" i="13"/>
  <c r="DZ28" i="13"/>
  <c r="AB28" i="13"/>
  <c r="GT28" i="13"/>
  <c r="CV28" i="13"/>
  <c r="CX28" i="13"/>
  <c r="CP28" i="13"/>
  <c r="HX28" i="13"/>
  <c r="CE28" i="13"/>
  <c r="HQ28" i="13"/>
  <c r="CB28" i="13"/>
  <c r="HN28" i="13"/>
  <c r="BZ28" i="13"/>
  <c r="HD28" i="13"/>
  <c r="AN28" i="13"/>
  <c r="V28" i="13"/>
  <c r="R28" i="13"/>
  <c r="J28" i="13"/>
  <c r="HH28" i="13"/>
  <c r="H28" i="13"/>
  <c r="GO28" i="13"/>
  <c r="FV28" i="13"/>
  <c r="EZ28" i="13"/>
  <c r="ES28" i="13"/>
  <c r="EP28" i="13"/>
  <c r="DY28" i="13"/>
  <c r="DP28" i="13"/>
  <c r="DM28" i="13"/>
  <c r="CK28" i="13"/>
  <c r="BL28" i="13"/>
  <c r="DC28" i="13"/>
  <c r="HI28" i="13"/>
  <c r="GD28" i="13"/>
  <c r="FS28" i="13"/>
  <c r="DD28" i="13"/>
  <c r="AO28" i="13"/>
  <c r="AA28" i="13"/>
  <c r="I28" i="13"/>
  <c r="HJ21" i="13"/>
  <c r="GN21" i="13"/>
  <c r="FR21" i="13"/>
  <c r="EV21" i="13"/>
  <c r="DZ21" i="13"/>
  <c r="DD21" i="13"/>
  <c r="CH21" i="13"/>
  <c r="BL21" i="13"/>
  <c r="AP21" i="13"/>
  <c r="T21" i="13"/>
  <c r="HI21" i="13"/>
  <c r="GM21" i="13"/>
  <c r="FQ21" i="13"/>
  <c r="EU21" i="13"/>
  <c r="DY21" i="13"/>
  <c r="DC21" i="13"/>
  <c r="CG21" i="13"/>
  <c r="BK21" i="13"/>
  <c r="AO21" i="13"/>
  <c r="S21" i="13"/>
  <c r="HH21" i="13"/>
  <c r="GL21" i="13"/>
  <c r="FP21" i="13"/>
  <c r="ET21" i="13"/>
  <c r="DX21" i="13"/>
  <c r="DB21" i="13"/>
  <c r="CF21" i="13"/>
  <c r="BJ21" i="13"/>
  <c r="AN21" i="13"/>
  <c r="R21" i="13"/>
  <c r="HX21" i="13"/>
  <c r="HB21" i="13"/>
  <c r="GF21" i="13"/>
  <c r="FJ21" i="13"/>
  <c r="EN21" i="13"/>
  <c r="DR21" i="13"/>
  <c r="CV21" i="13"/>
  <c r="BZ21" i="13"/>
  <c r="BD21" i="13"/>
  <c r="AH21" i="13"/>
  <c r="L21" i="13"/>
  <c r="HW21" i="13"/>
  <c r="HA21" i="13"/>
  <c r="GE21" i="13"/>
  <c r="FI21" i="13"/>
  <c r="EM21" i="13"/>
  <c r="DQ21" i="13"/>
  <c r="CU21" i="13"/>
  <c r="IA21" i="13"/>
  <c r="GX21" i="13"/>
  <c r="FW21" i="13"/>
  <c r="ES21" i="13"/>
  <c r="DP21" i="13"/>
  <c r="CO21" i="13"/>
  <c r="BO21" i="13"/>
  <c r="AL21" i="13"/>
  <c r="K21" i="13"/>
  <c r="HZ21" i="13"/>
  <c r="GW21" i="13"/>
  <c r="FV21" i="13"/>
  <c r="ER21" i="13"/>
  <c r="DO21" i="13"/>
  <c r="CN21" i="13"/>
  <c r="BN21" i="13"/>
  <c r="AK21" i="13"/>
  <c r="J21" i="13"/>
  <c r="HU21" i="13"/>
  <c r="GT21" i="13"/>
  <c r="FS21" i="13"/>
  <c r="EO21" i="13"/>
  <c r="DL21" i="13"/>
  <c r="CK21" i="13"/>
  <c r="BH21" i="13"/>
  <c r="AG21" i="13"/>
  <c r="G21" i="13"/>
  <c r="HQ21" i="13"/>
  <c r="GP21" i="13"/>
  <c r="FL21" i="13"/>
  <c r="EI21" i="13"/>
  <c r="DH21" i="13"/>
  <c r="CD21" i="13"/>
  <c r="BC21" i="13"/>
  <c r="AC21" i="13"/>
  <c r="HP21" i="13"/>
  <c r="GO21" i="13"/>
  <c r="FK21" i="13"/>
  <c r="EH21" i="13"/>
  <c r="DG21" i="13"/>
  <c r="CC21" i="13"/>
  <c r="BB21" i="13"/>
  <c r="AB21" i="13"/>
  <c r="HL21" i="13"/>
  <c r="GH21" i="13"/>
  <c r="FE21" i="13"/>
  <c r="ED21" i="13"/>
  <c r="CZ21" i="13"/>
  <c r="BX21" i="13"/>
  <c r="AX21" i="13"/>
  <c r="X21" i="13"/>
  <c r="HG21" i="13"/>
  <c r="GD21" i="13"/>
  <c r="FC21" i="13"/>
  <c r="EB21" i="13"/>
  <c r="CX21" i="13"/>
  <c r="BV21" i="13"/>
  <c r="AV21" i="13"/>
  <c r="V21" i="13"/>
  <c r="GR21" i="13"/>
  <c r="FA21" i="13"/>
  <c r="DK21" i="13"/>
  <c r="BU21" i="13"/>
  <c r="AI21" i="13"/>
  <c r="GQ21" i="13"/>
  <c r="EZ21" i="13"/>
  <c r="DJ21" i="13"/>
  <c r="BT21" i="13"/>
  <c r="AF21" i="13"/>
  <c r="HR21" i="13"/>
  <c r="GA21" i="13"/>
  <c r="EK21" i="13"/>
  <c r="CT21" i="13"/>
  <c r="BG21" i="13"/>
  <c r="U21" i="13"/>
  <c r="HO21" i="13"/>
  <c r="FZ21" i="13"/>
  <c r="EJ21" i="13"/>
  <c r="CS21" i="13"/>
  <c r="BF21" i="13"/>
  <c r="Q21" i="13"/>
  <c r="HF21" i="13"/>
  <c r="FT21" i="13"/>
  <c r="EC21" i="13"/>
  <c r="CM21" i="13"/>
  <c r="AY21" i="13"/>
  <c r="M21" i="13"/>
  <c r="HD21" i="13"/>
  <c r="FN21" i="13"/>
  <c r="DW21" i="13"/>
  <c r="CJ21" i="13"/>
  <c r="AU21" i="13"/>
  <c r="H21" i="13"/>
  <c r="HC21" i="13"/>
  <c r="FM21" i="13"/>
  <c r="DV21" i="13"/>
  <c r="CI21" i="13"/>
  <c r="AT21" i="13"/>
  <c r="F21" i="13"/>
  <c r="HN21" i="13"/>
  <c r="FD21" i="13"/>
  <c r="CW21" i="13"/>
  <c r="AQ21" i="13"/>
  <c r="HM21" i="13"/>
  <c r="FB21" i="13"/>
  <c r="CR21" i="13"/>
  <c r="AM21" i="13"/>
  <c r="HK21" i="13"/>
  <c r="EY21" i="13"/>
  <c r="CQ21" i="13"/>
  <c r="AJ21" i="13"/>
  <c r="GZ21" i="13"/>
  <c r="EW21" i="13"/>
  <c r="CL21" i="13"/>
  <c r="AD21" i="13"/>
  <c r="GY21" i="13"/>
  <c r="EQ21" i="13"/>
  <c r="CE21" i="13"/>
  <c r="AA21" i="13"/>
  <c r="GS21" i="13"/>
  <c r="EG21" i="13"/>
  <c r="BY21" i="13"/>
  <c r="W21" i="13"/>
  <c r="GK21" i="13"/>
  <c r="EF21" i="13"/>
  <c r="BW21" i="13"/>
  <c r="P21" i="13"/>
  <c r="FX21" i="13"/>
  <c r="DM21" i="13"/>
  <c r="BE21" i="13"/>
  <c r="HV21" i="13"/>
  <c r="DU21" i="13"/>
  <c r="AR21" i="13"/>
  <c r="HT21" i="13"/>
  <c r="DT21" i="13"/>
  <c r="AE21" i="13"/>
  <c r="HE21" i="13"/>
  <c r="DN21" i="13"/>
  <c r="Y21" i="13"/>
  <c r="GV21" i="13"/>
  <c r="DI21" i="13"/>
  <c r="O21" i="13"/>
  <c r="GU21" i="13"/>
  <c r="DF21" i="13"/>
  <c r="N21" i="13"/>
  <c r="GG21" i="13"/>
  <c r="CY21" i="13"/>
  <c r="D21" i="13"/>
  <c r="EE21" i="13"/>
  <c r="EA21" i="13"/>
  <c r="DS21" i="13"/>
  <c r="DA21" i="13"/>
  <c r="CP21" i="13"/>
  <c r="HS21" i="13"/>
  <c r="BS21" i="13"/>
  <c r="CB21" i="13"/>
  <c r="CA21" i="13"/>
  <c r="BR21" i="13"/>
  <c r="BQ21" i="13"/>
  <c r="BP21" i="13"/>
  <c r="BM21" i="13"/>
  <c r="GJ21" i="13"/>
  <c r="AZ21" i="13"/>
  <c r="GI21" i="13"/>
  <c r="AW21" i="13"/>
  <c r="I21" i="13"/>
  <c r="E21" i="13"/>
  <c r="HY21" i="13"/>
  <c r="FY21" i="13"/>
  <c r="EP21" i="13"/>
  <c r="BI21" i="13"/>
  <c r="BA21" i="13"/>
  <c r="Z21" i="13"/>
  <c r="GC21" i="13"/>
  <c r="GB21" i="13"/>
  <c r="FU21" i="13"/>
  <c r="FO21" i="13"/>
  <c r="FH21" i="13"/>
  <c r="FG21" i="13"/>
  <c r="DE21" i="13"/>
  <c r="HS43" i="13"/>
  <c r="GW43" i="13"/>
  <c r="GA43" i="13"/>
  <c r="FE43" i="13"/>
  <c r="EI43" i="13"/>
  <c r="DM43" i="13"/>
  <c r="CQ43" i="13"/>
  <c r="BU43" i="13"/>
  <c r="AY43" i="13"/>
  <c r="AC43" i="13"/>
  <c r="G43" i="13"/>
  <c r="HR43" i="13"/>
  <c r="HQ43" i="13"/>
  <c r="GU43" i="13"/>
  <c r="FY43" i="13"/>
  <c r="FC43" i="13"/>
  <c r="EG43" i="13"/>
  <c r="DK43" i="13"/>
  <c r="CO43" i="13"/>
  <c r="BS43" i="13"/>
  <c r="AW43" i="13"/>
  <c r="HC43" i="13"/>
  <c r="GE43" i="13"/>
  <c r="FG43" i="13"/>
  <c r="EH43" i="13"/>
  <c r="DI43" i="13"/>
  <c r="CK43" i="13"/>
  <c r="BM43" i="13"/>
  <c r="AO43" i="13"/>
  <c r="R43" i="13"/>
  <c r="IA43" i="13"/>
  <c r="HB43" i="13"/>
  <c r="GD43" i="13"/>
  <c r="FF43" i="13"/>
  <c r="EF43" i="13"/>
  <c r="DH43" i="13"/>
  <c r="CJ43" i="13"/>
  <c r="BL43" i="13"/>
  <c r="AN43" i="13"/>
  <c r="Q43" i="13"/>
  <c r="HY43" i="13"/>
  <c r="GZ43" i="13"/>
  <c r="GB43" i="13"/>
  <c r="FB43" i="13"/>
  <c r="ED43" i="13"/>
  <c r="DF43" i="13"/>
  <c r="CH43" i="13"/>
  <c r="BJ43" i="13"/>
  <c r="AL43" i="13"/>
  <c r="O43" i="13"/>
  <c r="HX43" i="13"/>
  <c r="GY43" i="13"/>
  <c r="FZ43" i="13"/>
  <c r="FA43" i="13"/>
  <c r="EC43" i="13"/>
  <c r="DE43" i="13"/>
  <c r="CG43" i="13"/>
  <c r="BI43" i="13"/>
  <c r="AK43" i="13"/>
  <c r="N43" i="13"/>
  <c r="HW43" i="13"/>
  <c r="GX43" i="13"/>
  <c r="FX43" i="13"/>
  <c r="EZ43" i="13"/>
  <c r="EB43" i="13"/>
  <c r="DD43" i="13"/>
  <c r="CF43" i="13"/>
  <c r="BH43" i="13"/>
  <c r="AJ43" i="13"/>
  <c r="M43" i="13"/>
  <c r="HV43" i="13"/>
  <c r="GV43" i="13"/>
  <c r="FW43" i="13"/>
  <c r="EY43" i="13"/>
  <c r="EA43" i="13"/>
  <c r="DC43" i="13"/>
  <c r="CE43" i="13"/>
  <c r="BG43" i="13"/>
  <c r="AI43" i="13"/>
  <c r="L43" i="13"/>
  <c r="HP43" i="13"/>
  <c r="GL43" i="13"/>
  <c r="FH43" i="13"/>
  <c r="DV43" i="13"/>
  <c r="CR43" i="13"/>
  <c r="BF43" i="13"/>
  <c r="AA43" i="13"/>
  <c r="HO43" i="13"/>
  <c r="GK43" i="13"/>
  <c r="FD43" i="13"/>
  <c r="DU43" i="13"/>
  <c r="CP43" i="13"/>
  <c r="BE43" i="13"/>
  <c r="Z43" i="13"/>
  <c r="HN43" i="13"/>
  <c r="GJ43" i="13"/>
  <c r="EX43" i="13"/>
  <c r="DT43" i="13"/>
  <c r="CN43" i="13"/>
  <c r="BD43" i="13"/>
  <c r="Y43" i="13"/>
  <c r="HK43" i="13"/>
  <c r="GG43" i="13"/>
  <c r="EU43" i="13"/>
  <c r="DQ43" i="13"/>
  <c r="CI43" i="13"/>
  <c r="BA43" i="13"/>
  <c r="V43" i="13"/>
  <c r="HM43" i="13"/>
  <c r="FV43" i="13"/>
  <c r="EN43" i="13"/>
  <c r="CX43" i="13"/>
  <c r="BN43" i="13"/>
  <c r="U43" i="13"/>
  <c r="HL43" i="13"/>
  <c r="FU43" i="13"/>
  <c r="EM43" i="13"/>
  <c r="CW43" i="13"/>
  <c r="BK43" i="13"/>
  <c r="T43" i="13"/>
  <c r="HH43" i="13"/>
  <c r="FR43" i="13"/>
  <c r="EJ43" i="13"/>
  <c r="CT43" i="13"/>
  <c r="AZ43" i="13"/>
  <c r="K43" i="13"/>
  <c r="HG43" i="13"/>
  <c r="FQ43" i="13"/>
  <c r="EE43" i="13"/>
  <c r="CS43" i="13"/>
  <c r="AX43" i="13"/>
  <c r="J43" i="13"/>
  <c r="HF43" i="13"/>
  <c r="FP43" i="13"/>
  <c r="DZ43" i="13"/>
  <c r="CM43" i="13"/>
  <c r="AV43" i="13"/>
  <c r="I43" i="13"/>
  <c r="HD43" i="13"/>
  <c r="FN43" i="13"/>
  <c r="DX43" i="13"/>
  <c r="CD43" i="13"/>
  <c r="AT43" i="13"/>
  <c r="F43" i="13"/>
  <c r="HA43" i="13"/>
  <c r="FM43" i="13"/>
  <c r="DW43" i="13"/>
  <c r="CC43" i="13"/>
  <c r="AS43" i="13"/>
  <c r="E43" i="13"/>
  <c r="GT43" i="13"/>
  <c r="FL43" i="13"/>
  <c r="DS43" i="13"/>
  <c r="CB43" i="13"/>
  <c r="AR43" i="13"/>
  <c r="D43" i="13"/>
  <c r="GO43" i="13"/>
  <c r="EV43" i="13"/>
  <c r="DL43" i="13"/>
  <c r="BW43" i="13"/>
  <c r="AG43" i="13"/>
  <c r="GC43" i="13"/>
  <c r="DG43" i="13"/>
  <c r="AP43" i="13"/>
  <c r="FT43" i="13"/>
  <c r="DB43" i="13"/>
  <c r="AM43" i="13"/>
  <c r="FS43" i="13"/>
  <c r="DA43" i="13"/>
  <c r="AH43" i="13"/>
  <c r="FO43" i="13"/>
  <c r="CZ43" i="13"/>
  <c r="AF43" i="13"/>
  <c r="FK43" i="13"/>
  <c r="CY43" i="13"/>
  <c r="AE43" i="13"/>
  <c r="FJ43" i="13"/>
  <c r="CV43" i="13"/>
  <c r="AD43" i="13"/>
  <c r="FI43" i="13"/>
  <c r="CU43" i="13"/>
  <c r="AB43" i="13"/>
  <c r="HT43" i="13"/>
  <c r="ES43" i="13"/>
  <c r="BZ43" i="13"/>
  <c r="S43" i="13"/>
  <c r="GP43" i="13"/>
  <c r="EO43" i="13"/>
  <c r="AQ43" i="13"/>
  <c r="EL43" i="13"/>
  <c r="X43" i="13"/>
  <c r="DY43" i="13"/>
  <c r="P43" i="13"/>
  <c r="HE43" i="13"/>
  <c r="DJ43" i="13"/>
  <c r="GS43" i="13"/>
  <c r="CL43" i="13"/>
  <c r="GM43" i="13"/>
  <c r="BV43" i="13"/>
  <c r="GH43" i="13"/>
  <c r="BR43" i="13"/>
  <c r="GF43" i="13"/>
  <c r="BQ43" i="13"/>
  <c r="HJ43" i="13"/>
  <c r="BC43" i="13"/>
  <c r="HI43" i="13"/>
  <c r="BB43" i="13"/>
  <c r="GR43" i="13"/>
  <c r="AU43" i="13"/>
  <c r="GQ43" i="13"/>
  <c r="W43" i="13"/>
  <c r="GN43" i="13"/>
  <c r="H43" i="13"/>
  <c r="GI43" i="13"/>
  <c r="ET43" i="13"/>
  <c r="EQ43" i="13"/>
  <c r="EP43" i="13"/>
  <c r="DN43" i="13"/>
  <c r="ER43" i="13"/>
  <c r="EK43" i="13"/>
  <c r="DR43" i="13"/>
  <c r="DP43" i="13"/>
  <c r="BT43" i="13"/>
  <c r="BP43" i="13"/>
  <c r="HZ43" i="13"/>
  <c r="CA43" i="13"/>
  <c r="BX43" i="13"/>
  <c r="BO43" i="13"/>
  <c r="HU43" i="13"/>
  <c r="EW43" i="13"/>
  <c r="DO43" i="13"/>
  <c r="BY43" i="13"/>
  <c r="HT65" i="13"/>
  <c r="GX65" i="13"/>
  <c r="GB65" i="13"/>
  <c r="FF65" i="13"/>
  <c r="EJ65" i="13"/>
  <c r="DN65" i="13"/>
  <c r="CR65" i="13"/>
  <c r="BV65" i="13"/>
  <c r="AZ65" i="13"/>
  <c r="AD65" i="13"/>
  <c r="H65" i="13"/>
  <c r="HS65" i="13"/>
  <c r="GW65" i="13"/>
  <c r="GA65" i="13"/>
  <c r="FE65" i="13"/>
  <c r="EI65" i="13"/>
  <c r="DM65" i="13"/>
  <c r="CQ65" i="13"/>
  <c r="BU65" i="13"/>
  <c r="AY65" i="13"/>
  <c r="AC65" i="13"/>
  <c r="G65" i="13"/>
  <c r="HQ65" i="13"/>
  <c r="GU65" i="13"/>
  <c r="FY65" i="13"/>
  <c r="FC65" i="13"/>
  <c r="EG65" i="13"/>
  <c r="DK65" i="13"/>
  <c r="CO65" i="13"/>
  <c r="BS65" i="13"/>
  <c r="AW65" i="13"/>
  <c r="AA65" i="13"/>
  <c r="E65" i="13"/>
  <c r="HO65" i="13"/>
  <c r="GS65" i="13"/>
  <c r="FW65" i="13"/>
  <c r="FA65" i="13"/>
  <c r="EE65" i="13"/>
  <c r="DI65" i="13"/>
  <c r="CM65" i="13"/>
  <c r="BQ65" i="13"/>
  <c r="AU65" i="13"/>
  <c r="Y65" i="13"/>
  <c r="HP65" i="13"/>
  <c r="GO65" i="13"/>
  <c r="FO65" i="13"/>
  <c r="EO65" i="13"/>
  <c r="DO65" i="13"/>
  <c r="CK65" i="13"/>
  <c r="BK65" i="13"/>
  <c r="AK65" i="13"/>
  <c r="K65" i="13"/>
  <c r="HN65" i="13"/>
  <c r="GN65" i="13"/>
  <c r="FN65" i="13"/>
  <c r="EN65" i="13"/>
  <c r="DL65" i="13"/>
  <c r="CJ65" i="13"/>
  <c r="BJ65" i="13"/>
  <c r="AJ65" i="13"/>
  <c r="J65" i="13"/>
  <c r="HL65" i="13"/>
  <c r="GL65" i="13"/>
  <c r="FL65" i="13"/>
  <c r="EL65" i="13"/>
  <c r="DH65" i="13"/>
  <c r="CH65" i="13"/>
  <c r="BH65" i="13"/>
  <c r="AH65" i="13"/>
  <c r="F65" i="13"/>
  <c r="HJ65" i="13"/>
  <c r="GJ65" i="13"/>
  <c r="FJ65" i="13"/>
  <c r="EH65" i="13"/>
  <c r="DF65" i="13"/>
  <c r="CF65" i="13"/>
  <c r="BF65" i="13"/>
  <c r="AF65" i="13"/>
  <c r="HI65" i="13"/>
  <c r="GI65" i="13"/>
  <c r="FI65" i="13"/>
  <c r="EF65" i="13"/>
  <c r="DE65" i="13"/>
  <c r="CE65" i="13"/>
  <c r="BE65" i="13"/>
  <c r="AE65" i="13"/>
  <c r="HF65" i="13"/>
  <c r="FX65" i="13"/>
  <c r="ER65" i="13"/>
  <c r="DD65" i="13"/>
  <c r="BY65" i="13"/>
  <c r="AP65" i="13"/>
  <c r="I65" i="13"/>
  <c r="HE65" i="13"/>
  <c r="FV65" i="13"/>
  <c r="EQ65" i="13"/>
  <c r="DC65" i="13"/>
  <c r="BX65" i="13"/>
  <c r="AO65" i="13"/>
  <c r="D65" i="13"/>
  <c r="HD65" i="13"/>
  <c r="FU65" i="13"/>
  <c r="EP65" i="13"/>
  <c r="DB65" i="13"/>
  <c r="BW65" i="13"/>
  <c r="AN65" i="13"/>
  <c r="HA65" i="13"/>
  <c r="FR65" i="13"/>
  <c r="ED65" i="13"/>
  <c r="CY65" i="13"/>
  <c r="BP65" i="13"/>
  <c r="AI65" i="13"/>
  <c r="GR65" i="13"/>
  <c r="EZ65" i="13"/>
  <c r="DQ65" i="13"/>
  <c r="BT65" i="13"/>
  <c r="Z65" i="13"/>
  <c r="GQ65" i="13"/>
  <c r="EY65" i="13"/>
  <c r="DP65" i="13"/>
  <c r="BR65" i="13"/>
  <c r="X65" i="13"/>
  <c r="GP65" i="13"/>
  <c r="EX65" i="13"/>
  <c r="DJ65" i="13"/>
  <c r="BO65" i="13"/>
  <c r="W65" i="13"/>
  <c r="GM65" i="13"/>
  <c r="EW65" i="13"/>
  <c r="DG65" i="13"/>
  <c r="BN65" i="13"/>
  <c r="V65" i="13"/>
  <c r="HZ65" i="13"/>
  <c r="GH65" i="13"/>
  <c r="EU65" i="13"/>
  <c r="CZ65" i="13"/>
  <c r="BL65" i="13"/>
  <c r="T65" i="13"/>
  <c r="HX65" i="13"/>
  <c r="FT65" i="13"/>
  <c r="DV65" i="13"/>
  <c r="BM65" i="13"/>
  <c r="O65" i="13"/>
  <c r="HW65" i="13"/>
  <c r="FS65" i="13"/>
  <c r="DU65" i="13"/>
  <c r="BI65" i="13"/>
  <c r="N65" i="13"/>
  <c r="HV65" i="13"/>
  <c r="FQ65" i="13"/>
  <c r="DT65" i="13"/>
  <c r="BG65" i="13"/>
  <c r="M65" i="13"/>
  <c r="HU65" i="13"/>
  <c r="FP65" i="13"/>
  <c r="DS65" i="13"/>
  <c r="BD65" i="13"/>
  <c r="L65" i="13"/>
  <c r="HM65" i="13"/>
  <c r="FK65" i="13"/>
  <c r="DA65" i="13"/>
  <c r="BB65" i="13"/>
  <c r="HY65" i="13"/>
  <c r="FB65" i="13"/>
  <c r="CL65" i="13"/>
  <c r="R65" i="13"/>
  <c r="HR65" i="13"/>
  <c r="EV65" i="13"/>
  <c r="CI65" i="13"/>
  <c r="Q65" i="13"/>
  <c r="HK65" i="13"/>
  <c r="ET65" i="13"/>
  <c r="CG65" i="13"/>
  <c r="P65" i="13"/>
  <c r="HH65" i="13"/>
  <c r="ES65" i="13"/>
  <c r="CD65" i="13"/>
  <c r="GZ65" i="13"/>
  <c r="EB65" i="13"/>
  <c r="BZ65" i="13"/>
  <c r="FZ65" i="13"/>
  <c r="CC65" i="13"/>
  <c r="FG65" i="13"/>
  <c r="BC65" i="13"/>
  <c r="FD65" i="13"/>
  <c r="BA65" i="13"/>
  <c r="EM65" i="13"/>
  <c r="AX65" i="13"/>
  <c r="EK65" i="13"/>
  <c r="GK65" i="13"/>
  <c r="CN65" i="13"/>
  <c r="GG65" i="13"/>
  <c r="CB65" i="13"/>
  <c r="GF65" i="13"/>
  <c r="CA65" i="13"/>
  <c r="GE65" i="13"/>
  <c r="AV65" i="13"/>
  <c r="GD65" i="13"/>
  <c r="AT65" i="13"/>
  <c r="GC65" i="13"/>
  <c r="AS65" i="13"/>
  <c r="FH65" i="13"/>
  <c r="AQ65" i="13"/>
  <c r="CS65" i="13"/>
  <c r="CP65" i="13"/>
  <c r="HG65" i="13"/>
  <c r="AM65" i="13"/>
  <c r="HC65" i="13"/>
  <c r="AL65" i="13"/>
  <c r="HB65" i="13"/>
  <c r="AG65" i="13"/>
  <c r="GY65" i="13"/>
  <c r="AB65" i="13"/>
  <c r="GT65" i="13"/>
  <c r="S65" i="13"/>
  <c r="DY65" i="13"/>
  <c r="DX65" i="13"/>
  <c r="DW65" i="13"/>
  <c r="CW65" i="13"/>
  <c r="CT65" i="13"/>
  <c r="IA65" i="13"/>
  <c r="DZ65" i="13"/>
  <c r="GV65" i="13"/>
  <c r="FM65" i="13"/>
  <c r="EC65" i="13"/>
  <c r="CX65" i="13"/>
  <c r="EA65" i="13"/>
  <c r="CV65" i="13"/>
  <c r="DR65" i="13"/>
  <c r="CU65" i="13"/>
  <c r="AR65" i="13"/>
  <c r="U65" i="13"/>
  <c r="M25" i="7"/>
  <c r="HI13" i="13"/>
  <c r="GM13" i="13"/>
  <c r="FQ13" i="13"/>
  <c r="EU13" i="13"/>
  <c r="DY13" i="13"/>
  <c r="DC13" i="13"/>
  <c r="CG13" i="13"/>
  <c r="BK13" i="13"/>
  <c r="AO13" i="13"/>
  <c r="S13" i="13"/>
  <c r="HH13" i="13"/>
  <c r="GL13" i="13"/>
  <c r="FP13" i="13"/>
  <c r="ET13" i="13"/>
  <c r="DX13" i="13"/>
  <c r="DB13" i="13"/>
  <c r="CF13" i="13"/>
  <c r="BJ13" i="13"/>
  <c r="AN13" i="13"/>
  <c r="R13" i="13"/>
  <c r="HW13" i="13"/>
  <c r="HA13" i="13"/>
  <c r="GE13" i="13"/>
  <c r="FI13" i="13"/>
  <c r="EM13" i="13"/>
  <c r="DQ13" i="13"/>
  <c r="CU13" i="13"/>
  <c r="BY13" i="13"/>
  <c r="BC13" i="13"/>
  <c r="AG13" i="13"/>
  <c r="HU13" i="13"/>
  <c r="GV13" i="13"/>
  <c r="FW13" i="13"/>
  <c r="EX13" i="13"/>
  <c r="DW13" i="13"/>
  <c r="CX13" i="13"/>
  <c r="BX13" i="13"/>
  <c r="AY13" i="13"/>
  <c r="Z13" i="13"/>
  <c r="HT13" i="13"/>
  <c r="GU13" i="13"/>
  <c r="FV13" i="13"/>
  <c r="EW13" i="13"/>
  <c r="DV13" i="13"/>
  <c r="CW13" i="13"/>
  <c r="BW13" i="13"/>
  <c r="AX13" i="13"/>
  <c r="Y13" i="13"/>
  <c r="HM13" i="13"/>
  <c r="GN13" i="13"/>
  <c r="FM13" i="13"/>
  <c r="EN13" i="13"/>
  <c r="DN13" i="13"/>
  <c r="CO13" i="13"/>
  <c r="BP13" i="13"/>
  <c r="AQ13" i="13"/>
  <c r="P13" i="13"/>
  <c r="HL13" i="13"/>
  <c r="GK13" i="13"/>
  <c r="FL13" i="13"/>
  <c r="EL13" i="13"/>
  <c r="DM13" i="13"/>
  <c r="CN13" i="13"/>
  <c r="BO13" i="13"/>
  <c r="AP13" i="13"/>
  <c r="O13" i="13"/>
  <c r="HF13" i="13"/>
  <c r="GG13" i="13"/>
  <c r="FG13" i="13"/>
  <c r="EH13" i="13"/>
  <c r="DI13" i="13"/>
  <c r="CJ13" i="13"/>
  <c r="BI13" i="13"/>
  <c r="AJ13" i="13"/>
  <c r="K13" i="13"/>
  <c r="HD13" i="13"/>
  <c r="FY13" i="13"/>
  <c r="EQ13" i="13"/>
  <c r="DJ13" i="13"/>
  <c r="CC13" i="13"/>
  <c r="AV13" i="13"/>
  <c r="N13" i="13"/>
  <c r="HC13" i="13"/>
  <c r="FX13" i="13"/>
  <c r="EP13" i="13"/>
  <c r="DH13" i="13"/>
  <c r="CB13" i="13"/>
  <c r="AU13" i="13"/>
  <c r="M13" i="13"/>
  <c r="HB13" i="13"/>
  <c r="FU13" i="13"/>
  <c r="EO13" i="13"/>
  <c r="DG13" i="13"/>
  <c r="CA13" i="13"/>
  <c r="AT13" i="13"/>
  <c r="L13" i="13"/>
  <c r="GY13" i="13"/>
  <c r="FS13" i="13"/>
  <c r="EJ13" i="13"/>
  <c r="DE13" i="13"/>
  <c r="BV13" i="13"/>
  <c r="AR13" i="13"/>
  <c r="I13" i="13"/>
  <c r="GX13" i="13"/>
  <c r="FR13" i="13"/>
  <c r="EI13" i="13"/>
  <c r="DD13" i="13"/>
  <c r="BU13" i="13"/>
  <c r="AM13" i="13"/>
  <c r="H13" i="13"/>
  <c r="HZ13" i="13"/>
  <c r="GS13" i="13"/>
  <c r="FK13" i="13"/>
  <c r="EE13" i="13"/>
  <c r="CY13" i="13"/>
  <c r="BR13" i="13"/>
  <c r="AI13" i="13"/>
  <c r="E13" i="13"/>
  <c r="HY13" i="13"/>
  <c r="GR13" i="13"/>
  <c r="FJ13" i="13"/>
  <c r="ED13" i="13"/>
  <c r="CV13" i="13"/>
  <c r="BQ13" i="13"/>
  <c r="AH13" i="13"/>
  <c r="D13" i="13"/>
  <c r="HO13" i="13"/>
  <c r="GF13" i="13"/>
  <c r="FA13" i="13"/>
  <c r="DS13" i="13"/>
  <c r="CL13" i="13"/>
  <c r="BE13" i="13"/>
  <c r="X13" i="13"/>
  <c r="HQ13" i="13"/>
  <c r="FO13" i="13"/>
  <c r="DR13" i="13"/>
  <c r="BN13" i="13"/>
  <c r="U13" i="13"/>
  <c r="HP13" i="13"/>
  <c r="FN13" i="13"/>
  <c r="DP13" i="13"/>
  <c r="BM13" i="13"/>
  <c r="T13" i="13"/>
  <c r="HK13" i="13"/>
  <c r="FF13" i="13"/>
  <c r="DL13" i="13"/>
  <c r="BH13" i="13"/>
  <c r="J13" i="13"/>
  <c r="HJ13" i="13"/>
  <c r="FE13" i="13"/>
  <c r="DK13" i="13"/>
  <c r="BG13" i="13"/>
  <c r="G13" i="13"/>
  <c r="HG13" i="13"/>
  <c r="FD13" i="13"/>
  <c r="DF13" i="13"/>
  <c r="BF13" i="13"/>
  <c r="F13" i="13"/>
  <c r="GW13" i="13"/>
  <c r="EZ13" i="13"/>
  <c r="CT13" i="13"/>
  <c r="BA13" i="13"/>
  <c r="GT13" i="13"/>
  <c r="EF13" i="13"/>
  <c r="BS13" i="13"/>
  <c r="GQ13" i="13"/>
  <c r="EC13" i="13"/>
  <c r="BL13" i="13"/>
  <c r="GP13" i="13"/>
  <c r="EB13" i="13"/>
  <c r="BD13" i="13"/>
  <c r="GJ13" i="13"/>
  <c r="DZ13" i="13"/>
  <c r="AZ13" i="13"/>
  <c r="GI13" i="13"/>
  <c r="DU13" i="13"/>
  <c r="AW13" i="13"/>
  <c r="GC13" i="13"/>
  <c r="DA13" i="13"/>
  <c r="AK13" i="13"/>
  <c r="FC13" i="13"/>
  <c r="BZ13" i="13"/>
  <c r="FB13" i="13"/>
  <c r="BT13" i="13"/>
  <c r="EY13" i="13"/>
  <c r="BB13" i="13"/>
  <c r="EV13" i="13"/>
  <c r="AS13" i="13"/>
  <c r="ES13" i="13"/>
  <c r="AL13" i="13"/>
  <c r="ER13" i="13"/>
  <c r="AF13" i="13"/>
  <c r="HV13" i="13"/>
  <c r="EA13" i="13"/>
  <c r="AC13" i="13"/>
  <c r="HS13" i="13"/>
  <c r="DT13" i="13"/>
  <c r="AB13" i="13"/>
  <c r="HN13" i="13"/>
  <c r="CH13" i="13"/>
  <c r="HE13" i="13"/>
  <c r="CE13" i="13"/>
  <c r="GZ13" i="13"/>
  <c r="CD13" i="13"/>
  <c r="GO13" i="13"/>
  <c r="AE13" i="13"/>
  <c r="GH13" i="13"/>
  <c r="AD13" i="13"/>
  <c r="GD13" i="13"/>
  <c r="AA13" i="13"/>
  <c r="FZ13" i="13"/>
  <c r="Q13" i="13"/>
  <c r="CS13" i="13"/>
  <c r="IA13" i="13"/>
  <c r="HX13" i="13"/>
  <c r="GB13" i="13"/>
  <c r="GA13" i="13"/>
  <c r="FT13" i="13"/>
  <c r="EK13" i="13"/>
  <c r="EG13" i="13"/>
  <c r="CR13" i="13"/>
  <c r="CQ13" i="13"/>
  <c r="CP13" i="13"/>
  <c r="CM13" i="13"/>
  <c r="CK13" i="13"/>
  <c r="CI13" i="13"/>
  <c r="W13" i="13"/>
  <c r="V13" i="13"/>
  <c r="DO13" i="13"/>
  <c r="HL57" i="13"/>
  <c r="GP57" i="13"/>
  <c r="FT57" i="13"/>
  <c r="EX57" i="13"/>
  <c r="EB57" i="13"/>
  <c r="DF57" i="13"/>
  <c r="CJ57" i="13"/>
  <c r="BN57" i="13"/>
  <c r="AR57" i="13"/>
  <c r="V57" i="13"/>
  <c r="HJ57" i="13"/>
  <c r="GN57" i="13"/>
  <c r="FR57" i="13"/>
  <c r="EV57" i="13"/>
  <c r="DZ57" i="13"/>
  <c r="DD57" i="13"/>
  <c r="CH57" i="13"/>
  <c r="BL57" i="13"/>
  <c r="AP57" i="13"/>
  <c r="T57" i="13"/>
  <c r="HN57" i="13"/>
  <c r="GO57" i="13"/>
  <c r="FP57" i="13"/>
  <c r="ER57" i="13"/>
  <c r="DT57" i="13"/>
  <c r="CV57" i="13"/>
  <c r="BX57" i="13"/>
  <c r="AZ57" i="13"/>
  <c r="AB57" i="13"/>
  <c r="D57" i="13"/>
  <c r="HM57" i="13"/>
  <c r="GM57" i="13"/>
  <c r="FO57" i="13"/>
  <c r="EQ57" i="13"/>
  <c r="DS57" i="13"/>
  <c r="CU57" i="13"/>
  <c r="BW57" i="13"/>
  <c r="AY57" i="13"/>
  <c r="AA57" i="13"/>
  <c r="HK57" i="13"/>
  <c r="GL57" i="13"/>
  <c r="FN57" i="13"/>
  <c r="EP57" i="13"/>
  <c r="DR57" i="13"/>
  <c r="CT57" i="13"/>
  <c r="BV57" i="13"/>
  <c r="AX57" i="13"/>
  <c r="Z57" i="13"/>
  <c r="HI57" i="13"/>
  <c r="GK57" i="13"/>
  <c r="FM57" i="13"/>
  <c r="EO57" i="13"/>
  <c r="DQ57" i="13"/>
  <c r="CS57" i="13"/>
  <c r="BU57" i="13"/>
  <c r="AW57" i="13"/>
  <c r="Y57" i="13"/>
  <c r="HG57" i="13"/>
  <c r="GI57" i="13"/>
  <c r="FK57" i="13"/>
  <c r="EM57" i="13"/>
  <c r="DO57" i="13"/>
  <c r="CQ57" i="13"/>
  <c r="BS57" i="13"/>
  <c r="AU57" i="13"/>
  <c r="W57" i="13"/>
  <c r="HW57" i="13"/>
  <c r="GT57" i="13"/>
  <c r="FJ57" i="13"/>
  <c r="EG57" i="13"/>
  <c r="DB57" i="13"/>
  <c r="BY57" i="13"/>
  <c r="AO57" i="13"/>
  <c r="L57" i="13"/>
  <c r="HV57" i="13"/>
  <c r="GS57" i="13"/>
  <c r="FI57" i="13"/>
  <c r="EF57" i="13"/>
  <c r="DA57" i="13"/>
  <c r="BT57" i="13"/>
  <c r="AN57" i="13"/>
  <c r="K57" i="13"/>
  <c r="HU57" i="13"/>
  <c r="GR57" i="13"/>
  <c r="FH57" i="13"/>
  <c r="EE57" i="13"/>
  <c r="CZ57" i="13"/>
  <c r="BR57" i="13"/>
  <c r="AM57" i="13"/>
  <c r="J57" i="13"/>
  <c r="HT57" i="13"/>
  <c r="GQ57" i="13"/>
  <c r="FG57" i="13"/>
  <c r="ED57" i="13"/>
  <c r="CY57" i="13"/>
  <c r="BQ57" i="13"/>
  <c r="AL57" i="13"/>
  <c r="I57" i="13"/>
  <c r="HR57" i="13"/>
  <c r="GH57" i="13"/>
  <c r="FE57" i="13"/>
  <c r="EA57" i="13"/>
  <c r="CW57" i="13"/>
  <c r="BO57" i="13"/>
  <c r="AJ57" i="13"/>
  <c r="G57" i="13"/>
  <c r="HB57" i="13"/>
  <c r="FS57" i="13"/>
  <c r="DX57" i="13"/>
  <c r="CK57" i="13"/>
  <c r="BA57" i="13"/>
  <c r="H57" i="13"/>
  <c r="HA57" i="13"/>
  <c r="FQ57" i="13"/>
  <c r="DW57" i="13"/>
  <c r="CI57" i="13"/>
  <c r="AV57" i="13"/>
  <c r="F57" i="13"/>
  <c r="GZ57" i="13"/>
  <c r="FL57" i="13"/>
  <c r="DV57" i="13"/>
  <c r="CG57" i="13"/>
  <c r="AT57" i="13"/>
  <c r="E57" i="13"/>
  <c r="GY57" i="13"/>
  <c r="FF57" i="13"/>
  <c r="DU57" i="13"/>
  <c r="CF57" i="13"/>
  <c r="AS57" i="13"/>
  <c r="GU57" i="13"/>
  <c r="FA57" i="13"/>
  <c r="DL57" i="13"/>
  <c r="CB57" i="13"/>
  <c r="AH57" i="13"/>
  <c r="HD57" i="13"/>
  <c r="EZ57" i="13"/>
  <c r="DE57" i="13"/>
  <c r="BE57" i="13"/>
  <c r="GW57" i="13"/>
  <c r="EU57" i="13"/>
  <c r="CR57" i="13"/>
  <c r="BB57" i="13"/>
  <c r="GV57" i="13"/>
  <c r="ET57" i="13"/>
  <c r="CP57" i="13"/>
  <c r="AQ57" i="13"/>
  <c r="GJ57" i="13"/>
  <c r="ES57" i="13"/>
  <c r="CO57" i="13"/>
  <c r="GD57" i="13"/>
  <c r="DY57" i="13"/>
  <c r="BJ57" i="13"/>
  <c r="M57" i="13"/>
  <c r="GC57" i="13"/>
  <c r="DP57" i="13"/>
  <c r="BI57" i="13"/>
  <c r="GB57" i="13"/>
  <c r="DN57" i="13"/>
  <c r="BH57" i="13"/>
  <c r="GA57" i="13"/>
  <c r="DM57" i="13"/>
  <c r="BG57" i="13"/>
  <c r="FZ57" i="13"/>
  <c r="DK57" i="13"/>
  <c r="BF57" i="13"/>
  <c r="FY57" i="13"/>
  <c r="DJ57" i="13"/>
  <c r="BD57" i="13"/>
  <c r="HE57" i="13"/>
  <c r="DI57" i="13"/>
  <c r="AD57" i="13"/>
  <c r="HC57" i="13"/>
  <c r="DH57" i="13"/>
  <c r="AC57" i="13"/>
  <c r="GG57" i="13"/>
  <c r="DC57" i="13"/>
  <c r="U57" i="13"/>
  <c r="GF57" i="13"/>
  <c r="CX57" i="13"/>
  <c r="S57" i="13"/>
  <c r="GE57" i="13"/>
  <c r="CN57" i="13"/>
  <c r="R57" i="13"/>
  <c r="FX57" i="13"/>
  <c r="CM57" i="13"/>
  <c r="Q57" i="13"/>
  <c r="FV57" i="13"/>
  <c r="CE57" i="13"/>
  <c r="O57" i="13"/>
  <c r="HF57" i="13"/>
  <c r="BP57" i="13"/>
  <c r="GX57" i="13"/>
  <c r="BM57" i="13"/>
  <c r="FW57" i="13"/>
  <c r="BK57" i="13"/>
  <c r="FC57" i="13"/>
  <c r="AI57" i="13"/>
  <c r="EW57" i="13"/>
  <c r="AE57" i="13"/>
  <c r="IA57" i="13"/>
  <c r="CD57" i="13"/>
  <c r="HZ57" i="13"/>
  <c r="CC57" i="13"/>
  <c r="HS57" i="13"/>
  <c r="BC57" i="13"/>
  <c r="HQ57" i="13"/>
  <c r="AK57" i="13"/>
  <c r="HP57" i="13"/>
  <c r="AG57" i="13"/>
  <c r="HH57" i="13"/>
  <c r="X57" i="13"/>
  <c r="FU57" i="13"/>
  <c r="P57" i="13"/>
  <c r="FD57" i="13"/>
  <c r="N57" i="13"/>
  <c r="EK57" i="13"/>
  <c r="EY57" i="13"/>
  <c r="EN57" i="13"/>
  <c r="EL57" i="13"/>
  <c r="EJ57" i="13"/>
  <c r="EI57" i="13"/>
  <c r="EH57" i="13"/>
  <c r="EC57" i="13"/>
  <c r="CA57" i="13"/>
  <c r="HX57" i="13"/>
  <c r="HO57" i="13"/>
  <c r="DG57" i="13"/>
  <c r="FB57" i="13"/>
  <c r="CL57" i="13"/>
  <c r="BZ57" i="13"/>
  <c r="AF57" i="13"/>
  <c r="HY57" i="13"/>
  <c r="HL50" i="13"/>
  <c r="GP50" i="13"/>
  <c r="HV50" i="13"/>
  <c r="GY50" i="13"/>
  <c r="GB50" i="13"/>
  <c r="FF50" i="13"/>
  <c r="EJ50" i="13"/>
  <c r="DN50" i="13"/>
  <c r="CR50" i="13"/>
  <c r="BV50" i="13"/>
  <c r="AZ50" i="13"/>
  <c r="AD50" i="13"/>
  <c r="H50" i="13"/>
  <c r="HU50" i="13"/>
  <c r="GX50" i="13"/>
  <c r="GA50" i="13"/>
  <c r="FE50" i="13"/>
  <c r="EI50" i="13"/>
  <c r="DM50" i="13"/>
  <c r="CQ50" i="13"/>
  <c r="BU50" i="13"/>
  <c r="AY50" i="13"/>
  <c r="AC50" i="13"/>
  <c r="G50" i="13"/>
  <c r="HT50" i="13"/>
  <c r="GW50" i="13"/>
  <c r="FZ50" i="13"/>
  <c r="FD50" i="13"/>
  <c r="EH50" i="13"/>
  <c r="DL50" i="13"/>
  <c r="CP50" i="13"/>
  <c r="BT50" i="13"/>
  <c r="AX50" i="13"/>
  <c r="AB50" i="13"/>
  <c r="F50" i="13"/>
  <c r="HS50" i="13"/>
  <c r="GV50" i="13"/>
  <c r="FY50" i="13"/>
  <c r="FC50" i="13"/>
  <c r="EG50" i="13"/>
  <c r="DK50" i="13"/>
  <c r="CO50" i="13"/>
  <c r="BS50" i="13"/>
  <c r="HZ50" i="13"/>
  <c r="GU50" i="13"/>
  <c r="FT50" i="13"/>
  <c r="ET50" i="13"/>
  <c r="DT50" i="13"/>
  <c r="CT50" i="13"/>
  <c r="BP50" i="13"/>
  <c r="AQ50" i="13"/>
  <c r="R50" i="13"/>
  <c r="HY50" i="13"/>
  <c r="GT50" i="13"/>
  <c r="FS50" i="13"/>
  <c r="ES50" i="13"/>
  <c r="DS50" i="13"/>
  <c r="CS50" i="13"/>
  <c r="BO50" i="13"/>
  <c r="AP50" i="13"/>
  <c r="Q50" i="13"/>
  <c r="HX50" i="13"/>
  <c r="GS50" i="13"/>
  <c r="FR50" i="13"/>
  <c r="ER50" i="13"/>
  <c r="DR50" i="13"/>
  <c r="CN50" i="13"/>
  <c r="BN50" i="13"/>
  <c r="AO50" i="13"/>
  <c r="P50" i="13"/>
  <c r="HW50" i="13"/>
  <c r="GR50" i="13"/>
  <c r="FQ50" i="13"/>
  <c r="EQ50" i="13"/>
  <c r="DQ50" i="13"/>
  <c r="CM50" i="13"/>
  <c r="BM50" i="13"/>
  <c r="AN50" i="13"/>
  <c r="O50" i="13"/>
  <c r="HG50" i="13"/>
  <c r="FX50" i="13"/>
  <c r="EP50" i="13"/>
  <c r="DH50" i="13"/>
  <c r="CD50" i="13"/>
  <c r="AW50" i="13"/>
  <c r="T50" i="13"/>
  <c r="HQ50" i="13"/>
  <c r="GJ50" i="13"/>
  <c r="FA50" i="13"/>
  <c r="DV50" i="13"/>
  <c r="CI50" i="13"/>
  <c r="BD50" i="13"/>
  <c r="W50" i="13"/>
  <c r="HP50" i="13"/>
  <c r="GI50" i="13"/>
  <c r="EZ50" i="13"/>
  <c r="DU50" i="13"/>
  <c r="CH50" i="13"/>
  <c r="BC50" i="13"/>
  <c r="V50" i="13"/>
  <c r="HO50" i="13"/>
  <c r="GH50" i="13"/>
  <c r="EY50" i="13"/>
  <c r="DP50" i="13"/>
  <c r="CG50" i="13"/>
  <c r="BB50" i="13"/>
  <c r="U50" i="13"/>
  <c r="HM50" i="13"/>
  <c r="GF50" i="13"/>
  <c r="EW50" i="13"/>
  <c r="DJ50" i="13"/>
  <c r="CE50" i="13"/>
  <c r="AV50" i="13"/>
  <c r="N50" i="13"/>
  <c r="HK50" i="13"/>
  <c r="GE50" i="13"/>
  <c r="EV50" i="13"/>
  <c r="DI50" i="13"/>
  <c r="CC50" i="13"/>
  <c r="AU50" i="13"/>
  <c r="M50" i="13"/>
  <c r="GQ50" i="13"/>
  <c r="FB50" i="13"/>
  <c r="DD50" i="13"/>
  <c r="BL50" i="13"/>
  <c r="Z50" i="13"/>
  <c r="GO50" i="13"/>
  <c r="EX50" i="13"/>
  <c r="DC50" i="13"/>
  <c r="BK50" i="13"/>
  <c r="Y50" i="13"/>
  <c r="GM50" i="13"/>
  <c r="EO50" i="13"/>
  <c r="DA50" i="13"/>
  <c r="BI50" i="13"/>
  <c r="S50" i="13"/>
  <c r="GL50" i="13"/>
  <c r="EN50" i="13"/>
  <c r="CZ50" i="13"/>
  <c r="BH50" i="13"/>
  <c r="L50" i="13"/>
  <c r="GK50" i="13"/>
  <c r="EM50" i="13"/>
  <c r="CY50" i="13"/>
  <c r="BG50" i="13"/>
  <c r="K50" i="13"/>
  <c r="GG50" i="13"/>
  <c r="EL50" i="13"/>
  <c r="CX50" i="13"/>
  <c r="BF50" i="13"/>
  <c r="J50" i="13"/>
  <c r="GC50" i="13"/>
  <c r="EF50" i="13"/>
  <c r="CV50" i="13"/>
  <c r="BA50" i="13"/>
  <c r="E50" i="13"/>
  <c r="HR50" i="13"/>
  <c r="FK50" i="13"/>
  <c r="CU50" i="13"/>
  <c r="AI50" i="13"/>
  <c r="HN50" i="13"/>
  <c r="FJ50" i="13"/>
  <c r="CL50" i="13"/>
  <c r="AH50" i="13"/>
  <c r="HJ50" i="13"/>
  <c r="FI50" i="13"/>
  <c r="CK50" i="13"/>
  <c r="AG50" i="13"/>
  <c r="HF50" i="13"/>
  <c r="EU50" i="13"/>
  <c r="CB50" i="13"/>
  <c r="AA50" i="13"/>
  <c r="FO50" i="13"/>
  <c r="CJ50" i="13"/>
  <c r="D50" i="13"/>
  <c r="FN50" i="13"/>
  <c r="CF50" i="13"/>
  <c r="FH50" i="13"/>
  <c r="BY50" i="13"/>
  <c r="FG50" i="13"/>
  <c r="BX50" i="13"/>
  <c r="EK50" i="13"/>
  <c r="BW50" i="13"/>
  <c r="HI50" i="13"/>
  <c r="ED50" i="13"/>
  <c r="BQ50" i="13"/>
  <c r="HH50" i="13"/>
  <c r="EC50" i="13"/>
  <c r="BJ50" i="13"/>
  <c r="HE50" i="13"/>
  <c r="EB50" i="13"/>
  <c r="BE50" i="13"/>
  <c r="GZ50" i="13"/>
  <c r="DW50" i="13"/>
  <c r="AL50" i="13"/>
  <c r="DY50" i="13"/>
  <c r="DX50" i="13"/>
  <c r="DO50" i="13"/>
  <c r="DG50" i="13"/>
  <c r="DF50" i="13"/>
  <c r="DE50" i="13"/>
  <c r="IA50" i="13"/>
  <c r="DB50" i="13"/>
  <c r="HB50" i="13"/>
  <c r="BZ50" i="13"/>
  <c r="FP50" i="13"/>
  <c r="AJ50" i="13"/>
  <c r="HD50" i="13"/>
  <c r="AE50" i="13"/>
  <c r="HC50" i="13"/>
  <c r="X50" i="13"/>
  <c r="GN50" i="13"/>
  <c r="FM50" i="13"/>
  <c r="FL50" i="13"/>
  <c r="CW50" i="13"/>
  <c r="BR50" i="13"/>
  <c r="AT50" i="13"/>
  <c r="HA50" i="13"/>
  <c r="FW50" i="13"/>
  <c r="FV50" i="13"/>
  <c r="CA50" i="13"/>
  <c r="GD50" i="13"/>
  <c r="AS50" i="13"/>
  <c r="AR50" i="13"/>
  <c r="I50" i="13"/>
  <c r="FU50" i="13"/>
  <c r="EA50" i="13"/>
  <c r="DZ50" i="13"/>
  <c r="AM50" i="13"/>
  <c r="AF50" i="13"/>
  <c r="EE50" i="13"/>
  <c r="M19" i="7"/>
  <c r="M41" i="7"/>
  <c r="L41" i="7"/>
  <c r="M73" i="7"/>
  <c r="HV51" i="13"/>
  <c r="GZ51" i="13"/>
  <c r="GD51" i="13"/>
  <c r="FH51" i="13"/>
  <c r="EL51" i="13"/>
  <c r="DP51" i="13"/>
  <c r="CT51" i="13"/>
  <c r="BX51" i="13"/>
  <c r="HS51" i="13"/>
  <c r="GW51" i="13"/>
  <c r="GA51" i="13"/>
  <c r="FE51" i="13"/>
  <c r="EI51" i="13"/>
  <c r="DM51" i="13"/>
  <c r="CQ51" i="13"/>
  <c r="BU51" i="13"/>
  <c r="AY51" i="13"/>
  <c r="AC51" i="13"/>
  <c r="G51" i="13"/>
  <c r="HZ51" i="13"/>
  <c r="HB51" i="13"/>
  <c r="GC51" i="13"/>
  <c r="FD51" i="13"/>
  <c r="EF51" i="13"/>
  <c r="DH51" i="13"/>
  <c r="CJ51" i="13"/>
  <c r="BL51" i="13"/>
  <c r="AO51" i="13"/>
  <c r="R51" i="13"/>
  <c r="HY51" i="13"/>
  <c r="HA51" i="13"/>
  <c r="GB51" i="13"/>
  <c r="FC51" i="13"/>
  <c r="EE51" i="13"/>
  <c r="DG51" i="13"/>
  <c r="CI51" i="13"/>
  <c r="BK51" i="13"/>
  <c r="AN51" i="13"/>
  <c r="Q51" i="13"/>
  <c r="HX51" i="13"/>
  <c r="GY51" i="13"/>
  <c r="FZ51" i="13"/>
  <c r="FB51" i="13"/>
  <c r="ED51" i="13"/>
  <c r="DF51" i="13"/>
  <c r="CH51" i="13"/>
  <c r="BJ51" i="13"/>
  <c r="AM51" i="13"/>
  <c r="P51" i="13"/>
  <c r="HW51" i="13"/>
  <c r="GX51" i="13"/>
  <c r="FY51" i="13"/>
  <c r="FA51" i="13"/>
  <c r="EC51" i="13"/>
  <c r="DE51" i="13"/>
  <c r="CG51" i="13"/>
  <c r="BI51" i="13"/>
  <c r="AL51" i="13"/>
  <c r="O51" i="13"/>
  <c r="HU51" i="13"/>
  <c r="GR51" i="13"/>
  <c r="FP51" i="13"/>
  <c r="EN51" i="13"/>
  <c r="DJ51" i="13"/>
  <c r="CD51" i="13"/>
  <c r="BB51" i="13"/>
  <c r="Z51" i="13"/>
  <c r="HT51" i="13"/>
  <c r="GQ51" i="13"/>
  <c r="FO51" i="13"/>
  <c r="EM51" i="13"/>
  <c r="DI51" i="13"/>
  <c r="CC51" i="13"/>
  <c r="BA51" i="13"/>
  <c r="Y51" i="13"/>
  <c r="HR51" i="13"/>
  <c r="GP51" i="13"/>
  <c r="FN51" i="13"/>
  <c r="EK51" i="13"/>
  <c r="DD51" i="13"/>
  <c r="CB51" i="13"/>
  <c r="AZ51" i="13"/>
  <c r="X51" i="13"/>
  <c r="HQ51" i="13"/>
  <c r="GO51" i="13"/>
  <c r="FM51" i="13"/>
  <c r="EJ51" i="13"/>
  <c r="DC51" i="13"/>
  <c r="CA51" i="13"/>
  <c r="AX51" i="13"/>
  <c r="W51" i="13"/>
  <c r="HP51" i="13"/>
  <c r="GJ51" i="13"/>
  <c r="EX51" i="13"/>
  <c r="DR51" i="13"/>
  <c r="CF51" i="13"/>
  <c r="AU51" i="13"/>
  <c r="L51" i="13"/>
  <c r="HM51" i="13"/>
  <c r="HI51" i="13"/>
  <c r="FV51" i="13"/>
  <c r="EO51" i="13"/>
  <c r="CX51" i="13"/>
  <c r="BO51" i="13"/>
  <c r="AE51" i="13"/>
  <c r="HH51" i="13"/>
  <c r="FU51" i="13"/>
  <c r="EH51" i="13"/>
  <c r="CW51" i="13"/>
  <c r="BN51" i="13"/>
  <c r="AD51" i="13"/>
  <c r="HG51" i="13"/>
  <c r="FT51" i="13"/>
  <c r="EG51" i="13"/>
  <c r="CV51" i="13"/>
  <c r="BM51" i="13"/>
  <c r="AB51" i="13"/>
  <c r="HF51" i="13"/>
  <c r="FS51" i="13"/>
  <c r="EB51" i="13"/>
  <c r="CU51" i="13"/>
  <c r="BH51" i="13"/>
  <c r="AA51" i="13"/>
  <c r="HE51" i="13"/>
  <c r="FR51" i="13"/>
  <c r="EA51" i="13"/>
  <c r="CS51" i="13"/>
  <c r="BG51" i="13"/>
  <c r="V51" i="13"/>
  <c r="HD51" i="13"/>
  <c r="FQ51" i="13"/>
  <c r="DZ51" i="13"/>
  <c r="CR51" i="13"/>
  <c r="BF51" i="13"/>
  <c r="U51" i="13"/>
  <c r="HL51" i="13"/>
  <c r="FI51" i="13"/>
  <c r="DN51" i="13"/>
  <c r="BP51" i="13"/>
  <c r="J51" i="13"/>
  <c r="HK51" i="13"/>
  <c r="FG51" i="13"/>
  <c r="DL51" i="13"/>
  <c r="BE51" i="13"/>
  <c r="I51" i="13"/>
  <c r="HC51" i="13"/>
  <c r="EZ51" i="13"/>
  <c r="DB51" i="13"/>
  <c r="BC51" i="13"/>
  <c r="F51" i="13"/>
  <c r="GV51" i="13"/>
  <c r="EY51" i="13"/>
  <c r="DA51" i="13"/>
  <c r="AW51" i="13"/>
  <c r="E51" i="13"/>
  <c r="GU51" i="13"/>
  <c r="EW51" i="13"/>
  <c r="CZ51" i="13"/>
  <c r="AV51" i="13"/>
  <c r="D51" i="13"/>
  <c r="GT51" i="13"/>
  <c r="EV51" i="13"/>
  <c r="CY51" i="13"/>
  <c r="AT51" i="13"/>
  <c r="GN51" i="13"/>
  <c r="ET51" i="13"/>
  <c r="CO51" i="13"/>
  <c r="AR51" i="13"/>
  <c r="HO51" i="13"/>
  <c r="EP51" i="13"/>
  <c r="BS51" i="13"/>
  <c r="HN51" i="13"/>
  <c r="DY51" i="13"/>
  <c r="BR51" i="13"/>
  <c r="HJ51" i="13"/>
  <c r="DX51" i="13"/>
  <c r="BQ51" i="13"/>
  <c r="GL51" i="13"/>
  <c r="DU51" i="13"/>
  <c r="AQ51" i="13"/>
  <c r="GH51" i="13"/>
  <c r="DQ51" i="13"/>
  <c r="GS51" i="13"/>
  <c r="DK51" i="13"/>
  <c r="S51" i="13"/>
  <c r="GM51" i="13"/>
  <c r="CP51" i="13"/>
  <c r="N51" i="13"/>
  <c r="GG51" i="13"/>
  <c r="CL51" i="13"/>
  <c r="H51" i="13"/>
  <c r="GF51" i="13"/>
  <c r="CK51" i="13"/>
  <c r="GE51" i="13"/>
  <c r="CE51" i="13"/>
  <c r="FW51" i="13"/>
  <c r="BY51" i="13"/>
  <c r="FL51" i="13"/>
  <c r="BW51" i="13"/>
  <c r="FK51" i="13"/>
  <c r="BV51" i="13"/>
  <c r="ER51" i="13"/>
  <c r="AK51" i="13"/>
  <c r="GI51" i="13"/>
  <c r="AG51" i="13"/>
  <c r="FX51" i="13"/>
  <c r="AF51" i="13"/>
  <c r="FJ51" i="13"/>
  <c r="T51" i="13"/>
  <c r="FF51" i="13"/>
  <c r="M51" i="13"/>
  <c r="EU51" i="13"/>
  <c r="K51" i="13"/>
  <c r="ES51" i="13"/>
  <c r="EQ51" i="13"/>
  <c r="DT51" i="13"/>
  <c r="BD51" i="13"/>
  <c r="DW51" i="13"/>
  <c r="DV51" i="13"/>
  <c r="CM51" i="13"/>
  <c r="BT51" i="13"/>
  <c r="AS51" i="13"/>
  <c r="CN51" i="13"/>
  <c r="BZ51" i="13"/>
  <c r="AP51" i="13"/>
  <c r="AJ51" i="13"/>
  <c r="AI51" i="13"/>
  <c r="AH51" i="13"/>
  <c r="DS51" i="13"/>
  <c r="DO51" i="13"/>
  <c r="IA51" i="13"/>
  <c r="EB68" i="4"/>
  <c r="FF68" i="4"/>
  <c r="L164" i="7" s="1"/>
  <c r="GG68" i="4"/>
  <c r="HI68" i="4"/>
  <c r="R69" i="4"/>
  <c r="M20" i="7" s="1"/>
  <c r="AT69" i="4"/>
  <c r="M48" i="7" s="1"/>
  <c r="BX69" i="4"/>
  <c r="M78" i="7" s="1"/>
  <c r="DD69" i="4"/>
  <c r="M110" i="7" s="1"/>
  <c r="EF69" i="4"/>
  <c r="FN69" i="4"/>
  <c r="M172" i="7" s="1"/>
  <c r="GP69" i="4"/>
  <c r="M200" i="7" s="1"/>
  <c r="CZ13" i="13"/>
  <c r="HU35" i="13"/>
  <c r="GY35" i="13"/>
  <c r="GC35" i="13"/>
  <c r="FG35" i="13"/>
  <c r="EK35" i="13"/>
  <c r="DO35" i="13"/>
  <c r="CS35" i="13"/>
  <c r="BW35" i="13"/>
  <c r="BA35" i="13"/>
  <c r="AE35" i="13"/>
  <c r="I35" i="13"/>
  <c r="HN35" i="13"/>
  <c r="GQ35" i="13"/>
  <c r="FT35" i="13"/>
  <c r="EW35" i="13"/>
  <c r="DZ35" i="13"/>
  <c r="DC35" i="13"/>
  <c r="CF35" i="13"/>
  <c r="BI35" i="13"/>
  <c r="AL35" i="13"/>
  <c r="O35" i="13"/>
  <c r="HM35" i="13"/>
  <c r="GP35" i="13"/>
  <c r="FS35" i="13"/>
  <c r="EV35" i="13"/>
  <c r="DY35" i="13"/>
  <c r="DB35" i="13"/>
  <c r="CE35" i="13"/>
  <c r="BH35" i="13"/>
  <c r="AK35" i="13"/>
  <c r="N35" i="13"/>
  <c r="HL35" i="13"/>
  <c r="GO35" i="13"/>
  <c r="FR35" i="13"/>
  <c r="EU35" i="13"/>
  <c r="DX35" i="13"/>
  <c r="DA35" i="13"/>
  <c r="CD35" i="13"/>
  <c r="BG35" i="13"/>
  <c r="AJ35" i="13"/>
  <c r="M35" i="13"/>
  <c r="HK35" i="13"/>
  <c r="GN35" i="13"/>
  <c r="FQ35" i="13"/>
  <c r="ET35" i="13"/>
  <c r="DW35" i="13"/>
  <c r="CZ35" i="13"/>
  <c r="CC35" i="13"/>
  <c r="BF35" i="13"/>
  <c r="AI35" i="13"/>
  <c r="L35" i="13"/>
  <c r="HJ35" i="13"/>
  <c r="GM35" i="13"/>
  <c r="FP35" i="13"/>
  <c r="ES35" i="13"/>
  <c r="DV35" i="13"/>
  <c r="CY35" i="13"/>
  <c r="CB35" i="13"/>
  <c r="BE35" i="13"/>
  <c r="AH35" i="13"/>
  <c r="K35" i="13"/>
  <c r="HI35" i="13"/>
  <c r="GL35" i="13"/>
  <c r="FO35" i="13"/>
  <c r="HH35" i="13"/>
  <c r="GK35" i="13"/>
  <c r="FN35" i="13"/>
  <c r="EQ35" i="13"/>
  <c r="DT35" i="13"/>
  <c r="CW35" i="13"/>
  <c r="BZ35" i="13"/>
  <c r="BC35" i="13"/>
  <c r="AF35" i="13"/>
  <c r="H35" i="13"/>
  <c r="HE35" i="13"/>
  <c r="GH35" i="13"/>
  <c r="FK35" i="13"/>
  <c r="EN35" i="13"/>
  <c r="DQ35" i="13"/>
  <c r="CT35" i="13"/>
  <c r="HW35" i="13"/>
  <c r="GJ35" i="13"/>
  <c r="FC35" i="13"/>
  <c r="DS35" i="13"/>
  <c r="CM35" i="13"/>
  <c r="BJ35" i="13"/>
  <c r="Z35" i="13"/>
  <c r="HV35" i="13"/>
  <c r="GI35" i="13"/>
  <c r="FB35" i="13"/>
  <c r="DR35" i="13"/>
  <c r="CL35" i="13"/>
  <c r="BD35" i="13"/>
  <c r="Y35" i="13"/>
  <c r="HS35" i="13"/>
  <c r="GF35" i="13"/>
  <c r="EZ35" i="13"/>
  <c r="DN35" i="13"/>
  <c r="CJ35" i="13"/>
  <c r="AZ35" i="13"/>
  <c r="W35" i="13"/>
  <c r="HG35" i="13"/>
  <c r="FZ35" i="13"/>
  <c r="EO35" i="13"/>
  <c r="DI35" i="13"/>
  <c r="BY35" i="13"/>
  <c r="AU35" i="13"/>
  <c r="R35" i="13"/>
  <c r="HF35" i="13"/>
  <c r="FY35" i="13"/>
  <c r="EM35" i="13"/>
  <c r="DH35" i="13"/>
  <c r="BX35" i="13"/>
  <c r="AT35" i="13"/>
  <c r="Q35" i="13"/>
  <c r="HA35" i="13"/>
  <c r="FU35" i="13"/>
  <c r="EH35" i="13"/>
  <c r="DD35" i="13"/>
  <c r="BS35" i="13"/>
  <c r="AP35" i="13"/>
  <c r="F35" i="13"/>
  <c r="GX35" i="13"/>
  <c r="FL35" i="13"/>
  <c r="EF35" i="13"/>
  <c r="CV35" i="13"/>
  <c r="BQ35" i="13"/>
  <c r="AN35" i="13"/>
  <c r="D35" i="13"/>
  <c r="GW35" i="13"/>
  <c r="FJ35" i="13"/>
  <c r="EE35" i="13"/>
  <c r="CU35" i="13"/>
  <c r="BP35" i="13"/>
  <c r="AM35" i="13"/>
  <c r="HC35" i="13"/>
  <c r="FA35" i="13"/>
  <c r="CX35" i="13"/>
  <c r="AX35" i="13"/>
  <c r="HB35" i="13"/>
  <c r="EY35" i="13"/>
  <c r="CR35" i="13"/>
  <c r="AW35" i="13"/>
  <c r="GZ35" i="13"/>
  <c r="EX35" i="13"/>
  <c r="CQ35" i="13"/>
  <c r="AV35" i="13"/>
  <c r="GV35" i="13"/>
  <c r="ER35" i="13"/>
  <c r="CP35" i="13"/>
  <c r="AS35" i="13"/>
  <c r="GU35" i="13"/>
  <c r="EP35" i="13"/>
  <c r="CO35" i="13"/>
  <c r="AR35" i="13"/>
  <c r="GT35" i="13"/>
  <c r="EL35" i="13"/>
  <c r="CN35" i="13"/>
  <c r="AQ35" i="13"/>
  <c r="GR35" i="13"/>
  <c r="EI35" i="13"/>
  <c r="CI35" i="13"/>
  <c r="AG35" i="13"/>
  <c r="GE35" i="13"/>
  <c r="ED35" i="13"/>
  <c r="CG35" i="13"/>
  <c r="AC35" i="13"/>
  <c r="GD35" i="13"/>
  <c r="EC35" i="13"/>
  <c r="CA35" i="13"/>
  <c r="AB35" i="13"/>
  <c r="HX35" i="13"/>
  <c r="FV35" i="13"/>
  <c r="DM35" i="13"/>
  <c r="BO35" i="13"/>
  <c r="T35" i="13"/>
  <c r="HD35" i="13"/>
  <c r="DG35" i="13"/>
  <c r="P35" i="13"/>
  <c r="GS35" i="13"/>
  <c r="DF35" i="13"/>
  <c r="J35" i="13"/>
  <c r="GG35" i="13"/>
  <c r="DE35" i="13"/>
  <c r="G35" i="13"/>
  <c r="GB35" i="13"/>
  <c r="CK35" i="13"/>
  <c r="E35" i="13"/>
  <c r="FI35" i="13"/>
  <c r="BR35" i="13"/>
  <c r="FH35" i="13"/>
  <c r="BN35" i="13"/>
  <c r="EJ35" i="13"/>
  <c r="BB35" i="13"/>
  <c r="HZ35" i="13"/>
  <c r="EB35" i="13"/>
  <c r="AO35" i="13"/>
  <c r="EG35" i="13"/>
  <c r="EA35" i="13"/>
  <c r="DP35" i="13"/>
  <c r="DL35" i="13"/>
  <c r="IA35" i="13"/>
  <c r="BV35" i="13"/>
  <c r="HY35" i="13"/>
  <c r="BU35" i="13"/>
  <c r="HP35" i="13"/>
  <c r="BK35" i="13"/>
  <c r="GA35" i="13"/>
  <c r="AD35" i="13"/>
  <c r="FX35" i="13"/>
  <c r="AA35" i="13"/>
  <c r="BT35" i="13"/>
  <c r="BM35" i="13"/>
  <c r="HT35" i="13"/>
  <c r="FW35" i="13"/>
  <c r="FF35" i="13"/>
  <c r="FE35" i="13"/>
  <c r="S35" i="13"/>
  <c r="HR35" i="13"/>
  <c r="HQ35" i="13"/>
  <c r="CH35" i="13"/>
  <c r="DK35" i="13"/>
  <c r="DJ35" i="13"/>
  <c r="AY35" i="13"/>
  <c r="X35" i="13"/>
  <c r="V35" i="13"/>
  <c r="HO35" i="13"/>
  <c r="DU35" i="13"/>
  <c r="U35" i="13"/>
  <c r="FM35" i="13"/>
  <c r="BL35" i="13"/>
  <c r="FD35" i="13"/>
  <c r="M65" i="7"/>
  <c r="HK7" i="13"/>
  <c r="GO7" i="13"/>
  <c r="FS7" i="13"/>
  <c r="EW7" i="13"/>
  <c r="EA7" i="13"/>
  <c r="DE7" i="13"/>
  <c r="CI7" i="13"/>
  <c r="BM7" i="13"/>
  <c r="HI7" i="13"/>
  <c r="GL7" i="13"/>
  <c r="FO7" i="13"/>
  <c r="ER7" i="13"/>
  <c r="DU7" i="13"/>
  <c r="CX7" i="13"/>
  <c r="CA7" i="13"/>
  <c r="BD7" i="13"/>
  <c r="AH7" i="13"/>
  <c r="L7" i="13"/>
  <c r="HH7" i="13"/>
  <c r="GK7" i="13"/>
  <c r="FN7" i="13"/>
  <c r="EQ7" i="13"/>
  <c r="DT7" i="13"/>
  <c r="CW7" i="13"/>
  <c r="BZ7" i="13"/>
  <c r="BC7" i="13"/>
  <c r="AG7" i="13"/>
  <c r="K7" i="13"/>
  <c r="HE7" i="13"/>
  <c r="GH7" i="13"/>
  <c r="FK7" i="13"/>
  <c r="EN7" i="13"/>
  <c r="DQ7" i="13"/>
  <c r="CT7" i="13"/>
  <c r="BW7" i="13"/>
  <c r="AZ7" i="13"/>
  <c r="AD7" i="13"/>
  <c r="H7" i="13"/>
  <c r="IA7" i="13"/>
  <c r="HD7" i="13"/>
  <c r="GG7" i="13"/>
  <c r="FJ7" i="13"/>
  <c r="EM7" i="13"/>
  <c r="DP7" i="13"/>
  <c r="CS7" i="13"/>
  <c r="BV7" i="13"/>
  <c r="AY7" i="13"/>
  <c r="AC7" i="13"/>
  <c r="G7" i="13"/>
  <c r="HX7" i="13"/>
  <c r="HA7" i="13"/>
  <c r="GD7" i="13"/>
  <c r="FG7" i="13"/>
  <c r="EJ7" i="13"/>
  <c r="DM7" i="13"/>
  <c r="CP7" i="13"/>
  <c r="BS7" i="13"/>
  <c r="AV7" i="13"/>
  <c r="Z7" i="13"/>
  <c r="D7" i="13"/>
  <c r="HP7" i="13"/>
  <c r="GS7" i="13"/>
  <c r="FV7" i="13"/>
  <c r="EY7" i="13"/>
  <c r="EB7" i="13"/>
  <c r="DD7" i="13"/>
  <c r="CG7" i="13"/>
  <c r="BJ7" i="13"/>
  <c r="AN7" i="13"/>
  <c r="R7" i="13"/>
  <c r="HJ7" i="13"/>
  <c r="GB7" i="13"/>
  <c r="EX7" i="13"/>
  <c r="DR7" i="13"/>
  <c r="CL7" i="13"/>
  <c r="BG7" i="13"/>
  <c r="AA7" i="13"/>
  <c r="HG7" i="13"/>
  <c r="GA7" i="13"/>
  <c r="EV7" i="13"/>
  <c r="DO7" i="13"/>
  <c r="CK7" i="13"/>
  <c r="BF7" i="13"/>
  <c r="Y7" i="13"/>
  <c r="HC7" i="13"/>
  <c r="FY7" i="13"/>
  <c r="ET7" i="13"/>
  <c r="DL7" i="13"/>
  <c r="CH7" i="13"/>
  <c r="BB7" i="13"/>
  <c r="W7" i="13"/>
  <c r="HB7" i="13"/>
  <c r="FX7" i="13"/>
  <c r="ES7" i="13"/>
  <c r="DK7" i="13"/>
  <c r="CF7" i="13"/>
  <c r="BA7" i="13"/>
  <c r="V7" i="13"/>
  <c r="GZ7" i="13"/>
  <c r="FW7" i="13"/>
  <c r="EP7" i="13"/>
  <c r="DJ7" i="13"/>
  <c r="CE7" i="13"/>
  <c r="AX7" i="13"/>
  <c r="U7" i="13"/>
  <c r="GW7" i="13"/>
  <c r="FR7" i="13"/>
  <c r="EK7" i="13"/>
  <c r="DG7" i="13"/>
  <c r="CB7" i="13"/>
  <c r="AT7" i="13"/>
  <c r="Q7" i="13"/>
  <c r="HS7" i="13"/>
  <c r="GC7" i="13"/>
  <c r="EG7" i="13"/>
  <c r="CR7" i="13"/>
  <c r="AW7" i="13"/>
  <c r="J7" i="13"/>
  <c r="HR7" i="13"/>
  <c r="FZ7" i="13"/>
  <c r="EF7" i="13"/>
  <c r="CQ7" i="13"/>
  <c r="AU7" i="13"/>
  <c r="I7" i="13"/>
  <c r="HQ7" i="13"/>
  <c r="FU7" i="13"/>
  <c r="EE7" i="13"/>
  <c r="CO7" i="13"/>
  <c r="AS7" i="13"/>
  <c r="F7" i="13"/>
  <c r="HN7" i="13"/>
  <c r="FQ7" i="13"/>
  <c r="EC7" i="13"/>
  <c r="CM7" i="13"/>
  <c r="AQ7" i="13"/>
  <c r="HM7" i="13"/>
  <c r="FP7" i="13"/>
  <c r="DZ7" i="13"/>
  <c r="CJ7" i="13"/>
  <c r="AP7" i="13"/>
  <c r="GY7" i="13"/>
  <c r="FI7" i="13"/>
  <c r="DW7" i="13"/>
  <c r="BY7" i="13"/>
  <c r="AL7" i="13"/>
  <c r="GV7" i="13"/>
  <c r="EZ7" i="13"/>
  <c r="CN7" i="13"/>
  <c r="AF7" i="13"/>
  <c r="GU7" i="13"/>
  <c r="EU7" i="13"/>
  <c r="CD7" i="13"/>
  <c r="AE7" i="13"/>
  <c r="GT7" i="13"/>
  <c r="EO7" i="13"/>
  <c r="CC7" i="13"/>
  <c r="AB7" i="13"/>
  <c r="GR7" i="13"/>
  <c r="EL7" i="13"/>
  <c r="BX7" i="13"/>
  <c r="X7" i="13"/>
  <c r="GQ7" i="13"/>
  <c r="EI7" i="13"/>
  <c r="BU7" i="13"/>
  <c r="T7" i="13"/>
  <c r="GP7" i="13"/>
  <c r="EH7" i="13"/>
  <c r="BT7" i="13"/>
  <c r="S7" i="13"/>
  <c r="GJ7" i="13"/>
  <c r="DX7" i="13"/>
  <c r="BP7" i="13"/>
  <c r="N7" i="13"/>
  <c r="GI7" i="13"/>
  <c r="DV7" i="13"/>
  <c r="BO7" i="13"/>
  <c r="M7" i="13"/>
  <c r="HF7" i="13"/>
  <c r="DF7" i="13"/>
  <c r="P7" i="13"/>
  <c r="GX7" i="13"/>
  <c r="DC7" i="13"/>
  <c r="O7" i="13"/>
  <c r="GM7" i="13"/>
  <c r="DA7" i="13"/>
  <c r="GF7" i="13"/>
  <c r="CZ7" i="13"/>
  <c r="GE7" i="13"/>
  <c r="CY7" i="13"/>
  <c r="FL7" i="13"/>
  <c r="BR7" i="13"/>
  <c r="HY7" i="13"/>
  <c r="FA7" i="13"/>
  <c r="BE7" i="13"/>
  <c r="HV7" i="13"/>
  <c r="CU7" i="13"/>
  <c r="HU7" i="13"/>
  <c r="BQ7" i="13"/>
  <c r="HO7" i="13"/>
  <c r="BL7" i="13"/>
  <c r="HL7" i="13"/>
  <c r="BK7" i="13"/>
  <c r="GN7" i="13"/>
  <c r="BI7" i="13"/>
  <c r="FM7" i="13"/>
  <c r="AR7" i="13"/>
  <c r="FH7" i="13"/>
  <c r="AO7" i="13"/>
  <c r="DB7" i="13"/>
  <c r="CV7" i="13"/>
  <c r="BN7" i="13"/>
  <c r="BH7" i="13"/>
  <c r="AM7" i="13"/>
  <c r="AK7" i="13"/>
  <c r="AJ7" i="13"/>
  <c r="HZ7" i="13"/>
  <c r="AI7" i="13"/>
  <c r="FF7" i="13"/>
  <c r="FE7" i="13"/>
  <c r="FD7" i="13"/>
  <c r="FC7" i="13"/>
  <c r="FB7" i="13"/>
  <c r="DN7" i="13"/>
  <c r="ED7" i="13"/>
  <c r="HT29" i="13"/>
  <c r="GX29" i="13"/>
  <c r="GB29" i="13"/>
  <c r="FF29" i="13"/>
  <c r="EJ29" i="13"/>
  <c r="DN29" i="13"/>
  <c r="CR29" i="13"/>
  <c r="BV29" i="13"/>
  <c r="HY29" i="13"/>
  <c r="HB29" i="13"/>
  <c r="GE29" i="13"/>
  <c r="FH29" i="13"/>
  <c r="EK29" i="13"/>
  <c r="DM29" i="13"/>
  <c r="HX29" i="13"/>
  <c r="HA29" i="13"/>
  <c r="GD29" i="13"/>
  <c r="FG29" i="13"/>
  <c r="EI29" i="13"/>
  <c r="DL29" i="13"/>
  <c r="HP29" i="13"/>
  <c r="GS29" i="13"/>
  <c r="FV29" i="13"/>
  <c r="EY29" i="13"/>
  <c r="EB29" i="13"/>
  <c r="DE29" i="13"/>
  <c r="HO29" i="13"/>
  <c r="GR29" i="13"/>
  <c r="FU29" i="13"/>
  <c r="EX29" i="13"/>
  <c r="EA29" i="13"/>
  <c r="DD29" i="13"/>
  <c r="HU29" i="13"/>
  <c r="GQ29" i="13"/>
  <c r="FP29" i="13"/>
  <c r="EO29" i="13"/>
  <c r="DK29" i="13"/>
  <c r="CL29" i="13"/>
  <c r="BO29" i="13"/>
  <c r="AS29" i="13"/>
  <c r="W29" i="13"/>
  <c r="HS29" i="13"/>
  <c r="GP29" i="13"/>
  <c r="FO29" i="13"/>
  <c r="EN29" i="13"/>
  <c r="DJ29" i="13"/>
  <c r="CK29" i="13"/>
  <c r="BN29" i="13"/>
  <c r="AR29" i="13"/>
  <c r="V29" i="13"/>
  <c r="HQ29" i="13"/>
  <c r="GN29" i="13"/>
  <c r="FM29" i="13"/>
  <c r="EL29" i="13"/>
  <c r="DH29" i="13"/>
  <c r="CI29" i="13"/>
  <c r="BL29" i="13"/>
  <c r="AP29" i="13"/>
  <c r="T29" i="13"/>
  <c r="HN29" i="13"/>
  <c r="GM29" i="13"/>
  <c r="FL29" i="13"/>
  <c r="EH29" i="13"/>
  <c r="DG29" i="13"/>
  <c r="CH29" i="13"/>
  <c r="HM29" i="13"/>
  <c r="GL29" i="13"/>
  <c r="FK29" i="13"/>
  <c r="EG29" i="13"/>
  <c r="DF29" i="13"/>
  <c r="CG29" i="13"/>
  <c r="BJ29" i="13"/>
  <c r="AN29" i="13"/>
  <c r="R29" i="13"/>
  <c r="HK29" i="13"/>
  <c r="GJ29" i="13"/>
  <c r="FI29" i="13"/>
  <c r="EE29" i="13"/>
  <c r="DB29" i="13"/>
  <c r="CE29" i="13"/>
  <c r="BH29" i="13"/>
  <c r="AL29" i="13"/>
  <c r="P29" i="13"/>
  <c r="HI29" i="13"/>
  <c r="GH29" i="13"/>
  <c r="FD29" i="13"/>
  <c r="EC29" i="13"/>
  <c r="CZ29" i="13"/>
  <c r="CC29" i="13"/>
  <c r="BF29" i="13"/>
  <c r="AJ29" i="13"/>
  <c r="N29" i="13"/>
  <c r="HH29" i="13"/>
  <c r="HC29" i="13"/>
  <c r="FN29" i="13"/>
  <c r="DV29" i="13"/>
  <c r="CM29" i="13"/>
  <c r="BC29" i="13"/>
  <c r="AA29" i="13"/>
  <c r="GZ29" i="13"/>
  <c r="FJ29" i="13"/>
  <c r="DU29" i="13"/>
  <c r="CJ29" i="13"/>
  <c r="BB29" i="13"/>
  <c r="Z29" i="13"/>
  <c r="GY29" i="13"/>
  <c r="FE29" i="13"/>
  <c r="DT29" i="13"/>
  <c r="CF29" i="13"/>
  <c r="BA29" i="13"/>
  <c r="Y29" i="13"/>
  <c r="GW29" i="13"/>
  <c r="FC29" i="13"/>
  <c r="DS29" i="13"/>
  <c r="CD29" i="13"/>
  <c r="AZ29" i="13"/>
  <c r="GK29" i="13"/>
  <c r="EV29" i="13"/>
  <c r="DI29" i="13"/>
  <c r="BX29" i="13"/>
  <c r="AU29" i="13"/>
  <c r="M29" i="13"/>
  <c r="GI29" i="13"/>
  <c r="EU29" i="13"/>
  <c r="DC29" i="13"/>
  <c r="BW29" i="13"/>
  <c r="AT29" i="13"/>
  <c r="L29" i="13"/>
  <c r="HW29" i="13"/>
  <c r="GA29" i="13"/>
  <c r="EQ29" i="13"/>
  <c r="CW29" i="13"/>
  <c r="BR29" i="13"/>
  <c r="AK29" i="13"/>
  <c r="H29" i="13"/>
  <c r="HR29" i="13"/>
  <c r="FY29" i="13"/>
  <c r="EM29" i="13"/>
  <c r="CU29" i="13"/>
  <c r="BP29" i="13"/>
  <c r="AH29" i="13"/>
  <c r="F29" i="13"/>
  <c r="HE29" i="13"/>
  <c r="ER29" i="13"/>
  <c r="CB29" i="13"/>
  <c r="AG29" i="13"/>
  <c r="HD29" i="13"/>
  <c r="EP29" i="13"/>
  <c r="CA29" i="13"/>
  <c r="AF29" i="13"/>
  <c r="GU29" i="13"/>
  <c r="ED29" i="13"/>
  <c r="BY29" i="13"/>
  <c r="AD29" i="13"/>
  <c r="GT29" i="13"/>
  <c r="DZ29" i="13"/>
  <c r="BU29" i="13"/>
  <c r="AC29" i="13"/>
  <c r="GC29" i="13"/>
  <c r="DR29" i="13"/>
  <c r="BM29" i="13"/>
  <c r="S29" i="13"/>
  <c r="FZ29" i="13"/>
  <c r="DQ29" i="13"/>
  <c r="BK29" i="13"/>
  <c r="Q29" i="13"/>
  <c r="FS29" i="13"/>
  <c r="CY29" i="13"/>
  <c r="BD29" i="13"/>
  <c r="I29" i="13"/>
  <c r="IA29" i="13"/>
  <c r="FQ29" i="13"/>
  <c r="CV29" i="13"/>
  <c r="AX29" i="13"/>
  <c r="E29" i="13"/>
  <c r="HZ29" i="13"/>
  <c r="FB29" i="13"/>
  <c r="CT29" i="13"/>
  <c r="AW29" i="13"/>
  <c r="D29" i="13"/>
  <c r="FX29" i="13"/>
  <c r="BZ29" i="13"/>
  <c r="FW29" i="13"/>
  <c r="BT29" i="13"/>
  <c r="ES29" i="13"/>
  <c r="AV29" i="13"/>
  <c r="EF29" i="13"/>
  <c r="AQ29" i="13"/>
  <c r="HV29" i="13"/>
  <c r="DP29" i="13"/>
  <c r="AE29" i="13"/>
  <c r="HJ29" i="13"/>
  <c r="DA29" i="13"/>
  <c r="X29" i="13"/>
  <c r="HG29" i="13"/>
  <c r="CX29" i="13"/>
  <c r="U29" i="13"/>
  <c r="GG29" i="13"/>
  <c r="AY29" i="13"/>
  <c r="GF29" i="13"/>
  <c r="AO29" i="13"/>
  <c r="FT29" i="13"/>
  <c r="AM29" i="13"/>
  <c r="FA29" i="13"/>
  <c r="AB29" i="13"/>
  <c r="EZ29" i="13"/>
  <c r="O29" i="13"/>
  <c r="DY29" i="13"/>
  <c r="G29" i="13"/>
  <c r="DX29" i="13"/>
  <c r="CN29" i="13"/>
  <c r="K29" i="13"/>
  <c r="J29" i="13"/>
  <c r="HL29" i="13"/>
  <c r="HF29" i="13"/>
  <c r="GV29" i="13"/>
  <c r="EW29" i="13"/>
  <c r="BE29" i="13"/>
  <c r="AI29" i="13"/>
  <c r="GO29" i="13"/>
  <c r="FR29" i="13"/>
  <c r="DO29" i="13"/>
  <c r="CS29" i="13"/>
  <c r="ET29" i="13"/>
  <c r="DW29" i="13"/>
  <c r="CQ29" i="13"/>
  <c r="CP29" i="13"/>
  <c r="CO29" i="13"/>
  <c r="BS29" i="13"/>
  <c r="BG29" i="13"/>
  <c r="BQ29" i="13"/>
  <c r="IA69" i="4"/>
  <c r="M237" i="7" s="1"/>
  <c r="HE69" i="4"/>
  <c r="M215" i="7" s="1"/>
  <c r="GI69" i="4"/>
  <c r="M193" i="7" s="1"/>
  <c r="FM69" i="4"/>
  <c r="EQ69" i="4"/>
  <c r="M149" i="7" s="1"/>
  <c r="DU69" i="4"/>
  <c r="M127" i="7" s="1"/>
  <c r="CY69" i="4"/>
  <c r="M105" i="7" s="1"/>
  <c r="CC69" i="4"/>
  <c r="BG69" i="4"/>
  <c r="M61" i="7" s="1"/>
  <c r="AK69" i="4"/>
  <c r="M39" i="7" s="1"/>
  <c r="O69" i="4"/>
  <c r="M17" i="7" s="1"/>
  <c r="HQ68" i="4"/>
  <c r="GU68" i="4"/>
  <c r="FY68" i="4"/>
  <c r="FY70" i="4" s="1"/>
  <c r="FC68" i="4"/>
  <c r="HZ69" i="4"/>
  <c r="M236" i="7" s="1"/>
  <c r="HD69" i="4"/>
  <c r="GH69" i="4"/>
  <c r="FL69" i="4"/>
  <c r="EP69" i="4"/>
  <c r="DT69" i="4"/>
  <c r="CX69" i="4"/>
  <c r="M104" i="7" s="1"/>
  <c r="CB69" i="4"/>
  <c r="M82" i="7" s="1"/>
  <c r="BF69" i="4"/>
  <c r="M60" i="7" s="1"/>
  <c r="AJ69" i="4"/>
  <c r="M38" i="7" s="1"/>
  <c r="N69" i="4"/>
  <c r="HP68" i="4"/>
  <c r="HP70" i="4" s="1"/>
  <c r="GT68" i="4"/>
  <c r="GT70" i="4" s="1"/>
  <c r="FX68" i="4"/>
  <c r="FB68" i="4"/>
  <c r="EF68" i="4"/>
  <c r="DJ68" i="4"/>
  <c r="DJ70" i="4" s="1"/>
  <c r="CN68" i="4"/>
  <c r="BR68" i="4"/>
  <c r="BR70" i="4" s="1"/>
  <c r="AV68" i="4"/>
  <c r="L50" i="7" s="1"/>
  <c r="Z68" i="4"/>
  <c r="D68" i="4"/>
  <c r="HY69" i="4"/>
  <c r="M235" i="7" s="1"/>
  <c r="HC69" i="4"/>
  <c r="M213" i="7" s="1"/>
  <c r="GG69" i="4"/>
  <c r="M191" i="7" s="1"/>
  <c r="FK69" i="4"/>
  <c r="M169" i="7" s="1"/>
  <c r="EO69" i="4"/>
  <c r="M147" i="7" s="1"/>
  <c r="DS69" i="4"/>
  <c r="M125" i="7" s="1"/>
  <c r="CW69" i="4"/>
  <c r="M103" i="7" s="1"/>
  <c r="CA69" i="4"/>
  <c r="M81" i="7" s="1"/>
  <c r="BE69" i="4"/>
  <c r="M59" i="7" s="1"/>
  <c r="AI69" i="4"/>
  <c r="M69" i="4"/>
  <c r="M15" i="7" s="1"/>
  <c r="HO68" i="4"/>
  <c r="GS68" i="4"/>
  <c r="GS70" i="4" s="1"/>
  <c r="FW68" i="4"/>
  <c r="FA68" i="4"/>
  <c r="FA70" i="4" s="1"/>
  <c r="EE68" i="4"/>
  <c r="EE70" i="4" s="1"/>
  <c r="DI68" i="4"/>
  <c r="CM68" i="4"/>
  <c r="BQ68" i="4"/>
  <c r="BQ70" i="4" s="1"/>
  <c r="AU68" i="4"/>
  <c r="Y68" i="4"/>
  <c r="CV69" i="4"/>
  <c r="M102" i="7" s="1"/>
  <c r="L69" i="4"/>
  <c r="M14" i="7" s="1"/>
  <c r="GR68" i="4"/>
  <c r="EZ68" i="4"/>
  <c r="DH68" i="4"/>
  <c r="BP68" i="4"/>
  <c r="X68" i="4"/>
  <c r="X70" i="4" s="1"/>
  <c r="HX69" i="4"/>
  <c r="M234" i="7" s="1"/>
  <c r="HB69" i="4"/>
  <c r="GF69" i="4"/>
  <c r="M190" i="7" s="1"/>
  <c r="FJ69" i="4"/>
  <c r="EN69" i="4"/>
  <c r="EN70" i="4" s="1"/>
  <c r="DR69" i="4"/>
  <c r="BZ69" i="4"/>
  <c r="M80" i="7" s="1"/>
  <c r="BD69" i="4"/>
  <c r="AH69" i="4"/>
  <c r="M36" i="7" s="1"/>
  <c r="HN68" i="4"/>
  <c r="FV68" i="4"/>
  <c r="ED68" i="4"/>
  <c r="CL68" i="4"/>
  <c r="AT68" i="4"/>
  <c r="HU69" i="4"/>
  <c r="M231" i="7" s="1"/>
  <c r="GY69" i="4"/>
  <c r="GC69" i="4"/>
  <c r="M187" i="7" s="1"/>
  <c r="FG69" i="4"/>
  <c r="M165" i="7" s="1"/>
  <c r="EK69" i="4"/>
  <c r="M143" i="7" s="1"/>
  <c r="DO69" i="4"/>
  <c r="M121" i="7" s="1"/>
  <c r="CS69" i="4"/>
  <c r="M99" i="7" s="1"/>
  <c r="BW69" i="4"/>
  <c r="M77" i="7" s="1"/>
  <c r="BA69" i="4"/>
  <c r="AE69" i="4"/>
  <c r="M33" i="7" s="1"/>
  <c r="I69" i="4"/>
  <c r="M11" i="7" s="1"/>
  <c r="HK68" i="4"/>
  <c r="GO68" i="4"/>
  <c r="GO70" i="4" s="1"/>
  <c r="FS68" i="4"/>
  <c r="EW68" i="4"/>
  <c r="EA68" i="4"/>
  <c r="DE68" i="4"/>
  <c r="CI68" i="4"/>
  <c r="BM68" i="4"/>
  <c r="AQ68" i="4"/>
  <c r="U68" i="4"/>
  <c r="U70" i="4" s="1"/>
  <c r="HQ69" i="4"/>
  <c r="M227" i="7" s="1"/>
  <c r="GU69" i="4"/>
  <c r="M205" i="7" s="1"/>
  <c r="FY69" i="4"/>
  <c r="FC69" i="4"/>
  <c r="EG69" i="4"/>
  <c r="M139" i="7" s="1"/>
  <c r="DK69" i="4"/>
  <c r="CO69" i="4"/>
  <c r="M95" i="7" s="1"/>
  <c r="BS69" i="4"/>
  <c r="AW69" i="4"/>
  <c r="AA69" i="4"/>
  <c r="M29" i="7" s="1"/>
  <c r="E69" i="4"/>
  <c r="M7" i="7" s="1"/>
  <c r="HG68" i="4"/>
  <c r="HG70" i="4" s="1"/>
  <c r="HQ22" i="13"/>
  <c r="GU22" i="13"/>
  <c r="FY22" i="13"/>
  <c r="FC22" i="13"/>
  <c r="EG22" i="13"/>
  <c r="DK22" i="13"/>
  <c r="CO22" i="13"/>
  <c r="BS22" i="13"/>
  <c r="AW22" i="13"/>
  <c r="AA22" i="13"/>
  <c r="E22" i="13"/>
  <c r="HP22" i="13"/>
  <c r="GT22" i="13"/>
  <c r="FX22" i="13"/>
  <c r="FB22" i="13"/>
  <c r="EF22" i="13"/>
  <c r="DJ22" i="13"/>
  <c r="CN22" i="13"/>
  <c r="BR22" i="13"/>
  <c r="AV22" i="13"/>
  <c r="Z22" i="13"/>
  <c r="D22" i="13"/>
  <c r="HO22" i="13"/>
  <c r="GS22" i="13"/>
  <c r="FW22" i="13"/>
  <c r="FA22" i="13"/>
  <c r="EE22" i="13"/>
  <c r="DI22" i="13"/>
  <c r="CM22" i="13"/>
  <c r="BQ22" i="13"/>
  <c r="AU22" i="13"/>
  <c r="Y22" i="13"/>
  <c r="HI22" i="13"/>
  <c r="GM22" i="13"/>
  <c r="FQ22" i="13"/>
  <c r="EU22" i="13"/>
  <c r="DY22" i="13"/>
  <c r="DC22" i="13"/>
  <c r="CG22" i="13"/>
  <c r="BK22" i="13"/>
  <c r="AO22" i="13"/>
  <c r="S22" i="13"/>
  <c r="HH22" i="13"/>
  <c r="GL22" i="13"/>
  <c r="FP22" i="13"/>
  <c r="ET22" i="13"/>
  <c r="DX22" i="13"/>
  <c r="DB22" i="13"/>
  <c r="CF22" i="13"/>
  <c r="BJ22" i="13"/>
  <c r="AN22" i="13"/>
  <c r="R22" i="13"/>
  <c r="HZ22" i="13"/>
  <c r="HD22" i="13"/>
  <c r="GH22" i="13"/>
  <c r="HV22" i="13"/>
  <c r="GQ22" i="13"/>
  <c r="FM22" i="13"/>
  <c r="EL22" i="13"/>
  <c r="DH22" i="13"/>
  <c r="CE22" i="13"/>
  <c r="BD22" i="13"/>
  <c r="AC22" i="13"/>
  <c r="HU22" i="13"/>
  <c r="GP22" i="13"/>
  <c r="FL22" i="13"/>
  <c r="EK22" i="13"/>
  <c r="DG22" i="13"/>
  <c r="CD22" i="13"/>
  <c r="BC22" i="13"/>
  <c r="AB22" i="13"/>
  <c r="HR22" i="13"/>
  <c r="GK22" i="13"/>
  <c r="FI22" i="13"/>
  <c r="EH22" i="13"/>
  <c r="DD22" i="13"/>
  <c r="CA22" i="13"/>
  <c r="AZ22" i="13"/>
  <c r="V22" i="13"/>
  <c r="HK22" i="13"/>
  <c r="GF22" i="13"/>
  <c r="FE22" i="13"/>
  <c r="EA22" i="13"/>
  <c r="CX22" i="13"/>
  <c r="BW22" i="13"/>
  <c r="AS22" i="13"/>
  <c r="P22" i="13"/>
  <c r="HJ22" i="13"/>
  <c r="GE22" i="13"/>
  <c r="FD22" i="13"/>
  <c r="DZ22" i="13"/>
  <c r="CW22" i="13"/>
  <c r="BV22" i="13"/>
  <c r="AR22" i="13"/>
  <c r="O22" i="13"/>
  <c r="HC22" i="13"/>
  <c r="GA22" i="13"/>
  <c r="EW22" i="13"/>
  <c r="DT22" i="13"/>
  <c r="CS22" i="13"/>
  <c r="BO22" i="13"/>
  <c r="AL22" i="13"/>
  <c r="K22" i="13"/>
  <c r="HA22" i="13"/>
  <c r="FV22" i="13"/>
  <c r="ES22" i="13"/>
  <c r="DR22" i="13"/>
  <c r="CQ22" i="13"/>
  <c r="BM22" i="13"/>
  <c r="AJ22" i="13"/>
  <c r="I22" i="13"/>
  <c r="HF22" i="13"/>
  <c r="FO22" i="13"/>
  <c r="DW22" i="13"/>
  <c r="CJ22" i="13"/>
  <c r="AT22" i="13"/>
  <c r="F22" i="13"/>
  <c r="HE22" i="13"/>
  <c r="FN22" i="13"/>
  <c r="DV22" i="13"/>
  <c r="CI22" i="13"/>
  <c r="AQ22" i="13"/>
  <c r="GR22" i="13"/>
  <c r="EY22" i="13"/>
  <c r="DM22" i="13"/>
  <c r="BU22" i="13"/>
  <c r="AF22" i="13"/>
  <c r="GO22" i="13"/>
  <c r="EX22" i="13"/>
  <c r="DL22" i="13"/>
  <c r="BT22" i="13"/>
  <c r="AE22" i="13"/>
  <c r="HY22" i="13"/>
  <c r="GG22" i="13"/>
  <c r="EP22" i="13"/>
  <c r="CZ22" i="13"/>
  <c r="BI22" i="13"/>
  <c r="U22" i="13"/>
  <c r="HW22" i="13"/>
  <c r="GC22" i="13"/>
  <c r="EN22" i="13"/>
  <c r="CV22" i="13"/>
  <c r="BG22" i="13"/>
  <c r="Q22" i="13"/>
  <c r="HT22" i="13"/>
  <c r="GB22" i="13"/>
  <c r="EM22" i="13"/>
  <c r="CU22" i="13"/>
  <c r="BF22" i="13"/>
  <c r="N22" i="13"/>
  <c r="HX22" i="13"/>
  <c r="FJ22" i="13"/>
  <c r="DA22" i="13"/>
  <c r="AP22" i="13"/>
  <c r="HS22" i="13"/>
  <c r="FH22" i="13"/>
  <c r="CY22" i="13"/>
  <c r="AM22" i="13"/>
  <c r="HN22" i="13"/>
  <c r="FG22" i="13"/>
  <c r="CT22" i="13"/>
  <c r="AK22" i="13"/>
  <c r="HL22" i="13"/>
  <c r="EZ22" i="13"/>
  <c r="CP22" i="13"/>
  <c r="AH22" i="13"/>
  <c r="HG22" i="13"/>
  <c r="EV22" i="13"/>
  <c r="CL22" i="13"/>
  <c r="AG22" i="13"/>
  <c r="GY22" i="13"/>
  <c r="EO22" i="13"/>
  <c r="CC22" i="13"/>
  <c r="W22" i="13"/>
  <c r="GX22" i="13"/>
  <c r="EJ22" i="13"/>
  <c r="CB22" i="13"/>
  <c r="T22" i="13"/>
  <c r="FZ22" i="13"/>
  <c r="DQ22" i="13"/>
  <c r="BH22" i="13"/>
  <c r="FU22" i="13"/>
  <c r="BZ22" i="13"/>
  <c r="FT22" i="13"/>
  <c r="BY22" i="13"/>
  <c r="FR22" i="13"/>
  <c r="BP22" i="13"/>
  <c r="FK22" i="13"/>
  <c r="BN22" i="13"/>
  <c r="FF22" i="13"/>
  <c r="BL22" i="13"/>
  <c r="EI22" i="13"/>
  <c r="BA22" i="13"/>
  <c r="EQ22" i="13"/>
  <c r="M22" i="13"/>
  <c r="ED22" i="13"/>
  <c r="L22" i="13"/>
  <c r="EC22" i="13"/>
  <c r="J22" i="13"/>
  <c r="DU22" i="13"/>
  <c r="G22" i="13"/>
  <c r="DS22" i="13"/>
  <c r="DN22" i="13"/>
  <c r="HB22" i="13"/>
  <c r="AX22" i="13"/>
  <c r="GZ22" i="13"/>
  <c r="AI22" i="13"/>
  <c r="GW22" i="13"/>
  <c r="AD22" i="13"/>
  <c r="GV22" i="13"/>
  <c r="X22" i="13"/>
  <c r="GN22" i="13"/>
  <c r="H22" i="13"/>
  <c r="GJ22" i="13"/>
  <c r="FS22" i="13"/>
  <c r="ER22" i="13"/>
  <c r="BE22" i="13"/>
  <c r="BB22" i="13"/>
  <c r="AY22" i="13"/>
  <c r="DO22" i="13"/>
  <c r="HM22" i="13"/>
  <c r="GI22" i="13"/>
  <c r="EB22" i="13"/>
  <c r="DP22" i="13"/>
  <c r="DF22" i="13"/>
  <c r="CR22" i="13"/>
  <c r="CK22" i="13"/>
  <c r="DE22" i="13"/>
  <c r="CH22" i="13"/>
  <c r="BX22" i="13"/>
  <c r="IA22" i="13"/>
  <c r="GD22" i="13"/>
  <c r="HZ44" i="13"/>
  <c r="HD44" i="13"/>
  <c r="GH44" i="13"/>
  <c r="FL44" i="13"/>
  <c r="EP44" i="13"/>
  <c r="DT44" i="13"/>
  <c r="CX44" i="13"/>
  <c r="CB44" i="13"/>
  <c r="BF44" i="13"/>
  <c r="AJ44" i="13"/>
  <c r="N44" i="13"/>
  <c r="HY44" i="13"/>
  <c r="HC44" i="13"/>
  <c r="GG44" i="13"/>
  <c r="FK44" i="13"/>
  <c r="EO44" i="13"/>
  <c r="DS44" i="13"/>
  <c r="CW44" i="13"/>
  <c r="CA44" i="13"/>
  <c r="BE44" i="13"/>
  <c r="AI44" i="13"/>
  <c r="M44" i="13"/>
  <c r="HX44" i="13"/>
  <c r="HB44" i="13"/>
  <c r="GF44" i="13"/>
  <c r="FJ44" i="13"/>
  <c r="EN44" i="13"/>
  <c r="DR44" i="13"/>
  <c r="CV44" i="13"/>
  <c r="BZ44" i="13"/>
  <c r="BD44" i="13"/>
  <c r="AH44" i="13"/>
  <c r="L44" i="13"/>
  <c r="HU44" i="13"/>
  <c r="GV44" i="13"/>
  <c r="FW44" i="13"/>
  <c r="EX44" i="13"/>
  <c r="DY44" i="13"/>
  <c r="CZ44" i="13"/>
  <c r="BX44" i="13"/>
  <c r="AY44" i="13"/>
  <c r="Z44" i="13"/>
  <c r="HT44" i="13"/>
  <c r="GU44" i="13"/>
  <c r="FV44" i="13"/>
  <c r="EW44" i="13"/>
  <c r="DX44" i="13"/>
  <c r="CY44" i="13"/>
  <c r="BW44" i="13"/>
  <c r="AX44" i="13"/>
  <c r="Y44" i="13"/>
  <c r="HR44" i="13"/>
  <c r="GS44" i="13"/>
  <c r="FT44" i="13"/>
  <c r="EU44" i="13"/>
  <c r="DV44" i="13"/>
  <c r="CT44" i="13"/>
  <c r="BU44" i="13"/>
  <c r="AV44" i="13"/>
  <c r="W44" i="13"/>
  <c r="HQ44" i="13"/>
  <c r="GR44" i="13"/>
  <c r="FS44" i="13"/>
  <c r="ET44" i="13"/>
  <c r="DU44" i="13"/>
  <c r="CS44" i="13"/>
  <c r="BT44" i="13"/>
  <c r="AU44" i="13"/>
  <c r="V44" i="13"/>
  <c r="HP44" i="13"/>
  <c r="GQ44" i="13"/>
  <c r="FR44" i="13"/>
  <c r="ES44" i="13"/>
  <c r="DQ44" i="13"/>
  <c r="CR44" i="13"/>
  <c r="BS44" i="13"/>
  <c r="AT44" i="13"/>
  <c r="U44" i="13"/>
  <c r="HO44" i="13"/>
  <c r="GP44" i="13"/>
  <c r="FQ44" i="13"/>
  <c r="ER44" i="13"/>
  <c r="DP44" i="13"/>
  <c r="CQ44" i="13"/>
  <c r="BR44" i="13"/>
  <c r="AS44" i="13"/>
  <c r="T44" i="13"/>
  <c r="HM44" i="13"/>
  <c r="GN44" i="13"/>
  <c r="FO44" i="13"/>
  <c r="EM44" i="13"/>
  <c r="DN44" i="13"/>
  <c r="CO44" i="13"/>
  <c r="BP44" i="13"/>
  <c r="HF44" i="13"/>
  <c r="FU44" i="13"/>
  <c r="EG44" i="13"/>
  <c r="DA44" i="13"/>
  <c r="BK44" i="13"/>
  <c r="AC44" i="13"/>
  <c r="HE44" i="13"/>
  <c r="FP44" i="13"/>
  <c r="EF44" i="13"/>
  <c r="CU44" i="13"/>
  <c r="BJ44" i="13"/>
  <c r="AB44" i="13"/>
  <c r="HA44" i="13"/>
  <c r="FN44" i="13"/>
  <c r="EE44" i="13"/>
  <c r="CP44" i="13"/>
  <c r="BI44" i="13"/>
  <c r="AA44" i="13"/>
  <c r="GX44" i="13"/>
  <c r="FH44" i="13"/>
  <c r="EB44" i="13"/>
  <c r="CL44" i="13"/>
  <c r="BC44" i="13"/>
  <c r="R44" i="13"/>
  <c r="HH44" i="13"/>
  <c r="FG44" i="13"/>
  <c r="DM44" i="13"/>
  <c r="CC44" i="13"/>
  <c r="AG44" i="13"/>
  <c r="HG44" i="13"/>
  <c r="FF44" i="13"/>
  <c r="DL44" i="13"/>
  <c r="BY44" i="13"/>
  <c r="AF44" i="13"/>
  <c r="GW44" i="13"/>
  <c r="FC44" i="13"/>
  <c r="DI44" i="13"/>
  <c r="BO44" i="13"/>
  <c r="X44" i="13"/>
  <c r="GT44" i="13"/>
  <c r="FB44" i="13"/>
  <c r="DH44" i="13"/>
  <c r="BN44" i="13"/>
  <c r="S44" i="13"/>
  <c r="GO44" i="13"/>
  <c r="FA44" i="13"/>
  <c r="DG44" i="13"/>
  <c r="BM44" i="13"/>
  <c r="Q44" i="13"/>
  <c r="GL44" i="13"/>
  <c r="EY44" i="13"/>
  <c r="DE44" i="13"/>
  <c r="BH44" i="13"/>
  <c r="O44" i="13"/>
  <c r="GK44" i="13"/>
  <c r="EV44" i="13"/>
  <c r="DD44" i="13"/>
  <c r="BG44" i="13"/>
  <c r="K44" i="13"/>
  <c r="GJ44" i="13"/>
  <c r="EQ44" i="13"/>
  <c r="DC44" i="13"/>
  <c r="BB44" i="13"/>
  <c r="J44" i="13"/>
  <c r="HV44" i="13"/>
  <c r="GB44" i="13"/>
  <c r="EH44" i="13"/>
  <c r="CJ44" i="13"/>
  <c r="AQ44" i="13"/>
  <c r="E44" i="13"/>
  <c r="FM44" i="13"/>
  <c r="CI44" i="13"/>
  <c r="I44" i="13"/>
  <c r="FI44" i="13"/>
  <c r="CH44" i="13"/>
  <c r="H44" i="13"/>
  <c r="FE44" i="13"/>
  <c r="CG44" i="13"/>
  <c r="G44" i="13"/>
  <c r="IA44" i="13"/>
  <c r="FD44" i="13"/>
  <c r="CF44" i="13"/>
  <c r="F44" i="13"/>
  <c r="HW44" i="13"/>
  <c r="EZ44" i="13"/>
  <c r="CE44" i="13"/>
  <c r="D44" i="13"/>
  <c r="HS44" i="13"/>
  <c r="EL44" i="13"/>
  <c r="CD44" i="13"/>
  <c r="HN44" i="13"/>
  <c r="EK44" i="13"/>
  <c r="BV44" i="13"/>
  <c r="HJ44" i="13"/>
  <c r="ED44" i="13"/>
  <c r="BA44" i="13"/>
  <c r="GD44" i="13"/>
  <c r="DJ44" i="13"/>
  <c r="AM44" i="13"/>
  <c r="EI44" i="13"/>
  <c r="AE44" i="13"/>
  <c r="EC44" i="13"/>
  <c r="AD44" i="13"/>
  <c r="DZ44" i="13"/>
  <c r="HL44" i="13"/>
  <c r="DB44" i="13"/>
  <c r="HK44" i="13"/>
  <c r="CN44" i="13"/>
  <c r="GM44" i="13"/>
  <c r="BL44" i="13"/>
  <c r="GE44" i="13"/>
  <c r="AW44" i="13"/>
  <c r="GC44" i="13"/>
  <c r="AR44" i="13"/>
  <c r="FZ44" i="13"/>
  <c r="FY44" i="13"/>
  <c r="FX44" i="13"/>
  <c r="EJ44" i="13"/>
  <c r="EA44" i="13"/>
  <c r="DW44" i="13"/>
  <c r="DK44" i="13"/>
  <c r="CM44" i="13"/>
  <c r="CK44" i="13"/>
  <c r="AN44" i="13"/>
  <c r="GA44" i="13"/>
  <c r="DO44" i="13"/>
  <c r="AP44" i="13"/>
  <c r="AL44" i="13"/>
  <c r="GY44" i="13"/>
  <c r="GI44" i="13"/>
  <c r="BQ44" i="13"/>
  <c r="AZ44" i="13"/>
  <c r="AK44" i="13"/>
  <c r="P44" i="13"/>
  <c r="GZ44" i="13"/>
  <c r="DF44" i="13"/>
  <c r="HI44" i="13"/>
  <c r="AO44" i="13"/>
  <c r="IA66" i="13"/>
  <c r="HE66" i="13"/>
  <c r="GI66" i="13"/>
  <c r="FM66" i="13"/>
  <c r="EQ66" i="13"/>
  <c r="DU66" i="13"/>
  <c r="CY66" i="13"/>
  <c r="CC66" i="13"/>
  <c r="BG66" i="13"/>
  <c r="AK66" i="13"/>
  <c r="O66" i="13"/>
  <c r="HZ66" i="13"/>
  <c r="HD66" i="13"/>
  <c r="GH66" i="13"/>
  <c r="FL66" i="13"/>
  <c r="EP66" i="13"/>
  <c r="DT66" i="13"/>
  <c r="CX66" i="13"/>
  <c r="CB66" i="13"/>
  <c r="BF66" i="13"/>
  <c r="AJ66" i="13"/>
  <c r="N66" i="13"/>
  <c r="HX66" i="13"/>
  <c r="HB66" i="13"/>
  <c r="GF66" i="13"/>
  <c r="FJ66" i="13"/>
  <c r="EN66" i="13"/>
  <c r="DR66" i="13"/>
  <c r="CV66" i="13"/>
  <c r="BZ66" i="13"/>
  <c r="BD66" i="13"/>
  <c r="AH66" i="13"/>
  <c r="L66" i="13"/>
  <c r="HV66" i="13"/>
  <c r="GZ66" i="13"/>
  <c r="GD66" i="13"/>
  <c r="FH66" i="13"/>
  <c r="EL66" i="13"/>
  <c r="DP66" i="13"/>
  <c r="CT66" i="13"/>
  <c r="BX66" i="13"/>
  <c r="BB66" i="13"/>
  <c r="AF66" i="13"/>
  <c r="J66" i="13"/>
  <c r="HS66" i="13"/>
  <c r="HY66" i="13"/>
  <c r="GV66" i="13"/>
  <c r="FV66" i="13"/>
  <c r="EV66" i="13"/>
  <c r="DV66" i="13"/>
  <c r="CR66" i="13"/>
  <c r="BR66" i="13"/>
  <c r="AR66" i="13"/>
  <c r="R66" i="13"/>
  <c r="HW66" i="13"/>
  <c r="GU66" i="13"/>
  <c r="FU66" i="13"/>
  <c r="EU66" i="13"/>
  <c r="DS66" i="13"/>
  <c r="CQ66" i="13"/>
  <c r="BQ66" i="13"/>
  <c r="AQ66" i="13"/>
  <c r="Q66" i="13"/>
  <c r="HT66" i="13"/>
  <c r="GS66" i="13"/>
  <c r="FS66" i="13"/>
  <c r="ES66" i="13"/>
  <c r="DO66" i="13"/>
  <c r="CO66" i="13"/>
  <c r="BO66" i="13"/>
  <c r="AO66" i="13"/>
  <c r="M66" i="13"/>
  <c r="HQ66" i="13"/>
  <c r="GQ66" i="13"/>
  <c r="FQ66" i="13"/>
  <c r="EO66" i="13"/>
  <c r="DM66" i="13"/>
  <c r="CM66" i="13"/>
  <c r="BM66" i="13"/>
  <c r="AM66" i="13"/>
  <c r="I66" i="13"/>
  <c r="HP66" i="13"/>
  <c r="GP66" i="13"/>
  <c r="FP66" i="13"/>
  <c r="EM66" i="13"/>
  <c r="DL66" i="13"/>
  <c r="CL66" i="13"/>
  <c r="BL66" i="13"/>
  <c r="AL66" i="13"/>
  <c r="H66" i="13"/>
  <c r="HN66" i="13"/>
  <c r="GG66" i="13"/>
  <c r="EZ66" i="13"/>
  <c r="DN66" i="13"/>
  <c r="CG66" i="13"/>
  <c r="AX66" i="13"/>
  <c r="S66" i="13"/>
  <c r="HM66" i="13"/>
  <c r="GE66" i="13"/>
  <c r="EY66" i="13"/>
  <c r="DK66" i="13"/>
  <c r="CF66" i="13"/>
  <c r="AW66" i="13"/>
  <c r="P66" i="13"/>
  <c r="HL66" i="13"/>
  <c r="GC66" i="13"/>
  <c r="EX66" i="13"/>
  <c r="DJ66" i="13"/>
  <c r="CE66" i="13"/>
  <c r="AV66" i="13"/>
  <c r="K66" i="13"/>
  <c r="HI66" i="13"/>
  <c r="FZ66" i="13"/>
  <c r="ER66" i="13"/>
  <c r="DG66" i="13"/>
  <c r="BY66" i="13"/>
  <c r="AS66" i="13"/>
  <c r="E66" i="13"/>
  <c r="HK66" i="13"/>
  <c r="FW66" i="13"/>
  <c r="EE66" i="13"/>
  <c r="CP66" i="13"/>
  <c r="AZ66" i="13"/>
  <c r="D66" i="13"/>
  <c r="HJ66" i="13"/>
  <c r="FT66" i="13"/>
  <c r="ED66" i="13"/>
  <c r="CN66" i="13"/>
  <c r="AY66" i="13"/>
  <c r="HH66" i="13"/>
  <c r="FR66" i="13"/>
  <c r="EC66" i="13"/>
  <c r="CK66" i="13"/>
  <c r="AU66" i="13"/>
  <c r="HG66" i="13"/>
  <c r="FO66" i="13"/>
  <c r="EB66" i="13"/>
  <c r="CJ66" i="13"/>
  <c r="AT66" i="13"/>
  <c r="HC66" i="13"/>
  <c r="FK66" i="13"/>
  <c r="DZ66" i="13"/>
  <c r="CH66" i="13"/>
  <c r="AN66" i="13"/>
  <c r="HR66" i="13"/>
  <c r="HF66" i="13"/>
  <c r="FD66" i="13"/>
  <c r="DC66" i="13"/>
  <c r="BC66" i="13"/>
  <c r="HA66" i="13"/>
  <c r="FC66" i="13"/>
  <c r="DB66" i="13"/>
  <c r="BA66" i="13"/>
  <c r="GY66" i="13"/>
  <c r="FB66" i="13"/>
  <c r="DA66" i="13"/>
  <c r="AP66" i="13"/>
  <c r="GX66" i="13"/>
  <c r="FA66" i="13"/>
  <c r="CZ66" i="13"/>
  <c r="AI66" i="13"/>
  <c r="GT66" i="13"/>
  <c r="ET66" i="13"/>
  <c r="CU66" i="13"/>
  <c r="AE66" i="13"/>
  <c r="GR66" i="13"/>
  <c r="EF66" i="13"/>
  <c r="BN66" i="13"/>
  <c r="GO66" i="13"/>
  <c r="EA66" i="13"/>
  <c r="BK66" i="13"/>
  <c r="GN66" i="13"/>
  <c r="DY66" i="13"/>
  <c r="BJ66" i="13"/>
  <c r="GM66" i="13"/>
  <c r="DX66" i="13"/>
  <c r="BI66" i="13"/>
  <c r="GB66" i="13"/>
  <c r="DH66" i="13"/>
  <c r="AD66" i="13"/>
  <c r="HU66" i="13"/>
  <c r="DI66" i="13"/>
  <c r="Y66" i="13"/>
  <c r="GL66" i="13"/>
  <c r="DD66" i="13"/>
  <c r="V66" i="13"/>
  <c r="GK66" i="13"/>
  <c r="CW66" i="13"/>
  <c r="U66" i="13"/>
  <c r="GJ66" i="13"/>
  <c r="CS66" i="13"/>
  <c r="T66" i="13"/>
  <c r="GA66" i="13"/>
  <c r="CI66" i="13"/>
  <c r="G66" i="13"/>
  <c r="GW66" i="13"/>
  <c r="BU66" i="13"/>
  <c r="FY66" i="13"/>
  <c r="BT66" i="13"/>
  <c r="FX66" i="13"/>
  <c r="BS66" i="13"/>
  <c r="FN66" i="13"/>
  <c r="BP66" i="13"/>
  <c r="FI66" i="13"/>
  <c r="BH66" i="13"/>
  <c r="FG66" i="13"/>
  <c r="BE66" i="13"/>
  <c r="FE66" i="13"/>
  <c r="AC66" i="13"/>
  <c r="HO66" i="13"/>
  <c r="F66" i="13"/>
  <c r="FF66" i="13"/>
  <c r="EK66" i="13"/>
  <c r="EJ66" i="13"/>
  <c r="EI66" i="13"/>
  <c r="EH66" i="13"/>
  <c r="DW66" i="13"/>
  <c r="EW66" i="13"/>
  <c r="EG66" i="13"/>
  <c r="DQ66" i="13"/>
  <c r="CD66" i="13"/>
  <c r="BV66" i="13"/>
  <c r="X66" i="13"/>
  <c r="DF66" i="13"/>
  <c r="DE66" i="13"/>
  <c r="AG66" i="13"/>
  <c r="AB66" i="13"/>
  <c r="AA66" i="13"/>
  <c r="W66" i="13"/>
  <c r="CA66" i="13"/>
  <c r="BW66" i="13"/>
  <c r="Z66" i="13"/>
  <c r="AB68" i="4"/>
  <c r="BB68" i="4"/>
  <c r="CB68" i="4"/>
  <c r="DB68" i="4"/>
  <c r="EC68" i="4"/>
  <c r="EC70" i="4" s="1"/>
  <c r="FG68" i="4"/>
  <c r="FG70" i="4" s="1"/>
  <c r="GH68" i="4"/>
  <c r="HJ68" i="4"/>
  <c r="S69" i="4"/>
  <c r="M21" i="7" s="1"/>
  <c r="AU69" i="4"/>
  <c r="M49" i="7" s="1"/>
  <c r="BY69" i="4"/>
  <c r="M79" i="7" s="1"/>
  <c r="DE69" i="4"/>
  <c r="EH69" i="4"/>
  <c r="M140" i="7" s="1"/>
  <c r="FO69" i="4"/>
  <c r="M173" i="7" s="1"/>
  <c r="GQ69" i="4"/>
  <c r="HT69" i="4"/>
  <c r="M230" i="7" s="1"/>
  <c r="M130" i="7"/>
  <c r="L148" i="7"/>
  <c r="M148" i="7"/>
  <c r="L222" i="7"/>
  <c r="FH13" i="13"/>
  <c r="L34" i="7"/>
  <c r="HR16" i="13"/>
  <c r="GV16" i="13"/>
  <c r="HI16" i="13"/>
  <c r="GL16" i="13"/>
  <c r="FP16" i="13"/>
  <c r="ET16" i="13"/>
  <c r="DX16" i="13"/>
  <c r="DB16" i="13"/>
  <c r="CF16" i="13"/>
  <c r="BJ16" i="13"/>
  <c r="AN16" i="13"/>
  <c r="R16" i="13"/>
  <c r="HH16" i="13"/>
  <c r="GK16" i="13"/>
  <c r="FO16" i="13"/>
  <c r="ES16" i="13"/>
  <c r="DW16" i="13"/>
  <c r="DA16" i="13"/>
  <c r="CE16" i="13"/>
  <c r="BI16" i="13"/>
  <c r="AM16" i="13"/>
  <c r="Q16" i="13"/>
  <c r="HX16" i="13"/>
  <c r="HA16" i="13"/>
  <c r="GD16" i="13"/>
  <c r="FH16" i="13"/>
  <c r="EL16" i="13"/>
  <c r="DP16" i="13"/>
  <c r="CT16" i="13"/>
  <c r="BX16" i="13"/>
  <c r="BB16" i="13"/>
  <c r="AF16" i="13"/>
  <c r="J16" i="13"/>
  <c r="HW16" i="13"/>
  <c r="GZ16" i="13"/>
  <c r="GC16" i="13"/>
  <c r="FG16" i="13"/>
  <c r="HF16" i="13"/>
  <c r="GE16" i="13"/>
  <c r="FC16" i="13"/>
  <c r="ED16" i="13"/>
  <c r="DE16" i="13"/>
  <c r="CD16" i="13"/>
  <c r="BE16" i="13"/>
  <c r="AE16" i="13"/>
  <c r="F16" i="13"/>
  <c r="HE16" i="13"/>
  <c r="GB16" i="13"/>
  <c r="FB16" i="13"/>
  <c r="EC16" i="13"/>
  <c r="DD16" i="13"/>
  <c r="CC16" i="13"/>
  <c r="BD16" i="13"/>
  <c r="AD16" i="13"/>
  <c r="E16" i="13"/>
  <c r="HY16" i="13"/>
  <c r="GU16" i="13"/>
  <c r="FU16" i="13"/>
  <c r="EU16" i="13"/>
  <c r="DT16" i="13"/>
  <c r="CU16" i="13"/>
  <c r="BU16" i="13"/>
  <c r="AV16" i="13"/>
  <c r="W16" i="13"/>
  <c r="HV16" i="13"/>
  <c r="GT16" i="13"/>
  <c r="FT16" i="13"/>
  <c r="ER16" i="13"/>
  <c r="DS16" i="13"/>
  <c r="CS16" i="13"/>
  <c r="BT16" i="13"/>
  <c r="AU16" i="13"/>
  <c r="V16" i="13"/>
  <c r="HQ16" i="13"/>
  <c r="GP16" i="13"/>
  <c r="FN16" i="13"/>
  <c r="EN16" i="13"/>
  <c r="DN16" i="13"/>
  <c r="CO16" i="13"/>
  <c r="BP16" i="13"/>
  <c r="AQ16" i="13"/>
  <c r="P16" i="13"/>
  <c r="HO16" i="13"/>
  <c r="GN16" i="13"/>
  <c r="FL16" i="13"/>
  <c r="EK16" i="13"/>
  <c r="DL16" i="13"/>
  <c r="HN16" i="13"/>
  <c r="GM16" i="13"/>
  <c r="FK16" i="13"/>
  <c r="EJ16" i="13"/>
  <c r="HC16" i="13"/>
  <c r="FQ16" i="13"/>
  <c r="EB16" i="13"/>
  <c r="CR16" i="13"/>
  <c r="BM16" i="13"/>
  <c r="AG16" i="13"/>
  <c r="HB16" i="13"/>
  <c r="FM16" i="13"/>
  <c r="EA16" i="13"/>
  <c r="CQ16" i="13"/>
  <c r="BL16" i="13"/>
  <c r="AC16" i="13"/>
  <c r="GY16" i="13"/>
  <c r="FJ16" i="13"/>
  <c r="DZ16" i="13"/>
  <c r="CP16" i="13"/>
  <c r="BK16" i="13"/>
  <c r="AB16" i="13"/>
  <c r="GW16" i="13"/>
  <c r="FF16" i="13"/>
  <c r="DV16" i="13"/>
  <c r="CM16" i="13"/>
  <c r="BG16" i="13"/>
  <c r="Z16" i="13"/>
  <c r="GS16" i="13"/>
  <c r="FE16" i="13"/>
  <c r="DU16" i="13"/>
  <c r="CL16" i="13"/>
  <c r="BF16" i="13"/>
  <c r="Y16" i="13"/>
  <c r="GO16" i="13"/>
  <c r="EZ16" i="13"/>
  <c r="DO16" i="13"/>
  <c r="CI16" i="13"/>
  <c r="AZ16" i="13"/>
  <c r="T16" i="13"/>
  <c r="GJ16" i="13"/>
  <c r="EY16" i="13"/>
  <c r="DM16" i="13"/>
  <c r="CH16" i="13"/>
  <c r="AY16" i="13"/>
  <c r="S16" i="13"/>
  <c r="HM16" i="13"/>
  <c r="FY16" i="13"/>
  <c r="EM16" i="13"/>
  <c r="DC16" i="13"/>
  <c r="BV16" i="13"/>
  <c r="AO16" i="13"/>
  <c r="H16" i="13"/>
  <c r="GI16" i="13"/>
  <c r="EG16" i="13"/>
  <c r="CA16" i="13"/>
  <c r="AH16" i="13"/>
  <c r="GH16" i="13"/>
  <c r="EF16" i="13"/>
  <c r="BZ16" i="13"/>
  <c r="AA16" i="13"/>
  <c r="GF16" i="13"/>
  <c r="DY16" i="13"/>
  <c r="BW16" i="13"/>
  <c r="U16" i="13"/>
  <c r="GA16" i="13"/>
  <c r="DR16" i="13"/>
  <c r="BS16" i="13"/>
  <c r="O16" i="13"/>
  <c r="FZ16" i="13"/>
  <c r="DQ16" i="13"/>
  <c r="BR16" i="13"/>
  <c r="N16" i="13"/>
  <c r="IA16" i="13"/>
  <c r="FV16" i="13"/>
  <c r="DI16" i="13"/>
  <c r="BN16" i="13"/>
  <c r="K16" i="13"/>
  <c r="HL16" i="13"/>
  <c r="EI16" i="13"/>
  <c r="BC16" i="13"/>
  <c r="HK16" i="13"/>
  <c r="EH16" i="13"/>
  <c r="BA16" i="13"/>
  <c r="HJ16" i="13"/>
  <c r="EE16" i="13"/>
  <c r="AX16" i="13"/>
  <c r="HD16" i="13"/>
  <c r="DJ16" i="13"/>
  <c r="AT16" i="13"/>
  <c r="GX16" i="13"/>
  <c r="DH16" i="13"/>
  <c r="AS16" i="13"/>
  <c r="GG16" i="13"/>
  <c r="CZ16" i="13"/>
  <c r="AL16" i="13"/>
  <c r="EO16" i="13"/>
  <c r="AI16" i="13"/>
  <c r="DK16" i="13"/>
  <c r="X16" i="13"/>
  <c r="HZ16" i="13"/>
  <c r="DG16" i="13"/>
  <c r="M16" i="13"/>
  <c r="HU16" i="13"/>
  <c r="DF16" i="13"/>
  <c r="L16" i="13"/>
  <c r="HT16" i="13"/>
  <c r="CY16" i="13"/>
  <c r="I16" i="13"/>
  <c r="HS16" i="13"/>
  <c r="CX16" i="13"/>
  <c r="G16" i="13"/>
  <c r="GR16" i="13"/>
  <c r="CN16" i="13"/>
  <c r="GQ16" i="13"/>
  <c r="CK16" i="13"/>
  <c r="CW16" i="13"/>
  <c r="CV16" i="13"/>
  <c r="CJ16" i="13"/>
  <c r="CG16" i="13"/>
  <c r="CB16" i="13"/>
  <c r="BY16" i="13"/>
  <c r="HP16" i="13"/>
  <c r="BH16" i="13"/>
  <c r="FD16" i="13"/>
  <c r="HG16" i="13"/>
  <c r="FX16" i="13"/>
  <c r="FS16" i="13"/>
  <c r="FR16" i="13"/>
  <c r="FI16" i="13"/>
  <c r="EX16" i="13"/>
  <c r="EW16" i="13"/>
  <c r="BQ16" i="13"/>
  <c r="BO16" i="13"/>
  <c r="AW16" i="13"/>
  <c r="AR16" i="13"/>
  <c r="AP16" i="13"/>
  <c r="AK16" i="13"/>
  <c r="AJ16" i="13"/>
  <c r="D16" i="13"/>
  <c r="EV16" i="13"/>
  <c r="EQ16" i="13"/>
  <c r="EP16" i="13"/>
  <c r="FA16" i="13"/>
  <c r="HI38" i="13"/>
  <c r="GM38" i="13"/>
  <c r="FQ38" i="13"/>
  <c r="EU38" i="13"/>
  <c r="DY38" i="13"/>
  <c r="DC38" i="13"/>
  <c r="CG38" i="13"/>
  <c r="BK38" i="13"/>
  <c r="AO38" i="13"/>
  <c r="S38" i="13"/>
  <c r="IA38" i="13"/>
  <c r="HE38" i="13"/>
  <c r="GI38" i="13"/>
  <c r="FM38" i="13"/>
  <c r="EQ38" i="13"/>
  <c r="DU38" i="13"/>
  <c r="CY38" i="13"/>
  <c r="CC38" i="13"/>
  <c r="BG38" i="13"/>
  <c r="AK38" i="13"/>
  <c r="O38" i="13"/>
  <c r="HZ38" i="13"/>
  <c r="HD38" i="13"/>
  <c r="GH38" i="13"/>
  <c r="FL38" i="13"/>
  <c r="EP38" i="13"/>
  <c r="DT38" i="13"/>
  <c r="CX38" i="13"/>
  <c r="CB38" i="13"/>
  <c r="BF38" i="13"/>
  <c r="AJ38" i="13"/>
  <c r="N38" i="13"/>
  <c r="HW38" i="13"/>
  <c r="GX38" i="13"/>
  <c r="FY38" i="13"/>
  <c r="EZ38" i="13"/>
  <c r="EA38" i="13"/>
  <c r="DA38" i="13"/>
  <c r="BZ38" i="13"/>
  <c r="BA38" i="13"/>
  <c r="AB38" i="13"/>
  <c r="HS38" i="13"/>
  <c r="GT38" i="13"/>
  <c r="FU38" i="13"/>
  <c r="EV38" i="13"/>
  <c r="DV38" i="13"/>
  <c r="HR38" i="13"/>
  <c r="GS38" i="13"/>
  <c r="FT38" i="13"/>
  <c r="ET38" i="13"/>
  <c r="DS38" i="13"/>
  <c r="CT38" i="13"/>
  <c r="BU38" i="13"/>
  <c r="AV38" i="13"/>
  <c r="W38" i="13"/>
  <c r="HQ38" i="13"/>
  <c r="GR38" i="13"/>
  <c r="FS38" i="13"/>
  <c r="ES38" i="13"/>
  <c r="DR38" i="13"/>
  <c r="CS38" i="13"/>
  <c r="BT38" i="13"/>
  <c r="AU38" i="13"/>
  <c r="V38" i="13"/>
  <c r="HO38" i="13"/>
  <c r="GP38" i="13"/>
  <c r="FP38" i="13"/>
  <c r="EO38" i="13"/>
  <c r="DP38" i="13"/>
  <c r="CQ38" i="13"/>
  <c r="BR38" i="13"/>
  <c r="AS38" i="13"/>
  <c r="T38" i="13"/>
  <c r="HM38" i="13"/>
  <c r="HL38" i="13"/>
  <c r="GE38" i="13"/>
  <c r="FA38" i="13"/>
  <c r="DO38" i="13"/>
  <c r="CL38" i="13"/>
  <c r="BH38" i="13"/>
  <c r="AC38" i="13"/>
  <c r="HK38" i="13"/>
  <c r="GD38" i="13"/>
  <c r="EY38" i="13"/>
  <c r="DN38" i="13"/>
  <c r="CK38" i="13"/>
  <c r="BE38" i="13"/>
  <c r="AA38" i="13"/>
  <c r="HJ38" i="13"/>
  <c r="GC38" i="13"/>
  <c r="EX38" i="13"/>
  <c r="DM38" i="13"/>
  <c r="CJ38" i="13"/>
  <c r="BD38" i="13"/>
  <c r="Z38" i="13"/>
  <c r="HH38" i="13"/>
  <c r="GB38" i="13"/>
  <c r="EW38" i="13"/>
  <c r="DL38" i="13"/>
  <c r="CI38" i="13"/>
  <c r="BC38" i="13"/>
  <c r="Y38" i="13"/>
  <c r="HG38" i="13"/>
  <c r="GA38" i="13"/>
  <c r="ER38" i="13"/>
  <c r="DK38" i="13"/>
  <c r="CH38" i="13"/>
  <c r="BB38" i="13"/>
  <c r="X38" i="13"/>
  <c r="HF38" i="13"/>
  <c r="FZ38" i="13"/>
  <c r="EN38" i="13"/>
  <c r="DJ38" i="13"/>
  <c r="CF38" i="13"/>
  <c r="AZ38" i="13"/>
  <c r="U38" i="13"/>
  <c r="HC38" i="13"/>
  <c r="FX38" i="13"/>
  <c r="EM38" i="13"/>
  <c r="DI38" i="13"/>
  <c r="CE38" i="13"/>
  <c r="AY38" i="13"/>
  <c r="R38" i="13"/>
  <c r="GZ38" i="13"/>
  <c r="FR38" i="13"/>
  <c r="EJ38" i="13"/>
  <c r="DF38" i="13"/>
  <c r="BY38" i="13"/>
  <c r="AT38" i="13"/>
  <c r="M38" i="13"/>
  <c r="GV38" i="13"/>
  <c r="FC38" i="13"/>
  <c r="CW38" i="13"/>
  <c r="AX38" i="13"/>
  <c r="F38" i="13"/>
  <c r="GU38" i="13"/>
  <c r="FB38" i="13"/>
  <c r="CV38" i="13"/>
  <c r="AW38" i="13"/>
  <c r="E38" i="13"/>
  <c r="GO38" i="13"/>
  <c r="EK38" i="13"/>
  <c r="CR38" i="13"/>
  <c r="AQ38" i="13"/>
  <c r="GG38" i="13"/>
  <c r="EE38" i="13"/>
  <c r="CD38" i="13"/>
  <c r="AI38" i="13"/>
  <c r="GF38" i="13"/>
  <c r="ED38" i="13"/>
  <c r="CA38" i="13"/>
  <c r="AH38" i="13"/>
  <c r="HV38" i="13"/>
  <c r="FN38" i="13"/>
  <c r="DX38" i="13"/>
  <c r="BS38" i="13"/>
  <c r="AD38" i="13"/>
  <c r="HT38" i="13"/>
  <c r="FJ38" i="13"/>
  <c r="DQ38" i="13"/>
  <c r="BP38" i="13"/>
  <c r="P38" i="13"/>
  <c r="HP38" i="13"/>
  <c r="FI38" i="13"/>
  <c r="DH38" i="13"/>
  <c r="BO38" i="13"/>
  <c r="L38" i="13"/>
  <c r="FE38" i="13"/>
  <c r="BW38" i="13"/>
  <c r="D38" i="13"/>
  <c r="FD38" i="13"/>
  <c r="BV38" i="13"/>
  <c r="HY38" i="13"/>
  <c r="EL38" i="13"/>
  <c r="BQ38" i="13"/>
  <c r="HX38" i="13"/>
  <c r="EI38" i="13"/>
  <c r="BN38" i="13"/>
  <c r="HU38" i="13"/>
  <c r="EH38" i="13"/>
  <c r="BM38" i="13"/>
  <c r="HN38" i="13"/>
  <c r="EG38" i="13"/>
  <c r="BL38" i="13"/>
  <c r="HA38" i="13"/>
  <c r="EC38" i="13"/>
  <c r="BI38" i="13"/>
  <c r="GW38" i="13"/>
  <c r="DZ38" i="13"/>
  <c r="AP38" i="13"/>
  <c r="GQ38" i="13"/>
  <c r="DW38" i="13"/>
  <c r="AN38" i="13"/>
  <c r="FW38" i="13"/>
  <c r="CZ38" i="13"/>
  <c r="AE38" i="13"/>
  <c r="GY38" i="13"/>
  <c r="BX38" i="13"/>
  <c r="GN38" i="13"/>
  <c r="BJ38" i="13"/>
  <c r="GL38" i="13"/>
  <c r="AR38" i="13"/>
  <c r="GK38" i="13"/>
  <c r="AM38" i="13"/>
  <c r="FH38" i="13"/>
  <c r="K38" i="13"/>
  <c r="FG38" i="13"/>
  <c r="J38" i="13"/>
  <c r="DG38" i="13"/>
  <c r="DD38" i="13"/>
  <c r="EF38" i="13"/>
  <c r="EB38" i="13"/>
  <c r="DB38" i="13"/>
  <c r="CU38" i="13"/>
  <c r="CM38" i="13"/>
  <c r="AL38" i="13"/>
  <c r="I38" i="13"/>
  <c r="G38" i="13"/>
  <c r="HB38" i="13"/>
  <c r="FF38" i="13"/>
  <c r="DE38" i="13"/>
  <c r="AG38" i="13"/>
  <c r="Q38" i="13"/>
  <c r="H38" i="13"/>
  <c r="CO38" i="13"/>
  <c r="CN38" i="13"/>
  <c r="AF38" i="13"/>
  <c r="GJ38" i="13"/>
  <c r="FV38" i="13"/>
  <c r="CP38" i="13"/>
  <c r="FO38" i="13"/>
  <c r="HZ60" i="13"/>
  <c r="HD60" i="13"/>
  <c r="GH60" i="13"/>
  <c r="FL60" i="13"/>
  <c r="EP60" i="13"/>
  <c r="DT60" i="13"/>
  <c r="CX60" i="13"/>
  <c r="CB60" i="13"/>
  <c r="BF60" i="13"/>
  <c r="AJ60" i="13"/>
  <c r="N60" i="13"/>
  <c r="HJ60" i="13"/>
  <c r="GM60" i="13"/>
  <c r="FP60" i="13"/>
  <c r="ES60" i="13"/>
  <c r="DV60" i="13"/>
  <c r="CY60" i="13"/>
  <c r="CA60" i="13"/>
  <c r="BD60" i="13"/>
  <c r="AG60" i="13"/>
  <c r="J60" i="13"/>
  <c r="HG60" i="13"/>
  <c r="GJ60" i="13"/>
  <c r="FM60" i="13"/>
  <c r="EO60" i="13"/>
  <c r="DR60" i="13"/>
  <c r="CU60" i="13"/>
  <c r="BX60" i="13"/>
  <c r="BA60" i="13"/>
  <c r="AD60" i="13"/>
  <c r="G60" i="13"/>
  <c r="HE60" i="13"/>
  <c r="GG60" i="13"/>
  <c r="IA60" i="13"/>
  <c r="HC60" i="13"/>
  <c r="GF60" i="13"/>
  <c r="FI60" i="13"/>
  <c r="EL60" i="13"/>
  <c r="DO60" i="13"/>
  <c r="CR60" i="13"/>
  <c r="BU60" i="13"/>
  <c r="AX60" i="13"/>
  <c r="AA60" i="13"/>
  <c r="D60" i="13"/>
  <c r="HS60" i="13"/>
  <c r="GR60" i="13"/>
  <c r="FQ60" i="13"/>
  <c r="EN60" i="13"/>
  <c r="DM60" i="13"/>
  <c r="CM60" i="13"/>
  <c r="BM60" i="13"/>
  <c r="AM60" i="13"/>
  <c r="L60" i="13"/>
  <c r="HR60" i="13"/>
  <c r="GQ60" i="13"/>
  <c r="FO60" i="13"/>
  <c r="EM60" i="13"/>
  <c r="DL60" i="13"/>
  <c r="CL60" i="13"/>
  <c r="BL60" i="13"/>
  <c r="AL60" i="13"/>
  <c r="K60" i="13"/>
  <c r="HQ60" i="13"/>
  <c r="GP60" i="13"/>
  <c r="FN60" i="13"/>
  <c r="EK60" i="13"/>
  <c r="DK60" i="13"/>
  <c r="CK60" i="13"/>
  <c r="BK60" i="13"/>
  <c r="AK60" i="13"/>
  <c r="I60" i="13"/>
  <c r="HF60" i="13"/>
  <c r="FY60" i="13"/>
  <c r="EV60" i="13"/>
  <c r="DP60" i="13"/>
  <c r="CI60" i="13"/>
  <c r="BE60" i="13"/>
  <c r="Y60" i="13"/>
  <c r="HB60" i="13"/>
  <c r="FX60" i="13"/>
  <c r="EU60" i="13"/>
  <c r="DN60" i="13"/>
  <c r="CH60" i="13"/>
  <c r="BC60" i="13"/>
  <c r="X60" i="13"/>
  <c r="HA60" i="13"/>
  <c r="FW60" i="13"/>
  <c r="ET60" i="13"/>
  <c r="DJ60" i="13"/>
  <c r="CG60" i="13"/>
  <c r="BB60" i="13"/>
  <c r="W60" i="13"/>
  <c r="GZ60" i="13"/>
  <c r="FV60" i="13"/>
  <c r="ER60" i="13"/>
  <c r="DI60" i="13"/>
  <c r="CF60" i="13"/>
  <c r="AZ60" i="13"/>
  <c r="V60" i="13"/>
  <c r="GX60" i="13"/>
  <c r="FT60" i="13"/>
  <c r="EJ60" i="13"/>
  <c r="DG60" i="13"/>
  <c r="CD60" i="13"/>
  <c r="AW60" i="13"/>
  <c r="T60" i="13"/>
  <c r="GU60" i="13"/>
  <c r="FE60" i="13"/>
  <c r="DW60" i="13"/>
  <c r="CC60" i="13"/>
  <c r="AQ60" i="13"/>
  <c r="GT60" i="13"/>
  <c r="FD60" i="13"/>
  <c r="DU60" i="13"/>
  <c r="BZ60" i="13"/>
  <c r="AP60" i="13"/>
  <c r="GS60" i="13"/>
  <c r="FC60" i="13"/>
  <c r="DS60" i="13"/>
  <c r="BY60" i="13"/>
  <c r="AO60" i="13"/>
  <c r="GO60" i="13"/>
  <c r="FB60" i="13"/>
  <c r="DQ60" i="13"/>
  <c r="BW60" i="13"/>
  <c r="AN60" i="13"/>
  <c r="HY60" i="13"/>
  <c r="GL60" i="13"/>
  <c r="EZ60" i="13"/>
  <c r="DF60" i="13"/>
  <c r="BT60" i="13"/>
  <c r="AH60" i="13"/>
  <c r="HW60" i="13"/>
  <c r="GA60" i="13"/>
  <c r="EB60" i="13"/>
  <c r="BV60" i="13"/>
  <c r="Z60" i="13"/>
  <c r="HV60" i="13"/>
  <c r="FZ60" i="13"/>
  <c r="EA60" i="13"/>
  <c r="BS60" i="13"/>
  <c r="U60" i="13"/>
  <c r="HU60" i="13"/>
  <c r="FU60" i="13"/>
  <c r="DZ60" i="13"/>
  <c r="BR60" i="13"/>
  <c r="S60" i="13"/>
  <c r="HT60" i="13"/>
  <c r="FS60" i="13"/>
  <c r="DY60" i="13"/>
  <c r="BQ60" i="13"/>
  <c r="R60" i="13"/>
  <c r="HM60" i="13"/>
  <c r="FH60" i="13"/>
  <c r="DD60" i="13"/>
  <c r="BJ60" i="13"/>
  <c r="M60" i="13"/>
  <c r="GI60" i="13"/>
  <c r="DX60" i="13"/>
  <c r="BG60" i="13"/>
  <c r="GC60" i="13"/>
  <c r="DC60" i="13"/>
  <c r="AU60" i="13"/>
  <c r="GB60" i="13"/>
  <c r="DB60" i="13"/>
  <c r="AT60" i="13"/>
  <c r="FR60" i="13"/>
  <c r="DA60" i="13"/>
  <c r="AS60" i="13"/>
  <c r="FF60" i="13"/>
  <c r="CO60" i="13"/>
  <c r="E60" i="13"/>
  <c r="FA60" i="13"/>
  <c r="CN60" i="13"/>
  <c r="EY60" i="13"/>
  <c r="CJ60" i="13"/>
  <c r="EX60" i="13"/>
  <c r="CE60" i="13"/>
  <c r="HX60" i="13"/>
  <c r="EW60" i="13"/>
  <c r="BP60" i="13"/>
  <c r="HP60" i="13"/>
  <c r="EQ60" i="13"/>
  <c r="BO60" i="13"/>
  <c r="HN60" i="13"/>
  <c r="EH60" i="13"/>
  <c r="HO60" i="13"/>
  <c r="DE60" i="13"/>
  <c r="H60" i="13"/>
  <c r="HL60" i="13"/>
  <c r="CZ60" i="13"/>
  <c r="F60" i="13"/>
  <c r="HI60" i="13"/>
  <c r="CV60" i="13"/>
  <c r="HH60" i="13"/>
  <c r="CT60" i="13"/>
  <c r="GY60" i="13"/>
  <c r="CS60" i="13"/>
  <c r="GW60" i="13"/>
  <c r="CQ60" i="13"/>
  <c r="GN60" i="13"/>
  <c r="BN60" i="13"/>
  <c r="BI60" i="13"/>
  <c r="BH60" i="13"/>
  <c r="AY60" i="13"/>
  <c r="HK60" i="13"/>
  <c r="AI60" i="13"/>
  <c r="GE60" i="13"/>
  <c r="AC60" i="13"/>
  <c r="EE60" i="13"/>
  <c r="ED60" i="13"/>
  <c r="CW60" i="13"/>
  <c r="CP60" i="13"/>
  <c r="AV60" i="13"/>
  <c r="AF60" i="13"/>
  <c r="AE60" i="13"/>
  <c r="AB60" i="13"/>
  <c r="GD60" i="13"/>
  <c r="EF60" i="13"/>
  <c r="EC60" i="13"/>
  <c r="DH60" i="13"/>
  <c r="AR60" i="13"/>
  <c r="Q60" i="13"/>
  <c r="P60" i="13"/>
  <c r="O60" i="13"/>
  <c r="GK60" i="13"/>
  <c r="FK60" i="13"/>
  <c r="FJ60" i="13"/>
  <c r="GV60" i="13"/>
  <c r="FG60" i="13"/>
  <c r="EI60" i="13"/>
  <c r="EG60" i="13"/>
  <c r="M58" i="7"/>
  <c r="L58" i="7"/>
  <c r="L175" i="7"/>
  <c r="M194" i="7"/>
  <c r="HY9" i="13"/>
  <c r="HC9" i="13"/>
  <c r="GG9" i="13"/>
  <c r="FK9" i="13"/>
  <c r="EO9" i="13"/>
  <c r="DS9" i="13"/>
  <c r="CW9" i="13"/>
  <c r="CA9" i="13"/>
  <c r="BE9" i="13"/>
  <c r="AI9" i="13"/>
  <c r="M9" i="13"/>
  <c r="HX9" i="13"/>
  <c r="HB9" i="13"/>
  <c r="GF9" i="13"/>
  <c r="FJ9" i="13"/>
  <c r="EN9" i="13"/>
  <c r="HQ9" i="13"/>
  <c r="GU9" i="13"/>
  <c r="FY9" i="13"/>
  <c r="FC9" i="13"/>
  <c r="EG9" i="13"/>
  <c r="HP9" i="13"/>
  <c r="GT9" i="13"/>
  <c r="FX9" i="13"/>
  <c r="FB9" i="13"/>
  <c r="EF9" i="13"/>
  <c r="HM9" i="13"/>
  <c r="GM9" i="13"/>
  <c r="FM9" i="13"/>
  <c r="EK9" i="13"/>
  <c r="DL9" i="13"/>
  <c r="CO9" i="13"/>
  <c r="BR9" i="13"/>
  <c r="AU9" i="13"/>
  <c r="X9" i="13"/>
  <c r="HL9" i="13"/>
  <c r="GL9" i="13"/>
  <c r="FL9" i="13"/>
  <c r="EJ9" i="13"/>
  <c r="DK9" i="13"/>
  <c r="CN9" i="13"/>
  <c r="BQ9" i="13"/>
  <c r="AT9" i="13"/>
  <c r="W9" i="13"/>
  <c r="HK9" i="13"/>
  <c r="GK9" i="13"/>
  <c r="FI9" i="13"/>
  <c r="EI9" i="13"/>
  <c r="DJ9" i="13"/>
  <c r="CM9" i="13"/>
  <c r="BP9" i="13"/>
  <c r="HI9" i="13"/>
  <c r="GI9" i="13"/>
  <c r="FG9" i="13"/>
  <c r="EE9" i="13"/>
  <c r="DH9" i="13"/>
  <c r="CK9" i="13"/>
  <c r="BN9" i="13"/>
  <c r="AQ9" i="13"/>
  <c r="T9" i="13"/>
  <c r="HH9" i="13"/>
  <c r="GH9" i="13"/>
  <c r="FF9" i="13"/>
  <c r="ED9" i="13"/>
  <c r="DG9" i="13"/>
  <c r="CJ9" i="13"/>
  <c r="BM9" i="13"/>
  <c r="AP9" i="13"/>
  <c r="S9" i="13"/>
  <c r="HE9" i="13"/>
  <c r="GC9" i="13"/>
  <c r="FA9" i="13"/>
  <c r="EA9" i="13"/>
  <c r="DD9" i="13"/>
  <c r="CG9" i="13"/>
  <c r="BJ9" i="13"/>
  <c r="AM9" i="13"/>
  <c r="P9" i="13"/>
  <c r="HU9" i="13"/>
  <c r="GS9" i="13"/>
  <c r="FS9" i="13"/>
  <c r="ES9" i="13"/>
  <c r="DR9" i="13"/>
  <c r="CU9" i="13"/>
  <c r="BX9" i="13"/>
  <c r="BA9" i="13"/>
  <c r="AD9" i="13"/>
  <c r="G9" i="13"/>
  <c r="HA9" i="13"/>
  <c r="FQ9" i="13"/>
  <c r="DZ9" i="13"/>
  <c r="CT9" i="13"/>
  <c r="BK9" i="13"/>
  <c r="AF9" i="13"/>
  <c r="GZ9" i="13"/>
  <c r="FP9" i="13"/>
  <c r="DY9" i="13"/>
  <c r="CS9" i="13"/>
  <c r="BI9" i="13"/>
  <c r="AE9" i="13"/>
  <c r="GX9" i="13"/>
  <c r="FN9" i="13"/>
  <c r="DW9" i="13"/>
  <c r="CQ9" i="13"/>
  <c r="BG9" i="13"/>
  <c r="AB9" i="13"/>
  <c r="GW9" i="13"/>
  <c r="FH9" i="13"/>
  <c r="DV9" i="13"/>
  <c r="CP9" i="13"/>
  <c r="BF9" i="13"/>
  <c r="AA9" i="13"/>
  <c r="GV9" i="13"/>
  <c r="FE9" i="13"/>
  <c r="DU9" i="13"/>
  <c r="CL9" i="13"/>
  <c r="BD9" i="13"/>
  <c r="Z9" i="13"/>
  <c r="GP9" i="13"/>
  <c r="EY9" i="13"/>
  <c r="DP9" i="13"/>
  <c r="CF9" i="13"/>
  <c r="AZ9" i="13"/>
  <c r="U9" i="13"/>
  <c r="HG9" i="13"/>
  <c r="EX9" i="13"/>
  <c r="DC9" i="13"/>
  <c r="BL9" i="13"/>
  <c r="O9" i="13"/>
  <c r="HF9" i="13"/>
  <c r="EW9" i="13"/>
  <c r="DB9" i="13"/>
  <c r="BH9" i="13"/>
  <c r="N9" i="13"/>
  <c r="HD9" i="13"/>
  <c r="EV9" i="13"/>
  <c r="DA9" i="13"/>
  <c r="BC9" i="13"/>
  <c r="L9" i="13"/>
  <c r="GR9" i="13"/>
  <c r="ET9" i="13"/>
  <c r="CY9" i="13"/>
  <c r="AY9" i="13"/>
  <c r="J9" i="13"/>
  <c r="GQ9" i="13"/>
  <c r="ER9" i="13"/>
  <c r="CX9" i="13"/>
  <c r="AX9" i="13"/>
  <c r="I9" i="13"/>
  <c r="GJ9" i="13"/>
  <c r="EM9" i="13"/>
  <c r="CI9" i="13"/>
  <c r="AS9" i="13"/>
  <c r="E9" i="13"/>
  <c r="FU9" i="13"/>
  <c r="CZ9" i="13"/>
  <c r="AL9" i="13"/>
  <c r="FT9" i="13"/>
  <c r="CV9" i="13"/>
  <c r="AK9" i="13"/>
  <c r="IA9" i="13"/>
  <c r="FR9" i="13"/>
  <c r="CR9" i="13"/>
  <c r="AJ9" i="13"/>
  <c r="HZ9" i="13"/>
  <c r="FO9" i="13"/>
  <c r="CH9" i="13"/>
  <c r="AH9" i="13"/>
  <c r="HW9" i="13"/>
  <c r="FD9" i="13"/>
  <c r="CE9" i="13"/>
  <c r="AG9" i="13"/>
  <c r="HV9" i="13"/>
  <c r="EZ9" i="13"/>
  <c r="CD9" i="13"/>
  <c r="AC9" i="13"/>
  <c r="HR9" i="13"/>
  <c r="EP9" i="13"/>
  <c r="BZ9" i="13"/>
  <c r="R9" i="13"/>
  <c r="HO9" i="13"/>
  <c r="EL9" i="13"/>
  <c r="BY9" i="13"/>
  <c r="Q9" i="13"/>
  <c r="HT9" i="13"/>
  <c r="DO9" i="13"/>
  <c r="K9" i="13"/>
  <c r="HS9" i="13"/>
  <c r="DN9" i="13"/>
  <c r="H9" i="13"/>
  <c r="HJ9" i="13"/>
  <c r="DI9" i="13"/>
  <c r="D9" i="13"/>
  <c r="GY9" i="13"/>
  <c r="DF9" i="13"/>
  <c r="GO9" i="13"/>
  <c r="DE9" i="13"/>
  <c r="GD9" i="13"/>
  <c r="BW9" i="13"/>
  <c r="EQ9" i="13"/>
  <c r="AW9" i="13"/>
  <c r="FZ9" i="13"/>
  <c r="AN9" i="13"/>
  <c r="FW9" i="13"/>
  <c r="Y9" i="13"/>
  <c r="EU9" i="13"/>
  <c r="F9" i="13"/>
  <c r="EH9" i="13"/>
  <c r="EC9" i="13"/>
  <c r="DX9" i="13"/>
  <c r="DT9" i="13"/>
  <c r="V9" i="13"/>
  <c r="HN9" i="13"/>
  <c r="GN9" i="13"/>
  <c r="GE9" i="13"/>
  <c r="GB9" i="13"/>
  <c r="GA9" i="13"/>
  <c r="FV9" i="13"/>
  <c r="AV9" i="13"/>
  <c r="AR9" i="13"/>
  <c r="AO9" i="13"/>
  <c r="BV9" i="13"/>
  <c r="EB9" i="13"/>
  <c r="CB9" i="13"/>
  <c r="HL31" i="13"/>
  <c r="GP31" i="13"/>
  <c r="FT31" i="13"/>
  <c r="EX31" i="13"/>
  <c r="EB31" i="13"/>
  <c r="DF31" i="13"/>
  <c r="CJ31" i="13"/>
  <c r="BN31" i="13"/>
  <c r="AR31" i="13"/>
  <c r="V31" i="13"/>
  <c r="HP31" i="13"/>
  <c r="GS31" i="13"/>
  <c r="FV31" i="13"/>
  <c r="EY31" i="13"/>
  <c r="EA31" i="13"/>
  <c r="DD31" i="13"/>
  <c r="CG31" i="13"/>
  <c r="BJ31" i="13"/>
  <c r="AM31" i="13"/>
  <c r="P31" i="13"/>
  <c r="HO31" i="13"/>
  <c r="GR31" i="13"/>
  <c r="FU31" i="13"/>
  <c r="EW31" i="13"/>
  <c r="DZ31" i="13"/>
  <c r="DC31" i="13"/>
  <c r="CF31" i="13"/>
  <c r="BI31" i="13"/>
  <c r="AL31" i="13"/>
  <c r="O31" i="13"/>
  <c r="HM31" i="13"/>
  <c r="GO31" i="13"/>
  <c r="FR31" i="13"/>
  <c r="EU31" i="13"/>
  <c r="HG31" i="13"/>
  <c r="GJ31" i="13"/>
  <c r="FM31" i="13"/>
  <c r="EP31" i="13"/>
  <c r="DS31" i="13"/>
  <c r="CV31" i="13"/>
  <c r="BY31" i="13"/>
  <c r="BB31" i="13"/>
  <c r="AE31" i="13"/>
  <c r="H31" i="13"/>
  <c r="HF31" i="13"/>
  <c r="GI31" i="13"/>
  <c r="FL31" i="13"/>
  <c r="EO31" i="13"/>
  <c r="DR31" i="13"/>
  <c r="CU31" i="13"/>
  <c r="BX31" i="13"/>
  <c r="BA31" i="13"/>
  <c r="AD31" i="13"/>
  <c r="G31" i="13"/>
  <c r="HY31" i="13"/>
  <c r="HB31" i="13"/>
  <c r="GE31" i="13"/>
  <c r="FH31" i="13"/>
  <c r="HI31" i="13"/>
  <c r="GC31" i="13"/>
  <c r="EZ31" i="13"/>
  <c r="DU31" i="13"/>
  <c r="CR31" i="13"/>
  <c r="BQ31" i="13"/>
  <c r="AO31" i="13"/>
  <c r="L31" i="13"/>
  <c r="HH31" i="13"/>
  <c r="GB31" i="13"/>
  <c r="EV31" i="13"/>
  <c r="DT31" i="13"/>
  <c r="CQ31" i="13"/>
  <c r="BP31" i="13"/>
  <c r="AN31" i="13"/>
  <c r="K31" i="13"/>
  <c r="HD31" i="13"/>
  <c r="FZ31" i="13"/>
  <c r="ES31" i="13"/>
  <c r="DP31" i="13"/>
  <c r="CO31" i="13"/>
  <c r="BM31" i="13"/>
  <c r="AJ31" i="13"/>
  <c r="I31" i="13"/>
  <c r="HC31" i="13"/>
  <c r="FY31" i="13"/>
  <c r="ER31" i="13"/>
  <c r="DO31" i="13"/>
  <c r="CN31" i="13"/>
  <c r="BL31" i="13"/>
  <c r="AI31" i="13"/>
  <c r="F31" i="13"/>
  <c r="HA31" i="13"/>
  <c r="FX31" i="13"/>
  <c r="EQ31" i="13"/>
  <c r="DN31" i="13"/>
  <c r="CM31" i="13"/>
  <c r="BK31" i="13"/>
  <c r="AH31" i="13"/>
  <c r="E31" i="13"/>
  <c r="GY31" i="13"/>
  <c r="FS31" i="13"/>
  <c r="EM31" i="13"/>
  <c r="DL31" i="13"/>
  <c r="CK31" i="13"/>
  <c r="BG31" i="13"/>
  <c r="AF31" i="13"/>
  <c r="IA31" i="13"/>
  <c r="GW31" i="13"/>
  <c r="FP31" i="13"/>
  <c r="EK31" i="13"/>
  <c r="DJ31" i="13"/>
  <c r="CH31" i="13"/>
  <c r="BE31" i="13"/>
  <c r="AB31" i="13"/>
  <c r="HZ31" i="13"/>
  <c r="GV31" i="13"/>
  <c r="FO31" i="13"/>
  <c r="EJ31" i="13"/>
  <c r="DI31" i="13"/>
  <c r="CE31" i="13"/>
  <c r="BD31" i="13"/>
  <c r="AA31" i="13"/>
  <c r="HT31" i="13"/>
  <c r="GM31" i="13"/>
  <c r="FG31" i="13"/>
  <c r="EE31" i="13"/>
  <c r="DA31" i="13"/>
  <c r="BZ31" i="13"/>
  <c r="AW31" i="13"/>
  <c r="U31" i="13"/>
  <c r="HN31" i="13"/>
  <c r="FI31" i="13"/>
  <c r="DK31" i="13"/>
  <c r="BS31" i="13"/>
  <c r="T31" i="13"/>
  <c r="HK31" i="13"/>
  <c r="FF31" i="13"/>
  <c r="DH31" i="13"/>
  <c r="BR31" i="13"/>
  <c r="S31" i="13"/>
  <c r="HJ31" i="13"/>
  <c r="FE31" i="13"/>
  <c r="DG31" i="13"/>
  <c r="BO31" i="13"/>
  <c r="R31" i="13"/>
  <c r="HE31" i="13"/>
  <c r="FD31" i="13"/>
  <c r="DE31" i="13"/>
  <c r="BH31" i="13"/>
  <c r="Q31" i="13"/>
  <c r="GQ31" i="13"/>
  <c r="EN31" i="13"/>
  <c r="CW31" i="13"/>
  <c r="AX31" i="13"/>
  <c r="GN31" i="13"/>
  <c r="EL31" i="13"/>
  <c r="CT31" i="13"/>
  <c r="AV31" i="13"/>
  <c r="GG31" i="13"/>
  <c r="EF31" i="13"/>
  <c r="CI31" i="13"/>
  <c r="AQ31" i="13"/>
  <c r="HX31" i="13"/>
  <c r="GD31" i="13"/>
  <c r="EC31" i="13"/>
  <c r="CC31" i="13"/>
  <c r="AK31" i="13"/>
  <c r="GA31" i="13"/>
  <c r="CY31" i="13"/>
  <c r="Z31" i="13"/>
  <c r="FW31" i="13"/>
  <c r="CX31" i="13"/>
  <c r="Y31" i="13"/>
  <c r="FN31" i="13"/>
  <c r="CP31" i="13"/>
  <c r="W31" i="13"/>
  <c r="FK31" i="13"/>
  <c r="CL31" i="13"/>
  <c r="N31" i="13"/>
  <c r="HW31" i="13"/>
  <c r="FA31" i="13"/>
  <c r="BW31" i="13"/>
  <c r="HV31" i="13"/>
  <c r="ET31" i="13"/>
  <c r="BV31" i="13"/>
  <c r="HQ31" i="13"/>
  <c r="ED31" i="13"/>
  <c r="BC31" i="13"/>
  <c r="GX31" i="13"/>
  <c r="DX31" i="13"/>
  <c r="AY31" i="13"/>
  <c r="GU31" i="13"/>
  <c r="DW31" i="13"/>
  <c r="AU31" i="13"/>
  <c r="GL31" i="13"/>
  <c r="BT31" i="13"/>
  <c r="GK31" i="13"/>
  <c r="BF31" i="13"/>
  <c r="EI31" i="13"/>
  <c r="X31" i="13"/>
  <c r="EH31" i="13"/>
  <c r="M31" i="13"/>
  <c r="DQ31" i="13"/>
  <c r="DB31" i="13"/>
  <c r="CZ31" i="13"/>
  <c r="BU31" i="13"/>
  <c r="AZ31" i="13"/>
  <c r="AT31" i="13"/>
  <c r="HS31" i="13"/>
  <c r="AP31" i="13"/>
  <c r="HR31" i="13"/>
  <c r="AG31" i="13"/>
  <c r="GH31" i="13"/>
  <c r="D31" i="13"/>
  <c r="GF31" i="13"/>
  <c r="DV31" i="13"/>
  <c r="AC31" i="13"/>
  <c r="J31" i="13"/>
  <c r="GZ31" i="13"/>
  <c r="GT31" i="13"/>
  <c r="FQ31" i="13"/>
  <c r="FJ31" i="13"/>
  <c r="FB31" i="13"/>
  <c r="EG31" i="13"/>
  <c r="CS31" i="13"/>
  <c r="DY31" i="13"/>
  <c r="DM31" i="13"/>
  <c r="FC31" i="13"/>
  <c r="HU31" i="13"/>
  <c r="CD31" i="13"/>
  <c r="CB31" i="13"/>
  <c r="CA31" i="13"/>
  <c r="AS31" i="13"/>
  <c r="HN53" i="13"/>
  <c r="GR53" i="13"/>
  <c r="FV53" i="13"/>
  <c r="EZ53" i="13"/>
  <c r="ED53" i="13"/>
  <c r="DH53" i="13"/>
  <c r="CL53" i="13"/>
  <c r="BP53" i="13"/>
  <c r="AT53" i="13"/>
  <c r="X53" i="13"/>
  <c r="HK53" i="13"/>
  <c r="GO53" i="13"/>
  <c r="FS53" i="13"/>
  <c r="EW53" i="13"/>
  <c r="EA53" i="13"/>
  <c r="DE53" i="13"/>
  <c r="CI53" i="13"/>
  <c r="BM53" i="13"/>
  <c r="AQ53" i="13"/>
  <c r="U53" i="13"/>
  <c r="HP53" i="13"/>
  <c r="GQ53" i="13"/>
  <c r="FR53" i="13"/>
  <c r="ET53" i="13"/>
  <c r="DV53" i="13"/>
  <c r="CX53" i="13"/>
  <c r="BZ53" i="13"/>
  <c r="BB53" i="13"/>
  <c r="AD53" i="13"/>
  <c r="F53" i="13"/>
  <c r="HO53" i="13"/>
  <c r="GP53" i="13"/>
  <c r="FQ53" i="13"/>
  <c r="ES53" i="13"/>
  <c r="DU53" i="13"/>
  <c r="CW53" i="13"/>
  <c r="BY53" i="13"/>
  <c r="BA53" i="13"/>
  <c r="AC53" i="13"/>
  <c r="E53" i="13"/>
  <c r="HM53" i="13"/>
  <c r="GN53" i="13"/>
  <c r="FP53" i="13"/>
  <c r="ER53" i="13"/>
  <c r="DT53" i="13"/>
  <c r="CV53" i="13"/>
  <c r="BX53" i="13"/>
  <c r="AZ53" i="13"/>
  <c r="AB53" i="13"/>
  <c r="D53" i="13"/>
  <c r="HL53" i="13"/>
  <c r="GM53" i="13"/>
  <c r="FO53" i="13"/>
  <c r="EQ53" i="13"/>
  <c r="DS53" i="13"/>
  <c r="CU53" i="13"/>
  <c r="BW53" i="13"/>
  <c r="AY53" i="13"/>
  <c r="AA53" i="13"/>
  <c r="HI53" i="13"/>
  <c r="GK53" i="13"/>
  <c r="FM53" i="13"/>
  <c r="EO53" i="13"/>
  <c r="DQ53" i="13"/>
  <c r="HA53" i="13"/>
  <c r="FX53" i="13"/>
  <c r="EN53" i="13"/>
  <c r="DK53" i="13"/>
  <c r="CG53" i="13"/>
  <c r="BE53" i="13"/>
  <c r="Y53" i="13"/>
  <c r="GZ53" i="13"/>
  <c r="FW53" i="13"/>
  <c r="EM53" i="13"/>
  <c r="DJ53" i="13"/>
  <c r="CF53" i="13"/>
  <c r="BD53" i="13"/>
  <c r="W53" i="13"/>
  <c r="GY53" i="13"/>
  <c r="FU53" i="13"/>
  <c r="EL53" i="13"/>
  <c r="DI53" i="13"/>
  <c r="CE53" i="13"/>
  <c r="BC53" i="13"/>
  <c r="V53" i="13"/>
  <c r="IA53" i="13"/>
  <c r="GX53" i="13"/>
  <c r="FT53" i="13"/>
  <c r="EK53" i="13"/>
  <c r="DG53" i="13"/>
  <c r="CD53" i="13"/>
  <c r="AX53" i="13"/>
  <c r="T53" i="13"/>
  <c r="HX53" i="13"/>
  <c r="GJ53" i="13"/>
  <c r="FC53" i="13"/>
  <c r="DO53" i="13"/>
  <c r="CC53" i="13"/>
  <c r="AR53" i="13"/>
  <c r="K53" i="13"/>
  <c r="HU53" i="13"/>
  <c r="GG53" i="13"/>
  <c r="EY53" i="13"/>
  <c r="DL53" i="13"/>
  <c r="BV53" i="13"/>
  <c r="AN53" i="13"/>
  <c r="H53" i="13"/>
  <c r="HV53" i="13"/>
  <c r="GE53" i="13"/>
  <c r="EP53" i="13"/>
  <c r="CZ53" i="13"/>
  <c r="BL53" i="13"/>
  <c r="Z53" i="13"/>
  <c r="HT53" i="13"/>
  <c r="GD53" i="13"/>
  <c r="EJ53" i="13"/>
  <c r="CY53" i="13"/>
  <c r="BK53" i="13"/>
  <c r="S53" i="13"/>
  <c r="HS53" i="13"/>
  <c r="GC53" i="13"/>
  <c r="EI53" i="13"/>
  <c r="CT53" i="13"/>
  <c r="BJ53" i="13"/>
  <c r="R53" i="13"/>
  <c r="HR53" i="13"/>
  <c r="GB53" i="13"/>
  <c r="EH53" i="13"/>
  <c r="CS53" i="13"/>
  <c r="BI53" i="13"/>
  <c r="Q53" i="13"/>
  <c r="HQ53" i="13"/>
  <c r="GA53" i="13"/>
  <c r="EG53" i="13"/>
  <c r="CR53" i="13"/>
  <c r="BH53" i="13"/>
  <c r="P53" i="13"/>
  <c r="HJ53" i="13"/>
  <c r="FZ53" i="13"/>
  <c r="EF53" i="13"/>
  <c r="CQ53" i="13"/>
  <c r="BG53" i="13"/>
  <c r="O53" i="13"/>
  <c r="GI53" i="13"/>
  <c r="DZ53" i="13"/>
  <c r="BU53" i="13"/>
  <c r="AE53" i="13"/>
  <c r="GH53" i="13"/>
  <c r="DY53" i="13"/>
  <c r="BT53" i="13"/>
  <c r="N53" i="13"/>
  <c r="FY53" i="13"/>
  <c r="DW53" i="13"/>
  <c r="BR53" i="13"/>
  <c r="L53" i="13"/>
  <c r="FN53" i="13"/>
  <c r="DR53" i="13"/>
  <c r="BQ53" i="13"/>
  <c r="J53" i="13"/>
  <c r="FL53" i="13"/>
  <c r="DP53" i="13"/>
  <c r="BO53" i="13"/>
  <c r="I53" i="13"/>
  <c r="HZ53" i="13"/>
  <c r="FK53" i="13"/>
  <c r="DN53" i="13"/>
  <c r="BN53" i="13"/>
  <c r="G53" i="13"/>
  <c r="HW53" i="13"/>
  <c r="FI53" i="13"/>
  <c r="DF53" i="13"/>
  <c r="AW53" i="13"/>
  <c r="HY53" i="13"/>
  <c r="FA53" i="13"/>
  <c r="BS53" i="13"/>
  <c r="HH53" i="13"/>
  <c r="EX53" i="13"/>
  <c r="BF53" i="13"/>
  <c r="HG53" i="13"/>
  <c r="EV53" i="13"/>
  <c r="AV53" i="13"/>
  <c r="HD53" i="13"/>
  <c r="EC53" i="13"/>
  <c r="AP53" i="13"/>
  <c r="GW53" i="13"/>
  <c r="DM53" i="13"/>
  <c r="AL53" i="13"/>
  <c r="FE53" i="13"/>
  <c r="AO53" i="13"/>
  <c r="FD53" i="13"/>
  <c r="AM53" i="13"/>
  <c r="EE53" i="13"/>
  <c r="AI53" i="13"/>
  <c r="EB53" i="13"/>
  <c r="AH53" i="13"/>
  <c r="DX53" i="13"/>
  <c r="AG53" i="13"/>
  <c r="HF53" i="13"/>
  <c r="DC53" i="13"/>
  <c r="M53" i="13"/>
  <c r="HE53" i="13"/>
  <c r="DB53" i="13"/>
  <c r="HC53" i="13"/>
  <c r="DA53" i="13"/>
  <c r="GS53" i="13"/>
  <c r="CK53" i="13"/>
  <c r="CA53" i="13"/>
  <c r="AU53" i="13"/>
  <c r="HB53" i="13"/>
  <c r="AS53" i="13"/>
  <c r="GV53" i="13"/>
  <c r="AK53" i="13"/>
  <c r="GU53" i="13"/>
  <c r="AJ53" i="13"/>
  <c r="GT53" i="13"/>
  <c r="AF53" i="13"/>
  <c r="GL53" i="13"/>
  <c r="FH53" i="13"/>
  <c r="CO53" i="13"/>
  <c r="CJ53" i="13"/>
  <c r="CH53" i="13"/>
  <c r="FJ53" i="13"/>
  <c r="FF53" i="13"/>
  <c r="FB53" i="13"/>
  <c r="FG53" i="13"/>
  <c r="GF53" i="13"/>
  <c r="CM53" i="13"/>
  <c r="CB53" i="13"/>
  <c r="EU53" i="13"/>
  <c r="DD53" i="13"/>
  <c r="CP53" i="13"/>
  <c r="BB69" i="4"/>
  <c r="M56" i="7" s="1"/>
  <c r="CH69" i="4"/>
  <c r="M88" i="7" s="1"/>
  <c r="DJ69" i="4"/>
  <c r="M116" i="7" s="1"/>
  <c r="ER69" i="4"/>
  <c r="FT69" i="4"/>
  <c r="M178" i="7" s="1"/>
  <c r="GW69" i="4"/>
  <c r="M207" i="7" s="1"/>
  <c r="M55" i="7"/>
  <c r="M124" i="7"/>
  <c r="CC9" i="13"/>
  <c r="AS21" i="13"/>
  <c r="L86" i="7"/>
  <c r="M86" i="7"/>
  <c r="M198" i="7"/>
  <c r="HP14" i="13"/>
  <c r="GT14" i="13"/>
  <c r="FX14" i="13"/>
  <c r="FB14" i="13"/>
  <c r="EF14" i="13"/>
  <c r="DJ14" i="13"/>
  <c r="CN14" i="13"/>
  <c r="BR14" i="13"/>
  <c r="AV14" i="13"/>
  <c r="Z14" i="13"/>
  <c r="D14" i="13"/>
  <c r="HO14" i="13"/>
  <c r="GS14" i="13"/>
  <c r="FW14" i="13"/>
  <c r="FA14" i="13"/>
  <c r="EE14" i="13"/>
  <c r="DI14" i="13"/>
  <c r="CM14" i="13"/>
  <c r="BQ14" i="13"/>
  <c r="AU14" i="13"/>
  <c r="Y14" i="13"/>
  <c r="HH14" i="13"/>
  <c r="GL14" i="13"/>
  <c r="FP14" i="13"/>
  <c r="ET14" i="13"/>
  <c r="DX14" i="13"/>
  <c r="DB14" i="13"/>
  <c r="CF14" i="13"/>
  <c r="BJ14" i="13"/>
  <c r="AN14" i="13"/>
  <c r="R14" i="13"/>
  <c r="HN14" i="13"/>
  <c r="GO14" i="13"/>
  <c r="FO14" i="13"/>
  <c r="EP14" i="13"/>
  <c r="DQ14" i="13"/>
  <c r="CR14" i="13"/>
  <c r="BS14" i="13"/>
  <c r="AR14" i="13"/>
  <c r="S14" i="13"/>
  <c r="HM14" i="13"/>
  <c r="GN14" i="13"/>
  <c r="FN14" i="13"/>
  <c r="EO14" i="13"/>
  <c r="DP14" i="13"/>
  <c r="CQ14" i="13"/>
  <c r="BP14" i="13"/>
  <c r="AQ14" i="13"/>
  <c r="Q14" i="13"/>
  <c r="HE14" i="13"/>
  <c r="GF14" i="13"/>
  <c r="FG14" i="13"/>
  <c r="EH14" i="13"/>
  <c r="DG14" i="13"/>
  <c r="CH14" i="13"/>
  <c r="BH14" i="13"/>
  <c r="AI14" i="13"/>
  <c r="J14" i="13"/>
  <c r="HD14" i="13"/>
  <c r="GE14" i="13"/>
  <c r="FF14" i="13"/>
  <c r="EG14" i="13"/>
  <c r="DF14" i="13"/>
  <c r="CG14" i="13"/>
  <c r="BG14" i="13"/>
  <c r="AH14" i="13"/>
  <c r="I14" i="13"/>
  <c r="HY14" i="13"/>
  <c r="GZ14" i="13"/>
  <c r="GA14" i="13"/>
  <c r="EZ14" i="13"/>
  <c r="EA14" i="13"/>
  <c r="DA14" i="13"/>
  <c r="CB14" i="13"/>
  <c r="BC14" i="13"/>
  <c r="AD14" i="13"/>
  <c r="E14" i="13"/>
  <c r="GY14" i="13"/>
  <c r="FS14" i="13"/>
  <c r="EL14" i="13"/>
  <c r="DD14" i="13"/>
  <c r="BX14" i="13"/>
  <c r="AP14" i="13"/>
  <c r="K14" i="13"/>
  <c r="GX14" i="13"/>
  <c r="FR14" i="13"/>
  <c r="EK14" i="13"/>
  <c r="DC14" i="13"/>
  <c r="BW14" i="13"/>
  <c r="AO14" i="13"/>
  <c r="H14" i="13"/>
  <c r="GW14" i="13"/>
  <c r="FQ14" i="13"/>
  <c r="EJ14" i="13"/>
  <c r="CZ14" i="13"/>
  <c r="BV14" i="13"/>
  <c r="AM14" i="13"/>
  <c r="G14" i="13"/>
  <c r="HZ14" i="13"/>
  <c r="GU14" i="13"/>
  <c r="FL14" i="13"/>
  <c r="ED14" i="13"/>
  <c r="CX14" i="13"/>
  <c r="BT14" i="13"/>
  <c r="AK14" i="13"/>
  <c r="HX14" i="13"/>
  <c r="GR14" i="13"/>
  <c r="FK14" i="13"/>
  <c r="EC14" i="13"/>
  <c r="CW14" i="13"/>
  <c r="BO14" i="13"/>
  <c r="AJ14" i="13"/>
  <c r="HU14" i="13"/>
  <c r="GM14" i="13"/>
  <c r="FH14" i="13"/>
  <c r="DY14" i="13"/>
  <c r="CT14" i="13"/>
  <c r="BL14" i="13"/>
  <c r="AE14" i="13"/>
  <c r="HT14" i="13"/>
  <c r="GK14" i="13"/>
  <c r="FE14" i="13"/>
  <c r="DW14" i="13"/>
  <c r="CS14" i="13"/>
  <c r="BK14" i="13"/>
  <c r="AC14" i="13"/>
  <c r="HI14" i="13"/>
  <c r="GB14" i="13"/>
  <c r="EU14" i="13"/>
  <c r="DN14" i="13"/>
  <c r="CE14" i="13"/>
  <c r="AZ14" i="13"/>
  <c r="T14" i="13"/>
  <c r="GI14" i="13"/>
  <c r="EN14" i="13"/>
  <c r="CK14" i="13"/>
  <c r="AL14" i="13"/>
  <c r="GH14" i="13"/>
  <c r="EM14" i="13"/>
  <c r="CJ14" i="13"/>
  <c r="AG14" i="13"/>
  <c r="GD14" i="13"/>
  <c r="EB14" i="13"/>
  <c r="CD14" i="13"/>
  <c r="AB14" i="13"/>
  <c r="IA14" i="13"/>
  <c r="GC14" i="13"/>
  <c r="DZ14" i="13"/>
  <c r="CC14" i="13"/>
  <c r="AA14" i="13"/>
  <c r="HW14" i="13"/>
  <c r="FZ14" i="13"/>
  <c r="DV14" i="13"/>
  <c r="CA14" i="13"/>
  <c r="X14" i="13"/>
  <c r="HR14" i="13"/>
  <c r="FU14" i="13"/>
  <c r="DS14" i="13"/>
  <c r="BU14" i="13"/>
  <c r="U14" i="13"/>
  <c r="FY14" i="13"/>
  <c r="DK14" i="13"/>
  <c r="AW14" i="13"/>
  <c r="FV14" i="13"/>
  <c r="DH14" i="13"/>
  <c r="AT14" i="13"/>
  <c r="FT14" i="13"/>
  <c r="DE14" i="13"/>
  <c r="AS14" i="13"/>
  <c r="FJ14" i="13"/>
  <c r="CV14" i="13"/>
  <c r="W14" i="13"/>
  <c r="FI14" i="13"/>
  <c r="CU14" i="13"/>
  <c r="V14" i="13"/>
  <c r="HQ14" i="13"/>
  <c r="EY14" i="13"/>
  <c r="CL14" i="13"/>
  <c r="N14" i="13"/>
  <c r="HG14" i="13"/>
  <c r="DR14" i="13"/>
  <c r="O14" i="13"/>
  <c r="HF14" i="13"/>
  <c r="DO14" i="13"/>
  <c r="M14" i="13"/>
  <c r="HC14" i="13"/>
  <c r="DM14" i="13"/>
  <c r="L14" i="13"/>
  <c r="HB14" i="13"/>
  <c r="DL14" i="13"/>
  <c r="F14" i="13"/>
  <c r="HA14" i="13"/>
  <c r="CY14" i="13"/>
  <c r="GV14" i="13"/>
  <c r="CP14" i="13"/>
  <c r="GJ14" i="13"/>
  <c r="BZ14" i="13"/>
  <c r="GG14" i="13"/>
  <c r="BY14" i="13"/>
  <c r="EQ14" i="13"/>
  <c r="EI14" i="13"/>
  <c r="DU14" i="13"/>
  <c r="DT14" i="13"/>
  <c r="CO14" i="13"/>
  <c r="CI14" i="13"/>
  <c r="HS14" i="13"/>
  <c r="BI14" i="13"/>
  <c r="FD14" i="13"/>
  <c r="AX14" i="13"/>
  <c r="HK14" i="13"/>
  <c r="HJ14" i="13"/>
  <c r="GP14" i="13"/>
  <c r="FM14" i="13"/>
  <c r="FC14" i="13"/>
  <c r="EW14" i="13"/>
  <c r="EV14" i="13"/>
  <c r="HV14" i="13"/>
  <c r="HL14" i="13"/>
  <c r="GQ14" i="13"/>
  <c r="EX14" i="13"/>
  <c r="ES14" i="13"/>
  <c r="ER14" i="13"/>
  <c r="BN14" i="13"/>
  <c r="BB14" i="13"/>
  <c r="BA14" i="13"/>
  <c r="AY14" i="13"/>
  <c r="AF14" i="13"/>
  <c r="P14" i="13"/>
  <c r="HQ36" i="13"/>
  <c r="GU36" i="13"/>
  <c r="FY36" i="13"/>
  <c r="FC36" i="13"/>
  <c r="HI36" i="13"/>
  <c r="GL36" i="13"/>
  <c r="FO36" i="13"/>
  <c r="ER36" i="13"/>
  <c r="DV36" i="13"/>
  <c r="CZ36" i="13"/>
  <c r="CD36" i="13"/>
  <c r="BH36" i="13"/>
  <c r="AL36" i="13"/>
  <c r="P36" i="13"/>
  <c r="HZ36" i="13"/>
  <c r="HX36" i="13"/>
  <c r="HA36" i="13"/>
  <c r="GD36" i="13"/>
  <c r="FG36" i="13"/>
  <c r="EJ36" i="13"/>
  <c r="HR36" i="13"/>
  <c r="GR36" i="13"/>
  <c r="FS36" i="13"/>
  <c r="ET36" i="13"/>
  <c r="DU36" i="13"/>
  <c r="CX36" i="13"/>
  <c r="CA36" i="13"/>
  <c r="BD36" i="13"/>
  <c r="AG36" i="13"/>
  <c r="J36" i="13"/>
  <c r="HP36" i="13"/>
  <c r="GQ36" i="13"/>
  <c r="FR36" i="13"/>
  <c r="ES36" i="13"/>
  <c r="DT36" i="13"/>
  <c r="CW36" i="13"/>
  <c r="BZ36" i="13"/>
  <c r="BC36" i="13"/>
  <c r="AF36" i="13"/>
  <c r="I36" i="13"/>
  <c r="HO36" i="13"/>
  <c r="GP36" i="13"/>
  <c r="FQ36" i="13"/>
  <c r="EQ36" i="13"/>
  <c r="DS36" i="13"/>
  <c r="CV36" i="13"/>
  <c r="BY36" i="13"/>
  <c r="BB36" i="13"/>
  <c r="AE36" i="13"/>
  <c r="H36" i="13"/>
  <c r="HN36" i="13"/>
  <c r="GO36" i="13"/>
  <c r="FP36" i="13"/>
  <c r="EP36" i="13"/>
  <c r="DR36" i="13"/>
  <c r="CU36" i="13"/>
  <c r="BX36" i="13"/>
  <c r="BA36" i="13"/>
  <c r="AD36" i="13"/>
  <c r="G36" i="13"/>
  <c r="HM36" i="13"/>
  <c r="GN36" i="13"/>
  <c r="FN36" i="13"/>
  <c r="EO36" i="13"/>
  <c r="DQ36" i="13"/>
  <c r="CT36" i="13"/>
  <c r="BW36" i="13"/>
  <c r="AZ36" i="13"/>
  <c r="AC36" i="13"/>
  <c r="F36" i="13"/>
  <c r="HL36" i="13"/>
  <c r="GM36" i="13"/>
  <c r="FM36" i="13"/>
  <c r="EN36" i="13"/>
  <c r="DP36" i="13"/>
  <c r="CS36" i="13"/>
  <c r="BV36" i="13"/>
  <c r="AY36" i="13"/>
  <c r="AB36" i="13"/>
  <c r="E36" i="13"/>
  <c r="HK36" i="13"/>
  <c r="GK36" i="13"/>
  <c r="FL36" i="13"/>
  <c r="EM36" i="13"/>
  <c r="DO36" i="13"/>
  <c r="CR36" i="13"/>
  <c r="BU36" i="13"/>
  <c r="AX36" i="13"/>
  <c r="AA36" i="13"/>
  <c r="D36" i="13"/>
  <c r="HG36" i="13"/>
  <c r="GH36" i="13"/>
  <c r="FI36" i="13"/>
  <c r="EI36" i="13"/>
  <c r="DL36" i="13"/>
  <c r="CO36" i="13"/>
  <c r="BR36" i="13"/>
  <c r="AU36" i="13"/>
  <c r="X36" i="13"/>
  <c r="HJ36" i="13"/>
  <c r="FZ36" i="13"/>
  <c r="EH36" i="13"/>
  <c r="DC36" i="13"/>
  <c r="BO36" i="13"/>
  <c r="AI36" i="13"/>
  <c r="HH36" i="13"/>
  <c r="FX36" i="13"/>
  <c r="EG36" i="13"/>
  <c r="DB36" i="13"/>
  <c r="BN36" i="13"/>
  <c r="AH36" i="13"/>
  <c r="HE36" i="13"/>
  <c r="FV36" i="13"/>
  <c r="EE36" i="13"/>
  <c r="CY36" i="13"/>
  <c r="BL36" i="13"/>
  <c r="Y36" i="13"/>
  <c r="GY36" i="13"/>
  <c r="FH36" i="13"/>
  <c r="DZ36" i="13"/>
  <c r="CL36" i="13"/>
  <c r="BF36" i="13"/>
  <c r="S36" i="13"/>
  <c r="GX36" i="13"/>
  <c r="FF36" i="13"/>
  <c r="DY36" i="13"/>
  <c r="CK36" i="13"/>
  <c r="BE36" i="13"/>
  <c r="R36" i="13"/>
  <c r="GS36" i="13"/>
  <c r="FA36" i="13"/>
  <c r="DM36" i="13"/>
  <c r="CG36" i="13"/>
  <c r="AS36" i="13"/>
  <c r="M36" i="13"/>
  <c r="IA36" i="13"/>
  <c r="GI36" i="13"/>
  <c r="EY36" i="13"/>
  <c r="DJ36" i="13"/>
  <c r="CE36" i="13"/>
  <c r="AQ36" i="13"/>
  <c r="K36" i="13"/>
  <c r="HY36" i="13"/>
  <c r="GG36" i="13"/>
  <c r="EX36" i="13"/>
  <c r="DI36" i="13"/>
  <c r="CC36" i="13"/>
  <c r="AP36" i="13"/>
  <c r="HB36" i="13"/>
  <c r="EU36" i="13"/>
  <c r="CJ36" i="13"/>
  <c r="AJ36" i="13"/>
  <c r="GZ36" i="13"/>
  <c r="EL36" i="13"/>
  <c r="CI36" i="13"/>
  <c r="Z36" i="13"/>
  <c r="GW36" i="13"/>
  <c r="EK36" i="13"/>
  <c r="CH36" i="13"/>
  <c r="W36" i="13"/>
  <c r="GV36" i="13"/>
  <c r="EF36" i="13"/>
  <c r="CF36" i="13"/>
  <c r="V36" i="13"/>
  <c r="GT36" i="13"/>
  <c r="ED36" i="13"/>
  <c r="CB36" i="13"/>
  <c r="U36" i="13"/>
  <c r="GJ36" i="13"/>
  <c r="EC36" i="13"/>
  <c r="BT36" i="13"/>
  <c r="T36" i="13"/>
  <c r="GE36" i="13"/>
  <c r="EA36" i="13"/>
  <c r="BQ36" i="13"/>
  <c r="O36" i="13"/>
  <c r="GB36" i="13"/>
  <c r="DW36" i="13"/>
  <c r="BM36" i="13"/>
  <c r="L36" i="13"/>
  <c r="GA36" i="13"/>
  <c r="DN36" i="13"/>
  <c r="BK36" i="13"/>
  <c r="HV36" i="13"/>
  <c r="FJ36" i="13"/>
  <c r="DE36" i="13"/>
  <c r="AV36" i="13"/>
  <c r="FT36" i="13"/>
  <c r="BJ36" i="13"/>
  <c r="FK36" i="13"/>
  <c r="BI36" i="13"/>
  <c r="FE36" i="13"/>
  <c r="BG36" i="13"/>
  <c r="FD36" i="13"/>
  <c r="AW36" i="13"/>
  <c r="EB36" i="13"/>
  <c r="AM36" i="13"/>
  <c r="DX36" i="13"/>
  <c r="AK36" i="13"/>
  <c r="HT36" i="13"/>
  <c r="DF36" i="13"/>
  <c r="HF36" i="13"/>
  <c r="DA36" i="13"/>
  <c r="HW36" i="13"/>
  <c r="BP36" i="13"/>
  <c r="HU36" i="13"/>
  <c r="AT36" i="13"/>
  <c r="HD36" i="13"/>
  <c r="AO36" i="13"/>
  <c r="HC36" i="13"/>
  <c r="AN36" i="13"/>
  <c r="FU36" i="13"/>
  <c r="FB36" i="13"/>
  <c r="DK36" i="13"/>
  <c r="DG36" i="13"/>
  <c r="DD36" i="13"/>
  <c r="CQ36" i="13"/>
  <c r="CP36" i="13"/>
  <c r="GF36" i="13"/>
  <c r="GC36" i="13"/>
  <c r="DH36" i="13"/>
  <c r="CN36" i="13"/>
  <c r="CM36" i="13"/>
  <c r="AR36" i="13"/>
  <c r="Q36" i="13"/>
  <c r="EW36" i="13"/>
  <c r="EV36" i="13"/>
  <c r="BS36" i="13"/>
  <c r="HS36" i="13"/>
  <c r="N36" i="13"/>
  <c r="HT58" i="13"/>
  <c r="GX58" i="13"/>
  <c r="GB58" i="13"/>
  <c r="FF58" i="13"/>
  <c r="EJ58" i="13"/>
  <c r="DN58" i="13"/>
  <c r="HN58" i="13"/>
  <c r="GR58" i="13"/>
  <c r="FV58" i="13"/>
  <c r="EZ58" i="13"/>
  <c r="ED58" i="13"/>
  <c r="DH58" i="13"/>
  <c r="CL58" i="13"/>
  <c r="BP58" i="13"/>
  <c r="AT58" i="13"/>
  <c r="HJ58" i="13"/>
  <c r="GL58" i="13"/>
  <c r="FN58" i="13"/>
  <c r="EP58" i="13"/>
  <c r="DR58" i="13"/>
  <c r="CT58" i="13"/>
  <c r="BW58" i="13"/>
  <c r="AZ58" i="13"/>
  <c r="AC58" i="13"/>
  <c r="G58" i="13"/>
  <c r="HI58" i="13"/>
  <c r="GK58" i="13"/>
  <c r="FM58" i="13"/>
  <c r="EO58" i="13"/>
  <c r="HH58" i="13"/>
  <c r="GJ58" i="13"/>
  <c r="FL58" i="13"/>
  <c r="EN58" i="13"/>
  <c r="DP58" i="13"/>
  <c r="CR58" i="13"/>
  <c r="BU58" i="13"/>
  <c r="AX58" i="13"/>
  <c r="AA58" i="13"/>
  <c r="E58" i="13"/>
  <c r="HO58" i="13"/>
  <c r="GM58" i="13"/>
  <c r="FI58" i="13"/>
  <c r="EG58" i="13"/>
  <c r="DF58" i="13"/>
  <c r="CG58" i="13"/>
  <c r="BH58" i="13"/>
  <c r="AI58" i="13"/>
  <c r="K58" i="13"/>
  <c r="HM58" i="13"/>
  <c r="GI58" i="13"/>
  <c r="FH58" i="13"/>
  <c r="EF58" i="13"/>
  <c r="DE58" i="13"/>
  <c r="CF58" i="13"/>
  <c r="BG58" i="13"/>
  <c r="AH58" i="13"/>
  <c r="J58" i="13"/>
  <c r="HL58" i="13"/>
  <c r="GH58" i="13"/>
  <c r="FG58" i="13"/>
  <c r="EE58" i="13"/>
  <c r="DD58" i="13"/>
  <c r="CE58" i="13"/>
  <c r="BF58" i="13"/>
  <c r="AG58" i="13"/>
  <c r="I58" i="13"/>
  <c r="HK58" i="13"/>
  <c r="GG58" i="13"/>
  <c r="FE58" i="13"/>
  <c r="EC58" i="13"/>
  <c r="DC58" i="13"/>
  <c r="CD58" i="13"/>
  <c r="BE58" i="13"/>
  <c r="AF58" i="13"/>
  <c r="H58" i="13"/>
  <c r="HF58" i="13"/>
  <c r="GE58" i="13"/>
  <c r="FC58" i="13"/>
  <c r="EA58" i="13"/>
  <c r="DA58" i="13"/>
  <c r="CB58" i="13"/>
  <c r="BC58" i="13"/>
  <c r="AD58" i="13"/>
  <c r="D58" i="13"/>
  <c r="HZ58" i="13"/>
  <c r="GS58" i="13"/>
  <c r="FD58" i="13"/>
  <c r="DV58" i="13"/>
  <c r="CO58" i="13"/>
  <c r="BJ58" i="13"/>
  <c r="Y58" i="13"/>
  <c r="HY58" i="13"/>
  <c r="GQ58" i="13"/>
  <c r="FB58" i="13"/>
  <c r="DU58" i="13"/>
  <c r="CN58" i="13"/>
  <c r="BI58" i="13"/>
  <c r="X58" i="13"/>
  <c r="HX58" i="13"/>
  <c r="GP58" i="13"/>
  <c r="FA58" i="13"/>
  <c r="DT58" i="13"/>
  <c r="CM58" i="13"/>
  <c r="BD58" i="13"/>
  <c r="W58" i="13"/>
  <c r="HW58" i="13"/>
  <c r="GO58" i="13"/>
  <c r="EY58" i="13"/>
  <c r="DS58" i="13"/>
  <c r="CK58" i="13"/>
  <c r="BB58" i="13"/>
  <c r="V58" i="13"/>
  <c r="HU58" i="13"/>
  <c r="GF58" i="13"/>
  <c r="EW58" i="13"/>
  <c r="DO58" i="13"/>
  <c r="CI58" i="13"/>
  <c r="AY58" i="13"/>
  <c r="T58" i="13"/>
  <c r="GD58" i="13"/>
  <c r="EQ58" i="13"/>
  <c r="CW58" i="13"/>
  <c r="BK58" i="13"/>
  <c r="P58" i="13"/>
  <c r="GC58" i="13"/>
  <c r="EM58" i="13"/>
  <c r="CV58" i="13"/>
  <c r="BA58" i="13"/>
  <c r="O58" i="13"/>
  <c r="GA58" i="13"/>
  <c r="EL58" i="13"/>
  <c r="CU58" i="13"/>
  <c r="AW58" i="13"/>
  <c r="N58" i="13"/>
  <c r="IA58" i="13"/>
  <c r="FZ58" i="13"/>
  <c r="EK58" i="13"/>
  <c r="CS58" i="13"/>
  <c r="AV58" i="13"/>
  <c r="M58" i="13"/>
  <c r="HQ58" i="13"/>
  <c r="FU58" i="13"/>
  <c r="DZ58" i="13"/>
  <c r="CH58" i="13"/>
  <c r="AQ58" i="13"/>
  <c r="GW58" i="13"/>
  <c r="EI58" i="13"/>
  <c r="BZ58" i="13"/>
  <c r="AE58" i="13"/>
  <c r="GT58" i="13"/>
  <c r="DY58" i="13"/>
  <c r="BV58" i="13"/>
  <c r="U58" i="13"/>
  <c r="GN58" i="13"/>
  <c r="DX58" i="13"/>
  <c r="BT58" i="13"/>
  <c r="S58" i="13"/>
  <c r="FY58" i="13"/>
  <c r="DW58" i="13"/>
  <c r="BS58" i="13"/>
  <c r="R58" i="13"/>
  <c r="HS58" i="13"/>
  <c r="FJ58" i="13"/>
  <c r="CJ58" i="13"/>
  <c r="Z58" i="13"/>
  <c r="HR58" i="13"/>
  <c r="EX58" i="13"/>
  <c r="CC58" i="13"/>
  <c r="Q58" i="13"/>
  <c r="HP58" i="13"/>
  <c r="EV58" i="13"/>
  <c r="CA58" i="13"/>
  <c r="L58" i="13"/>
  <c r="HG58" i="13"/>
  <c r="EU58" i="13"/>
  <c r="BY58" i="13"/>
  <c r="F58" i="13"/>
  <c r="HE58" i="13"/>
  <c r="ET58" i="13"/>
  <c r="BX58" i="13"/>
  <c r="HD58" i="13"/>
  <c r="ES58" i="13"/>
  <c r="BR58" i="13"/>
  <c r="FK58" i="13"/>
  <c r="AU58" i="13"/>
  <c r="ER58" i="13"/>
  <c r="AS58" i="13"/>
  <c r="EB58" i="13"/>
  <c r="AP58" i="13"/>
  <c r="DQ58" i="13"/>
  <c r="AO58" i="13"/>
  <c r="DM58" i="13"/>
  <c r="AN58" i="13"/>
  <c r="HV58" i="13"/>
  <c r="DL58" i="13"/>
  <c r="AM58" i="13"/>
  <c r="HB58" i="13"/>
  <c r="DJ58" i="13"/>
  <c r="AK58" i="13"/>
  <c r="CX58" i="13"/>
  <c r="HC58" i="13"/>
  <c r="CQ58" i="13"/>
  <c r="HA58" i="13"/>
  <c r="CP58" i="13"/>
  <c r="GV58" i="13"/>
  <c r="BN58" i="13"/>
  <c r="FW58" i="13"/>
  <c r="AR58" i="13"/>
  <c r="FX58" i="13"/>
  <c r="FT58" i="13"/>
  <c r="FQ58" i="13"/>
  <c r="FP58" i="13"/>
  <c r="FO58" i="13"/>
  <c r="DK58" i="13"/>
  <c r="DI58" i="13"/>
  <c r="DG58" i="13"/>
  <c r="BO58" i="13"/>
  <c r="GZ58" i="13"/>
  <c r="GY58" i="13"/>
  <c r="GU58" i="13"/>
  <c r="FS58" i="13"/>
  <c r="FR58" i="13"/>
  <c r="CZ58" i="13"/>
  <c r="AB58" i="13"/>
  <c r="DB58" i="13"/>
  <c r="BQ58" i="13"/>
  <c r="BM58" i="13"/>
  <c r="EH58" i="13"/>
  <c r="CY58" i="13"/>
  <c r="BL58" i="13"/>
  <c r="AL58" i="13"/>
  <c r="AJ58" i="13"/>
  <c r="L151" i="7"/>
  <c r="M202" i="7"/>
  <c r="L202" i="7"/>
  <c r="CE15" i="13"/>
  <c r="DA23" i="13"/>
  <c r="L73" i="7"/>
  <c r="M183" i="7"/>
  <c r="BD8" i="13"/>
  <c r="CF15" i="13"/>
  <c r="DL23" i="13"/>
  <c r="ER30" i="13"/>
  <c r="L33" i="7"/>
  <c r="BJ8" i="13"/>
  <c r="CG15" i="13"/>
  <c r="HA23" i="13"/>
  <c r="FN30" i="13"/>
  <c r="M43" i="7"/>
  <c r="M101" i="7"/>
  <c r="L101" i="7"/>
  <c r="M171" i="7"/>
  <c r="L171" i="7"/>
  <c r="CE8" i="13"/>
  <c r="CO15" i="13"/>
  <c r="HG23" i="13"/>
  <c r="L163" i="7"/>
  <c r="HW15" i="13"/>
  <c r="HA15" i="13"/>
  <c r="GE15" i="13"/>
  <c r="FI15" i="13"/>
  <c r="EM15" i="13"/>
  <c r="DQ15" i="13"/>
  <c r="CU15" i="13"/>
  <c r="BY15" i="13"/>
  <c r="BC15" i="13"/>
  <c r="AG15" i="13"/>
  <c r="K15" i="13"/>
  <c r="HV15" i="13"/>
  <c r="GZ15" i="13"/>
  <c r="GD15" i="13"/>
  <c r="FH15" i="13"/>
  <c r="EL15" i="13"/>
  <c r="DP15" i="13"/>
  <c r="CT15" i="13"/>
  <c r="BX15" i="13"/>
  <c r="BB15" i="13"/>
  <c r="AF15" i="13"/>
  <c r="J15" i="13"/>
  <c r="HO15" i="13"/>
  <c r="GS15" i="13"/>
  <c r="FW15" i="13"/>
  <c r="FA15" i="13"/>
  <c r="EE15" i="13"/>
  <c r="DI15" i="13"/>
  <c r="CM15" i="13"/>
  <c r="BQ15" i="13"/>
  <c r="AU15" i="13"/>
  <c r="Y15" i="13"/>
  <c r="HH15" i="13"/>
  <c r="GI15" i="13"/>
  <c r="FJ15" i="13"/>
  <c r="EI15" i="13"/>
  <c r="DJ15" i="13"/>
  <c r="CJ15" i="13"/>
  <c r="BK15" i="13"/>
  <c r="AL15" i="13"/>
  <c r="M15" i="13"/>
  <c r="HG15" i="13"/>
  <c r="GH15" i="13"/>
  <c r="FG15" i="13"/>
  <c r="EH15" i="13"/>
  <c r="DH15" i="13"/>
  <c r="CI15" i="13"/>
  <c r="BJ15" i="13"/>
  <c r="AK15" i="13"/>
  <c r="L15" i="13"/>
  <c r="HY15" i="13"/>
  <c r="GX15" i="13"/>
  <c r="FY15" i="13"/>
  <c r="EY15" i="13"/>
  <c r="DZ15" i="13"/>
  <c r="DA15" i="13"/>
  <c r="CB15" i="13"/>
  <c r="BA15" i="13"/>
  <c r="AB15" i="13"/>
  <c r="HX15" i="13"/>
  <c r="GW15" i="13"/>
  <c r="FX15" i="13"/>
  <c r="EX15" i="13"/>
  <c r="DY15" i="13"/>
  <c r="CZ15" i="13"/>
  <c r="CA15" i="13"/>
  <c r="AZ15" i="13"/>
  <c r="AA15" i="13"/>
  <c r="HR15" i="13"/>
  <c r="GR15" i="13"/>
  <c r="FS15" i="13"/>
  <c r="ET15" i="13"/>
  <c r="DU15" i="13"/>
  <c r="CV15" i="13"/>
  <c r="BU15" i="13"/>
  <c r="AV15" i="13"/>
  <c r="V15" i="13"/>
  <c r="IA15" i="13"/>
  <c r="GQ15" i="13"/>
  <c r="FM15" i="13"/>
  <c r="ED15" i="13"/>
  <c r="CX15" i="13"/>
  <c r="BP15" i="13"/>
  <c r="AJ15" i="13"/>
  <c r="D15" i="13"/>
  <c r="HZ15" i="13"/>
  <c r="GP15" i="13"/>
  <c r="FL15" i="13"/>
  <c r="EC15" i="13"/>
  <c r="CW15" i="13"/>
  <c r="BO15" i="13"/>
  <c r="AI15" i="13"/>
  <c r="HU15" i="13"/>
  <c r="GO15" i="13"/>
  <c r="FK15" i="13"/>
  <c r="EB15" i="13"/>
  <c r="CS15" i="13"/>
  <c r="BN15" i="13"/>
  <c r="AH15" i="13"/>
  <c r="HS15" i="13"/>
  <c r="GM15" i="13"/>
  <c r="FE15" i="13"/>
  <c r="DX15" i="13"/>
  <c r="CQ15" i="13"/>
  <c r="BL15" i="13"/>
  <c r="AD15" i="13"/>
  <c r="HQ15" i="13"/>
  <c r="GL15" i="13"/>
  <c r="FD15" i="13"/>
  <c r="DW15" i="13"/>
  <c r="CP15" i="13"/>
  <c r="BI15" i="13"/>
  <c r="AC15" i="13"/>
  <c r="HM15" i="13"/>
  <c r="GG15" i="13"/>
  <c r="EZ15" i="13"/>
  <c r="DS15" i="13"/>
  <c r="CL15" i="13"/>
  <c r="BF15" i="13"/>
  <c r="W15" i="13"/>
  <c r="HL15" i="13"/>
  <c r="GF15" i="13"/>
  <c r="EW15" i="13"/>
  <c r="DR15" i="13"/>
  <c r="CK15" i="13"/>
  <c r="BE15" i="13"/>
  <c r="U15" i="13"/>
  <c r="HC15" i="13"/>
  <c r="FT15" i="13"/>
  <c r="EO15" i="13"/>
  <c r="DF15" i="13"/>
  <c r="BZ15" i="13"/>
  <c r="AR15" i="13"/>
  <c r="N15" i="13"/>
  <c r="HE15" i="13"/>
  <c r="FC15" i="13"/>
  <c r="DE15" i="13"/>
  <c r="BD15" i="13"/>
  <c r="G15" i="13"/>
  <c r="HD15" i="13"/>
  <c r="FB15" i="13"/>
  <c r="DD15" i="13"/>
  <c r="AY15" i="13"/>
  <c r="F15" i="13"/>
  <c r="GY15" i="13"/>
  <c r="EU15" i="13"/>
  <c r="DB15" i="13"/>
  <c r="AW15" i="13"/>
  <c r="GV15" i="13"/>
  <c r="ES15" i="13"/>
  <c r="CY15" i="13"/>
  <c r="AT15" i="13"/>
  <c r="GU15" i="13"/>
  <c r="ER15" i="13"/>
  <c r="CR15" i="13"/>
  <c r="AS15" i="13"/>
  <c r="GK15" i="13"/>
  <c r="EN15" i="13"/>
  <c r="CH15" i="13"/>
  <c r="AO15" i="13"/>
  <c r="HP15" i="13"/>
  <c r="EV15" i="13"/>
  <c r="CD15" i="13"/>
  <c r="P15" i="13"/>
  <c r="HN15" i="13"/>
  <c r="EQ15" i="13"/>
  <c r="CC15" i="13"/>
  <c r="O15" i="13"/>
  <c r="HK15" i="13"/>
  <c r="EP15" i="13"/>
  <c r="BW15" i="13"/>
  <c r="I15" i="13"/>
  <c r="HI15" i="13"/>
  <c r="EJ15" i="13"/>
  <c r="BT15" i="13"/>
  <c r="E15" i="13"/>
  <c r="HF15" i="13"/>
  <c r="EG15" i="13"/>
  <c r="BS15" i="13"/>
  <c r="GN15" i="13"/>
  <c r="DV15" i="13"/>
  <c r="BH15" i="13"/>
  <c r="FQ15" i="13"/>
  <c r="BR15" i="13"/>
  <c r="FP15" i="13"/>
  <c r="BM15" i="13"/>
  <c r="FO15" i="13"/>
  <c r="BG15" i="13"/>
  <c r="FN15" i="13"/>
  <c r="AX15" i="13"/>
  <c r="FF15" i="13"/>
  <c r="AQ15" i="13"/>
  <c r="EK15" i="13"/>
  <c r="AP15" i="13"/>
  <c r="DT15" i="13"/>
  <c r="AE15" i="13"/>
  <c r="DO15" i="13"/>
  <c r="Z15" i="13"/>
  <c r="GB15" i="13"/>
  <c r="X15" i="13"/>
  <c r="GA15" i="13"/>
  <c r="T15" i="13"/>
  <c r="FZ15" i="13"/>
  <c r="S15" i="13"/>
  <c r="FV15" i="13"/>
  <c r="R15" i="13"/>
  <c r="FU15" i="13"/>
  <c r="Q15" i="13"/>
  <c r="FR15" i="13"/>
  <c r="H15" i="13"/>
  <c r="DN15" i="13"/>
  <c r="CN15" i="13"/>
  <c r="HJ15" i="13"/>
  <c r="HB15" i="13"/>
  <c r="GJ15" i="13"/>
  <c r="GC15" i="13"/>
  <c r="EF15" i="13"/>
  <c r="DM15" i="13"/>
  <c r="DL15" i="13"/>
  <c r="HT15" i="13"/>
  <c r="DG15" i="13"/>
  <c r="AM15" i="13"/>
  <c r="HX37" i="13"/>
  <c r="HB37" i="13"/>
  <c r="GF37" i="13"/>
  <c r="FJ37" i="13"/>
  <c r="EN37" i="13"/>
  <c r="DR37" i="13"/>
  <c r="CV37" i="13"/>
  <c r="BZ37" i="13"/>
  <c r="BD37" i="13"/>
  <c r="AH37" i="13"/>
  <c r="L37" i="13"/>
  <c r="HT37" i="13"/>
  <c r="HS37" i="13"/>
  <c r="HE37" i="13"/>
  <c r="GH37" i="13"/>
  <c r="FK37" i="13"/>
  <c r="EM37" i="13"/>
  <c r="DP37" i="13"/>
  <c r="CS37" i="13"/>
  <c r="BV37" i="13"/>
  <c r="AY37" i="13"/>
  <c r="AB37" i="13"/>
  <c r="E37" i="13"/>
  <c r="HY37" i="13"/>
  <c r="HW37" i="13"/>
  <c r="GX37" i="13"/>
  <c r="GA37" i="13"/>
  <c r="FD37" i="13"/>
  <c r="EG37" i="13"/>
  <c r="DJ37" i="13"/>
  <c r="CM37" i="13"/>
  <c r="BP37" i="13"/>
  <c r="AS37" i="13"/>
  <c r="V37" i="13"/>
  <c r="HU37" i="13"/>
  <c r="GV37" i="13"/>
  <c r="FY37" i="13"/>
  <c r="FB37" i="13"/>
  <c r="EE37" i="13"/>
  <c r="DH37" i="13"/>
  <c r="CK37" i="13"/>
  <c r="BN37" i="13"/>
  <c r="AQ37" i="13"/>
  <c r="T37" i="13"/>
  <c r="IA37" i="13"/>
  <c r="GU37" i="13"/>
  <c r="FU37" i="13"/>
  <c r="EU37" i="13"/>
  <c r="DU37" i="13"/>
  <c r="CT37" i="13"/>
  <c r="BS37" i="13"/>
  <c r="AR37" i="13"/>
  <c r="Q37" i="13"/>
  <c r="HZ37" i="13"/>
  <c r="GT37" i="13"/>
  <c r="FT37" i="13"/>
  <c r="ET37" i="13"/>
  <c r="DT37" i="13"/>
  <c r="CR37" i="13"/>
  <c r="BR37" i="13"/>
  <c r="AP37" i="13"/>
  <c r="P37" i="13"/>
  <c r="HV37" i="13"/>
  <c r="GS37" i="13"/>
  <c r="FS37" i="13"/>
  <c r="ES37" i="13"/>
  <c r="DS37" i="13"/>
  <c r="CQ37" i="13"/>
  <c r="BQ37" i="13"/>
  <c r="AO37" i="13"/>
  <c r="O37" i="13"/>
  <c r="HR37" i="13"/>
  <c r="GR37" i="13"/>
  <c r="FR37" i="13"/>
  <c r="ER37" i="13"/>
  <c r="DQ37" i="13"/>
  <c r="CP37" i="13"/>
  <c r="BO37" i="13"/>
  <c r="AN37" i="13"/>
  <c r="N37" i="13"/>
  <c r="HQ37" i="13"/>
  <c r="GQ37" i="13"/>
  <c r="FQ37" i="13"/>
  <c r="EQ37" i="13"/>
  <c r="DO37" i="13"/>
  <c r="CO37" i="13"/>
  <c r="BM37" i="13"/>
  <c r="AM37" i="13"/>
  <c r="M37" i="13"/>
  <c r="HP37" i="13"/>
  <c r="GP37" i="13"/>
  <c r="FP37" i="13"/>
  <c r="EP37" i="13"/>
  <c r="DN37" i="13"/>
  <c r="CN37" i="13"/>
  <c r="BL37" i="13"/>
  <c r="AL37" i="13"/>
  <c r="K37" i="13"/>
  <c r="HO37" i="13"/>
  <c r="GO37" i="13"/>
  <c r="FO37" i="13"/>
  <c r="EO37" i="13"/>
  <c r="DM37" i="13"/>
  <c r="CL37" i="13"/>
  <c r="BK37" i="13"/>
  <c r="AK37" i="13"/>
  <c r="J37" i="13"/>
  <c r="HL37" i="13"/>
  <c r="GL37" i="13"/>
  <c r="FL37" i="13"/>
  <c r="EJ37" i="13"/>
  <c r="DI37" i="13"/>
  <c r="CH37" i="13"/>
  <c r="BH37" i="13"/>
  <c r="AG37" i="13"/>
  <c r="G37" i="13"/>
  <c r="GK37" i="13"/>
  <c r="EY37" i="13"/>
  <c r="DE37" i="13"/>
  <c r="BU37" i="13"/>
  <c r="AA37" i="13"/>
  <c r="GJ37" i="13"/>
  <c r="EX37" i="13"/>
  <c r="DD37" i="13"/>
  <c r="BT37" i="13"/>
  <c r="Z37" i="13"/>
  <c r="GG37" i="13"/>
  <c r="EV37" i="13"/>
  <c r="DB37" i="13"/>
  <c r="BI37" i="13"/>
  <c r="X37" i="13"/>
  <c r="HK37" i="13"/>
  <c r="FZ37" i="13"/>
  <c r="EF37" i="13"/>
  <c r="CW37" i="13"/>
  <c r="BB37" i="13"/>
  <c r="I37" i="13"/>
  <c r="HJ37" i="13"/>
  <c r="FX37" i="13"/>
  <c r="ED37" i="13"/>
  <c r="CU37" i="13"/>
  <c r="BA37" i="13"/>
  <c r="H37" i="13"/>
  <c r="HF37" i="13"/>
  <c r="FM37" i="13"/>
  <c r="DZ37" i="13"/>
  <c r="CF37" i="13"/>
  <c r="AV37" i="13"/>
  <c r="HC37" i="13"/>
  <c r="FH37" i="13"/>
  <c r="DX37" i="13"/>
  <c r="CD37" i="13"/>
  <c r="AT37" i="13"/>
  <c r="HA37" i="13"/>
  <c r="FG37" i="13"/>
  <c r="DW37" i="13"/>
  <c r="CC37" i="13"/>
  <c r="AJ37" i="13"/>
  <c r="FN37" i="13"/>
  <c r="DA37" i="13"/>
  <c r="AI37" i="13"/>
  <c r="FI37" i="13"/>
  <c r="CZ37" i="13"/>
  <c r="AF37" i="13"/>
  <c r="FF37" i="13"/>
  <c r="CY37" i="13"/>
  <c r="AE37" i="13"/>
  <c r="FE37" i="13"/>
  <c r="CX37" i="13"/>
  <c r="AD37" i="13"/>
  <c r="HN37" i="13"/>
  <c r="FC37" i="13"/>
  <c r="CJ37" i="13"/>
  <c r="AC37" i="13"/>
  <c r="HM37" i="13"/>
  <c r="FA37" i="13"/>
  <c r="CI37" i="13"/>
  <c r="Y37" i="13"/>
  <c r="HH37" i="13"/>
  <c r="EW37" i="13"/>
  <c r="CE37" i="13"/>
  <c r="U37" i="13"/>
  <c r="HD37" i="13"/>
  <c r="EK37" i="13"/>
  <c r="CA37" i="13"/>
  <c r="R37" i="13"/>
  <c r="GZ37" i="13"/>
  <c r="EI37" i="13"/>
  <c r="BY37" i="13"/>
  <c r="F37" i="13"/>
  <c r="GI37" i="13"/>
  <c r="DY37" i="13"/>
  <c r="BF37" i="13"/>
  <c r="GC37" i="13"/>
  <c r="BE37" i="13"/>
  <c r="GB37" i="13"/>
  <c r="BC37" i="13"/>
  <c r="FW37" i="13"/>
  <c r="AZ37" i="13"/>
  <c r="FV37" i="13"/>
  <c r="AX37" i="13"/>
  <c r="EB37" i="13"/>
  <c r="D37" i="13"/>
  <c r="EA37" i="13"/>
  <c r="DG37" i="13"/>
  <c r="HG37" i="13"/>
  <c r="DC37" i="13"/>
  <c r="GE37" i="13"/>
  <c r="GD37" i="13"/>
  <c r="EL37" i="13"/>
  <c r="EH37" i="13"/>
  <c r="DK37" i="13"/>
  <c r="DF37" i="13"/>
  <c r="BW37" i="13"/>
  <c r="BG37" i="13"/>
  <c r="AW37" i="13"/>
  <c r="GM37" i="13"/>
  <c r="EZ37" i="13"/>
  <c r="BJ37" i="13"/>
  <c r="AU37" i="13"/>
  <c r="HI37" i="13"/>
  <c r="GY37" i="13"/>
  <c r="EC37" i="13"/>
  <c r="DV37" i="13"/>
  <c r="GW37" i="13"/>
  <c r="DL37" i="13"/>
  <c r="CG37" i="13"/>
  <c r="CB37" i="13"/>
  <c r="S37" i="13"/>
  <c r="GN37" i="13"/>
  <c r="BX37" i="13"/>
  <c r="W37" i="13"/>
  <c r="HS59" i="13"/>
  <c r="GW59" i="13"/>
  <c r="GA59" i="13"/>
  <c r="FE59" i="13"/>
  <c r="EI59" i="13"/>
  <c r="DM59" i="13"/>
  <c r="CQ59" i="13"/>
  <c r="BU59" i="13"/>
  <c r="AY59" i="13"/>
  <c r="AC59" i="13"/>
  <c r="HN59" i="13"/>
  <c r="GQ59" i="13"/>
  <c r="FT59" i="13"/>
  <c r="EW59" i="13"/>
  <c r="DZ59" i="13"/>
  <c r="DC59" i="13"/>
  <c r="CF59" i="13"/>
  <c r="BI59" i="13"/>
  <c r="AL59" i="13"/>
  <c r="O59" i="13"/>
  <c r="HK59" i="13"/>
  <c r="GN59" i="13"/>
  <c r="FQ59" i="13"/>
  <c r="ET59" i="13"/>
  <c r="DW59" i="13"/>
  <c r="CZ59" i="13"/>
  <c r="CC59" i="13"/>
  <c r="BF59" i="13"/>
  <c r="AI59" i="13"/>
  <c r="HH59" i="13"/>
  <c r="GK59" i="13"/>
  <c r="FN59" i="13"/>
  <c r="EQ59" i="13"/>
  <c r="DT59" i="13"/>
  <c r="CW59" i="13"/>
  <c r="BZ59" i="13"/>
  <c r="BC59" i="13"/>
  <c r="AF59" i="13"/>
  <c r="I59" i="13"/>
  <c r="HL59" i="13"/>
  <c r="GJ59" i="13"/>
  <c r="FJ59" i="13"/>
  <c r="EJ59" i="13"/>
  <c r="DI59" i="13"/>
  <c r="CI59" i="13"/>
  <c r="BH59" i="13"/>
  <c r="AG59" i="13"/>
  <c r="G59" i="13"/>
  <c r="HJ59" i="13"/>
  <c r="GI59" i="13"/>
  <c r="FI59" i="13"/>
  <c r="EH59" i="13"/>
  <c r="DH59" i="13"/>
  <c r="CH59" i="13"/>
  <c r="BG59" i="13"/>
  <c r="AE59" i="13"/>
  <c r="F59" i="13"/>
  <c r="HI59" i="13"/>
  <c r="GH59" i="13"/>
  <c r="FH59" i="13"/>
  <c r="EG59" i="13"/>
  <c r="DG59" i="13"/>
  <c r="CG59" i="13"/>
  <c r="BE59" i="13"/>
  <c r="AD59" i="13"/>
  <c r="E59" i="13"/>
  <c r="HW59" i="13"/>
  <c r="GS59" i="13"/>
  <c r="FM59" i="13"/>
  <c r="EF59" i="13"/>
  <c r="DB59" i="13"/>
  <c r="BW59" i="13"/>
  <c r="AS59" i="13"/>
  <c r="P59" i="13"/>
  <c r="HV59" i="13"/>
  <c r="GR59" i="13"/>
  <c r="FL59" i="13"/>
  <c r="EE59" i="13"/>
  <c r="DA59" i="13"/>
  <c r="BV59" i="13"/>
  <c r="AR59" i="13"/>
  <c r="N59" i="13"/>
  <c r="HU59" i="13"/>
  <c r="GP59" i="13"/>
  <c r="FK59" i="13"/>
  <c r="ED59" i="13"/>
  <c r="CY59" i="13"/>
  <c r="BT59" i="13"/>
  <c r="AQ59" i="13"/>
  <c r="M59" i="13"/>
  <c r="HT59" i="13"/>
  <c r="GO59" i="13"/>
  <c r="FG59" i="13"/>
  <c r="EC59" i="13"/>
  <c r="CX59" i="13"/>
  <c r="BS59" i="13"/>
  <c r="AP59" i="13"/>
  <c r="L59" i="13"/>
  <c r="HQ59" i="13"/>
  <c r="GL59" i="13"/>
  <c r="FD59" i="13"/>
  <c r="EA59" i="13"/>
  <c r="CU59" i="13"/>
  <c r="BQ59" i="13"/>
  <c r="AN59" i="13"/>
  <c r="J59" i="13"/>
  <c r="GT59" i="13"/>
  <c r="EZ59" i="13"/>
  <c r="DO59" i="13"/>
  <c r="CA59" i="13"/>
  <c r="AK59" i="13"/>
  <c r="GM59" i="13"/>
  <c r="EY59" i="13"/>
  <c r="DN59" i="13"/>
  <c r="BY59" i="13"/>
  <c r="AJ59" i="13"/>
  <c r="IA59" i="13"/>
  <c r="GG59" i="13"/>
  <c r="EX59" i="13"/>
  <c r="DL59" i="13"/>
  <c r="BX59" i="13"/>
  <c r="AH59" i="13"/>
  <c r="HZ59" i="13"/>
  <c r="GF59" i="13"/>
  <c r="EV59" i="13"/>
  <c r="DK59" i="13"/>
  <c r="BR59" i="13"/>
  <c r="AB59" i="13"/>
  <c r="HX59" i="13"/>
  <c r="GD59" i="13"/>
  <c r="ES59" i="13"/>
  <c r="DF59" i="13"/>
  <c r="BO59" i="13"/>
  <c r="Z59" i="13"/>
  <c r="HB59" i="13"/>
  <c r="FB59" i="13"/>
  <c r="CV59" i="13"/>
  <c r="BA59" i="13"/>
  <c r="HA59" i="13"/>
  <c r="FA59" i="13"/>
  <c r="CT59" i="13"/>
  <c r="AZ59" i="13"/>
  <c r="GZ59" i="13"/>
  <c r="EU59" i="13"/>
  <c r="CS59" i="13"/>
  <c r="AX59" i="13"/>
  <c r="GY59" i="13"/>
  <c r="ER59" i="13"/>
  <c r="CR59" i="13"/>
  <c r="AW59" i="13"/>
  <c r="GE59" i="13"/>
  <c r="EM59" i="13"/>
  <c r="CM59" i="13"/>
  <c r="AO59" i="13"/>
  <c r="HO59" i="13"/>
  <c r="FF59" i="13"/>
  <c r="CL59" i="13"/>
  <c r="V59" i="13"/>
  <c r="HF59" i="13"/>
  <c r="EO59" i="13"/>
  <c r="CE59" i="13"/>
  <c r="S59" i="13"/>
  <c r="HE59" i="13"/>
  <c r="EN59" i="13"/>
  <c r="CD59" i="13"/>
  <c r="R59" i="13"/>
  <c r="HD59" i="13"/>
  <c r="EL59" i="13"/>
  <c r="CB59" i="13"/>
  <c r="Q59" i="13"/>
  <c r="FO59" i="13"/>
  <c r="BN59" i="13"/>
  <c r="FC59" i="13"/>
  <c r="BM59" i="13"/>
  <c r="HY59" i="13"/>
  <c r="EP59" i="13"/>
  <c r="BL59" i="13"/>
  <c r="HR59" i="13"/>
  <c r="EK59" i="13"/>
  <c r="BK59" i="13"/>
  <c r="HP59" i="13"/>
  <c r="EB59" i="13"/>
  <c r="BJ59" i="13"/>
  <c r="HM59" i="13"/>
  <c r="DY59" i="13"/>
  <c r="BD59" i="13"/>
  <c r="DS59" i="13"/>
  <c r="U59" i="13"/>
  <c r="DR59" i="13"/>
  <c r="T59" i="13"/>
  <c r="HG59" i="13"/>
  <c r="DP59" i="13"/>
  <c r="H59" i="13"/>
  <c r="HC59" i="13"/>
  <c r="DJ59" i="13"/>
  <c r="D59" i="13"/>
  <c r="GX59" i="13"/>
  <c r="DE59" i="13"/>
  <c r="GV59" i="13"/>
  <c r="DD59" i="13"/>
  <c r="GC59" i="13"/>
  <c r="CO59" i="13"/>
  <c r="FS59" i="13"/>
  <c r="FR59" i="13"/>
  <c r="FP59" i="13"/>
  <c r="DU59" i="13"/>
  <c r="CN59" i="13"/>
  <c r="FU59" i="13"/>
  <c r="DX59" i="13"/>
  <c r="CP59" i="13"/>
  <c r="CK59" i="13"/>
  <c r="CJ59" i="13"/>
  <c r="BB59" i="13"/>
  <c r="AV59" i="13"/>
  <c r="AU59" i="13"/>
  <c r="GU59" i="13"/>
  <c r="X59" i="13"/>
  <c r="K59" i="13"/>
  <c r="FZ59" i="13"/>
  <c r="BP59" i="13"/>
  <c r="FY59" i="13"/>
  <c r="FX59" i="13"/>
  <c r="FV59" i="13"/>
  <c r="AA59" i="13"/>
  <c r="Y59" i="13"/>
  <c r="GB59" i="13"/>
  <c r="DV59" i="13"/>
  <c r="DQ59" i="13"/>
  <c r="AT59" i="13"/>
  <c r="W59" i="13"/>
  <c r="FW59" i="13"/>
  <c r="AM59" i="13"/>
  <c r="HR8" i="13"/>
  <c r="GV8" i="13"/>
  <c r="FZ8" i="13"/>
  <c r="FD8" i="13"/>
  <c r="EH8" i="13"/>
  <c r="DL8" i="13"/>
  <c r="CP8" i="13"/>
  <c r="BT8" i="13"/>
  <c r="AX8" i="13"/>
  <c r="AB8" i="13"/>
  <c r="F8" i="13"/>
  <c r="HE8" i="13"/>
  <c r="GH8" i="13"/>
  <c r="FK8" i="13"/>
  <c r="EN8" i="13"/>
  <c r="DQ8" i="13"/>
  <c r="CT8" i="13"/>
  <c r="BW8" i="13"/>
  <c r="AZ8" i="13"/>
  <c r="AC8" i="13"/>
  <c r="E8" i="13"/>
  <c r="IA8" i="13"/>
  <c r="HD8" i="13"/>
  <c r="GG8" i="13"/>
  <c r="FJ8" i="13"/>
  <c r="EM8" i="13"/>
  <c r="DP8" i="13"/>
  <c r="CS8" i="13"/>
  <c r="BV8" i="13"/>
  <c r="AY8" i="13"/>
  <c r="AA8" i="13"/>
  <c r="D8" i="13"/>
  <c r="HX8" i="13"/>
  <c r="HA8" i="13"/>
  <c r="GD8" i="13"/>
  <c r="FG8" i="13"/>
  <c r="EJ8" i="13"/>
  <c r="DM8" i="13"/>
  <c r="CO8" i="13"/>
  <c r="BR8" i="13"/>
  <c r="AU8" i="13"/>
  <c r="X8" i="13"/>
  <c r="HW8" i="13"/>
  <c r="GZ8" i="13"/>
  <c r="GC8" i="13"/>
  <c r="FF8" i="13"/>
  <c r="EI8" i="13"/>
  <c r="DK8" i="13"/>
  <c r="CN8" i="13"/>
  <c r="BQ8" i="13"/>
  <c r="AT8" i="13"/>
  <c r="W8" i="13"/>
  <c r="HT8" i="13"/>
  <c r="GW8" i="13"/>
  <c r="FY8" i="13"/>
  <c r="FB8" i="13"/>
  <c r="EE8" i="13"/>
  <c r="DH8" i="13"/>
  <c r="CK8" i="13"/>
  <c r="BN8" i="13"/>
  <c r="AQ8" i="13"/>
  <c r="T8" i="13"/>
  <c r="HK8" i="13"/>
  <c r="GN8" i="13"/>
  <c r="FQ8" i="13"/>
  <c r="ET8" i="13"/>
  <c r="DW8" i="13"/>
  <c r="CZ8" i="13"/>
  <c r="CC8" i="13"/>
  <c r="BF8" i="13"/>
  <c r="AI8" i="13"/>
  <c r="L8" i="13"/>
  <c r="GT8" i="13"/>
  <c r="FP8" i="13"/>
  <c r="EK8" i="13"/>
  <c r="DD8" i="13"/>
  <c r="BZ8" i="13"/>
  <c r="AR8" i="13"/>
  <c r="N8" i="13"/>
  <c r="HZ8" i="13"/>
  <c r="GS8" i="13"/>
  <c r="FO8" i="13"/>
  <c r="EG8" i="13"/>
  <c r="DC8" i="13"/>
  <c r="BY8" i="13"/>
  <c r="AP8" i="13"/>
  <c r="M8" i="13"/>
  <c r="HV8" i="13"/>
  <c r="GQ8" i="13"/>
  <c r="FM8" i="13"/>
  <c r="ED8" i="13"/>
  <c r="DA8" i="13"/>
  <c r="BU8" i="13"/>
  <c r="AN8" i="13"/>
  <c r="J8" i="13"/>
  <c r="HU8" i="13"/>
  <c r="GP8" i="13"/>
  <c r="FL8" i="13"/>
  <c r="EC8" i="13"/>
  <c r="CY8" i="13"/>
  <c r="BS8" i="13"/>
  <c r="AM8" i="13"/>
  <c r="I8" i="13"/>
  <c r="HS8" i="13"/>
  <c r="GO8" i="13"/>
  <c r="FI8" i="13"/>
  <c r="EB8" i="13"/>
  <c r="CX8" i="13"/>
  <c r="BP8" i="13"/>
  <c r="AL8" i="13"/>
  <c r="H8" i="13"/>
  <c r="HO8" i="13"/>
  <c r="GK8" i="13"/>
  <c r="FC8" i="13"/>
  <c r="DY8" i="13"/>
  <c r="CU8" i="13"/>
  <c r="BL8" i="13"/>
  <c r="AH8" i="13"/>
  <c r="HC8" i="13"/>
  <c r="FH8" i="13"/>
  <c r="DS8" i="13"/>
  <c r="CD8" i="13"/>
  <c r="AG8" i="13"/>
  <c r="HB8" i="13"/>
  <c r="FE8" i="13"/>
  <c r="DR8" i="13"/>
  <c r="CB8" i="13"/>
  <c r="AF8" i="13"/>
  <c r="GY8" i="13"/>
  <c r="FA8" i="13"/>
  <c r="DO8" i="13"/>
  <c r="CA8" i="13"/>
  <c r="AE8" i="13"/>
  <c r="GU8" i="13"/>
  <c r="EY8" i="13"/>
  <c r="DJ8" i="13"/>
  <c r="BO8" i="13"/>
  <c r="Z8" i="13"/>
  <c r="GR8" i="13"/>
  <c r="EX8" i="13"/>
  <c r="DI8" i="13"/>
  <c r="BM8" i="13"/>
  <c r="Y8" i="13"/>
  <c r="GJ8" i="13"/>
  <c r="EU8" i="13"/>
  <c r="DE8" i="13"/>
  <c r="BI8" i="13"/>
  <c r="S8" i="13"/>
  <c r="HI8" i="13"/>
  <c r="EV8" i="13"/>
  <c r="CM8" i="13"/>
  <c r="AK8" i="13"/>
  <c r="HH8" i="13"/>
  <c r="ES8" i="13"/>
  <c r="CL8" i="13"/>
  <c r="AJ8" i="13"/>
  <c r="HG8" i="13"/>
  <c r="ER8" i="13"/>
  <c r="CJ8" i="13"/>
  <c r="AD8" i="13"/>
  <c r="HF8" i="13"/>
  <c r="EQ8" i="13"/>
  <c r="CI8" i="13"/>
  <c r="V8" i="13"/>
  <c r="GX8" i="13"/>
  <c r="EP8" i="13"/>
  <c r="CH8" i="13"/>
  <c r="U8" i="13"/>
  <c r="GM8" i="13"/>
  <c r="EO8" i="13"/>
  <c r="CG8" i="13"/>
  <c r="R8" i="13"/>
  <c r="GF8" i="13"/>
  <c r="EA8" i="13"/>
  <c r="BX8" i="13"/>
  <c r="O8" i="13"/>
  <c r="GE8" i="13"/>
  <c r="DZ8" i="13"/>
  <c r="BK8" i="13"/>
  <c r="K8" i="13"/>
  <c r="FR8" i="13"/>
  <c r="BG8" i="13"/>
  <c r="FN8" i="13"/>
  <c r="BE8" i="13"/>
  <c r="EW8" i="13"/>
  <c r="BC8" i="13"/>
  <c r="EL8" i="13"/>
  <c r="BB8" i="13"/>
  <c r="HY8" i="13"/>
  <c r="EF8" i="13"/>
  <c r="BA8" i="13"/>
  <c r="HN8" i="13"/>
  <c r="DU8" i="13"/>
  <c r="AS8" i="13"/>
  <c r="GA8" i="13"/>
  <c r="CV8" i="13"/>
  <c r="DT8" i="13"/>
  <c r="DN8" i="13"/>
  <c r="DF8" i="13"/>
  <c r="DB8" i="13"/>
  <c r="HQ8" i="13"/>
  <c r="CW8" i="13"/>
  <c r="HM8" i="13"/>
  <c r="CQ8" i="13"/>
  <c r="HL8" i="13"/>
  <c r="CF8" i="13"/>
  <c r="AW8" i="13"/>
  <c r="AV8" i="13"/>
  <c r="HP8" i="13"/>
  <c r="AO8" i="13"/>
  <c r="HJ8" i="13"/>
  <c r="Q8" i="13"/>
  <c r="GL8" i="13"/>
  <c r="P8" i="13"/>
  <c r="GI8" i="13"/>
  <c r="G8" i="13"/>
  <c r="GB8" i="13"/>
  <c r="FX8" i="13"/>
  <c r="FW8" i="13"/>
  <c r="FS8" i="13"/>
  <c r="BH8" i="13"/>
  <c r="IA30" i="13"/>
  <c r="HE30" i="13"/>
  <c r="GI30" i="13"/>
  <c r="FM30" i="13"/>
  <c r="EQ30" i="13"/>
  <c r="DU30" i="13"/>
  <c r="CY30" i="13"/>
  <c r="CC30" i="13"/>
  <c r="BG30" i="13"/>
  <c r="AK30" i="13"/>
  <c r="O30" i="13"/>
  <c r="HT30" i="13"/>
  <c r="GW30" i="13"/>
  <c r="FZ30" i="13"/>
  <c r="FC30" i="13"/>
  <c r="EF30" i="13"/>
  <c r="DI30" i="13"/>
  <c r="CL30" i="13"/>
  <c r="BO30" i="13"/>
  <c r="AR30" i="13"/>
  <c r="U30" i="13"/>
  <c r="HS30" i="13"/>
  <c r="GV30" i="13"/>
  <c r="FY30" i="13"/>
  <c r="FB30" i="13"/>
  <c r="EE30" i="13"/>
  <c r="DH30" i="13"/>
  <c r="CK30" i="13"/>
  <c r="BN30" i="13"/>
  <c r="AQ30" i="13"/>
  <c r="T30" i="13"/>
  <c r="HL30" i="13"/>
  <c r="GO30" i="13"/>
  <c r="FR30" i="13"/>
  <c r="EU30" i="13"/>
  <c r="DX30" i="13"/>
  <c r="DA30" i="13"/>
  <c r="CD30" i="13"/>
  <c r="BF30" i="13"/>
  <c r="AI30" i="13"/>
  <c r="L30" i="13"/>
  <c r="HK30" i="13"/>
  <c r="GN30" i="13"/>
  <c r="FQ30" i="13"/>
  <c r="ET30" i="13"/>
  <c r="DW30" i="13"/>
  <c r="CZ30" i="13"/>
  <c r="CB30" i="13"/>
  <c r="BE30" i="13"/>
  <c r="AH30" i="13"/>
  <c r="K30" i="13"/>
  <c r="HJ30" i="13"/>
  <c r="GH30" i="13"/>
  <c r="FG30" i="13"/>
  <c r="ED30" i="13"/>
  <c r="DC30" i="13"/>
  <c r="BY30" i="13"/>
  <c r="AX30" i="13"/>
  <c r="W30" i="13"/>
  <c r="HI30" i="13"/>
  <c r="GG30" i="13"/>
  <c r="FF30" i="13"/>
  <c r="EC30" i="13"/>
  <c r="DB30" i="13"/>
  <c r="BX30" i="13"/>
  <c r="AW30" i="13"/>
  <c r="V30" i="13"/>
  <c r="HG30" i="13"/>
  <c r="GE30" i="13"/>
  <c r="FD30" i="13"/>
  <c r="EA30" i="13"/>
  <c r="CW30" i="13"/>
  <c r="BV30" i="13"/>
  <c r="AU30" i="13"/>
  <c r="R30" i="13"/>
  <c r="HF30" i="13"/>
  <c r="GD30" i="13"/>
  <c r="FA30" i="13"/>
  <c r="DZ30" i="13"/>
  <c r="CV30" i="13"/>
  <c r="BU30" i="13"/>
  <c r="AT30" i="13"/>
  <c r="Q30" i="13"/>
  <c r="HD30" i="13"/>
  <c r="GC30" i="13"/>
  <c r="EZ30" i="13"/>
  <c r="DY30" i="13"/>
  <c r="CU30" i="13"/>
  <c r="BT30" i="13"/>
  <c r="AS30" i="13"/>
  <c r="P30" i="13"/>
  <c r="HB30" i="13"/>
  <c r="GA30" i="13"/>
  <c r="EX30" i="13"/>
  <c r="DT30" i="13"/>
  <c r="CS30" i="13"/>
  <c r="BR30" i="13"/>
  <c r="AO30" i="13"/>
  <c r="M30" i="13"/>
  <c r="GZ30" i="13"/>
  <c r="FW30" i="13"/>
  <c r="EV30" i="13"/>
  <c r="DR30" i="13"/>
  <c r="CQ30" i="13"/>
  <c r="BP30" i="13"/>
  <c r="AM30" i="13"/>
  <c r="I30" i="13"/>
  <c r="HZ30" i="13"/>
  <c r="GY30" i="13"/>
  <c r="FV30" i="13"/>
  <c r="ES30" i="13"/>
  <c r="DQ30" i="13"/>
  <c r="CP30" i="13"/>
  <c r="BM30" i="13"/>
  <c r="AL30" i="13"/>
  <c r="H30" i="13"/>
  <c r="HU30" i="13"/>
  <c r="GR30" i="13"/>
  <c r="FO30" i="13"/>
  <c r="EM30" i="13"/>
  <c r="DL30" i="13"/>
  <c r="CI30" i="13"/>
  <c r="BH30" i="13"/>
  <c r="AD30" i="13"/>
  <c r="HA30" i="13"/>
  <c r="FI30" i="13"/>
  <c r="DK30" i="13"/>
  <c r="BL30" i="13"/>
  <c r="X30" i="13"/>
  <c r="GX30" i="13"/>
  <c r="FH30" i="13"/>
  <c r="DJ30" i="13"/>
  <c r="BK30" i="13"/>
  <c r="S30" i="13"/>
  <c r="GU30" i="13"/>
  <c r="FE30" i="13"/>
  <c r="DG30" i="13"/>
  <c r="BJ30" i="13"/>
  <c r="N30" i="13"/>
  <c r="GT30" i="13"/>
  <c r="EY30" i="13"/>
  <c r="DF30" i="13"/>
  <c r="BI30" i="13"/>
  <c r="J30" i="13"/>
  <c r="GL30" i="13"/>
  <c r="EN30" i="13"/>
  <c r="CR30" i="13"/>
  <c r="AZ30" i="13"/>
  <c r="GK30" i="13"/>
  <c r="EL30" i="13"/>
  <c r="CO30" i="13"/>
  <c r="AY30" i="13"/>
  <c r="HV30" i="13"/>
  <c r="FX30" i="13"/>
  <c r="EH30" i="13"/>
  <c r="CH30" i="13"/>
  <c r="AJ30" i="13"/>
  <c r="HQ30" i="13"/>
  <c r="FT30" i="13"/>
  <c r="EB30" i="13"/>
  <c r="CF30" i="13"/>
  <c r="AF30" i="13"/>
  <c r="GM30" i="13"/>
  <c r="DO30" i="13"/>
  <c r="AP30" i="13"/>
  <c r="GJ30" i="13"/>
  <c r="DN30" i="13"/>
  <c r="AN30" i="13"/>
  <c r="GB30" i="13"/>
  <c r="DE30" i="13"/>
  <c r="AE30" i="13"/>
  <c r="FU30" i="13"/>
  <c r="DD30" i="13"/>
  <c r="AC30" i="13"/>
  <c r="FL30" i="13"/>
  <c r="CM30" i="13"/>
  <c r="Y30" i="13"/>
  <c r="HY30" i="13"/>
  <c r="FK30" i="13"/>
  <c r="CJ30" i="13"/>
  <c r="G30" i="13"/>
  <c r="HP30" i="13"/>
  <c r="EP30" i="13"/>
  <c r="BZ30" i="13"/>
  <c r="HN30" i="13"/>
  <c r="EK30" i="13"/>
  <c r="BS30" i="13"/>
  <c r="HM30" i="13"/>
  <c r="EJ30" i="13"/>
  <c r="BQ30" i="13"/>
  <c r="GF30" i="13"/>
  <c r="BC30" i="13"/>
  <c r="FS30" i="13"/>
  <c r="BB30" i="13"/>
  <c r="EI30" i="13"/>
  <c r="F30" i="13"/>
  <c r="EG30" i="13"/>
  <c r="E30" i="13"/>
  <c r="HX30" i="13"/>
  <c r="DM30" i="13"/>
  <c r="HR30" i="13"/>
  <c r="CT30" i="13"/>
  <c r="HO30" i="13"/>
  <c r="CN30" i="13"/>
  <c r="DV30" i="13"/>
  <c r="DS30" i="13"/>
  <c r="DP30" i="13"/>
  <c r="CG30" i="13"/>
  <c r="CE30" i="13"/>
  <c r="BD30" i="13"/>
  <c r="BA30" i="13"/>
  <c r="FP30" i="13"/>
  <c r="D30" i="13"/>
  <c r="HW30" i="13"/>
  <c r="HH30" i="13"/>
  <c r="HC30" i="13"/>
  <c r="GP30" i="13"/>
  <c r="CA30" i="13"/>
  <c r="BW30" i="13"/>
  <c r="AV30" i="13"/>
  <c r="AB30" i="13"/>
  <c r="AA30" i="13"/>
  <c r="CX30" i="13"/>
  <c r="AG30" i="13"/>
  <c r="Z30" i="13"/>
  <c r="GQ30" i="13"/>
  <c r="FJ30" i="13"/>
  <c r="EW30" i="13"/>
  <c r="EO30" i="13"/>
  <c r="HG52" i="13"/>
  <c r="GK52" i="13"/>
  <c r="FO52" i="13"/>
  <c r="ES52" i="13"/>
  <c r="DW52" i="13"/>
  <c r="DA52" i="13"/>
  <c r="CE52" i="13"/>
  <c r="BI52" i="13"/>
  <c r="AM52" i="13"/>
  <c r="Q52" i="13"/>
  <c r="HZ52" i="13"/>
  <c r="HD52" i="13"/>
  <c r="GH52" i="13"/>
  <c r="FL52" i="13"/>
  <c r="EP52" i="13"/>
  <c r="DT52" i="13"/>
  <c r="CX52" i="13"/>
  <c r="CB52" i="13"/>
  <c r="BF52" i="13"/>
  <c r="AJ52" i="13"/>
  <c r="N52" i="13"/>
  <c r="HI52" i="13"/>
  <c r="GJ52" i="13"/>
  <c r="FK52" i="13"/>
  <c r="EM52" i="13"/>
  <c r="DO52" i="13"/>
  <c r="CQ52" i="13"/>
  <c r="BS52" i="13"/>
  <c r="AU52" i="13"/>
  <c r="W52" i="13"/>
  <c r="HH52" i="13"/>
  <c r="GI52" i="13"/>
  <c r="FJ52" i="13"/>
  <c r="EL52" i="13"/>
  <c r="DN52" i="13"/>
  <c r="CP52" i="13"/>
  <c r="BR52" i="13"/>
  <c r="AT52" i="13"/>
  <c r="V52" i="13"/>
  <c r="HF52" i="13"/>
  <c r="GG52" i="13"/>
  <c r="FI52" i="13"/>
  <c r="EK52" i="13"/>
  <c r="DM52" i="13"/>
  <c r="CO52" i="13"/>
  <c r="BQ52" i="13"/>
  <c r="AS52" i="13"/>
  <c r="U52" i="13"/>
  <c r="HE52" i="13"/>
  <c r="GF52" i="13"/>
  <c r="FH52" i="13"/>
  <c r="EJ52" i="13"/>
  <c r="DL52" i="13"/>
  <c r="CN52" i="13"/>
  <c r="BP52" i="13"/>
  <c r="AR52" i="13"/>
  <c r="T52" i="13"/>
  <c r="HW52" i="13"/>
  <c r="GU52" i="13"/>
  <c r="FS52" i="13"/>
  <c r="EO52" i="13"/>
  <c r="DI52" i="13"/>
  <c r="CG52" i="13"/>
  <c r="BC52" i="13"/>
  <c r="AA52" i="13"/>
  <c r="HV52" i="13"/>
  <c r="GT52" i="13"/>
  <c r="FR52" i="13"/>
  <c r="EN52" i="13"/>
  <c r="DH52" i="13"/>
  <c r="CF52" i="13"/>
  <c r="BB52" i="13"/>
  <c r="Z52" i="13"/>
  <c r="HU52" i="13"/>
  <c r="GS52" i="13"/>
  <c r="FQ52" i="13"/>
  <c r="EI52" i="13"/>
  <c r="DG52" i="13"/>
  <c r="CD52" i="13"/>
  <c r="BA52" i="13"/>
  <c r="Y52" i="13"/>
  <c r="HT52" i="13"/>
  <c r="GR52" i="13"/>
  <c r="FP52" i="13"/>
  <c r="EH52" i="13"/>
  <c r="DF52" i="13"/>
  <c r="CC52" i="13"/>
  <c r="AZ52" i="13"/>
  <c r="X52" i="13"/>
  <c r="HA52" i="13"/>
  <c r="FU52" i="13"/>
  <c r="EE52" i="13"/>
  <c r="CW52" i="13"/>
  <c r="BM52" i="13"/>
  <c r="AE52" i="13"/>
  <c r="GX52" i="13"/>
  <c r="FM52" i="13"/>
  <c r="EB52" i="13"/>
  <c r="CT52" i="13"/>
  <c r="BJ52" i="13"/>
  <c r="AB52" i="13"/>
  <c r="HN52" i="13"/>
  <c r="FZ52" i="13"/>
  <c r="EQ52" i="13"/>
  <c r="CY52" i="13"/>
  <c r="BK52" i="13"/>
  <c r="R52" i="13"/>
  <c r="HM52" i="13"/>
  <c r="FY52" i="13"/>
  <c r="EG52" i="13"/>
  <c r="CV52" i="13"/>
  <c r="BH52" i="13"/>
  <c r="P52" i="13"/>
  <c r="HL52" i="13"/>
  <c r="FX52" i="13"/>
  <c r="EF52" i="13"/>
  <c r="CU52" i="13"/>
  <c r="BG52" i="13"/>
  <c r="O52" i="13"/>
  <c r="HK52" i="13"/>
  <c r="FW52" i="13"/>
  <c r="ED52" i="13"/>
  <c r="CS52" i="13"/>
  <c r="BE52" i="13"/>
  <c r="M52" i="13"/>
  <c r="HJ52" i="13"/>
  <c r="FV52" i="13"/>
  <c r="EC52" i="13"/>
  <c r="CR52" i="13"/>
  <c r="BD52" i="13"/>
  <c r="L52" i="13"/>
  <c r="HC52" i="13"/>
  <c r="FT52" i="13"/>
  <c r="EA52" i="13"/>
  <c r="CM52" i="13"/>
  <c r="AY52" i="13"/>
  <c r="K52" i="13"/>
  <c r="GQ52" i="13"/>
  <c r="EW52" i="13"/>
  <c r="CK52" i="13"/>
  <c r="AL52" i="13"/>
  <c r="GP52" i="13"/>
  <c r="EV52" i="13"/>
  <c r="CJ52" i="13"/>
  <c r="AK52" i="13"/>
  <c r="GN52" i="13"/>
  <c r="ET52" i="13"/>
  <c r="CH52" i="13"/>
  <c r="AH52" i="13"/>
  <c r="GM52" i="13"/>
  <c r="ER52" i="13"/>
  <c r="CA52" i="13"/>
  <c r="AG52" i="13"/>
  <c r="GL52" i="13"/>
  <c r="DZ52" i="13"/>
  <c r="BZ52" i="13"/>
  <c r="AF52" i="13"/>
  <c r="GE52" i="13"/>
  <c r="DY52" i="13"/>
  <c r="BY52" i="13"/>
  <c r="AD52" i="13"/>
  <c r="GC52" i="13"/>
  <c r="DV52" i="13"/>
  <c r="BW52" i="13"/>
  <c r="S52" i="13"/>
  <c r="HQ52" i="13"/>
  <c r="EX52" i="13"/>
  <c r="BN52" i="13"/>
  <c r="HP52" i="13"/>
  <c r="EU52" i="13"/>
  <c r="BL52" i="13"/>
  <c r="HO52" i="13"/>
  <c r="DX52" i="13"/>
  <c r="AX52" i="13"/>
  <c r="GY52" i="13"/>
  <c r="DR52" i="13"/>
  <c r="AQ52" i="13"/>
  <c r="GO52" i="13"/>
  <c r="DK52" i="13"/>
  <c r="AN52" i="13"/>
  <c r="FN52" i="13"/>
  <c r="BX52" i="13"/>
  <c r="FG52" i="13"/>
  <c r="BV52" i="13"/>
  <c r="FD52" i="13"/>
  <c r="BO52" i="13"/>
  <c r="FC52" i="13"/>
  <c r="AW52" i="13"/>
  <c r="FB52" i="13"/>
  <c r="AV52" i="13"/>
  <c r="EZ52" i="13"/>
  <c r="AO52" i="13"/>
  <c r="EY52" i="13"/>
  <c r="AI52" i="13"/>
  <c r="IA52" i="13"/>
  <c r="DU52" i="13"/>
  <c r="AC52" i="13"/>
  <c r="HB52" i="13"/>
  <c r="DE52" i="13"/>
  <c r="F52" i="13"/>
  <c r="DP52" i="13"/>
  <c r="DJ52" i="13"/>
  <c r="DD52" i="13"/>
  <c r="DC52" i="13"/>
  <c r="DB52" i="13"/>
  <c r="CZ52" i="13"/>
  <c r="CL52" i="13"/>
  <c r="HS52" i="13"/>
  <c r="BT52" i="13"/>
  <c r="GA52" i="13"/>
  <c r="D52" i="13"/>
  <c r="H52" i="13"/>
  <c r="G52" i="13"/>
  <c r="GW52" i="13"/>
  <c r="GV52" i="13"/>
  <c r="FE52" i="13"/>
  <c r="DS52" i="13"/>
  <c r="DQ52" i="13"/>
  <c r="HY52" i="13"/>
  <c r="HX52" i="13"/>
  <c r="HR52" i="13"/>
  <c r="GZ52" i="13"/>
  <c r="GD52" i="13"/>
  <c r="FF52" i="13"/>
  <c r="CI52" i="13"/>
  <c r="BU52" i="13"/>
  <c r="AP52" i="13"/>
  <c r="I52" i="13"/>
  <c r="E52" i="13"/>
  <c r="FA52" i="13"/>
  <c r="J52" i="13"/>
  <c r="GB52" i="13"/>
  <c r="HO23" i="13"/>
  <c r="GS23" i="13"/>
  <c r="FW23" i="13"/>
  <c r="FA23" i="13"/>
  <c r="EE23" i="13"/>
  <c r="DI23" i="13"/>
  <c r="CM23" i="13"/>
  <c r="BQ23" i="13"/>
  <c r="AU23" i="13"/>
  <c r="Y23" i="13"/>
  <c r="HK23" i="13"/>
  <c r="GN23" i="13"/>
  <c r="FQ23" i="13"/>
  <c r="ET23" i="13"/>
  <c r="DW23" i="13"/>
  <c r="CZ23" i="13"/>
  <c r="CC23" i="13"/>
  <c r="BF23" i="13"/>
  <c r="AI23" i="13"/>
  <c r="L23" i="13"/>
  <c r="HJ23" i="13"/>
  <c r="GM23" i="13"/>
  <c r="FP23" i="13"/>
  <c r="ES23" i="13"/>
  <c r="DV23" i="13"/>
  <c r="CY23" i="13"/>
  <c r="CB23" i="13"/>
  <c r="BE23" i="13"/>
  <c r="AH23" i="13"/>
  <c r="K23" i="13"/>
  <c r="HI23" i="13"/>
  <c r="GL23" i="13"/>
  <c r="FO23" i="13"/>
  <c r="ER23" i="13"/>
  <c r="DU23" i="13"/>
  <c r="CX23" i="13"/>
  <c r="CA23" i="13"/>
  <c r="BD23" i="13"/>
  <c r="AG23" i="13"/>
  <c r="J23" i="13"/>
  <c r="HZ23" i="13"/>
  <c r="HC23" i="13"/>
  <c r="GF23" i="13"/>
  <c r="FI23" i="13"/>
  <c r="EL23" i="13"/>
  <c r="DO23" i="13"/>
  <c r="CR23" i="13"/>
  <c r="BU23" i="13"/>
  <c r="AX23" i="13"/>
  <c r="AA23" i="13"/>
  <c r="D23" i="13"/>
  <c r="HY23" i="13"/>
  <c r="HB23" i="13"/>
  <c r="GE23" i="13"/>
  <c r="FH23" i="13"/>
  <c r="EK23" i="13"/>
  <c r="DN23" i="13"/>
  <c r="CQ23" i="13"/>
  <c r="BT23" i="13"/>
  <c r="AW23" i="13"/>
  <c r="Z23" i="13"/>
  <c r="HU23" i="13"/>
  <c r="GX23" i="13"/>
  <c r="GA23" i="13"/>
  <c r="FD23" i="13"/>
  <c r="EG23" i="13"/>
  <c r="DJ23" i="13"/>
  <c r="CL23" i="13"/>
  <c r="BO23" i="13"/>
  <c r="AR23" i="13"/>
  <c r="U23" i="13"/>
  <c r="HF23" i="13"/>
  <c r="FZ23" i="13"/>
  <c r="EV23" i="13"/>
  <c r="DP23" i="13"/>
  <c r="CI23" i="13"/>
  <c r="BC23" i="13"/>
  <c r="W23" i="13"/>
  <c r="HE23" i="13"/>
  <c r="FY23" i="13"/>
  <c r="EU23" i="13"/>
  <c r="DM23" i="13"/>
  <c r="CH23" i="13"/>
  <c r="BB23" i="13"/>
  <c r="V23" i="13"/>
  <c r="GZ23" i="13"/>
  <c r="FU23" i="13"/>
  <c r="EO23" i="13"/>
  <c r="DH23" i="13"/>
  <c r="CE23" i="13"/>
  <c r="AY23" i="13"/>
  <c r="R23" i="13"/>
  <c r="IA23" i="13"/>
  <c r="GU23" i="13"/>
  <c r="FN23" i="13"/>
  <c r="EI23" i="13"/>
  <c r="DD23" i="13"/>
  <c r="BX23" i="13"/>
  <c r="AQ23" i="13"/>
  <c r="N23" i="13"/>
  <c r="HX23" i="13"/>
  <c r="GT23" i="13"/>
  <c r="FM23" i="13"/>
  <c r="EH23" i="13"/>
  <c r="DC23" i="13"/>
  <c r="BW23" i="13"/>
  <c r="AP23" i="13"/>
  <c r="M23" i="13"/>
  <c r="HS23" i="13"/>
  <c r="GO23" i="13"/>
  <c r="FG23" i="13"/>
  <c r="EB23" i="13"/>
  <c r="CV23" i="13"/>
  <c r="BP23" i="13"/>
  <c r="AL23" i="13"/>
  <c r="F23" i="13"/>
  <c r="HQ23" i="13"/>
  <c r="GJ23" i="13"/>
  <c r="FE23" i="13"/>
  <c r="DZ23" i="13"/>
  <c r="CT23" i="13"/>
  <c r="BM23" i="13"/>
  <c r="AJ23" i="13"/>
  <c r="GY23" i="13"/>
  <c r="FC23" i="13"/>
  <c r="DK23" i="13"/>
  <c r="BN23" i="13"/>
  <c r="T23" i="13"/>
  <c r="GW23" i="13"/>
  <c r="FB23" i="13"/>
  <c r="DG23" i="13"/>
  <c r="BL23" i="13"/>
  <c r="S23" i="13"/>
  <c r="GH23" i="13"/>
  <c r="EN23" i="13"/>
  <c r="CS23" i="13"/>
  <c r="AZ23" i="13"/>
  <c r="E23" i="13"/>
  <c r="GG23" i="13"/>
  <c r="EM23" i="13"/>
  <c r="CP23" i="13"/>
  <c r="AV23" i="13"/>
  <c r="HR23" i="13"/>
  <c r="FX23" i="13"/>
  <c r="EC23" i="13"/>
  <c r="CJ23" i="13"/>
  <c r="AN23" i="13"/>
  <c r="HN23" i="13"/>
  <c r="FT23" i="13"/>
  <c r="DY23" i="13"/>
  <c r="CF23" i="13"/>
  <c r="AK23" i="13"/>
  <c r="HM23" i="13"/>
  <c r="FS23" i="13"/>
  <c r="DX23" i="13"/>
  <c r="CD23" i="13"/>
  <c r="AF23" i="13"/>
  <c r="GK23" i="13"/>
  <c r="DS23" i="13"/>
  <c r="BH23" i="13"/>
  <c r="GI23" i="13"/>
  <c r="DR23" i="13"/>
  <c r="BG23" i="13"/>
  <c r="GD23" i="13"/>
  <c r="DQ23" i="13"/>
  <c r="BA23" i="13"/>
  <c r="GB23" i="13"/>
  <c r="DF23" i="13"/>
  <c r="AS23" i="13"/>
  <c r="FV23" i="13"/>
  <c r="DE23" i="13"/>
  <c r="AO23" i="13"/>
  <c r="FK23" i="13"/>
  <c r="CW23" i="13"/>
  <c r="AD23" i="13"/>
  <c r="HW23" i="13"/>
  <c r="FJ23" i="13"/>
  <c r="CU23" i="13"/>
  <c r="AC23" i="13"/>
  <c r="HD23" i="13"/>
  <c r="EP23" i="13"/>
  <c r="BV23" i="13"/>
  <c r="H23" i="13"/>
  <c r="EW23" i="13"/>
  <c r="AM23" i="13"/>
  <c r="EQ23" i="13"/>
  <c r="AE23" i="13"/>
  <c r="EF23" i="13"/>
  <c r="X23" i="13"/>
  <c r="HV23" i="13"/>
  <c r="ED23" i="13"/>
  <c r="Q23" i="13"/>
  <c r="HT23" i="13"/>
  <c r="EA23" i="13"/>
  <c r="P23" i="13"/>
  <c r="HH23" i="13"/>
  <c r="DB23" i="13"/>
  <c r="G23" i="13"/>
  <c r="GR23" i="13"/>
  <c r="BK23" i="13"/>
  <c r="GQ23" i="13"/>
  <c r="BJ23" i="13"/>
  <c r="GP23" i="13"/>
  <c r="BI23" i="13"/>
  <c r="FR23" i="13"/>
  <c r="AB23" i="13"/>
  <c r="FL23" i="13"/>
  <c r="O23" i="13"/>
  <c r="EY23" i="13"/>
  <c r="GC23" i="13"/>
  <c r="FF23" i="13"/>
  <c r="EZ23" i="13"/>
  <c r="EX23" i="13"/>
  <c r="EJ23" i="13"/>
  <c r="DT23" i="13"/>
  <c r="CO23" i="13"/>
  <c r="CN23" i="13"/>
  <c r="CG23" i="13"/>
  <c r="BZ23" i="13"/>
  <c r="BY23" i="13"/>
  <c r="BS23" i="13"/>
  <c r="BR23" i="13"/>
  <c r="AT23" i="13"/>
  <c r="HL23" i="13"/>
  <c r="GV23" i="13"/>
  <c r="HK45" i="13"/>
  <c r="GO45" i="13"/>
  <c r="FS45" i="13"/>
  <c r="EW45" i="13"/>
  <c r="EA45" i="13"/>
  <c r="DE45" i="13"/>
  <c r="CI45" i="13"/>
  <c r="BM45" i="13"/>
  <c r="AQ45" i="13"/>
  <c r="U45" i="13"/>
  <c r="HJ45" i="13"/>
  <c r="GN45" i="13"/>
  <c r="FR45" i="13"/>
  <c r="EV45" i="13"/>
  <c r="DZ45" i="13"/>
  <c r="DD45" i="13"/>
  <c r="CH45" i="13"/>
  <c r="BL45" i="13"/>
  <c r="AP45" i="13"/>
  <c r="T45" i="13"/>
  <c r="HI45" i="13"/>
  <c r="GM45" i="13"/>
  <c r="FQ45" i="13"/>
  <c r="EU45" i="13"/>
  <c r="DY45" i="13"/>
  <c r="DC45" i="13"/>
  <c r="CG45" i="13"/>
  <c r="BK45" i="13"/>
  <c r="AO45" i="13"/>
  <c r="S45" i="13"/>
  <c r="HQ45" i="13"/>
  <c r="GR45" i="13"/>
  <c r="FP45" i="13"/>
  <c r="EQ45" i="13"/>
  <c r="DR45" i="13"/>
  <c r="CS45" i="13"/>
  <c r="BT45" i="13"/>
  <c r="AU45" i="13"/>
  <c r="V45" i="13"/>
  <c r="HP45" i="13"/>
  <c r="GQ45" i="13"/>
  <c r="FO45" i="13"/>
  <c r="EP45" i="13"/>
  <c r="DQ45" i="13"/>
  <c r="CR45" i="13"/>
  <c r="BS45" i="13"/>
  <c r="AT45" i="13"/>
  <c r="R45" i="13"/>
  <c r="HN45" i="13"/>
  <c r="GL45" i="13"/>
  <c r="FM45" i="13"/>
  <c r="EN45" i="13"/>
  <c r="DO45" i="13"/>
  <c r="CP45" i="13"/>
  <c r="BQ45" i="13"/>
  <c r="AR45" i="13"/>
  <c r="P45" i="13"/>
  <c r="HM45" i="13"/>
  <c r="GK45" i="13"/>
  <c r="FL45" i="13"/>
  <c r="EM45" i="13"/>
  <c r="DN45" i="13"/>
  <c r="CO45" i="13"/>
  <c r="BP45" i="13"/>
  <c r="AN45" i="13"/>
  <c r="O45" i="13"/>
  <c r="HL45" i="13"/>
  <c r="GJ45" i="13"/>
  <c r="FK45" i="13"/>
  <c r="EL45" i="13"/>
  <c r="DM45" i="13"/>
  <c r="CN45" i="13"/>
  <c r="BO45" i="13"/>
  <c r="AM45" i="13"/>
  <c r="N45" i="13"/>
  <c r="HH45" i="13"/>
  <c r="GI45" i="13"/>
  <c r="FJ45" i="13"/>
  <c r="EK45" i="13"/>
  <c r="DL45" i="13"/>
  <c r="CM45" i="13"/>
  <c r="BN45" i="13"/>
  <c r="AL45" i="13"/>
  <c r="M45" i="13"/>
  <c r="HF45" i="13"/>
  <c r="GG45" i="13"/>
  <c r="FH45" i="13"/>
  <c r="EI45" i="13"/>
  <c r="DJ45" i="13"/>
  <c r="CK45" i="13"/>
  <c r="BI45" i="13"/>
  <c r="AJ45" i="13"/>
  <c r="K45" i="13"/>
  <c r="GV45" i="13"/>
  <c r="FF45" i="13"/>
  <c r="DW45" i="13"/>
  <c r="CJ45" i="13"/>
  <c r="BA45" i="13"/>
  <c r="L45" i="13"/>
  <c r="IA45" i="13"/>
  <c r="GU45" i="13"/>
  <c r="FE45" i="13"/>
  <c r="DV45" i="13"/>
  <c r="CF45" i="13"/>
  <c r="AZ45" i="13"/>
  <c r="J45" i="13"/>
  <c r="HZ45" i="13"/>
  <c r="GT45" i="13"/>
  <c r="FD45" i="13"/>
  <c r="DU45" i="13"/>
  <c r="CE45" i="13"/>
  <c r="AY45" i="13"/>
  <c r="I45" i="13"/>
  <c r="HW45" i="13"/>
  <c r="GH45" i="13"/>
  <c r="FA45" i="13"/>
  <c r="DP45" i="13"/>
  <c r="CB45" i="13"/>
  <c r="AV45" i="13"/>
  <c r="F45" i="13"/>
  <c r="GZ45" i="13"/>
  <c r="FC45" i="13"/>
  <c r="DH45" i="13"/>
  <c r="BU45" i="13"/>
  <c r="AA45" i="13"/>
  <c r="GY45" i="13"/>
  <c r="FB45" i="13"/>
  <c r="DG45" i="13"/>
  <c r="BR45" i="13"/>
  <c r="Z45" i="13"/>
  <c r="GS45" i="13"/>
  <c r="EX45" i="13"/>
  <c r="DA45" i="13"/>
  <c r="BG45" i="13"/>
  <c r="W45" i="13"/>
  <c r="GP45" i="13"/>
  <c r="ET45" i="13"/>
  <c r="CZ45" i="13"/>
  <c r="BF45" i="13"/>
  <c r="Q45" i="13"/>
  <c r="GF45" i="13"/>
  <c r="ES45" i="13"/>
  <c r="CY45" i="13"/>
  <c r="BE45" i="13"/>
  <c r="H45" i="13"/>
  <c r="HY45" i="13"/>
  <c r="GD45" i="13"/>
  <c r="EO45" i="13"/>
  <c r="CW45" i="13"/>
  <c r="BC45" i="13"/>
  <c r="E45" i="13"/>
  <c r="HX45" i="13"/>
  <c r="GC45" i="13"/>
  <c r="EJ45" i="13"/>
  <c r="CV45" i="13"/>
  <c r="BB45" i="13"/>
  <c r="D45" i="13"/>
  <c r="HV45" i="13"/>
  <c r="GB45" i="13"/>
  <c r="EH45" i="13"/>
  <c r="CU45" i="13"/>
  <c r="AX45" i="13"/>
  <c r="HO45" i="13"/>
  <c r="FW45" i="13"/>
  <c r="EC45" i="13"/>
  <c r="CC45" i="13"/>
  <c r="AH45" i="13"/>
  <c r="FI45" i="13"/>
  <c r="CA45" i="13"/>
  <c r="HU45" i="13"/>
  <c r="FG45" i="13"/>
  <c r="BZ45" i="13"/>
  <c r="HT45" i="13"/>
  <c r="EZ45" i="13"/>
  <c r="BY45" i="13"/>
  <c r="HS45" i="13"/>
  <c r="EY45" i="13"/>
  <c r="BX45" i="13"/>
  <c r="HR45" i="13"/>
  <c r="ER45" i="13"/>
  <c r="BW45" i="13"/>
  <c r="HG45" i="13"/>
  <c r="EG45" i="13"/>
  <c r="BV45" i="13"/>
  <c r="HE45" i="13"/>
  <c r="EF45" i="13"/>
  <c r="BJ45" i="13"/>
  <c r="HB45" i="13"/>
  <c r="EB45" i="13"/>
  <c r="AW45" i="13"/>
  <c r="FY45" i="13"/>
  <c r="DB45" i="13"/>
  <c r="AD45" i="13"/>
  <c r="FU45" i="13"/>
  <c r="AF45" i="13"/>
  <c r="FT45" i="13"/>
  <c r="AE45" i="13"/>
  <c r="EE45" i="13"/>
  <c r="AB45" i="13"/>
  <c r="DK45" i="13"/>
  <c r="DI45" i="13"/>
  <c r="HC45" i="13"/>
  <c r="CQ45" i="13"/>
  <c r="GX45" i="13"/>
  <c r="CD45" i="13"/>
  <c r="GW45" i="13"/>
  <c r="BH45" i="13"/>
  <c r="DX45" i="13"/>
  <c r="DT45" i="13"/>
  <c r="DS45" i="13"/>
  <c r="DF45" i="13"/>
  <c r="CX45" i="13"/>
  <c r="CT45" i="13"/>
  <c r="BD45" i="13"/>
  <c r="AK45" i="13"/>
  <c r="AI45" i="13"/>
  <c r="GE45" i="13"/>
  <c r="G45" i="13"/>
  <c r="AC45" i="13"/>
  <c r="Y45" i="13"/>
  <c r="X45" i="13"/>
  <c r="GA45" i="13"/>
  <c r="FX45" i="13"/>
  <c r="FV45" i="13"/>
  <c r="ED45" i="13"/>
  <c r="CL45" i="13"/>
  <c r="FZ45" i="13"/>
  <c r="AS45" i="13"/>
  <c r="AG45" i="13"/>
  <c r="HA45" i="13"/>
  <c r="FN45" i="13"/>
  <c r="HD45" i="13"/>
  <c r="M51" i="7"/>
  <c r="L51" i="7"/>
  <c r="DG8" i="13"/>
  <c r="DK15" i="13"/>
  <c r="DV8" i="13"/>
  <c r="EA15" i="13"/>
  <c r="L78" i="7"/>
  <c r="L184" i="7"/>
  <c r="DX8" i="13"/>
  <c r="GT15" i="13"/>
  <c r="L87" i="7"/>
  <c r="M120" i="7"/>
  <c r="L120" i="7"/>
  <c r="EZ8" i="13"/>
  <c r="L80" i="7"/>
  <c r="M220" i="7"/>
  <c r="FT8" i="13"/>
  <c r="M62" i="7"/>
  <c r="L62" i="7"/>
  <c r="L144" i="7"/>
  <c r="M137" i="7"/>
  <c r="L137" i="7"/>
  <c r="M142" i="7"/>
  <c r="M206" i="7"/>
  <c r="L206" i="7"/>
  <c r="M126" i="7"/>
  <c r="L126" i="7"/>
  <c r="M117" i="7"/>
  <c r="M152" i="7"/>
  <c r="L152" i="7"/>
  <c r="N6" i="12"/>
  <c r="M6" i="12"/>
  <c r="J6" i="12"/>
  <c r="B21" i="12"/>
  <c r="T6" i="12"/>
  <c r="P6" i="12"/>
  <c r="O6" i="12"/>
  <c r="B39" i="12"/>
  <c r="L6" i="12"/>
  <c r="H6" i="12"/>
  <c r="Y6" i="12"/>
  <c r="X6" i="12"/>
  <c r="S6" i="12"/>
  <c r="K6" i="12"/>
  <c r="B19" i="12"/>
  <c r="I6" i="12"/>
  <c r="A6" i="12"/>
  <c r="A39" i="12" s="1"/>
  <c r="D6" i="12"/>
  <c r="C6" i="12"/>
  <c r="B20" i="12"/>
  <c r="M109" i="7"/>
  <c r="M218" i="7"/>
  <c r="L218" i="7"/>
  <c r="L97" i="7"/>
  <c r="L130" i="7"/>
  <c r="L153" i="7"/>
  <c r="M150" i="7"/>
  <c r="L150" i="7"/>
  <c r="L71" i="7"/>
  <c r="M111" i="7"/>
  <c r="L145" i="7"/>
  <c r="L156" i="7"/>
  <c r="M112" i="7"/>
  <c r="M159" i="7"/>
  <c r="M203" i="7"/>
  <c r="L197" i="7"/>
  <c r="L199" i="7"/>
  <c r="M199" i="7"/>
  <c r="M168" i="7"/>
  <c r="L168" i="7"/>
  <c r="M138" i="7"/>
  <c r="M167" i="7"/>
  <c r="M226" i="7"/>
  <c r="M134" i="7"/>
  <c r="M212" i="7"/>
  <c r="L214" i="7"/>
  <c r="M214" i="7"/>
  <c r="M83" i="7"/>
  <c r="M161" i="7"/>
  <c r="L161" i="7"/>
  <c r="L186" i="7"/>
  <c r="M196" i="7"/>
  <c r="L196" i="7"/>
  <c r="M232" i="7"/>
  <c r="L232" i="7"/>
  <c r="L108" i="7"/>
  <c r="M123" i="7"/>
  <c r="L135" i="7"/>
  <c r="J43" i="12"/>
  <c r="I43" i="12"/>
  <c r="P43" i="12"/>
  <c r="O43" i="12"/>
  <c r="C43" i="12"/>
  <c r="D43" i="12"/>
  <c r="V43" i="12"/>
  <c r="U43" i="12"/>
  <c r="M177" i="7"/>
  <c r="M192" i="7"/>
  <c r="M233" i="7"/>
  <c r="L127" i="7"/>
  <c r="L138" i="7"/>
  <c r="L167" i="7"/>
  <c r="M160" i="7"/>
  <c r="L188" i="7"/>
  <c r="L215" i="7"/>
  <c r="L207" i="7"/>
  <c r="Z31" i="12"/>
  <c r="D31" i="12"/>
  <c r="C31" i="12"/>
  <c r="R31" i="12"/>
  <c r="Q31" i="12"/>
  <c r="S31" i="12"/>
  <c r="M209" i="7"/>
  <c r="M223" i="7"/>
  <c r="L225" i="7"/>
  <c r="M181" i="7"/>
  <c r="S13" i="12"/>
  <c r="L13" i="12"/>
  <c r="D13" i="12"/>
  <c r="C13" i="12"/>
  <c r="A13" i="12"/>
  <c r="B18" i="12"/>
  <c r="B17" i="12"/>
  <c r="N5" i="12"/>
  <c r="P5" i="12"/>
  <c r="O5" i="12"/>
  <c r="L5" i="12"/>
  <c r="B38" i="12"/>
  <c r="K5" i="12"/>
  <c r="B16" i="12"/>
  <c r="J5" i="12"/>
  <c r="V6" i="12" s="1"/>
  <c r="G5" i="12"/>
  <c r="T5" i="12"/>
  <c r="S5" i="12"/>
  <c r="M5" i="12"/>
  <c r="H5" i="12"/>
  <c r="F5" i="12"/>
  <c r="R6" i="12" s="1"/>
  <c r="C5" i="12"/>
  <c r="E13" i="12"/>
  <c r="M195" i="7"/>
  <c r="O23" i="9"/>
  <c r="O22" i="9"/>
  <c r="O19" i="9"/>
  <c r="I7" i="1" s="1"/>
  <c r="O9" i="9"/>
  <c r="O10" i="9"/>
  <c r="I5" i="12"/>
  <c r="H14" i="12"/>
  <c r="G14" i="12"/>
  <c r="V14" i="12"/>
  <c r="U14" i="12"/>
  <c r="F14" i="12"/>
  <c r="L221" i="7"/>
  <c r="M210" i="7"/>
  <c r="A10" i="12"/>
  <c r="A43" i="12" s="1"/>
  <c r="T10" i="12"/>
  <c r="P10" i="12"/>
  <c r="C10" i="12"/>
  <c r="B33" i="12"/>
  <c r="Y10" i="12"/>
  <c r="E10" i="12"/>
  <c r="Y15" i="12"/>
  <c r="N15" i="12"/>
  <c r="K15" i="12"/>
  <c r="J15" i="12"/>
  <c r="I15" i="12"/>
  <c r="AC15" i="12"/>
  <c r="AD15" i="12"/>
  <c r="L229" i="7"/>
  <c r="L236" i="7"/>
  <c r="N7" i="12"/>
  <c r="M7" i="12"/>
  <c r="B23" i="12"/>
  <c r="J7" i="12"/>
  <c r="I7" i="12"/>
  <c r="B40" i="12"/>
  <c r="F7" i="12"/>
  <c r="V7" i="12"/>
  <c r="U7" i="12"/>
  <c r="S7" i="12"/>
  <c r="R7" i="12"/>
  <c r="B24" i="12"/>
  <c r="Q7" i="12"/>
  <c r="L7" i="12"/>
  <c r="F10" i="12"/>
  <c r="B22" i="12"/>
  <c r="Z4" i="12"/>
  <c r="D4" i="12"/>
  <c r="Y4" i="12"/>
  <c r="C4" i="12"/>
  <c r="B37" i="12"/>
  <c r="V4" i="12"/>
  <c r="U4" i="12"/>
  <c r="R4" i="12"/>
  <c r="N4" i="12"/>
  <c r="M4" i="12"/>
  <c r="K4" i="12"/>
  <c r="J4" i="12"/>
  <c r="I4" i="12"/>
  <c r="F4" i="12"/>
  <c r="U5" i="12" s="1"/>
  <c r="C7" i="12"/>
  <c r="G10" i="12"/>
  <c r="B8" i="12"/>
  <c r="B9" i="12"/>
  <c r="S89" i="7" l="1"/>
  <c r="P89" i="7"/>
  <c r="O174" i="7"/>
  <c r="R174" i="7"/>
  <c r="N174" i="7"/>
  <c r="R50" i="7"/>
  <c r="O50" i="7"/>
  <c r="N50" i="7"/>
  <c r="O83" i="7"/>
  <c r="R83" i="7"/>
  <c r="N83" i="7"/>
  <c r="P131" i="7"/>
  <c r="S131" i="7"/>
  <c r="R100" i="7"/>
  <c r="N100" i="7"/>
  <c r="O100" i="7"/>
  <c r="P30" i="7"/>
  <c r="S30" i="7"/>
  <c r="P26" i="7"/>
  <c r="S26" i="7"/>
  <c r="P200" i="7"/>
  <c r="S200" i="7"/>
  <c r="S128" i="7"/>
  <c r="P128" i="7"/>
  <c r="S61" i="7"/>
  <c r="P61" i="7"/>
  <c r="S163" i="7"/>
  <c r="P163" i="7"/>
  <c r="S164" i="7"/>
  <c r="P164" i="7"/>
  <c r="S54" i="7"/>
  <c r="P54" i="7"/>
  <c r="S153" i="7"/>
  <c r="P153" i="7"/>
  <c r="S184" i="7"/>
  <c r="P184" i="7"/>
  <c r="O124" i="7"/>
  <c r="R124" i="7"/>
  <c r="N124" i="7"/>
  <c r="S87" i="7"/>
  <c r="P87" i="7"/>
  <c r="P9" i="7"/>
  <c r="S9" i="7"/>
  <c r="O164" i="7"/>
  <c r="R164" i="7"/>
  <c r="N164" i="7"/>
  <c r="S149" i="7"/>
  <c r="P149" i="7"/>
  <c r="R211" i="7"/>
  <c r="O211" i="7"/>
  <c r="N211" i="7"/>
  <c r="P215" i="7"/>
  <c r="S215" i="7"/>
  <c r="P115" i="7"/>
  <c r="S115" i="7"/>
  <c r="P127" i="7"/>
  <c r="S127" i="7"/>
  <c r="S145" i="7"/>
  <c r="P145" i="7"/>
  <c r="S79" i="7"/>
  <c r="P79" i="7"/>
  <c r="P18" i="7"/>
  <c r="S18" i="7"/>
  <c r="R68" i="7"/>
  <c r="O68" i="7"/>
  <c r="N68" i="7"/>
  <c r="S175" i="7"/>
  <c r="P175" i="7"/>
  <c r="O75" i="7"/>
  <c r="N75" i="7"/>
  <c r="R75" i="7"/>
  <c r="S141" i="7"/>
  <c r="P141" i="7"/>
  <c r="S104" i="7"/>
  <c r="P104" i="7"/>
  <c r="P68" i="7"/>
  <c r="S68" i="7"/>
  <c r="P144" i="7"/>
  <c r="S144" i="7"/>
  <c r="P70" i="7"/>
  <c r="S70" i="7"/>
  <c r="S174" i="7"/>
  <c r="P174" i="7"/>
  <c r="P105" i="7"/>
  <c r="S105" i="7"/>
  <c r="P157" i="7"/>
  <c r="S157" i="7"/>
  <c r="P229" i="7"/>
  <c r="S229" i="7"/>
  <c r="S90" i="7"/>
  <c r="P90" i="7"/>
  <c r="P207" i="7"/>
  <c r="S207" i="7"/>
  <c r="S156" i="7"/>
  <c r="P156" i="7"/>
  <c r="P32" i="7"/>
  <c r="S32" i="7"/>
  <c r="S221" i="7"/>
  <c r="P221" i="7"/>
  <c r="S102" i="7"/>
  <c r="P102" i="7"/>
  <c r="S211" i="7"/>
  <c r="P211" i="7"/>
  <c r="P94" i="7"/>
  <c r="S94" i="7"/>
  <c r="S100" i="7"/>
  <c r="P100" i="7"/>
  <c r="S44" i="7"/>
  <c r="P44" i="7"/>
  <c r="S204" i="7"/>
  <c r="P204" i="7"/>
  <c r="S95" i="7"/>
  <c r="P95" i="7"/>
  <c r="P57" i="7"/>
  <c r="S57" i="7"/>
  <c r="S76" i="7"/>
  <c r="P76" i="7"/>
  <c r="P34" i="7"/>
  <c r="S34" i="7"/>
  <c r="P116" i="7"/>
  <c r="S116" i="7"/>
  <c r="P58" i="7"/>
  <c r="S58" i="7"/>
  <c r="S130" i="7"/>
  <c r="P130" i="7"/>
  <c r="L92" i="7"/>
  <c r="CL70" i="4"/>
  <c r="L227" i="7"/>
  <c r="HQ70" i="4"/>
  <c r="P41" i="7"/>
  <c r="S41" i="7"/>
  <c r="V58" i="7"/>
  <c r="AN58" i="7"/>
  <c r="AN29" i="7"/>
  <c r="AN48" i="7"/>
  <c r="AN138" i="7"/>
  <c r="AN125" i="7"/>
  <c r="AN88" i="7"/>
  <c r="V146" i="7"/>
  <c r="AN146" i="7"/>
  <c r="AN226" i="7"/>
  <c r="S170" i="7"/>
  <c r="P170" i="7"/>
  <c r="L9" i="7"/>
  <c r="L166" i="7"/>
  <c r="FH70" i="4"/>
  <c r="S225" i="7"/>
  <c r="P225" i="7"/>
  <c r="R237" i="7"/>
  <c r="N237" i="7"/>
  <c r="O237" i="7"/>
  <c r="L234" i="7"/>
  <c r="HX70" i="4"/>
  <c r="L128" i="7"/>
  <c r="DV70" i="4"/>
  <c r="R16" i="7"/>
  <c r="N16" i="7"/>
  <c r="O16" i="7"/>
  <c r="S106" i="7"/>
  <c r="P106" i="7"/>
  <c r="S28" i="7"/>
  <c r="P28" i="7"/>
  <c r="R201" i="7"/>
  <c r="O201" i="7"/>
  <c r="N201" i="7"/>
  <c r="P23" i="7"/>
  <c r="S23" i="7"/>
  <c r="L231" i="7"/>
  <c r="HU70" i="4"/>
  <c r="F23" i="12"/>
  <c r="AA23" i="12"/>
  <c r="A23" i="12"/>
  <c r="T23" i="12"/>
  <c r="M23" i="12"/>
  <c r="H23" i="12"/>
  <c r="U23" i="12"/>
  <c r="G23" i="12"/>
  <c r="V23" i="12"/>
  <c r="L233" i="7"/>
  <c r="O161" i="7"/>
  <c r="N161" i="7"/>
  <c r="R161" i="7"/>
  <c r="P168" i="7"/>
  <c r="S168" i="7"/>
  <c r="S150" i="7"/>
  <c r="P150" i="7"/>
  <c r="L19" i="12"/>
  <c r="S19" i="12"/>
  <c r="R19" i="12"/>
  <c r="E19" i="12"/>
  <c r="C19" i="12"/>
  <c r="Z19" i="12"/>
  <c r="A19" i="12"/>
  <c r="D19" i="12"/>
  <c r="Q19" i="12"/>
  <c r="L183" i="7"/>
  <c r="L23" i="7"/>
  <c r="L45" i="7"/>
  <c r="AQ70" i="4"/>
  <c r="L136" i="7"/>
  <c r="ED70" i="4"/>
  <c r="CM70" i="4"/>
  <c r="L93" i="7"/>
  <c r="CN70" i="4"/>
  <c r="S17" i="7"/>
  <c r="P17" i="7"/>
  <c r="S110" i="7"/>
  <c r="P110" i="7"/>
  <c r="P19" i="7"/>
  <c r="S19" i="7"/>
  <c r="AN62" i="7"/>
  <c r="AN220" i="7"/>
  <c r="AN20" i="7"/>
  <c r="AN190" i="7"/>
  <c r="AN169" i="7"/>
  <c r="AN143" i="7"/>
  <c r="O59" i="7"/>
  <c r="R59" i="7"/>
  <c r="N59" i="7"/>
  <c r="L235" i="7"/>
  <c r="HY70" i="4"/>
  <c r="L20" i="7"/>
  <c r="R70" i="4"/>
  <c r="BD70" i="4"/>
  <c r="L162" i="7"/>
  <c r="FD70" i="4"/>
  <c r="L179" i="7"/>
  <c r="FU70" i="4"/>
  <c r="CJ70" i="4"/>
  <c r="L90" i="7"/>
  <c r="S16" i="7"/>
  <c r="P16" i="7"/>
  <c r="L106" i="7"/>
  <c r="L118" i="7"/>
  <c r="DL70" i="4"/>
  <c r="L178" i="7"/>
  <c r="FT70" i="4"/>
  <c r="N12" i="7"/>
  <c r="O12" i="7"/>
  <c r="R12" i="7"/>
  <c r="S180" i="7"/>
  <c r="P180" i="7"/>
  <c r="S22" i="7"/>
  <c r="P22" i="7"/>
  <c r="FQ70" i="4"/>
  <c r="N147" i="7"/>
  <c r="R147" i="7"/>
  <c r="O147" i="7"/>
  <c r="S233" i="7"/>
  <c r="P233" i="7"/>
  <c r="S161" i="7"/>
  <c r="P161" i="7"/>
  <c r="M98" i="7"/>
  <c r="R126" i="7"/>
  <c r="O126" i="7"/>
  <c r="N126" i="7"/>
  <c r="R120" i="7"/>
  <c r="O120" i="7"/>
  <c r="N120" i="7"/>
  <c r="S183" i="7"/>
  <c r="P183" i="7"/>
  <c r="S230" i="7"/>
  <c r="P230" i="7"/>
  <c r="L67" i="7"/>
  <c r="BM70" i="4"/>
  <c r="FV70" i="4"/>
  <c r="DI70" i="4"/>
  <c r="P39" i="7"/>
  <c r="S39" i="7"/>
  <c r="P78" i="7"/>
  <c r="S78" i="7"/>
  <c r="AN17" i="7"/>
  <c r="AQ6" i="7"/>
  <c r="AN6" i="7"/>
  <c r="AQ5" i="7"/>
  <c r="AN34" i="7"/>
  <c r="AN80" i="7"/>
  <c r="AN49" i="7"/>
  <c r="AN197" i="7"/>
  <c r="AN174" i="7"/>
  <c r="V174" i="7"/>
  <c r="AN95" i="7"/>
  <c r="FZ70" i="4"/>
  <c r="R194" i="7"/>
  <c r="N194" i="7"/>
  <c r="O194" i="7"/>
  <c r="L189" i="7"/>
  <c r="GE70" i="4"/>
  <c r="L190" i="7"/>
  <c r="GF70" i="4"/>
  <c r="AZ70" i="4"/>
  <c r="L228" i="7"/>
  <c r="HR70" i="4"/>
  <c r="AN164" i="7"/>
  <c r="V164" i="7"/>
  <c r="L139" i="7"/>
  <c r="EG70" i="4"/>
  <c r="AM70" i="4"/>
  <c r="R11" i="7"/>
  <c r="N11" i="7"/>
  <c r="O11" i="7"/>
  <c r="P70" i="4"/>
  <c r="L110" i="7"/>
  <c r="DD70" i="4"/>
  <c r="O102" i="7"/>
  <c r="N102" i="7"/>
  <c r="R102" i="7"/>
  <c r="S12" i="7"/>
  <c r="P12" i="7"/>
  <c r="S27" i="7"/>
  <c r="P27" i="7"/>
  <c r="GI70" i="4"/>
  <c r="P192" i="7"/>
  <c r="S192" i="7"/>
  <c r="P199" i="7"/>
  <c r="S199" i="7"/>
  <c r="P126" i="7"/>
  <c r="S126" i="7"/>
  <c r="S120" i="7"/>
  <c r="P120" i="7"/>
  <c r="L89" i="7"/>
  <c r="CI70" i="4"/>
  <c r="HN70" i="4"/>
  <c r="L224" i="7"/>
  <c r="EF70" i="4"/>
  <c r="S48" i="7"/>
  <c r="P48" i="7"/>
  <c r="V11" i="7"/>
  <c r="AN11" i="7"/>
  <c r="AN78" i="7"/>
  <c r="V78" i="7"/>
  <c r="AN96" i="7"/>
  <c r="AN100" i="7"/>
  <c r="AN160" i="7"/>
  <c r="AN235" i="7"/>
  <c r="AN201" i="7"/>
  <c r="L140" i="7"/>
  <c r="EH70" i="4"/>
  <c r="L216" i="7"/>
  <c r="HF70" i="4"/>
  <c r="AA70" i="4"/>
  <c r="L29" i="7"/>
  <c r="BZ70" i="4"/>
  <c r="S24" i="7"/>
  <c r="P24" i="7"/>
  <c r="CK70" i="4"/>
  <c r="L91" i="7"/>
  <c r="S93" i="7"/>
  <c r="P93" i="7"/>
  <c r="S132" i="7"/>
  <c r="P132" i="7"/>
  <c r="S182" i="7"/>
  <c r="P182" i="7"/>
  <c r="AJ26" i="7"/>
  <c r="AI26" i="7"/>
  <c r="AH26" i="7"/>
  <c r="AG26" i="7"/>
  <c r="AK26" i="7"/>
  <c r="AF26" i="7"/>
  <c r="AM26" i="7"/>
  <c r="AL26" i="7"/>
  <c r="CD70" i="4"/>
  <c r="R193" i="7"/>
  <c r="N193" i="7"/>
  <c r="O193" i="7"/>
  <c r="AM202" i="7"/>
  <c r="AL202" i="7"/>
  <c r="AI202" i="7"/>
  <c r="AJ202" i="7"/>
  <c r="AK202" i="7"/>
  <c r="AF202" i="7"/>
  <c r="AH202" i="7"/>
  <c r="AG202" i="7"/>
  <c r="L112" i="7"/>
  <c r="M146" i="7"/>
  <c r="S88" i="7"/>
  <c r="P88" i="7"/>
  <c r="L192" i="7"/>
  <c r="GH70" i="4"/>
  <c r="S7" i="7"/>
  <c r="P7" i="7"/>
  <c r="P33" i="7"/>
  <c r="S33" i="7"/>
  <c r="S81" i="7"/>
  <c r="P81" i="7"/>
  <c r="S82" i="7"/>
  <c r="P82" i="7"/>
  <c r="S237" i="7"/>
  <c r="P237" i="7"/>
  <c r="AN18" i="7"/>
  <c r="AN14" i="7"/>
  <c r="AN60" i="7"/>
  <c r="AN93" i="7"/>
  <c r="AN112" i="7"/>
  <c r="AN199" i="7"/>
  <c r="AN133" i="7"/>
  <c r="AN180" i="7"/>
  <c r="V214" i="7"/>
  <c r="AN214" i="7"/>
  <c r="AN218" i="7"/>
  <c r="V218" i="7"/>
  <c r="AN149" i="7"/>
  <c r="AN106" i="7"/>
  <c r="AN187" i="7"/>
  <c r="L173" i="7"/>
  <c r="FO70" i="4"/>
  <c r="S67" i="7"/>
  <c r="P67" i="7"/>
  <c r="BX70" i="4"/>
  <c r="AF70" i="4"/>
  <c r="GM70" i="4"/>
  <c r="P92" i="7"/>
  <c r="S92" i="7"/>
  <c r="L31" i="7"/>
  <c r="AC70" i="4"/>
  <c r="L66" i="7"/>
  <c r="BL70" i="4"/>
  <c r="N196" i="7"/>
  <c r="R196" i="7"/>
  <c r="O196" i="7"/>
  <c r="R51" i="7"/>
  <c r="O51" i="7"/>
  <c r="N51" i="7"/>
  <c r="P148" i="7"/>
  <c r="S148" i="7"/>
  <c r="AN177" i="7"/>
  <c r="AN117" i="7"/>
  <c r="P196" i="7"/>
  <c r="S196" i="7"/>
  <c r="O71" i="7"/>
  <c r="N71" i="7"/>
  <c r="R71" i="7"/>
  <c r="O58" i="7"/>
  <c r="N58" i="7"/>
  <c r="R58" i="7"/>
  <c r="O148" i="7"/>
  <c r="N148" i="7"/>
  <c r="R148" i="7"/>
  <c r="S172" i="7"/>
  <c r="P172" i="7"/>
  <c r="AN230" i="7"/>
  <c r="AN223" i="7"/>
  <c r="S197" i="7"/>
  <c r="P197" i="7"/>
  <c r="AH70" i="4"/>
  <c r="L36" i="7"/>
  <c r="S42" i="7"/>
  <c r="P42" i="7"/>
  <c r="N168" i="7"/>
  <c r="R168" i="7"/>
  <c r="O168" i="7"/>
  <c r="R86" i="7"/>
  <c r="N86" i="7"/>
  <c r="O86" i="7"/>
  <c r="R206" i="7"/>
  <c r="O206" i="7"/>
  <c r="N206" i="7"/>
  <c r="S124" i="7"/>
  <c r="P124" i="7"/>
  <c r="S36" i="7"/>
  <c r="P36" i="7"/>
  <c r="S20" i="7"/>
  <c r="P20" i="7"/>
  <c r="AN129" i="7"/>
  <c r="AN216" i="7"/>
  <c r="FP70" i="4"/>
  <c r="O70" i="4"/>
  <c r="L17" i="7"/>
  <c r="L14" i="7"/>
  <c r="L70" i="4"/>
  <c r="S210" i="7"/>
  <c r="P210" i="7"/>
  <c r="R197" i="7"/>
  <c r="O197" i="7"/>
  <c r="N197" i="7"/>
  <c r="S140" i="7"/>
  <c r="P140" i="7"/>
  <c r="FW70" i="4"/>
  <c r="L181" i="7"/>
  <c r="AN89" i="7"/>
  <c r="V207" i="7"/>
  <c r="AN207" i="7"/>
  <c r="AG70" i="4"/>
  <c r="L35" i="7"/>
  <c r="S203" i="7"/>
  <c r="P203" i="7"/>
  <c r="V71" i="7"/>
  <c r="AN71" i="7"/>
  <c r="T99" i="7"/>
  <c r="Q99" i="7"/>
  <c r="Z6" i="12"/>
  <c r="W6" i="12"/>
  <c r="HO70" i="4"/>
  <c r="AN144" i="7"/>
  <c r="AN189" i="7"/>
  <c r="AM131" i="7"/>
  <c r="AK131" i="7"/>
  <c r="AJ131" i="7"/>
  <c r="AI131" i="7"/>
  <c r="AF131" i="7"/>
  <c r="AL131" i="7"/>
  <c r="AH131" i="7"/>
  <c r="AG131" i="7"/>
  <c r="R137" i="7"/>
  <c r="O137" i="7"/>
  <c r="N137" i="7"/>
  <c r="P178" i="7"/>
  <c r="S178" i="7"/>
  <c r="L134" i="7"/>
  <c r="EB70" i="4"/>
  <c r="AN81" i="7"/>
  <c r="L38" i="7"/>
  <c r="AJ70" i="4"/>
  <c r="F43" i="12"/>
  <c r="H43" i="12"/>
  <c r="G43" i="12"/>
  <c r="E43" i="12"/>
  <c r="P137" i="7"/>
  <c r="S137" i="7"/>
  <c r="V59" i="7"/>
  <c r="AN59" i="7"/>
  <c r="V99" i="7"/>
  <c r="AN99" i="7"/>
  <c r="S166" i="7"/>
  <c r="P166" i="7"/>
  <c r="L122" i="7"/>
  <c r="DP70" i="4"/>
  <c r="L121" i="7"/>
  <c r="DO70" i="4"/>
  <c r="L220" i="7"/>
  <c r="HJ70" i="4"/>
  <c r="AN31" i="7"/>
  <c r="S222" i="7"/>
  <c r="P222" i="7"/>
  <c r="L200" i="7"/>
  <c r="GP70" i="4"/>
  <c r="L230" i="7"/>
  <c r="HT70" i="4"/>
  <c r="HL70" i="4"/>
  <c r="AM23" i="7"/>
  <c r="AL23" i="7"/>
  <c r="AK23" i="7"/>
  <c r="AJ23" i="7"/>
  <c r="AI23" i="7"/>
  <c r="AH23" i="7"/>
  <c r="AG23" i="7"/>
  <c r="AF23" i="7"/>
  <c r="S77" i="7"/>
  <c r="P77" i="7"/>
  <c r="P125" i="7"/>
  <c r="S125" i="7"/>
  <c r="AN19" i="7"/>
  <c r="AN53" i="7"/>
  <c r="AN98" i="7"/>
  <c r="AN159" i="7"/>
  <c r="AN192" i="7"/>
  <c r="AN211" i="7"/>
  <c r="V211" i="7"/>
  <c r="AN114" i="7"/>
  <c r="AN77" i="7"/>
  <c r="AN209" i="7"/>
  <c r="AN194" i="7"/>
  <c r="AN215" i="7"/>
  <c r="V215" i="7"/>
  <c r="HZ70" i="4"/>
  <c r="CU70" i="4"/>
  <c r="L103" i="7"/>
  <c r="CW70" i="4"/>
  <c r="CF70" i="4"/>
  <c r="S96" i="7"/>
  <c r="P96" i="7"/>
  <c r="L76" i="7"/>
  <c r="BV70" i="4"/>
  <c r="AL172" i="7"/>
  <c r="AK172" i="7"/>
  <c r="AJ172" i="7"/>
  <c r="AF172" i="7"/>
  <c r="AM172" i="7"/>
  <c r="AI172" i="7"/>
  <c r="AG172" i="7"/>
  <c r="AH172" i="7"/>
  <c r="BC70" i="4"/>
  <c r="P118" i="7"/>
  <c r="P208" i="7"/>
  <c r="S195" i="7"/>
  <c r="P195" i="7"/>
  <c r="P167" i="7"/>
  <c r="S167" i="7"/>
  <c r="P205" i="7"/>
  <c r="S205" i="7"/>
  <c r="AN27" i="7"/>
  <c r="AN210" i="7"/>
  <c r="V232" i="7"/>
  <c r="AN232" i="7"/>
  <c r="P217" i="7"/>
  <c r="S217" i="7"/>
  <c r="S37" i="7"/>
  <c r="P37" i="7"/>
  <c r="P152" i="7"/>
  <c r="S152" i="7"/>
  <c r="P86" i="7"/>
  <c r="S86" i="7"/>
  <c r="AV70" i="4"/>
  <c r="V50" i="7"/>
  <c r="AN50" i="7"/>
  <c r="AN171" i="7"/>
  <c r="AJ79" i="7"/>
  <c r="AI79" i="7"/>
  <c r="AG79" i="7"/>
  <c r="AF79" i="7"/>
  <c r="AL79" i="7"/>
  <c r="AK79" i="7"/>
  <c r="AM79" i="7"/>
  <c r="AH79" i="7"/>
  <c r="O127" i="7"/>
  <c r="N127" i="7"/>
  <c r="R127" i="7"/>
  <c r="L210" i="7"/>
  <c r="N199" i="7"/>
  <c r="R199" i="7"/>
  <c r="O199" i="7"/>
  <c r="S173" i="7"/>
  <c r="P173" i="7"/>
  <c r="L160" i="7"/>
  <c r="FB70" i="4"/>
  <c r="AN104" i="7"/>
  <c r="AN203" i="7"/>
  <c r="L39" i="7"/>
  <c r="AK70" i="4"/>
  <c r="GB70" i="4"/>
  <c r="L154" i="7"/>
  <c r="R130" i="7"/>
  <c r="N130" i="7"/>
  <c r="O130" i="7"/>
  <c r="EA70" i="4"/>
  <c r="L133" i="7"/>
  <c r="L65" i="7"/>
  <c r="AN179" i="7"/>
  <c r="AO70" i="4"/>
  <c r="L43" i="7"/>
  <c r="L19" i="7"/>
  <c r="Q70" i="4"/>
  <c r="S46" i="7"/>
  <c r="P46" i="7"/>
  <c r="O47" i="7"/>
  <c r="R47" i="7"/>
  <c r="N47" i="7"/>
  <c r="O221" i="7"/>
  <c r="N221" i="7"/>
  <c r="R221" i="7"/>
  <c r="Y43" i="12"/>
  <c r="X43" i="12"/>
  <c r="W43" i="12"/>
  <c r="Z43" i="12"/>
  <c r="S171" i="7"/>
  <c r="P171" i="7"/>
  <c r="L155" i="7"/>
  <c r="EW70" i="4"/>
  <c r="L74" i="7"/>
  <c r="BT70" i="4"/>
  <c r="L107" i="7"/>
  <c r="DA70" i="4"/>
  <c r="S69" i="7"/>
  <c r="P69" i="7"/>
  <c r="CT70" i="4"/>
  <c r="N218" i="7"/>
  <c r="O218" i="7"/>
  <c r="R218" i="7"/>
  <c r="AN51" i="7"/>
  <c r="AN66" i="7"/>
  <c r="AN134" i="7"/>
  <c r="AN128" i="7"/>
  <c r="P108" i="7"/>
  <c r="S108" i="7"/>
  <c r="S134" i="7"/>
  <c r="P134" i="7"/>
  <c r="P15" i="7"/>
  <c r="S15" i="7"/>
  <c r="V175" i="7"/>
  <c r="AN175" i="7"/>
  <c r="L15" i="7"/>
  <c r="M70" i="4"/>
  <c r="R70" i="7"/>
  <c r="O70" i="7"/>
  <c r="N70" i="7"/>
  <c r="L131" i="7"/>
  <c r="S21" i="7"/>
  <c r="P21" i="7"/>
  <c r="HK70" i="4"/>
  <c r="S10" i="7"/>
  <c r="P10" i="7"/>
  <c r="AN56" i="7"/>
  <c r="AN188" i="7"/>
  <c r="S185" i="7"/>
  <c r="P185" i="7"/>
  <c r="S190" i="7"/>
  <c r="P190" i="7"/>
  <c r="AN227" i="7"/>
  <c r="AN142" i="7"/>
  <c r="BO70" i="4"/>
  <c r="L69" i="7"/>
  <c r="S112" i="7"/>
  <c r="P112" i="7"/>
  <c r="S29" i="7"/>
  <c r="P29" i="7"/>
  <c r="AN157" i="7"/>
  <c r="AN212" i="7"/>
  <c r="AI70" i="4"/>
  <c r="CX70" i="4"/>
  <c r="L60" i="7"/>
  <c r="BF70" i="4"/>
  <c r="L141" i="7"/>
  <c r="N21" i="12"/>
  <c r="Y21" i="12"/>
  <c r="W21" i="12"/>
  <c r="AC21" i="12"/>
  <c r="AB21" i="12"/>
  <c r="X21" i="12"/>
  <c r="J21" i="12"/>
  <c r="I21" i="12"/>
  <c r="AD21" i="12"/>
  <c r="A21" i="12"/>
  <c r="P21" i="12"/>
  <c r="O21" i="12"/>
  <c r="K21" i="12"/>
  <c r="B29" i="12"/>
  <c r="F9" i="12"/>
  <c r="E9" i="12"/>
  <c r="A9" i="12"/>
  <c r="A42" i="12" s="1"/>
  <c r="B28" i="12"/>
  <c r="T9" i="12"/>
  <c r="Z9" i="12"/>
  <c r="V9" i="12"/>
  <c r="U9" i="12"/>
  <c r="S9" i="12"/>
  <c r="B42" i="12"/>
  <c r="P9" i="12"/>
  <c r="Y9" i="12"/>
  <c r="R9" i="12"/>
  <c r="N9" i="12"/>
  <c r="J9" i="12"/>
  <c r="I9" i="12"/>
  <c r="G9" i="12"/>
  <c r="D9" i="12"/>
  <c r="C9" i="12"/>
  <c r="O9" i="12"/>
  <c r="M9" i="12"/>
  <c r="L9" i="12"/>
  <c r="K9" i="12"/>
  <c r="H9" i="12"/>
  <c r="B30" i="12"/>
  <c r="P24" i="12"/>
  <c r="O24" i="12"/>
  <c r="AD24" i="12"/>
  <c r="AB24" i="12"/>
  <c r="W24" i="12"/>
  <c r="N24" i="12"/>
  <c r="K24" i="12"/>
  <c r="AC24" i="12"/>
  <c r="Y24" i="12"/>
  <c r="X24" i="12"/>
  <c r="J24" i="12"/>
  <c r="I24" i="12"/>
  <c r="A24" i="12"/>
  <c r="N207" i="7"/>
  <c r="O207" i="7"/>
  <c r="R207" i="7"/>
  <c r="O135" i="7"/>
  <c r="R135" i="7"/>
  <c r="N135" i="7"/>
  <c r="L226" i="7"/>
  <c r="L109" i="7"/>
  <c r="U6" i="12"/>
  <c r="O144" i="7"/>
  <c r="R144" i="7"/>
  <c r="N144" i="7"/>
  <c r="V144" i="7" s="1"/>
  <c r="N78" i="7"/>
  <c r="R78" i="7"/>
  <c r="O78" i="7"/>
  <c r="L157" i="7"/>
  <c r="DB70" i="4"/>
  <c r="S99" i="7"/>
  <c r="P99" i="7"/>
  <c r="BP70" i="4"/>
  <c r="S147" i="7"/>
  <c r="P147" i="7"/>
  <c r="L61" i="7"/>
  <c r="L25" i="7"/>
  <c r="AN204" i="7"/>
  <c r="AN74" i="7"/>
  <c r="AN147" i="7"/>
  <c r="V75" i="7"/>
  <c r="AN75" i="7"/>
  <c r="AN76" i="7"/>
  <c r="AN132" i="7"/>
  <c r="AN191" i="7"/>
  <c r="AN237" i="7"/>
  <c r="V237" i="7"/>
  <c r="L185" i="7"/>
  <c r="GA70" i="4"/>
  <c r="EU70" i="4"/>
  <c r="S70" i="4"/>
  <c r="L21" i="7"/>
  <c r="EX70" i="4"/>
  <c r="L113" i="7"/>
  <c r="DG70" i="4"/>
  <c r="AK122" i="7"/>
  <c r="AF122" i="7"/>
  <c r="AM122" i="7"/>
  <c r="AL122" i="7"/>
  <c r="AG122" i="7"/>
  <c r="AI122" i="7"/>
  <c r="AJ122" i="7"/>
  <c r="AH122" i="7"/>
  <c r="AM181" i="7"/>
  <c r="AL181" i="7"/>
  <c r="AI181" i="7"/>
  <c r="AG181" i="7"/>
  <c r="AF181" i="7"/>
  <c r="AJ181" i="7"/>
  <c r="AH181" i="7"/>
  <c r="AK181" i="7"/>
  <c r="J40" i="12"/>
  <c r="I40" i="12"/>
  <c r="P40" i="12"/>
  <c r="D40" i="12"/>
  <c r="C40" i="12"/>
  <c r="U40" i="12"/>
  <c r="O40" i="12"/>
  <c r="V40" i="12"/>
  <c r="X18" i="12"/>
  <c r="W18" i="12"/>
  <c r="A18" i="12"/>
  <c r="P18" i="12"/>
  <c r="O18" i="12"/>
  <c r="Y18" i="12"/>
  <c r="I18" i="12"/>
  <c r="AB18" i="12"/>
  <c r="AD18" i="12"/>
  <c r="AC18" i="12"/>
  <c r="K18" i="12"/>
  <c r="J18" i="12"/>
  <c r="N18" i="12"/>
  <c r="R152" i="7"/>
  <c r="N152" i="7"/>
  <c r="O152" i="7"/>
  <c r="O175" i="7"/>
  <c r="N175" i="7"/>
  <c r="R175" i="7"/>
  <c r="Y70" i="4"/>
  <c r="L27" i="7"/>
  <c r="AN231" i="7"/>
  <c r="P138" i="7"/>
  <c r="S138" i="7"/>
  <c r="S220" i="7"/>
  <c r="P220" i="7"/>
  <c r="S227" i="7"/>
  <c r="P227" i="7"/>
  <c r="L205" i="7"/>
  <c r="GU70" i="4"/>
  <c r="O41" i="7"/>
  <c r="N41" i="7"/>
  <c r="V41" i="7" s="1"/>
  <c r="R41" i="7"/>
  <c r="AN127" i="7"/>
  <c r="V127" i="7"/>
  <c r="S219" i="7"/>
  <c r="P219" i="7"/>
  <c r="S52" i="7"/>
  <c r="P52" i="7"/>
  <c r="O150" i="7"/>
  <c r="N150" i="7"/>
  <c r="R150" i="7"/>
  <c r="P177" i="7"/>
  <c r="S177" i="7"/>
  <c r="DE70" i="4"/>
  <c r="L111" i="7"/>
  <c r="AN94" i="7"/>
  <c r="AN140" i="7"/>
  <c r="O225" i="7"/>
  <c r="N225" i="7"/>
  <c r="R225" i="7"/>
  <c r="CC70" i="4"/>
  <c r="S189" i="7"/>
  <c r="P189" i="7"/>
  <c r="O97" i="7"/>
  <c r="R97" i="7"/>
  <c r="N97" i="7"/>
  <c r="AN161" i="7"/>
  <c r="P151" i="7"/>
  <c r="S151" i="7"/>
  <c r="S212" i="7"/>
  <c r="P212" i="7"/>
  <c r="N101" i="7"/>
  <c r="R101" i="7"/>
  <c r="O101" i="7"/>
  <c r="L177" i="7"/>
  <c r="FS70" i="4"/>
  <c r="FF70" i="4"/>
  <c r="CG70" i="4"/>
  <c r="R16" i="12"/>
  <c r="Q16" i="12"/>
  <c r="D16" i="12"/>
  <c r="C16" i="12"/>
  <c r="Z16" i="12"/>
  <c r="E16" i="12"/>
  <c r="A16" i="12"/>
  <c r="S16" i="12"/>
  <c r="L16" i="12"/>
  <c r="P218" i="7"/>
  <c r="S218" i="7"/>
  <c r="R202" i="7"/>
  <c r="N202" i="7"/>
  <c r="O202" i="7"/>
  <c r="P49" i="7"/>
  <c r="S49" i="7"/>
  <c r="AN148" i="7"/>
  <c r="AN183" i="7"/>
  <c r="AN222" i="7"/>
  <c r="V222" i="7"/>
  <c r="P176" i="7"/>
  <c r="S176" i="7"/>
  <c r="N184" i="7"/>
  <c r="R184" i="7"/>
  <c r="O184" i="7"/>
  <c r="AN136" i="7"/>
  <c r="L143" i="7"/>
  <c r="EK70" i="4"/>
  <c r="L213" i="7"/>
  <c r="HC70" i="4"/>
  <c r="S71" i="7"/>
  <c r="P71" i="7"/>
  <c r="L105" i="7"/>
  <c r="P11" i="7"/>
  <c r="S11" i="7"/>
  <c r="AN233" i="7"/>
  <c r="AX70" i="4"/>
  <c r="L52" i="7"/>
  <c r="HA70" i="4"/>
  <c r="AN65" i="7"/>
  <c r="F17" i="12"/>
  <c r="AA17" i="12"/>
  <c r="A17" i="12"/>
  <c r="V17" i="12"/>
  <c r="U17" i="12"/>
  <c r="T17" i="12"/>
  <c r="H17" i="12"/>
  <c r="G17" i="12"/>
  <c r="M17" i="12"/>
  <c r="P226" i="7"/>
  <c r="S226" i="7"/>
  <c r="S109" i="7"/>
  <c r="P109" i="7"/>
  <c r="R34" i="7"/>
  <c r="O34" i="7"/>
  <c r="N34" i="7"/>
  <c r="L82" i="7"/>
  <c r="CB70" i="4"/>
  <c r="S121" i="7"/>
  <c r="P121" i="7"/>
  <c r="L114" i="7"/>
  <c r="DH70" i="4"/>
  <c r="S169" i="7"/>
  <c r="P169" i="7"/>
  <c r="P25" i="7"/>
  <c r="S25" i="7"/>
  <c r="AN44" i="7"/>
  <c r="AN116" i="7"/>
  <c r="AN120" i="7"/>
  <c r="AN150" i="7"/>
  <c r="V150" i="7"/>
  <c r="AN156" i="7"/>
  <c r="AN124" i="7"/>
  <c r="AN168" i="7"/>
  <c r="V168" i="7"/>
  <c r="AN217" i="7"/>
  <c r="AN200" i="7"/>
  <c r="V97" i="7"/>
  <c r="AN97" i="7"/>
  <c r="V163" i="7"/>
  <c r="AN163" i="7"/>
  <c r="V84" i="7"/>
  <c r="AN84" i="7"/>
  <c r="AN155" i="7"/>
  <c r="AN225" i="7"/>
  <c r="EL70" i="4"/>
  <c r="L95" i="7"/>
  <c r="ES70" i="4"/>
  <c r="HD70" i="4"/>
  <c r="L187" i="7"/>
  <c r="GC70" i="4"/>
  <c r="P228" i="7"/>
  <c r="S228" i="7"/>
  <c r="L142" i="7"/>
  <c r="EJ70" i="4"/>
  <c r="AM135" i="7"/>
  <c r="AL135" i="7"/>
  <c r="AK135" i="7"/>
  <c r="AH135" i="7"/>
  <c r="AJ135" i="7"/>
  <c r="AI135" i="7"/>
  <c r="AG135" i="7"/>
  <c r="AF135" i="7"/>
  <c r="L64" i="7"/>
  <c r="BJ70" i="4"/>
  <c r="L26" i="7"/>
  <c r="S111" i="7"/>
  <c r="P111" i="7"/>
  <c r="P198" i="7"/>
  <c r="S198" i="7"/>
  <c r="S231" i="7"/>
  <c r="P231" i="7"/>
  <c r="S73" i="7"/>
  <c r="P73" i="7"/>
  <c r="AN7" i="7"/>
  <c r="AN22" i="7"/>
  <c r="AN111" i="7"/>
  <c r="AN123" i="7"/>
  <c r="L172" i="7"/>
  <c r="FN70" i="4"/>
  <c r="AM38" i="7"/>
  <c r="AL38" i="7"/>
  <c r="AK38" i="7"/>
  <c r="AI38" i="7"/>
  <c r="AH38" i="7"/>
  <c r="AJ38" i="7"/>
  <c r="AF38" i="7"/>
  <c r="AG38" i="7"/>
  <c r="L149" i="7"/>
  <c r="EQ70" i="4"/>
  <c r="R163" i="7"/>
  <c r="O163" i="7"/>
  <c r="N163" i="7"/>
  <c r="AU70" i="4"/>
  <c r="L49" i="7"/>
  <c r="AN224" i="7"/>
  <c r="AN208" i="7"/>
  <c r="S129" i="7"/>
  <c r="P129" i="7"/>
  <c r="N186" i="7"/>
  <c r="R186" i="7"/>
  <c r="O186" i="7"/>
  <c r="O80" i="7"/>
  <c r="R80" i="7"/>
  <c r="N80" i="7"/>
  <c r="V80" i="7" s="1"/>
  <c r="O236" i="7"/>
  <c r="N236" i="7"/>
  <c r="R236" i="7"/>
  <c r="P83" i="7"/>
  <c r="S83" i="7"/>
  <c r="R87" i="7"/>
  <c r="O87" i="7"/>
  <c r="N87" i="7"/>
  <c r="AN40" i="7"/>
  <c r="AN167" i="7"/>
  <c r="V167" i="7"/>
  <c r="AN85" i="7"/>
  <c r="AN162" i="7"/>
  <c r="AN70" i="4"/>
  <c r="L42" i="7"/>
  <c r="N229" i="7"/>
  <c r="V229" i="7" s="1"/>
  <c r="O229" i="7"/>
  <c r="R229" i="7"/>
  <c r="P206" i="7"/>
  <c r="S206" i="7"/>
  <c r="R73" i="7"/>
  <c r="O73" i="7"/>
  <c r="N73" i="7"/>
  <c r="AN36" i="7"/>
  <c r="AN121" i="7"/>
  <c r="L212" i="7"/>
  <c r="HB70" i="4"/>
  <c r="L132" i="7"/>
  <c r="DZ70" i="4"/>
  <c r="R84" i="7"/>
  <c r="O84" i="7"/>
  <c r="N84" i="7"/>
  <c r="S179" i="7"/>
  <c r="P179" i="7"/>
  <c r="O214" i="7"/>
  <c r="N214" i="7"/>
  <c r="R214" i="7"/>
  <c r="L22" i="7"/>
  <c r="AN115" i="7"/>
  <c r="AN82" i="7"/>
  <c r="AN119" i="7"/>
  <c r="V73" i="7"/>
  <c r="AN73" i="7"/>
  <c r="AN165" i="7"/>
  <c r="S114" i="7"/>
  <c r="P114" i="7"/>
  <c r="O115" i="7"/>
  <c r="N115" i="7"/>
  <c r="R115" i="7"/>
  <c r="P47" i="7"/>
  <c r="S47" i="7"/>
  <c r="O32" i="7"/>
  <c r="N32" i="7"/>
  <c r="R32" i="7"/>
  <c r="S209" i="7"/>
  <c r="P209" i="7"/>
  <c r="AN41" i="7"/>
  <c r="L125" i="7"/>
  <c r="DS70" i="4"/>
  <c r="DR70" i="4"/>
  <c r="S101" i="7"/>
  <c r="P101" i="7"/>
  <c r="AN141" i="7"/>
  <c r="AN91" i="7"/>
  <c r="V83" i="7"/>
  <c r="AN83" i="7"/>
  <c r="AN198" i="7"/>
  <c r="L129" i="7"/>
  <c r="DW70" i="4"/>
  <c r="S6" i="7"/>
  <c r="P6" i="7"/>
  <c r="AD70" i="4"/>
  <c r="L119" i="7"/>
  <c r="P39" i="12"/>
  <c r="O39" i="12"/>
  <c r="V39" i="12"/>
  <c r="D39" i="12"/>
  <c r="C39" i="12"/>
  <c r="J39" i="12"/>
  <c r="I39" i="12"/>
  <c r="U39" i="12"/>
  <c r="S202" i="7"/>
  <c r="P202" i="7"/>
  <c r="S38" i="7"/>
  <c r="P38" i="7"/>
  <c r="AN33" i="7"/>
  <c r="AN67" i="7"/>
  <c r="V38" i="12"/>
  <c r="U38" i="12"/>
  <c r="C38" i="12"/>
  <c r="J38" i="12"/>
  <c r="I38" i="12"/>
  <c r="D38" i="12"/>
  <c r="O38" i="12"/>
  <c r="P38" i="12"/>
  <c r="P60" i="7"/>
  <c r="S60" i="7"/>
  <c r="AN24" i="7"/>
  <c r="AN219" i="7"/>
  <c r="L208" i="7"/>
  <c r="GX70" i="4"/>
  <c r="N43" i="12"/>
  <c r="M43" i="12"/>
  <c r="K43" i="12"/>
  <c r="L43" i="12"/>
  <c r="L116" i="7"/>
  <c r="P103" i="7"/>
  <c r="S103" i="7"/>
  <c r="Z7" i="12"/>
  <c r="X7" i="12"/>
  <c r="W7" i="12"/>
  <c r="Q5" i="12"/>
  <c r="R215" i="7"/>
  <c r="O215" i="7"/>
  <c r="N215" i="7"/>
  <c r="R108" i="7"/>
  <c r="N108" i="7"/>
  <c r="O108" i="7"/>
  <c r="L180" i="7"/>
  <c r="O156" i="7"/>
  <c r="N156" i="7"/>
  <c r="V156" i="7" s="1"/>
  <c r="R156" i="7"/>
  <c r="L94" i="7"/>
  <c r="L104" i="7"/>
  <c r="L56" i="7"/>
  <c r="BB70" i="4"/>
  <c r="S143" i="7"/>
  <c r="P143" i="7"/>
  <c r="L158" i="7"/>
  <c r="EZ70" i="4"/>
  <c r="S191" i="7"/>
  <c r="P191" i="7"/>
  <c r="AN25" i="7"/>
  <c r="AN16" i="7"/>
  <c r="V16" i="7"/>
  <c r="AN54" i="7"/>
  <c r="AN118" i="7"/>
  <c r="AN228" i="7"/>
  <c r="AN86" i="7"/>
  <c r="V86" i="7"/>
  <c r="AN145" i="7"/>
  <c r="V145" i="7"/>
  <c r="AN139" i="7"/>
  <c r="V193" i="7"/>
  <c r="AN193" i="7"/>
  <c r="AN178" i="7"/>
  <c r="L96" i="7"/>
  <c r="CP70" i="4"/>
  <c r="N70" i="4"/>
  <c r="S45" i="7"/>
  <c r="P45" i="7"/>
  <c r="E70" i="4"/>
  <c r="L7" i="7"/>
  <c r="L169" i="7"/>
  <c r="FK70" i="4"/>
  <c r="L176" i="7"/>
  <c r="FR70" i="4"/>
  <c r="O57" i="7"/>
  <c r="N57" i="7"/>
  <c r="R57" i="7"/>
  <c r="S216" i="7"/>
  <c r="AI28" i="7"/>
  <c r="AH28" i="7"/>
  <c r="AG28" i="7"/>
  <c r="AF28" i="7"/>
  <c r="AL28" i="7"/>
  <c r="AM28" i="7"/>
  <c r="AK28" i="7"/>
  <c r="AJ28" i="7"/>
  <c r="R10" i="7"/>
  <c r="O10" i="7"/>
  <c r="N10" i="7"/>
  <c r="V10" i="7" s="1"/>
  <c r="I70" i="4"/>
  <c r="Z5" i="12"/>
  <c r="X5" i="12"/>
  <c r="W5" i="12"/>
  <c r="O167" i="7"/>
  <c r="R167" i="7"/>
  <c r="N167" i="7"/>
  <c r="L28" i="7"/>
  <c r="Z70" i="4"/>
  <c r="AN52" i="7"/>
  <c r="L79" i="7"/>
  <c r="BY70" i="4"/>
  <c r="P50" i="7"/>
  <c r="S50" i="7"/>
  <c r="L63" i="7"/>
  <c r="BI70" i="4"/>
  <c r="R98" i="7"/>
  <c r="O98" i="7"/>
  <c r="N98" i="7"/>
  <c r="P51" i="7"/>
  <c r="S51" i="7"/>
  <c r="AT70" i="4"/>
  <c r="L48" i="7"/>
  <c r="S224" i="7"/>
  <c r="P224" i="7"/>
  <c r="N46" i="7"/>
  <c r="R46" i="7"/>
  <c r="O46" i="7"/>
  <c r="P201" i="7"/>
  <c r="S201" i="7"/>
  <c r="S117" i="7"/>
  <c r="P117" i="7"/>
  <c r="P181" i="7"/>
  <c r="S181" i="7"/>
  <c r="O153" i="7"/>
  <c r="N153" i="7"/>
  <c r="R153" i="7"/>
  <c r="AN103" i="7"/>
  <c r="V221" i="7"/>
  <c r="AN221" i="7"/>
  <c r="S186" i="7"/>
  <c r="P186" i="7"/>
  <c r="S53" i="7"/>
  <c r="P53" i="7"/>
  <c r="L223" i="7"/>
  <c r="HM70" i="4"/>
  <c r="D37" i="12"/>
  <c r="C37" i="12"/>
  <c r="V37" i="12"/>
  <c r="U37" i="12"/>
  <c r="P37" i="12"/>
  <c r="O37" i="12"/>
  <c r="J37" i="12"/>
  <c r="I37" i="12"/>
  <c r="P214" i="7"/>
  <c r="S214" i="7"/>
  <c r="N171" i="7"/>
  <c r="R171" i="7"/>
  <c r="O171" i="7"/>
  <c r="L55" i="7"/>
  <c r="L182" i="7"/>
  <c r="FX70" i="4"/>
  <c r="L219" i="7"/>
  <c r="HI70" i="4"/>
  <c r="AN68" i="7"/>
  <c r="AN184" i="7"/>
  <c r="AN185" i="7"/>
  <c r="L81" i="7"/>
  <c r="CA70" i="4"/>
  <c r="AL45" i="7"/>
  <c r="AK45" i="7"/>
  <c r="AJ45" i="7"/>
  <c r="AI45" i="7"/>
  <c r="AM45" i="7"/>
  <c r="AH45" i="7"/>
  <c r="AG45" i="7"/>
  <c r="AF45" i="7"/>
  <c r="S119" i="7"/>
  <c r="P119" i="7"/>
  <c r="S223" i="7"/>
  <c r="P223" i="7"/>
  <c r="S142" i="7"/>
  <c r="P142" i="7"/>
  <c r="S55" i="7"/>
  <c r="P55" i="7"/>
  <c r="S80" i="7"/>
  <c r="P80" i="7"/>
  <c r="S65" i="7"/>
  <c r="P65" i="7"/>
  <c r="GG70" i="4"/>
  <c r="L191" i="7"/>
  <c r="AN69" i="7"/>
  <c r="AN87" i="7"/>
  <c r="V87" i="7"/>
  <c r="V126" i="7"/>
  <c r="AN126" i="7"/>
  <c r="AN213" i="7"/>
  <c r="S75" i="7"/>
  <c r="P75" i="7"/>
  <c r="FE70" i="4"/>
  <c r="S84" i="7"/>
  <c r="P84" i="7"/>
  <c r="P40" i="7"/>
  <c r="S40" i="7"/>
  <c r="L123" i="7"/>
  <c r="DQ70" i="4"/>
  <c r="L203" i="7"/>
  <c r="AN10" i="7"/>
  <c r="AN63" i="7"/>
  <c r="L77" i="7"/>
  <c r="BW70" i="4"/>
  <c r="L159" i="7"/>
  <c r="AN55" i="7"/>
  <c r="AN107" i="7"/>
  <c r="AN158" i="7"/>
  <c r="AN234" i="7"/>
  <c r="P136" i="7"/>
  <c r="S136" i="7"/>
  <c r="S133" i="7"/>
  <c r="P133" i="7"/>
  <c r="P159" i="7"/>
  <c r="S159" i="7"/>
  <c r="P43" i="7"/>
  <c r="S43" i="7"/>
  <c r="S193" i="7"/>
  <c r="P193" i="7"/>
  <c r="V236" i="7"/>
  <c r="AN236" i="7"/>
  <c r="R22" i="12"/>
  <c r="Q22" i="12"/>
  <c r="C22" i="12"/>
  <c r="Z22" i="12"/>
  <c r="A22" i="12"/>
  <c r="S22" i="12"/>
  <c r="E22" i="12"/>
  <c r="L22" i="12"/>
  <c r="D22" i="12"/>
  <c r="T43" i="12"/>
  <c r="S43" i="12"/>
  <c r="R43" i="12"/>
  <c r="Q43" i="12"/>
  <c r="N151" i="7"/>
  <c r="R151" i="7"/>
  <c r="O151" i="7"/>
  <c r="S59" i="7"/>
  <c r="P59" i="7"/>
  <c r="AN170" i="7"/>
  <c r="V170" i="7"/>
  <c r="AN205" i="7"/>
  <c r="L8" i="7"/>
  <c r="F70" i="4"/>
  <c r="L18" i="7"/>
  <c r="BU70" i="4"/>
  <c r="S31" i="7"/>
  <c r="P31" i="7"/>
  <c r="S56" i="7"/>
  <c r="P56" i="7"/>
  <c r="P234" i="7"/>
  <c r="S234" i="7"/>
  <c r="V152" i="7"/>
  <c r="AN152" i="7"/>
  <c r="J8" i="12"/>
  <c r="X9" i="12" s="1"/>
  <c r="I8" i="12"/>
  <c r="F8" i="12"/>
  <c r="Q9" i="12" s="1"/>
  <c r="E8" i="12"/>
  <c r="X8" i="12"/>
  <c r="B27" i="12"/>
  <c r="W8" i="12"/>
  <c r="V8" i="12"/>
  <c r="T8" i="12"/>
  <c r="S8" i="12"/>
  <c r="R8" i="12"/>
  <c r="O8" i="12"/>
  <c r="P8" i="12"/>
  <c r="N8" i="12"/>
  <c r="M8" i="12"/>
  <c r="K8" i="12"/>
  <c r="H8" i="12"/>
  <c r="C8" i="12"/>
  <c r="B26" i="12"/>
  <c r="U8" i="12"/>
  <c r="Q8" i="12"/>
  <c r="Z8" i="12"/>
  <c r="G8" i="12"/>
  <c r="D8" i="12"/>
  <c r="B41" i="12"/>
  <c r="Y8" i="12"/>
  <c r="B25" i="12"/>
  <c r="L8" i="12"/>
  <c r="A8" i="12"/>
  <c r="A41" i="12" s="1"/>
  <c r="O21" i="9"/>
  <c r="I118" i="1" s="1"/>
  <c r="O11" i="9"/>
  <c r="S123" i="7"/>
  <c r="P123" i="7"/>
  <c r="J14" i="9"/>
  <c r="J9" i="9"/>
  <c r="P16" i="9"/>
  <c r="J12" i="9"/>
  <c r="O15" i="9"/>
  <c r="J15" i="9"/>
  <c r="E10" i="9"/>
  <c r="J5" i="9"/>
  <c r="E5" i="9"/>
  <c r="D5" i="9"/>
  <c r="E9" i="9"/>
  <c r="J17" i="9"/>
  <c r="J13" i="9"/>
  <c r="Q16" i="9"/>
  <c r="J11" i="9"/>
  <c r="E6" i="9"/>
  <c r="O16" i="9"/>
  <c r="D6" i="9"/>
  <c r="J16" i="9"/>
  <c r="E11" i="9"/>
  <c r="J10" i="9"/>
  <c r="P15" i="9"/>
  <c r="J7" i="9"/>
  <c r="E7" i="9"/>
  <c r="D7" i="9"/>
  <c r="E12" i="9"/>
  <c r="E13" i="9"/>
  <c r="D13" i="9"/>
  <c r="D12" i="9"/>
  <c r="D10" i="9"/>
  <c r="R15" i="9"/>
  <c r="J6" i="9"/>
  <c r="J18" i="9" s="1"/>
  <c r="Q15" i="9"/>
  <c r="D9" i="9"/>
  <c r="J8" i="9"/>
  <c r="E8" i="9"/>
  <c r="D8" i="9"/>
  <c r="R16" i="9"/>
  <c r="D11" i="9"/>
  <c r="R5" i="12"/>
  <c r="L72" i="7"/>
  <c r="L165" i="7"/>
  <c r="L117" i="7"/>
  <c r="AB70" i="4"/>
  <c r="L30" i="7"/>
  <c r="S139" i="7"/>
  <c r="P139" i="7"/>
  <c r="P165" i="7"/>
  <c r="S165" i="7"/>
  <c r="GR70" i="4"/>
  <c r="P213" i="7"/>
  <c r="S213" i="7"/>
  <c r="V102" i="7"/>
  <c r="AN102" i="7"/>
  <c r="V108" i="7"/>
  <c r="AN108" i="7"/>
  <c r="AN90" i="7"/>
  <c r="AN153" i="7"/>
  <c r="AN130" i="7"/>
  <c r="AN92" i="7"/>
  <c r="V151" i="7"/>
  <c r="AN151" i="7"/>
  <c r="AN186" i="7"/>
  <c r="V196" i="7"/>
  <c r="AN196" i="7"/>
  <c r="L44" i="7"/>
  <c r="AP70" i="4"/>
  <c r="L13" i="7"/>
  <c r="HE70" i="4"/>
  <c r="S72" i="7"/>
  <c r="P72" i="7"/>
  <c r="S74" i="7"/>
  <c r="P74" i="7"/>
  <c r="AE70" i="4"/>
  <c r="GL70" i="4"/>
  <c r="N146" i="7"/>
  <c r="R146" i="7"/>
  <c r="O146" i="7"/>
  <c r="DU70" i="4"/>
  <c r="S188" i="7"/>
  <c r="P188" i="7"/>
  <c r="L209" i="7"/>
  <c r="GY70" i="4"/>
  <c r="AG15" i="7"/>
  <c r="AM15" i="7"/>
  <c r="AK15" i="7"/>
  <c r="AJ15" i="7"/>
  <c r="AL15" i="7"/>
  <c r="AI15" i="7"/>
  <c r="AH15" i="7"/>
  <c r="AF15" i="7"/>
  <c r="P216" i="7"/>
  <c r="S85" i="7"/>
  <c r="P85" i="7"/>
  <c r="O138" i="7"/>
  <c r="R138" i="7"/>
  <c r="N138" i="7"/>
  <c r="V138" i="7" s="1"/>
  <c r="R170" i="7"/>
  <c r="N170" i="7"/>
  <c r="O170" i="7"/>
  <c r="N33" i="12"/>
  <c r="J33" i="12"/>
  <c r="I33" i="12"/>
  <c r="AB33" i="12"/>
  <c r="AC33" i="12"/>
  <c r="A33" i="12"/>
  <c r="W33" i="12"/>
  <c r="P33" i="12"/>
  <c r="O33" i="12"/>
  <c r="K33" i="12"/>
  <c r="AD33" i="12"/>
  <c r="Y33" i="12"/>
  <c r="X33" i="12"/>
  <c r="O188" i="7"/>
  <c r="N188" i="7"/>
  <c r="R188" i="7"/>
  <c r="R232" i="7"/>
  <c r="O232" i="7"/>
  <c r="N232" i="7"/>
  <c r="L204" i="7"/>
  <c r="N145" i="7"/>
  <c r="R145" i="7"/>
  <c r="O145" i="7"/>
  <c r="H20" i="12"/>
  <c r="G20" i="12"/>
  <c r="V20" i="12"/>
  <c r="M20" i="12"/>
  <c r="AA20" i="12"/>
  <c r="A20" i="12"/>
  <c r="U20" i="12"/>
  <c r="F20" i="12"/>
  <c r="T20" i="12"/>
  <c r="Q6" i="12"/>
  <c r="R62" i="7"/>
  <c r="O62" i="7"/>
  <c r="N62" i="7"/>
  <c r="N33" i="7"/>
  <c r="V33" i="7" s="1"/>
  <c r="O33" i="7"/>
  <c r="R33" i="7"/>
  <c r="P194" i="7"/>
  <c r="S194" i="7"/>
  <c r="S187" i="7"/>
  <c r="P187" i="7"/>
  <c r="S14" i="7"/>
  <c r="P14" i="7"/>
  <c r="P235" i="7"/>
  <c r="S235" i="7"/>
  <c r="S236" i="7"/>
  <c r="P236" i="7"/>
  <c r="AN30" i="7"/>
  <c r="AN47" i="7"/>
  <c r="V47" i="7"/>
  <c r="AN113" i="7"/>
  <c r="AN110" i="7"/>
  <c r="AN166" i="7"/>
  <c r="AN206" i="7"/>
  <c r="P13" i="7"/>
  <c r="S13" i="7"/>
  <c r="V70" i="4"/>
  <c r="L24" i="7"/>
  <c r="S107" i="7"/>
  <c r="P107" i="7"/>
  <c r="HS70" i="4"/>
  <c r="P154" i="7"/>
  <c r="S154" i="7"/>
  <c r="L88" i="7"/>
  <c r="CH70" i="4"/>
  <c r="S91" i="7"/>
  <c r="P91" i="7"/>
  <c r="BN70" i="4"/>
  <c r="P122" i="7"/>
  <c r="S122" i="7"/>
  <c r="P162" i="7"/>
  <c r="S162" i="7"/>
  <c r="P63" i="7"/>
  <c r="S113" i="7"/>
  <c r="L195" i="7"/>
  <c r="V5" i="12"/>
  <c r="S160" i="7"/>
  <c r="P160" i="7"/>
  <c r="S232" i="7"/>
  <c r="P232" i="7"/>
  <c r="S62" i="7"/>
  <c r="P62" i="7"/>
  <c r="L198" i="7"/>
  <c r="R222" i="7"/>
  <c r="O222" i="7"/>
  <c r="N222" i="7"/>
  <c r="D70" i="4"/>
  <c r="L6" i="7"/>
  <c r="FC70" i="4"/>
  <c r="AN137" i="7"/>
  <c r="AN101" i="7"/>
  <c r="V101" i="7"/>
  <c r="AN72" i="7"/>
  <c r="AN35" i="7"/>
  <c r="AN229" i="7"/>
  <c r="AN42" i="7"/>
  <c r="AN195" i="7"/>
  <c r="AN105" i="7"/>
  <c r="AN176" i="7"/>
  <c r="AN182" i="7"/>
  <c r="AN173" i="7"/>
  <c r="AN154" i="7"/>
  <c r="L217" i="7"/>
  <c r="GW70" i="4"/>
  <c r="L53" i="7"/>
  <c r="AY70" i="4"/>
  <c r="S135" i="7"/>
  <c r="P135" i="7"/>
  <c r="L85" i="7"/>
  <c r="CE70" i="4"/>
  <c r="L37" i="7"/>
  <c r="P155" i="7"/>
  <c r="S155" i="7"/>
  <c r="S97" i="7"/>
  <c r="P97" i="7"/>
  <c r="L40" i="7"/>
  <c r="AL70" i="4"/>
  <c r="S35" i="7"/>
  <c r="P35" i="7"/>
  <c r="GQ70" i="4"/>
  <c r="P66" i="7"/>
  <c r="S66" i="7"/>
  <c r="S63" i="7"/>
  <c r="L54" i="7"/>
  <c r="O19" i="7" l="1"/>
  <c r="N19" i="7"/>
  <c r="R19" i="7"/>
  <c r="R129" i="7"/>
  <c r="O129" i="7"/>
  <c r="N129" i="7"/>
  <c r="AK237" i="7"/>
  <c r="AM237" i="7"/>
  <c r="AI237" i="7"/>
  <c r="AL237" i="7"/>
  <c r="AH237" i="7"/>
  <c r="AG237" i="7"/>
  <c r="AF237" i="7"/>
  <c r="AJ237" i="7"/>
  <c r="AM62" i="7"/>
  <c r="AK62" i="7"/>
  <c r="AI62" i="7"/>
  <c r="AH62" i="7"/>
  <c r="AG62" i="7"/>
  <c r="AL62" i="7"/>
  <c r="AF62" i="7"/>
  <c r="AJ62" i="7"/>
  <c r="AJ101" i="7"/>
  <c r="AI101" i="7"/>
  <c r="AG101" i="7"/>
  <c r="AF101" i="7"/>
  <c r="AM101" i="7"/>
  <c r="AK101" i="7"/>
  <c r="AL101" i="7"/>
  <c r="AH101" i="7"/>
  <c r="N157" i="7"/>
  <c r="O157" i="7"/>
  <c r="R157" i="7"/>
  <c r="AJ158" i="7"/>
  <c r="AK158" i="7"/>
  <c r="AM158" i="7"/>
  <c r="AF158" i="7"/>
  <c r="AL158" i="7"/>
  <c r="AI158" i="7"/>
  <c r="AH158" i="7"/>
  <c r="AG158" i="7"/>
  <c r="AM213" i="7"/>
  <c r="AL213" i="7"/>
  <c r="AI213" i="7"/>
  <c r="AK213" i="7"/>
  <c r="AJ213" i="7"/>
  <c r="AH213" i="7"/>
  <c r="AG213" i="7"/>
  <c r="AF213" i="7"/>
  <c r="R63" i="7"/>
  <c r="O63" i="7"/>
  <c r="N63" i="7"/>
  <c r="AL193" i="7"/>
  <c r="AK193" i="7"/>
  <c r="AM193" i="7"/>
  <c r="AJ193" i="7"/>
  <c r="AH193" i="7"/>
  <c r="AG193" i="7"/>
  <c r="AF193" i="7"/>
  <c r="AI193" i="7"/>
  <c r="O116" i="7"/>
  <c r="R116" i="7"/>
  <c r="N116" i="7"/>
  <c r="T115" i="7"/>
  <c r="Q115" i="7"/>
  <c r="T225" i="7"/>
  <c r="Q225" i="7"/>
  <c r="AG191" i="7"/>
  <c r="AF191" i="7"/>
  <c r="AM191" i="7"/>
  <c r="AL191" i="7"/>
  <c r="AJ191" i="7"/>
  <c r="AI191" i="7"/>
  <c r="AH191" i="7"/>
  <c r="AK191" i="7"/>
  <c r="P42" i="12"/>
  <c r="O42" i="12"/>
  <c r="D42" i="12"/>
  <c r="J42" i="12"/>
  <c r="U42" i="12"/>
  <c r="I42" i="12"/>
  <c r="V42" i="12"/>
  <c r="C42" i="12"/>
  <c r="T199" i="7"/>
  <c r="Q199" i="7"/>
  <c r="AM114" i="7"/>
  <c r="AK114" i="7"/>
  <c r="AG114" i="7"/>
  <c r="AF114" i="7"/>
  <c r="AH114" i="7"/>
  <c r="AL114" i="7"/>
  <c r="AJ114" i="7"/>
  <c r="AI114" i="7"/>
  <c r="AK230" i="7"/>
  <c r="AL230" i="7"/>
  <c r="AJ230" i="7"/>
  <c r="AG230" i="7"/>
  <c r="AM230" i="7"/>
  <c r="AI230" i="7"/>
  <c r="AH230" i="7"/>
  <c r="AF230" i="7"/>
  <c r="AI149" i="7"/>
  <c r="AF149" i="7"/>
  <c r="AJ149" i="7"/>
  <c r="AL149" i="7"/>
  <c r="AK149" i="7"/>
  <c r="AG149" i="7"/>
  <c r="AM149" i="7"/>
  <c r="AH149" i="7"/>
  <c r="T102" i="7"/>
  <c r="Q102" i="7"/>
  <c r="O162" i="7"/>
  <c r="N162" i="7"/>
  <c r="R162" i="7"/>
  <c r="T201" i="7"/>
  <c r="Q201" i="7"/>
  <c r="T124" i="7"/>
  <c r="Q124" i="7"/>
  <c r="Q186" i="7"/>
  <c r="T186" i="7"/>
  <c r="R53" i="7"/>
  <c r="O53" i="7"/>
  <c r="N53" i="7"/>
  <c r="Q84" i="7"/>
  <c r="T84" i="7"/>
  <c r="O179" i="7"/>
  <c r="N179" i="7"/>
  <c r="R179" i="7"/>
  <c r="AF137" i="7"/>
  <c r="AM137" i="7"/>
  <c r="AL137" i="7"/>
  <c r="AJ137" i="7"/>
  <c r="AI137" i="7"/>
  <c r="AH137" i="7"/>
  <c r="AG137" i="7"/>
  <c r="AK137" i="7"/>
  <c r="AH111" i="7"/>
  <c r="AG111" i="7"/>
  <c r="AF111" i="7"/>
  <c r="AL111" i="7"/>
  <c r="AI111" i="7"/>
  <c r="AM111" i="7"/>
  <c r="AK111" i="7"/>
  <c r="AJ111" i="7"/>
  <c r="N205" i="7"/>
  <c r="R205" i="7"/>
  <c r="O205" i="7"/>
  <c r="R74" i="7"/>
  <c r="O74" i="7"/>
  <c r="N74" i="7"/>
  <c r="AM179" i="7"/>
  <c r="AL179" i="7"/>
  <c r="AI179" i="7"/>
  <c r="AG179" i="7"/>
  <c r="AK179" i="7"/>
  <c r="AJ179" i="7"/>
  <c r="AH179" i="7"/>
  <c r="AF179" i="7"/>
  <c r="R210" i="7"/>
  <c r="O210" i="7"/>
  <c r="N210" i="7"/>
  <c r="AM59" i="7"/>
  <c r="AL59" i="7"/>
  <c r="AK59" i="7"/>
  <c r="AG59" i="7"/>
  <c r="AI59" i="7"/>
  <c r="AJ59" i="7"/>
  <c r="AF59" i="7"/>
  <c r="AH59" i="7"/>
  <c r="T147" i="7"/>
  <c r="Q147" i="7"/>
  <c r="O92" i="7"/>
  <c r="R92" i="7"/>
  <c r="N92" i="7"/>
  <c r="AL72" i="7"/>
  <c r="AK72" i="7"/>
  <c r="AI72" i="7"/>
  <c r="AH72" i="7"/>
  <c r="AG72" i="7"/>
  <c r="AJ72" i="7"/>
  <c r="AF72" i="7"/>
  <c r="AM72" i="7"/>
  <c r="R166" i="7"/>
  <c r="O166" i="7"/>
  <c r="N166" i="7"/>
  <c r="O9" i="7"/>
  <c r="N9" i="7"/>
  <c r="R9" i="7"/>
  <c r="T153" i="7"/>
  <c r="Q153" i="7"/>
  <c r="R56" i="7"/>
  <c r="N56" i="7"/>
  <c r="O56" i="7"/>
  <c r="AM226" i="7"/>
  <c r="AL226" i="7"/>
  <c r="AI226" i="7"/>
  <c r="AK226" i="7"/>
  <c r="AG226" i="7"/>
  <c r="AF226" i="7"/>
  <c r="AH226" i="7"/>
  <c r="AJ226" i="7"/>
  <c r="AH166" i="7"/>
  <c r="AI166" i="7"/>
  <c r="AG166" i="7"/>
  <c r="AM166" i="7"/>
  <c r="AL166" i="7"/>
  <c r="AK166" i="7"/>
  <c r="AJ166" i="7"/>
  <c r="AF166" i="7"/>
  <c r="Q98" i="7"/>
  <c r="T98" i="7"/>
  <c r="AL127" i="7"/>
  <c r="AK127" i="7"/>
  <c r="AI127" i="7"/>
  <c r="AH127" i="7"/>
  <c r="AG127" i="7"/>
  <c r="AM127" i="7"/>
  <c r="AJ127" i="7"/>
  <c r="AF127" i="7"/>
  <c r="AL103" i="7"/>
  <c r="AJ103" i="7"/>
  <c r="AM103" i="7"/>
  <c r="AK103" i="7"/>
  <c r="AI103" i="7"/>
  <c r="AG103" i="7"/>
  <c r="AF103" i="7"/>
  <c r="AH103" i="7"/>
  <c r="R29" i="7"/>
  <c r="N29" i="7"/>
  <c r="O29" i="7"/>
  <c r="R69" i="7"/>
  <c r="N69" i="7"/>
  <c r="O69" i="7"/>
  <c r="AI129" i="7"/>
  <c r="AF129" i="7"/>
  <c r="AM129" i="7"/>
  <c r="AL129" i="7"/>
  <c r="AK129" i="7"/>
  <c r="AJ129" i="7"/>
  <c r="AH129" i="7"/>
  <c r="AG129" i="7"/>
  <c r="AJ123" i="7"/>
  <c r="AI123" i="7"/>
  <c r="AG123" i="7"/>
  <c r="AF123" i="7"/>
  <c r="AM123" i="7"/>
  <c r="AL123" i="7"/>
  <c r="AK123" i="7"/>
  <c r="AH123" i="7"/>
  <c r="AL47" i="7"/>
  <c r="AK47" i="7"/>
  <c r="AI47" i="7"/>
  <c r="AF47" i="7"/>
  <c r="AM47" i="7"/>
  <c r="AJ47" i="7"/>
  <c r="AH47" i="7"/>
  <c r="AG47" i="7"/>
  <c r="R132" i="7"/>
  <c r="O132" i="7"/>
  <c r="N132" i="7"/>
  <c r="AF40" i="7"/>
  <c r="AG40" i="7"/>
  <c r="AM40" i="7"/>
  <c r="AL40" i="7"/>
  <c r="AH40" i="7"/>
  <c r="AK40" i="7"/>
  <c r="AJ40" i="7"/>
  <c r="AI40" i="7"/>
  <c r="R110" i="7"/>
  <c r="O110" i="7"/>
  <c r="N110" i="7"/>
  <c r="R142" i="7"/>
  <c r="O142" i="7"/>
  <c r="N142" i="7"/>
  <c r="BA9" i="2"/>
  <c r="AO8" i="1"/>
  <c r="AW7" i="1"/>
  <c r="AW6" i="1"/>
  <c r="AO6" i="1"/>
  <c r="AO7" i="1"/>
  <c r="O191" i="7"/>
  <c r="N191" i="7"/>
  <c r="R191" i="7"/>
  <c r="X37" i="12"/>
  <c r="W37" i="12"/>
  <c r="C48" i="12"/>
  <c r="Z37" i="12"/>
  <c r="Y37" i="12"/>
  <c r="O28" i="7"/>
  <c r="N28" i="7"/>
  <c r="R28" i="7"/>
  <c r="L39" i="12"/>
  <c r="K39" i="12"/>
  <c r="M39" i="12"/>
  <c r="N39" i="12"/>
  <c r="AH119" i="7"/>
  <c r="AG119" i="7"/>
  <c r="AM119" i="7"/>
  <c r="AL119" i="7"/>
  <c r="AK119" i="7"/>
  <c r="AJ119" i="7"/>
  <c r="AI119" i="7"/>
  <c r="AF119" i="7"/>
  <c r="O187" i="7"/>
  <c r="R187" i="7"/>
  <c r="N187" i="7"/>
  <c r="AM124" i="7"/>
  <c r="AL124" i="7"/>
  <c r="AK124" i="7"/>
  <c r="AJ124" i="7"/>
  <c r="AH124" i="7"/>
  <c r="AG124" i="7"/>
  <c r="AI124" i="7"/>
  <c r="AF124" i="7"/>
  <c r="Q101" i="7"/>
  <c r="T101" i="7"/>
  <c r="V147" i="7"/>
  <c r="R226" i="7"/>
  <c r="O226" i="7"/>
  <c r="N226" i="7"/>
  <c r="W9" i="12"/>
  <c r="AJ134" i="7"/>
  <c r="AI134" i="7"/>
  <c r="AG134" i="7"/>
  <c r="AF134" i="7"/>
  <c r="AM134" i="7"/>
  <c r="AL134" i="7"/>
  <c r="AK134" i="7"/>
  <c r="AH134" i="7"/>
  <c r="R154" i="7"/>
  <c r="O154" i="7"/>
  <c r="N154" i="7"/>
  <c r="V98" i="7"/>
  <c r="R200" i="7"/>
  <c r="N200" i="7"/>
  <c r="O200" i="7"/>
  <c r="AK144" i="7"/>
  <c r="AF144" i="7"/>
  <c r="AM144" i="7"/>
  <c r="AL144" i="7"/>
  <c r="AJ144" i="7"/>
  <c r="AI144" i="7"/>
  <c r="AH144" i="7"/>
  <c r="AG144" i="7"/>
  <c r="Q58" i="7"/>
  <c r="T58" i="7"/>
  <c r="R31" i="7"/>
  <c r="O31" i="7"/>
  <c r="N31" i="7"/>
  <c r="AK133" i="7"/>
  <c r="AH133" i="7"/>
  <c r="AG133" i="7"/>
  <c r="AM133" i="7"/>
  <c r="AL133" i="7"/>
  <c r="AJ133" i="7"/>
  <c r="AI133" i="7"/>
  <c r="AF133" i="7"/>
  <c r="R140" i="7"/>
  <c r="O140" i="7"/>
  <c r="N140" i="7"/>
  <c r="AI49" i="7"/>
  <c r="AH49" i="7"/>
  <c r="AG49" i="7"/>
  <c r="AF49" i="7"/>
  <c r="AL49" i="7"/>
  <c r="AK49" i="7"/>
  <c r="AM49" i="7"/>
  <c r="AJ49" i="7"/>
  <c r="R233" i="7"/>
  <c r="O233" i="7"/>
  <c r="N233" i="7"/>
  <c r="T16" i="7"/>
  <c r="Q16" i="7"/>
  <c r="AG125" i="7"/>
  <c r="AI125" i="7"/>
  <c r="AH125" i="7"/>
  <c r="AJ125" i="7"/>
  <c r="AM125" i="7"/>
  <c r="AL125" i="7"/>
  <c r="AK125" i="7"/>
  <c r="AF125" i="7"/>
  <c r="Q137" i="7"/>
  <c r="T137" i="7"/>
  <c r="AL216" i="7"/>
  <c r="AK216" i="7"/>
  <c r="AG216" i="7"/>
  <c r="AF216" i="7"/>
  <c r="AM216" i="7"/>
  <c r="AH216" i="7"/>
  <c r="AJ216" i="7"/>
  <c r="AI216" i="7"/>
  <c r="AG177" i="7"/>
  <c r="AJ177" i="7"/>
  <c r="AF177" i="7"/>
  <c r="AK177" i="7"/>
  <c r="AI177" i="7"/>
  <c r="AM177" i="7"/>
  <c r="AL177" i="7"/>
  <c r="AH177" i="7"/>
  <c r="R185" i="7"/>
  <c r="O185" i="7"/>
  <c r="N185" i="7"/>
  <c r="N15" i="7"/>
  <c r="R15" i="7"/>
  <c r="O15" i="7"/>
  <c r="N43" i="7"/>
  <c r="R43" i="7"/>
  <c r="O43" i="7"/>
  <c r="AM223" i="7"/>
  <c r="AK223" i="7"/>
  <c r="AJ223" i="7"/>
  <c r="AG223" i="7"/>
  <c r="AH223" i="7"/>
  <c r="AF223" i="7"/>
  <c r="AL223" i="7"/>
  <c r="AI223" i="7"/>
  <c r="AL198" i="7"/>
  <c r="AK198" i="7"/>
  <c r="AM198" i="7"/>
  <c r="AJ198" i="7"/>
  <c r="AG198" i="7"/>
  <c r="AI198" i="7"/>
  <c r="AF198" i="7"/>
  <c r="AH198" i="7"/>
  <c r="AF85" i="7"/>
  <c r="AI85" i="7"/>
  <c r="AH85" i="7"/>
  <c r="AG85" i="7"/>
  <c r="AM85" i="7"/>
  <c r="AL85" i="7"/>
  <c r="AJ85" i="7"/>
  <c r="AK85" i="7"/>
  <c r="AH97" i="7"/>
  <c r="AG97" i="7"/>
  <c r="AK97" i="7"/>
  <c r="AJ97" i="7"/>
  <c r="AI97" i="7"/>
  <c r="AF97" i="7"/>
  <c r="AM97" i="7"/>
  <c r="AL97" i="7"/>
  <c r="Q184" i="7"/>
  <c r="T184" i="7"/>
  <c r="AM227" i="7"/>
  <c r="AL227" i="7"/>
  <c r="AK227" i="7"/>
  <c r="AI227" i="7"/>
  <c r="AH227" i="7"/>
  <c r="AJ227" i="7"/>
  <c r="AG227" i="7"/>
  <c r="AF227" i="7"/>
  <c r="AM99" i="7"/>
  <c r="AL99" i="7"/>
  <c r="AK99" i="7"/>
  <c r="AJ99" i="7"/>
  <c r="AI99" i="7"/>
  <c r="AH99" i="7"/>
  <c r="AG99" i="7"/>
  <c r="AF99" i="7"/>
  <c r="AJ11" i="7"/>
  <c r="AL11" i="7"/>
  <c r="AG11" i="7"/>
  <c r="AF11" i="7"/>
  <c r="AK11" i="7"/>
  <c r="AI11" i="7"/>
  <c r="AH11" i="7"/>
  <c r="AM11" i="7"/>
  <c r="T194" i="7"/>
  <c r="Q194" i="7"/>
  <c r="R44" i="7"/>
  <c r="O44" i="7"/>
  <c r="N44" i="7"/>
  <c r="AM154" i="7"/>
  <c r="AL154" i="7"/>
  <c r="AH154" i="7"/>
  <c r="AK154" i="7"/>
  <c r="AI154" i="7"/>
  <c r="AG154" i="7"/>
  <c r="AJ154" i="7"/>
  <c r="AF154" i="7"/>
  <c r="AL196" i="7"/>
  <c r="AJ196" i="7"/>
  <c r="AI196" i="7"/>
  <c r="AH196" i="7"/>
  <c r="AG196" i="7"/>
  <c r="AK196" i="7"/>
  <c r="AM196" i="7"/>
  <c r="AF196" i="7"/>
  <c r="AJ224" i="7"/>
  <c r="AI224" i="7"/>
  <c r="AH224" i="7"/>
  <c r="AF224" i="7"/>
  <c r="AL224" i="7"/>
  <c r="AK224" i="7"/>
  <c r="AG224" i="7"/>
  <c r="AM224" i="7"/>
  <c r="R155" i="7"/>
  <c r="O155" i="7"/>
  <c r="N155" i="7"/>
  <c r="T127" i="7"/>
  <c r="Q127" i="7"/>
  <c r="AL211" i="7"/>
  <c r="AK211" i="7"/>
  <c r="AJ211" i="7"/>
  <c r="AM211" i="7"/>
  <c r="AH211" i="7"/>
  <c r="AG211" i="7"/>
  <c r="AF211" i="7"/>
  <c r="AI211" i="7"/>
  <c r="AL182" i="7"/>
  <c r="AI182" i="7"/>
  <c r="AH182" i="7"/>
  <c r="AG182" i="7"/>
  <c r="AM182" i="7"/>
  <c r="AK182" i="7"/>
  <c r="AF182" i="7"/>
  <c r="AJ182" i="7"/>
  <c r="R212" i="7"/>
  <c r="O212" i="7"/>
  <c r="N212" i="7"/>
  <c r="AI232" i="7"/>
  <c r="AH232" i="7"/>
  <c r="AF232" i="7"/>
  <c r="AL232" i="7"/>
  <c r="AK232" i="7"/>
  <c r="AM232" i="7"/>
  <c r="AJ232" i="7"/>
  <c r="AG232" i="7"/>
  <c r="AM69" i="7"/>
  <c r="AL69" i="7"/>
  <c r="AK69" i="7"/>
  <c r="AJ69" i="7"/>
  <c r="AI69" i="7"/>
  <c r="AH69" i="7"/>
  <c r="AG69" i="7"/>
  <c r="AF69" i="7"/>
  <c r="AM73" i="7"/>
  <c r="AL73" i="7"/>
  <c r="AJ73" i="7"/>
  <c r="AI73" i="7"/>
  <c r="AH73" i="7"/>
  <c r="AG73" i="7"/>
  <c r="AF73" i="7"/>
  <c r="AK73" i="7"/>
  <c r="R82" i="7"/>
  <c r="O82" i="7"/>
  <c r="N82" i="7"/>
  <c r="E28" i="12"/>
  <c r="D28" i="12"/>
  <c r="C28" i="12"/>
  <c r="S28" i="12"/>
  <c r="A28" i="12"/>
  <c r="Z28" i="12"/>
  <c r="Q28" i="12"/>
  <c r="L28" i="12"/>
  <c r="R28" i="12"/>
  <c r="Q130" i="7"/>
  <c r="T130" i="7"/>
  <c r="AI210" i="7"/>
  <c r="AH210" i="7"/>
  <c r="AF210" i="7"/>
  <c r="AK210" i="7"/>
  <c r="AG210" i="7"/>
  <c r="AM210" i="7"/>
  <c r="AL210" i="7"/>
  <c r="AJ210" i="7"/>
  <c r="T11" i="7"/>
  <c r="Q11" i="7"/>
  <c r="V124" i="7"/>
  <c r="R109" i="7"/>
  <c r="O109" i="7"/>
  <c r="N109" i="7"/>
  <c r="AM56" i="7"/>
  <c r="AL56" i="7"/>
  <c r="AK56" i="7"/>
  <c r="AI56" i="7"/>
  <c r="AJ56" i="7"/>
  <c r="AH56" i="7"/>
  <c r="AG56" i="7"/>
  <c r="AF56" i="7"/>
  <c r="R89" i="7"/>
  <c r="O89" i="7"/>
  <c r="N89" i="7"/>
  <c r="T167" i="7"/>
  <c r="Q167" i="7"/>
  <c r="AG228" i="7"/>
  <c r="AF228" i="7"/>
  <c r="AH228" i="7"/>
  <c r="AM228" i="7"/>
  <c r="AL228" i="7"/>
  <c r="AI228" i="7"/>
  <c r="AK228" i="7"/>
  <c r="AJ228" i="7"/>
  <c r="O180" i="7"/>
  <c r="R180" i="7"/>
  <c r="N180" i="7"/>
  <c r="AL24" i="7"/>
  <c r="AG24" i="7"/>
  <c r="AF24" i="7"/>
  <c r="AK24" i="7"/>
  <c r="AM24" i="7"/>
  <c r="AJ24" i="7"/>
  <c r="AI24" i="7"/>
  <c r="AH24" i="7"/>
  <c r="Q73" i="7"/>
  <c r="T73" i="7"/>
  <c r="O149" i="7"/>
  <c r="N149" i="7"/>
  <c r="R149" i="7"/>
  <c r="AJ231" i="7"/>
  <c r="AI231" i="7"/>
  <c r="AH231" i="7"/>
  <c r="AF231" i="7"/>
  <c r="AM231" i="7"/>
  <c r="AG231" i="7"/>
  <c r="AL231" i="7"/>
  <c r="AK231" i="7"/>
  <c r="AF74" i="7"/>
  <c r="AL74" i="7"/>
  <c r="AM74" i="7"/>
  <c r="AH74" i="7"/>
  <c r="AK74" i="7"/>
  <c r="AJ74" i="7"/>
  <c r="AI74" i="7"/>
  <c r="AG74" i="7"/>
  <c r="T135" i="7"/>
  <c r="Q135" i="7"/>
  <c r="V135" i="7"/>
  <c r="AK212" i="7"/>
  <c r="AG212" i="7"/>
  <c r="AF212" i="7"/>
  <c r="AM212" i="7"/>
  <c r="AJ212" i="7"/>
  <c r="AI212" i="7"/>
  <c r="AH212" i="7"/>
  <c r="AL212" i="7"/>
  <c r="AM27" i="7"/>
  <c r="AL27" i="7"/>
  <c r="AJ27" i="7"/>
  <c r="AF27" i="7"/>
  <c r="AI27" i="7"/>
  <c r="AH27" i="7"/>
  <c r="AK27" i="7"/>
  <c r="AG27" i="7"/>
  <c r="AM98" i="7"/>
  <c r="AK98" i="7"/>
  <c r="AJ98" i="7"/>
  <c r="AI98" i="7"/>
  <c r="AL98" i="7"/>
  <c r="AG98" i="7"/>
  <c r="AF98" i="7"/>
  <c r="AH98" i="7"/>
  <c r="T86" i="7"/>
  <c r="Q86" i="7"/>
  <c r="AM201" i="7"/>
  <c r="AL201" i="7"/>
  <c r="AK201" i="7"/>
  <c r="AH201" i="7"/>
  <c r="AI201" i="7"/>
  <c r="AG201" i="7"/>
  <c r="AF201" i="7"/>
  <c r="AJ201" i="7"/>
  <c r="T12" i="7"/>
  <c r="Q12" i="7"/>
  <c r="V12" i="7"/>
  <c r="AL143" i="7"/>
  <c r="AM143" i="7"/>
  <c r="AJ143" i="7"/>
  <c r="AK143" i="7"/>
  <c r="AF143" i="7"/>
  <c r="AI143" i="7"/>
  <c r="AG143" i="7"/>
  <c r="AH143" i="7"/>
  <c r="R136" i="7"/>
  <c r="N136" i="7"/>
  <c r="O136" i="7"/>
  <c r="Q50" i="7"/>
  <c r="T50" i="7"/>
  <c r="AJ194" i="7"/>
  <c r="AG194" i="7"/>
  <c r="AF194" i="7"/>
  <c r="AI194" i="7"/>
  <c r="AM194" i="7"/>
  <c r="AK194" i="7"/>
  <c r="AH194" i="7"/>
  <c r="AL194" i="7"/>
  <c r="Z38" i="12"/>
  <c r="W38" i="12"/>
  <c r="Y38" i="12"/>
  <c r="X38" i="12"/>
  <c r="O35" i="7"/>
  <c r="N35" i="7"/>
  <c r="R35" i="7"/>
  <c r="O55" i="7"/>
  <c r="N55" i="7"/>
  <c r="R55" i="7"/>
  <c r="AM142" i="7"/>
  <c r="AK142" i="7"/>
  <c r="AJ142" i="7"/>
  <c r="AI142" i="7"/>
  <c r="AF142" i="7"/>
  <c r="AL142" i="7"/>
  <c r="AH142" i="7"/>
  <c r="AG142" i="7"/>
  <c r="AM106" i="7"/>
  <c r="AK106" i="7"/>
  <c r="AI106" i="7"/>
  <c r="AL106" i="7"/>
  <c r="AJ106" i="7"/>
  <c r="AH106" i="7"/>
  <c r="AG106" i="7"/>
  <c r="AF106" i="7"/>
  <c r="Q51" i="7"/>
  <c r="T51" i="7"/>
  <c r="N54" i="7"/>
  <c r="R54" i="7"/>
  <c r="O54" i="7"/>
  <c r="V137" i="7"/>
  <c r="AI140" i="7"/>
  <c r="AM140" i="7"/>
  <c r="AL140" i="7"/>
  <c r="AF140" i="7"/>
  <c r="AK140" i="7"/>
  <c r="AJ140" i="7"/>
  <c r="AH140" i="7"/>
  <c r="AG140" i="7"/>
  <c r="Q78" i="7"/>
  <c r="T78" i="7"/>
  <c r="AK186" i="7"/>
  <c r="AH186" i="7"/>
  <c r="AG186" i="7"/>
  <c r="AF186" i="7"/>
  <c r="AJ186" i="7"/>
  <c r="AI186" i="7"/>
  <c r="AM186" i="7"/>
  <c r="AL186" i="7"/>
  <c r="AM55" i="7"/>
  <c r="AK55" i="7"/>
  <c r="AJ55" i="7"/>
  <c r="AI55" i="7"/>
  <c r="AF55" i="7"/>
  <c r="AG55" i="7"/>
  <c r="AL55" i="7"/>
  <c r="AH55" i="7"/>
  <c r="T144" i="7"/>
  <c r="Q144" i="7"/>
  <c r="Q196" i="7"/>
  <c r="T196" i="7"/>
  <c r="AL151" i="7"/>
  <c r="AF151" i="7"/>
  <c r="AM151" i="7"/>
  <c r="AK151" i="7"/>
  <c r="AI151" i="7"/>
  <c r="AH151" i="7"/>
  <c r="AG151" i="7"/>
  <c r="AJ151" i="7"/>
  <c r="AM176" i="7"/>
  <c r="AL176" i="7"/>
  <c r="AK176" i="7"/>
  <c r="AH176" i="7"/>
  <c r="AG176" i="7"/>
  <c r="AJ176" i="7"/>
  <c r="AI176" i="7"/>
  <c r="AF176" i="7"/>
  <c r="R117" i="7"/>
  <c r="O117" i="7"/>
  <c r="N117" i="7"/>
  <c r="AK188" i="7"/>
  <c r="AJ188" i="7"/>
  <c r="AG188" i="7"/>
  <c r="AM188" i="7"/>
  <c r="AH188" i="7"/>
  <c r="AF188" i="7"/>
  <c r="AL188" i="7"/>
  <c r="AI188" i="7"/>
  <c r="AM92" i="7"/>
  <c r="AK92" i="7"/>
  <c r="AI92" i="7"/>
  <c r="AJ92" i="7"/>
  <c r="AH92" i="7"/>
  <c r="AG92" i="7"/>
  <c r="AF92" i="7"/>
  <c r="AL92" i="7"/>
  <c r="AG205" i="7"/>
  <c r="AM205" i="7"/>
  <c r="AL205" i="7"/>
  <c r="AK205" i="7"/>
  <c r="AF205" i="7"/>
  <c r="AI205" i="7"/>
  <c r="AJ205" i="7"/>
  <c r="AH205" i="7"/>
  <c r="AL105" i="7"/>
  <c r="AK105" i="7"/>
  <c r="AI105" i="7"/>
  <c r="AH105" i="7"/>
  <c r="AG105" i="7"/>
  <c r="AM105" i="7"/>
  <c r="AJ105" i="7"/>
  <c r="AF105" i="7"/>
  <c r="R176" i="7"/>
  <c r="O176" i="7"/>
  <c r="N176" i="7"/>
  <c r="H39" i="12"/>
  <c r="G39" i="12"/>
  <c r="F39" i="12"/>
  <c r="E39" i="12"/>
  <c r="AG156" i="7"/>
  <c r="AM156" i="7"/>
  <c r="AK156" i="7"/>
  <c r="AJ156" i="7"/>
  <c r="AI156" i="7"/>
  <c r="AF156" i="7"/>
  <c r="AL156" i="7"/>
  <c r="AH156" i="7"/>
  <c r="O105" i="7"/>
  <c r="R105" i="7"/>
  <c r="N105" i="7"/>
  <c r="R27" i="7"/>
  <c r="O27" i="7"/>
  <c r="N27" i="7"/>
  <c r="T40" i="12"/>
  <c r="S40" i="12"/>
  <c r="Q40" i="12"/>
  <c r="R40" i="12"/>
  <c r="AM66" i="7"/>
  <c r="AL66" i="7"/>
  <c r="AK66" i="7"/>
  <c r="AI66" i="7"/>
  <c r="AH66" i="7"/>
  <c r="AG66" i="7"/>
  <c r="AJ66" i="7"/>
  <c r="AF66" i="7"/>
  <c r="AJ53" i="7"/>
  <c r="AF53" i="7"/>
  <c r="AM53" i="7"/>
  <c r="AL53" i="7"/>
  <c r="AK53" i="7"/>
  <c r="AI53" i="7"/>
  <c r="AH53" i="7"/>
  <c r="AG53" i="7"/>
  <c r="R38" i="7"/>
  <c r="O38" i="7"/>
  <c r="N38" i="7"/>
  <c r="V199" i="7"/>
  <c r="V201" i="7"/>
  <c r="R139" i="7"/>
  <c r="N139" i="7"/>
  <c r="O139" i="7"/>
  <c r="AM80" i="7"/>
  <c r="AL80" i="7"/>
  <c r="AK80" i="7"/>
  <c r="AJ80" i="7"/>
  <c r="AI80" i="7"/>
  <c r="AH80" i="7"/>
  <c r="AG80" i="7"/>
  <c r="AF80" i="7"/>
  <c r="Q120" i="7"/>
  <c r="T120" i="7"/>
  <c r="T211" i="7"/>
  <c r="Q211" i="7"/>
  <c r="R160" i="7"/>
  <c r="O160" i="7"/>
  <c r="N160" i="7"/>
  <c r="O190" i="7"/>
  <c r="N190" i="7"/>
  <c r="R190" i="7"/>
  <c r="AM234" i="7"/>
  <c r="AL234" i="7"/>
  <c r="AK234" i="7"/>
  <c r="AI234" i="7"/>
  <c r="AH234" i="7"/>
  <c r="AJ234" i="7"/>
  <c r="AG234" i="7"/>
  <c r="AF234" i="7"/>
  <c r="AL162" i="7"/>
  <c r="AI162" i="7"/>
  <c r="AH162" i="7"/>
  <c r="AF162" i="7"/>
  <c r="AM162" i="7"/>
  <c r="AK162" i="7"/>
  <c r="AJ162" i="7"/>
  <c r="AG162" i="7"/>
  <c r="O91" i="7"/>
  <c r="R91" i="7"/>
  <c r="N91" i="7"/>
  <c r="R158" i="7"/>
  <c r="N158" i="7"/>
  <c r="O158" i="7"/>
  <c r="AL208" i="7"/>
  <c r="AK208" i="7"/>
  <c r="AJ208" i="7"/>
  <c r="AF208" i="7"/>
  <c r="AH208" i="7"/>
  <c r="AM208" i="7"/>
  <c r="AI208" i="7"/>
  <c r="AG208" i="7"/>
  <c r="AM207" i="7"/>
  <c r="AL207" i="7"/>
  <c r="AJ207" i="7"/>
  <c r="AI207" i="7"/>
  <c r="AK207" i="7"/>
  <c r="AG207" i="7"/>
  <c r="AF207" i="7"/>
  <c r="AH207" i="7"/>
  <c r="AG167" i="7"/>
  <c r="AM167" i="7"/>
  <c r="AL167" i="7"/>
  <c r="AI167" i="7"/>
  <c r="AJ167" i="7"/>
  <c r="AH167" i="7"/>
  <c r="AK167" i="7"/>
  <c r="AF167" i="7"/>
  <c r="AJ65" i="7"/>
  <c r="AI65" i="7"/>
  <c r="AG65" i="7"/>
  <c r="AL65" i="7"/>
  <c r="AK65" i="7"/>
  <c r="AH65" i="7"/>
  <c r="AF65" i="7"/>
  <c r="AM65" i="7"/>
  <c r="AM95" i="7"/>
  <c r="AL95" i="7"/>
  <c r="AJ95" i="7"/>
  <c r="AH95" i="7"/>
  <c r="AK95" i="7"/>
  <c r="AI95" i="7"/>
  <c r="AG95" i="7"/>
  <c r="AF95" i="7"/>
  <c r="T100" i="7"/>
  <c r="Q100" i="7"/>
  <c r="O88" i="7"/>
  <c r="N88" i="7"/>
  <c r="R88" i="7"/>
  <c r="O94" i="7"/>
  <c r="R94" i="7"/>
  <c r="N94" i="7"/>
  <c r="R177" i="7"/>
  <c r="O177" i="7"/>
  <c r="N177" i="7"/>
  <c r="R8" i="7"/>
  <c r="O8" i="7"/>
  <c r="N8" i="7"/>
  <c r="AM52" i="7"/>
  <c r="AL52" i="7"/>
  <c r="AK52" i="7"/>
  <c r="AJ52" i="7"/>
  <c r="AF52" i="7"/>
  <c r="AI52" i="7"/>
  <c r="AH52" i="7"/>
  <c r="AG52" i="7"/>
  <c r="AL121" i="7"/>
  <c r="AK121" i="7"/>
  <c r="AI121" i="7"/>
  <c r="AH121" i="7"/>
  <c r="AG121" i="7"/>
  <c r="AM121" i="7"/>
  <c r="AJ121" i="7"/>
  <c r="AF121" i="7"/>
  <c r="AM168" i="7"/>
  <c r="AJ168" i="7"/>
  <c r="AI168" i="7"/>
  <c r="AH168" i="7"/>
  <c r="AG168" i="7"/>
  <c r="AF168" i="7"/>
  <c r="AL168" i="7"/>
  <c r="AK168" i="7"/>
  <c r="AM128" i="7"/>
  <c r="AL128" i="7"/>
  <c r="AK128" i="7"/>
  <c r="AI128" i="7"/>
  <c r="AH128" i="7"/>
  <c r="AG128" i="7"/>
  <c r="AF128" i="7"/>
  <c r="AJ128" i="7"/>
  <c r="R76" i="7"/>
  <c r="O76" i="7"/>
  <c r="N76" i="7"/>
  <c r="AM189" i="7"/>
  <c r="AK189" i="7"/>
  <c r="AL189" i="7"/>
  <c r="AI189" i="7"/>
  <c r="AH189" i="7"/>
  <c r="AJ189" i="7"/>
  <c r="AG189" i="7"/>
  <c r="AF189" i="7"/>
  <c r="AH236" i="7"/>
  <c r="AL236" i="7"/>
  <c r="AK236" i="7"/>
  <c r="AI236" i="7"/>
  <c r="AG236" i="7"/>
  <c r="AF236" i="7"/>
  <c r="AM236" i="7"/>
  <c r="AJ236" i="7"/>
  <c r="Q57" i="7"/>
  <c r="T57" i="7"/>
  <c r="V57" i="7"/>
  <c r="AH86" i="7"/>
  <c r="AG86" i="7"/>
  <c r="AL86" i="7"/>
  <c r="AK86" i="7"/>
  <c r="AJ86" i="7"/>
  <c r="AI86" i="7"/>
  <c r="AF86" i="7"/>
  <c r="AM86" i="7"/>
  <c r="T156" i="7"/>
  <c r="Q156" i="7"/>
  <c r="AK219" i="7"/>
  <c r="AJ219" i="7"/>
  <c r="AI219" i="7"/>
  <c r="AF219" i="7"/>
  <c r="AH219" i="7"/>
  <c r="AG219" i="7"/>
  <c r="AM219" i="7"/>
  <c r="AL219" i="7"/>
  <c r="AJ36" i="7"/>
  <c r="AK36" i="7"/>
  <c r="AI36" i="7"/>
  <c r="AH36" i="7"/>
  <c r="AL36" i="7"/>
  <c r="AG36" i="7"/>
  <c r="AF36" i="7"/>
  <c r="AM36" i="7"/>
  <c r="Q34" i="7"/>
  <c r="T34" i="7"/>
  <c r="T197" i="7"/>
  <c r="Q197" i="7"/>
  <c r="R198" i="7"/>
  <c r="N198" i="7"/>
  <c r="O198" i="7"/>
  <c r="AB37" i="12"/>
  <c r="F37" i="12"/>
  <c r="E37" i="12"/>
  <c r="G37" i="12"/>
  <c r="H37" i="12"/>
  <c r="AJ195" i="7"/>
  <c r="AI195" i="7"/>
  <c r="AF195" i="7"/>
  <c r="AL195" i="7"/>
  <c r="AM195" i="7"/>
  <c r="AK195" i="7"/>
  <c r="AH195" i="7"/>
  <c r="AG195" i="7"/>
  <c r="R24" i="7"/>
  <c r="O24" i="7"/>
  <c r="N24" i="7"/>
  <c r="Q145" i="7"/>
  <c r="T145" i="7"/>
  <c r="T170" i="7"/>
  <c r="Q170" i="7"/>
  <c r="AK153" i="7"/>
  <c r="AH153" i="7"/>
  <c r="AG153" i="7"/>
  <c r="AF153" i="7"/>
  <c r="AM153" i="7"/>
  <c r="AL153" i="7"/>
  <c r="AJ153" i="7"/>
  <c r="AI153" i="7"/>
  <c r="N27" i="12"/>
  <c r="J27" i="12"/>
  <c r="X27" i="12"/>
  <c r="O27" i="12"/>
  <c r="K27" i="12"/>
  <c r="I27" i="12"/>
  <c r="AD27" i="12"/>
  <c r="AC27" i="12"/>
  <c r="A27" i="12"/>
  <c r="AB27" i="12"/>
  <c r="P27" i="12"/>
  <c r="W27" i="12"/>
  <c r="Y27" i="12"/>
  <c r="AM10" i="7"/>
  <c r="AL10" i="7"/>
  <c r="AK10" i="7"/>
  <c r="AJ10" i="7"/>
  <c r="AH10" i="7"/>
  <c r="AI10" i="7"/>
  <c r="AF10" i="7"/>
  <c r="AG10" i="7"/>
  <c r="AK185" i="7"/>
  <c r="AM185" i="7"/>
  <c r="AJ185" i="7"/>
  <c r="AI185" i="7"/>
  <c r="AH185" i="7"/>
  <c r="AL185" i="7"/>
  <c r="AG185" i="7"/>
  <c r="AF185" i="7"/>
  <c r="D45" i="12"/>
  <c r="T46" i="7"/>
  <c r="Q46" i="7"/>
  <c r="V46" i="7"/>
  <c r="AI118" i="7"/>
  <c r="AJ118" i="7"/>
  <c r="AH118" i="7"/>
  <c r="AF118" i="7"/>
  <c r="AM118" i="7"/>
  <c r="AL118" i="7"/>
  <c r="AK118" i="7"/>
  <c r="AG118" i="7"/>
  <c r="T108" i="7"/>
  <c r="Q108" i="7"/>
  <c r="O125" i="7"/>
  <c r="N125" i="7"/>
  <c r="R125" i="7"/>
  <c r="AF82" i="7"/>
  <c r="AI82" i="7"/>
  <c r="AH82" i="7"/>
  <c r="AG82" i="7"/>
  <c r="AM82" i="7"/>
  <c r="AL82" i="7"/>
  <c r="AK82" i="7"/>
  <c r="AJ82" i="7"/>
  <c r="T236" i="7"/>
  <c r="Q236" i="7"/>
  <c r="R95" i="7"/>
  <c r="N95" i="7"/>
  <c r="O95" i="7"/>
  <c r="T202" i="7"/>
  <c r="Q202" i="7"/>
  <c r="V202" i="7"/>
  <c r="T150" i="7"/>
  <c r="Q150" i="7"/>
  <c r="X40" i="12"/>
  <c r="Y40" i="12"/>
  <c r="W40" i="12"/>
  <c r="Z40" i="12"/>
  <c r="Q10" i="12"/>
  <c r="U10" i="12"/>
  <c r="R10" i="12"/>
  <c r="S10" i="12"/>
  <c r="T221" i="7"/>
  <c r="Q221" i="7"/>
  <c r="O39" i="7"/>
  <c r="N39" i="7"/>
  <c r="R39" i="7"/>
  <c r="N103" i="7"/>
  <c r="R103" i="7"/>
  <c r="O103" i="7"/>
  <c r="AL31" i="7"/>
  <c r="AM31" i="7"/>
  <c r="AK31" i="7"/>
  <c r="AJ31" i="7"/>
  <c r="AG31" i="7"/>
  <c r="AF31" i="7"/>
  <c r="AI31" i="7"/>
  <c r="AH31" i="7"/>
  <c r="AL81" i="7"/>
  <c r="AJ81" i="7"/>
  <c r="AH81" i="7"/>
  <c r="AG81" i="7"/>
  <c r="AF81" i="7"/>
  <c r="AM81" i="7"/>
  <c r="AK81" i="7"/>
  <c r="AI81" i="7"/>
  <c r="T71" i="7"/>
  <c r="Q71" i="7"/>
  <c r="AH199" i="7"/>
  <c r="AF199" i="7"/>
  <c r="AG199" i="7"/>
  <c r="AL199" i="7"/>
  <c r="AK199" i="7"/>
  <c r="AJ199" i="7"/>
  <c r="AM199" i="7"/>
  <c r="AI199" i="7"/>
  <c r="N192" i="7"/>
  <c r="R192" i="7"/>
  <c r="O192" i="7"/>
  <c r="R178" i="7"/>
  <c r="O178" i="7"/>
  <c r="N178" i="7"/>
  <c r="R45" i="7"/>
  <c r="O45" i="7"/>
  <c r="N45" i="7"/>
  <c r="R128" i="7"/>
  <c r="O128" i="7"/>
  <c r="N128" i="7"/>
  <c r="AL138" i="7"/>
  <c r="AK138" i="7"/>
  <c r="AI138" i="7"/>
  <c r="AH138" i="7"/>
  <c r="AG138" i="7"/>
  <c r="AM138" i="7"/>
  <c r="AJ138" i="7"/>
  <c r="AF138" i="7"/>
  <c r="AM44" i="7"/>
  <c r="AI44" i="7"/>
  <c r="AL44" i="7"/>
  <c r="AG44" i="7"/>
  <c r="AJ44" i="7"/>
  <c r="AH44" i="7"/>
  <c r="AF44" i="7"/>
  <c r="AK44" i="7"/>
  <c r="AM14" i="7"/>
  <c r="AL14" i="7"/>
  <c r="AJ14" i="7"/>
  <c r="AF14" i="7"/>
  <c r="AI14" i="7"/>
  <c r="AH14" i="7"/>
  <c r="AK14" i="7"/>
  <c r="AG14" i="7"/>
  <c r="AF110" i="7"/>
  <c r="AM110" i="7"/>
  <c r="AL110" i="7"/>
  <c r="AK110" i="7"/>
  <c r="AJ110" i="7"/>
  <c r="AI110" i="7"/>
  <c r="AH110" i="7"/>
  <c r="AG110" i="7"/>
  <c r="R96" i="7"/>
  <c r="O96" i="7"/>
  <c r="N96" i="7"/>
  <c r="AM209" i="7"/>
  <c r="AI209" i="7"/>
  <c r="AH209" i="7"/>
  <c r="AJ209" i="7"/>
  <c r="AG209" i="7"/>
  <c r="AF209" i="7"/>
  <c r="AK209" i="7"/>
  <c r="AL209" i="7"/>
  <c r="N189" i="7"/>
  <c r="R189" i="7"/>
  <c r="O189" i="7"/>
  <c r="V26" i="12"/>
  <c r="U26" i="12"/>
  <c r="M26" i="12"/>
  <c r="H26" i="12"/>
  <c r="F26" i="12"/>
  <c r="AA26" i="12"/>
  <c r="A26" i="12"/>
  <c r="T26" i="12"/>
  <c r="G26" i="12"/>
  <c r="AL200" i="7"/>
  <c r="AM200" i="7"/>
  <c r="AK200" i="7"/>
  <c r="AH200" i="7"/>
  <c r="AJ200" i="7"/>
  <c r="AF200" i="7"/>
  <c r="AG200" i="7"/>
  <c r="AI200" i="7"/>
  <c r="N65" i="7"/>
  <c r="R65" i="7"/>
  <c r="O65" i="7"/>
  <c r="AL89" i="7"/>
  <c r="AM89" i="7"/>
  <c r="AJ89" i="7"/>
  <c r="AI89" i="7"/>
  <c r="AH89" i="7"/>
  <c r="AK89" i="7"/>
  <c r="AG89" i="7"/>
  <c r="AF89" i="7"/>
  <c r="O18" i="7"/>
  <c r="N18" i="7"/>
  <c r="R18" i="7"/>
  <c r="N79" i="7"/>
  <c r="O79" i="7"/>
  <c r="R79" i="7"/>
  <c r="AJ7" i="7"/>
  <c r="AL7" i="7"/>
  <c r="AI7" i="7"/>
  <c r="AG7" i="7"/>
  <c r="AK7" i="7"/>
  <c r="AF7" i="7"/>
  <c r="AH7" i="7"/>
  <c r="AM7" i="7"/>
  <c r="AM76" i="7"/>
  <c r="AK76" i="7"/>
  <c r="AJ76" i="7"/>
  <c r="AI76" i="7"/>
  <c r="AL76" i="7"/>
  <c r="AG76" i="7"/>
  <c r="AH76" i="7"/>
  <c r="AF76" i="7"/>
  <c r="AK214" i="7"/>
  <c r="AJ214" i="7"/>
  <c r="AH214" i="7"/>
  <c r="AG214" i="7"/>
  <c r="AF214" i="7"/>
  <c r="AM214" i="7"/>
  <c r="AL214" i="7"/>
  <c r="AI214" i="7"/>
  <c r="T222" i="7"/>
  <c r="Q222" i="7"/>
  <c r="O159" i="7"/>
  <c r="R159" i="7"/>
  <c r="N159" i="7"/>
  <c r="AM165" i="7"/>
  <c r="AL165" i="7"/>
  <c r="AH165" i="7"/>
  <c r="AI165" i="7"/>
  <c r="AG165" i="7"/>
  <c r="AF165" i="7"/>
  <c r="AK165" i="7"/>
  <c r="AJ165" i="7"/>
  <c r="AG183" i="7"/>
  <c r="AL183" i="7"/>
  <c r="AK183" i="7"/>
  <c r="AJ183" i="7"/>
  <c r="AI183" i="7"/>
  <c r="AH183" i="7"/>
  <c r="AF183" i="7"/>
  <c r="AM183" i="7"/>
  <c r="AH75" i="7"/>
  <c r="AG75" i="7"/>
  <c r="AF75" i="7"/>
  <c r="AM75" i="7"/>
  <c r="AL75" i="7"/>
  <c r="AK75" i="7"/>
  <c r="AJ75" i="7"/>
  <c r="AI75" i="7"/>
  <c r="T148" i="7"/>
  <c r="Q148" i="7"/>
  <c r="AK174" i="7"/>
  <c r="AH174" i="7"/>
  <c r="AG174" i="7"/>
  <c r="AF174" i="7"/>
  <c r="AM174" i="7"/>
  <c r="AL174" i="7"/>
  <c r="AJ174" i="7"/>
  <c r="AI174" i="7"/>
  <c r="R209" i="7"/>
  <c r="N209" i="7"/>
  <c r="O209" i="7"/>
  <c r="T37" i="12"/>
  <c r="S37" i="12"/>
  <c r="R37" i="12"/>
  <c r="Q37" i="12"/>
  <c r="AH141" i="7"/>
  <c r="AG141" i="7"/>
  <c r="AM141" i="7"/>
  <c r="AL141" i="7"/>
  <c r="AJ141" i="7"/>
  <c r="AI141" i="7"/>
  <c r="AK141" i="7"/>
  <c r="AF141" i="7"/>
  <c r="AL148" i="7"/>
  <c r="AK148" i="7"/>
  <c r="AI148" i="7"/>
  <c r="AH148" i="7"/>
  <c r="AG148" i="7"/>
  <c r="AM148" i="7"/>
  <c r="AJ148" i="7"/>
  <c r="AF148" i="7"/>
  <c r="R60" i="7"/>
  <c r="O60" i="7"/>
  <c r="N60" i="7"/>
  <c r="AK159" i="7"/>
  <c r="AJ159" i="7"/>
  <c r="AH159" i="7"/>
  <c r="AG159" i="7"/>
  <c r="AF159" i="7"/>
  <c r="AI159" i="7"/>
  <c r="AM159" i="7"/>
  <c r="AL159" i="7"/>
  <c r="R66" i="7"/>
  <c r="O66" i="7"/>
  <c r="N66" i="7"/>
  <c r="AF197" i="7"/>
  <c r="AM197" i="7"/>
  <c r="AJ197" i="7"/>
  <c r="AK197" i="7"/>
  <c r="AI197" i="7"/>
  <c r="AG197" i="7"/>
  <c r="AH197" i="7"/>
  <c r="AL197" i="7"/>
  <c r="Q59" i="7"/>
  <c r="T59" i="7"/>
  <c r="AL88" i="7"/>
  <c r="AK88" i="7"/>
  <c r="AJ88" i="7"/>
  <c r="AM88" i="7"/>
  <c r="AI88" i="7"/>
  <c r="AH88" i="7"/>
  <c r="AG88" i="7"/>
  <c r="AF88" i="7"/>
  <c r="Q83" i="7"/>
  <c r="T83" i="7"/>
  <c r="O77" i="7"/>
  <c r="N77" i="7"/>
  <c r="R77" i="7"/>
  <c r="AL233" i="7"/>
  <c r="AK233" i="7"/>
  <c r="AJ233" i="7"/>
  <c r="AG233" i="7"/>
  <c r="AI233" i="7"/>
  <c r="AH233" i="7"/>
  <c r="AM233" i="7"/>
  <c r="AF233" i="7"/>
  <c r="AK147" i="7"/>
  <c r="AM147" i="7"/>
  <c r="AJ147" i="7"/>
  <c r="AI147" i="7"/>
  <c r="AH147" i="7"/>
  <c r="AF147" i="7"/>
  <c r="AL147" i="7"/>
  <c r="AG147" i="7"/>
  <c r="V197" i="7"/>
  <c r="AH130" i="7"/>
  <c r="AG130" i="7"/>
  <c r="AM130" i="7"/>
  <c r="AL130" i="7"/>
  <c r="AF130" i="7"/>
  <c r="AK130" i="7"/>
  <c r="AJ130" i="7"/>
  <c r="AI130" i="7"/>
  <c r="O81" i="7"/>
  <c r="N81" i="7"/>
  <c r="R81" i="7"/>
  <c r="V130" i="7"/>
  <c r="V153" i="7"/>
  <c r="L25" i="12"/>
  <c r="Z25" i="12"/>
  <c r="D25" i="12"/>
  <c r="A25" i="12"/>
  <c r="Q25" i="12"/>
  <c r="S25" i="12"/>
  <c r="R25" i="12"/>
  <c r="E25" i="12"/>
  <c r="C25" i="12"/>
  <c r="N203" i="7"/>
  <c r="O203" i="7"/>
  <c r="R203" i="7"/>
  <c r="V184" i="7"/>
  <c r="R169" i="7"/>
  <c r="N169" i="7"/>
  <c r="O169" i="7"/>
  <c r="V115" i="7"/>
  <c r="AL150" i="7"/>
  <c r="AK150" i="7"/>
  <c r="AJ150" i="7"/>
  <c r="AF150" i="7"/>
  <c r="AM150" i="7"/>
  <c r="AI150" i="7"/>
  <c r="AH150" i="7"/>
  <c r="AG150" i="7"/>
  <c r="F40" i="12"/>
  <c r="E40" i="12"/>
  <c r="G40" i="12"/>
  <c r="H40" i="12"/>
  <c r="O113" i="7"/>
  <c r="R113" i="7"/>
  <c r="N113" i="7"/>
  <c r="AM204" i="7"/>
  <c r="AL204" i="7"/>
  <c r="AK204" i="7"/>
  <c r="AH204" i="7"/>
  <c r="AG204" i="7"/>
  <c r="AJ204" i="7"/>
  <c r="AF204" i="7"/>
  <c r="AI204" i="7"/>
  <c r="A29" i="12"/>
  <c r="T29" i="12"/>
  <c r="H29" i="12"/>
  <c r="AA29" i="12"/>
  <c r="U29" i="12"/>
  <c r="V29" i="12"/>
  <c r="M29" i="12"/>
  <c r="G29" i="12"/>
  <c r="F29" i="12"/>
  <c r="AM157" i="7"/>
  <c r="AJ157" i="7"/>
  <c r="AI157" i="7"/>
  <c r="AH157" i="7"/>
  <c r="AL157" i="7"/>
  <c r="AK157" i="7"/>
  <c r="AG157" i="7"/>
  <c r="AF157" i="7"/>
  <c r="V51" i="7"/>
  <c r="AJ203" i="7"/>
  <c r="AH203" i="7"/>
  <c r="AG203" i="7"/>
  <c r="AM203" i="7"/>
  <c r="AL203" i="7"/>
  <c r="AK203" i="7"/>
  <c r="AI203" i="7"/>
  <c r="AF203" i="7"/>
  <c r="AL19" i="7"/>
  <c r="AK19" i="7"/>
  <c r="AJ19" i="7"/>
  <c r="AI19" i="7"/>
  <c r="AG19" i="7"/>
  <c r="AF19" i="7"/>
  <c r="AM19" i="7"/>
  <c r="AH19" i="7"/>
  <c r="AH235" i="7"/>
  <c r="AG235" i="7"/>
  <c r="AF235" i="7"/>
  <c r="AM235" i="7"/>
  <c r="AL235" i="7"/>
  <c r="AJ235" i="7"/>
  <c r="AI235" i="7"/>
  <c r="AK235" i="7"/>
  <c r="AK164" i="7"/>
  <c r="AH164" i="7"/>
  <c r="AG164" i="7"/>
  <c r="AF164" i="7"/>
  <c r="AJ164" i="7"/>
  <c r="AM164" i="7"/>
  <c r="AL164" i="7"/>
  <c r="AI164" i="7"/>
  <c r="V34" i="7"/>
  <c r="AJ169" i="7"/>
  <c r="AF169" i="7"/>
  <c r="AM169" i="7"/>
  <c r="AL169" i="7"/>
  <c r="AI169" i="7"/>
  <c r="AH169" i="7"/>
  <c r="AG169" i="7"/>
  <c r="AK169" i="7"/>
  <c r="R23" i="7"/>
  <c r="O23" i="7"/>
  <c r="N23" i="7"/>
  <c r="AL48" i="7"/>
  <c r="AK48" i="7"/>
  <c r="AJ48" i="7"/>
  <c r="AI48" i="7"/>
  <c r="AH48" i="7"/>
  <c r="AG48" i="7"/>
  <c r="AM48" i="7"/>
  <c r="AF48" i="7"/>
  <c r="T174" i="7"/>
  <c r="Q174" i="7"/>
  <c r="Q33" i="7"/>
  <c r="T33" i="7"/>
  <c r="AM102" i="7"/>
  <c r="AL102" i="7"/>
  <c r="AK102" i="7"/>
  <c r="AJ102" i="7"/>
  <c r="AG102" i="7"/>
  <c r="AI102" i="7"/>
  <c r="AH102" i="7"/>
  <c r="AF102" i="7"/>
  <c r="AG152" i="7"/>
  <c r="AM152" i="7"/>
  <c r="AK152" i="7"/>
  <c r="AJ152" i="7"/>
  <c r="AI152" i="7"/>
  <c r="AF152" i="7"/>
  <c r="AL152" i="7"/>
  <c r="AH152" i="7"/>
  <c r="AM25" i="7"/>
  <c r="AL25" i="7"/>
  <c r="AK25" i="7"/>
  <c r="AJ25" i="7"/>
  <c r="AH25" i="7"/>
  <c r="AI25" i="7"/>
  <c r="AG25" i="7"/>
  <c r="AF25" i="7"/>
  <c r="R42" i="7"/>
  <c r="O42" i="7"/>
  <c r="N42" i="7"/>
  <c r="AM84" i="7"/>
  <c r="AK84" i="7"/>
  <c r="AI84" i="7"/>
  <c r="AG84" i="7"/>
  <c r="AF84" i="7"/>
  <c r="AJ84" i="7"/>
  <c r="AH84" i="7"/>
  <c r="AL84" i="7"/>
  <c r="AG136" i="7"/>
  <c r="AM136" i="7"/>
  <c r="AL136" i="7"/>
  <c r="AK136" i="7"/>
  <c r="AI136" i="7"/>
  <c r="AJ136" i="7"/>
  <c r="AH136" i="7"/>
  <c r="AF136" i="7"/>
  <c r="R173" i="7"/>
  <c r="O173" i="7"/>
  <c r="N173" i="7"/>
  <c r="AG96" i="7"/>
  <c r="AF96" i="7"/>
  <c r="AL96" i="7"/>
  <c r="AJ96" i="7"/>
  <c r="AI96" i="7"/>
  <c r="AM96" i="7"/>
  <c r="AH96" i="7"/>
  <c r="AK96" i="7"/>
  <c r="Q68" i="7"/>
  <c r="T68" i="7"/>
  <c r="Q62" i="7"/>
  <c r="T62" i="7"/>
  <c r="AI221" i="7"/>
  <c r="AH221" i="7"/>
  <c r="AF221" i="7"/>
  <c r="AJ221" i="7"/>
  <c r="AL221" i="7"/>
  <c r="AK221" i="7"/>
  <c r="AG221" i="7"/>
  <c r="AM221" i="7"/>
  <c r="F38" i="12"/>
  <c r="G38" i="12"/>
  <c r="E38" i="12"/>
  <c r="H38" i="12"/>
  <c r="O122" i="7"/>
  <c r="N122" i="7"/>
  <c r="R122" i="7"/>
  <c r="AL17" i="7"/>
  <c r="AI17" i="7"/>
  <c r="AM17" i="7"/>
  <c r="AJ17" i="7"/>
  <c r="AK17" i="7"/>
  <c r="AH17" i="7"/>
  <c r="AG17" i="7"/>
  <c r="AF17" i="7"/>
  <c r="AJ163" i="7"/>
  <c r="AM163" i="7"/>
  <c r="AL163" i="7"/>
  <c r="AK163" i="7"/>
  <c r="AI163" i="7"/>
  <c r="AH163" i="7"/>
  <c r="AG163" i="7"/>
  <c r="AF163" i="7"/>
  <c r="AF187" i="7"/>
  <c r="AM187" i="7"/>
  <c r="AK187" i="7"/>
  <c r="AJ187" i="7"/>
  <c r="AH187" i="7"/>
  <c r="AG187" i="7"/>
  <c r="AI187" i="7"/>
  <c r="AL187" i="7"/>
  <c r="O13" i="7"/>
  <c r="N13" i="7"/>
  <c r="R13" i="7"/>
  <c r="T41" i="7"/>
  <c r="Q41" i="7"/>
  <c r="AM175" i="7"/>
  <c r="AL175" i="7"/>
  <c r="AK175" i="7"/>
  <c r="AG175" i="7"/>
  <c r="AF175" i="7"/>
  <c r="AJ175" i="7"/>
  <c r="AI175" i="7"/>
  <c r="AH175" i="7"/>
  <c r="AM78" i="7"/>
  <c r="AK78" i="7"/>
  <c r="AL78" i="7"/>
  <c r="AJ78" i="7"/>
  <c r="AH78" i="7"/>
  <c r="AG78" i="7"/>
  <c r="AF78" i="7"/>
  <c r="AI78" i="7"/>
  <c r="R217" i="7"/>
  <c r="N217" i="7"/>
  <c r="O217" i="7"/>
  <c r="AM178" i="7"/>
  <c r="AL178" i="7"/>
  <c r="AH178" i="7"/>
  <c r="AI178" i="7"/>
  <c r="AK178" i="7"/>
  <c r="AJ178" i="7"/>
  <c r="AG178" i="7"/>
  <c r="AF178" i="7"/>
  <c r="R107" i="7"/>
  <c r="O107" i="7"/>
  <c r="N107" i="7"/>
  <c r="AM77" i="7"/>
  <c r="AL77" i="7"/>
  <c r="AJ77" i="7"/>
  <c r="AI77" i="7"/>
  <c r="AH77" i="7"/>
  <c r="AK77" i="7"/>
  <c r="AG77" i="7"/>
  <c r="AF77" i="7"/>
  <c r="AF18" i="7"/>
  <c r="AM18" i="7"/>
  <c r="AL18" i="7"/>
  <c r="AK18" i="7"/>
  <c r="AJ18" i="7"/>
  <c r="AH18" i="7"/>
  <c r="AI18" i="7"/>
  <c r="AG18" i="7"/>
  <c r="R227" i="7"/>
  <c r="N227" i="7"/>
  <c r="O227" i="7"/>
  <c r="AH107" i="7"/>
  <c r="AG107" i="7"/>
  <c r="AL107" i="7"/>
  <c r="AK107" i="7"/>
  <c r="AJ107" i="7"/>
  <c r="AI107" i="7"/>
  <c r="AF107" i="7"/>
  <c r="AM107" i="7"/>
  <c r="T171" i="7"/>
  <c r="Q171" i="7"/>
  <c r="AL83" i="7"/>
  <c r="AK83" i="7"/>
  <c r="AI83" i="7"/>
  <c r="AH83" i="7"/>
  <c r="AG83" i="7"/>
  <c r="AJ83" i="7"/>
  <c r="AM83" i="7"/>
  <c r="AF83" i="7"/>
  <c r="R114" i="7"/>
  <c r="O114" i="7"/>
  <c r="N114" i="7"/>
  <c r="R181" i="7"/>
  <c r="O181" i="7"/>
  <c r="N181" i="7"/>
  <c r="AM218" i="7"/>
  <c r="AL218" i="7"/>
  <c r="AJ218" i="7"/>
  <c r="AI218" i="7"/>
  <c r="AH218" i="7"/>
  <c r="AK218" i="7"/>
  <c r="AF218" i="7"/>
  <c r="AG218" i="7"/>
  <c r="O30" i="7"/>
  <c r="N30" i="7"/>
  <c r="R30" i="7"/>
  <c r="L37" i="12"/>
  <c r="K37" i="12"/>
  <c r="M37" i="12"/>
  <c r="N37" i="12"/>
  <c r="AM91" i="7"/>
  <c r="AL91" i="7"/>
  <c r="AK91" i="7"/>
  <c r="AJ91" i="7"/>
  <c r="AI91" i="7"/>
  <c r="AG91" i="7"/>
  <c r="AF91" i="7"/>
  <c r="AH91" i="7"/>
  <c r="AL94" i="7"/>
  <c r="AK94" i="7"/>
  <c r="AI94" i="7"/>
  <c r="AH94" i="7"/>
  <c r="AG94" i="7"/>
  <c r="AF94" i="7"/>
  <c r="AM94" i="7"/>
  <c r="AJ94" i="7"/>
  <c r="AM192" i="7"/>
  <c r="AL192" i="7"/>
  <c r="AI192" i="7"/>
  <c r="AK192" i="7"/>
  <c r="AG192" i="7"/>
  <c r="AF192" i="7"/>
  <c r="AJ192" i="7"/>
  <c r="AH192" i="7"/>
  <c r="N224" i="7"/>
  <c r="R224" i="7"/>
  <c r="O224" i="7"/>
  <c r="AK145" i="7"/>
  <c r="AJ145" i="7"/>
  <c r="AH145" i="7"/>
  <c r="AG145" i="7"/>
  <c r="AF145" i="7"/>
  <c r="AI145" i="7"/>
  <c r="AL145" i="7"/>
  <c r="AM145" i="7"/>
  <c r="T163" i="7"/>
  <c r="Q163" i="7"/>
  <c r="Q206" i="7"/>
  <c r="T206" i="7"/>
  <c r="O235" i="7"/>
  <c r="N235" i="7"/>
  <c r="R235" i="7"/>
  <c r="R208" i="7"/>
  <c r="O208" i="7"/>
  <c r="N208" i="7"/>
  <c r="P30" i="12"/>
  <c r="O30" i="12"/>
  <c r="K30" i="12"/>
  <c r="AD30" i="12"/>
  <c r="W30" i="12"/>
  <c r="Y30" i="12"/>
  <c r="X30" i="12"/>
  <c r="N30" i="12"/>
  <c r="J30" i="12"/>
  <c r="I30" i="12"/>
  <c r="AB30" i="12"/>
  <c r="AC30" i="12"/>
  <c r="A30" i="12"/>
  <c r="R230" i="7"/>
  <c r="O230" i="7"/>
  <c r="N230" i="7"/>
  <c r="R93" i="7"/>
  <c r="O93" i="7"/>
  <c r="N93" i="7"/>
  <c r="T161" i="7"/>
  <c r="Q161" i="7"/>
  <c r="R165" i="7"/>
  <c r="O165" i="7"/>
  <c r="N165" i="7"/>
  <c r="Z39" i="12"/>
  <c r="Y39" i="12"/>
  <c r="X39" i="12"/>
  <c r="W39" i="12"/>
  <c r="V148" i="7"/>
  <c r="AG180" i="7"/>
  <c r="AF180" i="7"/>
  <c r="AK180" i="7"/>
  <c r="AJ180" i="7"/>
  <c r="AI180" i="7"/>
  <c r="AL180" i="7"/>
  <c r="AH180" i="7"/>
  <c r="AM180" i="7"/>
  <c r="R40" i="7"/>
  <c r="N40" i="7"/>
  <c r="O40" i="7"/>
  <c r="N72" i="7"/>
  <c r="R72" i="7"/>
  <c r="O72" i="7"/>
  <c r="AM63" i="7"/>
  <c r="AL63" i="7"/>
  <c r="AH63" i="7"/>
  <c r="AK63" i="7"/>
  <c r="AJ63" i="7"/>
  <c r="AI63" i="7"/>
  <c r="AF63" i="7"/>
  <c r="AG63" i="7"/>
  <c r="AM170" i="7"/>
  <c r="AK170" i="7"/>
  <c r="AJ170" i="7"/>
  <c r="AI170" i="7"/>
  <c r="AF170" i="7"/>
  <c r="AL170" i="7"/>
  <c r="AH170" i="7"/>
  <c r="AG170" i="7"/>
  <c r="AK42" i="7"/>
  <c r="AJ42" i="7"/>
  <c r="AI42" i="7"/>
  <c r="AH42" i="7"/>
  <c r="AG42" i="7"/>
  <c r="AF42" i="7"/>
  <c r="AL42" i="7"/>
  <c r="AM42" i="7"/>
  <c r="R204" i="7"/>
  <c r="O204" i="7"/>
  <c r="N204" i="7"/>
  <c r="Q146" i="7"/>
  <c r="T146" i="7"/>
  <c r="N37" i="7"/>
  <c r="O37" i="7"/>
  <c r="R37" i="7"/>
  <c r="Q232" i="7"/>
  <c r="T232" i="7"/>
  <c r="T138" i="7"/>
  <c r="Q138" i="7"/>
  <c r="AI184" i="7"/>
  <c r="AH184" i="7"/>
  <c r="AM184" i="7"/>
  <c r="AJ184" i="7"/>
  <c r="AG184" i="7"/>
  <c r="AF184" i="7"/>
  <c r="AK184" i="7"/>
  <c r="AL184" i="7"/>
  <c r="O223" i="7"/>
  <c r="N223" i="7"/>
  <c r="R223" i="7"/>
  <c r="R7" i="7"/>
  <c r="N7" i="7"/>
  <c r="O7" i="7"/>
  <c r="AJ54" i="7"/>
  <c r="AI54" i="7"/>
  <c r="AG54" i="7"/>
  <c r="AM54" i="7"/>
  <c r="AH54" i="7"/>
  <c r="AL54" i="7"/>
  <c r="AK54" i="7"/>
  <c r="AF54" i="7"/>
  <c r="T215" i="7"/>
  <c r="Q215" i="7"/>
  <c r="S39" i="12"/>
  <c r="R39" i="12"/>
  <c r="T39" i="12"/>
  <c r="Q39" i="12"/>
  <c r="AL41" i="7"/>
  <c r="AK41" i="7"/>
  <c r="AJ41" i="7"/>
  <c r="AI41" i="7"/>
  <c r="AH41" i="7"/>
  <c r="AM41" i="7"/>
  <c r="AG41" i="7"/>
  <c r="AF41" i="7"/>
  <c r="AF115" i="7"/>
  <c r="AL115" i="7"/>
  <c r="AK115" i="7"/>
  <c r="AI115" i="7"/>
  <c r="AG115" i="7"/>
  <c r="AJ115" i="7"/>
  <c r="AH115" i="7"/>
  <c r="AM115" i="7"/>
  <c r="T80" i="7"/>
  <c r="Q80" i="7"/>
  <c r="AK225" i="7"/>
  <c r="AJ225" i="7"/>
  <c r="AH225" i="7"/>
  <c r="AG225" i="7"/>
  <c r="AF225" i="7"/>
  <c r="AI225" i="7"/>
  <c r="AM225" i="7"/>
  <c r="AL225" i="7"/>
  <c r="V120" i="7"/>
  <c r="AL161" i="7"/>
  <c r="AK161" i="7"/>
  <c r="AJ161" i="7"/>
  <c r="AF161" i="7"/>
  <c r="AI161" i="7"/>
  <c r="AM161" i="7"/>
  <c r="AH161" i="7"/>
  <c r="AG161" i="7"/>
  <c r="T175" i="7"/>
  <c r="Q175" i="7"/>
  <c r="O25" i="7"/>
  <c r="N25" i="7"/>
  <c r="R25" i="7"/>
  <c r="AM51" i="7"/>
  <c r="AK51" i="7"/>
  <c r="AI51" i="7"/>
  <c r="AH51" i="7"/>
  <c r="AG51" i="7"/>
  <c r="AL51" i="7"/>
  <c r="AJ51" i="7"/>
  <c r="AF51" i="7"/>
  <c r="T47" i="7"/>
  <c r="Q47" i="7"/>
  <c r="V171" i="7"/>
  <c r="R14" i="7"/>
  <c r="N14" i="7"/>
  <c r="O14" i="7"/>
  <c r="Q168" i="7"/>
  <c r="T168" i="7"/>
  <c r="AJ112" i="7"/>
  <c r="AI112" i="7"/>
  <c r="AG112" i="7"/>
  <c r="AF112" i="7"/>
  <c r="AL112" i="7"/>
  <c r="AH112" i="7"/>
  <c r="AM112" i="7"/>
  <c r="AK112" i="7"/>
  <c r="AI160" i="7"/>
  <c r="AF160" i="7"/>
  <c r="AL160" i="7"/>
  <c r="AM160" i="7"/>
  <c r="AK160" i="7"/>
  <c r="AJ160" i="7"/>
  <c r="AH160" i="7"/>
  <c r="AG160" i="7"/>
  <c r="AM34" i="7"/>
  <c r="AL34" i="7"/>
  <c r="AK34" i="7"/>
  <c r="AI34" i="7"/>
  <c r="AG34" i="7"/>
  <c r="AF34" i="7"/>
  <c r="AH34" i="7"/>
  <c r="AJ34" i="7"/>
  <c r="Q126" i="7"/>
  <c r="T126" i="7"/>
  <c r="O118" i="7"/>
  <c r="N118" i="7"/>
  <c r="R118" i="7"/>
  <c r="O183" i="7"/>
  <c r="R183" i="7"/>
  <c r="N183" i="7"/>
  <c r="N234" i="7"/>
  <c r="O234" i="7"/>
  <c r="R234" i="7"/>
  <c r="T75" i="7"/>
  <c r="Q75" i="7"/>
  <c r="N182" i="7"/>
  <c r="O182" i="7"/>
  <c r="R182" i="7"/>
  <c r="V62" i="7"/>
  <c r="AM173" i="7"/>
  <c r="AL173" i="7"/>
  <c r="AJ173" i="7"/>
  <c r="AI173" i="7"/>
  <c r="AH173" i="7"/>
  <c r="AG173" i="7"/>
  <c r="AF173" i="7"/>
  <c r="AK173" i="7"/>
  <c r="AM139" i="7"/>
  <c r="AJ139" i="7"/>
  <c r="AK139" i="7"/>
  <c r="AL139" i="7"/>
  <c r="AG139" i="7"/>
  <c r="AH139" i="7"/>
  <c r="AF139" i="7"/>
  <c r="AI139" i="7"/>
  <c r="R6" i="7"/>
  <c r="O6" i="7"/>
  <c r="N6" i="7"/>
  <c r="R20" i="7"/>
  <c r="O20" i="7"/>
  <c r="N20" i="7"/>
  <c r="V186" i="7"/>
  <c r="AG217" i="7"/>
  <c r="AF217" i="7"/>
  <c r="AK217" i="7"/>
  <c r="AL217" i="7"/>
  <c r="AJ217" i="7"/>
  <c r="AM217" i="7"/>
  <c r="AH217" i="7"/>
  <c r="AI217" i="7"/>
  <c r="O111" i="7"/>
  <c r="R111" i="7"/>
  <c r="N111" i="7"/>
  <c r="R38" i="12"/>
  <c r="Q38" i="12"/>
  <c r="S38" i="12"/>
  <c r="T38" i="12"/>
  <c r="R213" i="7"/>
  <c r="O213" i="7"/>
  <c r="N213" i="7"/>
  <c r="V161" i="7"/>
  <c r="R21" i="7"/>
  <c r="O21" i="7"/>
  <c r="N21" i="7"/>
  <c r="R61" i="7"/>
  <c r="O61" i="7"/>
  <c r="N61" i="7"/>
  <c r="Q207" i="7"/>
  <c r="T207" i="7"/>
  <c r="R131" i="7"/>
  <c r="O131" i="7"/>
  <c r="N131" i="7"/>
  <c r="AI171" i="7"/>
  <c r="AF171" i="7"/>
  <c r="AG171" i="7"/>
  <c r="AM171" i="7"/>
  <c r="AK171" i="7"/>
  <c r="AJ171" i="7"/>
  <c r="AL171" i="7"/>
  <c r="AH171" i="7"/>
  <c r="O220" i="7"/>
  <c r="N220" i="7"/>
  <c r="R220" i="7"/>
  <c r="N134" i="7"/>
  <c r="R134" i="7"/>
  <c r="O134" i="7"/>
  <c r="R17" i="7"/>
  <c r="O17" i="7"/>
  <c r="N17" i="7"/>
  <c r="AF93" i="7"/>
  <c r="AJ93" i="7"/>
  <c r="AI93" i="7"/>
  <c r="AG93" i="7"/>
  <c r="AL93" i="7"/>
  <c r="AK93" i="7"/>
  <c r="AH93" i="7"/>
  <c r="AM93" i="7"/>
  <c r="S146" i="7"/>
  <c r="P146" i="7"/>
  <c r="N228" i="7"/>
  <c r="O228" i="7"/>
  <c r="R228" i="7"/>
  <c r="R106" i="7"/>
  <c r="O106" i="7"/>
  <c r="N106" i="7"/>
  <c r="AK190" i="7"/>
  <c r="AH190" i="7"/>
  <c r="AG190" i="7"/>
  <c r="AF190" i="7"/>
  <c r="AM190" i="7"/>
  <c r="AI190" i="7"/>
  <c r="AJ190" i="7"/>
  <c r="AL190" i="7"/>
  <c r="AF29" i="7"/>
  <c r="AJ29" i="7"/>
  <c r="AM29" i="7"/>
  <c r="AL29" i="7"/>
  <c r="AK29" i="7"/>
  <c r="AI29" i="7"/>
  <c r="AH29" i="7"/>
  <c r="AG29" i="7"/>
  <c r="N90" i="7"/>
  <c r="R90" i="7"/>
  <c r="O90" i="7"/>
  <c r="AL220" i="7"/>
  <c r="AK220" i="7"/>
  <c r="AH220" i="7"/>
  <c r="AJ220" i="7"/>
  <c r="AI220" i="7"/>
  <c r="AG220" i="7"/>
  <c r="AM220" i="7"/>
  <c r="AF220" i="7"/>
  <c r="O172" i="7"/>
  <c r="N172" i="7"/>
  <c r="R172" i="7"/>
  <c r="R231" i="7"/>
  <c r="O231" i="7"/>
  <c r="N231" i="7"/>
  <c r="AM113" i="7"/>
  <c r="AL113" i="7"/>
  <c r="AK113" i="7"/>
  <c r="AJ113" i="7"/>
  <c r="AF113" i="7"/>
  <c r="AI113" i="7"/>
  <c r="AG113" i="7"/>
  <c r="AH113" i="7"/>
  <c r="AH67" i="7"/>
  <c r="AF67" i="7"/>
  <c r="AL67" i="7"/>
  <c r="AK67" i="7"/>
  <c r="AJ67" i="7"/>
  <c r="AI67" i="7"/>
  <c r="AM67" i="7"/>
  <c r="AG67" i="7"/>
  <c r="AJ146" i="7"/>
  <c r="AK146" i="7"/>
  <c r="AM146" i="7"/>
  <c r="AL146" i="7"/>
  <c r="AH146" i="7"/>
  <c r="AG146" i="7"/>
  <c r="AF146" i="7"/>
  <c r="AI146" i="7"/>
  <c r="O216" i="7"/>
  <c r="N216" i="7"/>
  <c r="R216" i="7"/>
  <c r="D41" i="12"/>
  <c r="C41" i="12"/>
  <c r="F45" i="12" s="1"/>
  <c r="V41" i="12"/>
  <c r="D48" i="12" s="1"/>
  <c r="U41" i="12"/>
  <c r="F48" i="12" s="1"/>
  <c r="J41" i="12"/>
  <c r="D46" i="12" s="1"/>
  <c r="I41" i="12"/>
  <c r="P41" i="12"/>
  <c r="D47" i="12" s="1"/>
  <c r="O41" i="12"/>
  <c r="C47" i="12" s="1"/>
  <c r="N123" i="7"/>
  <c r="R123" i="7"/>
  <c r="O123" i="7"/>
  <c r="V68" i="7"/>
  <c r="O48" i="7"/>
  <c r="N48" i="7"/>
  <c r="R48" i="7"/>
  <c r="R22" i="7"/>
  <c r="O22" i="7"/>
  <c r="N22" i="7"/>
  <c r="N26" i="7"/>
  <c r="R26" i="7"/>
  <c r="O26" i="7"/>
  <c r="V225" i="7"/>
  <c r="AM120" i="7"/>
  <c r="AK120" i="7"/>
  <c r="AJ120" i="7"/>
  <c r="AI120" i="7"/>
  <c r="AL120" i="7"/>
  <c r="AH120" i="7"/>
  <c r="AG120" i="7"/>
  <c r="AF120" i="7"/>
  <c r="R85" i="7"/>
  <c r="N85" i="7"/>
  <c r="O85" i="7"/>
  <c r="AG206" i="7"/>
  <c r="AF206" i="7"/>
  <c r="AM206" i="7"/>
  <c r="AL206" i="7"/>
  <c r="AK206" i="7"/>
  <c r="AJ206" i="7"/>
  <c r="AI206" i="7"/>
  <c r="AH206" i="7"/>
  <c r="AH108" i="7"/>
  <c r="AG108" i="7"/>
  <c r="AJ108" i="7"/>
  <c r="AI108" i="7"/>
  <c r="AF108" i="7"/>
  <c r="AM108" i="7"/>
  <c r="AL108" i="7"/>
  <c r="AK108" i="7"/>
  <c r="T151" i="7"/>
  <c r="Q151" i="7"/>
  <c r="AL68" i="7"/>
  <c r="AM68" i="7"/>
  <c r="AJ68" i="7"/>
  <c r="AH68" i="7"/>
  <c r="AG68" i="7"/>
  <c r="AF68" i="7"/>
  <c r="AK68" i="7"/>
  <c r="AI68" i="7"/>
  <c r="AM16" i="7"/>
  <c r="AL16" i="7"/>
  <c r="AK16" i="7"/>
  <c r="AJ16" i="7"/>
  <c r="AI16" i="7"/>
  <c r="AH16" i="7"/>
  <c r="AG16" i="7"/>
  <c r="AF16" i="7"/>
  <c r="R119" i="7"/>
  <c r="O119" i="7"/>
  <c r="N119" i="7"/>
  <c r="AL155" i="7"/>
  <c r="AM155" i="7"/>
  <c r="AK155" i="7"/>
  <c r="AI155" i="7"/>
  <c r="AH155" i="7"/>
  <c r="AF155" i="7"/>
  <c r="AJ155" i="7"/>
  <c r="AG155" i="7"/>
  <c r="AL116" i="7"/>
  <c r="AK116" i="7"/>
  <c r="AI116" i="7"/>
  <c r="AH116" i="7"/>
  <c r="AG116" i="7"/>
  <c r="AM116" i="7"/>
  <c r="AF116" i="7"/>
  <c r="AJ116" i="7"/>
  <c r="Q97" i="7"/>
  <c r="T97" i="7"/>
  <c r="L40" i="12"/>
  <c r="K40" i="12"/>
  <c r="M40" i="12"/>
  <c r="N40" i="12"/>
  <c r="T70" i="7"/>
  <c r="Q70" i="7"/>
  <c r="V70" i="7"/>
  <c r="AF104" i="7"/>
  <c r="AK104" i="7"/>
  <c r="AJ104" i="7"/>
  <c r="AH104" i="7"/>
  <c r="AM104" i="7"/>
  <c r="AI104" i="7"/>
  <c r="AG104" i="7"/>
  <c r="AL104" i="7"/>
  <c r="AH50" i="7"/>
  <c r="AG50" i="7"/>
  <c r="AF50" i="7"/>
  <c r="AM50" i="7"/>
  <c r="AK50" i="7"/>
  <c r="AJ50" i="7"/>
  <c r="AI50" i="7"/>
  <c r="AL50" i="7"/>
  <c r="AM215" i="7"/>
  <c r="AL215" i="7"/>
  <c r="AJ215" i="7"/>
  <c r="AH215" i="7"/>
  <c r="AF215" i="7"/>
  <c r="AI215" i="7"/>
  <c r="AK215" i="7"/>
  <c r="AG215" i="7"/>
  <c r="AK71" i="7"/>
  <c r="AJ71" i="7"/>
  <c r="AH71" i="7"/>
  <c r="AL71" i="7"/>
  <c r="AI71" i="7"/>
  <c r="AG71" i="7"/>
  <c r="AF71" i="7"/>
  <c r="AM71" i="7"/>
  <c r="AM117" i="7"/>
  <c r="AL117" i="7"/>
  <c r="AJ117" i="7"/>
  <c r="AK117" i="7"/>
  <c r="AI117" i="7"/>
  <c r="AH117" i="7"/>
  <c r="AG117" i="7"/>
  <c r="AF117" i="7"/>
  <c r="N112" i="7"/>
  <c r="R112" i="7"/>
  <c r="O112" i="7"/>
  <c r="AM100" i="7"/>
  <c r="AK100" i="7"/>
  <c r="AL100" i="7"/>
  <c r="AJ100" i="7"/>
  <c r="AH100" i="7"/>
  <c r="AG100" i="7"/>
  <c r="AI100" i="7"/>
  <c r="AF100" i="7"/>
  <c r="AM6" i="7"/>
  <c r="AL6" i="7"/>
  <c r="AK6" i="7"/>
  <c r="AI6" i="7"/>
  <c r="AG6" i="7"/>
  <c r="AF6" i="7"/>
  <c r="AJ6" i="7"/>
  <c r="AH6" i="7"/>
  <c r="AM20" i="7"/>
  <c r="AL20" i="7"/>
  <c r="AJ20" i="7"/>
  <c r="AF20" i="7"/>
  <c r="AI20" i="7"/>
  <c r="AH20" i="7"/>
  <c r="AG20" i="7"/>
  <c r="AK20" i="7"/>
  <c r="T237" i="7"/>
  <c r="Q237" i="7"/>
  <c r="Q164" i="7"/>
  <c r="T164" i="7"/>
  <c r="T188" i="7"/>
  <c r="Q188" i="7"/>
  <c r="R219" i="7"/>
  <c r="O219" i="7"/>
  <c r="N219" i="7"/>
  <c r="Q32" i="7"/>
  <c r="T32" i="7"/>
  <c r="V32" i="7"/>
  <c r="V10" i="12"/>
  <c r="Z10" i="12"/>
  <c r="X10" i="12"/>
  <c r="W10" i="12"/>
  <c r="AF126" i="7"/>
  <c r="AM126" i="7"/>
  <c r="AL126" i="7"/>
  <c r="AJ126" i="7"/>
  <c r="AH126" i="7"/>
  <c r="AI126" i="7"/>
  <c r="AG126" i="7"/>
  <c r="AK126" i="7"/>
  <c r="AH33" i="7"/>
  <c r="AG33" i="7"/>
  <c r="AF33" i="7"/>
  <c r="AM33" i="7"/>
  <c r="AJ33" i="7"/>
  <c r="AI33" i="7"/>
  <c r="AK33" i="7"/>
  <c r="AL33" i="7"/>
  <c r="AH22" i="7"/>
  <c r="AG22" i="7"/>
  <c r="AF22" i="7"/>
  <c r="AK22" i="7"/>
  <c r="AL22" i="7"/>
  <c r="AJ22" i="7"/>
  <c r="AI22" i="7"/>
  <c r="AM22" i="7"/>
  <c r="AL132" i="7"/>
  <c r="AM132" i="7"/>
  <c r="AK132" i="7"/>
  <c r="AI132" i="7"/>
  <c r="AH132" i="7"/>
  <c r="AG132" i="7"/>
  <c r="AJ132" i="7"/>
  <c r="AF132" i="7"/>
  <c r="R49" i="7"/>
  <c r="N49" i="7"/>
  <c r="O49" i="7"/>
  <c r="AL222" i="7"/>
  <c r="AK222" i="7"/>
  <c r="AJ222" i="7"/>
  <c r="AH222" i="7"/>
  <c r="AM222" i="7"/>
  <c r="AG222" i="7"/>
  <c r="AF222" i="7"/>
  <c r="AI222" i="7"/>
  <c r="O133" i="7"/>
  <c r="R133" i="7"/>
  <c r="N133" i="7"/>
  <c r="T193" i="7"/>
  <c r="Q193" i="7"/>
  <c r="AL30" i="7"/>
  <c r="AK30" i="7"/>
  <c r="AJ30" i="7"/>
  <c r="AI30" i="7"/>
  <c r="AM30" i="7"/>
  <c r="AH30" i="7"/>
  <c r="AG30" i="7"/>
  <c r="AF30" i="7"/>
  <c r="N104" i="7"/>
  <c r="R104" i="7"/>
  <c r="O104" i="7"/>
  <c r="R52" i="7"/>
  <c r="O52" i="7"/>
  <c r="N52" i="7"/>
  <c r="N141" i="7"/>
  <c r="O141" i="7"/>
  <c r="R141" i="7"/>
  <c r="AM87" i="7"/>
  <c r="AK87" i="7"/>
  <c r="AJ87" i="7"/>
  <c r="AI87" i="7"/>
  <c r="AH87" i="7"/>
  <c r="AF87" i="7"/>
  <c r="AL87" i="7"/>
  <c r="AG87" i="7"/>
  <c r="Q87" i="7"/>
  <c r="T87" i="7"/>
  <c r="V188" i="7"/>
  <c r="R67" i="7"/>
  <c r="O67" i="7"/>
  <c r="N67" i="7"/>
  <c r="AM229" i="7"/>
  <c r="AL229" i="7"/>
  <c r="AJ229" i="7"/>
  <c r="AI229" i="7"/>
  <c r="AH229" i="7"/>
  <c r="AK229" i="7"/>
  <c r="AF229" i="7"/>
  <c r="AG229" i="7"/>
  <c r="AJ90" i="7"/>
  <c r="AI90" i="7"/>
  <c r="AG90" i="7"/>
  <c r="AF90" i="7"/>
  <c r="AM90" i="7"/>
  <c r="AL90" i="7"/>
  <c r="AH90" i="7"/>
  <c r="AK90" i="7"/>
  <c r="AI35" i="7"/>
  <c r="AH35" i="7"/>
  <c r="AG35" i="7"/>
  <c r="AF35" i="7"/>
  <c r="AK35" i="7"/>
  <c r="AJ35" i="7"/>
  <c r="AL35" i="7"/>
  <c r="AM35" i="7"/>
  <c r="R195" i="7"/>
  <c r="N195" i="7"/>
  <c r="O195" i="7"/>
  <c r="V206" i="7"/>
  <c r="T10" i="7"/>
  <c r="Q10" i="7"/>
  <c r="N38" i="12"/>
  <c r="M38" i="12"/>
  <c r="L38" i="12"/>
  <c r="K38" i="12"/>
  <c r="T214" i="7"/>
  <c r="Q214" i="7"/>
  <c r="Q229" i="7"/>
  <c r="T229" i="7"/>
  <c r="O64" i="7"/>
  <c r="N64" i="7"/>
  <c r="R64" i="7"/>
  <c r="R143" i="7"/>
  <c r="N143" i="7"/>
  <c r="O143" i="7"/>
  <c r="T152" i="7"/>
  <c r="Q152" i="7"/>
  <c r="Q218" i="7"/>
  <c r="T218" i="7"/>
  <c r="V194" i="7"/>
  <c r="N121" i="7"/>
  <c r="R121" i="7"/>
  <c r="O121" i="7"/>
  <c r="R36" i="7"/>
  <c r="N36" i="7"/>
  <c r="O36" i="7"/>
  <c r="AK60" i="7"/>
  <c r="AL60" i="7"/>
  <c r="AG60" i="7"/>
  <c r="AM60" i="7"/>
  <c r="AH60" i="7"/>
  <c r="AF60" i="7"/>
  <c r="AJ60" i="7"/>
  <c r="AI60" i="7"/>
  <c r="V100" i="7"/>
  <c r="S98" i="7"/>
  <c r="P98" i="7"/>
  <c r="AL58" i="7"/>
  <c r="AK58" i="7"/>
  <c r="AI58" i="7"/>
  <c r="AG58" i="7"/>
  <c r="AF58" i="7"/>
  <c r="AM58" i="7"/>
  <c r="AJ58" i="7"/>
  <c r="AH58" i="7"/>
  <c r="T134" i="7" l="1"/>
  <c r="Q134" i="7"/>
  <c r="V134" i="7"/>
  <c r="T42" i="7"/>
  <c r="Q42" i="7"/>
  <c r="V42" i="7"/>
  <c r="Q198" i="7"/>
  <c r="T198" i="7"/>
  <c r="V198" i="7"/>
  <c r="T191" i="7"/>
  <c r="Q191" i="7"/>
  <c r="V191" i="7"/>
  <c r="T132" i="7"/>
  <c r="Q132" i="7"/>
  <c r="V132" i="7"/>
  <c r="T74" i="7"/>
  <c r="Q74" i="7"/>
  <c r="V74" i="7"/>
  <c r="K41" i="12"/>
  <c r="L41" i="12"/>
  <c r="N41" i="12"/>
  <c r="M41" i="12"/>
  <c r="Q106" i="7"/>
  <c r="T106" i="7"/>
  <c r="V106" i="7"/>
  <c r="T7" i="7"/>
  <c r="Q7" i="7"/>
  <c r="V7" i="7"/>
  <c r="T204" i="7"/>
  <c r="Q204" i="7"/>
  <c r="V204" i="7"/>
  <c r="Q39" i="7"/>
  <c r="T39" i="7"/>
  <c r="V39" i="7"/>
  <c r="T24" i="7"/>
  <c r="Q24" i="7"/>
  <c r="V24" i="7"/>
  <c r="T177" i="7"/>
  <c r="Q177" i="7"/>
  <c r="V177" i="7"/>
  <c r="T136" i="7"/>
  <c r="Q136" i="7"/>
  <c r="V136" i="7"/>
  <c r="T179" i="7"/>
  <c r="Q179" i="7"/>
  <c r="V179" i="7"/>
  <c r="H42" i="12"/>
  <c r="G42" i="12"/>
  <c r="F42" i="12"/>
  <c r="E42" i="12"/>
  <c r="T220" i="7"/>
  <c r="Q220" i="7"/>
  <c r="V220" i="7"/>
  <c r="Q213" i="7"/>
  <c r="T213" i="7"/>
  <c r="V213" i="7"/>
  <c r="T6" i="7"/>
  <c r="Q6" i="7"/>
  <c r="V6" i="7"/>
  <c r="Q182" i="7"/>
  <c r="T182" i="7"/>
  <c r="V182" i="7"/>
  <c r="T149" i="7"/>
  <c r="Q149" i="7"/>
  <c r="V149" i="7"/>
  <c r="T155" i="7"/>
  <c r="Q155" i="7"/>
  <c r="V155" i="7"/>
  <c r="T56" i="7"/>
  <c r="Q56" i="7"/>
  <c r="V56" i="7"/>
  <c r="T77" i="7"/>
  <c r="Q77" i="7"/>
  <c r="V77" i="7"/>
  <c r="T66" i="7"/>
  <c r="Q66" i="7"/>
  <c r="V66" i="7"/>
  <c r="T21" i="7"/>
  <c r="Q21" i="7"/>
  <c r="V21" i="7"/>
  <c r="T8" i="7"/>
  <c r="Q8" i="7"/>
  <c r="V8" i="7"/>
  <c r="Q119" i="7"/>
  <c r="T119" i="7"/>
  <c r="V119" i="7"/>
  <c r="Q173" i="7"/>
  <c r="T173" i="7"/>
  <c r="V173" i="7"/>
  <c r="T189" i="7"/>
  <c r="Q189" i="7"/>
  <c r="V189" i="7"/>
  <c r="T223" i="7"/>
  <c r="Q223" i="7"/>
  <c r="V223" i="7"/>
  <c r="T224" i="7"/>
  <c r="Q224" i="7"/>
  <c r="V224" i="7"/>
  <c r="T65" i="7"/>
  <c r="Q65" i="7"/>
  <c r="V65" i="7"/>
  <c r="Q139" i="7"/>
  <c r="T139" i="7"/>
  <c r="V139" i="7"/>
  <c r="T54" i="7"/>
  <c r="Q54" i="7"/>
  <c r="V54" i="7"/>
  <c r="T205" i="7"/>
  <c r="Q205" i="7"/>
  <c r="V205" i="7"/>
  <c r="T90" i="7"/>
  <c r="Q90" i="7"/>
  <c r="V90" i="7"/>
  <c r="T228" i="7"/>
  <c r="Q228" i="7"/>
  <c r="V228" i="7"/>
  <c r="T208" i="7"/>
  <c r="Q208" i="7"/>
  <c r="V208" i="7"/>
  <c r="Q181" i="7"/>
  <c r="T181" i="7"/>
  <c r="V181" i="7"/>
  <c r="T45" i="7"/>
  <c r="Q45" i="7"/>
  <c r="V45" i="7"/>
  <c r="T176" i="7"/>
  <c r="Q176" i="7"/>
  <c r="V176" i="7"/>
  <c r="Q35" i="7"/>
  <c r="T35" i="7"/>
  <c r="V35" i="7"/>
  <c r="Q89" i="7"/>
  <c r="T89" i="7"/>
  <c r="V89" i="7"/>
  <c r="T43" i="7"/>
  <c r="Q43" i="7"/>
  <c r="V43" i="7"/>
  <c r="T69" i="7"/>
  <c r="Q69" i="7"/>
  <c r="V69" i="7"/>
  <c r="T234" i="7"/>
  <c r="Q234" i="7"/>
  <c r="V234" i="7"/>
  <c r="Q60" i="7"/>
  <c r="T60" i="7"/>
  <c r="V60" i="7"/>
  <c r="Q76" i="7"/>
  <c r="T76" i="7"/>
  <c r="V76" i="7"/>
  <c r="T44" i="7"/>
  <c r="Q44" i="7"/>
  <c r="V44" i="7"/>
  <c r="T9" i="7"/>
  <c r="Q9" i="7"/>
  <c r="V9" i="7"/>
  <c r="T42" i="12"/>
  <c r="S42" i="12"/>
  <c r="R42" i="12"/>
  <c r="Q42" i="12"/>
  <c r="T121" i="7"/>
  <c r="Q121" i="7"/>
  <c r="V121" i="7"/>
  <c r="T141" i="7"/>
  <c r="Q141" i="7"/>
  <c r="V141" i="7"/>
  <c r="T216" i="7"/>
  <c r="Q216" i="7"/>
  <c r="V216" i="7"/>
  <c r="T183" i="7"/>
  <c r="Q183" i="7"/>
  <c r="V183" i="7"/>
  <c r="T72" i="7"/>
  <c r="Q72" i="7"/>
  <c r="V72" i="7"/>
  <c r="E46" i="12"/>
  <c r="T88" i="7"/>
  <c r="Q88" i="7"/>
  <c r="V88" i="7"/>
  <c r="T140" i="7"/>
  <c r="Q140" i="7"/>
  <c r="V140" i="7"/>
  <c r="Q142" i="7"/>
  <c r="T142" i="7"/>
  <c r="V142" i="7"/>
  <c r="R41" i="12"/>
  <c r="T41" i="12"/>
  <c r="S41" i="12"/>
  <c r="Q41" i="12"/>
  <c r="T14" i="7"/>
  <c r="Q14" i="7"/>
  <c r="V14" i="7"/>
  <c r="T111" i="7"/>
  <c r="Q111" i="7"/>
  <c r="V111" i="7"/>
  <c r="Q190" i="7"/>
  <c r="T190" i="7"/>
  <c r="V190" i="7"/>
  <c r="Q157" i="7"/>
  <c r="T157" i="7"/>
  <c r="V157" i="7"/>
  <c r="T40" i="7"/>
  <c r="Q40" i="7"/>
  <c r="V40" i="7"/>
  <c r="T27" i="7"/>
  <c r="Q27" i="7"/>
  <c r="V27" i="7"/>
  <c r="T91" i="7"/>
  <c r="Q91" i="7"/>
  <c r="V91" i="7"/>
  <c r="Q160" i="7"/>
  <c r="T160" i="7"/>
  <c r="V160" i="7"/>
  <c r="T200" i="7"/>
  <c r="Q200" i="7"/>
  <c r="V200" i="7"/>
  <c r="T110" i="7"/>
  <c r="Q110" i="7"/>
  <c r="V110" i="7"/>
  <c r="T210" i="7"/>
  <c r="Q210" i="7"/>
  <c r="V210" i="7"/>
  <c r="T219" i="7"/>
  <c r="Q219" i="7"/>
  <c r="V219" i="7"/>
  <c r="Q231" i="7"/>
  <c r="T231" i="7"/>
  <c r="V231" i="7"/>
  <c r="Q131" i="7"/>
  <c r="T131" i="7"/>
  <c r="V131" i="7"/>
  <c r="T118" i="7"/>
  <c r="Q118" i="7"/>
  <c r="V118" i="7"/>
  <c r="T230" i="7"/>
  <c r="Q230" i="7"/>
  <c r="V230" i="7"/>
  <c r="AA38" i="12"/>
  <c r="T81" i="7"/>
  <c r="Q81" i="7"/>
  <c r="V81" i="7"/>
  <c r="Q209" i="7"/>
  <c r="T209" i="7"/>
  <c r="V209" i="7"/>
  <c r="T96" i="7"/>
  <c r="Q96" i="7"/>
  <c r="V96" i="7"/>
  <c r="Q28" i="7"/>
  <c r="T28" i="7"/>
  <c r="V28" i="7"/>
  <c r="T129" i="7"/>
  <c r="Q129" i="7"/>
  <c r="V129" i="7"/>
  <c r="Q85" i="7"/>
  <c r="T85" i="7"/>
  <c r="V85" i="7"/>
  <c r="Q117" i="7"/>
  <c r="T117" i="7"/>
  <c r="V117" i="7"/>
  <c r="T233" i="7"/>
  <c r="Q233" i="7"/>
  <c r="V233" i="7"/>
  <c r="T92" i="7"/>
  <c r="Q92" i="7"/>
  <c r="V92" i="7"/>
  <c r="T113" i="7"/>
  <c r="Q113" i="7"/>
  <c r="V113" i="7"/>
  <c r="T112" i="7"/>
  <c r="Q112" i="7"/>
  <c r="V112" i="7"/>
  <c r="T212" i="7"/>
  <c r="Q212" i="7"/>
  <c r="V212" i="7"/>
  <c r="E47" i="12"/>
  <c r="T159" i="7"/>
  <c r="Q159" i="7"/>
  <c r="V159" i="7"/>
  <c r="T107" i="7"/>
  <c r="Q107" i="7"/>
  <c r="V107" i="7"/>
  <c r="Q93" i="7"/>
  <c r="T93" i="7"/>
  <c r="V93" i="7"/>
  <c r="Q114" i="7"/>
  <c r="T114" i="7"/>
  <c r="V114" i="7"/>
  <c r="T38" i="7"/>
  <c r="Q38" i="7"/>
  <c r="V38" i="7"/>
  <c r="T235" i="7"/>
  <c r="Q235" i="7"/>
  <c r="V235" i="7"/>
  <c r="T185" i="7"/>
  <c r="Q185" i="7"/>
  <c r="V185" i="7"/>
  <c r="T22" i="7"/>
  <c r="Q22" i="7"/>
  <c r="V22" i="7"/>
  <c r="T67" i="7"/>
  <c r="Q67" i="7"/>
  <c r="V67" i="7"/>
  <c r="Q104" i="7"/>
  <c r="T104" i="7"/>
  <c r="V104" i="7"/>
  <c r="Q192" i="7"/>
  <c r="T192" i="7"/>
  <c r="V192" i="7"/>
  <c r="T180" i="7"/>
  <c r="Q180" i="7"/>
  <c r="V180" i="7"/>
  <c r="Q154" i="7"/>
  <c r="T154" i="7"/>
  <c r="V154" i="7"/>
  <c r="T64" i="7"/>
  <c r="Q64" i="7"/>
  <c r="V64" i="7"/>
  <c r="T30" i="7"/>
  <c r="Q30" i="7"/>
  <c r="V30" i="7"/>
  <c r="T187" i="7"/>
  <c r="Q187" i="7"/>
  <c r="V187" i="7"/>
  <c r="T31" i="7"/>
  <c r="Q31" i="7"/>
  <c r="V31" i="7"/>
  <c r="Q123" i="7"/>
  <c r="T123" i="7"/>
  <c r="V123" i="7"/>
  <c r="T20" i="7"/>
  <c r="Q20" i="7"/>
  <c r="V20" i="7"/>
  <c r="Q133" i="7"/>
  <c r="T133" i="7"/>
  <c r="V133" i="7"/>
  <c r="T55" i="7"/>
  <c r="Q55" i="7"/>
  <c r="V55" i="7"/>
  <c r="L42" i="12"/>
  <c r="K42" i="12"/>
  <c r="N42" i="12"/>
  <c r="M42" i="12"/>
  <c r="T94" i="7"/>
  <c r="Q94" i="7"/>
  <c r="V94" i="7"/>
  <c r="T226" i="7"/>
  <c r="Q226" i="7"/>
  <c r="V226" i="7"/>
  <c r="Z42" i="12"/>
  <c r="Y42" i="12"/>
  <c r="X42" i="12"/>
  <c r="W42" i="12"/>
  <c r="G41" i="12"/>
  <c r="F41" i="12"/>
  <c r="E41" i="12"/>
  <c r="H41" i="12"/>
  <c r="Q178" i="7"/>
  <c r="T178" i="7"/>
  <c r="V178" i="7"/>
  <c r="T195" i="7"/>
  <c r="Q195" i="7"/>
  <c r="V195" i="7"/>
  <c r="T26" i="7"/>
  <c r="Q26" i="7"/>
  <c r="V26" i="7"/>
  <c r="T48" i="7"/>
  <c r="Q48" i="7"/>
  <c r="V48" i="7"/>
  <c r="AA37" i="12"/>
  <c r="Q18" i="7"/>
  <c r="T18" i="7"/>
  <c r="V18" i="7"/>
  <c r="E45" i="12"/>
  <c r="T162" i="7"/>
  <c r="Q162" i="7"/>
  <c r="V162" i="7"/>
  <c r="Q95" i="7"/>
  <c r="T95" i="7"/>
  <c r="V95" i="7"/>
  <c r="T82" i="7"/>
  <c r="Q82" i="7"/>
  <c r="V82" i="7"/>
  <c r="T122" i="7"/>
  <c r="Q122" i="7"/>
  <c r="V122" i="7"/>
  <c r="T203" i="7"/>
  <c r="Q203" i="7"/>
  <c r="V203" i="7"/>
  <c r="Q103" i="7"/>
  <c r="T103" i="7"/>
  <c r="V103" i="7"/>
  <c r="T116" i="7"/>
  <c r="Q116" i="7"/>
  <c r="V116" i="7"/>
  <c r="Q52" i="7"/>
  <c r="T52" i="7"/>
  <c r="V52" i="7"/>
  <c r="T158" i="7"/>
  <c r="Q158" i="7"/>
  <c r="V158" i="7"/>
  <c r="T15" i="7"/>
  <c r="Q15" i="7"/>
  <c r="V15" i="7"/>
  <c r="T29" i="7"/>
  <c r="Q29" i="7"/>
  <c r="V29" i="7"/>
  <c r="T166" i="7"/>
  <c r="Q166" i="7"/>
  <c r="V166" i="7"/>
  <c r="Q125" i="7"/>
  <c r="T125" i="7"/>
  <c r="V125" i="7"/>
  <c r="Q63" i="7"/>
  <c r="T63" i="7"/>
  <c r="V63" i="7"/>
  <c r="T105" i="7"/>
  <c r="Q105" i="7"/>
  <c r="V105" i="7"/>
  <c r="T49" i="7"/>
  <c r="Q49" i="7"/>
  <c r="V49" i="7"/>
  <c r="T172" i="7"/>
  <c r="Q172" i="7"/>
  <c r="V172" i="7"/>
  <c r="C46" i="12"/>
  <c r="Q13" i="7"/>
  <c r="T13" i="7"/>
  <c r="V13" i="7"/>
  <c r="T169" i="7"/>
  <c r="Q169" i="7"/>
  <c r="V169" i="7"/>
  <c r="AB38" i="12"/>
  <c r="T19" i="7"/>
  <c r="Q19" i="7"/>
  <c r="V19" i="7"/>
  <c r="T37" i="7"/>
  <c r="Q37" i="7"/>
  <c r="V37" i="7"/>
  <c r="Z41" i="12"/>
  <c r="Y41" i="12"/>
  <c r="W41" i="12"/>
  <c r="X41" i="12"/>
  <c r="Q128" i="7"/>
  <c r="T128" i="7"/>
  <c r="V128" i="7"/>
  <c r="T36" i="7"/>
  <c r="Q36" i="7"/>
  <c r="V36" i="7"/>
  <c r="Q165" i="7"/>
  <c r="T165" i="7"/>
  <c r="V165" i="7"/>
  <c r="Q53" i="7"/>
  <c r="T53" i="7"/>
  <c r="V53" i="7"/>
  <c r="T227" i="7"/>
  <c r="Q227" i="7"/>
  <c r="V227" i="7"/>
  <c r="F47" i="12"/>
  <c r="Q25" i="7"/>
  <c r="T25" i="7"/>
  <c r="V25" i="7"/>
  <c r="F46" i="12"/>
  <c r="T79" i="7"/>
  <c r="Q79" i="7"/>
  <c r="V79" i="7"/>
  <c r="T143" i="7"/>
  <c r="Q143" i="7"/>
  <c r="V143" i="7"/>
  <c r="T17" i="7"/>
  <c r="Q17" i="7"/>
  <c r="V17" i="7"/>
  <c r="Q61" i="7"/>
  <c r="T61" i="7"/>
  <c r="V61" i="7"/>
  <c r="Q217" i="7"/>
  <c r="T217" i="7"/>
  <c r="V217" i="7"/>
  <c r="Q23" i="7"/>
  <c r="T23" i="7"/>
  <c r="V23" i="7"/>
  <c r="C45" i="12"/>
  <c r="Q109" i="7"/>
  <c r="T109" i="7"/>
  <c r="V109" i="7"/>
  <c r="E48" i="12"/>
  <c r="AQ8" i="7" l="1"/>
  <c r="AQ7" i="7"/>
</calcChain>
</file>

<file path=xl/sharedStrings.xml><?xml version="1.0" encoding="utf-8"?>
<sst xmlns="http://schemas.openxmlformats.org/spreadsheetml/2006/main" count="828" uniqueCount="494">
  <si>
    <t>Konfiguration</t>
  </si>
  <si>
    <t>Gelbe Zellen mit blauer Schrift sind Eingabezellen. Alles andere wird vom Bericht gepflegt.</t>
  </si>
  <si>
    <t>Rohdaten-Ordner (relativ zur Master-Datei oder absolut)</t>
  </si>
  <si>
    <t>Rohdaten</t>
  </si>
  <si>
    <t>Ordner der Anwesenheitsliste</t>
  </si>
  <si>
    <t>Anwesenheit</t>
  </si>
  <si>
    <t>Jahr der Anwesenheitsliste</t>
  </si>
  <si>
    <t>Produktivität wird je Vorgang (Verbund) und je Arbeitsgut (OPAG) ausgewiesen; beide Sichten stehen im Blatt KW und im Cockpit.</t>
  </si>
  <si>
    <t>Lokaler Ordner der Master-Datei (nur nötig, wenn die Datei in OneDrive/SharePoint liegt und die automatische Zuordnung scheitert; sonst leer)</t>
  </si>
  <si>
    <t>Hover-Effekt der Chips im Cockpit (JA/NEIN; NEIN, falls Excel beim Überfahren der Chips instabil wird – Klick funktioniert weiter)</t>
  </si>
  <si>
    <t>JA</t>
  </si>
  <si>
    <t>Meldungen als Karte im Blatt (JA/NEIN; NEIN = klassisches Windows-Fenster, falls Excel beim Anzeigen der Karte instabil wird)</t>
  </si>
  <si>
    <t>Verwaltungssystemschlüssel</t>
  </si>
  <si>
    <t>Sparte (Komposit, Leben, KV)</t>
  </si>
  <si>
    <t>KV</t>
  </si>
  <si>
    <t>LV</t>
  </si>
  <si>
    <t>Leben</t>
  </si>
  <si>
    <t>LF</t>
  </si>
  <si>
    <t>LG</t>
  </si>
  <si>
    <t>SV</t>
  </si>
  <si>
    <t>Komposit</t>
  </si>
  <si>
    <t>KR</t>
  </si>
  <si>
    <t>DA</t>
  </si>
  <si>
    <t>HA</t>
  </si>
  <si>
    <t>AS</t>
  </si>
  <si>
    <t>UV</t>
  </si>
  <si>
    <t>GV</t>
  </si>
  <si>
    <t>TR</t>
  </si>
  <si>
    <t>IT</t>
  </si>
  <si>
    <t>Unbekannte Schlüssel laufen unter „Sonstige“. Zeilen 11–40 werden beim Laden gelesen.</t>
  </si>
  <si>
    <t>BÜ-Schlüssel (GeVo-Nummer)</t>
  </si>
  <si>
    <t>Grundlage: Fachkonzept BÜ-Reporting, bestätigt: Komposit/Leben 469 und 108, KV 2015 und 6065. Zeilen 11–20 werden gelesen.</t>
  </si>
  <si>
    <t>Vorauswahl „Aktive Bearbeitung“ (Themenpostkörbe)</t>
  </si>
  <si>
    <t>KO 23724</t>
  </si>
  <si>
    <t>MV 23724</t>
  </si>
  <si>
    <t>GR 23724</t>
  </si>
  <si>
    <t>Postkörbe, in denen die Sachbearbeitung selbst arbeitet (HSB4K KO, MV, GR). 72 (72-Stunden-BOT) und BÜ (Prüf-Bot) zählen nicht dazu; BE, WR, 00 und „ohne Postkorb“ sind fachlich zu klären. Zeilen 11–30 werden gelesen.</t>
  </si>
  <si>
    <t>Altersklassen des Rückstands (Tage seit Eingang)</t>
  </si>
  <si>
    <t>0–7 Tage</t>
  </si>
  <si>
    <t>8–30 Tage</t>
  </si>
  <si>
    <t>31–90 Tage</t>
  </si>
  <si>
    <t>über 90 Tage</t>
  </si>
  <si>
    <t>Eingänge = Schlüssel, die im neuen Stand erstmals vorkommen. Abgänge = Schlüssel des Vortagsstands, die im neuen Stand fehlen (abgearbeitet oder an die Sparte weitergeleitet, auch Übergabe an den 72-Stunden-BOT). Schlüssel Verbund: Verwaltungssystemschlüssel, Ordnungsbegriff, VORG_VERBU_LNR; OPAG zusätzlich OPS_AUFTR_ID und OPS_ARBGUT_LNR.</t>
  </si>
  <si>
    <t>Stichtag</t>
  </si>
  <si>
    <t>Quelle</t>
  </si>
  <si>
    <t>Sparte</t>
  </si>
  <si>
    <t>VSS</t>
  </si>
  <si>
    <t>Themenpostkorb</t>
  </si>
  <si>
    <t>GEVO_SL</t>
  </si>
  <si>
    <t>GeVo-Typ</t>
  </si>
  <si>
    <t>GeVo-Nr</t>
  </si>
  <si>
    <t>Rückstand</t>
  </si>
  <si>
    <t>Eingang</t>
  </si>
  <si>
    <t>Abgang</t>
  </si>
  <si>
    <t>Alter 0–7</t>
  </si>
  <si>
    <t>Alter 8–30</t>
  </si>
  <si>
    <t>Alter 31–90</t>
  </si>
  <si>
    <t>Alter &gt;90</t>
  </si>
  <si>
    <t>Aktiv</t>
  </si>
  <si>
    <t>Filter und Hilfsgrößen</t>
  </si>
  <si>
    <t>Die Chips im Cockpit schreiben WAHR/FALSCH in die Spalten C (Themenpostkörbe), H (GeVo-Typen) und T (Sparten). Die Spalten lassen sich auch direkt bearbeiten.</t>
  </si>
  <si>
    <t>Sonstige</t>
  </si>
  <si>
    <t>Rückstand Verbund</t>
  </si>
  <si>
    <t>Rückstand OPAG</t>
  </si>
  <si>
    <t>BE 23724</t>
  </si>
  <si>
    <t>WR 23724</t>
  </si>
  <si>
    <t>BÜ 23724</t>
  </si>
  <si>
    <t>72 23724</t>
  </si>
  <si>
    <t>00 23724</t>
  </si>
  <si>
    <t>(ohne Postkorb)</t>
  </si>
  <si>
    <t>Kästchen</t>
  </si>
  <si>
    <t>wirksam</t>
  </si>
  <si>
    <t>39 Telefonnotiz</t>
  </si>
  <si>
    <t>40 sonstige Korrespondenz</t>
  </si>
  <si>
    <t>67 Anfrage z. Vertragsumf.</t>
  </si>
  <si>
    <t>108 Bestandsübertragung</t>
  </si>
  <si>
    <t>131 Ablaufkündigung</t>
  </si>
  <si>
    <t>401 Maklervertrag</t>
  </si>
  <si>
    <t>413 Kopien von Unterlagen</t>
  </si>
  <si>
    <t>469 Bestandsübertragung</t>
  </si>
  <si>
    <t>472 sonstiger Schriftwechsel</t>
  </si>
  <si>
    <t>703 Rechte Dritter</t>
  </si>
  <si>
    <t>803 Eigentümer/Halter/Nutzung</t>
  </si>
  <si>
    <t>2015 Maklervollmacht</t>
  </si>
  <si>
    <t>6065 Anfrage Betreuung</t>
  </si>
  <si>
    <t>Alle übrigen GeVo-Typen</t>
  </si>
  <si>
    <t>GeVo-Modus</t>
  </si>
  <si>
    <t>Alle GeVo</t>
  </si>
  <si>
    <t>Alle GeVo: kein GeVo-Filter. Nur BÜ-Schlüssel: GeVo-Nummern aus Konfiguration. Manuelle Auswahl: Kästchen im Cockpit.</t>
  </si>
  <si>
    <t>Ansicht</t>
  </si>
  <si>
    <t>Tag</t>
  </si>
  <si>
    <t>Tag = letzte 7 Stichtage, Woche = letzte 7 Kalenderwochen (Rückstand zum Wochenende, Bewegungen als Wochensumme).</t>
  </si>
  <si>
    <t>Quelle Eingänge/Abgänge</t>
  </si>
  <si>
    <t>Verbund</t>
  </si>
  <si>
    <t>Bookmark-Chips der Kachel „Eingänge und Abgänge“ im Cockpit: Verbund (Vorgänge) oder OPAG (Arbeitsgüter).</t>
  </si>
  <si>
    <t>Chip unter dem Mauszeiger (Cockpit, Hover)</t>
  </si>
  <si>
    <t>Hilfsgrößen</t>
  </si>
  <si>
    <t>Wert</t>
  </si>
  <si>
    <t>Vorheriger Stichtag</t>
  </si>
  <si>
    <t>Zeile letzter Stichtag</t>
  </si>
  <si>
    <t>Zeile vorheriger Stichtag</t>
  </si>
  <si>
    <t>Jahr (ISO) letzter Stichtag</t>
  </si>
  <si>
    <t>KW letzter Stichtag</t>
  </si>
  <si>
    <t>Zeile in KW</t>
  </si>
  <si>
    <t>Δ Rückstand OPAG ggü. Vortag</t>
  </si>
  <si>
    <t>Δ Rückstand Verbund ggü. Vortag</t>
  </si>
  <si>
    <t>Altersstruktur (aktueller Stichtag, Filter aktiv)</t>
  </si>
  <si>
    <t>OPAG</t>
  </si>
  <si>
    <t>Erste Fakten-Zeile letzter Stichtag</t>
  </si>
  <si>
    <t>Letzte Fakten-Zeile letzter Stichtag</t>
  </si>
  <si>
    <t>Warnung Planungshorizont</t>
  </si>
  <si>
    <t>Heute: ISO-Schlüssel Jahr*100+KW</t>
  </si>
  <si>
    <t>Vergangen: Montag vor</t>
  </si>
  <si>
    <t>Verlauf je Stichtag</t>
  </si>
  <si>
    <t>Alle Werte nach dem aktiven Filter (Themenpostkörbe, GeVo). Zeilen werden beim Laden ergänzt; Formeln der letzten Zeile werden kopiert.</t>
  </si>
  <si>
    <t>OPAG (Arbeitsgüter)</t>
  </si>
  <si>
    <t>Verbund (Vorgänge)</t>
  </si>
  <si>
    <t>Hilfsspalten für die Diagramme „Eingänge und Abgänge nach Sparte“</t>
  </si>
  <si>
    <t>Jahr (ISO)</t>
  </si>
  <si>
    <t>KW</t>
  </si>
  <si>
    <t>Rückstand Komposit</t>
  </si>
  <si>
    <t>Rückstand Leben</t>
  </si>
  <si>
    <t>Rückstand KV</t>
  </si>
  <si>
    <t>Rückstand Sonstige</t>
  </si>
  <si>
    <t>Rückstand gesamt</t>
  </si>
  <si>
    <t>Eingänge</t>
  </si>
  <si>
    <t>Abgänge</t>
  </si>
  <si>
    <t>Abgänge Komposit</t>
  </si>
  <si>
    <t>Abgänge Leben</t>
  </si>
  <si>
    <t>Abgänge KV</t>
  </si>
  <si>
    <t>OPAG Eingänge Komposit</t>
  </si>
  <si>
    <t>OPAG Eingänge Leben</t>
  </si>
  <si>
    <t>OPAG Eingänge KV</t>
  </si>
  <si>
    <t>Verbund Eingänge Komposit</t>
  </si>
  <si>
    <t>Verbund Eingänge Leben</t>
  </si>
  <si>
    <t>Verbund Eingänge KV</t>
  </si>
  <si>
    <t>OPAG Abgänge Komposit (−)</t>
  </si>
  <si>
    <t>OPAG Abgänge Leben (−)</t>
  </si>
  <si>
    <t>OPAG Abgänge KV (−)</t>
  </si>
  <si>
    <t>Verbund Abgänge Komposit (−)</t>
  </si>
  <si>
    <t>Verbund Abgänge Leben (−)</t>
  </si>
  <si>
    <t>Verbund Abgänge KV (−)</t>
  </si>
  <si>
    <t>OPAG Netto</t>
  </si>
  <si>
    <t>Verbund Netto</t>
  </si>
  <si>
    <t>erste Fakten-Zeile (Position)</t>
  </si>
  <si>
    <t>letzte Fakten-Zeile (Position)</t>
  </si>
  <si>
    <t>Kalenderwochen: Abgänge, Kapazität (MAK) und Produktivität</t>
  </si>
  <si>
    <t>Produktivität = Abgänge je MAK in der Kalenderwoche, je Vorgang (Verbund) und je Arbeitsgut (OPAG). Eine laufende KW enthält nur die bereits geladenen Stichtage.</t>
  </si>
  <si>
    <t>Abgänge OPAG</t>
  </si>
  <si>
    <t>Abgänge Verbund</t>
  </si>
  <si>
    <t>MAK (Anwesenheit)</t>
  </si>
  <si>
    <t>Produktivität je Vorgang (Verbund-Abgänge je MAK)</t>
  </si>
  <si>
    <t>Produktivität je Arbeitsgut (OPAG-Abgänge je MAK)</t>
  </si>
  <si>
    <t>Jahr</t>
  </si>
  <si>
    <t>Bezeichnung</t>
  </si>
  <si>
    <t>Gesamt</t>
  </si>
  <si>
    <t>Gesundheit (KV)</t>
  </si>
  <si>
    <t>Komposit/Leben</t>
  </si>
  <si>
    <t>Stichtage</t>
  </si>
  <si>
    <t>Chart</t>
  </si>
  <si>
    <t>Schlüssel</t>
  </si>
  <si>
    <t>Eingänge OPAG</t>
  </si>
  <si>
    <t>Eingänge Verbund</t>
  </si>
  <si>
    <t>Rückstand OPAG zum Wochenende</t>
  </si>
  <si>
    <t>Rückstand Verbund zum Wochenende</t>
  </si>
  <si>
    <t>letzter Stichtag der KW</t>
  </si>
  <si>
    <t>Diagrammbereich</t>
  </si>
  <si>
    <t>erste Zeile (Stichtage)</t>
  </si>
  <si>
    <t>letzte Zeile (Stichtage)</t>
  </si>
  <si>
    <t>erste Zeile (MAK oder Stichtage)</t>
  </si>
  <si>
    <t>letzte Zeile (MAK oder Stichtage)</t>
  </si>
  <si>
    <t>Mitarbeiter (Stammdaten für Anwesenheit und Produktivität)</t>
  </si>
  <si>
    <t>Neue Mitarbeitende: nächste freie Zeile ausfüllen (Name, Sparte, Kapazität). Sie erscheinen sofort in der Planung. Austritt: Datum eintragen oder Aktiv = FALSCH. Kapazität = MAK je Woche bei voller Anwesenheit (1,0 = Vollzeit, 0,5 = halbe Stelle).</t>
  </si>
  <si>
    <t>Mitarbeiter</t>
  </si>
  <si>
    <t>Einheit</t>
  </si>
  <si>
    <t>Kapazität (MAK/Woche)</t>
  </si>
  <si>
    <t>Eintritt</t>
  </si>
  <si>
    <t>Austritt</t>
  </si>
  <si>
    <t>Aktiv (leer = ja)</t>
  </si>
  <si>
    <t>Bemerkung</t>
  </si>
  <si>
    <t>Import</t>
  </si>
  <si>
    <t>Letzte MAK-Liste</t>
  </si>
  <si>
    <t>Importiert am</t>
  </si>
  <si>
    <t>Anwesenheitsplan (MAK je Mitarbeiter und Kalenderwoche)</t>
  </si>
  <si>
    <t>Leer = anwesend mit Kapazität · U = Urlaub · K = krank · F = Fortbildung/sonstige Abwesenheit · H = halbe Woche · Zahl = MAK dieser Woche. Vergangene Wochen grau, aktuelle Woche hervorgehoben. Mitarbeitende werden im Blatt „Mitarbeiter“ gepflegt.</t>
  </si>
  <si>
    <t>Monat</t>
  </si>
  <si>
    <t>Kalenderwoche</t>
  </si>
  <si>
    <t>Montag</t>
  </si>
  <si>
    <t>Kap.</t>
  </si>
  <si>
    <t>Wirksame MAK je Mitarbeiter und KW (berechnet aus Mitarbeiter und Planung; Grundlage für KW!L:N)</t>
  </si>
  <si>
    <t>Schlüssel Jahr*100+KW</t>
  </si>
  <si>
    <t>Jul 26</t>
  </si>
  <si>
    <t>KW 30</t>
  </si>
  <si>
    <t>KW 31</t>
  </si>
  <si>
    <t>Aug 26</t>
  </si>
  <si>
    <t>KW 32</t>
  </si>
  <si>
    <t>KW 33</t>
  </si>
  <si>
    <t>KW 34</t>
  </si>
  <si>
    <t>KW 35</t>
  </si>
  <si>
    <t>KW 36</t>
  </si>
  <si>
    <t>Sep 26</t>
  </si>
  <si>
    <t>KW 37</t>
  </si>
  <si>
    <t>KW 38</t>
  </si>
  <si>
    <t>KW 39</t>
  </si>
  <si>
    <t>KW 40</t>
  </si>
  <si>
    <t>Okt 26</t>
  </si>
  <si>
    <t>KW 41</t>
  </si>
  <si>
    <t>KW 42</t>
  </si>
  <si>
    <t>KW 43</t>
  </si>
  <si>
    <t>KW 44</t>
  </si>
  <si>
    <t>Nov 26</t>
  </si>
  <si>
    <t>KW 45</t>
  </si>
  <si>
    <t>KW 46</t>
  </si>
  <si>
    <t>KW 47</t>
  </si>
  <si>
    <t>KW 48</t>
  </si>
  <si>
    <t>KW 49</t>
  </si>
  <si>
    <t>Dez 26</t>
  </si>
  <si>
    <t>KW 50</t>
  </si>
  <si>
    <t>KW 51</t>
  </si>
  <si>
    <t>KW 52</t>
  </si>
  <si>
    <t>KW 53</t>
  </si>
  <si>
    <t>Jan 27</t>
  </si>
  <si>
    <t>KW 1</t>
  </si>
  <si>
    <t>KW 2</t>
  </si>
  <si>
    <t>KW 3</t>
  </si>
  <si>
    <t>KW 4</t>
  </si>
  <si>
    <t>Feb 27</t>
  </si>
  <si>
    <t>KW 5</t>
  </si>
  <si>
    <t>KW 6</t>
  </si>
  <si>
    <t>KW 7</t>
  </si>
  <si>
    <t>KW 8</t>
  </si>
  <si>
    <t>Mär 27</t>
  </si>
  <si>
    <t>KW 9</t>
  </si>
  <si>
    <t>KW 10</t>
  </si>
  <si>
    <t>KW 11</t>
  </si>
  <si>
    <t>KW 12</t>
  </si>
  <si>
    <t>KW 13</t>
  </si>
  <si>
    <t>Apr 27</t>
  </si>
  <si>
    <t>KW 14</t>
  </si>
  <si>
    <t>KW 15</t>
  </si>
  <si>
    <t>KW 16</t>
  </si>
  <si>
    <t>KW 17</t>
  </si>
  <si>
    <t>Mai 27</t>
  </si>
  <si>
    <t>KW 18</t>
  </si>
  <si>
    <t>KW 19</t>
  </si>
  <si>
    <t>KW 20</t>
  </si>
  <si>
    <t>KW 21</t>
  </si>
  <si>
    <t>KW 22</t>
  </si>
  <si>
    <t>Jun 27</t>
  </si>
  <si>
    <t>KW 23</t>
  </si>
  <si>
    <t>KW 24</t>
  </si>
  <si>
    <t>KW 25</t>
  </si>
  <si>
    <t>KW 26</t>
  </si>
  <si>
    <t>Jul 27</t>
  </si>
  <si>
    <t>KW 27</t>
  </si>
  <si>
    <t>KW 28</t>
  </si>
  <si>
    <t>KW 29</t>
  </si>
  <si>
    <t>Aug 27</t>
  </si>
  <si>
    <t>Sep 27</t>
  </si>
  <si>
    <t>Okt 27</t>
  </si>
  <si>
    <t>Nov 27</t>
  </si>
  <si>
    <t>Dez 27</t>
  </si>
  <si>
    <t>Jan 28</t>
  </si>
  <si>
    <t>Feb 28</t>
  </si>
  <si>
    <t>Mär 28</t>
  </si>
  <si>
    <t>Apr 28</t>
  </si>
  <si>
    <t>Mai 28</t>
  </si>
  <si>
    <t>Jun 28</t>
  </si>
  <si>
    <t>Jul 28</t>
  </si>
  <si>
    <t>Aug 28</t>
  </si>
  <si>
    <t>Sep 28</t>
  </si>
  <si>
    <t>Okt 28</t>
  </si>
  <si>
    <t>Nov 28</t>
  </si>
  <si>
    <t>Dez 28</t>
  </si>
  <si>
    <t>Jan 29</t>
  </si>
  <si>
    <t>Feb 29</t>
  </si>
  <si>
    <t>Mär 29</t>
  </si>
  <si>
    <t>Apr 29</t>
  </si>
  <si>
    <t>Mai 29</t>
  </si>
  <si>
    <t>Jun 29</t>
  </si>
  <si>
    <t>Jul 29</t>
  </si>
  <si>
    <t>Aug 29</t>
  </si>
  <si>
    <t>Sep 29</t>
  </si>
  <si>
    <t>Okt 29</t>
  </si>
  <si>
    <t>Nov 29</t>
  </si>
  <si>
    <t>Dez 29</t>
  </si>
  <si>
    <t>Jan 30</t>
  </si>
  <si>
    <t>Feb 30</t>
  </si>
  <si>
    <t>Mär 30</t>
  </si>
  <si>
    <t>Apr 30</t>
  </si>
  <si>
    <t>Mai 30</t>
  </si>
  <si>
    <t>Jun 30</t>
  </si>
  <si>
    <t>Jul 30</t>
  </si>
  <si>
    <t>Aug 30</t>
  </si>
  <si>
    <t>Sep 30</t>
  </si>
  <si>
    <t>Okt 30</t>
  </si>
  <si>
    <t>Nov 30</t>
  </si>
  <si>
    <t>Dez 30</t>
  </si>
  <si>
    <t>MAK Gesundheit (KV)</t>
  </si>
  <si>
    <t>MAK Komposit/Leben</t>
  </si>
  <si>
    <t>MAK gesamt</t>
  </si>
  <si>
    <t>Ladeprotokoll</t>
  </si>
  <si>
    <t>Jeder geladene Stand (Quelle und Stichtag) steht hier genau einmal; erneutes Laden überspringt vorhandene Stände.</t>
  </si>
  <si>
    <t>Zeitpunkt</t>
  </si>
  <si>
    <t>Datei</t>
  </si>
  <si>
    <t>Blatt</t>
  </si>
  <si>
    <t>Zeilen</t>
  </si>
  <si>
    <t>Hinweis</t>
  </si>
  <si>
    <t>Diagrammdaten: die letzten 7 Perioden nach Ansicht (Filter!L9: Tag = Stichtage, Woche = Kalenderwochen), neueste Periode rechts, leere Slots als #NV (werden nicht gezeichnet, die Diagrammbreite bleibt). Block A Rückstand, Block B Eingänge (positiv), Abgänge (negativ), Delta (Reserve), Block C Kachel Eingänge/Abgänge je Zeile (Quelle Filter!L13) mit Summen ab Zeile 44.</t>
  </si>
  <si>
    <t>Perioden mit Daten</t>
  </si>
  <si>
    <t>Periode</t>
  </si>
  <si>
    <t>Index</t>
  </si>
  <si>
    <t>OPAG Komposit</t>
  </si>
  <si>
    <t>OPAG Leben</t>
  </si>
  <si>
    <t>OPAG KV</t>
  </si>
  <si>
    <t>OPAG Gesamt</t>
  </si>
  <si>
    <t>Verbund Komposit</t>
  </si>
  <si>
    <t>Verbund Leben</t>
  </si>
  <si>
    <t>Verbund KV</t>
  </si>
  <si>
    <t>Verbund Gesamt</t>
  </si>
  <si>
    <t>OPAG Ein Σ</t>
  </si>
  <si>
    <t>OPAG Abg Σ (neg.)</t>
  </si>
  <si>
    <t>OPAG Delta</t>
  </si>
  <si>
    <t>Verbund Ein Σ</t>
  </si>
  <si>
    <t>Verbund Abg Σ (neg.)</t>
  </si>
  <si>
    <t>Verbund Delta</t>
  </si>
  <si>
    <t>OPAG Δ weniger</t>
  </si>
  <si>
    <t>OPAG Δ mehr</t>
  </si>
  <si>
    <t>OPAG Δ gleich</t>
  </si>
  <si>
    <t>OPAG Achsenluft</t>
  </si>
  <si>
    <t>OPAG Δ Text</t>
  </si>
  <si>
    <t>Verbund Δ weniger</t>
  </si>
  <si>
    <t>Verbund Δ mehr</t>
  </si>
  <si>
    <t>Verbund Δ gleich</t>
  </si>
  <si>
    <t>Verbund Achsenluft</t>
  </si>
  <si>
    <t>Verbund Δ Text</t>
  </si>
  <si>
    <t>Periode · Art</t>
  </si>
  <si>
    <t>OPAG Ein Ko</t>
  </si>
  <si>
    <t>OPAG Ein Le</t>
  </si>
  <si>
    <t>OPAG Ein KV</t>
  </si>
  <si>
    <t>OPAG Abg Ko</t>
  </si>
  <si>
    <t>OPAG Abg Le</t>
  </si>
  <si>
    <t>OPAG Abg KV</t>
  </si>
  <si>
    <t>OPAG Delta Ko</t>
  </si>
  <si>
    <t>OPAG Delta Le</t>
  </si>
  <si>
    <t>OPAG Delta KV</t>
  </si>
  <si>
    <t>OPAG Abg Σ</t>
  </si>
  <si>
    <t>OPAG Delta Σ Position oben</t>
  </si>
  <si>
    <t>OPAG Delta Σ Position unten</t>
  </si>
  <si>
    <t>OPAG Delta Σ Text</t>
  </si>
  <si>
    <t>Verbund Ein Ko</t>
  </si>
  <si>
    <t>Verbund Ein Le</t>
  </si>
  <si>
    <t>Verbund Ein KV</t>
  </si>
  <si>
    <t>Verbund Abg Ko</t>
  </si>
  <si>
    <t>Verbund Abg Le</t>
  </si>
  <si>
    <t>Verbund Abg KV</t>
  </si>
  <si>
    <t>Verbund Delta Ko</t>
  </si>
  <si>
    <t>Verbund Delta Le</t>
  </si>
  <si>
    <t>Verbund Delta KV</t>
  </si>
  <si>
    <t>Verbund Abg Σ</t>
  </si>
  <si>
    <t>Verbund Delta Σ Position oben</t>
  </si>
  <si>
    <t>Verbund Delta Σ Position unten</t>
  </si>
  <si>
    <t>Verbund Delta Σ Text</t>
  </si>
  <si>
    <t>Block C: Eingänge und Abgänge je Zeile (Gesamt, Komposit, Leben, KV) für die Quelle aus Filter!L13 (Verbund oder OPAG); Eingänge positiv, Abgänge negativ, Delta als Punkt bei 0 mit Text; AA/AB Skala (unsichtbar).</t>
  </si>
  <si>
    <t>Gesamt Ein</t>
  </si>
  <si>
    <t>Gesamt Abg (neg.)</t>
  </si>
  <si>
    <t>Gesamt Δ weniger</t>
  </si>
  <si>
    <t>Gesamt Δ mehr</t>
  </si>
  <si>
    <t>Gesamt Δ gleich</t>
  </si>
  <si>
    <t>Gesamt Δ Text</t>
  </si>
  <si>
    <t>Komposit Ein</t>
  </si>
  <si>
    <t>Komposit Abg (neg.)</t>
  </si>
  <si>
    <t>Komposit Δ weniger</t>
  </si>
  <si>
    <t>Komposit Δ mehr</t>
  </si>
  <si>
    <t>Komposit Δ gleich</t>
  </si>
  <si>
    <t>Komposit Δ Text</t>
  </si>
  <si>
    <t>Leben Ein</t>
  </si>
  <si>
    <t>Leben Abg (neg.)</t>
  </si>
  <si>
    <t>Leben Δ weniger</t>
  </si>
  <si>
    <t>Leben Δ mehr</t>
  </si>
  <si>
    <t>Leben Δ gleich</t>
  </si>
  <si>
    <t>Leben Δ Text</t>
  </si>
  <si>
    <t>KV Ein</t>
  </si>
  <si>
    <t>KV Abg (neg.)</t>
  </si>
  <si>
    <t>KV Δ weniger</t>
  </si>
  <si>
    <t>KV Δ mehr</t>
  </si>
  <si>
    <t>KV Δ gleich</t>
  </si>
  <si>
    <t>KV Δ Text</t>
  </si>
  <si>
    <t>Skala Sparten</t>
  </si>
  <si>
    <t>Skala Gesamt</t>
  </si>
  <si>
    <t>Stichtag des Stands</t>
  </si>
  <si>
    <t>Anleitung: BÜ-Reporting HSB4 K</t>
  </si>
  <si>
    <t>Ordnerstruktur: Master-Datei · Rohdaten\ · Anwesenheit\ · Vorlage\ · Praesentationen\ – Stand der Anleitung: 30.09.2026</t>
  </si>
  <si>
    <t>Diese Arbeitsmappe ist die Master-Datei des tagesbasierten BÜ-Reportings. Sie liest die Rückstandsabzüge OPAG und Verbund aus einem Ordner, führt Rückstand, Eingänge, Abgänge und Produktivität fort und zeigt alles im Cockpit. Die Rohdaten selbst bleiben unverändert in ihrem Ordner.</t>
  </si>
  <si>
    <t>1. Ordner einrichten</t>
  </si>
  <si>
    <t>•</t>
  </si>
  <si>
    <t>Master-Datei (diese Datei) in einen eigenen Ordner legen, zum Beispiel „BÜ-Reporting“.</t>
  </si>
  <si>
    <t>Daneben den Unterordner „Rohdaten“ anlegen. Dort landen die Rückstandsabzüge. Der Name ist in Konfiguration!B3 änderbar (relativ zur Master-Datei oder absolut).</t>
  </si>
  <si>
    <t>Daneben den Unterordner „Anwesenheit“ anlegen. Dort liegt die MAK-Liste; die neueste Datei im Ordner wird gelesen (Konfiguration!B4).</t>
  </si>
  <si>
    <t>Beim ersten Öffnen die Makros aktivieren (gelbe Leiste „Inhalt aktivieren“). Ohne Makros funktionieren weder Laden noch Chips; die Filterzellen in „Filter“ und die Formeln bleiben nutzbar.</t>
  </si>
  <si>
    <t>Die Master-Datei kommt leer: Fakten, Verlauf, Ladeprotokoll und Anwesenheit sind unbefüllt, das Cockpit zeigt nur den Rahmen. Der erste Klick auf „Neue Daten laden“ füllt alles aus dem Ordner Rohdaten und lädt, wenn noch keine MAK-Liste da ist, gleich die Anwesenheit mit; „Anwesenheit laden“ aktualisiert sie später (MAK und Produktivität bleiben sonst leer). Neue Themenpostkörbe aus den Abzügen erscheinen in Filter!B mit WAHR.</t>
  </si>
  <si>
    <t>2. Täglicher Ablauf</t>
  </si>
  <si>
    <t>Abzug OPAG und Abzug Verbund aus MIS-O als Excel-Datei in „Rohdaten“ speichern. Der Dateiname ist egal: Beim Laden benennt das Makro jede erkannte Datei einheitlich um – JJJJMMTT_Rueckstand_OPAG_HSB4K.xlsx bzw. …_Verbund_…, Sammeldateien JJJJMMTT-JJJJMMTT_…; ein doppelter Name bekommt _2.</t>
  </si>
  <si>
    <t>Im Cockpit auf „Neue Daten laden“ klicken. Die Meldung nennt, wie viele Stände neu geladen und wie viele übersprungen wurden.</t>
  </si>
  <si>
    <t>Das Ladeprotokoll zeigt je Stand Datei, Blatt, Quelle, Stichtag, Zeilen, Rückstand, Eingänge und Abgänge. Steht in „Hinweis“ etwas, wurde der Stand nicht normal geladen.</t>
  </si>
  <si>
    <t>Alte Dateien dürfen im Ordner bleiben: Ein Stand (Quelle und Stichtag) wird nur einmal geladen. Aufräumen ist nicht nötig, macht das Laden aber schneller.</t>
  </si>
  <si>
    <t>3. Tagesdateien und Sammeldateien</t>
  </si>
  <si>
    <t>Beides funktioniert. Die Erkennung arbeitet je Blatt, nicht je Datei:</t>
  </si>
  <si>
    <t>Tagesdatei: eine Datei mit einem Blatt (ein Stichtag, eine Quelle) – der Normalfall.</t>
  </si>
  <si>
    <t>Sammeldatei: eine Datei mit mehreren Blättern, zum Beispiel „OPAG 22.09.“, „OPAG 23.09.“, „Verbund 22.09.“, „Verbund 23.09.“ – jedes Blatt wird einzeln erkannt und geladen.</t>
  </si>
  <si>
    <t>Erkennung des Stichtags: in den ersten 15 Zeilen eine Zelle mit „Rückstandsstichtag = Mittwoch, 23. September 2026“ (Wochentag beliebig, Monat ausgeschrieben).</t>
  </si>
  <si>
    <t>Erkennung der Quelle: die Kopfzeile enthält „Themenpostkorb“; steht dort auch „OPS_AUFTR_ID“, ist es OPAG, sonst Verbund.</t>
  </si>
  <si>
    <t>Pflichtspalten: Verwaltungssystemschlüssel, Ordnungsbegriff, VORG_VERBU_LNR, Themenpostkorb, Rückstandsalter_Tage, GEVO_SL; OPAG zusätzlich OPS_AUFTR_ID und OPS_ARBGUT_LNR. Reihenfolge egal, Summenzeile („Anzahl: 13.831“) wird übersprungen.</t>
  </si>
  <si>
    <t>Reihenfolge: Alle gefundenen Stände werden nach Stichtag sortiert und in dieser Reihenfolge verarbeitet. Ein Stand, der älter ist als der zuletzt geladene Stand seiner Quelle, wird übersprungen und im Protokoll vermerkt, weil Eingänge und Abgänge aus dem Vergleich mit dem jeweils letzten Stand entstehen.</t>
  </si>
  <si>
    <t>Lücken (Wochenende, fehlender Tag) sind erlaubt: Der Vergleich läuft immer gegen den letzten geladenen Stand, die Bewegungen werden dem neuen Stichtag zugerechnet.</t>
  </si>
  <si>
    <t>4. Anwesenheit: einmal importieren, dann im Tool pflegen</t>
  </si>
  <si>
    <t>Erster Schritt: Die MAK-Liste in „Anwesenheit“ ablegen (Kopfzeile mit „Mitarbeiter“, Spalten „Makler BÜ Gesundheit“ und „Makler BÜ Komposit“ für die Sparte, Wochenspalten „33 KW“, „34. KW“ …) und „Anwesenheit laden“ klicken (beim ersten „Neue Daten laden“ passiert das automatisch). Das Jahr der Liste steht in Konfiguration!B5.</t>
  </si>
  <si>
    <t>Der Import füllt das Blatt „Mitarbeiter“ (Name, Einheit, Sparte, Kapazität = größter Wochenwert der Liste) und trägt im Blatt „Planung“ nur die Abweichungen ein: „Urlaub“ wird U, sonstiger Text F, abweichende Zahlen bleiben Zahlen. Ein erneuter Import ergänzt neue Namen und überschreibt die importierten Wochen; eigene Einträge in anderen Wochen bleiben.</t>
  </si>
  <si>
    <t>Ab dann wird die Anwesenheit im Tool gepflegt. Blatt „Planung“ (Knopf „Anwesenheitsplan öffnen“): eine Zeile je Mitarbeiter, eine Spalte je Kalenderwoche bis Ende 2028. Leer = anwesend mit Kapazität, U = Urlaub, K = krank, F = Fortbildung/sonstige Abwesenheit, H = halbe Woche, Zahl = MAK dieser Woche. Vergangene Wochen sind grau, die aktuelle Woche ist rot markiert, „Zur aktuellen KW“ springt hin. Unter der Matrix stehen die wirksamen MAK je KW.</t>
  </si>
  <si>
    <t>Neue Mitarbeitende: im Blatt „Mitarbeiter“ die nächste freie Zeile ausfüllen (Name, Sparte, Kapazität; Eintritt optional). Die Person erscheint sofort in der Planung. Austritt: Datum in „Austritt“ oder Aktiv = FALSCH; ab dann zählt sie nicht mehr. Kapazität ist die MAK je Woche bei voller Anwesenheit (1,0 Vollzeit, 0,5 halbe Stelle).</t>
  </si>
  <si>
    <t>Gesundheit wird der Sparte KV zugeordnet, Komposit dem Block Komposit/Leben. Eine Trennung Komposit gegen Leben gibt die Planung nicht her; die Produktivität wird deshalb für KV und für Komposit/Leben zusammen ausgewiesen. Alles rechnet über Formeln (Blatt Wirksam, ausgeblendet), Änderungen wirken sofort auf MAK und Produktivität.</t>
  </si>
  <si>
    <t>5. PowerPoint-Folie</t>
  </si>
  <si>
    <t>„PowerPoint-Folie erzeugen“ (Cockpit) kopiert die sechs Kacheln des Blatts „PPT“ als Formen auf eine Folie der ERGO-Vorlage (Vorlage\ERGO_Vorlage.pptx neben der Master-Datei; fehlt sie, entsteht eine leere Präsentation). Titel „HS | BÜ-Reporting Makler-Bestandsübertragung“, Untertitel mit Stichtag, oben rechts „Vertraulich“. Die Kachelköpfe tragen die Kennzahlen (Rückstand mit Delta, Eingänge/Abgänge, MAK und Produktivität, Anteil über 90 Tage); OPAG rot, Verbund petrol.</t>
  </si>
  <si>
    <t>Die Formen bleiben in PowerPoint bearbeitbar (Diagramme als Diagramme, Texte in Arial). Eine Kopie wird im Ordner „Praesentationen“ neben der Master-Datei gesichert, PowerPoint bleibt mit der Folie offen. Die Kacheln zeigen immer den aktuellen Filter und die aktuelle Ansicht (Tag/Woche); die Fußnote der Kacheln nennt beides.</t>
  </si>
  <si>
    <t>6. Filter im Cockpit</t>
  </si>
  <si>
    <t>Themenpostkörbe: Chips per Klick an- oder abwählen (gefüllt = im Filter, weiß = ausgeblendet; beim Überfahren mit der Maus leuchtet der Chip auf – Excel merkt sich dabei eine Änderung, daher die Speichern-Nachfrage beim Schließen). „Alle“ wählt alles, „Aktive Bearbeitung“ die Vorauswahl aus Konfiguration!F11:F30 (Standard KO, MV, GR – ohne 72-Stunden-BOT und BÜ; BE, WR, 00 fachlich zu klären).</t>
  </si>
  <si>
    <t>GeVo-Typen: Modus „Alle GeVo“ (kein Filter), „Nur BÜ-Schlüssel“ (GeVo-Nummern aus Konfiguration!D11:D20: 108, 469, 2015, 6065) oder „Manuelle Auswahl“ über die Chips der 13 häufigsten GeVo-Typen (aufsteigend nach GeVo-Nummer) plus „Alle übrigen“. Ein Klick auf einen GeVo-Chip wechselt automatisch in die manuelle Auswahl.</t>
  </si>
  <si>
    <t>Die Filter wirken auf alle Kennzahlen und Diagramme sofort. Neue Postkörbe aus späteren Abzügen erscheinen in Filter!B5:B44 mit WAHR und lassen sich dort umschalten (ohne Chip).</t>
  </si>
  <si>
    <t>„Rückstand je Themenpostkorb“ unten rechts zeigt bewusst ohne Filter, was jedes Kästchen ein- oder ausschließt.</t>
  </si>
  <si>
    <t>Sparten: Die Chips Komposit, Leben, KV und Sonstige grenzen alle Kennzahlen und Diagramme auf die gewählten Sparten ein – so lässt sich in ein Einzelreporting je Sparte abtauchen. MAK und Produktivität folgen der Auswahl (KV rechnet gegen MAK Gesundheit, Komposit/Leben gegen MAK Komposit). „Alle Sparten“ hebt die Einschränkung auf.</t>
  </si>
  <si>
    <t>Veränderung zum vorherigen Stand: Die Kacheln Rückstand OPAG und Verbund zeigen das Delta gegenüber dem zuletzt geladenen Stand mit dessen Datum; über den Rückstandssäulen steht dasselbe je Periode als Badge (grün = weniger, gelb = mehr, grau = unverändert). Der Vergleich gilt immer gegenüber dem vorherigen geladenen Stand – ein Montagsstand nach einem Freitagsstand zeigt also die Veränderung über das Wochenende, und Eingänge/Abgänge sind die Bewegungen zwischen genau diesen beiden Ständen.</t>
  </si>
  <si>
    <t>Ansicht: „Tagessicht“ zeigt die letzten 7 Stichtage, „Wochensicht“ die letzten 7 Kalenderwochen (Rückstand zum letzten Stichtag der Woche, Eingänge/Abgänge/Delta als Wochensumme). Die Umschaltung wirkt auf die vier Verlaufs- und Bewegungsdiagramme; MAK und Produktivität sind immer je Kalenderwoche (Fenster von 7 KW bis zur KW des letzten Stichtags).</t>
  </si>
  <si>
    <t>Diagramme haben immer 7 Plätze, die neueste Periode steht rechts; solange weniger Stände vorliegen, bleiben die Plätze links frei – so ist die spätere Breite von Anfang an sichtbar. Werte, die nicht in ihr Segment passen, stehen wie in think-cell mit Führungslinie links oder rechts neben der Säule (in Excel setzt das Makro sie nach jeder Änderung neu).</t>
  </si>
  <si>
    <t>Eingänge und Abgänge: eine Kachel mit einer Zeile je Sparte und darüber der Gesamtzeile. Eingänge stehen über der Achse (Wert darüber), Abgänge darunter (Wert darunter), das Delta (Eingänge minus Abgänge) steht in der Box auf der Achse – grün = Abbau, gelb = Aufbau. Die Sparten teilen eine Skala und sind damit direkt vergleichbar, die Gesamtzeile hat eine eigene. Rechts stehen die Summen: in der Tagessicht über die letzten 7 Stichtage, in der Wochensicht für die letzte Kalenderwoche. Die Bookmark-Chips „Verbund“ und „OPAG“ oben rechts in der Kachel schalten die Quelle um (Filter!L13); die Kopfleiste wird dabei petrol bzw. rot.</t>
  </si>
  <si>
    <t>7. Kennzahlen</t>
  </si>
  <si>
    <t>Rückstand: Zeilen des Abzugs am Stichtag. OPAG zählt Arbeitsgüter (mehrere je Vorgang möglich), Verbund zählt Vorgänge. Sparte aus dem Verwaltungssystemschlüssel (Konfiguration!A11:B40).</t>
  </si>
  <si>
    <t>Eingänge: Schlüssel, die im neuen Stand erstmals vorkommen. Schlüssel Verbund = Verwaltungssystemschlüssel + Ordnungsbegriff + VORG_VERBU_LNR; OPAG zusätzlich OPS_AUFTR_ID + OPS_ARBGUT_LNR.</t>
  </si>
  <si>
    <t>Abgänge: Schlüssel des Vortagsstands, die im neuen Stand fehlen – abgearbeitet, weitergeleitet an die Sparte oder an den 72-Stunden-BOT übergeben. Sie werden dem Postkorb, GeVo und der Sparte des Vortags zugeordnet.</t>
  </si>
  <si>
    <t>Ein Vorgang, der nur den Postkorb wechselt (zum Beispiel MV nach KO), ist weder Eingang noch Abgang; er zählt am neuen Stichtag im neuen Postkorb.</t>
  </si>
  <si>
    <t>Altersstruktur: Rückstandsalter 0–7, 8–30, 31–90 und über 90 Tage am aktuellen Stichtag.</t>
  </si>
  <si>
    <t>Produktivität: Abgänge je MAK in der Kalenderwoche, ausgewiesen je Vorgang (Verbund) und je Arbeitsgut (OPAG), jeweils KV (gegen MAK Gesundheit), Komposit/Leben (gegen MAK Komposit) und Gesamt. Die laufende KW enthält nur die bereits geladenen Stichtage und ist erst am Wochenende vollständig.</t>
  </si>
  <si>
    <t>Der erste Stand je Quelle liefert nur den Rückstand; Eingänge und Abgänge gibt es ab dem zweiten Stand.</t>
  </si>
  <si>
    <t>8. Blätter</t>
  </si>
  <si>
    <t>Cockpit: Kennzahlen, Filter, Diagramme. Verlauf: eine Zeile je Stichtag (gefiltert). KW: Abgänge, MAK und Produktivität je Kalenderwoche. Fakten: verdichtete Sätze je Stichtag, Quelle, Sparte, VSS, Postkorb und GeVo mit Filterkennzeichen. Diagrammdaten: Hilfstabelle mit immer 7 Perioden für Rückstand und für die Säulen Eingänge (über der Achse), Abgänge (unter der Achse) und Delta.</t>
  </si>
  <si>
    <t>PPT: die Kacheln für die PowerPoint-Folie. Planung: Anwesenheitsmatrix je Mitarbeiter und KW. Mitarbeiter: Stammdaten. Filter: Zellen der Chips und Hilfsgrößen. Konfiguration: Pfade, Sparten, BÜ-Schlüssel, Vorauswahl. Ladeprotokoll: jeder geladene Stand. Wirksam (ausgeblendet): berechnete MAK je Mitarbeiter und KW.</t>
  </si>
  <si>
    <t>Snapshot_OPAG und Snapshot_Verbund (ausgeblendet): die Schlüssel des jeweils letzten Stands für den Vergleich am nächsten Tag. Nicht bearbeiten.</t>
  </si>
  <si>
    <t>9. Wenn etwas nicht klappt</t>
  </si>
  <si>
    <t>„Rohdaten-Ordner nicht gefunden“: Ordner neben der Master-Datei anlegen oder Pfad in Konfiguration!B3 setzen.</t>
  </si>
  <si>
    <t>„kein Rückstandsabzug erkannt“: Stichtag-Zeile oder Kopfzeile fehlt, oder das Blatt ist als Werte ohne die ersten Kopfzeilen gespeichert. Die Kopfzeilen des MIS-O-Abzugs müssen erhalten bleiben.</t>
  </si>
  <si>
    <t>„übersprungen: Stichtag liegt vor dem zuletzt geladenen Stand“: ein älterer Abzug kam nach einem neueren. Ältere Stände können nachträglich nicht eingeordnet werden; wenn nötig Fakten, Verlauf, Ladeprotokoll und Snapshots leeren und alle Abzüge in Reihenfolge neu laden.</t>
  </si>
  <si>
    <t>Eine Rohdatei ist noch in Excel geöffnet: schließen, dann erneut laden. Dateien, die mit „~$“ beginnen, werden ignoriert.</t>
  </si>
  <si>
    <t>Kennzahlen zeigen leer: Es ist noch kein Stand geladen, oder alle Kästchen sind abgewählt. „Zurücksetzen“ nimmt alle Filter zurück.</t>
  </si>
  <si>
    <t>Diagramme ohne Werte oder mit altem Bereich: „Aktualisieren“ klicken; die Makros setzen die Datenbereiche der Diagramme nach jedem Laden neu (immer 7 Perioden, neueste rechts; leere Slots bleiben frei) und legen Werte, die nicht in ihr Segment passen, mit Führungslinie neben die Säule.</t>
  </si>
  <si>
    <t>Während „Neue Daten laden“ und „Anwesenheit laden“ zeigt ein Overlay auf dem Blatt den Fortschritt (Datei, Stand, Prozent). Excel ist in der Zeit gesperrt; das Overlay verschwindet von selbst, auch bei einem Fehler.</t>
  </si>
  <si>
    <t>Excel stürzt beim Laden oder beim Überfahren der Chips ab: Die Datei Ladelog.txt neben der Master-Datei zeigt den letzten Schritt vor dem Absturz. Den Hover-Effekt der Chips in Konfiguration!B8 auf NEIN stellen (die Chips bleiben klickbar), dann erneut versuchen. Stürzt Excel erst bei der Abschlussmeldung ab, Konfiguration!B9 auf NEIN stellen: Meldungen kommen dann als klassisches Fenster.</t>
  </si>
  <si>
    <t>Laufzeitfehler 52 „Bad file name or number“ oder „Ordner nicht gefunden“ mit einer https-Adresse: Die Master-Datei liegt in OneDrive oder SharePoint. Das Makro bildet die Adresse auf den synchronisierten Ordner ab; klappt das nicht, fragt es den Ordner einmal ab und merkt ihn sich in Konfiguration!B7. Dort lässt sich der lokale Pfad auch direkt eintragen.</t>
  </si>
  <si>
    <t>10. Grenzen</t>
  </si>
  <si>
    <t>Die Fakten-Tabelle fasst je Stichtag rund 500 bis 600 Zeilen je Quelle; Platz ist für etwa 300 Stichtage je Quelle (300.000 Zeilen). Danach die Datei kopieren und neu beginnen oder alte Stichtage aus Fakten und Verlauf löschen.</t>
  </si>
  <si>
    <t>Die Schlüssel des letzten Stands (rund 30.000 OPAG, 14.000 Verbund) bleiben in der Datei; sie ist deshalb einige Megabyte groß.</t>
  </si>
  <si>
    <r>
      <rPr>
        <b/>
        <sz val="20"/>
        <color rgb="FFBF1528"/>
        <rFont val="Aptos"/>
        <family val="2"/>
      </rPr>
      <t>BÜ</t>
    </r>
    <r>
      <rPr>
        <b/>
        <sz val="20"/>
        <color rgb="FF1A1A1A"/>
        <rFont val="Aptos"/>
        <family val="2"/>
      </rPr>
      <t>-Reporting HSB4 K</t>
    </r>
  </si>
  <si>
    <t>Makler-Bestandsübertragung · Rückstand, Bewegungen und Produktivität · Quellen: Rückstandsabzüge OPAG und Verbund (MIS-O), Anwesenheitsliste</t>
  </si>
  <si>
    <t>Stand</t>
  </si>
  <si>
    <t>vorheriger Stichtag</t>
  </si>
  <si>
    <t>RÜCKSTAND OPAG</t>
  </si>
  <si>
    <t>Arbeitsgüter am Stichtag</t>
  </si>
  <si>
    <t>RÜCKSTAND VERBUND</t>
  </si>
  <si>
    <t>Vorgänge am Stichtag</t>
  </si>
  <si>
    <t>EINGÄNGE VERBUND</t>
  </si>
  <si>
    <t>neue Vorgänge am Stichtag</t>
  </si>
  <si>
    <t>ABGÄNGE VERBUND</t>
  </si>
  <si>
    <t>abgearbeitet oder weitergeleitet</t>
  </si>
  <si>
    <t>PRODUKTIVITÄT KW (VERBUND)</t>
  </si>
  <si>
    <t>MAK AKTUELLE KW</t>
  </si>
  <si>
    <t>laut Anwesenheitsplan</t>
  </si>
  <si>
    <t>DATEN</t>
  </si>
  <si>
    <t>Chips: gefüllt = im Filter, weiß = ausgeblendet. Klick schaltet um. Eingänge = neue Schlüssel gegenüber dem vorherigen Stand, Abgänge = Schlüssel, die fehlen (abgearbeitet oder weitergeleitet). Produktivität = Abgänge je MAK in der KW. Werte, die nicht in ihr Segment passen, stehen mit Führungslinie neben der Säule.</t>
  </si>
  <si>
    <t>Arbeitsgüter nach Sparte, Summe über der Säule · nach aktivem Filter · neueste Periode rechts</t>
  </si>
  <si>
    <t>Vorgänge nach Sparte, Summe über der Säule · nach aktivem Filter · neueste Periode rechts</t>
  </si>
  <si>
    <t>Eingänge über der Achse (Wert darüber), Abgänge darunter (Wert darunter), Delta = Eingänge minus Abgänge (Box: grün = Abbau, gelb = Aufbau) · Sparten mit gemeinsamer Skala, Gesamt mit eigener · nach aktivem Filter</t>
  </si>
  <si>
    <t>Kapazität je Kalenderwoche (MAK)</t>
  </si>
  <si>
    <t>wirksame MAK laut Anwesenheitsplan (Blatt Planung) · Gesundheit und Komposit/Leben · letzte 7 KW bis zur KW des letzten Stichtags</t>
  </si>
  <si>
    <t>Altersstruktur des Rückstands</t>
  </si>
  <si>
    <t>Anteil je Altersklasse am aktuellen Stichtag · nach aktivem Filter</t>
  </si>
  <si>
    <t>Produktivität je Vorgang (Verbund)</t>
  </si>
  <si>
    <t>Abgänge je MAK in der KW: KV gegen MAK Gesundheit, Komposit/Leben gegen MAK Komposit, Gesamt als Linie</t>
  </si>
  <si>
    <t>Produktivität je Arbeitsgut (OPAG)</t>
  </si>
  <si>
    <t>gleiche Logik auf Ebene der Arbeitsgüter (mehrere je Vorgang möglich) · laufende KW bis zum letzten Stichtag</t>
  </si>
  <si>
    <t>Rückstand je Themenpostkorb</t>
  </si>
  <si>
    <t>aktueller Stichtag, ohne Filter · zeigt, was die Chips links ein- oder ausschließen</t>
  </si>
  <si>
    <t>PPT-Folie: Diese Kacheln kopiert „PowerPoint-Folie erzeugen“ (Cockpit) als Formen auf eine Folie der ERGO-Vorlage. Titel und Untertitel der Folie stehen in AZ1:AZ2, Werte in den Kachelköpfen sind mit Zellen verknüpft.</t>
  </si>
  <si>
    <t>Folientitel</t>
  </si>
  <si>
    <t>Untertitel</t>
  </si>
  <si>
    <t>Kachelwerte</t>
  </si>
  <si>
    <t>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</si>
</sst>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0.0"/>
    <numFmt numFmtId="166" formatCode="dd\.mm\."/>
    <numFmt numFmtId="167" formatCode="0.0"/>
  </numFmts>
  <fonts count="26" x14ac:knownFonts="1">
    <font>
      <sz val="10"/>
      <color theme="1"/>
      <name val="Aptos"/>
      <family val="2"/>
    </font>
    <font>
      <b/>
      <sz val="20"/>
      <color rgb="FF1A1A1A"/>
      <name val="Aptos"/>
      <family val="2"/>
    </font>
    <font>
      <sz val="9"/>
      <color rgb="FF6B6B6B"/>
      <name val="Aptos"/>
      <family val="2"/>
    </font>
    <font>
      <b/>
      <sz val="11"/>
      <color rgb="FF1A1A1A"/>
      <name val="Aptos"/>
      <family val="2"/>
    </font>
    <font>
      <b/>
      <sz val="8"/>
      <color rgb="FF6B6B6B"/>
      <name val="Aptos"/>
      <family val="2"/>
    </font>
    <font>
      <b/>
      <sz val="24"/>
      <color rgb="FF1A1A1A"/>
      <name val="Aptos"/>
      <family val="2"/>
    </font>
    <font>
      <sz val="8"/>
      <color rgb="FF6B6B6B"/>
      <name val="Aptos"/>
      <family val="2"/>
    </font>
    <font>
      <sz val="10"/>
      <color rgb="FF1A1A1A"/>
      <name val="Aptos"/>
      <family val="2"/>
    </font>
    <font>
      <sz val="6"/>
      <color rgb="FFFFFFFF"/>
      <name val="Calibri"/>
      <family val="2"/>
      <scheme val="minor"/>
    </font>
    <font>
      <sz val="8.5"/>
      <color rgb="FF6B6B6B"/>
      <name val="Aptos"/>
      <family val="2"/>
    </font>
    <font>
      <b/>
      <sz val="11"/>
      <color rgb="FFFFFFFF"/>
      <name val="Aptos"/>
      <family val="2"/>
    </font>
    <font>
      <b/>
      <sz val="9"/>
      <color rgb="FF0B6F7D"/>
      <name val="Aptos"/>
      <family val="2"/>
    </font>
    <font>
      <i/>
      <sz val="8"/>
      <color rgb="FF6B6B6B"/>
      <name val="Aptos"/>
      <family val="2"/>
    </font>
    <font>
      <sz val="9"/>
      <color rgb="FF1A1A1A"/>
      <name val="Aptos"/>
      <family val="2"/>
    </font>
    <font>
      <b/>
      <sz val="12"/>
      <color rgb="FFBF1528"/>
      <name val="Aptos"/>
      <family val="2"/>
    </font>
    <font>
      <b/>
      <sz val="10"/>
      <color rgb="FFBF1528"/>
      <name val="Aptos"/>
      <family val="2"/>
    </font>
    <font>
      <b/>
      <sz val="9"/>
      <color rgb="FF4A4A4A"/>
      <name val="Aptos"/>
      <family val="2"/>
    </font>
    <font>
      <sz val="9"/>
      <color theme="1"/>
      <name val="Aptos"/>
      <family val="2"/>
    </font>
    <font>
      <b/>
      <sz val="9"/>
      <color rgb="FFFFFFFF"/>
      <name val="Aptos"/>
      <family val="2"/>
    </font>
    <font>
      <sz val="7"/>
      <color rgb="FF6B6B6B"/>
      <name val="Aptos"/>
      <family val="2"/>
    </font>
    <font>
      <b/>
      <sz val="9"/>
      <color theme="1"/>
      <name val="Aptos"/>
      <family val="2"/>
    </font>
    <font>
      <b/>
      <sz val="10"/>
      <color rgb="FFFFFFFF"/>
      <name val="Aptos"/>
      <family val="2"/>
    </font>
    <font>
      <sz val="9"/>
      <color rgb="FF0000FF"/>
      <name val="Aptos"/>
      <family val="2"/>
    </font>
    <font>
      <b/>
      <sz val="10"/>
      <color rgb="FF4A4A4A"/>
      <name val="Aptos"/>
      <family val="2"/>
    </font>
    <font>
      <sz val="10"/>
      <color rgb="FF0000FF"/>
      <name val="Aptos"/>
      <family val="2"/>
    </font>
    <font>
      <b/>
      <sz val="20"/>
      <color rgb="FFBF1528"/>
      <name val="Aptos"/>
      <family val="2"/>
    </font>
  </fonts>
  <fills count="10">
    <fill>
      <patternFill patternType="none"/>
    </fill>
    <fill>
      <patternFill patternType="gray125"/>
    </fill>
    <fill>
      <patternFill patternType="solid">
        <fgColor rgb="FFF3F4F6"/>
        <bgColor indexed="64"/>
      </patternFill>
    </fill>
    <fill>
      <patternFill patternType="solid">
        <fgColor rgb="FFFFFFFF"/>
        <bgColor indexed="64"/>
      </patternFill>
    </fill>
    <fill>
      <patternFill patternType="solid">
        <fgColor rgb="FF8E0F1E"/>
        <bgColor indexed="64"/>
      </patternFill>
    </fill>
    <fill>
      <patternFill patternType="solid">
        <fgColor rgb="FF0B6F7D"/>
        <bgColor indexed="64"/>
      </patternFill>
    </fill>
    <fill>
      <patternFill patternType="solid">
        <fgColor rgb="FFEEF6F7"/>
        <bgColor indexed="64"/>
      </patternFill>
    </fill>
    <fill>
      <patternFill patternType="solid">
        <fgColor rgb="FF4A4A4A"/>
        <bgColor indexed="64"/>
      </patternFill>
    </fill>
    <fill>
      <patternFill patternType="solid">
        <fgColor rgb="FFFFF9DB"/>
        <bgColor indexed="64"/>
      </patternFill>
    </fill>
    <fill>
      <patternFill patternType="solid">
        <fgColor rgb="FFBF1528"/>
        <bgColor indexed="64"/>
      </patternFill>
    </fill>
  </fills>
  <borders count="7">
    <border>
      <left/>
      <right/>
      <top/>
      <bottom/>
      <diagonal/>
    </border>
    <border>
      <left/>
      <right/>
      <top style="thin">
        <color rgb="FFD0D5DA"/>
      </top>
      <bottom/>
      <diagonal/>
    </border>
    <border>
      <left style="thin">
        <color rgb="FFD0D5DA"/>
      </left>
      <right style="thin">
        <color rgb="FFD0D5DA"/>
      </right>
      <top style="thin">
        <color rgb="FFD0D5DA"/>
      </top>
      <bottom style="thin">
        <color rgb="FFD0D5DA"/>
      </bottom>
      <diagonal/>
    </border>
    <border>
      <left style="thin">
        <color rgb="FFCCEBED"/>
      </left>
      <right style="thin">
        <color rgb="FFCCEBED"/>
      </right>
      <top style="thin">
        <color rgb="FFCCEBED"/>
      </top>
      <bottom style="thin">
        <color rgb="FFCCEBED"/>
      </bottom>
      <diagonal/>
    </border>
    <border>
      <left style="thin">
        <color rgb="FFD0D5DA"/>
      </left>
      <right/>
      <top/>
      <bottom/>
      <diagonal/>
    </border>
    <border>
      <left style="thin">
        <color rgb="FFF3F4F6"/>
      </left>
      <right style="thin">
        <color rgb="FFF3F4F6"/>
      </right>
      <top style="thin">
        <color rgb="FFF3F4F6"/>
      </top>
      <bottom style="thin">
        <color rgb="FFF3F4F6"/>
      </bottom>
      <diagonal/>
    </border>
    <border>
      <left/>
      <right/>
      <top/>
      <bottom style="thin">
        <color rgb="FFD0D5DA"/>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applyAlignment="1">
      <alignment vertical="center"/>
    </xf>
    <xf numFmtId="0" fontId="8" fillId="0" borderId="0" xfId="0" applyFont="1"/>
    <xf numFmtId="0" fontId="11" fillId="6" borderId="3" xfId="0" applyFont="1" applyFill="1" applyBorder="1" applyAlignment="1">
      <alignment vertical="center"/>
    </xf>
    <xf numFmtId="0" fontId="12" fillId="0" borderId="0" xfId="0" applyFont="1" applyAlignment="1">
      <alignment vertical="top" wrapText="1"/>
    </xf>
    <xf numFmtId="0" fontId="4" fillId="0" borderId="0" xfId="0" applyFont="1" applyAlignment="1">
      <alignment vertical="center"/>
    </xf>
    <xf numFmtId="0" fontId="13" fillId="0" borderId="0" xfId="0" applyFont="1" applyAlignment="1">
      <alignment vertical="center"/>
    </xf>
    <xf numFmtId="0" fontId="7" fillId="0" borderId="0" xfId="0" applyFont="1" applyAlignment="1">
      <alignment vertical="top" wrapText="1"/>
    </xf>
    <xf numFmtId="0" fontId="14" fillId="0" borderId="0" xfId="0" applyFont="1"/>
    <xf numFmtId="0" fontId="15" fillId="0" borderId="0" xfId="0" applyFont="1" applyAlignment="1">
      <alignment horizontal="center" vertical="top"/>
    </xf>
    <xf numFmtId="0" fontId="16" fillId="2" borderId="4" xfId="0" applyFont="1" applyFill="1" applyBorder="1" applyAlignment="1">
      <alignment vertical="center"/>
    </xf>
    <xf numFmtId="0" fontId="17" fillId="2" borderId="0" xfId="0" applyFont="1" applyFill="1" applyAlignment="1">
      <alignment vertical="center"/>
    </xf>
    <xf numFmtId="0" fontId="18" fillId="7" borderId="0" xfId="0" applyFont="1" applyFill="1" applyAlignment="1">
      <alignment horizontal="center" vertical="center"/>
    </xf>
    <xf numFmtId="166" fontId="19" fillId="2" borderId="0" xfId="0" applyNumberFormat="1" applyFont="1" applyFill="1" applyAlignment="1">
      <alignment horizontal="center" vertical="center"/>
    </xf>
    <xf numFmtId="0" fontId="20" fillId="0" borderId="0" xfId="0" applyFont="1" applyAlignment="1">
      <alignment vertical="center"/>
    </xf>
    <xf numFmtId="167" fontId="2" fillId="0" borderId="0" xfId="0" applyNumberFormat="1" applyFont="1" applyAlignment="1">
      <alignment horizontal="center" vertical="center"/>
    </xf>
    <xf numFmtId="167" fontId="17" fillId="0" borderId="5" xfId="0" applyNumberFormat="1" applyFont="1" applyBorder="1" applyAlignment="1">
      <alignment horizontal="center" vertical="center"/>
    </xf>
    <xf numFmtId="0" fontId="20" fillId="0" borderId="1" xfId="0" applyFont="1" applyBorder="1" applyAlignment="1">
      <alignment vertical="center"/>
    </xf>
    <xf numFmtId="167" fontId="20" fillId="0" borderId="1" xfId="0" applyNumberFormat="1" applyFont="1" applyBorder="1" applyAlignment="1">
      <alignment horizontal="center" vertical="center"/>
    </xf>
    <xf numFmtId="0" fontId="21" fillId="7" borderId="0" xfId="0" applyFont="1" applyFill="1" applyAlignment="1">
      <alignment vertical="center" wrapText="1"/>
    </xf>
    <xf numFmtId="0" fontId="22" fillId="8" borderId="2" xfId="0" applyFont="1" applyFill="1" applyBorder="1" applyAlignment="1">
      <alignment vertical="center"/>
    </xf>
    <xf numFmtId="167" fontId="22" fillId="8" borderId="2" xfId="0" applyNumberFormat="1" applyFont="1" applyFill="1" applyBorder="1" applyAlignment="1">
      <alignment horizontal="center" vertical="center"/>
    </xf>
    <xf numFmtId="164" fontId="22" fillId="8" borderId="2" xfId="0" applyNumberFormat="1" applyFont="1" applyFill="1" applyBorder="1" applyAlignment="1">
      <alignment horizontal="center" vertical="center"/>
    </xf>
    <xf numFmtId="0" fontId="22" fillId="8" borderId="2" xfId="0" applyFont="1" applyFill="1" applyBorder="1" applyAlignment="1">
      <alignment horizontal="center" vertical="center"/>
    </xf>
    <xf numFmtId="0" fontId="23" fillId="2" borderId="6" xfId="0" applyFont="1" applyFill="1" applyBorder="1" applyAlignment="1">
      <alignment vertical="center" wrapText="1"/>
    </xf>
    <xf numFmtId="3" fontId="13" fillId="0" borderId="0" xfId="0" applyNumberFormat="1" applyFont="1" applyAlignment="1">
      <alignment vertical="center"/>
    </xf>
    <xf numFmtId="165" fontId="13" fillId="0" borderId="0" xfId="0" applyNumberFormat="1" applyFont="1" applyAlignment="1">
      <alignment vertical="center"/>
    </xf>
    <xf numFmtId="164" fontId="13" fillId="0" borderId="0" xfId="0" applyNumberFormat="1" applyFont="1" applyAlignment="1">
      <alignment vertical="center"/>
    </xf>
    <xf numFmtId="0" fontId="13" fillId="0" borderId="0" xfId="0" applyFont="1" applyAlignment="1">
      <alignment horizontal="center" vertical="center"/>
    </xf>
    <xf numFmtId="0" fontId="24" fillId="8" borderId="2" xfId="0" applyFont="1" applyFill="1" applyBorder="1" applyAlignment="1">
      <alignment vertical="center"/>
    </xf>
    <xf numFmtId="0" fontId="3" fillId="0" borderId="0" xfId="0" applyFont="1" applyAlignment="1">
      <alignment vertical="center"/>
    </xf>
    <xf numFmtId="0" fontId="2" fillId="0" borderId="0" xfId="0" applyFont="1" applyAlignment="1">
      <alignment horizontal="right" vertical="center"/>
    </xf>
    <xf numFmtId="164" fontId="3" fillId="0" borderId="0" xfId="0" applyNumberFormat="1" applyFont="1" applyAlignment="1">
      <alignment horizontal="right" vertical="center"/>
    </xf>
    <xf numFmtId="164" fontId="2" fillId="0" borderId="0" xfId="0" applyNumberFormat="1" applyFont="1" applyAlignment="1">
      <alignment horizontal="right"/>
    </xf>
    <xf numFmtId="0" fontId="2" fillId="0" borderId="0" xfId="0" applyFont="1" applyAlignment="1">
      <alignment vertical="center"/>
    </xf>
    <xf numFmtId="0" fontId="4" fillId="2" borderId="0" xfId="0" applyFont="1" applyFill="1" applyAlignment="1">
      <alignment indent="1"/>
    </xf>
    <xf numFmtId="3" fontId="5" fillId="2" borderId="0" xfId="0" applyNumberFormat="1" applyFont="1" applyFill="1" applyAlignment="1">
      <alignment horizontal="left" vertical="center" indent="1"/>
    </xf>
    <xf numFmtId="0" fontId="6" fillId="2" borderId="0" xfId="0" applyFont="1" applyFill="1" applyAlignment="1">
      <alignment horizontal="left" vertical="center" indent="1"/>
    </xf>
    <xf numFmtId="0" fontId="7" fillId="2" borderId="0" xfId="0" applyFont="1" applyFill="1" applyAlignment="1">
      <alignment vertical="center"/>
    </xf>
    <xf numFmtId="165" fontId="5" fillId="2" borderId="0" xfId="0" applyNumberFormat="1" applyFont="1" applyFill="1" applyAlignment="1">
      <alignment horizontal="left" vertical="center" indent="1"/>
    </xf>
    <xf numFmtId="0" fontId="4" fillId="0" borderId="1" xfId="0" applyFont="1" applyBorder="1" applyAlignment="1">
      <alignment vertical="center"/>
    </xf>
    <xf numFmtId="0" fontId="11" fillId="6" borderId="3" xfId="0" applyFont="1" applyFill="1" applyBorder="1" applyAlignment="1">
      <alignment vertical="center"/>
    </xf>
    <xf numFmtId="0" fontId="12" fillId="0" borderId="0" xfId="0" applyFont="1" applyAlignment="1">
      <alignment vertical="top" wrapText="1"/>
    </xf>
    <xf numFmtId="0" fontId="9" fillId="3" borderId="2" xfId="0" applyFont="1" applyFill="1" applyBorder="1" applyAlignment="1">
      <alignment horizontal="left" vertical="center" indent="1"/>
    </xf>
    <xf numFmtId="0" fontId="10" fillId="4" borderId="0" xfId="0" applyFont="1" applyFill="1" applyAlignment="1">
      <alignment horizontal="left" vertical="center" indent="1"/>
    </xf>
    <xf numFmtId="0" fontId="10" fillId="5" borderId="0" xfId="0" applyFont="1" applyFill="1" applyAlignment="1">
      <alignment horizontal="left" vertical="center" indent="1"/>
    </xf>
    <xf numFmtId="0" fontId="10" fillId="7" borderId="0" xfId="0" applyFont="1" applyFill="1" applyAlignment="1">
      <alignment horizontal="left" vertical="center" indent="1"/>
    </xf>
    <xf numFmtId="0" fontId="7" fillId="0" borderId="0" xfId="0" applyFont="1" applyAlignment="1">
      <alignment vertical="top" wrapText="1"/>
    </xf>
    <xf numFmtId="0" fontId="21" fillId="9" borderId="0" xfId="0" applyFont="1" applyFill="1" applyAlignment="1">
      <alignment vertical="center" wrapText="1"/>
    </xf>
    <xf numFmtId="0" fontId="21" fillId="7" borderId="0" xfId="0" applyFont="1" applyFill="1" applyAlignment="1">
      <alignment vertical="center" wrapText="1"/>
    </xf>
    <xf numFmtId="0" fontId="23" fillId="2" borderId="6" xfId="0" applyFont="1" applyFill="1" applyBorder="1" applyAlignment="1">
      <alignment vertical="center" wrapText="1"/>
    </xf>
  </cellXfs>
  <cellStyles count="1">
    <cellStyle name="Normal" xfId="0" builtinId="0"/>
  </cellStyles>
  <dxfs count="96">
    <dxf>
      <font>
        <color rgb="FF9AA3AD"/>
      </font>
      <fill>
        <patternFill>
          <bgColor rgb="FFF7F7F7"/>
        </patternFill>
      </fill>
    </dxf>
    <dxf>
      <border>
        <left style="medium">
          <color rgb="FFBF1528"/>
        </left>
        <right style="medium">
          <color rgb="FFBF1528"/>
        </right>
        <top/>
        <bottom/>
        <vertical/>
        <horizontal/>
      </border>
    </dxf>
    <dxf>
      <fill>
        <patternFill>
          <bgColor rgb="FFFFFFFF"/>
        </patternFill>
      </fill>
    </dxf>
    <dxf>
      <font>
        <b/>
        <color rgb="FF1F4E79"/>
      </font>
      <fill>
        <patternFill>
          <bgColor rgb="FFDDEBF7"/>
        </patternFill>
      </fill>
    </dxf>
    <dxf>
      <font>
        <b/>
        <color rgb="FF0B6F7D"/>
      </font>
      <fill>
        <patternFill>
          <bgColor rgb="FFCCEBED"/>
        </patternFill>
      </fill>
    </dxf>
    <dxf>
      <font>
        <b/>
        <color rgb="FF4A4A4A"/>
      </font>
      <fill>
        <patternFill>
          <bgColor rgb="FFD0D5DA"/>
        </patternFill>
      </fill>
    </dxf>
    <dxf>
      <font>
        <b/>
        <color rgb="FF8E0F1E"/>
      </font>
      <fill>
        <patternFill>
          <bgColor rgb="FFFBE9EB"/>
        </patternFill>
      </fill>
    </dxf>
    <dxf>
      <font>
        <b/>
        <color rgb="FF7F6000"/>
      </font>
      <fill>
        <patternFill>
          <bgColor rgb="FFFFE699"/>
        </patternFill>
      </fill>
    </dxf>
    <dxf>
      <font>
        <color rgb="FF9AA3AD"/>
      </font>
    </dxf>
    <dxf>
      <font>
        <b/>
        <color rgb="FFFFFFFF"/>
      </font>
      <fill>
        <patternFill>
          <bgColor rgb="FFBF1528"/>
        </patternFill>
      </fill>
    </dxf>
    <dxf>
      <font>
        <b/>
        <color rgb="FF1E7F4F"/>
      </font>
      <fill>
        <patternFill>
          <bgColor rgb="FFDDF3E4"/>
        </patternFill>
      </fill>
    </dxf>
    <dxf>
      <font>
        <b/>
        <color rgb="FF8A5A00"/>
      </font>
      <fill>
        <patternFill>
          <bgColor rgb="FFFBEFC7"/>
        </patternFill>
      </fill>
    </dxf>
    <dxf>
      <font>
        <b/>
        <color rgb="FF1E7F4F"/>
      </font>
      <fill>
        <patternFill>
          <bgColor rgb="FFDDF3E4"/>
        </patternFill>
      </fill>
    </dxf>
    <dxf>
      <font>
        <b/>
        <color rgb="FF8A5A00"/>
      </font>
      <fill>
        <patternFill>
          <bgColor rgb="FFFBEFC7"/>
        </patternFill>
      </fill>
    </dxf>
    <dxf>
      <fill>
        <patternFill>
          <bgColor rgb="FF8E0F1E"/>
        </patternFill>
      </fill>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B6F7D"/>
      </font>
      <fill>
        <patternFill>
          <bgColor rgb="FFEEF6F7"/>
        </patternFill>
      </fill>
      <border>
        <left style="thin">
          <color rgb="FF0F94A7"/>
        </left>
        <right style="thin">
          <color rgb="FF0F94A7"/>
        </right>
        <top style="thin">
          <color rgb="FF0F94A7"/>
        </top>
        <bottom style="thin">
          <color rgb="FF0F94A7"/>
        </bottom>
        <vertical/>
        <horizontal/>
      </border>
    </dxf>
    <dxf>
      <font>
        <b/>
        <color rgb="FFFFFFFF"/>
      </font>
      <fill>
        <patternFill>
          <bgColor rgb="FF0B6F7D"/>
        </patternFill>
      </fill>
      <border>
        <left style="thin">
          <color rgb="FF0B6F7D"/>
        </left>
        <right style="thin">
          <color rgb="FF0B6F7D"/>
        </right>
        <top style="thin">
          <color rgb="FF0B6F7D"/>
        </top>
        <bottom style="thin">
          <color rgb="FF0B6F7D"/>
        </bottom>
        <vertical/>
        <horizontal/>
      </border>
    </dxf>
    <dxf>
      <font>
        <b/>
        <color rgb="FFFFFFFF"/>
      </font>
      <fill>
        <patternFill>
          <bgColor rgb="FF9AA3AD"/>
        </patternFill>
      </fill>
      <border>
        <left style="thin">
          <color rgb="FF9AA3AD"/>
        </left>
        <right style="thin">
          <color rgb="FF9AA3AD"/>
        </right>
        <top style="thin">
          <color rgb="FF9AA3AD"/>
        </top>
        <bottom style="thin">
          <color rgb="FF9AA3AD"/>
        </bottom>
        <vertical/>
        <horizontal/>
      </border>
    </dxf>
    <dxf>
      <font>
        <b/>
        <color rgb="FF9AA3AD"/>
      </font>
      <fill>
        <patternFill>
          <bgColor rgb="FFF3F4F6"/>
        </patternFill>
      </fill>
      <border>
        <left style="thin">
          <color rgb="FF9AA3AD"/>
        </left>
        <right style="thin">
          <color rgb="FF9AA3AD"/>
        </right>
        <top style="thin">
          <color rgb="FF9AA3AD"/>
        </top>
        <bottom style="thin">
          <color rgb="FF9AA3AD"/>
        </bottom>
        <vertical/>
        <horizontal/>
      </border>
    </dxf>
    <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BF1528"/>
        </patternFill>
      </fill>
      <border>
        <left style="thin">
          <color rgb="FFBF1528"/>
        </left>
        <right style="thin">
          <color rgb="FFBF1528"/>
        </right>
        <top style="thin">
          <color rgb="FFBF1528"/>
        </top>
        <bottom style="thin">
          <color rgb="FFBF1528"/>
        </bottom>
        <vertical/>
        <horizontal/>
      </border>
    </dxf>
    <dxf>
      <font>
        <b/>
        <color rgb="FFBF1528"/>
      </font>
      <fill>
        <patternFill>
          <bgColor rgb="FFF3F4F6"/>
        </patternFill>
      </fill>
      <border>
        <left style="thin">
          <color rgb="FFBF1528"/>
        </left>
        <right style="thin">
          <color rgb="FFBF1528"/>
        </right>
        <top style="thin">
          <color rgb="FFBF1528"/>
        </top>
        <bottom style="thin">
          <color rgb="FFBF1528"/>
        </bottom>
        <vertical/>
        <horizontal/>
      </border>
    </dxf>
    <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3B4F8A"/>
        </patternFill>
      </fill>
      <border>
        <left style="thin">
          <color rgb="FF3B4F8A"/>
        </left>
        <right style="thin">
          <color rgb="FF3B4F8A"/>
        </right>
        <top style="thin">
          <color rgb="FF3B4F8A"/>
        </top>
        <bottom style="thin">
          <color rgb="FF3B4F8A"/>
        </bottom>
        <vertical/>
        <horizontal/>
      </border>
    </dxf>
    <dxf>
      <font>
        <b/>
        <color rgb="FF3B4F8A"/>
      </font>
      <fill>
        <patternFill>
          <bgColor rgb="FFF3F4F6"/>
        </patternFill>
      </fill>
      <border>
        <left style="thin">
          <color rgb="FF3B4F8A"/>
        </left>
        <right style="thin">
          <color rgb="FF3B4F8A"/>
        </right>
        <top style="thin">
          <color rgb="FF3B4F8A"/>
        </top>
        <bottom style="thin">
          <color rgb="FF3B4F8A"/>
        </bottom>
        <vertical/>
        <horizontal/>
      </border>
    </dxf>
    <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dxf>
    <dxf>
      <font>
        <b/>
        <color rgb="FFFFFFFF"/>
      </font>
      <fill>
        <patternFill>
          <bgColor rgb="FF0F94A7"/>
        </patternFill>
      </fill>
      <border>
        <left style="thin">
          <color rgb="FF0F94A7"/>
        </left>
        <right style="thin">
          <color rgb="FF0F94A7"/>
        </right>
        <top style="thin">
          <color rgb="FF0F94A7"/>
        </top>
        <bottom style="thin">
          <color rgb="FF0F94A7"/>
        </bottom>
        <vertical/>
        <horizontal/>
      </border>
    </dxf>
    <dxf>
      <font>
        <b/>
        <color rgb="FF0F94A7"/>
      </font>
      <fill>
        <patternFill>
          <bgColor rgb="FFF3F4F6"/>
        </patternFill>
      </fill>
      <border>
        <left style="thin">
          <color rgb="FF0F94A7"/>
        </left>
        <right style="thin">
          <color rgb="FF0F94A7"/>
        </right>
        <top style="thin">
          <color rgb="FF0F94A7"/>
        </top>
        <bottom style="thin">
          <color rgb="FF0F94A7"/>
        </bottom>
        <vertical/>
        <horizontal/>
      </border>
    </dxf>
    <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999999999999999E-2"/>
          <c:y val="0.1"/>
          <c:w val="0.97"/>
          <c:h val="0.76"/>
        </c:manualLayout>
      </c:layout>
      <c:barChart>
        <c:barDir val="col"/>
        <c:grouping val="stacked"/>
        <c:varyColors val="0"/>
        <c:ser>
          <c:idx val="0"/>
          <c:order val="0"/>
          <c:tx>
            <c:v>Komposit</c:v>
          </c:tx>
          <c:spPr>
            <a:solidFill>
              <a:srgbClr val="0F94A7"/>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Diagrammdaten!$C$4:$C$10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DB9E-4571-9CBD-BC0AE1EA5E73}"/>
            </c:ext>
          </c:extLst>
        </c:ser>
        <c:ser>
          <c:idx val="1"/>
          <c:order val="1"/>
          <c:tx>
            <c:v>Leben</c:v>
          </c:tx>
          <c:spPr>
            <a:solidFill>
              <a:srgbClr val="3B4F8A"/>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Diagrammdaten!$D$4:$D$10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DB9E-4571-9CBD-BC0AE1EA5E73}"/>
            </c:ext>
          </c:extLst>
        </c:ser>
        <c:ser>
          <c:idx val="2"/>
          <c:order val="2"/>
          <c:tx>
            <c:v>KV</c:v>
          </c:tx>
          <c:spPr>
            <a:solidFill>
              <a:srgbClr val="BF1528"/>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Diagrammdaten!$E$4:$E$10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DB9E-4571-9CBD-BC0AE1EA5E73}"/>
            </c:ext>
          </c:extLst>
        </c:ser>
        <c:dLbls>
          <c:showLegendKey val="0"/>
          <c:showVal val="0"/>
          <c:showCatName val="0"/>
          <c:showSerName val="0"/>
          <c:showPercent val="0"/>
          <c:showBubbleSize val="0"/>
        </c:dLbls>
        <c:gapWidth val="100"/>
        <c:overlap val="100"/>
        <c:axId val="50010001"/>
        <c:axId val="50010002"/>
      </c:barChart>
      <c:lineChart>
        <c:grouping val="standard"/>
        <c:varyColors val="0"/>
        <c:ser>
          <c:idx val="3"/>
          <c:order val="3"/>
          <c:tx>
            <c:v>Gesamt</c:v>
          </c:tx>
          <c:spPr>
            <a:ln>
              <a:noFill/>
            </a:ln>
          </c:spPr>
          <c:marker>
            <c:symbol val="none"/>
          </c:marker>
          <c:dLbls>
            <c:numFmt formatCode="#,##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Diagrammdaten!$F$4:$F$10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3-DB9E-4571-9CBD-BC0AE1EA5E73}"/>
            </c:ext>
          </c:extLst>
        </c:ser>
        <c:ser>
          <c:idx val="4"/>
          <c:order val="4"/>
          <c:tx>
            <c:v>Delta weniger</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{19AD140F-EAD2-46D8-ACA3-DAF2B940A486}</c15:txfldGUID>
                      <c15:f>Diagrammdaten!$U$4</c15:f>
                      <c15:dlblFieldTableCache>
                        <c:ptCount val="1"/>
                      </c15:dlblFieldTableCache>
                    </c15:dlblFTEntry>
                  </c15:dlblFieldTable>
                  <c15:showDataLabelsRange val="0"/>
                </c:ext>
                <c:ext xmlns:c16="http://schemas.microsoft.com/office/drawing/2014/chart" uri="{C3380CC4-5D6E-409C-BE32-E72D297353CC}">
                  <c16:uniqueId val="{00000004-DB9E-4571-9CBD-BC0AE1EA5E73}"/>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{D6C058BB-7530-4346-9C8D-DAC0A81C6851}</c15:txfldGUID>
                      <c15:f>Diagrammdaten!$U$5</c15:f>
                      <c15:dlblFieldTableCache>
                        <c:ptCount val="1"/>
                      </c15:dlblFieldTableCache>
                    </c15:dlblFTEntry>
                  </c15:dlblFieldTable>
                  <c15:showDataLabelsRange val="0"/>
                </c:ext>
                <c:ext xmlns:c16="http://schemas.microsoft.com/office/drawing/2014/chart" uri="{C3380CC4-5D6E-409C-BE32-E72D297353CC}">
                  <c16:uniqueId val="{00000005-DB9E-4571-9CBD-BC0AE1EA5E73}"/>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{0AA03A3E-CC47-49BD-AAA7-06F6E1C92517}</c15:txfldGUID>
                      <c15:f>Diagrammdaten!$U$6</c15:f>
                      <c15:dlblFieldTableCache>
                        <c:ptCount val="1"/>
                      </c15:dlblFieldTableCache>
                    </c15:dlblFTEntry>
                  </c15:dlblFieldTable>
                  <c15:showDataLabelsRange val="0"/>
                </c:ext>
                <c:ext xmlns:c16="http://schemas.microsoft.com/office/drawing/2014/chart" uri="{C3380CC4-5D6E-409C-BE32-E72D297353CC}">
                  <c16:uniqueId val="{00000006-DB9E-4571-9CBD-BC0AE1EA5E73}"/>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{8A19CC0A-3282-4071-8AF1-A07C061CD8E9}</c15:txfldGUID>
                      <c15:f>Diagrammdaten!$U$7</c15:f>
                      <c15:dlblFieldTableCache>
                        <c:ptCount val="1"/>
                      </c15:dlblFieldTableCache>
                    </c15:dlblFTEntry>
                  </c15:dlblFieldTable>
                  <c15:showDataLabelsRange val="0"/>
                </c:ext>
                <c:ext xmlns:c16="http://schemas.microsoft.com/office/drawing/2014/chart" uri="{C3380CC4-5D6E-409C-BE32-E72D297353CC}">
                  <c16:uniqueId val="{00000007-DB9E-4571-9CBD-BC0AE1EA5E73}"/>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{DCC5F1CA-17DC-4277-9985-2700498775AD}</c15:txfldGUID>
                      <c15:f>Diagrammdaten!$U$8</c15:f>
                      <c15:dlblFieldTableCache>
                        <c:ptCount val="1"/>
                      </c15:dlblFieldTableCache>
                    </c15:dlblFTEntry>
                  </c15:dlblFieldTable>
                  <c15:showDataLabelsRange val="0"/>
                </c:ext>
                <c:ext xmlns:c16="http://schemas.microsoft.com/office/drawing/2014/chart" uri="{C3380CC4-5D6E-409C-BE32-E72D297353CC}">
                  <c16:uniqueId val="{00000008-DB9E-4571-9CBD-BC0AE1EA5E73}"/>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{0744264E-1923-4DC9-9159-E241DBFC4CA2}</c15:txfldGUID>
                      <c15:f>Diagrammdaten!$U$9</c15:f>
                      <c15:dlblFieldTableCache>
                        <c:ptCount val="1"/>
                      </c15:dlblFieldTableCache>
                    </c15:dlblFTEntry>
                  </c15:dlblFieldTable>
                  <c15:showDataLabelsRange val="0"/>
                </c:ext>
                <c:ext xmlns:c16="http://schemas.microsoft.com/office/drawing/2014/chart" uri="{C3380CC4-5D6E-409C-BE32-E72D297353CC}">
                  <c16:uniqueId val="{00000009-DB9E-4571-9CBD-BC0AE1EA5E73}"/>
                </c:ext>
              </c:extLst>
            </c:dLbl>
            <c:dLbl>
              <c:idx val="6"/>
              <c:tx>
                <c:strRef>
                  <c:f>Diagrammdaten!$U$10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{EA7A1854-5F3D-4851-B966-A0E7D993F3AF}</c15:txfldGUID>
                      <c15:f>Diagrammdaten!$U$10</c15:f>
                      <c15:dlblFieldTableCache>
                        <c:ptCount val="1"/>
                      </c15:dlblFieldTableCache>
                    </c15:dlblFTEntry>
                  </c15:dlblFieldTable>
                  <c15:showDataLabelsRange val="0"/>
                </c:ext>
                <c:ext xmlns:c16="http://schemas.microsoft.com/office/drawing/2014/chart" uri="{C3380CC4-5D6E-409C-BE32-E72D297353CC}">
                  <c16:uniqueId val="{0000000A-DB9E-4571-9CBD-BC0AE1EA5E73}"/>
                </c:ext>
              </c:extLst>
            </c:dLbl>
            <c:spPr>
              <a:solidFill>
                <a:srgbClr val="DDF3E4"/>
              </a:solidFill>
              <a:ln>
                <a:noFill/>
              </a:ln>
            </c:spPr>
            <c:txPr>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Diagrammdaten!$Q$4:$Q$10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B-DB9E-4571-9CBD-BC0AE1EA5E73}"/>
            </c:ext>
          </c:extLst>
        </c:ser>
        <c:ser>
          <c:idx val="5"/>
          <c:order val="5"/>
          <c:tx>
            <c:v>Delta mehr</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{606CB79A-9EE8-4B8C-80CC-AC274384E25C}</c15:txfldGUID>
                      <c15:f>Diagrammdaten!$U$4</c15:f>
                      <c15:dlblFieldTableCache>
                        <c:ptCount val="1"/>
                      </c15:dlblFieldTableCache>
                    </c15:dlblFTEntry>
                  </c15:dlblFieldTable>
                  <c15:showDataLabelsRange val="0"/>
                </c:ext>
                <c:ext xmlns:c16="http://schemas.microsoft.com/office/drawing/2014/chart" uri="{C3380CC4-5D6E-409C-BE32-E72D297353CC}">
                  <c16:uniqueId val="{0000000C-DB9E-4571-9CBD-BC0AE1EA5E73}"/>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{8704C9EF-241C-4698-A377-C990C120E19C}</c15:txfldGUID>
                      <c15:f>Diagrammdaten!$U$5</c15:f>
                      <c15:dlblFieldTableCache>
                        <c:ptCount val="1"/>
                      </c15:dlblFieldTableCache>
                    </c15:dlblFTEntry>
                  </c15:dlblFieldTable>
                  <c15:showDataLabelsRange val="0"/>
                </c:ext>
                <c:ext xmlns:c16="http://schemas.microsoft.com/office/drawing/2014/chart" uri="{C3380CC4-5D6E-409C-BE32-E72D297353CC}">
                  <c16:uniqueId val="{0000000D-DB9E-4571-9CBD-BC0AE1EA5E73}"/>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{74B0AFC7-4E3D-46F1-91E3-392BC69FC087}</c15:txfldGUID>
                      <c15:f>Diagrammdaten!$U$6</c15:f>
                      <c15:dlblFieldTableCache>
                        <c:ptCount val="1"/>
                      </c15:dlblFieldTableCache>
                    </c15:dlblFTEntry>
                  </c15:dlblFieldTable>
                  <c15:showDataLabelsRange val="0"/>
                </c:ext>
                <c:ext xmlns:c16="http://schemas.microsoft.com/office/drawing/2014/chart" uri="{C3380CC4-5D6E-409C-BE32-E72D297353CC}">
                  <c16:uniqueId val="{0000000E-DB9E-4571-9CBD-BC0AE1EA5E73}"/>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{982E0362-DAED-4C43-A643-77ECCF477680}</c15:txfldGUID>
                      <c15:f>Diagrammdaten!$U$7</c15:f>
                      <c15:dlblFieldTableCache>
                        <c:ptCount val="1"/>
                      </c15:dlblFieldTableCache>
                    </c15:dlblFTEntry>
                  </c15:dlblFieldTable>
                  <c15:showDataLabelsRange val="0"/>
                </c:ext>
                <c:ext xmlns:c16="http://schemas.microsoft.com/office/drawing/2014/chart" uri="{C3380CC4-5D6E-409C-BE32-E72D297353CC}">
                  <c16:uniqueId val="{0000000F-DB9E-4571-9CBD-BC0AE1EA5E73}"/>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{55FFDD10-1E65-4AB3-9A65-BBFF62304998}</c15:txfldGUID>
                      <c15:f>Diagrammdaten!$U$8</c15:f>
                      <c15:dlblFieldTableCache>
                        <c:ptCount val="1"/>
                      </c15:dlblFieldTableCache>
                    </c15:dlblFTEntry>
                  </c15:dlblFieldTable>
                  <c15:showDataLabelsRange val="0"/>
                </c:ext>
                <c:ext xmlns:c16="http://schemas.microsoft.com/office/drawing/2014/chart" uri="{C3380CC4-5D6E-409C-BE32-E72D297353CC}">
                  <c16:uniqueId val="{00000010-DB9E-4571-9CBD-BC0AE1EA5E73}"/>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{5D2FB637-85B0-45C1-AF33-0B1F1E032EAA}</c15:txfldGUID>
                      <c15:f>Diagrammdaten!$U$9</c15:f>
                      <c15:dlblFieldTableCache>
                        <c:ptCount val="1"/>
                      </c15:dlblFieldTableCache>
                    </c15:dlblFTEntry>
                  </c15:dlblFieldTable>
                  <c15:showDataLabelsRange val="0"/>
                </c:ext>
                <c:ext xmlns:c16="http://schemas.microsoft.com/office/drawing/2014/chart" uri="{C3380CC4-5D6E-409C-BE32-E72D297353CC}">
                  <c16:uniqueId val="{00000011-DB9E-4571-9CBD-BC0AE1EA5E73}"/>
                </c:ext>
              </c:extLst>
            </c:dLbl>
            <c:dLbl>
              <c:idx val="6"/>
              <c:tx>
                <c:strRef>
                  <c:f>Diagrammdaten!$U$10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{25A20B56-0072-4F89-ADD5-4BE311CF07F2}</c15:txfldGUID>
                      <c15:f>Diagrammdaten!$U$10</c15:f>
                      <c15:dlblFieldTableCache>
                        <c:ptCount val="1"/>
                      </c15:dlblFieldTableCache>
                    </c15:dlblFTEntry>
                  </c15:dlblFieldTable>
                  <c15:showDataLabelsRange val="0"/>
                </c:ext>
                <c:ext xmlns:c16="http://schemas.microsoft.com/office/drawing/2014/chart" uri="{C3380CC4-5D6E-409C-BE32-E72D297353CC}">
                  <c16:uniqueId val="{00000012-DB9E-4571-9CBD-BC0AE1EA5E73}"/>
                </c:ext>
              </c:extLst>
            </c:dLbl>
            <c:spPr>
              <a:solidFill>
                <a:srgbClr val="FBEFC7"/>
              </a:solidFill>
              <a:ln>
                <a:noFill/>
              </a:ln>
            </c:spPr>
            <c:txPr>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Diagrammdaten!$R$4:$R$10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3-DB9E-4571-9CBD-BC0AE1EA5E73}"/>
            </c:ext>
          </c:extLst>
        </c:ser>
        <c:ser>
          <c:idx val="6"/>
          <c:order val="6"/>
          <c:tx>
            <c:v>Delta gleich</c:v>
          </c:tx>
          <c:spPr>
            <a:ln>
              <a:noFill/>
            </a:ln>
          </c:spPr>
          <c:marker>
            <c:symbol val="none"/>
          </c:marker>
          <c:dLbls>
            <c:dLbl>
              <c:idx val="0"/>
              <c:tx>
                <c:strRef>
                  <c:f>Diagrammdaten!$U$4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{DE19C332-D7E9-4BE3-8C66-8135D1B22A24}</c15:txfldGUID>
                      <c15:f>Diagrammdaten!$U$4</c15:f>
                      <c15:dlblFieldTableCache>
                        <c:ptCount val="1"/>
                      </c15:dlblFieldTableCache>
                    </c15:dlblFTEntry>
                  </c15:dlblFieldTable>
                  <c15:showDataLabelsRange val="0"/>
                </c:ext>
                <c:ext xmlns:c16="http://schemas.microsoft.com/office/drawing/2014/chart" uri="{C3380CC4-5D6E-409C-BE32-E72D297353CC}">
                  <c16:uniqueId val="{00000014-DB9E-4571-9CBD-BC0AE1EA5E73}"/>
                </c:ext>
              </c:extLst>
            </c:dLbl>
            <c:dLbl>
              <c:idx val="1"/>
              <c:tx>
                <c:strRef>
                  <c:f>Diagrammdaten!$U$5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{921BA953-D9D1-4E9A-B995-69067752177B}</c15:txfldGUID>
                      <c15:f>Diagrammdaten!$U$5</c15:f>
                      <c15:dlblFieldTableCache>
                        <c:ptCount val="1"/>
                      </c15:dlblFieldTableCache>
                    </c15:dlblFTEntry>
                  </c15:dlblFieldTable>
                  <c15:showDataLabelsRange val="0"/>
                </c:ext>
                <c:ext xmlns:c16="http://schemas.microsoft.com/office/drawing/2014/chart" uri="{C3380CC4-5D6E-409C-BE32-E72D297353CC}">
                  <c16:uniqueId val="{00000015-DB9E-4571-9CBD-BC0AE1EA5E73}"/>
                </c:ext>
              </c:extLst>
            </c:dLbl>
            <c:dLbl>
              <c:idx val="2"/>
              <c:tx>
                <c:strRef>
                  <c:f>Diagrammdaten!$U$6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{3BCF9181-3747-4248-B0FA-6C0092F59091}</c15:txfldGUID>
                      <c15:f>Diagrammdaten!$U$6</c15:f>
                      <c15:dlblFieldTableCache>
                        <c:ptCount val="1"/>
                      </c15:dlblFieldTableCache>
                    </c15:dlblFTEntry>
                  </c15:dlblFieldTable>
                  <c15:showDataLabelsRange val="0"/>
                </c:ext>
                <c:ext xmlns:c16="http://schemas.microsoft.com/office/drawing/2014/chart" uri="{C3380CC4-5D6E-409C-BE32-E72D297353CC}">
                  <c16:uniqueId val="{00000016-DB9E-4571-9CBD-BC0AE1EA5E73}"/>
                </c:ext>
              </c:extLst>
            </c:dLbl>
            <c:dLbl>
              <c:idx val="3"/>
              <c:tx>
                <c:strRef>
                  <c:f>Diagrammdaten!$U$7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{C32618DC-1FEB-4373-A50F-ABE46CE5A612}</c15:txfldGUID>
                      <c15:f>Diagrammdaten!$U$7</c15:f>
                      <c15:dlblFieldTableCache>
                        <c:ptCount val="1"/>
                      </c15:dlblFieldTableCache>
                    </c15:dlblFTEntry>
                  </c15:dlblFieldTable>
                  <c15:showDataLabelsRange val="0"/>
                </c:ext>
                <c:ext xmlns:c16="http://schemas.microsoft.com/office/drawing/2014/chart" uri="{C3380CC4-5D6E-409C-BE32-E72D297353CC}">
                  <c16:uniqueId val="{00000017-DB9E-4571-9CBD-BC0AE1EA5E73}"/>
                </c:ext>
              </c:extLst>
            </c:dLbl>
            <c:dLbl>
              <c:idx val="4"/>
              <c:tx>
                <c:strRef>
                  <c:f>Diagrammdaten!$U$8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{7D5DFE32-7163-4435-8066-3D68A0A6FBF7}</c15:txfldGUID>
                      <c15:f>Diagrammdaten!$U$8</c15:f>
                      <c15:dlblFieldTableCache>
                        <c:ptCount val="1"/>
                      </c15:dlblFieldTableCache>
                    </c15:dlblFTEntry>
                  </c15:dlblFieldTable>
                  <c15:showDataLabelsRange val="0"/>
                </c:ext>
                <c:ext xmlns:c16="http://schemas.microsoft.com/office/drawing/2014/chart" uri="{C3380CC4-5D6E-409C-BE32-E72D297353CC}">
                  <c16:uniqueId val="{00000018-DB9E-4571-9CBD-BC0AE1EA5E73}"/>
                </c:ext>
              </c:extLst>
            </c:dLbl>
            <c:dLbl>
              <c:idx val="5"/>
              <c:tx>
                <c:strRef>
                  <c:f>Diagrammdaten!$U$9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{DC49EA5A-F49E-450C-80EC-16A875110F20}</c15:txfldGUID>
                      <c15:f>Diagrammdaten!$U$9</c15:f>
                      <c15:dlblFieldTableCache>
                        <c:ptCount val="1"/>
                      </c15:dlblFieldTableCache>
                    </c15:dlblFTEntry>
                  </c15:dlblFieldTable>
                  <c15:showDataLabelsRange val="0"/>
                </c:ext>
                <c:ext xmlns:c16="http://schemas.microsoft.com/office/drawing/2014/chart" uri="{C3380CC4-5D6E-409C-BE32-E72D297353CC}">
                  <c16:uniqueId val="{00000019-DB9E-4571-9CBD-BC0AE1EA5E73}"/>
                </c:ext>
              </c:extLst>
            </c:dLbl>
            <c:dLbl>
              <c:idx val="6"/>
              <c:tx>
                <c:strRef>
                  <c:f>Diagrammdaten!$U$10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{48140282-8C63-4F5D-ABE1-65063A053E7E}</c15:txfldGUID>
                      <c15:f>Diagrammdaten!$U$10</c15:f>
                      <c15:dlblFieldTableCache>
                        <c:ptCount val="1"/>
                      </c15:dlblFieldTableCache>
                    </c15:dlblFTEntry>
                  </c15:dlblFieldTable>
                  <c15:showDataLabelsRange val="0"/>
                </c:ext>
                <c:ext xmlns:c16="http://schemas.microsoft.com/office/drawing/2014/chart" uri="{C3380CC4-5D6E-409C-BE32-E72D297353CC}">
                  <c16:uniqueId val="{0000001A-DB9E-4571-9CBD-BC0AE1EA5E73}"/>
                </c:ext>
              </c:extLst>
            </c:dLbl>
            <c:spPr>
              <a:solidFill>
                <a:srgbClr val="F3F4F6"/>
              </a:solidFill>
              <a:ln>
                <a:noFill/>
              </a:ln>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Diagrammdaten!$S$4:$S$10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B-DB9E-4571-9CBD-BC0AE1EA5E73}"/>
            </c:ext>
          </c:extLst>
        </c:ser>
        <c:ser>
          <c:idx val="7"/>
          <c:order val="7"/>
          <c:tx>
            <c:v>Achsenluft</c:v>
          </c:tx>
          <c:spPr>
            <a:ln>
              <a:noFill/>
            </a:ln>
          </c:spPr>
          <c:marker>
            <c:symbol val="none"/>
          </c:marker>
          <c:cat>
            <c:numRef>
              <c:f>Diagrammdaten!$A$4:$A$10</c:f>
            </c:numRef>
          </c:cat>
          <c:val>
            <c:numRef>
              <c:f>Diagrammdaten!$T$4:$T$10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C-DB9E-4571-9CBD-BC0AE1EA5E73}"/>
            </c:ext>
          </c:extLst>
        </c:ser>
        <c:dLbls>
          <c:showLegendKey val="0"/>
          <c:showVal val="0"/>
          <c:showCatName val="0"/>
          <c:showSerName val="0"/>
          <c:showPercent val="0"/>
          <c:showBubbleSize val="0"/>
        </c:dLbls>
        <c:marker val="1"/>
        <c:smooth val="0"/>
        <c:axId val="50010001"/>
        <c:axId val="50010002"/>
      </c:lineChart>
      <c:catAx>
        <c:axId val="5001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10002"/>
        <c:crosses val="autoZero"/>
        <c:auto val="1"/>
        <c:lblAlgn val="ctr"/>
        <c:lblOffset val="100"/>
        <c:noMultiLvlLbl val="0"/>
      </c:catAx>
      <c:valAx>
        <c:axId val="50010002"/>
        <c:scaling>
          <c:orientation val="minMax"/>
        </c:scaling>
        <c:delete val="1"/>
        <c:axPos val="l"/>
        <c:numFmt formatCode="#,##0" sourceLinked="1"/>
        <c:majorTickMark val="out"/>
        <c:minorTickMark val="none"/>
        <c:tickLblPos val="nextTo"/>
        <c:crossAx val="5001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4999999999999999E-2"/>
          <c:y val="0.1"/>
          <c:w val="0.97"/>
          <c:h val="0.76"/>
        </c:manualLayout>
      </c:layout>
      <c:barChart>
        <c:barDir val="col"/>
        <c:grouping val="stacked"/>
        <c:varyColors val="0"/>
        <c:ser>
          <c:idx val="0"/>
          <c:order val="0"/>
          <c:tx>
            <c:v>Komposit</c:v>
          </c:tx>
          <c:spPr>
            <a:solidFill>
              <a:srgbClr val="0F94A7"/>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Diagrammdaten!$G$4:$G$10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4CDA-4BBF-B4D7-006F0DCBFD45}"/>
            </c:ext>
          </c:extLst>
        </c:ser>
        <c:ser>
          <c:idx val="1"/>
          <c:order val="1"/>
          <c:tx>
            <c:v>Leben</c:v>
          </c:tx>
          <c:spPr>
            <a:solidFill>
              <a:srgbClr val="3B4F8A"/>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Diagrammdaten!$H$4:$H$10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4CDA-4BBF-B4D7-006F0DCBFD45}"/>
            </c:ext>
          </c:extLst>
        </c:ser>
        <c:ser>
          <c:idx val="2"/>
          <c:order val="2"/>
          <c:tx>
            <c:v>KV</c:v>
          </c:tx>
          <c:spPr>
            <a:solidFill>
              <a:srgbClr val="BF1528"/>
            </a:solidFill>
            <a:ln w="9525">
              <a:solidFill>
                <a:srgbClr val="FFFFFF"/>
              </a:solid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Diagrammdaten!$I$4:$I$10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4CDA-4BBF-B4D7-006F0DCBFD45}"/>
            </c:ext>
          </c:extLst>
        </c:ser>
        <c:dLbls>
          <c:showLegendKey val="0"/>
          <c:showVal val="0"/>
          <c:showCatName val="0"/>
          <c:showSerName val="0"/>
          <c:showPercent val="0"/>
          <c:showBubbleSize val="0"/>
        </c:dLbls>
        <c:gapWidth val="100"/>
        <c:overlap val="100"/>
        <c:axId val="50020001"/>
        <c:axId val="50020002"/>
      </c:barChart>
      <c:lineChart>
        <c:grouping val="standard"/>
        <c:varyColors val="0"/>
        <c:ser>
          <c:idx val="3"/>
          <c:order val="3"/>
          <c:tx>
            <c:v>Gesamt</c:v>
          </c:tx>
          <c:spPr>
            <a:ln>
              <a:noFill/>
            </a:ln>
          </c:spPr>
          <c:marker>
            <c:symbol val="none"/>
          </c:marker>
          <c:dLbls>
            <c:numFmt formatCode="#,##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Diagrammdaten!$J$4:$J$10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3-4CDA-4BBF-B4D7-006F0DCBFD45}"/>
            </c:ext>
          </c:extLst>
        </c:ser>
        <c:ser>
          <c:idx val="4"/>
          <c:order val="4"/>
          <c:tx>
            <c:v>Delta weniger</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{EE492E3D-D3B8-4A85-826D-05FE203A8C26}</c15:txfldGUID>
                      <c15:f>Diagrammdaten!$Z$4</c15:f>
                      <c15:dlblFieldTableCache>
                        <c:ptCount val="1"/>
                      </c15:dlblFieldTableCache>
                    </c15:dlblFTEntry>
                  </c15:dlblFieldTable>
                  <c15:showDataLabelsRange val="0"/>
                </c:ext>
                <c:ext xmlns:c16="http://schemas.microsoft.com/office/drawing/2014/chart" uri="{C3380CC4-5D6E-409C-BE32-E72D297353CC}">
                  <c16:uniqueId val="{00000004-4CDA-4BBF-B4D7-006F0DCBFD45}"/>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{93DDFCF1-1DC1-499B-8691-AD21E3480C30}</c15:txfldGUID>
                      <c15:f>Diagrammdaten!$Z$5</c15:f>
                      <c15:dlblFieldTableCache>
                        <c:ptCount val="1"/>
                      </c15:dlblFieldTableCache>
                    </c15:dlblFTEntry>
                  </c15:dlblFieldTable>
                  <c15:showDataLabelsRange val="0"/>
                </c:ext>
                <c:ext xmlns:c16="http://schemas.microsoft.com/office/drawing/2014/chart" uri="{C3380CC4-5D6E-409C-BE32-E72D297353CC}">
                  <c16:uniqueId val="{00000005-4CDA-4BBF-B4D7-006F0DCBFD45}"/>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{0E63DE1B-8506-451B-9A67-CFAEE89D431D}</c15:txfldGUID>
                      <c15:f>Diagrammdaten!$Z$6</c15:f>
                      <c15:dlblFieldTableCache>
                        <c:ptCount val="1"/>
                      </c15:dlblFieldTableCache>
                    </c15:dlblFTEntry>
                  </c15:dlblFieldTable>
                  <c15:showDataLabelsRange val="0"/>
                </c:ext>
                <c:ext xmlns:c16="http://schemas.microsoft.com/office/drawing/2014/chart" uri="{C3380CC4-5D6E-409C-BE32-E72D297353CC}">
                  <c16:uniqueId val="{00000006-4CDA-4BBF-B4D7-006F0DCBFD45}"/>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{0E993198-E243-467F-9A6D-F7898D5F7739}</c15:txfldGUID>
                      <c15:f>Diagrammdaten!$Z$7</c15:f>
                      <c15:dlblFieldTableCache>
                        <c:ptCount val="1"/>
                      </c15:dlblFieldTableCache>
                    </c15:dlblFTEntry>
                  </c15:dlblFieldTable>
                  <c15:showDataLabelsRange val="0"/>
                </c:ext>
                <c:ext xmlns:c16="http://schemas.microsoft.com/office/drawing/2014/chart" uri="{C3380CC4-5D6E-409C-BE32-E72D297353CC}">
                  <c16:uniqueId val="{00000007-4CDA-4BBF-B4D7-006F0DCBFD45}"/>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{2EC80420-778C-450D-9C98-63F31971882F}</c15:txfldGUID>
                      <c15:f>Diagrammdaten!$Z$8</c15:f>
                      <c15:dlblFieldTableCache>
                        <c:ptCount val="1"/>
                      </c15:dlblFieldTableCache>
                    </c15:dlblFTEntry>
                  </c15:dlblFieldTable>
                  <c15:showDataLabelsRange val="0"/>
                </c:ext>
                <c:ext xmlns:c16="http://schemas.microsoft.com/office/drawing/2014/chart" uri="{C3380CC4-5D6E-409C-BE32-E72D297353CC}">
                  <c16:uniqueId val="{00000008-4CDA-4BBF-B4D7-006F0DCBFD45}"/>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{71EF69C2-F33F-4B10-B094-87511C2F295B}</c15:txfldGUID>
                      <c15:f>Diagrammdaten!$Z$9</c15:f>
                      <c15:dlblFieldTableCache>
                        <c:ptCount val="1"/>
                      </c15:dlblFieldTableCache>
                    </c15:dlblFTEntry>
                  </c15:dlblFieldTable>
                  <c15:showDataLabelsRange val="0"/>
                </c:ext>
                <c:ext xmlns:c16="http://schemas.microsoft.com/office/drawing/2014/chart" uri="{C3380CC4-5D6E-409C-BE32-E72D297353CC}">
                  <c16:uniqueId val="{00000009-4CDA-4BBF-B4D7-006F0DCBFD45}"/>
                </c:ext>
              </c:extLst>
            </c:dLbl>
            <c:dLbl>
              <c:idx val="6"/>
              <c:tx>
                <c:strRef>
                  <c:f>Diagrammdaten!$Z$10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{80141A1A-8BB8-4562-9BDB-2642B9BE85DE}</c15:txfldGUID>
                      <c15:f>Diagrammdaten!$Z$10</c15:f>
                      <c15:dlblFieldTableCache>
                        <c:ptCount val="1"/>
                      </c15:dlblFieldTableCache>
                    </c15:dlblFTEntry>
                  </c15:dlblFieldTable>
                  <c15:showDataLabelsRange val="0"/>
                </c:ext>
                <c:ext xmlns:c16="http://schemas.microsoft.com/office/drawing/2014/chart" uri="{C3380CC4-5D6E-409C-BE32-E72D297353CC}">
                  <c16:uniqueId val="{0000000A-4CDA-4BBF-B4D7-006F0DCBFD45}"/>
                </c:ext>
              </c:extLst>
            </c:dLbl>
            <c:spPr>
              <a:solidFill>
                <a:srgbClr val="DDF3E4"/>
              </a:solidFill>
              <a:ln>
                <a:noFill/>
              </a:ln>
            </c:spPr>
            <c:txPr>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Diagrammdaten!$V$4:$V$10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B-4CDA-4BBF-B4D7-006F0DCBFD45}"/>
            </c:ext>
          </c:extLst>
        </c:ser>
        <c:ser>
          <c:idx val="5"/>
          <c:order val="5"/>
          <c:tx>
            <c:v>Delta mehr</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{187470DC-92CE-4C0C-9C20-8125157B1144}</c15:txfldGUID>
                      <c15:f>Diagrammdaten!$Z$4</c15:f>
                      <c15:dlblFieldTableCache>
                        <c:ptCount val="1"/>
                      </c15:dlblFieldTableCache>
                    </c15:dlblFTEntry>
                  </c15:dlblFieldTable>
                  <c15:showDataLabelsRange val="0"/>
                </c:ext>
                <c:ext xmlns:c16="http://schemas.microsoft.com/office/drawing/2014/chart" uri="{C3380CC4-5D6E-409C-BE32-E72D297353CC}">
                  <c16:uniqueId val="{0000000C-4CDA-4BBF-B4D7-006F0DCBFD45}"/>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{B20A2E80-F0DF-478D-89A5-7E92BC1D06C3}</c15:txfldGUID>
                      <c15:f>Diagrammdaten!$Z$5</c15:f>
                      <c15:dlblFieldTableCache>
                        <c:ptCount val="1"/>
                      </c15:dlblFieldTableCache>
                    </c15:dlblFTEntry>
                  </c15:dlblFieldTable>
                  <c15:showDataLabelsRange val="0"/>
                </c:ext>
                <c:ext xmlns:c16="http://schemas.microsoft.com/office/drawing/2014/chart" uri="{C3380CC4-5D6E-409C-BE32-E72D297353CC}">
                  <c16:uniqueId val="{0000000D-4CDA-4BBF-B4D7-006F0DCBFD45}"/>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{BD98228F-59A9-4C1D-84C0-A39871217C52}</c15:txfldGUID>
                      <c15:f>Diagrammdaten!$Z$6</c15:f>
                      <c15:dlblFieldTableCache>
                        <c:ptCount val="1"/>
                      </c15:dlblFieldTableCache>
                    </c15:dlblFTEntry>
                  </c15:dlblFieldTable>
                  <c15:showDataLabelsRange val="0"/>
                </c:ext>
                <c:ext xmlns:c16="http://schemas.microsoft.com/office/drawing/2014/chart" uri="{C3380CC4-5D6E-409C-BE32-E72D297353CC}">
                  <c16:uniqueId val="{0000000E-4CDA-4BBF-B4D7-006F0DCBFD45}"/>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{542A9B2D-6F9D-4FEB-AA06-64B704316B31}</c15:txfldGUID>
                      <c15:f>Diagrammdaten!$Z$7</c15:f>
                      <c15:dlblFieldTableCache>
                        <c:ptCount val="1"/>
                      </c15:dlblFieldTableCache>
                    </c15:dlblFTEntry>
                  </c15:dlblFieldTable>
                  <c15:showDataLabelsRange val="0"/>
                </c:ext>
                <c:ext xmlns:c16="http://schemas.microsoft.com/office/drawing/2014/chart" uri="{C3380CC4-5D6E-409C-BE32-E72D297353CC}">
                  <c16:uniqueId val="{0000000F-4CDA-4BBF-B4D7-006F0DCBFD45}"/>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{93BCC397-5D62-425B-8951-E3998B16B378}</c15:txfldGUID>
                      <c15:f>Diagrammdaten!$Z$8</c15:f>
                      <c15:dlblFieldTableCache>
                        <c:ptCount val="1"/>
                      </c15:dlblFieldTableCache>
                    </c15:dlblFTEntry>
                  </c15:dlblFieldTable>
                  <c15:showDataLabelsRange val="0"/>
                </c:ext>
                <c:ext xmlns:c16="http://schemas.microsoft.com/office/drawing/2014/chart" uri="{C3380CC4-5D6E-409C-BE32-E72D297353CC}">
                  <c16:uniqueId val="{00000010-4CDA-4BBF-B4D7-006F0DCBFD45}"/>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{6CBC7795-C920-4237-88F0-CABE0F53944D}</c15:txfldGUID>
                      <c15:f>Diagrammdaten!$Z$9</c15:f>
                      <c15:dlblFieldTableCache>
                        <c:ptCount val="1"/>
                      </c15:dlblFieldTableCache>
                    </c15:dlblFTEntry>
                  </c15:dlblFieldTable>
                  <c15:showDataLabelsRange val="0"/>
                </c:ext>
                <c:ext xmlns:c16="http://schemas.microsoft.com/office/drawing/2014/chart" uri="{C3380CC4-5D6E-409C-BE32-E72D297353CC}">
                  <c16:uniqueId val="{00000011-4CDA-4BBF-B4D7-006F0DCBFD45}"/>
                </c:ext>
              </c:extLst>
            </c:dLbl>
            <c:dLbl>
              <c:idx val="6"/>
              <c:tx>
                <c:strRef>
                  <c:f>Diagrammdaten!$Z$10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{D9710A04-F56C-41EF-A5A7-717D24E3EF81}</c15:txfldGUID>
                      <c15:f>Diagrammdaten!$Z$10</c15:f>
                      <c15:dlblFieldTableCache>
                        <c:ptCount val="1"/>
                      </c15:dlblFieldTableCache>
                    </c15:dlblFTEntry>
                  </c15:dlblFieldTable>
                  <c15:showDataLabelsRange val="0"/>
                </c:ext>
                <c:ext xmlns:c16="http://schemas.microsoft.com/office/drawing/2014/chart" uri="{C3380CC4-5D6E-409C-BE32-E72D297353CC}">
                  <c16:uniqueId val="{00000012-4CDA-4BBF-B4D7-006F0DCBFD45}"/>
                </c:ext>
              </c:extLst>
            </c:dLbl>
            <c:spPr>
              <a:solidFill>
                <a:srgbClr val="FBEFC7"/>
              </a:solidFill>
              <a:ln>
                <a:noFill/>
              </a:ln>
            </c:spPr>
            <c:txPr>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Diagrammdaten!$W$4:$W$10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3-4CDA-4BBF-B4D7-006F0DCBFD45}"/>
            </c:ext>
          </c:extLst>
        </c:ser>
        <c:ser>
          <c:idx val="6"/>
          <c:order val="6"/>
          <c:tx>
            <c:v>Delta gleich</c:v>
          </c:tx>
          <c:spPr>
            <a:ln>
              <a:noFill/>
            </a:ln>
          </c:spPr>
          <c:marker>
            <c:symbol val="none"/>
          </c:marker>
          <c:dLbls>
            <c:dLbl>
              <c:idx val="0"/>
              <c:tx>
                <c:strRef>
                  <c:f>Diagrammdaten!$Z$4</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{95A07229-16D4-4D38-A636-552088B9057C}</c15:txfldGUID>
                      <c15:f>Diagrammdaten!$Z$4</c15:f>
                      <c15:dlblFieldTableCache>
                        <c:ptCount val="1"/>
                      </c15:dlblFieldTableCache>
                    </c15:dlblFTEntry>
                  </c15:dlblFieldTable>
                  <c15:showDataLabelsRange val="0"/>
                </c:ext>
                <c:ext xmlns:c16="http://schemas.microsoft.com/office/drawing/2014/chart" uri="{C3380CC4-5D6E-409C-BE32-E72D297353CC}">
                  <c16:uniqueId val="{00000014-4CDA-4BBF-B4D7-006F0DCBFD45}"/>
                </c:ext>
              </c:extLst>
            </c:dLbl>
            <c:dLbl>
              <c:idx val="1"/>
              <c:tx>
                <c:strRef>
                  <c:f>Diagrammdaten!$Z$5</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{DB53B34A-C825-4D86-9971-41E33D75B82C}</c15:txfldGUID>
                      <c15:f>Diagrammdaten!$Z$5</c15:f>
                      <c15:dlblFieldTableCache>
                        <c:ptCount val="1"/>
                      </c15:dlblFieldTableCache>
                    </c15:dlblFTEntry>
                  </c15:dlblFieldTable>
                  <c15:showDataLabelsRange val="0"/>
                </c:ext>
                <c:ext xmlns:c16="http://schemas.microsoft.com/office/drawing/2014/chart" uri="{C3380CC4-5D6E-409C-BE32-E72D297353CC}">
                  <c16:uniqueId val="{00000015-4CDA-4BBF-B4D7-006F0DCBFD45}"/>
                </c:ext>
              </c:extLst>
            </c:dLbl>
            <c:dLbl>
              <c:idx val="2"/>
              <c:tx>
                <c:strRef>
                  <c:f>Diagrammdaten!$Z$6</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{6E38D4EA-F9F9-4F5D-AC5A-696918C7F8F6}</c15:txfldGUID>
                      <c15:f>Diagrammdaten!$Z$6</c15:f>
                      <c15:dlblFieldTableCache>
                        <c:ptCount val="1"/>
                      </c15:dlblFieldTableCache>
                    </c15:dlblFTEntry>
                  </c15:dlblFieldTable>
                  <c15:showDataLabelsRange val="0"/>
                </c:ext>
                <c:ext xmlns:c16="http://schemas.microsoft.com/office/drawing/2014/chart" uri="{C3380CC4-5D6E-409C-BE32-E72D297353CC}">
                  <c16:uniqueId val="{00000016-4CDA-4BBF-B4D7-006F0DCBFD45}"/>
                </c:ext>
              </c:extLst>
            </c:dLbl>
            <c:dLbl>
              <c:idx val="3"/>
              <c:tx>
                <c:strRef>
                  <c:f>Diagrammdaten!$Z$7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{EEBAD73F-6E45-4EF9-BCDC-55693C4439D0}</c15:txfldGUID>
                      <c15:f>Diagrammdaten!$Z$7</c15:f>
                      <c15:dlblFieldTableCache>
                        <c:ptCount val="1"/>
                      </c15:dlblFieldTableCache>
                    </c15:dlblFTEntry>
                  </c15:dlblFieldTable>
                  <c15:showDataLabelsRange val="0"/>
                </c:ext>
                <c:ext xmlns:c16="http://schemas.microsoft.com/office/drawing/2014/chart" uri="{C3380CC4-5D6E-409C-BE32-E72D297353CC}">
                  <c16:uniqueId val="{00000017-4CDA-4BBF-B4D7-006F0DCBFD45}"/>
                </c:ext>
              </c:extLst>
            </c:dLbl>
            <c:dLbl>
              <c:idx val="4"/>
              <c:tx>
                <c:strRef>
                  <c:f>Diagrammdaten!$Z$8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{BB22E119-F3F8-4DAD-9DAB-505E3C54E90C}</c15:txfldGUID>
                      <c15:f>Diagrammdaten!$Z$8</c15:f>
                      <c15:dlblFieldTableCache>
                        <c:ptCount val="1"/>
                      </c15:dlblFieldTableCache>
                    </c15:dlblFTEntry>
                  </c15:dlblFieldTable>
                  <c15:showDataLabelsRange val="0"/>
                </c:ext>
                <c:ext xmlns:c16="http://schemas.microsoft.com/office/drawing/2014/chart" uri="{C3380CC4-5D6E-409C-BE32-E72D297353CC}">
                  <c16:uniqueId val="{00000018-4CDA-4BBF-B4D7-006F0DCBFD45}"/>
                </c:ext>
              </c:extLst>
            </c:dLbl>
            <c:dLbl>
              <c:idx val="5"/>
              <c:tx>
                <c:strRef>
                  <c:f>Diagrammdaten!$Z$9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{3A5B7F91-B6F9-498D-81C0-2069225B724C}</c15:txfldGUID>
                      <c15:f>Diagrammdaten!$Z$9</c15:f>
                      <c15:dlblFieldTableCache>
                        <c:ptCount val="1"/>
                      </c15:dlblFieldTableCache>
                    </c15:dlblFTEntry>
                  </c15:dlblFieldTable>
                  <c15:showDataLabelsRange val="0"/>
                </c:ext>
                <c:ext xmlns:c16="http://schemas.microsoft.com/office/drawing/2014/chart" uri="{C3380CC4-5D6E-409C-BE32-E72D297353CC}">
                  <c16:uniqueId val="{00000019-4CDA-4BBF-B4D7-006F0DCBFD45}"/>
                </c:ext>
              </c:extLst>
            </c:dLbl>
            <c:dLbl>
              <c:idx val="6"/>
              <c:tx>
                <c:strRef>
                  <c:f>Diagrammdaten!$Z$10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{70C227B4-90E2-43CC-BD2C-0C8CD6F89A5F}</c15:txfldGUID>
                      <c15:f>Diagrammdaten!$Z$10</c15:f>
                      <c15:dlblFieldTableCache>
                        <c:ptCount val="1"/>
                      </c15:dlblFieldTableCache>
                    </c15:dlblFTEntry>
                  </c15:dlblFieldTable>
                  <c15:showDataLabelsRange val="0"/>
                </c:ext>
                <c:ext xmlns:c16="http://schemas.microsoft.com/office/drawing/2014/chart" uri="{C3380CC4-5D6E-409C-BE32-E72D297353CC}">
                  <c16:uniqueId val="{0000001A-4CDA-4BBF-B4D7-006F0DCBFD45}"/>
                </c:ext>
              </c:extLst>
            </c:dLbl>
            <c:spPr>
              <a:solidFill>
                <a:srgbClr val="F3F4F6"/>
              </a:solidFill>
              <a:ln>
                <a:noFill/>
              </a:ln>
            </c:spPr>
            <c:txPr>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Diagrammdaten!$X$4:$X$10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B-4CDA-4BBF-B4D7-006F0DCBFD45}"/>
            </c:ext>
          </c:extLst>
        </c:ser>
        <c:ser>
          <c:idx val="7"/>
          <c:order val="7"/>
          <c:tx>
            <c:v>Achsenluft</c:v>
          </c:tx>
          <c:spPr>
            <a:ln>
              <a:noFill/>
            </a:ln>
          </c:spPr>
          <c:marker>
            <c:symbol val="none"/>
          </c:marker>
          <c:cat>
            <c:numRef>
              <c:f>Diagrammdaten!$A$4:$A$10</c:f>
            </c:numRef>
          </c:cat>
          <c:val>
            <c:numRef>
              <c:f>Diagrammdaten!$Y$4:$Y$10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C-4CDA-4BBF-B4D7-006F0DCBFD45}"/>
            </c:ext>
          </c:extLst>
        </c:ser>
        <c:dLbls>
          <c:showLegendKey val="0"/>
          <c:showVal val="0"/>
          <c:showCatName val="0"/>
          <c:showSerName val="0"/>
          <c:showPercent val="0"/>
          <c:showBubbleSize val="0"/>
        </c:dLbls>
        <c:marker val="1"/>
        <c:smooth val="0"/>
        <c:axId val="50020001"/>
        <c:axId val="50020002"/>
      </c:lineChart>
      <c:catAx>
        <c:axId val="5002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20002"/>
        <c:crosses val="autoZero"/>
        <c:auto val="1"/>
        <c:lblAlgn val="ctr"/>
        <c:lblOffset val="100"/>
        <c:noMultiLvlLbl val="0"/>
      </c:catAx>
      <c:valAx>
        <c:axId val="50020002"/>
        <c:scaling>
          <c:orientation val="minMax"/>
        </c:scaling>
        <c:delete val="1"/>
        <c:axPos val="l"/>
        <c:numFmt formatCode="#,##0" sourceLinked="1"/>
        <c:majorTickMark val="out"/>
        <c:minorTickMark val="none"/>
        <c:tickLblPos val="nextTo"/>
        <c:crossAx val="50020001"/>
        <c:crosses val="autoZero"/>
        <c:crossBetween val="between"/>
      </c:valAx>
      <c:spPr>
        <a:noFill/>
        <a:ln>
          <a:noFill/>
        </a:ln>
      </c:spPr>
    </c:plotArea>
    <c:legend>
      <c:legendPos val="t"/>
      <c:legendEntry>
        <c:idx val="4"/>
        <c:delete val="1"/>
      </c:legendEntry>
      <c:legendEntry>
        <c:idx val="5"/>
        <c:delete val="1"/>
      </c:legendEntry>
      <c:legendEntry>
        <c:idx val="6"/>
        <c:delete val="1"/>
      </c:legendEntry>
      <c:legendEntry>
        <c:idx val="7"/>
        <c:delete val="1"/>
      </c:legendEntry>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2676056338028169"/>
          <c:w val="0.71"/>
          <c:h val="0.59154929577464788"/>
        </c:manualLayout>
      </c:layout>
      <c:barChart>
        <c:barDir val="col"/>
        <c:grouping val="clustered"/>
        <c:varyColors val="0"/>
        <c:ser>
          <c:idx val="0"/>
          <c:order val="0"/>
          <c:tx>
            <c:v>Eingänge</c:v>
          </c:tx>
          <c:spPr>
            <a:prstGeom prst="roundRect">
              <a:avLst/>
            </a:prstGeom>
            <a:solidFill>
              <a:srgbClr val="4A4A4A"/>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Diagrammdaten!$C$37:$C$43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B49-4612-BCD7-161EDC7046EA}"/>
            </c:ext>
          </c:extLst>
        </c:ser>
        <c:ser>
          <c:idx val="1"/>
          <c:order val="1"/>
          <c:tx>
            <c:v>Abgänge</c:v>
          </c:tx>
          <c:spPr>
            <a:prstGeom prst="roundRect">
              <a:avLst/>
            </a:prstGeom>
            <a:solidFill>
              <a:srgbClr val="B9BFC6"/>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Diagrammdaten!$D$37:$D$43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6B49-4612-BCD7-161EDC7046EA}"/>
            </c:ext>
          </c:extLst>
        </c:ser>
        <c:dLbls>
          <c:showLegendKey val="0"/>
          <c:showVal val="0"/>
          <c:showCatName val="0"/>
          <c:showSerName val="0"/>
          <c:showPercent val="0"/>
          <c:showBubbleSize val="0"/>
        </c:dLbls>
        <c:gapWidth val="70"/>
        <c:overlap val="100"/>
        <c:axId val="50030001"/>
        <c:axId val="50030002"/>
      </c:barChart>
      <c:lineChart>
        <c:grouping val="standard"/>
        <c:varyColors val="0"/>
        <c:ser>
          <c:idx val="2"/>
          <c:order val="2"/>
          <c:tx>
            <c:v>Delta weniger</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{69DA52E6-B279-46F4-BB70-D91B53188F82}</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02-6B49-4612-BCD7-161EDC7046EA}"/>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{3B20E618-59ED-4AFA-9846-406DC19AFCB4}</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03-6B49-4612-BCD7-161EDC7046EA}"/>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{B69044FB-5A51-405A-9CEE-BA113225DFB6}</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04-6B49-4612-BCD7-161EDC7046EA}"/>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{E4D06AEA-3758-4FD5-A2EC-532E2501FD1C}</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05-6B49-4612-BCD7-161EDC7046EA}"/>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{92267DCF-026C-4784-8E29-224F9BE84B0D}</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06-6B49-4612-BCD7-161EDC7046EA}"/>
                </c:ext>
              </c:extLst>
            </c:dLbl>
            <c:dLbl>
              <c:idx val="5"/>
              <c:tx>
                <c:strRef>
                  <c:f>Diagrammdaten!$H$42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{B5EB3CAC-68E5-4A8B-A797-D25E73B762EB}</c15:txfldGUID>
                      <c15:f>Diagrammdaten!$H$42</c15:f>
                      <c15:dlblFieldTableCache>
                        <c:ptCount val="1"/>
                      </c15:dlblFieldTableCache>
                    </c15:dlblFTEntry>
                  </c15:dlblFieldTable>
                  <c15:showDataLabelsRange val="0"/>
                </c:ext>
                <c:ext xmlns:c16="http://schemas.microsoft.com/office/drawing/2014/chart" uri="{C3380CC4-5D6E-409C-BE32-E72D297353CC}">
                  <c16:uniqueId val="{00000007-6B49-4612-BCD7-161EDC7046EA}"/>
                </c:ext>
              </c:extLst>
            </c:dLbl>
            <c:dLbl>
              <c:idx val="6"/>
              <c:tx>
                <c:strRef>
                  <c:f>Diagrammdaten!$H$43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{4F8D4BC4-12EB-4B26-999D-2766FF52704C}</c15:txfldGUID>
                      <c15:f>Diagrammdaten!$H$43</c15:f>
                      <c15:dlblFieldTableCache>
                        <c:ptCount val="1"/>
                      </c15:dlblFieldTableCache>
                    </c15:dlblFTEntry>
                  </c15:dlblFieldTable>
                  <c15:showDataLabelsRange val="0"/>
                </c:ext>
                <c:ext xmlns:c16="http://schemas.microsoft.com/office/drawing/2014/chart" uri="{C3380CC4-5D6E-409C-BE32-E72D297353CC}">
                  <c16:uniqueId val="{00000008-6B49-4612-BCD7-161EDC7046EA}"/>
                </c:ext>
              </c:extLst>
            </c:dLbl>
            <c:spPr>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Diagrammdaten!$E$37:$E$43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9-6B49-4612-BCD7-161EDC7046EA}"/>
            </c:ext>
          </c:extLst>
        </c:ser>
        <c:ser>
          <c:idx val="3"/>
          <c:order val="3"/>
          <c:tx>
            <c:v>Delta mehr</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{9C01D35C-BE8F-4F78-8854-8CD46880A6C7}</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0A-6B49-4612-BCD7-161EDC7046EA}"/>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{B690827D-0948-41E7-BFBB-68A8C83597B5}</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0B-6B49-4612-BCD7-161EDC7046EA}"/>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{DB401DBA-39C1-45EE-872F-3E663317DBC5}</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0C-6B49-4612-BCD7-161EDC7046EA}"/>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{296B6626-D2ED-4177-9139-98877EC56017}</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0D-6B49-4612-BCD7-161EDC7046EA}"/>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{244C5BEB-F3DA-4F55-BAFE-F276810F1F16}</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0E-6B49-4612-BCD7-161EDC7046EA}"/>
                </c:ext>
              </c:extLst>
            </c:dLbl>
            <c:dLbl>
              <c:idx val="5"/>
              <c:tx>
                <c:strRef>
                  <c:f>Diagrammdaten!$H$42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{F4F3D0FA-2070-4338-8701-21C9C89931AB}</c15:txfldGUID>
                      <c15:f>Diagrammdaten!$H$42</c15:f>
                      <c15:dlblFieldTableCache>
                        <c:ptCount val="1"/>
                      </c15:dlblFieldTableCache>
                    </c15:dlblFTEntry>
                  </c15:dlblFieldTable>
                  <c15:showDataLabelsRange val="0"/>
                </c:ext>
                <c:ext xmlns:c16="http://schemas.microsoft.com/office/drawing/2014/chart" uri="{C3380CC4-5D6E-409C-BE32-E72D297353CC}">
                  <c16:uniqueId val="{0000000F-6B49-4612-BCD7-161EDC7046EA}"/>
                </c:ext>
              </c:extLst>
            </c:dLbl>
            <c:dLbl>
              <c:idx val="6"/>
              <c:tx>
                <c:strRef>
                  <c:f>Diagrammdaten!$H$43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{4E27E8C5-125E-450A-B07B-79F6AB4A06A3}</c15:txfldGUID>
                      <c15:f>Diagrammdaten!$H$43</c15:f>
                      <c15:dlblFieldTableCache>
                        <c:ptCount val="1"/>
                      </c15:dlblFieldTableCache>
                    </c15:dlblFTEntry>
                  </c15:dlblFieldTable>
                  <c15:showDataLabelsRange val="0"/>
                </c:ext>
                <c:ext xmlns:c16="http://schemas.microsoft.com/office/drawing/2014/chart" uri="{C3380CC4-5D6E-409C-BE32-E72D297353CC}">
                  <c16:uniqueId val="{00000010-6B49-4612-BCD7-161EDC7046EA}"/>
                </c:ext>
              </c:extLst>
            </c:dLbl>
            <c:spPr>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Diagrammdaten!$F$37:$F$43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6B49-4612-BCD7-161EDC7046EA}"/>
            </c:ext>
          </c:extLst>
        </c:ser>
        <c:ser>
          <c:idx val="4"/>
          <c:order val="4"/>
          <c:tx>
            <c:v>Delta gleich</c:v>
          </c:tx>
          <c:spPr>
            <a:ln>
              <a:noFill/>
            </a:ln>
          </c:spPr>
          <c:marker>
            <c:symbol val="none"/>
          </c:marker>
          <c:dLbls>
            <c:dLbl>
              <c:idx val="0"/>
              <c:tx>
                <c:strRef>
                  <c:f>Diagrammdaten!$H$37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{6AE2284B-3040-48EA-BBA2-507741B5C86C}</c15:txfldGUID>
                      <c15:f>Diagrammdaten!$H$37</c15:f>
                      <c15:dlblFieldTableCache>
                        <c:ptCount val="1"/>
                      </c15:dlblFieldTableCache>
                    </c15:dlblFTEntry>
                  </c15:dlblFieldTable>
                  <c15:showDataLabelsRange val="0"/>
                </c:ext>
                <c:ext xmlns:c16="http://schemas.microsoft.com/office/drawing/2014/chart" uri="{C3380CC4-5D6E-409C-BE32-E72D297353CC}">
                  <c16:uniqueId val="{00000012-6B49-4612-BCD7-161EDC7046EA}"/>
                </c:ext>
              </c:extLst>
            </c:dLbl>
            <c:dLbl>
              <c:idx val="1"/>
              <c:tx>
                <c:strRef>
                  <c:f>Diagrammdaten!$H$38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{43D0882A-AC6A-4BE1-A07F-FFCAC8424A20}</c15:txfldGUID>
                      <c15:f>Diagrammdaten!$H$38</c15:f>
                      <c15:dlblFieldTableCache>
                        <c:ptCount val="1"/>
                      </c15:dlblFieldTableCache>
                    </c15:dlblFTEntry>
                  </c15:dlblFieldTable>
                  <c15:showDataLabelsRange val="0"/>
                </c:ext>
                <c:ext xmlns:c16="http://schemas.microsoft.com/office/drawing/2014/chart" uri="{C3380CC4-5D6E-409C-BE32-E72D297353CC}">
                  <c16:uniqueId val="{00000013-6B49-4612-BCD7-161EDC7046EA}"/>
                </c:ext>
              </c:extLst>
            </c:dLbl>
            <c:dLbl>
              <c:idx val="2"/>
              <c:tx>
                <c:strRef>
                  <c:f>Diagrammdaten!$H$39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{92825B56-FF89-417B-9787-E3BE14B2FA48}</c15:txfldGUID>
                      <c15:f>Diagrammdaten!$H$39</c15:f>
                      <c15:dlblFieldTableCache>
                        <c:ptCount val="1"/>
                      </c15:dlblFieldTableCache>
                    </c15:dlblFTEntry>
                  </c15:dlblFieldTable>
                  <c15:showDataLabelsRange val="0"/>
                </c:ext>
                <c:ext xmlns:c16="http://schemas.microsoft.com/office/drawing/2014/chart" uri="{C3380CC4-5D6E-409C-BE32-E72D297353CC}">
                  <c16:uniqueId val="{00000014-6B49-4612-BCD7-161EDC7046EA}"/>
                </c:ext>
              </c:extLst>
            </c:dLbl>
            <c:dLbl>
              <c:idx val="3"/>
              <c:tx>
                <c:strRef>
                  <c:f>Diagrammdaten!$H$40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{E20209CA-182D-43C2-B41A-835BA4C1B299}</c15:txfldGUID>
                      <c15:f>Diagrammdaten!$H$40</c15:f>
                      <c15:dlblFieldTableCache>
                        <c:ptCount val="1"/>
                      </c15:dlblFieldTableCache>
                    </c15:dlblFTEntry>
                  </c15:dlblFieldTable>
                  <c15:showDataLabelsRange val="0"/>
                </c:ext>
                <c:ext xmlns:c16="http://schemas.microsoft.com/office/drawing/2014/chart" uri="{C3380CC4-5D6E-409C-BE32-E72D297353CC}">
                  <c16:uniqueId val="{00000015-6B49-4612-BCD7-161EDC7046EA}"/>
                </c:ext>
              </c:extLst>
            </c:dLbl>
            <c:dLbl>
              <c:idx val="4"/>
              <c:tx>
                <c:strRef>
                  <c:f>Diagrammdaten!$H$41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{3EAEB3B4-2B2B-4F63-AA9B-7B920DF1E963}</c15:txfldGUID>
                      <c15:f>Diagrammdaten!$H$41</c15:f>
                      <c15:dlblFieldTableCache>
                        <c:ptCount val="1"/>
                      </c15:dlblFieldTableCache>
                    </c15:dlblFTEntry>
                  </c15:dlblFieldTable>
                  <c15:showDataLabelsRange val="0"/>
                </c:ext>
                <c:ext xmlns:c16="http://schemas.microsoft.com/office/drawing/2014/chart" uri="{C3380CC4-5D6E-409C-BE32-E72D297353CC}">
                  <c16:uniqueId val="{00000016-6B49-4612-BCD7-161EDC7046EA}"/>
                </c:ext>
              </c:extLst>
            </c:dLbl>
            <c:dLbl>
              <c:idx val="5"/>
              <c:tx>
                <c:strRef>
                  <c:f>Diagrammdaten!$H$42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{F6C20BB8-B1AC-421A-A8DC-350F1A07A68A}</c15:txfldGUID>
                      <c15:f>Diagrammdaten!$H$42</c15:f>
                      <c15:dlblFieldTableCache>
                        <c:ptCount val="1"/>
                      </c15:dlblFieldTableCache>
                    </c15:dlblFTEntry>
                  </c15:dlblFieldTable>
                  <c15:showDataLabelsRange val="0"/>
                </c:ext>
                <c:ext xmlns:c16="http://schemas.microsoft.com/office/drawing/2014/chart" uri="{C3380CC4-5D6E-409C-BE32-E72D297353CC}">
                  <c16:uniqueId val="{00000017-6B49-4612-BCD7-161EDC7046EA}"/>
                </c:ext>
              </c:extLst>
            </c:dLbl>
            <c:dLbl>
              <c:idx val="6"/>
              <c:tx>
                <c:strRef>
                  <c:f>Diagrammdaten!$H$43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{DEF7104C-6A02-4E9E-9519-6BD7D165DF53}</c15:txfldGUID>
                      <c15:f>Diagrammdaten!$H$43</c15:f>
                      <c15:dlblFieldTableCache>
                        <c:ptCount val="1"/>
                      </c15:dlblFieldTableCache>
                    </c15:dlblFTEntry>
                  </c15:dlblFieldTable>
                  <c15:showDataLabelsRange val="0"/>
                </c:ext>
                <c:ext xmlns:c16="http://schemas.microsoft.com/office/drawing/2014/chart" uri="{C3380CC4-5D6E-409C-BE32-E72D297353CC}">
                  <c16:uniqueId val="{00000018-6B49-4612-BCD7-161EDC7046EA}"/>
                </c:ext>
              </c:extLst>
            </c:dLbl>
            <c:spPr>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Diagrammdaten!$G$37:$G$43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9-6B49-4612-BCD7-161EDC7046EA}"/>
            </c:ext>
          </c:extLst>
        </c:ser>
        <c:ser>
          <c:idx val="5"/>
          <c:order val="5"/>
          <c:tx>
            <c:v>Skala</c:v>
          </c:tx>
          <c:spPr>
            <a:ln>
              <a:noFill/>
            </a:ln>
          </c:spPr>
          <c:marker>
            <c:symbol val="none"/>
          </c:marker>
          <c:cat>
            <c:numRef>
              <c:f>Diagrammdaten!$A$37:$A$43</c:f>
            </c:numRef>
          </c:cat>
          <c:val>
            <c:numRef>
              <c:f>Diagrammdaten!$AB$37:$AB$43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A-6B49-4612-BCD7-161EDC7046EA}"/>
            </c:ext>
          </c:extLst>
        </c:ser>
        <c:dLbls>
          <c:showLegendKey val="0"/>
          <c:showVal val="0"/>
          <c:showCatName val="0"/>
          <c:showSerName val="0"/>
          <c:showPercent val="0"/>
          <c:showBubbleSize val="0"/>
        </c:dLbls>
        <c:marker val="1"/>
        <c:smooth val="0"/>
        <c:axId val="50030001"/>
        <c:axId val="50030002"/>
      </c:lineChart>
      <c:catAx>
        <c:axId val="50030001"/>
        <c:scaling>
          <c:orientation val="minMax"/>
        </c:scaling>
        <c:delete val="0"/>
        <c:axPos val="b"/>
        <c:numFmt formatCode="General" sourceLinked="1"/>
        <c:majorTickMark val="none"/>
        <c:min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30002"/>
        <c:crosses val="autoZero"/>
        <c:auto val="1"/>
        <c:lblAlgn val="ctr"/>
        <c:lblOffset val="100"/>
        <c:noMultiLvlLbl val="0"/>
      </c:catAx>
      <c:valAx>
        <c:axId val="50030002"/>
        <c:scaling>
          <c:orientation val="minMax"/>
        </c:scaling>
        <c:delete val="1"/>
        <c:axPos val="l"/>
        <c:numFmt formatCode="#,##0" sourceLinked="1"/>
        <c:majorTickMark val="out"/>
        <c:minorTickMark val="none"/>
        <c:tickLblPos val="nextTo"/>
        <c:crossAx val="5003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2676056338028169"/>
          <c:w val="0.71"/>
          <c:h val="0.59154929577464788"/>
        </c:manualLayout>
      </c:layout>
      <c:barChart>
        <c:barDir val="col"/>
        <c:grouping val="clustered"/>
        <c:varyColors val="0"/>
        <c:ser>
          <c:idx val="0"/>
          <c:order val="0"/>
          <c:tx>
            <c:v>Eingänge</c:v>
          </c:tx>
          <c:spPr>
            <a:prstGeom prst="roundRect">
              <a:avLst/>
            </a:prstGeom>
            <a:solidFill>
              <a:srgbClr val="0F94A7"/>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Diagrammdaten!$I$37:$I$43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84-42CF-AD0B-3218B0F4FF80}"/>
            </c:ext>
          </c:extLst>
        </c:ser>
        <c:ser>
          <c:idx val="1"/>
          <c:order val="1"/>
          <c:tx>
            <c:v>Abgänge</c:v>
          </c:tx>
          <c:spPr>
            <a:prstGeom prst="roundRect">
              <a:avLst/>
            </a:prstGeom>
            <a:solidFill>
              <a:srgbClr val="7FCBD4"/>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Diagrammdaten!$J$37:$J$43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84-42CF-AD0B-3218B0F4FF80}"/>
            </c:ext>
          </c:extLst>
        </c:ser>
        <c:dLbls>
          <c:showLegendKey val="0"/>
          <c:showVal val="0"/>
          <c:showCatName val="0"/>
          <c:showSerName val="0"/>
          <c:showPercent val="0"/>
          <c:showBubbleSize val="0"/>
        </c:dLbls>
        <c:gapWidth val="70"/>
        <c:overlap val="100"/>
        <c:axId val="50040001"/>
        <c:axId val="50040002"/>
      </c:barChart>
      <c:lineChart>
        <c:grouping val="standard"/>
        <c:varyColors val="0"/>
        <c:ser>
          <c:idx val="2"/>
          <c:order val="2"/>
          <c:tx>
            <c:v>Delta weniger</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{CC2826DB-FF6E-4B25-8E77-C53FD0F5FFF2}</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02-0F84-42CF-AD0B-3218B0F4FF80}"/>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{1D26FC26-DF8C-4EBF-B8DD-C33A799276CD}</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03-0F84-42CF-AD0B-3218B0F4FF80}"/>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{297AFFB3-26B8-4132-97FD-8315496703DF}</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04-0F84-42CF-AD0B-3218B0F4FF80}"/>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{1A9EBD39-4A64-4C4A-A543-22FCBC87B3F5}</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05-0F84-42CF-AD0B-3218B0F4FF80}"/>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{FAD82245-C7B0-4476-8219-67E44C6177C0}</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06-0F84-42CF-AD0B-3218B0F4FF80}"/>
                </c:ext>
              </c:extLst>
            </c:dLbl>
            <c:dLbl>
              <c:idx val="5"/>
              <c:tx>
                <c:strRef>
                  <c:f>Diagrammdaten!$N$42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{65376F3C-D437-48FD-9BE4-9EFECD3C6EE4}</c15:txfldGUID>
                      <c15:f>Diagrammdaten!$N$42</c15:f>
                      <c15:dlblFieldTableCache>
                        <c:ptCount val="1"/>
                      </c15:dlblFieldTableCache>
                    </c15:dlblFTEntry>
                  </c15:dlblFieldTable>
                  <c15:showDataLabelsRange val="0"/>
                </c:ext>
                <c:ext xmlns:c16="http://schemas.microsoft.com/office/drawing/2014/chart" uri="{C3380CC4-5D6E-409C-BE32-E72D297353CC}">
                  <c16:uniqueId val="{00000007-0F84-42CF-AD0B-3218B0F4FF80}"/>
                </c:ext>
              </c:extLst>
            </c:dLbl>
            <c:dLbl>
              <c:idx val="6"/>
              <c:tx>
                <c:strRef>
                  <c:f>Diagrammdaten!$N$43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{084D7745-D566-4974-95BB-28A5ABCA049F}</c15:txfldGUID>
                      <c15:f>Diagrammdaten!$N$43</c15:f>
                      <c15:dlblFieldTableCache>
                        <c:ptCount val="1"/>
                      </c15:dlblFieldTableCache>
                    </c15:dlblFTEntry>
                  </c15:dlblFieldTable>
                  <c15:showDataLabelsRange val="0"/>
                </c:ext>
                <c:ext xmlns:c16="http://schemas.microsoft.com/office/drawing/2014/chart" uri="{C3380CC4-5D6E-409C-BE32-E72D297353CC}">
                  <c16:uniqueId val="{00000008-0F84-42CF-AD0B-3218B0F4FF80}"/>
                </c:ext>
              </c:extLst>
            </c:dLbl>
            <c:spPr>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Diagrammdaten!$K$37:$K$43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9-0F84-42CF-AD0B-3218B0F4FF80}"/>
            </c:ext>
          </c:extLst>
        </c:ser>
        <c:ser>
          <c:idx val="3"/>
          <c:order val="3"/>
          <c:tx>
            <c:v>Delta mehr</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{5010AB39-BEE8-430E-B311-AD777DDC831D}</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0A-0F84-42CF-AD0B-3218B0F4FF80}"/>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{329A974F-E75C-4BBB-A02D-F12F28D096C7}</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0B-0F84-42CF-AD0B-3218B0F4FF80}"/>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{C536F878-FEB4-43BD-BCBB-9280B130EED9}</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0C-0F84-42CF-AD0B-3218B0F4FF80}"/>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{A854B7D3-2799-4C81-B366-6E68D4BDD3B1}</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0D-0F84-42CF-AD0B-3218B0F4FF80}"/>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{3773F624-2B5E-468B-B62C-9EF2A65D0B55}</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0E-0F84-42CF-AD0B-3218B0F4FF80}"/>
                </c:ext>
              </c:extLst>
            </c:dLbl>
            <c:dLbl>
              <c:idx val="5"/>
              <c:tx>
                <c:strRef>
                  <c:f>Diagrammdaten!$N$42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{6A8423EC-53C7-4A33-A03F-8E92840A8FEC}</c15:txfldGUID>
                      <c15:f>Diagrammdaten!$N$42</c15:f>
                      <c15:dlblFieldTableCache>
                        <c:ptCount val="1"/>
                      </c15:dlblFieldTableCache>
                    </c15:dlblFTEntry>
                  </c15:dlblFieldTable>
                  <c15:showDataLabelsRange val="0"/>
                </c:ext>
                <c:ext xmlns:c16="http://schemas.microsoft.com/office/drawing/2014/chart" uri="{C3380CC4-5D6E-409C-BE32-E72D297353CC}">
                  <c16:uniqueId val="{0000000F-0F84-42CF-AD0B-3218B0F4FF80}"/>
                </c:ext>
              </c:extLst>
            </c:dLbl>
            <c:dLbl>
              <c:idx val="6"/>
              <c:tx>
                <c:strRef>
                  <c:f>Diagrammdaten!$N$43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{A9915AC3-180F-4762-865D-6414E7D740DA}</c15:txfldGUID>
                      <c15:f>Diagrammdaten!$N$43</c15:f>
                      <c15:dlblFieldTableCache>
                        <c:ptCount val="1"/>
                      </c15:dlblFieldTableCache>
                    </c15:dlblFTEntry>
                  </c15:dlblFieldTable>
                  <c15:showDataLabelsRange val="0"/>
                </c:ext>
                <c:ext xmlns:c16="http://schemas.microsoft.com/office/drawing/2014/chart" uri="{C3380CC4-5D6E-409C-BE32-E72D297353CC}">
                  <c16:uniqueId val="{00000010-0F84-42CF-AD0B-3218B0F4FF80}"/>
                </c:ext>
              </c:extLst>
            </c:dLbl>
            <c:spPr>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Diagrammdaten!$L$37:$L$43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0F84-42CF-AD0B-3218B0F4FF80}"/>
            </c:ext>
          </c:extLst>
        </c:ser>
        <c:ser>
          <c:idx val="4"/>
          <c:order val="4"/>
          <c:tx>
            <c:v>Delta gleich</c:v>
          </c:tx>
          <c:spPr>
            <a:ln>
              <a:noFill/>
            </a:ln>
          </c:spPr>
          <c:marker>
            <c:symbol val="none"/>
          </c:marker>
          <c:dLbls>
            <c:dLbl>
              <c:idx val="0"/>
              <c:tx>
                <c:strRef>
                  <c:f>Diagrammdaten!$N$37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{C53F57C5-DD76-4DBD-A856-AC82AB18E9E6}</c15:txfldGUID>
                      <c15:f>Diagrammdaten!$N$37</c15:f>
                      <c15:dlblFieldTableCache>
                        <c:ptCount val="1"/>
                      </c15:dlblFieldTableCache>
                    </c15:dlblFTEntry>
                  </c15:dlblFieldTable>
                  <c15:showDataLabelsRange val="0"/>
                </c:ext>
                <c:ext xmlns:c16="http://schemas.microsoft.com/office/drawing/2014/chart" uri="{C3380CC4-5D6E-409C-BE32-E72D297353CC}">
                  <c16:uniqueId val="{00000012-0F84-42CF-AD0B-3218B0F4FF80}"/>
                </c:ext>
              </c:extLst>
            </c:dLbl>
            <c:dLbl>
              <c:idx val="1"/>
              <c:tx>
                <c:strRef>
                  <c:f>Diagrammdaten!$N$38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{4BDAA411-D267-4D27-94AB-77B5C0BDEB0F}</c15:txfldGUID>
                      <c15:f>Diagrammdaten!$N$38</c15:f>
                      <c15:dlblFieldTableCache>
                        <c:ptCount val="1"/>
                      </c15:dlblFieldTableCache>
                    </c15:dlblFTEntry>
                  </c15:dlblFieldTable>
                  <c15:showDataLabelsRange val="0"/>
                </c:ext>
                <c:ext xmlns:c16="http://schemas.microsoft.com/office/drawing/2014/chart" uri="{C3380CC4-5D6E-409C-BE32-E72D297353CC}">
                  <c16:uniqueId val="{00000013-0F84-42CF-AD0B-3218B0F4FF80}"/>
                </c:ext>
              </c:extLst>
            </c:dLbl>
            <c:dLbl>
              <c:idx val="2"/>
              <c:tx>
                <c:strRef>
                  <c:f>Diagrammdaten!$N$39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{BF3F89BE-448C-4000-A6CF-A0DE8645CBFD}</c15:txfldGUID>
                      <c15:f>Diagrammdaten!$N$39</c15:f>
                      <c15:dlblFieldTableCache>
                        <c:ptCount val="1"/>
                      </c15:dlblFieldTableCache>
                    </c15:dlblFTEntry>
                  </c15:dlblFieldTable>
                  <c15:showDataLabelsRange val="0"/>
                </c:ext>
                <c:ext xmlns:c16="http://schemas.microsoft.com/office/drawing/2014/chart" uri="{C3380CC4-5D6E-409C-BE32-E72D297353CC}">
                  <c16:uniqueId val="{00000014-0F84-42CF-AD0B-3218B0F4FF80}"/>
                </c:ext>
              </c:extLst>
            </c:dLbl>
            <c:dLbl>
              <c:idx val="3"/>
              <c:tx>
                <c:strRef>
                  <c:f>Diagrammdaten!$N$40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{880676CE-7333-4E20-BB63-110155597658}</c15:txfldGUID>
                      <c15:f>Diagrammdaten!$N$40</c15:f>
                      <c15:dlblFieldTableCache>
                        <c:ptCount val="1"/>
                      </c15:dlblFieldTableCache>
                    </c15:dlblFTEntry>
                  </c15:dlblFieldTable>
                  <c15:showDataLabelsRange val="0"/>
                </c:ext>
                <c:ext xmlns:c16="http://schemas.microsoft.com/office/drawing/2014/chart" uri="{C3380CC4-5D6E-409C-BE32-E72D297353CC}">
                  <c16:uniqueId val="{00000015-0F84-42CF-AD0B-3218B0F4FF80}"/>
                </c:ext>
              </c:extLst>
            </c:dLbl>
            <c:dLbl>
              <c:idx val="4"/>
              <c:tx>
                <c:strRef>
                  <c:f>Diagrammdaten!$N$41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{FEF513DD-BDB7-4790-8275-60038820CA62}</c15:txfldGUID>
                      <c15:f>Diagrammdaten!$N$41</c15:f>
                      <c15:dlblFieldTableCache>
                        <c:ptCount val="1"/>
                      </c15:dlblFieldTableCache>
                    </c15:dlblFTEntry>
                  </c15:dlblFieldTable>
                  <c15:showDataLabelsRange val="0"/>
                </c:ext>
                <c:ext xmlns:c16="http://schemas.microsoft.com/office/drawing/2014/chart" uri="{C3380CC4-5D6E-409C-BE32-E72D297353CC}">
                  <c16:uniqueId val="{00000016-0F84-42CF-AD0B-3218B0F4FF80}"/>
                </c:ext>
              </c:extLst>
            </c:dLbl>
            <c:dLbl>
              <c:idx val="5"/>
              <c:tx>
                <c:strRef>
                  <c:f>Diagrammdaten!$N$42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{D45B6F95-64EE-4C3D-8B99-0ACEA27B25B6}</c15:txfldGUID>
                      <c15:f>Diagrammdaten!$N$42</c15:f>
                      <c15:dlblFieldTableCache>
                        <c:ptCount val="1"/>
                      </c15:dlblFieldTableCache>
                    </c15:dlblFTEntry>
                  </c15:dlblFieldTable>
                  <c15:showDataLabelsRange val="0"/>
                </c:ext>
                <c:ext xmlns:c16="http://schemas.microsoft.com/office/drawing/2014/chart" uri="{C3380CC4-5D6E-409C-BE32-E72D297353CC}">
                  <c16:uniqueId val="{00000017-0F84-42CF-AD0B-3218B0F4FF80}"/>
                </c:ext>
              </c:extLst>
            </c:dLbl>
            <c:dLbl>
              <c:idx val="6"/>
              <c:tx>
                <c:strRef>
                  <c:f>Diagrammdaten!$N$43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{AFAD7376-2B7A-4C3C-BD97-E677763187F4}</c15:txfldGUID>
                      <c15:f>Diagrammdaten!$N$43</c15:f>
                      <c15:dlblFieldTableCache>
                        <c:ptCount val="1"/>
                      </c15:dlblFieldTableCache>
                    </c15:dlblFTEntry>
                  </c15:dlblFieldTable>
                  <c15:showDataLabelsRange val="0"/>
                </c:ext>
                <c:ext xmlns:c16="http://schemas.microsoft.com/office/drawing/2014/chart" uri="{C3380CC4-5D6E-409C-BE32-E72D297353CC}">
                  <c16:uniqueId val="{00000018-0F84-42CF-AD0B-3218B0F4FF80}"/>
                </c:ext>
              </c:extLst>
            </c:dLbl>
            <c:spPr>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Diagrammdaten!$M$37:$M$43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9-0F84-42CF-AD0B-3218B0F4FF80}"/>
            </c:ext>
          </c:extLst>
        </c:ser>
        <c:ser>
          <c:idx val="5"/>
          <c:order val="5"/>
          <c:tx>
            <c:v>Skala</c:v>
          </c:tx>
          <c:spPr>
            <a:ln>
              <a:noFill/>
            </a:ln>
          </c:spPr>
          <c:marker>
            <c:symbol val="none"/>
          </c:marker>
          <c:cat>
            <c:numRef>
              <c:f>Diagrammdaten!$A$37:$A$43</c:f>
            </c:numRef>
          </c:cat>
          <c:val>
            <c:numRef>
              <c:f>Diagrammdaten!$AA$37:$AA$43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A-0F84-42CF-AD0B-3218B0F4FF80}"/>
            </c:ext>
          </c:extLst>
        </c:ser>
        <c:dLbls>
          <c:showLegendKey val="0"/>
          <c:showVal val="0"/>
          <c:showCatName val="0"/>
          <c:showSerName val="0"/>
          <c:showPercent val="0"/>
          <c:showBubbleSize val="0"/>
        </c:dLbls>
        <c:marker val="1"/>
        <c:smooth val="0"/>
        <c:axId val="50040001"/>
        <c:axId val="50040002"/>
      </c:lineChart>
      <c:catAx>
        <c:axId val="50040001"/>
        <c:scaling>
          <c:orientation val="minMax"/>
        </c:scaling>
        <c:delete val="0"/>
        <c:axPos val="b"/>
        <c:numFmt formatCode="General" sourceLinked="1"/>
        <c:majorTickMark val="none"/>
        <c:min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40002"/>
        <c:crosses val="autoZero"/>
        <c:auto val="1"/>
        <c:lblAlgn val="ctr"/>
        <c:lblOffset val="100"/>
        <c:noMultiLvlLbl val="0"/>
      </c:catAx>
      <c:valAx>
        <c:axId val="50040002"/>
        <c:scaling>
          <c:orientation val="minMax"/>
        </c:scaling>
        <c:delete val="1"/>
        <c:axPos val="l"/>
        <c:numFmt formatCode="#,##0" sourceLinked="1"/>
        <c:majorTickMark val="out"/>
        <c:minorTickMark val="none"/>
        <c:tickLblPos val="nextTo"/>
        <c:crossAx val="5004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2676056338028169"/>
          <c:w val="0.71"/>
          <c:h val="0.59154929577464788"/>
        </c:manualLayout>
      </c:layout>
      <c:barChart>
        <c:barDir val="col"/>
        <c:grouping val="clustered"/>
        <c:varyColors val="0"/>
        <c:ser>
          <c:idx val="0"/>
          <c:order val="0"/>
          <c:tx>
            <c:v>Eingänge</c:v>
          </c:tx>
          <c:spPr>
            <a:prstGeom prst="roundRect">
              <a:avLst/>
            </a:prstGeom>
            <a:solidFill>
              <a:srgbClr val="3B4F8A"/>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Diagrammdaten!$O$37:$O$43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D9B4-4F01-832F-2EFFFF4AA3EC}"/>
            </c:ext>
          </c:extLst>
        </c:ser>
        <c:ser>
          <c:idx val="1"/>
          <c:order val="1"/>
          <c:tx>
            <c:v>Abgänge</c:v>
          </c:tx>
          <c:spPr>
            <a:prstGeom prst="roundRect">
              <a:avLst/>
            </a:prstGeom>
            <a:solidFill>
              <a:srgbClr val="9AA6CC"/>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Diagrammdaten!$P$37:$P$43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D9B4-4F01-832F-2EFFFF4AA3EC}"/>
            </c:ext>
          </c:extLst>
        </c:ser>
        <c:dLbls>
          <c:showLegendKey val="0"/>
          <c:showVal val="0"/>
          <c:showCatName val="0"/>
          <c:showSerName val="0"/>
          <c:showPercent val="0"/>
          <c:showBubbleSize val="0"/>
        </c:dLbls>
        <c:gapWidth val="70"/>
        <c:overlap val="100"/>
        <c:axId val="50050001"/>
        <c:axId val="50050002"/>
      </c:barChart>
      <c:lineChart>
        <c:grouping val="standard"/>
        <c:varyColors val="0"/>
        <c:ser>
          <c:idx val="2"/>
          <c:order val="2"/>
          <c:tx>
            <c:v>Delta weniger</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{8FC89653-D85C-4F23-8064-FA08F1F226CA}</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02-D9B4-4F01-832F-2EFFFF4AA3EC}"/>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{B95EAAEE-D516-4DF0-A941-D73355677DA9}</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03-D9B4-4F01-832F-2EFFFF4AA3EC}"/>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{86CC9D9C-3929-433D-B9ED-AD29BAA2D09C}</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04-D9B4-4F01-832F-2EFFFF4AA3EC}"/>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{F1F8CB96-4E78-4D1E-8068-BAD804C0780F}</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05-D9B4-4F01-832F-2EFFFF4AA3EC}"/>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{69CF12C3-3D17-44FD-9F99-EACED92DF531}</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06-D9B4-4F01-832F-2EFFFF4AA3EC}"/>
                </c:ext>
              </c:extLst>
            </c:dLbl>
            <c:dLbl>
              <c:idx val="5"/>
              <c:tx>
                <c:strRef>
                  <c:f>Diagrammdaten!$T$42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{0988BE63-9586-45C0-B881-42F1AB1B7892}</c15:txfldGUID>
                      <c15:f>Diagrammdaten!$T$42</c15:f>
                      <c15:dlblFieldTableCache>
                        <c:ptCount val="1"/>
                      </c15:dlblFieldTableCache>
                    </c15:dlblFTEntry>
                  </c15:dlblFieldTable>
                  <c15:showDataLabelsRange val="0"/>
                </c:ext>
                <c:ext xmlns:c16="http://schemas.microsoft.com/office/drawing/2014/chart" uri="{C3380CC4-5D6E-409C-BE32-E72D297353CC}">
                  <c16:uniqueId val="{00000007-D9B4-4F01-832F-2EFFFF4AA3EC}"/>
                </c:ext>
              </c:extLst>
            </c:dLbl>
            <c:dLbl>
              <c:idx val="6"/>
              <c:tx>
                <c:strRef>
                  <c:f>Diagrammdaten!$T$43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{555579E1-5B72-4709-B3E1-44A33E4CFBA6}</c15:txfldGUID>
                      <c15:f>Diagrammdaten!$T$43</c15:f>
                      <c15:dlblFieldTableCache>
                        <c:ptCount val="1"/>
                      </c15:dlblFieldTableCache>
                    </c15:dlblFTEntry>
                  </c15:dlblFieldTable>
                  <c15:showDataLabelsRange val="0"/>
                </c:ext>
                <c:ext xmlns:c16="http://schemas.microsoft.com/office/drawing/2014/chart" uri="{C3380CC4-5D6E-409C-BE32-E72D297353CC}">
                  <c16:uniqueId val="{00000008-D9B4-4F01-832F-2EFFFF4AA3EC}"/>
                </c:ext>
              </c:extLst>
            </c:dLbl>
            <c:spPr>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Diagrammdaten!$Q$37:$Q$43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9-D9B4-4F01-832F-2EFFFF4AA3EC}"/>
            </c:ext>
          </c:extLst>
        </c:ser>
        <c:ser>
          <c:idx val="3"/>
          <c:order val="3"/>
          <c:tx>
            <c:v>Delta mehr</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{2E547441-2177-47C8-80E3-7D1DAE233BC1}</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0A-D9B4-4F01-832F-2EFFFF4AA3EC}"/>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{807AF709-CF82-4432-B293-6440940CFE8C}</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0B-D9B4-4F01-832F-2EFFFF4AA3EC}"/>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{7B4151F2-A669-4392-B870-4141B6572695}</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0C-D9B4-4F01-832F-2EFFFF4AA3EC}"/>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{E41F8CE7-DED1-4242-9D2F-E9015ECFBEFC}</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0D-D9B4-4F01-832F-2EFFFF4AA3EC}"/>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{ACCB317E-36F0-4C27-84BD-764B1FFFBAF3}</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0E-D9B4-4F01-832F-2EFFFF4AA3EC}"/>
                </c:ext>
              </c:extLst>
            </c:dLbl>
            <c:dLbl>
              <c:idx val="5"/>
              <c:tx>
                <c:strRef>
                  <c:f>Diagrammdaten!$T$42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{BF6A334D-75E9-4B0F-A5EA-75BE92F3C874}</c15:txfldGUID>
                      <c15:f>Diagrammdaten!$T$42</c15:f>
                      <c15:dlblFieldTableCache>
                        <c:ptCount val="1"/>
                      </c15:dlblFieldTableCache>
                    </c15:dlblFTEntry>
                  </c15:dlblFieldTable>
                  <c15:showDataLabelsRange val="0"/>
                </c:ext>
                <c:ext xmlns:c16="http://schemas.microsoft.com/office/drawing/2014/chart" uri="{C3380CC4-5D6E-409C-BE32-E72D297353CC}">
                  <c16:uniqueId val="{0000000F-D9B4-4F01-832F-2EFFFF4AA3EC}"/>
                </c:ext>
              </c:extLst>
            </c:dLbl>
            <c:dLbl>
              <c:idx val="6"/>
              <c:tx>
                <c:strRef>
                  <c:f>Diagrammdaten!$T$43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{EB0B1612-24B2-4F91-84AA-399D000F2ACA}</c15:txfldGUID>
                      <c15:f>Diagrammdaten!$T$43</c15:f>
                      <c15:dlblFieldTableCache>
                        <c:ptCount val="1"/>
                      </c15:dlblFieldTableCache>
                    </c15:dlblFTEntry>
                  </c15:dlblFieldTable>
                  <c15:showDataLabelsRange val="0"/>
                </c:ext>
                <c:ext xmlns:c16="http://schemas.microsoft.com/office/drawing/2014/chart" uri="{C3380CC4-5D6E-409C-BE32-E72D297353CC}">
                  <c16:uniqueId val="{00000010-D9B4-4F01-832F-2EFFFF4AA3EC}"/>
                </c:ext>
              </c:extLst>
            </c:dLbl>
            <c:spPr>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Diagrammdaten!$R$37:$R$43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D9B4-4F01-832F-2EFFFF4AA3EC}"/>
            </c:ext>
          </c:extLst>
        </c:ser>
        <c:ser>
          <c:idx val="4"/>
          <c:order val="4"/>
          <c:tx>
            <c:v>Delta gleich</c:v>
          </c:tx>
          <c:spPr>
            <a:ln>
              <a:noFill/>
            </a:ln>
          </c:spPr>
          <c:marker>
            <c:symbol val="none"/>
          </c:marker>
          <c:dLbls>
            <c:dLbl>
              <c:idx val="0"/>
              <c:tx>
                <c:strRef>
                  <c:f>Diagrammdaten!$T$37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{56B8A6E3-E364-4FA0-8295-68CAF5FA4C29}</c15:txfldGUID>
                      <c15:f>Diagrammdaten!$T$37</c15:f>
                      <c15:dlblFieldTableCache>
                        <c:ptCount val="1"/>
                      </c15:dlblFieldTableCache>
                    </c15:dlblFTEntry>
                  </c15:dlblFieldTable>
                  <c15:showDataLabelsRange val="0"/>
                </c:ext>
                <c:ext xmlns:c16="http://schemas.microsoft.com/office/drawing/2014/chart" uri="{C3380CC4-5D6E-409C-BE32-E72D297353CC}">
                  <c16:uniqueId val="{00000012-D9B4-4F01-832F-2EFFFF4AA3EC}"/>
                </c:ext>
              </c:extLst>
            </c:dLbl>
            <c:dLbl>
              <c:idx val="1"/>
              <c:tx>
                <c:strRef>
                  <c:f>Diagrammdaten!$T$38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{9CFDD105-62DA-41FA-B096-61BE1E38F782}</c15:txfldGUID>
                      <c15:f>Diagrammdaten!$T$38</c15:f>
                      <c15:dlblFieldTableCache>
                        <c:ptCount val="1"/>
                      </c15:dlblFieldTableCache>
                    </c15:dlblFTEntry>
                  </c15:dlblFieldTable>
                  <c15:showDataLabelsRange val="0"/>
                </c:ext>
                <c:ext xmlns:c16="http://schemas.microsoft.com/office/drawing/2014/chart" uri="{C3380CC4-5D6E-409C-BE32-E72D297353CC}">
                  <c16:uniqueId val="{00000013-D9B4-4F01-832F-2EFFFF4AA3EC}"/>
                </c:ext>
              </c:extLst>
            </c:dLbl>
            <c:dLbl>
              <c:idx val="2"/>
              <c:tx>
                <c:strRef>
                  <c:f>Diagrammdaten!$T$39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{3E6E0005-5778-41BE-8C70-13120E33A7E9}</c15:txfldGUID>
                      <c15:f>Diagrammdaten!$T$39</c15:f>
                      <c15:dlblFieldTableCache>
                        <c:ptCount val="1"/>
                      </c15:dlblFieldTableCache>
                    </c15:dlblFTEntry>
                  </c15:dlblFieldTable>
                  <c15:showDataLabelsRange val="0"/>
                </c:ext>
                <c:ext xmlns:c16="http://schemas.microsoft.com/office/drawing/2014/chart" uri="{C3380CC4-5D6E-409C-BE32-E72D297353CC}">
                  <c16:uniqueId val="{00000014-D9B4-4F01-832F-2EFFFF4AA3EC}"/>
                </c:ext>
              </c:extLst>
            </c:dLbl>
            <c:dLbl>
              <c:idx val="3"/>
              <c:tx>
                <c:strRef>
                  <c:f>Diagrammdaten!$T$40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{EF9B8242-9E95-407F-8387-C37E5F4CB657}</c15:txfldGUID>
                      <c15:f>Diagrammdaten!$T$40</c15:f>
                      <c15:dlblFieldTableCache>
                        <c:ptCount val="1"/>
                      </c15:dlblFieldTableCache>
                    </c15:dlblFTEntry>
                  </c15:dlblFieldTable>
                  <c15:showDataLabelsRange val="0"/>
                </c:ext>
                <c:ext xmlns:c16="http://schemas.microsoft.com/office/drawing/2014/chart" uri="{C3380CC4-5D6E-409C-BE32-E72D297353CC}">
                  <c16:uniqueId val="{00000015-D9B4-4F01-832F-2EFFFF4AA3EC}"/>
                </c:ext>
              </c:extLst>
            </c:dLbl>
            <c:dLbl>
              <c:idx val="4"/>
              <c:tx>
                <c:strRef>
                  <c:f>Diagrammdaten!$T$41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{2DBF9089-158D-48FA-A8AB-2F259DC50631}</c15:txfldGUID>
                      <c15:f>Diagrammdaten!$T$41</c15:f>
                      <c15:dlblFieldTableCache>
                        <c:ptCount val="1"/>
                      </c15:dlblFieldTableCache>
                    </c15:dlblFTEntry>
                  </c15:dlblFieldTable>
                  <c15:showDataLabelsRange val="0"/>
                </c:ext>
                <c:ext xmlns:c16="http://schemas.microsoft.com/office/drawing/2014/chart" uri="{C3380CC4-5D6E-409C-BE32-E72D297353CC}">
                  <c16:uniqueId val="{00000016-D9B4-4F01-832F-2EFFFF4AA3EC}"/>
                </c:ext>
              </c:extLst>
            </c:dLbl>
            <c:dLbl>
              <c:idx val="5"/>
              <c:tx>
                <c:strRef>
                  <c:f>Diagrammdaten!$T$42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{0A041A0B-E10A-45B6-A525-B974F33A7F77}</c15:txfldGUID>
                      <c15:f>Diagrammdaten!$T$42</c15:f>
                      <c15:dlblFieldTableCache>
                        <c:ptCount val="1"/>
                      </c15:dlblFieldTableCache>
                    </c15:dlblFTEntry>
                  </c15:dlblFieldTable>
                  <c15:showDataLabelsRange val="0"/>
                </c:ext>
                <c:ext xmlns:c16="http://schemas.microsoft.com/office/drawing/2014/chart" uri="{C3380CC4-5D6E-409C-BE32-E72D297353CC}">
                  <c16:uniqueId val="{00000017-D9B4-4F01-832F-2EFFFF4AA3EC}"/>
                </c:ext>
              </c:extLst>
            </c:dLbl>
            <c:dLbl>
              <c:idx val="6"/>
              <c:tx>
                <c:strRef>
                  <c:f>Diagrammdaten!$T$43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{DE63A1C4-32BC-4E68-86E1-B3E3E580E5D3}</c15:txfldGUID>
                      <c15:f>Diagrammdaten!$T$43</c15:f>
                      <c15:dlblFieldTableCache>
                        <c:ptCount val="1"/>
                      </c15:dlblFieldTableCache>
                    </c15:dlblFTEntry>
                  </c15:dlblFieldTable>
                  <c15:showDataLabelsRange val="0"/>
                </c:ext>
                <c:ext xmlns:c16="http://schemas.microsoft.com/office/drawing/2014/chart" uri="{C3380CC4-5D6E-409C-BE32-E72D297353CC}">
                  <c16:uniqueId val="{00000018-D9B4-4F01-832F-2EFFFF4AA3EC}"/>
                </c:ext>
              </c:extLst>
            </c:dLbl>
            <c:spPr>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Diagrammdaten!$S$37:$S$43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9-D9B4-4F01-832F-2EFFFF4AA3EC}"/>
            </c:ext>
          </c:extLst>
        </c:ser>
        <c:ser>
          <c:idx val="5"/>
          <c:order val="5"/>
          <c:tx>
            <c:v>Skala</c:v>
          </c:tx>
          <c:spPr>
            <a:ln>
              <a:noFill/>
            </a:ln>
          </c:spPr>
          <c:marker>
            <c:symbol val="none"/>
          </c:marker>
          <c:cat>
            <c:numRef>
              <c:f>Diagrammdaten!$A$37:$A$43</c:f>
            </c:numRef>
          </c:cat>
          <c:val>
            <c:numRef>
              <c:f>Diagrammdaten!$AA$37:$AA$43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A-D9B4-4F01-832F-2EFFFF4AA3EC}"/>
            </c:ext>
          </c:extLst>
        </c:ser>
        <c:dLbls>
          <c:showLegendKey val="0"/>
          <c:showVal val="0"/>
          <c:showCatName val="0"/>
          <c:showSerName val="0"/>
          <c:showPercent val="0"/>
          <c:showBubbleSize val="0"/>
        </c:dLbls>
        <c:marker val="1"/>
        <c:smooth val="0"/>
        <c:axId val="50050001"/>
        <c:axId val="50050002"/>
      </c:lineChart>
      <c:catAx>
        <c:axId val="50050001"/>
        <c:scaling>
          <c:orientation val="minMax"/>
        </c:scaling>
        <c:delete val="0"/>
        <c:axPos val="b"/>
        <c:numFmt formatCode="General" sourceLinked="1"/>
        <c:majorTickMark val="none"/>
        <c:min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50002"/>
        <c:crosses val="autoZero"/>
        <c:auto val="1"/>
        <c:lblAlgn val="ctr"/>
        <c:lblOffset val="100"/>
        <c:noMultiLvlLbl val="0"/>
      </c:catAx>
      <c:valAx>
        <c:axId val="50050002"/>
        <c:scaling>
          <c:orientation val="minMax"/>
        </c:scaling>
        <c:delete val="1"/>
        <c:axPos val="l"/>
        <c:numFmt formatCode="#,##0" sourceLinked="1"/>
        <c:majorTickMark val="out"/>
        <c:minorTickMark val="none"/>
        <c:tickLblPos val="nextTo"/>
        <c:crossAx val="5005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
          <c:y val="0.12676056338028169"/>
          <c:w val="0.71"/>
          <c:h val="0.59154929577464788"/>
        </c:manualLayout>
      </c:layout>
      <c:barChart>
        <c:barDir val="col"/>
        <c:grouping val="clustered"/>
        <c:varyColors val="0"/>
        <c:ser>
          <c:idx val="0"/>
          <c:order val="0"/>
          <c:tx>
            <c:v>Eingänge</c:v>
          </c:tx>
          <c:spPr>
            <a:prstGeom prst="roundRect">
              <a:avLst/>
            </a:prstGeom>
            <a:solidFill>
              <a:srgbClr val="BF1528"/>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Diagrammdaten!$U$37:$U$43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F9F-4C5E-ABE3-FA0DC9827BFE}"/>
            </c:ext>
          </c:extLst>
        </c:ser>
        <c:ser>
          <c:idx val="1"/>
          <c:order val="1"/>
          <c:tx>
            <c:v>Abgänge</c:v>
          </c:tx>
          <c:spPr>
            <a:prstGeom prst="roundRect">
              <a:avLst/>
            </a:prstGeom>
            <a:solidFill>
              <a:srgbClr val="E8919B"/>
            </a:solidFill>
            <a:ln>
              <a:noFill/>
            </a:ln>
          </c:spPr>
          <c:invertIfNegative val="0"/>
          <c:dLbls>
            <c:numFmt formatCode="#,##0;#,##0;" sourceLinked="0"/>
            <c:spPr>
              <a:noFill/>
              <a:ln>
                <a:noFill/>
              </a:ln>
              <a:effectLst/>
            </c:spPr>
            <c:txPr>
              <a:bodyPr wrap="none" lIns="38100" tIns="19050" rIns="38100" bIns="19050" anchor="ctr" anchorCtr="1">
                <a:spAutoFit/>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Diagrammdaten!$A$37:$A$43</c:f>
            </c:numRef>
          </c:cat>
          <c:val>
            <c:numRef>
              <c:f>Diagrammdaten!$V$37:$V$43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F9F-4C5E-ABE3-FA0DC9827BFE}"/>
            </c:ext>
          </c:extLst>
        </c:ser>
        <c:dLbls>
          <c:showLegendKey val="0"/>
          <c:showVal val="0"/>
          <c:showCatName val="0"/>
          <c:showSerName val="0"/>
          <c:showPercent val="0"/>
          <c:showBubbleSize val="0"/>
        </c:dLbls>
        <c:gapWidth val="70"/>
        <c:overlap val="100"/>
        <c:axId val="50060001"/>
        <c:axId val="50060002"/>
      </c:barChart>
      <c:lineChart>
        <c:grouping val="standard"/>
        <c:varyColors val="0"/>
        <c:ser>
          <c:idx val="2"/>
          <c:order val="2"/>
          <c:tx>
            <c:v>Delta weniger</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{A3DB8CE1-1FBB-4210-A7F7-7811756E150C}</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02-FF9F-4C5E-ABE3-FA0DC9827BFE}"/>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{16EEA8A2-E588-4F30-95F4-353CE556E8DF}</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03-FF9F-4C5E-ABE3-FA0DC9827BFE}"/>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{3FA9E81E-5B54-4808-8325-781532F31993}</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04-FF9F-4C5E-ABE3-FA0DC9827BFE}"/>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{F8B4F3A7-A56B-4E76-B265-BC25458488F2}</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05-FF9F-4C5E-ABE3-FA0DC9827BFE}"/>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{D0B4713C-1771-437F-8DBE-5163597C1979}</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06-FF9F-4C5E-ABE3-FA0DC9827BFE}"/>
                </c:ext>
              </c:extLst>
            </c:dLbl>
            <c:dLbl>
              <c:idx val="5"/>
              <c:tx>
                <c:strRef>
                  <c:f>Diagrammdaten!$Z$42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{0F213426-CC93-4C30-A584-7AD409AB2523}</c15:txfldGUID>
                      <c15:f>Diagrammdaten!$Z$42</c15:f>
                      <c15:dlblFieldTableCache>
                        <c:ptCount val="1"/>
                      </c15:dlblFieldTableCache>
                    </c15:dlblFTEntry>
                  </c15:dlblFieldTable>
                  <c15:showDataLabelsRange val="0"/>
                </c:ext>
                <c:ext xmlns:c16="http://schemas.microsoft.com/office/drawing/2014/chart" uri="{C3380CC4-5D6E-409C-BE32-E72D297353CC}">
                  <c16:uniqueId val="{00000007-FF9F-4C5E-ABE3-FA0DC9827BFE}"/>
                </c:ext>
              </c:extLst>
            </c:dLbl>
            <c:dLbl>
              <c:idx val="6"/>
              <c:tx>
                <c:strRef>
                  <c:f>Diagrammdaten!$Z$43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{C7F1307E-9509-40C2-BDBA-78FBBA5B8AB4}</c15:txfldGUID>
                      <c15:f>Diagrammdaten!$Z$43</c15:f>
                      <c15:dlblFieldTableCache>
                        <c:ptCount val="1"/>
                      </c15:dlblFieldTableCache>
                    </c15:dlblFTEntry>
                  </c15:dlblFieldTable>
                  <c15:showDataLabelsRange val="0"/>
                </c:ext>
                <c:ext xmlns:c16="http://schemas.microsoft.com/office/drawing/2014/chart" uri="{C3380CC4-5D6E-409C-BE32-E72D297353CC}">
                  <c16:uniqueId val="{00000008-FF9F-4C5E-ABE3-FA0DC9827BFE}"/>
                </c:ext>
              </c:extLst>
            </c:dLbl>
            <c:spPr>
              <a:solidFill>
                <a:srgbClr val="DDF3E4"/>
              </a:solidFill>
              <a:ln w="19050">
                <a:solidFill>
                  <a:srgbClr val="FFFFFF"/>
                </a:solidFill>
              </a:ln>
            </c:spPr>
            <c:txPr>
              <a:bodyPr wrap="none" lIns="38100" tIns="19050" rIns="38100" bIns="19050" anchor="ctr" anchorCtr="1">
                <a:spAutoFit/>
              </a:bodyPr>
              <a:lstStyle/>
              <a:p>
                <a:pPr>
                  <a:defRPr sz="800" b="1" baseline="0">
                    <a:solidFill>
                      <a:srgbClr val="1E7F4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Diagrammdaten!$W$37:$W$43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9-FF9F-4C5E-ABE3-FA0DC9827BFE}"/>
            </c:ext>
          </c:extLst>
        </c:ser>
        <c:ser>
          <c:idx val="3"/>
          <c:order val="3"/>
          <c:tx>
            <c:v>Delta mehr</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{C0AA7C33-989F-4A7F-A5A7-4908AB6323B3}</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0A-FF9F-4C5E-ABE3-FA0DC9827BFE}"/>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{E68F5483-0E0B-49C0-A3CE-9C3FB7F809EC}</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0B-FF9F-4C5E-ABE3-FA0DC9827BFE}"/>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{4D069E19-CF0D-4E50-B1E5-3B6CAD147353}</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0C-FF9F-4C5E-ABE3-FA0DC9827BFE}"/>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{185B95EE-1A50-4C3F-80AA-A58D368380C1}</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0D-FF9F-4C5E-ABE3-FA0DC9827BFE}"/>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{60EB21C8-860F-48B0-BB72-B4FF359D16E2}</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0E-FF9F-4C5E-ABE3-FA0DC9827BFE}"/>
                </c:ext>
              </c:extLst>
            </c:dLbl>
            <c:dLbl>
              <c:idx val="5"/>
              <c:tx>
                <c:strRef>
                  <c:f>Diagrammdaten!$Z$42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{E90DFB95-D915-442C-95A9-0FC651D94EA4}</c15:txfldGUID>
                      <c15:f>Diagrammdaten!$Z$42</c15:f>
                      <c15:dlblFieldTableCache>
                        <c:ptCount val="1"/>
                      </c15:dlblFieldTableCache>
                    </c15:dlblFTEntry>
                  </c15:dlblFieldTable>
                  <c15:showDataLabelsRange val="0"/>
                </c:ext>
                <c:ext xmlns:c16="http://schemas.microsoft.com/office/drawing/2014/chart" uri="{C3380CC4-5D6E-409C-BE32-E72D297353CC}">
                  <c16:uniqueId val="{0000000F-FF9F-4C5E-ABE3-FA0DC9827BFE}"/>
                </c:ext>
              </c:extLst>
            </c:dLbl>
            <c:dLbl>
              <c:idx val="6"/>
              <c:tx>
                <c:strRef>
                  <c:f>Diagrammdaten!$Z$43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{F6F6D964-341B-44D5-B58F-00AE0C33F7B0}</c15:txfldGUID>
                      <c15:f>Diagrammdaten!$Z$43</c15:f>
                      <c15:dlblFieldTableCache>
                        <c:ptCount val="1"/>
                      </c15:dlblFieldTableCache>
                    </c15:dlblFTEntry>
                  </c15:dlblFieldTable>
                  <c15:showDataLabelsRange val="0"/>
                </c:ext>
                <c:ext xmlns:c16="http://schemas.microsoft.com/office/drawing/2014/chart" uri="{C3380CC4-5D6E-409C-BE32-E72D297353CC}">
                  <c16:uniqueId val="{00000010-FF9F-4C5E-ABE3-FA0DC9827BFE}"/>
                </c:ext>
              </c:extLst>
            </c:dLbl>
            <c:spPr>
              <a:solidFill>
                <a:srgbClr val="FBEFC7"/>
              </a:solidFill>
              <a:ln w="19050">
                <a:solidFill>
                  <a:srgbClr val="FFFFFF"/>
                </a:solidFill>
              </a:ln>
            </c:spPr>
            <c:txPr>
              <a:bodyPr wrap="none" lIns="38100" tIns="19050" rIns="38100" bIns="19050" anchor="ctr" anchorCtr="1">
                <a:spAutoFit/>
              </a:bodyPr>
              <a:lstStyle/>
              <a:p>
                <a:pPr>
                  <a:defRPr sz="800" b="1" baseline="0">
                    <a:solidFill>
                      <a:srgbClr val="8A5A00"/>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Diagrammdaten!$X$37:$X$43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1-FF9F-4C5E-ABE3-FA0DC9827BFE}"/>
            </c:ext>
          </c:extLst>
        </c:ser>
        <c:ser>
          <c:idx val="4"/>
          <c:order val="4"/>
          <c:tx>
            <c:v>Delta gleich</c:v>
          </c:tx>
          <c:spPr>
            <a:ln>
              <a:noFill/>
            </a:ln>
          </c:spPr>
          <c:marker>
            <c:symbol val="none"/>
          </c:marker>
          <c:dLbls>
            <c:dLbl>
              <c:idx val="0"/>
              <c:tx>
                <c:strRef>
                  <c:f>Diagrammdaten!$Z$37</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{E7CEF29D-520A-4402-B370-388DFD88063D}</c15:txfldGUID>
                      <c15:f>Diagrammdaten!$Z$37</c15:f>
                      <c15:dlblFieldTableCache>
                        <c:ptCount val="1"/>
                      </c15:dlblFieldTableCache>
                    </c15:dlblFTEntry>
                  </c15:dlblFieldTable>
                  <c15:showDataLabelsRange val="0"/>
                </c:ext>
                <c:ext xmlns:c16="http://schemas.microsoft.com/office/drawing/2014/chart" uri="{C3380CC4-5D6E-409C-BE32-E72D297353CC}">
                  <c16:uniqueId val="{00000012-FF9F-4C5E-ABE3-FA0DC9827BFE}"/>
                </c:ext>
              </c:extLst>
            </c:dLbl>
            <c:dLbl>
              <c:idx val="1"/>
              <c:tx>
                <c:strRef>
                  <c:f>Diagrammdaten!$Z$38</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{48452279-0E00-49AC-A611-65A6D85A20E5}</c15:txfldGUID>
                      <c15:f>Diagrammdaten!$Z$38</c15:f>
                      <c15:dlblFieldTableCache>
                        <c:ptCount val="1"/>
                      </c15:dlblFieldTableCache>
                    </c15:dlblFTEntry>
                  </c15:dlblFieldTable>
                  <c15:showDataLabelsRange val="0"/>
                </c:ext>
                <c:ext xmlns:c16="http://schemas.microsoft.com/office/drawing/2014/chart" uri="{C3380CC4-5D6E-409C-BE32-E72D297353CC}">
                  <c16:uniqueId val="{00000013-FF9F-4C5E-ABE3-FA0DC9827BFE}"/>
                </c:ext>
              </c:extLst>
            </c:dLbl>
            <c:dLbl>
              <c:idx val="2"/>
              <c:tx>
                <c:strRef>
                  <c:f>Diagrammdaten!$Z$39</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{D5999370-A891-46BC-B5A9-C05219166872}</c15:txfldGUID>
                      <c15:f>Diagrammdaten!$Z$39</c15:f>
                      <c15:dlblFieldTableCache>
                        <c:ptCount val="1"/>
                      </c15:dlblFieldTableCache>
                    </c15:dlblFTEntry>
                  </c15:dlblFieldTable>
                  <c15:showDataLabelsRange val="0"/>
                </c:ext>
                <c:ext xmlns:c16="http://schemas.microsoft.com/office/drawing/2014/chart" uri="{C3380CC4-5D6E-409C-BE32-E72D297353CC}">
                  <c16:uniqueId val="{00000014-FF9F-4C5E-ABE3-FA0DC9827BFE}"/>
                </c:ext>
              </c:extLst>
            </c:dLbl>
            <c:dLbl>
              <c:idx val="3"/>
              <c:tx>
                <c:strRef>
                  <c:f>Diagrammdaten!$Z$40</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{6100E703-7085-4556-B2AE-62F3505ACF47}</c15:txfldGUID>
                      <c15:f>Diagrammdaten!$Z$40</c15:f>
                      <c15:dlblFieldTableCache>
                        <c:ptCount val="1"/>
                      </c15:dlblFieldTableCache>
                    </c15:dlblFTEntry>
                  </c15:dlblFieldTable>
                  <c15:showDataLabelsRange val="0"/>
                </c:ext>
                <c:ext xmlns:c16="http://schemas.microsoft.com/office/drawing/2014/chart" uri="{C3380CC4-5D6E-409C-BE32-E72D297353CC}">
                  <c16:uniqueId val="{00000015-FF9F-4C5E-ABE3-FA0DC9827BFE}"/>
                </c:ext>
              </c:extLst>
            </c:dLbl>
            <c:dLbl>
              <c:idx val="4"/>
              <c:tx>
                <c:strRef>
                  <c:f>Diagrammdaten!$Z$41</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{1E1EA3D1-906C-495F-ACDC-F2B3BBDA6D45}</c15:txfldGUID>
                      <c15:f>Diagrammdaten!$Z$41</c15:f>
                      <c15:dlblFieldTableCache>
                        <c:ptCount val="1"/>
                      </c15:dlblFieldTableCache>
                    </c15:dlblFTEntry>
                  </c15:dlblFieldTable>
                  <c15:showDataLabelsRange val="0"/>
                </c:ext>
                <c:ext xmlns:c16="http://schemas.microsoft.com/office/drawing/2014/chart" uri="{C3380CC4-5D6E-409C-BE32-E72D297353CC}">
                  <c16:uniqueId val="{00000016-FF9F-4C5E-ABE3-FA0DC9827BFE}"/>
                </c:ext>
              </c:extLst>
            </c:dLbl>
            <c:dLbl>
              <c:idx val="5"/>
              <c:tx>
                <c:strRef>
                  <c:f>Diagrammdaten!$Z$42</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{8E383E7C-6A27-4293-8471-AC4B0802C8CF}</c15:txfldGUID>
                      <c15:f>Diagrammdaten!$Z$42</c15:f>
                      <c15:dlblFieldTableCache>
                        <c:ptCount val="1"/>
                      </c15:dlblFieldTableCache>
                    </c15:dlblFTEntry>
                  </c15:dlblFieldTable>
                  <c15:showDataLabelsRange val="0"/>
                </c:ext>
                <c:ext xmlns:c16="http://schemas.microsoft.com/office/drawing/2014/chart" uri="{C3380CC4-5D6E-409C-BE32-E72D297353CC}">
                  <c16:uniqueId val="{00000017-FF9F-4C5E-ABE3-FA0DC9827BFE}"/>
                </c:ext>
              </c:extLst>
            </c:dLbl>
            <c:dLbl>
              <c:idx val="6"/>
              <c:tx>
                <c:strRef>
                  <c:f>Diagrammdaten!$Z$43</c:f>
                  <c:strCache>
                    <c:ptCount val="1"/>
                  </c:strCache>
                </c:strRef>
              </c:tx>
              <c:dLblPos val="ctr"/>
              <c:showLegendKey val="0"/>
              <c:showVal val="1"/>
              <c:showCatName val="0"/>
              <c:showSerName val="0"/>
              <c:showPercent val="0"/>
              <c:showBubbleSize val="0"/>
              <c:extLst>
                <c:ext xmlns:c15="http://schemas.microsoft.com/office/drawing/2012/chart" uri="{CE6537A1-D6FC-4f65-9D91-7224C49458BB}">
                  <c15:dlblFieldTable>
                    <c15:dlblFTEntry>
                      <c15:txfldGUID>{1BC2E45B-D9FD-4923-9861-6501685B476E}</c15:txfldGUID>
                      <c15:f>Diagrammdaten!$Z$43</c15:f>
                      <c15:dlblFieldTableCache>
                        <c:ptCount val="1"/>
                      </c15:dlblFieldTableCache>
                    </c15:dlblFTEntry>
                  </c15:dlblFieldTable>
                  <c15:showDataLabelsRange val="0"/>
                </c:ext>
                <c:ext xmlns:c16="http://schemas.microsoft.com/office/drawing/2014/chart" uri="{C3380CC4-5D6E-409C-BE32-E72D297353CC}">
                  <c16:uniqueId val="{00000018-FF9F-4C5E-ABE3-FA0DC9827BFE}"/>
                </c:ext>
              </c:extLst>
            </c:dLbl>
            <c:spPr>
              <a:solidFill>
                <a:srgbClr val="F3F4F6"/>
              </a:solidFill>
              <a:ln w="19050">
                <a:solidFill>
                  <a:srgbClr val="FFFFFF"/>
                </a:solidFill>
              </a:ln>
            </c:spPr>
            <c:txPr>
              <a:bodyPr wrap="none" lIns="38100" tIns="19050" rIns="38100" bIns="19050" anchor="ctr" anchorCtr="1">
                <a:spAutoFit/>
              </a:bodyPr>
              <a:lstStyle/>
              <a:p>
                <a:pPr>
                  <a:defRPr sz="800" b="1" baseline="0">
                    <a:solidFill>
                      <a:srgbClr val="4A4A4A"/>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c15:spPr>
                <c15:showLeaderLines val="0"/>
              </c:ext>
            </c:extLst>
          </c:dLbls>
          <c:cat>
            <c:numRef>
              <c:f>Diagrammdaten!$A$37:$A$43</c:f>
            </c:numRef>
          </c:cat>
          <c:val>
            <c:numRef>
              <c:f>Diagrammdaten!$Y$37:$Y$43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9-FF9F-4C5E-ABE3-FA0DC9827BFE}"/>
            </c:ext>
          </c:extLst>
        </c:ser>
        <c:ser>
          <c:idx val="5"/>
          <c:order val="5"/>
          <c:tx>
            <c:v>Skala</c:v>
          </c:tx>
          <c:spPr>
            <a:ln>
              <a:noFill/>
            </a:ln>
          </c:spPr>
          <c:marker>
            <c:symbol val="none"/>
          </c:marker>
          <c:cat>
            <c:numRef>
              <c:f>Diagrammdaten!$A$37:$A$43</c:f>
            </c:numRef>
          </c:cat>
          <c:val>
            <c:numRef>
              <c:f>Diagrammdaten!$AA$37:$AA$43</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1A-FF9F-4C5E-ABE3-FA0DC9827BFE}"/>
            </c:ext>
          </c:extLst>
        </c:ser>
        <c:dLbls>
          <c:showLegendKey val="0"/>
          <c:showVal val="0"/>
          <c:showCatName val="0"/>
          <c:showSerName val="0"/>
          <c:showPercent val="0"/>
          <c:showBubbleSize val="0"/>
        </c:dLbls>
        <c:marker val="1"/>
        <c:smooth val="0"/>
        <c:axId val="50060001"/>
        <c:axId val="50060002"/>
      </c:lineChart>
      <c:catAx>
        <c:axId val="50060001"/>
        <c:scaling>
          <c:orientation val="minMax"/>
        </c:scaling>
        <c:delete val="0"/>
        <c:axPos val="b"/>
        <c:numFmt formatCode="General" sourceLinked="1"/>
        <c:majorTickMark val="none"/>
        <c:minorTickMark val="none"/>
        <c:tickLblPos val="low"/>
        <c:spPr>
          <a:ln w="9525">
            <a:solidFill>
              <a:srgbClr val="4A4A4A"/>
            </a:solidFill>
          </a:ln>
        </c:spPr>
        <c:txPr>
          <a:bodyPr wrap="none" lIns="38100" tIns="19050" rIns="38100" bIns="19050" anchor="ctr" anchorCtr="1">
            <a:spAutoFit/>
          </a:bodyPr>
          <a:lstStyle/>
          <a:p>
            <a:pPr>
              <a:defRPr sz="800" baseline="0">
                <a:solidFill>
                  <a:srgbClr val="6B6B6B"/>
                </a:solidFill>
                <a:latin typeface="Aptos"/>
              </a:defRPr>
            </a:pPr>
            <a:endParaRPr lang="en-US"/>
          </a:p>
        </c:txPr>
        <c:crossAx val="50060002"/>
        <c:crosses val="autoZero"/>
        <c:auto val="1"/>
        <c:lblAlgn val="ctr"/>
        <c:lblOffset val="100"/>
        <c:noMultiLvlLbl val="0"/>
      </c:catAx>
      <c:valAx>
        <c:axId val="50060002"/>
        <c:scaling>
          <c:orientation val="minMax"/>
        </c:scaling>
        <c:delete val="1"/>
        <c:axPos val="l"/>
        <c:numFmt formatCode="#,##0" sourceLinked="1"/>
        <c:majorTickMark val="out"/>
        <c:minorTickMark val="none"/>
        <c:tickLblPos val="nextTo"/>
        <c:crossAx val="50060001"/>
        <c:crosses val="autoZero"/>
        <c:crossBetween val="between"/>
      </c:valAx>
      <c:spPr>
        <a:noFill/>
        <a:ln>
          <a:noFill/>
        </a:ln>
      </c:spPr>
    </c:plotArea>
    <c:plotVisOnly val="1"/>
    <c:dispBlanksAs val="gap"/>
    <c:showDLblsOverMax val="0"/>
  </c:chart>
  <c:spPr>
    <a:prstGeom prst="roundRect">
      <a:avLst/>
    </a:prstGeom>
    <a:solidFill>
      <a:srgbClr val="FFFFFF"/>
    </a:solid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Gesundheit (KV)</c:v>
          </c:tx>
          <c:spPr>
            <a:solidFill>
              <a:srgbClr val="BF1528"/>
            </a:solidFill>
            <a:ln w="9525">
              <a:solidFill>
                <a:srgbClr val="FFFFFF"/>
              </a:solidFill>
            </a:ln>
          </c:spPr>
          <c:invertIfNegative val="0"/>
          <c:dLbls>
            <c:numFmt formatCode="0.0;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KW!$L$6:$L$12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9F8F-4EDC-BC83-0E99E0AA0558}"/>
            </c:ext>
          </c:extLst>
        </c:ser>
        <c:ser>
          <c:idx val="1"/>
          <c:order val="1"/>
          <c:tx>
            <c:v>Komposit/Leben</c:v>
          </c:tx>
          <c:spPr>
            <a:solidFill>
              <a:srgbClr val="0F94A7"/>
            </a:solidFill>
            <a:ln w="9525">
              <a:solidFill>
                <a:srgbClr val="FFFFFF"/>
              </a:solidFill>
            </a:ln>
          </c:spPr>
          <c:invertIfNegative val="0"/>
          <c:dLbls>
            <c:numFmt formatCode="0.0;0.0;" sourceLinked="0"/>
            <c:spPr>
              <a:noFill/>
              <a:ln>
                <a:noFill/>
              </a:ln>
              <a:effectLst/>
            </c:spPr>
            <c:txPr>
              <a:bodyPr/>
              <a:lstStyle/>
              <a:p>
                <a:pPr>
                  <a:defRPr sz="8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KW!$M$6:$M$12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F8F-4EDC-BC83-0E99E0AA0558}"/>
            </c:ext>
          </c:extLst>
        </c:ser>
        <c:dLbls>
          <c:showLegendKey val="0"/>
          <c:showVal val="0"/>
          <c:showCatName val="0"/>
          <c:showSerName val="0"/>
          <c:showPercent val="0"/>
          <c:showBubbleSize val="0"/>
        </c:dLbls>
        <c:gapWidth val="55"/>
        <c:overlap val="100"/>
        <c:axId val="50070001"/>
        <c:axId val="50070002"/>
      </c:barChart>
      <c:lineChart>
        <c:grouping val="standard"/>
        <c:varyColors val="0"/>
        <c:ser>
          <c:idx val="2"/>
          <c:order val="2"/>
          <c:tx>
            <c:v>Gesamt</c:v>
          </c:tx>
          <c:spPr>
            <a:ln>
              <a:noFill/>
            </a:ln>
          </c:spPr>
          <c:marker>
            <c:symbol val="none"/>
          </c:marker>
          <c:dLbls>
            <c:numFmt formatCode="0.0;0.0;" sourceLinked="0"/>
            <c:spPr>
              <a:noFill/>
              <a:ln>
                <a:noFill/>
              </a:ln>
              <a:effectLst/>
            </c:spPr>
            <c:txPr>
              <a:bodyPr/>
              <a:lstStyle/>
              <a:p>
                <a:pPr>
                  <a:defRPr sz="8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KW!$N$6:$N$12</c:f>
              <c:numCache>
                <c:formatCode>#,##0.0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9F8F-4EDC-BC83-0E99E0AA0558}"/>
            </c:ext>
          </c:extLst>
        </c:ser>
        <c:dLbls>
          <c:showLegendKey val="0"/>
          <c:showVal val="0"/>
          <c:showCatName val="0"/>
          <c:showSerName val="0"/>
          <c:showPercent val="0"/>
          <c:showBubbleSize val="0"/>
        </c:dLbls>
        <c:marker val="1"/>
        <c:smooth val="0"/>
        <c:axId val="50070001"/>
        <c:axId val="50070002"/>
      </c:lineChart>
      <c:catAx>
        <c:axId val="5007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70002"/>
        <c:crosses val="autoZero"/>
        <c:auto val="1"/>
        <c:lblAlgn val="ctr"/>
        <c:lblOffset val="100"/>
        <c:noMultiLvlLbl val="0"/>
      </c:catAx>
      <c:valAx>
        <c:axId val="50070002"/>
        <c:scaling>
          <c:orientation val="minMax"/>
        </c:scaling>
        <c:delete val="1"/>
        <c:axPos val="l"/>
        <c:numFmt formatCode="#,##0.0" sourceLinked="1"/>
        <c:majorTickMark val="out"/>
        <c:minorTickMark val="none"/>
        <c:tickLblPos val="nextTo"/>
        <c:crossAx val="5007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9"/>
          <c:y val="0.12"/>
          <c:w val="0.88"/>
          <c:h val="0.76"/>
        </c:manualLayout>
      </c:layout>
      <c:barChart>
        <c:barDir val="bar"/>
        <c:grouping val="percentStacked"/>
        <c:varyColors val="0"/>
        <c:ser>
          <c:idx val="0"/>
          <c:order val="0"/>
          <c:tx>
            <c:v>0–7 Tage</c:v>
          </c:tx>
          <c:spPr>
            <a:solidFill>
              <a:srgbClr val="CCEBED"/>
            </a:solidFill>
            <a:ln w="12700">
              <a:solidFill>
                <a:srgbClr val="FFFFFF"/>
              </a:solidFill>
            </a:ln>
          </c:spPr>
          <c:invertIfNegative val="0"/>
          <c:dLbls>
            <c:numFmt formatCode="#,##0;#,##0;" sourceLinked="0"/>
            <c:spPr>
              <a:noFill/>
              <a:ln>
                <a:noFill/>
              </a:ln>
              <a:effectLst/>
            </c:spPr>
            <c:txPr>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Filter!$O$15:$O$16</c:f>
              <c:numCache>
                <c:formatCode>#,##0</c:formatCode>
                <c:ptCount val="2"/>
                <c:pt idx="0">
                  <c:v>0</c:v>
                </c:pt>
                <c:pt idx="1">
                  <c:v>0</c:v>
                </c:pt>
              </c:numCache>
            </c:numRef>
          </c:val>
          <c:extLst>
            <c:ext xmlns:c16="http://schemas.microsoft.com/office/drawing/2014/chart" uri="{C3380CC4-5D6E-409C-BE32-E72D297353CC}">
              <c16:uniqueId val="{00000000-7EA3-443C-B994-BE1FBEE22688}"/>
            </c:ext>
          </c:extLst>
        </c:ser>
        <c:ser>
          <c:idx val="1"/>
          <c:order val="1"/>
          <c:tx>
            <c:v>8–30 Tage</c:v>
          </c:tx>
          <c:spPr>
            <a:solidFill>
              <a:srgbClr val="7FCBD4"/>
            </a:solidFill>
            <a:ln w="12700">
              <a:solidFill>
                <a:srgbClr val="FFFFFF"/>
              </a:solidFill>
            </a:ln>
          </c:spPr>
          <c:invertIfNegative val="0"/>
          <c:dLbls>
            <c:numFmt formatCode="#,##0;#,##0;" sourceLinked="0"/>
            <c:spPr>
              <a:noFill/>
              <a:ln>
                <a:noFill/>
              </a:ln>
              <a:effectLst/>
            </c:spPr>
            <c:txPr>
              <a:bodyPr/>
              <a:lstStyle/>
              <a:p>
                <a:pPr>
                  <a:defRPr sz="8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Filter!$P$15:$P$16</c:f>
              <c:numCache>
                <c:formatCode>#,##0</c:formatCode>
                <c:ptCount val="2"/>
                <c:pt idx="0">
                  <c:v>0</c:v>
                </c:pt>
                <c:pt idx="1">
                  <c:v>0</c:v>
                </c:pt>
              </c:numCache>
            </c:numRef>
          </c:val>
          <c:extLst>
            <c:ext xmlns:c16="http://schemas.microsoft.com/office/drawing/2014/chart" uri="{C3380CC4-5D6E-409C-BE32-E72D297353CC}">
              <c16:uniqueId val="{00000001-7EA3-443C-B994-BE1FBEE22688}"/>
            </c:ext>
          </c:extLst>
        </c:ser>
        <c:ser>
          <c:idx val="2"/>
          <c:order val="2"/>
          <c:tx>
            <c:v>31–90 Tage</c:v>
          </c:tx>
          <c:spPr>
            <a:solidFill>
              <a:srgbClr val="0F94A7"/>
            </a:solidFill>
            <a:ln w="12700">
              <a:solidFill>
                <a:srgbClr val="FFFFFF"/>
              </a:solidFill>
            </a:ln>
          </c:spPr>
          <c:invertIfNegative val="0"/>
          <c:dLbls>
            <c:numFmt formatCode="#,##0;#,##0;" sourceLinked="0"/>
            <c:spPr>
              <a:noFill/>
              <a:ln>
                <a:noFill/>
              </a:ln>
              <a:effectLst/>
            </c:spPr>
            <c:txPr>
              <a:bodyPr/>
              <a:lstStyle/>
              <a:p>
                <a:pPr>
                  <a:defRPr sz="8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Filter!$Q$15:$Q$16</c:f>
              <c:numCache>
                <c:formatCode>#,##0</c:formatCode>
                <c:ptCount val="2"/>
                <c:pt idx="0">
                  <c:v>0</c:v>
                </c:pt>
                <c:pt idx="1">
                  <c:v>0</c:v>
                </c:pt>
              </c:numCache>
            </c:numRef>
          </c:val>
          <c:extLst>
            <c:ext xmlns:c16="http://schemas.microsoft.com/office/drawing/2014/chart" uri="{C3380CC4-5D6E-409C-BE32-E72D297353CC}">
              <c16:uniqueId val="{00000002-7EA3-443C-B994-BE1FBEE22688}"/>
            </c:ext>
          </c:extLst>
        </c:ser>
        <c:ser>
          <c:idx val="3"/>
          <c:order val="3"/>
          <c:tx>
            <c:v>über 90 Tage</c:v>
          </c:tx>
          <c:spPr>
            <a:solidFill>
              <a:srgbClr val="0B6F7D"/>
            </a:solidFill>
            <a:ln w="12700">
              <a:solidFill>
                <a:srgbClr val="FFFFFF"/>
              </a:solidFill>
            </a:ln>
          </c:spPr>
          <c:invertIfNegative val="0"/>
          <c:dLbls>
            <c:numFmt formatCode="#,##0;#,##0;" sourceLinked="0"/>
            <c:spPr>
              <a:noFill/>
              <a:ln>
                <a:noFill/>
              </a:ln>
              <a:effectLst/>
            </c:spPr>
            <c:txPr>
              <a:bodyPr/>
              <a:lstStyle/>
              <a:p>
                <a:pPr>
                  <a:defRPr sz="8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Filter!$R$15:$R$16</c:f>
              <c:numCache>
                <c:formatCode>#,##0</c:formatCode>
                <c:ptCount val="2"/>
                <c:pt idx="0">
                  <c:v>0</c:v>
                </c:pt>
                <c:pt idx="1">
                  <c:v>0</c:v>
                </c:pt>
              </c:numCache>
            </c:numRef>
          </c:val>
          <c:extLst>
            <c:ext xmlns:c16="http://schemas.microsoft.com/office/drawing/2014/chart" uri="{C3380CC4-5D6E-409C-BE32-E72D297353CC}">
              <c16:uniqueId val="{00000003-7EA3-443C-B994-BE1FBEE22688}"/>
            </c:ext>
          </c:extLst>
        </c:ser>
        <c:dLbls>
          <c:showLegendKey val="0"/>
          <c:showVal val="0"/>
          <c:showCatName val="0"/>
          <c:showSerName val="0"/>
          <c:showPercent val="0"/>
          <c:showBubbleSize val="0"/>
        </c:dLbls>
        <c:gapWidth val="60"/>
        <c:overlap val="100"/>
        <c:axId val="50080001"/>
        <c:axId val="50080002"/>
      </c:barChart>
      <c:catAx>
        <c:axId val="50080001"/>
        <c:scaling>
          <c:orientation val="maxMin"/>
        </c:scaling>
        <c:delete val="0"/>
        <c:axPos val="l"/>
        <c:numFmt formatCode="General" sourceLinked="0"/>
        <c:majorTickMark val="none"/>
        <c:minorTickMark val="none"/>
        <c:tickLblPos val="nextTo"/>
        <c:spPr>
          <a:ln>
            <a:noFill/>
          </a:ln>
        </c:spPr>
        <c:txPr>
          <a:bodyPr/>
          <a:lstStyle/>
          <a:p>
            <a:pPr>
              <a:defRPr sz="900" b="1" baseline="0">
                <a:solidFill>
                  <a:srgbClr val="4A4A4A"/>
                </a:solidFill>
                <a:latin typeface="Aptos"/>
              </a:defRPr>
            </a:pPr>
            <a:endParaRPr lang="en-US"/>
          </a:p>
        </c:txPr>
        <c:crossAx val="50080002"/>
        <c:crosses val="autoZero"/>
        <c:auto val="1"/>
        <c:lblAlgn val="ctr"/>
        <c:lblOffset val="100"/>
        <c:noMultiLvlLbl val="0"/>
      </c:catAx>
      <c:valAx>
        <c:axId val="50080002"/>
        <c:scaling>
          <c:orientation val="minMax"/>
        </c:scaling>
        <c:delete val="1"/>
        <c:axPos val="t"/>
        <c:numFmt formatCode="0%" sourceLinked="1"/>
        <c:majorTickMark val="out"/>
        <c:minorTickMark val="none"/>
        <c:tickLblPos val="nextTo"/>
        <c:crossAx val="5008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KV</c:v>
          </c:tx>
          <c:spPr>
            <a:solidFill>
              <a:srgbClr val="BF1528"/>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KW!$O$6:$O$12</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0CBA-48D9-9DE6-FC7BAC4C8CBC}"/>
            </c:ext>
          </c:extLst>
        </c:ser>
        <c:ser>
          <c:idx val="1"/>
          <c:order val="1"/>
          <c:tx>
            <c:v>Komposit/Leben</c:v>
          </c:tx>
          <c:spPr>
            <a:solidFill>
              <a:srgbClr val="0F94A7"/>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KW!$P$6:$P$12</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0CBA-48D9-9DE6-FC7BAC4C8CBC}"/>
            </c:ext>
          </c:extLst>
        </c:ser>
        <c:dLbls>
          <c:showLegendKey val="0"/>
          <c:showVal val="0"/>
          <c:showCatName val="0"/>
          <c:showSerName val="0"/>
          <c:showPercent val="0"/>
          <c:showBubbleSize val="0"/>
        </c:dLbls>
        <c:gapWidth val="80"/>
        <c:overlap val="-10"/>
        <c:axId val="50090001"/>
        <c:axId val="50090002"/>
      </c:barChart>
      <c:lineChart>
        <c:grouping val="standard"/>
        <c:varyColors val="0"/>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spPr>
              <a:noFill/>
              <a:ln>
                <a:noFill/>
              </a:ln>
              <a:effectLst/>
            </c:spPr>
            <c:txPr>
              <a:bodyPr/>
              <a:lstStyle/>
              <a:p>
                <a:pPr>
                  <a:defRPr sz="800" b="1" baseline="0">
                    <a:solidFill>
                      <a:srgbClr val="1A1A1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KW!$Q$6:$Q$12</c:f>
              <c:numCache>
                <c:formatCode>#,##0.0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2-0CBA-48D9-9DE6-FC7BAC4C8CBC}"/>
            </c:ext>
          </c:extLst>
        </c:ser>
        <c:dLbls>
          <c:showLegendKey val="0"/>
          <c:showVal val="0"/>
          <c:showCatName val="0"/>
          <c:showSerName val="0"/>
          <c:showPercent val="0"/>
          <c:showBubbleSize val="0"/>
        </c:dLbls>
        <c:marker val="1"/>
        <c:smooth val="0"/>
        <c:axId val="50090001"/>
        <c:axId val="50090002"/>
      </c:lineChart>
      <c:catAx>
        <c:axId val="5009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090002"/>
        <c:crosses val="autoZero"/>
        <c:auto val="1"/>
        <c:lblAlgn val="ctr"/>
        <c:lblOffset val="100"/>
        <c:noMultiLvlLbl val="0"/>
      </c:catAx>
      <c:valAx>
        <c:axId val="50090002"/>
        <c:scaling>
          <c:orientation val="minMax"/>
        </c:scaling>
        <c:delete val="1"/>
        <c:axPos val="l"/>
        <c:numFmt formatCode="#,##0.0" sourceLinked="1"/>
        <c:majorTickMark val="out"/>
        <c:minorTickMark val="none"/>
        <c:tickLblPos val="nextTo"/>
        <c:crossAx val="5009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KV</c:v>
          </c:tx>
          <c:spPr>
            <a:solidFill>
              <a:srgbClr val="BF1528"/>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KW!$R$6:$R$12</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ED62-45B2-B522-22A3C0C0D688}"/>
            </c:ext>
          </c:extLst>
        </c:ser>
        <c:ser>
          <c:idx val="1"/>
          <c:order val="1"/>
          <c:tx>
            <c:v>Komposit/Leben</c:v>
          </c:tx>
          <c:spPr>
            <a:solidFill>
              <a:srgbClr val="0F94A7"/>
            </a:solidFill>
            <a:ln>
              <a:noFill/>
            </a:ln>
          </c:spPr>
          <c:invertIfNegative val="0"/>
          <c:dLbls>
            <c:numFmt formatCode="0.0" sourceLinked="0"/>
            <c:spPr>
              <a:noFill/>
              <a:ln>
                <a:noFill/>
              </a:ln>
              <a:effectLst/>
            </c:spPr>
            <c:txPr>
              <a:bodyPr/>
              <a:lstStyle/>
              <a:p>
                <a:pPr>
                  <a:defRPr sz="800" b="1" baseline="0">
                    <a:solidFill>
                      <a:srgbClr val="FFFFFF"/>
                    </a:solidFill>
                    <a:latin typeface="Apto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KW!$S$6:$S$12</c:f>
              <c:numCache>
                <c:formatCode>#,##0.0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ED62-45B2-B522-22A3C0C0D688}"/>
            </c:ext>
          </c:extLst>
        </c:ser>
        <c:dLbls>
          <c:showLegendKey val="0"/>
          <c:showVal val="0"/>
          <c:showCatName val="0"/>
          <c:showSerName val="0"/>
          <c:showPercent val="0"/>
          <c:showBubbleSize val="0"/>
        </c:dLbls>
        <c:gapWidth val="80"/>
        <c:overlap val="-10"/>
        <c:axId val="50100001"/>
        <c:axId val="50100002"/>
      </c:barChart>
      <c:lineChart>
        <c:grouping val="standard"/>
        <c:varyColors val="0"/>
        <c:ser>
          <c:idx val="2"/>
          <c:order val="2"/>
          <c:tx>
            <c:v>Gesamt</c:v>
          </c:tx>
          <c:spPr>
            <a:ln w="28575">
              <a:solidFill>
                <a:srgbClr val="1A1A1A"/>
              </a:solidFill>
            </a:ln>
          </c:spPr>
          <c:marker>
            <c:symbol val="circle"/>
            <c:size val="7"/>
            <c:spPr>
              <a:solidFill>
                <a:srgbClr val="1A1A1A"/>
              </a:solidFill>
              <a:ln>
                <a:solidFill>
                  <a:srgbClr val="FFFFFF"/>
                </a:solidFill>
              </a:ln>
            </c:spPr>
          </c:marker>
          <c:dLbls>
            <c:numFmt formatCode="0.0" sourceLinked="0"/>
            <c:spPr>
              <a:noFill/>
              <a:ln>
                <a:noFill/>
              </a:ln>
              <a:effectLst/>
            </c:spPr>
            <c:txPr>
              <a:bodyPr/>
              <a:lstStyle/>
              <a:p>
                <a:pPr>
                  <a:defRPr sz="800" b="1" baseline="0">
                    <a:solidFill>
                      <a:srgbClr val="1A1A1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KW!$T$6:$T$12</c:f>
              <c:numCache>
                <c:formatCode>#,##0.0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2-ED62-45B2-B522-22A3C0C0D688}"/>
            </c:ext>
          </c:extLst>
        </c:ser>
        <c:dLbls>
          <c:showLegendKey val="0"/>
          <c:showVal val="0"/>
          <c:showCatName val="0"/>
          <c:showSerName val="0"/>
          <c:showPercent val="0"/>
          <c:showBubbleSize val="0"/>
        </c:dLbls>
        <c:marker val="1"/>
        <c:smooth val="0"/>
        <c:axId val="50100001"/>
        <c:axId val="50100002"/>
      </c:lineChart>
      <c:catAx>
        <c:axId val="5010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800" baseline="0">
                <a:solidFill>
                  <a:srgbClr val="6B6B6B"/>
                </a:solidFill>
                <a:latin typeface="Aptos"/>
              </a:defRPr>
            </a:pPr>
            <a:endParaRPr lang="en-US"/>
          </a:p>
        </c:txPr>
        <c:crossAx val="50100002"/>
        <c:crosses val="autoZero"/>
        <c:auto val="1"/>
        <c:lblAlgn val="ctr"/>
        <c:lblOffset val="100"/>
        <c:noMultiLvlLbl val="0"/>
      </c:catAx>
      <c:valAx>
        <c:axId val="50100002"/>
        <c:scaling>
          <c:orientation val="minMax"/>
        </c:scaling>
        <c:delete val="1"/>
        <c:axPos val="l"/>
        <c:numFmt formatCode="#,##0.0" sourceLinked="1"/>
        <c:majorTickMark val="out"/>
        <c:minorTickMark val="none"/>
        <c:tickLblPos val="nextTo"/>
        <c:crossAx val="5010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Verbund</c:v>
          </c:tx>
          <c:spPr>
            <a:solidFill>
              <a:srgbClr val="0B6F7D"/>
            </a:solidFill>
            <a:ln>
              <a:noFill/>
            </a:ln>
          </c:spPr>
          <c:invertIfNegative val="0"/>
          <c:dLbls>
            <c:numFmt formatCode="#,##0" sourceLinked="0"/>
            <c:spPr>
              <a:noFill/>
              <a:ln>
                <a:noFill/>
              </a:ln>
              <a:effectLst/>
            </c:spPr>
            <c:txPr>
              <a:bodyPr/>
              <a:lstStyle/>
              <a:p>
                <a:pPr>
                  <a:defRPr sz="800"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Filter!$D$5:$D$13</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839D-4AB0-B8E1-86554DCEB1B8}"/>
            </c:ext>
          </c:extLst>
        </c:ser>
        <c:ser>
          <c:idx val="1"/>
          <c:order val="1"/>
          <c:tx>
            <c:v>OPAG</c:v>
          </c:tx>
          <c:spPr>
            <a:solidFill>
              <a:srgbClr val="CCEBED"/>
            </a:solidFill>
            <a:ln>
              <a:noFill/>
            </a:ln>
          </c:spPr>
          <c:invertIfNegative val="0"/>
          <c:cat>
            <c:strRef>
              <c:f>Filter!$B$5:$B$13</c:f>
              <c:strCache>
                <c:ptCount val="9"/>
                <c:pt idx="0">
                  <c:v>KO 23724</c:v>
                </c:pt>
                <c:pt idx="1">
                  <c:v>MV 23724</c:v>
                </c:pt>
                <c:pt idx="2">
                  <c:v>BE 23724</c:v>
                </c:pt>
                <c:pt idx="3">
                  <c:v>WR 23724</c:v>
                </c:pt>
                <c:pt idx="4">
                  <c:v>BÜ 23724</c:v>
                </c:pt>
                <c:pt idx="5">
                  <c:v>72 23724</c:v>
                </c:pt>
                <c:pt idx="6">
                  <c:v>GR 23724</c:v>
                </c:pt>
                <c:pt idx="7">
                  <c:v>00 23724</c:v>
                </c:pt>
                <c:pt idx="8">
                  <c:v>(ohne Postkorb)</c:v>
                </c:pt>
              </c:strCache>
            </c:strRef>
          </c:cat>
          <c:val>
            <c:numRef>
              <c:f>Filter!$E$5:$E$13</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839D-4AB0-B8E1-86554DCEB1B8}"/>
            </c:ext>
          </c:extLst>
        </c:ser>
        <c:dLbls>
          <c:showLegendKey val="0"/>
          <c:showVal val="0"/>
          <c:showCatName val="0"/>
          <c:showSerName val="0"/>
          <c:showPercent val="0"/>
          <c:showBubbleSize val="0"/>
        </c:dLbls>
        <c:gapWidth val="40"/>
        <c:axId val="50110001"/>
        <c:axId val="50110002"/>
      </c:barChart>
      <c:catAx>
        <c:axId val="50110001"/>
        <c:scaling>
          <c:orientation val="maxMin"/>
        </c:scaling>
        <c:delete val="0"/>
        <c:axPos val="l"/>
        <c:numFmt formatCode="General" sourceLinked="0"/>
        <c:majorTickMark val="none"/>
        <c:minorTickMark val="none"/>
        <c:tickLblPos val="nextTo"/>
        <c:spPr>
          <a:ln>
            <a:noFill/>
          </a:ln>
        </c:spPr>
        <c:txPr>
          <a:bodyPr/>
          <a:lstStyle/>
          <a:p>
            <a:pPr>
              <a:defRPr sz="800" baseline="0">
                <a:solidFill>
                  <a:srgbClr val="4A4A4A"/>
                </a:solidFill>
                <a:latin typeface="Aptos"/>
              </a:defRPr>
            </a:pPr>
            <a:endParaRPr lang="en-US"/>
          </a:p>
        </c:txPr>
        <c:crossAx val="50110002"/>
        <c:crosses val="autoZero"/>
        <c:auto val="1"/>
        <c:lblAlgn val="ctr"/>
        <c:lblOffset val="100"/>
        <c:noMultiLvlLbl val="0"/>
      </c:catAx>
      <c:valAx>
        <c:axId val="50110002"/>
        <c:scaling>
          <c:orientation val="minMax"/>
        </c:scaling>
        <c:delete val="0"/>
        <c:axPos val="t"/>
        <c:majorGridlines>
          <c:spPr>
            <a:ln w="9525">
              <a:solidFill>
                <a:srgbClr val="F3F4F6"/>
              </a:solidFill>
            </a:ln>
          </c:spPr>
        </c:majorGridlines>
        <c:numFmt formatCode="#,##0" sourceLinked="0"/>
        <c:majorTickMark val="none"/>
        <c:minorTickMark val="none"/>
        <c:tickLblPos val="nextTo"/>
        <c:spPr>
          <a:ln>
            <a:noFill/>
          </a:ln>
        </c:spPr>
        <c:txPr>
          <a:bodyPr/>
          <a:lstStyle/>
          <a:p>
            <a:pPr>
              <a:defRPr sz="800" baseline="0">
                <a:solidFill>
                  <a:srgbClr val="6B6B6B"/>
                </a:solidFill>
                <a:latin typeface="Aptos"/>
              </a:defRPr>
            </a:pPr>
            <a:endParaRPr lang="en-US"/>
          </a:p>
        </c:txPr>
        <c:crossAx val="50110001"/>
        <c:crosses val="autoZero"/>
        <c:crossBetween val="between"/>
      </c:valAx>
      <c:spPr>
        <a:noFill/>
        <a:ln>
          <a:noFill/>
        </a:ln>
      </c:spPr>
    </c:plotArea>
    <c:legend>
      <c:legendPos val="t"/>
      <c:overlay val="0"/>
      <c:txPr>
        <a:bodyPr/>
        <a:lstStyle/>
        <a:p>
          <a:pPr>
            <a:defRPr sz="800" baseline="0">
              <a:solidFill>
                <a:srgbClr val="4A4A4A"/>
              </a:solidFill>
              <a:latin typeface="Aptos"/>
            </a:defRPr>
          </a:pPr>
          <a:endParaRPr lang="en-US"/>
        </a:p>
      </c:txPr>
    </c:legend>
    <c:plotVisOnly val="1"/>
    <c:dispBlanksAs val="gap"/>
    <c:showDLblsOverMax val="0"/>
  </c:chart>
  <c:spPr>
    <a:solidFill>
      <a:srgbClr val="FFFFFF"/>
    </a:solid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Komposit</c:v>
          </c:tx>
          <c:spPr>
            <a:solidFill>
              <a:srgbClr val="0F94A7"/>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Diagrammdaten!$C$4:$C$10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46E7-4331-B35E-51E6439D5A20}"/>
            </c:ext>
          </c:extLst>
        </c:ser>
        <c:ser>
          <c:idx val="1"/>
          <c:order val="1"/>
          <c:tx>
            <c:v>Leben</c:v>
          </c:tx>
          <c:spPr>
            <a:solidFill>
              <a:srgbClr val="3B4F8A"/>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Diagrammdaten!$D$4:$D$10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46E7-4331-B35E-51E6439D5A20}"/>
            </c:ext>
          </c:extLst>
        </c:ser>
        <c:ser>
          <c:idx val="2"/>
          <c:order val="2"/>
          <c:tx>
            <c:v>KV</c:v>
          </c:tx>
          <c:spPr>
            <a:solidFill>
              <a:srgbClr val="BF1528"/>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Diagrammdaten!$E$4:$E$10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46E7-4331-B35E-51E6439D5A20}"/>
            </c:ext>
          </c:extLst>
        </c:ser>
        <c:dLbls>
          <c:showLegendKey val="0"/>
          <c:showVal val="0"/>
          <c:showCatName val="0"/>
          <c:showSerName val="0"/>
          <c:showPercent val="0"/>
          <c:showBubbleSize val="0"/>
        </c:dLbls>
        <c:gapWidth val="60"/>
        <c:overlap val="100"/>
        <c:axId val="50120001"/>
        <c:axId val="50120002"/>
      </c:barChart>
      <c:lineChart>
        <c:grouping val="standard"/>
        <c:varyColors val="0"/>
        <c:ser>
          <c:idx val="3"/>
          <c:order val="3"/>
          <c:tx>
            <c:v>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Diagrammdaten!$F$4:$F$10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3-46E7-4331-B35E-51E6439D5A20}"/>
            </c:ext>
          </c:extLst>
        </c:ser>
        <c:dLbls>
          <c:showLegendKey val="0"/>
          <c:showVal val="0"/>
          <c:showCatName val="0"/>
          <c:showSerName val="0"/>
          <c:showPercent val="0"/>
          <c:showBubbleSize val="0"/>
        </c:dLbls>
        <c:marker val="1"/>
        <c:smooth val="0"/>
        <c:axId val="50120001"/>
        <c:axId val="50120002"/>
      </c:lineChart>
      <c:catAx>
        <c:axId val="5012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20002"/>
        <c:crosses val="autoZero"/>
        <c:auto val="1"/>
        <c:lblAlgn val="ctr"/>
        <c:lblOffset val="100"/>
        <c:noMultiLvlLbl val="0"/>
      </c:catAx>
      <c:valAx>
        <c:axId val="50120002"/>
        <c:scaling>
          <c:orientation val="minMax"/>
        </c:scaling>
        <c:delete val="1"/>
        <c:axPos val="l"/>
        <c:numFmt formatCode="#,##0" sourceLinked="1"/>
        <c:majorTickMark val="out"/>
        <c:minorTickMark val="none"/>
        <c:tickLblPos val="nextTo"/>
        <c:crossAx val="5012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Komposit</c:v>
          </c:tx>
          <c:spPr>
            <a:solidFill>
              <a:srgbClr val="0F94A7"/>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Diagrammdaten!$G$4:$G$10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5571-46E0-A0F9-5A6B56AA5288}"/>
            </c:ext>
          </c:extLst>
        </c:ser>
        <c:ser>
          <c:idx val="1"/>
          <c:order val="1"/>
          <c:tx>
            <c:v>Leben</c:v>
          </c:tx>
          <c:spPr>
            <a:solidFill>
              <a:srgbClr val="3B4F8A"/>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Diagrammdaten!$H$4:$H$10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5571-46E0-A0F9-5A6B56AA5288}"/>
            </c:ext>
          </c:extLst>
        </c:ser>
        <c:ser>
          <c:idx val="2"/>
          <c:order val="2"/>
          <c:tx>
            <c:v>KV</c:v>
          </c:tx>
          <c:spPr>
            <a:solidFill>
              <a:srgbClr val="BF1528"/>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Diagrammdaten!$I$4:$I$10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2-5571-46E0-A0F9-5A6B56AA5288}"/>
            </c:ext>
          </c:extLst>
        </c:ser>
        <c:dLbls>
          <c:showLegendKey val="0"/>
          <c:showVal val="0"/>
          <c:showCatName val="0"/>
          <c:showSerName val="0"/>
          <c:showPercent val="0"/>
          <c:showBubbleSize val="0"/>
        </c:dLbls>
        <c:gapWidth val="60"/>
        <c:overlap val="100"/>
        <c:axId val="50130001"/>
        <c:axId val="50130002"/>
      </c:barChart>
      <c:lineChart>
        <c:grouping val="standard"/>
        <c:varyColors val="0"/>
        <c:ser>
          <c:idx val="3"/>
          <c:order val="3"/>
          <c:tx>
            <c:v>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Diagrammdaten!$J$4:$J$10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3-5571-46E0-A0F9-5A6B56AA5288}"/>
            </c:ext>
          </c:extLst>
        </c:ser>
        <c:dLbls>
          <c:showLegendKey val="0"/>
          <c:showVal val="0"/>
          <c:showCatName val="0"/>
          <c:showSerName val="0"/>
          <c:showPercent val="0"/>
          <c:showBubbleSize val="0"/>
        </c:dLbls>
        <c:marker val="1"/>
        <c:smooth val="0"/>
        <c:axId val="50130001"/>
        <c:axId val="50130002"/>
      </c:lineChart>
      <c:catAx>
        <c:axId val="5013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30002"/>
        <c:crosses val="autoZero"/>
        <c:auto val="1"/>
        <c:lblAlgn val="ctr"/>
        <c:lblOffset val="100"/>
        <c:noMultiLvlLbl val="0"/>
      </c:catAx>
      <c:valAx>
        <c:axId val="50130002"/>
        <c:scaling>
          <c:orientation val="minMax"/>
        </c:scaling>
        <c:delete val="1"/>
        <c:axPos val="l"/>
        <c:numFmt formatCode="#,##0" sourceLinked="1"/>
        <c:majorTickMark val="out"/>
        <c:minorTickMark val="none"/>
        <c:tickLblPos val="nextTo"/>
        <c:crossAx val="5013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64"/>
        </c:manualLayout>
      </c:layout>
      <c:barChart>
        <c:barDir val="col"/>
        <c:grouping val="stacked"/>
        <c:varyColors val="0"/>
        <c:ser>
          <c:idx val="0"/>
          <c:order val="0"/>
          <c:tx>
            <c:v>MAK Gesundheit (KV)</c:v>
          </c:tx>
          <c:spPr>
            <a:solidFill>
              <a:srgbClr val="BF1528"/>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KW!$L$6:$L$12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3387-4828-8B61-ECD31FE4D408}"/>
            </c:ext>
          </c:extLst>
        </c:ser>
        <c:ser>
          <c:idx val="1"/>
          <c:order val="1"/>
          <c:tx>
            <c:v>MAK Komposit/Leben</c:v>
          </c:tx>
          <c:spPr>
            <a:solidFill>
              <a:srgbClr val="0F94A7"/>
            </a:solidFill>
            <a:ln w="6350">
              <a:solidFill>
                <a:srgbClr val="FFFFFF"/>
              </a:solidFill>
            </a:ln>
          </c:spPr>
          <c:invertIfNegative val="0"/>
          <c:dLbls>
            <c:numFmt formatCode="0.0;0.0;" sourceLinked="0"/>
            <c:spPr>
              <a:noFill/>
              <a:ln>
                <a:noFill/>
              </a:ln>
              <a:effectLst/>
            </c:spPr>
            <c:txPr>
              <a:bodyPr/>
              <a:lstStyle/>
              <a:p>
                <a:pPr>
                  <a:defRPr sz="700" b="1" baseline="0">
                    <a:solidFill>
                      <a:srgbClr val="FFFFFF"/>
                    </a:solidFill>
                    <a:latin typeface="Apto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KW!$M$6:$M$12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3387-4828-8B61-ECD31FE4D408}"/>
            </c:ext>
          </c:extLst>
        </c:ser>
        <c:dLbls>
          <c:showLegendKey val="0"/>
          <c:showVal val="0"/>
          <c:showCatName val="0"/>
          <c:showSerName val="0"/>
          <c:showPercent val="0"/>
          <c:showBubbleSize val="0"/>
        </c:dLbls>
        <c:gapWidth val="70"/>
        <c:overlap val="100"/>
        <c:axId val="50140001"/>
        <c:axId val="50140002"/>
      </c:barChart>
      <c:lineChart>
        <c:grouping val="standard"/>
        <c:varyColors val="0"/>
        <c:ser>
          <c:idx val="2"/>
          <c:order val="2"/>
          <c:tx>
            <c:v>MAK gesamt</c:v>
          </c:tx>
          <c:spPr>
            <a:ln>
              <a:noFill/>
            </a:ln>
          </c:spPr>
          <c:marker>
            <c:symbol val="none"/>
          </c:marker>
          <c:dLbls>
            <c:numFmt formatCode="0.0;0.0;" sourceLinked="0"/>
            <c:spPr>
              <a:noFill/>
              <a:ln>
                <a:noFill/>
              </a:ln>
              <a:effectLst/>
            </c:spPr>
            <c:txPr>
              <a:bodyPr/>
              <a:lstStyle/>
              <a:p>
                <a:pPr>
                  <a:defRPr sz="700" b="1" baseline="0">
                    <a:solidFill>
                      <a:srgbClr val="4A4A4A"/>
                    </a:solidFill>
                    <a:latin typeface="Apto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KW!$C$6:$C$12</c:f>
              <c:strCache>
                <c:ptCount val="7"/>
                <c:pt idx="0">
                  <c:v>KW 30/26</c:v>
                </c:pt>
                <c:pt idx="1">
                  <c:v>KW 31/26</c:v>
                </c:pt>
                <c:pt idx="2">
                  <c:v>KW 32/26</c:v>
                </c:pt>
                <c:pt idx="3">
                  <c:v>KW 33/26</c:v>
                </c:pt>
                <c:pt idx="4">
                  <c:v>KW 34/26</c:v>
                </c:pt>
                <c:pt idx="5">
                  <c:v>KW 35/26</c:v>
                </c:pt>
                <c:pt idx="6">
                  <c:v>KW 36/26</c:v>
                </c:pt>
              </c:strCache>
            </c:strRef>
          </c:cat>
          <c:val>
            <c:numRef>
              <c:f>KW!$N$6:$N$12</c:f>
              <c:numCache>
                <c:formatCode>#,##0.0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3387-4828-8B61-ECD31FE4D408}"/>
            </c:ext>
          </c:extLst>
        </c:ser>
        <c:dLbls>
          <c:showLegendKey val="0"/>
          <c:showVal val="0"/>
          <c:showCatName val="0"/>
          <c:showSerName val="0"/>
          <c:showPercent val="0"/>
          <c:showBubbleSize val="0"/>
        </c:dLbls>
        <c:marker val="1"/>
        <c:smooth val="0"/>
        <c:axId val="50140001"/>
        <c:axId val="50140002"/>
      </c:lineChart>
      <c:catAx>
        <c:axId val="50140001"/>
        <c:scaling>
          <c:orientation val="minMax"/>
        </c:scaling>
        <c:delete val="0"/>
        <c:axPos val="b"/>
        <c:numFmt formatCode="General" sourceLinked="1"/>
        <c:majorTickMark val="none"/>
        <c:minorTickMark val="none"/>
        <c:tickLblPos val="nextTo"/>
        <c:spPr>
          <a:ln w="9525">
            <a:solidFill>
              <a:srgbClr val="D0D5DA"/>
            </a:solidFill>
          </a:ln>
        </c:spPr>
        <c:txPr>
          <a:bodyPr/>
          <a:lstStyle/>
          <a:p>
            <a:pPr>
              <a:defRPr sz="700" baseline="0">
                <a:solidFill>
                  <a:srgbClr val="6B6B6B"/>
                </a:solidFill>
                <a:latin typeface="Aptos"/>
              </a:defRPr>
            </a:pPr>
            <a:endParaRPr lang="en-US"/>
          </a:p>
        </c:txPr>
        <c:crossAx val="50140002"/>
        <c:crosses val="autoZero"/>
        <c:auto val="1"/>
        <c:lblAlgn val="ctr"/>
        <c:lblOffset val="100"/>
        <c:noMultiLvlLbl val="0"/>
      </c:catAx>
      <c:valAx>
        <c:axId val="50140002"/>
        <c:scaling>
          <c:orientation val="minMax"/>
        </c:scaling>
        <c:delete val="1"/>
        <c:axPos val="l"/>
        <c:numFmt formatCode="#,##0.0" sourceLinked="1"/>
        <c:majorTickMark val="out"/>
        <c:minorTickMark val="none"/>
        <c:tickLblPos val="nextTo"/>
        <c:crossAx val="5014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57999999999999996"/>
        </c:manualLayout>
      </c:layout>
      <c:barChart>
        <c:barDir val="col"/>
        <c:grouping val="clustered"/>
        <c:varyColors val="0"/>
        <c:ser>
          <c:idx val="0"/>
          <c:order val="0"/>
          <c:tx>
            <c:v>Eingänge</c:v>
          </c:tx>
          <c:spPr>
            <a:solidFill>
              <a:srgbClr val="4A4A4A"/>
            </a:solidFill>
            <a:ln>
              <a:noFill/>
            </a:ln>
          </c:spPr>
          <c:invertIfNegative val="0"/>
          <c:dLbls>
            <c:numFmt formatCode="#,##0;#,##0;" sourceLinked="0"/>
            <c:spPr>
              <a:noFill/>
              <a:ln>
                <a:noFill/>
              </a:ln>
              <a:effectLst/>
            </c:spPr>
            <c:txPr>
              <a:bodyPr/>
              <a:lstStyle/>
              <a:p>
                <a:pPr>
                  <a:defRPr sz="700" b="1"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Diagrammdaten!$K$4:$K$10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F498-405A-A9E2-9FDB9C91EEAB}"/>
            </c:ext>
          </c:extLst>
        </c:ser>
        <c:ser>
          <c:idx val="1"/>
          <c:order val="1"/>
          <c:tx>
            <c:v>Abgänge</c:v>
          </c:tx>
          <c:spPr>
            <a:solidFill>
              <a:srgbClr val="0F94A7"/>
            </a:solidFill>
            <a:ln>
              <a:noFill/>
            </a:ln>
          </c:spPr>
          <c:invertIfNegative val="0"/>
          <c:dLbls>
            <c:numFmt formatCode="#,##0;#,##0;" sourceLinked="0"/>
            <c:spPr>
              <a:noFill/>
              <a:ln>
                <a:noFill/>
              </a:ln>
              <a:effectLst/>
            </c:spPr>
            <c:txPr>
              <a:bodyPr/>
              <a:lstStyle/>
              <a:p>
                <a:pPr>
                  <a:defRPr sz="700" b="1" baseline="0">
                    <a:solidFill>
                      <a:srgbClr val="0B6F7D"/>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Diagrammdaten!$L$4:$L$10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F498-405A-A9E2-9FDB9C91EEAB}"/>
            </c:ext>
          </c:extLst>
        </c:ser>
        <c:dLbls>
          <c:showLegendKey val="0"/>
          <c:showVal val="0"/>
          <c:showCatName val="0"/>
          <c:showSerName val="0"/>
          <c:showPercent val="0"/>
          <c:showBubbleSize val="0"/>
        </c:dLbls>
        <c:gapWidth val="80"/>
        <c:overlap val="100"/>
        <c:axId val="50150001"/>
        <c:axId val="50150002"/>
      </c:barChart>
      <c:lineChart>
        <c:grouping val="standard"/>
        <c:varyColors val="0"/>
        <c:ser>
          <c:idx val="2"/>
          <c:order val="2"/>
          <c:tx>
            <c:v>Delta</c:v>
          </c:tx>
          <c:spPr>
            <a:ln>
              <a:noFill/>
            </a:ln>
          </c:spPr>
          <c:marker>
            <c:symbol val="diamond"/>
            <c:size val="6"/>
            <c:spPr>
              <a:solidFill>
                <a:srgbClr val="BF1528"/>
              </a:solidFill>
              <a:ln>
                <a:solidFill>
                  <a:srgbClr val="FFFFFF"/>
                </a:solidFill>
              </a:ln>
            </c:spPr>
          </c:marker>
          <c:dLbls>
            <c:numFmt formatCode="\+#,##0;\-#,##0;\±0" sourceLinked="0"/>
            <c:spPr>
              <a:noFill/>
              <a:ln>
                <a:noFill/>
              </a:ln>
              <a:effectLst/>
            </c:spPr>
            <c:txPr>
              <a:bodyPr/>
              <a:lstStyle/>
              <a:p>
                <a:pPr>
                  <a:defRPr sz="700" b="1" baseline="0">
                    <a:solidFill>
                      <a:srgbClr val="BF1528"/>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Diagrammdaten!$M$4:$M$10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2-F498-405A-A9E2-9FDB9C91EEAB}"/>
            </c:ext>
          </c:extLst>
        </c:ser>
        <c:dLbls>
          <c:showLegendKey val="0"/>
          <c:showVal val="0"/>
          <c:showCatName val="0"/>
          <c:showSerName val="0"/>
          <c:showPercent val="0"/>
          <c:showBubbleSize val="0"/>
        </c:dLbls>
        <c:marker val="1"/>
        <c:smooth val="0"/>
        <c:axId val="50150001"/>
        <c:axId val="50150002"/>
      </c:lineChart>
      <c:catAx>
        <c:axId val="50150001"/>
        <c:scaling>
          <c:orientation val="minMax"/>
        </c:scaling>
        <c:delete val="0"/>
        <c:axPos val="b"/>
        <c:numFmt formatCode="General" sourceLinked="1"/>
        <c:majorTickMark val="none"/>
        <c:min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50002"/>
        <c:crosses val="autoZero"/>
        <c:auto val="1"/>
        <c:lblAlgn val="ctr"/>
        <c:lblOffset val="100"/>
        <c:noMultiLvlLbl val="0"/>
      </c:catAx>
      <c:valAx>
        <c:axId val="50150002"/>
        <c:scaling>
          <c:orientation val="minMax"/>
        </c:scaling>
        <c:delete val="1"/>
        <c:axPos val="l"/>
        <c:numFmt formatCode="#,##0" sourceLinked="1"/>
        <c:majorTickMark val="out"/>
        <c:minorTickMark val="none"/>
        <c:tickLblPos val="nextTo"/>
        <c:crossAx val="5015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02"/>
          <c:y val="0.15"/>
          <c:w val="0.96"/>
          <c:h val="0.57999999999999996"/>
        </c:manualLayout>
      </c:layout>
      <c:barChart>
        <c:barDir val="col"/>
        <c:grouping val="clustered"/>
        <c:varyColors val="0"/>
        <c:ser>
          <c:idx val="0"/>
          <c:order val="0"/>
          <c:tx>
            <c:v>Eingänge</c:v>
          </c:tx>
          <c:spPr>
            <a:solidFill>
              <a:srgbClr val="4A4A4A"/>
            </a:solidFill>
            <a:ln>
              <a:noFill/>
            </a:ln>
          </c:spPr>
          <c:invertIfNegative val="0"/>
          <c:dLbls>
            <c:numFmt formatCode="#,##0;#,##0;" sourceLinked="0"/>
            <c:spPr>
              <a:noFill/>
              <a:ln>
                <a:noFill/>
              </a:ln>
              <a:effectLst/>
            </c:spPr>
            <c:txPr>
              <a:bodyPr/>
              <a:lstStyle/>
              <a:p>
                <a:pPr>
                  <a:defRPr sz="700" b="1" baseline="0">
                    <a:solidFill>
                      <a:srgbClr val="4A4A4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Diagrammdaten!$N$4:$N$10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0-B031-4D8B-9C3D-0FD75BC4E010}"/>
            </c:ext>
          </c:extLst>
        </c:ser>
        <c:ser>
          <c:idx val="1"/>
          <c:order val="1"/>
          <c:tx>
            <c:v>Abgänge</c:v>
          </c:tx>
          <c:spPr>
            <a:solidFill>
              <a:srgbClr val="0F94A7"/>
            </a:solidFill>
            <a:ln>
              <a:noFill/>
            </a:ln>
          </c:spPr>
          <c:invertIfNegative val="0"/>
          <c:dLbls>
            <c:numFmt formatCode="#,##0;#,##0;" sourceLinked="0"/>
            <c:spPr>
              <a:noFill/>
              <a:ln>
                <a:noFill/>
              </a:ln>
              <a:effectLst/>
            </c:spPr>
            <c:txPr>
              <a:bodyPr/>
              <a:lstStyle/>
              <a:p>
                <a:pPr>
                  <a:defRPr sz="700" b="1" baseline="0">
                    <a:solidFill>
                      <a:srgbClr val="0B6F7D"/>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Diagrammdaten!$O$4:$O$10</c:f>
              <c:numCache>
                <c:formatCode>#,##0</c:formatCode>
                <c:ptCount val="7"/>
                <c:pt idx="0">
                  <c:v>#N/A</c:v>
                </c:pt>
                <c:pt idx="1">
                  <c:v>#N/A</c:v>
                </c:pt>
                <c:pt idx="2">
                  <c:v>#N/A</c:v>
                </c:pt>
                <c:pt idx="3">
                  <c:v>#N/A</c:v>
                </c:pt>
                <c:pt idx="4">
                  <c:v>#N/A</c:v>
                </c:pt>
                <c:pt idx="5">
                  <c:v>#N/A</c:v>
                </c:pt>
                <c:pt idx="6">
                  <c:v>#N/A</c:v>
                </c:pt>
              </c:numCache>
            </c:numRef>
          </c:val>
          <c:extLst>
            <c:ext xmlns:c16="http://schemas.microsoft.com/office/drawing/2014/chart" uri="{C3380CC4-5D6E-409C-BE32-E72D297353CC}">
              <c16:uniqueId val="{00000001-B031-4D8B-9C3D-0FD75BC4E010}"/>
            </c:ext>
          </c:extLst>
        </c:ser>
        <c:dLbls>
          <c:showLegendKey val="0"/>
          <c:showVal val="0"/>
          <c:showCatName val="0"/>
          <c:showSerName val="0"/>
          <c:showPercent val="0"/>
          <c:showBubbleSize val="0"/>
        </c:dLbls>
        <c:gapWidth val="80"/>
        <c:overlap val="100"/>
        <c:axId val="50160001"/>
        <c:axId val="50160002"/>
      </c:barChart>
      <c:lineChart>
        <c:grouping val="standard"/>
        <c:varyColors val="0"/>
        <c:ser>
          <c:idx val="2"/>
          <c:order val="2"/>
          <c:tx>
            <c:v>Delta</c:v>
          </c:tx>
          <c:spPr>
            <a:ln>
              <a:noFill/>
            </a:ln>
          </c:spPr>
          <c:marker>
            <c:symbol val="diamond"/>
            <c:size val="6"/>
            <c:spPr>
              <a:solidFill>
                <a:srgbClr val="BF1528"/>
              </a:solidFill>
              <a:ln>
                <a:solidFill>
                  <a:srgbClr val="FFFFFF"/>
                </a:solidFill>
              </a:ln>
            </c:spPr>
          </c:marker>
          <c:dLbls>
            <c:numFmt formatCode="\+#,##0;\-#,##0;\±0" sourceLinked="0"/>
            <c:spPr>
              <a:noFill/>
              <a:ln>
                <a:noFill/>
              </a:ln>
              <a:effectLst/>
            </c:spPr>
            <c:txPr>
              <a:bodyPr/>
              <a:lstStyle/>
              <a:p>
                <a:pPr>
                  <a:defRPr sz="700" b="1" baseline="0">
                    <a:solidFill>
                      <a:srgbClr val="BF1528"/>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Diagrammdaten!$A$4:$A$10</c:f>
            </c:numRef>
          </c:cat>
          <c:val>
            <c:numRef>
              <c:f>Diagrammdaten!$P$4:$P$10</c:f>
              <c:numCache>
                <c:formatCode>#,##0</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2-B031-4D8B-9C3D-0FD75BC4E010}"/>
            </c:ext>
          </c:extLst>
        </c:ser>
        <c:dLbls>
          <c:showLegendKey val="0"/>
          <c:showVal val="0"/>
          <c:showCatName val="0"/>
          <c:showSerName val="0"/>
          <c:showPercent val="0"/>
          <c:showBubbleSize val="0"/>
        </c:dLbls>
        <c:marker val="1"/>
        <c:smooth val="0"/>
        <c:axId val="50160001"/>
        <c:axId val="50160002"/>
      </c:lineChart>
      <c:catAx>
        <c:axId val="50160001"/>
        <c:scaling>
          <c:orientation val="minMax"/>
        </c:scaling>
        <c:delete val="0"/>
        <c:axPos val="b"/>
        <c:numFmt formatCode="General" sourceLinked="1"/>
        <c:majorTickMark val="none"/>
        <c:minorTickMark val="none"/>
        <c:tickLblPos val="low"/>
        <c:spPr>
          <a:ln w="9525">
            <a:solidFill>
              <a:srgbClr val="D0D5DA"/>
            </a:solidFill>
          </a:ln>
        </c:spPr>
        <c:txPr>
          <a:bodyPr/>
          <a:lstStyle/>
          <a:p>
            <a:pPr>
              <a:defRPr sz="700" baseline="0">
                <a:solidFill>
                  <a:srgbClr val="6B6B6B"/>
                </a:solidFill>
                <a:latin typeface="Aptos"/>
              </a:defRPr>
            </a:pPr>
            <a:endParaRPr lang="en-US"/>
          </a:p>
        </c:txPr>
        <c:crossAx val="50160002"/>
        <c:crosses val="autoZero"/>
        <c:auto val="1"/>
        <c:lblAlgn val="ctr"/>
        <c:lblOffset val="100"/>
        <c:noMultiLvlLbl val="0"/>
      </c:catAx>
      <c:valAx>
        <c:axId val="50160002"/>
        <c:scaling>
          <c:orientation val="minMax"/>
        </c:scaling>
        <c:delete val="1"/>
        <c:axPos val="l"/>
        <c:numFmt formatCode="#,##0" sourceLinked="1"/>
        <c:majorTickMark val="out"/>
        <c:minorTickMark val="none"/>
        <c:tickLblPos val="nextTo"/>
        <c:crossAx val="5016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
          <c:y val="0.16"/>
          <c:w val="0.88"/>
          <c:h val="0.7"/>
        </c:manualLayout>
      </c:layout>
      <c:barChart>
        <c:barDir val="bar"/>
        <c:grouping val="percentStacked"/>
        <c:varyColors val="0"/>
        <c:ser>
          <c:idx val="0"/>
          <c:order val="0"/>
          <c:tx>
            <c:v>0–7 Tage</c:v>
          </c:tx>
          <c:spPr>
            <a:solidFill>
              <a:srgbClr val="CCEBED"/>
            </a:solidFill>
            <a:ln w="12700">
              <a:solidFill>
                <a:srgbClr val="FFFFFF"/>
              </a:solidFill>
            </a:ln>
          </c:spPr>
          <c:invertIfNegative val="0"/>
          <c:dLbls>
            <c:numFmt formatCode="#,##0;#,##0;" sourceLinked="0"/>
            <c:spPr>
              <a:noFill/>
              <a:ln>
                <a:noFill/>
              </a:ln>
              <a:effectLst/>
            </c:spPr>
            <c:txPr>
              <a:bodyPr/>
              <a:lstStyle/>
              <a:p>
                <a:pPr>
                  <a:defRPr sz="7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Filter!$O$15:$O$16</c:f>
              <c:numCache>
                <c:formatCode>#,##0</c:formatCode>
                <c:ptCount val="2"/>
                <c:pt idx="0">
                  <c:v>0</c:v>
                </c:pt>
                <c:pt idx="1">
                  <c:v>0</c:v>
                </c:pt>
              </c:numCache>
            </c:numRef>
          </c:val>
          <c:extLst>
            <c:ext xmlns:c16="http://schemas.microsoft.com/office/drawing/2014/chart" uri="{C3380CC4-5D6E-409C-BE32-E72D297353CC}">
              <c16:uniqueId val="{00000000-FC59-4D61-9B9E-24DECEE8D8E1}"/>
            </c:ext>
          </c:extLst>
        </c:ser>
        <c:ser>
          <c:idx val="1"/>
          <c:order val="1"/>
          <c:tx>
            <c:v>8–30 Tage</c:v>
          </c:tx>
          <c:spPr>
            <a:solidFill>
              <a:srgbClr val="7FCBD4"/>
            </a:solidFill>
            <a:ln w="12700">
              <a:solidFill>
                <a:srgbClr val="FFFFFF"/>
              </a:solidFill>
            </a:ln>
          </c:spPr>
          <c:invertIfNegative val="0"/>
          <c:dLbls>
            <c:numFmt formatCode="#,##0;#,##0;" sourceLinked="0"/>
            <c:spPr>
              <a:noFill/>
              <a:ln>
                <a:noFill/>
              </a:ln>
              <a:effectLst/>
            </c:spPr>
            <c:txPr>
              <a:bodyPr/>
              <a:lstStyle/>
              <a:p>
                <a:pPr>
                  <a:defRPr sz="700" baseline="0">
                    <a:solidFill>
                      <a:srgbClr val="1A1A1A"/>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Filter!$P$15:$P$16</c:f>
              <c:numCache>
                <c:formatCode>#,##0</c:formatCode>
                <c:ptCount val="2"/>
                <c:pt idx="0">
                  <c:v>0</c:v>
                </c:pt>
                <c:pt idx="1">
                  <c:v>0</c:v>
                </c:pt>
              </c:numCache>
            </c:numRef>
          </c:val>
          <c:extLst>
            <c:ext xmlns:c16="http://schemas.microsoft.com/office/drawing/2014/chart" uri="{C3380CC4-5D6E-409C-BE32-E72D297353CC}">
              <c16:uniqueId val="{00000001-FC59-4D61-9B9E-24DECEE8D8E1}"/>
            </c:ext>
          </c:extLst>
        </c:ser>
        <c:ser>
          <c:idx val="2"/>
          <c:order val="2"/>
          <c:tx>
            <c:v>31–90 Tage</c:v>
          </c:tx>
          <c:spPr>
            <a:solidFill>
              <a:srgbClr val="0F94A7"/>
            </a:solidFill>
            <a:ln w="12700">
              <a:solidFill>
                <a:srgbClr val="FFFFFF"/>
              </a:solidFill>
            </a:ln>
          </c:spPr>
          <c:invertIfNegative val="0"/>
          <c:dLbls>
            <c:numFmt formatCode="#,##0;#,##0;" sourceLinked="0"/>
            <c:spPr>
              <a:noFill/>
              <a:ln>
                <a:noFill/>
              </a:ln>
              <a:effectLst/>
            </c:spPr>
            <c:txPr>
              <a:bodyPr/>
              <a:lstStyle/>
              <a:p>
                <a:pPr>
                  <a:defRPr sz="7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Filter!$Q$15:$Q$16</c:f>
              <c:numCache>
                <c:formatCode>#,##0</c:formatCode>
                <c:ptCount val="2"/>
                <c:pt idx="0">
                  <c:v>0</c:v>
                </c:pt>
                <c:pt idx="1">
                  <c:v>0</c:v>
                </c:pt>
              </c:numCache>
            </c:numRef>
          </c:val>
          <c:extLst>
            <c:ext xmlns:c16="http://schemas.microsoft.com/office/drawing/2014/chart" uri="{C3380CC4-5D6E-409C-BE32-E72D297353CC}">
              <c16:uniqueId val="{00000002-FC59-4D61-9B9E-24DECEE8D8E1}"/>
            </c:ext>
          </c:extLst>
        </c:ser>
        <c:ser>
          <c:idx val="3"/>
          <c:order val="3"/>
          <c:tx>
            <c:v>über 90 Tage</c:v>
          </c:tx>
          <c:spPr>
            <a:solidFill>
              <a:srgbClr val="0B6F7D"/>
            </a:solidFill>
            <a:ln w="12700">
              <a:solidFill>
                <a:srgbClr val="FFFFFF"/>
              </a:solidFill>
            </a:ln>
          </c:spPr>
          <c:invertIfNegative val="0"/>
          <c:dLbls>
            <c:numFmt formatCode="#,##0;#,##0;" sourceLinked="0"/>
            <c:spPr>
              <a:noFill/>
              <a:ln>
                <a:noFill/>
              </a:ln>
              <a:effectLst/>
            </c:spPr>
            <c:txPr>
              <a:bodyPr/>
              <a:lstStyle/>
              <a:p>
                <a:pPr>
                  <a:defRPr sz="700" baseline="0">
                    <a:solidFill>
                      <a:srgbClr val="FFFFFF"/>
                    </a:solidFill>
                    <a:latin typeface="Apto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Filter!$N$15:$N$16</c:f>
              <c:strCache>
                <c:ptCount val="2"/>
                <c:pt idx="0">
                  <c:v>OPAG</c:v>
                </c:pt>
                <c:pt idx="1">
                  <c:v>Verbund</c:v>
                </c:pt>
              </c:strCache>
            </c:strRef>
          </c:cat>
          <c:val>
            <c:numRef>
              <c:f>Filter!$R$15:$R$16</c:f>
              <c:numCache>
                <c:formatCode>#,##0</c:formatCode>
                <c:ptCount val="2"/>
                <c:pt idx="0">
                  <c:v>0</c:v>
                </c:pt>
                <c:pt idx="1">
                  <c:v>0</c:v>
                </c:pt>
              </c:numCache>
            </c:numRef>
          </c:val>
          <c:extLst>
            <c:ext xmlns:c16="http://schemas.microsoft.com/office/drawing/2014/chart" uri="{C3380CC4-5D6E-409C-BE32-E72D297353CC}">
              <c16:uniqueId val="{00000003-FC59-4D61-9B9E-24DECEE8D8E1}"/>
            </c:ext>
          </c:extLst>
        </c:ser>
        <c:dLbls>
          <c:showLegendKey val="0"/>
          <c:showVal val="0"/>
          <c:showCatName val="0"/>
          <c:showSerName val="0"/>
          <c:showPercent val="0"/>
          <c:showBubbleSize val="0"/>
        </c:dLbls>
        <c:gapWidth val="60"/>
        <c:overlap val="100"/>
        <c:axId val="50170001"/>
        <c:axId val="50170002"/>
      </c:barChart>
      <c:catAx>
        <c:axId val="50170001"/>
        <c:scaling>
          <c:orientation val="maxMin"/>
        </c:scaling>
        <c:delete val="0"/>
        <c:axPos val="l"/>
        <c:numFmt formatCode="General" sourceLinked="0"/>
        <c:majorTickMark val="none"/>
        <c:minorTickMark val="none"/>
        <c:tickLblPos val="nextTo"/>
        <c:spPr>
          <a:ln>
            <a:noFill/>
          </a:ln>
        </c:spPr>
        <c:txPr>
          <a:bodyPr/>
          <a:lstStyle/>
          <a:p>
            <a:pPr>
              <a:defRPr sz="800" b="1" baseline="0">
                <a:solidFill>
                  <a:srgbClr val="4A4A4A"/>
                </a:solidFill>
                <a:latin typeface="Aptos"/>
              </a:defRPr>
            </a:pPr>
            <a:endParaRPr lang="en-US"/>
          </a:p>
        </c:txPr>
        <c:crossAx val="50170002"/>
        <c:crosses val="autoZero"/>
        <c:auto val="1"/>
        <c:lblAlgn val="ctr"/>
        <c:lblOffset val="100"/>
        <c:noMultiLvlLbl val="0"/>
      </c:catAx>
      <c:valAx>
        <c:axId val="50170002"/>
        <c:scaling>
          <c:orientation val="minMax"/>
        </c:scaling>
        <c:delete val="1"/>
        <c:axPos val="t"/>
        <c:numFmt formatCode="0%" sourceLinked="1"/>
        <c:majorTickMark val="out"/>
        <c:minorTickMark val="none"/>
        <c:tickLblPos val="nextTo"/>
        <c:crossAx val="50170001"/>
        <c:crosses val="autoZero"/>
        <c:crossBetween val="between"/>
      </c:valAx>
      <c:spPr>
        <a:noFill/>
        <a:ln>
          <a:noFill/>
        </a:ln>
      </c:spPr>
    </c:plotArea>
    <c:legend>
      <c:legendPos val="t"/>
      <c:overlay val="0"/>
      <c:txPr>
        <a:bodyPr/>
        <a:lstStyle/>
        <a:p>
          <a:pPr>
            <a:defRPr sz="700" baseline="0">
              <a:solidFill>
                <a:srgbClr val="4A4A4A"/>
              </a:solidFill>
              <a:latin typeface="Aptos"/>
            </a:defRPr>
          </a:pPr>
          <a:endParaRPr lang="en-US"/>
        </a:p>
      </c:txPr>
    </c:legend>
    <c:plotVisOnly val="1"/>
    <c:dispBlanksAs val="gap"/>
    <c:showDLblsOverMax val="0"/>
  </c:chart>
  <c:spPr>
    <a:solidFill>
      <a:srgbClr val="F3F4F6"/>
    </a:solid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5" Type="http://schemas.openxmlformats.org/officeDocument/2006/relationships/chart" Target="../charts/chart16.xml"/><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absolute">
    <xdr:from>
      <xdr:col>8</xdr:col>
      <xdr:colOff>95250</xdr:colOff>
      <xdr:row>16</xdr:row>
      <xdr:rowOff>57150</xdr:rowOff>
    </xdr:from>
    <xdr:to>
      <xdr:col>32</xdr:col>
      <xdr:colOff>152400</xdr:colOff>
      <xdr:row>30</xdr:row>
      <xdr:rowOff>47625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33</xdr:col>
      <xdr:colOff>95250</xdr:colOff>
      <xdr:row>16</xdr:row>
      <xdr:rowOff>57150</xdr:rowOff>
    </xdr:from>
    <xdr:to>
      <xdr:col>57</xdr:col>
      <xdr:colOff>152400</xdr:colOff>
      <xdr:row>30</xdr:row>
      <xdr:rowOff>47625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8</xdr:col>
      <xdr:colOff>95250</xdr:colOff>
      <xdr:row>33</xdr:row>
      <xdr:rowOff>57150</xdr:rowOff>
    </xdr:from>
    <xdr:to>
      <xdr:col>58</xdr:col>
      <xdr:colOff>0</xdr:colOff>
      <xdr:row>40</xdr:row>
      <xdr:rowOff>47625</xdr:rowOff>
    </xdr:to>
    <xdr:graphicFrame macro="">
      <xdr:nvGraphicFramePr>
        <xdr:cNvPr id="4" name="BW_Gesamt">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95250</xdr:colOff>
      <xdr:row>40</xdr:row>
      <xdr:rowOff>47625</xdr:rowOff>
    </xdr:from>
    <xdr:to>
      <xdr:col>58</xdr:col>
      <xdr:colOff>0</xdr:colOff>
      <xdr:row>46</xdr:row>
      <xdr:rowOff>142875</xdr:rowOff>
    </xdr:to>
    <xdr:graphicFrame macro="">
      <xdr:nvGraphicFramePr>
        <xdr:cNvPr id="5" name="BW_Komposit">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95250</xdr:colOff>
      <xdr:row>46</xdr:row>
      <xdr:rowOff>142875</xdr:rowOff>
    </xdr:from>
    <xdr:to>
      <xdr:col>58</xdr:col>
      <xdr:colOff>0</xdr:colOff>
      <xdr:row>53</xdr:row>
      <xdr:rowOff>28575</xdr:rowOff>
    </xdr:to>
    <xdr:graphicFrame macro="">
      <xdr:nvGraphicFramePr>
        <xdr:cNvPr id="6" name="BW_Lebe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95250</xdr:colOff>
      <xdr:row>53</xdr:row>
      <xdr:rowOff>28575</xdr:rowOff>
    </xdr:from>
    <xdr:to>
      <xdr:col>58</xdr:col>
      <xdr:colOff>0</xdr:colOff>
      <xdr:row>61</xdr:row>
      <xdr:rowOff>28575</xdr:rowOff>
    </xdr:to>
    <xdr:graphicFrame macro="">
      <xdr:nvGraphicFramePr>
        <xdr:cNvPr id="7" name="BW_KV">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8</xdr:col>
      <xdr:colOff>95250</xdr:colOff>
      <xdr:row>65</xdr:row>
      <xdr:rowOff>57150</xdr:rowOff>
    </xdr:from>
    <xdr:to>
      <xdr:col>32</xdr:col>
      <xdr:colOff>152400</xdr:colOff>
      <xdr:row>80</xdr:row>
      <xdr:rowOff>47625</xdr:rowOff>
    </xdr:to>
    <xdr:graphicFrame macro="">
      <xdr:nvGraphicFramePr>
        <xdr:cNvPr id="8" name="Chart 5">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33</xdr:col>
      <xdr:colOff>95250</xdr:colOff>
      <xdr:row>65</xdr:row>
      <xdr:rowOff>57150</xdr:rowOff>
    </xdr:from>
    <xdr:to>
      <xdr:col>57</xdr:col>
      <xdr:colOff>152400</xdr:colOff>
      <xdr:row>80</xdr:row>
      <xdr:rowOff>47625</xdr:rowOff>
    </xdr:to>
    <xdr:graphicFrame macro="">
      <xdr:nvGraphicFramePr>
        <xdr:cNvPr id="9" name="Chart 6">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8</xdr:col>
      <xdr:colOff>95250</xdr:colOff>
      <xdr:row>83</xdr:row>
      <xdr:rowOff>57150</xdr:rowOff>
    </xdr:from>
    <xdr:to>
      <xdr:col>32</xdr:col>
      <xdr:colOff>152400</xdr:colOff>
      <xdr:row>97</xdr:row>
      <xdr:rowOff>104775</xdr:rowOff>
    </xdr:to>
    <xdr:graphicFrame macro="">
      <xdr:nvGraphicFramePr>
        <xdr:cNvPr id="10" name="Chart 7">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33</xdr:col>
      <xdr:colOff>95250</xdr:colOff>
      <xdr:row>83</xdr:row>
      <xdr:rowOff>57150</xdr:rowOff>
    </xdr:from>
    <xdr:to>
      <xdr:col>57</xdr:col>
      <xdr:colOff>152400</xdr:colOff>
      <xdr:row>97</xdr:row>
      <xdr:rowOff>104775</xdr:rowOff>
    </xdr:to>
    <xdr:graphicFrame macro="">
      <xdr:nvGraphicFramePr>
        <xdr:cNvPr id="11" name="Chart 8">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8</xdr:col>
      <xdr:colOff>95250</xdr:colOff>
      <xdr:row>100</xdr:row>
      <xdr:rowOff>57150</xdr:rowOff>
    </xdr:from>
    <xdr:to>
      <xdr:col>32</xdr:col>
      <xdr:colOff>152400</xdr:colOff>
      <xdr:row>114</xdr:row>
      <xdr:rowOff>104775</xdr:rowOff>
    </xdr:to>
    <xdr:graphicFrame macro="">
      <xdr:nvGraphicFramePr>
        <xdr:cNvPr id="12" name="Chart 9">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8</xdr:col>
      <xdr:colOff>209550</xdr:colOff>
      <xdr:row>34</xdr:row>
      <xdr:rowOff>19050</xdr:rowOff>
    </xdr:from>
    <xdr:to>
      <xdr:col>9</xdr:col>
      <xdr:colOff>0</xdr:colOff>
      <xdr:row>38</xdr:row>
      <xdr:rowOff>95250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2971800" y="6858000"/>
          <a:ext cx="38100" cy="7048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34</xdr:row>
      <xdr:rowOff>0</xdr:rowOff>
    </xdr:from>
    <xdr:to>
      <xdr:col>13</xdr:col>
      <xdr:colOff>228600</xdr:colOff>
      <xdr:row>35</xdr:row>
      <xdr:rowOff>114300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3086100" y="68389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Gesamt</a:t>
          </a:r>
        </a:p>
      </xdr:txBody>
    </xdr:sp>
    <xdr:clientData/>
  </xdr:twoCellAnchor>
  <xdr:twoCellAnchor editAs="absolute">
    <xdr:from>
      <xdr:col>9</xdr:col>
      <xdr:colOff>76200</xdr:colOff>
      <xdr:row>35</xdr:row>
      <xdr:rowOff>190500</xdr:rowOff>
    </xdr:from>
    <xdr:to>
      <xdr:col>13</xdr:col>
      <xdr:colOff>228600</xdr:colOff>
      <xdr:row>37</xdr:row>
      <xdr:rowOff>19050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3086100" y="7105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37</xdr:row>
      <xdr:rowOff>38100</xdr:rowOff>
    </xdr:from>
    <xdr:to>
      <xdr:col>13</xdr:col>
      <xdr:colOff>228600</xdr:colOff>
      <xdr:row>37</xdr:row>
      <xdr:rowOff>190500</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3086100" y="72771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9</xdr:col>
      <xdr:colOff>76200</xdr:colOff>
      <xdr:row>37</xdr:row>
      <xdr:rowOff>209550</xdr:rowOff>
    </xdr:from>
    <xdr:to>
      <xdr:col>13</xdr:col>
      <xdr:colOff>228600</xdr:colOff>
      <xdr:row>38</xdr:row>
      <xdr:rowOff>114300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3086100" y="7448550"/>
          <a:ext cx="1143000"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750" i="1">
              <a:solidFill>
                <a:srgbClr val="9AA3AD"/>
              </a:solidFill>
              <a:latin typeface="Aptos"/>
              <a:cs typeface="Aptos"/>
            </a:rPr>
            <a:t>eigene Skala</a:t>
          </a:r>
        </a:p>
      </xdr:txBody>
    </xdr:sp>
    <xdr:clientData/>
  </xdr:twoCellAnchor>
  <xdr:twoCellAnchor editAs="absolute">
    <xdr:from>
      <xdr:col>50</xdr:col>
      <xdr:colOff>190500</xdr:colOff>
      <xdr:row>33</xdr:row>
      <xdr:rowOff>76200</xdr:rowOff>
    </xdr:from>
    <xdr:to>
      <xdr:col>57</xdr:col>
      <xdr:colOff>76200</xdr:colOff>
      <xdr:row>34</xdr:row>
      <xdr:rowOff>0</xdr:rowOff>
    </xdr:to>
    <xdr:sp macro="" textlink="Diagrammdaten!$C$44">
      <xdr:nvSpPr>
        <xdr:cNvPr id="18" name="TextBox 17">
          <a:extLst>
            <a:ext uri="{FF2B5EF4-FFF2-40B4-BE49-F238E27FC236}">
              <a16:creationId xmlns:a16="http://schemas.microsoft.com/office/drawing/2014/main" id="{00000000-0008-0000-0000-000012000000}"/>
            </a:ext>
          </a:extLst>
        </xdr:cNvPr>
        <xdr:cNvSpPr txBox="1"/>
      </xdr:nvSpPr>
      <xdr:spPr>
        <a:xfrm>
          <a:off x="13354050" y="6686550"/>
          <a:ext cx="16192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00" b="1">
              <a:solidFill>
                <a:srgbClr val="4A4A4A"/>
              </a:solidFill>
              <a:latin typeface="Aptos"/>
              <a:cs typeface="Aptos"/>
            </a:rPr>
            <a:pPr/>
            <a:t>Σ letzte 0 Stichtage</a:t>
          </a:fld>
          <a:endParaRPr lang="en-US" sz="900" b="1">
            <a:solidFill>
              <a:srgbClr val="4A4A4A"/>
            </a:solidFill>
            <a:latin typeface="Aptos"/>
            <a:cs typeface="Aptos"/>
          </a:endParaRPr>
        </a:p>
      </xdr:txBody>
    </xdr:sp>
    <xdr:clientData/>
  </xdr:twoCellAnchor>
  <xdr:twoCellAnchor editAs="absolute">
    <xdr:from>
      <xdr:col>50</xdr:col>
      <xdr:colOff>190500</xdr:colOff>
      <xdr:row>34</xdr:row>
      <xdr:rowOff>57150</xdr:rowOff>
    </xdr:from>
    <xdr:to>
      <xdr:col>53</xdr:col>
      <xdr:colOff>114300</xdr:colOff>
      <xdr:row>35</xdr:row>
      <xdr:rowOff>152400</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3354050" y="68961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34</xdr:row>
      <xdr:rowOff>57150</xdr:rowOff>
    </xdr:from>
    <xdr:to>
      <xdr:col>57</xdr:col>
      <xdr:colOff>76200</xdr:colOff>
      <xdr:row>35</xdr:row>
      <xdr:rowOff>152400</xdr:rowOff>
    </xdr:to>
    <xdr:sp macro="" textlink="Diagrammdaten!$C$45">
      <xdr:nvSpPr>
        <xdr:cNvPr id="20" name="TextBox 19">
          <a:extLst>
            <a:ext uri="{FF2B5EF4-FFF2-40B4-BE49-F238E27FC236}">
              <a16:creationId xmlns:a16="http://schemas.microsoft.com/office/drawing/2014/main" id="{00000000-0008-0000-0000-000014000000}"/>
            </a:ext>
          </a:extLst>
        </xdr:cNvPr>
        <xdr:cNvSpPr txBox="1"/>
      </xdr:nvSpPr>
      <xdr:spPr>
        <a:xfrm>
          <a:off x="14020800" y="68961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pPr/>
            <a:t>0</a:t>
          </a:fld>
          <a:endParaRPr lang="en-US" sz="950" b="1">
            <a:solidFill>
              <a:srgbClr val="1A1A1A"/>
            </a:solidFill>
            <a:latin typeface="Aptos"/>
            <a:cs typeface="Aptos"/>
          </a:endParaRPr>
        </a:p>
      </xdr:txBody>
    </xdr:sp>
    <xdr:clientData/>
  </xdr:twoCellAnchor>
  <xdr:twoCellAnchor editAs="absolute">
    <xdr:from>
      <xdr:col>50</xdr:col>
      <xdr:colOff>190500</xdr:colOff>
      <xdr:row>35</xdr:row>
      <xdr:rowOff>190500</xdr:rowOff>
    </xdr:from>
    <xdr:to>
      <xdr:col>53</xdr:col>
      <xdr:colOff>114300</xdr:colOff>
      <xdr:row>37</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13354050" y="7105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35</xdr:row>
      <xdr:rowOff>190500</xdr:rowOff>
    </xdr:from>
    <xdr:to>
      <xdr:col>57</xdr:col>
      <xdr:colOff>76200</xdr:colOff>
      <xdr:row>37</xdr:row>
      <xdr:rowOff>38100</xdr:rowOff>
    </xdr:to>
    <xdr:sp macro="" textlink="Diagrammdaten!$D$45">
      <xdr:nvSpPr>
        <xdr:cNvPr id="22" name="TextBox 21">
          <a:extLst>
            <a:ext uri="{FF2B5EF4-FFF2-40B4-BE49-F238E27FC236}">
              <a16:creationId xmlns:a16="http://schemas.microsoft.com/office/drawing/2014/main" id="{00000000-0008-0000-0000-000016000000}"/>
            </a:ext>
          </a:extLst>
        </xdr:cNvPr>
        <xdr:cNvSpPr txBox="1"/>
      </xdr:nvSpPr>
      <xdr:spPr>
        <a:xfrm>
          <a:off x="14020800" y="7105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A1A1A"/>
              </a:solidFill>
              <a:latin typeface="Aptos"/>
              <a:cs typeface="Aptos"/>
            </a:rPr>
            <a:pPr/>
            <a:t>0</a:t>
          </a:fld>
          <a:endParaRPr lang="en-US" sz="950" b="1">
            <a:solidFill>
              <a:srgbClr val="1A1A1A"/>
            </a:solidFill>
            <a:latin typeface="Aptos"/>
            <a:cs typeface="Aptos"/>
          </a:endParaRPr>
        </a:p>
      </xdr:txBody>
    </xdr:sp>
    <xdr:clientData/>
  </xdr:twoCellAnchor>
  <xdr:twoCellAnchor editAs="absolute">
    <xdr:from>
      <xdr:col>50</xdr:col>
      <xdr:colOff>190500</xdr:colOff>
      <xdr:row>37</xdr:row>
      <xdr:rowOff>76200</xdr:rowOff>
    </xdr:from>
    <xdr:to>
      <xdr:col>53</xdr:col>
      <xdr:colOff>114300</xdr:colOff>
      <xdr:row>38</xdr:row>
      <xdr:rowOff>19050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3354050" y="7315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E$45">
      <xdr:nvSpPr>
        <xdr:cNvPr id="24" name="TextBox 23">
          <a:extLst>
            <a:ext uri="{FF2B5EF4-FFF2-40B4-BE49-F238E27FC236}">
              <a16:creationId xmlns:a16="http://schemas.microsoft.com/office/drawing/2014/main" id="{00000000-0008-0000-0000-000018000000}"/>
            </a:ext>
          </a:extLst>
        </xdr:cNvPr>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 </a:t>
          </a:fld>
          <a:endParaRPr lang="en-US" sz="950" b="1">
            <a:solidFill>
              <a:srgbClr val="1E7F4F"/>
            </a:solidFill>
            <a:latin typeface="Aptos"/>
            <a:cs typeface="Aptos"/>
          </a:endParaRPr>
        </a:p>
      </xdr:txBody>
    </xdr:sp>
    <xdr:clientData/>
  </xdr:twoCellAnchor>
  <xdr:twoCellAnchor editAs="absolute">
    <xdr:from>
      <xdr:col>53</xdr:col>
      <xdr:colOff>114300</xdr:colOff>
      <xdr:row>37</xdr:row>
      <xdr:rowOff>76200</xdr:rowOff>
    </xdr:from>
    <xdr:to>
      <xdr:col>57</xdr:col>
      <xdr:colOff>76200</xdr:colOff>
      <xdr:row>38</xdr:row>
      <xdr:rowOff>19050</xdr:rowOff>
    </xdr:to>
    <xdr:sp macro="" textlink="Diagrammdaten!$F$45">
      <xdr:nvSpPr>
        <xdr:cNvPr id="25" name="TextBox 24">
          <a:extLst>
            <a:ext uri="{FF2B5EF4-FFF2-40B4-BE49-F238E27FC236}">
              <a16:creationId xmlns:a16="http://schemas.microsoft.com/office/drawing/2014/main" id="{00000000-0008-0000-0000-000019000000}"/>
            </a:ext>
          </a:extLst>
        </xdr:cNvPr>
        <xdr:cNvSpPr txBox="1"/>
      </xdr:nvSpPr>
      <xdr:spPr>
        <a:xfrm>
          <a:off x="14020800" y="7315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±0</a:t>
          </a:fld>
          <a:endParaRPr lang="en-US" sz="950" b="1">
            <a:solidFill>
              <a:srgbClr val="8A5A00"/>
            </a:solidFill>
            <a:latin typeface="Aptos"/>
            <a:cs typeface="Aptos"/>
          </a:endParaRPr>
        </a:p>
      </xdr:txBody>
    </xdr:sp>
    <xdr:clientData/>
  </xdr:twoCellAnchor>
  <xdr:twoCellAnchor editAs="absolute">
    <xdr:from>
      <xdr:col>8</xdr:col>
      <xdr:colOff>209550</xdr:colOff>
      <xdr:row>41</xdr:row>
      <xdr:rowOff>28575</xdr:rowOff>
    </xdr:from>
    <xdr:to>
      <xdr:col>9</xdr:col>
      <xdr:colOff>0</xdr:colOff>
      <xdr:row>44</xdr:row>
      <xdr:rowOff>104775</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2971800" y="8210550"/>
          <a:ext cx="38100" cy="704850"/>
        </a:xfrm>
        <a:prstGeom prst="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41</xdr:row>
      <xdr:rowOff>9525</xdr:rowOff>
    </xdr:from>
    <xdr:to>
      <xdr:col>13</xdr:col>
      <xdr:colOff>228600</xdr:colOff>
      <xdr:row>41</xdr:row>
      <xdr:rowOff>200025</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3086100" y="81915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Komposit</a:t>
          </a:r>
        </a:p>
      </xdr:txBody>
    </xdr:sp>
    <xdr:clientData/>
  </xdr:twoCellAnchor>
  <xdr:twoCellAnchor editAs="absolute">
    <xdr:from>
      <xdr:col>9</xdr:col>
      <xdr:colOff>76200</xdr:colOff>
      <xdr:row>42</xdr:row>
      <xdr:rowOff>66675</xdr:rowOff>
    </xdr:from>
    <xdr:to>
      <xdr:col>13</xdr:col>
      <xdr:colOff>228600</xdr:colOff>
      <xdr:row>43</xdr:row>
      <xdr:rowOff>9525</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3086100" y="8458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43</xdr:row>
      <xdr:rowOff>28575</xdr:rowOff>
    </xdr:from>
    <xdr:to>
      <xdr:col>13</xdr:col>
      <xdr:colOff>228600</xdr:colOff>
      <xdr:row>43</xdr:row>
      <xdr:rowOff>180975</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3086100" y="86296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41</xdr:row>
      <xdr:rowOff>66675</xdr:rowOff>
    </xdr:from>
    <xdr:to>
      <xdr:col>53</xdr:col>
      <xdr:colOff>114300</xdr:colOff>
      <xdr:row>42</xdr:row>
      <xdr:rowOff>28575</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13354050" y="82486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41</xdr:row>
      <xdr:rowOff>66675</xdr:rowOff>
    </xdr:from>
    <xdr:to>
      <xdr:col>57</xdr:col>
      <xdr:colOff>76200</xdr:colOff>
      <xdr:row>42</xdr:row>
      <xdr:rowOff>28575</xdr:rowOff>
    </xdr:to>
    <xdr:sp macro="" textlink="Diagrammdaten!$C$46">
      <xdr:nvSpPr>
        <xdr:cNvPr id="31" name="TextBox 30">
          <a:extLst>
            <a:ext uri="{FF2B5EF4-FFF2-40B4-BE49-F238E27FC236}">
              <a16:creationId xmlns:a16="http://schemas.microsoft.com/office/drawing/2014/main" id="{00000000-0008-0000-0000-00001F000000}"/>
            </a:ext>
          </a:extLst>
        </xdr:cNvPr>
        <xdr:cNvSpPr txBox="1"/>
      </xdr:nvSpPr>
      <xdr:spPr>
        <a:xfrm>
          <a:off x="14020800" y="82486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42</xdr:row>
      <xdr:rowOff>66675</xdr:rowOff>
    </xdr:from>
    <xdr:to>
      <xdr:col>53</xdr:col>
      <xdr:colOff>114300</xdr:colOff>
      <xdr:row>43</xdr:row>
      <xdr:rowOff>28575</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354050" y="8458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42</xdr:row>
      <xdr:rowOff>66675</xdr:rowOff>
    </xdr:from>
    <xdr:to>
      <xdr:col>57</xdr:col>
      <xdr:colOff>76200</xdr:colOff>
      <xdr:row>43</xdr:row>
      <xdr:rowOff>28575</xdr:rowOff>
    </xdr:to>
    <xdr:sp macro="" textlink="Diagrammdaten!$D$46">
      <xdr:nvSpPr>
        <xdr:cNvPr id="33" name="TextBox 32">
          <a:extLst>
            <a:ext uri="{FF2B5EF4-FFF2-40B4-BE49-F238E27FC236}">
              <a16:creationId xmlns:a16="http://schemas.microsoft.com/office/drawing/2014/main" id="{00000000-0008-0000-0000-000021000000}"/>
            </a:ext>
          </a:extLst>
        </xdr:cNvPr>
        <xdr:cNvSpPr txBox="1"/>
      </xdr:nvSpPr>
      <xdr:spPr>
        <a:xfrm>
          <a:off x="14020800" y="8458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43</xdr:row>
      <xdr:rowOff>66675</xdr:rowOff>
    </xdr:from>
    <xdr:to>
      <xdr:col>53</xdr:col>
      <xdr:colOff>114300</xdr:colOff>
      <xdr:row>44</xdr:row>
      <xdr:rowOff>28575</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3354050" y="8667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E$46">
      <xdr:nvSpPr>
        <xdr:cNvPr id="35" name="TextBox 34">
          <a:extLst>
            <a:ext uri="{FF2B5EF4-FFF2-40B4-BE49-F238E27FC236}">
              <a16:creationId xmlns:a16="http://schemas.microsoft.com/office/drawing/2014/main" id="{00000000-0008-0000-0000-000023000000}"/>
            </a:ext>
          </a:extLst>
        </xdr:cNvPr>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 </a:t>
          </a:fld>
          <a:endParaRPr lang="en-US" sz="950" b="1">
            <a:solidFill>
              <a:srgbClr val="1E7F4F"/>
            </a:solidFill>
            <a:latin typeface="Aptos"/>
            <a:cs typeface="Aptos"/>
          </a:endParaRPr>
        </a:p>
      </xdr:txBody>
    </xdr:sp>
    <xdr:clientData/>
  </xdr:twoCellAnchor>
  <xdr:twoCellAnchor editAs="absolute">
    <xdr:from>
      <xdr:col>53</xdr:col>
      <xdr:colOff>114300</xdr:colOff>
      <xdr:row>43</xdr:row>
      <xdr:rowOff>66675</xdr:rowOff>
    </xdr:from>
    <xdr:to>
      <xdr:col>57</xdr:col>
      <xdr:colOff>76200</xdr:colOff>
      <xdr:row>44</xdr:row>
      <xdr:rowOff>28575</xdr:rowOff>
    </xdr:to>
    <xdr:sp macro="" textlink="Diagrammdaten!$F$46">
      <xdr:nvSpPr>
        <xdr:cNvPr id="36" name="TextBox 35">
          <a:extLst>
            <a:ext uri="{FF2B5EF4-FFF2-40B4-BE49-F238E27FC236}">
              <a16:creationId xmlns:a16="http://schemas.microsoft.com/office/drawing/2014/main" id="{00000000-0008-0000-0000-000024000000}"/>
            </a:ext>
          </a:extLst>
        </xdr:cNvPr>
        <xdr:cNvSpPr txBox="1"/>
      </xdr:nvSpPr>
      <xdr:spPr>
        <a:xfrm>
          <a:off x="14020800" y="8667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±0</a:t>
          </a:fld>
          <a:endParaRPr lang="en-US" sz="950" b="1">
            <a:solidFill>
              <a:srgbClr val="8A5A00"/>
            </a:solidFill>
            <a:latin typeface="Aptos"/>
            <a:cs typeface="Aptos"/>
          </a:endParaRPr>
        </a:p>
      </xdr:txBody>
    </xdr:sp>
    <xdr:clientData/>
  </xdr:twoCellAnchor>
  <xdr:twoCellAnchor editAs="absolute">
    <xdr:from>
      <xdr:col>8</xdr:col>
      <xdr:colOff>209550</xdr:colOff>
      <xdr:row>47</xdr:row>
      <xdr:rowOff>123825</xdr:rowOff>
    </xdr:from>
    <xdr:to>
      <xdr:col>9</xdr:col>
      <xdr:colOff>0</xdr:colOff>
      <xdr:row>50</xdr:row>
      <xdr:rowOff>200025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2971800" y="9563100"/>
          <a:ext cx="38100" cy="704850"/>
        </a:xfrm>
        <a:prstGeom prst="rect">
          <a:avLst/>
        </a:prstGeom>
        <a:solidFill>
          <a:srgbClr val="3B4F8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47</xdr:row>
      <xdr:rowOff>104775</xdr:rowOff>
    </xdr:from>
    <xdr:to>
      <xdr:col>13</xdr:col>
      <xdr:colOff>228600</xdr:colOff>
      <xdr:row>48</xdr:row>
      <xdr:rowOff>85725</xdr:rowOff>
    </xdr:to>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3086100" y="954405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Leben</a:t>
          </a:r>
        </a:p>
      </xdr:txBody>
    </xdr:sp>
    <xdr:clientData/>
  </xdr:twoCellAnchor>
  <xdr:twoCellAnchor editAs="absolute">
    <xdr:from>
      <xdr:col>9</xdr:col>
      <xdr:colOff>76200</xdr:colOff>
      <xdr:row>48</xdr:row>
      <xdr:rowOff>161925</xdr:rowOff>
    </xdr:from>
    <xdr:to>
      <xdr:col>13</xdr:col>
      <xdr:colOff>228600</xdr:colOff>
      <xdr:row>49</xdr:row>
      <xdr:rowOff>104775</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3086100" y="9810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49</xdr:row>
      <xdr:rowOff>123825</xdr:rowOff>
    </xdr:from>
    <xdr:to>
      <xdr:col>13</xdr:col>
      <xdr:colOff>228600</xdr:colOff>
      <xdr:row>50</xdr:row>
      <xdr:rowOff>66675</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3086100" y="99822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47</xdr:row>
      <xdr:rowOff>161925</xdr:rowOff>
    </xdr:from>
    <xdr:to>
      <xdr:col>53</xdr:col>
      <xdr:colOff>114300</xdr:colOff>
      <xdr:row>48</xdr:row>
      <xdr:rowOff>123825</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13354050" y="96012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47</xdr:row>
      <xdr:rowOff>161925</xdr:rowOff>
    </xdr:from>
    <xdr:to>
      <xdr:col>57</xdr:col>
      <xdr:colOff>76200</xdr:colOff>
      <xdr:row>48</xdr:row>
      <xdr:rowOff>123825</xdr:rowOff>
    </xdr:to>
    <xdr:sp macro="" textlink="Diagrammdaten!$C$47">
      <xdr:nvSpPr>
        <xdr:cNvPr id="42" name="TextBox 41">
          <a:extLst>
            <a:ext uri="{FF2B5EF4-FFF2-40B4-BE49-F238E27FC236}">
              <a16:creationId xmlns:a16="http://schemas.microsoft.com/office/drawing/2014/main" id="{00000000-0008-0000-0000-00002A000000}"/>
            </a:ext>
          </a:extLst>
        </xdr:cNvPr>
        <xdr:cNvSpPr txBox="1"/>
      </xdr:nvSpPr>
      <xdr:spPr>
        <a:xfrm>
          <a:off x="14020800" y="96012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48</xdr:row>
      <xdr:rowOff>161925</xdr:rowOff>
    </xdr:from>
    <xdr:to>
      <xdr:col>53</xdr:col>
      <xdr:colOff>114300</xdr:colOff>
      <xdr:row>49</xdr:row>
      <xdr:rowOff>123825</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13354050" y="9810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48</xdr:row>
      <xdr:rowOff>161925</xdr:rowOff>
    </xdr:from>
    <xdr:to>
      <xdr:col>57</xdr:col>
      <xdr:colOff>76200</xdr:colOff>
      <xdr:row>49</xdr:row>
      <xdr:rowOff>123825</xdr:rowOff>
    </xdr:to>
    <xdr:sp macro="" textlink="Diagrammdaten!$D$47">
      <xdr:nvSpPr>
        <xdr:cNvPr id="44" name="TextBox 43">
          <a:extLst>
            <a:ext uri="{FF2B5EF4-FFF2-40B4-BE49-F238E27FC236}">
              <a16:creationId xmlns:a16="http://schemas.microsoft.com/office/drawing/2014/main" id="{00000000-0008-0000-0000-00002C000000}"/>
            </a:ext>
          </a:extLst>
        </xdr:cNvPr>
        <xdr:cNvSpPr txBox="1"/>
      </xdr:nvSpPr>
      <xdr:spPr>
        <a:xfrm>
          <a:off x="14020800" y="9810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49</xdr:row>
      <xdr:rowOff>161925</xdr:rowOff>
    </xdr:from>
    <xdr:to>
      <xdr:col>53</xdr:col>
      <xdr:colOff>114300</xdr:colOff>
      <xdr:row>50</xdr:row>
      <xdr:rowOff>123825</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3354050" y="10020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E$47">
      <xdr:nvSpPr>
        <xdr:cNvPr id="46" name="TextBox 45">
          <a:extLst>
            <a:ext uri="{FF2B5EF4-FFF2-40B4-BE49-F238E27FC236}">
              <a16:creationId xmlns:a16="http://schemas.microsoft.com/office/drawing/2014/main" id="{00000000-0008-0000-0000-00002E000000}"/>
            </a:ext>
          </a:extLst>
        </xdr:cNvPr>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 </a:t>
          </a:fld>
          <a:endParaRPr lang="en-US" sz="950" b="1">
            <a:solidFill>
              <a:srgbClr val="1E7F4F"/>
            </a:solidFill>
            <a:latin typeface="Aptos"/>
            <a:cs typeface="Aptos"/>
          </a:endParaRPr>
        </a:p>
      </xdr:txBody>
    </xdr:sp>
    <xdr:clientData/>
  </xdr:twoCellAnchor>
  <xdr:twoCellAnchor editAs="absolute">
    <xdr:from>
      <xdr:col>53</xdr:col>
      <xdr:colOff>114300</xdr:colOff>
      <xdr:row>49</xdr:row>
      <xdr:rowOff>161925</xdr:rowOff>
    </xdr:from>
    <xdr:to>
      <xdr:col>57</xdr:col>
      <xdr:colOff>76200</xdr:colOff>
      <xdr:row>50</xdr:row>
      <xdr:rowOff>123825</xdr:rowOff>
    </xdr:to>
    <xdr:sp macro="" textlink="Diagrammdaten!$F$47">
      <xdr:nvSpPr>
        <xdr:cNvPr id="47" name="TextBox 46">
          <a:extLst>
            <a:ext uri="{FF2B5EF4-FFF2-40B4-BE49-F238E27FC236}">
              <a16:creationId xmlns:a16="http://schemas.microsoft.com/office/drawing/2014/main" id="{00000000-0008-0000-0000-00002F000000}"/>
            </a:ext>
          </a:extLst>
        </xdr:cNvPr>
        <xdr:cNvSpPr txBox="1"/>
      </xdr:nvSpPr>
      <xdr:spPr>
        <a:xfrm>
          <a:off x="14020800" y="10020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±0</a:t>
          </a:fld>
          <a:endParaRPr lang="en-US" sz="950" b="1">
            <a:solidFill>
              <a:srgbClr val="8A5A00"/>
            </a:solidFill>
            <a:latin typeface="Aptos"/>
            <a:cs typeface="Aptos"/>
          </a:endParaRPr>
        </a:p>
      </xdr:txBody>
    </xdr:sp>
    <xdr:clientData/>
  </xdr:twoCellAnchor>
  <xdr:twoCellAnchor editAs="absolute">
    <xdr:from>
      <xdr:col>8</xdr:col>
      <xdr:colOff>209550</xdr:colOff>
      <xdr:row>54</xdr:row>
      <xdr:rowOff>9525</xdr:rowOff>
    </xdr:from>
    <xdr:to>
      <xdr:col>9</xdr:col>
      <xdr:colOff>0</xdr:colOff>
      <xdr:row>59</xdr:row>
      <xdr:rowOff>9525</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971800" y="10915650"/>
          <a:ext cx="38100" cy="704850"/>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endParaRPr lang="en-US" sz="800">
            <a:latin typeface="Aptos"/>
            <a:cs typeface="Aptos"/>
          </a:endParaRPr>
        </a:p>
      </xdr:txBody>
    </xdr:sp>
    <xdr:clientData/>
  </xdr:twoCellAnchor>
  <xdr:twoCellAnchor editAs="absolute">
    <xdr:from>
      <xdr:col>9</xdr:col>
      <xdr:colOff>76200</xdr:colOff>
      <xdr:row>53</xdr:row>
      <xdr:rowOff>200025</xdr:rowOff>
    </xdr:from>
    <xdr:to>
      <xdr:col>13</xdr:col>
      <xdr:colOff>228600</xdr:colOff>
      <xdr:row>55</xdr:row>
      <xdr:rowOff>104775</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3086100" y="10896600"/>
          <a:ext cx="1143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1050" b="1">
              <a:solidFill>
                <a:srgbClr val="1A1A1A"/>
              </a:solidFill>
              <a:latin typeface="Aptos"/>
              <a:cs typeface="Aptos"/>
            </a:rPr>
            <a:t>KV</a:t>
          </a:r>
        </a:p>
      </xdr:txBody>
    </xdr:sp>
    <xdr:clientData/>
  </xdr:twoCellAnchor>
  <xdr:twoCellAnchor editAs="absolute">
    <xdr:from>
      <xdr:col>9</xdr:col>
      <xdr:colOff>76200</xdr:colOff>
      <xdr:row>55</xdr:row>
      <xdr:rowOff>180975</xdr:rowOff>
    </xdr:from>
    <xdr:to>
      <xdr:col>13</xdr:col>
      <xdr:colOff>228600</xdr:colOff>
      <xdr:row>57</xdr:row>
      <xdr:rowOff>28575</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3086100" y="1116330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Eingänge ▲</a:t>
          </a:r>
        </a:p>
      </xdr:txBody>
    </xdr:sp>
    <xdr:clientData/>
  </xdr:twoCellAnchor>
  <xdr:twoCellAnchor editAs="absolute">
    <xdr:from>
      <xdr:col>9</xdr:col>
      <xdr:colOff>76200</xdr:colOff>
      <xdr:row>57</xdr:row>
      <xdr:rowOff>47625</xdr:rowOff>
    </xdr:from>
    <xdr:to>
      <xdr:col>13</xdr:col>
      <xdr:colOff>228600</xdr:colOff>
      <xdr:row>57</xdr:row>
      <xdr:rowOff>200025</xdr:rowOff>
    </xdr:to>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86100" y="11334750"/>
          <a:ext cx="1143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00">
              <a:solidFill>
                <a:srgbClr val="6B6B6B"/>
              </a:solidFill>
              <a:latin typeface="Aptos"/>
              <a:cs typeface="Aptos"/>
            </a:rPr>
            <a:t>Abgänge ▼</a:t>
          </a:r>
        </a:p>
      </xdr:txBody>
    </xdr:sp>
    <xdr:clientData/>
  </xdr:twoCellAnchor>
  <xdr:twoCellAnchor editAs="absolute">
    <xdr:from>
      <xdr:col>50</xdr:col>
      <xdr:colOff>190500</xdr:colOff>
      <xdr:row>54</xdr:row>
      <xdr:rowOff>47625</xdr:rowOff>
    </xdr:from>
    <xdr:to>
      <xdr:col>53</xdr:col>
      <xdr:colOff>114300</xdr:colOff>
      <xdr:row>55</xdr:row>
      <xdr:rowOff>142875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3354050" y="109537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Eingänge</a:t>
          </a:r>
        </a:p>
      </xdr:txBody>
    </xdr:sp>
    <xdr:clientData/>
  </xdr:twoCellAnchor>
  <xdr:twoCellAnchor editAs="absolute">
    <xdr:from>
      <xdr:col>53</xdr:col>
      <xdr:colOff>114300</xdr:colOff>
      <xdr:row>54</xdr:row>
      <xdr:rowOff>47625</xdr:rowOff>
    </xdr:from>
    <xdr:to>
      <xdr:col>57</xdr:col>
      <xdr:colOff>76200</xdr:colOff>
      <xdr:row>55</xdr:row>
      <xdr:rowOff>142875</xdr:rowOff>
    </xdr:to>
    <xdr:sp macro="" textlink="Diagrammdaten!$C$48">
      <xdr:nvSpPr>
        <xdr:cNvPr id="53" name="TextBox 52">
          <a:extLst>
            <a:ext uri="{FF2B5EF4-FFF2-40B4-BE49-F238E27FC236}">
              <a16:creationId xmlns:a16="http://schemas.microsoft.com/office/drawing/2014/main" id="{00000000-0008-0000-0000-000035000000}"/>
            </a:ext>
          </a:extLst>
        </xdr:cNvPr>
        <xdr:cNvSpPr txBox="1"/>
      </xdr:nvSpPr>
      <xdr:spPr>
        <a:xfrm>
          <a:off x="14020800" y="109537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55</xdr:row>
      <xdr:rowOff>180975</xdr:rowOff>
    </xdr:from>
    <xdr:to>
      <xdr:col>53</xdr:col>
      <xdr:colOff>114300</xdr:colOff>
      <xdr:row>57</xdr:row>
      <xdr:rowOff>47625</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3354050" y="1116330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Abgänge</a:t>
          </a:r>
        </a:p>
      </xdr:txBody>
    </xdr:sp>
    <xdr:clientData/>
  </xdr:twoCellAnchor>
  <xdr:twoCellAnchor editAs="absolute">
    <xdr:from>
      <xdr:col>53</xdr:col>
      <xdr:colOff>114300</xdr:colOff>
      <xdr:row>55</xdr:row>
      <xdr:rowOff>180975</xdr:rowOff>
    </xdr:from>
    <xdr:to>
      <xdr:col>57</xdr:col>
      <xdr:colOff>76200</xdr:colOff>
      <xdr:row>57</xdr:row>
      <xdr:rowOff>47625</xdr:rowOff>
    </xdr:to>
    <xdr:sp macro="" textlink="Diagrammdaten!$D$48">
      <xdr:nvSpPr>
        <xdr:cNvPr id="55" name="TextBox 54">
          <a:extLst>
            <a:ext uri="{FF2B5EF4-FFF2-40B4-BE49-F238E27FC236}">
              <a16:creationId xmlns:a16="http://schemas.microsoft.com/office/drawing/2014/main" id="{00000000-0008-0000-0000-000037000000}"/>
            </a:ext>
          </a:extLst>
        </xdr:cNvPr>
        <xdr:cNvSpPr txBox="1"/>
      </xdr:nvSpPr>
      <xdr:spPr>
        <a:xfrm>
          <a:off x="14020800" y="1116330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0">
              <a:solidFill>
                <a:srgbClr val="1A1A1A"/>
              </a:solidFill>
              <a:latin typeface="Aptos"/>
              <a:cs typeface="Aptos"/>
            </a:rPr>
            <a:pPr/>
            <a:t>0</a:t>
          </a:fld>
          <a:endParaRPr lang="en-US" sz="950" b="0">
            <a:solidFill>
              <a:srgbClr val="1A1A1A"/>
            </a:solidFill>
            <a:latin typeface="Aptos"/>
            <a:cs typeface="Aptos"/>
          </a:endParaRPr>
        </a:p>
      </xdr:txBody>
    </xdr:sp>
    <xdr:clientData/>
  </xdr:twoCellAnchor>
  <xdr:twoCellAnchor editAs="absolute">
    <xdr:from>
      <xdr:col>50</xdr:col>
      <xdr:colOff>190500</xdr:colOff>
      <xdr:row>57</xdr:row>
      <xdr:rowOff>85725</xdr:rowOff>
    </xdr:from>
    <xdr:to>
      <xdr:col>53</xdr:col>
      <xdr:colOff>114300</xdr:colOff>
      <xdr:row>58</xdr:row>
      <xdr:rowOff>28575</xdr:rowOff>
    </xdr:to>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3354050" y="11372850"/>
          <a:ext cx="666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a:solidFill>
                <a:srgbClr val="6B6B6B"/>
              </a:solidFill>
              <a:latin typeface="Aptos"/>
              <a:cs typeface="Aptos"/>
            </a:rPr>
            <a:t>Delta</a:t>
          </a: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E$48">
      <xdr:nvSpPr>
        <xdr:cNvPr id="57" name="TextBox 56">
          <a:extLst>
            <a:ext uri="{FF2B5EF4-FFF2-40B4-BE49-F238E27FC236}">
              <a16:creationId xmlns:a16="http://schemas.microsoft.com/office/drawing/2014/main" id="{00000000-0008-0000-0000-000039000000}"/>
            </a:ext>
          </a:extLst>
        </xdr:cNvPr>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1E7F4F"/>
              </a:solidFill>
              <a:latin typeface="Aptos"/>
              <a:cs typeface="Aptos"/>
            </a:rPr>
            <a:pPr/>
            <a:t> </a:t>
          </a:fld>
          <a:endParaRPr lang="en-US" sz="950" b="1">
            <a:solidFill>
              <a:srgbClr val="1E7F4F"/>
            </a:solidFill>
            <a:latin typeface="Aptos"/>
            <a:cs typeface="Aptos"/>
          </a:endParaRPr>
        </a:p>
      </xdr:txBody>
    </xdr:sp>
    <xdr:clientData/>
  </xdr:twoCellAnchor>
  <xdr:twoCellAnchor editAs="absolute">
    <xdr:from>
      <xdr:col>53</xdr:col>
      <xdr:colOff>114300</xdr:colOff>
      <xdr:row>57</xdr:row>
      <xdr:rowOff>85725</xdr:rowOff>
    </xdr:from>
    <xdr:to>
      <xdr:col>57</xdr:col>
      <xdr:colOff>76200</xdr:colOff>
      <xdr:row>58</xdr:row>
      <xdr:rowOff>28575</xdr:rowOff>
    </xdr:to>
    <xdr:sp macro="" textlink="Diagrammdaten!$F$48">
      <xdr:nvSpPr>
        <xdr:cNvPr id="58" name="TextBox 57">
          <a:extLst>
            <a:ext uri="{FF2B5EF4-FFF2-40B4-BE49-F238E27FC236}">
              <a16:creationId xmlns:a16="http://schemas.microsoft.com/office/drawing/2014/main" id="{00000000-0008-0000-0000-00003A000000}"/>
            </a:ext>
          </a:extLst>
        </xdr:cNvPr>
        <xdr:cNvSpPr txBox="1"/>
      </xdr:nvSpPr>
      <xdr:spPr>
        <a:xfrm>
          <a:off x="14020800" y="11372850"/>
          <a:ext cx="9525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950" b="1">
              <a:solidFill>
                <a:srgbClr val="8A5A00"/>
              </a:solidFill>
              <a:latin typeface="Aptos"/>
              <a:cs typeface="Aptos"/>
            </a:rPr>
            <a:pPr/>
            <a:t>±0</a:t>
          </a:fld>
          <a:endParaRPr lang="en-US" sz="950" b="1">
            <a:solidFill>
              <a:srgbClr val="8A5A00"/>
            </a:solidFill>
            <a:latin typeface="Aptos"/>
            <a:cs typeface="Aptos"/>
          </a:endParaRPr>
        </a:p>
      </xdr:txBody>
    </xdr:sp>
    <xdr:clientData/>
  </xdr:twoCellAnchor>
  <xdr:twoCellAnchor editAs="absolute">
    <xdr:from>
      <xdr:col>1</xdr:col>
      <xdr:colOff>19050</xdr:colOff>
      <xdr:row>5</xdr:row>
      <xdr:rowOff>47625</xdr:rowOff>
    </xdr:from>
    <xdr:to>
      <xdr:col>6</xdr:col>
      <xdr:colOff>314325</xdr:colOff>
      <xdr:row>5</xdr:row>
      <xdr:rowOff>295275</xdr:rowOff>
    </xdr:to>
    <xdr:sp macro="[0]!modLaden.NeueDatenLaden" textlink="">
      <xdr:nvSpPr>
        <xdr:cNvPr id="59" name="BTN_Laden">
          <a:extLst>
            <a:ext uri="{FF2B5EF4-FFF2-40B4-BE49-F238E27FC236}">
              <a16:creationId xmlns:a16="http://schemas.microsoft.com/office/drawing/2014/main" id="{00000000-0008-0000-0000-00003B000000}"/>
            </a:ext>
          </a:extLst>
        </xdr:cNvPr>
        <xdr:cNvSpPr txBox="1"/>
      </xdr:nvSpPr>
      <xdr:spPr>
        <a:xfrm>
          <a:off x="171450" y="1047750"/>
          <a:ext cx="2343150" cy="2476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Neue Daten laden</a:t>
          </a:r>
        </a:p>
      </xdr:txBody>
    </xdr:sp>
    <xdr:clientData/>
  </xdr:twoCellAnchor>
  <xdr:twoCellAnchor editAs="absolute">
    <xdr:from>
      <xdr:col>1</xdr:col>
      <xdr:colOff>19050</xdr:colOff>
      <xdr:row>6</xdr:row>
      <xdr:rowOff>38100</xdr:rowOff>
    </xdr:from>
    <xdr:to>
      <xdr:col>6</xdr:col>
      <xdr:colOff>314325</xdr:colOff>
      <xdr:row>7</xdr:row>
      <xdr:rowOff>57150</xdr:rowOff>
    </xdr:to>
    <xdr:sp macro="[0]!modLaden.AnwesenheitLaden" textlink="">
      <xdr:nvSpPr>
        <xdr:cNvPr id="60" name="BTN_Anwesenheit">
          <a:extLst>
            <a:ext uri="{FF2B5EF4-FFF2-40B4-BE49-F238E27FC236}">
              <a16:creationId xmlns:a16="http://schemas.microsoft.com/office/drawing/2014/main" id="{00000000-0008-0000-0000-00003C000000}"/>
            </a:ext>
          </a:extLst>
        </xdr:cNvPr>
        <xdr:cNvSpPr txBox="1"/>
      </xdr:nvSpPr>
      <xdr:spPr>
        <a:xfrm>
          <a:off x="171450" y="1495425"/>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 laden</a:t>
          </a:r>
        </a:p>
      </xdr:txBody>
    </xdr:sp>
    <xdr:clientData/>
  </xdr:twoCellAnchor>
  <xdr:twoCellAnchor editAs="absolute">
    <xdr:from>
      <xdr:col>1</xdr:col>
      <xdr:colOff>19050</xdr:colOff>
      <xdr:row>9</xdr:row>
      <xdr:rowOff>9525</xdr:rowOff>
    </xdr:from>
    <xdr:to>
      <xdr:col>6</xdr:col>
      <xdr:colOff>314325</xdr:colOff>
      <xdr:row>9</xdr:row>
      <xdr:rowOff>200025</xdr:rowOff>
    </xdr:to>
    <xdr:sp macro="[0]!modCockpit.PlanungOeffnen" textlink="">
      <xdr:nvSpPr>
        <xdr:cNvPr id="61" name="BTN_Planung">
          <a:extLst>
            <a:ext uri="{FF2B5EF4-FFF2-40B4-BE49-F238E27FC236}">
              <a16:creationId xmlns:a16="http://schemas.microsoft.com/office/drawing/2014/main" id="{00000000-0008-0000-0000-00003D000000}"/>
            </a:ext>
          </a:extLst>
        </xdr:cNvPr>
        <xdr:cNvSpPr txBox="1"/>
      </xdr:nvSpPr>
      <xdr:spPr>
        <a:xfrm>
          <a:off x="171450" y="190500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Anwesenheitsplan öffnen</a:t>
          </a:r>
        </a:p>
      </xdr:txBody>
    </xdr:sp>
    <xdr:clientData/>
  </xdr:twoCellAnchor>
  <xdr:twoCellAnchor editAs="absolute">
    <xdr:from>
      <xdr:col>1</xdr:col>
      <xdr:colOff>19050</xdr:colOff>
      <xdr:row>11</xdr:row>
      <xdr:rowOff>9525</xdr:rowOff>
    </xdr:from>
    <xdr:to>
      <xdr:col>6</xdr:col>
      <xdr:colOff>314325</xdr:colOff>
      <xdr:row>11</xdr:row>
      <xdr:rowOff>200025</xdr:rowOff>
    </xdr:to>
    <xdr:sp macro="[0]!modPPT.NachPowerPoint" textlink="">
      <xdr:nvSpPr>
        <xdr:cNvPr id="62" name="BTN_PPT">
          <a:extLst>
            <a:ext uri="{FF2B5EF4-FFF2-40B4-BE49-F238E27FC236}">
              <a16:creationId xmlns:a16="http://schemas.microsoft.com/office/drawing/2014/main" id="{00000000-0008-0000-0000-00003E000000}"/>
            </a:ext>
          </a:extLst>
        </xdr:cNvPr>
        <xdr:cNvSpPr txBox="1"/>
      </xdr:nvSpPr>
      <xdr:spPr>
        <a:xfrm>
          <a:off x="171450" y="2228850"/>
          <a:ext cx="2343150" cy="190500"/>
        </a:xfrm>
        <a:prstGeom prst="round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PowerPoint-Folie erzeugen</a:t>
          </a:r>
        </a:p>
      </xdr:txBody>
    </xdr:sp>
    <xdr:clientData/>
  </xdr:twoCellAnchor>
  <xdr:twoCellAnchor editAs="absolute">
    <xdr:from>
      <xdr:col>1</xdr:col>
      <xdr:colOff>19050</xdr:colOff>
      <xdr:row>19</xdr:row>
      <xdr:rowOff>9525</xdr:rowOff>
    </xdr:from>
    <xdr:to>
      <xdr:col>6</xdr:col>
      <xdr:colOff>314325</xdr:colOff>
      <xdr:row>19</xdr:row>
      <xdr:rowOff>200025</xdr:rowOff>
    </xdr:to>
    <xdr:sp macro="[0]!modCockpit.FilterAlleSparten" textlink="">
      <xdr:nvSpPr>
        <xdr:cNvPr id="63" name="BTN_SPAlle">
          <a:extLst>
            <a:ext uri="{FF2B5EF4-FFF2-40B4-BE49-F238E27FC236}">
              <a16:creationId xmlns:a16="http://schemas.microsoft.com/office/drawing/2014/main" id="{00000000-0008-0000-0000-00003F000000}"/>
            </a:ext>
          </a:extLst>
        </xdr:cNvPr>
        <xdr:cNvSpPr txBox="1"/>
      </xdr:nvSpPr>
      <xdr:spPr>
        <a:xfrm>
          <a:off x="171450" y="378142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Sparten</a:t>
          </a:r>
        </a:p>
      </xdr:txBody>
    </xdr:sp>
    <xdr:clientData/>
  </xdr:twoCellAnchor>
  <xdr:twoCellAnchor editAs="absolute">
    <xdr:from>
      <xdr:col>1</xdr:col>
      <xdr:colOff>19050</xdr:colOff>
      <xdr:row>33</xdr:row>
      <xdr:rowOff>9525</xdr:rowOff>
    </xdr:from>
    <xdr:to>
      <xdr:col>6</xdr:col>
      <xdr:colOff>314325</xdr:colOff>
      <xdr:row>33</xdr:row>
      <xdr:rowOff>200025</xdr:rowOff>
    </xdr:to>
    <xdr:sp macro="[0]!modCockpit.FilterAktiveBearbeitung" textlink="">
      <xdr:nvSpPr>
        <xdr:cNvPr id="64" name="BTN_PKAktiv">
          <a:extLst>
            <a:ext uri="{FF2B5EF4-FFF2-40B4-BE49-F238E27FC236}">
              <a16:creationId xmlns:a16="http://schemas.microsoft.com/office/drawing/2014/main" id="{00000000-0008-0000-0000-000040000000}"/>
            </a:ext>
          </a:extLst>
        </xdr:cNvPr>
        <xdr:cNvSpPr txBox="1"/>
      </xdr:nvSpPr>
      <xdr:spPr>
        <a:xfrm>
          <a:off x="171450" y="6619875"/>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Aktive Bearbeitung</a:t>
          </a:r>
        </a:p>
      </xdr:txBody>
    </xdr:sp>
    <xdr:clientData/>
  </xdr:twoCellAnchor>
  <xdr:twoCellAnchor editAs="absolute">
    <xdr:from>
      <xdr:col>1</xdr:col>
      <xdr:colOff>19050</xdr:colOff>
      <xdr:row>35</xdr:row>
      <xdr:rowOff>9525</xdr:rowOff>
    </xdr:from>
    <xdr:to>
      <xdr:col>6</xdr:col>
      <xdr:colOff>314325</xdr:colOff>
      <xdr:row>35</xdr:row>
      <xdr:rowOff>200025</xdr:rowOff>
    </xdr:to>
    <xdr:sp macro="[0]!modCockpit.FilterAllePostkoerbe" textlink="">
      <xdr:nvSpPr>
        <xdr:cNvPr id="65" name="BTN_PKAlle">
          <a:extLst>
            <a:ext uri="{FF2B5EF4-FFF2-40B4-BE49-F238E27FC236}">
              <a16:creationId xmlns:a16="http://schemas.microsoft.com/office/drawing/2014/main" id="{00000000-0008-0000-0000-000041000000}"/>
            </a:ext>
          </a:extLst>
        </xdr:cNvPr>
        <xdr:cNvSpPr txBox="1"/>
      </xdr:nvSpPr>
      <xdr:spPr>
        <a:xfrm>
          <a:off x="171450" y="6924675"/>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Postkörbe</a:t>
          </a:r>
        </a:p>
      </xdr:txBody>
    </xdr:sp>
    <xdr:clientData/>
  </xdr:twoCellAnchor>
  <xdr:twoCellAnchor editAs="absolute">
    <xdr:from>
      <xdr:col>1</xdr:col>
      <xdr:colOff>19050</xdr:colOff>
      <xdr:row>55</xdr:row>
      <xdr:rowOff>9525</xdr:rowOff>
    </xdr:from>
    <xdr:to>
      <xdr:col>6</xdr:col>
      <xdr:colOff>314325</xdr:colOff>
      <xdr:row>55</xdr:row>
      <xdr:rowOff>200025</xdr:rowOff>
    </xdr:to>
    <xdr:sp macro="[0]!modCockpit.FilterNurBUE" textlink="">
      <xdr:nvSpPr>
        <xdr:cNvPr id="66" name="BTN_GVBUE">
          <a:extLst>
            <a:ext uri="{FF2B5EF4-FFF2-40B4-BE49-F238E27FC236}">
              <a16:creationId xmlns:a16="http://schemas.microsoft.com/office/drawing/2014/main" id="{00000000-0008-0000-0000-000042000000}"/>
            </a:ext>
          </a:extLst>
        </xdr:cNvPr>
        <xdr:cNvSpPr txBox="1"/>
      </xdr:nvSpPr>
      <xdr:spPr>
        <a:xfrm>
          <a:off x="171450" y="10991850"/>
          <a:ext cx="2343150" cy="190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Nur BÜ-Schlüssel</a:t>
          </a:r>
        </a:p>
      </xdr:txBody>
    </xdr:sp>
    <xdr:clientData/>
  </xdr:twoCellAnchor>
  <xdr:twoCellAnchor editAs="absolute">
    <xdr:from>
      <xdr:col>1</xdr:col>
      <xdr:colOff>19050</xdr:colOff>
      <xdr:row>57</xdr:row>
      <xdr:rowOff>9525</xdr:rowOff>
    </xdr:from>
    <xdr:to>
      <xdr:col>6</xdr:col>
      <xdr:colOff>314325</xdr:colOff>
      <xdr:row>57</xdr:row>
      <xdr:rowOff>200025</xdr:rowOff>
    </xdr:to>
    <xdr:sp macro="[0]!modCockpit.FilterAlleGeVo" textlink="">
      <xdr:nvSpPr>
        <xdr:cNvPr id="67" name="BTN_GVAlle">
          <a:extLst>
            <a:ext uri="{FF2B5EF4-FFF2-40B4-BE49-F238E27FC236}">
              <a16:creationId xmlns:a16="http://schemas.microsoft.com/office/drawing/2014/main" id="{00000000-0008-0000-0000-000043000000}"/>
            </a:ext>
          </a:extLst>
        </xdr:cNvPr>
        <xdr:cNvSpPr txBox="1"/>
      </xdr:nvSpPr>
      <xdr:spPr>
        <a:xfrm>
          <a:off x="171450" y="112966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Alle GeVo</a:t>
          </a:r>
        </a:p>
      </xdr:txBody>
    </xdr:sp>
    <xdr:clientData/>
  </xdr:twoCellAnchor>
  <xdr:twoCellAnchor editAs="absolute">
    <xdr:from>
      <xdr:col>1</xdr:col>
      <xdr:colOff>19050</xdr:colOff>
      <xdr:row>60</xdr:row>
      <xdr:rowOff>9525</xdr:rowOff>
    </xdr:from>
    <xdr:to>
      <xdr:col>6</xdr:col>
      <xdr:colOff>314325</xdr:colOff>
      <xdr:row>60</xdr:row>
      <xdr:rowOff>171450</xdr:rowOff>
    </xdr:to>
    <xdr:sp macro="[0]!modCockpit.AnsichtTag" textlink="">
      <xdr:nvSpPr>
        <xdr:cNvPr id="68" name="ANS_Tag">
          <a:extLst>
            <a:ext uri="{FF2B5EF4-FFF2-40B4-BE49-F238E27FC236}">
              <a16:creationId xmlns:a16="http://schemas.microsoft.com/office/drawing/2014/main" id="{00000000-0008-0000-0000-000044000000}"/>
            </a:ext>
          </a:extLst>
        </xdr:cNvPr>
        <xdr:cNvSpPr txBox="1"/>
      </xdr:nvSpPr>
      <xdr:spPr>
        <a:xfrm>
          <a:off x="171450" y="11849100"/>
          <a:ext cx="2343150" cy="161925"/>
        </a:xfrm>
        <a:prstGeom prst="round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1">
              <a:solidFill>
                <a:srgbClr val="FFFFFF"/>
              </a:solidFill>
              <a:latin typeface="Aptos"/>
              <a:cs typeface="Aptos"/>
            </a:rPr>
            <a:t>Tagessicht · letzte 7 Stichtage</a:t>
          </a:r>
        </a:p>
      </xdr:txBody>
    </xdr:sp>
    <xdr:clientData/>
  </xdr:twoCellAnchor>
  <xdr:twoCellAnchor editAs="absolute">
    <xdr:from>
      <xdr:col>1</xdr:col>
      <xdr:colOff>19050</xdr:colOff>
      <xdr:row>61</xdr:row>
      <xdr:rowOff>9525</xdr:rowOff>
    </xdr:from>
    <xdr:to>
      <xdr:col>6</xdr:col>
      <xdr:colOff>314325</xdr:colOff>
      <xdr:row>61</xdr:row>
      <xdr:rowOff>171450</xdr:rowOff>
    </xdr:to>
    <xdr:sp macro="[0]!modCockpit.AnsichtWoche" textlink="">
      <xdr:nvSpPr>
        <xdr:cNvPr id="69" name="ANS_Woche">
          <a:extLst>
            <a:ext uri="{FF2B5EF4-FFF2-40B4-BE49-F238E27FC236}">
              <a16:creationId xmlns:a16="http://schemas.microsoft.com/office/drawing/2014/main" id="{00000000-0008-0000-0000-000045000000}"/>
            </a:ext>
          </a:extLst>
        </xdr:cNvPr>
        <xdr:cNvSpPr txBox="1"/>
      </xdr:nvSpPr>
      <xdr:spPr>
        <a:xfrm>
          <a:off x="171450" y="12058650"/>
          <a:ext cx="2343150" cy="161925"/>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sz="850" b="0">
              <a:solidFill>
                <a:srgbClr val="6B6B6B"/>
              </a:solidFill>
              <a:latin typeface="Aptos"/>
              <a:cs typeface="Aptos"/>
            </a:rPr>
            <a:t>Wochensicht · letzte 7 KW</a:t>
          </a:r>
        </a:p>
      </xdr:txBody>
    </xdr:sp>
    <xdr:clientData/>
  </xdr:twoCellAnchor>
  <xdr:twoCellAnchor editAs="absolute">
    <xdr:from>
      <xdr:col>1</xdr:col>
      <xdr:colOff>19050</xdr:colOff>
      <xdr:row>63</xdr:row>
      <xdr:rowOff>9525</xdr:rowOff>
    </xdr:from>
    <xdr:to>
      <xdr:col>6</xdr:col>
      <xdr:colOff>314325</xdr:colOff>
      <xdr:row>63</xdr:row>
      <xdr:rowOff>200025</xdr:rowOff>
    </xdr:to>
    <xdr:sp macro="[0]!modCockpit.Aktualisieren" textlink="">
      <xdr:nvSpPr>
        <xdr:cNvPr id="70" name="BTN_Aktualisieren">
          <a:extLst>
            <a:ext uri="{FF2B5EF4-FFF2-40B4-BE49-F238E27FC236}">
              <a16:creationId xmlns:a16="http://schemas.microsoft.com/office/drawing/2014/main" id="{00000000-0008-0000-0000-000046000000}"/>
            </a:ext>
          </a:extLst>
        </xdr:cNvPr>
        <xdr:cNvSpPr txBox="1"/>
      </xdr:nvSpPr>
      <xdr:spPr>
        <a:xfrm>
          <a:off x="171450" y="12344400"/>
          <a:ext cx="2343150" cy="1905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Aktualisieren</a:t>
          </a:r>
        </a:p>
      </xdr:txBody>
    </xdr:sp>
    <xdr:clientData/>
  </xdr:twoCellAnchor>
  <xdr:twoCellAnchor editAs="absolute">
    <xdr:from>
      <xdr:col>1</xdr:col>
      <xdr:colOff>19050</xdr:colOff>
      <xdr:row>65</xdr:row>
      <xdr:rowOff>9525</xdr:rowOff>
    </xdr:from>
    <xdr:to>
      <xdr:col>6</xdr:col>
      <xdr:colOff>314325</xdr:colOff>
      <xdr:row>65</xdr:row>
      <xdr:rowOff>200025</xdr:rowOff>
    </xdr:to>
    <xdr:sp macro="[0]!modCockpit.FilterZuruecksetzen" textlink="">
      <xdr:nvSpPr>
        <xdr:cNvPr id="71" name="BTN_Zurueck">
          <a:extLst>
            <a:ext uri="{FF2B5EF4-FFF2-40B4-BE49-F238E27FC236}">
              <a16:creationId xmlns:a16="http://schemas.microsoft.com/office/drawing/2014/main" id="{00000000-0008-0000-0000-000047000000}"/>
            </a:ext>
          </a:extLst>
        </xdr:cNvPr>
        <xdr:cNvSpPr txBox="1"/>
      </xdr:nvSpPr>
      <xdr:spPr>
        <a:xfrm>
          <a:off x="171450" y="126682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Filter zurücksetzen</a:t>
          </a:r>
        </a:p>
      </xdr:txBody>
    </xdr:sp>
    <xdr:clientData/>
  </xdr:twoCellAnchor>
  <xdr:twoCellAnchor editAs="absolute">
    <xdr:from>
      <xdr:col>1</xdr:col>
      <xdr:colOff>19050</xdr:colOff>
      <xdr:row>67</xdr:row>
      <xdr:rowOff>9525</xdr:rowOff>
    </xdr:from>
    <xdr:to>
      <xdr:col>6</xdr:col>
      <xdr:colOff>314325</xdr:colOff>
      <xdr:row>67</xdr:row>
      <xdr:rowOff>200025</xdr:rowOff>
    </xdr:to>
    <xdr:sp macro="[0]!modCockpit.Hilfe" textlink="">
      <xdr:nvSpPr>
        <xdr:cNvPr id="72" name="BTN_Hilfe">
          <a:extLst>
            <a:ext uri="{FF2B5EF4-FFF2-40B4-BE49-F238E27FC236}">
              <a16:creationId xmlns:a16="http://schemas.microsoft.com/office/drawing/2014/main" id="{00000000-0008-0000-0000-000048000000}"/>
            </a:ext>
          </a:extLst>
        </xdr:cNvPr>
        <xdr:cNvSpPr txBox="1"/>
      </xdr:nvSpPr>
      <xdr:spPr>
        <a:xfrm>
          <a:off x="171450" y="12973050"/>
          <a:ext cx="2343150" cy="1905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Hilfe</a:t>
          </a:r>
        </a:p>
      </xdr:txBody>
    </xdr:sp>
    <xdr:clientData/>
  </xdr:twoCellAnchor>
  <xdr:twoCellAnchor editAs="absolute">
    <xdr:from>
      <xdr:col>51</xdr:col>
      <xdr:colOff>38100</xdr:colOff>
      <xdr:row>31</xdr:row>
      <xdr:rowOff>38100</xdr:rowOff>
    </xdr:from>
    <xdr:to>
      <xdr:col>53</xdr:col>
      <xdr:colOff>228600</xdr:colOff>
      <xdr:row>31</xdr:row>
      <xdr:rowOff>209550</xdr:rowOff>
    </xdr:to>
    <xdr:sp macro="[0]!modCockpit.QuelleVerbund" textlink="">
      <xdr:nvSpPr>
        <xdr:cNvPr id="73" name="BWQ_Verbund">
          <a:extLst>
            <a:ext uri="{FF2B5EF4-FFF2-40B4-BE49-F238E27FC236}">
              <a16:creationId xmlns:a16="http://schemas.microsoft.com/office/drawing/2014/main" id="{00000000-0008-0000-0000-000049000000}"/>
            </a:ext>
          </a:extLst>
        </xdr:cNvPr>
        <xdr:cNvSpPr txBox="1"/>
      </xdr:nvSpPr>
      <xdr:spPr>
        <a:xfrm>
          <a:off x="13449300" y="6248400"/>
          <a:ext cx="685800" cy="171450"/>
        </a:xfrm>
        <a:prstGeom prst="round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0B6F7D"/>
              </a:solidFill>
              <a:latin typeface="Aptos"/>
              <a:cs typeface="Aptos"/>
            </a:rPr>
            <a:t>Verbund</a:t>
          </a:r>
        </a:p>
      </xdr:txBody>
    </xdr:sp>
    <xdr:clientData/>
  </xdr:twoCellAnchor>
  <xdr:twoCellAnchor editAs="absolute">
    <xdr:from>
      <xdr:col>54</xdr:col>
      <xdr:colOff>38100</xdr:colOff>
      <xdr:row>31</xdr:row>
      <xdr:rowOff>38100</xdr:rowOff>
    </xdr:from>
    <xdr:to>
      <xdr:col>56</xdr:col>
      <xdr:colOff>228600</xdr:colOff>
      <xdr:row>31</xdr:row>
      <xdr:rowOff>209550</xdr:rowOff>
    </xdr:to>
    <xdr:sp macro="[0]!modCockpit.QuelleOPAG" textlink="">
      <xdr:nvSpPr>
        <xdr:cNvPr id="74" name="BWQ_OPAG">
          <a:extLst>
            <a:ext uri="{FF2B5EF4-FFF2-40B4-BE49-F238E27FC236}">
              <a16:creationId xmlns:a16="http://schemas.microsoft.com/office/drawing/2014/main" id="{00000000-0008-0000-0000-00004A000000}"/>
            </a:ext>
          </a:extLst>
        </xdr:cNvPr>
        <xdr:cNvSpPr txBox="1"/>
      </xdr:nvSpPr>
      <xdr:spPr>
        <a:xfrm>
          <a:off x="14192250" y="6248400"/>
          <a:ext cx="685800" cy="171450"/>
        </a:xfrm>
        <a:prstGeom prst="roundRect">
          <a:avLst/>
        </a:prstGeom>
        <a:solidFill>
          <a:srgbClr val="0B6F7D"/>
        </a:solidFill>
        <a:ln w="12700" cmpd="sng">
          <a:solidFill>
            <a:srgbClr val="FFFFFF"/>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0">
              <a:solidFill>
                <a:srgbClr val="FFFFFF"/>
              </a:solidFill>
              <a:latin typeface="Aptos"/>
              <a:cs typeface="Aptos"/>
            </a:rPr>
            <a:t>OPAG</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38100</xdr:colOff>
      <xdr:row>5</xdr:row>
      <xdr:rowOff>38100</xdr:rowOff>
    </xdr:from>
    <xdr:to>
      <xdr:col>15</xdr:col>
      <xdr:colOff>228600</xdr:colOff>
      <xdr:row>16</xdr:row>
      <xdr:rowOff>38100</xdr:rowOff>
    </xdr:to>
    <xdr:graphicFrame macro="">
      <xdr:nvGraphicFramePr>
        <xdr:cNvPr id="2" name="Chart 1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161925</xdr:colOff>
      <xdr:row>5</xdr:row>
      <xdr:rowOff>38100</xdr:rowOff>
    </xdr:from>
    <xdr:to>
      <xdr:col>31</xdr:col>
      <xdr:colOff>38100</xdr:colOff>
      <xdr:row>16</xdr:row>
      <xdr:rowOff>38100</xdr:rowOff>
    </xdr:to>
    <xdr:graphicFrame macro="">
      <xdr:nvGraphicFramePr>
        <xdr:cNvPr id="3" name="Chart 1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31</xdr:col>
      <xdr:colOff>219075</xdr:colOff>
      <xdr:row>5</xdr:row>
      <xdr:rowOff>38100</xdr:rowOff>
    </xdr:from>
    <xdr:to>
      <xdr:col>46</xdr:col>
      <xdr:colOff>95250</xdr:colOff>
      <xdr:row>16</xdr:row>
      <xdr:rowOff>38100</xdr:rowOff>
    </xdr:to>
    <xdr:graphicFrame macro="">
      <xdr:nvGraphicFramePr>
        <xdr:cNvPr id="4" name="Chart 1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19</xdr:row>
      <xdr:rowOff>28575</xdr:rowOff>
    </xdr:from>
    <xdr:to>
      <xdr:col>15</xdr:col>
      <xdr:colOff>228600</xdr:colOff>
      <xdr:row>30</xdr:row>
      <xdr:rowOff>28575</xdr:rowOff>
    </xdr:to>
    <xdr:graphicFrame macro="">
      <xdr:nvGraphicFramePr>
        <xdr:cNvPr id="5" name="Chart 1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161925</xdr:colOff>
      <xdr:row>19</xdr:row>
      <xdr:rowOff>28575</xdr:rowOff>
    </xdr:from>
    <xdr:to>
      <xdr:col>31</xdr:col>
      <xdr:colOff>38100</xdr:colOff>
      <xdr:row>30</xdr:row>
      <xdr:rowOff>28575</xdr:rowOff>
    </xdr:to>
    <xdr:graphicFrame macro="">
      <xdr:nvGraphicFramePr>
        <xdr:cNvPr id="6" name="Chart 14">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219075</xdr:colOff>
      <xdr:row>19</xdr:row>
      <xdr:rowOff>28575</xdr:rowOff>
    </xdr:from>
    <xdr:to>
      <xdr:col>46</xdr:col>
      <xdr:colOff>95250</xdr:colOff>
      <xdr:row>30</xdr:row>
      <xdr:rowOff>28575</xdr:rowOff>
    </xdr:to>
    <xdr:graphicFrame macro="">
      <xdr:nvGraphicFramePr>
        <xdr:cNvPr id="7" name="Chart 15">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38100</xdr:colOff>
      <xdr:row>3</xdr:row>
      <xdr:rowOff>38100</xdr:rowOff>
    </xdr:from>
    <xdr:to>
      <xdr:col>15</xdr:col>
      <xdr:colOff>228600</xdr:colOff>
      <xdr:row>5</xdr:row>
      <xdr:rowOff>38100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19075" y="533400"/>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OPAG (Arbeitsgüter, in Tsd.)</a:t>
          </a:r>
        </a:p>
      </xdr:txBody>
    </xdr:sp>
    <xdr:clientData/>
  </xdr:twoCellAnchor>
  <xdr:twoCellAnchor editAs="absolute">
    <xdr:from>
      <xdr:col>1</xdr:col>
      <xdr:colOff>38100</xdr:colOff>
      <xdr:row>4</xdr:row>
      <xdr:rowOff>28575</xdr:rowOff>
    </xdr:from>
    <xdr:to>
      <xdr:col>15</xdr:col>
      <xdr:colOff>228600</xdr:colOff>
      <xdr:row>5</xdr:row>
      <xdr:rowOff>38100</xdr:rowOff>
    </xdr:to>
    <xdr:sp macro="" textlink="PPT!$BA$5">
      <xdr:nvSpPr>
        <xdr:cNvPr id="9" name="TextBox 8">
          <a:extLst>
            <a:ext uri="{FF2B5EF4-FFF2-40B4-BE49-F238E27FC236}">
              <a16:creationId xmlns:a16="http://schemas.microsoft.com/office/drawing/2014/main" id="{00000000-0008-0000-0100-000009000000}"/>
            </a:ext>
          </a:extLst>
        </xdr:cNvPr>
        <xdr:cNvSpPr txBox="1"/>
      </xdr:nvSpPr>
      <xdr:spPr>
        <a:xfrm>
          <a:off x="2190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1</xdr:col>
      <xdr:colOff>38100</xdr:colOff>
      <xdr:row>15</xdr:row>
      <xdr:rowOff>66675</xdr:rowOff>
    </xdr:from>
    <xdr:to>
      <xdr:col>15</xdr:col>
      <xdr:colOff>228600</xdr:colOff>
      <xdr:row>16</xdr:row>
      <xdr:rowOff>38100</xdr:rowOff>
    </xdr:to>
    <xdr:sp macro="" textlink="PPT!$BA$12">
      <xdr:nvSpPr>
        <xdr:cNvPr id="10" name="TextBox 9">
          <a:extLst>
            <a:ext uri="{FF2B5EF4-FFF2-40B4-BE49-F238E27FC236}">
              <a16:creationId xmlns:a16="http://schemas.microsoft.com/office/drawing/2014/main" id="{00000000-0008-0000-0100-00000A000000}"/>
            </a:ext>
          </a:extLst>
        </xdr:cNvPr>
        <xdr:cNvSpPr txBox="1"/>
      </xdr:nvSpPr>
      <xdr:spPr>
        <a:xfrm>
          <a:off x="2190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16</xdr:col>
      <xdr:colOff>161925</xdr:colOff>
      <xdr:row>3</xdr:row>
      <xdr:rowOff>38100</xdr:rowOff>
    </xdr:from>
    <xdr:to>
      <xdr:col>31</xdr:col>
      <xdr:colOff>38100</xdr:colOff>
      <xdr:row>5</xdr:row>
      <xdr:rowOff>38100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3990975" y="533400"/>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Rückstand Verbund (Vorgänge, in Tsd.)</a:t>
          </a:r>
        </a:p>
      </xdr:txBody>
    </xdr:sp>
    <xdr:clientData/>
  </xdr:twoCellAnchor>
  <xdr:twoCellAnchor editAs="absolute">
    <xdr:from>
      <xdr:col>16</xdr:col>
      <xdr:colOff>161925</xdr:colOff>
      <xdr:row>4</xdr:row>
      <xdr:rowOff>28575</xdr:rowOff>
    </xdr:from>
    <xdr:to>
      <xdr:col>31</xdr:col>
      <xdr:colOff>38100</xdr:colOff>
      <xdr:row>5</xdr:row>
      <xdr:rowOff>38100</xdr:rowOff>
    </xdr:to>
    <xdr:sp macro="" textlink="PPT!$BA$6">
      <xdr:nvSpPr>
        <xdr:cNvPr id="12" name="TextBox 11">
          <a:extLst>
            <a:ext uri="{FF2B5EF4-FFF2-40B4-BE49-F238E27FC236}">
              <a16:creationId xmlns:a16="http://schemas.microsoft.com/office/drawing/2014/main" id="{00000000-0008-0000-0100-00000C000000}"/>
            </a:ext>
          </a:extLst>
        </xdr:cNvPr>
        <xdr:cNvSpPr txBox="1"/>
      </xdr:nvSpPr>
      <xdr:spPr>
        <a:xfrm>
          <a:off x="39909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16</xdr:col>
      <xdr:colOff>161925</xdr:colOff>
      <xdr:row>15</xdr:row>
      <xdr:rowOff>66675</xdr:rowOff>
    </xdr:from>
    <xdr:to>
      <xdr:col>31</xdr:col>
      <xdr:colOff>38100</xdr:colOff>
      <xdr:row>16</xdr:row>
      <xdr:rowOff>38100</xdr:rowOff>
    </xdr:to>
    <xdr:sp macro="" textlink="PPT!$BA$12">
      <xdr:nvSpPr>
        <xdr:cNvPr id="13" name="TextBox 12">
          <a:extLst>
            <a:ext uri="{FF2B5EF4-FFF2-40B4-BE49-F238E27FC236}">
              <a16:creationId xmlns:a16="http://schemas.microsoft.com/office/drawing/2014/main" id="{00000000-0008-0000-0100-00000D000000}"/>
            </a:ext>
          </a:extLst>
        </xdr:cNvPr>
        <xdr:cNvSpPr txBox="1"/>
      </xdr:nvSpPr>
      <xdr:spPr>
        <a:xfrm>
          <a:off x="39909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31</xdr:col>
      <xdr:colOff>219075</xdr:colOff>
      <xdr:row>3</xdr:row>
      <xdr:rowOff>38100</xdr:rowOff>
    </xdr:from>
    <xdr:to>
      <xdr:col>46</xdr:col>
      <xdr:colOff>95250</xdr:colOff>
      <xdr:row>5</xdr:row>
      <xdr:rowOff>38100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7762875" y="533400"/>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Kapazität (MAK) je KW</a:t>
          </a:r>
        </a:p>
      </xdr:txBody>
    </xdr:sp>
    <xdr:clientData/>
  </xdr:twoCellAnchor>
  <xdr:twoCellAnchor editAs="absolute">
    <xdr:from>
      <xdr:col>31</xdr:col>
      <xdr:colOff>219075</xdr:colOff>
      <xdr:row>4</xdr:row>
      <xdr:rowOff>28575</xdr:rowOff>
    </xdr:from>
    <xdr:to>
      <xdr:col>46</xdr:col>
      <xdr:colOff>95250</xdr:colOff>
      <xdr:row>5</xdr:row>
      <xdr:rowOff>38100</xdr:rowOff>
    </xdr:to>
    <xdr:sp macro="" textlink="PPT!$BA$9">
      <xdr:nvSpPr>
        <xdr:cNvPr id="15" name="TextBox 14">
          <a:extLst>
            <a:ext uri="{FF2B5EF4-FFF2-40B4-BE49-F238E27FC236}">
              <a16:creationId xmlns:a16="http://schemas.microsoft.com/office/drawing/2014/main" id="{00000000-0008-0000-0100-00000F000000}"/>
            </a:ext>
          </a:extLst>
        </xdr:cNvPr>
        <xdr:cNvSpPr txBox="1"/>
      </xdr:nvSpPr>
      <xdr:spPr>
        <a:xfrm>
          <a:off x="7762875" y="714375"/>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31</xdr:col>
      <xdr:colOff>219075</xdr:colOff>
      <xdr:row>15</xdr:row>
      <xdr:rowOff>66675</xdr:rowOff>
    </xdr:from>
    <xdr:to>
      <xdr:col>46</xdr:col>
      <xdr:colOff>95250</xdr:colOff>
      <xdr:row>16</xdr:row>
      <xdr:rowOff>38100</xdr:rowOff>
    </xdr:to>
    <xdr:sp macro="" textlink="PPT!$BA$12">
      <xdr:nvSpPr>
        <xdr:cNvPr id="16" name="TextBox 15">
          <a:extLst>
            <a:ext uri="{FF2B5EF4-FFF2-40B4-BE49-F238E27FC236}">
              <a16:creationId xmlns:a16="http://schemas.microsoft.com/office/drawing/2014/main" id="{00000000-0008-0000-0100-000010000000}"/>
            </a:ext>
          </a:extLst>
        </xdr:cNvPr>
        <xdr:cNvSpPr txBox="1"/>
      </xdr:nvSpPr>
      <xdr:spPr>
        <a:xfrm>
          <a:off x="7762875" y="2847975"/>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xdr:col>
      <xdr:colOff>38100</xdr:colOff>
      <xdr:row>17</xdr:row>
      <xdr:rowOff>28575</xdr:rowOff>
    </xdr:from>
    <xdr:to>
      <xdr:col>15</xdr:col>
      <xdr:colOff>228600</xdr:colOff>
      <xdr:row>19</xdr:row>
      <xdr:rowOff>28575</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219075" y="3190875"/>
          <a:ext cx="3590925" cy="381000"/>
        </a:xfrm>
        <a:prstGeom prst="rect">
          <a:avLst/>
        </a:prstGeom>
        <a:solidFill>
          <a:srgbClr val="8E0F1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OPAG</a:t>
          </a:r>
        </a:p>
      </xdr:txBody>
    </xdr:sp>
    <xdr:clientData/>
  </xdr:twoCellAnchor>
  <xdr:twoCellAnchor editAs="absolute">
    <xdr:from>
      <xdr:col>1</xdr:col>
      <xdr:colOff>38100</xdr:colOff>
      <xdr:row>18</xdr:row>
      <xdr:rowOff>19050</xdr:rowOff>
    </xdr:from>
    <xdr:to>
      <xdr:col>15</xdr:col>
      <xdr:colOff>228600</xdr:colOff>
      <xdr:row>19</xdr:row>
      <xdr:rowOff>28575</xdr:rowOff>
    </xdr:to>
    <xdr:sp macro="" textlink="PPT!$BA$7">
      <xdr:nvSpPr>
        <xdr:cNvPr id="18" name="TextBox 17">
          <a:extLst>
            <a:ext uri="{FF2B5EF4-FFF2-40B4-BE49-F238E27FC236}">
              <a16:creationId xmlns:a16="http://schemas.microsoft.com/office/drawing/2014/main" id="{00000000-0008-0000-0100-000012000000}"/>
            </a:ext>
          </a:extLst>
        </xdr:cNvPr>
        <xdr:cNvSpPr txBox="1"/>
      </xdr:nvSpPr>
      <xdr:spPr>
        <a:xfrm>
          <a:off x="2190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1</xdr:col>
      <xdr:colOff>38100</xdr:colOff>
      <xdr:row>29</xdr:row>
      <xdr:rowOff>57150</xdr:rowOff>
    </xdr:from>
    <xdr:to>
      <xdr:col>15</xdr:col>
      <xdr:colOff>228600</xdr:colOff>
      <xdr:row>30</xdr:row>
      <xdr:rowOff>28575</xdr:rowOff>
    </xdr:to>
    <xdr:sp macro="" textlink="PPT!$BA$12">
      <xdr:nvSpPr>
        <xdr:cNvPr id="19" name="TextBox 18">
          <a:extLst>
            <a:ext uri="{FF2B5EF4-FFF2-40B4-BE49-F238E27FC236}">
              <a16:creationId xmlns:a16="http://schemas.microsoft.com/office/drawing/2014/main" id="{00000000-0008-0000-0100-000013000000}"/>
            </a:ext>
          </a:extLst>
        </xdr:cNvPr>
        <xdr:cNvSpPr txBox="1"/>
      </xdr:nvSpPr>
      <xdr:spPr>
        <a:xfrm>
          <a:off x="2190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16</xdr:col>
      <xdr:colOff>161925</xdr:colOff>
      <xdr:row>17</xdr:row>
      <xdr:rowOff>28575</xdr:rowOff>
    </xdr:from>
    <xdr:to>
      <xdr:col>31</xdr:col>
      <xdr:colOff>38100</xdr:colOff>
      <xdr:row>19</xdr:row>
      <xdr:rowOff>28575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3990975" y="3190875"/>
          <a:ext cx="3590925" cy="381000"/>
        </a:xfrm>
        <a:prstGeom prst="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Eingänge / Abgänge Verbund</a:t>
          </a:r>
        </a:p>
      </xdr:txBody>
    </xdr:sp>
    <xdr:clientData/>
  </xdr:twoCellAnchor>
  <xdr:twoCellAnchor editAs="absolute">
    <xdr:from>
      <xdr:col>16</xdr:col>
      <xdr:colOff>161925</xdr:colOff>
      <xdr:row>18</xdr:row>
      <xdr:rowOff>19050</xdr:rowOff>
    </xdr:from>
    <xdr:to>
      <xdr:col>31</xdr:col>
      <xdr:colOff>38100</xdr:colOff>
      <xdr:row>19</xdr:row>
      <xdr:rowOff>28575</xdr:rowOff>
    </xdr:to>
    <xdr:sp macro="" textlink="PPT!$BA$8">
      <xdr:nvSpPr>
        <xdr:cNvPr id="21" name="TextBox 20">
          <a:extLst>
            <a:ext uri="{FF2B5EF4-FFF2-40B4-BE49-F238E27FC236}">
              <a16:creationId xmlns:a16="http://schemas.microsoft.com/office/drawing/2014/main" id="{00000000-0008-0000-0100-000015000000}"/>
            </a:ext>
          </a:extLst>
        </xdr:cNvPr>
        <xdr:cNvSpPr txBox="1"/>
      </xdr:nvSpPr>
      <xdr:spPr>
        <a:xfrm>
          <a:off x="39909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16</xdr:col>
      <xdr:colOff>161925</xdr:colOff>
      <xdr:row>29</xdr:row>
      <xdr:rowOff>57150</xdr:rowOff>
    </xdr:from>
    <xdr:to>
      <xdr:col>31</xdr:col>
      <xdr:colOff>38100</xdr:colOff>
      <xdr:row>30</xdr:row>
      <xdr:rowOff>28575</xdr:rowOff>
    </xdr:to>
    <xdr:sp macro="" textlink="PPT!$BA$12">
      <xdr:nvSpPr>
        <xdr:cNvPr id="22" name="TextBox 21">
          <a:extLst>
            <a:ext uri="{FF2B5EF4-FFF2-40B4-BE49-F238E27FC236}">
              <a16:creationId xmlns:a16="http://schemas.microsoft.com/office/drawing/2014/main" id="{00000000-0008-0000-0100-000016000000}"/>
            </a:ext>
          </a:extLst>
        </xdr:cNvPr>
        <xdr:cNvSpPr txBox="1"/>
      </xdr:nvSpPr>
      <xdr:spPr>
        <a:xfrm>
          <a:off x="39909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twoCellAnchor editAs="absolute">
    <xdr:from>
      <xdr:col>31</xdr:col>
      <xdr:colOff>219075</xdr:colOff>
      <xdr:row>17</xdr:row>
      <xdr:rowOff>28575</xdr:rowOff>
    </xdr:from>
    <xdr:to>
      <xdr:col>46</xdr:col>
      <xdr:colOff>95250</xdr:colOff>
      <xdr:row>19</xdr:row>
      <xdr:rowOff>28575</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7762875" y="3190875"/>
          <a:ext cx="3590925" cy="38100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900" b="1">
              <a:solidFill>
                <a:srgbClr val="FFFFFF"/>
              </a:solidFill>
              <a:latin typeface="Aptos"/>
              <a:cs typeface="Aptos"/>
            </a:rPr>
            <a:t>Altersstruktur des Rückstands</a:t>
          </a:r>
        </a:p>
      </xdr:txBody>
    </xdr:sp>
    <xdr:clientData/>
  </xdr:twoCellAnchor>
  <xdr:twoCellAnchor editAs="absolute">
    <xdr:from>
      <xdr:col>31</xdr:col>
      <xdr:colOff>219075</xdr:colOff>
      <xdr:row>18</xdr:row>
      <xdr:rowOff>19050</xdr:rowOff>
    </xdr:from>
    <xdr:to>
      <xdr:col>46</xdr:col>
      <xdr:colOff>95250</xdr:colOff>
      <xdr:row>19</xdr:row>
      <xdr:rowOff>28575</xdr:rowOff>
    </xdr:to>
    <xdr:sp macro="" textlink="PPT!$BA$10">
      <xdr:nvSpPr>
        <xdr:cNvPr id="24" name="TextBox 23">
          <a:extLst>
            <a:ext uri="{FF2B5EF4-FFF2-40B4-BE49-F238E27FC236}">
              <a16:creationId xmlns:a16="http://schemas.microsoft.com/office/drawing/2014/main" id="{00000000-0008-0000-0100-000018000000}"/>
            </a:ext>
          </a:extLst>
        </xdr:cNvPr>
        <xdr:cNvSpPr txBox="1"/>
      </xdr:nvSpPr>
      <xdr:spPr>
        <a:xfrm>
          <a:off x="7762875" y="3371850"/>
          <a:ext cx="35909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fld id="{B8ADDEFE-BF52-4FD4-8C5D-6B85EF6FF707}" type="TxLink">
            <a:rPr lang="en-US" sz="800" b="0">
              <a:solidFill>
                <a:srgbClr val="FFFFFF"/>
              </a:solidFill>
              <a:latin typeface="Aptos"/>
              <a:cs typeface="Aptos"/>
            </a:rPr>
            <a:pPr/>
            <a:t>–</a:t>
          </a:fld>
          <a:endParaRPr lang="en-US" sz="800" b="0">
            <a:solidFill>
              <a:srgbClr val="FFFFFF"/>
            </a:solidFill>
            <a:latin typeface="Aptos"/>
            <a:cs typeface="Aptos"/>
          </a:endParaRPr>
        </a:p>
      </xdr:txBody>
    </xdr:sp>
    <xdr:clientData/>
  </xdr:twoCellAnchor>
  <xdr:twoCellAnchor editAs="absolute">
    <xdr:from>
      <xdr:col>31</xdr:col>
      <xdr:colOff>219075</xdr:colOff>
      <xdr:row>29</xdr:row>
      <xdr:rowOff>57150</xdr:rowOff>
    </xdr:from>
    <xdr:to>
      <xdr:col>46</xdr:col>
      <xdr:colOff>95250</xdr:colOff>
      <xdr:row>30</xdr:row>
      <xdr:rowOff>28575</xdr:rowOff>
    </xdr:to>
    <xdr:sp macro="" textlink="PPT!$BA$12">
      <xdr:nvSpPr>
        <xdr:cNvPr id="25" name="TextBox 24">
          <a:extLst>
            <a:ext uri="{FF2B5EF4-FFF2-40B4-BE49-F238E27FC236}">
              <a16:creationId xmlns:a16="http://schemas.microsoft.com/office/drawing/2014/main" id="{00000000-0008-0000-0100-000019000000}"/>
            </a:ext>
          </a:extLst>
        </xdr:cNvPr>
        <xdr:cNvSpPr txBox="1"/>
      </xdr:nvSpPr>
      <xdr:spPr>
        <a:xfrm>
          <a:off x="7762875" y="5505450"/>
          <a:ext cx="35909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fld id="{B8ADDEFE-BF52-4FD4-8C5D-6B85EF6FF707}" type="TxLink">
            <a:rPr lang="en-US" sz="650" i="1">
              <a:solidFill>
                <a:srgbClr val="6B6B6B"/>
              </a:solidFill>
              <a:latin typeface="Aptos"/>
              <a:cs typeface="Aptos"/>
            </a:rPr>
            <a:pPr/>
            <a:t>Themenpostkörbe: 3 von 9 · Sparten: alle · GeVo: Alle GeVo · Tagessicht</a:t>
          </a:fld>
          <a:endParaRPr lang="en-US" sz="650" i="1">
            <a:solidFill>
              <a:srgbClr val="6B6B6B"/>
            </a:solidFill>
            <a:latin typeface="Aptos"/>
            <a:cs typeface="Apto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47625</xdr:rowOff>
    </xdr:from>
    <xdr:to>
      <xdr:col>1</xdr:col>
      <xdr:colOff>85725</xdr:colOff>
      <xdr:row>0</xdr:row>
      <xdr:rowOff>276225</xdr:rowOff>
    </xdr:to>
    <xdr:sp macro="[0]!modCockpit.ZurAktuellenKW" textlink="">
      <xdr:nvSpPr>
        <xdr:cNvPr id="2" name="BTN_PL_KW">
          <a:extLst>
            <a:ext uri="{FF2B5EF4-FFF2-40B4-BE49-F238E27FC236}">
              <a16:creationId xmlns:a16="http://schemas.microsoft.com/office/drawing/2014/main" id="{00000000-0008-0000-0300-000002000000}"/>
            </a:ext>
          </a:extLst>
        </xdr:cNvPr>
        <xdr:cNvSpPr txBox="1"/>
      </xdr:nvSpPr>
      <xdr:spPr>
        <a:xfrm>
          <a:off x="38100" y="47625"/>
          <a:ext cx="1428750" cy="2286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Zur aktuellen KW</a:t>
          </a:r>
        </a:p>
      </xdr:txBody>
    </xdr:sp>
    <xdr:clientData/>
  </xdr:twoCellAnchor>
  <xdr:twoCellAnchor editAs="absolute">
    <xdr:from>
      <xdr:col>3</xdr:col>
      <xdr:colOff>38100</xdr:colOff>
      <xdr:row>0</xdr:row>
      <xdr:rowOff>47625</xdr:rowOff>
    </xdr:from>
    <xdr:to>
      <xdr:col>6</xdr:col>
      <xdr:colOff>285750</xdr:colOff>
      <xdr:row>0</xdr:row>
      <xdr:rowOff>276225</xdr:rowOff>
    </xdr:to>
    <xdr:sp macro="[0]!modLaden.AnwesenheitLaden" textlink="">
      <xdr:nvSpPr>
        <xdr:cNvPr id="3" name="BTN_PL_Import">
          <a:extLst>
            <a:ext uri="{FF2B5EF4-FFF2-40B4-BE49-F238E27FC236}">
              <a16:creationId xmlns:a16="http://schemas.microsoft.com/office/drawing/2014/main" id="{00000000-0008-0000-0300-000003000000}"/>
            </a:ext>
          </a:extLst>
        </xdr:cNvPr>
        <xdr:cNvSpPr txBox="1"/>
      </xdr:nvSpPr>
      <xdr:spPr>
        <a:xfrm>
          <a:off x="2647950" y="47625"/>
          <a:ext cx="1619250" cy="228600"/>
        </a:xfrm>
        <a:prstGeom prst="round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MAK-Liste importieren</a:t>
          </a:r>
        </a:p>
      </xdr:txBody>
    </xdr:sp>
    <xdr:clientData/>
  </xdr:twoCellAnchor>
  <xdr:twoCellAnchor editAs="absolute">
    <xdr:from>
      <xdr:col>7</xdr:col>
      <xdr:colOff>38100</xdr:colOff>
      <xdr:row>0</xdr:row>
      <xdr:rowOff>47625</xdr:rowOff>
    </xdr:from>
    <xdr:to>
      <xdr:col>9</xdr:col>
      <xdr:colOff>266700</xdr:colOff>
      <xdr:row>0</xdr:row>
      <xdr:rowOff>276225</xdr:rowOff>
    </xdr:to>
    <xdr:sp macro="[0]!modCockpit.CockpitOeffnen" textlink="">
      <xdr:nvSpPr>
        <xdr:cNvPr id="4" name="BTN_PL_Cockpit">
          <a:extLst>
            <a:ext uri="{FF2B5EF4-FFF2-40B4-BE49-F238E27FC236}">
              <a16:creationId xmlns:a16="http://schemas.microsoft.com/office/drawing/2014/main" id="{00000000-0008-0000-0300-000004000000}"/>
            </a:ext>
          </a:extLst>
        </xdr:cNvPr>
        <xdr:cNvSpPr txBox="1"/>
      </xdr:nvSpPr>
      <xdr:spPr>
        <a:xfrm>
          <a:off x="4476750" y="47625"/>
          <a:ext cx="1143000" cy="228600"/>
        </a:xfrm>
        <a:prstGeom prst="round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Aptos"/>
              <a:cs typeface="Aptos"/>
            </a:rPr>
            <a:t>Zum Cockpit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ckpit">
    <tabColor rgb="FFBF1528"/>
    <pageSetUpPr fitToPage="1"/>
  </sheetPr>
  <dimension ref="A1:BF118"/>
  <sheetViews>
    <sheetView showGridLines="0" tabSelected="1" zoomScale="90" zoomScaleNormal="90" workbookViewId="0"/>
  </sheetViews>
  <sheetFormatPr defaultRowHeight="13.5" x14ac:dyDescent="0.25"/>
  <cols>
    <col min="1" max="1" width="2.28515625" customWidth="1"/>
    <col min="2" max="7" width="6.140625" customWidth="1"/>
    <col min="8" max="8" width="2.28515625" customWidth="1"/>
    <col min="9" max="58" width="3.7109375" customWidth="1"/>
  </cols>
  <sheetData>
    <row r="1" spans="1:58" ht="8.1" customHeight="1" x14ac:dyDescent="0.25"/>
    <row r="2" spans="1:58" ht="30" customHeight="1" x14ac:dyDescent="0.25">
      <c r="B2" s="1" t="s">
        <v>459</v>
      </c>
      <c r="AT2" s="32" t="s">
        <v>461</v>
      </c>
      <c r="AU2" s="32"/>
      <c r="AV2" s="32"/>
      <c r="AW2" s="32"/>
      <c r="AX2" s="32"/>
      <c r="AY2" s="32"/>
      <c r="AZ2" s="33" t="str">
        <f>Filter!O5</f>
        <v/>
      </c>
      <c r="BA2" s="33"/>
      <c r="BB2" s="33"/>
      <c r="BC2" s="33"/>
      <c r="BD2" s="33"/>
      <c r="BE2" s="33"/>
      <c r="BF2" s="33"/>
    </row>
    <row r="3" spans="1:58" ht="15.95" customHeight="1" x14ac:dyDescent="0.25">
      <c r="B3" s="2" t="s">
        <v>460</v>
      </c>
      <c r="AT3" s="34" t="str">
        <f>IF(Filter!O6="","",Filter!O6)</f>
        <v/>
      </c>
      <c r="AU3" s="34"/>
      <c r="AV3" s="34"/>
      <c r="AW3" s="34"/>
      <c r="AX3" s="34"/>
      <c r="AY3" s="34"/>
      <c r="AZ3" s="35" t="s">
        <v>462</v>
      </c>
      <c r="BA3" s="35"/>
      <c r="BB3" s="35"/>
      <c r="BC3" s="35"/>
      <c r="BD3" s="35"/>
      <c r="BE3" s="35"/>
      <c r="BF3" s="35"/>
    </row>
    <row r="4" spans="1:58" ht="9.9499999999999993" customHeight="1" x14ac:dyDescent="0.25"/>
    <row r="5" spans="1:58" ht="15.95" customHeight="1" x14ac:dyDescent="0.25">
      <c r="B5" s="41" t="s">
        <v>474</v>
      </c>
      <c r="C5" s="41"/>
      <c r="D5" s="41"/>
      <c r="E5" s="41"/>
      <c r="F5" s="41"/>
      <c r="G5" s="41"/>
      <c r="I5" s="36" t="s">
        <v>463</v>
      </c>
      <c r="J5" s="36"/>
      <c r="K5" s="36"/>
      <c r="L5" s="36"/>
      <c r="M5" s="36"/>
      <c r="N5" s="36"/>
      <c r="O5" s="36"/>
      <c r="Q5" s="36" t="s">
        <v>465</v>
      </c>
      <c r="R5" s="36"/>
      <c r="S5" s="36"/>
      <c r="T5" s="36"/>
      <c r="U5" s="36"/>
      <c r="V5" s="36"/>
      <c r="W5" s="36"/>
      <c r="Y5" s="36" t="s">
        <v>467</v>
      </c>
      <c r="Z5" s="36"/>
      <c r="AA5" s="36"/>
      <c r="AB5" s="36"/>
      <c r="AC5" s="36"/>
      <c r="AD5" s="36"/>
      <c r="AE5" s="36"/>
      <c r="AG5" s="36" t="s">
        <v>469</v>
      </c>
      <c r="AH5" s="36"/>
      <c r="AI5" s="36"/>
      <c r="AJ5" s="36"/>
      <c r="AK5" s="36"/>
      <c r="AL5" s="36"/>
      <c r="AM5" s="36"/>
      <c r="AO5" s="36" t="s">
        <v>471</v>
      </c>
      <c r="AP5" s="36"/>
      <c r="AQ5" s="36"/>
      <c r="AR5" s="36"/>
      <c r="AS5" s="36"/>
      <c r="AT5" s="36"/>
      <c r="AU5" s="36"/>
      <c r="AW5" s="36" t="s">
        <v>472</v>
      </c>
      <c r="AX5" s="36"/>
      <c r="AY5" s="36"/>
      <c r="AZ5" s="36"/>
      <c r="BA5" s="36"/>
      <c r="BB5" s="36"/>
      <c r="BC5" s="36"/>
    </row>
    <row r="6" spans="1:58" ht="36" customHeight="1" x14ac:dyDescent="0.25">
      <c r="I6" s="37" t="str">
        <f>IF(Filter!$O$7=0,"",INDEX(Verlauf!$H$6:$H$1000,Filter!$O$7))</f>
        <v/>
      </c>
      <c r="J6" s="37"/>
      <c r="K6" s="37"/>
      <c r="L6" s="37"/>
      <c r="M6" s="37"/>
      <c r="N6" s="37"/>
      <c r="O6" s="37"/>
      <c r="Q6" s="37" t="str">
        <f>IF(Filter!$O$7=0,"",INDEX(Verlauf!$R$6:$R$1000,Filter!$O$7))</f>
        <v/>
      </c>
      <c r="R6" s="37"/>
      <c r="S6" s="37"/>
      <c r="T6" s="37"/>
      <c r="U6" s="37"/>
      <c r="V6" s="37"/>
      <c r="W6" s="37"/>
      <c r="Y6" s="37" t="str">
        <f>IF(Filter!$O$7=0,"",INDEX(Verlauf!$S$6:$S$1000,Filter!$O$7))</f>
        <v/>
      </c>
      <c r="Z6" s="37"/>
      <c r="AA6" s="37"/>
      <c r="AB6" s="37"/>
      <c r="AC6" s="37"/>
      <c r="AD6" s="37"/>
      <c r="AE6" s="37"/>
      <c r="AG6" s="37" t="str">
        <f>IF(Filter!$O$7=0,"",INDEX(Verlauf!$T$6:$T$1000,Filter!$O$7))</f>
        <v/>
      </c>
      <c r="AH6" s="37"/>
      <c r="AI6" s="37"/>
      <c r="AJ6" s="37"/>
      <c r="AK6" s="37"/>
      <c r="AL6" s="37"/>
      <c r="AM6" s="37"/>
      <c r="AO6" s="40" t="str">
        <f>IF(Filter!$O$11=0,"",IFERROR(INDEX(KW!$Q$6:$Q$400,Filter!$O$11),""))</f>
        <v/>
      </c>
      <c r="AP6" s="40"/>
      <c r="AQ6" s="40"/>
      <c r="AR6" s="40"/>
      <c r="AS6" s="40"/>
      <c r="AT6" s="40"/>
      <c r="AU6" s="40"/>
      <c r="AW6" s="40" t="str">
        <f>IF(Filter!$O$11=0,"",INDEX(KW!$N$6:$N$400,Filter!$O$11))</f>
        <v/>
      </c>
      <c r="AX6" s="40"/>
      <c r="AY6" s="40"/>
      <c r="AZ6" s="40"/>
      <c r="BA6" s="40"/>
      <c r="BB6" s="40"/>
      <c r="BC6" s="40"/>
    </row>
    <row r="7" spans="1:58" ht="14.1" customHeight="1" x14ac:dyDescent="0.25">
      <c r="I7" s="38" t="str">
        <f>IF(Filter!$O$19="","–",IF(Filter!$O$19&gt;0,"+","")&amp;FIXED(Filter!$O$19,0)&amp;" ggü. "&amp;RIGHT("0"&amp;DAY(Filter!$O$6),2)&amp;"."&amp;RIGHT("0"&amp;MONTH(Filter!$O$6),2)&amp;".")</f>
        <v>–</v>
      </c>
      <c r="J7" s="38"/>
      <c r="K7" s="38"/>
      <c r="L7" s="38"/>
      <c r="M7" s="38"/>
      <c r="N7" s="38"/>
      <c r="O7" s="38"/>
      <c r="Q7" s="38" t="str">
        <f>IF(Filter!$O$20="","–",IF(Filter!$O$20&gt;0,"+","")&amp;FIXED(Filter!$O$20,0)&amp;" ggü. "&amp;RIGHT("0"&amp;DAY(Filter!$O$6),2)&amp;"."&amp;RIGHT("0"&amp;MONTH(Filter!$O$6),2)&amp;".")</f>
        <v>–</v>
      </c>
      <c r="R7" s="38"/>
      <c r="S7" s="38"/>
      <c r="T7" s="38"/>
      <c r="U7" s="38"/>
      <c r="V7" s="38"/>
      <c r="W7" s="38"/>
      <c r="Y7" s="38" t="str">
        <f>IF(Filter!$O$7=0,"","OPAG: "&amp;FIXED(INDEX(Verlauf!$I$6:$I$1000,Filter!$O$7),0)&amp;" Arbeitsgüter")</f>
        <v/>
      </c>
      <c r="Z7" s="38"/>
      <c r="AA7" s="38"/>
      <c r="AB7" s="38"/>
      <c r="AC7" s="38"/>
      <c r="AD7" s="38"/>
      <c r="AE7" s="38"/>
      <c r="AG7" s="38" t="str">
        <f>IF(Filter!$O$7=0,"","OPAG: "&amp;FIXED(INDEX(Verlauf!$J$6:$J$1000,Filter!$O$7),0)&amp;" Arbeitsgüter")</f>
        <v/>
      </c>
      <c r="AH7" s="38"/>
      <c r="AI7" s="38"/>
      <c r="AJ7" s="38"/>
      <c r="AK7" s="38"/>
      <c r="AL7" s="38"/>
      <c r="AM7" s="38"/>
      <c r="AO7" s="38" t="str">
        <f>IF(Filter!$O$11=0,"","KV "&amp;IFERROR(FIXED(INDEX(KW!$O$6:$O$400,Filter!$O$11),1),"–")&amp;" · Komposit/Leben "&amp;IFERROR(FIXED(INDEX(KW!$P$6:$P$400,Filter!$O$11),1),"–"))</f>
        <v/>
      </c>
      <c r="AP7" s="38"/>
      <c r="AQ7" s="38"/>
      <c r="AR7" s="38"/>
      <c r="AS7" s="38"/>
      <c r="AT7" s="38"/>
      <c r="AU7" s="38"/>
      <c r="AW7" s="38" t="str">
        <f>IF(Filter!$O$11=0,"","KV "&amp;FIXED(INDEX(KW!$L$6:$L$400,Filter!$O$11),1)&amp;" · Komposit/Leben "&amp;FIXED(INDEX(KW!$M$6:$M$400,Filter!$O$11),1))</f>
        <v/>
      </c>
      <c r="AX7" s="38"/>
      <c r="AY7" s="38"/>
      <c r="AZ7" s="38"/>
      <c r="BA7" s="38"/>
      <c r="BB7" s="38"/>
      <c r="BC7" s="38"/>
    </row>
    <row r="8" spans="1:58" ht="14.1" customHeight="1" x14ac:dyDescent="0.25">
      <c r="I8" s="38" t="s">
        <v>464</v>
      </c>
      <c r="J8" s="38"/>
      <c r="K8" s="38"/>
      <c r="L8" s="38"/>
      <c r="M8" s="38"/>
      <c r="N8" s="38"/>
      <c r="O8" s="38"/>
      <c r="Q8" s="38" t="s">
        <v>466</v>
      </c>
      <c r="R8" s="38"/>
      <c r="S8" s="38"/>
      <c r="T8" s="38"/>
      <c r="U8" s="38"/>
      <c r="V8" s="38"/>
      <c r="W8" s="38"/>
      <c r="Y8" s="38" t="s">
        <v>468</v>
      </c>
      <c r="Z8" s="38"/>
      <c r="AA8" s="38"/>
      <c r="AB8" s="38"/>
      <c r="AC8" s="38"/>
      <c r="AD8" s="38"/>
      <c r="AE8" s="38"/>
      <c r="AG8" s="38" t="s">
        <v>470</v>
      </c>
      <c r="AH8" s="38"/>
      <c r="AI8" s="38"/>
      <c r="AJ8" s="38"/>
      <c r="AK8" s="38"/>
      <c r="AL8" s="38"/>
      <c r="AM8" s="38"/>
      <c r="AO8" s="38" t="str">
        <f>IF(Filter!$O$11=0,"","Vorgänge je MAK · OPAG "&amp;IFERROR(FIXED(INDEX(KW!$T$6:$T$400,Filter!$O$11),1),"–")&amp;" je MAK")</f>
        <v/>
      </c>
      <c r="AP8" s="38"/>
      <c r="AQ8" s="38"/>
      <c r="AR8" s="38"/>
      <c r="AS8" s="38"/>
      <c r="AT8" s="38"/>
      <c r="AU8" s="38"/>
      <c r="AW8" s="38" t="s">
        <v>473</v>
      </c>
      <c r="AX8" s="38"/>
      <c r="AY8" s="38"/>
      <c r="AZ8" s="38"/>
      <c r="BA8" s="38"/>
      <c r="BB8" s="38"/>
      <c r="BC8" s="38"/>
    </row>
    <row r="9" spans="1:58" ht="8.1" customHeight="1" x14ac:dyDescent="0.25">
      <c r="I9" s="39"/>
      <c r="J9" s="39"/>
      <c r="K9" s="39"/>
      <c r="L9" s="39"/>
      <c r="M9" s="39"/>
      <c r="N9" s="39"/>
      <c r="O9" s="39"/>
      <c r="Q9" s="39"/>
      <c r="R9" s="39"/>
      <c r="S9" s="39"/>
      <c r="T9" s="39"/>
      <c r="U9" s="39"/>
      <c r="V9" s="39"/>
      <c r="W9" s="39"/>
      <c r="Y9" s="39"/>
      <c r="Z9" s="39"/>
      <c r="AA9" s="39"/>
      <c r="AB9" s="39"/>
      <c r="AC9" s="39"/>
      <c r="AD9" s="39"/>
      <c r="AE9" s="39"/>
      <c r="AG9" s="39"/>
      <c r="AH9" s="39"/>
      <c r="AI9" s="39"/>
      <c r="AJ9" s="39"/>
      <c r="AK9" s="39"/>
      <c r="AL9" s="39"/>
      <c r="AM9" s="39"/>
      <c r="AO9" s="39"/>
      <c r="AP9" s="39"/>
      <c r="AQ9" s="39"/>
      <c r="AR9" s="39"/>
      <c r="AS9" s="39"/>
      <c r="AT9" s="39"/>
      <c r="AU9" s="39"/>
      <c r="AW9" s="39"/>
      <c r="AX9" s="39"/>
      <c r="AY9" s="39"/>
      <c r="AZ9" s="39"/>
      <c r="BA9" s="39"/>
      <c r="BB9" s="39"/>
      <c r="BC9" s="39"/>
    </row>
    <row r="10" spans="1:58" ht="21.95" customHeight="1" x14ac:dyDescent="0.25"/>
    <row r="11" spans="1:58" ht="3.95" customHeight="1" x14ac:dyDescent="0.25"/>
    <row r="12" spans="1:58" ht="21.95" customHeight="1" x14ac:dyDescent="0.25"/>
    <row r="13" spans="1:58" ht="8.1" customHeight="1" x14ac:dyDescent="0.25"/>
    <row r="14" spans="1:58" ht="18" customHeight="1" x14ac:dyDescent="0.25">
      <c r="B14" s="41" t="str">
        <f ca="1">IFERROR(HYPERLINK(ChipHover(0),"SPARTEN"),"SPARTEN")</f>
        <v>SPARTEN</v>
      </c>
      <c r="C14" s="41"/>
      <c r="D14" s="41"/>
      <c r="E14" s="41"/>
      <c r="F14" s="41"/>
      <c r="G14" s="41"/>
    </row>
    <row r="15" spans="1:58" ht="20.100000000000001" customHeight="1" x14ac:dyDescent="0.25">
      <c r="A15" s="3">
        <v>201</v>
      </c>
      <c r="B15" s="44" t="str">
        <f ca="1">IFERROR(HYPERLINK(ChipHover(201),"Komposit"),"Komposit")</f>
        <v>Komposit</v>
      </c>
      <c r="C15" s="44"/>
      <c r="D15" s="44"/>
      <c r="E15" s="44"/>
      <c r="F15" s="44"/>
      <c r="G15" s="44"/>
      <c r="I15" s="45" t="str">
        <f>"Rückstand OPAG im Verlauf"&amp;IF(Filter!$L$9="Woche"," · letzte 7 Kalenderwochen (Stand Wochenende)"," · letzte 7 Stichtage")</f>
        <v>Rückstand OPAG im Verlauf · letzte 7 Stichtage</v>
      </c>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6" t="str">
        <f>"Rückstand Verbund im Verlauf"&amp;IF(Filter!$L$9="Woche"," · letzte 7 Kalenderwochen (Stand Wochenende)"," · letzte 7 Stichtage")</f>
        <v>Rückstand Verbund im Verlauf · letzte 7 Stichtage</v>
      </c>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row>
    <row r="16" spans="1:58" ht="17.100000000000001" customHeight="1" x14ac:dyDescent="0.25">
      <c r="A16" s="3">
        <v>202</v>
      </c>
      <c r="B16" s="44" t="str">
        <f ca="1">IFERROR(HYPERLINK(ChipHover(202),"Leben"),"Leben")</f>
        <v>Leben</v>
      </c>
      <c r="C16" s="44"/>
      <c r="D16" s="44"/>
      <c r="E16" s="44"/>
      <c r="F16" s="44"/>
      <c r="G16" s="44"/>
      <c r="I16" s="38" t="s">
        <v>476</v>
      </c>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t="s">
        <v>477</v>
      </c>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row>
    <row r="17" spans="1:58" ht="17.100000000000001" customHeight="1" x14ac:dyDescent="0.25">
      <c r="A17" s="3">
        <v>203</v>
      </c>
      <c r="B17" s="44" t="str">
        <f ca="1">IFERROR(HYPERLINK(ChipHover(203),"KV"),"KV")</f>
        <v>KV</v>
      </c>
      <c r="C17" s="44"/>
      <c r="D17" s="44"/>
      <c r="E17" s="44"/>
      <c r="F17" s="44"/>
      <c r="G17" s="44"/>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row>
    <row r="18" spans="1:58" ht="17.100000000000001" customHeight="1" x14ac:dyDescent="0.25">
      <c r="A18" s="3">
        <v>204</v>
      </c>
      <c r="B18" s="44" t="str">
        <f ca="1">IFERROR(HYPERLINK(ChipHover(204),"Sonstige"),"Sonstige")</f>
        <v>Sonstige</v>
      </c>
      <c r="C18" s="44"/>
      <c r="D18" s="44"/>
      <c r="E18" s="44"/>
      <c r="F18" s="44"/>
      <c r="G18" s="44"/>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row>
    <row r="19" spans="1:58" ht="6" customHeight="1" x14ac:dyDescent="0.25">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row>
    <row r="20" spans="1:58" ht="18" customHeight="1" x14ac:dyDescent="0.25">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row>
    <row r="21" spans="1:58" ht="8.1" customHeight="1" x14ac:dyDescent="0.25">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row>
    <row r="22" spans="1:58" ht="18" customHeight="1" x14ac:dyDescent="0.25">
      <c r="B22" s="41" t="str">
        <f ca="1">IFERROR(HYPERLINK(ChipHover(0),"THEMENPOSTKÖRBE"),"THEMENPOSTKÖRBE")</f>
        <v>THEMENPOSTKÖRBE</v>
      </c>
      <c r="C22" s="41"/>
      <c r="D22" s="41"/>
      <c r="E22" s="41"/>
      <c r="F22" s="41"/>
      <c r="G22" s="41"/>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row>
    <row r="23" spans="1:58" ht="17.100000000000001" customHeight="1" x14ac:dyDescent="0.25">
      <c r="A23" s="3">
        <v>1</v>
      </c>
      <c r="B23" s="44" t="str">
        <f ca="1">IFERROR(HYPERLINK(ChipHover(1),"KO 23724"),"KO 23724")</f>
        <v>KO 23724</v>
      </c>
      <c r="C23" s="44"/>
      <c r="D23" s="44"/>
      <c r="E23" s="44"/>
      <c r="F23" s="44"/>
      <c r="G23" s="44"/>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row>
    <row r="24" spans="1:58" ht="17.100000000000001" customHeight="1" x14ac:dyDescent="0.25">
      <c r="A24" s="3">
        <v>2</v>
      </c>
      <c r="B24" s="44" t="str">
        <f ca="1">IFERROR(HYPERLINK(ChipHover(2),"MV 23724"),"MV 23724")</f>
        <v>MV 23724</v>
      </c>
      <c r="C24" s="44"/>
      <c r="D24" s="44"/>
      <c r="E24" s="44"/>
      <c r="F24" s="44"/>
      <c r="G24" s="44"/>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row>
    <row r="25" spans="1:58" ht="17.100000000000001" customHeight="1" x14ac:dyDescent="0.25">
      <c r="A25" s="3">
        <v>3</v>
      </c>
      <c r="B25" s="44" t="str">
        <f ca="1">IFERROR(HYPERLINK(ChipHover(3),"BE 23724"),"BE 23724")</f>
        <v>BE 23724</v>
      </c>
      <c r="C25" s="44"/>
      <c r="D25" s="44"/>
      <c r="E25" s="44"/>
      <c r="F25" s="44"/>
      <c r="G25" s="44"/>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row>
    <row r="26" spans="1:58" ht="17.100000000000001" customHeight="1" x14ac:dyDescent="0.25">
      <c r="A26" s="3">
        <v>4</v>
      </c>
      <c r="B26" s="44" t="str">
        <f ca="1">IFERROR(HYPERLINK(ChipHover(4),"WR 23724"),"WR 23724")</f>
        <v>WR 23724</v>
      </c>
      <c r="C26" s="44"/>
      <c r="D26" s="44"/>
      <c r="E26" s="44"/>
      <c r="F26" s="44"/>
      <c r="G26" s="44"/>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row>
    <row r="27" spans="1:58" ht="17.100000000000001" customHeight="1" x14ac:dyDescent="0.25">
      <c r="A27" s="3">
        <v>5</v>
      </c>
      <c r="B27" s="44" t="str">
        <f ca="1">IFERROR(HYPERLINK(ChipHover(5),"BÜ 23724"),"BÜ 23724")</f>
        <v>BÜ 23724</v>
      </c>
      <c r="C27" s="44"/>
      <c r="D27" s="44"/>
      <c r="E27" s="44"/>
      <c r="F27" s="44"/>
      <c r="G27" s="44"/>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row>
    <row r="28" spans="1:58" ht="17.100000000000001" customHeight="1" x14ac:dyDescent="0.25">
      <c r="A28" s="3">
        <v>6</v>
      </c>
      <c r="B28" s="44" t="str">
        <f ca="1">IFERROR(HYPERLINK(ChipHover(6),"72 23724"),"72 23724")</f>
        <v>72 23724</v>
      </c>
      <c r="C28" s="44"/>
      <c r="D28" s="44"/>
      <c r="E28" s="44"/>
      <c r="F28" s="44"/>
      <c r="G28" s="44"/>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row>
    <row r="29" spans="1:58" ht="17.100000000000001" customHeight="1" x14ac:dyDescent="0.25">
      <c r="A29" s="3">
        <v>7</v>
      </c>
      <c r="B29" s="44" t="str">
        <f ca="1">IFERROR(HYPERLINK(ChipHover(7),"GR 23724"),"GR 23724")</f>
        <v>GR 23724</v>
      </c>
      <c r="C29" s="44"/>
      <c r="D29" s="44"/>
      <c r="E29" s="44"/>
      <c r="F29" s="44"/>
      <c r="G29" s="44"/>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row>
    <row r="30" spans="1:58" ht="17.100000000000001" customHeight="1" x14ac:dyDescent="0.25">
      <c r="A30" s="3">
        <v>8</v>
      </c>
      <c r="B30" s="44" t="str">
        <f ca="1">IFERROR(HYPERLINK(ChipHover(8),"00 23724"),"00 23724")</f>
        <v>00 23724</v>
      </c>
      <c r="C30" s="44"/>
      <c r="D30" s="44"/>
      <c r="E30" s="44"/>
      <c r="F30" s="44"/>
      <c r="G30" s="44"/>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row>
    <row r="31" spans="1:58" ht="17.100000000000001" customHeight="1" x14ac:dyDescent="0.25">
      <c r="A31" s="3">
        <v>9</v>
      </c>
      <c r="B31" s="44" t="str">
        <f ca="1">IFERROR(HYPERLINK(ChipHover(9),"(ohne Postkorb)"),"(ohne Postkorb)")</f>
        <v>(ohne Postkorb)</v>
      </c>
      <c r="C31" s="44"/>
      <c r="D31" s="44"/>
      <c r="E31" s="44"/>
      <c r="F31" s="44"/>
      <c r="G31" s="44"/>
    </row>
    <row r="32" spans="1:58" ht="20.100000000000001" customHeight="1" x14ac:dyDescent="0.25">
      <c r="I32" s="46" t="str">
        <f>"Eingänge und Abgänge "&amp;Filter!$L$13&amp;" nach Sparte"&amp;IF(Filter!$L$9="Woche"," · letzte 7 Kalenderwochen (Stand Wochenende)"," · letzte 7 Stichtage")</f>
        <v>Eingänge und Abgänge Verbund nach Sparte · letzte 7 Stichtage</v>
      </c>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row>
    <row r="33" spans="1:58" ht="12" customHeight="1" x14ac:dyDescent="0.25">
      <c r="I33" s="38" t="s">
        <v>478</v>
      </c>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row>
    <row r="34" spans="1:58" ht="18" customHeight="1" x14ac:dyDescent="0.25">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row>
    <row r="35" spans="1:58" ht="6" customHeight="1" x14ac:dyDescent="0.25">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row>
    <row r="36" spans="1:58" ht="18" customHeight="1" x14ac:dyDescent="0.25">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row>
    <row r="37" spans="1:58" ht="8.1" customHeight="1" x14ac:dyDescent="0.25">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row>
    <row r="38" spans="1:58" ht="18" customHeight="1" x14ac:dyDescent="0.25">
      <c r="B38" s="41" t="str">
        <f ca="1">IFERROR(HYPERLINK(ChipHover(0),"GEVO-TYPEN"),"GEVO-TYPEN")</f>
        <v>GEVO-TYPEN</v>
      </c>
      <c r="C38" s="41"/>
      <c r="D38" s="41"/>
      <c r="E38" s="41"/>
      <c r="F38" s="41"/>
      <c r="G38" s="41"/>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row>
    <row r="39" spans="1:58" ht="18" customHeight="1" x14ac:dyDescent="0.25">
      <c r="B39" s="42" t="str">
        <f>Filter!$L$5</f>
        <v>Alle GeVo</v>
      </c>
      <c r="C39" s="42"/>
      <c r="D39" s="42"/>
      <c r="E39" s="42"/>
      <c r="F39" s="42"/>
      <c r="G39" s="42"/>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row>
    <row r="40" spans="1:58" ht="21.95" customHeight="1" x14ac:dyDescent="0.25">
      <c r="B40" s="43" t="str">
        <f ca="1">IFERROR(HYPERLINK(ChipHover(0),"Modus: Alle GeVo · Nur BÜ-Schlüssel · Manuelle Auswahl (Chips)"),"Modus: Alle GeVo · Nur BÜ-Schlüssel · Manuelle Auswahl (Chips)")</f>
        <v>Modus: Alle GeVo · Nur BÜ-Schlüssel · Manuelle Auswahl (Chips)</v>
      </c>
      <c r="C40" s="43"/>
      <c r="D40" s="43"/>
      <c r="E40" s="43"/>
      <c r="F40" s="43"/>
      <c r="G40" s="43"/>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row>
    <row r="41" spans="1:58" ht="17.100000000000001" customHeight="1" x14ac:dyDescent="0.25">
      <c r="A41" s="3">
        <v>101</v>
      </c>
      <c r="B41" s="44" t="str">
        <f ca="1">IFERROR(HYPERLINK(ChipHover(101),"39 Telefonnotiz"),"39 Telefonnotiz")</f>
        <v>39 Telefonnotiz</v>
      </c>
      <c r="C41" s="44"/>
      <c r="D41" s="44"/>
      <c r="E41" s="44"/>
      <c r="F41" s="44"/>
      <c r="G41" s="44"/>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row>
    <row r="42" spans="1:58" ht="17.100000000000001" customHeight="1" x14ac:dyDescent="0.25">
      <c r="A42" s="3">
        <v>102</v>
      </c>
      <c r="B42" s="44" t="str">
        <f ca="1">IFERROR(HYPERLINK(ChipHover(102),"40 sonstige Korrespondenz"),"40 sonstige Korrespondenz")</f>
        <v>40 sonstige Korrespondenz</v>
      </c>
      <c r="C42" s="44"/>
      <c r="D42" s="44"/>
      <c r="E42" s="44"/>
      <c r="F42" s="44"/>
      <c r="G42" s="44"/>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row>
    <row r="43" spans="1:58" ht="17.100000000000001" customHeight="1" x14ac:dyDescent="0.25">
      <c r="A43" s="3">
        <v>103</v>
      </c>
      <c r="B43" s="44" t="str">
        <f ca="1">IFERROR(HYPERLINK(ChipHover(103),"67 Anfrage z. Vertragsumf."),"67 Anfrage z. Vertragsumf.")</f>
        <v>67 Anfrage z. Vertragsumf.</v>
      </c>
      <c r="C43" s="44"/>
      <c r="D43" s="44"/>
      <c r="E43" s="44"/>
      <c r="F43" s="44"/>
      <c r="G43" s="44"/>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row>
    <row r="44" spans="1:58" ht="17.100000000000001" customHeight="1" x14ac:dyDescent="0.25">
      <c r="A44" s="3">
        <v>104</v>
      </c>
      <c r="B44" s="44" t="str">
        <f ca="1">IFERROR(HYPERLINK(ChipHover(104),"108 Bestandsübertragung"),"108 Bestandsübertragung")</f>
        <v>108 Bestandsübertragung</v>
      </c>
      <c r="C44" s="44"/>
      <c r="D44" s="44"/>
      <c r="E44" s="44"/>
      <c r="F44" s="44"/>
      <c r="G44" s="44"/>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row>
    <row r="45" spans="1:58" ht="17.100000000000001" customHeight="1" x14ac:dyDescent="0.25">
      <c r="A45" s="3">
        <v>105</v>
      </c>
      <c r="B45" s="44" t="str">
        <f ca="1">IFERROR(HYPERLINK(ChipHover(105),"131 Ablaufkündigung"),"131 Ablaufkündigung")</f>
        <v>131 Ablaufkündigung</v>
      </c>
      <c r="C45" s="44"/>
      <c r="D45" s="44"/>
      <c r="E45" s="44"/>
      <c r="F45" s="44"/>
      <c r="G45" s="44"/>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row>
    <row r="46" spans="1:58" ht="17.100000000000001" customHeight="1" x14ac:dyDescent="0.25">
      <c r="A46" s="3">
        <v>106</v>
      </c>
      <c r="B46" s="44" t="str">
        <f ca="1">IFERROR(HYPERLINK(ChipHover(106),"401 Maklervertrag"),"401 Maklervertrag")</f>
        <v>401 Maklervertrag</v>
      </c>
      <c r="C46" s="44"/>
      <c r="D46" s="44"/>
      <c r="E46" s="44"/>
      <c r="F46" s="44"/>
      <c r="G46" s="44"/>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row>
    <row r="47" spans="1:58" ht="17.100000000000001" customHeight="1" x14ac:dyDescent="0.25">
      <c r="A47" s="3">
        <v>107</v>
      </c>
      <c r="B47" s="44" t="str">
        <f ca="1">IFERROR(HYPERLINK(ChipHover(107),"413 Kopien von Unterlagen"),"413 Kopien von Unterlagen")</f>
        <v>413 Kopien von Unterlagen</v>
      </c>
      <c r="C47" s="44"/>
      <c r="D47" s="44"/>
      <c r="E47" s="44"/>
      <c r="F47" s="44"/>
      <c r="G47" s="44"/>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row>
    <row r="48" spans="1:58" ht="17.100000000000001" customHeight="1" x14ac:dyDescent="0.25">
      <c r="A48" s="3">
        <v>108</v>
      </c>
      <c r="B48" s="44" t="str">
        <f ca="1">IFERROR(HYPERLINK(ChipHover(108),"469 Bestandsübertragung"),"469 Bestandsübertragung")</f>
        <v>469 Bestandsübertragung</v>
      </c>
      <c r="C48" s="44"/>
      <c r="D48" s="44"/>
      <c r="E48" s="44"/>
      <c r="F48" s="44"/>
      <c r="G48" s="44"/>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row>
    <row r="49" spans="1:58" ht="17.100000000000001" customHeight="1" x14ac:dyDescent="0.25">
      <c r="A49" s="3">
        <v>109</v>
      </c>
      <c r="B49" s="44" t="str">
        <f ca="1">IFERROR(HYPERLINK(ChipHover(109),"472 sonstiger Schriftwechsel"),"472 sonstiger Schriftwechsel")</f>
        <v>472 sonstiger Schriftwechsel</v>
      </c>
      <c r="C49" s="44"/>
      <c r="D49" s="44"/>
      <c r="E49" s="44"/>
      <c r="F49" s="44"/>
      <c r="G49" s="44"/>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row>
    <row r="50" spans="1:58" ht="17.100000000000001" customHeight="1" x14ac:dyDescent="0.25">
      <c r="A50" s="3">
        <v>110</v>
      </c>
      <c r="B50" s="44" t="str">
        <f ca="1">IFERROR(HYPERLINK(ChipHover(110),"703 Rechte Dritter"),"703 Rechte Dritter")</f>
        <v>703 Rechte Dritter</v>
      </c>
      <c r="C50" s="44"/>
      <c r="D50" s="44"/>
      <c r="E50" s="44"/>
      <c r="F50" s="44"/>
      <c r="G50" s="44"/>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row>
    <row r="51" spans="1:58" ht="17.100000000000001" customHeight="1" x14ac:dyDescent="0.25">
      <c r="A51" s="3">
        <v>111</v>
      </c>
      <c r="B51" s="44" t="str">
        <f ca="1">IFERROR(HYPERLINK(ChipHover(111),"803 Eigentümer/Halter/Nutzung"),"803 Eigentümer/Halter/Nutzung")</f>
        <v>803 Eigentümer/Halter/Nutzung</v>
      </c>
      <c r="C51" s="44"/>
      <c r="D51" s="44"/>
      <c r="E51" s="44"/>
      <c r="F51" s="44"/>
      <c r="G51" s="44"/>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row>
    <row r="52" spans="1:58" ht="17.100000000000001" customHeight="1" x14ac:dyDescent="0.25">
      <c r="A52" s="3">
        <v>112</v>
      </c>
      <c r="B52" s="44" t="str">
        <f ca="1">IFERROR(HYPERLINK(ChipHover(112),"2015 Maklervollmacht"),"2015 Maklervollmacht")</f>
        <v>2015 Maklervollmacht</v>
      </c>
      <c r="C52" s="44"/>
      <c r="D52" s="44"/>
      <c r="E52" s="44"/>
      <c r="F52" s="44"/>
      <c r="G52" s="44"/>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row>
    <row r="53" spans="1:58" ht="17.100000000000001" customHeight="1" x14ac:dyDescent="0.25">
      <c r="A53" s="3">
        <v>113</v>
      </c>
      <c r="B53" s="44" t="str">
        <f ca="1">IFERROR(HYPERLINK(ChipHover(113),"6065 Anfrage Betreuung"),"6065 Anfrage Betreuung")</f>
        <v>6065 Anfrage Betreuung</v>
      </c>
      <c r="C53" s="44"/>
      <c r="D53" s="44"/>
      <c r="E53" s="44"/>
      <c r="F53" s="44"/>
      <c r="G53" s="44"/>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row>
    <row r="54" spans="1:58" ht="17.100000000000001" customHeight="1" x14ac:dyDescent="0.25">
      <c r="A54" s="3">
        <v>114</v>
      </c>
      <c r="B54" s="44" t="str">
        <f ca="1">IFERROR(HYPERLINK(ChipHover(114),"Alle übrigen GeVo-Typen"),"Alle übrigen GeVo-Typen")</f>
        <v>Alle übrigen GeVo-Typen</v>
      </c>
      <c r="C54" s="44"/>
      <c r="D54" s="44"/>
      <c r="E54" s="44"/>
      <c r="F54" s="44"/>
      <c r="G54" s="44"/>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row>
    <row r="55" spans="1:58" ht="6" customHeight="1" x14ac:dyDescent="0.25">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row>
    <row r="56" spans="1:58" ht="18" customHeight="1" x14ac:dyDescent="0.25">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row>
    <row r="57" spans="1:58" ht="6" customHeight="1" x14ac:dyDescent="0.25">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row>
    <row r="58" spans="1:58" ht="18" customHeight="1" x14ac:dyDescent="0.25">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row>
    <row r="59" spans="1:58" ht="8.1" customHeight="1" x14ac:dyDescent="0.25">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row>
    <row r="60" spans="1:58" ht="18" customHeight="1" x14ac:dyDescent="0.25">
      <c r="B60" s="41" t="str">
        <f ca="1">IFERROR(HYPERLINK(ChipHover(0),"ANSICHT"),"ANSICHT")</f>
        <v>ANSICHT</v>
      </c>
      <c r="C60" s="41"/>
      <c r="D60" s="41"/>
      <c r="E60" s="41"/>
      <c r="F60" s="41"/>
      <c r="G60" s="41"/>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row>
    <row r="61" spans="1:58" ht="17.100000000000001" customHeight="1" x14ac:dyDescent="0.25">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row>
    <row r="62" spans="1:58" ht="17.100000000000001" customHeight="1" x14ac:dyDescent="0.25">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row>
    <row r="63" spans="1:58" ht="6" customHeight="1" x14ac:dyDescent="0.25"/>
    <row r="64" spans="1:58" ht="20.100000000000001" customHeight="1" x14ac:dyDescent="0.25">
      <c r="I64" s="47" t="s">
        <v>479</v>
      </c>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t="s">
        <v>481</v>
      </c>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row>
    <row r="65" spans="2:58" ht="6" customHeight="1" x14ac:dyDescent="0.25">
      <c r="I65" s="38" t="s">
        <v>480</v>
      </c>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t="s">
        <v>482</v>
      </c>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row>
    <row r="66" spans="2:58" ht="18" customHeight="1" x14ac:dyDescent="0.25">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row>
    <row r="67" spans="2:58" ht="6" customHeight="1" x14ac:dyDescent="0.25">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row>
    <row r="68" spans="2:58" ht="18" customHeight="1" x14ac:dyDescent="0.25">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row>
    <row r="69" spans="2:58" ht="8.1" customHeight="1" x14ac:dyDescent="0.25">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row>
    <row r="70" spans="2:58" x14ac:dyDescent="0.25">
      <c r="B70" s="43" t="s">
        <v>475</v>
      </c>
      <c r="C70" s="43"/>
      <c r="D70" s="43"/>
      <c r="E70" s="43"/>
      <c r="F70" s="43"/>
      <c r="G70" s="43"/>
      <c r="I70" s="39"/>
      <c r="J70" s="39"/>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row>
    <row r="71" spans="2:58" x14ac:dyDescent="0.25">
      <c r="B71" s="43"/>
      <c r="C71" s="43"/>
      <c r="D71" s="43"/>
      <c r="E71" s="43"/>
      <c r="F71" s="43"/>
      <c r="G71" s="43"/>
      <c r="I71" s="39"/>
      <c r="J71" s="39"/>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row>
    <row r="72" spans="2:58" x14ac:dyDescent="0.25">
      <c r="B72" s="43"/>
      <c r="C72" s="43"/>
      <c r="D72" s="43"/>
      <c r="E72" s="43"/>
      <c r="F72" s="43"/>
      <c r="G72" s="43"/>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row>
    <row r="73" spans="2:58" x14ac:dyDescent="0.25">
      <c r="B73" s="43"/>
      <c r="C73" s="43"/>
      <c r="D73" s="43"/>
      <c r="E73" s="43"/>
      <c r="F73" s="43"/>
      <c r="G73" s="43"/>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row>
    <row r="74" spans="2:58" x14ac:dyDescent="0.25">
      <c r="B74" s="43"/>
      <c r="C74" s="43"/>
      <c r="D74" s="43"/>
      <c r="E74" s="43"/>
      <c r="F74" s="43"/>
      <c r="G74" s="43"/>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row>
    <row r="75" spans="2:58" x14ac:dyDescent="0.25">
      <c r="B75" s="43"/>
      <c r="C75" s="43"/>
      <c r="D75" s="43"/>
      <c r="E75" s="43"/>
      <c r="F75" s="43"/>
      <c r="G75" s="43"/>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row>
    <row r="76" spans="2:58" x14ac:dyDescent="0.25">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row>
    <row r="77" spans="2:58" x14ac:dyDescent="0.25">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row>
    <row r="78" spans="2:58" x14ac:dyDescent="0.25">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row>
    <row r="79" spans="2:58" x14ac:dyDescent="0.25">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row>
    <row r="80" spans="2:58" x14ac:dyDescent="0.25">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row>
    <row r="82" spans="9:58" ht="20.100000000000001" customHeight="1" x14ac:dyDescent="0.25">
      <c r="I82" s="47" t="s">
        <v>483</v>
      </c>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t="s">
        <v>485</v>
      </c>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row>
    <row r="83" spans="9:58" x14ac:dyDescent="0.25">
      <c r="I83" s="38" t="s">
        <v>484</v>
      </c>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t="s">
        <v>486</v>
      </c>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row>
    <row r="84" spans="9:58" x14ac:dyDescent="0.25">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row>
    <row r="85" spans="9:58" x14ac:dyDescent="0.25">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row>
    <row r="86" spans="9:58" x14ac:dyDescent="0.25">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row>
    <row r="87" spans="9:58" x14ac:dyDescent="0.25">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row>
    <row r="88" spans="9:58" x14ac:dyDescent="0.25">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row>
    <row r="89" spans="9:58" x14ac:dyDescent="0.25">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row>
    <row r="90" spans="9:58" x14ac:dyDescent="0.25">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row>
    <row r="91" spans="9:58" x14ac:dyDescent="0.25">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row>
    <row r="92" spans="9:58" x14ac:dyDescent="0.25">
      <c r="I92" s="39"/>
      <c r="J92" s="39"/>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row>
    <row r="93" spans="9:58" x14ac:dyDescent="0.25">
      <c r="I93" s="39"/>
      <c r="J93" s="39"/>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row>
    <row r="94" spans="9:58" x14ac:dyDescent="0.25">
      <c r="I94" s="39"/>
      <c r="J94" s="39"/>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row>
    <row r="95" spans="9:58" x14ac:dyDescent="0.25">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row>
    <row r="96" spans="9:58" x14ac:dyDescent="0.25">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row>
    <row r="97" spans="9:58" x14ac:dyDescent="0.25">
      <c r="I97" s="39"/>
      <c r="J97" s="39"/>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row>
    <row r="99" spans="9:58" ht="20.100000000000001" customHeight="1" x14ac:dyDescent="0.25">
      <c r="I99" s="47" t="s">
        <v>487</v>
      </c>
      <c r="J99" s="47"/>
      <c r="K99" s="47"/>
      <c r="L99" s="47"/>
      <c r="M99" s="47"/>
      <c r="N99" s="47"/>
      <c r="O99" s="47"/>
      <c r="P99" s="47"/>
      <c r="Q99" s="47"/>
      <c r="R99" s="47"/>
      <c r="S99" s="47"/>
      <c r="T99" s="47"/>
      <c r="U99" s="47"/>
      <c r="V99" s="47"/>
      <c r="W99" s="47"/>
      <c r="X99" s="47"/>
      <c r="Y99" s="47"/>
      <c r="Z99" s="47"/>
      <c r="AA99" s="47"/>
      <c r="AB99" s="47"/>
      <c r="AC99" s="47"/>
      <c r="AD99" s="47"/>
      <c r="AE99" s="47"/>
      <c r="AF99" s="47"/>
      <c r="AG99" s="47"/>
    </row>
    <row r="100" spans="9:58" x14ac:dyDescent="0.25">
      <c r="I100" s="38" t="s">
        <v>488</v>
      </c>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row>
    <row r="101" spans="9:58" x14ac:dyDescent="0.25">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row>
    <row r="102" spans="9:58" x14ac:dyDescent="0.25">
      <c r="I102" s="39"/>
      <c r="J102" s="39"/>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row>
    <row r="103" spans="9:58" x14ac:dyDescent="0.25">
      <c r="I103" s="39"/>
      <c r="J103" s="39"/>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row>
    <row r="104" spans="9:58" x14ac:dyDescent="0.25">
      <c r="I104" s="39"/>
      <c r="J104" s="39"/>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row>
    <row r="105" spans="9:58" x14ac:dyDescent="0.25">
      <c r="I105" s="39"/>
      <c r="J105" s="39"/>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row>
    <row r="106" spans="9:58" x14ac:dyDescent="0.25">
      <c r="I106" s="39"/>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row>
    <row r="107" spans="9:58" x14ac:dyDescent="0.25">
      <c r="I107" s="39"/>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row>
    <row r="108" spans="9:58" x14ac:dyDescent="0.25">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row>
    <row r="109" spans="9:58" x14ac:dyDescent="0.25">
      <c r="I109" s="39"/>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row>
    <row r="110" spans="9:58" x14ac:dyDescent="0.25">
      <c r="I110" s="39"/>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row>
    <row r="111" spans="9:58" x14ac:dyDescent="0.25">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row>
    <row r="112" spans="9:58" x14ac:dyDescent="0.25">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row>
    <row r="113" spans="9:58" x14ac:dyDescent="0.25">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row>
    <row r="114" spans="9:58" x14ac:dyDescent="0.25">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row>
    <row r="118" spans="9:58" x14ac:dyDescent="0.25">
      <c r="I118" s="43" t="str">
        <f>IF(Filter!$O$21&lt;&gt;"",Filter!$O$21,"Diagramme aktualisieren sich mit jeder Änderung der Filter. „Neue Daten laden“ ergänzt Stichtage; ein Stichtag wird je Quelle nur einmal geladen (Ladeprotokoll). Leere Slots rechts oder links bleiben frei, bis Stichtage bzw. Kalenderwochen vorliegen.")</f>
        <v>Diagramme aktualisieren sich mit jeder Änderung der Filter. „Neue Daten laden“ ergänzt Stichtage; ein Stichtag wird je Quelle nur einmal geladen (Ladeprotokoll). Leere Slots rechts oder links bleiben frei, bis Stichtage bzw. Kalenderwochen vorliegen.</v>
      </c>
      <c r="J118" s="43"/>
      <c r="K118" s="43"/>
      <c r="L118" s="43"/>
      <c r="M118" s="43"/>
      <c r="N118" s="43"/>
      <c r="O118" s="43"/>
      <c r="P118" s="43"/>
      <c r="Q118" s="43"/>
      <c r="R118" s="43"/>
      <c r="S118" s="43"/>
      <c r="T118" s="43"/>
      <c r="U118" s="43"/>
      <c r="V118" s="43"/>
      <c r="W118" s="43"/>
      <c r="X118" s="43"/>
      <c r="Y118" s="43"/>
      <c r="Z118" s="43"/>
      <c r="AA118" s="43"/>
      <c r="AB118" s="43"/>
      <c r="AC118" s="43"/>
      <c r="AD118" s="43"/>
      <c r="AE118" s="43"/>
      <c r="AF118" s="43"/>
      <c r="AG118" s="43"/>
      <c r="AH118" s="43"/>
      <c r="AI118" s="43"/>
      <c r="AJ118" s="43"/>
      <c r="AK118" s="43"/>
      <c r="AL118" s="43"/>
      <c r="AM118" s="43"/>
      <c r="AN118" s="43"/>
      <c r="AO118" s="43"/>
      <c r="AP118" s="43"/>
      <c r="AQ118" s="43"/>
      <c r="AR118" s="43"/>
      <c r="AS118" s="43"/>
      <c r="AT118" s="43"/>
      <c r="AU118" s="43"/>
      <c r="AV118" s="43"/>
      <c r="AW118" s="43"/>
      <c r="AX118" s="43"/>
      <c r="AY118" s="43"/>
      <c r="AZ118" s="43"/>
      <c r="BA118" s="43"/>
      <c r="BB118" s="43"/>
      <c r="BC118" s="43"/>
      <c r="BD118" s="43"/>
      <c r="BE118" s="43"/>
      <c r="BF118" s="43"/>
    </row>
  </sheetData>
  <mergeCells count="215">
    <mergeCell ref="I108:AG108"/>
    <mergeCell ref="I109:AG109"/>
    <mergeCell ref="I110:AG110"/>
    <mergeCell ref="I111:AG111"/>
    <mergeCell ref="I112:AG112"/>
    <mergeCell ref="I113:AG113"/>
    <mergeCell ref="I114:AG114"/>
    <mergeCell ref="I118:BF118"/>
    <mergeCell ref="I99:AG99"/>
    <mergeCell ref="I100:AG100"/>
    <mergeCell ref="I101:AG101"/>
    <mergeCell ref="I102:AG102"/>
    <mergeCell ref="I103:AG103"/>
    <mergeCell ref="I104:AG104"/>
    <mergeCell ref="I105:AG105"/>
    <mergeCell ref="I106:AG106"/>
    <mergeCell ref="I107:AG107"/>
    <mergeCell ref="I91:AG91"/>
    <mergeCell ref="I92:AG92"/>
    <mergeCell ref="I93:AG93"/>
    <mergeCell ref="I94:AG94"/>
    <mergeCell ref="I95:AG95"/>
    <mergeCell ref="I96:AG96"/>
    <mergeCell ref="I97:AG97"/>
    <mergeCell ref="AH82:BF82"/>
    <mergeCell ref="AH83:BF83"/>
    <mergeCell ref="AH84:BF84"/>
    <mergeCell ref="AH85:BF85"/>
    <mergeCell ref="AH86:BF86"/>
    <mergeCell ref="AH87:BF87"/>
    <mergeCell ref="AH88:BF88"/>
    <mergeCell ref="AH89:BF89"/>
    <mergeCell ref="AH90:BF90"/>
    <mergeCell ref="AH91:BF91"/>
    <mergeCell ref="AH92:BF92"/>
    <mergeCell ref="AH93:BF93"/>
    <mergeCell ref="AH94:BF94"/>
    <mergeCell ref="AH95:BF95"/>
    <mergeCell ref="AH96:BF96"/>
    <mergeCell ref="AH97:BF97"/>
    <mergeCell ref="I82:AG82"/>
    <mergeCell ref="I83:AG83"/>
    <mergeCell ref="I84:AG84"/>
    <mergeCell ref="I85:AG85"/>
    <mergeCell ref="I86:AG86"/>
    <mergeCell ref="I87:AG87"/>
    <mergeCell ref="I88:AG88"/>
    <mergeCell ref="I89:AG89"/>
    <mergeCell ref="I90:AG90"/>
    <mergeCell ref="I77:AG77"/>
    <mergeCell ref="I78:AG78"/>
    <mergeCell ref="I79:AG79"/>
    <mergeCell ref="I80:AG80"/>
    <mergeCell ref="AH64:BF64"/>
    <mergeCell ref="AH65:BF65"/>
    <mergeCell ref="AH66:BF66"/>
    <mergeCell ref="AH67:BF67"/>
    <mergeCell ref="AH68:BF68"/>
    <mergeCell ref="AH69:BF69"/>
    <mergeCell ref="AH70:BF70"/>
    <mergeCell ref="AH71:BF71"/>
    <mergeCell ref="AH72:BF72"/>
    <mergeCell ref="AH73:BF73"/>
    <mergeCell ref="AH74:BF74"/>
    <mergeCell ref="AH75:BF75"/>
    <mergeCell ref="AH76:BF76"/>
    <mergeCell ref="AH77:BF77"/>
    <mergeCell ref="AH78:BF78"/>
    <mergeCell ref="AH79:BF79"/>
    <mergeCell ref="AH80:BF80"/>
    <mergeCell ref="I68:AG68"/>
    <mergeCell ref="I69:AG69"/>
    <mergeCell ref="I70:AG70"/>
    <mergeCell ref="I71:AG71"/>
    <mergeCell ref="I72:AG72"/>
    <mergeCell ref="I73:AG73"/>
    <mergeCell ref="I74:AG74"/>
    <mergeCell ref="I75:AG75"/>
    <mergeCell ref="I76:AG76"/>
    <mergeCell ref="I58:BF58"/>
    <mergeCell ref="I59:BF59"/>
    <mergeCell ref="I60:BF60"/>
    <mergeCell ref="I61:BF61"/>
    <mergeCell ref="I62:BF62"/>
    <mergeCell ref="I64:AG64"/>
    <mergeCell ref="I65:AG65"/>
    <mergeCell ref="I66:AG66"/>
    <mergeCell ref="I67:AG67"/>
    <mergeCell ref="I49:BF49"/>
    <mergeCell ref="I50:BF50"/>
    <mergeCell ref="I51:BF51"/>
    <mergeCell ref="I52:BF52"/>
    <mergeCell ref="I53:BF53"/>
    <mergeCell ref="I54:BF54"/>
    <mergeCell ref="I55:BF55"/>
    <mergeCell ref="I56:BF56"/>
    <mergeCell ref="I57:BF57"/>
    <mergeCell ref="I40:BF40"/>
    <mergeCell ref="I41:BF41"/>
    <mergeCell ref="I42:BF42"/>
    <mergeCell ref="I43:BF43"/>
    <mergeCell ref="I44:BF44"/>
    <mergeCell ref="I45:BF45"/>
    <mergeCell ref="I46:BF46"/>
    <mergeCell ref="I47:BF47"/>
    <mergeCell ref="I48:BF48"/>
    <mergeCell ref="AH24:BF24"/>
    <mergeCell ref="AH25:BF25"/>
    <mergeCell ref="AH26:BF26"/>
    <mergeCell ref="AH27:BF27"/>
    <mergeCell ref="AH28:BF28"/>
    <mergeCell ref="AH29:BF29"/>
    <mergeCell ref="AH30:BF30"/>
    <mergeCell ref="I32:BF32"/>
    <mergeCell ref="I33:BF33"/>
    <mergeCell ref="AH15:BF15"/>
    <mergeCell ref="AH16:BF16"/>
    <mergeCell ref="AH17:BF17"/>
    <mergeCell ref="AH18:BF18"/>
    <mergeCell ref="AH19:BF19"/>
    <mergeCell ref="AH20:BF20"/>
    <mergeCell ref="AH21:BF21"/>
    <mergeCell ref="AH22:BF22"/>
    <mergeCell ref="AH23:BF23"/>
    <mergeCell ref="B53:G53"/>
    <mergeCell ref="B54:G54"/>
    <mergeCell ref="I15:AG15"/>
    <mergeCell ref="I16:AG16"/>
    <mergeCell ref="I17:AG17"/>
    <mergeCell ref="I18:AG18"/>
    <mergeCell ref="I19:AG19"/>
    <mergeCell ref="I20:AG20"/>
    <mergeCell ref="I21:AG21"/>
    <mergeCell ref="I22:AG22"/>
    <mergeCell ref="I23:AG23"/>
    <mergeCell ref="I24:AG24"/>
    <mergeCell ref="I25:AG25"/>
    <mergeCell ref="I26:AG26"/>
    <mergeCell ref="I27:AG27"/>
    <mergeCell ref="I28:AG28"/>
    <mergeCell ref="I29:AG29"/>
    <mergeCell ref="I30:AG30"/>
    <mergeCell ref="I34:BF34"/>
    <mergeCell ref="I35:BF35"/>
    <mergeCell ref="I36:BF36"/>
    <mergeCell ref="I37:BF37"/>
    <mergeCell ref="I38:BF38"/>
    <mergeCell ref="I39:BF39"/>
    <mergeCell ref="B44:G44"/>
    <mergeCell ref="B45:G45"/>
    <mergeCell ref="B46:G46"/>
    <mergeCell ref="B47:G47"/>
    <mergeCell ref="B48:G48"/>
    <mergeCell ref="B49:G49"/>
    <mergeCell ref="B50:G50"/>
    <mergeCell ref="B51:G51"/>
    <mergeCell ref="B52:G52"/>
    <mergeCell ref="B5:G5"/>
    <mergeCell ref="B14:G14"/>
    <mergeCell ref="B22:G22"/>
    <mergeCell ref="B38:G38"/>
    <mergeCell ref="B39:G39"/>
    <mergeCell ref="B40:G40"/>
    <mergeCell ref="B60:G60"/>
    <mergeCell ref="B70:G75"/>
    <mergeCell ref="B15:G15"/>
    <mergeCell ref="B16:G16"/>
    <mergeCell ref="B17:G17"/>
    <mergeCell ref="B18:G18"/>
    <mergeCell ref="B23:G23"/>
    <mergeCell ref="B24:G24"/>
    <mergeCell ref="B25:G25"/>
    <mergeCell ref="B26:G26"/>
    <mergeCell ref="B27:G27"/>
    <mergeCell ref="B28:G28"/>
    <mergeCell ref="B29:G29"/>
    <mergeCell ref="B30:G30"/>
    <mergeCell ref="B31:G31"/>
    <mergeCell ref="B41:G41"/>
    <mergeCell ref="B42:G42"/>
    <mergeCell ref="B43:G43"/>
    <mergeCell ref="AO5:AU5"/>
    <mergeCell ref="AO6:AU6"/>
    <mergeCell ref="AO7:AU7"/>
    <mergeCell ref="AO8:AU8"/>
    <mergeCell ref="AO9:AU9"/>
    <mergeCell ref="AW5:BC5"/>
    <mergeCell ref="AW6:BC6"/>
    <mergeCell ref="AW7:BC7"/>
    <mergeCell ref="AW8:BC8"/>
    <mergeCell ref="AW9:BC9"/>
    <mergeCell ref="AT2:AY2"/>
    <mergeCell ref="AZ2:BF2"/>
    <mergeCell ref="AT3:AY3"/>
    <mergeCell ref="AZ3:BF3"/>
    <mergeCell ref="I5:O5"/>
    <mergeCell ref="I6:O6"/>
    <mergeCell ref="I7:O7"/>
    <mergeCell ref="I8:O8"/>
    <mergeCell ref="I9:O9"/>
    <mergeCell ref="Q5:W5"/>
    <mergeCell ref="Q6:W6"/>
    <mergeCell ref="Q7:W7"/>
    <mergeCell ref="Q8:W8"/>
    <mergeCell ref="Q9:W9"/>
    <mergeCell ref="Y5:AE5"/>
    <mergeCell ref="Y6:AE6"/>
    <mergeCell ref="Y7:AE7"/>
    <mergeCell ref="Y8:AE8"/>
    <mergeCell ref="Y9:AE9"/>
    <mergeCell ref="AG5:AM5"/>
    <mergeCell ref="AG6:AM6"/>
    <mergeCell ref="AG7:AM7"/>
    <mergeCell ref="AG8:AM8"/>
    <mergeCell ref="AG9:AM9"/>
  </mergeCells>
  <pageMargins left="0.3" right="0.3" top="0.3" bottom="0.3" header="0.3" footer="0.3"/>
  <pageSetup paperSize="8" orientation="landscape"/>
  <drawing r:id="rId1"/>
  <extLst>
    <ext xmlns:x14="http://schemas.microsoft.com/office/spreadsheetml/2009/9/main" uri="{78C0D931-6437-407d-A8EE-F0AAD7539E65}">
      <x14:conditionalFormattings>
        <x14:conditionalFormatting xmlns:xm="http://schemas.microsoft.com/office/excel/2006/main">
          <x14:cfRule type="expression" priority="5" stopIfTrue="1" id="{00000000-000E-0000-0000-000005000000}">
            <xm:f>AND(Filter!$Q$1=201,Filter!$T$5=TRUE)</xm:f>
            <x14:dxf>
              <font>
                <b/>
                <color rgb="FFFFFFFF"/>
              </font>
              <fill>
                <patternFill>
                  <bgColor rgb="FF0F94A7"/>
                </patternFill>
              </fill>
              <border>
                <left style="medium">
                  <color rgb="FF4A4A4A"/>
                </left>
                <right style="medium">
                  <color rgb="FF4A4A4A"/>
                </right>
                <top style="medium">
                  <color rgb="FF4A4A4A"/>
                </top>
                <bottom style="medium">
                  <color rgb="FF4A4A4A"/>
                </bottom>
                <vertical/>
                <horizontal/>
              </border>
            </x14:dxf>
          </x14:cfRule>
          <x14:cfRule type="expression" priority="6" stopIfTrue="1" id="{00000000-000E-0000-0000-000006000000}">
            <xm:f>AND(Filter!$Q$1=201,NOT(Filter!$T$5=TRUE))</xm:f>
            <x14:dxf>
              <font>
                <b/>
                <color rgb="FF0F94A7"/>
              </font>
              <fill>
                <patternFill>
                  <bgColor rgb="FFF3F4F6"/>
                </patternFill>
              </fill>
              <border>
                <left style="thin">
                  <color rgb="FF0F94A7"/>
                </left>
                <right style="thin">
                  <color rgb="FF0F94A7"/>
                </right>
                <top style="thin">
                  <color rgb="FF0F94A7"/>
                </top>
                <bottom style="thin">
                  <color rgb="FF0F94A7"/>
                </bottom>
                <vertical/>
                <horizontal/>
              </border>
            </x14:dxf>
          </x14:cfRule>
          <x14:cfRule type="expression" priority="7" id="{00000000-000E-0000-0000-000007000000}">
            <xm:f>Filter!$T$5=TRUE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B15</xm:sqref>
        </x14:conditionalFormatting>
        <x14:conditionalFormatting xmlns:xm="http://schemas.microsoft.com/office/excel/2006/main">
          <x14:cfRule type="expression" priority="8" stopIfTrue="1" id="{00000000-000E-0000-0000-000008000000}">
            <xm:f>AND(Filter!$Q$1=202,Filter!$T$6=TRUE)</xm:f>
            <x14:dxf>
              <font>
                <b/>
                <color rgb="FFFFFFFF"/>
              </font>
              <fill>
                <patternFill>
                  <bgColor rgb="FF3B4F8A"/>
                </patternFill>
              </fill>
              <border>
                <left style="medium">
                  <color rgb="FF4A4A4A"/>
                </left>
                <right style="medium">
                  <color rgb="FF4A4A4A"/>
                </right>
                <top style="medium">
                  <color rgb="FF4A4A4A"/>
                </top>
                <bottom style="medium">
                  <color rgb="FF4A4A4A"/>
                </bottom>
                <vertical/>
                <horizontal/>
              </border>
            </x14:dxf>
          </x14:cfRule>
          <x14:cfRule type="expression" priority="9" stopIfTrue="1" id="{00000000-000E-0000-0000-000009000000}">
            <xm:f>AND(Filter!$Q$1=202,NOT(Filter!$T$6=TRUE))</xm:f>
            <x14:dxf>
              <font>
                <b/>
                <color rgb="FF3B4F8A"/>
              </font>
              <fill>
                <patternFill>
                  <bgColor rgb="FFF3F4F6"/>
                </patternFill>
              </fill>
              <border>
                <left style="thin">
                  <color rgb="FF3B4F8A"/>
                </left>
                <right style="thin">
                  <color rgb="FF3B4F8A"/>
                </right>
                <top style="thin">
                  <color rgb="FF3B4F8A"/>
                </top>
                <bottom style="thin">
                  <color rgb="FF3B4F8A"/>
                </bottom>
                <vertical/>
                <horizontal/>
              </border>
            </x14:dxf>
          </x14:cfRule>
          <x14:cfRule type="expression" priority="10" id="{00000000-000E-0000-0000-00000A000000}">
            <xm:f>Filter!$T$6=TRUE</xm:f>
            <x14:dxf>
              <font>
                <b/>
                <color rgb="FFFFFFFF"/>
              </font>
              <fill>
                <patternFill>
                  <bgColor rgb="FF3B4F8A"/>
                </patternFill>
              </fill>
              <border>
                <left style="thin">
                  <color rgb="FF3B4F8A"/>
                </left>
                <right style="thin">
                  <color rgb="FF3B4F8A"/>
                </right>
                <top style="thin">
                  <color rgb="FF3B4F8A"/>
                </top>
                <bottom style="thin">
                  <color rgb="FF3B4F8A"/>
                </bottom>
                <vertical/>
                <horizontal/>
              </border>
            </x14:dxf>
          </x14:cfRule>
          <xm:sqref>B16</xm:sqref>
        </x14:conditionalFormatting>
        <x14:conditionalFormatting xmlns:xm="http://schemas.microsoft.com/office/excel/2006/main">
          <x14:cfRule type="expression" priority="11" stopIfTrue="1" id="{00000000-000E-0000-0000-00000B000000}">
            <xm:f>AND(Filter!$Q$1=203,Filter!$T$7=TRUE)</xm:f>
            <x14:dxf>
              <font>
                <b/>
                <color rgb="FFFFFFFF"/>
              </font>
              <fill>
                <patternFill>
                  <bgColor rgb="FFBF1528"/>
                </patternFill>
              </fill>
              <border>
                <left style="medium">
                  <color rgb="FF4A4A4A"/>
                </left>
                <right style="medium">
                  <color rgb="FF4A4A4A"/>
                </right>
                <top style="medium">
                  <color rgb="FF4A4A4A"/>
                </top>
                <bottom style="medium">
                  <color rgb="FF4A4A4A"/>
                </bottom>
                <vertical/>
                <horizontal/>
              </border>
            </x14:dxf>
          </x14:cfRule>
          <x14:cfRule type="expression" priority="12" stopIfTrue="1" id="{00000000-000E-0000-0000-00000C000000}">
            <xm:f>AND(Filter!$Q$1=203,NOT(Filter!$T$7=TRUE))</xm:f>
            <x14:dxf>
              <font>
                <b/>
                <color rgb="FFBF1528"/>
              </font>
              <fill>
                <patternFill>
                  <bgColor rgb="FFF3F4F6"/>
                </patternFill>
              </fill>
              <border>
                <left style="thin">
                  <color rgb="FFBF1528"/>
                </left>
                <right style="thin">
                  <color rgb="FFBF1528"/>
                </right>
                <top style="thin">
                  <color rgb="FFBF1528"/>
                </top>
                <bottom style="thin">
                  <color rgb="FFBF1528"/>
                </bottom>
                <vertical/>
                <horizontal/>
              </border>
            </x14:dxf>
          </x14:cfRule>
          <x14:cfRule type="expression" priority="13" id="{00000000-000E-0000-0000-00000D000000}">
            <xm:f>Filter!$T$7=TRUE</xm:f>
            <x14:dxf>
              <font>
                <b/>
                <color rgb="FFFFFFFF"/>
              </font>
              <fill>
                <patternFill>
                  <bgColor rgb="FFBF1528"/>
                </patternFill>
              </fill>
              <border>
                <left style="thin">
                  <color rgb="FFBF1528"/>
                </left>
                <right style="thin">
                  <color rgb="FFBF1528"/>
                </right>
                <top style="thin">
                  <color rgb="FFBF1528"/>
                </top>
                <bottom style="thin">
                  <color rgb="FFBF1528"/>
                </bottom>
                <vertical/>
                <horizontal/>
              </border>
            </x14:dxf>
          </x14:cfRule>
          <xm:sqref>B17</xm:sqref>
        </x14:conditionalFormatting>
        <x14:conditionalFormatting xmlns:xm="http://schemas.microsoft.com/office/excel/2006/main">
          <x14:cfRule type="expression" priority="14" stopIfTrue="1" id="{00000000-000E-0000-0000-00000E000000}">
            <xm:f>AND(Filter!$Q$1=204,Filter!$T$8=TRUE)</xm:f>
            <x14:dxf>
              <font>
                <b/>
                <color rgb="FFFFFFFF"/>
              </font>
              <fill>
                <patternFill>
                  <bgColor rgb="FF9AA3AD"/>
                </patternFill>
              </fill>
              <border>
                <left style="medium">
                  <color rgb="FF4A4A4A"/>
                </left>
                <right style="medium">
                  <color rgb="FF4A4A4A"/>
                </right>
                <top style="medium">
                  <color rgb="FF4A4A4A"/>
                </top>
                <bottom style="medium">
                  <color rgb="FF4A4A4A"/>
                </bottom>
                <vertical/>
                <horizontal/>
              </border>
            </x14:dxf>
          </x14:cfRule>
          <x14:cfRule type="expression" priority="15" stopIfTrue="1" id="{00000000-000E-0000-0000-00000F000000}">
            <xm:f>AND(Filter!$Q$1=204,NOT(Filter!$T$8=TRUE))</xm:f>
            <x14:dxf>
              <font>
                <b/>
                <color rgb="FF9AA3AD"/>
              </font>
              <fill>
                <patternFill>
                  <bgColor rgb="FFF3F4F6"/>
                </patternFill>
              </fill>
              <border>
                <left style="thin">
                  <color rgb="FF9AA3AD"/>
                </left>
                <right style="thin">
                  <color rgb="FF9AA3AD"/>
                </right>
                <top style="thin">
                  <color rgb="FF9AA3AD"/>
                </top>
                <bottom style="thin">
                  <color rgb="FF9AA3AD"/>
                </bottom>
                <vertical/>
                <horizontal/>
              </border>
            </x14:dxf>
          </x14:cfRule>
          <x14:cfRule type="expression" priority="16" id="{00000000-000E-0000-0000-000010000000}">
            <xm:f>Filter!$T$8=TRUE</xm:f>
            <x14:dxf>
              <font>
                <b/>
                <color rgb="FFFFFFFF"/>
              </font>
              <fill>
                <patternFill>
                  <bgColor rgb="FF9AA3AD"/>
                </patternFill>
              </fill>
              <border>
                <left style="thin">
                  <color rgb="FF9AA3AD"/>
                </left>
                <right style="thin">
                  <color rgb="FF9AA3AD"/>
                </right>
                <top style="thin">
                  <color rgb="FF9AA3AD"/>
                </top>
                <bottom style="thin">
                  <color rgb="FF9AA3AD"/>
                </bottom>
                <vertical/>
                <horizontal/>
              </border>
            </x14:dxf>
          </x14:cfRule>
          <xm:sqref>B18</xm:sqref>
        </x14:conditionalFormatting>
        <x14:conditionalFormatting xmlns:xm="http://schemas.microsoft.com/office/excel/2006/main">
          <x14:cfRule type="expression" priority="17" stopIfTrue="1" id="{00000000-000E-0000-0000-000011000000}">
            <xm:f>AND(Filter!$Q$1=1,Filter!$C$5=TRUE)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18" stopIfTrue="1" id="{00000000-000E-0000-0000-000012000000}">
            <xm:f>AND(Filter!$Q$1=1,NOT(Filter!$C$5=TRUE))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19" id="{00000000-000E-0000-0000-000013000000}">
            <xm:f>Filter!$C$5=TRUE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B23</xm:sqref>
        </x14:conditionalFormatting>
        <x14:conditionalFormatting xmlns:xm="http://schemas.microsoft.com/office/excel/2006/main">
          <x14:cfRule type="expression" priority="20" stopIfTrue="1" id="{00000000-000E-0000-0000-000014000000}">
            <xm:f>AND(Filter!$Q$1=2,Filter!$C$6=TRUE)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1" stopIfTrue="1" id="{00000000-000E-0000-0000-000015000000}">
            <xm:f>AND(Filter!$Q$1=2,NOT(Filter!$C$6=TRUE))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2" id="{00000000-000E-0000-0000-000016000000}">
            <xm:f>Filter!$C$6=TRUE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B24</xm:sqref>
        </x14:conditionalFormatting>
        <x14:conditionalFormatting xmlns:xm="http://schemas.microsoft.com/office/excel/2006/main">
          <x14:cfRule type="expression" priority="23" stopIfTrue="1" id="{00000000-000E-0000-0000-000017000000}">
            <xm:f>AND(Filter!$Q$1=3,Filter!$C$7=TRUE)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4" stopIfTrue="1" id="{00000000-000E-0000-0000-000018000000}">
            <xm:f>AND(Filter!$Q$1=3,NOT(Filter!$C$7=TRUE))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5" id="{00000000-000E-0000-0000-000019000000}">
            <xm:f>Filter!$C$7=TRUE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B25</xm:sqref>
        </x14:conditionalFormatting>
        <x14:conditionalFormatting xmlns:xm="http://schemas.microsoft.com/office/excel/2006/main">
          <x14:cfRule type="expression" priority="26" stopIfTrue="1" id="{00000000-000E-0000-0000-00001A000000}">
            <xm:f>AND(Filter!$Q$1=4,Filter!$C$8=TRUE)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27" stopIfTrue="1" id="{00000000-000E-0000-0000-00001B000000}">
            <xm:f>AND(Filter!$Q$1=4,NOT(Filter!$C$8=TRUE))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28" id="{00000000-000E-0000-0000-00001C000000}">
            <xm:f>Filter!$C$8=TRUE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B26</xm:sqref>
        </x14:conditionalFormatting>
        <x14:conditionalFormatting xmlns:xm="http://schemas.microsoft.com/office/excel/2006/main">
          <x14:cfRule type="expression" priority="29" stopIfTrue="1" id="{00000000-000E-0000-0000-00001D000000}">
            <xm:f>AND(Filter!$Q$1=5,Filter!$C$9=TRUE)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0" stopIfTrue="1" id="{00000000-000E-0000-0000-00001E000000}">
            <xm:f>AND(Filter!$Q$1=5,NOT(Filter!$C$9=TRUE))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1" id="{00000000-000E-0000-0000-00001F000000}">
            <xm:f>Filter!$C$9=TRUE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B27</xm:sqref>
        </x14:conditionalFormatting>
        <x14:conditionalFormatting xmlns:xm="http://schemas.microsoft.com/office/excel/2006/main">
          <x14:cfRule type="expression" priority="32" stopIfTrue="1" id="{00000000-000E-0000-0000-000020000000}">
            <xm:f>AND(Filter!$Q$1=6,Filter!$C$10=TRUE)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3" stopIfTrue="1" id="{00000000-000E-0000-0000-000021000000}">
            <xm:f>AND(Filter!$Q$1=6,NOT(Filter!$C$10=TRUE))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4" id="{00000000-000E-0000-0000-000022000000}">
            <xm:f>Filter!$C$10=TRUE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B28</xm:sqref>
        </x14:conditionalFormatting>
        <x14:conditionalFormatting xmlns:xm="http://schemas.microsoft.com/office/excel/2006/main">
          <x14:cfRule type="expression" priority="35" stopIfTrue="1" id="{00000000-000E-0000-0000-000023000000}">
            <xm:f>AND(Filter!$Q$1=7,Filter!$C$11=TRUE)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6" stopIfTrue="1" id="{00000000-000E-0000-0000-000024000000}">
            <xm:f>AND(Filter!$Q$1=7,NOT(Filter!$C$11=TRUE))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37" id="{00000000-000E-0000-0000-000025000000}">
            <xm:f>Filter!$C$11=TRUE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B29</xm:sqref>
        </x14:conditionalFormatting>
        <x14:conditionalFormatting xmlns:xm="http://schemas.microsoft.com/office/excel/2006/main">
          <x14:cfRule type="expression" priority="38" stopIfTrue="1" id="{00000000-000E-0000-0000-000026000000}">
            <xm:f>AND(Filter!$Q$1=8,Filter!$C$12=TRUE)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39" stopIfTrue="1" id="{00000000-000E-0000-0000-000027000000}">
            <xm:f>AND(Filter!$Q$1=8,NOT(Filter!$C$12=TRUE))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0" id="{00000000-000E-0000-0000-000028000000}">
            <xm:f>Filter!$C$12=TRUE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B30</xm:sqref>
        </x14:conditionalFormatting>
        <x14:conditionalFormatting xmlns:xm="http://schemas.microsoft.com/office/excel/2006/main">
          <x14:cfRule type="expression" priority="41" stopIfTrue="1" id="{00000000-000E-0000-0000-000029000000}">
            <xm:f>AND(Filter!$Q$1=9,Filter!$C$13=TRUE)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2" stopIfTrue="1" id="{00000000-000E-0000-0000-00002A000000}">
            <xm:f>AND(Filter!$Q$1=9,NOT(Filter!$C$13=TRUE))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3" id="{00000000-000E-0000-0000-00002B000000}">
            <xm:f>Filter!$C$13=TRUE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B31</xm:sqref>
        </x14:conditionalFormatting>
        <x14:conditionalFormatting xmlns:xm="http://schemas.microsoft.com/office/excel/2006/main">
          <x14:cfRule type="expression" priority="44" stopIfTrue="1" id="{00000000-000E-0000-0000-00002C000000}">
            <xm:f>AND(Filter!$Q$1=101,Filter!$I$5=TRUE)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5" stopIfTrue="1" id="{00000000-000E-0000-0000-00002D000000}">
            <xm:f>AND(Filter!$Q$1=101,NOT(Filter!$I$5=TRUE))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6" id="{00000000-000E-0000-0000-00002E000000}">
            <xm:f>Filter!$I$5=TRUE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B41</xm:sqref>
        </x14:conditionalFormatting>
        <x14:conditionalFormatting xmlns:xm="http://schemas.microsoft.com/office/excel/2006/main">
          <x14:cfRule type="expression" priority="47" stopIfTrue="1" id="{00000000-000E-0000-0000-00002F000000}">
            <xm:f>AND(Filter!$Q$1=102,Filter!$I$6=TRUE)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48" stopIfTrue="1" id="{00000000-000E-0000-0000-000030000000}">
            <xm:f>AND(Filter!$Q$1=102,NOT(Filter!$I$6=TRUE))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49" id="{00000000-000E-0000-0000-000031000000}">
            <xm:f>Filter!$I$6=TRUE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B42</xm:sqref>
        </x14:conditionalFormatting>
        <x14:conditionalFormatting xmlns:xm="http://schemas.microsoft.com/office/excel/2006/main">
          <x14:cfRule type="expression" priority="50" stopIfTrue="1" id="{00000000-000E-0000-0000-000032000000}">
            <xm:f>AND(Filter!$Q$1=103,Filter!$I$7=TRUE)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1" stopIfTrue="1" id="{00000000-000E-0000-0000-000033000000}">
            <xm:f>AND(Filter!$Q$1=103,NOT(Filter!$I$7=TRUE))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2" id="{00000000-000E-0000-0000-000034000000}">
            <xm:f>Filter!$I$7=TRUE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B43</xm:sqref>
        </x14:conditionalFormatting>
        <x14:conditionalFormatting xmlns:xm="http://schemas.microsoft.com/office/excel/2006/main">
          <x14:cfRule type="expression" priority="53" stopIfTrue="1" id="{00000000-000E-0000-0000-000035000000}">
            <xm:f>AND(Filter!$Q$1=104,Filter!$I$8=TRUE)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4" stopIfTrue="1" id="{00000000-000E-0000-0000-000036000000}">
            <xm:f>AND(Filter!$Q$1=104,NOT(Filter!$I$8=TRUE))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5" id="{00000000-000E-0000-0000-000037000000}">
            <xm:f>Filter!$I$8=TRUE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B44</xm:sqref>
        </x14:conditionalFormatting>
        <x14:conditionalFormatting xmlns:xm="http://schemas.microsoft.com/office/excel/2006/main">
          <x14:cfRule type="expression" priority="56" stopIfTrue="1" id="{00000000-000E-0000-0000-000038000000}">
            <xm:f>AND(Filter!$Q$1=105,Filter!$I$9=TRUE)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57" stopIfTrue="1" id="{00000000-000E-0000-0000-000039000000}">
            <xm:f>AND(Filter!$Q$1=105,NOT(Filter!$I$9=TRUE))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58" id="{00000000-000E-0000-0000-00003A000000}">
            <xm:f>Filter!$I$9=TRUE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B45</xm:sqref>
        </x14:conditionalFormatting>
        <x14:conditionalFormatting xmlns:xm="http://schemas.microsoft.com/office/excel/2006/main">
          <x14:cfRule type="expression" priority="59" stopIfTrue="1" id="{00000000-000E-0000-0000-00003B000000}">
            <xm:f>AND(Filter!$Q$1=106,Filter!$I$10=TRUE)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0" stopIfTrue="1" id="{00000000-000E-0000-0000-00003C000000}">
            <xm:f>AND(Filter!$Q$1=106,NOT(Filter!$I$10=TRUE))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1" id="{00000000-000E-0000-0000-00003D000000}">
            <xm:f>Filter!$I$10=TRUE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B46</xm:sqref>
        </x14:conditionalFormatting>
        <x14:conditionalFormatting xmlns:xm="http://schemas.microsoft.com/office/excel/2006/main">
          <x14:cfRule type="expression" priority="62" stopIfTrue="1" id="{00000000-000E-0000-0000-00003E000000}">
            <xm:f>AND(Filter!$Q$1=107,Filter!$I$11=TRUE)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3" stopIfTrue="1" id="{00000000-000E-0000-0000-00003F000000}">
            <xm:f>AND(Filter!$Q$1=107,NOT(Filter!$I$11=TRUE))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4" id="{00000000-000E-0000-0000-000040000000}">
            <xm:f>Filter!$I$11=TRUE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B47</xm:sqref>
        </x14:conditionalFormatting>
        <x14:conditionalFormatting xmlns:xm="http://schemas.microsoft.com/office/excel/2006/main">
          <x14:cfRule type="expression" priority="65" stopIfTrue="1" id="{00000000-000E-0000-0000-000041000000}">
            <xm:f>AND(Filter!$Q$1=108,Filter!$I$12=TRUE)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6" stopIfTrue="1" id="{00000000-000E-0000-0000-000042000000}">
            <xm:f>AND(Filter!$Q$1=108,NOT(Filter!$I$12=TRUE))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67" id="{00000000-000E-0000-0000-000043000000}">
            <xm:f>Filter!$I$12=TRUE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B48</xm:sqref>
        </x14:conditionalFormatting>
        <x14:conditionalFormatting xmlns:xm="http://schemas.microsoft.com/office/excel/2006/main">
          <x14:cfRule type="expression" priority="68" stopIfTrue="1" id="{00000000-000E-0000-0000-000044000000}">
            <xm:f>AND(Filter!$Q$1=109,Filter!$I$13=TRUE)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69" stopIfTrue="1" id="{00000000-000E-0000-0000-000045000000}">
            <xm:f>AND(Filter!$Q$1=109,NOT(Filter!$I$13=TRUE))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0" id="{00000000-000E-0000-0000-000046000000}">
            <xm:f>Filter!$I$13=TRUE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B49</xm:sqref>
        </x14:conditionalFormatting>
        <x14:conditionalFormatting xmlns:xm="http://schemas.microsoft.com/office/excel/2006/main">
          <x14:cfRule type="expression" priority="71" stopIfTrue="1" id="{00000000-000E-0000-0000-000047000000}">
            <xm:f>AND(Filter!$Q$1=110,Filter!$I$14=TRUE)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2" stopIfTrue="1" id="{00000000-000E-0000-0000-000048000000}">
            <xm:f>AND(Filter!$Q$1=110,NOT(Filter!$I$14=TRUE))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3" id="{00000000-000E-0000-0000-000049000000}">
            <xm:f>Filter!$I$14=TRUE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B50</xm:sqref>
        </x14:conditionalFormatting>
        <x14:conditionalFormatting xmlns:xm="http://schemas.microsoft.com/office/excel/2006/main">
          <x14:cfRule type="expression" priority="74" stopIfTrue="1" id="{00000000-000E-0000-0000-00004A000000}">
            <xm:f>AND(Filter!$Q$1=111,Filter!$I$15=TRUE)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5" stopIfTrue="1" id="{00000000-000E-0000-0000-00004B000000}">
            <xm:f>AND(Filter!$Q$1=111,NOT(Filter!$I$15=TRUE))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6" id="{00000000-000E-0000-0000-00004C000000}">
            <xm:f>Filter!$I$15=TRUE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B51</xm:sqref>
        </x14:conditionalFormatting>
        <x14:conditionalFormatting xmlns:xm="http://schemas.microsoft.com/office/excel/2006/main">
          <x14:cfRule type="expression" priority="77" stopIfTrue="1" id="{00000000-000E-0000-0000-00004D000000}">
            <xm:f>AND(Filter!$Q$1=112,Filter!$I$16=TRUE)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78" stopIfTrue="1" id="{00000000-000E-0000-0000-00004E000000}">
            <xm:f>AND(Filter!$Q$1=112,NOT(Filter!$I$16=TRUE))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79" id="{00000000-000E-0000-0000-00004F000000}">
            <xm:f>Filter!$I$16=TRUE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B52</xm:sqref>
        </x14:conditionalFormatting>
        <x14:conditionalFormatting xmlns:xm="http://schemas.microsoft.com/office/excel/2006/main">
          <x14:cfRule type="expression" priority="80" stopIfTrue="1" id="{00000000-000E-0000-0000-000050000000}">
            <xm:f>AND(Filter!$Q$1=113,Filter!$I$17=TRUE)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81" stopIfTrue="1" id="{00000000-000E-0000-0000-000051000000}">
            <xm:f>AND(Filter!$Q$1=113,NOT(Filter!$I$17=TRUE))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82" id="{00000000-000E-0000-0000-000052000000}">
            <xm:f>Filter!$I$17=TRUE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B53</xm:sqref>
        </x14:conditionalFormatting>
        <x14:conditionalFormatting xmlns:xm="http://schemas.microsoft.com/office/excel/2006/main">
          <x14:cfRule type="expression" priority="83" stopIfTrue="1" id="{00000000-000E-0000-0000-000053000000}">
            <xm:f>AND(Filter!$Q$1=114,Filter!$I$18=TRUE)</xm:f>
            <x14:dxf>
              <font>
                <b/>
                <color rgb="FFFFFFFF"/>
              </font>
              <fill>
                <patternFill>
                  <bgColor rgb="FF0B6F7D"/>
                </patternFill>
              </fill>
              <border>
                <left style="thin">
                  <color rgb="FF0B6F7D"/>
                </left>
                <right style="thin">
                  <color rgb="FF0B6F7D"/>
                </right>
                <top style="thin">
                  <color rgb="FF0B6F7D"/>
                </top>
                <bottom style="thin">
                  <color rgb="FF0B6F7D"/>
                </bottom>
                <vertical/>
                <horizontal/>
              </border>
            </x14:dxf>
          </x14:cfRule>
          <x14:cfRule type="expression" priority="84" stopIfTrue="1" id="{00000000-000E-0000-0000-000054000000}">
            <xm:f>AND(Filter!$Q$1=114,NOT(Filter!$I$18=TRUE))</xm:f>
            <x14:dxf>
              <font>
                <b/>
                <color rgb="FF0B6F7D"/>
              </font>
              <fill>
                <patternFill>
                  <bgColor rgb="FFEEF6F7"/>
                </patternFill>
              </fill>
              <border>
                <left style="thin">
                  <color rgb="FF0F94A7"/>
                </left>
                <right style="thin">
                  <color rgb="FF0F94A7"/>
                </right>
                <top style="thin">
                  <color rgb="FF0F94A7"/>
                </top>
                <bottom style="thin">
                  <color rgb="FF0F94A7"/>
                </bottom>
                <vertical/>
                <horizontal/>
              </border>
            </x14:dxf>
          </x14:cfRule>
          <x14:cfRule type="expression" priority="85" id="{00000000-000E-0000-0000-000055000000}">
            <xm:f>Filter!$I$18=TRUE</xm:f>
            <x14:dxf>
              <font>
                <b/>
                <color rgb="FFFFFFFF"/>
              </font>
              <fill>
                <patternFill>
                  <bgColor rgb="FF0F94A7"/>
                </patternFill>
              </fill>
              <border>
                <left style="thin">
                  <color rgb="FF0F94A7"/>
                </left>
                <right style="thin">
                  <color rgb="FF0F94A7"/>
                </right>
                <top style="thin">
                  <color rgb="FF0F94A7"/>
                </top>
                <bottom style="thin">
                  <color rgb="FF0F94A7"/>
                </bottom>
                <vertical/>
                <horizontal/>
              </border>
            </x14:dxf>
          </x14:cfRule>
          <xm:sqref>B54</xm:sqref>
        </x14:conditionalFormatting>
        <x14:conditionalFormatting xmlns:xm="http://schemas.microsoft.com/office/excel/2006/main">
          <x14:cfRule type="expression" priority="86" id="{00000000-000E-0000-0000-000056000000}">
            <xm:f>Filter!$L$13="OPAG"</xm:f>
            <x14:dxf>
              <fill>
                <patternFill>
                  <bgColor rgb="FF8E0F1E"/>
                </patternFill>
              </fill>
            </x14:dxf>
          </x14:cfRule>
          <xm:sqref>I32:BF32</xm:sqref>
        </x14:conditionalFormatting>
        <x14:conditionalFormatting xmlns:xm="http://schemas.microsoft.com/office/excel/2006/main">
          <x14:cfRule type="expression" priority="1" id="{00000000-000E-0000-0000-000001000000}">
            <xm:f>AND(Filter!$O$19&lt;&gt;"",Filter!$O$19&gt;0)</xm:f>
            <x14:dxf>
              <font>
                <b/>
                <color rgb="FF8A5A00"/>
              </font>
              <fill>
                <patternFill>
                  <bgColor rgb="FFFBEFC7"/>
                </patternFill>
              </fill>
            </x14:dxf>
          </x14:cfRule>
          <x14:cfRule type="expression" priority="2" id="{00000000-000E-0000-0000-000002000000}">
            <xm:f>AND(Filter!$O$19&lt;&gt;"",Filter!$O$19&lt;0)</xm:f>
            <x14:dxf>
              <font>
                <b/>
                <color rgb="FF1E7F4F"/>
              </font>
              <fill>
                <patternFill>
                  <bgColor rgb="FFDDF3E4"/>
                </patternFill>
              </fill>
            </x14:dxf>
          </x14:cfRule>
          <xm:sqref>I7</xm:sqref>
        </x14:conditionalFormatting>
        <x14:conditionalFormatting xmlns:xm="http://schemas.microsoft.com/office/excel/2006/main">
          <x14:cfRule type="expression" priority="3" id="{00000000-000E-0000-0000-000003000000}">
            <xm:f>AND(Filter!$O$20&lt;&gt;"",Filter!$O$20&gt;0)</xm:f>
            <x14:dxf>
              <font>
                <b/>
                <color rgb="FF8A5A00"/>
              </font>
              <fill>
                <patternFill>
                  <bgColor rgb="FFFBEFC7"/>
                </patternFill>
              </fill>
            </x14:dxf>
          </x14:cfRule>
          <x14:cfRule type="expression" priority="4" id="{00000000-000E-0000-0000-000004000000}">
            <xm:f>AND(Filter!$O$20&lt;&gt;"",Filter!$O$20&lt;0)</xm:f>
            <x14:dxf>
              <font>
                <b/>
                <color rgb="FF1E7F4F"/>
              </font>
              <fill>
                <patternFill>
                  <bgColor rgb="FFDDF3E4"/>
                </patternFill>
              </fill>
            </x14:dxf>
          </x14:cfRule>
          <xm:sqref>Q7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BF1528"/>
    <pageSetUpPr fitToPage="1"/>
  </sheetPr>
  <dimension ref="C1:BA12"/>
  <sheetViews>
    <sheetView showGridLines="0" zoomScale="85" zoomScaleNormal="85" workbookViewId="0"/>
  </sheetViews>
  <sheetFormatPr defaultRowHeight="13.5" x14ac:dyDescent="0.25"/>
  <cols>
    <col min="1" max="2" width="2.7109375" customWidth="1"/>
    <col min="3" max="51" width="3.7109375" customWidth="1"/>
    <col min="52" max="52" width="12.7109375" customWidth="1"/>
    <col min="53" max="53" width="90.7109375" customWidth="1"/>
  </cols>
  <sheetData>
    <row r="1" spans="3:53" ht="18" customHeight="1" x14ac:dyDescent="0.25">
      <c r="C1" s="2" t="s">
        <v>489</v>
      </c>
      <c r="AZ1" s="6" t="s">
        <v>490</v>
      </c>
      <c r="BA1" s="7" t="str">
        <f>"HS | BÜ-Reporting Makler-Bestandsübertragung"</f>
        <v>HS | BÜ-Reporting Makler-Bestandsübertragung</v>
      </c>
    </row>
    <row r="2" spans="3:53" ht="14.1" customHeight="1" x14ac:dyDescent="0.25">
      <c r="AZ2" s="6" t="s">
        <v>491</v>
      </c>
      <c r="BA2" s="7" t="str">
        <f>IF(Filter!$O$5="","Noch keine Stände geladen","Stand "&amp;RIGHT("0"&amp;DAY(Filter!$O$5),2)&amp;"."&amp;RIGHT("0"&amp;MONTH(Filter!$O$5),2)&amp;"."&amp;YEAR(Filter!$O$5)&amp;IF(Filter!$O$6="",""," · vorheriger Stand "&amp;RIGHT("0"&amp;DAY(Filter!$O$6),2)&amp;"."&amp;RIGHT("0"&amp;MONTH(Filter!$O$6),2)&amp;"."&amp;YEAR(Filter!$O$6))&amp;" · Quelle MIS-O")</f>
        <v>Noch keine Stände geladen</v>
      </c>
    </row>
    <row r="3" spans="3:53" ht="8.1" customHeight="1" x14ac:dyDescent="0.25"/>
    <row r="4" spans="3:53" x14ac:dyDescent="0.25">
      <c r="AZ4" s="6" t="s">
        <v>492</v>
      </c>
    </row>
    <row r="5" spans="3:53" x14ac:dyDescent="0.25">
      <c r="BA5" s="7" t="str">
        <f>IF(Filter!$O$7=0,"–",FIXED(INDEX(Verlauf!$H$6:$H$1000,Filter!$O$7),0,FALSE)&amp;IF(Filter!$O$19="",""," ("&amp;IF(Filter!$O$19&gt;0,"+","")&amp;FIXED(Filter!$O$19,0,FALSE)&amp;")"))</f>
        <v>–</v>
      </c>
    </row>
    <row r="6" spans="3:53" x14ac:dyDescent="0.25">
      <c r="BA6" s="7" t="str">
        <f>IF(Filter!$O$7=0,"–",FIXED(INDEX(Verlauf!$R$6:$R$1000,Filter!$O$7),0,FALSE)&amp;IF(Filter!$O$20="",""," ("&amp;IF(Filter!$O$20&gt;0,"+","")&amp;FIXED(Filter!$O$20,0,FALSE)&amp;")"))</f>
        <v>–</v>
      </c>
    </row>
    <row r="7" spans="3:53" x14ac:dyDescent="0.25">
      <c r="BA7" s="7" t="str">
        <f>IF(Filter!$O$7=0,"–","+"&amp;FIXED(INDEX(Verlauf!$I$6:$I$1000,Filter!$O$7),0,FALSE)&amp;" / −"&amp;FIXED(INDEX(Verlauf!$J$6:$J$1000,Filter!$O$7),0,FALSE))</f>
        <v>–</v>
      </c>
    </row>
    <row r="8" spans="3:53" x14ac:dyDescent="0.25">
      <c r="BA8" s="7" t="str">
        <f>IF(Filter!$O$7=0,"–","+"&amp;FIXED(INDEX(Verlauf!$S$6:$S$1000,Filter!$O$7),0,FALSE)&amp;" / −"&amp;FIXED(INDEX(Verlauf!$T$6:$T$1000,Filter!$O$7),0,FALSE))</f>
        <v>–</v>
      </c>
    </row>
    <row r="9" spans="3:53" x14ac:dyDescent="0.25">
      <c r="BA9" s="7" t="str">
        <f>IF(Filter!$O$11=0,"–","MAK "&amp;FIXED(INDEX(KW!$N$6:$N$400,Filter!$O$11),1)&amp;" · "&amp;IFERROR(FIXED(INDEX(KW!$Q$6:$Q$400,Filter!$O$11),1),"–")&amp;" Vorgänge je MAK")</f>
        <v>–</v>
      </c>
    </row>
    <row r="10" spans="3:53" x14ac:dyDescent="0.25">
      <c r="BA10" s="7" t="str">
        <f>IF(Filter!$O$7=0,"–",IF(Filter!$O$15+Filter!$P$15+Filter!$Q$15+Filter!$R$15=0,"–",FIXED(100*Filter!$R$15/(Filter!$O$15+Filter!$P$15+Filter!$Q$15+Filter!$R$15),0)&amp;" % OPAG über 90 Tage"))</f>
        <v>–</v>
      </c>
    </row>
    <row r="12" spans="3:53" x14ac:dyDescent="0.25">
      <c r="AZ12" s="6" t="s">
        <v>493</v>
      </c>
      <c r="BA12" s="7" t="str">
        <f>"Themenpostkörbe: "&amp;IF(COUNTIF(PK_Aktiv,TRUE)=COUNTA(PK_Liste),"alle",COUNTIF(PK_Aktiv,TRUE)&amp;" von "&amp;COUNTA(PK_Liste))&amp;" · Sparten: "&amp;IF(COUNTIF(SP_Aktiv,TRUE)=COUNTA(SP_Liste),"alle",TRIM(IF(Filter!$T$5=TRUE,"Komposit ","")&amp;IF(Filter!$T$6=TRUE,"Leben ","")&amp;IF(Filter!$T$7=TRUE,"KV ","")&amp;IF(Filter!$T$8=TRUE,"Sonstige","")))&amp;" · GeVo: "&amp;Filter!$L$5&amp;" · "&amp;IF(Filter!$L$9="Woche","Wochensicht","Tagessicht")</f>
        <v>Themenpostkörbe: 3 von 9 · Sparten: alle · GeVo: Alle GeVo · Tagessicht</v>
      </c>
    </row>
  </sheetData>
  <pageMargins left="0.7" right="0.7" top="0.75" bottom="0.75" header="0.3" footer="0.3"/>
  <pageSetup paperSize="9" orientation="landscape"/>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4A4A4A"/>
  </sheetPr>
  <dimension ref="B2:C79"/>
  <sheetViews>
    <sheetView showGridLines="0" workbookViewId="0"/>
  </sheetViews>
  <sheetFormatPr defaultRowHeight="13.5" x14ac:dyDescent="0.25"/>
  <cols>
    <col min="1" max="1" width="2.7109375" customWidth="1"/>
    <col min="2" max="2" width="3.7109375" customWidth="1"/>
    <col min="3" max="3" width="120.7109375" customWidth="1"/>
  </cols>
  <sheetData>
    <row r="2" spans="2:3" ht="32.1" customHeight="1" x14ac:dyDescent="0.25">
      <c r="B2" s="1" t="s">
        <v>391</v>
      </c>
    </row>
    <row r="3" spans="2:3" x14ac:dyDescent="0.25">
      <c r="B3" s="2" t="s">
        <v>392</v>
      </c>
    </row>
    <row r="5" spans="2:3" ht="42" customHeight="1" x14ac:dyDescent="0.25">
      <c r="B5" s="48" t="s">
        <v>393</v>
      </c>
      <c r="C5" s="48"/>
    </row>
    <row r="7" spans="2:3" ht="21.95" customHeight="1" x14ac:dyDescent="0.25">
      <c r="B7" s="9" t="s">
        <v>394</v>
      </c>
    </row>
    <row r="8" spans="2:3" ht="14.1" customHeight="1" x14ac:dyDescent="0.25">
      <c r="B8" s="10" t="s">
        <v>395</v>
      </c>
      <c r="C8" s="8" t="s">
        <v>396</v>
      </c>
    </row>
    <row r="9" spans="2:3" ht="27.95" customHeight="1" x14ac:dyDescent="0.25">
      <c r="B9" s="10" t="s">
        <v>395</v>
      </c>
      <c r="C9" s="8" t="s">
        <v>397</v>
      </c>
    </row>
    <row r="10" spans="2:3" ht="27.95" customHeight="1" x14ac:dyDescent="0.25">
      <c r="B10" s="10" t="s">
        <v>395</v>
      </c>
      <c r="C10" s="8" t="s">
        <v>398</v>
      </c>
    </row>
    <row r="11" spans="2:3" ht="27.95" customHeight="1" x14ac:dyDescent="0.25">
      <c r="B11" s="10" t="s">
        <v>395</v>
      </c>
      <c r="C11" s="8" t="s">
        <v>399</v>
      </c>
    </row>
    <row r="12" spans="2:3" ht="56.1" customHeight="1" x14ac:dyDescent="0.25">
      <c r="B12" s="10" t="s">
        <v>395</v>
      </c>
      <c r="C12" s="8" t="s">
        <v>400</v>
      </c>
    </row>
    <row r="14" spans="2:3" ht="21.95" customHeight="1" x14ac:dyDescent="0.25">
      <c r="B14" s="9" t="s">
        <v>401</v>
      </c>
    </row>
    <row r="15" spans="2:3" ht="42" customHeight="1" x14ac:dyDescent="0.25">
      <c r="B15" s="10" t="s">
        <v>395</v>
      </c>
      <c r="C15" s="8" t="s">
        <v>402</v>
      </c>
    </row>
    <row r="16" spans="2:3" ht="27.95" customHeight="1" x14ac:dyDescent="0.25">
      <c r="B16" s="10" t="s">
        <v>395</v>
      </c>
      <c r="C16" s="8" t="s">
        <v>403</v>
      </c>
    </row>
    <row r="17" spans="2:3" ht="27.95" customHeight="1" x14ac:dyDescent="0.25">
      <c r="B17" s="10" t="s">
        <v>395</v>
      </c>
      <c r="C17" s="8" t="s">
        <v>404</v>
      </c>
    </row>
    <row r="18" spans="2:3" ht="27.95" customHeight="1" x14ac:dyDescent="0.25">
      <c r="B18" s="10" t="s">
        <v>395</v>
      </c>
      <c r="C18" s="8" t="s">
        <v>405</v>
      </c>
    </row>
    <row r="20" spans="2:3" ht="21.95" customHeight="1" x14ac:dyDescent="0.25">
      <c r="B20" s="9" t="s">
        <v>406</v>
      </c>
    </row>
    <row r="21" spans="2:3" ht="14.1" customHeight="1" x14ac:dyDescent="0.25">
      <c r="B21" s="48" t="s">
        <v>407</v>
      </c>
      <c r="C21" s="48"/>
    </row>
    <row r="22" spans="2:3" ht="14.1" customHeight="1" x14ac:dyDescent="0.25">
      <c r="B22" s="10" t="s">
        <v>395</v>
      </c>
      <c r="C22" s="8" t="s">
        <v>408</v>
      </c>
    </row>
    <row r="23" spans="2:3" ht="27.95" customHeight="1" x14ac:dyDescent="0.25">
      <c r="B23" s="10" t="s">
        <v>395</v>
      </c>
      <c r="C23" s="8" t="s">
        <v>409</v>
      </c>
    </row>
    <row r="24" spans="2:3" ht="27.95" customHeight="1" x14ac:dyDescent="0.25">
      <c r="B24" s="10" t="s">
        <v>395</v>
      </c>
      <c r="C24" s="8" t="s">
        <v>410</v>
      </c>
    </row>
    <row r="25" spans="2:3" ht="27.95" customHeight="1" x14ac:dyDescent="0.25">
      <c r="B25" s="10" t="s">
        <v>395</v>
      </c>
      <c r="C25" s="8" t="s">
        <v>411</v>
      </c>
    </row>
    <row r="26" spans="2:3" ht="42" customHeight="1" x14ac:dyDescent="0.25">
      <c r="B26" s="10" t="s">
        <v>395</v>
      </c>
      <c r="C26" s="8" t="s">
        <v>412</v>
      </c>
    </row>
    <row r="27" spans="2:3" ht="42" customHeight="1" x14ac:dyDescent="0.25">
      <c r="B27" s="10" t="s">
        <v>395</v>
      </c>
      <c r="C27" s="8" t="s">
        <v>413</v>
      </c>
    </row>
    <row r="28" spans="2:3" ht="27.95" customHeight="1" x14ac:dyDescent="0.25">
      <c r="B28" s="10" t="s">
        <v>395</v>
      </c>
      <c r="C28" s="8" t="s">
        <v>414</v>
      </c>
    </row>
    <row r="30" spans="2:3" ht="21.95" customHeight="1" x14ac:dyDescent="0.25">
      <c r="B30" s="9" t="s">
        <v>415</v>
      </c>
    </row>
    <row r="31" spans="2:3" ht="42" customHeight="1" x14ac:dyDescent="0.25">
      <c r="B31" s="10" t="s">
        <v>395</v>
      </c>
      <c r="C31" s="8" t="s">
        <v>416</v>
      </c>
    </row>
    <row r="32" spans="2:3" ht="56.1" customHeight="1" x14ac:dyDescent="0.25">
      <c r="B32" s="10" t="s">
        <v>395</v>
      </c>
      <c r="C32" s="8" t="s">
        <v>417</v>
      </c>
    </row>
    <row r="33" spans="2:3" ht="69.95" customHeight="1" x14ac:dyDescent="0.25">
      <c r="B33" s="10" t="s">
        <v>395</v>
      </c>
      <c r="C33" s="8" t="s">
        <v>418</v>
      </c>
    </row>
    <row r="34" spans="2:3" ht="42" customHeight="1" x14ac:dyDescent="0.25">
      <c r="B34" s="10" t="s">
        <v>395</v>
      </c>
      <c r="C34" s="8" t="s">
        <v>419</v>
      </c>
    </row>
    <row r="35" spans="2:3" ht="42" customHeight="1" x14ac:dyDescent="0.25">
      <c r="B35" s="10" t="s">
        <v>395</v>
      </c>
      <c r="C35" s="8" t="s">
        <v>420</v>
      </c>
    </row>
    <row r="37" spans="2:3" ht="21.95" customHeight="1" x14ac:dyDescent="0.25">
      <c r="B37" s="9" t="s">
        <v>421</v>
      </c>
    </row>
    <row r="38" spans="2:3" ht="69.95" customHeight="1" x14ac:dyDescent="0.25">
      <c r="B38" s="10" t="s">
        <v>395</v>
      </c>
      <c r="C38" s="8" t="s">
        <v>422</v>
      </c>
    </row>
    <row r="39" spans="2:3" ht="42" customHeight="1" x14ac:dyDescent="0.25">
      <c r="B39" s="10" t="s">
        <v>395</v>
      </c>
      <c r="C39" s="8" t="s">
        <v>423</v>
      </c>
    </row>
    <row r="41" spans="2:3" ht="21.95" customHeight="1" x14ac:dyDescent="0.25">
      <c r="B41" s="9" t="s">
        <v>424</v>
      </c>
    </row>
    <row r="42" spans="2:3" ht="56.1" customHeight="1" x14ac:dyDescent="0.25">
      <c r="B42" s="10" t="s">
        <v>395</v>
      </c>
      <c r="C42" s="8" t="s">
        <v>425</v>
      </c>
    </row>
    <row r="43" spans="2:3" ht="42" customHeight="1" x14ac:dyDescent="0.25">
      <c r="B43" s="10" t="s">
        <v>395</v>
      </c>
      <c r="C43" s="8" t="s">
        <v>426</v>
      </c>
    </row>
    <row r="44" spans="2:3" ht="27.95" customHeight="1" x14ac:dyDescent="0.25">
      <c r="B44" s="10" t="s">
        <v>395</v>
      </c>
      <c r="C44" s="8" t="s">
        <v>427</v>
      </c>
    </row>
    <row r="45" spans="2:3" ht="14.1" customHeight="1" x14ac:dyDescent="0.25">
      <c r="B45" s="10" t="s">
        <v>395</v>
      </c>
      <c r="C45" s="8" t="s">
        <v>428</v>
      </c>
    </row>
    <row r="46" spans="2:3" ht="42" customHeight="1" x14ac:dyDescent="0.25">
      <c r="B46" s="10" t="s">
        <v>395</v>
      </c>
      <c r="C46" s="8" t="s">
        <v>429</v>
      </c>
    </row>
    <row r="47" spans="2:3" ht="69.95" customHeight="1" x14ac:dyDescent="0.25">
      <c r="B47" s="10" t="s">
        <v>395</v>
      </c>
      <c r="C47" s="8" t="s">
        <v>430</v>
      </c>
    </row>
    <row r="48" spans="2:3" ht="56.1" customHeight="1" x14ac:dyDescent="0.25">
      <c r="B48" s="10" t="s">
        <v>395</v>
      </c>
      <c r="C48" s="8" t="s">
        <v>431</v>
      </c>
    </row>
    <row r="49" spans="2:3" ht="56.1" customHeight="1" x14ac:dyDescent="0.25">
      <c r="B49" s="10" t="s">
        <v>395</v>
      </c>
      <c r="C49" s="8" t="s">
        <v>432</v>
      </c>
    </row>
    <row r="50" spans="2:3" ht="84" customHeight="1" x14ac:dyDescent="0.25">
      <c r="B50" s="10" t="s">
        <v>395</v>
      </c>
      <c r="C50" s="8" t="s">
        <v>433</v>
      </c>
    </row>
    <row r="52" spans="2:3" ht="21.95" customHeight="1" x14ac:dyDescent="0.25">
      <c r="B52" s="9" t="s">
        <v>434</v>
      </c>
    </row>
    <row r="53" spans="2:3" ht="27.95" customHeight="1" x14ac:dyDescent="0.25">
      <c r="B53" s="10" t="s">
        <v>395</v>
      </c>
      <c r="C53" s="8" t="s">
        <v>435</v>
      </c>
    </row>
    <row r="54" spans="2:3" ht="27.95" customHeight="1" x14ac:dyDescent="0.25">
      <c r="B54" s="10" t="s">
        <v>395</v>
      </c>
      <c r="C54" s="8" t="s">
        <v>436</v>
      </c>
    </row>
    <row r="55" spans="2:3" ht="27.95" customHeight="1" x14ac:dyDescent="0.25">
      <c r="B55" s="10" t="s">
        <v>395</v>
      </c>
      <c r="C55" s="8" t="s">
        <v>437</v>
      </c>
    </row>
    <row r="56" spans="2:3" ht="27.95" customHeight="1" x14ac:dyDescent="0.25">
      <c r="B56" s="10" t="s">
        <v>395</v>
      </c>
      <c r="C56" s="8" t="s">
        <v>438</v>
      </c>
    </row>
    <row r="57" spans="2:3" ht="14.1" customHeight="1" x14ac:dyDescent="0.25">
      <c r="B57" s="10" t="s">
        <v>395</v>
      </c>
      <c r="C57" s="8" t="s">
        <v>439</v>
      </c>
    </row>
    <row r="58" spans="2:3" ht="42" customHeight="1" x14ac:dyDescent="0.25">
      <c r="B58" s="10" t="s">
        <v>395</v>
      </c>
      <c r="C58" s="8" t="s">
        <v>440</v>
      </c>
    </row>
    <row r="59" spans="2:3" ht="14.1" customHeight="1" x14ac:dyDescent="0.25">
      <c r="B59" s="10" t="s">
        <v>395</v>
      </c>
      <c r="C59" s="8" t="s">
        <v>441</v>
      </c>
    </row>
    <row r="61" spans="2:3" ht="21.95" customHeight="1" x14ac:dyDescent="0.25">
      <c r="B61" s="9" t="s">
        <v>442</v>
      </c>
    </row>
    <row r="62" spans="2:3" ht="56.1" customHeight="1" x14ac:dyDescent="0.25">
      <c r="B62" s="10" t="s">
        <v>395</v>
      </c>
      <c r="C62" s="8" t="s">
        <v>443</v>
      </c>
    </row>
    <row r="63" spans="2:3" ht="42" customHeight="1" x14ac:dyDescent="0.25">
      <c r="B63" s="10" t="s">
        <v>395</v>
      </c>
      <c r="C63" s="8" t="s">
        <v>444</v>
      </c>
    </row>
    <row r="64" spans="2:3" ht="27.95" customHeight="1" x14ac:dyDescent="0.25">
      <c r="B64" s="10" t="s">
        <v>395</v>
      </c>
      <c r="C64" s="8" t="s">
        <v>445</v>
      </c>
    </row>
    <row r="66" spans="2:3" ht="21.95" customHeight="1" x14ac:dyDescent="0.25">
      <c r="B66" s="9" t="s">
        <v>446</v>
      </c>
    </row>
    <row r="67" spans="2:3" ht="14.1" customHeight="1" x14ac:dyDescent="0.25">
      <c r="B67" s="10" t="s">
        <v>395</v>
      </c>
      <c r="C67" s="8" t="s">
        <v>447</v>
      </c>
    </row>
    <row r="68" spans="2:3" ht="27.95" customHeight="1" x14ac:dyDescent="0.25">
      <c r="B68" s="10" t="s">
        <v>395</v>
      </c>
      <c r="C68" s="8" t="s">
        <v>448</v>
      </c>
    </row>
    <row r="69" spans="2:3" ht="42" customHeight="1" x14ac:dyDescent="0.25">
      <c r="B69" s="10" t="s">
        <v>395</v>
      </c>
      <c r="C69" s="8" t="s">
        <v>449</v>
      </c>
    </row>
    <row r="70" spans="2:3" ht="27.95" customHeight="1" x14ac:dyDescent="0.25">
      <c r="B70" s="10" t="s">
        <v>395</v>
      </c>
      <c r="C70" s="8" t="s">
        <v>450</v>
      </c>
    </row>
    <row r="71" spans="2:3" ht="27.95" customHeight="1" x14ac:dyDescent="0.25">
      <c r="B71" s="10" t="s">
        <v>395</v>
      </c>
      <c r="C71" s="8" t="s">
        <v>451</v>
      </c>
    </row>
    <row r="72" spans="2:3" ht="42" customHeight="1" x14ac:dyDescent="0.25">
      <c r="B72" s="10" t="s">
        <v>395</v>
      </c>
      <c r="C72" s="8" t="s">
        <v>452</v>
      </c>
    </row>
    <row r="73" spans="2:3" ht="27.95" customHeight="1" x14ac:dyDescent="0.25">
      <c r="B73" s="10" t="s">
        <v>395</v>
      </c>
      <c r="C73" s="8" t="s">
        <v>453</v>
      </c>
    </row>
    <row r="74" spans="2:3" ht="56.1" customHeight="1" x14ac:dyDescent="0.25">
      <c r="B74" s="10" t="s">
        <v>395</v>
      </c>
      <c r="C74" s="8" t="s">
        <v>454</v>
      </c>
    </row>
    <row r="75" spans="2:3" ht="56.1" customHeight="1" x14ac:dyDescent="0.25">
      <c r="B75" s="10" t="s">
        <v>395</v>
      </c>
      <c r="C75" s="8" t="s">
        <v>455</v>
      </c>
    </row>
    <row r="77" spans="2:3" ht="21.95" customHeight="1" x14ac:dyDescent="0.25">
      <c r="B77" s="9" t="s">
        <v>456</v>
      </c>
    </row>
    <row r="78" spans="2:3" ht="42" customHeight="1" x14ac:dyDescent="0.25">
      <c r="B78" s="10" t="s">
        <v>395</v>
      </c>
      <c r="C78" s="8" t="s">
        <v>457</v>
      </c>
    </row>
    <row r="79" spans="2:3" ht="27.95" customHeight="1" x14ac:dyDescent="0.25">
      <c r="B79" s="10" t="s">
        <v>395</v>
      </c>
      <c r="C79" s="8" t="s">
        <v>458</v>
      </c>
    </row>
  </sheetData>
  <mergeCells count="2">
    <mergeCell ref="B5:C5"/>
    <mergeCell ref="B21:C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F94A7"/>
  </sheetPr>
  <dimension ref="A1:IA70"/>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3.5" x14ac:dyDescent="0.25"/>
  <cols>
    <col min="1" max="1" width="20.7109375" customWidth="1"/>
    <col min="2" max="2" width="10.7109375" customWidth="1"/>
    <col min="3" max="3" width="7.7109375" customWidth="1"/>
    <col min="4" max="235" width="6.85546875" customWidth="1"/>
  </cols>
  <sheetData>
    <row r="1" spans="1:235" ht="33.950000000000003" customHeight="1" x14ac:dyDescent="0.25"/>
    <row r="2" spans="1:235" ht="30" customHeight="1" x14ac:dyDescent="0.25">
      <c r="A2" s="1" t="s">
        <v>183</v>
      </c>
    </row>
    <row r="3" spans="1:235" ht="18" customHeight="1" x14ac:dyDescent="0.25">
      <c r="A3" s="2" t="s">
        <v>184</v>
      </c>
    </row>
    <row r="4" spans="1:235" ht="15.95" customHeight="1" x14ac:dyDescent="0.25">
      <c r="A4" s="11" t="s">
        <v>185</v>
      </c>
      <c r="B4" s="11"/>
      <c r="C4" s="11"/>
      <c r="D4" s="11" t="s">
        <v>191</v>
      </c>
      <c r="E4" s="12"/>
      <c r="F4" s="11" t="s">
        <v>194</v>
      </c>
      <c r="G4" s="12"/>
      <c r="H4" s="12"/>
      <c r="I4" s="12"/>
      <c r="J4" s="12"/>
      <c r="K4" s="11" t="s">
        <v>200</v>
      </c>
      <c r="L4" s="12"/>
      <c r="M4" s="12"/>
      <c r="N4" s="12"/>
      <c r="O4" s="11" t="s">
        <v>205</v>
      </c>
      <c r="P4" s="12"/>
      <c r="Q4" s="12"/>
      <c r="R4" s="12"/>
      <c r="S4" s="11" t="s">
        <v>210</v>
      </c>
      <c r="T4" s="12"/>
      <c r="U4" s="12"/>
      <c r="V4" s="12"/>
      <c r="W4" s="12"/>
      <c r="X4" s="11" t="s">
        <v>216</v>
      </c>
      <c r="Y4" s="12"/>
      <c r="Z4" s="12"/>
      <c r="AA4" s="12"/>
      <c r="AB4" s="11" t="s">
        <v>221</v>
      </c>
      <c r="AC4" s="12"/>
      <c r="AD4" s="12"/>
      <c r="AE4" s="12"/>
      <c r="AF4" s="11" t="s">
        <v>226</v>
      </c>
      <c r="AG4" s="12"/>
      <c r="AH4" s="12"/>
      <c r="AI4" s="12"/>
      <c r="AJ4" s="11" t="s">
        <v>231</v>
      </c>
      <c r="AK4" s="12"/>
      <c r="AL4" s="12"/>
      <c r="AM4" s="12"/>
      <c r="AN4" s="12"/>
      <c r="AO4" s="11" t="s">
        <v>237</v>
      </c>
      <c r="AP4" s="12"/>
      <c r="AQ4" s="12"/>
      <c r="AR4" s="12"/>
      <c r="AS4" s="11" t="s">
        <v>242</v>
      </c>
      <c r="AT4" s="12"/>
      <c r="AU4" s="12"/>
      <c r="AV4" s="12"/>
      <c r="AW4" s="12"/>
      <c r="AX4" s="11" t="s">
        <v>248</v>
      </c>
      <c r="AY4" s="12"/>
      <c r="AZ4" s="12"/>
      <c r="BA4" s="12"/>
      <c r="BB4" s="11" t="s">
        <v>253</v>
      </c>
      <c r="BC4" s="12"/>
      <c r="BD4" s="12"/>
      <c r="BE4" s="12"/>
      <c r="BF4" s="11" t="s">
        <v>257</v>
      </c>
      <c r="BG4" s="12"/>
      <c r="BH4" s="12"/>
      <c r="BI4" s="12"/>
      <c r="BJ4" s="12"/>
      <c r="BK4" s="11" t="s">
        <v>258</v>
      </c>
      <c r="BL4" s="12"/>
      <c r="BM4" s="12"/>
      <c r="BN4" s="12"/>
      <c r="BO4" s="11" t="s">
        <v>259</v>
      </c>
      <c r="BP4" s="12"/>
      <c r="BQ4" s="12"/>
      <c r="BR4" s="12"/>
      <c r="BS4" s="11" t="s">
        <v>260</v>
      </c>
      <c r="BT4" s="12"/>
      <c r="BU4" s="12"/>
      <c r="BV4" s="12"/>
      <c r="BW4" s="12"/>
      <c r="BX4" s="11" t="s">
        <v>261</v>
      </c>
      <c r="BY4" s="12"/>
      <c r="BZ4" s="12"/>
      <c r="CA4" s="12"/>
      <c r="CB4" s="11" t="s">
        <v>262</v>
      </c>
      <c r="CC4" s="12"/>
      <c r="CD4" s="12"/>
      <c r="CE4" s="12"/>
      <c r="CF4" s="12"/>
      <c r="CG4" s="11" t="s">
        <v>263</v>
      </c>
      <c r="CH4" s="12"/>
      <c r="CI4" s="12"/>
      <c r="CJ4" s="12"/>
      <c r="CK4" s="11" t="s">
        <v>264</v>
      </c>
      <c r="CL4" s="12"/>
      <c r="CM4" s="12"/>
      <c r="CN4" s="12"/>
      <c r="CO4" s="11" t="s">
        <v>265</v>
      </c>
      <c r="CP4" s="12"/>
      <c r="CQ4" s="12"/>
      <c r="CR4" s="12"/>
      <c r="CS4" s="11" t="s">
        <v>266</v>
      </c>
      <c r="CT4" s="12"/>
      <c r="CU4" s="12"/>
      <c r="CV4" s="12"/>
      <c r="CW4" s="12"/>
      <c r="CX4" s="11" t="s">
        <v>267</v>
      </c>
      <c r="CY4" s="12"/>
      <c r="CZ4" s="12"/>
      <c r="DA4" s="12"/>
      <c r="DB4" s="11" t="s">
        <v>268</v>
      </c>
      <c r="DC4" s="12"/>
      <c r="DD4" s="12"/>
      <c r="DE4" s="12"/>
      <c r="DF4" s="12"/>
      <c r="DG4" s="11" t="s">
        <v>269</v>
      </c>
      <c r="DH4" s="12"/>
      <c r="DI4" s="12"/>
      <c r="DJ4" s="12"/>
      <c r="DK4" s="11" t="s">
        <v>270</v>
      </c>
      <c r="DL4" s="12"/>
      <c r="DM4" s="12"/>
      <c r="DN4" s="12"/>
      <c r="DO4" s="11" t="s">
        <v>271</v>
      </c>
      <c r="DP4" s="12"/>
      <c r="DQ4" s="12"/>
      <c r="DR4" s="12"/>
      <c r="DS4" s="12"/>
      <c r="DT4" s="11" t="s">
        <v>272</v>
      </c>
      <c r="DU4" s="12"/>
      <c r="DV4" s="12"/>
      <c r="DW4" s="12"/>
      <c r="DX4" s="11" t="s">
        <v>273</v>
      </c>
      <c r="DY4" s="12"/>
      <c r="DZ4" s="12"/>
      <c r="EA4" s="12"/>
      <c r="EB4" s="11" t="s">
        <v>274</v>
      </c>
      <c r="EC4" s="12"/>
      <c r="ED4" s="12"/>
      <c r="EE4" s="12"/>
      <c r="EF4" s="12"/>
      <c r="EG4" s="11" t="s">
        <v>275</v>
      </c>
      <c r="EH4" s="12"/>
      <c r="EI4" s="12"/>
      <c r="EJ4" s="12"/>
      <c r="EK4" s="11" t="s">
        <v>276</v>
      </c>
      <c r="EL4" s="12"/>
      <c r="EM4" s="12"/>
      <c r="EN4" s="12"/>
      <c r="EO4" s="11" t="s">
        <v>277</v>
      </c>
      <c r="EP4" s="12"/>
      <c r="EQ4" s="12"/>
      <c r="ER4" s="12"/>
      <c r="ES4" s="12"/>
      <c r="ET4" s="11" t="s">
        <v>278</v>
      </c>
      <c r="EU4" s="12"/>
      <c r="EV4" s="12"/>
      <c r="EW4" s="12"/>
      <c r="EX4" s="11" t="s">
        <v>279</v>
      </c>
      <c r="EY4" s="12"/>
      <c r="EZ4" s="12"/>
      <c r="FA4" s="12"/>
      <c r="FB4" s="11" t="s">
        <v>280</v>
      </c>
      <c r="FC4" s="12"/>
      <c r="FD4" s="12"/>
      <c r="FE4" s="12"/>
      <c r="FF4" s="12"/>
      <c r="FG4" s="11" t="s">
        <v>281</v>
      </c>
      <c r="FH4" s="12"/>
      <c r="FI4" s="12"/>
      <c r="FJ4" s="12"/>
      <c r="FK4" s="11" t="s">
        <v>282</v>
      </c>
      <c r="FL4" s="12"/>
      <c r="FM4" s="12"/>
      <c r="FN4" s="12"/>
      <c r="FO4" s="11" t="s">
        <v>283</v>
      </c>
      <c r="FP4" s="12"/>
      <c r="FQ4" s="12"/>
      <c r="FR4" s="12"/>
      <c r="FS4" s="12"/>
      <c r="FT4" s="11" t="s">
        <v>284</v>
      </c>
      <c r="FU4" s="12"/>
      <c r="FV4" s="12"/>
      <c r="FW4" s="12"/>
      <c r="FX4" s="11" t="s">
        <v>285</v>
      </c>
      <c r="FY4" s="12"/>
      <c r="FZ4" s="12"/>
      <c r="GA4" s="12"/>
      <c r="GB4" s="12"/>
      <c r="GC4" s="11" t="s">
        <v>286</v>
      </c>
      <c r="GD4" s="12"/>
      <c r="GE4" s="12"/>
      <c r="GF4" s="12"/>
      <c r="GG4" s="11" t="s">
        <v>287</v>
      </c>
      <c r="GH4" s="12"/>
      <c r="GI4" s="12"/>
      <c r="GJ4" s="12"/>
      <c r="GK4" s="11" t="s">
        <v>288</v>
      </c>
      <c r="GL4" s="12"/>
      <c r="GM4" s="12"/>
      <c r="GN4" s="12"/>
      <c r="GO4" s="11" t="s">
        <v>289</v>
      </c>
      <c r="GP4" s="12"/>
      <c r="GQ4" s="12"/>
      <c r="GR4" s="12"/>
      <c r="GS4" s="12"/>
      <c r="GT4" s="11" t="s">
        <v>290</v>
      </c>
      <c r="GU4" s="12"/>
      <c r="GV4" s="12"/>
      <c r="GW4" s="12"/>
      <c r="GX4" s="11" t="s">
        <v>291</v>
      </c>
      <c r="GY4" s="12"/>
      <c r="GZ4" s="12"/>
      <c r="HA4" s="12"/>
      <c r="HB4" s="11" t="s">
        <v>292</v>
      </c>
      <c r="HC4" s="12"/>
      <c r="HD4" s="12"/>
      <c r="HE4" s="12"/>
      <c r="HF4" s="12"/>
      <c r="HG4" s="11" t="s">
        <v>293</v>
      </c>
      <c r="HH4" s="12"/>
      <c r="HI4" s="12"/>
      <c r="HJ4" s="12"/>
      <c r="HK4" s="11" t="s">
        <v>294</v>
      </c>
      <c r="HL4" s="12"/>
      <c r="HM4" s="12"/>
      <c r="HN4" s="12"/>
      <c r="HO4" s="12"/>
      <c r="HP4" s="11" t="s">
        <v>295</v>
      </c>
      <c r="HQ4" s="12"/>
      <c r="HR4" s="12"/>
      <c r="HS4" s="12"/>
      <c r="HT4" s="11" t="s">
        <v>296</v>
      </c>
      <c r="HU4" s="12"/>
      <c r="HV4" s="12"/>
      <c r="HW4" s="12"/>
      <c r="HX4" s="11" t="s">
        <v>297</v>
      </c>
      <c r="HY4" s="12"/>
      <c r="HZ4" s="12"/>
      <c r="IA4" s="12"/>
    </row>
    <row r="5" spans="1:235" ht="18" customHeight="1" x14ac:dyDescent="0.25">
      <c r="A5" s="13" t="s">
        <v>186</v>
      </c>
      <c r="B5" s="13" t="s">
        <v>45</v>
      </c>
      <c r="C5" s="13" t="s">
        <v>188</v>
      </c>
      <c r="D5" s="13" t="s">
        <v>192</v>
      </c>
      <c r="E5" s="13" t="s">
        <v>193</v>
      </c>
      <c r="F5" s="13" t="s">
        <v>195</v>
      </c>
      <c r="G5" s="13" t="s">
        <v>196</v>
      </c>
      <c r="H5" s="13" t="s">
        <v>197</v>
      </c>
      <c r="I5" s="13" t="s">
        <v>198</v>
      </c>
      <c r="J5" s="13" t="s">
        <v>199</v>
      </c>
      <c r="K5" s="13" t="s">
        <v>201</v>
      </c>
      <c r="L5" s="13" t="s">
        <v>202</v>
      </c>
      <c r="M5" s="13" t="s">
        <v>203</v>
      </c>
      <c r="N5" s="13" t="s">
        <v>204</v>
      </c>
      <c r="O5" s="13" t="s">
        <v>206</v>
      </c>
      <c r="P5" s="13" t="s">
        <v>207</v>
      </c>
      <c r="Q5" s="13" t="s">
        <v>208</v>
      </c>
      <c r="R5" s="13" t="s">
        <v>209</v>
      </c>
      <c r="S5" s="13" t="s">
        <v>211</v>
      </c>
      <c r="T5" s="13" t="s">
        <v>212</v>
      </c>
      <c r="U5" s="13" t="s">
        <v>213</v>
      </c>
      <c r="V5" s="13" t="s">
        <v>214</v>
      </c>
      <c r="W5" s="13" t="s">
        <v>215</v>
      </c>
      <c r="X5" s="13" t="s">
        <v>217</v>
      </c>
      <c r="Y5" s="13" t="s">
        <v>218</v>
      </c>
      <c r="Z5" s="13" t="s">
        <v>219</v>
      </c>
      <c r="AA5" s="13" t="s">
        <v>220</v>
      </c>
      <c r="AB5" s="13" t="s">
        <v>222</v>
      </c>
      <c r="AC5" s="13" t="s">
        <v>223</v>
      </c>
      <c r="AD5" s="13" t="s">
        <v>224</v>
      </c>
      <c r="AE5" s="13" t="s">
        <v>225</v>
      </c>
      <c r="AF5" s="13" t="s">
        <v>227</v>
      </c>
      <c r="AG5" s="13" t="s">
        <v>228</v>
      </c>
      <c r="AH5" s="13" t="s">
        <v>229</v>
      </c>
      <c r="AI5" s="13" t="s">
        <v>230</v>
      </c>
      <c r="AJ5" s="13" t="s">
        <v>232</v>
      </c>
      <c r="AK5" s="13" t="s">
        <v>233</v>
      </c>
      <c r="AL5" s="13" t="s">
        <v>234</v>
      </c>
      <c r="AM5" s="13" t="s">
        <v>235</v>
      </c>
      <c r="AN5" s="13" t="s">
        <v>236</v>
      </c>
      <c r="AO5" s="13" t="s">
        <v>238</v>
      </c>
      <c r="AP5" s="13" t="s">
        <v>239</v>
      </c>
      <c r="AQ5" s="13" t="s">
        <v>240</v>
      </c>
      <c r="AR5" s="13" t="s">
        <v>241</v>
      </c>
      <c r="AS5" s="13" t="s">
        <v>243</v>
      </c>
      <c r="AT5" s="13" t="s">
        <v>244</v>
      </c>
      <c r="AU5" s="13" t="s">
        <v>245</v>
      </c>
      <c r="AV5" s="13" t="s">
        <v>246</v>
      </c>
      <c r="AW5" s="13" t="s">
        <v>247</v>
      </c>
      <c r="AX5" s="13" t="s">
        <v>249</v>
      </c>
      <c r="AY5" s="13" t="s">
        <v>250</v>
      </c>
      <c r="AZ5" s="13" t="s">
        <v>251</v>
      </c>
      <c r="BA5" s="13" t="s">
        <v>252</v>
      </c>
      <c r="BB5" s="13" t="s">
        <v>254</v>
      </c>
      <c r="BC5" s="13" t="s">
        <v>255</v>
      </c>
      <c r="BD5" s="13" t="s">
        <v>256</v>
      </c>
      <c r="BE5" s="13" t="s">
        <v>192</v>
      </c>
      <c r="BF5" s="13" t="s">
        <v>193</v>
      </c>
      <c r="BG5" s="13" t="s">
        <v>195</v>
      </c>
      <c r="BH5" s="13" t="s">
        <v>196</v>
      </c>
      <c r="BI5" s="13" t="s">
        <v>197</v>
      </c>
      <c r="BJ5" s="13" t="s">
        <v>198</v>
      </c>
      <c r="BK5" s="13" t="s">
        <v>199</v>
      </c>
      <c r="BL5" s="13" t="s">
        <v>201</v>
      </c>
      <c r="BM5" s="13" t="s">
        <v>202</v>
      </c>
      <c r="BN5" s="13" t="s">
        <v>203</v>
      </c>
      <c r="BO5" s="13" t="s">
        <v>204</v>
      </c>
      <c r="BP5" s="13" t="s">
        <v>206</v>
      </c>
      <c r="BQ5" s="13" t="s">
        <v>207</v>
      </c>
      <c r="BR5" s="13" t="s">
        <v>208</v>
      </c>
      <c r="BS5" s="13" t="s">
        <v>209</v>
      </c>
      <c r="BT5" s="13" t="s">
        <v>211</v>
      </c>
      <c r="BU5" s="13" t="s">
        <v>212</v>
      </c>
      <c r="BV5" s="13" t="s">
        <v>213</v>
      </c>
      <c r="BW5" s="13" t="s">
        <v>214</v>
      </c>
      <c r="BX5" s="13" t="s">
        <v>215</v>
      </c>
      <c r="BY5" s="13" t="s">
        <v>217</v>
      </c>
      <c r="BZ5" s="13" t="s">
        <v>218</v>
      </c>
      <c r="CA5" s="13" t="s">
        <v>219</v>
      </c>
      <c r="CB5" s="13" t="s">
        <v>222</v>
      </c>
      <c r="CC5" s="13" t="s">
        <v>223</v>
      </c>
      <c r="CD5" s="13" t="s">
        <v>224</v>
      </c>
      <c r="CE5" s="13" t="s">
        <v>225</v>
      </c>
      <c r="CF5" s="13" t="s">
        <v>227</v>
      </c>
      <c r="CG5" s="13" t="s">
        <v>228</v>
      </c>
      <c r="CH5" s="13" t="s">
        <v>229</v>
      </c>
      <c r="CI5" s="13" t="s">
        <v>230</v>
      </c>
      <c r="CJ5" s="13" t="s">
        <v>232</v>
      </c>
      <c r="CK5" s="13" t="s">
        <v>233</v>
      </c>
      <c r="CL5" s="13" t="s">
        <v>234</v>
      </c>
      <c r="CM5" s="13" t="s">
        <v>235</v>
      </c>
      <c r="CN5" s="13" t="s">
        <v>236</v>
      </c>
      <c r="CO5" s="13" t="s">
        <v>238</v>
      </c>
      <c r="CP5" s="13" t="s">
        <v>239</v>
      </c>
      <c r="CQ5" s="13" t="s">
        <v>240</v>
      </c>
      <c r="CR5" s="13" t="s">
        <v>241</v>
      </c>
      <c r="CS5" s="13" t="s">
        <v>243</v>
      </c>
      <c r="CT5" s="13" t="s">
        <v>244</v>
      </c>
      <c r="CU5" s="13" t="s">
        <v>245</v>
      </c>
      <c r="CV5" s="13" t="s">
        <v>246</v>
      </c>
      <c r="CW5" s="13" t="s">
        <v>247</v>
      </c>
      <c r="CX5" s="13" t="s">
        <v>249</v>
      </c>
      <c r="CY5" s="13" t="s">
        <v>250</v>
      </c>
      <c r="CZ5" s="13" t="s">
        <v>251</v>
      </c>
      <c r="DA5" s="13" t="s">
        <v>252</v>
      </c>
      <c r="DB5" s="13" t="s">
        <v>254</v>
      </c>
      <c r="DC5" s="13" t="s">
        <v>255</v>
      </c>
      <c r="DD5" s="13" t="s">
        <v>256</v>
      </c>
      <c r="DE5" s="13" t="s">
        <v>192</v>
      </c>
      <c r="DF5" s="13" t="s">
        <v>193</v>
      </c>
      <c r="DG5" s="13" t="s">
        <v>195</v>
      </c>
      <c r="DH5" s="13" t="s">
        <v>196</v>
      </c>
      <c r="DI5" s="13" t="s">
        <v>197</v>
      </c>
      <c r="DJ5" s="13" t="s">
        <v>198</v>
      </c>
      <c r="DK5" s="13" t="s">
        <v>199</v>
      </c>
      <c r="DL5" s="13" t="s">
        <v>201</v>
      </c>
      <c r="DM5" s="13" t="s">
        <v>202</v>
      </c>
      <c r="DN5" s="13" t="s">
        <v>203</v>
      </c>
      <c r="DO5" s="13" t="s">
        <v>204</v>
      </c>
      <c r="DP5" s="13" t="s">
        <v>206</v>
      </c>
      <c r="DQ5" s="13" t="s">
        <v>207</v>
      </c>
      <c r="DR5" s="13" t="s">
        <v>208</v>
      </c>
      <c r="DS5" s="13" t="s">
        <v>209</v>
      </c>
      <c r="DT5" s="13" t="s">
        <v>211</v>
      </c>
      <c r="DU5" s="13" t="s">
        <v>212</v>
      </c>
      <c r="DV5" s="13" t="s">
        <v>213</v>
      </c>
      <c r="DW5" s="13" t="s">
        <v>214</v>
      </c>
      <c r="DX5" s="13" t="s">
        <v>215</v>
      </c>
      <c r="DY5" s="13" t="s">
        <v>217</v>
      </c>
      <c r="DZ5" s="13" t="s">
        <v>218</v>
      </c>
      <c r="EA5" s="13" t="s">
        <v>219</v>
      </c>
      <c r="EB5" s="13" t="s">
        <v>222</v>
      </c>
      <c r="EC5" s="13" t="s">
        <v>223</v>
      </c>
      <c r="ED5" s="13" t="s">
        <v>224</v>
      </c>
      <c r="EE5" s="13" t="s">
        <v>225</v>
      </c>
      <c r="EF5" s="13" t="s">
        <v>227</v>
      </c>
      <c r="EG5" s="13" t="s">
        <v>228</v>
      </c>
      <c r="EH5" s="13" t="s">
        <v>229</v>
      </c>
      <c r="EI5" s="13" t="s">
        <v>230</v>
      </c>
      <c r="EJ5" s="13" t="s">
        <v>232</v>
      </c>
      <c r="EK5" s="13" t="s">
        <v>233</v>
      </c>
      <c r="EL5" s="13" t="s">
        <v>234</v>
      </c>
      <c r="EM5" s="13" t="s">
        <v>235</v>
      </c>
      <c r="EN5" s="13" t="s">
        <v>236</v>
      </c>
      <c r="EO5" s="13" t="s">
        <v>238</v>
      </c>
      <c r="EP5" s="13" t="s">
        <v>239</v>
      </c>
      <c r="EQ5" s="13" t="s">
        <v>240</v>
      </c>
      <c r="ER5" s="13" t="s">
        <v>241</v>
      </c>
      <c r="ES5" s="13" t="s">
        <v>243</v>
      </c>
      <c r="ET5" s="13" t="s">
        <v>244</v>
      </c>
      <c r="EU5" s="13" t="s">
        <v>245</v>
      </c>
      <c r="EV5" s="13" t="s">
        <v>246</v>
      </c>
      <c r="EW5" s="13" t="s">
        <v>247</v>
      </c>
      <c r="EX5" s="13" t="s">
        <v>249</v>
      </c>
      <c r="EY5" s="13" t="s">
        <v>250</v>
      </c>
      <c r="EZ5" s="13" t="s">
        <v>251</v>
      </c>
      <c r="FA5" s="13" t="s">
        <v>252</v>
      </c>
      <c r="FB5" s="13" t="s">
        <v>254</v>
      </c>
      <c r="FC5" s="13" t="s">
        <v>255</v>
      </c>
      <c r="FD5" s="13" t="s">
        <v>256</v>
      </c>
      <c r="FE5" s="13" t="s">
        <v>192</v>
      </c>
      <c r="FF5" s="13" t="s">
        <v>193</v>
      </c>
      <c r="FG5" s="13" t="s">
        <v>195</v>
      </c>
      <c r="FH5" s="13" t="s">
        <v>196</v>
      </c>
      <c r="FI5" s="13" t="s">
        <v>197</v>
      </c>
      <c r="FJ5" s="13" t="s">
        <v>198</v>
      </c>
      <c r="FK5" s="13" t="s">
        <v>199</v>
      </c>
      <c r="FL5" s="13" t="s">
        <v>201</v>
      </c>
      <c r="FM5" s="13" t="s">
        <v>202</v>
      </c>
      <c r="FN5" s="13" t="s">
        <v>203</v>
      </c>
      <c r="FO5" s="13" t="s">
        <v>204</v>
      </c>
      <c r="FP5" s="13" t="s">
        <v>206</v>
      </c>
      <c r="FQ5" s="13" t="s">
        <v>207</v>
      </c>
      <c r="FR5" s="13" t="s">
        <v>208</v>
      </c>
      <c r="FS5" s="13" t="s">
        <v>209</v>
      </c>
      <c r="FT5" s="13" t="s">
        <v>211</v>
      </c>
      <c r="FU5" s="13" t="s">
        <v>212</v>
      </c>
      <c r="FV5" s="13" t="s">
        <v>213</v>
      </c>
      <c r="FW5" s="13" t="s">
        <v>214</v>
      </c>
      <c r="FX5" s="13" t="s">
        <v>215</v>
      </c>
      <c r="FY5" s="13" t="s">
        <v>217</v>
      </c>
      <c r="FZ5" s="13" t="s">
        <v>218</v>
      </c>
      <c r="GA5" s="13" t="s">
        <v>219</v>
      </c>
      <c r="GB5" s="13" t="s">
        <v>222</v>
      </c>
      <c r="GC5" s="13" t="s">
        <v>223</v>
      </c>
      <c r="GD5" s="13" t="s">
        <v>224</v>
      </c>
      <c r="GE5" s="13" t="s">
        <v>225</v>
      </c>
      <c r="GF5" s="13" t="s">
        <v>227</v>
      </c>
      <c r="GG5" s="13" t="s">
        <v>228</v>
      </c>
      <c r="GH5" s="13" t="s">
        <v>229</v>
      </c>
      <c r="GI5" s="13" t="s">
        <v>230</v>
      </c>
      <c r="GJ5" s="13" t="s">
        <v>232</v>
      </c>
      <c r="GK5" s="13" t="s">
        <v>233</v>
      </c>
      <c r="GL5" s="13" t="s">
        <v>234</v>
      </c>
      <c r="GM5" s="13" t="s">
        <v>235</v>
      </c>
      <c r="GN5" s="13" t="s">
        <v>236</v>
      </c>
      <c r="GO5" s="13" t="s">
        <v>238</v>
      </c>
      <c r="GP5" s="13" t="s">
        <v>239</v>
      </c>
      <c r="GQ5" s="13" t="s">
        <v>240</v>
      </c>
      <c r="GR5" s="13" t="s">
        <v>241</v>
      </c>
      <c r="GS5" s="13" t="s">
        <v>243</v>
      </c>
      <c r="GT5" s="13" t="s">
        <v>244</v>
      </c>
      <c r="GU5" s="13" t="s">
        <v>245</v>
      </c>
      <c r="GV5" s="13" t="s">
        <v>246</v>
      </c>
      <c r="GW5" s="13" t="s">
        <v>247</v>
      </c>
      <c r="GX5" s="13" t="s">
        <v>249</v>
      </c>
      <c r="GY5" s="13" t="s">
        <v>250</v>
      </c>
      <c r="GZ5" s="13" t="s">
        <v>251</v>
      </c>
      <c r="HA5" s="13" t="s">
        <v>252</v>
      </c>
      <c r="HB5" s="13" t="s">
        <v>254</v>
      </c>
      <c r="HC5" s="13" t="s">
        <v>255</v>
      </c>
      <c r="HD5" s="13" t="s">
        <v>256</v>
      </c>
      <c r="HE5" s="13" t="s">
        <v>192</v>
      </c>
      <c r="HF5" s="13" t="s">
        <v>193</v>
      </c>
      <c r="HG5" s="13" t="s">
        <v>195</v>
      </c>
      <c r="HH5" s="13" t="s">
        <v>196</v>
      </c>
      <c r="HI5" s="13" t="s">
        <v>197</v>
      </c>
      <c r="HJ5" s="13" t="s">
        <v>198</v>
      </c>
      <c r="HK5" s="13" t="s">
        <v>199</v>
      </c>
      <c r="HL5" s="13" t="s">
        <v>201</v>
      </c>
      <c r="HM5" s="13" t="s">
        <v>202</v>
      </c>
      <c r="HN5" s="13" t="s">
        <v>203</v>
      </c>
      <c r="HO5" s="13" t="s">
        <v>204</v>
      </c>
      <c r="HP5" s="13" t="s">
        <v>206</v>
      </c>
      <c r="HQ5" s="13" t="s">
        <v>207</v>
      </c>
      <c r="HR5" s="13" t="s">
        <v>208</v>
      </c>
      <c r="HS5" s="13" t="s">
        <v>209</v>
      </c>
      <c r="HT5" s="13" t="s">
        <v>211</v>
      </c>
      <c r="HU5" s="13" t="s">
        <v>212</v>
      </c>
      <c r="HV5" s="13" t="s">
        <v>213</v>
      </c>
      <c r="HW5" s="13" t="s">
        <v>214</v>
      </c>
      <c r="HX5" s="13" t="s">
        <v>215</v>
      </c>
      <c r="HY5" s="13" t="s">
        <v>217</v>
      </c>
      <c r="HZ5" s="13" t="s">
        <v>218</v>
      </c>
      <c r="IA5" s="13" t="s">
        <v>219</v>
      </c>
    </row>
    <row r="6" spans="1:235" ht="12" customHeight="1" x14ac:dyDescent="0.25">
      <c r="A6" s="14" t="s">
        <v>187</v>
      </c>
      <c r="B6" s="14"/>
      <c r="C6" s="14"/>
      <c r="D6" s="14">
        <v>46223</v>
      </c>
      <c r="E6" s="14">
        <v>46230</v>
      </c>
      <c r="F6" s="14">
        <v>46237</v>
      </c>
      <c r="G6" s="14">
        <v>46244</v>
      </c>
      <c r="H6" s="14">
        <v>46251</v>
      </c>
      <c r="I6" s="14">
        <v>46258</v>
      </c>
      <c r="J6" s="14">
        <v>46265</v>
      </c>
      <c r="K6" s="14">
        <v>46272</v>
      </c>
      <c r="L6" s="14">
        <v>46279</v>
      </c>
      <c r="M6" s="14">
        <v>46286</v>
      </c>
      <c r="N6" s="14">
        <v>46293</v>
      </c>
      <c r="O6" s="14">
        <v>46300</v>
      </c>
      <c r="P6" s="14">
        <v>46307</v>
      </c>
      <c r="Q6" s="14">
        <v>46314</v>
      </c>
      <c r="R6" s="14">
        <v>46321</v>
      </c>
      <c r="S6" s="14">
        <v>46328</v>
      </c>
      <c r="T6" s="14">
        <v>46335</v>
      </c>
      <c r="U6" s="14">
        <v>46342</v>
      </c>
      <c r="V6" s="14">
        <v>46349</v>
      </c>
      <c r="W6" s="14">
        <v>46356</v>
      </c>
      <c r="X6" s="14">
        <v>46363</v>
      </c>
      <c r="Y6" s="14">
        <v>46370</v>
      </c>
      <c r="Z6" s="14">
        <v>46377</v>
      </c>
      <c r="AA6" s="14">
        <v>46384</v>
      </c>
      <c r="AB6" s="14">
        <v>46391</v>
      </c>
      <c r="AC6" s="14">
        <v>46398</v>
      </c>
      <c r="AD6" s="14">
        <v>46405</v>
      </c>
      <c r="AE6" s="14">
        <v>46412</v>
      </c>
      <c r="AF6" s="14">
        <v>46419</v>
      </c>
      <c r="AG6" s="14">
        <v>46426</v>
      </c>
      <c r="AH6" s="14">
        <v>46433</v>
      </c>
      <c r="AI6" s="14">
        <v>46440</v>
      </c>
      <c r="AJ6" s="14">
        <v>46447</v>
      </c>
      <c r="AK6" s="14">
        <v>46454</v>
      </c>
      <c r="AL6" s="14">
        <v>46461</v>
      </c>
      <c r="AM6" s="14">
        <v>46468</v>
      </c>
      <c r="AN6" s="14">
        <v>46475</v>
      </c>
      <c r="AO6" s="14">
        <v>46482</v>
      </c>
      <c r="AP6" s="14">
        <v>46489</v>
      </c>
      <c r="AQ6" s="14">
        <v>46496</v>
      </c>
      <c r="AR6" s="14">
        <v>46503</v>
      </c>
      <c r="AS6" s="14">
        <v>46510</v>
      </c>
      <c r="AT6" s="14">
        <v>46517</v>
      </c>
      <c r="AU6" s="14">
        <v>46524</v>
      </c>
      <c r="AV6" s="14">
        <v>46531</v>
      </c>
      <c r="AW6" s="14">
        <v>46538</v>
      </c>
      <c r="AX6" s="14">
        <v>46545</v>
      </c>
      <c r="AY6" s="14">
        <v>46552</v>
      </c>
      <c r="AZ6" s="14">
        <v>46559</v>
      </c>
      <c r="BA6" s="14">
        <v>46566</v>
      </c>
      <c r="BB6" s="14">
        <v>46573</v>
      </c>
      <c r="BC6" s="14">
        <v>46580</v>
      </c>
      <c r="BD6" s="14">
        <v>46587</v>
      </c>
      <c r="BE6" s="14">
        <v>46594</v>
      </c>
      <c r="BF6" s="14">
        <v>46601</v>
      </c>
      <c r="BG6" s="14">
        <v>46608</v>
      </c>
      <c r="BH6" s="14">
        <v>46615</v>
      </c>
      <c r="BI6" s="14">
        <v>46622</v>
      </c>
      <c r="BJ6" s="14">
        <v>46629</v>
      </c>
      <c r="BK6" s="14">
        <v>46636</v>
      </c>
      <c r="BL6" s="14">
        <v>46643</v>
      </c>
      <c r="BM6" s="14">
        <v>46650</v>
      </c>
      <c r="BN6" s="14">
        <v>46657</v>
      </c>
      <c r="BO6" s="14">
        <v>46664</v>
      </c>
      <c r="BP6" s="14">
        <v>46671</v>
      </c>
      <c r="BQ6" s="14">
        <v>46678</v>
      </c>
      <c r="BR6" s="14">
        <v>46685</v>
      </c>
      <c r="BS6" s="14">
        <v>46692</v>
      </c>
      <c r="BT6" s="14">
        <v>46699</v>
      </c>
      <c r="BU6" s="14">
        <v>46706</v>
      </c>
      <c r="BV6" s="14">
        <v>46713</v>
      </c>
      <c r="BW6" s="14">
        <v>46720</v>
      </c>
      <c r="BX6" s="14">
        <v>46727</v>
      </c>
      <c r="BY6" s="14">
        <v>46734</v>
      </c>
      <c r="BZ6" s="14">
        <v>46741</v>
      </c>
      <c r="CA6" s="14">
        <v>46748</v>
      </c>
      <c r="CB6" s="14">
        <v>46755</v>
      </c>
      <c r="CC6" s="14">
        <v>46762</v>
      </c>
      <c r="CD6" s="14">
        <v>46769</v>
      </c>
      <c r="CE6" s="14">
        <v>46776</v>
      </c>
      <c r="CF6" s="14">
        <v>46783</v>
      </c>
      <c r="CG6" s="14">
        <v>46790</v>
      </c>
      <c r="CH6" s="14">
        <v>46797</v>
      </c>
      <c r="CI6" s="14">
        <v>46804</v>
      </c>
      <c r="CJ6" s="14">
        <v>46811</v>
      </c>
      <c r="CK6" s="14">
        <v>46818</v>
      </c>
      <c r="CL6" s="14">
        <v>46825</v>
      </c>
      <c r="CM6" s="14">
        <v>46832</v>
      </c>
      <c r="CN6" s="14">
        <v>46839</v>
      </c>
      <c r="CO6" s="14">
        <v>46846</v>
      </c>
      <c r="CP6" s="14">
        <v>46853</v>
      </c>
      <c r="CQ6" s="14">
        <v>46860</v>
      </c>
      <c r="CR6" s="14">
        <v>46867</v>
      </c>
      <c r="CS6" s="14">
        <v>46874</v>
      </c>
      <c r="CT6" s="14">
        <v>46881</v>
      </c>
      <c r="CU6" s="14">
        <v>46888</v>
      </c>
      <c r="CV6" s="14">
        <v>46895</v>
      </c>
      <c r="CW6" s="14">
        <v>46902</v>
      </c>
      <c r="CX6" s="14">
        <v>46909</v>
      </c>
      <c r="CY6" s="14">
        <v>46916</v>
      </c>
      <c r="CZ6" s="14">
        <v>46923</v>
      </c>
      <c r="DA6" s="14">
        <v>46930</v>
      </c>
      <c r="DB6" s="14">
        <v>46937</v>
      </c>
      <c r="DC6" s="14">
        <v>46944</v>
      </c>
      <c r="DD6" s="14">
        <v>46951</v>
      </c>
      <c r="DE6" s="14">
        <v>46958</v>
      </c>
      <c r="DF6" s="14">
        <v>46965</v>
      </c>
      <c r="DG6" s="14">
        <v>46972</v>
      </c>
      <c r="DH6" s="14">
        <v>46979</v>
      </c>
      <c r="DI6" s="14">
        <v>46986</v>
      </c>
      <c r="DJ6" s="14">
        <v>46993</v>
      </c>
      <c r="DK6" s="14">
        <v>47000</v>
      </c>
      <c r="DL6" s="14">
        <v>47007</v>
      </c>
      <c r="DM6" s="14">
        <v>47014</v>
      </c>
      <c r="DN6" s="14">
        <v>47021</v>
      </c>
      <c r="DO6" s="14">
        <v>47028</v>
      </c>
      <c r="DP6" s="14">
        <v>47035</v>
      </c>
      <c r="DQ6" s="14">
        <v>47042</v>
      </c>
      <c r="DR6" s="14">
        <v>47049</v>
      </c>
      <c r="DS6" s="14">
        <v>47056</v>
      </c>
      <c r="DT6" s="14">
        <v>47063</v>
      </c>
      <c r="DU6" s="14">
        <v>47070</v>
      </c>
      <c r="DV6" s="14">
        <v>47077</v>
      </c>
      <c r="DW6" s="14">
        <v>47084</v>
      </c>
      <c r="DX6" s="14">
        <v>47091</v>
      </c>
      <c r="DY6" s="14">
        <v>47098</v>
      </c>
      <c r="DZ6" s="14">
        <v>47105</v>
      </c>
      <c r="EA6" s="14">
        <v>47112</v>
      </c>
      <c r="EB6" s="14">
        <v>47119</v>
      </c>
      <c r="EC6" s="14">
        <v>47126</v>
      </c>
      <c r="ED6" s="14">
        <v>47133</v>
      </c>
      <c r="EE6" s="14">
        <v>47140</v>
      </c>
      <c r="EF6" s="14">
        <v>47147</v>
      </c>
      <c r="EG6" s="14">
        <v>47154</v>
      </c>
      <c r="EH6" s="14">
        <v>47161</v>
      </c>
      <c r="EI6" s="14">
        <v>47168</v>
      </c>
      <c r="EJ6" s="14">
        <v>47175</v>
      </c>
      <c r="EK6" s="14">
        <v>47182</v>
      </c>
      <c r="EL6" s="14">
        <v>47189</v>
      </c>
      <c r="EM6" s="14">
        <v>47196</v>
      </c>
      <c r="EN6" s="14">
        <v>47203</v>
      </c>
      <c r="EO6" s="14">
        <v>47210</v>
      </c>
      <c r="EP6" s="14">
        <v>47217</v>
      </c>
      <c r="EQ6" s="14">
        <v>47224</v>
      </c>
      <c r="ER6" s="14">
        <v>47231</v>
      </c>
      <c r="ES6" s="14">
        <v>47238</v>
      </c>
      <c r="ET6" s="14">
        <v>47245</v>
      </c>
      <c r="EU6" s="14">
        <v>47252</v>
      </c>
      <c r="EV6" s="14">
        <v>47259</v>
      </c>
      <c r="EW6" s="14">
        <v>47266</v>
      </c>
      <c r="EX6" s="14">
        <v>47273</v>
      </c>
      <c r="EY6" s="14">
        <v>47280</v>
      </c>
      <c r="EZ6" s="14">
        <v>47287</v>
      </c>
      <c r="FA6" s="14">
        <v>47294</v>
      </c>
      <c r="FB6" s="14">
        <v>47301</v>
      </c>
      <c r="FC6" s="14">
        <v>47308</v>
      </c>
      <c r="FD6" s="14">
        <v>47315</v>
      </c>
      <c r="FE6" s="14">
        <v>47322</v>
      </c>
      <c r="FF6" s="14">
        <v>47329</v>
      </c>
      <c r="FG6" s="14">
        <v>47336</v>
      </c>
      <c r="FH6" s="14">
        <v>47343</v>
      </c>
      <c r="FI6" s="14">
        <v>47350</v>
      </c>
      <c r="FJ6" s="14">
        <v>47357</v>
      </c>
      <c r="FK6" s="14">
        <v>47364</v>
      </c>
      <c r="FL6" s="14">
        <v>47371</v>
      </c>
      <c r="FM6" s="14">
        <v>47378</v>
      </c>
      <c r="FN6" s="14">
        <v>47385</v>
      </c>
      <c r="FO6" s="14">
        <v>47392</v>
      </c>
      <c r="FP6" s="14">
        <v>47399</v>
      </c>
      <c r="FQ6" s="14">
        <v>47406</v>
      </c>
      <c r="FR6" s="14">
        <v>47413</v>
      </c>
      <c r="FS6" s="14">
        <v>47420</v>
      </c>
      <c r="FT6" s="14">
        <v>47427</v>
      </c>
      <c r="FU6" s="14">
        <v>47434</v>
      </c>
      <c r="FV6" s="14">
        <v>47441</v>
      </c>
      <c r="FW6" s="14">
        <v>47448</v>
      </c>
      <c r="FX6" s="14">
        <v>47455</v>
      </c>
      <c r="FY6" s="14">
        <v>47462</v>
      </c>
      <c r="FZ6" s="14">
        <v>47469</v>
      </c>
      <c r="GA6" s="14">
        <v>47476</v>
      </c>
      <c r="GB6" s="14">
        <v>47483</v>
      </c>
      <c r="GC6" s="14">
        <v>47490</v>
      </c>
      <c r="GD6" s="14">
        <v>47497</v>
      </c>
      <c r="GE6" s="14">
        <v>47504</v>
      </c>
      <c r="GF6" s="14">
        <v>47511</v>
      </c>
      <c r="GG6" s="14">
        <v>47518</v>
      </c>
      <c r="GH6" s="14">
        <v>47525</v>
      </c>
      <c r="GI6" s="14">
        <v>47532</v>
      </c>
      <c r="GJ6" s="14">
        <v>47539</v>
      </c>
      <c r="GK6" s="14">
        <v>47546</v>
      </c>
      <c r="GL6" s="14">
        <v>47553</v>
      </c>
      <c r="GM6" s="14">
        <v>47560</v>
      </c>
      <c r="GN6" s="14">
        <v>47567</v>
      </c>
      <c r="GO6" s="14">
        <v>47574</v>
      </c>
      <c r="GP6" s="14">
        <v>47581</v>
      </c>
      <c r="GQ6" s="14">
        <v>47588</v>
      </c>
      <c r="GR6" s="14">
        <v>47595</v>
      </c>
      <c r="GS6" s="14">
        <v>47602</v>
      </c>
      <c r="GT6" s="14">
        <v>47609</v>
      </c>
      <c r="GU6" s="14">
        <v>47616</v>
      </c>
      <c r="GV6" s="14">
        <v>47623</v>
      </c>
      <c r="GW6" s="14">
        <v>47630</v>
      </c>
      <c r="GX6" s="14">
        <v>47637</v>
      </c>
      <c r="GY6" s="14">
        <v>47644</v>
      </c>
      <c r="GZ6" s="14">
        <v>47651</v>
      </c>
      <c r="HA6" s="14">
        <v>47658</v>
      </c>
      <c r="HB6" s="14">
        <v>47665</v>
      </c>
      <c r="HC6" s="14">
        <v>47672</v>
      </c>
      <c r="HD6" s="14">
        <v>47679</v>
      </c>
      <c r="HE6" s="14">
        <v>47686</v>
      </c>
      <c r="HF6" s="14">
        <v>47693</v>
      </c>
      <c r="HG6" s="14">
        <v>47700</v>
      </c>
      <c r="HH6" s="14">
        <v>47707</v>
      </c>
      <c r="HI6" s="14">
        <v>47714</v>
      </c>
      <c r="HJ6" s="14">
        <v>47721</v>
      </c>
      <c r="HK6" s="14">
        <v>47728</v>
      </c>
      <c r="HL6" s="14">
        <v>47735</v>
      </c>
      <c r="HM6" s="14">
        <v>47742</v>
      </c>
      <c r="HN6" s="14">
        <v>47749</v>
      </c>
      <c r="HO6" s="14">
        <v>47756</v>
      </c>
      <c r="HP6" s="14">
        <v>47763</v>
      </c>
      <c r="HQ6" s="14">
        <v>47770</v>
      </c>
      <c r="HR6" s="14">
        <v>47777</v>
      </c>
      <c r="HS6" s="14">
        <v>47784</v>
      </c>
      <c r="HT6" s="14">
        <v>47791</v>
      </c>
      <c r="HU6" s="14">
        <v>47798</v>
      </c>
      <c r="HV6" s="14">
        <v>47805</v>
      </c>
      <c r="HW6" s="14">
        <v>47812</v>
      </c>
      <c r="HX6" s="14">
        <v>47819</v>
      </c>
      <c r="HY6" s="14">
        <v>47826</v>
      </c>
      <c r="HZ6" s="14">
        <v>47833</v>
      </c>
      <c r="IA6" s="14">
        <v>47840</v>
      </c>
    </row>
    <row r="7" spans="1:235" x14ac:dyDescent="0.25">
      <c r="A7" s="15" t="str">
        <f>IF(Mitarbeiter!$A$5="","",Mitarbeiter!$A$5)</f>
        <v/>
      </c>
      <c r="B7" s="2" t="str">
        <f>IF(Mitarbeiter!$A$5="","",Mitarbeiter!$C$5)</f>
        <v/>
      </c>
      <c r="C7" s="16" t="str">
        <f>IF(Mitarbeiter!$A$5="","",Mitarbeiter!$D$5)</f>
        <v/>
      </c>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c r="DF7" s="17"/>
      <c r="DG7" s="17"/>
      <c r="DH7" s="17"/>
      <c r="DI7" s="17"/>
      <c r="DJ7" s="17"/>
      <c r="DK7" s="17"/>
      <c r="DL7" s="17"/>
      <c r="DM7" s="17"/>
      <c r="DN7" s="17"/>
      <c r="DO7" s="17"/>
      <c r="DP7" s="17"/>
      <c r="DQ7" s="17"/>
      <c r="DR7" s="17"/>
      <c r="DS7" s="17"/>
      <c r="DT7" s="17"/>
      <c r="DU7" s="17"/>
      <c r="DV7" s="17"/>
      <c r="DW7" s="17"/>
      <c r="DX7" s="17"/>
      <c r="DY7" s="17"/>
      <c r="DZ7" s="17"/>
      <c r="EA7" s="17"/>
      <c r="EB7" s="17"/>
      <c r="EC7" s="17"/>
      <c r="ED7" s="17"/>
      <c r="EE7" s="17"/>
      <c r="EF7" s="17"/>
      <c r="EG7" s="17"/>
      <c r="EH7" s="17"/>
      <c r="EI7" s="17"/>
      <c r="EJ7" s="17"/>
      <c r="EK7" s="17"/>
      <c r="EL7" s="17"/>
      <c r="EM7" s="17"/>
      <c r="EN7" s="17"/>
      <c r="EO7" s="17"/>
      <c r="EP7" s="17"/>
      <c r="EQ7" s="17"/>
      <c r="ER7" s="17"/>
      <c r="ES7" s="17"/>
      <c r="ET7" s="17"/>
      <c r="EU7" s="17"/>
      <c r="EV7" s="17"/>
      <c r="EW7" s="17"/>
      <c r="EX7" s="17"/>
      <c r="EY7" s="17"/>
      <c r="EZ7" s="17"/>
      <c r="FA7" s="17"/>
      <c r="FB7" s="17"/>
      <c r="FC7" s="17"/>
      <c r="FD7" s="17"/>
      <c r="FE7" s="17"/>
      <c r="FF7" s="17"/>
      <c r="FG7" s="17"/>
      <c r="FH7" s="17"/>
      <c r="FI7" s="17"/>
      <c r="FJ7" s="17"/>
      <c r="FK7" s="17"/>
      <c r="FL7" s="17"/>
      <c r="FM7" s="17"/>
      <c r="FN7" s="17"/>
      <c r="FO7" s="17"/>
      <c r="FP7" s="17"/>
      <c r="FQ7" s="17"/>
      <c r="FR7" s="17"/>
      <c r="FS7" s="17"/>
      <c r="FT7" s="17"/>
      <c r="FU7" s="17"/>
      <c r="FV7" s="17"/>
      <c r="FW7" s="17"/>
      <c r="FX7" s="17"/>
      <c r="FY7" s="17"/>
      <c r="FZ7" s="17"/>
      <c r="GA7" s="17"/>
      <c r="GB7" s="17"/>
      <c r="GC7" s="17"/>
      <c r="GD7" s="17"/>
      <c r="GE7" s="17"/>
      <c r="GF7" s="17"/>
      <c r="GG7" s="17"/>
      <c r="GH7" s="17"/>
      <c r="GI7" s="17"/>
      <c r="GJ7" s="17"/>
      <c r="GK7" s="17"/>
      <c r="GL7" s="17"/>
      <c r="GM7" s="17"/>
      <c r="GN7" s="17"/>
      <c r="GO7" s="17"/>
      <c r="GP7" s="17"/>
      <c r="GQ7" s="17"/>
      <c r="GR7" s="17"/>
      <c r="GS7" s="17"/>
      <c r="GT7" s="17"/>
      <c r="GU7" s="17"/>
      <c r="GV7" s="17"/>
      <c r="GW7" s="17"/>
      <c r="GX7" s="17"/>
      <c r="GY7" s="17"/>
      <c r="GZ7" s="17"/>
      <c r="HA7" s="17"/>
      <c r="HB7" s="17"/>
      <c r="HC7" s="17"/>
      <c r="HD7" s="17"/>
      <c r="HE7" s="17"/>
      <c r="HF7" s="17"/>
      <c r="HG7" s="17"/>
      <c r="HH7" s="17"/>
      <c r="HI7" s="17"/>
      <c r="HJ7" s="17"/>
      <c r="HK7" s="17"/>
      <c r="HL7" s="17"/>
      <c r="HM7" s="17"/>
      <c r="HN7" s="17"/>
      <c r="HO7" s="17"/>
      <c r="HP7" s="17"/>
      <c r="HQ7" s="17"/>
      <c r="HR7" s="17"/>
      <c r="HS7" s="17"/>
      <c r="HT7" s="17"/>
      <c r="HU7" s="17"/>
      <c r="HV7" s="17"/>
      <c r="HW7" s="17"/>
      <c r="HX7" s="17"/>
      <c r="HY7" s="17"/>
      <c r="HZ7" s="17"/>
      <c r="IA7" s="17"/>
    </row>
    <row r="8" spans="1:235" x14ac:dyDescent="0.25">
      <c r="A8" s="15" t="str">
        <f>IF(Mitarbeiter!$A$6="","",Mitarbeiter!$A$6)</f>
        <v/>
      </c>
      <c r="B8" s="2" t="str">
        <f>IF(Mitarbeiter!$A$6="","",Mitarbeiter!$C$6)</f>
        <v/>
      </c>
      <c r="C8" s="16" t="str">
        <f>IF(Mitarbeiter!$A$6="","",Mitarbeiter!$D$6)</f>
        <v/>
      </c>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c r="CK8" s="17"/>
      <c r="CL8" s="17"/>
      <c r="CM8" s="17"/>
      <c r="CN8" s="17"/>
      <c r="CO8" s="17"/>
      <c r="CP8" s="17"/>
      <c r="CQ8" s="17"/>
      <c r="CR8" s="17"/>
      <c r="CS8" s="17"/>
      <c r="CT8" s="17"/>
      <c r="CU8" s="17"/>
      <c r="CV8" s="17"/>
      <c r="CW8" s="17"/>
      <c r="CX8" s="17"/>
      <c r="CY8" s="17"/>
      <c r="CZ8" s="17"/>
      <c r="DA8" s="17"/>
      <c r="DB8" s="17"/>
      <c r="DC8" s="17"/>
      <c r="DD8" s="17"/>
      <c r="DE8" s="17"/>
      <c r="DF8" s="17"/>
      <c r="DG8" s="17"/>
      <c r="DH8" s="17"/>
      <c r="DI8" s="17"/>
      <c r="DJ8" s="17"/>
      <c r="DK8" s="17"/>
      <c r="DL8" s="17"/>
      <c r="DM8" s="17"/>
      <c r="DN8" s="17"/>
      <c r="DO8" s="17"/>
      <c r="DP8" s="17"/>
      <c r="DQ8" s="17"/>
      <c r="DR8" s="17"/>
      <c r="DS8" s="17"/>
      <c r="DT8" s="17"/>
      <c r="DU8" s="17"/>
      <c r="DV8" s="17"/>
      <c r="DW8" s="17"/>
      <c r="DX8" s="17"/>
      <c r="DY8" s="17"/>
      <c r="DZ8" s="17"/>
      <c r="EA8" s="17"/>
      <c r="EB8" s="17"/>
      <c r="EC8" s="17"/>
      <c r="ED8" s="17"/>
      <c r="EE8" s="17"/>
      <c r="EF8" s="17"/>
      <c r="EG8" s="17"/>
      <c r="EH8" s="17"/>
      <c r="EI8" s="17"/>
      <c r="EJ8" s="17"/>
      <c r="EK8" s="17"/>
      <c r="EL8" s="17"/>
      <c r="EM8" s="17"/>
      <c r="EN8" s="17"/>
      <c r="EO8" s="17"/>
      <c r="EP8" s="17"/>
      <c r="EQ8" s="17"/>
      <c r="ER8" s="17"/>
      <c r="ES8" s="17"/>
      <c r="ET8" s="17"/>
      <c r="EU8" s="17"/>
      <c r="EV8" s="17"/>
      <c r="EW8" s="17"/>
      <c r="EX8" s="17"/>
      <c r="EY8" s="17"/>
      <c r="EZ8" s="17"/>
      <c r="FA8" s="17"/>
      <c r="FB8" s="17"/>
      <c r="FC8" s="17"/>
      <c r="FD8" s="17"/>
      <c r="FE8" s="17"/>
      <c r="FF8" s="17"/>
      <c r="FG8" s="17"/>
      <c r="FH8" s="17"/>
      <c r="FI8" s="17"/>
      <c r="FJ8" s="17"/>
      <c r="FK8" s="17"/>
      <c r="FL8" s="17"/>
      <c r="FM8" s="17"/>
      <c r="FN8" s="17"/>
      <c r="FO8" s="17"/>
      <c r="FP8" s="17"/>
      <c r="FQ8" s="17"/>
      <c r="FR8" s="17"/>
      <c r="FS8" s="17"/>
      <c r="FT8" s="17"/>
      <c r="FU8" s="17"/>
      <c r="FV8" s="17"/>
      <c r="FW8" s="17"/>
      <c r="FX8" s="17"/>
      <c r="FY8" s="17"/>
      <c r="FZ8" s="17"/>
      <c r="GA8" s="17"/>
      <c r="GB8" s="17"/>
      <c r="GC8" s="17"/>
      <c r="GD8" s="17"/>
      <c r="GE8" s="17"/>
      <c r="GF8" s="17"/>
      <c r="GG8" s="17"/>
      <c r="GH8" s="17"/>
      <c r="GI8" s="17"/>
      <c r="GJ8" s="17"/>
      <c r="GK8" s="17"/>
      <c r="GL8" s="17"/>
      <c r="GM8" s="17"/>
      <c r="GN8" s="17"/>
      <c r="GO8" s="17"/>
      <c r="GP8" s="17"/>
      <c r="GQ8" s="17"/>
      <c r="GR8" s="17"/>
      <c r="GS8" s="17"/>
      <c r="GT8" s="17"/>
      <c r="GU8" s="17"/>
      <c r="GV8" s="17"/>
      <c r="GW8" s="17"/>
      <c r="GX8" s="17"/>
      <c r="GY8" s="17"/>
      <c r="GZ8" s="17"/>
      <c r="HA8" s="17"/>
      <c r="HB8" s="17"/>
      <c r="HC8" s="17"/>
      <c r="HD8" s="17"/>
      <c r="HE8" s="17"/>
      <c r="HF8" s="17"/>
      <c r="HG8" s="17"/>
      <c r="HH8" s="17"/>
      <c r="HI8" s="17"/>
      <c r="HJ8" s="17"/>
      <c r="HK8" s="17"/>
      <c r="HL8" s="17"/>
      <c r="HM8" s="17"/>
      <c r="HN8" s="17"/>
      <c r="HO8" s="17"/>
      <c r="HP8" s="17"/>
      <c r="HQ8" s="17"/>
      <c r="HR8" s="17"/>
      <c r="HS8" s="17"/>
      <c r="HT8" s="17"/>
      <c r="HU8" s="17"/>
      <c r="HV8" s="17"/>
      <c r="HW8" s="17"/>
      <c r="HX8" s="17"/>
      <c r="HY8" s="17"/>
      <c r="HZ8" s="17"/>
      <c r="IA8" s="17"/>
    </row>
    <row r="9" spans="1:235" x14ac:dyDescent="0.25">
      <c r="A9" s="15" t="str">
        <f>IF(Mitarbeiter!$A$7="","",Mitarbeiter!$A$7)</f>
        <v/>
      </c>
      <c r="B9" s="2" t="str">
        <f>IF(Mitarbeiter!$A$7="","",Mitarbeiter!$C$7)</f>
        <v/>
      </c>
      <c r="C9" s="16" t="str">
        <f>IF(Mitarbeiter!$A$7="","",Mitarbeiter!$D$7)</f>
        <v/>
      </c>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row>
    <row r="10" spans="1:235" x14ac:dyDescent="0.25">
      <c r="A10" s="15" t="str">
        <f>IF(Mitarbeiter!$A$8="","",Mitarbeiter!$A$8)</f>
        <v/>
      </c>
      <c r="B10" s="2" t="str">
        <f>IF(Mitarbeiter!$A$8="","",Mitarbeiter!$C$8)</f>
        <v/>
      </c>
      <c r="C10" s="16" t="str">
        <f>IF(Mitarbeiter!$A$8="","",Mitarbeiter!$D$8)</f>
        <v/>
      </c>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c r="EQ10" s="17"/>
      <c r="ER10" s="17"/>
      <c r="ES10" s="17"/>
      <c r="ET10" s="17"/>
      <c r="EU10" s="17"/>
      <c r="EV10" s="17"/>
      <c r="EW10" s="17"/>
      <c r="EX10" s="17"/>
      <c r="EY10" s="17"/>
      <c r="EZ10" s="17"/>
      <c r="FA10" s="17"/>
      <c r="FB10" s="17"/>
      <c r="FC10" s="17"/>
      <c r="FD10" s="17"/>
      <c r="FE10" s="17"/>
      <c r="FF10" s="17"/>
      <c r="FG10" s="17"/>
      <c r="FH10" s="17"/>
      <c r="FI10" s="17"/>
      <c r="FJ10" s="17"/>
      <c r="FK10" s="17"/>
      <c r="FL10" s="17"/>
      <c r="FM10" s="17"/>
      <c r="FN10" s="17"/>
      <c r="FO10" s="17"/>
      <c r="FP10" s="17"/>
      <c r="FQ10" s="17"/>
      <c r="FR10" s="17"/>
      <c r="FS10" s="17"/>
      <c r="FT10" s="17"/>
      <c r="FU10" s="17"/>
      <c r="FV10" s="17"/>
      <c r="FW10" s="17"/>
      <c r="FX10" s="17"/>
      <c r="FY10" s="17"/>
      <c r="FZ10" s="17"/>
      <c r="GA10" s="17"/>
      <c r="GB10" s="17"/>
      <c r="GC10" s="17"/>
      <c r="GD10" s="17"/>
      <c r="GE10" s="17"/>
      <c r="GF10" s="17"/>
      <c r="GG10" s="17"/>
      <c r="GH10" s="17"/>
      <c r="GI10" s="17"/>
      <c r="GJ10" s="17"/>
      <c r="GK10" s="17"/>
      <c r="GL10" s="17"/>
      <c r="GM10" s="17"/>
      <c r="GN10" s="17"/>
      <c r="GO10" s="17"/>
      <c r="GP10" s="17"/>
      <c r="GQ10" s="17"/>
      <c r="GR10" s="17"/>
      <c r="GS10" s="17"/>
      <c r="GT10" s="17"/>
      <c r="GU10" s="17"/>
      <c r="GV10" s="17"/>
      <c r="GW10" s="17"/>
      <c r="GX10" s="17"/>
      <c r="GY10" s="17"/>
      <c r="GZ10" s="17"/>
      <c r="HA10" s="17"/>
      <c r="HB10" s="17"/>
      <c r="HC10" s="17"/>
      <c r="HD10" s="17"/>
      <c r="HE10" s="17"/>
      <c r="HF10" s="17"/>
      <c r="HG10" s="17"/>
      <c r="HH10" s="17"/>
      <c r="HI10" s="17"/>
      <c r="HJ10" s="17"/>
      <c r="HK10" s="17"/>
      <c r="HL10" s="17"/>
      <c r="HM10" s="17"/>
      <c r="HN10" s="17"/>
      <c r="HO10" s="17"/>
      <c r="HP10" s="17"/>
      <c r="HQ10" s="17"/>
      <c r="HR10" s="17"/>
      <c r="HS10" s="17"/>
      <c r="HT10" s="17"/>
      <c r="HU10" s="17"/>
      <c r="HV10" s="17"/>
      <c r="HW10" s="17"/>
      <c r="HX10" s="17"/>
      <c r="HY10" s="17"/>
      <c r="HZ10" s="17"/>
      <c r="IA10" s="17"/>
    </row>
    <row r="11" spans="1:235" x14ac:dyDescent="0.25">
      <c r="A11" s="15" t="str">
        <f>IF(Mitarbeiter!$A$9="","",Mitarbeiter!$A$9)</f>
        <v/>
      </c>
      <c r="B11" s="2" t="str">
        <f>IF(Mitarbeiter!$A$9="","",Mitarbeiter!$C$9)</f>
        <v/>
      </c>
      <c r="C11" s="16" t="str">
        <f>IF(Mitarbeiter!$A$9="","",Mitarbeiter!$D$9)</f>
        <v/>
      </c>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c r="EQ11" s="17"/>
      <c r="ER11" s="17"/>
      <c r="ES11" s="17"/>
      <c r="ET11" s="17"/>
      <c r="EU11" s="17"/>
      <c r="EV11" s="17"/>
      <c r="EW11" s="17"/>
      <c r="EX11" s="17"/>
      <c r="EY11" s="17"/>
      <c r="EZ11" s="17"/>
      <c r="FA11" s="17"/>
      <c r="FB11" s="17"/>
      <c r="FC11" s="17"/>
      <c r="FD11" s="17"/>
      <c r="FE11" s="17"/>
      <c r="FF11" s="17"/>
      <c r="FG11" s="17"/>
      <c r="FH11" s="17"/>
      <c r="FI11" s="17"/>
      <c r="FJ11" s="17"/>
      <c r="FK11" s="17"/>
      <c r="FL11" s="17"/>
      <c r="FM11" s="17"/>
      <c r="FN11" s="17"/>
      <c r="FO11" s="17"/>
      <c r="FP11" s="17"/>
      <c r="FQ11" s="17"/>
      <c r="FR11" s="17"/>
      <c r="FS11" s="17"/>
      <c r="FT11" s="17"/>
      <c r="FU11" s="17"/>
      <c r="FV11" s="17"/>
      <c r="FW11" s="17"/>
      <c r="FX11" s="17"/>
      <c r="FY11" s="17"/>
      <c r="FZ11" s="17"/>
      <c r="GA11" s="17"/>
      <c r="GB11" s="17"/>
      <c r="GC11" s="17"/>
      <c r="GD11" s="17"/>
      <c r="GE11" s="17"/>
      <c r="GF11" s="17"/>
      <c r="GG11" s="17"/>
      <c r="GH11" s="17"/>
      <c r="GI11" s="17"/>
      <c r="GJ11" s="17"/>
      <c r="GK11" s="17"/>
      <c r="GL11" s="17"/>
      <c r="GM11" s="17"/>
      <c r="GN11" s="17"/>
      <c r="GO11" s="17"/>
      <c r="GP11" s="17"/>
      <c r="GQ11" s="17"/>
      <c r="GR11" s="17"/>
      <c r="GS11" s="17"/>
      <c r="GT11" s="17"/>
      <c r="GU11" s="17"/>
      <c r="GV11" s="17"/>
      <c r="GW11" s="17"/>
      <c r="GX11" s="17"/>
      <c r="GY11" s="17"/>
      <c r="GZ11" s="17"/>
      <c r="HA11" s="17"/>
      <c r="HB11" s="17"/>
      <c r="HC11" s="17"/>
      <c r="HD11" s="17"/>
      <c r="HE11" s="17"/>
      <c r="HF11" s="17"/>
      <c r="HG11" s="17"/>
      <c r="HH11" s="17"/>
      <c r="HI11" s="17"/>
      <c r="HJ11" s="17"/>
      <c r="HK11" s="17"/>
      <c r="HL11" s="17"/>
      <c r="HM11" s="17"/>
      <c r="HN11" s="17"/>
      <c r="HO11" s="17"/>
      <c r="HP11" s="17"/>
      <c r="HQ11" s="17"/>
      <c r="HR11" s="17"/>
      <c r="HS11" s="17"/>
      <c r="HT11" s="17"/>
      <c r="HU11" s="17"/>
      <c r="HV11" s="17"/>
      <c r="HW11" s="17"/>
      <c r="HX11" s="17"/>
      <c r="HY11" s="17"/>
      <c r="HZ11" s="17"/>
      <c r="IA11" s="17"/>
    </row>
    <row r="12" spans="1:235" x14ac:dyDescent="0.25">
      <c r="A12" s="15" t="str">
        <f>IF(Mitarbeiter!$A$10="","",Mitarbeiter!$A$10)</f>
        <v/>
      </c>
      <c r="B12" s="2" t="str">
        <f>IF(Mitarbeiter!$A$10="","",Mitarbeiter!$C$10)</f>
        <v/>
      </c>
      <c r="C12" s="16" t="str">
        <f>IF(Mitarbeiter!$A$10="","",Mitarbeiter!$D$10)</f>
        <v/>
      </c>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17"/>
      <c r="BK12" s="17"/>
      <c r="BL12" s="17"/>
      <c r="BM12" s="17"/>
      <c r="BN12" s="17"/>
      <c r="BO12" s="17"/>
      <c r="BP12" s="17"/>
      <c r="BQ12" s="17"/>
      <c r="BR12" s="17"/>
      <c r="BS12" s="17"/>
      <c r="BT12" s="17"/>
      <c r="BU12" s="17"/>
      <c r="BV12" s="17"/>
      <c r="BW12" s="17"/>
      <c r="BX12" s="17"/>
      <c r="BY12" s="17"/>
      <c r="BZ12" s="17"/>
      <c r="CA12" s="17"/>
      <c r="CB12" s="17"/>
      <c r="CC12" s="17"/>
      <c r="CD12" s="17"/>
      <c r="CE12" s="17"/>
      <c r="CF12" s="17"/>
      <c r="CG12" s="17"/>
      <c r="CH12" s="17"/>
      <c r="CI12" s="17"/>
      <c r="CJ12" s="17"/>
      <c r="CK12" s="17"/>
      <c r="CL12" s="17"/>
      <c r="CM12" s="17"/>
      <c r="CN12" s="17"/>
      <c r="CO12" s="17"/>
      <c r="CP12" s="17"/>
      <c r="CQ12" s="17"/>
      <c r="CR12" s="17"/>
      <c r="CS12" s="17"/>
      <c r="CT12" s="17"/>
      <c r="CU12" s="17"/>
      <c r="CV12" s="17"/>
      <c r="CW12" s="17"/>
      <c r="CX12" s="17"/>
      <c r="CY12" s="17"/>
      <c r="CZ12" s="17"/>
      <c r="DA12" s="17"/>
      <c r="DB12" s="17"/>
      <c r="DC12" s="17"/>
      <c r="DD12" s="17"/>
      <c r="DE12" s="17"/>
      <c r="DF12" s="17"/>
      <c r="DG12" s="17"/>
      <c r="DH12" s="17"/>
      <c r="DI12" s="17"/>
      <c r="DJ12" s="17"/>
      <c r="DK12" s="17"/>
      <c r="DL12" s="17"/>
      <c r="DM12" s="17"/>
      <c r="DN12" s="17"/>
      <c r="DO12" s="17"/>
      <c r="DP12" s="17"/>
      <c r="DQ12" s="17"/>
      <c r="DR12" s="17"/>
      <c r="DS12" s="17"/>
      <c r="DT12" s="17"/>
      <c r="DU12" s="17"/>
      <c r="DV12" s="17"/>
      <c r="DW12" s="17"/>
      <c r="DX12" s="17"/>
      <c r="DY12" s="17"/>
      <c r="DZ12" s="17"/>
      <c r="EA12" s="17"/>
      <c r="EB12" s="17"/>
      <c r="EC12" s="17"/>
      <c r="ED12" s="17"/>
      <c r="EE12" s="17"/>
      <c r="EF12" s="17"/>
      <c r="EG12" s="17"/>
      <c r="EH12" s="17"/>
      <c r="EI12" s="17"/>
      <c r="EJ12" s="17"/>
      <c r="EK12" s="17"/>
      <c r="EL12" s="17"/>
      <c r="EM12" s="17"/>
      <c r="EN12" s="17"/>
      <c r="EO12" s="17"/>
      <c r="EP12" s="17"/>
      <c r="EQ12" s="17"/>
      <c r="ER12" s="17"/>
      <c r="ES12" s="17"/>
      <c r="ET12" s="17"/>
      <c r="EU12" s="17"/>
      <c r="EV12" s="17"/>
      <c r="EW12" s="17"/>
      <c r="EX12" s="17"/>
      <c r="EY12" s="17"/>
      <c r="EZ12" s="17"/>
      <c r="FA12" s="17"/>
      <c r="FB12" s="17"/>
      <c r="FC12" s="17"/>
      <c r="FD12" s="17"/>
      <c r="FE12" s="17"/>
      <c r="FF12" s="17"/>
      <c r="FG12" s="17"/>
      <c r="FH12" s="17"/>
      <c r="FI12" s="17"/>
      <c r="FJ12" s="17"/>
      <c r="FK12" s="17"/>
      <c r="FL12" s="17"/>
      <c r="FM12" s="17"/>
      <c r="FN12" s="17"/>
      <c r="FO12" s="17"/>
      <c r="FP12" s="17"/>
      <c r="FQ12" s="17"/>
      <c r="FR12" s="17"/>
      <c r="FS12" s="17"/>
      <c r="FT12" s="17"/>
      <c r="FU12" s="17"/>
      <c r="FV12" s="17"/>
      <c r="FW12" s="17"/>
      <c r="FX12" s="17"/>
      <c r="FY12" s="17"/>
      <c r="FZ12" s="17"/>
      <c r="GA12" s="17"/>
      <c r="GB12" s="17"/>
      <c r="GC12" s="17"/>
      <c r="GD12" s="17"/>
      <c r="GE12" s="17"/>
      <c r="GF12" s="17"/>
      <c r="GG12" s="17"/>
      <c r="GH12" s="17"/>
      <c r="GI12" s="17"/>
      <c r="GJ12" s="17"/>
      <c r="GK12" s="17"/>
      <c r="GL12" s="17"/>
      <c r="GM12" s="17"/>
      <c r="GN12" s="17"/>
      <c r="GO12" s="17"/>
      <c r="GP12" s="17"/>
      <c r="GQ12" s="17"/>
      <c r="GR12" s="17"/>
      <c r="GS12" s="17"/>
      <c r="GT12" s="17"/>
      <c r="GU12" s="17"/>
      <c r="GV12" s="17"/>
      <c r="GW12" s="17"/>
      <c r="GX12" s="17"/>
      <c r="GY12" s="17"/>
      <c r="GZ12" s="17"/>
      <c r="HA12" s="17"/>
      <c r="HB12" s="17"/>
      <c r="HC12" s="17"/>
      <c r="HD12" s="17"/>
      <c r="HE12" s="17"/>
      <c r="HF12" s="17"/>
      <c r="HG12" s="17"/>
      <c r="HH12" s="17"/>
      <c r="HI12" s="17"/>
      <c r="HJ12" s="17"/>
      <c r="HK12" s="17"/>
      <c r="HL12" s="17"/>
      <c r="HM12" s="17"/>
      <c r="HN12" s="17"/>
      <c r="HO12" s="17"/>
      <c r="HP12" s="17"/>
      <c r="HQ12" s="17"/>
      <c r="HR12" s="17"/>
      <c r="HS12" s="17"/>
      <c r="HT12" s="17"/>
      <c r="HU12" s="17"/>
      <c r="HV12" s="17"/>
      <c r="HW12" s="17"/>
      <c r="HX12" s="17"/>
      <c r="HY12" s="17"/>
      <c r="HZ12" s="17"/>
      <c r="IA12" s="17"/>
    </row>
    <row r="13" spans="1:235" x14ac:dyDescent="0.25">
      <c r="A13" s="15" t="str">
        <f>IF(Mitarbeiter!$A$11="","",Mitarbeiter!$A$11)</f>
        <v/>
      </c>
      <c r="B13" s="2" t="str">
        <f>IF(Mitarbeiter!$A$11="","",Mitarbeiter!$C$11)</f>
        <v/>
      </c>
      <c r="C13" s="16" t="str">
        <f>IF(Mitarbeiter!$A$11="","",Mitarbeiter!$D$11)</f>
        <v/>
      </c>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17"/>
      <c r="BK13" s="17"/>
      <c r="BL13" s="17"/>
      <c r="BM13" s="17"/>
      <c r="BN13" s="17"/>
      <c r="BO13" s="17"/>
      <c r="BP13" s="17"/>
      <c r="BQ13" s="17"/>
      <c r="BR13" s="17"/>
      <c r="BS13" s="17"/>
      <c r="BT13" s="17"/>
      <c r="BU13" s="17"/>
      <c r="BV13" s="17"/>
      <c r="BW13" s="17"/>
      <c r="BX13" s="17"/>
      <c r="BY13" s="17"/>
      <c r="BZ13" s="17"/>
      <c r="CA13" s="17"/>
      <c r="CB13" s="17"/>
      <c r="CC13" s="17"/>
      <c r="CD13" s="17"/>
      <c r="CE13" s="17"/>
      <c r="CF13" s="17"/>
      <c r="CG13" s="17"/>
      <c r="CH13" s="17"/>
      <c r="CI13" s="17"/>
      <c r="CJ13" s="17"/>
      <c r="CK13" s="17"/>
      <c r="CL13" s="17"/>
      <c r="CM13" s="17"/>
      <c r="CN13" s="17"/>
      <c r="CO13" s="17"/>
      <c r="CP13" s="17"/>
      <c r="CQ13" s="17"/>
      <c r="CR13" s="17"/>
      <c r="CS13" s="17"/>
      <c r="CT13" s="17"/>
      <c r="CU13" s="17"/>
      <c r="CV13" s="17"/>
      <c r="CW13" s="17"/>
      <c r="CX13" s="17"/>
      <c r="CY13" s="17"/>
      <c r="CZ13" s="17"/>
      <c r="DA13" s="17"/>
      <c r="DB13" s="17"/>
      <c r="DC13" s="17"/>
      <c r="DD13" s="17"/>
      <c r="DE13" s="17"/>
      <c r="DF13" s="17"/>
      <c r="DG13" s="17"/>
      <c r="DH13" s="17"/>
      <c r="DI13" s="17"/>
      <c r="DJ13" s="17"/>
      <c r="DK13" s="17"/>
      <c r="DL13" s="17"/>
      <c r="DM13" s="17"/>
      <c r="DN13" s="17"/>
      <c r="DO13" s="17"/>
      <c r="DP13" s="17"/>
      <c r="DQ13" s="17"/>
      <c r="DR13" s="17"/>
      <c r="DS13" s="17"/>
      <c r="DT13" s="17"/>
      <c r="DU13" s="17"/>
      <c r="DV13" s="17"/>
      <c r="DW13" s="17"/>
      <c r="DX13" s="17"/>
      <c r="DY13" s="17"/>
      <c r="DZ13" s="17"/>
      <c r="EA13" s="17"/>
      <c r="EB13" s="17"/>
      <c r="EC13" s="17"/>
      <c r="ED13" s="17"/>
      <c r="EE13" s="17"/>
      <c r="EF13" s="17"/>
      <c r="EG13" s="17"/>
      <c r="EH13" s="17"/>
      <c r="EI13" s="17"/>
      <c r="EJ13" s="17"/>
      <c r="EK13" s="17"/>
      <c r="EL13" s="17"/>
      <c r="EM13" s="17"/>
      <c r="EN13" s="17"/>
      <c r="EO13" s="17"/>
      <c r="EP13" s="17"/>
      <c r="EQ13" s="17"/>
      <c r="ER13" s="17"/>
      <c r="ES13" s="17"/>
      <c r="ET13" s="17"/>
      <c r="EU13" s="17"/>
      <c r="EV13" s="17"/>
      <c r="EW13" s="17"/>
      <c r="EX13" s="17"/>
      <c r="EY13" s="17"/>
      <c r="EZ13" s="17"/>
      <c r="FA13" s="17"/>
      <c r="FB13" s="17"/>
      <c r="FC13" s="17"/>
      <c r="FD13" s="17"/>
      <c r="FE13" s="17"/>
      <c r="FF13" s="17"/>
      <c r="FG13" s="17"/>
      <c r="FH13" s="17"/>
      <c r="FI13" s="17"/>
      <c r="FJ13" s="17"/>
      <c r="FK13" s="17"/>
      <c r="FL13" s="17"/>
      <c r="FM13" s="17"/>
      <c r="FN13" s="17"/>
      <c r="FO13" s="17"/>
      <c r="FP13" s="17"/>
      <c r="FQ13" s="17"/>
      <c r="FR13" s="17"/>
      <c r="FS13" s="17"/>
      <c r="FT13" s="17"/>
      <c r="FU13" s="17"/>
      <c r="FV13" s="17"/>
      <c r="FW13" s="17"/>
      <c r="FX13" s="17"/>
      <c r="FY13" s="17"/>
      <c r="FZ13" s="17"/>
      <c r="GA13" s="17"/>
      <c r="GB13" s="17"/>
      <c r="GC13" s="17"/>
      <c r="GD13" s="17"/>
      <c r="GE13" s="17"/>
      <c r="GF13" s="17"/>
      <c r="GG13" s="17"/>
      <c r="GH13" s="17"/>
      <c r="GI13" s="17"/>
      <c r="GJ13" s="17"/>
      <c r="GK13" s="17"/>
      <c r="GL13" s="17"/>
      <c r="GM13" s="17"/>
      <c r="GN13" s="17"/>
      <c r="GO13" s="17"/>
      <c r="GP13" s="17"/>
      <c r="GQ13" s="17"/>
      <c r="GR13" s="17"/>
      <c r="GS13" s="17"/>
      <c r="GT13" s="17"/>
      <c r="GU13" s="17"/>
      <c r="GV13" s="17"/>
      <c r="GW13" s="17"/>
      <c r="GX13" s="17"/>
      <c r="GY13" s="17"/>
      <c r="GZ13" s="17"/>
      <c r="HA13" s="17"/>
      <c r="HB13" s="17"/>
      <c r="HC13" s="17"/>
      <c r="HD13" s="17"/>
      <c r="HE13" s="17"/>
      <c r="HF13" s="17"/>
      <c r="HG13" s="17"/>
      <c r="HH13" s="17"/>
      <c r="HI13" s="17"/>
      <c r="HJ13" s="17"/>
      <c r="HK13" s="17"/>
      <c r="HL13" s="17"/>
      <c r="HM13" s="17"/>
      <c r="HN13" s="17"/>
      <c r="HO13" s="17"/>
      <c r="HP13" s="17"/>
      <c r="HQ13" s="17"/>
      <c r="HR13" s="17"/>
      <c r="HS13" s="17"/>
      <c r="HT13" s="17"/>
      <c r="HU13" s="17"/>
      <c r="HV13" s="17"/>
      <c r="HW13" s="17"/>
      <c r="HX13" s="17"/>
      <c r="HY13" s="17"/>
      <c r="HZ13" s="17"/>
      <c r="IA13" s="17"/>
    </row>
    <row r="14" spans="1:235" x14ac:dyDescent="0.25">
      <c r="A14" s="15" t="str">
        <f>IF(Mitarbeiter!$A$12="","",Mitarbeiter!$A$12)</f>
        <v/>
      </c>
      <c r="B14" s="2" t="str">
        <f>IF(Mitarbeiter!$A$12="","",Mitarbeiter!$C$12)</f>
        <v/>
      </c>
      <c r="C14" s="16" t="str">
        <f>IF(Mitarbeiter!$A$12="","",Mitarbeiter!$D$12)</f>
        <v/>
      </c>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c r="CK14" s="17"/>
      <c r="CL14" s="17"/>
      <c r="CM14" s="17"/>
      <c r="CN14" s="17"/>
      <c r="CO14" s="17"/>
      <c r="CP14" s="17"/>
      <c r="CQ14" s="17"/>
      <c r="CR14" s="17"/>
      <c r="CS14" s="17"/>
      <c r="CT14" s="17"/>
      <c r="CU14" s="17"/>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c r="DW14" s="17"/>
      <c r="DX14" s="17"/>
      <c r="DY14" s="17"/>
      <c r="DZ14" s="17"/>
      <c r="EA14" s="17"/>
      <c r="EB14" s="17"/>
      <c r="EC14" s="17"/>
      <c r="ED14" s="17"/>
      <c r="EE14" s="17"/>
      <c r="EF14" s="17"/>
      <c r="EG14" s="17"/>
      <c r="EH14" s="17"/>
      <c r="EI14" s="17"/>
      <c r="EJ14" s="17"/>
      <c r="EK14" s="17"/>
      <c r="EL14" s="17"/>
      <c r="EM14" s="17"/>
      <c r="EN14" s="17"/>
      <c r="EO14" s="17"/>
      <c r="EP14" s="17"/>
      <c r="EQ14" s="17"/>
      <c r="ER14" s="17"/>
      <c r="ES14" s="17"/>
      <c r="ET14" s="17"/>
      <c r="EU14" s="17"/>
      <c r="EV14" s="17"/>
      <c r="EW14" s="17"/>
      <c r="EX14" s="17"/>
      <c r="EY14" s="17"/>
      <c r="EZ14" s="17"/>
      <c r="FA14" s="17"/>
      <c r="FB14" s="17"/>
      <c r="FC14" s="17"/>
      <c r="FD14" s="17"/>
      <c r="FE14" s="17"/>
      <c r="FF14" s="17"/>
      <c r="FG14" s="17"/>
      <c r="FH14" s="17"/>
      <c r="FI14" s="17"/>
      <c r="FJ14" s="17"/>
      <c r="FK14" s="17"/>
      <c r="FL14" s="17"/>
      <c r="FM14" s="17"/>
      <c r="FN14" s="17"/>
      <c r="FO14" s="17"/>
      <c r="FP14" s="17"/>
      <c r="FQ14" s="17"/>
      <c r="FR14" s="17"/>
      <c r="FS14" s="17"/>
      <c r="FT14" s="17"/>
      <c r="FU14" s="17"/>
      <c r="FV14" s="17"/>
      <c r="FW14" s="17"/>
      <c r="FX14" s="17"/>
      <c r="FY14" s="17"/>
      <c r="FZ14" s="17"/>
      <c r="GA14" s="17"/>
      <c r="GB14" s="17"/>
      <c r="GC14" s="17"/>
      <c r="GD14" s="17"/>
      <c r="GE14" s="17"/>
      <c r="GF14" s="17"/>
      <c r="GG14" s="17"/>
      <c r="GH14" s="17"/>
      <c r="GI14" s="17"/>
      <c r="GJ14" s="17"/>
      <c r="GK14" s="17"/>
      <c r="GL14" s="17"/>
      <c r="GM14" s="17"/>
      <c r="GN14" s="17"/>
      <c r="GO14" s="17"/>
      <c r="GP14" s="17"/>
      <c r="GQ14" s="17"/>
      <c r="GR14" s="17"/>
      <c r="GS14" s="17"/>
      <c r="GT14" s="17"/>
      <c r="GU14" s="17"/>
      <c r="GV14" s="17"/>
      <c r="GW14" s="17"/>
      <c r="GX14" s="17"/>
      <c r="GY14" s="17"/>
      <c r="GZ14" s="17"/>
      <c r="HA14" s="17"/>
      <c r="HB14" s="17"/>
      <c r="HC14" s="17"/>
      <c r="HD14" s="17"/>
      <c r="HE14" s="17"/>
      <c r="HF14" s="17"/>
      <c r="HG14" s="17"/>
      <c r="HH14" s="17"/>
      <c r="HI14" s="17"/>
      <c r="HJ14" s="17"/>
      <c r="HK14" s="17"/>
      <c r="HL14" s="17"/>
      <c r="HM14" s="17"/>
      <c r="HN14" s="17"/>
      <c r="HO14" s="17"/>
      <c r="HP14" s="17"/>
      <c r="HQ14" s="17"/>
      <c r="HR14" s="17"/>
      <c r="HS14" s="17"/>
      <c r="HT14" s="17"/>
      <c r="HU14" s="17"/>
      <c r="HV14" s="17"/>
      <c r="HW14" s="17"/>
      <c r="HX14" s="17"/>
      <c r="HY14" s="17"/>
      <c r="HZ14" s="17"/>
      <c r="IA14" s="17"/>
    </row>
    <row r="15" spans="1:235" x14ac:dyDescent="0.25">
      <c r="A15" s="15" t="str">
        <f>IF(Mitarbeiter!$A$13="","",Mitarbeiter!$A$13)</f>
        <v/>
      </c>
      <c r="B15" s="2" t="str">
        <f>IF(Mitarbeiter!$A$13="","",Mitarbeiter!$C$13)</f>
        <v/>
      </c>
      <c r="C15" s="16" t="str">
        <f>IF(Mitarbeiter!$A$13="","",Mitarbeiter!$D$13)</f>
        <v/>
      </c>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c r="CK15" s="17"/>
      <c r="CL15" s="17"/>
      <c r="CM15" s="17"/>
      <c r="CN15" s="17"/>
      <c r="CO15" s="17"/>
      <c r="CP15" s="17"/>
      <c r="CQ15" s="17"/>
      <c r="CR15" s="17"/>
      <c r="CS15" s="17"/>
      <c r="CT15" s="17"/>
      <c r="CU15" s="17"/>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c r="DW15" s="17"/>
      <c r="DX15" s="17"/>
      <c r="DY15" s="17"/>
      <c r="DZ15" s="17"/>
      <c r="EA15" s="17"/>
      <c r="EB15" s="17"/>
      <c r="EC15" s="17"/>
      <c r="ED15" s="17"/>
      <c r="EE15" s="17"/>
      <c r="EF15" s="17"/>
      <c r="EG15" s="17"/>
      <c r="EH15" s="17"/>
      <c r="EI15" s="17"/>
      <c r="EJ15" s="17"/>
      <c r="EK15" s="17"/>
      <c r="EL15" s="17"/>
      <c r="EM15" s="17"/>
      <c r="EN15" s="17"/>
      <c r="EO15" s="17"/>
      <c r="EP15" s="17"/>
      <c r="EQ15" s="17"/>
      <c r="ER15" s="17"/>
      <c r="ES15" s="17"/>
      <c r="ET15" s="17"/>
      <c r="EU15" s="17"/>
      <c r="EV15" s="17"/>
      <c r="EW15" s="17"/>
      <c r="EX15" s="17"/>
      <c r="EY15" s="17"/>
      <c r="EZ15" s="17"/>
      <c r="FA15" s="17"/>
      <c r="FB15" s="17"/>
      <c r="FC15" s="17"/>
      <c r="FD15" s="17"/>
      <c r="FE15" s="17"/>
      <c r="FF15" s="17"/>
      <c r="FG15" s="17"/>
      <c r="FH15" s="17"/>
      <c r="FI15" s="17"/>
      <c r="FJ15" s="17"/>
      <c r="FK15" s="17"/>
      <c r="FL15" s="17"/>
      <c r="FM15" s="17"/>
      <c r="FN15" s="17"/>
      <c r="FO15" s="17"/>
      <c r="FP15" s="17"/>
      <c r="FQ15" s="17"/>
      <c r="FR15" s="17"/>
      <c r="FS15" s="17"/>
      <c r="FT15" s="17"/>
      <c r="FU15" s="17"/>
      <c r="FV15" s="17"/>
      <c r="FW15" s="17"/>
      <c r="FX15" s="17"/>
      <c r="FY15" s="17"/>
      <c r="FZ15" s="17"/>
      <c r="GA15" s="17"/>
      <c r="GB15" s="17"/>
      <c r="GC15" s="17"/>
      <c r="GD15" s="17"/>
      <c r="GE15" s="17"/>
      <c r="GF15" s="17"/>
      <c r="GG15" s="17"/>
      <c r="GH15" s="17"/>
      <c r="GI15" s="17"/>
      <c r="GJ15" s="17"/>
      <c r="GK15" s="17"/>
      <c r="GL15" s="17"/>
      <c r="GM15" s="17"/>
      <c r="GN15" s="17"/>
      <c r="GO15" s="17"/>
      <c r="GP15" s="17"/>
      <c r="GQ15" s="17"/>
      <c r="GR15" s="17"/>
      <c r="GS15" s="17"/>
      <c r="GT15" s="17"/>
      <c r="GU15" s="17"/>
      <c r="GV15" s="17"/>
      <c r="GW15" s="17"/>
      <c r="GX15" s="17"/>
      <c r="GY15" s="17"/>
      <c r="GZ15" s="17"/>
      <c r="HA15" s="17"/>
      <c r="HB15" s="17"/>
      <c r="HC15" s="17"/>
      <c r="HD15" s="17"/>
      <c r="HE15" s="17"/>
      <c r="HF15" s="17"/>
      <c r="HG15" s="17"/>
      <c r="HH15" s="17"/>
      <c r="HI15" s="17"/>
      <c r="HJ15" s="17"/>
      <c r="HK15" s="17"/>
      <c r="HL15" s="17"/>
      <c r="HM15" s="17"/>
      <c r="HN15" s="17"/>
      <c r="HO15" s="17"/>
      <c r="HP15" s="17"/>
      <c r="HQ15" s="17"/>
      <c r="HR15" s="17"/>
      <c r="HS15" s="17"/>
      <c r="HT15" s="17"/>
      <c r="HU15" s="17"/>
      <c r="HV15" s="17"/>
      <c r="HW15" s="17"/>
      <c r="HX15" s="17"/>
      <c r="HY15" s="17"/>
      <c r="HZ15" s="17"/>
      <c r="IA15" s="17"/>
    </row>
    <row r="16" spans="1:235" x14ac:dyDescent="0.25">
      <c r="A16" s="15" t="str">
        <f>IF(Mitarbeiter!$A$14="","",Mitarbeiter!$A$14)</f>
        <v/>
      </c>
      <c r="B16" s="2" t="str">
        <f>IF(Mitarbeiter!$A$14="","",Mitarbeiter!$C$14)</f>
        <v/>
      </c>
      <c r="C16" s="16" t="str">
        <f>IF(Mitarbeiter!$A$14="","",Mitarbeiter!$D$14)</f>
        <v/>
      </c>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c r="CK16" s="17"/>
      <c r="CL16" s="17"/>
      <c r="CM16" s="17"/>
      <c r="CN16" s="17"/>
      <c r="CO16" s="17"/>
      <c r="CP16" s="17"/>
      <c r="CQ16" s="17"/>
      <c r="CR16" s="17"/>
      <c r="CS16" s="17"/>
      <c r="CT16" s="17"/>
      <c r="CU16" s="17"/>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c r="DW16" s="17"/>
      <c r="DX16" s="17"/>
      <c r="DY16" s="17"/>
      <c r="DZ16" s="17"/>
      <c r="EA16" s="17"/>
      <c r="EB16" s="17"/>
      <c r="EC16" s="17"/>
      <c r="ED16" s="17"/>
      <c r="EE16" s="17"/>
      <c r="EF16" s="17"/>
      <c r="EG16" s="17"/>
      <c r="EH16" s="17"/>
      <c r="EI16" s="17"/>
      <c r="EJ16" s="17"/>
      <c r="EK16" s="17"/>
      <c r="EL16" s="17"/>
      <c r="EM16" s="17"/>
      <c r="EN16" s="17"/>
      <c r="EO16" s="17"/>
      <c r="EP16" s="17"/>
      <c r="EQ16" s="17"/>
      <c r="ER16" s="17"/>
      <c r="ES16" s="17"/>
      <c r="ET16" s="17"/>
      <c r="EU16" s="17"/>
      <c r="EV16" s="17"/>
      <c r="EW16" s="17"/>
      <c r="EX16" s="17"/>
      <c r="EY16" s="17"/>
      <c r="EZ16" s="17"/>
      <c r="FA16" s="17"/>
      <c r="FB16" s="17"/>
      <c r="FC16" s="17"/>
      <c r="FD16" s="17"/>
      <c r="FE16" s="17"/>
      <c r="FF16" s="17"/>
      <c r="FG16" s="17"/>
      <c r="FH16" s="17"/>
      <c r="FI16" s="17"/>
      <c r="FJ16" s="17"/>
      <c r="FK16" s="17"/>
      <c r="FL16" s="17"/>
      <c r="FM16" s="17"/>
      <c r="FN16" s="17"/>
      <c r="FO16" s="17"/>
      <c r="FP16" s="17"/>
      <c r="FQ16" s="17"/>
      <c r="FR16" s="17"/>
      <c r="FS16" s="17"/>
      <c r="FT16" s="17"/>
      <c r="FU16" s="17"/>
      <c r="FV16" s="17"/>
      <c r="FW16" s="17"/>
      <c r="FX16" s="17"/>
      <c r="FY16" s="17"/>
      <c r="FZ16" s="17"/>
      <c r="GA16" s="17"/>
      <c r="GB16" s="17"/>
      <c r="GC16" s="17"/>
      <c r="GD16" s="17"/>
      <c r="GE16" s="17"/>
      <c r="GF16" s="17"/>
      <c r="GG16" s="17"/>
      <c r="GH16" s="17"/>
      <c r="GI16" s="17"/>
      <c r="GJ16" s="17"/>
      <c r="GK16" s="17"/>
      <c r="GL16" s="17"/>
      <c r="GM16" s="17"/>
      <c r="GN16" s="17"/>
      <c r="GO16" s="17"/>
      <c r="GP16" s="17"/>
      <c r="GQ16" s="17"/>
      <c r="GR16" s="17"/>
      <c r="GS16" s="17"/>
      <c r="GT16" s="17"/>
      <c r="GU16" s="17"/>
      <c r="GV16" s="17"/>
      <c r="GW16" s="17"/>
      <c r="GX16" s="17"/>
      <c r="GY16" s="17"/>
      <c r="GZ16" s="17"/>
      <c r="HA16" s="17"/>
      <c r="HB16" s="17"/>
      <c r="HC16" s="17"/>
      <c r="HD16" s="17"/>
      <c r="HE16" s="17"/>
      <c r="HF16" s="17"/>
      <c r="HG16" s="17"/>
      <c r="HH16" s="17"/>
      <c r="HI16" s="17"/>
      <c r="HJ16" s="17"/>
      <c r="HK16" s="17"/>
      <c r="HL16" s="17"/>
      <c r="HM16" s="17"/>
      <c r="HN16" s="17"/>
      <c r="HO16" s="17"/>
      <c r="HP16" s="17"/>
      <c r="HQ16" s="17"/>
      <c r="HR16" s="17"/>
      <c r="HS16" s="17"/>
      <c r="HT16" s="17"/>
      <c r="HU16" s="17"/>
      <c r="HV16" s="17"/>
      <c r="HW16" s="17"/>
      <c r="HX16" s="17"/>
      <c r="HY16" s="17"/>
      <c r="HZ16" s="17"/>
      <c r="IA16" s="17"/>
    </row>
    <row r="17" spans="1:235" x14ac:dyDescent="0.25">
      <c r="A17" s="15" t="str">
        <f>IF(Mitarbeiter!$A$15="","",Mitarbeiter!$A$15)</f>
        <v/>
      </c>
      <c r="B17" s="2" t="str">
        <f>IF(Mitarbeiter!$A$15="","",Mitarbeiter!$C$15)</f>
        <v/>
      </c>
      <c r="C17" s="16" t="str">
        <f>IF(Mitarbeiter!$A$15="","",Mitarbeiter!$D$15)</f>
        <v/>
      </c>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c r="CK17" s="17"/>
      <c r="CL17" s="17"/>
      <c r="CM17" s="17"/>
      <c r="CN17" s="17"/>
      <c r="CO17" s="17"/>
      <c r="CP17" s="17"/>
      <c r="CQ17" s="17"/>
      <c r="CR17" s="17"/>
      <c r="CS17" s="17"/>
      <c r="CT17" s="17"/>
      <c r="CU17" s="17"/>
      <c r="CV17" s="17"/>
      <c r="CW17" s="17"/>
      <c r="CX17" s="17"/>
      <c r="CY17" s="17"/>
      <c r="CZ17" s="17"/>
      <c r="DA17" s="17"/>
      <c r="DB17" s="17"/>
      <c r="DC17" s="17"/>
      <c r="DD17" s="17"/>
      <c r="DE17" s="17"/>
      <c r="DF17" s="17"/>
      <c r="DG17" s="17"/>
      <c r="DH17" s="17"/>
      <c r="DI17" s="17"/>
      <c r="DJ17" s="17"/>
      <c r="DK17" s="17"/>
      <c r="DL17" s="17"/>
      <c r="DM17" s="17"/>
      <c r="DN17" s="17"/>
      <c r="DO17" s="17"/>
      <c r="DP17" s="17"/>
      <c r="DQ17" s="17"/>
      <c r="DR17" s="17"/>
      <c r="DS17" s="17"/>
      <c r="DT17" s="17"/>
      <c r="DU17" s="17"/>
      <c r="DV17" s="17"/>
      <c r="DW17" s="17"/>
      <c r="DX17" s="17"/>
      <c r="DY17" s="17"/>
      <c r="DZ17" s="17"/>
      <c r="EA17" s="17"/>
      <c r="EB17" s="17"/>
      <c r="EC17" s="17"/>
      <c r="ED17" s="17"/>
      <c r="EE17" s="17"/>
      <c r="EF17" s="17"/>
      <c r="EG17" s="17"/>
      <c r="EH17" s="17"/>
      <c r="EI17" s="17"/>
      <c r="EJ17" s="17"/>
      <c r="EK17" s="17"/>
      <c r="EL17" s="17"/>
      <c r="EM17" s="17"/>
      <c r="EN17" s="17"/>
      <c r="EO17" s="17"/>
      <c r="EP17" s="17"/>
      <c r="EQ17" s="17"/>
      <c r="ER17" s="17"/>
      <c r="ES17" s="17"/>
      <c r="ET17" s="17"/>
      <c r="EU17" s="17"/>
      <c r="EV17" s="17"/>
      <c r="EW17" s="17"/>
      <c r="EX17" s="17"/>
      <c r="EY17" s="17"/>
      <c r="EZ17" s="17"/>
      <c r="FA17" s="17"/>
      <c r="FB17" s="17"/>
      <c r="FC17" s="17"/>
      <c r="FD17" s="17"/>
      <c r="FE17" s="17"/>
      <c r="FF17" s="17"/>
      <c r="FG17" s="17"/>
      <c r="FH17" s="17"/>
      <c r="FI17" s="17"/>
      <c r="FJ17" s="17"/>
      <c r="FK17" s="17"/>
      <c r="FL17" s="17"/>
      <c r="FM17" s="17"/>
      <c r="FN17" s="17"/>
      <c r="FO17" s="17"/>
      <c r="FP17" s="17"/>
      <c r="FQ17" s="17"/>
      <c r="FR17" s="17"/>
      <c r="FS17" s="17"/>
      <c r="FT17" s="17"/>
      <c r="FU17" s="17"/>
      <c r="FV17" s="17"/>
      <c r="FW17" s="17"/>
      <c r="FX17" s="17"/>
      <c r="FY17" s="17"/>
      <c r="FZ17" s="17"/>
      <c r="GA17" s="17"/>
      <c r="GB17" s="17"/>
      <c r="GC17" s="17"/>
      <c r="GD17" s="17"/>
      <c r="GE17" s="17"/>
      <c r="GF17" s="17"/>
      <c r="GG17" s="17"/>
      <c r="GH17" s="17"/>
      <c r="GI17" s="17"/>
      <c r="GJ17" s="17"/>
      <c r="GK17" s="17"/>
      <c r="GL17" s="17"/>
      <c r="GM17" s="17"/>
      <c r="GN17" s="17"/>
      <c r="GO17" s="17"/>
      <c r="GP17" s="17"/>
      <c r="GQ17" s="17"/>
      <c r="GR17" s="17"/>
      <c r="GS17" s="17"/>
      <c r="GT17" s="17"/>
      <c r="GU17" s="17"/>
      <c r="GV17" s="17"/>
      <c r="GW17" s="17"/>
      <c r="GX17" s="17"/>
      <c r="GY17" s="17"/>
      <c r="GZ17" s="17"/>
      <c r="HA17" s="17"/>
      <c r="HB17" s="17"/>
      <c r="HC17" s="17"/>
      <c r="HD17" s="17"/>
      <c r="HE17" s="17"/>
      <c r="HF17" s="17"/>
      <c r="HG17" s="17"/>
      <c r="HH17" s="17"/>
      <c r="HI17" s="17"/>
      <c r="HJ17" s="17"/>
      <c r="HK17" s="17"/>
      <c r="HL17" s="17"/>
      <c r="HM17" s="17"/>
      <c r="HN17" s="17"/>
      <c r="HO17" s="17"/>
      <c r="HP17" s="17"/>
      <c r="HQ17" s="17"/>
      <c r="HR17" s="17"/>
      <c r="HS17" s="17"/>
      <c r="HT17" s="17"/>
      <c r="HU17" s="17"/>
      <c r="HV17" s="17"/>
      <c r="HW17" s="17"/>
      <c r="HX17" s="17"/>
      <c r="HY17" s="17"/>
      <c r="HZ17" s="17"/>
      <c r="IA17" s="17"/>
    </row>
    <row r="18" spans="1:235" x14ac:dyDescent="0.25">
      <c r="A18" s="15" t="str">
        <f>IF(Mitarbeiter!$A$16="","",Mitarbeiter!$A$16)</f>
        <v/>
      </c>
      <c r="B18" s="2" t="str">
        <f>IF(Mitarbeiter!$A$16="","",Mitarbeiter!$C$16)</f>
        <v/>
      </c>
      <c r="C18" s="16" t="str">
        <f>IF(Mitarbeiter!$A$16="","",Mitarbeiter!$D$16)</f>
        <v/>
      </c>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c r="EQ18" s="17"/>
      <c r="ER18" s="17"/>
      <c r="ES18" s="17"/>
      <c r="ET18" s="17"/>
      <c r="EU18" s="17"/>
      <c r="EV18" s="17"/>
      <c r="EW18" s="17"/>
      <c r="EX18" s="17"/>
      <c r="EY18" s="17"/>
      <c r="EZ18" s="17"/>
      <c r="FA18" s="17"/>
      <c r="FB18" s="17"/>
      <c r="FC18" s="17"/>
      <c r="FD18" s="17"/>
      <c r="FE18" s="17"/>
      <c r="FF18" s="17"/>
      <c r="FG18" s="17"/>
      <c r="FH18" s="17"/>
      <c r="FI18" s="17"/>
      <c r="FJ18" s="17"/>
      <c r="FK18" s="17"/>
      <c r="FL18" s="17"/>
      <c r="FM18" s="17"/>
      <c r="FN18" s="17"/>
      <c r="FO18" s="17"/>
      <c r="FP18" s="17"/>
      <c r="FQ18" s="17"/>
      <c r="FR18" s="17"/>
      <c r="FS18" s="17"/>
      <c r="FT18" s="17"/>
      <c r="FU18" s="17"/>
      <c r="FV18" s="17"/>
      <c r="FW18" s="17"/>
      <c r="FX18" s="17"/>
      <c r="FY18" s="17"/>
      <c r="FZ18" s="17"/>
      <c r="GA18" s="17"/>
      <c r="GB18" s="17"/>
      <c r="GC18" s="17"/>
      <c r="GD18" s="17"/>
      <c r="GE18" s="17"/>
      <c r="GF18" s="17"/>
      <c r="GG18" s="17"/>
      <c r="GH18" s="17"/>
      <c r="GI18" s="17"/>
      <c r="GJ18" s="17"/>
      <c r="GK18" s="17"/>
      <c r="GL18" s="17"/>
      <c r="GM18" s="17"/>
      <c r="GN18" s="17"/>
      <c r="GO18" s="17"/>
      <c r="GP18" s="17"/>
      <c r="GQ18" s="17"/>
      <c r="GR18" s="17"/>
      <c r="GS18" s="17"/>
      <c r="GT18" s="17"/>
      <c r="GU18" s="17"/>
      <c r="GV18" s="17"/>
      <c r="GW18" s="17"/>
      <c r="GX18" s="17"/>
      <c r="GY18" s="17"/>
      <c r="GZ18" s="17"/>
      <c r="HA18" s="17"/>
      <c r="HB18" s="17"/>
      <c r="HC18" s="17"/>
      <c r="HD18" s="17"/>
      <c r="HE18" s="17"/>
      <c r="HF18" s="17"/>
      <c r="HG18" s="17"/>
      <c r="HH18" s="17"/>
      <c r="HI18" s="17"/>
      <c r="HJ18" s="17"/>
      <c r="HK18" s="17"/>
      <c r="HL18" s="17"/>
      <c r="HM18" s="17"/>
      <c r="HN18" s="17"/>
      <c r="HO18" s="17"/>
      <c r="HP18" s="17"/>
      <c r="HQ18" s="17"/>
      <c r="HR18" s="17"/>
      <c r="HS18" s="17"/>
      <c r="HT18" s="17"/>
      <c r="HU18" s="17"/>
      <c r="HV18" s="17"/>
      <c r="HW18" s="17"/>
      <c r="HX18" s="17"/>
      <c r="HY18" s="17"/>
      <c r="HZ18" s="17"/>
      <c r="IA18" s="17"/>
    </row>
    <row r="19" spans="1:235" x14ac:dyDescent="0.25">
      <c r="A19" s="15" t="str">
        <f>IF(Mitarbeiter!$A$17="","",Mitarbeiter!$A$17)</f>
        <v/>
      </c>
      <c r="B19" s="2" t="str">
        <f>IF(Mitarbeiter!$A$17="","",Mitarbeiter!$C$17)</f>
        <v/>
      </c>
      <c r="C19" s="16" t="str">
        <f>IF(Mitarbeiter!$A$17="","",Mitarbeiter!$D$17)</f>
        <v/>
      </c>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row>
    <row r="20" spans="1:235" x14ac:dyDescent="0.25">
      <c r="A20" s="15" t="str">
        <f>IF(Mitarbeiter!$A$18="","",Mitarbeiter!$A$18)</f>
        <v/>
      </c>
      <c r="B20" s="2" t="str">
        <f>IF(Mitarbeiter!$A$18="","",Mitarbeiter!$C$18)</f>
        <v/>
      </c>
      <c r="C20" s="16" t="str">
        <f>IF(Mitarbeiter!$A$18="","",Mitarbeiter!$D$18)</f>
        <v/>
      </c>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CK20" s="17"/>
      <c r="CL20" s="17"/>
      <c r="CM20" s="17"/>
      <c r="CN20" s="17"/>
      <c r="CO20" s="17"/>
      <c r="CP20" s="17"/>
      <c r="CQ20" s="17"/>
      <c r="CR20" s="17"/>
      <c r="CS20" s="17"/>
      <c r="CT20" s="17"/>
      <c r="CU20" s="17"/>
      <c r="CV20" s="17"/>
      <c r="CW20" s="17"/>
      <c r="CX20" s="17"/>
      <c r="CY20" s="17"/>
      <c r="CZ20" s="17"/>
      <c r="DA20" s="17"/>
      <c r="DB20" s="17"/>
      <c r="DC20" s="17"/>
      <c r="DD20" s="17"/>
      <c r="DE20" s="17"/>
      <c r="DF20" s="17"/>
      <c r="DG20" s="17"/>
      <c r="DH20" s="17"/>
      <c r="DI20" s="17"/>
      <c r="DJ20" s="17"/>
      <c r="DK20" s="17"/>
      <c r="DL20" s="17"/>
      <c r="DM20" s="17"/>
      <c r="DN20" s="17"/>
      <c r="DO20" s="17"/>
      <c r="DP20" s="17"/>
      <c r="DQ20" s="17"/>
      <c r="DR20" s="17"/>
      <c r="DS20" s="17"/>
      <c r="DT20" s="17"/>
      <c r="DU20" s="17"/>
      <c r="DV20" s="17"/>
      <c r="DW20" s="17"/>
      <c r="DX20" s="17"/>
      <c r="DY20" s="17"/>
      <c r="DZ20" s="17"/>
      <c r="EA20" s="17"/>
      <c r="EB20" s="17"/>
      <c r="EC20" s="17"/>
      <c r="ED20" s="17"/>
      <c r="EE20" s="17"/>
      <c r="EF20" s="17"/>
      <c r="EG20" s="17"/>
      <c r="EH20" s="17"/>
      <c r="EI20" s="17"/>
      <c r="EJ20" s="17"/>
      <c r="EK20" s="17"/>
      <c r="EL20" s="17"/>
      <c r="EM20" s="17"/>
      <c r="EN20" s="17"/>
      <c r="EO20" s="17"/>
      <c r="EP20" s="17"/>
      <c r="EQ20" s="17"/>
      <c r="ER20" s="17"/>
      <c r="ES20" s="17"/>
      <c r="ET20" s="17"/>
      <c r="EU20" s="17"/>
      <c r="EV20" s="17"/>
      <c r="EW20" s="17"/>
      <c r="EX20" s="17"/>
      <c r="EY20" s="17"/>
      <c r="EZ20" s="17"/>
      <c r="FA20" s="17"/>
      <c r="FB20" s="17"/>
      <c r="FC20" s="17"/>
      <c r="FD20" s="17"/>
      <c r="FE20" s="17"/>
      <c r="FF20" s="17"/>
      <c r="FG20" s="17"/>
      <c r="FH20" s="17"/>
      <c r="FI20" s="17"/>
      <c r="FJ20" s="17"/>
      <c r="FK20" s="17"/>
      <c r="FL20" s="17"/>
      <c r="FM20" s="17"/>
      <c r="FN20" s="17"/>
      <c r="FO20" s="17"/>
      <c r="FP20" s="17"/>
      <c r="FQ20" s="17"/>
      <c r="FR20" s="17"/>
      <c r="FS20" s="17"/>
      <c r="FT20" s="17"/>
      <c r="FU20" s="17"/>
      <c r="FV20" s="17"/>
      <c r="FW20" s="17"/>
      <c r="FX20" s="17"/>
      <c r="FY20" s="17"/>
      <c r="FZ20" s="17"/>
      <c r="GA20" s="17"/>
      <c r="GB20" s="17"/>
      <c r="GC20" s="17"/>
      <c r="GD20" s="17"/>
      <c r="GE20" s="17"/>
      <c r="GF20" s="17"/>
      <c r="GG20" s="17"/>
      <c r="GH20" s="17"/>
      <c r="GI20" s="17"/>
      <c r="GJ20" s="17"/>
      <c r="GK20" s="17"/>
      <c r="GL20" s="17"/>
      <c r="GM20" s="17"/>
      <c r="GN20" s="17"/>
      <c r="GO20" s="17"/>
      <c r="GP20" s="17"/>
      <c r="GQ20" s="17"/>
      <c r="GR20" s="17"/>
      <c r="GS20" s="17"/>
      <c r="GT20" s="17"/>
      <c r="GU20" s="17"/>
      <c r="GV20" s="17"/>
      <c r="GW20" s="17"/>
      <c r="GX20" s="17"/>
      <c r="GY20" s="17"/>
      <c r="GZ20" s="17"/>
      <c r="HA20" s="17"/>
      <c r="HB20" s="17"/>
      <c r="HC20" s="17"/>
      <c r="HD20" s="17"/>
      <c r="HE20" s="17"/>
      <c r="HF20" s="17"/>
      <c r="HG20" s="17"/>
      <c r="HH20" s="17"/>
      <c r="HI20" s="17"/>
      <c r="HJ20" s="17"/>
      <c r="HK20" s="17"/>
      <c r="HL20" s="17"/>
      <c r="HM20" s="17"/>
      <c r="HN20" s="17"/>
      <c r="HO20" s="17"/>
      <c r="HP20" s="17"/>
      <c r="HQ20" s="17"/>
      <c r="HR20" s="17"/>
      <c r="HS20" s="17"/>
      <c r="HT20" s="17"/>
      <c r="HU20" s="17"/>
      <c r="HV20" s="17"/>
      <c r="HW20" s="17"/>
      <c r="HX20" s="17"/>
      <c r="HY20" s="17"/>
      <c r="HZ20" s="17"/>
      <c r="IA20" s="17"/>
    </row>
    <row r="21" spans="1:235" x14ac:dyDescent="0.25">
      <c r="A21" s="15" t="str">
        <f>IF(Mitarbeiter!$A$19="","",Mitarbeiter!$A$19)</f>
        <v/>
      </c>
      <c r="B21" s="2" t="str">
        <f>IF(Mitarbeiter!$A$19="","",Mitarbeiter!$C$19)</f>
        <v/>
      </c>
      <c r="C21" s="16" t="str">
        <f>IF(Mitarbeiter!$A$19="","",Mitarbeiter!$D$19)</f>
        <v/>
      </c>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c r="EQ21" s="17"/>
      <c r="ER21" s="17"/>
      <c r="ES21" s="17"/>
      <c r="ET21" s="17"/>
      <c r="EU21" s="17"/>
      <c r="EV21" s="17"/>
      <c r="EW21" s="17"/>
      <c r="EX21" s="17"/>
      <c r="EY21" s="17"/>
      <c r="EZ21" s="17"/>
      <c r="FA21" s="17"/>
      <c r="FB21" s="17"/>
      <c r="FC21" s="17"/>
      <c r="FD21" s="17"/>
      <c r="FE21" s="17"/>
      <c r="FF21" s="17"/>
      <c r="FG21" s="17"/>
      <c r="FH21" s="17"/>
      <c r="FI21" s="17"/>
      <c r="FJ21" s="17"/>
      <c r="FK21" s="17"/>
      <c r="FL21" s="17"/>
      <c r="FM21" s="17"/>
      <c r="FN21" s="17"/>
      <c r="FO21" s="17"/>
      <c r="FP21" s="17"/>
      <c r="FQ21" s="17"/>
      <c r="FR21" s="17"/>
      <c r="FS21" s="17"/>
      <c r="FT21" s="17"/>
      <c r="FU21" s="17"/>
      <c r="FV21" s="17"/>
      <c r="FW21" s="17"/>
      <c r="FX21" s="17"/>
      <c r="FY21" s="17"/>
      <c r="FZ21" s="17"/>
      <c r="GA21" s="17"/>
      <c r="GB21" s="17"/>
      <c r="GC21" s="17"/>
      <c r="GD21" s="17"/>
      <c r="GE21" s="17"/>
      <c r="GF21" s="17"/>
      <c r="GG21" s="17"/>
      <c r="GH21" s="17"/>
      <c r="GI21" s="17"/>
      <c r="GJ21" s="17"/>
      <c r="GK21" s="17"/>
      <c r="GL21" s="17"/>
      <c r="GM21" s="17"/>
      <c r="GN21" s="17"/>
      <c r="GO21" s="17"/>
      <c r="GP21" s="17"/>
      <c r="GQ21" s="17"/>
      <c r="GR21" s="17"/>
      <c r="GS21" s="17"/>
      <c r="GT21" s="17"/>
      <c r="GU21" s="17"/>
      <c r="GV21" s="17"/>
      <c r="GW21" s="17"/>
      <c r="GX21" s="17"/>
      <c r="GY21" s="17"/>
      <c r="GZ21" s="17"/>
      <c r="HA21" s="17"/>
      <c r="HB21" s="17"/>
      <c r="HC21" s="17"/>
      <c r="HD21" s="17"/>
      <c r="HE21" s="17"/>
      <c r="HF21" s="17"/>
      <c r="HG21" s="17"/>
      <c r="HH21" s="17"/>
      <c r="HI21" s="17"/>
      <c r="HJ21" s="17"/>
      <c r="HK21" s="17"/>
      <c r="HL21" s="17"/>
      <c r="HM21" s="17"/>
      <c r="HN21" s="17"/>
      <c r="HO21" s="17"/>
      <c r="HP21" s="17"/>
      <c r="HQ21" s="17"/>
      <c r="HR21" s="17"/>
      <c r="HS21" s="17"/>
      <c r="HT21" s="17"/>
      <c r="HU21" s="17"/>
      <c r="HV21" s="17"/>
      <c r="HW21" s="17"/>
      <c r="HX21" s="17"/>
      <c r="HY21" s="17"/>
      <c r="HZ21" s="17"/>
      <c r="IA21" s="17"/>
    </row>
    <row r="22" spans="1:235" x14ac:dyDescent="0.25">
      <c r="A22" s="15" t="str">
        <f>IF(Mitarbeiter!$A$20="","",Mitarbeiter!$A$20)</f>
        <v/>
      </c>
      <c r="B22" s="2" t="str">
        <f>IF(Mitarbeiter!$A$20="","",Mitarbeiter!$C$20)</f>
        <v/>
      </c>
      <c r="C22" s="16" t="str">
        <f>IF(Mitarbeiter!$A$20="","",Mitarbeiter!$D$20)</f>
        <v/>
      </c>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c r="EQ22" s="17"/>
      <c r="ER22" s="17"/>
      <c r="ES22" s="17"/>
      <c r="ET22" s="17"/>
      <c r="EU22" s="17"/>
      <c r="EV22" s="17"/>
      <c r="EW22" s="17"/>
      <c r="EX22" s="17"/>
      <c r="EY22" s="17"/>
      <c r="EZ22" s="17"/>
      <c r="FA22" s="17"/>
      <c r="FB22" s="17"/>
      <c r="FC22" s="17"/>
      <c r="FD22" s="17"/>
      <c r="FE22" s="17"/>
      <c r="FF22" s="17"/>
      <c r="FG22" s="17"/>
      <c r="FH22" s="17"/>
      <c r="FI22" s="17"/>
      <c r="FJ22" s="17"/>
      <c r="FK22" s="17"/>
      <c r="FL22" s="17"/>
      <c r="FM22" s="17"/>
      <c r="FN22" s="17"/>
      <c r="FO22" s="17"/>
      <c r="FP22" s="17"/>
      <c r="FQ22" s="17"/>
      <c r="FR22" s="17"/>
      <c r="FS22" s="17"/>
      <c r="FT22" s="17"/>
      <c r="FU22" s="17"/>
      <c r="FV22" s="17"/>
      <c r="FW22" s="17"/>
      <c r="FX22" s="17"/>
      <c r="FY22" s="17"/>
      <c r="FZ22" s="17"/>
      <c r="GA22" s="17"/>
      <c r="GB22" s="17"/>
      <c r="GC22" s="17"/>
      <c r="GD22" s="17"/>
      <c r="GE22" s="17"/>
      <c r="GF22" s="17"/>
      <c r="GG22" s="17"/>
      <c r="GH22" s="17"/>
      <c r="GI22" s="17"/>
      <c r="GJ22" s="17"/>
      <c r="GK22" s="17"/>
      <c r="GL22" s="17"/>
      <c r="GM22" s="17"/>
      <c r="GN22" s="17"/>
      <c r="GO22" s="17"/>
      <c r="GP22" s="17"/>
      <c r="GQ22" s="17"/>
      <c r="GR22" s="17"/>
      <c r="GS22" s="17"/>
      <c r="GT22" s="17"/>
      <c r="GU22" s="17"/>
      <c r="GV22" s="17"/>
      <c r="GW22" s="17"/>
      <c r="GX22" s="17"/>
      <c r="GY22" s="17"/>
      <c r="GZ22" s="17"/>
      <c r="HA22" s="17"/>
      <c r="HB22" s="17"/>
      <c r="HC22" s="17"/>
      <c r="HD22" s="17"/>
      <c r="HE22" s="17"/>
      <c r="HF22" s="17"/>
      <c r="HG22" s="17"/>
      <c r="HH22" s="17"/>
      <c r="HI22" s="17"/>
      <c r="HJ22" s="17"/>
      <c r="HK22" s="17"/>
      <c r="HL22" s="17"/>
      <c r="HM22" s="17"/>
      <c r="HN22" s="17"/>
      <c r="HO22" s="17"/>
      <c r="HP22" s="17"/>
      <c r="HQ22" s="17"/>
      <c r="HR22" s="17"/>
      <c r="HS22" s="17"/>
      <c r="HT22" s="17"/>
      <c r="HU22" s="17"/>
      <c r="HV22" s="17"/>
      <c r="HW22" s="17"/>
      <c r="HX22" s="17"/>
      <c r="HY22" s="17"/>
      <c r="HZ22" s="17"/>
      <c r="IA22" s="17"/>
    </row>
    <row r="23" spans="1:235" x14ac:dyDescent="0.25">
      <c r="A23" s="15" t="str">
        <f>IF(Mitarbeiter!$A$21="","",Mitarbeiter!$A$21)</f>
        <v/>
      </c>
      <c r="B23" s="2" t="str">
        <f>IF(Mitarbeiter!$A$21="","",Mitarbeiter!$C$21)</f>
        <v/>
      </c>
      <c r="C23" s="16" t="str">
        <f>IF(Mitarbeiter!$A$21="","",Mitarbeiter!$D$21)</f>
        <v/>
      </c>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c r="EQ23" s="17"/>
      <c r="ER23" s="17"/>
      <c r="ES23" s="17"/>
      <c r="ET23" s="17"/>
      <c r="EU23" s="17"/>
      <c r="EV23" s="17"/>
      <c r="EW23" s="17"/>
      <c r="EX23" s="17"/>
      <c r="EY23" s="17"/>
      <c r="EZ23" s="17"/>
      <c r="FA23" s="17"/>
      <c r="FB23" s="17"/>
      <c r="FC23" s="17"/>
      <c r="FD23" s="17"/>
      <c r="FE23" s="17"/>
      <c r="FF23" s="17"/>
      <c r="FG23" s="17"/>
      <c r="FH23" s="17"/>
      <c r="FI23" s="17"/>
      <c r="FJ23" s="17"/>
      <c r="FK23" s="17"/>
      <c r="FL23" s="17"/>
      <c r="FM23" s="17"/>
      <c r="FN23" s="17"/>
      <c r="FO23" s="17"/>
      <c r="FP23" s="17"/>
      <c r="FQ23" s="17"/>
      <c r="FR23" s="17"/>
      <c r="FS23" s="17"/>
      <c r="FT23" s="17"/>
      <c r="FU23" s="17"/>
      <c r="FV23" s="17"/>
      <c r="FW23" s="17"/>
      <c r="FX23" s="17"/>
      <c r="FY23" s="17"/>
      <c r="FZ23" s="17"/>
      <c r="GA23" s="17"/>
      <c r="GB23" s="17"/>
      <c r="GC23" s="17"/>
      <c r="GD23" s="17"/>
      <c r="GE23" s="17"/>
      <c r="GF23" s="17"/>
      <c r="GG23" s="17"/>
      <c r="GH23" s="17"/>
      <c r="GI23" s="17"/>
      <c r="GJ23" s="17"/>
      <c r="GK23" s="17"/>
      <c r="GL23" s="17"/>
      <c r="GM23" s="17"/>
      <c r="GN23" s="17"/>
      <c r="GO23" s="17"/>
      <c r="GP23" s="17"/>
      <c r="GQ23" s="17"/>
      <c r="GR23" s="17"/>
      <c r="GS23" s="17"/>
      <c r="GT23" s="17"/>
      <c r="GU23" s="17"/>
      <c r="GV23" s="17"/>
      <c r="GW23" s="17"/>
      <c r="GX23" s="17"/>
      <c r="GY23" s="17"/>
      <c r="GZ23" s="17"/>
      <c r="HA23" s="17"/>
      <c r="HB23" s="17"/>
      <c r="HC23" s="17"/>
      <c r="HD23" s="17"/>
      <c r="HE23" s="17"/>
      <c r="HF23" s="17"/>
      <c r="HG23" s="17"/>
      <c r="HH23" s="17"/>
      <c r="HI23" s="17"/>
      <c r="HJ23" s="17"/>
      <c r="HK23" s="17"/>
      <c r="HL23" s="17"/>
      <c r="HM23" s="17"/>
      <c r="HN23" s="17"/>
      <c r="HO23" s="17"/>
      <c r="HP23" s="17"/>
      <c r="HQ23" s="17"/>
      <c r="HR23" s="17"/>
      <c r="HS23" s="17"/>
      <c r="HT23" s="17"/>
      <c r="HU23" s="17"/>
      <c r="HV23" s="17"/>
      <c r="HW23" s="17"/>
      <c r="HX23" s="17"/>
      <c r="HY23" s="17"/>
      <c r="HZ23" s="17"/>
      <c r="IA23" s="17"/>
    </row>
    <row r="24" spans="1:235" x14ac:dyDescent="0.25">
      <c r="A24" s="15" t="str">
        <f>IF(Mitarbeiter!$A$22="","",Mitarbeiter!$A$22)</f>
        <v/>
      </c>
      <c r="B24" s="2" t="str">
        <f>IF(Mitarbeiter!$A$22="","",Mitarbeiter!$C$22)</f>
        <v/>
      </c>
      <c r="C24" s="16" t="str">
        <f>IF(Mitarbeiter!$A$22="","",Mitarbeiter!$D$22)</f>
        <v/>
      </c>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CK24" s="17"/>
      <c r="CL24" s="17"/>
      <c r="CM24" s="17"/>
      <c r="CN24" s="17"/>
      <c r="CO24" s="17"/>
      <c r="CP24" s="17"/>
      <c r="CQ24" s="17"/>
      <c r="CR24" s="17"/>
      <c r="CS24" s="17"/>
      <c r="CT24" s="17"/>
      <c r="CU24" s="17"/>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c r="DW24" s="17"/>
      <c r="DX24" s="17"/>
      <c r="DY24" s="17"/>
      <c r="DZ24" s="17"/>
      <c r="EA24" s="17"/>
      <c r="EB24" s="17"/>
      <c r="EC24" s="17"/>
      <c r="ED24" s="17"/>
      <c r="EE24" s="17"/>
      <c r="EF24" s="17"/>
      <c r="EG24" s="17"/>
      <c r="EH24" s="17"/>
      <c r="EI24" s="17"/>
      <c r="EJ24" s="17"/>
      <c r="EK24" s="17"/>
      <c r="EL24" s="17"/>
      <c r="EM24" s="17"/>
      <c r="EN24" s="17"/>
      <c r="EO24" s="17"/>
      <c r="EP24" s="17"/>
      <c r="EQ24" s="17"/>
      <c r="ER24" s="17"/>
      <c r="ES24" s="17"/>
      <c r="ET24" s="17"/>
      <c r="EU24" s="17"/>
      <c r="EV24" s="17"/>
      <c r="EW24" s="17"/>
      <c r="EX24" s="17"/>
      <c r="EY24" s="17"/>
      <c r="EZ24" s="17"/>
      <c r="FA24" s="17"/>
      <c r="FB24" s="17"/>
      <c r="FC24" s="17"/>
      <c r="FD24" s="17"/>
      <c r="FE24" s="17"/>
      <c r="FF24" s="17"/>
      <c r="FG24" s="17"/>
      <c r="FH24" s="17"/>
      <c r="FI24" s="17"/>
      <c r="FJ24" s="17"/>
      <c r="FK24" s="17"/>
      <c r="FL24" s="17"/>
      <c r="FM24" s="17"/>
      <c r="FN24" s="17"/>
      <c r="FO24" s="17"/>
      <c r="FP24" s="17"/>
      <c r="FQ24" s="17"/>
      <c r="FR24" s="17"/>
      <c r="FS24" s="17"/>
      <c r="FT24" s="17"/>
      <c r="FU24" s="17"/>
      <c r="FV24" s="17"/>
      <c r="FW24" s="17"/>
      <c r="FX24" s="17"/>
      <c r="FY24" s="17"/>
      <c r="FZ24" s="17"/>
      <c r="GA24" s="17"/>
      <c r="GB24" s="17"/>
      <c r="GC24" s="17"/>
      <c r="GD24" s="17"/>
      <c r="GE24" s="17"/>
      <c r="GF24" s="17"/>
      <c r="GG24" s="17"/>
      <c r="GH24" s="17"/>
      <c r="GI24" s="17"/>
      <c r="GJ24" s="17"/>
      <c r="GK24" s="17"/>
      <c r="GL24" s="17"/>
      <c r="GM24" s="17"/>
      <c r="GN24" s="17"/>
      <c r="GO24" s="17"/>
      <c r="GP24" s="17"/>
      <c r="GQ24" s="17"/>
      <c r="GR24" s="17"/>
      <c r="GS24" s="17"/>
      <c r="GT24" s="17"/>
      <c r="GU24" s="17"/>
      <c r="GV24" s="17"/>
      <c r="GW24" s="17"/>
      <c r="GX24" s="17"/>
      <c r="GY24" s="17"/>
      <c r="GZ24" s="17"/>
      <c r="HA24" s="17"/>
      <c r="HB24" s="17"/>
      <c r="HC24" s="17"/>
      <c r="HD24" s="17"/>
      <c r="HE24" s="17"/>
      <c r="HF24" s="17"/>
      <c r="HG24" s="17"/>
      <c r="HH24" s="17"/>
      <c r="HI24" s="17"/>
      <c r="HJ24" s="17"/>
      <c r="HK24" s="17"/>
      <c r="HL24" s="17"/>
      <c r="HM24" s="17"/>
      <c r="HN24" s="17"/>
      <c r="HO24" s="17"/>
      <c r="HP24" s="17"/>
      <c r="HQ24" s="17"/>
      <c r="HR24" s="17"/>
      <c r="HS24" s="17"/>
      <c r="HT24" s="17"/>
      <c r="HU24" s="17"/>
      <c r="HV24" s="17"/>
      <c r="HW24" s="17"/>
      <c r="HX24" s="17"/>
      <c r="HY24" s="17"/>
      <c r="HZ24" s="17"/>
      <c r="IA24" s="17"/>
    </row>
    <row r="25" spans="1:235" x14ac:dyDescent="0.25">
      <c r="A25" s="15" t="str">
        <f>IF(Mitarbeiter!$A$23="","",Mitarbeiter!$A$23)</f>
        <v/>
      </c>
      <c r="B25" s="2" t="str">
        <f>IF(Mitarbeiter!$A$23="","",Mitarbeiter!$C$23)</f>
        <v/>
      </c>
      <c r="C25" s="16" t="str">
        <f>IF(Mitarbeiter!$A$23="","",Mitarbeiter!$D$23)</f>
        <v/>
      </c>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row>
    <row r="26" spans="1:235" x14ac:dyDescent="0.25">
      <c r="A26" s="15" t="str">
        <f>IF(Mitarbeiter!$A$24="","",Mitarbeiter!$A$24)</f>
        <v/>
      </c>
      <c r="B26" s="2" t="str">
        <f>IF(Mitarbeiter!$A$24="","",Mitarbeiter!$C$24)</f>
        <v/>
      </c>
      <c r="C26" s="16" t="str">
        <f>IF(Mitarbeiter!$A$24="","",Mitarbeiter!$D$24)</f>
        <v/>
      </c>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CK26" s="17"/>
      <c r="CL26" s="17"/>
      <c r="CM26" s="17"/>
      <c r="CN26" s="17"/>
      <c r="CO26" s="17"/>
      <c r="CP26" s="17"/>
      <c r="CQ26" s="17"/>
      <c r="CR26" s="17"/>
      <c r="CS26" s="17"/>
      <c r="CT26" s="17"/>
      <c r="CU26" s="17"/>
      <c r="CV26" s="17"/>
      <c r="CW26" s="17"/>
      <c r="CX26" s="17"/>
      <c r="CY26" s="17"/>
      <c r="CZ26" s="17"/>
      <c r="DA26" s="17"/>
      <c r="DB26" s="17"/>
      <c r="DC26" s="17"/>
      <c r="DD26" s="17"/>
      <c r="DE26" s="17"/>
      <c r="DF26" s="17"/>
      <c r="DG26" s="17"/>
      <c r="DH26" s="17"/>
      <c r="DI26" s="17"/>
      <c r="DJ26" s="17"/>
      <c r="DK26" s="17"/>
      <c r="DL26" s="17"/>
      <c r="DM26" s="17"/>
      <c r="DN26" s="17"/>
      <c r="DO26" s="17"/>
      <c r="DP26" s="17"/>
      <c r="DQ26" s="17"/>
      <c r="DR26" s="17"/>
      <c r="DS26" s="17"/>
      <c r="DT26" s="17"/>
      <c r="DU26" s="17"/>
      <c r="DV26" s="17"/>
      <c r="DW26" s="17"/>
      <c r="DX26" s="17"/>
      <c r="DY26" s="17"/>
      <c r="DZ26" s="17"/>
      <c r="EA26" s="17"/>
      <c r="EB26" s="17"/>
      <c r="EC26" s="17"/>
      <c r="ED26" s="17"/>
      <c r="EE26" s="17"/>
      <c r="EF26" s="17"/>
      <c r="EG26" s="17"/>
      <c r="EH26" s="17"/>
      <c r="EI26" s="17"/>
      <c r="EJ26" s="17"/>
      <c r="EK26" s="17"/>
      <c r="EL26" s="17"/>
      <c r="EM26" s="17"/>
      <c r="EN26" s="17"/>
      <c r="EO26" s="17"/>
      <c r="EP26" s="17"/>
      <c r="EQ26" s="17"/>
      <c r="ER26" s="17"/>
      <c r="ES26" s="17"/>
      <c r="ET26" s="17"/>
      <c r="EU26" s="17"/>
      <c r="EV26" s="17"/>
      <c r="EW26" s="17"/>
      <c r="EX26" s="17"/>
      <c r="EY26" s="17"/>
      <c r="EZ26" s="17"/>
      <c r="FA26" s="17"/>
      <c r="FB26" s="17"/>
      <c r="FC26" s="17"/>
      <c r="FD26" s="17"/>
      <c r="FE26" s="17"/>
      <c r="FF26" s="17"/>
      <c r="FG26" s="17"/>
      <c r="FH26" s="17"/>
      <c r="FI26" s="17"/>
      <c r="FJ26" s="17"/>
      <c r="FK26" s="17"/>
      <c r="FL26" s="17"/>
      <c r="FM26" s="17"/>
      <c r="FN26" s="17"/>
      <c r="FO26" s="17"/>
      <c r="FP26" s="17"/>
      <c r="FQ26" s="17"/>
      <c r="FR26" s="17"/>
      <c r="FS26" s="17"/>
      <c r="FT26" s="17"/>
      <c r="FU26" s="17"/>
      <c r="FV26" s="17"/>
      <c r="FW26" s="17"/>
      <c r="FX26" s="17"/>
      <c r="FY26" s="17"/>
      <c r="FZ26" s="17"/>
      <c r="GA26" s="17"/>
      <c r="GB26" s="17"/>
      <c r="GC26" s="17"/>
      <c r="GD26" s="17"/>
      <c r="GE26" s="17"/>
      <c r="GF26" s="17"/>
      <c r="GG26" s="17"/>
      <c r="GH26" s="17"/>
      <c r="GI26" s="17"/>
      <c r="GJ26" s="17"/>
      <c r="GK26" s="17"/>
      <c r="GL26" s="17"/>
      <c r="GM26" s="17"/>
      <c r="GN26" s="17"/>
      <c r="GO26" s="17"/>
      <c r="GP26" s="17"/>
      <c r="GQ26" s="17"/>
      <c r="GR26" s="17"/>
      <c r="GS26" s="17"/>
      <c r="GT26" s="17"/>
      <c r="GU26" s="17"/>
      <c r="GV26" s="17"/>
      <c r="GW26" s="17"/>
      <c r="GX26" s="17"/>
      <c r="GY26" s="17"/>
      <c r="GZ26" s="17"/>
      <c r="HA26" s="17"/>
      <c r="HB26" s="17"/>
      <c r="HC26" s="17"/>
      <c r="HD26" s="17"/>
      <c r="HE26" s="17"/>
      <c r="HF26" s="17"/>
      <c r="HG26" s="17"/>
      <c r="HH26" s="17"/>
      <c r="HI26" s="17"/>
      <c r="HJ26" s="17"/>
      <c r="HK26" s="17"/>
      <c r="HL26" s="17"/>
      <c r="HM26" s="17"/>
      <c r="HN26" s="17"/>
      <c r="HO26" s="17"/>
      <c r="HP26" s="17"/>
      <c r="HQ26" s="17"/>
      <c r="HR26" s="17"/>
      <c r="HS26" s="17"/>
      <c r="HT26" s="17"/>
      <c r="HU26" s="17"/>
      <c r="HV26" s="17"/>
      <c r="HW26" s="17"/>
      <c r="HX26" s="17"/>
      <c r="HY26" s="17"/>
      <c r="HZ26" s="17"/>
      <c r="IA26" s="17"/>
    </row>
    <row r="27" spans="1:235" x14ac:dyDescent="0.25">
      <c r="A27" s="15" t="str">
        <f>IF(Mitarbeiter!$A$25="","",Mitarbeiter!$A$25)</f>
        <v/>
      </c>
      <c r="B27" s="2" t="str">
        <f>IF(Mitarbeiter!$A$25="","",Mitarbeiter!$C$25)</f>
        <v/>
      </c>
      <c r="C27" s="16" t="str">
        <f>IF(Mitarbeiter!$A$25="","",Mitarbeiter!$D$25)</f>
        <v/>
      </c>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CK27" s="17"/>
      <c r="CL27" s="17"/>
      <c r="CM27" s="17"/>
      <c r="CN27" s="17"/>
      <c r="CO27" s="17"/>
      <c r="CP27" s="17"/>
      <c r="CQ27" s="17"/>
      <c r="CR27" s="17"/>
      <c r="CS27" s="17"/>
      <c r="CT27" s="17"/>
      <c r="CU27" s="17"/>
      <c r="CV27" s="17"/>
      <c r="CW27" s="17"/>
      <c r="CX27" s="17"/>
      <c r="CY27" s="17"/>
      <c r="CZ27" s="17"/>
      <c r="DA27" s="17"/>
      <c r="DB27" s="17"/>
      <c r="DC27" s="17"/>
      <c r="DD27" s="17"/>
      <c r="DE27" s="17"/>
      <c r="DF27" s="17"/>
      <c r="DG27" s="17"/>
      <c r="DH27" s="17"/>
      <c r="DI27" s="17"/>
      <c r="DJ27" s="17"/>
      <c r="DK27" s="17"/>
      <c r="DL27" s="17"/>
      <c r="DM27" s="17"/>
      <c r="DN27" s="17"/>
      <c r="DO27" s="17"/>
      <c r="DP27" s="17"/>
      <c r="DQ27" s="17"/>
      <c r="DR27" s="17"/>
      <c r="DS27" s="17"/>
      <c r="DT27" s="17"/>
      <c r="DU27" s="17"/>
      <c r="DV27" s="17"/>
      <c r="DW27" s="17"/>
      <c r="DX27" s="17"/>
      <c r="DY27" s="17"/>
      <c r="DZ27" s="17"/>
      <c r="EA27" s="17"/>
      <c r="EB27" s="17"/>
      <c r="EC27" s="17"/>
      <c r="ED27" s="17"/>
      <c r="EE27" s="17"/>
      <c r="EF27" s="17"/>
      <c r="EG27" s="17"/>
      <c r="EH27" s="17"/>
      <c r="EI27" s="17"/>
      <c r="EJ27" s="17"/>
      <c r="EK27" s="17"/>
      <c r="EL27" s="17"/>
      <c r="EM27" s="17"/>
      <c r="EN27" s="17"/>
      <c r="EO27" s="17"/>
      <c r="EP27" s="17"/>
      <c r="EQ27" s="17"/>
      <c r="ER27" s="17"/>
      <c r="ES27" s="17"/>
      <c r="ET27" s="17"/>
      <c r="EU27" s="17"/>
      <c r="EV27" s="17"/>
      <c r="EW27" s="17"/>
      <c r="EX27" s="17"/>
      <c r="EY27" s="17"/>
      <c r="EZ27" s="17"/>
      <c r="FA27" s="17"/>
      <c r="FB27" s="17"/>
      <c r="FC27" s="17"/>
      <c r="FD27" s="17"/>
      <c r="FE27" s="17"/>
      <c r="FF27" s="17"/>
      <c r="FG27" s="17"/>
      <c r="FH27" s="17"/>
      <c r="FI27" s="17"/>
      <c r="FJ27" s="17"/>
      <c r="FK27" s="17"/>
      <c r="FL27" s="17"/>
      <c r="FM27" s="17"/>
      <c r="FN27" s="17"/>
      <c r="FO27" s="17"/>
      <c r="FP27" s="17"/>
      <c r="FQ27" s="17"/>
      <c r="FR27" s="17"/>
      <c r="FS27" s="17"/>
      <c r="FT27" s="17"/>
      <c r="FU27" s="17"/>
      <c r="FV27" s="17"/>
      <c r="FW27" s="17"/>
      <c r="FX27" s="17"/>
      <c r="FY27" s="17"/>
      <c r="FZ27" s="17"/>
      <c r="GA27" s="17"/>
      <c r="GB27" s="17"/>
      <c r="GC27" s="17"/>
      <c r="GD27" s="17"/>
      <c r="GE27" s="17"/>
      <c r="GF27" s="17"/>
      <c r="GG27" s="17"/>
      <c r="GH27" s="17"/>
      <c r="GI27" s="17"/>
      <c r="GJ27" s="17"/>
      <c r="GK27" s="17"/>
      <c r="GL27" s="17"/>
      <c r="GM27" s="17"/>
      <c r="GN27" s="17"/>
      <c r="GO27" s="17"/>
      <c r="GP27" s="17"/>
      <c r="GQ27" s="17"/>
      <c r="GR27" s="17"/>
      <c r="GS27" s="17"/>
      <c r="GT27" s="17"/>
      <c r="GU27" s="17"/>
      <c r="GV27" s="17"/>
      <c r="GW27" s="17"/>
      <c r="GX27" s="17"/>
      <c r="GY27" s="17"/>
      <c r="GZ27" s="17"/>
      <c r="HA27" s="17"/>
      <c r="HB27" s="17"/>
      <c r="HC27" s="17"/>
      <c r="HD27" s="17"/>
      <c r="HE27" s="17"/>
      <c r="HF27" s="17"/>
      <c r="HG27" s="17"/>
      <c r="HH27" s="17"/>
      <c r="HI27" s="17"/>
      <c r="HJ27" s="17"/>
      <c r="HK27" s="17"/>
      <c r="HL27" s="17"/>
      <c r="HM27" s="17"/>
      <c r="HN27" s="17"/>
      <c r="HO27" s="17"/>
      <c r="HP27" s="17"/>
      <c r="HQ27" s="17"/>
      <c r="HR27" s="17"/>
      <c r="HS27" s="17"/>
      <c r="HT27" s="17"/>
      <c r="HU27" s="17"/>
      <c r="HV27" s="17"/>
      <c r="HW27" s="17"/>
      <c r="HX27" s="17"/>
      <c r="HY27" s="17"/>
      <c r="HZ27" s="17"/>
      <c r="IA27" s="17"/>
    </row>
    <row r="28" spans="1:235" x14ac:dyDescent="0.25">
      <c r="A28" s="15" t="str">
        <f>IF(Mitarbeiter!$A$26="","",Mitarbeiter!$A$26)</f>
        <v/>
      </c>
      <c r="B28" s="2" t="str">
        <f>IF(Mitarbeiter!$A$26="","",Mitarbeiter!$C$26)</f>
        <v/>
      </c>
      <c r="C28" s="16" t="str">
        <f>IF(Mitarbeiter!$A$26="","",Mitarbeiter!$D$26)</f>
        <v/>
      </c>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CK28" s="17"/>
      <c r="CL28" s="17"/>
      <c r="CM28" s="17"/>
      <c r="CN28" s="17"/>
      <c r="CO28" s="17"/>
      <c r="CP28" s="17"/>
      <c r="CQ28" s="17"/>
      <c r="CR28" s="17"/>
      <c r="CS28" s="17"/>
      <c r="CT28" s="17"/>
      <c r="CU28" s="17"/>
      <c r="CV28" s="17"/>
      <c r="CW28" s="17"/>
      <c r="CX28" s="17"/>
      <c r="CY28" s="17"/>
      <c r="CZ28" s="17"/>
      <c r="DA28" s="17"/>
      <c r="DB28" s="17"/>
      <c r="DC28" s="17"/>
      <c r="DD28" s="17"/>
      <c r="DE28" s="17"/>
      <c r="DF28" s="17"/>
      <c r="DG28" s="17"/>
      <c r="DH28" s="17"/>
      <c r="DI28" s="17"/>
      <c r="DJ28" s="17"/>
      <c r="DK28" s="17"/>
      <c r="DL28" s="17"/>
      <c r="DM28" s="17"/>
      <c r="DN28" s="17"/>
      <c r="DO28" s="17"/>
      <c r="DP28" s="17"/>
      <c r="DQ28" s="17"/>
      <c r="DR28" s="17"/>
      <c r="DS28" s="17"/>
      <c r="DT28" s="17"/>
      <c r="DU28" s="17"/>
      <c r="DV28" s="17"/>
      <c r="DW28" s="17"/>
      <c r="DX28" s="17"/>
      <c r="DY28" s="17"/>
      <c r="DZ28" s="17"/>
      <c r="EA28" s="17"/>
      <c r="EB28" s="17"/>
      <c r="EC28" s="17"/>
      <c r="ED28" s="17"/>
      <c r="EE28" s="17"/>
      <c r="EF28" s="17"/>
      <c r="EG28" s="17"/>
      <c r="EH28" s="17"/>
      <c r="EI28" s="17"/>
      <c r="EJ28" s="17"/>
      <c r="EK28" s="17"/>
      <c r="EL28" s="17"/>
      <c r="EM28" s="17"/>
      <c r="EN28" s="17"/>
      <c r="EO28" s="17"/>
      <c r="EP28" s="17"/>
      <c r="EQ28" s="17"/>
      <c r="ER28" s="17"/>
      <c r="ES28" s="17"/>
      <c r="ET28" s="17"/>
      <c r="EU28" s="17"/>
      <c r="EV28" s="17"/>
      <c r="EW28" s="17"/>
      <c r="EX28" s="17"/>
      <c r="EY28" s="17"/>
      <c r="EZ28" s="17"/>
      <c r="FA28" s="17"/>
      <c r="FB28" s="17"/>
      <c r="FC28" s="17"/>
      <c r="FD28" s="17"/>
      <c r="FE28" s="17"/>
      <c r="FF28" s="17"/>
      <c r="FG28" s="17"/>
      <c r="FH28" s="17"/>
      <c r="FI28" s="17"/>
      <c r="FJ28" s="17"/>
      <c r="FK28" s="17"/>
      <c r="FL28" s="17"/>
      <c r="FM28" s="17"/>
      <c r="FN28" s="17"/>
      <c r="FO28" s="17"/>
      <c r="FP28" s="17"/>
      <c r="FQ28" s="17"/>
      <c r="FR28" s="17"/>
      <c r="FS28" s="17"/>
      <c r="FT28" s="17"/>
      <c r="FU28" s="17"/>
      <c r="FV28" s="17"/>
      <c r="FW28" s="17"/>
      <c r="FX28" s="17"/>
      <c r="FY28" s="17"/>
      <c r="FZ28" s="17"/>
      <c r="GA28" s="17"/>
      <c r="GB28" s="17"/>
      <c r="GC28" s="17"/>
      <c r="GD28" s="17"/>
      <c r="GE28" s="17"/>
      <c r="GF28" s="17"/>
      <c r="GG28" s="17"/>
      <c r="GH28" s="17"/>
      <c r="GI28" s="17"/>
      <c r="GJ28" s="17"/>
      <c r="GK28" s="17"/>
      <c r="GL28" s="17"/>
      <c r="GM28" s="17"/>
      <c r="GN28" s="17"/>
      <c r="GO28" s="17"/>
      <c r="GP28" s="17"/>
      <c r="GQ28" s="17"/>
      <c r="GR28" s="17"/>
      <c r="GS28" s="17"/>
      <c r="GT28" s="17"/>
      <c r="GU28" s="17"/>
      <c r="GV28" s="17"/>
      <c r="GW28" s="17"/>
      <c r="GX28" s="17"/>
      <c r="GY28" s="17"/>
      <c r="GZ28" s="17"/>
      <c r="HA28" s="17"/>
      <c r="HB28" s="17"/>
      <c r="HC28" s="17"/>
      <c r="HD28" s="17"/>
      <c r="HE28" s="17"/>
      <c r="HF28" s="17"/>
      <c r="HG28" s="17"/>
      <c r="HH28" s="17"/>
      <c r="HI28" s="17"/>
      <c r="HJ28" s="17"/>
      <c r="HK28" s="17"/>
      <c r="HL28" s="17"/>
      <c r="HM28" s="17"/>
      <c r="HN28" s="17"/>
      <c r="HO28" s="17"/>
      <c r="HP28" s="17"/>
      <c r="HQ28" s="17"/>
      <c r="HR28" s="17"/>
      <c r="HS28" s="17"/>
      <c r="HT28" s="17"/>
      <c r="HU28" s="17"/>
      <c r="HV28" s="17"/>
      <c r="HW28" s="17"/>
      <c r="HX28" s="17"/>
      <c r="HY28" s="17"/>
      <c r="HZ28" s="17"/>
      <c r="IA28" s="17"/>
    </row>
    <row r="29" spans="1:235" x14ac:dyDescent="0.25">
      <c r="A29" s="15" t="str">
        <f>IF(Mitarbeiter!$A$27="","",Mitarbeiter!$A$27)</f>
        <v/>
      </c>
      <c r="B29" s="2" t="str">
        <f>IF(Mitarbeiter!$A$27="","",Mitarbeiter!$C$27)</f>
        <v/>
      </c>
      <c r="C29" s="16" t="str">
        <f>IF(Mitarbeiter!$A$27="","",Mitarbeiter!$D$27)</f>
        <v/>
      </c>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CK29" s="17"/>
      <c r="CL29" s="17"/>
      <c r="CM29" s="17"/>
      <c r="CN29" s="17"/>
      <c r="CO29" s="17"/>
      <c r="CP29" s="17"/>
      <c r="CQ29" s="17"/>
      <c r="CR29" s="17"/>
      <c r="CS29" s="17"/>
      <c r="CT29" s="17"/>
      <c r="CU29" s="17"/>
      <c r="CV29" s="17"/>
      <c r="CW29" s="17"/>
      <c r="CX29" s="17"/>
      <c r="CY29" s="17"/>
      <c r="CZ29" s="17"/>
      <c r="DA29" s="17"/>
      <c r="DB29" s="17"/>
      <c r="DC29" s="17"/>
      <c r="DD29" s="17"/>
      <c r="DE29" s="17"/>
      <c r="DF29" s="17"/>
      <c r="DG29" s="17"/>
      <c r="DH29" s="17"/>
      <c r="DI29" s="17"/>
      <c r="DJ29" s="17"/>
      <c r="DK29" s="17"/>
      <c r="DL29" s="17"/>
      <c r="DM29" s="17"/>
      <c r="DN29" s="17"/>
      <c r="DO29" s="17"/>
      <c r="DP29" s="17"/>
      <c r="DQ29" s="17"/>
      <c r="DR29" s="17"/>
      <c r="DS29" s="17"/>
      <c r="DT29" s="17"/>
      <c r="DU29" s="17"/>
      <c r="DV29" s="17"/>
      <c r="DW29" s="17"/>
      <c r="DX29" s="17"/>
      <c r="DY29" s="17"/>
      <c r="DZ29" s="17"/>
      <c r="EA29" s="17"/>
      <c r="EB29" s="17"/>
      <c r="EC29" s="17"/>
      <c r="ED29" s="17"/>
      <c r="EE29" s="17"/>
      <c r="EF29" s="17"/>
      <c r="EG29" s="17"/>
      <c r="EH29" s="17"/>
      <c r="EI29" s="17"/>
      <c r="EJ29" s="17"/>
      <c r="EK29" s="17"/>
      <c r="EL29" s="17"/>
      <c r="EM29" s="17"/>
      <c r="EN29" s="17"/>
      <c r="EO29" s="17"/>
      <c r="EP29" s="17"/>
      <c r="EQ29" s="17"/>
      <c r="ER29" s="17"/>
      <c r="ES29" s="17"/>
      <c r="ET29" s="17"/>
      <c r="EU29" s="17"/>
      <c r="EV29" s="17"/>
      <c r="EW29" s="17"/>
      <c r="EX29" s="17"/>
      <c r="EY29" s="17"/>
      <c r="EZ29" s="17"/>
      <c r="FA29" s="17"/>
      <c r="FB29" s="17"/>
      <c r="FC29" s="17"/>
      <c r="FD29" s="17"/>
      <c r="FE29" s="17"/>
      <c r="FF29" s="17"/>
      <c r="FG29" s="17"/>
      <c r="FH29" s="17"/>
      <c r="FI29" s="17"/>
      <c r="FJ29" s="17"/>
      <c r="FK29" s="17"/>
      <c r="FL29" s="17"/>
      <c r="FM29" s="17"/>
      <c r="FN29" s="17"/>
      <c r="FO29" s="17"/>
      <c r="FP29" s="17"/>
      <c r="FQ29" s="17"/>
      <c r="FR29" s="17"/>
      <c r="FS29" s="17"/>
      <c r="FT29" s="17"/>
      <c r="FU29" s="17"/>
      <c r="FV29" s="17"/>
      <c r="FW29" s="17"/>
      <c r="FX29" s="17"/>
      <c r="FY29" s="17"/>
      <c r="FZ29" s="17"/>
      <c r="GA29" s="17"/>
      <c r="GB29" s="17"/>
      <c r="GC29" s="17"/>
      <c r="GD29" s="17"/>
      <c r="GE29" s="17"/>
      <c r="GF29" s="17"/>
      <c r="GG29" s="17"/>
      <c r="GH29" s="17"/>
      <c r="GI29" s="17"/>
      <c r="GJ29" s="17"/>
      <c r="GK29" s="17"/>
      <c r="GL29" s="17"/>
      <c r="GM29" s="17"/>
      <c r="GN29" s="17"/>
      <c r="GO29" s="17"/>
      <c r="GP29" s="17"/>
      <c r="GQ29" s="17"/>
      <c r="GR29" s="17"/>
      <c r="GS29" s="17"/>
      <c r="GT29" s="17"/>
      <c r="GU29" s="17"/>
      <c r="GV29" s="17"/>
      <c r="GW29" s="17"/>
      <c r="GX29" s="17"/>
      <c r="GY29" s="17"/>
      <c r="GZ29" s="17"/>
      <c r="HA29" s="17"/>
      <c r="HB29" s="17"/>
      <c r="HC29" s="17"/>
      <c r="HD29" s="17"/>
      <c r="HE29" s="17"/>
      <c r="HF29" s="17"/>
      <c r="HG29" s="17"/>
      <c r="HH29" s="17"/>
      <c r="HI29" s="17"/>
      <c r="HJ29" s="17"/>
      <c r="HK29" s="17"/>
      <c r="HL29" s="17"/>
      <c r="HM29" s="17"/>
      <c r="HN29" s="17"/>
      <c r="HO29" s="17"/>
      <c r="HP29" s="17"/>
      <c r="HQ29" s="17"/>
      <c r="HR29" s="17"/>
      <c r="HS29" s="17"/>
      <c r="HT29" s="17"/>
      <c r="HU29" s="17"/>
      <c r="HV29" s="17"/>
      <c r="HW29" s="17"/>
      <c r="HX29" s="17"/>
      <c r="HY29" s="17"/>
      <c r="HZ29" s="17"/>
      <c r="IA29" s="17"/>
    </row>
    <row r="30" spans="1:235" x14ac:dyDescent="0.25">
      <c r="A30" s="15" t="str">
        <f>IF(Mitarbeiter!$A$28="","",Mitarbeiter!$A$28)</f>
        <v/>
      </c>
      <c r="B30" s="2" t="str">
        <f>IF(Mitarbeiter!$A$28="","",Mitarbeiter!$C$28)</f>
        <v/>
      </c>
      <c r="C30" s="16" t="str">
        <f>IF(Mitarbeiter!$A$28="","",Mitarbeiter!$D$28)</f>
        <v/>
      </c>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CK30" s="17"/>
      <c r="CL30" s="17"/>
      <c r="CM30" s="17"/>
      <c r="CN30" s="17"/>
      <c r="CO30" s="17"/>
      <c r="CP30" s="17"/>
      <c r="CQ30" s="17"/>
      <c r="CR30" s="17"/>
      <c r="CS30" s="17"/>
      <c r="CT30" s="17"/>
      <c r="CU30" s="17"/>
      <c r="CV30" s="17"/>
      <c r="CW30" s="17"/>
      <c r="CX30" s="17"/>
      <c r="CY30" s="17"/>
      <c r="CZ30" s="17"/>
      <c r="DA30" s="17"/>
      <c r="DB30" s="17"/>
      <c r="DC30" s="17"/>
      <c r="DD30" s="17"/>
      <c r="DE30" s="17"/>
      <c r="DF30" s="17"/>
      <c r="DG30" s="17"/>
      <c r="DH30" s="17"/>
      <c r="DI30" s="17"/>
      <c r="DJ30" s="17"/>
      <c r="DK30" s="17"/>
      <c r="DL30" s="17"/>
      <c r="DM30" s="17"/>
      <c r="DN30" s="17"/>
      <c r="DO30" s="17"/>
      <c r="DP30" s="17"/>
      <c r="DQ30" s="17"/>
      <c r="DR30" s="17"/>
      <c r="DS30" s="17"/>
      <c r="DT30" s="17"/>
      <c r="DU30" s="17"/>
      <c r="DV30" s="17"/>
      <c r="DW30" s="17"/>
      <c r="DX30" s="17"/>
      <c r="DY30" s="17"/>
      <c r="DZ30" s="17"/>
      <c r="EA30" s="17"/>
      <c r="EB30" s="17"/>
      <c r="EC30" s="17"/>
      <c r="ED30" s="17"/>
      <c r="EE30" s="17"/>
      <c r="EF30" s="17"/>
      <c r="EG30" s="17"/>
      <c r="EH30" s="17"/>
      <c r="EI30" s="17"/>
      <c r="EJ30" s="17"/>
      <c r="EK30" s="17"/>
      <c r="EL30" s="17"/>
      <c r="EM30" s="17"/>
      <c r="EN30" s="17"/>
      <c r="EO30" s="17"/>
      <c r="EP30" s="17"/>
      <c r="EQ30" s="17"/>
      <c r="ER30" s="17"/>
      <c r="ES30" s="17"/>
      <c r="ET30" s="17"/>
      <c r="EU30" s="17"/>
      <c r="EV30" s="17"/>
      <c r="EW30" s="17"/>
      <c r="EX30" s="17"/>
      <c r="EY30" s="17"/>
      <c r="EZ30" s="17"/>
      <c r="FA30" s="17"/>
      <c r="FB30" s="17"/>
      <c r="FC30" s="17"/>
      <c r="FD30" s="17"/>
      <c r="FE30" s="17"/>
      <c r="FF30" s="17"/>
      <c r="FG30" s="17"/>
      <c r="FH30" s="17"/>
      <c r="FI30" s="17"/>
      <c r="FJ30" s="17"/>
      <c r="FK30" s="17"/>
      <c r="FL30" s="17"/>
      <c r="FM30" s="17"/>
      <c r="FN30" s="17"/>
      <c r="FO30" s="17"/>
      <c r="FP30" s="17"/>
      <c r="FQ30" s="17"/>
      <c r="FR30" s="17"/>
      <c r="FS30" s="17"/>
      <c r="FT30" s="17"/>
      <c r="FU30" s="17"/>
      <c r="FV30" s="17"/>
      <c r="FW30" s="17"/>
      <c r="FX30" s="17"/>
      <c r="FY30" s="17"/>
      <c r="FZ30" s="17"/>
      <c r="GA30" s="17"/>
      <c r="GB30" s="17"/>
      <c r="GC30" s="17"/>
      <c r="GD30" s="17"/>
      <c r="GE30" s="17"/>
      <c r="GF30" s="17"/>
      <c r="GG30" s="17"/>
      <c r="GH30" s="17"/>
      <c r="GI30" s="17"/>
      <c r="GJ30" s="17"/>
      <c r="GK30" s="17"/>
      <c r="GL30" s="17"/>
      <c r="GM30" s="17"/>
      <c r="GN30" s="17"/>
      <c r="GO30" s="17"/>
      <c r="GP30" s="17"/>
      <c r="GQ30" s="17"/>
      <c r="GR30" s="17"/>
      <c r="GS30" s="17"/>
      <c r="GT30" s="17"/>
      <c r="GU30" s="17"/>
      <c r="GV30" s="17"/>
      <c r="GW30" s="17"/>
      <c r="GX30" s="17"/>
      <c r="GY30" s="17"/>
      <c r="GZ30" s="17"/>
      <c r="HA30" s="17"/>
      <c r="HB30" s="17"/>
      <c r="HC30" s="17"/>
      <c r="HD30" s="17"/>
      <c r="HE30" s="17"/>
      <c r="HF30" s="17"/>
      <c r="HG30" s="17"/>
      <c r="HH30" s="17"/>
      <c r="HI30" s="17"/>
      <c r="HJ30" s="17"/>
      <c r="HK30" s="17"/>
      <c r="HL30" s="17"/>
      <c r="HM30" s="17"/>
      <c r="HN30" s="17"/>
      <c r="HO30" s="17"/>
      <c r="HP30" s="17"/>
      <c r="HQ30" s="17"/>
      <c r="HR30" s="17"/>
      <c r="HS30" s="17"/>
      <c r="HT30" s="17"/>
      <c r="HU30" s="17"/>
      <c r="HV30" s="17"/>
      <c r="HW30" s="17"/>
      <c r="HX30" s="17"/>
      <c r="HY30" s="17"/>
      <c r="HZ30" s="17"/>
      <c r="IA30" s="17"/>
    </row>
    <row r="31" spans="1:235" x14ac:dyDescent="0.25">
      <c r="A31" s="15" t="str">
        <f>IF(Mitarbeiter!$A$29="","",Mitarbeiter!$A$29)</f>
        <v/>
      </c>
      <c r="B31" s="2" t="str">
        <f>IF(Mitarbeiter!$A$29="","",Mitarbeiter!$C$29)</f>
        <v/>
      </c>
      <c r="C31" s="16" t="str">
        <f>IF(Mitarbeiter!$A$29="","",Mitarbeiter!$D$29)</f>
        <v/>
      </c>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CK31" s="17"/>
      <c r="CL31" s="17"/>
      <c r="CM31" s="17"/>
      <c r="CN31" s="17"/>
      <c r="CO31" s="17"/>
      <c r="CP31" s="17"/>
      <c r="CQ31" s="17"/>
      <c r="CR31" s="17"/>
      <c r="CS31" s="17"/>
      <c r="CT31" s="17"/>
      <c r="CU31" s="17"/>
      <c r="CV31" s="17"/>
      <c r="CW31" s="17"/>
      <c r="CX31" s="17"/>
      <c r="CY31" s="17"/>
      <c r="CZ31" s="17"/>
      <c r="DA31" s="17"/>
      <c r="DB31" s="17"/>
      <c r="DC31" s="17"/>
      <c r="DD31" s="17"/>
      <c r="DE31" s="17"/>
      <c r="DF31" s="17"/>
      <c r="DG31" s="17"/>
      <c r="DH31" s="17"/>
      <c r="DI31" s="17"/>
      <c r="DJ31" s="17"/>
      <c r="DK31" s="17"/>
      <c r="DL31" s="17"/>
      <c r="DM31" s="17"/>
      <c r="DN31" s="17"/>
      <c r="DO31" s="17"/>
      <c r="DP31" s="17"/>
      <c r="DQ31" s="17"/>
      <c r="DR31" s="17"/>
      <c r="DS31" s="17"/>
      <c r="DT31" s="17"/>
      <c r="DU31" s="17"/>
      <c r="DV31" s="17"/>
      <c r="DW31" s="17"/>
      <c r="DX31" s="17"/>
      <c r="DY31" s="17"/>
      <c r="DZ31" s="17"/>
      <c r="EA31" s="17"/>
      <c r="EB31" s="17"/>
      <c r="EC31" s="17"/>
      <c r="ED31" s="17"/>
      <c r="EE31" s="17"/>
      <c r="EF31" s="17"/>
      <c r="EG31" s="17"/>
      <c r="EH31" s="17"/>
      <c r="EI31" s="17"/>
      <c r="EJ31" s="17"/>
      <c r="EK31" s="17"/>
      <c r="EL31" s="17"/>
      <c r="EM31" s="17"/>
      <c r="EN31" s="17"/>
      <c r="EO31" s="17"/>
      <c r="EP31" s="17"/>
      <c r="EQ31" s="17"/>
      <c r="ER31" s="17"/>
      <c r="ES31" s="17"/>
      <c r="ET31" s="17"/>
      <c r="EU31" s="17"/>
      <c r="EV31" s="17"/>
      <c r="EW31" s="17"/>
      <c r="EX31" s="17"/>
      <c r="EY31" s="17"/>
      <c r="EZ31" s="17"/>
      <c r="FA31" s="17"/>
      <c r="FB31" s="17"/>
      <c r="FC31" s="17"/>
      <c r="FD31" s="17"/>
      <c r="FE31" s="17"/>
      <c r="FF31" s="17"/>
      <c r="FG31" s="17"/>
      <c r="FH31" s="17"/>
      <c r="FI31" s="17"/>
      <c r="FJ31" s="17"/>
      <c r="FK31" s="17"/>
      <c r="FL31" s="17"/>
      <c r="FM31" s="17"/>
      <c r="FN31" s="17"/>
      <c r="FO31" s="17"/>
      <c r="FP31" s="17"/>
      <c r="FQ31" s="17"/>
      <c r="FR31" s="17"/>
      <c r="FS31" s="17"/>
      <c r="FT31" s="17"/>
      <c r="FU31" s="17"/>
      <c r="FV31" s="17"/>
      <c r="FW31" s="17"/>
      <c r="FX31" s="17"/>
      <c r="FY31" s="17"/>
      <c r="FZ31" s="17"/>
      <c r="GA31" s="17"/>
      <c r="GB31" s="17"/>
      <c r="GC31" s="17"/>
      <c r="GD31" s="17"/>
      <c r="GE31" s="17"/>
      <c r="GF31" s="17"/>
      <c r="GG31" s="17"/>
      <c r="GH31" s="17"/>
      <c r="GI31" s="17"/>
      <c r="GJ31" s="17"/>
      <c r="GK31" s="17"/>
      <c r="GL31" s="17"/>
      <c r="GM31" s="17"/>
      <c r="GN31" s="17"/>
      <c r="GO31" s="17"/>
      <c r="GP31" s="17"/>
      <c r="GQ31" s="17"/>
      <c r="GR31" s="17"/>
      <c r="GS31" s="17"/>
      <c r="GT31" s="17"/>
      <c r="GU31" s="17"/>
      <c r="GV31" s="17"/>
      <c r="GW31" s="17"/>
      <c r="GX31" s="17"/>
      <c r="GY31" s="17"/>
      <c r="GZ31" s="17"/>
      <c r="HA31" s="17"/>
      <c r="HB31" s="17"/>
      <c r="HC31" s="17"/>
      <c r="HD31" s="17"/>
      <c r="HE31" s="17"/>
      <c r="HF31" s="17"/>
      <c r="HG31" s="17"/>
      <c r="HH31" s="17"/>
      <c r="HI31" s="17"/>
      <c r="HJ31" s="17"/>
      <c r="HK31" s="17"/>
      <c r="HL31" s="17"/>
      <c r="HM31" s="17"/>
      <c r="HN31" s="17"/>
      <c r="HO31" s="17"/>
      <c r="HP31" s="17"/>
      <c r="HQ31" s="17"/>
      <c r="HR31" s="17"/>
      <c r="HS31" s="17"/>
      <c r="HT31" s="17"/>
      <c r="HU31" s="17"/>
      <c r="HV31" s="17"/>
      <c r="HW31" s="17"/>
      <c r="HX31" s="17"/>
      <c r="HY31" s="17"/>
      <c r="HZ31" s="17"/>
      <c r="IA31" s="17"/>
    </row>
    <row r="32" spans="1:235" x14ac:dyDescent="0.25">
      <c r="A32" s="15" t="str">
        <f>IF(Mitarbeiter!$A$30="","",Mitarbeiter!$A$30)</f>
        <v/>
      </c>
      <c r="B32" s="2" t="str">
        <f>IF(Mitarbeiter!$A$30="","",Mitarbeiter!$C$30)</f>
        <v/>
      </c>
      <c r="C32" s="16" t="str">
        <f>IF(Mitarbeiter!$A$30="","",Mitarbeiter!$D$30)</f>
        <v/>
      </c>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CK32" s="17"/>
      <c r="CL32" s="17"/>
      <c r="CM32" s="17"/>
      <c r="CN32" s="17"/>
      <c r="CO32" s="17"/>
      <c r="CP32" s="17"/>
      <c r="CQ32" s="17"/>
      <c r="CR32" s="17"/>
      <c r="CS32" s="17"/>
      <c r="CT32" s="17"/>
      <c r="CU32" s="17"/>
      <c r="CV32" s="17"/>
      <c r="CW32" s="17"/>
      <c r="CX32" s="17"/>
      <c r="CY32" s="17"/>
      <c r="CZ32" s="17"/>
      <c r="DA32" s="17"/>
      <c r="DB32" s="17"/>
      <c r="DC32" s="17"/>
      <c r="DD32" s="17"/>
      <c r="DE32" s="17"/>
      <c r="DF32" s="17"/>
      <c r="DG32" s="17"/>
      <c r="DH32" s="17"/>
      <c r="DI32" s="17"/>
      <c r="DJ32" s="17"/>
      <c r="DK32" s="17"/>
      <c r="DL32" s="17"/>
      <c r="DM32" s="17"/>
      <c r="DN32" s="17"/>
      <c r="DO32" s="17"/>
      <c r="DP32" s="17"/>
      <c r="DQ32" s="17"/>
      <c r="DR32" s="17"/>
      <c r="DS32" s="17"/>
      <c r="DT32" s="17"/>
      <c r="DU32" s="17"/>
      <c r="DV32" s="17"/>
      <c r="DW32" s="17"/>
      <c r="DX32" s="17"/>
      <c r="DY32" s="17"/>
      <c r="DZ32" s="17"/>
      <c r="EA32" s="17"/>
      <c r="EB32" s="17"/>
      <c r="EC32" s="17"/>
      <c r="ED32" s="17"/>
      <c r="EE32" s="17"/>
      <c r="EF32" s="17"/>
      <c r="EG32" s="17"/>
      <c r="EH32" s="17"/>
      <c r="EI32" s="17"/>
      <c r="EJ32" s="17"/>
      <c r="EK32" s="17"/>
      <c r="EL32" s="17"/>
      <c r="EM32" s="17"/>
      <c r="EN32" s="17"/>
      <c r="EO32" s="17"/>
      <c r="EP32" s="17"/>
      <c r="EQ32" s="17"/>
      <c r="ER32" s="17"/>
      <c r="ES32" s="17"/>
      <c r="ET32" s="17"/>
      <c r="EU32" s="17"/>
      <c r="EV32" s="17"/>
      <c r="EW32" s="17"/>
      <c r="EX32" s="17"/>
      <c r="EY32" s="17"/>
      <c r="EZ32" s="17"/>
      <c r="FA32" s="17"/>
      <c r="FB32" s="17"/>
      <c r="FC32" s="17"/>
      <c r="FD32" s="17"/>
      <c r="FE32" s="17"/>
      <c r="FF32" s="17"/>
      <c r="FG32" s="17"/>
      <c r="FH32" s="17"/>
      <c r="FI32" s="17"/>
      <c r="FJ32" s="17"/>
      <c r="FK32" s="17"/>
      <c r="FL32" s="17"/>
      <c r="FM32" s="17"/>
      <c r="FN32" s="17"/>
      <c r="FO32" s="17"/>
      <c r="FP32" s="17"/>
      <c r="FQ32" s="17"/>
      <c r="FR32" s="17"/>
      <c r="FS32" s="17"/>
      <c r="FT32" s="17"/>
      <c r="FU32" s="17"/>
      <c r="FV32" s="17"/>
      <c r="FW32" s="17"/>
      <c r="FX32" s="17"/>
      <c r="FY32" s="17"/>
      <c r="FZ32" s="17"/>
      <c r="GA32" s="17"/>
      <c r="GB32" s="17"/>
      <c r="GC32" s="17"/>
      <c r="GD32" s="17"/>
      <c r="GE32" s="17"/>
      <c r="GF32" s="17"/>
      <c r="GG32" s="17"/>
      <c r="GH32" s="17"/>
      <c r="GI32" s="17"/>
      <c r="GJ32" s="17"/>
      <c r="GK32" s="17"/>
      <c r="GL32" s="17"/>
      <c r="GM32" s="17"/>
      <c r="GN32" s="17"/>
      <c r="GO32" s="17"/>
      <c r="GP32" s="17"/>
      <c r="GQ32" s="17"/>
      <c r="GR32" s="17"/>
      <c r="GS32" s="17"/>
      <c r="GT32" s="17"/>
      <c r="GU32" s="17"/>
      <c r="GV32" s="17"/>
      <c r="GW32" s="17"/>
      <c r="GX32" s="17"/>
      <c r="GY32" s="17"/>
      <c r="GZ32" s="17"/>
      <c r="HA32" s="17"/>
      <c r="HB32" s="17"/>
      <c r="HC32" s="17"/>
      <c r="HD32" s="17"/>
      <c r="HE32" s="17"/>
      <c r="HF32" s="17"/>
      <c r="HG32" s="17"/>
      <c r="HH32" s="17"/>
      <c r="HI32" s="17"/>
      <c r="HJ32" s="17"/>
      <c r="HK32" s="17"/>
      <c r="HL32" s="17"/>
      <c r="HM32" s="17"/>
      <c r="HN32" s="17"/>
      <c r="HO32" s="17"/>
      <c r="HP32" s="17"/>
      <c r="HQ32" s="17"/>
      <c r="HR32" s="17"/>
      <c r="HS32" s="17"/>
      <c r="HT32" s="17"/>
      <c r="HU32" s="17"/>
      <c r="HV32" s="17"/>
      <c r="HW32" s="17"/>
      <c r="HX32" s="17"/>
      <c r="HY32" s="17"/>
      <c r="HZ32" s="17"/>
      <c r="IA32" s="17"/>
    </row>
    <row r="33" spans="1:235" x14ac:dyDescent="0.25">
      <c r="A33" s="15" t="str">
        <f>IF(Mitarbeiter!$A$31="","",Mitarbeiter!$A$31)</f>
        <v/>
      </c>
      <c r="B33" s="2" t="str">
        <f>IF(Mitarbeiter!$A$31="","",Mitarbeiter!$C$31)</f>
        <v/>
      </c>
      <c r="C33" s="16" t="str">
        <f>IF(Mitarbeiter!$A$31="","",Mitarbeiter!$D$31)</f>
        <v/>
      </c>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c r="CK33" s="17"/>
      <c r="CL33" s="17"/>
      <c r="CM33" s="17"/>
      <c r="CN33" s="17"/>
      <c r="CO33" s="17"/>
      <c r="CP33" s="17"/>
      <c r="CQ33" s="17"/>
      <c r="CR33" s="17"/>
      <c r="CS33" s="17"/>
      <c r="CT33" s="17"/>
      <c r="CU33" s="17"/>
      <c r="CV33" s="17"/>
      <c r="CW33" s="17"/>
      <c r="CX33" s="17"/>
      <c r="CY33" s="17"/>
      <c r="CZ33" s="17"/>
      <c r="DA33" s="17"/>
      <c r="DB33" s="17"/>
      <c r="DC33" s="17"/>
      <c r="DD33" s="17"/>
      <c r="DE33" s="17"/>
      <c r="DF33" s="17"/>
      <c r="DG33" s="17"/>
      <c r="DH33" s="17"/>
      <c r="DI33" s="17"/>
      <c r="DJ33" s="17"/>
      <c r="DK33" s="17"/>
      <c r="DL33" s="17"/>
      <c r="DM33" s="17"/>
      <c r="DN33" s="17"/>
      <c r="DO33" s="17"/>
      <c r="DP33" s="17"/>
      <c r="DQ33" s="17"/>
      <c r="DR33" s="17"/>
      <c r="DS33" s="17"/>
      <c r="DT33" s="17"/>
      <c r="DU33" s="17"/>
      <c r="DV33" s="17"/>
      <c r="DW33" s="17"/>
      <c r="DX33" s="17"/>
      <c r="DY33" s="17"/>
      <c r="DZ33" s="17"/>
      <c r="EA33" s="17"/>
      <c r="EB33" s="17"/>
      <c r="EC33" s="17"/>
      <c r="ED33" s="17"/>
      <c r="EE33" s="17"/>
      <c r="EF33" s="17"/>
      <c r="EG33" s="17"/>
      <c r="EH33" s="17"/>
      <c r="EI33" s="17"/>
      <c r="EJ33" s="17"/>
      <c r="EK33" s="17"/>
      <c r="EL33" s="17"/>
      <c r="EM33" s="17"/>
      <c r="EN33" s="17"/>
      <c r="EO33" s="17"/>
      <c r="EP33" s="17"/>
      <c r="EQ33" s="17"/>
      <c r="ER33" s="17"/>
      <c r="ES33" s="17"/>
      <c r="ET33" s="17"/>
      <c r="EU33" s="17"/>
      <c r="EV33" s="17"/>
      <c r="EW33" s="17"/>
      <c r="EX33" s="17"/>
      <c r="EY33" s="17"/>
      <c r="EZ33" s="17"/>
      <c r="FA33" s="17"/>
      <c r="FB33" s="17"/>
      <c r="FC33" s="17"/>
      <c r="FD33" s="17"/>
      <c r="FE33" s="17"/>
      <c r="FF33" s="17"/>
      <c r="FG33" s="17"/>
      <c r="FH33" s="17"/>
      <c r="FI33" s="17"/>
      <c r="FJ33" s="17"/>
      <c r="FK33" s="17"/>
      <c r="FL33" s="17"/>
      <c r="FM33" s="17"/>
      <c r="FN33" s="17"/>
      <c r="FO33" s="17"/>
      <c r="FP33" s="17"/>
      <c r="FQ33" s="17"/>
      <c r="FR33" s="17"/>
      <c r="FS33" s="17"/>
      <c r="FT33" s="17"/>
      <c r="FU33" s="17"/>
      <c r="FV33" s="17"/>
      <c r="FW33" s="17"/>
      <c r="FX33" s="17"/>
      <c r="FY33" s="17"/>
      <c r="FZ33" s="17"/>
      <c r="GA33" s="17"/>
      <c r="GB33" s="17"/>
      <c r="GC33" s="17"/>
      <c r="GD33" s="17"/>
      <c r="GE33" s="17"/>
      <c r="GF33" s="17"/>
      <c r="GG33" s="17"/>
      <c r="GH33" s="17"/>
      <c r="GI33" s="17"/>
      <c r="GJ33" s="17"/>
      <c r="GK33" s="17"/>
      <c r="GL33" s="17"/>
      <c r="GM33" s="17"/>
      <c r="GN33" s="17"/>
      <c r="GO33" s="17"/>
      <c r="GP33" s="17"/>
      <c r="GQ33" s="17"/>
      <c r="GR33" s="17"/>
      <c r="GS33" s="17"/>
      <c r="GT33" s="17"/>
      <c r="GU33" s="17"/>
      <c r="GV33" s="17"/>
      <c r="GW33" s="17"/>
      <c r="GX33" s="17"/>
      <c r="GY33" s="17"/>
      <c r="GZ33" s="17"/>
      <c r="HA33" s="17"/>
      <c r="HB33" s="17"/>
      <c r="HC33" s="17"/>
      <c r="HD33" s="17"/>
      <c r="HE33" s="17"/>
      <c r="HF33" s="17"/>
      <c r="HG33" s="17"/>
      <c r="HH33" s="17"/>
      <c r="HI33" s="17"/>
      <c r="HJ33" s="17"/>
      <c r="HK33" s="17"/>
      <c r="HL33" s="17"/>
      <c r="HM33" s="17"/>
      <c r="HN33" s="17"/>
      <c r="HO33" s="17"/>
      <c r="HP33" s="17"/>
      <c r="HQ33" s="17"/>
      <c r="HR33" s="17"/>
      <c r="HS33" s="17"/>
      <c r="HT33" s="17"/>
      <c r="HU33" s="17"/>
      <c r="HV33" s="17"/>
      <c r="HW33" s="17"/>
      <c r="HX33" s="17"/>
      <c r="HY33" s="17"/>
      <c r="HZ33" s="17"/>
      <c r="IA33" s="17"/>
    </row>
    <row r="34" spans="1:235" x14ac:dyDescent="0.25">
      <c r="A34" s="15" t="str">
        <f>IF(Mitarbeiter!$A$32="","",Mitarbeiter!$A$32)</f>
        <v/>
      </c>
      <c r="B34" s="2" t="str">
        <f>IF(Mitarbeiter!$A$32="","",Mitarbeiter!$C$32)</f>
        <v/>
      </c>
      <c r="C34" s="16" t="str">
        <f>IF(Mitarbeiter!$A$32="","",Mitarbeiter!$D$32)</f>
        <v/>
      </c>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c r="EQ34" s="17"/>
      <c r="ER34" s="17"/>
      <c r="ES34" s="17"/>
      <c r="ET34" s="17"/>
      <c r="EU34" s="17"/>
      <c r="EV34" s="17"/>
      <c r="EW34" s="17"/>
      <c r="EX34" s="17"/>
      <c r="EY34" s="17"/>
      <c r="EZ34" s="17"/>
      <c r="FA34" s="17"/>
      <c r="FB34" s="17"/>
      <c r="FC34" s="17"/>
      <c r="FD34" s="17"/>
      <c r="FE34" s="17"/>
      <c r="FF34" s="17"/>
      <c r="FG34" s="17"/>
      <c r="FH34" s="17"/>
      <c r="FI34" s="17"/>
      <c r="FJ34" s="17"/>
      <c r="FK34" s="17"/>
      <c r="FL34" s="17"/>
      <c r="FM34" s="17"/>
      <c r="FN34" s="17"/>
      <c r="FO34" s="17"/>
      <c r="FP34" s="17"/>
      <c r="FQ34" s="17"/>
      <c r="FR34" s="17"/>
      <c r="FS34" s="17"/>
      <c r="FT34" s="17"/>
      <c r="FU34" s="17"/>
      <c r="FV34" s="17"/>
      <c r="FW34" s="17"/>
      <c r="FX34" s="17"/>
      <c r="FY34" s="17"/>
      <c r="FZ34" s="17"/>
      <c r="GA34" s="17"/>
      <c r="GB34" s="17"/>
      <c r="GC34" s="17"/>
      <c r="GD34" s="17"/>
      <c r="GE34" s="17"/>
      <c r="GF34" s="17"/>
      <c r="GG34" s="17"/>
      <c r="GH34" s="17"/>
      <c r="GI34" s="17"/>
      <c r="GJ34" s="17"/>
      <c r="GK34" s="17"/>
      <c r="GL34" s="17"/>
      <c r="GM34" s="17"/>
      <c r="GN34" s="17"/>
      <c r="GO34" s="17"/>
      <c r="GP34" s="17"/>
      <c r="GQ34" s="17"/>
      <c r="GR34" s="17"/>
      <c r="GS34" s="17"/>
      <c r="GT34" s="17"/>
      <c r="GU34" s="17"/>
      <c r="GV34" s="17"/>
      <c r="GW34" s="17"/>
      <c r="GX34" s="17"/>
      <c r="GY34" s="17"/>
      <c r="GZ34" s="17"/>
      <c r="HA34" s="17"/>
      <c r="HB34" s="17"/>
      <c r="HC34" s="17"/>
      <c r="HD34" s="17"/>
      <c r="HE34" s="17"/>
      <c r="HF34" s="17"/>
      <c r="HG34" s="17"/>
      <c r="HH34" s="17"/>
      <c r="HI34" s="17"/>
      <c r="HJ34" s="17"/>
      <c r="HK34" s="17"/>
      <c r="HL34" s="17"/>
      <c r="HM34" s="17"/>
      <c r="HN34" s="17"/>
      <c r="HO34" s="17"/>
      <c r="HP34" s="17"/>
      <c r="HQ34" s="17"/>
      <c r="HR34" s="17"/>
      <c r="HS34" s="17"/>
      <c r="HT34" s="17"/>
      <c r="HU34" s="17"/>
      <c r="HV34" s="17"/>
      <c r="HW34" s="17"/>
      <c r="HX34" s="17"/>
      <c r="HY34" s="17"/>
      <c r="HZ34" s="17"/>
      <c r="IA34" s="17"/>
    </row>
    <row r="35" spans="1:235" x14ac:dyDescent="0.25">
      <c r="A35" s="15" t="str">
        <f>IF(Mitarbeiter!$A$33="","",Mitarbeiter!$A$33)</f>
        <v/>
      </c>
      <c r="B35" s="2" t="str">
        <f>IF(Mitarbeiter!$A$33="","",Mitarbeiter!$C$33)</f>
        <v/>
      </c>
      <c r="C35" s="16" t="str">
        <f>IF(Mitarbeiter!$A$33="","",Mitarbeiter!$D$33)</f>
        <v/>
      </c>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c r="EQ35" s="17"/>
      <c r="ER35" s="17"/>
      <c r="ES35" s="17"/>
      <c r="ET35" s="17"/>
      <c r="EU35" s="17"/>
      <c r="EV35" s="17"/>
      <c r="EW35" s="17"/>
      <c r="EX35" s="17"/>
      <c r="EY35" s="17"/>
      <c r="EZ35" s="17"/>
      <c r="FA35" s="17"/>
      <c r="FB35" s="17"/>
      <c r="FC35" s="17"/>
      <c r="FD35" s="17"/>
      <c r="FE35" s="17"/>
      <c r="FF35" s="17"/>
      <c r="FG35" s="17"/>
      <c r="FH35" s="17"/>
      <c r="FI35" s="17"/>
      <c r="FJ35" s="17"/>
      <c r="FK35" s="17"/>
      <c r="FL35" s="17"/>
      <c r="FM35" s="17"/>
      <c r="FN35" s="17"/>
      <c r="FO35" s="17"/>
      <c r="FP35" s="17"/>
      <c r="FQ35" s="17"/>
      <c r="FR35" s="17"/>
      <c r="FS35" s="17"/>
      <c r="FT35" s="17"/>
      <c r="FU35" s="17"/>
      <c r="FV35" s="17"/>
      <c r="FW35" s="17"/>
      <c r="FX35" s="17"/>
      <c r="FY35" s="17"/>
      <c r="FZ35" s="17"/>
      <c r="GA35" s="17"/>
      <c r="GB35" s="17"/>
      <c r="GC35" s="17"/>
      <c r="GD35" s="17"/>
      <c r="GE35" s="17"/>
      <c r="GF35" s="17"/>
      <c r="GG35" s="17"/>
      <c r="GH35" s="17"/>
      <c r="GI35" s="17"/>
      <c r="GJ35" s="17"/>
      <c r="GK35" s="17"/>
      <c r="GL35" s="17"/>
      <c r="GM35" s="17"/>
      <c r="GN35" s="17"/>
      <c r="GO35" s="17"/>
      <c r="GP35" s="17"/>
      <c r="GQ35" s="17"/>
      <c r="GR35" s="17"/>
      <c r="GS35" s="17"/>
      <c r="GT35" s="17"/>
      <c r="GU35" s="17"/>
      <c r="GV35" s="17"/>
      <c r="GW35" s="17"/>
      <c r="GX35" s="17"/>
      <c r="GY35" s="17"/>
      <c r="GZ35" s="17"/>
      <c r="HA35" s="17"/>
      <c r="HB35" s="17"/>
      <c r="HC35" s="17"/>
      <c r="HD35" s="17"/>
      <c r="HE35" s="17"/>
      <c r="HF35" s="17"/>
      <c r="HG35" s="17"/>
      <c r="HH35" s="17"/>
      <c r="HI35" s="17"/>
      <c r="HJ35" s="17"/>
      <c r="HK35" s="17"/>
      <c r="HL35" s="17"/>
      <c r="HM35" s="17"/>
      <c r="HN35" s="17"/>
      <c r="HO35" s="17"/>
      <c r="HP35" s="17"/>
      <c r="HQ35" s="17"/>
      <c r="HR35" s="17"/>
      <c r="HS35" s="17"/>
      <c r="HT35" s="17"/>
      <c r="HU35" s="17"/>
      <c r="HV35" s="17"/>
      <c r="HW35" s="17"/>
      <c r="HX35" s="17"/>
      <c r="HY35" s="17"/>
      <c r="HZ35" s="17"/>
      <c r="IA35" s="17"/>
    </row>
    <row r="36" spans="1:235" x14ac:dyDescent="0.25">
      <c r="A36" s="15" t="str">
        <f>IF(Mitarbeiter!$A$34="","",Mitarbeiter!$A$34)</f>
        <v/>
      </c>
      <c r="B36" s="2" t="str">
        <f>IF(Mitarbeiter!$A$34="","",Mitarbeiter!$C$34)</f>
        <v/>
      </c>
      <c r="C36" s="16" t="str">
        <f>IF(Mitarbeiter!$A$34="","",Mitarbeiter!$D$34)</f>
        <v/>
      </c>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c r="EQ36" s="17"/>
      <c r="ER36" s="17"/>
      <c r="ES36" s="17"/>
      <c r="ET36" s="17"/>
      <c r="EU36" s="17"/>
      <c r="EV36" s="17"/>
      <c r="EW36" s="17"/>
      <c r="EX36" s="17"/>
      <c r="EY36" s="17"/>
      <c r="EZ36" s="17"/>
      <c r="FA36" s="17"/>
      <c r="FB36" s="17"/>
      <c r="FC36" s="17"/>
      <c r="FD36" s="17"/>
      <c r="FE36" s="17"/>
      <c r="FF36" s="17"/>
      <c r="FG36" s="17"/>
      <c r="FH36" s="17"/>
      <c r="FI36" s="17"/>
      <c r="FJ36" s="17"/>
      <c r="FK36" s="17"/>
      <c r="FL36" s="17"/>
      <c r="FM36" s="17"/>
      <c r="FN36" s="17"/>
      <c r="FO36" s="17"/>
      <c r="FP36" s="17"/>
      <c r="FQ36" s="17"/>
      <c r="FR36" s="17"/>
      <c r="FS36" s="17"/>
      <c r="FT36" s="17"/>
      <c r="FU36" s="17"/>
      <c r="FV36" s="17"/>
      <c r="FW36" s="17"/>
      <c r="FX36" s="17"/>
      <c r="FY36" s="17"/>
      <c r="FZ36" s="17"/>
      <c r="GA36" s="17"/>
      <c r="GB36" s="17"/>
      <c r="GC36" s="17"/>
      <c r="GD36" s="17"/>
      <c r="GE36" s="17"/>
      <c r="GF36" s="17"/>
      <c r="GG36" s="17"/>
      <c r="GH36" s="17"/>
      <c r="GI36" s="17"/>
      <c r="GJ36" s="17"/>
      <c r="GK36" s="17"/>
      <c r="GL36" s="17"/>
      <c r="GM36" s="17"/>
      <c r="GN36" s="17"/>
      <c r="GO36" s="17"/>
      <c r="GP36" s="17"/>
      <c r="GQ36" s="17"/>
      <c r="GR36" s="17"/>
      <c r="GS36" s="17"/>
      <c r="GT36" s="17"/>
      <c r="GU36" s="17"/>
      <c r="GV36" s="17"/>
      <c r="GW36" s="17"/>
      <c r="GX36" s="17"/>
      <c r="GY36" s="17"/>
      <c r="GZ36" s="17"/>
      <c r="HA36" s="17"/>
      <c r="HB36" s="17"/>
      <c r="HC36" s="17"/>
      <c r="HD36" s="17"/>
      <c r="HE36" s="17"/>
      <c r="HF36" s="17"/>
      <c r="HG36" s="17"/>
      <c r="HH36" s="17"/>
      <c r="HI36" s="17"/>
      <c r="HJ36" s="17"/>
      <c r="HK36" s="17"/>
      <c r="HL36" s="17"/>
      <c r="HM36" s="17"/>
      <c r="HN36" s="17"/>
      <c r="HO36" s="17"/>
      <c r="HP36" s="17"/>
      <c r="HQ36" s="17"/>
      <c r="HR36" s="17"/>
      <c r="HS36" s="17"/>
      <c r="HT36" s="17"/>
      <c r="HU36" s="17"/>
      <c r="HV36" s="17"/>
      <c r="HW36" s="17"/>
      <c r="HX36" s="17"/>
      <c r="HY36" s="17"/>
      <c r="HZ36" s="17"/>
      <c r="IA36" s="17"/>
    </row>
    <row r="37" spans="1:235" x14ac:dyDescent="0.25">
      <c r="A37" s="15" t="str">
        <f>IF(Mitarbeiter!$A$35="","",Mitarbeiter!$A$35)</f>
        <v/>
      </c>
      <c r="B37" s="2" t="str">
        <f>IF(Mitarbeiter!$A$35="","",Mitarbeiter!$C$35)</f>
        <v/>
      </c>
      <c r="C37" s="16" t="str">
        <f>IF(Mitarbeiter!$A$35="","",Mitarbeiter!$D$35)</f>
        <v/>
      </c>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c r="CK37" s="17"/>
      <c r="CL37" s="17"/>
      <c r="CM37" s="17"/>
      <c r="CN37" s="17"/>
      <c r="CO37" s="17"/>
      <c r="CP37" s="17"/>
      <c r="CQ37" s="17"/>
      <c r="CR37" s="17"/>
      <c r="CS37" s="17"/>
      <c r="CT37" s="17"/>
      <c r="CU37" s="17"/>
      <c r="CV37" s="17"/>
      <c r="CW37" s="17"/>
      <c r="CX37" s="17"/>
      <c r="CY37" s="17"/>
      <c r="CZ37" s="17"/>
      <c r="DA37" s="17"/>
      <c r="DB37" s="17"/>
      <c r="DC37" s="17"/>
      <c r="DD37" s="17"/>
      <c r="DE37" s="17"/>
      <c r="DF37" s="17"/>
      <c r="DG37" s="17"/>
      <c r="DH37" s="17"/>
      <c r="DI37" s="17"/>
      <c r="DJ37" s="17"/>
      <c r="DK37" s="17"/>
      <c r="DL37" s="17"/>
      <c r="DM37" s="17"/>
      <c r="DN37" s="17"/>
      <c r="DO37" s="17"/>
      <c r="DP37" s="17"/>
      <c r="DQ37" s="17"/>
      <c r="DR37" s="17"/>
      <c r="DS37" s="17"/>
      <c r="DT37" s="17"/>
      <c r="DU37" s="17"/>
      <c r="DV37" s="17"/>
      <c r="DW37" s="17"/>
      <c r="DX37" s="17"/>
      <c r="DY37" s="17"/>
      <c r="DZ37" s="17"/>
      <c r="EA37" s="17"/>
      <c r="EB37" s="17"/>
      <c r="EC37" s="17"/>
      <c r="ED37" s="17"/>
      <c r="EE37" s="17"/>
      <c r="EF37" s="17"/>
      <c r="EG37" s="17"/>
      <c r="EH37" s="17"/>
      <c r="EI37" s="17"/>
      <c r="EJ37" s="17"/>
      <c r="EK37" s="17"/>
      <c r="EL37" s="17"/>
      <c r="EM37" s="17"/>
      <c r="EN37" s="17"/>
      <c r="EO37" s="17"/>
      <c r="EP37" s="17"/>
      <c r="EQ37" s="17"/>
      <c r="ER37" s="17"/>
      <c r="ES37" s="17"/>
      <c r="ET37" s="17"/>
      <c r="EU37" s="17"/>
      <c r="EV37" s="17"/>
      <c r="EW37" s="17"/>
      <c r="EX37" s="17"/>
      <c r="EY37" s="17"/>
      <c r="EZ37" s="17"/>
      <c r="FA37" s="17"/>
      <c r="FB37" s="17"/>
      <c r="FC37" s="17"/>
      <c r="FD37" s="17"/>
      <c r="FE37" s="17"/>
      <c r="FF37" s="17"/>
      <c r="FG37" s="17"/>
      <c r="FH37" s="17"/>
      <c r="FI37" s="17"/>
      <c r="FJ37" s="17"/>
      <c r="FK37" s="17"/>
      <c r="FL37" s="17"/>
      <c r="FM37" s="17"/>
      <c r="FN37" s="17"/>
      <c r="FO37" s="17"/>
      <c r="FP37" s="17"/>
      <c r="FQ37" s="17"/>
      <c r="FR37" s="17"/>
      <c r="FS37" s="17"/>
      <c r="FT37" s="17"/>
      <c r="FU37" s="17"/>
      <c r="FV37" s="17"/>
      <c r="FW37" s="17"/>
      <c r="FX37" s="17"/>
      <c r="FY37" s="17"/>
      <c r="FZ37" s="17"/>
      <c r="GA37" s="17"/>
      <c r="GB37" s="17"/>
      <c r="GC37" s="17"/>
      <c r="GD37" s="17"/>
      <c r="GE37" s="17"/>
      <c r="GF37" s="17"/>
      <c r="GG37" s="17"/>
      <c r="GH37" s="17"/>
      <c r="GI37" s="17"/>
      <c r="GJ37" s="17"/>
      <c r="GK37" s="17"/>
      <c r="GL37" s="17"/>
      <c r="GM37" s="17"/>
      <c r="GN37" s="17"/>
      <c r="GO37" s="17"/>
      <c r="GP37" s="17"/>
      <c r="GQ37" s="17"/>
      <c r="GR37" s="17"/>
      <c r="GS37" s="17"/>
      <c r="GT37" s="17"/>
      <c r="GU37" s="17"/>
      <c r="GV37" s="17"/>
      <c r="GW37" s="17"/>
      <c r="GX37" s="17"/>
      <c r="GY37" s="17"/>
      <c r="GZ37" s="17"/>
      <c r="HA37" s="17"/>
      <c r="HB37" s="17"/>
      <c r="HC37" s="17"/>
      <c r="HD37" s="17"/>
      <c r="HE37" s="17"/>
      <c r="HF37" s="17"/>
      <c r="HG37" s="17"/>
      <c r="HH37" s="17"/>
      <c r="HI37" s="17"/>
      <c r="HJ37" s="17"/>
      <c r="HK37" s="17"/>
      <c r="HL37" s="17"/>
      <c r="HM37" s="17"/>
      <c r="HN37" s="17"/>
      <c r="HO37" s="17"/>
      <c r="HP37" s="17"/>
      <c r="HQ37" s="17"/>
      <c r="HR37" s="17"/>
      <c r="HS37" s="17"/>
      <c r="HT37" s="17"/>
      <c r="HU37" s="17"/>
      <c r="HV37" s="17"/>
      <c r="HW37" s="17"/>
      <c r="HX37" s="17"/>
      <c r="HY37" s="17"/>
      <c r="HZ37" s="17"/>
      <c r="IA37" s="17"/>
    </row>
    <row r="38" spans="1:235" x14ac:dyDescent="0.25">
      <c r="A38" s="15" t="str">
        <f>IF(Mitarbeiter!$A$36="","",Mitarbeiter!$A$36)</f>
        <v/>
      </c>
      <c r="B38" s="2" t="str">
        <f>IF(Mitarbeiter!$A$36="","",Mitarbeiter!$C$36)</f>
        <v/>
      </c>
      <c r="C38" s="16" t="str">
        <f>IF(Mitarbeiter!$A$36="","",Mitarbeiter!$D$36)</f>
        <v/>
      </c>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c r="CK38" s="17"/>
      <c r="CL38" s="17"/>
      <c r="CM38" s="17"/>
      <c r="CN38" s="17"/>
      <c r="CO38" s="17"/>
      <c r="CP38" s="17"/>
      <c r="CQ38" s="17"/>
      <c r="CR38" s="17"/>
      <c r="CS38" s="17"/>
      <c r="CT38" s="17"/>
      <c r="CU38" s="17"/>
      <c r="CV38" s="17"/>
      <c r="CW38" s="17"/>
      <c r="CX38" s="17"/>
      <c r="CY38" s="17"/>
      <c r="CZ38" s="17"/>
      <c r="DA38" s="17"/>
      <c r="DB38" s="17"/>
      <c r="DC38" s="17"/>
      <c r="DD38" s="17"/>
      <c r="DE38" s="17"/>
      <c r="DF38" s="17"/>
      <c r="DG38" s="17"/>
      <c r="DH38" s="17"/>
      <c r="DI38" s="17"/>
      <c r="DJ38" s="17"/>
      <c r="DK38" s="17"/>
      <c r="DL38" s="17"/>
      <c r="DM38" s="17"/>
      <c r="DN38" s="17"/>
      <c r="DO38" s="17"/>
      <c r="DP38" s="17"/>
      <c r="DQ38" s="17"/>
      <c r="DR38" s="17"/>
      <c r="DS38" s="17"/>
      <c r="DT38" s="17"/>
      <c r="DU38" s="17"/>
      <c r="DV38" s="17"/>
      <c r="DW38" s="17"/>
      <c r="DX38" s="17"/>
      <c r="DY38" s="17"/>
      <c r="DZ38" s="17"/>
      <c r="EA38" s="17"/>
      <c r="EB38" s="17"/>
      <c r="EC38" s="17"/>
      <c r="ED38" s="17"/>
      <c r="EE38" s="17"/>
      <c r="EF38" s="17"/>
      <c r="EG38" s="17"/>
      <c r="EH38" s="17"/>
      <c r="EI38" s="17"/>
      <c r="EJ38" s="17"/>
      <c r="EK38" s="17"/>
      <c r="EL38" s="17"/>
      <c r="EM38" s="17"/>
      <c r="EN38" s="17"/>
      <c r="EO38" s="17"/>
      <c r="EP38" s="17"/>
      <c r="EQ38" s="17"/>
      <c r="ER38" s="17"/>
      <c r="ES38" s="17"/>
      <c r="ET38" s="17"/>
      <c r="EU38" s="17"/>
      <c r="EV38" s="17"/>
      <c r="EW38" s="17"/>
      <c r="EX38" s="17"/>
      <c r="EY38" s="17"/>
      <c r="EZ38" s="17"/>
      <c r="FA38" s="17"/>
      <c r="FB38" s="17"/>
      <c r="FC38" s="17"/>
      <c r="FD38" s="17"/>
      <c r="FE38" s="17"/>
      <c r="FF38" s="17"/>
      <c r="FG38" s="17"/>
      <c r="FH38" s="17"/>
      <c r="FI38" s="17"/>
      <c r="FJ38" s="17"/>
      <c r="FK38" s="17"/>
      <c r="FL38" s="17"/>
      <c r="FM38" s="17"/>
      <c r="FN38" s="17"/>
      <c r="FO38" s="17"/>
      <c r="FP38" s="17"/>
      <c r="FQ38" s="17"/>
      <c r="FR38" s="17"/>
      <c r="FS38" s="17"/>
      <c r="FT38" s="17"/>
      <c r="FU38" s="17"/>
      <c r="FV38" s="17"/>
      <c r="FW38" s="17"/>
      <c r="FX38" s="17"/>
      <c r="FY38" s="17"/>
      <c r="FZ38" s="17"/>
      <c r="GA38" s="17"/>
      <c r="GB38" s="17"/>
      <c r="GC38" s="17"/>
      <c r="GD38" s="17"/>
      <c r="GE38" s="17"/>
      <c r="GF38" s="17"/>
      <c r="GG38" s="17"/>
      <c r="GH38" s="17"/>
      <c r="GI38" s="17"/>
      <c r="GJ38" s="17"/>
      <c r="GK38" s="17"/>
      <c r="GL38" s="17"/>
      <c r="GM38" s="17"/>
      <c r="GN38" s="17"/>
      <c r="GO38" s="17"/>
      <c r="GP38" s="17"/>
      <c r="GQ38" s="17"/>
      <c r="GR38" s="17"/>
      <c r="GS38" s="17"/>
      <c r="GT38" s="17"/>
      <c r="GU38" s="17"/>
      <c r="GV38" s="17"/>
      <c r="GW38" s="17"/>
      <c r="GX38" s="17"/>
      <c r="GY38" s="17"/>
      <c r="GZ38" s="17"/>
      <c r="HA38" s="17"/>
      <c r="HB38" s="17"/>
      <c r="HC38" s="17"/>
      <c r="HD38" s="17"/>
      <c r="HE38" s="17"/>
      <c r="HF38" s="17"/>
      <c r="HG38" s="17"/>
      <c r="HH38" s="17"/>
      <c r="HI38" s="17"/>
      <c r="HJ38" s="17"/>
      <c r="HK38" s="17"/>
      <c r="HL38" s="17"/>
      <c r="HM38" s="17"/>
      <c r="HN38" s="17"/>
      <c r="HO38" s="17"/>
      <c r="HP38" s="17"/>
      <c r="HQ38" s="17"/>
      <c r="HR38" s="17"/>
      <c r="HS38" s="17"/>
      <c r="HT38" s="17"/>
      <c r="HU38" s="17"/>
      <c r="HV38" s="17"/>
      <c r="HW38" s="17"/>
      <c r="HX38" s="17"/>
      <c r="HY38" s="17"/>
      <c r="HZ38" s="17"/>
      <c r="IA38" s="17"/>
    </row>
    <row r="39" spans="1:235" x14ac:dyDescent="0.25">
      <c r="A39" s="15" t="str">
        <f>IF(Mitarbeiter!$A$37="","",Mitarbeiter!$A$37)</f>
        <v/>
      </c>
      <c r="B39" s="2" t="str">
        <f>IF(Mitarbeiter!$A$37="","",Mitarbeiter!$C$37)</f>
        <v/>
      </c>
      <c r="C39" s="16" t="str">
        <f>IF(Mitarbeiter!$A$37="","",Mitarbeiter!$D$37)</f>
        <v/>
      </c>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c r="CK39" s="17"/>
      <c r="CL39" s="17"/>
      <c r="CM39" s="17"/>
      <c r="CN39" s="17"/>
      <c r="CO39" s="17"/>
      <c r="CP39" s="17"/>
      <c r="CQ39" s="17"/>
      <c r="CR39" s="17"/>
      <c r="CS39" s="17"/>
      <c r="CT39" s="17"/>
      <c r="CU39" s="17"/>
      <c r="CV39" s="17"/>
      <c r="CW39" s="17"/>
      <c r="CX39" s="17"/>
      <c r="CY39" s="17"/>
      <c r="CZ39" s="17"/>
      <c r="DA39" s="17"/>
      <c r="DB39" s="17"/>
      <c r="DC39" s="17"/>
      <c r="DD39" s="17"/>
      <c r="DE39" s="17"/>
      <c r="DF39" s="17"/>
      <c r="DG39" s="17"/>
      <c r="DH39" s="17"/>
      <c r="DI39" s="17"/>
      <c r="DJ39" s="17"/>
      <c r="DK39" s="17"/>
      <c r="DL39" s="17"/>
      <c r="DM39" s="17"/>
      <c r="DN39" s="17"/>
      <c r="DO39" s="17"/>
      <c r="DP39" s="17"/>
      <c r="DQ39" s="17"/>
      <c r="DR39" s="17"/>
      <c r="DS39" s="17"/>
      <c r="DT39" s="17"/>
      <c r="DU39" s="17"/>
      <c r="DV39" s="17"/>
      <c r="DW39" s="17"/>
      <c r="DX39" s="17"/>
      <c r="DY39" s="17"/>
      <c r="DZ39" s="17"/>
      <c r="EA39" s="17"/>
      <c r="EB39" s="17"/>
      <c r="EC39" s="17"/>
      <c r="ED39" s="17"/>
      <c r="EE39" s="17"/>
      <c r="EF39" s="17"/>
      <c r="EG39" s="17"/>
      <c r="EH39" s="17"/>
      <c r="EI39" s="17"/>
      <c r="EJ39" s="17"/>
      <c r="EK39" s="17"/>
      <c r="EL39" s="17"/>
      <c r="EM39" s="17"/>
      <c r="EN39" s="17"/>
      <c r="EO39" s="17"/>
      <c r="EP39" s="17"/>
      <c r="EQ39" s="17"/>
      <c r="ER39" s="17"/>
      <c r="ES39" s="17"/>
      <c r="ET39" s="17"/>
      <c r="EU39" s="17"/>
      <c r="EV39" s="17"/>
      <c r="EW39" s="17"/>
      <c r="EX39" s="17"/>
      <c r="EY39" s="17"/>
      <c r="EZ39" s="17"/>
      <c r="FA39" s="17"/>
      <c r="FB39" s="17"/>
      <c r="FC39" s="17"/>
      <c r="FD39" s="17"/>
      <c r="FE39" s="17"/>
      <c r="FF39" s="17"/>
      <c r="FG39" s="17"/>
      <c r="FH39" s="17"/>
      <c r="FI39" s="17"/>
      <c r="FJ39" s="17"/>
      <c r="FK39" s="17"/>
      <c r="FL39" s="17"/>
      <c r="FM39" s="17"/>
      <c r="FN39" s="17"/>
      <c r="FO39" s="17"/>
      <c r="FP39" s="17"/>
      <c r="FQ39" s="17"/>
      <c r="FR39" s="17"/>
      <c r="FS39" s="17"/>
      <c r="FT39" s="17"/>
      <c r="FU39" s="17"/>
      <c r="FV39" s="17"/>
      <c r="FW39" s="17"/>
      <c r="FX39" s="17"/>
      <c r="FY39" s="17"/>
      <c r="FZ39" s="17"/>
      <c r="GA39" s="17"/>
      <c r="GB39" s="17"/>
      <c r="GC39" s="17"/>
      <c r="GD39" s="17"/>
      <c r="GE39" s="17"/>
      <c r="GF39" s="17"/>
      <c r="GG39" s="17"/>
      <c r="GH39" s="17"/>
      <c r="GI39" s="17"/>
      <c r="GJ39" s="17"/>
      <c r="GK39" s="17"/>
      <c r="GL39" s="17"/>
      <c r="GM39" s="17"/>
      <c r="GN39" s="17"/>
      <c r="GO39" s="17"/>
      <c r="GP39" s="17"/>
      <c r="GQ39" s="17"/>
      <c r="GR39" s="17"/>
      <c r="GS39" s="17"/>
      <c r="GT39" s="17"/>
      <c r="GU39" s="17"/>
      <c r="GV39" s="17"/>
      <c r="GW39" s="17"/>
      <c r="GX39" s="17"/>
      <c r="GY39" s="17"/>
      <c r="GZ39" s="17"/>
      <c r="HA39" s="17"/>
      <c r="HB39" s="17"/>
      <c r="HC39" s="17"/>
      <c r="HD39" s="17"/>
      <c r="HE39" s="17"/>
      <c r="HF39" s="17"/>
      <c r="HG39" s="17"/>
      <c r="HH39" s="17"/>
      <c r="HI39" s="17"/>
      <c r="HJ39" s="17"/>
      <c r="HK39" s="17"/>
      <c r="HL39" s="17"/>
      <c r="HM39" s="17"/>
      <c r="HN39" s="17"/>
      <c r="HO39" s="17"/>
      <c r="HP39" s="17"/>
      <c r="HQ39" s="17"/>
      <c r="HR39" s="17"/>
      <c r="HS39" s="17"/>
      <c r="HT39" s="17"/>
      <c r="HU39" s="17"/>
      <c r="HV39" s="17"/>
      <c r="HW39" s="17"/>
      <c r="HX39" s="17"/>
      <c r="HY39" s="17"/>
      <c r="HZ39" s="17"/>
      <c r="IA39" s="17"/>
    </row>
    <row r="40" spans="1:235" x14ac:dyDescent="0.25">
      <c r="A40" s="15" t="str">
        <f>IF(Mitarbeiter!$A$38="","",Mitarbeiter!$A$38)</f>
        <v/>
      </c>
      <c r="B40" s="2" t="str">
        <f>IF(Mitarbeiter!$A$38="","",Mitarbeiter!$C$38)</f>
        <v/>
      </c>
      <c r="C40" s="16" t="str">
        <f>IF(Mitarbeiter!$A$38="","",Mitarbeiter!$D$38)</f>
        <v/>
      </c>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c r="CK40" s="17"/>
      <c r="CL40" s="17"/>
      <c r="CM40" s="17"/>
      <c r="CN40" s="17"/>
      <c r="CO40" s="17"/>
      <c r="CP40" s="17"/>
      <c r="CQ40" s="17"/>
      <c r="CR40" s="17"/>
      <c r="CS40" s="17"/>
      <c r="CT40" s="17"/>
      <c r="CU40" s="17"/>
      <c r="CV40" s="17"/>
      <c r="CW40" s="17"/>
      <c r="CX40" s="17"/>
      <c r="CY40" s="17"/>
      <c r="CZ40" s="17"/>
      <c r="DA40" s="17"/>
      <c r="DB40" s="17"/>
      <c r="DC40" s="17"/>
      <c r="DD40" s="17"/>
      <c r="DE40" s="17"/>
      <c r="DF40" s="17"/>
      <c r="DG40" s="17"/>
      <c r="DH40" s="17"/>
      <c r="DI40" s="17"/>
      <c r="DJ40" s="17"/>
      <c r="DK40" s="17"/>
      <c r="DL40" s="17"/>
      <c r="DM40" s="17"/>
      <c r="DN40" s="17"/>
      <c r="DO40" s="17"/>
      <c r="DP40" s="17"/>
      <c r="DQ40" s="17"/>
      <c r="DR40" s="17"/>
      <c r="DS40" s="17"/>
      <c r="DT40" s="17"/>
      <c r="DU40" s="17"/>
      <c r="DV40" s="17"/>
      <c r="DW40" s="17"/>
      <c r="DX40" s="17"/>
      <c r="DY40" s="17"/>
      <c r="DZ40" s="17"/>
      <c r="EA40" s="17"/>
      <c r="EB40" s="17"/>
      <c r="EC40" s="17"/>
      <c r="ED40" s="17"/>
      <c r="EE40" s="17"/>
      <c r="EF40" s="17"/>
      <c r="EG40" s="17"/>
      <c r="EH40" s="17"/>
      <c r="EI40" s="17"/>
      <c r="EJ40" s="17"/>
      <c r="EK40" s="17"/>
      <c r="EL40" s="17"/>
      <c r="EM40" s="17"/>
      <c r="EN40" s="17"/>
      <c r="EO40" s="17"/>
      <c r="EP40" s="17"/>
      <c r="EQ40" s="17"/>
      <c r="ER40" s="17"/>
      <c r="ES40" s="17"/>
      <c r="ET40" s="17"/>
      <c r="EU40" s="17"/>
      <c r="EV40" s="17"/>
      <c r="EW40" s="17"/>
      <c r="EX40" s="17"/>
      <c r="EY40" s="17"/>
      <c r="EZ40" s="17"/>
      <c r="FA40" s="17"/>
      <c r="FB40" s="17"/>
      <c r="FC40" s="17"/>
      <c r="FD40" s="17"/>
      <c r="FE40" s="17"/>
      <c r="FF40" s="17"/>
      <c r="FG40" s="17"/>
      <c r="FH40" s="17"/>
      <c r="FI40" s="17"/>
      <c r="FJ40" s="17"/>
      <c r="FK40" s="17"/>
      <c r="FL40" s="17"/>
      <c r="FM40" s="17"/>
      <c r="FN40" s="17"/>
      <c r="FO40" s="17"/>
      <c r="FP40" s="17"/>
      <c r="FQ40" s="17"/>
      <c r="FR40" s="17"/>
      <c r="FS40" s="17"/>
      <c r="FT40" s="17"/>
      <c r="FU40" s="17"/>
      <c r="FV40" s="17"/>
      <c r="FW40" s="17"/>
      <c r="FX40" s="17"/>
      <c r="FY40" s="17"/>
      <c r="FZ40" s="17"/>
      <c r="GA40" s="17"/>
      <c r="GB40" s="17"/>
      <c r="GC40" s="17"/>
      <c r="GD40" s="17"/>
      <c r="GE40" s="17"/>
      <c r="GF40" s="17"/>
      <c r="GG40" s="17"/>
      <c r="GH40" s="17"/>
      <c r="GI40" s="17"/>
      <c r="GJ40" s="17"/>
      <c r="GK40" s="17"/>
      <c r="GL40" s="17"/>
      <c r="GM40" s="17"/>
      <c r="GN40" s="17"/>
      <c r="GO40" s="17"/>
      <c r="GP40" s="17"/>
      <c r="GQ40" s="17"/>
      <c r="GR40" s="17"/>
      <c r="GS40" s="17"/>
      <c r="GT40" s="17"/>
      <c r="GU40" s="17"/>
      <c r="GV40" s="17"/>
      <c r="GW40" s="17"/>
      <c r="GX40" s="17"/>
      <c r="GY40" s="17"/>
      <c r="GZ40" s="17"/>
      <c r="HA40" s="17"/>
      <c r="HB40" s="17"/>
      <c r="HC40" s="17"/>
      <c r="HD40" s="17"/>
      <c r="HE40" s="17"/>
      <c r="HF40" s="17"/>
      <c r="HG40" s="17"/>
      <c r="HH40" s="17"/>
      <c r="HI40" s="17"/>
      <c r="HJ40" s="17"/>
      <c r="HK40" s="17"/>
      <c r="HL40" s="17"/>
      <c r="HM40" s="17"/>
      <c r="HN40" s="17"/>
      <c r="HO40" s="17"/>
      <c r="HP40" s="17"/>
      <c r="HQ40" s="17"/>
      <c r="HR40" s="17"/>
      <c r="HS40" s="17"/>
      <c r="HT40" s="17"/>
      <c r="HU40" s="17"/>
      <c r="HV40" s="17"/>
      <c r="HW40" s="17"/>
      <c r="HX40" s="17"/>
      <c r="HY40" s="17"/>
      <c r="HZ40" s="17"/>
      <c r="IA40" s="17"/>
    </row>
    <row r="41" spans="1:235" x14ac:dyDescent="0.25">
      <c r="A41" s="15" t="str">
        <f>IF(Mitarbeiter!$A$39="","",Mitarbeiter!$A$39)</f>
        <v/>
      </c>
      <c r="B41" s="2" t="str">
        <f>IF(Mitarbeiter!$A$39="","",Mitarbeiter!$C$39)</f>
        <v/>
      </c>
      <c r="C41" s="16" t="str">
        <f>IF(Mitarbeiter!$A$39="","",Mitarbeiter!$D$39)</f>
        <v/>
      </c>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c r="CK41" s="17"/>
      <c r="CL41" s="17"/>
      <c r="CM41" s="17"/>
      <c r="CN41" s="17"/>
      <c r="CO41" s="17"/>
      <c r="CP41" s="17"/>
      <c r="CQ41" s="17"/>
      <c r="CR41" s="17"/>
      <c r="CS41" s="17"/>
      <c r="CT41" s="17"/>
      <c r="CU41" s="17"/>
      <c r="CV41" s="17"/>
      <c r="CW41" s="17"/>
      <c r="CX41" s="17"/>
      <c r="CY41" s="17"/>
      <c r="CZ41" s="17"/>
      <c r="DA41" s="17"/>
      <c r="DB41" s="17"/>
      <c r="DC41" s="17"/>
      <c r="DD41" s="17"/>
      <c r="DE41" s="17"/>
      <c r="DF41" s="17"/>
      <c r="DG41" s="17"/>
      <c r="DH41" s="17"/>
      <c r="DI41" s="17"/>
      <c r="DJ41" s="17"/>
      <c r="DK41" s="17"/>
      <c r="DL41" s="17"/>
      <c r="DM41" s="17"/>
      <c r="DN41" s="17"/>
      <c r="DO41" s="17"/>
      <c r="DP41" s="17"/>
      <c r="DQ41" s="17"/>
      <c r="DR41" s="17"/>
      <c r="DS41" s="17"/>
      <c r="DT41" s="17"/>
      <c r="DU41" s="17"/>
      <c r="DV41" s="17"/>
      <c r="DW41" s="17"/>
      <c r="DX41" s="17"/>
      <c r="DY41" s="17"/>
      <c r="DZ41" s="17"/>
      <c r="EA41" s="17"/>
      <c r="EB41" s="17"/>
      <c r="EC41" s="17"/>
      <c r="ED41" s="17"/>
      <c r="EE41" s="17"/>
      <c r="EF41" s="17"/>
      <c r="EG41" s="17"/>
      <c r="EH41" s="17"/>
      <c r="EI41" s="17"/>
      <c r="EJ41" s="17"/>
      <c r="EK41" s="17"/>
      <c r="EL41" s="17"/>
      <c r="EM41" s="17"/>
      <c r="EN41" s="17"/>
      <c r="EO41" s="17"/>
      <c r="EP41" s="17"/>
      <c r="EQ41" s="17"/>
      <c r="ER41" s="17"/>
      <c r="ES41" s="17"/>
      <c r="ET41" s="17"/>
      <c r="EU41" s="17"/>
      <c r="EV41" s="17"/>
      <c r="EW41" s="17"/>
      <c r="EX41" s="17"/>
      <c r="EY41" s="17"/>
      <c r="EZ41" s="17"/>
      <c r="FA41" s="17"/>
      <c r="FB41" s="17"/>
      <c r="FC41" s="17"/>
      <c r="FD41" s="17"/>
      <c r="FE41" s="17"/>
      <c r="FF41" s="17"/>
      <c r="FG41" s="17"/>
      <c r="FH41" s="17"/>
      <c r="FI41" s="17"/>
      <c r="FJ41" s="17"/>
      <c r="FK41" s="17"/>
      <c r="FL41" s="17"/>
      <c r="FM41" s="17"/>
      <c r="FN41" s="17"/>
      <c r="FO41" s="17"/>
      <c r="FP41" s="17"/>
      <c r="FQ41" s="17"/>
      <c r="FR41" s="17"/>
      <c r="FS41" s="17"/>
      <c r="FT41" s="17"/>
      <c r="FU41" s="17"/>
      <c r="FV41" s="17"/>
      <c r="FW41" s="17"/>
      <c r="FX41" s="17"/>
      <c r="FY41" s="17"/>
      <c r="FZ41" s="17"/>
      <c r="GA41" s="17"/>
      <c r="GB41" s="17"/>
      <c r="GC41" s="17"/>
      <c r="GD41" s="17"/>
      <c r="GE41" s="17"/>
      <c r="GF41" s="17"/>
      <c r="GG41" s="17"/>
      <c r="GH41" s="17"/>
      <c r="GI41" s="17"/>
      <c r="GJ41" s="17"/>
      <c r="GK41" s="17"/>
      <c r="GL41" s="17"/>
      <c r="GM41" s="17"/>
      <c r="GN41" s="17"/>
      <c r="GO41" s="17"/>
      <c r="GP41" s="17"/>
      <c r="GQ41" s="17"/>
      <c r="GR41" s="17"/>
      <c r="GS41" s="17"/>
      <c r="GT41" s="17"/>
      <c r="GU41" s="17"/>
      <c r="GV41" s="17"/>
      <c r="GW41" s="17"/>
      <c r="GX41" s="17"/>
      <c r="GY41" s="17"/>
      <c r="GZ41" s="17"/>
      <c r="HA41" s="17"/>
      <c r="HB41" s="17"/>
      <c r="HC41" s="17"/>
      <c r="HD41" s="17"/>
      <c r="HE41" s="17"/>
      <c r="HF41" s="17"/>
      <c r="HG41" s="17"/>
      <c r="HH41" s="17"/>
      <c r="HI41" s="17"/>
      <c r="HJ41" s="17"/>
      <c r="HK41" s="17"/>
      <c r="HL41" s="17"/>
      <c r="HM41" s="17"/>
      <c r="HN41" s="17"/>
      <c r="HO41" s="17"/>
      <c r="HP41" s="17"/>
      <c r="HQ41" s="17"/>
      <c r="HR41" s="17"/>
      <c r="HS41" s="17"/>
      <c r="HT41" s="17"/>
      <c r="HU41" s="17"/>
      <c r="HV41" s="17"/>
      <c r="HW41" s="17"/>
      <c r="HX41" s="17"/>
      <c r="HY41" s="17"/>
      <c r="HZ41" s="17"/>
      <c r="IA41" s="17"/>
    </row>
    <row r="42" spans="1:235" x14ac:dyDescent="0.25">
      <c r="A42" s="15" t="str">
        <f>IF(Mitarbeiter!$A$40="","",Mitarbeiter!$A$40)</f>
        <v/>
      </c>
      <c r="B42" s="2" t="str">
        <f>IF(Mitarbeiter!$A$40="","",Mitarbeiter!$C$40)</f>
        <v/>
      </c>
      <c r="C42" s="16" t="str">
        <f>IF(Mitarbeiter!$A$40="","",Mitarbeiter!$D$40)</f>
        <v/>
      </c>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row>
    <row r="43" spans="1:235" x14ac:dyDescent="0.25">
      <c r="A43" s="15" t="str">
        <f>IF(Mitarbeiter!$A$41="","",Mitarbeiter!$A$41)</f>
        <v/>
      </c>
      <c r="B43" s="2" t="str">
        <f>IF(Mitarbeiter!$A$41="","",Mitarbeiter!$C$41)</f>
        <v/>
      </c>
      <c r="C43" s="16" t="str">
        <f>IF(Mitarbeiter!$A$41="","",Mitarbeiter!$D$41)</f>
        <v/>
      </c>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row>
    <row r="44" spans="1:235" x14ac:dyDescent="0.25">
      <c r="A44" s="15" t="str">
        <f>IF(Mitarbeiter!$A$42="","",Mitarbeiter!$A$42)</f>
        <v/>
      </c>
      <c r="B44" s="2" t="str">
        <f>IF(Mitarbeiter!$A$42="","",Mitarbeiter!$C$42)</f>
        <v/>
      </c>
      <c r="C44" s="16" t="str">
        <f>IF(Mitarbeiter!$A$42="","",Mitarbeiter!$D$42)</f>
        <v/>
      </c>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row>
    <row r="45" spans="1:235" x14ac:dyDescent="0.25">
      <c r="A45" s="15" t="str">
        <f>IF(Mitarbeiter!$A$43="","",Mitarbeiter!$A$43)</f>
        <v/>
      </c>
      <c r="B45" s="2" t="str">
        <f>IF(Mitarbeiter!$A$43="","",Mitarbeiter!$C$43)</f>
        <v/>
      </c>
      <c r="C45" s="16" t="str">
        <f>IF(Mitarbeiter!$A$43="","",Mitarbeiter!$D$43)</f>
        <v/>
      </c>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row>
    <row r="46" spans="1:235" x14ac:dyDescent="0.25">
      <c r="A46" s="15" t="str">
        <f>IF(Mitarbeiter!$A$44="","",Mitarbeiter!$A$44)</f>
        <v/>
      </c>
      <c r="B46" s="2" t="str">
        <f>IF(Mitarbeiter!$A$44="","",Mitarbeiter!$C$44)</f>
        <v/>
      </c>
      <c r="C46" s="16" t="str">
        <f>IF(Mitarbeiter!$A$44="","",Mitarbeiter!$D$44)</f>
        <v/>
      </c>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row>
    <row r="47" spans="1:235" x14ac:dyDescent="0.25">
      <c r="A47" s="15" t="str">
        <f>IF(Mitarbeiter!$A$45="","",Mitarbeiter!$A$45)</f>
        <v/>
      </c>
      <c r="B47" s="2" t="str">
        <f>IF(Mitarbeiter!$A$45="","",Mitarbeiter!$C$45)</f>
        <v/>
      </c>
      <c r="C47" s="16" t="str">
        <f>IF(Mitarbeiter!$A$45="","",Mitarbeiter!$D$45)</f>
        <v/>
      </c>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row>
    <row r="48" spans="1:235" x14ac:dyDescent="0.25">
      <c r="A48" s="15" t="str">
        <f>IF(Mitarbeiter!$A$46="","",Mitarbeiter!$A$46)</f>
        <v/>
      </c>
      <c r="B48" s="2" t="str">
        <f>IF(Mitarbeiter!$A$46="","",Mitarbeiter!$C$46)</f>
        <v/>
      </c>
      <c r="C48" s="16" t="str">
        <f>IF(Mitarbeiter!$A$46="","",Mitarbeiter!$D$46)</f>
        <v/>
      </c>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row>
    <row r="49" spans="1:235" x14ac:dyDescent="0.25">
      <c r="A49" s="15" t="str">
        <f>IF(Mitarbeiter!$A$47="","",Mitarbeiter!$A$47)</f>
        <v/>
      </c>
      <c r="B49" s="2" t="str">
        <f>IF(Mitarbeiter!$A$47="","",Mitarbeiter!$C$47)</f>
        <v/>
      </c>
      <c r="C49" s="16" t="str">
        <f>IF(Mitarbeiter!$A$47="","",Mitarbeiter!$D$47)</f>
        <v/>
      </c>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row>
    <row r="50" spans="1:235" x14ac:dyDescent="0.25">
      <c r="A50" s="15" t="str">
        <f>IF(Mitarbeiter!$A$48="","",Mitarbeiter!$A$48)</f>
        <v/>
      </c>
      <c r="B50" s="2" t="str">
        <f>IF(Mitarbeiter!$A$48="","",Mitarbeiter!$C$48)</f>
        <v/>
      </c>
      <c r="C50" s="16" t="str">
        <f>IF(Mitarbeiter!$A$48="","",Mitarbeiter!$D$48)</f>
        <v/>
      </c>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row>
    <row r="51" spans="1:235" x14ac:dyDescent="0.25">
      <c r="A51" s="15" t="str">
        <f>IF(Mitarbeiter!$A$49="","",Mitarbeiter!$A$49)</f>
        <v/>
      </c>
      <c r="B51" s="2" t="str">
        <f>IF(Mitarbeiter!$A$49="","",Mitarbeiter!$C$49)</f>
        <v/>
      </c>
      <c r="C51" s="16" t="str">
        <f>IF(Mitarbeiter!$A$49="","",Mitarbeiter!$D$49)</f>
        <v/>
      </c>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row>
    <row r="52" spans="1:235" x14ac:dyDescent="0.25">
      <c r="A52" s="15" t="str">
        <f>IF(Mitarbeiter!$A$50="","",Mitarbeiter!$A$50)</f>
        <v/>
      </c>
      <c r="B52" s="2" t="str">
        <f>IF(Mitarbeiter!$A$50="","",Mitarbeiter!$C$50)</f>
        <v/>
      </c>
      <c r="C52" s="16" t="str">
        <f>IF(Mitarbeiter!$A$50="","",Mitarbeiter!$D$50)</f>
        <v/>
      </c>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row>
    <row r="53" spans="1:235" x14ac:dyDescent="0.25">
      <c r="A53" s="15" t="str">
        <f>IF(Mitarbeiter!$A$51="","",Mitarbeiter!$A$51)</f>
        <v/>
      </c>
      <c r="B53" s="2" t="str">
        <f>IF(Mitarbeiter!$A$51="","",Mitarbeiter!$C$51)</f>
        <v/>
      </c>
      <c r="C53" s="16" t="str">
        <f>IF(Mitarbeiter!$A$51="","",Mitarbeiter!$D$51)</f>
        <v/>
      </c>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c r="CW53" s="17"/>
      <c r="CX53" s="17"/>
      <c r="CY53" s="17"/>
      <c r="CZ53" s="17"/>
      <c r="DA53" s="17"/>
      <c r="DB53" s="17"/>
      <c r="DC53" s="17"/>
      <c r="DD53" s="17"/>
      <c r="DE53" s="17"/>
      <c r="DF53" s="17"/>
      <c r="DG53" s="17"/>
      <c r="DH53" s="17"/>
      <c r="DI53" s="17"/>
      <c r="DJ53" s="17"/>
      <c r="DK53" s="17"/>
      <c r="DL53" s="17"/>
      <c r="DM53" s="17"/>
      <c r="DN53" s="17"/>
      <c r="DO53" s="17"/>
      <c r="DP53" s="17"/>
      <c r="DQ53" s="17"/>
      <c r="DR53" s="17"/>
      <c r="DS53" s="17"/>
      <c r="DT53" s="17"/>
      <c r="DU53" s="17"/>
      <c r="DV53" s="17"/>
      <c r="DW53" s="17"/>
      <c r="DX53" s="17"/>
      <c r="DY53" s="17"/>
      <c r="DZ53" s="17"/>
      <c r="EA53" s="17"/>
      <c r="EB53" s="17"/>
      <c r="EC53" s="17"/>
      <c r="ED53" s="17"/>
      <c r="EE53" s="17"/>
      <c r="EF53" s="17"/>
      <c r="EG53" s="17"/>
      <c r="EH53" s="17"/>
      <c r="EI53" s="17"/>
      <c r="EJ53" s="17"/>
      <c r="EK53" s="17"/>
      <c r="EL53" s="17"/>
      <c r="EM53" s="17"/>
      <c r="EN53" s="17"/>
      <c r="EO53" s="17"/>
      <c r="EP53" s="17"/>
      <c r="EQ53" s="17"/>
      <c r="ER53" s="17"/>
      <c r="ES53" s="17"/>
      <c r="ET53" s="17"/>
      <c r="EU53" s="17"/>
      <c r="EV53" s="17"/>
      <c r="EW53" s="17"/>
      <c r="EX53" s="17"/>
      <c r="EY53" s="17"/>
      <c r="EZ53" s="17"/>
      <c r="FA53" s="17"/>
      <c r="FB53" s="17"/>
      <c r="FC53" s="17"/>
      <c r="FD53" s="17"/>
      <c r="FE53" s="17"/>
      <c r="FF53" s="17"/>
      <c r="FG53" s="17"/>
      <c r="FH53" s="17"/>
      <c r="FI53" s="17"/>
      <c r="FJ53" s="17"/>
      <c r="FK53" s="17"/>
      <c r="FL53" s="17"/>
      <c r="FM53" s="17"/>
      <c r="FN53" s="17"/>
      <c r="FO53" s="17"/>
      <c r="FP53" s="17"/>
      <c r="FQ53" s="17"/>
      <c r="FR53" s="17"/>
      <c r="FS53" s="17"/>
      <c r="FT53" s="17"/>
      <c r="FU53" s="17"/>
      <c r="FV53" s="17"/>
      <c r="FW53" s="17"/>
      <c r="FX53" s="17"/>
      <c r="FY53" s="17"/>
      <c r="FZ53" s="17"/>
      <c r="GA53" s="17"/>
      <c r="GB53" s="17"/>
      <c r="GC53" s="17"/>
      <c r="GD53" s="17"/>
      <c r="GE53" s="17"/>
      <c r="GF53" s="17"/>
      <c r="GG53" s="17"/>
      <c r="GH53" s="17"/>
      <c r="GI53" s="17"/>
      <c r="GJ53" s="17"/>
      <c r="GK53" s="17"/>
      <c r="GL53" s="17"/>
      <c r="GM53" s="17"/>
      <c r="GN53" s="17"/>
      <c r="GO53" s="17"/>
      <c r="GP53" s="17"/>
      <c r="GQ53" s="17"/>
      <c r="GR53" s="17"/>
      <c r="GS53" s="17"/>
      <c r="GT53" s="17"/>
      <c r="GU53" s="17"/>
      <c r="GV53" s="17"/>
      <c r="GW53" s="17"/>
      <c r="GX53" s="17"/>
      <c r="GY53" s="17"/>
      <c r="GZ53" s="17"/>
      <c r="HA53" s="17"/>
      <c r="HB53" s="17"/>
      <c r="HC53" s="17"/>
      <c r="HD53" s="17"/>
      <c r="HE53" s="17"/>
      <c r="HF53" s="17"/>
      <c r="HG53" s="17"/>
      <c r="HH53" s="17"/>
      <c r="HI53" s="17"/>
      <c r="HJ53" s="17"/>
      <c r="HK53" s="17"/>
      <c r="HL53" s="17"/>
      <c r="HM53" s="17"/>
      <c r="HN53" s="17"/>
      <c r="HO53" s="17"/>
      <c r="HP53" s="17"/>
      <c r="HQ53" s="17"/>
      <c r="HR53" s="17"/>
      <c r="HS53" s="17"/>
      <c r="HT53" s="17"/>
      <c r="HU53" s="17"/>
      <c r="HV53" s="17"/>
      <c r="HW53" s="17"/>
      <c r="HX53" s="17"/>
      <c r="HY53" s="17"/>
      <c r="HZ53" s="17"/>
      <c r="IA53" s="17"/>
    </row>
    <row r="54" spans="1:235" x14ac:dyDescent="0.25">
      <c r="A54" s="15" t="str">
        <f>IF(Mitarbeiter!$A$52="","",Mitarbeiter!$A$52)</f>
        <v/>
      </c>
      <c r="B54" s="2" t="str">
        <f>IF(Mitarbeiter!$A$52="","",Mitarbeiter!$C$52)</f>
        <v/>
      </c>
      <c r="C54" s="16" t="str">
        <f>IF(Mitarbeiter!$A$52="","",Mitarbeiter!$D$52)</f>
        <v/>
      </c>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row>
    <row r="55" spans="1:235" x14ac:dyDescent="0.25">
      <c r="A55" s="15" t="str">
        <f>IF(Mitarbeiter!$A$53="","",Mitarbeiter!$A$53)</f>
        <v/>
      </c>
      <c r="B55" s="2" t="str">
        <f>IF(Mitarbeiter!$A$53="","",Mitarbeiter!$C$53)</f>
        <v/>
      </c>
      <c r="C55" s="16" t="str">
        <f>IF(Mitarbeiter!$A$53="","",Mitarbeiter!$D$53)</f>
        <v/>
      </c>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row>
    <row r="56" spans="1:235" x14ac:dyDescent="0.25">
      <c r="A56" s="15" t="str">
        <f>IF(Mitarbeiter!$A$54="","",Mitarbeiter!$A$54)</f>
        <v/>
      </c>
      <c r="B56" s="2" t="str">
        <f>IF(Mitarbeiter!$A$54="","",Mitarbeiter!$C$54)</f>
        <v/>
      </c>
      <c r="C56" s="16" t="str">
        <f>IF(Mitarbeiter!$A$54="","",Mitarbeiter!$D$54)</f>
        <v/>
      </c>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row>
    <row r="57" spans="1:235" x14ac:dyDescent="0.25">
      <c r="A57" s="15" t="str">
        <f>IF(Mitarbeiter!$A$55="","",Mitarbeiter!$A$55)</f>
        <v/>
      </c>
      <c r="B57" s="2" t="str">
        <f>IF(Mitarbeiter!$A$55="","",Mitarbeiter!$C$55)</f>
        <v/>
      </c>
      <c r="C57" s="16" t="str">
        <f>IF(Mitarbeiter!$A$55="","",Mitarbeiter!$D$55)</f>
        <v/>
      </c>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row>
    <row r="58" spans="1:235" x14ac:dyDescent="0.25">
      <c r="A58" s="15" t="str">
        <f>IF(Mitarbeiter!$A$56="","",Mitarbeiter!$A$56)</f>
        <v/>
      </c>
      <c r="B58" s="2" t="str">
        <f>IF(Mitarbeiter!$A$56="","",Mitarbeiter!$C$56)</f>
        <v/>
      </c>
      <c r="C58" s="16" t="str">
        <f>IF(Mitarbeiter!$A$56="","",Mitarbeiter!$D$56)</f>
        <v/>
      </c>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row>
    <row r="59" spans="1:235" x14ac:dyDescent="0.25">
      <c r="A59" s="15" t="str">
        <f>IF(Mitarbeiter!$A$57="","",Mitarbeiter!$A$57)</f>
        <v/>
      </c>
      <c r="B59" s="2" t="str">
        <f>IF(Mitarbeiter!$A$57="","",Mitarbeiter!$C$57)</f>
        <v/>
      </c>
      <c r="C59" s="16" t="str">
        <f>IF(Mitarbeiter!$A$57="","",Mitarbeiter!$D$57)</f>
        <v/>
      </c>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row>
    <row r="60" spans="1:235" x14ac:dyDescent="0.25">
      <c r="A60" s="15" t="str">
        <f>IF(Mitarbeiter!$A$58="","",Mitarbeiter!$A$58)</f>
        <v/>
      </c>
      <c r="B60" s="2" t="str">
        <f>IF(Mitarbeiter!$A$58="","",Mitarbeiter!$C$58)</f>
        <v/>
      </c>
      <c r="C60" s="16" t="str">
        <f>IF(Mitarbeiter!$A$58="","",Mitarbeiter!$D$58)</f>
        <v/>
      </c>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row>
    <row r="61" spans="1:235" x14ac:dyDescent="0.25">
      <c r="A61" s="15" t="str">
        <f>IF(Mitarbeiter!$A$59="","",Mitarbeiter!$A$59)</f>
        <v/>
      </c>
      <c r="B61" s="2" t="str">
        <f>IF(Mitarbeiter!$A$59="","",Mitarbeiter!$C$59)</f>
        <v/>
      </c>
      <c r="C61" s="16" t="str">
        <f>IF(Mitarbeiter!$A$59="","",Mitarbeiter!$D$59)</f>
        <v/>
      </c>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row>
    <row r="62" spans="1:235" x14ac:dyDescent="0.25">
      <c r="A62" s="15" t="str">
        <f>IF(Mitarbeiter!$A$60="","",Mitarbeiter!$A$60)</f>
        <v/>
      </c>
      <c r="B62" s="2" t="str">
        <f>IF(Mitarbeiter!$A$60="","",Mitarbeiter!$C$60)</f>
        <v/>
      </c>
      <c r="C62" s="16" t="str">
        <f>IF(Mitarbeiter!$A$60="","",Mitarbeiter!$D$60)</f>
        <v/>
      </c>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row>
    <row r="63" spans="1:235" x14ac:dyDescent="0.25">
      <c r="A63" s="15" t="str">
        <f>IF(Mitarbeiter!$A$61="","",Mitarbeiter!$A$61)</f>
        <v/>
      </c>
      <c r="B63" s="2" t="str">
        <f>IF(Mitarbeiter!$A$61="","",Mitarbeiter!$C$61)</f>
        <v/>
      </c>
      <c r="C63" s="16" t="str">
        <f>IF(Mitarbeiter!$A$61="","",Mitarbeiter!$D$61)</f>
        <v/>
      </c>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row>
    <row r="64" spans="1:235" x14ac:dyDescent="0.25">
      <c r="A64" s="15" t="str">
        <f>IF(Mitarbeiter!$A$62="","",Mitarbeiter!$A$62)</f>
        <v/>
      </c>
      <c r="B64" s="2" t="str">
        <f>IF(Mitarbeiter!$A$62="","",Mitarbeiter!$C$62)</f>
        <v/>
      </c>
      <c r="C64" s="16" t="str">
        <f>IF(Mitarbeiter!$A$62="","",Mitarbeiter!$D$62)</f>
        <v/>
      </c>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row>
    <row r="65" spans="1:235" x14ac:dyDescent="0.25">
      <c r="A65" s="15" t="str">
        <f>IF(Mitarbeiter!$A$63="","",Mitarbeiter!$A$63)</f>
        <v/>
      </c>
      <c r="B65" s="2" t="str">
        <f>IF(Mitarbeiter!$A$63="","",Mitarbeiter!$C$63)</f>
        <v/>
      </c>
      <c r="C65" s="16" t="str">
        <f>IF(Mitarbeiter!$A$63="","",Mitarbeiter!$D$63)</f>
        <v/>
      </c>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row>
    <row r="66" spans="1:235" x14ac:dyDescent="0.25">
      <c r="A66" s="15" t="str">
        <f>IF(Mitarbeiter!$A$64="","",Mitarbeiter!$A$64)</f>
        <v/>
      </c>
      <c r="B66" s="2" t="str">
        <f>IF(Mitarbeiter!$A$64="","",Mitarbeiter!$C$64)</f>
        <v/>
      </c>
      <c r="C66" s="16" t="str">
        <f>IF(Mitarbeiter!$A$64="","",Mitarbeiter!$D$64)</f>
        <v/>
      </c>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row>
    <row r="68" spans="1:235" x14ac:dyDescent="0.25">
      <c r="A68" s="18" t="s">
        <v>298</v>
      </c>
      <c r="D68" s="19">
        <f>SUMIFS(Wirksam!$D$7:$D$66,Wirksam!$B$7:$B$66,"Gesundheit")</f>
        <v>0</v>
      </c>
      <c r="E68" s="19">
        <f>SUMIFS(Wirksam!$E$7:$E$66,Wirksam!$B$7:$B$66,"Gesundheit")</f>
        <v>0</v>
      </c>
      <c r="F68" s="19">
        <f>SUMIFS(Wirksam!$F$7:$F$66,Wirksam!$B$7:$B$66,"Gesundheit")</f>
        <v>0</v>
      </c>
      <c r="G68" s="19">
        <f>SUMIFS(Wirksam!$G$7:$G$66,Wirksam!$B$7:$B$66,"Gesundheit")</f>
        <v>0</v>
      </c>
      <c r="H68" s="19">
        <f>SUMIFS(Wirksam!$H$7:$H$66,Wirksam!$B$7:$B$66,"Gesundheit")</f>
        <v>0</v>
      </c>
      <c r="I68" s="19">
        <f>SUMIFS(Wirksam!$I$7:$I$66,Wirksam!$B$7:$B$66,"Gesundheit")</f>
        <v>0</v>
      </c>
      <c r="J68" s="19">
        <f>SUMIFS(Wirksam!$J$7:$J$66,Wirksam!$B$7:$B$66,"Gesundheit")</f>
        <v>0</v>
      </c>
      <c r="K68" s="19">
        <f>SUMIFS(Wirksam!$K$7:$K$66,Wirksam!$B$7:$B$66,"Gesundheit")</f>
        <v>0</v>
      </c>
      <c r="L68" s="19">
        <f>SUMIFS(Wirksam!$L$7:$L$66,Wirksam!$B$7:$B$66,"Gesundheit")</f>
        <v>0</v>
      </c>
      <c r="M68" s="19">
        <f>SUMIFS(Wirksam!$M$7:$M$66,Wirksam!$B$7:$B$66,"Gesundheit")</f>
        <v>0</v>
      </c>
      <c r="N68" s="19">
        <f>SUMIFS(Wirksam!$N$7:$N$66,Wirksam!$B$7:$B$66,"Gesundheit")</f>
        <v>0</v>
      </c>
      <c r="O68" s="19">
        <f>SUMIFS(Wirksam!$O$7:$O$66,Wirksam!$B$7:$B$66,"Gesundheit")</f>
        <v>0</v>
      </c>
      <c r="P68" s="19">
        <f>SUMIFS(Wirksam!$P$7:$P$66,Wirksam!$B$7:$B$66,"Gesundheit")</f>
        <v>0</v>
      </c>
      <c r="Q68" s="19">
        <f>SUMIFS(Wirksam!$Q$7:$Q$66,Wirksam!$B$7:$B$66,"Gesundheit")</f>
        <v>0</v>
      </c>
      <c r="R68" s="19">
        <f>SUMIFS(Wirksam!$R$7:$R$66,Wirksam!$B$7:$B$66,"Gesundheit")</f>
        <v>0</v>
      </c>
      <c r="S68" s="19">
        <f>SUMIFS(Wirksam!$S$7:$S$66,Wirksam!$B$7:$B$66,"Gesundheit")</f>
        <v>0</v>
      </c>
      <c r="T68" s="19">
        <f>SUMIFS(Wirksam!$T$7:$T$66,Wirksam!$B$7:$B$66,"Gesundheit")</f>
        <v>0</v>
      </c>
      <c r="U68" s="19">
        <f>SUMIFS(Wirksam!$U$7:$U$66,Wirksam!$B$7:$B$66,"Gesundheit")</f>
        <v>0</v>
      </c>
      <c r="V68" s="19">
        <f>SUMIFS(Wirksam!$V$7:$V$66,Wirksam!$B$7:$B$66,"Gesundheit")</f>
        <v>0</v>
      </c>
      <c r="W68" s="19">
        <f>SUMIFS(Wirksam!$W$7:$W$66,Wirksam!$B$7:$B$66,"Gesundheit")</f>
        <v>0</v>
      </c>
      <c r="X68" s="19">
        <f>SUMIFS(Wirksam!$X$7:$X$66,Wirksam!$B$7:$B$66,"Gesundheit")</f>
        <v>0</v>
      </c>
      <c r="Y68" s="19">
        <f>SUMIFS(Wirksam!$Y$7:$Y$66,Wirksam!$B$7:$B$66,"Gesundheit")</f>
        <v>0</v>
      </c>
      <c r="Z68" s="19">
        <f>SUMIFS(Wirksam!$Z$7:$Z$66,Wirksam!$B$7:$B$66,"Gesundheit")</f>
        <v>0</v>
      </c>
      <c r="AA68" s="19">
        <f>SUMIFS(Wirksam!$AA$7:$AA$66,Wirksam!$B$7:$B$66,"Gesundheit")</f>
        <v>0</v>
      </c>
      <c r="AB68" s="19">
        <f>SUMIFS(Wirksam!$AB$7:$AB$66,Wirksam!$B$7:$B$66,"Gesundheit")</f>
        <v>0</v>
      </c>
      <c r="AC68" s="19">
        <f>SUMIFS(Wirksam!$AC$7:$AC$66,Wirksam!$B$7:$B$66,"Gesundheit")</f>
        <v>0</v>
      </c>
      <c r="AD68" s="19">
        <f>SUMIFS(Wirksam!$AD$7:$AD$66,Wirksam!$B$7:$B$66,"Gesundheit")</f>
        <v>0</v>
      </c>
      <c r="AE68" s="19">
        <f>SUMIFS(Wirksam!$AE$7:$AE$66,Wirksam!$B$7:$B$66,"Gesundheit")</f>
        <v>0</v>
      </c>
      <c r="AF68" s="19">
        <f>SUMIFS(Wirksam!$AF$7:$AF$66,Wirksam!$B$7:$B$66,"Gesundheit")</f>
        <v>0</v>
      </c>
      <c r="AG68" s="19">
        <f>SUMIFS(Wirksam!$AG$7:$AG$66,Wirksam!$B$7:$B$66,"Gesundheit")</f>
        <v>0</v>
      </c>
      <c r="AH68" s="19">
        <f>SUMIFS(Wirksam!$AH$7:$AH$66,Wirksam!$B$7:$B$66,"Gesundheit")</f>
        <v>0</v>
      </c>
      <c r="AI68" s="19">
        <f>SUMIFS(Wirksam!$AI$7:$AI$66,Wirksam!$B$7:$B$66,"Gesundheit")</f>
        <v>0</v>
      </c>
      <c r="AJ68" s="19">
        <f>SUMIFS(Wirksam!$AJ$7:$AJ$66,Wirksam!$B$7:$B$66,"Gesundheit")</f>
        <v>0</v>
      </c>
      <c r="AK68" s="19">
        <f>SUMIFS(Wirksam!$AK$7:$AK$66,Wirksam!$B$7:$B$66,"Gesundheit")</f>
        <v>0</v>
      </c>
      <c r="AL68" s="19">
        <f>SUMIFS(Wirksam!$AL$7:$AL$66,Wirksam!$B$7:$B$66,"Gesundheit")</f>
        <v>0</v>
      </c>
      <c r="AM68" s="19">
        <f>SUMIFS(Wirksam!$AM$7:$AM$66,Wirksam!$B$7:$B$66,"Gesundheit")</f>
        <v>0</v>
      </c>
      <c r="AN68" s="19">
        <f>SUMIFS(Wirksam!$AN$7:$AN$66,Wirksam!$B$7:$B$66,"Gesundheit")</f>
        <v>0</v>
      </c>
      <c r="AO68" s="19">
        <f>SUMIFS(Wirksam!$AO$7:$AO$66,Wirksam!$B$7:$B$66,"Gesundheit")</f>
        <v>0</v>
      </c>
      <c r="AP68" s="19">
        <f>SUMIFS(Wirksam!$AP$7:$AP$66,Wirksam!$B$7:$B$66,"Gesundheit")</f>
        <v>0</v>
      </c>
      <c r="AQ68" s="19">
        <f>SUMIFS(Wirksam!$AQ$7:$AQ$66,Wirksam!$B$7:$B$66,"Gesundheit")</f>
        <v>0</v>
      </c>
      <c r="AR68" s="19">
        <f>SUMIFS(Wirksam!$AR$7:$AR$66,Wirksam!$B$7:$B$66,"Gesundheit")</f>
        <v>0</v>
      </c>
      <c r="AS68" s="19">
        <f>SUMIFS(Wirksam!$AS$7:$AS$66,Wirksam!$B$7:$B$66,"Gesundheit")</f>
        <v>0</v>
      </c>
      <c r="AT68" s="19">
        <f>SUMIFS(Wirksam!$AT$7:$AT$66,Wirksam!$B$7:$B$66,"Gesundheit")</f>
        <v>0</v>
      </c>
      <c r="AU68" s="19">
        <f>SUMIFS(Wirksam!$AU$7:$AU$66,Wirksam!$B$7:$B$66,"Gesundheit")</f>
        <v>0</v>
      </c>
      <c r="AV68" s="19">
        <f>SUMIFS(Wirksam!$AV$7:$AV$66,Wirksam!$B$7:$B$66,"Gesundheit")</f>
        <v>0</v>
      </c>
      <c r="AW68" s="19">
        <f>SUMIFS(Wirksam!$AW$7:$AW$66,Wirksam!$B$7:$B$66,"Gesundheit")</f>
        <v>0</v>
      </c>
      <c r="AX68" s="19">
        <f>SUMIFS(Wirksam!$AX$7:$AX$66,Wirksam!$B$7:$B$66,"Gesundheit")</f>
        <v>0</v>
      </c>
      <c r="AY68" s="19">
        <f>SUMIFS(Wirksam!$AY$7:$AY$66,Wirksam!$B$7:$B$66,"Gesundheit")</f>
        <v>0</v>
      </c>
      <c r="AZ68" s="19">
        <f>SUMIFS(Wirksam!$AZ$7:$AZ$66,Wirksam!$B$7:$B$66,"Gesundheit")</f>
        <v>0</v>
      </c>
      <c r="BA68" s="19">
        <f>SUMIFS(Wirksam!$BA$7:$BA$66,Wirksam!$B$7:$B$66,"Gesundheit")</f>
        <v>0</v>
      </c>
      <c r="BB68" s="19">
        <f>SUMIFS(Wirksam!$BB$7:$BB$66,Wirksam!$B$7:$B$66,"Gesundheit")</f>
        <v>0</v>
      </c>
      <c r="BC68" s="19">
        <f>SUMIFS(Wirksam!$BC$7:$BC$66,Wirksam!$B$7:$B$66,"Gesundheit")</f>
        <v>0</v>
      </c>
      <c r="BD68" s="19">
        <f>SUMIFS(Wirksam!$BD$7:$BD$66,Wirksam!$B$7:$B$66,"Gesundheit")</f>
        <v>0</v>
      </c>
      <c r="BE68" s="19">
        <f>SUMIFS(Wirksam!$BE$7:$BE$66,Wirksam!$B$7:$B$66,"Gesundheit")</f>
        <v>0</v>
      </c>
      <c r="BF68" s="19">
        <f>SUMIFS(Wirksam!$BF$7:$BF$66,Wirksam!$B$7:$B$66,"Gesundheit")</f>
        <v>0</v>
      </c>
      <c r="BG68" s="19">
        <f>SUMIFS(Wirksam!$BG$7:$BG$66,Wirksam!$B$7:$B$66,"Gesundheit")</f>
        <v>0</v>
      </c>
      <c r="BH68" s="19">
        <f>SUMIFS(Wirksam!$BH$7:$BH$66,Wirksam!$B$7:$B$66,"Gesundheit")</f>
        <v>0</v>
      </c>
      <c r="BI68" s="19">
        <f>SUMIFS(Wirksam!$BI$7:$BI$66,Wirksam!$B$7:$B$66,"Gesundheit")</f>
        <v>0</v>
      </c>
      <c r="BJ68" s="19">
        <f>SUMIFS(Wirksam!$BJ$7:$BJ$66,Wirksam!$B$7:$B$66,"Gesundheit")</f>
        <v>0</v>
      </c>
      <c r="BK68" s="19">
        <f>SUMIFS(Wirksam!$BK$7:$BK$66,Wirksam!$B$7:$B$66,"Gesundheit")</f>
        <v>0</v>
      </c>
      <c r="BL68" s="19">
        <f>SUMIFS(Wirksam!$BL$7:$BL$66,Wirksam!$B$7:$B$66,"Gesundheit")</f>
        <v>0</v>
      </c>
      <c r="BM68" s="19">
        <f>SUMIFS(Wirksam!$BM$7:$BM$66,Wirksam!$B$7:$B$66,"Gesundheit")</f>
        <v>0</v>
      </c>
      <c r="BN68" s="19">
        <f>SUMIFS(Wirksam!$BN$7:$BN$66,Wirksam!$B$7:$B$66,"Gesundheit")</f>
        <v>0</v>
      </c>
      <c r="BO68" s="19">
        <f>SUMIFS(Wirksam!$BO$7:$BO$66,Wirksam!$B$7:$B$66,"Gesundheit")</f>
        <v>0</v>
      </c>
      <c r="BP68" s="19">
        <f>SUMIFS(Wirksam!$BP$7:$BP$66,Wirksam!$B$7:$B$66,"Gesundheit")</f>
        <v>0</v>
      </c>
      <c r="BQ68" s="19">
        <f>SUMIFS(Wirksam!$BQ$7:$BQ$66,Wirksam!$B$7:$B$66,"Gesundheit")</f>
        <v>0</v>
      </c>
      <c r="BR68" s="19">
        <f>SUMIFS(Wirksam!$BR$7:$BR$66,Wirksam!$B$7:$B$66,"Gesundheit")</f>
        <v>0</v>
      </c>
      <c r="BS68" s="19">
        <f>SUMIFS(Wirksam!$BS$7:$BS$66,Wirksam!$B$7:$B$66,"Gesundheit")</f>
        <v>0</v>
      </c>
      <c r="BT68" s="19">
        <f>SUMIFS(Wirksam!$BT$7:$BT$66,Wirksam!$B$7:$B$66,"Gesundheit")</f>
        <v>0</v>
      </c>
      <c r="BU68" s="19">
        <f>SUMIFS(Wirksam!$BU$7:$BU$66,Wirksam!$B$7:$B$66,"Gesundheit")</f>
        <v>0</v>
      </c>
      <c r="BV68" s="19">
        <f>SUMIFS(Wirksam!$BV$7:$BV$66,Wirksam!$B$7:$B$66,"Gesundheit")</f>
        <v>0</v>
      </c>
      <c r="BW68" s="19">
        <f>SUMIFS(Wirksam!$BW$7:$BW$66,Wirksam!$B$7:$B$66,"Gesundheit")</f>
        <v>0</v>
      </c>
      <c r="BX68" s="19">
        <f>SUMIFS(Wirksam!$BX$7:$BX$66,Wirksam!$B$7:$B$66,"Gesundheit")</f>
        <v>0</v>
      </c>
      <c r="BY68" s="19">
        <f>SUMIFS(Wirksam!$BY$7:$BY$66,Wirksam!$B$7:$B$66,"Gesundheit")</f>
        <v>0</v>
      </c>
      <c r="BZ68" s="19">
        <f>SUMIFS(Wirksam!$BZ$7:$BZ$66,Wirksam!$B$7:$B$66,"Gesundheit")</f>
        <v>0</v>
      </c>
      <c r="CA68" s="19">
        <f>SUMIFS(Wirksam!$CA$7:$CA$66,Wirksam!$B$7:$B$66,"Gesundheit")</f>
        <v>0</v>
      </c>
      <c r="CB68" s="19">
        <f>SUMIFS(Wirksam!$CB$7:$CB$66,Wirksam!$B$7:$B$66,"Gesundheit")</f>
        <v>0</v>
      </c>
      <c r="CC68" s="19">
        <f>SUMIFS(Wirksam!$CC$7:$CC$66,Wirksam!$B$7:$B$66,"Gesundheit")</f>
        <v>0</v>
      </c>
      <c r="CD68" s="19">
        <f>SUMIFS(Wirksam!$CD$7:$CD$66,Wirksam!$B$7:$B$66,"Gesundheit")</f>
        <v>0</v>
      </c>
      <c r="CE68" s="19">
        <f>SUMIFS(Wirksam!$CE$7:$CE$66,Wirksam!$B$7:$B$66,"Gesundheit")</f>
        <v>0</v>
      </c>
      <c r="CF68" s="19">
        <f>SUMIFS(Wirksam!$CF$7:$CF$66,Wirksam!$B$7:$B$66,"Gesundheit")</f>
        <v>0</v>
      </c>
      <c r="CG68" s="19">
        <f>SUMIFS(Wirksam!$CG$7:$CG$66,Wirksam!$B$7:$B$66,"Gesundheit")</f>
        <v>0</v>
      </c>
      <c r="CH68" s="19">
        <f>SUMIFS(Wirksam!$CH$7:$CH$66,Wirksam!$B$7:$B$66,"Gesundheit")</f>
        <v>0</v>
      </c>
      <c r="CI68" s="19">
        <f>SUMIFS(Wirksam!$CI$7:$CI$66,Wirksam!$B$7:$B$66,"Gesundheit")</f>
        <v>0</v>
      </c>
      <c r="CJ68" s="19">
        <f>SUMIFS(Wirksam!$CJ$7:$CJ$66,Wirksam!$B$7:$B$66,"Gesundheit")</f>
        <v>0</v>
      </c>
      <c r="CK68" s="19">
        <f>SUMIFS(Wirksam!$CK$7:$CK$66,Wirksam!$B$7:$B$66,"Gesundheit")</f>
        <v>0</v>
      </c>
      <c r="CL68" s="19">
        <f>SUMIFS(Wirksam!$CL$7:$CL$66,Wirksam!$B$7:$B$66,"Gesundheit")</f>
        <v>0</v>
      </c>
      <c r="CM68" s="19">
        <f>SUMIFS(Wirksam!$CM$7:$CM$66,Wirksam!$B$7:$B$66,"Gesundheit")</f>
        <v>0</v>
      </c>
      <c r="CN68" s="19">
        <f>SUMIFS(Wirksam!$CN$7:$CN$66,Wirksam!$B$7:$B$66,"Gesundheit")</f>
        <v>0</v>
      </c>
      <c r="CO68" s="19">
        <f>SUMIFS(Wirksam!$CO$7:$CO$66,Wirksam!$B$7:$B$66,"Gesundheit")</f>
        <v>0</v>
      </c>
      <c r="CP68" s="19">
        <f>SUMIFS(Wirksam!$CP$7:$CP$66,Wirksam!$B$7:$B$66,"Gesundheit")</f>
        <v>0</v>
      </c>
      <c r="CQ68" s="19">
        <f>SUMIFS(Wirksam!$CQ$7:$CQ$66,Wirksam!$B$7:$B$66,"Gesundheit")</f>
        <v>0</v>
      </c>
      <c r="CR68" s="19">
        <f>SUMIFS(Wirksam!$CR$7:$CR$66,Wirksam!$B$7:$B$66,"Gesundheit")</f>
        <v>0</v>
      </c>
      <c r="CS68" s="19">
        <f>SUMIFS(Wirksam!$CS$7:$CS$66,Wirksam!$B$7:$B$66,"Gesundheit")</f>
        <v>0</v>
      </c>
      <c r="CT68" s="19">
        <f>SUMIFS(Wirksam!$CT$7:$CT$66,Wirksam!$B$7:$B$66,"Gesundheit")</f>
        <v>0</v>
      </c>
      <c r="CU68" s="19">
        <f>SUMIFS(Wirksam!$CU$7:$CU$66,Wirksam!$B$7:$B$66,"Gesundheit")</f>
        <v>0</v>
      </c>
      <c r="CV68" s="19">
        <f>SUMIFS(Wirksam!$CV$7:$CV$66,Wirksam!$B$7:$B$66,"Gesundheit")</f>
        <v>0</v>
      </c>
      <c r="CW68" s="19">
        <f>SUMIFS(Wirksam!$CW$7:$CW$66,Wirksam!$B$7:$B$66,"Gesundheit")</f>
        <v>0</v>
      </c>
      <c r="CX68" s="19">
        <f>SUMIFS(Wirksam!$CX$7:$CX$66,Wirksam!$B$7:$B$66,"Gesundheit")</f>
        <v>0</v>
      </c>
      <c r="CY68" s="19">
        <f>SUMIFS(Wirksam!$CY$7:$CY$66,Wirksam!$B$7:$B$66,"Gesundheit")</f>
        <v>0</v>
      </c>
      <c r="CZ68" s="19">
        <f>SUMIFS(Wirksam!$CZ$7:$CZ$66,Wirksam!$B$7:$B$66,"Gesundheit")</f>
        <v>0</v>
      </c>
      <c r="DA68" s="19">
        <f>SUMIFS(Wirksam!$DA$7:$DA$66,Wirksam!$B$7:$B$66,"Gesundheit")</f>
        <v>0</v>
      </c>
      <c r="DB68" s="19">
        <f>SUMIFS(Wirksam!$DB$7:$DB$66,Wirksam!$B$7:$B$66,"Gesundheit")</f>
        <v>0</v>
      </c>
      <c r="DC68" s="19">
        <f>SUMIFS(Wirksam!$DC$7:$DC$66,Wirksam!$B$7:$B$66,"Gesundheit")</f>
        <v>0</v>
      </c>
      <c r="DD68" s="19">
        <f>SUMIFS(Wirksam!$DD$7:$DD$66,Wirksam!$B$7:$B$66,"Gesundheit")</f>
        <v>0</v>
      </c>
      <c r="DE68" s="19">
        <f>SUMIFS(Wirksam!$DE$7:$DE$66,Wirksam!$B$7:$B$66,"Gesundheit")</f>
        <v>0</v>
      </c>
      <c r="DF68" s="19">
        <f>SUMIFS(Wirksam!$DF$7:$DF$66,Wirksam!$B$7:$B$66,"Gesundheit")</f>
        <v>0</v>
      </c>
      <c r="DG68" s="19">
        <f>SUMIFS(Wirksam!$DG$7:$DG$66,Wirksam!$B$7:$B$66,"Gesundheit")</f>
        <v>0</v>
      </c>
      <c r="DH68" s="19">
        <f>SUMIFS(Wirksam!$DH$7:$DH$66,Wirksam!$B$7:$B$66,"Gesundheit")</f>
        <v>0</v>
      </c>
      <c r="DI68" s="19">
        <f>SUMIFS(Wirksam!$DI$7:$DI$66,Wirksam!$B$7:$B$66,"Gesundheit")</f>
        <v>0</v>
      </c>
      <c r="DJ68" s="19">
        <f>SUMIFS(Wirksam!$DJ$7:$DJ$66,Wirksam!$B$7:$B$66,"Gesundheit")</f>
        <v>0</v>
      </c>
      <c r="DK68" s="19">
        <f>SUMIFS(Wirksam!$DK$7:$DK$66,Wirksam!$B$7:$B$66,"Gesundheit")</f>
        <v>0</v>
      </c>
      <c r="DL68" s="19">
        <f>SUMIFS(Wirksam!$DL$7:$DL$66,Wirksam!$B$7:$B$66,"Gesundheit")</f>
        <v>0</v>
      </c>
      <c r="DM68" s="19">
        <f>SUMIFS(Wirksam!$DM$7:$DM$66,Wirksam!$B$7:$B$66,"Gesundheit")</f>
        <v>0</v>
      </c>
      <c r="DN68" s="19">
        <f>SUMIFS(Wirksam!$DN$7:$DN$66,Wirksam!$B$7:$B$66,"Gesundheit")</f>
        <v>0</v>
      </c>
      <c r="DO68" s="19">
        <f>SUMIFS(Wirksam!$DO$7:$DO$66,Wirksam!$B$7:$B$66,"Gesundheit")</f>
        <v>0</v>
      </c>
      <c r="DP68" s="19">
        <f>SUMIFS(Wirksam!$DP$7:$DP$66,Wirksam!$B$7:$B$66,"Gesundheit")</f>
        <v>0</v>
      </c>
      <c r="DQ68" s="19">
        <f>SUMIFS(Wirksam!$DQ$7:$DQ$66,Wirksam!$B$7:$B$66,"Gesundheit")</f>
        <v>0</v>
      </c>
      <c r="DR68" s="19">
        <f>SUMIFS(Wirksam!$DR$7:$DR$66,Wirksam!$B$7:$B$66,"Gesundheit")</f>
        <v>0</v>
      </c>
      <c r="DS68" s="19">
        <f>SUMIFS(Wirksam!$DS$7:$DS$66,Wirksam!$B$7:$B$66,"Gesundheit")</f>
        <v>0</v>
      </c>
      <c r="DT68" s="19">
        <f>SUMIFS(Wirksam!$DT$7:$DT$66,Wirksam!$B$7:$B$66,"Gesundheit")</f>
        <v>0</v>
      </c>
      <c r="DU68" s="19">
        <f>SUMIFS(Wirksam!$DU$7:$DU$66,Wirksam!$B$7:$B$66,"Gesundheit")</f>
        <v>0</v>
      </c>
      <c r="DV68" s="19">
        <f>SUMIFS(Wirksam!$DV$7:$DV$66,Wirksam!$B$7:$B$66,"Gesundheit")</f>
        <v>0</v>
      </c>
      <c r="DW68" s="19">
        <f>SUMIFS(Wirksam!$DW$7:$DW$66,Wirksam!$B$7:$B$66,"Gesundheit")</f>
        <v>0</v>
      </c>
      <c r="DX68" s="19">
        <f>SUMIFS(Wirksam!$DX$7:$DX$66,Wirksam!$B$7:$B$66,"Gesundheit")</f>
        <v>0</v>
      </c>
      <c r="DY68" s="19">
        <f>SUMIFS(Wirksam!$DY$7:$DY$66,Wirksam!$B$7:$B$66,"Gesundheit")</f>
        <v>0</v>
      </c>
      <c r="DZ68" s="19">
        <f>SUMIFS(Wirksam!$DZ$7:$DZ$66,Wirksam!$B$7:$B$66,"Gesundheit")</f>
        <v>0</v>
      </c>
      <c r="EA68" s="19">
        <f>SUMIFS(Wirksam!$EA$7:$EA$66,Wirksam!$B$7:$B$66,"Gesundheit")</f>
        <v>0</v>
      </c>
      <c r="EB68" s="19">
        <f>SUMIFS(Wirksam!$EB$7:$EB$66,Wirksam!$B$7:$B$66,"Gesundheit")</f>
        <v>0</v>
      </c>
      <c r="EC68" s="19">
        <f>SUMIFS(Wirksam!$EC$7:$EC$66,Wirksam!$B$7:$B$66,"Gesundheit")</f>
        <v>0</v>
      </c>
      <c r="ED68" s="19">
        <f>SUMIFS(Wirksam!$ED$7:$ED$66,Wirksam!$B$7:$B$66,"Gesundheit")</f>
        <v>0</v>
      </c>
      <c r="EE68" s="19">
        <f>SUMIFS(Wirksam!$EE$7:$EE$66,Wirksam!$B$7:$B$66,"Gesundheit")</f>
        <v>0</v>
      </c>
      <c r="EF68" s="19">
        <f>SUMIFS(Wirksam!$EF$7:$EF$66,Wirksam!$B$7:$B$66,"Gesundheit")</f>
        <v>0</v>
      </c>
      <c r="EG68" s="19">
        <f>SUMIFS(Wirksam!$EG$7:$EG$66,Wirksam!$B$7:$B$66,"Gesundheit")</f>
        <v>0</v>
      </c>
      <c r="EH68" s="19">
        <f>SUMIFS(Wirksam!$EH$7:$EH$66,Wirksam!$B$7:$B$66,"Gesundheit")</f>
        <v>0</v>
      </c>
      <c r="EI68" s="19">
        <f>SUMIFS(Wirksam!$EI$7:$EI$66,Wirksam!$B$7:$B$66,"Gesundheit")</f>
        <v>0</v>
      </c>
      <c r="EJ68" s="19">
        <f>SUMIFS(Wirksam!$EJ$7:$EJ$66,Wirksam!$B$7:$B$66,"Gesundheit")</f>
        <v>0</v>
      </c>
      <c r="EK68" s="19">
        <f>SUMIFS(Wirksam!$EK$7:$EK$66,Wirksam!$B$7:$B$66,"Gesundheit")</f>
        <v>0</v>
      </c>
      <c r="EL68" s="19">
        <f>SUMIFS(Wirksam!$EL$7:$EL$66,Wirksam!$B$7:$B$66,"Gesundheit")</f>
        <v>0</v>
      </c>
      <c r="EM68" s="19">
        <f>SUMIFS(Wirksam!$EM$7:$EM$66,Wirksam!$B$7:$B$66,"Gesundheit")</f>
        <v>0</v>
      </c>
      <c r="EN68" s="19">
        <f>SUMIFS(Wirksam!$EN$7:$EN$66,Wirksam!$B$7:$B$66,"Gesundheit")</f>
        <v>0</v>
      </c>
      <c r="EO68" s="19">
        <f>SUMIFS(Wirksam!$EO$7:$EO$66,Wirksam!$B$7:$B$66,"Gesundheit")</f>
        <v>0</v>
      </c>
      <c r="EP68" s="19">
        <f>SUMIFS(Wirksam!$EP$7:$EP$66,Wirksam!$B$7:$B$66,"Gesundheit")</f>
        <v>0</v>
      </c>
      <c r="EQ68" s="19">
        <f>SUMIFS(Wirksam!$EQ$7:$EQ$66,Wirksam!$B$7:$B$66,"Gesundheit")</f>
        <v>0</v>
      </c>
      <c r="ER68" s="19">
        <f>SUMIFS(Wirksam!$ER$7:$ER$66,Wirksam!$B$7:$B$66,"Gesundheit")</f>
        <v>0</v>
      </c>
      <c r="ES68" s="19">
        <f>SUMIFS(Wirksam!$ES$7:$ES$66,Wirksam!$B$7:$B$66,"Gesundheit")</f>
        <v>0</v>
      </c>
      <c r="ET68" s="19">
        <f>SUMIFS(Wirksam!$ET$7:$ET$66,Wirksam!$B$7:$B$66,"Gesundheit")</f>
        <v>0</v>
      </c>
      <c r="EU68" s="19">
        <f>SUMIFS(Wirksam!$EU$7:$EU$66,Wirksam!$B$7:$B$66,"Gesundheit")</f>
        <v>0</v>
      </c>
      <c r="EV68" s="19">
        <f>SUMIFS(Wirksam!$EV$7:$EV$66,Wirksam!$B$7:$B$66,"Gesundheit")</f>
        <v>0</v>
      </c>
      <c r="EW68" s="19">
        <f>SUMIFS(Wirksam!$EW$7:$EW$66,Wirksam!$B$7:$B$66,"Gesundheit")</f>
        <v>0</v>
      </c>
      <c r="EX68" s="19">
        <f>SUMIFS(Wirksam!$EX$7:$EX$66,Wirksam!$B$7:$B$66,"Gesundheit")</f>
        <v>0</v>
      </c>
      <c r="EY68" s="19">
        <f>SUMIFS(Wirksam!$EY$7:$EY$66,Wirksam!$B$7:$B$66,"Gesundheit")</f>
        <v>0</v>
      </c>
      <c r="EZ68" s="19">
        <f>SUMIFS(Wirksam!$EZ$7:$EZ$66,Wirksam!$B$7:$B$66,"Gesundheit")</f>
        <v>0</v>
      </c>
      <c r="FA68" s="19">
        <f>SUMIFS(Wirksam!$FA$7:$FA$66,Wirksam!$B$7:$B$66,"Gesundheit")</f>
        <v>0</v>
      </c>
      <c r="FB68" s="19">
        <f>SUMIFS(Wirksam!$FB$7:$FB$66,Wirksam!$B$7:$B$66,"Gesundheit")</f>
        <v>0</v>
      </c>
      <c r="FC68" s="19">
        <f>SUMIFS(Wirksam!$FC$7:$FC$66,Wirksam!$B$7:$B$66,"Gesundheit")</f>
        <v>0</v>
      </c>
      <c r="FD68" s="19">
        <f>SUMIFS(Wirksam!$FD$7:$FD$66,Wirksam!$B$7:$B$66,"Gesundheit")</f>
        <v>0</v>
      </c>
      <c r="FE68" s="19">
        <f>SUMIFS(Wirksam!$FE$7:$FE$66,Wirksam!$B$7:$B$66,"Gesundheit")</f>
        <v>0</v>
      </c>
      <c r="FF68" s="19">
        <f>SUMIFS(Wirksam!$FF$7:$FF$66,Wirksam!$B$7:$B$66,"Gesundheit")</f>
        <v>0</v>
      </c>
      <c r="FG68" s="19">
        <f>SUMIFS(Wirksam!$FG$7:$FG$66,Wirksam!$B$7:$B$66,"Gesundheit")</f>
        <v>0</v>
      </c>
      <c r="FH68" s="19">
        <f>SUMIFS(Wirksam!$FH$7:$FH$66,Wirksam!$B$7:$B$66,"Gesundheit")</f>
        <v>0</v>
      </c>
      <c r="FI68" s="19">
        <f>SUMIFS(Wirksam!$FI$7:$FI$66,Wirksam!$B$7:$B$66,"Gesundheit")</f>
        <v>0</v>
      </c>
      <c r="FJ68" s="19">
        <f>SUMIFS(Wirksam!$FJ$7:$FJ$66,Wirksam!$B$7:$B$66,"Gesundheit")</f>
        <v>0</v>
      </c>
      <c r="FK68" s="19">
        <f>SUMIFS(Wirksam!$FK$7:$FK$66,Wirksam!$B$7:$B$66,"Gesundheit")</f>
        <v>0</v>
      </c>
      <c r="FL68" s="19">
        <f>SUMIFS(Wirksam!$FL$7:$FL$66,Wirksam!$B$7:$B$66,"Gesundheit")</f>
        <v>0</v>
      </c>
      <c r="FM68" s="19">
        <f>SUMIFS(Wirksam!$FM$7:$FM$66,Wirksam!$B$7:$B$66,"Gesundheit")</f>
        <v>0</v>
      </c>
      <c r="FN68" s="19">
        <f>SUMIFS(Wirksam!$FN$7:$FN$66,Wirksam!$B$7:$B$66,"Gesundheit")</f>
        <v>0</v>
      </c>
      <c r="FO68" s="19">
        <f>SUMIFS(Wirksam!$FO$7:$FO$66,Wirksam!$B$7:$B$66,"Gesundheit")</f>
        <v>0</v>
      </c>
      <c r="FP68" s="19">
        <f>SUMIFS(Wirksam!$FP$7:$FP$66,Wirksam!$B$7:$B$66,"Gesundheit")</f>
        <v>0</v>
      </c>
      <c r="FQ68" s="19">
        <f>SUMIFS(Wirksam!$FQ$7:$FQ$66,Wirksam!$B$7:$B$66,"Gesundheit")</f>
        <v>0</v>
      </c>
      <c r="FR68" s="19">
        <f>SUMIFS(Wirksam!$FR$7:$FR$66,Wirksam!$B$7:$B$66,"Gesundheit")</f>
        <v>0</v>
      </c>
      <c r="FS68" s="19">
        <f>SUMIFS(Wirksam!$FS$7:$FS$66,Wirksam!$B$7:$B$66,"Gesundheit")</f>
        <v>0</v>
      </c>
      <c r="FT68" s="19">
        <f>SUMIFS(Wirksam!$FT$7:$FT$66,Wirksam!$B$7:$B$66,"Gesundheit")</f>
        <v>0</v>
      </c>
      <c r="FU68" s="19">
        <f>SUMIFS(Wirksam!$FU$7:$FU$66,Wirksam!$B$7:$B$66,"Gesundheit")</f>
        <v>0</v>
      </c>
      <c r="FV68" s="19">
        <f>SUMIFS(Wirksam!$FV$7:$FV$66,Wirksam!$B$7:$B$66,"Gesundheit")</f>
        <v>0</v>
      </c>
      <c r="FW68" s="19">
        <f>SUMIFS(Wirksam!$FW$7:$FW$66,Wirksam!$B$7:$B$66,"Gesundheit")</f>
        <v>0</v>
      </c>
      <c r="FX68" s="19">
        <f>SUMIFS(Wirksam!$FX$7:$FX$66,Wirksam!$B$7:$B$66,"Gesundheit")</f>
        <v>0</v>
      </c>
      <c r="FY68" s="19">
        <f>SUMIFS(Wirksam!$FY$7:$FY$66,Wirksam!$B$7:$B$66,"Gesundheit")</f>
        <v>0</v>
      </c>
      <c r="FZ68" s="19">
        <f>SUMIFS(Wirksam!$FZ$7:$FZ$66,Wirksam!$B$7:$B$66,"Gesundheit")</f>
        <v>0</v>
      </c>
      <c r="GA68" s="19">
        <f>SUMIFS(Wirksam!$GA$7:$GA$66,Wirksam!$B$7:$B$66,"Gesundheit")</f>
        <v>0</v>
      </c>
      <c r="GB68" s="19">
        <f>SUMIFS(Wirksam!$GB$7:$GB$66,Wirksam!$B$7:$B$66,"Gesundheit")</f>
        <v>0</v>
      </c>
      <c r="GC68" s="19">
        <f>SUMIFS(Wirksam!$GC$7:$GC$66,Wirksam!$B$7:$B$66,"Gesundheit")</f>
        <v>0</v>
      </c>
      <c r="GD68" s="19">
        <f>SUMIFS(Wirksam!$GD$7:$GD$66,Wirksam!$B$7:$B$66,"Gesundheit")</f>
        <v>0</v>
      </c>
      <c r="GE68" s="19">
        <f>SUMIFS(Wirksam!$GE$7:$GE$66,Wirksam!$B$7:$B$66,"Gesundheit")</f>
        <v>0</v>
      </c>
      <c r="GF68" s="19">
        <f>SUMIFS(Wirksam!$GF$7:$GF$66,Wirksam!$B$7:$B$66,"Gesundheit")</f>
        <v>0</v>
      </c>
      <c r="GG68" s="19">
        <f>SUMIFS(Wirksam!$GG$7:$GG$66,Wirksam!$B$7:$B$66,"Gesundheit")</f>
        <v>0</v>
      </c>
      <c r="GH68" s="19">
        <f>SUMIFS(Wirksam!$GH$7:$GH$66,Wirksam!$B$7:$B$66,"Gesundheit")</f>
        <v>0</v>
      </c>
      <c r="GI68" s="19">
        <f>SUMIFS(Wirksam!$GI$7:$GI$66,Wirksam!$B$7:$B$66,"Gesundheit")</f>
        <v>0</v>
      </c>
      <c r="GJ68" s="19">
        <f>SUMIFS(Wirksam!$GJ$7:$GJ$66,Wirksam!$B$7:$B$66,"Gesundheit")</f>
        <v>0</v>
      </c>
      <c r="GK68" s="19">
        <f>SUMIFS(Wirksam!$GK$7:$GK$66,Wirksam!$B$7:$B$66,"Gesundheit")</f>
        <v>0</v>
      </c>
      <c r="GL68" s="19">
        <f>SUMIFS(Wirksam!$GL$7:$GL$66,Wirksam!$B$7:$B$66,"Gesundheit")</f>
        <v>0</v>
      </c>
      <c r="GM68" s="19">
        <f>SUMIFS(Wirksam!$GM$7:$GM$66,Wirksam!$B$7:$B$66,"Gesundheit")</f>
        <v>0</v>
      </c>
      <c r="GN68" s="19">
        <f>SUMIFS(Wirksam!$GN$7:$GN$66,Wirksam!$B$7:$B$66,"Gesundheit")</f>
        <v>0</v>
      </c>
      <c r="GO68" s="19">
        <f>SUMIFS(Wirksam!$GO$7:$GO$66,Wirksam!$B$7:$B$66,"Gesundheit")</f>
        <v>0</v>
      </c>
      <c r="GP68" s="19">
        <f>SUMIFS(Wirksam!$GP$7:$GP$66,Wirksam!$B$7:$B$66,"Gesundheit")</f>
        <v>0</v>
      </c>
      <c r="GQ68" s="19">
        <f>SUMIFS(Wirksam!$GQ$7:$GQ$66,Wirksam!$B$7:$B$66,"Gesundheit")</f>
        <v>0</v>
      </c>
      <c r="GR68" s="19">
        <f>SUMIFS(Wirksam!$GR$7:$GR$66,Wirksam!$B$7:$B$66,"Gesundheit")</f>
        <v>0</v>
      </c>
      <c r="GS68" s="19">
        <f>SUMIFS(Wirksam!$GS$7:$GS$66,Wirksam!$B$7:$B$66,"Gesundheit")</f>
        <v>0</v>
      </c>
      <c r="GT68" s="19">
        <f>SUMIFS(Wirksam!$GT$7:$GT$66,Wirksam!$B$7:$B$66,"Gesundheit")</f>
        <v>0</v>
      </c>
      <c r="GU68" s="19">
        <f>SUMIFS(Wirksam!$GU$7:$GU$66,Wirksam!$B$7:$B$66,"Gesundheit")</f>
        <v>0</v>
      </c>
      <c r="GV68" s="19">
        <f>SUMIFS(Wirksam!$GV$7:$GV$66,Wirksam!$B$7:$B$66,"Gesundheit")</f>
        <v>0</v>
      </c>
      <c r="GW68" s="19">
        <f>SUMIFS(Wirksam!$GW$7:$GW$66,Wirksam!$B$7:$B$66,"Gesundheit")</f>
        <v>0</v>
      </c>
      <c r="GX68" s="19">
        <f>SUMIFS(Wirksam!$GX$7:$GX$66,Wirksam!$B$7:$B$66,"Gesundheit")</f>
        <v>0</v>
      </c>
      <c r="GY68" s="19">
        <f>SUMIFS(Wirksam!$GY$7:$GY$66,Wirksam!$B$7:$B$66,"Gesundheit")</f>
        <v>0</v>
      </c>
      <c r="GZ68" s="19">
        <f>SUMIFS(Wirksam!$GZ$7:$GZ$66,Wirksam!$B$7:$B$66,"Gesundheit")</f>
        <v>0</v>
      </c>
      <c r="HA68" s="19">
        <f>SUMIFS(Wirksam!$HA$7:$HA$66,Wirksam!$B$7:$B$66,"Gesundheit")</f>
        <v>0</v>
      </c>
      <c r="HB68" s="19">
        <f>SUMIFS(Wirksam!$HB$7:$HB$66,Wirksam!$B$7:$B$66,"Gesundheit")</f>
        <v>0</v>
      </c>
      <c r="HC68" s="19">
        <f>SUMIFS(Wirksam!$HC$7:$HC$66,Wirksam!$B$7:$B$66,"Gesundheit")</f>
        <v>0</v>
      </c>
      <c r="HD68" s="19">
        <f>SUMIFS(Wirksam!$HD$7:$HD$66,Wirksam!$B$7:$B$66,"Gesundheit")</f>
        <v>0</v>
      </c>
      <c r="HE68" s="19">
        <f>SUMIFS(Wirksam!$HE$7:$HE$66,Wirksam!$B$7:$B$66,"Gesundheit")</f>
        <v>0</v>
      </c>
      <c r="HF68" s="19">
        <f>SUMIFS(Wirksam!$HF$7:$HF$66,Wirksam!$B$7:$B$66,"Gesundheit")</f>
        <v>0</v>
      </c>
      <c r="HG68" s="19">
        <f>SUMIFS(Wirksam!$HG$7:$HG$66,Wirksam!$B$7:$B$66,"Gesundheit")</f>
        <v>0</v>
      </c>
      <c r="HH68" s="19">
        <f>SUMIFS(Wirksam!$HH$7:$HH$66,Wirksam!$B$7:$B$66,"Gesundheit")</f>
        <v>0</v>
      </c>
      <c r="HI68" s="19">
        <f>SUMIFS(Wirksam!$HI$7:$HI$66,Wirksam!$B$7:$B$66,"Gesundheit")</f>
        <v>0</v>
      </c>
      <c r="HJ68" s="19">
        <f>SUMIFS(Wirksam!$HJ$7:$HJ$66,Wirksam!$B$7:$B$66,"Gesundheit")</f>
        <v>0</v>
      </c>
      <c r="HK68" s="19">
        <f>SUMIFS(Wirksam!$HK$7:$HK$66,Wirksam!$B$7:$B$66,"Gesundheit")</f>
        <v>0</v>
      </c>
      <c r="HL68" s="19">
        <f>SUMIFS(Wirksam!$HL$7:$HL$66,Wirksam!$B$7:$B$66,"Gesundheit")</f>
        <v>0</v>
      </c>
      <c r="HM68" s="19">
        <f>SUMIFS(Wirksam!$HM$7:$HM$66,Wirksam!$B$7:$B$66,"Gesundheit")</f>
        <v>0</v>
      </c>
      <c r="HN68" s="19">
        <f>SUMIFS(Wirksam!$HN$7:$HN$66,Wirksam!$B$7:$B$66,"Gesundheit")</f>
        <v>0</v>
      </c>
      <c r="HO68" s="19">
        <f>SUMIFS(Wirksam!$HO$7:$HO$66,Wirksam!$B$7:$B$66,"Gesundheit")</f>
        <v>0</v>
      </c>
      <c r="HP68" s="19">
        <f>SUMIFS(Wirksam!$HP$7:$HP$66,Wirksam!$B$7:$B$66,"Gesundheit")</f>
        <v>0</v>
      </c>
      <c r="HQ68" s="19">
        <f>SUMIFS(Wirksam!$HQ$7:$HQ$66,Wirksam!$B$7:$B$66,"Gesundheit")</f>
        <v>0</v>
      </c>
      <c r="HR68" s="19">
        <f>SUMIFS(Wirksam!$HR$7:$HR$66,Wirksam!$B$7:$B$66,"Gesundheit")</f>
        <v>0</v>
      </c>
      <c r="HS68" s="19">
        <f>SUMIFS(Wirksam!$HS$7:$HS$66,Wirksam!$B$7:$B$66,"Gesundheit")</f>
        <v>0</v>
      </c>
      <c r="HT68" s="19">
        <f>SUMIFS(Wirksam!$HT$7:$HT$66,Wirksam!$B$7:$B$66,"Gesundheit")</f>
        <v>0</v>
      </c>
      <c r="HU68" s="19">
        <f>SUMIFS(Wirksam!$HU$7:$HU$66,Wirksam!$B$7:$B$66,"Gesundheit")</f>
        <v>0</v>
      </c>
      <c r="HV68" s="19">
        <f>SUMIFS(Wirksam!$HV$7:$HV$66,Wirksam!$B$7:$B$66,"Gesundheit")</f>
        <v>0</v>
      </c>
      <c r="HW68" s="19">
        <f>SUMIFS(Wirksam!$HW$7:$HW$66,Wirksam!$B$7:$B$66,"Gesundheit")</f>
        <v>0</v>
      </c>
      <c r="HX68" s="19">
        <f>SUMIFS(Wirksam!$HX$7:$HX$66,Wirksam!$B$7:$B$66,"Gesundheit")</f>
        <v>0</v>
      </c>
      <c r="HY68" s="19">
        <f>SUMIFS(Wirksam!$HY$7:$HY$66,Wirksam!$B$7:$B$66,"Gesundheit")</f>
        <v>0</v>
      </c>
      <c r="HZ68" s="19">
        <f>SUMIFS(Wirksam!$HZ$7:$HZ$66,Wirksam!$B$7:$B$66,"Gesundheit")</f>
        <v>0</v>
      </c>
      <c r="IA68" s="19">
        <f>SUMIFS(Wirksam!$IA$7:$IA$66,Wirksam!$B$7:$B$66,"Gesundheit")</f>
        <v>0</v>
      </c>
    </row>
    <row r="69" spans="1:235" x14ac:dyDescent="0.25">
      <c r="A69" s="18" t="s">
        <v>299</v>
      </c>
      <c r="D69" s="19">
        <f>SUMIFS(Wirksam!$D$7:$D$66,Wirksam!$B$7:$B$66,"Komposit")</f>
        <v>0</v>
      </c>
      <c r="E69" s="19">
        <f>SUMIFS(Wirksam!$E$7:$E$66,Wirksam!$B$7:$B$66,"Komposit")</f>
        <v>0</v>
      </c>
      <c r="F69" s="19">
        <f>SUMIFS(Wirksam!$F$7:$F$66,Wirksam!$B$7:$B$66,"Komposit")</f>
        <v>0</v>
      </c>
      <c r="G69" s="19">
        <f>SUMIFS(Wirksam!$G$7:$G$66,Wirksam!$B$7:$B$66,"Komposit")</f>
        <v>0</v>
      </c>
      <c r="H69" s="19">
        <f>SUMIFS(Wirksam!$H$7:$H$66,Wirksam!$B$7:$B$66,"Komposit")</f>
        <v>0</v>
      </c>
      <c r="I69" s="19">
        <f>SUMIFS(Wirksam!$I$7:$I$66,Wirksam!$B$7:$B$66,"Komposit")</f>
        <v>0</v>
      </c>
      <c r="J69" s="19">
        <f>SUMIFS(Wirksam!$J$7:$J$66,Wirksam!$B$7:$B$66,"Komposit")</f>
        <v>0</v>
      </c>
      <c r="K69" s="19">
        <f>SUMIFS(Wirksam!$K$7:$K$66,Wirksam!$B$7:$B$66,"Komposit")</f>
        <v>0</v>
      </c>
      <c r="L69" s="19">
        <f>SUMIFS(Wirksam!$L$7:$L$66,Wirksam!$B$7:$B$66,"Komposit")</f>
        <v>0</v>
      </c>
      <c r="M69" s="19">
        <f>SUMIFS(Wirksam!$M$7:$M$66,Wirksam!$B$7:$B$66,"Komposit")</f>
        <v>0</v>
      </c>
      <c r="N69" s="19">
        <f>SUMIFS(Wirksam!$N$7:$N$66,Wirksam!$B$7:$B$66,"Komposit")</f>
        <v>0</v>
      </c>
      <c r="O69" s="19">
        <f>SUMIFS(Wirksam!$O$7:$O$66,Wirksam!$B$7:$B$66,"Komposit")</f>
        <v>0</v>
      </c>
      <c r="P69" s="19">
        <f>SUMIFS(Wirksam!$P$7:$P$66,Wirksam!$B$7:$B$66,"Komposit")</f>
        <v>0</v>
      </c>
      <c r="Q69" s="19">
        <f>SUMIFS(Wirksam!$Q$7:$Q$66,Wirksam!$B$7:$B$66,"Komposit")</f>
        <v>0</v>
      </c>
      <c r="R69" s="19">
        <f>SUMIFS(Wirksam!$R$7:$R$66,Wirksam!$B$7:$B$66,"Komposit")</f>
        <v>0</v>
      </c>
      <c r="S69" s="19">
        <f>SUMIFS(Wirksam!$S$7:$S$66,Wirksam!$B$7:$B$66,"Komposit")</f>
        <v>0</v>
      </c>
      <c r="T69" s="19">
        <f>SUMIFS(Wirksam!$T$7:$T$66,Wirksam!$B$7:$B$66,"Komposit")</f>
        <v>0</v>
      </c>
      <c r="U69" s="19">
        <f>SUMIFS(Wirksam!$U$7:$U$66,Wirksam!$B$7:$B$66,"Komposit")</f>
        <v>0</v>
      </c>
      <c r="V69" s="19">
        <f>SUMIFS(Wirksam!$V$7:$V$66,Wirksam!$B$7:$B$66,"Komposit")</f>
        <v>0</v>
      </c>
      <c r="W69" s="19">
        <f>SUMIFS(Wirksam!$W$7:$W$66,Wirksam!$B$7:$B$66,"Komposit")</f>
        <v>0</v>
      </c>
      <c r="X69" s="19">
        <f>SUMIFS(Wirksam!$X$7:$X$66,Wirksam!$B$7:$B$66,"Komposit")</f>
        <v>0</v>
      </c>
      <c r="Y69" s="19">
        <f>SUMIFS(Wirksam!$Y$7:$Y$66,Wirksam!$B$7:$B$66,"Komposit")</f>
        <v>0</v>
      </c>
      <c r="Z69" s="19">
        <f>SUMIFS(Wirksam!$Z$7:$Z$66,Wirksam!$B$7:$B$66,"Komposit")</f>
        <v>0</v>
      </c>
      <c r="AA69" s="19">
        <f>SUMIFS(Wirksam!$AA$7:$AA$66,Wirksam!$B$7:$B$66,"Komposit")</f>
        <v>0</v>
      </c>
      <c r="AB69" s="19">
        <f>SUMIFS(Wirksam!$AB$7:$AB$66,Wirksam!$B$7:$B$66,"Komposit")</f>
        <v>0</v>
      </c>
      <c r="AC69" s="19">
        <f>SUMIFS(Wirksam!$AC$7:$AC$66,Wirksam!$B$7:$B$66,"Komposit")</f>
        <v>0</v>
      </c>
      <c r="AD69" s="19">
        <f>SUMIFS(Wirksam!$AD$7:$AD$66,Wirksam!$B$7:$B$66,"Komposit")</f>
        <v>0</v>
      </c>
      <c r="AE69" s="19">
        <f>SUMIFS(Wirksam!$AE$7:$AE$66,Wirksam!$B$7:$B$66,"Komposit")</f>
        <v>0</v>
      </c>
      <c r="AF69" s="19">
        <f>SUMIFS(Wirksam!$AF$7:$AF$66,Wirksam!$B$7:$B$66,"Komposit")</f>
        <v>0</v>
      </c>
      <c r="AG69" s="19">
        <f>SUMIFS(Wirksam!$AG$7:$AG$66,Wirksam!$B$7:$B$66,"Komposit")</f>
        <v>0</v>
      </c>
      <c r="AH69" s="19">
        <f>SUMIFS(Wirksam!$AH$7:$AH$66,Wirksam!$B$7:$B$66,"Komposit")</f>
        <v>0</v>
      </c>
      <c r="AI69" s="19">
        <f>SUMIFS(Wirksam!$AI$7:$AI$66,Wirksam!$B$7:$B$66,"Komposit")</f>
        <v>0</v>
      </c>
      <c r="AJ69" s="19">
        <f>SUMIFS(Wirksam!$AJ$7:$AJ$66,Wirksam!$B$7:$B$66,"Komposit")</f>
        <v>0</v>
      </c>
      <c r="AK69" s="19">
        <f>SUMIFS(Wirksam!$AK$7:$AK$66,Wirksam!$B$7:$B$66,"Komposit")</f>
        <v>0</v>
      </c>
      <c r="AL69" s="19">
        <f>SUMIFS(Wirksam!$AL$7:$AL$66,Wirksam!$B$7:$B$66,"Komposit")</f>
        <v>0</v>
      </c>
      <c r="AM69" s="19">
        <f>SUMIFS(Wirksam!$AM$7:$AM$66,Wirksam!$B$7:$B$66,"Komposit")</f>
        <v>0</v>
      </c>
      <c r="AN69" s="19">
        <f>SUMIFS(Wirksam!$AN$7:$AN$66,Wirksam!$B$7:$B$66,"Komposit")</f>
        <v>0</v>
      </c>
      <c r="AO69" s="19">
        <f>SUMIFS(Wirksam!$AO$7:$AO$66,Wirksam!$B$7:$B$66,"Komposit")</f>
        <v>0</v>
      </c>
      <c r="AP69" s="19">
        <f>SUMIFS(Wirksam!$AP$7:$AP$66,Wirksam!$B$7:$B$66,"Komposit")</f>
        <v>0</v>
      </c>
      <c r="AQ69" s="19">
        <f>SUMIFS(Wirksam!$AQ$7:$AQ$66,Wirksam!$B$7:$B$66,"Komposit")</f>
        <v>0</v>
      </c>
      <c r="AR69" s="19">
        <f>SUMIFS(Wirksam!$AR$7:$AR$66,Wirksam!$B$7:$B$66,"Komposit")</f>
        <v>0</v>
      </c>
      <c r="AS69" s="19">
        <f>SUMIFS(Wirksam!$AS$7:$AS$66,Wirksam!$B$7:$B$66,"Komposit")</f>
        <v>0</v>
      </c>
      <c r="AT69" s="19">
        <f>SUMIFS(Wirksam!$AT$7:$AT$66,Wirksam!$B$7:$B$66,"Komposit")</f>
        <v>0</v>
      </c>
      <c r="AU69" s="19">
        <f>SUMIFS(Wirksam!$AU$7:$AU$66,Wirksam!$B$7:$B$66,"Komposit")</f>
        <v>0</v>
      </c>
      <c r="AV69" s="19">
        <f>SUMIFS(Wirksam!$AV$7:$AV$66,Wirksam!$B$7:$B$66,"Komposit")</f>
        <v>0</v>
      </c>
      <c r="AW69" s="19">
        <f>SUMIFS(Wirksam!$AW$7:$AW$66,Wirksam!$B$7:$B$66,"Komposit")</f>
        <v>0</v>
      </c>
      <c r="AX69" s="19">
        <f>SUMIFS(Wirksam!$AX$7:$AX$66,Wirksam!$B$7:$B$66,"Komposit")</f>
        <v>0</v>
      </c>
      <c r="AY69" s="19">
        <f>SUMIFS(Wirksam!$AY$7:$AY$66,Wirksam!$B$7:$B$66,"Komposit")</f>
        <v>0</v>
      </c>
      <c r="AZ69" s="19">
        <f>SUMIFS(Wirksam!$AZ$7:$AZ$66,Wirksam!$B$7:$B$66,"Komposit")</f>
        <v>0</v>
      </c>
      <c r="BA69" s="19">
        <f>SUMIFS(Wirksam!$BA$7:$BA$66,Wirksam!$B$7:$B$66,"Komposit")</f>
        <v>0</v>
      </c>
      <c r="BB69" s="19">
        <f>SUMIFS(Wirksam!$BB$7:$BB$66,Wirksam!$B$7:$B$66,"Komposit")</f>
        <v>0</v>
      </c>
      <c r="BC69" s="19">
        <f>SUMIFS(Wirksam!$BC$7:$BC$66,Wirksam!$B$7:$B$66,"Komposit")</f>
        <v>0</v>
      </c>
      <c r="BD69" s="19">
        <f>SUMIFS(Wirksam!$BD$7:$BD$66,Wirksam!$B$7:$B$66,"Komposit")</f>
        <v>0</v>
      </c>
      <c r="BE69" s="19">
        <f>SUMIFS(Wirksam!$BE$7:$BE$66,Wirksam!$B$7:$B$66,"Komposit")</f>
        <v>0</v>
      </c>
      <c r="BF69" s="19">
        <f>SUMIFS(Wirksam!$BF$7:$BF$66,Wirksam!$B$7:$B$66,"Komposit")</f>
        <v>0</v>
      </c>
      <c r="BG69" s="19">
        <f>SUMIFS(Wirksam!$BG$7:$BG$66,Wirksam!$B$7:$B$66,"Komposit")</f>
        <v>0</v>
      </c>
      <c r="BH69" s="19">
        <f>SUMIFS(Wirksam!$BH$7:$BH$66,Wirksam!$B$7:$B$66,"Komposit")</f>
        <v>0</v>
      </c>
      <c r="BI69" s="19">
        <f>SUMIFS(Wirksam!$BI$7:$BI$66,Wirksam!$B$7:$B$66,"Komposit")</f>
        <v>0</v>
      </c>
      <c r="BJ69" s="19">
        <f>SUMIFS(Wirksam!$BJ$7:$BJ$66,Wirksam!$B$7:$B$66,"Komposit")</f>
        <v>0</v>
      </c>
      <c r="BK69" s="19">
        <f>SUMIFS(Wirksam!$BK$7:$BK$66,Wirksam!$B$7:$B$66,"Komposit")</f>
        <v>0</v>
      </c>
      <c r="BL69" s="19">
        <f>SUMIFS(Wirksam!$BL$7:$BL$66,Wirksam!$B$7:$B$66,"Komposit")</f>
        <v>0</v>
      </c>
      <c r="BM69" s="19">
        <f>SUMIFS(Wirksam!$BM$7:$BM$66,Wirksam!$B$7:$B$66,"Komposit")</f>
        <v>0</v>
      </c>
      <c r="BN69" s="19">
        <f>SUMIFS(Wirksam!$BN$7:$BN$66,Wirksam!$B$7:$B$66,"Komposit")</f>
        <v>0</v>
      </c>
      <c r="BO69" s="19">
        <f>SUMIFS(Wirksam!$BO$7:$BO$66,Wirksam!$B$7:$B$66,"Komposit")</f>
        <v>0</v>
      </c>
      <c r="BP69" s="19">
        <f>SUMIFS(Wirksam!$BP$7:$BP$66,Wirksam!$B$7:$B$66,"Komposit")</f>
        <v>0</v>
      </c>
      <c r="BQ69" s="19">
        <f>SUMIFS(Wirksam!$BQ$7:$BQ$66,Wirksam!$B$7:$B$66,"Komposit")</f>
        <v>0</v>
      </c>
      <c r="BR69" s="19">
        <f>SUMIFS(Wirksam!$BR$7:$BR$66,Wirksam!$B$7:$B$66,"Komposit")</f>
        <v>0</v>
      </c>
      <c r="BS69" s="19">
        <f>SUMIFS(Wirksam!$BS$7:$BS$66,Wirksam!$B$7:$B$66,"Komposit")</f>
        <v>0</v>
      </c>
      <c r="BT69" s="19">
        <f>SUMIFS(Wirksam!$BT$7:$BT$66,Wirksam!$B$7:$B$66,"Komposit")</f>
        <v>0</v>
      </c>
      <c r="BU69" s="19">
        <f>SUMIFS(Wirksam!$BU$7:$BU$66,Wirksam!$B$7:$B$66,"Komposit")</f>
        <v>0</v>
      </c>
      <c r="BV69" s="19">
        <f>SUMIFS(Wirksam!$BV$7:$BV$66,Wirksam!$B$7:$B$66,"Komposit")</f>
        <v>0</v>
      </c>
      <c r="BW69" s="19">
        <f>SUMIFS(Wirksam!$BW$7:$BW$66,Wirksam!$B$7:$B$66,"Komposit")</f>
        <v>0</v>
      </c>
      <c r="BX69" s="19">
        <f>SUMIFS(Wirksam!$BX$7:$BX$66,Wirksam!$B$7:$B$66,"Komposit")</f>
        <v>0</v>
      </c>
      <c r="BY69" s="19">
        <f>SUMIFS(Wirksam!$BY$7:$BY$66,Wirksam!$B$7:$B$66,"Komposit")</f>
        <v>0</v>
      </c>
      <c r="BZ69" s="19">
        <f>SUMIFS(Wirksam!$BZ$7:$BZ$66,Wirksam!$B$7:$B$66,"Komposit")</f>
        <v>0</v>
      </c>
      <c r="CA69" s="19">
        <f>SUMIFS(Wirksam!$CA$7:$CA$66,Wirksam!$B$7:$B$66,"Komposit")</f>
        <v>0</v>
      </c>
      <c r="CB69" s="19">
        <f>SUMIFS(Wirksam!$CB$7:$CB$66,Wirksam!$B$7:$B$66,"Komposit")</f>
        <v>0</v>
      </c>
      <c r="CC69" s="19">
        <f>SUMIFS(Wirksam!$CC$7:$CC$66,Wirksam!$B$7:$B$66,"Komposit")</f>
        <v>0</v>
      </c>
      <c r="CD69" s="19">
        <f>SUMIFS(Wirksam!$CD$7:$CD$66,Wirksam!$B$7:$B$66,"Komposit")</f>
        <v>0</v>
      </c>
      <c r="CE69" s="19">
        <f>SUMIFS(Wirksam!$CE$7:$CE$66,Wirksam!$B$7:$B$66,"Komposit")</f>
        <v>0</v>
      </c>
      <c r="CF69" s="19">
        <f>SUMIFS(Wirksam!$CF$7:$CF$66,Wirksam!$B$7:$B$66,"Komposit")</f>
        <v>0</v>
      </c>
      <c r="CG69" s="19">
        <f>SUMIFS(Wirksam!$CG$7:$CG$66,Wirksam!$B$7:$B$66,"Komposit")</f>
        <v>0</v>
      </c>
      <c r="CH69" s="19">
        <f>SUMIFS(Wirksam!$CH$7:$CH$66,Wirksam!$B$7:$B$66,"Komposit")</f>
        <v>0</v>
      </c>
      <c r="CI69" s="19">
        <f>SUMIFS(Wirksam!$CI$7:$CI$66,Wirksam!$B$7:$B$66,"Komposit")</f>
        <v>0</v>
      </c>
      <c r="CJ69" s="19">
        <f>SUMIFS(Wirksam!$CJ$7:$CJ$66,Wirksam!$B$7:$B$66,"Komposit")</f>
        <v>0</v>
      </c>
      <c r="CK69" s="19">
        <f>SUMIFS(Wirksam!$CK$7:$CK$66,Wirksam!$B$7:$B$66,"Komposit")</f>
        <v>0</v>
      </c>
      <c r="CL69" s="19">
        <f>SUMIFS(Wirksam!$CL$7:$CL$66,Wirksam!$B$7:$B$66,"Komposit")</f>
        <v>0</v>
      </c>
      <c r="CM69" s="19">
        <f>SUMIFS(Wirksam!$CM$7:$CM$66,Wirksam!$B$7:$B$66,"Komposit")</f>
        <v>0</v>
      </c>
      <c r="CN69" s="19">
        <f>SUMIFS(Wirksam!$CN$7:$CN$66,Wirksam!$B$7:$B$66,"Komposit")</f>
        <v>0</v>
      </c>
      <c r="CO69" s="19">
        <f>SUMIFS(Wirksam!$CO$7:$CO$66,Wirksam!$B$7:$B$66,"Komposit")</f>
        <v>0</v>
      </c>
      <c r="CP69" s="19">
        <f>SUMIFS(Wirksam!$CP$7:$CP$66,Wirksam!$B$7:$B$66,"Komposit")</f>
        <v>0</v>
      </c>
      <c r="CQ69" s="19">
        <f>SUMIFS(Wirksam!$CQ$7:$CQ$66,Wirksam!$B$7:$B$66,"Komposit")</f>
        <v>0</v>
      </c>
      <c r="CR69" s="19">
        <f>SUMIFS(Wirksam!$CR$7:$CR$66,Wirksam!$B$7:$B$66,"Komposit")</f>
        <v>0</v>
      </c>
      <c r="CS69" s="19">
        <f>SUMIFS(Wirksam!$CS$7:$CS$66,Wirksam!$B$7:$B$66,"Komposit")</f>
        <v>0</v>
      </c>
      <c r="CT69" s="19">
        <f>SUMIFS(Wirksam!$CT$7:$CT$66,Wirksam!$B$7:$B$66,"Komposit")</f>
        <v>0</v>
      </c>
      <c r="CU69" s="19">
        <f>SUMIFS(Wirksam!$CU$7:$CU$66,Wirksam!$B$7:$B$66,"Komposit")</f>
        <v>0</v>
      </c>
      <c r="CV69" s="19">
        <f>SUMIFS(Wirksam!$CV$7:$CV$66,Wirksam!$B$7:$B$66,"Komposit")</f>
        <v>0</v>
      </c>
      <c r="CW69" s="19">
        <f>SUMIFS(Wirksam!$CW$7:$CW$66,Wirksam!$B$7:$B$66,"Komposit")</f>
        <v>0</v>
      </c>
      <c r="CX69" s="19">
        <f>SUMIFS(Wirksam!$CX$7:$CX$66,Wirksam!$B$7:$B$66,"Komposit")</f>
        <v>0</v>
      </c>
      <c r="CY69" s="19">
        <f>SUMIFS(Wirksam!$CY$7:$CY$66,Wirksam!$B$7:$B$66,"Komposit")</f>
        <v>0</v>
      </c>
      <c r="CZ69" s="19">
        <f>SUMIFS(Wirksam!$CZ$7:$CZ$66,Wirksam!$B$7:$B$66,"Komposit")</f>
        <v>0</v>
      </c>
      <c r="DA69" s="19">
        <f>SUMIFS(Wirksam!$DA$7:$DA$66,Wirksam!$B$7:$B$66,"Komposit")</f>
        <v>0</v>
      </c>
      <c r="DB69" s="19">
        <f>SUMIFS(Wirksam!$DB$7:$DB$66,Wirksam!$B$7:$B$66,"Komposit")</f>
        <v>0</v>
      </c>
      <c r="DC69" s="19">
        <f>SUMIFS(Wirksam!$DC$7:$DC$66,Wirksam!$B$7:$B$66,"Komposit")</f>
        <v>0</v>
      </c>
      <c r="DD69" s="19">
        <f>SUMIFS(Wirksam!$DD$7:$DD$66,Wirksam!$B$7:$B$66,"Komposit")</f>
        <v>0</v>
      </c>
      <c r="DE69" s="19">
        <f>SUMIFS(Wirksam!$DE$7:$DE$66,Wirksam!$B$7:$B$66,"Komposit")</f>
        <v>0</v>
      </c>
      <c r="DF69" s="19">
        <f>SUMIFS(Wirksam!$DF$7:$DF$66,Wirksam!$B$7:$B$66,"Komposit")</f>
        <v>0</v>
      </c>
      <c r="DG69" s="19">
        <f>SUMIFS(Wirksam!$DG$7:$DG$66,Wirksam!$B$7:$B$66,"Komposit")</f>
        <v>0</v>
      </c>
      <c r="DH69" s="19">
        <f>SUMIFS(Wirksam!$DH$7:$DH$66,Wirksam!$B$7:$B$66,"Komposit")</f>
        <v>0</v>
      </c>
      <c r="DI69" s="19">
        <f>SUMIFS(Wirksam!$DI$7:$DI$66,Wirksam!$B$7:$B$66,"Komposit")</f>
        <v>0</v>
      </c>
      <c r="DJ69" s="19">
        <f>SUMIFS(Wirksam!$DJ$7:$DJ$66,Wirksam!$B$7:$B$66,"Komposit")</f>
        <v>0</v>
      </c>
      <c r="DK69" s="19">
        <f>SUMIFS(Wirksam!$DK$7:$DK$66,Wirksam!$B$7:$B$66,"Komposit")</f>
        <v>0</v>
      </c>
      <c r="DL69" s="19">
        <f>SUMIFS(Wirksam!$DL$7:$DL$66,Wirksam!$B$7:$B$66,"Komposit")</f>
        <v>0</v>
      </c>
      <c r="DM69" s="19">
        <f>SUMIFS(Wirksam!$DM$7:$DM$66,Wirksam!$B$7:$B$66,"Komposit")</f>
        <v>0</v>
      </c>
      <c r="DN69" s="19">
        <f>SUMIFS(Wirksam!$DN$7:$DN$66,Wirksam!$B$7:$B$66,"Komposit")</f>
        <v>0</v>
      </c>
      <c r="DO69" s="19">
        <f>SUMIFS(Wirksam!$DO$7:$DO$66,Wirksam!$B$7:$B$66,"Komposit")</f>
        <v>0</v>
      </c>
      <c r="DP69" s="19">
        <f>SUMIFS(Wirksam!$DP$7:$DP$66,Wirksam!$B$7:$B$66,"Komposit")</f>
        <v>0</v>
      </c>
      <c r="DQ69" s="19">
        <f>SUMIFS(Wirksam!$DQ$7:$DQ$66,Wirksam!$B$7:$B$66,"Komposit")</f>
        <v>0</v>
      </c>
      <c r="DR69" s="19">
        <f>SUMIFS(Wirksam!$DR$7:$DR$66,Wirksam!$B$7:$B$66,"Komposit")</f>
        <v>0</v>
      </c>
      <c r="DS69" s="19">
        <f>SUMIFS(Wirksam!$DS$7:$DS$66,Wirksam!$B$7:$B$66,"Komposit")</f>
        <v>0</v>
      </c>
      <c r="DT69" s="19">
        <f>SUMIFS(Wirksam!$DT$7:$DT$66,Wirksam!$B$7:$B$66,"Komposit")</f>
        <v>0</v>
      </c>
      <c r="DU69" s="19">
        <f>SUMIFS(Wirksam!$DU$7:$DU$66,Wirksam!$B$7:$B$66,"Komposit")</f>
        <v>0</v>
      </c>
      <c r="DV69" s="19">
        <f>SUMIFS(Wirksam!$DV$7:$DV$66,Wirksam!$B$7:$B$66,"Komposit")</f>
        <v>0</v>
      </c>
      <c r="DW69" s="19">
        <f>SUMIFS(Wirksam!$DW$7:$DW$66,Wirksam!$B$7:$B$66,"Komposit")</f>
        <v>0</v>
      </c>
      <c r="DX69" s="19">
        <f>SUMIFS(Wirksam!$DX$7:$DX$66,Wirksam!$B$7:$B$66,"Komposit")</f>
        <v>0</v>
      </c>
      <c r="DY69" s="19">
        <f>SUMIFS(Wirksam!$DY$7:$DY$66,Wirksam!$B$7:$B$66,"Komposit")</f>
        <v>0</v>
      </c>
      <c r="DZ69" s="19">
        <f>SUMIFS(Wirksam!$DZ$7:$DZ$66,Wirksam!$B$7:$B$66,"Komposit")</f>
        <v>0</v>
      </c>
      <c r="EA69" s="19">
        <f>SUMIFS(Wirksam!$EA$7:$EA$66,Wirksam!$B$7:$B$66,"Komposit")</f>
        <v>0</v>
      </c>
      <c r="EB69" s="19">
        <f>SUMIFS(Wirksam!$EB$7:$EB$66,Wirksam!$B$7:$B$66,"Komposit")</f>
        <v>0</v>
      </c>
      <c r="EC69" s="19">
        <f>SUMIFS(Wirksam!$EC$7:$EC$66,Wirksam!$B$7:$B$66,"Komposit")</f>
        <v>0</v>
      </c>
      <c r="ED69" s="19">
        <f>SUMIFS(Wirksam!$ED$7:$ED$66,Wirksam!$B$7:$B$66,"Komposit")</f>
        <v>0</v>
      </c>
      <c r="EE69" s="19">
        <f>SUMIFS(Wirksam!$EE$7:$EE$66,Wirksam!$B$7:$B$66,"Komposit")</f>
        <v>0</v>
      </c>
      <c r="EF69" s="19">
        <f>SUMIFS(Wirksam!$EF$7:$EF$66,Wirksam!$B$7:$B$66,"Komposit")</f>
        <v>0</v>
      </c>
      <c r="EG69" s="19">
        <f>SUMIFS(Wirksam!$EG$7:$EG$66,Wirksam!$B$7:$B$66,"Komposit")</f>
        <v>0</v>
      </c>
      <c r="EH69" s="19">
        <f>SUMIFS(Wirksam!$EH$7:$EH$66,Wirksam!$B$7:$B$66,"Komposit")</f>
        <v>0</v>
      </c>
      <c r="EI69" s="19">
        <f>SUMIFS(Wirksam!$EI$7:$EI$66,Wirksam!$B$7:$B$66,"Komposit")</f>
        <v>0</v>
      </c>
      <c r="EJ69" s="19">
        <f>SUMIFS(Wirksam!$EJ$7:$EJ$66,Wirksam!$B$7:$B$66,"Komposit")</f>
        <v>0</v>
      </c>
      <c r="EK69" s="19">
        <f>SUMIFS(Wirksam!$EK$7:$EK$66,Wirksam!$B$7:$B$66,"Komposit")</f>
        <v>0</v>
      </c>
      <c r="EL69" s="19">
        <f>SUMIFS(Wirksam!$EL$7:$EL$66,Wirksam!$B$7:$B$66,"Komposit")</f>
        <v>0</v>
      </c>
      <c r="EM69" s="19">
        <f>SUMIFS(Wirksam!$EM$7:$EM$66,Wirksam!$B$7:$B$66,"Komposit")</f>
        <v>0</v>
      </c>
      <c r="EN69" s="19">
        <f>SUMIFS(Wirksam!$EN$7:$EN$66,Wirksam!$B$7:$B$66,"Komposit")</f>
        <v>0</v>
      </c>
      <c r="EO69" s="19">
        <f>SUMIFS(Wirksam!$EO$7:$EO$66,Wirksam!$B$7:$B$66,"Komposit")</f>
        <v>0</v>
      </c>
      <c r="EP69" s="19">
        <f>SUMIFS(Wirksam!$EP$7:$EP$66,Wirksam!$B$7:$B$66,"Komposit")</f>
        <v>0</v>
      </c>
      <c r="EQ69" s="19">
        <f>SUMIFS(Wirksam!$EQ$7:$EQ$66,Wirksam!$B$7:$B$66,"Komposit")</f>
        <v>0</v>
      </c>
      <c r="ER69" s="19">
        <f>SUMIFS(Wirksam!$ER$7:$ER$66,Wirksam!$B$7:$B$66,"Komposit")</f>
        <v>0</v>
      </c>
      <c r="ES69" s="19">
        <f>SUMIFS(Wirksam!$ES$7:$ES$66,Wirksam!$B$7:$B$66,"Komposit")</f>
        <v>0</v>
      </c>
      <c r="ET69" s="19">
        <f>SUMIFS(Wirksam!$ET$7:$ET$66,Wirksam!$B$7:$B$66,"Komposit")</f>
        <v>0</v>
      </c>
      <c r="EU69" s="19">
        <f>SUMIFS(Wirksam!$EU$7:$EU$66,Wirksam!$B$7:$B$66,"Komposit")</f>
        <v>0</v>
      </c>
      <c r="EV69" s="19">
        <f>SUMIFS(Wirksam!$EV$7:$EV$66,Wirksam!$B$7:$B$66,"Komposit")</f>
        <v>0</v>
      </c>
      <c r="EW69" s="19">
        <f>SUMIFS(Wirksam!$EW$7:$EW$66,Wirksam!$B$7:$B$66,"Komposit")</f>
        <v>0</v>
      </c>
      <c r="EX69" s="19">
        <f>SUMIFS(Wirksam!$EX$7:$EX$66,Wirksam!$B$7:$B$66,"Komposit")</f>
        <v>0</v>
      </c>
      <c r="EY69" s="19">
        <f>SUMIFS(Wirksam!$EY$7:$EY$66,Wirksam!$B$7:$B$66,"Komposit")</f>
        <v>0</v>
      </c>
      <c r="EZ69" s="19">
        <f>SUMIFS(Wirksam!$EZ$7:$EZ$66,Wirksam!$B$7:$B$66,"Komposit")</f>
        <v>0</v>
      </c>
      <c r="FA69" s="19">
        <f>SUMIFS(Wirksam!$FA$7:$FA$66,Wirksam!$B$7:$B$66,"Komposit")</f>
        <v>0</v>
      </c>
      <c r="FB69" s="19">
        <f>SUMIFS(Wirksam!$FB$7:$FB$66,Wirksam!$B$7:$B$66,"Komposit")</f>
        <v>0</v>
      </c>
      <c r="FC69" s="19">
        <f>SUMIFS(Wirksam!$FC$7:$FC$66,Wirksam!$B$7:$B$66,"Komposit")</f>
        <v>0</v>
      </c>
      <c r="FD69" s="19">
        <f>SUMIFS(Wirksam!$FD$7:$FD$66,Wirksam!$B$7:$B$66,"Komposit")</f>
        <v>0</v>
      </c>
      <c r="FE69" s="19">
        <f>SUMIFS(Wirksam!$FE$7:$FE$66,Wirksam!$B$7:$B$66,"Komposit")</f>
        <v>0</v>
      </c>
      <c r="FF69" s="19">
        <f>SUMIFS(Wirksam!$FF$7:$FF$66,Wirksam!$B$7:$B$66,"Komposit")</f>
        <v>0</v>
      </c>
      <c r="FG69" s="19">
        <f>SUMIFS(Wirksam!$FG$7:$FG$66,Wirksam!$B$7:$B$66,"Komposit")</f>
        <v>0</v>
      </c>
      <c r="FH69" s="19">
        <f>SUMIFS(Wirksam!$FH$7:$FH$66,Wirksam!$B$7:$B$66,"Komposit")</f>
        <v>0</v>
      </c>
      <c r="FI69" s="19">
        <f>SUMIFS(Wirksam!$FI$7:$FI$66,Wirksam!$B$7:$B$66,"Komposit")</f>
        <v>0</v>
      </c>
      <c r="FJ69" s="19">
        <f>SUMIFS(Wirksam!$FJ$7:$FJ$66,Wirksam!$B$7:$B$66,"Komposit")</f>
        <v>0</v>
      </c>
      <c r="FK69" s="19">
        <f>SUMIFS(Wirksam!$FK$7:$FK$66,Wirksam!$B$7:$B$66,"Komposit")</f>
        <v>0</v>
      </c>
      <c r="FL69" s="19">
        <f>SUMIFS(Wirksam!$FL$7:$FL$66,Wirksam!$B$7:$B$66,"Komposit")</f>
        <v>0</v>
      </c>
      <c r="FM69" s="19">
        <f>SUMIFS(Wirksam!$FM$7:$FM$66,Wirksam!$B$7:$B$66,"Komposit")</f>
        <v>0</v>
      </c>
      <c r="FN69" s="19">
        <f>SUMIFS(Wirksam!$FN$7:$FN$66,Wirksam!$B$7:$B$66,"Komposit")</f>
        <v>0</v>
      </c>
      <c r="FO69" s="19">
        <f>SUMIFS(Wirksam!$FO$7:$FO$66,Wirksam!$B$7:$B$66,"Komposit")</f>
        <v>0</v>
      </c>
      <c r="FP69" s="19">
        <f>SUMIFS(Wirksam!$FP$7:$FP$66,Wirksam!$B$7:$B$66,"Komposit")</f>
        <v>0</v>
      </c>
      <c r="FQ69" s="19">
        <f>SUMIFS(Wirksam!$FQ$7:$FQ$66,Wirksam!$B$7:$B$66,"Komposit")</f>
        <v>0</v>
      </c>
      <c r="FR69" s="19">
        <f>SUMIFS(Wirksam!$FR$7:$FR$66,Wirksam!$B$7:$B$66,"Komposit")</f>
        <v>0</v>
      </c>
      <c r="FS69" s="19">
        <f>SUMIFS(Wirksam!$FS$7:$FS$66,Wirksam!$B$7:$B$66,"Komposit")</f>
        <v>0</v>
      </c>
      <c r="FT69" s="19">
        <f>SUMIFS(Wirksam!$FT$7:$FT$66,Wirksam!$B$7:$B$66,"Komposit")</f>
        <v>0</v>
      </c>
      <c r="FU69" s="19">
        <f>SUMIFS(Wirksam!$FU$7:$FU$66,Wirksam!$B$7:$B$66,"Komposit")</f>
        <v>0</v>
      </c>
      <c r="FV69" s="19">
        <f>SUMIFS(Wirksam!$FV$7:$FV$66,Wirksam!$B$7:$B$66,"Komposit")</f>
        <v>0</v>
      </c>
      <c r="FW69" s="19">
        <f>SUMIFS(Wirksam!$FW$7:$FW$66,Wirksam!$B$7:$B$66,"Komposit")</f>
        <v>0</v>
      </c>
      <c r="FX69" s="19">
        <f>SUMIFS(Wirksam!$FX$7:$FX$66,Wirksam!$B$7:$B$66,"Komposit")</f>
        <v>0</v>
      </c>
      <c r="FY69" s="19">
        <f>SUMIFS(Wirksam!$FY$7:$FY$66,Wirksam!$B$7:$B$66,"Komposit")</f>
        <v>0</v>
      </c>
      <c r="FZ69" s="19">
        <f>SUMIFS(Wirksam!$FZ$7:$FZ$66,Wirksam!$B$7:$B$66,"Komposit")</f>
        <v>0</v>
      </c>
      <c r="GA69" s="19">
        <f>SUMIFS(Wirksam!$GA$7:$GA$66,Wirksam!$B$7:$B$66,"Komposit")</f>
        <v>0</v>
      </c>
      <c r="GB69" s="19">
        <f>SUMIFS(Wirksam!$GB$7:$GB$66,Wirksam!$B$7:$B$66,"Komposit")</f>
        <v>0</v>
      </c>
      <c r="GC69" s="19">
        <f>SUMIFS(Wirksam!$GC$7:$GC$66,Wirksam!$B$7:$B$66,"Komposit")</f>
        <v>0</v>
      </c>
      <c r="GD69" s="19">
        <f>SUMIFS(Wirksam!$GD$7:$GD$66,Wirksam!$B$7:$B$66,"Komposit")</f>
        <v>0</v>
      </c>
      <c r="GE69" s="19">
        <f>SUMIFS(Wirksam!$GE$7:$GE$66,Wirksam!$B$7:$B$66,"Komposit")</f>
        <v>0</v>
      </c>
      <c r="GF69" s="19">
        <f>SUMIFS(Wirksam!$GF$7:$GF$66,Wirksam!$B$7:$B$66,"Komposit")</f>
        <v>0</v>
      </c>
      <c r="GG69" s="19">
        <f>SUMIFS(Wirksam!$GG$7:$GG$66,Wirksam!$B$7:$B$66,"Komposit")</f>
        <v>0</v>
      </c>
      <c r="GH69" s="19">
        <f>SUMIFS(Wirksam!$GH$7:$GH$66,Wirksam!$B$7:$B$66,"Komposit")</f>
        <v>0</v>
      </c>
      <c r="GI69" s="19">
        <f>SUMIFS(Wirksam!$GI$7:$GI$66,Wirksam!$B$7:$B$66,"Komposit")</f>
        <v>0</v>
      </c>
      <c r="GJ69" s="19">
        <f>SUMIFS(Wirksam!$GJ$7:$GJ$66,Wirksam!$B$7:$B$66,"Komposit")</f>
        <v>0</v>
      </c>
      <c r="GK69" s="19">
        <f>SUMIFS(Wirksam!$GK$7:$GK$66,Wirksam!$B$7:$B$66,"Komposit")</f>
        <v>0</v>
      </c>
      <c r="GL69" s="19">
        <f>SUMIFS(Wirksam!$GL$7:$GL$66,Wirksam!$B$7:$B$66,"Komposit")</f>
        <v>0</v>
      </c>
      <c r="GM69" s="19">
        <f>SUMIFS(Wirksam!$GM$7:$GM$66,Wirksam!$B$7:$B$66,"Komposit")</f>
        <v>0</v>
      </c>
      <c r="GN69" s="19">
        <f>SUMIFS(Wirksam!$GN$7:$GN$66,Wirksam!$B$7:$B$66,"Komposit")</f>
        <v>0</v>
      </c>
      <c r="GO69" s="19">
        <f>SUMIFS(Wirksam!$GO$7:$GO$66,Wirksam!$B$7:$B$66,"Komposit")</f>
        <v>0</v>
      </c>
      <c r="GP69" s="19">
        <f>SUMIFS(Wirksam!$GP$7:$GP$66,Wirksam!$B$7:$B$66,"Komposit")</f>
        <v>0</v>
      </c>
      <c r="GQ69" s="19">
        <f>SUMIFS(Wirksam!$GQ$7:$GQ$66,Wirksam!$B$7:$B$66,"Komposit")</f>
        <v>0</v>
      </c>
      <c r="GR69" s="19">
        <f>SUMIFS(Wirksam!$GR$7:$GR$66,Wirksam!$B$7:$B$66,"Komposit")</f>
        <v>0</v>
      </c>
      <c r="GS69" s="19">
        <f>SUMIFS(Wirksam!$GS$7:$GS$66,Wirksam!$B$7:$B$66,"Komposit")</f>
        <v>0</v>
      </c>
      <c r="GT69" s="19">
        <f>SUMIFS(Wirksam!$GT$7:$GT$66,Wirksam!$B$7:$B$66,"Komposit")</f>
        <v>0</v>
      </c>
      <c r="GU69" s="19">
        <f>SUMIFS(Wirksam!$GU$7:$GU$66,Wirksam!$B$7:$B$66,"Komposit")</f>
        <v>0</v>
      </c>
      <c r="GV69" s="19">
        <f>SUMIFS(Wirksam!$GV$7:$GV$66,Wirksam!$B$7:$B$66,"Komposit")</f>
        <v>0</v>
      </c>
      <c r="GW69" s="19">
        <f>SUMIFS(Wirksam!$GW$7:$GW$66,Wirksam!$B$7:$B$66,"Komposit")</f>
        <v>0</v>
      </c>
      <c r="GX69" s="19">
        <f>SUMIFS(Wirksam!$GX$7:$GX$66,Wirksam!$B$7:$B$66,"Komposit")</f>
        <v>0</v>
      </c>
      <c r="GY69" s="19">
        <f>SUMIFS(Wirksam!$GY$7:$GY$66,Wirksam!$B$7:$B$66,"Komposit")</f>
        <v>0</v>
      </c>
      <c r="GZ69" s="19">
        <f>SUMIFS(Wirksam!$GZ$7:$GZ$66,Wirksam!$B$7:$B$66,"Komposit")</f>
        <v>0</v>
      </c>
      <c r="HA69" s="19">
        <f>SUMIFS(Wirksam!$HA$7:$HA$66,Wirksam!$B$7:$B$66,"Komposit")</f>
        <v>0</v>
      </c>
      <c r="HB69" s="19">
        <f>SUMIFS(Wirksam!$HB$7:$HB$66,Wirksam!$B$7:$B$66,"Komposit")</f>
        <v>0</v>
      </c>
      <c r="HC69" s="19">
        <f>SUMIFS(Wirksam!$HC$7:$HC$66,Wirksam!$B$7:$B$66,"Komposit")</f>
        <v>0</v>
      </c>
      <c r="HD69" s="19">
        <f>SUMIFS(Wirksam!$HD$7:$HD$66,Wirksam!$B$7:$B$66,"Komposit")</f>
        <v>0</v>
      </c>
      <c r="HE69" s="19">
        <f>SUMIFS(Wirksam!$HE$7:$HE$66,Wirksam!$B$7:$B$66,"Komposit")</f>
        <v>0</v>
      </c>
      <c r="HF69" s="19">
        <f>SUMIFS(Wirksam!$HF$7:$HF$66,Wirksam!$B$7:$B$66,"Komposit")</f>
        <v>0</v>
      </c>
      <c r="HG69" s="19">
        <f>SUMIFS(Wirksam!$HG$7:$HG$66,Wirksam!$B$7:$B$66,"Komposit")</f>
        <v>0</v>
      </c>
      <c r="HH69" s="19">
        <f>SUMIFS(Wirksam!$HH$7:$HH$66,Wirksam!$B$7:$B$66,"Komposit")</f>
        <v>0</v>
      </c>
      <c r="HI69" s="19">
        <f>SUMIFS(Wirksam!$HI$7:$HI$66,Wirksam!$B$7:$B$66,"Komposit")</f>
        <v>0</v>
      </c>
      <c r="HJ69" s="19">
        <f>SUMIFS(Wirksam!$HJ$7:$HJ$66,Wirksam!$B$7:$B$66,"Komposit")</f>
        <v>0</v>
      </c>
      <c r="HK69" s="19">
        <f>SUMIFS(Wirksam!$HK$7:$HK$66,Wirksam!$B$7:$B$66,"Komposit")</f>
        <v>0</v>
      </c>
      <c r="HL69" s="19">
        <f>SUMIFS(Wirksam!$HL$7:$HL$66,Wirksam!$B$7:$B$66,"Komposit")</f>
        <v>0</v>
      </c>
      <c r="HM69" s="19">
        <f>SUMIFS(Wirksam!$HM$7:$HM$66,Wirksam!$B$7:$B$66,"Komposit")</f>
        <v>0</v>
      </c>
      <c r="HN69" s="19">
        <f>SUMIFS(Wirksam!$HN$7:$HN$66,Wirksam!$B$7:$B$66,"Komposit")</f>
        <v>0</v>
      </c>
      <c r="HO69" s="19">
        <f>SUMIFS(Wirksam!$HO$7:$HO$66,Wirksam!$B$7:$B$66,"Komposit")</f>
        <v>0</v>
      </c>
      <c r="HP69" s="19">
        <f>SUMIFS(Wirksam!$HP$7:$HP$66,Wirksam!$B$7:$B$66,"Komposit")</f>
        <v>0</v>
      </c>
      <c r="HQ69" s="19">
        <f>SUMIFS(Wirksam!$HQ$7:$HQ$66,Wirksam!$B$7:$B$66,"Komposit")</f>
        <v>0</v>
      </c>
      <c r="HR69" s="19">
        <f>SUMIFS(Wirksam!$HR$7:$HR$66,Wirksam!$B$7:$B$66,"Komposit")</f>
        <v>0</v>
      </c>
      <c r="HS69" s="19">
        <f>SUMIFS(Wirksam!$HS$7:$HS$66,Wirksam!$B$7:$B$66,"Komposit")</f>
        <v>0</v>
      </c>
      <c r="HT69" s="19">
        <f>SUMIFS(Wirksam!$HT$7:$HT$66,Wirksam!$B$7:$B$66,"Komposit")</f>
        <v>0</v>
      </c>
      <c r="HU69" s="19">
        <f>SUMIFS(Wirksam!$HU$7:$HU$66,Wirksam!$B$7:$B$66,"Komposit")</f>
        <v>0</v>
      </c>
      <c r="HV69" s="19">
        <f>SUMIFS(Wirksam!$HV$7:$HV$66,Wirksam!$B$7:$B$66,"Komposit")</f>
        <v>0</v>
      </c>
      <c r="HW69" s="19">
        <f>SUMIFS(Wirksam!$HW$7:$HW$66,Wirksam!$B$7:$B$66,"Komposit")</f>
        <v>0</v>
      </c>
      <c r="HX69" s="19">
        <f>SUMIFS(Wirksam!$HX$7:$HX$66,Wirksam!$B$7:$B$66,"Komposit")</f>
        <v>0</v>
      </c>
      <c r="HY69" s="19">
        <f>SUMIFS(Wirksam!$HY$7:$HY$66,Wirksam!$B$7:$B$66,"Komposit")</f>
        <v>0</v>
      </c>
      <c r="HZ69" s="19">
        <f>SUMIFS(Wirksam!$HZ$7:$HZ$66,Wirksam!$B$7:$B$66,"Komposit")</f>
        <v>0</v>
      </c>
      <c r="IA69" s="19">
        <f>SUMIFS(Wirksam!$IA$7:$IA$66,Wirksam!$B$7:$B$66,"Komposit")</f>
        <v>0</v>
      </c>
    </row>
    <row r="70" spans="1:235" x14ac:dyDescent="0.25">
      <c r="A70" s="18" t="s">
        <v>300</v>
      </c>
      <c r="D70" s="19">
        <f t="shared" ref="D70:BO70" si="0">D68+D69</f>
        <v>0</v>
      </c>
      <c r="E70" s="19">
        <f t="shared" si="0"/>
        <v>0</v>
      </c>
      <c r="F70" s="19">
        <f t="shared" si="0"/>
        <v>0</v>
      </c>
      <c r="G70" s="19">
        <f t="shared" si="0"/>
        <v>0</v>
      </c>
      <c r="H70" s="19">
        <f t="shared" si="0"/>
        <v>0</v>
      </c>
      <c r="I70" s="19">
        <f t="shared" si="0"/>
        <v>0</v>
      </c>
      <c r="J70" s="19">
        <f t="shared" si="0"/>
        <v>0</v>
      </c>
      <c r="K70" s="19">
        <f t="shared" si="0"/>
        <v>0</v>
      </c>
      <c r="L70" s="19">
        <f t="shared" si="0"/>
        <v>0</v>
      </c>
      <c r="M70" s="19">
        <f t="shared" si="0"/>
        <v>0</v>
      </c>
      <c r="N70" s="19">
        <f t="shared" si="0"/>
        <v>0</v>
      </c>
      <c r="O70" s="19">
        <f t="shared" si="0"/>
        <v>0</v>
      </c>
      <c r="P70" s="19">
        <f t="shared" si="0"/>
        <v>0</v>
      </c>
      <c r="Q70" s="19">
        <f t="shared" si="0"/>
        <v>0</v>
      </c>
      <c r="R70" s="19">
        <f t="shared" si="0"/>
        <v>0</v>
      </c>
      <c r="S70" s="19">
        <f t="shared" si="0"/>
        <v>0</v>
      </c>
      <c r="T70" s="19">
        <f t="shared" si="0"/>
        <v>0</v>
      </c>
      <c r="U70" s="19">
        <f t="shared" si="0"/>
        <v>0</v>
      </c>
      <c r="V70" s="19">
        <f t="shared" si="0"/>
        <v>0</v>
      </c>
      <c r="W70" s="19">
        <f t="shared" si="0"/>
        <v>0</v>
      </c>
      <c r="X70" s="19">
        <f t="shared" si="0"/>
        <v>0</v>
      </c>
      <c r="Y70" s="19">
        <f t="shared" si="0"/>
        <v>0</v>
      </c>
      <c r="Z70" s="19">
        <f t="shared" si="0"/>
        <v>0</v>
      </c>
      <c r="AA70" s="19">
        <f t="shared" si="0"/>
        <v>0</v>
      </c>
      <c r="AB70" s="19">
        <f t="shared" si="0"/>
        <v>0</v>
      </c>
      <c r="AC70" s="19">
        <f t="shared" si="0"/>
        <v>0</v>
      </c>
      <c r="AD70" s="19">
        <f t="shared" si="0"/>
        <v>0</v>
      </c>
      <c r="AE70" s="19">
        <f t="shared" si="0"/>
        <v>0</v>
      </c>
      <c r="AF70" s="19">
        <f t="shared" si="0"/>
        <v>0</v>
      </c>
      <c r="AG70" s="19">
        <f t="shared" si="0"/>
        <v>0</v>
      </c>
      <c r="AH70" s="19">
        <f t="shared" si="0"/>
        <v>0</v>
      </c>
      <c r="AI70" s="19">
        <f t="shared" si="0"/>
        <v>0</v>
      </c>
      <c r="AJ70" s="19">
        <f t="shared" si="0"/>
        <v>0</v>
      </c>
      <c r="AK70" s="19">
        <f t="shared" si="0"/>
        <v>0</v>
      </c>
      <c r="AL70" s="19">
        <f t="shared" si="0"/>
        <v>0</v>
      </c>
      <c r="AM70" s="19">
        <f t="shared" si="0"/>
        <v>0</v>
      </c>
      <c r="AN70" s="19">
        <f t="shared" si="0"/>
        <v>0</v>
      </c>
      <c r="AO70" s="19">
        <f t="shared" si="0"/>
        <v>0</v>
      </c>
      <c r="AP70" s="19">
        <f t="shared" si="0"/>
        <v>0</v>
      </c>
      <c r="AQ70" s="19">
        <f t="shared" si="0"/>
        <v>0</v>
      </c>
      <c r="AR70" s="19">
        <f t="shared" si="0"/>
        <v>0</v>
      </c>
      <c r="AS70" s="19">
        <f t="shared" si="0"/>
        <v>0</v>
      </c>
      <c r="AT70" s="19">
        <f t="shared" si="0"/>
        <v>0</v>
      </c>
      <c r="AU70" s="19">
        <f t="shared" si="0"/>
        <v>0</v>
      </c>
      <c r="AV70" s="19">
        <f t="shared" si="0"/>
        <v>0</v>
      </c>
      <c r="AW70" s="19">
        <f t="shared" si="0"/>
        <v>0</v>
      </c>
      <c r="AX70" s="19">
        <f t="shared" si="0"/>
        <v>0</v>
      </c>
      <c r="AY70" s="19">
        <f t="shared" si="0"/>
        <v>0</v>
      </c>
      <c r="AZ70" s="19">
        <f t="shared" si="0"/>
        <v>0</v>
      </c>
      <c r="BA70" s="19">
        <f t="shared" si="0"/>
        <v>0</v>
      </c>
      <c r="BB70" s="19">
        <f t="shared" si="0"/>
        <v>0</v>
      </c>
      <c r="BC70" s="19">
        <f t="shared" si="0"/>
        <v>0</v>
      </c>
      <c r="BD70" s="19">
        <f t="shared" si="0"/>
        <v>0</v>
      </c>
      <c r="BE70" s="19">
        <f t="shared" si="0"/>
        <v>0</v>
      </c>
      <c r="BF70" s="19">
        <f t="shared" si="0"/>
        <v>0</v>
      </c>
      <c r="BG70" s="19">
        <f t="shared" si="0"/>
        <v>0</v>
      </c>
      <c r="BH70" s="19">
        <f t="shared" si="0"/>
        <v>0</v>
      </c>
      <c r="BI70" s="19">
        <f t="shared" si="0"/>
        <v>0</v>
      </c>
      <c r="BJ70" s="19">
        <f t="shared" si="0"/>
        <v>0</v>
      </c>
      <c r="BK70" s="19">
        <f t="shared" si="0"/>
        <v>0</v>
      </c>
      <c r="BL70" s="19">
        <f t="shared" si="0"/>
        <v>0</v>
      </c>
      <c r="BM70" s="19">
        <f t="shared" si="0"/>
        <v>0</v>
      </c>
      <c r="BN70" s="19">
        <f t="shared" si="0"/>
        <v>0</v>
      </c>
      <c r="BO70" s="19">
        <f t="shared" si="0"/>
        <v>0</v>
      </c>
      <c r="BP70" s="19">
        <f t="shared" ref="BP70:EA70" si="1">BP68+BP69</f>
        <v>0</v>
      </c>
      <c r="BQ70" s="19">
        <f t="shared" si="1"/>
        <v>0</v>
      </c>
      <c r="BR70" s="19">
        <f t="shared" si="1"/>
        <v>0</v>
      </c>
      <c r="BS70" s="19">
        <f t="shared" si="1"/>
        <v>0</v>
      </c>
      <c r="BT70" s="19">
        <f t="shared" si="1"/>
        <v>0</v>
      </c>
      <c r="BU70" s="19">
        <f t="shared" si="1"/>
        <v>0</v>
      </c>
      <c r="BV70" s="19">
        <f t="shared" si="1"/>
        <v>0</v>
      </c>
      <c r="BW70" s="19">
        <f t="shared" si="1"/>
        <v>0</v>
      </c>
      <c r="BX70" s="19">
        <f t="shared" si="1"/>
        <v>0</v>
      </c>
      <c r="BY70" s="19">
        <f t="shared" si="1"/>
        <v>0</v>
      </c>
      <c r="BZ70" s="19">
        <f t="shared" si="1"/>
        <v>0</v>
      </c>
      <c r="CA70" s="19">
        <f t="shared" si="1"/>
        <v>0</v>
      </c>
      <c r="CB70" s="19">
        <f t="shared" si="1"/>
        <v>0</v>
      </c>
      <c r="CC70" s="19">
        <f t="shared" si="1"/>
        <v>0</v>
      </c>
      <c r="CD70" s="19">
        <f t="shared" si="1"/>
        <v>0</v>
      </c>
      <c r="CE70" s="19">
        <f t="shared" si="1"/>
        <v>0</v>
      </c>
      <c r="CF70" s="19">
        <f t="shared" si="1"/>
        <v>0</v>
      </c>
      <c r="CG70" s="19">
        <f t="shared" si="1"/>
        <v>0</v>
      </c>
      <c r="CH70" s="19">
        <f t="shared" si="1"/>
        <v>0</v>
      </c>
      <c r="CI70" s="19">
        <f t="shared" si="1"/>
        <v>0</v>
      </c>
      <c r="CJ70" s="19">
        <f t="shared" si="1"/>
        <v>0</v>
      </c>
      <c r="CK70" s="19">
        <f t="shared" si="1"/>
        <v>0</v>
      </c>
      <c r="CL70" s="19">
        <f t="shared" si="1"/>
        <v>0</v>
      </c>
      <c r="CM70" s="19">
        <f t="shared" si="1"/>
        <v>0</v>
      </c>
      <c r="CN70" s="19">
        <f t="shared" si="1"/>
        <v>0</v>
      </c>
      <c r="CO70" s="19">
        <f t="shared" si="1"/>
        <v>0</v>
      </c>
      <c r="CP70" s="19">
        <f t="shared" si="1"/>
        <v>0</v>
      </c>
      <c r="CQ70" s="19">
        <f t="shared" si="1"/>
        <v>0</v>
      </c>
      <c r="CR70" s="19">
        <f t="shared" si="1"/>
        <v>0</v>
      </c>
      <c r="CS70" s="19">
        <f t="shared" si="1"/>
        <v>0</v>
      </c>
      <c r="CT70" s="19">
        <f t="shared" si="1"/>
        <v>0</v>
      </c>
      <c r="CU70" s="19">
        <f t="shared" si="1"/>
        <v>0</v>
      </c>
      <c r="CV70" s="19">
        <f t="shared" si="1"/>
        <v>0</v>
      </c>
      <c r="CW70" s="19">
        <f t="shared" si="1"/>
        <v>0</v>
      </c>
      <c r="CX70" s="19">
        <f t="shared" si="1"/>
        <v>0</v>
      </c>
      <c r="CY70" s="19">
        <f t="shared" si="1"/>
        <v>0</v>
      </c>
      <c r="CZ70" s="19">
        <f t="shared" si="1"/>
        <v>0</v>
      </c>
      <c r="DA70" s="19">
        <f t="shared" si="1"/>
        <v>0</v>
      </c>
      <c r="DB70" s="19">
        <f t="shared" si="1"/>
        <v>0</v>
      </c>
      <c r="DC70" s="19">
        <f t="shared" si="1"/>
        <v>0</v>
      </c>
      <c r="DD70" s="19">
        <f t="shared" si="1"/>
        <v>0</v>
      </c>
      <c r="DE70" s="19">
        <f t="shared" si="1"/>
        <v>0</v>
      </c>
      <c r="DF70" s="19">
        <f t="shared" si="1"/>
        <v>0</v>
      </c>
      <c r="DG70" s="19">
        <f t="shared" si="1"/>
        <v>0</v>
      </c>
      <c r="DH70" s="19">
        <f t="shared" si="1"/>
        <v>0</v>
      </c>
      <c r="DI70" s="19">
        <f t="shared" si="1"/>
        <v>0</v>
      </c>
      <c r="DJ70" s="19">
        <f t="shared" si="1"/>
        <v>0</v>
      </c>
      <c r="DK70" s="19">
        <f t="shared" si="1"/>
        <v>0</v>
      </c>
      <c r="DL70" s="19">
        <f t="shared" si="1"/>
        <v>0</v>
      </c>
      <c r="DM70" s="19">
        <f t="shared" si="1"/>
        <v>0</v>
      </c>
      <c r="DN70" s="19">
        <f t="shared" si="1"/>
        <v>0</v>
      </c>
      <c r="DO70" s="19">
        <f t="shared" si="1"/>
        <v>0</v>
      </c>
      <c r="DP70" s="19">
        <f t="shared" si="1"/>
        <v>0</v>
      </c>
      <c r="DQ70" s="19">
        <f t="shared" si="1"/>
        <v>0</v>
      </c>
      <c r="DR70" s="19">
        <f t="shared" si="1"/>
        <v>0</v>
      </c>
      <c r="DS70" s="19">
        <f t="shared" si="1"/>
        <v>0</v>
      </c>
      <c r="DT70" s="19">
        <f t="shared" si="1"/>
        <v>0</v>
      </c>
      <c r="DU70" s="19">
        <f t="shared" si="1"/>
        <v>0</v>
      </c>
      <c r="DV70" s="19">
        <f t="shared" si="1"/>
        <v>0</v>
      </c>
      <c r="DW70" s="19">
        <f t="shared" si="1"/>
        <v>0</v>
      </c>
      <c r="DX70" s="19">
        <f t="shared" si="1"/>
        <v>0</v>
      </c>
      <c r="DY70" s="19">
        <f t="shared" si="1"/>
        <v>0</v>
      </c>
      <c r="DZ70" s="19">
        <f t="shared" si="1"/>
        <v>0</v>
      </c>
      <c r="EA70" s="19">
        <f t="shared" si="1"/>
        <v>0</v>
      </c>
      <c r="EB70" s="19">
        <f t="shared" ref="EB70:GM70" si="2">EB68+EB69</f>
        <v>0</v>
      </c>
      <c r="EC70" s="19">
        <f t="shared" si="2"/>
        <v>0</v>
      </c>
      <c r="ED70" s="19">
        <f t="shared" si="2"/>
        <v>0</v>
      </c>
      <c r="EE70" s="19">
        <f t="shared" si="2"/>
        <v>0</v>
      </c>
      <c r="EF70" s="19">
        <f t="shared" si="2"/>
        <v>0</v>
      </c>
      <c r="EG70" s="19">
        <f t="shared" si="2"/>
        <v>0</v>
      </c>
      <c r="EH70" s="19">
        <f t="shared" si="2"/>
        <v>0</v>
      </c>
      <c r="EI70" s="19">
        <f t="shared" si="2"/>
        <v>0</v>
      </c>
      <c r="EJ70" s="19">
        <f t="shared" si="2"/>
        <v>0</v>
      </c>
      <c r="EK70" s="19">
        <f t="shared" si="2"/>
        <v>0</v>
      </c>
      <c r="EL70" s="19">
        <f t="shared" si="2"/>
        <v>0</v>
      </c>
      <c r="EM70" s="19">
        <f t="shared" si="2"/>
        <v>0</v>
      </c>
      <c r="EN70" s="19">
        <f t="shared" si="2"/>
        <v>0</v>
      </c>
      <c r="EO70" s="19">
        <f t="shared" si="2"/>
        <v>0</v>
      </c>
      <c r="EP70" s="19">
        <f t="shared" si="2"/>
        <v>0</v>
      </c>
      <c r="EQ70" s="19">
        <f t="shared" si="2"/>
        <v>0</v>
      </c>
      <c r="ER70" s="19">
        <f t="shared" si="2"/>
        <v>0</v>
      </c>
      <c r="ES70" s="19">
        <f t="shared" si="2"/>
        <v>0</v>
      </c>
      <c r="ET70" s="19">
        <f t="shared" si="2"/>
        <v>0</v>
      </c>
      <c r="EU70" s="19">
        <f t="shared" si="2"/>
        <v>0</v>
      </c>
      <c r="EV70" s="19">
        <f t="shared" si="2"/>
        <v>0</v>
      </c>
      <c r="EW70" s="19">
        <f t="shared" si="2"/>
        <v>0</v>
      </c>
      <c r="EX70" s="19">
        <f t="shared" si="2"/>
        <v>0</v>
      </c>
      <c r="EY70" s="19">
        <f t="shared" si="2"/>
        <v>0</v>
      </c>
      <c r="EZ70" s="19">
        <f t="shared" si="2"/>
        <v>0</v>
      </c>
      <c r="FA70" s="19">
        <f t="shared" si="2"/>
        <v>0</v>
      </c>
      <c r="FB70" s="19">
        <f t="shared" si="2"/>
        <v>0</v>
      </c>
      <c r="FC70" s="19">
        <f t="shared" si="2"/>
        <v>0</v>
      </c>
      <c r="FD70" s="19">
        <f t="shared" si="2"/>
        <v>0</v>
      </c>
      <c r="FE70" s="19">
        <f t="shared" si="2"/>
        <v>0</v>
      </c>
      <c r="FF70" s="19">
        <f t="shared" si="2"/>
        <v>0</v>
      </c>
      <c r="FG70" s="19">
        <f t="shared" si="2"/>
        <v>0</v>
      </c>
      <c r="FH70" s="19">
        <f t="shared" si="2"/>
        <v>0</v>
      </c>
      <c r="FI70" s="19">
        <f t="shared" si="2"/>
        <v>0</v>
      </c>
      <c r="FJ70" s="19">
        <f t="shared" si="2"/>
        <v>0</v>
      </c>
      <c r="FK70" s="19">
        <f t="shared" si="2"/>
        <v>0</v>
      </c>
      <c r="FL70" s="19">
        <f t="shared" si="2"/>
        <v>0</v>
      </c>
      <c r="FM70" s="19">
        <f t="shared" si="2"/>
        <v>0</v>
      </c>
      <c r="FN70" s="19">
        <f t="shared" si="2"/>
        <v>0</v>
      </c>
      <c r="FO70" s="19">
        <f t="shared" si="2"/>
        <v>0</v>
      </c>
      <c r="FP70" s="19">
        <f t="shared" si="2"/>
        <v>0</v>
      </c>
      <c r="FQ70" s="19">
        <f t="shared" si="2"/>
        <v>0</v>
      </c>
      <c r="FR70" s="19">
        <f t="shared" si="2"/>
        <v>0</v>
      </c>
      <c r="FS70" s="19">
        <f t="shared" si="2"/>
        <v>0</v>
      </c>
      <c r="FT70" s="19">
        <f t="shared" si="2"/>
        <v>0</v>
      </c>
      <c r="FU70" s="19">
        <f t="shared" si="2"/>
        <v>0</v>
      </c>
      <c r="FV70" s="19">
        <f t="shared" si="2"/>
        <v>0</v>
      </c>
      <c r="FW70" s="19">
        <f t="shared" si="2"/>
        <v>0</v>
      </c>
      <c r="FX70" s="19">
        <f t="shared" si="2"/>
        <v>0</v>
      </c>
      <c r="FY70" s="19">
        <f t="shared" si="2"/>
        <v>0</v>
      </c>
      <c r="FZ70" s="19">
        <f t="shared" si="2"/>
        <v>0</v>
      </c>
      <c r="GA70" s="19">
        <f t="shared" si="2"/>
        <v>0</v>
      </c>
      <c r="GB70" s="19">
        <f t="shared" si="2"/>
        <v>0</v>
      </c>
      <c r="GC70" s="19">
        <f t="shared" si="2"/>
        <v>0</v>
      </c>
      <c r="GD70" s="19">
        <f t="shared" si="2"/>
        <v>0</v>
      </c>
      <c r="GE70" s="19">
        <f t="shared" si="2"/>
        <v>0</v>
      </c>
      <c r="GF70" s="19">
        <f t="shared" si="2"/>
        <v>0</v>
      </c>
      <c r="GG70" s="19">
        <f t="shared" si="2"/>
        <v>0</v>
      </c>
      <c r="GH70" s="19">
        <f t="shared" si="2"/>
        <v>0</v>
      </c>
      <c r="GI70" s="19">
        <f t="shared" si="2"/>
        <v>0</v>
      </c>
      <c r="GJ70" s="19">
        <f t="shared" si="2"/>
        <v>0</v>
      </c>
      <c r="GK70" s="19">
        <f t="shared" si="2"/>
        <v>0</v>
      </c>
      <c r="GL70" s="19">
        <f t="shared" si="2"/>
        <v>0</v>
      </c>
      <c r="GM70" s="19">
        <f t="shared" si="2"/>
        <v>0</v>
      </c>
      <c r="GN70" s="19">
        <f t="shared" ref="GN70:IY70" si="3">GN68+GN69</f>
        <v>0</v>
      </c>
      <c r="GO70" s="19">
        <f t="shared" si="3"/>
        <v>0</v>
      </c>
      <c r="GP70" s="19">
        <f t="shared" si="3"/>
        <v>0</v>
      </c>
      <c r="GQ70" s="19">
        <f t="shared" si="3"/>
        <v>0</v>
      </c>
      <c r="GR70" s="19">
        <f t="shared" si="3"/>
        <v>0</v>
      </c>
      <c r="GS70" s="19">
        <f t="shared" si="3"/>
        <v>0</v>
      </c>
      <c r="GT70" s="19">
        <f t="shared" si="3"/>
        <v>0</v>
      </c>
      <c r="GU70" s="19">
        <f t="shared" si="3"/>
        <v>0</v>
      </c>
      <c r="GV70" s="19">
        <f t="shared" si="3"/>
        <v>0</v>
      </c>
      <c r="GW70" s="19">
        <f t="shared" si="3"/>
        <v>0</v>
      </c>
      <c r="GX70" s="19">
        <f t="shared" si="3"/>
        <v>0</v>
      </c>
      <c r="GY70" s="19">
        <f t="shared" si="3"/>
        <v>0</v>
      </c>
      <c r="GZ70" s="19">
        <f t="shared" si="3"/>
        <v>0</v>
      </c>
      <c r="HA70" s="19">
        <f t="shared" si="3"/>
        <v>0</v>
      </c>
      <c r="HB70" s="19">
        <f t="shared" si="3"/>
        <v>0</v>
      </c>
      <c r="HC70" s="19">
        <f t="shared" si="3"/>
        <v>0</v>
      </c>
      <c r="HD70" s="19">
        <f t="shared" si="3"/>
        <v>0</v>
      </c>
      <c r="HE70" s="19">
        <f t="shared" si="3"/>
        <v>0</v>
      </c>
      <c r="HF70" s="19">
        <f t="shared" si="3"/>
        <v>0</v>
      </c>
      <c r="HG70" s="19">
        <f t="shared" si="3"/>
        <v>0</v>
      </c>
      <c r="HH70" s="19">
        <f t="shared" si="3"/>
        <v>0</v>
      </c>
      <c r="HI70" s="19">
        <f t="shared" si="3"/>
        <v>0</v>
      </c>
      <c r="HJ70" s="19">
        <f t="shared" si="3"/>
        <v>0</v>
      </c>
      <c r="HK70" s="19">
        <f t="shared" si="3"/>
        <v>0</v>
      </c>
      <c r="HL70" s="19">
        <f t="shared" si="3"/>
        <v>0</v>
      </c>
      <c r="HM70" s="19">
        <f t="shared" si="3"/>
        <v>0</v>
      </c>
      <c r="HN70" s="19">
        <f t="shared" si="3"/>
        <v>0</v>
      </c>
      <c r="HO70" s="19">
        <f t="shared" si="3"/>
        <v>0</v>
      </c>
      <c r="HP70" s="19">
        <f t="shared" si="3"/>
        <v>0</v>
      </c>
      <c r="HQ70" s="19">
        <f t="shared" si="3"/>
        <v>0</v>
      </c>
      <c r="HR70" s="19">
        <f t="shared" si="3"/>
        <v>0</v>
      </c>
      <c r="HS70" s="19">
        <f t="shared" si="3"/>
        <v>0</v>
      </c>
      <c r="HT70" s="19">
        <f t="shared" si="3"/>
        <v>0</v>
      </c>
      <c r="HU70" s="19">
        <f t="shared" si="3"/>
        <v>0</v>
      </c>
      <c r="HV70" s="19">
        <f t="shared" si="3"/>
        <v>0</v>
      </c>
      <c r="HW70" s="19">
        <f t="shared" si="3"/>
        <v>0</v>
      </c>
      <c r="HX70" s="19">
        <f t="shared" si="3"/>
        <v>0</v>
      </c>
      <c r="HY70" s="19">
        <f t="shared" si="3"/>
        <v>0</v>
      </c>
      <c r="HZ70" s="19">
        <f t="shared" si="3"/>
        <v>0</v>
      </c>
      <c r="IA70" s="19">
        <f t="shared" si="3"/>
        <v>0</v>
      </c>
    </row>
  </sheetData>
  <conditionalFormatting sqref="D7:IA66">
    <cfRule type="expression" dxfId="7" priority="1">
      <formula>UPPER(D7)="U"</formula>
    </cfRule>
    <cfRule type="expression" dxfId="6" priority="2">
      <formula>UPPER(D7)="K"</formula>
    </cfRule>
    <cfRule type="expression" dxfId="5" priority="3">
      <formula>UPPER(D7)="F"</formula>
    </cfRule>
    <cfRule type="expression" dxfId="4" priority="4">
      <formula>UPPER(D7)="H"</formula>
    </cfRule>
    <cfRule type="expression" dxfId="3" priority="5">
      <formula>AND(ISNUMBER(D7),D7&lt;&gt;"")</formula>
    </cfRule>
    <cfRule type="expression" dxfId="2" priority="6">
      <formula>$A7=""</formula>
    </cfRule>
  </conditionalFormatting>
  <dataValidations count="1">
    <dataValidation type="custom" allowBlank="1" showInputMessage="1" showErrorMessage="1" errorTitle="Ungültiger Eintrag" error="Erlaubt: leer, U, K, F, H oder eine Zahl (MAK)." promptTitle="Anwesenheit" prompt="leer = anwesend · U Urlaub · K krank · F Fortbildung/Abwesenheit · H halbe Woche · Zahl = MAK" sqref="D7:IA66" xr:uid="{00000000-0002-0000-0300-000000000000}">
      <formula1>OR(ISNUMBER(D7),UPPER(D7)="U",UPPER(D7)="K",UPPER(D7)="F",UPPER(D7)="H")</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7" id="{00000000-000E-0000-0300-000007000000}">
            <xm:f>Wirksam!D$6=Filter!$O$24</xm:f>
            <x14:dxf>
              <font>
                <b/>
                <color rgb="FFFFFFFF"/>
              </font>
              <fill>
                <patternFill>
                  <bgColor rgb="FFBF1528"/>
                </patternFill>
              </fill>
            </x14:dxf>
          </x14:cfRule>
          <x14:cfRule type="expression" priority="10" id="{00000000-000E-0000-0300-00000A000000}">
            <xm:f>Wirksam!D$5&lt;Filter!$O$25</xm:f>
            <x14:dxf>
              <font>
                <color rgb="FF9AA3AD"/>
              </font>
            </x14:dxf>
          </x14:cfRule>
          <xm:sqref>D4:IA6</xm:sqref>
        </x14:conditionalFormatting>
        <x14:conditionalFormatting xmlns:xm="http://schemas.microsoft.com/office/excel/2006/main">
          <x14:cfRule type="expression" priority="8" id="{00000000-000E-0000-0300-000008000000}">
            <xm:f>Wirksam!D$6=Filter!$O$24</xm:f>
            <x14:dxf>
              <border>
                <left style="medium">
                  <color rgb="FFBF1528"/>
                </left>
                <right style="medium">
                  <color rgb="FFBF1528"/>
                </right>
                <top/>
                <bottom/>
                <vertical/>
                <horizontal/>
              </border>
            </x14:dxf>
          </x14:cfRule>
          <x14:cfRule type="expression" priority="9" id="{00000000-000E-0000-0300-000009000000}">
            <xm:f>Wirksam!D$5&lt;Filter!$O$25</xm:f>
            <x14:dxf>
              <font>
                <color rgb="FF9AA3AD"/>
              </font>
              <fill>
                <patternFill>
                  <bgColor rgb="FFF7F7F7"/>
                </patternFill>
              </fill>
            </x14:dxf>
          </x14:cfRule>
          <xm:sqref>D7:IA66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F94A7"/>
  </sheetPr>
  <dimension ref="A1:K64"/>
  <sheetViews>
    <sheetView showGridLines="0" workbookViewId="0">
      <pane xSplit="1" ySplit="4" topLeftCell="B5" activePane="bottomRight" state="frozen"/>
      <selection pane="topRight" activeCell="B1" sqref="B1"/>
      <selection pane="bottomLeft" activeCell="A5" sqref="A5"/>
      <selection pane="bottomRight"/>
    </sheetView>
  </sheetViews>
  <sheetFormatPr defaultRowHeight="13.5" x14ac:dyDescent="0.25"/>
  <cols>
    <col min="1" max="1" width="22.7109375" customWidth="1"/>
    <col min="2" max="3" width="12.7109375" customWidth="1"/>
    <col min="4" max="4" width="14.7109375" customWidth="1"/>
    <col min="5" max="6" width="12.7109375" customWidth="1"/>
    <col min="7" max="7" width="8.7109375" customWidth="1"/>
    <col min="8" max="8" width="40.7109375" customWidth="1"/>
    <col min="10" max="10" width="16.7109375" customWidth="1"/>
    <col min="11" max="11" width="40.7109375" customWidth="1"/>
  </cols>
  <sheetData>
    <row r="1" spans="1:11" ht="26.25" x14ac:dyDescent="0.25">
      <c r="A1" s="1" t="s">
        <v>171</v>
      </c>
    </row>
    <row r="2" spans="1:11" x14ac:dyDescent="0.25">
      <c r="A2" s="2" t="s">
        <v>172</v>
      </c>
    </row>
    <row r="4" spans="1:11" ht="30" customHeight="1" x14ac:dyDescent="0.25">
      <c r="A4" s="20" t="s">
        <v>173</v>
      </c>
      <c r="B4" s="20" t="s">
        <v>174</v>
      </c>
      <c r="C4" s="20" t="s">
        <v>45</v>
      </c>
      <c r="D4" s="20" t="s">
        <v>175</v>
      </c>
      <c r="E4" s="20" t="s">
        <v>176</v>
      </c>
      <c r="F4" s="20" t="s">
        <v>177</v>
      </c>
      <c r="G4" s="20" t="s">
        <v>178</v>
      </c>
      <c r="H4" s="20" t="s">
        <v>179</v>
      </c>
      <c r="J4" s="6" t="s">
        <v>180</v>
      </c>
    </row>
    <row r="5" spans="1:11" x14ac:dyDescent="0.25">
      <c r="A5" s="21"/>
      <c r="B5" s="21"/>
      <c r="C5" s="21"/>
      <c r="D5" s="22"/>
      <c r="E5" s="23"/>
      <c r="F5" s="23"/>
      <c r="G5" s="24"/>
      <c r="H5" s="21"/>
      <c r="J5" s="7" t="s">
        <v>181</v>
      </c>
      <c r="K5" s="7"/>
    </row>
    <row r="6" spans="1:11" x14ac:dyDescent="0.25">
      <c r="A6" s="21"/>
      <c r="B6" s="21"/>
      <c r="C6" s="21"/>
      <c r="D6" s="22"/>
      <c r="E6" s="23"/>
      <c r="F6" s="23"/>
      <c r="G6" s="24"/>
      <c r="H6" s="21"/>
      <c r="J6" s="7" t="s">
        <v>182</v>
      </c>
    </row>
    <row r="7" spans="1:11" x14ac:dyDescent="0.25">
      <c r="A7" s="21"/>
      <c r="B7" s="21"/>
      <c r="C7" s="21"/>
      <c r="D7" s="22"/>
      <c r="E7" s="23"/>
      <c r="F7" s="23"/>
      <c r="G7" s="24"/>
      <c r="H7" s="21"/>
    </row>
    <row r="8" spans="1:11" x14ac:dyDescent="0.25">
      <c r="A8" s="21"/>
      <c r="B8" s="21"/>
      <c r="C8" s="21"/>
      <c r="D8" s="22"/>
      <c r="E8" s="23"/>
      <c r="F8" s="23"/>
      <c r="G8" s="24"/>
      <c r="H8" s="21"/>
    </row>
    <row r="9" spans="1:11" x14ac:dyDescent="0.25">
      <c r="A9" s="21"/>
      <c r="B9" s="21"/>
      <c r="C9" s="21"/>
      <c r="D9" s="22"/>
      <c r="E9" s="23"/>
      <c r="F9" s="23"/>
      <c r="G9" s="24"/>
      <c r="H9" s="21"/>
    </row>
    <row r="10" spans="1:11" x14ac:dyDescent="0.25">
      <c r="A10" s="21"/>
      <c r="B10" s="21"/>
      <c r="C10" s="21"/>
      <c r="D10" s="22"/>
      <c r="E10" s="23"/>
      <c r="F10" s="23"/>
      <c r="G10" s="24"/>
      <c r="H10" s="21"/>
    </row>
    <row r="11" spans="1:11" x14ac:dyDescent="0.25">
      <c r="A11" s="21"/>
      <c r="B11" s="21"/>
      <c r="C11" s="21"/>
      <c r="D11" s="22"/>
      <c r="E11" s="23"/>
      <c r="F11" s="23"/>
      <c r="G11" s="24"/>
      <c r="H11" s="21"/>
    </row>
    <row r="12" spans="1:11" x14ac:dyDescent="0.25">
      <c r="A12" s="21"/>
      <c r="B12" s="21"/>
      <c r="C12" s="21"/>
      <c r="D12" s="22"/>
      <c r="E12" s="23"/>
      <c r="F12" s="23"/>
      <c r="G12" s="24"/>
      <c r="H12" s="21"/>
    </row>
    <row r="13" spans="1:11" x14ac:dyDescent="0.25">
      <c r="A13" s="21"/>
      <c r="B13" s="21"/>
      <c r="C13" s="21"/>
      <c r="D13" s="22"/>
      <c r="E13" s="23"/>
      <c r="F13" s="23"/>
      <c r="G13" s="24"/>
      <c r="H13" s="21"/>
    </row>
    <row r="14" spans="1:11" x14ac:dyDescent="0.25">
      <c r="A14" s="21"/>
      <c r="B14" s="21"/>
      <c r="C14" s="21"/>
      <c r="D14" s="22"/>
      <c r="E14" s="23"/>
      <c r="F14" s="23"/>
      <c r="G14" s="24"/>
      <c r="H14" s="21"/>
    </row>
    <row r="15" spans="1:11" x14ac:dyDescent="0.25">
      <c r="A15" s="21"/>
      <c r="B15" s="21"/>
      <c r="C15" s="21"/>
      <c r="D15" s="22"/>
      <c r="E15" s="23"/>
      <c r="F15" s="23"/>
      <c r="G15" s="24"/>
      <c r="H15" s="21"/>
    </row>
    <row r="16" spans="1:11" x14ac:dyDescent="0.25">
      <c r="A16" s="21"/>
      <c r="B16" s="21"/>
      <c r="C16" s="21"/>
      <c r="D16" s="22"/>
      <c r="E16" s="23"/>
      <c r="F16" s="23"/>
      <c r="G16" s="24"/>
      <c r="H16" s="21"/>
    </row>
    <row r="17" spans="1:8" x14ac:dyDescent="0.25">
      <c r="A17" s="21"/>
      <c r="B17" s="21"/>
      <c r="C17" s="21"/>
      <c r="D17" s="22"/>
      <c r="E17" s="23"/>
      <c r="F17" s="23"/>
      <c r="G17" s="24"/>
      <c r="H17" s="21"/>
    </row>
    <row r="18" spans="1:8" x14ac:dyDescent="0.25">
      <c r="A18" s="21"/>
      <c r="B18" s="21"/>
      <c r="C18" s="21"/>
      <c r="D18" s="22"/>
      <c r="E18" s="23"/>
      <c r="F18" s="23"/>
      <c r="G18" s="24"/>
      <c r="H18" s="21"/>
    </row>
    <row r="19" spans="1:8" x14ac:dyDescent="0.25">
      <c r="A19" s="21"/>
      <c r="B19" s="21"/>
      <c r="C19" s="21"/>
      <c r="D19" s="22"/>
      <c r="E19" s="23"/>
      <c r="F19" s="23"/>
      <c r="G19" s="24"/>
      <c r="H19" s="21"/>
    </row>
    <row r="20" spans="1:8" x14ac:dyDescent="0.25">
      <c r="A20" s="21"/>
      <c r="B20" s="21"/>
      <c r="C20" s="21"/>
      <c r="D20" s="22"/>
      <c r="E20" s="23"/>
      <c r="F20" s="23"/>
      <c r="G20" s="24"/>
      <c r="H20" s="21"/>
    </row>
    <row r="21" spans="1:8" x14ac:dyDescent="0.25">
      <c r="A21" s="21"/>
      <c r="B21" s="21"/>
      <c r="C21" s="21"/>
      <c r="D21" s="22"/>
      <c r="E21" s="23"/>
      <c r="F21" s="23"/>
      <c r="G21" s="24"/>
      <c r="H21" s="21"/>
    </row>
    <row r="22" spans="1:8" x14ac:dyDescent="0.25">
      <c r="A22" s="21"/>
      <c r="B22" s="21"/>
      <c r="C22" s="21"/>
      <c r="D22" s="22"/>
      <c r="E22" s="23"/>
      <c r="F22" s="23"/>
      <c r="G22" s="24"/>
      <c r="H22" s="21"/>
    </row>
    <row r="23" spans="1:8" x14ac:dyDescent="0.25">
      <c r="A23" s="21"/>
      <c r="B23" s="21"/>
      <c r="C23" s="21"/>
      <c r="D23" s="22"/>
      <c r="E23" s="23"/>
      <c r="F23" s="23"/>
      <c r="G23" s="24"/>
      <c r="H23" s="21"/>
    </row>
    <row r="24" spans="1:8" x14ac:dyDescent="0.25">
      <c r="A24" s="21"/>
      <c r="B24" s="21"/>
      <c r="C24" s="21"/>
      <c r="D24" s="22"/>
      <c r="E24" s="23"/>
      <c r="F24" s="23"/>
      <c r="G24" s="24"/>
      <c r="H24" s="21"/>
    </row>
    <row r="25" spans="1:8" x14ac:dyDescent="0.25">
      <c r="A25" s="21"/>
      <c r="B25" s="21"/>
      <c r="C25" s="21"/>
      <c r="D25" s="22"/>
      <c r="E25" s="23"/>
      <c r="F25" s="23"/>
      <c r="G25" s="24"/>
      <c r="H25" s="21"/>
    </row>
    <row r="26" spans="1:8" x14ac:dyDescent="0.25">
      <c r="A26" s="21"/>
      <c r="B26" s="21"/>
      <c r="C26" s="21"/>
      <c r="D26" s="22"/>
      <c r="E26" s="23"/>
      <c r="F26" s="23"/>
      <c r="G26" s="24"/>
      <c r="H26" s="21"/>
    </row>
    <row r="27" spans="1:8" x14ac:dyDescent="0.25">
      <c r="A27" s="21"/>
      <c r="B27" s="21"/>
      <c r="C27" s="21"/>
      <c r="D27" s="22"/>
      <c r="E27" s="23"/>
      <c r="F27" s="23"/>
      <c r="G27" s="24"/>
      <c r="H27" s="21"/>
    </row>
    <row r="28" spans="1:8" x14ac:dyDescent="0.25">
      <c r="A28" s="21"/>
      <c r="B28" s="21"/>
      <c r="C28" s="21"/>
      <c r="D28" s="22"/>
      <c r="E28" s="23"/>
      <c r="F28" s="23"/>
      <c r="G28" s="24"/>
      <c r="H28" s="21"/>
    </row>
    <row r="29" spans="1:8" x14ac:dyDescent="0.25">
      <c r="A29" s="21"/>
      <c r="B29" s="21"/>
      <c r="C29" s="21"/>
      <c r="D29" s="22"/>
      <c r="E29" s="23"/>
      <c r="F29" s="23"/>
      <c r="G29" s="24"/>
      <c r="H29" s="21"/>
    </row>
    <row r="30" spans="1:8" x14ac:dyDescent="0.25">
      <c r="A30" s="21"/>
      <c r="B30" s="21"/>
      <c r="C30" s="21"/>
      <c r="D30" s="22"/>
      <c r="E30" s="23"/>
      <c r="F30" s="23"/>
      <c r="G30" s="24"/>
      <c r="H30" s="21"/>
    </row>
    <row r="31" spans="1:8" x14ac:dyDescent="0.25">
      <c r="A31" s="21"/>
      <c r="B31" s="21"/>
      <c r="C31" s="21"/>
      <c r="D31" s="22"/>
      <c r="E31" s="23"/>
      <c r="F31" s="23"/>
      <c r="G31" s="24"/>
      <c r="H31" s="21"/>
    </row>
    <row r="32" spans="1:8" x14ac:dyDescent="0.25">
      <c r="A32" s="21"/>
      <c r="B32" s="21"/>
      <c r="C32" s="21"/>
      <c r="D32" s="22"/>
      <c r="E32" s="23"/>
      <c r="F32" s="23"/>
      <c r="G32" s="24"/>
      <c r="H32" s="21"/>
    </row>
    <row r="33" spans="1:8" x14ac:dyDescent="0.25">
      <c r="A33" s="21"/>
      <c r="B33" s="21"/>
      <c r="C33" s="21"/>
      <c r="D33" s="22"/>
      <c r="E33" s="23"/>
      <c r="F33" s="23"/>
      <c r="G33" s="24"/>
      <c r="H33" s="21"/>
    </row>
    <row r="34" spans="1:8" x14ac:dyDescent="0.25">
      <c r="A34" s="21"/>
      <c r="B34" s="21"/>
      <c r="C34" s="21"/>
      <c r="D34" s="22"/>
      <c r="E34" s="23"/>
      <c r="F34" s="23"/>
      <c r="G34" s="24"/>
      <c r="H34" s="21"/>
    </row>
    <row r="35" spans="1:8" x14ac:dyDescent="0.25">
      <c r="A35" s="21"/>
      <c r="B35" s="21"/>
      <c r="C35" s="21"/>
      <c r="D35" s="22"/>
      <c r="E35" s="23"/>
      <c r="F35" s="23"/>
      <c r="G35" s="24"/>
      <c r="H35" s="21"/>
    </row>
    <row r="36" spans="1:8" x14ac:dyDescent="0.25">
      <c r="A36" s="21"/>
      <c r="B36" s="21"/>
      <c r="C36" s="21"/>
      <c r="D36" s="22"/>
      <c r="E36" s="23"/>
      <c r="F36" s="23"/>
      <c r="G36" s="24"/>
      <c r="H36" s="21"/>
    </row>
    <row r="37" spans="1:8" x14ac:dyDescent="0.25">
      <c r="A37" s="21"/>
      <c r="B37" s="21"/>
      <c r="C37" s="21"/>
      <c r="D37" s="22"/>
      <c r="E37" s="23"/>
      <c r="F37" s="23"/>
      <c r="G37" s="24"/>
      <c r="H37" s="21"/>
    </row>
    <row r="38" spans="1:8" x14ac:dyDescent="0.25">
      <c r="A38" s="21"/>
      <c r="B38" s="21"/>
      <c r="C38" s="21"/>
      <c r="D38" s="22"/>
      <c r="E38" s="23"/>
      <c r="F38" s="23"/>
      <c r="G38" s="24"/>
      <c r="H38" s="21"/>
    </row>
    <row r="39" spans="1:8" x14ac:dyDescent="0.25">
      <c r="A39" s="21"/>
      <c r="B39" s="21"/>
      <c r="C39" s="21"/>
      <c r="D39" s="22"/>
      <c r="E39" s="23"/>
      <c r="F39" s="23"/>
      <c r="G39" s="24"/>
      <c r="H39" s="21"/>
    </row>
    <row r="40" spans="1:8" x14ac:dyDescent="0.25">
      <c r="A40" s="21"/>
      <c r="B40" s="21"/>
      <c r="C40" s="21"/>
      <c r="D40" s="22"/>
      <c r="E40" s="23"/>
      <c r="F40" s="23"/>
      <c r="G40" s="24"/>
      <c r="H40" s="21"/>
    </row>
    <row r="41" spans="1:8" x14ac:dyDescent="0.25">
      <c r="A41" s="21"/>
      <c r="B41" s="21"/>
      <c r="C41" s="21"/>
      <c r="D41" s="22"/>
      <c r="E41" s="23"/>
      <c r="F41" s="23"/>
      <c r="G41" s="24"/>
      <c r="H41" s="21"/>
    </row>
    <row r="42" spans="1:8" x14ac:dyDescent="0.25">
      <c r="A42" s="21"/>
      <c r="B42" s="21"/>
      <c r="C42" s="21"/>
      <c r="D42" s="22"/>
      <c r="E42" s="23"/>
      <c r="F42" s="23"/>
      <c r="G42" s="24"/>
      <c r="H42" s="21"/>
    </row>
    <row r="43" spans="1:8" x14ac:dyDescent="0.25">
      <c r="A43" s="21"/>
      <c r="B43" s="21"/>
      <c r="C43" s="21"/>
      <c r="D43" s="22"/>
      <c r="E43" s="23"/>
      <c r="F43" s="23"/>
      <c r="G43" s="24"/>
      <c r="H43" s="21"/>
    </row>
    <row r="44" spans="1:8" x14ac:dyDescent="0.25">
      <c r="A44" s="21"/>
      <c r="B44" s="21"/>
      <c r="C44" s="21"/>
      <c r="D44" s="22"/>
      <c r="E44" s="23"/>
      <c r="F44" s="23"/>
      <c r="G44" s="24"/>
      <c r="H44" s="21"/>
    </row>
    <row r="45" spans="1:8" x14ac:dyDescent="0.25">
      <c r="A45" s="21"/>
      <c r="B45" s="21"/>
      <c r="C45" s="21"/>
      <c r="D45" s="22"/>
      <c r="E45" s="23"/>
      <c r="F45" s="23"/>
      <c r="G45" s="24"/>
      <c r="H45" s="21"/>
    </row>
    <row r="46" spans="1:8" x14ac:dyDescent="0.25">
      <c r="A46" s="21"/>
      <c r="B46" s="21"/>
      <c r="C46" s="21"/>
      <c r="D46" s="22"/>
      <c r="E46" s="23"/>
      <c r="F46" s="23"/>
      <c r="G46" s="24"/>
      <c r="H46" s="21"/>
    </row>
    <row r="47" spans="1:8" x14ac:dyDescent="0.25">
      <c r="A47" s="21"/>
      <c r="B47" s="21"/>
      <c r="C47" s="21"/>
      <c r="D47" s="22"/>
      <c r="E47" s="23"/>
      <c r="F47" s="23"/>
      <c r="G47" s="24"/>
      <c r="H47" s="21"/>
    </row>
    <row r="48" spans="1:8" x14ac:dyDescent="0.25">
      <c r="A48" s="21"/>
      <c r="B48" s="21"/>
      <c r="C48" s="21"/>
      <c r="D48" s="22"/>
      <c r="E48" s="23"/>
      <c r="F48" s="23"/>
      <c r="G48" s="24"/>
      <c r="H48" s="21"/>
    </row>
    <row r="49" spans="1:8" x14ac:dyDescent="0.25">
      <c r="A49" s="21"/>
      <c r="B49" s="21"/>
      <c r="C49" s="21"/>
      <c r="D49" s="22"/>
      <c r="E49" s="23"/>
      <c r="F49" s="23"/>
      <c r="G49" s="24"/>
      <c r="H49" s="21"/>
    </row>
    <row r="50" spans="1:8" x14ac:dyDescent="0.25">
      <c r="A50" s="21"/>
      <c r="B50" s="21"/>
      <c r="C50" s="21"/>
      <c r="D50" s="22"/>
      <c r="E50" s="23"/>
      <c r="F50" s="23"/>
      <c r="G50" s="24"/>
      <c r="H50" s="21"/>
    </row>
    <row r="51" spans="1:8" x14ac:dyDescent="0.25">
      <c r="A51" s="21"/>
      <c r="B51" s="21"/>
      <c r="C51" s="21"/>
      <c r="D51" s="22"/>
      <c r="E51" s="23"/>
      <c r="F51" s="23"/>
      <c r="G51" s="24"/>
      <c r="H51" s="21"/>
    </row>
    <row r="52" spans="1:8" x14ac:dyDescent="0.25">
      <c r="A52" s="21"/>
      <c r="B52" s="21"/>
      <c r="C52" s="21"/>
      <c r="D52" s="22"/>
      <c r="E52" s="23"/>
      <c r="F52" s="23"/>
      <c r="G52" s="24"/>
      <c r="H52" s="21"/>
    </row>
    <row r="53" spans="1:8" x14ac:dyDescent="0.25">
      <c r="A53" s="21"/>
      <c r="B53" s="21"/>
      <c r="C53" s="21"/>
      <c r="D53" s="22"/>
      <c r="E53" s="23"/>
      <c r="F53" s="23"/>
      <c r="G53" s="24"/>
      <c r="H53" s="21"/>
    </row>
    <row r="54" spans="1:8" x14ac:dyDescent="0.25">
      <c r="A54" s="21"/>
      <c r="B54" s="21"/>
      <c r="C54" s="21"/>
      <c r="D54" s="22"/>
      <c r="E54" s="23"/>
      <c r="F54" s="23"/>
      <c r="G54" s="24"/>
      <c r="H54" s="21"/>
    </row>
    <row r="55" spans="1:8" x14ac:dyDescent="0.25">
      <c r="A55" s="21"/>
      <c r="B55" s="21"/>
      <c r="C55" s="21"/>
      <c r="D55" s="22"/>
      <c r="E55" s="23"/>
      <c r="F55" s="23"/>
      <c r="G55" s="24"/>
      <c r="H55" s="21"/>
    </row>
    <row r="56" spans="1:8" x14ac:dyDescent="0.25">
      <c r="A56" s="21"/>
      <c r="B56" s="21"/>
      <c r="C56" s="21"/>
      <c r="D56" s="22"/>
      <c r="E56" s="23"/>
      <c r="F56" s="23"/>
      <c r="G56" s="24"/>
      <c r="H56" s="21"/>
    </row>
    <row r="57" spans="1:8" x14ac:dyDescent="0.25">
      <c r="A57" s="21"/>
      <c r="B57" s="21"/>
      <c r="C57" s="21"/>
      <c r="D57" s="22"/>
      <c r="E57" s="23"/>
      <c r="F57" s="23"/>
      <c r="G57" s="24"/>
      <c r="H57" s="21"/>
    </row>
    <row r="58" spans="1:8" x14ac:dyDescent="0.25">
      <c r="A58" s="21"/>
      <c r="B58" s="21"/>
      <c r="C58" s="21"/>
      <c r="D58" s="22"/>
      <c r="E58" s="23"/>
      <c r="F58" s="23"/>
      <c r="G58" s="24"/>
      <c r="H58" s="21"/>
    </row>
    <row r="59" spans="1:8" x14ac:dyDescent="0.25">
      <c r="A59" s="21"/>
      <c r="B59" s="21"/>
      <c r="C59" s="21"/>
      <c r="D59" s="22"/>
      <c r="E59" s="23"/>
      <c r="F59" s="23"/>
      <c r="G59" s="24"/>
      <c r="H59" s="21"/>
    </row>
    <row r="60" spans="1:8" x14ac:dyDescent="0.25">
      <c r="A60" s="21"/>
      <c r="B60" s="21"/>
      <c r="C60" s="21"/>
      <c r="D60" s="22"/>
      <c r="E60" s="23"/>
      <c r="F60" s="23"/>
      <c r="G60" s="24"/>
      <c r="H60" s="21"/>
    </row>
    <row r="61" spans="1:8" x14ac:dyDescent="0.25">
      <c r="A61" s="21"/>
      <c r="B61" s="21"/>
      <c r="C61" s="21"/>
      <c r="D61" s="22"/>
      <c r="E61" s="23"/>
      <c r="F61" s="23"/>
      <c r="G61" s="24"/>
      <c r="H61" s="21"/>
    </row>
    <row r="62" spans="1:8" x14ac:dyDescent="0.25">
      <c r="A62" s="21"/>
      <c r="B62" s="21"/>
      <c r="C62" s="21"/>
      <c r="D62" s="22"/>
      <c r="E62" s="23"/>
      <c r="F62" s="23"/>
      <c r="G62" s="24"/>
      <c r="H62" s="21"/>
    </row>
    <row r="63" spans="1:8" x14ac:dyDescent="0.25">
      <c r="A63" s="21"/>
      <c r="B63" s="21"/>
      <c r="C63" s="21"/>
      <c r="D63" s="22"/>
      <c r="E63" s="23"/>
      <c r="F63" s="23"/>
      <c r="G63" s="24"/>
      <c r="H63" s="21"/>
    </row>
    <row r="64" spans="1:8" x14ac:dyDescent="0.25">
      <c r="A64" s="21"/>
      <c r="B64" s="21"/>
      <c r="C64" s="21"/>
      <c r="D64" s="22"/>
      <c r="E64" s="23"/>
      <c r="F64" s="23"/>
      <c r="G64" s="24"/>
      <c r="H64" s="21"/>
    </row>
  </sheetData>
  <dataValidations count="3">
    <dataValidation type="list" allowBlank="1" showInputMessage="1" showErrorMessage="1" promptTitle="Sparte" prompt="Gesundheit = KV, Komposit = Komposit/Leben" sqref="C5:C64" xr:uid="{00000000-0002-0000-0400-000000000000}">
      <formula1>"Gesundheit,Komposit"</formula1>
    </dataValidation>
    <dataValidation type="list" allowBlank="1" showInputMessage="1" showErrorMessage="1" sqref="G5:G64" xr:uid="{00000000-0002-0000-0400-000001000000}">
      <formula1>"WAHR,FALSCH"</formula1>
    </dataValidation>
    <dataValidation type="decimal" allowBlank="1" showInputMessage="1" showErrorMessage="1" promptTitle="Kapazität" prompt="MAK je Woche bei voller Anwesenheit, 0 bis 1,5" sqref="D5:D64" xr:uid="{00000000-0002-0000-0400-000002000000}">
      <formula1>0</formula1>
      <formula2>1.5</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M6"/>
  <sheetViews>
    <sheetView showGridLines="0" workbookViewId="0">
      <pane xSplit="1" ySplit="5" topLeftCell="B6" activePane="bottomRight" state="frozen"/>
      <selection pane="topRight" activeCell="B1" sqref="B1"/>
      <selection pane="bottomLeft" activeCell="A6" sqref="A6"/>
      <selection pane="bottomRight"/>
    </sheetView>
  </sheetViews>
  <sheetFormatPr defaultRowHeight="13.5" x14ac:dyDescent="0.25"/>
  <cols>
    <col min="1" max="1" width="12.7109375" customWidth="1"/>
    <col min="2" max="3" width="7.7109375" customWidth="1"/>
    <col min="4" max="37" width="11.7109375" customWidth="1"/>
    <col min="38" max="39" width="10.7109375" customWidth="1"/>
  </cols>
  <sheetData>
    <row r="1" spans="1:39" ht="26.25" x14ac:dyDescent="0.25">
      <c r="A1" s="1" t="s">
        <v>113</v>
      </c>
    </row>
    <row r="2" spans="1:39" x14ac:dyDescent="0.25">
      <c r="A2" s="2" t="s">
        <v>114</v>
      </c>
    </row>
    <row r="4" spans="1:39" x14ac:dyDescent="0.25">
      <c r="D4" s="49" t="s">
        <v>115</v>
      </c>
      <c r="E4" s="49"/>
      <c r="F4" s="49"/>
      <c r="G4" s="49"/>
      <c r="H4" s="49"/>
      <c r="I4" s="49"/>
      <c r="J4" s="49"/>
      <c r="K4" s="49"/>
      <c r="L4" s="49"/>
      <c r="M4" s="49"/>
      <c r="N4" s="50" t="s">
        <v>116</v>
      </c>
      <c r="O4" s="50"/>
      <c r="P4" s="50"/>
      <c r="Q4" s="50"/>
      <c r="R4" s="50"/>
      <c r="S4" s="50"/>
      <c r="T4" s="50"/>
      <c r="U4" s="50"/>
      <c r="V4" s="50"/>
      <c r="W4" s="50"/>
      <c r="X4" s="51" t="s">
        <v>117</v>
      </c>
      <c r="Y4" s="51"/>
      <c r="Z4" s="51"/>
      <c r="AA4" s="51"/>
      <c r="AB4" s="51"/>
      <c r="AC4" s="51"/>
      <c r="AD4" s="51"/>
      <c r="AE4" s="51"/>
      <c r="AF4" s="51"/>
      <c r="AG4" s="51"/>
      <c r="AH4" s="51"/>
      <c r="AI4" s="51"/>
      <c r="AJ4" s="51"/>
      <c r="AK4" s="51"/>
    </row>
    <row r="5" spans="1:39" ht="42" customHeight="1" x14ac:dyDescent="0.25">
      <c r="A5" s="25" t="s">
        <v>43</v>
      </c>
      <c r="B5" s="25" t="s">
        <v>118</v>
      </c>
      <c r="C5" s="25" t="s">
        <v>119</v>
      </c>
      <c r="D5" s="25" t="s">
        <v>120</v>
      </c>
      <c r="E5" s="25" t="s">
        <v>121</v>
      </c>
      <c r="F5" s="25" t="s">
        <v>122</v>
      </c>
      <c r="G5" s="25" t="s">
        <v>123</v>
      </c>
      <c r="H5" s="25" t="s">
        <v>124</v>
      </c>
      <c r="I5" s="25" t="s">
        <v>125</v>
      </c>
      <c r="J5" s="25" t="s">
        <v>126</v>
      </c>
      <c r="K5" s="25" t="s">
        <v>127</v>
      </c>
      <c r="L5" s="25" t="s">
        <v>128</v>
      </c>
      <c r="M5" s="25" t="s">
        <v>129</v>
      </c>
      <c r="N5" s="25" t="s">
        <v>120</v>
      </c>
      <c r="O5" s="25" t="s">
        <v>121</v>
      </c>
      <c r="P5" s="25" t="s">
        <v>122</v>
      </c>
      <c r="Q5" s="25" t="s">
        <v>123</v>
      </c>
      <c r="R5" s="25" t="s">
        <v>124</v>
      </c>
      <c r="S5" s="25" t="s">
        <v>125</v>
      </c>
      <c r="T5" s="25" t="s">
        <v>126</v>
      </c>
      <c r="U5" s="25" t="s">
        <v>127</v>
      </c>
      <c r="V5" s="25" t="s">
        <v>128</v>
      </c>
      <c r="W5" s="25" t="s">
        <v>129</v>
      </c>
      <c r="X5" s="25" t="s">
        <v>130</v>
      </c>
      <c r="Y5" s="25" t="s">
        <v>131</v>
      </c>
      <c r="Z5" s="25" t="s">
        <v>132</v>
      </c>
      <c r="AA5" s="25" t="s">
        <v>133</v>
      </c>
      <c r="AB5" s="25" t="s">
        <v>134</v>
      </c>
      <c r="AC5" s="25" t="s">
        <v>135</v>
      </c>
      <c r="AD5" s="25" t="s">
        <v>136</v>
      </c>
      <c r="AE5" s="25" t="s">
        <v>137</v>
      </c>
      <c r="AF5" s="25" t="s">
        <v>138</v>
      </c>
      <c r="AG5" s="25" t="s">
        <v>139</v>
      </c>
      <c r="AH5" s="25" t="s">
        <v>140</v>
      </c>
      <c r="AI5" s="25" t="s">
        <v>141</v>
      </c>
      <c r="AJ5" s="25" t="s">
        <v>142</v>
      </c>
      <c r="AK5" s="25" t="s">
        <v>143</v>
      </c>
      <c r="AL5" s="25" t="s">
        <v>144</v>
      </c>
      <c r="AM5" s="25" t="s">
        <v>145</v>
      </c>
    </row>
    <row r="6" spans="1:39" x14ac:dyDescent="0.25">
      <c r="B6" s="26" t="e">
        <f>YEAR(A6-WEEKDAY(A6,2)+4)</f>
        <v>#NUM!</v>
      </c>
      <c r="C6" s="26">
        <f>_xlfn.ISOWEEKNUM(A6)</f>
        <v>52</v>
      </c>
      <c r="D6" s="26">
        <f>SUMIFS(INDEX(F_Rueckstand,$AL6):INDEX(F_Rueckstand,$AM6),INDEX(F_Stichtag,$AL6):INDEX(F_Stichtag,$AM6),$A6,INDEX(F_Quelle,$AL6):INDEX(F_Quelle,$AM6),"OPAG",INDEX(F_Sparte,$AL6):INDEX(F_Sparte,$AM6),"Komposit",INDEX(F_Aktiv,$AL6):INDEX(F_Aktiv,$AM6),1)</f>
        <v>0</v>
      </c>
      <c r="E6" s="26">
        <f>SUMIFS(INDEX(F_Rueckstand,$AL6):INDEX(F_Rueckstand,$AM6),INDEX(F_Stichtag,$AL6):INDEX(F_Stichtag,$AM6),$A6,INDEX(F_Quelle,$AL6):INDEX(F_Quelle,$AM6),"OPAG",INDEX(F_Sparte,$AL6):INDEX(F_Sparte,$AM6),"Leben",INDEX(F_Aktiv,$AL6):INDEX(F_Aktiv,$AM6),1)</f>
        <v>0</v>
      </c>
      <c r="F6" s="26">
        <f>SUMIFS(INDEX(F_Rueckstand,$AL6):INDEX(F_Rueckstand,$AM6),INDEX(F_Stichtag,$AL6):INDEX(F_Stichtag,$AM6),$A6,INDEX(F_Quelle,$AL6):INDEX(F_Quelle,$AM6),"OPAG",INDEX(F_Sparte,$AL6):INDEX(F_Sparte,$AM6),"KV",INDEX(F_Aktiv,$AL6):INDEX(F_Aktiv,$AM6),1)</f>
        <v>0</v>
      </c>
      <c r="G6" s="26">
        <f>SUMIFS(INDEX(F_Rueckstand,$AL6):INDEX(F_Rueckstand,$AM6),INDEX(F_Stichtag,$AL6):INDEX(F_Stichtag,$AM6),$A6,INDEX(F_Quelle,$AL6):INDEX(F_Quelle,$AM6),"OPAG",INDEX(F_Sparte,$AL6):INDEX(F_Sparte,$AM6),"Sonstige",INDEX(F_Aktiv,$AL6):INDEX(F_Aktiv,$AM6),1)</f>
        <v>0</v>
      </c>
      <c r="H6" s="26">
        <f>SUM(D6:G6)</f>
        <v>0</v>
      </c>
      <c r="I6" s="26">
        <f>SUMIFS(INDEX(F_Eingang,$AL6):INDEX(F_Eingang,$AM6),INDEX(F_Stichtag,$AL6):INDEX(F_Stichtag,$AM6),$A6,INDEX(F_Quelle,$AL6):INDEX(F_Quelle,$AM6),"OPAG",INDEX(F_Aktiv,$AL6):INDEX(F_Aktiv,$AM6),1)</f>
        <v>0</v>
      </c>
      <c r="J6" s="26">
        <f>SUMIFS(INDEX(F_Abgang,$AL6):INDEX(F_Abgang,$AM6),INDEX(F_Stichtag,$AL6):INDEX(F_Stichtag,$AM6),$A6,INDEX(F_Quelle,$AL6):INDEX(F_Quelle,$AM6),"OPAG",INDEX(F_Aktiv,$AL6):INDEX(F_Aktiv,$AM6),1)</f>
        <v>0</v>
      </c>
      <c r="K6" s="26">
        <f>SUMIFS(INDEX(F_Abgang,$AL6):INDEX(F_Abgang,$AM6),INDEX(F_Stichtag,$AL6):INDEX(F_Stichtag,$AM6),$A6,INDEX(F_Quelle,$AL6):INDEX(F_Quelle,$AM6),"OPAG",INDEX(F_Sparte,$AL6):INDEX(F_Sparte,$AM6),"Komposit",INDEX(F_Aktiv,$AL6):INDEX(F_Aktiv,$AM6),1)</f>
        <v>0</v>
      </c>
      <c r="L6" s="26">
        <f>SUMIFS(INDEX(F_Abgang,$AL6):INDEX(F_Abgang,$AM6),INDEX(F_Stichtag,$AL6):INDEX(F_Stichtag,$AM6),$A6,INDEX(F_Quelle,$AL6):INDEX(F_Quelle,$AM6),"OPAG",INDEX(F_Sparte,$AL6):INDEX(F_Sparte,$AM6),"Leben",INDEX(F_Aktiv,$AL6):INDEX(F_Aktiv,$AM6),1)</f>
        <v>0</v>
      </c>
      <c r="M6" s="26">
        <f>SUMIFS(INDEX(F_Abgang,$AL6):INDEX(F_Abgang,$AM6),INDEX(F_Stichtag,$AL6):INDEX(F_Stichtag,$AM6),$A6,INDEX(F_Quelle,$AL6):INDEX(F_Quelle,$AM6),"OPAG",INDEX(F_Sparte,$AL6):INDEX(F_Sparte,$AM6),"KV",INDEX(F_Aktiv,$AL6):INDEX(F_Aktiv,$AM6),1)</f>
        <v>0</v>
      </c>
      <c r="N6" s="26">
        <f>SUMIFS(INDEX(F_Rueckstand,$AL6):INDEX(F_Rueckstand,$AM6),INDEX(F_Stichtag,$AL6):INDEX(F_Stichtag,$AM6),$A6,INDEX(F_Quelle,$AL6):INDEX(F_Quelle,$AM6),"Verbund",INDEX(F_Sparte,$AL6):INDEX(F_Sparte,$AM6),"Komposit",INDEX(F_Aktiv,$AL6):INDEX(F_Aktiv,$AM6),1)</f>
        <v>0</v>
      </c>
      <c r="O6" s="26">
        <f>SUMIFS(INDEX(F_Rueckstand,$AL6):INDEX(F_Rueckstand,$AM6),INDEX(F_Stichtag,$AL6):INDEX(F_Stichtag,$AM6),$A6,INDEX(F_Quelle,$AL6):INDEX(F_Quelle,$AM6),"Verbund",INDEX(F_Sparte,$AL6):INDEX(F_Sparte,$AM6),"Leben",INDEX(F_Aktiv,$AL6):INDEX(F_Aktiv,$AM6),1)</f>
        <v>0</v>
      </c>
      <c r="P6" s="26">
        <f>SUMIFS(INDEX(F_Rueckstand,$AL6):INDEX(F_Rueckstand,$AM6),INDEX(F_Stichtag,$AL6):INDEX(F_Stichtag,$AM6),$A6,INDEX(F_Quelle,$AL6):INDEX(F_Quelle,$AM6),"Verbund",INDEX(F_Sparte,$AL6):INDEX(F_Sparte,$AM6),"KV",INDEX(F_Aktiv,$AL6):INDEX(F_Aktiv,$AM6),1)</f>
        <v>0</v>
      </c>
      <c r="Q6" s="26">
        <f>SUMIFS(INDEX(F_Rueckstand,$AL6):INDEX(F_Rueckstand,$AM6),INDEX(F_Stichtag,$AL6):INDEX(F_Stichtag,$AM6),$A6,INDEX(F_Quelle,$AL6):INDEX(F_Quelle,$AM6),"Verbund",INDEX(F_Sparte,$AL6):INDEX(F_Sparte,$AM6),"Sonstige",INDEX(F_Aktiv,$AL6):INDEX(F_Aktiv,$AM6),1)</f>
        <v>0</v>
      </c>
      <c r="R6" s="26">
        <f>SUM(N6:Q6)</f>
        <v>0</v>
      </c>
      <c r="S6" s="26">
        <f>SUMIFS(INDEX(F_Eingang,$AL6):INDEX(F_Eingang,$AM6),INDEX(F_Stichtag,$AL6):INDEX(F_Stichtag,$AM6),$A6,INDEX(F_Quelle,$AL6):INDEX(F_Quelle,$AM6),"Verbund",INDEX(F_Aktiv,$AL6):INDEX(F_Aktiv,$AM6),1)</f>
        <v>0</v>
      </c>
      <c r="T6" s="26">
        <f>SUMIFS(INDEX(F_Abgang,$AL6):INDEX(F_Abgang,$AM6),INDEX(F_Stichtag,$AL6):INDEX(F_Stichtag,$AM6),$A6,INDEX(F_Quelle,$AL6):INDEX(F_Quelle,$AM6),"Verbund",INDEX(F_Aktiv,$AL6):INDEX(F_Aktiv,$AM6),1)</f>
        <v>0</v>
      </c>
      <c r="U6" s="26">
        <f>SUMIFS(INDEX(F_Abgang,$AL6):INDEX(F_Abgang,$AM6),INDEX(F_Stichtag,$AL6):INDEX(F_Stichtag,$AM6),$A6,INDEX(F_Quelle,$AL6):INDEX(F_Quelle,$AM6),"Verbund",INDEX(F_Sparte,$AL6):INDEX(F_Sparte,$AM6),"Komposit",INDEX(F_Aktiv,$AL6):INDEX(F_Aktiv,$AM6),1)</f>
        <v>0</v>
      </c>
      <c r="V6" s="26">
        <f>SUMIFS(INDEX(F_Abgang,$AL6):INDEX(F_Abgang,$AM6),INDEX(F_Stichtag,$AL6):INDEX(F_Stichtag,$AM6),$A6,INDEX(F_Quelle,$AL6):INDEX(F_Quelle,$AM6),"Verbund",INDEX(F_Sparte,$AL6):INDEX(F_Sparte,$AM6),"Leben",INDEX(F_Aktiv,$AL6):INDEX(F_Aktiv,$AM6),1)</f>
        <v>0</v>
      </c>
      <c r="W6" s="26">
        <f>SUMIFS(INDEX(F_Abgang,$AL6):INDEX(F_Abgang,$AM6),INDEX(F_Stichtag,$AL6):INDEX(F_Stichtag,$AM6),$A6,INDEX(F_Quelle,$AL6):INDEX(F_Quelle,$AM6),"Verbund",INDEX(F_Sparte,$AL6):INDEX(F_Sparte,$AM6),"KV",INDEX(F_Aktiv,$AL6):INDEX(F_Aktiv,$AM6),1)</f>
        <v>0</v>
      </c>
      <c r="X6" s="26">
        <f>SUMIFS(INDEX(F_Eingang,$AL6):INDEX(F_Eingang,$AM6),INDEX(F_Stichtag,$AL6):INDEX(F_Stichtag,$AM6),$A6,INDEX(F_Quelle,$AL6):INDEX(F_Quelle,$AM6),"OPAG",INDEX(F_Sparte,$AL6):INDEX(F_Sparte,$AM6),"Komposit",INDEX(F_Aktiv,$AL6):INDEX(F_Aktiv,$AM6),1)</f>
        <v>0</v>
      </c>
      <c r="Y6" s="26">
        <f>SUMIFS(INDEX(F_Eingang,$AL6):INDEX(F_Eingang,$AM6),INDEX(F_Stichtag,$AL6):INDEX(F_Stichtag,$AM6),$A6,INDEX(F_Quelle,$AL6):INDEX(F_Quelle,$AM6),"OPAG",INDEX(F_Sparte,$AL6):INDEX(F_Sparte,$AM6),"Leben",INDEX(F_Aktiv,$AL6):INDEX(F_Aktiv,$AM6),1)</f>
        <v>0</v>
      </c>
      <c r="Z6" s="26">
        <f>SUMIFS(INDEX(F_Eingang,$AL6):INDEX(F_Eingang,$AM6),INDEX(F_Stichtag,$AL6):INDEX(F_Stichtag,$AM6),$A6,INDEX(F_Quelle,$AL6):INDEX(F_Quelle,$AM6),"OPAG",INDEX(F_Sparte,$AL6):INDEX(F_Sparte,$AM6),"KV",INDEX(F_Aktiv,$AL6):INDEX(F_Aktiv,$AM6),1)</f>
        <v>0</v>
      </c>
      <c r="AA6" s="26">
        <f>SUMIFS(INDEX(F_Eingang,$AL6):INDEX(F_Eingang,$AM6),INDEX(F_Stichtag,$AL6):INDEX(F_Stichtag,$AM6),$A6,INDEX(F_Quelle,$AL6):INDEX(F_Quelle,$AM6),"Verbund",INDEX(F_Sparte,$AL6):INDEX(F_Sparte,$AM6),"Komposit",INDEX(F_Aktiv,$AL6):INDEX(F_Aktiv,$AM6),1)</f>
        <v>0</v>
      </c>
      <c r="AB6" s="26">
        <f>SUMIFS(INDEX(F_Eingang,$AL6):INDEX(F_Eingang,$AM6),INDEX(F_Stichtag,$AL6):INDEX(F_Stichtag,$AM6),$A6,INDEX(F_Quelle,$AL6):INDEX(F_Quelle,$AM6),"Verbund",INDEX(F_Sparte,$AL6):INDEX(F_Sparte,$AM6),"Leben",INDEX(F_Aktiv,$AL6):INDEX(F_Aktiv,$AM6),1)</f>
        <v>0</v>
      </c>
      <c r="AC6" s="26">
        <f>SUMIFS(INDEX(F_Eingang,$AL6):INDEX(F_Eingang,$AM6),INDEX(F_Stichtag,$AL6):INDEX(F_Stichtag,$AM6),$A6,INDEX(F_Quelle,$AL6):INDEX(F_Quelle,$AM6),"Verbund",INDEX(F_Sparte,$AL6):INDEX(F_Sparte,$AM6),"KV",INDEX(F_Aktiv,$AL6):INDEX(F_Aktiv,$AM6),1)</f>
        <v>0</v>
      </c>
      <c r="AD6" s="26">
        <f>-K6</f>
        <v>0</v>
      </c>
      <c r="AE6" s="26">
        <f>-L6</f>
        <v>0</v>
      </c>
      <c r="AF6" s="26">
        <f>-M6</f>
        <v>0</v>
      </c>
      <c r="AG6" s="26">
        <f>-U6</f>
        <v>0</v>
      </c>
      <c r="AH6" s="26">
        <f>-V6</f>
        <v>0</v>
      </c>
      <c r="AI6" s="26">
        <f>-W6</f>
        <v>0</v>
      </c>
      <c r="AJ6" s="26">
        <f>I6-J6</f>
        <v>0</v>
      </c>
      <c r="AK6" s="26">
        <f>S6-T6</f>
        <v>0</v>
      </c>
      <c r="AL6" s="26">
        <v>1</v>
      </c>
      <c r="AM6" s="26">
        <v>1</v>
      </c>
    </row>
  </sheetData>
  <mergeCells count="3">
    <mergeCell ref="D4:M4"/>
    <mergeCell ref="N4:W4"/>
    <mergeCell ref="X4:AK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Q237"/>
  <sheetViews>
    <sheetView showGridLines="0" workbookViewId="0">
      <pane xSplit="3" ySplit="5" topLeftCell="D6" activePane="bottomRight" state="frozen"/>
      <selection pane="topRight" activeCell="D1" sqref="D1"/>
      <selection pane="bottomLeft" activeCell="A6" sqref="A6"/>
      <selection pane="bottomRight"/>
    </sheetView>
  </sheetViews>
  <sheetFormatPr defaultRowHeight="13.5" x14ac:dyDescent="0.25"/>
  <cols>
    <col min="1" max="2" width="7.7109375" customWidth="1"/>
    <col min="3" max="3" width="10.7109375" customWidth="1"/>
    <col min="4" max="40" width="11.7109375" customWidth="1"/>
    <col min="42" max="42" width="26.7109375" customWidth="1"/>
  </cols>
  <sheetData>
    <row r="1" spans="1:43" ht="26.25" x14ac:dyDescent="0.25">
      <c r="A1" s="1" t="s">
        <v>146</v>
      </c>
    </row>
    <row r="2" spans="1:43" x14ac:dyDescent="0.25">
      <c r="A2" s="2" t="s">
        <v>147</v>
      </c>
    </row>
    <row r="4" spans="1:43" x14ac:dyDescent="0.25">
      <c r="D4" s="49" t="s">
        <v>148</v>
      </c>
      <c r="E4" s="49"/>
      <c r="F4" s="49"/>
      <c r="G4" s="49"/>
      <c r="H4" s="50" t="s">
        <v>149</v>
      </c>
      <c r="I4" s="50"/>
      <c r="J4" s="50"/>
      <c r="K4" s="50"/>
      <c r="L4" s="49" t="s">
        <v>150</v>
      </c>
      <c r="M4" s="49"/>
      <c r="N4" s="49"/>
      <c r="O4" s="50" t="s">
        <v>151</v>
      </c>
      <c r="P4" s="50"/>
      <c r="Q4" s="50"/>
      <c r="R4" s="49" t="s">
        <v>152</v>
      </c>
      <c r="S4" s="49"/>
      <c r="T4" s="49"/>
      <c r="X4" s="49" t="s">
        <v>161</v>
      </c>
      <c r="Y4" s="49"/>
      <c r="Z4" s="49"/>
      <c r="AA4" s="49"/>
      <c r="AB4" s="50" t="s">
        <v>162</v>
      </c>
      <c r="AC4" s="50"/>
      <c r="AD4" s="50"/>
      <c r="AE4" s="50"/>
      <c r="AF4" s="49" t="s">
        <v>163</v>
      </c>
      <c r="AG4" s="49"/>
      <c r="AH4" s="49"/>
      <c r="AI4" s="49"/>
      <c r="AJ4" s="50" t="s">
        <v>164</v>
      </c>
      <c r="AK4" s="50"/>
      <c r="AL4" s="50"/>
      <c r="AM4" s="50"/>
      <c r="AP4" s="20" t="s">
        <v>166</v>
      </c>
    </row>
    <row r="5" spans="1:43" ht="30" customHeight="1" x14ac:dyDescent="0.25">
      <c r="A5" s="25" t="s">
        <v>153</v>
      </c>
      <c r="B5" s="25" t="s">
        <v>119</v>
      </c>
      <c r="C5" s="25" t="s">
        <v>154</v>
      </c>
      <c r="D5" s="25" t="s">
        <v>20</v>
      </c>
      <c r="E5" s="25" t="s">
        <v>16</v>
      </c>
      <c r="F5" s="25" t="s">
        <v>14</v>
      </c>
      <c r="G5" s="25" t="s">
        <v>155</v>
      </c>
      <c r="H5" s="25" t="s">
        <v>20</v>
      </c>
      <c r="I5" s="25" t="s">
        <v>16</v>
      </c>
      <c r="J5" s="25" t="s">
        <v>14</v>
      </c>
      <c r="K5" s="25" t="s">
        <v>155</v>
      </c>
      <c r="L5" s="25" t="s">
        <v>156</v>
      </c>
      <c r="M5" s="25" t="s">
        <v>157</v>
      </c>
      <c r="N5" s="25" t="s">
        <v>155</v>
      </c>
      <c r="O5" s="25" t="s">
        <v>14</v>
      </c>
      <c r="P5" s="25" t="s">
        <v>157</v>
      </c>
      <c r="Q5" s="25" t="s">
        <v>155</v>
      </c>
      <c r="R5" s="25" t="s">
        <v>14</v>
      </c>
      <c r="S5" s="25" t="s">
        <v>157</v>
      </c>
      <c r="T5" s="25" t="s">
        <v>155</v>
      </c>
      <c r="U5" s="25" t="s">
        <v>158</v>
      </c>
      <c r="V5" s="25" t="s">
        <v>159</v>
      </c>
      <c r="W5" s="25" t="s">
        <v>160</v>
      </c>
      <c r="X5" s="25" t="s">
        <v>20</v>
      </c>
      <c r="Y5" s="25" t="s">
        <v>16</v>
      </c>
      <c r="Z5" s="25" t="s">
        <v>14</v>
      </c>
      <c r="AA5" s="25" t="s">
        <v>155</v>
      </c>
      <c r="AB5" s="25" t="s">
        <v>20</v>
      </c>
      <c r="AC5" s="25" t="s">
        <v>16</v>
      </c>
      <c r="AD5" s="25" t="s">
        <v>14</v>
      </c>
      <c r="AE5" s="25" t="s">
        <v>155</v>
      </c>
      <c r="AF5" s="25" t="s">
        <v>20</v>
      </c>
      <c r="AG5" s="25" t="s">
        <v>16</v>
      </c>
      <c r="AH5" s="25" t="s">
        <v>14</v>
      </c>
      <c r="AI5" s="25" t="s">
        <v>155</v>
      </c>
      <c r="AJ5" s="25" t="s">
        <v>20</v>
      </c>
      <c r="AK5" s="25" t="s">
        <v>16</v>
      </c>
      <c r="AL5" s="25" t="s">
        <v>14</v>
      </c>
      <c r="AM5" s="25" t="s">
        <v>155</v>
      </c>
      <c r="AN5" s="25" t="s">
        <v>165</v>
      </c>
      <c r="AP5" s="7" t="s">
        <v>167</v>
      </c>
      <c r="AQ5" s="26">
        <f>IFERROR(_xlfn.AGGREGATE(15,6,(ROW($U$6:$U$237)-5)/($U$6:$U$237&gt;0),1),1)</f>
        <v>1</v>
      </c>
    </row>
    <row r="6" spans="1:43" x14ac:dyDescent="0.25">
      <c r="A6" s="26">
        <v>2026</v>
      </c>
      <c r="B6" s="26">
        <v>30</v>
      </c>
      <c r="C6" s="7" t="str">
        <f t="shared" ref="C6:C69" si="0">"KW "&amp;B6&amp;"/"&amp;RIGHT(A6,2)</f>
        <v>KW 30/26</v>
      </c>
      <c r="D6" s="26">
        <f>SUMIFS(Verlauf!$K$6:$K$1000,Verlauf!$B$6:$B$1000,$A6,Verlauf!$C$6:$C$1000,$B6)</f>
        <v>0</v>
      </c>
      <c r="E6" s="26">
        <f>SUMIFS(Verlauf!$L$6:$L$1000,Verlauf!$B$6:$B$1000,$A6,Verlauf!$C$6:$C$1000,$B6)</f>
        <v>0</v>
      </c>
      <c r="F6" s="26">
        <f>SUMIFS(Verlauf!$M$6:$M$1000,Verlauf!$B$6:$B$1000,$A6,Verlauf!$C$6:$C$1000,$B6)</f>
        <v>0</v>
      </c>
      <c r="G6" s="26">
        <f>SUMIFS(Verlauf!$J$6:$J$1000,Verlauf!$B$6:$B$1000,$A6,Verlauf!$C$6:$C$1000,$B6)</f>
        <v>0</v>
      </c>
      <c r="H6" s="26">
        <f>SUMIFS(Verlauf!$U$6:$U$1000,Verlauf!$B$6:$B$1000,$A6,Verlauf!$C$6:$C$1000,$B6)</f>
        <v>0</v>
      </c>
      <c r="I6" s="26">
        <f>SUMIFS(Verlauf!$V$6:$V$1000,Verlauf!$B$6:$B$1000,$A6,Verlauf!$C$6:$C$1000,$B6)</f>
        <v>0</v>
      </c>
      <c r="J6" s="26">
        <f>SUMIFS(Verlauf!$W$6:$W$1000,Verlauf!$B$6:$B$1000,$A6,Verlauf!$C$6:$C$1000,$B6)</f>
        <v>0</v>
      </c>
      <c r="K6" s="26">
        <f>SUMIFS(Verlauf!$T$6:$T$1000,Verlauf!$B$6:$B$1000,$A6,Verlauf!$C$6:$C$1000,$B6)</f>
        <v>0</v>
      </c>
      <c r="L6" s="27">
        <f>IF(Filter!$T$7=TRUE,IFERROR(INDEX(Planung!$D$68:$IA$68,MATCH($W6,Wirksam!$D$6:$IA$6,0)),0),0)</f>
        <v>0</v>
      </c>
      <c r="M6" s="27">
        <f>IF(OR(Filter!$T$5=TRUE,Filter!$T$6=TRUE),IFERROR(INDEX(Planung!$D$69:$IA$69,MATCH($W6,Wirksam!$D$6:$IA$6,0)),0),0)</f>
        <v>0</v>
      </c>
      <c r="N6" s="27">
        <f t="shared" ref="N6:N69" si="1">L6+M6</f>
        <v>0</v>
      </c>
      <c r="O6" s="27" t="e">
        <f t="shared" ref="O6:O69" si="2">IF(AND(L6&gt;0,U6&gt;0),J6/L6,NA())</f>
        <v>#N/A</v>
      </c>
      <c r="P6" s="27" t="e">
        <f t="shared" ref="P6:P69" si="3">IF(AND(M6&gt;0,U6&gt;0),(H6+I6)/M6,NA())</f>
        <v>#N/A</v>
      </c>
      <c r="Q6" s="27" t="e">
        <f t="shared" ref="Q6:Q69" si="4">IF(AND(N6&gt;0,U6&gt;0),K6/N6,NA())</f>
        <v>#N/A</v>
      </c>
      <c r="R6" s="27" t="e">
        <f t="shared" ref="R6:R69" si="5">IF(AND(L6&gt;0,U6&gt;0),F6/L6,NA())</f>
        <v>#N/A</v>
      </c>
      <c r="S6" s="27" t="e">
        <f t="shared" ref="S6:S69" si="6">IF(AND(M6&gt;0,U6&gt;0),(D6+E6)/M6,NA())</f>
        <v>#N/A</v>
      </c>
      <c r="T6" s="27" t="e">
        <f t="shared" ref="T6:T69" si="7">IF(AND(N6&gt;0,U6&gt;0),G6/N6,NA())</f>
        <v>#N/A</v>
      </c>
      <c r="U6" s="26">
        <f>COUNTIFS(Verlauf!$B$6:$B$1000,$A6,Verlauf!$C$6:$C$1000,$B6)</f>
        <v>0</v>
      </c>
      <c r="V6" s="26">
        <f t="shared" ref="V6:V69" si="8">IF(OR(U6&gt;0,N6&gt;0),1,0)</f>
        <v>0</v>
      </c>
      <c r="W6" s="26">
        <f t="shared" ref="W6:W69" si="9">A6*100+B6</f>
        <v>202630</v>
      </c>
      <c r="X6" s="26">
        <f>SUMIFS(Verlauf!$X$6:$X$1000,Verlauf!$B$6:$B$1000,$A6,Verlauf!$C$6:$C$1000,$B6)</f>
        <v>0</v>
      </c>
      <c r="Y6" s="26">
        <f>SUMIFS(Verlauf!$Y$6:$Y$1000,Verlauf!$B$6:$B$1000,$A6,Verlauf!$C$6:$C$1000,$B6)</f>
        <v>0</v>
      </c>
      <c r="Z6" s="26">
        <f>SUMIFS(Verlauf!$Z$6:$Z$1000,Verlauf!$B$6:$B$1000,$A6,Verlauf!$C$6:$C$1000,$B6)</f>
        <v>0</v>
      </c>
      <c r="AA6" s="26">
        <f>SUMIFS(Verlauf!$I$6:$I$1000,Verlauf!$B$6:$B$1000,$A6,Verlauf!$C$6:$C$1000,$B6)</f>
        <v>0</v>
      </c>
      <c r="AB6" s="26">
        <f>SUMIFS(Verlauf!$AA$6:$AA$1000,Verlauf!$B$6:$B$1000,$A6,Verlauf!$C$6:$C$1000,$B6)</f>
        <v>0</v>
      </c>
      <c r="AC6" s="26">
        <f>SUMIFS(Verlauf!$AB$6:$AB$1000,Verlauf!$B$6:$B$1000,$A6,Verlauf!$C$6:$C$1000,$B6)</f>
        <v>0</v>
      </c>
      <c r="AD6" s="26">
        <f>SUMIFS(Verlauf!$AC$6:$AC$1000,Verlauf!$B$6:$B$1000,$A6,Verlauf!$C$6:$C$1000,$B6)</f>
        <v>0</v>
      </c>
      <c r="AE6" s="26">
        <f>SUMIFS(Verlauf!$S$6:$S$1000,Verlauf!$B$6:$B$1000,$A6,Verlauf!$C$6:$C$1000,$B6)</f>
        <v>0</v>
      </c>
      <c r="AF6" s="26" t="str">
        <f>IF($AN6="","",INDEX(Verlauf!$D$6:$D$1000,MATCH($AN6,Verlauf!$A$6:$A$1000,0)))</f>
        <v/>
      </c>
      <c r="AG6" s="26" t="str">
        <f>IF($AN6="","",INDEX(Verlauf!$E$6:$E$1000,MATCH($AN6,Verlauf!$A$6:$A$1000,0)))</f>
        <v/>
      </c>
      <c r="AH6" s="26" t="str">
        <f>IF($AN6="","",INDEX(Verlauf!$F$6:$F$1000,MATCH($AN6,Verlauf!$A$6:$A$1000,0)))</f>
        <v/>
      </c>
      <c r="AI6" s="26" t="str">
        <f>IF($AN6="","",INDEX(Verlauf!$H$6:$H$1000,MATCH($AN6,Verlauf!$A$6:$A$1000,0)))</f>
        <v/>
      </c>
      <c r="AJ6" s="26" t="str">
        <f>IF($AN6="","",INDEX(Verlauf!$N$6:$N$1000,MATCH($AN6,Verlauf!$A$6:$A$1000,0)))</f>
        <v/>
      </c>
      <c r="AK6" s="26" t="str">
        <f>IF($AN6="","",INDEX(Verlauf!$O$6:$O$1000,MATCH($AN6,Verlauf!$A$6:$A$1000,0)))</f>
        <v/>
      </c>
      <c r="AL6" s="26" t="str">
        <f>IF($AN6="","",INDEX(Verlauf!$P$6:$P$1000,MATCH($AN6,Verlauf!$A$6:$A$1000,0)))</f>
        <v/>
      </c>
      <c r="AM6" s="26" t="str">
        <f>IF($AN6="","",INDEX(Verlauf!$R$6:$R$1000,MATCH($AN6,Verlauf!$A$6:$A$1000,0)))</f>
        <v/>
      </c>
      <c r="AN6" s="28" t="str">
        <f>IF(U6&gt;0,_xlfn.MAXIFS(Verlauf!$A$6:$A$1000,Verlauf!$B$6:$B$1000,$A6,Verlauf!$C$6:$C$1000,$B6),"")</f>
        <v/>
      </c>
      <c r="AP6" s="7" t="s">
        <v>168</v>
      </c>
      <c r="AQ6" s="26">
        <f>IFERROR(_xlfn.AGGREGATE(14,6,(ROW($U$6:$U$237)-5)/($U$6:$U$237&gt;0),1),1)</f>
        <v>1</v>
      </c>
    </row>
    <row r="7" spans="1:43" x14ac:dyDescent="0.25">
      <c r="A7" s="26">
        <v>2026</v>
      </c>
      <c r="B7" s="26">
        <v>31</v>
      </c>
      <c r="C7" s="7" t="str">
        <f t="shared" si="0"/>
        <v>KW 31/26</v>
      </c>
      <c r="D7" s="26">
        <f>SUMIFS(Verlauf!$K$6:$K$1000,Verlauf!$B$6:$B$1000,$A7,Verlauf!$C$6:$C$1000,$B7)</f>
        <v>0</v>
      </c>
      <c r="E7" s="26">
        <f>SUMIFS(Verlauf!$L$6:$L$1000,Verlauf!$B$6:$B$1000,$A7,Verlauf!$C$6:$C$1000,$B7)</f>
        <v>0</v>
      </c>
      <c r="F7" s="26">
        <f>SUMIFS(Verlauf!$M$6:$M$1000,Verlauf!$B$6:$B$1000,$A7,Verlauf!$C$6:$C$1000,$B7)</f>
        <v>0</v>
      </c>
      <c r="G7" s="26">
        <f>SUMIFS(Verlauf!$J$6:$J$1000,Verlauf!$B$6:$B$1000,$A7,Verlauf!$C$6:$C$1000,$B7)</f>
        <v>0</v>
      </c>
      <c r="H7" s="26">
        <f>SUMIFS(Verlauf!$U$6:$U$1000,Verlauf!$B$6:$B$1000,$A7,Verlauf!$C$6:$C$1000,$B7)</f>
        <v>0</v>
      </c>
      <c r="I7" s="26">
        <f>SUMIFS(Verlauf!$V$6:$V$1000,Verlauf!$B$6:$B$1000,$A7,Verlauf!$C$6:$C$1000,$B7)</f>
        <v>0</v>
      </c>
      <c r="J7" s="26">
        <f>SUMIFS(Verlauf!$W$6:$W$1000,Verlauf!$B$6:$B$1000,$A7,Verlauf!$C$6:$C$1000,$B7)</f>
        <v>0</v>
      </c>
      <c r="K7" s="26">
        <f>SUMIFS(Verlauf!$T$6:$T$1000,Verlauf!$B$6:$B$1000,$A7,Verlauf!$C$6:$C$1000,$B7)</f>
        <v>0</v>
      </c>
      <c r="L7" s="27">
        <f>IF(Filter!$T$7=TRUE,IFERROR(INDEX(Planung!$D$68:$IA$68,MATCH($W7,Wirksam!$D$6:$IA$6,0)),0),0)</f>
        <v>0</v>
      </c>
      <c r="M7" s="27">
        <f>IF(OR(Filter!$T$5=TRUE,Filter!$T$6=TRUE),IFERROR(INDEX(Planung!$D$69:$IA$69,MATCH($W7,Wirksam!$D$6:$IA$6,0)),0),0)</f>
        <v>0</v>
      </c>
      <c r="N7" s="27">
        <f t="shared" si="1"/>
        <v>0</v>
      </c>
      <c r="O7" s="27" t="e">
        <f t="shared" si="2"/>
        <v>#N/A</v>
      </c>
      <c r="P7" s="27" t="e">
        <f t="shared" si="3"/>
        <v>#N/A</v>
      </c>
      <c r="Q7" s="27" t="e">
        <f t="shared" si="4"/>
        <v>#N/A</v>
      </c>
      <c r="R7" s="27" t="e">
        <f t="shared" si="5"/>
        <v>#N/A</v>
      </c>
      <c r="S7" s="27" t="e">
        <f t="shared" si="6"/>
        <v>#N/A</v>
      </c>
      <c r="T7" s="27" t="e">
        <f t="shared" si="7"/>
        <v>#N/A</v>
      </c>
      <c r="U7" s="26">
        <f>COUNTIFS(Verlauf!$B$6:$B$1000,$A7,Verlauf!$C$6:$C$1000,$B7)</f>
        <v>0</v>
      </c>
      <c r="V7" s="26">
        <f t="shared" si="8"/>
        <v>0</v>
      </c>
      <c r="W7" s="26">
        <f t="shared" si="9"/>
        <v>202631</v>
      </c>
      <c r="X7" s="26">
        <f>SUMIFS(Verlauf!$X$6:$X$1000,Verlauf!$B$6:$B$1000,$A7,Verlauf!$C$6:$C$1000,$B7)</f>
        <v>0</v>
      </c>
      <c r="Y7" s="26">
        <f>SUMIFS(Verlauf!$Y$6:$Y$1000,Verlauf!$B$6:$B$1000,$A7,Verlauf!$C$6:$C$1000,$B7)</f>
        <v>0</v>
      </c>
      <c r="Z7" s="26">
        <f>SUMIFS(Verlauf!$Z$6:$Z$1000,Verlauf!$B$6:$B$1000,$A7,Verlauf!$C$6:$C$1000,$B7)</f>
        <v>0</v>
      </c>
      <c r="AA7" s="26">
        <f>SUMIFS(Verlauf!$I$6:$I$1000,Verlauf!$B$6:$B$1000,$A7,Verlauf!$C$6:$C$1000,$B7)</f>
        <v>0</v>
      </c>
      <c r="AB7" s="26">
        <f>SUMIFS(Verlauf!$AA$6:$AA$1000,Verlauf!$B$6:$B$1000,$A7,Verlauf!$C$6:$C$1000,$B7)</f>
        <v>0</v>
      </c>
      <c r="AC7" s="26">
        <f>SUMIFS(Verlauf!$AB$6:$AB$1000,Verlauf!$B$6:$B$1000,$A7,Verlauf!$C$6:$C$1000,$B7)</f>
        <v>0</v>
      </c>
      <c r="AD7" s="26">
        <f>SUMIFS(Verlauf!$AC$6:$AC$1000,Verlauf!$B$6:$B$1000,$A7,Verlauf!$C$6:$C$1000,$B7)</f>
        <v>0</v>
      </c>
      <c r="AE7" s="26">
        <f>SUMIFS(Verlauf!$S$6:$S$1000,Verlauf!$B$6:$B$1000,$A7,Verlauf!$C$6:$C$1000,$B7)</f>
        <v>0</v>
      </c>
      <c r="AF7" s="26" t="str">
        <f>IF($AN7="","",INDEX(Verlauf!$D$6:$D$1000,MATCH($AN7,Verlauf!$A$6:$A$1000,0)))</f>
        <v/>
      </c>
      <c r="AG7" s="26" t="str">
        <f>IF($AN7="","",INDEX(Verlauf!$E$6:$E$1000,MATCH($AN7,Verlauf!$A$6:$A$1000,0)))</f>
        <v/>
      </c>
      <c r="AH7" s="26" t="str">
        <f>IF($AN7="","",INDEX(Verlauf!$F$6:$F$1000,MATCH($AN7,Verlauf!$A$6:$A$1000,0)))</f>
        <v/>
      </c>
      <c r="AI7" s="26" t="str">
        <f>IF($AN7="","",INDEX(Verlauf!$H$6:$H$1000,MATCH($AN7,Verlauf!$A$6:$A$1000,0)))</f>
        <v/>
      </c>
      <c r="AJ7" s="26" t="str">
        <f>IF($AN7="","",INDEX(Verlauf!$N$6:$N$1000,MATCH($AN7,Verlauf!$A$6:$A$1000,0)))</f>
        <v/>
      </c>
      <c r="AK7" s="26" t="str">
        <f>IF($AN7="","",INDEX(Verlauf!$O$6:$O$1000,MATCH($AN7,Verlauf!$A$6:$A$1000,0)))</f>
        <v/>
      </c>
      <c r="AL7" s="26" t="str">
        <f>IF($AN7="","",INDEX(Verlauf!$P$6:$P$1000,MATCH($AN7,Verlauf!$A$6:$A$1000,0)))</f>
        <v/>
      </c>
      <c r="AM7" s="26" t="str">
        <f>IF($AN7="","",INDEX(Verlauf!$R$6:$R$1000,MATCH($AN7,Verlauf!$A$6:$A$1000,0)))</f>
        <v/>
      </c>
      <c r="AN7" s="28" t="str">
        <f>IF(U7&gt;0,_xlfn.MAXIFS(Verlauf!$A$6:$A$1000,Verlauf!$B$6:$B$1000,$A7,Verlauf!$C$6:$C$1000,$B7),"")</f>
        <v/>
      </c>
      <c r="AP7" s="7" t="s">
        <v>169</v>
      </c>
      <c r="AQ7" s="26">
        <f>IFERROR(_xlfn.AGGREGATE(15,6,(ROW($V$6:$V$237)-5)/($V$6:$V$237=1),1),1)</f>
        <v>1</v>
      </c>
    </row>
    <row r="8" spans="1:43" x14ac:dyDescent="0.25">
      <c r="A8" s="26">
        <v>2026</v>
      </c>
      <c r="B8" s="26">
        <v>32</v>
      </c>
      <c r="C8" s="7" t="str">
        <f t="shared" si="0"/>
        <v>KW 32/26</v>
      </c>
      <c r="D8" s="26">
        <f>SUMIFS(Verlauf!$K$6:$K$1000,Verlauf!$B$6:$B$1000,$A8,Verlauf!$C$6:$C$1000,$B8)</f>
        <v>0</v>
      </c>
      <c r="E8" s="26">
        <f>SUMIFS(Verlauf!$L$6:$L$1000,Verlauf!$B$6:$B$1000,$A8,Verlauf!$C$6:$C$1000,$B8)</f>
        <v>0</v>
      </c>
      <c r="F8" s="26">
        <f>SUMIFS(Verlauf!$M$6:$M$1000,Verlauf!$B$6:$B$1000,$A8,Verlauf!$C$6:$C$1000,$B8)</f>
        <v>0</v>
      </c>
      <c r="G8" s="26">
        <f>SUMIFS(Verlauf!$J$6:$J$1000,Verlauf!$B$6:$B$1000,$A8,Verlauf!$C$6:$C$1000,$B8)</f>
        <v>0</v>
      </c>
      <c r="H8" s="26">
        <f>SUMIFS(Verlauf!$U$6:$U$1000,Verlauf!$B$6:$B$1000,$A8,Verlauf!$C$6:$C$1000,$B8)</f>
        <v>0</v>
      </c>
      <c r="I8" s="26">
        <f>SUMIFS(Verlauf!$V$6:$V$1000,Verlauf!$B$6:$B$1000,$A8,Verlauf!$C$6:$C$1000,$B8)</f>
        <v>0</v>
      </c>
      <c r="J8" s="26">
        <f>SUMIFS(Verlauf!$W$6:$W$1000,Verlauf!$B$6:$B$1000,$A8,Verlauf!$C$6:$C$1000,$B8)</f>
        <v>0</v>
      </c>
      <c r="K8" s="26">
        <f>SUMIFS(Verlauf!$T$6:$T$1000,Verlauf!$B$6:$B$1000,$A8,Verlauf!$C$6:$C$1000,$B8)</f>
        <v>0</v>
      </c>
      <c r="L8" s="27">
        <f>IF(Filter!$T$7=TRUE,IFERROR(INDEX(Planung!$D$68:$IA$68,MATCH($W8,Wirksam!$D$6:$IA$6,0)),0),0)</f>
        <v>0</v>
      </c>
      <c r="M8" s="27">
        <f>IF(OR(Filter!$T$5=TRUE,Filter!$T$6=TRUE),IFERROR(INDEX(Planung!$D$69:$IA$69,MATCH($W8,Wirksam!$D$6:$IA$6,0)),0),0)</f>
        <v>0</v>
      </c>
      <c r="N8" s="27">
        <f t="shared" si="1"/>
        <v>0</v>
      </c>
      <c r="O8" s="27" t="e">
        <f t="shared" si="2"/>
        <v>#N/A</v>
      </c>
      <c r="P8" s="27" t="e">
        <f t="shared" si="3"/>
        <v>#N/A</v>
      </c>
      <c r="Q8" s="27" t="e">
        <f t="shared" si="4"/>
        <v>#N/A</v>
      </c>
      <c r="R8" s="27" t="e">
        <f t="shared" si="5"/>
        <v>#N/A</v>
      </c>
      <c r="S8" s="27" t="e">
        <f t="shared" si="6"/>
        <v>#N/A</v>
      </c>
      <c r="T8" s="27" t="e">
        <f t="shared" si="7"/>
        <v>#N/A</v>
      </c>
      <c r="U8" s="26">
        <f>COUNTIFS(Verlauf!$B$6:$B$1000,$A8,Verlauf!$C$6:$C$1000,$B8)</f>
        <v>0</v>
      </c>
      <c r="V8" s="26">
        <f t="shared" si="8"/>
        <v>0</v>
      </c>
      <c r="W8" s="26">
        <f t="shared" si="9"/>
        <v>202632</v>
      </c>
      <c r="X8" s="26">
        <f>SUMIFS(Verlauf!$X$6:$X$1000,Verlauf!$B$6:$B$1000,$A8,Verlauf!$C$6:$C$1000,$B8)</f>
        <v>0</v>
      </c>
      <c r="Y8" s="26">
        <f>SUMIFS(Verlauf!$Y$6:$Y$1000,Verlauf!$B$6:$B$1000,$A8,Verlauf!$C$6:$C$1000,$B8)</f>
        <v>0</v>
      </c>
      <c r="Z8" s="26">
        <f>SUMIFS(Verlauf!$Z$6:$Z$1000,Verlauf!$B$6:$B$1000,$A8,Verlauf!$C$6:$C$1000,$B8)</f>
        <v>0</v>
      </c>
      <c r="AA8" s="26">
        <f>SUMIFS(Verlauf!$I$6:$I$1000,Verlauf!$B$6:$B$1000,$A8,Verlauf!$C$6:$C$1000,$B8)</f>
        <v>0</v>
      </c>
      <c r="AB8" s="26">
        <f>SUMIFS(Verlauf!$AA$6:$AA$1000,Verlauf!$B$6:$B$1000,$A8,Verlauf!$C$6:$C$1000,$B8)</f>
        <v>0</v>
      </c>
      <c r="AC8" s="26">
        <f>SUMIFS(Verlauf!$AB$6:$AB$1000,Verlauf!$B$6:$B$1000,$A8,Verlauf!$C$6:$C$1000,$B8)</f>
        <v>0</v>
      </c>
      <c r="AD8" s="26">
        <f>SUMIFS(Verlauf!$AC$6:$AC$1000,Verlauf!$B$6:$B$1000,$A8,Verlauf!$C$6:$C$1000,$B8)</f>
        <v>0</v>
      </c>
      <c r="AE8" s="26">
        <f>SUMIFS(Verlauf!$S$6:$S$1000,Verlauf!$B$6:$B$1000,$A8,Verlauf!$C$6:$C$1000,$B8)</f>
        <v>0</v>
      </c>
      <c r="AF8" s="26" t="str">
        <f>IF($AN8="","",INDEX(Verlauf!$D$6:$D$1000,MATCH($AN8,Verlauf!$A$6:$A$1000,0)))</f>
        <v/>
      </c>
      <c r="AG8" s="26" t="str">
        <f>IF($AN8="","",INDEX(Verlauf!$E$6:$E$1000,MATCH($AN8,Verlauf!$A$6:$A$1000,0)))</f>
        <v/>
      </c>
      <c r="AH8" s="26" t="str">
        <f>IF($AN8="","",INDEX(Verlauf!$F$6:$F$1000,MATCH($AN8,Verlauf!$A$6:$A$1000,0)))</f>
        <v/>
      </c>
      <c r="AI8" s="26" t="str">
        <f>IF($AN8="","",INDEX(Verlauf!$H$6:$H$1000,MATCH($AN8,Verlauf!$A$6:$A$1000,0)))</f>
        <v/>
      </c>
      <c r="AJ8" s="26" t="str">
        <f>IF($AN8="","",INDEX(Verlauf!$N$6:$N$1000,MATCH($AN8,Verlauf!$A$6:$A$1000,0)))</f>
        <v/>
      </c>
      <c r="AK8" s="26" t="str">
        <f>IF($AN8="","",INDEX(Verlauf!$O$6:$O$1000,MATCH($AN8,Verlauf!$A$6:$A$1000,0)))</f>
        <v/>
      </c>
      <c r="AL8" s="26" t="str">
        <f>IF($AN8="","",INDEX(Verlauf!$P$6:$P$1000,MATCH($AN8,Verlauf!$A$6:$A$1000,0)))</f>
        <v/>
      </c>
      <c r="AM8" s="26" t="str">
        <f>IF($AN8="","",INDEX(Verlauf!$R$6:$R$1000,MATCH($AN8,Verlauf!$A$6:$A$1000,0)))</f>
        <v/>
      </c>
      <c r="AN8" s="28" t="str">
        <f>IF(U8&gt;0,_xlfn.MAXIFS(Verlauf!$A$6:$A$1000,Verlauf!$B$6:$B$1000,$A8,Verlauf!$C$6:$C$1000,$B8),"")</f>
        <v/>
      </c>
      <c r="AP8" s="7" t="s">
        <v>170</v>
      </c>
      <c r="AQ8" s="26">
        <f>IFERROR(_xlfn.AGGREGATE(14,6,(ROW($V$6:$V$237)-5)/($V$6:$V$237=1),1),1)</f>
        <v>1</v>
      </c>
    </row>
    <row r="9" spans="1:43" x14ac:dyDescent="0.25">
      <c r="A9" s="26">
        <v>2026</v>
      </c>
      <c r="B9" s="26">
        <v>33</v>
      </c>
      <c r="C9" s="7" t="str">
        <f t="shared" si="0"/>
        <v>KW 33/26</v>
      </c>
      <c r="D9" s="26">
        <f>SUMIFS(Verlauf!$K$6:$K$1000,Verlauf!$B$6:$B$1000,$A9,Verlauf!$C$6:$C$1000,$B9)</f>
        <v>0</v>
      </c>
      <c r="E9" s="26">
        <f>SUMIFS(Verlauf!$L$6:$L$1000,Verlauf!$B$6:$B$1000,$A9,Verlauf!$C$6:$C$1000,$B9)</f>
        <v>0</v>
      </c>
      <c r="F9" s="26">
        <f>SUMIFS(Verlauf!$M$6:$M$1000,Verlauf!$B$6:$B$1000,$A9,Verlauf!$C$6:$C$1000,$B9)</f>
        <v>0</v>
      </c>
      <c r="G9" s="26">
        <f>SUMIFS(Verlauf!$J$6:$J$1000,Verlauf!$B$6:$B$1000,$A9,Verlauf!$C$6:$C$1000,$B9)</f>
        <v>0</v>
      </c>
      <c r="H9" s="26">
        <f>SUMIFS(Verlauf!$U$6:$U$1000,Verlauf!$B$6:$B$1000,$A9,Verlauf!$C$6:$C$1000,$B9)</f>
        <v>0</v>
      </c>
      <c r="I9" s="26">
        <f>SUMIFS(Verlauf!$V$6:$V$1000,Verlauf!$B$6:$B$1000,$A9,Verlauf!$C$6:$C$1000,$B9)</f>
        <v>0</v>
      </c>
      <c r="J9" s="26">
        <f>SUMIFS(Verlauf!$W$6:$W$1000,Verlauf!$B$6:$B$1000,$A9,Verlauf!$C$6:$C$1000,$B9)</f>
        <v>0</v>
      </c>
      <c r="K9" s="26">
        <f>SUMIFS(Verlauf!$T$6:$T$1000,Verlauf!$B$6:$B$1000,$A9,Verlauf!$C$6:$C$1000,$B9)</f>
        <v>0</v>
      </c>
      <c r="L9" s="27">
        <f>IF(Filter!$T$7=TRUE,IFERROR(INDEX(Planung!$D$68:$IA$68,MATCH($W9,Wirksam!$D$6:$IA$6,0)),0),0)</f>
        <v>0</v>
      </c>
      <c r="M9" s="27">
        <f>IF(OR(Filter!$T$5=TRUE,Filter!$T$6=TRUE),IFERROR(INDEX(Planung!$D$69:$IA$69,MATCH($W9,Wirksam!$D$6:$IA$6,0)),0),0)</f>
        <v>0</v>
      </c>
      <c r="N9" s="27">
        <f t="shared" si="1"/>
        <v>0</v>
      </c>
      <c r="O9" s="27" t="e">
        <f t="shared" si="2"/>
        <v>#N/A</v>
      </c>
      <c r="P9" s="27" t="e">
        <f t="shared" si="3"/>
        <v>#N/A</v>
      </c>
      <c r="Q9" s="27" t="e">
        <f t="shared" si="4"/>
        <v>#N/A</v>
      </c>
      <c r="R9" s="27" t="e">
        <f t="shared" si="5"/>
        <v>#N/A</v>
      </c>
      <c r="S9" s="27" t="e">
        <f t="shared" si="6"/>
        <v>#N/A</v>
      </c>
      <c r="T9" s="27" t="e">
        <f t="shared" si="7"/>
        <v>#N/A</v>
      </c>
      <c r="U9" s="26">
        <f>COUNTIFS(Verlauf!$B$6:$B$1000,$A9,Verlauf!$C$6:$C$1000,$B9)</f>
        <v>0</v>
      </c>
      <c r="V9" s="26">
        <f t="shared" si="8"/>
        <v>0</v>
      </c>
      <c r="W9" s="26">
        <f t="shared" si="9"/>
        <v>202633</v>
      </c>
      <c r="X9" s="26">
        <f>SUMIFS(Verlauf!$X$6:$X$1000,Verlauf!$B$6:$B$1000,$A9,Verlauf!$C$6:$C$1000,$B9)</f>
        <v>0</v>
      </c>
      <c r="Y9" s="26">
        <f>SUMIFS(Verlauf!$Y$6:$Y$1000,Verlauf!$B$6:$B$1000,$A9,Verlauf!$C$6:$C$1000,$B9)</f>
        <v>0</v>
      </c>
      <c r="Z9" s="26">
        <f>SUMIFS(Verlauf!$Z$6:$Z$1000,Verlauf!$B$6:$B$1000,$A9,Verlauf!$C$6:$C$1000,$B9)</f>
        <v>0</v>
      </c>
      <c r="AA9" s="26">
        <f>SUMIFS(Verlauf!$I$6:$I$1000,Verlauf!$B$6:$B$1000,$A9,Verlauf!$C$6:$C$1000,$B9)</f>
        <v>0</v>
      </c>
      <c r="AB9" s="26">
        <f>SUMIFS(Verlauf!$AA$6:$AA$1000,Verlauf!$B$6:$B$1000,$A9,Verlauf!$C$6:$C$1000,$B9)</f>
        <v>0</v>
      </c>
      <c r="AC9" s="26">
        <f>SUMIFS(Verlauf!$AB$6:$AB$1000,Verlauf!$B$6:$B$1000,$A9,Verlauf!$C$6:$C$1000,$B9)</f>
        <v>0</v>
      </c>
      <c r="AD9" s="26">
        <f>SUMIFS(Verlauf!$AC$6:$AC$1000,Verlauf!$B$6:$B$1000,$A9,Verlauf!$C$6:$C$1000,$B9)</f>
        <v>0</v>
      </c>
      <c r="AE9" s="26">
        <f>SUMIFS(Verlauf!$S$6:$S$1000,Verlauf!$B$6:$B$1000,$A9,Verlauf!$C$6:$C$1000,$B9)</f>
        <v>0</v>
      </c>
      <c r="AF9" s="26" t="str">
        <f>IF($AN9="","",INDEX(Verlauf!$D$6:$D$1000,MATCH($AN9,Verlauf!$A$6:$A$1000,0)))</f>
        <v/>
      </c>
      <c r="AG9" s="26" t="str">
        <f>IF($AN9="","",INDEX(Verlauf!$E$6:$E$1000,MATCH($AN9,Verlauf!$A$6:$A$1000,0)))</f>
        <v/>
      </c>
      <c r="AH9" s="26" t="str">
        <f>IF($AN9="","",INDEX(Verlauf!$F$6:$F$1000,MATCH($AN9,Verlauf!$A$6:$A$1000,0)))</f>
        <v/>
      </c>
      <c r="AI9" s="26" t="str">
        <f>IF($AN9="","",INDEX(Verlauf!$H$6:$H$1000,MATCH($AN9,Verlauf!$A$6:$A$1000,0)))</f>
        <v/>
      </c>
      <c r="AJ9" s="26" t="str">
        <f>IF($AN9="","",INDEX(Verlauf!$N$6:$N$1000,MATCH($AN9,Verlauf!$A$6:$A$1000,0)))</f>
        <v/>
      </c>
      <c r="AK9" s="26" t="str">
        <f>IF($AN9="","",INDEX(Verlauf!$O$6:$O$1000,MATCH($AN9,Verlauf!$A$6:$A$1000,0)))</f>
        <v/>
      </c>
      <c r="AL9" s="26" t="str">
        <f>IF($AN9="","",INDEX(Verlauf!$P$6:$P$1000,MATCH($AN9,Verlauf!$A$6:$A$1000,0)))</f>
        <v/>
      </c>
      <c r="AM9" s="26" t="str">
        <f>IF($AN9="","",INDEX(Verlauf!$R$6:$R$1000,MATCH($AN9,Verlauf!$A$6:$A$1000,0)))</f>
        <v/>
      </c>
      <c r="AN9" s="28" t="str">
        <f>IF(U9&gt;0,_xlfn.MAXIFS(Verlauf!$A$6:$A$1000,Verlauf!$B$6:$B$1000,$A9,Verlauf!$C$6:$C$1000,$B9),"")</f>
        <v/>
      </c>
    </row>
    <row r="10" spans="1:43" x14ac:dyDescent="0.25">
      <c r="A10" s="26">
        <v>2026</v>
      </c>
      <c r="B10" s="26">
        <v>34</v>
      </c>
      <c r="C10" s="7" t="str">
        <f t="shared" si="0"/>
        <v>KW 34/26</v>
      </c>
      <c r="D10" s="26">
        <f>SUMIFS(Verlauf!$K$6:$K$1000,Verlauf!$B$6:$B$1000,$A10,Verlauf!$C$6:$C$1000,$B10)</f>
        <v>0</v>
      </c>
      <c r="E10" s="26">
        <f>SUMIFS(Verlauf!$L$6:$L$1000,Verlauf!$B$6:$B$1000,$A10,Verlauf!$C$6:$C$1000,$B10)</f>
        <v>0</v>
      </c>
      <c r="F10" s="26">
        <f>SUMIFS(Verlauf!$M$6:$M$1000,Verlauf!$B$6:$B$1000,$A10,Verlauf!$C$6:$C$1000,$B10)</f>
        <v>0</v>
      </c>
      <c r="G10" s="26">
        <f>SUMIFS(Verlauf!$J$6:$J$1000,Verlauf!$B$6:$B$1000,$A10,Verlauf!$C$6:$C$1000,$B10)</f>
        <v>0</v>
      </c>
      <c r="H10" s="26">
        <f>SUMIFS(Verlauf!$U$6:$U$1000,Verlauf!$B$6:$B$1000,$A10,Verlauf!$C$6:$C$1000,$B10)</f>
        <v>0</v>
      </c>
      <c r="I10" s="26">
        <f>SUMIFS(Verlauf!$V$6:$V$1000,Verlauf!$B$6:$B$1000,$A10,Verlauf!$C$6:$C$1000,$B10)</f>
        <v>0</v>
      </c>
      <c r="J10" s="26">
        <f>SUMIFS(Verlauf!$W$6:$W$1000,Verlauf!$B$6:$B$1000,$A10,Verlauf!$C$6:$C$1000,$B10)</f>
        <v>0</v>
      </c>
      <c r="K10" s="26">
        <f>SUMIFS(Verlauf!$T$6:$T$1000,Verlauf!$B$6:$B$1000,$A10,Verlauf!$C$6:$C$1000,$B10)</f>
        <v>0</v>
      </c>
      <c r="L10" s="27">
        <f>IF(Filter!$T$7=TRUE,IFERROR(INDEX(Planung!$D$68:$IA$68,MATCH($W10,Wirksam!$D$6:$IA$6,0)),0),0)</f>
        <v>0</v>
      </c>
      <c r="M10" s="27">
        <f>IF(OR(Filter!$T$5=TRUE,Filter!$T$6=TRUE),IFERROR(INDEX(Planung!$D$69:$IA$69,MATCH($W10,Wirksam!$D$6:$IA$6,0)),0),0)</f>
        <v>0</v>
      </c>
      <c r="N10" s="27">
        <f t="shared" si="1"/>
        <v>0</v>
      </c>
      <c r="O10" s="27" t="e">
        <f t="shared" si="2"/>
        <v>#N/A</v>
      </c>
      <c r="P10" s="27" t="e">
        <f t="shared" si="3"/>
        <v>#N/A</v>
      </c>
      <c r="Q10" s="27" t="e">
        <f t="shared" si="4"/>
        <v>#N/A</v>
      </c>
      <c r="R10" s="27" t="e">
        <f t="shared" si="5"/>
        <v>#N/A</v>
      </c>
      <c r="S10" s="27" t="e">
        <f t="shared" si="6"/>
        <v>#N/A</v>
      </c>
      <c r="T10" s="27" t="e">
        <f t="shared" si="7"/>
        <v>#N/A</v>
      </c>
      <c r="U10" s="26">
        <f>COUNTIFS(Verlauf!$B$6:$B$1000,$A10,Verlauf!$C$6:$C$1000,$B10)</f>
        <v>0</v>
      </c>
      <c r="V10" s="26">
        <f t="shared" si="8"/>
        <v>0</v>
      </c>
      <c r="W10" s="26">
        <f t="shared" si="9"/>
        <v>202634</v>
      </c>
      <c r="X10" s="26">
        <f>SUMIFS(Verlauf!$X$6:$X$1000,Verlauf!$B$6:$B$1000,$A10,Verlauf!$C$6:$C$1000,$B10)</f>
        <v>0</v>
      </c>
      <c r="Y10" s="26">
        <f>SUMIFS(Verlauf!$Y$6:$Y$1000,Verlauf!$B$6:$B$1000,$A10,Verlauf!$C$6:$C$1000,$B10)</f>
        <v>0</v>
      </c>
      <c r="Z10" s="26">
        <f>SUMIFS(Verlauf!$Z$6:$Z$1000,Verlauf!$B$6:$B$1000,$A10,Verlauf!$C$6:$C$1000,$B10)</f>
        <v>0</v>
      </c>
      <c r="AA10" s="26">
        <f>SUMIFS(Verlauf!$I$6:$I$1000,Verlauf!$B$6:$B$1000,$A10,Verlauf!$C$6:$C$1000,$B10)</f>
        <v>0</v>
      </c>
      <c r="AB10" s="26">
        <f>SUMIFS(Verlauf!$AA$6:$AA$1000,Verlauf!$B$6:$B$1000,$A10,Verlauf!$C$6:$C$1000,$B10)</f>
        <v>0</v>
      </c>
      <c r="AC10" s="26">
        <f>SUMIFS(Verlauf!$AB$6:$AB$1000,Verlauf!$B$6:$B$1000,$A10,Verlauf!$C$6:$C$1000,$B10)</f>
        <v>0</v>
      </c>
      <c r="AD10" s="26">
        <f>SUMIFS(Verlauf!$AC$6:$AC$1000,Verlauf!$B$6:$B$1000,$A10,Verlauf!$C$6:$C$1000,$B10)</f>
        <v>0</v>
      </c>
      <c r="AE10" s="26">
        <f>SUMIFS(Verlauf!$S$6:$S$1000,Verlauf!$B$6:$B$1000,$A10,Verlauf!$C$6:$C$1000,$B10)</f>
        <v>0</v>
      </c>
      <c r="AF10" s="26" t="str">
        <f>IF($AN10="","",INDEX(Verlauf!$D$6:$D$1000,MATCH($AN10,Verlauf!$A$6:$A$1000,0)))</f>
        <v/>
      </c>
      <c r="AG10" s="26" t="str">
        <f>IF($AN10="","",INDEX(Verlauf!$E$6:$E$1000,MATCH($AN10,Verlauf!$A$6:$A$1000,0)))</f>
        <v/>
      </c>
      <c r="AH10" s="26" t="str">
        <f>IF($AN10="","",INDEX(Verlauf!$F$6:$F$1000,MATCH($AN10,Verlauf!$A$6:$A$1000,0)))</f>
        <v/>
      </c>
      <c r="AI10" s="26" t="str">
        <f>IF($AN10="","",INDEX(Verlauf!$H$6:$H$1000,MATCH($AN10,Verlauf!$A$6:$A$1000,0)))</f>
        <v/>
      </c>
      <c r="AJ10" s="26" t="str">
        <f>IF($AN10="","",INDEX(Verlauf!$N$6:$N$1000,MATCH($AN10,Verlauf!$A$6:$A$1000,0)))</f>
        <v/>
      </c>
      <c r="AK10" s="26" t="str">
        <f>IF($AN10="","",INDEX(Verlauf!$O$6:$O$1000,MATCH($AN10,Verlauf!$A$6:$A$1000,0)))</f>
        <v/>
      </c>
      <c r="AL10" s="26" t="str">
        <f>IF($AN10="","",INDEX(Verlauf!$P$6:$P$1000,MATCH($AN10,Verlauf!$A$6:$A$1000,0)))</f>
        <v/>
      </c>
      <c r="AM10" s="26" t="str">
        <f>IF($AN10="","",INDEX(Verlauf!$R$6:$R$1000,MATCH($AN10,Verlauf!$A$6:$A$1000,0)))</f>
        <v/>
      </c>
      <c r="AN10" s="28" t="str">
        <f>IF(U10&gt;0,_xlfn.MAXIFS(Verlauf!$A$6:$A$1000,Verlauf!$B$6:$B$1000,$A10,Verlauf!$C$6:$C$1000,$B10),"")</f>
        <v/>
      </c>
    </row>
    <row r="11" spans="1:43" x14ac:dyDescent="0.25">
      <c r="A11" s="26">
        <v>2026</v>
      </c>
      <c r="B11" s="26">
        <v>35</v>
      </c>
      <c r="C11" s="7" t="str">
        <f t="shared" si="0"/>
        <v>KW 35/26</v>
      </c>
      <c r="D11" s="26">
        <f>SUMIFS(Verlauf!$K$6:$K$1000,Verlauf!$B$6:$B$1000,$A11,Verlauf!$C$6:$C$1000,$B11)</f>
        <v>0</v>
      </c>
      <c r="E11" s="26">
        <f>SUMIFS(Verlauf!$L$6:$L$1000,Verlauf!$B$6:$B$1000,$A11,Verlauf!$C$6:$C$1000,$B11)</f>
        <v>0</v>
      </c>
      <c r="F11" s="26">
        <f>SUMIFS(Verlauf!$M$6:$M$1000,Verlauf!$B$6:$B$1000,$A11,Verlauf!$C$6:$C$1000,$B11)</f>
        <v>0</v>
      </c>
      <c r="G11" s="26">
        <f>SUMIFS(Verlauf!$J$6:$J$1000,Verlauf!$B$6:$B$1000,$A11,Verlauf!$C$6:$C$1000,$B11)</f>
        <v>0</v>
      </c>
      <c r="H11" s="26">
        <f>SUMIFS(Verlauf!$U$6:$U$1000,Verlauf!$B$6:$B$1000,$A11,Verlauf!$C$6:$C$1000,$B11)</f>
        <v>0</v>
      </c>
      <c r="I11" s="26">
        <f>SUMIFS(Verlauf!$V$6:$V$1000,Verlauf!$B$6:$B$1000,$A11,Verlauf!$C$6:$C$1000,$B11)</f>
        <v>0</v>
      </c>
      <c r="J11" s="26">
        <f>SUMIFS(Verlauf!$W$6:$W$1000,Verlauf!$B$6:$B$1000,$A11,Verlauf!$C$6:$C$1000,$B11)</f>
        <v>0</v>
      </c>
      <c r="K11" s="26">
        <f>SUMIFS(Verlauf!$T$6:$T$1000,Verlauf!$B$6:$B$1000,$A11,Verlauf!$C$6:$C$1000,$B11)</f>
        <v>0</v>
      </c>
      <c r="L11" s="27">
        <f>IF(Filter!$T$7=TRUE,IFERROR(INDEX(Planung!$D$68:$IA$68,MATCH($W11,Wirksam!$D$6:$IA$6,0)),0),0)</f>
        <v>0</v>
      </c>
      <c r="M11" s="27">
        <f>IF(OR(Filter!$T$5=TRUE,Filter!$T$6=TRUE),IFERROR(INDEX(Planung!$D$69:$IA$69,MATCH($W11,Wirksam!$D$6:$IA$6,0)),0),0)</f>
        <v>0</v>
      </c>
      <c r="N11" s="27">
        <f t="shared" si="1"/>
        <v>0</v>
      </c>
      <c r="O11" s="27" t="e">
        <f t="shared" si="2"/>
        <v>#N/A</v>
      </c>
      <c r="P11" s="27" t="e">
        <f t="shared" si="3"/>
        <v>#N/A</v>
      </c>
      <c r="Q11" s="27" t="e">
        <f t="shared" si="4"/>
        <v>#N/A</v>
      </c>
      <c r="R11" s="27" t="e">
        <f t="shared" si="5"/>
        <v>#N/A</v>
      </c>
      <c r="S11" s="27" t="e">
        <f t="shared" si="6"/>
        <v>#N/A</v>
      </c>
      <c r="T11" s="27" t="e">
        <f t="shared" si="7"/>
        <v>#N/A</v>
      </c>
      <c r="U11" s="26">
        <f>COUNTIFS(Verlauf!$B$6:$B$1000,$A11,Verlauf!$C$6:$C$1000,$B11)</f>
        <v>0</v>
      </c>
      <c r="V11" s="26">
        <f t="shared" si="8"/>
        <v>0</v>
      </c>
      <c r="W11" s="26">
        <f t="shared" si="9"/>
        <v>202635</v>
      </c>
      <c r="X11" s="26">
        <f>SUMIFS(Verlauf!$X$6:$X$1000,Verlauf!$B$6:$B$1000,$A11,Verlauf!$C$6:$C$1000,$B11)</f>
        <v>0</v>
      </c>
      <c r="Y11" s="26">
        <f>SUMIFS(Verlauf!$Y$6:$Y$1000,Verlauf!$B$6:$B$1000,$A11,Verlauf!$C$6:$C$1000,$B11)</f>
        <v>0</v>
      </c>
      <c r="Z11" s="26">
        <f>SUMIFS(Verlauf!$Z$6:$Z$1000,Verlauf!$B$6:$B$1000,$A11,Verlauf!$C$6:$C$1000,$B11)</f>
        <v>0</v>
      </c>
      <c r="AA11" s="26">
        <f>SUMIFS(Verlauf!$I$6:$I$1000,Verlauf!$B$6:$B$1000,$A11,Verlauf!$C$6:$C$1000,$B11)</f>
        <v>0</v>
      </c>
      <c r="AB11" s="26">
        <f>SUMIFS(Verlauf!$AA$6:$AA$1000,Verlauf!$B$6:$B$1000,$A11,Verlauf!$C$6:$C$1000,$B11)</f>
        <v>0</v>
      </c>
      <c r="AC11" s="26">
        <f>SUMIFS(Verlauf!$AB$6:$AB$1000,Verlauf!$B$6:$B$1000,$A11,Verlauf!$C$6:$C$1000,$B11)</f>
        <v>0</v>
      </c>
      <c r="AD11" s="26">
        <f>SUMIFS(Verlauf!$AC$6:$AC$1000,Verlauf!$B$6:$B$1000,$A11,Verlauf!$C$6:$C$1000,$B11)</f>
        <v>0</v>
      </c>
      <c r="AE11" s="26">
        <f>SUMIFS(Verlauf!$S$6:$S$1000,Verlauf!$B$6:$B$1000,$A11,Verlauf!$C$6:$C$1000,$B11)</f>
        <v>0</v>
      </c>
      <c r="AF11" s="26" t="str">
        <f>IF($AN11="","",INDEX(Verlauf!$D$6:$D$1000,MATCH($AN11,Verlauf!$A$6:$A$1000,0)))</f>
        <v/>
      </c>
      <c r="AG11" s="26" t="str">
        <f>IF($AN11="","",INDEX(Verlauf!$E$6:$E$1000,MATCH($AN11,Verlauf!$A$6:$A$1000,0)))</f>
        <v/>
      </c>
      <c r="AH11" s="26" t="str">
        <f>IF($AN11="","",INDEX(Verlauf!$F$6:$F$1000,MATCH($AN11,Verlauf!$A$6:$A$1000,0)))</f>
        <v/>
      </c>
      <c r="AI11" s="26" t="str">
        <f>IF($AN11="","",INDEX(Verlauf!$H$6:$H$1000,MATCH($AN11,Verlauf!$A$6:$A$1000,0)))</f>
        <v/>
      </c>
      <c r="AJ11" s="26" t="str">
        <f>IF($AN11="","",INDEX(Verlauf!$N$6:$N$1000,MATCH($AN11,Verlauf!$A$6:$A$1000,0)))</f>
        <v/>
      </c>
      <c r="AK11" s="26" t="str">
        <f>IF($AN11="","",INDEX(Verlauf!$O$6:$O$1000,MATCH($AN11,Verlauf!$A$6:$A$1000,0)))</f>
        <v/>
      </c>
      <c r="AL11" s="26" t="str">
        <f>IF($AN11="","",INDEX(Verlauf!$P$6:$P$1000,MATCH($AN11,Verlauf!$A$6:$A$1000,0)))</f>
        <v/>
      </c>
      <c r="AM11" s="26" t="str">
        <f>IF($AN11="","",INDEX(Verlauf!$R$6:$R$1000,MATCH($AN11,Verlauf!$A$6:$A$1000,0)))</f>
        <v/>
      </c>
      <c r="AN11" s="28" t="str">
        <f>IF(U11&gt;0,_xlfn.MAXIFS(Verlauf!$A$6:$A$1000,Verlauf!$B$6:$B$1000,$A11,Verlauf!$C$6:$C$1000,$B11),"")</f>
        <v/>
      </c>
    </row>
    <row r="12" spans="1:43" x14ac:dyDescent="0.25">
      <c r="A12" s="26">
        <v>2026</v>
      </c>
      <c r="B12" s="26">
        <v>36</v>
      </c>
      <c r="C12" s="7" t="str">
        <f t="shared" si="0"/>
        <v>KW 36/26</v>
      </c>
      <c r="D12" s="26">
        <f>SUMIFS(Verlauf!$K$6:$K$1000,Verlauf!$B$6:$B$1000,$A12,Verlauf!$C$6:$C$1000,$B12)</f>
        <v>0</v>
      </c>
      <c r="E12" s="26">
        <f>SUMIFS(Verlauf!$L$6:$L$1000,Verlauf!$B$6:$B$1000,$A12,Verlauf!$C$6:$C$1000,$B12)</f>
        <v>0</v>
      </c>
      <c r="F12" s="26">
        <f>SUMIFS(Verlauf!$M$6:$M$1000,Verlauf!$B$6:$B$1000,$A12,Verlauf!$C$6:$C$1000,$B12)</f>
        <v>0</v>
      </c>
      <c r="G12" s="26">
        <f>SUMIFS(Verlauf!$J$6:$J$1000,Verlauf!$B$6:$B$1000,$A12,Verlauf!$C$6:$C$1000,$B12)</f>
        <v>0</v>
      </c>
      <c r="H12" s="26">
        <f>SUMIFS(Verlauf!$U$6:$U$1000,Verlauf!$B$6:$B$1000,$A12,Verlauf!$C$6:$C$1000,$B12)</f>
        <v>0</v>
      </c>
      <c r="I12" s="26">
        <f>SUMIFS(Verlauf!$V$6:$V$1000,Verlauf!$B$6:$B$1000,$A12,Verlauf!$C$6:$C$1000,$B12)</f>
        <v>0</v>
      </c>
      <c r="J12" s="26">
        <f>SUMIFS(Verlauf!$W$6:$W$1000,Verlauf!$B$6:$B$1000,$A12,Verlauf!$C$6:$C$1000,$B12)</f>
        <v>0</v>
      </c>
      <c r="K12" s="26">
        <f>SUMIFS(Verlauf!$T$6:$T$1000,Verlauf!$B$6:$B$1000,$A12,Verlauf!$C$6:$C$1000,$B12)</f>
        <v>0</v>
      </c>
      <c r="L12" s="27">
        <f>IF(Filter!$T$7=TRUE,IFERROR(INDEX(Planung!$D$68:$IA$68,MATCH($W12,Wirksam!$D$6:$IA$6,0)),0),0)</f>
        <v>0</v>
      </c>
      <c r="M12" s="27">
        <f>IF(OR(Filter!$T$5=TRUE,Filter!$T$6=TRUE),IFERROR(INDEX(Planung!$D$69:$IA$69,MATCH($W12,Wirksam!$D$6:$IA$6,0)),0),0)</f>
        <v>0</v>
      </c>
      <c r="N12" s="27">
        <f t="shared" si="1"/>
        <v>0</v>
      </c>
      <c r="O12" s="27" t="e">
        <f t="shared" si="2"/>
        <v>#N/A</v>
      </c>
      <c r="P12" s="27" t="e">
        <f t="shared" si="3"/>
        <v>#N/A</v>
      </c>
      <c r="Q12" s="27" t="e">
        <f t="shared" si="4"/>
        <v>#N/A</v>
      </c>
      <c r="R12" s="27" t="e">
        <f t="shared" si="5"/>
        <v>#N/A</v>
      </c>
      <c r="S12" s="27" t="e">
        <f t="shared" si="6"/>
        <v>#N/A</v>
      </c>
      <c r="T12" s="27" t="e">
        <f t="shared" si="7"/>
        <v>#N/A</v>
      </c>
      <c r="U12" s="26">
        <f>COUNTIFS(Verlauf!$B$6:$B$1000,$A12,Verlauf!$C$6:$C$1000,$B12)</f>
        <v>0</v>
      </c>
      <c r="V12" s="26">
        <f t="shared" si="8"/>
        <v>0</v>
      </c>
      <c r="W12" s="26">
        <f t="shared" si="9"/>
        <v>202636</v>
      </c>
      <c r="X12" s="26">
        <f>SUMIFS(Verlauf!$X$6:$X$1000,Verlauf!$B$6:$B$1000,$A12,Verlauf!$C$6:$C$1000,$B12)</f>
        <v>0</v>
      </c>
      <c r="Y12" s="26">
        <f>SUMIFS(Verlauf!$Y$6:$Y$1000,Verlauf!$B$6:$B$1000,$A12,Verlauf!$C$6:$C$1000,$B12)</f>
        <v>0</v>
      </c>
      <c r="Z12" s="26">
        <f>SUMIFS(Verlauf!$Z$6:$Z$1000,Verlauf!$B$6:$B$1000,$A12,Verlauf!$C$6:$C$1000,$B12)</f>
        <v>0</v>
      </c>
      <c r="AA12" s="26">
        <f>SUMIFS(Verlauf!$I$6:$I$1000,Verlauf!$B$6:$B$1000,$A12,Verlauf!$C$6:$C$1000,$B12)</f>
        <v>0</v>
      </c>
      <c r="AB12" s="26">
        <f>SUMIFS(Verlauf!$AA$6:$AA$1000,Verlauf!$B$6:$B$1000,$A12,Verlauf!$C$6:$C$1000,$B12)</f>
        <v>0</v>
      </c>
      <c r="AC12" s="26">
        <f>SUMIFS(Verlauf!$AB$6:$AB$1000,Verlauf!$B$6:$B$1000,$A12,Verlauf!$C$6:$C$1000,$B12)</f>
        <v>0</v>
      </c>
      <c r="AD12" s="26">
        <f>SUMIFS(Verlauf!$AC$6:$AC$1000,Verlauf!$B$6:$B$1000,$A12,Verlauf!$C$6:$C$1000,$B12)</f>
        <v>0</v>
      </c>
      <c r="AE12" s="26">
        <f>SUMIFS(Verlauf!$S$6:$S$1000,Verlauf!$B$6:$B$1000,$A12,Verlauf!$C$6:$C$1000,$B12)</f>
        <v>0</v>
      </c>
      <c r="AF12" s="26" t="str">
        <f>IF($AN12="","",INDEX(Verlauf!$D$6:$D$1000,MATCH($AN12,Verlauf!$A$6:$A$1000,0)))</f>
        <v/>
      </c>
      <c r="AG12" s="26" t="str">
        <f>IF($AN12="","",INDEX(Verlauf!$E$6:$E$1000,MATCH($AN12,Verlauf!$A$6:$A$1000,0)))</f>
        <v/>
      </c>
      <c r="AH12" s="26" t="str">
        <f>IF($AN12="","",INDEX(Verlauf!$F$6:$F$1000,MATCH($AN12,Verlauf!$A$6:$A$1000,0)))</f>
        <v/>
      </c>
      <c r="AI12" s="26" t="str">
        <f>IF($AN12="","",INDEX(Verlauf!$H$6:$H$1000,MATCH($AN12,Verlauf!$A$6:$A$1000,0)))</f>
        <v/>
      </c>
      <c r="AJ12" s="26" t="str">
        <f>IF($AN12="","",INDEX(Verlauf!$N$6:$N$1000,MATCH($AN12,Verlauf!$A$6:$A$1000,0)))</f>
        <v/>
      </c>
      <c r="AK12" s="26" t="str">
        <f>IF($AN12="","",INDEX(Verlauf!$O$6:$O$1000,MATCH($AN12,Verlauf!$A$6:$A$1000,0)))</f>
        <v/>
      </c>
      <c r="AL12" s="26" t="str">
        <f>IF($AN12="","",INDEX(Verlauf!$P$6:$P$1000,MATCH($AN12,Verlauf!$A$6:$A$1000,0)))</f>
        <v/>
      </c>
      <c r="AM12" s="26" t="str">
        <f>IF($AN12="","",INDEX(Verlauf!$R$6:$R$1000,MATCH($AN12,Verlauf!$A$6:$A$1000,0)))</f>
        <v/>
      </c>
      <c r="AN12" s="28" t="str">
        <f>IF(U12&gt;0,_xlfn.MAXIFS(Verlauf!$A$6:$A$1000,Verlauf!$B$6:$B$1000,$A12,Verlauf!$C$6:$C$1000,$B12),"")</f>
        <v/>
      </c>
    </row>
    <row r="13" spans="1:43" x14ac:dyDescent="0.25">
      <c r="A13" s="26">
        <v>2026</v>
      </c>
      <c r="B13" s="26">
        <v>37</v>
      </c>
      <c r="C13" s="7" t="str">
        <f t="shared" si="0"/>
        <v>KW 37/26</v>
      </c>
      <c r="D13" s="26">
        <f>SUMIFS(Verlauf!$K$6:$K$1000,Verlauf!$B$6:$B$1000,$A13,Verlauf!$C$6:$C$1000,$B13)</f>
        <v>0</v>
      </c>
      <c r="E13" s="26">
        <f>SUMIFS(Verlauf!$L$6:$L$1000,Verlauf!$B$6:$B$1000,$A13,Verlauf!$C$6:$C$1000,$B13)</f>
        <v>0</v>
      </c>
      <c r="F13" s="26">
        <f>SUMIFS(Verlauf!$M$6:$M$1000,Verlauf!$B$6:$B$1000,$A13,Verlauf!$C$6:$C$1000,$B13)</f>
        <v>0</v>
      </c>
      <c r="G13" s="26">
        <f>SUMIFS(Verlauf!$J$6:$J$1000,Verlauf!$B$6:$B$1000,$A13,Verlauf!$C$6:$C$1000,$B13)</f>
        <v>0</v>
      </c>
      <c r="H13" s="26">
        <f>SUMIFS(Verlauf!$U$6:$U$1000,Verlauf!$B$6:$B$1000,$A13,Verlauf!$C$6:$C$1000,$B13)</f>
        <v>0</v>
      </c>
      <c r="I13" s="26">
        <f>SUMIFS(Verlauf!$V$6:$V$1000,Verlauf!$B$6:$B$1000,$A13,Verlauf!$C$6:$C$1000,$B13)</f>
        <v>0</v>
      </c>
      <c r="J13" s="26">
        <f>SUMIFS(Verlauf!$W$6:$W$1000,Verlauf!$B$6:$B$1000,$A13,Verlauf!$C$6:$C$1000,$B13)</f>
        <v>0</v>
      </c>
      <c r="K13" s="26">
        <f>SUMIFS(Verlauf!$T$6:$T$1000,Verlauf!$B$6:$B$1000,$A13,Verlauf!$C$6:$C$1000,$B13)</f>
        <v>0</v>
      </c>
      <c r="L13" s="27">
        <f>IF(Filter!$T$7=TRUE,IFERROR(INDEX(Planung!$D$68:$IA$68,MATCH($W13,Wirksam!$D$6:$IA$6,0)),0),0)</f>
        <v>0</v>
      </c>
      <c r="M13" s="27">
        <f>IF(OR(Filter!$T$5=TRUE,Filter!$T$6=TRUE),IFERROR(INDEX(Planung!$D$69:$IA$69,MATCH($W13,Wirksam!$D$6:$IA$6,0)),0),0)</f>
        <v>0</v>
      </c>
      <c r="N13" s="27">
        <f t="shared" si="1"/>
        <v>0</v>
      </c>
      <c r="O13" s="27" t="e">
        <f t="shared" si="2"/>
        <v>#N/A</v>
      </c>
      <c r="P13" s="27" t="e">
        <f t="shared" si="3"/>
        <v>#N/A</v>
      </c>
      <c r="Q13" s="27" t="e">
        <f t="shared" si="4"/>
        <v>#N/A</v>
      </c>
      <c r="R13" s="27" t="e">
        <f t="shared" si="5"/>
        <v>#N/A</v>
      </c>
      <c r="S13" s="27" t="e">
        <f t="shared" si="6"/>
        <v>#N/A</v>
      </c>
      <c r="T13" s="27" t="e">
        <f t="shared" si="7"/>
        <v>#N/A</v>
      </c>
      <c r="U13" s="26">
        <f>COUNTIFS(Verlauf!$B$6:$B$1000,$A13,Verlauf!$C$6:$C$1000,$B13)</f>
        <v>0</v>
      </c>
      <c r="V13" s="26">
        <f t="shared" si="8"/>
        <v>0</v>
      </c>
      <c r="W13" s="26">
        <f t="shared" si="9"/>
        <v>202637</v>
      </c>
      <c r="X13" s="26">
        <f>SUMIFS(Verlauf!$X$6:$X$1000,Verlauf!$B$6:$B$1000,$A13,Verlauf!$C$6:$C$1000,$B13)</f>
        <v>0</v>
      </c>
      <c r="Y13" s="26">
        <f>SUMIFS(Verlauf!$Y$6:$Y$1000,Verlauf!$B$6:$B$1000,$A13,Verlauf!$C$6:$C$1000,$B13)</f>
        <v>0</v>
      </c>
      <c r="Z13" s="26">
        <f>SUMIFS(Verlauf!$Z$6:$Z$1000,Verlauf!$B$6:$B$1000,$A13,Verlauf!$C$6:$C$1000,$B13)</f>
        <v>0</v>
      </c>
      <c r="AA13" s="26">
        <f>SUMIFS(Verlauf!$I$6:$I$1000,Verlauf!$B$6:$B$1000,$A13,Verlauf!$C$6:$C$1000,$B13)</f>
        <v>0</v>
      </c>
      <c r="AB13" s="26">
        <f>SUMIFS(Verlauf!$AA$6:$AA$1000,Verlauf!$B$6:$B$1000,$A13,Verlauf!$C$6:$C$1000,$B13)</f>
        <v>0</v>
      </c>
      <c r="AC13" s="26">
        <f>SUMIFS(Verlauf!$AB$6:$AB$1000,Verlauf!$B$6:$B$1000,$A13,Verlauf!$C$6:$C$1000,$B13)</f>
        <v>0</v>
      </c>
      <c r="AD13" s="26">
        <f>SUMIFS(Verlauf!$AC$6:$AC$1000,Verlauf!$B$6:$B$1000,$A13,Verlauf!$C$6:$C$1000,$B13)</f>
        <v>0</v>
      </c>
      <c r="AE13" s="26">
        <f>SUMIFS(Verlauf!$S$6:$S$1000,Verlauf!$B$6:$B$1000,$A13,Verlauf!$C$6:$C$1000,$B13)</f>
        <v>0</v>
      </c>
      <c r="AF13" s="26" t="str">
        <f>IF($AN13="","",INDEX(Verlauf!$D$6:$D$1000,MATCH($AN13,Verlauf!$A$6:$A$1000,0)))</f>
        <v/>
      </c>
      <c r="AG13" s="26" t="str">
        <f>IF($AN13="","",INDEX(Verlauf!$E$6:$E$1000,MATCH($AN13,Verlauf!$A$6:$A$1000,0)))</f>
        <v/>
      </c>
      <c r="AH13" s="26" t="str">
        <f>IF($AN13="","",INDEX(Verlauf!$F$6:$F$1000,MATCH($AN13,Verlauf!$A$6:$A$1000,0)))</f>
        <v/>
      </c>
      <c r="AI13" s="26" t="str">
        <f>IF($AN13="","",INDEX(Verlauf!$H$6:$H$1000,MATCH($AN13,Verlauf!$A$6:$A$1000,0)))</f>
        <v/>
      </c>
      <c r="AJ13" s="26" t="str">
        <f>IF($AN13="","",INDEX(Verlauf!$N$6:$N$1000,MATCH($AN13,Verlauf!$A$6:$A$1000,0)))</f>
        <v/>
      </c>
      <c r="AK13" s="26" t="str">
        <f>IF($AN13="","",INDEX(Verlauf!$O$6:$O$1000,MATCH($AN13,Verlauf!$A$6:$A$1000,0)))</f>
        <v/>
      </c>
      <c r="AL13" s="26" t="str">
        <f>IF($AN13="","",INDEX(Verlauf!$P$6:$P$1000,MATCH($AN13,Verlauf!$A$6:$A$1000,0)))</f>
        <v/>
      </c>
      <c r="AM13" s="26" t="str">
        <f>IF($AN13="","",INDEX(Verlauf!$R$6:$R$1000,MATCH($AN13,Verlauf!$A$6:$A$1000,0)))</f>
        <v/>
      </c>
      <c r="AN13" s="28" t="str">
        <f>IF(U13&gt;0,_xlfn.MAXIFS(Verlauf!$A$6:$A$1000,Verlauf!$B$6:$B$1000,$A13,Verlauf!$C$6:$C$1000,$B13),"")</f>
        <v/>
      </c>
    </row>
    <row r="14" spans="1:43" x14ac:dyDescent="0.25">
      <c r="A14" s="26">
        <v>2026</v>
      </c>
      <c r="B14" s="26">
        <v>38</v>
      </c>
      <c r="C14" s="7" t="str">
        <f t="shared" si="0"/>
        <v>KW 38/26</v>
      </c>
      <c r="D14" s="26">
        <f>SUMIFS(Verlauf!$K$6:$K$1000,Verlauf!$B$6:$B$1000,$A14,Verlauf!$C$6:$C$1000,$B14)</f>
        <v>0</v>
      </c>
      <c r="E14" s="26">
        <f>SUMIFS(Verlauf!$L$6:$L$1000,Verlauf!$B$6:$B$1000,$A14,Verlauf!$C$6:$C$1000,$B14)</f>
        <v>0</v>
      </c>
      <c r="F14" s="26">
        <f>SUMIFS(Verlauf!$M$6:$M$1000,Verlauf!$B$6:$B$1000,$A14,Verlauf!$C$6:$C$1000,$B14)</f>
        <v>0</v>
      </c>
      <c r="G14" s="26">
        <f>SUMIFS(Verlauf!$J$6:$J$1000,Verlauf!$B$6:$B$1000,$A14,Verlauf!$C$6:$C$1000,$B14)</f>
        <v>0</v>
      </c>
      <c r="H14" s="26">
        <f>SUMIFS(Verlauf!$U$6:$U$1000,Verlauf!$B$6:$B$1000,$A14,Verlauf!$C$6:$C$1000,$B14)</f>
        <v>0</v>
      </c>
      <c r="I14" s="26">
        <f>SUMIFS(Verlauf!$V$6:$V$1000,Verlauf!$B$6:$B$1000,$A14,Verlauf!$C$6:$C$1000,$B14)</f>
        <v>0</v>
      </c>
      <c r="J14" s="26">
        <f>SUMIFS(Verlauf!$W$6:$W$1000,Verlauf!$B$6:$B$1000,$A14,Verlauf!$C$6:$C$1000,$B14)</f>
        <v>0</v>
      </c>
      <c r="K14" s="26">
        <f>SUMIFS(Verlauf!$T$6:$T$1000,Verlauf!$B$6:$B$1000,$A14,Verlauf!$C$6:$C$1000,$B14)</f>
        <v>0</v>
      </c>
      <c r="L14" s="27">
        <f>IF(Filter!$T$7=TRUE,IFERROR(INDEX(Planung!$D$68:$IA$68,MATCH($W14,Wirksam!$D$6:$IA$6,0)),0),0)</f>
        <v>0</v>
      </c>
      <c r="M14" s="27">
        <f>IF(OR(Filter!$T$5=TRUE,Filter!$T$6=TRUE),IFERROR(INDEX(Planung!$D$69:$IA$69,MATCH($W14,Wirksam!$D$6:$IA$6,0)),0),0)</f>
        <v>0</v>
      </c>
      <c r="N14" s="27">
        <f t="shared" si="1"/>
        <v>0</v>
      </c>
      <c r="O14" s="27" t="e">
        <f t="shared" si="2"/>
        <v>#N/A</v>
      </c>
      <c r="P14" s="27" t="e">
        <f t="shared" si="3"/>
        <v>#N/A</v>
      </c>
      <c r="Q14" s="27" t="e">
        <f t="shared" si="4"/>
        <v>#N/A</v>
      </c>
      <c r="R14" s="27" t="e">
        <f t="shared" si="5"/>
        <v>#N/A</v>
      </c>
      <c r="S14" s="27" t="e">
        <f t="shared" si="6"/>
        <v>#N/A</v>
      </c>
      <c r="T14" s="27" t="e">
        <f t="shared" si="7"/>
        <v>#N/A</v>
      </c>
      <c r="U14" s="26">
        <f>COUNTIFS(Verlauf!$B$6:$B$1000,$A14,Verlauf!$C$6:$C$1000,$B14)</f>
        <v>0</v>
      </c>
      <c r="V14" s="26">
        <f t="shared" si="8"/>
        <v>0</v>
      </c>
      <c r="W14" s="26">
        <f t="shared" si="9"/>
        <v>202638</v>
      </c>
      <c r="X14" s="26">
        <f>SUMIFS(Verlauf!$X$6:$X$1000,Verlauf!$B$6:$B$1000,$A14,Verlauf!$C$6:$C$1000,$B14)</f>
        <v>0</v>
      </c>
      <c r="Y14" s="26">
        <f>SUMIFS(Verlauf!$Y$6:$Y$1000,Verlauf!$B$6:$B$1000,$A14,Verlauf!$C$6:$C$1000,$B14)</f>
        <v>0</v>
      </c>
      <c r="Z14" s="26">
        <f>SUMIFS(Verlauf!$Z$6:$Z$1000,Verlauf!$B$6:$B$1000,$A14,Verlauf!$C$6:$C$1000,$B14)</f>
        <v>0</v>
      </c>
      <c r="AA14" s="26">
        <f>SUMIFS(Verlauf!$I$6:$I$1000,Verlauf!$B$6:$B$1000,$A14,Verlauf!$C$6:$C$1000,$B14)</f>
        <v>0</v>
      </c>
      <c r="AB14" s="26">
        <f>SUMIFS(Verlauf!$AA$6:$AA$1000,Verlauf!$B$6:$B$1000,$A14,Verlauf!$C$6:$C$1000,$B14)</f>
        <v>0</v>
      </c>
      <c r="AC14" s="26">
        <f>SUMIFS(Verlauf!$AB$6:$AB$1000,Verlauf!$B$6:$B$1000,$A14,Verlauf!$C$6:$C$1000,$B14)</f>
        <v>0</v>
      </c>
      <c r="AD14" s="26">
        <f>SUMIFS(Verlauf!$AC$6:$AC$1000,Verlauf!$B$6:$B$1000,$A14,Verlauf!$C$6:$C$1000,$B14)</f>
        <v>0</v>
      </c>
      <c r="AE14" s="26">
        <f>SUMIFS(Verlauf!$S$6:$S$1000,Verlauf!$B$6:$B$1000,$A14,Verlauf!$C$6:$C$1000,$B14)</f>
        <v>0</v>
      </c>
      <c r="AF14" s="26" t="str">
        <f>IF($AN14="","",INDEX(Verlauf!$D$6:$D$1000,MATCH($AN14,Verlauf!$A$6:$A$1000,0)))</f>
        <v/>
      </c>
      <c r="AG14" s="26" t="str">
        <f>IF($AN14="","",INDEX(Verlauf!$E$6:$E$1000,MATCH($AN14,Verlauf!$A$6:$A$1000,0)))</f>
        <v/>
      </c>
      <c r="AH14" s="26" t="str">
        <f>IF($AN14="","",INDEX(Verlauf!$F$6:$F$1000,MATCH($AN14,Verlauf!$A$6:$A$1000,0)))</f>
        <v/>
      </c>
      <c r="AI14" s="26" t="str">
        <f>IF($AN14="","",INDEX(Verlauf!$H$6:$H$1000,MATCH($AN14,Verlauf!$A$6:$A$1000,0)))</f>
        <v/>
      </c>
      <c r="AJ14" s="26" t="str">
        <f>IF($AN14="","",INDEX(Verlauf!$N$6:$N$1000,MATCH($AN14,Verlauf!$A$6:$A$1000,0)))</f>
        <v/>
      </c>
      <c r="AK14" s="26" t="str">
        <f>IF($AN14="","",INDEX(Verlauf!$O$6:$O$1000,MATCH($AN14,Verlauf!$A$6:$A$1000,0)))</f>
        <v/>
      </c>
      <c r="AL14" s="26" t="str">
        <f>IF($AN14="","",INDEX(Verlauf!$P$6:$P$1000,MATCH($AN14,Verlauf!$A$6:$A$1000,0)))</f>
        <v/>
      </c>
      <c r="AM14" s="26" t="str">
        <f>IF($AN14="","",INDEX(Verlauf!$R$6:$R$1000,MATCH($AN14,Verlauf!$A$6:$A$1000,0)))</f>
        <v/>
      </c>
      <c r="AN14" s="28" t="str">
        <f>IF(U14&gt;0,_xlfn.MAXIFS(Verlauf!$A$6:$A$1000,Verlauf!$B$6:$B$1000,$A14,Verlauf!$C$6:$C$1000,$B14),"")</f>
        <v/>
      </c>
    </row>
    <row r="15" spans="1:43" x14ac:dyDescent="0.25">
      <c r="A15" s="26">
        <v>2026</v>
      </c>
      <c r="B15" s="26">
        <v>39</v>
      </c>
      <c r="C15" s="7" t="str">
        <f t="shared" si="0"/>
        <v>KW 39/26</v>
      </c>
      <c r="D15" s="26">
        <f>SUMIFS(Verlauf!$K$6:$K$1000,Verlauf!$B$6:$B$1000,$A15,Verlauf!$C$6:$C$1000,$B15)</f>
        <v>0</v>
      </c>
      <c r="E15" s="26">
        <f>SUMIFS(Verlauf!$L$6:$L$1000,Verlauf!$B$6:$B$1000,$A15,Verlauf!$C$6:$C$1000,$B15)</f>
        <v>0</v>
      </c>
      <c r="F15" s="26">
        <f>SUMIFS(Verlauf!$M$6:$M$1000,Verlauf!$B$6:$B$1000,$A15,Verlauf!$C$6:$C$1000,$B15)</f>
        <v>0</v>
      </c>
      <c r="G15" s="26">
        <f>SUMIFS(Verlauf!$J$6:$J$1000,Verlauf!$B$6:$B$1000,$A15,Verlauf!$C$6:$C$1000,$B15)</f>
        <v>0</v>
      </c>
      <c r="H15" s="26">
        <f>SUMIFS(Verlauf!$U$6:$U$1000,Verlauf!$B$6:$B$1000,$A15,Verlauf!$C$6:$C$1000,$B15)</f>
        <v>0</v>
      </c>
      <c r="I15" s="26">
        <f>SUMIFS(Verlauf!$V$6:$V$1000,Verlauf!$B$6:$B$1000,$A15,Verlauf!$C$6:$C$1000,$B15)</f>
        <v>0</v>
      </c>
      <c r="J15" s="26">
        <f>SUMIFS(Verlauf!$W$6:$W$1000,Verlauf!$B$6:$B$1000,$A15,Verlauf!$C$6:$C$1000,$B15)</f>
        <v>0</v>
      </c>
      <c r="K15" s="26">
        <f>SUMIFS(Verlauf!$T$6:$T$1000,Verlauf!$B$6:$B$1000,$A15,Verlauf!$C$6:$C$1000,$B15)</f>
        <v>0</v>
      </c>
      <c r="L15" s="27">
        <f>IF(Filter!$T$7=TRUE,IFERROR(INDEX(Planung!$D$68:$IA$68,MATCH($W15,Wirksam!$D$6:$IA$6,0)),0),0)</f>
        <v>0</v>
      </c>
      <c r="M15" s="27">
        <f>IF(OR(Filter!$T$5=TRUE,Filter!$T$6=TRUE),IFERROR(INDEX(Planung!$D$69:$IA$69,MATCH($W15,Wirksam!$D$6:$IA$6,0)),0),0)</f>
        <v>0</v>
      </c>
      <c r="N15" s="27">
        <f t="shared" si="1"/>
        <v>0</v>
      </c>
      <c r="O15" s="27" t="e">
        <f t="shared" si="2"/>
        <v>#N/A</v>
      </c>
      <c r="P15" s="27" t="e">
        <f t="shared" si="3"/>
        <v>#N/A</v>
      </c>
      <c r="Q15" s="27" t="e">
        <f t="shared" si="4"/>
        <v>#N/A</v>
      </c>
      <c r="R15" s="27" t="e">
        <f t="shared" si="5"/>
        <v>#N/A</v>
      </c>
      <c r="S15" s="27" t="e">
        <f t="shared" si="6"/>
        <v>#N/A</v>
      </c>
      <c r="T15" s="27" t="e">
        <f t="shared" si="7"/>
        <v>#N/A</v>
      </c>
      <c r="U15" s="26">
        <f>COUNTIFS(Verlauf!$B$6:$B$1000,$A15,Verlauf!$C$6:$C$1000,$B15)</f>
        <v>0</v>
      </c>
      <c r="V15" s="26">
        <f t="shared" si="8"/>
        <v>0</v>
      </c>
      <c r="W15" s="26">
        <f t="shared" si="9"/>
        <v>202639</v>
      </c>
      <c r="X15" s="26">
        <f>SUMIFS(Verlauf!$X$6:$X$1000,Verlauf!$B$6:$B$1000,$A15,Verlauf!$C$6:$C$1000,$B15)</f>
        <v>0</v>
      </c>
      <c r="Y15" s="26">
        <f>SUMIFS(Verlauf!$Y$6:$Y$1000,Verlauf!$B$6:$B$1000,$A15,Verlauf!$C$6:$C$1000,$B15)</f>
        <v>0</v>
      </c>
      <c r="Z15" s="26">
        <f>SUMIFS(Verlauf!$Z$6:$Z$1000,Verlauf!$B$6:$B$1000,$A15,Verlauf!$C$6:$C$1000,$B15)</f>
        <v>0</v>
      </c>
      <c r="AA15" s="26">
        <f>SUMIFS(Verlauf!$I$6:$I$1000,Verlauf!$B$6:$B$1000,$A15,Verlauf!$C$6:$C$1000,$B15)</f>
        <v>0</v>
      </c>
      <c r="AB15" s="26">
        <f>SUMIFS(Verlauf!$AA$6:$AA$1000,Verlauf!$B$6:$B$1000,$A15,Verlauf!$C$6:$C$1000,$B15)</f>
        <v>0</v>
      </c>
      <c r="AC15" s="26">
        <f>SUMIFS(Verlauf!$AB$6:$AB$1000,Verlauf!$B$6:$B$1000,$A15,Verlauf!$C$6:$C$1000,$B15)</f>
        <v>0</v>
      </c>
      <c r="AD15" s="26">
        <f>SUMIFS(Verlauf!$AC$6:$AC$1000,Verlauf!$B$6:$B$1000,$A15,Verlauf!$C$6:$C$1000,$B15)</f>
        <v>0</v>
      </c>
      <c r="AE15" s="26">
        <f>SUMIFS(Verlauf!$S$6:$S$1000,Verlauf!$B$6:$B$1000,$A15,Verlauf!$C$6:$C$1000,$B15)</f>
        <v>0</v>
      </c>
      <c r="AF15" s="26" t="str">
        <f>IF($AN15="","",INDEX(Verlauf!$D$6:$D$1000,MATCH($AN15,Verlauf!$A$6:$A$1000,0)))</f>
        <v/>
      </c>
      <c r="AG15" s="26" t="str">
        <f>IF($AN15="","",INDEX(Verlauf!$E$6:$E$1000,MATCH($AN15,Verlauf!$A$6:$A$1000,0)))</f>
        <v/>
      </c>
      <c r="AH15" s="26" t="str">
        <f>IF($AN15="","",INDEX(Verlauf!$F$6:$F$1000,MATCH($AN15,Verlauf!$A$6:$A$1000,0)))</f>
        <v/>
      </c>
      <c r="AI15" s="26" t="str">
        <f>IF($AN15="","",INDEX(Verlauf!$H$6:$H$1000,MATCH($AN15,Verlauf!$A$6:$A$1000,0)))</f>
        <v/>
      </c>
      <c r="AJ15" s="26" t="str">
        <f>IF($AN15="","",INDEX(Verlauf!$N$6:$N$1000,MATCH($AN15,Verlauf!$A$6:$A$1000,0)))</f>
        <v/>
      </c>
      <c r="AK15" s="26" t="str">
        <f>IF($AN15="","",INDEX(Verlauf!$O$6:$O$1000,MATCH($AN15,Verlauf!$A$6:$A$1000,0)))</f>
        <v/>
      </c>
      <c r="AL15" s="26" t="str">
        <f>IF($AN15="","",INDEX(Verlauf!$P$6:$P$1000,MATCH($AN15,Verlauf!$A$6:$A$1000,0)))</f>
        <v/>
      </c>
      <c r="AM15" s="26" t="str">
        <f>IF($AN15="","",INDEX(Verlauf!$R$6:$R$1000,MATCH($AN15,Verlauf!$A$6:$A$1000,0)))</f>
        <v/>
      </c>
      <c r="AN15" s="28" t="str">
        <f>IF(U15&gt;0,_xlfn.MAXIFS(Verlauf!$A$6:$A$1000,Verlauf!$B$6:$B$1000,$A15,Verlauf!$C$6:$C$1000,$B15),"")</f>
        <v/>
      </c>
    </row>
    <row r="16" spans="1:43" x14ac:dyDescent="0.25">
      <c r="A16" s="26">
        <v>2026</v>
      </c>
      <c r="B16" s="26">
        <v>40</v>
      </c>
      <c r="C16" s="7" t="str">
        <f t="shared" si="0"/>
        <v>KW 40/26</v>
      </c>
      <c r="D16" s="26">
        <f>SUMIFS(Verlauf!$K$6:$K$1000,Verlauf!$B$6:$B$1000,$A16,Verlauf!$C$6:$C$1000,$B16)</f>
        <v>0</v>
      </c>
      <c r="E16" s="26">
        <f>SUMIFS(Verlauf!$L$6:$L$1000,Verlauf!$B$6:$B$1000,$A16,Verlauf!$C$6:$C$1000,$B16)</f>
        <v>0</v>
      </c>
      <c r="F16" s="26">
        <f>SUMIFS(Verlauf!$M$6:$M$1000,Verlauf!$B$6:$B$1000,$A16,Verlauf!$C$6:$C$1000,$B16)</f>
        <v>0</v>
      </c>
      <c r="G16" s="26">
        <f>SUMIFS(Verlauf!$J$6:$J$1000,Verlauf!$B$6:$B$1000,$A16,Verlauf!$C$6:$C$1000,$B16)</f>
        <v>0</v>
      </c>
      <c r="H16" s="26">
        <f>SUMIFS(Verlauf!$U$6:$U$1000,Verlauf!$B$6:$B$1000,$A16,Verlauf!$C$6:$C$1000,$B16)</f>
        <v>0</v>
      </c>
      <c r="I16" s="26">
        <f>SUMIFS(Verlauf!$V$6:$V$1000,Verlauf!$B$6:$B$1000,$A16,Verlauf!$C$6:$C$1000,$B16)</f>
        <v>0</v>
      </c>
      <c r="J16" s="26">
        <f>SUMIFS(Verlauf!$W$6:$W$1000,Verlauf!$B$6:$B$1000,$A16,Verlauf!$C$6:$C$1000,$B16)</f>
        <v>0</v>
      </c>
      <c r="K16" s="26">
        <f>SUMIFS(Verlauf!$T$6:$T$1000,Verlauf!$B$6:$B$1000,$A16,Verlauf!$C$6:$C$1000,$B16)</f>
        <v>0</v>
      </c>
      <c r="L16" s="27">
        <f>IF(Filter!$T$7=TRUE,IFERROR(INDEX(Planung!$D$68:$IA$68,MATCH($W16,Wirksam!$D$6:$IA$6,0)),0),0)</f>
        <v>0</v>
      </c>
      <c r="M16" s="27">
        <f>IF(OR(Filter!$T$5=TRUE,Filter!$T$6=TRUE),IFERROR(INDEX(Planung!$D$69:$IA$69,MATCH($W16,Wirksam!$D$6:$IA$6,0)),0),0)</f>
        <v>0</v>
      </c>
      <c r="N16" s="27">
        <f t="shared" si="1"/>
        <v>0</v>
      </c>
      <c r="O16" s="27" t="e">
        <f t="shared" si="2"/>
        <v>#N/A</v>
      </c>
      <c r="P16" s="27" t="e">
        <f t="shared" si="3"/>
        <v>#N/A</v>
      </c>
      <c r="Q16" s="27" t="e">
        <f t="shared" si="4"/>
        <v>#N/A</v>
      </c>
      <c r="R16" s="27" t="e">
        <f t="shared" si="5"/>
        <v>#N/A</v>
      </c>
      <c r="S16" s="27" t="e">
        <f t="shared" si="6"/>
        <v>#N/A</v>
      </c>
      <c r="T16" s="27" t="e">
        <f t="shared" si="7"/>
        <v>#N/A</v>
      </c>
      <c r="U16" s="26">
        <f>COUNTIFS(Verlauf!$B$6:$B$1000,$A16,Verlauf!$C$6:$C$1000,$B16)</f>
        <v>0</v>
      </c>
      <c r="V16" s="26">
        <f t="shared" si="8"/>
        <v>0</v>
      </c>
      <c r="W16" s="26">
        <f t="shared" si="9"/>
        <v>202640</v>
      </c>
      <c r="X16" s="26">
        <f>SUMIFS(Verlauf!$X$6:$X$1000,Verlauf!$B$6:$B$1000,$A16,Verlauf!$C$6:$C$1000,$B16)</f>
        <v>0</v>
      </c>
      <c r="Y16" s="26">
        <f>SUMIFS(Verlauf!$Y$6:$Y$1000,Verlauf!$B$6:$B$1000,$A16,Verlauf!$C$6:$C$1000,$B16)</f>
        <v>0</v>
      </c>
      <c r="Z16" s="26">
        <f>SUMIFS(Verlauf!$Z$6:$Z$1000,Verlauf!$B$6:$B$1000,$A16,Verlauf!$C$6:$C$1000,$B16)</f>
        <v>0</v>
      </c>
      <c r="AA16" s="26">
        <f>SUMIFS(Verlauf!$I$6:$I$1000,Verlauf!$B$6:$B$1000,$A16,Verlauf!$C$6:$C$1000,$B16)</f>
        <v>0</v>
      </c>
      <c r="AB16" s="26">
        <f>SUMIFS(Verlauf!$AA$6:$AA$1000,Verlauf!$B$6:$B$1000,$A16,Verlauf!$C$6:$C$1000,$B16)</f>
        <v>0</v>
      </c>
      <c r="AC16" s="26">
        <f>SUMIFS(Verlauf!$AB$6:$AB$1000,Verlauf!$B$6:$B$1000,$A16,Verlauf!$C$6:$C$1000,$B16)</f>
        <v>0</v>
      </c>
      <c r="AD16" s="26">
        <f>SUMIFS(Verlauf!$AC$6:$AC$1000,Verlauf!$B$6:$B$1000,$A16,Verlauf!$C$6:$C$1000,$B16)</f>
        <v>0</v>
      </c>
      <c r="AE16" s="26">
        <f>SUMIFS(Verlauf!$S$6:$S$1000,Verlauf!$B$6:$B$1000,$A16,Verlauf!$C$6:$C$1000,$B16)</f>
        <v>0</v>
      </c>
      <c r="AF16" s="26" t="str">
        <f>IF($AN16="","",INDEX(Verlauf!$D$6:$D$1000,MATCH($AN16,Verlauf!$A$6:$A$1000,0)))</f>
        <v/>
      </c>
      <c r="AG16" s="26" t="str">
        <f>IF($AN16="","",INDEX(Verlauf!$E$6:$E$1000,MATCH($AN16,Verlauf!$A$6:$A$1000,0)))</f>
        <v/>
      </c>
      <c r="AH16" s="26" t="str">
        <f>IF($AN16="","",INDEX(Verlauf!$F$6:$F$1000,MATCH($AN16,Verlauf!$A$6:$A$1000,0)))</f>
        <v/>
      </c>
      <c r="AI16" s="26" t="str">
        <f>IF($AN16="","",INDEX(Verlauf!$H$6:$H$1000,MATCH($AN16,Verlauf!$A$6:$A$1000,0)))</f>
        <v/>
      </c>
      <c r="AJ16" s="26" t="str">
        <f>IF($AN16="","",INDEX(Verlauf!$N$6:$N$1000,MATCH($AN16,Verlauf!$A$6:$A$1000,0)))</f>
        <v/>
      </c>
      <c r="AK16" s="26" t="str">
        <f>IF($AN16="","",INDEX(Verlauf!$O$6:$O$1000,MATCH($AN16,Verlauf!$A$6:$A$1000,0)))</f>
        <v/>
      </c>
      <c r="AL16" s="26" t="str">
        <f>IF($AN16="","",INDEX(Verlauf!$P$6:$P$1000,MATCH($AN16,Verlauf!$A$6:$A$1000,0)))</f>
        <v/>
      </c>
      <c r="AM16" s="26" t="str">
        <f>IF($AN16="","",INDEX(Verlauf!$R$6:$R$1000,MATCH($AN16,Verlauf!$A$6:$A$1000,0)))</f>
        <v/>
      </c>
      <c r="AN16" s="28" t="str">
        <f>IF(U16&gt;0,_xlfn.MAXIFS(Verlauf!$A$6:$A$1000,Verlauf!$B$6:$B$1000,$A16,Verlauf!$C$6:$C$1000,$B16),"")</f>
        <v/>
      </c>
    </row>
    <row r="17" spans="1:40" x14ac:dyDescent="0.25">
      <c r="A17" s="26">
        <v>2026</v>
      </c>
      <c r="B17" s="26">
        <v>41</v>
      </c>
      <c r="C17" s="7" t="str">
        <f t="shared" si="0"/>
        <v>KW 41/26</v>
      </c>
      <c r="D17" s="26">
        <f>SUMIFS(Verlauf!$K$6:$K$1000,Verlauf!$B$6:$B$1000,$A17,Verlauf!$C$6:$C$1000,$B17)</f>
        <v>0</v>
      </c>
      <c r="E17" s="26">
        <f>SUMIFS(Verlauf!$L$6:$L$1000,Verlauf!$B$6:$B$1000,$A17,Verlauf!$C$6:$C$1000,$B17)</f>
        <v>0</v>
      </c>
      <c r="F17" s="26">
        <f>SUMIFS(Verlauf!$M$6:$M$1000,Verlauf!$B$6:$B$1000,$A17,Verlauf!$C$6:$C$1000,$B17)</f>
        <v>0</v>
      </c>
      <c r="G17" s="26">
        <f>SUMIFS(Verlauf!$J$6:$J$1000,Verlauf!$B$6:$B$1000,$A17,Verlauf!$C$6:$C$1000,$B17)</f>
        <v>0</v>
      </c>
      <c r="H17" s="26">
        <f>SUMIFS(Verlauf!$U$6:$U$1000,Verlauf!$B$6:$B$1000,$A17,Verlauf!$C$6:$C$1000,$B17)</f>
        <v>0</v>
      </c>
      <c r="I17" s="26">
        <f>SUMIFS(Verlauf!$V$6:$V$1000,Verlauf!$B$6:$B$1000,$A17,Verlauf!$C$6:$C$1000,$B17)</f>
        <v>0</v>
      </c>
      <c r="J17" s="26">
        <f>SUMIFS(Verlauf!$W$6:$W$1000,Verlauf!$B$6:$B$1000,$A17,Verlauf!$C$6:$C$1000,$B17)</f>
        <v>0</v>
      </c>
      <c r="K17" s="26">
        <f>SUMIFS(Verlauf!$T$6:$T$1000,Verlauf!$B$6:$B$1000,$A17,Verlauf!$C$6:$C$1000,$B17)</f>
        <v>0</v>
      </c>
      <c r="L17" s="27">
        <f>IF(Filter!$T$7=TRUE,IFERROR(INDEX(Planung!$D$68:$IA$68,MATCH($W17,Wirksam!$D$6:$IA$6,0)),0),0)</f>
        <v>0</v>
      </c>
      <c r="M17" s="27">
        <f>IF(OR(Filter!$T$5=TRUE,Filter!$T$6=TRUE),IFERROR(INDEX(Planung!$D$69:$IA$69,MATCH($W17,Wirksam!$D$6:$IA$6,0)),0),0)</f>
        <v>0</v>
      </c>
      <c r="N17" s="27">
        <f t="shared" si="1"/>
        <v>0</v>
      </c>
      <c r="O17" s="27" t="e">
        <f t="shared" si="2"/>
        <v>#N/A</v>
      </c>
      <c r="P17" s="27" t="e">
        <f t="shared" si="3"/>
        <v>#N/A</v>
      </c>
      <c r="Q17" s="27" t="e">
        <f t="shared" si="4"/>
        <v>#N/A</v>
      </c>
      <c r="R17" s="27" t="e">
        <f t="shared" si="5"/>
        <v>#N/A</v>
      </c>
      <c r="S17" s="27" t="e">
        <f t="shared" si="6"/>
        <v>#N/A</v>
      </c>
      <c r="T17" s="27" t="e">
        <f t="shared" si="7"/>
        <v>#N/A</v>
      </c>
      <c r="U17" s="26">
        <f>COUNTIFS(Verlauf!$B$6:$B$1000,$A17,Verlauf!$C$6:$C$1000,$B17)</f>
        <v>0</v>
      </c>
      <c r="V17" s="26">
        <f t="shared" si="8"/>
        <v>0</v>
      </c>
      <c r="W17" s="26">
        <f t="shared" si="9"/>
        <v>202641</v>
      </c>
      <c r="X17" s="26">
        <f>SUMIFS(Verlauf!$X$6:$X$1000,Verlauf!$B$6:$B$1000,$A17,Verlauf!$C$6:$C$1000,$B17)</f>
        <v>0</v>
      </c>
      <c r="Y17" s="26">
        <f>SUMIFS(Verlauf!$Y$6:$Y$1000,Verlauf!$B$6:$B$1000,$A17,Verlauf!$C$6:$C$1000,$B17)</f>
        <v>0</v>
      </c>
      <c r="Z17" s="26">
        <f>SUMIFS(Verlauf!$Z$6:$Z$1000,Verlauf!$B$6:$B$1000,$A17,Verlauf!$C$6:$C$1000,$B17)</f>
        <v>0</v>
      </c>
      <c r="AA17" s="26">
        <f>SUMIFS(Verlauf!$I$6:$I$1000,Verlauf!$B$6:$B$1000,$A17,Verlauf!$C$6:$C$1000,$B17)</f>
        <v>0</v>
      </c>
      <c r="AB17" s="26">
        <f>SUMIFS(Verlauf!$AA$6:$AA$1000,Verlauf!$B$6:$B$1000,$A17,Verlauf!$C$6:$C$1000,$B17)</f>
        <v>0</v>
      </c>
      <c r="AC17" s="26">
        <f>SUMIFS(Verlauf!$AB$6:$AB$1000,Verlauf!$B$6:$B$1000,$A17,Verlauf!$C$6:$C$1000,$B17)</f>
        <v>0</v>
      </c>
      <c r="AD17" s="26">
        <f>SUMIFS(Verlauf!$AC$6:$AC$1000,Verlauf!$B$6:$B$1000,$A17,Verlauf!$C$6:$C$1000,$B17)</f>
        <v>0</v>
      </c>
      <c r="AE17" s="26">
        <f>SUMIFS(Verlauf!$S$6:$S$1000,Verlauf!$B$6:$B$1000,$A17,Verlauf!$C$6:$C$1000,$B17)</f>
        <v>0</v>
      </c>
      <c r="AF17" s="26" t="str">
        <f>IF($AN17="","",INDEX(Verlauf!$D$6:$D$1000,MATCH($AN17,Verlauf!$A$6:$A$1000,0)))</f>
        <v/>
      </c>
      <c r="AG17" s="26" t="str">
        <f>IF($AN17="","",INDEX(Verlauf!$E$6:$E$1000,MATCH($AN17,Verlauf!$A$6:$A$1000,0)))</f>
        <v/>
      </c>
      <c r="AH17" s="26" t="str">
        <f>IF($AN17="","",INDEX(Verlauf!$F$6:$F$1000,MATCH($AN17,Verlauf!$A$6:$A$1000,0)))</f>
        <v/>
      </c>
      <c r="AI17" s="26" t="str">
        <f>IF($AN17="","",INDEX(Verlauf!$H$6:$H$1000,MATCH($AN17,Verlauf!$A$6:$A$1000,0)))</f>
        <v/>
      </c>
      <c r="AJ17" s="26" t="str">
        <f>IF($AN17="","",INDEX(Verlauf!$N$6:$N$1000,MATCH($AN17,Verlauf!$A$6:$A$1000,0)))</f>
        <v/>
      </c>
      <c r="AK17" s="26" t="str">
        <f>IF($AN17="","",INDEX(Verlauf!$O$6:$O$1000,MATCH($AN17,Verlauf!$A$6:$A$1000,0)))</f>
        <v/>
      </c>
      <c r="AL17" s="26" t="str">
        <f>IF($AN17="","",INDEX(Verlauf!$P$6:$P$1000,MATCH($AN17,Verlauf!$A$6:$A$1000,0)))</f>
        <v/>
      </c>
      <c r="AM17" s="26" t="str">
        <f>IF($AN17="","",INDEX(Verlauf!$R$6:$R$1000,MATCH($AN17,Verlauf!$A$6:$A$1000,0)))</f>
        <v/>
      </c>
      <c r="AN17" s="28" t="str">
        <f>IF(U17&gt;0,_xlfn.MAXIFS(Verlauf!$A$6:$A$1000,Verlauf!$B$6:$B$1000,$A17,Verlauf!$C$6:$C$1000,$B17),"")</f>
        <v/>
      </c>
    </row>
    <row r="18" spans="1:40" x14ac:dyDescent="0.25">
      <c r="A18" s="26">
        <v>2026</v>
      </c>
      <c r="B18" s="26">
        <v>42</v>
      </c>
      <c r="C18" s="7" t="str">
        <f t="shared" si="0"/>
        <v>KW 42/26</v>
      </c>
      <c r="D18" s="26">
        <f>SUMIFS(Verlauf!$K$6:$K$1000,Verlauf!$B$6:$B$1000,$A18,Verlauf!$C$6:$C$1000,$B18)</f>
        <v>0</v>
      </c>
      <c r="E18" s="26">
        <f>SUMIFS(Verlauf!$L$6:$L$1000,Verlauf!$B$6:$B$1000,$A18,Verlauf!$C$6:$C$1000,$B18)</f>
        <v>0</v>
      </c>
      <c r="F18" s="26">
        <f>SUMIFS(Verlauf!$M$6:$M$1000,Verlauf!$B$6:$B$1000,$A18,Verlauf!$C$6:$C$1000,$B18)</f>
        <v>0</v>
      </c>
      <c r="G18" s="26">
        <f>SUMIFS(Verlauf!$J$6:$J$1000,Verlauf!$B$6:$B$1000,$A18,Verlauf!$C$6:$C$1000,$B18)</f>
        <v>0</v>
      </c>
      <c r="H18" s="26">
        <f>SUMIFS(Verlauf!$U$6:$U$1000,Verlauf!$B$6:$B$1000,$A18,Verlauf!$C$6:$C$1000,$B18)</f>
        <v>0</v>
      </c>
      <c r="I18" s="26">
        <f>SUMIFS(Verlauf!$V$6:$V$1000,Verlauf!$B$6:$B$1000,$A18,Verlauf!$C$6:$C$1000,$B18)</f>
        <v>0</v>
      </c>
      <c r="J18" s="26">
        <f>SUMIFS(Verlauf!$W$6:$W$1000,Verlauf!$B$6:$B$1000,$A18,Verlauf!$C$6:$C$1000,$B18)</f>
        <v>0</v>
      </c>
      <c r="K18" s="26">
        <f>SUMIFS(Verlauf!$T$6:$T$1000,Verlauf!$B$6:$B$1000,$A18,Verlauf!$C$6:$C$1000,$B18)</f>
        <v>0</v>
      </c>
      <c r="L18" s="27">
        <f>IF(Filter!$T$7=TRUE,IFERROR(INDEX(Planung!$D$68:$IA$68,MATCH($W18,Wirksam!$D$6:$IA$6,0)),0),0)</f>
        <v>0</v>
      </c>
      <c r="M18" s="27">
        <f>IF(OR(Filter!$T$5=TRUE,Filter!$T$6=TRUE),IFERROR(INDEX(Planung!$D$69:$IA$69,MATCH($W18,Wirksam!$D$6:$IA$6,0)),0),0)</f>
        <v>0</v>
      </c>
      <c r="N18" s="27">
        <f t="shared" si="1"/>
        <v>0</v>
      </c>
      <c r="O18" s="27" t="e">
        <f t="shared" si="2"/>
        <v>#N/A</v>
      </c>
      <c r="P18" s="27" t="e">
        <f t="shared" si="3"/>
        <v>#N/A</v>
      </c>
      <c r="Q18" s="27" t="e">
        <f t="shared" si="4"/>
        <v>#N/A</v>
      </c>
      <c r="R18" s="27" t="e">
        <f t="shared" si="5"/>
        <v>#N/A</v>
      </c>
      <c r="S18" s="27" t="e">
        <f t="shared" si="6"/>
        <v>#N/A</v>
      </c>
      <c r="T18" s="27" t="e">
        <f t="shared" si="7"/>
        <v>#N/A</v>
      </c>
      <c r="U18" s="26">
        <f>COUNTIFS(Verlauf!$B$6:$B$1000,$A18,Verlauf!$C$6:$C$1000,$B18)</f>
        <v>0</v>
      </c>
      <c r="V18" s="26">
        <f t="shared" si="8"/>
        <v>0</v>
      </c>
      <c r="W18" s="26">
        <f t="shared" si="9"/>
        <v>202642</v>
      </c>
      <c r="X18" s="26">
        <f>SUMIFS(Verlauf!$X$6:$X$1000,Verlauf!$B$6:$B$1000,$A18,Verlauf!$C$6:$C$1000,$B18)</f>
        <v>0</v>
      </c>
      <c r="Y18" s="26">
        <f>SUMIFS(Verlauf!$Y$6:$Y$1000,Verlauf!$B$6:$B$1000,$A18,Verlauf!$C$6:$C$1000,$B18)</f>
        <v>0</v>
      </c>
      <c r="Z18" s="26">
        <f>SUMIFS(Verlauf!$Z$6:$Z$1000,Verlauf!$B$6:$B$1000,$A18,Verlauf!$C$6:$C$1000,$B18)</f>
        <v>0</v>
      </c>
      <c r="AA18" s="26">
        <f>SUMIFS(Verlauf!$I$6:$I$1000,Verlauf!$B$6:$B$1000,$A18,Verlauf!$C$6:$C$1000,$B18)</f>
        <v>0</v>
      </c>
      <c r="AB18" s="26">
        <f>SUMIFS(Verlauf!$AA$6:$AA$1000,Verlauf!$B$6:$B$1000,$A18,Verlauf!$C$6:$C$1000,$B18)</f>
        <v>0</v>
      </c>
      <c r="AC18" s="26">
        <f>SUMIFS(Verlauf!$AB$6:$AB$1000,Verlauf!$B$6:$B$1000,$A18,Verlauf!$C$6:$C$1000,$B18)</f>
        <v>0</v>
      </c>
      <c r="AD18" s="26">
        <f>SUMIFS(Verlauf!$AC$6:$AC$1000,Verlauf!$B$6:$B$1000,$A18,Verlauf!$C$6:$C$1000,$B18)</f>
        <v>0</v>
      </c>
      <c r="AE18" s="26">
        <f>SUMIFS(Verlauf!$S$6:$S$1000,Verlauf!$B$6:$B$1000,$A18,Verlauf!$C$6:$C$1000,$B18)</f>
        <v>0</v>
      </c>
      <c r="AF18" s="26" t="str">
        <f>IF($AN18="","",INDEX(Verlauf!$D$6:$D$1000,MATCH($AN18,Verlauf!$A$6:$A$1000,0)))</f>
        <v/>
      </c>
      <c r="AG18" s="26" t="str">
        <f>IF($AN18="","",INDEX(Verlauf!$E$6:$E$1000,MATCH($AN18,Verlauf!$A$6:$A$1000,0)))</f>
        <v/>
      </c>
      <c r="AH18" s="26" t="str">
        <f>IF($AN18="","",INDEX(Verlauf!$F$6:$F$1000,MATCH($AN18,Verlauf!$A$6:$A$1000,0)))</f>
        <v/>
      </c>
      <c r="AI18" s="26" t="str">
        <f>IF($AN18="","",INDEX(Verlauf!$H$6:$H$1000,MATCH($AN18,Verlauf!$A$6:$A$1000,0)))</f>
        <v/>
      </c>
      <c r="AJ18" s="26" t="str">
        <f>IF($AN18="","",INDEX(Verlauf!$N$6:$N$1000,MATCH($AN18,Verlauf!$A$6:$A$1000,0)))</f>
        <v/>
      </c>
      <c r="AK18" s="26" t="str">
        <f>IF($AN18="","",INDEX(Verlauf!$O$6:$O$1000,MATCH($AN18,Verlauf!$A$6:$A$1000,0)))</f>
        <v/>
      </c>
      <c r="AL18" s="26" t="str">
        <f>IF($AN18="","",INDEX(Verlauf!$P$6:$P$1000,MATCH($AN18,Verlauf!$A$6:$A$1000,0)))</f>
        <v/>
      </c>
      <c r="AM18" s="26" t="str">
        <f>IF($AN18="","",INDEX(Verlauf!$R$6:$R$1000,MATCH($AN18,Verlauf!$A$6:$A$1000,0)))</f>
        <v/>
      </c>
      <c r="AN18" s="28" t="str">
        <f>IF(U18&gt;0,_xlfn.MAXIFS(Verlauf!$A$6:$A$1000,Verlauf!$B$6:$B$1000,$A18,Verlauf!$C$6:$C$1000,$B18),"")</f>
        <v/>
      </c>
    </row>
    <row r="19" spans="1:40" x14ac:dyDescent="0.25">
      <c r="A19" s="26">
        <v>2026</v>
      </c>
      <c r="B19" s="26">
        <v>43</v>
      </c>
      <c r="C19" s="7" t="str">
        <f t="shared" si="0"/>
        <v>KW 43/26</v>
      </c>
      <c r="D19" s="26">
        <f>SUMIFS(Verlauf!$K$6:$K$1000,Verlauf!$B$6:$B$1000,$A19,Verlauf!$C$6:$C$1000,$B19)</f>
        <v>0</v>
      </c>
      <c r="E19" s="26">
        <f>SUMIFS(Verlauf!$L$6:$L$1000,Verlauf!$B$6:$B$1000,$A19,Verlauf!$C$6:$C$1000,$B19)</f>
        <v>0</v>
      </c>
      <c r="F19" s="26">
        <f>SUMIFS(Verlauf!$M$6:$M$1000,Verlauf!$B$6:$B$1000,$A19,Verlauf!$C$6:$C$1000,$B19)</f>
        <v>0</v>
      </c>
      <c r="G19" s="26">
        <f>SUMIFS(Verlauf!$J$6:$J$1000,Verlauf!$B$6:$B$1000,$A19,Verlauf!$C$6:$C$1000,$B19)</f>
        <v>0</v>
      </c>
      <c r="H19" s="26">
        <f>SUMIFS(Verlauf!$U$6:$U$1000,Verlauf!$B$6:$B$1000,$A19,Verlauf!$C$6:$C$1000,$B19)</f>
        <v>0</v>
      </c>
      <c r="I19" s="26">
        <f>SUMIFS(Verlauf!$V$6:$V$1000,Verlauf!$B$6:$B$1000,$A19,Verlauf!$C$6:$C$1000,$B19)</f>
        <v>0</v>
      </c>
      <c r="J19" s="26">
        <f>SUMIFS(Verlauf!$W$6:$W$1000,Verlauf!$B$6:$B$1000,$A19,Verlauf!$C$6:$C$1000,$B19)</f>
        <v>0</v>
      </c>
      <c r="K19" s="26">
        <f>SUMIFS(Verlauf!$T$6:$T$1000,Verlauf!$B$6:$B$1000,$A19,Verlauf!$C$6:$C$1000,$B19)</f>
        <v>0</v>
      </c>
      <c r="L19" s="27">
        <f>IF(Filter!$T$7=TRUE,IFERROR(INDEX(Planung!$D$68:$IA$68,MATCH($W19,Wirksam!$D$6:$IA$6,0)),0),0)</f>
        <v>0</v>
      </c>
      <c r="M19" s="27">
        <f>IF(OR(Filter!$T$5=TRUE,Filter!$T$6=TRUE),IFERROR(INDEX(Planung!$D$69:$IA$69,MATCH($W19,Wirksam!$D$6:$IA$6,0)),0),0)</f>
        <v>0</v>
      </c>
      <c r="N19" s="27">
        <f t="shared" si="1"/>
        <v>0</v>
      </c>
      <c r="O19" s="27" t="e">
        <f t="shared" si="2"/>
        <v>#N/A</v>
      </c>
      <c r="P19" s="27" t="e">
        <f t="shared" si="3"/>
        <v>#N/A</v>
      </c>
      <c r="Q19" s="27" t="e">
        <f t="shared" si="4"/>
        <v>#N/A</v>
      </c>
      <c r="R19" s="27" t="e">
        <f t="shared" si="5"/>
        <v>#N/A</v>
      </c>
      <c r="S19" s="27" t="e">
        <f t="shared" si="6"/>
        <v>#N/A</v>
      </c>
      <c r="T19" s="27" t="e">
        <f t="shared" si="7"/>
        <v>#N/A</v>
      </c>
      <c r="U19" s="26">
        <f>COUNTIFS(Verlauf!$B$6:$B$1000,$A19,Verlauf!$C$6:$C$1000,$B19)</f>
        <v>0</v>
      </c>
      <c r="V19" s="26">
        <f t="shared" si="8"/>
        <v>0</v>
      </c>
      <c r="W19" s="26">
        <f t="shared" si="9"/>
        <v>202643</v>
      </c>
      <c r="X19" s="26">
        <f>SUMIFS(Verlauf!$X$6:$X$1000,Verlauf!$B$6:$B$1000,$A19,Verlauf!$C$6:$C$1000,$B19)</f>
        <v>0</v>
      </c>
      <c r="Y19" s="26">
        <f>SUMIFS(Verlauf!$Y$6:$Y$1000,Verlauf!$B$6:$B$1000,$A19,Verlauf!$C$6:$C$1000,$B19)</f>
        <v>0</v>
      </c>
      <c r="Z19" s="26">
        <f>SUMIFS(Verlauf!$Z$6:$Z$1000,Verlauf!$B$6:$B$1000,$A19,Verlauf!$C$6:$C$1000,$B19)</f>
        <v>0</v>
      </c>
      <c r="AA19" s="26">
        <f>SUMIFS(Verlauf!$I$6:$I$1000,Verlauf!$B$6:$B$1000,$A19,Verlauf!$C$6:$C$1000,$B19)</f>
        <v>0</v>
      </c>
      <c r="AB19" s="26">
        <f>SUMIFS(Verlauf!$AA$6:$AA$1000,Verlauf!$B$6:$B$1000,$A19,Verlauf!$C$6:$C$1000,$B19)</f>
        <v>0</v>
      </c>
      <c r="AC19" s="26">
        <f>SUMIFS(Verlauf!$AB$6:$AB$1000,Verlauf!$B$6:$B$1000,$A19,Verlauf!$C$6:$C$1000,$B19)</f>
        <v>0</v>
      </c>
      <c r="AD19" s="26">
        <f>SUMIFS(Verlauf!$AC$6:$AC$1000,Verlauf!$B$6:$B$1000,$A19,Verlauf!$C$6:$C$1000,$B19)</f>
        <v>0</v>
      </c>
      <c r="AE19" s="26">
        <f>SUMIFS(Verlauf!$S$6:$S$1000,Verlauf!$B$6:$B$1000,$A19,Verlauf!$C$6:$C$1000,$B19)</f>
        <v>0</v>
      </c>
      <c r="AF19" s="26" t="str">
        <f>IF($AN19="","",INDEX(Verlauf!$D$6:$D$1000,MATCH($AN19,Verlauf!$A$6:$A$1000,0)))</f>
        <v/>
      </c>
      <c r="AG19" s="26" t="str">
        <f>IF($AN19="","",INDEX(Verlauf!$E$6:$E$1000,MATCH($AN19,Verlauf!$A$6:$A$1000,0)))</f>
        <v/>
      </c>
      <c r="AH19" s="26" t="str">
        <f>IF($AN19="","",INDEX(Verlauf!$F$6:$F$1000,MATCH($AN19,Verlauf!$A$6:$A$1000,0)))</f>
        <v/>
      </c>
      <c r="AI19" s="26" t="str">
        <f>IF($AN19="","",INDEX(Verlauf!$H$6:$H$1000,MATCH($AN19,Verlauf!$A$6:$A$1000,0)))</f>
        <v/>
      </c>
      <c r="AJ19" s="26" t="str">
        <f>IF($AN19="","",INDEX(Verlauf!$N$6:$N$1000,MATCH($AN19,Verlauf!$A$6:$A$1000,0)))</f>
        <v/>
      </c>
      <c r="AK19" s="26" t="str">
        <f>IF($AN19="","",INDEX(Verlauf!$O$6:$O$1000,MATCH($AN19,Verlauf!$A$6:$A$1000,0)))</f>
        <v/>
      </c>
      <c r="AL19" s="26" t="str">
        <f>IF($AN19="","",INDEX(Verlauf!$P$6:$P$1000,MATCH($AN19,Verlauf!$A$6:$A$1000,0)))</f>
        <v/>
      </c>
      <c r="AM19" s="26" t="str">
        <f>IF($AN19="","",INDEX(Verlauf!$R$6:$R$1000,MATCH($AN19,Verlauf!$A$6:$A$1000,0)))</f>
        <v/>
      </c>
      <c r="AN19" s="28" t="str">
        <f>IF(U19&gt;0,_xlfn.MAXIFS(Verlauf!$A$6:$A$1000,Verlauf!$B$6:$B$1000,$A19,Verlauf!$C$6:$C$1000,$B19),"")</f>
        <v/>
      </c>
    </row>
    <row r="20" spans="1:40" x14ac:dyDescent="0.25">
      <c r="A20" s="26">
        <v>2026</v>
      </c>
      <c r="B20" s="26">
        <v>44</v>
      </c>
      <c r="C20" s="7" t="str">
        <f t="shared" si="0"/>
        <v>KW 44/26</v>
      </c>
      <c r="D20" s="26">
        <f>SUMIFS(Verlauf!$K$6:$K$1000,Verlauf!$B$6:$B$1000,$A20,Verlauf!$C$6:$C$1000,$B20)</f>
        <v>0</v>
      </c>
      <c r="E20" s="26">
        <f>SUMIFS(Verlauf!$L$6:$L$1000,Verlauf!$B$6:$B$1000,$A20,Verlauf!$C$6:$C$1000,$B20)</f>
        <v>0</v>
      </c>
      <c r="F20" s="26">
        <f>SUMIFS(Verlauf!$M$6:$M$1000,Verlauf!$B$6:$B$1000,$A20,Verlauf!$C$6:$C$1000,$B20)</f>
        <v>0</v>
      </c>
      <c r="G20" s="26">
        <f>SUMIFS(Verlauf!$J$6:$J$1000,Verlauf!$B$6:$B$1000,$A20,Verlauf!$C$6:$C$1000,$B20)</f>
        <v>0</v>
      </c>
      <c r="H20" s="26">
        <f>SUMIFS(Verlauf!$U$6:$U$1000,Verlauf!$B$6:$B$1000,$A20,Verlauf!$C$6:$C$1000,$B20)</f>
        <v>0</v>
      </c>
      <c r="I20" s="26">
        <f>SUMIFS(Verlauf!$V$6:$V$1000,Verlauf!$B$6:$B$1000,$A20,Verlauf!$C$6:$C$1000,$B20)</f>
        <v>0</v>
      </c>
      <c r="J20" s="26">
        <f>SUMIFS(Verlauf!$W$6:$W$1000,Verlauf!$B$6:$B$1000,$A20,Verlauf!$C$6:$C$1000,$B20)</f>
        <v>0</v>
      </c>
      <c r="K20" s="26">
        <f>SUMIFS(Verlauf!$T$6:$T$1000,Verlauf!$B$6:$B$1000,$A20,Verlauf!$C$6:$C$1000,$B20)</f>
        <v>0</v>
      </c>
      <c r="L20" s="27">
        <f>IF(Filter!$T$7=TRUE,IFERROR(INDEX(Planung!$D$68:$IA$68,MATCH($W20,Wirksam!$D$6:$IA$6,0)),0),0)</f>
        <v>0</v>
      </c>
      <c r="M20" s="27">
        <f>IF(OR(Filter!$T$5=TRUE,Filter!$T$6=TRUE),IFERROR(INDEX(Planung!$D$69:$IA$69,MATCH($W20,Wirksam!$D$6:$IA$6,0)),0),0)</f>
        <v>0</v>
      </c>
      <c r="N20" s="27">
        <f t="shared" si="1"/>
        <v>0</v>
      </c>
      <c r="O20" s="27" t="e">
        <f t="shared" si="2"/>
        <v>#N/A</v>
      </c>
      <c r="P20" s="27" t="e">
        <f t="shared" si="3"/>
        <v>#N/A</v>
      </c>
      <c r="Q20" s="27" t="e">
        <f t="shared" si="4"/>
        <v>#N/A</v>
      </c>
      <c r="R20" s="27" t="e">
        <f t="shared" si="5"/>
        <v>#N/A</v>
      </c>
      <c r="S20" s="27" t="e">
        <f t="shared" si="6"/>
        <v>#N/A</v>
      </c>
      <c r="T20" s="27" t="e">
        <f t="shared" si="7"/>
        <v>#N/A</v>
      </c>
      <c r="U20" s="26">
        <f>COUNTIFS(Verlauf!$B$6:$B$1000,$A20,Verlauf!$C$6:$C$1000,$B20)</f>
        <v>0</v>
      </c>
      <c r="V20" s="26">
        <f t="shared" si="8"/>
        <v>0</v>
      </c>
      <c r="W20" s="26">
        <f t="shared" si="9"/>
        <v>202644</v>
      </c>
      <c r="X20" s="26">
        <f>SUMIFS(Verlauf!$X$6:$X$1000,Verlauf!$B$6:$B$1000,$A20,Verlauf!$C$6:$C$1000,$B20)</f>
        <v>0</v>
      </c>
      <c r="Y20" s="26">
        <f>SUMIFS(Verlauf!$Y$6:$Y$1000,Verlauf!$B$6:$B$1000,$A20,Verlauf!$C$6:$C$1000,$B20)</f>
        <v>0</v>
      </c>
      <c r="Z20" s="26">
        <f>SUMIFS(Verlauf!$Z$6:$Z$1000,Verlauf!$B$6:$B$1000,$A20,Verlauf!$C$6:$C$1000,$B20)</f>
        <v>0</v>
      </c>
      <c r="AA20" s="26">
        <f>SUMIFS(Verlauf!$I$6:$I$1000,Verlauf!$B$6:$B$1000,$A20,Verlauf!$C$6:$C$1000,$B20)</f>
        <v>0</v>
      </c>
      <c r="AB20" s="26">
        <f>SUMIFS(Verlauf!$AA$6:$AA$1000,Verlauf!$B$6:$B$1000,$A20,Verlauf!$C$6:$C$1000,$B20)</f>
        <v>0</v>
      </c>
      <c r="AC20" s="26">
        <f>SUMIFS(Verlauf!$AB$6:$AB$1000,Verlauf!$B$6:$B$1000,$A20,Verlauf!$C$6:$C$1000,$B20)</f>
        <v>0</v>
      </c>
      <c r="AD20" s="26">
        <f>SUMIFS(Verlauf!$AC$6:$AC$1000,Verlauf!$B$6:$B$1000,$A20,Verlauf!$C$6:$C$1000,$B20)</f>
        <v>0</v>
      </c>
      <c r="AE20" s="26">
        <f>SUMIFS(Verlauf!$S$6:$S$1000,Verlauf!$B$6:$B$1000,$A20,Verlauf!$C$6:$C$1000,$B20)</f>
        <v>0</v>
      </c>
      <c r="AF20" s="26" t="str">
        <f>IF($AN20="","",INDEX(Verlauf!$D$6:$D$1000,MATCH($AN20,Verlauf!$A$6:$A$1000,0)))</f>
        <v/>
      </c>
      <c r="AG20" s="26" t="str">
        <f>IF($AN20="","",INDEX(Verlauf!$E$6:$E$1000,MATCH($AN20,Verlauf!$A$6:$A$1000,0)))</f>
        <v/>
      </c>
      <c r="AH20" s="26" t="str">
        <f>IF($AN20="","",INDEX(Verlauf!$F$6:$F$1000,MATCH($AN20,Verlauf!$A$6:$A$1000,0)))</f>
        <v/>
      </c>
      <c r="AI20" s="26" t="str">
        <f>IF($AN20="","",INDEX(Verlauf!$H$6:$H$1000,MATCH($AN20,Verlauf!$A$6:$A$1000,0)))</f>
        <v/>
      </c>
      <c r="AJ20" s="26" t="str">
        <f>IF($AN20="","",INDEX(Verlauf!$N$6:$N$1000,MATCH($AN20,Verlauf!$A$6:$A$1000,0)))</f>
        <v/>
      </c>
      <c r="AK20" s="26" t="str">
        <f>IF($AN20="","",INDEX(Verlauf!$O$6:$O$1000,MATCH($AN20,Verlauf!$A$6:$A$1000,0)))</f>
        <v/>
      </c>
      <c r="AL20" s="26" t="str">
        <f>IF($AN20="","",INDEX(Verlauf!$P$6:$P$1000,MATCH($AN20,Verlauf!$A$6:$A$1000,0)))</f>
        <v/>
      </c>
      <c r="AM20" s="26" t="str">
        <f>IF($AN20="","",INDEX(Verlauf!$R$6:$R$1000,MATCH($AN20,Verlauf!$A$6:$A$1000,0)))</f>
        <v/>
      </c>
      <c r="AN20" s="28" t="str">
        <f>IF(U20&gt;0,_xlfn.MAXIFS(Verlauf!$A$6:$A$1000,Verlauf!$B$6:$B$1000,$A20,Verlauf!$C$6:$C$1000,$B20),"")</f>
        <v/>
      </c>
    </row>
    <row r="21" spans="1:40" x14ac:dyDescent="0.25">
      <c r="A21" s="26">
        <v>2026</v>
      </c>
      <c r="B21" s="26">
        <v>45</v>
      </c>
      <c r="C21" s="7" t="str">
        <f t="shared" si="0"/>
        <v>KW 45/26</v>
      </c>
      <c r="D21" s="26">
        <f>SUMIFS(Verlauf!$K$6:$K$1000,Verlauf!$B$6:$B$1000,$A21,Verlauf!$C$6:$C$1000,$B21)</f>
        <v>0</v>
      </c>
      <c r="E21" s="26">
        <f>SUMIFS(Verlauf!$L$6:$L$1000,Verlauf!$B$6:$B$1000,$A21,Verlauf!$C$6:$C$1000,$B21)</f>
        <v>0</v>
      </c>
      <c r="F21" s="26">
        <f>SUMIFS(Verlauf!$M$6:$M$1000,Verlauf!$B$6:$B$1000,$A21,Verlauf!$C$6:$C$1000,$B21)</f>
        <v>0</v>
      </c>
      <c r="G21" s="26">
        <f>SUMIFS(Verlauf!$J$6:$J$1000,Verlauf!$B$6:$B$1000,$A21,Verlauf!$C$6:$C$1000,$B21)</f>
        <v>0</v>
      </c>
      <c r="H21" s="26">
        <f>SUMIFS(Verlauf!$U$6:$U$1000,Verlauf!$B$6:$B$1000,$A21,Verlauf!$C$6:$C$1000,$B21)</f>
        <v>0</v>
      </c>
      <c r="I21" s="26">
        <f>SUMIFS(Verlauf!$V$6:$V$1000,Verlauf!$B$6:$B$1000,$A21,Verlauf!$C$6:$C$1000,$B21)</f>
        <v>0</v>
      </c>
      <c r="J21" s="26">
        <f>SUMIFS(Verlauf!$W$6:$W$1000,Verlauf!$B$6:$B$1000,$A21,Verlauf!$C$6:$C$1000,$B21)</f>
        <v>0</v>
      </c>
      <c r="K21" s="26">
        <f>SUMIFS(Verlauf!$T$6:$T$1000,Verlauf!$B$6:$B$1000,$A21,Verlauf!$C$6:$C$1000,$B21)</f>
        <v>0</v>
      </c>
      <c r="L21" s="27">
        <f>IF(Filter!$T$7=TRUE,IFERROR(INDEX(Planung!$D$68:$IA$68,MATCH($W21,Wirksam!$D$6:$IA$6,0)),0),0)</f>
        <v>0</v>
      </c>
      <c r="M21" s="27">
        <f>IF(OR(Filter!$T$5=TRUE,Filter!$T$6=TRUE),IFERROR(INDEX(Planung!$D$69:$IA$69,MATCH($W21,Wirksam!$D$6:$IA$6,0)),0),0)</f>
        <v>0</v>
      </c>
      <c r="N21" s="27">
        <f t="shared" si="1"/>
        <v>0</v>
      </c>
      <c r="O21" s="27" t="e">
        <f t="shared" si="2"/>
        <v>#N/A</v>
      </c>
      <c r="P21" s="27" t="e">
        <f t="shared" si="3"/>
        <v>#N/A</v>
      </c>
      <c r="Q21" s="27" t="e">
        <f t="shared" si="4"/>
        <v>#N/A</v>
      </c>
      <c r="R21" s="27" t="e">
        <f t="shared" si="5"/>
        <v>#N/A</v>
      </c>
      <c r="S21" s="27" t="e">
        <f t="shared" si="6"/>
        <v>#N/A</v>
      </c>
      <c r="T21" s="27" t="e">
        <f t="shared" si="7"/>
        <v>#N/A</v>
      </c>
      <c r="U21" s="26">
        <f>COUNTIFS(Verlauf!$B$6:$B$1000,$A21,Verlauf!$C$6:$C$1000,$B21)</f>
        <v>0</v>
      </c>
      <c r="V21" s="26">
        <f t="shared" si="8"/>
        <v>0</v>
      </c>
      <c r="W21" s="26">
        <f t="shared" si="9"/>
        <v>202645</v>
      </c>
      <c r="X21" s="26">
        <f>SUMIFS(Verlauf!$X$6:$X$1000,Verlauf!$B$6:$B$1000,$A21,Verlauf!$C$6:$C$1000,$B21)</f>
        <v>0</v>
      </c>
      <c r="Y21" s="26">
        <f>SUMIFS(Verlauf!$Y$6:$Y$1000,Verlauf!$B$6:$B$1000,$A21,Verlauf!$C$6:$C$1000,$B21)</f>
        <v>0</v>
      </c>
      <c r="Z21" s="26">
        <f>SUMIFS(Verlauf!$Z$6:$Z$1000,Verlauf!$B$6:$B$1000,$A21,Verlauf!$C$6:$C$1000,$B21)</f>
        <v>0</v>
      </c>
      <c r="AA21" s="26">
        <f>SUMIFS(Verlauf!$I$6:$I$1000,Verlauf!$B$6:$B$1000,$A21,Verlauf!$C$6:$C$1000,$B21)</f>
        <v>0</v>
      </c>
      <c r="AB21" s="26">
        <f>SUMIFS(Verlauf!$AA$6:$AA$1000,Verlauf!$B$6:$B$1000,$A21,Verlauf!$C$6:$C$1000,$B21)</f>
        <v>0</v>
      </c>
      <c r="AC21" s="26">
        <f>SUMIFS(Verlauf!$AB$6:$AB$1000,Verlauf!$B$6:$B$1000,$A21,Verlauf!$C$6:$C$1000,$B21)</f>
        <v>0</v>
      </c>
      <c r="AD21" s="26">
        <f>SUMIFS(Verlauf!$AC$6:$AC$1000,Verlauf!$B$6:$B$1000,$A21,Verlauf!$C$6:$C$1000,$B21)</f>
        <v>0</v>
      </c>
      <c r="AE21" s="26">
        <f>SUMIFS(Verlauf!$S$6:$S$1000,Verlauf!$B$6:$B$1000,$A21,Verlauf!$C$6:$C$1000,$B21)</f>
        <v>0</v>
      </c>
      <c r="AF21" s="26" t="str">
        <f>IF($AN21="","",INDEX(Verlauf!$D$6:$D$1000,MATCH($AN21,Verlauf!$A$6:$A$1000,0)))</f>
        <v/>
      </c>
      <c r="AG21" s="26" t="str">
        <f>IF($AN21="","",INDEX(Verlauf!$E$6:$E$1000,MATCH($AN21,Verlauf!$A$6:$A$1000,0)))</f>
        <v/>
      </c>
      <c r="AH21" s="26" t="str">
        <f>IF($AN21="","",INDEX(Verlauf!$F$6:$F$1000,MATCH($AN21,Verlauf!$A$6:$A$1000,0)))</f>
        <v/>
      </c>
      <c r="AI21" s="26" t="str">
        <f>IF($AN21="","",INDEX(Verlauf!$H$6:$H$1000,MATCH($AN21,Verlauf!$A$6:$A$1000,0)))</f>
        <v/>
      </c>
      <c r="AJ21" s="26" t="str">
        <f>IF($AN21="","",INDEX(Verlauf!$N$6:$N$1000,MATCH($AN21,Verlauf!$A$6:$A$1000,0)))</f>
        <v/>
      </c>
      <c r="AK21" s="26" t="str">
        <f>IF($AN21="","",INDEX(Verlauf!$O$6:$O$1000,MATCH($AN21,Verlauf!$A$6:$A$1000,0)))</f>
        <v/>
      </c>
      <c r="AL21" s="26" t="str">
        <f>IF($AN21="","",INDEX(Verlauf!$P$6:$P$1000,MATCH($AN21,Verlauf!$A$6:$A$1000,0)))</f>
        <v/>
      </c>
      <c r="AM21" s="26" t="str">
        <f>IF($AN21="","",INDEX(Verlauf!$R$6:$R$1000,MATCH($AN21,Verlauf!$A$6:$A$1000,0)))</f>
        <v/>
      </c>
      <c r="AN21" s="28" t="str">
        <f>IF(U21&gt;0,_xlfn.MAXIFS(Verlauf!$A$6:$A$1000,Verlauf!$B$6:$B$1000,$A21,Verlauf!$C$6:$C$1000,$B21),"")</f>
        <v/>
      </c>
    </row>
    <row r="22" spans="1:40" x14ac:dyDescent="0.25">
      <c r="A22" s="26">
        <v>2026</v>
      </c>
      <c r="B22" s="26">
        <v>46</v>
      </c>
      <c r="C22" s="7" t="str">
        <f t="shared" si="0"/>
        <v>KW 46/26</v>
      </c>
      <c r="D22" s="26">
        <f>SUMIFS(Verlauf!$K$6:$K$1000,Verlauf!$B$6:$B$1000,$A22,Verlauf!$C$6:$C$1000,$B22)</f>
        <v>0</v>
      </c>
      <c r="E22" s="26">
        <f>SUMIFS(Verlauf!$L$6:$L$1000,Verlauf!$B$6:$B$1000,$A22,Verlauf!$C$6:$C$1000,$B22)</f>
        <v>0</v>
      </c>
      <c r="F22" s="26">
        <f>SUMIFS(Verlauf!$M$6:$M$1000,Verlauf!$B$6:$B$1000,$A22,Verlauf!$C$6:$C$1000,$B22)</f>
        <v>0</v>
      </c>
      <c r="G22" s="26">
        <f>SUMIFS(Verlauf!$J$6:$J$1000,Verlauf!$B$6:$B$1000,$A22,Verlauf!$C$6:$C$1000,$B22)</f>
        <v>0</v>
      </c>
      <c r="H22" s="26">
        <f>SUMIFS(Verlauf!$U$6:$U$1000,Verlauf!$B$6:$B$1000,$A22,Verlauf!$C$6:$C$1000,$B22)</f>
        <v>0</v>
      </c>
      <c r="I22" s="26">
        <f>SUMIFS(Verlauf!$V$6:$V$1000,Verlauf!$B$6:$B$1000,$A22,Verlauf!$C$6:$C$1000,$B22)</f>
        <v>0</v>
      </c>
      <c r="J22" s="26">
        <f>SUMIFS(Verlauf!$W$6:$W$1000,Verlauf!$B$6:$B$1000,$A22,Verlauf!$C$6:$C$1000,$B22)</f>
        <v>0</v>
      </c>
      <c r="K22" s="26">
        <f>SUMIFS(Verlauf!$T$6:$T$1000,Verlauf!$B$6:$B$1000,$A22,Verlauf!$C$6:$C$1000,$B22)</f>
        <v>0</v>
      </c>
      <c r="L22" s="27">
        <f>IF(Filter!$T$7=TRUE,IFERROR(INDEX(Planung!$D$68:$IA$68,MATCH($W22,Wirksam!$D$6:$IA$6,0)),0),0)</f>
        <v>0</v>
      </c>
      <c r="M22" s="27">
        <f>IF(OR(Filter!$T$5=TRUE,Filter!$T$6=TRUE),IFERROR(INDEX(Planung!$D$69:$IA$69,MATCH($W22,Wirksam!$D$6:$IA$6,0)),0),0)</f>
        <v>0</v>
      </c>
      <c r="N22" s="27">
        <f t="shared" si="1"/>
        <v>0</v>
      </c>
      <c r="O22" s="27" t="e">
        <f t="shared" si="2"/>
        <v>#N/A</v>
      </c>
      <c r="P22" s="27" t="e">
        <f t="shared" si="3"/>
        <v>#N/A</v>
      </c>
      <c r="Q22" s="27" t="e">
        <f t="shared" si="4"/>
        <v>#N/A</v>
      </c>
      <c r="R22" s="27" t="e">
        <f t="shared" si="5"/>
        <v>#N/A</v>
      </c>
      <c r="S22" s="27" t="e">
        <f t="shared" si="6"/>
        <v>#N/A</v>
      </c>
      <c r="T22" s="27" t="e">
        <f t="shared" si="7"/>
        <v>#N/A</v>
      </c>
      <c r="U22" s="26">
        <f>COUNTIFS(Verlauf!$B$6:$B$1000,$A22,Verlauf!$C$6:$C$1000,$B22)</f>
        <v>0</v>
      </c>
      <c r="V22" s="26">
        <f t="shared" si="8"/>
        <v>0</v>
      </c>
      <c r="W22" s="26">
        <f t="shared" si="9"/>
        <v>202646</v>
      </c>
      <c r="X22" s="26">
        <f>SUMIFS(Verlauf!$X$6:$X$1000,Verlauf!$B$6:$B$1000,$A22,Verlauf!$C$6:$C$1000,$B22)</f>
        <v>0</v>
      </c>
      <c r="Y22" s="26">
        <f>SUMIFS(Verlauf!$Y$6:$Y$1000,Verlauf!$B$6:$B$1000,$A22,Verlauf!$C$6:$C$1000,$B22)</f>
        <v>0</v>
      </c>
      <c r="Z22" s="26">
        <f>SUMIFS(Verlauf!$Z$6:$Z$1000,Verlauf!$B$6:$B$1000,$A22,Verlauf!$C$6:$C$1000,$B22)</f>
        <v>0</v>
      </c>
      <c r="AA22" s="26">
        <f>SUMIFS(Verlauf!$I$6:$I$1000,Verlauf!$B$6:$B$1000,$A22,Verlauf!$C$6:$C$1000,$B22)</f>
        <v>0</v>
      </c>
      <c r="AB22" s="26">
        <f>SUMIFS(Verlauf!$AA$6:$AA$1000,Verlauf!$B$6:$B$1000,$A22,Verlauf!$C$6:$C$1000,$B22)</f>
        <v>0</v>
      </c>
      <c r="AC22" s="26">
        <f>SUMIFS(Verlauf!$AB$6:$AB$1000,Verlauf!$B$6:$B$1000,$A22,Verlauf!$C$6:$C$1000,$B22)</f>
        <v>0</v>
      </c>
      <c r="AD22" s="26">
        <f>SUMIFS(Verlauf!$AC$6:$AC$1000,Verlauf!$B$6:$B$1000,$A22,Verlauf!$C$6:$C$1000,$B22)</f>
        <v>0</v>
      </c>
      <c r="AE22" s="26">
        <f>SUMIFS(Verlauf!$S$6:$S$1000,Verlauf!$B$6:$B$1000,$A22,Verlauf!$C$6:$C$1000,$B22)</f>
        <v>0</v>
      </c>
      <c r="AF22" s="26" t="str">
        <f>IF($AN22="","",INDEX(Verlauf!$D$6:$D$1000,MATCH($AN22,Verlauf!$A$6:$A$1000,0)))</f>
        <v/>
      </c>
      <c r="AG22" s="26" t="str">
        <f>IF($AN22="","",INDEX(Verlauf!$E$6:$E$1000,MATCH($AN22,Verlauf!$A$6:$A$1000,0)))</f>
        <v/>
      </c>
      <c r="AH22" s="26" t="str">
        <f>IF($AN22="","",INDEX(Verlauf!$F$6:$F$1000,MATCH($AN22,Verlauf!$A$6:$A$1000,0)))</f>
        <v/>
      </c>
      <c r="AI22" s="26" t="str">
        <f>IF($AN22="","",INDEX(Verlauf!$H$6:$H$1000,MATCH($AN22,Verlauf!$A$6:$A$1000,0)))</f>
        <v/>
      </c>
      <c r="AJ22" s="26" t="str">
        <f>IF($AN22="","",INDEX(Verlauf!$N$6:$N$1000,MATCH($AN22,Verlauf!$A$6:$A$1000,0)))</f>
        <v/>
      </c>
      <c r="AK22" s="26" t="str">
        <f>IF($AN22="","",INDEX(Verlauf!$O$6:$O$1000,MATCH($AN22,Verlauf!$A$6:$A$1000,0)))</f>
        <v/>
      </c>
      <c r="AL22" s="26" t="str">
        <f>IF($AN22="","",INDEX(Verlauf!$P$6:$P$1000,MATCH($AN22,Verlauf!$A$6:$A$1000,0)))</f>
        <v/>
      </c>
      <c r="AM22" s="26" t="str">
        <f>IF($AN22="","",INDEX(Verlauf!$R$6:$R$1000,MATCH($AN22,Verlauf!$A$6:$A$1000,0)))</f>
        <v/>
      </c>
      <c r="AN22" s="28" t="str">
        <f>IF(U22&gt;0,_xlfn.MAXIFS(Verlauf!$A$6:$A$1000,Verlauf!$B$6:$B$1000,$A22,Verlauf!$C$6:$C$1000,$B22),"")</f>
        <v/>
      </c>
    </row>
    <row r="23" spans="1:40" x14ac:dyDescent="0.25">
      <c r="A23" s="26">
        <v>2026</v>
      </c>
      <c r="B23" s="26">
        <v>47</v>
      </c>
      <c r="C23" s="7" t="str">
        <f t="shared" si="0"/>
        <v>KW 47/26</v>
      </c>
      <c r="D23" s="26">
        <f>SUMIFS(Verlauf!$K$6:$K$1000,Verlauf!$B$6:$B$1000,$A23,Verlauf!$C$6:$C$1000,$B23)</f>
        <v>0</v>
      </c>
      <c r="E23" s="26">
        <f>SUMIFS(Verlauf!$L$6:$L$1000,Verlauf!$B$6:$B$1000,$A23,Verlauf!$C$6:$C$1000,$B23)</f>
        <v>0</v>
      </c>
      <c r="F23" s="26">
        <f>SUMIFS(Verlauf!$M$6:$M$1000,Verlauf!$B$6:$B$1000,$A23,Verlauf!$C$6:$C$1000,$B23)</f>
        <v>0</v>
      </c>
      <c r="G23" s="26">
        <f>SUMIFS(Verlauf!$J$6:$J$1000,Verlauf!$B$6:$B$1000,$A23,Verlauf!$C$6:$C$1000,$B23)</f>
        <v>0</v>
      </c>
      <c r="H23" s="26">
        <f>SUMIFS(Verlauf!$U$6:$U$1000,Verlauf!$B$6:$B$1000,$A23,Verlauf!$C$6:$C$1000,$B23)</f>
        <v>0</v>
      </c>
      <c r="I23" s="26">
        <f>SUMIFS(Verlauf!$V$6:$V$1000,Verlauf!$B$6:$B$1000,$A23,Verlauf!$C$6:$C$1000,$B23)</f>
        <v>0</v>
      </c>
      <c r="J23" s="26">
        <f>SUMIFS(Verlauf!$W$6:$W$1000,Verlauf!$B$6:$B$1000,$A23,Verlauf!$C$6:$C$1000,$B23)</f>
        <v>0</v>
      </c>
      <c r="K23" s="26">
        <f>SUMIFS(Verlauf!$T$6:$T$1000,Verlauf!$B$6:$B$1000,$A23,Verlauf!$C$6:$C$1000,$B23)</f>
        <v>0</v>
      </c>
      <c r="L23" s="27">
        <f>IF(Filter!$T$7=TRUE,IFERROR(INDEX(Planung!$D$68:$IA$68,MATCH($W23,Wirksam!$D$6:$IA$6,0)),0),0)</f>
        <v>0</v>
      </c>
      <c r="M23" s="27">
        <f>IF(OR(Filter!$T$5=TRUE,Filter!$T$6=TRUE),IFERROR(INDEX(Planung!$D$69:$IA$69,MATCH($W23,Wirksam!$D$6:$IA$6,0)),0),0)</f>
        <v>0</v>
      </c>
      <c r="N23" s="27">
        <f t="shared" si="1"/>
        <v>0</v>
      </c>
      <c r="O23" s="27" t="e">
        <f t="shared" si="2"/>
        <v>#N/A</v>
      </c>
      <c r="P23" s="27" t="e">
        <f t="shared" si="3"/>
        <v>#N/A</v>
      </c>
      <c r="Q23" s="27" t="e">
        <f t="shared" si="4"/>
        <v>#N/A</v>
      </c>
      <c r="R23" s="27" t="e">
        <f t="shared" si="5"/>
        <v>#N/A</v>
      </c>
      <c r="S23" s="27" t="e">
        <f t="shared" si="6"/>
        <v>#N/A</v>
      </c>
      <c r="T23" s="27" t="e">
        <f t="shared" si="7"/>
        <v>#N/A</v>
      </c>
      <c r="U23" s="26">
        <f>COUNTIFS(Verlauf!$B$6:$B$1000,$A23,Verlauf!$C$6:$C$1000,$B23)</f>
        <v>0</v>
      </c>
      <c r="V23" s="26">
        <f t="shared" si="8"/>
        <v>0</v>
      </c>
      <c r="W23" s="26">
        <f t="shared" si="9"/>
        <v>202647</v>
      </c>
      <c r="X23" s="26">
        <f>SUMIFS(Verlauf!$X$6:$X$1000,Verlauf!$B$6:$B$1000,$A23,Verlauf!$C$6:$C$1000,$B23)</f>
        <v>0</v>
      </c>
      <c r="Y23" s="26">
        <f>SUMIFS(Verlauf!$Y$6:$Y$1000,Verlauf!$B$6:$B$1000,$A23,Verlauf!$C$6:$C$1000,$B23)</f>
        <v>0</v>
      </c>
      <c r="Z23" s="26">
        <f>SUMIFS(Verlauf!$Z$6:$Z$1000,Verlauf!$B$6:$B$1000,$A23,Verlauf!$C$6:$C$1000,$B23)</f>
        <v>0</v>
      </c>
      <c r="AA23" s="26">
        <f>SUMIFS(Verlauf!$I$6:$I$1000,Verlauf!$B$6:$B$1000,$A23,Verlauf!$C$6:$C$1000,$B23)</f>
        <v>0</v>
      </c>
      <c r="AB23" s="26">
        <f>SUMIFS(Verlauf!$AA$6:$AA$1000,Verlauf!$B$6:$B$1000,$A23,Verlauf!$C$6:$C$1000,$B23)</f>
        <v>0</v>
      </c>
      <c r="AC23" s="26">
        <f>SUMIFS(Verlauf!$AB$6:$AB$1000,Verlauf!$B$6:$B$1000,$A23,Verlauf!$C$6:$C$1000,$B23)</f>
        <v>0</v>
      </c>
      <c r="AD23" s="26">
        <f>SUMIFS(Verlauf!$AC$6:$AC$1000,Verlauf!$B$6:$B$1000,$A23,Verlauf!$C$6:$C$1000,$B23)</f>
        <v>0</v>
      </c>
      <c r="AE23" s="26">
        <f>SUMIFS(Verlauf!$S$6:$S$1000,Verlauf!$B$6:$B$1000,$A23,Verlauf!$C$6:$C$1000,$B23)</f>
        <v>0</v>
      </c>
      <c r="AF23" s="26" t="str">
        <f>IF($AN23="","",INDEX(Verlauf!$D$6:$D$1000,MATCH($AN23,Verlauf!$A$6:$A$1000,0)))</f>
        <v/>
      </c>
      <c r="AG23" s="26" t="str">
        <f>IF($AN23="","",INDEX(Verlauf!$E$6:$E$1000,MATCH($AN23,Verlauf!$A$6:$A$1000,0)))</f>
        <v/>
      </c>
      <c r="AH23" s="26" t="str">
        <f>IF($AN23="","",INDEX(Verlauf!$F$6:$F$1000,MATCH($AN23,Verlauf!$A$6:$A$1000,0)))</f>
        <v/>
      </c>
      <c r="AI23" s="26" t="str">
        <f>IF($AN23="","",INDEX(Verlauf!$H$6:$H$1000,MATCH($AN23,Verlauf!$A$6:$A$1000,0)))</f>
        <v/>
      </c>
      <c r="AJ23" s="26" t="str">
        <f>IF($AN23="","",INDEX(Verlauf!$N$6:$N$1000,MATCH($AN23,Verlauf!$A$6:$A$1000,0)))</f>
        <v/>
      </c>
      <c r="AK23" s="26" t="str">
        <f>IF($AN23="","",INDEX(Verlauf!$O$6:$O$1000,MATCH($AN23,Verlauf!$A$6:$A$1000,0)))</f>
        <v/>
      </c>
      <c r="AL23" s="26" t="str">
        <f>IF($AN23="","",INDEX(Verlauf!$P$6:$P$1000,MATCH($AN23,Verlauf!$A$6:$A$1000,0)))</f>
        <v/>
      </c>
      <c r="AM23" s="26" t="str">
        <f>IF($AN23="","",INDEX(Verlauf!$R$6:$R$1000,MATCH($AN23,Verlauf!$A$6:$A$1000,0)))</f>
        <v/>
      </c>
      <c r="AN23" s="28" t="str">
        <f>IF(U23&gt;0,_xlfn.MAXIFS(Verlauf!$A$6:$A$1000,Verlauf!$B$6:$B$1000,$A23,Verlauf!$C$6:$C$1000,$B23),"")</f>
        <v/>
      </c>
    </row>
    <row r="24" spans="1:40" x14ac:dyDescent="0.25">
      <c r="A24" s="26">
        <v>2026</v>
      </c>
      <c r="B24" s="26">
        <v>48</v>
      </c>
      <c r="C24" s="7" t="str">
        <f t="shared" si="0"/>
        <v>KW 48/26</v>
      </c>
      <c r="D24" s="26">
        <f>SUMIFS(Verlauf!$K$6:$K$1000,Verlauf!$B$6:$B$1000,$A24,Verlauf!$C$6:$C$1000,$B24)</f>
        <v>0</v>
      </c>
      <c r="E24" s="26">
        <f>SUMIFS(Verlauf!$L$6:$L$1000,Verlauf!$B$6:$B$1000,$A24,Verlauf!$C$6:$C$1000,$B24)</f>
        <v>0</v>
      </c>
      <c r="F24" s="26">
        <f>SUMIFS(Verlauf!$M$6:$M$1000,Verlauf!$B$6:$B$1000,$A24,Verlauf!$C$6:$C$1000,$B24)</f>
        <v>0</v>
      </c>
      <c r="G24" s="26">
        <f>SUMIFS(Verlauf!$J$6:$J$1000,Verlauf!$B$6:$B$1000,$A24,Verlauf!$C$6:$C$1000,$B24)</f>
        <v>0</v>
      </c>
      <c r="H24" s="26">
        <f>SUMIFS(Verlauf!$U$6:$U$1000,Verlauf!$B$6:$B$1000,$A24,Verlauf!$C$6:$C$1000,$B24)</f>
        <v>0</v>
      </c>
      <c r="I24" s="26">
        <f>SUMIFS(Verlauf!$V$6:$V$1000,Verlauf!$B$6:$B$1000,$A24,Verlauf!$C$6:$C$1000,$B24)</f>
        <v>0</v>
      </c>
      <c r="J24" s="26">
        <f>SUMIFS(Verlauf!$W$6:$W$1000,Verlauf!$B$6:$B$1000,$A24,Verlauf!$C$6:$C$1000,$B24)</f>
        <v>0</v>
      </c>
      <c r="K24" s="26">
        <f>SUMIFS(Verlauf!$T$6:$T$1000,Verlauf!$B$6:$B$1000,$A24,Verlauf!$C$6:$C$1000,$B24)</f>
        <v>0</v>
      </c>
      <c r="L24" s="27">
        <f>IF(Filter!$T$7=TRUE,IFERROR(INDEX(Planung!$D$68:$IA$68,MATCH($W24,Wirksam!$D$6:$IA$6,0)),0),0)</f>
        <v>0</v>
      </c>
      <c r="M24" s="27">
        <f>IF(OR(Filter!$T$5=TRUE,Filter!$T$6=TRUE),IFERROR(INDEX(Planung!$D$69:$IA$69,MATCH($W24,Wirksam!$D$6:$IA$6,0)),0),0)</f>
        <v>0</v>
      </c>
      <c r="N24" s="27">
        <f t="shared" si="1"/>
        <v>0</v>
      </c>
      <c r="O24" s="27" t="e">
        <f t="shared" si="2"/>
        <v>#N/A</v>
      </c>
      <c r="P24" s="27" t="e">
        <f t="shared" si="3"/>
        <v>#N/A</v>
      </c>
      <c r="Q24" s="27" t="e">
        <f t="shared" si="4"/>
        <v>#N/A</v>
      </c>
      <c r="R24" s="27" t="e">
        <f t="shared" si="5"/>
        <v>#N/A</v>
      </c>
      <c r="S24" s="27" t="e">
        <f t="shared" si="6"/>
        <v>#N/A</v>
      </c>
      <c r="T24" s="27" t="e">
        <f t="shared" si="7"/>
        <v>#N/A</v>
      </c>
      <c r="U24" s="26">
        <f>COUNTIFS(Verlauf!$B$6:$B$1000,$A24,Verlauf!$C$6:$C$1000,$B24)</f>
        <v>0</v>
      </c>
      <c r="V24" s="26">
        <f t="shared" si="8"/>
        <v>0</v>
      </c>
      <c r="W24" s="26">
        <f t="shared" si="9"/>
        <v>202648</v>
      </c>
      <c r="X24" s="26">
        <f>SUMIFS(Verlauf!$X$6:$X$1000,Verlauf!$B$6:$B$1000,$A24,Verlauf!$C$6:$C$1000,$B24)</f>
        <v>0</v>
      </c>
      <c r="Y24" s="26">
        <f>SUMIFS(Verlauf!$Y$6:$Y$1000,Verlauf!$B$6:$B$1000,$A24,Verlauf!$C$6:$C$1000,$B24)</f>
        <v>0</v>
      </c>
      <c r="Z24" s="26">
        <f>SUMIFS(Verlauf!$Z$6:$Z$1000,Verlauf!$B$6:$B$1000,$A24,Verlauf!$C$6:$C$1000,$B24)</f>
        <v>0</v>
      </c>
      <c r="AA24" s="26">
        <f>SUMIFS(Verlauf!$I$6:$I$1000,Verlauf!$B$6:$B$1000,$A24,Verlauf!$C$6:$C$1000,$B24)</f>
        <v>0</v>
      </c>
      <c r="AB24" s="26">
        <f>SUMIFS(Verlauf!$AA$6:$AA$1000,Verlauf!$B$6:$B$1000,$A24,Verlauf!$C$6:$C$1000,$B24)</f>
        <v>0</v>
      </c>
      <c r="AC24" s="26">
        <f>SUMIFS(Verlauf!$AB$6:$AB$1000,Verlauf!$B$6:$B$1000,$A24,Verlauf!$C$6:$C$1000,$B24)</f>
        <v>0</v>
      </c>
      <c r="AD24" s="26">
        <f>SUMIFS(Verlauf!$AC$6:$AC$1000,Verlauf!$B$6:$B$1000,$A24,Verlauf!$C$6:$C$1000,$B24)</f>
        <v>0</v>
      </c>
      <c r="AE24" s="26">
        <f>SUMIFS(Verlauf!$S$6:$S$1000,Verlauf!$B$6:$B$1000,$A24,Verlauf!$C$6:$C$1000,$B24)</f>
        <v>0</v>
      </c>
      <c r="AF24" s="26" t="str">
        <f>IF($AN24="","",INDEX(Verlauf!$D$6:$D$1000,MATCH($AN24,Verlauf!$A$6:$A$1000,0)))</f>
        <v/>
      </c>
      <c r="AG24" s="26" t="str">
        <f>IF($AN24="","",INDEX(Verlauf!$E$6:$E$1000,MATCH($AN24,Verlauf!$A$6:$A$1000,0)))</f>
        <v/>
      </c>
      <c r="AH24" s="26" t="str">
        <f>IF($AN24="","",INDEX(Verlauf!$F$6:$F$1000,MATCH($AN24,Verlauf!$A$6:$A$1000,0)))</f>
        <v/>
      </c>
      <c r="AI24" s="26" t="str">
        <f>IF($AN24="","",INDEX(Verlauf!$H$6:$H$1000,MATCH($AN24,Verlauf!$A$6:$A$1000,0)))</f>
        <v/>
      </c>
      <c r="AJ24" s="26" t="str">
        <f>IF($AN24="","",INDEX(Verlauf!$N$6:$N$1000,MATCH($AN24,Verlauf!$A$6:$A$1000,0)))</f>
        <v/>
      </c>
      <c r="AK24" s="26" t="str">
        <f>IF($AN24="","",INDEX(Verlauf!$O$6:$O$1000,MATCH($AN24,Verlauf!$A$6:$A$1000,0)))</f>
        <v/>
      </c>
      <c r="AL24" s="26" t="str">
        <f>IF($AN24="","",INDEX(Verlauf!$P$6:$P$1000,MATCH($AN24,Verlauf!$A$6:$A$1000,0)))</f>
        <v/>
      </c>
      <c r="AM24" s="26" t="str">
        <f>IF($AN24="","",INDEX(Verlauf!$R$6:$R$1000,MATCH($AN24,Verlauf!$A$6:$A$1000,0)))</f>
        <v/>
      </c>
      <c r="AN24" s="28" t="str">
        <f>IF(U24&gt;0,_xlfn.MAXIFS(Verlauf!$A$6:$A$1000,Verlauf!$B$6:$B$1000,$A24,Verlauf!$C$6:$C$1000,$B24),"")</f>
        <v/>
      </c>
    </row>
    <row r="25" spans="1:40" x14ac:dyDescent="0.25">
      <c r="A25" s="26">
        <v>2026</v>
      </c>
      <c r="B25" s="26">
        <v>49</v>
      </c>
      <c r="C25" s="7" t="str">
        <f t="shared" si="0"/>
        <v>KW 49/26</v>
      </c>
      <c r="D25" s="26">
        <f>SUMIFS(Verlauf!$K$6:$K$1000,Verlauf!$B$6:$B$1000,$A25,Verlauf!$C$6:$C$1000,$B25)</f>
        <v>0</v>
      </c>
      <c r="E25" s="26">
        <f>SUMIFS(Verlauf!$L$6:$L$1000,Verlauf!$B$6:$B$1000,$A25,Verlauf!$C$6:$C$1000,$B25)</f>
        <v>0</v>
      </c>
      <c r="F25" s="26">
        <f>SUMIFS(Verlauf!$M$6:$M$1000,Verlauf!$B$6:$B$1000,$A25,Verlauf!$C$6:$C$1000,$B25)</f>
        <v>0</v>
      </c>
      <c r="G25" s="26">
        <f>SUMIFS(Verlauf!$J$6:$J$1000,Verlauf!$B$6:$B$1000,$A25,Verlauf!$C$6:$C$1000,$B25)</f>
        <v>0</v>
      </c>
      <c r="H25" s="26">
        <f>SUMIFS(Verlauf!$U$6:$U$1000,Verlauf!$B$6:$B$1000,$A25,Verlauf!$C$6:$C$1000,$B25)</f>
        <v>0</v>
      </c>
      <c r="I25" s="26">
        <f>SUMIFS(Verlauf!$V$6:$V$1000,Verlauf!$B$6:$B$1000,$A25,Verlauf!$C$6:$C$1000,$B25)</f>
        <v>0</v>
      </c>
      <c r="J25" s="26">
        <f>SUMIFS(Verlauf!$W$6:$W$1000,Verlauf!$B$6:$B$1000,$A25,Verlauf!$C$6:$C$1000,$B25)</f>
        <v>0</v>
      </c>
      <c r="K25" s="26">
        <f>SUMIFS(Verlauf!$T$6:$T$1000,Verlauf!$B$6:$B$1000,$A25,Verlauf!$C$6:$C$1000,$B25)</f>
        <v>0</v>
      </c>
      <c r="L25" s="27">
        <f>IF(Filter!$T$7=TRUE,IFERROR(INDEX(Planung!$D$68:$IA$68,MATCH($W25,Wirksam!$D$6:$IA$6,0)),0),0)</f>
        <v>0</v>
      </c>
      <c r="M25" s="27">
        <f>IF(OR(Filter!$T$5=TRUE,Filter!$T$6=TRUE),IFERROR(INDEX(Planung!$D$69:$IA$69,MATCH($W25,Wirksam!$D$6:$IA$6,0)),0),0)</f>
        <v>0</v>
      </c>
      <c r="N25" s="27">
        <f t="shared" si="1"/>
        <v>0</v>
      </c>
      <c r="O25" s="27" t="e">
        <f t="shared" si="2"/>
        <v>#N/A</v>
      </c>
      <c r="P25" s="27" t="e">
        <f t="shared" si="3"/>
        <v>#N/A</v>
      </c>
      <c r="Q25" s="27" t="e">
        <f t="shared" si="4"/>
        <v>#N/A</v>
      </c>
      <c r="R25" s="27" t="e">
        <f t="shared" si="5"/>
        <v>#N/A</v>
      </c>
      <c r="S25" s="27" t="e">
        <f t="shared" si="6"/>
        <v>#N/A</v>
      </c>
      <c r="T25" s="27" t="e">
        <f t="shared" si="7"/>
        <v>#N/A</v>
      </c>
      <c r="U25" s="26">
        <f>COUNTIFS(Verlauf!$B$6:$B$1000,$A25,Verlauf!$C$6:$C$1000,$B25)</f>
        <v>0</v>
      </c>
      <c r="V25" s="26">
        <f t="shared" si="8"/>
        <v>0</v>
      </c>
      <c r="W25" s="26">
        <f t="shared" si="9"/>
        <v>202649</v>
      </c>
      <c r="X25" s="26">
        <f>SUMIFS(Verlauf!$X$6:$X$1000,Verlauf!$B$6:$B$1000,$A25,Verlauf!$C$6:$C$1000,$B25)</f>
        <v>0</v>
      </c>
      <c r="Y25" s="26">
        <f>SUMIFS(Verlauf!$Y$6:$Y$1000,Verlauf!$B$6:$B$1000,$A25,Verlauf!$C$6:$C$1000,$B25)</f>
        <v>0</v>
      </c>
      <c r="Z25" s="26">
        <f>SUMIFS(Verlauf!$Z$6:$Z$1000,Verlauf!$B$6:$B$1000,$A25,Verlauf!$C$6:$C$1000,$B25)</f>
        <v>0</v>
      </c>
      <c r="AA25" s="26">
        <f>SUMIFS(Verlauf!$I$6:$I$1000,Verlauf!$B$6:$B$1000,$A25,Verlauf!$C$6:$C$1000,$B25)</f>
        <v>0</v>
      </c>
      <c r="AB25" s="26">
        <f>SUMIFS(Verlauf!$AA$6:$AA$1000,Verlauf!$B$6:$B$1000,$A25,Verlauf!$C$6:$C$1000,$B25)</f>
        <v>0</v>
      </c>
      <c r="AC25" s="26">
        <f>SUMIFS(Verlauf!$AB$6:$AB$1000,Verlauf!$B$6:$B$1000,$A25,Verlauf!$C$6:$C$1000,$B25)</f>
        <v>0</v>
      </c>
      <c r="AD25" s="26">
        <f>SUMIFS(Verlauf!$AC$6:$AC$1000,Verlauf!$B$6:$B$1000,$A25,Verlauf!$C$6:$C$1000,$B25)</f>
        <v>0</v>
      </c>
      <c r="AE25" s="26">
        <f>SUMIFS(Verlauf!$S$6:$S$1000,Verlauf!$B$6:$B$1000,$A25,Verlauf!$C$6:$C$1000,$B25)</f>
        <v>0</v>
      </c>
      <c r="AF25" s="26" t="str">
        <f>IF($AN25="","",INDEX(Verlauf!$D$6:$D$1000,MATCH($AN25,Verlauf!$A$6:$A$1000,0)))</f>
        <v/>
      </c>
      <c r="AG25" s="26" t="str">
        <f>IF($AN25="","",INDEX(Verlauf!$E$6:$E$1000,MATCH($AN25,Verlauf!$A$6:$A$1000,0)))</f>
        <v/>
      </c>
      <c r="AH25" s="26" t="str">
        <f>IF($AN25="","",INDEX(Verlauf!$F$6:$F$1000,MATCH($AN25,Verlauf!$A$6:$A$1000,0)))</f>
        <v/>
      </c>
      <c r="AI25" s="26" t="str">
        <f>IF($AN25="","",INDEX(Verlauf!$H$6:$H$1000,MATCH($AN25,Verlauf!$A$6:$A$1000,0)))</f>
        <v/>
      </c>
      <c r="AJ25" s="26" t="str">
        <f>IF($AN25="","",INDEX(Verlauf!$N$6:$N$1000,MATCH($AN25,Verlauf!$A$6:$A$1000,0)))</f>
        <v/>
      </c>
      <c r="AK25" s="26" t="str">
        <f>IF($AN25="","",INDEX(Verlauf!$O$6:$O$1000,MATCH($AN25,Verlauf!$A$6:$A$1000,0)))</f>
        <v/>
      </c>
      <c r="AL25" s="26" t="str">
        <f>IF($AN25="","",INDEX(Verlauf!$P$6:$P$1000,MATCH($AN25,Verlauf!$A$6:$A$1000,0)))</f>
        <v/>
      </c>
      <c r="AM25" s="26" t="str">
        <f>IF($AN25="","",INDEX(Verlauf!$R$6:$R$1000,MATCH($AN25,Verlauf!$A$6:$A$1000,0)))</f>
        <v/>
      </c>
      <c r="AN25" s="28" t="str">
        <f>IF(U25&gt;0,_xlfn.MAXIFS(Verlauf!$A$6:$A$1000,Verlauf!$B$6:$B$1000,$A25,Verlauf!$C$6:$C$1000,$B25),"")</f>
        <v/>
      </c>
    </row>
    <row r="26" spans="1:40" x14ac:dyDescent="0.25">
      <c r="A26" s="26">
        <v>2026</v>
      </c>
      <c r="B26" s="26">
        <v>50</v>
      </c>
      <c r="C26" s="7" t="str">
        <f t="shared" si="0"/>
        <v>KW 50/26</v>
      </c>
      <c r="D26" s="26">
        <f>SUMIFS(Verlauf!$K$6:$K$1000,Verlauf!$B$6:$B$1000,$A26,Verlauf!$C$6:$C$1000,$B26)</f>
        <v>0</v>
      </c>
      <c r="E26" s="26">
        <f>SUMIFS(Verlauf!$L$6:$L$1000,Verlauf!$B$6:$B$1000,$A26,Verlauf!$C$6:$C$1000,$B26)</f>
        <v>0</v>
      </c>
      <c r="F26" s="26">
        <f>SUMIFS(Verlauf!$M$6:$M$1000,Verlauf!$B$6:$B$1000,$A26,Verlauf!$C$6:$C$1000,$B26)</f>
        <v>0</v>
      </c>
      <c r="G26" s="26">
        <f>SUMIFS(Verlauf!$J$6:$J$1000,Verlauf!$B$6:$B$1000,$A26,Verlauf!$C$6:$C$1000,$B26)</f>
        <v>0</v>
      </c>
      <c r="H26" s="26">
        <f>SUMIFS(Verlauf!$U$6:$U$1000,Verlauf!$B$6:$B$1000,$A26,Verlauf!$C$6:$C$1000,$B26)</f>
        <v>0</v>
      </c>
      <c r="I26" s="26">
        <f>SUMIFS(Verlauf!$V$6:$V$1000,Verlauf!$B$6:$B$1000,$A26,Verlauf!$C$6:$C$1000,$B26)</f>
        <v>0</v>
      </c>
      <c r="J26" s="26">
        <f>SUMIFS(Verlauf!$W$6:$W$1000,Verlauf!$B$6:$B$1000,$A26,Verlauf!$C$6:$C$1000,$B26)</f>
        <v>0</v>
      </c>
      <c r="K26" s="26">
        <f>SUMIFS(Verlauf!$T$6:$T$1000,Verlauf!$B$6:$B$1000,$A26,Verlauf!$C$6:$C$1000,$B26)</f>
        <v>0</v>
      </c>
      <c r="L26" s="27">
        <f>IF(Filter!$T$7=TRUE,IFERROR(INDEX(Planung!$D$68:$IA$68,MATCH($W26,Wirksam!$D$6:$IA$6,0)),0),0)</f>
        <v>0</v>
      </c>
      <c r="M26" s="27">
        <f>IF(OR(Filter!$T$5=TRUE,Filter!$T$6=TRUE),IFERROR(INDEX(Planung!$D$69:$IA$69,MATCH($W26,Wirksam!$D$6:$IA$6,0)),0),0)</f>
        <v>0</v>
      </c>
      <c r="N26" s="27">
        <f t="shared" si="1"/>
        <v>0</v>
      </c>
      <c r="O26" s="27" t="e">
        <f t="shared" si="2"/>
        <v>#N/A</v>
      </c>
      <c r="P26" s="27" t="e">
        <f t="shared" si="3"/>
        <v>#N/A</v>
      </c>
      <c r="Q26" s="27" t="e">
        <f t="shared" si="4"/>
        <v>#N/A</v>
      </c>
      <c r="R26" s="27" t="e">
        <f t="shared" si="5"/>
        <v>#N/A</v>
      </c>
      <c r="S26" s="27" t="e">
        <f t="shared" si="6"/>
        <v>#N/A</v>
      </c>
      <c r="T26" s="27" t="e">
        <f t="shared" si="7"/>
        <v>#N/A</v>
      </c>
      <c r="U26" s="26">
        <f>COUNTIFS(Verlauf!$B$6:$B$1000,$A26,Verlauf!$C$6:$C$1000,$B26)</f>
        <v>0</v>
      </c>
      <c r="V26" s="26">
        <f t="shared" si="8"/>
        <v>0</v>
      </c>
      <c r="W26" s="26">
        <f t="shared" si="9"/>
        <v>202650</v>
      </c>
      <c r="X26" s="26">
        <f>SUMIFS(Verlauf!$X$6:$X$1000,Verlauf!$B$6:$B$1000,$A26,Verlauf!$C$6:$C$1000,$B26)</f>
        <v>0</v>
      </c>
      <c r="Y26" s="26">
        <f>SUMIFS(Verlauf!$Y$6:$Y$1000,Verlauf!$B$6:$B$1000,$A26,Verlauf!$C$6:$C$1000,$B26)</f>
        <v>0</v>
      </c>
      <c r="Z26" s="26">
        <f>SUMIFS(Verlauf!$Z$6:$Z$1000,Verlauf!$B$6:$B$1000,$A26,Verlauf!$C$6:$C$1000,$B26)</f>
        <v>0</v>
      </c>
      <c r="AA26" s="26">
        <f>SUMIFS(Verlauf!$I$6:$I$1000,Verlauf!$B$6:$B$1000,$A26,Verlauf!$C$6:$C$1000,$B26)</f>
        <v>0</v>
      </c>
      <c r="AB26" s="26">
        <f>SUMIFS(Verlauf!$AA$6:$AA$1000,Verlauf!$B$6:$B$1000,$A26,Verlauf!$C$6:$C$1000,$B26)</f>
        <v>0</v>
      </c>
      <c r="AC26" s="26">
        <f>SUMIFS(Verlauf!$AB$6:$AB$1000,Verlauf!$B$6:$B$1000,$A26,Verlauf!$C$6:$C$1000,$B26)</f>
        <v>0</v>
      </c>
      <c r="AD26" s="26">
        <f>SUMIFS(Verlauf!$AC$6:$AC$1000,Verlauf!$B$6:$B$1000,$A26,Verlauf!$C$6:$C$1000,$B26)</f>
        <v>0</v>
      </c>
      <c r="AE26" s="26">
        <f>SUMIFS(Verlauf!$S$6:$S$1000,Verlauf!$B$6:$B$1000,$A26,Verlauf!$C$6:$C$1000,$B26)</f>
        <v>0</v>
      </c>
      <c r="AF26" s="26" t="str">
        <f>IF($AN26="","",INDEX(Verlauf!$D$6:$D$1000,MATCH($AN26,Verlauf!$A$6:$A$1000,0)))</f>
        <v/>
      </c>
      <c r="AG26" s="26" t="str">
        <f>IF($AN26="","",INDEX(Verlauf!$E$6:$E$1000,MATCH($AN26,Verlauf!$A$6:$A$1000,0)))</f>
        <v/>
      </c>
      <c r="AH26" s="26" t="str">
        <f>IF($AN26="","",INDEX(Verlauf!$F$6:$F$1000,MATCH($AN26,Verlauf!$A$6:$A$1000,0)))</f>
        <v/>
      </c>
      <c r="AI26" s="26" t="str">
        <f>IF($AN26="","",INDEX(Verlauf!$H$6:$H$1000,MATCH($AN26,Verlauf!$A$6:$A$1000,0)))</f>
        <v/>
      </c>
      <c r="AJ26" s="26" t="str">
        <f>IF($AN26="","",INDEX(Verlauf!$N$6:$N$1000,MATCH($AN26,Verlauf!$A$6:$A$1000,0)))</f>
        <v/>
      </c>
      <c r="AK26" s="26" t="str">
        <f>IF($AN26="","",INDEX(Verlauf!$O$6:$O$1000,MATCH($AN26,Verlauf!$A$6:$A$1000,0)))</f>
        <v/>
      </c>
      <c r="AL26" s="26" t="str">
        <f>IF($AN26="","",INDEX(Verlauf!$P$6:$P$1000,MATCH($AN26,Verlauf!$A$6:$A$1000,0)))</f>
        <v/>
      </c>
      <c r="AM26" s="26" t="str">
        <f>IF($AN26="","",INDEX(Verlauf!$R$6:$R$1000,MATCH($AN26,Verlauf!$A$6:$A$1000,0)))</f>
        <v/>
      </c>
      <c r="AN26" s="28" t="str">
        <f>IF(U26&gt;0,_xlfn.MAXIFS(Verlauf!$A$6:$A$1000,Verlauf!$B$6:$B$1000,$A26,Verlauf!$C$6:$C$1000,$B26),"")</f>
        <v/>
      </c>
    </row>
    <row r="27" spans="1:40" x14ac:dyDescent="0.25">
      <c r="A27" s="26">
        <v>2026</v>
      </c>
      <c r="B27" s="26">
        <v>51</v>
      </c>
      <c r="C27" s="7" t="str">
        <f t="shared" si="0"/>
        <v>KW 51/26</v>
      </c>
      <c r="D27" s="26">
        <f>SUMIFS(Verlauf!$K$6:$K$1000,Verlauf!$B$6:$B$1000,$A27,Verlauf!$C$6:$C$1000,$B27)</f>
        <v>0</v>
      </c>
      <c r="E27" s="26">
        <f>SUMIFS(Verlauf!$L$6:$L$1000,Verlauf!$B$6:$B$1000,$A27,Verlauf!$C$6:$C$1000,$B27)</f>
        <v>0</v>
      </c>
      <c r="F27" s="26">
        <f>SUMIFS(Verlauf!$M$6:$M$1000,Verlauf!$B$6:$B$1000,$A27,Verlauf!$C$6:$C$1000,$B27)</f>
        <v>0</v>
      </c>
      <c r="G27" s="26">
        <f>SUMIFS(Verlauf!$J$6:$J$1000,Verlauf!$B$6:$B$1000,$A27,Verlauf!$C$6:$C$1000,$B27)</f>
        <v>0</v>
      </c>
      <c r="H27" s="26">
        <f>SUMIFS(Verlauf!$U$6:$U$1000,Verlauf!$B$6:$B$1000,$A27,Verlauf!$C$6:$C$1000,$B27)</f>
        <v>0</v>
      </c>
      <c r="I27" s="26">
        <f>SUMIFS(Verlauf!$V$6:$V$1000,Verlauf!$B$6:$B$1000,$A27,Verlauf!$C$6:$C$1000,$B27)</f>
        <v>0</v>
      </c>
      <c r="J27" s="26">
        <f>SUMIFS(Verlauf!$W$6:$W$1000,Verlauf!$B$6:$B$1000,$A27,Verlauf!$C$6:$C$1000,$B27)</f>
        <v>0</v>
      </c>
      <c r="K27" s="26">
        <f>SUMIFS(Verlauf!$T$6:$T$1000,Verlauf!$B$6:$B$1000,$A27,Verlauf!$C$6:$C$1000,$B27)</f>
        <v>0</v>
      </c>
      <c r="L27" s="27">
        <f>IF(Filter!$T$7=TRUE,IFERROR(INDEX(Planung!$D$68:$IA$68,MATCH($W27,Wirksam!$D$6:$IA$6,0)),0),0)</f>
        <v>0</v>
      </c>
      <c r="M27" s="27">
        <f>IF(OR(Filter!$T$5=TRUE,Filter!$T$6=TRUE),IFERROR(INDEX(Planung!$D$69:$IA$69,MATCH($W27,Wirksam!$D$6:$IA$6,0)),0),0)</f>
        <v>0</v>
      </c>
      <c r="N27" s="27">
        <f t="shared" si="1"/>
        <v>0</v>
      </c>
      <c r="O27" s="27" t="e">
        <f t="shared" si="2"/>
        <v>#N/A</v>
      </c>
      <c r="P27" s="27" t="e">
        <f t="shared" si="3"/>
        <v>#N/A</v>
      </c>
      <c r="Q27" s="27" t="e">
        <f t="shared" si="4"/>
        <v>#N/A</v>
      </c>
      <c r="R27" s="27" t="e">
        <f t="shared" si="5"/>
        <v>#N/A</v>
      </c>
      <c r="S27" s="27" t="e">
        <f t="shared" si="6"/>
        <v>#N/A</v>
      </c>
      <c r="T27" s="27" t="e">
        <f t="shared" si="7"/>
        <v>#N/A</v>
      </c>
      <c r="U27" s="26">
        <f>COUNTIFS(Verlauf!$B$6:$B$1000,$A27,Verlauf!$C$6:$C$1000,$B27)</f>
        <v>0</v>
      </c>
      <c r="V27" s="26">
        <f t="shared" si="8"/>
        <v>0</v>
      </c>
      <c r="W27" s="26">
        <f t="shared" si="9"/>
        <v>202651</v>
      </c>
      <c r="X27" s="26">
        <f>SUMIFS(Verlauf!$X$6:$X$1000,Verlauf!$B$6:$B$1000,$A27,Verlauf!$C$6:$C$1000,$B27)</f>
        <v>0</v>
      </c>
      <c r="Y27" s="26">
        <f>SUMIFS(Verlauf!$Y$6:$Y$1000,Verlauf!$B$6:$B$1000,$A27,Verlauf!$C$6:$C$1000,$B27)</f>
        <v>0</v>
      </c>
      <c r="Z27" s="26">
        <f>SUMIFS(Verlauf!$Z$6:$Z$1000,Verlauf!$B$6:$B$1000,$A27,Verlauf!$C$6:$C$1000,$B27)</f>
        <v>0</v>
      </c>
      <c r="AA27" s="26">
        <f>SUMIFS(Verlauf!$I$6:$I$1000,Verlauf!$B$6:$B$1000,$A27,Verlauf!$C$6:$C$1000,$B27)</f>
        <v>0</v>
      </c>
      <c r="AB27" s="26">
        <f>SUMIFS(Verlauf!$AA$6:$AA$1000,Verlauf!$B$6:$B$1000,$A27,Verlauf!$C$6:$C$1000,$B27)</f>
        <v>0</v>
      </c>
      <c r="AC27" s="26">
        <f>SUMIFS(Verlauf!$AB$6:$AB$1000,Verlauf!$B$6:$B$1000,$A27,Verlauf!$C$6:$C$1000,$B27)</f>
        <v>0</v>
      </c>
      <c r="AD27" s="26">
        <f>SUMIFS(Verlauf!$AC$6:$AC$1000,Verlauf!$B$6:$B$1000,$A27,Verlauf!$C$6:$C$1000,$B27)</f>
        <v>0</v>
      </c>
      <c r="AE27" s="26">
        <f>SUMIFS(Verlauf!$S$6:$S$1000,Verlauf!$B$6:$B$1000,$A27,Verlauf!$C$6:$C$1000,$B27)</f>
        <v>0</v>
      </c>
      <c r="AF27" s="26" t="str">
        <f>IF($AN27="","",INDEX(Verlauf!$D$6:$D$1000,MATCH($AN27,Verlauf!$A$6:$A$1000,0)))</f>
        <v/>
      </c>
      <c r="AG27" s="26" t="str">
        <f>IF($AN27="","",INDEX(Verlauf!$E$6:$E$1000,MATCH($AN27,Verlauf!$A$6:$A$1000,0)))</f>
        <v/>
      </c>
      <c r="AH27" s="26" t="str">
        <f>IF($AN27="","",INDEX(Verlauf!$F$6:$F$1000,MATCH($AN27,Verlauf!$A$6:$A$1000,0)))</f>
        <v/>
      </c>
      <c r="AI27" s="26" t="str">
        <f>IF($AN27="","",INDEX(Verlauf!$H$6:$H$1000,MATCH($AN27,Verlauf!$A$6:$A$1000,0)))</f>
        <v/>
      </c>
      <c r="AJ27" s="26" t="str">
        <f>IF($AN27="","",INDEX(Verlauf!$N$6:$N$1000,MATCH($AN27,Verlauf!$A$6:$A$1000,0)))</f>
        <v/>
      </c>
      <c r="AK27" s="26" t="str">
        <f>IF($AN27="","",INDEX(Verlauf!$O$6:$O$1000,MATCH($AN27,Verlauf!$A$6:$A$1000,0)))</f>
        <v/>
      </c>
      <c r="AL27" s="26" t="str">
        <f>IF($AN27="","",INDEX(Verlauf!$P$6:$P$1000,MATCH($AN27,Verlauf!$A$6:$A$1000,0)))</f>
        <v/>
      </c>
      <c r="AM27" s="26" t="str">
        <f>IF($AN27="","",INDEX(Verlauf!$R$6:$R$1000,MATCH($AN27,Verlauf!$A$6:$A$1000,0)))</f>
        <v/>
      </c>
      <c r="AN27" s="28" t="str">
        <f>IF(U27&gt;0,_xlfn.MAXIFS(Verlauf!$A$6:$A$1000,Verlauf!$B$6:$B$1000,$A27,Verlauf!$C$6:$C$1000,$B27),"")</f>
        <v/>
      </c>
    </row>
    <row r="28" spans="1:40" x14ac:dyDescent="0.25">
      <c r="A28" s="26">
        <v>2026</v>
      </c>
      <c r="B28" s="26">
        <v>52</v>
      </c>
      <c r="C28" s="7" t="str">
        <f t="shared" si="0"/>
        <v>KW 52/26</v>
      </c>
      <c r="D28" s="26">
        <f>SUMIFS(Verlauf!$K$6:$K$1000,Verlauf!$B$6:$B$1000,$A28,Verlauf!$C$6:$C$1000,$B28)</f>
        <v>0</v>
      </c>
      <c r="E28" s="26">
        <f>SUMIFS(Verlauf!$L$6:$L$1000,Verlauf!$B$6:$B$1000,$A28,Verlauf!$C$6:$C$1000,$B28)</f>
        <v>0</v>
      </c>
      <c r="F28" s="26">
        <f>SUMIFS(Verlauf!$M$6:$M$1000,Verlauf!$B$6:$B$1000,$A28,Verlauf!$C$6:$C$1000,$B28)</f>
        <v>0</v>
      </c>
      <c r="G28" s="26">
        <f>SUMIFS(Verlauf!$J$6:$J$1000,Verlauf!$B$6:$B$1000,$A28,Verlauf!$C$6:$C$1000,$B28)</f>
        <v>0</v>
      </c>
      <c r="H28" s="26">
        <f>SUMIFS(Verlauf!$U$6:$U$1000,Verlauf!$B$6:$B$1000,$A28,Verlauf!$C$6:$C$1000,$B28)</f>
        <v>0</v>
      </c>
      <c r="I28" s="26">
        <f>SUMIFS(Verlauf!$V$6:$V$1000,Verlauf!$B$6:$B$1000,$A28,Verlauf!$C$6:$C$1000,$B28)</f>
        <v>0</v>
      </c>
      <c r="J28" s="26">
        <f>SUMIFS(Verlauf!$W$6:$W$1000,Verlauf!$B$6:$B$1000,$A28,Verlauf!$C$6:$C$1000,$B28)</f>
        <v>0</v>
      </c>
      <c r="K28" s="26">
        <f>SUMIFS(Verlauf!$T$6:$T$1000,Verlauf!$B$6:$B$1000,$A28,Verlauf!$C$6:$C$1000,$B28)</f>
        <v>0</v>
      </c>
      <c r="L28" s="27">
        <f>IF(Filter!$T$7=TRUE,IFERROR(INDEX(Planung!$D$68:$IA$68,MATCH($W28,Wirksam!$D$6:$IA$6,0)),0),0)</f>
        <v>0</v>
      </c>
      <c r="M28" s="27">
        <f>IF(OR(Filter!$T$5=TRUE,Filter!$T$6=TRUE),IFERROR(INDEX(Planung!$D$69:$IA$69,MATCH($W28,Wirksam!$D$6:$IA$6,0)),0),0)</f>
        <v>0</v>
      </c>
      <c r="N28" s="27">
        <f t="shared" si="1"/>
        <v>0</v>
      </c>
      <c r="O28" s="27" t="e">
        <f t="shared" si="2"/>
        <v>#N/A</v>
      </c>
      <c r="P28" s="27" t="e">
        <f t="shared" si="3"/>
        <v>#N/A</v>
      </c>
      <c r="Q28" s="27" t="e">
        <f t="shared" si="4"/>
        <v>#N/A</v>
      </c>
      <c r="R28" s="27" t="e">
        <f t="shared" si="5"/>
        <v>#N/A</v>
      </c>
      <c r="S28" s="27" t="e">
        <f t="shared" si="6"/>
        <v>#N/A</v>
      </c>
      <c r="T28" s="27" t="e">
        <f t="shared" si="7"/>
        <v>#N/A</v>
      </c>
      <c r="U28" s="26">
        <f>COUNTIFS(Verlauf!$B$6:$B$1000,$A28,Verlauf!$C$6:$C$1000,$B28)</f>
        <v>0</v>
      </c>
      <c r="V28" s="26">
        <f t="shared" si="8"/>
        <v>0</v>
      </c>
      <c r="W28" s="26">
        <f t="shared" si="9"/>
        <v>202652</v>
      </c>
      <c r="X28" s="26">
        <f>SUMIFS(Verlauf!$X$6:$X$1000,Verlauf!$B$6:$B$1000,$A28,Verlauf!$C$6:$C$1000,$B28)</f>
        <v>0</v>
      </c>
      <c r="Y28" s="26">
        <f>SUMIFS(Verlauf!$Y$6:$Y$1000,Verlauf!$B$6:$B$1000,$A28,Verlauf!$C$6:$C$1000,$B28)</f>
        <v>0</v>
      </c>
      <c r="Z28" s="26">
        <f>SUMIFS(Verlauf!$Z$6:$Z$1000,Verlauf!$B$6:$B$1000,$A28,Verlauf!$C$6:$C$1000,$B28)</f>
        <v>0</v>
      </c>
      <c r="AA28" s="26">
        <f>SUMIFS(Verlauf!$I$6:$I$1000,Verlauf!$B$6:$B$1000,$A28,Verlauf!$C$6:$C$1000,$B28)</f>
        <v>0</v>
      </c>
      <c r="AB28" s="26">
        <f>SUMIFS(Verlauf!$AA$6:$AA$1000,Verlauf!$B$6:$B$1000,$A28,Verlauf!$C$6:$C$1000,$B28)</f>
        <v>0</v>
      </c>
      <c r="AC28" s="26">
        <f>SUMIFS(Verlauf!$AB$6:$AB$1000,Verlauf!$B$6:$B$1000,$A28,Verlauf!$C$6:$C$1000,$B28)</f>
        <v>0</v>
      </c>
      <c r="AD28" s="26">
        <f>SUMIFS(Verlauf!$AC$6:$AC$1000,Verlauf!$B$6:$B$1000,$A28,Verlauf!$C$6:$C$1000,$B28)</f>
        <v>0</v>
      </c>
      <c r="AE28" s="26">
        <f>SUMIFS(Verlauf!$S$6:$S$1000,Verlauf!$B$6:$B$1000,$A28,Verlauf!$C$6:$C$1000,$B28)</f>
        <v>0</v>
      </c>
      <c r="AF28" s="26" t="str">
        <f>IF($AN28="","",INDEX(Verlauf!$D$6:$D$1000,MATCH($AN28,Verlauf!$A$6:$A$1000,0)))</f>
        <v/>
      </c>
      <c r="AG28" s="26" t="str">
        <f>IF($AN28="","",INDEX(Verlauf!$E$6:$E$1000,MATCH($AN28,Verlauf!$A$6:$A$1000,0)))</f>
        <v/>
      </c>
      <c r="AH28" s="26" t="str">
        <f>IF($AN28="","",INDEX(Verlauf!$F$6:$F$1000,MATCH($AN28,Verlauf!$A$6:$A$1000,0)))</f>
        <v/>
      </c>
      <c r="AI28" s="26" t="str">
        <f>IF($AN28="","",INDEX(Verlauf!$H$6:$H$1000,MATCH($AN28,Verlauf!$A$6:$A$1000,0)))</f>
        <v/>
      </c>
      <c r="AJ28" s="26" t="str">
        <f>IF($AN28="","",INDEX(Verlauf!$N$6:$N$1000,MATCH($AN28,Verlauf!$A$6:$A$1000,0)))</f>
        <v/>
      </c>
      <c r="AK28" s="26" t="str">
        <f>IF($AN28="","",INDEX(Verlauf!$O$6:$O$1000,MATCH($AN28,Verlauf!$A$6:$A$1000,0)))</f>
        <v/>
      </c>
      <c r="AL28" s="26" t="str">
        <f>IF($AN28="","",INDEX(Verlauf!$P$6:$P$1000,MATCH($AN28,Verlauf!$A$6:$A$1000,0)))</f>
        <v/>
      </c>
      <c r="AM28" s="26" t="str">
        <f>IF($AN28="","",INDEX(Verlauf!$R$6:$R$1000,MATCH($AN28,Verlauf!$A$6:$A$1000,0)))</f>
        <v/>
      </c>
      <c r="AN28" s="28" t="str">
        <f>IF(U28&gt;0,_xlfn.MAXIFS(Verlauf!$A$6:$A$1000,Verlauf!$B$6:$B$1000,$A28,Verlauf!$C$6:$C$1000,$B28),"")</f>
        <v/>
      </c>
    </row>
    <row r="29" spans="1:40" x14ac:dyDescent="0.25">
      <c r="A29" s="26">
        <v>2026</v>
      </c>
      <c r="B29" s="26">
        <v>53</v>
      </c>
      <c r="C29" s="7" t="str">
        <f t="shared" si="0"/>
        <v>KW 53/26</v>
      </c>
      <c r="D29" s="26">
        <f>SUMIFS(Verlauf!$K$6:$K$1000,Verlauf!$B$6:$B$1000,$A29,Verlauf!$C$6:$C$1000,$B29)</f>
        <v>0</v>
      </c>
      <c r="E29" s="26">
        <f>SUMIFS(Verlauf!$L$6:$L$1000,Verlauf!$B$6:$B$1000,$A29,Verlauf!$C$6:$C$1000,$B29)</f>
        <v>0</v>
      </c>
      <c r="F29" s="26">
        <f>SUMIFS(Verlauf!$M$6:$M$1000,Verlauf!$B$6:$B$1000,$A29,Verlauf!$C$6:$C$1000,$B29)</f>
        <v>0</v>
      </c>
      <c r="G29" s="26">
        <f>SUMIFS(Verlauf!$J$6:$J$1000,Verlauf!$B$6:$B$1000,$A29,Verlauf!$C$6:$C$1000,$B29)</f>
        <v>0</v>
      </c>
      <c r="H29" s="26">
        <f>SUMIFS(Verlauf!$U$6:$U$1000,Verlauf!$B$6:$B$1000,$A29,Verlauf!$C$6:$C$1000,$B29)</f>
        <v>0</v>
      </c>
      <c r="I29" s="26">
        <f>SUMIFS(Verlauf!$V$6:$V$1000,Verlauf!$B$6:$B$1000,$A29,Verlauf!$C$6:$C$1000,$B29)</f>
        <v>0</v>
      </c>
      <c r="J29" s="26">
        <f>SUMIFS(Verlauf!$W$6:$W$1000,Verlauf!$B$6:$B$1000,$A29,Verlauf!$C$6:$C$1000,$B29)</f>
        <v>0</v>
      </c>
      <c r="K29" s="26">
        <f>SUMIFS(Verlauf!$T$6:$T$1000,Verlauf!$B$6:$B$1000,$A29,Verlauf!$C$6:$C$1000,$B29)</f>
        <v>0</v>
      </c>
      <c r="L29" s="27">
        <f>IF(Filter!$T$7=TRUE,IFERROR(INDEX(Planung!$D$68:$IA$68,MATCH($W29,Wirksam!$D$6:$IA$6,0)),0),0)</f>
        <v>0</v>
      </c>
      <c r="M29" s="27">
        <f>IF(OR(Filter!$T$5=TRUE,Filter!$T$6=TRUE),IFERROR(INDEX(Planung!$D$69:$IA$69,MATCH($W29,Wirksam!$D$6:$IA$6,0)),0),0)</f>
        <v>0</v>
      </c>
      <c r="N29" s="27">
        <f t="shared" si="1"/>
        <v>0</v>
      </c>
      <c r="O29" s="27" t="e">
        <f t="shared" si="2"/>
        <v>#N/A</v>
      </c>
      <c r="P29" s="27" t="e">
        <f t="shared" si="3"/>
        <v>#N/A</v>
      </c>
      <c r="Q29" s="27" t="e">
        <f t="shared" si="4"/>
        <v>#N/A</v>
      </c>
      <c r="R29" s="27" t="e">
        <f t="shared" si="5"/>
        <v>#N/A</v>
      </c>
      <c r="S29" s="27" t="e">
        <f t="shared" si="6"/>
        <v>#N/A</v>
      </c>
      <c r="T29" s="27" t="e">
        <f t="shared" si="7"/>
        <v>#N/A</v>
      </c>
      <c r="U29" s="26">
        <f>COUNTIFS(Verlauf!$B$6:$B$1000,$A29,Verlauf!$C$6:$C$1000,$B29)</f>
        <v>0</v>
      </c>
      <c r="V29" s="26">
        <f t="shared" si="8"/>
        <v>0</v>
      </c>
      <c r="W29" s="26">
        <f t="shared" si="9"/>
        <v>202653</v>
      </c>
      <c r="X29" s="26">
        <f>SUMIFS(Verlauf!$X$6:$X$1000,Verlauf!$B$6:$B$1000,$A29,Verlauf!$C$6:$C$1000,$B29)</f>
        <v>0</v>
      </c>
      <c r="Y29" s="26">
        <f>SUMIFS(Verlauf!$Y$6:$Y$1000,Verlauf!$B$6:$B$1000,$A29,Verlauf!$C$6:$C$1000,$B29)</f>
        <v>0</v>
      </c>
      <c r="Z29" s="26">
        <f>SUMIFS(Verlauf!$Z$6:$Z$1000,Verlauf!$B$6:$B$1000,$A29,Verlauf!$C$6:$C$1000,$B29)</f>
        <v>0</v>
      </c>
      <c r="AA29" s="26">
        <f>SUMIFS(Verlauf!$I$6:$I$1000,Verlauf!$B$6:$B$1000,$A29,Verlauf!$C$6:$C$1000,$B29)</f>
        <v>0</v>
      </c>
      <c r="AB29" s="26">
        <f>SUMIFS(Verlauf!$AA$6:$AA$1000,Verlauf!$B$6:$B$1000,$A29,Verlauf!$C$6:$C$1000,$B29)</f>
        <v>0</v>
      </c>
      <c r="AC29" s="26">
        <f>SUMIFS(Verlauf!$AB$6:$AB$1000,Verlauf!$B$6:$B$1000,$A29,Verlauf!$C$6:$C$1000,$B29)</f>
        <v>0</v>
      </c>
      <c r="AD29" s="26">
        <f>SUMIFS(Verlauf!$AC$6:$AC$1000,Verlauf!$B$6:$B$1000,$A29,Verlauf!$C$6:$C$1000,$B29)</f>
        <v>0</v>
      </c>
      <c r="AE29" s="26">
        <f>SUMIFS(Verlauf!$S$6:$S$1000,Verlauf!$B$6:$B$1000,$A29,Verlauf!$C$6:$C$1000,$B29)</f>
        <v>0</v>
      </c>
      <c r="AF29" s="26" t="str">
        <f>IF($AN29="","",INDEX(Verlauf!$D$6:$D$1000,MATCH($AN29,Verlauf!$A$6:$A$1000,0)))</f>
        <v/>
      </c>
      <c r="AG29" s="26" t="str">
        <f>IF($AN29="","",INDEX(Verlauf!$E$6:$E$1000,MATCH($AN29,Verlauf!$A$6:$A$1000,0)))</f>
        <v/>
      </c>
      <c r="AH29" s="26" t="str">
        <f>IF($AN29="","",INDEX(Verlauf!$F$6:$F$1000,MATCH($AN29,Verlauf!$A$6:$A$1000,0)))</f>
        <v/>
      </c>
      <c r="AI29" s="26" t="str">
        <f>IF($AN29="","",INDEX(Verlauf!$H$6:$H$1000,MATCH($AN29,Verlauf!$A$6:$A$1000,0)))</f>
        <v/>
      </c>
      <c r="AJ29" s="26" t="str">
        <f>IF($AN29="","",INDEX(Verlauf!$N$6:$N$1000,MATCH($AN29,Verlauf!$A$6:$A$1000,0)))</f>
        <v/>
      </c>
      <c r="AK29" s="26" t="str">
        <f>IF($AN29="","",INDEX(Verlauf!$O$6:$O$1000,MATCH($AN29,Verlauf!$A$6:$A$1000,0)))</f>
        <v/>
      </c>
      <c r="AL29" s="26" t="str">
        <f>IF($AN29="","",INDEX(Verlauf!$P$6:$P$1000,MATCH($AN29,Verlauf!$A$6:$A$1000,0)))</f>
        <v/>
      </c>
      <c r="AM29" s="26" t="str">
        <f>IF($AN29="","",INDEX(Verlauf!$R$6:$R$1000,MATCH($AN29,Verlauf!$A$6:$A$1000,0)))</f>
        <v/>
      </c>
      <c r="AN29" s="28" t="str">
        <f>IF(U29&gt;0,_xlfn.MAXIFS(Verlauf!$A$6:$A$1000,Verlauf!$B$6:$B$1000,$A29,Verlauf!$C$6:$C$1000,$B29),"")</f>
        <v/>
      </c>
    </row>
    <row r="30" spans="1:40" x14ac:dyDescent="0.25">
      <c r="A30" s="26">
        <v>2027</v>
      </c>
      <c r="B30" s="26">
        <v>1</v>
      </c>
      <c r="C30" s="7" t="str">
        <f t="shared" si="0"/>
        <v>KW 1/27</v>
      </c>
      <c r="D30" s="26">
        <f>SUMIFS(Verlauf!$K$6:$K$1000,Verlauf!$B$6:$B$1000,$A30,Verlauf!$C$6:$C$1000,$B30)</f>
        <v>0</v>
      </c>
      <c r="E30" s="26">
        <f>SUMIFS(Verlauf!$L$6:$L$1000,Verlauf!$B$6:$B$1000,$A30,Verlauf!$C$6:$C$1000,$B30)</f>
        <v>0</v>
      </c>
      <c r="F30" s="26">
        <f>SUMIFS(Verlauf!$M$6:$M$1000,Verlauf!$B$6:$B$1000,$A30,Verlauf!$C$6:$C$1000,$B30)</f>
        <v>0</v>
      </c>
      <c r="G30" s="26">
        <f>SUMIFS(Verlauf!$J$6:$J$1000,Verlauf!$B$6:$B$1000,$A30,Verlauf!$C$6:$C$1000,$B30)</f>
        <v>0</v>
      </c>
      <c r="H30" s="26">
        <f>SUMIFS(Verlauf!$U$6:$U$1000,Verlauf!$B$6:$B$1000,$A30,Verlauf!$C$6:$C$1000,$B30)</f>
        <v>0</v>
      </c>
      <c r="I30" s="26">
        <f>SUMIFS(Verlauf!$V$6:$V$1000,Verlauf!$B$6:$B$1000,$A30,Verlauf!$C$6:$C$1000,$B30)</f>
        <v>0</v>
      </c>
      <c r="J30" s="26">
        <f>SUMIFS(Verlauf!$W$6:$W$1000,Verlauf!$B$6:$B$1000,$A30,Verlauf!$C$6:$C$1000,$B30)</f>
        <v>0</v>
      </c>
      <c r="K30" s="26">
        <f>SUMIFS(Verlauf!$T$6:$T$1000,Verlauf!$B$6:$B$1000,$A30,Verlauf!$C$6:$C$1000,$B30)</f>
        <v>0</v>
      </c>
      <c r="L30" s="27">
        <f>IF(Filter!$T$7=TRUE,IFERROR(INDEX(Planung!$D$68:$IA$68,MATCH($W30,Wirksam!$D$6:$IA$6,0)),0),0)</f>
        <v>0</v>
      </c>
      <c r="M30" s="27">
        <f>IF(OR(Filter!$T$5=TRUE,Filter!$T$6=TRUE),IFERROR(INDEX(Planung!$D$69:$IA$69,MATCH($W30,Wirksam!$D$6:$IA$6,0)),0),0)</f>
        <v>0</v>
      </c>
      <c r="N30" s="27">
        <f t="shared" si="1"/>
        <v>0</v>
      </c>
      <c r="O30" s="27" t="e">
        <f t="shared" si="2"/>
        <v>#N/A</v>
      </c>
      <c r="P30" s="27" t="e">
        <f t="shared" si="3"/>
        <v>#N/A</v>
      </c>
      <c r="Q30" s="27" t="e">
        <f t="shared" si="4"/>
        <v>#N/A</v>
      </c>
      <c r="R30" s="27" t="e">
        <f t="shared" si="5"/>
        <v>#N/A</v>
      </c>
      <c r="S30" s="27" t="e">
        <f t="shared" si="6"/>
        <v>#N/A</v>
      </c>
      <c r="T30" s="27" t="e">
        <f t="shared" si="7"/>
        <v>#N/A</v>
      </c>
      <c r="U30" s="26">
        <f>COUNTIFS(Verlauf!$B$6:$B$1000,$A30,Verlauf!$C$6:$C$1000,$B30)</f>
        <v>0</v>
      </c>
      <c r="V30" s="26">
        <f t="shared" si="8"/>
        <v>0</v>
      </c>
      <c r="W30" s="26">
        <f t="shared" si="9"/>
        <v>202701</v>
      </c>
      <c r="X30" s="26">
        <f>SUMIFS(Verlauf!$X$6:$X$1000,Verlauf!$B$6:$B$1000,$A30,Verlauf!$C$6:$C$1000,$B30)</f>
        <v>0</v>
      </c>
      <c r="Y30" s="26">
        <f>SUMIFS(Verlauf!$Y$6:$Y$1000,Verlauf!$B$6:$B$1000,$A30,Verlauf!$C$6:$C$1000,$B30)</f>
        <v>0</v>
      </c>
      <c r="Z30" s="26">
        <f>SUMIFS(Verlauf!$Z$6:$Z$1000,Verlauf!$B$6:$B$1000,$A30,Verlauf!$C$6:$C$1000,$B30)</f>
        <v>0</v>
      </c>
      <c r="AA30" s="26">
        <f>SUMIFS(Verlauf!$I$6:$I$1000,Verlauf!$B$6:$B$1000,$A30,Verlauf!$C$6:$C$1000,$B30)</f>
        <v>0</v>
      </c>
      <c r="AB30" s="26">
        <f>SUMIFS(Verlauf!$AA$6:$AA$1000,Verlauf!$B$6:$B$1000,$A30,Verlauf!$C$6:$C$1000,$B30)</f>
        <v>0</v>
      </c>
      <c r="AC30" s="26">
        <f>SUMIFS(Verlauf!$AB$6:$AB$1000,Verlauf!$B$6:$B$1000,$A30,Verlauf!$C$6:$C$1000,$B30)</f>
        <v>0</v>
      </c>
      <c r="AD30" s="26">
        <f>SUMIFS(Verlauf!$AC$6:$AC$1000,Verlauf!$B$6:$B$1000,$A30,Verlauf!$C$6:$C$1000,$B30)</f>
        <v>0</v>
      </c>
      <c r="AE30" s="26">
        <f>SUMIFS(Verlauf!$S$6:$S$1000,Verlauf!$B$6:$B$1000,$A30,Verlauf!$C$6:$C$1000,$B30)</f>
        <v>0</v>
      </c>
      <c r="AF30" s="26" t="str">
        <f>IF($AN30="","",INDEX(Verlauf!$D$6:$D$1000,MATCH($AN30,Verlauf!$A$6:$A$1000,0)))</f>
        <v/>
      </c>
      <c r="AG30" s="26" t="str">
        <f>IF($AN30="","",INDEX(Verlauf!$E$6:$E$1000,MATCH($AN30,Verlauf!$A$6:$A$1000,0)))</f>
        <v/>
      </c>
      <c r="AH30" s="26" t="str">
        <f>IF($AN30="","",INDEX(Verlauf!$F$6:$F$1000,MATCH($AN30,Verlauf!$A$6:$A$1000,0)))</f>
        <v/>
      </c>
      <c r="AI30" s="26" t="str">
        <f>IF($AN30="","",INDEX(Verlauf!$H$6:$H$1000,MATCH($AN30,Verlauf!$A$6:$A$1000,0)))</f>
        <v/>
      </c>
      <c r="AJ30" s="26" t="str">
        <f>IF($AN30="","",INDEX(Verlauf!$N$6:$N$1000,MATCH($AN30,Verlauf!$A$6:$A$1000,0)))</f>
        <v/>
      </c>
      <c r="AK30" s="26" t="str">
        <f>IF($AN30="","",INDEX(Verlauf!$O$6:$O$1000,MATCH($AN30,Verlauf!$A$6:$A$1000,0)))</f>
        <v/>
      </c>
      <c r="AL30" s="26" t="str">
        <f>IF($AN30="","",INDEX(Verlauf!$P$6:$P$1000,MATCH($AN30,Verlauf!$A$6:$A$1000,0)))</f>
        <v/>
      </c>
      <c r="AM30" s="26" t="str">
        <f>IF($AN30="","",INDEX(Verlauf!$R$6:$R$1000,MATCH($AN30,Verlauf!$A$6:$A$1000,0)))</f>
        <v/>
      </c>
      <c r="AN30" s="28" t="str">
        <f>IF(U30&gt;0,_xlfn.MAXIFS(Verlauf!$A$6:$A$1000,Verlauf!$B$6:$B$1000,$A30,Verlauf!$C$6:$C$1000,$B30),"")</f>
        <v/>
      </c>
    </row>
    <row r="31" spans="1:40" x14ac:dyDescent="0.25">
      <c r="A31" s="26">
        <v>2027</v>
      </c>
      <c r="B31" s="26">
        <v>2</v>
      </c>
      <c r="C31" s="7" t="str">
        <f t="shared" si="0"/>
        <v>KW 2/27</v>
      </c>
      <c r="D31" s="26">
        <f>SUMIFS(Verlauf!$K$6:$K$1000,Verlauf!$B$6:$B$1000,$A31,Verlauf!$C$6:$C$1000,$B31)</f>
        <v>0</v>
      </c>
      <c r="E31" s="26">
        <f>SUMIFS(Verlauf!$L$6:$L$1000,Verlauf!$B$6:$B$1000,$A31,Verlauf!$C$6:$C$1000,$B31)</f>
        <v>0</v>
      </c>
      <c r="F31" s="26">
        <f>SUMIFS(Verlauf!$M$6:$M$1000,Verlauf!$B$6:$B$1000,$A31,Verlauf!$C$6:$C$1000,$B31)</f>
        <v>0</v>
      </c>
      <c r="G31" s="26">
        <f>SUMIFS(Verlauf!$J$6:$J$1000,Verlauf!$B$6:$B$1000,$A31,Verlauf!$C$6:$C$1000,$B31)</f>
        <v>0</v>
      </c>
      <c r="H31" s="26">
        <f>SUMIFS(Verlauf!$U$6:$U$1000,Verlauf!$B$6:$B$1000,$A31,Verlauf!$C$6:$C$1000,$B31)</f>
        <v>0</v>
      </c>
      <c r="I31" s="26">
        <f>SUMIFS(Verlauf!$V$6:$V$1000,Verlauf!$B$6:$B$1000,$A31,Verlauf!$C$6:$C$1000,$B31)</f>
        <v>0</v>
      </c>
      <c r="J31" s="26">
        <f>SUMIFS(Verlauf!$W$6:$W$1000,Verlauf!$B$6:$B$1000,$A31,Verlauf!$C$6:$C$1000,$B31)</f>
        <v>0</v>
      </c>
      <c r="K31" s="26">
        <f>SUMIFS(Verlauf!$T$6:$T$1000,Verlauf!$B$6:$B$1000,$A31,Verlauf!$C$6:$C$1000,$B31)</f>
        <v>0</v>
      </c>
      <c r="L31" s="27">
        <f>IF(Filter!$T$7=TRUE,IFERROR(INDEX(Planung!$D$68:$IA$68,MATCH($W31,Wirksam!$D$6:$IA$6,0)),0),0)</f>
        <v>0</v>
      </c>
      <c r="M31" s="27">
        <f>IF(OR(Filter!$T$5=TRUE,Filter!$T$6=TRUE),IFERROR(INDEX(Planung!$D$69:$IA$69,MATCH($W31,Wirksam!$D$6:$IA$6,0)),0),0)</f>
        <v>0</v>
      </c>
      <c r="N31" s="27">
        <f t="shared" si="1"/>
        <v>0</v>
      </c>
      <c r="O31" s="27" t="e">
        <f t="shared" si="2"/>
        <v>#N/A</v>
      </c>
      <c r="P31" s="27" t="e">
        <f t="shared" si="3"/>
        <v>#N/A</v>
      </c>
      <c r="Q31" s="27" t="e">
        <f t="shared" si="4"/>
        <v>#N/A</v>
      </c>
      <c r="R31" s="27" t="e">
        <f t="shared" si="5"/>
        <v>#N/A</v>
      </c>
      <c r="S31" s="27" t="e">
        <f t="shared" si="6"/>
        <v>#N/A</v>
      </c>
      <c r="T31" s="27" t="e">
        <f t="shared" si="7"/>
        <v>#N/A</v>
      </c>
      <c r="U31" s="26">
        <f>COUNTIFS(Verlauf!$B$6:$B$1000,$A31,Verlauf!$C$6:$C$1000,$B31)</f>
        <v>0</v>
      </c>
      <c r="V31" s="26">
        <f t="shared" si="8"/>
        <v>0</v>
      </c>
      <c r="W31" s="26">
        <f t="shared" si="9"/>
        <v>202702</v>
      </c>
      <c r="X31" s="26">
        <f>SUMIFS(Verlauf!$X$6:$X$1000,Verlauf!$B$6:$B$1000,$A31,Verlauf!$C$6:$C$1000,$B31)</f>
        <v>0</v>
      </c>
      <c r="Y31" s="26">
        <f>SUMIFS(Verlauf!$Y$6:$Y$1000,Verlauf!$B$6:$B$1000,$A31,Verlauf!$C$6:$C$1000,$B31)</f>
        <v>0</v>
      </c>
      <c r="Z31" s="26">
        <f>SUMIFS(Verlauf!$Z$6:$Z$1000,Verlauf!$B$6:$B$1000,$A31,Verlauf!$C$6:$C$1000,$B31)</f>
        <v>0</v>
      </c>
      <c r="AA31" s="26">
        <f>SUMIFS(Verlauf!$I$6:$I$1000,Verlauf!$B$6:$B$1000,$A31,Verlauf!$C$6:$C$1000,$B31)</f>
        <v>0</v>
      </c>
      <c r="AB31" s="26">
        <f>SUMIFS(Verlauf!$AA$6:$AA$1000,Verlauf!$B$6:$B$1000,$A31,Verlauf!$C$6:$C$1000,$B31)</f>
        <v>0</v>
      </c>
      <c r="AC31" s="26">
        <f>SUMIFS(Verlauf!$AB$6:$AB$1000,Verlauf!$B$6:$B$1000,$A31,Verlauf!$C$6:$C$1000,$B31)</f>
        <v>0</v>
      </c>
      <c r="AD31" s="26">
        <f>SUMIFS(Verlauf!$AC$6:$AC$1000,Verlauf!$B$6:$B$1000,$A31,Verlauf!$C$6:$C$1000,$B31)</f>
        <v>0</v>
      </c>
      <c r="AE31" s="26">
        <f>SUMIFS(Verlauf!$S$6:$S$1000,Verlauf!$B$6:$B$1000,$A31,Verlauf!$C$6:$C$1000,$B31)</f>
        <v>0</v>
      </c>
      <c r="AF31" s="26" t="str">
        <f>IF($AN31="","",INDEX(Verlauf!$D$6:$D$1000,MATCH($AN31,Verlauf!$A$6:$A$1000,0)))</f>
        <v/>
      </c>
      <c r="AG31" s="26" t="str">
        <f>IF($AN31="","",INDEX(Verlauf!$E$6:$E$1000,MATCH($AN31,Verlauf!$A$6:$A$1000,0)))</f>
        <v/>
      </c>
      <c r="AH31" s="26" t="str">
        <f>IF($AN31="","",INDEX(Verlauf!$F$6:$F$1000,MATCH($AN31,Verlauf!$A$6:$A$1000,0)))</f>
        <v/>
      </c>
      <c r="AI31" s="26" t="str">
        <f>IF($AN31="","",INDEX(Verlauf!$H$6:$H$1000,MATCH($AN31,Verlauf!$A$6:$A$1000,0)))</f>
        <v/>
      </c>
      <c r="AJ31" s="26" t="str">
        <f>IF($AN31="","",INDEX(Verlauf!$N$6:$N$1000,MATCH($AN31,Verlauf!$A$6:$A$1000,0)))</f>
        <v/>
      </c>
      <c r="AK31" s="26" t="str">
        <f>IF($AN31="","",INDEX(Verlauf!$O$6:$O$1000,MATCH($AN31,Verlauf!$A$6:$A$1000,0)))</f>
        <v/>
      </c>
      <c r="AL31" s="26" t="str">
        <f>IF($AN31="","",INDEX(Verlauf!$P$6:$P$1000,MATCH($AN31,Verlauf!$A$6:$A$1000,0)))</f>
        <v/>
      </c>
      <c r="AM31" s="26" t="str">
        <f>IF($AN31="","",INDEX(Verlauf!$R$6:$R$1000,MATCH($AN31,Verlauf!$A$6:$A$1000,0)))</f>
        <v/>
      </c>
      <c r="AN31" s="28" t="str">
        <f>IF(U31&gt;0,_xlfn.MAXIFS(Verlauf!$A$6:$A$1000,Verlauf!$B$6:$B$1000,$A31,Verlauf!$C$6:$C$1000,$B31),"")</f>
        <v/>
      </c>
    </row>
    <row r="32" spans="1:40" x14ac:dyDescent="0.25">
      <c r="A32" s="26">
        <v>2027</v>
      </c>
      <c r="B32" s="26">
        <v>3</v>
      </c>
      <c r="C32" s="7" t="str">
        <f t="shared" si="0"/>
        <v>KW 3/27</v>
      </c>
      <c r="D32" s="26">
        <f>SUMIFS(Verlauf!$K$6:$K$1000,Verlauf!$B$6:$B$1000,$A32,Verlauf!$C$6:$C$1000,$B32)</f>
        <v>0</v>
      </c>
      <c r="E32" s="26">
        <f>SUMIFS(Verlauf!$L$6:$L$1000,Verlauf!$B$6:$B$1000,$A32,Verlauf!$C$6:$C$1000,$B32)</f>
        <v>0</v>
      </c>
      <c r="F32" s="26">
        <f>SUMIFS(Verlauf!$M$6:$M$1000,Verlauf!$B$6:$B$1000,$A32,Verlauf!$C$6:$C$1000,$B32)</f>
        <v>0</v>
      </c>
      <c r="G32" s="26">
        <f>SUMIFS(Verlauf!$J$6:$J$1000,Verlauf!$B$6:$B$1000,$A32,Verlauf!$C$6:$C$1000,$B32)</f>
        <v>0</v>
      </c>
      <c r="H32" s="26">
        <f>SUMIFS(Verlauf!$U$6:$U$1000,Verlauf!$B$6:$B$1000,$A32,Verlauf!$C$6:$C$1000,$B32)</f>
        <v>0</v>
      </c>
      <c r="I32" s="26">
        <f>SUMIFS(Verlauf!$V$6:$V$1000,Verlauf!$B$6:$B$1000,$A32,Verlauf!$C$6:$C$1000,$B32)</f>
        <v>0</v>
      </c>
      <c r="J32" s="26">
        <f>SUMIFS(Verlauf!$W$6:$W$1000,Verlauf!$B$6:$B$1000,$A32,Verlauf!$C$6:$C$1000,$B32)</f>
        <v>0</v>
      </c>
      <c r="K32" s="26">
        <f>SUMIFS(Verlauf!$T$6:$T$1000,Verlauf!$B$6:$B$1000,$A32,Verlauf!$C$6:$C$1000,$B32)</f>
        <v>0</v>
      </c>
      <c r="L32" s="27">
        <f>IF(Filter!$T$7=TRUE,IFERROR(INDEX(Planung!$D$68:$IA$68,MATCH($W32,Wirksam!$D$6:$IA$6,0)),0),0)</f>
        <v>0</v>
      </c>
      <c r="M32" s="27">
        <f>IF(OR(Filter!$T$5=TRUE,Filter!$T$6=TRUE),IFERROR(INDEX(Planung!$D$69:$IA$69,MATCH($W32,Wirksam!$D$6:$IA$6,0)),0),0)</f>
        <v>0</v>
      </c>
      <c r="N32" s="27">
        <f t="shared" si="1"/>
        <v>0</v>
      </c>
      <c r="O32" s="27" t="e">
        <f t="shared" si="2"/>
        <v>#N/A</v>
      </c>
      <c r="P32" s="27" t="e">
        <f t="shared" si="3"/>
        <v>#N/A</v>
      </c>
      <c r="Q32" s="27" t="e">
        <f t="shared" si="4"/>
        <v>#N/A</v>
      </c>
      <c r="R32" s="27" t="e">
        <f t="shared" si="5"/>
        <v>#N/A</v>
      </c>
      <c r="S32" s="27" t="e">
        <f t="shared" si="6"/>
        <v>#N/A</v>
      </c>
      <c r="T32" s="27" t="e">
        <f t="shared" si="7"/>
        <v>#N/A</v>
      </c>
      <c r="U32" s="26">
        <f>COUNTIFS(Verlauf!$B$6:$B$1000,$A32,Verlauf!$C$6:$C$1000,$B32)</f>
        <v>0</v>
      </c>
      <c r="V32" s="26">
        <f t="shared" si="8"/>
        <v>0</v>
      </c>
      <c r="W32" s="26">
        <f t="shared" si="9"/>
        <v>202703</v>
      </c>
      <c r="X32" s="26">
        <f>SUMIFS(Verlauf!$X$6:$X$1000,Verlauf!$B$6:$B$1000,$A32,Verlauf!$C$6:$C$1000,$B32)</f>
        <v>0</v>
      </c>
      <c r="Y32" s="26">
        <f>SUMIFS(Verlauf!$Y$6:$Y$1000,Verlauf!$B$6:$B$1000,$A32,Verlauf!$C$6:$C$1000,$B32)</f>
        <v>0</v>
      </c>
      <c r="Z32" s="26">
        <f>SUMIFS(Verlauf!$Z$6:$Z$1000,Verlauf!$B$6:$B$1000,$A32,Verlauf!$C$6:$C$1000,$B32)</f>
        <v>0</v>
      </c>
      <c r="AA32" s="26">
        <f>SUMIFS(Verlauf!$I$6:$I$1000,Verlauf!$B$6:$B$1000,$A32,Verlauf!$C$6:$C$1000,$B32)</f>
        <v>0</v>
      </c>
      <c r="AB32" s="26">
        <f>SUMIFS(Verlauf!$AA$6:$AA$1000,Verlauf!$B$6:$B$1000,$A32,Verlauf!$C$6:$C$1000,$B32)</f>
        <v>0</v>
      </c>
      <c r="AC32" s="26">
        <f>SUMIFS(Verlauf!$AB$6:$AB$1000,Verlauf!$B$6:$B$1000,$A32,Verlauf!$C$6:$C$1000,$B32)</f>
        <v>0</v>
      </c>
      <c r="AD32" s="26">
        <f>SUMIFS(Verlauf!$AC$6:$AC$1000,Verlauf!$B$6:$B$1000,$A32,Verlauf!$C$6:$C$1000,$B32)</f>
        <v>0</v>
      </c>
      <c r="AE32" s="26">
        <f>SUMIFS(Verlauf!$S$6:$S$1000,Verlauf!$B$6:$B$1000,$A32,Verlauf!$C$6:$C$1000,$B32)</f>
        <v>0</v>
      </c>
      <c r="AF32" s="26" t="str">
        <f>IF($AN32="","",INDEX(Verlauf!$D$6:$D$1000,MATCH($AN32,Verlauf!$A$6:$A$1000,0)))</f>
        <v/>
      </c>
      <c r="AG32" s="26" t="str">
        <f>IF($AN32="","",INDEX(Verlauf!$E$6:$E$1000,MATCH($AN32,Verlauf!$A$6:$A$1000,0)))</f>
        <v/>
      </c>
      <c r="AH32" s="26" t="str">
        <f>IF($AN32="","",INDEX(Verlauf!$F$6:$F$1000,MATCH($AN32,Verlauf!$A$6:$A$1000,0)))</f>
        <v/>
      </c>
      <c r="AI32" s="26" t="str">
        <f>IF($AN32="","",INDEX(Verlauf!$H$6:$H$1000,MATCH($AN32,Verlauf!$A$6:$A$1000,0)))</f>
        <v/>
      </c>
      <c r="AJ32" s="26" t="str">
        <f>IF($AN32="","",INDEX(Verlauf!$N$6:$N$1000,MATCH($AN32,Verlauf!$A$6:$A$1000,0)))</f>
        <v/>
      </c>
      <c r="AK32" s="26" t="str">
        <f>IF($AN32="","",INDEX(Verlauf!$O$6:$O$1000,MATCH($AN32,Verlauf!$A$6:$A$1000,0)))</f>
        <v/>
      </c>
      <c r="AL32" s="26" t="str">
        <f>IF($AN32="","",INDEX(Verlauf!$P$6:$P$1000,MATCH($AN32,Verlauf!$A$6:$A$1000,0)))</f>
        <v/>
      </c>
      <c r="AM32" s="26" t="str">
        <f>IF($AN32="","",INDEX(Verlauf!$R$6:$R$1000,MATCH($AN32,Verlauf!$A$6:$A$1000,0)))</f>
        <v/>
      </c>
      <c r="AN32" s="28" t="str">
        <f>IF(U32&gt;0,_xlfn.MAXIFS(Verlauf!$A$6:$A$1000,Verlauf!$B$6:$B$1000,$A32,Verlauf!$C$6:$C$1000,$B32),"")</f>
        <v/>
      </c>
    </row>
    <row r="33" spans="1:40" x14ac:dyDescent="0.25">
      <c r="A33" s="26">
        <v>2027</v>
      </c>
      <c r="B33" s="26">
        <v>4</v>
      </c>
      <c r="C33" s="7" t="str">
        <f t="shared" si="0"/>
        <v>KW 4/27</v>
      </c>
      <c r="D33" s="26">
        <f>SUMIFS(Verlauf!$K$6:$K$1000,Verlauf!$B$6:$B$1000,$A33,Verlauf!$C$6:$C$1000,$B33)</f>
        <v>0</v>
      </c>
      <c r="E33" s="26">
        <f>SUMIFS(Verlauf!$L$6:$L$1000,Verlauf!$B$6:$B$1000,$A33,Verlauf!$C$6:$C$1000,$B33)</f>
        <v>0</v>
      </c>
      <c r="F33" s="26">
        <f>SUMIFS(Verlauf!$M$6:$M$1000,Verlauf!$B$6:$B$1000,$A33,Verlauf!$C$6:$C$1000,$B33)</f>
        <v>0</v>
      </c>
      <c r="G33" s="26">
        <f>SUMIFS(Verlauf!$J$6:$J$1000,Verlauf!$B$6:$B$1000,$A33,Verlauf!$C$6:$C$1000,$B33)</f>
        <v>0</v>
      </c>
      <c r="H33" s="26">
        <f>SUMIFS(Verlauf!$U$6:$U$1000,Verlauf!$B$6:$B$1000,$A33,Verlauf!$C$6:$C$1000,$B33)</f>
        <v>0</v>
      </c>
      <c r="I33" s="26">
        <f>SUMIFS(Verlauf!$V$6:$V$1000,Verlauf!$B$6:$B$1000,$A33,Verlauf!$C$6:$C$1000,$B33)</f>
        <v>0</v>
      </c>
      <c r="J33" s="26">
        <f>SUMIFS(Verlauf!$W$6:$W$1000,Verlauf!$B$6:$B$1000,$A33,Verlauf!$C$6:$C$1000,$B33)</f>
        <v>0</v>
      </c>
      <c r="K33" s="26">
        <f>SUMIFS(Verlauf!$T$6:$T$1000,Verlauf!$B$6:$B$1000,$A33,Verlauf!$C$6:$C$1000,$B33)</f>
        <v>0</v>
      </c>
      <c r="L33" s="27">
        <f>IF(Filter!$T$7=TRUE,IFERROR(INDEX(Planung!$D$68:$IA$68,MATCH($W33,Wirksam!$D$6:$IA$6,0)),0),0)</f>
        <v>0</v>
      </c>
      <c r="M33" s="27">
        <f>IF(OR(Filter!$T$5=TRUE,Filter!$T$6=TRUE),IFERROR(INDEX(Planung!$D$69:$IA$69,MATCH($W33,Wirksam!$D$6:$IA$6,0)),0),0)</f>
        <v>0</v>
      </c>
      <c r="N33" s="27">
        <f t="shared" si="1"/>
        <v>0</v>
      </c>
      <c r="O33" s="27" t="e">
        <f t="shared" si="2"/>
        <v>#N/A</v>
      </c>
      <c r="P33" s="27" t="e">
        <f t="shared" si="3"/>
        <v>#N/A</v>
      </c>
      <c r="Q33" s="27" t="e">
        <f t="shared" si="4"/>
        <v>#N/A</v>
      </c>
      <c r="R33" s="27" t="e">
        <f t="shared" si="5"/>
        <v>#N/A</v>
      </c>
      <c r="S33" s="27" t="e">
        <f t="shared" si="6"/>
        <v>#N/A</v>
      </c>
      <c r="T33" s="27" t="e">
        <f t="shared" si="7"/>
        <v>#N/A</v>
      </c>
      <c r="U33" s="26">
        <f>COUNTIFS(Verlauf!$B$6:$B$1000,$A33,Verlauf!$C$6:$C$1000,$B33)</f>
        <v>0</v>
      </c>
      <c r="V33" s="26">
        <f t="shared" si="8"/>
        <v>0</v>
      </c>
      <c r="W33" s="26">
        <f t="shared" si="9"/>
        <v>202704</v>
      </c>
      <c r="X33" s="26">
        <f>SUMIFS(Verlauf!$X$6:$X$1000,Verlauf!$B$6:$B$1000,$A33,Verlauf!$C$6:$C$1000,$B33)</f>
        <v>0</v>
      </c>
      <c r="Y33" s="26">
        <f>SUMIFS(Verlauf!$Y$6:$Y$1000,Verlauf!$B$6:$B$1000,$A33,Verlauf!$C$6:$C$1000,$B33)</f>
        <v>0</v>
      </c>
      <c r="Z33" s="26">
        <f>SUMIFS(Verlauf!$Z$6:$Z$1000,Verlauf!$B$6:$B$1000,$A33,Verlauf!$C$6:$C$1000,$B33)</f>
        <v>0</v>
      </c>
      <c r="AA33" s="26">
        <f>SUMIFS(Verlauf!$I$6:$I$1000,Verlauf!$B$6:$B$1000,$A33,Verlauf!$C$6:$C$1000,$B33)</f>
        <v>0</v>
      </c>
      <c r="AB33" s="26">
        <f>SUMIFS(Verlauf!$AA$6:$AA$1000,Verlauf!$B$6:$B$1000,$A33,Verlauf!$C$6:$C$1000,$B33)</f>
        <v>0</v>
      </c>
      <c r="AC33" s="26">
        <f>SUMIFS(Verlauf!$AB$6:$AB$1000,Verlauf!$B$6:$B$1000,$A33,Verlauf!$C$6:$C$1000,$B33)</f>
        <v>0</v>
      </c>
      <c r="AD33" s="26">
        <f>SUMIFS(Verlauf!$AC$6:$AC$1000,Verlauf!$B$6:$B$1000,$A33,Verlauf!$C$6:$C$1000,$B33)</f>
        <v>0</v>
      </c>
      <c r="AE33" s="26">
        <f>SUMIFS(Verlauf!$S$6:$S$1000,Verlauf!$B$6:$B$1000,$A33,Verlauf!$C$6:$C$1000,$B33)</f>
        <v>0</v>
      </c>
      <c r="AF33" s="26" t="str">
        <f>IF($AN33="","",INDEX(Verlauf!$D$6:$D$1000,MATCH($AN33,Verlauf!$A$6:$A$1000,0)))</f>
        <v/>
      </c>
      <c r="AG33" s="26" t="str">
        <f>IF($AN33="","",INDEX(Verlauf!$E$6:$E$1000,MATCH($AN33,Verlauf!$A$6:$A$1000,0)))</f>
        <v/>
      </c>
      <c r="AH33" s="26" t="str">
        <f>IF($AN33="","",INDEX(Verlauf!$F$6:$F$1000,MATCH($AN33,Verlauf!$A$6:$A$1000,0)))</f>
        <v/>
      </c>
      <c r="AI33" s="26" t="str">
        <f>IF($AN33="","",INDEX(Verlauf!$H$6:$H$1000,MATCH($AN33,Verlauf!$A$6:$A$1000,0)))</f>
        <v/>
      </c>
      <c r="AJ33" s="26" t="str">
        <f>IF($AN33="","",INDEX(Verlauf!$N$6:$N$1000,MATCH($AN33,Verlauf!$A$6:$A$1000,0)))</f>
        <v/>
      </c>
      <c r="AK33" s="26" t="str">
        <f>IF($AN33="","",INDEX(Verlauf!$O$6:$O$1000,MATCH($AN33,Verlauf!$A$6:$A$1000,0)))</f>
        <v/>
      </c>
      <c r="AL33" s="26" t="str">
        <f>IF($AN33="","",INDEX(Verlauf!$P$6:$P$1000,MATCH($AN33,Verlauf!$A$6:$A$1000,0)))</f>
        <v/>
      </c>
      <c r="AM33" s="26" t="str">
        <f>IF($AN33="","",INDEX(Verlauf!$R$6:$R$1000,MATCH($AN33,Verlauf!$A$6:$A$1000,0)))</f>
        <v/>
      </c>
      <c r="AN33" s="28" t="str">
        <f>IF(U33&gt;0,_xlfn.MAXIFS(Verlauf!$A$6:$A$1000,Verlauf!$B$6:$B$1000,$A33,Verlauf!$C$6:$C$1000,$B33),"")</f>
        <v/>
      </c>
    </row>
    <row r="34" spans="1:40" x14ac:dyDescent="0.25">
      <c r="A34" s="26">
        <v>2027</v>
      </c>
      <c r="B34" s="26">
        <v>5</v>
      </c>
      <c r="C34" s="7" t="str">
        <f t="shared" si="0"/>
        <v>KW 5/27</v>
      </c>
      <c r="D34" s="26">
        <f>SUMIFS(Verlauf!$K$6:$K$1000,Verlauf!$B$6:$B$1000,$A34,Verlauf!$C$6:$C$1000,$B34)</f>
        <v>0</v>
      </c>
      <c r="E34" s="26">
        <f>SUMIFS(Verlauf!$L$6:$L$1000,Verlauf!$B$6:$B$1000,$A34,Verlauf!$C$6:$C$1000,$B34)</f>
        <v>0</v>
      </c>
      <c r="F34" s="26">
        <f>SUMIFS(Verlauf!$M$6:$M$1000,Verlauf!$B$6:$B$1000,$A34,Verlauf!$C$6:$C$1000,$B34)</f>
        <v>0</v>
      </c>
      <c r="G34" s="26">
        <f>SUMIFS(Verlauf!$J$6:$J$1000,Verlauf!$B$6:$B$1000,$A34,Verlauf!$C$6:$C$1000,$B34)</f>
        <v>0</v>
      </c>
      <c r="H34" s="26">
        <f>SUMIFS(Verlauf!$U$6:$U$1000,Verlauf!$B$6:$B$1000,$A34,Verlauf!$C$6:$C$1000,$B34)</f>
        <v>0</v>
      </c>
      <c r="I34" s="26">
        <f>SUMIFS(Verlauf!$V$6:$V$1000,Verlauf!$B$6:$B$1000,$A34,Verlauf!$C$6:$C$1000,$B34)</f>
        <v>0</v>
      </c>
      <c r="J34" s="26">
        <f>SUMIFS(Verlauf!$W$6:$W$1000,Verlauf!$B$6:$B$1000,$A34,Verlauf!$C$6:$C$1000,$B34)</f>
        <v>0</v>
      </c>
      <c r="K34" s="26">
        <f>SUMIFS(Verlauf!$T$6:$T$1000,Verlauf!$B$6:$B$1000,$A34,Verlauf!$C$6:$C$1000,$B34)</f>
        <v>0</v>
      </c>
      <c r="L34" s="27">
        <f>IF(Filter!$T$7=TRUE,IFERROR(INDEX(Planung!$D$68:$IA$68,MATCH($W34,Wirksam!$D$6:$IA$6,0)),0),0)</f>
        <v>0</v>
      </c>
      <c r="M34" s="27">
        <f>IF(OR(Filter!$T$5=TRUE,Filter!$T$6=TRUE),IFERROR(INDEX(Planung!$D$69:$IA$69,MATCH($W34,Wirksam!$D$6:$IA$6,0)),0),0)</f>
        <v>0</v>
      </c>
      <c r="N34" s="27">
        <f t="shared" si="1"/>
        <v>0</v>
      </c>
      <c r="O34" s="27" t="e">
        <f t="shared" si="2"/>
        <v>#N/A</v>
      </c>
      <c r="P34" s="27" t="e">
        <f t="shared" si="3"/>
        <v>#N/A</v>
      </c>
      <c r="Q34" s="27" t="e">
        <f t="shared" si="4"/>
        <v>#N/A</v>
      </c>
      <c r="R34" s="27" t="e">
        <f t="shared" si="5"/>
        <v>#N/A</v>
      </c>
      <c r="S34" s="27" t="e">
        <f t="shared" si="6"/>
        <v>#N/A</v>
      </c>
      <c r="T34" s="27" t="e">
        <f t="shared" si="7"/>
        <v>#N/A</v>
      </c>
      <c r="U34" s="26">
        <f>COUNTIFS(Verlauf!$B$6:$B$1000,$A34,Verlauf!$C$6:$C$1000,$B34)</f>
        <v>0</v>
      </c>
      <c r="V34" s="26">
        <f t="shared" si="8"/>
        <v>0</v>
      </c>
      <c r="W34" s="26">
        <f t="shared" si="9"/>
        <v>202705</v>
      </c>
      <c r="X34" s="26">
        <f>SUMIFS(Verlauf!$X$6:$X$1000,Verlauf!$B$6:$B$1000,$A34,Verlauf!$C$6:$C$1000,$B34)</f>
        <v>0</v>
      </c>
      <c r="Y34" s="26">
        <f>SUMIFS(Verlauf!$Y$6:$Y$1000,Verlauf!$B$6:$B$1000,$A34,Verlauf!$C$6:$C$1000,$B34)</f>
        <v>0</v>
      </c>
      <c r="Z34" s="26">
        <f>SUMIFS(Verlauf!$Z$6:$Z$1000,Verlauf!$B$6:$B$1000,$A34,Verlauf!$C$6:$C$1000,$B34)</f>
        <v>0</v>
      </c>
      <c r="AA34" s="26">
        <f>SUMIFS(Verlauf!$I$6:$I$1000,Verlauf!$B$6:$B$1000,$A34,Verlauf!$C$6:$C$1000,$B34)</f>
        <v>0</v>
      </c>
      <c r="AB34" s="26">
        <f>SUMIFS(Verlauf!$AA$6:$AA$1000,Verlauf!$B$6:$B$1000,$A34,Verlauf!$C$6:$C$1000,$B34)</f>
        <v>0</v>
      </c>
      <c r="AC34" s="26">
        <f>SUMIFS(Verlauf!$AB$6:$AB$1000,Verlauf!$B$6:$B$1000,$A34,Verlauf!$C$6:$C$1000,$B34)</f>
        <v>0</v>
      </c>
      <c r="AD34" s="26">
        <f>SUMIFS(Verlauf!$AC$6:$AC$1000,Verlauf!$B$6:$B$1000,$A34,Verlauf!$C$6:$C$1000,$B34)</f>
        <v>0</v>
      </c>
      <c r="AE34" s="26">
        <f>SUMIFS(Verlauf!$S$6:$S$1000,Verlauf!$B$6:$B$1000,$A34,Verlauf!$C$6:$C$1000,$B34)</f>
        <v>0</v>
      </c>
      <c r="AF34" s="26" t="str">
        <f>IF($AN34="","",INDEX(Verlauf!$D$6:$D$1000,MATCH($AN34,Verlauf!$A$6:$A$1000,0)))</f>
        <v/>
      </c>
      <c r="AG34" s="26" t="str">
        <f>IF($AN34="","",INDEX(Verlauf!$E$6:$E$1000,MATCH($AN34,Verlauf!$A$6:$A$1000,0)))</f>
        <v/>
      </c>
      <c r="AH34" s="26" t="str">
        <f>IF($AN34="","",INDEX(Verlauf!$F$6:$F$1000,MATCH($AN34,Verlauf!$A$6:$A$1000,0)))</f>
        <v/>
      </c>
      <c r="AI34" s="26" t="str">
        <f>IF($AN34="","",INDEX(Verlauf!$H$6:$H$1000,MATCH($AN34,Verlauf!$A$6:$A$1000,0)))</f>
        <v/>
      </c>
      <c r="AJ34" s="26" t="str">
        <f>IF($AN34="","",INDEX(Verlauf!$N$6:$N$1000,MATCH($AN34,Verlauf!$A$6:$A$1000,0)))</f>
        <v/>
      </c>
      <c r="AK34" s="26" t="str">
        <f>IF($AN34="","",INDEX(Verlauf!$O$6:$O$1000,MATCH($AN34,Verlauf!$A$6:$A$1000,0)))</f>
        <v/>
      </c>
      <c r="AL34" s="26" t="str">
        <f>IF($AN34="","",INDEX(Verlauf!$P$6:$P$1000,MATCH($AN34,Verlauf!$A$6:$A$1000,0)))</f>
        <v/>
      </c>
      <c r="AM34" s="26" t="str">
        <f>IF($AN34="","",INDEX(Verlauf!$R$6:$R$1000,MATCH($AN34,Verlauf!$A$6:$A$1000,0)))</f>
        <v/>
      </c>
      <c r="AN34" s="28" t="str">
        <f>IF(U34&gt;0,_xlfn.MAXIFS(Verlauf!$A$6:$A$1000,Verlauf!$B$6:$B$1000,$A34,Verlauf!$C$6:$C$1000,$B34),"")</f>
        <v/>
      </c>
    </row>
    <row r="35" spans="1:40" x14ac:dyDescent="0.25">
      <c r="A35" s="26">
        <v>2027</v>
      </c>
      <c r="B35" s="26">
        <v>6</v>
      </c>
      <c r="C35" s="7" t="str">
        <f t="shared" si="0"/>
        <v>KW 6/27</v>
      </c>
      <c r="D35" s="26">
        <f>SUMIFS(Verlauf!$K$6:$K$1000,Verlauf!$B$6:$B$1000,$A35,Verlauf!$C$6:$C$1000,$B35)</f>
        <v>0</v>
      </c>
      <c r="E35" s="26">
        <f>SUMIFS(Verlauf!$L$6:$L$1000,Verlauf!$B$6:$B$1000,$A35,Verlauf!$C$6:$C$1000,$B35)</f>
        <v>0</v>
      </c>
      <c r="F35" s="26">
        <f>SUMIFS(Verlauf!$M$6:$M$1000,Verlauf!$B$6:$B$1000,$A35,Verlauf!$C$6:$C$1000,$B35)</f>
        <v>0</v>
      </c>
      <c r="G35" s="26">
        <f>SUMIFS(Verlauf!$J$6:$J$1000,Verlauf!$B$6:$B$1000,$A35,Verlauf!$C$6:$C$1000,$B35)</f>
        <v>0</v>
      </c>
      <c r="H35" s="26">
        <f>SUMIFS(Verlauf!$U$6:$U$1000,Verlauf!$B$6:$B$1000,$A35,Verlauf!$C$6:$C$1000,$B35)</f>
        <v>0</v>
      </c>
      <c r="I35" s="26">
        <f>SUMIFS(Verlauf!$V$6:$V$1000,Verlauf!$B$6:$B$1000,$A35,Verlauf!$C$6:$C$1000,$B35)</f>
        <v>0</v>
      </c>
      <c r="J35" s="26">
        <f>SUMIFS(Verlauf!$W$6:$W$1000,Verlauf!$B$6:$B$1000,$A35,Verlauf!$C$6:$C$1000,$B35)</f>
        <v>0</v>
      </c>
      <c r="K35" s="26">
        <f>SUMIFS(Verlauf!$T$6:$T$1000,Verlauf!$B$6:$B$1000,$A35,Verlauf!$C$6:$C$1000,$B35)</f>
        <v>0</v>
      </c>
      <c r="L35" s="27">
        <f>IF(Filter!$T$7=TRUE,IFERROR(INDEX(Planung!$D$68:$IA$68,MATCH($W35,Wirksam!$D$6:$IA$6,0)),0),0)</f>
        <v>0</v>
      </c>
      <c r="M35" s="27">
        <f>IF(OR(Filter!$T$5=TRUE,Filter!$T$6=TRUE),IFERROR(INDEX(Planung!$D$69:$IA$69,MATCH($W35,Wirksam!$D$6:$IA$6,0)),0),0)</f>
        <v>0</v>
      </c>
      <c r="N35" s="27">
        <f t="shared" si="1"/>
        <v>0</v>
      </c>
      <c r="O35" s="27" t="e">
        <f t="shared" si="2"/>
        <v>#N/A</v>
      </c>
      <c r="P35" s="27" t="e">
        <f t="shared" si="3"/>
        <v>#N/A</v>
      </c>
      <c r="Q35" s="27" t="e">
        <f t="shared" si="4"/>
        <v>#N/A</v>
      </c>
      <c r="R35" s="27" t="e">
        <f t="shared" si="5"/>
        <v>#N/A</v>
      </c>
      <c r="S35" s="27" t="e">
        <f t="shared" si="6"/>
        <v>#N/A</v>
      </c>
      <c r="T35" s="27" t="e">
        <f t="shared" si="7"/>
        <v>#N/A</v>
      </c>
      <c r="U35" s="26">
        <f>COUNTIFS(Verlauf!$B$6:$B$1000,$A35,Verlauf!$C$6:$C$1000,$B35)</f>
        <v>0</v>
      </c>
      <c r="V35" s="26">
        <f t="shared" si="8"/>
        <v>0</v>
      </c>
      <c r="W35" s="26">
        <f t="shared" si="9"/>
        <v>202706</v>
      </c>
      <c r="X35" s="26">
        <f>SUMIFS(Verlauf!$X$6:$X$1000,Verlauf!$B$6:$B$1000,$A35,Verlauf!$C$6:$C$1000,$B35)</f>
        <v>0</v>
      </c>
      <c r="Y35" s="26">
        <f>SUMIFS(Verlauf!$Y$6:$Y$1000,Verlauf!$B$6:$B$1000,$A35,Verlauf!$C$6:$C$1000,$B35)</f>
        <v>0</v>
      </c>
      <c r="Z35" s="26">
        <f>SUMIFS(Verlauf!$Z$6:$Z$1000,Verlauf!$B$6:$B$1000,$A35,Verlauf!$C$6:$C$1000,$B35)</f>
        <v>0</v>
      </c>
      <c r="AA35" s="26">
        <f>SUMIFS(Verlauf!$I$6:$I$1000,Verlauf!$B$6:$B$1000,$A35,Verlauf!$C$6:$C$1000,$B35)</f>
        <v>0</v>
      </c>
      <c r="AB35" s="26">
        <f>SUMIFS(Verlauf!$AA$6:$AA$1000,Verlauf!$B$6:$B$1000,$A35,Verlauf!$C$6:$C$1000,$B35)</f>
        <v>0</v>
      </c>
      <c r="AC35" s="26">
        <f>SUMIFS(Verlauf!$AB$6:$AB$1000,Verlauf!$B$6:$B$1000,$A35,Verlauf!$C$6:$C$1000,$B35)</f>
        <v>0</v>
      </c>
      <c r="AD35" s="26">
        <f>SUMIFS(Verlauf!$AC$6:$AC$1000,Verlauf!$B$6:$B$1000,$A35,Verlauf!$C$6:$C$1000,$B35)</f>
        <v>0</v>
      </c>
      <c r="AE35" s="26">
        <f>SUMIFS(Verlauf!$S$6:$S$1000,Verlauf!$B$6:$B$1000,$A35,Verlauf!$C$6:$C$1000,$B35)</f>
        <v>0</v>
      </c>
      <c r="AF35" s="26" t="str">
        <f>IF($AN35="","",INDEX(Verlauf!$D$6:$D$1000,MATCH($AN35,Verlauf!$A$6:$A$1000,0)))</f>
        <v/>
      </c>
      <c r="AG35" s="26" t="str">
        <f>IF($AN35="","",INDEX(Verlauf!$E$6:$E$1000,MATCH($AN35,Verlauf!$A$6:$A$1000,0)))</f>
        <v/>
      </c>
      <c r="AH35" s="26" t="str">
        <f>IF($AN35="","",INDEX(Verlauf!$F$6:$F$1000,MATCH($AN35,Verlauf!$A$6:$A$1000,0)))</f>
        <v/>
      </c>
      <c r="AI35" s="26" t="str">
        <f>IF($AN35="","",INDEX(Verlauf!$H$6:$H$1000,MATCH($AN35,Verlauf!$A$6:$A$1000,0)))</f>
        <v/>
      </c>
      <c r="AJ35" s="26" t="str">
        <f>IF($AN35="","",INDEX(Verlauf!$N$6:$N$1000,MATCH($AN35,Verlauf!$A$6:$A$1000,0)))</f>
        <v/>
      </c>
      <c r="AK35" s="26" t="str">
        <f>IF($AN35="","",INDEX(Verlauf!$O$6:$O$1000,MATCH($AN35,Verlauf!$A$6:$A$1000,0)))</f>
        <v/>
      </c>
      <c r="AL35" s="26" t="str">
        <f>IF($AN35="","",INDEX(Verlauf!$P$6:$P$1000,MATCH($AN35,Verlauf!$A$6:$A$1000,0)))</f>
        <v/>
      </c>
      <c r="AM35" s="26" t="str">
        <f>IF($AN35="","",INDEX(Verlauf!$R$6:$R$1000,MATCH($AN35,Verlauf!$A$6:$A$1000,0)))</f>
        <v/>
      </c>
      <c r="AN35" s="28" t="str">
        <f>IF(U35&gt;0,_xlfn.MAXIFS(Verlauf!$A$6:$A$1000,Verlauf!$B$6:$B$1000,$A35,Verlauf!$C$6:$C$1000,$B35),"")</f>
        <v/>
      </c>
    </row>
    <row r="36" spans="1:40" x14ac:dyDescent="0.25">
      <c r="A36" s="26">
        <v>2027</v>
      </c>
      <c r="B36" s="26">
        <v>7</v>
      </c>
      <c r="C36" s="7" t="str">
        <f t="shared" si="0"/>
        <v>KW 7/27</v>
      </c>
      <c r="D36" s="26">
        <f>SUMIFS(Verlauf!$K$6:$K$1000,Verlauf!$B$6:$B$1000,$A36,Verlauf!$C$6:$C$1000,$B36)</f>
        <v>0</v>
      </c>
      <c r="E36" s="26">
        <f>SUMIFS(Verlauf!$L$6:$L$1000,Verlauf!$B$6:$B$1000,$A36,Verlauf!$C$6:$C$1000,$B36)</f>
        <v>0</v>
      </c>
      <c r="F36" s="26">
        <f>SUMIFS(Verlauf!$M$6:$M$1000,Verlauf!$B$6:$B$1000,$A36,Verlauf!$C$6:$C$1000,$B36)</f>
        <v>0</v>
      </c>
      <c r="G36" s="26">
        <f>SUMIFS(Verlauf!$J$6:$J$1000,Verlauf!$B$6:$B$1000,$A36,Verlauf!$C$6:$C$1000,$B36)</f>
        <v>0</v>
      </c>
      <c r="H36" s="26">
        <f>SUMIFS(Verlauf!$U$6:$U$1000,Verlauf!$B$6:$B$1000,$A36,Verlauf!$C$6:$C$1000,$B36)</f>
        <v>0</v>
      </c>
      <c r="I36" s="26">
        <f>SUMIFS(Verlauf!$V$6:$V$1000,Verlauf!$B$6:$B$1000,$A36,Verlauf!$C$6:$C$1000,$B36)</f>
        <v>0</v>
      </c>
      <c r="J36" s="26">
        <f>SUMIFS(Verlauf!$W$6:$W$1000,Verlauf!$B$6:$B$1000,$A36,Verlauf!$C$6:$C$1000,$B36)</f>
        <v>0</v>
      </c>
      <c r="K36" s="26">
        <f>SUMIFS(Verlauf!$T$6:$T$1000,Verlauf!$B$6:$B$1000,$A36,Verlauf!$C$6:$C$1000,$B36)</f>
        <v>0</v>
      </c>
      <c r="L36" s="27">
        <f>IF(Filter!$T$7=TRUE,IFERROR(INDEX(Planung!$D$68:$IA$68,MATCH($W36,Wirksam!$D$6:$IA$6,0)),0),0)</f>
        <v>0</v>
      </c>
      <c r="M36" s="27">
        <f>IF(OR(Filter!$T$5=TRUE,Filter!$T$6=TRUE),IFERROR(INDEX(Planung!$D$69:$IA$69,MATCH($W36,Wirksam!$D$6:$IA$6,0)),0),0)</f>
        <v>0</v>
      </c>
      <c r="N36" s="27">
        <f t="shared" si="1"/>
        <v>0</v>
      </c>
      <c r="O36" s="27" t="e">
        <f t="shared" si="2"/>
        <v>#N/A</v>
      </c>
      <c r="P36" s="27" t="e">
        <f t="shared" si="3"/>
        <v>#N/A</v>
      </c>
      <c r="Q36" s="27" t="e">
        <f t="shared" si="4"/>
        <v>#N/A</v>
      </c>
      <c r="R36" s="27" t="e">
        <f t="shared" si="5"/>
        <v>#N/A</v>
      </c>
      <c r="S36" s="27" t="e">
        <f t="shared" si="6"/>
        <v>#N/A</v>
      </c>
      <c r="T36" s="27" t="e">
        <f t="shared" si="7"/>
        <v>#N/A</v>
      </c>
      <c r="U36" s="26">
        <f>COUNTIFS(Verlauf!$B$6:$B$1000,$A36,Verlauf!$C$6:$C$1000,$B36)</f>
        <v>0</v>
      </c>
      <c r="V36" s="26">
        <f t="shared" si="8"/>
        <v>0</v>
      </c>
      <c r="W36" s="26">
        <f t="shared" si="9"/>
        <v>202707</v>
      </c>
      <c r="X36" s="26">
        <f>SUMIFS(Verlauf!$X$6:$X$1000,Verlauf!$B$6:$B$1000,$A36,Verlauf!$C$6:$C$1000,$B36)</f>
        <v>0</v>
      </c>
      <c r="Y36" s="26">
        <f>SUMIFS(Verlauf!$Y$6:$Y$1000,Verlauf!$B$6:$B$1000,$A36,Verlauf!$C$6:$C$1000,$B36)</f>
        <v>0</v>
      </c>
      <c r="Z36" s="26">
        <f>SUMIFS(Verlauf!$Z$6:$Z$1000,Verlauf!$B$6:$B$1000,$A36,Verlauf!$C$6:$C$1000,$B36)</f>
        <v>0</v>
      </c>
      <c r="AA36" s="26">
        <f>SUMIFS(Verlauf!$I$6:$I$1000,Verlauf!$B$6:$B$1000,$A36,Verlauf!$C$6:$C$1000,$B36)</f>
        <v>0</v>
      </c>
      <c r="AB36" s="26">
        <f>SUMIFS(Verlauf!$AA$6:$AA$1000,Verlauf!$B$6:$B$1000,$A36,Verlauf!$C$6:$C$1000,$B36)</f>
        <v>0</v>
      </c>
      <c r="AC36" s="26">
        <f>SUMIFS(Verlauf!$AB$6:$AB$1000,Verlauf!$B$6:$B$1000,$A36,Verlauf!$C$6:$C$1000,$B36)</f>
        <v>0</v>
      </c>
      <c r="AD36" s="26">
        <f>SUMIFS(Verlauf!$AC$6:$AC$1000,Verlauf!$B$6:$B$1000,$A36,Verlauf!$C$6:$C$1000,$B36)</f>
        <v>0</v>
      </c>
      <c r="AE36" s="26">
        <f>SUMIFS(Verlauf!$S$6:$S$1000,Verlauf!$B$6:$B$1000,$A36,Verlauf!$C$6:$C$1000,$B36)</f>
        <v>0</v>
      </c>
      <c r="AF36" s="26" t="str">
        <f>IF($AN36="","",INDEX(Verlauf!$D$6:$D$1000,MATCH($AN36,Verlauf!$A$6:$A$1000,0)))</f>
        <v/>
      </c>
      <c r="AG36" s="26" t="str">
        <f>IF($AN36="","",INDEX(Verlauf!$E$6:$E$1000,MATCH($AN36,Verlauf!$A$6:$A$1000,0)))</f>
        <v/>
      </c>
      <c r="AH36" s="26" t="str">
        <f>IF($AN36="","",INDEX(Verlauf!$F$6:$F$1000,MATCH($AN36,Verlauf!$A$6:$A$1000,0)))</f>
        <v/>
      </c>
      <c r="AI36" s="26" t="str">
        <f>IF($AN36="","",INDEX(Verlauf!$H$6:$H$1000,MATCH($AN36,Verlauf!$A$6:$A$1000,0)))</f>
        <v/>
      </c>
      <c r="AJ36" s="26" t="str">
        <f>IF($AN36="","",INDEX(Verlauf!$N$6:$N$1000,MATCH($AN36,Verlauf!$A$6:$A$1000,0)))</f>
        <v/>
      </c>
      <c r="AK36" s="26" t="str">
        <f>IF($AN36="","",INDEX(Verlauf!$O$6:$O$1000,MATCH($AN36,Verlauf!$A$6:$A$1000,0)))</f>
        <v/>
      </c>
      <c r="AL36" s="26" t="str">
        <f>IF($AN36="","",INDEX(Verlauf!$P$6:$P$1000,MATCH($AN36,Verlauf!$A$6:$A$1000,0)))</f>
        <v/>
      </c>
      <c r="AM36" s="26" t="str">
        <f>IF($AN36="","",INDEX(Verlauf!$R$6:$R$1000,MATCH($AN36,Verlauf!$A$6:$A$1000,0)))</f>
        <v/>
      </c>
      <c r="AN36" s="28" t="str">
        <f>IF(U36&gt;0,_xlfn.MAXIFS(Verlauf!$A$6:$A$1000,Verlauf!$B$6:$B$1000,$A36,Verlauf!$C$6:$C$1000,$B36),"")</f>
        <v/>
      </c>
    </row>
    <row r="37" spans="1:40" x14ac:dyDescent="0.25">
      <c r="A37" s="26">
        <v>2027</v>
      </c>
      <c r="B37" s="26">
        <v>8</v>
      </c>
      <c r="C37" s="7" t="str">
        <f t="shared" si="0"/>
        <v>KW 8/27</v>
      </c>
      <c r="D37" s="26">
        <f>SUMIFS(Verlauf!$K$6:$K$1000,Verlauf!$B$6:$B$1000,$A37,Verlauf!$C$6:$C$1000,$B37)</f>
        <v>0</v>
      </c>
      <c r="E37" s="26">
        <f>SUMIFS(Verlauf!$L$6:$L$1000,Verlauf!$B$6:$B$1000,$A37,Verlauf!$C$6:$C$1000,$B37)</f>
        <v>0</v>
      </c>
      <c r="F37" s="26">
        <f>SUMIFS(Verlauf!$M$6:$M$1000,Verlauf!$B$6:$B$1000,$A37,Verlauf!$C$6:$C$1000,$B37)</f>
        <v>0</v>
      </c>
      <c r="G37" s="26">
        <f>SUMIFS(Verlauf!$J$6:$J$1000,Verlauf!$B$6:$B$1000,$A37,Verlauf!$C$6:$C$1000,$B37)</f>
        <v>0</v>
      </c>
      <c r="H37" s="26">
        <f>SUMIFS(Verlauf!$U$6:$U$1000,Verlauf!$B$6:$B$1000,$A37,Verlauf!$C$6:$C$1000,$B37)</f>
        <v>0</v>
      </c>
      <c r="I37" s="26">
        <f>SUMIFS(Verlauf!$V$6:$V$1000,Verlauf!$B$6:$B$1000,$A37,Verlauf!$C$6:$C$1000,$B37)</f>
        <v>0</v>
      </c>
      <c r="J37" s="26">
        <f>SUMIFS(Verlauf!$W$6:$W$1000,Verlauf!$B$6:$B$1000,$A37,Verlauf!$C$6:$C$1000,$B37)</f>
        <v>0</v>
      </c>
      <c r="K37" s="26">
        <f>SUMIFS(Verlauf!$T$6:$T$1000,Verlauf!$B$6:$B$1000,$A37,Verlauf!$C$6:$C$1000,$B37)</f>
        <v>0</v>
      </c>
      <c r="L37" s="27">
        <f>IF(Filter!$T$7=TRUE,IFERROR(INDEX(Planung!$D$68:$IA$68,MATCH($W37,Wirksam!$D$6:$IA$6,0)),0),0)</f>
        <v>0</v>
      </c>
      <c r="M37" s="27">
        <f>IF(OR(Filter!$T$5=TRUE,Filter!$T$6=TRUE),IFERROR(INDEX(Planung!$D$69:$IA$69,MATCH($W37,Wirksam!$D$6:$IA$6,0)),0),0)</f>
        <v>0</v>
      </c>
      <c r="N37" s="27">
        <f t="shared" si="1"/>
        <v>0</v>
      </c>
      <c r="O37" s="27" t="e">
        <f t="shared" si="2"/>
        <v>#N/A</v>
      </c>
      <c r="P37" s="27" t="e">
        <f t="shared" si="3"/>
        <v>#N/A</v>
      </c>
      <c r="Q37" s="27" t="e">
        <f t="shared" si="4"/>
        <v>#N/A</v>
      </c>
      <c r="R37" s="27" t="e">
        <f t="shared" si="5"/>
        <v>#N/A</v>
      </c>
      <c r="S37" s="27" t="e">
        <f t="shared" si="6"/>
        <v>#N/A</v>
      </c>
      <c r="T37" s="27" t="e">
        <f t="shared" si="7"/>
        <v>#N/A</v>
      </c>
      <c r="U37" s="26">
        <f>COUNTIFS(Verlauf!$B$6:$B$1000,$A37,Verlauf!$C$6:$C$1000,$B37)</f>
        <v>0</v>
      </c>
      <c r="V37" s="26">
        <f t="shared" si="8"/>
        <v>0</v>
      </c>
      <c r="W37" s="26">
        <f t="shared" si="9"/>
        <v>202708</v>
      </c>
      <c r="X37" s="26">
        <f>SUMIFS(Verlauf!$X$6:$X$1000,Verlauf!$B$6:$B$1000,$A37,Verlauf!$C$6:$C$1000,$B37)</f>
        <v>0</v>
      </c>
      <c r="Y37" s="26">
        <f>SUMIFS(Verlauf!$Y$6:$Y$1000,Verlauf!$B$6:$B$1000,$A37,Verlauf!$C$6:$C$1000,$B37)</f>
        <v>0</v>
      </c>
      <c r="Z37" s="26">
        <f>SUMIFS(Verlauf!$Z$6:$Z$1000,Verlauf!$B$6:$B$1000,$A37,Verlauf!$C$6:$C$1000,$B37)</f>
        <v>0</v>
      </c>
      <c r="AA37" s="26">
        <f>SUMIFS(Verlauf!$I$6:$I$1000,Verlauf!$B$6:$B$1000,$A37,Verlauf!$C$6:$C$1000,$B37)</f>
        <v>0</v>
      </c>
      <c r="AB37" s="26">
        <f>SUMIFS(Verlauf!$AA$6:$AA$1000,Verlauf!$B$6:$B$1000,$A37,Verlauf!$C$6:$C$1000,$B37)</f>
        <v>0</v>
      </c>
      <c r="AC37" s="26">
        <f>SUMIFS(Verlauf!$AB$6:$AB$1000,Verlauf!$B$6:$B$1000,$A37,Verlauf!$C$6:$C$1000,$B37)</f>
        <v>0</v>
      </c>
      <c r="AD37" s="26">
        <f>SUMIFS(Verlauf!$AC$6:$AC$1000,Verlauf!$B$6:$B$1000,$A37,Verlauf!$C$6:$C$1000,$B37)</f>
        <v>0</v>
      </c>
      <c r="AE37" s="26">
        <f>SUMIFS(Verlauf!$S$6:$S$1000,Verlauf!$B$6:$B$1000,$A37,Verlauf!$C$6:$C$1000,$B37)</f>
        <v>0</v>
      </c>
      <c r="AF37" s="26" t="str">
        <f>IF($AN37="","",INDEX(Verlauf!$D$6:$D$1000,MATCH($AN37,Verlauf!$A$6:$A$1000,0)))</f>
        <v/>
      </c>
      <c r="AG37" s="26" t="str">
        <f>IF($AN37="","",INDEX(Verlauf!$E$6:$E$1000,MATCH($AN37,Verlauf!$A$6:$A$1000,0)))</f>
        <v/>
      </c>
      <c r="AH37" s="26" t="str">
        <f>IF($AN37="","",INDEX(Verlauf!$F$6:$F$1000,MATCH($AN37,Verlauf!$A$6:$A$1000,0)))</f>
        <v/>
      </c>
      <c r="AI37" s="26" t="str">
        <f>IF($AN37="","",INDEX(Verlauf!$H$6:$H$1000,MATCH($AN37,Verlauf!$A$6:$A$1000,0)))</f>
        <v/>
      </c>
      <c r="AJ37" s="26" t="str">
        <f>IF($AN37="","",INDEX(Verlauf!$N$6:$N$1000,MATCH($AN37,Verlauf!$A$6:$A$1000,0)))</f>
        <v/>
      </c>
      <c r="AK37" s="26" t="str">
        <f>IF($AN37="","",INDEX(Verlauf!$O$6:$O$1000,MATCH($AN37,Verlauf!$A$6:$A$1000,0)))</f>
        <v/>
      </c>
      <c r="AL37" s="26" t="str">
        <f>IF($AN37="","",INDEX(Verlauf!$P$6:$P$1000,MATCH($AN37,Verlauf!$A$6:$A$1000,0)))</f>
        <v/>
      </c>
      <c r="AM37" s="26" t="str">
        <f>IF($AN37="","",INDEX(Verlauf!$R$6:$R$1000,MATCH($AN37,Verlauf!$A$6:$A$1000,0)))</f>
        <v/>
      </c>
      <c r="AN37" s="28" t="str">
        <f>IF(U37&gt;0,_xlfn.MAXIFS(Verlauf!$A$6:$A$1000,Verlauf!$B$6:$B$1000,$A37,Verlauf!$C$6:$C$1000,$B37),"")</f>
        <v/>
      </c>
    </row>
    <row r="38" spans="1:40" x14ac:dyDescent="0.25">
      <c r="A38" s="26">
        <v>2027</v>
      </c>
      <c r="B38" s="26">
        <v>9</v>
      </c>
      <c r="C38" s="7" t="str">
        <f t="shared" si="0"/>
        <v>KW 9/27</v>
      </c>
      <c r="D38" s="26">
        <f>SUMIFS(Verlauf!$K$6:$K$1000,Verlauf!$B$6:$B$1000,$A38,Verlauf!$C$6:$C$1000,$B38)</f>
        <v>0</v>
      </c>
      <c r="E38" s="26">
        <f>SUMIFS(Verlauf!$L$6:$L$1000,Verlauf!$B$6:$B$1000,$A38,Verlauf!$C$6:$C$1000,$B38)</f>
        <v>0</v>
      </c>
      <c r="F38" s="26">
        <f>SUMIFS(Verlauf!$M$6:$M$1000,Verlauf!$B$6:$B$1000,$A38,Verlauf!$C$6:$C$1000,$B38)</f>
        <v>0</v>
      </c>
      <c r="G38" s="26">
        <f>SUMIFS(Verlauf!$J$6:$J$1000,Verlauf!$B$6:$B$1000,$A38,Verlauf!$C$6:$C$1000,$B38)</f>
        <v>0</v>
      </c>
      <c r="H38" s="26">
        <f>SUMIFS(Verlauf!$U$6:$U$1000,Verlauf!$B$6:$B$1000,$A38,Verlauf!$C$6:$C$1000,$B38)</f>
        <v>0</v>
      </c>
      <c r="I38" s="26">
        <f>SUMIFS(Verlauf!$V$6:$V$1000,Verlauf!$B$6:$B$1000,$A38,Verlauf!$C$6:$C$1000,$B38)</f>
        <v>0</v>
      </c>
      <c r="J38" s="26">
        <f>SUMIFS(Verlauf!$W$6:$W$1000,Verlauf!$B$6:$B$1000,$A38,Verlauf!$C$6:$C$1000,$B38)</f>
        <v>0</v>
      </c>
      <c r="K38" s="26">
        <f>SUMIFS(Verlauf!$T$6:$T$1000,Verlauf!$B$6:$B$1000,$A38,Verlauf!$C$6:$C$1000,$B38)</f>
        <v>0</v>
      </c>
      <c r="L38" s="27">
        <f>IF(Filter!$T$7=TRUE,IFERROR(INDEX(Planung!$D$68:$IA$68,MATCH($W38,Wirksam!$D$6:$IA$6,0)),0),0)</f>
        <v>0</v>
      </c>
      <c r="M38" s="27">
        <f>IF(OR(Filter!$T$5=TRUE,Filter!$T$6=TRUE),IFERROR(INDEX(Planung!$D$69:$IA$69,MATCH($W38,Wirksam!$D$6:$IA$6,0)),0),0)</f>
        <v>0</v>
      </c>
      <c r="N38" s="27">
        <f t="shared" si="1"/>
        <v>0</v>
      </c>
      <c r="O38" s="27" t="e">
        <f t="shared" si="2"/>
        <v>#N/A</v>
      </c>
      <c r="P38" s="27" t="e">
        <f t="shared" si="3"/>
        <v>#N/A</v>
      </c>
      <c r="Q38" s="27" t="e">
        <f t="shared" si="4"/>
        <v>#N/A</v>
      </c>
      <c r="R38" s="27" t="e">
        <f t="shared" si="5"/>
        <v>#N/A</v>
      </c>
      <c r="S38" s="27" t="e">
        <f t="shared" si="6"/>
        <v>#N/A</v>
      </c>
      <c r="T38" s="27" t="e">
        <f t="shared" si="7"/>
        <v>#N/A</v>
      </c>
      <c r="U38" s="26">
        <f>COUNTIFS(Verlauf!$B$6:$B$1000,$A38,Verlauf!$C$6:$C$1000,$B38)</f>
        <v>0</v>
      </c>
      <c r="V38" s="26">
        <f t="shared" si="8"/>
        <v>0</v>
      </c>
      <c r="W38" s="26">
        <f t="shared" si="9"/>
        <v>202709</v>
      </c>
      <c r="X38" s="26">
        <f>SUMIFS(Verlauf!$X$6:$X$1000,Verlauf!$B$6:$B$1000,$A38,Verlauf!$C$6:$C$1000,$B38)</f>
        <v>0</v>
      </c>
      <c r="Y38" s="26">
        <f>SUMIFS(Verlauf!$Y$6:$Y$1000,Verlauf!$B$6:$B$1000,$A38,Verlauf!$C$6:$C$1000,$B38)</f>
        <v>0</v>
      </c>
      <c r="Z38" s="26">
        <f>SUMIFS(Verlauf!$Z$6:$Z$1000,Verlauf!$B$6:$B$1000,$A38,Verlauf!$C$6:$C$1000,$B38)</f>
        <v>0</v>
      </c>
      <c r="AA38" s="26">
        <f>SUMIFS(Verlauf!$I$6:$I$1000,Verlauf!$B$6:$B$1000,$A38,Verlauf!$C$6:$C$1000,$B38)</f>
        <v>0</v>
      </c>
      <c r="AB38" s="26">
        <f>SUMIFS(Verlauf!$AA$6:$AA$1000,Verlauf!$B$6:$B$1000,$A38,Verlauf!$C$6:$C$1000,$B38)</f>
        <v>0</v>
      </c>
      <c r="AC38" s="26">
        <f>SUMIFS(Verlauf!$AB$6:$AB$1000,Verlauf!$B$6:$B$1000,$A38,Verlauf!$C$6:$C$1000,$B38)</f>
        <v>0</v>
      </c>
      <c r="AD38" s="26">
        <f>SUMIFS(Verlauf!$AC$6:$AC$1000,Verlauf!$B$6:$B$1000,$A38,Verlauf!$C$6:$C$1000,$B38)</f>
        <v>0</v>
      </c>
      <c r="AE38" s="26">
        <f>SUMIFS(Verlauf!$S$6:$S$1000,Verlauf!$B$6:$B$1000,$A38,Verlauf!$C$6:$C$1000,$B38)</f>
        <v>0</v>
      </c>
      <c r="AF38" s="26" t="str">
        <f>IF($AN38="","",INDEX(Verlauf!$D$6:$D$1000,MATCH($AN38,Verlauf!$A$6:$A$1000,0)))</f>
        <v/>
      </c>
      <c r="AG38" s="26" t="str">
        <f>IF($AN38="","",INDEX(Verlauf!$E$6:$E$1000,MATCH($AN38,Verlauf!$A$6:$A$1000,0)))</f>
        <v/>
      </c>
      <c r="AH38" s="26" t="str">
        <f>IF($AN38="","",INDEX(Verlauf!$F$6:$F$1000,MATCH($AN38,Verlauf!$A$6:$A$1000,0)))</f>
        <v/>
      </c>
      <c r="AI38" s="26" t="str">
        <f>IF($AN38="","",INDEX(Verlauf!$H$6:$H$1000,MATCH($AN38,Verlauf!$A$6:$A$1000,0)))</f>
        <v/>
      </c>
      <c r="AJ38" s="26" t="str">
        <f>IF($AN38="","",INDEX(Verlauf!$N$6:$N$1000,MATCH($AN38,Verlauf!$A$6:$A$1000,0)))</f>
        <v/>
      </c>
      <c r="AK38" s="26" t="str">
        <f>IF($AN38="","",INDEX(Verlauf!$O$6:$O$1000,MATCH($AN38,Verlauf!$A$6:$A$1000,0)))</f>
        <v/>
      </c>
      <c r="AL38" s="26" t="str">
        <f>IF($AN38="","",INDEX(Verlauf!$P$6:$P$1000,MATCH($AN38,Verlauf!$A$6:$A$1000,0)))</f>
        <v/>
      </c>
      <c r="AM38" s="26" t="str">
        <f>IF($AN38="","",INDEX(Verlauf!$R$6:$R$1000,MATCH($AN38,Verlauf!$A$6:$A$1000,0)))</f>
        <v/>
      </c>
      <c r="AN38" s="28" t="str">
        <f>IF(U38&gt;0,_xlfn.MAXIFS(Verlauf!$A$6:$A$1000,Verlauf!$B$6:$B$1000,$A38,Verlauf!$C$6:$C$1000,$B38),"")</f>
        <v/>
      </c>
    </row>
    <row r="39" spans="1:40" x14ac:dyDescent="0.25">
      <c r="A39" s="26">
        <v>2027</v>
      </c>
      <c r="B39" s="26">
        <v>10</v>
      </c>
      <c r="C39" s="7" t="str">
        <f t="shared" si="0"/>
        <v>KW 10/27</v>
      </c>
      <c r="D39" s="26">
        <f>SUMIFS(Verlauf!$K$6:$K$1000,Verlauf!$B$6:$B$1000,$A39,Verlauf!$C$6:$C$1000,$B39)</f>
        <v>0</v>
      </c>
      <c r="E39" s="26">
        <f>SUMIFS(Verlauf!$L$6:$L$1000,Verlauf!$B$6:$B$1000,$A39,Verlauf!$C$6:$C$1000,$B39)</f>
        <v>0</v>
      </c>
      <c r="F39" s="26">
        <f>SUMIFS(Verlauf!$M$6:$M$1000,Verlauf!$B$6:$B$1000,$A39,Verlauf!$C$6:$C$1000,$B39)</f>
        <v>0</v>
      </c>
      <c r="G39" s="26">
        <f>SUMIFS(Verlauf!$J$6:$J$1000,Verlauf!$B$6:$B$1000,$A39,Verlauf!$C$6:$C$1000,$B39)</f>
        <v>0</v>
      </c>
      <c r="H39" s="26">
        <f>SUMIFS(Verlauf!$U$6:$U$1000,Verlauf!$B$6:$B$1000,$A39,Verlauf!$C$6:$C$1000,$B39)</f>
        <v>0</v>
      </c>
      <c r="I39" s="26">
        <f>SUMIFS(Verlauf!$V$6:$V$1000,Verlauf!$B$6:$B$1000,$A39,Verlauf!$C$6:$C$1000,$B39)</f>
        <v>0</v>
      </c>
      <c r="J39" s="26">
        <f>SUMIFS(Verlauf!$W$6:$W$1000,Verlauf!$B$6:$B$1000,$A39,Verlauf!$C$6:$C$1000,$B39)</f>
        <v>0</v>
      </c>
      <c r="K39" s="26">
        <f>SUMIFS(Verlauf!$T$6:$T$1000,Verlauf!$B$6:$B$1000,$A39,Verlauf!$C$6:$C$1000,$B39)</f>
        <v>0</v>
      </c>
      <c r="L39" s="27">
        <f>IF(Filter!$T$7=TRUE,IFERROR(INDEX(Planung!$D$68:$IA$68,MATCH($W39,Wirksam!$D$6:$IA$6,0)),0),0)</f>
        <v>0</v>
      </c>
      <c r="M39" s="27">
        <f>IF(OR(Filter!$T$5=TRUE,Filter!$T$6=TRUE),IFERROR(INDEX(Planung!$D$69:$IA$69,MATCH($W39,Wirksam!$D$6:$IA$6,0)),0),0)</f>
        <v>0</v>
      </c>
      <c r="N39" s="27">
        <f t="shared" si="1"/>
        <v>0</v>
      </c>
      <c r="O39" s="27" t="e">
        <f t="shared" si="2"/>
        <v>#N/A</v>
      </c>
      <c r="P39" s="27" t="e">
        <f t="shared" si="3"/>
        <v>#N/A</v>
      </c>
      <c r="Q39" s="27" t="e">
        <f t="shared" si="4"/>
        <v>#N/A</v>
      </c>
      <c r="R39" s="27" t="e">
        <f t="shared" si="5"/>
        <v>#N/A</v>
      </c>
      <c r="S39" s="27" t="e">
        <f t="shared" si="6"/>
        <v>#N/A</v>
      </c>
      <c r="T39" s="27" t="e">
        <f t="shared" si="7"/>
        <v>#N/A</v>
      </c>
      <c r="U39" s="26">
        <f>COUNTIFS(Verlauf!$B$6:$B$1000,$A39,Verlauf!$C$6:$C$1000,$B39)</f>
        <v>0</v>
      </c>
      <c r="V39" s="26">
        <f t="shared" si="8"/>
        <v>0</v>
      </c>
      <c r="W39" s="26">
        <f t="shared" si="9"/>
        <v>202710</v>
      </c>
      <c r="X39" s="26">
        <f>SUMIFS(Verlauf!$X$6:$X$1000,Verlauf!$B$6:$B$1000,$A39,Verlauf!$C$6:$C$1000,$B39)</f>
        <v>0</v>
      </c>
      <c r="Y39" s="26">
        <f>SUMIFS(Verlauf!$Y$6:$Y$1000,Verlauf!$B$6:$B$1000,$A39,Verlauf!$C$6:$C$1000,$B39)</f>
        <v>0</v>
      </c>
      <c r="Z39" s="26">
        <f>SUMIFS(Verlauf!$Z$6:$Z$1000,Verlauf!$B$6:$B$1000,$A39,Verlauf!$C$6:$C$1000,$B39)</f>
        <v>0</v>
      </c>
      <c r="AA39" s="26">
        <f>SUMIFS(Verlauf!$I$6:$I$1000,Verlauf!$B$6:$B$1000,$A39,Verlauf!$C$6:$C$1000,$B39)</f>
        <v>0</v>
      </c>
      <c r="AB39" s="26">
        <f>SUMIFS(Verlauf!$AA$6:$AA$1000,Verlauf!$B$6:$B$1000,$A39,Verlauf!$C$6:$C$1000,$B39)</f>
        <v>0</v>
      </c>
      <c r="AC39" s="26">
        <f>SUMIFS(Verlauf!$AB$6:$AB$1000,Verlauf!$B$6:$B$1000,$A39,Verlauf!$C$6:$C$1000,$B39)</f>
        <v>0</v>
      </c>
      <c r="AD39" s="26">
        <f>SUMIFS(Verlauf!$AC$6:$AC$1000,Verlauf!$B$6:$B$1000,$A39,Verlauf!$C$6:$C$1000,$B39)</f>
        <v>0</v>
      </c>
      <c r="AE39" s="26">
        <f>SUMIFS(Verlauf!$S$6:$S$1000,Verlauf!$B$6:$B$1000,$A39,Verlauf!$C$6:$C$1000,$B39)</f>
        <v>0</v>
      </c>
      <c r="AF39" s="26" t="str">
        <f>IF($AN39="","",INDEX(Verlauf!$D$6:$D$1000,MATCH($AN39,Verlauf!$A$6:$A$1000,0)))</f>
        <v/>
      </c>
      <c r="AG39" s="26" t="str">
        <f>IF($AN39="","",INDEX(Verlauf!$E$6:$E$1000,MATCH($AN39,Verlauf!$A$6:$A$1000,0)))</f>
        <v/>
      </c>
      <c r="AH39" s="26" t="str">
        <f>IF($AN39="","",INDEX(Verlauf!$F$6:$F$1000,MATCH($AN39,Verlauf!$A$6:$A$1000,0)))</f>
        <v/>
      </c>
      <c r="AI39" s="26" t="str">
        <f>IF($AN39="","",INDEX(Verlauf!$H$6:$H$1000,MATCH($AN39,Verlauf!$A$6:$A$1000,0)))</f>
        <v/>
      </c>
      <c r="AJ39" s="26" t="str">
        <f>IF($AN39="","",INDEX(Verlauf!$N$6:$N$1000,MATCH($AN39,Verlauf!$A$6:$A$1000,0)))</f>
        <v/>
      </c>
      <c r="AK39" s="26" t="str">
        <f>IF($AN39="","",INDEX(Verlauf!$O$6:$O$1000,MATCH($AN39,Verlauf!$A$6:$A$1000,0)))</f>
        <v/>
      </c>
      <c r="AL39" s="26" t="str">
        <f>IF($AN39="","",INDEX(Verlauf!$P$6:$P$1000,MATCH($AN39,Verlauf!$A$6:$A$1000,0)))</f>
        <v/>
      </c>
      <c r="AM39" s="26" t="str">
        <f>IF($AN39="","",INDEX(Verlauf!$R$6:$R$1000,MATCH($AN39,Verlauf!$A$6:$A$1000,0)))</f>
        <v/>
      </c>
      <c r="AN39" s="28" t="str">
        <f>IF(U39&gt;0,_xlfn.MAXIFS(Verlauf!$A$6:$A$1000,Verlauf!$B$6:$B$1000,$A39,Verlauf!$C$6:$C$1000,$B39),"")</f>
        <v/>
      </c>
    </row>
    <row r="40" spans="1:40" x14ac:dyDescent="0.25">
      <c r="A40" s="26">
        <v>2027</v>
      </c>
      <c r="B40" s="26">
        <v>11</v>
      </c>
      <c r="C40" s="7" t="str">
        <f t="shared" si="0"/>
        <v>KW 11/27</v>
      </c>
      <c r="D40" s="26">
        <f>SUMIFS(Verlauf!$K$6:$K$1000,Verlauf!$B$6:$B$1000,$A40,Verlauf!$C$6:$C$1000,$B40)</f>
        <v>0</v>
      </c>
      <c r="E40" s="26">
        <f>SUMIFS(Verlauf!$L$6:$L$1000,Verlauf!$B$6:$B$1000,$A40,Verlauf!$C$6:$C$1000,$B40)</f>
        <v>0</v>
      </c>
      <c r="F40" s="26">
        <f>SUMIFS(Verlauf!$M$6:$M$1000,Verlauf!$B$6:$B$1000,$A40,Verlauf!$C$6:$C$1000,$B40)</f>
        <v>0</v>
      </c>
      <c r="G40" s="26">
        <f>SUMIFS(Verlauf!$J$6:$J$1000,Verlauf!$B$6:$B$1000,$A40,Verlauf!$C$6:$C$1000,$B40)</f>
        <v>0</v>
      </c>
      <c r="H40" s="26">
        <f>SUMIFS(Verlauf!$U$6:$U$1000,Verlauf!$B$6:$B$1000,$A40,Verlauf!$C$6:$C$1000,$B40)</f>
        <v>0</v>
      </c>
      <c r="I40" s="26">
        <f>SUMIFS(Verlauf!$V$6:$V$1000,Verlauf!$B$6:$B$1000,$A40,Verlauf!$C$6:$C$1000,$B40)</f>
        <v>0</v>
      </c>
      <c r="J40" s="26">
        <f>SUMIFS(Verlauf!$W$6:$W$1000,Verlauf!$B$6:$B$1000,$A40,Verlauf!$C$6:$C$1000,$B40)</f>
        <v>0</v>
      </c>
      <c r="K40" s="26">
        <f>SUMIFS(Verlauf!$T$6:$T$1000,Verlauf!$B$6:$B$1000,$A40,Verlauf!$C$6:$C$1000,$B40)</f>
        <v>0</v>
      </c>
      <c r="L40" s="27">
        <f>IF(Filter!$T$7=TRUE,IFERROR(INDEX(Planung!$D$68:$IA$68,MATCH($W40,Wirksam!$D$6:$IA$6,0)),0),0)</f>
        <v>0</v>
      </c>
      <c r="M40" s="27">
        <f>IF(OR(Filter!$T$5=TRUE,Filter!$T$6=TRUE),IFERROR(INDEX(Planung!$D$69:$IA$69,MATCH($W40,Wirksam!$D$6:$IA$6,0)),0),0)</f>
        <v>0</v>
      </c>
      <c r="N40" s="27">
        <f t="shared" si="1"/>
        <v>0</v>
      </c>
      <c r="O40" s="27" t="e">
        <f t="shared" si="2"/>
        <v>#N/A</v>
      </c>
      <c r="P40" s="27" t="e">
        <f t="shared" si="3"/>
        <v>#N/A</v>
      </c>
      <c r="Q40" s="27" t="e">
        <f t="shared" si="4"/>
        <v>#N/A</v>
      </c>
      <c r="R40" s="27" t="e">
        <f t="shared" si="5"/>
        <v>#N/A</v>
      </c>
      <c r="S40" s="27" t="e">
        <f t="shared" si="6"/>
        <v>#N/A</v>
      </c>
      <c r="T40" s="27" t="e">
        <f t="shared" si="7"/>
        <v>#N/A</v>
      </c>
      <c r="U40" s="26">
        <f>COUNTIFS(Verlauf!$B$6:$B$1000,$A40,Verlauf!$C$6:$C$1000,$B40)</f>
        <v>0</v>
      </c>
      <c r="V40" s="26">
        <f t="shared" si="8"/>
        <v>0</v>
      </c>
      <c r="W40" s="26">
        <f t="shared" si="9"/>
        <v>202711</v>
      </c>
      <c r="X40" s="26">
        <f>SUMIFS(Verlauf!$X$6:$X$1000,Verlauf!$B$6:$B$1000,$A40,Verlauf!$C$6:$C$1000,$B40)</f>
        <v>0</v>
      </c>
      <c r="Y40" s="26">
        <f>SUMIFS(Verlauf!$Y$6:$Y$1000,Verlauf!$B$6:$B$1000,$A40,Verlauf!$C$6:$C$1000,$B40)</f>
        <v>0</v>
      </c>
      <c r="Z40" s="26">
        <f>SUMIFS(Verlauf!$Z$6:$Z$1000,Verlauf!$B$6:$B$1000,$A40,Verlauf!$C$6:$C$1000,$B40)</f>
        <v>0</v>
      </c>
      <c r="AA40" s="26">
        <f>SUMIFS(Verlauf!$I$6:$I$1000,Verlauf!$B$6:$B$1000,$A40,Verlauf!$C$6:$C$1000,$B40)</f>
        <v>0</v>
      </c>
      <c r="AB40" s="26">
        <f>SUMIFS(Verlauf!$AA$6:$AA$1000,Verlauf!$B$6:$B$1000,$A40,Verlauf!$C$6:$C$1000,$B40)</f>
        <v>0</v>
      </c>
      <c r="AC40" s="26">
        <f>SUMIFS(Verlauf!$AB$6:$AB$1000,Verlauf!$B$6:$B$1000,$A40,Verlauf!$C$6:$C$1000,$B40)</f>
        <v>0</v>
      </c>
      <c r="AD40" s="26">
        <f>SUMIFS(Verlauf!$AC$6:$AC$1000,Verlauf!$B$6:$B$1000,$A40,Verlauf!$C$6:$C$1000,$B40)</f>
        <v>0</v>
      </c>
      <c r="AE40" s="26">
        <f>SUMIFS(Verlauf!$S$6:$S$1000,Verlauf!$B$6:$B$1000,$A40,Verlauf!$C$6:$C$1000,$B40)</f>
        <v>0</v>
      </c>
      <c r="AF40" s="26" t="str">
        <f>IF($AN40="","",INDEX(Verlauf!$D$6:$D$1000,MATCH($AN40,Verlauf!$A$6:$A$1000,0)))</f>
        <v/>
      </c>
      <c r="AG40" s="26" t="str">
        <f>IF($AN40="","",INDEX(Verlauf!$E$6:$E$1000,MATCH($AN40,Verlauf!$A$6:$A$1000,0)))</f>
        <v/>
      </c>
      <c r="AH40" s="26" t="str">
        <f>IF($AN40="","",INDEX(Verlauf!$F$6:$F$1000,MATCH($AN40,Verlauf!$A$6:$A$1000,0)))</f>
        <v/>
      </c>
      <c r="AI40" s="26" t="str">
        <f>IF($AN40="","",INDEX(Verlauf!$H$6:$H$1000,MATCH($AN40,Verlauf!$A$6:$A$1000,0)))</f>
        <v/>
      </c>
      <c r="AJ40" s="26" t="str">
        <f>IF($AN40="","",INDEX(Verlauf!$N$6:$N$1000,MATCH($AN40,Verlauf!$A$6:$A$1000,0)))</f>
        <v/>
      </c>
      <c r="AK40" s="26" t="str">
        <f>IF($AN40="","",INDEX(Verlauf!$O$6:$O$1000,MATCH($AN40,Verlauf!$A$6:$A$1000,0)))</f>
        <v/>
      </c>
      <c r="AL40" s="26" t="str">
        <f>IF($AN40="","",INDEX(Verlauf!$P$6:$P$1000,MATCH($AN40,Verlauf!$A$6:$A$1000,0)))</f>
        <v/>
      </c>
      <c r="AM40" s="26" t="str">
        <f>IF($AN40="","",INDEX(Verlauf!$R$6:$R$1000,MATCH($AN40,Verlauf!$A$6:$A$1000,0)))</f>
        <v/>
      </c>
      <c r="AN40" s="28" t="str">
        <f>IF(U40&gt;0,_xlfn.MAXIFS(Verlauf!$A$6:$A$1000,Verlauf!$B$6:$B$1000,$A40,Verlauf!$C$6:$C$1000,$B40),"")</f>
        <v/>
      </c>
    </row>
    <row r="41" spans="1:40" x14ac:dyDescent="0.25">
      <c r="A41" s="26">
        <v>2027</v>
      </c>
      <c r="B41" s="26">
        <v>12</v>
      </c>
      <c r="C41" s="7" t="str">
        <f t="shared" si="0"/>
        <v>KW 12/27</v>
      </c>
      <c r="D41" s="26">
        <f>SUMIFS(Verlauf!$K$6:$K$1000,Verlauf!$B$6:$B$1000,$A41,Verlauf!$C$6:$C$1000,$B41)</f>
        <v>0</v>
      </c>
      <c r="E41" s="26">
        <f>SUMIFS(Verlauf!$L$6:$L$1000,Verlauf!$B$6:$B$1000,$A41,Verlauf!$C$6:$C$1000,$B41)</f>
        <v>0</v>
      </c>
      <c r="F41" s="26">
        <f>SUMIFS(Verlauf!$M$6:$M$1000,Verlauf!$B$6:$B$1000,$A41,Verlauf!$C$6:$C$1000,$B41)</f>
        <v>0</v>
      </c>
      <c r="G41" s="26">
        <f>SUMIFS(Verlauf!$J$6:$J$1000,Verlauf!$B$6:$B$1000,$A41,Verlauf!$C$6:$C$1000,$B41)</f>
        <v>0</v>
      </c>
      <c r="H41" s="26">
        <f>SUMIFS(Verlauf!$U$6:$U$1000,Verlauf!$B$6:$B$1000,$A41,Verlauf!$C$6:$C$1000,$B41)</f>
        <v>0</v>
      </c>
      <c r="I41" s="26">
        <f>SUMIFS(Verlauf!$V$6:$V$1000,Verlauf!$B$6:$B$1000,$A41,Verlauf!$C$6:$C$1000,$B41)</f>
        <v>0</v>
      </c>
      <c r="J41" s="26">
        <f>SUMIFS(Verlauf!$W$6:$W$1000,Verlauf!$B$6:$B$1000,$A41,Verlauf!$C$6:$C$1000,$B41)</f>
        <v>0</v>
      </c>
      <c r="K41" s="26">
        <f>SUMIFS(Verlauf!$T$6:$T$1000,Verlauf!$B$6:$B$1000,$A41,Verlauf!$C$6:$C$1000,$B41)</f>
        <v>0</v>
      </c>
      <c r="L41" s="27">
        <f>IF(Filter!$T$7=TRUE,IFERROR(INDEX(Planung!$D$68:$IA$68,MATCH($W41,Wirksam!$D$6:$IA$6,0)),0),0)</f>
        <v>0</v>
      </c>
      <c r="M41" s="27">
        <f>IF(OR(Filter!$T$5=TRUE,Filter!$T$6=TRUE),IFERROR(INDEX(Planung!$D$69:$IA$69,MATCH($W41,Wirksam!$D$6:$IA$6,0)),0),0)</f>
        <v>0</v>
      </c>
      <c r="N41" s="27">
        <f t="shared" si="1"/>
        <v>0</v>
      </c>
      <c r="O41" s="27" t="e">
        <f t="shared" si="2"/>
        <v>#N/A</v>
      </c>
      <c r="P41" s="27" t="e">
        <f t="shared" si="3"/>
        <v>#N/A</v>
      </c>
      <c r="Q41" s="27" t="e">
        <f t="shared" si="4"/>
        <v>#N/A</v>
      </c>
      <c r="R41" s="27" t="e">
        <f t="shared" si="5"/>
        <v>#N/A</v>
      </c>
      <c r="S41" s="27" t="e">
        <f t="shared" si="6"/>
        <v>#N/A</v>
      </c>
      <c r="T41" s="27" t="e">
        <f t="shared" si="7"/>
        <v>#N/A</v>
      </c>
      <c r="U41" s="26">
        <f>COUNTIFS(Verlauf!$B$6:$B$1000,$A41,Verlauf!$C$6:$C$1000,$B41)</f>
        <v>0</v>
      </c>
      <c r="V41" s="26">
        <f t="shared" si="8"/>
        <v>0</v>
      </c>
      <c r="W41" s="26">
        <f t="shared" si="9"/>
        <v>202712</v>
      </c>
      <c r="X41" s="26">
        <f>SUMIFS(Verlauf!$X$6:$X$1000,Verlauf!$B$6:$B$1000,$A41,Verlauf!$C$6:$C$1000,$B41)</f>
        <v>0</v>
      </c>
      <c r="Y41" s="26">
        <f>SUMIFS(Verlauf!$Y$6:$Y$1000,Verlauf!$B$6:$B$1000,$A41,Verlauf!$C$6:$C$1000,$B41)</f>
        <v>0</v>
      </c>
      <c r="Z41" s="26">
        <f>SUMIFS(Verlauf!$Z$6:$Z$1000,Verlauf!$B$6:$B$1000,$A41,Verlauf!$C$6:$C$1000,$B41)</f>
        <v>0</v>
      </c>
      <c r="AA41" s="26">
        <f>SUMIFS(Verlauf!$I$6:$I$1000,Verlauf!$B$6:$B$1000,$A41,Verlauf!$C$6:$C$1000,$B41)</f>
        <v>0</v>
      </c>
      <c r="AB41" s="26">
        <f>SUMIFS(Verlauf!$AA$6:$AA$1000,Verlauf!$B$6:$B$1000,$A41,Verlauf!$C$6:$C$1000,$B41)</f>
        <v>0</v>
      </c>
      <c r="AC41" s="26">
        <f>SUMIFS(Verlauf!$AB$6:$AB$1000,Verlauf!$B$6:$B$1000,$A41,Verlauf!$C$6:$C$1000,$B41)</f>
        <v>0</v>
      </c>
      <c r="AD41" s="26">
        <f>SUMIFS(Verlauf!$AC$6:$AC$1000,Verlauf!$B$6:$B$1000,$A41,Verlauf!$C$6:$C$1000,$B41)</f>
        <v>0</v>
      </c>
      <c r="AE41" s="26">
        <f>SUMIFS(Verlauf!$S$6:$S$1000,Verlauf!$B$6:$B$1000,$A41,Verlauf!$C$6:$C$1000,$B41)</f>
        <v>0</v>
      </c>
      <c r="AF41" s="26" t="str">
        <f>IF($AN41="","",INDEX(Verlauf!$D$6:$D$1000,MATCH($AN41,Verlauf!$A$6:$A$1000,0)))</f>
        <v/>
      </c>
      <c r="AG41" s="26" t="str">
        <f>IF($AN41="","",INDEX(Verlauf!$E$6:$E$1000,MATCH($AN41,Verlauf!$A$6:$A$1000,0)))</f>
        <v/>
      </c>
      <c r="AH41" s="26" t="str">
        <f>IF($AN41="","",INDEX(Verlauf!$F$6:$F$1000,MATCH($AN41,Verlauf!$A$6:$A$1000,0)))</f>
        <v/>
      </c>
      <c r="AI41" s="26" t="str">
        <f>IF($AN41="","",INDEX(Verlauf!$H$6:$H$1000,MATCH($AN41,Verlauf!$A$6:$A$1000,0)))</f>
        <v/>
      </c>
      <c r="AJ41" s="26" t="str">
        <f>IF($AN41="","",INDEX(Verlauf!$N$6:$N$1000,MATCH($AN41,Verlauf!$A$6:$A$1000,0)))</f>
        <v/>
      </c>
      <c r="AK41" s="26" t="str">
        <f>IF($AN41="","",INDEX(Verlauf!$O$6:$O$1000,MATCH($AN41,Verlauf!$A$6:$A$1000,0)))</f>
        <v/>
      </c>
      <c r="AL41" s="26" t="str">
        <f>IF($AN41="","",INDEX(Verlauf!$P$6:$P$1000,MATCH($AN41,Verlauf!$A$6:$A$1000,0)))</f>
        <v/>
      </c>
      <c r="AM41" s="26" t="str">
        <f>IF($AN41="","",INDEX(Verlauf!$R$6:$R$1000,MATCH($AN41,Verlauf!$A$6:$A$1000,0)))</f>
        <v/>
      </c>
      <c r="AN41" s="28" t="str">
        <f>IF(U41&gt;0,_xlfn.MAXIFS(Verlauf!$A$6:$A$1000,Verlauf!$B$6:$B$1000,$A41,Verlauf!$C$6:$C$1000,$B41),"")</f>
        <v/>
      </c>
    </row>
    <row r="42" spans="1:40" x14ac:dyDescent="0.25">
      <c r="A42" s="26">
        <v>2027</v>
      </c>
      <c r="B42" s="26">
        <v>13</v>
      </c>
      <c r="C42" s="7" t="str">
        <f t="shared" si="0"/>
        <v>KW 13/27</v>
      </c>
      <c r="D42" s="26">
        <f>SUMIFS(Verlauf!$K$6:$K$1000,Verlauf!$B$6:$B$1000,$A42,Verlauf!$C$6:$C$1000,$B42)</f>
        <v>0</v>
      </c>
      <c r="E42" s="26">
        <f>SUMIFS(Verlauf!$L$6:$L$1000,Verlauf!$B$6:$B$1000,$A42,Verlauf!$C$6:$C$1000,$B42)</f>
        <v>0</v>
      </c>
      <c r="F42" s="26">
        <f>SUMIFS(Verlauf!$M$6:$M$1000,Verlauf!$B$6:$B$1000,$A42,Verlauf!$C$6:$C$1000,$B42)</f>
        <v>0</v>
      </c>
      <c r="G42" s="26">
        <f>SUMIFS(Verlauf!$J$6:$J$1000,Verlauf!$B$6:$B$1000,$A42,Verlauf!$C$6:$C$1000,$B42)</f>
        <v>0</v>
      </c>
      <c r="H42" s="26">
        <f>SUMIFS(Verlauf!$U$6:$U$1000,Verlauf!$B$6:$B$1000,$A42,Verlauf!$C$6:$C$1000,$B42)</f>
        <v>0</v>
      </c>
      <c r="I42" s="26">
        <f>SUMIFS(Verlauf!$V$6:$V$1000,Verlauf!$B$6:$B$1000,$A42,Verlauf!$C$6:$C$1000,$B42)</f>
        <v>0</v>
      </c>
      <c r="J42" s="26">
        <f>SUMIFS(Verlauf!$W$6:$W$1000,Verlauf!$B$6:$B$1000,$A42,Verlauf!$C$6:$C$1000,$B42)</f>
        <v>0</v>
      </c>
      <c r="K42" s="26">
        <f>SUMIFS(Verlauf!$T$6:$T$1000,Verlauf!$B$6:$B$1000,$A42,Verlauf!$C$6:$C$1000,$B42)</f>
        <v>0</v>
      </c>
      <c r="L42" s="27">
        <f>IF(Filter!$T$7=TRUE,IFERROR(INDEX(Planung!$D$68:$IA$68,MATCH($W42,Wirksam!$D$6:$IA$6,0)),0),0)</f>
        <v>0</v>
      </c>
      <c r="M42" s="27">
        <f>IF(OR(Filter!$T$5=TRUE,Filter!$T$6=TRUE),IFERROR(INDEX(Planung!$D$69:$IA$69,MATCH($W42,Wirksam!$D$6:$IA$6,0)),0),0)</f>
        <v>0</v>
      </c>
      <c r="N42" s="27">
        <f t="shared" si="1"/>
        <v>0</v>
      </c>
      <c r="O42" s="27" t="e">
        <f t="shared" si="2"/>
        <v>#N/A</v>
      </c>
      <c r="P42" s="27" t="e">
        <f t="shared" si="3"/>
        <v>#N/A</v>
      </c>
      <c r="Q42" s="27" t="e">
        <f t="shared" si="4"/>
        <v>#N/A</v>
      </c>
      <c r="R42" s="27" t="e">
        <f t="shared" si="5"/>
        <v>#N/A</v>
      </c>
      <c r="S42" s="27" t="e">
        <f t="shared" si="6"/>
        <v>#N/A</v>
      </c>
      <c r="T42" s="27" t="e">
        <f t="shared" si="7"/>
        <v>#N/A</v>
      </c>
      <c r="U42" s="26">
        <f>COUNTIFS(Verlauf!$B$6:$B$1000,$A42,Verlauf!$C$6:$C$1000,$B42)</f>
        <v>0</v>
      </c>
      <c r="V42" s="26">
        <f t="shared" si="8"/>
        <v>0</v>
      </c>
      <c r="W42" s="26">
        <f t="shared" si="9"/>
        <v>202713</v>
      </c>
      <c r="X42" s="26">
        <f>SUMIFS(Verlauf!$X$6:$X$1000,Verlauf!$B$6:$B$1000,$A42,Verlauf!$C$6:$C$1000,$B42)</f>
        <v>0</v>
      </c>
      <c r="Y42" s="26">
        <f>SUMIFS(Verlauf!$Y$6:$Y$1000,Verlauf!$B$6:$B$1000,$A42,Verlauf!$C$6:$C$1000,$B42)</f>
        <v>0</v>
      </c>
      <c r="Z42" s="26">
        <f>SUMIFS(Verlauf!$Z$6:$Z$1000,Verlauf!$B$6:$B$1000,$A42,Verlauf!$C$6:$C$1000,$B42)</f>
        <v>0</v>
      </c>
      <c r="AA42" s="26">
        <f>SUMIFS(Verlauf!$I$6:$I$1000,Verlauf!$B$6:$B$1000,$A42,Verlauf!$C$6:$C$1000,$B42)</f>
        <v>0</v>
      </c>
      <c r="AB42" s="26">
        <f>SUMIFS(Verlauf!$AA$6:$AA$1000,Verlauf!$B$6:$B$1000,$A42,Verlauf!$C$6:$C$1000,$B42)</f>
        <v>0</v>
      </c>
      <c r="AC42" s="26">
        <f>SUMIFS(Verlauf!$AB$6:$AB$1000,Verlauf!$B$6:$B$1000,$A42,Verlauf!$C$6:$C$1000,$B42)</f>
        <v>0</v>
      </c>
      <c r="AD42" s="26">
        <f>SUMIFS(Verlauf!$AC$6:$AC$1000,Verlauf!$B$6:$B$1000,$A42,Verlauf!$C$6:$C$1000,$B42)</f>
        <v>0</v>
      </c>
      <c r="AE42" s="26">
        <f>SUMIFS(Verlauf!$S$6:$S$1000,Verlauf!$B$6:$B$1000,$A42,Verlauf!$C$6:$C$1000,$B42)</f>
        <v>0</v>
      </c>
      <c r="AF42" s="26" t="str">
        <f>IF($AN42="","",INDEX(Verlauf!$D$6:$D$1000,MATCH($AN42,Verlauf!$A$6:$A$1000,0)))</f>
        <v/>
      </c>
      <c r="AG42" s="26" t="str">
        <f>IF($AN42="","",INDEX(Verlauf!$E$6:$E$1000,MATCH($AN42,Verlauf!$A$6:$A$1000,0)))</f>
        <v/>
      </c>
      <c r="AH42" s="26" t="str">
        <f>IF($AN42="","",INDEX(Verlauf!$F$6:$F$1000,MATCH($AN42,Verlauf!$A$6:$A$1000,0)))</f>
        <v/>
      </c>
      <c r="AI42" s="26" t="str">
        <f>IF($AN42="","",INDEX(Verlauf!$H$6:$H$1000,MATCH($AN42,Verlauf!$A$6:$A$1000,0)))</f>
        <v/>
      </c>
      <c r="AJ42" s="26" t="str">
        <f>IF($AN42="","",INDEX(Verlauf!$N$6:$N$1000,MATCH($AN42,Verlauf!$A$6:$A$1000,0)))</f>
        <v/>
      </c>
      <c r="AK42" s="26" t="str">
        <f>IF($AN42="","",INDEX(Verlauf!$O$6:$O$1000,MATCH($AN42,Verlauf!$A$6:$A$1000,0)))</f>
        <v/>
      </c>
      <c r="AL42" s="26" t="str">
        <f>IF($AN42="","",INDEX(Verlauf!$P$6:$P$1000,MATCH($AN42,Verlauf!$A$6:$A$1000,0)))</f>
        <v/>
      </c>
      <c r="AM42" s="26" t="str">
        <f>IF($AN42="","",INDEX(Verlauf!$R$6:$R$1000,MATCH($AN42,Verlauf!$A$6:$A$1000,0)))</f>
        <v/>
      </c>
      <c r="AN42" s="28" t="str">
        <f>IF(U42&gt;0,_xlfn.MAXIFS(Verlauf!$A$6:$A$1000,Verlauf!$B$6:$B$1000,$A42,Verlauf!$C$6:$C$1000,$B42),"")</f>
        <v/>
      </c>
    </row>
    <row r="43" spans="1:40" x14ac:dyDescent="0.25">
      <c r="A43" s="26">
        <v>2027</v>
      </c>
      <c r="B43" s="26">
        <v>14</v>
      </c>
      <c r="C43" s="7" t="str">
        <f t="shared" si="0"/>
        <v>KW 14/27</v>
      </c>
      <c r="D43" s="26">
        <f>SUMIFS(Verlauf!$K$6:$K$1000,Verlauf!$B$6:$B$1000,$A43,Verlauf!$C$6:$C$1000,$B43)</f>
        <v>0</v>
      </c>
      <c r="E43" s="26">
        <f>SUMIFS(Verlauf!$L$6:$L$1000,Verlauf!$B$6:$B$1000,$A43,Verlauf!$C$6:$C$1000,$B43)</f>
        <v>0</v>
      </c>
      <c r="F43" s="26">
        <f>SUMIFS(Verlauf!$M$6:$M$1000,Verlauf!$B$6:$B$1000,$A43,Verlauf!$C$6:$C$1000,$B43)</f>
        <v>0</v>
      </c>
      <c r="G43" s="26">
        <f>SUMIFS(Verlauf!$J$6:$J$1000,Verlauf!$B$6:$B$1000,$A43,Verlauf!$C$6:$C$1000,$B43)</f>
        <v>0</v>
      </c>
      <c r="H43" s="26">
        <f>SUMIFS(Verlauf!$U$6:$U$1000,Verlauf!$B$6:$B$1000,$A43,Verlauf!$C$6:$C$1000,$B43)</f>
        <v>0</v>
      </c>
      <c r="I43" s="26">
        <f>SUMIFS(Verlauf!$V$6:$V$1000,Verlauf!$B$6:$B$1000,$A43,Verlauf!$C$6:$C$1000,$B43)</f>
        <v>0</v>
      </c>
      <c r="J43" s="26">
        <f>SUMIFS(Verlauf!$W$6:$W$1000,Verlauf!$B$6:$B$1000,$A43,Verlauf!$C$6:$C$1000,$B43)</f>
        <v>0</v>
      </c>
      <c r="K43" s="26">
        <f>SUMIFS(Verlauf!$T$6:$T$1000,Verlauf!$B$6:$B$1000,$A43,Verlauf!$C$6:$C$1000,$B43)</f>
        <v>0</v>
      </c>
      <c r="L43" s="27">
        <f>IF(Filter!$T$7=TRUE,IFERROR(INDEX(Planung!$D$68:$IA$68,MATCH($W43,Wirksam!$D$6:$IA$6,0)),0),0)</f>
        <v>0</v>
      </c>
      <c r="M43" s="27">
        <f>IF(OR(Filter!$T$5=TRUE,Filter!$T$6=TRUE),IFERROR(INDEX(Planung!$D$69:$IA$69,MATCH($W43,Wirksam!$D$6:$IA$6,0)),0),0)</f>
        <v>0</v>
      </c>
      <c r="N43" s="27">
        <f t="shared" si="1"/>
        <v>0</v>
      </c>
      <c r="O43" s="27" t="e">
        <f t="shared" si="2"/>
        <v>#N/A</v>
      </c>
      <c r="P43" s="27" t="e">
        <f t="shared" si="3"/>
        <v>#N/A</v>
      </c>
      <c r="Q43" s="27" t="e">
        <f t="shared" si="4"/>
        <v>#N/A</v>
      </c>
      <c r="R43" s="27" t="e">
        <f t="shared" si="5"/>
        <v>#N/A</v>
      </c>
      <c r="S43" s="27" t="e">
        <f t="shared" si="6"/>
        <v>#N/A</v>
      </c>
      <c r="T43" s="27" t="e">
        <f t="shared" si="7"/>
        <v>#N/A</v>
      </c>
      <c r="U43" s="26">
        <f>COUNTIFS(Verlauf!$B$6:$B$1000,$A43,Verlauf!$C$6:$C$1000,$B43)</f>
        <v>0</v>
      </c>
      <c r="V43" s="26">
        <f t="shared" si="8"/>
        <v>0</v>
      </c>
      <c r="W43" s="26">
        <f t="shared" si="9"/>
        <v>202714</v>
      </c>
      <c r="X43" s="26">
        <f>SUMIFS(Verlauf!$X$6:$X$1000,Verlauf!$B$6:$B$1000,$A43,Verlauf!$C$6:$C$1000,$B43)</f>
        <v>0</v>
      </c>
      <c r="Y43" s="26">
        <f>SUMIFS(Verlauf!$Y$6:$Y$1000,Verlauf!$B$6:$B$1000,$A43,Verlauf!$C$6:$C$1000,$B43)</f>
        <v>0</v>
      </c>
      <c r="Z43" s="26">
        <f>SUMIFS(Verlauf!$Z$6:$Z$1000,Verlauf!$B$6:$B$1000,$A43,Verlauf!$C$6:$C$1000,$B43)</f>
        <v>0</v>
      </c>
      <c r="AA43" s="26">
        <f>SUMIFS(Verlauf!$I$6:$I$1000,Verlauf!$B$6:$B$1000,$A43,Verlauf!$C$6:$C$1000,$B43)</f>
        <v>0</v>
      </c>
      <c r="AB43" s="26">
        <f>SUMIFS(Verlauf!$AA$6:$AA$1000,Verlauf!$B$6:$B$1000,$A43,Verlauf!$C$6:$C$1000,$B43)</f>
        <v>0</v>
      </c>
      <c r="AC43" s="26">
        <f>SUMIFS(Verlauf!$AB$6:$AB$1000,Verlauf!$B$6:$B$1000,$A43,Verlauf!$C$6:$C$1000,$B43)</f>
        <v>0</v>
      </c>
      <c r="AD43" s="26">
        <f>SUMIFS(Verlauf!$AC$6:$AC$1000,Verlauf!$B$6:$B$1000,$A43,Verlauf!$C$6:$C$1000,$B43)</f>
        <v>0</v>
      </c>
      <c r="AE43" s="26">
        <f>SUMIFS(Verlauf!$S$6:$S$1000,Verlauf!$B$6:$B$1000,$A43,Verlauf!$C$6:$C$1000,$B43)</f>
        <v>0</v>
      </c>
      <c r="AF43" s="26" t="str">
        <f>IF($AN43="","",INDEX(Verlauf!$D$6:$D$1000,MATCH($AN43,Verlauf!$A$6:$A$1000,0)))</f>
        <v/>
      </c>
      <c r="AG43" s="26" t="str">
        <f>IF($AN43="","",INDEX(Verlauf!$E$6:$E$1000,MATCH($AN43,Verlauf!$A$6:$A$1000,0)))</f>
        <v/>
      </c>
      <c r="AH43" s="26" t="str">
        <f>IF($AN43="","",INDEX(Verlauf!$F$6:$F$1000,MATCH($AN43,Verlauf!$A$6:$A$1000,0)))</f>
        <v/>
      </c>
      <c r="AI43" s="26" t="str">
        <f>IF($AN43="","",INDEX(Verlauf!$H$6:$H$1000,MATCH($AN43,Verlauf!$A$6:$A$1000,0)))</f>
        <v/>
      </c>
      <c r="AJ43" s="26" t="str">
        <f>IF($AN43="","",INDEX(Verlauf!$N$6:$N$1000,MATCH($AN43,Verlauf!$A$6:$A$1000,0)))</f>
        <v/>
      </c>
      <c r="AK43" s="26" t="str">
        <f>IF($AN43="","",INDEX(Verlauf!$O$6:$O$1000,MATCH($AN43,Verlauf!$A$6:$A$1000,0)))</f>
        <v/>
      </c>
      <c r="AL43" s="26" t="str">
        <f>IF($AN43="","",INDEX(Verlauf!$P$6:$P$1000,MATCH($AN43,Verlauf!$A$6:$A$1000,0)))</f>
        <v/>
      </c>
      <c r="AM43" s="26" t="str">
        <f>IF($AN43="","",INDEX(Verlauf!$R$6:$R$1000,MATCH($AN43,Verlauf!$A$6:$A$1000,0)))</f>
        <v/>
      </c>
      <c r="AN43" s="28" t="str">
        <f>IF(U43&gt;0,_xlfn.MAXIFS(Verlauf!$A$6:$A$1000,Verlauf!$B$6:$B$1000,$A43,Verlauf!$C$6:$C$1000,$B43),"")</f>
        <v/>
      </c>
    </row>
    <row r="44" spans="1:40" x14ac:dyDescent="0.25">
      <c r="A44" s="26">
        <v>2027</v>
      </c>
      <c r="B44" s="26">
        <v>15</v>
      </c>
      <c r="C44" s="7" t="str">
        <f t="shared" si="0"/>
        <v>KW 15/27</v>
      </c>
      <c r="D44" s="26">
        <f>SUMIFS(Verlauf!$K$6:$K$1000,Verlauf!$B$6:$B$1000,$A44,Verlauf!$C$6:$C$1000,$B44)</f>
        <v>0</v>
      </c>
      <c r="E44" s="26">
        <f>SUMIFS(Verlauf!$L$6:$L$1000,Verlauf!$B$6:$B$1000,$A44,Verlauf!$C$6:$C$1000,$B44)</f>
        <v>0</v>
      </c>
      <c r="F44" s="26">
        <f>SUMIFS(Verlauf!$M$6:$M$1000,Verlauf!$B$6:$B$1000,$A44,Verlauf!$C$6:$C$1000,$B44)</f>
        <v>0</v>
      </c>
      <c r="G44" s="26">
        <f>SUMIFS(Verlauf!$J$6:$J$1000,Verlauf!$B$6:$B$1000,$A44,Verlauf!$C$6:$C$1000,$B44)</f>
        <v>0</v>
      </c>
      <c r="H44" s="26">
        <f>SUMIFS(Verlauf!$U$6:$U$1000,Verlauf!$B$6:$B$1000,$A44,Verlauf!$C$6:$C$1000,$B44)</f>
        <v>0</v>
      </c>
      <c r="I44" s="26">
        <f>SUMIFS(Verlauf!$V$6:$V$1000,Verlauf!$B$6:$B$1000,$A44,Verlauf!$C$6:$C$1000,$B44)</f>
        <v>0</v>
      </c>
      <c r="J44" s="26">
        <f>SUMIFS(Verlauf!$W$6:$W$1000,Verlauf!$B$6:$B$1000,$A44,Verlauf!$C$6:$C$1000,$B44)</f>
        <v>0</v>
      </c>
      <c r="K44" s="26">
        <f>SUMIFS(Verlauf!$T$6:$T$1000,Verlauf!$B$6:$B$1000,$A44,Verlauf!$C$6:$C$1000,$B44)</f>
        <v>0</v>
      </c>
      <c r="L44" s="27">
        <f>IF(Filter!$T$7=TRUE,IFERROR(INDEX(Planung!$D$68:$IA$68,MATCH($W44,Wirksam!$D$6:$IA$6,0)),0),0)</f>
        <v>0</v>
      </c>
      <c r="M44" s="27">
        <f>IF(OR(Filter!$T$5=TRUE,Filter!$T$6=TRUE),IFERROR(INDEX(Planung!$D$69:$IA$69,MATCH($W44,Wirksam!$D$6:$IA$6,0)),0),0)</f>
        <v>0</v>
      </c>
      <c r="N44" s="27">
        <f t="shared" si="1"/>
        <v>0</v>
      </c>
      <c r="O44" s="27" t="e">
        <f t="shared" si="2"/>
        <v>#N/A</v>
      </c>
      <c r="P44" s="27" t="e">
        <f t="shared" si="3"/>
        <v>#N/A</v>
      </c>
      <c r="Q44" s="27" t="e">
        <f t="shared" si="4"/>
        <v>#N/A</v>
      </c>
      <c r="R44" s="27" t="e">
        <f t="shared" si="5"/>
        <v>#N/A</v>
      </c>
      <c r="S44" s="27" t="e">
        <f t="shared" si="6"/>
        <v>#N/A</v>
      </c>
      <c r="T44" s="27" t="e">
        <f t="shared" si="7"/>
        <v>#N/A</v>
      </c>
      <c r="U44" s="26">
        <f>COUNTIFS(Verlauf!$B$6:$B$1000,$A44,Verlauf!$C$6:$C$1000,$B44)</f>
        <v>0</v>
      </c>
      <c r="V44" s="26">
        <f t="shared" si="8"/>
        <v>0</v>
      </c>
      <c r="W44" s="26">
        <f t="shared" si="9"/>
        <v>202715</v>
      </c>
      <c r="X44" s="26">
        <f>SUMIFS(Verlauf!$X$6:$X$1000,Verlauf!$B$6:$B$1000,$A44,Verlauf!$C$6:$C$1000,$B44)</f>
        <v>0</v>
      </c>
      <c r="Y44" s="26">
        <f>SUMIFS(Verlauf!$Y$6:$Y$1000,Verlauf!$B$6:$B$1000,$A44,Verlauf!$C$6:$C$1000,$B44)</f>
        <v>0</v>
      </c>
      <c r="Z44" s="26">
        <f>SUMIFS(Verlauf!$Z$6:$Z$1000,Verlauf!$B$6:$B$1000,$A44,Verlauf!$C$6:$C$1000,$B44)</f>
        <v>0</v>
      </c>
      <c r="AA44" s="26">
        <f>SUMIFS(Verlauf!$I$6:$I$1000,Verlauf!$B$6:$B$1000,$A44,Verlauf!$C$6:$C$1000,$B44)</f>
        <v>0</v>
      </c>
      <c r="AB44" s="26">
        <f>SUMIFS(Verlauf!$AA$6:$AA$1000,Verlauf!$B$6:$B$1000,$A44,Verlauf!$C$6:$C$1000,$B44)</f>
        <v>0</v>
      </c>
      <c r="AC44" s="26">
        <f>SUMIFS(Verlauf!$AB$6:$AB$1000,Verlauf!$B$6:$B$1000,$A44,Verlauf!$C$6:$C$1000,$B44)</f>
        <v>0</v>
      </c>
      <c r="AD44" s="26">
        <f>SUMIFS(Verlauf!$AC$6:$AC$1000,Verlauf!$B$6:$B$1000,$A44,Verlauf!$C$6:$C$1000,$B44)</f>
        <v>0</v>
      </c>
      <c r="AE44" s="26">
        <f>SUMIFS(Verlauf!$S$6:$S$1000,Verlauf!$B$6:$B$1000,$A44,Verlauf!$C$6:$C$1000,$B44)</f>
        <v>0</v>
      </c>
      <c r="AF44" s="26" t="str">
        <f>IF($AN44="","",INDEX(Verlauf!$D$6:$D$1000,MATCH($AN44,Verlauf!$A$6:$A$1000,0)))</f>
        <v/>
      </c>
      <c r="AG44" s="26" t="str">
        <f>IF($AN44="","",INDEX(Verlauf!$E$6:$E$1000,MATCH($AN44,Verlauf!$A$6:$A$1000,0)))</f>
        <v/>
      </c>
      <c r="AH44" s="26" t="str">
        <f>IF($AN44="","",INDEX(Verlauf!$F$6:$F$1000,MATCH($AN44,Verlauf!$A$6:$A$1000,0)))</f>
        <v/>
      </c>
      <c r="AI44" s="26" t="str">
        <f>IF($AN44="","",INDEX(Verlauf!$H$6:$H$1000,MATCH($AN44,Verlauf!$A$6:$A$1000,0)))</f>
        <v/>
      </c>
      <c r="AJ44" s="26" t="str">
        <f>IF($AN44="","",INDEX(Verlauf!$N$6:$N$1000,MATCH($AN44,Verlauf!$A$6:$A$1000,0)))</f>
        <v/>
      </c>
      <c r="AK44" s="26" t="str">
        <f>IF($AN44="","",INDEX(Verlauf!$O$6:$O$1000,MATCH($AN44,Verlauf!$A$6:$A$1000,0)))</f>
        <v/>
      </c>
      <c r="AL44" s="26" t="str">
        <f>IF($AN44="","",INDEX(Verlauf!$P$6:$P$1000,MATCH($AN44,Verlauf!$A$6:$A$1000,0)))</f>
        <v/>
      </c>
      <c r="AM44" s="26" t="str">
        <f>IF($AN44="","",INDEX(Verlauf!$R$6:$R$1000,MATCH($AN44,Verlauf!$A$6:$A$1000,0)))</f>
        <v/>
      </c>
      <c r="AN44" s="28" t="str">
        <f>IF(U44&gt;0,_xlfn.MAXIFS(Verlauf!$A$6:$A$1000,Verlauf!$B$6:$B$1000,$A44,Verlauf!$C$6:$C$1000,$B44),"")</f>
        <v/>
      </c>
    </row>
    <row r="45" spans="1:40" x14ac:dyDescent="0.25">
      <c r="A45" s="26">
        <v>2027</v>
      </c>
      <c r="B45" s="26">
        <v>16</v>
      </c>
      <c r="C45" s="7" t="str">
        <f t="shared" si="0"/>
        <v>KW 16/27</v>
      </c>
      <c r="D45" s="26">
        <f>SUMIFS(Verlauf!$K$6:$K$1000,Verlauf!$B$6:$B$1000,$A45,Verlauf!$C$6:$C$1000,$B45)</f>
        <v>0</v>
      </c>
      <c r="E45" s="26">
        <f>SUMIFS(Verlauf!$L$6:$L$1000,Verlauf!$B$6:$B$1000,$A45,Verlauf!$C$6:$C$1000,$B45)</f>
        <v>0</v>
      </c>
      <c r="F45" s="26">
        <f>SUMIFS(Verlauf!$M$6:$M$1000,Verlauf!$B$6:$B$1000,$A45,Verlauf!$C$6:$C$1000,$B45)</f>
        <v>0</v>
      </c>
      <c r="G45" s="26">
        <f>SUMIFS(Verlauf!$J$6:$J$1000,Verlauf!$B$6:$B$1000,$A45,Verlauf!$C$6:$C$1000,$B45)</f>
        <v>0</v>
      </c>
      <c r="H45" s="26">
        <f>SUMIFS(Verlauf!$U$6:$U$1000,Verlauf!$B$6:$B$1000,$A45,Verlauf!$C$6:$C$1000,$B45)</f>
        <v>0</v>
      </c>
      <c r="I45" s="26">
        <f>SUMIFS(Verlauf!$V$6:$V$1000,Verlauf!$B$6:$B$1000,$A45,Verlauf!$C$6:$C$1000,$B45)</f>
        <v>0</v>
      </c>
      <c r="J45" s="26">
        <f>SUMIFS(Verlauf!$W$6:$W$1000,Verlauf!$B$6:$B$1000,$A45,Verlauf!$C$6:$C$1000,$B45)</f>
        <v>0</v>
      </c>
      <c r="K45" s="26">
        <f>SUMIFS(Verlauf!$T$6:$T$1000,Verlauf!$B$6:$B$1000,$A45,Verlauf!$C$6:$C$1000,$B45)</f>
        <v>0</v>
      </c>
      <c r="L45" s="27">
        <f>IF(Filter!$T$7=TRUE,IFERROR(INDEX(Planung!$D$68:$IA$68,MATCH($W45,Wirksam!$D$6:$IA$6,0)),0),0)</f>
        <v>0</v>
      </c>
      <c r="M45" s="27">
        <f>IF(OR(Filter!$T$5=TRUE,Filter!$T$6=TRUE),IFERROR(INDEX(Planung!$D$69:$IA$69,MATCH($W45,Wirksam!$D$6:$IA$6,0)),0),0)</f>
        <v>0</v>
      </c>
      <c r="N45" s="27">
        <f t="shared" si="1"/>
        <v>0</v>
      </c>
      <c r="O45" s="27" t="e">
        <f t="shared" si="2"/>
        <v>#N/A</v>
      </c>
      <c r="P45" s="27" t="e">
        <f t="shared" si="3"/>
        <v>#N/A</v>
      </c>
      <c r="Q45" s="27" t="e">
        <f t="shared" si="4"/>
        <v>#N/A</v>
      </c>
      <c r="R45" s="27" t="e">
        <f t="shared" si="5"/>
        <v>#N/A</v>
      </c>
      <c r="S45" s="27" t="e">
        <f t="shared" si="6"/>
        <v>#N/A</v>
      </c>
      <c r="T45" s="27" t="e">
        <f t="shared" si="7"/>
        <v>#N/A</v>
      </c>
      <c r="U45" s="26">
        <f>COUNTIFS(Verlauf!$B$6:$B$1000,$A45,Verlauf!$C$6:$C$1000,$B45)</f>
        <v>0</v>
      </c>
      <c r="V45" s="26">
        <f t="shared" si="8"/>
        <v>0</v>
      </c>
      <c r="W45" s="26">
        <f t="shared" si="9"/>
        <v>202716</v>
      </c>
      <c r="X45" s="26">
        <f>SUMIFS(Verlauf!$X$6:$X$1000,Verlauf!$B$6:$B$1000,$A45,Verlauf!$C$6:$C$1000,$B45)</f>
        <v>0</v>
      </c>
      <c r="Y45" s="26">
        <f>SUMIFS(Verlauf!$Y$6:$Y$1000,Verlauf!$B$6:$B$1000,$A45,Verlauf!$C$6:$C$1000,$B45)</f>
        <v>0</v>
      </c>
      <c r="Z45" s="26">
        <f>SUMIFS(Verlauf!$Z$6:$Z$1000,Verlauf!$B$6:$B$1000,$A45,Verlauf!$C$6:$C$1000,$B45)</f>
        <v>0</v>
      </c>
      <c r="AA45" s="26">
        <f>SUMIFS(Verlauf!$I$6:$I$1000,Verlauf!$B$6:$B$1000,$A45,Verlauf!$C$6:$C$1000,$B45)</f>
        <v>0</v>
      </c>
      <c r="AB45" s="26">
        <f>SUMIFS(Verlauf!$AA$6:$AA$1000,Verlauf!$B$6:$B$1000,$A45,Verlauf!$C$6:$C$1000,$B45)</f>
        <v>0</v>
      </c>
      <c r="AC45" s="26">
        <f>SUMIFS(Verlauf!$AB$6:$AB$1000,Verlauf!$B$6:$B$1000,$A45,Verlauf!$C$6:$C$1000,$B45)</f>
        <v>0</v>
      </c>
      <c r="AD45" s="26">
        <f>SUMIFS(Verlauf!$AC$6:$AC$1000,Verlauf!$B$6:$B$1000,$A45,Verlauf!$C$6:$C$1000,$B45)</f>
        <v>0</v>
      </c>
      <c r="AE45" s="26">
        <f>SUMIFS(Verlauf!$S$6:$S$1000,Verlauf!$B$6:$B$1000,$A45,Verlauf!$C$6:$C$1000,$B45)</f>
        <v>0</v>
      </c>
      <c r="AF45" s="26" t="str">
        <f>IF($AN45="","",INDEX(Verlauf!$D$6:$D$1000,MATCH($AN45,Verlauf!$A$6:$A$1000,0)))</f>
        <v/>
      </c>
      <c r="AG45" s="26" t="str">
        <f>IF($AN45="","",INDEX(Verlauf!$E$6:$E$1000,MATCH($AN45,Verlauf!$A$6:$A$1000,0)))</f>
        <v/>
      </c>
      <c r="AH45" s="26" t="str">
        <f>IF($AN45="","",INDEX(Verlauf!$F$6:$F$1000,MATCH($AN45,Verlauf!$A$6:$A$1000,0)))</f>
        <v/>
      </c>
      <c r="AI45" s="26" t="str">
        <f>IF($AN45="","",INDEX(Verlauf!$H$6:$H$1000,MATCH($AN45,Verlauf!$A$6:$A$1000,0)))</f>
        <v/>
      </c>
      <c r="AJ45" s="26" t="str">
        <f>IF($AN45="","",INDEX(Verlauf!$N$6:$N$1000,MATCH($AN45,Verlauf!$A$6:$A$1000,0)))</f>
        <v/>
      </c>
      <c r="AK45" s="26" t="str">
        <f>IF($AN45="","",INDEX(Verlauf!$O$6:$O$1000,MATCH($AN45,Verlauf!$A$6:$A$1000,0)))</f>
        <v/>
      </c>
      <c r="AL45" s="26" t="str">
        <f>IF($AN45="","",INDEX(Verlauf!$P$6:$P$1000,MATCH($AN45,Verlauf!$A$6:$A$1000,0)))</f>
        <v/>
      </c>
      <c r="AM45" s="26" t="str">
        <f>IF($AN45="","",INDEX(Verlauf!$R$6:$R$1000,MATCH($AN45,Verlauf!$A$6:$A$1000,0)))</f>
        <v/>
      </c>
      <c r="AN45" s="28" t="str">
        <f>IF(U45&gt;0,_xlfn.MAXIFS(Verlauf!$A$6:$A$1000,Verlauf!$B$6:$B$1000,$A45,Verlauf!$C$6:$C$1000,$B45),"")</f>
        <v/>
      </c>
    </row>
    <row r="46" spans="1:40" x14ac:dyDescent="0.25">
      <c r="A46" s="26">
        <v>2027</v>
      </c>
      <c r="B46" s="26">
        <v>17</v>
      </c>
      <c r="C46" s="7" t="str">
        <f t="shared" si="0"/>
        <v>KW 17/27</v>
      </c>
      <c r="D46" s="26">
        <f>SUMIFS(Verlauf!$K$6:$K$1000,Verlauf!$B$6:$B$1000,$A46,Verlauf!$C$6:$C$1000,$B46)</f>
        <v>0</v>
      </c>
      <c r="E46" s="26">
        <f>SUMIFS(Verlauf!$L$6:$L$1000,Verlauf!$B$6:$B$1000,$A46,Verlauf!$C$6:$C$1000,$B46)</f>
        <v>0</v>
      </c>
      <c r="F46" s="26">
        <f>SUMIFS(Verlauf!$M$6:$M$1000,Verlauf!$B$6:$B$1000,$A46,Verlauf!$C$6:$C$1000,$B46)</f>
        <v>0</v>
      </c>
      <c r="G46" s="26">
        <f>SUMIFS(Verlauf!$J$6:$J$1000,Verlauf!$B$6:$B$1000,$A46,Verlauf!$C$6:$C$1000,$B46)</f>
        <v>0</v>
      </c>
      <c r="H46" s="26">
        <f>SUMIFS(Verlauf!$U$6:$U$1000,Verlauf!$B$6:$B$1000,$A46,Verlauf!$C$6:$C$1000,$B46)</f>
        <v>0</v>
      </c>
      <c r="I46" s="26">
        <f>SUMIFS(Verlauf!$V$6:$V$1000,Verlauf!$B$6:$B$1000,$A46,Verlauf!$C$6:$C$1000,$B46)</f>
        <v>0</v>
      </c>
      <c r="J46" s="26">
        <f>SUMIFS(Verlauf!$W$6:$W$1000,Verlauf!$B$6:$B$1000,$A46,Verlauf!$C$6:$C$1000,$B46)</f>
        <v>0</v>
      </c>
      <c r="K46" s="26">
        <f>SUMIFS(Verlauf!$T$6:$T$1000,Verlauf!$B$6:$B$1000,$A46,Verlauf!$C$6:$C$1000,$B46)</f>
        <v>0</v>
      </c>
      <c r="L46" s="27">
        <f>IF(Filter!$T$7=TRUE,IFERROR(INDEX(Planung!$D$68:$IA$68,MATCH($W46,Wirksam!$D$6:$IA$6,0)),0),0)</f>
        <v>0</v>
      </c>
      <c r="M46" s="27">
        <f>IF(OR(Filter!$T$5=TRUE,Filter!$T$6=TRUE),IFERROR(INDEX(Planung!$D$69:$IA$69,MATCH($W46,Wirksam!$D$6:$IA$6,0)),0),0)</f>
        <v>0</v>
      </c>
      <c r="N46" s="27">
        <f t="shared" si="1"/>
        <v>0</v>
      </c>
      <c r="O46" s="27" t="e">
        <f t="shared" si="2"/>
        <v>#N/A</v>
      </c>
      <c r="P46" s="27" t="e">
        <f t="shared" si="3"/>
        <v>#N/A</v>
      </c>
      <c r="Q46" s="27" t="e">
        <f t="shared" si="4"/>
        <v>#N/A</v>
      </c>
      <c r="R46" s="27" t="e">
        <f t="shared" si="5"/>
        <v>#N/A</v>
      </c>
      <c r="S46" s="27" t="e">
        <f t="shared" si="6"/>
        <v>#N/A</v>
      </c>
      <c r="T46" s="27" t="e">
        <f t="shared" si="7"/>
        <v>#N/A</v>
      </c>
      <c r="U46" s="26">
        <f>COUNTIFS(Verlauf!$B$6:$B$1000,$A46,Verlauf!$C$6:$C$1000,$B46)</f>
        <v>0</v>
      </c>
      <c r="V46" s="26">
        <f t="shared" si="8"/>
        <v>0</v>
      </c>
      <c r="W46" s="26">
        <f t="shared" si="9"/>
        <v>202717</v>
      </c>
      <c r="X46" s="26">
        <f>SUMIFS(Verlauf!$X$6:$X$1000,Verlauf!$B$6:$B$1000,$A46,Verlauf!$C$6:$C$1000,$B46)</f>
        <v>0</v>
      </c>
      <c r="Y46" s="26">
        <f>SUMIFS(Verlauf!$Y$6:$Y$1000,Verlauf!$B$6:$B$1000,$A46,Verlauf!$C$6:$C$1000,$B46)</f>
        <v>0</v>
      </c>
      <c r="Z46" s="26">
        <f>SUMIFS(Verlauf!$Z$6:$Z$1000,Verlauf!$B$6:$B$1000,$A46,Verlauf!$C$6:$C$1000,$B46)</f>
        <v>0</v>
      </c>
      <c r="AA46" s="26">
        <f>SUMIFS(Verlauf!$I$6:$I$1000,Verlauf!$B$6:$B$1000,$A46,Verlauf!$C$6:$C$1000,$B46)</f>
        <v>0</v>
      </c>
      <c r="AB46" s="26">
        <f>SUMIFS(Verlauf!$AA$6:$AA$1000,Verlauf!$B$6:$B$1000,$A46,Verlauf!$C$6:$C$1000,$B46)</f>
        <v>0</v>
      </c>
      <c r="AC46" s="26">
        <f>SUMIFS(Verlauf!$AB$6:$AB$1000,Verlauf!$B$6:$B$1000,$A46,Verlauf!$C$6:$C$1000,$B46)</f>
        <v>0</v>
      </c>
      <c r="AD46" s="26">
        <f>SUMIFS(Verlauf!$AC$6:$AC$1000,Verlauf!$B$6:$B$1000,$A46,Verlauf!$C$6:$C$1000,$B46)</f>
        <v>0</v>
      </c>
      <c r="AE46" s="26">
        <f>SUMIFS(Verlauf!$S$6:$S$1000,Verlauf!$B$6:$B$1000,$A46,Verlauf!$C$6:$C$1000,$B46)</f>
        <v>0</v>
      </c>
      <c r="AF46" s="26" t="str">
        <f>IF($AN46="","",INDEX(Verlauf!$D$6:$D$1000,MATCH($AN46,Verlauf!$A$6:$A$1000,0)))</f>
        <v/>
      </c>
      <c r="AG46" s="26" t="str">
        <f>IF($AN46="","",INDEX(Verlauf!$E$6:$E$1000,MATCH($AN46,Verlauf!$A$6:$A$1000,0)))</f>
        <v/>
      </c>
      <c r="AH46" s="26" t="str">
        <f>IF($AN46="","",INDEX(Verlauf!$F$6:$F$1000,MATCH($AN46,Verlauf!$A$6:$A$1000,0)))</f>
        <v/>
      </c>
      <c r="AI46" s="26" t="str">
        <f>IF($AN46="","",INDEX(Verlauf!$H$6:$H$1000,MATCH($AN46,Verlauf!$A$6:$A$1000,0)))</f>
        <v/>
      </c>
      <c r="AJ46" s="26" t="str">
        <f>IF($AN46="","",INDEX(Verlauf!$N$6:$N$1000,MATCH($AN46,Verlauf!$A$6:$A$1000,0)))</f>
        <v/>
      </c>
      <c r="AK46" s="26" t="str">
        <f>IF($AN46="","",INDEX(Verlauf!$O$6:$O$1000,MATCH($AN46,Verlauf!$A$6:$A$1000,0)))</f>
        <v/>
      </c>
      <c r="AL46" s="26" t="str">
        <f>IF($AN46="","",INDEX(Verlauf!$P$6:$P$1000,MATCH($AN46,Verlauf!$A$6:$A$1000,0)))</f>
        <v/>
      </c>
      <c r="AM46" s="26" t="str">
        <f>IF($AN46="","",INDEX(Verlauf!$R$6:$R$1000,MATCH($AN46,Verlauf!$A$6:$A$1000,0)))</f>
        <v/>
      </c>
      <c r="AN46" s="28" t="str">
        <f>IF(U46&gt;0,_xlfn.MAXIFS(Verlauf!$A$6:$A$1000,Verlauf!$B$6:$B$1000,$A46,Verlauf!$C$6:$C$1000,$B46),"")</f>
        <v/>
      </c>
    </row>
    <row r="47" spans="1:40" x14ac:dyDescent="0.25">
      <c r="A47" s="26">
        <v>2027</v>
      </c>
      <c r="B47" s="26">
        <v>18</v>
      </c>
      <c r="C47" s="7" t="str">
        <f t="shared" si="0"/>
        <v>KW 18/27</v>
      </c>
      <c r="D47" s="26">
        <f>SUMIFS(Verlauf!$K$6:$K$1000,Verlauf!$B$6:$B$1000,$A47,Verlauf!$C$6:$C$1000,$B47)</f>
        <v>0</v>
      </c>
      <c r="E47" s="26">
        <f>SUMIFS(Verlauf!$L$6:$L$1000,Verlauf!$B$6:$B$1000,$A47,Verlauf!$C$6:$C$1000,$B47)</f>
        <v>0</v>
      </c>
      <c r="F47" s="26">
        <f>SUMIFS(Verlauf!$M$6:$M$1000,Verlauf!$B$6:$B$1000,$A47,Verlauf!$C$6:$C$1000,$B47)</f>
        <v>0</v>
      </c>
      <c r="G47" s="26">
        <f>SUMIFS(Verlauf!$J$6:$J$1000,Verlauf!$B$6:$B$1000,$A47,Verlauf!$C$6:$C$1000,$B47)</f>
        <v>0</v>
      </c>
      <c r="H47" s="26">
        <f>SUMIFS(Verlauf!$U$6:$U$1000,Verlauf!$B$6:$B$1000,$A47,Verlauf!$C$6:$C$1000,$B47)</f>
        <v>0</v>
      </c>
      <c r="I47" s="26">
        <f>SUMIFS(Verlauf!$V$6:$V$1000,Verlauf!$B$6:$B$1000,$A47,Verlauf!$C$6:$C$1000,$B47)</f>
        <v>0</v>
      </c>
      <c r="J47" s="26">
        <f>SUMIFS(Verlauf!$W$6:$W$1000,Verlauf!$B$6:$B$1000,$A47,Verlauf!$C$6:$C$1000,$B47)</f>
        <v>0</v>
      </c>
      <c r="K47" s="26">
        <f>SUMIFS(Verlauf!$T$6:$T$1000,Verlauf!$B$6:$B$1000,$A47,Verlauf!$C$6:$C$1000,$B47)</f>
        <v>0</v>
      </c>
      <c r="L47" s="27">
        <f>IF(Filter!$T$7=TRUE,IFERROR(INDEX(Planung!$D$68:$IA$68,MATCH($W47,Wirksam!$D$6:$IA$6,0)),0),0)</f>
        <v>0</v>
      </c>
      <c r="M47" s="27">
        <f>IF(OR(Filter!$T$5=TRUE,Filter!$T$6=TRUE),IFERROR(INDEX(Planung!$D$69:$IA$69,MATCH($W47,Wirksam!$D$6:$IA$6,0)),0),0)</f>
        <v>0</v>
      </c>
      <c r="N47" s="27">
        <f t="shared" si="1"/>
        <v>0</v>
      </c>
      <c r="O47" s="27" t="e">
        <f t="shared" si="2"/>
        <v>#N/A</v>
      </c>
      <c r="P47" s="27" t="e">
        <f t="shared" si="3"/>
        <v>#N/A</v>
      </c>
      <c r="Q47" s="27" t="e">
        <f t="shared" si="4"/>
        <v>#N/A</v>
      </c>
      <c r="R47" s="27" t="e">
        <f t="shared" si="5"/>
        <v>#N/A</v>
      </c>
      <c r="S47" s="27" t="e">
        <f t="shared" si="6"/>
        <v>#N/A</v>
      </c>
      <c r="T47" s="27" t="e">
        <f t="shared" si="7"/>
        <v>#N/A</v>
      </c>
      <c r="U47" s="26">
        <f>COUNTIFS(Verlauf!$B$6:$B$1000,$A47,Verlauf!$C$6:$C$1000,$B47)</f>
        <v>0</v>
      </c>
      <c r="V47" s="26">
        <f t="shared" si="8"/>
        <v>0</v>
      </c>
      <c r="W47" s="26">
        <f t="shared" si="9"/>
        <v>202718</v>
      </c>
      <c r="X47" s="26">
        <f>SUMIFS(Verlauf!$X$6:$X$1000,Verlauf!$B$6:$B$1000,$A47,Verlauf!$C$6:$C$1000,$B47)</f>
        <v>0</v>
      </c>
      <c r="Y47" s="26">
        <f>SUMIFS(Verlauf!$Y$6:$Y$1000,Verlauf!$B$6:$B$1000,$A47,Verlauf!$C$6:$C$1000,$B47)</f>
        <v>0</v>
      </c>
      <c r="Z47" s="26">
        <f>SUMIFS(Verlauf!$Z$6:$Z$1000,Verlauf!$B$6:$B$1000,$A47,Verlauf!$C$6:$C$1000,$B47)</f>
        <v>0</v>
      </c>
      <c r="AA47" s="26">
        <f>SUMIFS(Verlauf!$I$6:$I$1000,Verlauf!$B$6:$B$1000,$A47,Verlauf!$C$6:$C$1000,$B47)</f>
        <v>0</v>
      </c>
      <c r="AB47" s="26">
        <f>SUMIFS(Verlauf!$AA$6:$AA$1000,Verlauf!$B$6:$B$1000,$A47,Verlauf!$C$6:$C$1000,$B47)</f>
        <v>0</v>
      </c>
      <c r="AC47" s="26">
        <f>SUMIFS(Verlauf!$AB$6:$AB$1000,Verlauf!$B$6:$B$1000,$A47,Verlauf!$C$6:$C$1000,$B47)</f>
        <v>0</v>
      </c>
      <c r="AD47" s="26">
        <f>SUMIFS(Verlauf!$AC$6:$AC$1000,Verlauf!$B$6:$B$1000,$A47,Verlauf!$C$6:$C$1000,$B47)</f>
        <v>0</v>
      </c>
      <c r="AE47" s="26">
        <f>SUMIFS(Verlauf!$S$6:$S$1000,Verlauf!$B$6:$B$1000,$A47,Verlauf!$C$6:$C$1000,$B47)</f>
        <v>0</v>
      </c>
      <c r="AF47" s="26" t="str">
        <f>IF($AN47="","",INDEX(Verlauf!$D$6:$D$1000,MATCH($AN47,Verlauf!$A$6:$A$1000,0)))</f>
        <v/>
      </c>
      <c r="AG47" s="26" t="str">
        <f>IF($AN47="","",INDEX(Verlauf!$E$6:$E$1000,MATCH($AN47,Verlauf!$A$6:$A$1000,0)))</f>
        <v/>
      </c>
      <c r="AH47" s="26" t="str">
        <f>IF($AN47="","",INDEX(Verlauf!$F$6:$F$1000,MATCH($AN47,Verlauf!$A$6:$A$1000,0)))</f>
        <v/>
      </c>
      <c r="AI47" s="26" t="str">
        <f>IF($AN47="","",INDEX(Verlauf!$H$6:$H$1000,MATCH($AN47,Verlauf!$A$6:$A$1000,0)))</f>
        <v/>
      </c>
      <c r="AJ47" s="26" t="str">
        <f>IF($AN47="","",INDEX(Verlauf!$N$6:$N$1000,MATCH($AN47,Verlauf!$A$6:$A$1000,0)))</f>
        <v/>
      </c>
      <c r="AK47" s="26" t="str">
        <f>IF($AN47="","",INDEX(Verlauf!$O$6:$O$1000,MATCH($AN47,Verlauf!$A$6:$A$1000,0)))</f>
        <v/>
      </c>
      <c r="AL47" s="26" t="str">
        <f>IF($AN47="","",INDEX(Verlauf!$P$6:$P$1000,MATCH($AN47,Verlauf!$A$6:$A$1000,0)))</f>
        <v/>
      </c>
      <c r="AM47" s="26" t="str">
        <f>IF($AN47="","",INDEX(Verlauf!$R$6:$R$1000,MATCH($AN47,Verlauf!$A$6:$A$1000,0)))</f>
        <v/>
      </c>
      <c r="AN47" s="28" t="str">
        <f>IF(U47&gt;0,_xlfn.MAXIFS(Verlauf!$A$6:$A$1000,Verlauf!$B$6:$B$1000,$A47,Verlauf!$C$6:$C$1000,$B47),"")</f>
        <v/>
      </c>
    </row>
    <row r="48" spans="1:40" x14ac:dyDescent="0.25">
      <c r="A48" s="26">
        <v>2027</v>
      </c>
      <c r="B48" s="26">
        <v>19</v>
      </c>
      <c r="C48" s="7" t="str">
        <f t="shared" si="0"/>
        <v>KW 19/27</v>
      </c>
      <c r="D48" s="26">
        <f>SUMIFS(Verlauf!$K$6:$K$1000,Verlauf!$B$6:$B$1000,$A48,Verlauf!$C$6:$C$1000,$B48)</f>
        <v>0</v>
      </c>
      <c r="E48" s="26">
        <f>SUMIFS(Verlauf!$L$6:$L$1000,Verlauf!$B$6:$B$1000,$A48,Verlauf!$C$6:$C$1000,$B48)</f>
        <v>0</v>
      </c>
      <c r="F48" s="26">
        <f>SUMIFS(Verlauf!$M$6:$M$1000,Verlauf!$B$6:$B$1000,$A48,Verlauf!$C$6:$C$1000,$B48)</f>
        <v>0</v>
      </c>
      <c r="G48" s="26">
        <f>SUMIFS(Verlauf!$J$6:$J$1000,Verlauf!$B$6:$B$1000,$A48,Verlauf!$C$6:$C$1000,$B48)</f>
        <v>0</v>
      </c>
      <c r="H48" s="26">
        <f>SUMIFS(Verlauf!$U$6:$U$1000,Verlauf!$B$6:$B$1000,$A48,Verlauf!$C$6:$C$1000,$B48)</f>
        <v>0</v>
      </c>
      <c r="I48" s="26">
        <f>SUMIFS(Verlauf!$V$6:$V$1000,Verlauf!$B$6:$B$1000,$A48,Verlauf!$C$6:$C$1000,$B48)</f>
        <v>0</v>
      </c>
      <c r="J48" s="26">
        <f>SUMIFS(Verlauf!$W$6:$W$1000,Verlauf!$B$6:$B$1000,$A48,Verlauf!$C$6:$C$1000,$B48)</f>
        <v>0</v>
      </c>
      <c r="K48" s="26">
        <f>SUMIFS(Verlauf!$T$6:$T$1000,Verlauf!$B$6:$B$1000,$A48,Verlauf!$C$6:$C$1000,$B48)</f>
        <v>0</v>
      </c>
      <c r="L48" s="27">
        <f>IF(Filter!$T$7=TRUE,IFERROR(INDEX(Planung!$D$68:$IA$68,MATCH($W48,Wirksam!$D$6:$IA$6,0)),0),0)</f>
        <v>0</v>
      </c>
      <c r="M48" s="27">
        <f>IF(OR(Filter!$T$5=TRUE,Filter!$T$6=TRUE),IFERROR(INDEX(Planung!$D$69:$IA$69,MATCH($W48,Wirksam!$D$6:$IA$6,0)),0),0)</f>
        <v>0</v>
      </c>
      <c r="N48" s="27">
        <f t="shared" si="1"/>
        <v>0</v>
      </c>
      <c r="O48" s="27" t="e">
        <f t="shared" si="2"/>
        <v>#N/A</v>
      </c>
      <c r="P48" s="27" t="e">
        <f t="shared" si="3"/>
        <v>#N/A</v>
      </c>
      <c r="Q48" s="27" t="e">
        <f t="shared" si="4"/>
        <v>#N/A</v>
      </c>
      <c r="R48" s="27" t="e">
        <f t="shared" si="5"/>
        <v>#N/A</v>
      </c>
      <c r="S48" s="27" t="e">
        <f t="shared" si="6"/>
        <v>#N/A</v>
      </c>
      <c r="T48" s="27" t="e">
        <f t="shared" si="7"/>
        <v>#N/A</v>
      </c>
      <c r="U48" s="26">
        <f>COUNTIFS(Verlauf!$B$6:$B$1000,$A48,Verlauf!$C$6:$C$1000,$B48)</f>
        <v>0</v>
      </c>
      <c r="V48" s="26">
        <f t="shared" si="8"/>
        <v>0</v>
      </c>
      <c r="W48" s="26">
        <f t="shared" si="9"/>
        <v>202719</v>
      </c>
      <c r="X48" s="26">
        <f>SUMIFS(Verlauf!$X$6:$X$1000,Verlauf!$B$6:$B$1000,$A48,Verlauf!$C$6:$C$1000,$B48)</f>
        <v>0</v>
      </c>
      <c r="Y48" s="26">
        <f>SUMIFS(Verlauf!$Y$6:$Y$1000,Verlauf!$B$6:$B$1000,$A48,Verlauf!$C$6:$C$1000,$B48)</f>
        <v>0</v>
      </c>
      <c r="Z48" s="26">
        <f>SUMIFS(Verlauf!$Z$6:$Z$1000,Verlauf!$B$6:$B$1000,$A48,Verlauf!$C$6:$C$1000,$B48)</f>
        <v>0</v>
      </c>
      <c r="AA48" s="26">
        <f>SUMIFS(Verlauf!$I$6:$I$1000,Verlauf!$B$6:$B$1000,$A48,Verlauf!$C$6:$C$1000,$B48)</f>
        <v>0</v>
      </c>
      <c r="AB48" s="26">
        <f>SUMIFS(Verlauf!$AA$6:$AA$1000,Verlauf!$B$6:$B$1000,$A48,Verlauf!$C$6:$C$1000,$B48)</f>
        <v>0</v>
      </c>
      <c r="AC48" s="26">
        <f>SUMIFS(Verlauf!$AB$6:$AB$1000,Verlauf!$B$6:$B$1000,$A48,Verlauf!$C$6:$C$1000,$B48)</f>
        <v>0</v>
      </c>
      <c r="AD48" s="26">
        <f>SUMIFS(Verlauf!$AC$6:$AC$1000,Verlauf!$B$6:$B$1000,$A48,Verlauf!$C$6:$C$1000,$B48)</f>
        <v>0</v>
      </c>
      <c r="AE48" s="26">
        <f>SUMIFS(Verlauf!$S$6:$S$1000,Verlauf!$B$6:$B$1000,$A48,Verlauf!$C$6:$C$1000,$B48)</f>
        <v>0</v>
      </c>
      <c r="AF48" s="26" t="str">
        <f>IF($AN48="","",INDEX(Verlauf!$D$6:$D$1000,MATCH($AN48,Verlauf!$A$6:$A$1000,0)))</f>
        <v/>
      </c>
      <c r="AG48" s="26" t="str">
        <f>IF($AN48="","",INDEX(Verlauf!$E$6:$E$1000,MATCH($AN48,Verlauf!$A$6:$A$1000,0)))</f>
        <v/>
      </c>
      <c r="AH48" s="26" t="str">
        <f>IF($AN48="","",INDEX(Verlauf!$F$6:$F$1000,MATCH($AN48,Verlauf!$A$6:$A$1000,0)))</f>
        <v/>
      </c>
      <c r="AI48" s="26" t="str">
        <f>IF($AN48="","",INDEX(Verlauf!$H$6:$H$1000,MATCH($AN48,Verlauf!$A$6:$A$1000,0)))</f>
        <v/>
      </c>
      <c r="AJ48" s="26" t="str">
        <f>IF($AN48="","",INDEX(Verlauf!$N$6:$N$1000,MATCH($AN48,Verlauf!$A$6:$A$1000,0)))</f>
        <v/>
      </c>
      <c r="AK48" s="26" t="str">
        <f>IF($AN48="","",INDEX(Verlauf!$O$6:$O$1000,MATCH($AN48,Verlauf!$A$6:$A$1000,0)))</f>
        <v/>
      </c>
      <c r="AL48" s="26" t="str">
        <f>IF($AN48="","",INDEX(Verlauf!$P$6:$P$1000,MATCH($AN48,Verlauf!$A$6:$A$1000,0)))</f>
        <v/>
      </c>
      <c r="AM48" s="26" t="str">
        <f>IF($AN48="","",INDEX(Verlauf!$R$6:$R$1000,MATCH($AN48,Verlauf!$A$6:$A$1000,0)))</f>
        <v/>
      </c>
      <c r="AN48" s="28" t="str">
        <f>IF(U48&gt;0,_xlfn.MAXIFS(Verlauf!$A$6:$A$1000,Verlauf!$B$6:$B$1000,$A48,Verlauf!$C$6:$C$1000,$B48),"")</f>
        <v/>
      </c>
    </row>
    <row r="49" spans="1:40" x14ac:dyDescent="0.25">
      <c r="A49" s="26">
        <v>2027</v>
      </c>
      <c r="B49" s="26">
        <v>20</v>
      </c>
      <c r="C49" s="7" t="str">
        <f t="shared" si="0"/>
        <v>KW 20/27</v>
      </c>
      <c r="D49" s="26">
        <f>SUMIFS(Verlauf!$K$6:$K$1000,Verlauf!$B$6:$B$1000,$A49,Verlauf!$C$6:$C$1000,$B49)</f>
        <v>0</v>
      </c>
      <c r="E49" s="26">
        <f>SUMIFS(Verlauf!$L$6:$L$1000,Verlauf!$B$6:$B$1000,$A49,Verlauf!$C$6:$C$1000,$B49)</f>
        <v>0</v>
      </c>
      <c r="F49" s="26">
        <f>SUMIFS(Verlauf!$M$6:$M$1000,Verlauf!$B$6:$B$1000,$A49,Verlauf!$C$6:$C$1000,$B49)</f>
        <v>0</v>
      </c>
      <c r="G49" s="26">
        <f>SUMIFS(Verlauf!$J$6:$J$1000,Verlauf!$B$6:$B$1000,$A49,Verlauf!$C$6:$C$1000,$B49)</f>
        <v>0</v>
      </c>
      <c r="H49" s="26">
        <f>SUMIFS(Verlauf!$U$6:$U$1000,Verlauf!$B$6:$B$1000,$A49,Verlauf!$C$6:$C$1000,$B49)</f>
        <v>0</v>
      </c>
      <c r="I49" s="26">
        <f>SUMIFS(Verlauf!$V$6:$V$1000,Verlauf!$B$6:$B$1000,$A49,Verlauf!$C$6:$C$1000,$B49)</f>
        <v>0</v>
      </c>
      <c r="J49" s="26">
        <f>SUMIFS(Verlauf!$W$6:$W$1000,Verlauf!$B$6:$B$1000,$A49,Verlauf!$C$6:$C$1000,$B49)</f>
        <v>0</v>
      </c>
      <c r="K49" s="26">
        <f>SUMIFS(Verlauf!$T$6:$T$1000,Verlauf!$B$6:$B$1000,$A49,Verlauf!$C$6:$C$1000,$B49)</f>
        <v>0</v>
      </c>
      <c r="L49" s="27">
        <f>IF(Filter!$T$7=TRUE,IFERROR(INDEX(Planung!$D$68:$IA$68,MATCH($W49,Wirksam!$D$6:$IA$6,0)),0),0)</f>
        <v>0</v>
      </c>
      <c r="M49" s="27">
        <f>IF(OR(Filter!$T$5=TRUE,Filter!$T$6=TRUE),IFERROR(INDEX(Planung!$D$69:$IA$69,MATCH($W49,Wirksam!$D$6:$IA$6,0)),0),0)</f>
        <v>0</v>
      </c>
      <c r="N49" s="27">
        <f t="shared" si="1"/>
        <v>0</v>
      </c>
      <c r="O49" s="27" t="e">
        <f t="shared" si="2"/>
        <v>#N/A</v>
      </c>
      <c r="P49" s="27" t="e">
        <f t="shared" si="3"/>
        <v>#N/A</v>
      </c>
      <c r="Q49" s="27" t="e">
        <f t="shared" si="4"/>
        <v>#N/A</v>
      </c>
      <c r="R49" s="27" t="e">
        <f t="shared" si="5"/>
        <v>#N/A</v>
      </c>
      <c r="S49" s="27" t="e">
        <f t="shared" si="6"/>
        <v>#N/A</v>
      </c>
      <c r="T49" s="27" t="e">
        <f t="shared" si="7"/>
        <v>#N/A</v>
      </c>
      <c r="U49" s="26">
        <f>COUNTIFS(Verlauf!$B$6:$B$1000,$A49,Verlauf!$C$6:$C$1000,$B49)</f>
        <v>0</v>
      </c>
      <c r="V49" s="26">
        <f t="shared" si="8"/>
        <v>0</v>
      </c>
      <c r="W49" s="26">
        <f t="shared" si="9"/>
        <v>202720</v>
      </c>
      <c r="X49" s="26">
        <f>SUMIFS(Verlauf!$X$6:$X$1000,Verlauf!$B$6:$B$1000,$A49,Verlauf!$C$6:$C$1000,$B49)</f>
        <v>0</v>
      </c>
      <c r="Y49" s="26">
        <f>SUMIFS(Verlauf!$Y$6:$Y$1000,Verlauf!$B$6:$B$1000,$A49,Verlauf!$C$6:$C$1000,$B49)</f>
        <v>0</v>
      </c>
      <c r="Z49" s="26">
        <f>SUMIFS(Verlauf!$Z$6:$Z$1000,Verlauf!$B$6:$B$1000,$A49,Verlauf!$C$6:$C$1000,$B49)</f>
        <v>0</v>
      </c>
      <c r="AA49" s="26">
        <f>SUMIFS(Verlauf!$I$6:$I$1000,Verlauf!$B$6:$B$1000,$A49,Verlauf!$C$6:$C$1000,$B49)</f>
        <v>0</v>
      </c>
      <c r="AB49" s="26">
        <f>SUMIFS(Verlauf!$AA$6:$AA$1000,Verlauf!$B$6:$B$1000,$A49,Verlauf!$C$6:$C$1000,$B49)</f>
        <v>0</v>
      </c>
      <c r="AC49" s="26">
        <f>SUMIFS(Verlauf!$AB$6:$AB$1000,Verlauf!$B$6:$B$1000,$A49,Verlauf!$C$6:$C$1000,$B49)</f>
        <v>0</v>
      </c>
      <c r="AD49" s="26">
        <f>SUMIFS(Verlauf!$AC$6:$AC$1000,Verlauf!$B$6:$B$1000,$A49,Verlauf!$C$6:$C$1000,$B49)</f>
        <v>0</v>
      </c>
      <c r="AE49" s="26">
        <f>SUMIFS(Verlauf!$S$6:$S$1000,Verlauf!$B$6:$B$1000,$A49,Verlauf!$C$6:$C$1000,$B49)</f>
        <v>0</v>
      </c>
      <c r="AF49" s="26" t="str">
        <f>IF($AN49="","",INDEX(Verlauf!$D$6:$D$1000,MATCH($AN49,Verlauf!$A$6:$A$1000,0)))</f>
        <v/>
      </c>
      <c r="AG49" s="26" t="str">
        <f>IF($AN49="","",INDEX(Verlauf!$E$6:$E$1000,MATCH($AN49,Verlauf!$A$6:$A$1000,0)))</f>
        <v/>
      </c>
      <c r="AH49" s="26" t="str">
        <f>IF($AN49="","",INDEX(Verlauf!$F$6:$F$1000,MATCH($AN49,Verlauf!$A$6:$A$1000,0)))</f>
        <v/>
      </c>
      <c r="AI49" s="26" t="str">
        <f>IF($AN49="","",INDEX(Verlauf!$H$6:$H$1000,MATCH($AN49,Verlauf!$A$6:$A$1000,0)))</f>
        <v/>
      </c>
      <c r="AJ49" s="26" t="str">
        <f>IF($AN49="","",INDEX(Verlauf!$N$6:$N$1000,MATCH($AN49,Verlauf!$A$6:$A$1000,0)))</f>
        <v/>
      </c>
      <c r="AK49" s="26" t="str">
        <f>IF($AN49="","",INDEX(Verlauf!$O$6:$O$1000,MATCH($AN49,Verlauf!$A$6:$A$1000,0)))</f>
        <v/>
      </c>
      <c r="AL49" s="26" t="str">
        <f>IF($AN49="","",INDEX(Verlauf!$P$6:$P$1000,MATCH($AN49,Verlauf!$A$6:$A$1000,0)))</f>
        <v/>
      </c>
      <c r="AM49" s="26" t="str">
        <f>IF($AN49="","",INDEX(Verlauf!$R$6:$R$1000,MATCH($AN49,Verlauf!$A$6:$A$1000,0)))</f>
        <v/>
      </c>
      <c r="AN49" s="28" t="str">
        <f>IF(U49&gt;0,_xlfn.MAXIFS(Verlauf!$A$6:$A$1000,Verlauf!$B$6:$B$1000,$A49,Verlauf!$C$6:$C$1000,$B49),"")</f>
        <v/>
      </c>
    </row>
    <row r="50" spans="1:40" x14ac:dyDescent="0.25">
      <c r="A50" s="26">
        <v>2027</v>
      </c>
      <c r="B50" s="26">
        <v>21</v>
      </c>
      <c r="C50" s="7" t="str">
        <f t="shared" si="0"/>
        <v>KW 21/27</v>
      </c>
      <c r="D50" s="26">
        <f>SUMIFS(Verlauf!$K$6:$K$1000,Verlauf!$B$6:$B$1000,$A50,Verlauf!$C$6:$C$1000,$B50)</f>
        <v>0</v>
      </c>
      <c r="E50" s="26">
        <f>SUMIFS(Verlauf!$L$6:$L$1000,Verlauf!$B$6:$B$1000,$A50,Verlauf!$C$6:$C$1000,$B50)</f>
        <v>0</v>
      </c>
      <c r="F50" s="26">
        <f>SUMIFS(Verlauf!$M$6:$M$1000,Verlauf!$B$6:$B$1000,$A50,Verlauf!$C$6:$C$1000,$B50)</f>
        <v>0</v>
      </c>
      <c r="G50" s="26">
        <f>SUMIFS(Verlauf!$J$6:$J$1000,Verlauf!$B$6:$B$1000,$A50,Verlauf!$C$6:$C$1000,$B50)</f>
        <v>0</v>
      </c>
      <c r="H50" s="26">
        <f>SUMIFS(Verlauf!$U$6:$U$1000,Verlauf!$B$6:$B$1000,$A50,Verlauf!$C$6:$C$1000,$B50)</f>
        <v>0</v>
      </c>
      <c r="I50" s="26">
        <f>SUMIFS(Verlauf!$V$6:$V$1000,Verlauf!$B$6:$B$1000,$A50,Verlauf!$C$6:$C$1000,$B50)</f>
        <v>0</v>
      </c>
      <c r="J50" s="26">
        <f>SUMIFS(Verlauf!$W$6:$W$1000,Verlauf!$B$6:$B$1000,$A50,Verlauf!$C$6:$C$1000,$B50)</f>
        <v>0</v>
      </c>
      <c r="K50" s="26">
        <f>SUMIFS(Verlauf!$T$6:$T$1000,Verlauf!$B$6:$B$1000,$A50,Verlauf!$C$6:$C$1000,$B50)</f>
        <v>0</v>
      </c>
      <c r="L50" s="27">
        <f>IF(Filter!$T$7=TRUE,IFERROR(INDEX(Planung!$D$68:$IA$68,MATCH($W50,Wirksam!$D$6:$IA$6,0)),0),0)</f>
        <v>0</v>
      </c>
      <c r="M50" s="27">
        <f>IF(OR(Filter!$T$5=TRUE,Filter!$T$6=TRUE),IFERROR(INDEX(Planung!$D$69:$IA$69,MATCH($W50,Wirksam!$D$6:$IA$6,0)),0),0)</f>
        <v>0</v>
      </c>
      <c r="N50" s="27">
        <f t="shared" si="1"/>
        <v>0</v>
      </c>
      <c r="O50" s="27" t="e">
        <f t="shared" si="2"/>
        <v>#N/A</v>
      </c>
      <c r="P50" s="27" t="e">
        <f t="shared" si="3"/>
        <v>#N/A</v>
      </c>
      <c r="Q50" s="27" t="e">
        <f t="shared" si="4"/>
        <v>#N/A</v>
      </c>
      <c r="R50" s="27" t="e">
        <f t="shared" si="5"/>
        <v>#N/A</v>
      </c>
      <c r="S50" s="27" t="e">
        <f t="shared" si="6"/>
        <v>#N/A</v>
      </c>
      <c r="T50" s="27" t="e">
        <f t="shared" si="7"/>
        <v>#N/A</v>
      </c>
      <c r="U50" s="26">
        <f>COUNTIFS(Verlauf!$B$6:$B$1000,$A50,Verlauf!$C$6:$C$1000,$B50)</f>
        <v>0</v>
      </c>
      <c r="V50" s="26">
        <f t="shared" si="8"/>
        <v>0</v>
      </c>
      <c r="W50" s="26">
        <f t="shared" si="9"/>
        <v>202721</v>
      </c>
      <c r="X50" s="26">
        <f>SUMIFS(Verlauf!$X$6:$X$1000,Verlauf!$B$6:$B$1000,$A50,Verlauf!$C$6:$C$1000,$B50)</f>
        <v>0</v>
      </c>
      <c r="Y50" s="26">
        <f>SUMIFS(Verlauf!$Y$6:$Y$1000,Verlauf!$B$6:$B$1000,$A50,Verlauf!$C$6:$C$1000,$B50)</f>
        <v>0</v>
      </c>
      <c r="Z50" s="26">
        <f>SUMIFS(Verlauf!$Z$6:$Z$1000,Verlauf!$B$6:$B$1000,$A50,Verlauf!$C$6:$C$1000,$B50)</f>
        <v>0</v>
      </c>
      <c r="AA50" s="26">
        <f>SUMIFS(Verlauf!$I$6:$I$1000,Verlauf!$B$6:$B$1000,$A50,Verlauf!$C$6:$C$1000,$B50)</f>
        <v>0</v>
      </c>
      <c r="AB50" s="26">
        <f>SUMIFS(Verlauf!$AA$6:$AA$1000,Verlauf!$B$6:$B$1000,$A50,Verlauf!$C$6:$C$1000,$B50)</f>
        <v>0</v>
      </c>
      <c r="AC50" s="26">
        <f>SUMIFS(Verlauf!$AB$6:$AB$1000,Verlauf!$B$6:$B$1000,$A50,Verlauf!$C$6:$C$1000,$B50)</f>
        <v>0</v>
      </c>
      <c r="AD50" s="26">
        <f>SUMIFS(Verlauf!$AC$6:$AC$1000,Verlauf!$B$6:$B$1000,$A50,Verlauf!$C$6:$C$1000,$B50)</f>
        <v>0</v>
      </c>
      <c r="AE50" s="26">
        <f>SUMIFS(Verlauf!$S$6:$S$1000,Verlauf!$B$6:$B$1000,$A50,Verlauf!$C$6:$C$1000,$B50)</f>
        <v>0</v>
      </c>
      <c r="AF50" s="26" t="str">
        <f>IF($AN50="","",INDEX(Verlauf!$D$6:$D$1000,MATCH($AN50,Verlauf!$A$6:$A$1000,0)))</f>
        <v/>
      </c>
      <c r="AG50" s="26" t="str">
        <f>IF($AN50="","",INDEX(Verlauf!$E$6:$E$1000,MATCH($AN50,Verlauf!$A$6:$A$1000,0)))</f>
        <v/>
      </c>
      <c r="AH50" s="26" t="str">
        <f>IF($AN50="","",INDEX(Verlauf!$F$6:$F$1000,MATCH($AN50,Verlauf!$A$6:$A$1000,0)))</f>
        <v/>
      </c>
      <c r="AI50" s="26" t="str">
        <f>IF($AN50="","",INDEX(Verlauf!$H$6:$H$1000,MATCH($AN50,Verlauf!$A$6:$A$1000,0)))</f>
        <v/>
      </c>
      <c r="AJ50" s="26" t="str">
        <f>IF($AN50="","",INDEX(Verlauf!$N$6:$N$1000,MATCH($AN50,Verlauf!$A$6:$A$1000,0)))</f>
        <v/>
      </c>
      <c r="AK50" s="26" t="str">
        <f>IF($AN50="","",INDEX(Verlauf!$O$6:$O$1000,MATCH($AN50,Verlauf!$A$6:$A$1000,0)))</f>
        <v/>
      </c>
      <c r="AL50" s="26" t="str">
        <f>IF($AN50="","",INDEX(Verlauf!$P$6:$P$1000,MATCH($AN50,Verlauf!$A$6:$A$1000,0)))</f>
        <v/>
      </c>
      <c r="AM50" s="26" t="str">
        <f>IF($AN50="","",INDEX(Verlauf!$R$6:$R$1000,MATCH($AN50,Verlauf!$A$6:$A$1000,0)))</f>
        <v/>
      </c>
      <c r="AN50" s="28" t="str">
        <f>IF(U50&gt;0,_xlfn.MAXIFS(Verlauf!$A$6:$A$1000,Verlauf!$B$6:$B$1000,$A50,Verlauf!$C$6:$C$1000,$B50),"")</f>
        <v/>
      </c>
    </row>
    <row r="51" spans="1:40" x14ac:dyDescent="0.25">
      <c r="A51" s="26">
        <v>2027</v>
      </c>
      <c r="B51" s="26">
        <v>22</v>
      </c>
      <c r="C51" s="7" t="str">
        <f t="shared" si="0"/>
        <v>KW 22/27</v>
      </c>
      <c r="D51" s="26">
        <f>SUMIFS(Verlauf!$K$6:$K$1000,Verlauf!$B$6:$B$1000,$A51,Verlauf!$C$6:$C$1000,$B51)</f>
        <v>0</v>
      </c>
      <c r="E51" s="26">
        <f>SUMIFS(Verlauf!$L$6:$L$1000,Verlauf!$B$6:$B$1000,$A51,Verlauf!$C$6:$C$1000,$B51)</f>
        <v>0</v>
      </c>
      <c r="F51" s="26">
        <f>SUMIFS(Verlauf!$M$6:$M$1000,Verlauf!$B$6:$B$1000,$A51,Verlauf!$C$6:$C$1000,$B51)</f>
        <v>0</v>
      </c>
      <c r="G51" s="26">
        <f>SUMIFS(Verlauf!$J$6:$J$1000,Verlauf!$B$6:$B$1000,$A51,Verlauf!$C$6:$C$1000,$B51)</f>
        <v>0</v>
      </c>
      <c r="H51" s="26">
        <f>SUMIFS(Verlauf!$U$6:$U$1000,Verlauf!$B$6:$B$1000,$A51,Verlauf!$C$6:$C$1000,$B51)</f>
        <v>0</v>
      </c>
      <c r="I51" s="26">
        <f>SUMIFS(Verlauf!$V$6:$V$1000,Verlauf!$B$6:$B$1000,$A51,Verlauf!$C$6:$C$1000,$B51)</f>
        <v>0</v>
      </c>
      <c r="J51" s="26">
        <f>SUMIFS(Verlauf!$W$6:$W$1000,Verlauf!$B$6:$B$1000,$A51,Verlauf!$C$6:$C$1000,$B51)</f>
        <v>0</v>
      </c>
      <c r="K51" s="26">
        <f>SUMIFS(Verlauf!$T$6:$T$1000,Verlauf!$B$6:$B$1000,$A51,Verlauf!$C$6:$C$1000,$B51)</f>
        <v>0</v>
      </c>
      <c r="L51" s="27">
        <f>IF(Filter!$T$7=TRUE,IFERROR(INDEX(Planung!$D$68:$IA$68,MATCH($W51,Wirksam!$D$6:$IA$6,0)),0),0)</f>
        <v>0</v>
      </c>
      <c r="M51" s="27">
        <f>IF(OR(Filter!$T$5=TRUE,Filter!$T$6=TRUE),IFERROR(INDEX(Planung!$D$69:$IA$69,MATCH($W51,Wirksam!$D$6:$IA$6,0)),0),0)</f>
        <v>0</v>
      </c>
      <c r="N51" s="27">
        <f t="shared" si="1"/>
        <v>0</v>
      </c>
      <c r="O51" s="27" t="e">
        <f t="shared" si="2"/>
        <v>#N/A</v>
      </c>
      <c r="P51" s="27" t="e">
        <f t="shared" si="3"/>
        <v>#N/A</v>
      </c>
      <c r="Q51" s="27" t="e">
        <f t="shared" si="4"/>
        <v>#N/A</v>
      </c>
      <c r="R51" s="27" t="e">
        <f t="shared" si="5"/>
        <v>#N/A</v>
      </c>
      <c r="S51" s="27" t="e">
        <f t="shared" si="6"/>
        <v>#N/A</v>
      </c>
      <c r="T51" s="27" t="e">
        <f t="shared" si="7"/>
        <v>#N/A</v>
      </c>
      <c r="U51" s="26">
        <f>COUNTIFS(Verlauf!$B$6:$B$1000,$A51,Verlauf!$C$6:$C$1000,$B51)</f>
        <v>0</v>
      </c>
      <c r="V51" s="26">
        <f t="shared" si="8"/>
        <v>0</v>
      </c>
      <c r="W51" s="26">
        <f t="shared" si="9"/>
        <v>202722</v>
      </c>
      <c r="X51" s="26">
        <f>SUMIFS(Verlauf!$X$6:$X$1000,Verlauf!$B$6:$B$1000,$A51,Verlauf!$C$6:$C$1000,$B51)</f>
        <v>0</v>
      </c>
      <c r="Y51" s="26">
        <f>SUMIFS(Verlauf!$Y$6:$Y$1000,Verlauf!$B$6:$B$1000,$A51,Verlauf!$C$6:$C$1000,$B51)</f>
        <v>0</v>
      </c>
      <c r="Z51" s="26">
        <f>SUMIFS(Verlauf!$Z$6:$Z$1000,Verlauf!$B$6:$B$1000,$A51,Verlauf!$C$6:$C$1000,$B51)</f>
        <v>0</v>
      </c>
      <c r="AA51" s="26">
        <f>SUMIFS(Verlauf!$I$6:$I$1000,Verlauf!$B$6:$B$1000,$A51,Verlauf!$C$6:$C$1000,$B51)</f>
        <v>0</v>
      </c>
      <c r="AB51" s="26">
        <f>SUMIFS(Verlauf!$AA$6:$AA$1000,Verlauf!$B$6:$B$1000,$A51,Verlauf!$C$6:$C$1000,$B51)</f>
        <v>0</v>
      </c>
      <c r="AC51" s="26">
        <f>SUMIFS(Verlauf!$AB$6:$AB$1000,Verlauf!$B$6:$B$1000,$A51,Verlauf!$C$6:$C$1000,$B51)</f>
        <v>0</v>
      </c>
      <c r="AD51" s="26">
        <f>SUMIFS(Verlauf!$AC$6:$AC$1000,Verlauf!$B$6:$B$1000,$A51,Verlauf!$C$6:$C$1000,$B51)</f>
        <v>0</v>
      </c>
      <c r="AE51" s="26">
        <f>SUMIFS(Verlauf!$S$6:$S$1000,Verlauf!$B$6:$B$1000,$A51,Verlauf!$C$6:$C$1000,$B51)</f>
        <v>0</v>
      </c>
      <c r="AF51" s="26" t="str">
        <f>IF($AN51="","",INDEX(Verlauf!$D$6:$D$1000,MATCH($AN51,Verlauf!$A$6:$A$1000,0)))</f>
        <v/>
      </c>
      <c r="AG51" s="26" t="str">
        <f>IF($AN51="","",INDEX(Verlauf!$E$6:$E$1000,MATCH($AN51,Verlauf!$A$6:$A$1000,0)))</f>
        <v/>
      </c>
      <c r="AH51" s="26" t="str">
        <f>IF($AN51="","",INDEX(Verlauf!$F$6:$F$1000,MATCH($AN51,Verlauf!$A$6:$A$1000,0)))</f>
        <v/>
      </c>
      <c r="AI51" s="26" t="str">
        <f>IF($AN51="","",INDEX(Verlauf!$H$6:$H$1000,MATCH($AN51,Verlauf!$A$6:$A$1000,0)))</f>
        <v/>
      </c>
      <c r="AJ51" s="26" t="str">
        <f>IF($AN51="","",INDEX(Verlauf!$N$6:$N$1000,MATCH($AN51,Verlauf!$A$6:$A$1000,0)))</f>
        <v/>
      </c>
      <c r="AK51" s="26" t="str">
        <f>IF($AN51="","",INDEX(Verlauf!$O$6:$O$1000,MATCH($AN51,Verlauf!$A$6:$A$1000,0)))</f>
        <v/>
      </c>
      <c r="AL51" s="26" t="str">
        <f>IF($AN51="","",INDEX(Verlauf!$P$6:$P$1000,MATCH($AN51,Verlauf!$A$6:$A$1000,0)))</f>
        <v/>
      </c>
      <c r="AM51" s="26" t="str">
        <f>IF($AN51="","",INDEX(Verlauf!$R$6:$R$1000,MATCH($AN51,Verlauf!$A$6:$A$1000,0)))</f>
        <v/>
      </c>
      <c r="AN51" s="28" t="str">
        <f>IF(U51&gt;0,_xlfn.MAXIFS(Verlauf!$A$6:$A$1000,Verlauf!$B$6:$B$1000,$A51,Verlauf!$C$6:$C$1000,$B51),"")</f>
        <v/>
      </c>
    </row>
    <row r="52" spans="1:40" x14ac:dyDescent="0.25">
      <c r="A52" s="26">
        <v>2027</v>
      </c>
      <c r="B52" s="26">
        <v>23</v>
      </c>
      <c r="C52" s="7" t="str">
        <f t="shared" si="0"/>
        <v>KW 23/27</v>
      </c>
      <c r="D52" s="26">
        <f>SUMIFS(Verlauf!$K$6:$K$1000,Verlauf!$B$6:$B$1000,$A52,Verlauf!$C$6:$C$1000,$B52)</f>
        <v>0</v>
      </c>
      <c r="E52" s="26">
        <f>SUMIFS(Verlauf!$L$6:$L$1000,Verlauf!$B$6:$B$1000,$A52,Verlauf!$C$6:$C$1000,$B52)</f>
        <v>0</v>
      </c>
      <c r="F52" s="26">
        <f>SUMIFS(Verlauf!$M$6:$M$1000,Verlauf!$B$6:$B$1000,$A52,Verlauf!$C$6:$C$1000,$B52)</f>
        <v>0</v>
      </c>
      <c r="G52" s="26">
        <f>SUMIFS(Verlauf!$J$6:$J$1000,Verlauf!$B$6:$B$1000,$A52,Verlauf!$C$6:$C$1000,$B52)</f>
        <v>0</v>
      </c>
      <c r="H52" s="26">
        <f>SUMIFS(Verlauf!$U$6:$U$1000,Verlauf!$B$6:$B$1000,$A52,Verlauf!$C$6:$C$1000,$B52)</f>
        <v>0</v>
      </c>
      <c r="I52" s="26">
        <f>SUMIFS(Verlauf!$V$6:$V$1000,Verlauf!$B$6:$B$1000,$A52,Verlauf!$C$6:$C$1000,$B52)</f>
        <v>0</v>
      </c>
      <c r="J52" s="26">
        <f>SUMIFS(Verlauf!$W$6:$W$1000,Verlauf!$B$6:$B$1000,$A52,Verlauf!$C$6:$C$1000,$B52)</f>
        <v>0</v>
      </c>
      <c r="K52" s="26">
        <f>SUMIFS(Verlauf!$T$6:$T$1000,Verlauf!$B$6:$B$1000,$A52,Verlauf!$C$6:$C$1000,$B52)</f>
        <v>0</v>
      </c>
      <c r="L52" s="27">
        <f>IF(Filter!$T$7=TRUE,IFERROR(INDEX(Planung!$D$68:$IA$68,MATCH($W52,Wirksam!$D$6:$IA$6,0)),0),0)</f>
        <v>0</v>
      </c>
      <c r="M52" s="27">
        <f>IF(OR(Filter!$T$5=TRUE,Filter!$T$6=TRUE),IFERROR(INDEX(Planung!$D$69:$IA$69,MATCH($W52,Wirksam!$D$6:$IA$6,0)),0),0)</f>
        <v>0</v>
      </c>
      <c r="N52" s="27">
        <f t="shared" si="1"/>
        <v>0</v>
      </c>
      <c r="O52" s="27" t="e">
        <f t="shared" si="2"/>
        <v>#N/A</v>
      </c>
      <c r="P52" s="27" t="e">
        <f t="shared" si="3"/>
        <v>#N/A</v>
      </c>
      <c r="Q52" s="27" t="e">
        <f t="shared" si="4"/>
        <v>#N/A</v>
      </c>
      <c r="R52" s="27" t="e">
        <f t="shared" si="5"/>
        <v>#N/A</v>
      </c>
      <c r="S52" s="27" t="e">
        <f t="shared" si="6"/>
        <v>#N/A</v>
      </c>
      <c r="T52" s="27" t="e">
        <f t="shared" si="7"/>
        <v>#N/A</v>
      </c>
      <c r="U52" s="26">
        <f>COUNTIFS(Verlauf!$B$6:$B$1000,$A52,Verlauf!$C$6:$C$1000,$B52)</f>
        <v>0</v>
      </c>
      <c r="V52" s="26">
        <f t="shared" si="8"/>
        <v>0</v>
      </c>
      <c r="W52" s="26">
        <f t="shared" si="9"/>
        <v>202723</v>
      </c>
      <c r="X52" s="26">
        <f>SUMIFS(Verlauf!$X$6:$X$1000,Verlauf!$B$6:$B$1000,$A52,Verlauf!$C$6:$C$1000,$B52)</f>
        <v>0</v>
      </c>
      <c r="Y52" s="26">
        <f>SUMIFS(Verlauf!$Y$6:$Y$1000,Verlauf!$B$6:$B$1000,$A52,Verlauf!$C$6:$C$1000,$B52)</f>
        <v>0</v>
      </c>
      <c r="Z52" s="26">
        <f>SUMIFS(Verlauf!$Z$6:$Z$1000,Verlauf!$B$6:$B$1000,$A52,Verlauf!$C$6:$C$1000,$B52)</f>
        <v>0</v>
      </c>
      <c r="AA52" s="26">
        <f>SUMIFS(Verlauf!$I$6:$I$1000,Verlauf!$B$6:$B$1000,$A52,Verlauf!$C$6:$C$1000,$B52)</f>
        <v>0</v>
      </c>
      <c r="AB52" s="26">
        <f>SUMIFS(Verlauf!$AA$6:$AA$1000,Verlauf!$B$6:$B$1000,$A52,Verlauf!$C$6:$C$1000,$B52)</f>
        <v>0</v>
      </c>
      <c r="AC52" s="26">
        <f>SUMIFS(Verlauf!$AB$6:$AB$1000,Verlauf!$B$6:$B$1000,$A52,Verlauf!$C$6:$C$1000,$B52)</f>
        <v>0</v>
      </c>
      <c r="AD52" s="26">
        <f>SUMIFS(Verlauf!$AC$6:$AC$1000,Verlauf!$B$6:$B$1000,$A52,Verlauf!$C$6:$C$1000,$B52)</f>
        <v>0</v>
      </c>
      <c r="AE52" s="26">
        <f>SUMIFS(Verlauf!$S$6:$S$1000,Verlauf!$B$6:$B$1000,$A52,Verlauf!$C$6:$C$1000,$B52)</f>
        <v>0</v>
      </c>
      <c r="AF52" s="26" t="str">
        <f>IF($AN52="","",INDEX(Verlauf!$D$6:$D$1000,MATCH($AN52,Verlauf!$A$6:$A$1000,0)))</f>
        <v/>
      </c>
      <c r="AG52" s="26" t="str">
        <f>IF($AN52="","",INDEX(Verlauf!$E$6:$E$1000,MATCH($AN52,Verlauf!$A$6:$A$1000,0)))</f>
        <v/>
      </c>
      <c r="AH52" s="26" t="str">
        <f>IF($AN52="","",INDEX(Verlauf!$F$6:$F$1000,MATCH($AN52,Verlauf!$A$6:$A$1000,0)))</f>
        <v/>
      </c>
      <c r="AI52" s="26" t="str">
        <f>IF($AN52="","",INDEX(Verlauf!$H$6:$H$1000,MATCH($AN52,Verlauf!$A$6:$A$1000,0)))</f>
        <v/>
      </c>
      <c r="AJ52" s="26" t="str">
        <f>IF($AN52="","",INDEX(Verlauf!$N$6:$N$1000,MATCH($AN52,Verlauf!$A$6:$A$1000,0)))</f>
        <v/>
      </c>
      <c r="AK52" s="26" t="str">
        <f>IF($AN52="","",INDEX(Verlauf!$O$6:$O$1000,MATCH($AN52,Verlauf!$A$6:$A$1000,0)))</f>
        <v/>
      </c>
      <c r="AL52" s="26" t="str">
        <f>IF($AN52="","",INDEX(Verlauf!$P$6:$P$1000,MATCH($AN52,Verlauf!$A$6:$A$1000,0)))</f>
        <v/>
      </c>
      <c r="AM52" s="26" t="str">
        <f>IF($AN52="","",INDEX(Verlauf!$R$6:$R$1000,MATCH($AN52,Verlauf!$A$6:$A$1000,0)))</f>
        <v/>
      </c>
      <c r="AN52" s="28" t="str">
        <f>IF(U52&gt;0,_xlfn.MAXIFS(Verlauf!$A$6:$A$1000,Verlauf!$B$6:$B$1000,$A52,Verlauf!$C$6:$C$1000,$B52),"")</f>
        <v/>
      </c>
    </row>
    <row r="53" spans="1:40" x14ac:dyDescent="0.25">
      <c r="A53" s="26">
        <v>2027</v>
      </c>
      <c r="B53" s="26">
        <v>24</v>
      </c>
      <c r="C53" s="7" t="str">
        <f t="shared" si="0"/>
        <v>KW 24/27</v>
      </c>
      <c r="D53" s="26">
        <f>SUMIFS(Verlauf!$K$6:$K$1000,Verlauf!$B$6:$B$1000,$A53,Verlauf!$C$6:$C$1000,$B53)</f>
        <v>0</v>
      </c>
      <c r="E53" s="26">
        <f>SUMIFS(Verlauf!$L$6:$L$1000,Verlauf!$B$6:$B$1000,$A53,Verlauf!$C$6:$C$1000,$B53)</f>
        <v>0</v>
      </c>
      <c r="F53" s="26">
        <f>SUMIFS(Verlauf!$M$6:$M$1000,Verlauf!$B$6:$B$1000,$A53,Verlauf!$C$6:$C$1000,$B53)</f>
        <v>0</v>
      </c>
      <c r="G53" s="26">
        <f>SUMIFS(Verlauf!$J$6:$J$1000,Verlauf!$B$6:$B$1000,$A53,Verlauf!$C$6:$C$1000,$B53)</f>
        <v>0</v>
      </c>
      <c r="H53" s="26">
        <f>SUMIFS(Verlauf!$U$6:$U$1000,Verlauf!$B$6:$B$1000,$A53,Verlauf!$C$6:$C$1000,$B53)</f>
        <v>0</v>
      </c>
      <c r="I53" s="26">
        <f>SUMIFS(Verlauf!$V$6:$V$1000,Verlauf!$B$6:$B$1000,$A53,Verlauf!$C$6:$C$1000,$B53)</f>
        <v>0</v>
      </c>
      <c r="J53" s="26">
        <f>SUMIFS(Verlauf!$W$6:$W$1000,Verlauf!$B$6:$B$1000,$A53,Verlauf!$C$6:$C$1000,$B53)</f>
        <v>0</v>
      </c>
      <c r="K53" s="26">
        <f>SUMIFS(Verlauf!$T$6:$T$1000,Verlauf!$B$6:$B$1000,$A53,Verlauf!$C$6:$C$1000,$B53)</f>
        <v>0</v>
      </c>
      <c r="L53" s="27">
        <f>IF(Filter!$T$7=TRUE,IFERROR(INDEX(Planung!$D$68:$IA$68,MATCH($W53,Wirksam!$D$6:$IA$6,0)),0),0)</f>
        <v>0</v>
      </c>
      <c r="M53" s="27">
        <f>IF(OR(Filter!$T$5=TRUE,Filter!$T$6=TRUE),IFERROR(INDEX(Planung!$D$69:$IA$69,MATCH($W53,Wirksam!$D$6:$IA$6,0)),0),0)</f>
        <v>0</v>
      </c>
      <c r="N53" s="27">
        <f t="shared" si="1"/>
        <v>0</v>
      </c>
      <c r="O53" s="27" t="e">
        <f t="shared" si="2"/>
        <v>#N/A</v>
      </c>
      <c r="P53" s="27" t="e">
        <f t="shared" si="3"/>
        <v>#N/A</v>
      </c>
      <c r="Q53" s="27" t="e">
        <f t="shared" si="4"/>
        <v>#N/A</v>
      </c>
      <c r="R53" s="27" t="e">
        <f t="shared" si="5"/>
        <v>#N/A</v>
      </c>
      <c r="S53" s="27" t="e">
        <f t="shared" si="6"/>
        <v>#N/A</v>
      </c>
      <c r="T53" s="27" t="e">
        <f t="shared" si="7"/>
        <v>#N/A</v>
      </c>
      <c r="U53" s="26">
        <f>COUNTIFS(Verlauf!$B$6:$B$1000,$A53,Verlauf!$C$6:$C$1000,$B53)</f>
        <v>0</v>
      </c>
      <c r="V53" s="26">
        <f t="shared" si="8"/>
        <v>0</v>
      </c>
      <c r="W53" s="26">
        <f t="shared" si="9"/>
        <v>202724</v>
      </c>
      <c r="X53" s="26">
        <f>SUMIFS(Verlauf!$X$6:$X$1000,Verlauf!$B$6:$B$1000,$A53,Verlauf!$C$6:$C$1000,$B53)</f>
        <v>0</v>
      </c>
      <c r="Y53" s="26">
        <f>SUMIFS(Verlauf!$Y$6:$Y$1000,Verlauf!$B$6:$B$1000,$A53,Verlauf!$C$6:$C$1000,$B53)</f>
        <v>0</v>
      </c>
      <c r="Z53" s="26">
        <f>SUMIFS(Verlauf!$Z$6:$Z$1000,Verlauf!$B$6:$B$1000,$A53,Verlauf!$C$6:$C$1000,$B53)</f>
        <v>0</v>
      </c>
      <c r="AA53" s="26">
        <f>SUMIFS(Verlauf!$I$6:$I$1000,Verlauf!$B$6:$B$1000,$A53,Verlauf!$C$6:$C$1000,$B53)</f>
        <v>0</v>
      </c>
      <c r="AB53" s="26">
        <f>SUMIFS(Verlauf!$AA$6:$AA$1000,Verlauf!$B$6:$B$1000,$A53,Verlauf!$C$6:$C$1000,$B53)</f>
        <v>0</v>
      </c>
      <c r="AC53" s="26">
        <f>SUMIFS(Verlauf!$AB$6:$AB$1000,Verlauf!$B$6:$B$1000,$A53,Verlauf!$C$6:$C$1000,$B53)</f>
        <v>0</v>
      </c>
      <c r="AD53" s="26">
        <f>SUMIFS(Verlauf!$AC$6:$AC$1000,Verlauf!$B$6:$B$1000,$A53,Verlauf!$C$6:$C$1000,$B53)</f>
        <v>0</v>
      </c>
      <c r="AE53" s="26">
        <f>SUMIFS(Verlauf!$S$6:$S$1000,Verlauf!$B$6:$B$1000,$A53,Verlauf!$C$6:$C$1000,$B53)</f>
        <v>0</v>
      </c>
      <c r="AF53" s="26" t="str">
        <f>IF($AN53="","",INDEX(Verlauf!$D$6:$D$1000,MATCH($AN53,Verlauf!$A$6:$A$1000,0)))</f>
        <v/>
      </c>
      <c r="AG53" s="26" t="str">
        <f>IF($AN53="","",INDEX(Verlauf!$E$6:$E$1000,MATCH($AN53,Verlauf!$A$6:$A$1000,0)))</f>
        <v/>
      </c>
      <c r="AH53" s="26" t="str">
        <f>IF($AN53="","",INDEX(Verlauf!$F$6:$F$1000,MATCH($AN53,Verlauf!$A$6:$A$1000,0)))</f>
        <v/>
      </c>
      <c r="AI53" s="26" t="str">
        <f>IF($AN53="","",INDEX(Verlauf!$H$6:$H$1000,MATCH($AN53,Verlauf!$A$6:$A$1000,0)))</f>
        <v/>
      </c>
      <c r="AJ53" s="26" t="str">
        <f>IF($AN53="","",INDEX(Verlauf!$N$6:$N$1000,MATCH($AN53,Verlauf!$A$6:$A$1000,0)))</f>
        <v/>
      </c>
      <c r="AK53" s="26" t="str">
        <f>IF($AN53="","",INDEX(Verlauf!$O$6:$O$1000,MATCH($AN53,Verlauf!$A$6:$A$1000,0)))</f>
        <v/>
      </c>
      <c r="AL53" s="26" t="str">
        <f>IF($AN53="","",INDEX(Verlauf!$P$6:$P$1000,MATCH($AN53,Verlauf!$A$6:$A$1000,0)))</f>
        <v/>
      </c>
      <c r="AM53" s="26" t="str">
        <f>IF($AN53="","",INDEX(Verlauf!$R$6:$R$1000,MATCH($AN53,Verlauf!$A$6:$A$1000,0)))</f>
        <v/>
      </c>
      <c r="AN53" s="28" t="str">
        <f>IF(U53&gt;0,_xlfn.MAXIFS(Verlauf!$A$6:$A$1000,Verlauf!$B$6:$B$1000,$A53,Verlauf!$C$6:$C$1000,$B53),"")</f>
        <v/>
      </c>
    </row>
    <row r="54" spans="1:40" x14ac:dyDescent="0.25">
      <c r="A54" s="26">
        <v>2027</v>
      </c>
      <c r="B54" s="26">
        <v>25</v>
      </c>
      <c r="C54" s="7" t="str">
        <f t="shared" si="0"/>
        <v>KW 25/27</v>
      </c>
      <c r="D54" s="26">
        <f>SUMIFS(Verlauf!$K$6:$K$1000,Verlauf!$B$6:$B$1000,$A54,Verlauf!$C$6:$C$1000,$B54)</f>
        <v>0</v>
      </c>
      <c r="E54" s="26">
        <f>SUMIFS(Verlauf!$L$6:$L$1000,Verlauf!$B$6:$B$1000,$A54,Verlauf!$C$6:$C$1000,$B54)</f>
        <v>0</v>
      </c>
      <c r="F54" s="26">
        <f>SUMIFS(Verlauf!$M$6:$M$1000,Verlauf!$B$6:$B$1000,$A54,Verlauf!$C$6:$C$1000,$B54)</f>
        <v>0</v>
      </c>
      <c r="G54" s="26">
        <f>SUMIFS(Verlauf!$J$6:$J$1000,Verlauf!$B$6:$B$1000,$A54,Verlauf!$C$6:$C$1000,$B54)</f>
        <v>0</v>
      </c>
      <c r="H54" s="26">
        <f>SUMIFS(Verlauf!$U$6:$U$1000,Verlauf!$B$6:$B$1000,$A54,Verlauf!$C$6:$C$1000,$B54)</f>
        <v>0</v>
      </c>
      <c r="I54" s="26">
        <f>SUMIFS(Verlauf!$V$6:$V$1000,Verlauf!$B$6:$B$1000,$A54,Verlauf!$C$6:$C$1000,$B54)</f>
        <v>0</v>
      </c>
      <c r="J54" s="26">
        <f>SUMIFS(Verlauf!$W$6:$W$1000,Verlauf!$B$6:$B$1000,$A54,Verlauf!$C$6:$C$1000,$B54)</f>
        <v>0</v>
      </c>
      <c r="K54" s="26">
        <f>SUMIFS(Verlauf!$T$6:$T$1000,Verlauf!$B$6:$B$1000,$A54,Verlauf!$C$6:$C$1000,$B54)</f>
        <v>0</v>
      </c>
      <c r="L54" s="27">
        <f>IF(Filter!$T$7=TRUE,IFERROR(INDEX(Planung!$D$68:$IA$68,MATCH($W54,Wirksam!$D$6:$IA$6,0)),0),0)</f>
        <v>0</v>
      </c>
      <c r="M54" s="27">
        <f>IF(OR(Filter!$T$5=TRUE,Filter!$T$6=TRUE),IFERROR(INDEX(Planung!$D$69:$IA$69,MATCH($W54,Wirksam!$D$6:$IA$6,0)),0),0)</f>
        <v>0</v>
      </c>
      <c r="N54" s="27">
        <f t="shared" si="1"/>
        <v>0</v>
      </c>
      <c r="O54" s="27" t="e">
        <f t="shared" si="2"/>
        <v>#N/A</v>
      </c>
      <c r="P54" s="27" t="e">
        <f t="shared" si="3"/>
        <v>#N/A</v>
      </c>
      <c r="Q54" s="27" t="e">
        <f t="shared" si="4"/>
        <v>#N/A</v>
      </c>
      <c r="R54" s="27" t="e">
        <f t="shared" si="5"/>
        <v>#N/A</v>
      </c>
      <c r="S54" s="27" t="e">
        <f t="shared" si="6"/>
        <v>#N/A</v>
      </c>
      <c r="T54" s="27" t="e">
        <f t="shared" si="7"/>
        <v>#N/A</v>
      </c>
      <c r="U54" s="26">
        <f>COUNTIFS(Verlauf!$B$6:$B$1000,$A54,Verlauf!$C$6:$C$1000,$B54)</f>
        <v>0</v>
      </c>
      <c r="V54" s="26">
        <f t="shared" si="8"/>
        <v>0</v>
      </c>
      <c r="W54" s="26">
        <f t="shared" si="9"/>
        <v>202725</v>
      </c>
      <c r="X54" s="26">
        <f>SUMIFS(Verlauf!$X$6:$X$1000,Verlauf!$B$6:$B$1000,$A54,Verlauf!$C$6:$C$1000,$B54)</f>
        <v>0</v>
      </c>
      <c r="Y54" s="26">
        <f>SUMIFS(Verlauf!$Y$6:$Y$1000,Verlauf!$B$6:$B$1000,$A54,Verlauf!$C$6:$C$1000,$B54)</f>
        <v>0</v>
      </c>
      <c r="Z54" s="26">
        <f>SUMIFS(Verlauf!$Z$6:$Z$1000,Verlauf!$B$6:$B$1000,$A54,Verlauf!$C$6:$C$1000,$B54)</f>
        <v>0</v>
      </c>
      <c r="AA54" s="26">
        <f>SUMIFS(Verlauf!$I$6:$I$1000,Verlauf!$B$6:$B$1000,$A54,Verlauf!$C$6:$C$1000,$B54)</f>
        <v>0</v>
      </c>
      <c r="AB54" s="26">
        <f>SUMIFS(Verlauf!$AA$6:$AA$1000,Verlauf!$B$6:$B$1000,$A54,Verlauf!$C$6:$C$1000,$B54)</f>
        <v>0</v>
      </c>
      <c r="AC54" s="26">
        <f>SUMIFS(Verlauf!$AB$6:$AB$1000,Verlauf!$B$6:$B$1000,$A54,Verlauf!$C$6:$C$1000,$B54)</f>
        <v>0</v>
      </c>
      <c r="AD54" s="26">
        <f>SUMIFS(Verlauf!$AC$6:$AC$1000,Verlauf!$B$6:$B$1000,$A54,Verlauf!$C$6:$C$1000,$B54)</f>
        <v>0</v>
      </c>
      <c r="AE54" s="26">
        <f>SUMIFS(Verlauf!$S$6:$S$1000,Verlauf!$B$6:$B$1000,$A54,Verlauf!$C$6:$C$1000,$B54)</f>
        <v>0</v>
      </c>
      <c r="AF54" s="26" t="str">
        <f>IF($AN54="","",INDEX(Verlauf!$D$6:$D$1000,MATCH($AN54,Verlauf!$A$6:$A$1000,0)))</f>
        <v/>
      </c>
      <c r="AG54" s="26" t="str">
        <f>IF($AN54="","",INDEX(Verlauf!$E$6:$E$1000,MATCH($AN54,Verlauf!$A$6:$A$1000,0)))</f>
        <v/>
      </c>
      <c r="AH54" s="26" t="str">
        <f>IF($AN54="","",INDEX(Verlauf!$F$6:$F$1000,MATCH($AN54,Verlauf!$A$6:$A$1000,0)))</f>
        <v/>
      </c>
      <c r="AI54" s="26" t="str">
        <f>IF($AN54="","",INDEX(Verlauf!$H$6:$H$1000,MATCH($AN54,Verlauf!$A$6:$A$1000,0)))</f>
        <v/>
      </c>
      <c r="AJ54" s="26" t="str">
        <f>IF($AN54="","",INDEX(Verlauf!$N$6:$N$1000,MATCH($AN54,Verlauf!$A$6:$A$1000,0)))</f>
        <v/>
      </c>
      <c r="AK54" s="26" t="str">
        <f>IF($AN54="","",INDEX(Verlauf!$O$6:$O$1000,MATCH($AN54,Verlauf!$A$6:$A$1000,0)))</f>
        <v/>
      </c>
      <c r="AL54" s="26" t="str">
        <f>IF($AN54="","",INDEX(Verlauf!$P$6:$P$1000,MATCH($AN54,Verlauf!$A$6:$A$1000,0)))</f>
        <v/>
      </c>
      <c r="AM54" s="26" t="str">
        <f>IF($AN54="","",INDEX(Verlauf!$R$6:$R$1000,MATCH($AN54,Verlauf!$A$6:$A$1000,0)))</f>
        <v/>
      </c>
      <c r="AN54" s="28" t="str">
        <f>IF(U54&gt;0,_xlfn.MAXIFS(Verlauf!$A$6:$A$1000,Verlauf!$B$6:$B$1000,$A54,Verlauf!$C$6:$C$1000,$B54),"")</f>
        <v/>
      </c>
    </row>
    <row r="55" spans="1:40" x14ac:dyDescent="0.25">
      <c r="A55" s="26">
        <v>2027</v>
      </c>
      <c r="B55" s="26">
        <v>26</v>
      </c>
      <c r="C55" s="7" t="str">
        <f t="shared" si="0"/>
        <v>KW 26/27</v>
      </c>
      <c r="D55" s="26">
        <f>SUMIFS(Verlauf!$K$6:$K$1000,Verlauf!$B$6:$B$1000,$A55,Verlauf!$C$6:$C$1000,$B55)</f>
        <v>0</v>
      </c>
      <c r="E55" s="26">
        <f>SUMIFS(Verlauf!$L$6:$L$1000,Verlauf!$B$6:$B$1000,$A55,Verlauf!$C$6:$C$1000,$B55)</f>
        <v>0</v>
      </c>
      <c r="F55" s="26">
        <f>SUMIFS(Verlauf!$M$6:$M$1000,Verlauf!$B$6:$B$1000,$A55,Verlauf!$C$6:$C$1000,$B55)</f>
        <v>0</v>
      </c>
      <c r="G55" s="26">
        <f>SUMIFS(Verlauf!$J$6:$J$1000,Verlauf!$B$6:$B$1000,$A55,Verlauf!$C$6:$C$1000,$B55)</f>
        <v>0</v>
      </c>
      <c r="H55" s="26">
        <f>SUMIFS(Verlauf!$U$6:$U$1000,Verlauf!$B$6:$B$1000,$A55,Verlauf!$C$6:$C$1000,$B55)</f>
        <v>0</v>
      </c>
      <c r="I55" s="26">
        <f>SUMIFS(Verlauf!$V$6:$V$1000,Verlauf!$B$6:$B$1000,$A55,Verlauf!$C$6:$C$1000,$B55)</f>
        <v>0</v>
      </c>
      <c r="J55" s="26">
        <f>SUMIFS(Verlauf!$W$6:$W$1000,Verlauf!$B$6:$B$1000,$A55,Verlauf!$C$6:$C$1000,$B55)</f>
        <v>0</v>
      </c>
      <c r="K55" s="26">
        <f>SUMIFS(Verlauf!$T$6:$T$1000,Verlauf!$B$6:$B$1000,$A55,Verlauf!$C$6:$C$1000,$B55)</f>
        <v>0</v>
      </c>
      <c r="L55" s="27">
        <f>IF(Filter!$T$7=TRUE,IFERROR(INDEX(Planung!$D$68:$IA$68,MATCH($W55,Wirksam!$D$6:$IA$6,0)),0),0)</f>
        <v>0</v>
      </c>
      <c r="M55" s="27">
        <f>IF(OR(Filter!$T$5=TRUE,Filter!$T$6=TRUE),IFERROR(INDEX(Planung!$D$69:$IA$69,MATCH($W55,Wirksam!$D$6:$IA$6,0)),0),0)</f>
        <v>0</v>
      </c>
      <c r="N55" s="27">
        <f t="shared" si="1"/>
        <v>0</v>
      </c>
      <c r="O55" s="27" t="e">
        <f t="shared" si="2"/>
        <v>#N/A</v>
      </c>
      <c r="P55" s="27" t="e">
        <f t="shared" si="3"/>
        <v>#N/A</v>
      </c>
      <c r="Q55" s="27" t="e">
        <f t="shared" si="4"/>
        <v>#N/A</v>
      </c>
      <c r="R55" s="27" t="e">
        <f t="shared" si="5"/>
        <v>#N/A</v>
      </c>
      <c r="S55" s="27" t="e">
        <f t="shared" si="6"/>
        <v>#N/A</v>
      </c>
      <c r="T55" s="27" t="e">
        <f t="shared" si="7"/>
        <v>#N/A</v>
      </c>
      <c r="U55" s="26">
        <f>COUNTIFS(Verlauf!$B$6:$B$1000,$A55,Verlauf!$C$6:$C$1000,$B55)</f>
        <v>0</v>
      </c>
      <c r="V55" s="26">
        <f t="shared" si="8"/>
        <v>0</v>
      </c>
      <c r="W55" s="26">
        <f t="shared" si="9"/>
        <v>202726</v>
      </c>
      <c r="X55" s="26">
        <f>SUMIFS(Verlauf!$X$6:$X$1000,Verlauf!$B$6:$B$1000,$A55,Verlauf!$C$6:$C$1000,$B55)</f>
        <v>0</v>
      </c>
      <c r="Y55" s="26">
        <f>SUMIFS(Verlauf!$Y$6:$Y$1000,Verlauf!$B$6:$B$1000,$A55,Verlauf!$C$6:$C$1000,$B55)</f>
        <v>0</v>
      </c>
      <c r="Z55" s="26">
        <f>SUMIFS(Verlauf!$Z$6:$Z$1000,Verlauf!$B$6:$B$1000,$A55,Verlauf!$C$6:$C$1000,$B55)</f>
        <v>0</v>
      </c>
      <c r="AA55" s="26">
        <f>SUMIFS(Verlauf!$I$6:$I$1000,Verlauf!$B$6:$B$1000,$A55,Verlauf!$C$6:$C$1000,$B55)</f>
        <v>0</v>
      </c>
      <c r="AB55" s="26">
        <f>SUMIFS(Verlauf!$AA$6:$AA$1000,Verlauf!$B$6:$B$1000,$A55,Verlauf!$C$6:$C$1000,$B55)</f>
        <v>0</v>
      </c>
      <c r="AC55" s="26">
        <f>SUMIFS(Verlauf!$AB$6:$AB$1000,Verlauf!$B$6:$B$1000,$A55,Verlauf!$C$6:$C$1000,$B55)</f>
        <v>0</v>
      </c>
      <c r="AD55" s="26">
        <f>SUMIFS(Verlauf!$AC$6:$AC$1000,Verlauf!$B$6:$B$1000,$A55,Verlauf!$C$6:$C$1000,$B55)</f>
        <v>0</v>
      </c>
      <c r="AE55" s="26">
        <f>SUMIFS(Verlauf!$S$6:$S$1000,Verlauf!$B$6:$B$1000,$A55,Verlauf!$C$6:$C$1000,$B55)</f>
        <v>0</v>
      </c>
      <c r="AF55" s="26" t="str">
        <f>IF($AN55="","",INDEX(Verlauf!$D$6:$D$1000,MATCH($AN55,Verlauf!$A$6:$A$1000,0)))</f>
        <v/>
      </c>
      <c r="AG55" s="26" t="str">
        <f>IF($AN55="","",INDEX(Verlauf!$E$6:$E$1000,MATCH($AN55,Verlauf!$A$6:$A$1000,0)))</f>
        <v/>
      </c>
      <c r="AH55" s="26" t="str">
        <f>IF($AN55="","",INDEX(Verlauf!$F$6:$F$1000,MATCH($AN55,Verlauf!$A$6:$A$1000,0)))</f>
        <v/>
      </c>
      <c r="AI55" s="26" t="str">
        <f>IF($AN55="","",INDEX(Verlauf!$H$6:$H$1000,MATCH($AN55,Verlauf!$A$6:$A$1000,0)))</f>
        <v/>
      </c>
      <c r="AJ55" s="26" t="str">
        <f>IF($AN55="","",INDEX(Verlauf!$N$6:$N$1000,MATCH($AN55,Verlauf!$A$6:$A$1000,0)))</f>
        <v/>
      </c>
      <c r="AK55" s="26" t="str">
        <f>IF($AN55="","",INDEX(Verlauf!$O$6:$O$1000,MATCH($AN55,Verlauf!$A$6:$A$1000,0)))</f>
        <v/>
      </c>
      <c r="AL55" s="26" t="str">
        <f>IF($AN55="","",INDEX(Verlauf!$P$6:$P$1000,MATCH($AN55,Verlauf!$A$6:$A$1000,0)))</f>
        <v/>
      </c>
      <c r="AM55" s="26" t="str">
        <f>IF($AN55="","",INDEX(Verlauf!$R$6:$R$1000,MATCH($AN55,Verlauf!$A$6:$A$1000,0)))</f>
        <v/>
      </c>
      <c r="AN55" s="28" t="str">
        <f>IF(U55&gt;0,_xlfn.MAXIFS(Verlauf!$A$6:$A$1000,Verlauf!$B$6:$B$1000,$A55,Verlauf!$C$6:$C$1000,$B55),"")</f>
        <v/>
      </c>
    </row>
    <row r="56" spans="1:40" x14ac:dyDescent="0.25">
      <c r="A56" s="26">
        <v>2027</v>
      </c>
      <c r="B56" s="26">
        <v>27</v>
      </c>
      <c r="C56" s="7" t="str">
        <f t="shared" si="0"/>
        <v>KW 27/27</v>
      </c>
      <c r="D56" s="26">
        <f>SUMIFS(Verlauf!$K$6:$K$1000,Verlauf!$B$6:$B$1000,$A56,Verlauf!$C$6:$C$1000,$B56)</f>
        <v>0</v>
      </c>
      <c r="E56" s="26">
        <f>SUMIFS(Verlauf!$L$6:$L$1000,Verlauf!$B$6:$B$1000,$A56,Verlauf!$C$6:$C$1000,$B56)</f>
        <v>0</v>
      </c>
      <c r="F56" s="26">
        <f>SUMIFS(Verlauf!$M$6:$M$1000,Verlauf!$B$6:$B$1000,$A56,Verlauf!$C$6:$C$1000,$B56)</f>
        <v>0</v>
      </c>
      <c r="G56" s="26">
        <f>SUMIFS(Verlauf!$J$6:$J$1000,Verlauf!$B$6:$B$1000,$A56,Verlauf!$C$6:$C$1000,$B56)</f>
        <v>0</v>
      </c>
      <c r="H56" s="26">
        <f>SUMIFS(Verlauf!$U$6:$U$1000,Verlauf!$B$6:$B$1000,$A56,Verlauf!$C$6:$C$1000,$B56)</f>
        <v>0</v>
      </c>
      <c r="I56" s="26">
        <f>SUMIFS(Verlauf!$V$6:$V$1000,Verlauf!$B$6:$B$1000,$A56,Verlauf!$C$6:$C$1000,$B56)</f>
        <v>0</v>
      </c>
      <c r="J56" s="26">
        <f>SUMIFS(Verlauf!$W$6:$W$1000,Verlauf!$B$6:$B$1000,$A56,Verlauf!$C$6:$C$1000,$B56)</f>
        <v>0</v>
      </c>
      <c r="K56" s="26">
        <f>SUMIFS(Verlauf!$T$6:$T$1000,Verlauf!$B$6:$B$1000,$A56,Verlauf!$C$6:$C$1000,$B56)</f>
        <v>0</v>
      </c>
      <c r="L56" s="27">
        <f>IF(Filter!$T$7=TRUE,IFERROR(INDEX(Planung!$D$68:$IA$68,MATCH($W56,Wirksam!$D$6:$IA$6,0)),0),0)</f>
        <v>0</v>
      </c>
      <c r="M56" s="27">
        <f>IF(OR(Filter!$T$5=TRUE,Filter!$T$6=TRUE),IFERROR(INDEX(Planung!$D$69:$IA$69,MATCH($W56,Wirksam!$D$6:$IA$6,0)),0),0)</f>
        <v>0</v>
      </c>
      <c r="N56" s="27">
        <f t="shared" si="1"/>
        <v>0</v>
      </c>
      <c r="O56" s="27" t="e">
        <f t="shared" si="2"/>
        <v>#N/A</v>
      </c>
      <c r="P56" s="27" t="e">
        <f t="shared" si="3"/>
        <v>#N/A</v>
      </c>
      <c r="Q56" s="27" t="e">
        <f t="shared" si="4"/>
        <v>#N/A</v>
      </c>
      <c r="R56" s="27" t="e">
        <f t="shared" si="5"/>
        <v>#N/A</v>
      </c>
      <c r="S56" s="27" t="e">
        <f t="shared" si="6"/>
        <v>#N/A</v>
      </c>
      <c r="T56" s="27" t="e">
        <f t="shared" si="7"/>
        <v>#N/A</v>
      </c>
      <c r="U56" s="26">
        <f>COUNTIFS(Verlauf!$B$6:$B$1000,$A56,Verlauf!$C$6:$C$1000,$B56)</f>
        <v>0</v>
      </c>
      <c r="V56" s="26">
        <f t="shared" si="8"/>
        <v>0</v>
      </c>
      <c r="W56" s="26">
        <f t="shared" si="9"/>
        <v>202727</v>
      </c>
      <c r="X56" s="26">
        <f>SUMIFS(Verlauf!$X$6:$X$1000,Verlauf!$B$6:$B$1000,$A56,Verlauf!$C$6:$C$1000,$B56)</f>
        <v>0</v>
      </c>
      <c r="Y56" s="26">
        <f>SUMIFS(Verlauf!$Y$6:$Y$1000,Verlauf!$B$6:$B$1000,$A56,Verlauf!$C$6:$C$1000,$B56)</f>
        <v>0</v>
      </c>
      <c r="Z56" s="26">
        <f>SUMIFS(Verlauf!$Z$6:$Z$1000,Verlauf!$B$6:$B$1000,$A56,Verlauf!$C$6:$C$1000,$B56)</f>
        <v>0</v>
      </c>
      <c r="AA56" s="26">
        <f>SUMIFS(Verlauf!$I$6:$I$1000,Verlauf!$B$6:$B$1000,$A56,Verlauf!$C$6:$C$1000,$B56)</f>
        <v>0</v>
      </c>
      <c r="AB56" s="26">
        <f>SUMIFS(Verlauf!$AA$6:$AA$1000,Verlauf!$B$6:$B$1000,$A56,Verlauf!$C$6:$C$1000,$B56)</f>
        <v>0</v>
      </c>
      <c r="AC56" s="26">
        <f>SUMIFS(Verlauf!$AB$6:$AB$1000,Verlauf!$B$6:$B$1000,$A56,Verlauf!$C$6:$C$1000,$B56)</f>
        <v>0</v>
      </c>
      <c r="AD56" s="26">
        <f>SUMIFS(Verlauf!$AC$6:$AC$1000,Verlauf!$B$6:$B$1000,$A56,Verlauf!$C$6:$C$1000,$B56)</f>
        <v>0</v>
      </c>
      <c r="AE56" s="26">
        <f>SUMIFS(Verlauf!$S$6:$S$1000,Verlauf!$B$6:$B$1000,$A56,Verlauf!$C$6:$C$1000,$B56)</f>
        <v>0</v>
      </c>
      <c r="AF56" s="26" t="str">
        <f>IF($AN56="","",INDEX(Verlauf!$D$6:$D$1000,MATCH($AN56,Verlauf!$A$6:$A$1000,0)))</f>
        <v/>
      </c>
      <c r="AG56" s="26" t="str">
        <f>IF($AN56="","",INDEX(Verlauf!$E$6:$E$1000,MATCH($AN56,Verlauf!$A$6:$A$1000,0)))</f>
        <v/>
      </c>
      <c r="AH56" s="26" t="str">
        <f>IF($AN56="","",INDEX(Verlauf!$F$6:$F$1000,MATCH($AN56,Verlauf!$A$6:$A$1000,0)))</f>
        <v/>
      </c>
      <c r="AI56" s="26" t="str">
        <f>IF($AN56="","",INDEX(Verlauf!$H$6:$H$1000,MATCH($AN56,Verlauf!$A$6:$A$1000,0)))</f>
        <v/>
      </c>
      <c r="AJ56" s="26" t="str">
        <f>IF($AN56="","",INDEX(Verlauf!$N$6:$N$1000,MATCH($AN56,Verlauf!$A$6:$A$1000,0)))</f>
        <v/>
      </c>
      <c r="AK56" s="26" t="str">
        <f>IF($AN56="","",INDEX(Verlauf!$O$6:$O$1000,MATCH($AN56,Verlauf!$A$6:$A$1000,0)))</f>
        <v/>
      </c>
      <c r="AL56" s="26" t="str">
        <f>IF($AN56="","",INDEX(Verlauf!$P$6:$P$1000,MATCH($AN56,Verlauf!$A$6:$A$1000,0)))</f>
        <v/>
      </c>
      <c r="AM56" s="26" t="str">
        <f>IF($AN56="","",INDEX(Verlauf!$R$6:$R$1000,MATCH($AN56,Verlauf!$A$6:$A$1000,0)))</f>
        <v/>
      </c>
      <c r="AN56" s="28" t="str">
        <f>IF(U56&gt;0,_xlfn.MAXIFS(Verlauf!$A$6:$A$1000,Verlauf!$B$6:$B$1000,$A56,Verlauf!$C$6:$C$1000,$B56),"")</f>
        <v/>
      </c>
    </row>
    <row r="57" spans="1:40" x14ac:dyDescent="0.25">
      <c r="A57" s="26">
        <v>2027</v>
      </c>
      <c r="B57" s="26">
        <v>28</v>
      </c>
      <c r="C57" s="7" t="str">
        <f t="shared" si="0"/>
        <v>KW 28/27</v>
      </c>
      <c r="D57" s="26">
        <f>SUMIFS(Verlauf!$K$6:$K$1000,Verlauf!$B$6:$B$1000,$A57,Verlauf!$C$6:$C$1000,$B57)</f>
        <v>0</v>
      </c>
      <c r="E57" s="26">
        <f>SUMIFS(Verlauf!$L$6:$L$1000,Verlauf!$B$6:$B$1000,$A57,Verlauf!$C$6:$C$1000,$B57)</f>
        <v>0</v>
      </c>
      <c r="F57" s="26">
        <f>SUMIFS(Verlauf!$M$6:$M$1000,Verlauf!$B$6:$B$1000,$A57,Verlauf!$C$6:$C$1000,$B57)</f>
        <v>0</v>
      </c>
      <c r="G57" s="26">
        <f>SUMIFS(Verlauf!$J$6:$J$1000,Verlauf!$B$6:$B$1000,$A57,Verlauf!$C$6:$C$1000,$B57)</f>
        <v>0</v>
      </c>
      <c r="H57" s="26">
        <f>SUMIFS(Verlauf!$U$6:$U$1000,Verlauf!$B$6:$B$1000,$A57,Verlauf!$C$6:$C$1000,$B57)</f>
        <v>0</v>
      </c>
      <c r="I57" s="26">
        <f>SUMIFS(Verlauf!$V$6:$V$1000,Verlauf!$B$6:$B$1000,$A57,Verlauf!$C$6:$C$1000,$B57)</f>
        <v>0</v>
      </c>
      <c r="J57" s="26">
        <f>SUMIFS(Verlauf!$W$6:$W$1000,Verlauf!$B$6:$B$1000,$A57,Verlauf!$C$6:$C$1000,$B57)</f>
        <v>0</v>
      </c>
      <c r="K57" s="26">
        <f>SUMIFS(Verlauf!$T$6:$T$1000,Verlauf!$B$6:$B$1000,$A57,Verlauf!$C$6:$C$1000,$B57)</f>
        <v>0</v>
      </c>
      <c r="L57" s="27">
        <f>IF(Filter!$T$7=TRUE,IFERROR(INDEX(Planung!$D$68:$IA$68,MATCH($W57,Wirksam!$D$6:$IA$6,0)),0),0)</f>
        <v>0</v>
      </c>
      <c r="M57" s="27">
        <f>IF(OR(Filter!$T$5=TRUE,Filter!$T$6=TRUE),IFERROR(INDEX(Planung!$D$69:$IA$69,MATCH($W57,Wirksam!$D$6:$IA$6,0)),0),0)</f>
        <v>0</v>
      </c>
      <c r="N57" s="27">
        <f t="shared" si="1"/>
        <v>0</v>
      </c>
      <c r="O57" s="27" t="e">
        <f t="shared" si="2"/>
        <v>#N/A</v>
      </c>
      <c r="P57" s="27" t="e">
        <f t="shared" si="3"/>
        <v>#N/A</v>
      </c>
      <c r="Q57" s="27" t="e">
        <f t="shared" si="4"/>
        <v>#N/A</v>
      </c>
      <c r="R57" s="27" t="e">
        <f t="shared" si="5"/>
        <v>#N/A</v>
      </c>
      <c r="S57" s="27" t="e">
        <f t="shared" si="6"/>
        <v>#N/A</v>
      </c>
      <c r="T57" s="27" t="e">
        <f t="shared" si="7"/>
        <v>#N/A</v>
      </c>
      <c r="U57" s="26">
        <f>COUNTIFS(Verlauf!$B$6:$B$1000,$A57,Verlauf!$C$6:$C$1000,$B57)</f>
        <v>0</v>
      </c>
      <c r="V57" s="26">
        <f t="shared" si="8"/>
        <v>0</v>
      </c>
      <c r="W57" s="26">
        <f t="shared" si="9"/>
        <v>202728</v>
      </c>
      <c r="X57" s="26">
        <f>SUMIFS(Verlauf!$X$6:$X$1000,Verlauf!$B$6:$B$1000,$A57,Verlauf!$C$6:$C$1000,$B57)</f>
        <v>0</v>
      </c>
      <c r="Y57" s="26">
        <f>SUMIFS(Verlauf!$Y$6:$Y$1000,Verlauf!$B$6:$B$1000,$A57,Verlauf!$C$6:$C$1000,$B57)</f>
        <v>0</v>
      </c>
      <c r="Z57" s="26">
        <f>SUMIFS(Verlauf!$Z$6:$Z$1000,Verlauf!$B$6:$B$1000,$A57,Verlauf!$C$6:$C$1000,$B57)</f>
        <v>0</v>
      </c>
      <c r="AA57" s="26">
        <f>SUMIFS(Verlauf!$I$6:$I$1000,Verlauf!$B$6:$B$1000,$A57,Verlauf!$C$6:$C$1000,$B57)</f>
        <v>0</v>
      </c>
      <c r="AB57" s="26">
        <f>SUMIFS(Verlauf!$AA$6:$AA$1000,Verlauf!$B$6:$B$1000,$A57,Verlauf!$C$6:$C$1000,$B57)</f>
        <v>0</v>
      </c>
      <c r="AC57" s="26">
        <f>SUMIFS(Verlauf!$AB$6:$AB$1000,Verlauf!$B$6:$B$1000,$A57,Verlauf!$C$6:$C$1000,$B57)</f>
        <v>0</v>
      </c>
      <c r="AD57" s="26">
        <f>SUMIFS(Verlauf!$AC$6:$AC$1000,Verlauf!$B$6:$B$1000,$A57,Verlauf!$C$6:$C$1000,$B57)</f>
        <v>0</v>
      </c>
      <c r="AE57" s="26">
        <f>SUMIFS(Verlauf!$S$6:$S$1000,Verlauf!$B$6:$B$1000,$A57,Verlauf!$C$6:$C$1000,$B57)</f>
        <v>0</v>
      </c>
      <c r="AF57" s="26" t="str">
        <f>IF($AN57="","",INDEX(Verlauf!$D$6:$D$1000,MATCH($AN57,Verlauf!$A$6:$A$1000,0)))</f>
        <v/>
      </c>
      <c r="AG57" s="26" t="str">
        <f>IF($AN57="","",INDEX(Verlauf!$E$6:$E$1000,MATCH($AN57,Verlauf!$A$6:$A$1000,0)))</f>
        <v/>
      </c>
      <c r="AH57" s="26" t="str">
        <f>IF($AN57="","",INDEX(Verlauf!$F$6:$F$1000,MATCH($AN57,Verlauf!$A$6:$A$1000,0)))</f>
        <v/>
      </c>
      <c r="AI57" s="26" t="str">
        <f>IF($AN57="","",INDEX(Verlauf!$H$6:$H$1000,MATCH($AN57,Verlauf!$A$6:$A$1000,0)))</f>
        <v/>
      </c>
      <c r="AJ57" s="26" t="str">
        <f>IF($AN57="","",INDEX(Verlauf!$N$6:$N$1000,MATCH($AN57,Verlauf!$A$6:$A$1000,0)))</f>
        <v/>
      </c>
      <c r="AK57" s="26" t="str">
        <f>IF($AN57="","",INDEX(Verlauf!$O$6:$O$1000,MATCH($AN57,Verlauf!$A$6:$A$1000,0)))</f>
        <v/>
      </c>
      <c r="AL57" s="26" t="str">
        <f>IF($AN57="","",INDEX(Verlauf!$P$6:$P$1000,MATCH($AN57,Verlauf!$A$6:$A$1000,0)))</f>
        <v/>
      </c>
      <c r="AM57" s="26" t="str">
        <f>IF($AN57="","",INDEX(Verlauf!$R$6:$R$1000,MATCH($AN57,Verlauf!$A$6:$A$1000,0)))</f>
        <v/>
      </c>
      <c r="AN57" s="28" t="str">
        <f>IF(U57&gt;0,_xlfn.MAXIFS(Verlauf!$A$6:$A$1000,Verlauf!$B$6:$B$1000,$A57,Verlauf!$C$6:$C$1000,$B57),"")</f>
        <v/>
      </c>
    </row>
    <row r="58" spans="1:40" x14ac:dyDescent="0.25">
      <c r="A58" s="26">
        <v>2027</v>
      </c>
      <c r="B58" s="26">
        <v>29</v>
      </c>
      <c r="C58" s="7" t="str">
        <f t="shared" si="0"/>
        <v>KW 29/27</v>
      </c>
      <c r="D58" s="26">
        <f>SUMIFS(Verlauf!$K$6:$K$1000,Verlauf!$B$6:$B$1000,$A58,Verlauf!$C$6:$C$1000,$B58)</f>
        <v>0</v>
      </c>
      <c r="E58" s="26">
        <f>SUMIFS(Verlauf!$L$6:$L$1000,Verlauf!$B$6:$B$1000,$A58,Verlauf!$C$6:$C$1000,$B58)</f>
        <v>0</v>
      </c>
      <c r="F58" s="26">
        <f>SUMIFS(Verlauf!$M$6:$M$1000,Verlauf!$B$6:$B$1000,$A58,Verlauf!$C$6:$C$1000,$B58)</f>
        <v>0</v>
      </c>
      <c r="G58" s="26">
        <f>SUMIFS(Verlauf!$J$6:$J$1000,Verlauf!$B$6:$B$1000,$A58,Verlauf!$C$6:$C$1000,$B58)</f>
        <v>0</v>
      </c>
      <c r="H58" s="26">
        <f>SUMIFS(Verlauf!$U$6:$U$1000,Verlauf!$B$6:$B$1000,$A58,Verlauf!$C$6:$C$1000,$B58)</f>
        <v>0</v>
      </c>
      <c r="I58" s="26">
        <f>SUMIFS(Verlauf!$V$6:$V$1000,Verlauf!$B$6:$B$1000,$A58,Verlauf!$C$6:$C$1000,$B58)</f>
        <v>0</v>
      </c>
      <c r="J58" s="26">
        <f>SUMIFS(Verlauf!$W$6:$W$1000,Verlauf!$B$6:$B$1000,$A58,Verlauf!$C$6:$C$1000,$B58)</f>
        <v>0</v>
      </c>
      <c r="K58" s="26">
        <f>SUMIFS(Verlauf!$T$6:$T$1000,Verlauf!$B$6:$B$1000,$A58,Verlauf!$C$6:$C$1000,$B58)</f>
        <v>0</v>
      </c>
      <c r="L58" s="27">
        <f>IF(Filter!$T$7=TRUE,IFERROR(INDEX(Planung!$D$68:$IA$68,MATCH($W58,Wirksam!$D$6:$IA$6,0)),0),0)</f>
        <v>0</v>
      </c>
      <c r="M58" s="27">
        <f>IF(OR(Filter!$T$5=TRUE,Filter!$T$6=TRUE),IFERROR(INDEX(Planung!$D$69:$IA$69,MATCH($W58,Wirksam!$D$6:$IA$6,0)),0),0)</f>
        <v>0</v>
      </c>
      <c r="N58" s="27">
        <f t="shared" si="1"/>
        <v>0</v>
      </c>
      <c r="O58" s="27" t="e">
        <f t="shared" si="2"/>
        <v>#N/A</v>
      </c>
      <c r="P58" s="27" t="e">
        <f t="shared" si="3"/>
        <v>#N/A</v>
      </c>
      <c r="Q58" s="27" t="e">
        <f t="shared" si="4"/>
        <v>#N/A</v>
      </c>
      <c r="R58" s="27" t="e">
        <f t="shared" si="5"/>
        <v>#N/A</v>
      </c>
      <c r="S58" s="27" t="e">
        <f t="shared" si="6"/>
        <v>#N/A</v>
      </c>
      <c r="T58" s="27" t="e">
        <f t="shared" si="7"/>
        <v>#N/A</v>
      </c>
      <c r="U58" s="26">
        <f>COUNTIFS(Verlauf!$B$6:$B$1000,$A58,Verlauf!$C$6:$C$1000,$B58)</f>
        <v>0</v>
      </c>
      <c r="V58" s="26">
        <f t="shared" si="8"/>
        <v>0</v>
      </c>
      <c r="W58" s="26">
        <f t="shared" si="9"/>
        <v>202729</v>
      </c>
      <c r="X58" s="26">
        <f>SUMIFS(Verlauf!$X$6:$X$1000,Verlauf!$B$6:$B$1000,$A58,Verlauf!$C$6:$C$1000,$B58)</f>
        <v>0</v>
      </c>
      <c r="Y58" s="26">
        <f>SUMIFS(Verlauf!$Y$6:$Y$1000,Verlauf!$B$6:$B$1000,$A58,Verlauf!$C$6:$C$1000,$B58)</f>
        <v>0</v>
      </c>
      <c r="Z58" s="26">
        <f>SUMIFS(Verlauf!$Z$6:$Z$1000,Verlauf!$B$6:$B$1000,$A58,Verlauf!$C$6:$C$1000,$B58)</f>
        <v>0</v>
      </c>
      <c r="AA58" s="26">
        <f>SUMIFS(Verlauf!$I$6:$I$1000,Verlauf!$B$6:$B$1000,$A58,Verlauf!$C$6:$C$1000,$B58)</f>
        <v>0</v>
      </c>
      <c r="AB58" s="26">
        <f>SUMIFS(Verlauf!$AA$6:$AA$1000,Verlauf!$B$6:$B$1000,$A58,Verlauf!$C$6:$C$1000,$B58)</f>
        <v>0</v>
      </c>
      <c r="AC58" s="26">
        <f>SUMIFS(Verlauf!$AB$6:$AB$1000,Verlauf!$B$6:$B$1000,$A58,Verlauf!$C$6:$C$1000,$B58)</f>
        <v>0</v>
      </c>
      <c r="AD58" s="26">
        <f>SUMIFS(Verlauf!$AC$6:$AC$1000,Verlauf!$B$6:$B$1000,$A58,Verlauf!$C$6:$C$1000,$B58)</f>
        <v>0</v>
      </c>
      <c r="AE58" s="26">
        <f>SUMIFS(Verlauf!$S$6:$S$1000,Verlauf!$B$6:$B$1000,$A58,Verlauf!$C$6:$C$1000,$B58)</f>
        <v>0</v>
      </c>
      <c r="AF58" s="26" t="str">
        <f>IF($AN58="","",INDEX(Verlauf!$D$6:$D$1000,MATCH($AN58,Verlauf!$A$6:$A$1000,0)))</f>
        <v/>
      </c>
      <c r="AG58" s="26" t="str">
        <f>IF($AN58="","",INDEX(Verlauf!$E$6:$E$1000,MATCH($AN58,Verlauf!$A$6:$A$1000,0)))</f>
        <v/>
      </c>
      <c r="AH58" s="26" t="str">
        <f>IF($AN58="","",INDEX(Verlauf!$F$6:$F$1000,MATCH($AN58,Verlauf!$A$6:$A$1000,0)))</f>
        <v/>
      </c>
      <c r="AI58" s="26" t="str">
        <f>IF($AN58="","",INDEX(Verlauf!$H$6:$H$1000,MATCH($AN58,Verlauf!$A$6:$A$1000,0)))</f>
        <v/>
      </c>
      <c r="AJ58" s="26" t="str">
        <f>IF($AN58="","",INDEX(Verlauf!$N$6:$N$1000,MATCH($AN58,Verlauf!$A$6:$A$1000,0)))</f>
        <v/>
      </c>
      <c r="AK58" s="26" t="str">
        <f>IF($AN58="","",INDEX(Verlauf!$O$6:$O$1000,MATCH($AN58,Verlauf!$A$6:$A$1000,0)))</f>
        <v/>
      </c>
      <c r="AL58" s="26" t="str">
        <f>IF($AN58="","",INDEX(Verlauf!$P$6:$P$1000,MATCH($AN58,Verlauf!$A$6:$A$1000,0)))</f>
        <v/>
      </c>
      <c r="AM58" s="26" t="str">
        <f>IF($AN58="","",INDEX(Verlauf!$R$6:$R$1000,MATCH($AN58,Verlauf!$A$6:$A$1000,0)))</f>
        <v/>
      </c>
      <c r="AN58" s="28" t="str">
        <f>IF(U58&gt;0,_xlfn.MAXIFS(Verlauf!$A$6:$A$1000,Verlauf!$B$6:$B$1000,$A58,Verlauf!$C$6:$C$1000,$B58),"")</f>
        <v/>
      </c>
    </row>
    <row r="59" spans="1:40" x14ac:dyDescent="0.25">
      <c r="A59" s="26">
        <v>2027</v>
      </c>
      <c r="B59" s="26">
        <v>30</v>
      </c>
      <c r="C59" s="7" t="str">
        <f t="shared" si="0"/>
        <v>KW 30/27</v>
      </c>
      <c r="D59" s="26">
        <f>SUMIFS(Verlauf!$K$6:$K$1000,Verlauf!$B$6:$B$1000,$A59,Verlauf!$C$6:$C$1000,$B59)</f>
        <v>0</v>
      </c>
      <c r="E59" s="26">
        <f>SUMIFS(Verlauf!$L$6:$L$1000,Verlauf!$B$6:$B$1000,$A59,Verlauf!$C$6:$C$1000,$B59)</f>
        <v>0</v>
      </c>
      <c r="F59" s="26">
        <f>SUMIFS(Verlauf!$M$6:$M$1000,Verlauf!$B$6:$B$1000,$A59,Verlauf!$C$6:$C$1000,$B59)</f>
        <v>0</v>
      </c>
      <c r="G59" s="26">
        <f>SUMIFS(Verlauf!$J$6:$J$1000,Verlauf!$B$6:$B$1000,$A59,Verlauf!$C$6:$C$1000,$B59)</f>
        <v>0</v>
      </c>
      <c r="H59" s="26">
        <f>SUMIFS(Verlauf!$U$6:$U$1000,Verlauf!$B$6:$B$1000,$A59,Verlauf!$C$6:$C$1000,$B59)</f>
        <v>0</v>
      </c>
      <c r="I59" s="26">
        <f>SUMIFS(Verlauf!$V$6:$V$1000,Verlauf!$B$6:$B$1000,$A59,Verlauf!$C$6:$C$1000,$B59)</f>
        <v>0</v>
      </c>
      <c r="J59" s="26">
        <f>SUMIFS(Verlauf!$W$6:$W$1000,Verlauf!$B$6:$B$1000,$A59,Verlauf!$C$6:$C$1000,$B59)</f>
        <v>0</v>
      </c>
      <c r="K59" s="26">
        <f>SUMIFS(Verlauf!$T$6:$T$1000,Verlauf!$B$6:$B$1000,$A59,Verlauf!$C$6:$C$1000,$B59)</f>
        <v>0</v>
      </c>
      <c r="L59" s="27">
        <f>IF(Filter!$T$7=TRUE,IFERROR(INDEX(Planung!$D$68:$IA$68,MATCH($W59,Wirksam!$D$6:$IA$6,0)),0),0)</f>
        <v>0</v>
      </c>
      <c r="M59" s="27">
        <f>IF(OR(Filter!$T$5=TRUE,Filter!$T$6=TRUE),IFERROR(INDEX(Planung!$D$69:$IA$69,MATCH($W59,Wirksam!$D$6:$IA$6,0)),0),0)</f>
        <v>0</v>
      </c>
      <c r="N59" s="27">
        <f t="shared" si="1"/>
        <v>0</v>
      </c>
      <c r="O59" s="27" t="e">
        <f t="shared" si="2"/>
        <v>#N/A</v>
      </c>
      <c r="P59" s="27" t="e">
        <f t="shared" si="3"/>
        <v>#N/A</v>
      </c>
      <c r="Q59" s="27" t="e">
        <f t="shared" si="4"/>
        <v>#N/A</v>
      </c>
      <c r="R59" s="27" t="e">
        <f t="shared" si="5"/>
        <v>#N/A</v>
      </c>
      <c r="S59" s="27" t="e">
        <f t="shared" si="6"/>
        <v>#N/A</v>
      </c>
      <c r="T59" s="27" t="e">
        <f t="shared" si="7"/>
        <v>#N/A</v>
      </c>
      <c r="U59" s="26">
        <f>COUNTIFS(Verlauf!$B$6:$B$1000,$A59,Verlauf!$C$6:$C$1000,$B59)</f>
        <v>0</v>
      </c>
      <c r="V59" s="26">
        <f t="shared" si="8"/>
        <v>0</v>
      </c>
      <c r="W59" s="26">
        <f t="shared" si="9"/>
        <v>202730</v>
      </c>
      <c r="X59" s="26">
        <f>SUMIFS(Verlauf!$X$6:$X$1000,Verlauf!$B$6:$B$1000,$A59,Verlauf!$C$6:$C$1000,$B59)</f>
        <v>0</v>
      </c>
      <c r="Y59" s="26">
        <f>SUMIFS(Verlauf!$Y$6:$Y$1000,Verlauf!$B$6:$B$1000,$A59,Verlauf!$C$6:$C$1000,$B59)</f>
        <v>0</v>
      </c>
      <c r="Z59" s="26">
        <f>SUMIFS(Verlauf!$Z$6:$Z$1000,Verlauf!$B$6:$B$1000,$A59,Verlauf!$C$6:$C$1000,$B59)</f>
        <v>0</v>
      </c>
      <c r="AA59" s="26">
        <f>SUMIFS(Verlauf!$I$6:$I$1000,Verlauf!$B$6:$B$1000,$A59,Verlauf!$C$6:$C$1000,$B59)</f>
        <v>0</v>
      </c>
      <c r="AB59" s="26">
        <f>SUMIFS(Verlauf!$AA$6:$AA$1000,Verlauf!$B$6:$B$1000,$A59,Verlauf!$C$6:$C$1000,$B59)</f>
        <v>0</v>
      </c>
      <c r="AC59" s="26">
        <f>SUMIFS(Verlauf!$AB$6:$AB$1000,Verlauf!$B$6:$B$1000,$A59,Verlauf!$C$6:$C$1000,$B59)</f>
        <v>0</v>
      </c>
      <c r="AD59" s="26">
        <f>SUMIFS(Verlauf!$AC$6:$AC$1000,Verlauf!$B$6:$B$1000,$A59,Verlauf!$C$6:$C$1000,$B59)</f>
        <v>0</v>
      </c>
      <c r="AE59" s="26">
        <f>SUMIFS(Verlauf!$S$6:$S$1000,Verlauf!$B$6:$B$1000,$A59,Verlauf!$C$6:$C$1000,$B59)</f>
        <v>0</v>
      </c>
      <c r="AF59" s="26" t="str">
        <f>IF($AN59="","",INDEX(Verlauf!$D$6:$D$1000,MATCH($AN59,Verlauf!$A$6:$A$1000,0)))</f>
        <v/>
      </c>
      <c r="AG59" s="26" t="str">
        <f>IF($AN59="","",INDEX(Verlauf!$E$6:$E$1000,MATCH($AN59,Verlauf!$A$6:$A$1000,0)))</f>
        <v/>
      </c>
      <c r="AH59" s="26" t="str">
        <f>IF($AN59="","",INDEX(Verlauf!$F$6:$F$1000,MATCH($AN59,Verlauf!$A$6:$A$1000,0)))</f>
        <v/>
      </c>
      <c r="AI59" s="26" t="str">
        <f>IF($AN59="","",INDEX(Verlauf!$H$6:$H$1000,MATCH($AN59,Verlauf!$A$6:$A$1000,0)))</f>
        <v/>
      </c>
      <c r="AJ59" s="26" t="str">
        <f>IF($AN59="","",INDEX(Verlauf!$N$6:$N$1000,MATCH($AN59,Verlauf!$A$6:$A$1000,0)))</f>
        <v/>
      </c>
      <c r="AK59" s="26" t="str">
        <f>IF($AN59="","",INDEX(Verlauf!$O$6:$O$1000,MATCH($AN59,Verlauf!$A$6:$A$1000,0)))</f>
        <v/>
      </c>
      <c r="AL59" s="26" t="str">
        <f>IF($AN59="","",INDEX(Verlauf!$P$6:$P$1000,MATCH($AN59,Verlauf!$A$6:$A$1000,0)))</f>
        <v/>
      </c>
      <c r="AM59" s="26" t="str">
        <f>IF($AN59="","",INDEX(Verlauf!$R$6:$R$1000,MATCH($AN59,Verlauf!$A$6:$A$1000,0)))</f>
        <v/>
      </c>
      <c r="AN59" s="28" t="str">
        <f>IF(U59&gt;0,_xlfn.MAXIFS(Verlauf!$A$6:$A$1000,Verlauf!$B$6:$B$1000,$A59,Verlauf!$C$6:$C$1000,$B59),"")</f>
        <v/>
      </c>
    </row>
    <row r="60" spans="1:40" x14ac:dyDescent="0.25">
      <c r="A60" s="26">
        <v>2027</v>
      </c>
      <c r="B60" s="26">
        <v>31</v>
      </c>
      <c r="C60" s="7" t="str">
        <f t="shared" si="0"/>
        <v>KW 31/27</v>
      </c>
      <c r="D60" s="26">
        <f>SUMIFS(Verlauf!$K$6:$K$1000,Verlauf!$B$6:$B$1000,$A60,Verlauf!$C$6:$C$1000,$B60)</f>
        <v>0</v>
      </c>
      <c r="E60" s="26">
        <f>SUMIFS(Verlauf!$L$6:$L$1000,Verlauf!$B$6:$B$1000,$A60,Verlauf!$C$6:$C$1000,$B60)</f>
        <v>0</v>
      </c>
      <c r="F60" s="26">
        <f>SUMIFS(Verlauf!$M$6:$M$1000,Verlauf!$B$6:$B$1000,$A60,Verlauf!$C$6:$C$1000,$B60)</f>
        <v>0</v>
      </c>
      <c r="G60" s="26">
        <f>SUMIFS(Verlauf!$J$6:$J$1000,Verlauf!$B$6:$B$1000,$A60,Verlauf!$C$6:$C$1000,$B60)</f>
        <v>0</v>
      </c>
      <c r="H60" s="26">
        <f>SUMIFS(Verlauf!$U$6:$U$1000,Verlauf!$B$6:$B$1000,$A60,Verlauf!$C$6:$C$1000,$B60)</f>
        <v>0</v>
      </c>
      <c r="I60" s="26">
        <f>SUMIFS(Verlauf!$V$6:$V$1000,Verlauf!$B$6:$B$1000,$A60,Verlauf!$C$6:$C$1000,$B60)</f>
        <v>0</v>
      </c>
      <c r="J60" s="26">
        <f>SUMIFS(Verlauf!$W$6:$W$1000,Verlauf!$B$6:$B$1000,$A60,Verlauf!$C$6:$C$1000,$B60)</f>
        <v>0</v>
      </c>
      <c r="K60" s="26">
        <f>SUMIFS(Verlauf!$T$6:$T$1000,Verlauf!$B$6:$B$1000,$A60,Verlauf!$C$6:$C$1000,$B60)</f>
        <v>0</v>
      </c>
      <c r="L60" s="27">
        <f>IF(Filter!$T$7=TRUE,IFERROR(INDEX(Planung!$D$68:$IA$68,MATCH($W60,Wirksam!$D$6:$IA$6,0)),0),0)</f>
        <v>0</v>
      </c>
      <c r="M60" s="27">
        <f>IF(OR(Filter!$T$5=TRUE,Filter!$T$6=TRUE),IFERROR(INDEX(Planung!$D$69:$IA$69,MATCH($W60,Wirksam!$D$6:$IA$6,0)),0),0)</f>
        <v>0</v>
      </c>
      <c r="N60" s="27">
        <f t="shared" si="1"/>
        <v>0</v>
      </c>
      <c r="O60" s="27" t="e">
        <f t="shared" si="2"/>
        <v>#N/A</v>
      </c>
      <c r="P60" s="27" t="e">
        <f t="shared" si="3"/>
        <v>#N/A</v>
      </c>
      <c r="Q60" s="27" t="e">
        <f t="shared" si="4"/>
        <v>#N/A</v>
      </c>
      <c r="R60" s="27" t="e">
        <f t="shared" si="5"/>
        <v>#N/A</v>
      </c>
      <c r="S60" s="27" t="e">
        <f t="shared" si="6"/>
        <v>#N/A</v>
      </c>
      <c r="T60" s="27" t="e">
        <f t="shared" si="7"/>
        <v>#N/A</v>
      </c>
      <c r="U60" s="26">
        <f>COUNTIFS(Verlauf!$B$6:$B$1000,$A60,Verlauf!$C$6:$C$1000,$B60)</f>
        <v>0</v>
      </c>
      <c r="V60" s="26">
        <f t="shared" si="8"/>
        <v>0</v>
      </c>
      <c r="W60" s="26">
        <f t="shared" si="9"/>
        <v>202731</v>
      </c>
      <c r="X60" s="26">
        <f>SUMIFS(Verlauf!$X$6:$X$1000,Verlauf!$B$6:$B$1000,$A60,Verlauf!$C$6:$C$1000,$B60)</f>
        <v>0</v>
      </c>
      <c r="Y60" s="26">
        <f>SUMIFS(Verlauf!$Y$6:$Y$1000,Verlauf!$B$6:$B$1000,$A60,Verlauf!$C$6:$C$1000,$B60)</f>
        <v>0</v>
      </c>
      <c r="Z60" s="26">
        <f>SUMIFS(Verlauf!$Z$6:$Z$1000,Verlauf!$B$6:$B$1000,$A60,Verlauf!$C$6:$C$1000,$B60)</f>
        <v>0</v>
      </c>
      <c r="AA60" s="26">
        <f>SUMIFS(Verlauf!$I$6:$I$1000,Verlauf!$B$6:$B$1000,$A60,Verlauf!$C$6:$C$1000,$B60)</f>
        <v>0</v>
      </c>
      <c r="AB60" s="26">
        <f>SUMIFS(Verlauf!$AA$6:$AA$1000,Verlauf!$B$6:$B$1000,$A60,Verlauf!$C$6:$C$1000,$B60)</f>
        <v>0</v>
      </c>
      <c r="AC60" s="26">
        <f>SUMIFS(Verlauf!$AB$6:$AB$1000,Verlauf!$B$6:$B$1000,$A60,Verlauf!$C$6:$C$1000,$B60)</f>
        <v>0</v>
      </c>
      <c r="AD60" s="26">
        <f>SUMIFS(Verlauf!$AC$6:$AC$1000,Verlauf!$B$6:$B$1000,$A60,Verlauf!$C$6:$C$1000,$B60)</f>
        <v>0</v>
      </c>
      <c r="AE60" s="26">
        <f>SUMIFS(Verlauf!$S$6:$S$1000,Verlauf!$B$6:$B$1000,$A60,Verlauf!$C$6:$C$1000,$B60)</f>
        <v>0</v>
      </c>
      <c r="AF60" s="26" t="str">
        <f>IF($AN60="","",INDEX(Verlauf!$D$6:$D$1000,MATCH($AN60,Verlauf!$A$6:$A$1000,0)))</f>
        <v/>
      </c>
      <c r="AG60" s="26" t="str">
        <f>IF($AN60="","",INDEX(Verlauf!$E$6:$E$1000,MATCH($AN60,Verlauf!$A$6:$A$1000,0)))</f>
        <v/>
      </c>
      <c r="AH60" s="26" t="str">
        <f>IF($AN60="","",INDEX(Verlauf!$F$6:$F$1000,MATCH($AN60,Verlauf!$A$6:$A$1000,0)))</f>
        <v/>
      </c>
      <c r="AI60" s="26" t="str">
        <f>IF($AN60="","",INDEX(Verlauf!$H$6:$H$1000,MATCH($AN60,Verlauf!$A$6:$A$1000,0)))</f>
        <v/>
      </c>
      <c r="AJ60" s="26" t="str">
        <f>IF($AN60="","",INDEX(Verlauf!$N$6:$N$1000,MATCH($AN60,Verlauf!$A$6:$A$1000,0)))</f>
        <v/>
      </c>
      <c r="AK60" s="26" t="str">
        <f>IF($AN60="","",INDEX(Verlauf!$O$6:$O$1000,MATCH($AN60,Verlauf!$A$6:$A$1000,0)))</f>
        <v/>
      </c>
      <c r="AL60" s="26" t="str">
        <f>IF($AN60="","",INDEX(Verlauf!$P$6:$P$1000,MATCH($AN60,Verlauf!$A$6:$A$1000,0)))</f>
        <v/>
      </c>
      <c r="AM60" s="26" t="str">
        <f>IF($AN60="","",INDEX(Verlauf!$R$6:$R$1000,MATCH($AN60,Verlauf!$A$6:$A$1000,0)))</f>
        <v/>
      </c>
      <c r="AN60" s="28" t="str">
        <f>IF(U60&gt;0,_xlfn.MAXIFS(Verlauf!$A$6:$A$1000,Verlauf!$B$6:$B$1000,$A60,Verlauf!$C$6:$C$1000,$B60),"")</f>
        <v/>
      </c>
    </row>
    <row r="61" spans="1:40" x14ac:dyDescent="0.25">
      <c r="A61" s="26">
        <v>2027</v>
      </c>
      <c r="B61" s="26">
        <v>32</v>
      </c>
      <c r="C61" s="7" t="str">
        <f t="shared" si="0"/>
        <v>KW 32/27</v>
      </c>
      <c r="D61" s="26">
        <f>SUMIFS(Verlauf!$K$6:$K$1000,Verlauf!$B$6:$B$1000,$A61,Verlauf!$C$6:$C$1000,$B61)</f>
        <v>0</v>
      </c>
      <c r="E61" s="26">
        <f>SUMIFS(Verlauf!$L$6:$L$1000,Verlauf!$B$6:$B$1000,$A61,Verlauf!$C$6:$C$1000,$B61)</f>
        <v>0</v>
      </c>
      <c r="F61" s="26">
        <f>SUMIFS(Verlauf!$M$6:$M$1000,Verlauf!$B$6:$B$1000,$A61,Verlauf!$C$6:$C$1000,$B61)</f>
        <v>0</v>
      </c>
      <c r="G61" s="26">
        <f>SUMIFS(Verlauf!$J$6:$J$1000,Verlauf!$B$6:$B$1000,$A61,Verlauf!$C$6:$C$1000,$B61)</f>
        <v>0</v>
      </c>
      <c r="H61" s="26">
        <f>SUMIFS(Verlauf!$U$6:$U$1000,Verlauf!$B$6:$B$1000,$A61,Verlauf!$C$6:$C$1000,$B61)</f>
        <v>0</v>
      </c>
      <c r="I61" s="26">
        <f>SUMIFS(Verlauf!$V$6:$V$1000,Verlauf!$B$6:$B$1000,$A61,Verlauf!$C$6:$C$1000,$B61)</f>
        <v>0</v>
      </c>
      <c r="J61" s="26">
        <f>SUMIFS(Verlauf!$W$6:$W$1000,Verlauf!$B$6:$B$1000,$A61,Verlauf!$C$6:$C$1000,$B61)</f>
        <v>0</v>
      </c>
      <c r="K61" s="26">
        <f>SUMIFS(Verlauf!$T$6:$T$1000,Verlauf!$B$6:$B$1000,$A61,Verlauf!$C$6:$C$1000,$B61)</f>
        <v>0</v>
      </c>
      <c r="L61" s="27">
        <f>IF(Filter!$T$7=TRUE,IFERROR(INDEX(Planung!$D$68:$IA$68,MATCH($W61,Wirksam!$D$6:$IA$6,0)),0),0)</f>
        <v>0</v>
      </c>
      <c r="M61" s="27">
        <f>IF(OR(Filter!$T$5=TRUE,Filter!$T$6=TRUE),IFERROR(INDEX(Planung!$D$69:$IA$69,MATCH($W61,Wirksam!$D$6:$IA$6,0)),0),0)</f>
        <v>0</v>
      </c>
      <c r="N61" s="27">
        <f t="shared" si="1"/>
        <v>0</v>
      </c>
      <c r="O61" s="27" t="e">
        <f t="shared" si="2"/>
        <v>#N/A</v>
      </c>
      <c r="P61" s="27" t="e">
        <f t="shared" si="3"/>
        <v>#N/A</v>
      </c>
      <c r="Q61" s="27" t="e">
        <f t="shared" si="4"/>
        <v>#N/A</v>
      </c>
      <c r="R61" s="27" t="e">
        <f t="shared" si="5"/>
        <v>#N/A</v>
      </c>
      <c r="S61" s="27" t="e">
        <f t="shared" si="6"/>
        <v>#N/A</v>
      </c>
      <c r="T61" s="27" t="e">
        <f t="shared" si="7"/>
        <v>#N/A</v>
      </c>
      <c r="U61" s="26">
        <f>COUNTIFS(Verlauf!$B$6:$B$1000,$A61,Verlauf!$C$6:$C$1000,$B61)</f>
        <v>0</v>
      </c>
      <c r="V61" s="26">
        <f t="shared" si="8"/>
        <v>0</v>
      </c>
      <c r="W61" s="26">
        <f t="shared" si="9"/>
        <v>202732</v>
      </c>
      <c r="X61" s="26">
        <f>SUMIFS(Verlauf!$X$6:$X$1000,Verlauf!$B$6:$B$1000,$A61,Verlauf!$C$6:$C$1000,$B61)</f>
        <v>0</v>
      </c>
      <c r="Y61" s="26">
        <f>SUMIFS(Verlauf!$Y$6:$Y$1000,Verlauf!$B$6:$B$1000,$A61,Verlauf!$C$6:$C$1000,$B61)</f>
        <v>0</v>
      </c>
      <c r="Z61" s="26">
        <f>SUMIFS(Verlauf!$Z$6:$Z$1000,Verlauf!$B$6:$B$1000,$A61,Verlauf!$C$6:$C$1000,$B61)</f>
        <v>0</v>
      </c>
      <c r="AA61" s="26">
        <f>SUMIFS(Verlauf!$I$6:$I$1000,Verlauf!$B$6:$B$1000,$A61,Verlauf!$C$6:$C$1000,$B61)</f>
        <v>0</v>
      </c>
      <c r="AB61" s="26">
        <f>SUMIFS(Verlauf!$AA$6:$AA$1000,Verlauf!$B$6:$B$1000,$A61,Verlauf!$C$6:$C$1000,$B61)</f>
        <v>0</v>
      </c>
      <c r="AC61" s="26">
        <f>SUMIFS(Verlauf!$AB$6:$AB$1000,Verlauf!$B$6:$B$1000,$A61,Verlauf!$C$6:$C$1000,$B61)</f>
        <v>0</v>
      </c>
      <c r="AD61" s="26">
        <f>SUMIFS(Verlauf!$AC$6:$AC$1000,Verlauf!$B$6:$B$1000,$A61,Verlauf!$C$6:$C$1000,$B61)</f>
        <v>0</v>
      </c>
      <c r="AE61" s="26">
        <f>SUMIFS(Verlauf!$S$6:$S$1000,Verlauf!$B$6:$B$1000,$A61,Verlauf!$C$6:$C$1000,$B61)</f>
        <v>0</v>
      </c>
      <c r="AF61" s="26" t="str">
        <f>IF($AN61="","",INDEX(Verlauf!$D$6:$D$1000,MATCH($AN61,Verlauf!$A$6:$A$1000,0)))</f>
        <v/>
      </c>
      <c r="AG61" s="26" t="str">
        <f>IF($AN61="","",INDEX(Verlauf!$E$6:$E$1000,MATCH($AN61,Verlauf!$A$6:$A$1000,0)))</f>
        <v/>
      </c>
      <c r="AH61" s="26" t="str">
        <f>IF($AN61="","",INDEX(Verlauf!$F$6:$F$1000,MATCH($AN61,Verlauf!$A$6:$A$1000,0)))</f>
        <v/>
      </c>
      <c r="AI61" s="26" t="str">
        <f>IF($AN61="","",INDEX(Verlauf!$H$6:$H$1000,MATCH($AN61,Verlauf!$A$6:$A$1000,0)))</f>
        <v/>
      </c>
      <c r="AJ61" s="26" t="str">
        <f>IF($AN61="","",INDEX(Verlauf!$N$6:$N$1000,MATCH($AN61,Verlauf!$A$6:$A$1000,0)))</f>
        <v/>
      </c>
      <c r="AK61" s="26" t="str">
        <f>IF($AN61="","",INDEX(Verlauf!$O$6:$O$1000,MATCH($AN61,Verlauf!$A$6:$A$1000,0)))</f>
        <v/>
      </c>
      <c r="AL61" s="26" t="str">
        <f>IF($AN61="","",INDEX(Verlauf!$P$6:$P$1000,MATCH($AN61,Verlauf!$A$6:$A$1000,0)))</f>
        <v/>
      </c>
      <c r="AM61" s="26" t="str">
        <f>IF($AN61="","",INDEX(Verlauf!$R$6:$R$1000,MATCH($AN61,Verlauf!$A$6:$A$1000,0)))</f>
        <v/>
      </c>
      <c r="AN61" s="28" t="str">
        <f>IF(U61&gt;0,_xlfn.MAXIFS(Verlauf!$A$6:$A$1000,Verlauf!$B$6:$B$1000,$A61,Verlauf!$C$6:$C$1000,$B61),"")</f>
        <v/>
      </c>
    </row>
    <row r="62" spans="1:40" x14ac:dyDescent="0.25">
      <c r="A62" s="26">
        <v>2027</v>
      </c>
      <c r="B62" s="26">
        <v>33</v>
      </c>
      <c r="C62" s="7" t="str">
        <f t="shared" si="0"/>
        <v>KW 33/27</v>
      </c>
      <c r="D62" s="26">
        <f>SUMIFS(Verlauf!$K$6:$K$1000,Verlauf!$B$6:$B$1000,$A62,Verlauf!$C$6:$C$1000,$B62)</f>
        <v>0</v>
      </c>
      <c r="E62" s="26">
        <f>SUMIFS(Verlauf!$L$6:$L$1000,Verlauf!$B$6:$B$1000,$A62,Verlauf!$C$6:$C$1000,$B62)</f>
        <v>0</v>
      </c>
      <c r="F62" s="26">
        <f>SUMIFS(Verlauf!$M$6:$M$1000,Verlauf!$B$6:$B$1000,$A62,Verlauf!$C$6:$C$1000,$B62)</f>
        <v>0</v>
      </c>
      <c r="G62" s="26">
        <f>SUMIFS(Verlauf!$J$6:$J$1000,Verlauf!$B$6:$B$1000,$A62,Verlauf!$C$6:$C$1000,$B62)</f>
        <v>0</v>
      </c>
      <c r="H62" s="26">
        <f>SUMIFS(Verlauf!$U$6:$U$1000,Verlauf!$B$6:$B$1000,$A62,Verlauf!$C$6:$C$1000,$B62)</f>
        <v>0</v>
      </c>
      <c r="I62" s="26">
        <f>SUMIFS(Verlauf!$V$6:$V$1000,Verlauf!$B$6:$B$1000,$A62,Verlauf!$C$6:$C$1000,$B62)</f>
        <v>0</v>
      </c>
      <c r="J62" s="26">
        <f>SUMIFS(Verlauf!$W$6:$W$1000,Verlauf!$B$6:$B$1000,$A62,Verlauf!$C$6:$C$1000,$B62)</f>
        <v>0</v>
      </c>
      <c r="K62" s="26">
        <f>SUMIFS(Verlauf!$T$6:$T$1000,Verlauf!$B$6:$B$1000,$A62,Verlauf!$C$6:$C$1000,$B62)</f>
        <v>0</v>
      </c>
      <c r="L62" s="27">
        <f>IF(Filter!$T$7=TRUE,IFERROR(INDEX(Planung!$D$68:$IA$68,MATCH($W62,Wirksam!$D$6:$IA$6,0)),0),0)</f>
        <v>0</v>
      </c>
      <c r="M62" s="27">
        <f>IF(OR(Filter!$T$5=TRUE,Filter!$T$6=TRUE),IFERROR(INDEX(Planung!$D$69:$IA$69,MATCH($W62,Wirksam!$D$6:$IA$6,0)),0),0)</f>
        <v>0</v>
      </c>
      <c r="N62" s="27">
        <f t="shared" si="1"/>
        <v>0</v>
      </c>
      <c r="O62" s="27" t="e">
        <f t="shared" si="2"/>
        <v>#N/A</v>
      </c>
      <c r="P62" s="27" t="e">
        <f t="shared" si="3"/>
        <v>#N/A</v>
      </c>
      <c r="Q62" s="27" t="e">
        <f t="shared" si="4"/>
        <v>#N/A</v>
      </c>
      <c r="R62" s="27" t="e">
        <f t="shared" si="5"/>
        <v>#N/A</v>
      </c>
      <c r="S62" s="27" t="e">
        <f t="shared" si="6"/>
        <v>#N/A</v>
      </c>
      <c r="T62" s="27" t="e">
        <f t="shared" si="7"/>
        <v>#N/A</v>
      </c>
      <c r="U62" s="26">
        <f>COUNTIFS(Verlauf!$B$6:$B$1000,$A62,Verlauf!$C$6:$C$1000,$B62)</f>
        <v>0</v>
      </c>
      <c r="V62" s="26">
        <f t="shared" si="8"/>
        <v>0</v>
      </c>
      <c r="W62" s="26">
        <f t="shared" si="9"/>
        <v>202733</v>
      </c>
      <c r="X62" s="26">
        <f>SUMIFS(Verlauf!$X$6:$X$1000,Verlauf!$B$6:$B$1000,$A62,Verlauf!$C$6:$C$1000,$B62)</f>
        <v>0</v>
      </c>
      <c r="Y62" s="26">
        <f>SUMIFS(Verlauf!$Y$6:$Y$1000,Verlauf!$B$6:$B$1000,$A62,Verlauf!$C$6:$C$1000,$B62)</f>
        <v>0</v>
      </c>
      <c r="Z62" s="26">
        <f>SUMIFS(Verlauf!$Z$6:$Z$1000,Verlauf!$B$6:$B$1000,$A62,Verlauf!$C$6:$C$1000,$B62)</f>
        <v>0</v>
      </c>
      <c r="AA62" s="26">
        <f>SUMIFS(Verlauf!$I$6:$I$1000,Verlauf!$B$6:$B$1000,$A62,Verlauf!$C$6:$C$1000,$B62)</f>
        <v>0</v>
      </c>
      <c r="AB62" s="26">
        <f>SUMIFS(Verlauf!$AA$6:$AA$1000,Verlauf!$B$6:$B$1000,$A62,Verlauf!$C$6:$C$1000,$B62)</f>
        <v>0</v>
      </c>
      <c r="AC62" s="26">
        <f>SUMIFS(Verlauf!$AB$6:$AB$1000,Verlauf!$B$6:$B$1000,$A62,Verlauf!$C$6:$C$1000,$B62)</f>
        <v>0</v>
      </c>
      <c r="AD62" s="26">
        <f>SUMIFS(Verlauf!$AC$6:$AC$1000,Verlauf!$B$6:$B$1000,$A62,Verlauf!$C$6:$C$1000,$B62)</f>
        <v>0</v>
      </c>
      <c r="AE62" s="26">
        <f>SUMIFS(Verlauf!$S$6:$S$1000,Verlauf!$B$6:$B$1000,$A62,Verlauf!$C$6:$C$1000,$B62)</f>
        <v>0</v>
      </c>
      <c r="AF62" s="26" t="str">
        <f>IF($AN62="","",INDEX(Verlauf!$D$6:$D$1000,MATCH($AN62,Verlauf!$A$6:$A$1000,0)))</f>
        <v/>
      </c>
      <c r="AG62" s="26" t="str">
        <f>IF($AN62="","",INDEX(Verlauf!$E$6:$E$1000,MATCH($AN62,Verlauf!$A$6:$A$1000,0)))</f>
        <v/>
      </c>
      <c r="AH62" s="26" t="str">
        <f>IF($AN62="","",INDEX(Verlauf!$F$6:$F$1000,MATCH($AN62,Verlauf!$A$6:$A$1000,0)))</f>
        <v/>
      </c>
      <c r="AI62" s="26" t="str">
        <f>IF($AN62="","",INDEX(Verlauf!$H$6:$H$1000,MATCH($AN62,Verlauf!$A$6:$A$1000,0)))</f>
        <v/>
      </c>
      <c r="AJ62" s="26" t="str">
        <f>IF($AN62="","",INDEX(Verlauf!$N$6:$N$1000,MATCH($AN62,Verlauf!$A$6:$A$1000,0)))</f>
        <v/>
      </c>
      <c r="AK62" s="26" t="str">
        <f>IF($AN62="","",INDEX(Verlauf!$O$6:$O$1000,MATCH($AN62,Verlauf!$A$6:$A$1000,0)))</f>
        <v/>
      </c>
      <c r="AL62" s="26" t="str">
        <f>IF($AN62="","",INDEX(Verlauf!$P$6:$P$1000,MATCH($AN62,Verlauf!$A$6:$A$1000,0)))</f>
        <v/>
      </c>
      <c r="AM62" s="26" t="str">
        <f>IF($AN62="","",INDEX(Verlauf!$R$6:$R$1000,MATCH($AN62,Verlauf!$A$6:$A$1000,0)))</f>
        <v/>
      </c>
      <c r="AN62" s="28" t="str">
        <f>IF(U62&gt;0,_xlfn.MAXIFS(Verlauf!$A$6:$A$1000,Verlauf!$B$6:$B$1000,$A62,Verlauf!$C$6:$C$1000,$B62),"")</f>
        <v/>
      </c>
    </row>
    <row r="63" spans="1:40" x14ac:dyDescent="0.25">
      <c r="A63" s="26">
        <v>2027</v>
      </c>
      <c r="B63" s="26">
        <v>34</v>
      </c>
      <c r="C63" s="7" t="str">
        <f t="shared" si="0"/>
        <v>KW 34/27</v>
      </c>
      <c r="D63" s="26">
        <f>SUMIFS(Verlauf!$K$6:$K$1000,Verlauf!$B$6:$B$1000,$A63,Verlauf!$C$6:$C$1000,$B63)</f>
        <v>0</v>
      </c>
      <c r="E63" s="26">
        <f>SUMIFS(Verlauf!$L$6:$L$1000,Verlauf!$B$6:$B$1000,$A63,Verlauf!$C$6:$C$1000,$B63)</f>
        <v>0</v>
      </c>
      <c r="F63" s="26">
        <f>SUMIFS(Verlauf!$M$6:$M$1000,Verlauf!$B$6:$B$1000,$A63,Verlauf!$C$6:$C$1000,$B63)</f>
        <v>0</v>
      </c>
      <c r="G63" s="26">
        <f>SUMIFS(Verlauf!$J$6:$J$1000,Verlauf!$B$6:$B$1000,$A63,Verlauf!$C$6:$C$1000,$B63)</f>
        <v>0</v>
      </c>
      <c r="H63" s="26">
        <f>SUMIFS(Verlauf!$U$6:$U$1000,Verlauf!$B$6:$B$1000,$A63,Verlauf!$C$6:$C$1000,$B63)</f>
        <v>0</v>
      </c>
      <c r="I63" s="26">
        <f>SUMIFS(Verlauf!$V$6:$V$1000,Verlauf!$B$6:$B$1000,$A63,Verlauf!$C$6:$C$1000,$B63)</f>
        <v>0</v>
      </c>
      <c r="J63" s="26">
        <f>SUMIFS(Verlauf!$W$6:$W$1000,Verlauf!$B$6:$B$1000,$A63,Verlauf!$C$6:$C$1000,$B63)</f>
        <v>0</v>
      </c>
      <c r="K63" s="26">
        <f>SUMIFS(Verlauf!$T$6:$T$1000,Verlauf!$B$6:$B$1000,$A63,Verlauf!$C$6:$C$1000,$B63)</f>
        <v>0</v>
      </c>
      <c r="L63" s="27">
        <f>IF(Filter!$T$7=TRUE,IFERROR(INDEX(Planung!$D$68:$IA$68,MATCH($W63,Wirksam!$D$6:$IA$6,0)),0),0)</f>
        <v>0</v>
      </c>
      <c r="M63" s="27">
        <f>IF(OR(Filter!$T$5=TRUE,Filter!$T$6=TRUE),IFERROR(INDEX(Planung!$D$69:$IA$69,MATCH($W63,Wirksam!$D$6:$IA$6,0)),0),0)</f>
        <v>0</v>
      </c>
      <c r="N63" s="27">
        <f t="shared" si="1"/>
        <v>0</v>
      </c>
      <c r="O63" s="27" t="e">
        <f t="shared" si="2"/>
        <v>#N/A</v>
      </c>
      <c r="P63" s="27" t="e">
        <f t="shared" si="3"/>
        <v>#N/A</v>
      </c>
      <c r="Q63" s="27" t="e">
        <f t="shared" si="4"/>
        <v>#N/A</v>
      </c>
      <c r="R63" s="27" t="e">
        <f t="shared" si="5"/>
        <v>#N/A</v>
      </c>
      <c r="S63" s="27" t="e">
        <f t="shared" si="6"/>
        <v>#N/A</v>
      </c>
      <c r="T63" s="27" t="e">
        <f t="shared" si="7"/>
        <v>#N/A</v>
      </c>
      <c r="U63" s="26">
        <f>COUNTIFS(Verlauf!$B$6:$B$1000,$A63,Verlauf!$C$6:$C$1000,$B63)</f>
        <v>0</v>
      </c>
      <c r="V63" s="26">
        <f t="shared" si="8"/>
        <v>0</v>
      </c>
      <c r="W63" s="26">
        <f t="shared" si="9"/>
        <v>202734</v>
      </c>
      <c r="X63" s="26">
        <f>SUMIFS(Verlauf!$X$6:$X$1000,Verlauf!$B$6:$B$1000,$A63,Verlauf!$C$6:$C$1000,$B63)</f>
        <v>0</v>
      </c>
      <c r="Y63" s="26">
        <f>SUMIFS(Verlauf!$Y$6:$Y$1000,Verlauf!$B$6:$B$1000,$A63,Verlauf!$C$6:$C$1000,$B63)</f>
        <v>0</v>
      </c>
      <c r="Z63" s="26">
        <f>SUMIFS(Verlauf!$Z$6:$Z$1000,Verlauf!$B$6:$B$1000,$A63,Verlauf!$C$6:$C$1000,$B63)</f>
        <v>0</v>
      </c>
      <c r="AA63" s="26">
        <f>SUMIFS(Verlauf!$I$6:$I$1000,Verlauf!$B$6:$B$1000,$A63,Verlauf!$C$6:$C$1000,$B63)</f>
        <v>0</v>
      </c>
      <c r="AB63" s="26">
        <f>SUMIFS(Verlauf!$AA$6:$AA$1000,Verlauf!$B$6:$B$1000,$A63,Verlauf!$C$6:$C$1000,$B63)</f>
        <v>0</v>
      </c>
      <c r="AC63" s="26">
        <f>SUMIFS(Verlauf!$AB$6:$AB$1000,Verlauf!$B$6:$B$1000,$A63,Verlauf!$C$6:$C$1000,$B63)</f>
        <v>0</v>
      </c>
      <c r="AD63" s="26">
        <f>SUMIFS(Verlauf!$AC$6:$AC$1000,Verlauf!$B$6:$B$1000,$A63,Verlauf!$C$6:$C$1000,$B63)</f>
        <v>0</v>
      </c>
      <c r="AE63" s="26">
        <f>SUMIFS(Verlauf!$S$6:$S$1000,Verlauf!$B$6:$B$1000,$A63,Verlauf!$C$6:$C$1000,$B63)</f>
        <v>0</v>
      </c>
      <c r="AF63" s="26" t="str">
        <f>IF($AN63="","",INDEX(Verlauf!$D$6:$D$1000,MATCH($AN63,Verlauf!$A$6:$A$1000,0)))</f>
        <v/>
      </c>
      <c r="AG63" s="26" t="str">
        <f>IF($AN63="","",INDEX(Verlauf!$E$6:$E$1000,MATCH($AN63,Verlauf!$A$6:$A$1000,0)))</f>
        <v/>
      </c>
      <c r="AH63" s="26" t="str">
        <f>IF($AN63="","",INDEX(Verlauf!$F$6:$F$1000,MATCH($AN63,Verlauf!$A$6:$A$1000,0)))</f>
        <v/>
      </c>
      <c r="AI63" s="26" t="str">
        <f>IF($AN63="","",INDEX(Verlauf!$H$6:$H$1000,MATCH($AN63,Verlauf!$A$6:$A$1000,0)))</f>
        <v/>
      </c>
      <c r="AJ63" s="26" t="str">
        <f>IF($AN63="","",INDEX(Verlauf!$N$6:$N$1000,MATCH($AN63,Verlauf!$A$6:$A$1000,0)))</f>
        <v/>
      </c>
      <c r="AK63" s="26" t="str">
        <f>IF($AN63="","",INDEX(Verlauf!$O$6:$O$1000,MATCH($AN63,Verlauf!$A$6:$A$1000,0)))</f>
        <v/>
      </c>
      <c r="AL63" s="26" t="str">
        <f>IF($AN63="","",INDEX(Verlauf!$P$6:$P$1000,MATCH($AN63,Verlauf!$A$6:$A$1000,0)))</f>
        <v/>
      </c>
      <c r="AM63" s="26" t="str">
        <f>IF($AN63="","",INDEX(Verlauf!$R$6:$R$1000,MATCH($AN63,Verlauf!$A$6:$A$1000,0)))</f>
        <v/>
      </c>
      <c r="AN63" s="28" t="str">
        <f>IF(U63&gt;0,_xlfn.MAXIFS(Verlauf!$A$6:$A$1000,Verlauf!$B$6:$B$1000,$A63,Verlauf!$C$6:$C$1000,$B63),"")</f>
        <v/>
      </c>
    </row>
    <row r="64" spans="1:40" x14ac:dyDescent="0.25">
      <c r="A64" s="26">
        <v>2027</v>
      </c>
      <c r="B64" s="26">
        <v>35</v>
      </c>
      <c r="C64" s="7" t="str">
        <f t="shared" si="0"/>
        <v>KW 35/27</v>
      </c>
      <c r="D64" s="26">
        <f>SUMIFS(Verlauf!$K$6:$K$1000,Verlauf!$B$6:$B$1000,$A64,Verlauf!$C$6:$C$1000,$B64)</f>
        <v>0</v>
      </c>
      <c r="E64" s="26">
        <f>SUMIFS(Verlauf!$L$6:$L$1000,Verlauf!$B$6:$B$1000,$A64,Verlauf!$C$6:$C$1000,$B64)</f>
        <v>0</v>
      </c>
      <c r="F64" s="26">
        <f>SUMIFS(Verlauf!$M$6:$M$1000,Verlauf!$B$6:$B$1000,$A64,Verlauf!$C$6:$C$1000,$B64)</f>
        <v>0</v>
      </c>
      <c r="G64" s="26">
        <f>SUMIFS(Verlauf!$J$6:$J$1000,Verlauf!$B$6:$B$1000,$A64,Verlauf!$C$6:$C$1000,$B64)</f>
        <v>0</v>
      </c>
      <c r="H64" s="26">
        <f>SUMIFS(Verlauf!$U$6:$U$1000,Verlauf!$B$6:$B$1000,$A64,Verlauf!$C$6:$C$1000,$B64)</f>
        <v>0</v>
      </c>
      <c r="I64" s="26">
        <f>SUMIFS(Verlauf!$V$6:$V$1000,Verlauf!$B$6:$B$1000,$A64,Verlauf!$C$6:$C$1000,$B64)</f>
        <v>0</v>
      </c>
      <c r="J64" s="26">
        <f>SUMIFS(Verlauf!$W$6:$W$1000,Verlauf!$B$6:$B$1000,$A64,Verlauf!$C$6:$C$1000,$B64)</f>
        <v>0</v>
      </c>
      <c r="K64" s="26">
        <f>SUMIFS(Verlauf!$T$6:$T$1000,Verlauf!$B$6:$B$1000,$A64,Verlauf!$C$6:$C$1000,$B64)</f>
        <v>0</v>
      </c>
      <c r="L64" s="27">
        <f>IF(Filter!$T$7=TRUE,IFERROR(INDEX(Planung!$D$68:$IA$68,MATCH($W64,Wirksam!$D$6:$IA$6,0)),0),0)</f>
        <v>0</v>
      </c>
      <c r="M64" s="27">
        <f>IF(OR(Filter!$T$5=TRUE,Filter!$T$6=TRUE),IFERROR(INDEX(Planung!$D$69:$IA$69,MATCH($W64,Wirksam!$D$6:$IA$6,0)),0),0)</f>
        <v>0</v>
      </c>
      <c r="N64" s="27">
        <f t="shared" si="1"/>
        <v>0</v>
      </c>
      <c r="O64" s="27" t="e">
        <f t="shared" si="2"/>
        <v>#N/A</v>
      </c>
      <c r="P64" s="27" t="e">
        <f t="shared" si="3"/>
        <v>#N/A</v>
      </c>
      <c r="Q64" s="27" t="e">
        <f t="shared" si="4"/>
        <v>#N/A</v>
      </c>
      <c r="R64" s="27" t="e">
        <f t="shared" si="5"/>
        <v>#N/A</v>
      </c>
      <c r="S64" s="27" t="e">
        <f t="shared" si="6"/>
        <v>#N/A</v>
      </c>
      <c r="T64" s="27" t="e">
        <f t="shared" si="7"/>
        <v>#N/A</v>
      </c>
      <c r="U64" s="26">
        <f>COUNTIFS(Verlauf!$B$6:$B$1000,$A64,Verlauf!$C$6:$C$1000,$B64)</f>
        <v>0</v>
      </c>
      <c r="V64" s="26">
        <f t="shared" si="8"/>
        <v>0</v>
      </c>
      <c r="W64" s="26">
        <f t="shared" si="9"/>
        <v>202735</v>
      </c>
      <c r="X64" s="26">
        <f>SUMIFS(Verlauf!$X$6:$X$1000,Verlauf!$B$6:$B$1000,$A64,Verlauf!$C$6:$C$1000,$B64)</f>
        <v>0</v>
      </c>
      <c r="Y64" s="26">
        <f>SUMIFS(Verlauf!$Y$6:$Y$1000,Verlauf!$B$6:$B$1000,$A64,Verlauf!$C$6:$C$1000,$B64)</f>
        <v>0</v>
      </c>
      <c r="Z64" s="26">
        <f>SUMIFS(Verlauf!$Z$6:$Z$1000,Verlauf!$B$6:$B$1000,$A64,Verlauf!$C$6:$C$1000,$B64)</f>
        <v>0</v>
      </c>
      <c r="AA64" s="26">
        <f>SUMIFS(Verlauf!$I$6:$I$1000,Verlauf!$B$6:$B$1000,$A64,Verlauf!$C$6:$C$1000,$B64)</f>
        <v>0</v>
      </c>
      <c r="AB64" s="26">
        <f>SUMIFS(Verlauf!$AA$6:$AA$1000,Verlauf!$B$6:$B$1000,$A64,Verlauf!$C$6:$C$1000,$B64)</f>
        <v>0</v>
      </c>
      <c r="AC64" s="26">
        <f>SUMIFS(Verlauf!$AB$6:$AB$1000,Verlauf!$B$6:$B$1000,$A64,Verlauf!$C$6:$C$1000,$B64)</f>
        <v>0</v>
      </c>
      <c r="AD64" s="26">
        <f>SUMIFS(Verlauf!$AC$6:$AC$1000,Verlauf!$B$6:$B$1000,$A64,Verlauf!$C$6:$C$1000,$B64)</f>
        <v>0</v>
      </c>
      <c r="AE64" s="26">
        <f>SUMIFS(Verlauf!$S$6:$S$1000,Verlauf!$B$6:$B$1000,$A64,Verlauf!$C$6:$C$1000,$B64)</f>
        <v>0</v>
      </c>
      <c r="AF64" s="26" t="str">
        <f>IF($AN64="","",INDEX(Verlauf!$D$6:$D$1000,MATCH($AN64,Verlauf!$A$6:$A$1000,0)))</f>
        <v/>
      </c>
      <c r="AG64" s="26" t="str">
        <f>IF($AN64="","",INDEX(Verlauf!$E$6:$E$1000,MATCH($AN64,Verlauf!$A$6:$A$1000,0)))</f>
        <v/>
      </c>
      <c r="AH64" s="26" t="str">
        <f>IF($AN64="","",INDEX(Verlauf!$F$6:$F$1000,MATCH($AN64,Verlauf!$A$6:$A$1000,0)))</f>
        <v/>
      </c>
      <c r="AI64" s="26" t="str">
        <f>IF($AN64="","",INDEX(Verlauf!$H$6:$H$1000,MATCH($AN64,Verlauf!$A$6:$A$1000,0)))</f>
        <v/>
      </c>
      <c r="AJ64" s="26" t="str">
        <f>IF($AN64="","",INDEX(Verlauf!$N$6:$N$1000,MATCH($AN64,Verlauf!$A$6:$A$1000,0)))</f>
        <v/>
      </c>
      <c r="AK64" s="26" t="str">
        <f>IF($AN64="","",INDEX(Verlauf!$O$6:$O$1000,MATCH($AN64,Verlauf!$A$6:$A$1000,0)))</f>
        <v/>
      </c>
      <c r="AL64" s="26" t="str">
        <f>IF($AN64="","",INDEX(Verlauf!$P$6:$P$1000,MATCH($AN64,Verlauf!$A$6:$A$1000,0)))</f>
        <v/>
      </c>
      <c r="AM64" s="26" t="str">
        <f>IF($AN64="","",INDEX(Verlauf!$R$6:$R$1000,MATCH($AN64,Verlauf!$A$6:$A$1000,0)))</f>
        <v/>
      </c>
      <c r="AN64" s="28" t="str">
        <f>IF(U64&gt;0,_xlfn.MAXIFS(Verlauf!$A$6:$A$1000,Verlauf!$B$6:$B$1000,$A64,Verlauf!$C$6:$C$1000,$B64),"")</f>
        <v/>
      </c>
    </row>
    <row r="65" spans="1:40" x14ac:dyDescent="0.25">
      <c r="A65" s="26">
        <v>2027</v>
      </c>
      <c r="B65" s="26">
        <v>36</v>
      </c>
      <c r="C65" s="7" t="str">
        <f t="shared" si="0"/>
        <v>KW 36/27</v>
      </c>
      <c r="D65" s="26">
        <f>SUMIFS(Verlauf!$K$6:$K$1000,Verlauf!$B$6:$B$1000,$A65,Verlauf!$C$6:$C$1000,$B65)</f>
        <v>0</v>
      </c>
      <c r="E65" s="26">
        <f>SUMIFS(Verlauf!$L$6:$L$1000,Verlauf!$B$6:$B$1000,$A65,Verlauf!$C$6:$C$1000,$B65)</f>
        <v>0</v>
      </c>
      <c r="F65" s="26">
        <f>SUMIFS(Verlauf!$M$6:$M$1000,Verlauf!$B$6:$B$1000,$A65,Verlauf!$C$6:$C$1000,$B65)</f>
        <v>0</v>
      </c>
      <c r="G65" s="26">
        <f>SUMIFS(Verlauf!$J$6:$J$1000,Verlauf!$B$6:$B$1000,$A65,Verlauf!$C$6:$C$1000,$B65)</f>
        <v>0</v>
      </c>
      <c r="H65" s="26">
        <f>SUMIFS(Verlauf!$U$6:$U$1000,Verlauf!$B$6:$B$1000,$A65,Verlauf!$C$6:$C$1000,$B65)</f>
        <v>0</v>
      </c>
      <c r="I65" s="26">
        <f>SUMIFS(Verlauf!$V$6:$V$1000,Verlauf!$B$6:$B$1000,$A65,Verlauf!$C$6:$C$1000,$B65)</f>
        <v>0</v>
      </c>
      <c r="J65" s="26">
        <f>SUMIFS(Verlauf!$W$6:$W$1000,Verlauf!$B$6:$B$1000,$A65,Verlauf!$C$6:$C$1000,$B65)</f>
        <v>0</v>
      </c>
      <c r="K65" s="26">
        <f>SUMIFS(Verlauf!$T$6:$T$1000,Verlauf!$B$6:$B$1000,$A65,Verlauf!$C$6:$C$1000,$B65)</f>
        <v>0</v>
      </c>
      <c r="L65" s="27">
        <f>IF(Filter!$T$7=TRUE,IFERROR(INDEX(Planung!$D$68:$IA$68,MATCH($W65,Wirksam!$D$6:$IA$6,0)),0),0)</f>
        <v>0</v>
      </c>
      <c r="M65" s="27">
        <f>IF(OR(Filter!$T$5=TRUE,Filter!$T$6=TRUE),IFERROR(INDEX(Planung!$D$69:$IA$69,MATCH($W65,Wirksam!$D$6:$IA$6,0)),0),0)</f>
        <v>0</v>
      </c>
      <c r="N65" s="27">
        <f t="shared" si="1"/>
        <v>0</v>
      </c>
      <c r="O65" s="27" t="e">
        <f t="shared" si="2"/>
        <v>#N/A</v>
      </c>
      <c r="P65" s="27" t="e">
        <f t="shared" si="3"/>
        <v>#N/A</v>
      </c>
      <c r="Q65" s="27" t="e">
        <f t="shared" si="4"/>
        <v>#N/A</v>
      </c>
      <c r="R65" s="27" t="e">
        <f t="shared" si="5"/>
        <v>#N/A</v>
      </c>
      <c r="S65" s="27" t="e">
        <f t="shared" si="6"/>
        <v>#N/A</v>
      </c>
      <c r="T65" s="27" t="e">
        <f t="shared" si="7"/>
        <v>#N/A</v>
      </c>
      <c r="U65" s="26">
        <f>COUNTIFS(Verlauf!$B$6:$B$1000,$A65,Verlauf!$C$6:$C$1000,$B65)</f>
        <v>0</v>
      </c>
      <c r="V65" s="26">
        <f t="shared" si="8"/>
        <v>0</v>
      </c>
      <c r="W65" s="26">
        <f t="shared" si="9"/>
        <v>202736</v>
      </c>
      <c r="X65" s="26">
        <f>SUMIFS(Verlauf!$X$6:$X$1000,Verlauf!$B$6:$B$1000,$A65,Verlauf!$C$6:$C$1000,$B65)</f>
        <v>0</v>
      </c>
      <c r="Y65" s="26">
        <f>SUMIFS(Verlauf!$Y$6:$Y$1000,Verlauf!$B$6:$B$1000,$A65,Verlauf!$C$6:$C$1000,$B65)</f>
        <v>0</v>
      </c>
      <c r="Z65" s="26">
        <f>SUMIFS(Verlauf!$Z$6:$Z$1000,Verlauf!$B$6:$B$1000,$A65,Verlauf!$C$6:$C$1000,$B65)</f>
        <v>0</v>
      </c>
      <c r="AA65" s="26">
        <f>SUMIFS(Verlauf!$I$6:$I$1000,Verlauf!$B$6:$B$1000,$A65,Verlauf!$C$6:$C$1000,$B65)</f>
        <v>0</v>
      </c>
      <c r="AB65" s="26">
        <f>SUMIFS(Verlauf!$AA$6:$AA$1000,Verlauf!$B$6:$B$1000,$A65,Verlauf!$C$6:$C$1000,$B65)</f>
        <v>0</v>
      </c>
      <c r="AC65" s="26">
        <f>SUMIFS(Verlauf!$AB$6:$AB$1000,Verlauf!$B$6:$B$1000,$A65,Verlauf!$C$6:$C$1000,$B65)</f>
        <v>0</v>
      </c>
      <c r="AD65" s="26">
        <f>SUMIFS(Verlauf!$AC$6:$AC$1000,Verlauf!$B$6:$B$1000,$A65,Verlauf!$C$6:$C$1000,$B65)</f>
        <v>0</v>
      </c>
      <c r="AE65" s="26">
        <f>SUMIFS(Verlauf!$S$6:$S$1000,Verlauf!$B$6:$B$1000,$A65,Verlauf!$C$6:$C$1000,$B65)</f>
        <v>0</v>
      </c>
      <c r="AF65" s="26" t="str">
        <f>IF($AN65="","",INDEX(Verlauf!$D$6:$D$1000,MATCH($AN65,Verlauf!$A$6:$A$1000,0)))</f>
        <v/>
      </c>
      <c r="AG65" s="26" t="str">
        <f>IF($AN65="","",INDEX(Verlauf!$E$6:$E$1000,MATCH($AN65,Verlauf!$A$6:$A$1000,0)))</f>
        <v/>
      </c>
      <c r="AH65" s="26" t="str">
        <f>IF($AN65="","",INDEX(Verlauf!$F$6:$F$1000,MATCH($AN65,Verlauf!$A$6:$A$1000,0)))</f>
        <v/>
      </c>
      <c r="AI65" s="26" t="str">
        <f>IF($AN65="","",INDEX(Verlauf!$H$6:$H$1000,MATCH($AN65,Verlauf!$A$6:$A$1000,0)))</f>
        <v/>
      </c>
      <c r="AJ65" s="26" t="str">
        <f>IF($AN65="","",INDEX(Verlauf!$N$6:$N$1000,MATCH($AN65,Verlauf!$A$6:$A$1000,0)))</f>
        <v/>
      </c>
      <c r="AK65" s="26" t="str">
        <f>IF($AN65="","",INDEX(Verlauf!$O$6:$O$1000,MATCH($AN65,Verlauf!$A$6:$A$1000,0)))</f>
        <v/>
      </c>
      <c r="AL65" s="26" t="str">
        <f>IF($AN65="","",INDEX(Verlauf!$P$6:$P$1000,MATCH($AN65,Verlauf!$A$6:$A$1000,0)))</f>
        <v/>
      </c>
      <c r="AM65" s="26" t="str">
        <f>IF($AN65="","",INDEX(Verlauf!$R$6:$R$1000,MATCH($AN65,Verlauf!$A$6:$A$1000,0)))</f>
        <v/>
      </c>
      <c r="AN65" s="28" t="str">
        <f>IF(U65&gt;0,_xlfn.MAXIFS(Verlauf!$A$6:$A$1000,Verlauf!$B$6:$B$1000,$A65,Verlauf!$C$6:$C$1000,$B65),"")</f>
        <v/>
      </c>
    </row>
    <row r="66" spans="1:40" x14ac:dyDescent="0.25">
      <c r="A66" s="26">
        <v>2027</v>
      </c>
      <c r="B66" s="26">
        <v>37</v>
      </c>
      <c r="C66" s="7" t="str">
        <f t="shared" si="0"/>
        <v>KW 37/27</v>
      </c>
      <c r="D66" s="26">
        <f>SUMIFS(Verlauf!$K$6:$K$1000,Verlauf!$B$6:$B$1000,$A66,Verlauf!$C$6:$C$1000,$B66)</f>
        <v>0</v>
      </c>
      <c r="E66" s="26">
        <f>SUMIFS(Verlauf!$L$6:$L$1000,Verlauf!$B$6:$B$1000,$A66,Verlauf!$C$6:$C$1000,$B66)</f>
        <v>0</v>
      </c>
      <c r="F66" s="26">
        <f>SUMIFS(Verlauf!$M$6:$M$1000,Verlauf!$B$6:$B$1000,$A66,Verlauf!$C$6:$C$1000,$B66)</f>
        <v>0</v>
      </c>
      <c r="G66" s="26">
        <f>SUMIFS(Verlauf!$J$6:$J$1000,Verlauf!$B$6:$B$1000,$A66,Verlauf!$C$6:$C$1000,$B66)</f>
        <v>0</v>
      </c>
      <c r="H66" s="26">
        <f>SUMIFS(Verlauf!$U$6:$U$1000,Verlauf!$B$6:$B$1000,$A66,Verlauf!$C$6:$C$1000,$B66)</f>
        <v>0</v>
      </c>
      <c r="I66" s="26">
        <f>SUMIFS(Verlauf!$V$6:$V$1000,Verlauf!$B$6:$B$1000,$A66,Verlauf!$C$6:$C$1000,$B66)</f>
        <v>0</v>
      </c>
      <c r="J66" s="26">
        <f>SUMIFS(Verlauf!$W$6:$W$1000,Verlauf!$B$6:$B$1000,$A66,Verlauf!$C$6:$C$1000,$B66)</f>
        <v>0</v>
      </c>
      <c r="K66" s="26">
        <f>SUMIFS(Verlauf!$T$6:$T$1000,Verlauf!$B$6:$B$1000,$A66,Verlauf!$C$6:$C$1000,$B66)</f>
        <v>0</v>
      </c>
      <c r="L66" s="27">
        <f>IF(Filter!$T$7=TRUE,IFERROR(INDEX(Planung!$D$68:$IA$68,MATCH($W66,Wirksam!$D$6:$IA$6,0)),0),0)</f>
        <v>0</v>
      </c>
      <c r="M66" s="27">
        <f>IF(OR(Filter!$T$5=TRUE,Filter!$T$6=TRUE),IFERROR(INDEX(Planung!$D$69:$IA$69,MATCH($W66,Wirksam!$D$6:$IA$6,0)),0),0)</f>
        <v>0</v>
      </c>
      <c r="N66" s="27">
        <f t="shared" si="1"/>
        <v>0</v>
      </c>
      <c r="O66" s="27" t="e">
        <f t="shared" si="2"/>
        <v>#N/A</v>
      </c>
      <c r="P66" s="27" t="e">
        <f t="shared" si="3"/>
        <v>#N/A</v>
      </c>
      <c r="Q66" s="27" t="e">
        <f t="shared" si="4"/>
        <v>#N/A</v>
      </c>
      <c r="R66" s="27" t="e">
        <f t="shared" si="5"/>
        <v>#N/A</v>
      </c>
      <c r="S66" s="27" t="e">
        <f t="shared" si="6"/>
        <v>#N/A</v>
      </c>
      <c r="T66" s="27" t="e">
        <f t="shared" si="7"/>
        <v>#N/A</v>
      </c>
      <c r="U66" s="26">
        <f>COUNTIFS(Verlauf!$B$6:$B$1000,$A66,Verlauf!$C$6:$C$1000,$B66)</f>
        <v>0</v>
      </c>
      <c r="V66" s="26">
        <f t="shared" si="8"/>
        <v>0</v>
      </c>
      <c r="W66" s="26">
        <f t="shared" si="9"/>
        <v>202737</v>
      </c>
      <c r="X66" s="26">
        <f>SUMIFS(Verlauf!$X$6:$X$1000,Verlauf!$B$6:$B$1000,$A66,Verlauf!$C$6:$C$1000,$B66)</f>
        <v>0</v>
      </c>
      <c r="Y66" s="26">
        <f>SUMIFS(Verlauf!$Y$6:$Y$1000,Verlauf!$B$6:$B$1000,$A66,Verlauf!$C$6:$C$1000,$B66)</f>
        <v>0</v>
      </c>
      <c r="Z66" s="26">
        <f>SUMIFS(Verlauf!$Z$6:$Z$1000,Verlauf!$B$6:$B$1000,$A66,Verlauf!$C$6:$C$1000,$B66)</f>
        <v>0</v>
      </c>
      <c r="AA66" s="26">
        <f>SUMIFS(Verlauf!$I$6:$I$1000,Verlauf!$B$6:$B$1000,$A66,Verlauf!$C$6:$C$1000,$B66)</f>
        <v>0</v>
      </c>
      <c r="AB66" s="26">
        <f>SUMIFS(Verlauf!$AA$6:$AA$1000,Verlauf!$B$6:$B$1000,$A66,Verlauf!$C$6:$C$1000,$B66)</f>
        <v>0</v>
      </c>
      <c r="AC66" s="26">
        <f>SUMIFS(Verlauf!$AB$6:$AB$1000,Verlauf!$B$6:$B$1000,$A66,Verlauf!$C$6:$C$1000,$B66)</f>
        <v>0</v>
      </c>
      <c r="AD66" s="26">
        <f>SUMIFS(Verlauf!$AC$6:$AC$1000,Verlauf!$B$6:$B$1000,$A66,Verlauf!$C$6:$C$1000,$B66)</f>
        <v>0</v>
      </c>
      <c r="AE66" s="26">
        <f>SUMIFS(Verlauf!$S$6:$S$1000,Verlauf!$B$6:$B$1000,$A66,Verlauf!$C$6:$C$1000,$B66)</f>
        <v>0</v>
      </c>
      <c r="AF66" s="26" t="str">
        <f>IF($AN66="","",INDEX(Verlauf!$D$6:$D$1000,MATCH($AN66,Verlauf!$A$6:$A$1000,0)))</f>
        <v/>
      </c>
      <c r="AG66" s="26" t="str">
        <f>IF($AN66="","",INDEX(Verlauf!$E$6:$E$1000,MATCH($AN66,Verlauf!$A$6:$A$1000,0)))</f>
        <v/>
      </c>
      <c r="AH66" s="26" t="str">
        <f>IF($AN66="","",INDEX(Verlauf!$F$6:$F$1000,MATCH($AN66,Verlauf!$A$6:$A$1000,0)))</f>
        <v/>
      </c>
      <c r="AI66" s="26" t="str">
        <f>IF($AN66="","",INDEX(Verlauf!$H$6:$H$1000,MATCH($AN66,Verlauf!$A$6:$A$1000,0)))</f>
        <v/>
      </c>
      <c r="AJ66" s="26" t="str">
        <f>IF($AN66="","",INDEX(Verlauf!$N$6:$N$1000,MATCH($AN66,Verlauf!$A$6:$A$1000,0)))</f>
        <v/>
      </c>
      <c r="AK66" s="26" t="str">
        <f>IF($AN66="","",INDEX(Verlauf!$O$6:$O$1000,MATCH($AN66,Verlauf!$A$6:$A$1000,0)))</f>
        <v/>
      </c>
      <c r="AL66" s="26" t="str">
        <f>IF($AN66="","",INDEX(Verlauf!$P$6:$P$1000,MATCH($AN66,Verlauf!$A$6:$A$1000,0)))</f>
        <v/>
      </c>
      <c r="AM66" s="26" t="str">
        <f>IF($AN66="","",INDEX(Verlauf!$R$6:$R$1000,MATCH($AN66,Verlauf!$A$6:$A$1000,0)))</f>
        <v/>
      </c>
      <c r="AN66" s="28" t="str">
        <f>IF(U66&gt;0,_xlfn.MAXIFS(Verlauf!$A$6:$A$1000,Verlauf!$B$6:$B$1000,$A66,Verlauf!$C$6:$C$1000,$B66),"")</f>
        <v/>
      </c>
    </row>
    <row r="67" spans="1:40" x14ac:dyDescent="0.25">
      <c r="A67" s="26">
        <v>2027</v>
      </c>
      <c r="B67" s="26">
        <v>38</v>
      </c>
      <c r="C67" s="7" t="str">
        <f t="shared" si="0"/>
        <v>KW 38/27</v>
      </c>
      <c r="D67" s="26">
        <f>SUMIFS(Verlauf!$K$6:$K$1000,Verlauf!$B$6:$B$1000,$A67,Verlauf!$C$6:$C$1000,$B67)</f>
        <v>0</v>
      </c>
      <c r="E67" s="26">
        <f>SUMIFS(Verlauf!$L$6:$L$1000,Verlauf!$B$6:$B$1000,$A67,Verlauf!$C$6:$C$1000,$B67)</f>
        <v>0</v>
      </c>
      <c r="F67" s="26">
        <f>SUMIFS(Verlauf!$M$6:$M$1000,Verlauf!$B$6:$B$1000,$A67,Verlauf!$C$6:$C$1000,$B67)</f>
        <v>0</v>
      </c>
      <c r="G67" s="26">
        <f>SUMIFS(Verlauf!$J$6:$J$1000,Verlauf!$B$6:$B$1000,$A67,Verlauf!$C$6:$C$1000,$B67)</f>
        <v>0</v>
      </c>
      <c r="H67" s="26">
        <f>SUMIFS(Verlauf!$U$6:$U$1000,Verlauf!$B$6:$B$1000,$A67,Verlauf!$C$6:$C$1000,$B67)</f>
        <v>0</v>
      </c>
      <c r="I67" s="26">
        <f>SUMIFS(Verlauf!$V$6:$V$1000,Verlauf!$B$6:$B$1000,$A67,Verlauf!$C$6:$C$1000,$B67)</f>
        <v>0</v>
      </c>
      <c r="J67" s="26">
        <f>SUMIFS(Verlauf!$W$6:$W$1000,Verlauf!$B$6:$B$1000,$A67,Verlauf!$C$6:$C$1000,$B67)</f>
        <v>0</v>
      </c>
      <c r="K67" s="26">
        <f>SUMIFS(Verlauf!$T$6:$T$1000,Verlauf!$B$6:$B$1000,$A67,Verlauf!$C$6:$C$1000,$B67)</f>
        <v>0</v>
      </c>
      <c r="L67" s="27">
        <f>IF(Filter!$T$7=TRUE,IFERROR(INDEX(Planung!$D$68:$IA$68,MATCH($W67,Wirksam!$D$6:$IA$6,0)),0),0)</f>
        <v>0</v>
      </c>
      <c r="M67" s="27">
        <f>IF(OR(Filter!$T$5=TRUE,Filter!$T$6=TRUE),IFERROR(INDEX(Planung!$D$69:$IA$69,MATCH($W67,Wirksam!$D$6:$IA$6,0)),0),0)</f>
        <v>0</v>
      </c>
      <c r="N67" s="27">
        <f t="shared" si="1"/>
        <v>0</v>
      </c>
      <c r="O67" s="27" t="e">
        <f t="shared" si="2"/>
        <v>#N/A</v>
      </c>
      <c r="P67" s="27" t="e">
        <f t="shared" si="3"/>
        <v>#N/A</v>
      </c>
      <c r="Q67" s="27" t="e">
        <f t="shared" si="4"/>
        <v>#N/A</v>
      </c>
      <c r="R67" s="27" t="e">
        <f t="shared" si="5"/>
        <v>#N/A</v>
      </c>
      <c r="S67" s="27" t="e">
        <f t="shared" si="6"/>
        <v>#N/A</v>
      </c>
      <c r="T67" s="27" t="e">
        <f t="shared" si="7"/>
        <v>#N/A</v>
      </c>
      <c r="U67" s="26">
        <f>COUNTIFS(Verlauf!$B$6:$B$1000,$A67,Verlauf!$C$6:$C$1000,$B67)</f>
        <v>0</v>
      </c>
      <c r="V67" s="26">
        <f t="shared" si="8"/>
        <v>0</v>
      </c>
      <c r="W67" s="26">
        <f t="shared" si="9"/>
        <v>202738</v>
      </c>
      <c r="X67" s="26">
        <f>SUMIFS(Verlauf!$X$6:$X$1000,Verlauf!$B$6:$B$1000,$A67,Verlauf!$C$6:$C$1000,$B67)</f>
        <v>0</v>
      </c>
      <c r="Y67" s="26">
        <f>SUMIFS(Verlauf!$Y$6:$Y$1000,Verlauf!$B$6:$B$1000,$A67,Verlauf!$C$6:$C$1000,$B67)</f>
        <v>0</v>
      </c>
      <c r="Z67" s="26">
        <f>SUMIFS(Verlauf!$Z$6:$Z$1000,Verlauf!$B$6:$B$1000,$A67,Verlauf!$C$6:$C$1000,$B67)</f>
        <v>0</v>
      </c>
      <c r="AA67" s="26">
        <f>SUMIFS(Verlauf!$I$6:$I$1000,Verlauf!$B$6:$B$1000,$A67,Verlauf!$C$6:$C$1000,$B67)</f>
        <v>0</v>
      </c>
      <c r="AB67" s="26">
        <f>SUMIFS(Verlauf!$AA$6:$AA$1000,Verlauf!$B$6:$B$1000,$A67,Verlauf!$C$6:$C$1000,$B67)</f>
        <v>0</v>
      </c>
      <c r="AC67" s="26">
        <f>SUMIFS(Verlauf!$AB$6:$AB$1000,Verlauf!$B$6:$B$1000,$A67,Verlauf!$C$6:$C$1000,$B67)</f>
        <v>0</v>
      </c>
      <c r="AD67" s="26">
        <f>SUMIFS(Verlauf!$AC$6:$AC$1000,Verlauf!$B$6:$B$1000,$A67,Verlauf!$C$6:$C$1000,$B67)</f>
        <v>0</v>
      </c>
      <c r="AE67" s="26">
        <f>SUMIFS(Verlauf!$S$6:$S$1000,Verlauf!$B$6:$B$1000,$A67,Verlauf!$C$6:$C$1000,$B67)</f>
        <v>0</v>
      </c>
      <c r="AF67" s="26" t="str">
        <f>IF($AN67="","",INDEX(Verlauf!$D$6:$D$1000,MATCH($AN67,Verlauf!$A$6:$A$1000,0)))</f>
        <v/>
      </c>
      <c r="AG67" s="26" t="str">
        <f>IF($AN67="","",INDEX(Verlauf!$E$6:$E$1000,MATCH($AN67,Verlauf!$A$6:$A$1000,0)))</f>
        <v/>
      </c>
      <c r="AH67" s="26" t="str">
        <f>IF($AN67="","",INDEX(Verlauf!$F$6:$F$1000,MATCH($AN67,Verlauf!$A$6:$A$1000,0)))</f>
        <v/>
      </c>
      <c r="AI67" s="26" t="str">
        <f>IF($AN67="","",INDEX(Verlauf!$H$6:$H$1000,MATCH($AN67,Verlauf!$A$6:$A$1000,0)))</f>
        <v/>
      </c>
      <c r="AJ67" s="26" t="str">
        <f>IF($AN67="","",INDEX(Verlauf!$N$6:$N$1000,MATCH($AN67,Verlauf!$A$6:$A$1000,0)))</f>
        <v/>
      </c>
      <c r="AK67" s="26" t="str">
        <f>IF($AN67="","",INDEX(Verlauf!$O$6:$O$1000,MATCH($AN67,Verlauf!$A$6:$A$1000,0)))</f>
        <v/>
      </c>
      <c r="AL67" s="26" t="str">
        <f>IF($AN67="","",INDEX(Verlauf!$P$6:$P$1000,MATCH($AN67,Verlauf!$A$6:$A$1000,0)))</f>
        <v/>
      </c>
      <c r="AM67" s="26" t="str">
        <f>IF($AN67="","",INDEX(Verlauf!$R$6:$R$1000,MATCH($AN67,Verlauf!$A$6:$A$1000,0)))</f>
        <v/>
      </c>
      <c r="AN67" s="28" t="str">
        <f>IF(U67&gt;0,_xlfn.MAXIFS(Verlauf!$A$6:$A$1000,Verlauf!$B$6:$B$1000,$A67,Verlauf!$C$6:$C$1000,$B67),"")</f>
        <v/>
      </c>
    </row>
    <row r="68" spans="1:40" x14ac:dyDescent="0.25">
      <c r="A68" s="26">
        <v>2027</v>
      </c>
      <c r="B68" s="26">
        <v>39</v>
      </c>
      <c r="C68" s="7" t="str">
        <f t="shared" si="0"/>
        <v>KW 39/27</v>
      </c>
      <c r="D68" s="26">
        <f>SUMIFS(Verlauf!$K$6:$K$1000,Verlauf!$B$6:$B$1000,$A68,Verlauf!$C$6:$C$1000,$B68)</f>
        <v>0</v>
      </c>
      <c r="E68" s="26">
        <f>SUMIFS(Verlauf!$L$6:$L$1000,Verlauf!$B$6:$B$1000,$A68,Verlauf!$C$6:$C$1000,$B68)</f>
        <v>0</v>
      </c>
      <c r="F68" s="26">
        <f>SUMIFS(Verlauf!$M$6:$M$1000,Verlauf!$B$6:$B$1000,$A68,Verlauf!$C$6:$C$1000,$B68)</f>
        <v>0</v>
      </c>
      <c r="G68" s="26">
        <f>SUMIFS(Verlauf!$J$6:$J$1000,Verlauf!$B$6:$B$1000,$A68,Verlauf!$C$6:$C$1000,$B68)</f>
        <v>0</v>
      </c>
      <c r="H68" s="26">
        <f>SUMIFS(Verlauf!$U$6:$U$1000,Verlauf!$B$6:$B$1000,$A68,Verlauf!$C$6:$C$1000,$B68)</f>
        <v>0</v>
      </c>
      <c r="I68" s="26">
        <f>SUMIFS(Verlauf!$V$6:$V$1000,Verlauf!$B$6:$B$1000,$A68,Verlauf!$C$6:$C$1000,$B68)</f>
        <v>0</v>
      </c>
      <c r="J68" s="26">
        <f>SUMIFS(Verlauf!$W$6:$W$1000,Verlauf!$B$6:$B$1000,$A68,Verlauf!$C$6:$C$1000,$B68)</f>
        <v>0</v>
      </c>
      <c r="K68" s="26">
        <f>SUMIFS(Verlauf!$T$6:$T$1000,Verlauf!$B$6:$B$1000,$A68,Verlauf!$C$6:$C$1000,$B68)</f>
        <v>0</v>
      </c>
      <c r="L68" s="27">
        <f>IF(Filter!$T$7=TRUE,IFERROR(INDEX(Planung!$D$68:$IA$68,MATCH($W68,Wirksam!$D$6:$IA$6,0)),0),0)</f>
        <v>0</v>
      </c>
      <c r="M68" s="27">
        <f>IF(OR(Filter!$T$5=TRUE,Filter!$T$6=TRUE),IFERROR(INDEX(Planung!$D$69:$IA$69,MATCH($W68,Wirksam!$D$6:$IA$6,0)),0),0)</f>
        <v>0</v>
      </c>
      <c r="N68" s="27">
        <f t="shared" si="1"/>
        <v>0</v>
      </c>
      <c r="O68" s="27" t="e">
        <f t="shared" si="2"/>
        <v>#N/A</v>
      </c>
      <c r="P68" s="27" t="e">
        <f t="shared" si="3"/>
        <v>#N/A</v>
      </c>
      <c r="Q68" s="27" t="e">
        <f t="shared" si="4"/>
        <v>#N/A</v>
      </c>
      <c r="R68" s="27" t="e">
        <f t="shared" si="5"/>
        <v>#N/A</v>
      </c>
      <c r="S68" s="27" t="e">
        <f t="shared" si="6"/>
        <v>#N/A</v>
      </c>
      <c r="T68" s="27" t="e">
        <f t="shared" si="7"/>
        <v>#N/A</v>
      </c>
      <c r="U68" s="26">
        <f>COUNTIFS(Verlauf!$B$6:$B$1000,$A68,Verlauf!$C$6:$C$1000,$B68)</f>
        <v>0</v>
      </c>
      <c r="V68" s="26">
        <f t="shared" si="8"/>
        <v>0</v>
      </c>
      <c r="W68" s="26">
        <f t="shared" si="9"/>
        <v>202739</v>
      </c>
      <c r="X68" s="26">
        <f>SUMIFS(Verlauf!$X$6:$X$1000,Verlauf!$B$6:$B$1000,$A68,Verlauf!$C$6:$C$1000,$B68)</f>
        <v>0</v>
      </c>
      <c r="Y68" s="26">
        <f>SUMIFS(Verlauf!$Y$6:$Y$1000,Verlauf!$B$6:$B$1000,$A68,Verlauf!$C$6:$C$1000,$B68)</f>
        <v>0</v>
      </c>
      <c r="Z68" s="26">
        <f>SUMIFS(Verlauf!$Z$6:$Z$1000,Verlauf!$B$6:$B$1000,$A68,Verlauf!$C$6:$C$1000,$B68)</f>
        <v>0</v>
      </c>
      <c r="AA68" s="26">
        <f>SUMIFS(Verlauf!$I$6:$I$1000,Verlauf!$B$6:$B$1000,$A68,Verlauf!$C$6:$C$1000,$B68)</f>
        <v>0</v>
      </c>
      <c r="AB68" s="26">
        <f>SUMIFS(Verlauf!$AA$6:$AA$1000,Verlauf!$B$6:$B$1000,$A68,Verlauf!$C$6:$C$1000,$B68)</f>
        <v>0</v>
      </c>
      <c r="AC68" s="26">
        <f>SUMIFS(Verlauf!$AB$6:$AB$1000,Verlauf!$B$6:$B$1000,$A68,Verlauf!$C$6:$C$1000,$B68)</f>
        <v>0</v>
      </c>
      <c r="AD68" s="26">
        <f>SUMIFS(Verlauf!$AC$6:$AC$1000,Verlauf!$B$6:$B$1000,$A68,Verlauf!$C$6:$C$1000,$B68)</f>
        <v>0</v>
      </c>
      <c r="AE68" s="26">
        <f>SUMIFS(Verlauf!$S$6:$S$1000,Verlauf!$B$6:$B$1000,$A68,Verlauf!$C$6:$C$1000,$B68)</f>
        <v>0</v>
      </c>
      <c r="AF68" s="26" t="str">
        <f>IF($AN68="","",INDEX(Verlauf!$D$6:$D$1000,MATCH($AN68,Verlauf!$A$6:$A$1000,0)))</f>
        <v/>
      </c>
      <c r="AG68" s="26" t="str">
        <f>IF($AN68="","",INDEX(Verlauf!$E$6:$E$1000,MATCH($AN68,Verlauf!$A$6:$A$1000,0)))</f>
        <v/>
      </c>
      <c r="AH68" s="26" t="str">
        <f>IF($AN68="","",INDEX(Verlauf!$F$6:$F$1000,MATCH($AN68,Verlauf!$A$6:$A$1000,0)))</f>
        <v/>
      </c>
      <c r="AI68" s="26" t="str">
        <f>IF($AN68="","",INDEX(Verlauf!$H$6:$H$1000,MATCH($AN68,Verlauf!$A$6:$A$1000,0)))</f>
        <v/>
      </c>
      <c r="AJ68" s="26" t="str">
        <f>IF($AN68="","",INDEX(Verlauf!$N$6:$N$1000,MATCH($AN68,Verlauf!$A$6:$A$1000,0)))</f>
        <v/>
      </c>
      <c r="AK68" s="26" t="str">
        <f>IF($AN68="","",INDEX(Verlauf!$O$6:$O$1000,MATCH($AN68,Verlauf!$A$6:$A$1000,0)))</f>
        <v/>
      </c>
      <c r="AL68" s="26" t="str">
        <f>IF($AN68="","",INDEX(Verlauf!$P$6:$P$1000,MATCH($AN68,Verlauf!$A$6:$A$1000,0)))</f>
        <v/>
      </c>
      <c r="AM68" s="26" t="str">
        <f>IF($AN68="","",INDEX(Verlauf!$R$6:$R$1000,MATCH($AN68,Verlauf!$A$6:$A$1000,0)))</f>
        <v/>
      </c>
      <c r="AN68" s="28" t="str">
        <f>IF(U68&gt;0,_xlfn.MAXIFS(Verlauf!$A$6:$A$1000,Verlauf!$B$6:$B$1000,$A68,Verlauf!$C$6:$C$1000,$B68),"")</f>
        <v/>
      </c>
    </row>
    <row r="69" spans="1:40" x14ac:dyDescent="0.25">
      <c r="A69" s="26">
        <v>2027</v>
      </c>
      <c r="B69" s="26">
        <v>40</v>
      </c>
      <c r="C69" s="7" t="str">
        <f t="shared" si="0"/>
        <v>KW 40/27</v>
      </c>
      <c r="D69" s="26">
        <f>SUMIFS(Verlauf!$K$6:$K$1000,Verlauf!$B$6:$B$1000,$A69,Verlauf!$C$6:$C$1000,$B69)</f>
        <v>0</v>
      </c>
      <c r="E69" s="26">
        <f>SUMIFS(Verlauf!$L$6:$L$1000,Verlauf!$B$6:$B$1000,$A69,Verlauf!$C$6:$C$1000,$B69)</f>
        <v>0</v>
      </c>
      <c r="F69" s="26">
        <f>SUMIFS(Verlauf!$M$6:$M$1000,Verlauf!$B$6:$B$1000,$A69,Verlauf!$C$6:$C$1000,$B69)</f>
        <v>0</v>
      </c>
      <c r="G69" s="26">
        <f>SUMIFS(Verlauf!$J$6:$J$1000,Verlauf!$B$6:$B$1000,$A69,Verlauf!$C$6:$C$1000,$B69)</f>
        <v>0</v>
      </c>
      <c r="H69" s="26">
        <f>SUMIFS(Verlauf!$U$6:$U$1000,Verlauf!$B$6:$B$1000,$A69,Verlauf!$C$6:$C$1000,$B69)</f>
        <v>0</v>
      </c>
      <c r="I69" s="26">
        <f>SUMIFS(Verlauf!$V$6:$V$1000,Verlauf!$B$6:$B$1000,$A69,Verlauf!$C$6:$C$1000,$B69)</f>
        <v>0</v>
      </c>
      <c r="J69" s="26">
        <f>SUMIFS(Verlauf!$W$6:$W$1000,Verlauf!$B$6:$B$1000,$A69,Verlauf!$C$6:$C$1000,$B69)</f>
        <v>0</v>
      </c>
      <c r="K69" s="26">
        <f>SUMIFS(Verlauf!$T$6:$T$1000,Verlauf!$B$6:$B$1000,$A69,Verlauf!$C$6:$C$1000,$B69)</f>
        <v>0</v>
      </c>
      <c r="L69" s="27">
        <f>IF(Filter!$T$7=TRUE,IFERROR(INDEX(Planung!$D$68:$IA$68,MATCH($W69,Wirksam!$D$6:$IA$6,0)),0),0)</f>
        <v>0</v>
      </c>
      <c r="M69" s="27">
        <f>IF(OR(Filter!$T$5=TRUE,Filter!$T$6=TRUE),IFERROR(INDEX(Planung!$D$69:$IA$69,MATCH($W69,Wirksam!$D$6:$IA$6,0)),0),0)</f>
        <v>0</v>
      </c>
      <c r="N69" s="27">
        <f t="shared" si="1"/>
        <v>0</v>
      </c>
      <c r="O69" s="27" t="e">
        <f t="shared" si="2"/>
        <v>#N/A</v>
      </c>
      <c r="P69" s="27" t="e">
        <f t="shared" si="3"/>
        <v>#N/A</v>
      </c>
      <c r="Q69" s="27" t="e">
        <f t="shared" si="4"/>
        <v>#N/A</v>
      </c>
      <c r="R69" s="27" t="e">
        <f t="shared" si="5"/>
        <v>#N/A</v>
      </c>
      <c r="S69" s="27" t="e">
        <f t="shared" si="6"/>
        <v>#N/A</v>
      </c>
      <c r="T69" s="27" t="e">
        <f t="shared" si="7"/>
        <v>#N/A</v>
      </c>
      <c r="U69" s="26">
        <f>COUNTIFS(Verlauf!$B$6:$B$1000,$A69,Verlauf!$C$6:$C$1000,$B69)</f>
        <v>0</v>
      </c>
      <c r="V69" s="26">
        <f t="shared" si="8"/>
        <v>0</v>
      </c>
      <c r="W69" s="26">
        <f t="shared" si="9"/>
        <v>202740</v>
      </c>
      <c r="X69" s="26">
        <f>SUMIFS(Verlauf!$X$6:$X$1000,Verlauf!$B$6:$B$1000,$A69,Verlauf!$C$6:$C$1000,$B69)</f>
        <v>0</v>
      </c>
      <c r="Y69" s="26">
        <f>SUMIFS(Verlauf!$Y$6:$Y$1000,Verlauf!$B$6:$B$1000,$A69,Verlauf!$C$6:$C$1000,$B69)</f>
        <v>0</v>
      </c>
      <c r="Z69" s="26">
        <f>SUMIFS(Verlauf!$Z$6:$Z$1000,Verlauf!$B$6:$B$1000,$A69,Verlauf!$C$6:$C$1000,$B69)</f>
        <v>0</v>
      </c>
      <c r="AA69" s="26">
        <f>SUMIFS(Verlauf!$I$6:$I$1000,Verlauf!$B$6:$B$1000,$A69,Verlauf!$C$6:$C$1000,$B69)</f>
        <v>0</v>
      </c>
      <c r="AB69" s="26">
        <f>SUMIFS(Verlauf!$AA$6:$AA$1000,Verlauf!$B$6:$B$1000,$A69,Verlauf!$C$6:$C$1000,$B69)</f>
        <v>0</v>
      </c>
      <c r="AC69" s="26">
        <f>SUMIFS(Verlauf!$AB$6:$AB$1000,Verlauf!$B$6:$B$1000,$A69,Verlauf!$C$6:$C$1000,$B69)</f>
        <v>0</v>
      </c>
      <c r="AD69" s="26">
        <f>SUMIFS(Verlauf!$AC$6:$AC$1000,Verlauf!$B$6:$B$1000,$A69,Verlauf!$C$6:$C$1000,$B69)</f>
        <v>0</v>
      </c>
      <c r="AE69" s="26">
        <f>SUMIFS(Verlauf!$S$6:$S$1000,Verlauf!$B$6:$B$1000,$A69,Verlauf!$C$6:$C$1000,$B69)</f>
        <v>0</v>
      </c>
      <c r="AF69" s="26" t="str">
        <f>IF($AN69="","",INDEX(Verlauf!$D$6:$D$1000,MATCH($AN69,Verlauf!$A$6:$A$1000,0)))</f>
        <v/>
      </c>
      <c r="AG69" s="26" t="str">
        <f>IF($AN69="","",INDEX(Verlauf!$E$6:$E$1000,MATCH($AN69,Verlauf!$A$6:$A$1000,0)))</f>
        <v/>
      </c>
      <c r="AH69" s="26" t="str">
        <f>IF($AN69="","",INDEX(Verlauf!$F$6:$F$1000,MATCH($AN69,Verlauf!$A$6:$A$1000,0)))</f>
        <v/>
      </c>
      <c r="AI69" s="26" t="str">
        <f>IF($AN69="","",INDEX(Verlauf!$H$6:$H$1000,MATCH($AN69,Verlauf!$A$6:$A$1000,0)))</f>
        <v/>
      </c>
      <c r="AJ69" s="26" t="str">
        <f>IF($AN69="","",INDEX(Verlauf!$N$6:$N$1000,MATCH($AN69,Verlauf!$A$6:$A$1000,0)))</f>
        <v/>
      </c>
      <c r="AK69" s="26" t="str">
        <f>IF($AN69="","",INDEX(Verlauf!$O$6:$O$1000,MATCH($AN69,Verlauf!$A$6:$A$1000,0)))</f>
        <v/>
      </c>
      <c r="AL69" s="26" t="str">
        <f>IF($AN69="","",INDEX(Verlauf!$P$6:$P$1000,MATCH($AN69,Verlauf!$A$6:$A$1000,0)))</f>
        <v/>
      </c>
      <c r="AM69" s="26" t="str">
        <f>IF($AN69="","",INDEX(Verlauf!$R$6:$R$1000,MATCH($AN69,Verlauf!$A$6:$A$1000,0)))</f>
        <v/>
      </c>
      <c r="AN69" s="28" t="str">
        <f>IF(U69&gt;0,_xlfn.MAXIFS(Verlauf!$A$6:$A$1000,Verlauf!$B$6:$B$1000,$A69,Verlauf!$C$6:$C$1000,$B69),"")</f>
        <v/>
      </c>
    </row>
    <row r="70" spans="1:40" x14ac:dyDescent="0.25">
      <c r="A70" s="26">
        <v>2027</v>
      </c>
      <c r="B70" s="26">
        <v>41</v>
      </c>
      <c r="C70" s="7" t="str">
        <f t="shared" ref="C70:C133" si="10">"KW "&amp;B70&amp;"/"&amp;RIGHT(A70,2)</f>
        <v>KW 41/27</v>
      </c>
      <c r="D70" s="26">
        <f>SUMIFS(Verlauf!$K$6:$K$1000,Verlauf!$B$6:$B$1000,$A70,Verlauf!$C$6:$C$1000,$B70)</f>
        <v>0</v>
      </c>
      <c r="E70" s="26">
        <f>SUMIFS(Verlauf!$L$6:$L$1000,Verlauf!$B$6:$B$1000,$A70,Verlauf!$C$6:$C$1000,$B70)</f>
        <v>0</v>
      </c>
      <c r="F70" s="26">
        <f>SUMIFS(Verlauf!$M$6:$M$1000,Verlauf!$B$6:$B$1000,$A70,Verlauf!$C$6:$C$1000,$B70)</f>
        <v>0</v>
      </c>
      <c r="G70" s="26">
        <f>SUMIFS(Verlauf!$J$6:$J$1000,Verlauf!$B$6:$B$1000,$A70,Verlauf!$C$6:$C$1000,$B70)</f>
        <v>0</v>
      </c>
      <c r="H70" s="26">
        <f>SUMIFS(Verlauf!$U$6:$U$1000,Verlauf!$B$6:$B$1000,$A70,Verlauf!$C$6:$C$1000,$B70)</f>
        <v>0</v>
      </c>
      <c r="I70" s="26">
        <f>SUMIFS(Verlauf!$V$6:$V$1000,Verlauf!$B$6:$B$1000,$A70,Verlauf!$C$6:$C$1000,$B70)</f>
        <v>0</v>
      </c>
      <c r="J70" s="26">
        <f>SUMIFS(Verlauf!$W$6:$W$1000,Verlauf!$B$6:$B$1000,$A70,Verlauf!$C$6:$C$1000,$B70)</f>
        <v>0</v>
      </c>
      <c r="K70" s="26">
        <f>SUMIFS(Verlauf!$T$6:$T$1000,Verlauf!$B$6:$B$1000,$A70,Verlauf!$C$6:$C$1000,$B70)</f>
        <v>0</v>
      </c>
      <c r="L70" s="27">
        <f>IF(Filter!$T$7=TRUE,IFERROR(INDEX(Planung!$D$68:$IA$68,MATCH($W70,Wirksam!$D$6:$IA$6,0)),0),0)</f>
        <v>0</v>
      </c>
      <c r="M70" s="27">
        <f>IF(OR(Filter!$T$5=TRUE,Filter!$T$6=TRUE),IFERROR(INDEX(Planung!$D$69:$IA$69,MATCH($W70,Wirksam!$D$6:$IA$6,0)),0),0)</f>
        <v>0</v>
      </c>
      <c r="N70" s="27">
        <f t="shared" ref="N70:N133" si="11">L70+M70</f>
        <v>0</v>
      </c>
      <c r="O70" s="27" t="e">
        <f t="shared" ref="O70:O133" si="12">IF(AND(L70&gt;0,U70&gt;0),J70/L70,NA())</f>
        <v>#N/A</v>
      </c>
      <c r="P70" s="27" t="e">
        <f t="shared" ref="P70:P133" si="13">IF(AND(M70&gt;0,U70&gt;0),(H70+I70)/M70,NA())</f>
        <v>#N/A</v>
      </c>
      <c r="Q70" s="27" t="e">
        <f t="shared" ref="Q70:Q133" si="14">IF(AND(N70&gt;0,U70&gt;0),K70/N70,NA())</f>
        <v>#N/A</v>
      </c>
      <c r="R70" s="27" t="e">
        <f t="shared" ref="R70:R133" si="15">IF(AND(L70&gt;0,U70&gt;0),F70/L70,NA())</f>
        <v>#N/A</v>
      </c>
      <c r="S70" s="27" t="e">
        <f t="shared" ref="S70:S133" si="16">IF(AND(M70&gt;0,U70&gt;0),(D70+E70)/M70,NA())</f>
        <v>#N/A</v>
      </c>
      <c r="T70" s="27" t="e">
        <f t="shared" ref="T70:T133" si="17">IF(AND(N70&gt;0,U70&gt;0),G70/N70,NA())</f>
        <v>#N/A</v>
      </c>
      <c r="U70" s="26">
        <f>COUNTIFS(Verlauf!$B$6:$B$1000,$A70,Verlauf!$C$6:$C$1000,$B70)</f>
        <v>0</v>
      </c>
      <c r="V70" s="26">
        <f t="shared" ref="V70:V133" si="18">IF(OR(U70&gt;0,N70&gt;0),1,0)</f>
        <v>0</v>
      </c>
      <c r="W70" s="26">
        <f t="shared" ref="W70:W133" si="19">A70*100+B70</f>
        <v>202741</v>
      </c>
      <c r="X70" s="26">
        <f>SUMIFS(Verlauf!$X$6:$X$1000,Verlauf!$B$6:$B$1000,$A70,Verlauf!$C$6:$C$1000,$B70)</f>
        <v>0</v>
      </c>
      <c r="Y70" s="26">
        <f>SUMIFS(Verlauf!$Y$6:$Y$1000,Verlauf!$B$6:$B$1000,$A70,Verlauf!$C$6:$C$1000,$B70)</f>
        <v>0</v>
      </c>
      <c r="Z70" s="26">
        <f>SUMIFS(Verlauf!$Z$6:$Z$1000,Verlauf!$B$6:$B$1000,$A70,Verlauf!$C$6:$C$1000,$B70)</f>
        <v>0</v>
      </c>
      <c r="AA70" s="26">
        <f>SUMIFS(Verlauf!$I$6:$I$1000,Verlauf!$B$6:$B$1000,$A70,Verlauf!$C$6:$C$1000,$B70)</f>
        <v>0</v>
      </c>
      <c r="AB70" s="26">
        <f>SUMIFS(Verlauf!$AA$6:$AA$1000,Verlauf!$B$6:$B$1000,$A70,Verlauf!$C$6:$C$1000,$B70)</f>
        <v>0</v>
      </c>
      <c r="AC70" s="26">
        <f>SUMIFS(Verlauf!$AB$6:$AB$1000,Verlauf!$B$6:$B$1000,$A70,Verlauf!$C$6:$C$1000,$B70)</f>
        <v>0</v>
      </c>
      <c r="AD70" s="26">
        <f>SUMIFS(Verlauf!$AC$6:$AC$1000,Verlauf!$B$6:$B$1000,$A70,Verlauf!$C$6:$C$1000,$B70)</f>
        <v>0</v>
      </c>
      <c r="AE70" s="26">
        <f>SUMIFS(Verlauf!$S$6:$S$1000,Verlauf!$B$6:$B$1000,$A70,Verlauf!$C$6:$C$1000,$B70)</f>
        <v>0</v>
      </c>
      <c r="AF70" s="26" t="str">
        <f>IF($AN70="","",INDEX(Verlauf!$D$6:$D$1000,MATCH($AN70,Verlauf!$A$6:$A$1000,0)))</f>
        <v/>
      </c>
      <c r="AG70" s="26" t="str">
        <f>IF($AN70="","",INDEX(Verlauf!$E$6:$E$1000,MATCH($AN70,Verlauf!$A$6:$A$1000,0)))</f>
        <v/>
      </c>
      <c r="AH70" s="26" t="str">
        <f>IF($AN70="","",INDEX(Verlauf!$F$6:$F$1000,MATCH($AN70,Verlauf!$A$6:$A$1000,0)))</f>
        <v/>
      </c>
      <c r="AI70" s="26" t="str">
        <f>IF($AN70="","",INDEX(Verlauf!$H$6:$H$1000,MATCH($AN70,Verlauf!$A$6:$A$1000,0)))</f>
        <v/>
      </c>
      <c r="AJ70" s="26" t="str">
        <f>IF($AN70="","",INDEX(Verlauf!$N$6:$N$1000,MATCH($AN70,Verlauf!$A$6:$A$1000,0)))</f>
        <v/>
      </c>
      <c r="AK70" s="26" t="str">
        <f>IF($AN70="","",INDEX(Verlauf!$O$6:$O$1000,MATCH($AN70,Verlauf!$A$6:$A$1000,0)))</f>
        <v/>
      </c>
      <c r="AL70" s="26" t="str">
        <f>IF($AN70="","",INDEX(Verlauf!$P$6:$P$1000,MATCH($AN70,Verlauf!$A$6:$A$1000,0)))</f>
        <v/>
      </c>
      <c r="AM70" s="26" t="str">
        <f>IF($AN70="","",INDEX(Verlauf!$R$6:$R$1000,MATCH($AN70,Verlauf!$A$6:$A$1000,0)))</f>
        <v/>
      </c>
      <c r="AN70" s="28" t="str">
        <f>IF(U70&gt;0,_xlfn.MAXIFS(Verlauf!$A$6:$A$1000,Verlauf!$B$6:$B$1000,$A70,Verlauf!$C$6:$C$1000,$B70),"")</f>
        <v/>
      </c>
    </row>
    <row r="71" spans="1:40" x14ac:dyDescent="0.25">
      <c r="A71" s="26">
        <v>2027</v>
      </c>
      <c r="B71" s="26">
        <v>42</v>
      </c>
      <c r="C71" s="7" t="str">
        <f t="shared" si="10"/>
        <v>KW 42/27</v>
      </c>
      <c r="D71" s="26">
        <f>SUMIFS(Verlauf!$K$6:$K$1000,Verlauf!$B$6:$B$1000,$A71,Verlauf!$C$6:$C$1000,$B71)</f>
        <v>0</v>
      </c>
      <c r="E71" s="26">
        <f>SUMIFS(Verlauf!$L$6:$L$1000,Verlauf!$B$6:$B$1000,$A71,Verlauf!$C$6:$C$1000,$B71)</f>
        <v>0</v>
      </c>
      <c r="F71" s="26">
        <f>SUMIFS(Verlauf!$M$6:$M$1000,Verlauf!$B$6:$B$1000,$A71,Verlauf!$C$6:$C$1000,$B71)</f>
        <v>0</v>
      </c>
      <c r="G71" s="26">
        <f>SUMIFS(Verlauf!$J$6:$J$1000,Verlauf!$B$6:$B$1000,$A71,Verlauf!$C$6:$C$1000,$B71)</f>
        <v>0</v>
      </c>
      <c r="H71" s="26">
        <f>SUMIFS(Verlauf!$U$6:$U$1000,Verlauf!$B$6:$B$1000,$A71,Verlauf!$C$6:$C$1000,$B71)</f>
        <v>0</v>
      </c>
      <c r="I71" s="26">
        <f>SUMIFS(Verlauf!$V$6:$V$1000,Verlauf!$B$6:$B$1000,$A71,Verlauf!$C$6:$C$1000,$B71)</f>
        <v>0</v>
      </c>
      <c r="J71" s="26">
        <f>SUMIFS(Verlauf!$W$6:$W$1000,Verlauf!$B$6:$B$1000,$A71,Verlauf!$C$6:$C$1000,$B71)</f>
        <v>0</v>
      </c>
      <c r="K71" s="26">
        <f>SUMIFS(Verlauf!$T$6:$T$1000,Verlauf!$B$6:$B$1000,$A71,Verlauf!$C$6:$C$1000,$B71)</f>
        <v>0</v>
      </c>
      <c r="L71" s="27">
        <f>IF(Filter!$T$7=TRUE,IFERROR(INDEX(Planung!$D$68:$IA$68,MATCH($W71,Wirksam!$D$6:$IA$6,0)),0),0)</f>
        <v>0</v>
      </c>
      <c r="M71" s="27">
        <f>IF(OR(Filter!$T$5=TRUE,Filter!$T$6=TRUE),IFERROR(INDEX(Planung!$D$69:$IA$69,MATCH($W71,Wirksam!$D$6:$IA$6,0)),0),0)</f>
        <v>0</v>
      </c>
      <c r="N71" s="27">
        <f t="shared" si="11"/>
        <v>0</v>
      </c>
      <c r="O71" s="27" t="e">
        <f t="shared" si="12"/>
        <v>#N/A</v>
      </c>
      <c r="P71" s="27" t="e">
        <f t="shared" si="13"/>
        <v>#N/A</v>
      </c>
      <c r="Q71" s="27" t="e">
        <f t="shared" si="14"/>
        <v>#N/A</v>
      </c>
      <c r="R71" s="27" t="e">
        <f t="shared" si="15"/>
        <v>#N/A</v>
      </c>
      <c r="S71" s="27" t="e">
        <f t="shared" si="16"/>
        <v>#N/A</v>
      </c>
      <c r="T71" s="27" t="e">
        <f t="shared" si="17"/>
        <v>#N/A</v>
      </c>
      <c r="U71" s="26">
        <f>COUNTIFS(Verlauf!$B$6:$B$1000,$A71,Verlauf!$C$6:$C$1000,$B71)</f>
        <v>0</v>
      </c>
      <c r="V71" s="26">
        <f t="shared" si="18"/>
        <v>0</v>
      </c>
      <c r="W71" s="26">
        <f t="shared" si="19"/>
        <v>202742</v>
      </c>
      <c r="X71" s="26">
        <f>SUMIFS(Verlauf!$X$6:$X$1000,Verlauf!$B$6:$B$1000,$A71,Verlauf!$C$6:$C$1000,$B71)</f>
        <v>0</v>
      </c>
      <c r="Y71" s="26">
        <f>SUMIFS(Verlauf!$Y$6:$Y$1000,Verlauf!$B$6:$B$1000,$A71,Verlauf!$C$6:$C$1000,$B71)</f>
        <v>0</v>
      </c>
      <c r="Z71" s="26">
        <f>SUMIFS(Verlauf!$Z$6:$Z$1000,Verlauf!$B$6:$B$1000,$A71,Verlauf!$C$6:$C$1000,$B71)</f>
        <v>0</v>
      </c>
      <c r="AA71" s="26">
        <f>SUMIFS(Verlauf!$I$6:$I$1000,Verlauf!$B$6:$B$1000,$A71,Verlauf!$C$6:$C$1000,$B71)</f>
        <v>0</v>
      </c>
      <c r="AB71" s="26">
        <f>SUMIFS(Verlauf!$AA$6:$AA$1000,Verlauf!$B$6:$B$1000,$A71,Verlauf!$C$6:$C$1000,$B71)</f>
        <v>0</v>
      </c>
      <c r="AC71" s="26">
        <f>SUMIFS(Verlauf!$AB$6:$AB$1000,Verlauf!$B$6:$B$1000,$A71,Verlauf!$C$6:$C$1000,$B71)</f>
        <v>0</v>
      </c>
      <c r="AD71" s="26">
        <f>SUMIFS(Verlauf!$AC$6:$AC$1000,Verlauf!$B$6:$B$1000,$A71,Verlauf!$C$6:$C$1000,$B71)</f>
        <v>0</v>
      </c>
      <c r="AE71" s="26">
        <f>SUMIFS(Verlauf!$S$6:$S$1000,Verlauf!$B$6:$B$1000,$A71,Verlauf!$C$6:$C$1000,$B71)</f>
        <v>0</v>
      </c>
      <c r="AF71" s="26" t="str">
        <f>IF($AN71="","",INDEX(Verlauf!$D$6:$D$1000,MATCH($AN71,Verlauf!$A$6:$A$1000,0)))</f>
        <v/>
      </c>
      <c r="AG71" s="26" t="str">
        <f>IF($AN71="","",INDEX(Verlauf!$E$6:$E$1000,MATCH($AN71,Verlauf!$A$6:$A$1000,0)))</f>
        <v/>
      </c>
      <c r="AH71" s="26" t="str">
        <f>IF($AN71="","",INDEX(Verlauf!$F$6:$F$1000,MATCH($AN71,Verlauf!$A$6:$A$1000,0)))</f>
        <v/>
      </c>
      <c r="AI71" s="26" t="str">
        <f>IF($AN71="","",INDEX(Verlauf!$H$6:$H$1000,MATCH($AN71,Verlauf!$A$6:$A$1000,0)))</f>
        <v/>
      </c>
      <c r="AJ71" s="26" t="str">
        <f>IF($AN71="","",INDEX(Verlauf!$N$6:$N$1000,MATCH($AN71,Verlauf!$A$6:$A$1000,0)))</f>
        <v/>
      </c>
      <c r="AK71" s="26" t="str">
        <f>IF($AN71="","",INDEX(Verlauf!$O$6:$O$1000,MATCH($AN71,Verlauf!$A$6:$A$1000,0)))</f>
        <v/>
      </c>
      <c r="AL71" s="26" t="str">
        <f>IF($AN71="","",INDEX(Verlauf!$P$6:$P$1000,MATCH($AN71,Verlauf!$A$6:$A$1000,0)))</f>
        <v/>
      </c>
      <c r="AM71" s="26" t="str">
        <f>IF($AN71="","",INDEX(Verlauf!$R$6:$R$1000,MATCH($AN71,Verlauf!$A$6:$A$1000,0)))</f>
        <v/>
      </c>
      <c r="AN71" s="28" t="str">
        <f>IF(U71&gt;0,_xlfn.MAXIFS(Verlauf!$A$6:$A$1000,Verlauf!$B$6:$B$1000,$A71,Verlauf!$C$6:$C$1000,$B71),"")</f>
        <v/>
      </c>
    </row>
    <row r="72" spans="1:40" x14ac:dyDescent="0.25">
      <c r="A72" s="26">
        <v>2027</v>
      </c>
      <c r="B72" s="26">
        <v>43</v>
      </c>
      <c r="C72" s="7" t="str">
        <f t="shared" si="10"/>
        <v>KW 43/27</v>
      </c>
      <c r="D72" s="26">
        <f>SUMIFS(Verlauf!$K$6:$K$1000,Verlauf!$B$6:$B$1000,$A72,Verlauf!$C$6:$C$1000,$B72)</f>
        <v>0</v>
      </c>
      <c r="E72" s="26">
        <f>SUMIFS(Verlauf!$L$6:$L$1000,Verlauf!$B$6:$B$1000,$A72,Verlauf!$C$6:$C$1000,$B72)</f>
        <v>0</v>
      </c>
      <c r="F72" s="26">
        <f>SUMIFS(Verlauf!$M$6:$M$1000,Verlauf!$B$6:$B$1000,$A72,Verlauf!$C$6:$C$1000,$B72)</f>
        <v>0</v>
      </c>
      <c r="G72" s="26">
        <f>SUMIFS(Verlauf!$J$6:$J$1000,Verlauf!$B$6:$B$1000,$A72,Verlauf!$C$6:$C$1000,$B72)</f>
        <v>0</v>
      </c>
      <c r="H72" s="26">
        <f>SUMIFS(Verlauf!$U$6:$U$1000,Verlauf!$B$6:$B$1000,$A72,Verlauf!$C$6:$C$1000,$B72)</f>
        <v>0</v>
      </c>
      <c r="I72" s="26">
        <f>SUMIFS(Verlauf!$V$6:$V$1000,Verlauf!$B$6:$B$1000,$A72,Verlauf!$C$6:$C$1000,$B72)</f>
        <v>0</v>
      </c>
      <c r="J72" s="26">
        <f>SUMIFS(Verlauf!$W$6:$W$1000,Verlauf!$B$6:$B$1000,$A72,Verlauf!$C$6:$C$1000,$B72)</f>
        <v>0</v>
      </c>
      <c r="K72" s="26">
        <f>SUMIFS(Verlauf!$T$6:$T$1000,Verlauf!$B$6:$B$1000,$A72,Verlauf!$C$6:$C$1000,$B72)</f>
        <v>0</v>
      </c>
      <c r="L72" s="27">
        <f>IF(Filter!$T$7=TRUE,IFERROR(INDEX(Planung!$D$68:$IA$68,MATCH($W72,Wirksam!$D$6:$IA$6,0)),0),0)</f>
        <v>0</v>
      </c>
      <c r="M72" s="27">
        <f>IF(OR(Filter!$T$5=TRUE,Filter!$T$6=TRUE),IFERROR(INDEX(Planung!$D$69:$IA$69,MATCH($W72,Wirksam!$D$6:$IA$6,0)),0),0)</f>
        <v>0</v>
      </c>
      <c r="N72" s="27">
        <f t="shared" si="11"/>
        <v>0</v>
      </c>
      <c r="O72" s="27" t="e">
        <f t="shared" si="12"/>
        <v>#N/A</v>
      </c>
      <c r="P72" s="27" t="e">
        <f t="shared" si="13"/>
        <v>#N/A</v>
      </c>
      <c r="Q72" s="27" t="e">
        <f t="shared" si="14"/>
        <v>#N/A</v>
      </c>
      <c r="R72" s="27" t="e">
        <f t="shared" si="15"/>
        <v>#N/A</v>
      </c>
      <c r="S72" s="27" t="e">
        <f t="shared" si="16"/>
        <v>#N/A</v>
      </c>
      <c r="T72" s="27" t="e">
        <f t="shared" si="17"/>
        <v>#N/A</v>
      </c>
      <c r="U72" s="26">
        <f>COUNTIFS(Verlauf!$B$6:$B$1000,$A72,Verlauf!$C$6:$C$1000,$B72)</f>
        <v>0</v>
      </c>
      <c r="V72" s="26">
        <f t="shared" si="18"/>
        <v>0</v>
      </c>
      <c r="W72" s="26">
        <f t="shared" si="19"/>
        <v>202743</v>
      </c>
      <c r="X72" s="26">
        <f>SUMIFS(Verlauf!$X$6:$X$1000,Verlauf!$B$6:$B$1000,$A72,Verlauf!$C$6:$C$1000,$B72)</f>
        <v>0</v>
      </c>
      <c r="Y72" s="26">
        <f>SUMIFS(Verlauf!$Y$6:$Y$1000,Verlauf!$B$6:$B$1000,$A72,Verlauf!$C$6:$C$1000,$B72)</f>
        <v>0</v>
      </c>
      <c r="Z72" s="26">
        <f>SUMIFS(Verlauf!$Z$6:$Z$1000,Verlauf!$B$6:$B$1000,$A72,Verlauf!$C$6:$C$1000,$B72)</f>
        <v>0</v>
      </c>
      <c r="AA72" s="26">
        <f>SUMIFS(Verlauf!$I$6:$I$1000,Verlauf!$B$6:$B$1000,$A72,Verlauf!$C$6:$C$1000,$B72)</f>
        <v>0</v>
      </c>
      <c r="AB72" s="26">
        <f>SUMIFS(Verlauf!$AA$6:$AA$1000,Verlauf!$B$6:$B$1000,$A72,Verlauf!$C$6:$C$1000,$B72)</f>
        <v>0</v>
      </c>
      <c r="AC72" s="26">
        <f>SUMIFS(Verlauf!$AB$6:$AB$1000,Verlauf!$B$6:$B$1000,$A72,Verlauf!$C$6:$C$1000,$B72)</f>
        <v>0</v>
      </c>
      <c r="AD72" s="26">
        <f>SUMIFS(Verlauf!$AC$6:$AC$1000,Verlauf!$B$6:$B$1000,$A72,Verlauf!$C$6:$C$1000,$B72)</f>
        <v>0</v>
      </c>
      <c r="AE72" s="26">
        <f>SUMIFS(Verlauf!$S$6:$S$1000,Verlauf!$B$6:$B$1000,$A72,Verlauf!$C$6:$C$1000,$B72)</f>
        <v>0</v>
      </c>
      <c r="AF72" s="26" t="str">
        <f>IF($AN72="","",INDEX(Verlauf!$D$6:$D$1000,MATCH($AN72,Verlauf!$A$6:$A$1000,0)))</f>
        <v/>
      </c>
      <c r="AG72" s="26" t="str">
        <f>IF($AN72="","",INDEX(Verlauf!$E$6:$E$1000,MATCH($AN72,Verlauf!$A$6:$A$1000,0)))</f>
        <v/>
      </c>
      <c r="AH72" s="26" t="str">
        <f>IF($AN72="","",INDEX(Verlauf!$F$6:$F$1000,MATCH($AN72,Verlauf!$A$6:$A$1000,0)))</f>
        <v/>
      </c>
      <c r="AI72" s="26" t="str">
        <f>IF($AN72="","",INDEX(Verlauf!$H$6:$H$1000,MATCH($AN72,Verlauf!$A$6:$A$1000,0)))</f>
        <v/>
      </c>
      <c r="AJ72" s="26" t="str">
        <f>IF($AN72="","",INDEX(Verlauf!$N$6:$N$1000,MATCH($AN72,Verlauf!$A$6:$A$1000,0)))</f>
        <v/>
      </c>
      <c r="AK72" s="26" t="str">
        <f>IF($AN72="","",INDEX(Verlauf!$O$6:$O$1000,MATCH($AN72,Verlauf!$A$6:$A$1000,0)))</f>
        <v/>
      </c>
      <c r="AL72" s="26" t="str">
        <f>IF($AN72="","",INDEX(Verlauf!$P$6:$P$1000,MATCH($AN72,Verlauf!$A$6:$A$1000,0)))</f>
        <v/>
      </c>
      <c r="AM72" s="26" t="str">
        <f>IF($AN72="","",INDEX(Verlauf!$R$6:$R$1000,MATCH($AN72,Verlauf!$A$6:$A$1000,0)))</f>
        <v/>
      </c>
      <c r="AN72" s="28" t="str">
        <f>IF(U72&gt;0,_xlfn.MAXIFS(Verlauf!$A$6:$A$1000,Verlauf!$B$6:$B$1000,$A72,Verlauf!$C$6:$C$1000,$B72),"")</f>
        <v/>
      </c>
    </row>
    <row r="73" spans="1:40" x14ac:dyDescent="0.25">
      <c r="A73" s="26">
        <v>2027</v>
      </c>
      <c r="B73" s="26">
        <v>44</v>
      </c>
      <c r="C73" s="7" t="str">
        <f t="shared" si="10"/>
        <v>KW 44/27</v>
      </c>
      <c r="D73" s="26">
        <f>SUMIFS(Verlauf!$K$6:$K$1000,Verlauf!$B$6:$B$1000,$A73,Verlauf!$C$6:$C$1000,$B73)</f>
        <v>0</v>
      </c>
      <c r="E73" s="26">
        <f>SUMIFS(Verlauf!$L$6:$L$1000,Verlauf!$B$6:$B$1000,$A73,Verlauf!$C$6:$C$1000,$B73)</f>
        <v>0</v>
      </c>
      <c r="F73" s="26">
        <f>SUMIFS(Verlauf!$M$6:$M$1000,Verlauf!$B$6:$B$1000,$A73,Verlauf!$C$6:$C$1000,$B73)</f>
        <v>0</v>
      </c>
      <c r="G73" s="26">
        <f>SUMIFS(Verlauf!$J$6:$J$1000,Verlauf!$B$6:$B$1000,$A73,Verlauf!$C$6:$C$1000,$B73)</f>
        <v>0</v>
      </c>
      <c r="H73" s="26">
        <f>SUMIFS(Verlauf!$U$6:$U$1000,Verlauf!$B$6:$B$1000,$A73,Verlauf!$C$6:$C$1000,$B73)</f>
        <v>0</v>
      </c>
      <c r="I73" s="26">
        <f>SUMIFS(Verlauf!$V$6:$V$1000,Verlauf!$B$6:$B$1000,$A73,Verlauf!$C$6:$C$1000,$B73)</f>
        <v>0</v>
      </c>
      <c r="J73" s="26">
        <f>SUMIFS(Verlauf!$W$6:$W$1000,Verlauf!$B$6:$B$1000,$A73,Verlauf!$C$6:$C$1000,$B73)</f>
        <v>0</v>
      </c>
      <c r="K73" s="26">
        <f>SUMIFS(Verlauf!$T$6:$T$1000,Verlauf!$B$6:$B$1000,$A73,Verlauf!$C$6:$C$1000,$B73)</f>
        <v>0</v>
      </c>
      <c r="L73" s="27">
        <f>IF(Filter!$T$7=TRUE,IFERROR(INDEX(Planung!$D$68:$IA$68,MATCH($W73,Wirksam!$D$6:$IA$6,0)),0),0)</f>
        <v>0</v>
      </c>
      <c r="M73" s="27">
        <f>IF(OR(Filter!$T$5=TRUE,Filter!$T$6=TRUE),IFERROR(INDEX(Planung!$D$69:$IA$69,MATCH($W73,Wirksam!$D$6:$IA$6,0)),0),0)</f>
        <v>0</v>
      </c>
      <c r="N73" s="27">
        <f t="shared" si="11"/>
        <v>0</v>
      </c>
      <c r="O73" s="27" t="e">
        <f t="shared" si="12"/>
        <v>#N/A</v>
      </c>
      <c r="P73" s="27" t="e">
        <f t="shared" si="13"/>
        <v>#N/A</v>
      </c>
      <c r="Q73" s="27" t="e">
        <f t="shared" si="14"/>
        <v>#N/A</v>
      </c>
      <c r="R73" s="27" t="e">
        <f t="shared" si="15"/>
        <v>#N/A</v>
      </c>
      <c r="S73" s="27" t="e">
        <f t="shared" si="16"/>
        <v>#N/A</v>
      </c>
      <c r="T73" s="27" t="e">
        <f t="shared" si="17"/>
        <v>#N/A</v>
      </c>
      <c r="U73" s="26">
        <f>COUNTIFS(Verlauf!$B$6:$B$1000,$A73,Verlauf!$C$6:$C$1000,$B73)</f>
        <v>0</v>
      </c>
      <c r="V73" s="26">
        <f t="shared" si="18"/>
        <v>0</v>
      </c>
      <c r="W73" s="26">
        <f t="shared" si="19"/>
        <v>202744</v>
      </c>
      <c r="X73" s="26">
        <f>SUMIFS(Verlauf!$X$6:$X$1000,Verlauf!$B$6:$B$1000,$A73,Verlauf!$C$6:$C$1000,$B73)</f>
        <v>0</v>
      </c>
      <c r="Y73" s="26">
        <f>SUMIFS(Verlauf!$Y$6:$Y$1000,Verlauf!$B$6:$B$1000,$A73,Verlauf!$C$6:$C$1000,$B73)</f>
        <v>0</v>
      </c>
      <c r="Z73" s="26">
        <f>SUMIFS(Verlauf!$Z$6:$Z$1000,Verlauf!$B$6:$B$1000,$A73,Verlauf!$C$6:$C$1000,$B73)</f>
        <v>0</v>
      </c>
      <c r="AA73" s="26">
        <f>SUMIFS(Verlauf!$I$6:$I$1000,Verlauf!$B$6:$B$1000,$A73,Verlauf!$C$6:$C$1000,$B73)</f>
        <v>0</v>
      </c>
      <c r="AB73" s="26">
        <f>SUMIFS(Verlauf!$AA$6:$AA$1000,Verlauf!$B$6:$B$1000,$A73,Verlauf!$C$6:$C$1000,$B73)</f>
        <v>0</v>
      </c>
      <c r="AC73" s="26">
        <f>SUMIFS(Verlauf!$AB$6:$AB$1000,Verlauf!$B$6:$B$1000,$A73,Verlauf!$C$6:$C$1000,$B73)</f>
        <v>0</v>
      </c>
      <c r="AD73" s="26">
        <f>SUMIFS(Verlauf!$AC$6:$AC$1000,Verlauf!$B$6:$B$1000,$A73,Verlauf!$C$6:$C$1000,$B73)</f>
        <v>0</v>
      </c>
      <c r="AE73" s="26">
        <f>SUMIFS(Verlauf!$S$6:$S$1000,Verlauf!$B$6:$B$1000,$A73,Verlauf!$C$6:$C$1000,$B73)</f>
        <v>0</v>
      </c>
      <c r="AF73" s="26" t="str">
        <f>IF($AN73="","",INDEX(Verlauf!$D$6:$D$1000,MATCH($AN73,Verlauf!$A$6:$A$1000,0)))</f>
        <v/>
      </c>
      <c r="AG73" s="26" t="str">
        <f>IF($AN73="","",INDEX(Verlauf!$E$6:$E$1000,MATCH($AN73,Verlauf!$A$6:$A$1000,0)))</f>
        <v/>
      </c>
      <c r="AH73" s="26" t="str">
        <f>IF($AN73="","",INDEX(Verlauf!$F$6:$F$1000,MATCH($AN73,Verlauf!$A$6:$A$1000,0)))</f>
        <v/>
      </c>
      <c r="AI73" s="26" t="str">
        <f>IF($AN73="","",INDEX(Verlauf!$H$6:$H$1000,MATCH($AN73,Verlauf!$A$6:$A$1000,0)))</f>
        <v/>
      </c>
      <c r="AJ73" s="26" t="str">
        <f>IF($AN73="","",INDEX(Verlauf!$N$6:$N$1000,MATCH($AN73,Verlauf!$A$6:$A$1000,0)))</f>
        <v/>
      </c>
      <c r="AK73" s="26" t="str">
        <f>IF($AN73="","",INDEX(Verlauf!$O$6:$O$1000,MATCH($AN73,Verlauf!$A$6:$A$1000,0)))</f>
        <v/>
      </c>
      <c r="AL73" s="26" t="str">
        <f>IF($AN73="","",INDEX(Verlauf!$P$6:$P$1000,MATCH($AN73,Verlauf!$A$6:$A$1000,0)))</f>
        <v/>
      </c>
      <c r="AM73" s="26" t="str">
        <f>IF($AN73="","",INDEX(Verlauf!$R$6:$R$1000,MATCH($AN73,Verlauf!$A$6:$A$1000,0)))</f>
        <v/>
      </c>
      <c r="AN73" s="28" t="str">
        <f>IF(U73&gt;0,_xlfn.MAXIFS(Verlauf!$A$6:$A$1000,Verlauf!$B$6:$B$1000,$A73,Verlauf!$C$6:$C$1000,$B73),"")</f>
        <v/>
      </c>
    </row>
    <row r="74" spans="1:40" x14ac:dyDescent="0.25">
      <c r="A74" s="26">
        <v>2027</v>
      </c>
      <c r="B74" s="26">
        <v>45</v>
      </c>
      <c r="C74" s="7" t="str">
        <f t="shared" si="10"/>
        <v>KW 45/27</v>
      </c>
      <c r="D74" s="26">
        <f>SUMIFS(Verlauf!$K$6:$K$1000,Verlauf!$B$6:$B$1000,$A74,Verlauf!$C$6:$C$1000,$B74)</f>
        <v>0</v>
      </c>
      <c r="E74" s="26">
        <f>SUMIFS(Verlauf!$L$6:$L$1000,Verlauf!$B$6:$B$1000,$A74,Verlauf!$C$6:$C$1000,$B74)</f>
        <v>0</v>
      </c>
      <c r="F74" s="26">
        <f>SUMIFS(Verlauf!$M$6:$M$1000,Verlauf!$B$6:$B$1000,$A74,Verlauf!$C$6:$C$1000,$B74)</f>
        <v>0</v>
      </c>
      <c r="G74" s="26">
        <f>SUMIFS(Verlauf!$J$6:$J$1000,Verlauf!$B$6:$B$1000,$A74,Verlauf!$C$6:$C$1000,$B74)</f>
        <v>0</v>
      </c>
      <c r="H74" s="26">
        <f>SUMIFS(Verlauf!$U$6:$U$1000,Verlauf!$B$6:$B$1000,$A74,Verlauf!$C$6:$C$1000,$B74)</f>
        <v>0</v>
      </c>
      <c r="I74" s="26">
        <f>SUMIFS(Verlauf!$V$6:$V$1000,Verlauf!$B$6:$B$1000,$A74,Verlauf!$C$6:$C$1000,$B74)</f>
        <v>0</v>
      </c>
      <c r="J74" s="26">
        <f>SUMIFS(Verlauf!$W$6:$W$1000,Verlauf!$B$6:$B$1000,$A74,Verlauf!$C$6:$C$1000,$B74)</f>
        <v>0</v>
      </c>
      <c r="K74" s="26">
        <f>SUMIFS(Verlauf!$T$6:$T$1000,Verlauf!$B$6:$B$1000,$A74,Verlauf!$C$6:$C$1000,$B74)</f>
        <v>0</v>
      </c>
      <c r="L74" s="27">
        <f>IF(Filter!$T$7=TRUE,IFERROR(INDEX(Planung!$D$68:$IA$68,MATCH($W74,Wirksam!$D$6:$IA$6,0)),0),0)</f>
        <v>0</v>
      </c>
      <c r="M74" s="27">
        <f>IF(OR(Filter!$T$5=TRUE,Filter!$T$6=TRUE),IFERROR(INDEX(Planung!$D$69:$IA$69,MATCH($W74,Wirksam!$D$6:$IA$6,0)),0),0)</f>
        <v>0</v>
      </c>
      <c r="N74" s="27">
        <f t="shared" si="11"/>
        <v>0</v>
      </c>
      <c r="O74" s="27" t="e">
        <f t="shared" si="12"/>
        <v>#N/A</v>
      </c>
      <c r="P74" s="27" t="e">
        <f t="shared" si="13"/>
        <v>#N/A</v>
      </c>
      <c r="Q74" s="27" t="e">
        <f t="shared" si="14"/>
        <v>#N/A</v>
      </c>
      <c r="R74" s="27" t="e">
        <f t="shared" si="15"/>
        <v>#N/A</v>
      </c>
      <c r="S74" s="27" t="e">
        <f t="shared" si="16"/>
        <v>#N/A</v>
      </c>
      <c r="T74" s="27" t="e">
        <f t="shared" si="17"/>
        <v>#N/A</v>
      </c>
      <c r="U74" s="26">
        <f>COUNTIFS(Verlauf!$B$6:$B$1000,$A74,Verlauf!$C$6:$C$1000,$B74)</f>
        <v>0</v>
      </c>
      <c r="V74" s="26">
        <f t="shared" si="18"/>
        <v>0</v>
      </c>
      <c r="W74" s="26">
        <f t="shared" si="19"/>
        <v>202745</v>
      </c>
      <c r="X74" s="26">
        <f>SUMIFS(Verlauf!$X$6:$X$1000,Verlauf!$B$6:$B$1000,$A74,Verlauf!$C$6:$C$1000,$B74)</f>
        <v>0</v>
      </c>
      <c r="Y74" s="26">
        <f>SUMIFS(Verlauf!$Y$6:$Y$1000,Verlauf!$B$6:$B$1000,$A74,Verlauf!$C$6:$C$1000,$B74)</f>
        <v>0</v>
      </c>
      <c r="Z74" s="26">
        <f>SUMIFS(Verlauf!$Z$6:$Z$1000,Verlauf!$B$6:$B$1000,$A74,Verlauf!$C$6:$C$1000,$B74)</f>
        <v>0</v>
      </c>
      <c r="AA74" s="26">
        <f>SUMIFS(Verlauf!$I$6:$I$1000,Verlauf!$B$6:$B$1000,$A74,Verlauf!$C$6:$C$1000,$B74)</f>
        <v>0</v>
      </c>
      <c r="AB74" s="26">
        <f>SUMIFS(Verlauf!$AA$6:$AA$1000,Verlauf!$B$6:$B$1000,$A74,Verlauf!$C$6:$C$1000,$B74)</f>
        <v>0</v>
      </c>
      <c r="AC74" s="26">
        <f>SUMIFS(Verlauf!$AB$6:$AB$1000,Verlauf!$B$6:$B$1000,$A74,Verlauf!$C$6:$C$1000,$B74)</f>
        <v>0</v>
      </c>
      <c r="AD74" s="26">
        <f>SUMIFS(Verlauf!$AC$6:$AC$1000,Verlauf!$B$6:$B$1000,$A74,Verlauf!$C$6:$C$1000,$B74)</f>
        <v>0</v>
      </c>
      <c r="AE74" s="26">
        <f>SUMIFS(Verlauf!$S$6:$S$1000,Verlauf!$B$6:$B$1000,$A74,Verlauf!$C$6:$C$1000,$B74)</f>
        <v>0</v>
      </c>
      <c r="AF74" s="26" t="str">
        <f>IF($AN74="","",INDEX(Verlauf!$D$6:$D$1000,MATCH($AN74,Verlauf!$A$6:$A$1000,0)))</f>
        <v/>
      </c>
      <c r="AG74" s="26" t="str">
        <f>IF($AN74="","",INDEX(Verlauf!$E$6:$E$1000,MATCH($AN74,Verlauf!$A$6:$A$1000,0)))</f>
        <v/>
      </c>
      <c r="AH74" s="26" t="str">
        <f>IF($AN74="","",INDEX(Verlauf!$F$6:$F$1000,MATCH($AN74,Verlauf!$A$6:$A$1000,0)))</f>
        <v/>
      </c>
      <c r="AI74" s="26" t="str">
        <f>IF($AN74="","",INDEX(Verlauf!$H$6:$H$1000,MATCH($AN74,Verlauf!$A$6:$A$1000,0)))</f>
        <v/>
      </c>
      <c r="AJ74" s="26" t="str">
        <f>IF($AN74="","",INDEX(Verlauf!$N$6:$N$1000,MATCH($AN74,Verlauf!$A$6:$A$1000,0)))</f>
        <v/>
      </c>
      <c r="AK74" s="26" t="str">
        <f>IF($AN74="","",INDEX(Verlauf!$O$6:$O$1000,MATCH($AN74,Verlauf!$A$6:$A$1000,0)))</f>
        <v/>
      </c>
      <c r="AL74" s="26" t="str">
        <f>IF($AN74="","",INDEX(Verlauf!$P$6:$P$1000,MATCH($AN74,Verlauf!$A$6:$A$1000,0)))</f>
        <v/>
      </c>
      <c r="AM74" s="26" t="str">
        <f>IF($AN74="","",INDEX(Verlauf!$R$6:$R$1000,MATCH($AN74,Verlauf!$A$6:$A$1000,0)))</f>
        <v/>
      </c>
      <c r="AN74" s="28" t="str">
        <f>IF(U74&gt;0,_xlfn.MAXIFS(Verlauf!$A$6:$A$1000,Verlauf!$B$6:$B$1000,$A74,Verlauf!$C$6:$C$1000,$B74),"")</f>
        <v/>
      </c>
    </row>
    <row r="75" spans="1:40" x14ac:dyDescent="0.25">
      <c r="A75" s="26">
        <v>2027</v>
      </c>
      <c r="B75" s="26">
        <v>46</v>
      </c>
      <c r="C75" s="7" t="str">
        <f t="shared" si="10"/>
        <v>KW 46/27</v>
      </c>
      <c r="D75" s="26">
        <f>SUMIFS(Verlauf!$K$6:$K$1000,Verlauf!$B$6:$B$1000,$A75,Verlauf!$C$6:$C$1000,$B75)</f>
        <v>0</v>
      </c>
      <c r="E75" s="26">
        <f>SUMIFS(Verlauf!$L$6:$L$1000,Verlauf!$B$6:$B$1000,$A75,Verlauf!$C$6:$C$1000,$B75)</f>
        <v>0</v>
      </c>
      <c r="F75" s="26">
        <f>SUMIFS(Verlauf!$M$6:$M$1000,Verlauf!$B$6:$B$1000,$A75,Verlauf!$C$6:$C$1000,$B75)</f>
        <v>0</v>
      </c>
      <c r="G75" s="26">
        <f>SUMIFS(Verlauf!$J$6:$J$1000,Verlauf!$B$6:$B$1000,$A75,Verlauf!$C$6:$C$1000,$B75)</f>
        <v>0</v>
      </c>
      <c r="H75" s="26">
        <f>SUMIFS(Verlauf!$U$6:$U$1000,Verlauf!$B$6:$B$1000,$A75,Verlauf!$C$6:$C$1000,$B75)</f>
        <v>0</v>
      </c>
      <c r="I75" s="26">
        <f>SUMIFS(Verlauf!$V$6:$V$1000,Verlauf!$B$6:$B$1000,$A75,Verlauf!$C$6:$C$1000,$B75)</f>
        <v>0</v>
      </c>
      <c r="J75" s="26">
        <f>SUMIFS(Verlauf!$W$6:$W$1000,Verlauf!$B$6:$B$1000,$A75,Verlauf!$C$6:$C$1000,$B75)</f>
        <v>0</v>
      </c>
      <c r="K75" s="26">
        <f>SUMIFS(Verlauf!$T$6:$T$1000,Verlauf!$B$6:$B$1000,$A75,Verlauf!$C$6:$C$1000,$B75)</f>
        <v>0</v>
      </c>
      <c r="L75" s="27">
        <f>IF(Filter!$T$7=TRUE,IFERROR(INDEX(Planung!$D$68:$IA$68,MATCH($W75,Wirksam!$D$6:$IA$6,0)),0),0)</f>
        <v>0</v>
      </c>
      <c r="M75" s="27">
        <f>IF(OR(Filter!$T$5=TRUE,Filter!$T$6=TRUE),IFERROR(INDEX(Planung!$D$69:$IA$69,MATCH($W75,Wirksam!$D$6:$IA$6,0)),0),0)</f>
        <v>0</v>
      </c>
      <c r="N75" s="27">
        <f t="shared" si="11"/>
        <v>0</v>
      </c>
      <c r="O75" s="27" t="e">
        <f t="shared" si="12"/>
        <v>#N/A</v>
      </c>
      <c r="P75" s="27" t="e">
        <f t="shared" si="13"/>
        <v>#N/A</v>
      </c>
      <c r="Q75" s="27" t="e">
        <f t="shared" si="14"/>
        <v>#N/A</v>
      </c>
      <c r="R75" s="27" t="e">
        <f t="shared" si="15"/>
        <v>#N/A</v>
      </c>
      <c r="S75" s="27" t="e">
        <f t="shared" si="16"/>
        <v>#N/A</v>
      </c>
      <c r="T75" s="27" t="e">
        <f t="shared" si="17"/>
        <v>#N/A</v>
      </c>
      <c r="U75" s="26">
        <f>COUNTIFS(Verlauf!$B$6:$B$1000,$A75,Verlauf!$C$6:$C$1000,$B75)</f>
        <v>0</v>
      </c>
      <c r="V75" s="26">
        <f t="shared" si="18"/>
        <v>0</v>
      </c>
      <c r="W75" s="26">
        <f t="shared" si="19"/>
        <v>202746</v>
      </c>
      <c r="X75" s="26">
        <f>SUMIFS(Verlauf!$X$6:$X$1000,Verlauf!$B$6:$B$1000,$A75,Verlauf!$C$6:$C$1000,$B75)</f>
        <v>0</v>
      </c>
      <c r="Y75" s="26">
        <f>SUMIFS(Verlauf!$Y$6:$Y$1000,Verlauf!$B$6:$B$1000,$A75,Verlauf!$C$6:$C$1000,$B75)</f>
        <v>0</v>
      </c>
      <c r="Z75" s="26">
        <f>SUMIFS(Verlauf!$Z$6:$Z$1000,Verlauf!$B$6:$B$1000,$A75,Verlauf!$C$6:$C$1000,$B75)</f>
        <v>0</v>
      </c>
      <c r="AA75" s="26">
        <f>SUMIFS(Verlauf!$I$6:$I$1000,Verlauf!$B$6:$B$1000,$A75,Verlauf!$C$6:$C$1000,$B75)</f>
        <v>0</v>
      </c>
      <c r="AB75" s="26">
        <f>SUMIFS(Verlauf!$AA$6:$AA$1000,Verlauf!$B$6:$B$1000,$A75,Verlauf!$C$6:$C$1000,$B75)</f>
        <v>0</v>
      </c>
      <c r="AC75" s="26">
        <f>SUMIFS(Verlauf!$AB$6:$AB$1000,Verlauf!$B$6:$B$1000,$A75,Verlauf!$C$6:$C$1000,$B75)</f>
        <v>0</v>
      </c>
      <c r="AD75" s="26">
        <f>SUMIFS(Verlauf!$AC$6:$AC$1000,Verlauf!$B$6:$B$1000,$A75,Verlauf!$C$6:$C$1000,$B75)</f>
        <v>0</v>
      </c>
      <c r="AE75" s="26">
        <f>SUMIFS(Verlauf!$S$6:$S$1000,Verlauf!$B$6:$B$1000,$A75,Verlauf!$C$6:$C$1000,$B75)</f>
        <v>0</v>
      </c>
      <c r="AF75" s="26" t="str">
        <f>IF($AN75="","",INDEX(Verlauf!$D$6:$D$1000,MATCH($AN75,Verlauf!$A$6:$A$1000,0)))</f>
        <v/>
      </c>
      <c r="AG75" s="26" t="str">
        <f>IF($AN75="","",INDEX(Verlauf!$E$6:$E$1000,MATCH($AN75,Verlauf!$A$6:$A$1000,0)))</f>
        <v/>
      </c>
      <c r="AH75" s="26" t="str">
        <f>IF($AN75="","",INDEX(Verlauf!$F$6:$F$1000,MATCH($AN75,Verlauf!$A$6:$A$1000,0)))</f>
        <v/>
      </c>
      <c r="AI75" s="26" t="str">
        <f>IF($AN75="","",INDEX(Verlauf!$H$6:$H$1000,MATCH($AN75,Verlauf!$A$6:$A$1000,0)))</f>
        <v/>
      </c>
      <c r="AJ75" s="26" t="str">
        <f>IF($AN75="","",INDEX(Verlauf!$N$6:$N$1000,MATCH($AN75,Verlauf!$A$6:$A$1000,0)))</f>
        <v/>
      </c>
      <c r="AK75" s="26" t="str">
        <f>IF($AN75="","",INDEX(Verlauf!$O$6:$O$1000,MATCH($AN75,Verlauf!$A$6:$A$1000,0)))</f>
        <v/>
      </c>
      <c r="AL75" s="26" t="str">
        <f>IF($AN75="","",INDEX(Verlauf!$P$6:$P$1000,MATCH($AN75,Verlauf!$A$6:$A$1000,0)))</f>
        <v/>
      </c>
      <c r="AM75" s="26" t="str">
        <f>IF($AN75="","",INDEX(Verlauf!$R$6:$R$1000,MATCH($AN75,Verlauf!$A$6:$A$1000,0)))</f>
        <v/>
      </c>
      <c r="AN75" s="28" t="str">
        <f>IF(U75&gt;0,_xlfn.MAXIFS(Verlauf!$A$6:$A$1000,Verlauf!$B$6:$B$1000,$A75,Verlauf!$C$6:$C$1000,$B75),"")</f>
        <v/>
      </c>
    </row>
    <row r="76" spans="1:40" x14ac:dyDescent="0.25">
      <c r="A76" s="26">
        <v>2027</v>
      </c>
      <c r="B76" s="26">
        <v>47</v>
      </c>
      <c r="C76" s="7" t="str">
        <f t="shared" si="10"/>
        <v>KW 47/27</v>
      </c>
      <c r="D76" s="26">
        <f>SUMIFS(Verlauf!$K$6:$K$1000,Verlauf!$B$6:$B$1000,$A76,Verlauf!$C$6:$C$1000,$B76)</f>
        <v>0</v>
      </c>
      <c r="E76" s="26">
        <f>SUMIFS(Verlauf!$L$6:$L$1000,Verlauf!$B$6:$B$1000,$A76,Verlauf!$C$6:$C$1000,$B76)</f>
        <v>0</v>
      </c>
      <c r="F76" s="26">
        <f>SUMIFS(Verlauf!$M$6:$M$1000,Verlauf!$B$6:$B$1000,$A76,Verlauf!$C$6:$C$1000,$B76)</f>
        <v>0</v>
      </c>
      <c r="G76" s="26">
        <f>SUMIFS(Verlauf!$J$6:$J$1000,Verlauf!$B$6:$B$1000,$A76,Verlauf!$C$6:$C$1000,$B76)</f>
        <v>0</v>
      </c>
      <c r="H76" s="26">
        <f>SUMIFS(Verlauf!$U$6:$U$1000,Verlauf!$B$6:$B$1000,$A76,Verlauf!$C$6:$C$1000,$B76)</f>
        <v>0</v>
      </c>
      <c r="I76" s="26">
        <f>SUMIFS(Verlauf!$V$6:$V$1000,Verlauf!$B$6:$B$1000,$A76,Verlauf!$C$6:$C$1000,$B76)</f>
        <v>0</v>
      </c>
      <c r="J76" s="26">
        <f>SUMIFS(Verlauf!$W$6:$W$1000,Verlauf!$B$6:$B$1000,$A76,Verlauf!$C$6:$C$1000,$B76)</f>
        <v>0</v>
      </c>
      <c r="K76" s="26">
        <f>SUMIFS(Verlauf!$T$6:$T$1000,Verlauf!$B$6:$B$1000,$A76,Verlauf!$C$6:$C$1000,$B76)</f>
        <v>0</v>
      </c>
      <c r="L76" s="27">
        <f>IF(Filter!$T$7=TRUE,IFERROR(INDEX(Planung!$D$68:$IA$68,MATCH($W76,Wirksam!$D$6:$IA$6,0)),0),0)</f>
        <v>0</v>
      </c>
      <c r="M76" s="27">
        <f>IF(OR(Filter!$T$5=TRUE,Filter!$T$6=TRUE),IFERROR(INDEX(Planung!$D$69:$IA$69,MATCH($W76,Wirksam!$D$6:$IA$6,0)),0),0)</f>
        <v>0</v>
      </c>
      <c r="N76" s="27">
        <f t="shared" si="11"/>
        <v>0</v>
      </c>
      <c r="O76" s="27" t="e">
        <f t="shared" si="12"/>
        <v>#N/A</v>
      </c>
      <c r="P76" s="27" t="e">
        <f t="shared" si="13"/>
        <v>#N/A</v>
      </c>
      <c r="Q76" s="27" t="e">
        <f t="shared" si="14"/>
        <v>#N/A</v>
      </c>
      <c r="R76" s="27" t="e">
        <f t="shared" si="15"/>
        <v>#N/A</v>
      </c>
      <c r="S76" s="27" t="e">
        <f t="shared" si="16"/>
        <v>#N/A</v>
      </c>
      <c r="T76" s="27" t="e">
        <f t="shared" si="17"/>
        <v>#N/A</v>
      </c>
      <c r="U76" s="26">
        <f>COUNTIFS(Verlauf!$B$6:$B$1000,$A76,Verlauf!$C$6:$C$1000,$B76)</f>
        <v>0</v>
      </c>
      <c r="V76" s="26">
        <f t="shared" si="18"/>
        <v>0</v>
      </c>
      <c r="W76" s="26">
        <f t="shared" si="19"/>
        <v>202747</v>
      </c>
      <c r="X76" s="26">
        <f>SUMIFS(Verlauf!$X$6:$X$1000,Verlauf!$B$6:$B$1000,$A76,Verlauf!$C$6:$C$1000,$B76)</f>
        <v>0</v>
      </c>
      <c r="Y76" s="26">
        <f>SUMIFS(Verlauf!$Y$6:$Y$1000,Verlauf!$B$6:$B$1000,$A76,Verlauf!$C$6:$C$1000,$B76)</f>
        <v>0</v>
      </c>
      <c r="Z76" s="26">
        <f>SUMIFS(Verlauf!$Z$6:$Z$1000,Verlauf!$B$6:$B$1000,$A76,Verlauf!$C$6:$C$1000,$B76)</f>
        <v>0</v>
      </c>
      <c r="AA76" s="26">
        <f>SUMIFS(Verlauf!$I$6:$I$1000,Verlauf!$B$6:$B$1000,$A76,Verlauf!$C$6:$C$1000,$B76)</f>
        <v>0</v>
      </c>
      <c r="AB76" s="26">
        <f>SUMIFS(Verlauf!$AA$6:$AA$1000,Verlauf!$B$6:$B$1000,$A76,Verlauf!$C$6:$C$1000,$B76)</f>
        <v>0</v>
      </c>
      <c r="AC76" s="26">
        <f>SUMIFS(Verlauf!$AB$6:$AB$1000,Verlauf!$B$6:$B$1000,$A76,Verlauf!$C$6:$C$1000,$B76)</f>
        <v>0</v>
      </c>
      <c r="AD76" s="26">
        <f>SUMIFS(Verlauf!$AC$6:$AC$1000,Verlauf!$B$6:$B$1000,$A76,Verlauf!$C$6:$C$1000,$B76)</f>
        <v>0</v>
      </c>
      <c r="AE76" s="26">
        <f>SUMIFS(Verlauf!$S$6:$S$1000,Verlauf!$B$6:$B$1000,$A76,Verlauf!$C$6:$C$1000,$B76)</f>
        <v>0</v>
      </c>
      <c r="AF76" s="26" t="str">
        <f>IF($AN76="","",INDEX(Verlauf!$D$6:$D$1000,MATCH($AN76,Verlauf!$A$6:$A$1000,0)))</f>
        <v/>
      </c>
      <c r="AG76" s="26" t="str">
        <f>IF($AN76="","",INDEX(Verlauf!$E$6:$E$1000,MATCH($AN76,Verlauf!$A$6:$A$1000,0)))</f>
        <v/>
      </c>
      <c r="AH76" s="26" t="str">
        <f>IF($AN76="","",INDEX(Verlauf!$F$6:$F$1000,MATCH($AN76,Verlauf!$A$6:$A$1000,0)))</f>
        <v/>
      </c>
      <c r="AI76" s="26" t="str">
        <f>IF($AN76="","",INDEX(Verlauf!$H$6:$H$1000,MATCH($AN76,Verlauf!$A$6:$A$1000,0)))</f>
        <v/>
      </c>
      <c r="AJ76" s="26" t="str">
        <f>IF($AN76="","",INDEX(Verlauf!$N$6:$N$1000,MATCH($AN76,Verlauf!$A$6:$A$1000,0)))</f>
        <v/>
      </c>
      <c r="AK76" s="26" t="str">
        <f>IF($AN76="","",INDEX(Verlauf!$O$6:$O$1000,MATCH($AN76,Verlauf!$A$6:$A$1000,0)))</f>
        <v/>
      </c>
      <c r="AL76" s="26" t="str">
        <f>IF($AN76="","",INDEX(Verlauf!$P$6:$P$1000,MATCH($AN76,Verlauf!$A$6:$A$1000,0)))</f>
        <v/>
      </c>
      <c r="AM76" s="26" t="str">
        <f>IF($AN76="","",INDEX(Verlauf!$R$6:$R$1000,MATCH($AN76,Verlauf!$A$6:$A$1000,0)))</f>
        <v/>
      </c>
      <c r="AN76" s="28" t="str">
        <f>IF(U76&gt;0,_xlfn.MAXIFS(Verlauf!$A$6:$A$1000,Verlauf!$B$6:$B$1000,$A76,Verlauf!$C$6:$C$1000,$B76),"")</f>
        <v/>
      </c>
    </row>
    <row r="77" spans="1:40" x14ac:dyDescent="0.25">
      <c r="A77" s="26">
        <v>2027</v>
      </c>
      <c r="B77" s="26">
        <v>48</v>
      </c>
      <c r="C77" s="7" t="str">
        <f t="shared" si="10"/>
        <v>KW 48/27</v>
      </c>
      <c r="D77" s="26">
        <f>SUMIFS(Verlauf!$K$6:$K$1000,Verlauf!$B$6:$B$1000,$A77,Verlauf!$C$6:$C$1000,$B77)</f>
        <v>0</v>
      </c>
      <c r="E77" s="26">
        <f>SUMIFS(Verlauf!$L$6:$L$1000,Verlauf!$B$6:$B$1000,$A77,Verlauf!$C$6:$C$1000,$B77)</f>
        <v>0</v>
      </c>
      <c r="F77" s="26">
        <f>SUMIFS(Verlauf!$M$6:$M$1000,Verlauf!$B$6:$B$1000,$A77,Verlauf!$C$6:$C$1000,$B77)</f>
        <v>0</v>
      </c>
      <c r="G77" s="26">
        <f>SUMIFS(Verlauf!$J$6:$J$1000,Verlauf!$B$6:$B$1000,$A77,Verlauf!$C$6:$C$1000,$B77)</f>
        <v>0</v>
      </c>
      <c r="H77" s="26">
        <f>SUMIFS(Verlauf!$U$6:$U$1000,Verlauf!$B$6:$B$1000,$A77,Verlauf!$C$6:$C$1000,$B77)</f>
        <v>0</v>
      </c>
      <c r="I77" s="26">
        <f>SUMIFS(Verlauf!$V$6:$V$1000,Verlauf!$B$6:$B$1000,$A77,Verlauf!$C$6:$C$1000,$B77)</f>
        <v>0</v>
      </c>
      <c r="J77" s="26">
        <f>SUMIFS(Verlauf!$W$6:$W$1000,Verlauf!$B$6:$B$1000,$A77,Verlauf!$C$6:$C$1000,$B77)</f>
        <v>0</v>
      </c>
      <c r="K77" s="26">
        <f>SUMIFS(Verlauf!$T$6:$T$1000,Verlauf!$B$6:$B$1000,$A77,Verlauf!$C$6:$C$1000,$B77)</f>
        <v>0</v>
      </c>
      <c r="L77" s="27">
        <f>IF(Filter!$T$7=TRUE,IFERROR(INDEX(Planung!$D$68:$IA$68,MATCH($W77,Wirksam!$D$6:$IA$6,0)),0),0)</f>
        <v>0</v>
      </c>
      <c r="M77" s="27">
        <f>IF(OR(Filter!$T$5=TRUE,Filter!$T$6=TRUE),IFERROR(INDEX(Planung!$D$69:$IA$69,MATCH($W77,Wirksam!$D$6:$IA$6,0)),0),0)</f>
        <v>0</v>
      </c>
      <c r="N77" s="27">
        <f t="shared" si="11"/>
        <v>0</v>
      </c>
      <c r="O77" s="27" t="e">
        <f t="shared" si="12"/>
        <v>#N/A</v>
      </c>
      <c r="P77" s="27" t="e">
        <f t="shared" si="13"/>
        <v>#N/A</v>
      </c>
      <c r="Q77" s="27" t="e">
        <f t="shared" si="14"/>
        <v>#N/A</v>
      </c>
      <c r="R77" s="27" t="e">
        <f t="shared" si="15"/>
        <v>#N/A</v>
      </c>
      <c r="S77" s="27" t="e">
        <f t="shared" si="16"/>
        <v>#N/A</v>
      </c>
      <c r="T77" s="27" t="e">
        <f t="shared" si="17"/>
        <v>#N/A</v>
      </c>
      <c r="U77" s="26">
        <f>COUNTIFS(Verlauf!$B$6:$B$1000,$A77,Verlauf!$C$6:$C$1000,$B77)</f>
        <v>0</v>
      </c>
      <c r="V77" s="26">
        <f t="shared" si="18"/>
        <v>0</v>
      </c>
      <c r="W77" s="26">
        <f t="shared" si="19"/>
        <v>202748</v>
      </c>
      <c r="X77" s="26">
        <f>SUMIFS(Verlauf!$X$6:$X$1000,Verlauf!$B$6:$B$1000,$A77,Verlauf!$C$6:$C$1000,$B77)</f>
        <v>0</v>
      </c>
      <c r="Y77" s="26">
        <f>SUMIFS(Verlauf!$Y$6:$Y$1000,Verlauf!$B$6:$B$1000,$A77,Verlauf!$C$6:$C$1000,$B77)</f>
        <v>0</v>
      </c>
      <c r="Z77" s="26">
        <f>SUMIFS(Verlauf!$Z$6:$Z$1000,Verlauf!$B$6:$B$1000,$A77,Verlauf!$C$6:$C$1000,$B77)</f>
        <v>0</v>
      </c>
      <c r="AA77" s="26">
        <f>SUMIFS(Verlauf!$I$6:$I$1000,Verlauf!$B$6:$B$1000,$A77,Verlauf!$C$6:$C$1000,$B77)</f>
        <v>0</v>
      </c>
      <c r="AB77" s="26">
        <f>SUMIFS(Verlauf!$AA$6:$AA$1000,Verlauf!$B$6:$B$1000,$A77,Verlauf!$C$6:$C$1000,$B77)</f>
        <v>0</v>
      </c>
      <c r="AC77" s="26">
        <f>SUMIFS(Verlauf!$AB$6:$AB$1000,Verlauf!$B$6:$B$1000,$A77,Verlauf!$C$6:$C$1000,$B77)</f>
        <v>0</v>
      </c>
      <c r="AD77" s="26">
        <f>SUMIFS(Verlauf!$AC$6:$AC$1000,Verlauf!$B$6:$B$1000,$A77,Verlauf!$C$6:$C$1000,$B77)</f>
        <v>0</v>
      </c>
      <c r="AE77" s="26">
        <f>SUMIFS(Verlauf!$S$6:$S$1000,Verlauf!$B$6:$B$1000,$A77,Verlauf!$C$6:$C$1000,$B77)</f>
        <v>0</v>
      </c>
      <c r="AF77" s="26" t="str">
        <f>IF($AN77="","",INDEX(Verlauf!$D$6:$D$1000,MATCH($AN77,Verlauf!$A$6:$A$1000,0)))</f>
        <v/>
      </c>
      <c r="AG77" s="26" t="str">
        <f>IF($AN77="","",INDEX(Verlauf!$E$6:$E$1000,MATCH($AN77,Verlauf!$A$6:$A$1000,0)))</f>
        <v/>
      </c>
      <c r="AH77" s="26" t="str">
        <f>IF($AN77="","",INDEX(Verlauf!$F$6:$F$1000,MATCH($AN77,Verlauf!$A$6:$A$1000,0)))</f>
        <v/>
      </c>
      <c r="AI77" s="26" t="str">
        <f>IF($AN77="","",INDEX(Verlauf!$H$6:$H$1000,MATCH($AN77,Verlauf!$A$6:$A$1000,0)))</f>
        <v/>
      </c>
      <c r="AJ77" s="26" t="str">
        <f>IF($AN77="","",INDEX(Verlauf!$N$6:$N$1000,MATCH($AN77,Verlauf!$A$6:$A$1000,0)))</f>
        <v/>
      </c>
      <c r="AK77" s="26" t="str">
        <f>IF($AN77="","",INDEX(Verlauf!$O$6:$O$1000,MATCH($AN77,Verlauf!$A$6:$A$1000,0)))</f>
        <v/>
      </c>
      <c r="AL77" s="26" t="str">
        <f>IF($AN77="","",INDEX(Verlauf!$P$6:$P$1000,MATCH($AN77,Verlauf!$A$6:$A$1000,0)))</f>
        <v/>
      </c>
      <c r="AM77" s="26" t="str">
        <f>IF($AN77="","",INDEX(Verlauf!$R$6:$R$1000,MATCH($AN77,Verlauf!$A$6:$A$1000,0)))</f>
        <v/>
      </c>
      <c r="AN77" s="28" t="str">
        <f>IF(U77&gt;0,_xlfn.MAXIFS(Verlauf!$A$6:$A$1000,Verlauf!$B$6:$B$1000,$A77,Verlauf!$C$6:$C$1000,$B77),"")</f>
        <v/>
      </c>
    </row>
    <row r="78" spans="1:40" x14ac:dyDescent="0.25">
      <c r="A78" s="26">
        <v>2027</v>
      </c>
      <c r="B78" s="26">
        <v>49</v>
      </c>
      <c r="C78" s="7" t="str">
        <f t="shared" si="10"/>
        <v>KW 49/27</v>
      </c>
      <c r="D78" s="26">
        <f>SUMIFS(Verlauf!$K$6:$K$1000,Verlauf!$B$6:$B$1000,$A78,Verlauf!$C$6:$C$1000,$B78)</f>
        <v>0</v>
      </c>
      <c r="E78" s="26">
        <f>SUMIFS(Verlauf!$L$6:$L$1000,Verlauf!$B$6:$B$1000,$A78,Verlauf!$C$6:$C$1000,$B78)</f>
        <v>0</v>
      </c>
      <c r="F78" s="26">
        <f>SUMIFS(Verlauf!$M$6:$M$1000,Verlauf!$B$6:$B$1000,$A78,Verlauf!$C$6:$C$1000,$B78)</f>
        <v>0</v>
      </c>
      <c r="G78" s="26">
        <f>SUMIFS(Verlauf!$J$6:$J$1000,Verlauf!$B$6:$B$1000,$A78,Verlauf!$C$6:$C$1000,$B78)</f>
        <v>0</v>
      </c>
      <c r="H78" s="26">
        <f>SUMIFS(Verlauf!$U$6:$U$1000,Verlauf!$B$6:$B$1000,$A78,Verlauf!$C$6:$C$1000,$B78)</f>
        <v>0</v>
      </c>
      <c r="I78" s="26">
        <f>SUMIFS(Verlauf!$V$6:$V$1000,Verlauf!$B$6:$B$1000,$A78,Verlauf!$C$6:$C$1000,$B78)</f>
        <v>0</v>
      </c>
      <c r="J78" s="26">
        <f>SUMIFS(Verlauf!$W$6:$W$1000,Verlauf!$B$6:$B$1000,$A78,Verlauf!$C$6:$C$1000,$B78)</f>
        <v>0</v>
      </c>
      <c r="K78" s="26">
        <f>SUMIFS(Verlauf!$T$6:$T$1000,Verlauf!$B$6:$B$1000,$A78,Verlauf!$C$6:$C$1000,$B78)</f>
        <v>0</v>
      </c>
      <c r="L78" s="27">
        <f>IF(Filter!$T$7=TRUE,IFERROR(INDEX(Planung!$D$68:$IA$68,MATCH($W78,Wirksam!$D$6:$IA$6,0)),0),0)</f>
        <v>0</v>
      </c>
      <c r="M78" s="27">
        <f>IF(OR(Filter!$T$5=TRUE,Filter!$T$6=TRUE),IFERROR(INDEX(Planung!$D$69:$IA$69,MATCH($W78,Wirksam!$D$6:$IA$6,0)),0),0)</f>
        <v>0</v>
      </c>
      <c r="N78" s="27">
        <f t="shared" si="11"/>
        <v>0</v>
      </c>
      <c r="O78" s="27" t="e">
        <f t="shared" si="12"/>
        <v>#N/A</v>
      </c>
      <c r="P78" s="27" t="e">
        <f t="shared" si="13"/>
        <v>#N/A</v>
      </c>
      <c r="Q78" s="27" t="e">
        <f t="shared" si="14"/>
        <v>#N/A</v>
      </c>
      <c r="R78" s="27" t="e">
        <f t="shared" si="15"/>
        <v>#N/A</v>
      </c>
      <c r="S78" s="27" t="e">
        <f t="shared" si="16"/>
        <v>#N/A</v>
      </c>
      <c r="T78" s="27" t="e">
        <f t="shared" si="17"/>
        <v>#N/A</v>
      </c>
      <c r="U78" s="26">
        <f>COUNTIFS(Verlauf!$B$6:$B$1000,$A78,Verlauf!$C$6:$C$1000,$B78)</f>
        <v>0</v>
      </c>
      <c r="V78" s="26">
        <f t="shared" si="18"/>
        <v>0</v>
      </c>
      <c r="W78" s="26">
        <f t="shared" si="19"/>
        <v>202749</v>
      </c>
      <c r="X78" s="26">
        <f>SUMIFS(Verlauf!$X$6:$X$1000,Verlauf!$B$6:$B$1000,$A78,Verlauf!$C$6:$C$1000,$B78)</f>
        <v>0</v>
      </c>
      <c r="Y78" s="26">
        <f>SUMIFS(Verlauf!$Y$6:$Y$1000,Verlauf!$B$6:$B$1000,$A78,Verlauf!$C$6:$C$1000,$B78)</f>
        <v>0</v>
      </c>
      <c r="Z78" s="26">
        <f>SUMIFS(Verlauf!$Z$6:$Z$1000,Verlauf!$B$6:$B$1000,$A78,Verlauf!$C$6:$C$1000,$B78)</f>
        <v>0</v>
      </c>
      <c r="AA78" s="26">
        <f>SUMIFS(Verlauf!$I$6:$I$1000,Verlauf!$B$6:$B$1000,$A78,Verlauf!$C$6:$C$1000,$B78)</f>
        <v>0</v>
      </c>
      <c r="AB78" s="26">
        <f>SUMIFS(Verlauf!$AA$6:$AA$1000,Verlauf!$B$6:$B$1000,$A78,Verlauf!$C$6:$C$1000,$B78)</f>
        <v>0</v>
      </c>
      <c r="AC78" s="26">
        <f>SUMIFS(Verlauf!$AB$6:$AB$1000,Verlauf!$B$6:$B$1000,$A78,Verlauf!$C$6:$C$1000,$B78)</f>
        <v>0</v>
      </c>
      <c r="AD78" s="26">
        <f>SUMIFS(Verlauf!$AC$6:$AC$1000,Verlauf!$B$6:$B$1000,$A78,Verlauf!$C$6:$C$1000,$B78)</f>
        <v>0</v>
      </c>
      <c r="AE78" s="26">
        <f>SUMIFS(Verlauf!$S$6:$S$1000,Verlauf!$B$6:$B$1000,$A78,Verlauf!$C$6:$C$1000,$B78)</f>
        <v>0</v>
      </c>
      <c r="AF78" s="26" t="str">
        <f>IF($AN78="","",INDEX(Verlauf!$D$6:$D$1000,MATCH($AN78,Verlauf!$A$6:$A$1000,0)))</f>
        <v/>
      </c>
      <c r="AG78" s="26" t="str">
        <f>IF($AN78="","",INDEX(Verlauf!$E$6:$E$1000,MATCH($AN78,Verlauf!$A$6:$A$1000,0)))</f>
        <v/>
      </c>
      <c r="AH78" s="26" t="str">
        <f>IF($AN78="","",INDEX(Verlauf!$F$6:$F$1000,MATCH($AN78,Verlauf!$A$6:$A$1000,0)))</f>
        <v/>
      </c>
      <c r="AI78" s="26" t="str">
        <f>IF($AN78="","",INDEX(Verlauf!$H$6:$H$1000,MATCH($AN78,Verlauf!$A$6:$A$1000,0)))</f>
        <v/>
      </c>
      <c r="AJ78" s="26" t="str">
        <f>IF($AN78="","",INDEX(Verlauf!$N$6:$N$1000,MATCH($AN78,Verlauf!$A$6:$A$1000,0)))</f>
        <v/>
      </c>
      <c r="AK78" s="26" t="str">
        <f>IF($AN78="","",INDEX(Verlauf!$O$6:$O$1000,MATCH($AN78,Verlauf!$A$6:$A$1000,0)))</f>
        <v/>
      </c>
      <c r="AL78" s="26" t="str">
        <f>IF($AN78="","",INDEX(Verlauf!$P$6:$P$1000,MATCH($AN78,Verlauf!$A$6:$A$1000,0)))</f>
        <v/>
      </c>
      <c r="AM78" s="26" t="str">
        <f>IF($AN78="","",INDEX(Verlauf!$R$6:$R$1000,MATCH($AN78,Verlauf!$A$6:$A$1000,0)))</f>
        <v/>
      </c>
      <c r="AN78" s="28" t="str">
        <f>IF(U78&gt;0,_xlfn.MAXIFS(Verlauf!$A$6:$A$1000,Verlauf!$B$6:$B$1000,$A78,Verlauf!$C$6:$C$1000,$B78),"")</f>
        <v/>
      </c>
    </row>
    <row r="79" spans="1:40" x14ac:dyDescent="0.25">
      <c r="A79" s="26">
        <v>2027</v>
      </c>
      <c r="B79" s="26">
        <v>50</v>
      </c>
      <c r="C79" s="7" t="str">
        <f t="shared" si="10"/>
        <v>KW 50/27</v>
      </c>
      <c r="D79" s="26">
        <f>SUMIFS(Verlauf!$K$6:$K$1000,Verlauf!$B$6:$B$1000,$A79,Verlauf!$C$6:$C$1000,$B79)</f>
        <v>0</v>
      </c>
      <c r="E79" s="26">
        <f>SUMIFS(Verlauf!$L$6:$L$1000,Verlauf!$B$6:$B$1000,$A79,Verlauf!$C$6:$C$1000,$B79)</f>
        <v>0</v>
      </c>
      <c r="F79" s="26">
        <f>SUMIFS(Verlauf!$M$6:$M$1000,Verlauf!$B$6:$B$1000,$A79,Verlauf!$C$6:$C$1000,$B79)</f>
        <v>0</v>
      </c>
      <c r="G79" s="26">
        <f>SUMIFS(Verlauf!$J$6:$J$1000,Verlauf!$B$6:$B$1000,$A79,Verlauf!$C$6:$C$1000,$B79)</f>
        <v>0</v>
      </c>
      <c r="H79" s="26">
        <f>SUMIFS(Verlauf!$U$6:$U$1000,Verlauf!$B$6:$B$1000,$A79,Verlauf!$C$6:$C$1000,$B79)</f>
        <v>0</v>
      </c>
      <c r="I79" s="26">
        <f>SUMIFS(Verlauf!$V$6:$V$1000,Verlauf!$B$6:$B$1000,$A79,Verlauf!$C$6:$C$1000,$B79)</f>
        <v>0</v>
      </c>
      <c r="J79" s="26">
        <f>SUMIFS(Verlauf!$W$6:$W$1000,Verlauf!$B$6:$B$1000,$A79,Verlauf!$C$6:$C$1000,$B79)</f>
        <v>0</v>
      </c>
      <c r="K79" s="26">
        <f>SUMIFS(Verlauf!$T$6:$T$1000,Verlauf!$B$6:$B$1000,$A79,Verlauf!$C$6:$C$1000,$B79)</f>
        <v>0</v>
      </c>
      <c r="L79" s="27">
        <f>IF(Filter!$T$7=TRUE,IFERROR(INDEX(Planung!$D$68:$IA$68,MATCH($W79,Wirksam!$D$6:$IA$6,0)),0),0)</f>
        <v>0</v>
      </c>
      <c r="M79" s="27">
        <f>IF(OR(Filter!$T$5=TRUE,Filter!$T$6=TRUE),IFERROR(INDEX(Planung!$D$69:$IA$69,MATCH($W79,Wirksam!$D$6:$IA$6,0)),0),0)</f>
        <v>0</v>
      </c>
      <c r="N79" s="27">
        <f t="shared" si="11"/>
        <v>0</v>
      </c>
      <c r="O79" s="27" t="e">
        <f t="shared" si="12"/>
        <v>#N/A</v>
      </c>
      <c r="P79" s="27" t="e">
        <f t="shared" si="13"/>
        <v>#N/A</v>
      </c>
      <c r="Q79" s="27" t="e">
        <f t="shared" si="14"/>
        <v>#N/A</v>
      </c>
      <c r="R79" s="27" t="e">
        <f t="shared" si="15"/>
        <v>#N/A</v>
      </c>
      <c r="S79" s="27" t="e">
        <f t="shared" si="16"/>
        <v>#N/A</v>
      </c>
      <c r="T79" s="27" t="e">
        <f t="shared" si="17"/>
        <v>#N/A</v>
      </c>
      <c r="U79" s="26">
        <f>COUNTIFS(Verlauf!$B$6:$B$1000,$A79,Verlauf!$C$6:$C$1000,$B79)</f>
        <v>0</v>
      </c>
      <c r="V79" s="26">
        <f t="shared" si="18"/>
        <v>0</v>
      </c>
      <c r="W79" s="26">
        <f t="shared" si="19"/>
        <v>202750</v>
      </c>
      <c r="X79" s="26">
        <f>SUMIFS(Verlauf!$X$6:$X$1000,Verlauf!$B$6:$B$1000,$A79,Verlauf!$C$6:$C$1000,$B79)</f>
        <v>0</v>
      </c>
      <c r="Y79" s="26">
        <f>SUMIFS(Verlauf!$Y$6:$Y$1000,Verlauf!$B$6:$B$1000,$A79,Verlauf!$C$6:$C$1000,$B79)</f>
        <v>0</v>
      </c>
      <c r="Z79" s="26">
        <f>SUMIFS(Verlauf!$Z$6:$Z$1000,Verlauf!$B$6:$B$1000,$A79,Verlauf!$C$6:$C$1000,$B79)</f>
        <v>0</v>
      </c>
      <c r="AA79" s="26">
        <f>SUMIFS(Verlauf!$I$6:$I$1000,Verlauf!$B$6:$B$1000,$A79,Verlauf!$C$6:$C$1000,$B79)</f>
        <v>0</v>
      </c>
      <c r="AB79" s="26">
        <f>SUMIFS(Verlauf!$AA$6:$AA$1000,Verlauf!$B$6:$B$1000,$A79,Verlauf!$C$6:$C$1000,$B79)</f>
        <v>0</v>
      </c>
      <c r="AC79" s="26">
        <f>SUMIFS(Verlauf!$AB$6:$AB$1000,Verlauf!$B$6:$B$1000,$A79,Verlauf!$C$6:$C$1000,$B79)</f>
        <v>0</v>
      </c>
      <c r="AD79" s="26">
        <f>SUMIFS(Verlauf!$AC$6:$AC$1000,Verlauf!$B$6:$B$1000,$A79,Verlauf!$C$6:$C$1000,$B79)</f>
        <v>0</v>
      </c>
      <c r="AE79" s="26">
        <f>SUMIFS(Verlauf!$S$6:$S$1000,Verlauf!$B$6:$B$1000,$A79,Verlauf!$C$6:$C$1000,$B79)</f>
        <v>0</v>
      </c>
      <c r="AF79" s="26" t="str">
        <f>IF($AN79="","",INDEX(Verlauf!$D$6:$D$1000,MATCH($AN79,Verlauf!$A$6:$A$1000,0)))</f>
        <v/>
      </c>
      <c r="AG79" s="26" t="str">
        <f>IF($AN79="","",INDEX(Verlauf!$E$6:$E$1000,MATCH($AN79,Verlauf!$A$6:$A$1000,0)))</f>
        <v/>
      </c>
      <c r="AH79" s="26" t="str">
        <f>IF($AN79="","",INDEX(Verlauf!$F$6:$F$1000,MATCH($AN79,Verlauf!$A$6:$A$1000,0)))</f>
        <v/>
      </c>
      <c r="AI79" s="26" t="str">
        <f>IF($AN79="","",INDEX(Verlauf!$H$6:$H$1000,MATCH($AN79,Verlauf!$A$6:$A$1000,0)))</f>
        <v/>
      </c>
      <c r="AJ79" s="26" t="str">
        <f>IF($AN79="","",INDEX(Verlauf!$N$6:$N$1000,MATCH($AN79,Verlauf!$A$6:$A$1000,0)))</f>
        <v/>
      </c>
      <c r="AK79" s="26" t="str">
        <f>IF($AN79="","",INDEX(Verlauf!$O$6:$O$1000,MATCH($AN79,Verlauf!$A$6:$A$1000,0)))</f>
        <v/>
      </c>
      <c r="AL79" s="26" t="str">
        <f>IF($AN79="","",INDEX(Verlauf!$P$6:$P$1000,MATCH($AN79,Verlauf!$A$6:$A$1000,0)))</f>
        <v/>
      </c>
      <c r="AM79" s="26" t="str">
        <f>IF($AN79="","",INDEX(Verlauf!$R$6:$R$1000,MATCH($AN79,Verlauf!$A$6:$A$1000,0)))</f>
        <v/>
      </c>
      <c r="AN79" s="28" t="str">
        <f>IF(U79&gt;0,_xlfn.MAXIFS(Verlauf!$A$6:$A$1000,Verlauf!$B$6:$B$1000,$A79,Verlauf!$C$6:$C$1000,$B79),"")</f>
        <v/>
      </c>
    </row>
    <row r="80" spans="1:40" x14ac:dyDescent="0.25">
      <c r="A80" s="26">
        <v>2027</v>
      </c>
      <c r="B80" s="26">
        <v>51</v>
      </c>
      <c r="C80" s="7" t="str">
        <f t="shared" si="10"/>
        <v>KW 51/27</v>
      </c>
      <c r="D80" s="26">
        <f>SUMIFS(Verlauf!$K$6:$K$1000,Verlauf!$B$6:$B$1000,$A80,Verlauf!$C$6:$C$1000,$B80)</f>
        <v>0</v>
      </c>
      <c r="E80" s="26">
        <f>SUMIFS(Verlauf!$L$6:$L$1000,Verlauf!$B$6:$B$1000,$A80,Verlauf!$C$6:$C$1000,$B80)</f>
        <v>0</v>
      </c>
      <c r="F80" s="26">
        <f>SUMIFS(Verlauf!$M$6:$M$1000,Verlauf!$B$6:$B$1000,$A80,Verlauf!$C$6:$C$1000,$B80)</f>
        <v>0</v>
      </c>
      <c r="G80" s="26">
        <f>SUMIFS(Verlauf!$J$6:$J$1000,Verlauf!$B$6:$B$1000,$A80,Verlauf!$C$6:$C$1000,$B80)</f>
        <v>0</v>
      </c>
      <c r="H80" s="26">
        <f>SUMIFS(Verlauf!$U$6:$U$1000,Verlauf!$B$6:$B$1000,$A80,Verlauf!$C$6:$C$1000,$B80)</f>
        <v>0</v>
      </c>
      <c r="I80" s="26">
        <f>SUMIFS(Verlauf!$V$6:$V$1000,Verlauf!$B$6:$B$1000,$A80,Verlauf!$C$6:$C$1000,$B80)</f>
        <v>0</v>
      </c>
      <c r="J80" s="26">
        <f>SUMIFS(Verlauf!$W$6:$W$1000,Verlauf!$B$6:$B$1000,$A80,Verlauf!$C$6:$C$1000,$B80)</f>
        <v>0</v>
      </c>
      <c r="K80" s="26">
        <f>SUMIFS(Verlauf!$T$6:$T$1000,Verlauf!$B$6:$B$1000,$A80,Verlauf!$C$6:$C$1000,$B80)</f>
        <v>0</v>
      </c>
      <c r="L80" s="27">
        <f>IF(Filter!$T$7=TRUE,IFERROR(INDEX(Planung!$D$68:$IA$68,MATCH($W80,Wirksam!$D$6:$IA$6,0)),0),0)</f>
        <v>0</v>
      </c>
      <c r="M80" s="27">
        <f>IF(OR(Filter!$T$5=TRUE,Filter!$T$6=TRUE),IFERROR(INDEX(Planung!$D$69:$IA$69,MATCH($W80,Wirksam!$D$6:$IA$6,0)),0),0)</f>
        <v>0</v>
      </c>
      <c r="N80" s="27">
        <f t="shared" si="11"/>
        <v>0</v>
      </c>
      <c r="O80" s="27" t="e">
        <f t="shared" si="12"/>
        <v>#N/A</v>
      </c>
      <c r="P80" s="27" t="e">
        <f t="shared" si="13"/>
        <v>#N/A</v>
      </c>
      <c r="Q80" s="27" t="e">
        <f t="shared" si="14"/>
        <v>#N/A</v>
      </c>
      <c r="R80" s="27" t="e">
        <f t="shared" si="15"/>
        <v>#N/A</v>
      </c>
      <c r="S80" s="27" t="e">
        <f t="shared" si="16"/>
        <v>#N/A</v>
      </c>
      <c r="T80" s="27" t="e">
        <f t="shared" si="17"/>
        <v>#N/A</v>
      </c>
      <c r="U80" s="26">
        <f>COUNTIFS(Verlauf!$B$6:$B$1000,$A80,Verlauf!$C$6:$C$1000,$B80)</f>
        <v>0</v>
      </c>
      <c r="V80" s="26">
        <f t="shared" si="18"/>
        <v>0</v>
      </c>
      <c r="W80" s="26">
        <f t="shared" si="19"/>
        <v>202751</v>
      </c>
      <c r="X80" s="26">
        <f>SUMIFS(Verlauf!$X$6:$X$1000,Verlauf!$B$6:$B$1000,$A80,Verlauf!$C$6:$C$1000,$B80)</f>
        <v>0</v>
      </c>
      <c r="Y80" s="26">
        <f>SUMIFS(Verlauf!$Y$6:$Y$1000,Verlauf!$B$6:$B$1000,$A80,Verlauf!$C$6:$C$1000,$B80)</f>
        <v>0</v>
      </c>
      <c r="Z80" s="26">
        <f>SUMIFS(Verlauf!$Z$6:$Z$1000,Verlauf!$B$6:$B$1000,$A80,Verlauf!$C$6:$C$1000,$B80)</f>
        <v>0</v>
      </c>
      <c r="AA80" s="26">
        <f>SUMIFS(Verlauf!$I$6:$I$1000,Verlauf!$B$6:$B$1000,$A80,Verlauf!$C$6:$C$1000,$B80)</f>
        <v>0</v>
      </c>
      <c r="AB80" s="26">
        <f>SUMIFS(Verlauf!$AA$6:$AA$1000,Verlauf!$B$6:$B$1000,$A80,Verlauf!$C$6:$C$1000,$B80)</f>
        <v>0</v>
      </c>
      <c r="AC80" s="26">
        <f>SUMIFS(Verlauf!$AB$6:$AB$1000,Verlauf!$B$6:$B$1000,$A80,Verlauf!$C$6:$C$1000,$B80)</f>
        <v>0</v>
      </c>
      <c r="AD80" s="26">
        <f>SUMIFS(Verlauf!$AC$6:$AC$1000,Verlauf!$B$6:$B$1000,$A80,Verlauf!$C$6:$C$1000,$B80)</f>
        <v>0</v>
      </c>
      <c r="AE80" s="26">
        <f>SUMIFS(Verlauf!$S$6:$S$1000,Verlauf!$B$6:$B$1000,$A80,Verlauf!$C$6:$C$1000,$B80)</f>
        <v>0</v>
      </c>
      <c r="AF80" s="26" t="str">
        <f>IF($AN80="","",INDEX(Verlauf!$D$6:$D$1000,MATCH($AN80,Verlauf!$A$6:$A$1000,0)))</f>
        <v/>
      </c>
      <c r="AG80" s="26" t="str">
        <f>IF($AN80="","",INDEX(Verlauf!$E$6:$E$1000,MATCH($AN80,Verlauf!$A$6:$A$1000,0)))</f>
        <v/>
      </c>
      <c r="AH80" s="26" t="str">
        <f>IF($AN80="","",INDEX(Verlauf!$F$6:$F$1000,MATCH($AN80,Verlauf!$A$6:$A$1000,0)))</f>
        <v/>
      </c>
      <c r="AI80" s="26" t="str">
        <f>IF($AN80="","",INDEX(Verlauf!$H$6:$H$1000,MATCH($AN80,Verlauf!$A$6:$A$1000,0)))</f>
        <v/>
      </c>
      <c r="AJ80" s="26" t="str">
        <f>IF($AN80="","",INDEX(Verlauf!$N$6:$N$1000,MATCH($AN80,Verlauf!$A$6:$A$1000,0)))</f>
        <v/>
      </c>
      <c r="AK80" s="26" t="str">
        <f>IF($AN80="","",INDEX(Verlauf!$O$6:$O$1000,MATCH($AN80,Verlauf!$A$6:$A$1000,0)))</f>
        <v/>
      </c>
      <c r="AL80" s="26" t="str">
        <f>IF($AN80="","",INDEX(Verlauf!$P$6:$P$1000,MATCH($AN80,Verlauf!$A$6:$A$1000,0)))</f>
        <v/>
      </c>
      <c r="AM80" s="26" t="str">
        <f>IF($AN80="","",INDEX(Verlauf!$R$6:$R$1000,MATCH($AN80,Verlauf!$A$6:$A$1000,0)))</f>
        <v/>
      </c>
      <c r="AN80" s="28" t="str">
        <f>IF(U80&gt;0,_xlfn.MAXIFS(Verlauf!$A$6:$A$1000,Verlauf!$B$6:$B$1000,$A80,Verlauf!$C$6:$C$1000,$B80),"")</f>
        <v/>
      </c>
    </row>
    <row r="81" spans="1:40" x14ac:dyDescent="0.25">
      <c r="A81" s="26">
        <v>2027</v>
      </c>
      <c r="B81" s="26">
        <v>52</v>
      </c>
      <c r="C81" s="7" t="str">
        <f t="shared" si="10"/>
        <v>KW 52/27</v>
      </c>
      <c r="D81" s="26">
        <f>SUMIFS(Verlauf!$K$6:$K$1000,Verlauf!$B$6:$B$1000,$A81,Verlauf!$C$6:$C$1000,$B81)</f>
        <v>0</v>
      </c>
      <c r="E81" s="26">
        <f>SUMIFS(Verlauf!$L$6:$L$1000,Verlauf!$B$6:$B$1000,$A81,Verlauf!$C$6:$C$1000,$B81)</f>
        <v>0</v>
      </c>
      <c r="F81" s="26">
        <f>SUMIFS(Verlauf!$M$6:$M$1000,Verlauf!$B$6:$B$1000,$A81,Verlauf!$C$6:$C$1000,$B81)</f>
        <v>0</v>
      </c>
      <c r="G81" s="26">
        <f>SUMIFS(Verlauf!$J$6:$J$1000,Verlauf!$B$6:$B$1000,$A81,Verlauf!$C$6:$C$1000,$B81)</f>
        <v>0</v>
      </c>
      <c r="H81" s="26">
        <f>SUMIFS(Verlauf!$U$6:$U$1000,Verlauf!$B$6:$B$1000,$A81,Verlauf!$C$6:$C$1000,$B81)</f>
        <v>0</v>
      </c>
      <c r="I81" s="26">
        <f>SUMIFS(Verlauf!$V$6:$V$1000,Verlauf!$B$6:$B$1000,$A81,Verlauf!$C$6:$C$1000,$B81)</f>
        <v>0</v>
      </c>
      <c r="J81" s="26">
        <f>SUMIFS(Verlauf!$W$6:$W$1000,Verlauf!$B$6:$B$1000,$A81,Verlauf!$C$6:$C$1000,$B81)</f>
        <v>0</v>
      </c>
      <c r="K81" s="26">
        <f>SUMIFS(Verlauf!$T$6:$T$1000,Verlauf!$B$6:$B$1000,$A81,Verlauf!$C$6:$C$1000,$B81)</f>
        <v>0</v>
      </c>
      <c r="L81" s="27">
        <f>IF(Filter!$T$7=TRUE,IFERROR(INDEX(Planung!$D$68:$IA$68,MATCH($W81,Wirksam!$D$6:$IA$6,0)),0),0)</f>
        <v>0</v>
      </c>
      <c r="M81" s="27">
        <f>IF(OR(Filter!$T$5=TRUE,Filter!$T$6=TRUE),IFERROR(INDEX(Planung!$D$69:$IA$69,MATCH($W81,Wirksam!$D$6:$IA$6,0)),0),0)</f>
        <v>0</v>
      </c>
      <c r="N81" s="27">
        <f t="shared" si="11"/>
        <v>0</v>
      </c>
      <c r="O81" s="27" t="e">
        <f t="shared" si="12"/>
        <v>#N/A</v>
      </c>
      <c r="P81" s="27" t="e">
        <f t="shared" si="13"/>
        <v>#N/A</v>
      </c>
      <c r="Q81" s="27" t="e">
        <f t="shared" si="14"/>
        <v>#N/A</v>
      </c>
      <c r="R81" s="27" t="e">
        <f t="shared" si="15"/>
        <v>#N/A</v>
      </c>
      <c r="S81" s="27" t="e">
        <f t="shared" si="16"/>
        <v>#N/A</v>
      </c>
      <c r="T81" s="27" t="e">
        <f t="shared" si="17"/>
        <v>#N/A</v>
      </c>
      <c r="U81" s="26">
        <f>COUNTIFS(Verlauf!$B$6:$B$1000,$A81,Verlauf!$C$6:$C$1000,$B81)</f>
        <v>0</v>
      </c>
      <c r="V81" s="26">
        <f t="shared" si="18"/>
        <v>0</v>
      </c>
      <c r="W81" s="26">
        <f t="shared" si="19"/>
        <v>202752</v>
      </c>
      <c r="X81" s="26">
        <f>SUMIFS(Verlauf!$X$6:$X$1000,Verlauf!$B$6:$B$1000,$A81,Verlauf!$C$6:$C$1000,$B81)</f>
        <v>0</v>
      </c>
      <c r="Y81" s="26">
        <f>SUMIFS(Verlauf!$Y$6:$Y$1000,Verlauf!$B$6:$B$1000,$A81,Verlauf!$C$6:$C$1000,$B81)</f>
        <v>0</v>
      </c>
      <c r="Z81" s="26">
        <f>SUMIFS(Verlauf!$Z$6:$Z$1000,Verlauf!$B$6:$B$1000,$A81,Verlauf!$C$6:$C$1000,$B81)</f>
        <v>0</v>
      </c>
      <c r="AA81" s="26">
        <f>SUMIFS(Verlauf!$I$6:$I$1000,Verlauf!$B$6:$B$1000,$A81,Verlauf!$C$6:$C$1000,$B81)</f>
        <v>0</v>
      </c>
      <c r="AB81" s="26">
        <f>SUMIFS(Verlauf!$AA$6:$AA$1000,Verlauf!$B$6:$B$1000,$A81,Verlauf!$C$6:$C$1000,$B81)</f>
        <v>0</v>
      </c>
      <c r="AC81" s="26">
        <f>SUMIFS(Verlauf!$AB$6:$AB$1000,Verlauf!$B$6:$B$1000,$A81,Verlauf!$C$6:$C$1000,$B81)</f>
        <v>0</v>
      </c>
      <c r="AD81" s="26">
        <f>SUMIFS(Verlauf!$AC$6:$AC$1000,Verlauf!$B$6:$B$1000,$A81,Verlauf!$C$6:$C$1000,$B81)</f>
        <v>0</v>
      </c>
      <c r="AE81" s="26">
        <f>SUMIFS(Verlauf!$S$6:$S$1000,Verlauf!$B$6:$B$1000,$A81,Verlauf!$C$6:$C$1000,$B81)</f>
        <v>0</v>
      </c>
      <c r="AF81" s="26" t="str">
        <f>IF($AN81="","",INDEX(Verlauf!$D$6:$D$1000,MATCH($AN81,Verlauf!$A$6:$A$1000,0)))</f>
        <v/>
      </c>
      <c r="AG81" s="26" t="str">
        <f>IF($AN81="","",INDEX(Verlauf!$E$6:$E$1000,MATCH($AN81,Verlauf!$A$6:$A$1000,0)))</f>
        <v/>
      </c>
      <c r="AH81" s="26" t="str">
        <f>IF($AN81="","",INDEX(Verlauf!$F$6:$F$1000,MATCH($AN81,Verlauf!$A$6:$A$1000,0)))</f>
        <v/>
      </c>
      <c r="AI81" s="26" t="str">
        <f>IF($AN81="","",INDEX(Verlauf!$H$6:$H$1000,MATCH($AN81,Verlauf!$A$6:$A$1000,0)))</f>
        <v/>
      </c>
      <c r="AJ81" s="26" t="str">
        <f>IF($AN81="","",INDEX(Verlauf!$N$6:$N$1000,MATCH($AN81,Verlauf!$A$6:$A$1000,0)))</f>
        <v/>
      </c>
      <c r="AK81" s="26" t="str">
        <f>IF($AN81="","",INDEX(Verlauf!$O$6:$O$1000,MATCH($AN81,Verlauf!$A$6:$A$1000,0)))</f>
        <v/>
      </c>
      <c r="AL81" s="26" t="str">
        <f>IF($AN81="","",INDEX(Verlauf!$P$6:$P$1000,MATCH($AN81,Verlauf!$A$6:$A$1000,0)))</f>
        <v/>
      </c>
      <c r="AM81" s="26" t="str">
        <f>IF($AN81="","",INDEX(Verlauf!$R$6:$R$1000,MATCH($AN81,Verlauf!$A$6:$A$1000,0)))</f>
        <v/>
      </c>
      <c r="AN81" s="28" t="str">
        <f>IF(U81&gt;0,_xlfn.MAXIFS(Verlauf!$A$6:$A$1000,Verlauf!$B$6:$B$1000,$A81,Verlauf!$C$6:$C$1000,$B81),"")</f>
        <v/>
      </c>
    </row>
    <row r="82" spans="1:40" x14ac:dyDescent="0.25">
      <c r="A82" s="26">
        <v>2028</v>
      </c>
      <c r="B82" s="26">
        <v>1</v>
      </c>
      <c r="C82" s="7" t="str">
        <f t="shared" si="10"/>
        <v>KW 1/28</v>
      </c>
      <c r="D82" s="26">
        <f>SUMIFS(Verlauf!$K$6:$K$1000,Verlauf!$B$6:$B$1000,$A82,Verlauf!$C$6:$C$1000,$B82)</f>
        <v>0</v>
      </c>
      <c r="E82" s="26">
        <f>SUMIFS(Verlauf!$L$6:$L$1000,Verlauf!$B$6:$B$1000,$A82,Verlauf!$C$6:$C$1000,$B82)</f>
        <v>0</v>
      </c>
      <c r="F82" s="26">
        <f>SUMIFS(Verlauf!$M$6:$M$1000,Verlauf!$B$6:$B$1000,$A82,Verlauf!$C$6:$C$1000,$B82)</f>
        <v>0</v>
      </c>
      <c r="G82" s="26">
        <f>SUMIFS(Verlauf!$J$6:$J$1000,Verlauf!$B$6:$B$1000,$A82,Verlauf!$C$6:$C$1000,$B82)</f>
        <v>0</v>
      </c>
      <c r="H82" s="26">
        <f>SUMIFS(Verlauf!$U$6:$U$1000,Verlauf!$B$6:$B$1000,$A82,Verlauf!$C$6:$C$1000,$B82)</f>
        <v>0</v>
      </c>
      <c r="I82" s="26">
        <f>SUMIFS(Verlauf!$V$6:$V$1000,Verlauf!$B$6:$B$1000,$A82,Verlauf!$C$6:$C$1000,$B82)</f>
        <v>0</v>
      </c>
      <c r="J82" s="26">
        <f>SUMIFS(Verlauf!$W$6:$W$1000,Verlauf!$B$6:$B$1000,$A82,Verlauf!$C$6:$C$1000,$B82)</f>
        <v>0</v>
      </c>
      <c r="K82" s="26">
        <f>SUMIFS(Verlauf!$T$6:$T$1000,Verlauf!$B$6:$B$1000,$A82,Verlauf!$C$6:$C$1000,$B82)</f>
        <v>0</v>
      </c>
      <c r="L82" s="27">
        <f>IF(Filter!$T$7=TRUE,IFERROR(INDEX(Planung!$D$68:$IA$68,MATCH($W82,Wirksam!$D$6:$IA$6,0)),0),0)</f>
        <v>0</v>
      </c>
      <c r="M82" s="27">
        <f>IF(OR(Filter!$T$5=TRUE,Filter!$T$6=TRUE),IFERROR(INDEX(Planung!$D$69:$IA$69,MATCH($W82,Wirksam!$D$6:$IA$6,0)),0),0)</f>
        <v>0</v>
      </c>
      <c r="N82" s="27">
        <f t="shared" si="11"/>
        <v>0</v>
      </c>
      <c r="O82" s="27" t="e">
        <f t="shared" si="12"/>
        <v>#N/A</v>
      </c>
      <c r="P82" s="27" t="e">
        <f t="shared" si="13"/>
        <v>#N/A</v>
      </c>
      <c r="Q82" s="27" t="e">
        <f t="shared" si="14"/>
        <v>#N/A</v>
      </c>
      <c r="R82" s="27" t="e">
        <f t="shared" si="15"/>
        <v>#N/A</v>
      </c>
      <c r="S82" s="27" t="e">
        <f t="shared" si="16"/>
        <v>#N/A</v>
      </c>
      <c r="T82" s="27" t="e">
        <f t="shared" si="17"/>
        <v>#N/A</v>
      </c>
      <c r="U82" s="26">
        <f>COUNTIFS(Verlauf!$B$6:$B$1000,$A82,Verlauf!$C$6:$C$1000,$B82)</f>
        <v>0</v>
      </c>
      <c r="V82" s="26">
        <f t="shared" si="18"/>
        <v>0</v>
      </c>
      <c r="W82" s="26">
        <f t="shared" si="19"/>
        <v>202801</v>
      </c>
      <c r="X82" s="26">
        <f>SUMIFS(Verlauf!$X$6:$X$1000,Verlauf!$B$6:$B$1000,$A82,Verlauf!$C$6:$C$1000,$B82)</f>
        <v>0</v>
      </c>
      <c r="Y82" s="26">
        <f>SUMIFS(Verlauf!$Y$6:$Y$1000,Verlauf!$B$6:$B$1000,$A82,Verlauf!$C$6:$C$1000,$B82)</f>
        <v>0</v>
      </c>
      <c r="Z82" s="26">
        <f>SUMIFS(Verlauf!$Z$6:$Z$1000,Verlauf!$B$6:$B$1000,$A82,Verlauf!$C$6:$C$1000,$B82)</f>
        <v>0</v>
      </c>
      <c r="AA82" s="26">
        <f>SUMIFS(Verlauf!$I$6:$I$1000,Verlauf!$B$6:$B$1000,$A82,Verlauf!$C$6:$C$1000,$B82)</f>
        <v>0</v>
      </c>
      <c r="AB82" s="26">
        <f>SUMIFS(Verlauf!$AA$6:$AA$1000,Verlauf!$B$6:$B$1000,$A82,Verlauf!$C$6:$C$1000,$B82)</f>
        <v>0</v>
      </c>
      <c r="AC82" s="26">
        <f>SUMIFS(Verlauf!$AB$6:$AB$1000,Verlauf!$B$6:$B$1000,$A82,Verlauf!$C$6:$C$1000,$B82)</f>
        <v>0</v>
      </c>
      <c r="AD82" s="26">
        <f>SUMIFS(Verlauf!$AC$6:$AC$1000,Verlauf!$B$6:$B$1000,$A82,Verlauf!$C$6:$C$1000,$B82)</f>
        <v>0</v>
      </c>
      <c r="AE82" s="26">
        <f>SUMIFS(Verlauf!$S$6:$S$1000,Verlauf!$B$6:$B$1000,$A82,Verlauf!$C$6:$C$1000,$B82)</f>
        <v>0</v>
      </c>
      <c r="AF82" s="26" t="str">
        <f>IF($AN82="","",INDEX(Verlauf!$D$6:$D$1000,MATCH($AN82,Verlauf!$A$6:$A$1000,0)))</f>
        <v/>
      </c>
      <c r="AG82" s="26" t="str">
        <f>IF($AN82="","",INDEX(Verlauf!$E$6:$E$1000,MATCH($AN82,Verlauf!$A$6:$A$1000,0)))</f>
        <v/>
      </c>
      <c r="AH82" s="26" t="str">
        <f>IF($AN82="","",INDEX(Verlauf!$F$6:$F$1000,MATCH($AN82,Verlauf!$A$6:$A$1000,0)))</f>
        <v/>
      </c>
      <c r="AI82" s="26" t="str">
        <f>IF($AN82="","",INDEX(Verlauf!$H$6:$H$1000,MATCH($AN82,Verlauf!$A$6:$A$1000,0)))</f>
        <v/>
      </c>
      <c r="AJ82" s="26" t="str">
        <f>IF($AN82="","",INDEX(Verlauf!$N$6:$N$1000,MATCH($AN82,Verlauf!$A$6:$A$1000,0)))</f>
        <v/>
      </c>
      <c r="AK82" s="26" t="str">
        <f>IF($AN82="","",INDEX(Verlauf!$O$6:$O$1000,MATCH($AN82,Verlauf!$A$6:$A$1000,0)))</f>
        <v/>
      </c>
      <c r="AL82" s="26" t="str">
        <f>IF($AN82="","",INDEX(Verlauf!$P$6:$P$1000,MATCH($AN82,Verlauf!$A$6:$A$1000,0)))</f>
        <v/>
      </c>
      <c r="AM82" s="26" t="str">
        <f>IF($AN82="","",INDEX(Verlauf!$R$6:$R$1000,MATCH($AN82,Verlauf!$A$6:$A$1000,0)))</f>
        <v/>
      </c>
      <c r="AN82" s="28" t="str">
        <f>IF(U82&gt;0,_xlfn.MAXIFS(Verlauf!$A$6:$A$1000,Verlauf!$B$6:$B$1000,$A82,Verlauf!$C$6:$C$1000,$B82),"")</f>
        <v/>
      </c>
    </row>
    <row r="83" spans="1:40" x14ac:dyDescent="0.25">
      <c r="A83" s="26">
        <v>2028</v>
      </c>
      <c r="B83" s="26">
        <v>2</v>
      </c>
      <c r="C83" s="7" t="str">
        <f t="shared" si="10"/>
        <v>KW 2/28</v>
      </c>
      <c r="D83" s="26">
        <f>SUMIFS(Verlauf!$K$6:$K$1000,Verlauf!$B$6:$B$1000,$A83,Verlauf!$C$6:$C$1000,$B83)</f>
        <v>0</v>
      </c>
      <c r="E83" s="26">
        <f>SUMIFS(Verlauf!$L$6:$L$1000,Verlauf!$B$6:$B$1000,$A83,Verlauf!$C$6:$C$1000,$B83)</f>
        <v>0</v>
      </c>
      <c r="F83" s="26">
        <f>SUMIFS(Verlauf!$M$6:$M$1000,Verlauf!$B$6:$B$1000,$A83,Verlauf!$C$6:$C$1000,$B83)</f>
        <v>0</v>
      </c>
      <c r="G83" s="26">
        <f>SUMIFS(Verlauf!$J$6:$J$1000,Verlauf!$B$6:$B$1000,$A83,Verlauf!$C$6:$C$1000,$B83)</f>
        <v>0</v>
      </c>
      <c r="H83" s="26">
        <f>SUMIFS(Verlauf!$U$6:$U$1000,Verlauf!$B$6:$B$1000,$A83,Verlauf!$C$6:$C$1000,$B83)</f>
        <v>0</v>
      </c>
      <c r="I83" s="26">
        <f>SUMIFS(Verlauf!$V$6:$V$1000,Verlauf!$B$6:$B$1000,$A83,Verlauf!$C$6:$C$1000,$B83)</f>
        <v>0</v>
      </c>
      <c r="J83" s="26">
        <f>SUMIFS(Verlauf!$W$6:$W$1000,Verlauf!$B$6:$B$1000,$A83,Verlauf!$C$6:$C$1000,$B83)</f>
        <v>0</v>
      </c>
      <c r="K83" s="26">
        <f>SUMIFS(Verlauf!$T$6:$T$1000,Verlauf!$B$6:$B$1000,$A83,Verlauf!$C$6:$C$1000,$B83)</f>
        <v>0</v>
      </c>
      <c r="L83" s="27">
        <f>IF(Filter!$T$7=TRUE,IFERROR(INDEX(Planung!$D$68:$IA$68,MATCH($W83,Wirksam!$D$6:$IA$6,0)),0),0)</f>
        <v>0</v>
      </c>
      <c r="M83" s="27">
        <f>IF(OR(Filter!$T$5=TRUE,Filter!$T$6=TRUE),IFERROR(INDEX(Planung!$D$69:$IA$69,MATCH($W83,Wirksam!$D$6:$IA$6,0)),0),0)</f>
        <v>0</v>
      </c>
      <c r="N83" s="27">
        <f t="shared" si="11"/>
        <v>0</v>
      </c>
      <c r="O83" s="27" t="e">
        <f t="shared" si="12"/>
        <v>#N/A</v>
      </c>
      <c r="P83" s="27" t="e">
        <f t="shared" si="13"/>
        <v>#N/A</v>
      </c>
      <c r="Q83" s="27" t="e">
        <f t="shared" si="14"/>
        <v>#N/A</v>
      </c>
      <c r="R83" s="27" t="e">
        <f t="shared" si="15"/>
        <v>#N/A</v>
      </c>
      <c r="S83" s="27" t="e">
        <f t="shared" si="16"/>
        <v>#N/A</v>
      </c>
      <c r="T83" s="27" t="e">
        <f t="shared" si="17"/>
        <v>#N/A</v>
      </c>
      <c r="U83" s="26">
        <f>COUNTIFS(Verlauf!$B$6:$B$1000,$A83,Verlauf!$C$6:$C$1000,$B83)</f>
        <v>0</v>
      </c>
      <c r="V83" s="26">
        <f t="shared" si="18"/>
        <v>0</v>
      </c>
      <c r="W83" s="26">
        <f t="shared" si="19"/>
        <v>202802</v>
      </c>
      <c r="X83" s="26">
        <f>SUMIFS(Verlauf!$X$6:$X$1000,Verlauf!$B$6:$B$1000,$A83,Verlauf!$C$6:$C$1000,$B83)</f>
        <v>0</v>
      </c>
      <c r="Y83" s="26">
        <f>SUMIFS(Verlauf!$Y$6:$Y$1000,Verlauf!$B$6:$B$1000,$A83,Verlauf!$C$6:$C$1000,$B83)</f>
        <v>0</v>
      </c>
      <c r="Z83" s="26">
        <f>SUMIFS(Verlauf!$Z$6:$Z$1000,Verlauf!$B$6:$B$1000,$A83,Verlauf!$C$6:$C$1000,$B83)</f>
        <v>0</v>
      </c>
      <c r="AA83" s="26">
        <f>SUMIFS(Verlauf!$I$6:$I$1000,Verlauf!$B$6:$B$1000,$A83,Verlauf!$C$6:$C$1000,$B83)</f>
        <v>0</v>
      </c>
      <c r="AB83" s="26">
        <f>SUMIFS(Verlauf!$AA$6:$AA$1000,Verlauf!$B$6:$B$1000,$A83,Verlauf!$C$6:$C$1000,$B83)</f>
        <v>0</v>
      </c>
      <c r="AC83" s="26">
        <f>SUMIFS(Verlauf!$AB$6:$AB$1000,Verlauf!$B$6:$B$1000,$A83,Verlauf!$C$6:$C$1000,$B83)</f>
        <v>0</v>
      </c>
      <c r="AD83" s="26">
        <f>SUMIFS(Verlauf!$AC$6:$AC$1000,Verlauf!$B$6:$B$1000,$A83,Verlauf!$C$6:$C$1000,$B83)</f>
        <v>0</v>
      </c>
      <c r="AE83" s="26">
        <f>SUMIFS(Verlauf!$S$6:$S$1000,Verlauf!$B$6:$B$1000,$A83,Verlauf!$C$6:$C$1000,$B83)</f>
        <v>0</v>
      </c>
      <c r="AF83" s="26" t="str">
        <f>IF($AN83="","",INDEX(Verlauf!$D$6:$D$1000,MATCH($AN83,Verlauf!$A$6:$A$1000,0)))</f>
        <v/>
      </c>
      <c r="AG83" s="26" t="str">
        <f>IF($AN83="","",INDEX(Verlauf!$E$6:$E$1000,MATCH($AN83,Verlauf!$A$6:$A$1000,0)))</f>
        <v/>
      </c>
      <c r="AH83" s="26" t="str">
        <f>IF($AN83="","",INDEX(Verlauf!$F$6:$F$1000,MATCH($AN83,Verlauf!$A$6:$A$1000,0)))</f>
        <v/>
      </c>
      <c r="AI83" s="26" t="str">
        <f>IF($AN83="","",INDEX(Verlauf!$H$6:$H$1000,MATCH($AN83,Verlauf!$A$6:$A$1000,0)))</f>
        <v/>
      </c>
      <c r="AJ83" s="26" t="str">
        <f>IF($AN83="","",INDEX(Verlauf!$N$6:$N$1000,MATCH($AN83,Verlauf!$A$6:$A$1000,0)))</f>
        <v/>
      </c>
      <c r="AK83" s="26" t="str">
        <f>IF($AN83="","",INDEX(Verlauf!$O$6:$O$1000,MATCH($AN83,Verlauf!$A$6:$A$1000,0)))</f>
        <v/>
      </c>
      <c r="AL83" s="26" t="str">
        <f>IF($AN83="","",INDEX(Verlauf!$P$6:$P$1000,MATCH($AN83,Verlauf!$A$6:$A$1000,0)))</f>
        <v/>
      </c>
      <c r="AM83" s="26" t="str">
        <f>IF($AN83="","",INDEX(Verlauf!$R$6:$R$1000,MATCH($AN83,Verlauf!$A$6:$A$1000,0)))</f>
        <v/>
      </c>
      <c r="AN83" s="28" t="str">
        <f>IF(U83&gt;0,_xlfn.MAXIFS(Verlauf!$A$6:$A$1000,Verlauf!$B$6:$B$1000,$A83,Verlauf!$C$6:$C$1000,$B83),"")</f>
        <v/>
      </c>
    </row>
    <row r="84" spans="1:40" x14ac:dyDescent="0.25">
      <c r="A84" s="26">
        <v>2028</v>
      </c>
      <c r="B84" s="26">
        <v>3</v>
      </c>
      <c r="C84" s="7" t="str">
        <f t="shared" si="10"/>
        <v>KW 3/28</v>
      </c>
      <c r="D84" s="26">
        <f>SUMIFS(Verlauf!$K$6:$K$1000,Verlauf!$B$6:$B$1000,$A84,Verlauf!$C$6:$C$1000,$B84)</f>
        <v>0</v>
      </c>
      <c r="E84" s="26">
        <f>SUMIFS(Verlauf!$L$6:$L$1000,Verlauf!$B$6:$B$1000,$A84,Verlauf!$C$6:$C$1000,$B84)</f>
        <v>0</v>
      </c>
      <c r="F84" s="26">
        <f>SUMIFS(Verlauf!$M$6:$M$1000,Verlauf!$B$6:$B$1000,$A84,Verlauf!$C$6:$C$1000,$B84)</f>
        <v>0</v>
      </c>
      <c r="G84" s="26">
        <f>SUMIFS(Verlauf!$J$6:$J$1000,Verlauf!$B$6:$B$1000,$A84,Verlauf!$C$6:$C$1000,$B84)</f>
        <v>0</v>
      </c>
      <c r="H84" s="26">
        <f>SUMIFS(Verlauf!$U$6:$U$1000,Verlauf!$B$6:$B$1000,$A84,Verlauf!$C$6:$C$1000,$B84)</f>
        <v>0</v>
      </c>
      <c r="I84" s="26">
        <f>SUMIFS(Verlauf!$V$6:$V$1000,Verlauf!$B$6:$B$1000,$A84,Verlauf!$C$6:$C$1000,$B84)</f>
        <v>0</v>
      </c>
      <c r="J84" s="26">
        <f>SUMIFS(Verlauf!$W$6:$W$1000,Verlauf!$B$6:$B$1000,$A84,Verlauf!$C$6:$C$1000,$B84)</f>
        <v>0</v>
      </c>
      <c r="K84" s="26">
        <f>SUMIFS(Verlauf!$T$6:$T$1000,Verlauf!$B$6:$B$1000,$A84,Verlauf!$C$6:$C$1000,$B84)</f>
        <v>0</v>
      </c>
      <c r="L84" s="27">
        <f>IF(Filter!$T$7=TRUE,IFERROR(INDEX(Planung!$D$68:$IA$68,MATCH($W84,Wirksam!$D$6:$IA$6,0)),0),0)</f>
        <v>0</v>
      </c>
      <c r="M84" s="27">
        <f>IF(OR(Filter!$T$5=TRUE,Filter!$T$6=TRUE),IFERROR(INDEX(Planung!$D$69:$IA$69,MATCH($W84,Wirksam!$D$6:$IA$6,0)),0),0)</f>
        <v>0</v>
      </c>
      <c r="N84" s="27">
        <f t="shared" si="11"/>
        <v>0</v>
      </c>
      <c r="O84" s="27" t="e">
        <f t="shared" si="12"/>
        <v>#N/A</v>
      </c>
      <c r="P84" s="27" t="e">
        <f t="shared" si="13"/>
        <v>#N/A</v>
      </c>
      <c r="Q84" s="27" t="e">
        <f t="shared" si="14"/>
        <v>#N/A</v>
      </c>
      <c r="R84" s="27" t="e">
        <f t="shared" si="15"/>
        <v>#N/A</v>
      </c>
      <c r="S84" s="27" t="e">
        <f t="shared" si="16"/>
        <v>#N/A</v>
      </c>
      <c r="T84" s="27" t="e">
        <f t="shared" si="17"/>
        <v>#N/A</v>
      </c>
      <c r="U84" s="26">
        <f>COUNTIFS(Verlauf!$B$6:$B$1000,$A84,Verlauf!$C$6:$C$1000,$B84)</f>
        <v>0</v>
      </c>
      <c r="V84" s="26">
        <f t="shared" si="18"/>
        <v>0</v>
      </c>
      <c r="W84" s="26">
        <f t="shared" si="19"/>
        <v>202803</v>
      </c>
      <c r="X84" s="26">
        <f>SUMIFS(Verlauf!$X$6:$X$1000,Verlauf!$B$6:$B$1000,$A84,Verlauf!$C$6:$C$1000,$B84)</f>
        <v>0</v>
      </c>
      <c r="Y84" s="26">
        <f>SUMIFS(Verlauf!$Y$6:$Y$1000,Verlauf!$B$6:$B$1000,$A84,Verlauf!$C$6:$C$1000,$B84)</f>
        <v>0</v>
      </c>
      <c r="Z84" s="26">
        <f>SUMIFS(Verlauf!$Z$6:$Z$1000,Verlauf!$B$6:$B$1000,$A84,Verlauf!$C$6:$C$1000,$B84)</f>
        <v>0</v>
      </c>
      <c r="AA84" s="26">
        <f>SUMIFS(Verlauf!$I$6:$I$1000,Verlauf!$B$6:$B$1000,$A84,Verlauf!$C$6:$C$1000,$B84)</f>
        <v>0</v>
      </c>
      <c r="AB84" s="26">
        <f>SUMIFS(Verlauf!$AA$6:$AA$1000,Verlauf!$B$6:$B$1000,$A84,Verlauf!$C$6:$C$1000,$B84)</f>
        <v>0</v>
      </c>
      <c r="AC84" s="26">
        <f>SUMIFS(Verlauf!$AB$6:$AB$1000,Verlauf!$B$6:$B$1000,$A84,Verlauf!$C$6:$C$1000,$B84)</f>
        <v>0</v>
      </c>
      <c r="AD84" s="26">
        <f>SUMIFS(Verlauf!$AC$6:$AC$1000,Verlauf!$B$6:$B$1000,$A84,Verlauf!$C$6:$C$1000,$B84)</f>
        <v>0</v>
      </c>
      <c r="AE84" s="26">
        <f>SUMIFS(Verlauf!$S$6:$S$1000,Verlauf!$B$6:$B$1000,$A84,Verlauf!$C$6:$C$1000,$B84)</f>
        <v>0</v>
      </c>
      <c r="AF84" s="26" t="str">
        <f>IF($AN84="","",INDEX(Verlauf!$D$6:$D$1000,MATCH($AN84,Verlauf!$A$6:$A$1000,0)))</f>
        <v/>
      </c>
      <c r="AG84" s="26" t="str">
        <f>IF($AN84="","",INDEX(Verlauf!$E$6:$E$1000,MATCH($AN84,Verlauf!$A$6:$A$1000,0)))</f>
        <v/>
      </c>
      <c r="AH84" s="26" t="str">
        <f>IF($AN84="","",INDEX(Verlauf!$F$6:$F$1000,MATCH($AN84,Verlauf!$A$6:$A$1000,0)))</f>
        <v/>
      </c>
      <c r="AI84" s="26" t="str">
        <f>IF($AN84="","",INDEX(Verlauf!$H$6:$H$1000,MATCH($AN84,Verlauf!$A$6:$A$1000,0)))</f>
        <v/>
      </c>
      <c r="AJ84" s="26" t="str">
        <f>IF($AN84="","",INDEX(Verlauf!$N$6:$N$1000,MATCH($AN84,Verlauf!$A$6:$A$1000,0)))</f>
        <v/>
      </c>
      <c r="AK84" s="26" t="str">
        <f>IF($AN84="","",INDEX(Verlauf!$O$6:$O$1000,MATCH($AN84,Verlauf!$A$6:$A$1000,0)))</f>
        <v/>
      </c>
      <c r="AL84" s="26" t="str">
        <f>IF($AN84="","",INDEX(Verlauf!$P$6:$P$1000,MATCH($AN84,Verlauf!$A$6:$A$1000,0)))</f>
        <v/>
      </c>
      <c r="AM84" s="26" t="str">
        <f>IF($AN84="","",INDEX(Verlauf!$R$6:$R$1000,MATCH($AN84,Verlauf!$A$6:$A$1000,0)))</f>
        <v/>
      </c>
      <c r="AN84" s="28" t="str">
        <f>IF(U84&gt;0,_xlfn.MAXIFS(Verlauf!$A$6:$A$1000,Verlauf!$B$6:$B$1000,$A84,Verlauf!$C$6:$C$1000,$B84),"")</f>
        <v/>
      </c>
    </row>
    <row r="85" spans="1:40" x14ac:dyDescent="0.25">
      <c r="A85" s="26">
        <v>2028</v>
      </c>
      <c r="B85" s="26">
        <v>4</v>
      </c>
      <c r="C85" s="7" t="str">
        <f t="shared" si="10"/>
        <v>KW 4/28</v>
      </c>
      <c r="D85" s="26">
        <f>SUMIFS(Verlauf!$K$6:$K$1000,Verlauf!$B$6:$B$1000,$A85,Verlauf!$C$6:$C$1000,$B85)</f>
        <v>0</v>
      </c>
      <c r="E85" s="26">
        <f>SUMIFS(Verlauf!$L$6:$L$1000,Verlauf!$B$6:$B$1000,$A85,Verlauf!$C$6:$C$1000,$B85)</f>
        <v>0</v>
      </c>
      <c r="F85" s="26">
        <f>SUMIFS(Verlauf!$M$6:$M$1000,Verlauf!$B$6:$B$1000,$A85,Verlauf!$C$6:$C$1000,$B85)</f>
        <v>0</v>
      </c>
      <c r="G85" s="26">
        <f>SUMIFS(Verlauf!$J$6:$J$1000,Verlauf!$B$6:$B$1000,$A85,Verlauf!$C$6:$C$1000,$B85)</f>
        <v>0</v>
      </c>
      <c r="H85" s="26">
        <f>SUMIFS(Verlauf!$U$6:$U$1000,Verlauf!$B$6:$B$1000,$A85,Verlauf!$C$6:$C$1000,$B85)</f>
        <v>0</v>
      </c>
      <c r="I85" s="26">
        <f>SUMIFS(Verlauf!$V$6:$V$1000,Verlauf!$B$6:$B$1000,$A85,Verlauf!$C$6:$C$1000,$B85)</f>
        <v>0</v>
      </c>
      <c r="J85" s="26">
        <f>SUMIFS(Verlauf!$W$6:$W$1000,Verlauf!$B$6:$B$1000,$A85,Verlauf!$C$6:$C$1000,$B85)</f>
        <v>0</v>
      </c>
      <c r="K85" s="26">
        <f>SUMIFS(Verlauf!$T$6:$T$1000,Verlauf!$B$6:$B$1000,$A85,Verlauf!$C$6:$C$1000,$B85)</f>
        <v>0</v>
      </c>
      <c r="L85" s="27">
        <f>IF(Filter!$T$7=TRUE,IFERROR(INDEX(Planung!$D$68:$IA$68,MATCH($W85,Wirksam!$D$6:$IA$6,0)),0),0)</f>
        <v>0</v>
      </c>
      <c r="M85" s="27">
        <f>IF(OR(Filter!$T$5=TRUE,Filter!$T$6=TRUE),IFERROR(INDEX(Planung!$D$69:$IA$69,MATCH($W85,Wirksam!$D$6:$IA$6,0)),0),0)</f>
        <v>0</v>
      </c>
      <c r="N85" s="27">
        <f t="shared" si="11"/>
        <v>0</v>
      </c>
      <c r="O85" s="27" t="e">
        <f t="shared" si="12"/>
        <v>#N/A</v>
      </c>
      <c r="P85" s="27" t="e">
        <f t="shared" si="13"/>
        <v>#N/A</v>
      </c>
      <c r="Q85" s="27" t="e">
        <f t="shared" si="14"/>
        <v>#N/A</v>
      </c>
      <c r="R85" s="27" t="e">
        <f t="shared" si="15"/>
        <v>#N/A</v>
      </c>
      <c r="S85" s="27" t="e">
        <f t="shared" si="16"/>
        <v>#N/A</v>
      </c>
      <c r="T85" s="27" t="e">
        <f t="shared" si="17"/>
        <v>#N/A</v>
      </c>
      <c r="U85" s="26">
        <f>COUNTIFS(Verlauf!$B$6:$B$1000,$A85,Verlauf!$C$6:$C$1000,$B85)</f>
        <v>0</v>
      </c>
      <c r="V85" s="26">
        <f t="shared" si="18"/>
        <v>0</v>
      </c>
      <c r="W85" s="26">
        <f t="shared" si="19"/>
        <v>202804</v>
      </c>
      <c r="X85" s="26">
        <f>SUMIFS(Verlauf!$X$6:$X$1000,Verlauf!$B$6:$B$1000,$A85,Verlauf!$C$6:$C$1000,$B85)</f>
        <v>0</v>
      </c>
      <c r="Y85" s="26">
        <f>SUMIFS(Verlauf!$Y$6:$Y$1000,Verlauf!$B$6:$B$1000,$A85,Verlauf!$C$6:$C$1000,$B85)</f>
        <v>0</v>
      </c>
      <c r="Z85" s="26">
        <f>SUMIFS(Verlauf!$Z$6:$Z$1000,Verlauf!$B$6:$B$1000,$A85,Verlauf!$C$6:$C$1000,$B85)</f>
        <v>0</v>
      </c>
      <c r="AA85" s="26">
        <f>SUMIFS(Verlauf!$I$6:$I$1000,Verlauf!$B$6:$B$1000,$A85,Verlauf!$C$6:$C$1000,$B85)</f>
        <v>0</v>
      </c>
      <c r="AB85" s="26">
        <f>SUMIFS(Verlauf!$AA$6:$AA$1000,Verlauf!$B$6:$B$1000,$A85,Verlauf!$C$6:$C$1000,$B85)</f>
        <v>0</v>
      </c>
      <c r="AC85" s="26">
        <f>SUMIFS(Verlauf!$AB$6:$AB$1000,Verlauf!$B$6:$B$1000,$A85,Verlauf!$C$6:$C$1000,$B85)</f>
        <v>0</v>
      </c>
      <c r="AD85" s="26">
        <f>SUMIFS(Verlauf!$AC$6:$AC$1000,Verlauf!$B$6:$B$1000,$A85,Verlauf!$C$6:$C$1000,$B85)</f>
        <v>0</v>
      </c>
      <c r="AE85" s="26">
        <f>SUMIFS(Verlauf!$S$6:$S$1000,Verlauf!$B$6:$B$1000,$A85,Verlauf!$C$6:$C$1000,$B85)</f>
        <v>0</v>
      </c>
      <c r="AF85" s="26" t="str">
        <f>IF($AN85="","",INDEX(Verlauf!$D$6:$D$1000,MATCH($AN85,Verlauf!$A$6:$A$1000,0)))</f>
        <v/>
      </c>
      <c r="AG85" s="26" t="str">
        <f>IF($AN85="","",INDEX(Verlauf!$E$6:$E$1000,MATCH($AN85,Verlauf!$A$6:$A$1000,0)))</f>
        <v/>
      </c>
      <c r="AH85" s="26" t="str">
        <f>IF($AN85="","",INDEX(Verlauf!$F$6:$F$1000,MATCH($AN85,Verlauf!$A$6:$A$1000,0)))</f>
        <v/>
      </c>
      <c r="AI85" s="26" t="str">
        <f>IF($AN85="","",INDEX(Verlauf!$H$6:$H$1000,MATCH($AN85,Verlauf!$A$6:$A$1000,0)))</f>
        <v/>
      </c>
      <c r="AJ85" s="26" t="str">
        <f>IF($AN85="","",INDEX(Verlauf!$N$6:$N$1000,MATCH($AN85,Verlauf!$A$6:$A$1000,0)))</f>
        <v/>
      </c>
      <c r="AK85" s="26" t="str">
        <f>IF($AN85="","",INDEX(Verlauf!$O$6:$O$1000,MATCH($AN85,Verlauf!$A$6:$A$1000,0)))</f>
        <v/>
      </c>
      <c r="AL85" s="26" t="str">
        <f>IF($AN85="","",INDEX(Verlauf!$P$6:$P$1000,MATCH($AN85,Verlauf!$A$6:$A$1000,0)))</f>
        <v/>
      </c>
      <c r="AM85" s="26" t="str">
        <f>IF($AN85="","",INDEX(Verlauf!$R$6:$R$1000,MATCH($AN85,Verlauf!$A$6:$A$1000,0)))</f>
        <v/>
      </c>
      <c r="AN85" s="28" t="str">
        <f>IF(U85&gt;0,_xlfn.MAXIFS(Verlauf!$A$6:$A$1000,Verlauf!$B$6:$B$1000,$A85,Verlauf!$C$6:$C$1000,$B85),"")</f>
        <v/>
      </c>
    </row>
    <row r="86" spans="1:40" x14ac:dyDescent="0.25">
      <c r="A86" s="26">
        <v>2028</v>
      </c>
      <c r="B86" s="26">
        <v>5</v>
      </c>
      <c r="C86" s="7" t="str">
        <f t="shared" si="10"/>
        <v>KW 5/28</v>
      </c>
      <c r="D86" s="26">
        <f>SUMIFS(Verlauf!$K$6:$K$1000,Verlauf!$B$6:$B$1000,$A86,Verlauf!$C$6:$C$1000,$B86)</f>
        <v>0</v>
      </c>
      <c r="E86" s="26">
        <f>SUMIFS(Verlauf!$L$6:$L$1000,Verlauf!$B$6:$B$1000,$A86,Verlauf!$C$6:$C$1000,$B86)</f>
        <v>0</v>
      </c>
      <c r="F86" s="26">
        <f>SUMIFS(Verlauf!$M$6:$M$1000,Verlauf!$B$6:$B$1000,$A86,Verlauf!$C$6:$C$1000,$B86)</f>
        <v>0</v>
      </c>
      <c r="G86" s="26">
        <f>SUMIFS(Verlauf!$J$6:$J$1000,Verlauf!$B$6:$B$1000,$A86,Verlauf!$C$6:$C$1000,$B86)</f>
        <v>0</v>
      </c>
      <c r="H86" s="26">
        <f>SUMIFS(Verlauf!$U$6:$U$1000,Verlauf!$B$6:$B$1000,$A86,Verlauf!$C$6:$C$1000,$B86)</f>
        <v>0</v>
      </c>
      <c r="I86" s="26">
        <f>SUMIFS(Verlauf!$V$6:$V$1000,Verlauf!$B$6:$B$1000,$A86,Verlauf!$C$6:$C$1000,$B86)</f>
        <v>0</v>
      </c>
      <c r="J86" s="26">
        <f>SUMIFS(Verlauf!$W$6:$W$1000,Verlauf!$B$6:$B$1000,$A86,Verlauf!$C$6:$C$1000,$B86)</f>
        <v>0</v>
      </c>
      <c r="K86" s="26">
        <f>SUMIFS(Verlauf!$T$6:$T$1000,Verlauf!$B$6:$B$1000,$A86,Verlauf!$C$6:$C$1000,$B86)</f>
        <v>0</v>
      </c>
      <c r="L86" s="27">
        <f>IF(Filter!$T$7=TRUE,IFERROR(INDEX(Planung!$D$68:$IA$68,MATCH($W86,Wirksam!$D$6:$IA$6,0)),0),0)</f>
        <v>0</v>
      </c>
      <c r="M86" s="27">
        <f>IF(OR(Filter!$T$5=TRUE,Filter!$T$6=TRUE),IFERROR(INDEX(Planung!$D$69:$IA$69,MATCH($W86,Wirksam!$D$6:$IA$6,0)),0),0)</f>
        <v>0</v>
      </c>
      <c r="N86" s="27">
        <f t="shared" si="11"/>
        <v>0</v>
      </c>
      <c r="O86" s="27" t="e">
        <f t="shared" si="12"/>
        <v>#N/A</v>
      </c>
      <c r="P86" s="27" t="e">
        <f t="shared" si="13"/>
        <v>#N/A</v>
      </c>
      <c r="Q86" s="27" t="e">
        <f t="shared" si="14"/>
        <v>#N/A</v>
      </c>
      <c r="R86" s="27" t="e">
        <f t="shared" si="15"/>
        <v>#N/A</v>
      </c>
      <c r="S86" s="27" t="e">
        <f t="shared" si="16"/>
        <v>#N/A</v>
      </c>
      <c r="T86" s="27" t="e">
        <f t="shared" si="17"/>
        <v>#N/A</v>
      </c>
      <c r="U86" s="26">
        <f>COUNTIFS(Verlauf!$B$6:$B$1000,$A86,Verlauf!$C$6:$C$1000,$B86)</f>
        <v>0</v>
      </c>
      <c r="V86" s="26">
        <f t="shared" si="18"/>
        <v>0</v>
      </c>
      <c r="W86" s="26">
        <f t="shared" si="19"/>
        <v>202805</v>
      </c>
      <c r="X86" s="26">
        <f>SUMIFS(Verlauf!$X$6:$X$1000,Verlauf!$B$6:$B$1000,$A86,Verlauf!$C$6:$C$1000,$B86)</f>
        <v>0</v>
      </c>
      <c r="Y86" s="26">
        <f>SUMIFS(Verlauf!$Y$6:$Y$1000,Verlauf!$B$6:$B$1000,$A86,Verlauf!$C$6:$C$1000,$B86)</f>
        <v>0</v>
      </c>
      <c r="Z86" s="26">
        <f>SUMIFS(Verlauf!$Z$6:$Z$1000,Verlauf!$B$6:$B$1000,$A86,Verlauf!$C$6:$C$1000,$B86)</f>
        <v>0</v>
      </c>
      <c r="AA86" s="26">
        <f>SUMIFS(Verlauf!$I$6:$I$1000,Verlauf!$B$6:$B$1000,$A86,Verlauf!$C$6:$C$1000,$B86)</f>
        <v>0</v>
      </c>
      <c r="AB86" s="26">
        <f>SUMIFS(Verlauf!$AA$6:$AA$1000,Verlauf!$B$6:$B$1000,$A86,Verlauf!$C$6:$C$1000,$B86)</f>
        <v>0</v>
      </c>
      <c r="AC86" s="26">
        <f>SUMIFS(Verlauf!$AB$6:$AB$1000,Verlauf!$B$6:$B$1000,$A86,Verlauf!$C$6:$C$1000,$B86)</f>
        <v>0</v>
      </c>
      <c r="AD86" s="26">
        <f>SUMIFS(Verlauf!$AC$6:$AC$1000,Verlauf!$B$6:$B$1000,$A86,Verlauf!$C$6:$C$1000,$B86)</f>
        <v>0</v>
      </c>
      <c r="AE86" s="26">
        <f>SUMIFS(Verlauf!$S$6:$S$1000,Verlauf!$B$6:$B$1000,$A86,Verlauf!$C$6:$C$1000,$B86)</f>
        <v>0</v>
      </c>
      <c r="AF86" s="26" t="str">
        <f>IF($AN86="","",INDEX(Verlauf!$D$6:$D$1000,MATCH($AN86,Verlauf!$A$6:$A$1000,0)))</f>
        <v/>
      </c>
      <c r="AG86" s="26" t="str">
        <f>IF($AN86="","",INDEX(Verlauf!$E$6:$E$1000,MATCH($AN86,Verlauf!$A$6:$A$1000,0)))</f>
        <v/>
      </c>
      <c r="AH86" s="26" t="str">
        <f>IF($AN86="","",INDEX(Verlauf!$F$6:$F$1000,MATCH($AN86,Verlauf!$A$6:$A$1000,0)))</f>
        <v/>
      </c>
      <c r="AI86" s="26" t="str">
        <f>IF($AN86="","",INDEX(Verlauf!$H$6:$H$1000,MATCH($AN86,Verlauf!$A$6:$A$1000,0)))</f>
        <v/>
      </c>
      <c r="AJ86" s="26" t="str">
        <f>IF($AN86="","",INDEX(Verlauf!$N$6:$N$1000,MATCH($AN86,Verlauf!$A$6:$A$1000,0)))</f>
        <v/>
      </c>
      <c r="AK86" s="26" t="str">
        <f>IF($AN86="","",INDEX(Verlauf!$O$6:$O$1000,MATCH($AN86,Verlauf!$A$6:$A$1000,0)))</f>
        <v/>
      </c>
      <c r="AL86" s="26" t="str">
        <f>IF($AN86="","",INDEX(Verlauf!$P$6:$P$1000,MATCH($AN86,Verlauf!$A$6:$A$1000,0)))</f>
        <v/>
      </c>
      <c r="AM86" s="26" t="str">
        <f>IF($AN86="","",INDEX(Verlauf!$R$6:$R$1000,MATCH($AN86,Verlauf!$A$6:$A$1000,0)))</f>
        <v/>
      </c>
      <c r="AN86" s="28" t="str">
        <f>IF(U86&gt;0,_xlfn.MAXIFS(Verlauf!$A$6:$A$1000,Verlauf!$B$6:$B$1000,$A86,Verlauf!$C$6:$C$1000,$B86),"")</f>
        <v/>
      </c>
    </row>
    <row r="87" spans="1:40" x14ac:dyDescent="0.25">
      <c r="A87" s="26">
        <v>2028</v>
      </c>
      <c r="B87" s="26">
        <v>6</v>
      </c>
      <c r="C87" s="7" t="str">
        <f t="shared" si="10"/>
        <v>KW 6/28</v>
      </c>
      <c r="D87" s="26">
        <f>SUMIFS(Verlauf!$K$6:$K$1000,Verlauf!$B$6:$B$1000,$A87,Verlauf!$C$6:$C$1000,$B87)</f>
        <v>0</v>
      </c>
      <c r="E87" s="26">
        <f>SUMIFS(Verlauf!$L$6:$L$1000,Verlauf!$B$6:$B$1000,$A87,Verlauf!$C$6:$C$1000,$B87)</f>
        <v>0</v>
      </c>
      <c r="F87" s="26">
        <f>SUMIFS(Verlauf!$M$6:$M$1000,Verlauf!$B$6:$B$1000,$A87,Verlauf!$C$6:$C$1000,$B87)</f>
        <v>0</v>
      </c>
      <c r="G87" s="26">
        <f>SUMIFS(Verlauf!$J$6:$J$1000,Verlauf!$B$6:$B$1000,$A87,Verlauf!$C$6:$C$1000,$B87)</f>
        <v>0</v>
      </c>
      <c r="H87" s="26">
        <f>SUMIFS(Verlauf!$U$6:$U$1000,Verlauf!$B$6:$B$1000,$A87,Verlauf!$C$6:$C$1000,$B87)</f>
        <v>0</v>
      </c>
      <c r="I87" s="26">
        <f>SUMIFS(Verlauf!$V$6:$V$1000,Verlauf!$B$6:$B$1000,$A87,Verlauf!$C$6:$C$1000,$B87)</f>
        <v>0</v>
      </c>
      <c r="J87" s="26">
        <f>SUMIFS(Verlauf!$W$6:$W$1000,Verlauf!$B$6:$B$1000,$A87,Verlauf!$C$6:$C$1000,$B87)</f>
        <v>0</v>
      </c>
      <c r="K87" s="26">
        <f>SUMIFS(Verlauf!$T$6:$T$1000,Verlauf!$B$6:$B$1000,$A87,Verlauf!$C$6:$C$1000,$B87)</f>
        <v>0</v>
      </c>
      <c r="L87" s="27">
        <f>IF(Filter!$T$7=TRUE,IFERROR(INDEX(Planung!$D$68:$IA$68,MATCH($W87,Wirksam!$D$6:$IA$6,0)),0),0)</f>
        <v>0</v>
      </c>
      <c r="M87" s="27">
        <f>IF(OR(Filter!$T$5=TRUE,Filter!$T$6=TRUE),IFERROR(INDEX(Planung!$D$69:$IA$69,MATCH($W87,Wirksam!$D$6:$IA$6,0)),0),0)</f>
        <v>0</v>
      </c>
      <c r="N87" s="27">
        <f t="shared" si="11"/>
        <v>0</v>
      </c>
      <c r="O87" s="27" t="e">
        <f t="shared" si="12"/>
        <v>#N/A</v>
      </c>
      <c r="P87" s="27" t="e">
        <f t="shared" si="13"/>
        <v>#N/A</v>
      </c>
      <c r="Q87" s="27" t="e">
        <f t="shared" si="14"/>
        <v>#N/A</v>
      </c>
      <c r="R87" s="27" t="e">
        <f t="shared" si="15"/>
        <v>#N/A</v>
      </c>
      <c r="S87" s="27" t="e">
        <f t="shared" si="16"/>
        <v>#N/A</v>
      </c>
      <c r="T87" s="27" t="e">
        <f t="shared" si="17"/>
        <v>#N/A</v>
      </c>
      <c r="U87" s="26">
        <f>COUNTIFS(Verlauf!$B$6:$B$1000,$A87,Verlauf!$C$6:$C$1000,$B87)</f>
        <v>0</v>
      </c>
      <c r="V87" s="26">
        <f t="shared" si="18"/>
        <v>0</v>
      </c>
      <c r="W87" s="26">
        <f t="shared" si="19"/>
        <v>202806</v>
      </c>
      <c r="X87" s="26">
        <f>SUMIFS(Verlauf!$X$6:$X$1000,Verlauf!$B$6:$B$1000,$A87,Verlauf!$C$6:$C$1000,$B87)</f>
        <v>0</v>
      </c>
      <c r="Y87" s="26">
        <f>SUMIFS(Verlauf!$Y$6:$Y$1000,Verlauf!$B$6:$B$1000,$A87,Verlauf!$C$6:$C$1000,$B87)</f>
        <v>0</v>
      </c>
      <c r="Z87" s="26">
        <f>SUMIFS(Verlauf!$Z$6:$Z$1000,Verlauf!$B$6:$B$1000,$A87,Verlauf!$C$6:$C$1000,$B87)</f>
        <v>0</v>
      </c>
      <c r="AA87" s="26">
        <f>SUMIFS(Verlauf!$I$6:$I$1000,Verlauf!$B$6:$B$1000,$A87,Verlauf!$C$6:$C$1000,$B87)</f>
        <v>0</v>
      </c>
      <c r="AB87" s="26">
        <f>SUMIFS(Verlauf!$AA$6:$AA$1000,Verlauf!$B$6:$B$1000,$A87,Verlauf!$C$6:$C$1000,$B87)</f>
        <v>0</v>
      </c>
      <c r="AC87" s="26">
        <f>SUMIFS(Verlauf!$AB$6:$AB$1000,Verlauf!$B$6:$B$1000,$A87,Verlauf!$C$6:$C$1000,$B87)</f>
        <v>0</v>
      </c>
      <c r="AD87" s="26">
        <f>SUMIFS(Verlauf!$AC$6:$AC$1000,Verlauf!$B$6:$B$1000,$A87,Verlauf!$C$6:$C$1000,$B87)</f>
        <v>0</v>
      </c>
      <c r="AE87" s="26">
        <f>SUMIFS(Verlauf!$S$6:$S$1000,Verlauf!$B$6:$B$1000,$A87,Verlauf!$C$6:$C$1000,$B87)</f>
        <v>0</v>
      </c>
      <c r="AF87" s="26" t="str">
        <f>IF($AN87="","",INDEX(Verlauf!$D$6:$D$1000,MATCH($AN87,Verlauf!$A$6:$A$1000,0)))</f>
        <v/>
      </c>
      <c r="AG87" s="26" t="str">
        <f>IF($AN87="","",INDEX(Verlauf!$E$6:$E$1000,MATCH($AN87,Verlauf!$A$6:$A$1000,0)))</f>
        <v/>
      </c>
      <c r="AH87" s="26" t="str">
        <f>IF($AN87="","",INDEX(Verlauf!$F$6:$F$1000,MATCH($AN87,Verlauf!$A$6:$A$1000,0)))</f>
        <v/>
      </c>
      <c r="AI87" s="26" t="str">
        <f>IF($AN87="","",INDEX(Verlauf!$H$6:$H$1000,MATCH($AN87,Verlauf!$A$6:$A$1000,0)))</f>
        <v/>
      </c>
      <c r="AJ87" s="26" t="str">
        <f>IF($AN87="","",INDEX(Verlauf!$N$6:$N$1000,MATCH($AN87,Verlauf!$A$6:$A$1000,0)))</f>
        <v/>
      </c>
      <c r="AK87" s="26" t="str">
        <f>IF($AN87="","",INDEX(Verlauf!$O$6:$O$1000,MATCH($AN87,Verlauf!$A$6:$A$1000,0)))</f>
        <v/>
      </c>
      <c r="AL87" s="26" t="str">
        <f>IF($AN87="","",INDEX(Verlauf!$P$6:$P$1000,MATCH($AN87,Verlauf!$A$6:$A$1000,0)))</f>
        <v/>
      </c>
      <c r="AM87" s="26" t="str">
        <f>IF($AN87="","",INDEX(Verlauf!$R$6:$R$1000,MATCH($AN87,Verlauf!$A$6:$A$1000,0)))</f>
        <v/>
      </c>
      <c r="AN87" s="28" t="str">
        <f>IF(U87&gt;0,_xlfn.MAXIFS(Verlauf!$A$6:$A$1000,Verlauf!$B$6:$B$1000,$A87,Verlauf!$C$6:$C$1000,$B87),"")</f>
        <v/>
      </c>
    </row>
    <row r="88" spans="1:40" x14ac:dyDescent="0.25">
      <c r="A88" s="26">
        <v>2028</v>
      </c>
      <c r="B88" s="26">
        <v>7</v>
      </c>
      <c r="C88" s="7" t="str">
        <f t="shared" si="10"/>
        <v>KW 7/28</v>
      </c>
      <c r="D88" s="26">
        <f>SUMIFS(Verlauf!$K$6:$K$1000,Verlauf!$B$6:$B$1000,$A88,Verlauf!$C$6:$C$1000,$B88)</f>
        <v>0</v>
      </c>
      <c r="E88" s="26">
        <f>SUMIFS(Verlauf!$L$6:$L$1000,Verlauf!$B$6:$B$1000,$A88,Verlauf!$C$6:$C$1000,$B88)</f>
        <v>0</v>
      </c>
      <c r="F88" s="26">
        <f>SUMIFS(Verlauf!$M$6:$M$1000,Verlauf!$B$6:$B$1000,$A88,Verlauf!$C$6:$C$1000,$B88)</f>
        <v>0</v>
      </c>
      <c r="G88" s="26">
        <f>SUMIFS(Verlauf!$J$6:$J$1000,Verlauf!$B$6:$B$1000,$A88,Verlauf!$C$6:$C$1000,$B88)</f>
        <v>0</v>
      </c>
      <c r="H88" s="26">
        <f>SUMIFS(Verlauf!$U$6:$U$1000,Verlauf!$B$6:$B$1000,$A88,Verlauf!$C$6:$C$1000,$B88)</f>
        <v>0</v>
      </c>
      <c r="I88" s="26">
        <f>SUMIFS(Verlauf!$V$6:$V$1000,Verlauf!$B$6:$B$1000,$A88,Verlauf!$C$6:$C$1000,$B88)</f>
        <v>0</v>
      </c>
      <c r="J88" s="26">
        <f>SUMIFS(Verlauf!$W$6:$W$1000,Verlauf!$B$6:$B$1000,$A88,Verlauf!$C$6:$C$1000,$B88)</f>
        <v>0</v>
      </c>
      <c r="K88" s="26">
        <f>SUMIFS(Verlauf!$T$6:$T$1000,Verlauf!$B$6:$B$1000,$A88,Verlauf!$C$6:$C$1000,$B88)</f>
        <v>0</v>
      </c>
      <c r="L88" s="27">
        <f>IF(Filter!$T$7=TRUE,IFERROR(INDEX(Planung!$D$68:$IA$68,MATCH($W88,Wirksam!$D$6:$IA$6,0)),0),0)</f>
        <v>0</v>
      </c>
      <c r="M88" s="27">
        <f>IF(OR(Filter!$T$5=TRUE,Filter!$T$6=TRUE),IFERROR(INDEX(Planung!$D$69:$IA$69,MATCH($W88,Wirksam!$D$6:$IA$6,0)),0),0)</f>
        <v>0</v>
      </c>
      <c r="N88" s="27">
        <f t="shared" si="11"/>
        <v>0</v>
      </c>
      <c r="O88" s="27" t="e">
        <f t="shared" si="12"/>
        <v>#N/A</v>
      </c>
      <c r="P88" s="27" t="e">
        <f t="shared" si="13"/>
        <v>#N/A</v>
      </c>
      <c r="Q88" s="27" t="e">
        <f t="shared" si="14"/>
        <v>#N/A</v>
      </c>
      <c r="R88" s="27" t="e">
        <f t="shared" si="15"/>
        <v>#N/A</v>
      </c>
      <c r="S88" s="27" t="e">
        <f t="shared" si="16"/>
        <v>#N/A</v>
      </c>
      <c r="T88" s="27" t="e">
        <f t="shared" si="17"/>
        <v>#N/A</v>
      </c>
      <c r="U88" s="26">
        <f>COUNTIFS(Verlauf!$B$6:$B$1000,$A88,Verlauf!$C$6:$C$1000,$B88)</f>
        <v>0</v>
      </c>
      <c r="V88" s="26">
        <f t="shared" si="18"/>
        <v>0</v>
      </c>
      <c r="W88" s="26">
        <f t="shared" si="19"/>
        <v>202807</v>
      </c>
      <c r="X88" s="26">
        <f>SUMIFS(Verlauf!$X$6:$X$1000,Verlauf!$B$6:$B$1000,$A88,Verlauf!$C$6:$C$1000,$B88)</f>
        <v>0</v>
      </c>
      <c r="Y88" s="26">
        <f>SUMIFS(Verlauf!$Y$6:$Y$1000,Verlauf!$B$6:$B$1000,$A88,Verlauf!$C$6:$C$1000,$B88)</f>
        <v>0</v>
      </c>
      <c r="Z88" s="26">
        <f>SUMIFS(Verlauf!$Z$6:$Z$1000,Verlauf!$B$6:$B$1000,$A88,Verlauf!$C$6:$C$1000,$B88)</f>
        <v>0</v>
      </c>
      <c r="AA88" s="26">
        <f>SUMIFS(Verlauf!$I$6:$I$1000,Verlauf!$B$6:$B$1000,$A88,Verlauf!$C$6:$C$1000,$B88)</f>
        <v>0</v>
      </c>
      <c r="AB88" s="26">
        <f>SUMIFS(Verlauf!$AA$6:$AA$1000,Verlauf!$B$6:$B$1000,$A88,Verlauf!$C$6:$C$1000,$B88)</f>
        <v>0</v>
      </c>
      <c r="AC88" s="26">
        <f>SUMIFS(Verlauf!$AB$6:$AB$1000,Verlauf!$B$6:$B$1000,$A88,Verlauf!$C$6:$C$1000,$B88)</f>
        <v>0</v>
      </c>
      <c r="AD88" s="26">
        <f>SUMIFS(Verlauf!$AC$6:$AC$1000,Verlauf!$B$6:$B$1000,$A88,Verlauf!$C$6:$C$1000,$B88)</f>
        <v>0</v>
      </c>
      <c r="AE88" s="26">
        <f>SUMIFS(Verlauf!$S$6:$S$1000,Verlauf!$B$6:$B$1000,$A88,Verlauf!$C$6:$C$1000,$B88)</f>
        <v>0</v>
      </c>
      <c r="AF88" s="26" t="str">
        <f>IF($AN88="","",INDEX(Verlauf!$D$6:$D$1000,MATCH($AN88,Verlauf!$A$6:$A$1000,0)))</f>
        <v/>
      </c>
      <c r="AG88" s="26" t="str">
        <f>IF($AN88="","",INDEX(Verlauf!$E$6:$E$1000,MATCH($AN88,Verlauf!$A$6:$A$1000,0)))</f>
        <v/>
      </c>
      <c r="AH88" s="26" t="str">
        <f>IF($AN88="","",INDEX(Verlauf!$F$6:$F$1000,MATCH($AN88,Verlauf!$A$6:$A$1000,0)))</f>
        <v/>
      </c>
      <c r="AI88" s="26" t="str">
        <f>IF($AN88="","",INDEX(Verlauf!$H$6:$H$1000,MATCH($AN88,Verlauf!$A$6:$A$1000,0)))</f>
        <v/>
      </c>
      <c r="AJ88" s="26" t="str">
        <f>IF($AN88="","",INDEX(Verlauf!$N$6:$N$1000,MATCH($AN88,Verlauf!$A$6:$A$1000,0)))</f>
        <v/>
      </c>
      <c r="AK88" s="26" t="str">
        <f>IF($AN88="","",INDEX(Verlauf!$O$6:$O$1000,MATCH($AN88,Verlauf!$A$6:$A$1000,0)))</f>
        <v/>
      </c>
      <c r="AL88" s="26" t="str">
        <f>IF($AN88="","",INDEX(Verlauf!$P$6:$P$1000,MATCH($AN88,Verlauf!$A$6:$A$1000,0)))</f>
        <v/>
      </c>
      <c r="AM88" s="26" t="str">
        <f>IF($AN88="","",INDEX(Verlauf!$R$6:$R$1000,MATCH($AN88,Verlauf!$A$6:$A$1000,0)))</f>
        <v/>
      </c>
      <c r="AN88" s="28" t="str">
        <f>IF(U88&gt;0,_xlfn.MAXIFS(Verlauf!$A$6:$A$1000,Verlauf!$B$6:$B$1000,$A88,Verlauf!$C$6:$C$1000,$B88),"")</f>
        <v/>
      </c>
    </row>
    <row r="89" spans="1:40" x14ac:dyDescent="0.25">
      <c r="A89" s="26">
        <v>2028</v>
      </c>
      <c r="B89" s="26">
        <v>8</v>
      </c>
      <c r="C89" s="7" t="str">
        <f t="shared" si="10"/>
        <v>KW 8/28</v>
      </c>
      <c r="D89" s="26">
        <f>SUMIFS(Verlauf!$K$6:$K$1000,Verlauf!$B$6:$B$1000,$A89,Verlauf!$C$6:$C$1000,$B89)</f>
        <v>0</v>
      </c>
      <c r="E89" s="26">
        <f>SUMIFS(Verlauf!$L$6:$L$1000,Verlauf!$B$6:$B$1000,$A89,Verlauf!$C$6:$C$1000,$B89)</f>
        <v>0</v>
      </c>
      <c r="F89" s="26">
        <f>SUMIFS(Verlauf!$M$6:$M$1000,Verlauf!$B$6:$B$1000,$A89,Verlauf!$C$6:$C$1000,$B89)</f>
        <v>0</v>
      </c>
      <c r="G89" s="26">
        <f>SUMIFS(Verlauf!$J$6:$J$1000,Verlauf!$B$6:$B$1000,$A89,Verlauf!$C$6:$C$1000,$B89)</f>
        <v>0</v>
      </c>
      <c r="H89" s="26">
        <f>SUMIFS(Verlauf!$U$6:$U$1000,Verlauf!$B$6:$B$1000,$A89,Verlauf!$C$6:$C$1000,$B89)</f>
        <v>0</v>
      </c>
      <c r="I89" s="26">
        <f>SUMIFS(Verlauf!$V$6:$V$1000,Verlauf!$B$6:$B$1000,$A89,Verlauf!$C$6:$C$1000,$B89)</f>
        <v>0</v>
      </c>
      <c r="J89" s="26">
        <f>SUMIFS(Verlauf!$W$6:$W$1000,Verlauf!$B$6:$B$1000,$A89,Verlauf!$C$6:$C$1000,$B89)</f>
        <v>0</v>
      </c>
      <c r="K89" s="26">
        <f>SUMIFS(Verlauf!$T$6:$T$1000,Verlauf!$B$6:$B$1000,$A89,Verlauf!$C$6:$C$1000,$B89)</f>
        <v>0</v>
      </c>
      <c r="L89" s="27">
        <f>IF(Filter!$T$7=TRUE,IFERROR(INDEX(Planung!$D$68:$IA$68,MATCH($W89,Wirksam!$D$6:$IA$6,0)),0),0)</f>
        <v>0</v>
      </c>
      <c r="M89" s="27">
        <f>IF(OR(Filter!$T$5=TRUE,Filter!$T$6=TRUE),IFERROR(INDEX(Planung!$D$69:$IA$69,MATCH($W89,Wirksam!$D$6:$IA$6,0)),0),0)</f>
        <v>0</v>
      </c>
      <c r="N89" s="27">
        <f t="shared" si="11"/>
        <v>0</v>
      </c>
      <c r="O89" s="27" t="e">
        <f t="shared" si="12"/>
        <v>#N/A</v>
      </c>
      <c r="P89" s="27" t="e">
        <f t="shared" si="13"/>
        <v>#N/A</v>
      </c>
      <c r="Q89" s="27" t="e">
        <f t="shared" si="14"/>
        <v>#N/A</v>
      </c>
      <c r="R89" s="27" t="e">
        <f t="shared" si="15"/>
        <v>#N/A</v>
      </c>
      <c r="S89" s="27" t="e">
        <f t="shared" si="16"/>
        <v>#N/A</v>
      </c>
      <c r="T89" s="27" t="e">
        <f t="shared" si="17"/>
        <v>#N/A</v>
      </c>
      <c r="U89" s="26">
        <f>COUNTIFS(Verlauf!$B$6:$B$1000,$A89,Verlauf!$C$6:$C$1000,$B89)</f>
        <v>0</v>
      </c>
      <c r="V89" s="26">
        <f t="shared" si="18"/>
        <v>0</v>
      </c>
      <c r="W89" s="26">
        <f t="shared" si="19"/>
        <v>202808</v>
      </c>
      <c r="X89" s="26">
        <f>SUMIFS(Verlauf!$X$6:$X$1000,Verlauf!$B$6:$B$1000,$A89,Verlauf!$C$6:$C$1000,$B89)</f>
        <v>0</v>
      </c>
      <c r="Y89" s="26">
        <f>SUMIFS(Verlauf!$Y$6:$Y$1000,Verlauf!$B$6:$B$1000,$A89,Verlauf!$C$6:$C$1000,$B89)</f>
        <v>0</v>
      </c>
      <c r="Z89" s="26">
        <f>SUMIFS(Verlauf!$Z$6:$Z$1000,Verlauf!$B$6:$B$1000,$A89,Verlauf!$C$6:$C$1000,$B89)</f>
        <v>0</v>
      </c>
      <c r="AA89" s="26">
        <f>SUMIFS(Verlauf!$I$6:$I$1000,Verlauf!$B$6:$B$1000,$A89,Verlauf!$C$6:$C$1000,$B89)</f>
        <v>0</v>
      </c>
      <c r="AB89" s="26">
        <f>SUMIFS(Verlauf!$AA$6:$AA$1000,Verlauf!$B$6:$B$1000,$A89,Verlauf!$C$6:$C$1000,$B89)</f>
        <v>0</v>
      </c>
      <c r="AC89" s="26">
        <f>SUMIFS(Verlauf!$AB$6:$AB$1000,Verlauf!$B$6:$B$1000,$A89,Verlauf!$C$6:$C$1000,$B89)</f>
        <v>0</v>
      </c>
      <c r="AD89" s="26">
        <f>SUMIFS(Verlauf!$AC$6:$AC$1000,Verlauf!$B$6:$B$1000,$A89,Verlauf!$C$6:$C$1000,$B89)</f>
        <v>0</v>
      </c>
      <c r="AE89" s="26">
        <f>SUMIFS(Verlauf!$S$6:$S$1000,Verlauf!$B$6:$B$1000,$A89,Verlauf!$C$6:$C$1000,$B89)</f>
        <v>0</v>
      </c>
      <c r="AF89" s="26" t="str">
        <f>IF($AN89="","",INDEX(Verlauf!$D$6:$D$1000,MATCH($AN89,Verlauf!$A$6:$A$1000,0)))</f>
        <v/>
      </c>
      <c r="AG89" s="26" t="str">
        <f>IF($AN89="","",INDEX(Verlauf!$E$6:$E$1000,MATCH($AN89,Verlauf!$A$6:$A$1000,0)))</f>
        <v/>
      </c>
      <c r="AH89" s="26" t="str">
        <f>IF($AN89="","",INDEX(Verlauf!$F$6:$F$1000,MATCH($AN89,Verlauf!$A$6:$A$1000,0)))</f>
        <v/>
      </c>
      <c r="AI89" s="26" t="str">
        <f>IF($AN89="","",INDEX(Verlauf!$H$6:$H$1000,MATCH($AN89,Verlauf!$A$6:$A$1000,0)))</f>
        <v/>
      </c>
      <c r="AJ89" s="26" t="str">
        <f>IF($AN89="","",INDEX(Verlauf!$N$6:$N$1000,MATCH($AN89,Verlauf!$A$6:$A$1000,0)))</f>
        <v/>
      </c>
      <c r="AK89" s="26" t="str">
        <f>IF($AN89="","",INDEX(Verlauf!$O$6:$O$1000,MATCH($AN89,Verlauf!$A$6:$A$1000,0)))</f>
        <v/>
      </c>
      <c r="AL89" s="26" t="str">
        <f>IF($AN89="","",INDEX(Verlauf!$P$6:$P$1000,MATCH($AN89,Verlauf!$A$6:$A$1000,0)))</f>
        <v/>
      </c>
      <c r="AM89" s="26" t="str">
        <f>IF($AN89="","",INDEX(Verlauf!$R$6:$R$1000,MATCH($AN89,Verlauf!$A$6:$A$1000,0)))</f>
        <v/>
      </c>
      <c r="AN89" s="28" t="str">
        <f>IF(U89&gt;0,_xlfn.MAXIFS(Verlauf!$A$6:$A$1000,Verlauf!$B$6:$B$1000,$A89,Verlauf!$C$6:$C$1000,$B89),"")</f>
        <v/>
      </c>
    </row>
    <row r="90" spans="1:40" x14ac:dyDescent="0.25">
      <c r="A90" s="26">
        <v>2028</v>
      </c>
      <c r="B90" s="26">
        <v>9</v>
      </c>
      <c r="C90" s="7" t="str">
        <f t="shared" si="10"/>
        <v>KW 9/28</v>
      </c>
      <c r="D90" s="26">
        <f>SUMIFS(Verlauf!$K$6:$K$1000,Verlauf!$B$6:$B$1000,$A90,Verlauf!$C$6:$C$1000,$B90)</f>
        <v>0</v>
      </c>
      <c r="E90" s="26">
        <f>SUMIFS(Verlauf!$L$6:$L$1000,Verlauf!$B$6:$B$1000,$A90,Verlauf!$C$6:$C$1000,$B90)</f>
        <v>0</v>
      </c>
      <c r="F90" s="26">
        <f>SUMIFS(Verlauf!$M$6:$M$1000,Verlauf!$B$6:$B$1000,$A90,Verlauf!$C$6:$C$1000,$B90)</f>
        <v>0</v>
      </c>
      <c r="G90" s="26">
        <f>SUMIFS(Verlauf!$J$6:$J$1000,Verlauf!$B$6:$B$1000,$A90,Verlauf!$C$6:$C$1000,$B90)</f>
        <v>0</v>
      </c>
      <c r="H90" s="26">
        <f>SUMIFS(Verlauf!$U$6:$U$1000,Verlauf!$B$6:$B$1000,$A90,Verlauf!$C$6:$C$1000,$B90)</f>
        <v>0</v>
      </c>
      <c r="I90" s="26">
        <f>SUMIFS(Verlauf!$V$6:$V$1000,Verlauf!$B$6:$B$1000,$A90,Verlauf!$C$6:$C$1000,$B90)</f>
        <v>0</v>
      </c>
      <c r="J90" s="26">
        <f>SUMIFS(Verlauf!$W$6:$W$1000,Verlauf!$B$6:$B$1000,$A90,Verlauf!$C$6:$C$1000,$B90)</f>
        <v>0</v>
      </c>
      <c r="K90" s="26">
        <f>SUMIFS(Verlauf!$T$6:$T$1000,Verlauf!$B$6:$B$1000,$A90,Verlauf!$C$6:$C$1000,$B90)</f>
        <v>0</v>
      </c>
      <c r="L90" s="27">
        <f>IF(Filter!$T$7=TRUE,IFERROR(INDEX(Planung!$D$68:$IA$68,MATCH($W90,Wirksam!$D$6:$IA$6,0)),0),0)</f>
        <v>0</v>
      </c>
      <c r="M90" s="27">
        <f>IF(OR(Filter!$T$5=TRUE,Filter!$T$6=TRUE),IFERROR(INDEX(Planung!$D$69:$IA$69,MATCH($W90,Wirksam!$D$6:$IA$6,0)),0),0)</f>
        <v>0</v>
      </c>
      <c r="N90" s="27">
        <f t="shared" si="11"/>
        <v>0</v>
      </c>
      <c r="O90" s="27" t="e">
        <f t="shared" si="12"/>
        <v>#N/A</v>
      </c>
      <c r="P90" s="27" t="e">
        <f t="shared" si="13"/>
        <v>#N/A</v>
      </c>
      <c r="Q90" s="27" t="e">
        <f t="shared" si="14"/>
        <v>#N/A</v>
      </c>
      <c r="R90" s="27" t="e">
        <f t="shared" si="15"/>
        <v>#N/A</v>
      </c>
      <c r="S90" s="27" t="e">
        <f t="shared" si="16"/>
        <v>#N/A</v>
      </c>
      <c r="T90" s="27" t="e">
        <f t="shared" si="17"/>
        <v>#N/A</v>
      </c>
      <c r="U90" s="26">
        <f>COUNTIFS(Verlauf!$B$6:$B$1000,$A90,Verlauf!$C$6:$C$1000,$B90)</f>
        <v>0</v>
      </c>
      <c r="V90" s="26">
        <f t="shared" si="18"/>
        <v>0</v>
      </c>
      <c r="W90" s="26">
        <f t="shared" si="19"/>
        <v>202809</v>
      </c>
      <c r="X90" s="26">
        <f>SUMIFS(Verlauf!$X$6:$X$1000,Verlauf!$B$6:$B$1000,$A90,Verlauf!$C$6:$C$1000,$B90)</f>
        <v>0</v>
      </c>
      <c r="Y90" s="26">
        <f>SUMIFS(Verlauf!$Y$6:$Y$1000,Verlauf!$B$6:$B$1000,$A90,Verlauf!$C$6:$C$1000,$B90)</f>
        <v>0</v>
      </c>
      <c r="Z90" s="26">
        <f>SUMIFS(Verlauf!$Z$6:$Z$1000,Verlauf!$B$6:$B$1000,$A90,Verlauf!$C$6:$C$1000,$B90)</f>
        <v>0</v>
      </c>
      <c r="AA90" s="26">
        <f>SUMIFS(Verlauf!$I$6:$I$1000,Verlauf!$B$6:$B$1000,$A90,Verlauf!$C$6:$C$1000,$B90)</f>
        <v>0</v>
      </c>
      <c r="AB90" s="26">
        <f>SUMIFS(Verlauf!$AA$6:$AA$1000,Verlauf!$B$6:$B$1000,$A90,Verlauf!$C$6:$C$1000,$B90)</f>
        <v>0</v>
      </c>
      <c r="AC90" s="26">
        <f>SUMIFS(Verlauf!$AB$6:$AB$1000,Verlauf!$B$6:$B$1000,$A90,Verlauf!$C$6:$C$1000,$B90)</f>
        <v>0</v>
      </c>
      <c r="AD90" s="26">
        <f>SUMIFS(Verlauf!$AC$6:$AC$1000,Verlauf!$B$6:$B$1000,$A90,Verlauf!$C$6:$C$1000,$B90)</f>
        <v>0</v>
      </c>
      <c r="AE90" s="26">
        <f>SUMIFS(Verlauf!$S$6:$S$1000,Verlauf!$B$6:$B$1000,$A90,Verlauf!$C$6:$C$1000,$B90)</f>
        <v>0</v>
      </c>
      <c r="AF90" s="26" t="str">
        <f>IF($AN90="","",INDEX(Verlauf!$D$6:$D$1000,MATCH($AN90,Verlauf!$A$6:$A$1000,0)))</f>
        <v/>
      </c>
      <c r="AG90" s="26" t="str">
        <f>IF($AN90="","",INDEX(Verlauf!$E$6:$E$1000,MATCH($AN90,Verlauf!$A$6:$A$1000,0)))</f>
        <v/>
      </c>
      <c r="AH90" s="26" t="str">
        <f>IF($AN90="","",INDEX(Verlauf!$F$6:$F$1000,MATCH($AN90,Verlauf!$A$6:$A$1000,0)))</f>
        <v/>
      </c>
      <c r="AI90" s="26" t="str">
        <f>IF($AN90="","",INDEX(Verlauf!$H$6:$H$1000,MATCH($AN90,Verlauf!$A$6:$A$1000,0)))</f>
        <v/>
      </c>
      <c r="AJ90" s="26" t="str">
        <f>IF($AN90="","",INDEX(Verlauf!$N$6:$N$1000,MATCH($AN90,Verlauf!$A$6:$A$1000,0)))</f>
        <v/>
      </c>
      <c r="AK90" s="26" t="str">
        <f>IF($AN90="","",INDEX(Verlauf!$O$6:$O$1000,MATCH($AN90,Verlauf!$A$6:$A$1000,0)))</f>
        <v/>
      </c>
      <c r="AL90" s="26" t="str">
        <f>IF($AN90="","",INDEX(Verlauf!$P$6:$P$1000,MATCH($AN90,Verlauf!$A$6:$A$1000,0)))</f>
        <v/>
      </c>
      <c r="AM90" s="26" t="str">
        <f>IF($AN90="","",INDEX(Verlauf!$R$6:$R$1000,MATCH($AN90,Verlauf!$A$6:$A$1000,0)))</f>
        <v/>
      </c>
      <c r="AN90" s="28" t="str">
        <f>IF(U90&gt;0,_xlfn.MAXIFS(Verlauf!$A$6:$A$1000,Verlauf!$B$6:$B$1000,$A90,Verlauf!$C$6:$C$1000,$B90),"")</f>
        <v/>
      </c>
    </row>
    <row r="91" spans="1:40" x14ac:dyDescent="0.25">
      <c r="A91" s="26">
        <v>2028</v>
      </c>
      <c r="B91" s="26">
        <v>10</v>
      </c>
      <c r="C91" s="7" t="str">
        <f t="shared" si="10"/>
        <v>KW 10/28</v>
      </c>
      <c r="D91" s="26">
        <f>SUMIFS(Verlauf!$K$6:$K$1000,Verlauf!$B$6:$B$1000,$A91,Verlauf!$C$6:$C$1000,$B91)</f>
        <v>0</v>
      </c>
      <c r="E91" s="26">
        <f>SUMIFS(Verlauf!$L$6:$L$1000,Verlauf!$B$6:$B$1000,$A91,Verlauf!$C$6:$C$1000,$B91)</f>
        <v>0</v>
      </c>
      <c r="F91" s="26">
        <f>SUMIFS(Verlauf!$M$6:$M$1000,Verlauf!$B$6:$B$1000,$A91,Verlauf!$C$6:$C$1000,$B91)</f>
        <v>0</v>
      </c>
      <c r="G91" s="26">
        <f>SUMIFS(Verlauf!$J$6:$J$1000,Verlauf!$B$6:$B$1000,$A91,Verlauf!$C$6:$C$1000,$B91)</f>
        <v>0</v>
      </c>
      <c r="H91" s="26">
        <f>SUMIFS(Verlauf!$U$6:$U$1000,Verlauf!$B$6:$B$1000,$A91,Verlauf!$C$6:$C$1000,$B91)</f>
        <v>0</v>
      </c>
      <c r="I91" s="26">
        <f>SUMIFS(Verlauf!$V$6:$V$1000,Verlauf!$B$6:$B$1000,$A91,Verlauf!$C$6:$C$1000,$B91)</f>
        <v>0</v>
      </c>
      <c r="J91" s="26">
        <f>SUMIFS(Verlauf!$W$6:$W$1000,Verlauf!$B$6:$B$1000,$A91,Verlauf!$C$6:$C$1000,$B91)</f>
        <v>0</v>
      </c>
      <c r="K91" s="26">
        <f>SUMIFS(Verlauf!$T$6:$T$1000,Verlauf!$B$6:$B$1000,$A91,Verlauf!$C$6:$C$1000,$B91)</f>
        <v>0</v>
      </c>
      <c r="L91" s="27">
        <f>IF(Filter!$T$7=TRUE,IFERROR(INDEX(Planung!$D$68:$IA$68,MATCH($W91,Wirksam!$D$6:$IA$6,0)),0),0)</f>
        <v>0</v>
      </c>
      <c r="M91" s="27">
        <f>IF(OR(Filter!$T$5=TRUE,Filter!$T$6=TRUE),IFERROR(INDEX(Planung!$D$69:$IA$69,MATCH($W91,Wirksam!$D$6:$IA$6,0)),0),0)</f>
        <v>0</v>
      </c>
      <c r="N91" s="27">
        <f t="shared" si="11"/>
        <v>0</v>
      </c>
      <c r="O91" s="27" t="e">
        <f t="shared" si="12"/>
        <v>#N/A</v>
      </c>
      <c r="P91" s="27" t="e">
        <f t="shared" si="13"/>
        <v>#N/A</v>
      </c>
      <c r="Q91" s="27" t="e">
        <f t="shared" si="14"/>
        <v>#N/A</v>
      </c>
      <c r="R91" s="27" t="e">
        <f t="shared" si="15"/>
        <v>#N/A</v>
      </c>
      <c r="S91" s="27" t="e">
        <f t="shared" si="16"/>
        <v>#N/A</v>
      </c>
      <c r="T91" s="27" t="e">
        <f t="shared" si="17"/>
        <v>#N/A</v>
      </c>
      <c r="U91" s="26">
        <f>COUNTIFS(Verlauf!$B$6:$B$1000,$A91,Verlauf!$C$6:$C$1000,$B91)</f>
        <v>0</v>
      </c>
      <c r="V91" s="26">
        <f t="shared" si="18"/>
        <v>0</v>
      </c>
      <c r="W91" s="26">
        <f t="shared" si="19"/>
        <v>202810</v>
      </c>
      <c r="X91" s="26">
        <f>SUMIFS(Verlauf!$X$6:$X$1000,Verlauf!$B$6:$B$1000,$A91,Verlauf!$C$6:$C$1000,$B91)</f>
        <v>0</v>
      </c>
      <c r="Y91" s="26">
        <f>SUMIFS(Verlauf!$Y$6:$Y$1000,Verlauf!$B$6:$B$1000,$A91,Verlauf!$C$6:$C$1000,$B91)</f>
        <v>0</v>
      </c>
      <c r="Z91" s="26">
        <f>SUMIFS(Verlauf!$Z$6:$Z$1000,Verlauf!$B$6:$B$1000,$A91,Verlauf!$C$6:$C$1000,$B91)</f>
        <v>0</v>
      </c>
      <c r="AA91" s="26">
        <f>SUMIFS(Verlauf!$I$6:$I$1000,Verlauf!$B$6:$B$1000,$A91,Verlauf!$C$6:$C$1000,$B91)</f>
        <v>0</v>
      </c>
      <c r="AB91" s="26">
        <f>SUMIFS(Verlauf!$AA$6:$AA$1000,Verlauf!$B$6:$B$1000,$A91,Verlauf!$C$6:$C$1000,$B91)</f>
        <v>0</v>
      </c>
      <c r="AC91" s="26">
        <f>SUMIFS(Verlauf!$AB$6:$AB$1000,Verlauf!$B$6:$B$1000,$A91,Verlauf!$C$6:$C$1000,$B91)</f>
        <v>0</v>
      </c>
      <c r="AD91" s="26">
        <f>SUMIFS(Verlauf!$AC$6:$AC$1000,Verlauf!$B$6:$B$1000,$A91,Verlauf!$C$6:$C$1000,$B91)</f>
        <v>0</v>
      </c>
      <c r="AE91" s="26">
        <f>SUMIFS(Verlauf!$S$6:$S$1000,Verlauf!$B$6:$B$1000,$A91,Verlauf!$C$6:$C$1000,$B91)</f>
        <v>0</v>
      </c>
      <c r="AF91" s="26" t="str">
        <f>IF($AN91="","",INDEX(Verlauf!$D$6:$D$1000,MATCH($AN91,Verlauf!$A$6:$A$1000,0)))</f>
        <v/>
      </c>
      <c r="AG91" s="26" t="str">
        <f>IF($AN91="","",INDEX(Verlauf!$E$6:$E$1000,MATCH($AN91,Verlauf!$A$6:$A$1000,0)))</f>
        <v/>
      </c>
      <c r="AH91" s="26" t="str">
        <f>IF($AN91="","",INDEX(Verlauf!$F$6:$F$1000,MATCH($AN91,Verlauf!$A$6:$A$1000,0)))</f>
        <v/>
      </c>
      <c r="AI91" s="26" t="str">
        <f>IF($AN91="","",INDEX(Verlauf!$H$6:$H$1000,MATCH($AN91,Verlauf!$A$6:$A$1000,0)))</f>
        <v/>
      </c>
      <c r="AJ91" s="26" t="str">
        <f>IF($AN91="","",INDEX(Verlauf!$N$6:$N$1000,MATCH($AN91,Verlauf!$A$6:$A$1000,0)))</f>
        <v/>
      </c>
      <c r="AK91" s="26" t="str">
        <f>IF($AN91="","",INDEX(Verlauf!$O$6:$O$1000,MATCH($AN91,Verlauf!$A$6:$A$1000,0)))</f>
        <v/>
      </c>
      <c r="AL91" s="26" t="str">
        <f>IF($AN91="","",INDEX(Verlauf!$P$6:$P$1000,MATCH($AN91,Verlauf!$A$6:$A$1000,0)))</f>
        <v/>
      </c>
      <c r="AM91" s="26" t="str">
        <f>IF($AN91="","",INDEX(Verlauf!$R$6:$R$1000,MATCH($AN91,Verlauf!$A$6:$A$1000,0)))</f>
        <v/>
      </c>
      <c r="AN91" s="28" t="str">
        <f>IF(U91&gt;0,_xlfn.MAXIFS(Verlauf!$A$6:$A$1000,Verlauf!$B$6:$B$1000,$A91,Verlauf!$C$6:$C$1000,$B91),"")</f>
        <v/>
      </c>
    </row>
    <row r="92" spans="1:40" x14ac:dyDescent="0.25">
      <c r="A92" s="26">
        <v>2028</v>
      </c>
      <c r="B92" s="26">
        <v>11</v>
      </c>
      <c r="C92" s="7" t="str">
        <f t="shared" si="10"/>
        <v>KW 11/28</v>
      </c>
      <c r="D92" s="26">
        <f>SUMIFS(Verlauf!$K$6:$K$1000,Verlauf!$B$6:$B$1000,$A92,Verlauf!$C$6:$C$1000,$B92)</f>
        <v>0</v>
      </c>
      <c r="E92" s="26">
        <f>SUMIFS(Verlauf!$L$6:$L$1000,Verlauf!$B$6:$B$1000,$A92,Verlauf!$C$6:$C$1000,$B92)</f>
        <v>0</v>
      </c>
      <c r="F92" s="26">
        <f>SUMIFS(Verlauf!$M$6:$M$1000,Verlauf!$B$6:$B$1000,$A92,Verlauf!$C$6:$C$1000,$B92)</f>
        <v>0</v>
      </c>
      <c r="G92" s="26">
        <f>SUMIFS(Verlauf!$J$6:$J$1000,Verlauf!$B$6:$B$1000,$A92,Verlauf!$C$6:$C$1000,$B92)</f>
        <v>0</v>
      </c>
      <c r="H92" s="26">
        <f>SUMIFS(Verlauf!$U$6:$U$1000,Verlauf!$B$6:$B$1000,$A92,Verlauf!$C$6:$C$1000,$B92)</f>
        <v>0</v>
      </c>
      <c r="I92" s="26">
        <f>SUMIFS(Verlauf!$V$6:$V$1000,Verlauf!$B$6:$B$1000,$A92,Verlauf!$C$6:$C$1000,$B92)</f>
        <v>0</v>
      </c>
      <c r="J92" s="26">
        <f>SUMIFS(Verlauf!$W$6:$W$1000,Verlauf!$B$6:$B$1000,$A92,Verlauf!$C$6:$C$1000,$B92)</f>
        <v>0</v>
      </c>
      <c r="K92" s="26">
        <f>SUMIFS(Verlauf!$T$6:$T$1000,Verlauf!$B$6:$B$1000,$A92,Verlauf!$C$6:$C$1000,$B92)</f>
        <v>0</v>
      </c>
      <c r="L92" s="27">
        <f>IF(Filter!$T$7=TRUE,IFERROR(INDEX(Planung!$D$68:$IA$68,MATCH($W92,Wirksam!$D$6:$IA$6,0)),0),0)</f>
        <v>0</v>
      </c>
      <c r="M92" s="27">
        <f>IF(OR(Filter!$T$5=TRUE,Filter!$T$6=TRUE),IFERROR(INDEX(Planung!$D$69:$IA$69,MATCH($W92,Wirksam!$D$6:$IA$6,0)),0),0)</f>
        <v>0</v>
      </c>
      <c r="N92" s="27">
        <f t="shared" si="11"/>
        <v>0</v>
      </c>
      <c r="O92" s="27" t="e">
        <f t="shared" si="12"/>
        <v>#N/A</v>
      </c>
      <c r="P92" s="27" t="e">
        <f t="shared" si="13"/>
        <v>#N/A</v>
      </c>
      <c r="Q92" s="27" t="e">
        <f t="shared" si="14"/>
        <v>#N/A</v>
      </c>
      <c r="R92" s="27" t="e">
        <f t="shared" si="15"/>
        <v>#N/A</v>
      </c>
      <c r="S92" s="27" t="e">
        <f t="shared" si="16"/>
        <v>#N/A</v>
      </c>
      <c r="T92" s="27" t="e">
        <f t="shared" si="17"/>
        <v>#N/A</v>
      </c>
      <c r="U92" s="26">
        <f>COUNTIFS(Verlauf!$B$6:$B$1000,$A92,Verlauf!$C$6:$C$1000,$B92)</f>
        <v>0</v>
      </c>
      <c r="V92" s="26">
        <f t="shared" si="18"/>
        <v>0</v>
      </c>
      <c r="W92" s="26">
        <f t="shared" si="19"/>
        <v>202811</v>
      </c>
      <c r="X92" s="26">
        <f>SUMIFS(Verlauf!$X$6:$X$1000,Verlauf!$B$6:$B$1000,$A92,Verlauf!$C$6:$C$1000,$B92)</f>
        <v>0</v>
      </c>
      <c r="Y92" s="26">
        <f>SUMIFS(Verlauf!$Y$6:$Y$1000,Verlauf!$B$6:$B$1000,$A92,Verlauf!$C$6:$C$1000,$B92)</f>
        <v>0</v>
      </c>
      <c r="Z92" s="26">
        <f>SUMIFS(Verlauf!$Z$6:$Z$1000,Verlauf!$B$6:$B$1000,$A92,Verlauf!$C$6:$C$1000,$B92)</f>
        <v>0</v>
      </c>
      <c r="AA92" s="26">
        <f>SUMIFS(Verlauf!$I$6:$I$1000,Verlauf!$B$6:$B$1000,$A92,Verlauf!$C$6:$C$1000,$B92)</f>
        <v>0</v>
      </c>
      <c r="AB92" s="26">
        <f>SUMIFS(Verlauf!$AA$6:$AA$1000,Verlauf!$B$6:$B$1000,$A92,Verlauf!$C$6:$C$1000,$B92)</f>
        <v>0</v>
      </c>
      <c r="AC92" s="26">
        <f>SUMIFS(Verlauf!$AB$6:$AB$1000,Verlauf!$B$6:$B$1000,$A92,Verlauf!$C$6:$C$1000,$B92)</f>
        <v>0</v>
      </c>
      <c r="AD92" s="26">
        <f>SUMIFS(Verlauf!$AC$6:$AC$1000,Verlauf!$B$6:$B$1000,$A92,Verlauf!$C$6:$C$1000,$B92)</f>
        <v>0</v>
      </c>
      <c r="AE92" s="26">
        <f>SUMIFS(Verlauf!$S$6:$S$1000,Verlauf!$B$6:$B$1000,$A92,Verlauf!$C$6:$C$1000,$B92)</f>
        <v>0</v>
      </c>
      <c r="AF92" s="26" t="str">
        <f>IF($AN92="","",INDEX(Verlauf!$D$6:$D$1000,MATCH($AN92,Verlauf!$A$6:$A$1000,0)))</f>
        <v/>
      </c>
      <c r="AG92" s="26" t="str">
        <f>IF($AN92="","",INDEX(Verlauf!$E$6:$E$1000,MATCH($AN92,Verlauf!$A$6:$A$1000,0)))</f>
        <v/>
      </c>
      <c r="AH92" s="26" t="str">
        <f>IF($AN92="","",INDEX(Verlauf!$F$6:$F$1000,MATCH($AN92,Verlauf!$A$6:$A$1000,0)))</f>
        <v/>
      </c>
      <c r="AI92" s="26" t="str">
        <f>IF($AN92="","",INDEX(Verlauf!$H$6:$H$1000,MATCH($AN92,Verlauf!$A$6:$A$1000,0)))</f>
        <v/>
      </c>
      <c r="AJ92" s="26" t="str">
        <f>IF($AN92="","",INDEX(Verlauf!$N$6:$N$1000,MATCH($AN92,Verlauf!$A$6:$A$1000,0)))</f>
        <v/>
      </c>
      <c r="AK92" s="26" t="str">
        <f>IF($AN92="","",INDEX(Verlauf!$O$6:$O$1000,MATCH($AN92,Verlauf!$A$6:$A$1000,0)))</f>
        <v/>
      </c>
      <c r="AL92" s="26" t="str">
        <f>IF($AN92="","",INDEX(Verlauf!$P$6:$P$1000,MATCH($AN92,Verlauf!$A$6:$A$1000,0)))</f>
        <v/>
      </c>
      <c r="AM92" s="26" t="str">
        <f>IF($AN92="","",INDEX(Verlauf!$R$6:$R$1000,MATCH($AN92,Verlauf!$A$6:$A$1000,0)))</f>
        <v/>
      </c>
      <c r="AN92" s="28" t="str">
        <f>IF(U92&gt;0,_xlfn.MAXIFS(Verlauf!$A$6:$A$1000,Verlauf!$B$6:$B$1000,$A92,Verlauf!$C$6:$C$1000,$B92),"")</f>
        <v/>
      </c>
    </row>
    <row r="93" spans="1:40" x14ac:dyDescent="0.25">
      <c r="A93" s="26">
        <v>2028</v>
      </c>
      <c r="B93" s="26">
        <v>12</v>
      </c>
      <c r="C93" s="7" t="str">
        <f t="shared" si="10"/>
        <v>KW 12/28</v>
      </c>
      <c r="D93" s="26">
        <f>SUMIFS(Verlauf!$K$6:$K$1000,Verlauf!$B$6:$B$1000,$A93,Verlauf!$C$6:$C$1000,$B93)</f>
        <v>0</v>
      </c>
      <c r="E93" s="26">
        <f>SUMIFS(Verlauf!$L$6:$L$1000,Verlauf!$B$6:$B$1000,$A93,Verlauf!$C$6:$C$1000,$B93)</f>
        <v>0</v>
      </c>
      <c r="F93" s="26">
        <f>SUMIFS(Verlauf!$M$6:$M$1000,Verlauf!$B$6:$B$1000,$A93,Verlauf!$C$6:$C$1000,$B93)</f>
        <v>0</v>
      </c>
      <c r="G93" s="26">
        <f>SUMIFS(Verlauf!$J$6:$J$1000,Verlauf!$B$6:$B$1000,$A93,Verlauf!$C$6:$C$1000,$B93)</f>
        <v>0</v>
      </c>
      <c r="H93" s="26">
        <f>SUMIFS(Verlauf!$U$6:$U$1000,Verlauf!$B$6:$B$1000,$A93,Verlauf!$C$6:$C$1000,$B93)</f>
        <v>0</v>
      </c>
      <c r="I93" s="26">
        <f>SUMIFS(Verlauf!$V$6:$V$1000,Verlauf!$B$6:$B$1000,$A93,Verlauf!$C$6:$C$1000,$B93)</f>
        <v>0</v>
      </c>
      <c r="J93" s="26">
        <f>SUMIFS(Verlauf!$W$6:$W$1000,Verlauf!$B$6:$B$1000,$A93,Verlauf!$C$6:$C$1000,$B93)</f>
        <v>0</v>
      </c>
      <c r="K93" s="26">
        <f>SUMIFS(Verlauf!$T$6:$T$1000,Verlauf!$B$6:$B$1000,$A93,Verlauf!$C$6:$C$1000,$B93)</f>
        <v>0</v>
      </c>
      <c r="L93" s="27">
        <f>IF(Filter!$T$7=TRUE,IFERROR(INDEX(Planung!$D$68:$IA$68,MATCH($W93,Wirksam!$D$6:$IA$6,0)),0),0)</f>
        <v>0</v>
      </c>
      <c r="M93" s="27">
        <f>IF(OR(Filter!$T$5=TRUE,Filter!$T$6=TRUE),IFERROR(INDEX(Planung!$D$69:$IA$69,MATCH($W93,Wirksam!$D$6:$IA$6,0)),0),0)</f>
        <v>0</v>
      </c>
      <c r="N93" s="27">
        <f t="shared" si="11"/>
        <v>0</v>
      </c>
      <c r="O93" s="27" t="e">
        <f t="shared" si="12"/>
        <v>#N/A</v>
      </c>
      <c r="P93" s="27" t="e">
        <f t="shared" si="13"/>
        <v>#N/A</v>
      </c>
      <c r="Q93" s="27" t="e">
        <f t="shared" si="14"/>
        <v>#N/A</v>
      </c>
      <c r="R93" s="27" t="e">
        <f t="shared" si="15"/>
        <v>#N/A</v>
      </c>
      <c r="S93" s="27" t="e">
        <f t="shared" si="16"/>
        <v>#N/A</v>
      </c>
      <c r="T93" s="27" t="e">
        <f t="shared" si="17"/>
        <v>#N/A</v>
      </c>
      <c r="U93" s="26">
        <f>COUNTIFS(Verlauf!$B$6:$B$1000,$A93,Verlauf!$C$6:$C$1000,$B93)</f>
        <v>0</v>
      </c>
      <c r="V93" s="26">
        <f t="shared" si="18"/>
        <v>0</v>
      </c>
      <c r="W93" s="26">
        <f t="shared" si="19"/>
        <v>202812</v>
      </c>
      <c r="X93" s="26">
        <f>SUMIFS(Verlauf!$X$6:$X$1000,Verlauf!$B$6:$B$1000,$A93,Verlauf!$C$6:$C$1000,$B93)</f>
        <v>0</v>
      </c>
      <c r="Y93" s="26">
        <f>SUMIFS(Verlauf!$Y$6:$Y$1000,Verlauf!$B$6:$B$1000,$A93,Verlauf!$C$6:$C$1000,$B93)</f>
        <v>0</v>
      </c>
      <c r="Z93" s="26">
        <f>SUMIFS(Verlauf!$Z$6:$Z$1000,Verlauf!$B$6:$B$1000,$A93,Verlauf!$C$6:$C$1000,$B93)</f>
        <v>0</v>
      </c>
      <c r="AA93" s="26">
        <f>SUMIFS(Verlauf!$I$6:$I$1000,Verlauf!$B$6:$B$1000,$A93,Verlauf!$C$6:$C$1000,$B93)</f>
        <v>0</v>
      </c>
      <c r="AB93" s="26">
        <f>SUMIFS(Verlauf!$AA$6:$AA$1000,Verlauf!$B$6:$B$1000,$A93,Verlauf!$C$6:$C$1000,$B93)</f>
        <v>0</v>
      </c>
      <c r="AC93" s="26">
        <f>SUMIFS(Verlauf!$AB$6:$AB$1000,Verlauf!$B$6:$B$1000,$A93,Verlauf!$C$6:$C$1000,$B93)</f>
        <v>0</v>
      </c>
      <c r="AD93" s="26">
        <f>SUMIFS(Verlauf!$AC$6:$AC$1000,Verlauf!$B$6:$B$1000,$A93,Verlauf!$C$6:$C$1000,$B93)</f>
        <v>0</v>
      </c>
      <c r="AE93" s="26">
        <f>SUMIFS(Verlauf!$S$6:$S$1000,Verlauf!$B$6:$B$1000,$A93,Verlauf!$C$6:$C$1000,$B93)</f>
        <v>0</v>
      </c>
      <c r="AF93" s="26" t="str">
        <f>IF($AN93="","",INDEX(Verlauf!$D$6:$D$1000,MATCH($AN93,Verlauf!$A$6:$A$1000,0)))</f>
        <v/>
      </c>
      <c r="AG93" s="26" t="str">
        <f>IF($AN93="","",INDEX(Verlauf!$E$6:$E$1000,MATCH($AN93,Verlauf!$A$6:$A$1000,0)))</f>
        <v/>
      </c>
      <c r="AH93" s="26" t="str">
        <f>IF($AN93="","",INDEX(Verlauf!$F$6:$F$1000,MATCH($AN93,Verlauf!$A$6:$A$1000,0)))</f>
        <v/>
      </c>
      <c r="AI93" s="26" t="str">
        <f>IF($AN93="","",INDEX(Verlauf!$H$6:$H$1000,MATCH($AN93,Verlauf!$A$6:$A$1000,0)))</f>
        <v/>
      </c>
      <c r="AJ93" s="26" t="str">
        <f>IF($AN93="","",INDEX(Verlauf!$N$6:$N$1000,MATCH($AN93,Verlauf!$A$6:$A$1000,0)))</f>
        <v/>
      </c>
      <c r="AK93" s="26" t="str">
        <f>IF($AN93="","",INDEX(Verlauf!$O$6:$O$1000,MATCH($AN93,Verlauf!$A$6:$A$1000,0)))</f>
        <v/>
      </c>
      <c r="AL93" s="26" t="str">
        <f>IF($AN93="","",INDEX(Verlauf!$P$6:$P$1000,MATCH($AN93,Verlauf!$A$6:$A$1000,0)))</f>
        <v/>
      </c>
      <c r="AM93" s="26" t="str">
        <f>IF($AN93="","",INDEX(Verlauf!$R$6:$R$1000,MATCH($AN93,Verlauf!$A$6:$A$1000,0)))</f>
        <v/>
      </c>
      <c r="AN93" s="28" t="str">
        <f>IF(U93&gt;0,_xlfn.MAXIFS(Verlauf!$A$6:$A$1000,Verlauf!$B$6:$B$1000,$A93,Verlauf!$C$6:$C$1000,$B93),"")</f>
        <v/>
      </c>
    </row>
    <row r="94" spans="1:40" x14ac:dyDescent="0.25">
      <c r="A94" s="26">
        <v>2028</v>
      </c>
      <c r="B94" s="26">
        <v>13</v>
      </c>
      <c r="C94" s="7" t="str">
        <f t="shared" si="10"/>
        <v>KW 13/28</v>
      </c>
      <c r="D94" s="26">
        <f>SUMIFS(Verlauf!$K$6:$K$1000,Verlauf!$B$6:$B$1000,$A94,Verlauf!$C$6:$C$1000,$B94)</f>
        <v>0</v>
      </c>
      <c r="E94" s="26">
        <f>SUMIFS(Verlauf!$L$6:$L$1000,Verlauf!$B$6:$B$1000,$A94,Verlauf!$C$6:$C$1000,$B94)</f>
        <v>0</v>
      </c>
      <c r="F94" s="26">
        <f>SUMIFS(Verlauf!$M$6:$M$1000,Verlauf!$B$6:$B$1000,$A94,Verlauf!$C$6:$C$1000,$B94)</f>
        <v>0</v>
      </c>
      <c r="G94" s="26">
        <f>SUMIFS(Verlauf!$J$6:$J$1000,Verlauf!$B$6:$B$1000,$A94,Verlauf!$C$6:$C$1000,$B94)</f>
        <v>0</v>
      </c>
      <c r="H94" s="26">
        <f>SUMIFS(Verlauf!$U$6:$U$1000,Verlauf!$B$6:$B$1000,$A94,Verlauf!$C$6:$C$1000,$B94)</f>
        <v>0</v>
      </c>
      <c r="I94" s="26">
        <f>SUMIFS(Verlauf!$V$6:$V$1000,Verlauf!$B$6:$B$1000,$A94,Verlauf!$C$6:$C$1000,$B94)</f>
        <v>0</v>
      </c>
      <c r="J94" s="26">
        <f>SUMIFS(Verlauf!$W$6:$W$1000,Verlauf!$B$6:$B$1000,$A94,Verlauf!$C$6:$C$1000,$B94)</f>
        <v>0</v>
      </c>
      <c r="K94" s="26">
        <f>SUMIFS(Verlauf!$T$6:$T$1000,Verlauf!$B$6:$B$1000,$A94,Verlauf!$C$6:$C$1000,$B94)</f>
        <v>0</v>
      </c>
      <c r="L94" s="27">
        <f>IF(Filter!$T$7=TRUE,IFERROR(INDEX(Planung!$D$68:$IA$68,MATCH($W94,Wirksam!$D$6:$IA$6,0)),0),0)</f>
        <v>0</v>
      </c>
      <c r="M94" s="27">
        <f>IF(OR(Filter!$T$5=TRUE,Filter!$T$6=TRUE),IFERROR(INDEX(Planung!$D$69:$IA$69,MATCH($W94,Wirksam!$D$6:$IA$6,0)),0),0)</f>
        <v>0</v>
      </c>
      <c r="N94" s="27">
        <f t="shared" si="11"/>
        <v>0</v>
      </c>
      <c r="O94" s="27" t="e">
        <f t="shared" si="12"/>
        <v>#N/A</v>
      </c>
      <c r="P94" s="27" t="e">
        <f t="shared" si="13"/>
        <v>#N/A</v>
      </c>
      <c r="Q94" s="27" t="e">
        <f t="shared" si="14"/>
        <v>#N/A</v>
      </c>
      <c r="R94" s="27" t="e">
        <f t="shared" si="15"/>
        <v>#N/A</v>
      </c>
      <c r="S94" s="27" t="e">
        <f t="shared" si="16"/>
        <v>#N/A</v>
      </c>
      <c r="T94" s="27" t="e">
        <f t="shared" si="17"/>
        <v>#N/A</v>
      </c>
      <c r="U94" s="26">
        <f>COUNTIFS(Verlauf!$B$6:$B$1000,$A94,Verlauf!$C$6:$C$1000,$B94)</f>
        <v>0</v>
      </c>
      <c r="V94" s="26">
        <f t="shared" si="18"/>
        <v>0</v>
      </c>
      <c r="W94" s="26">
        <f t="shared" si="19"/>
        <v>202813</v>
      </c>
      <c r="X94" s="26">
        <f>SUMIFS(Verlauf!$X$6:$X$1000,Verlauf!$B$6:$B$1000,$A94,Verlauf!$C$6:$C$1000,$B94)</f>
        <v>0</v>
      </c>
      <c r="Y94" s="26">
        <f>SUMIFS(Verlauf!$Y$6:$Y$1000,Verlauf!$B$6:$B$1000,$A94,Verlauf!$C$6:$C$1000,$B94)</f>
        <v>0</v>
      </c>
      <c r="Z94" s="26">
        <f>SUMIFS(Verlauf!$Z$6:$Z$1000,Verlauf!$B$6:$B$1000,$A94,Verlauf!$C$6:$C$1000,$B94)</f>
        <v>0</v>
      </c>
      <c r="AA94" s="26">
        <f>SUMIFS(Verlauf!$I$6:$I$1000,Verlauf!$B$6:$B$1000,$A94,Verlauf!$C$6:$C$1000,$B94)</f>
        <v>0</v>
      </c>
      <c r="AB94" s="26">
        <f>SUMIFS(Verlauf!$AA$6:$AA$1000,Verlauf!$B$6:$B$1000,$A94,Verlauf!$C$6:$C$1000,$B94)</f>
        <v>0</v>
      </c>
      <c r="AC94" s="26">
        <f>SUMIFS(Verlauf!$AB$6:$AB$1000,Verlauf!$B$6:$B$1000,$A94,Verlauf!$C$6:$C$1000,$B94)</f>
        <v>0</v>
      </c>
      <c r="AD94" s="26">
        <f>SUMIFS(Verlauf!$AC$6:$AC$1000,Verlauf!$B$6:$B$1000,$A94,Verlauf!$C$6:$C$1000,$B94)</f>
        <v>0</v>
      </c>
      <c r="AE94" s="26">
        <f>SUMIFS(Verlauf!$S$6:$S$1000,Verlauf!$B$6:$B$1000,$A94,Verlauf!$C$6:$C$1000,$B94)</f>
        <v>0</v>
      </c>
      <c r="AF94" s="26" t="str">
        <f>IF($AN94="","",INDEX(Verlauf!$D$6:$D$1000,MATCH($AN94,Verlauf!$A$6:$A$1000,0)))</f>
        <v/>
      </c>
      <c r="AG94" s="26" t="str">
        <f>IF($AN94="","",INDEX(Verlauf!$E$6:$E$1000,MATCH($AN94,Verlauf!$A$6:$A$1000,0)))</f>
        <v/>
      </c>
      <c r="AH94" s="26" t="str">
        <f>IF($AN94="","",INDEX(Verlauf!$F$6:$F$1000,MATCH($AN94,Verlauf!$A$6:$A$1000,0)))</f>
        <v/>
      </c>
      <c r="AI94" s="26" t="str">
        <f>IF($AN94="","",INDEX(Verlauf!$H$6:$H$1000,MATCH($AN94,Verlauf!$A$6:$A$1000,0)))</f>
        <v/>
      </c>
      <c r="AJ94" s="26" t="str">
        <f>IF($AN94="","",INDEX(Verlauf!$N$6:$N$1000,MATCH($AN94,Verlauf!$A$6:$A$1000,0)))</f>
        <v/>
      </c>
      <c r="AK94" s="26" t="str">
        <f>IF($AN94="","",INDEX(Verlauf!$O$6:$O$1000,MATCH($AN94,Verlauf!$A$6:$A$1000,0)))</f>
        <v/>
      </c>
      <c r="AL94" s="26" t="str">
        <f>IF($AN94="","",INDEX(Verlauf!$P$6:$P$1000,MATCH($AN94,Verlauf!$A$6:$A$1000,0)))</f>
        <v/>
      </c>
      <c r="AM94" s="26" t="str">
        <f>IF($AN94="","",INDEX(Verlauf!$R$6:$R$1000,MATCH($AN94,Verlauf!$A$6:$A$1000,0)))</f>
        <v/>
      </c>
      <c r="AN94" s="28" t="str">
        <f>IF(U94&gt;0,_xlfn.MAXIFS(Verlauf!$A$6:$A$1000,Verlauf!$B$6:$B$1000,$A94,Verlauf!$C$6:$C$1000,$B94),"")</f>
        <v/>
      </c>
    </row>
    <row r="95" spans="1:40" x14ac:dyDescent="0.25">
      <c r="A95" s="26">
        <v>2028</v>
      </c>
      <c r="B95" s="26">
        <v>14</v>
      </c>
      <c r="C95" s="7" t="str">
        <f t="shared" si="10"/>
        <v>KW 14/28</v>
      </c>
      <c r="D95" s="26">
        <f>SUMIFS(Verlauf!$K$6:$K$1000,Verlauf!$B$6:$B$1000,$A95,Verlauf!$C$6:$C$1000,$B95)</f>
        <v>0</v>
      </c>
      <c r="E95" s="26">
        <f>SUMIFS(Verlauf!$L$6:$L$1000,Verlauf!$B$6:$B$1000,$A95,Verlauf!$C$6:$C$1000,$B95)</f>
        <v>0</v>
      </c>
      <c r="F95" s="26">
        <f>SUMIFS(Verlauf!$M$6:$M$1000,Verlauf!$B$6:$B$1000,$A95,Verlauf!$C$6:$C$1000,$B95)</f>
        <v>0</v>
      </c>
      <c r="G95" s="26">
        <f>SUMIFS(Verlauf!$J$6:$J$1000,Verlauf!$B$6:$B$1000,$A95,Verlauf!$C$6:$C$1000,$B95)</f>
        <v>0</v>
      </c>
      <c r="H95" s="26">
        <f>SUMIFS(Verlauf!$U$6:$U$1000,Verlauf!$B$6:$B$1000,$A95,Verlauf!$C$6:$C$1000,$B95)</f>
        <v>0</v>
      </c>
      <c r="I95" s="26">
        <f>SUMIFS(Verlauf!$V$6:$V$1000,Verlauf!$B$6:$B$1000,$A95,Verlauf!$C$6:$C$1000,$B95)</f>
        <v>0</v>
      </c>
      <c r="J95" s="26">
        <f>SUMIFS(Verlauf!$W$6:$W$1000,Verlauf!$B$6:$B$1000,$A95,Verlauf!$C$6:$C$1000,$B95)</f>
        <v>0</v>
      </c>
      <c r="K95" s="26">
        <f>SUMIFS(Verlauf!$T$6:$T$1000,Verlauf!$B$6:$B$1000,$A95,Verlauf!$C$6:$C$1000,$B95)</f>
        <v>0</v>
      </c>
      <c r="L95" s="27">
        <f>IF(Filter!$T$7=TRUE,IFERROR(INDEX(Planung!$D$68:$IA$68,MATCH($W95,Wirksam!$D$6:$IA$6,0)),0),0)</f>
        <v>0</v>
      </c>
      <c r="M95" s="27">
        <f>IF(OR(Filter!$T$5=TRUE,Filter!$T$6=TRUE),IFERROR(INDEX(Planung!$D$69:$IA$69,MATCH($W95,Wirksam!$D$6:$IA$6,0)),0),0)</f>
        <v>0</v>
      </c>
      <c r="N95" s="27">
        <f t="shared" si="11"/>
        <v>0</v>
      </c>
      <c r="O95" s="27" t="e">
        <f t="shared" si="12"/>
        <v>#N/A</v>
      </c>
      <c r="P95" s="27" t="e">
        <f t="shared" si="13"/>
        <v>#N/A</v>
      </c>
      <c r="Q95" s="27" t="e">
        <f t="shared" si="14"/>
        <v>#N/A</v>
      </c>
      <c r="R95" s="27" t="e">
        <f t="shared" si="15"/>
        <v>#N/A</v>
      </c>
      <c r="S95" s="27" t="e">
        <f t="shared" si="16"/>
        <v>#N/A</v>
      </c>
      <c r="T95" s="27" t="e">
        <f t="shared" si="17"/>
        <v>#N/A</v>
      </c>
      <c r="U95" s="26">
        <f>COUNTIFS(Verlauf!$B$6:$B$1000,$A95,Verlauf!$C$6:$C$1000,$B95)</f>
        <v>0</v>
      </c>
      <c r="V95" s="26">
        <f t="shared" si="18"/>
        <v>0</v>
      </c>
      <c r="W95" s="26">
        <f t="shared" si="19"/>
        <v>202814</v>
      </c>
      <c r="X95" s="26">
        <f>SUMIFS(Verlauf!$X$6:$X$1000,Verlauf!$B$6:$B$1000,$A95,Verlauf!$C$6:$C$1000,$B95)</f>
        <v>0</v>
      </c>
      <c r="Y95" s="26">
        <f>SUMIFS(Verlauf!$Y$6:$Y$1000,Verlauf!$B$6:$B$1000,$A95,Verlauf!$C$6:$C$1000,$B95)</f>
        <v>0</v>
      </c>
      <c r="Z95" s="26">
        <f>SUMIFS(Verlauf!$Z$6:$Z$1000,Verlauf!$B$6:$B$1000,$A95,Verlauf!$C$6:$C$1000,$B95)</f>
        <v>0</v>
      </c>
      <c r="AA95" s="26">
        <f>SUMIFS(Verlauf!$I$6:$I$1000,Verlauf!$B$6:$B$1000,$A95,Verlauf!$C$6:$C$1000,$B95)</f>
        <v>0</v>
      </c>
      <c r="AB95" s="26">
        <f>SUMIFS(Verlauf!$AA$6:$AA$1000,Verlauf!$B$6:$B$1000,$A95,Verlauf!$C$6:$C$1000,$B95)</f>
        <v>0</v>
      </c>
      <c r="AC95" s="26">
        <f>SUMIFS(Verlauf!$AB$6:$AB$1000,Verlauf!$B$6:$B$1000,$A95,Verlauf!$C$6:$C$1000,$B95)</f>
        <v>0</v>
      </c>
      <c r="AD95" s="26">
        <f>SUMIFS(Verlauf!$AC$6:$AC$1000,Verlauf!$B$6:$B$1000,$A95,Verlauf!$C$6:$C$1000,$B95)</f>
        <v>0</v>
      </c>
      <c r="AE95" s="26">
        <f>SUMIFS(Verlauf!$S$6:$S$1000,Verlauf!$B$6:$B$1000,$A95,Verlauf!$C$6:$C$1000,$B95)</f>
        <v>0</v>
      </c>
      <c r="AF95" s="26" t="str">
        <f>IF($AN95="","",INDEX(Verlauf!$D$6:$D$1000,MATCH($AN95,Verlauf!$A$6:$A$1000,0)))</f>
        <v/>
      </c>
      <c r="AG95" s="26" t="str">
        <f>IF($AN95="","",INDEX(Verlauf!$E$6:$E$1000,MATCH($AN95,Verlauf!$A$6:$A$1000,0)))</f>
        <v/>
      </c>
      <c r="AH95" s="26" t="str">
        <f>IF($AN95="","",INDEX(Verlauf!$F$6:$F$1000,MATCH($AN95,Verlauf!$A$6:$A$1000,0)))</f>
        <v/>
      </c>
      <c r="AI95" s="26" t="str">
        <f>IF($AN95="","",INDEX(Verlauf!$H$6:$H$1000,MATCH($AN95,Verlauf!$A$6:$A$1000,0)))</f>
        <v/>
      </c>
      <c r="AJ95" s="26" t="str">
        <f>IF($AN95="","",INDEX(Verlauf!$N$6:$N$1000,MATCH($AN95,Verlauf!$A$6:$A$1000,0)))</f>
        <v/>
      </c>
      <c r="AK95" s="26" t="str">
        <f>IF($AN95="","",INDEX(Verlauf!$O$6:$O$1000,MATCH($AN95,Verlauf!$A$6:$A$1000,0)))</f>
        <v/>
      </c>
      <c r="AL95" s="26" t="str">
        <f>IF($AN95="","",INDEX(Verlauf!$P$6:$P$1000,MATCH($AN95,Verlauf!$A$6:$A$1000,0)))</f>
        <v/>
      </c>
      <c r="AM95" s="26" t="str">
        <f>IF($AN95="","",INDEX(Verlauf!$R$6:$R$1000,MATCH($AN95,Verlauf!$A$6:$A$1000,0)))</f>
        <v/>
      </c>
      <c r="AN95" s="28" t="str">
        <f>IF(U95&gt;0,_xlfn.MAXIFS(Verlauf!$A$6:$A$1000,Verlauf!$B$6:$B$1000,$A95,Verlauf!$C$6:$C$1000,$B95),"")</f>
        <v/>
      </c>
    </row>
    <row r="96" spans="1:40" x14ac:dyDescent="0.25">
      <c r="A96" s="26">
        <v>2028</v>
      </c>
      <c r="B96" s="26">
        <v>15</v>
      </c>
      <c r="C96" s="7" t="str">
        <f t="shared" si="10"/>
        <v>KW 15/28</v>
      </c>
      <c r="D96" s="26">
        <f>SUMIFS(Verlauf!$K$6:$K$1000,Verlauf!$B$6:$B$1000,$A96,Verlauf!$C$6:$C$1000,$B96)</f>
        <v>0</v>
      </c>
      <c r="E96" s="26">
        <f>SUMIFS(Verlauf!$L$6:$L$1000,Verlauf!$B$6:$B$1000,$A96,Verlauf!$C$6:$C$1000,$B96)</f>
        <v>0</v>
      </c>
      <c r="F96" s="26">
        <f>SUMIFS(Verlauf!$M$6:$M$1000,Verlauf!$B$6:$B$1000,$A96,Verlauf!$C$6:$C$1000,$B96)</f>
        <v>0</v>
      </c>
      <c r="G96" s="26">
        <f>SUMIFS(Verlauf!$J$6:$J$1000,Verlauf!$B$6:$B$1000,$A96,Verlauf!$C$6:$C$1000,$B96)</f>
        <v>0</v>
      </c>
      <c r="H96" s="26">
        <f>SUMIFS(Verlauf!$U$6:$U$1000,Verlauf!$B$6:$B$1000,$A96,Verlauf!$C$6:$C$1000,$B96)</f>
        <v>0</v>
      </c>
      <c r="I96" s="26">
        <f>SUMIFS(Verlauf!$V$6:$V$1000,Verlauf!$B$6:$B$1000,$A96,Verlauf!$C$6:$C$1000,$B96)</f>
        <v>0</v>
      </c>
      <c r="J96" s="26">
        <f>SUMIFS(Verlauf!$W$6:$W$1000,Verlauf!$B$6:$B$1000,$A96,Verlauf!$C$6:$C$1000,$B96)</f>
        <v>0</v>
      </c>
      <c r="K96" s="26">
        <f>SUMIFS(Verlauf!$T$6:$T$1000,Verlauf!$B$6:$B$1000,$A96,Verlauf!$C$6:$C$1000,$B96)</f>
        <v>0</v>
      </c>
      <c r="L96" s="27">
        <f>IF(Filter!$T$7=TRUE,IFERROR(INDEX(Planung!$D$68:$IA$68,MATCH($W96,Wirksam!$D$6:$IA$6,0)),0),0)</f>
        <v>0</v>
      </c>
      <c r="M96" s="27">
        <f>IF(OR(Filter!$T$5=TRUE,Filter!$T$6=TRUE),IFERROR(INDEX(Planung!$D$69:$IA$69,MATCH($W96,Wirksam!$D$6:$IA$6,0)),0),0)</f>
        <v>0</v>
      </c>
      <c r="N96" s="27">
        <f t="shared" si="11"/>
        <v>0</v>
      </c>
      <c r="O96" s="27" t="e">
        <f t="shared" si="12"/>
        <v>#N/A</v>
      </c>
      <c r="P96" s="27" t="e">
        <f t="shared" si="13"/>
        <v>#N/A</v>
      </c>
      <c r="Q96" s="27" t="e">
        <f t="shared" si="14"/>
        <v>#N/A</v>
      </c>
      <c r="R96" s="27" t="e">
        <f t="shared" si="15"/>
        <v>#N/A</v>
      </c>
      <c r="S96" s="27" t="e">
        <f t="shared" si="16"/>
        <v>#N/A</v>
      </c>
      <c r="T96" s="27" t="e">
        <f t="shared" si="17"/>
        <v>#N/A</v>
      </c>
      <c r="U96" s="26">
        <f>COUNTIFS(Verlauf!$B$6:$B$1000,$A96,Verlauf!$C$6:$C$1000,$B96)</f>
        <v>0</v>
      </c>
      <c r="V96" s="26">
        <f t="shared" si="18"/>
        <v>0</v>
      </c>
      <c r="W96" s="26">
        <f t="shared" si="19"/>
        <v>202815</v>
      </c>
      <c r="X96" s="26">
        <f>SUMIFS(Verlauf!$X$6:$X$1000,Verlauf!$B$6:$B$1000,$A96,Verlauf!$C$6:$C$1000,$B96)</f>
        <v>0</v>
      </c>
      <c r="Y96" s="26">
        <f>SUMIFS(Verlauf!$Y$6:$Y$1000,Verlauf!$B$6:$B$1000,$A96,Verlauf!$C$6:$C$1000,$B96)</f>
        <v>0</v>
      </c>
      <c r="Z96" s="26">
        <f>SUMIFS(Verlauf!$Z$6:$Z$1000,Verlauf!$B$6:$B$1000,$A96,Verlauf!$C$6:$C$1000,$B96)</f>
        <v>0</v>
      </c>
      <c r="AA96" s="26">
        <f>SUMIFS(Verlauf!$I$6:$I$1000,Verlauf!$B$6:$B$1000,$A96,Verlauf!$C$6:$C$1000,$B96)</f>
        <v>0</v>
      </c>
      <c r="AB96" s="26">
        <f>SUMIFS(Verlauf!$AA$6:$AA$1000,Verlauf!$B$6:$B$1000,$A96,Verlauf!$C$6:$C$1000,$B96)</f>
        <v>0</v>
      </c>
      <c r="AC96" s="26">
        <f>SUMIFS(Verlauf!$AB$6:$AB$1000,Verlauf!$B$6:$B$1000,$A96,Verlauf!$C$6:$C$1000,$B96)</f>
        <v>0</v>
      </c>
      <c r="AD96" s="26">
        <f>SUMIFS(Verlauf!$AC$6:$AC$1000,Verlauf!$B$6:$B$1000,$A96,Verlauf!$C$6:$C$1000,$B96)</f>
        <v>0</v>
      </c>
      <c r="AE96" s="26">
        <f>SUMIFS(Verlauf!$S$6:$S$1000,Verlauf!$B$6:$B$1000,$A96,Verlauf!$C$6:$C$1000,$B96)</f>
        <v>0</v>
      </c>
      <c r="AF96" s="26" t="str">
        <f>IF($AN96="","",INDEX(Verlauf!$D$6:$D$1000,MATCH($AN96,Verlauf!$A$6:$A$1000,0)))</f>
        <v/>
      </c>
      <c r="AG96" s="26" t="str">
        <f>IF($AN96="","",INDEX(Verlauf!$E$6:$E$1000,MATCH($AN96,Verlauf!$A$6:$A$1000,0)))</f>
        <v/>
      </c>
      <c r="AH96" s="26" t="str">
        <f>IF($AN96="","",INDEX(Verlauf!$F$6:$F$1000,MATCH($AN96,Verlauf!$A$6:$A$1000,0)))</f>
        <v/>
      </c>
      <c r="AI96" s="26" t="str">
        <f>IF($AN96="","",INDEX(Verlauf!$H$6:$H$1000,MATCH($AN96,Verlauf!$A$6:$A$1000,0)))</f>
        <v/>
      </c>
      <c r="AJ96" s="26" t="str">
        <f>IF($AN96="","",INDEX(Verlauf!$N$6:$N$1000,MATCH($AN96,Verlauf!$A$6:$A$1000,0)))</f>
        <v/>
      </c>
      <c r="AK96" s="26" t="str">
        <f>IF($AN96="","",INDEX(Verlauf!$O$6:$O$1000,MATCH($AN96,Verlauf!$A$6:$A$1000,0)))</f>
        <v/>
      </c>
      <c r="AL96" s="26" t="str">
        <f>IF($AN96="","",INDEX(Verlauf!$P$6:$P$1000,MATCH($AN96,Verlauf!$A$6:$A$1000,0)))</f>
        <v/>
      </c>
      <c r="AM96" s="26" t="str">
        <f>IF($AN96="","",INDEX(Verlauf!$R$6:$R$1000,MATCH($AN96,Verlauf!$A$6:$A$1000,0)))</f>
        <v/>
      </c>
      <c r="AN96" s="28" t="str">
        <f>IF(U96&gt;0,_xlfn.MAXIFS(Verlauf!$A$6:$A$1000,Verlauf!$B$6:$B$1000,$A96,Verlauf!$C$6:$C$1000,$B96),"")</f>
        <v/>
      </c>
    </row>
    <row r="97" spans="1:40" x14ac:dyDescent="0.25">
      <c r="A97" s="26">
        <v>2028</v>
      </c>
      <c r="B97" s="26">
        <v>16</v>
      </c>
      <c r="C97" s="7" t="str">
        <f t="shared" si="10"/>
        <v>KW 16/28</v>
      </c>
      <c r="D97" s="26">
        <f>SUMIFS(Verlauf!$K$6:$K$1000,Verlauf!$B$6:$B$1000,$A97,Verlauf!$C$6:$C$1000,$B97)</f>
        <v>0</v>
      </c>
      <c r="E97" s="26">
        <f>SUMIFS(Verlauf!$L$6:$L$1000,Verlauf!$B$6:$B$1000,$A97,Verlauf!$C$6:$C$1000,$B97)</f>
        <v>0</v>
      </c>
      <c r="F97" s="26">
        <f>SUMIFS(Verlauf!$M$6:$M$1000,Verlauf!$B$6:$B$1000,$A97,Verlauf!$C$6:$C$1000,$B97)</f>
        <v>0</v>
      </c>
      <c r="G97" s="26">
        <f>SUMIFS(Verlauf!$J$6:$J$1000,Verlauf!$B$6:$B$1000,$A97,Verlauf!$C$6:$C$1000,$B97)</f>
        <v>0</v>
      </c>
      <c r="H97" s="26">
        <f>SUMIFS(Verlauf!$U$6:$U$1000,Verlauf!$B$6:$B$1000,$A97,Verlauf!$C$6:$C$1000,$B97)</f>
        <v>0</v>
      </c>
      <c r="I97" s="26">
        <f>SUMIFS(Verlauf!$V$6:$V$1000,Verlauf!$B$6:$B$1000,$A97,Verlauf!$C$6:$C$1000,$B97)</f>
        <v>0</v>
      </c>
      <c r="J97" s="26">
        <f>SUMIFS(Verlauf!$W$6:$W$1000,Verlauf!$B$6:$B$1000,$A97,Verlauf!$C$6:$C$1000,$B97)</f>
        <v>0</v>
      </c>
      <c r="K97" s="26">
        <f>SUMIFS(Verlauf!$T$6:$T$1000,Verlauf!$B$6:$B$1000,$A97,Verlauf!$C$6:$C$1000,$B97)</f>
        <v>0</v>
      </c>
      <c r="L97" s="27">
        <f>IF(Filter!$T$7=TRUE,IFERROR(INDEX(Planung!$D$68:$IA$68,MATCH($W97,Wirksam!$D$6:$IA$6,0)),0),0)</f>
        <v>0</v>
      </c>
      <c r="M97" s="27">
        <f>IF(OR(Filter!$T$5=TRUE,Filter!$T$6=TRUE),IFERROR(INDEX(Planung!$D$69:$IA$69,MATCH($W97,Wirksam!$D$6:$IA$6,0)),0),0)</f>
        <v>0</v>
      </c>
      <c r="N97" s="27">
        <f t="shared" si="11"/>
        <v>0</v>
      </c>
      <c r="O97" s="27" t="e">
        <f t="shared" si="12"/>
        <v>#N/A</v>
      </c>
      <c r="P97" s="27" t="e">
        <f t="shared" si="13"/>
        <v>#N/A</v>
      </c>
      <c r="Q97" s="27" t="e">
        <f t="shared" si="14"/>
        <v>#N/A</v>
      </c>
      <c r="R97" s="27" t="e">
        <f t="shared" si="15"/>
        <v>#N/A</v>
      </c>
      <c r="S97" s="27" t="e">
        <f t="shared" si="16"/>
        <v>#N/A</v>
      </c>
      <c r="T97" s="27" t="e">
        <f t="shared" si="17"/>
        <v>#N/A</v>
      </c>
      <c r="U97" s="26">
        <f>COUNTIFS(Verlauf!$B$6:$B$1000,$A97,Verlauf!$C$6:$C$1000,$B97)</f>
        <v>0</v>
      </c>
      <c r="V97" s="26">
        <f t="shared" si="18"/>
        <v>0</v>
      </c>
      <c r="W97" s="26">
        <f t="shared" si="19"/>
        <v>202816</v>
      </c>
      <c r="X97" s="26">
        <f>SUMIFS(Verlauf!$X$6:$X$1000,Verlauf!$B$6:$B$1000,$A97,Verlauf!$C$6:$C$1000,$B97)</f>
        <v>0</v>
      </c>
      <c r="Y97" s="26">
        <f>SUMIFS(Verlauf!$Y$6:$Y$1000,Verlauf!$B$6:$B$1000,$A97,Verlauf!$C$6:$C$1000,$B97)</f>
        <v>0</v>
      </c>
      <c r="Z97" s="26">
        <f>SUMIFS(Verlauf!$Z$6:$Z$1000,Verlauf!$B$6:$B$1000,$A97,Verlauf!$C$6:$C$1000,$B97)</f>
        <v>0</v>
      </c>
      <c r="AA97" s="26">
        <f>SUMIFS(Verlauf!$I$6:$I$1000,Verlauf!$B$6:$B$1000,$A97,Verlauf!$C$6:$C$1000,$B97)</f>
        <v>0</v>
      </c>
      <c r="AB97" s="26">
        <f>SUMIFS(Verlauf!$AA$6:$AA$1000,Verlauf!$B$6:$B$1000,$A97,Verlauf!$C$6:$C$1000,$B97)</f>
        <v>0</v>
      </c>
      <c r="AC97" s="26">
        <f>SUMIFS(Verlauf!$AB$6:$AB$1000,Verlauf!$B$6:$B$1000,$A97,Verlauf!$C$6:$C$1000,$B97)</f>
        <v>0</v>
      </c>
      <c r="AD97" s="26">
        <f>SUMIFS(Verlauf!$AC$6:$AC$1000,Verlauf!$B$6:$B$1000,$A97,Verlauf!$C$6:$C$1000,$B97)</f>
        <v>0</v>
      </c>
      <c r="AE97" s="26">
        <f>SUMIFS(Verlauf!$S$6:$S$1000,Verlauf!$B$6:$B$1000,$A97,Verlauf!$C$6:$C$1000,$B97)</f>
        <v>0</v>
      </c>
      <c r="AF97" s="26" t="str">
        <f>IF($AN97="","",INDEX(Verlauf!$D$6:$D$1000,MATCH($AN97,Verlauf!$A$6:$A$1000,0)))</f>
        <v/>
      </c>
      <c r="AG97" s="26" t="str">
        <f>IF($AN97="","",INDEX(Verlauf!$E$6:$E$1000,MATCH($AN97,Verlauf!$A$6:$A$1000,0)))</f>
        <v/>
      </c>
      <c r="AH97" s="26" t="str">
        <f>IF($AN97="","",INDEX(Verlauf!$F$6:$F$1000,MATCH($AN97,Verlauf!$A$6:$A$1000,0)))</f>
        <v/>
      </c>
      <c r="AI97" s="26" t="str">
        <f>IF($AN97="","",INDEX(Verlauf!$H$6:$H$1000,MATCH($AN97,Verlauf!$A$6:$A$1000,0)))</f>
        <v/>
      </c>
      <c r="AJ97" s="26" t="str">
        <f>IF($AN97="","",INDEX(Verlauf!$N$6:$N$1000,MATCH($AN97,Verlauf!$A$6:$A$1000,0)))</f>
        <v/>
      </c>
      <c r="AK97" s="26" t="str">
        <f>IF($AN97="","",INDEX(Verlauf!$O$6:$O$1000,MATCH($AN97,Verlauf!$A$6:$A$1000,0)))</f>
        <v/>
      </c>
      <c r="AL97" s="26" t="str">
        <f>IF($AN97="","",INDEX(Verlauf!$P$6:$P$1000,MATCH($AN97,Verlauf!$A$6:$A$1000,0)))</f>
        <v/>
      </c>
      <c r="AM97" s="26" t="str">
        <f>IF($AN97="","",INDEX(Verlauf!$R$6:$R$1000,MATCH($AN97,Verlauf!$A$6:$A$1000,0)))</f>
        <v/>
      </c>
      <c r="AN97" s="28" t="str">
        <f>IF(U97&gt;0,_xlfn.MAXIFS(Verlauf!$A$6:$A$1000,Verlauf!$B$6:$B$1000,$A97,Verlauf!$C$6:$C$1000,$B97),"")</f>
        <v/>
      </c>
    </row>
    <row r="98" spans="1:40" x14ac:dyDescent="0.25">
      <c r="A98" s="26">
        <v>2028</v>
      </c>
      <c r="B98" s="26">
        <v>17</v>
      </c>
      <c r="C98" s="7" t="str">
        <f t="shared" si="10"/>
        <v>KW 17/28</v>
      </c>
      <c r="D98" s="26">
        <f>SUMIFS(Verlauf!$K$6:$K$1000,Verlauf!$B$6:$B$1000,$A98,Verlauf!$C$6:$C$1000,$B98)</f>
        <v>0</v>
      </c>
      <c r="E98" s="26">
        <f>SUMIFS(Verlauf!$L$6:$L$1000,Verlauf!$B$6:$B$1000,$A98,Verlauf!$C$6:$C$1000,$B98)</f>
        <v>0</v>
      </c>
      <c r="F98" s="26">
        <f>SUMIFS(Verlauf!$M$6:$M$1000,Verlauf!$B$6:$B$1000,$A98,Verlauf!$C$6:$C$1000,$B98)</f>
        <v>0</v>
      </c>
      <c r="G98" s="26">
        <f>SUMIFS(Verlauf!$J$6:$J$1000,Verlauf!$B$6:$B$1000,$A98,Verlauf!$C$6:$C$1000,$B98)</f>
        <v>0</v>
      </c>
      <c r="H98" s="26">
        <f>SUMIFS(Verlauf!$U$6:$U$1000,Verlauf!$B$6:$B$1000,$A98,Verlauf!$C$6:$C$1000,$B98)</f>
        <v>0</v>
      </c>
      <c r="I98" s="26">
        <f>SUMIFS(Verlauf!$V$6:$V$1000,Verlauf!$B$6:$B$1000,$A98,Verlauf!$C$6:$C$1000,$B98)</f>
        <v>0</v>
      </c>
      <c r="J98" s="26">
        <f>SUMIFS(Verlauf!$W$6:$W$1000,Verlauf!$B$6:$B$1000,$A98,Verlauf!$C$6:$C$1000,$B98)</f>
        <v>0</v>
      </c>
      <c r="K98" s="26">
        <f>SUMIFS(Verlauf!$T$6:$T$1000,Verlauf!$B$6:$B$1000,$A98,Verlauf!$C$6:$C$1000,$B98)</f>
        <v>0</v>
      </c>
      <c r="L98" s="27">
        <f>IF(Filter!$T$7=TRUE,IFERROR(INDEX(Planung!$D$68:$IA$68,MATCH($W98,Wirksam!$D$6:$IA$6,0)),0),0)</f>
        <v>0</v>
      </c>
      <c r="M98" s="27">
        <f>IF(OR(Filter!$T$5=TRUE,Filter!$T$6=TRUE),IFERROR(INDEX(Planung!$D$69:$IA$69,MATCH($W98,Wirksam!$D$6:$IA$6,0)),0),0)</f>
        <v>0</v>
      </c>
      <c r="N98" s="27">
        <f t="shared" si="11"/>
        <v>0</v>
      </c>
      <c r="O98" s="27" t="e">
        <f t="shared" si="12"/>
        <v>#N/A</v>
      </c>
      <c r="P98" s="27" t="e">
        <f t="shared" si="13"/>
        <v>#N/A</v>
      </c>
      <c r="Q98" s="27" t="e">
        <f t="shared" si="14"/>
        <v>#N/A</v>
      </c>
      <c r="R98" s="27" t="e">
        <f t="shared" si="15"/>
        <v>#N/A</v>
      </c>
      <c r="S98" s="27" t="e">
        <f t="shared" si="16"/>
        <v>#N/A</v>
      </c>
      <c r="T98" s="27" t="e">
        <f t="shared" si="17"/>
        <v>#N/A</v>
      </c>
      <c r="U98" s="26">
        <f>COUNTIFS(Verlauf!$B$6:$B$1000,$A98,Verlauf!$C$6:$C$1000,$B98)</f>
        <v>0</v>
      </c>
      <c r="V98" s="26">
        <f t="shared" si="18"/>
        <v>0</v>
      </c>
      <c r="W98" s="26">
        <f t="shared" si="19"/>
        <v>202817</v>
      </c>
      <c r="X98" s="26">
        <f>SUMIFS(Verlauf!$X$6:$X$1000,Verlauf!$B$6:$B$1000,$A98,Verlauf!$C$6:$C$1000,$B98)</f>
        <v>0</v>
      </c>
      <c r="Y98" s="26">
        <f>SUMIFS(Verlauf!$Y$6:$Y$1000,Verlauf!$B$6:$B$1000,$A98,Verlauf!$C$6:$C$1000,$B98)</f>
        <v>0</v>
      </c>
      <c r="Z98" s="26">
        <f>SUMIFS(Verlauf!$Z$6:$Z$1000,Verlauf!$B$6:$B$1000,$A98,Verlauf!$C$6:$C$1000,$B98)</f>
        <v>0</v>
      </c>
      <c r="AA98" s="26">
        <f>SUMIFS(Verlauf!$I$6:$I$1000,Verlauf!$B$6:$B$1000,$A98,Verlauf!$C$6:$C$1000,$B98)</f>
        <v>0</v>
      </c>
      <c r="AB98" s="26">
        <f>SUMIFS(Verlauf!$AA$6:$AA$1000,Verlauf!$B$6:$B$1000,$A98,Verlauf!$C$6:$C$1000,$B98)</f>
        <v>0</v>
      </c>
      <c r="AC98" s="26">
        <f>SUMIFS(Verlauf!$AB$6:$AB$1000,Verlauf!$B$6:$B$1000,$A98,Verlauf!$C$6:$C$1000,$B98)</f>
        <v>0</v>
      </c>
      <c r="AD98" s="26">
        <f>SUMIFS(Verlauf!$AC$6:$AC$1000,Verlauf!$B$6:$B$1000,$A98,Verlauf!$C$6:$C$1000,$B98)</f>
        <v>0</v>
      </c>
      <c r="AE98" s="26">
        <f>SUMIFS(Verlauf!$S$6:$S$1000,Verlauf!$B$6:$B$1000,$A98,Verlauf!$C$6:$C$1000,$B98)</f>
        <v>0</v>
      </c>
      <c r="AF98" s="26" t="str">
        <f>IF($AN98="","",INDEX(Verlauf!$D$6:$D$1000,MATCH($AN98,Verlauf!$A$6:$A$1000,0)))</f>
        <v/>
      </c>
      <c r="AG98" s="26" t="str">
        <f>IF($AN98="","",INDEX(Verlauf!$E$6:$E$1000,MATCH($AN98,Verlauf!$A$6:$A$1000,0)))</f>
        <v/>
      </c>
      <c r="AH98" s="26" t="str">
        <f>IF($AN98="","",INDEX(Verlauf!$F$6:$F$1000,MATCH($AN98,Verlauf!$A$6:$A$1000,0)))</f>
        <v/>
      </c>
      <c r="AI98" s="26" t="str">
        <f>IF($AN98="","",INDEX(Verlauf!$H$6:$H$1000,MATCH($AN98,Verlauf!$A$6:$A$1000,0)))</f>
        <v/>
      </c>
      <c r="AJ98" s="26" t="str">
        <f>IF($AN98="","",INDEX(Verlauf!$N$6:$N$1000,MATCH($AN98,Verlauf!$A$6:$A$1000,0)))</f>
        <v/>
      </c>
      <c r="AK98" s="26" t="str">
        <f>IF($AN98="","",INDEX(Verlauf!$O$6:$O$1000,MATCH($AN98,Verlauf!$A$6:$A$1000,0)))</f>
        <v/>
      </c>
      <c r="AL98" s="26" t="str">
        <f>IF($AN98="","",INDEX(Verlauf!$P$6:$P$1000,MATCH($AN98,Verlauf!$A$6:$A$1000,0)))</f>
        <v/>
      </c>
      <c r="AM98" s="26" t="str">
        <f>IF($AN98="","",INDEX(Verlauf!$R$6:$R$1000,MATCH($AN98,Verlauf!$A$6:$A$1000,0)))</f>
        <v/>
      </c>
      <c r="AN98" s="28" t="str">
        <f>IF(U98&gt;0,_xlfn.MAXIFS(Verlauf!$A$6:$A$1000,Verlauf!$B$6:$B$1000,$A98,Verlauf!$C$6:$C$1000,$B98),"")</f>
        <v/>
      </c>
    </row>
    <row r="99" spans="1:40" x14ac:dyDescent="0.25">
      <c r="A99" s="26">
        <v>2028</v>
      </c>
      <c r="B99" s="26">
        <v>18</v>
      </c>
      <c r="C99" s="7" t="str">
        <f t="shared" si="10"/>
        <v>KW 18/28</v>
      </c>
      <c r="D99" s="26">
        <f>SUMIFS(Verlauf!$K$6:$K$1000,Verlauf!$B$6:$B$1000,$A99,Verlauf!$C$6:$C$1000,$B99)</f>
        <v>0</v>
      </c>
      <c r="E99" s="26">
        <f>SUMIFS(Verlauf!$L$6:$L$1000,Verlauf!$B$6:$B$1000,$A99,Verlauf!$C$6:$C$1000,$B99)</f>
        <v>0</v>
      </c>
      <c r="F99" s="26">
        <f>SUMIFS(Verlauf!$M$6:$M$1000,Verlauf!$B$6:$B$1000,$A99,Verlauf!$C$6:$C$1000,$B99)</f>
        <v>0</v>
      </c>
      <c r="G99" s="26">
        <f>SUMIFS(Verlauf!$J$6:$J$1000,Verlauf!$B$6:$B$1000,$A99,Verlauf!$C$6:$C$1000,$B99)</f>
        <v>0</v>
      </c>
      <c r="H99" s="26">
        <f>SUMIFS(Verlauf!$U$6:$U$1000,Verlauf!$B$6:$B$1000,$A99,Verlauf!$C$6:$C$1000,$B99)</f>
        <v>0</v>
      </c>
      <c r="I99" s="26">
        <f>SUMIFS(Verlauf!$V$6:$V$1000,Verlauf!$B$6:$B$1000,$A99,Verlauf!$C$6:$C$1000,$B99)</f>
        <v>0</v>
      </c>
      <c r="J99" s="26">
        <f>SUMIFS(Verlauf!$W$6:$W$1000,Verlauf!$B$6:$B$1000,$A99,Verlauf!$C$6:$C$1000,$B99)</f>
        <v>0</v>
      </c>
      <c r="K99" s="26">
        <f>SUMIFS(Verlauf!$T$6:$T$1000,Verlauf!$B$6:$B$1000,$A99,Verlauf!$C$6:$C$1000,$B99)</f>
        <v>0</v>
      </c>
      <c r="L99" s="27">
        <f>IF(Filter!$T$7=TRUE,IFERROR(INDEX(Planung!$D$68:$IA$68,MATCH($W99,Wirksam!$D$6:$IA$6,0)),0),0)</f>
        <v>0</v>
      </c>
      <c r="M99" s="27">
        <f>IF(OR(Filter!$T$5=TRUE,Filter!$T$6=TRUE),IFERROR(INDEX(Planung!$D$69:$IA$69,MATCH($W99,Wirksam!$D$6:$IA$6,0)),0),0)</f>
        <v>0</v>
      </c>
      <c r="N99" s="27">
        <f t="shared" si="11"/>
        <v>0</v>
      </c>
      <c r="O99" s="27" t="e">
        <f t="shared" si="12"/>
        <v>#N/A</v>
      </c>
      <c r="P99" s="27" t="e">
        <f t="shared" si="13"/>
        <v>#N/A</v>
      </c>
      <c r="Q99" s="27" t="e">
        <f t="shared" si="14"/>
        <v>#N/A</v>
      </c>
      <c r="R99" s="27" t="e">
        <f t="shared" si="15"/>
        <v>#N/A</v>
      </c>
      <c r="S99" s="27" t="e">
        <f t="shared" si="16"/>
        <v>#N/A</v>
      </c>
      <c r="T99" s="27" t="e">
        <f t="shared" si="17"/>
        <v>#N/A</v>
      </c>
      <c r="U99" s="26">
        <f>COUNTIFS(Verlauf!$B$6:$B$1000,$A99,Verlauf!$C$6:$C$1000,$B99)</f>
        <v>0</v>
      </c>
      <c r="V99" s="26">
        <f t="shared" si="18"/>
        <v>0</v>
      </c>
      <c r="W99" s="26">
        <f t="shared" si="19"/>
        <v>202818</v>
      </c>
      <c r="X99" s="26">
        <f>SUMIFS(Verlauf!$X$6:$X$1000,Verlauf!$B$6:$B$1000,$A99,Verlauf!$C$6:$C$1000,$B99)</f>
        <v>0</v>
      </c>
      <c r="Y99" s="26">
        <f>SUMIFS(Verlauf!$Y$6:$Y$1000,Verlauf!$B$6:$B$1000,$A99,Verlauf!$C$6:$C$1000,$B99)</f>
        <v>0</v>
      </c>
      <c r="Z99" s="26">
        <f>SUMIFS(Verlauf!$Z$6:$Z$1000,Verlauf!$B$6:$B$1000,$A99,Verlauf!$C$6:$C$1000,$B99)</f>
        <v>0</v>
      </c>
      <c r="AA99" s="26">
        <f>SUMIFS(Verlauf!$I$6:$I$1000,Verlauf!$B$6:$B$1000,$A99,Verlauf!$C$6:$C$1000,$B99)</f>
        <v>0</v>
      </c>
      <c r="AB99" s="26">
        <f>SUMIFS(Verlauf!$AA$6:$AA$1000,Verlauf!$B$6:$B$1000,$A99,Verlauf!$C$6:$C$1000,$B99)</f>
        <v>0</v>
      </c>
      <c r="AC99" s="26">
        <f>SUMIFS(Verlauf!$AB$6:$AB$1000,Verlauf!$B$6:$B$1000,$A99,Verlauf!$C$6:$C$1000,$B99)</f>
        <v>0</v>
      </c>
      <c r="AD99" s="26">
        <f>SUMIFS(Verlauf!$AC$6:$AC$1000,Verlauf!$B$6:$B$1000,$A99,Verlauf!$C$6:$C$1000,$B99)</f>
        <v>0</v>
      </c>
      <c r="AE99" s="26">
        <f>SUMIFS(Verlauf!$S$6:$S$1000,Verlauf!$B$6:$B$1000,$A99,Verlauf!$C$6:$C$1000,$B99)</f>
        <v>0</v>
      </c>
      <c r="AF99" s="26" t="str">
        <f>IF($AN99="","",INDEX(Verlauf!$D$6:$D$1000,MATCH($AN99,Verlauf!$A$6:$A$1000,0)))</f>
        <v/>
      </c>
      <c r="AG99" s="26" t="str">
        <f>IF($AN99="","",INDEX(Verlauf!$E$6:$E$1000,MATCH($AN99,Verlauf!$A$6:$A$1000,0)))</f>
        <v/>
      </c>
      <c r="AH99" s="26" t="str">
        <f>IF($AN99="","",INDEX(Verlauf!$F$6:$F$1000,MATCH($AN99,Verlauf!$A$6:$A$1000,0)))</f>
        <v/>
      </c>
      <c r="AI99" s="26" t="str">
        <f>IF($AN99="","",INDEX(Verlauf!$H$6:$H$1000,MATCH($AN99,Verlauf!$A$6:$A$1000,0)))</f>
        <v/>
      </c>
      <c r="AJ99" s="26" t="str">
        <f>IF($AN99="","",INDEX(Verlauf!$N$6:$N$1000,MATCH($AN99,Verlauf!$A$6:$A$1000,0)))</f>
        <v/>
      </c>
      <c r="AK99" s="26" t="str">
        <f>IF($AN99="","",INDEX(Verlauf!$O$6:$O$1000,MATCH($AN99,Verlauf!$A$6:$A$1000,0)))</f>
        <v/>
      </c>
      <c r="AL99" s="26" t="str">
        <f>IF($AN99="","",INDEX(Verlauf!$P$6:$P$1000,MATCH($AN99,Verlauf!$A$6:$A$1000,0)))</f>
        <v/>
      </c>
      <c r="AM99" s="26" t="str">
        <f>IF($AN99="","",INDEX(Verlauf!$R$6:$R$1000,MATCH($AN99,Verlauf!$A$6:$A$1000,0)))</f>
        <v/>
      </c>
      <c r="AN99" s="28" t="str">
        <f>IF(U99&gt;0,_xlfn.MAXIFS(Verlauf!$A$6:$A$1000,Verlauf!$B$6:$B$1000,$A99,Verlauf!$C$6:$C$1000,$B99),"")</f>
        <v/>
      </c>
    </row>
    <row r="100" spans="1:40" x14ac:dyDescent="0.25">
      <c r="A100" s="26">
        <v>2028</v>
      </c>
      <c r="B100" s="26">
        <v>19</v>
      </c>
      <c r="C100" s="7" t="str">
        <f t="shared" si="10"/>
        <v>KW 19/28</v>
      </c>
      <c r="D100" s="26">
        <f>SUMIFS(Verlauf!$K$6:$K$1000,Verlauf!$B$6:$B$1000,$A100,Verlauf!$C$6:$C$1000,$B100)</f>
        <v>0</v>
      </c>
      <c r="E100" s="26">
        <f>SUMIFS(Verlauf!$L$6:$L$1000,Verlauf!$B$6:$B$1000,$A100,Verlauf!$C$6:$C$1000,$B100)</f>
        <v>0</v>
      </c>
      <c r="F100" s="26">
        <f>SUMIFS(Verlauf!$M$6:$M$1000,Verlauf!$B$6:$B$1000,$A100,Verlauf!$C$6:$C$1000,$B100)</f>
        <v>0</v>
      </c>
      <c r="G100" s="26">
        <f>SUMIFS(Verlauf!$J$6:$J$1000,Verlauf!$B$6:$B$1000,$A100,Verlauf!$C$6:$C$1000,$B100)</f>
        <v>0</v>
      </c>
      <c r="H100" s="26">
        <f>SUMIFS(Verlauf!$U$6:$U$1000,Verlauf!$B$6:$B$1000,$A100,Verlauf!$C$6:$C$1000,$B100)</f>
        <v>0</v>
      </c>
      <c r="I100" s="26">
        <f>SUMIFS(Verlauf!$V$6:$V$1000,Verlauf!$B$6:$B$1000,$A100,Verlauf!$C$6:$C$1000,$B100)</f>
        <v>0</v>
      </c>
      <c r="J100" s="26">
        <f>SUMIFS(Verlauf!$W$6:$W$1000,Verlauf!$B$6:$B$1000,$A100,Verlauf!$C$6:$C$1000,$B100)</f>
        <v>0</v>
      </c>
      <c r="K100" s="26">
        <f>SUMIFS(Verlauf!$T$6:$T$1000,Verlauf!$B$6:$B$1000,$A100,Verlauf!$C$6:$C$1000,$B100)</f>
        <v>0</v>
      </c>
      <c r="L100" s="27">
        <f>IF(Filter!$T$7=TRUE,IFERROR(INDEX(Planung!$D$68:$IA$68,MATCH($W100,Wirksam!$D$6:$IA$6,0)),0),0)</f>
        <v>0</v>
      </c>
      <c r="M100" s="27">
        <f>IF(OR(Filter!$T$5=TRUE,Filter!$T$6=TRUE),IFERROR(INDEX(Planung!$D$69:$IA$69,MATCH($W100,Wirksam!$D$6:$IA$6,0)),0),0)</f>
        <v>0</v>
      </c>
      <c r="N100" s="27">
        <f t="shared" si="11"/>
        <v>0</v>
      </c>
      <c r="O100" s="27" t="e">
        <f t="shared" si="12"/>
        <v>#N/A</v>
      </c>
      <c r="P100" s="27" t="e">
        <f t="shared" si="13"/>
        <v>#N/A</v>
      </c>
      <c r="Q100" s="27" t="e">
        <f t="shared" si="14"/>
        <v>#N/A</v>
      </c>
      <c r="R100" s="27" t="e">
        <f t="shared" si="15"/>
        <v>#N/A</v>
      </c>
      <c r="S100" s="27" t="e">
        <f t="shared" si="16"/>
        <v>#N/A</v>
      </c>
      <c r="T100" s="27" t="e">
        <f t="shared" si="17"/>
        <v>#N/A</v>
      </c>
      <c r="U100" s="26">
        <f>COUNTIFS(Verlauf!$B$6:$B$1000,$A100,Verlauf!$C$6:$C$1000,$B100)</f>
        <v>0</v>
      </c>
      <c r="V100" s="26">
        <f t="shared" si="18"/>
        <v>0</v>
      </c>
      <c r="W100" s="26">
        <f t="shared" si="19"/>
        <v>202819</v>
      </c>
      <c r="X100" s="26">
        <f>SUMIFS(Verlauf!$X$6:$X$1000,Verlauf!$B$6:$B$1000,$A100,Verlauf!$C$6:$C$1000,$B100)</f>
        <v>0</v>
      </c>
      <c r="Y100" s="26">
        <f>SUMIFS(Verlauf!$Y$6:$Y$1000,Verlauf!$B$6:$B$1000,$A100,Verlauf!$C$6:$C$1000,$B100)</f>
        <v>0</v>
      </c>
      <c r="Z100" s="26">
        <f>SUMIFS(Verlauf!$Z$6:$Z$1000,Verlauf!$B$6:$B$1000,$A100,Verlauf!$C$6:$C$1000,$B100)</f>
        <v>0</v>
      </c>
      <c r="AA100" s="26">
        <f>SUMIFS(Verlauf!$I$6:$I$1000,Verlauf!$B$6:$B$1000,$A100,Verlauf!$C$6:$C$1000,$B100)</f>
        <v>0</v>
      </c>
      <c r="AB100" s="26">
        <f>SUMIFS(Verlauf!$AA$6:$AA$1000,Verlauf!$B$6:$B$1000,$A100,Verlauf!$C$6:$C$1000,$B100)</f>
        <v>0</v>
      </c>
      <c r="AC100" s="26">
        <f>SUMIFS(Verlauf!$AB$6:$AB$1000,Verlauf!$B$6:$B$1000,$A100,Verlauf!$C$6:$C$1000,$B100)</f>
        <v>0</v>
      </c>
      <c r="AD100" s="26">
        <f>SUMIFS(Verlauf!$AC$6:$AC$1000,Verlauf!$B$6:$B$1000,$A100,Verlauf!$C$6:$C$1000,$B100)</f>
        <v>0</v>
      </c>
      <c r="AE100" s="26">
        <f>SUMIFS(Verlauf!$S$6:$S$1000,Verlauf!$B$6:$B$1000,$A100,Verlauf!$C$6:$C$1000,$B100)</f>
        <v>0</v>
      </c>
      <c r="AF100" s="26" t="str">
        <f>IF($AN100="","",INDEX(Verlauf!$D$6:$D$1000,MATCH($AN100,Verlauf!$A$6:$A$1000,0)))</f>
        <v/>
      </c>
      <c r="AG100" s="26" t="str">
        <f>IF($AN100="","",INDEX(Verlauf!$E$6:$E$1000,MATCH($AN100,Verlauf!$A$6:$A$1000,0)))</f>
        <v/>
      </c>
      <c r="AH100" s="26" t="str">
        <f>IF($AN100="","",INDEX(Verlauf!$F$6:$F$1000,MATCH($AN100,Verlauf!$A$6:$A$1000,0)))</f>
        <v/>
      </c>
      <c r="AI100" s="26" t="str">
        <f>IF($AN100="","",INDEX(Verlauf!$H$6:$H$1000,MATCH($AN100,Verlauf!$A$6:$A$1000,0)))</f>
        <v/>
      </c>
      <c r="AJ100" s="26" t="str">
        <f>IF($AN100="","",INDEX(Verlauf!$N$6:$N$1000,MATCH($AN100,Verlauf!$A$6:$A$1000,0)))</f>
        <v/>
      </c>
      <c r="AK100" s="26" t="str">
        <f>IF($AN100="","",INDEX(Verlauf!$O$6:$O$1000,MATCH($AN100,Verlauf!$A$6:$A$1000,0)))</f>
        <v/>
      </c>
      <c r="AL100" s="26" t="str">
        <f>IF($AN100="","",INDEX(Verlauf!$P$6:$P$1000,MATCH($AN100,Verlauf!$A$6:$A$1000,0)))</f>
        <v/>
      </c>
      <c r="AM100" s="26" t="str">
        <f>IF($AN100="","",INDEX(Verlauf!$R$6:$R$1000,MATCH($AN100,Verlauf!$A$6:$A$1000,0)))</f>
        <v/>
      </c>
      <c r="AN100" s="28" t="str">
        <f>IF(U100&gt;0,_xlfn.MAXIFS(Verlauf!$A$6:$A$1000,Verlauf!$B$6:$B$1000,$A100,Verlauf!$C$6:$C$1000,$B100),"")</f>
        <v/>
      </c>
    </row>
    <row r="101" spans="1:40" x14ac:dyDescent="0.25">
      <c r="A101" s="26">
        <v>2028</v>
      </c>
      <c r="B101" s="26">
        <v>20</v>
      </c>
      <c r="C101" s="7" t="str">
        <f t="shared" si="10"/>
        <v>KW 20/28</v>
      </c>
      <c r="D101" s="26">
        <f>SUMIFS(Verlauf!$K$6:$K$1000,Verlauf!$B$6:$B$1000,$A101,Verlauf!$C$6:$C$1000,$B101)</f>
        <v>0</v>
      </c>
      <c r="E101" s="26">
        <f>SUMIFS(Verlauf!$L$6:$L$1000,Verlauf!$B$6:$B$1000,$A101,Verlauf!$C$6:$C$1000,$B101)</f>
        <v>0</v>
      </c>
      <c r="F101" s="26">
        <f>SUMIFS(Verlauf!$M$6:$M$1000,Verlauf!$B$6:$B$1000,$A101,Verlauf!$C$6:$C$1000,$B101)</f>
        <v>0</v>
      </c>
      <c r="G101" s="26">
        <f>SUMIFS(Verlauf!$J$6:$J$1000,Verlauf!$B$6:$B$1000,$A101,Verlauf!$C$6:$C$1000,$B101)</f>
        <v>0</v>
      </c>
      <c r="H101" s="26">
        <f>SUMIFS(Verlauf!$U$6:$U$1000,Verlauf!$B$6:$B$1000,$A101,Verlauf!$C$6:$C$1000,$B101)</f>
        <v>0</v>
      </c>
      <c r="I101" s="26">
        <f>SUMIFS(Verlauf!$V$6:$V$1000,Verlauf!$B$6:$B$1000,$A101,Verlauf!$C$6:$C$1000,$B101)</f>
        <v>0</v>
      </c>
      <c r="J101" s="26">
        <f>SUMIFS(Verlauf!$W$6:$W$1000,Verlauf!$B$6:$B$1000,$A101,Verlauf!$C$6:$C$1000,$B101)</f>
        <v>0</v>
      </c>
      <c r="K101" s="26">
        <f>SUMIFS(Verlauf!$T$6:$T$1000,Verlauf!$B$6:$B$1000,$A101,Verlauf!$C$6:$C$1000,$B101)</f>
        <v>0</v>
      </c>
      <c r="L101" s="27">
        <f>IF(Filter!$T$7=TRUE,IFERROR(INDEX(Planung!$D$68:$IA$68,MATCH($W101,Wirksam!$D$6:$IA$6,0)),0),0)</f>
        <v>0</v>
      </c>
      <c r="M101" s="27">
        <f>IF(OR(Filter!$T$5=TRUE,Filter!$T$6=TRUE),IFERROR(INDEX(Planung!$D$69:$IA$69,MATCH($W101,Wirksam!$D$6:$IA$6,0)),0),0)</f>
        <v>0</v>
      </c>
      <c r="N101" s="27">
        <f t="shared" si="11"/>
        <v>0</v>
      </c>
      <c r="O101" s="27" t="e">
        <f t="shared" si="12"/>
        <v>#N/A</v>
      </c>
      <c r="P101" s="27" t="e">
        <f t="shared" si="13"/>
        <v>#N/A</v>
      </c>
      <c r="Q101" s="27" t="e">
        <f t="shared" si="14"/>
        <v>#N/A</v>
      </c>
      <c r="R101" s="27" t="e">
        <f t="shared" si="15"/>
        <v>#N/A</v>
      </c>
      <c r="S101" s="27" t="e">
        <f t="shared" si="16"/>
        <v>#N/A</v>
      </c>
      <c r="T101" s="27" t="e">
        <f t="shared" si="17"/>
        <v>#N/A</v>
      </c>
      <c r="U101" s="26">
        <f>COUNTIFS(Verlauf!$B$6:$B$1000,$A101,Verlauf!$C$6:$C$1000,$B101)</f>
        <v>0</v>
      </c>
      <c r="V101" s="26">
        <f t="shared" si="18"/>
        <v>0</v>
      </c>
      <c r="W101" s="26">
        <f t="shared" si="19"/>
        <v>202820</v>
      </c>
      <c r="X101" s="26">
        <f>SUMIFS(Verlauf!$X$6:$X$1000,Verlauf!$B$6:$B$1000,$A101,Verlauf!$C$6:$C$1000,$B101)</f>
        <v>0</v>
      </c>
      <c r="Y101" s="26">
        <f>SUMIFS(Verlauf!$Y$6:$Y$1000,Verlauf!$B$6:$B$1000,$A101,Verlauf!$C$6:$C$1000,$B101)</f>
        <v>0</v>
      </c>
      <c r="Z101" s="26">
        <f>SUMIFS(Verlauf!$Z$6:$Z$1000,Verlauf!$B$6:$B$1000,$A101,Verlauf!$C$6:$C$1000,$B101)</f>
        <v>0</v>
      </c>
      <c r="AA101" s="26">
        <f>SUMIFS(Verlauf!$I$6:$I$1000,Verlauf!$B$6:$B$1000,$A101,Verlauf!$C$6:$C$1000,$B101)</f>
        <v>0</v>
      </c>
      <c r="AB101" s="26">
        <f>SUMIFS(Verlauf!$AA$6:$AA$1000,Verlauf!$B$6:$B$1000,$A101,Verlauf!$C$6:$C$1000,$B101)</f>
        <v>0</v>
      </c>
      <c r="AC101" s="26">
        <f>SUMIFS(Verlauf!$AB$6:$AB$1000,Verlauf!$B$6:$B$1000,$A101,Verlauf!$C$6:$C$1000,$B101)</f>
        <v>0</v>
      </c>
      <c r="AD101" s="26">
        <f>SUMIFS(Verlauf!$AC$6:$AC$1000,Verlauf!$B$6:$B$1000,$A101,Verlauf!$C$6:$C$1000,$B101)</f>
        <v>0</v>
      </c>
      <c r="AE101" s="26">
        <f>SUMIFS(Verlauf!$S$6:$S$1000,Verlauf!$B$6:$B$1000,$A101,Verlauf!$C$6:$C$1000,$B101)</f>
        <v>0</v>
      </c>
      <c r="AF101" s="26" t="str">
        <f>IF($AN101="","",INDEX(Verlauf!$D$6:$D$1000,MATCH($AN101,Verlauf!$A$6:$A$1000,0)))</f>
        <v/>
      </c>
      <c r="AG101" s="26" t="str">
        <f>IF($AN101="","",INDEX(Verlauf!$E$6:$E$1000,MATCH($AN101,Verlauf!$A$6:$A$1000,0)))</f>
        <v/>
      </c>
      <c r="AH101" s="26" t="str">
        <f>IF($AN101="","",INDEX(Verlauf!$F$6:$F$1000,MATCH($AN101,Verlauf!$A$6:$A$1000,0)))</f>
        <v/>
      </c>
      <c r="AI101" s="26" t="str">
        <f>IF($AN101="","",INDEX(Verlauf!$H$6:$H$1000,MATCH($AN101,Verlauf!$A$6:$A$1000,0)))</f>
        <v/>
      </c>
      <c r="AJ101" s="26" t="str">
        <f>IF($AN101="","",INDEX(Verlauf!$N$6:$N$1000,MATCH($AN101,Verlauf!$A$6:$A$1000,0)))</f>
        <v/>
      </c>
      <c r="AK101" s="26" t="str">
        <f>IF($AN101="","",INDEX(Verlauf!$O$6:$O$1000,MATCH($AN101,Verlauf!$A$6:$A$1000,0)))</f>
        <v/>
      </c>
      <c r="AL101" s="26" t="str">
        <f>IF($AN101="","",INDEX(Verlauf!$P$6:$P$1000,MATCH($AN101,Verlauf!$A$6:$A$1000,0)))</f>
        <v/>
      </c>
      <c r="AM101" s="26" t="str">
        <f>IF($AN101="","",INDEX(Verlauf!$R$6:$R$1000,MATCH($AN101,Verlauf!$A$6:$A$1000,0)))</f>
        <v/>
      </c>
      <c r="AN101" s="28" t="str">
        <f>IF(U101&gt;0,_xlfn.MAXIFS(Verlauf!$A$6:$A$1000,Verlauf!$B$6:$B$1000,$A101,Verlauf!$C$6:$C$1000,$B101),"")</f>
        <v/>
      </c>
    </row>
    <row r="102" spans="1:40" x14ac:dyDescent="0.25">
      <c r="A102" s="26">
        <v>2028</v>
      </c>
      <c r="B102" s="26">
        <v>21</v>
      </c>
      <c r="C102" s="7" t="str">
        <f t="shared" si="10"/>
        <v>KW 21/28</v>
      </c>
      <c r="D102" s="26">
        <f>SUMIFS(Verlauf!$K$6:$K$1000,Verlauf!$B$6:$B$1000,$A102,Verlauf!$C$6:$C$1000,$B102)</f>
        <v>0</v>
      </c>
      <c r="E102" s="26">
        <f>SUMIFS(Verlauf!$L$6:$L$1000,Verlauf!$B$6:$B$1000,$A102,Verlauf!$C$6:$C$1000,$B102)</f>
        <v>0</v>
      </c>
      <c r="F102" s="26">
        <f>SUMIFS(Verlauf!$M$6:$M$1000,Verlauf!$B$6:$B$1000,$A102,Verlauf!$C$6:$C$1000,$B102)</f>
        <v>0</v>
      </c>
      <c r="G102" s="26">
        <f>SUMIFS(Verlauf!$J$6:$J$1000,Verlauf!$B$6:$B$1000,$A102,Verlauf!$C$6:$C$1000,$B102)</f>
        <v>0</v>
      </c>
      <c r="H102" s="26">
        <f>SUMIFS(Verlauf!$U$6:$U$1000,Verlauf!$B$6:$B$1000,$A102,Verlauf!$C$6:$C$1000,$B102)</f>
        <v>0</v>
      </c>
      <c r="I102" s="26">
        <f>SUMIFS(Verlauf!$V$6:$V$1000,Verlauf!$B$6:$B$1000,$A102,Verlauf!$C$6:$C$1000,$B102)</f>
        <v>0</v>
      </c>
      <c r="J102" s="26">
        <f>SUMIFS(Verlauf!$W$6:$W$1000,Verlauf!$B$6:$B$1000,$A102,Verlauf!$C$6:$C$1000,$B102)</f>
        <v>0</v>
      </c>
      <c r="K102" s="26">
        <f>SUMIFS(Verlauf!$T$6:$T$1000,Verlauf!$B$6:$B$1000,$A102,Verlauf!$C$6:$C$1000,$B102)</f>
        <v>0</v>
      </c>
      <c r="L102" s="27">
        <f>IF(Filter!$T$7=TRUE,IFERROR(INDEX(Planung!$D$68:$IA$68,MATCH($W102,Wirksam!$D$6:$IA$6,0)),0),0)</f>
        <v>0</v>
      </c>
      <c r="M102" s="27">
        <f>IF(OR(Filter!$T$5=TRUE,Filter!$T$6=TRUE),IFERROR(INDEX(Planung!$D$69:$IA$69,MATCH($W102,Wirksam!$D$6:$IA$6,0)),0),0)</f>
        <v>0</v>
      </c>
      <c r="N102" s="27">
        <f t="shared" si="11"/>
        <v>0</v>
      </c>
      <c r="O102" s="27" t="e">
        <f t="shared" si="12"/>
        <v>#N/A</v>
      </c>
      <c r="P102" s="27" t="e">
        <f t="shared" si="13"/>
        <v>#N/A</v>
      </c>
      <c r="Q102" s="27" t="e">
        <f t="shared" si="14"/>
        <v>#N/A</v>
      </c>
      <c r="R102" s="27" t="e">
        <f t="shared" si="15"/>
        <v>#N/A</v>
      </c>
      <c r="S102" s="27" t="e">
        <f t="shared" si="16"/>
        <v>#N/A</v>
      </c>
      <c r="T102" s="27" t="e">
        <f t="shared" si="17"/>
        <v>#N/A</v>
      </c>
      <c r="U102" s="26">
        <f>COUNTIFS(Verlauf!$B$6:$B$1000,$A102,Verlauf!$C$6:$C$1000,$B102)</f>
        <v>0</v>
      </c>
      <c r="V102" s="26">
        <f t="shared" si="18"/>
        <v>0</v>
      </c>
      <c r="W102" s="26">
        <f t="shared" si="19"/>
        <v>202821</v>
      </c>
      <c r="X102" s="26">
        <f>SUMIFS(Verlauf!$X$6:$X$1000,Verlauf!$B$6:$B$1000,$A102,Verlauf!$C$6:$C$1000,$B102)</f>
        <v>0</v>
      </c>
      <c r="Y102" s="26">
        <f>SUMIFS(Verlauf!$Y$6:$Y$1000,Verlauf!$B$6:$B$1000,$A102,Verlauf!$C$6:$C$1000,$B102)</f>
        <v>0</v>
      </c>
      <c r="Z102" s="26">
        <f>SUMIFS(Verlauf!$Z$6:$Z$1000,Verlauf!$B$6:$B$1000,$A102,Verlauf!$C$6:$C$1000,$B102)</f>
        <v>0</v>
      </c>
      <c r="AA102" s="26">
        <f>SUMIFS(Verlauf!$I$6:$I$1000,Verlauf!$B$6:$B$1000,$A102,Verlauf!$C$6:$C$1000,$B102)</f>
        <v>0</v>
      </c>
      <c r="AB102" s="26">
        <f>SUMIFS(Verlauf!$AA$6:$AA$1000,Verlauf!$B$6:$B$1000,$A102,Verlauf!$C$6:$C$1000,$B102)</f>
        <v>0</v>
      </c>
      <c r="AC102" s="26">
        <f>SUMIFS(Verlauf!$AB$6:$AB$1000,Verlauf!$B$6:$B$1000,$A102,Verlauf!$C$6:$C$1000,$B102)</f>
        <v>0</v>
      </c>
      <c r="AD102" s="26">
        <f>SUMIFS(Verlauf!$AC$6:$AC$1000,Verlauf!$B$6:$B$1000,$A102,Verlauf!$C$6:$C$1000,$B102)</f>
        <v>0</v>
      </c>
      <c r="AE102" s="26">
        <f>SUMIFS(Verlauf!$S$6:$S$1000,Verlauf!$B$6:$B$1000,$A102,Verlauf!$C$6:$C$1000,$B102)</f>
        <v>0</v>
      </c>
      <c r="AF102" s="26" t="str">
        <f>IF($AN102="","",INDEX(Verlauf!$D$6:$D$1000,MATCH($AN102,Verlauf!$A$6:$A$1000,0)))</f>
        <v/>
      </c>
      <c r="AG102" s="26" t="str">
        <f>IF($AN102="","",INDEX(Verlauf!$E$6:$E$1000,MATCH($AN102,Verlauf!$A$6:$A$1000,0)))</f>
        <v/>
      </c>
      <c r="AH102" s="26" t="str">
        <f>IF($AN102="","",INDEX(Verlauf!$F$6:$F$1000,MATCH($AN102,Verlauf!$A$6:$A$1000,0)))</f>
        <v/>
      </c>
      <c r="AI102" s="26" t="str">
        <f>IF($AN102="","",INDEX(Verlauf!$H$6:$H$1000,MATCH($AN102,Verlauf!$A$6:$A$1000,0)))</f>
        <v/>
      </c>
      <c r="AJ102" s="26" t="str">
        <f>IF($AN102="","",INDEX(Verlauf!$N$6:$N$1000,MATCH($AN102,Verlauf!$A$6:$A$1000,0)))</f>
        <v/>
      </c>
      <c r="AK102" s="26" t="str">
        <f>IF($AN102="","",INDEX(Verlauf!$O$6:$O$1000,MATCH($AN102,Verlauf!$A$6:$A$1000,0)))</f>
        <v/>
      </c>
      <c r="AL102" s="26" t="str">
        <f>IF($AN102="","",INDEX(Verlauf!$P$6:$P$1000,MATCH($AN102,Verlauf!$A$6:$A$1000,0)))</f>
        <v/>
      </c>
      <c r="AM102" s="26" t="str">
        <f>IF($AN102="","",INDEX(Verlauf!$R$6:$R$1000,MATCH($AN102,Verlauf!$A$6:$A$1000,0)))</f>
        <v/>
      </c>
      <c r="AN102" s="28" t="str">
        <f>IF(U102&gt;0,_xlfn.MAXIFS(Verlauf!$A$6:$A$1000,Verlauf!$B$6:$B$1000,$A102,Verlauf!$C$6:$C$1000,$B102),"")</f>
        <v/>
      </c>
    </row>
    <row r="103" spans="1:40" x14ac:dyDescent="0.25">
      <c r="A103" s="26">
        <v>2028</v>
      </c>
      <c r="B103" s="26">
        <v>22</v>
      </c>
      <c r="C103" s="7" t="str">
        <f t="shared" si="10"/>
        <v>KW 22/28</v>
      </c>
      <c r="D103" s="26">
        <f>SUMIFS(Verlauf!$K$6:$K$1000,Verlauf!$B$6:$B$1000,$A103,Verlauf!$C$6:$C$1000,$B103)</f>
        <v>0</v>
      </c>
      <c r="E103" s="26">
        <f>SUMIFS(Verlauf!$L$6:$L$1000,Verlauf!$B$6:$B$1000,$A103,Verlauf!$C$6:$C$1000,$B103)</f>
        <v>0</v>
      </c>
      <c r="F103" s="26">
        <f>SUMIFS(Verlauf!$M$6:$M$1000,Verlauf!$B$6:$B$1000,$A103,Verlauf!$C$6:$C$1000,$B103)</f>
        <v>0</v>
      </c>
      <c r="G103" s="26">
        <f>SUMIFS(Verlauf!$J$6:$J$1000,Verlauf!$B$6:$B$1000,$A103,Verlauf!$C$6:$C$1000,$B103)</f>
        <v>0</v>
      </c>
      <c r="H103" s="26">
        <f>SUMIFS(Verlauf!$U$6:$U$1000,Verlauf!$B$6:$B$1000,$A103,Verlauf!$C$6:$C$1000,$B103)</f>
        <v>0</v>
      </c>
      <c r="I103" s="26">
        <f>SUMIFS(Verlauf!$V$6:$V$1000,Verlauf!$B$6:$B$1000,$A103,Verlauf!$C$6:$C$1000,$B103)</f>
        <v>0</v>
      </c>
      <c r="J103" s="26">
        <f>SUMIFS(Verlauf!$W$6:$W$1000,Verlauf!$B$6:$B$1000,$A103,Verlauf!$C$6:$C$1000,$B103)</f>
        <v>0</v>
      </c>
      <c r="K103" s="26">
        <f>SUMIFS(Verlauf!$T$6:$T$1000,Verlauf!$B$6:$B$1000,$A103,Verlauf!$C$6:$C$1000,$B103)</f>
        <v>0</v>
      </c>
      <c r="L103" s="27">
        <f>IF(Filter!$T$7=TRUE,IFERROR(INDEX(Planung!$D$68:$IA$68,MATCH($W103,Wirksam!$D$6:$IA$6,0)),0),0)</f>
        <v>0</v>
      </c>
      <c r="M103" s="27">
        <f>IF(OR(Filter!$T$5=TRUE,Filter!$T$6=TRUE),IFERROR(INDEX(Planung!$D$69:$IA$69,MATCH($W103,Wirksam!$D$6:$IA$6,0)),0),0)</f>
        <v>0</v>
      </c>
      <c r="N103" s="27">
        <f t="shared" si="11"/>
        <v>0</v>
      </c>
      <c r="O103" s="27" t="e">
        <f t="shared" si="12"/>
        <v>#N/A</v>
      </c>
      <c r="P103" s="27" t="e">
        <f t="shared" si="13"/>
        <v>#N/A</v>
      </c>
      <c r="Q103" s="27" t="e">
        <f t="shared" si="14"/>
        <v>#N/A</v>
      </c>
      <c r="R103" s="27" t="e">
        <f t="shared" si="15"/>
        <v>#N/A</v>
      </c>
      <c r="S103" s="27" t="e">
        <f t="shared" si="16"/>
        <v>#N/A</v>
      </c>
      <c r="T103" s="27" t="e">
        <f t="shared" si="17"/>
        <v>#N/A</v>
      </c>
      <c r="U103" s="26">
        <f>COUNTIFS(Verlauf!$B$6:$B$1000,$A103,Verlauf!$C$6:$C$1000,$B103)</f>
        <v>0</v>
      </c>
      <c r="V103" s="26">
        <f t="shared" si="18"/>
        <v>0</v>
      </c>
      <c r="W103" s="26">
        <f t="shared" si="19"/>
        <v>202822</v>
      </c>
      <c r="X103" s="26">
        <f>SUMIFS(Verlauf!$X$6:$X$1000,Verlauf!$B$6:$B$1000,$A103,Verlauf!$C$6:$C$1000,$B103)</f>
        <v>0</v>
      </c>
      <c r="Y103" s="26">
        <f>SUMIFS(Verlauf!$Y$6:$Y$1000,Verlauf!$B$6:$B$1000,$A103,Verlauf!$C$6:$C$1000,$B103)</f>
        <v>0</v>
      </c>
      <c r="Z103" s="26">
        <f>SUMIFS(Verlauf!$Z$6:$Z$1000,Verlauf!$B$6:$B$1000,$A103,Verlauf!$C$6:$C$1000,$B103)</f>
        <v>0</v>
      </c>
      <c r="AA103" s="26">
        <f>SUMIFS(Verlauf!$I$6:$I$1000,Verlauf!$B$6:$B$1000,$A103,Verlauf!$C$6:$C$1000,$B103)</f>
        <v>0</v>
      </c>
      <c r="AB103" s="26">
        <f>SUMIFS(Verlauf!$AA$6:$AA$1000,Verlauf!$B$6:$B$1000,$A103,Verlauf!$C$6:$C$1000,$B103)</f>
        <v>0</v>
      </c>
      <c r="AC103" s="26">
        <f>SUMIFS(Verlauf!$AB$6:$AB$1000,Verlauf!$B$6:$B$1000,$A103,Verlauf!$C$6:$C$1000,$B103)</f>
        <v>0</v>
      </c>
      <c r="AD103" s="26">
        <f>SUMIFS(Verlauf!$AC$6:$AC$1000,Verlauf!$B$6:$B$1000,$A103,Verlauf!$C$6:$C$1000,$B103)</f>
        <v>0</v>
      </c>
      <c r="AE103" s="26">
        <f>SUMIFS(Verlauf!$S$6:$S$1000,Verlauf!$B$6:$B$1000,$A103,Verlauf!$C$6:$C$1000,$B103)</f>
        <v>0</v>
      </c>
      <c r="AF103" s="26" t="str">
        <f>IF($AN103="","",INDEX(Verlauf!$D$6:$D$1000,MATCH($AN103,Verlauf!$A$6:$A$1000,0)))</f>
        <v/>
      </c>
      <c r="AG103" s="26" t="str">
        <f>IF($AN103="","",INDEX(Verlauf!$E$6:$E$1000,MATCH($AN103,Verlauf!$A$6:$A$1000,0)))</f>
        <v/>
      </c>
      <c r="AH103" s="26" t="str">
        <f>IF($AN103="","",INDEX(Verlauf!$F$6:$F$1000,MATCH($AN103,Verlauf!$A$6:$A$1000,0)))</f>
        <v/>
      </c>
      <c r="AI103" s="26" t="str">
        <f>IF($AN103="","",INDEX(Verlauf!$H$6:$H$1000,MATCH($AN103,Verlauf!$A$6:$A$1000,0)))</f>
        <v/>
      </c>
      <c r="AJ103" s="26" t="str">
        <f>IF($AN103="","",INDEX(Verlauf!$N$6:$N$1000,MATCH($AN103,Verlauf!$A$6:$A$1000,0)))</f>
        <v/>
      </c>
      <c r="AK103" s="26" t="str">
        <f>IF($AN103="","",INDEX(Verlauf!$O$6:$O$1000,MATCH($AN103,Verlauf!$A$6:$A$1000,0)))</f>
        <v/>
      </c>
      <c r="AL103" s="26" t="str">
        <f>IF($AN103="","",INDEX(Verlauf!$P$6:$P$1000,MATCH($AN103,Verlauf!$A$6:$A$1000,0)))</f>
        <v/>
      </c>
      <c r="AM103" s="26" t="str">
        <f>IF($AN103="","",INDEX(Verlauf!$R$6:$R$1000,MATCH($AN103,Verlauf!$A$6:$A$1000,0)))</f>
        <v/>
      </c>
      <c r="AN103" s="28" t="str">
        <f>IF(U103&gt;0,_xlfn.MAXIFS(Verlauf!$A$6:$A$1000,Verlauf!$B$6:$B$1000,$A103,Verlauf!$C$6:$C$1000,$B103),"")</f>
        <v/>
      </c>
    </row>
    <row r="104" spans="1:40" x14ac:dyDescent="0.25">
      <c r="A104" s="26">
        <v>2028</v>
      </c>
      <c r="B104" s="26">
        <v>23</v>
      </c>
      <c r="C104" s="7" t="str">
        <f t="shared" si="10"/>
        <v>KW 23/28</v>
      </c>
      <c r="D104" s="26">
        <f>SUMIFS(Verlauf!$K$6:$K$1000,Verlauf!$B$6:$B$1000,$A104,Verlauf!$C$6:$C$1000,$B104)</f>
        <v>0</v>
      </c>
      <c r="E104" s="26">
        <f>SUMIFS(Verlauf!$L$6:$L$1000,Verlauf!$B$6:$B$1000,$A104,Verlauf!$C$6:$C$1000,$B104)</f>
        <v>0</v>
      </c>
      <c r="F104" s="26">
        <f>SUMIFS(Verlauf!$M$6:$M$1000,Verlauf!$B$6:$B$1000,$A104,Verlauf!$C$6:$C$1000,$B104)</f>
        <v>0</v>
      </c>
      <c r="G104" s="26">
        <f>SUMIFS(Verlauf!$J$6:$J$1000,Verlauf!$B$6:$B$1000,$A104,Verlauf!$C$6:$C$1000,$B104)</f>
        <v>0</v>
      </c>
      <c r="H104" s="26">
        <f>SUMIFS(Verlauf!$U$6:$U$1000,Verlauf!$B$6:$B$1000,$A104,Verlauf!$C$6:$C$1000,$B104)</f>
        <v>0</v>
      </c>
      <c r="I104" s="26">
        <f>SUMIFS(Verlauf!$V$6:$V$1000,Verlauf!$B$6:$B$1000,$A104,Verlauf!$C$6:$C$1000,$B104)</f>
        <v>0</v>
      </c>
      <c r="J104" s="26">
        <f>SUMIFS(Verlauf!$W$6:$W$1000,Verlauf!$B$6:$B$1000,$A104,Verlauf!$C$6:$C$1000,$B104)</f>
        <v>0</v>
      </c>
      <c r="K104" s="26">
        <f>SUMIFS(Verlauf!$T$6:$T$1000,Verlauf!$B$6:$B$1000,$A104,Verlauf!$C$6:$C$1000,$B104)</f>
        <v>0</v>
      </c>
      <c r="L104" s="27">
        <f>IF(Filter!$T$7=TRUE,IFERROR(INDEX(Planung!$D$68:$IA$68,MATCH($W104,Wirksam!$D$6:$IA$6,0)),0),0)</f>
        <v>0</v>
      </c>
      <c r="M104" s="27">
        <f>IF(OR(Filter!$T$5=TRUE,Filter!$T$6=TRUE),IFERROR(INDEX(Planung!$D$69:$IA$69,MATCH($W104,Wirksam!$D$6:$IA$6,0)),0),0)</f>
        <v>0</v>
      </c>
      <c r="N104" s="27">
        <f t="shared" si="11"/>
        <v>0</v>
      </c>
      <c r="O104" s="27" t="e">
        <f t="shared" si="12"/>
        <v>#N/A</v>
      </c>
      <c r="P104" s="27" t="e">
        <f t="shared" si="13"/>
        <v>#N/A</v>
      </c>
      <c r="Q104" s="27" t="e">
        <f t="shared" si="14"/>
        <v>#N/A</v>
      </c>
      <c r="R104" s="27" t="e">
        <f t="shared" si="15"/>
        <v>#N/A</v>
      </c>
      <c r="S104" s="27" t="e">
        <f t="shared" si="16"/>
        <v>#N/A</v>
      </c>
      <c r="T104" s="27" t="e">
        <f t="shared" si="17"/>
        <v>#N/A</v>
      </c>
      <c r="U104" s="26">
        <f>COUNTIFS(Verlauf!$B$6:$B$1000,$A104,Verlauf!$C$6:$C$1000,$B104)</f>
        <v>0</v>
      </c>
      <c r="V104" s="26">
        <f t="shared" si="18"/>
        <v>0</v>
      </c>
      <c r="W104" s="26">
        <f t="shared" si="19"/>
        <v>202823</v>
      </c>
      <c r="X104" s="26">
        <f>SUMIFS(Verlauf!$X$6:$X$1000,Verlauf!$B$6:$B$1000,$A104,Verlauf!$C$6:$C$1000,$B104)</f>
        <v>0</v>
      </c>
      <c r="Y104" s="26">
        <f>SUMIFS(Verlauf!$Y$6:$Y$1000,Verlauf!$B$6:$B$1000,$A104,Verlauf!$C$6:$C$1000,$B104)</f>
        <v>0</v>
      </c>
      <c r="Z104" s="26">
        <f>SUMIFS(Verlauf!$Z$6:$Z$1000,Verlauf!$B$6:$B$1000,$A104,Verlauf!$C$6:$C$1000,$B104)</f>
        <v>0</v>
      </c>
      <c r="AA104" s="26">
        <f>SUMIFS(Verlauf!$I$6:$I$1000,Verlauf!$B$6:$B$1000,$A104,Verlauf!$C$6:$C$1000,$B104)</f>
        <v>0</v>
      </c>
      <c r="AB104" s="26">
        <f>SUMIFS(Verlauf!$AA$6:$AA$1000,Verlauf!$B$6:$B$1000,$A104,Verlauf!$C$6:$C$1000,$B104)</f>
        <v>0</v>
      </c>
      <c r="AC104" s="26">
        <f>SUMIFS(Verlauf!$AB$6:$AB$1000,Verlauf!$B$6:$B$1000,$A104,Verlauf!$C$6:$C$1000,$B104)</f>
        <v>0</v>
      </c>
      <c r="AD104" s="26">
        <f>SUMIFS(Verlauf!$AC$6:$AC$1000,Verlauf!$B$6:$B$1000,$A104,Verlauf!$C$6:$C$1000,$B104)</f>
        <v>0</v>
      </c>
      <c r="AE104" s="26">
        <f>SUMIFS(Verlauf!$S$6:$S$1000,Verlauf!$B$6:$B$1000,$A104,Verlauf!$C$6:$C$1000,$B104)</f>
        <v>0</v>
      </c>
      <c r="AF104" s="26" t="str">
        <f>IF($AN104="","",INDEX(Verlauf!$D$6:$D$1000,MATCH($AN104,Verlauf!$A$6:$A$1000,0)))</f>
        <v/>
      </c>
      <c r="AG104" s="26" t="str">
        <f>IF($AN104="","",INDEX(Verlauf!$E$6:$E$1000,MATCH($AN104,Verlauf!$A$6:$A$1000,0)))</f>
        <v/>
      </c>
      <c r="AH104" s="26" t="str">
        <f>IF($AN104="","",INDEX(Verlauf!$F$6:$F$1000,MATCH($AN104,Verlauf!$A$6:$A$1000,0)))</f>
        <v/>
      </c>
      <c r="AI104" s="26" t="str">
        <f>IF($AN104="","",INDEX(Verlauf!$H$6:$H$1000,MATCH($AN104,Verlauf!$A$6:$A$1000,0)))</f>
        <v/>
      </c>
      <c r="AJ104" s="26" t="str">
        <f>IF($AN104="","",INDEX(Verlauf!$N$6:$N$1000,MATCH($AN104,Verlauf!$A$6:$A$1000,0)))</f>
        <v/>
      </c>
      <c r="AK104" s="26" t="str">
        <f>IF($AN104="","",INDEX(Verlauf!$O$6:$O$1000,MATCH($AN104,Verlauf!$A$6:$A$1000,0)))</f>
        <v/>
      </c>
      <c r="AL104" s="26" t="str">
        <f>IF($AN104="","",INDEX(Verlauf!$P$6:$P$1000,MATCH($AN104,Verlauf!$A$6:$A$1000,0)))</f>
        <v/>
      </c>
      <c r="AM104" s="26" t="str">
        <f>IF($AN104="","",INDEX(Verlauf!$R$6:$R$1000,MATCH($AN104,Verlauf!$A$6:$A$1000,0)))</f>
        <v/>
      </c>
      <c r="AN104" s="28" t="str">
        <f>IF(U104&gt;0,_xlfn.MAXIFS(Verlauf!$A$6:$A$1000,Verlauf!$B$6:$B$1000,$A104,Verlauf!$C$6:$C$1000,$B104),"")</f>
        <v/>
      </c>
    </row>
    <row r="105" spans="1:40" x14ac:dyDescent="0.25">
      <c r="A105" s="26">
        <v>2028</v>
      </c>
      <c r="B105" s="26">
        <v>24</v>
      </c>
      <c r="C105" s="7" t="str">
        <f t="shared" si="10"/>
        <v>KW 24/28</v>
      </c>
      <c r="D105" s="26">
        <f>SUMIFS(Verlauf!$K$6:$K$1000,Verlauf!$B$6:$B$1000,$A105,Verlauf!$C$6:$C$1000,$B105)</f>
        <v>0</v>
      </c>
      <c r="E105" s="26">
        <f>SUMIFS(Verlauf!$L$6:$L$1000,Verlauf!$B$6:$B$1000,$A105,Verlauf!$C$6:$C$1000,$B105)</f>
        <v>0</v>
      </c>
      <c r="F105" s="26">
        <f>SUMIFS(Verlauf!$M$6:$M$1000,Verlauf!$B$6:$B$1000,$A105,Verlauf!$C$6:$C$1000,$B105)</f>
        <v>0</v>
      </c>
      <c r="G105" s="26">
        <f>SUMIFS(Verlauf!$J$6:$J$1000,Verlauf!$B$6:$B$1000,$A105,Verlauf!$C$6:$C$1000,$B105)</f>
        <v>0</v>
      </c>
      <c r="H105" s="26">
        <f>SUMIFS(Verlauf!$U$6:$U$1000,Verlauf!$B$6:$B$1000,$A105,Verlauf!$C$6:$C$1000,$B105)</f>
        <v>0</v>
      </c>
      <c r="I105" s="26">
        <f>SUMIFS(Verlauf!$V$6:$V$1000,Verlauf!$B$6:$B$1000,$A105,Verlauf!$C$6:$C$1000,$B105)</f>
        <v>0</v>
      </c>
      <c r="J105" s="26">
        <f>SUMIFS(Verlauf!$W$6:$W$1000,Verlauf!$B$6:$B$1000,$A105,Verlauf!$C$6:$C$1000,$B105)</f>
        <v>0</v>
      </c>
      <c r="K105" s="26">
        <f>SUMIFS(Verlauf!$T$6:$T$1000,Verlauf!$B$6:$B$1000,$A105,Verlauf!$C$6:$C$1000,$B105)</f>
        <v>0</v>
      </c>
      <c r="L105" s="27">
        <f>IF(Filter!$T$7=TRUE,IFERROR(INDEX(Planung!$D$68:$IA$68,MATCH($W105,Wirksam!$D$6:$IA$6,0)),0),0)</f>
        <v>0</v>
      </c>
      <c r="M105" s="27">
        <f>IF(OR(Filter!$T$5=TRUE,Filter!$T$6=TRUE),IFERROR(INDEX(Planung!$D$69:$IA$69,MATCH($W105,Wirksam!$D$6:$IA$6,0)),0),0)</f>
        <v>0</v>
      </c>
      <c r="N105" s="27">
        <f t="shared" si="11"/>
        <v>0</v>
      </c>
      <c r="O105" s="27" t="e">
        <f t="shared" si="12"/>
        <v>#N/A</v>
      </c>
      <c r="P105" s="27" t="e">
        <f t="shared" si="13"/>
        <v>#N/A</v>
      </c>
      <c r="Q105" s="27" t="e">
        <f t="shared" si="14"/>
        <v>#N/A</v>
      </c>
      <c r="R105" s="27" t="e">
        <f t="shared" si="15"/>
        <v>#N/A</v>
      </c>
      <c r="S105" s="27" t="e">
        <f t="shared" si="16"/>
        <v>#N/A</v>
      </c>
      <c r="T105" s="27" t="e">
        <f t="shared" si="17"/>
        <v>#N/A</v>
      </c>
      <c r="U105" s="26">
        <f>COUNTIFS(Verlauf!$B$6:$B$1000,$A105,Verlauf!$C$6:$C$1000,$B105)</f>
        <v>0</v>
      </c>
      <c r="V105" s="26">
        <f t="shared" si="18"/>
        <v>0</v>
      </c>
      <c r="W105" s="26">
        <f t="shared" si="19"/>
        <v>202824</v>
      </c>
      <c r="X105" s="26">
        <f>SUMIFS(Verlauf!$X$6:$X$1000,Verlauf!$B$6:$B$1000,$A105,Verlauf!$C$6:$C$1000,$B105)</f>
        <v>0</v>
      </c>
      <c r="Y105" s="26">
        <f>SUMIFS(Verlauf!$Y$6:$Y$1000,Verlauf!$B$6:$B$1000,$A105,Verlauf!$C$6:$C$1000,$B105)</f>
        <v>0</v>
      </c>
      <c r="Z105" s="26">
        <f>SUMIFS(Verlauf!$Z$6:$Z$1000,Verlauf!$B$6:$B$1000,$A105,Verlauf!$C$6:$C$1000,$B105)</f>
        <v>0</v>
      </c>
      <c r="AA105" s="26">
        <f>SUMIFS(Verlauf!$I$6:$I$1000,Verlauf!$B$6:$B$1000,$A105,Verlauf!$C$6:$C$1000,$B105)</f>
        <v>0</v>
      </c>
      <c r="AB105" s="26">
        <f>SUMIFS(Verlauf!$AA$6:$AA$1000,Verlauf!$B$6:$B$1000,$A105,Verlauf!$C$6:$C$1000,$B105)</f>
        <v>0</v>
      </c>
      <c r="AC105" s="26">
        <f>SUMIFS(Verlauf!$AB$6:$AB$1000,Verlauf!$B$6:$B$1000,$A105,Verlauf!$C$6:$C$1000,$B105)</f>
        <v>0</v>
      </c>
      <c r="AD105" s="26">
        <f>SUMIFS(Verlauf!$AC$6:$AC$1000,Verlauf!$B$6:$B$1000,$A105,Verlauf!$C$6:$C$1000,$B105)</f>
        <v>0</v>
      </c>
      <c r="AE105" s="26">
        <f>SUMIFS(Verlauf!$S$6:$S$1000,Verlauf!$B$6:$B$1000,$A105,Verlauf!$C$6:$C$1000,$B105)</f>
        <v>0</v>
      </c>
      <c r="AF105" s="26" t="str">
        <f>IF($AN105="","",INDEX(Verlauf!$D$6:$D$1000,MATCH($AN105,Verlauf!$A$6:$A$1000,0)))</f>
        <v/>
      </c>
      <c r="AG105" s="26" t="str">
        <f>IF($AN105="","",INDEX(Verlauf!$E$6:$E$1000,MATCH($AN105,Verlauf!$A$6:$A$1000,0)))</f>
        <v/>
      </c>
      <c r="AH105" s="26" t="str">
        <f>IF($AN105="","",INDEX(Verlauf!$F$6:$F$1000,MATCH($AN105,Verlauf!$A$6:$A$1000,0)))</f>
        <v/>
      </c>
      <c r="AI105" s="26" t="str">
        <f>IF($AN105="","",INDEX(Verlauf!$H$6:$H$1000,MATCH($AN105,Verlauf!$A$6:$A$1000,0)))</f>
        <v/>
      </c>
      <c r="AJ105" s="26" t="str">
        <f>IF($AN105="","",INDEX(Verlauf!$N$6:$N$1000,MATCH($AN105,Verlauf!$A$6:$A$1000,0)))</f>
        <v/>
      </c>
      <c r="AK105" s="26" t="str">
        <f>IF($AN105="","",INDEX(Verlauf!$O$6:$O$1000,MATCH($AN105,Verlauf!$A$6:$A$1000,0)))</f>
        <v/>
      </c>
      <c r="AL105" s="26" t="str">
        <f>IF($AN105="","",INDEX(Verlauf!$P$6:$P$1000,MATCH($AN105,Verlauf!$A$6:$A$1000,0)))</f>
        <v/>
      </c>
      <c r="AM105" s="26" t="str">
        <f>IF($AN105="","",INDEX(Verlauf!$R$6:$R$1000,MATCH($AN105,Verlauf!$A$6:$A$1000,0)))</f>
        <v/>
      </c>
      <c r="AN105" s="28" t="str">
        <f>IF(U105&gt;0,_xlfn.MAXIFS(Verlauf!$A$6:$A$1000,Verlauf!$B$6:$B$1000,$A105,Verlauf!$C$6:$C$1000,$B105),"")</f>
        <v/>
      </c>
    </row>
    <row r="106" spans="1:40" x14ac:dyDescent="0.25">
      <c r="A106" s="26">
        <v>2028</v>
      </c>
      <c r="B106" s="26">
        <v>25</v>
      </c>
      <c r="C106" s="7" t="str">
        <f t="shared" si="10"/>
        <v>KW 25/28</v>
      </c>
      <c r="D106" s="26">
        <f>SUMIFS(Verlauf!$K$6:$K$1000,Verlauf!$B$6:$B$1000,$A106,Verlauf!$C$6:$C$1000,$B106)</f>
        <v>0</v>
      </c>
      <c r="E106" s="26">
        <f>SUMIFS(Verlauf!$L$6:$L$1000,Verlauf!$B$6:$B$1000,$A106,Verlauf!$C$6:$C$1000,$B106)</f>
        <v>0</v>
      </c>
      <c r="F106" s="26">
        <f>SUMIFS(Verlauf!$M$6:$M$1000,Verlauf!$B$6:$B$1000,$A106,Verlauf!$C$6:$C$1000,$B106)</f>
        <v>0</v>
      </c>
      <c r="G106" s="26">
        <f>SUMIFS(Verlauf!$J$6:$J$1000,Verlauf!$B$6:$B$1000,$A106,Verlauf!$C$6:$C$1000,$B106)</f>
        <v>0</v>
      </c>
      <c r="H106" s="26">
        <f>SUMIFS(Verlauf!$U$6:$U$1000,Verlauf!$B$6:$B$1000,$A106,Verlauf!$C$6:$C$1000,$B106)</f>
        <v>0</v>
      </c>
      <c r="I106" s="26">
        <f>SUMIFS(Verlauf!$V$6:$V$1000,Verlauf!$B$6:$B$1000,$A106,Verlauf!$C$6:$C$1000,$B106)</f>
        <v>0</v>
      </c>
      <c r="J106" s="26">
        <f>SUMIFS(Verlauf!$W$6:$W$1000,Verlauf!$B$6:$B$1000,$A106,Verlauf!$C$6:$C$1000,$B106)</f>
        <v>0</v>
      </c>
      <c r="K106" s="26">
        <f>SUMIFS(Verlauf!$T$6:$T$1000,Verlauf!$B$6:$B$1000,$A106,Verlauf!$C$6:$C$1000,$B106)</f>
        <v>0</v>
      </c>
      <c r="L106" s="27">
        <f>IF(Filter!$T$7=TRUE,IFERROR(INDEX(Planung!$D$68:$IA$68,MATCH($W106,Wirksam!$D$6:$IA$6,0)),0),0)</f>
        <v>0</v>
      </c>
      <c r="M106" s="27">
        <f>IF(OR(Filter!$T$5=TRUE,Filter!$T$6=TRUE),IFERROR(INDEX(Planung!$D$69:$IA$69,MATCH($W106,Wirksam!$D$6:$IA$6,0)),0),0)</f>
        <v>0</v>
      </c>
      <c r="N106" s="27">
        <f t="shared" si="11"/>
        <v>0</v>
      </c>
      <c r="O106" s="27" t="e">
        <f t="shared" si="12"/>
        <v>#N/A</v>
      </c>
      <c r="P106" s="27" t="e">
        <f t="shared" si="13"/>
        <v>#N/A</v>
      </c>
      <c r="Q106" s="27" t="e">
        <f t="shared" si="14"/>
        <v>#N/A</v>
      </c>
      <c r="R106" s="27" t="e">
        <f t="shared" si="15"/>
        <v>#N/A</v>
      </c>
      <c r="S106" s="27" t="e">
        <f t="shared" si="16"/>
        <v>#N/A</v>
      </c>
      <c r="T106" s="27" t="e">
        <f t="shared" si="17"/>
        <v>#N/A</v>
      </c>
      <c r="U106" s="26">
        <f>COUNTIFS(Verlauf!$B$6:$B$1000,$A106,Verlauf!$C$6:$C$1000,$B106)</f>
        <v>0</v>
      </c>
      <c r="V106" s="26">
        <f t="shared" si="18"/>
        <v>0</v>
      </c>
      <c r="W106" s="26">
        <f t="shared" si="19"/>
        <v>202825</v>
      </c>
      <c r="X106" s="26">
        <f>SUMIFS(Verlauf!$X$6:$X$1000,Verlauf!$B$6:$B$1000,$A106,Verlauf!$C$6:$C$1000,$B106)</f>
        <v>0</v>
      </c>
      <c r="Y106" s="26">
        <f>SUMIFS(Verlauf!$Y$6:$Y$1000,Verlauf!$B$6:$B$1000,$A106,Verlauf!$C$6:$C$1000,$B106)</f>
        <v>0</v>
      </c>
      <c r="Z106" s="26">
        <f>SUMIFS(Verlauf!$Z$6:$Z$1000,Verlauf!$B$6:$B$1000,$A106,Verlauf!$C$6:$C$1000,$B106)</f>
        <v>0</v>
      </c>
      <c r="AA106" s="26">
        <f>SUMIFS(Verlauf!$I$6:$I$1000,Verlauf!$B$6:$B$1000,$A106,Verlauf!$C$6:$C$1000,$B106)</f>
        <v>0</v>
      </c>
      <c r="AB106" s="26">
        <f>SUMIFS(Verlauf!$AA$6:$AA$1000,Verlauf!$B$6:$B$1000,$A106,Verlauf!$C$6:$C$1000,$B106)</f>
        <v>0</v>
      </c>
      <c r="AC106" s="26">
        <f>SUMIFS(Verlauf!$AB$6:$AB$1000,Verlauf!$B$6:$B$1000,$A106,Verlauf!$C$6:$C$1000,$B106)</f>
        <v>0</v>
      </c>
      <c r="AD106" s="26">
        <f>SUMIFS(Verlauf!$AC$6:$AC$1000,Verlauf!$B$6:$B$1000,$A106,Verlauf!$C$6:$C$1000,$B106)</f>
        <v>0</v>
      </c>
      <c r="AE106" s="26">
        <f>SUMIFS(Verlauf!$S$6:$S$1000,Verlauf!$B$6:$B$1000,$A106,Verlauf!$C$6:$C$1000,$B106)</f>
        <v>0</v>
      </c>
      <c r="AF106" s="26" t="str">
        <f>IF($AN106="","",INDEX(Verlauf!$D$6:$D$1000,MATCH($AN106,Verlauf!$A$6:$A$1000,0)))</f>
        <v/>
      </c>
      <c r="AG106" s="26" t="str">
        <f>IF($AN106="","",INDEX(Verlauf!$E$6:$E$1000,MATCH($AN106,Verlauf!$A$6:$A$1000,0)))</f>
        <v/>
      </c>
      <c r="AH106" s="26" t="str">
        <f>IF($AN106="","",INDEX(Verlauf!$F$6:$F$1000,MATCH($AN106,Verlauf!$A$6:$A$1000,0)))</f>
        <v/>
      </c>
      <c r="AI106" s="26" t="str">
        <f>IF($AN106="","",INDEX(Verlauf!$H$6:$H$1000,MATCH($AN106,Verlauf!$A$6:$A$1000,0)))</f>
        <v/>
      </c>
      <c r="AJ106" s="26" t="str">
        <f>IF($AN106="","",INDEX(Verlauf!$N$6:$N$1000,MATCH($AN106,Verlauf!$A$6:$A$1000,0)))</f>
        <v/>
      </c>
      <c r="AK106" s="26" t="str">
        <f>IF($AN106="","",INDEX(Verlauf!$O$6:$O$1000,MATCH($AN106,Verlauf!$A$6:$A$1000,0)))</f>
        <v/>
      </c>
      <c r="AL106" s="26" t="str">
        <f>IF($AN106="","",INDEX(Verlauf!$P$6:$P$1000,MATCH($AN106,Verlauf!$A$6:$A$1000,0)))</f>
        <v/>
      </c>
      <c r="AM106" s="26" t="str">
        <f>IF($AN106="","",INDEX(Verlauf!$R$6:$R$1000,MATCH($AN106,Verlauf!$A$6:$A$1000,0)))</f>
        <v/>
      </c>
      <c r="AN106" s="28" t="str">
        <f>IF(U106&gt;0,_xlfn.MAXIFS(Verlauf!$A$6:$A$1000,Verlauf!$B$6:$B$1000,$A106,Verlauf!$C$6:$C$1000,$B106),"")</f>
        <v/>
      </c>
    </row>
    <row r="107" spans="1:40" x14ac:dyDescent="0.25">
      <c r="A107" s="26">
        <v>2028</v>
      </c>
      <c r="B107" s="26">
        <v>26</v>
      </c>
      <c r="C107" s="7" t="str">
        <f t="shared" si="10"/>
        <v>KW 26/28</v>
      </c>
      <c r="D107" s="26">
        <f>SUMIFS(Verlauf!$K$6:$K$1000,Verlauf!$B$6:$B$1000,$A107,Verlauf!$C$6:$C$1000,$B107)</f>
        <v>0</v>
      </c>
      <c r="E107" s="26">
        <f>SUMIFS(Verlauf!$L$6:$L$1000,Verlauf!$B$6:$B$1000,$A107,Verlauf!$C$6:$C$1000,$B107)</f>
        <v>0</v>
      </c>
      <c r="F107" s="26">
        <f>SUMIFS(Verlauf!$M$6:$M$1000,Verlauf!$B$6:$B$1000,$A107,Verlauf!$C$6:$C$1000,$B107)</f>
        <v>0</v>
      </c>
      <c r="G107" s="26">
        <f>SUMIFS(Verlauf!$J$6:$J$1000,Verlauf!$B$6:$B$1000,$A107,Verlauf!$C$6:$C$1000,$B107)</f>
        <v>0</v>
      </c>
      <c r="H107" s="26">
        <f>SUMIFS(Verlauf!$U$6:$U$1000,Verlauf!$B$6:$B$1000,$A107,Verlauf!$C$6:$C$1000,$B107)</f>
        <v>0</v>
      </c>
      <c r="I107" s="26">
        <f>SUMIFS(Verlauf!$V$6:$V$1000,Verlauf!$B$6:$B$1000,$A107,Verlauf!$C$6:$C$1000,$B107)</f>
        <v>0</v>
      </c>
      <c r="J107" s="26">
        <f>SUMIFS(Verlauf!$W$6:$W$1000,Verlauf!$B$6:$B$1000,$A107,Verlauf!$C$6:$C$1000,$B107)</f>
        <v>0</v>
      </c>
      <c r="K107" s="26">
        <f>SUMIFS(Verlauf!$T$6:$T$1000,Verlauf!$B$6:$B$1000,$A107,Verlauf!$C$6:$C$1000,$B107)</f>
        <v>0</v>
      </c>
      <c r="L107" s="27">
        <f>IF(Filter!$T$7=TRUE,IFERROR(INDEX(Planung!$D$68:$IA$68,MATCH($W107,Wirksam!$D$6:$IA$6,0)),0),0)</f>
        <v>0</v>
      </c>
      <c r="M107" s="27">
        <f>IF(OR(Filter!$T$5=TRUE,Filter!$T$6=TRUE),IFERROR(INDEX(Planung!$D$69:$IA$69,MATCH($W107,Wirksam!$D$6:$IA$6,0)),0),0)</f>
        <v>0</v>
      </c>
      <c r="N107" s="27">
        <f t="shared" si="11"/>
        <v>0</v>
      </c>
      <c r="O107" s="27" t="e">
        <f t="shared" si="12"/>
        <v>#N/A</v>
      </c>
      <c r="P107" s="27" t="e">
        <f t="shared" si="13"/>
        <v>#N/A</v>
      </c>
      <c r="Q107" s="27" t="e">
        <f t="shared" si="14"/>
        <v>#N/A</v>
      </c>
      <c r="R107" s="27" t="e">
        <f t="shared" si="15"/>
        <v>#N/A</v>
      </c>
      <c r="S107" s="27" t="e">
        <f t="shared" si="16"/>
        <v>#N/A</v>
      </c>
      <c r="T107" s="27" t="e">
        <f t="shared" si="17"/>
        <v>#N/A</v>
      </c>
      <c r="U107" s="26">
        <f>COUNTIFS(Verlauf!$B$6:$B$1000,$A107,Verlauf!$C$6:$C$1000,$B107)</f>
        <v>0</v>
      </c>
      <c r="V107" s="26">
        <f t="shared" si="18"/>
        <v>0</v>
      </c>
      <c r="W107" s="26">
        <f t="shared" si="19"/>
        <v>202826</v>
      </c>
      <c r="X107" s="26">
        <f>SUMIFS(Verlauf!$X$6:$X$1000,Verlauf!$B$6:$B$1000,$A107,Verlauf!$C$6:$C$1000,$B107)</f>
        <v>0</v>
      </c>
      <c r="Y107" s="26">
        <f>SUMIFS(Verlauf!$Y$6:$Y$1000,Verlauf!$B$6:$B$1000,$A107,Verlauf!$C$6:$C$1000,$B107)</f>
        <v>0</v>
      </c>
      <c r="Z107" s="26">
        <f>SUMIFS(Verlauf!$Z$6:$Z$1000,Verlauf!$B$6:$B$1000,$A107,Verlauf!$C$6:$C$1000,$B107)</f>
        <v>0</v>
      </c>
      <c r="AA107" s="26">
        <f>SUMIFS(Verlauf!$I$6:$I$1000,Verlauf!$B$6:$B$1000,$A107,Verlauf!$C$6:$C$1000,$B107)</f>
        <v>0</v>
      </c>
      <c r="AB107" s="26">
        <f>SUMIFS(Verlauf!$AA$6:$AA$1000,Verlauf!$B$6:$B$1000,$A107,Verlauf!$C$6:$C$1000,$B107)</f>
        <v>0</v>
      </c>
      <c r="AC107" s="26">
        <f>SUMIFS(Verlauf!$AB$6:$AB$1000,Verlauf!$B$6:$B$1000,$A107,Verlauf!$C$6:$C$1000,$B107)</f>
        <v>0</v>
      </c>
      <c r="AD107" s="26">
        <f>SUMIFS(Verlauf!$AC$6:$AC$1000,Verlauf!$B$6:$B$1000,$A107,Verlauf!$C$6:$C$1000,$B107)</f>
        <v>0</v>
      </c>
      <c r="AE107" s="26">
        <f>SUMIFS(Verlauf!$S$6:$S$1000,Verlauf!$B$6:$B$1000,$A107,Verlauf!$C$6:$C$1000,$B107)</f>
        <v>0</v>
      </c>
      <c r="AF107" s="26" t="str">
        <f>IF($AN107="","",INDEX(Verlauf!$D$6:$D$1000,MATCH($AN107,Verlauf!$A$6:$A$1000,0)))</f>
        <v/>
      </c>
      <c r="AG107" s="26" t="str">
        <f>IF($AN107="","",INDEX(Verlauf!$E$6:$E$1000,MATCH($AN107,Verlauf!$A$6:$A$1000,0)))</f>
        <v/>
      </c>
      <c r="AH107" s="26" t="str">
        <f>IF($AN107="","",INDEX(Verlauf!$F$6:$F$1000,MATCH($AN107,Verlauf!$A$6:$A$1000,0)))</f>
        <v/>
      </c>
      <c r="AI107" s="26" t="str">
        <f>IF($AN107="","",INDEX(Verlauf!$H$6:$H$1000,MATCH($AN107,Verlauf!$A$6:$A$1000,0)))</f>
        <v/>
      </c>
      <c r="AJ107" s="26" t="str">
        <f>IF($AN107="","",INDEX(Verlauf!$N$6:$N$1000,MATCH($AN107,Verlauf!$A$6:$A$1000,0)))</f>
        <v/>
      </c>
      <c r="AK107" s="26" t="str">
        <f>IF($AN107="","",INDEX(Verlauf!$O$6:$O$1000,MATCH($AN107,Verlauf!$A$6:$A$1000,0)))</f>
        <v/>
      </c>
      <c r="AL107" s="26" t="str">
        <f>IF($AN107="","",INDEX(Verlauf!$P$6:$P$1000,MATCH($AN107,Verlauf!$A$6:$A$1000,0)))</f>
        <v/>
      </c>
      <c r="AM107" s="26" t="str">
        <f>IF($AN107="","",INDEX(Verlauf!$R$6:$R$1000,MATCH($AN107,Verlauf!$A$6:$A$1000,0)))</f>
        <v/>
      </c>
      <c r="AN107" s="28" t="str">
        <f>IF(U107&gt;0,_xlfn.MAXIFS(Verlauf!$A$6:$A$1000,Verlauf!$B$6:$B$1000,$A107,Verlauf!$C$6:$C$1000,$B107),"")</f>
        <v/>
      </c>
    </row>
    <row r="108" spans="1:40" x14ac:dyDescent="0.25">
      <c r="A108" s="26">
        <v>2028</v>
      </c>
      <c r="B108" s="26">
        <v>27</v>
      </c>
      <c r="C108" s="7" t="str">
        <f t="shared" si="10"/>
        <v>KW 27/28</v>
      </c>
      <c r="D108" s="26">
        <f>SUMIFS(Verlauf!$K$6:$K$1000,Verlauf!$B$6:$B$1000,$A108,Verlauf!$C$6:$C$1000,$B108)</f>
        <v>0</v>
      </c>
      <c r="E108" s="26">
        <f>SUMIFS(Verlauf!$L$6:$L$1000,Verlauf!$B$6:$B$1000,$A108,Verlauf!$C$6:$C$1000,$B108)</f>
        <v>0</v>
      </c>
      <c r="F108" s="26">
        <f>SUMIFS(Verlauf!$M$6:$M$1000,Verlauf!$B$6:$B$1000,$A108,Verlauf!$C$6:$C$1000,$B108)</f>
        <v>0</v>
      </c>
      <c r="G108" s="26">
        <f>SUMIFS(Verlauf!$J$6:$J$1000,Verlauf!$B$6:$B$1000,$A108,Verlauf!$C$6:$C$1000,$B108)</f>
        <v>0</v>
      </c>
      <c r="H108" s="26">
        <f>SUMIFS(Verlauf!$U$6:$U$1000,Verlauf!$B$6:$B$1000,$A108,Verlauf!$C$6:$C$1000,$B108)</f>
        <v>0</v>
      </c>
      <c r="I108" s="26">
        <f>SUMIFS(Verlauf!$V$6:$V$1000,Verlauf!$B$6:$B$1000,$A108,Verlauf!$C$6:$C$1000,$B108)</f>
        <v>0</v>
      </c>
      <c r="J108" s="26">
        <f>SUMIFS(Verlauf!$W$6:$W$1000,Verlauf!$B$6:$B$1000,$A108,Verlauf!$C$6:$C$1000,$B108)</f>
        <v>0</v>
      </c>
      <c r="K108" s="26">
        <f>SUMIFS(Verlauf!$T$6:$T$1000,Verlauf!$B$6:$B$1000,$A108,Verlauf!$C$6:$C$1000,$B108)</f>
        <v>0</v>
      </c>
      <c r="L108" s="27">
        <f>IF(Filter!$T$7=TRUE,IFERROR(INDEX(Planung!$D$68:$IA$68,MATCH($W108,Wirksam!$D$6:$IA$6,0)),0),0)</f>
        <v>0</v>
      </c>
      <c r="M108" s="27">
        <f>IF(OR(Filter!$T$5=TRUE,Filter!$T$6=TRUE),IFERROR(INDEX(Planung!$D$69:$IA$69,MATCH($W108,Wirksam!$D$6:$IA$6,0)),0),0)</f>
        <v>0</v>
      </c>
      <c r="N108" s="27">
        <f t="shared" si="11"/>
        <v>0</v>
      </c>
      <c r="O108" s="27" t="e">
        <f t="shared" si="12"/>
        <v>#N/A</v>
      </c>
      <c r="P108" s="27" t="e">
        <f t="shared" si="13"/>
        <v>#N/A</v>
      </c>
      <c r="Q108" s="27" t="e">
        <f t="shared" si="14"/>
        <v>#N/A</v>
      </c>
      <c r="R108" s="27" t="e">
        <f t="shared" si="15"/>
        <v>#N/A</v>
      </c>
      <c r="S108" s="27" t="e">
        <f t="shared" si="16"/>
        <v>#N/A</v>
      </c>
      <c r="T108" s="27" t="e">
        <f t="shared" si="17"/>
        <v>#N/A</v>
      </c>
      <c r="U108" s="26">
        <f>COUNTIFS(Verlauf!$B$6:$B$1000,$A108,Verlauf!$C$6:$C$1000,$B108)</f>
        <v>0</v>
      </c>
      <c r="V108" s="26">
        <f t="shared" si="18"/>
        <v>0</v>
      </c>
      <c r="W108" s="26">
        <f t="shared" si="19"/>
        <v>202827</v>
      </c>
      <c r="X108" s="26">
        <f>SUMIFS(Verlauf!$X$6:$X$1000,Verlauf!$B$6:$B$1000,$A108,Verlauf!$C$6:$C$1000,$B108)</f>
        <v>0</v>
      </c>
      <c r="Y108" s="26">
        <f>SUMIFS(Verlauf!$Y$6:$Y$1000,Verlauf!$B$6:$B$1000,$A108,Verlauf!$C$6:$C$1000,$B108)</f>
        <v>0</v>
      </c>
      <c r="Z108" s="26">
        <f>SUMIFS(Verlauf!$Z$6:$Z$1000,Verlauf!$B$6:$B$1000,$A108,Verlauf!$C$6:$C$1000,$B108)</f>
        <v>0</v>
      </c>
      <c r="AA108" s="26">
        <f>SUMIFS(Verlauf!$I$6:$I$1000,Verlauf!$B$6:$B$1000,$A108,Verlauf!$C$6:$C$1000,$B108)</f>
        <v>0</v>
      </c>
      <c r="AB108" s="26">
        <f>SUMIFS(Verlauf!$AA$6:$AA$1000,Verlauf!$B$6:$B$1000,$A108,Verlauf!$C$6:$C$1000,$B108)</f>
        <v>0</v>
      </c>
      <c r="AC108" s="26">
        <f>SUMIFS(Verlauf!$AB$6:$AB$1000,Verlauf!$B$6:$B$1000,$A108,Verlauf!$C$6:$C$1000,$B108)</f>
        <v>0</v>
      </c>
      <c r="AD108" s="26">
        <f>SUMIFS(Verlauf!$AC$6:$AC$1000,Verlauf!$B$6:$B$1000,$A108,Verlauf!$C$6:$C$1000,$B108)</f>
        <v>0</v>
      </c>
      <c r="AE108" s="26">
        <f>SUMIFS(Verlauf!$S$6:$S$1000,Verlauf!$B$6:$B$1000,$A108,Verlauf!$C$6:$C$1000,$B108)</f>
        <v>0</v>
      </c>
      <c r="AF108" s="26" t="str">
        <f>IF($AN108="","",INDEX(Verlauf!$D$6:$D$1000,MATCH($AN108,Verlauf!$A$6:$A$1000,0)))</f>
        <v/>
      </c>
      <c r="AG108" s="26" t="str">
        <f>IF($AN108="","",INDEX(Verlauf!$E$6:$E$1000,MATCH($AN108,Verlauf!$A$6:$A$1000,0)))</f>
        <v/>
      </c>
      <c r="AH108" s="26" t="str">
        <f>IF($AN108="","",INDEX(Verlauf!$F$6:$F$1000,MATCH($AN108,Verlauf!$A$6:$A$1000,0)))</f>
        <v/>
      </c>
      <c r="AI108" s="26" t="str">
        <f>IF($AN108="","",INDEX(Verlauf!$H$6:$H$1000,MATCH($AN108,Verlauf!$A$6:$A$1000,0)))</f>
        <v/>
      </c>
      <c r="AJ108" s="26" t="str">
        <f>IF($AN108="","",INDEX(Verlauf!$N$6:$N$1000,MATCH($AN108,Verlauf!$A$6:$A$1000,0)))</f>
        <v/>
      </c>
      <c r="AK108" s="26" t="str">
        <f>IF($AN108="","",INDEX(Verlauf!$O$6:$O$1000,MATCH($AN108,Verlauf!$A$6:$A$1000,0)))</f>
        <v/>
      </c>
      <c r="AL108" s="26" t="str">
        <f>IF($AN108="","",INDEX(Verlauf!$P$6:$P$1000,MATCH($AN108,Verlauf!$A$6:$A$1000,0)))</f>
        <v/>
      </c>
      <c r="AM108" s="26" t="str">
        <f>IF($AN108="","",INDEX(Verlauf!$R$6:$R$1000,MATCH($AN108,Verlauf!$A$6:$A$1000,0)))</f>
        <v/>
      </c>
      <c r="AN108" s="28" t="str">
        <f>IF(U108&gt;0,_xlfn.MAXIFS(Verlauf!$A$6:$A$1000,Verlauf!$B$6:$B$1000,$A108,Verlauf!$C$6:$C$1000,$B108),"")</f>
        <v/>
      </c>
    </row>
    <row r="109" spans="1:40" x14ac:dyDescent="0.25">
      <c r="A109" s="26">
        <v>2028</v>
      </c>
      <c r="B109" s="26">
        <v>28</v>
      </c>
      <c r="C109" s="7" t="str">
        <f t="shared" si="10"/>
        <v>KW 28/28</v>
      </c>
      <c r="D109" s="26">
        <f>SUMIFS(Verlauf!$K$6:$K$1000,Verlauf!$B$6:$B$1000,$A109,Verlauf!$C$6:$C$1000,$B109)</f>
        <v>0</v>
      </c>
      <c r="E109" s="26">
        <f>SUMIFS(Verlauf!$L$6:$L$1000,Verlauf!$B$6:$B$1000,$A109,Verlauf!$C$6:$C$1000,$B109)</f>
        <v>0</v>
      </c>
      <c r="F109" s="26">
        <f>SUMIFS(Verlauf!$M$6:$M$1000,Verlauf!$B$6:$B$1000,$A109,Verlauf!$C$6:$C$1000,$B109)</f>
        <v>0</v>
      </c>
      <c r="G109" s="26">
        <f>SUMIFS(Verlauf!$J$6:$J$1000,Verlauf!$B$6:$B$1000,$A109,Verlauf!$C$6:$C$1000,$B109)</f>
        <v>0</v>
      </c>
      <c r="H109" s="26">
        <f>SUMIFS(Verlauf!$U$6:$U$1000,Verlauf!$B$6:$B$1000,$A109,Verlauf!$C$6:$C$1000,$B109)</f>
        <v>0</v>
      </c>
      <c r="I109" s="26">
        <f>SUMIFS(Verlauf!$V$6:$V$1000,Verlauf!$B$6:$B$1000,$A109,Verlauf!$C$6:$C$1000,$B109)</f>
        <v>0</v>
      </c>
      <c r="J109" s="26">
        <f>SUMIFS(Verlauf!$W$6:$W$1000,Verlauf!$B$6:$B$1000,$A109,Verlauf!$C$6:$C$1000,$B109)</f>
        <v>0</v>
      </c>
      <c r="K109" s="26">
        <f>SUMIFS(Verlauf!$T$6:$T$1000,Verlauf!$B$6:$B$1000,$A109,Verlauf!$C$6:$C$1000,$B109)</f>
        <v>0</v>
      </c>
      <c r="L109" s="27">
        <f>IF(Filter!$T$7=TRUE,IFERROR(INDEX(Planung!$D$68:$IA$68,MATCH($W109,Wirksam!$D$6:$IA$6,0)),0),0)</f>
        <v>0</v>
      </c>
      <c r="M109" s="27">
        <f>IF(OR(Filter!$T$5=TRUE,Filter!$T$6=TRUE),IFERROR(INDEX(Planung!$D$69:$IA$69,MATCH($W109,Wirksam!$D$6:$IA$6,0)),0),0)</f>
        <v>0</v>
      </c>
      <c r="N109" s="27">
        <f t="shared" si="11"/>
        <v>0</v>
      </c>
      <c r="O109" s="27" t="e">
        <f t="shared" si="12"/>
        <v>#N/A</v>
      </c>
      <c r="P109" s="27" t="e">
        <f t="shared" si="13"/>
        <v>#N/A</v>
      </c>
      <c r="Q109" s="27" t="e">
        <f t="shared" si="14"/>
        <v>#N/A</v>
      </c>
      <c r="R109" s="27" t="e">
        <f t="shared" si="15"/>
        <v>#N/A</v>
      </c>
      <c r="S109" s="27" t="e">
        <f t="shared" si="16"/>
        <v>#N/A</v>
      </c>
      <c r="T109" s="27" t="e">
        <f t="shared" si="17"/>
        <v>#N/A</v>
      </c>
      <c r="U109" s="26">
        <f>COUNTIFS(Verlauf!$B$6:$B$1000,$A109,Verlauf!$C$6:$C$1000,$B109)</f>
        <v>0</v>
      </c>
      <c r="V109" s="26">
        <f t="shared" si="18"/>
        <v>0</v>
      </c>
      <c r="W109" s="26">
        <f t="shared" si="19"/>
        <v>202828</v>
      </c>
      <c r="X109" s="26">
        <f>SUMIFS(Verlauf!$X$6:$X$1000,Verlauf!$B$6:$B$1000,$A109,Verlauf!$C$6:$C$1000,$B109)</f>
        <v>0</v>
      </c>
      <c r="Y109" s="26">
        <f>SUMIFS(Verlauf!$Y$6:$Y$1000,Verlauf!$B$6:$B$1000,$A109,Verlauf!$C$6:$C$1000,$B109)</f>
        <v>0</v>
      </c>
      <c r="Z109" s="26">
        <f>SUMIFS(Verlauf!$Z$6:$Z$1000,Verlauf!$B$6:$B$1000,$A109,Verlauf!$C$6:$C$1000,$B109)</f>
        <v>0</v>
      </c>
      <c r="AA109" s="26">
        <f>SUMIFS(Verlauf!$I$6:$I$1000,Verlauf!$B$6:$B$1000,$A109,Verlauf!$C$6:$C$1000,$B109)</f>
        <v>0</v>
      </c>
      <c r="AB109" s="26">
        <f>SUMIFS(Verlauf!$AA$6:$AA$1000,Verlauf!$B$6:$B$1000,$A109,Verlauf!$C$6:$C$1000,$B109)</f>
        <v>0</v>
      </c>
      <c r="AC109" s="26">
        <f>SUMIFS(Verlauf!$AB$6:$AB$1000,Verlauf!$B$6:$B$1000,$A109,Verlauf!$C$6:$C$1000,$B109)</f>
        <v>0</v>
      </c>
      <c r="AD109" s="26">
        <f>SUMIFS(Verlauf!$AC$6:$AC$1000,Verlauf!$B$6:$B$1000,$A109,Verlauf!$C$6:$C$1000,$B109)</f>
        <v>0</v>
      </c>
      <c r="AE109" s="26">
        <f>SUMIFS(Verlauf!$S$6:$S$1000,Verlauf!$B$6:$B$1000,$A109,Verlauf!$C$6:$C$1000,$B109)</f>
        <v>0</v>
      </c>
      <c r="AF109" s="26" t="str">
        <f>IF($AN109="","",INDEX(Verlauf!$D$6:$D$1000,MATCH($AN109,Verlauf!$A$6:$A$1000,0)))</f>
        <v/>
      </c>
      <c r="AG109" s="26" t="str">
        <f>IF($AN109="","",INDEX(Verlauf!$E$6:$E$1000,MATCH($AN109,Verlauf!$A$6:$A$1000,0)))</f>
        <v/>
      </c>
      <c r="AH109" s="26" t="str">
        <f>IF($AN109="","",INDEX(Verlauf!$F$6:$F$1000,MATCH($AN109,Verlauf!$A$6:$A$1000,0)))</f>
        <v/>
      </c>
      <c r="AI109" s="26" t="str">
        <f>IF($AN109="","",INDEX(Verlauf!$H$6:$H$1000,MATCH($AN109,Verlauf!$A$6:$A$1000,0)))</f>
        <v/>
      </c>
      <c r="AJ109" s="26" t="str">
        <f>IF($AN109="","",INDEX(Verlauf!$N$6:$N$1000,MATCH($AN109,Verlauf!$A$6:$A$1000,0)))</f>
        <v/>
      </c>
      <c r="AK109" s="26" t="str">
        <f>IF($AN109="","",INDEX(Verlauf!$O$6:$O$1000,MATCH($AN109,Verlauf!$A$6:$A$1000,0)))</f>
        <v/>
      </c>
      <c r="AL109" s="26" t="str">
        <f>IF($AN109="","",INDEX(Verlauf!$P$6:$P$1000,MATCH($AN109,Verlauf!$A$6:$A$1000,0)))</f>
        <v/>
      </c>
      <c r="AM109" s="26" t="str">
        <f>IF($AN109="","",INDEX(Verlauf!$R$6:$R$1000,MATCH($AN109,Verlauf!$A$6:$A$1000,0)))</f>
        <v/>
      </c>
      <c r="AN109" s="28" t="str">
        <f>IF(U109&gt;0,_xlfn.MAXIFS(Verlauf!$A$6:$A$1000,Verlauf!$B$6:$B$1000,$A109,Verlauf!$C$6:$C$1000,$B109),"")</f>
        <v/>
      </c>
    </row>
    <row r="110" spans="1:40" x14ac:dyDescent="0.25">
      <c r="A110" s="26">
        <v>2028</v>
      </c>
      <c r="B110" s="26">
        <v>29</v>
      </c>
      <c r="C110" s="7" t="str">
        <f t="shared" si="10"/>
        <v>KW 29/28</v>
      </c>
      <c r="D110" s="26">
        <f>SUMIFS(Verlauf!$K$6:$K$1000,Verlauf!$B$6:$B$1000,$A110,Verlauf!$C$6:$C$1000,$B110)</f>
        <v>0</v>
      </c>
      <c r="E110" s="26">
        <f>SUMIFS(Verlauf!$L$6:$L$1000,Verlauf!$B$6:$B$1000,$A110,Verlauf!$C$6:$C$1000,$B110)</f>
        <v>0</v>
      </c>
      <c r="F110" s="26">
        <f>SUMIFS(Verlauf!$M$6:$M$1000,Verlauf!$B$6:$B$1000,$A110,Verlauf!$C$6:$C$1000,$B110)</f>
        <v>0</v>
      </c>
      <c r="G110" s="26">
        <f>SUMIFS(Verlauf!$J$6:$J$1000,Verlauf!$B$6:$B$1000,$A110,Verlauf!$C$6:$C$1000,$B110)</f>
        <v>0</v>
      </c>
      <c r="H110" s="26">
        <f>SUMIFS(Verlauf!$U$6:$U$1000,Verlauf!$B$6:$B$1000,$A110,Verlauf!$C$6:$C$1000,$B110)</f>
        <v>0</v>
      </c>
      <c r="I110" s="26">
        <f>SUMIFS(Verlauf!$V$6:$V$1000,Verlauf!$B$6:$B$1000,$A110,Verlauf!$C$6:$C$1000,$B110)</f>
        <v>0</v>
      </c>
      <c r="J110" s="26">
        <f>SUMIFS(Verlauf!$W$6:$W$1000,Verlauf!$B$6:$B$1000,$A110,Verlauf!$C$6:$C$1000,$B110)</f>
        <v>0</v>
      </c>
      <c r="K110" s="26">
        <f>SUMIFS(Verlauf!$T$6:$T$1000,Verlauf!$B$6:$B$1000,$A110,Verlauf!$C$6:$C$1000,$B110)</f>
        <v>0</v>
      </c>
      <c r="L110" s="27">
        <f>IF(Filter!$T$7=TRUE,IFERROR(INDEX(Planung!$D$68:$IA$68,MATCH($W110,Wirksam!$D$6:$IA$6,0)),0),0)</f>
        <v>0</v>
      </c>
      <c r="M110" s="27">
        <f>IF(OR(Filter!$T$5=TRUE,Filter!$T$6=TRUE),IFERROR(INDEX(Planung!$D$69:$IA$69,MATCH($W110,Wirksam!$D$6:$IA$6,0)),0),0)</f>
        <v>0</v>
      </c>
      <c r="N110" s="27">
        <f t="shared" si="11"/>
        <v>0</v>
      </c>
      <c r="O110" s="27" t="e">
        <f t="shared" si="12"/>
        <v>#N/A</v>
      </c>
      <c r="P110" s="27" t="e">
        <f t="shared" si="13"/>
        <v>#N/A</v>
      </c>
      <c r="Q110" s="27" t="e">
        <f t="shared" si="14"/>
        <v>#N/A</v>
      </c>
      <c r="R110" s="27" t="e">
        <f t="shared" si="15"/>
        <v>#N/A</v>
      </c>
      <c r="S110" s="27" t="e">
        <f t="shared" si="16"/>
        <v>#N/A</v>
      </c>
      <c r="T110" s="27" t="e">
        <f t="shared" si="17"/>
        <v>#N/A</v>
      </c>
      <c r="U110" s="26">
        <f>COUNTIFS(Verlauf!$B$6:$B$1000,$A110,Verlauf!$C$6:$C$1000,$B110)</f>
        <v>0</v>
      </c>
      <c r="V110" s="26">
        <f t="shared" si="18"/>
        <v>0</v>
      </c>
      <c r="W110" s="26">
        <f t="shared" si="19"/>
        <v>202829</v>
      </c>
      <c r="X110" s="26">
        <f>SUMIFS(Verlauf!$X$6:$X$1000,Verlauf!$B$6:$B$1000,$A110,Verlauf!$C$6:$C$1000,$B110)</f>
        <v>0</v>
      </c>
      <c r="Y110" s="26">
        <f>SUMIFS(Verlauf!$Y$6:$Y$1000,Verlauf!$B$6:$B$1000,$A110,Verlauf!$C$6:$C$1000,$B110)</f>
        <v>0</v>
      </c>
      <c r="Z110" s="26">
        <f>SUMIFS(Verlauf!$Z$6:$Z$1000,Verlauf!$B$6:$B$1000,$A110,Verlauf!$C$6:$C$1000,$B110)</f>
        <v>0</v>
      </c>
      <c r="AA110" s="26">
        <f>SUMIFS(Verlauf!$I$6:$I$1000,Verlauf!$B$6:$B$1000,$A110,Verlauf!$C$6:$C$1000,$B110)</f>
        <v>0</v>
      </c>
      <c r="AB110" s="26">
        <f>SUMIFS(Verlauf!$AA$6:$AA$1000,Verlauf!$B$6:$B$1000,$A110,Verlauf!$C$6:$C$1000,$B110)</f>
        <v>0</v>
      </c>
      <c r="AC110" s="26">
        <f>SUMIFS(Verlauf!$AB$6:$AB$1000,Verlauf!$B$6:$B$1000,$A110,Verlauf!$C$6:$C$1000,$B110)</f>
        <v>0</v>
      </c>
      <c r="AD110" s="26">
        <f>SUMIFS(Verlauf!$AC$6:$AC$1000,Verlauf!$B$6:$B$1000,$A110,Verlauf!$C$6:$C$1000,$B110)</f>
        <v>0</v>
      </c>
      <c r="AE110" s="26">
        <f>SUMIFS(Verlauf!$S$6:$S$1000,Verlauf!$B$6:$B$1000,$A110,Verlauf!$C$6:$C$1000,$B110)</f>
        <v>0</v>
      </c>
      <c r="AF110" s="26" t="str">
        <f>IF($AN110="","",INDEX(Verlauf!$D$6:$D$1000,MATCH($AN110,Verlauf!$A$6:$A$1000,0)))</f>
        <v/>
      </c>
      <c r="AG110" s="26" t="str">
        <f>IF($AN110="","",INDEX(Verlauf!$E$6:$E$1000,MATCH($AN110,Verlauf!$A$6:$A$1000,0)))</f>
        <v/>
      </c>
      <c r="AH110" s="26" t="str">
        <f>IF($AN110="","",INDEX(Verlauf!$F$6:$F$1000,MATCH($AN110,Verlauf!$A$6:$A$1000,0)))</f>
        <v/>
      </c>
      <c r="AI110" s="26" t="str">
        <f>IF($AN110="","",INDEX(Verlauf!$H$6:$H$1000,MATCH($AN110,Verlauf!$A$6:$A$1000,0)))</f>
        <v/>
      </c>
      <c r="AJ110" s="26" t="str">
        <f>IF($AN110="","",INDEX(Verlauf!$N$6:$N$1000,MATCH($AN110,Verlauf!$A$6:$A$1000,0)))</f>
        <v/>
      </c>
      <c r="AK110" s="26" t="str">
        <f>IF($AN110="","",INDEX(Verlauf!$O$6:$O$1000,MATCH($AN110,Verlauf!$A$6:$A$1000,0)))</f>
        <v/>
      </c>
      <c r="AL110" s="26" t="str">
        <f>IF($AN110="","",INDEX(Verlauf!$P$6:$P$1000,MATCH($AN110,Verlauf!$A$6:$A$1000,0)))</f>
        <v/>
      </c>
      <c r="AM110" s="26" t="str">
        <f>IF($AN110="","",INDEX(Verlauf!$R$6:$R$1000,MATCH($AN110,Verlauf!$A$6:$A$1000,0)))</f>
        <v/>
      </c>
      <c r="AN110" s="28" t="str">
        <f>IF(U110&gt;0,_xlfn.MAXIFS(Verlauf!$A$6:$A$1000,Verlauf!$B$6:$B$1000,$A110,Verlauf!$C$6:$C$1000,$B110),"")</f>
        <v/>
      </c>
    </row>
    <row r="111" spans="1:40" x14ac:dyDescent="0.25">
      <c r="A111" s="26">
        <v>2028</v>
      </c>
      <c r="B111" s="26">
        <v>30</v>
      </c>
      <c r="C111" s="7" t="str">
        <f t="shared" si="10"/>
        <v>KW 30/28</v>
      </c>
      <c r="D111" s="26">
        <f>SUMIFS(Verlauf!$K$6:$K$1000,Verlauf!$B$6:$B$1000,$A111,Verlauf!$C$6:$C$1000,$B111)</f>
        <v>0</v>
      </c>
      <c r="E111" s="26">
        <f>SUMIFS(Verlauf!$L$6:$L$1000,Verlauf!$B$6:$B$1000,$A111,Verlauf!$C$6:$C$1000,$B111)</f>
        <v>0</v>
      </c>
      <c r="F111" s="26">
        <f>SUMIFS(Verlauf!$M$6:$M$1000,Verlauf!$B$6:$B$1000,$A111,Verlauf!$C$6:$C$1000,$B111)</f>
        <v>0</v>
      </c>
      <c r="G111" s="26">
        <f>SUMIFS(Verlauf!$J$6:$J$1000,Verlauf!$B$6:$B$1000,$A111,Verlauf!$C$6:$C$1000,$B111)</f>
        <v>0</v>
      </c>
      <c r="H111" s="26">
        <f>SUMIFS(Verlauf!$U$6:$U$1000,Verlauf!$B$6:$B$1000,$A111,Verlauf!$C$6:$C$1000,$B111)</f>
        <v>0</v>
      </c>
      <c r="I111" s="26">
        <f>SUMIFS(Verlauf!$V$6:$V$1000,Verlauf!$B$6:$B$1000,$A111,Verlauf!$C$6:$C$1000,$B111)</f>
        <v>0</v>
      </c>
      <c r="J111" s="26">
        <f>SUMIFS(Verlauf!$W$6:$W$1000,Verlauf!$B$6:$B$1000,$A111,Verlauf!$C$6:$C$1000,$B111)</f>
        <v>0</v>
      </c>
      <c r="K111" s="26">
        <f>SUMIFS(Verlauf!$T$6:$T$1000,Verlauf!$B$6:$B$1000,$A111,Verlauf!$C$6:$C$1000,$B111)</f>
        <v>0</v>
      </c>
      <c r="L111" s="27">
        <f>IF(Filter!$T$7=TRUE,IFERROR(INDEX(Planung!$D$68:$IA$68,MATCH($W111,Wirksam!$D$6:$IA$6,0)),0),0)</f>
        <v>0</v>
      </c>
      <c r="M111" s="27">
        <f>IF(OR(Filter!$T$5=TRUE,Filter!$T$6=TRUE),IFERROR(INDEX(Planung!$D$69:$IA$69,MATCH($W111,Wirksam!$D$6:$IA$6,0)),0),0)</f>
        <v>0</v>
      </c>
      <c r="N111" s="27">
        <f t="shared" si="11"/>
        <v>0</v>
      </c>
      <c r="O111" s="27" t="e">
        <f t="shared" si="12"/>
        <v>#N/A</v>
      </c>
      <c r="P111" s="27" t="e">
        <f t="shared" si="13"/>
        <v>#N/A</v>
      </c>
      <c r="Q111" s="27" t="e">
        <f t="shared" si="14"/>
        <v>#N/A</v>
      </c>
      <c r="R111" s="27" t="e">
        <f t="shared" si="15"/>
        <v>#N/A</v>
      </c>
      <c r="S111" s="27" t="e">
        <f t="shared" si="16"/>
        <v>#N/A</v>
      </c>
      <c r="T111" s="27" t="e">
        <f t="shared" si="17"/>
        <v>#N/A</v>
      </c>
      <c r="U111" s="26">
        <f>COUNTIFS(Verlauf!$B$6:$B$1000,$A111,Verlauf!$C$6:$C$1000,$B111)</f>
        <v>0</v>
      </c>
      <c r="V111" s="26">
        <f t="shared" si="18"/>
        <v>0</v>
      </c>
      <c r="W111" s="26">
        <f t="shared" si="19"/>
        <v>202830</v>
      </c>
      <c r="X111" s="26">
        <f>SUMIFS(Verlauf!$X$6:$X$1000,Verlauf!$B$6:$B$1000,$A111,Verlauf!$C$6:$C$1000,$B111)</f>
        <v>0</v>
      </c>
      <c r="Y111" s="26">
        <f>SUMIFS(Verlauf!$Y$6:$Y$1000,Verlauf!$B$6:$B$1000,$A111,Verlauf!$C$6:$C$1000,$B111)</f>
        <v>0</v>
      </c>
      <c r="Z111" s="26">
        <f>SUMIFS(Verlauf!$Z$6:$Z$1000,Verlauf!$B$6:$B$1000,$A111,Verlauf!$C$6:$C$1000,$B111)</f>
        <v>0</v>
      </c>
      <c r="AA111" s="26">
        <f>SUMIFS(Verlauf!$I$6:$I$1000,Verlauf!$B$6:$B$1000,$A111,Verlauf!$C$6:$C$1000,$B111)</f>
        <v>0</v>
      </c>
      <c r="AB111" s="26">
        <f>SUMIFS(Verlauf!$AA$6:$AA$1000,Verlauf!$B$6:$B$1000,$A111,Verlauf!$C$6:$C$1000,$B111)</f>
        <v>0</v>
      </c>
      <c r="AC111" s="26">
        <f>SUMIFS(Verlauf!$AB$6:$AB$1000,Verlauf!$B$6:$B$1000,$A111,Verlauf!$C$6:$C$1000,$B111)</f>
        <v>0</v>
      </c>
      <c r="AD111" s="26">
        <f>SUMIFS(Verlauf!$AC$6:$AC$1000,Verlauf!$B$6:$B$1000,$A111,Verlauf!$C$6:$C$1000,$B111)</f>
        <v>0</v>
      </c>
      <c r="AE111" s="26">
        <f>SUMIFS(Verlauf!$S$6:$S$1000,Verlauf!$B$6:$B$1000,$A111,Verlauf!$C$6:$C$1000,$B111)</f>
        <v>0</v>
      </c>
      <c r="AF111" s="26" t="str">
        <f>IF($AN111="","",INDEX(Verlauf!$D$6:$D$1000,MATCH($AN111,Verlauf!$A$6:$A$1000,0)))</f>
        <v/>
      </c>
      <c r="AG111" s="26" t="str">
        <f>IF($AN111="","",INDEX(Verlauf!$E$6:$E$1000,MATCH($AN111,Verlauf!$A$6:$A$1000,0)))</f>
        <v/>
      </c>
      <c r="AH111" s="26" t="str">
        <f>IF($AN111="","",INDEX(Verlauf!$F$6:$F$1000,MATCH($AN111,Verlauf!$A$6:$A$1000,0)))</f>
        <v/>
      </c>
      <c r="AI111" s="26" t="str">
        <f>IF($AN111="","",INDEX(Verlauf!$H$6:$H$1000,MATCH($AN111,Verlauf!$A$6:$A$1000,0)))</f>
        <v/>
      </c>
      <c r="AJ111" s="26" t="str">
        <f>IF($AN111="","",INDEX(Verlauf!$N$6:$N$1000,MATCH($AN111,Verlauf!$A$6:$A$1000,0)))</f>
        <v/>
      </c>
      <c r="AK111" s="26" t="str">
        <f>IF($AN111="","",INDEX(Verlauf!$O$6:$O$1000,MATCH($AN111,Verlauf!$A$6:$A$1000,0)))</f>
        <v/>
      </c>
      <c r="AL111" s="26" t="str">
        <f>IF($AN111="","",INDEX(Verlauf!$P$6:$P$1000,MATCH($AN111,Verlauf!$A$6:$A$1000,0)))</f>
        <v/>
      </c>
      <c r="AM111" s="26" t="str">
        <f>IF($AN111="","",INDEX(Verlauf!$R$6:$R$1000,MATCH($AN111,Verlauf!$A$6:$A$1000,0)))</f>
        <v/>
      </c>
      <c r="AN111" s="28" t="str">
        <f>IF(U111&gt;0,_xlfn.MAXIFS(Verlauf!$A$6:$A$1000,Verlauf!$B$6:$B$1000,$A111,Verlauf!$C$6:$C$1000,$B111),"")</f>
        <v/>
      </c>
    </row>
    <row r="112" spans="1:40" x14ac:dyDescent="0.25">
      <c r="A112" s="26">
        <v>2028</v>
      </c>
      <c r="B112" s="26">
        <v>31</v>
      </c>
      <c r="C112" s="7" t="str">
        <f t="shared" si="10"/>
        <v>KW 31/28</v>
      </c>
      <c r="D112" s="26">
        <f>SUMIFS(Verlauf!$K$6:$K$1000,Verlauf!$B$6:$B$1000,$A112,Verlauf!$C$6:$C$1000,$B112)</f>
        <v>0</v>
      </c>
      <c r="E112" s="26">
        <f>SUMIFS(Verlauf!$L$6:$L$1000,Verlauf!$B$6:$B$1000,$A112,Verlauf!$C$6:$C$1000,$B112)</f>
        <v>0</v>
      </c>
      <c r="F112" s="26">
        <f>SUMIFS(Verlauf!$M$6:$M$1000,Verlauf!$B$6:$B$1000,$A112,Verlauf!$C$6:$C$1000,$B112)</f>
        <v>0</v>
      </c>
      <c r="G112" s="26">
        <f>SUMIFS(Verlauf!$J$6:$J$1000,Verlauf!$B$6:$B$1000,$A112,Verlauf!$C$6:$C$1000,$B112)</f>
        <v>0</v>
      </c>
      <c r="H112" s="26">
        <f>SUMIFS(Verlauf!$U$6:$U$1000,Verlauf!$B$6:$B$1000,$A112,Verlauf!$C$6:$C$1000,$B112)</f>
        <v>0</v>
      </c>
      <c r="I112" s="26">
        <f>SUMIFS(Verlauf!$V$6:$V$1000,Verlauf!$B$6:$B$1000,$A112,Verlauf!$C$6:$C$1000,$B112)</f>
        <v>0</v>
      </c>
      <c r="J112" s="26">
        <f>SUMIFS(Verlauf!$W$6:$W$1000,Verlauf!$B$6:$B$1000,$A112,Verlauf!$C$6:$C$1000,$B112)</f>
        <v>0</v>
      </c>
      <c r="K112" s="26">
        <f>SUMIFS(Verlauf!$T$6:$T$1000,Verlauf!$B$6:$B$1000,$A112,Verlauf!$C$6:$C$1000,$B112)</f>
        <v>0</v>
      </c>
      <c r="L112" s="27">
        <f>IF(Filter!$T$7=TRUE,IFERROR(INDEX(Planung!$D$68:$IA$68,MATCH($W112,Wirksam!$D$6:$IA$6,0)),0),0)</f>
        <v>0</v>
      </c>
      <c r="M112" s="27">
        <f>IF(OR(Filter!$T$5=TRUE,Filter!$T$6=TRUE),IFERROR(INDEX(Planung!$D$69:$IA$69,MATCH($W112,Wirksam!$D$6:$IA$6,0)),0),0)</f>
        <v>0</v>
      </c>
      <c r="N112" s="27">
        <f t="shared" si="11"/>
        <v>0</v>
      </c>
      <c r="O112" s="27" t="e">
        <f t="shared" si="12"/>
        <v>#N/A</v>
      </c>
      <c r="P112" s="27" t="e">
        <f t="shared" si="13"/>
        <v>#N/A</v>
      </c>
      <c r="Q112" s="27" t="e">
        <f t="shared" si="14"/>
        <v>#N/A</v>
      </c>
      <c r="R112" s="27" t="e">
        <f t="shared" si="15"/>
        <v>#N/A</v>
      </c>
      <c r="S112" s="27" t="e">
        <f t="shared" si="16"/>
        <v>#N/A</v>
      </c>
      <c r="T112" s="27" t="e">
        <f t="shared" si="17"/>
        <v>#N/A</v>
      </c>
      <c r="U112" s="26">
        <f>COUNTIFS(Verlauf!$B$6:$B$1000,$A112,Verlauf!$C$6:$C$1000,$B112)</f>
        <v>0</v>
      </c>
      <c r="V112" s="26">
        <f t="shared" si="18"/>
        <v>0</v>
      </c>
      <c r="W112" s="26">
        <f t="shared" si="19"/>
        <v>202831</v>
      </c>
      <c r="X112" s="26">
        <f>SUMIFS(Verlauf!$X$6:$X$1000,Verlauf!$B$6:$B$1000,$A112,Verlauf!$C$6:$C$1000,$B112)</f>
        <v>0</v>
      </c>
      <c r="Y112" s="26">
        <f>SUMIFS(Verlauf!$Y$6:$Y$1000,Verlauf!$B$6:$B$1000,$A112,Verlauf!$C$6:$C$1000,$B112)</f>
        <v>0</v>
      </c>
      <c r="Z112" s="26">
        <f>SUMIFS(Verlauf!$Z$6:$Z$1000,Verlauf!$B$6:$B$1000,$A112,Verlauf!$C$6:$C$1000,$B112)</f>
        <v>0</v>
      </c>
      <c r="AA112" s="26">
        <f>SUMIFS(Verlauf!$I$6:$I$1000,Verlauf!$B$6:$B$1000,$A112,Verlauf!$C$6:$C$1000,$B112)</f>
        <v>0</v>
      </c>
      <c r="AB112" s="26">
        <f>SUMIFS(Verlauf!$AA$6:$AA$1000,Verlauf!$B$6:$B$1000,$A112,Verlauf!$C$6:$C$1000,$B112)</f>
        <v>0</v>
      </c>
      <c r="AC112" s="26">
        <f>SUMIFS(Verlauf!$AB$6:$AB$1000,Verlauf!$B$6:$B$1000,$A112,Verlauf!$C$6:$C$1000,$B112)</f>
        <v>0</v>
      </c>
      <c r="AD112" s="26">
        <f>SUMIFS(Verlauf!$AC$6:$AC$1000,Verlauf!$B$6:$B$1000,$A112,Verlauf!$C$6:$C$1000,$B112)</f>
        <v>0</v>
      </c>
      <c r="AE112" s="26">
        <f>SUMIFS(Verlauf!$S$6:$S$1000,Verlauf!$B$6:$B$1000,$A112,Verlauf!$C$6:$C$1000,$B112)</f>
        <v>0</v>
      </c>
      <c r="AF112" s="26" t="str">
        <f>IF($AN112="","",INDEX(Verlauf!$D$6:$D$1000,MATCH($AN112,Verlauf!$A$6:$A$1000,0)))</f>
        <v/>
      </c>
      <c r="AG112" s="26" t="str">
        <f>IF($AN112="","",INDEX(Verlauf!$E$6:$E$1000,MATCH($AN112,Verlauf!$A$6:$A$1000,0)))</f>
        <v/>
      </c>
      <c r="AH112" s="26" t="str">
        <f>IF($AN112="","",INDEX(Verlauf!$F$6:$F$1000,MATCH($AN112,Verlauf!$A$6:$A$1000,0)))</f>
        <v/>
      </c>
      <c r="AI112" s="26" t="str">
        <f>IF($AN112="","",INDEX(Verlauf!$H$6:$H$1000,MATCH($AN112,Verlauf!$A$6:$A$1000,0)))</f>
        <v/>
      </c>
      <c r="AJ112" s="26" t="str">
        <f>IF($AN112="","",INDEX(Verlauf!$N$6:$N$1000,MATCH($AN112,Verlauf!$A$6:$A$1000,0)))</f>
        <v/>
      </c>
      <c r="AK112" s="26" t="str">
        <f>IF($AN112="","",INDEX(Verlauf!$O$6:$O$1000,MATCH($AN112,Verlauf!$A$6:$A$1000,0)))</f>
        <v/>
      </c>
      <c r="AL112" s="26" t="str">
        <f>IF($AN112="","",INDEX(Verlauf!$P$6:$P$1000,MATCH($AN112,Verlauf!$A$6:$A$1000,0)))</f>
        <v/>
      </c>
      <c r="AM112" s="26" t="str">
        <f>IF($AN112="","",INDEX(Verlauf!$R$6:$R$1000,MATCH($AN112,Verlauf!$A$6:$A$1000,0)))</f>
        <v/>
      </c>
      <c r="AN112" s="28" t="str">
        <f>IF(U112&gt;0,_xlfn.MAXIFS(Verlauf!$A$6:$A$1000,Verlauf!$B$6:$B$1000,$A112,Verlauf!$C$6:$C$1000,$B112),"")</f>
        <v/>
      </c>
    </row>
    <row r="113" spans="1:40" x14ac:dyDescent="0.25">
      <c r="A113" s="26">
        <v>2028</v>
      </c>
      <c r="B113" s="26">
        <v>32</v>
      </c>
      <c r="C113" s="7" t="str">
        <f t="shared" si="10"/>
        <v>KW 32/28</v>
      </c>
      <c r="D113" s="26">
        <f>SUMIFS(Verlauf!$K$6:$K$1000,Verlauf!$B$6:$B$1000,$A113,Verlauf!$C$6:$C$1000,$B113)</f>
        <v>0</v>
      </c>
      <c r="E113" s="26">
        <f>SUMIFS(Verlauf!$L$6:$L$1000,Verlauf!$B$6:$B$1000,$A113,Verlauf!$C$6:$C$1000,$B113)</f>
        <v>0</v>
      </c>
      <c r="F113" s="26">
        <f>SUMIFS(Verlauf!$M$6:$M$1000,Verlauf!$B$6:$B$1000,$A113,Verlauf!$C$6:$C$1000,$B113)</f>
        <v>0</v>
      </c>
      <c r="G113" s="26">
        <f>SUMIFS(Verlauf!$J$6:$J$1000,Verlauf!$B$6:$B$1000,$A113,Verlauf!$C$6:$C$1000,$B113)</f>
        <v>0</v>
      </c>
      <c r="H113" s="26">
        <f>SUMIFS(Verlauf!$U$6:$U$1000,Verlauf!$B$6:$B$1000,$A113,Verlauf!$C$6:$C$1000,$B113)</f>
        <v>0</v>
      </c>
      <c r="I113" s="26">
        <f>SUMIFS(Verlauf!$V$6:$V$1000,Verlauf!$B$6:$B$1000,$A113,Verlauf!$C$6:$C$1000,$B113)</f>
        <v>0</v>
      </c>
      <c r="J113" s="26">
        <f>SUMIFS(Verlauf!$W$6:$W$1000,Verlauf!$B$6:$B$1000,$A113,Verlauf!$C$6:$C$1000,$B113)</f>
        <v>0</v>
      </c>
      <c r="K113" s="26">
        <f>SUMIFS(Verlauf!$T$6:$T$1000,Verlauf!$B$6:$B$1000,$A113,Verlauf!$C$6:$C$1000,$B113)</f>
        <v>0</v>
      </c>
      <c r="L113" s="27">
        <f>IF(Filter!$T$7=TRUE,IFERROR(INDEX(Planung!$D$68:$IA$68,MATCH($W113,Wirksam!$D$6:$IA$6,0)),0),0)</f>
        <v>0</v>
      </c>
      <c r="M113" s="27">
        <f>IF(OR(Filter!$T$5=TRUE,Filter!$T$6=TRUE),IFERROR(INDEX(Planung!$D$69:$IA$69,MATCH($W113,Wirksam!$D$6:$IA$6,0)),0),0)</f>
        <v>0</v>
      </c>
      <c r="N113" s="27">
        <f t="shared" si="11"/>
        <v>0</v>
      </c>
      <c r="O113" s="27" t="e">
        <f t="shared" si="12"/>
        <v>#N/A</v>
      </c>
      <c r="P113" s="27" t="e">
        <f t="shared" si="13"/>
        <v>#N/A</v>
      </c>
      <c r="Q113" s="27" t="e">
        <f t="shared" si="14"/>
        <v>#N/A</v>
      </c>
      <c r="R113" s="27" t="e">
        <f t="shared" si="15"/>
        <v>#N/A</v>
      </c>
      <c r="S113" s="27" t="e">
        <f t="shared" si="16"/>
        <v>#N/A</v>
      </c>
      <c r="T113" s="27" t="e">
        <f t="shared" si="17"/>
        <v>#N/A</v>
      </c>
      <c r="U113" s="26">
        <f>COUNTIFS(Verlauf!$B$6:$B$1000,$A113,Verlauf!$C$6:$C$1000,$B113)</f>
        <v>0</v>
      </c>
      <c r="V113" s="26">
        <f t="shared" si="18"/>
        <v>0</v>
      </c>
      <c r="W113" s="26">
        <f t="shared" si="19"/>
        <v>202832</v>
      </c>
      <c r="X113" s="26">
        <f>SUMIFS(Verlauf!$X$6:$X$1000,Verlauf!$B$6:$B$1000,$A113,Verlauf!$C$6:$C$1000,$B113)</f>
        <v>0</v>
      </c>
      <c r="Y113" s="26">
        <f>SUMIFS(Verlauf!$Y$6:$Y$1000,Verlauf!$B$6:$B$1000,$A113,Verlauf!$C$6:$C$1000,$B113)</f>
        <v>0</v>
      </c>
      <c r="Z113" s="26">
        <f>SUMIFS(Verlauf!$Z$6:$Z$1000,Verlauf!$B$6:$B$1000,$A113,Verlauf!$C$6:$C$1000,$B113)</f>
        <v>0</v>
      </c>
      <c r="AA113" s="26">
        <f>SUMIFS(Verlauf!$I$6:$I$1000,Verlauf!$B$6:$B$1000,$A113,Verlauf!$C$6:$C$1000,$B113)</f>
        <v>0</v>
      </c>
      <c r="AB113" s="26">
        <f>SUMIFS(Verlauf!$AA$6:$AA$1000,Verlauf!$B$6:$B$1000,$A113,Verlauf!$C$6:$C$1000,$B113)</f>
        <v>0</v>
      </c>
      <c r="AC113" s="26">
        <f>SUMIFS(Verlauf!$AB$6:$AB$1000,Verlauf!$B$6:$B$1000,$A113,Verlauf!$C$6:$C$1000,$B113)</f>
        <v>0</v>
      </c>
      <c r="AD113" s="26">
        <f>SUMIFS(Verlauf!$AC$6:$AC$1000,Verlauf!$B$6:$B$1000,$A113,Verlauf!$C$6:$C$1000,$B113)</f>
        <v>0</v>
      </c>
      <c r="AE113" s="26">
        <f>SUMIFS(Verlauf!$S$6:$S$1000,Verlauf!$B$6:$B$1000,$A113,Verlauf!$C$6:$C$1000,$B113)</f>
        <v>0</v>
      </c>
      <c r="AF113" s="26" t="str">
        <f>IF($AN113="","",INDEX(Verlauf!$D$6:$D$1000,MATCH($AN113,Verlauf!$A$6:$A$1000,0)))</f>
        <v/>
      </c>
      <c r="AG113" s="26" t="str">
        <f>IF($AN113="","",INDEX(Verlauf!$E$6:$E$1000,MATCH($AN113,Verlauf!$A$6:$A$1000,0)))</f>
        <v/>
      </c>
      <c r="AH113" s="26" t="str">
        <f>IF($AN113="","",INDEX(Verlauf!$F$6:$F$1000,MATCH($AN113,Verlauf!$A$6:$A$1000,0)))</f>
        <v/>
      </c>
      <c r="AI113" s="26" t="str">
        <f>IF($AN113="","",INDEX(Verlauf!$H$6:$H$1000,MATCH($AN113,Verlauf!$A$6:$A$1000,0)))</f>
        <v/>
      </c>
      <c r="AJ113" s="26" t="str">
        <f>IF($AN113="","",INDEX(Verlauf!$N$6:$N$1000,MATCH($AN113,Verlauf!$A$6:$A$1000,0)))</f>
        <v/>
      </c>
      <c r="AK113" s="26" t="str">
        <f>IF($AN113="","",INDEX(Verlauf!$O$6:$O$1000,MATCH($AN113,Verlauf!$A$6:$A$1000,0)))</f>
        <v/>
      </c>
      <c r="AL113" s="26" t="str">
        <f>IF($AN113="","",INDEX(Verlauf!$P$6:$P$1000,MATCH($AN113,Verlauf!$A$6:$A$1000,0)))</f>
        <v/>
      </c>
      <c r="AM113" s="26" t="str">
        <f>IF($AN113="","",INDEX(Verlauf!$R$6:$R$1000,MATCH($AN113,Verlauf!$A$6:$A$1000,0)))</f>
        <v/>
      </c>
      <c r="AN113" s="28" t="str">
        <f>IF(U113&gt;0,_xlfn.MAXIFS(Verlauf!$A$6:$A$1000,Verlauf!$B$6:$B$1000,$A113,Verlauf!$C$6:$C$1000,$B113),"")</f>
        <v/>
      </c>
    </row>
    <row r="114" spans="1:40" x14ac:dyDescent="0.25">
      <c r="A114" s="26">
        <v>2028</v>
      </c>
      <c r="B114" s="26">
        <v>33</v>
      </c>
      <c r="C114" s="7" t="str">
        <f t="shared" si="10"/>
        <v>KW 33/28</v>
      </c>
      <c r="D114" s="26">
        <f>SUMIFS(Verlauf!$K$6:$K$1000,Verlauf!$B$6:$B$1000,$A114,Verlauf!$C$6:$C$1000,$B114)</f>
        <v>0</v>
      </c>
      <c r="E114" s="26">
        <f>SUMIFS(Verlauf!$L$6:$L$1000,Verlauf!$B$6:$B$1000,$A114,Verlauf!$C$6:$C$1000,$B114)</f>
        <v>0</v>
      </c>
      <c r="F114" s="26">
        <f>SUMIFS(Verlauf!$M$6:$M$1000,Verlauf!$B$6:$B$1000,$A114,Verlauf!$C$6:$C$1000,$B114)</f>
        <v>0</v>
      </c>
      <c r="G114" s="26">
        <f>SUMIFS(Verlauf!$J$6:$J$1000,Verlauf!$B$6:$B$1000,$A114,Verlauf!$C$6:$C$1000,$B114)</f>
        <v>0</v>
      </c>
      <c r="H114" s="26">
        <f>SUMIFS(Verlauf!$U$6:$U$1000,Verlauf!$B$6:$B$1000,$A114,Verlauf!$C$6:$C$1000,$B114)</f>
        <v>0</v>
      </c>
      <c r="I114" s="26">
        <f>SUMIFS(Verlauf!$V$6:$V$1000,Verlauf!$B$6:$B$1000,$A114,Verlauf!$C$6:$C$1000,$B114)</f>
        <v>0</v>
      </c>
      <c r="J114" s="26">
        <f>SUMIFS(Verlauf!$W$6:$W$1000,Verlauf!$B$6:$B$1000,$A114,Verlauf!$C$6:$C$1000,$B114)</f>
        <v>0</v>
      </c>
      <c r="K114" s="26">
        <f>SUMIFS(Verlauf!$T$6:$T$1000,Verlauf!$B$6:$B$1000,$A114,Verlauf!$C$6:$C$1000,$B114)</f>
        <v>0</v>
      </c>
      <c r="L114" s="27">
        <f>IF(Filter!$T$7=TRUE,IFERROR(INDEX(Planung!$D$68:$IA$68,MATCH($W114,Wirksam!$D$6:$IA$6,0)),0),0)</f>
        <v>0</v>
      </c>
      <c r="M114" s="27">
        <f>IF(OR(Filter!$T$5=TRUE,Filter!$T$6=TRUE),IFERROR(INDEX(Planung!$D$69:$IA$69,MATCH($W114,Wirksam!$D$6:$IA$6,0)),0),0)</f>
        <v>0</v>
      </c>
      <c r="N114" s="27">
        <f t="shared" si="11"/>
        <v>0</v>
      </c>
      <c r="O114" s="27" t="e">
        <f t="shared" si="12"/>
        <v>#N/A</v>
      </c>
      <c r="P114" s="27" t="e">
        <f t="shared" si="13"/>
        <v>#N/A</v>
      </c>
      <c r="Q114" s="27" t="e">
        <f t="shared" si="14"/>
        <v>#N/A</v>
      </c>
      <c r="R114" s="27" t="e">
        <f t="shared" si="15"/>
        <v>#N/A</v>
      </c>
      <c r="S114" s="27" t="e">
        <f t="shared" si="16"/>
        <v>#N/A</v>
      </c>
      <c r="T114" s="27" t="e">
        <f t="shared" si="17"/>
        <v>#N/A</v>
      </c>
      <c r="U114" s="26">
        <f>COUNTIFS(Verlauf!$B$6:$B$1000,$A114,Verlauf!$C$6:$C$1000,$B114)</f>
        <v>0</v>
      </c>
      <c r="V114" s="26">
        <f t="shared" si="18"/>
        <v>0</v>
      </c>
      <c r="W114" s="26">
        <f t="shared" si="19"/>
        <v>202833</v>
      </c>
      <c r="X114" s="26">
        <f>SUMIFS(Verlauf!$X$6:$X$1000,Verlauf!$B$6:$B$1000,$A114,Verlauf!$C$6:$C$1000,$B114)</f>
        <v>0</v>
      </c>
      <c r="Y114" s="26">
        <f>SUMIFS(Verlauf!$Y$6:$Y$1000,Verlauf!$B$6:$B$1000,$A114,Verlauf!$C$6:$C$1000,$B114)</f>
        <v>0</v>
      </c>
      <c r="Z114" s="26">
        <f>SUMIFS(Verlauf!$Z$6:$Z$1000,Verlauf!$B$6:$B$1000,$A114,Verlauf!$C$6:$C$1000,$B114)</f>
        <v>0</v>
      </c>
      <c r="AA114" s="26">
        <f>SUMIFS(Verlauf!$I$6:$I$1000,Verlauf!$B$6:$B$1000,$A114,Verlauf!$C$6:$C$1000,$B114)</f>
        <v>0</v>
      </c>
      <c r="AB114" s="26">
        <f>SUMIFS(Verlauf!$AA$6:$AA$1000,Verlauf!$B$6:$B$1000,$A114,Verlauf!$C$6:$C$1000,$B114)</f>
        <v>0</v>
      </c>
      <c r="AC114" s="26">
        <f>SUMIFS(Verlauf!$AB$6:$AB$1000,Verlauf!$B$6:$B$1000,$A114,Verlauf!$C$6:$C$1000,$B114)</f>
        <v>0</v>
      </c>
      <c r="AD114" s="26">
        <f>SUMIFS(Verlauf!$AC$6:$AC$1000,Verlauf!$B$6:$B$1000,$A114,Verlauf!$C$6:$C$1000,$B114)</f>
        <v>0</v>
      </c>
      <c r="AE114" s="26">
        <f>SUMIFS(Verlauf!$S$6:$S$1000,Verlauf!$B$6:$B$1000,$A114,Verlauf!$C$6:$C$1000,$B114)</f>
        <v>0</v>
      </c>
      <c r="AF114" s="26" t="str">
        <f>IF($AN114="","",INDEX(Verlauf!$D$6:$D$1000,MATCH($AN114,Verlauf!$A$6:$A$1000,0)))</f>
        <v/>
      </c>
      <c r="AG114" s="26" t="str">
        <f>IF($AN114="","",INDEX(Verlauf!$E$6:$E$1000,MATCH($AN114,Verlauf!$A$6:$A$1000,0)))</f>
        <v/>
      </c>
      <c r="AH114" s="26" t="str">
        <f>IF($AN114="","",INDEX(Verlauf!$F$6:$F$1000,MATCH($AN114,Verlauf!$A$6:$A$1000,0)))</f>
        <v/>
      </c>
      <c r="AI114" s="26" t="str">
        <f>IF($AN114="","",INDEX(Verlauf!$H$6:$H$1000,MATCH($AN114,Verlauf!$A$6:$A$1000,0)))</f>
        <v/>
      </c>
      <c r="AJ114" s="26" t="str">
        <f>IF($AN114="","",INDEX(Verlauf!$N$6:$N$1000,MATCH($AN114,Verlauf!$A$6:$A$1000,0)))</f>
        <v/>
      </c>
      <c r="AK114" s="26" t="str">
        <f>IF($AN114="","",INDEX(Verlauf!$O$6:$O$1000,MATCH($AN114,Verlauf!$A$6:$A$1000,0)))</f>
        <v/>
      </c>
      <c r="AL114" s="26" t="str">
        <f>IF($AN114="","",INDEX(Verlauf!$P$6:$P$1000,MATCH($AN114,Verlauf!$A$6:$A$1000,0)))</f>
        <v/>
      </c>
      <c r="AM114" s="26" t="str">
        <f>IF($AN114="","",INDEX(Verlauf!$R$6:$R$1000,MATCH($AN114,Verlauf!$A$6:$A$1000,0)))</f>
        <v/>
      </c>
      <c r="AN114" s="28" t="str">
        <f>IF(U114&gt;0,_xlfn.MAXIFS(Verlauf!$A$6:$A$1000,Verlauf!$B$6:$B$1000,$A114,Verlauf!$C$6:$C$1000,$B114),"")</f>
        <v/>
      </c>
    </row>
    <row r="115" spans="1:40" x14ac:dyDescent="0.25">
      <c r="A115" s="26">
        <v>2028</v>
      </c>
      <c r="B115" s="26">
        <v>34</v>
      </c>
      <c r="C115" s="7" t="str">
        <f t="shared" si="10"/>
        <v>KW 34/28</v>
      </c>
      <c r="D115" s="26">
        <f>SUMIFS(Verlauf!$K$6:$K$1000,Verlauf!$B$6:$B$1000,$A115,Verlauf!$C$6:$C$1000,$B115)</f>
        <v>0</v>
      </c>
      <c r="E115" s="26">
        <f>SUMIFS(Verlauf!$L$6:$L$1000,Verlauf!$B$6:$B$1000,$A115,Verlauf!$C$6:$C$1000,$B115)</f>
        <v>0</v>
      </c>
      <c r="F115" s="26">
        <f>SUMIFS(Verlauf!$M$6:$M$1000,Verlauf!$B$6:$B$1000,$A115,Verlauf!$C$6:$C$1000,$B115)</f>
        <v>0</v>
      </c>
      <c r="G115" s="26">
        <f>SUMIFS(Verlauf!$J$6:$J$1000,Verlauf!$B$6:$B$1000,$A115,Verlauf!$C$6:$C$1000,$B115)</f>
        <v>0</v>
      </c>
      <c r="H115" s="26">
        <f>SUMIFS(Verlauf!$U$6:$U$1000,Verlauf!$B$6:$B$1000,$A115,Verlauf!$C$6:$C$1000,$B115)</f>
        <v>0</v>
      </c>
      <c r="I115" s="26">
        <f>SUMIFS(Verlauf!$V$6:$V$1000,Verlauf!$B$6:$B$1000,$A115,Verlauf!$C$6:$C$1000,$B115)</f>
        <v>0</v>
      </c>
      <c r="J115" s="26">
        <f>SUMIFS(Verlauf!$W$6:$W$1000,Verlauf!$B$6:$B$1000,$A115,Verlauf!$C$6:$C$1000,$B115)</f>
        <v>0</v>
      </c>
      <c r="K115" s="26">
        <f>SUMIFS(Verlauf!$T$6:$T$1000,Verlauf!$B$6:$B$1000,$A115,Verlauf!$C$6:$C$1000,$B115)</f>
        <v>0</v>
      </c>
      <c r="L115" s="27">
        <f>IF(Filter!$T$7=TRUE,IFERROR(INDEX(Planung!$D$68:$IA$68,MATCH($W115,Wirksam!$D$6:$IA$6,0)),0),0)</f>
        <v>0</v>
      </c>
      <c r="M115" s="27">
        <f>IF(OR(Filter!$T$5=TRUE,Filter!$T$6=TRUE),IFERROR(INDEX(Planung!$D$69:$IA$69,MATCH($W115,Wirksam!$D$6:$IA$6,0)),0),0)</f>
        <v>0</v>
      </c>
      <c r="N115" s="27">
        <f t="shared" si="11"/>
        <v>0</v>
      </c>
      <c r="O115" s="27" t="e">
        <f t="shared" si="12"/>
        <v>#N/A</v>
      </c>
      <c r="P115" s="27" t="e">
        <f t="shared" si="13"/>
        <v>#N/A</v>
      </c>
      <c r="Q115" s="27" t="e">
        <f t="shared" si="14"/>
        <v>#N/A</v>
      </c>
      <c r="R115" s="27" t="e">
        <f t="shared" si="15"/>
        <v>#N/A</v>
      </c>
      <c r="S115" s="27" t="e">
        <f t="shared" si="16"/>
        <v>#N/A</v>
      </c>
      <c r="T115" s="27" t="e">
        <f t="shared" si="17"/>
        <v>#N/A</v>
      </c>
      <c r="U115" s="26">
        <f>COUNTIFS(Verlauf!$B$6:$B$1000,$A115,Verlauf!$C$6:$C$1000,$B115)</f>
        <v>0</v>
      </c>
      <c r="V115" s="26">
        <f t="shared" si="18"/>
        <v>0</v>
      </c>
      <c r="W115" s="26">
        <f t="shared" si="19"/>
        <v>202834</v>
      </c>
      <c r="X115" s="26">
        <f>SUMIFS(Verlauf!$X$6:$X$1000,Verlauf!$B$6:$B$1000,$A115,Verlauf!$C$6:$C$1000,$B115)</f>
        <v>0</v>
      </c>
      <c r="Y115" s="26">
        <f>SUMIFS(Verlauf!$Y$6:$Y$1000,Verlauf!$B$6:$B$1000,$A115,Verlauf!$C$6:$C$1000,$B115)</f>
        <v>0</v>
      </c>
      <c r="Z115" s="26">
        <f>SUMIFS(Verlauf!$Z$6:$Z$1000,Verlauf!$B$6:$B$1000,$A115,Verlauf!$C$6:$C$1000,$B115)</f>
        <v>0</v>
      </c>
      <c r="AA115" s="26">
        <f>SUMIFS(Verlauf!$I$6:$I$1000,Verlauf!$B$6:$B$1000,$A115,Verlauf!$C$6:$C$1000,$B115)</f>
        <v>0</v>
      </c>
      <c r="AB115" s="26">
        <f>SUMIFS(Verlauf!$AA$6:$AA$1000,Verlauf!$B$6:$B$1000,$A115,Verlauf!$C$6:$C$1000,$B115)</f>
        <v>0</v>
      </c>
      <c r="AC115" s="26">
        <f>SUMIFS(Verlauf!$AB$6:$AB$1000,Verlauf!$B$6:$B$1000,$A115,Verlauf!$C$6:$C$1000,$B115)</f>
        <v>0</v>
      </c>
      <c r="AD115" s="26">
        <f>SUMIFS(Verlauf!$AC$6:$AC$1000,Verlauf!$B$6:$B$1000,$A115,Verlauf!$C$6:$C$1000,$B115)</f>
        <v>0</v>
      </c>
      <c r="AE115" s="26">
        <f>SUMIFS(Verlauf!$S$6:$S$1000,Verlauf!$B$6:$B$1000,$A115,Verlauf!$C$6:$C$1000,$B115)</f>
        <v>0</v>
      </c>
      <c r="AF115" s="26" t="str">
        <f>IF($AN115="","",INDEX(Verlauf!$D$6:$D$1000,MATCH($AN115,Verlauf!$A$6:$A$1000,0)))</f>
        <v/>
      </c>
      <c r="AG115" s="26" t="str">
        <f>IF($AN115="","",INDEX(Verlauf!$E$6:$E$1000,MATCH($AN115,Verlauf!$A$6:$A$1000,0)))</f>
        <v/>
      </c>
      <c r="AH115" s="26" t="str">
        <f>IF($AN115="","",INDEX(Verlauf!$F$6:$F$1000,MATCH($AN115,Verlauf!$A$6:$A$1000,0)))</f>
        <v/>
      </c>
      <c r="AI115" s="26" t="str">
        <f>IF($AN115="","",INDEX(Verlauf!$H$6:$H$1000,MATCH($AN115,Verlauf!$A$6:$A$1000,0)))</f>
        <v/>
      </c>
      <c r="AJ115" s="26" t="str">
        <f>IF($AN115="","",INDEX(Verlauf!$N$6:$N$1000,MATCH($AN115,Verlauf!$A$6:$A$1000,0)))</f>
        <v/>
      </c>
      <c r="AK115" s="26" t="str">
        <f>IF($AN115="","",INDEX(Verlauf!$O$6:$O$1000,MATCH($AN115,Verlauf!$A$6:$A$1000,0)))</f>
        <v/>
      </c>
      <c r="AL115" s="26" t="str">
        <f>IF($AN115="","",INDEX(Verlauf!$P$6:$P$1000,MATCH($AN115,Verlauf!$A$6:$A$1000,0)))</f>
        <v/>
      </c>
      <c r="AM115" s="26" t="str">
        <f>IF($AN115="","",INDEX(Verlauf!$R$6:$R$1000,MATCH($AN115,Verlauf!$A$6:$A$1000,0)))</f>
        <v/>
      </c>
      <c r="AN115" s="28" t="str">
        <f>IF(U115&gt;0,_xlfn.MAXIFS(Verlauf!$A$6:$A$1000,Verlauf!$B$6:$B$1000,$A115,Verlauf!$C$6:$C$1000,$B115),"")</f>
        <v/>
      </c>
    </row>
    <row r="116" spans="1:40" x14ac:dyDescent="0.25">
      <c r="A116" s="26">
        <v>2028</v>
      </c>
      <c r="B116" s="26">
        <v>35</v>
      </c>
      <c r="C116" s="7" t="str">
        <f t="shared" si="10"/>
        <v>KW 35/28</v>
      </c>
      <c r="D116" s="26">
        <f>SUMIFS(Verlauf!$K$6:$K$1000,Verlauf!$B$6:$B$1000,$A116,Verlauf!$C$6:$C$1000,$B116)</f>
        <v>0</v>
      </c>
      <c r="E116" s="26">
        <f>SUMIFS(Verlauf!$L$6:$L$1000,Verlauf!$B$6:$B$1000,$A116,Verlauf!$C$6:$C$1000,$B116)</f>
        <v>0</v>
      </c>
      <c r="F116" s="26">
        <f>SUMIFS(Verlauf!$M$6:$M$1000,Verlauf!$B$6:$B$1000,$A116,Verlauf!$C$6:$C$1000,$B116)</f>
        <v>0</v>
      </c>
      <c r="G116" s="26">
        <f>SUMIFS(Verlauf!$J$6:$J$1000,Verlauf!$B$6:$B$1000,$A116,Verlauf!$C$6:$C$1000,$B116)</f>
        <v>0</v>
      </c>
      <c r="H116" s="26">
        <f>SUMIFS(Verlauf!$U$6:$U$1000,Verlauf!$B$6:$B$1000,$A116,Verlauf!$C$6:$C$1000,$B116)</f>
        <v>0</v>
      </c>
      <c r="I116" s="26">
        <f>SUMIFS(Verlauf!$V$6:$V$1000,Verlauf!$B$6:$B$1000,$A116,Verlauf!$C$6:$C$1000,$B116)</f>
        <v>0</v>
      </c>
      <c r="J116" s="26">
        <f>SUMIFS(Verlauf!$W$6:$W$1000,Verlauf!$B$6:$B$1000,$A116,Verlauf!$C$6:$C$1000,$B116)</f>
        <v>0</v>
      </c>
      <c r="K116" s="26">
        <f>SUMIFS(Verlauf!$T$6:$T$1000,Verlauf!$B$6:$B$1000,$A116,Verlauf!$C$6:$C$1000,$B116)</f>
        <v>0</v>
      </c>
      <c r="L116" s="27">
        <f>IF(Filter!$T$7=TRUE,IFERROR(INDEX(Planung!$D$68:$IA$68,MATCH($W116,Wirksam!$D$6:$IA$6,0)),0),0)</f>
        <v>0</v>
      </c>
      <c r="M116" s="27">
        <f>IF(OR(Filter!$T$5=TRUE,Filter!$T$6=TRUE),IFERROR(INDEX(Planung!$D$69:$IA$69,MATCH($W116,Wirksam!$D$6:$IA$6,0)),0),0)</f>
        <v>0</v>
      </c>
      <c r="N116" s="27">
        <f t="shared" si="11"/>
        <v>0</v>
      </c>
      <c r="O116" s="27" t="e">
        <f t="shared" si="12"/>
        <v>#N/A</v>
      </c>
      <c r="P116" s="27" t="e">
        <f t="shared" si="13"/>
        <v>#N/A</v>
      </c>
      <c r="Q116" s="27" t="e">
        <f t="shared" si="14"/>
        <v>#N/A</v>
      </c>
      <c r="R116" s="27" t="e">
        <f t="shared" si="15"/>
        <v>#N/A</v>
      </c>
      <c r="S116" s="27" t="e">
        <f t="shared" si="16"/>
        <v>#N/A</v>
      </c>
      <c r="T116" s="27" t="e">
        <f t="shared" si="17"/>
        <v>#N/A</v>
      </c>
      <c r="U116" s="26">
        <f>COUNTIFS(Verlauf!$B$6:$B$1000,$A116,Verlauf!$C$6:$C$1000,$B116)</f>
        <v>0</v>
      </c>
      <c r="V116" s="26">
        <f t="shared" si="18"/>
        <v>0</v>
      </c>
      <c r="W116" s="26">
        <f t="shared" si="19"/>
        <v>202835</v>
      </c>
      <c r="X116" s="26">
        <f>SUMIFS(Verlauf!$X$6:$X$1000,Verlauf!$B$6:$B$1000,$A116,Verlauf!$C$6:$C$1000,$B116)</f>
        <v>0</v>
      </c>
      <c r="Y116" s="26">
        <f>SUMIFS(Verlauf!$Y$6:$Y$1000,Verlauf!$B$6:$B$1000,$A116,Verlauf!$C$6:$C$1000,$B116)</f>
        <v>0</v>
      </c>
      <c r="Z116" s="26">
        <f>SUMIFS(Verlauf!$Z$6:$Z$1000,Verlauf!$B$6:$B$1000,$A116,Verlauf!$C$6:$C$1000,$B116)</f>
        <v>0</v>
      </c>
      <c r="AA116" s="26">
        <f>SUMIFS(Verlauf!$I$6:$I$1000,Verlauf!$B$6:$B$1000,$A116,Verlauf!$C$6:$C$1000,$B116)</f>
        <v>0</v>
      </c>
      <c r="AB116" s="26">
        <f>SUMIFS(Verlauf!$AA$6:$AA$1000,Verlauf!$B$6:$B$1000,$A116,Verlauf!$C$6:$C$1000,$B116)</f>
        <v>0</v>
      </c>
      <c r="AC116" s="26">
        <f>SUMIFS(Verlauf!$AB$6:$AB$1000,Verlauf!$B$6:$B$1000,$A116,Verlauf!$C$6:$C$1000,$B116)</f>
        <v>0</v>
      </c>
      <c r="AD116" s="26">
        <f>SUMIFS(Verlauf!$AC$6:$AC$1000,Verlauf!$B$6:$B$1000,$A116,Verlauf!$C$6:$C$1000,$B116)</f>
        <v>0</v>
      </c>
      <c r="AE116" s="26">
        <f>SUMIFS(Verlauf!$S$6:$S$1000,Verlauf!$B$6:$B$1000,$A116,Verlauf!$C$6:$C$1000,$B116)</f>
        <v>0</v>
      </c>
      <c r="AF116" s="26" t="str">
        <f>IF($AN116="","",INDEX(Verlauf!$D$6:$D$1000,MATCH($AN116,Verlauf!$A$6:$A$1000,0)))</f>
        <v/>
      </c>
      <c r="AG116" s="26" t="str">
        <f>IF($AN116="","",INDEX(Verlauf!$E$6:$E$1000,MATCH($AN116,Verlauf!$A$6:$A$1000,0)))</f>
        <v/>
      </c>
      <c r="AH116" s="26" t="str">
        <f>IF($AN116="","",INDEX(Verlauf!$F$6:$F$1000,MATCH($AN116,Verlauf!$A$6:$A$1000,0)))</f>
        <v/>
      </c>
      <c r="AI116" s="26" t="str">
        <f>IF($AN116="","",INDEX(Verlauf!$H$6:$H$1000,MATCH($AN116,Verlauf!$A$6:$A$1000,0)))</f>
        <v/>
      </c>
      <c r="AJ116" s="26" t="str">
        <f>IF($AN116="","",INDEX(Verlauf!$N$6:$N$1000,MATCH($AN116,Verlauf!$A$6:$A$1000,0)))</f>
        <v/>
      </c>
      <c r="AK116" s="26" t="str">
        <f>IF($AN116="","",INDEX(Verlauf!$O$6:$O$1000,MATCH($AN116,Verlauf!$A$6:$A$1000,0)))</f>
        <v/>
      </c>
      <c r="AL116" s="26" t="str">
        <f>IF($AN116="","",INDEX(Verlauf!$P$6:$P$1000,MATCH($AN116,Verlauf!$A$6:$A$1000,0)))</f>
        <v/>
      </c>
      <c r="AM116" s="26" t="str">
        <f>IF($AN116="","",INDEX(Verlauf!$R$6:$R$1000,MATCH($AN116,Verlauf!$A$6:$A$1000,0)))</f>
        <v/>
      </c>
      <c r="AN116" s="28" t="str">
        <f>IF(U116&gt;0,_xlfn.MAXIFS(Verlauf!$A$6:$A$1000,Verlauf!$B$6:$B$1000,$A116,Verlauf!$C$6:$C$1000,$B116),"")</f>
        <v/>
      </c>
    </row>
    <row r="117" spans="1:40" x14ac:dyDescent="0.25">
      <c r="A117" s="26">
        <v>2028</v>
      </c>
      <c r="B117" s="26">
        <v>36</v>
      </c>
      <c r="C117" s="7" t="str">
        <f t="shared" si="10"/>
        <v>KW 36/28</v>
      </c>
      <c r="D117" s="26">
        <f>SUMIFS(Verlauf!$K$6:$K$1000,Verlauf!$B$6:$B$1000,$A117,Verlauf!$C$6:$C$1000,$B117)</f>
        <v>0</v>
      </c>
      <c r="E117" s="26">
        <f>SUMIFS(Verlauf!$L$6:$L$1000,Verlauf!$B$6:$B$1000,$A117,Verlauf!$C$6:$C$1000,$B117)</f>
        <v>0</v>
      </c>
      <c r="F117" s="26">
        <f>SUMIFS(Verlauf!$M$6:$M$1000,Verlauf!$B$6:$B$1000,$A117,Verlauf!$C$6:$C$1000,$B117)</f>
        <v>0</v>
      </c>
      <c r="G117" s="26">
        <f>SUMIFS(Verlauf!$J$6:$J$1000,Verlauf!$B$6:$B$1000,$A117,Verlauf!$C$6:$C$1000,$B117)</f>
        <v>0</v>
      </c>
      <c r="H117" s="26">
        <f>SUMIFS(Verlauf!$U$6:$U$1000,Verlauf!$B$6:$B$1000,$A117,Verlauf!$C$6:$C$1000,$B117)</f>
        <v>0</v>
      </c>
      <c r="I117" s="26">
        <f>SUMIFS(Verlauf!$V$6:$V$1000,Verlauf!$B$6:$B$1000,$A117,Verlauf!$C$6:$C$1000,$B117)</f>
        <v>0</v>
      </c>
      <c r="J117" s="26">
        <f>SUMIFS(Verlauf!$W$6:$W$1000,Verlauf!$B$6:$B$1000,$A117,Verlauf!$C$6:$C$1000,$B117)</f>
        <v>0</v>
      </c>
      <c r="K117" s="26">
        <f>SUMIFS(Verlauf!$T$6:$T$1000,Verlauf!$B$6:$B$1000,$A117,Verlauf!$C$6:$C$1000,$B117)</f>
        <v>0</v>
      </c>
      <c r="L117" s="27">
        <f>IF(Filter!$T$7=TRUE,IFERROR(INDEX(Planung!$D$68:$IA$68,MATCH($W117,Wirksam!$D$6:$IA$6,0)),0),0)</f>
        <v>0</v>
      </c>
      <c r="M117" s="27">
        <f>IF(OR(Filter!$T$5=TRUE,Filter!$T$6=TRUE),IFERROR(INDEX(Planung!$D$69:$IA$69,MATCH($W117,Wirksam!$D$6:$IA$6,0)),0),0)</f>
        <v>0</v>
      </c>
      <c r="N117" s="27">
        <f t="shared" si="11"/>
        <v>0</v>
      </c>
      <c r="O117" s="27" t="e">
        <f t="shared" si="12"/>
        <v>#N/A</v>
      </c>
      <c r="P117" s="27" t="e">
        <f t="shared" si="13"/>
        <v>#N/A</v>
      </c>
      <c r="Q117" s="27" t="e">
        <f t="shared" si="14"/>
        <v>#N/A</v>
      </c>
      <c r="R117" s="27" t="e">
        <f t="shared" si="15"/>
        <v>#N/A</v>
      </c>
      <c r="S117" s="27" t="e">
        <f t="shared" si="16"/>
        <v>#N/A</v>
      </c>
      <c r="T117" s="27" t="e">
        <f t="shared" si="17"/>
        <v>#N/A</v>
      </c>
      <c r="U117" s="26">
        <f>COUNTIFS(Verlauf!$B$6:$B$1000,$A117,Verlauf!$C$6:$C$1000,$B117)</f>
        <v>0</v>
      </c>
      <c r="V117" s="26">
        <f t="shared" si="18"/>
        <v>0</v>
      </c>
      <c r="W117" s="26">
        <f t="shared" si="19"/>
        <v>202836</v>
      </c>
      <c r="X117" s="26">
        <f>SUMIFS(Verlauf!$X$6:$X$1000,Verlauf!$B$6:$B$1000,$A117,Verlauf!$C$6:$C$1000,$B117)</f>
        <v>0</v>
      </c>
      <c r="Y117" s="26">
        <f>SUMIFS(Verlauf!$Y$6:$Y$1000,Verlauf!$B$6:$B$1000,$A117,Verlauf!$C$6:$C$1000,$B117)</f>
        <v>0</v>
      </c>
      <c r="Z117" s="26">
        <f>SUMIFS(Verlauf!$Z$6:$Z$1000,Verlauf!$B$6:$B$1000,$A117,Verlauf!$C$6:$C$1000,$B117)</f>
        <v>0</v>
      </c>
      <c r="AA117" s="26">
        <f>SUMIFS(Verlauf!$I$6:$I$1000,Verlauf!$B$6:$B$1000,$A117,Verlauf!$C$6:$C$1000,$B117)</f>
        <v>0</v>
      </c>
      <c r="AB117" s="26">
        <f>SUMIFS(Verlauf!$AA$6:$AA$1000,Verlauf!$B$6:$B$1000,$A117,Verlauf!$C$6:$C$1000,$B117)</f>
        <v>0</v>
      </c>
      <c r="AC117" s="26">
        <f>SUMIFS(Verlauf!$AB$6:$AB$1000,Verlauf!$B$6:$B$1000,$A117,Verlauf!$C$6:$C$1000,$B117)</f>
        <v>0</v>
      </c>
      <c r="AD117" s="26">
        <f>SUMIFS(Verlauf!$AC$6:$AC$1000,Verlauf!$B$6:$B$1000,$A117,Verlauf!$C$6:$C$1000,$B117)</f>
        <v>0</v>
      </c>
      <c r="AE117" s="26">
        <f>SUMIFS(Verlauf!$S$6:$S$1000,Verlauf!$B$6:$B$1000,$A117,Verlauf!$C$6:$C$1000,$B117)</f>
        <v>0</v>
      </c>
      <c r="AF117" s="26" t="str">
        <f>IF($AN117="","",INDEX(Verlauf!$D$6:$D$1000,MATCH($AN117,Verlauf!$A$6:$A$1000,0)))</f>
        <v/>
      </c>
      <c r="AG117" s="26" t="str">
        <f>IF($AN117="","",INDEX(Verlauf!$E$6:$E$1000,MATCH($AN117,Verlauf!$A$6:$A$1000,0)))</f>
        <v/>
      </c>
      <c r="AH117" s="26" t="str">
        <f>IF($AN117="","",INDEX(Verlauf!$F$6:$F$1000,MATCH($AN117,Verlauf!$A$6:$A$1000,0)))</f>
        <v/>
      </c>
      <c r="AI117" s="26" t="str">
        <f>IF($AN117="","",INDEX(Verlauf!$H$6:$H$1000,MATCH($AN117,Verlauf!$A$6:$A$1000,0)))</f>
        <v/>
      </c>
      <c r="AJ117" s="26" t="str">
        <f>IF($AN117="","",INDEX(Verlauf!$N$6:$N$1000,MATCH($AN117,Verlauf!$A$6:$A$1000,0)))</f>
        <v/>
      </c>
      <c r="AK117" s="26" t="str">
        <f>IF($AN117="","",INDEX(Verlauf!$O$6:$O$1000,MATCH($AN117,Verlauf!$A$6:$A$1000,0)))</f>
        <v/>
      </c>
      <c r="AL117" s="26" t="str">
        <f>IF($AN117="","",INDEX(Verlauf!$P$6:$P$1000,MATCH($AN117,Verlauf!$A$6:$A$1000,0)))</f>
        <v/>
      </c>
      <c r="AM117" s="26" t="str">
        <f>IF($AN117="","",INDEX(Verlauf!$R$6:$R$1000,MATCH($AN117,Verlauf!$A$6:$A$1000,0)))</f>
        <v/>
      </c>
      <c r="AN117" s="28" t="str">
        <f>IF(U117&gt;0,_xlfn.MAXIFS(Verlauf!$A$6:$A$1000,Verlauf!$B$6:$B$1000,$A117,Verlauf!$C$6:$C$1000,$B117),"")</f>
        <v/>
      </c>
    </row>
    <row r="118" spans="1:40" x14ac:dyDescent="0.25">
      <c r="A118" s="26">
        <v>2028</v>
      </c>
      <c r="B118" s="26">
        <v>37</v>
      </c>
      <c r="C118" s="7" t="str">
        <f t="shared" si="10"/>
        <v>KW 37/28</v>
      </c>
      <c r="D118" s="26">
        <f>SUMIFS(Verlauf!$K$6:$K$1000,Verlauf!$B$6:$B$1000,$A118,Verlauf!$C$6:$C$1000,$B118)</f>
        <v>0</v>
      </c>
      <c r="E118" s="26">
        <f>SUMIFS(Verlauf!$L$6:$L$1000,Verlauf!$B$6:$B$1000,$A118,Verlauf!$C$6:$C$1000,$B118)</f>
        <v>0</v>
      </c>
      <c r="F118" s="26">
        <f>SUMIFS(Verlauf!$M$6:$M$1000,Verlauf!$B$6:$B$1000,$A118,Verlauf!$C$6:$C$1000,$B118)</f>
        <v>0</v>
      </c>
      <c r="G118" s="26">
        <f>SUMIFS(Verlauf!$J$6:$J$1000,Verlauf!$B$6:$B$1000,$A118,Verlauf!$C$6:$C$1000,$B118)</f>
        <v>0</v>
      </c>
      <c r="H118" s="26">
        <f>SUMIFS(Verlauf!$U$6:$U$1000,Verlauf!$B$6:$B$1000,$A118,Verlauf!$C$6:$C$1000,$B118)</f>
        <v>0</v>
      </c>
      <c r="I118" s="26">
        <f>SUMIFS(Verlauf!$V$6:$V$1000,Verlauf!$B$6:$B$1000,$A118,Verlauf!$C$6:$C$1000,$B118)</f>
        <v>0</v>
      </c>
      <c r="J118" s="26">
        <f>SUMIFS(Verlauf!$W$6:$W$1000,Verlauf!$B$6:$B$1000,$A118,Verlauf!$C$6:$C$1000,$B118)</f>
        <v>0</v>
      </c>
      <c r="K118" s="26">
        <f>SUMIFS(Verlauf!$T$6:$T$1000,Verlauf!$B$6:$B$1000,$A118,Verlauf!$C$6:$C$1000,$B118)</f>
        <v>0</v>
      </c>
      <c r="L118" s="27">
        <f>IF(Filter!$T$7=TRUE,IFERROR(INDEX(Planung!$D$68:$IA$68,MATCH($W118,Wirksam!$D$6:$IA$6,0)),0),0)</f>
        <v>0</v>
      </c>
      <c r="M118" s="27">
        <f>IF(OR(Filter!$T$5=TRUE,Filter!$T$6=TRUE),IFERROR(INDEX(Planung!$D$69:$IA$69,MATCH($W118,Wirksam!$D$6:$IA$6,0)),0),0)</f>
        <v>0</v>
      </c>
      <c r="N118" s="27">
        <f t="shared" si="11"/>
        <v>0</v>
      </c>
      <c r="O118" s="27" t="e">
        <f t="shared" si="12"/>
        <v>#N/A</v>
      </c>
      <c r="P118" s="27" t="e">
        <f t="shared" si="13"/>
        <v>#N/A</v>
      </c>
      <c r="Q118" s="27" t="e">
        <f t="shared" si="14"/>
        <v>#N/A</v>
      </c>
      <c r="R118" s="27" t="e">
        <f t="shared" si="15"/>
        <v>#N/A</v>
      </c>
      <c r="S118" s="27" t="e">
        <f t="shared" si="16"/>
        <v>#N/A</v>
      </c>
      <c r="T118" s="27" t="e">
        <f t="shared" si="17"/>
        <v>#N/A</v>
      </c>
      <c r="U118" s="26">
        <f>COUNTIFS(Verlauf!$B$6:$B$1000,$A118,Verlauf!$C$6:$C$1000,$B118)</f>
        <v>0</v>
      </c>
      <c r="V118" s="26">
        <f t="shared" si="18"/>
        <v>0</v>
      </c>
      <c r="W118" s="26">
        <f t="shared" si="19"/>
        <v>202837</v>
      </c>
      <c r="X118" s="26">
        <f>SUMIFS(Verlauf!$X$6:$X$1000,Verlauf!$B$6:$B$1000,$A118,Verlauf!$C$6:$C$1000,$B118)</f>
        <v>0</v>
      </c>
      <c r="Y118" s="26">
        <f>SUMIFS(Verlauf!$Y$6:$Y$1000,Verlauf!$B$6:$B$1000,$A118,Verlauf!$C$6:$C$1000,$B118)</f>
        <v>0</v>
      </c>
      <c r="Z118" s="26">
        <f>SUMIFS(Verlauf!$Z$6:$Z$1000,Verlauf!$B$6:$B$1000,$A118,Verlauf!$C$6:$C$1000,$B118)</f>
        <v>0</v>
      </c>
      <c r="AA118" s="26">
        <f>SUMIFS(Verlauf!$I$6:$I$1000,Verlauf!$B$6:$B$1000,$A118,Verlauf!$C$6:$C$1000,$B118)</f>
        <v>0</v>
      </c>
      <c r="AB118" s="26">
        <f>SUMIFS(Verlauf!$AA$6:$AA$1000,Verlauf!$B$6:$B$1000,$A118,Verlauf!$C$6:$C$1000,$B118)</f>
        <v>0</v>
      </c>
      <c r="AC118" s="26">
        <f>SUMIFS(Verlauf!$AB$6:$AB$1000,Verlauf!$B$6:$B$1000,$A118,Verlauf!$C$6:$C$1000,$B118)</f>
        <v>0</v>
      </c>
      <c r="AD118" s="26">
        <f>SUMIFS(Verlauf!$AC$6:$AC$1000,Verlauf!$B$6:$B$1000,$A118,Verlauf!$C$6:$C$1000,$B118)</f>
        <v>0</v>
      </c>
      <c r="AE118" s="26">
        <f>SUMIFS(Verlauf!$S$6:$S$1000,Verlauf!$B$6:$B$1000,$A118,Verlauf!$C$6:$C$1000,$B118)</f>
        <v>0</v>
      </c>
      <c r="AF118" s="26" t="str">
        <f>IF($AN118="","",INDEX(Verlauf!$D$6:$D$1000,MATCH($AN118,Verlauf!$A$6:$A$1000,0)))</f>
        <v/>
      </c>
      <c r="AG118" s="26" t="str">
        <f>IF($AN118="","",INDEX(Verlauf!$E$6:$E$1000,MATCH($AN118,Verlauf!$A$6:$A$1000,0)))</f>
        <v/>
      </c>
      <c r="AH118" s="26" t="str">
        <f>IF($AN118="","",INDEX(Verlauf!$F$6:$F$1000,MATCH($AN118,Verlauf!$A$6:$A$1000,0)))</f>
        <v/>
      </c>
      <c r="AI118" s="26" t="str">
        <f>IF($AN118="","",INDEX(Verlauf!$H$6:$H$1000,MATCH($AN118,Verlauf!$A$6:$A$1000,0)))</f>
        <v/>
      </c>
      <c r="AJ118" s="26" t="str">
        <f>IF($AN118="","",INDEX(Verlauf!$N$6:$N$1000,MATCH($AN118,Verlauf!$A$6:$A$1000,0)))</f>
        <v/>
      </c>
      <c r="AK118" s="26" t="str">
        <f>IF($AN118="","",INDEX(Verlauf!$O$6:$O$1000,MATCH($AN118,Verlauf!$A$6:$A$1000,0)))</f>
        <v/>
      </c>
      <c r="AL118" s="26" t="str">
        <f>IF($AN118="","",INDEX(Verlauf!$P$6:$P$1000,MATCH($AN118,Verlauf!$A$6:$A$1000,0)))</f>
        <v/>
      </c>
      <c r="AM118" s="26" t="str">
        <f>IF($AN118="","",INDEX(Verlauf!$R$6:$R$1000,MATCH($AN118,Verlauf!$A$6:$A$1000,0)))</f>
        <v/>
      </c>
      <c r="AN118" s="28" t="str">
        <f>IF(U118&gt;0,_xlfn.MAXIFS(Verlauf!$A$6:$A$1000,Verlauf!$B$6:$B$1000,$A118,Verlauf!$C$6:$C$1000,$B118),"")</f>
        <v/>
      </c>
    </row>
    <row r="119" spans="1:40" x14ac:dyDescent="0.25">
      <c r="A119" s="26">
        <v>2028</v>
      </c>
      <c r="B119" s="26">
        <v>38</v>
      </c>
      <c r="C119" s="7" t="str">
        <f t="shared" si="10"/>
        <v>KW 38/28</v>
      </c>
      <c r="D119" s="26">
        <f>SUMIFS(Verlauf!$K$6:$K$1000,Verlauf!$B$6:$B$1000,$A119,Verlauf!$C$6:$C$1000,$B119)</f>
        <v>0</v>
      </c>
      <c r="E119" s="26">
        <f>SUMIFS(Verlauf!$L$6:$L$1000,Verlauf!$B$6:$B$1000,$A119,Verlauf!$C$6:$C$1000,$B119)</f>
        <v>0</v>
      </c>
      <c r="F119" s="26">
        <f>SUMIFS(Verlauf!$M$6:$M$1000,Verlauf!$B$6:$B$1000,$A119,Verlauf!$C$6:$C$1000,$B119)</f>
        <v>0</v>
      </c>
      <c r="G119" s="26">
        <f>SUMIFS(Verlauf!$J$6:$J$1000,Verlauf!$B$6:$B$1000,$A119,Verlauf!$C$6:$C$1000,$B119)</f>
        <v>0</v>
      </c>
      <c r="H119" s="26">
        <f>SUMIFS(Verlauf!$U$6:$U$1000,Verlauf!$B$6:$B$1000,$A119,Verlauf!$C$6:$C$1000,$B119)</f>
        <v>0</v>
      </c>
      <c r="I119" s="26">
        <f>SUMIFS(Verlauf!$V$6:$V$1000,Verlauf!$B$6:$B$1000,$A119,Verlauf!$C$6:$C$1000,$B119)</f>
        <v>0</v>
      </c>
      <c r="J119" s="26">
        <f>SUMIFS(Verlauf!$W$6:$W$1000,Verlauf!$B$6:$B$1000,$A119,Verlauf!$C$6:$C$1000,$B119)</f>
        <v>0</v>
      </c>
      <c r="K119" s="26">
        <f>SUMIFS(Verlauf!$T$6:$T$1000,Verlauf!$B$6:$B$1000,$A119,Verlauf!$C$6:$C$1000,$B119)</f>
        <v>0</v>
      </c>
      <c r="L119" s="27">
        <f>IF(Filter!$T$7=TRUE,IFERROR(INDEX(Planung!$D$68:$IA$68,MATCH($W119,Wirksam!$D$6:$IA$6,0)),0),0)</f>
        <v>0</v>
      </c>
      <c r="M119" s="27">
        <f>IF(OR(Filter!$T$5=TRUE,Filter!$T$6=TRUE),IFERROR(INDEX(Planung!$D$69:$IA$69,MATCH($W119,Wirksam!$D$6:$IA$6,0)),0),0)</f>
        <v>0</v>
      </c>
      <c r="N119" s="27">
        <f t="shared" si="11"/>
        <v>0</v>
      </c>
      <c r="O119" s="27" t="e">
        <f t="shared" si="12"/>
        <v>#N/A</v>
      </c>
      <c r="P119" s="27" t="e">
        <f t="shared" si="13"/>
        <v>#N/A</v>
      </c>
      <c r="Q119" s="27" t="e">
        <f t="shared" si="14"/>
        <v>#N/A</v>
      </c>
      <c r="R119" s="27" t="e">
        <f t="shared" si="15"/>
        <v>#N/A</v>
      </c>
      <c r="S119" s="27" t="e">
        <f t="shared" si="16"/>
        <v>#N/A</v>
      </c>
      <c r="T119" s="27" t="e">
        <f t="shared" si="17"/>
        <v>#N/A</v>
      </c>
      <c r="U119" s="26">
        <f>COUNTIFS(Verlauf!$B$6:$B$1000,$A119,Verlauf!$C$6:$C$1000,$B119)</f>
        <v>0</v>
      </c>
      <c r="V119" s="26">
        <f t="shared" si="18"/>
        <v>0</v>
      </c>
      <c r="W119" s="26">
        <f t="shared" si="19"/>
        <v>202838</v>
      </c>
      <c r="X119" s="26">
        <f>SUMIFS(Verlauf!$X$6:$X$1000,Verlauf!$B$6:$B$1000,$A119,Verlauf!$C$6:$C$1000,$B119)</f>
        <v>0</v>
      </c>
      <c r="Y119" s="26">
        <f>SUMIFS(Verlauf!$Y$6:$Y$1000,Verlauf!$B$6:$B$1000,$A119,Verlauf!$C$6:$C$1000,$B119)</f>
        <v>0</v>
      </c>
      <c r="Z119" s="26">
        <f>SUMIFS(Verlauf!$Z$6:$Z$1000,Verlauf!$B$6:$B$1000,$A119,Verlauf!$C$6:$C$1000,$B119)</f>
        <v>0</v>
      </c>
      <c r="AA119" s="26">
        <f>SUMIFS(Verlauf!$I$6:$I$1000,Verlauf!$B$6:$B$1000,$A119,Verlauf!$C$6:$C$1000,$B119)</f>
        <v>0</v>
      </c>
      <c r="AB119" s="26">
        <f>SUMIFS(Verlauf!$AA$6:$AA$1000,Verlauf!$B$6:$B$1000,$A119,Verlauf!$C$6:$C$1000,$B119)</f>
        <v>0</v>
      </c>
      <c r="AC119" s="26">
        <f>SUMIFS(Verlauf!$AB$6:$AB$1000,Verlauf!$B$6:$B$1000,$A119,Verlauf!$C$6:$C$1000,$B119)</f>
        <v>0</v>
      </c>
      <c r="AD119" s="26">
        <f>SUMIFS(Verlauf!$AC$6:$AC$1000,Verlauf!$B$6:$B$1000,$A119,Verlauf!$C$6:$C$1000,$B119)</f>
        <v>0</v>
      </c>
      <c r="AE119" s="26">
        <f>SUMIFS(Verlauf!$S$6:$S$1000,Verlauf!$B$6:$B$1000,$A119,Verlauf!$C$6:$C$1000,$B119)</f>
        <v>0</v>
      </c>
      <c r="AF119" s="26" t="str">
        <f>IF($AN119="","",INDEX(Verlauf!$D$6:$D$1000,MATCH($AN119,Verlauf!$A$6:$A$1000,0)))</f>
        <v/>
      </c>
      <c r="AG119" s="26" t="str">
        <f>IF($AN119="","",INDEX(Verlauf!$E$6:$E$1000,MATCH($AN119,Verlauf!$A$6:$A$1000,0)))</f>
        <v/>
      </c>
      <c r="AH119" s="26" t="str">
        <f>IF($AN119="","",INDEX(Verlauf!$F$6:$F$1000,MATCH($AN119,Verlauf!$A$6:$A$1000,0)))</f>
        <v/>
      </c>
      <c r="AI119" s="26" t="str">
        <f>IF($AN119="","",INDEX(Verlauf!$H$6:$H$1000,MATCH($AN119,Verlauf!$A$6:$A$1000,0)))</f>
        <v/>
      </c>
      <c r="AJ119" s="26" t="str">
        <f>IF($AN119="","",INDEX(Verlauf!$N$6:$N$1000,MATCH($AN119,Verlauf!$A$6:$A$1000,0)))</f>
        <v/>
      </c>
      <c r="AK119" s="26" t="str">
        <f>IF($AN119="","",INDEX(Verlauf!$O$6:$O$1000,MATCH($AN119,Verlauf!$A$6:$A$1000,0)))</f>
        <v/>
      </c>
      <c r="AL119" s="26" t="str">
        <f>IF($AN119="","",INDEX(Verlauf!$P$6:$P$1000,MATCH($AN119,Verlauf!$A$6:$A$1000,0)))</f>
        <v/>
      </c>
      <c r="AM119" s="26" t="str">
        <f>IF($AN119="","",INDEX(Verlauf!$R$6:$R$1000,MATCH($AN119,Verlauf!$A$6:$A$1000,0)))</f>
        <v/>
      </c>
      <c r="AN119" s="28" t="str">
        <f>IF(U119&gt;0,_xlfn.MAXIFS(Verlauf!$A$6:$A$1000,Verlauf!$B$6:$B$1000,$A119,Verlauf!$C$6:$C$1000,$B119),"")</f>
        <v/>
      </c>
    </row>
    <row r="120" spans="1:40" x14ac:dyDescent="0.25">
      <c r="A120" s="26">
        <v>2028</v>
      </c>
      <c r="B120" s="26">
        <v>39</v>
      </c>
      <c r="C120" s="7" t="str">
        <f t="shared" si="10"/>
        <v>KW 39/28</v>
      </c>
      <c r="D120" s="26">
        <f>SUMIFS(Verlauf!$K$6:$K$1000,Verlauf!$B$6:$B$1000,$A120,Verlauf!$C$6:$C$1000,$B120)</f>
        <v>0</v>
      </c>
      <c r="E120" s="26">
        <f>SUMIFS(Verlauf!$L$6:$L$1000,Verlauf!$B$6:$B$1000,$A120,Verlauf!$C$6:$C$1000,$B120)</f>
        <v>0</v>
      </c>
      <c r="F120" s="26">
        <f>SUMIFS(Verlauf!$M$6:$M$1000,Verlauf!$B$6:$B$1000,$A120,Verlauf!$C$6:$C$1000,$B120)</f>
        <v>0</v>
      </c>
      <c r="G120" s="26">
        <f>SUMIFS(Verlauf!$J$6:$J$1000,Verlauf!$B$6:$B$1000,$A120,Verlauf!$C$6:$C$1000,$B120)</f>
        <v>0</v>
      </c>
      <c r="H120" s="26">
        <f>SUMIFS(Verlauf!$U$6:$U$1000,Verlauf!$B$6:$B$1000,$A120,Verlauf!$C$6:$C$1000,$B120)</f>
        <v>0</v>
      </c>
      <c r="I120" s="26">
        <f>SUMIFS(Verlauf!$V$6:$V$1000,Verlauf!$B$6:$B$1000,$A120,Verlauf!$C$6:$C$1000,$B120)</f>
        <v>0</v>
      </c>
      <c r="J120" s="26">
        <f>SUMIFS(Verlauf!$W$6:$W$1000,Verlauf!$B$6:$B$1000,$A120,Verlauf!$C$6:$C$1000,$B120)</f>
        <v>0</v>
      </c>
      <c r="K120" s="26">
        <f>SUMIFS(Verlauf!$T$6:$T$1000,Verlauf!$B$6:$B$1000,$A120,Verlauf!$C$6:$C$1000,$B120)</f>
        <v>0</v>
      </c>
      <c r="L120" s="27">
        <f>IF(Filter!$T$7=TRUE,IFERROR(INDEX(Planung!$D$68:$IA$68,MATCH($W120,Wirksam!$D$6:$IA$6,0)),0),0)</f>
        <v>0</v>
      </c>
      <c r="M120" s="27">
        <f>IF(OR(Filter!$T$5=TRUE,Filter!$T$6=TRUE),IFERROR(INDEX(Planung!$D$69:$IA$69,MATCH($W120,Wirksam!$D$6:$IA$6,0)),0),0)</f>
        <v>0</v>
      </c>
      <c r="N120" s="27">
        <f t="shared" si="11"/>
        <v>0</v>
      </c>
      <c r="O120" s="27" t="e">
        <f t="shared" si="12"/>
        <v>#N/A</v>
      </c>
      <c r="P120" s="27" t="e">
        <f t="shared" si="13"/>
        <v>#N/A</v>
      </c>
      <c r="Q120" s="27" t="e">
        <f t="shared" si="14"/>
        <v>#N/A</v>
      </c>
      <c r="R120" s="27" t="e">
        <f t="shared" si="15"/>
        <v>#N/A</v>
      </c>
      <c r="S120" s="27" t="e">
        <f t="shared" si="16"/>
        <v>#N/A</v>
      </c>
      <c r="T120" s="27" t="e">
        <f t="shared" si="17"/>
        <v>#N/A</v>
      </c>
      <c r="U120" s="26">
        <f>COUNTIFS(Verlauf!$B$6:$B$1000,$A120,Verlauf!$C$6:$C$1000,$B120)</f>
        <v>0</v>
      </c>
      <c r="V120" s="26">
        <f t="shared" si="18"/>
        <v>0</v>
      </c>
      <c r="W120" s="26">
        <f t="shared" si="19"/>
        <v>202839</v>
      </c>
      <c r="X120" s="26">
        <f>SUMIFS(Verlauf!$X$6:$X$1000,Verlauf!$B$6:$B$1000,$A120,Verlauf!$C$6:$C$1000,$B120)</f>
        <v>0</v>
      </c>
      <c r="Y120" s="26">
        <f>SUMIFS(Verlauf!$Y$6:$Y$1000,Verlauf!$B$6:$B$1000,$A120,Verlauf!$C$6:$C$1000,$B120)</f>
        <v>0</v>
      </c>
      <c r="Z120" s="26">
        <f>SUMIFS(Verlauf!$Z$6:$Z$1000,Verlauf!$B$6:$B$1000,$A120,Verlauf!$C$6:$C$1000,$B120)</f>
        <v>0</v>
      </c>
      <c r="AA120" s="26">
        <f>SUMIFS(Verlauf!$I$6:$I$1000,Verlauf!$B$6:$B$1000,$A120,Verlauf!$C$6:$C$1000,$B120)</f>
        <v>0</v>
      </c>
      <c r="AB120" s="26">
        <f>SUMIFS(Verlauf!$AA$6:$AA$1000,Verlauf!$B$6:$B$1000,$A120,Verlauf!$C$6:$C$1000,$B120)</f>
        <v>0</v>
      </c>
      <c r="AC120" s="26">
        <f>SUMIFS(Verlauf!$AB$6:$AB$1000,Verlauf!$B$6:$B$1000,$A120,Verlauf!$C$6:$C$1000,$B120)</f>
        <v>0</v>
      </c>
      <c r="AD120" s="26">
        <f>SUMIFS(Verlauf!$AC$6:$AC$1000,Verlauf!$B$6:$B$1000,$A120,Verlauf!$C$6:$C$1000,$B120)</f>
        <v>0</v>
      </c>
      <c r="AE120" s="26">
        <f>SUMIFS(Verlauf!$S$6:$S$1000,Verlauf!$B$6:$B$1000,$A120,Verlauf!$C$6:$C$1000,$B120)</f>
        <v>0</v>
      </c>
      <c r="AF120" s="26" t="str">
        <f>IF($AN120="","",INDEX(Verlauf!$D$6:$D$1000,MATCH($AN120,Verlauf!$A$6:$A$1000,0)))</f>
        <v/>
      </c>
      <c r="AG120" s="26" t="str">
        <f>IF($AN120="","",INDEX(Verlauf!$E$6:$E$1000,MATCH($AN120,Verlauf!$A$6:$A$1000,0)))</f>
        <v/>
      </c>
      <c r="AH120" s="26" t="str">
        <f>IF($AN120="","",INDEX(Verlauf!$F$6:$F$1000,MATCH($AN120,Verlauf!$A$6:$A$1000,0)))</f>
        <v/>
      </c>
      <c r="AI120" s="26" t="str">
        <f>IF($AN120="","",INDEX(Verlauf!$H$6:$H$1000,MATCH($AN120,Verlauf!$A$6:$A$1000,0)))</f>
        <v/>
      </c>
      <c r="AJ120" s="26" t="str">
        <f>IF($AN120="","",INDEX(Verlauf!$N$6:$N$1000,MATCH($AN120,Verlauf!$A$6:$A$1000,0)))</f>
        <v/>
      </c>
      <c r="AK120" s="26" t="str">
        <f>IF($AN120="","",INDEX(Verlauf!$O$6:$O$1000,MATCH($AN120,Verlauf!$A$6:$A$1000,0)))</f>
        <v/>
      </c>
      <c r="AL120" s="26" t="str">
        <f>IF($AN120="","",INDEX(Verlauf!$P$6:$P$1000,MATCH($AN120,Verlauf!$A$6:$A$1000,0)))</f>
        <v/>
      </c>
      <c r="AM120" s="26" t="str">
        <f>IF($AN120="","",INDEX(Verlauf!$R$6:$R$1000,MATCH($AN120,Verlauf!$A$6:$A$1000,0)))</f>
        <v/>
      </c>
      <c r="AN120" s="28" t="str">
        <f>IF(U120&gt;0,_xlfn.MAXIFS(Verlauf!$A$6:$A$1000,Verlauf!$B$6:$B$1000,$A120,Verlauf!$C$6:$C$1000,$B120),"")</f>
        <v/>
      </c>
    </row>
    <row r="121" spans="1:40" x14ac:dyDescent="0.25">
      <c r="A121" s="26">
        <v>2028</v>
      </c>
      <c r="B121" s="26">
        <v>40</v>
      </c>
      <c r="C121" s="7" t="str">
        <f t="shared" si="10"/>
        <v>KW 40/28</v>
      </c>
      <c r="D121" s="26">
        <f>SUMIFS(Verlauf!$K$6:$K$1000,Verlauf!$B$6:$B$1000,$A121,Verlauf!$C$6:$C$1000,$B121)</f>
        <v>0</v>
      </c>
      <c r="E121" s="26">
        <f>SUMIFS(Verlauf!$L$6:$L$1000,Verlauf!$B$6:$B$1000,$A121,Verlauf!$C$6:$C$1000,$B121)</f>
        <v>0</v>
      </c>
      <c r="F121" s="26">
        <f>SUMIFS(Verlauf!$M$6:$M$1000,Verlauf!$B$6:$B$1000,$A121,Verlauf!$C$6:$C$1000,$B121)</f>
        <v>0</v>
      </c>
      <c r="G121" s="26">
        <f>SUMIFS(Verlauf!$J$6:$J$1000,Verlauf!$B$6:$B$1000,$A121,Verlauf!$C$6:$C$1000,$B121)</f>
        <v>0</v>
      </c>
      <c r="H121" s="26">
        <f>SUMIFS(Verlauf!$U$6:$U$1000,Verlauf!$B$6:$B$1000,$A121,Verlauf!$C$6:$C$1000,$B121)</f>
        <v>0</v>
      </c>
      <c r="I121" s="26">
        <f>SUMIFS(Verlauf!$V$6:$V$1000,Verlauf!$B$6:$B$1000,$A121,Verlauf!$C$6:$C$1000,$B121)</f>
        <v>0</v>
      </c>
      <c r="J121" s="26">
        <f>SUMIFS(Verlauf!$W$6:$W$1000,Verlauf!$B$6:$B$1000,$A121,Verlauf!$C$6:$C$1000,$B121)</f>
        <v>0</v>
      </c>
      <c r="K121" s="26">
        <f>SUMIFS(Verlauf!$T$6:$T$1000,Verlauf!$B$6:$B$1000,$A121,Verlauf!$C$6:$C$1000,$B121)</f>
        <v>0</v>
      </c>
      <c r="L121" s="27">
        <f>IF(Filter!$T$7=TRUE,IFERROR(INDEX(Planung!$D$68:$IA$68,MATCH($W121,Wirksam!$D$6:$IA$6,0)),0),0)</f>
        <v>0</v>
      </c>
      <c r="M121" s="27">
        <f>IF(OR(Filter!$T$5=TRUE,Filter!$T$6=TRUE),IFERROR(INDEX(Planung!$D$69:$IA$69,MATCH($W121,Wirksam!$D$6:$IA$6,0)),0),0)</f>
        <v>0</v>
      </c>
      <c r="N121" s="27">
        <f t="shared" si="11"/>
        <v>0</v>
      </c>
      <c r="O121" s="27" t="e">
        <f t="shared" si="12"/>
        <v>#N/A</v>
      </c>
      <c r="P121" s="27" t="e">
        <f t="shared" si="13"/>
        <v>#N/A</v>
      </c>
      <c r="Q121" s="27" t="e">
        <f t="shared" si="14"/>
        <v>#N/A</v>
      </c>
      <c r="R121" s="27" t="e">
        <f t="shared" si="15"/>
        <v>#N/A</v>
      </c>
      <c r="S121" s="27" t="e">
        <f t="shared" si="16"/>
        <v>#N/A</v>
      </c>
      <c r="T121" s="27" t="e">
        <f t="shared" si="17"/>
        <v>#N/A</v>
      </c>
      <c r="U121" s="26">
        <f>COUNTIFS(Verlauf!$B$6:$B$1000,$A121,Verlauf!$C$6:$C$1000,$B121)</f>
        <v>0</v>
      </c>
      <c r="V121" s="26">
        <f t="shared" si="18"/>
        <v>0</v>
      </c>
      <c r="W121" s="26">
        <f t="shared" si="19"/>
        <v>202840</v>
      </c>
      <c r="X121" s="26">
        <f>SUMIFS(Verlauf!$X$6:$X$1000,Verlauf!$B$6:$B$1000,$A121,Verlauf!$C$6:$C$1000,$B121)</f>
        <v>0</v>
      </c>
      <c r="Y121" s="26">
        <f>SUMIFS(Verlauf!$Y$6:$Y$1000,Verlauf!$B$6:$B$1000,$A121,Verlauf!$C$6:$C$1000,$B121)</f>
        <v>0</v>
      </c>
      <c r="Z121" s="26">
        <f>SUMIFS(Verlauf!$Z$6:$Z$1000,Verlauf!$B$6:$B$1000,$A121,Verlauf!$C$6:$C$1000,$B121)</f>
        <v>0</v>
      </c>
      <c r="AA121" s="26">
        <f>SUMIFS(Verlauf!$I$6:$I$1000,Verlauf!$B$6:$B$1000,$A121,Verlauf!$C$6:$C$1000,$B121)</f>
        <v>0</v>
      </c>
      <c r="AB121" s="26">
        <f>SUMIFS(Verlauf!$AA$6:$AA$1000,Verlauf!$B$6:$B$1000,$A121,Verlauf!$C$6:$C$1000,$B121)</f>
        <v>0</v>
      </c>
      <c r="AC121" s="26">
        <f>SUMIFS(Verlauf!$AB$6:$AB$1000,Verlauf!$B$6:$B$1000,$A121,Verlauf!$C$6:$C$1000,$B121)</f>
        <v>0</v>
      </c>
      <c r="AD121" s="26">
        <f>SUMIFS(Verlauf!$AC$6:$AC$1000,Verlauf!$B$6:$B$1000,$A121,Verlauf!$C$6:$C$1000,$B121)</f>
        <v>0</v>
      </c>
      <c r="AE121" s="26">
        <f>SUMIFS(Verlauf!$S$6:$S$1000,Verlauf!$B$6:$B$1000,$A121,Verlauf!$C$6:$C$1000,$B121)</f>
        <v>0</v>
      </c>
      <c r="AF121" s="26" t="str">
        <f>IF($AN121="","",INDEX(Verlauf!$D$6:$D$1000,MATCH($AN121,Verlauf!$A$6:$A$1000,0)))</f>
        <v/>
      </c>
      <c r="AG121" s="26" t="str">
        <f>IF($AN121="","",INDEX(Verlauf!$E$6:$E$1000,MATCH($AN121,Verlauf!$A$6:$A$1000,0)))</f>
        <v/>
      </c>
      <c r="AH121" s="26" t="str">
        <f>IF($AN121="","",INDEX(Verlauf!$F$6:$F$1000,MATCH($AN121,Verlauf!$A$6:$A$1000,0)))</f>
        <v/>
      </c>
      <c r="AI121" s="26" t="str">
        <f>IF($AN121="","",INDEX(Verlauf!$H$6:$H$1000,MATCH($AN121,Verlauf!$A$6:$A$1000,0)))</f>
        <v/>
      </c>
      <c r="AJ121" s="26" t="str">
        <f>IF($AN121="","",INDEX(Verlauf!$N$6:$N$1000,MATCH($AN121,Verlauf!$A$6:$A$1000,0)))</f>
        <v/>
      </c>
      <c r="AK121" s="26" t="str">
        <f>IF($AN121="","",INDEX(Verlauf!$O$6:$O$1000,MATCH($AN121,Verlauf!$A$6:$A$1000,0)))</f>
        <v/>
      </c>
      <c r="AL121" s="26" t="str">
        <f>IF($AN121="","",INDEX(Verlauf!$P$6:$P$1000,MATCH($AN121,Verlauf!$A$6:$A$1000,0)))</f>
        <v/>
      </c>
      <c r="AM121" s="26" t="str">
        <f>IF($AN121="","",INDEX(Verlauf!$R$6:$R$1000,MATCH($AN121,Verlauf!$A$6:$A$1000,0)))</f>
        <v/>
      </c>
      <c r="AN121" s="28" t="str">
        <f>IF(U121&gt;0,_xlfn.MAXIFS(Verlauf!$A$6:$A$1000,Verlauf!$B$6:$B$1000,$A121,Verlauf!$C$6:$C$1000,$B121),"")</f>
        <v/>
      </c>
    </row>
    <row r="122" spans="1:40" x14ac:dyDescent="0.25">
      <c r="A122" s="26">
        <v>2028</v>
      </c>
      <c r="B122" s="26">
        <v>41</v>
      </c>
      <c r="C122" s="7" t="str">
        <f t="shared" si="10"/>
        <v>KW 41/28</v>
      </c>
      <c r="D122" s="26">
        <f>SUMIFS(Verlauf!$K$6:$K$1000,Verlauf!$B$6:$B$1000,$A122,Verlauf!$C$6:$C$1000,$B122)</f>
        <v>0</v>
      </c>
      <c r="E122" s="26">
        <f>SUMIFS(Verlauf!$L$6:$L$1000,Verlauf!$B$6:$B$1000,$A122,Verlauf!$C$6:$C$1000,$B122)</f>
        <v>0</v>
      </c>
      <c r="F122" s="26">
        <f>SUMIFS(Verlauf!$M$6:$M$1000,Verlauf!$B$6:$B$1000,$A122,Verlauf!$C$6:$C$1000,$B122)</f>
        <v>0</v>
      </c>
      <c r="G122" s="26">
        <f>SUMIFS(Verlauf!$J$6:$J$1000,Verlauf!$B$6:$B$1000,$A122,Verlauf!$C$6:$C$1000,$B122)</f>
        <v>0</v>
      </c>
      <c r="H122" s="26">
        <f>SUMIFS(Verlauf!$U$6:$U$1000,Verlauf!$B$6:$B$1000,$A122,Verlauf!$C$6:$C$1000,$B122)</f>
        <v>0</v>
      </c>
      <c r="I122" s="26">
        <f>SUMIFS(Verlauf!$V$6:$V$1000,Verlauf!$B$6:$B$1000,$A122,Verlauf!$C$6:$C$1000,$B122)</f>
        <v>0</v>
      </c>
      <c r="J122" s="26">
        <f>SUMIFS(Verlauf!$W$6:$W$1000,Verlauf!$B$6:$B$1000,$A122,Verlauf!$C$6:$C$1000,$B122)</f>
        <v>0</v>
      </c>
      <c r="K122" s="26">
        <f>SUMIFS(Verlauf!$T$6:$T$1000,Verlauf!$B$6:$B$1000,$A122,Verlauf!$C$6:$C$1000,$B122)</f>
        <v>0</v>
      </c>
      <c r="L122" s="27">
        <f>IF(Filter!$T$7=TRUE,IFERROR(INDEX(Planung!$D$68:$IA$68,MATCH($W122,Wirksam!$D$6:$IA$6,0)),0),0)</f>
        <v>0</v>
      </c>
      <c r="M122" s="27">
        <f>IF(OR(Filter!$T$5=TRUE,Filter!$T$6=TRUE),IFERROR(INDEX(Planung!$D$69:$IA$69,MATCH($W122,Wirksam!$D$6:$IA$6,0)),0),0)</f>
        <v>0</v>
      </c>
      <c r="N122" s="27">
        <f t="shared" si="11"/>
        <v>0</v>
      </c>
      <c r="O122" s="27" t="e">
        <f t="shared" si="12"/>
        <v>#N/A</v>
      </c>
      <c r="P122" s="27" t="e">
        <f t="shared" si="13"/>
        <v>#N/A</v>
      </c>
      <c r="Q122" s="27" t="e">
        <f t="shared" si="14"/>
        <v>#N/A</v>
      </c>
      <c r="R122" s="27" t="e">
        <f t="shared" si="15"/>
        <v>#N/A</v>
      </c>
      <c r="S122" s="27" t="e">
        <f t="shared" si="16"/>
        <v>#N/A</v>
      </c>
      <c r="T122" s="27" t="e">
        <f t="shared" si="17"/>
        <v>#N/A</v>
      </c>
      <c r="U122" s="26">
        <f>COUNTIFS(Verlauf!$B$6:$B$1000,$A122,Verlauf!$C$6:$C$1000,$B122)</f>
        <v>0</v>
      </c>
      <c r="V122" s="26">
        <f t="shared" si="18"/>
        <v>0</v>
      </c>
      <c r="W122" s="26">
        <f t="shared" si="19"/>
        <v>202841</v>
      </c>
      <c r="X122" s="26">
        <f>SUMIFS(Verlauf!$X$6:$X$1000,Verlauf!$B$6:$B$1000,$A122,Verlauf!$C$6:$C$1000,$B122)</f>
        <v>0</v>
      </c>
      <c r="Y122" s="26">
        <f>SUMIFS(Verlauf!$Y$6:$Y$1000,Verlauf!$B$6:$B$1000,$A122,Verlauf!$C$6:$C$1000,$B122)</f>
        <v>0</v>
      </c>
      <c r="Z122" s="26">
        <f>SUMIFS(Verlauf!$Z$6:$Z$1000,Verlauf!$B$6:$B$1000,$A122,Verlauf!$C$6:$C$1000,$B122)</f>
        <v>0</v>
      </c>
      <c r="AA122" s="26">
        <f>SUMIFS(Verlauf!$I$6:$I$1000,Verlauf!$B$6:$B$1000,$A122,Verlauf!$C$6:$C$1000,$B122)</f>
        <v>0</v>
      </c>
      <c r="AB122" s="26">
        <f>SUMIFS(Verlauf!$AA$6:$AA$1000,Verlauf!$B$6:$B$1000,$A122,Verlauf!$C$6:$C$1000,$B122)</f>
        <v>0</v>
      </c>
      <c r="AC122" s="26">
        <f>SUMIFS(Verlauf!$AB$6:$AB$1000,Verlauf!$B$6:$B$1000,$A122,Verlauf!$C$6:$C$1000,$B122)</f>
        <v>0</v>
      </c>
      <c r="AD122" s="26">
        <f>SUMIFS(Verlauf!$AC$6:$AC$1000,Verlauf!$B$6:$B$1000,$A122,Verlauf!$C$6:$C$1000,$B122)</f>
        <v>0</v>
      </c>
      <c r="AE122" s="26">
        <f>SUMIFS(Verlauf!$S$6:$S$1000,Verlauf!$B$6:$B$1000,$A122,Verlauf!$C$6:$C$1000,$B122)</f>
        <v>0</v>
      </c>
      <c r="AF122" s="26" t="str">
        <f>IF($AN122="","",INDEX(Verlauf!$D$6:$D$1000,MATCH($AN122,Verlauf!$A$6:$A$1000,0)))</f>
        <v/>
      </c>
      <c r="AG122" s="26" t="str">
        <f>IF($AN122="","",INDEX(Verlauf!$E$6:$E$1000,MATCH($AN122,Verlauf!$A$6:$A$1000,0)))</f>
        <v/>
      </c>
      <c r="AH122" s="26" t="str">
        <f>IF($AN122="","",INDEX(Verlauf!$F$6:$F$1000,MATCH($AN122,Verlauf!$A$6:$A$1000,0)))</f>
        <v/>
      </c>
      <c r="AI122" s="26" t="str">
        <f>IF($AN122="","",INDEX(Verlauf!$H$6:$H$1000,MATCH($AN122,Verlauf!$A$6:$A$1000,0)))</f>
        <v/>
      </c>
      <c r="AJ122" s="26" t="str">
        <f>IF($AN122="","",INDEX(Verlauf!$N$6:$N$1000,MATCH($AN122,Verlauf!$A$6:$A$1000,0)))</f>
        <v/>
      </c>
      <c r="AK122" s="26" t="str">
        <f>IF($AN122="","",INDEX(Verlauf!$O$6:$O$1000,MATCH($AN122,Verlauf!$A$6:$A$1000,0)))</f>
        <v/>
      </c>
      <c r="AL122" s="26" t="str">
        <f>IF($AN122="","",INDEX(Verlauf!$P$6:$P$1000,MATCH($AN122,Verlauf!$A$6:$A$1000,0)))</f>
        <v/>
      </c>
      <c r="AM122" s="26" t="str">
        <f>IF($AN122="","",INDEX(Verlauf!$R$6:$R$1000,MATCH($AN122,Verlauf!$A$6:$A$1000,0)))</f>
        <v/>
      </c>
      <c r="AN122" s="28" t="str">
        <f>IF(U122&gt;0,_xlfn.MAXIFS(Verlauf!$A$6:$A$1000,Verlauf!$B$6:$B$1000,$A122,Verlauf!$C$6:$C$1000,$B122),"")</f>
        <v/>
      </c>
    </row>
    <row r="123" spans="1:40" x14ac:dyDescent="0.25">
      <c r="A123" s="26">
        <v>2028</v>
      </c>
      <c r="B123" s="26">
        <v>42</v>
      </c>
      <c r="C123" s="7" t="str">
        <f t="shared" si="10"/>
        <v>KW 42/28</v>
      </c>
      <c r="D123" s="26">
        <f>SUMIFS(Verlauf!$K$6:$K$1000,Verlauf!$B$6:$B$1000,$A123,Verlauf!$C$6:$C$1000,$B123)</f>
        <v>0</v>
      </c>
      <c r="E123" s="26">
        <f>SUMIFS(Verlauf!$L$6:$L$1000,Verlauf!$B$6:$B$1000,$A123,Verlauf!$C$6:$C$1000,$B123)</f>
        <v>0</v>
      </c>
      <c r="F123" s="26">
        <f>SUMIFS(Verlauf!$M$6:$M$1000,Verlauf!$B$6:$B$1000,$A123,Verlauf!$C$6:$C$1000,$B123)</f>
        <v>0</v>
      </c>
      <c r="G123" s="26">
        <f>SUMIFS(Verlauf!$J$6:$J$1000,Verlauf!$B$6:$B$1000,$A123,Verlauf!$C$6:$C$1000,$B123)</f>
        <v>0</v>
      </c>
      <c r="H123" s="26">
        <f>SUMIFS(Verlauf!$U$6:$U$1000,Verlauf!$B$6:$B$1000,$A123,Verlauf!$C$6:$C$1000,$B123)</f>
        <v>0</v>
      </c>
      <c r="I123" s="26">
        <f>SUMIFS(Verlauf!$V$6:$V$1000,Verlauf!$B$6:$B$1000,$A123,Verlauf!$C$6:$C$1000,$B123)</f>
        <v>0</v>
      </c>
      <c r="J123" s="26">
        <f>SUMIFS(Verlauf!$W$6:$W$1000,Verlauf!$B$6:$B$1000,$A123,Verlauf!$C$6:$C$1000,$B123)</f>
        <v>0</v>
      </c>
      <c r="K123" s="26">
        <f>SUMIFS(Verlauf!$T$6:$T$1000,Verlauf!$B$6:$B$1000,$A123,Verlauf!$C$6:$C$1000,$B123)</f>
        <v>0</v>
      </c>
      <c r="L123" s="27">
        <f>IF(Filter!$T$7=TRUE,IFERROR(INDEX(Planung!$D$68:$IA$68,MATCH($W123,Wirksam!$D$6:$IA$6,0)),0),0)</f>
        <v>0</v>
      </c>
      <c r="M123" s="27">
        <f>IF(OR(Filter!$T$5=TRUE,Filter!$T$6=TRUE),IFERROR(INDEX(Planung!$D$69:$IA$69,MATCH($W123,Wirksam!$D$6:$IA$6,0)),0),0)</f>
        <v>0</v>
      </c>
      <c r="N123" s="27">
        <f t="shared" si="11"/>
        <v>0</v>
      </c>
      <c r="O123" s="27" t="e">
        <f t="shared" si="12"/>
        <v>#N/A</v>
      </c>
      <c r="P123" s="27" t="e">
        <f t="shared" si="13"/>
        <v>#N/A</v>
      </c>
      <c r="Q123" s="27" t="e">
        <f t="shared" si="14"/>
        <v>#N/A</v>
      </c>
      <c r="R123" s="27" t="e">
        <f t="shared" si="15"/>
        <v>#N/A</v>
      </c>
      <c r="S123" s="27" t="e">
        <f t="shared" si="16"/>
        <v>#N/A</v>
      </c>
      <c r="T123" s="27" t="e">
        <f t="shared" si="17"/>
        <v>#N/A</v>
      </c>
      <c r="U123" s="26">
        <f>COUNTIFS(Verlauf!$B$6:$B$1000,$A123,Verlauf!$C$6:$C$1000,$B123)</f>
        <v>0</v>
      </c>
      <c r="V123" s="26">
        <f t="shared" si="18"/>
        <v>0</v>
      </c>
      <c r="W123" s="26">
        <f t="shared" si="19"/>
        <v>202842</v>
      </c>
      <c r="X123" s="26">
        <f>SUMIFS(Verlauf!$X$6:$X$1000,Verlauf!$B$6:$B$1000,$A123,Verlauf!$C$6:$C$1000,$B123)</f>
        <v>0</v>
      </c>
      <c r="Y123" s="26">
        <f>SUMIFS(Verlauf!$Y$6:$Y$1000,Verlauf!$B$6:$B$1000,$A123,Verlauf!$C$6:$C$1000,$B123)</f>
        <v>0</v>
      </c>
      <c r="Z123" s="26">
        <f>SUMIFS(Verlauf!$Z$6:$Z$1000,Verlauf!$B$6:$B$1000,$A123,Verlauf!$C$6:$C$1000,$B123)</f>
        <v>0</v>
      </c>
      <c r="AA123" s="26">
        <f>SUMIFS(Verlauf!$I$6:$I$1000,Verlauf!$B$6:$B$1000,$A123,Verlauf!$C$6:$C$1000,$B123)</f>
        <v>0</v>
      </c>
      <c r="AB123" s="26">
        <f>SUMIFS(Verlauf!$AA$6:$AA$1000,Verlauf!$B$6:$B$1000,$A123,Verlauf!$C$6:$C$1000,$B123)</f>
        <v>0</v>
      </c>
      <c r="AC123" s="26">
        <f>SUMIFS(Verlauf!$AB$6:$AB$1000,Verlauf!$B$6:$B$1000,$A123,Verlauf!$C$6:$C$1000,$B123)</f>
        <v>0</v>
      </c>
      <c r="AD123" s="26">
        <f>SUMIFS(Verlauf!$AC$6:$AC$1000,Verlauf!$B$6:$B$1000,$A123,Verlauf!$C$6:$C$1000,$B123)</f>
        <v>0</v>
      </c>
      <c r="AE123" s="26">
        <f>SUMIFS(Verlauf!$S$6:$S$1000,Verlauf!$B$6:$B$1000,$A123,Verlauf!$C$6:$C$1000,$B123)</f>
        <v>0</v>
      </c>
      <c r="AF123" s="26" t="str">
        <f>IF($AN123="","",INDEX(Verlauf!$D$6:$D$1000,MATCH($AN123,Verlauf!$A$6:$A$1000,0)))</f>
        <v/>
      </c>
      <c r="AG123" s="26" t="str">
        <f>IF($AN123="","",INDEX(Verlauf!$E$6:$E$1000,MATCH($AN123,Verlauf!$A$6:$A$1000,0)))</f>
        <v/>
      </c>
      <c r="AH123" s="26" t="str">
        <f>IF($AN123="","",INDEX(Verlauf!$F$6:$F$1000,MATCH($AN123,Verlauf!$A$6:$A$1000,0)))</f>
        <v/>
      </c>
      <c r="AI123" s="26" t="str">
        <f>IF($AN123="","",INDEX(Verlauf!$H$6:$H$1000,MATCH($AN123,Verlauf!$A$6:$A$1000,0)))</f>
        <v/>
      </c>
      <c r="AJ123" s="26" t="str">
        <f>IF($AN123="","",INDEX(Verlauf!$N$6:$N$1000,MATCH($AN123,Verlauf!$A$6:$A$1000,0)))</f>
        <v/>
      </c>
      <c r="AK123" s="26" t="str">
        <f>IF($AN123="","",INDEX(Verlauf!$O$6:$O$1000,MATCH($AN123,Verlauf!$A$6:$A$1000,0)))</f>
        <v/>
      </c>
      <c r="AL123" s="26" t="str">
        <f>IF($AN123="","",INDEX(Verlauf!$P$6:$P$1000,MATCH($AN123,Verlauf!$A$6:$A$1000,0)))</f>
        <v/>
      </c>
      <c r="AM123" s="26" t="str">
        <f>IF($AN123="","",INDEX(Verlauf!$R$6:$R$1000,MATCH($AN123,Verlauf!$A$6:$A$1000,0)))</f>
        <v/>
      </c>
      <c r="AN123" s="28" t="str">
        <f>IF(U123&gt;0,_xlfn.MAXIFS(Verlauf!$A$6:$A$1000,Verlauf!$B$6:$B$1000,$A123,Verlauf!$C$6:$C$1000,$B123),"")</f>
        <v/>
      </c>
    </row>
    <row r="124" spans="1:40" x14ac:dyDescent="0.25">
      <c r="A124" s="26">
        <v>2028</v>
      </c>
      <c r="B124" s="26">
        <v>43</v>
      </c>
      <c r="C124" s="7" t="str">
        <f t="shared" si="10"/>
        <v>KW 43/28</v>
      </c>
      <c r="D124" s="26">
        <f>SUMIFS(Verlauf!$K$6:$K$1000,Verlauf!$B$6:$B$1000,$A124,Verlauf!$C$6:$C$1000,$B124)</f>
        <v>0</v>
      </c>
      <c r="E124" s="26">
        <f>SUMIFS(Verlauf!$L$6:$L$1000,Verlauf!$B$6:$B$1000,$A124,Verlauf!$C$6:$C$1000,$B124)</f>
        <v>0</v>
      </c>
      <c r="F124" s="26">
        <f>SUMIFS(Verlauf!$M$6:$M$1000,Verlauf!$B$6:$B$1000,$A124,Verlauf!$C$6:$C$1000,$B124)</f>
        <v>0</v>
      </c>
      <c r="G124" s="26">
        <f>SUMIFS(Verlauf!$J$6:$J$1000,Verlauf!$B$6:$B$1000,$A124,Verlauf!$C$6:$C$1000,$B124)</f>
        <v>0</v>
      </c>
      <c r="H124" s="26">
        <f>SUMIFS(Verlauf!$U$6:$U$1000,Verlauf!$B$6:$B$1000,$A124,Verlauf!$C$6:$C$1000,$B124)</f>
        <v>0</v>
      </c>
      <c r="I124" s="26">
        <f>SUMIFS(Verlauf!$V$6:$V$1000,Verlauf!$B$6:$B$1000,$A124,Verlauf!$C$6:$C$1000,$B124)</f>
        <v>0</v>
      </c>
      <c r="J124" s="26">
        <f>SUMIFS(Verlauf!$W$6:$W$1000,Verlauf!$B$6:$B$1000,$A124,Verlauf!$C$6:$C$1000,$B124)</f>
        <v>0</v>
      </c>
      <c r="K124" s="26">
        <f>SUMIFS(Verlauf!$T$6:$T$1000,Verlauf!$B$6:$B$1000,$A124,Verlauf!$C$6:$C$1000,$B124)</f>
        <v>0</v>
      </c>
      <c r="L124" s="27">
        <f>IF(Filter!$T$7=TRUE,IFERROR(INDEX(Planung!$D$68:$IA$68,MATCH($W124,Wirksam!$D$6:$IA$6,0)),0),0)</f>
        <v>0</v>
      </c>
      <c r="M124" s="27">
        <f>IF(OR(Filter!$T$5=TRUE,Filter!$T$6=TRUE),IFERROR(INDEX(Planung!$D$69:$IA$69,MATCH($W124,Wirksam!$D$6:$IA$6,0)),0),0)</f>
        <v>0</v>
      </c>
      <c r="N124" s="27">
        <f t="shared" si="11"/>
        <v>0</v>
      </c>
      <c r="O124" s="27" t="e">
        <f t="shared" si="12"/>
        <v>#N/A</v>
      </c>
      <c r="P124" s="27" t="e">
        <f t="shared" si="13"/>
        <v>#N/A</v>
      </c>
      <c r="Q124" s="27" t="e">
        <f t="shared" si="14"/>
        <v>#N/A</v>
      </c>
      <c r="R124" s="27" t="e">
        <f t="shared" si="15"/>
        <v>#N/A</v>
      </c>
      <c r="S124" s="27" t="e">
        <f t="shared" si="16"/>
        <v>#N/A</v>
      </c>
      <c r="T124" s="27" t="e">
        <f t="shared" si="17"/>
        <v>#N/A</v>
      </c>
      <c r="U124" s="26">
        <f>COUNTIFS(Verlauf!$B$6:$B$1000,$A124,Verlauf!$C$6:$C$1000,$B124)</f>
        <v>0</v>
      </c>
      <c r="V124" s="26">
        <f t="shared" si="18"/>
        <v>0</v>
      </c>
      <c r="W124" s="26">
        <f t="shared" si="19"/>
        <v>202843</v>
      </c>
      <c r="X124" s="26">
        <f>SUMIFS(Verlauf!$X$6:$X$1000,Verlauf!$B$6:$B$1000,$A124,Verlauf!$C$6:$C$1000,$B124)</f>
        <v>0</v>
      </c>
      <c r="Y124" s="26">
        <f>SUMIFS(Verlauf!$Y$6:$Y$1000,Verlauf!$B$6:$B$1000,$A124,Verlauf!$C$6:$C$1000,$B124)</f>
        <v>0</v>
      </c>
      <c r="Z124" s="26">
        <f>SUMIFS(Verlauf!$Z$6:$Z$1000,Verlauf!$B$6:$B$1000,$A124,Verlauf!$C$6:$C$1000,$B124)</f>
        <v>0</v>
      </c>
      <c r="AA124" s="26">
        <f>SUMIFS(Verlauf!$I$6:$I$1000,Verlauf!$B$6:$B$1000,$A124,Verlauf!$C$6:$C$1000,$B124)</f>
        <v>0</v>
      </c>
      <c r="AB124" s="26">
        <f>SUMIFS(Verlauf!$AA$6:$AA$1000,Verlauf!$B$6:$B$1000,$A124,Verlauf!$C$6:$C$1000,$B124)</f>
        <v>0</v>
      </c>
      <c r="AC124" s="26">
        <f>SUMIFS(Verlauf!$AB$6:$AB$1000,Verlauf!$B$6:$B$1000,$A124,Verlauf!$C$6:$C$1000,$B124)</f>
        <v>0</v>
      </c>
      <c r="AD124" s="26">
        <f>SUMIFS(Verlauf!$AC$6:$AC$1000,Verlauf!$B$6:$B$1000,$A124,Verlauf!$C$6:$C$1000,$B124)</f>
        <v>0</v>
      </c>
      <c r="AE124" s="26">
        <f>SUMIFS(Verlauf!$S$6:$S$1000,Verlauf!$B$6:$B$1000,$A124,Verlauf!$C$6:$C$1000,$B124)</f>
        <v>0</v>
      </c>
      <c r="AF124" s="26" t="str">
        <f>IF($AN124="","",INDEX(Verlauf!$D$6:$D$1000,MATCH($AN124,Verlauf!$A$6:$A$1000,0)))</f>
        <v/>
      </c>
      <c r="AG124" s="26" t="str">
        <f>IF($AN124="","",INDEX(Verlauf!$E$6:$E$1000,MATCH($AN124,Verlauf!$A$6:$A$1000,0)))</f>
        <v/>
      </c>
      <c r="AH124" s="26" t="str">
        <f>IF($AN124="","",INDEX(Verlauf!$F$6:$F$1000,MATCH($AN124,Verlauf!$A$6:$A$1000,0)))</f>
        <v/>
      </c>
      <c r="AI124" s="26" t="str">
        <f>IF($AN124="","",INDEX(Verlauf!$H$6:$H$1000,MATCH($AN124,Verlauf!$A$6:$A$1000,0)))</f>
        <v/>
      </c>
      <c r="AJ124" s="26" t="str">
        <f>IF($AN124="","",INDEX(Verlauf!$N$6:$N$1000,MATCH($AN124,Verlauf!$A$6:$A$1000,0)))</f>
        <v/>
      </c>
      <c r="AK124" s="26" t="str">
        <f>IF($AN124="","",INDEX(Verlauf!$O$6:$O$1000,MATCH($AN124,Verlauf!$A$6:$A$1000,0)))</f>
        <v/>
      </c>
      <c r="AL124" s="26" t="str">
        <f>IF($AN124="","",INDEX(Verlauf!$P$6:$P$1000,MATCH($AN124,Verlauf!$A$6:$A$1000,0)))</f>
        <v/>
      </c>
      <c r="AM124" s="26" t="str">
        <f>IF($AN124="","",INDEX(Verlauf!$R$6:$R$1000,MATCH($AN124,Verlauf!$A$6:$A$1000,0)))</f>
        <v/>
      </c>
      <c r="AN124" s="28" t="str">
        <f>IF(U124&gt;0,_xlfn.MAXIFS(Verlauf!$A$6:$A$1000,Verlauf!$B$6:$B$1000,$A124,Verlauf!$C$6:$C$1000,$B124),"")</f>
        <v/>
      </c>
    </row>
    <row r="125" spans="1:40" x14ac:dyDescent="0.25">
      <c r="A125" s="26">
        <v>2028</v>
      </c>
      <c r="B125" s="26">
        <v>44</v>
      </c>
      <c r="C125" s="7" t="str">
        <f t="shared" si="10"/>
        <v>KW 44/28</v>
      </c>
      <c r="D125" s="26">
        <f>SUMIFS(Verlauf!$K$6:$K$1000,Verlauf!$B$6:$B$1000,$A125,Verlauf!$C$6:$C$1000,$B125)</f>
        <v>0</v>
      </c>
      <c r="E125" s="26">
        <f>SUMIFS(Verlauf!$L$6:$L$1000,Verlauf!$B$6:$B$1000,$A125,Verlauf!$C$6:$C$1000,$B125)</f>
        <v>0</v>
      </c>
      <c r="F125" s="26">
        <f>SUMIFS(Verlauf!$M$6:$M$1000,Verlauf!$B$6:$B$1000,$A125,Verlauf!$C$6:$C$1000,$B125)</f>
        <v>0</v>
      </c>
      <c r="G125" s="26">
        <f>SUMIFS(Verlauf!$J$6:$J$1000,Verlauf!$B$6:$B$1000,$A125,Verlauf!$C$6:$C$1000,$B125)</f>
        <v>0</v>
      </c>
      <c r="H125" s="26">
        <f>SUMIFS(Verlauf!$U$6:$U$1000,Verlauf!$B$6:$B$1000,$A125,Verlauf!$C$6:$C$1000,$B125)</f>
        <v>0</v>
      </c>
      <c r="I125" s="26">
        <f>SUMIFS(Verlauf!$V$6:$V$1000,Verlauf!$B$6:$B$1000,$A125,Verlauf!$C$6:$C$1000,$B125)</f>
        <v>0</v>
      </c>
      <c r="J125" s="26">
        <f>SUMIFS(Verlauf!$W$6:$W$1000,Verlauf!$B$6:$B$1000,$A125,Verlauf!$C$6:$C$1000,$B125)</f>
        <v>0</v>
      </c>
      <c r="K125" s="26">
        <f>SUMIFS(Verlauf!$T$6:$T$1000,Verlauf!$B$6:$B$1000,$A125,Verlauf!$C$6:$C$1000,$B125)</f>
        <v>0</v>
      </c>
      <c r="L125" s="27">
        <f>IF(Filter!$T$7=TRUE,IFERROR(INDEX(Planung!$D$68:$IA$68,MATCH($W125,Wirksam!$D$6:$IA$6,0)),0),0)</f>
        <v>0</v>
      </c>
      <c r="M125" s="27">
        <f>IF(OR(Filter!$T$5=TRUE,Filter!$T$6=TRUE),IFERROR(INDEX(Planung!$D$69:$IA$69,MATCH($W125,Wirksam!$D$6:$IA$6,0)),0),0)</f>
        <v>0</v>
      </c>
      <c r="N125" s="27">
        <f t="shared" si="11"/>
        <v>0</v>
      </c>
      <c r="O125" s="27" t="e">
        <f t="shared" si="12"/>
        <v>#N/A</v>
      </c>
      <c r="P125" s="27" t="e">
        <f t="shared" si="13"/>
        <v>#N/A</v>
      </c>
      <c r="Q125" s="27" t="e">
        <f t="shared" si="14"/>
        <v>#N/A</v>
      </c>
      <c r="R125" s="27" t="e">
        <f t="shared" si="15"/>
        <v>#N/A</v>
      </c>
      <c r="S125" s="27" t="e">
        <f t="shared" si="16"/>
        <v>#N/A</v>
      </c>
      <c r="T125" s="27" t="e">
        <f t="shared" si="17"/>
        <v>#N/A</v>
      </c>
      <c r="U125" s="26">
        <f>COUNTIFS(Verlauf!$B$6:$B$1000,$A125,Verlauf!$C$6:$C$1000,$B125)</f>
        <v>0</v>
      </c>
      <c r="V125" s="26">
        <f t="shared" si="18"/>
        <v>0</v>
      </c>
      <c r="W125" s="26">
        <f t="shared" si="19"/>
        <v>202844</v>
      </c>
      <c r="X125" s="26">
        <f>SUMIFS(Verlauf!$X$6:$X$1000,Verlauf!$B$6:$B$1000,$A125,Verlauf!$C$6:$C$1000,$B125)</f>
        <v>0</v>
      </c>
      <c r="Y125" s="26">
        <f>SUMIFS(Verlauf!$Y$6:$Y$1000,Verlauf!$B$6:$B$1000,$A125,Verlauf!$C$6:$C$1000,$B125)</f>
        <v>0</v>
      </c>
      <c r="Z125" s="26">
        <f>SUMIFS(Verlauf!$Z$6:$Z$1000,Verlauf!$B$6:$B$1000,$A125,Verlauf!$C$6:$C$1000,$B125)</f>
        <v>0</v>
      </c>
      <c r="AA125" s="26">
        <f>SUMIFS(Verlauf!$I$6:$I$1000,Verlauf!$B$6:$B$1000,$A125,Verlauf!$C$6:$C$1000,$B125)</f>
        <v>0</v>
      </c>
      <c r="AB125" s="26">
        <f>SUMIFS(Verlauf!$AA$6:$AA$1000,Verlauf!$B$6:$B$1000,$A125,Verlauf!$C$6:$C$1000,$B125)</f>
        <v>0</v>
      </c>
      <c r="AC125" s="26">
        <f>SUMIFS(Verlauf!$AB$6:$AB$1000,Verlauf!$B$6:$B$1000,$A125,Verlauf!$C$6:$C$1000,$B125)</f>
        <v>0</v>
      </c>
      <c r="AD125" s="26">
        <f>SUMIFS(Verlauf!$AC$6:$AC$1000,Verlauf!$B$6:$B$1000,$A125,Verlauf!$C$6:$C$1000,$B125)</f>
        <v>0</v>
      </c>
      <c r="AE125" s="26">
        <f>SUMIFS(Verlauf!$S$6:$S$1000,Verlauf!$B$6:$B$1000,$A125,Verlauf!$C$6:$C$1000,$B125)</f>
        <v>0</v>
      </c>
      <c r="AF125" s="26" t="str">
        <f>IF($AN125="","",INDEX(Verlauf!$D$6:$D$1000,MATCH($AN125,Verlauf!$A$6:$A$1000,0)))</f>
        <v/>
      </c>
      <c r="AG125" s="26" t="str">
        <f>IF($AN125="","",INDEX(Verlauf!$E$6:$E$1000,MATCH($AN125,Verlauf!$A$6:$A$1000,0)))</f>
        <v/>
      </c>
      <c r="AH125" s="26" t="str">
        <f>IF($AN125="","",INDEX(Verlauf!$F$6:$F$1000,MATCH($AN125,Verlauf!$A$6:$A$1000,0)))</f>
        <v/>
      </c>
      <c r="AI125" s="26" t="str">
        <f>IF($AN125="","",INDEX(Verlauf!$H$6:$H$1000,MATCH($AN125,Verlauf!$A$6:$A$1000,0)))</f>
        <v/>
      </c>
      <c r="AJ125" s="26" t="str">
        <f>IF($AN125="","",INDEX(Verlauf!$N$6:$N$1000,MATCH($AN125,Verlauf!$A$6:$A$1000,0)))</f>
        <v/>
      </c>
      <c r="AK125" s="26" t="str">
        <f>IF($AN125="","",INDEX(Verlauf!$O$6:$O$1000,MATCH($AN125,Verlauf!$A$6:$A$1000,0)))</f>
        <v/>
      </c>
      <c r="AL125" s="26" t="str">
        <f>IF($AN125="","",INDEX(Verlauf!$P$6:$P$1000,MATCH($AN125,Verlauf!$A$6:$A$1000,0)))</f>
        <v/>
      </c>
      <c r="AM125" s="26" t="str">
        <f>IF($AN125="","",INDEX(Verlauf!$R$6:$R$1000,MATCH($AN125,Verlauf!$A$6:$A$1000,0)))</f>
        <v/>
      </c>
      <c r="AN125" s="28" t="str">
        <f>IF(U125&gt;0,_xlfn.MAXIFS(Verlauf!$A$6:$A$1000,Verlauf!$B$6:$B$1000,$A125,Verlauf!$C$6:$C$1000,$B125),"")</f>
        <v/>
      </c>
    </row>
    <row r="126" spans="1:40" x14ac:dyDescent="0.25">
      <c r="A126" s="26">
        <v>2028</v>
      </c>
      <c r="B126" s="26">
        <v>45</v>
      </c>
      <c r="C126" s="7" t="str">
        <f t="shared" si="10"/>
        <v>KW 45/28</v>
      </c>
      <c r="D126" s="26">
        <f>SUMIFS(Verlauf!$K$6:$K$1000,Verlauf!$B$6:$B$1000,$A126,Verlauf!$C$6:$C$1000,$B126)</f>
        <v>0</v>
      </c>
      <c r="E126" s="26">
        <f>SUMIFS(Verlauf!$L$6:$L$1000,Verlauf!$B$6:$B$1000,$A126,Verlauf!$C$6:$C$1000,$B126)</f>
        <v>0</v>
      </c>
      <c r="F126" s="26">
        <f>SUMIFS(Verlauf!$M$6:$M$1000,Verlauf!$B$6:$B$1000,$A126,Verlauf!$C$6:$C$1000,$B126)</f>
        <v>0</v>
      </c>
      <c r="G126" s="26">
        <f>SUMIFS(Verlauf!$J$6:$J$1000,Verlauf!$B$6:$B$1000,$A126,Verlauf!$C$6:$C$1000,$B126)</f>
        <v>0</v>
      </c>
      <c r="H126" s="26">
        <f>SUMIFS(Verlauf!$U$6:$U$1000,Verlauf!$B$6:$B$1000,$A126,Verlauf!$C$6:$C$1000,$B126)</f>
        <v>0</v>
      </c>
      <c r="I126" s="26">
        <f>SUMIFS(Verlauf!$V$6:$V$1000,Verlauf!$B$6:$B$1000,$A126,Verlauf!$C$6:$C$1000,$B126)</f>
        <v>0</v>
      </c>
      <c r="J126" s="26">
        <f>SUMIFS(Verlauf!$W$6:$W$1000,Verlauf!$B$6:$B$1000,$A126,Verlauf!$C$6:$C$1000,$B126)</f>
        <v>0</v>
      </c>
      <c r="K126" s="26">
        <f>SUMIFS(Verlauf!$T$6:$T$1000,Verlauf!$B$6:$B$1000,$A126,Verlauf!$C$6:$C$1000,$B126)</f>
        <v>0</v>
      </c>
      <c r="L126" s="27">
        <f>IF(Filter!$T$7=TRUE,IFERROR(INDEX(Planung!$D$68:$IA$68,MATCH($W126,Wirksam!$D$6:$IA$6,0)),0),0)</f>
        <v>0</v>
      </c>
      <c r="M126" s="27">
        <f>IF(OR(Filter!$T$5=TRUE,Filter!$T$6=TRUE),IFERROR(INDEX(Planung!$D$69:$IA$69,MATCH($W126,Wirksam!$D$6:$IA$6,0)),0),0)</f>
        <v>0</v>
      </c>
      <c r="N126" s="27">
        <f t="shared" si="11"/>
        <v>0</v>
      </c>
      <c r="O126" s="27" t="e">
        <f t="shared" si="12"/>
        <v>#N/A</v>
      </c>
      <c r="P126" s="27" t="e">
        <f t="shared" si="13"/>
        <v>#N/A</v>
      </c>
      <c r="Q126" s="27" t="e">
        <f t="shared" si="14"/>
        <v>#N/A</v>
      </c>
      <c r="R126" s="27" t="e">
        <f t="shared" si="15"/>
        <v>#N/A</v>
      </c>
      <c r="S126" s="27" t="e">
        <f t="shared" si="16"/>
        <v>#N/A</v>
      </c>
      <c r="T126" s="27" t="e">
        <f t="shared" si="17"/>
        <v>#N/A</v>
      </c>
      <c r="U126" s="26">
        <f>COUNTIFS(Verlauf!$B$6:$B$1000,$A126,Verlauf!$C$6:$C$1000,$B126)</f>
        <v>0</v>
      </c>
      <c r="V126" s="26">
        <f t="shared" si="18"/>
        <v>0</v>
      </c>
      <c r="W126" s="26">
        <f t="shared" si="19"/>
        <v>202845</v>
      </c>
      <c r="X126" s="26">
        <f>SUMIFS(Verlauf!$X$6:$X$1000,Verlauf!$B$6:$B$1000,$A126,Verlauf!$C$6:$C$1000,$B126)</f>
        <v>0</v>
      </c>
      <c r="Y126" s="26">
        <f>SUMIFS(Verlauf!$Y$6:$Y$1000,Verlauf!$B$6:$B$1000,$A126,Verlauf!$C$6:$C$1000,$B126)</f>
        <v>0</v>
      </c>
      <c r="Z126" s="26">
        <f>SUMIFS(Verlauf!$Z$6:$Z$1000,Verlauf!$B$6:$B$1000,$A126,Verlauf!$C$6:$C$1000,$B126)</f>
        <v>0</v>
      </c>
      <c r="AA126" s="26">
        <f>SUMIFS(Verlauf!$I$6:$I$1000,Verlauf!$B$6:$B$1000,$A126,Verlauf!$C$6:$C$1000,$B126)</f>
        <v>0</v>
      </c>
      <c r="AB126" s="26">
        <f>SUMIFS(Verlauf!$AA$6:$AA$1000,Verlauf!$B$6:$B$1000,$A126,Verlauf!$C$6:$C$1000,$B126)</f>
        <v>0</v>
      </c>
      <c r="AC126" s="26">
        <f>SUMIFS(Verlauf!$AB$6:$AB$1000,Verlauf!$B$6:$B$1000,$A126,Verlauf!$C$6:$C$1000,$B126)</f>
        <v>0</v>
      </c>
      <c r="AD126" s="26">
        <f>SUMIFS(Verlauf!$AC$6:$AC$1000,Verlauf!$B$6:$B$1000,$A126,Verlauf!$C$6:$C$1000,$B126)</f>
        <v>0</v>
      </c>
      <c r="AE126" s="26">
        <f>SUMIFS(Verlauf!$S$6:$S$1000,Verlauf!$B$6:$B$1000,$A126,Verlauf!$C$6:$C$1000,$B126)</f>
        <v>0</v>
      </c>
      <c r="AF126" s="26" t="str">
        <f>IF($AN126="","",INDEX(Verlauf!$D$6:$D$1000,MATCH($AN126,Verlauf!$A$6:$A$1000,0)))</f>
        <v/>
      </c>
      <c r="AG126" s="26" t="str">
        <f>IF($AN126="","",INDEX(Verlauf!$E$6:$E$1000,MATCH($AN126,Verlauf!$A$6:$A$1000,0)))</f>
        <v/>
      </c>
      <c r="AH126" s="26" t="str">
        <f>IF($AN126="","",INDEX(Verlauf!$F$6:$F$1000,MATCH($AN126,Verlauf!$A$6:$A$1000,0)))</f>
        <v/>
      </c>
      <c r="AI126" s="26" t="str">
        <f>IF($AN126="","",INDEX(Verlauf!$H$6:$H$1000,MATCH($AN126,Verlauf!$A$6:$A$1000,0)))</f>
        <v/>
      </c>
      <c r="AJ126" s="26" t="str">
        <f>IF($AN126="","",INDEX(Verlauf!$N$6:$N$1000,MATCH($AN126,Verlauf!$A$6:$A$1000,0)))</f>
        <v/>
      </c>
      <c r="AK126" s="26" t="str">
        <f>IF($AN126="","",INDEX(Verlauf!$O$6:$O$1000,MATCH($AN126,Verlauf!$A$6:$A$1000,0)))</f>
        <v/>
      </c>
      <c r="AL126" s="26" t="str">
        <f>IF($AN126="","",INDEX(Verlauf!$P$6:$P$1000,MATCH($AN126,Verlauf!$A$6:$A$1000,0)))</f>
        <v/>
      </c>
      <c r="AM126" s="26" t="str">
        <f>IF($AN126="","",INDEX(Verlauf!$R$6:$R$1000,MATCH($AN126,Verlauf!$A$6:$A$1000,0)))</f>
        <v/>
      </c>
      <c r="AN126" s="28" t="str">
        <f>IF(U126&gt;0,_xlfn.MAXIFS(Verlauf!$A$6:$A$1000,Verlauf!$B$6:$B$1000,$A126,Verlauf!$C$6:$C$1000,$B126),"")</f>
        <v/>
      </c>
    </row>
    <row r="127" spans="1:40" x14ac:dyDescent="0.25">
      <c r="A127" s="26">
        <v>2028</v>
      </c>
      <c r="B127" s="26">
        <v>46</v>
      </c>
      <c r="C127" s="7" t="str">
        <f t="shared" si="10"/>
        <v>KW 46/28</v>
      </c>
      <c r="D127" s="26">
        <f>SUMIFS(Verlauf!$K$6:$K$1000,Verlauf!$B$6:$B$1000,$A127,Verlauf!$C$6:$C$1000,$B127)</f>
        <v>0</v>
      </c>
      <c r="E127" s="26">
        <f>SUMIFS(Verlauf!$L$6:$L$1000,Verlauf!$B$6:$B$1000,$A127,Verlauf!$C$6:$C$1000,$B127)</f>
        <v>0</v>
      </c>
      <c r="F127" s="26">
        <f>SUMIFS(Verlauf!$M$6:$M$1000,Verlauf!$B$6:$B$1000,$A127,Verlauf!$C$6:$C$1000,$B127)</f>
        <v>0</v>
      </c>
      <c r="G127" s="26">
        <f>SUMIFS(Verlauf!$J$6:$J$1000,Verlauf!$B$6:$B$1000,$A127,Verlauf!$C$6:$C$1000,$B127)</f>
        <v>0</v>
      </c>
      <c r="H127" s="26">
        <f>SUMIFS(Verlauf!$U$6:$U$1000,Verlauf!$B$6:$B$1000,$A127,Verlauf!$C$6:$C$1000,$B127)</f>
        <v>0</v>
      </c>
      <c r="I127" s="26">
        <f>SUMIFS(Verlauf!$V$6:$V$1000,Verlauf!$B$6:$B$1000,$A127,Verlauf!$C$6:$C$1000,$B127)</f>
        <v>0</v>
      </c>
      <c r="J127" s="26">
        <f>SUMIFS(Verlauf!$W$6:$W$1000,Verlauf!$B$6:$B$1000,$A127,Verlauf!$C$6:$C$1000,$B127)</f>
        <v>0</v>
      </c>
      <c r="K127" s="26">
        <f>SUMIFS(Verlauf!$T$6:$T$1000,Verlauf!$B$6:$B$1000,$A127,Verlauf!$C$6:$C$1000,$B127)</f>
        <v>0</v>
      </c>
      <c r="L127" s="27">
        <f>IF(Filter!$T$7=TRUE,IFERROR(INDEX(Planung!$D$68:$IA$68,MATCH($W127,Wirksam!$D$6:$IA$6,0)),0),0)</f>
        <v>0</v>
      </c>
      <c r="M127" s="27">
        <f>IF(OR(Filter!$T$5=TRUE,Filter!$T$6=TRUE),IFERROR(INDEX(Planung!$D$69:$IA$69,MATCH($W127,Wirksam!$D$6:$IA$6,0)),0),0)</f>
        <v>0</v>
      </c>
      <c r="N127" s="27">
        <f t="shared" si="11"/>
        <v>0</v>
      </c>
      <c r="O127" s="27" t="e">
        <f t="shared" si="12"/>
        <v>#N/A</v>
      </c>
      <c r="P127" s="27" t="e">
        <f t="shared" si="13"/>
        <v>#N/A</v>
      </c>
      <c r="Q127" s="27" t="e">
        <f t="shared" si="14"/>
        <v>#N/A</v>
      </c>
      <c r="R127" s="27" t="e">
        <f t="shared" si="15"/>
        <v>#N/A</v>
      </c>
      <c r="S127" s="27" t="e">
        <f t="shared" si="16"/>
        <v>#N/A</v>
      </c>
      <c r="T127" s="27" t="e">
        <f t="shared" si="17"/>
        <v>#N/A</v>
      </c>
      <c r="U127" s="26">
        <f>COUNTIFS(Verlauf!$B$6:$B$1000,$A127,Verlauf!$C$6:$C$1000,$B127)</f>
        <v>0</v>
      </c>
      <c r="V127" s="26">
        <f t="shared" si="18"/>
        <v>0</v>
      </c>
      <c r="W127" s="26">
        <f t="shared" si="19"/>
        <v>202846</v>
      </c>
      <c r="X127" s="26">
        <f>SUMIFS(Verlauf!$X$6:$X$1000,Verlauf!$B$6:$B$1000,$A127,Verlauf!$C$6:$C$1000,$B127)</f>
        <v>0</v>
      </c>
      <c r="Y127" s="26">
        <f>SUMIFS(Verlauf!$Y$6:$Y$1000,Verlauf!$B$6:$B$1000,$A127,Verlauf!$C$6:$C$1000,$B127)</f>
        <v>0</v>
      </c>
      <c r="Z127" s="26">
        <f>SUMIFS(Verlauf!$Z$6:$Z$1000,Verlauf!$B$6:$B$1000,$A127,Verlauf!$C$6:$C$1000,$B127)</f>
        <v>0</v>
      </c>
      <c r="AA127" s="26">
        <f>SUMIFS(Verlauf!$I$6:$I$1000,Verlauf!$B$6:$B$1000,$A127,Verlauf!$C$6:$C$1000,$B127)</f>
        <v>0</v>
      </c>
      <c r="AB127" s="26">
        <f>SUMIFS(Verlauf!$AA$6:$AA$1000,Verlauf!$B$6:$B$1000,$A127,Verlauf!$C$6:$C$1000,$B127)</f>
        <v>0</v>
      </c>
      <c r="AC127" s="26">
        <f>SUMIFS(Verlauf!$AB$6:$AB$1000,Verlauf!$B$6:$B$1000,$A127,Verlauf!$C$6:$C$1000,$B127)</f>
        <v>0</v>
      </c>
      <c r="AD127" s="26">
        <f>SUMIFS(Verlauf!$AC$6:$AC$1000,Verlauf!$B$6:$B$1000,$A127,Verlauf!$C$6:$C$1000,$B127)</f>
        <v>0</v>
      </c>
      <c r="AE127" s="26">
        <f>SUMIFS(Verlauf!$S$6:$S$1000,Verlauf!$B$6:$B$1000,$A127,Verlauf!$C$6:$C$1000,$B127)</f>
        <v>0</v>
      </c>
      <c r="AF127" s="26" t="str">
        <f>IF($AN127="","",INDEX(Verlauf!$D$6:$D$1000,MATCH($AN127,Verlauf!$A$6:$A$1000,0)))</f>
        <v/>
      </c>
      <c r="AG127" s="26" t="str">
        <f>IF($AN127="","",INDEX(Verlauf!$E$6:$E$1000,MATCH($AN127,Verlauf!$A$6:$A$1000,0)))</f>
        <v/>
      </c>
      <c r="AH127" s="26" t="str">
        <f>IF($AN127="","",INDEX(Verlauf!$F$6:$F$1000,MATCH($AN127,Verlauf!$A$6:$A$1000,0)))</f>
        <v/>
      </c>
      <c r="AI127" s="26" t="str">
        <f>IF($AN127="","",INDEX(Verlauf!$H$6:$H$1000,MATCH($AN127,Verlauf!$A$6:$A$1000,0)))</f>
        <v/>
      </c>
      <c r="AJ127" s="26" t="str">
        <f>IF($AN127="","",INDEX(Verlauf!$N$6:$N$1000,MATCH($AN127,Verlauf!$A$6:$A$1000,0)))</f>
        <v/>
      </c>
      <c r="AK127" s="26" t="str">
        <f>IF($AN127="","",INDEX(Verlauf!$O$6:$O$1000,MATCH($AN127,Verlauf!$A$6:$A$1000,0)))</f>
        <v/>
      </c>
      <c r="AL127" s="26" t="str">
        <f>IF($AN127="","",INDEX(Verlauf!$P$6:$P$1000,MATCH($AN127,Verlauf!$A$6:$A$1000,0)))</f>
        <v/>
      </c>
      <c r="AM127" s="26" t="str">
        <f>IF($AN127="","",INDEX(Verlauf!$R$6:$R$1000,MATCH($AN127,Verlauf!$A$6:$A$1000,0)))</f>
        <v/>
      </c>
      <c r="AN127" s="28" t="str">
        <f>IF(U127&gt;0,_xlfn.MAXIFS(Verlauf!$A$6:$A$1000,Verlauf!$B$6:$B$1000,$A127,Verlauf!$C$6:$C$1000,$B127),"")</f>
        <v/>
      </c>
    </row>
    <row r="128" spans="1:40" x14ac:dyDescent="0.25">
      <c r="A128" s="26">
        <v>2028</v>
      </c>
      <c r="B128" s="26">
        <v>47</v>
      </c>
      <c r="C128" s="7" t="str">
        <f t="shared" si="10"/>
        <v>KW 47/28</v>
      </c>
      <c r="D128" s="26">
        <f>SUMIFS(Verlauf!$K$6:$K$1000,Verlauf!$B$6:$B$1000,$A128,Verlauf!$C$6:$C$1000,$B128)</f>
        <v>0</v>
      </c>
      <c r="E128" s="26">
        <f>SUMIFS(Verlauf!$L$6:$L$1000,Verlauf!$B$6:$B$1000,$A128,Verlauf!$C$6:$C$1000,$B128)</f>
        <v>0</v>
      </c>
      <c r="F128" s="26">
        <f>SUMIFS(Verlauf!$M$6:$M$1000,Verlauf!$B$6:$B$1000,$A128,Verlauf!$C$6:$C$1000,$B128)</f>
        <v>0</v>
      </c>
      <c r="G128" s="26">
        <f>SUMIFS(Verlauf!$J$6:$J$1000,Verlauf!$B$6:$B$1000,$A128,Verlauf!$C$6:$C$1000,$B128)</f>
        <v>0</v>
      </c>
      <c r="H128" s="26">
        <f>SUMIFS(Verlauf!$U$6:$U$1000,Verlauf!$B$6:$B$1000,$A128,Verlauf!$C$6:$C$1000,$B128)</f>
        <v>0</v>
      </c>
      <c r="I128" s="26">
        <f>SUMIFS(Verlauf!$V$6:$V$1000,Verlauf!$B$6:$B$1000,$A128,Verlauf!$C$6:$C$1000,$B128)</f>
        <v>0</v>
      </c>
      <c r="J128" s="26">
        <f>SUMIFS(Verlauf!$W$6:$W$1000,Verlauf!$B$6:$B$1000,$A128,Verlauf!$C$6:$C$1000,$B128)</f>
        <v>0</v>
      </c>
      <c r="K128" s="26">
        <f>SUMIFS(Verlauf!$T$6:$T$1000,Verlauf!$B$6:$B$1000,$A128,Verlauf!$C$6:$C$1000,$B128)</f>
        <v>0</v>
      </c>
      <c r="L128" s="27">
        <f>IF(Filter!$T$7=TRUE,IFERROR(INDEX(Planung!$D$68:$IA$68,MATCH($W128,Wirksam!$D$6:$IA$6,0)),0),0)</f>
        <v>0</v>
      </c>
      <c r="M128" s="27">
        <f>IF(OR(Filter!$T$5=TRUE,Filter!$T$6=TRUE),IFERROR(INDEX(Planung!$D$69:$IA$69,MATCH($W128,Wirksam!$D$6:$IA$6,0)),0),0)</f>
        <v>0</v>
      </c>
      <c r="N128" s="27">
        <f t="shared" si="11"/>
        <v>0</v>
      </c>
      <c r="O128" s="27" t="e">
        <f t="shared" si="12"/>
        <v>#N/A</v>
      </c>
      <c r="P128" s="27" t="e">
        <f t="shared" si="13"/>
        <v>#N/A</v>
      </c>
      <c r="Q128" s="27" t="e">
        <f t="shared" si="14"/>
        <v>#N/A</v>
      </c>
      <c r="R128" s="27" t="e">
        <f t="shared" si="15"/>
        <v>#N/A</v>
      </c>
      <c r="S128" s="27" t="e">
        <f t="shared" si="16"/>
        <v>#N/A</v>
      </c>
      <c r="T128" s="27" t="e">
        <f t="shared" si="17"/>
        <v>#N/A</v>
      </c>
      <c r="U128" s="26">
        <f>COUNTIFS(Verlauf!$B$6:$B$1000,$A128,Verlauf!$C$6:$C$1000,$B128)</f>
        <v>0</v>
      </c>
      <c r="V128" s="26">
        <f t="shared" si="18"/>
        <v>0</v>
      </c>
      <c r="W128" s="26">
        <f t="shared" si="19"/>
        <v>202847</v>
      </c>
      <c r="X128" s="26">
        <f>SUMIFS(Verlauf!$X$6:$X$1000,Verlauf!$B$6:$B$1000,$A128,Verlauf!$C$6:$C$1000,$B128)</f>
        <v>0</v>
      </c>
      <c r="Y128" s="26">
        <f>SUMIFS(Verlauf!$Y$6:$Y$1000,Verlauf!$B$6:$B$1000,$A128,Verlauf!$C$6:$C$1000,$B128)</f>
        <v>0</v>
      </c>
      <c r="Z128" s="26">
        <f>SUMIFS(Verlauf!$Z$6:$Z$1000,Verlauf!$B$6:$B$1000,$A128,Verlauf!$C$6:$C$1000,$B128)</f>
        <v>0</v>
      </c>
      <c r="AA128" s="26">
        <f>SUMIFS(Verlauf!$I$6:$I$1000,Verlauf!$B$6:$B$1000,$A128,Verlauf!$C$6:$C$1000,$B128)</f>
        <v>0</v>
      </c>
      <c r="AB128" s="26">
        <f>SUMIFS(Verlauf!$AA$6:$AA$1000,Verlauf!$B$6:$B$1000,$A128,Verlauf!$C$6:$C$1000,$B128)</f>
        <v>0</v>
      </c>
      <c r="AC128" s="26">
        <f>SUMIFS(Verlauf!$AB$6:$AB$1000,Verlauf!$B$6:$B$1000,$A128,Verlauf!$C$6:$C$1000,$B128)</f>
        <v>0</v>
      </c>
      <c r="AD128" s="26">
        <f>SUMIFS(Verlauf!$AC$6:$AC$1000,Verlauf!$B$6:$B$1000,$A128,Verlauf!$C$6:$C$1000,$B128)</f>
        <v>0</v>
      </c>
      <c r="AE128" s="26">
        <f>SUMIFS(Verlauf!$S$6:$S$1000,Verlauf!$B$6:$B$1000,$A128,Verlauf!$C$6:$C$1000,$B128)</f>
        <v>0</v>
      </c>
      <c r="AF128" s="26" t="str">
        <f>IF($AN128="","",INDEX(Verlauf!$D$6:$D$1000,MATCH($AN128,Verlauf!$A$6:$A$1000,0)))</f>
        <v/>
      </c>
      <c r="AG128" s="26" t="str">
        <f>IF($AN128="","",INDEX(Verlauf!$E$6:$E$1000,MATCH($AN128,Verlauf!$A$6:$A$1000,0)))</f>
        <v/>
      </c>
      <c r="AH128" s="26" t="str">
        <f>IF($AN128="","",INDEX(Verlauf!$F$6:$F$1000,MATCH($AN128,Verlauf!$A$6:$A$1000,0)))</f>
        <v/>
      </c>
      <c r="AI128" s="26" t="str">
        <f>IF($AN128="","",INDEX(Verlauf!$H$6:$H$1000,MATCH($AN128,Verlauf!$A$6:$A$1000,0)))</f>
        <v/>
      </c>
      <c r="AJ128" s="26" t="str">
        <f>IF($AN128="","",INDEX(Verlauf!$N$6:$N$1000,MATCH($AN128,Verlauf!$A$6:$A$1000,0)))</f>
        <v/>
      </c>
      <c r="AK128" s="26" t="str">
        <f>IF($AN128="","",INDEX(Verlauf!$O$6:$O$1000,MATCH($AN128,Verlauf!$A$6:$A$1000,0)))</f>
        <v/>
      </c>
      <c r="AL128" s="26" t="str">
        <f>IF($AN128="","",INDEX(Verlauf!$P$6:$P$1000,MATCH($AN128,Verlauf!$A$6:$A$1000,0)))</f>
        <v/>
      </c>
      <c r="AM128" s="26" t="str">
        <f>IF($AN128="","",INDEX(Verlauf!$R$6:$R$1000,MATCH($AN128,Verlauf!$A$6:$A$1000,0)))</f>
        <v/>
      </c>
      <c r="AN128" s="28" t="str">
        <f>IF(U128&gt;0,_xlfn.MAXIFS(Verlauf!$A$6:$A$1000,Verlauf!$B$6:$B$1000,$A128,Verlauf!$C$6:$C$1000,$B128),"")</f>
        <v/>
      </c>
    </row>
    <row r="129" spans="1:40" x14ac:dyDescent="0.25">
      <c r="A129" s="26">
        <v>2028</v>
      </c>
      <c r="B129" s="26">
        <v>48</v>
      </c>
      <c r="C129" s="7" t="str">
        <f t="shared" si="10"/>
        <v>KW 48/28</v>
      </c>
      <c r="D129" s="26">
        <f>SUMIFS(Verlauf!$K$6:$K$1000,Verlauf!$B$6:$B$1000,$A129,Verlauf!$C$6:$C$1000,$B129)</f>
        <v>0</v>
      </c>
      <c r="E129" s="26">
        <f>SUMIFS(Verlauf!$L$6:$L$1000,Verlauf!$B$6:$B$1000,$A129,Verlauf!$C$6:$C$1000,$B129)</f>
        <v>0</v>
      </c>
      <c r="F129" s="26">
        <f>SUMIFS(Verlauf!$M$6:$M$1000,Verlauf!$B$6:$B$1000,$A129,Verlauf!$C$6:$C$1000,$B129)</f>
        <v>0</v>
      </c>
      <c r="G129" s="26">
        <f>SUMIFS(Verlauf!$J$6:$J$1000,Verlauf!$B$6:$B$1000,$A129,Verlauf!$C$6:$C$1000,$B129)</f>
        <v>0</v>
      </c>
      <c r="H129" s="26">
        <f>SUMIFS(Verlauf!$U$6:$U$1000,Verlauf!$B$6:$B$1000,$A129,Verlauf!$C$6:$C$1000,$B129)</f>
        <v>0</v>
      </c>
      <c r="I129" s="26">
        <f>SUMIFS(Verlauf!$V$6:$V$1000,Verlauf!$B$6:$B$1000,$A129,Verlauf!$C$6:$C$1000,$B129)</f>
        <v>0</v>
      </c>
      <c r="J129" s="26">
        <f>SUMIFS(Verlauf!$W$6:$W$1000,Verlauf!$B$6:$B$1000,$A129,Verlauf!$C$6:$C$1000,$B129)</f>
        <v>0</v>
      </c>
      <c r="K129" s="26">
        <f>SUMIFS(Verlauf!$T$6:$T$1000,Verlauf!$B$6:$B$1000,$A129,Verlauf!$C$6:$C$1000,$B129)</f>
        <v>0</v>
      </c>
      <c r="L129" s="27">
        <f>IF(Filter!$T$7=TRUE,IFERROR(INDEX(Planung!$D$68:$IA$68,MATCH($W129,Wirksam!$D$6:$IA$6,0)),0),0)</f>
        <v>0</v>
      </c>
      <c r="M129" s="27">
        <f>IF(OR(Filter!$T$5=TRUE,Filter!$T$6=TRUE),IFERROR(INDEX(Planung!$D$69:$IA$69,MATCH($W129,Wirksam!$D$6:$IA$6,0)),0),0)</f>
        <v>0</v>
      </c>
      <c r="N129" s="27">
        <f t="shared" si="11"/>
        <v>0</v>
      </c>
      <c r="O129" s="27" t="e">
        <f t="shared" si="12"/>
        <v>#N/A</v>
      </c>
      <c r="P129" s="27" t="e">
        <f t="shared" si="13"/>
        <v>#N/A</v>
      </c>
      <c r="Q129" s="27" t="e">
        <f t="shared" si="14"/>
        <v>#N/A</v>
      </c>
      <c r="R129" s="27" t="e">
        <f t="shared" si="15"/>
        <v>#N/A</v>
      </c>
      <c r="S129" s="27" t="e">
        <f t="shared" si="16"/>
        <v>#N/A</v>
      </c>
      <c r="T129" s="27" t="e">
        <f t="shared" si="17"/>
        <v>#N/A</v>
      </c>
      <c r="U129" s="26">
        <f>COUNTIFS(Verlauf!$B$6:$B$1000,$A129,Verlauf!$C$6:$C$1000,$B129)</f>
        <v>0</v>
      </c>
      <c r="V129" s="26">
        <f t="shared" si="18"/>
        <v>0</v>
      </c>
      <c r="W129" s="26">
        <f t="shared" si="19"/>
        <v>202848</v>
      </c>
      <c r="X129" s="26">
        <f>SUMIFS(Verlauf!$X$6:$X$1000,Verlauf!$B$6:$B$1000,$A129,Verlauf!$C$6:$C$1000,$B129)</f>
        <v>0</v>
      </c>
      <c r="Y129" s="26">
        <f>SUMIFS(Verlauf!$Y$6:$Y$1000,Verlauf!$B$6:$B$1000,$A129,Verlauf!$C$6:$C$1000,$B129)</f>
        <v>0</v>
      </c>
      <c r="Z129" s="26">
        <f>SUMIFS(Verlauf!$Z$6:$Z$1000,Verlauf!$B$6:$B$1000,$A129,Verlauf!$C$6:$C$1000,$B129)</f>
        <v>0</v>
      </c>
      <c r="AA129" s="26">
        <f>SUMIFS(Verlauf!$I$6:$I$1000,Verlauf!$B$6:$B$1000,$A129,Verlauf!$C$6:$C$1000,$B129)</f>
        <v>0</v>
      </c>
      <c r="AB129" s="26">
        <f>SUMIFS(Verlauf!$AA$6:$AA$1000,Verlauf!$B$6:$B$1000,$A129,Verlauf!$C$6:$C$1000,$B129)</f>
        <v>0</v>
      </c>
      <c r="AC129" s="26">
        <f>SUMIFS(Verlauf!$AB$6:$AB$1000,Verlauf!$B$6:$B$1000,$A129,Verlauf!$C$6:$C$1000,$B129)</f>
        <v>0</v>
      </c>
      <c r="AD129" s="26">
        <f>SUMIFS(Verlauf!$AC$6:$AC$1000,Verlauf!$B$6:$B$1000,$A129,Verlauf!$C$6:$C$1000,$B129)</f>
        <v>0</v>
      </c>
      <c r="AE129" s="26">
        <f>SUMIFS(Verlauf!$S$6:$S$1000,Verlauf!$B$6:$B$1000,$A129,Verlauf!$C$6:$C$1000,$B129)</f>
        <v>0</v>
      </c>
      <c r="AF129" s="26" t="str">
        <f>IF($AN129="","",INDEX(Verlauf!$D$6:$D$1000,MATCH($AN129,Verlauf!$A$6:$A$1000,0)))</f>
        <v/>
      </c>
      <c r="AG129" s="26" t="str">
        <f>IF($AN129="","",INDEX(Verlauf!$E$6:$E$1000,MATCH($AN129,Verlauf!$A$6:$A$1000,0)))</f>
        <v/>
      </c>
      <c r="AH129" s="26" t="str">
        <f>IF($AN129="","",INDEX(Verlauf!$F$6:$F$1000,MATCH($AN129,Verlauf!$A$6:$A$1000,0)))</f>
        <v/>
      </c>
      <c r="AI129" s="26" t="str">
        <f>IF($AN129="","",INDEX(Verlauf!$H$6:$H$1000,MATCH($AN129,Verlauf!$A$6:$A$1000,0)))</f>
        <v/>
      </c>
      <c r="AJ129" s="26" t="str">
        <f>IF($AN129="","",INDEX(Verlauf!$N$6:$N$1000,MATCH($AN129,Verlauf!$A$6:$A$1000,0)))</f>
        <v/>
      </c>
      <c r="AK129" s="26" t="str">
        <f>IF($AN129="","",INDEX(Verlauf!$O$6:$O$1000,MATCH($AN129,Verlauf!$A$6:$A$1000,0)))</f>
        <v/>
      </c>
      <c r="AL129" s="26" t="str">
        <f>IF($AN129="","",INDEX(Verlauf!$P$6:$P$1000,MATCH($AN129,Verlauf!$A$6:$A$1000,0)))</f>
        <v/>
      </c>
      <c r="AM129" s="26" t="str">
        <f>IF($AN129="","",INDEX(Verlauf!$R$6:$R$1000,MATCH($AN129,Verlauf!$A$6:$A$1000,0)))</f>
        <v/>
      </c>
      <c r="AN129" s="28" t="str">
        <f>IF(U129&gt;0,_xlfn.MAXIFS(Verlauf!$A$6:$A$1000,Verlauf!$B$6:$B$1000,$A129,Verlauf!$C$6:$C$1000,$B129),"")</f>
        <v/>
      </c>
    </row>
    <row r="130" spans="1:40" x14ac:dyDescent="0.25">
      <c r="A130" s="26">
        <v>2028</v>
      </c>
      <c r="B130" s="26">
        <v>49</v>
      </c>
      <c r="C130" s="7" t="str">
        <f t="shared" si="10"/>
        <v>KW 49/28</v>
      </c>
      <c r="D130" s="26">
        <f>SUMIFS(Verlauf!$K$6:$K$1000,Verlauf!$B$6:$B$1000,$A130,Verlauf!$C$6:$C$1000,$B130)</f>
        <v>0</v>
      </c>
      <c r="E130" s="26">
        <f>SUMIFS(Verlauf!$L$6:$L$1000,Verlauf!$B$6:$B$1000,$A130,Verlauf!$C$6:$C$1000,$B130)</f>
        <v>0</v>
      </c>
      <c r="F130" s="26">
        <f>SUMIFS(Verlauf!$M$6:$M$1000,Verlauf!$B$6:$B$1000,$A130,Verlauf!$C$6:$C$1000,$B130)</f>
        <v>0</v>
      </c>
      <c r="G130" s="26">
        <f>SUMIFS(Verlauf!$J$6:$J$1000,Verlauf!$B$6:$B$1000,$A130,Verlauf!$C$6:$C$1000,$B130)</f>
        <v>0</v>
      </c>
      <c r="H130" s="26">
        <f>SUMIFS(Verlauf!$U$6:$U$1000,Verlauf!$B$6:$B$1000,$A130,Verlauf!$C$6:$C$1000,$B130)</f>
        <v>0</v>
      </c>
      <c r="I130" s="26">
        <f>SUMIFS(Verlauf!$V$6:$V$1000,Verlauf!$B$6:$B$1000,$A130,Verlauf!$C$6:$C$1000,$B130)</f>
        <v>0</v>
      </c>
      <c r="J130" s="26">
        <f>SUMIFS(Verlauf!$W$6:$W$1000,Verlauf!$B$6:$B$1000,$A130,Verlauf!$C$6:$C$1000,$B130)</f>
        <v>0</v>
      </c>
      <c r="K130" s="26">
        <f>SUMIFS(Verlauf!$T$6:$T$1000,Verlauf!$B$6:$B$1000,$A130,Verlauf!$C$6:$C$1000,$B130)</f>
        <v>0</v>
      </c>
      <c r="L130" s="27">
        <f>IF(Filter!$T$7=TRUE,IFERROR(INDEX(Planung!$D$68:$IA$68,MATCH($W130,Wirksam!$D$6:$IA$6,0)),0),0)</f>
        <v>0</v>
      </c>
      <c r="M130" s="27">
        <f>IF(OR(Filter!$T$5=TRUE,Filter!$T$6=TRUE),IFERROR(INDEX(Planung!$D$69:$IA$69,MATCH($W130,Wirksam!$D$6:$IA$6,0)),0),0)</f>
        <v>0</v>
      </c>
      <c r="N130" s="27">
        <f t="shared" si="11"/>
        <v>0</v>
      </c>
      <c r="O130" s="27" t="e">
        <f t="shared" si="12"/>
        <v>#N/A</v>
      </c>
      <c r="P130" s="27" t="e">
        <f t="shared" si="13"/>
        <v>#N/A</v>
      </c>
      <c r="Q130" s="27" t="e">
        <f t="shared" si="14"/>
        <v>#N/A</v>
      </c>
      <c r="R130" s="27" t="e">
        <f t="shared" si="15"/>
        <v>#N/A</v>
      </c>
      <c r="S130" s="27" t="e">
        <f t="shared" si="16"/>
        <v>#N/A</v>
      </c>
      <c r="T130" s="27" t="e">
        <f t="shared" si="17"/>
        <v>#N/A</v>
      </c>
      <c r="U130" s="26">
        <f>COUNTIFS(Verlauf!$B$6:$B$1000,$A130,Verlauf!$C$6:$C$1000,$B130)</f>
        <v>0</v>
      </c>
      <c r="V130" s="26">
        <f t="shared" si="18"/>
        <v>0</v>
      </c>
      <c r="W130" s="26">
        <f t="shared" si="19"/>
        <v>202849</v>
      </c>
      <c r="X130" s="26">
        <f>SUMIFS(Verlauf!$X$6:$X$1000,Verlauf!$B$6:$B$1000,$A130,Verlauf!$C$6:$C$1000,$B130)</f>
        <v>0</v>
      </c>
      <c r="Y130" s="26">
        <f>SUMIFS(Verlauf!$Y$6:$Y$1000,Verlauf!$B$6:$B$1000,$A130,Verlauf!$C$6:$C$1000,$B130)</f>
        <v>0</v>
      </c>
      <c r="Z130" s="26">
        <f>SUMIFS(Verlauf!$Z$6:$Z$1000,Verlauf!$B$6:$B$1000,$A130,Verlauf!$C$6:$C$1000,$B130)</f>
        <v>0</v>
      </c>
      <c r="AA130" s="26">
        <f>SUMIFS(Verlauf!$I$6:$I$1000,Verlauf!$B$6:$B$1000,$A130,Verlauf!$C$6:$C$1000,$B130)</f>
        <v>0</v>
      </c>
      <c r="AB130" s="26">
        <f>SUMIFS(Verlauf!$AA$6:$AA$1000,Verlauf!$B$6:$B$1000,$A130,Verlauf!$C$6:$C$1000,$B130)</f>
        <v>0</v>
      </c>
      <c r="AC130" s="26">
        <f>SUMIFS(Verlauf!$AB$6:$AB$1000,Verlauf!$B$6:$B$1000,$A130,Verlauf!$C$6:$C$1000,$B130)</f>
        <v>0</v>
      </c>
      <c r="AD130" s="26">
        <f>SUMIFS(Verlauf!$AC$6:$AC$1000,Verlauf!$B$6:$B$1000,$A130,Verlauf!$C$6:$C$1000,$B130)</f>
        <v>0</v>
      </c>
      <c r="AE130" s="26">
        <f>SUMIFS(Verlauf!$S$6:$S$1000,Verlauf!$B$6:$B$1000,$A130,Verlauf!$C$6:$C$1000,$B130)</f>
        <v>0</v>
      </c>
      <c r="AF130" s="26" t="str">
        <f>IF($AN130="","",INDEX(Verlauf!$D$6:$D$1000,MATCH($AN130,Verlauf!$A$6:$A$1000,0)))</f>
        <v/>
      </c>
      <c r="AG130" s="26" t="str">
        <f>IF($AN130="","",INDEX(Verlauf!$E$6:$E$1000,MATCH($AN130,Verlauf!$A$6:$A$1000,0)))</f>
        <v/>
      </c>
      <c r="AH130" s="26" t="str">
        <f>IF($AN130="","",INDEX(Verlauf!$F$6:$F$1000,MATCH($AN130,Verlauf!$A$6:$A$1000,0)))</f>
        <v/>
      </c>
      <c r="AI130" s="26" t="str">
        <f>IF($AN130="","",INDEX(Verlauf!$H$6:$H$1000,MATCH($AN130,Verlauf!$A$6:$A$1000,0)))</f>
        <v/>
      </c>
      <c r="AJ130" s="26" t="str">
        <f>IF($AN130="","",INDEX(Verlauf!$N$6:$N$1000,MATCH($AN130,Verlauf!$A$6:$A$1000,0)))</f>
        <v/>
      </c>
      <c r="AK130" s="26" t="str">
        <f>IF($AN130="","",INDEX(Verlauf!$O$6:$O$1000,MATCH($AN130,Verlauf!$A$6:$A$1000,0)))</f>
        <v/>
      </c>
      <c r="AL130" s="26" t="str">
        <f>IF($AN130="","",INDEX(Verlauf!$P$6:$P$1000,MATCH($AN130,Verlauf!$A$6:$A$1000,0)))</f>
        <v/>
      </c>
      <c r="AM130" s="26" t="str">
        <f>IF($AN130="","",INDEX(Verlauf!$R$6:$R$1000,MATCH($AN130,Verlauf!$A$6:$A$1000,0)))</f>
        <v/>
      </c>
      <c r="AN130" s="28" t="str">
        <f>IF(U130&gt;0,_xlfn.MAXIFS(Verlauf!$A$6:$A$1000,Verlauf!$B$6:$B$1000,$A130,Verlauf!$C$6:$C$1000,$B130),"")</f>
        <v/>
      </c>
    </row>
    <row r="131" spans="1:40" x14ac:dyDescent="0.25">
      <c r="A131" s="26">
        <v>2028</v>
      </c>
      <c r="B131" s="26">
        <v>50</v>
      </c>
      <c r="C131" s="7" t="str">
        <f t="shared" si="10"/>
        <v>KW 50/28</v>
      </c>
      <c r="D131" s="26">
        <f>SUMIFS(Verlauf!$K$6:$K$1000,Verlauf!$B$6:$B$1000,$A131,Verlauf!$C$6:$C$1000,$B131)</f>
        <v>0</v>
      </c>
      <c r="E131" s="26">
        <f>SUMIFS(Verlauf!$L$6:$L$1000,Verlauf!$B$6:$B$1000,$A131,Verlauf!$C$6:$C$1000,$B131)</f>
        <v>0</v>
      </c>
      <c r="F131" s="26">
        <f>SUMIFS(Verlauf!$M$6:$M$1000,Verlauf!$B$6:$B$1000,$A131,Verlauf!$C$6:$C$1000,$B131)</f>
        <v>0</v>
      </c>
      <c r="G131" s="26">
        <f>SUMIFS(Verlauf!$J$6:$J$1000,Verlauf!$B$6:$B$1000,$A131,Verlauf!$C$6:$C$1000,$B131)</f>
        <v>0</v>
      </c>
      <c r="H131" s="26">
        <f>SUMIFS(Verlauf!$U$6:$U$1000,Verlauf!$B$6:$B$1000,$A131,Verlauf!$C$6:$C$1000,$B131)</f>
        <v>0</v>
      </c>
      <c r="I131" s="26">
        <f>SUMIFS(Verlauf!$V$6:$V$1000,Verlauf!$B$6:$B$1000,$A131,Verlauf!$C$6:$C$1000,$B131)</f>
        <v>0</v>
      </c>
      <c r="J131" s="26">
        <f>SUMIFS(Verlauf!$W$6:$W$1000,Verlauf!$B$6:$B$1000,$A131,Verlauf!$C$6:$C$1000,$B131)</f>
        <v>0</v>
      </c>
      <c r="K131" s="26">
        <f>SUMIFS(Verlauf!$T$6:$T$1000,Verlauf!$B$6:$B$1000,$A131,Verlauf!$C$6:$C$1000,$B131)</f>
        <v>0</v>
      </c>
      <c r="L131" s="27">
        <f>IF(Filter!$T$7=TRUE,IFERROR(INDEX(Planung!$D$68:$IA$68,MATCH($W131,Wirksam!$D$6:$IA$6,0)),0),0)</f>
        <v>0</v>
      </c>
      <c r="M131" s="27">
        <f>IF(OR(Filter!$T$5=TRUE,Filter!$T$6=TRUE),IFERROR(INDEX(Planung!$D$69:$IA$69,MATCH($W131,Wirksam!$D$6:$IA$6,0)),0),0)</f>
        <v>0</v>
      </c>
      <c r="N131" s="27">
        <f t="shared" si="11"/>
        <v>0</v>
      </c>
      <c r="O131" s="27" t="e">
        <f t="shared" si="12"/>
        <v>#N/A</v>
      </c>
      <c r="P131" s="27" t="e">
        <f t="shared" si="13"/>
        <v>#N/A</v>
      </c>
      <c r="Q131" s="27" t="e">
        <f t="shared" si="14"/>
        <v>#N/A</v>
      </c>
      <c r="R131" s="27" t="e">
        <f t="shared" si="15"/>
        <v>#N/A</v>
      </c>
      <c r="S131" s="27" t="e">
        <f t="shared" si="16"/>
        <v>#N/A</v>
      </c>
      <c r="T131" s="27" t="e">
        <f t="shared" si="17"/>
        <v>#N/A</v>
      </c>
      <c r="U131" s="26">
        <f>COUNTIFS(Verlauf!$B$6:$B$1000,$A131,Verlauf!$C$6:$C$1000,$B131)</f>
        <v>0</v>
      </c>
      <c r="V131" s="26">
        <f t="shared" si="18"/>
        <v>0</v>
      </c>
      <c r="W131" s="26">
        <f t="shared" si="19"/>
        <v>202850</v>
      </c>
      <c r="X131" s="26">
        <f>SUMIFS(Verlauf!$X$6:$X$1000,Verlauf!$B$6:$B$1000,$A131,Verlauf!$C$6:$C$1000,$B131)</f>
        <v>0</v>
      </c>
      <c r="Y131" s="26">
        <f>SUMIFS(Verlauf!$Y$6:$Y$1000,Verlauf!$B$6:$B$1000,$A131,Verlauf!$C$6:$C$1000,$B131)</f>
        <v>0</v>
      </c>
      <c r="Z131" s="26">
        <f>SUMIFS(Verlauf!$Z$6:$Z$1000,Verlauf!$B$6:$B$1000,$A131,Verlauf!$C$6:$C$1000,$B131)</f>
        <v>0</v>
      </c>
      <c r="AA131" s="26">
        <f>SUMIFS(Verlauf!$I$6:$I$1000,Verlauf!$B$6:$B$1000,$A131,Verlauf!$C$6:$C$1000,$B131)</f>
        <v>0</v>
      </c>
      <c r="AB131" s="26">
        <f>SUMIFS(Verlauf!$AA$6:$AA$1000,Verlauf!$B$6:$B$1000,$A131,Verlauf!$C$6:$C$1000,$B131)</f>
        <v>0</v>
      </c>
      <c r="AC131" s="26">
        <f>SUMIFS(Verlauf!$AB$6:$AB$1000,Verlauf!$B$6:$B$1000,$A131,Verlauf!$C$6:$C$1000,$B131)</f>
        <v>0</v>
      </c>
      <c r="AD131" s="26">
        <f>SUMIFS(Verlauf!$AC$6:$AC$1000,Verlauf!$B$6:$B$1000,$A131,Verlauf!$C$6:$C$1000,$B131)</f>
        <v>0</v>
      </c>
      <c r="AE131" s="26">
        <f>SUMIFS(Verlauf!$S$6:$S$1000,Verlauf!$B$6:$B$1000,$A131,Verlauf!$C$6:$C$1000,$B131)</f>
        <v>0</v>
      </c>
      <c r="AF131" s="26" t="str">
        <f>IF($AN131="","",INDEX(Verlauf!$D$6:$D$1000,MATCH($AN131,Verlauf!$A$6:$A$1000,0)))</f>
        <v/>
      </c>
      <c r="AG131" s="26" t="str">
        <f>IF($AN131="","",INDEX(Verlauf!$E$6:$E$1000,MATCH($AN131,Verlauf!$A$6:$A$1000,0)))</f>
        <v/>
      </c>
      <c r="AH131" s="26" t="str">
        <f>IF($AN131="","",INDEX(Verlauf!$F$6:$F$1000,MATCH($AN131,Verlauf!$A$6:$A$1000,0)))</f>
        <v/>
      </c>
      <c r="AI131" s="26" t="str">
        <f>IF($AN131="","",INDEX(Verlauf!$H$6:$H$1000,MATCH($AN131,Verlauf!$A$6:$A$1000,0)))</f>
        <v/>
      </c>
      <c r="AJ131" s="26" t="str">
        <f>IF($AN131="","",INDEX(Verlauf!$N$6:$N$1000,MATCH($AN131,Verlauf!$A$6:$A$1000,0)))</f>
        <v/>
      </c>
      <c r="AK131" s="26" t="str">
        <f>IF($AN131="","",INDEX(Verlauf!$O$6:$O$1000,MATCH($AN131,Verlauf!$A$6:$A$1000,0)))</f>
        <v/>
      </c>
      <c r="AL131" s="26" t="str">
        <f>IF($AN131="","",INDEX(Verlauf!$P$6:$P$1000,MATCH($AN131,Verlauf!$A$6:$A$1000,0)))</f>
        <v/>
      </c>
      <c r="AM131" s="26" t="str">
        <f>IF($AN131="","",INDEX(Verlauf!$R$6:$R$1000,MATCH($AN131,Verlauf!$A$6:$A$1000,0)))</f>
        <v/>
      </c>
      <c r="AN131" s="28" t="str">
        <f>IF(U131&gt;0,_xlfn.MAXIFS(Verlauf!$A$6:$A$1000,Verlauf!$B$6:$B$1000,$A131,Verlauf!$C$6:$C$1000,$B131),"")</f>
        <v/>
      </c>
    </row>
    <row r="132" spans="1:40" x14ac:dyDescent="0.25">
      <c r="A132" s="26">
        <v>2028</v>
      </c>
      <c r="B132" s="26">
        <v>51</v>
      </c>
      <c r="C132" s="7" t="str">
        <f t="shared" si="10"/>
        <v>KW 51/28</v>
      </c>
      <c r="D132" s="26">
        <f>SUMIFS(Verlauf!$K$6:$K$1000,Verlauf!$B$6:$B$1000,$A132,Verlauf!$C$6:$C$1000,$B132)</f>
        <v>0</v>
      </c>
      <c r="E132" s="26">
        <f>SUMIFS(Verlauf!$L$6:$L$1000,Verlauf!$B$6:$B$1000,$A132,Verlauf!$C$6:$C$1000,$B132)</f>
        <v>0</v>
      </c>
      <c r="F132" s="26">
        <f>SUMIFS(Verlauf!$M$6:$M$1000,Verlauf!$B$6:$B$1000,$A132,Verlauf!$C$6:$C$1000,$B132)</f>
        <v>0</v>
      </c>
      <c r="G132" s="26">
        <f>SUMIFS(Verlauf!$J$6:$J$1000,Verlauf!$B$6:$B$1000,$A132,Verlauf!$C$6:$C$1000,$B132)</f>
        <v>0</v>
      </c>
      <c r="H132" s="26">
        <f>SUMIFS(Verlauf!$U$6:$U$1000,Verlauf!$B$6:$B$1000,$A132,Verlauf!$C$6:$C$1000,$B132)</f>
        <v>0</v>
      </c>
      <c r="I132" s="26">
        <f>SUMIFS(Verlauf!$V$6:$V$1000,Verlauf!$B$6:$B$1000,$A132,Verlauf!$C$6:$C$1000,$B132)</f>
        <v>0</v>
      </c>
      <c r="J132" s="26">
        <f>SUMIFS(Verlauf!$W$6:$W$1000,Verlauf!$B$6:$B$1000,$A132,Verlauf!$C$6:$C$1000,$B132)</f>
        <v>0</v>
      </c>
      <c r="K132" s="26">
        <f>SUMIFS(Verlauf!$T$6:$T$1000,Verlauf!$B$6:$B$1000,$A132,Verlauf!$C$6:$C$1000,$B132)</f>
        <v>0</v>
      </c>
      <c r="L132" s="27">
        <f>IF(Filter!$T$7=TRUE,IFERROR(INDEX(Planung!$D$68:$IA$68,MATCH($W132,Wirksam!$D$6:$IA$6,0)),0),0)</f>
        <v>0</v>
      </c>
      <c r="M132" s="27">
        <f>IF(OR(Filter!$T$5=TRUE,Filter!$T$6=TRUE),IFERROR(INDEX(Planung!$D$69:$IA$69,MATCH($W132,Wirksam!$D$6:$IA$6,0)),0),0)</f>
        <v>0</v>
      </c>
      <c r="N132" s="27">
        <f t="shared" si="11"/>
        <v>0</v>
      </c>
      <c r="O132" s="27" t="e">
        <f t="shared" si="12"/>
        <v>#N/A</v>
      </c>
      <c r="P132" s="27" t="e">
        <f t="shared" si="13"/>
        <v>#N/A</v>
      </c>
      <c r="Q132" s="27" t="e">
        <f t="shared" si="14"/>
        <v>#N/A</v>
      </c>
      <c r="R132" s="27" t="e">
        <f t="shared" si="15"/>
        <v>#N/A</v>
      </c>
      <c r="S132" s="27" t="e">
        <f t="shared" si="16"/>
        <v>#N/A</v>
      </c>
      <c r="T132" s="27" t="e">
        <f t="shared" si="17"/>
        <v>#N/A</v>
      </c>
      <c r="U132" s="26">
        <f>COUNTIFS(Verlauf!$B$6:$B$1000,$A132,Verlauf!$C$6:$C$1000,$B132)</f>
        <v>0</v>
      </c>
      <c r="V132" s="26">
        <f t="shared" si="18"/>
        <v>0</v>
      </c>
      <c r="W132" s="26">
        <f t="shared" si="19"/>
        <v>202851</v>
      </c>
      <c r="X132" s="26">
        <f>SUMIFS(Verlauf!$X$6:$X$1000,Verlauf!$B$6:$B$1000,$A132,Verlauf!$C$6:$C$1000,$B132)</f>
        <v>0</v>
      </c>
      <c r="Y132" s="26">
        <f>SUMIFS(Verlauf!$Y$6:$Y$1000,Verlauf!$B$6:$B$1000,$A132,Verlauf!$C$6:$C$1000,$B132)</f>
        <v>0</v>
      </c>
      <c r="Z132" s="26">
        <f>SUMIFS(Verlauf!$Z$6:$Z$1000,Verlauf!$B$6:$B$1000,$A132,Verlauf!$C$6:$C$1000,$B132)</f>
        <v>0</v>
      </c>
      <c r="AA132" s="26">
        <f>SUMIFS(Verlauf!$I$6:$I$1000,Verlauf!$B$6:$B$1000,$A132,Verlauf!$C$6:$C$1000,$B132)</f>
        <v>0</v>
      </c>
      <c r="AB132" s="26">
        <f>SUMIFS(Verlauf!$AA$6:$AA$1000,Verlauf!$B$6:$B$1000,$A132,Verlauf!$C$6:$C$1000,$B132)</f>
        <v>0</v>
      </c>
      <c r="AC132" s="26">
        <f>SUMIFS(Verlauf!$AB$6:$AB$1000,Verlauf!$B$6:$B$1000,$A132,Verlauf!$C$6:$C$1000,$B132)</f>
        <v>0</v>
      </c>
      <c r="AD132" s="26">
        <f>SUMIFS(Verlauf!$AC$6:$AC$1000,Verlauf!$B$6:$B$1000,$A132,Verlauf!$C$6:$C$1000,$B132)</f>
        <v>0</v>
      </c>
      <c r="AE132" s="26">
        <f>SUMIFS(Verlauf!$S$6:$S$1000,Verlauf!$B$6:$B$1000,$A132,Verlauf!$C$6:$C$1000,$B132)</f>
        <v>0</v>
      </c>
      <c r="AF132" s="26" t="str">
        <f>IF($AN132="","",INDEX(Verlauf!$D$6:$D$1000,MATCH($AN132,Verlauf!$A$6:$A$1000,0)))</f>
        <v/>
      </c>
      <c r="AG132" s="26" t="str">
        <f>IF($AN132="","",INDEX(Verlauf!$E$6:$E$1000,MATCH($AN132,Verlauf!$A$6:$A$1000,0)))</f>
        <v/>
      </c>
      <c r="AH132" s="26" t="str">
        <f>IF($AN132="","",INDEX(Verlauf!$F$6:$F$1000,MATCH($AN132,Verlauf!$A$6:$A$1000,0)))</f>
        <v/>
      </c>
      <c r="AI132" s="26" t="str">
        <f>IF($AN132="","",INDEX(Verlauf!$H$6:$H$1000,MATCH($AN132,Verlauf!$A$6:$A$1000,0)))</f>
        <v/>
      </c>
      <c r="AJ132" s="26" t="str">
        <f>IF($AN132="","",INDEX(Verlauf!$N$6:$N$1000,MATCH($AN132,Verlauf!$A$6:$A$1000,0)))</f>
        <v/>
      </c>
      <c r="AK132" s="26" t="str">
        <f>IF($AN132="","",INDEX(Verlauf!$O$6:$O$1000,MATCH($AN132,Verlauf!$A$6:$A$1000,0)))</f>
        <v/>
      </c>
      <c r="AL132" s="26" t="str">
        <f>IF($AN132="","",INDEX(Verlauf!$P$6:$P$1000,MATCH($AN132,Verlauf!$A$6:$A$1000,0)))</f>
        <v/>
      </c>
      <c r="AM132" s="26" t="str">
        <f>IF($AN132="","",INDEX(Verlauf!$R$6:$R$1000,MATCH($AN132,Verlauf!$A$6:$A$1000,0)))</f>
        <v/>
      </c>
      <c r="AN132" s="28" t="str">
        <f>IF(U132&gt;0,_xlfn.MAXIFS(Verlauf!$A$6:$A$1000,Verlauf!$B$6:$B$1000,$A132,Verlauf!$C$6:$C$1000,$B132),"")</f>
        <v/>
      </c>
    </row>
    <row r="133" spans="1:40" x14ac:dyDescent="0.25">
      <c r="A133" s="26">
        <v>2028</v>
      </c>
      <c r="B133" s="26">
        <v>52</v>
      </c>
      <c r="C133" s="7" t="str">
        <f t="shared" si="10"/>
        <v>KW 52/28</v>
      </c>
      <c r="D133" s="26">
        <f>SUMIFS(Verlauf!$K$6:$K$1000,Verlauf!$B$6:$B$1000,$A133,Verlauf!$C$6:$C$1000,$B133)</f>
        <v>0</v>
      </c>
      <c r="E133" s="26">
        <f>SUMIFS(Verlauf!$L$6:$L$1000,Verlauf!$B$6:$B$1000,$A133,Verlauf!$C$6:$C$1000,$B133)</f>
        <v>0</v>
      </c>
      <c r="F133" s="26">
        <f>SUMIFS(Verlauf!$M$6:$M$1000,Verlauf!$B$6:$B$1000,$A133,Verlauf!$C$6:$C$1000,$B133)</f>
        <v>0</v>
      </c>
      <c r="G133" s="26">
        <f>SUMIFS(Verlauf!$J$6:$J$1000,Verlauf!$B$6:$B$1000,$A133,Verlauf!$C$6:$C$1000,$B133)</f>
        <v>0</v>
      </c>
      <c r="H133" s="26">
        <f>SUMIFS(Verlauf!$U$6:$U$1000,Verlauf!$B$6:$B$1000,$A133,Verlauf!$C$6:$C$1000,$B133)</f>
        <v>0</v>
      </c>
      <c r="I133" s="26">
        <f>SUMIFS(Verlauf!$V$6:$V$1000,Verlauf!$B$6:$B$1000,$A133,Verlauf!$C$6:$C$1000,$B133)</f>
        <v>0</v>
      </c>
      <c r="J133" s="26">
        <f>SUMIFS(Verlauf!$W$6:$W$1000,Verlauf!$B$6:$B$1000,$A133,Verlauf!$C$6:$C$1000,$B133)</f>
        <v>0</v>
      </c>
      <c r="K133" s="26">
        <f>SUMIFS(Verlauf!$T$6:$T$1000,Verlauf!$B$6:$B$1000,$A133,Verlauf!$C$6:$C$1000,$B133)</f>
        <v>0</v>
      </c>
      <c r="L133" s="27">
        <f>IF(Filter!$T$7=TRUE,IFERROR(INDEX(Planung!$D$68:$IA$68,MATCH($W133,Wirksam!$D$6:$IA$6,0)),0),0)</f>
        <v>0</v>
      </c>
      <c r="M133" s="27">
        <f>IF(OR(Filter!$T$5=TRUE,Filter!$T$6=TRUE),IFERROR(INDEX(Planung!$D$69:$IA$69,MATCH($W133,Wirksam!$D$6:$IA$6,0)),0),0)</f>
        <v>0</v>
      </c>
      <c r="N133" s="27">
        <f t="shared" si="11"/>
        <v>0</v>
      </c>
      <c r="O133" s="27" t="e">
        <f t="shared" si="12"/>
        <v>#N/A</v>
      </c>
      <c r="P133" s="27" t="e">
        <f t="shared" si="13"/>
        <v>#N/A</v>
      </c>
      <c r="Q133" s="27" t="e">
        <f t="shared" si="14"/>
        <v>#N/A</v>
      </c>
      <c r="R133" s="27" t="e">
        <f t="shared" si="15"/>
        <v>#N/A</v>
      </c>
      <c r="S133" s="27" t="e">
        <f t="shared" si="16"/>
        <v>#N/A</v>
      </c>
      <c r="T133" s="27" t="e">
        <f t="shared" si="17"/>
        <v>#N/A</v>
      </c>
      <c r="U133" s="26">
        <f>COUNTIFS(Verlauf!$B$6:$B$1000,$A133,Verlauf!$C$6:$C$1000,$B133)</f>
        <v>0</v>
      </c>
      <c r="V133" s="26">
        <f t="shared" si="18"/>
        <v>0</v>
      </c>
      <c r="W133" s="26">
        <f t="shared" si="19"/>
        <v>202852</v>
      </c>
      <c r="X133" s="26">
        <f>SUMIFS(Verlauf!$X$6:$X$1000,Verlauf!$B$6:$B$1000,$A133,Verlauf!$C$6:$C$1000,$B133)</f>
        <v>0</v>
      </c>
      <c r="Y133" s="26">
        <f>SUMIFS(Verlauf!$Y$6:$Y$1000,Verlauf!$B$6:$B$1000,$A133,Verlauf!$C$6:$C$1000,$B133)</f>
        <v>0</v>
      </c>
      <c r="Z133" s="26">
        <f>SUMIFS(Verlauf!$Z$6:$Z$1000,Verlauf!$B$6:$B$1000,$A133,Verlauf!$C$6:$C$1000,$B133)</f>
        <v>0</v>
      </c>
      <c r="AA133" s="26">
        <f>SUMIFS(Verlauf!$I$6:$I$1000,Verlauf!$B$6:$B$1000,$A133,Verlauf!$C$6:$C$1000,$B133)</f>
        <v>0</v>
      </c>
      <c r="AB133" s="26">
        <f>SUMIFS(Verlauf!$AA$6:$AA$1000,Verlauf!$B$6:$B$1000,$A133,Verlauf!$C$6:$C$1000,$B133)</f>
        <v>0</v>
      </c>
      <c r="AC133" s="26">
        <f>SUMIFS(Verlauf!$AB$6:$AB$1000,Verlauf!$B$6:$B$1000,$A133,Verlauf!$C$6:$C$1000,$B133)</f>
        <v>0</v>
      </c>
      <c r="AD133" s="26">
        <f>SUMIFS(Verlauf!$AC$6:$AC$1000,Verlauf!$B$6:$B$1000,$A133,Verlauf!$C$6:$C$1000,$B133)</f>
        <v>0</v>
      </c>
      <c r="AE133" s="26">
        <f>SUMIFS(Verlauf!$S$6:$S$1000,Verlauf!$B$6:$B$1000,$A133,Verlauf!$C$6:$C$1000,$B133)</f>
        <v>0</v>
      </c>
      <c r="AF133" s="26" t="str">
        <f>IF($AN133="","",INDEX(Verlauf!$D$6:$D$1000,MATCH($AN133,Verlauf!$A$6:$A$1000,0)))</f>
        <v/>
      </c>
      <c r="AG133" s="26" t="str">
        <f>IF($AN133="","",INDEX(Verlauf!$E$6:$E$1000,MATCH($AN133,Verlauf!$A$6:$A$1000,0)))</f>
        <v/>
      </c>
      <c r="AH133" s="26" t="str">
        <f>IF($AN133="","",INDEX(Verlauf!$F$6:$F$1000,MATCH($AN133,Verlauf!$A$6:$A$1000,0)))</f>
        <v/>
      </c>
      <c r="AI133" s="26" t="str">
        <f>IF($AN133="","",INDEX(Verlauf!$H$6:$H$1000,MATCH($AN133,Verlauf!$A$6:$A$1000,0)))</f>
        <v/>
      </c>
      <c r="AJ133" s="26" t="str">
        <f>IF($AN133="","",INDEX(Verlauf!$N$6:$N$1000,MATCH($AN133,Verlauf!$A$6:$A$1000,0)))</f>
        <v/>
      </c>
      <c r="AK133" s="26" t="str">
        <f>IF($AN133="","",INDEX(Verlauf!$O$6:$O$1000,MATCH($AN133,Verlauf!$A$6:$A$1000,0)))</f>
        <v/>
      </c>
      <c r="AL133" s="26" t="str">
        <f>IF($AN133="","",INDEX(Verlauf!$P$6:$P$1000,MATCH($AN133,Verlauf!$A$6:$A$1000,0)))</f>
        <v/>
      </c>
      <c r="AM133" s="26" t="str">
        <f>IF($AN133="","",INDEX(Verlauf!$R$6:$R$1000,MATCH($AN133,Verlauf!$A$6:$A$1000,0)))</f>
        <v/>
      </c>
      <c r="AN133" s="28" t="str">
        <f>IF(U133&gt;0,_xlfn.MAXIFS(Verlauf!$A$6:$A$1000,Verlauf!$B$6:$B$1000,$A133,Verlauf!$C$6:$C$1000,$B133),"")</f>
        <v/>
      </c>
    </row>
    <row r="134" spans="1:40" x14ac:dyDescent="0.25">
      <c r="A134" s="26">
        <v>2029</v>
      </c>
      <c r="B134" s="26">
        <v>1</v>
      </c>
      <c r="C134" s="7" t="str">
        <f t="shared" ref="C134:C197" si="20">"KW "&amp;B134&amp;"/"&amp;RIGHT(A134,2)</f>
        <v>KW 1/29</v>
      </c>
      <c r="D134" s="26">
        <f>SUMIFS(Verlauf!$K$6:$K$1000,Verlauf!$B$6:$B$1000,$A134,Verlauf!$C$6:$C$1000,$B134)</f>
        <v>0</v>
      </c>
      <c r="E134" s="26">
        <f>SUMIFS(Verlauf!$L$6:$L$1000,Verlauf!$B$6:$B$1000,$A134,Verlauf!$C$6:$C$1000,$B134)</f>
        <v>0</v>
      </c>
      <c r="F134" s="26">
        <f>SUMIFS(Verlauf!$M$6:$M$1000,Verlauf!$B$6:$B$1000,$A134,Verlauf!$C$6:$C$1000,$B134)</f>
        <v>0</v>
      </c>
      <c r="G134" s="26">
        <f>SUMIFS(Verlauf!$J$6:$J$1000,Verlauf!$B$6:$B$1000,$A134,Verlauf!$C$6:$C$1000,$B134)</f>
        <v>0</v>
      </c>
      <c r="H134" s="26">
        <f>SUMIFS(Verlauf!$U$6:$U$1000,Verlauf!$B$6:$B$1000,$A134,Verlauf!$C$6:$C$1000,$B134)</f>
        <v>0</v>
      </c>
      <c r="I134" s="26">
        <f>SUMIFS(Verlauf!$V$6:$V$1000,Verlauf!$B$6:$B$1000,$A134,Verlauf!$C$6:$C$1000,$B134)</f>
        <v>0</v>
      </c>
      <c r="J134" s="26">
        <f>SUMIFS(Verlauf!$W$6:$W$1000,Verlauf!$B$6:$B$1000,$A134,Verlauf!$C$6:$C$1000,$B134)</f>
        <v>0</v>
      </c>
      <c r="K134" s="26">
        <f>SUMIFS(Verlauf!$T$6:$T$1000,Verlauf!$B$6:$B$1000,$A134,Verlauf!$C$6:$C$1000,$B134)</f>
        <v>0</v>
      </c>
      <c r="L134" s="27">
        <f>IF(Filter!$T$7=TRUE,IFERROR(INDEX(Planung!$D$68:$IA$68,MATCH($W134,Wirksam!$D$6:$IA$6,0)),0),0)</f>
        <v>0</v>
      </c>
      <c r="M134" s="27">
        <f>IF(OR(Filter!$T$5=TRUE,Filter!$T$6=TRUE),IFERROR(INDEX(Planung!$D$69:$IA$69,MATCH($W134,Wirksam!$D$6:$IA$6,0)),0),0)</f>
        <v>0</v>
      </c>
      <c r="N134" s="27">
        <f t="shared" ref="N134:N197" si="21">L134+M134</f>
        <v>0</v>
      </c>
      <c r="O134" s="27" t="e">
        <f t="shared" ref="O134:O197" si="22">IF(AND(L134&gt;0,U134&gt;0),J134/L134,NA())</f>
        <v>#N/A</v>
      </c>
      <c r="P134" s="27" t="e">
        <f t="shared" ref="P134:P197" si="23">IF(AND(M134&gt;0,U134&gt;0),(H134+I134)/M134,NA())</f>
        <v>#N/A</v>
      </c>
      <c r="Q134" s="27" t="e">
        <f t="shared" ref="Q134:Q197" si="24">IF(AND(N134&gt;0,U134&gt;0),K134/N134,NA())</f>
        <v>#N/A</v>
      </c>
      <c r="R134" s="27" t="e">
        <f t="shared" ref="R134:R197" si="25">IF(AND(L134&gt;0,U134&gt;0),F134/L134,NA())</f>
        <v>#N/A</v>
      </c>
      <c r="S134" s="27" t="e">
        <f t="shared" ref="S134:S197" si="26">IF(AND(M134&gt;0,U134&gt;0),(D134+E134)/M134,NA())</f>
        <v>#N/A</v>
      </c>
      <c r="T134" s="27" t="e">
        <f t="shared" ref="T134:T197" si="27">IF(AND(N134&gt;0,U134&gt;0),G134/N134,NA())</f>
        <v>#N/A</v>
      </c>
      <c r="U134" s="26">
        <f>COUNTIFS(Verlauf!$B$6:$B$1000,$A134,Verlauf!$C$6:$C$1000,$B134)</f>
        <v>0</v>
      </c>
      <c r="V134" s="26">
        <f t="shared" ref="V134:V197" si="28">IF(OR(U134&gt;0,N134&gt;0),1,0)</f>
        <v>0</v>
      </c>
      <c r="W134" s="26">
        <f t="shared" ref="W134:W197" si="29">A134*100+B134</f>
        <v>202901</v>
      </c>
      <c r="X134" s="26">
        <f>SUMIFS(Verlauf!$X$6:$X$1000,Verlauf!$B$6:$B$1000,$A134,Verlauf!$C$6:$C$1000,$B134)</f>
        <v>0</v>
      </c>
      <c r="Y134" s="26">
        <f>SUMIFS(Verlauf!$Y$6:$Y$1000,Verlauf!$B$6:$B$1000,$A134,Verlauf!$C$6:$C$1000,$B134)</f>
        <v>0</v>
      </c>
      <c r="Z134" s="26">
        <f>SUMIFS(Verlauf!$Z$6:$Z$1000,Verlauf!$B$6:$B$1000,$A134,Verlauf!$C$6:$C$1000,$B134)</f>
        <v>0</v>
      </c>
      <c r="AA134" s="26">
        <f>SUMIFS(Verlauf!$I$6:$I$1000,Verlauf!$B$6:$B$1000,$A134,Verlauf!$C$6:$C$1000,$B134)</f>
        <v>0</v>
      </c>
      <c r="AB134" s="26">
        <f>SUMIFS(Verlauf!$AA$6:$AA$1000,Verlauf!$B$6:$B$1000,$A134,Verlauf!$C$6:$C$1000,$B134)</f>
        <v>0</v>
      </c>
      <c r="AC134" s="26">
        <f>SUMIFS(Verlauf!$AB$6:$AB$1000,Verlauf!$B$6:$B$1000,$A134,Verlauf!$C$6:$C$1000,$B134)</f>
        <v>0</v>
      </c>
      <c r="AD134" s="26">
        <f>SUMIFS(Verlauf!$AC$6:$AC$1000,Verlauf!$B$6:$B$1000,$A134,Verlauf!$C$6:$C$1000,$B134)</f>
        <v>0</v>
      </c>
      <c r="AE134" s="26">
        <f>SUMIFS(Verlauf!$S$6:$S$1000,Verlauf!$B$6:$B$1000,$A134,Verlauf!$C$6:$C$1000,$B134)</f>
        <v>0</v>
      </c>
      <c r="AF134" s="26" t="str">
        <f>IF($AN134="","",INDEX(Verlauf!$D$6:$D$1000,MATCH($AN134,Verlauf!$A$6:$A$1000,0)))</f>
        <v/>
      </c>
      <c r="AG134" s="26" t="str">
        <f>IF($AN134="","",INDEX(Verlauf!$E$6:$E$1000,MATCH($AN134,Verlauf!$A$6:$A$1000,0)))</f>
        <v/>
      </c>
      <c r="AH134" s="26" t="str">
        <f>IF($AN134="","",INDEX(Verlauf!$F$6:$F$1000,MATCH($AN134,Verlauf!$A$6:$A$1000,0)))</f>
        <v/>
      </c>
      <c r="AI134" s="26" t="str">
        <f>IF($AN134="","",INDEX(Verlauf!$H$6:$H$1000,MATCH($AN134,Verlauf!$A$6:$A$1000,0)))</f>
        <v/>
      </c>
      <c r="AJ134" s="26" t="str">
        <f>IF($AN134="","",INDEX(Verlauf!$N$6:$N$1000,MATCH($AN134,Verlauf!$A$6:$A$1000,0)))</f>
        <v/>
      </c>
      <c r="AK134" s="26" t="str">
        <f>IF($AN134="","",INDEX(Verlauf!$O$6:$O$1000,MATCH($AN134,Verlauf!$A$6:$A$1000,0)))</f>
        <v/>
      </c>
      <c r="AL134" s="26" t="str">
        <f>IF($AN134="","",INDEX(Verlauf!$P$6:$P$1000,MATCH($AN134,Verlauf!$A$6:$A$1000,0)))</f>
        <v/>
      </c>
      <c r="AM134" s="26" t="str">
        <f>IF($AN134="","",INDEX(Verlauf!$R$6:$R$1000,MATCH($AN134,Verlauf!$A$6:$A$1000,0)))</f>
        <v/>
      </c>
      <c r="AN134" s="28" t="str">
        <f>IF(U134&gt;0,_xlfn.MAXIFS(Verlauf!$A$6:$A$1000,Verlauf!$B$6:$B$1000,$A134,Verlauf!$C$6:$C$1000,$B134),"")</f>
        <v/>
      </c>
    </row>
    <row r="135" spans="1:40" x14ac:dyDescent="0.25">
      <c r="A135" s="26">
        <v>2029</v>
      </c>
      <c r="B135" s="26">
        <v>2</v>
      </c>
      <c r="C135" s="7" t="str">
        <f t="shared" si="20"/>
        <v>KW 2/29</v>
      </c>
      <c r="D135" s="26">
        <f>SUMIFS(Verlauf!$K$6:$K$1000,Verlauf!$B$6:$B$1000,$A135,Verlauf!$C$6:$C$1000,$B135)</f>
        <v>0</v>
      </c>
      <c r="E135" s="26">
        <f>SUMIFS(Verlauf!$L$6:$L$1000,Verlauf!$B$6:$B$1000,$A135,Verlauf!$C$6:$C$1000,$B135)</f>
        <v>0</v>
      </c>
      <c r="F135" s="26">
        <f>SUMIFS(Verlauf!$M$6:$M$1000,Verlauf!$B$6:$B$1000,$A135,Verlauf!$C$6:$C$1000,$B135)</f>
        <v>0</v>
      </c>
      <c r="G135" s="26">
        <f>SUMIFS(Verlauf!$J$6:$J$1000,Verlauf!$B$6:$B$1000,$A135,Verlauf!$C$6:$C$1000,$B135)</f>
        <v>0</v>
      </c>
      <c r="H135" s="26">
        <f>SUMIFS(Verlauf!$U$6:$U$1000,Verlauf!$B$6:$B$1000,$A135,Verlauf!$C$6:$C$1000,$B135)</f>
        <v>0</v>
      </c>
      <c r="I135" s="26">
        <f>SUMIFS(Verlauf!$V$6:$V$1000,Verlauf!$B$6:$B$1000,$A135,Verlauf!$C$6:$C$1000,$B135)</f>
        <v>0</v>
      </c>
      <c r="J135" s="26">
        <f>SUMIFS(Verlauf!$W$6:$W$1000,Verlauf!$B$6:$B$1000,$A135,Verlauf!$C$6:$C$1000,$B135)</f>
        <v>0</v>
      </c>
      <c r="K135" s="26">
        <f>SUMIFS(Verlauf!$T$6:$T$1000,Verlauf!$B$6:$B$1000,$A135,Verlauf!$C$6:$C$1000,$B135)</f>
        <v>0</v>
      </c>
      <c r="L135" s="27">
        <f>IF(Filter!$T$7=TRUE,IFERROR(INDEX(Planung!$D$68:$IA$68,MATCH($W135,Wirksam!$D$6:$IA$6,0)),0),0)</f>
        <v>0</v>
      </c>
      <c r="M135" s="27">
        <f>IF(OR(Filter!$T$5=TRUE,Filter!$T$6=TRUE),IFERROR(INDEX(Planung!$D$69:$IA$69,MATCH($W135,Wirksam!$D$6:$IA$6,0)),0),0)</f>
        <v>0</v>
      </c>
      <c r="N135" s="27">
        <f t="shared" si="21"/>
        <v>0</v>
      </c>
      <c r="O135" s="27" t="e">
        <f t="shared" si="22"/>
        <v>#N/A</v>
      </c>
      <c r="P135" s="27" t="e">
        <f t="shared" si="23"/>
        <v>#N/A</v>
      </c>
      <c r="Q135" s="27" t="e">
        <f t="shared" si="24"/>
        <v>#N/A</v>
      </c>
      <c r="R135" s="27" t="e">
        <f t="shared" si="25"/>
        <v>#N/A</v>
      </c>
      <c r="S135" s="27" t="e">
        <f t="shared" si="26"/>
        <v>#N/A</v>
      </c>
      <c r="T135" s="27" t="e">
        <f t="shared" si="27"/>
        <v>#N/A</v>
      </c>
      <c r="U135" s="26">
        <f>COUNTIFS(Verlauf!$B$6:$B$1000,$A135,Verlauf!$C$6:$C$1000,$B135)</f>
        <v>0</v>
      </c>
      <c r="V135" s="26">
        <f t="shared" si="28"/>
        <v>0</v>
      </c>
      <c r="W135" s="26">
        <f t="shared" si="29"/>
        <v>202902</v>
      </c>
      <c r="X135" s="26">
        <f>SUMIFS(Verlauf!$X$6:$X$1000,Verlauf!$B$6:$B$1000,$A135,Verlauf!$C$6:$C$1000,$B135)</f>
        <v>0</v>
      </c>
      <c r="Y135" s="26">
        <f>SUMIFS(Verlauf!$Y$6:$Y$1000,Verlauf!$B$6:$B$1000,$A135,Verlauf!$C$6:$C$1000,$B135)</f>
        <v>0</v>
      </c>
      <c r="Z135" s="26">
        <f>SUMIFS(Verlauf!$Z$6:$Z$1000,Verlauf!$B$6:$B$1000,$A135,Verlauf!$C$6:$C$1000,$B135)</f>
        <v>0</v>
      </c>
      <c r="AA135" s="26">
        <f>SUMIFS(Verlauf!$I$6:$I$1000,Verlauf!$B$6:$B$1000,$A135,Verlauf!$C$6:$C$1000,$B135)</f>
        <v>0</v>
      </c>
      <c r="AB135" s="26">
        <f>SUMIFS(Verlauf!$AA$6:$AA$1000,Verlauf!$B$6:$B$1000,$A135,Verlauf!$C$6:$C$1000,$B135)</f>
        <v>0</v>
      </c>
      <c r="AC135" s="26">
        <f>SUMIFS(Verlauf!$AB$6:$AB$1000,Verlauf!$B$6:$B$1000,$A135,Verlauf!$C$6:$C$1000,$B135)</f>
        <v>0</v>
      </c>
      <c r="AD135" s="26">
        <f>SUMIFS(Verlauf!$AC$6:$AC$1000,Verlauf!$B$6:$B$1000,$A135,Verlauf!$C$6:$C$1000,$B135)</f>
        <v>0</v>
      </c>
      <c r="AE135" s="26">
        <f>SUMIFS(Verlauf!$S$6:$S$1000,Verlauf!$B$6:$B$1000,$A135,Verlauf!$C$6:$C$1000,$B135)</f>
        <v>0</v>
      </c>
      <c r="AF135" s="26" t="str">
        <f>IF($AN135="","",INDEX(Verlauf!$D$6:$D$1000,MATCH($AN135,Verlauf!$A$6:$A$1000,0)))</f>
        <v/>
      </c>
      <c r="AG135" s="26" t="str">
        <f>IF($AN135="","",INDEX(Verlauf!$E$6:$E$1000,MATCH($AN135,Verlauf!$A$6:$A$1000,0)))</f>
        <v/>
      </c>
      <c r="AH135" s="26" t="str">
        <f>IF($AN135="","",INDEX(Verlauf!$F$6:$F$1000,MATCH($AN135,Verlauf!$A$6:$A$1000,0)))</f>
        <v/>
      </c>
      <c r="AI135" s="26" t="str">
        <f>IF($AN135="","",INDEX(Verlauf!$H$6:$H$1000,MATCH($AN135,Verlauf!$A$6:$A$1000,0)))</f>
        <v/>
      </c>
      <c r="AJ135" s="26" t="str">
        <f>IF($AN135="","",INDEX(Verlauf!$N$6:$N$1000,MATCH($AN135,Verlauf!$A$6:$A$1000,0)))</f>
        <v/>
      </c>
      <c r="AK135" s="26" t="str">
        <f>IF($AN135="","",INDEX(Verlauf!$O$6:$O$1000,MATCH($AN135,Verlauf!$A$6:$A$1000,0)))</f>
        <v/>
      </c>
      <c r="AL135" s="26" t="str">
        <f>IF($AN135="","",INDEX(Verlauf!$P$6:$P$1000,MATCH($AN135,Verlauf!$A$6:$A$1000,0)))</f>
        <v/>
      </c>
      <c r="AM135" s="26" t="str">
        <f>IF($AN135="","",INDEX(Verlauf!$R$6:$R$1000,MATCH($AN135,Verlauf!$A$6:$A$1000,0)))</f>
        <v/>
      </c>
      <c r="AN135" s="28" t="str">
        <f>IF(U135&gt;0,_xlfn.MAXIFS(Verlauf!$A$6:$A$1000,Verlauf!$B$6:$B$1000,$A135,Verlauf!$C$6:$C$1000,$B135),"")</f>
        <v/>
      </c>
    </row>
    <row r="136" spans="1:40" x14ac:dyDescent="0.25">
      <c r="A136" s="26">
        <v>2029</v>
      </c>
      <c r="B136" s="26">
        <v>3</v>
      </c>
      <c r="C136" s="7" t="str">
        <f t="shared" si="20"/>
        <v>KW 3/29</v>
      </c>
      <c r="D136" s="26">
        <f>SUMIFS(Verlauf!$K$6:$K$1000,Verlauf!$B$6:$B$1000,$A136,Verlauf!$C$6:$C$1000,$B136)</f>
        <v>0</v>
      </c>
      <c r="E136" s="26">
        <f>SUMIFS(Verlauf!$L$6:$L$1000,Verlauf!$B$6:$B$1000,$A136,Verlauf!$C$6:$C$1000,$B136)</f>
        <v>0</v>
      </c>
      <c r="F136" s="26">
        <f>SUMIFS(Verlauf!$M$6:$M$1000,Verlauf!$B$6:$B$1000,$A136,Verlauf!$C$6:$C$1000,$B136)</f>
        <v>0</v>
      </c>
      <c r="G136" s="26">
        <f>SUMIFS(Verlauf!$J$6:$J$1000,Verlauf!$B$6:$B$1000,$A136,Verlauf!$C$6:$C$1000,$B136)</f>
        <v>0</v>
      </c>
      <c r="H136" s="26">
        <f>SUMIFS(Verlauf!$U$6:$U$1000,Verlauf!$B$6:$B$1000,$A136,Verlauf!$C$6:$C$1000,$B136)</f>
        <v>0</v>
      </c>
      <c r="I136" s="26">
        <f>SUMIFS(Verlauf!$V$6:$V$1000,Verlauf!$B$6:$B$1000,$A136,Verlauf!$C$6:$C$1000,$B136)</f>
        <v>0</v>
      </c>
      <c r="J136" s="26">
        <f>SUMIFS(Verlauf!$W$6:$W$1000,Verlauf!$B$6:$B$1000,$A136,Verlauf!$C$6:$C$1000,$B136)</f>
        <v>0</v>
      </c>
      <c r="K136" s="26">
        <f>SUMIFS(Verlauf!$T$6:$T$1000,Verlauf!$B$6:$B$1000,$A136,Verlauf!$C$6:$C$1000,$B136)</f>
        <v>0</v>
      </c>
      <c r="L136" s="27">
        <f>IF(Filter!$T$7=TRUE,IFERROR(INDEX(Planung!$D$68:$IA$68,MATCH($W136,Wirksam!$D$6:$IA$6,0)),0),0)</f>
        <v>0</v>
      </c>
      <c r="M136" s="27">
        <f>IF(OR(Filter!$T$5=TRUE,Filter!$T$6=TRUE),IFERROR(INDEX(Planung!$D$69:$IA$69,MATCH($W136,Wirksam!$D$6:$IA$6,0)),0),0)</f>
        <v>0</v>
      </c>
      <c r="N136" s="27">
        <f t="shared" si="21"/>
        <v>0</v>
      </c>
      <c r="O136" s="27" t="e">
        <f t="shared" si="22"/>
        <v>#N/A</v>
      </c>
      <c r="P136" s="27" t="e">
        <f t="shared" si="23"/>
        <v>#N/A</v>
      </c>
      <c r="Q136" s="27" t="e">
        <f t="shared" si="24"/>
        <v>#N/A</v>
      </c>
      <c r="R136" s="27" t="e">
        <f t="shared" si="25"/>
        <v>#N/A</v>
      </c>
      <c r="S136" s="27" t="e">
        <f t="shared" si="26"/>
        <v>#N/A</v>
      </c>
      <c r="T136" s="27" t="e">
        <f t="shared" si="27"/>
        <v>#N/A</v>
      </c>
      <c r="U136" s="26">
        <f>COUNTIFS(Verlauf!$B$6:$B$1000,$A136,Verlauf!$C$6:$C$1000,$B136)</f>
        <v>0</v>
      </c>
      <c r="V136" s="26">
        <f t="shared" si="28"/>
        <v>0</v>
      </c>
      <c r="W136" s="26">
        <f t="shared" si="29"/>
        <v>202903</v>
      </c>
      <c r="X136" s="26">
        <f>SUMIFS(Verlauf!$X$6:$X$1000,Verlauf!$B$6:$B$1000,$A136,Verlauf!$C$6:$C$1000,$B136)</f>
        <v>0</v>
      </c>
      <c r="Y136" s="26">
        <f>SUMIFS(Verlauf!$Y$6:$Y$1000,Verlauf!$B$6:$B$1000,$A136,Verlauf!$C$6:$C$1000,$B136)</f>
        <v>0</v>
      </c>
      <c r="Z136" s="26">
        <f>SUMIFS(Verlauf!$Z$6:$Z$1000,Verlauf!$B$6:$B$1000,$A136,Verlauf!$C$6:$C$1000,$B136)</f>
        <v>0</v>
      </c>
      <c r="AA136" s="26">
        <f>SUMIFS(Verlauf!$I$6:$I$1000,Verlauf!$B$6:$B$1000,$A136,Verlauf!$C$6:$C$1000,$B136)</f>
        <v>0</v>
      </c>
      <c r="AB136" s="26">
        <f>SUMIFS(Verlauf!$AA$6:$AA$1000,Verlauf!$B$6:$B$1000,$A136,Verlauf!$C$6:$C$1000,$B136)</f>
        <v>0</v>
      </c>
      <c r="AC136" s="26">
        <f>SUMIFS(Verlauf!$AB$6:$AB$1000,Verlauf!$B$6:$B$1000,$A136,Verlauf!$C$6:$C$1000,$B136)</f>
        <v>0</v>
      </c>
      <c r="AD136" s="26">
        <f>SUMIFS(Verlauf!$AC$6:$AC$1000,Verlauf!$B$6:$B$1000,$A136,Verlauf!$C$6:$C$1000,$B136)</f>
        <v>0</v>
      </c>
      <c r="AE136" s="26">
        <f>SUMIFS(Verlauf!$S$6:$S$1000,Verlauf!$B$6:$B$1000,$A136,Verlauf!$C$6:$C$1000,$B136)</f>
        <v>0</v>
      </c>
      <c r="AF136" s="26" t="str">
        <f>IF($AN136="","",INDEX(Verlauf!$D$6:$D$1000,MATCH($AN136,Verlauf!$A$6:$A$1000,0)))</f>
        <v/>
      </c>
      <c r="AG136" s="26" t="str">
        <f>IF($AN136="","",INDEX(Verlauf!$E$6:$E$1000,MATCH($AN136,Verlauf!$A$6:$A$1000,0)))</f>
        <v/>
      </c>
      <c r="AH136" s="26" t="str">
        <f>IF($AN136="","",INDEX(Verlauf!$F$6:$F$1000,MATCH($AN136,Verlauf!$A$6:$A$1000,0)))</f>
        <v/>
      </c>
      <c r="AI136" s="26" t="str">
        <f>IF($AN136="","",INDEX(Verlauf!$H$6:$H$1000,MATCH($AN136,Verlauf!$A$6:$A$1000,0)))</f>
        <v/>
      </c>
      <c r="AJ136" s="26" t="str">
        <f>IF($AN136="","",INDEX(Verlauf!$N$6:$N$1000,MATCH($AN136,Verlauf!$A$6:$A$1000,0)))</f>
        <v/>
      </c>
      <c r="AK136" s="26" t="str">
        <f>IF($AN136="","",INDEX(Verlauf!$O$6:$O$1000,MATCH($AN136,Verlauf!$A$6:$A$1000,0)))</f>
        <v/>
      </c>
      <c r="AL136" s="26" t="str">
        <f>IF($AN136="","",INDEX(Verlauf!$P$6:$P$1000,MATCH($AN136,Verlauf!$A$6:$A$1000,0)))</f>
        <v/>
      </c>
      <c r="AM136" s="26" t="str">
        <f>IF($AN136="","",INDEX(Verlauf!$R$6:$R$1000,MATCH($AN136,Verlauf!$A$6:$A$1000,0)))</f>
        <v/>
      </c>
      <c r="AN136" s="28" t="str">
        <f>IF(U136&gt;0,_xlfn.MAXIFS(Verlauf!$A$6:$A$1000,Verlauf!$B$6:$B$1000,$A136,Verlauf!$C$6:$C$1000,$B136),"")</f>
        <v/>
      </c>
    </row>
    <row r="137" spans="1:40" x14ac:dyDescent="0.25">
      <c r="A137" s="26">
        <v>2029</v>
      </c>
      <c r="B137" s="26">
        <v>4</v>
      </c>
      <c r="C137" s="7" t="str">
        <f t="shared" si="20"/>
        <v>KW 4/29</v>
      </c>
      <c r="D137" s="26">
        <f>SUMIFS(Verlauf!$K$6:$K$1000,Verlauf!$B$6:$B$1000,$A137,Verlauf!$C$6:$C$1000,$B137)</f>
        <v>0</v>
      </c>
      <c r="E137" s="26">
        <f>SUMIFS(Verlauf!$L$6:$L$1000,Verlauf!$B$6:$B$1000,$A137,Verlauf!$C$6:$C$1000,$B137)</f>
        <v>0</v>
      </c>
      <c r="F137" s="26">
        <f>SUMIFS(Verlauf!$M$6:$M$1000,Verlauf!$B$6:$B$1000,$A137,Verlauf!$C$6:$C$1000,$B137)</f>
        <v>0</v>
      </c>
      <c r="G137" s="26">
        <f>SUMIFS(Verlauf!$J$6:$J$1000,Verlauf!$B$6:$B$1000,$A137,Verlauf!$C$6:$C$1000,$B137)</f>
        <v>0</v>
      </c>
      <c r="H137" s="26">
        <f>SUMIFS(Verlauf!$U$6:$U$1000,Verlauf!$B$6:$B$1000,$A137,Verlauf!$C$6:$C$1000,$B137)</f>
        <v>0</v>
      </c>
      <c r="I137" s="26">
        <f>SUMIFS(Verlauf!$V$6:$V$1000,Verlauf!$B$6:$B$1000,$A137,Verlauf!$C$6:$C$1000,$B137)</f>
        <v>0</v>
      </c>
      <c r="J137" s="26">
        <f>SUMIFS(Verlauf!$W$6:$W$1000,Verlauf!$B$6:$B$1000,$A137,Verlauf!$C$6:$C$1000,$B137)</f>
        <v>0</v>
      </c>
      <c r="K137" s="26">
        <f>SUMIFS(Verlauf!$T$6:$T$1000,Verlauf!$B$6:$B$1000,$A137,Verlauf!$C$6:$C$1000,$B137)</f>
        <v>0</v>
      </c>
      <c r="L137" s="27">
        <f>IF(Filter!$T$7=TRUE,IFERROR(INDEX(Planung!$D$68:$IA$68,MATCH($W137,Wirksam!$D$6:$IA$6,0)),0),0)</f>
        <v>0</v>
      </c>
      <c r="M137" s="27">
        <f>IF(OR(Filter!$T$5=TRUE,Filter!$T$6=TRUE),IFERROR(INDEX(Planung!$D$69:$IA$69,MATCH($W137,Wirksam!$D$6:$IA$6,0)),0),0)</f>
        <v>0</v>
      </c>
      <c r="N137" s="27">
        <f t="shared" si="21"/>
        <v>0</v>
      </c>
      <c r="O137" s="27" t="e">
        <f t="shared" si="22"/>
        <v>#N/A</v>
      </c>
      <c r="P137" s="27" t="e">
        <f t="shared" si="23"/>
        <v>#N/A</v>
      </c>
      <c r="Q137" s="27" t="e">
        <f t="shared" si="24"/>
        <v>#N/A</v>
      </c>
      <c r="R137" s="27" t="e">
        <f t="shared" si="25"/>
        <v>#N/A</v>
      </c>
      <c r="S137" s="27" t="e">
        <f t="shared" si="26"/>
        <v>#N/A</v>
      </c>
      <c r="T137" s="27" t="e">
        <f t="shared" si="27"/>
        <v>#N/A</v>
      </c>
      <c r="U137" s="26">
        <f>COUNTIFS(Verlauf!$B$6:$B$1000,$A137,Verlauf!$C$6:$C$1000,$B137)</f>
        <v>0</v>
      </c>
      <c r="V137" s="26">
        <f t="shared" si="28"/>
        <v>0</v>
      </c>
      <c r="W137" s="26">
        <f t="shared" si="29"/>
        <v>202904</v>
      </c>
      <c r="X137" s="26">
        <f>SUMIFS(Verlauf!$X$6:$X$1000,Verlauf!$B$6:$B$1000,$A137,Verlauf!$C$6:$C$1000,$B137)</f>
        <v>0</v>
      </c>
      <c r="Y137" s="26">
        <f>SUMIFS(Verlauf!$Y$6:$Y$1000,Verlauf!$B$6:$B$1000,$A137,Verlauf!$C$6:$C$1000,$B137)</f>
        <v>0</v>
      </c>
      <c r="Z137" s="26">
        <f>SUMIFS(Verlauf!$Z$6:$Z$1000,Verlauf!$B$6:$B$1000,$A137,Verlauf!$C$6:$C$1000,$B137)</f>
        <v>0</v>
      </c>
      <c r="AA137" s="26">
        <f>SUMIFS(Verlauf!$I$6:$I$1000,Verlauf!$B$6:$B$1000,$A137,Verlauf!$C$6:$C$1000,$B137)</f>
        <v>0</v>
      </c>
      <c r="AB137" s="26">
        <f>SUMIFS(Verlauf!$AA$6:$AA$1000,Verlauf!$B$6:$B$1000,$A137,Verlauf!$C$6:$C$1000,$B137)</f>
        <v>0</v>
      </c>
      <c r="AC137" s="26">
        <f>SUMIFS(Verlauf!$AB$6:$AB$1000,Verlauf!$B$6:$B$1000,$A137,Verlauf!$C$6:$C$1000,$B137)</f>
        <v>0</v>
      </c>
      <c r="AD137" s="26">
        <f>SUMIFS(Verlauf!$AC$6:$AC$1000,Verlauf!$B$6:$B$1000,$A137,Verlauf!$C$6:$C$1000,$B137)</f>
        <v>0</v>
      </c>
      <c r="AE137" s="26">
        <f>SUMIFS(Verlauf!$S$6:$S$1000,Verlauf!$B$6:$B$1000,$A137,Verlauf!$C$6:$C$1000,$B137)</f>
        <v>0</v>
      </c>
      <c r="AF137" s="26" t="str">
        <f>IF($AN137="","",INDEX(Verlauf!$D$6:$D$1000,MATCH($AN137,Verlauf!$A$6:$A$1000,0)))</f>
        <v/>
      </c>
      <c r="AG137" s="26" t="str">
        <f>IF($AN137="","",INDEX(Verlauf!$E$6:$E$1000,MATCH($AN137,Verlauf!$A$6:$A$1000,0)))</f>
        <v/>
      </c>
      <c r="AH137" s="26" t="str">
        <f>IF($AN137="","",INDEX(Verlauf!$F$6:$F$1000,MATCH($AN137,Verlauf!$A$6:$A$1000,0)))</f>
        <v/>
      </c>
      <c r="AI137" s="26" t="str">
        <f>IF($AN137="","",INDEX(Verlauf!$H$6:$H$1000,MATCH($AN137,Verlauf!$A$6:$A$1000,0)))</f>
        <v/>
      </c>
      <c r="AJ137" s="26" t="str">
        <f>IF($AN137="","",INDEX(Verlauf!$N$6:$N$1000,MATCH($AN137,Verlauf!$A$6:$A$1000,0)))</f>
        <v/>
      </c>
      <c r="AK137" s="26" t="str">
        <f>IF($AN137="","",INDEX(Verlauf!$O$6:$O$1000,MATCH($AN137,Verlauf!$A$6:$A$1000,0)))</f>
        <v/>
      </c>
      <c r="AL137" s="26" t="str">
        <f>IF($AN137="","",INDEX(Verlauf!$P$6:$P$1000,MATCH($AN137,Verlauf!$A$6:$A$1000,0)))</f>
        <v/>
      </c>
      <c r="AM137" s="26" t="str">
        <f>IF($AN137="","",INDEX(Verlauf!$R$6:$R$1000,MATCH($AN137,Verlauf!$A$6:$A$1000,0)))</f>
        <v/>
      </c>
      <c r="AN137" s="28" t="str">
        <f>IF(U137&gt;0,_xlfn.MAXIFS(Verlauf!$A$6:$A$1000,Verlauf!$B$6:$B$1000,$A137,Verlauf!$C$6:$C$1000,$B137),"")</f>
        <v/>
      </c>
    </row>
    <row r="138" spans="1:40" x14ac:dyDescent="0.25">
      <c r="A138" s="26">
        <v>2029</v>
      </c>
      <c r="B138" s="26">
        <v>5</v>
      </c>
      <c r="C138" s="7" t="str">
        <f t="shared" si="20"/>
        <v>KW 5/29</v>
      </c>
      <c r="D138" s="26">
        <f>SUMIFS(Verlauf!$K$6:$K$1000,Verlauf!$B$6:$B$1000,$A138,Verlauf!$C$6:$C$1000,$B138)</f>
        <v>0</v>
      </c>
      <c r="E138" s="26">
        <f>SUMIFS(Verlauf!$L$6:$L$1000,Verlauf!$B$6:$B$1000,$A138,Verlauf!$C$6:$C$1000,$B138)</f>
        <v>0</v>
      </c>
      <c r="F138" s="26">
        <f>SUMIFS(Verlauf!$M$6:$M$1000,Verlauf!$B$6:$B$1000,$A138,Verlauf!$C$6:$C$1000,$B138)</f>
        <v>0</v>
      </c>
      <c r="G138" s="26">
        <f>SUMIFS(Verlauf!$J$6:$J$1000,Verlauf!$B$6:$B$1000,$A138,Verlauf!$C$6:$C$1000,$B138)</f>
        <v>0</v>
      </c>
      <c r="H138" s="26">
        <f>SUMIFS(Verlauf!$U$6:$U$1000,Verlauf!$B$6:$B$1000,$A138,Verlauf!$C$6:$C$1000,$B138)</f>
        <v>0</v>
      </c>
      <c r="I138" s="26">
        <f>SUMIFS(Verlauf!$V$6:$V$1000,Verlauf!$B$6:$B$1000,$A138,Verlauf!$C$6:$C$1000,$B138)</f>
        <v>0</v>
      </c>
      <c r="J138" s="26">
        <f>SUMIFS(Verlauf!$W$6:$W$1000,Verlauf!$B$6:$B$1000,$A138,Verlauf!$C$6:$C$1000,$B138)</f>
        <v>0</v>
      </c>
      <c r="K138" s="26">
        <f>SUMIFS(Verlauf!$T$6:$T$1000,Verlauf!$B$6:$B$1000,$A138,Verlauf!$C$6:$C$1000,$B138)</f>
        <v>0</v>
      </c>
      <c r="L138" s="27">
        <f>IF(Filter!$T$7=TRUE,IFERROR(INDEX(Planung!$D$68:$IA$68,MATCH($W138,Wirksam!$D$6:$IA$6,0)),0),0)</f>
        <v>0</v>
      </c>
      <c r="M138" s="27">
        <f>IF(OR(Filter!$T$5=TRUE,Filter!$T$6=TRUE),IFERROR(INDEX(Planung!$D$69:$IA$69,MATCH($W138,Wirksam!$D$6:$IA$6,0)),0),0)</f>
        <v>0</v>
      </c>
      <c r="N138" s="27">
        <f t="shared" si="21"/>
        <v>0</v>
      </c>
      <c r="O138" s="27" t="e">
        <f t="shared" si="22"/>
        <v>#N/A</v>
      </c>
      <c r="P138" s="27" t="e">
        <f t="shared" si="23"/>
        <v>#N/A</v>
      </c>
      <c r="Q138" s="27" t="e">
        <f t="shared" si="24"/>
        <v>#N/A</v>
      </c>
      <c r="R138" s="27" t="e">
        <f t="shared" si="25"/>
        <v>#N/A</v>
      </c>
      <c r="S138" s="27" t="e">
        <f t="shared" si="26"/>
        <v>#N/A</v>
      </c>
      <c r="T138" s="27" t="e">
        <f t="shared" si="27"/>
        <v>#N/A</v>
      </c>
      <c r="U138" s="26">
        <f>COUNTIFS(Verlauf!$B$6:$B$1000,$A138,Verlauf!$C$6:$C$1000,$B138)</f>
        <v>0</v>
      </c>
      <c r="V138" s="26">
        <f t="shared" si="28"/>
        <v>0</v>
      </c>
      <c r="W138" s="26">
        <f t="shared" si="29"/>
        <v>202905</v>
      </c>
      <c r="X138" s="26">
        <f>SUMIFS(Verlauf!$X$6:$X$1000,Verlauf!$B$6:$B$1000,$A138,Verlauf!$C$6:$C$1000,$B138)</f>
        <v>0</v>
      </c>
      <c r="Y138" s="26">
        <f>SUMIFS(Verlauf!$Y$6:$Y$1000,Verlauf!$B$6:$B$1000,$A138,Verlauf!$C$6:$C$1000,$B138)</f>
        <v>0</v>
      </c>
      <c r="Z138" s="26">
        <f>SUMIFS(Verlauf!$Z$6:$Z$1000,Verlauf!$B$6:$B$1000,$A138,Verlauf!$C$6:$C$1000,$B138)</f>
        <v>0</v>
      </c>
      <c r="AA138" s="26">
        <f>SUMIFS(Verlauf!$I$6:$I$1000,Verlauf!$B$6:$B$1000,$A138,Verlauf!$C$6:$C$1000,$B138)</f>
        <v>0</v>
      </c>
      <c r="AB138" s="26">
        <f>SUMIFS(Verlauf!$AA$6:$AA$1000,Verlauf!$B$6:$B$1000,$A138,Verlauf!$C$6:$C$1000,$B138)</f>
        <v>0</v>
      </c>
      <c r="AC138" s="26">
        <f>SUMIFS(Verlauf!$AB$6:$AB$1000,Verlauf!$B$6:$B$1000,$A138,Verlauf!$C$6:$C$1000,$B138)</f>
        <v>0</v>
      </c>
      <c r="AD138" s="26">
        <f>SUMIFS(Verlauf!$AC$6:$AC$1000,Verlauf!$B$6:$B$1000,$A138,Verlauf!$C$6:$C$1000,$B138)</f>
        <v>0</v>
      </c>
      <c r="AE138" s="26">
        <f>SUMIFS(Verlauf!$S$6:$S$1000,Verlauf!$B$6:$B$1000,$A138,Verlauf!$C$6:$C$1000,$B138)</f>
        <v>0</v>
      </c>
      <c r="AF138" s="26" t="str">
        <f>IF($AN138="","",INDEX(Verlauf!$D$6:$D$1000,MATCH($AN138,Verlauf!$A$6:$A$1000,0)))</f>
        <v/>
      </c>
      <c r="AG138" s="26" t="str">
        <f>IF($AN138="","",INDEX(Verlauf!$E$6:$E$1000,MATCH($AN138,Verlauf!$A$6:$A$1000,0)))</f>
        <v/>
      </c>
      <c r="AH138" s="26" t="str">
        <f>IF($AN138="","",INDEX(Verlauf!$F$6:$F$1000,MATCH($AN138,Verlauf!$A$6:$A$1000,0)))</f>
        <v/>
      </c>
      <c r="AI138" s="26" t="str">
        <f>IF($AN138="","",INDEX(Verlauf!$H$6:$H$1000,MATCH($AN138,Verlauf!$A$6:$A$1000,0)))</f>
        <v/>
      </c>
      <c r="AJ138" s="26" t="str">
        <f>IF($AN138="","",INDEX(Verlauf!$N$6:$N$1000,MATCH($AN138,Verlauf!$A$6:$A$1000,0)))</f>
        <v/>
      </c>
      <c r="AK138" s="26" t="str">
        <f>IF($AN138="","",INDEX(Verlauf!$O$6:$O$1000,MATCH($AN138,Verlauf!$A$6:$A$1000,0)))</f>
        <v/>
      </c>
      <c r="AL138" s="26" t="str">
        <f>IF($AN138="","",INDEX(Verlauf!$P$6:$P$1000,MATCH($AN138,Verlauf!$A$6:$A$1000,0)))</f>
        <v/>
      </c>
      <c r="AM138" s="26" t="str">
        <f>IF($AN138="","",INDEX(Verlauf!$R$6:$R$1000,MATCH($AN138,Verlauf!$A$6:$A$1000,0)))</f>
        <v/>
      </c>
      <c r="AN138" s="28" t="str">
        <f>IF(U138&gt;0,_xlfn.MAXIFS(Verlauf!$A$6:$A$1000,Verlauf!$B$6:$B$1000,$A138,Verlauf!$C$6:$C$1000,$B138),"")</f>
        <v/>
      </c>
    </row>
    <row r="139" spans="1:40" x14ac:dyDescent="0.25">
      <c r="A139" s="26">
        <v>2029</v>
      </c>
      <c r="B139" s="26">
        <v>6</v>
      </c>
      <c r="C139" s="7" t="str">
        <f t="shared" si="20"/>
        <v>KW 6/29</v>
      </c>
      <c r="D139" s="26">
        <f>SUMIFS(Verlauf!$K$6:$K$1000,Verlauf!$B$6:$B$1000,$A139,Verlauf!$C$6:$C$1000,$B139)</f>
        <v>0</v>
      </c>
      <c r="E139" s="26">
        <f>SUMIFS(Verlauf!$L$6:$L$1000,Verlauf!$B$6:$B$1000,$A139,Verlauf!$C$6:$C$1000,$B139)</f>
        <v>0</v>
      </c>
      <c r="F139" s="26">
        <f>SUMIFS(Verlauf!$M$6:$M$1000,Verlauf!$B$6:$B$1000,$A139,Verlauf!$C$6:$C$1000,$B139)</f>
        <v>0</v>
      </c>
      <c r="G139" s="26">
        <f>SUMIFS(Verlauf!$J$6:$J$1000,Verlauf!$B$6:$B$1000,$A139,Verlauf!$C$6:$C$1000,$B139)</f>
        <v>0</v>
      </c>
      <c r="H139" s="26">
        <f>SUMIFS(Verlauf!$U$6:$U$1000,Verlauf!$B$6:$B$1000,$A139,Verlauf!$C$6:$C$1000,$B139)</f>
        <v>0</v>
      </c>
      <c r="I139" s="26">
        <f>SUMIFS(Verlauf!$V$6:$V$1000,Verlauf!$B$6:$B$1000,$A139,Verlauf!$C$6:$C$1000,$B139)</f>
        <v>0</v>
      </c>
      <c r="J139" s="26">
        <f>SUMIFS(Verlauf!$W$6:$W$1000,Verlauf!$B$6:$B$1000,$A139,Verlauf!$C$6:$C$1000,$B139)</f>
        <v>0</v>
      </c>
      <c r="K139" s="26">
        <f>SUMIFS(Verlauf!$T$6:$T$1000,Verlauf!$B$6:$B$1000,$A139,Verlauf!$C$6:$C$1000,$B139)</f>
        <v>0</v>
      </c>
      <c r="L139" s="27">
        <f>IF(Filter!$T$7=TRUE,IFERROR(INDEX(Planung!$D$68:$IA$68,MATCH($W139,Wirksam!$D$6:$IA$6,0)),0),0)</f>
        <v>0</v>
      </c>
      <c r="M139" s="27">
        <f>IF(OR(Filter!$T$5=TRUE,Filter!$T$6=TRUE),IFERROR(INDEX(Planung!$D$69:$IA$69,MATCH($W139,Wirksam!$D$6:$IA$6,0)),0),0)</f>
        <v>0</v>
      </c>
      <c r="N139" s="27">
        <f t="shared" si="21"/>
        <v>0</v>
      </c>
      <c r="O139" s="27" t="e">
        <f t="shared" si="22"/>
        <v>#N/A</v>
      </c>
      <c r="P139" s="27" t="e">
        <f t="shared" si="23"/>
        <v>#N/A</v>
      </c>
      <c r="Q139" s="27" t="e">
        <f t="shared" si="24"/>
        <v>#N/A</v>
      </c>
      <c r="R139" s="27" t="e">
        <f t="shared" si="25"/>
        <v>#N/A</v>
      </c>
      <c r="S139" s="27" t="e">
        <f t="shared" si="26"/>
        <v>#N/A</v>
      </c>
      <c r="T139" s="27" t="e">
        <f t="shared" si="27"/>
        <v>#N/A</v>
      </c>
      <c r="U139" s="26">
        <f>COUNTIFS(Verlauf!$B$6:$B$1000,$A139,Verlauf!$C$6:$C$1000,$B139)</f>
        <v>0</v>
      </c>
      <c r="V139" s="26">
        <f t="shared" si="28"/>
        <v>0</v>
      </c>
      <c r="W139" s="26">
        <f t="shared" si="29"/>
        <v>202906</v>
      </c>
      <c r="X139" s="26">
        <f>SUMIFS(Verlauf!$X$6:$X$1000,Verlauf!$B$6:$B$1000,$A139,Verlauf!$C$6:$C$1000,$B139)</f>
        <v>0</v>
      </c>
      <c r="Y139" s="26">
        <f>SUMIFS(Verlauf!$Y$6:$Y$1000,Verlauf!$B$6:$B$1000,$A139,Verlauf!$C$6:$C$1000,$B139)</f>
        <v>0</v>
      </c>
      <c r="Z139" s="26">
        <f>SUMIFS(Verlauf!$Z$6:$Z$1000,Verlauf!$B$6:$B$1000,$A139,Verlauf!$C$6:$C$1000,$B139)</f>
        <v>0</v>
      </c>
      <c r="AA139" s="26">
        <f>SUMIFS(Verlauf!$I$6:$I$1000,Verlauf!$B$6:$B$1000,$A139,Verlauf!$C$6:$C$1000,$B139)</f>
        <v>0</v>
      </c>
      <c r="AB139" s="26">
        <f>SUMIFS(Verlauf!$AA$6:$AA$1000,Verlauf!$B$6:$B$1000,$A139,Verlauf!$C$6:$C$1000,$B139)</f>
        <v>0</v>
      </c>
      <c r="AC139" s="26">
        <f>SUMIFS(Verlauf!$AB$6:$AB$1000,Verlauf!$B$6:$B$1000,$A139,Verlauf!$C$6:$C$1000,$B139)</f>
        <v>0</v>
      </c>
      <c r="AD139" s="26">
        <f>SUMIFS(Verlauf!$AC$6:$AC$1000,Verlauf!$B$6:$B$1000,$A139,Verlauf!$C$6:$C$1000,$B139)</f>
        <v>0</v>
      </c>
      <c r="AE139" s="26">
        <f>SUMIFS(Verlauf!$S$6:$S$1000,Verlauf!$B$6:$B$1000,$A139,Verlauf!$C$6:$C$1000,$B139)</f>
        <v>0</v>
      </c>
      <c r="AF139" s="26" t="str">
        <f>IF($AN139="","",INDEX(Verlauf!$D$6:$D$1000,MATCH($AN139,Verlauf!$A$6:$A$1000,0)))</f>
        <v/>
      </c>
      <c r="AG139" s="26" t="str">
        <f>IF($AN139="","",INDEX(Verlauf!$E$6:$E$1000,MATCH($AN139,Verlauf!$A$6:$A$1000,0)))</f>
        <v/>
      </c>
      <c r="AH139" s="26" t="str">
        <f>IF($AN139="","",INDEX(Verlauf!$F$6:$F$1000,MATCH($AN139,Verlauf!$A$6:$A$1000,0)))</f>
        <v/>
      </c>
      <c r="AI139" s="26" t="str">
        <f>IF($AN139="","",INDEX(Verlauf!$H$6:$H$1000,MATCH($AN139,Verlauf!$A$6:$A$1000,0)))</f>
        <v/>
      </c>
      <c r="AJ139" s="26" t="str">
        <f>IF($AN139="","",INDEX(Verlauf!$N$6:$N$1000,MATCH($AN139,Verlauf!$A$6:$A$1000,0)))</f>
        <v/>
      </c>
      <c r="AK139" s="26" t="str">
        <f>IF($AN139="","",INDEX(Verlauf!$O$6:$O$1000,MATCH($AN139,Verlauf!$A$6:$A$1000,0)))</f>
        <v/>
      </c>
      <c r="AL139" s="26" t="str">
        <f>IF($AN139="","",INDEX(Verlauf!$P$6:$P$1000,MATCH($AN139,Verlauf!$A$6:$A$1000,0)))</f>
        <v/>
      </c>
      <c r="AM139" s="26" t="str">
        <f>IF($AN139="","",INDEX(Verlauf!$R$6:$R$1000,MATCH($AN139,Verlauf!$A$6:$A$1000,0)))</f>
        <v/>
      </c>
      <c r="AN139" s="28" t="str">
        <f>IF(U139&gt;0,_xlfn.MAXIFS(Verlauf!$A$6:$A$1000,Verlauf!$B$6:$B$1000,$A139,Verlauf!$C$6:$C$1000,$B139),"")</f>
        <v/>
      </c>
    </row>
    <row r="140" spans="1:40" x14ac:dyDescent="0.25">
      <c r="A140" s="26">
        <v>2029</v>
      </c>
      <c r="B140" s="26">
        <v>7</v>
      </c>
      <c r="C140" s="7" t="str">
        <f t="shared" si="20"/>
        <v>KW 7/29</v>
      </c>
      <c r="D140" s="26">
        <f>SUMIFS(Verlauf!$K$6:$K$1000,Verlauf!$B$6:$B$1000,$A140,Verlauf!$C$6:$C$1000,$B140)</f>
        <v>0</v>
      </c>
      <c r="E140" s="26">
        <f>SUMIFS(Verlauf!$L$6:$L$1000,Verlauf!$B$6:$B$1000,$A140,Verlauf!$C$6:$C$1000,$B140)</f>
        <v>0</v>
      </c>
      <c r="F140" s="26">
        <f>SUMIFS(Verlauf!$M$6:$M$1000,Verlauf!$B$6:$B$1000,$A140,Verlauf!$C$6:$C$1000,$B140)</f>
        <v>0</v>
      </c>
      <c r="G140" s="26">
        <f>SUMIFS(Verlauf!$J$6:$J$1000,Verlauf!$B$6:$B$1000,$A140,Verlauf!$C$6:$C$1000,$B140)</f>
        <v>0</v>
      </c>
      <c r="H140" s="26">
        <f>SUMIFS(Verlauf!$U$6:$U$1000,Verlauf!$B$6:$B$1000,$A140,Verlauf!$C$6:$C$1000,$B140)</f>
        <v>0</v>
      </c>
      <c r="I140" s="26">
        <f>SUMIFS(Verlauf!$V$6:$V$1000,Verlauf!$B$6:$B$1000,$A140,Verlauf!$C$6:$C$1000,$B140)</f>
        <v>0</v>
      </c>
      <c r="J140" s="26">
        <f>SUMIFS(Verlauf!$W$6:$W$1000,Verlauf!$B$6:$B$1000,$A140,Verlauf!$C$6:$C$1000,$B140)</f>
        <v>0</v>
      </c>
      <c r="K140" s="26">
        <f>SUMIFS(Verlauf!$T$6:$T$1000,Verlauf!$B$6:$B$1000,$A140,Verlauf!$C$6:$C$1000,$B140)</f>
        <v>0</v>
      </c>
      <c r="L140" s="27">
        <f>IF(Filter!$T$7=TRUE,IFERROR(INDEX(Planung!$D$68:$IA$68,MATCH($W140,Wirksam!$D$6:$IA$6,0)),0),0)</f>
        <v>0</v>
      </c>
      <c r="M140" s="27">
        <f>IF(OR(Filter!$T$5=TRUE,Filter!$T$6=TRUE),IFERROR(INDEX(Planung!$D$69:$IA$69,MATCH($W140,Wirksam!$D$6:$IA$6,0)),0),0)</f>
        <v>0</v>
      </c>
      <c r="N140" s="27">
        <f t="shared" si="21"/>
        <v>0</v>
      </c>
      <c r="O140" s="27" t="e">
        <f t="shared" si="22"/>
        <v>#N/A</v>
      </c>
      <c r="P140" s="27" t="e">
        <f t="shared" si="23"/>
        <v>#N/A</v>
      </c>
      <c r="Q140" s="27" t="e">
        <f t="shared" si="24"/>
        <v>#N/A</v>
      </c>
      <c r="R140" s="27" t="e">
        <f t="shared" si="25"/>
        <v>#N/A</v>
      </c>
      <c r="S140" s="27" t="e">
        <f t="shared" si="26"/>
        <v>#N/A</v>
      </c>
      <c r="T140" s="27" t="e">
        <f t="shared" si="27"/>
        <v>#N/A</v>
      </c>
      <c r="U140" s="26">
        <f>COUNTIFS(Verlauf!$B$6:$B$1000,$A140,Verlauf!$C$6:$C$1000,$B140)</f>
        <v>0</v>
      </c>
      <c r="V140" s="26">
        <f t="shared" si="28"/>
        <v>0</v>
      </c>
      <c r="W140" s="26">
        <f t="shared" si="29"/>
        <v>202907</v>
      </c>
      <c r="X140" s="26">
        <f>SUMIFS(Verlauf!$X$6:$X$1000,Verlauf!$B$6:$B$1000,$A140,Verlauf!$C$6:$C$1000,$B140)</f>
        <v>0</v>
      </c>
      <c r="Y140" s="26">
        <f>SUMIFS(Verlauf!$Y$6:$Y$1000,Verlauf!$B$6:$B$1000,$A140,Verlauf!$C$6:$C$1000,$B140)</f>
        <v>0</v>
      </c>
      <c r="Z140" s="26">
        <f>SUMIFS(Verlauf!$Z$6:$Z$1000,Verlauf!$B$6:$B$1000,$A140,Verlauf!$C$6:$C$1000,$B140)</f>
        <v>0</v>
      </c>
      <c r="AA140" s="26">
        <f>SUMIFS(Verlauf!$I$6:$I$1000,Verlauf!$B$6:$B$1000,$A140,Verlauf!$C$6:$C$1000,$B140)</f>
        <v>0</v>
      </c>
      <c r="AB140" s="26">
        <f>SUMIFS(Verlauf!$AA$6:$AA$1000,Verlauf!$B$6:$B$1000,$A140,Verlauf!$C$6:$C$1000,$B140)</f>
        <v>0</v>
      </c>
      <c r="AC140" s="26">
        <f>SUMIFS(Verlauf!$AB$6:$AB$1000,Verlauf!$B$6:$B$1000,$A140,Verlauf!$C$6:$C$1000,$B140)</f>
        <v>0</v>
      </c>
      <c r="AD140" s="26">
        <f>SUMIFS(Verlauf!$AC$6:$AC$1000,Verlauf!$B$6:$B$1000,$A140,Verlauf!$C$6:$C$1000,$B140)</f>
        <v>0</v>
      </c>
      <c r="AE140" s="26">
        <f>SUMIFS(Verlauf!$S$6:$S$1000,Verlauf!$B$6:$B$1000,$A140,Verlauf!$C$6:$C$1000,$B140)</f>
        <v>0</v>
      </c>
      <c r="AF140" s="26" t="str">
        <f>IF($AN140="","",INDEX(Verlauf!$D$6:$D$1000,MATCH($AN140,Verlauf!$A$6:$A$1000,0)))</f>
        <v/>
      </c>
      <c r="AG140" s="26" t="str">
        <f>IF($AN140="","",INDEX(Verlauf!$E$6:$E$1000,MATCH($AN140,Verlauf!$A$6:$A$1000,0)))</f>
        <v/>
      </c>
      <c r="AH140" s="26" t="str">
        <f>IF($AN140="","",INDEX(Verlauf!$F$6:$F$1000,MATCH($AN140,Verlauf!$A$6:$A$1000,0)))</f>
        <v/>
      </c>
      <c r="AI140" s="26" t="str">
        <f>IF($AN140="","",INDEX(Verlauf!$H$6:$H$1000,MATCH($AN140,Verlauf!$A$6:$A$1000,0)))</f>
        <v/>
      </c>
      <c r="AJ140" s="26" t="str">
        <f>IF($AN140="","",INDEX(Verlauf!$N$6:$N$1000,MATCH($AN140,Verlauf!$A$6:$A$1000,0)))</f>
        <v/>
      </c>
      <c r="AK140" s="26" t="str">
        <f>IF($AN140="","",INDEX(Verlauf!$O$6:$O$1000,MATCH($AN140,Verlauf!$A$6:$A$1000,0)))</f>
        <v/>
      </c>
      <c r="AL140" s="26" t="str">
        <f>IF($AN140="","",INDEX(Verlauf!$P$6:$P$1000,MATCH($AN140,Verlauf!$A$6:$A$1000,0)))</f>
        <v/>
      </c>
      <c r="AM140" s="26" t="str">
        <f>IF($AN140="","",INDEX(Verlauf!$R$6:$R$1000,MATCH($AN140,Verlauf!$A$6:$A$1000,0)))</f>
        <v/>
      </c>
      <c r="AN140" s="28" t="str">
        <f>IF(U140&gt;0,_xlfn.MAXIFS(Verlauf!$A$6:$A$1000,Verlauf!$B$6:$B$1000,$A140,Verlauf!$C$6:$C$1000,$B140),"")</f>
        <v/>
      </c>
    </row>
    <row r="141" spans="1:40" x14ac:dyDescent="0.25">
      <c r="A141" s="26">
        <v>2029</v>
      </c>
      <c r="B141" s="26">
        <v>8</v>
      </c>
      <c r="C141" s="7" t="str">
        <f t="shared" si="20"/>
        <v>KW 8/29</v>
      </c>
      <c r="D141" s="26">
        <f>SUMIFS(Verlauf!$K$6:$K$1000,Verlauf!$B$6:$B$1000,$A141,Verlauf!$C$6:$C$1000,$B141)</f>
        <v>0</v>
      </c>
      <c r="E141" s="26">
        <f>SUMIFS(Verlauf!$L$6:$L$1000,Verlauf!$B$6:$B$1000,$A141,Verlauf!$C$6:$C$1000,$B141)</f>
        <v>0</v>
      </c>
      <c r="F141" s="26">
        <f>SUMIFS(Verlauf!$M$6:$M$1000,Verlauf!$B$6:$B$1000,$A141,Verlauf!$C$6:$C$1000,$B141)</f>
        <v>0</v>
      </c>
      <c r="G141" s="26">
        <f>SUMIFS(Verlauf!$J$6:$J$1000,Verlauf!$B$6:$B$1000,$A141,Verlauf!$C$6:$C$1000,$B141)</f>
        <v>0</v>
      </c>
      <c r="H141" s="26">
        <f>SUMIFS(Verlauf!$U$6:$U$1000,Verlauf!$B$6:$B$1000,$A141,Verlauf!$C$6:$C$1000,$B141)</f>
        <v>0</v>
      </c>
      <c r="I141" s="26">
        <f>SUMIFS(Verlauf!$V$6:$V$1000,Verlauf!$B$6:$B$1000,$A141,Verlauf!$C$6:$C$1000,$B141)</f>
        <v>0</v>
      </c>
      <c r="J141" s="26">
        <f>SUMIFS(Verlauf!$W$6:$W$1000,Verlauf!$B$6:$B$1000,$A141,Verlauf!$C$6:$C$1000,$B141)</f>
        <v>0</v>
      </c>
      <c r="K141" s="26">
        <f>SUMIFS(Verlauf!$T$6:$T$1000,Verlauf!$B$6:$B$1000,$A141,Verlauf!$C$6:$C$1000,$B141)</f>
        <v>0</v>
      </c>
      <c r="L141" s="27">
        <f>IF(Filter!$T$7=TRUE,IFERROR(INDEX(Planung!$D$68:$IA$68,MATCH($W141,Wirksam!$D$6:$IA$6,0)),0),0)</f>
        <v>0</v>
      </c>
      <c r="M141" s="27">
        <f>IF(OR(Filter!$T$5=TRUE,Filter!$T$6=TRUE),IFERROR(INDEX(Planung!$D$69:$IA$69,MATCH($W141,Wirksam!$D$6:$IA$6,0)),0),0)</f>
        <v>0</v>
      </c>
      <c r="N141" s="27">
        <f t="shared" si="21"/>
        <v>0</v>
      </c>
      <c r="O141" s="27" t="e">
        <f t="shared" si="22"/>
        <v>#N/A</v>
      </c>
      <c r="P141" s="27" t="e">
        <f t="shared" si="23"/>
        <v>#N/A</v>
      </c>
      <c r="Q141" s="27" t="e">
        <f t="shared" si="24"/>
        <v>#N/A</v>
      </c>
      <c r="R141" s="27" t="e">
        <f t="shared" si="25"/>
        <v>#N/A</v>
      </c>
      <c r="S141" s="27" t="e">
        <f t="shared" si="26"/>
        <v>#N/A</v>
      </c>
      <c r="T141" s="27" t="e">
        <f t="shared" si="27"/>
        <v>#N/A</v>
      </c>
      <c r="U141" s="26">
        <f>COUNTIFS(Verlauf!$B$6:$B$1000,$A141,Verlauf!$C$6:$C$1000,$B141)</f>
        <v>0</v>
      </c>
      <c r="V141" s="26">
        <f t="shared" si="28"/>
        <v>0</v>
      </c>
      <c r="W141" s="26">
        <f t="shared" si="29"/>
        <v>202908</v>
      </c>
      <c r="X141" s="26">
        <f>SUMIFS(Verlauf!$X$6:$X$1000,Verlauf!$B$6:$B$1000,$A141,Verlauf!$C$6:$C$1000,$B141)</f>
        <v>0</v>
      </c>
      <c r="Y141" s="26">
        <f>SUMIFS(Verlauf!$Y$6:$Y$1000,Verlauf!$B$6:$B$1000,$A141,Verlauf!$C$6:$C$1000,$B141)</f>
        <v>0</v>
      </c>
      <c r="Z141" s="26">
        <f>SUMIFS(Verlauf!$Z$6:$Z$1000,Verlauf!$B$6:$B$1000,$A141,Verlauf!$C$6:$C$1000,$B141)</f>
        <v>0</v>
      </c>
      <c r="AA141" s="26">
        <f>SUMIFS(Verlauf!$I$6:$I$1000,Verlauf!$B$6:$B$1000,$A141,Verlauf!$C$6:$C$1000,$B141)</f>
        <v>0</v>
      </c>
      <c r="AB141" s="26">
        <f>SUMIFS(Verlauf!$AA$6:$AA$1000,Verlauf!$B$6:$B$1000,$A141,Verlauf!$C$6:$C$1000,$B141)</f>
        <v>0</v>
      </c>
      <c r="AC141" s="26">
        <f>SUMIFS(Verlauf!$AB$6:$AB$1000,Verlauf!$B$6:$B$1000,$A141,Verlauf!$C$6:$C$1000,$B141)</f>
        <v>0</v>
      </c>
      <c r="AD141" s="26">
        <f>SUMIFS(Verlauf!$AC$6:$AC$1000,Verlauf!$B$6:$B$1000,$A141,Verlauf!$C$6:$C$1000,$B141)</f>
        <v>0</v>
      </c>
      <c r="AE141" s="26">
        <f>SUMIFS(Verlauf!$S$6:$S$1000,Verlauf!$B$6:$B$1000,$A141,Verlauf!$C$6:$C$1000,$B141)</f>
        <v>0</v>
      </c>
      <c r="AF141" s="26" t="str">
        <f>IF($AN141="","",INDEX(Verlauf!$D$6:$D$1000,MATCH($AN141,Verlauf!$A$6:$A$1000,0)))</f>
        <v/>
      </c>
      <c r="AG141" s="26" t="str">
        <f>IF($AN141="","",INDEX(Verlauf!$E$6:$E$1000,MATCH($AN141,Verlauf!$A$6:$A$1000,0)))</f>
        <v/>
      </c>
      <c r="AH141" s="26" t="str">
        <f>IF($AN141="","",INDEX(Verlauf!$F$6:$F$1000,MATCH($AN141,Verlauf!$A$6:$A$1000,0)))</f>
        <v/>
      </c>
      <c r="AI141" s="26" t="str">
        <f>IF($AN141="","",INDEX(Verlauf!$H$6:$H$1000,MATCH($AN141,Verlauf!$A$6:$A$1000,0)))</f>
        <v/>
      </c>
      <c r="AJ141" s="26" t="str">
        <f>IF($AN141="","",INDEX(Verlauf!$N$6:$N$1000,MATCH($AN141,Verlauf!$A$6:$A$1000,0)))</f>
        <v/>
      </c>
      <c r="AK141" s="26" t="str">
        <f>IF($AN141="","",INDEX(Verlauf!$O$6:$O$1000,MATCH($AN141,Verlauf!$A$6:$A$1000,0)))</f>
        <v/>
      </c>
      <c r="AL141" s="26" t="str">
        <f>IF($AN141="","",INDEX(Verlauf!$P$6:$P$1000,MATCH($AN141,Verlauf!$A$6:$A$1000,0)))</f>
        <v/>
      </c>
      <c r="AM141" s="26" t="str">
        <f>IF($AN141="","",INDEX(Verlauf!$R$6:$R$1000,MATCH($AN141,Verlauf!$A$6:$A$1000,0)))</f>
        <v/>
      </c>
      <c r="AN141" s="28" t="str">
        <f>IF(U141&gt;0,_xlfn.MAXIFS(Verlauf!$A$6:$A$1000,Verlauf!$B$6:$B$1000,$A141,Verlauf!$C$6:$C$1000,$B141),"")</f>
        <v/>
      </c>
    </row>
    <row r="142" spans="1:40" x14ac:dyDescent="0.25">
      <c r="A142" s="26">
        <v>2029</v>
      </c>
      <c r="B142" s="26">
        <v>9</v>
      </c>
      <c r="C142" s="7" t="str">
        <f t="shared" si="20"/>
        <v>KW 9/29</v>
      </c>
      <c r="D142" s="26">
        <f>SUMIFS(Verlauf!$K$6:$K$1000,Verlauf!$B$6:$B$1000,$A142,Verlauf!$C$6:$C$1000,$B142)</f>
        <v>0</v>
      </c>
      <c r="E142" s="26">
        <f>SUMIFS(Verlauf!$L$6:$L$1000,Verlauf!$B$6:$B$1000,$A142,Verlauf!$C$6:$C$1000,$B142)</f>
        <v>0</v>
      </c>
      <c r="F142" s="26">
        <f>SUMIFS(Verlauf!$M$6:$M$1000,Verlauf!$B$6:$B$1000,$A142,Verlauf!$C$6:$C$1000,$B142)</f>
        <v>0</v>
      </c>
      <c r="G142" s="26">
        <f>SUMIFS(Verlauf!$J$6:$J$1000,Verlauf!$B$6:$B$1000,$A142,Verlauf!$C$6:$C$1000,$B142)</f>
        <v>0</v>
      </c>
      <c r="H142" s="26">
        <f>SUMIFS(Verlauf!$U$6:$U$1000,Verlauf!$B$6:$B$1000,$A142,Verlauf!$C$6:$C$1000,$B142)</f>
        <v>0</v>
      </c>
      <c r="I142" s="26">
        <f>SUMIFS(Verlauf!$V$6:$V$1000,Verlauf!$B$6:$B$1000,$A142,Verlauf!$C$6:$C$1000,$B142)</f>
        <v>0</v>
      </c>
      <c r="J142" s="26">
        <f>SUMIFS(Verlauf!$W$6:$W$1000,Verlauf!$B$6:$B$1000,$A142,Verlauf!$C$6:$C$1000,$B142)</f>
        <v>0</v>
      </c>
      <c r="K142" s="26">
        <f>SUMIFS(Verlauf!$T$6:$T$1000,Verlauf!$B$6:$B$1000,$A142,Verlauf!$C$6:$C$1000,$B142)</f>
        <v>0</v>
      </c>
      <c r="L142" s="27">
        <f>IF(Filter!$T$7=TRUE,IFERROR(INDEX(Planung!$D$68:$IA$68,MATCH($W142,Wirksam!$D$6:$IA$6,0)),0),0)</f>
        <v>0</v>
      </c>
      <c r="M142" s="27">
        <f>IF(OR(Filter!$T$5=TRUE,Filter!$T$6=TRUE),IFERROR(INDEX(Planung!$D$69:$IA$69,MATCH($W142,Wirksam!$D$6:$IA$6,0)),0),0)</f>
        <v>0</v>
      </c>
      <c r="N142" s="27">
        <f t="shared" si="21"/>
        <v>0</v>
      </c>
      <c r="O142" s="27" t="e">
        <f t="shared" si="22"/>
        <v>#N/A</v>
      </c>
      <c r="P142" s="27" t="e">
        <f t="shared" si="23"/>
        <v>#N/A</v>
      </c>
      <c r="Q142" s="27" t="e">
        <f t="shared" si="24"/>
        <v>#N/A</v>
      </c>
      <c r="R142" s="27" t="e">
        <f t="shared" si="25"/>
        <v>#N/A</v>
      </c>
      <c r="S142" s="27" t="e">
        <f t="shared" si="26"/>
        <v>#N/A</v>
      </c>
      <c r="T142" s="27" t="e">
        <f t="shared" si="27"/>
        <v>#N/A</v>
      </c>
      <c r="U142" s="26">
        <f>COUNTIFS(Verlauf!$B$6:$B$1000,$A142,Verlauf!$C$6:$C$1000,$B142)</f>
        <v>0</v>
      </c>
      <c r="V142" s="26">
        <f t="shared" si="28"/>
        <v>0</v>
      </c>
      <c r="W142" s="26">
        <f t="shared" si="29"/>
        <v>202909</v>
      </c>
      <c r="X142" s="26">
        <f>SUMIFS(Verlauf!$X$6:$X$1000,Verlauf!$B$6:$B$1000,$A142,Verlauf!$C$6:$C$1000,$B142)</f>
        <v>0</v>
      </c>
      <c r="Y142" s="26">
        <f>SUMIFS(Verlauf!$Y$6:$Y$1000,Verlauf!$B$6:$B$1000,$A142,Verlauf!$C$6:$C$1000,$B142)</f>
        <v>0</v>
      </c>
      <c r="Z142" s="26">
        <f>SUMIFS(Verlauf!$Z$6:$Z$1000,Verlauf!$B$6:$B$1000,$A142,Verlauf!$C$6:$C$1000,$B142)</f>
        <v>0</v>
      </c>
      <c r="AA142" s="26">
        <f>SUMIFS(Verlauf!$I$6:$I$1000,Verlauf!$B$6:$B$1000,$A142,Verlauf!$C$6:$C$1000,$B142)</f>
        <v>0</v>
      </c>
      <c r="AB142" s="26">
        <f>SUMIFS(Verlauf!$AA$6:$AA$1000,Verlauf!$B$6:$B$1000,$A142,Verlauf!$C$6:$C$1000,$B142)</f>
        <v>0</v>
      </c>
      <c r="AC142" s="26">
        <f>SUMIFS(Verlauf!$AB$6:$AB$1000,Verlauf!$B$6:$B$1000,$A142,Verlauf!$C$6:$C$1000,$B142)</f>
        <v>0</v>
      </c>
      <c r="AD142" s="26">
        <f>SUMIFS(Verlauf!$AC$6:$AC$1000,Verlauf!$B$6:$B$1000,$A142,Verlauf!$C$6:$C$1000,$B142)</f>
        <v>0</v>
      </c>
      <c r="AE142" s="26">
        <f>SUMIFS(Verlauf!$S$6:$S$1000,Verlauf!$B$6:$B$1000,$A142,Verlauf!$C$6:$C$1000,$B142)</f>
        <v>0</v>
      </c>
      <c r="AF142" s="26" t="str">
        <f>IF($AN142="","",INDEX(Verlauf!$D$6:$D$1000,MATCH($AN142,Verlauf!$A$6:$A$1000,0)))</f>
        <v/>
      </c>
      <c r="AG142" s="26" t="str">
        <f>IF($AN142="","",INDEX(Verlauf!$E$6:$E$1000,MATCH($AN142,Verlauf!$A$6:$A$1000,0)))</f>
        <v/>
      </c>
      <c r="AH142" s="26" t="str">
        <f>IF($AN142="","",INDEX(Verlauf!$F$6:$F$1000,MATCH($AN142,Verlauf!$A$6:$A$1000,0)))</f>
        <v/>
      </c>
      <c r="AI142" s="26" t="str">
        <f>IF($AN142="","",INDEX(Verlauf!$H$6:$H$1000,MATCH($AN142,Verlauf!$A$6:$A$1000,0)))</f>
        <v/>
      </c>
      <c r="AJ142" s="26" t="str">
        <f>IF($AN142="","",INDEX(Verlauf!$N$6:$N$1000,MATCH($AN142,Verlauf!$A$6:$A$1000,0)))</f>
        <v/>
      </c>
      <c r="AK142" s="26" t="str">
        <f>IF($AN142="","",INDEX(Verlauf!$O$6:$O$1000,MATCH($AN142,Verlauf!$A$6:$A$1000,0)))</f>
        <v/>
      </c>
      <c r="AL142" s="26" t="str">
        <f>IF($AN142="","",INDEX(Verlauf!$P$6:$P$1000,MATCH($AN142,Verlauf!$A$6:$A$1000,0)))</f>
        <v/>
      </c>
      <c r="AM142" s="26" t="str">
        <f>IF($AN142="","",INDEX(Verlauf!$R$6:$R$1000,MATCH($AN142,Verlauf!$A$6:$A$1000,0)))</f>
        <v/>
      </c>
      <c r="AN142" s="28" t="str">
        <f>IF(U142&gt;0,_xlfn.MAXIFS(Verlauf!$A$6:$A$1000,Verlauf!$B$6:$B$1000,$A142,Verlauf!$C$6:$C$1000,$B142),"")</f>
        <v/>
      </c>
    </row>
    <row r="143" spans="1:40" x14ac:dyDescent="0.25">
      <c r="A143" s="26">
        <v>2029</v>
      </c>
      <c r="B143" s="26">
        <v>10</v>
      </c>
      <c r="C143" s="7" t="str">
        <f t="shared" si="20"/>
        <v>KW 10/29</v>
      </c>
      <c r="D143" s="26">
        <f>SUMIFS(Verlauf!$K$6:$K$1000,Verlauf!$B$6:$B$1000,$A143,Verlauf!$C$6:$C$1000,$B143)</f>
        <v>0</v>
      </c>
      <c r="E143" s="26">
        <f>SUMIFS(Verlauf!$L$6:$L$1000,Verlauf!$B$6:$B$1000,$A143,Verlauf!$C$6:$C$1000,$B143)</f>
        <v>0</v>
      </c>
      <c r="F143" s="26">
        <f>SUMIFS(Verlauf!$M$6:$M$1000,Verlauf!$B$6:$B$1000,$A143,Verlauf!$C$6:$C$1000,$B143)</f>
        <v>0</v>
      </c>
      <c r="G143" s="26">
        <f>SUMIFS(Verlauf!$J$6:$J$1000,Verlauf!$B$6:$B$1000,$A143,Verlauf!$C$6:$C$1000,$B143)</f>
        <v>0</v>
      </c>
      <c r="H143" s="26">
        <f>SUMIFS(Verlauf!$U$6:$U$1000,Verlauf!$B$6:$B$1000,$A143,Verlauf!$C$6:$C$1000,$B143)</f>
        <v>0</v>
      </c>
      <c r="I143" s="26">
        <f>SUMIFS(Verlauf!$V$6:$V$1000,Verlauf!$B$6:$B$1000,$A143,Verlauf!$C$6:$C$1000,$B143)</f>
        <v>0</v>
      </c>
      <c r="J143" s="26">
        <f>SUMIFS(Verlauf!$W$6:$W$1000,Verlauf!$B$6:$B$1000,$A143,Verlauf!$C$6:$C$1000,$B143)</f>
        <v>0</v>
      </c>
      <c r="K143" s="26">
        <f>SUMIFS(Verlauf!$T$6:$T$1000,Verlauf!$B$6:$B$1000,$A143,Verlauf!$C$6:$C$1000,$B143)</f>
        <v>0</v>
      </c>
      <c r="L143" s="27">
        <f>IF(Filter!$T$7=TRUE,IFERROR(INDEX(Planung!$D$68:$IA$68,MATCH($W143,Wirksam!$D$6:$IA$6,0)),0),0)</f>
        <v>0</v>
      </c>
      <c r="M143" s="27">
        <f>IF(OR(Filter!$T$5=TRUE,Filter!$T$6=TRUE),IFERROR(INDEX(Planung!$D$69:$IA$69,MATCH($W143,Wirksam!$D$6:$IA$6,0)),0),0)</f>
        <v>0</v>
      </c>
      <c r="N143" s="27">
        <f t="shared" si="21"/>
        <v>0</v>
      </c>
      <c r="O143" s="27" t="e">
        <f t="shared" si="22"/>
        <v>#N/A</v>
      </c>
      <c r="P143" s="27" t="e">
        <f t="shared" si="23"/>
        <v>#N/A</v>
      </c>
      <c r="Q143" s="27" t="e">
        <f t="shared" si="24"/>
        <v>#N/A</v>
      </c>
      <c r="R143" s="27" t="e">
        <f t="shared" si="25"/>
        <v>#N/A</v>
      </c>
      <c r="S143" s="27" t="e">
        <f t="shared" si="26"/>
        <v>#N/A</v>
      </c>
      <c r="T143" s="27" t="e">
        <f t="shared" si="27"/>
        <v>#N/A</v>
      </c>
      <c r="U143" s="26">
        <f>COUNTIFS(Verlauf!$B$6:$B$1000,$A143,Verlauf!$C$6:$C$1000,$B143)</f>
        <v>0</v>
      </c>
      <c r="V143" s="26">
        <f t="shared" si="28"/>
        <v>0</v>
      </c>
      <c r="W143" s="26">
        <f t="shared" si="29"/>
        <v>202910</v>
      </c>
      <c r="X143" s="26">
        <f>SUMIFS(Verlauf!$X$6:$X$1000,Verlauf!$B$6:$B$1000,$A143,Verlauf!$C$6:$C$1000,$B143)</f>
        <v>0</v>
      </c>
      <c r="Y143" s="26">
        <f>SUMIFS(Verlauf!$Y$6:$Y$1000,Verlauf!$B$6:$B$1000,$A143,Verlauf!$C$6:$C$1000,$B143)</f>
        <v>0</v>
      </c>
      <c r="Z143" s="26">
        <f>SUMIFS(Verlauf!$Z$6:$Z$1000,Verlauf!$B$6:$B$1000,$A143,Verlauf!$C$6:$C$1000,$B143)</f>
        <v>0</v>
      </c>
      <c r="AA143" s="26">
        <f>SUMIFS(Verlauf!$I$6:$I$1000,Verlauf!$B$6:$B$1000,$A143,Verlauf!$C$6:$C$1000,$B143)</f>
        <v>0</v>
      </c>
      <c r="AB143" s="26">
        <f>SUMIFS(Verlauf!$AA$6:$AA$1000,Verlauf!$B$6:$B$1000,$A143,Verlauf!$C$6:$C$1000,$B143)</f>
        <v>0</v>
      </c>
      <c r="AC143" s="26">
        <f>SUMIFS(Verlauf!$AB$6:$AB$1000,Verlauf!$B$6:$B$1000,$A143,Verlauf!$C$6:$C$1000,$B143)</f>
        <v>0</v>
      </c>
      <c r="AD143" s="26">
        <f>SUMIFS(Verlauf!$AC$6:$AC$1000,Verlauf!$B$6:$B$1000,$A143,Verlauf!$C$6:$C$1000,$B143)</f>
        <v>0</v>
      </c>
      <c r="AE143" s="26">
        <f>SUMIFS(Verlauf!$S$6:$S$1000,Verlauf!$B$6:$B$1000,$A143,Verlauf!$C$6:$C$1000,$B143)</f>
        <v>0</v>
      </c>
      <c r="AF143" s="26" t="str">
        <f>IF($AN143="","",INDEX(Verlauf!$D$6:$D$1000,MATCH($AN143,Verlauf!$A$6:$A$1000,0)))</f>
        <v/>
      </c>
      <c r="AG143" s="26" t="str">
        <f>IF($AN143="","",INDEX(Verlauf!$E$6:$E$1000,MATCH($AN143,Verlauf!$A$6:$A$1000,0)))</f>
        <v/>
      </c>
      <c r="AH143" s="26" t="str">
        <f>IF($AN143="","",INDEX(Verlauf!$F$6:$F$1000,MATCH($AN143,Verlauf!$A$6:$A$1000,0)))</f>
        <v/>
      </c>
      <c r="AI143" s="26" t="str">
        <f>IF($AN143="","",INDEX(Verlauf!$H$6:$H$1000,MATCH($AN143,Verlauf!$A$6:$A$1000,0)))</f>
        <v/>
      </c>
      <c r="AJ143" s="26" t="str">
        <f>IF($AN143="","",INDEX(Verlauf!$N$6:$N$1000,MATCH($AN143,Verlauf!$A$6:$A$1000,0)))</f>
        <v/>
      </c>
      <c r="AK143" s="26" t="str">
        <f>IF($AN143="","",INDEX(Verlauf!$O$6:$O$1000,MATCH($AN143,Verlauf!$A$6:$A$1000,0)))</f>
        <v/>
      </c>
      <c r="AL143" s="26" t="str">
        <f>IF($AN143="","",INDEX(Verlauf!$P$6:$P$1000,MATCH($AN143,Verlauf!$A$6:$A$1000,0)))</f>
        <v/>
      </c>
      <c r="AM143" s="26" t="str">
        <f>IF($AN143="","",INDEX(Verlauf!$R$6:$R$1000,MATCH($AN143,Verlauf!$A$6:$A$1000,0)))</f>
        <v/>
      </c>
      <c r="AN143" s="28" t="str">
        <f>IF(U143&gt;0,_xlfn.MAXIFS(Verlauf!$A$6:$A$1000,Verlauf!$B$6:$B$1000,$A143,Verlauf!$C$6:$C$1000,$B143),"")</f>
        <v/>
      </c>
    </row>
    <row r="144" spans="1:40" x14ac:dyDescent="0.25">
      <c r="A144" s="26">
        <v>2029</v>
      </c>
      <c r="B144" s="26">
        <v>11</v>
      </c>
      <c r="C144" s="7" t="str">
        <f t="shared" si="20"/>
        <v>KW 11/29</v>
      </c>
      <c r="D144" s="26">
        <f>SUMIFS(Verlauf!$K$6:$K$1000,Verlauf!$B$6:$B$1000,$A144,Verlauf!$C$6:$C$1000,$B144)</f>
        <v>0</v>
      </c>
      <c r="E144" s="26">
        <f>SUMIFS(Verlauf!$L$6:$L$1000,Verlauf!$B$6:$B$1000,$A144,Verlauf!$C$6:$C$1000,$B144)</f>
        <v>0</v>
      </c>
      <c r="F144" s="26">
        <f>SUMIFS(Verlauf!$M$6:$M$1000,Verlauf!$B$6:$B$1000,$A144,Verlauf!$C$6:$C$1000,$B144)</f>
        <v>0</v>
      </c>
      <c r="G144" s="26">
        <f>SUMIFS(Verlauf!$J$6:$J$1000,Verlauf!$B$6:$B$1000,$A144,Verlauf!$C$6:$C$1000,$B144)</f>
        <v>0</v>
      </c>
      <c r="H144" s="26">
        <f>SUMIFS(Verlauf!$U$6:$U$1000,Verlauf!$B$6:$B$1000,$A144,Verlauf!$C$6:$C$1000,$B144)</f>
        <v>0</v>
      </c>
      <c r="I144" s="26">
        <f>SUMIFS(Verlauf!$V$6:$V$1000,Verlauf!$B$6:$B$1000,$A144,Verlauf!$C$6:$C$1000,$B144)</f>
        <v>0</v>
      </c>
      <c r="J144" s="26">
        <f>SUMIFS(Verlauf!$W$6:$W$1000,Verlauf!$B$6:$B$1000,$A144,Verlauf!$C$6:$C$1000,$B144)</f>
        <v>0</v>
      </c>
      <c r="K144" s="26">
        <f>SUMIFS(Verlauf!$T$6:$T$1000,Verlauf!$B$6:$B$1000,$A144,Verlauf!$C$6:$C$1000,$B144)</f>
        <v>0</v>
      </c>
      <c r="L144" s="27">
        <f>IF(Filter!$T$7=TRUE,IFERROR(INDEX(Planung!$D$68:$IA$68,MATCH($W144,Wirksam!$D$6:$IA$6,0)),0),0)</f>
        <v>0</v>
      </c>
      <c r="M144" s="27">
        <f>IF(OR(Filter!$T$5=TRUE,Filter!$T$6=TRUE),IFERROR(INDEX(Planung!$D$69:$IA$69,MATCH($W144,Wirksam!$D$6:$IA$6,0)),0),0)</f>
        <v>0</v>
      </c>
      <c r="N144" s="27">
        <f t="shared" si="21"/>
        <v>0</v>
      </c>
      <c r="O144" s="27" t="e">
        <f t="shared" si="22"/>
        <v>#N/A</v>
      </c>
      <c r="P144" s="27" t="e">
        <f t="shared" si="23"/>
        <v>#N/A</v>
      </c>
      <c r="Q144" s="27" t="e">
        <f t="shared" si="24"/>
        <v>#N/A</v>
      </c>
      <c r="R144" s="27" t="e">
        <f t="shared" si="25"/>
        <v>#N/A</v>
      </c>
      <c r="S144" s="27" t="e">
        <f t="shared" si="26"/>
        <v>#N/A</v>
      </c>
      <c r="T144" s="27" t="e">
        <f t="shared" si="27"/>
        <v>#N/A</v>
      </c>
      <c r="U144" s="26">
        <f>COUNTIFS(Verlauf!$B$6:$B$1000,$A144,Verlauf!$C$6:$C$1000,$B144)</f>
        <v>0</v>
      </c>
      <c r="V144" s="26">
        <f t="shared" si="28"/>
        <v>0</v>
      </c>
      <c r="W144" s="26">
        <f t="shared" si="29"/>
        <v>202911</v>
      </c>
      <c r="X144" s="26">
        <f>SUMIFS(Verlauf!$X$6:$X$1000,Verlauf!$B$6:$B$1000,$A144,Verlauf!$C$6:$C$1000,$B144)</f>
        <v>0</v>
      </c>
      <c r="Y144" s="26">
        <f>SUMIFS(Verlauf!$Y$6:$Y$1000,Verlauf!$B$6:$B$1000,$A144,Verlauf!$C$6:$C$1000,$B144)</f>
        <v>0</v>
      </c>
      <c r="Z144" s="26">
        <f>SUMIFS(Verlauf!$Z$6:$Z$1000,Verlauf!$B$6:$B$1000,$A144,Verlauf!$C$6:$C$1000,$B144)</f>
        <v>0</v>
      </c>
      <c r="AA144" s="26">
        <f>SUMIFS(Verlauf!$I$6:$I$1000,Verlauf!$B$6:$B$1000,$A144,Verlauf!$C$6:$C$1000,$B144)</f>
        <v>0</v>
      </c>
      <c r="AB144" s="26">
        <f>SUMIFS(Verlauf!$AA$6:$AA$1000,Verlauf!$B$6:$B$1000,$A144,Verlauf!$C$6:$C$1000,$B144)</f>
        <v>0</v>
      </c>
      <c r="AC144" s="26">
        <f>SUMIFS(Verlauf!$AB$6:$AB$1000,Verlauf!$B$6:$B$1000,$A144,Verlauf!$C$6:$C$1000,$B144)</f>
        <v>0</v>
      </c>
      <c r="AD144" s="26">
        <f>SUMIFS(Verlauf!$AC$6:$AC$1000,Verlauf!$B$6:$B$1000,$A144,Verlauf!$C$6:$C$1000,$B144)</f>
        <v>0</v>
      </c>
      <c r="AE144" s="26">
        <f>SUMIFS(Verlauf!$S$6:$S$1000,Verlauf!$B$6:$B$1000,$A144,Verlauf!$C$6:$C$1000,$B144)</f>
        <v>0</v>
      </c>
      <c r="AF144" s="26" t="str">
        <f>IF($AN144="","",INDEX(Verlauf!$D$6:$D$1000,MATCH($AN144,Verlauf!$A$6:$A$1000,0)))</f>
        <v/>
      </c>
      <c r="AG144" s="26" t="str">
        <f>IF($AN144="","",INDEX(Verlauf!$E$6:$E$1000,MATCH($AN144,Verlauf!$A$6:$A$1000,0)))</f>
        <v/>
      </c>
      <c r="AH144" s="26" t="str">
        <f>IF($AN144="","",INDEX(Verlauf!$F$6:$F$1000,MATCH($AN144,Verlauf!$A$6:$A$1000,0)))</f>
        <v/>
      </c>
      <c r="AI144" s="26" t="str">
        <f>IF($AN144="","",INDEX(Verlauf!$H$6:$H$1000,MATCH($AN144,Verlauf!$A$6:$A$1000,0)))</f>
        <v/>
      </c>
      <c r="AJ144" s="26" t="str">
        <f>IF($AN144="","",INDEX(Verlauf!$N$6:$N$1000,MATCH($AN144,Verlauf!$A$6:$A$1000,0)))</f>
        <v/>
      </c>
      <c r="AK144" s="26" t="str">
        <f>IF($AN144="","",INDEX(Verlauf!$O$6:$O$1000,MATCH($AN144,Verlauf!$A$6:$A$1000,0)))</f>
        <v/>
      </c>
      <c r="AL144" s="26" t="str">
        <f>IF($AN144="","",INDEX(Verlauf!$P$6:$P$1000,MATCH($AN144,Verlauf!$A$6:$A$1000,0)))</f>
        <v/>
      </c>
      <c r="AM144" s="26" t="str">
        <f>IF($AN144="","",INDEX(Verlauf!$R$6:$R$1000,MATCH($AN144,Verlauf!$A$6:$A$1000,0)))</f>
        <v/>
      </c>
      <c r="AN144" s="28" t="str">
        <f>IF(U144&gt;0,_xlfn.MAXIFS(Verlauf!$A$6:$A$1000,Verlauf!$B$6:$B$1000,$A144,Verlauf!$C$6:$C$1000,$B144),"")</f>
        <v/>
      </c>
    </row>
    <row r="145" spans="1:40" x14ac:dyDescent="0.25">
      <c r="A145" s="26">
        <v>2029</v>
      </c>
      <c r="B145" s="26">
        <v>12</v>
      </c>
      <c r="C145" s="7" t="str">
        <f t="shared" si="20"/>
        <v>KW 12/29</v>
      </c>
      <c r="D145" s="26">
        <f>SUMIFS(Verlauf!$K$6:$K$1000,Verlauf!$B$6:$B$1000,$A145,Verlauf!$C$6:$C$1000,$B145)</f>
        <v>0</v>
      </c>
      <c r="E145" s="26">
        <f>SUMIFS(Verlauf!$L$6:$L$1000,Verlauf!$B$6:$B$1000,$A145,Verlauf!$C$6:$C$1000,$B145)</f>
        <v>0</v>
      </c>
      <c r="F145" s="26">
        <f>SUMIFS(Verlauf!$M$6:$M$1000,Verlauf!$B$6:$B$1000,$A145,Verlauf!$C$6:$C$1000,$B145)</f>
        <v>0</v>
      </c>
      <c r="G145" s="26">
        <f>SUMIFS(Verlauf!$J$6:$J$1000,Verlauf!$B$6:$B$1000,$A145,Verlauf!$C$6:$C$1000,$B145)</f>
        <v>0</v>
      </c>
      <c r="H145" s="26">
        <f>SUMIFS(Verlauf!$U$6:$U$1000,Verlauf!$B$6:$B$1000,$A145,Verlauf!$C$6:$C$1000,$B145)</f>
        <v>0</v>
      </c>
      <c r="I145" s="26">
        <f>SUMIFS(Verlauf!$V$6:$V$1000,Verlauf!$B$6:$B$1000,$A145,Verlauf!$C$6:$C$1000,$B145)</f>
        <v>0</v>
      </c>
      <c r="J145" s="26">
        <f>SUMIFS(Verlauf!$W$6:$W$1000,Verlauf!$B$6:$B$1000,$A145,Verlauf!$C$6:$C$1000,$B145)</f>
        <v>0</v>
      </c>
      <c r="K145" s="26">
        <f>SUMIFS(Verlauf!$T$6:$T$1000,Verlauf!$B$6:$B$1000,$A145,Verlauf!$C$6:$C$1000,$B145)</f>
        <v>0</v>
      </c>
      <c r="L145" s="27">
        <f>IF(Filter!$T$7=TRUE,IFERROR(INDEX(Planung!$D$68:$IA$68,MATCH($W145,Wirksam!$D$6:$IA$6,0)),0),0)</f>
        <v>0</v>
      </c>
      <c r="M145" s="27">
        <f>IF(OR(Filter!$T$5=TRUE,Filter!$T$6=TRUE),IFERROR(INDEX(Planung!$D$69:$IA$69,MATCH($W145,Wirksam!$D$6:$IA$6,0)),0),0)</f>
        <v>0</v>
      </c>
      <c r="N145" s="27">
        <f t="shared" si="21"/>
        <v>0</v>
      </c>
      <c r="O145" s="27" t="e">
        <f t="shared" si="22"/>
        <v>#N/A</v>
      </c>
      <c r="P145" s="27" t="e">
        <f t="shared" si="23"/>
        <v>#N/A</v>
      </c>
      <c r="Q145" s="27" t="e">
        <f t="shared" si="24"/>
        <v>#N/A</v>
      </c>
      <c r="R145" s="27" t="e">
        <f t="shared" si="25"/>
        <v>#N/A</v>
      </c>
      <c r="S145" s="27" t="e">
        <f t="shared" si="26"/>
        <v>#N/A</v>
      </c>
      <c r="T145" s="27" t="e">
        <f t="shared" si="27"/>
        <v>#N/A</v>
      </c>
      <c r="U145" s="26">
        <f>COUNTIFS(Verlauf!$B$6:$B$1000,$A145,Verlauf!$C$6:$C$1000,$B145)</f>
        <v>0</v>
      </c>
      <c r="V145" s="26">
        <f t="shared" si="28"/>
        <v>0</v>
      </c>
      <c r="W145" s="26">
        <f t="shared" si="29"/>
        <v>202912</v>
      </c>
      <c r="X145" s="26">
        <f>SUMIFS(Verlauf!$X$6:$X$1000,Verlauf!$B$6:$B$1000,$A145,Verlauf!$C$6:$C$1000,$B145)</f>
        <v>0</v>
      </c>
      <c r="Y145" s="26">
        <f>SUMIFS(Verlauf!$Y$6:$Y$1000,Verlauf!$B$6:$B$1000,$A145,Verlauf!$C$6:$C$1000,$B145)</f>
        <v>0</v>
      </c>
      <c r="Z145" s="26">
        <f>SUMIFS(Verlauf!$Z$6:$Z$1000,Verlauf!$B$6:$B$1000,$A145,Verlauf!$C$6:$C$1000,$B145)</f>
        <v>0</v>
      </c>
      <c r="AA145" s="26">
        <f>SUMIFS(Verlauf!$I$6:$I$1000,Verlauf!$B$6:$B$1000,$A145,Verlauf!$C$6:$C$1000,$B145)</f>
        <v>0</v>
      </c>
      <c r="AB145" s="26">
        <f>SUMIFS(Verlauf!$AA$6:$AA$1000,Verlauf!$B$6:$B$1000,$A145,Verlauf!$C$6:$C$1000,$B145)</f>
        <v>0</v>
      </c>
      <c r="AC145" s="26">
        <f>SUMIFS(Verlauf!$AB$6:$AB$1000,Verlauf!$B$6:$B$1000,$A145,Verlauf!$C$6:$C$1000,$B145)</f>
        <v>0</v>
      </c>
      <c r="AD145" s="26">
        <f>SUMIFS(Verlauf!$AC$6:$AC$1000,Verlauf!$B$6:$B$1000,$A145,Verlauf!$C$6:$C$1000,$B145)</f>
        <v>0</v>
      </c>
      <c r="AE145" s="26">
        <f>SUMIFS(Verlauf!$S$6:$S$1000,Verlauf!$B$6:$B$1000,$A145,Verlauf!$C$6:$C$1000,$B145)</f>
        <v>0</v>
      </c>
      <c r="AF145" s="26" t="str">
        <f>IF($AN145="","",INDEX(Verlauf!$D$6:$D$1000,MATCH($AN145,Verlauf!$A$6:$A$1000,0)))</f>
        <v/>
      </c>
      <c r="AG145" s="26" t="str">
        <f>IF($AN145="","",INDEX(Verlauf!$E$6:$E$1000,MATCH($AN145,Verlauf!$A$6:$A$1000,0)))</f>
        <v/>
      </c>
      <c r="AH145" s="26" t="str">
        <f>IF($AN145="","",INDEX(Verlauf!$F$6:$F$1000,MATCH($AN145,Verlauf!$A$6:$A$1000,0)))</f>
        <v/>
      </c>
      <c r="AI145" s="26" t="str">
        <f>IF($AN145="","",INDEX(Verlauf!$H$6:$H$1000,MATCH($AN145,Verlauf!$A$6:$A$1000,0)))</f>
        <v/>
      </c>
      <c r="AJ145" s="26" t="str">
        <f>IF($AN145="","",INDEX(Verlauf!$N$6:$N$1000,MATCH($AN145,Verlauf!$A$6:$A$1000,0)))</f>
        <v/>
      </c>
      <c r="AK145" s="26" t="str">
        <f>IF($AN145="","",INDEX(Verlauf!$O$6:$O$1000,MATCH($AN145,Verlauf!$A$6:$A$1000,0)))</f>
        <v/>
      </c>
      <c r="AL145" s="26" t="str">
        <f>IF($AN145="","",INDEX(Verlauf!$P$6:$P$1000,MATCH($AN145,Verlauf!$A$6:$A$1000,0)))</f>
        <v/>
      </c>
      <c r="AM145" s="26" t="str">
        <f>IF($AN145="","",INDEX(Verlauf!$R$6:$R$1000,MATCH($AN145,Verlauf!$A$6:$A$1000,0)))</f>
        <v/>
      </c>
      <c r="AN145" s="28" t="str">
        <f>IF(U145&gt;0,_xlfn.MAXIFS(Verlauf!$A$6:$A$1000,Verlauf!$B$6:$B$1000,$A145,Verlauf!$C$6:$C$1000,$B145),"")</f>
        <v/>
      </c>
    </row>
    <row r="146" spans="1:40" x14ac:dyDescent="0.25">
      <c r="A146" s="26">
        <v>2029</v>
      </c>
      <c r="B146" s="26">
        <v>13</v>
      </c>
      <c r="C146" s="7" t="str">
        <f t="shared" si="20"/>
        <v>KW 13/29</v>
      </c>
      <c r="D146" s="26">
        <f>SUMIFS(Verlauf!$K$6:$K$1000,Verlauf!$B$6:$B$1000,$A146,Verlauf!$C$6:$C$1000,$B146)</f>
        <v>0</v>
      </c>
      <c r="E146" s="26">
        <f>SUMIFS(Verlauf!$L$6:$L$1000,Verlauf!$B$6:$B$1000,$A146,Verlauf!$C$6:$C$1000,$B146)</f>
        <v>0</v>
      </c>
      <c r="F146" s="26">
        <f>SUMIFS(Verlauf!$M$6:$M$1000,Verlauf!$B$6:$B$1000,$A146,Verlauf!$C$6:$C$1000,$B146)</f>
        <v>0</v>
      </c>
      <c r="G146" s="26">
        <f>SUMIFS(Verlauf!$J$6:$J$1000,Verlauf!$B$6:$B$1000,$A146,Verlauf!$C$6:$C$1000,$B146)</f>
        <v>0</v>
      </c>
      <c r="H146" s="26">
        <f>SUMIFS(Verlauf!$U$6:$U$1000,Verlauf!$B$6:$B$1000,$A146,Verlauf!$C$6:$C$1000,$B146)</f>
        <v>0</v>
      </c>
      <c r="I146" s="26">
        <f>SUMIFS(Verlauf!$V$6:$V$1000,Verlauf!$B$6:$B$1000,$A146,Verlauf!$C$6:$C$1000,$B146)</f>
        <v>0</v>
      </c>
      <c r="J146" s="26">
        <f>SUMIFS(Verlauf!$W$6:$W$1000,Verlauf!$B$6:$B$1000,$A146,Verlauf!$C$6:$C$1000,$B146)</f>
        <v>0</v>
      </c>
      <c r="K146" s="26">
        <f>SUMIFS(Verlauf!$T$6:$T$1000,Verlauf!$B$6:$B$1000,$A146,Verlauf!$C$6:$C$1000,$B146)</f>
        <v>0</v>
      </c>
      <c r="L146" s="27">
        <f>IF(Filter!$T$7=TRUE,IFERROR(INDEX(Planung!$D$68:$IA$68,MATCH($W146,Wirksam!$D$6:$IA$6,0)),0),0)</f>
        <v>0</v>
      </c>
      <c r="M146" s="27">
        <f>IF(OR(Filter!$T$5=TRUE,Filter!$T$6=TRUE),IFERROR(INDEX(Planung!$D$69:$IA$69,MATCH($W146,Wirksam!$D$6:$IA$6,0)),0),0)</f>
        <v>0</v>
      </c>
      <c r="N146" s="27">
        <f t="shared" si="21"/>
        <v>0</v>
      </c>
      <c r="O146" s="27" t="e">
        <f t="shared" si="22"/>
        <v>#N/A</v>
      </c>
      <c r="P146" s="27" t="e">
        <f t="shared" si="23"/>
        <v>#N/A</v>
      </c>
      <c r="Q146" s="27" t="e">
        <f t="shared" si="24"/>
        <v>#N/A</v>
      </c>
      <c r="R146" s="27" t="e">
        <f t="shared" si="25"/>
        <v>#N/A</v>
      </c>
      <c r="S146" s="27" t="e">
        <f t="shared" si="26"/>
        <v>#N/A</v>
      </c>
      <c r="T146" s="27" t="e">
        <f t="shared" si="27"/>
        <v>#N/A</v>
      </c>
      <c r="U146" s="26">
        <f>COUNTIFS(Verlauf!$B$6:$B$1000,$A146,Verlauf!$C$6:$C$1000,$B146)</f>
        <v>0</v>
      </c>
      <c r="V146" s="26">
        <f t="shared" si="28"/>
        <v>0</v>
      </c>
      <c r="W146" s="26">
        <f t="shared" si="29"/>
        <v>202913</v>
      </c>
      <c r="X146" s="26">
        <f>SUMIFS(Verlauf!$X$6:$X$1000,Verlauf!$B$6:$B$1000,$A146,Verlauf!$C$6:$C$1000,$B146)</f>
        <v>0</v>
      </c>
      <c r="Y146" s="26">
        <f>SUMIFS(Verlauf!$Y$6:$Y$1000,Verlauf!$B$6:$B$1000,$A146,Verlauf!$C$6:$C$1000,$B146)</f>
        <v>0</v>
      </c>
      <c r="Z146" s="26">
        <f>SUMIFS(Verlauf!$Z$6:$Z$1000,Verlauf!$B$6:$B$1000,$A146,Verlauf!$C$6:$C$1000,$B146)</f>
        <v>0</v>
      </c>
      <c r="AA146" s="26">
        <f>SUMIFS(Verlauf!$I$6:$I$1000,Verlauf!$B$6:$B$1000,$A146,Verlauf!$C$6:$C$1000,$B146)</f>
        <v>0</v>
      </c>
      <c r="AB146" s="26">
        <f>SUMIFS(Verlauf!$AA$6:$AA$1000,Verlauf!$B$6:$B$1000,$A146,Verlauf!$C$6:$C$1000,$B146)</f>
        <v>0</v>
      </c>
      <c r="AC146" s="26">
        <f>SUMIFS(Verlauf!$AB$6:$AB$1000,Verlauf!$B$6:$B$1000,$A146,Verlauf!$C$6:$C$1000,$B146)</f>
        <v>0</v>
      </c>
      <c r="AD146" s="26">
        <f>SUMIFS(Verlauf!$AC$6:$AC$1000,Verlauf!$B$6:$B$1000,$A146,Verlauf!$C$6:$C$1000,$B146)</f>
        <v>0</v>
      </c>
      <c r="AE146" s="26">
        <f>SUMIFS(Verlauf!$S$6:$S$1000,Verlauf!$B$6:$B$1000,$A146,Verlauf!$C$6:$C$1000,$B146)</f>
        <v>0</v>
      </c>
      <c r="AF146" s="26" t="str">
        <f>IF($AN146="","",INDEX(Verlauf!$D$6:$D$1000,MATCH($AN146,Verlauf!$A$6:$A$1000,0)))</f>
        <v/>
      </c>
      <c r="AG146" s="26" t="str">
        <f>IF($AN146="","",INDEX(Verlauf!$E$6:$E$1000,MATCH($AN146,Verlauf!$A$6:$A$1000,0)))</f>
        <v/>
      </c>
      <c r="AH146" s="26" t="str">
        <f>IF($AN146="","",INDEX(Verlauf!$F$6:$F$1000,MATCH($AN146,Verlauf!$A$6:$A$1000,0)))</f>
        <v/>
      </c>
      <c r="AI146" s="26" t="str">
        <f>IF($AN146="","",INDEX(Verlauf!$H$6:$H$1000,MATCH($AN146,Verlauf!$A$6:$A$1000,0)))</f>
        <v/>
      </c>
      <c r="AJ146" s="26" t="str">
        <f>IF($AN146="","",INDEX(Verlauf!$N$6:$N$1000,MATCH($AN146,Verlauf!$A$6:$A$1000,0)))</f>
        <v/>
      </c>
      <c r="AK146" s="26" t="str">
        <f>IF($AN146="","",INDEX(Verlauf!$O$6:$O$1000,MATCH($AN146,Verlauf!$A$6:$A$1000,0)))</f>
        <v/>
      </c>
      <c r="AL146" s="26" t="str">
        <f>IF($AN146="","",INDEX(Verlauf!$P$6:$P$1000,MATCH($AN146,Verlauf!$A$6:$A$1000,0)))</f>
        <v/>
      </c>
      <c r="AM146" s="26" t="str">
        <f>IF($AN146="","",INDEX(Verlauf!$R$6:$R$1000,MATCH($AN146,Verlauf!$A$6:$A$1000,0)))</f>
        <v/>
      </c>
      <c r="AN146" s="28" t="str">
        <f>IF(U146&gt;0,_xlfn.MAXIFS(Verlauf!$A$6:$A$1000,Verlauf!$B$6:$B$1000,$A146,Verlauf!$C$6:$C$1000,$B146),"")</f>
        <v/>
      </c>
    </row>
    <row r="147" spans="1:40" x14ac:dyDescent="0.25">
      <c r="A147" s="26">
        <v>2029</v>
      </c>
      <c r="B147" s="26">
        <v>14</v>
      </c>
      <c r="C147" s="7" t="str">
        <f t="shared" si="20"/>
        <v>KW 14/29</v>
      </c>
      <c r="D147" s="26">
        <f>SUMIFS(Verlauf!$K$6:$K$1000,Verlauf!$B$6:$B$1000,$A147,Verlauf!$C$6:$C$1000,$B147)</f>
        <v>0</v>
      </c>
      <c r="E147" s="26">
        <f>SUMIFS(Verlauf!$L$6:$L$1000,Verlauf!$B$6:$B$1000,$A147,Verlauf!$C$6:$C$1000,$B147)</f>
        <v>0</v>
      </c>
      <c r="F147" s="26">
        <f>SUMIFS(Verlauf!$M$6:$M$1000,Verlauf!$B$6:$B$1000,$A147,Verlauf!$C$6:$C$1000,$B147)</f>
        <v>0</v>
      </c>
      <c r="G147" s="26">
        <f>SUMIFS(Verlauf!$J$6:$J$1000,Verlauf!$B$6:$B$1000,$A147,Verlauf!$C$6:$C$1000,$B147)</f>
        <v>0</v>
      </c>
      <c r="H147" s="26">
        <f>SUMIFS(Verlauf!$U$6:$U$1000,Verlauf!$B$6:$B$1000,$A147,Verlauf!$C$6:$C$1000,$B147)</f>
        <v>0</v>
      </c>
      <c r="I147" s="26">
        <f>SUMIFS(Verlauf!$V$6:$V$1000,Verlauf!$B$6:$B$1000,$A147,Verlauf!$C$6:$C$1000,$B147)</f>
        <v>0</v>
      </c>
      <c r="J147" s="26">
        <f>SUMIFS(Verlauf!$W$6:$W$1000,Verlauf!$B$6:$B$1000,$A147,Verlauf!$C$6:$C$1000,$B147)</f>
        <v>0</v>
      </c>
      <c r="K147" s="26">
        <f>SUMIFS(Verlauf!$T$6:$T$1000,Verlauf!$B$6:$B$1000,$A147,Verlauf!$C$6:$C$1000,$B147)</f>
        <v>0</v>
      </c>
      <c r="L147" s="27">
        <f>IF(Filter!$T$7=TRUE,IFERROR(INDEX(Planung!$D$68:$IA$68,MATCH($W147,Wirksam!$D$6:$IA$6,0)),0),0)</f>
        <v>0</v>
      </c>
      <c r="M147" s="27">
        <f>IF(OR(Filter!$T$5=TRUE,Filter!$T$6=TRUE),IFERROR(INDEX(Planung!$D$69:$IA$69,MATCH($W147,Wirksam!$D$6:$IA$6,0)),0),0)</f>
        <v>0</v>
      </c>
      <c r="N147" s="27">
        <f t="shared" si="21"/>
        <v>0</v>
      </c>
      <c r="O147" s="27" t="e">
        <f t="shared" si="22"/>
        <v>#N/A</v>
      </c>
      <c r="P147" s="27" t="e">
        <f t="shared" si="23"/>
        <v>#N/A</v>
      </c>
      <c r="Q147" s="27" t="e">
        <f t="shared" si="24"/>
        <v>#N/A</v>
      </c>
      <c r="R147" s="27" t="e">
        <f t="shared" si="25"/>
        <v>#N/A</v>
      </c>
      <c r="S147" s="27" t="e">
        <f t="shared" si="26"/>
        <v>#N/A</v>
      </c>
      <c r="T147" s="27" t="e">
        <f t="shared" si="27"/>
        <v>#N/A</v>
      </c>
      <c r="U147" s="26">
        <f>COUNTIFS(Verlauf!$B$6:$B$1000,$A147,Verlauf!$C$6:$C$1000,$B147)</f>
        <v>0</v>
      </c>
      <c r="V147" s="26">
        <f t="shared" si="28"/>
        <v>0</v>
      </c>
      <c r="W147" s="26">
        <f t="shared" si="29"/>
        <v>202914</v>
      </c>
      <c r="X147" s="26">
        <f>SUMIFS(Verlauf!$X$6:$X$1000,Verlauf!$B$6:$B$1000,$A147,Verlauf!$C$6:$C$1000,$B147)</f>
        <v>0</v>
      </c>
      <c r="Y147" s="26">
        <f>SUMIFS(Verlauf!$Y$6:$Y$1000,Verlauf!$B$6:$B$1000,$A147,Verlauf!$C$6:$C$1000,$B147)</f>
        <v>0</v>
      </c>
      <c r="Z147" s="26">
        <f>SUMIFS(Verlauf!$Z$6:$Z$1000,Verlauf!$B$6:$B$1000,$A147,Verlauf!$C$6:$C$1000,$B147)</f>
        <v>0</v>
      </c>
      <c r="AA147" s="26">
        <f>SUMIFS(Verlauf!$I$6:$I$1000,Verlauf!$B$6:$B$1000,$A147,Verlauf!$C$6:$C$1000,$B147)</f>
        <v>0</v>
      </c>
      <c r="AB147" s="26">
        <f>SUMIFS(Verlauf!$AA$6:$AA$1000,Verlauf!$B$6:$B$1000,$A147,Verlauf!$C$6:$C$1000,$B147)</f>
        <v>0</v>
      </c>
      <c r="AC147" s="26">
        <f>SUMIFS(Verlauf!$AB$6:$AB$1000,Verlauf!$B$6:$B$1000,$A147,Verlauf!$C$6:$C$1000,$B147)</f>
        <v>0</v>
      </c>
      <c r="AD147" s="26">
        <f>SUMIFS(Verlauf!$AC$6:$AC$1000,Verlauf!$B$6:$B$1000,$A147,Verlauf!$C$6:$C$1000,$B147)</f>
        <v>0</v>
      </c>
      <c r="AE147" s="26">
        <f>SUMIFS(Verlauf!$S$6:$S$1000,Verlauf!$B$6:$B$1000,$A147,Verlauf!$C$6:$C$1000,$B147)</f>
        <v>0</v>
      </c>
      <c r="AF147" s="26" t="str">
        <f>IF($AN147="","",INDEX(Verlauf!$D$6:$D$1000,MATCH($AN147,Verlauf!$A$6:$A$1000,0)))</f>
        <v/>
      </c>
      <c r="AG147" s="26" t="str">
        <f>IF($AN147="","",INDEX(Verlauf!$E$6:$E$1000,MATCH($AN147,Verlauf!$A$6:$A$1000,0)))</f>
        <v/>
      </c>
      <c r="AH147" s="26" t="str">
        <f>IF($AN147="","",INDEX(Verlauf!$F$6:$F$1000,MATCH($AN147,Verlauf!$A$6:$A$1000,0)))</f>
        <v/>
      </c>
      <c r="AI147" s="26" t="str">
        <f>IF($AN147="","",INDEX(Verlauf!$H$6:$H$1000,MATCH($AN147,Verlauf!$A$6:$A$1000,0)))</f>
        <v/>
      </c>
      <c r="AJ147" s="26" t="str">
        <f>IF($AN147="","",INDEX(Verlauf!$N$6:$N$1000,MATCH($AN147,Verlauf!$A$6:$A$1000,0)))</f>
        <v/>
      </c>
      <c r="AK147" s="26" t="str">
        <f>IF($AN147="","",INDEX(Verlauf!$O$6:$O$1000,MATCH($AN147,Verlauf!$A$6:$A$1000,0)))</f>
        <v/>
      </c>
      <c r="AL147" s="26" t="str">
        <f>IF($AN147="","",INDEX(Verlauf!$P$6:$P$1000,MATCH($AN147,Verlauf!$A$6:$A$1000,0)))</f>
        <v/>
      </c>
      <c r="AM147" s="26" t="str">
        <f>IF($AN147="","",INDEX(Verlauf!$R$6:$R$1000,MATCH($AN147,Verlauf!$A$6:$A$1000,0)))</f>
        <v/>
      </c>
      <c r="AN147" s="28" t="str">
        <f>IF(U147&gt;0,_xlfn.MAXIFS(Verlauf!$A$6:$A$1000,Verlauf!$B$6:$B$1000,$A147,Verlauf!$C$6:$C$1000,$B147),"")</f>
        <v/>
      </c>
    </row>
    <row r="148" spans="1:40" x14ac:dyDescent="0.25">
      <c r="A148" s="26">
        <v>2029</v>
      </c>
      <c r="B148" s="26">
        <v>15</v>
      </c>
      <c r="C148" s="7" t="str">
        <f t="shared" si="20"/>
        <v>KW 15/29</v>
      </c>
      <c r="D148" s="26">
        <f>SUMIFS(Verlauf!$K$6:$K$1000,Verlauf!$B$6:$B$1000,$A148,Verlauf!$C$6:$C$1000,$B148)</f>
        <v>0</v>
      </c>
      <c r="E148" s="26">
        <f>SUMIFS(Verlauf!$L$6:$L$1000,Verlauf!$B$6:$B$1000,$A148,Verlauf!$C$6:$C$1000,$B148)</f>
        <v>0</v>
      </c>
      <c r="F148" s="26">
        <f>SUMIFS(Verlauf!$M$6:$M$1000,Verlauf!$B$6:$B$1000,$A148,Verlauf!$C$6:$C$1000,$B148)</f>
        <v>0</v>
      </c>
      <c r="G148" s="26">
        <f>SUMIFS(Verlauf!$J$6:$J$1000,Verlauf!$B$6:$B$1000,$A148,Verlauf!$C$6:$C$1000,$B148)</f>
        <v>0</v>
      </c>
      <c r="H148" s="26">
        <f>SUMIFS(Verlauf!$U$6:$U$1000,Verlauf!$B$6:$B$1000,$A148,Verlauf!$C$6:$C$1000,$B148)</f>
        <v>0</v>
      </c>
      <c r="I148" s="26">
        <f>SUMIFS(Verlauf!$V$6:$V$1000,Verlauf!$B$6:$B$1000,$A148,Verlauf!$C$6:$C$1000,$B148)</f>
        <v>0</v>
      </c>
      <c r="J148" s="26">
        <f>SUMIFS(Verlauf!$W$6:$W$1000,Verlauf!$B$6:$B$1000,$A148,Verlauf!$C$6:$C$1000,$B148)</f>
        <v>0</v>
      </c>
      <c r="K148" s="26">
        <f>SUMIFS(Verlauf!$T$6:$T$1000,Verlauf!$B$6:$B$1000,$A148,Verlauf!$C$6:$C$1000,$B148)</f>
        <v>0</v>
      </c>
      <c r="L148" s="27">
        <f>IF(Filter!$T$7=TRUE,IFERROR(INDEX(Planung!$D$68:$IA$68,MATCH($W148,Wirksam!$D$6:$IA$6,0)),0),0)</f>
        <v>0</v>
      </c>
      <c r="M148" s="27">
        <f>IF(OR(Filter!$T$5=TRUE,Filter!$T$6=TRUE),IFERROR(INDEX(Planung!$D$69:$IA$69,MATCH($W148,Wirksam!$D$6:$IA$6,0)),0),0)</f>
        <v>0</v>
      </c>
      <c r="N148" s="27">
        <f t="shared" si="21"/>
        <v>0</v>
      </c>
      <c r="O148" s="27" t="e">
        <f t="shared" si="22"/>
        <v>#N/A</v>
      </c>
      <c r="P148" s="27" t="e">
        <f t="shared" si="23"/>
        <v>#N/A</v>
      </c>
      <c r="Q148" s="27" t="e">
        <f t="shared" si="24"/>
        <v>#N/A</v>
      </c>
      <c r="R148" s="27" t="e">
        <f t="shared" si="25"/>
        <v>#N/A</v>
      </c>
      <c r="S148" s="27" t="e">
        <f t="shared" si="26"/>
        <v>#N/A</v>
      </c>
      <c r="T148" s="27" t="e">
        <f t="shared" si="27"/>
        <v>#N/A</v>
      </c>
      <c r="U148" s="26">
        <f>COUNTIFS(Verlauf!$B$6:$B$1000,$A148,Verlauf!$C$6:$C$1000,$B148)</f>
        <v>0</v>
      </c>
      <c r="V148" s="26">
        <f t="shared" si="28"/>
        <v>0</v>
      </c>
      <c r="W148" s="26">
        <f t="shared" si="29"/>
        <v>202915</v>
      </c>
      <c r="X148" s="26">
        <f>SUMIFS(Verlauf!$X$6:$X$1000,Verlauf!$B$6:$B$1000,$A148,Verlauf!$C$6:$C$1000,$B148)</f>
        <v>0</v>
      </c>
      <c r="Y148" s="26">
        <f>SUMIFS(Verlauf!$Y$6:$Y$1000,Verlauf!$B$6:$B$1000,$A148,Verlauf!$C$6:$C$1000,$B148)</f>
        <v>0</v>
      </c>
      <c r="Z148" s="26">
        <f>SUMIFS(Verlauf!$Z$6:$Z$1000,Verlauf!$B$6:$B$1000,$A148,Verlauf!$C$6:$C$1000,$B148)</f>
        <v>0</v>
      </c>
      <c r="AA148" s="26">
        <f>SUMIFS(Verlauf!$I$6:$I$1000,Verlauf!$B$6:$B$1000,$A148,Verlauf!$C$6:$C$1000,$B148)</f>
        <v>0</v>
      </c>
      <c r="AB148" s="26">
        <f>SUMIFS(Verlauf!$AA$6:$AA$1000,Verlauf!$B$6:$B$1000,$A148,Verlauf!$C$6:$C$1000,$B148)</f>
        <v>0</v>
      </c>
      <c r="AC148" s="26">
        <f>SUMIFS(Verlauf!$AB$6:$AB$1000,Verlauf!$B$6:$B$1000,$A148,Verlauf!$C$6:$C$1000,$B148)</f>
        <v>0</v>
      </c>
      <c r="AD148" s="26">
        <f>SUMIFS(Verlauf!$AC$6:$AC$1000,Verlauf!$B$6:$B$1000,$A148,Verlauf!$C$6:$C$1000,$B148)</f>
        <v>0</v>
      </c>
      <c r="AE148" s="26">
        <f>SUMIFS(Verlauf!$S$6:$S$1000,Verlauf!$B$6:$B$1000,$A148,Verlauf!$C$6:$C$1000,$B148)</f>
        <v>0</v>
      </c>
      <c r="AF148" s="26" t="str">
        <f>IF($AN148="","",INDEX(Verlauf!$D$6:$D$1000,MATCH($AN148,Verlauf!$A$6:$A$1000,0)))</f>
        <v/>
      </c>
      <c r="AG148" s="26" t="str">
        <f>IF($AN148="","",INDEX(Verlauf!$E$6:$E$1000,MATCH($AN148,Verlauf!$A$6:$A$1000,0)))</f>
        <v/>
      </c>
      <c r="AH148" s="26" t="str">
        <f>IF($AN148="","",INDEX(Verlauf!$F$6:$F$1000,MATCH($AN148,Verlauf!$A$6:$A$1000,0)))</f>
        <v/>
      </c>
      <c r="AI148" s="26" t="str">
        <f>IF($AN148="","",INDEX(Verlauf!$H$6:$H$1000,MATCH($AN148,Verlauf!$A$6:$A$1000,0)))</f>
        <v/>
      </c>
      <c r="AJ148" s="26" t="str">
        <f>IF($AN148="","",INDEX(Verlauf!$N$6:$N$1000,MATCH($AN148,Verlauf!$A$6:$A$1000,0)))</f>
        <v/>
      </c>
      <c r="AK148" s="26" t="str">
        <f>IF($AN148="","",INDEX(Verlauf!$O$6:$O$1000,MATCH($AN148,Verlauf!$A$6:$A$1000,0)))</f>
        <v/>
      </c>
      <c r="AL148" s="26" t="str">
        <f>IF($AN148="","",INDEX(Verlauf!$P$6:$P$1000,MATCH($AN148,Verlauf!$A$6:$A$1000,0)))</f>
        <v/>
      </c>
      <c r="AM148" s="26" t="str">
        <f>IF($AN148="","",INDEX(Verlauf!$R$6:$R$1000,MATCH($AN148,Verlauf!$A$6:$A$1000,0)))</f>
        <v/>
      </c>
      <c r="AN148" s="28" t="str">
        <f>IF(U148&gt;0,_xlfn.MAXIFS(Verlauf!$A$6:$A$1000,Verlauf!$B$6:$B$1000,$A148,Verlauf!$C$6:$C$1000,$B148),"")</f>
        <v/>
      </c>
    </row>
    <row r="149" spans="1:40" x14ac:dyDescent="0.25">
      <c r="A149" s="26">
        <v>2029</v>
      </c>
      <c r="B149" s="26">
        <v>16</v>
      </c>
      <c r="C149" s="7" t="str">
        <f t="shared" si="20"/>
        <v>KW 16/29</v>
      </c>
      <c r="D149" s="26">
        <f>SUMIFS(Verlauf!$K$6:$K$1000,Verlauf!$B$6:$B$1000,$A149,Verlauf!$C$6:$C$1000,$B149)</f>
        <v>0</v>
      </c>
      <c r="E149" s="26">
        <f>SUMIFS(Verlauf!$L$6:$L$1000,Verlauf!$B$6:$B$1000,$A149,Verlauf!$C$6:$C$1000,$B149)</f>
        <v>0</v>
      </c>
      <c r="F149" s="26">
        <f>SUMIFS(Verlauf!$M$6:$M$1000,Verlauf!$B$6:$B$1000,$A149,Verlauf!$C$6:$C$1000,$B149)</f>
        <v>0</v>
      </c>
      <c r="G149" s="26">
        <f>SUMIFS(Verlauf!$J$6:$J$1000,Verlauf!$B$6:$B$1000,$A149,Verlauf!$C$6:$C$1000,$B149)</f>
        <v>0</v>
      </c>
      <c r="H149" s="26">
        <f>SUMIFS(Verlauf!$U$6:$U$1000,Verlauf!$B$6:$B$1000,$A149,Verlauf!$C$6:$C$1000,$B149)</f>
        <v>0</v>
      </c>
      <c r="I149" s="26">
        <f>SUMIFS(Verlauf!$V$6:$V$1000,Verlauf!$B$6:$B$1000,$A149,Verlauf!$C$6:$C$1000,$B149)</f>
        <v>0</v>
      </c>
      <c r="J149" s="26">
        <f>SUMIFS(Verlauf!$W$6:$W$1000,Verlauf!$B$6:$B$1000,$A149,Verlauf!$C$6:$C$1000,$B149)</f>
        <v>0</v>
      </c>
      <c r="K149" s="26">
        <f>SUMIFS(Verlauf!$T$6:$T$1000,Verlauf!$B$6:$B$1000,$A149,Verlauf!$C$6:$C$1000,$B149)</f>
        <v>0</v>
      </c>
      <c r="L149" s="27">
        <f>IF(Filter!$T$7=TRUE,IFERROR(INDEX(Planung!$D$68:$IA$68,MATCH($W149,Wirksam!$D$6:$IA$6,0)),0),0)</f>
        <v>0</v>
      </c>
      <c r="M149" s="27">
        <f>IF(OR(Filter!$T$5=TRUE,Filter!$T$6=TRUE),IFERROR(INDEX(Planung!$D$69:$IA$69,MATCH($W149,Wirksam!$D$6:$IA$6,0)),0),0)</f>
        <v>0</v>
      </c>
      <c r="N149" s="27">
        <f t="shared" si="21"/>
        <v>0</v>
      </c>
      <c r="O149" s="27" t="e">
        <f t="shared" si="22"/>
        <v>#N/A</v>
      </c>
      <c r="P149" s="27" t="e">
        <f t="shared" si="23"/>
        <v>#N/A</v>
      </c>
      <c r="Q149" s="27" t="e">
        <f t="shared" si="24"/>
        <v>#N/A</v>
      </c>
      <c r="R149" s="27" t="e">
        <f t="shared" si="25"/>
        <v>#N/A</v>
      </c>
      <c r="S149" s="27" t="e">
        <f t="shared" si="26"/>
        <v>#N/A</v>
      </c>
      <c r="T149" s="27" t="e">
        <f t="shared" si="27"/>
        <v>#N/A</v>
      </c>
      <c r="U149" s="26">
        <f>COUNTIFS(Verlauf!$B$6:$B$1000,$A149,Verlauf!$C$6:$C$1000,$B149)</f>
        <v>0</v>
      </c>
      <c r="V149" s="26">
        <f t="shared" si="28"/>
        <v>0</v>
      </c>
      <c r="W149" s="26">
        <f t="shared" si="29"/>
        <v>202916</v>
      </c>
      <c r="X149" s="26">
        <f>SUMIFS(Verlauf!$X$6:$X$1000,Verlauf!$B$6:$B$1000,$A149,Verlauf!$C$6:$C$1000,$B149)</f>
        <v>0</v>
      </c>
      <c r="Y149" s="26">
        <f>SUMIFS(Verlauf!$Y$6:$Y$1000,Verlauf!$B$6:$B$1000,$A149,Verlauf!$C$6:$C$1000,$B149)</f>
        <v>0</v>
      </c>
      <c r="Z149" s="26">
        <f>SUMIFS(Verlauf!$Z$6:$Z$1000,Verlauf!$B$6:$B$1000,$A149,Verlauf!$C$6:$C$1000,$B149)</f>
        <v>0</v>
      </c>
      <c r="AA149" s="26">
        <f>SUMIFS(Verlauf!$I$6:$I$1000,Verlauf!$B$6:$B$1000,$A149,Verlauf!$C$6:$C$1000,$B149)</f>
        <v>0</v>
      </c>
      <c r="AB149" s="26">
        <f>SUMIFS(Verlauf!$AA$6:$AA$1000,Verlauf!$B$6:$B$1000,$A149,Verlauf!$C$6:$C$1000,$B149)</f>
        <v>0</v>
      </c>
      <c r="AC149" s="26">
        <f>SUMIFS(Verlauf!$AB$6:$AB$1000,Verlauf!$B$6:$B$1000,$A149,Verlauf!$C$6:$C$1000,$B149)</f>
        <v>0</v>
      </c>
      <c r="AD149" s="26">
        <f>SUMIFS(Verlauf!$AC$6:$AC$1000,Verlauf!$B$6:$B$1000,$A149,Verlauf!$C$6:$C$1000,$B149)</f>
        <v>0</v>
      </c>
      <c r="AE149" s="26">
        <f>SUMIFS(Verlauf!$S$6:$S$1000,Verlauf!$B$6:$B$1000,$A149,Verlauf!$C$6:$C$1000,$B149)</f>
        <v>0</v>
      </c>
      <c r="AF149" s="26" t="str">
        <f>IF($AN149="","",INDEX(Verlauf!$D$6:$D$1000,MATCH($AN149,Verlauf!$A$6:$A$1000,0)))</f>
        <v/>
      </c>
      <c r="AG149" s="26" t="str">
        <f>IF($AN149="","",INDEX(Verlauf!$E$6:$E$1000,MATCH($AN149,Verlauf!$A$6:$A$1000,0)))</f>
        <v/>
      </c>
      <c r="AH149" s="26" t="str">
        <f>IF($AN149="","",INDEX(Verlauf!$F$6:$F$1000,MATCH($AN149,Verlauf!$A$6:$A$1000,0)))</f>
        <v/>
      </c>
      <c r="AI149" s="26" t="str">
        <f>IF($AN149="","",INDEX(Verlauf!$H$6:$H$1000,MATCH($AN149,Verlauf!$A$6:$A$1000,0)))</f>
        <v/>
      </c>
      <c r="AJ149" s="26" t="str">
        <f>IF($AN149="","",INDEX(Verlauf!$N$6:$N$1000,MATCH($AN149,Verlauf!$A$6:$A$1000,0)))</f>
        <v/>
      </c>
      <c r="AK149" s="26" t="str">
        <f>IF($AN149="","",INDEX(Verlauf!$O$6:$O$1000,MATCH($AN149,Verlauf!$A$6:$A$1000,0)))</f>
        <v/>
      </c>
      <c r="AL149" s="26" t="str">
        <f>IF($AN149="","",INDEX(Verlauf!$P$6:$P$1000,MATCH($AN149,Verlauf!$A$6:$A$1000,0)))</f>
        <v/>
      </c>
      <c r="AM149" s="26" t="str">
        <f>IF($AN149="","",INDEX(Verlauf!$R$6:$R$1000,MATCH($AN149,Verlauf!$A$6:$A$1000,0)))</f>
        <v/>
      </c>
      <c r="AN149" s="28" t="str">
        <f>IF(U149&gt;0,_xlfn.MAXIFS(Verlauf!$A$6:$A$1000,Verlauf!$B$6:$B$1000,$A149,Verlauf!$C$6:$C$1000,$B149),"")</f>
        <v/>
      </c>
    </row>
    <row r="150" spans="1:40" x14ac:dyDescent="0.25">
      <c r="A150" s="26">
        <v>2029</v>
      </c>
      <c r="B150" s="26">
        <v>17</v>
      </c>
      <c r="C150" s="7" t="str">
        <f t="shared" si="20"/>
        <v>KW 17/29</v>
      </c>
      <c r="D150" s="26">
        <f>SUMIFS(Verlauf!$K$6:$K$1000,Verlauf!$B$6:$B$1000,$A150,Verlauf!$C$6:$C$1000,$B150)</f>
        <v>0</v>
      </c>
      <c r="E150" s="26">
        <f>SUMIFS(Verlauf!$L$6:$L$1000,Verlauf!$B$6:$B$1000,$A150,Verlauf!$C$6:$C$1000,$B150)</f>
        <v>0</v>
      </c>
      <c r="F150" s="26">
        <f>SUMIFS(Verlauf!$M$6:$M$1000,Verlauf!$B$6:$B$1000,$A150,Verlauf!$C$6:$C$1000,$B150)</f>
        <v>0</v>
      </c>
      <c r="G150" s="26">
        <f>SUMIFS(Verlauf!$J$6:$J$1000,Verlauf!$B$6:$B$1000,$A150,Verlauf!$C$6:$C$1000,$B150)</f>
        <v>0</v>
      </c>
      <c r="H150" s="26">
        <f>SUMIFS(Verlauf!$U$6:$U$1000,Verlauf!$B$6:$B$1000,$A150,Verlauf!$C$6:$C$1000,$B150)</f>
        <v>0</v>
      </c>
      <c r="I150" s="26">
        <f>SUMIFS(Verlauf!$V$6:$V$1000,Verlauf!$B$6:$B$1000,$A150,Verlauf!$C$6:$C$1000,$B150)</f>
        <v>0</v>
      </c>
      <c r="J150" s="26">
        <f>SUMIFS(Verlauf!$W$6:$W$1000,Verlauf!$B$6:$B$1000,$A150,Verlauf!$C$6:$C$1000,$B150)</f>
        <v>0</v>
      </c>
      <c r="K150" s="26">
        <f>SUMIFS(Verlauf!$T$6:$T$1000,Verlauf!$B$6:$B$1000,$A150,Verlauf!$C$6:$C$1000,$B150)</f>
        <v>0</v>
      </c>
      <c r="L150" s="27">
        <f>IF(Filter!$T$7=TRUE,IFERROR(INDEX(Planung!$D$68:$IA$68,MATCH($W150,Wirksam!$D$6:$IA$6,0)),0),0)</f>
        <v>0</v>
      </c>
      <c r="M150" s="27">
        <f>IF(OR(Filter!$T$5=TRUE,Filter!$T$6=TRUE),IFERROR(INDEX(Planung!$D$69:$IA$69,MATCH($W150,Wirksam!$D$6:$IA$6,0)),0),0)</f>
        <v>0</v>
      </c>
      <c r="N150" s="27">
        <f t="shared" si="21"/>
        <v>0</v>
      </c>
      <c r="O150" s="27" t="e">
        <f t="shared" si="22"/>
        <v>#N/A</v>
      </c>
      <c r="P150" s="27" t="e">
        <f t="shared" si="23"/>
        <v>#N/A</v>
      </c>
      <c r="Q150" s="27" t="e">
        <f t="shared" si="24"/>
        <v>#N/A</v>
      </c>
      <c r="R150" s="27" t="e">
        <f t="shared" si="25"/>
        <v>#N/A</v>
      </c>
      <c r="S150" s="27" t="e">
        <f t="shared" si="26"/>
        <v>#N/A</v>
      </c>
      <c r="T150" s="27" t="e">
        <f t="shared" si="27"/>
        <v>#N/A</v>
      </c>
      <c r="U150" s="26">
        <f>COUNTIFS(Verlauf!$B$6:$B$1000,$A150,Verlauf!$C$6:$C$1000,$B150)</f>
        <v>0</v>
      </c>
      <c r="V150" s="26">
        <f t="shared" si="28"/>
        <v>0</v>
      </c>
      <c r="W150" s="26">
        <f t="shared" si="29"/>
        <v>202917</v>
      </c>
      <c r="X150" s="26">
        <f>SUMIFS(Verlauf!$X$6:$X$1000,Verlauf!$B$6:$B$1000,$A150,Verlauf!$C$6:$C$1000,$B150)</f>
        <v>0</v>
      </c>
      <c r="Y150" s="26">
        <f>SUMIFS(Verlauf!$Y$6:$Y$1000,Verlauf!$B$6:$B$1000,$A150,Verlauf!$C$6:$C$1000,$B150)</f>
        <v>0</v>
      </c>
      <c r="Z150" s="26">
        <f>SUMIFS(Verlauf!$Z$6:$Z$1000,Verlauf!$B$6:$B$1000,$A150,Verlauf!$C$6:$C$1000,$B150)</f>
        <v>0</v>
      </c>
      <c r="AA150" s="26">
        <f>SUMIFS(Verlauf!$I$6:$I$1000,Verlauf!$B$6:$B$1000,$A150,Verlauf!$C$6:$C$1000,$B150)</f>
        <v>0</v>
      </c>
      <c r="AB150" s="26">
        <f>SUMIFS(Verlauf!$AA$6:$AA$1000,Verlauf!$B$6:$B$1000,$A150,Verlauf!$C$6:$C$1000,$B150)</f>
        <v>0</v>
      </c>
      <c r="AC150" s="26">
        <f>SUMIFS(Verlauf!$AB$6:$AB$1000,Verlauf!$B$6:$B$1000,$A150,Verlauf!$C$6:$C$1000,$B150)</f>
        <v>0</v>
      </c>
      <c r="AD150" s="26">
        <f>SUMIFS(Verlauf!$AC$6:$AC$1000,Verlauf!$B$6:$B$1000,$A150,Verlauf!$C$6:$C$1000,$B150)</f>
        <v>0</v>
      </c>
      <c r="AE150" s="26">
        <f>SUMIFS(Verlauf!$S$6:$S$1000,Verlauf!$B$6:$B$1000,$A150,Verlauf!$C$6:$C$1000,$B150)</f>
        <v>0</v>
      </c>
      <c r="AF150" s="26" t="str">
        <f>IF($AN150="","",INDEX(Verlauf!$D$6:$D$1000,MATCH($AN150,Verlauf!$A$6:$A$1000,0)))</f>
        <v/>
      </c>
      <c r="AG150" s="26" t="str">
        <f>IF($AN150="","",INDEX(Verlauf!$E$6:$E$1000,MATCH($AN150,Verlauf!$A$6:$A$1000,0)))</f>
        <v/>
      </c>
      <c r="AH150" s="26" t="str">
        <f>IF($AN150="","",INDEX(Verlauf!$F$6:$F$1000,MATCH($AN150,Verlauf!$A$6:$A$1000,0)))</f>
        <v/>
      </c>
      <c r="AI150" s="26" t="str">
        <f>IF($AN150="","",INDEX(Verlauf!$H$6:$H$1000,MATCH($AN150,Verlauf!$A$6:$A$1000,0)))</f>
        <v/>
      </c>
      <c r="AJ150" s="26" t="str">
        <f>IF($AN150="","",INDEX(Verlauf!$N$6:$N$1000,MATCH($AN150,Verlauf!$A$6:$A$1000,0)))</f>
        <v/>
      </c>
      <c r="AK150" s="26" t="str">
        <f>IF($AN150="","",INDEX(Verlauf!$O$6:$O$1000,MATCH($AN150,Verlauf!$A$6:$A$1000,0)))</f>
        <v/>
      </c>
      <c r="AL150" s="26" t="str">
        <f>IF($AN150="","",INDEX(Verlauf!$P$6:$P$1000,MATCH($AN150,Verlauf!$A$6:$A$1000,0)))</f>
        <v/>
      </c>
      <c r="AM150" s="26" t="str">
        <f>IF($AN150="","",INDEX(Verlauf!$R$6:$R$1000,MATCH($AN150,Verlauf!$A$6:$A$1000,0)))</f>
        <v/>
      </c>
      <c r="AN150" s="28" t="str">
        <f>IF(U150&gt;0,_xlfn.MAXIFS(Verlauf!$A$6:$A$1000,Verlauf!$B$6:$B$1000,$A150,Verlauf!$C$6:$C$1000,$B150),"")</f>
        <v/>
      </c>
    </row>
    <row r="151" spans="1:40" x14ac:dyDescent="0.25">
      <c r="A151" s="26">
        <v>2029</v>
      </c>
      <c r="B151" s="26">
        <v>18</v>
      </c>
      <c r="C151" s="7" t="str">
        <f t="shared" si="20"/>
        <v>KW 18/29</v>
      </c>
      <c r="D151" s="26">
        <f>SUMIFS(Verlauf!$K$6:$K$1000,Verlauf!$B$6:$B$1000,$A151,Verlauf!$C$6:$C$1000,$B151)</f>
        <v>0</v>
      </c>
      <c r="E151" s="26">
        <f>SUMIFS(Verlauf!$L$6:$L$1000,Verlauf!$B$6:$B$1000,$A151,Verlauf!$C$6:$C$1000,$B151)</f>
        <v>0</v>
      </c>
      <c r="F151" s="26">
        <f>SUMIFS(Verlauf!$M$6:$M$1000,Verlauf!$B$6:$B$1000,$A151,Verlauf!$C$6:$C$1000,$B151)</f>
        <v>0</v>
      </c>
      <c r="G151" s="26">
        <f>SUMIFS(Verlauf!$J$6:$J$1000,Verlauf!$B$6:$B$1000,$A151,Verlauf!$C$6:$C$1000,$B151)</f>
        <v>0</v>
      </c>
      <c r="H151" s="26">
        <f>SUMIFS(Verlauf!$U$6:$U$1000,Verlauf!$B$6:$B$1000,$A151,Verlauf!$C$6:$C$1000,$B151)</f>
        <v>0</v>
      </c>
      <c r="I151" s="26">
        <f>SUMIFS(Verlauf!$V$6:$V$1000,Verlauf!$B$6:$B$1000,$A151,Verlauf!$C$6:$C$1000,$B151)</f>
        <v>0</v>
      </c>
      <c r="J151" s="26">
        <f>SUMIFS(Verlauf!$W$6:$W$1000,Verlauf!$B$6:$B$1000,$A151,Verlauf!$C$6:$C$1000,$B151)</f>
        <v>0</v>
      </c>
      <c r="K151" s="26">
        <f>SUMIFS(Verlauf!$T$6:$T$1000,Verlauf!$B$6:$B$1000,$A151,Verlauf!$C$6:$C$1000,$B151)</f>
        <v>0</v>
      </c>
      <c r="L151" s="27">
        <f>IF(Filter!$T$7=TRUE,IFERROR(INDEX(Planung!$D$68:$IA$68,MATCH($W151,Wirksam!$D$6:$IA$6,0)),0),0)</f>
        <v>0</v>
      </c>
      <c r="M151" s="27">
        <f>IF(OR(Filter!$T$5=TRUE,Filter!$T$6=TRUE),IFERROR(INDEX(Planung!$D$69:$IA$69,MATCH($W151,Wirksam!$D$6:$IA$6,0)),0),0)</f>
        <v>0</v>
      </c>
      <c r="N151" s="27">
        <f t="shared" si="21"/>
        <v>0</v>
      </c>
      <c r="O151" s="27" t="e">
        <f t="shared" si="22"/>
        <v>#N/A</v>
      </c>
      <c r="P151" s="27" t="e">
        <f t="shared" si="23"/>
        <v>#N/A</v>
      </c>
      <c r="Q151" s="27" t="e">
        <f t="shared" si="24"/>
        <v>#N/A</v>
      </c>
      <c r="R151" s="27" t="e">
        <f t="shared" si="25"/>
        <v>#N/A</v>
      </c>
      <c r="S151" s="27" t="e">
        <f t="shared" si="26"/>
        <v>#N/A</v>
      </c>
      <c r="T151" s="27" t="e">
        <f t="shared" si="27"/>
        <v>#N/A</v>
      </c>
      <c r="U151" s="26">
        <f>COUNTIFS(Verlauf!$B$6:$B$1000,$A151,Verlauf!$C$6:$C$1000,$B151)</f>
        <v>0</v>
      </c>
      <c r="V151" s="26">
        <f t="shared" si="28"/>
        <v>0</v>
      </c>
      <c r="W151" s="26">
        <f t="shared" si="29"/>
        <v>202918</v>
      </c>
      <c r="X151" s="26">
        <f>SUMIFS(Verlauf!$X$6:$X$1000,Verlauf!$B$6:$B$1000,$A151,Verlauf!$C$6:$C$1000,$B151)</f>
        <v>0</v>
      </c>
      <c r="Y151" s="26">
        <f>SUMIFS(Verlauf!$Y$6:$Y$1000,Verlauf!$B$6:$B$1000,$A151,Verlauf!$C$6:$C$1000,$B151)</f>
        <v>0</v>
      </c>
      <c r="Z151" s="26">
        <f>SUMIFS(Verlauf!$Z$6:$Z$1000,Verlauf!$B$6:$B$1000,$A151,Verlauf!$C$6:$C$1000,$B151)</f>
        <v>0</v>
      </c>
      <c r="AA151" s="26">
        <f>SUMIFS(Verlauf!$I$6:$I$1000,Verlauf!$B$6:$B$1000,$A151,Verlauf!$C$6:$C$1000,$B151)</f>
        <v>0</v>
      </c>
      <c r="AB151" s="26">
        <f>SUMIFS(Verlauf!$AA$6:$AA$1000,Verlauf!$B$6:$B$1000,$A151,Verlauf!$C$6:$C$1000,$B151)</f>
        <v>0</v>
      </c>
      <c r="AC151" s="26">
        <f>SUMIFS(Verlauf!$AB$6:$AB$1000,Verlauf!$B$6:$B$1000,$A151,Verlauf!$C$6:$C$1000,$B151)</f>
        <v>0</v>
      </c>
      <c r="AD151" s="26">
        <f>SUMIFS(Verlauf!$AC$6:$AC$1000,Verlauf!$B$6:$B$1000,$A151,Verlauf!$C$6:$C$1000,$B151)</f>
        <v>0</v>
      </c>
      <c r="AE151" s="26">
        <f>SUMIFS(Verlauf!$S$6:$S$1000,Verlauf!$B$6:$B$1000,$A151,Verlauf!$C$6:$C$1000,$B151)</f>
        <v>0</v>
      </c>
      <c r="AF151" s="26" t="str">
        <f>IF($AN151="","",INDEX(Verlauf!$D$6:$D$1000,MATCH($AN151,Verlauf!$A$6:$A$1000,0)))</f>
        <v/>
      </c>
      <c r="AG151" s="26" t="str">
        <f>IF($AN151="","",INDEX(Verlauf!$E$6:$E$1000,MATCH($AN151,Verlauf!$A$6:$A$1000,0)))</f>
        <v/>
      </c>
      <c r="AH151" s="26" t="str">
        <f>IF($AN151="","",INDEX(Verlauf!$F$6:$F$1000,MATCH($AN151,Verlauf!$A$6:$A$1000,0)))</f>
        <v/>
      </c>
      <c r="AI151" s="26" t="str">
        <f>IF($AN151="","",INDEX(Verlauf!$H$6:$H$1000,MATCH($AN151,Verlauf!$A$6:$A$1000,0)))</f>
        <v/>
      </c>
      <c r="AJ151" s="26" t="str">
        <f>IF($AN151="","",INDEX(Verlauf!$N$6:$N$1000,MATCH($AN151,Verlauf!$A$6:$A$1000,0)))</f>
        <v/>
      </c>
      <c r="AK151" s="26" t="str">
        <f>IF($AN151="","",INDEX(Verlauf!$O$6:$O$1000,MATCH($AN151,Verlauf!$A$6:$A$1000,0)))</f>
        <v/>
      </c>
      <c r="AL151" s="26" t="str">
        <f>IF($AN151="","",INDEX(Verlauf!$P$6:$P$1000,MATCH($AN151,Verlauf!$A$6:$A$1000,0)))</f>
        <v/>
      </c>
      <c r="AM151" s="26" t="str">
        <f>IF($AN151="","",INDEX(Verlauf!$R$6:$R$1000,MATCH($AN151,Verlauf!$A$6:$A$1000,0)))</f>
        <v/>
      </c>
      <c r="AN151" s="28" t="str">
        <f>IF(U151&gt;0,_xlfn.MAXIFS(Verlauf!$A$6:$A$1000,Verlauf!$B$6:$B$1000,$A151,Verlauf!$C$6:$C$1000,$B151),"")</f>
        <v/>
      </c>
    </row>
    <row r="152" spans="1:40" x14ac:dyDescent="0.25">
      <c r="A152" s="26">
        <v>2029</v>
      </c>
      <c r="B152" s="26">
        <v>19</v>
      </c>
      <c r="C152" s="7" t="str">
        <f t="shared" si="20"/>
        <v>KW 19/29</v>
      </c>
      <c r="D152" s="26">
        <f>SUMIFS(Verlauf!$K$6:$K$1000,Verlauf!$B$6:$B$1000,$A152,Verlauf!$C$6:$C$1000,$B152)</f>
        <v>0</v>
      </c>
      <c r="E152" s="26">
        <f>SUMIFS(Verlauf!$L$6:$L$1000,Verlauf!$B$6:$B$1000,$A152,Verlauf!$C$6:$C$1000,$B152)</f>
        <v>0</v>
      </c>
      <c r="F152" s="26">
        <f>SUMIFS(Verlauf!$M$6:$M$1000,Verlauf!$B$6:$B$1000,$A152,Verlauf!$C$6:$C$1000,$B152)</f>
        <v>0</v>
      </c>
      <c r="G152" s="26">
        <f>SUMIFS(Verlauf!$J$6:$J$1000,Verlauf!$B$6:$B$1000,$A152,Verlauf!$C$6:$C$1000,$B152)</f>
        <v>0</v>
      </c>
      <c r="H152" s="26">
        <f>SUMIFS(Verlauf!$U$6:$U$1000,Verlauf!$B$6:$B$1000,$A152,Verlauf!$C$6:$C$1000,$B152)</f>
        <v>0</v>
      </c>
      <c r="I152" s="26">
        <f>SUMIFS(Verlauf!$V$6:$V$1000,Verlauf!$B$6:$B$1000,$A152,Verlauf!$C$6:$C$1000,$B152)</f>
        <v>0</v>
      </c>
      <c r="J152" s="26">
        <f>SUMIFS(Verlauf!$W$6:$W$1000,Verlauf!$B$6:$B$1000,$A152,Verlauf!$C$6:$C$1000,$B152)</f>
        <v>0</v>
      </c>
      <c r="K152" s="26">
        <f>SUMIFS(Verlauf!$T$6:$T$1000,Verlauf!$B$6:$B$1000,$A152,Verlauf!$C$6:$C$1000,$B152)</f>
        <v>0</v>
      </c>
      <c r="L152" s="27">
        <f>IF(Filter!$T$7=TRUE,IFERROR(INDEX(Planung!$D$68:$IA$68,MATCH($W152,Wirksam!$D$6:$IA$6,0)),0),0)</f>
        <v>0</v>
      </c>
      <c r="M152" s="27">
        <f>IF(OR(Filter!$T$5=TRUE,Filter!$T$6=TRUE),IFERROR(INDEX(Planung!$D$69:$IA$69,MATCH($W152,Wirksam!$D$6:$IA$6,0)),0),0)</f>
        <v>0</v>
      </c>
      <c r="N152" s="27">
        <f t="shared" si="21"/>
        <v>0</v>
      </c>
      <c r="O152" s="27" t="e">
        <f t="shared" si="22"/>
        <v>#N/A</v>
      </c>
      <c r="P152" s="27" t="e">
        <f t="shared" si="23"/>
        <v>#N/A</v>
      </c>
      <c r="Q152" s="27" t="e">
        <f t="shared" si="24"/>
        <v>#N/A</v>
      </c>
      <c r="R152" s="27" t="e">
        <f t="shared" si="25"/>
        <v>#N/A</v>
      </c>
      <c r="S152" s="27" t="e">
        <f t="shared" si="26"/>
        <v>#N/A</v>
      </c>
      <c r="T152" s="27" t="e">
        <f t="shared" si="27"/>
        <v>#N/A</v>
      </c>
      <c r="U152" s="26">
        <f>COUNTIFS(Verlauf!$B$6:$B$1000,$A152,Verlauf!$C$6:$C$1000,$B152)</f>
        <v>0</v>
      </c>
      <c r="V152" s="26">
        <f t="shared" si="28"/>
        <v>0</v>
      </c>
      <c r="W152" s="26">
        <f t="shared" si="29"/>
        <v>202919</v>
      </c>
      <c r="X152" s="26">
        <f>SUMIFS(Verlauf!$X$6:$X$1000,Verlauf!$B$6:$B$1000,$A152,Verlauf!$C$6:$C$1000,$B152)</f>
        <v>0</v>
      </c>
      <c r="Y152" s="26">
        <f>SUMIFS(Verlauf!$Y$6:$Y$1000,Verlauf!$B$6:$B$1000,$A152,Verlauf!$C$6:$C$1000,$B152)</f>
        <v>0</v>
      </c>
      <c r="Z152" s="26">
        <f>SUMIFS(Verlauf!$Z$6:$Z$1000,Verlauf!$B$6:$B$1000,$A152,Verlauf!$C$6:$C$1000,$B152)</f>
        <v>0</v>
      </c>
      <c r="AA152" s="26">
        <f>SUMIFS(Verlauf!$I$6:$I$1000,Verlauf!$B$6:$B$1000,$A152,Verlauf!$C$6:$C$1000,$B152)</f>
        <v>0</v>
      </c>
      <c r="AB152" s="26">
        <f>SUMIFS(Verlauf!$AA$6:$AA$1000,Verlauf!$B$6:$B$1000,$A152,Verlauf!$C$6:$C$1000,$B152)</f>
        <v>0</v>
      </c>
      <c r="AC152" s="26">
        <f>SUMIFS(Verlauf!$AB$6:$AB$1000,Verlauf!$B$6:$B$1000,$A152,Verlauf!$C$6:$C$1000,$B152)</f>
        <v>0</v>
      </c>
      <c r="AD152" s="26">
        <f>SUMIFS(Verlauf!$AC$6:$AC$1000,Verlauf!$B$6:$B$1000,$A152,Verlauf!$C$6:$C$1000,$B152)</f>
        <v>0</v>
      </c>
      <c r="AE152" s="26">
        <f>SUMIFS(Verlauf!$S$6:$S$1000,Verlauf!$B$6:$B$1000,$A152,Verlauf!$C$6:$C$1000,$B152)</f>
        <v>0</v>
      </c>
      <c r="AF152" s="26" t="str">
        <f>IF($AN152="","",INDEX(Verlauf!$D$6:$D$1000,MATCH($AN152,Verlauf!$A$6:$A$1000,0)))</f>
        <v/>
      </c>
      <c r="AG152" s="26" t="str">
        <f>IF($AN152="","",INDEX(Verlauf!$E$6:$E$1000,MATCH($AN152,Verlauf!$A$6:$A$1000,0)))</f>
        <v/>
      </c>
      <c r="AH152" s="26" t="str">
        <f>IF($AN152="","",INDEX(Verlauf!$F$6:$F$1000,MATCH($AN152,Verlauf!$A$6:$A$1000,0)))</f>
        <v/>
      </c>
      <c r="AI152" s="26" t="str">
        <f>IF($AN152="","",INDEX(Verlauf!$H$6:$H$1000,MATCH($AN152,Verlauf!$A$6:$A$1000,0)))</f>
        <v/>
      </c>
      <c r="AJ152" s="26" t="str">
        <f>IF($AN152="","",INDEX(Verlauf!$N$6:$N$1000,MATCH($AN152,Verlauf!$A$6:$A$1000,0)))</f>
        <v/>
      </c>
      <c r="AK152" s="26" t="str">
        <f>IF($AN152="","",INDEX(Verlauf!$O$6:$O$1000,MATCH($AN152,Verlauf!$A$6:$A$1000,0)))</f>
        <v/>
      </c>
      <c r="AL152" s="26" t="str">
        <f>IF($AN152="","",INDEX(Verlauf!$P$6:$P$1000,MATCH($AN152,Verlauf!$A$6:$A$1000,0)))</f>
        <v/>
      </c>
      <c r="AM152" s="26" t="str">
        <f>IF($AN152="","",INDEX(Verlauf!$R$6:$R$1000,MATCH($AN152,Verlauf!$A$6:$A$1000,0)))</f>
        <v/>
      </c>
      <c r="AN152" s="28" t="str">
        <f>IF(U152&gt;0,_xlfn.MAXIFS(Verlauf!$A$6:$A$1000,Verlauf!$B$6:$B$1000,$A152,Verlauf!$C$6:$C$1000,$B152),"")</f>
        <v/>
      </c>
    </row>
    <row r="153" spans="1:40" x14ac:dyDescent="0.25">
      <c r="A153" s="26">
        <v>2029</v>
      </c>
      <c r="B153" s="26">
        <v>20</v>
      </c>
      <c r="C153" s="7" t="str">
        <f t="shared" si="20"/>
        <v>KW 20/29</v>
      </c>
      <c r="D153" s="26">
        <f>SUMIFS(Verlauf!$K$6:$K$1000,Verlauf!$B$6:$B$1000,$A153,Verlauf!$C$6:$C$1000,$B153)</f>
        <v>0</v>
      </c>
      <c r="E153" s="26">
        <f>SUMIFS(Verlauf!$L$6:$L$1000,Verlauf!$B$6:$B$1000,$A153,Verlauf!$C$6:$C$1000,$B153)</f>
        <v>0</v>
      </c>
      <c r="F153" s="26">
        <f>SUMIFS(Verlauf!$M$6:$M$1000,Verlauf!$B$6:$B$1000,$A153,Verlauf!$C$6:$C$1000,$B153)</f>
        <v>0</v>
      </c>
      <c r="G153" s="26">
        <f>SUMIFS(Verlauf!$J$6:$J$1000,Verlauf!$B$6:$B$1000,$A153,Verlauf!$C$6:$C$1000,$B153)</f>
        <v>0</v>
      </c>
      <c r="H153" s="26">
        <f>SUMIFS(Verlauf!$U$6:$U$1000,Verlauf!$B$6:$B$1000,$A153,Verlauf!$C$6:$C$1000,$B153)</f>
        <v>0</v>
      </c>
      <c r="I153" s="26">
        <f>SUMIFS(Verlauf!$V$6:$V$1000,Verlauf!$B$6:$B$1000,$A153,Verlauf!$C$6:$C$1000,$B153)</f>
        <v>0</v>
      </c>
      <c r="J153" s="26">
        <f>SUMIFS(Verlauf!$W$6:$W$1000,Verlauf!$B$6:$B$1000,$A153,Verlauf!$C$6:$C$1000,$B153)</f>
        <v>0</v>
      </c>
      <c r="K153" s="26">
        <f>SUMIFS(Verlauf!$T$6:$T$1000,Verlauf!$B$6:$B$1000,$A153,Verlauf!$C$6:$C$1000,$B153)</f>
        <v>0</v>
      </c>
      <c r="L153" s="27">
        <f>IF(Filter!$T$7=TRUE,IFERROR(INDEX(Planung!$D$68:$IA$68,MATCH($W153,Wirksam!$D$6:$IA$6,0)),0),0)</f>
        <v>0</v>
      </c>
      <c r="M153" s="27">
        <f>IF(OR(Filter!$T$5=TRUE,Filter!$T$6=TRUE),IFERROR(INDEX(Planung!$D$69:$IA$69,MATCH($W153,Wirksam!$D$6:$IA$6,0)),0),0)</f>
        <v>0</v>
      </c>
      <c r="N153" s="27">
        <f t="shared" si="21"/>
        <v>0</v>
      </c>
      <c r="O153" s="27" t="e">
        <f t="shared" si="22"/>
        <v>#N/A</v>
      </c>
      <c r="P153" s="27" t="e">
        <f t="shared" si="23"/>
        <v>#N/A</v>
      </c>
      <c r="Q153" s="27" t="e">
        <f t="shared" si="24"/>
        <v>#N/A</v>
      </c>
      <c r="R153" s="27" t="e">
        <f t="shared" si="25"/>
        <v>#N/A</v>
      </c>
      <c r="S153" s="27" t="e">
        <f t="shared" si="26"/>
        <v>#N/A</v>
      </c>
      <c r="T153" s="27" t="e">
        <f t="shared" si="27"/>
        <v>#N/A</v>
      </c>
      <c r="U153" s="26">
        <f>COUNTIFS(Verlauf!$B$6:$B$1000,$A153,Verlauf!$C$6:$C$1000,$B153)</f>
        <v>0</v>
      </c>
      <c r="V153" s="26">
        <f t="shared" si="28"/>
        <v>0</v>
      </c>
      <c r="W153" s="26">
        <f t="shared" si="29"/>
        <v>202920</v>
      </c>
      <c r="X153" s="26">
        <f>SUMIFS(Verlauf!$X$6:$X$1000,Verlauf!$B$6:$B$1000,$A153,Verlauf!$C$6:$C$1000,$B153)</f>
        <v>0</v>
      </c>
      <c r="Y153" s="26">
        <f>SUMIFS(Verlauf!$Y$6:$Y$1000,Verlauf!$B$6:$B$1000,$A153,Verlauf!$C$6:$C$1000,$B153)</f>
        <v>0</v>
      </c>
      <c r="Z153" s="26">
        <f>SUMIFS(Verlauf!$Z$6:$Z$1000,Verlauf!$B$6:$B$1000,$A153,Verlauf!$C$6:$C$1000,$B153)</f>
        <v>0</v>
      </c>
      <c r="AA153" s="26">
        <f>SUMIFS(Verlauf!$I$6:$I$1000,Verlauf!$B$6:$B$1000,$A153,Verlauf!$C$6:$C$1000,$B153)</f>
        <v>0</v>
      </c>
      <c r="AB153" s="26">
        <f>SUMIFS(Verlauf!$AA$6:$AA$1000,Verlauf!$B$6:$B$1000,$A153,Verlauf!$C$6:$C$1000,$B153)</f>
        <v>0</v>
      </c>
      <c r="AC153" s="26">
        <f>SUMIFS(Verlauf!$AB$6:$AB$1000,Verlauf!$B$6:$B$1000,$A153,Verlauf!$C$6:$C$1000,$B153)</f>
        <v>0</v>
      </c>
      <c r="AD153" s="26">
        <f>SUMIFS(Verlauf!$AC$6:$AC$1000,Verlauf!$B$6:$B$1000,$A153,Verlauf!$C$6:$C$1000,$B153)</f>
        <v>0</v>
      </c>
      <c r="AE153" s="26">
        <f>SUMIFS(Verlauf!$S$6:$S$1000,Verlauf!$B$6:$B$1000,$A153,Verlauf!$C$6:$C$1000,$B153)</f>
        <v>0</v>
      </c>
      <c r="AF153" s="26" t="str">
        <f>IF($AN153="","",INDEX(Verlauf!$D$6:$D$1000,MATCH($AN153,Verlauf!$A$6:$A$1000,0)))</f>
        <v/>
      </c>
      <c r="AG153" s="26" t="str">
        <f>IF($AN153="","",INDEX(Verlauf!$E$6:$E$1000,MATCH($AN153,Verlauf!$A$6:$A$1000,0)))</f>
        <v/>
      </c>
      <c r="AH153" s="26" t="str">
        <f>IF($AN153="","",INDEX(Verlauf!$F$6:$F$1000,MATCH($AN153,Verlauf!$A$6:$A$1000,0)))</f>
        <v/>
      </c>
      <c r="AI153" s="26" t="str">
        <f>IF($AN153="","",INDEX(Verlauf!$H$6:$H$1000,MATCH($AN153,Verlauf!$A$6:$A$1000,0)))</f>
        <v/>
      </c>
      <c r="AJ153" s="26" t="str">
        <f>IF($AN153="","",INDEX(Verlauf!$N$6:$N$1000,MATCH($AN153,Verlauf!$A$6:$A$1000,0)))</f>
        <v/>
      </c>
      <c r="AK153" s="26" t="str">
        <f>IF($AN153="","",INDEX(Verlauf!$O$6:$O$1000,MATCH($AN153,Verlauf!$A$6:$A$1000,0)))</f>
        <v/>
      </c>
      <c r="AL153" s="26" t="str">
        <f>IF($AN153="","",INDEX(Verlauf!$P$6:$P$1000,MATCH($AN153,Verlauf!$A$6:$A$1000,0)))</f>
        <v/>
      </c>
      <c r="AM153" s="26" t="str">
        <f>IF($AN153="","",INDEX(Verlauf!$R$6:$R$1000,MATCH($AN153,Verlauf!$A$6:$A$1000,0)))</f>
        <v/>
      </c>
      <c r="AN153" s="28" t="str">
        <f>IF(U153&gt;0,_xlfn.MAXIFS(Verlauf!$A$6:$A$1000,Verlauf!$B$6:$B$1000,$A153,Verlauf!$C$6:$C$1000,$B153),"")</f>
        <v/>
      </c>
    </row>
    <row r="154" spans="1:40" x14ac:dyDescent="0.25">
      <c r="A154" s="26">
        <v>2029</v>
      </c>
      <c r="B154" s="26">
        <v>21</v>
      </c>
      <c r="C154" s="7" t="str">
        <f t="shared" si="20"/>
        <v>KW 21/29</v>
      </c>
      <c r="D154" s="26">
        <f>SUMIFS(Verlauf!$K$6:$K$1000,Verlauf!$B$6:$B$1000,$A154,Verlauf!$C$6:$C$1000,$B154)</f>
        <v>0</v>
      </c>
      <c r="E154" s="26">
        <f>SUMIFS(Verlauf!$L$6:$L$1000,Verlauf!$B$6:$B$1000,$A154,Verlauf!$C$6:$C$1000,$B154)</f>
        <v>0</v>
      </c>
      <c r="F154" s="26">
        <f>SUMIFS(Verlauf!$M$6:$M$1000,Verlauf!$B$6:$B$1000,$A154,Verlauf!$C$6:$C$1000,$B154)</f>
        <v>0</v>
      </c>
      <c r="G154" s="26">
        <f>SUMIFS(Verlauf!$J$6:$J$1000,Verlauf!$B$6:$B$1000,$A154,Verlauf!$C$6:$C$1000,$B154)</f>
        <v>0</v>
      </c>
      <c r="H154" s="26">
        <f>SUMIFS(Verlauf!$U$6:$U$1000,Verlauf!$B$6:$B$1000,$A154,Verlauf!$C$6:$C$1000,$B154)</f>
        <v>0</v>
      </c>
      <c r="I154" s="26">
        <f>SUMIFS(Verlauf!$V$6:$V$1000,Verlauf!$B$6:$B$1000,$A154,Verlauf!$C$6:$C$1000,$B154)</f>
        <v>0</v>
      </c>
      <c r="J154" s="26">
        <f>SUMIFS(Verlauf!$W$6:$W$1000,Verlauf!$B$6:$B$1000,$A154,Verlauf!$C$6:$C$1000,$B154)</f>
        <v>0</v>
      </c>
      <c r="K154" s="26">
        <f>SUMIFS(Verlauf!$T$6:$T$1000,Verlauf!$B$6:$B$1000,$A154,Verlauf!$C$6:$C$1000,$B154)</f>
        <v>0</v>
      </c>
      <c r="L154" s="27">
        <f>IF(Filter!$T$7=TRUE,IFERROR(INDEX(Planung!$D$68:$IA$68,MATCH($W154,Wirksam!$D$6:$IA$6,0)),0),0)</f>
        <v>0</v>
      </c>
      <c r="M154" s="27">
        <f>IF(OR(Filter!$T$5=TRUE,Filter!$T$6=TRUE),IFERROR(INDEX(Planung!$D$69:$IA$69,MATCH($W154,Wirksam!$D$6:$IA$6,0)),0),0)</f>
        <v>0</v>
      </c>
      <c r="N154" s="27">
        <f t="shared" si="21"/>
        <v>0</v>
      </c>
      <c r="O154" s="27" t="e">
        <f t="shared" si="22"/>
        <v>#N/A</v>
      </c>
      <c r="P154" s="27" t="e">
        <f t="shared" si="23"/>
        <v>#N/A</v>
      </c>
      <c r="Q154" s="27" t="e">
        <f t="shared" si="24"/>
        <v>#N/A</v>
      </c>
      <c r="R154" s="27" t="e">
        <f t="shared" si="25"/>
        <v>#N/A</v>
      </c>
      <c r="S154" s="27" t="e">
        <f t="shared" si="26"/>
        <v>#N/A</v>
      </c>
      <c r="T154" s="27" t="e">
        <f t="shared" si="27"/>
        <v>#N/A</v>
      </c>
      <c r="U154" s="26">
        <f>COUNTIFS(Verlauf!$B$6:$B$1000,$A154,Verlauf!$C$6:$C$1000,$B154)</f>
        <v>0</v>
      </c>
      <c r="V154" s="26">
        <f t="shared" si="28"/>
        <v>0</v>
      </c>
      <c r="W154" s="26">
        <f t="shared" si="29"/>
        <v>202921</v>
      </c>
      <c r="X154" s="26">
        <f>SUMIFS(Verlauf!$X$6:$X$1000,Verlauf!$B$6:$B$1000,$A154,Verlauf!$C$6:$C$1000,$B154)</f>
        <v>0</v>
      </c>
      <c r="Y154" s="26">
        <f>SUMIFS(Verlauf!$Y$6:$Y$1000,Verlauf!$B$6:$B$1000,$A154,Verlauf!$C$6:$C$1000,$B154)</f>
        <v>0</v>
      </c>
      <c r="Z154" s="26">
        <f>SUMIFS(Verlauf!$Z$6:$Z$1000,Verlauf!$B$6:$B$1000,$A154,Verlauf!$C$6:$C$1000,$B154)</f>
        <v>0</v>
      </c>
      <c r="AA154" s="26">
        <f>SUMIFS(Verlauf!$I$6:$I$1000,Verlauf!$B$6:$B$1000,$A154,Verlauf!$C$6:$C$1000,$B154)</f>
        <v>0</v>
      </c>
      <c r="AB154" s="26">
        <f>SUMIFS(Verlauf!$AA$6:$AA$1000,Verlauf!$B$6:$B$1000,$A154,Verlauf!$C$6:$C$1000,$B154)</f>
        <v>0</v>
      </c>
      <c r="AC154" s="26">
        <f>SUMIFS(Verlauf!$AB$6:$AB$1000,Verlauf!$B$6:$B$1000,$A154,Verlauf!$C$6:$C$1000,$B154)</f>
        <v>0</v>
      </c>
      <c r="AD154" s="26">
        <f>SUMIFS(Verlauf!$AC$6:$AC$1000,Verlauf!$B$6:$B$1000,$A154,Verlauf!$C$6:$C$1000,$B154)</f>
        <v>0</v>
      </c>
      <c r="AE154" s="26">
        <f>SUMIFS(Verlauf!$S$6:$S$1000,Verlauf!$B$6:$B$1000,$A154,Verlauf!$C$6:$C$1000,$B154)</f>
        <v>0</v>
      </c>
      <c r="AF154" s="26" t="str">
        <f>IF($AN154="","",INDEX(Verlauf!$D$6:$D$1000,MATCH($AN154,Verlauf!$A$6:$A$1000,0)))</f>
        <v/>
      </c>
      <c r="AG154" s="26" t="str">
        <f>IF($AN154="","",INDEX(Verlauf!$E$6:$E$1000,MATCH($AN154,Verlauf!$A$6:$A$1000,0)))</f>
        <v/>
      </c>
      <c r="AH154" s="26" t="str">
        <f>IF($AN154="","",INDEX(Verlauf!$F$6:$F$1000,MATCH($AN154,Verlauf!$A$6:$A$1000,0)))</f>
        <v/>
      </c>
      <c r="AI154" s="26" t="str">
        <f>IF($AN154="","",INDEX(Verlauf!$H$6:$H$1000,MATCH($AN154,Verlauf!$A$6:$A$1000,0)))</f>
        <v/>
      </c>
      <c r="AJ154" s="26" t="str">
        <f>IF($AN154="","",INDEX(Verlauf!$N$6:$N$1000,MATCH($AN154,Verlauf!$A$6:$A$1000,0)))</f>
        <v/>
      </c>
      <c r="AK154" s="26" t="str">
        <f>IF($AN154="","",INDEX(Verlauf!$O$6:$O$1000,MATCH($AN154,Verlauf!$A$6:$A$1000,0)))</f>
        <v/>
      </c>
      <c r="AL154" s="26" t="str">
        <f>IF($AN154="","",INDEX(Verlauf!$P$6:$P$1000,MATCH($AN154,Verlauf!$A$6:$A$1000,0)))</f>
        <v/>
      </c>
      <c r="AM154" s="26" t="str">
        <f>IF($AN154="","",INDEX(Verlauf!$R$6:$R$1000,MATCH($AN154,Verlauf!$A$6:$A$1000,0)))</f>
        <v/>
      </c>
      <c r="AN154" s="28" t="str">
        <f>IF(U154&gt;0,_xlfn.MAXIFS(Verlauf!$A$6:$A$1000,Verlauf!$B$6:$B$1000,$A154,Verlauf!$C$6:$C$1000,$B154),"")</f>
        <v/>
      </c>
    </row>
    <row r="155" spans="1:40" x14ac:dyDescent="0.25">
      <c r="A155" s="26">
        <v>2029</v>
      </c>
      <c r="B155" s="26">
        <v>22</v>
      </c>
      <c r="C155" s="7" t="str">
        <f t="shared" si="20"/>
        <v>KW 22/29</v>
      </c>
      <c r="D155" s="26">
        <f>SUMIFS(Verlauf!$K$6:$K$1000,Verlauf!$B$6:$B$1000,$A155,Verlauf!$C$6:$C$1000,$B155)</f>
        <v>0</v>
      </c>
      <c r="E155" s="26">
        <f>SUMIFS(Verlauf!$L$6:$L$1000,Verlauf!$B$6:$B$1000,$A155,Verlauf!$C$6:$C$1000,$B155)</f>
        <v>0</v>
      </c>
      <c r="F155" s="26">
        <f>SUMIFS(Verlauf!$M$6:$M$1000,Verlauf!$B$6:$B$1000,$A155,Verlauf!$C$6:$C$1000,$B155)</f>
        <v>0</v>
      </c>
      <c r="G155" s="26">
        <f>SUMIFS(Verlauf!$J$6:$J$1000,Verlauf!$B$6:$B$1000,$A155,Verlauf!$C$6:$C$1000,$B155)</f>
        <v>0</v>
      </c>
      <c r="H155" s="26">
        <f>SUMIFS(Verlauf!$U$6:$U$1000,Verlauf!$B$6:$B$1000,$A155,Verlauf!$C$6:$C$1000,$B155)</f>
        <v>0</v>
      </c>
      <c r="I155" s="26">
        <f>SUMIFS(Verlauf!$V$6:$V$1000,Verlauf!$B$6:$B$1000,$A155,Verlauf!$C$6:$C$1000,$B155)</f>
        <v>0</v>
      </c>
      <c r="J155" s="26">
        <f>SUMIFS(Verlauf!$W$6:$W$1000,Verlauf!$B$6:$B$1000,$A155,Verlauf!$C$6:$C$1000,$B155)</f>
        <v>0</v>
      </c>
      <c r="K155" s="26">
        <f>SUMIFS(Verlauf!$T$6:$T$1000,Verlauf!$B$6:$B$1000,$A155,Verlauf!$C$6:$C$1000,$B155)</f>
        <v>0</v>
      </c>
      <c r="L155" s="27">
        <f>IF(Filter!$T$7=TRUE,IFERROR(INDEX(Planung!$D$68:$IA$68,MATCH($W155,Wirksam!$D$6:$IA$6,0)),0),0)</f>
        <v>0</v>
      </c>
      <c r="M155" s="27">
        <f>IF(OR(Filter!$T$5=TRUE,Filter!$T$6=TRUE),IFERROR(INDEX(Planung!$D$69:$IA$69,MATCH($W155,Wirksam!$D$6:$IA$6,0)),0),0)</f>
        <v>0</v>
      </c>
      <c r="N155" s="27">
        <f t="shared" si="21"/>
        <v>0</v>
      </c>
      <c r="O155" s="27" t="e">
        <f t="shared" si="22"/>
        <v>#N/A</v>
      </c>
      <c r="P155" s="27" t="e">
        <f t="shared" si="23"/>
        <v>#N/A</v>
      </c>
      <c r="Q155" s="27" t="e">
        <f t="shared" si="24"/>
        <v>#N/A</v>
      </c>
      <c r="R155" s="27" t="e">
        <f t="shared" si="25"/>
        <v>#N/A</v>
      </c>
      <c r="S155" s="27" t="e">
        <f t="shared" si="26"/>
        <v>#N/A</v>
      </c>
      <c r="T155" s="27" t="e">
        <f t="shared" si="27"/>
        <v>#N/A</v>
      </c>
      <c r="U155" s="26">
        <f>COUNTIFS(Verlauf!$B$6:$B$1000,$A155,Verlauf!$C$6:$C$1000,$B155)</f>
        <v>0</v>
      </c>
      <c r="V155" s="26">
        <f t="shared" si="28"/>
        <v>0</v>
      </c>
      <c r="W155" s="26">
        <f t="shared" si="29"/>
        <v>202922</v>
      </c>
      <c r="X155" s="26">
        <f>SUMIFS(Verlauf!$X$6:$X$1000,Verlauf!$B$6:$B$1000,$A155,Verlauf!$C$6:$C$1000,$B155)</f>
        <v>0</v>
      </c>
      <c r="Y155" s="26">
        <f>SUMIFS(Verlauf!$Y$6:$Y$1000,Verlauf!$B$6:$B$1000,$A155,Verlauf!$C$6:$C$1000,$B155)</f>
        <v>0</v>
      </c>
      <c r="Z155" s="26">
        <f>SUMIFS(Verlauf!$Z$6:$Z$1000,Verlauf!$B$6:$B$1000,$A155,Verlauf!$C$6:$C$1000,$B155)</f>
        <v>0</v>
      </c>
      <c r="AA155" s="26">
        <f>SUMIFS(Verlauf!$I$6:$I$1000,Verlauf!$B$6:$B$1000,$A155,Verlauf!$C$6:$C$1000,$B155)</f>
        <v>0</v>
      </c>
      <c r="AB155" s="26">
        <f>SUMIFS(Verlauf!$AA$6:$AA$1000,Verlauf!$B$6:$B$1000,$A155,Verlauf!$C$6:$C$1000,$B155)</f>
        <v>0</v>
      </c>
      <c r="AC155" s="26">
        <f>SUMIFS(Verlauf!$AB$6:$AB$1000,Verlauf!$B$6:$B$1000,$A155,Verlauf!$C$6:$C$1000,$B155)</f>
        <v>0</v>
      </c>
      <c r="AD155" s="26">
        <f>SUMIFS(Verlauf!$AC$6:$AC$1000,Verlauf!$B$6:$B$1000,$A155,Verlauf!$C$6:$C$1000,$B155)</f>
        <v>0</v>
      </c>
      <c r="AE155" s="26">
        <f>SUMIFS(Verlauf!$S$6:$S$1000,Verlauf!$B$6:$B$1000,$A155,Verlauf!$C$6:$C$1000,$B155)</f>
        <v>0</v>
      </c>
      <c r="AF155" s="26" t="str">
        <f>IF($AN155="","",INDEX(Verlauf!$D$6:$D$1000,MATCH($AN155,Verlauf!$A$6:$A$1000,0)))</f>
        <v/>
      </c>
      <c r="AG155" s="26" t="str">
        <f>IF($AN155="","",INDEX(Verlauf!$E$6:$E$1000,MATCH($AN155,Verlauf!$A$6:$A$1000,0)))</f>
        <v/>
      </c>
      <c r="AH155" s="26" t="str">
        <f>IF($AN155="","",INDEX(Verlauf!$F$6:$F$1000,MATCH($AN155,Verlauf!$A$6:$A$1000,0)))</f>
        <v/>
      </c>
      <c r="AI155" s="26" t="str">
        <f>IF($AN155="","",INDEX(Verlauf!$H$6:$H$1000,MATCH($AN155,Verlauf!$A$6:$A$1000,0)))</f>
        <v/>
      </c>
      <c r="AJ155" s="26" t="str">
        <f>IF($AN155="","",INDEX(Verlauf!$N$6:$N$1000,MATCH($AN155,Verlauf!$A$6:$A$1000,0)))</f>
        <v/>
      </c>
      <c r="AK155" s="26" t="str">
        <f>IF($AN155="","",INDEX(Verlauf!$O$6:$O$1000,MATCH($AN155,Verlauf!$A$6:$A$1000,0)))</f>
        <v/>
      </c>
      <c r="AL155" s="26" t="str">
        <f>IF($AN155="","",INDEX(Verlauf!$P$6:$P$1000,MATCH($AN155,Verlauf!$A$6:$A$1000,0)))</f>
        <v/>
      </c>
      <c r="AM155" s="26" t="str">
        <f>IF($AN155="","",INDEX(Verlauf!$R$6:$R$1000,MATCH($AN155,Verlauf!$A$6:$A$1000,0)))</f>
        <v/>
      </c>
      <c r="AN155" s="28" t="str">
        <f>IF(U155&gt;0,_xlfn.MAXIFS(Verlauf!$A$6:$A$1000,Verlauf!$B$6:$B$1000,$A155,Verlauf!$C$6:$C$1000,$B155),"")</f>
        <v/>
      </c>
    </row>
    <row r="156" spans="1:40" x14ac:dyDescent="0.25">
      <c r="A156" s="26">
        <v>2029</v>
      </c>
      <c r="B156" s="26">
        <v>23</v>
      </c>
      <c r="C156" s="7" t="str">
        <f t="shared" si="20"/>
        <v>KW 23/29</v>
      </c>
      <c r="D156" s="26">
        <f>SUMIFS(Verlauf!$K$6:$K$1000,Verlauf!$B$6:$B$1000,$A156,Verlauf!$C$6:$C$1000,$B156)</f>
        <v>0</v>
      </c>
      <c r="E156" s="26">
        <f>SUMIFS(Verlauf!$L$6:$L$1000,Verlauf!$B$6:$B$1000,$A156,Verlauf!$C$6:$C$1000,$B156)</f>
        <v>0</v>
      </c>
      <c r="F156" s="26">
        <f>SUMIFS(Verlauf!$M$6:$M$1000,Verlauf!$B$6:$B$1000,$A156,Verlauf!$C$6:$C$1000,$B156)</f>
        <v>0</v>
      </c>
      <c r="G156" s="26">
        <f>SUMIFS(Verlauf!$J$6:$J$1000,Verlauf!$B$6:$B$1000,$A156,Verlauf!$C$6:$C$1000,$B156)</f>
        <v>0</v>
      </c>
      <c r="H156" s="26">
        <f>SUMIFS(Verlauf!$U$6:$U$1000,Verlauf!$B$6:$B$1000,$A156,Verlauf!$C$6:$C$1000,$B156)</f>
        <v>0</v>
      </c>
      <c r="I156" s="26">
        <f>SUMIFS(Verlauf!$V$6:$V$1000,Verlauf!$B$6:$B$1000,$A156,Verlauf!$C$6:$C$1000,$B156)</f>
        <v>0</v>
      </c>
      <c r="J156" s="26">
        <f>SUMIFS(Verlauf!$W$6:$W$1000,Verlauf!$B$6:$B$1000,$A156,Verlauf!$C$6:$C$1000,$B156)</f>
        <v>0</v>
      </c>
      <c r="K156" s="26">
        <f>SUMIFS(Verlauf!$T$6:$T$1000,Verlauf!$B$6:$B$1000,$A156,Verlauf!$C$6:$C$1000,$B156)</f>
        <v>0</v>
      </c>
      <c r="L156" s="27">
        <f>IF(Filter!$T$7=TRUE,IFERROR(INDEX(Planung!$D$68:$IA$68,MATCH($W156,Wirksam!$D$6:$IA$6,0)),0),0)</f>
        <v>0</v>
      </c>
      <c r="M156" s="27">
        <f>IF(OR(Filter!$T$5=TRUE,Filter!$T$6=TRUE),IFERROR(INDEX(Planung!$D$69:$IA$69,MATCH($W156,Wirksam!$D$6:$IA$6,0)),0),0)</f>
        <v>0</v>
      </c>
      <c r="N156" s="27">
        <f t="shared" si="21"/>
        <v>0</v>
      </c>
      <c r="O156" s="27" t="e">
        <f t="shared" si="22"/>
        <v>#N/A</v>
      </c>
      <c r="P156" s="27" t="e">
        <f t="shared" si="23"/>
        <v>#N/A</v>
      </c>
      <c r="Q156" s="27" t="e">
        <f t="shared" si="24"/>
        <v>#N/A</v>
      </c>
      <c r="R156" s="27" t="e">
        <f t="shared" si="25"/>
        <v>#N/A</v>
      </c>
      <c r="S156" s="27" t="e">
        <f t="shared" si="26"/>
        <v>#N/A</v>
      </c>
      <c r="T156" s="27" t="e">
        <f t="shared" si="27"/>
        <v>#N/A</v>
      </c>
      <c r="U156" s="26">
        <f>COUNTIFS(Verlauf!$B$6:$B$1000,$A156,Verlauf!$C$6:$C$1000,$B156)</f>
        <v>0</v>
      </c>
      <c r="V156" s="26">
        <f t="shared" si="28"/>
        <v>0</v>
      </c>
      <c r="W156" s="26">
        <f t="shared" si="29"/>
        <v>202923</v>
      </c>
      <c r="X156" s="26">
        <f>SUMIFS(Verlauf!$X$6:$X$1000,Verlauf!$B$6:$B$1000,$A156,Verlauf!$C$6:$C$1000,$B156)</f>
        <v>0</v>
      </c>
      <c r="Y156" s="26">
        <f>SUMIFS(Verlauf!$Y$6:$Y$1000,Verlauf!$B$6:$B$1000,$A156,Verlauf!$C$6:$C$1000,$B156)</f>
        <v>0</v>
      </c>
      <c r="Z156" s="26">
        <f>SUMIFS(Verlauf!$Z$6:$Z$1000,Verlauf!$B$6:$B$1000,$A156,Verlauf!$C$6:$C$1000,$B156)</f>
        <v>0</v>
      </c>
      <c r="AA156" s="26">
        <f>SUMIFS(Verlauf!$I$6:$I$1000,Verlauf!$B$6:$B$1000,$A156,Verlauf!$C$6:$C$1000,$B156)</f>
        <v>0</v>
      </c>
      <c r="AB156" s="26">
        <f>SUMIFS(Verlauf!$AA$6:$AA$1000,Verlauf!$B$6:$B$1000,$A156,Verlauf!$C$6:$C$1000,$B156)</f>
        <v>0</v>
      </c>
      <c r="AC156" s="26">
        <f>SUMIFS(Verlauf!$AB$6:$AB$1000,Verlauf!$B$6:$B$1000,$A156,Verlauf!$C$6:$C$1000,$B156)</f>
        <v>0</v>
      </c>
      <c r="AD156" s="26">
        <f>SUMIFS(Verlauf!$AC$6:$AC$1000,Verlauf!$B$6:$B$1000,$A156,Verlauf!$C$6:$C$1000,$B156)</f>
        <v>0</v>
      </c>
      <c r="AE156" s="26">
        <f>SUMIFS(Verlauf!$S$6:$S$1000,Verlauf!$B$6:$B$1000,$A156,Verlauf!$C$6:$C$1000,$B156)</f>
        <v>0</v>
      </c>
      <c r="AF156" s="26" t="str">
        <f>IF($AN156="","",INDEX(Verlauf!$D$6:$D$1000,MATCH($AN156,Verlauf!$A$6:$A$1000,0)))</f>
        <v/>
      </c>
      <c r="AG156" s="26" t="str">
        <f>IF($AN156="","",INDEX(Verlauf!$E$6:$E$1000,MATCH($AN156,Verlauf!$A$6:$A$1000,0)))</f>
        <v/>
      </c>
      <c r="AH156" s="26" t="str">
        <f>IF($AN156="","",INDEX(Verlauf!$F$6:$F$1000,MATCH($AN156,Verlauf!$A$6:$A$1000,0)))</f>
        <v/>
      </c>
      <c r="AI156" s="26" t="str">
        <f>IF($AN156="","",INDEX(Verlauf!$H$6:$H$1000,MATCH($AN156,Verlauf!$A$6:$A$1000,0)))</f>
        <v/>
      </c>
      <c r="AJ156" s="26" t="str">
        <f>IF($AN156="","",INDEX(Verlauf!$N$6:$N$1000,MATCH($AN156,Verlauf!$A$6:$A$1000,0)))</f>
        <v/>
      </c>
      <c r="AK156" s="26" t="str">
        <f>IF($AN156="","",INDEX(Verlauf!$O$6:$O$1000,MATCH($AN156,Verlauf!$A$6:$A$1000,0)))</f>
        <v/>
      </c>
      <c r="AL156" s="26" t="str">
        <f>IF($AN156="","",INDEX(Verlauf!$P$6:$P$1000,MATCH($AN156,Verlauf!$A$6:$A$1000,0)))</f>
        <v/>
      </c>
      <c r="AM156" s="26" t="str">
        <f>IF($AN156="","",INDEX(Verlauf!$R$6:$R$1000,MATCH($AN156,Verlauf!$A$6:$A$1000,0)))</f>
        <v/>
      </c>
      <c r="AN156" s="28" t="str">
        <f>IF(U156&gt;0,_xlfn.MAXIFS(Verlauf!$A$6:$A$1000,Verlauf!$B$6:$B$1000,$A156,Verlauf!$C$6:$C$1000,$B156),"")</f>
        <v/>
      </c>
    </row>
    <row r="157" spans="1:40" x14ac:dyDescent="0.25">
      <c r="A157" s="26">
        <v>2029</v>
      </c>
      <c r="B157" s="26">
        <v>24</v>
      </c>
      <c r="C157" s="7" t="str">
        <f t="shared" si="20"/>
        <v>KW 24/29</v>
      </c>
      <c r="D157" s="26">
        <f>SUMIFS(Verlauf!$K$6:$K$1000,Verlauf!$B$6:$B$1000,$A157,Verlauf!$C$6:$C$1000,$B157)</f>
        <v>0</v>
      </c>
      <c r="E157" s="26">
        <f>SUMIFS(Verlauf!$L$6:$L$1000,Verlauf!$B$6:$B$1000,$A157,Verlauf!$C$6:$C$1000,$B157)</f>
        <v>0</v>
      </c>
      <c r="F157" s="26">
        <f>SUMIFS(Verlauf!$M$6:$M$1000,Verlauf!$B$6:$B$1000,$A157,Verlauf!$C$6:$C$1000,$B157)</f>
        <v>0</v>
      </c>
      <c r="G157" s="26">
        <f>SUMIFS(Verlauf!$J$6:$J$1000,Verlauf!$B$6:$B$1000,$A157,Verlauf!$C$6:$C$1000,$B157)</f>
        <v>0</v>
      </c>
      <c r="H157" s="26">
        <f>SUMIFS(Verlauf!$U$6:$U$1000,Verlauf!$B$6:$B$1000,$A157,Verlauf!$C$6:$C$1000,$B157)</f>
        <v>0</v>
      </c>
      <c r="I157" s="26">
        <f>SUMIFS(Verlauf!$V$6:$V$1000,Verlauf!$B$6:$B$1000,$A157,Verlauf!$C$6:$C$1000,$B157)</f>
        <v>0</v>
      </c>
      <c r="J157" s="26">
        <f>SUMIFS(Verlauf!$W$6:$W$1000,Verlauf!$B$6:$B$1000,$A157,Verlauf!$C$6:$C$1000,$B157)</f>
        <v>0</v>
      </c>
      <c r="K157" s="26">
        <f>SUMIFS(Verlauf!$T$6:$T$1000,Verlauf!$B$6:$B$1000,$A157,Verlauf!$C$6:$C$1000,$B157)</f>
        <v>0</v>
      </c>
      <c r="L157" s="27">
        <f>IF(Filter!$T$7=TRUE,IFERROR(INDEX(Planung!$D$68:$IA$68,MATCH($W157,Wirksam!$D$6:$IA$6,0)),0),0)</f>
        <v>0</v>
      </c>
      <c r="M157" s="27">
        <f>IF(OR(Filter!$T$5=TRUE,Filter!$T$6=TRUE),IFERROR(INDEX(Planung!$D$69:$IA$69,MATCH($W157,Wirksam!$D$6:$IA$6,0)),0),0)</f>
        <v>0</v>
      </c>
      <c r="N157" s="27">
        <f t="shared" si="21"/>
        <v>0</v>
      </c>
      <c r="O157" s="27" t="e">
        <f t="shared" si="22"/>
        <v>#N/A</v>
      </c>
      <c r="P157" s="27" t="e">
        <f t="shared" si="23"/>
        <v>#N/A</v>
      </c>
      <c r="Q157" s="27" t="e">
        <f t="shared" si="24"/>
        <v>#N/A</v>
      </c>
      <c r="R157" s="27" t="e">
        <f t="shared" si="25"/>
        <v>#N/A</v>
      </c>
      <c r="S157" s="27" t="e">
        <f t="shared" si="26"/>
        <v>#N/A</v>
      </c>
      <c r="T157" s="27" t="e">
        <f t="shared" si="27"/>
        <v>#N/A</v>
      </c>
      <c r="U157" s="26">
        <f>COUNTIFS(Verlauf!$B$6:$B$1000,$A157,Verlauf!$C$6:$C$1000,$B157)</f>
        <v>0</v>
      </c>
      <c r="V157" s="26">
        <f t="shared" si="28"/>
        <v>0</v>
      </c>
      <c r="W157" s="26">
        <f t="shared" si="29"/>
        <v>202924</v>
      </c>
      <c r="X157" s="26">
        <f>SUMIFS(Verlauf!$X$6:$X$1000,Verlauf!$B$6:$B$1000,$A157,Verlauf!$C$6:$C$1000,$B157)</f>
        <v>0</v>
      </c>
      <c r="Y157" s="26">
        <f>SUMIFS(Verlauf!$Y$6:$Y$1000,Verlauf!$B$6:$B$1000,$A157,Verlauf!$C$6:$C$1000,$B157)</f>
        <v>0</v>
      </c>
      <c r="Z157" s="26">
        <f>SUMIFS(Verlauf!$Z$6:$Z$1000,Verlauf!$B$6:$B$1000,$A157,Verlauf!$C$6:$C$1000,$B157)</f>
        <v>0</v>
      </c>
      <c r="AA157" s="26">
        <f>SUMIFS(Verlauf!$I$6:$I$1000,Verlauf!$B$6:$B$1000,$A157,Verlauf!$C$6:$C$1000,$B157)</f>
        <v>0</v>
      </c>
      <c r="AB157" s="26">
        <f>SUMIFS(Verlauf!$AA$6:$AA$1000,Verlauf!$B$6:$B$1000,$A157,Verlauf!$C$6:$C$1000,$B157)</f>
        <v>0</v>
      </c>
      <c r="AC157" s="26">
        <f>SUMIFS(Verlauf!$AB$6:$AB$1000,Verlauf!$B$6:$B$1000,$A157,Verlauf!$C$6:$C$1000,$B157)</f>
        <v>0</v>
      </c>
      <c r="AD157" s="26">
        <f>SUMIFS(Verlauf!$AC$6:$AC$1000,Verlauf!$B$6:$B$1000,$A157,Verlauf!$C$6:$C$1000,$B157)</f>
        <v>0</v>
      </c>
      <c r="AE157" s="26">
        <f>SUMIFS(Verlauf!$S$6:$S$1000,Verlauf!$B$6:$B$1000,$A157,Verlauf!$C$6:$C$1000,$B157)</f>
        <v>0</v>
      </c>
      <c r="AF157" s="26" t="str">
        <f>IF($AN157="","",INDEX(Verlauf!$D$6:$D$1000,MATCH($AN157,Verlauf!$A$6:$A$1000,0)))</f>
        <v/>
      </c>
      <c r="AG157" s="26" t="str">
        <f>IF($AN157="","",INDEX(Verlauf!$E$6:$E$1000,MATCH($AN157,Verlauf!$A$6:$A$1000,0)))</f>
        <v/>
      </c>
      <c r="AH157" s="26" t="str">
        <f>IF($AN157="","",INDEX(Verlauf!$F$6:$F$1000,MATCH($AN157,Verlauf!$A$6:$A$1000,0)))</f>
        <v/>
      </c>
      <c r="AI157" s="26" t="str">
        <f>IF($AN157="","",INDEX(Verlauf!$H$6:$H$1000,MATCH($AN157,Verlauf!$A$6:$A$1000,0)))</f>
        <v/>
      </c>
      <c r="AJ157" s="26" t="str">
        <f>IF($AN157="","",INDEX(Verlauf!$N$6:$N$1000,MATCH($AN157,Verlauf!$A$6:$A$1000,0)))</f>
        <v/>
      </c>
      <c r="AK157" s="26" t="str">
        <f>IF($AN157="","",INDEX(Verlauf!$O$6:$O$1000,MATCH($AN157,Verlauf!$A$6:$A$1000,0)))</f>
        <v/>
      </c>
      <c r="AL157" s="26" t="str">
        <f>IF($AN157="","",INDEX(Verlauf!$P$6:$P$1000,MATCH($AN157,Verlauf!$A$6:$A$1000,0)))</f>
        <v/>
      </c>
      <c r="AM157" s="26" t="str">
        <f>IF($AN157="","",INDEX(Verlauf!$R$6:$R$1000,MATCH($AN157,Verlauf!$A$6:$A$1000,0)))</f>
        <v/>
      </c>
      <c r="AN157" s="28" t="str">
        <f>IF(U157&gt;0,_xlfn.MAXIFS(Verlauf!$A$6:$A$1000,Verlauf!$B$6:$B$1000,$A157,Verlauf!$C$6:$C$1000,$B157),"")</f>
        <v/>
      </c>
    </row>
    <row r="158" spans="1:40" x14ac:dyDescent="0.25">
      <c r="A158" s="26">
        <v>2029</v>
      </c>
      <c r="B158" s="26">
        <v>25</v>
      </c>
      <c r="C158" s="7" t="str">
        <f t="shared" si="20"/>
        <v>KW 25/29</v>
      </c>
      <c r="D158" s="26">
        <f>SUMIFS(Verlauf!$K$6:$K$1000,Verlauf!$B$6:$B$1000,$A158,Verlauf!$C$6:$C$1000,$B158)</f>
        <v>0</v>
      </c>
      <c r="E158" s="26">
        <f>SUMIFS(Verlauf!$L$6:$L$1000,Verlauf!$B$6:$B$1000,$A158,Verlauf!$C$6:$C$1000,$B158)</f>
        <v>0</v>
      </c>
      <c r="F158" s="26">
        <f>SUMIFS(Verlauf!$M$6:$M$1000,Verlauf!$B$6:$B$1000,$A158,Verlauf!$C$6:$C$1000,$B158)</f>
        <v>0</v>
      </c>
      <c r="G158" s="26">
        <f>SUMIFS(Verlauf!$J$6:$J$1000,Verlauf!$B$6:$B$1000,$A158,Verlauf!$C$6:$C$1000,$B158)</f>
        <v>0</v>
      </c>
      <c r="H158" s="26">
        <f>SUMIFS(Verlauf!$U$6:$U$1000,Verlauf!$B$6:$B$1000,$A158,Verlauf!$C$6:$C$1000,$B158)</f>
        <v>0</v>
      </c>
      <c r="I158" s="26">
        <f>SUMIFS(Verlauf!$V$6:$V$1000,Verlauf!$B$6:$B$1000,$A158,Verlauf!$C$6:$C$1000,$B158)</f>
        <v>0</v>
      </c>
      <c r="J158" s="26">
        <f>SUMIFS(Verlauf!$W$6:$W$1000,Verlauf!$B$6:$B$1000,$A158,Verlauf!$C$6:$C$1000,$B158)</f>
        <v>0</v>
      </c>
      <c r="K158" s="26">
        <f>SUMIFS(Verlauf!$T$6:$T$1000,Verlauf!$B$6:$B$1000,$A158,Verlauf!$C$6:$C$1000,$B158)</f>
        <v>0</v>
      </c>
      <c r="L158" s="27">
        <f>IF(Filter!$T$7=TRUE,IFERROR(INDEX(Planung!$D$68:$IA$68,MATCH($W158,Wirksam!$D$6:$IA$6,0)),0),0)</f>
        <v>0</v>
      </c>
      <c r="M158" s="27">
        <f>IF(OR(Filter!$T$5=TRUE,Filter!$T$6=TRUE),IFERROR(INDEX(Planung!$D$69:$IA$69,MATCH($W158,Wirksam!$D$6:$IA$6,0)),0),0)</f>
        <v>0</v>
      </c>
      <c r="N158" s="27">
        <f t="shared" si="21"/>
        <v>0</v>
      </c>
      <c r="O158" s="27" t="e">
        <f t="shared" si="22"/>
        <v>#N/A</v>
      </c>
      <c r="P158" s="27" t="e">
        <f t="shared" si="23"/>
        <v>#N/A</v>
      </c>
      <c r="Q158" s="27" t="e">
        <f t="shared" si="24"/>
        <v>#N/A</v>
      </c>
      <c r="R158" s="27" t="e">
        <f t="shared" si="25"/>
        <v>#N/A</v>
      </c>
      <c r="S158" s="27" t="e">
        <f t="shared" si="26"/>
        <v>#N/A</v>
      </c>
      <c r="T158" s="27" t="e">
        <f t="shared" si="27"/>
        <v>#N/A</v>
      </c>
      <c r="U158" s="26">
        <f>COUNTIFS(Verlauf!$B$6:$B$1000,$A158,Verlauf!$C$6:$C$1000,$B158)</f>
        <v>0</v>
      </c>
      <c r="V158" s="26">
        <f t="shared" si="28"/>
        <v>0</v>
      </c>
      <c r="W158" s="26">
        <f t="shared" si="29"/>
        <v>202925</v>
      </c>
      <c r="X158" s="26">
        <f>SUMIFS(Verlauf!$X$6:$X$1000,Verlauf!$B$6:$B$1000,$A158,Verlauf!$C$6:$C$1000,$B158)</f>
        <v>0</v>
      </c>
      <c r="Y158" s="26">
        <f>SUMIFS(Verlauf!$Y$6:$Y$1000,Verlauf!$B$6:$B$1000,$A158,Verlauf!$C$6:$C$1000,$B158)</f>
        <v>0</v>
      </c>
      <c r="Z158" s="26">
        <f>SUMIFS(Verlauf!$Z$6:$Z$1000,Verlauf!$B$6:$B$1000,$A158,Verlauf!$C$6:$C$1000,$B158)</f>
        <v>0</v>
      </c>
      <c r="AA158" s="26">
        <f>SUMIFS(Verlauf!$I$6:$I$1000,Verlauf!$B$6:$B$1000,$A158,Verlauf!$C$6:$C$1000,$B158)</f>
        <v>0</v>
      </c>
      <c r="AB158" s="26">
        <f>SUMIFS(Verlauf!$AA$6:$AA$1000,Verlauf!$B$6:$B$1000,$A158,Verlauf!$C$6:$C$1000,$B158)</f>
        <v>0</v>
      </c>
      <c r="AC158" s="26">
        <f>SUMIFS(Verlauf!$AB$6:$AB$1000,Verlauf!$B$6:$B$1000,$A158,Verlauf!$C$6:$C$1000,$B158)</f>
        <v>0</v>
      </c>
      <c r="AD158" s="26">
        <f>SUMIFS(Verlauf!$AC$6:$AC$1000,Verlauf!$B$6:$B$1000,$A158,Verlauf!$C$6:$C$1000,$B158)</f>
        <v>0</v>
      </c>
      <c r="AE158" s="26">
        <f>SUMIFS(Verlauf!$S$6:$S$1000,Verlauf!$B$6:$B$1000,$A158,Verlauf!$C$6:$C$1000,$B158)</f>
        <v>0</v>
      </c>
      <c r="AF158" s="26" t="str">
        <f>IF($AN158="","",INDEX(Verlauf!$D$6:$D$1000,MATCH($AN158,Verlauf!$A$6:$A$1000,0)))</f>
        <v/>
      </c>
      <c r="AG158" s="26" t="str">
        <f>IF($AN158="","",INDEX(Verlauf!$E$6:$E$1000,MATCH($AN158,Verlauf!$A$6:$A$1000,0)))</f>
        <v/>
      </c>
      <c r="AH158" s="26" t="str">
        <f>IF($AN158="","",INDEX(Verlauf!$F$6:$F$1000,MATCH($AN158,Verlauf!$A$6:$A$1000,0)))</f>
        <v/>
      </c>
      <c r="AI158" s="26" t="str">
        <f>IF($AN158="","",INDEX(Verlauf!$H$6:$H$1000,MATCH($AN158,Verlauf!$A$6:$A$1000,0)))</f>
        <v/>
      </c>
      <c r="AJ158" s="26" t="str">
        <f>IF($AN158="","",INDEX(Verlauf!$N$6:$N$1000,MATCH($AN158,Verlauf!$A$6:$A$1000,0)))</f>
        <v/>
      </c>
      <c r="AK158" s="26" t="str">
        <f>IF($AN158="","",INDEX(Verlauf!$O$6:$O$1000,MATCH($AN158,Verlauf!$A$6:$A$1000,0)))</f>
        <v/>
      </c>
      <c r="AL158" s="26" t="str">
        <f>IF($AN158="","",INDEX(Verlauf!$P$6:$P$1000,MATCH($AN158,Verlauf!$A$6:$A$1000,0)))</f>
        <v/>
      </c>
      <c r="AM158" s="26" t="str">
        <f>IF($AN158="","",INDEX(Verlauf!$R$6:$R$1000,MATCH($AN158,Verlauf!$A$6:$A$1000,0)))</f>
        <v/>
      </c>
      <c r="AN158" s="28" t="str">
        <f>IF(U158&gt;0,_xlfn.MAXIFS(Verlauf!$A$6:$A$1000,Verlauf!$B$6:$B$1000,$A158,Verlauf!$C$6:$C$1000,$B158),"")</f>
        <v/>
      </c>
    </row>
    <row r="159" spans="1:40" x14ac:dyDescent="0.25">
      <c r="A159" s="26">
        <v>2029</v>
      </c>
      <c r="B159" s="26">
        <v>26</v>
      </c>
      <c r="C159" s="7" t="str">
        <f t="shared" si="20"/>
        <v>KW 26/29</v>
      </c>
      <c r="D159" s="26">
        <f>SUMIFS(Verlauf!$K$6:$K$1000,Verlauf!$B$6:$B$1000,$A159,Verlauf!$C$6:$C$1000,$B159)</f>
        <v>0</v>
      </c>
      <c r="E159" s="26">
        <f>SUMIFS(Verlauf!$L$6:$L$1000,Verlauf!$B$6:$B$1000,$A159,Verlauf!$C$6:$C$1000,$B159)</f>
        <v>0</v>
      </c>
      <c r="F159" s="26">
        <f>SUMIFS(Verlauf!$M$6:$M$1000,Verlauf!$B$6:$B$1000,$A159,Verlauf!$C$6:$C$1000,$B159)</f>
        <v>0</v>
      </c>
      <c r="G159" s="26">
        <f>SUMIFS(Verlauf!$J$6:$J$1000,Verlauf!$B$6:$B$1000,$A159,Verlauf!$C$6:$C$1000,$B159)</f>
        <v>0</v>
      </c>
      <c r="H159" s="26">
        <f>SUMIFS(Verlauf!$U$6:$U$1000,Verlauf!$B$6:$B$1000,$A159,Verlauf!$C$6:$C$1000,$B159)</f>
        <v>0</v>
      </c>
      <c r="I159" s="26">
        <f>SUMIFS(Verlauf!$V$6:$V$1000,Verlauf!$B$6:$B$1000,$A159,Verlauf!$C$6:$C$1000,$B159)</f>
        <v>0</v>
      </c>
      <c r="J159" s="26">
        <f>SUMIFS(Verlauf!$W$6:$W$1000,Verlauf!$B$6:$B$1000,$A159,Verlauf!$C$6:$C$1000,$B159)</f>
        <v>0</v>
      </c>
      <c r="K159" s="26">
        <f>SUMIFS(Verlauf!$T$6:$T$1000,Verlauf!$B$6:$B$1000,$A159,Verlauf!$C$6:$C$1000,$B159)</f>
        <v>0</v>
      </c>
      <c r="L159" s="27">
        <f>IF(Filter!$T$7=TRUE,IFERROR(INDEX(Planung!$D$68:$IA$68,MATCH($W159,Wirksam!$D$6:$IA$6,0)),0),0)</f>
        <v>0</v>
      </c>
      <c r="M159" s="27">
        <f>IF(OR(Filter!$T$5=TRUE,Filter!$T$6=TRUE),IFERROR(INDEX(Planung!$D$69:$IA$69,MATCH($W159,Wirksam!$D$6:$IA$6,0)),0),0)</f>
        <v>0</v>
      </c>
      <c r="N159" s="27">
        <f t="shared" si="21"/>
        <v>0</v>
      </c>
      <c r="O159" s="27" t="e">
        <f t="shared" si="22"/>
        <v>#N/A</v>
      </c>
      <c r="P159" s="27" t="e">
        <f t="shared" si="23"/>
        <v>#N/A</v>
      </c>
      <c r="Q159" s="27" t="e">
        <f t="shared" si="24"/>
        <v>#N/A</v>
      </c>
      <c r="R159" s="27" t="e">
        <f t="shared" si="25"/>
        <v>#N/A</v>
      </c>
      <c r="S159" s="27" t="e">
        <f t="shared" si="26"/>
        <v>#N/A</v>
      </c>
      <c r="T159" s="27" t="e">
        <f t="shared" si="27"/>
        <v>#N/A</v>
      </c>
      <c r="U159" s="26">
        <f>COUNTIFS(Verlauf!$B$6:$B$1000,$A159,Verlauf!$C$6:$C$1000,$B159)</f>
        <v>0</v>
      </c>
      <c r="V159" s="26">
        <f t="shared" si="28"/>
        <v>0</v>
      </c>
      <c r="W159" s="26">
        <f t="shared" si="29"/>
        <v>202926</v>
      </c>
      <c r="X159" s="26">
        <f>SUMIFS(Verlauf!$X$6:$X$1000,Verlauf!$B$6:$B$1000,$A159,Verlauf!$C$6:$C$1000,$B159)</f>
        <v>0</v>
      </c>
      <c r="Y159" s="26">
        <f>SUMIFS(Verlauf!$Y$6:$Y$1000,Verlauf!$B$6:$B$1000,$A159,Verlauf!$C$6:$C$1000,$B159)</f>
        <v>0</v>
      </c>
      <c r="Z159" s="26">
        <f>SUMIFS(Verlauf!$Z$6:$Z$1000,Verlauf!$B$6:$B$1000,$A159,Verlauf!$C$6:$C$1000,$B159)</f>
        <v>0</v>
      </c>
      <c r="AA159" s="26">
        <f>SUMIFS(Verlauf!$I$6:$I$1000,Verlauf!$B$6:$B$1000,$A159,Verlauf!$C$6:$C$1000,$B159)</f>
        <v>0</v>
      </c>
      <c r="AB159" s="26">
        <f>SUMIFS(Verlauf!$AA$6:$AA$1000,Verlauf!$B$6:$B$1000,$A159,Verlauf!$C$6:$C$1000,$B159)</f>
        <v>0</v>
      </c>
      <c r="AC159" s="26">
        <f>SUMIFS(Verlauf!$AB$6:$AB$1000,Verlauf!$B$6:$B$1000,$A159,Verlauf!$C$6:$C$1000,$B159)</f>
        <v>0</v>
      </c>
      <c r="AD159" s="26">
        <f>SUMIFS(Verlauf!$AC$6:$AC$1000,Verlauf!$B$6:$B$1000,$A159,Verlauf!$C$6:$C$1000,$B159)</f>
        <v>0</v>
      </c>
      <c r="AE159" s="26">
        <f>SUMIFS(Verlauf!$S$6:$S$1000,Verlauf!$B$6:$B$1000,$A159,Verlauf!$C$6:$C$1000,$B159)</f>
        <v>0</v>
      </c>
      <c r="AF159" s="26" t="str">
        <f>IF($AN159="","",INDEX(Verlauf!$D$6:$D$1000,MATCH($AN159,Verlauf!$A$6:$A$1000,0)))</f>
        <v/>
      </c>
      <c r="AG159" s="26" t="str">
        <f>IF($AN159="","",INDEX(Verlauf!$E$6:$E$1000,MATCH($AN159,Verlauf!$A$6:$A$1000,0)))</f>
        <v/>
      </c>
      <c r="AH159" s="26" t="str">
        <f>IF($AN159="","",INDEX(Verlauf!$F$6:$F$1000,MATCH($AN159,Verlauf!$A$6:$A$1000,0)))</f>
        <v/>
      </c>
      <c r="AI159" s="26" t="str">
        <f>IF($AN159="","",INDEX(Verlauf!$H$6:$H$1000,MATCH($AN159,Verlauf!$A$6:$A$1000,0)))</f>
        <v/>
      </c>
      <c r="AJ159" s="26" t="str">
        <f>IF($AN159="","",INDEX(Verlauf!$N$6:$N$1000,MATCH($AN159,Verlauf!$A$6:$A$1000,0)))</f>
        <v/>
      </c>
      <c r="AK159" s="26" t="str">
        <f>IF($AN159="","",INDEX(Verlauf!$O$6:$O$1000,MATCH($AN159,Verlauf!$A$6:$A$1000,0)))</f>
        <v/>
      </c>
      <c r="AL159" s="26" t="str">
        <f>IF($AN159="","",INDEX(Verlauf!$P$6:$P$1000,MATCH($AN159,Verlauf!$A$6:$A$1000,0)))</f>
        <v/>
      </c>
      <c r="AM159" s="26" t="str">
        <f>IF($AN159="","",INDEX(Verlauf!$R$6:$R$1000,MATCH($AN159,Verlauf!$A$6:$A$1000,0)))</f>
        <v/>
      </c>
      <c r="AN159" s="28" t="str">
        <f>IF(U159&gt;0,_xlfn.MAXIFS(Verlauf!$A$6:$A$1000,Verlauf!$B$6:$B$1000,$A159,Verlauf!$C$6:$C$1000,$B159),"")</f>
        <v/>
      </c>
    </row>
    <row r="160" spans="1:40" x14ac:dyDescent="0.25">
      <c r="A160" s="26">
        <v>2029</v>
      </c>
      <c r="B160" s="26">
        <v>27</v>
      </c>
      <c r="C160" s="7" t="str">
        <f t="shared" si="20"/>
        <v>KW 27/29</v>
      </c>
      <c r="D160" s="26">
        <f>SUMIFS(Verlauf!$K$6:$K$1000,Verlauf!$B$6:$B$1000,$A160,Verlauf!$C$6:$C$1000,$B160)</f>
        <v>0</v>
      </c>
      <c r="E160" s="26">
        <f>SUMIFS(Verlauf!$L$6:$L$1000,Verlauf!$B$6:$B$1000,$A160,Verlauf!$C$6:$C$1000,$B160)</f>
        <v>0</v>
      </c>
      <c r="F160" s="26">
        <f>SUMIFS(Verlauf!$M$6:$M$1000,Verlauf!$B$6:$B$1000,$A160,Verlauf!$C$6:$C$1000,$B160)</f>
        <v>0</v>
      </c>
      <c r="G160" s="26">
        <f>SUMIFS(Verlauf!$J$6:$J$1000,Verlauf!$B$6:$B$1000,$A160,Verlauf!$C$6:$C$1000,$B160)</f>
        <v>0</v>
      </c>
      <c r="H160" s="26">
        <f>SUMIFS(Verlauf!$U$6:$U$1000,Verlauf!$B$6:$B$1000,$A160,Verlauf!$C$6:$C$1000,$B160)</f>
        <v>0</v>
      </c>
      <c r="I160" s="26">
        <f>SUMIFS(Verlauf!$V$6:$V$1000,Verlauf!$B$6:$B$1000,$A160,Verlauf!$C$6:$C$1000,$B160)</f>
        <v>0</v>
      </c>
      <c r="J160" s="26">
        <f>SUMIFS(Verlauf!$W$6:$W$1000,Verlauf!$B$6:$B$1000,$A160,Verlauf!$C$6:$C$1000,$B160)</f>
        <v>0</v>
      </c>
      <c r="K160" s="26">
        <f>SUMIFS(Verlauf!$T$6:$T$1000,Verlauf!$B$6:$B$1000,$A160,Verlauf!$C$6:$C$1000,$B160)</f>
        <v>0</v>
      </c>
      <c r="L160" s="27">
        <f>IF(Filter!$T$7=TRUE,IFERROR(INDEX(Planung!$D$68:$IA$68,MATCH($W160,Wirksam!$D$6:$IA$6,0)),0),0)</f>
        <v>0</v>
      </c>
      <c r="M160" s="27">
        <f>IF(OR(Filter!$T$5=TRUE,Filter!$T$6=TRUE),IFERROR(INDEX(Planung!$D$69:$IA$69,MATCH($W160,Wirksam!$D$6:$IA$6,0)),0),0)</f>
        <v>0</v>
      </c>
      <c r="N160" s="27">
        <f t="shared" si="21"/>
        <v>0</v>
      </c>
      <c r="O160" s="27" t="e">
        <f t="shared" si="22"/>
        <v>#N/A</v>
      </c>
      <c r="P160" s="27" t="e">
        <f t="shared" si="23"/>
        <v>#N/A</v>
      </c>
      <c r="Q160" s="27" t="e">
        <f t="shared" si="24"/>
        <v>#N/A</v>
      </c>
      <c r="R160" s="27" t="e">
        <f t="shared" si="25"/>
        <v>#N/A</v>
      </c>
      <c r="S160" s="27" t="e">
        <f t="shared" si="26"/>
        <v>#N/A</v>
      </c>
      <c r="T160" s="27" t="e">
        <f t="shared" si="27"/>
        <v>#N/A</v>
      </c>
      <c r="U160" s="26">
        <f>COUNTIFS(Verlauf!$B$6:$B$1000,$A160,Verlauf!$C$6:$C$1000,$B160)</f>
        <v>0</v>
      </c>
      <c r="V160" s="26">
        <f t="shared" si="28"/>
        <v>0</v>
      </c>
      <c r="W160" s="26">
        <f t="shared" si="29"/>
        <v>202927</v>
      </c>
      <c r="X160" s="26">
        <f>SUMIFS(Verlauf!$X$6:$X$1000,Verlauf!$B$6:$B$1000,$A160,Verlauf!$C$6:$C$1000,$B160)</f>
        <v>0</v>
      </c>
      <c r="Y160" s="26">
        <f>SUMIFS(Verlauf!$Y$6:$Y$1000,Verlauf!$B$6:$B$1000,$A160,Verlauf!$C$6:$C$1000,$B160)</f>
        <v>0</v>
      </c>
      <c r="Z160" s="26">
        <f>SUMIFS(Verlauf!$Z$6:$Z$1000,Verlauf!$B$6:$B$1000,$A160,Verlauf!$C$6:$C$1000,$B160)</f>
        <v>0</v>
      </c>
      <c r="AA160" s="26">
        <f>SUMIFS(Verlauf!$I$6:$I$1000,Verlauf!$B$6:$B$1000,$A160,Verlauf!$C$6:$C$1000,$B160)</f>
        <v>0</v>
      </c>
      <c r="AB160" s="26">
        <f>SUMIFS(Verlauf!$AA$6:$AA$1000,Verlauf!$B$6:$B$1000,$A160,Verlauf!$C$6:$C$1000,$B160)</f>
        <v>0</v>
      </c>
      <c r="AC160" s="26">
        <f>SUMIFS(Verlauf!$AB$6:$AB$1000,Verlauf!$B$6:$B$1000,$A160,Verlauf!$C$6:$C$1000,$B160)</f>
        <v>0</v>
      </c>
      <c r="AD160" s="26">
        <f>SUMIFS(Verlauf!$AC$6:$AC$1000,Verlauf!$B$6:$B$1000,$A160,Verlauf!$C$6:$C$1000,$B160)</f>
        <v>0</v>
      </c>
      <c r="AE160" s="26">
        <f>SUMIFS(Verlauf!$S$6:$S$1000,Verlauf!$B$6:$B$1000,$A160,Verlauf!$C$6:$C$1000,$B160)</f>
        <v>0</v>
      </c>
      <c r="AF160" s="26" t="str">
        <f>IF($AN160="","",INDEX(Verlauf!$D$6:$D$1000,MATCH($AN160,Verlauf!$A$6:$A$1000,0)))</f>
        <v/>
      </c>
      <c r="AG160" s="26" t="str">
        <f>IF($AN160="","",INDEX(Verlauf!$E$6:$E$1000,MATCH($AN160,Verlauf!$A$6:$A$1000,0)))</f>
        <v/>
      </c>
      <c r="AH160" s="26" t="str">
        <f>IF($AN160="","",INDEX(Verlauf!$F$6:$F$1000,MATCH($AN160,Verlauf!$A$6:$A$1000,0)))</f>
        <v/>
      </c>
      <c r="AI160" s="26" t="str">
        <f>IF($AN160="","",INDEX(Verlauf!$H$6:$H$1000,MATCH($AN160,Verlauf!$A$6:$A$1000,0)))</f>
        <v/>
      </c>
      <c r="AJ160" s="26" t="str">
        <f>IF($AN160="","",INDEX(Verlauf!$N$6:$N$1000,MATCH($AN160,Verlauf!$A$6:$A$1000,0)))</f>
        <v/>
      </c>
      <c r="AK160" s="26" t="str">
        <f>IF($AN160="","",INDEX(Verlauf!$O$6:$O$1000,MATCH($AN160,Verlauf!$A$6:$A$1000,0)))</f>
        <v/>
      </c>
      <c r="AL160" s="26" t="str">
        <f>IF($AN160="","",INDEX(Verlauf!$P$6:$P$1000,MATCH($AN160,Verlauf!$A$6:$A$1000,0)))</f>
        <v/>
      </c>
      <c r="AM160" s="26" t="str">
        <f>IF($AN160="","",INDEX(Verlauf!$R$6:$R$1000,MATCH($AN160,Verlauf!$A$6:$A$1000,0)))</f>
        <v/>
      </c>
      <c r="AN160" s="28" t="str">
        <f>IF(U160&gt;0,_xlfn.MAXIFS(Verlauf!$A$6:$A$1000,Verlauf!$B$6:$B$1000,$A160,Verlauf!$C$6:$C$1000,$B160),"")</f>
        <v/>
      </c>
    </row>
    <row r="161" spans="1:40" x14ac:dyDescent="0.25">
      <c r="A161" s="26">
        <v>2029</v>
      </c>
      <c r="B161" s="26">
        <v>28</v>
      </c>
      <c r="C161" s="7" t="str">
        <f t="shared" si="20"/>
        <v>KW 28/29</v>
      </c>
      <c r="D161" s="26">
        <f>SUMIFS(Verlauf!$K$6:$K$1000,Verlauf!$B$6:$B$1000,$A161,Verlauf!$C$6:$C$1000,$B161)</f>
        <v>0</v>
      </c>
      <c r="E161" s="26">
        <f>SUMIFS(Verlauf!$L$6:$L$1000,Verlauf!$B$6:$B$1000,$A161,Verlauf!$C$6:$C$1000,$B161)</f>
        <v>0</v>
      </c>
      <c r="F161" s="26">
        <f>SUMIFS(Verlauf!$M$6:$M$1000,Verlauf!$B$6:$B$1000,$A161,Verlauf!$C$6:$C$1000,$B161)</f>
        <v>0</v>
      </c>
      <c r="G161" s="26">
        <f>SUMIFS(Verlauf!$J$6:$J$1000,Verlauf!$B$6:$B$1000,$A161,Verlauf!$C$6:$C$1000,$B161)</f>
        <v>0</v>
      </c>
      <c r="H161" s="26">
        <f>SUMIFS(Verlauf!$U$6:$U$1000,Verlauf!$B$6:$B$1000,$A161,Verlauf!$C$6:$C$1000,$B161)</f>
        <v>0</v>
      </c>
      <c r="I161" s="26">
        <f>SUMIFS(Verlauf!$V$6:$V$1000,Verlauf!$B$6:$B$1000,$A161,Verlauf!$C$6:$C$1000,$B161)</f>
        <v>0</v>
      </c>
      <c r="J161" s="26">
        <f>SUMIFS(Verlauf!$W$6:$W$1000,Verlauf!$B$6:$B$1000,$A161,Verlauf!$C$6:$C$1000,$B161)</f>
        <v>0</v>
      </c>
      <c r="K161" s="26">
        <f>SUMIFS(Verlauf!$T$6:$T$1000,Verlauf!$B$6:$B$1000,$A161,Verlauf!$C$6:$C$1000,$B161)</f>
        <v>0</v>
      </c>
      <c r="L161" s="27">
        <f>IF(Filter!$T$7=TRUE,IFERROR(INDEX(Planung!$D$68:$IA$68,MATCH($W161,Wirksam!$D$6:$IA$6,0)),0),0)</f>
        <v>0</v>
      </c>
      <c r="M161" s="27">
        <f>IF(OR(Filter!$T$5=TRUE,Filter!$T$6=TRUE),IFERROR(INDEX(Planung!$D$69:$IA$69,MATCH($W161,Wirksam!$D$6:$IA$6,0)),0),0)</f>
        <v>0</v>
      </c>
      <c r="N161" s="27">
        <f t="shared" si="21"/>
        <v>0</v>
      </c>
      <c r="O161" s="27" t="e">
        <f t="shared" si="22"/>
        <v>#N/A</v>
      </c>
      <c r="P161" s="27" t="e">
        <f t="shared" si="23"/>
        <v>#N/A</v>
      </c>
      <c r="Q161" s="27" t="e">
        <f t="shared" si="24"/>
        <v>#N/A</v>
      </c>
      <c r="R161" s="27" t="e">
        <f t="shared" si="25"/>
        <v>#N/A</v>
      </c>
      <c r="S161" s="27" t="e">
        <f t="shared" si="26"/>
        <v>#N/A</v>
      </c>
      <c r="T161" s="27" t="e">
        <f t="shared" si="27"/>
        <v>#N/A</v>
      </c>
      <c r="U161" s="26">
        <f>COUNTIFS(Verlauf!$B$6:$B$1000,$A161,Verlauf!$C$6:$C$1000,$B161)</f>
        <v>0</v>
      </c>
      <c r="V161" s="26">
        <f t="shared" si="28"/>
        <v>0</v>
      </c>
      <c r="W161" s="26">
        <f t="shared" si="29"/>
        <v>202928</v>
      </c>
      <c r="X161" s="26">
        <f>SUMIFS(Verlauf!$X$6:$X$1000,Verlauf!$B$6:$B$1000,$A161,Verlauf!$C$6:$C$1000,$B161)</f>
        <v>0</v>
      </c>
      <c r="Y161" s="26">
        <f>SUMIFS(Verlauf!$Y$6:$Y$1000,Verlauf!$B$6:$B$1000,$A161,Verlauf!$C$6:$C$1000,$B161)</f>
        <v>0</v>
      </c>
      <c r="Z161" s="26">
        <f>SUMIFS(Verlauf!$Z$6:$Z$1000,Verlauf!$B$6:$B$1000,$A161,Verlauf!$C$6:$C$1000,$B161)</f>
        <v>0</v>
      </c>
      <c r="AA161" s="26">
        <f>SUMIFS(Verlauf!$I$6:$I$1000,Verlauf!$B$6:$B$1000,$A161,Verlauf!$C$6:$C$1000,$B161)</f>
        <v>0</v>
      </c>
      <c r="AB161" s="26">
        <f>SUMIFS(Verlauf!$AA$6:$AA$1000,Verlauf!$B$6:$B$1000,$A161,Verlauf!$C$6:$C$1000,$B161)</f>
        <v>0</v>
      </c>
      <c r="AC161" s="26">
        <f>SUMIFS(Verlauf!$AB$6:$AB$1000,Verlauf!$B$6:$B$1000,$A161,Verlauf!$C$6:$C$1000,$B161)</f>
        <v>0</v>
      </c>
      <c r="AD161" s="26">
        <f>SUMIFS(Verlauf!$AC$6:$AC$1000,Verlauf!$B$6:$B$1000,$A161,Verlauf!$C$6:$C$1000,$B161)</f>
        <v>0</v>
      </c>
      <c r="AE161" s="26">
        <f>SUMIFS(Verlauf!$S$6:$S$1000,Verlauf!$B$6:$B$1000,$A161,Verlauf!$C$6:$C$1000,$B161)</f>
        <v>0</v>
      </c>
      <c r="AF161" s="26" t="str">
        <f>IF($AN161="","",INDEX(Verlauf!$D$6:$D$1000,MATCH($AN161,Verlauf!$A$6:$A$1000,0)))</f>
        <v/>
      </c>
      <c r="AG161" s="26" t="str">
        <f>IF($AN161="","",INDEX(Verlauf!$E$6:$E$1000,MATCH($AN161,Verlauf!$A$6:$A$1000,0)))</f>
        <v/>
      </c>
      <c r="AH161" s="26" t="str">
        <f>IF($AN161="","",INDEX(Verlauf!$F$6:$F$1000,MATCH($AN161,Verlauf!$A$6:$A$1000,0)))</f>
        <v/>
      </c>
      <c r="AI161" s="26" t="str">
        <f>IF($AN161="","",INDEX(Verlauf!$H$6:$H$1000,MATCH($AN161,Verlauf!$A$6:$A$1000,0)))</f>
        <v/>
      </c>
      <c r="AJ161" s="26" t="str">
        <f>IF($AN161="","",INDEX(Verlauf!$N$6:$N$1000,MATCH($AN161,Verlauf!$A$6:$A$1000,0)))</f>
        <v/>
      </c>
      <c r="AK161" s="26" t="str">
        <f>IF($AN161="","",INDEX(Verlauf!$O$6:$O$1000,MATCH($AN161,Verlauf!$A$6:$A$1000,0)))</f>
        <v/>
      </c>
      <c r="AL161" s="26" t="str">
        <f>IF($AN161="","",INDEX(Verlauf!$P$6:$P$1000,MATCH($AN161,Verlauf!$A$6:$A$1000,0)))</f>
        <v/>
      </c>
      <c r="AM161" s="26" t="str">
        <f>IF($AN161="","",INDEX(Verlauf!$R$6:$R$1000,MATCH($AN161,Verlauf!$A$6:$A$1000,0)))</f>
        <v/>
      </c>
      <c r="AN161" s="28" t="str">
        <f>IF(U161&gt;0,_xlfn.MAXIFS(Verlauf!$A$6:$A$1000,Verlauf!$B$6:$B$1000,$A161,Verlauf!$C$6:$C$1000,$B161),"")</f>
        <v/>
      </c>
    </row>
    <row r="162" spans="1:40" x14ac:dyDescent="0.25">
      <c r="A162" s="26">
        <v>2029</v>
      </c>
      <c r="B162" s="26">
        <v>29</v>
      </c>
      <c r="C162" s="7" t="str">
        <f t="shared" si="20"/>
        <v>KW 29/29</v>
      </c>
      <c r="D162" s="26">
        <f>SUMIFS(Verlauf!$K$6:$K$1000,Verlauf!$B$6:$B$1000,$A162,Verlauf!$C$6:$C$1000,$B162)</f>
        <v>0</v>
      </c>
      <c r="E162" s="26">
        <f>SUMIFS(Verlauf!$L$6:$L$1000,Verlauf!$B$6:$B$1000,$A162,Verlauf!$C$6:$C$1000,$B162)</f>
        <v>0</v>
      </c>
      <c r="F162" s="26">
        <f>SUMIFS(Verlauf!$M$6:$M$1000,Verlauf!$B$6:$B$1000,$A162,Verlauf!$C$6:$C$1000,$B162)</f>
        <v>0</v>
      </c>
      <c r="G162" s="26">
        <f>SUMIFS(Verlauf!$J$6:$J$1000,Verlauf!$B$6:$B$1000,$A162,Verlauf!$C$6:$C$1000,$B162)</f>
        <v>0</v>
      </c>
      <c r="H162" s="26">
        <f>SUMIFS(Verlauf!$U$6:$U$1000,Verlauf!$B$6:$B$1000,$A162,Verlauf!$C$6:$C$1000,$B162)</f>
        <v>0</v>
      </c>
      <c r="I162" s="26">
        <f>SUMIFS(Verlauf!$V$6:$V$1000,Verlauf!$B$6:$B$1000,$A162,Verlauf!$C$6:$C$1000,$B162)</f>
        <v>0</v>
      </c>
      <c r="J162" s="26">
        <f>SUMIFS(Verlauf!$W$6:$W$1000,Verlauf!$B$6:$B$1000,$A162,Verlauf!$C$6:$C$1000,$B162)</f>
        <v>0</v>
      </c>
      <c r="K162" s="26">
        <f>SUMIFS(Verlauf!$T$6:$T$1000,Verlauf!$B$6:$B$1000,$A162,Verlauf!$C$6:$C$1000,$B162)</f>
        <v>0</v>
      </c>
      <c r="L162" s="27">
        <f>IF(Filter!$T$7=TRUE,IFERROR(INDEX(Planung!$D$68:$IA$68,MATCH($W162,Wirksam!$D$6:$IA$6,0)),0),0)</f>
        <v>0</v>
      </c>
      <c r="M162" s="27">
        <f>IF(OR(Filter!$T$5=TRUE,Filter!$T$6=TRUE),IFERROR(INDEX(Planung!$D$69:$IA$69,MATCH($W162,Wirksam!$D$6:$IA$6,0)),0),0)</f>
        <v>0</v>
      </c>
      <c r="N162" s="27">
        <f t="shared" si="21"/>
        <v>0</v>
      </c>
      <c r="O162" s="27" t="e">
        <f t="shared" si="22"/>
        <v>#N/A</v>
      </c>
      <c r="P162" s="27" t="e">
        <f t="shared" si="23"/>
        <v>#N/A</v>
      </c>
      <c r="Q162" s="27" t="e">
        <f t="shared" si="24"/>
        <v>#N/A</v>
      </c>
      <c r="R162" s="27" t="e">
        <f t="shared" si="25"/>
        <v>#N/A</v>
      </c>
      <c r="S162" s="27" t="e">
        <f t="shared" si="26"/>
        <v>#N/A</v>
      </c>
      <c r="T162" s="27" t="e">
        <f t="shared" si="27"/>
        <v>#N/A</v>
      </c>
      <c r="U162" s="26">
        <f>COUNTIFS(Verlauf!$B$6:$B$1000,$A162,Verlauf!$C$6:$C$1000,$B162)</f>
        <v>0</v>
      </c>
      <c r="V162" s="26">
        <f t="shared" si="28"/>
        <v>0</v>
      </c>
      <c r="W162" s="26">
        <f t="shared" si="29"/>
        <v>202929</v>
      </c>
      <c r="X162" s="26">
        <f>SUMIFS(Verlauf!$X$6:$X$1000,Verlauf!$B$6:$B$1000,$A162,Verlauf!$C$6:$C$1000,$B162)</f>
        <v>0</v>
      </c>
      <c r="Y162" s="26">
        <f>SUMIFS(Verlauf!$Y$6:$Y$1000,Verlauf!$B$6:$B$1000,$A162,Verlauf!$C$6:$C$1000,$B162)</f>
        <v>0</v>
      </c>
      <c r="Z162" s="26">
        <f>SUMIFS(Verlauf!$Z$6:$Z$1000,Verlauf!$B$6:$B$1000,$A162,Verlauf!$C$6:$C$1000,$B162)</f>
        <v>0</v>
      </c>
      <c r="AA162" s="26">
        <f>SUMIFS(Verlauf!$I$6:$I$1000,Verlauf!$B$6:$B$1000,$A162,Verlauf!$C$6:$C$1000,$B162)</f>
        <v>0</v>
      </c>
      <c r="AB162" s="26">
        <f>SUMIFS(Verlauf!$AA$6:$AA$1000,Verlauf!$B$6:$B$1000,$A162,Verlauf!$C$6:$C$1000,$B162)</f>
        <v>0</v>
      </c>
      <c r="AC162" s="26">
        <f>SUMIFS(Verlauf!$AB$6:$AB$1000,Verlauf!$B$6:$B$1000,$A162,Verlauf!$C$6:$C$1000,$B162)</f>
        <v>0</v>
      </c>
      <c r="AD162" s="26">
        <f>SUMIFS(Verlauf!$AC$6:$AC$1000,Verlauf!$B$6:$B$1000,$A162,Verlauf!$C$6:$C$1000,$B162)</f>
        <v>0</v>
      </c>
      <c r="AE162" s="26">
        <f>SUMIFS(Verlauf!$S$6:$S$1000,Verlauf!$B$6:$B$1000,$A162,Verlauf!$C$6:$C$1000,$B162)</f>
        <v>0</v>
      </c>
      <c r="AF162" s="26" t="str">
        <f>IF($AN162="","",INDEX(Verlauf!$D$6:$D$1000,MATCH($AN162,Verlauf!$A$6:$A$1000,0)))</f>
        <v/>
      </c>
      <c r="AG162" s="26" t="str">
        <f>IF($AN162="","",INDEX(Verlauf!$E$6:$E$1000,MATCH($AN162,Verlauf!$A$6:$A$1000,0)))</f>
        <v/>
      </c>
      <c r="AH162" s="26" t="str">
        <f>IF($AN162="","",INDEX(Verlauf!$F$6:$F$1000,MATCH($AN162,Verlauf!$A$6:$A$1000,0)))</f>
        <v/>
      </c>
      <c r="AI162" s="26" t="str">
        <f>IF($AN162="","",INDEX(Verlauf!$H$6:$H$1000,MATCH($AN162,Verlauf!$A$6:$A$1000,0)))</f>
        <v/>
      </c>
      <c r="AJ162" s="26" t="str">
        <f>IF($AN162="","",INDEX(Verlauf!$N$6:$N$1000,MATCH($AN162,Verlauf!$A$6:$A$1000,0)))</f>
        <v/>
      </c>
      <c r="AK162" s="26" t="str">
        <f>IF($AN162="","",INDEX(Verlauf!$O$6:$O$1000,MATCH($AN162,Verlauf!$A$6:$A$1000,0)))</f>
        <v/>
      </c>
      <c r="AL162" s="26" t="str">
        <f>IF($AN162="","",INDEX(Verlauf!$P$6:$P$1000,MATCH($AN162,Verlauf!$A$6:$A$1000,0)))</f>
        <v/>
      </c>
      <c r="AM162" s="26" t="str">
        <f>IF($AN162="","",INDEX(Verlauf!$R$6:$R$1000,MATCH($AN162,Verlauf!$A$6:$A$1000,0)))</f>
        <v/>
      </c>
      <c r="AN162" s="28" t="str">
        <f>IF(U162&gt;0,_xlfn.MAXIFS(Verlauf!$A$6:$A$1000,Verlauf!$B$6:$B$1000,$A162,Verlauf!$C$6:$C$1000,$B162),"")</f>
        <v/>
      </c>
    </row>
    <row r="163" spans="1:40" x14ac:dyDescent="0.25">
      <c r="A163" s="26">
        <v>2029</v>
      </c>
      <c r="B163" s="26">
        <v>30</v>
      </c>
      <c r="C163" s="7" t="str">
        <f t="shared" si="20"/>
        <v>KW 30/29</v>
      </c>
      <c r="D163" s="26">
        <f>SUMIFS(Verlauf!$K$6:$K$1000,Verlauf!$B$6:$B$1000,$A163,Verlauf!$C$6:$C$1000,$B163)</f>
        <v>0</v>
      </c>
      <c r="E163" s="26">
        <f>SUMIFS(Verlauf!$L$6:$L$1000,Verlauf!$B$6:$B$1000,$A163,Verlauf!$C$6:$C$1000,$B163)</f>
        <v>0</v>
      </c>
      <c r="F163" s="26">
        <f>SUMIFS(Verlauf!$M$6:$M$1000,Verlauf!$B$6:$B$1000,$A163,Verlauf!$C$6:$C$1000,$B163)</f>
        <v>0</v>
      </c>
      <c r="G163" s="26">
        <f>SUMIFS(Verlauf!$J$6:$J$1000,Verlauf!$B$6:$B$1000,$A163,Verlauf!$C$6:$C$1000,$B163)</f>
        <v>0</v>
      </c>
      <c r="H163" s="26">
        <f>SUMIFS(Verlauf!$U$6:$U$1000,Verlauf!$B$6:$B$1000,$A163,Verlauf!$C$6:$C$1000,$B163)</f>
        <v>0</v>
      </c>
      <c r="I163" s="26">
        <f>SUMIFS(Verlauf!$V$6:$V$1000,Verlauf!$B$6:$B$1000,$A163,Verlauf!$C$6:$C$1000,$B163)</f>
        <v>0</v>
      </c>
      <c r="J163" s="26">
        <f>SUMIFS(Verlauf!$W$6:$W$1000,Verlauf!$B$6:$B$1000,$A163,Verlauf!$C$6:$C$1000,$B163)</f>
        <v>0</v>
      </c>
      <c r="K163" s="26">
        <f>SUMIFS(Verlauf!$T$6:$T$1000,Verlauf!$B$6:$B$1000,$A163,Verlauf!$C$6:$C$1000,$B163)</f>
        <v>0</v>
      </c>
      <c r="L163" s="27">
        <f>IF(Filter!$T$7=TRUE,IFERROR(INDEX(Planung!$D$68:$IA$68,MATCH($W163,Wirksam!$D$6:$IA$6,0)),0),0)</f>
        <v>0</v>
      </c>
      <c r="M163" s="27">
        <f>IF(OR(Filter!$T$5=TRUE,Filter!$T$6=TRUE),IFERROR(INDEX(Planung!$D$69:$IA$69,MATCH($W163,Wirksam!$D$6:$IA$6,0)),0),0)</f>
        <v>0</v>
      </c>
      <c r="N163" s="27">
        <f t="shared" si="21"/>
        <v>0</v>
      </c>
      <c r="O163" s="27" t="e">
        <f t="shared" si="22"/>
        <v>#N/A</v>
      </c>
      <c r="P163" s="27" t="e">
        <f t="shared" si="23"/>
        <v>#N/A</v>
      </c>
      <c r="Q163" s="27" t="e">
        <f t="shared" si="24"/>
        <v>#N/A</v>
      </c>
      <c r="R163" s="27" t="e">
        <f t="shared" si="25"/>
        <v>#N/A</v>
      </c>
      <c r="S163" s="27" t="e">
        <f t="shared" si="26"/>
        <v>#N/A</v>
      </c>
      <c r="T163" s="27" t="e">
        <f t="shared" si="27"/>
        <v>#N/A</v>
      </c>
      <c r="U163" s="26">
        <f>COUNTIFS(Verlauf!$B$6:$B$1000,$A163,Verlauf!$C$6:$C$1000,$B163)</f>
        <v>0</v>
      </c>
      <c r="V163" s="26">
        <f t="shared" si="28"/>
        <v>0</v>
      </c>
      <c r="W163" s="26">
        <f t="shared" si="29"/>
        <v>202930</v>
      </c>
      <c r="X163" s="26">
        <f>SUMIFS(Verlauf!$X$6:$X$1000,Verlauf!$B$6:$B$1000,$A163,Verlauf!$C$6:$C$1000,$B163)</f>
        <v>0</v>
      </c>
      <c r="Y163" s="26">
        <f>SUMIFS(Verlauf!$Y$6:$Y$1000,Verlauf!$B$6:$B$1000,$A163,Verlauf!$C$6:$C$1000,$B163)</f>
        <v>0</v>
      </c>
      <c r="Z163" s="26">
        <f>SUMIFS(Verlauf!$Z$6:$Z$1000,Verlauf!$B$6:$B$1000,$A163,Verlauf!$C$6:$C$1000,$B163)</f>
        <v>0</v>
      </c>
      <c r="AA163" s="26">
        <f>SUMIFS(Verlauf!$I$6:$I$1000,Verlauf!$B$6:$B$1000,$A163,Verlauf!$C$6:$C$1000,$B163)</f>
        <v>0</v>
      </c>
      <c r="AB163" s="26">
        <f>SUMIFS(Verlauf!$AA$6:$AA$1000,Verlauf!$B$6:$B$1000,$A163,Verlauf!$C$6:$C$1000,$B163)</f>
        <v>0</v>
      </c>
      <c r="AC163" s="26">
        <f>SUMIFS(Verlauf!$AB$6:$AB$1000,Verlauf!$B$6:$B$1000,$A163,Verlauf!$C$6:$C$1000,$B163)</f>
        <v>0</v>
      </c>
      <c r="AD163" s="26">
        <f>SUMIFS(Verlauf!$AC$6:$AC$1000,Verlauf!$B$6:$B$1000,$A163,Verlauf!$C$6:$C$1000,$B163)</f>
        <v>0</v>
      </c>
      <c r="AE163" s="26">
        <f>SUMIFS(Verlauf!$S$6:$S$1000,Verlauf!$B$6:$B$1000,$A163,Verlauf!$C$6:$C$1000,$B163)</f>
        <v>0</v>
      </c>
      <c r="AF163" s="26" t="str">
        <f>IF($AN163="","",INDEX(Verlauf!$D$6:$D$1000,MATCH($AN163,Verlauf!$A$6:$A$1000,0)))</f>
        <v/>
      </c>
      <c r="AG163" s="26" t="str">
        <f>IF($AN163="","",INDEX(Verlauf!$E$6:$E$1000,MATCH($AN163,Verlauf!$A$6:$A$1000,0)))</f>
        <v/>
      </c>
      <c r="AH163" s="26" t="str">
        <f>IF($AN163="","",INDEX(Verlauf!$F$6:$F$1000,MATCH($AN163,Verlauf!$A$6:$A$1000,0)))</f>
        <v/>
      </c>
      <c r="AI163" s="26" t="str">
        <f>IF($AN163="","",INDEX(Verlauf!$H$6:$H$1000,MATCH($AN163,Verlauf!$A$6:$A$1000,0)))</f>
        <v/>
      </c>
      <c r="AJ163" s="26" t="str">
        <f>IF($AN163="","",INDEX(Verlauf!$N$6:$N$1000,MATCH($AN163,Verlauf!$A$6:$A$1000,0)))</f>
        <v/>
      </c>
      <c r="AK163" s="26" t="str">
        <f>IF($AN163="","",INDEX(Verlauf!$O$6:$O$1000,MATCH($AN163,Verlauf!$A$6:$A$1000,0)))</f>
        <v/>
      </c>
      <c r="AL163" s="26" t="str">
        <f>IF($AN163="","",INDEX(Verlauf!$P$6:$P$1000,MATCH($AN163,Verlauf!$A$6:$A$1000,0)))</f>
        <v/>
      </c>
      <c r="AM163" s="26" t="str">
        <f>IF($AN163="","",INDEX(Verlauf!$R$6:$R$1000,MATCH($AN163,Verlauf!$A$6:$A$1000,0)))</f>
        <v/>
      </c>
      <c r="AN163" s="28" t="str">
        <f>IF(U163&gt;0,_xlfn.MAXIFS(Verlauf!$A$6:$A$1000,Verlauf!$B$6:$B$1000,$A163,Verlauf!$C$6:$C$1000,$B163),"")</f>
        <v/>
      </c>
    </row>
    <row r="164" spans="1:40" x14ac:dyDescent="0.25">
      <c r="A164" s="26">
        <v>2029</v>
      </c>
      <c r="B164" s="26">
        <v>31</v>
      </c>
      <c r="C164" s="7" t="str">
        <f t="shared" si="20"/>
        <v>KW 31/29</v>
      </c>
      <c r="D164" s="26">
        <f>SUMIFS(Verlauf!$K$6:$K$1000,Verlauf!$B$6:$B$1000,$A164,Verlauf!$C$6:$C$1000,$B164)</f>
        <v>0</v>
      </c>
      <c r="E164" s="26">
        <f>SUMIFS(Verlauf!$L$6:$L$1000,Verlauf!$B$6:$B$1000,$A164,Verlauf!$C$6:$C$1000,$B164)</f>
        <v>0</v>
      </c>
      <c r="F164" s="26">
        <f>SUMIFS(Verlauf!$M$6:$M$1000,Verlauf!$B$6:$B$1000,$A164,Verlauf!$C$6:$C$1000,$B164)</f>
        <v>0</v>
      </c>
      <c r="G164" s="26">
        <f>SUMIFS(Verlauf!$J$6:$J$1000,Verlauf!$B$6:$B$1000,$A164,Verlauf!$C$6:$C$1000,$B164)</f>
        <v>0</v>
      </c>
      <c r="H164" s="26">
        <f>SUMIFS(Verlauf!$U$6:$U$1000,Verlauf!$B$6:$B$1000,$A164,Verlauf!$C$6:$C$1000,$B164)</f>
        <v>0</v>
      </c>
      <c r="I164" s="26">
        <f>SUMIFS(Verlauf!$V$6:$V$1000,Verlauf!$B$6:$B$1000,$A164,Verlauf!$C$6:$C$1000,$B164)</f>
        <v>0</v>
      </c>
      <c r="J164" s="26">
        <f>SUMIFS(Verlauf!$W$6:$W$1000,Verlauf!$B$6:$B$1000,$A164,Verlauf!$C$6:$C$1000,$B164)</f>
        <v>0</v>
      </c>
      <c r="K164" s="26">
        <f>SUMIFS(Verlauf!$T$6:$T$1000,Verlauf!$B$6:$B$1000,$A164,Verlauf!$C$6:$C$1000,$B164)</f>
        <v>0</v>
      </c>
      <c r="L164" s="27">
        <f>IF(Filter!$T$7=TRUE,IFERROR(INDEX(Planung!$D$68:$IA$68,MATCH($W164,Wirksam!$D$6:$IA$6,0)),0),0)</f>
        <v>0</v>
      </c>
      <c r="M164" s="27">
        <f>IF(OR(Filter!$T$5=TRUE,Filter!$T$6=TRUE),IFERROR(INDEX(Planung!$D$69:$IA$69,MATCH($W164,Wirksam!$D$6:$IA$6,0)),0),0)</f>
        <v>0</v>
      </c>
      <c r="N164" s="27">
        <f t="shared" si="21"/>
        <v>0</v>
      </c>
      <c r="O164" s="27" t="e">
        <f t="shared" si="22"/>
        <v>#N/A</v>
      </c>
      <c r="P164" s="27" t="e">
        <f t="shared" si="23"/>
        <v>#N/A</v>
      </c>
      <c r="Q164" s="27" t="e">
        <f t="shared" si="24"/>
        <v>#N/A</v>
      </c>
      <c r="R164" s="27" t="e">
        <f t="shared" si="25"/>
        <v>#N/A</v>
      </c>
      <c r="S164" s="27" t="e">
        <f t="shared" si="26"/>
        <v>#N/A</v>
      </c>
      <c r="T164" s="27" t="e">
        <f t="shared" si="27"/>
        <v>#N/A</v>
      </c>
      <c r="U164" s="26">
        <f>COUNTIFS(Verlauf!$B$6:$B$1000,$A164,Verlauf!$C$6:$C$1000,$B164)</f>
        <v>0</v>
      </c>
      <c r="V164" s="26">
        <f t="shared" si="28"/>
        <v>0</v>
      </c>
      <c r="W164" s="26">
        <f t="shared" si="29"/>
        <v>202931</v>
      </c>
      <c r="X164" s="26">
        <f>SUMIFS(Verlauf!$X$6:$X$1000,Verlauf!$B$6:$B$1000,$A164,Verlauf!$C$6:$C$1000,$B164)</f>
        <v>0</v>
      </c>
      <c r="Y164" s="26">
        <f>SUMIFS(Verlauf!$Y$6:$Y$1000,Verlauf!$B$6:$B$1000,$A164,Verlauf!$C$6:$C$1000,$B164)</f>
        <v>0</v>
      </c>
      <c r="Z164" s="26">
        <f>SUMIFS(Verlauf!$Z$6:$Z$1000,Verlauf!$B$6:$B$1000,$A164,Verlauf!$C$6:$C$1000,$B164)</f>
        <v>0</v>
      </c>
      <c r="AA164" s="26">
        <f>SUMIFS(Verlauf!$I$6:$I$1000,Verlauf!$B$6:$B$1000,$A164,Verlauf!$C$6:$C$1000,$B164)</f>
        <v>0</v>
      </c>
      <c r="AB164" s="26">
        <f>SUMIFS(Verlauf!$AA$6:$AA$1000,Verlauf!$B$6:$B$1000,$A164,Verlauf!$C$6:$C$1000,$B164)</f>
        <v>0</v>
      </c>
      <c r="AC164" s="26">
        <f>SUMIFS(Verlauf!$AB$6:$AB$1000,Verlauf!$B$6:$B$1000,$A164,Verlauf!$C$6:$C$1000,$B164)</f>
        <v>0</v>
      </c>
      <c r="AD164" s="26">
        <f>SUMIFS(Verlauf!$AC$6:$AC$1000,Verlauf!$B$6:$B$1000,$A164,Verlauf!$C$6:$C$1000,$B164)</f>
        <v>0</v>
      </c>
      <c r="AE164" s="26">
        <f>SUMIFS(Verlauf!$S$6:$S$1000,Verlauf!$B$6:$B$1000,$A164,Verlauf!$C$6:$C$1000,$B164)</f>
        <v>0</v>
      </c>
      <c r="AF164" s="26" t="str">
        <f>IF($AN164="","",INDEX(Verlauf!$D$6:$D$1000,MATCH($AN164,Verlauf!$A$6:$A$1000,0)))</f>
        <v/>
      </c>
      <c r="AG164" s="26" t="str">
        <f>IF($AN164="","",INDEX(Verlauf!$E$6:$E$1000,MATCH($AN164,Verlauf!$A$6:$A$1000,0)))</f>
        <v/>
      </c>
      <c r="AH164" s="26" t="str">
        <f>IF($AN164="","",INDEX(Verlauf!$F$6:$F$1000,MATCH($AN164,Verlauf!$A$6:$A$1000,0)))</f>
        <v/>
      </c>
      <c r="AI164" s="26" t="str">
        <f>IF($AN164="","",INDEX(Verlauf!$H$6:$H$1000,MATCH($AN164,Verlauf!$A$6:$A$1000,0)))</f>
        <v/>
      </c>
      <c r="AJ164" s="26" t="str">
        <f>IF($AN164="","",INDEX(Verlauf!$N$6:$N$1000,MATCH($AN164,Verlauf!$A$6:$A$1000,0)))</f>
        <v/>
      </c>
      <c r="AK164" s="26" t="str">
        <f>IF($AN164="","",INDEX(Verlauf!$O$6:$O$1000,MATCH($AN164,Verlauf!$A$6:$A$1000,0)))</f>
        <v/>
      </c>
      <c r="AL164" s="26" t="str">
        <f>IF($AN164="","",INDEX(Verlauf!$P$6:$P$1000,MATCH($AN164,Verlauf!$A$6:$A$1000,0)))</f>
        <v/>
      </c>
      <c r="AM164" s="26" t="str">
        <f>IF($AN164="","",INDEX(Verlauf!$R$6:$R$1000,MATCH($AN164,Verlauf!$A$6:$A$1000,0)))</f>
        <v/>
      </c>
      <c r="AN164" s="28" t="str">
        <f>IF(U164&gt;0,_xlfn.MAXIFS(Verlauf!$A$6:$A$1000,Verlauf!$B$6:$B$1000,$A164,Verlauf!$C$6:$C$1000,$B164),"")</f>
        <v/>
      </c>
    </row>
    <row r="165" spans="1:40" x14ac:dyDescent="0.25">
      <c r="A165" s="26">
        <v>2029</v>
      </c>
      <c r="B165" s="26">
        <v>32</v>
      </c>
      <c r="C165" s="7" t="str">
        <f t="shared" si="20"/>
        <v>KW 32/29</v>
      </c>
      <c r="D165" s="26">
        <f>SUMIFS(Verlauf!$K$6:$K$1000,Verlauf!$B$6:$B$1000,$A165,Verlauf!$C$6:$C$1000,$B165)</f>
        <v>0</v>
      </c>
      <c r="E165" s="26">
        <f>SUMIFS(Verlauf!$L$6:$L$1000,Verlauf!$B$6:$B$1000,$A165,Verlauf!$C$6:$C$1000,$B165)</f>
        <v>0</v>
      </c>
      <c r="F165" s="26">
        <f>SUMIFS(Verlauf!$M$6:$M$1000,Verlauf!$B$6:$B$1000,$A165,Verlauf!$C$6:$C$1000,$B165)</f>
        <v>0</v>
      </c>
      <c r="G165" s="26">
        <f>SUMIFS(Verlauf!$J$6:$J$1000,Verlauf!$B$6:$B$1000,$A165,Verlauf!$C$6:$C$1000,$B165)</f>
        <v>0</v>
      </c>
      <c r="H165" s="26">
        <f>SUMIFS(Verlauf!$U$6:$U$1000,Verlauf!$B$6:$B$1000,$A165,Verlauf!$C$6:$C$1000,$B165)</f>
        <v>0</v>
      </c>
      <c r="I165" s="26">
        <f>SUMIFS(Verlauf!$V$6:$V$1000,Verlauf!$B$6:$B$1000,$A165,Verlauf!$C$6:$C$1000,$B165)</f>
        <v>0</v>
      </c>
      <c r="J165" s="26">
        <f>SUMIFS(Verlauf!$W$6:$W$1000,Verlauf!$B$6:$B$1000,$A165,Verlauf!$C$6:$C$1000,$B165)</f>
        <v>0</v>
      </c>
      <c r="K165" s="26">
        <f>SUMIFS(Verlauf!$T$6:$T$1000,Verlauf!$B$6:$B$1000,$A165,Verlauf!$C$6:$C$1000,$B165)</f>
        <v>0</v>
      </c>
      <c r="L165" s="27">
        <f>IF(Filter!$T$7=TRUE,IFERROR(INDEX(Planung!$D$68:$IA$68,MATCH($W165,Wirksam!$D$6:$IA$6,0)),0),0)</f>
        <v>0</v>
      </c>
      <c r="M165" s="27">
        <f>IF(OR(Filter!$T$5=TRUE,Filter!$T$6=TRUE),IFERROR(INDEX(Planung!$D$69:$IA$69,MATCH($W165,Wirksam!$D$6:$IA$6,0)),0),0)</f>
        <v>0</v>
      </c>
      <c r="N165" s="27">
        <f t="shared" si="21"/>
        <v>0</v>
      </c>
      <c r="O165" s="27" t="e">
        <f t="shared" si="22"/>
        <v>#N/A</v>
      </c>
      <c r="P165" s="27" t="e">
        <f t="shared" si="23"/>
        <v>#N/A</v>
      </c>
      <c r="Q165" s="27" t="e">
        <f t="shared" si="24"/>
        <v>#N/A</v>
      </c>
      <c r="R165" s="27" t="e">
        <f t="shared" si="25"/>
        <v>#N/A</v>
      </c>
      <c r="S165" s="27" t="e">
        <f t="shared" si="26"/>
        <v>#N/A</v>
      </c>
      <c r="T165" s="27" t="e">
        <f t="shared" si="27"/>
        <v>#N/A</v>
      </c>
      <c r="U165" s="26">
        <f>COUNTIFS(Verlauf!$B$6:$B$1000,$A165,Verlauf!$C$6:$C$1000,$B165)</f>
        <v>0</v>
      </c>
      <c r="V165" s="26">
        <f t="shared" si="28"/>
        <v>0</v>
      </c>
      <c r="W165" s="26">
        <f t="shared" si="29"/>
        <v>202932</v>
      </c>
      <c r="X165" s="26">
        <f>SUMIFS(Verlauf!$X$6:$X$1000,Verlauf!$B$6:$B$1000,$A165,Verlauf!$C$6:$C$1000,$B165)</f>
        <v>0</v>
      </c>
      <c r="Y165" s="26">
        <f>SUMIFS(Verlauf!$Y$6:$Y$1000,Verlauf!$B$6:$B$1000,$A165,Verlauf!$C$6:$C$1000,$B165)</f>
        <v>0</v>
      </c>
      <c r="Z165" s="26">
        <f>SUMIFS(Verlauf!$Z$6:$Z$1000,Verlauf!$B$6:$B$1000,$A165,Verlauf!$C$6:$C$1000,$B165)</f>
        <v>0</v>
      </c>
      <c r="AA165" s="26">
        <f>SUMIFS(Verlauf!$I$6:$I$1000,Verlauf!$B$6:$B$1000,$A165,Verlauf!$C$6:$C$1000,$B165)</f>
        <v>0</v>
      </c>
      <c r="AB165" s="26">
        <f>SUMIFS(Verlauf!$AA$6:$AA$1000,Verlauf!$B$6:$B$1000,$A165,Verlauf!$C$6:$C$1000,$B165)</f>
        <v>0</v>
      </c>
      <c r="AC165" s="26">
        <f>SUMIFS(Verlauf!$AB$6:$AB$1000,Verlauf!$B$6:$B$1000,$A165,Verlauf!$C$6:$C$1000,$B165)</f>
        <v>0</v>
      </c>
      <c r="AD165" s="26">
        <f>SUMIFS(Verlauf!$AC$6:$AC$1000,Verlauf!$B$6:$B$1000,$A165,Verlauf!$C$6:$C$1000,$B165)</f>
        <v>0</v>
      </c>
      <c r="AE165" s="26">
        <f>SUMIFS(Verlauf!$S$6:$S$1000,Verlauf!$B$6:$B$1000,$A165,Verlauf!$C$6:$C$1000,$B165)</f>
        <v>0</v>
      </c>
      <c r="AF165" s="26" t="str">
        <f>IF($AN165="","",INDEX(Verlauf!$D$6:$D$1000,MATCH($AN165,Verlauf!$A$6:$A$1000,0)))</f>
        <v/>
      </c>
      <c r="AG165" s="26" t="str">
        <f>IF($AN165="","",INDEX(Verlauf!$E$6:$E$1000,MATCH($AN165,Verlauf!$A$6:$A$1000,0)))</f>
        <v/>
      </c>
      <c r="AH165" s="26" t="str">
        <f>IF($AN165="","",INDEX(Verlauf!$F$6:$F$1000,MATCH($AN165,Verlauf!$A$6:$A$1000,0)))</f>
        <v/>
      </c>
      <c r="AI165" s="26" t="str">
        <f>IF($AN165="","",INDEX(Verlauf!$H$6:$H$1000,MATCH($AN165,Verlauf!$A$6:$A$1000,0)))</f>
        <v/>
      </c>
      <c r="AJ165" s="26" t="str">
        <f>IF($AN165="","",INDEX(Verlauf!$N$6:$N$1000,MATCH($AN165,Verlauf!$A$6:$A$1000,0)))</f>
        <v/>
      </c>
      <c r="AK165" s="26" t="str">
        <f>IF($AN165="","",INDEX(Verlauf!$O$6:$O$1000,MATCH($AN165,Verlauf!$A$6:$A$1000,0)))</f>
        <v/>
      </c>
      <c r="AL165" s="26" t="str">
        <f>IF($AN165="","",INDEX(Verlauf!$P$6:$P$1000,MATCH($AN165,Verlauf!$A$6:$A$1000,0)))</f>
        <v/>
      </c>
      <c r="AM165" s="26" t="str">
        <f>IF($AN165="","",INDEX(Verlauf!$R$6:$R$1000,MATCH($AN165,Verlauf!$A$6:$A$1000,0)))</f>
        <v/>
      </c>
      <c r="AN165" s="28" t="str">
        <f>IF(U165&gt;0,_xlfn.MAXIFS(Verlauf!$A$6:$A$1000,Verlauf!$B$6:$B$1000,$A165,Verlauf!$C$6:$C$1000,$B165),"")</f>
        <v/>
      </c>
    </row>
    <row r="166" spans="1:40" x14ac:dyDescent="0.25">
      <c r="A166" s="26">
        <v>2029</v>
      </c>
      <c r="B166" s="26">
        <v>33</v>
      </c>
      <c r="C166" s="7" t="str">
        <f t="shared" si="20"/>
        <v>KW 33/29</v>
      </c>
      <c r="D166" s="26">
        <f>SUMIFS(Verlauf!$K$6:$K$1000,Verlauf!$B$6:$B$1000,$A166,Verlauf!$C$6:$C$1000,$B166)</f>
        <v>0</v>
      </c>
      <c r="E166" s="26">
        <f>SUMIFS(Verlauf!$L$6:$L$1000,Verlauf!$B$6:$B$1000,$A166,Verlauf!$C$6:$C$1000,$B166)</f>
        <v>0</v>
      </c>
      <c r="F166" s="26">
        <f>SUMIFS(Verlauf!$M$6:$M$1000,Verlauf!$B$6:$B$1000,$A166,Verlauf!$C$6:$C$1000,$B166)</f>
        <v>0</v>
      </c>
      <c r="G166" s="26">
        <f>SUMIFS(Verlauf!$J$6:$J$1000,Verlauf!$B$6:$B$1000,$A166,Verlauf!$C$6:$C$1000,$B166)</f>
        <v>0</v>
      </c>
      <c r="H166" s="26">
        <f>SUMIFS(Verlauf!$U$6:$U$1000,Verlauf!$B$6:$B$1000,$A166,Verlauf!$C$6:$C$1000,$B166)</f>
        <v>0</v>
      </c>
      <c r="I166" s="26">
        <f>SUMIFS(Verlauf!$V$6:$V$1000,Verlauf!$B$6:$B$1000,$A166,Verlauf!$C$6:$C$1000,$B166)</f>
        <v>0</v>
      </c>
      <c r="J166" s="26">
        <f>SUMIFS(Verlauf!$W$6:$W$1000,Verlauf!$B$6:$B$1000,$A166,Verlauf!$C$6:$C$1000,$B166)</f>
        <v>0</v>
      </c>
      <c r="K166" s="26">
        <f>SUMIFS(Verlauf!$T$6:$T$1000,Verlauf!$B$6:$B$1000,$A166,Verlauf!$C$6:$C$1000,$B166)</f>
        <v>0</v>
      </c>
      <c r="L166" s="27">
        <f>IF(Filter!$T$7=TRUE,IFERROR(INDEX(Planung!$D$68:$IA$68,MATCH($W166,Wirksam!$D$6:$IA$6,0)),0),0)</f>
        <v>0</v>
      </c>
      <c r="M166" s="27">
        <f>IF(OR(Filter!$T$5=TRUE,Filter!$T$6=TRUE),IFERROR(INDEX(Planung!$D$69:$IA$69,MATCH($W166,Wirksam!$D$6:$IA$6,0)),0),0)</f>
        <v>0</v>
      </c>
      <c r="N166" s="27">
        <f t="shared" si="21"/>
        <v>0</v>
      </c>
      <c r="O166" s="27" t="e">
        <f t="shared" si="22"/>
        <v>#N/A</v>
      </c>
      <c r="P166" s="27" t="e">
        <f t="shared" si="23"/>
        <v>#N/A</v>
      </c>
      <c r="Q166" s="27" t="e">
        <f t="shared" si="24"/>
        <v>#N/A</v>
      </c>
      <c r="R166" s="27" t="e">
        <f t="shared" si="25"/>
        <v>#N/A</v>
      </c>
      <c r="S166" s="27" t="e">
        <f t="shared" si="26"/>
        <v>#N/A</v>
      </c>
      <c r="T166" s="27" t="e">
        <f t="shared" si="27"/>
        <v>#N/A</v>
      </c>
      <c r="U166" s="26">
        <f>COUNTIFS(Verlauf!$B$6:$B$1000,$A166,Verlauf!$C$6:$C$1000,$B166)</f>
        <v>0</v>
      </c>
      <c r="V166" s="26">
        <f t="shared" si="28"/>
        <v>0</v>
      </c>
      <c r="W166" s="26">
        <f t="shared" si="29"/>
        <v>202933</v>
      </c>
      <c r="X166" s="26">
        <f>SUMIFS(Verlauf!$X$6:$X$1000,Verlauf!$B$6:$B$1000,$A166,Verlauf!$C$6:$C$1000,$B166)</f>
        <v>0</v>
      </c>
      <c r="Y166" s="26">
        <f>SUMIFS(Verlauf!$Y$6:$Y$1000,Verlauf!$B$6:$B$1000,$A166,Verlauf!$C$6:$C$1000,$B166)</f>
        <v>0</v>
      </c>
      <c r="Z166" s="26">
        <f>SUMIFS(Verlauf!$Z$6:$Z$1000,Verlauf!$B$6:$B$1000,$A166,Verlauf!$C$6:$C$1000,$B166)</f>
        <v>0</v>
      </c>
      <c r="AA166" s="26">
        <f>SUMIFS(Verlauf!$I$6:$I$1000,Verlauf!$B$6:$B$1000,$A166,Verlauf!$C$6:$C$1000,$B166)</f>
        <v>0</v>
      </c>
      <c r="AB166" s="26">
        <f>SUMIFS(Verlauf!$AA$6:$AA$1000,Verlauf!$B$6:$B$1000,$A166,Verlauf!$C$6:$C$1000,$B166)</f>
        <v>0</v>
      </c>
      <c r="AC166" s="26">
        <f>SUMIFS(Verlauf!$AB$6:$AB$1000,Verlauf!$B$6:$B$1000,$A166,Verlauf!$C$6:$C$1000,$B166)</f>
        <v>0</v>
      </c>
      <c r="AD166" s="26">
        <f>SUMIFS(Verlauf!$AC$6:$AC$1000,Verlauf!$B$6:$B$1000,$A166,Verlauf!$C$6:$C$1000,$B166)</f>
        <v>0</v>
      </c>
      <c r="AE166" s="26">
        <f>SUMIFS(Verlauf!$S$6:$S$1000,Verlauf!$B$6:$B$1000,$A166,Verlauf!$C$6:$C$1000,$B166)</f>
        <v>0</v>
      </c>
      <c r="AF166" s="26" t="str">
        <f>IF($AN166="","",INDEX(Verlauf!$D$6:$D$1000,MATCH($AN166,Verlauf!$A$6:$A$1000,0)))</f>
        <v/>
      </c>
      <c r="AG166" s="26" t="str">
        <f>IF($AN166="","",INDEX(Verlauf!$E$6:$E$1000,MATCH($AN166,Verlauf!$A$6:$A$1000,0)))</f>
        <v/>
      </c>
      <c r="AH166" s="26" t="str">
        <f>IF($AN166="","",INDEX(Verlauf!$F$6:$F$1000,MATCH($AN166,Verlauf!$A$6:$A$1000,0)))</f>
        <v/>
      </c>
      <c r="AI166" s="26" t="str">
        <f>IF($AN166="","",INDEX(Verlauf!$H$6:$H$1000,MATCH($AN166,Verlauf!$A$6:$A$1000,0)))</f>
        <v/>
      </c>
      <c r="AJ166" s="26" t="str">
        <f>IF($AN166="","",INDEX(Verlauf!$N$6:$N$1000,MATCH($AN166,Verlauf!$A$6:$A$1000,0)))</f>
        <v/>
      </c>
      <c r="AK166" s="26" t="str">
        <f>IF($AN166="","",INDEX(Verlauf!$O$6:$O$1000,MATCH($AN166,Verlauf!$A$6:$A$1000,0)))</f>
        <v/>
      </c>
      <c r="AL166" s="26" t="str">
        <f>IF($AN166="","",INDEX(Verlauf!$P$6:$P$1000,MATCH($AN166,Verlauf!$A$6:$A$1000,0)))</f>
        <v/>
      </c>
      <c r="AM166" s="26" t="str">
        <f>IF($AN166="","",INDEX(Verlauf!$R$6:$R$1000,MATCH($AN166,Verlauf!$A$6:$A$1000,0)))</f>
        <v/>
      </c>
      <c r="AN166" s="28" t="str">
        <f>IF(U166&gt;0,_xlfn.MAXIFS(Verlauf!$A$6:$A$1000,Verlauf!$B$6:$B$1000,$A166,Verlauf!$C$6:$C$1000,$B166),"")</f>
        <v/>
      </c>
    </row>
    <row r="167" spans="1:40" x14ac:dyDescent="0.25">
      <c r="A167" s="26">
        <v>2029</v>
      </c>
      <c r="B167" s="26">
        <v>34</v>
      </c>
      <c r="C167" s="7" t="str">
        <f t="shared" si="20"/>
        <v>KW 34/29</v>
      </c>
      <c r="D167" s="26">
        <f>SUMIFS(Verlauf!$K$6:$K$1000,Verlauf!$B$6:$B$1000,$A167,Verlauf!$C$6:$C$1000,$B167)</f>
        <v>0</v>
      </c>
      <c r="E167" s="26">
        <f>SUMIFS(Verlauf!$L$6:$L$1000,Verlauf!$B$6:$B$1000,$A167,Verlauf!$C$6:$C$1000,$B167)</f>
        <v>0</v>
      </c>
      <c r="F167" s="26">
        <f>SUMIFS(Verlauf!$M$6:$M$1000,Verlauf!$B$6:$B$1000,$A167,Verlauf!$C$6:$C$1000,$B167)</f>
        <v>0</v>
      </c>
      <c r="G167" s="26">
        <f>SUMIFS(Verlauf!$J$6:$J$1000,Verlauf!$B$6:$B$1000,$A167,Verlauf!$C$6:$C$1000,$B167)</f>
        <v>0</v>
      </c>
      <c r="H167" s="26">
        <f>SUMIFS(Verlauf!$U$6:$U$1000,Verlauf!$B$6:$B$1000,$A167,Verlauf!$C$6:$C$1000,$B167)</f>
        <v>0</v>
      </c>
      <c r="I167" s="26">
        <f>SUMIFS(Verlauf!$V$6:$V$1000,Verlauf!$B$6:$B$1000,$A167,Verlauf!$C$6:$C$1000,$B167)</f>
        <v>0</v>
      </c>
      <c r="J167" s="26">
        <f>SUMIFS(Verlauf!$W$6:$W$1000,Verlauf!$B$6:$B$1000,$A167,Verlauf!$C$6:$C$1000,$B167)</f>
        <v>0</v>
      </c>
      <c r="K167" s="26">
        <f>SUMIFS(Verlauf!$T$6:$T$1000,Verlauf!$B$6:$B$1000,$A167,Verlauf!$C$6:$C$1000,$B167)</f>
        <v>0</v>
      </c>
      <c r="L167" s="27">
        <f>IF(Filter!$T$7=TRUE,IFERROR(INDEX(Planung!$D$68:$IA$68,MATCH($W167,Wirksam!$D$6:$IA$6,0)),0),0)</f>
        <v>0</v>
      </c>
      <c r="M167" s="27">
        <f>IF(OR(Filter!$T$5=TRUE,Filter!$T$6=TRUE),IFERROR(INDEX(Planung!$D$69:$IA$69,MATCH($W167,Wirksam!$D$6:$IA$6,0)),0),0)</f>
        <v>0</v>
      </c>
      <c r="N167" s="27">
        <f t="shared" si="21"/>
        <v>0</v>
      </c>
      <c r="O167" s="27" t="e">
        <f t="shared" si="22"/>
        <v>#N/A</v>
      </c>
      <c r="P167" s="27" t="e">
        <f t="shared" si="23"/>
        <v>#N/A</v>
      </c>
      <c r="Q167" s="27" t="e">
        <f t="shared" si="24"/>
        <v>#N/A</v>
      </c>
      <c r="R167" s="27" t="e">
        <f t="shared" si="25"/>
        <v>#N/A</v>
      </c>
      <c r="S167" s="27" t="e">
        <f t="shared" si="26"/>
        <v>#N/A</v>
      </c>
      <c r="T167" s="27" t="e">
        <f t="shared" si="27"/>
        <v>#N/A</v>
      </c>
      <c r="U167" s="26">
        <f>COUNTIFS(Verlauf!$B$6:$B$1000,$A167,Verlauf!$C$6:$C$1000,$B167)</f>
        <v>0</v>
      </c>
      <c r="V167" s="26">
        <f t="shared" si="28"/>
        <v>0</v>
      </c>
      <c r="W167" s="26">
        <f t="shared" si="29"/>
        <v>202934</v>
      </c>
      <c r="X167" s="26">
        <f>SUMIFS(Verlauf!$X$6:$X$1000,Verlauf!$B$6:$B$1000,$A167,Verlauf!$C$6:$C$1000,$B167)</f>
        <v>0</v>
      </c>
      <c r="Y167" s="26">
        <f>SUMIFS(Verlauf!$Y$6:$Y$1000,Verlauf!$B$6:$B$1000,$A167,Verlauf!$C$6:$C$1000,$B167)</f>
        <v>0</v>
      </c>
      <c r="Z167" s="26">
        <f>SUMIFS(Verlauf!$Z$6:$Z$1000,Verlauf!$B$6:$B$1000,$A167,Verlauf!$C$6:$C$1000,$B167)</f>
        <v>0</v>
      </c>
      <c r="AA167" s="26">
        <f>SUMIFS(Verlauf!$I$6:$I$1000,Verlauf!$B$6:$B$1000,$A167,Verlauf!$C$6:$C$1000,$B167)</f>
        <v>0</v>
      </c>
      <c r="AB167" s="26">
        <f>SUMIFS(Verlauf!$AA$6:$AA$1000,Verlauf!$B$6:$B$1000,$A167,Verlauf!$C$6:$C$1000,$B167)</f>
        <v>0</v>
      </c>
      <c r="AC167" s="26">
        <f>SUMIFS(Verlauf!$AB$6:$AB$1000,Verlauf!$B$6:$B$1000,$A167,Verlauf!$C$6:$C$1000,$B167)</f>
        <v>0</v>
      </c>
      <c r="AD167" s="26">
        <f>SUMIFS(Verlauf!$AC$6:$AC$1000,Verlauf!$B$6:$B$1000,$A167,Verlauf!$C$6:$C$1000,$B167)</f>
        <v>0</v>
      </c>
      <c r="AE167" s="26">
        <f>SUMIFS(Verlauf!$S$6:$S$1000,Verlauf!$B$6:$B$1000,$A167,Verlauf!$C$6:$C$1000,$B167)</f>
        <v>0</v>
      </c>
      <c r="AF167" s="26" t="str">
        <f>IF($AN167="","",INDEX(Verlauf!$D$6:$D$1000,MATCH($AN167,Verlauf!$A$6:$A$1000,0)))</f>
        <v/>
      </c>
      <c r="AG167" s="26" t="str">
        <f>IF($AN167="","",INDEX(Verlauf!$E$6:$E$1000,MATCH($AN167,Verlauf!$A$6:$A$1000,0)))</f>
        <v/>
      </c>
      <c r="AH167" s="26" t="str">
        <f>IF($AN167="","",INDEX(Verlauf!$F$6:$F$1000,MATCH($AN167,Verlauf!$A$6:$A$1000,0)))</f>
        <v/>
      </c>
      <c r="AI167" s="26" t="str">
        <f>IF($AN167="","",INDEX(Verlauf!$H$6:$H$1000,MATCH($AN167,Verlauf!$A$6:$A$1000,0)))</f>
        <v/>
      </c>
      <c r="AJ167" s="26" t="str">
        <f>IF($AN167="","",INDEX(Verlauf!$N$6:$N$1000,MATCH($AN167,Verlauf!$A$6:$A$1000,0)))</f>
        <v/>
      </c>
      <c r="AK167" s="26" t="str">
        <f>IF($AN167="","",INDEX(Verlauf!$O$6:$O$1000,MATCH($AN167,Verlauf!$A$6:$A$1000,0)))</f>
        <v/>
      </c>
      <c r="AL167" s="26" t="str">
        <f>IF($AN167="","",INDEX(Verlauf!$P$6:$P$1000,MATCH($AN167,Verlauf!$A$6:$A$1000,0)))</f>
        <v/>
      </c>
      <c r="AM167" s="26" t="str">
        <f>IF($AN167="","",INDEX(Verlauf!$R$6:$R$1000,MATCH($AN167,Verlauf!$A$6:$A$1000,0)))</f>
        <v/>
      </c>
      <c r="AN167" s="28" t="str">
        <f>IF(U167&gt;0,_xlfn.MAXIFS(Verlauf!$A$6:$A$1000,Verlauf!$B$6:$B$1000,$A167,Verlauf!$C$6:$C$1000,$B167),"")</f>
        <v/>
      </c>
    </row>
    <row r="168" spans="1:40" x14ac:dyDescent="0.25">
      <c r="A168" s="26">
        <v>2029</v>
      </c>
      <c r="B168" s="26">
        <v>35</v>
      </c>
      <c r="C168" s="7" t="str">
        <f t="shared" si="20"/>
        <v>KW 35/29</v>
      </c>
      <c r="D168" s="26">
        <f>SUMIFS(Verlauf!$K$6:$K$1000,Verlauf!$B$6:$B$1000,$A168,Verlauf!$C$6:$C$1000,$B168)</f>
        <v>0</v>
      </c>
      <c r="E168" s="26">
        <f>SUMIFS(Verlauf!$L$6:$L$1000,Verlauf!$B$6:$B$1000,$A168,Verlauf!$C$6:$C$1000,$B168)</f>
        <v>0</v>
      </c>
      <c r="F168" s="26">
        <f>SUMIFS(Verlauf!$M$6:$M$1000,Verlauf!$B$6:$B$1000,$A168,Verlauf!$C$6:$C$1000,$B168)</f>
        <v>0</v>
      </c>
      <c r="G168" s="26">
        <f>SUMIFS(Verlauf!$J$6:$J$1000,Verlauf!$B$6:$B$1000,$A168,Verlauf!$C$6:$C$1000,$B168)</f>
        <v>0</v>
      </c>
      <c r="H168" s="26">
        <f>SUMIFS(Verlauf!$U$6:$U$1000,Verlauf!$B$6:$B$1000,$A168,Verlauf!$C$6:$C$1000,$B168)</f>
        <v>0</v>
      </c>
      <c r="I168" s="26">
        <f>SUMIFS(Verlauf!$V$6:$V$1000,Verlauf!$B$6:$B$1000,$A168,Verlauf!$C$6:$C$1000,$B168)</f>
        <v>0</v>
      </c>
      <c r="J168" s="26">
        <f>SUMIFS(Verlauf!$W$6:$W$1000,Verlauf!$B$6:$B$1000,$A168,Verlauf!$C$6:$C$1000,$B168)</f>
        <v>0</v>
      </c>
      <c r="K168" s="26">
        <f>SUMIFS(Verlauf!$T$6:$T$1000,Verlauf!$B$6:$B$1000,$A168,Verlauf!$C$6:$C$1000,$B168)</f>
        <v>0</v>
      </c>
      <c r="L168" s="27">
        <f>IF(Filter!$T$7=TRUE,IFERROR(INDEX(Planung!$D$68:$IA$68,MATCH($W168,Wirksam!$D$6:$IA$6,0)),0),0)</f>
        <v>0</v>
      </c>
      <c r="M168" s="27">
        <f>IF(OR(Filter!$T$5=TRUE,Filter!$T$6=TRUE),IFERROR(INDEX(Planung!$D$69:$IA$69,MATCH($W168,Wirksam!$D$6:$IA$6,0)),0),0)</f>
        <v>0</v>
      </c>
      <c r="N168" s="27">
        <f t="shared" si="21"/>
        <v>0</v>
      </c>
      <c r="O168" s="27" t="e">
        <f t="shared" si="22"/>
        <v>#N/A</v>
      </c>
      <c r="P168" s="27" t="e">
        <f t="shared" si="23"/>
        <v>#N/A</v>
      </c>
      <c r="Q168" s="27" t="e">
        <f t="shared" si="24"/>
        <v>#N/A</v>
      </c>
      <c r="R168" s="27" t="e">
        <f t="shared" si="25"/>
        <v>#N/A</v>
      </c>
      <c r="S168" s="27" t="e">
        <f t="shared" si="26"/>
        <v>#N/A</v>
      </c>
      <c r="T168" s="27" t="e">
        <f t="shared" si="27"/>
        <v>#N/A</v>
      </c>
      <c r="U168" s="26">
        <f>COUNTIFS(Verlauf!$B$6:$B$1000,$A168,Verlauf!$C$6:$C$1000,$B168)</f>
        <v>0</v>
      </c>
      <c r="V168" s="26">
        <f t="shared" si="28"/>
        <v>0</v>
      </c>
      <c r="W168" s="26">
        <f t="shared" si="29"/>
        <v>202935</v>
      </c>
      <c r="X168" s="26">
        <f>SUMIFS(Verlauf!$X$6:$X$1000,Verlauf!$B$6:$B$1000,$A168,Verlauf!$C$6:$C$1000,$B168)</f>
        <v>0</v>
      </c>
      <c r="Y168" s="26">
        <f>SUMIFS(Verlauf!$Y$6:$Y$1000,Verlauf!$B$6:$B$1000,$A168,Verlauf!$C$6:$C$1000,$B168)</f>
        <v>0</v>
      </c>
      <c r="Z168" s="26">
        <f>SUMIFS(Verlauf!$Z$6:$Z$1000,Verlauf!$B$6:$B$1000,$A168,Verlauf!$C$6:$C$1000,$B168)</f>
        <v>0</v>
      </c>
      <c r="AA168" s="26">
        <f>SUMIFS(Verlauf!$I$6:$I$1000,Verlauf!$B$6:$B$1000,$A168,Verlauf!$C$6:$C$1000,$B168)</f>
        <v>0</v>
      </c>
      <c r="AB168" s="26">
        <f>SUMIFS(Verlauf!$AA$6:$AA$1000,Verlauf!$B$6:$B$1000,$A168,Verlauf!$C$6:$C$1000,$B168)</f>
        <v>0</v>
      </c>
      <c r="AC168" s="26">
        <f>SUMIFS(Verlauf!$AB$6:$AB$1000,Verlauf!$B$6:$B$1000,$A168,Verlauf!$C$6:$C$1000,$B168)</f>
        <v>0</v>
      </c>
      <c r="AD168" s="26">
        <f>SUMIFS(Verlauf!$AC$6:$AC$1000,Verlauf!$B$6:$B$1000,$A168,Verlauf!$C$6:$C$1000,$B168)</f>
        <v>0</v>
      </c>
      <c r="AE168" s="26">
        <f>SUMIFS(Verlauf!$S$6:$S$1000,Verlauf!$B$6:$B$1000,$A168,Verlauf!$C$6:$C$1000,$B168)</f>
        <v>0</v>
      </c>
      <c r="AF168" s="26" t="str">
        <f>IF($AN168="","",INDEX(Verlauf!$D$6:$D$1000,MATCH($AN168,Verlauf!$A$6:$A$1000,0)))</f>
        <v/>
      </c>
      <c r="AG168" s="26" t="str">
        <f>IF($AN168="","",INDEX(Verlauf!$E$6:$E$1000,MATCH($AN168,Verlauf!$A$6:$A$1000,0)))</f>
        <v/>
      </c>
      <c r="AH168" s="26" t="str">
        <f>IF($AN168="","",INDEX(Verlauf!$F$6:$F$1000,MATCH($AN168,Verlauf!$A$6:$A$1000,0)))</f>
        <v/>
      </c>
      <c r="AI168" s="26" t="str">
        <f>IF($AN168="","",INDEX(Verlauf!$H$6:$H$1000,MATCH($AN168,Verlauf!$A$6:$A$1000,0)))</f>
        <v/>
      </c>
      <c r="AJ168" s="26" t="str">
        <f>IF($AN168="","",INDEX(Verlauf!$N$6:$N$1000,MATCH($AN168,Verlauf!$A$6:$A$1000,0)))</f>
        <v/>
      </c>
      <c r="AK168" s="26" t="str">
        <f>IF($AN168="","",INDEX(Verlauf!$O$6:$O$1000,MATCH($AN168,Verlauf!$A$6:$A$1000,0)))</f>
        <v/>
      </c>
      <c r="AL168" s="26" t="str">
        <f>IF($AN168="","",INDEX(Verlauf!$P$6:$P$1000,MATCH($AN168,Verlauf!$A$6:$A$1000,0)))</f>
        <v/>
      </c>
      <c r="AM168" s="26" t="str">
        <f>IF($AN168="","",INDEX(Verlauf!$R$6:$R$1000,MATCH($AN168,Verlauf!$A$6:$A$1000,0)))</f>
        <v/>
      </c>
      <c r="AN168" s="28" t="str">
        <f>IF(U168&gt;0,_xlfn.MAXIFS(Verlauf!$A$6:$A$1000,Verlauf!$B$6:$B$1000,$A168,Verlauf!$C$6:$C$1000,$B168),"")</f>
        <v/>
      </c>
    </row>
    <row r="169" spans="1:40" x14ac:dyDescent="0.25">
      <c r="A169" s="26">
        <v>2029</v>
      </c>
      <c r="B169" s="26">
        <v>36</v>
      </c>
      <c r="C169" s="7" t="str">
        <f t="shared" si="20"/>
        <v>KW 36/29</v>
      </c>
      <c r="D169" s="26">
        <f>SUMIFS(Verlauf!$K$6:$K$1000,Verlauf!$B$6:$B$1000,$A169,Verlauf!$C$6:$C$1000,$B169)</f>
        <v>0</v>
      </c>
      <c r="E169" s="26">
        <f>SUMIFS(Verlauf!$L$6:$L$1000,Verlauf!$B$6:$B$1000,$A169,Verlauf!$C$6:$C$1000,$B169)</f>
        <v>0</v>
      </c>
      <c r="F169" s="26">
        <f>SUMIFS(Verlauf!$M$6:$M$1000,Verlauf!$B$6:$B$1000,$A169,Verlauf!$C$6:$C$1000,$B169)</f>
        <v>0</v>
      </c>
      <c r="G169" s="26">
        <f>SUMIFS(Verlauf!$J$6:$J$1000,Verlauf!$B$6:$B$1000,$A169,Verlauf!$C$6:$C$1000,$B169)</f>
        <v>0</v>
      </c>
      <c r="H169" s="26">
        <f>SUMIFS(Verlauf!$U$6:$U$1000,Verlauf!$B$6:$B$1000,$A169,Verlauf!$C$6:$C$1000,$B169)</f>
        <v>0</v>
      </c>
      <c r="I169" s="26">
        <f>SUMIFS(Verlauf!$V$6:$V$1000,Verlauf!$B$6:$B$1000,$A169,Verlauf!$C$6:$C$1000,$B169)</f>
        <v>0</v>
      </c>
      <c r="J169" s="26">
        <f>SUMIFS(Verlauf!$W$6:$W$1000,Verlauf!$B$6:$B$1000,$A169,Verlauf!$C$6:$C$1000,$B169)</f>
        <v>0</v>
      </c>
      <c r="K169" s="26">
        <f>SUMIFS(Verlauf!$T$6:$T$1000,Verlauf!$B$6:$B$1000,$A169,Verlauf!$C$6:$C$1000,$B169)</f>
        <v>0</v>
      </c>
      <c r="L169" s="27">
        <f>IF(Filter!$T$7=TRUE,IFERROR(INDEX(Planung!$D$68:$IA$68,MATCH($W169,Wirksam!$D$6:$IA$6,0)),0),0)</f>
        <v>0</v>
      </c>
      <c r="M169" s="27">
        <f>IF(OR(Filter!$T$5=TRUE,Filter!$T$6=TRUE),IFERROR(INDEX(Planung!$D$69:$IA$69,MATCH($W169,Wirksam!$D$6:$IA$6,0)),0),0)</f>
        <v>0</v>
      </c>
      <c r="N169" s="27">
        <f t="shared" si="21"/>
        <v>0</v>
      </c>
      <c r="O169" s="27" t="e">
        <f t="shared" si="22"/>
        <v>#N/A</v>
      </c>
      <c r="P169" s="27" t="e">
        <f t="shared" si="23"/>
        <v>#N/A</v>
      </c>
      <c r="Q169" s="27" t="e">
        <f t="shared" si="24"/>
        <v>#N/A</v>
      </c>
      <c r="R169" s="27" t="e">
        <f t="shared" si="25"/>
        <v>#N/A</v>
      </c>
      <c r="S169" s="27" t="e">
        <f t="shared" si="26"/>
        <v>#N/A</v>
      </c>
      <c r="T169" s="27" t="e">
        <f t="shared" si="27"/>
        <v>#N/A</v>
      </c>
      <c r="U169" s="26">
        <f>COUNTIFS(Verlauf!$B$6:$B$1000,$A169,Verlauf!$C$6:$C$1000,$B169)</f>
        <v>0</v>
      </c>
      <c r="V169" s="26">
        <f t="shared" si="28"/>
        <v>0</v>
      </c>
      <c r="W169" s="26">
        <f t="shared" si="29"/>
        <v>202936</v>
      </c>
      <c r="X169" s="26">
        <f>SUMIFS(Verlauf!$X$6:$X$1000,Verlauf!$B$6:$B$1000,$A169,Verlauf!$C$6:$C$1000,$B169)</f>
        <v>0</v>
      </c>
      <c r="Y169" s="26">
        <f>SUMIFS(Verlauf!$Y$6:$Y$1000,Verlauf!$B$6:$B$1000,$A169,Verlauf!$C$6:$C$1000,$B169)</f>
        <v>0</v>
      </c>
      <c r="Z169" s="26">
        <f>SUMIFS(Verlauf!$Z$6:$Z$1000,Verlauf!$B$6:$B$1000,$A169,Verlauf!$C$6:$C$1000,$B169)</f>
        <v>0</v>
      </c>
      <c r="AA169" s="26">
        <f>SUMIFS(Verlauf!$I$6:$I$1000,Verlauf!$B$6:$B$1000,$A169,Verlauf!$C$6:$C$1000,$B169)</f>
        <v>0</v>
      </c>
      <c r="AB169" s="26">
        <f>SUMIFS(Verlauf!$AA$6:$AA$1000,Verlauf!$B$6:$B$1000,$A169,Verlauf!$C$6:$C$1000,$B169)</f>
        <v>0</v>
      </c>
      <c r="AC169" s="26">
        <f>SUMIFS(Verlauf!$AB$6:$AB$1000,Verlauf!$B$6:$B$1000,$A169,Verlauf!$C$6:$C$1000,$B169)</f>
        <v>0</v>
      </c>
      <c r="AD169" s="26">
        <f>SUMIFS(Verlauf!$AC$6:$AC$1000,Verlauf!$B$6:$B$1000,$A169,Verlauf!$C$6:$C$1000,$B169)</f>
        <v>0</v>
      </c>
      <c r="AE169" s="26">
        <f>SUMIFS(Verlauf!$S$6:$S$1000,Verlauf!$B$6:$B$1000,$A169,Verlauf!$C$6:$C$1000,$B169)</f>
        <v>0</v>
      </c>
      <c r="AF169" s="26" t="str">
        <f>IF($AN169="","",INDEX(Verlauf!$D$6:$D$1000,MATCH($AN169,Verlauf!$A$6:$A$1000,0)))</f>
        <v/>
      </c>
      <c r="AG169" s="26" t="str">
        <f>IF($AN169="","",INDEX(Verlauf!$E$6:$E$1000,MATCH($AN169,Verlauf!$A$6:$A$1000,0)))</f>
        <v/>
      </c>
      <c r="AH169" s="26" t="str">
        <f>IF($AN169="","",INDEX(Verlauf!$F$6:$F$1000,MATCH($AN169,Verlauf!$A$6:$A$1000,0)))</f>
        <v/>
      </c>
      <c r="AI169" s="26" t="str">
        <f>IF($AN169="","",INDEX(Verlauf!$H$6:$H$1000,MATCH($AN169,Verlauf!$A$6:$A$1000,0)))</f>
        <v/>
      </c>
      <c r="AJ169" s="26" t="str">
        <f>IF($AN169="","",INDEX(Verlauf!$N$6:$N$1000,MATCH($AN169,Verlauf!$A$6:$A$1000,0)))</f>
        <v/>
      </c>
      <c r="AK169" s="26" t="str">
        <f>IF($AN169="","",INDEX(Verlauf!$O$6:$O$1000,MATCH($AN169,Verlauf!$A$6:$A$1000,0)))</f>
        <v/>
      </c>
      <c r="AL169" s="26" t="str">
        <f>IF($AN169="","",INDEX(Verlauf!$P$6:$P$1000,MATCH($AN169,Verlauf!$A$6:$A$1000,0)))</f>
        <v/>
      </c>
      <c r="AM169" s="26" t="str">
        <f>IF($AN169="","",INDEX(Verlauf!$R$6:$R$1000,MATCH($AN169,Verlauf!$A$6:$A$1000,0)))</f>
        <v/>
      </c>
      <c r="AN169" s="28" t="str">
        <f>IF(U169&gt;0,_xlfn.MAXIFS(Verlauf!$A$6:$A$1000,Verlauf!$B$6:$B$1000,$A169,Verlauf!$C$6:$C$1000,$B169),"")</f>
        <v/>
      </c>
    </row>
    <row r="170" spans="1:40" x14ac:dyDescent="0.25">
      <c r="A170" s="26">
        <v>2029</v>
      </c>
      <c r="B170" s="26">
        <v>37</v>
      </c>
      <c r="C170" s="7" t="str">
        <f t="shared" si="20"/>
        <v>KW 37/29</v>
      </c>
      <c r="D170" s="26">
        <f>SUMIFS(Verlauf!$K$6:$K$1000,Verlauf!$B$6:$B$1000,$A170,Verlauf!$C$6:$C$1000,$B170)</f>
        <v>0</v>
      </c>
      <c r="E170" s="26">
        <f>SUMIFS(Verlauf!$L$6:$L$1000,Verlauf!$B$6:$B$1000,$A170,Verlauf!$C$6:$C$1000,$B170)</f>
        <v>0</v>
      </c>
      <c r="F170" s="26">
        <f>SUMIFS(Verlauf!$M$6:$M$1000,Verlauf!$B$6:$B$1000,$A170,Verlauf!$C$6:$C$1000,$B170)</f>
        <v>0</v>
      </c>
      <c r="G170" s="26">
        <f>SUMIFS(Verlauf!$J$6:$J$1000,Verlauf!$B$6:$B$1000,$A170,Verlauf!$C$6:$C$1000,$B170)</f>
        <v>0</v>
      </c>
      <c r="H170" s="26">
        <f>SUMIFS(Verlauf!$U$6:$U$1000,Verlauf!$B$6:$B$1000,$A170,Verlauf!$C$6:$C$1000,$B170)</f>
        <v>0</v>
      </c>
      <c r="I170" s="26">
        <f>SUMIFS(Verlauf!$V$6:$V$1000,Verlauf!$B$6:$B$1000,$A170,Verlauf!$C$6:$C$1000,$B170)</f>
        <v>0</v>
      </c>
      <c r="J170" s="26">
        <f>SUMIFS(Verlauf!$W$6:$W$1000,Verlauf!$B$6:$B$1000,$A170,Verlauf!$C$6:$C$1000,$B170)</f>
        <v>0</v>
      </c>
      <c r="K170" s="26">
        <f>SUMIFS(Verlauf!$T$6:$T$1000,Verlauf!$B$6:$B$1000,$A170,Verlauf!$C$6:$C$1000,$B170)</f>
        <v>0</v>
      </c>
      <c r="L170" s="27">
        <f>IF(Filter!$T$7=TRUE,IFERROR(INDEX(Planung!$D$68:$IA$68,MATCH($W170,Wirksam!$D$6:$IA$6,0)),0),0)</f>
        <v>0</v>
      </c>
      <c r="M170" s="27">
        <f>IF(OR(Filter!$T$5=TRUE,Filter!$T$6=TRUE),IFERROR(INDEX(Planung!$D$69:$IA$69,MATCH($W170,Wirksam!$D$6:$IA$6,0)),0),0)</f>
        <v>0</v>
      </c>
      <c r="N170" s="27">
        <f t="shared" si="21"/>
        <v>0</v>
      </c>
      <c r="O170" s="27" t="e">
        <f t="shared" si="22"/>
        <v>#N/A</v>
      </c>
      <c r="P170" s="27" t="e">
        <f t="shared" si="23"/>
        <v>#N/A</v>
      </c>
      <c r="Q170" s="27" t="e">
        <f t="shared" si="24"/>
        <v>#N/A</v>
      </c>
      <c r="R170" s="27" t="e">
        <f t="shared" si="25"/>
        <v>#N/A</v>
      </c>
      <c r="S170" s="27" t="e">
        <f t="shared" si="26"/>
        <v>#N/A</v>
      </c>
      <c r="T170" s="27" t="e">
        <f t="shared" si="27"/>
        <v>#N/A</v>
      </c>
      <c r="U170" s="26">
        <f>COUNTIFS(Verlauf!$B$6:$B$1000,$A170,Verlauf!$C$6:$C$1000,$B170)</f>
        <v>0</v>
      </c>
      <c r="V170" s="26">
        <f t="shared" si="28"/>
        <v>0</v>
      </c>
      <c r="W170" s="26">
        <f t="shared" si="29"/>
        <v>202937</v>
      </c>
      <c r="X170" s="26">
        <f>SUMIFS(Verlauf!$X$6:$X$1000,Verlauf!$B$6:$B$1000,$A170,Verlauf!$C$6:$C$1000,$B170)</f>
        <v>0</v>
      </c>
      <c r="Y170" s="26">
        <f>SUMIFS(Verlauf!$Y$6:$Y$1000,Verlauf!$B$6:$B$1000,$A170,Verlauf!$C$6:$C$1000,$B170)</f>
        <v>0</v>
      </c>
      <c r="Z170" s="26">
        <f>SUMIFS(Verlauf!$Z$6:$Z$1000,Verlauf!$B$6:$B$1000,$A170,Verlauf!$C$6:$C$1000,$B170)</f>
        <v>0</v>
      </c>
      <c r="AA170" s="26">
        <f>SUMIFS(Verlauf!$I$6:$I$1000,Verlauf!$B$6:$B$1000,$A170,Verlauf!$C$6:$C$1000,$B170)</f>
        <v>0</v>
      </c>
      <c r="AB170" s="26">
        <f>SUMIFS(Verlauf!$AA$6:$AA$1000,Verlauf!$B$6:$B$1000,$A170,Verlauf!$C$6:$C$1000,$B170)</f>
        <v>0</v>
      </c>
      <c r="AC170" s="26">
        <f>SUMIFS(Verlauf!$AB$6:$AB$1000,Verlauf!$B$6:$B$1000,$A170,Verlauf!$C$6:$C$1000,$B170)</f>
        <v>0</v>
      </c>
      <c r="AD170" s="26">
        <f>SUMIFS(Verlauf!$AC$6:$AC$1000,Verlauf!$B$6:$B$1000,$A170,Verlauf!$C$6:$C$1000,$B170)</f>
        <v>0</v>
      </c>
      <c r="AE170" s="26">
        <f>SUMIFS(Verlauf!$S$6:$S$1000,Verlauf!$B$6:$B$1000,$A170,Verlauf!$C$6:$C$1000,$B170)</f>
        <v>0</v>
      </c>
      <c r="AF170" s="26" t="str">
        <f>IF($AN170="","",INDEX(Verlauf!$D$6:$D$1000,MATCH($AN170,Verlauf!$A$6:$A$1000,0)))</f>
        <v/>
      </c>
      <c r="AG170" s="26" t="str">
        <f>IF($AN170="","",INDEX(Verlauf!$E$6:$E$1000,MATCH($AN170,Verlauf!$A$6:$A$1000,0)))</f>
        <v/>
      </c>
      <c r="AH170" s="26" t="str">
        <f>IF($AN170="","",INDEX(Verlauf!$F$6:$F$1000,MATCH($AN170,Verlauf!$A$6:$A$1000,0)))</f>
        <v/>
      </c>
      <c r="AI170" s="26" t="str">
        <f>IF($AN170="","",INDEX(Verlauf!$H$6:$H$1000,MATCH($AN170,Verlauf!$A$6:$A$1000,0)))</f>
        <v/>
      </c>
      <c r="AJ170" s="26" t="str">
        <f>IF($AN170="","",INDEX(Verlauf!$N$6:$N$1000,MATCH($AN170,Verlauf!$A$6:$A$1000,0)))</f>
        <v/>
      </c>
      <c r="AK170" s="26" t="str">
        <f>IF($AN170="","",INDEX(Verlauf!$O$6:$O$1000,MATCH($AN170,Verlauf!$A$6:$A$1000,0)))</f>
        <v/>
      </c>
      <c r="AL170" s="26" t="str">
        <f>IF($AN170="","",INDEX(Verlauf!$P$6:$P$1000,MATCH($AN170,Verlauf!$A$6:$A$1000,0)))</f>
        <v/>
      </c>
      <c r="AM170" s="26" t="str">
        <f>IF($AN170="","",INDEX(Verlauf!$R$6:$R$1000,MATCH($AN170,Verlauf!$A$6:$A$1000,0)))</f>
        <v/>
      </c>
      <c r="AN170" s="28" t="str">
        <f>IF(U170&gt;0,_xlfn.MAXIFS(Verlauf!$A$6:$A$1000,Verlauf!$B$6:$B$1000,$A170,Verlauf!$C$6:$C$1000,$B170),"")</f>
        <v/>
      </c>
    </row>
    <row r="171" spans="1:40" x14ac:dyDescent="0.25">
      <c r="A171" s="26">
        <v>2029</v>
      </c>
      <c r="B171" s="26">
        <v>38</v>
      </c>
      <c r="C171" s="7" t="str">
        <f t="shared" si="20"/>
        <v>KW 38/29</v>
      </c>
      <c r="D171" s="26">
        <f>SUMIFS(Verlauf!$K$6:$K$1000,Verlauf!$B$6:$B$1000,$A171,Verlauf!$C$6:$C$1000,$B171)</f>
        <v>0</v>
      </c>
      <c r="E171" s="26">
        <f>SUMIFS(Verlauf!$L$6:$L$1000,Verlauf!$B$6:$B$1000,$A171,Verlauf!$C$6:$C$1000,$B171)</f>
        <v>0</v>
      </c>
      <c r="F171" s="26">
        <f>SUMIFS(Verlauf!$M$6:$M$1000,Verlauf!$B$6:$B$1000,$A171,Verlauf!$C$6:$C$1000,$B171)</f>
        <v>0</v>
      </c>
      <c r="G171" s="26">
        <f>SUMIFS(Verlauf!$J$6:$J$1000,Verlauf!$B$6:$B$1000,$A171,Verlauf!$C$6:$C$1000,$B171)</f>
        <v>0</v>
      </c>
      <c r="H171" s="26">
        <f>SUMIFS(Verlauf!$U$6:$U$1000,Verlauf!$B$6:$B$1000,$A171,Verlauf!$C$6:$C$1000,$B171)</f>
        <v>0</v>
      </c>
      <c r="I171" s="26">
        <f>SUMIFS(Verlauf!$V$6:$V$1000,Verlauf!$B$6:$B$1000,$A171,Verlauf!$C$6:$C$1000,$B171)</f>
        <v>0</v>
      </c>
      <c r="J171" s="26">
        <f>SUMIFS(Verlauf!$W$6:$W$1000,Verlauf!$B$6:$B$1000,$A171,Verlauf!$C$6:$C$1000,$B171)</f>
        <v>0</v>
      </c>
      <c r="K171" s="26">
        <f>SUMIFS(Verlauf!$T$6:$T$1000,Verlauf!$B$6:$B$1000,$A171,Verlauf!$C$6:$C$1000,$B171)</f>
        <v>0</v>
      </c>
      <c r="L171" s="27">
        <f>IF(Filter!$T$7=TRUE,IFERROR(INDEX(Planung!$D$68:$IA$68,MATCH($W171,Wirksam!$D$6:$IA$6,0)),0),0)</f>
        <v>0</v>
      </c>
      <c r="M171" s="27">
        <f>IF(OR(Filter!$T$5=TRUE,Filter!$T$6=TRUE),IFERROR(INDEX(Planung!$D$69:$IA$69,MATCH($W171,Wirksam!$D$6:$IA$6,0)),0),0)</f>
        <v>0</v>
      </c>
      <c r="N171" s="27">
        <f t="shared" si="21"/>
        <v>0</v>
      </c>
      <c r="O171" s="27" t="e">
        <f t="shared" si="22"/>
        <v>#N/A</v>
      </c>
      <c r="P171" s="27" t="e">
        <f t="shared" si="23"/>
        <v>#N/A</v>
      </c>
      <c r="Q171" s="27" t="e">
        <f t="shared" si="24"/>
        <v>#N/A</v>
      </c>
      <c r="R171" s="27" t="e">
        <f t="shared" si="25"/>
        <v>#N/A</v>
      </c>
      <c r="S171" s="27" t="e">
        <f t="shared" si="26"/>
        <v>#N/A</v>
      </c>
      <c r="T171" s="27" t="e">
        <f t="shared" si="27"/>
        <v>#N/A</v>
      </c>
      <c r="U171" s="26">
        <f>COUNTIFS(Verlauf!$B$6:$B$1000,$A171,Verlauf!$C$6:$C$1000,$B171)</f>
        <v>0</v>
      </c>
      <c r="V171" s="26">
        <f t="shared" si="28"/>
        <v>0</v>
      </c>
      <c r="W171" s="26">
        <f t="shared" si="29"/>
        <v>202938</v>
      </c>
      <c r="X171" s="26">
        <f>SUMIFS(Verlauf!$X$6:$X$1000,Verlauf!$B$6:$B$1000,$A171,Verlauf!$C$6:$C$1000,$B171)</f>
        <v>0</v>
      </c>
      <c r="Y171" s="26">
        <f>SUMIFS(Verlauf!$Y$6:$Y$1000,Verlauf!$B$6:$B$1000,$A171,Verlauf!$C$6:$C$1000,$B171)</f>
        <v>0</v>
      </c>
      <c r="Z171" s="26">
        <f>SUMIFS(Verlauf!$Z$6:$Z$1000,Verlauf!$B$6:$B$1000,$A171,Verlauf!$C$6:$C$1000,$B171)</f>
        <v>0</v>
      </c>
      <c r="AA171" s="26">
        <f>SUMIFS(Verlauf!$I$6:$I$1000,Verlauf!$B$6:$B$1000,$A171,Verlauf!$C$6:$C$1000,$B171)</f>
        <v>0</v>
      </c>
      <c r="AB171" s="26">
        <f>SUMIFS(Verlauf!$AA$6:$AA$1000,Verlauf!$B$6:$B$1000,$A171,Verlauf!$C$6:$C$1000,$B171)</f>
        <v>0</v>
      </c>
      <c r="AC171" s="26">
        <f>SUMIFS(Verlauf!$AB$6:$AB$1000,Verlauf!$B$6:$B$1000,$A171,Verlauf!$C$6:$C$1000,$B171)</f>
        <v>0</v>
      </c>
      <c r="AD171" s="26">
        <f>SUMIFS(Verlauf!$AC$6:$AC$1000,Verlauf!$B$6:$B$1000,$A171,Verlauf!$C$6:$C$1000,$B171)</f>
        <v>0</v>
      </c>
      <c r="AE171" s="26">
        <f>SUMIFS(Verlauf!$S$6:$S$1000,Verlauf!$B$6:$B$1000,$A171,Verlauf!$C$6:$C$1000,$B171)</f>
        <v>0</v>
      </c>
      <c r="AF171" s="26" t="str">
        <f>IF($AN171="","",INDEX(Verlauf!$D$6:$D$1000,MATCH($AN171,Verlauf!$A$6:$A$1000,0)))</f>
        <v/>
      </c>
      <c r="AG171" s="26" t="str">
        <f>IF($AN171="","",INDEX(Verlauf!$E$6:$E$1000,MATCH($AN171,Verlauf!$A$6:$A$1000,0)))</f>
        <v/>
      </c>
      <c r="AH171" s="26" t="str">
        <f>IF($AN171="","",INDEX(Verlauf!$F$6:$F$1000,MATCH($AN171,Verlauf!$A$6:$A$1000,0)))</f>
        <v/>
      </c>
      <c r="AI171" s="26" t="str">
        <f>IF($AN171="","",INDEX(Verlauf!$H$6:$H$1000,MATCH($AN171,Verlauf!$A$6:$A$1000,0)))</f>
        <v/>
      </c>
      <c r="AJ171" s="26" t="str">
        <f>IF($AN171="","",INDEX(Verlauf!$N$6:$N$1000,MATCH($AN171,Verlauf!$A$6:$A$1000,0)))</f>
        <v/>
      </c>
      <c r="AK171" s="26" t="str">
        <f>IF($AN171="","",INDEX(Verlauf!$O$6:$O$1000,MATCH($AN171,Verlauf!$A$6:$A$1000,0)))</f>
        <v/>
      </c>
      <c r="AL171" s="26" t="str">
        <f>IF($AN171="","",INDEX(Verlauf!$P$6:$P$1000,MATCH($AN171,Verlauf!$A$6:$A$1000,0)))</f>
        <v/>
      </c>
      <c r="AM171" s="26" t="str">
        <f>IF($AN171="","",INDEX(Verlauf!$R$6:$R$1000,MATCH($AN171,Verlauf!$A$6:$A$1000,0)))</f>
        <v/>
      </c>
      <c r="AN171" s="28" t="str">
        <f>IF(U171&gt;0,_xlfn.MAXIFS(Verlauf!$A$6:$A$1000,Verlauf!$B$6:$B$1000,$A171,Verlauf!$C$6:$C$1000,$B171),"")</f>
        <v/>
      </c>
    </row>
    <row r="172" spans="1:40" x14ac:dyDescent="0.25">
      <c r="A172" s="26">
        <v>2029</v>
      </c>
      <c r="B172" s="26">
        <v>39</v>
      </c>
      <c r="C172" s="7" t="str">
        <f t="shared" si="20"/>
        <v>KW 39/29</v>
      </c>
      <c r="D172" s="26">
        <f>SUMIFS(Verlauf!$K$6:$K$1000,Verlauf!$B$6:$B$1000,$A172,Verlauf!$C$6:$C$1000,$B172)</f>
        <v>0</v>
      </c>
      <c r="E172" s="26">
        <f>SUMIFS(Verlauf!$L$6:$L$1000,Verlauf!$B$6:$B$1000,$A172,Verlauf!$C$6:$C$1000,$B172)</f>
        <v>0</v>
      </c>
      <c r="F172" s="26">
        <f>SUMIFS(Verlauf!$M$6:$M$1000,Verlauf!$B$6:$B$1000,$A172,Verlauf!$C$6:$C$1000,$B172)</f>
        <v>0</v>
      </c>
      <c r="G172" s="26">
        <f>SUMIFS(Verlauf!$J$6:$J$1000,Verlauf!$B$6:$B$1000,$A172,Verlauf!$C$6:$C$1000,$B172)</f>
        <v>0</v>
      </c>
      <c r="H172" s="26">
        <f>SUMIFS(Verlauf!$U$6:$U$1000,Verlauf!$B$6:$B$1000,$A172,Verlauf!$C$6:$C$1000,$B172)</f>
        <v>0</v>
      </c>
      <c r="I172" s="26">
        <f>SUMIFS(Verlauf!$V$6:$V$1000,Verlauf!$B$6:$B$1000,$A172,Verlauf!$C$6:$C$1000,$B172)</f>
        <v>0</v>
      </c>
      <c r="J172" s="26">
        <f>SUMIFS(Verlauf!$W$6:$W$1000,Verlauf!$B$6:$B$1000,$A172,Verlauf!$C$6:$C$1000,$B172)</f>
        <v>0</v>
      </c>
      <c r="K172" s="26">
        <f>SUMIFS(Verlauf!$T$6:$T$1000,Verlauf!$B$6:$B$1000,$A172,Verlauf!$C$6:$C$1000,$B172)</f>
        <v>0</v>
      </c>
      <c r="L172" s="27">
        <f>IF(Filter!$T$7=TRUE,IFERROR(INDEX(Planung!$D$68:$IA$68,MATCH($W172,Wirksam!$D$6:$IA$6,0)),0),0)</f>
        <v>0</v>
      </c>
      <c r="M172" s="27">
        <f>IF(OR(Filter!$T$5=TRUE,Filter!$T$6=TRUE),IFERROR(INDEX(Planung!$D$69:$IA$69,MATCH($W172,Wirksam!$D$6:$IA$6,0)),0),0)</f>
        <v>0</v>
      </c>
      <c r="N172" s="27">
        <f t="shared" si="21"/>
        <v>0</v>
      </c>
      <c r="O172" s="27" t="e">
        <f t="shared" si="22"/>
        <v>#N/A</v>
      </c>
      <c r="P172" s="27" t="e">
        <f t="shared" si="23"/>
        <v>#N/A</v>
      </c>
      <c r="Q172" s="27" t="e">
        <f t="shared" si="24"/>
        <v>#N/A</v>
      </c>
      <c r="R172" s="27" t="e">
        <f t="shared" si="25"/>
        <v>#N/A</v>
      </c>
      <c r="S172" s="27" t="e">
        <f t="shared" si="26"/>
        <v>#N/A</v>
      </c>
      <c r="T172" s="27" t="e">
        <f t="shared" si="27"/>
        <v>#N/A</v>
      </c>
      <c r="U172" s="26">
        <f>COUNTIFS(Verlauf!$B$6:$B$1000,$A172,Verlauf!$C$6:$C$1000,$B172)</f>
        <v>0</v>
      </c>
      <c r="V172" s="26">
        <f t="shared" si="28"/>
        <v>0</v>
      </c>
      <c r="W172" s="26">
        <f t="shared" si="29"/>
        <v>202939</v>
      </c>
      <c r="X172" s="26">
        <f>SUMIFS(Verlauf!$X$6:$X$1000,Verlauf!$B$6:$B$1000,$A172,Verlauf!$C$6:$C$1000,$B172)</f>
        <v>0</v>
      </c>
      <c r="Y172" s="26">
        <f>SUMIFS(Verlauf!$Y$6:$Y$1000,Verlauf!$B$6:$B$1000,$A172,Verlauf!$C$6:$C$1000,$B172)</f>
        <v>0</v>
      </c>
      <c r="Z172" s="26">
        <f>SUMIFS(Verlauf!$Z$6:$Z$1000,Verlauf!$B$6:$B$1000,$A172,Verlauf!$C$6:$C$1000,$B172)</f>
        <v>0</v>
      </c>
      <c r="AA172" s="26">
        <f>SUMIFS(Verlauf!$I$6:$I$1000,Verlauf!$B$6:$B$1000,$A172,Verlauf!$C$6:$C$1000,$B172)</f>
        <v>0</v>
      </c>
      <c r="AB172" s="26">
        <f>SUMIFS(Verlauf!$AA$6:$AA$1000,Verlauf!$B$6:$B$1000,$A172,Verlauf!$C$6:$C$1000,$B172)</f>
        <v>0</v>
      </c>
      <c r="AC172" s="26">
        <f>SUMIFS(Verlauf!$AB$6:$AB$1000,Verlauf!$B$6:$B$1000,$A172,Verlauf!$C$6:$C$1000,$B172)</f>
        <v>0</v>
      </c>
      <c r="AD172" s="26">
        <f>SUMIFS(Verlauf!$AC$6:$AC$1000,Verlauf!$B$6:$B$1000,$A172,Verlauf!$C$6:$C$1000,$B172)</f>
        <v>0</v>
      </c>
      <c r="AE172" s="26">
        <f>SUMIFS(Verlauf!$S$6:$S$1000,Verlauf!$B$6:$B$1000,$A172,Verlauf!$C$6:$C$1000,$B172)</f>
        <v>0</v>
      </c>
      <c r="AF172" s="26" t="str">
        <f>IF($AN172="","",INDEX(Verlauf!$D$6:$D$1000,MATCH($AN172,Verlauf!$A$6:$A$1000,0)))</f>
        <v/>
      </c>
      <c r="AG172" s="26" t="str">
        <f>IF($AN172="","",INDEX(Verlauf!$E$6:$E$1000,MATCH($AN172,Verlauf!$A$6:$A$1000,0)))</f>
        <v/>
      </c>
      <c r="AH172" s="26" t="str">
        <f>IF($AN172="","",INDEX(Verlauf!$F$6:$F$1000,MATCH($AN172,Verlauf!$A$6:$A$1000,0)))</f>
        <v/>
      </c>
      <c r="AI172" s="26" t="str">
        <f>IF($AN172="","",INDEX(Verlauf!$H$6:$H$1000,MATCH($AN172,Verlauf!$A$6:$A$1000,0)))</f>
        <v/>
      </c>
      <c r="AJ172" s="26" t="str">
        <f>IF($AN172="","",INDEX(Verlauf!$N$6:$N$1000,MATCH($AN172,Verlauf!$A$6:$A$1000,0)))</f>
        <v/>
      </c>
      <c r="AK172" s="26" t="str">
        <f>IF($AN172="","",INDEX(Verlauf!$O$6:$O$1000,MATCH($AN172,Verlauf!$A$6:$A$1000,0)))</f>
        <v/>
      </c>
      <c r="AL172" s="26" t="str">
        <f>IF($AN172="","",INDEX(Verlauf!$P$6:$P$1000,MATCH($AN172,Verlauf!$A$6:$A$1000,0)))</f>
        <v/>
      </c>
      <c r="AM172" s="26" t="str">
        <f>IF($AN172="","",INDEX(Verlauf!$R$6:$R$1000,MATCH($AN172,Verlauf!$A$6:$A$1000,0)))</f>
        <v/>
      </c>
      <c r="AN172" s="28" t="str">
        <f>IF(U172&gt;0,_xlfn.MAXIFS(Verlauf!$A$6:$A$1000,Verlauf!$B$6:$B$1000,$A172,Verlauf!$C$6:$C$1000,$B172),"")</f>
        <v/>
      </c>
    </row>
    <row r="173" spans="1:40" x14ac:dyDescent="0.25">
      <c r="A173" s="26">
        <v>2029</v>
      </c>
      <c r="B173" s="26">
        <v>40</v>
      </c>
      <c r="C173" s="7" t="str">
        <f t="shared" si="20"/>
        <v>KW 40/29</v>
      </c>
      <c r="D173" s="26">
        <f>SUMIFS(Verlauf!$K$6:$K$1000,Verlauf!$B$6:$B$1000,$A173,Verlauf!$C$6:$C$1000,$B173)</f>
        <v>0</v>
      </c>
      <c r="E173" s="26">
        <f>SUMIFS(Verlauf!$L$6:$L$1000,Verlauf!$B$6:$B$1000,$A173,Verlauf!$C$6:$C$1000,$B173)</f>
        <v>0</v>
      </c>
      <c r="F173" s="26">
        <f>SUMIFS(Verlauf!$M$6:$M$1000,Verlauf!$B$6:$B$1000,$A173,Verlauf!$C$6:$C$1000,$B173)</f>
        <v>0</v>
      </c>
      <c r="G173" s="26">
        <f>SUMIFS(Verlauf!$J$6:$J$1000,Verlauf!$B$6:$B$1000,$A173,Verlauf!$C$6:$C$1000,$B173)</f>
        <v>0</v>
      </c>
      <c r="H173" s="26">
        <f>SUMIFS(Verlauf!$U$6:$U$1000,Verlauf!$B$6:$B$1000,$A173,Verlauf!$C$6:$C$1000,$B173)</f>
        <v>0</v>
      </c>
      <c r="I173" s="26">
        <f>SUMIFS(Verlauf!$V$6:$V$1000,Verlauf!$B$6:$B$1000,$A173,Verlauf!$C$6:$C$1000,$B173)</f>
        <v>0</v>
      </c>
      <c r="J173" s="26">
        <f>SUMIFS(Verlauf!$W$6:$W$1000,Verlauf!$B$6:$B$1000,$A173,Verlauf!$C$6:$C$1000,$B173)</f>
        <v>0</v>
      </c>
      <c r="K173" s="26">
        <f>SUMIFS(Verlauf!$T$6:$T$1000,Verlauf!$B$6:$B$1000,$A173,Verlauf!$C$6:$C$1000,$B173)</f>
        <v>0</v>
      </c>
      <c r="L173" s="27">
        <f>IF(Filter!$T$7=TRUE,IFERROR(INDEX(Planung!$D$68:$IA$68,MATCH($W173,Wirksam!$D$6:$IA$6,0)),0),0)</f>
        <v>0</v>
      </c>
      <c r="M173" s="27">
        <f>IF(OR(Filter!$T$5=TRUE,Filter!$T$6=TRUE),IFERROR(INDEX(Planung!$D$69:$IA$69,MATCH($W173,Wirksam!$D$6:$IA$6,0)),0),0)</f>
        <v>0</v>
      </c>
      <c r="N173" s="27">
        <f t="shared" si="21"/>
        <v>0</v>
      </c>
      <c r="O173" s="27" t="e">
        <f t="shared" si="22"/>
        <v>#N/A</v>
      </c>
      <c r="P173" s="27" t="e">
        <f t="shared" si="23"/>
        <v>#N/A</v>
      </c>
      <c r="Q173" s="27" t="e">
        <f t="shared" si="24"/>
        <v>#N/A</v>
      </c>
      <c r="R173" s="27" t="e">
        <f t="shared" si="25"/>
        <v>#N/A</v>
      </c>
      <c r="S173" s="27" t="e">
        <f t="shared" si="26"/>
        <v>#N/A</v>
      </c>
      <c r="T173" s="27" t="e">
        <f t="shared" si="27"/>
        <v>#N/A</v>
      </c>
      <c r="U173" s="26">
        <f>COUNTIFS(Verlauf!$B$6:$B$1000,$A173,Verlauf!$C$6:$C$1000,$B173)</f>
        <v>0</v>
      </c>
      <c r="V173" s="26">
        <f t="shared" si="28"/>
        <v>0</v>
      </c>
      <c r="W173" s="26">
        <f t="shared" si="29"/>
        <v>202940</v>
      </c>
      <c r="X173" s="26">
        <f>SUMIFS(Verlauf!$X$6:$X$1000,Verlauf!$B$6:$B$1000,$A173,Verlauf!$C$6:$C$1000,$B173)</f>
        <v>0</v>
      </c>
      <c r="Y173" s="26">
        <f>SUMIFS(Verlauf!$Y$6:$Y$1000,Verlauf!$B$6:$B$1000,$A173,Verlauf!$C$6:$C$1000,$B173)</f>
        <v>0</v>
      </c>
      <c r="Z173" s="26">
        <f>SUMIFS(Verlauf!$Z$6:$Z$1000,Verlauf!$B$6:$B$1000,$A173,Verlauf!$C$6:$C$1000,$B173)</f>
        <v>0</v>
      </c>
      <c r="AA173" s="26">
        <f>SUMIFS(Verlauf!$I$6:$I$1000,Verlauf!$B$6:$B$1000,$A173,Verlauf!$C$6:$C$1000,$B173)</f>
        <v>0</v>
      </c>
      <c r="AB173" s="26">
        <f>SUMIFS(Verlauf!$AA$6:$AA$1000,Verlauf!$B$6:$B$1000,$A173,Verlauf!$C$6:$C$1000,$B173)</f>
        <v>0</v>
      </c>
      <c r="AC173" s="26">
        <f>SUMIFS(Verlauf!$AB$6:$AB$1000,Verlauf!$B$6:$B$1000,$A173,Verlauf!$C$6:$C$1000,$B173)</f>
        <v>0</v>
      </c>
      <c r="AD173" s="26">
        <f>SUMIFS(Verlauf!$AC$6:$AC$1000,Verlauf!$B$6:$B$1000,$A173,Verlauf!$C$6:$C$1000,$B173)</f>
        <v>0</v>
      </c>
      <c r="AE173" s="26">
        <f>SUMIFS(Verlauf!$S$6:$S$1000,Verlauf!$B$6:$B$1000,$A173,Verlauf!$C$6:$C$1000,$B173)</f>
        <v>0</v>
      </c>
      <c r="AF173" s="26" t="str">
        <f>IF($AN173="","",INDEX(Verlauf!$D$6:$D$1000,MATCH($AN173,Verlauf!$A$6:$A$1000,0)))</f>
        <v/>
      </c>
      <c r="AG173" s="26" t="str">
        <f>IF($AN173="","",INDEX(Verlauf!$E$6:$E$1000,MATCH($AN173,Verlauf!$A$6:$A$1000,0)))</f>
        <v/>
      </c>
      <c r="AH173" s="26" t="str">
        <f>IF($AN173="","",INDEX(Verlauf!$F$6:$F$1000,MATCH($AN173,Verlauf!$A$6:$A$1000,0)))</f>
        <v/>
      </c>
      <c r="AI173" s="26" t="str">
        <f>IF($AN173="","",INDEX(Verlauf!$H$6:$H$1000,MATCH($AN173,Verlauf!$A$6:$A$1000,0)))</f>
        <v/>
      </c>
      <c r="AJ173" s="26" t="str">
        <f>IF($AN173="","",INDEX(Verlauf!$N$6:$N$1000,MATCH($AN173,Verlauf!$A$6:$A$1000,0)))</f>
        <v/>
      </c>
      <c r="AK173" s="26" t="str">
        <f>IF($AN173="","",INDEX(Verlauf!$O$6:$O$1000,MATCH($AN173,Verlauf!$A$6:$A$1000,0)))</f>
        <v/>
      </c>
      <c r="AL173" s="26" t="str">
        <f>IF($AN173="","",INDEX(Verlauf!$P$6:$P$1000,MATCH($AN173,Verlauf!$A$6:$A$1000,0)))</f>
        <v/>
      </c>
      <c r="AM173" s="26" t="str">
        <f>IF($AN173="","",INDEX(Verlauf!$R$6:$R$1000,MATCH($AN173,Verlauf!$A$6:$A$1000,0)))</f>
        <v/>
      </c>
      <c r="AN173" s="28" t="str">
        <f>IF(U173&gt;0,_xlfn.MAXIFS(Verlauf!$A$6:$A$1000,Verlauf!$B$6:$B$1000,$A173,Verlauf!$C$6:$C$1000,$B173),"")</f>
        <v/>
      </c>
    </row>
    <row r="174" spans="1:40" x14ac:dyDescent="0.25">
      <c r="A174" s="26">
        <v>2029</v>
      </c>
      <c r="B174" s="26">
        <v>41</v>
      </c>
      <c r="C174" s="7" t="str">
        <f t="shared" si="20"/>
        <v>KW 41/29</v>
      </c>
      <c r="D174" s="26">
        <f>SUMIFS(Verlauf!$K$6:$K$1000,Verlauf!$B$6:$B$1000,$A174,Verlauf!$C$6:$C$1000,$B174)</f>
        <v>0</v>
      </c>
      <c r="E174" s="26">
        <f>SUMIFS(Verlauf!$L$6:$L$1000,Verlauf!$B$6:$B$1000,$A174,Verlauf!$C$6:$C$1000,$B174)</f>
        <v>0</v>
      </c>
      <c r="F174" s="26">
        <f>SUMIFS(Verlauf!$M$6:$M$1000,Verlauf!$B$6:$B$1000,$A174,Verlauf!$C$6:$C$1000,$B174)</f>
        <v>0</v>
      </c>
      <c r="G174" s="26">
        <f>SUMIFS(Verlauf!$J$6:$J$1000,Verlauf!$B$6:$B$1000,$A174,Verlauf!$C$6:$C$1000,$B174)</f>
        <v>0</v>
      </c>
      <c r="H174" s="26">
        <f>SUMIFS(Verlauf!$U$6:$U$1000,Verlauf!$B$6:$B$1000,$A174,Verlauf!$C$6:$C$1000,$B174)</f>
        <v>0</v>
      </c>
      <c r="I174" s="26">
        <f>SUMIFS(Verlauf!$V$6:$V$1000,Verlauf!$B$6:$B$1000,$A174,Verlauf!$C$6:$C$1000,$B174)</f>
        <v>0</v>
      </c>
      <c r="J174" s="26">
        <f>SUMIFS(Verlauf!$W$6:$W$1000,Verlauf!$B$6:$B$1000,$A174,Verlauf!$C$6:$C$1000,$B174)</f>
        <v>0</v>
      </c>
      <c r="K174" s="26">
        <f>SUMIFS(Verlauf!$T$6:$T$1000,Verlauf!$B$6:$B$1000,$A174,Verlauf!$C$6:$C$1000,$B174)</f>
        <v>0</v>
      </c>
      <c r="L174" s="27">
        <f>IF(Filter!$T$7=TRUE,IFERROR(INDEX(Planung!$D$68:$IA$68,MATCH($W174,Wirksam!$D$6:$IA$6,0)),0),0)</f>
        <v>0</v>
      </c>
      <c r="M174" s="27">
        <f>IF(OR(Filter!$T$5=TRUE,Filter!$T$6=TRUE),IFERROR(INDEX(Planung!$D$69:$IA$69,MATCH($W174,Wirksam!$D$6:$IA$6,0)),0),0)</f>
        <v>0</v>
      </c>
      <c r="N174" s="27">
        <f t="shared" si="21"/>
        <v>0</v>
      </c>
      <c r="O174" s="27" t="e">
        <f t="shared" si="22"/>
        <v>#N/A</v>
      </c>
      <c r="P174" s="27" t="e">
        <f t="shared" si="23"/>
        <v>#N/A</v>
      </c>
      <c r="Q174" s="27" t="e">
        <f t="shared" si="24"/>
        <v>#N/A</v>
      </c>
      <c r="R174" s="27" t="e">
        <f t="shared" si="25"/>
        <v>#N/A</v>
      </c>
      <c r="S174" s="27" t="e">
        <f t="shared" si="26"/>
        <v>#N/A</v>
      </c>
      <c r="T174" s="27" t="e">
        <f t="shared" si="27"/>
        <v>#N/A</v>
      </c>
      <c r="U174" s="26">
        <f>COUNTIFS(Verlauf!$B$6:$B$1000,$A174,Verlauf!$C$6:$C$1000,$B174)</f>
        <v>0</v>
      </c>
      <c r="V174" s="26">
        <f t="shared" si="28"/>
        <v>0</v>
      </c>
      <c r="W174" s="26">
        <f t="shared" si="29"/>
        <v>202941</v>
      </c>
      <c r="X174" s="26">
        <f>SUMIFS(Verlauf!$X$6:$X$1000,Verlauf!$B$6:$B$1000,$A174,Verlauf!$C$6:$C$1000,$B174)</f>
        <v>0</v>
      </c>
      <c r="Y174" s="26">
        <f>SUMIFS(Verlauf!$Y$6:$Y$1000,Verlauf!$B$6:$B$1000,$A174,Verlauf!$C$6:$C$1000,$B174)</f>
        <v>0</v>
      </c>
      <c r="Z174" s="26">
        <f>SUMIFS(Verlauf!$Z$6:$Z$1000,Verlauf!$B$6:$B$1000,$A174,Verlauf!$C$6:$C$1000,$B174)</f>
        <v>0</v>
      </c>
      <c r="AA174" s="26">
        <f>SUMIFS(Verlauf!$I$6:$I$1000,Verlauf!$B$6:$B$1000,$A174,Verlauf!$C$6:$C$1000,$B174)</f>
        <v>0</v>
      </c>
      <c r="AB174" s="26">
        <f>SUMIFS(Verlauf!$AA$6:$AA$1000,Verlauf!$B$6:$B$1000,$A174,Verlauf!$C$6:$C$1000,$B174)</f>
        <v>0</v>
      </c>
      <c r="AC174" s="26">
        <f>SUMIFS(Verlauf!$AB$6:$AB$1000,Verlauf!$B$6:$B$1000,$A174,Verlauf!$C$6:$C$1000,$B174)</f>
        <v>0</v>
      </c>
      <c r="AD174" s="26">
        <f>SUMIFS(Verlauf!$AC$6:$AC$1000,Verlauf!$B$6:$B$1000,$A174,Verlauf!$C$6:$C$1000,$B174)</f>
        <v>0</v>
      </c>
      <c r="AE174" s="26">
        <f>SUMIFS(Verlauf!$S$6:$S$1000,Verlauf!$B$6:$B$1000,$A174,Verlauf!$C$6:$C$1000,$B174)</f>
        <v>0</v>
      </c>
      <c r="AF174" s="26" t="str">
        <f>IF($AN174="","",INDEX(Verlauf!$D$6:$D$1000,MATCH($AN174,Verlauf!$A$6:$A$1000,0)))</f>
        <v/>
      </c>
      <c r="AG174" s="26" t="str">
        <f>IF($AN174="","",INDEX(Verlauf!$E$6:$E$1000,MATCH($AN174,Verlauf!$A$6:$A$1000,0)))</f>
        <v/>
      </c>
      <c r="AH174" s="26" t="str">
        <f>IF($AN174="","",INDEX(Verlauf!$F$6:$F$1000,MATCH($AN174,Verlauf!$A$6:$A$1000,0)))</f>
        <v/>
      </c>
      <c r="AI174" s="26" t="str">
        <f>IF($AN174="","",INDEX(Verlauf!$H$6:$H$1000,MATCH($AN174,Verlauf!$A$6:$A$1000,0)))</f>
        <v/>
      </c>
      <c r="AJ174" s="26" t="str">
        <f>IF($AN174="","",INDEX(Verlauf!$N$6:$N$1000,MATCH($AN174,Verlauf!$A$6:$A$1000,0)))</f>
        <v/>
      </c>
      <c r="AK174" s="26" t="str">
        <f>IF($AN174="","",INDEX(Verlauf!$O$6:$O$1000,MATCH($AN174,Verlauf!$A$6:$A$1000,0)))</f>
        <v/>
      </c>
      <c r="AL174" s="26" t="str">
        <f>IF($AN174="","",INDEX(Verlauf!$P$6:$P$1000,MATCH($AN174,Verlauf!$A$6:$A$1000,0)))</f>
        <v/>
      </c>
      <c r="AM174" s="26" t="str">
        <f>IF($AN174="","",INDEX(Verlauf!$R$6:$R$1000,MATCH($AN174,Verlauf!$A$6:$A$1000,0)))</f>
        <v/>
      </c>
      <c r="AN174" s="28" t="str">
        <f>IF(U174&gt;0,_xlfn.MAXIFS(Verlauf!$A$6:$A$1000,Verlauf!$B$6:$B$1000,$A174,Verlauf!$C$6:$C$1000,$B174),"")</f>
        <v/>
      </c>
    </row>
    <row r="175" spans="1:40" x14ac:dyDescent="0.25">
      <c r="A175" s="26">
        <v>2029</v>
      </c>
      <c r="B175" s="26">
        <v>42</v>
      </c>
      <c r="C175" s="7" t="str">
        <f t="shared" si="20"/>
        <v>KW 42/29</v>
      </c>
      <c r="D175" s="26">
        <f>SUMIFS(Verlauf!$K$6:$K$1000,Verlauf!$B$6:$B$1000,$A175,Verlauf!$C$6:$C$1000,$B175)</f>
        <v>0</v>
      </c>
      <c r="E175" s="26">
        <f>SUMIFS(Verlauf!$L$6:$L$1000,Verlauf!$B$6:$B$1000,$A175,Verlauf!$C$6:$C$1000,$B175)</f>
        <v>0</v>
      </c>
      <c r="F175" s="26">
        <f>SUMIFS(Verlauf!$M$6:$M$1000,Verlauf!$B$6:$B$1000,$A175,Verlauf!$C$6:$C$1000,$B175)</f>
        <v>0</v>
      </c>
      <c r="G175" s="26">
        <f>SUMIFS(Verlauf!$J$6:$J$1000,Verlauf!$B$6:$B$1000,$A175,Verlauf!$C$6:$C$1000,$B175)</f>
        <v>0</v>
      </c>
      <c r="H175" s="26">
        <f>SUMIFS(Verlauf!$U$6:$U$1000,Verlauf!$B$6:$B$1000,$A175,Verlauf!$C$6:$C$1000,$B175)</f>
        <v>0</v>
      </c>
      <c r="I175" s="26">
        <f>SUMIFS(Verlauf!$V$6:$V$1000,Verlauf!$B$6:$B$1000,$A175,Verlauf!$C$6:$C$1000,$B175)</f>
        <v>0</v>
      </c>
      <c r="J175" s="26">
        <f>SUMIFS(Verlauf!$W$6:$W$1000,Verlauf!$B$6:$B$1000,$A175,Verlauf!$C$6:$C$1000,$B175)</f>
        <v>0</v>
      </c>
      <c r="K175" s="26">
        <f>SUMIFS(Verlauf!$T$6:$T$1000,Verlauf!$B$6:$B$1000,$A175,Verlauf!$C$6:$C$1000,$B175)</f>
        <v>0</v>
      </c>
      <c r="L175" s="27">
        <f>IF(Filter!$T$7=TRUE,IFERROR(INDEX(Planung!$D$68:$IA$68,MATCH($W175,Wirksam!$D$6:$IA$6,0)),0),0)</f>
        <v>0</v>
      </c>
      <c r="M175" s="27">
        <f>IF(OR(Filter!$T$5=TRUE,Filter!$T$6=TRUE),IFERROR(INDEX(Planung!$D$69:$IA$69,MATCH($W175,Wirksam!$D$6:$IA$6,0)),0),0)</f>
        <v>0</v>
      </c>
      <c r="N175" s="27">
        <f t="shared" si="21"/>
        <v>0</v>
      </c>
      <c r="O175" s="27" t="e">
        <f t="shared" si="22"/>
        <v>#N/A</v>
      </c>
      <c r="P175" s="27" t="e">
        <f t="shared" si="23"/>
        <v>#N/A</v>
      </c>
      <c r="Q175" s="27" t="e">
        <f t="shared" si="24"/>
        <v>#N/A</v>
      </c>
      <c r="R175" s="27" t="e">
        <f t="shared" si="25"/>
        <v>#N/A</v>
      </c>
      <c r="S175" s="27" t="e">
        <f t="shared" si="26"/>
        <v>#N/A</v>
      </c>
      <c r="T175" s="27" t="e">
        <f t="shared" si="27"/>
        <v>#N/A</v>
      </c>
      <c r="U175" s="26">
        <f>COUNTIFS(Verlauf!$B$6:$B$1000,$A175,Verlauf!$C$6:$C$1000,$B175)</f>
        <v>0</v>
      </c>
      <c r="V175" s="26">
        <f t="shared" si="28"/>
        <v>0</v>
      </c>
      <c r="W175" s="26">
        <f t="shared" si="29"/>
        <v>202942</v>
      </c>
      <c r="X175" s="26">
        <f>SUMIFS(Verlauf!$X$6:$X$1000,Verlauf!$B$6:$B$1000,$A175,Verlauf!$C$6:$C$1000,$B175)</f>
        <v>0</v>
      </c>
      <c r="Y175" s="26">
        <f>SUMIFS(Verlauf!$Y$6:$Y$1000,Verlauf!$B$6:$B$1000,$A175,Verlauf!$C$6:$C$1000,$B175)</f>
        <v>0</v>
      </c>
      <c r="Z175" s="26">
        <f>SUMIFS(Verlauf!$Z$6:$Z$1000,Verlauf!$B$6:$B$1000,$A175,Verlauf!$C$6:$C$1000,$B175)</f>
        <v>0</v>
      </c>
      <c r="AA175" s="26">
        <f>SUMIFS(Verlauf!$I$6:$I$1000,Verlauf!$B$6:$B$1000,$A175,Verlauf!$C$6:$C$1000,$B175)</f>
        <v>0</v>
      </c>
      <c r="AB175" s="26">
        <f>SUMIFS(Verlauf!$AA$6:$AA$1000,Verlauf!$B$6:$B$1000,$A175,Verlauf!$C$6:$C$1000,$B175)</f>
        <v>0</v>
      </c>
      <c r="AC175" s="26">
        <f>SUMIFS(Verlauf!$AB$6:$AB$1000,Verlauf!$B$6:$B$1000,$A175,Verlauf!$C$6:$C$1000,$B175)</f>
        <v>0</v>
      </c>
      <c r="AD175" s="26">
        <f>SUMIFS(Verlauf!$AC$6:$AC$1000,Verlauf!$B$6:$B$1000,$A175,Verlauf!$C$6:$C$1000,$B175)</f>
        <v>0</v>
      </c>
      <c r="AE175" s="26">
        <f>SUMIFS(Verlauf!$S$6:$S$1000,Verlauf!$B$6:$B$1000,$A175,Verlauf!$C$6:$C$1000,$B175)</f>
        <v>0</v>
      </c>
      <c r="AF175" s="26" t="str">
        <f>IF($AN175="","",INDEX(Verlauf!$D$6:$D$1000,MATCH($AN175,Verlauf!$A$6:$A$1000,0)))</f>
        <v/>
      </c>
      <c r="AG175" s="26" t="str">
        <f>IF($AN175="","",INDEX(Verlauf!$E$6:$E$1000,MATCH($AN175,Verlauf!$A$6:$A$1000,0)))</f>
        <v/>
      </c>
      <c r="AH175" s="26" t="str">
        <f>IF($AN175="","",INDEX(Verlauf!$F$6:$F$1000,MATCH($AN175,Verlauf!$A$6:$A$1000,0)))</f>
        <v/>
      </c>
      <c r="AI175" s="26" t="str">
        <f>IF($AN175="","",INDEX(Verlauf!$H$6:$H$1000,MATCH($AN175,Verlauf!$A$6:$A$1000,0)))</f>
        <v/>
      </c>
      <c r="AJ175" s="26" t="str">
        <f>IF($AN175="","",INDEX(Verlauf!$N$6:$N$1000,MATCH($AN175,Verlauf!$A$6:$A$1000,0)))</f>
        <v/>
      </c>
      <c r="AK175" s="26" t="str">
        <f>IF($AN175="","",INDEX(Verlauf!$O$6:$O$1000,MATCH($AN175,Verlauf!$A$6:$A$1000,0)))</f>
        <v/>
      </c>
      <c r="AL175" s="26" t="str">
        <f>IF($AN175="","",INDEX(Verlauf!$P$6:$P$1000,MATCH($AN175,Verlauf!$A$6:$A$1000,0)))</f>
        <v/>
      </c>
      <c r="AM175" s="26" t="str">
        <f>IF($AN175="","",INDEX(Verlauf!$R$6:$R$1000,MATCH($AN175,Verlauf!$A$6:$A$1000,0)))</f>
        <v/>
      </c>
      <c r="AN175" s="28" t="str">
        <f>IF(U175&gt;0,_xlfn.MAXIFS(Verlauf!$A$6:$A$1000,Verlauf!$B$6:$B$1000,$A175,Verlauf!$C$6:$C$1000,$B175),"")</f>
        <v/>
      </c>
    </row>
    <row r="176" spans="1:40" x14ac:dyDescent="0.25">
      <c r="A176" s="26">
        <v>2029</v>
      </c>
      <c r="B176" s="26">
        <v>43</v>
      </c>
      <c r="C176" s="7" t="str">
        <f t="shared" si="20"/>
        <v>KW 43/29</v>
      </c>
      <c r="D176" s="26">
        <f>SUMIFS(Verlauf!$K$6:$K$1000,Verlauf!$B$6:$B$1000,$A176,Verlauf!$C$6:$C$1000,$B176)</f>
        <v>0</v>
      </c>
      <c r="E176" s="26">
        <f>SUMIFS(Verlauf!$L$6:$L$1000,Verlauf!$B$6:$B$1000,$A176,Verlauf!$C$6:$C$1000,$B176)</f>
        <v>0</v>
      </c>
      <c r="F176" s="26">
        <f>SUMIFS(Verlauf!$M$6:$M$1000,Verlauf!$B$6:$B$1000,$A176,Verlauf!$C$6:$C$1000,$B176)</f>
        <v>0</v>
      </c>
      <c r="G176" s="26">
        <f>SUMIFS(Verlauf!$J$6:$J$1000,Verlauf!$B$6:$B$1000,$A176,Verlauf!$C$6:$C$1000,$B176)</f>
        <v>0</v>
      </c>
      <c r="H176" s="26">
        <f>SUMIFS(Verlauf!$U$6:$U$1000,Verlauf!$B$6:$B$1000,$A176,Verlauf!$C$6:$C$1000,$B176)</f>
        <v>0</v>
      </c>
      <c r="I176" s="26">
        <f>SUMIFS(Verlauf!$V$6:$V$1000,Verlauf!$B$6:$B$1000,$A176,Verlauf!$C$6:$C$1000,$B176)</f>
        <v>0</v>
      </c>
      <c r="J176" s="26">
        <f>SUMIFS(Verlauf!$W$6:$W$1000,Verlauf!$B$6:$B$1000,$A176,Verlauf!$C$6:$C$1000,$B176)</f>
        <v>0</v>
      </c>
      <c r="K176" s="26">
        <f>SUMIFS(Verlauf!$T$6:$T$1000,Verlauf!$B$6:$B$1000,$A176,Verlauf!$C$6:$C$1000,$B176)</f>
        <v>0</v>
      </c>
      <c r="L176" s="27">
        <f>IF(Filter!$T$7=TRUE,IFERROR(INDEX(Planung!$D$68:$IA$68,MATCH($W176,Wirksam!$D$6:$IA$6,0)),0),0)</f>
        <v>0</v>
      </c>
      <c r="M176" s="27">
        <f>IF(OR(Filter!$T$5=TRUE,Filter!$T$6=TRUE),IFERROR(INDEX(Planung!$D$69:$IA$69,MATCH($W176,Wirksam!$D$6:$IA$6,0)),0),0)</f>
        <v>0</v>
      </c>
      <c r="N176" s="27">
        <f t="shared" si="21"/>
        <v>0</v>
      </c>
      <c r="O176" s="27" t="e">
        <f t="shared" si="22"/>
        <v>#N/A</v>
      </c>
      <c r="P176" s="27" t="e">
        <f t="shared" si="23"/>
        <v>#N/A</v>
      </c>
      <c r="Q176" s="27" t="e">
        <f t="shared" si="24"/>
        <v>#N/A</v>
      </c>
      <c r="R176" s="27" t="e">
        <f t="shared" si="25"/>
        <v>#N/A</v>
      </c>
      <c r="S176" s="27" t="e">
        <f t="shared" si="26"/>
        <v>#N/A</v>
      </c>
      <c r="T176" s="27" t="e">
        <f t="shared" si="27"/>
        <v>#N/A</v>
      </c>
      <c r="U176" s="26">
        <f>COUNTIFS(Verlauf!$B$6:$B$1000,$A176,Verlauf!$C$6:$C$1000,$B176)</f>
        <v>0</v>
      </c>
      <c r="V176" s="26">
        <f t="shared" si="28"/>
        <v>0</v>
      </c>
      <c r="W176" s="26">
        <f t="shared" si="29"/>
        <v>202943</v>
      </c>
      <c r="X176" s="26">
        <f>SUMIFS(Verlauf!$X$6:$X$1000,Verlauf!$B$6:$B$1000,$A176,Verlauf!$C$6:$C$1000,$B176)</f>
        <v>0</v>
      </c>
      <c r="Y176" s="26">
        <f>SUMIFS(Verlauf!$Y$6:$Y$1000,Verlauf!$B$6:$B$1000,$A176,Verlauf!$C$6:$C$1000,$B176)</f>
        <v>0</v>
      </c>
      <c r="Z176" s="26">
        <f>SUMIFS(Verlauf!$Z$6:$Z$1000,Verlauf!$B$6:$B$1000,$A176,Verlauf!$C$6:$C$1000,$B176)</f>
        <v>0</v>
      </c>
      <c r="AA176" s="26">
        <f>SUMIFS(Verlauf!$I$6:$I$1000,Verlauf!$B$6:$B$1000,$A176,Verlauf!$C$6:$C$1000,$B176)</f>
        <v>0</v>
      </c>
      <c r="AB176" s="26">
        <f>SUMIFS(Verlauf!$AA$6:$AA$1000,Verlauf!$B$6:$B$1000,$A176,Verlauf!$C$6:$C$1000,$B176)</f>
        <v>0</v>
      </c>
      <c r="AC176" s="26">
        <f>SUMIFS(Verlauf!$AB$6:$AB$1000,Verlauf!$B$6:$B$1000,$A176,Verlauf!$C$6:$C$1000,$B176)</f>
        <v>0</v>
      </c>
      <c r="AD176" s="26">
        <f>SUMIFS(Verlauf!$AC$6:$AC$1000,Verlauf!$B$6:$B$1000,$A176,Verlauf!$C$6:$C$1000,$B176)</f>
        <v>0</v>
      </c>
      <c r="AE176" s="26">
        <f>SUMIFS(Verlauf!$S$6:$S$1000,Verlauf!$B$6:$B$1000,$A176,Verlauf!$C$6:$C$1000,$B176)</f>
        <v>0</v>
      </c>
      <c r="AF176" s="26" t="str">
        <f>IF($AN176="","",INDEX(Verlauf!$D$6:$D$1000,MATCH($AN176,Verlauf!$A$6:$A$1000,0)))</f>
        <v/>
      </c>
      <c r="AG176" s="26" t="str">
        <f>IF($AN176="","",INDEX(Verlauf!$E$6:$E$1000,MATCH($AN176,Verlauf!$A$6:$A$1000,0)))</f>
        <v/>
      </c>
      <c r="AH176" s="26" t="str">
        <f>IF($AN176="","",INDEX(Verlauf!$F$6:$F$1000,MATCH($AN176,Verlauf!$A$6:$A$1000,0)))</f>
        <v/>
      </c>
      <c r="AI176" s="26" t="str">
        <f>IF($AN176="","",INDEX(Verlauf!$H$6:$H$1000,MATCH($AN176,Verlauf!$A$6:$A$1000,0)))</f>
        <v/>
      </c>
      <c r="AJ176" s="26" t="str">
        <f>IF($AN176="","",INDEX(Verlauf!$N$6:$N$1000,MATCH($AN176,Verlauf!$A$6:$A$1000,0)))</f>
        <v/>
      </c>
      <c r="AK176" s="26" t="str">
        <f>IF($AN176="","",INDEX(Verlauf!$O$6:$O$1000,MATCH($AN176,Verlauf!$A$6:$A$1000,0)))</f>
        <v/>
      </c>
      <c r="AL176" s="26" t="str">
        <f>IF($AN176="","",INDEX(Verlauf!$P$6:$P$1000,MATCH($AN176,Verlauf!$A$6:$A$1000,0)))</f>
        <v/>
      </c>
      <c r="AM176" s="26" t="str">
        <f>IF($AN176="","",INDEX(Verlauf!$R$6:$R$1000,MATCH($AN176,Verlauf!$A$6:$A$1000,0)))</f>
        <v/>
      </c>
      <c r="AN176" s="28" t="str">
        <f>IF(U176&gt;0,_xlfn.MAXIFS(Verlauf!$A$6:$A$1000,Verlauf!$B$6:$B$1000,$A176,Verlauf!$C$6:$C$1000,$B176),"")</f>
        <v/>
      </c>
    </row>
    <row r="177" spans="1:40" x14ac:dyDescent="0.25">
      <c r="A177" s="26">
        <v>2029</v>
      </c>
      <c r="B177" s="26">
        <v>44</v>
      </c>
      <c r="C177" s="7" t="str">
        <f t="shared" si="20"/>
        <v>KW 44/29</v>
      </c>
      <c r="D177" s="26">
        <f>SUMIFS(Verlauf!$K$6:$K$1000,Verlauf!$B$6:$B$1000,$A177,Verlauf!$C$6:$C$1000,$B177)</f>
        <v>0</v>
      </c>
      <c r="E177" s="26">
        <f>SUMIFS(Verlauf!$L$6:$L$1000,Verlauf!$B$6:$B$1000,$A177,Verlauf!$C$6:$C$1000,$B177)</f>
        <v>0</v>
      </c>
      <c r="F177" s="26">
        <f>SUMIFS(Verlauf!$M$6:$M$1000,Verlauf!$B$6:$B$1000,$A177,Verlauf!$C$6:$C$1000,$B177)</f>
        <v>0</v>
      </c>
      <c r="G177" s="26">
        <f>SUMIFS(Verlauf!$J$6:$J$1000,Verlauf!$B$6:$B$1000,$A177,Verlauf!$C$6:$C$1000,$B177)</f>
        <v>0</v>
      </c>
      <c r="H177" s="26">
        <f>SUMIFS(Verlauf!$U$6:$U$1000,Verlauf!$B$6:$B$1000,$A177,Verlauf!$C$6:$C$1000,$B177)</f>
        <v>0</v>
      </c>
      <c r="I177" s="26">
        <f>SUMIFS(Verlauf!$V$6:$V$1000,Verlauf!$B$6:$B$1000,$A177,Verlauf!$C$6:$C$1000,$B177)</f>
        <v>0</v>
      </c>
      <c r="J177" s="26">
        <f>SUMIFS(Verlauf!$W$6:$W$1000,Verlauf!$B$6:$B$1000,$A177,Verlauf!$C$6:$C$1000,$B177)</f>
        <v>0</v>
      </c>
      <c r="K177" s="26">
        <f>SUMIFS(Verlauf!$T$6:$T$1000,Verlauf!$B$6:$B$1000,$A177,Verlauf!$C$6:$C$1000,$B177)</f>
        <v>0</v>
      </c>
      <c r="L177" s="27">
        <f>IF(Filter!$T$7=TRUE,IFERROR(INDEX(Planung!$D$68:$IA$68,MATCH($W177,Wirksam!$D$6:$IA$6,0)),0),0)</f>
        <v>0</v>
      </c>
      <c r="M177" s="27">
        <f>IF(OR(Filter!$T$5=TRUE,Filter!$T$6=TRUE),IFERROR(INDEX(Planung!$D$69:$IA$69,MATCH($W177,Wirksam!$D$6:$IA$6,0)),0),0)</f>
        <v>0</v>
      </c>
      <c r="N177" s="27">
        <f t="shared" si="21"/>
        <v>0</v>
      </c>
      <c r="O177" s="27" t="e">
        <f t="shared" si="22"/>
        <v>#N/A</v>
      </c>
      <c r="P177" s="27" t="e">
        <f t="shared" si="23"/>
        <v>#N/A</v>
      </c>
      <c r="Q177" s="27" t="e">
        <f t="shared" si="24"/>
        <v>#N/A</v>
      </c>
      <c r="R177" s="27" t="e">
        <f t="shared" si="25"/>
        <v>#N/A</v>
      </c>
      <c r="S177" s="27" t="e">
        <f t="shared" si="26"/>
        <v>#N/A</v>
      </c>
      <c r="T177" s="27" t="e">
        <f t="shared" si="27"/>
        <v>#N/A</v>
      </c>
      <c r="U177" s="26">
        <f>COUNTIFS(Verlauf!$B$6:$B$1000,$A177,Verlauf!$C$6:$C$1000,$B177)</f>
        <v>0</v>
      </c>
      <c r="V177" s="26">
        <f t="shared" si="28"/>
        <v>0</v>
      </c>
      <c r="W177" s="26">
        <f t="shared" si="29"/>
        <v>202944</v>
      </c>
      <c r="X177" s="26">
        <f>SUMIFS(Verlauf!$X$6:$X$1000,Verlauf!$B$6:$B$1000,$A177,Verlauf!$C$6:$C$1000,$B177)</f>
        <v>0</v>
      </c>
      <c r="Y177" s="26">
        <f>SUMIFS(Verlauf!$Y$6:$Y$1000,Verlauf!$B$6:$B$1000,$A177,Verlauf!$C$6:$C$1000,$B177)</f>
        <v>0</v>
      </c>
      <c r="Z177" s="26">
        <f>SUMIFS(Verlauf!$Z$6:$Z$1000,Verlauf!$B$6:$B$1000,$A177,Verlauf!$C$6:$C$1000,$B177)</f>
        <v>0</v>
      </c>
      <c r="AA177" s="26">
        <f>SUMIFS(Verlauf!$I$6:$I$1000,Verlauf!$B$6:$B$1000,$A177,Verlauf!$C$6:$C$1000,$B177)</f>
        <v>0</v>
      </c>
      <c r="AB177" s="26">
        <f>SUMIFS(Verlauf!$AA$6:$AA$1000,Verlauf!$B$6:$B$1000,$A177,Verlauf!$C$6:$C$1000,$B177)</f>
        <v>0</v>
      </c>
      <c r="AC177" s="26">
        <f>SUMIFS(Verlauf!$AB$6:$AB$1000,Verlauf!$B$6:$B$1000,$A177,Verlauf!$C$6:$C$1000,$B177)</f>
        <v>0</v>
      </c>
      <c r="AD177" s="26">
        <f>SUMIFS(Verlauf!$AC$6:$AC$1000,Verlauf!$B$6:$B$1000,$A177,Verlauf!$C$6:$C$1000,$B177)</f>
        <v>0</v>
      </c>
      <c r="AE177" s="26">
        <f>SUMIFS(Verlauf!$S$6:$S$1000,Verlauf!$B$6:$B$1000,$A177,Verlauf!$C$6:$C$1000,$B177)</f>
        <v>0</v>
      </c>
      <c r="AF177" s="26" t="str">
        <f>IF($AN177="","",INDEX(Verlauf!$D$6:$D$1000,MATCH($AN177,Verlauf!$A$6:$A$1000,0)))</f>
        <v/>
      </c>
      <c r="AG177" s="26" t="str">
        <f>IF($AN177="","",INDEX(Verlauf!$E$6:$E$1000,MATCH($AN177,Verlauf!$A$6:$A$1000,0)))</f>
        <v/>
      </c>
      <c r="AH177" s="26" t="str">
        <f>IF($AN177="","",INDEX(Verlauf!$F$6:$F$1000,MATCH($AN177,Verlauf!$A$6:$A$1000,0)))</f>
        <v/>
      </c>
      <c r="AI177" s="26" t="str">
        <f>IF($AN177="","",INDEX(Verlauf!$H$6:$H$1000,MATCH($AN177,Verlauf!$A$6:$A$1000,0)))</f>
        <v/>
      </c>
      <c r="AJ177" s="26" t="str">
        <f>IF($AN177="","",INDEX(Verlauf!$N$6:$N$1000,MATCH($AN177,Verlauf!$A$6:$A$1000,0)))</f>
        <v/>
      </c>
      <c r="AK177" s="26" t="str">
        <f>IF($AN177="","",INDEX(Verlauf!$O$6:$O$1000,MATCH($AN177,Verlauf!$A$6:$A$1000,0)))</f>
        <v/>
      </c>
      <c r="AL177" s="26" t="str">
        <f>IF($AN177="","",INDEX(Verlauf!$P$6:$P$1000,MATCH($AN177,Verlauf!$A$6:$A$1000,0)))</f>
        <v/>
      </c>
      <c r="AM177" s="26" t="str">
        <f>IF($AN177="","",INDEX(Verlauf!$R$6:$R$1000,MATCH($AN177,Verlauf!$A$6:$A$1000,0)))</f>
        <v/>
      </c>
      <c r="AN177" s="28" t="str">
        <f>IF(U177&gt;0,_xlfn.MAXIFS(Verlauf!$A$6:$A$1000,Verlauf!$B$6:$B$1000,$A177,Verlauf!$C$6:$C$1000,$B177),"")</f>
        <v/>
      </c>
    </row>
    <row r="178" spans="1:40" x14ac:dyDescent="0.25">
      <c r="A178" s="26">
        <v>2029</v>
      </c>
      <c r="B178" s="26">
        <v>45</v>
      </c>
      <c r="C178" s="7" t="str">
        <f t="shared" si="20"/>
        <v>KW 45/29</v>
      </c>
      <c r="D178" s="26">
        <f>SUMIFS(Verlauf!$K$6:$K$1000,Verlauf!$B$6:$B$1000,$A178,Verlauf!$C$6:$C$1000,$B178)</f>
        <v>0</v>
      </c>
      <c r="E178" s="26">
        <f>SUMIFS(Verlauf!$L$6:$L$1000,Verlauf!$B$6:$B$1000,$A178,Verlauf!$C$6:$C$1000,$B178)</f>
        <v>0</v>
      </c>
      <c r="F178" s="26">
        <f>SUMIFS(Verlauf!$M$6:$M$1000,Verlauf!$B$6:$B$1000,$A178,Verlauf!$C$6:$C$1000,$B178)</f>
        <v>0</v>
      </c>
      <c r="G178" s="26">
        <f>SUMIFS(Verlauf!$J$6:$J$1000,Verlauf!$B$6:$B$1000,$A178,Verlauf!$C$6:$C$1000,$B178)</f>
        <v>0</v>
      </c>
      <c r="H178" s="26">
        <f>SUMIFS(Verlauf!$U$6:$U$1000,Verlauf!$B$6:$B$1000,$A178,Verlauf!$C$6:$C$1000,$B178)</f>
        <v>0</v>
      </c>
      <c r="I178" s="26">
        <f>SUMIFS(Verlauf!$V$6:$V$1000,Verlauf!$B$6:$B$1000,$A178,Verlauf!$C$6:$C$1000,$B178)</f>
        <v>0</v>
      </c>
      <c r="J178" s="26">
        <f>SUMIFS(Verlauf!$W$6:$W$1000,Verlauf!$B$6:$B$1000,$A178,Verlauf!$C$6:$C$1000,$B178)</f>
        <v>0</v>
      </c>
      <c r="K178" s="26">
        <f>SUMIFS(Verlauf!$T$6:$T$1000,Verlauf!$B$6:$B$1000,$A178,Verlauf!$C$6:$C$1000,$B178)</f>
        <v>0</v>
      </c>
      <c r="L178" s="27">
        <f>IF(Filter!$T$7=TRUE,IFERROR(INDEX(Planung!$D$68:$IA$68,MATCH($W178,Wirksam!$D$6:$IA$6,0)),0),0)</f>
        <v>0</v>
      </c>
      <c r="M178" s="27">
        <f>IF(OR(Filter!$T$5=TRUE,Filter!$T$6=TRUE),IFERROR(INDEX(Planung!$D$69:$IA$69,MATCH($W178,Wirksam!$D$6:$IA$6,0)),0),0)</f>
        <v>0</v>
      </c>
      <c r="N178" s="27">
        <f t="shared" si="21"/>
        <v>0</v>
      </c>
      <c r="O178" s="27" t="e">
        <f t="shared" si="22"/>
        <v>#N/A</v>
      </c>
      <c r="P178" s="27" t="e">
        <f t="shared" si="23"/>
        <v>#N/A</v>
      </c>
      <c r="Q178" s="27" t="e">
        <f t="shared" si="24"/>
        <v>#N/A</v>
      </c>
      <c r="R178" s="27" t="e">
        <f t="shared" si="25"/>
        <v>#N/A</v>
      </c>
      <c r="S178" s="27" t="e">
        <f t="shared" si="26"/>
        <v>#N/A</v>
      </c>
      <c r="T178" s="27" t="e">
        <f t="shared" si="27"/>
        <v>#N/A</v>
      </c>
      <c r="U178" s="26">
        <f>COUNTIFS(Verlauf!$B$6:$B$1000,$A178,Verlauf!$C$6:$C$1000,$B178)</f>
        <v>0</v>
      </c>
      <c r="V178" s="26">
        <f t="shared" si="28"/>
        <v>0</v>
      </c>
      <c r="W178" s="26">
        <f t="shared" si="29"/>
        <v>202945</v>
      </c>
      <c r="X178" s="26">
        <f>SUMIFS(Verlauf!$X$6:$X$1000,Verlauf!$B$6:$B$1000,$A178,Verlauf!$C$6:$C$1000,$B178)</f>
        <v>0</v>
      </c>
      <c r="Y178" s="26">
        <f>SUMIFS(Verlauf!$Y$6:$Y$1000,Verlauf!$B$6:$B$1000,$A178,Verlauf!$C$6:$C$1000,$B178)</f>
        <v>0</v>
      </c>
      <c r="Z178" s="26">
        <f>SUMIFS(Verlauf!$Z$6:$Z$1000,Verlauf!$B$6:$B$1000,$A178,Verlauf!$C$6:$C$1000,$B178)</f>
        <v>0</v>
      </c>
      <c r="AA178" s="26">
        <f>SUMIFS(Verlauf!$I$6:$I$1000,Verlauf!$B$6:$B$1000,$A178,Verlauf!$C$6:$C$1000,$B178)</f>
        <v>0</v>
      </c>
      <c r="AB178" s="26">
        <f>SUMIFS(Verlauf!$AA$6:$AA$1000,Verlauf!$B$6:$B$1000,$A178,Verlauf!$C$6:$C$1000,$B178)</f>
        <v>0</v>
      </c>
      <c r="AC178" s="26">
        <f>SUMIFS(Verlauf!$AB$6:$AB$1000,Verlauf!$B$6:$B$1000,$A178,Verlauf!$C$6:$C$1000,$B178)</f>
        <v>0</v>
      </c>
      <c r="AD178" s="26">
        <f>SUMIFS(Verlauf!$AC$6:$AC$1000,Verlauf!$B$6:$B$1000,$A178,Verlauf!$C$6:$C$1000,$B178)</f>
        <v>0</v>
      </c>
      <c r="AE178" s="26">
        <f>SUMIFS(Verlauf!$S$6:$S$1000,Verlauf!$B$6:$B$1000,$A178,Verlauf!$C$6:$C$1000,$B178)</f>
        <v>0</v>
      </c>
      <c r="AF178" s="26" t="str">
        <f>IF($AN178="","",INDEX(Verlauf!$D$6:$D$1000,MATCH($AN178,Verlauf!$A$6:$A$1000,0)))</f>
        <v/>
      </c>
      <c r="AG178" s="26" t="str">
        <f>IF($AN178="","",INDEX(Verlauf!$E$6:$E$1000,MATCH($AN178,Verlauf!$A$6:$A$1000,0)))</f>
        <v/>
      </c>
      <c r="AH178" s="26" t="str">
        <f>IF($AN178="","",INDEX(Verlauf!$F$6:$F$1000,MATCH($AN178,Verlauf!$A$6:$A$1000,0)))</f>
        <v/>
      </c>
      <c r="AI178" s="26" t="str">
        <f>IF($AN178="","",INDEX(Verlauf!$H$6:$H$1000,MATCH($AN178,Verlauf!$A$6:$A$1000,0)))</f>
        <v/>
      </c>
      <c r="AJ178" s="26" t="str">
        <f>IF($AN178="","",INDEX(Verlauf!$N$6:$N$1000,MATCH($AN178,Verlauf!$A$6:$A$1000,0)))</f>
        <v/>
      </c>
      <c r="AK178" s="26" t="str">
        <f>IF($AN178="","",INDEX(Verlauf!$O$6:$O$1000,MATCH($AN178,Verlauf!$A$6:$A$1000,0)))</f>
        <v/>
      </c>
      <c r="AL178" s="26" t="str">
        <f>IF($AN178="","",INDEX(Verlauf!$P$6:$P$1000,MATCH($AN178,Verlauf!$A$6:$A$1000,0)))</f>
        <v/>
      </c>
      <c r="AM178" s="26" t="str">
        <f>IF($AN178="","",INDEX(Verlauf!$R$6:$R$1000,MATCH($AN178,Verlauf!$A$6:$A$1000,0)))</f>
        <v/>
      </c>
      <c r="AN178" s="28" t="str">
        <f>IF(U178&gt;0,_xlfn.MAXIFS(Verlauf!$A$6:$A$1000,Verlauf!$B$6:$B$1000,$A178,Verlauf!$C$6:$C$1000,$B178),"")</f>
        <v/>
      </c>
    </row>
    <row r="179" spans="1:40" x14ac:dyDescent="0.25">
      <c r="A179" s="26">
        <v>2029</v>
      </c>
      <c r="B179" s="26">
        <v>46</v>
      </c>
      <c r="C179" s="7" t="str">
        <f t="shared" si="20"/>
        <v>KW 46/29</v>
      </c>
      <c r="D179" s="26">
        <f>SUMIFS(Verlauf!$K$6:$K$1000,Verlauf!$B$6:$B$1000,$A179,Verlauf!$C$6:$C$1000,$B179)</f>
        <v>0</v>
      </c>
      <c r="E179" s="26">
        <f>SUMIFS(Verlauf!$L$6:$L$1000,Verlauf!$B$6:$B$1000,$A179,Verlauf!$C$6:$C$1000,$B179)</f>
        <v>0</v>
      </c>
      <c r="F179" s="26">
        <f>SUMIFS(Verlauf!$M$6:$M$1000,Verlauf!$B$6:$B$1000,$A179,Verlauf!$C$6:$C$1000,$B179)</f>
        <v>0</v>
      </c>
      <c r="G179" s="26">
        <f>SUMIFS(Verlauf!$J$6:$J$1000,Verlauf!$B$6:$B$1000,$A179,Verlauf!$C$6:$C$1000,$B179)</f>
        <v>0</v>
      </c>
      <c r="H179" s="26">
        <f>SUMIFS(Verlauf!$U$6:$U$1000,Verlauf!$B$6:$B$1000,$A179,Verlauf!$C$6:$C$1000,$B179)</f>
        <v>0</v>
      </c>
      <c r="I179" s="26">
        <f>SUMIFS(Verlauf!$V$6:$V$1000,Verlauf!$B$6:$B$1000,$A179,Verlauf!$C$6:$C$1000,$B179)</f>
        <v>0</v>
      </c>
      <c r="J179" s="26">
        <f>SUMIFS(Verlauf!$W$6:$W$1000,Verlauf!$B$6:$B$1000,$A179,Verlauf!$C$6:$C$1000,$B179)</f>
        <v>0</v>
      </c>
      <c r="K179" s="26">
        <f>SUMIFS(Verlauf!$T$6:$T$1000,Verlauf!$B$6:$B$1000,$A179,Verlauf!$C$6:$C$1000,$B179)</f>
        <v>0</v>
      </c>
      <c r="L179" s="27">
        <f>IF(Filter!$T$7=TRUE,IFERROR(INDEX(Planung!$D$68:$IA$68,MATCH($W179,Wirksam!$D$6:$IA$6,0)),0),0)</f>
        <v>0</v>
      </c>
      <c r="M179" s="27">
        <f>IF(OR(Filter!$T$5=TRUE,Filter!$T$6=TRUE),IFERROR(INDEX(Planung!$D$69:$IA$69,MATCH($W179,Wirksam!$D$6:$IA$6,0)),0),0)</f>
        <v>0</v>
      </c>
      <c r="N179" s="27">
        <f t="shared" si="21"/>
        <v>0</v>
      </c>
      <c r="O179" s="27" t="e">
        <f t="shared" si="22"/>
        <v>#N/A</v>
      </c>
      <c r="P179" s="27" t="e">
        <f t="shared" si="23"/>
        <v>#N/A</v>
      </c>
      <c r="Q179" s="27" t="e">
        <f t="shared" si="24"/>
        <v>#N/A</v>
      </c>
      <c r="R179" s="27" t="e">
        <f t="shared" si="25"/>
        <v>#N/A</v>
      </c>
      <c r="S179" s="27" t="e">
        <f t="shared" si="26"/>
        <v>#N/A</v>
      </c>
      <c r="T179" s="27" t="e">
        <f t="shared" si="27"/>
        <v>#N/A</v>
      </c>
      <c r="U179" s="26">
        <f>COUNTIFS(Verlauf!$B$6:$B$1000,$A179,Verlauf!$C$6:$C$1000,$B179)</f>
        <v>0</v>
      </c>
      <c r="V179" s="26">
        <f t="shared" si="28"/>
        <v>0</v>
      </c>
      <c r="W179" s="26">
        <f t="shared" si="29"/>
        <v>202946</v>
      </c>
      <c r="X179" s="26">
        <f>SUMIFS(Verlauf!$X$6:$X$1000,Verlauf!$B$6:$B$1000,$A179,Verlauf!$C$6:$C$1000,$B179)</f>
        <v>0</v>
      </c>
      <c r="Y179" s="26">
        <f>SUMIFS(Verlauf!$Y$6:$Y$1000,Verlauf!$B$6:$B$1000,$A179,Verlauf!$C$6:$C$1000,$B179)</f>
        <v>0</v>
      </c>
      <c r="Z179" s="26">
        <f>SUMIFS(Verlauf!$Z$6:$Z$1000,Verlauf!$B$6:$B$1000,$A179,Verlauf!$C$6:$C$1000,$B179)</f>
        <v>0</v>
      </c>
      <c r="AA179" s="26">
        <f>SUMIFS(Verlauf!$I$6:$I$1000,Verlauf!$B$6:$B$1000,$A179,Verlauf!$C$6:$C$1000,$B179)</f>
        <v>0</v>
      </c>
      <c r="AB179" s="26">
        <f>SUMIFS(Verlauf!$AA$6:$AA$1000,Verlauf!$B$6:$B$1000,$A179,Verlauf!$C$6:$C$1000,$B179)</f>
        <v>0</v>
      </c>
      <c r="AC179" s="26">
        <f>SUMIFS(Verlauf!$AB$6:$AB$1000,Verlauf!$B$6:$B$1000,$A179,Verlauf!$C$6:$C$1000,$B179)</f>
        <v>0</v>
      </c>
      <c r="AD179" s="26">
        <f>SUMIFS(Verlauf!$AC$6:$AC$1000,Verlauf!$B$6:$B$1000,$A179,Verlauf!$C$6:$C$1000,$B179)</f>
        <v>0</v>
      </c>
      <c r="AE179" s="26">
        <f>SUMIFS(Verlauf!$S$6:$S$1000,Verlauf!$B$6:$B$1000,$A179,Verlauf!$C$6:$C$1000,$B179)</f>
        <v>0</v>
      </c>
      <c r="AF179" s="26" t="str">
        <f>IF($AN179="","",INDEX(Verlauf!$D$6:$D$1000,MATCH($AN179,Verlauf!$A$6:$A$1000,0)))</f>
        <v/>
      </c>
      <c r="AG179" s="26" t="str">
        <f>IF($AN179="","",INDEX(Verlauf!$E$6:$E$1000,MATCH($AN179,Verlauf!$A$6:$A$1000,0)))</f>
        <v/>
      </c>
      <c r="AH179" s="26" t="str">
        <f>IF($AN179="","",INDEX(Verlauf!$F$6:$F$1000,MATCH($AN179,Verlauf!$A$6:$A$1000,0)))</f>
        <v/>
      </c>
      <c r="AI179" s="26" t="str">
        <f>IF($AN179="","",INDEX(Verlauf!$H$6:$H$1000,MATCH($AN179,Verlauf!$A$6:$A$1000,0)))</f>
        <v/>
      </c>
      <c r="AJ179" s="26" t="str">
        <f>IF($AN179="","",INDEX(Verlauf!$N$6:$N$1000,MATCH($AN179,Verlauf!$A$6:$A$1000,0)))</f>
        <v/>
      </c>
      <c r="AK179" s="26" t="str">
        <f>IF($AN179="","",INDEX(Verlauf!$O$6:$O$1000,MATCH($AN179,Verlauf!$A$6:$A$1000,0)))</f>
        <v/>
      </c>
      <c r="AL179" s="26" t="str">
        <f>IF($AN179="","",INDEX(Verlauf!$P$6:$P$1000,MATCH($AN179,Verlauf!$A$6:$A$1000,0)))</f>
        <v/>
      </c>
      <c r="AM179" s="26" t="str">
        <f>IF($AN179="","",INDEX(Verlauf!$R$6:$R$1000,MATCH($AN179,Verlauf!$A$6:$A$1000,0)))</f>
        <v/>
      </c>
      <c r="AN179" s="28" t="str">
        <f>IF(U179&gt;0,_xlfn.MAXIFS(Verlauf!$A$6:$A$1000,Verlauf!$B$6:$B$1000,$A179,Verlauf!$C$6:$C$1000,$B179),"")</f>
        <v/>
      </c>
    </row>
    <row r="180" spans="1:40" x14ac:dyDescent="0.25">
      <c r="A180" s="26">
        <v>2029</v>
      </c>
      <c r="B180" s="26">
        <v>47</v>
      </c>
      <c r="C180" s="7" t="str">
        <f t="shared" si="20"/>
        <v>KW 47/29</v>
      </c>
      <c r="D180" s="26">
        <f>SUMIFS(Verlauf!$K$6:$K$1000,Verlauf!$B$6:$B$1000,$A180,Verlauf!$C$6:$C$1000,$B180)</f>
        <v>0</v>
      </c>
      <c r="E180" s="26">
        <f>SUMIFS(Verlauf!$L$6:$L$1000,Verlauf!$B$6:$B$1000,$A180,Verlauf!$C$6:$C$1000,$B180)</f>
        <v>0</v>
      </c>
      <c r="F180" s="26">
        <f>SUMIFS(Verlauf!$M$6:$M$1000,Verlauf!$B$6:$B$1000,$A180,Verlauf!$C$6:$C$1000,$B180)</f>
        <v>0</v>
      </c>
      <c r="G180" s="26">
        <f>SUMIFS(Verlauf!$J$6:$J$1000,Verlauf!$B$6:$B$1000,$A180,Verlauf!$C$6:$C$1000,$B180)</f>
        <v>0</v>
      </c>
      <c r="H180" s="26">
        <f>SUMIFS(Verlauf!$U$6:$U$1000,Verlauf!$B$6:$B$1000,$A180,Verlauf!$C$6:$C$1000,$B180)</f>
        <v>0</v>
      </c>
      <c r="I180" s="26">
        <f>SUMIFS(Verlauf!$V$6:$V$1000,Verlauf!$B$6:$B$1000,$A180,Verlauf!$C$6:$C$1000,$B180)</f>
        <v>0</v>
      </c>
      <c r="J180" s="26">
        <f>SUMIFS(Verlauf!$W$6:$W$1000,Verlauf!$B$6:$B$1000,$A180,Verlauf!$C$6:$C$1000,$B180)</f>
        <v>0</v>
      </c>
      <c r="K180" s="26">
        <f>SUMIFS(Verlauf!$T$6:$T$1000,Verlauf!$B$6:$B$1000,$A180,Verlauf!$C$6:$C$1000,$B180)</f>
        <v>0</v>
      </c>
      <c r="L180" s="27">
        <f>IF(Filter!$T$7=TRUE,IFERROR(INDEX(Planung!$D$68:$IA$68,MATCH($W180,Wirksam!$D$6:$IA$6,0)),0),0)</f>
        <v>0</v>
      </c>
      <c r="M180" s="27">
        <f>IF(OR(Filter!$T$5=TRUE,Filter!$T$6=TRUE),IFERROR(INDEX(Planung!$D$69:$IA$69,MATCH($W180,Wirksam!$D$6:$IA$6,0)),0),0)</f>
        <v>0</v>
      </c>
      <c r="N180" s="27">
        <f t="shared" si="21"/>
        <v>0</v>
      </c>
      <c r="O180" s="27" t="e">
        <f t="shared" si="22"/>
        <v>#N/A</v>
      </c>
      <c r="P180" s="27" t="e">
        <f t="shared" si="23"/>
        <v>#N/A</v>
      </c>
      <c r="Q180" s="27" t="e">
        <f t="shared" si="24"/>
        <v>#N/A</v>
      </c>
      <c r="R180" s="27" t="e">
        <f t="shared" si="25"/>
        <v>#N/A</v>
      </c>
      <c r="S180" s="27" t="e">
        <f t="shared" si="26"/>
        <v>#N/A</v>
      </c>
      <c r="T180" s="27" t="e">
        <f t="shared" si="27"/>
        <v>#N/A</v>
      </c>
      <c r="U180" s="26">
        <f>COUNTIFS(Verlauf!$B$6:$B$1000,$A180,Verlauf!$C$6:$C$1000,$B180)</f>
        <v>0</v>
      </c>
      <c r="V180" s="26">
        <f t="shared" si="28"/>
        <v>0</v>
      </c>
      <c r="W180" s="26">
        <f t="shared" si="29"/>
        <v>202947</v>
      </c>
      <c r="X180" s="26">
        <f>SUMIFS(Verlauf!$X$6:$X$1000,Verlauf!$B$6:$B$1000,$A180,Verlauf!$C$6:$C$1000,$B180)</f>
        <v>0</v>
      </c>
      <c r="Y180" s="26">
        <f>SUMIFS(Verlauf!$Y$6:$Y$1000,Verlauf!$B$6:$B$1000,$A180,Verlauf!$C$6:$C$1000,$B180)</f>
        <v>0</v>
      </c>
      <c r="Z180" s="26">
        <f>SUMIFS(Verlauf!$Z$6:$Z$1000,Verlauf!$B$6:$B$1000,$A180,Verlauf!$C$6:$C$1000,$B180)</f>
        <v>0</v>
      </c>
      <c r="AA180" s="26">
        <f>SUMIFS(Verlauf!$I$6:$I$1000,Verlauf!$B$6:$B$1000,$A180,Verlauf!$C$6:$C$1000,$B180)</f>
        <v>0</v>
      </c>
      <c r="AB180" s="26">
        <f>SUMIFS(Verlauf!$AA$6:$AA$1000,Verlauf!$B$6:$B$1000,$A180,Verlauf!$C$6:$C$1000,$B180)</f>
        <v>0</v>
      </c>
      <c r="AC180" s="26">
        <f>SUMIFS(Verlauf!$AB$6:$AB$1000,Verlauf!$B$6:$B$1000,$A180,Verlauf!$C$6:$C$1000,$B180)</f>
        <v>0</v>
      </c>
      <c r="AD180" s="26">
        <f>SUMIFS(Verlauf!$AC$6:$AC$1000,Verlauf!$B$6:$B$1000,$A180,Verlauf!$C$6:$C$1000,$B180)</f>
        <v>0</v>
      </c>
      <c r="AE180" s="26">
        <f>SUMIFS(Verlauf!$S$6:$S$1000,Verlauf!$B$6:$B$1000,$A180,Verlauf!$C$6:$C$1000,$B180)</f>
        <v>0</v>
      </c>
      <c r="AF180" s="26" t="str">
        <f>IF($AN180="","",INDEX(Verlauf!$D$6:$D$1000,MATCH($AN180,Verlauf!$A$6:$A$1000,0)))</f>
        <v/>
      </c>
      <c r="AG180" s="26" t="str">
        <f>IF($AN180="","",INDEX(Verlauf!$E$6:$E$1000,MATCH($AN180,Verlauf!$A$6:$A$1000,0)))</f>
        <v/>
      </c>
      <c r="AH180" s="26" t="str">
        <f>IF($AN180="","",INDEX(Verlauf!$F$6:$F$1000,MATCH($AN180,Verlauf!$A$6:$A$1000,0)))</f>
        <v/>
      </c>
      <c r="AI180" s="26" t="str">
        <f>IF($AN180="","",INDEX(Verlauf!$H$6:$H$1000,MATCH($AN180,Verlauf!$A$6:$A$1000,0)))</f>
        <v/>
      </c>
      <c r="AJ180" s="26" t="str">
        <f>IF($AN180="","",INDEX(Verlauf!$N$6:$N$1000,MATCH($AN180,Verlauf!$A$6:$A$1000,0)))</f>
        <v/>
      </c>
      <c r="AK180" s="26" t="str">
        <f>IF($AN180="","",INDEX(Verlauf!$O$6:$O$1000,MATCH($AN180,Verlauf!$A$6:$A$1000,0)))</f>
        <v/>
      </c>
      <c r="AL180" s="26" t="str">
        <f>IF($AN180="","",INDEX(Verlauf!$P$6:$P$1000,MATCH($AN180,Verlauf!$A$6:$A$1000,0)))</f>
        <v/>
      </c>
      <c r="AM180" s="26" t="str">
        <f>IF($AN180="","",INDEX(Verlauf!$R$6:$R$1000,MATCH($AN180,Verlauf!$A$6:$A$1000,0)))</f>
        <v/>
      </c>
      <c r="AN180" s="28" t="str">
        <f>IF(U180&gt;0,_xlfn.MAXIFS(Verlauf!$A$6:$A$1000,Verlauf!$B$6:$B$1000,$A180,Verlauf!$C$6:$C$1000,$B180),"")</f>
        <v/>
      </c>
    </row>
    <row r="181" spans="1:40" x14ac:dyDescent="0.25">
      <c r="A181" s="26">
        <v>2029</v>
      </c>
      <c r="B181" s="26">
        <v>48</v>
      </c>
      <c r="C181" s="7" t="str">
        <f t="shared" si="20"/>
        <v>KW 48/29</v>
      </c>
      <c r="D181" s="26">
        <f>SUMIFS(Verlauf!$K$6:$K$1000,Verlauf!$B$6:$B$1000,$A181,Verlauf!$C$6:$C$1000,$B181)</f>
        <v>0</v>
      </c>
      <c r="E181" s="26">
        <f>SUMIFS(Verlauf!$L$6:$L$1000,Verlauf!$B$6:$B$1000,$A181,Verlauf!$C$6:$C$1000,$B181)</f>
        <v>0</v>
      </c>
      <c r="F181" s="26">
        <f>SUMIFS(Verlauf!$M$6:$M$1000,Verlauf!$B$6:$B$1000,$A181,Verlauf!$C$6:$C$1000,$B181)</f>
        <v>0</v>
      </c>
      <c r="G181" s="26">
        <f>SUMIFS(Verlauf!$J$6:$J$1000,Verlauf!$B$6:$B$1000,$A181,Verlauf!$C$6:$C$1000,$B181)</f>
        <v>0</v>
      </c>
      <c r="H181" s="26">
        <f>SUMIFS(Verlauf!$U$6:$U$1000,Verlauf!$B$6:$B$1000,$A181,Verlauf!$C$6:$C$1000,$B181)</f>
        <v>0</v>
      </c>
      <c r="I181" s="26">
        <f>SUMIFS(Verlauf!$V$6:$V$1000,Verlauf!$B$6:$B$1000,$A181,Verlauf!$C$6:$C$1000,$B181)</f>
        <v>0</v>
      </c>
      <c r="J181" s="26">
        <f>SUMIFS(Verlauf!$W$6:$W$1000,Verlauf!$B$6:$B$1000,$A181,Verlauf!$C$6:$C$1000,$B181)</f>
        <v>0</v>
      </c>
      <c r="K181" s="26">
        <f>SUMIFS(Verlauf!$T$6:$T$1000,Verlauf!$B$6:$B$1000,$A181,Verlauf!$C$6:$C$1000,$B181)</f>
        <v>0</v>
      </c>
      <c r="L181" s="27">
        <f>IF(Filter!$T$7=TRUE,IFERROR(INDEX(Planung!$D$68:$IA$68,MATCH($W181,Wirksam!$D$6:$IA$6,0)),0),0)</f>
        <v>0</v>
      </c>
      <c r="M181" s="27">
        <f>IF(OR(Filter!$T$5=TRUE,Filter!$T$6=TRUE),IFERROR(INDEX(Planung!$D$69:$IA$69,MATCH($W181,Wirksam!$D$6:$IA$6,0)),0),0)</f>
        <v>0</v>
      </c>
      <c r="N181" s="27">
        <f t="shared" si="21"/>
        <v>0</v>
      </c>
      <c r="O181" s="27" t="e">
        <f t="shared" si="22"/>
        <v>#N/A</v>
      </c>
      <c r="P181" s="27" t="e">
        <f t="shared" si="23"/>
        <v>#N/A</v>
      </c>
      <c r="Q181" s="27" t="e">
        <f t="shared" si="24"/>
        <v>#N/A</v>
      </c>
      <c r="R181" s="27" t="e">
        <f t="shared" si="25"/>
        <v>#N/A</v>
      </c>
      <c r="S181" s="27" t="e">
        <f t="shared" si="26"/>
        <v>#N/A</v>
      </c>
      <c r="T181" s="27" t="e">
        <f t="shared" si="27"/>
        <v>#N/A</v>
      </c>
      <c r="U181" s="26">
        <f>COUNTIFS(Verlauf!$B$6:$B$1000,$A181,Verlauf!$C$6:$C$1000,$B181)</f>
        <v>0</v>
      </c>
      <c r="V181" s="26">
        <f t="shared" si="28"/>
        <v>0</v>
      </c>
      <c r="W181" s="26">
        <f t="shared" si="29"/>
        <v>202948</v>
      </c>
      <c r="X181" s="26">
        <f>SUMIFS(Verlauf!$X$6:$X$1000,Verlauf!$B$6:$B$1000,$A181,Verlauf!$C$6:$C$1000,$B181)</f>
        <v>0</v>
      </c>
      <c r="Y181" s="26">
        <f>SUMIFS(Verlauf!$Y$6:$Y$1000,Verlauf!$B$6:$B$1000,$A181,Verlauf!$C$6:$C$1000,$B181)</f>
        <v>0</v>
      </c>
      <c r="Z181" s="26">
        <f>SUMIFS(Verlauf!$Z$6:$Z$1000,Verlauf!$B$6:$B$1000,$A181,Verlauf!$C$6:$C$1000,$B181)</f>
        <v>0</v>
      </c>
      <c r="AA181" s="26">
        <f>SUMIFS(Verlauf!$I$6:$I$1000,Verlauf!$B$6:$B$1000,$A181,Verlauf!$C$6:$C$1000,$B181)</f>
        <v>0</v>
      </c>
      <c r="AB181" s="26">
        <f>SUMIFS(Verlauf!$AA$6:$AA$1000,Verlauf!$B$6:$B$1000,$A181,Verlauf!$C$6:$C$1000,$B181)</f>
        <v>0</v>
      </c>
      <c r="AC181" s="26">
        <f>SUMIFS(Verlauf!$AB$6:$AB$1000,Verlauf!$B$6:$B$1000,$A181,Verlauf!$C$6:$C$1000,$B181)</f>
        <v>0</v>
      </c>
      <c r="AD181" s="26">
        <f>SUMIFS(Verlauf!$AC$6:$AC$1000,Verlauf!$B$6:$B$1000,$A181,Verlauf!$C$6:$C$1000,$B181)</f>
        <v>0</v>
      </c>
      <c r="AE181" s="26">
        <f>SUMIFS(Verlauf!$S$6:$S$1000,Verlauf!$B$6:$B$1000,$A181,Verlauf!$C$6:$C$1000,$B181)</f>
        <v>0</v>
      </c>
      <c r="AF181" s="26" t="str">
        <f>IF($AN181="","",INDEX(Verlauf!$D$6:$D$1000,MATCH($AN181,Verlauf!$A$6:$A$1000,0)))</f>
        <v/>
      </c>
      <c r="AG181" s="26" t="str">
        <f>IF($AN181="","",INDEX(Verlauf!$E$6:$E$1000,MATCH($AN181,Verlauf!$A$6:$A$1000,0)))</f>
        <v/>
      </c>
      <c r="AH181" s="26" t="str">
        <f>IF($AN181="","",INDEX(Verlauf!$F$6:$F$1000,MATCH($AN181,Verlauf!$A$6:$A$1000,0)))</f>
        <v/>
      </c>
      <c r="AI181" s="26" t="str">
        <f>IF($AN181="","",INDEX(Verlauf!$H$6:$H$1000,MATCH($AN181,Verlauf!$A$6:$A$1000,0)))</f>
        <v/>
      </c>
      <c r="AJ181" s="26" t="str">
        <f>IF($AN181="","",INDEX(Verlauf!$N$6:$N$1000,MATCH($AN181,Verlauf!$A$6:$A$1000,0)))</f>
        <v/>
      </c>
      <c r="AK181" s="26" t="str">
        <f>IF($AN181="","",INDEX(Verlauf!$O$6:$O$1000,MATCH($AN181,Verlauf!$A$6:$A$1000,0)))</f>
        <v/>
      </c>
      <c r="AL181" s="26" t="str">
        <f>IF($AN181="","",INDEX(Verlauf!$P$6:$P$1000,MATCH($AN181,Verlauf!$A$6:$A$1000,0)))</f>
        <v/>
      </c>
      <c r="AM181" s="26" t="str">
        <f>IF($AN181="","",INDEX(Verlauf!$R$6:$R$1000,MATCH($AN181,Verlauf!$A$6:$A$1000,0)))</f>
        <v/>
      </c>
      <c r="AN181" s="28" t="str">
        <f>IF(U181&gt;0,_xlfn.MAXIFS(Verlauf!$A$6:$A$1000,Verlauf!$B$6:$B$1000,$A181,Verlauf!$C$6:$C$1000,$B181),"")</f>
        <v/>
      </c>
    </row>
    <row r="182" spans="1:40" x14ac:dyDescent="0.25">
      <c r="A182" s="26">
        <v>2029</v>
      </c>
      <c r="B182" s="26">
        <v>49</v>
      </c>
      <c r="C182" s="7" t="str">
        <f t="shared" si="20"/>
        <v>KW 49/29</v>
      </c>
      <c r="D182" s="26">
        <f>SUMIFS(Verlauf!$K$6:$K$1000,Verlauf!$B$6:$B$1000,$A182,Verlauf!$C$6:$C$1000,$B182)</f>
        <v>0</v>
      </c>
      <c r="E182" s="26">
        <f>SUMIFS(Verlauf!$L$6:$L$1000,Verlauf!$B$6:$B$1000,$A182,Verlauf!$C$6:$C$1000,$B182)</f>
        <v>0</v>
      </c>
      <c r="F182" s="26">
        <f>SUMIFS(Verlauf!$M$6:$M$1000,Verlauf!$B$6:$B$1000,$A182,Verlauf!$C$6:$C$1000,$B182)</f>
        <v>0</v>
      </c>
      <c r="G182" s="26">
        <f>SUMIFS(Verlauf!$J$6:$J$1000,Verlauf!$B$6:$B$1000,$A182,Verlauf!$C$6:$C$1000,$B182)</f>
        <v>0</v>
      </c>
      <c r="H182" s="26">
        <f>SUMIFS(Verlauf!$U$6:$U$1000,Verlauf!$B$6:$B$1000,$A182,Verlauf!$C$6:$C$1000,$B182)</f>
        <v>0</v>
      </c>
      <c r="I182" s="26">
        <f>SUMIFS(Verlauf!$V$6:$V$1000,Verlauf!$B$6:$B$1000,$A182,Verlauf!$C$6:$C$1000,$B182)</f>
        <v>0</v>
      </c>
      <c r="J182" s="26">
        <f>SUMIFS(Verlauf!$W$6:$W$1000,Verlauf!$B$6:$B$1000,$A182,Verlauf!$C$6:$C$1000,$B182)</f>
        <v>0</v>
      </c>
      <c r="K182" s="26">
        <f>SUMIFS(Verlauf!$T$6:$T$1000,Verlauf!$B$6:$B$1000,$A182,Verlauf!$C$6:$C$1000,$B182)</f>
        <v>0</v>
      </c>
      <c r="L182" s="27">
        <f>IF(Filter!$T$7=TRUE,IFERROR(INDEX(Planung!$D$68:$IA$68,MATCH($W182,Wirksam!$D$6:$IA$6,0)),0),0)</f>
        <v>0</v>
      </c>
      <c r="M182" s="27">
        <f>IF(OR(Filter!$T$5=TRUE,Filter!$T$6=TRUE),IFERROR(INDEX(Planung!$D$69:$IA$69,MATCH($W182,Wirksam!$D$6:$IA$6,0)),0),0)</f>
        <v>0</v>
      </c>
      <c r="N182" s="27">
        <f t="shared" si="21"/>
        <v>0</v>
      </c>
      <c r="O182" s="27" t="e">
        <f t="shared" si="22"/>
        <v>#N/A</v>
      </c>
      <c r="P182" s="27" t="e">
        <f t="shared" si="23"/>
        <v>#N/A</v>
      </c>
      <c r="Q182" s="27" t="e">
        <f t="shared" si="24"/>
        <v>#N/A</v>
      </c>
      <c r="R182" s="27" t="e">
        <f t="shared" si="25"/>
        <v>#N/A</v>
      </c>
      <c r="S182" s="27" t="e">
        <f t="shared" si="26"/>
        <v>#N/A</v>
      </c>
      <c r="T182" s="27" t="e">
        <f t="shared" si="27"/>
        <v>#N/A</v>
      </c>
      <c r="U182" s="26">
        <f>COUNTIFS(Verlauf!$B$6:$B$1000,$A182,Verlauf!$C$6:$C$1000,$B182)</f>
        <v>0</v>
      </c>
      <c r="V182" s="26">
        <f t="shared" si="28"/>
        <v>0</v>
      </c>
      <c r="W182" s="26">
        <f t="shared" si="29"/>
        <v>202949</v>
      </c>
      <c r="X182" s="26">
        <f>SUMIFS(Verlauf!$X$6:$X$1000,Verlauf!$B$6:$B$1000,$A182,Verlauf!$C$6:$C$1000,$B182)</f>
        <v>0</v>
      </c>
      <c r="Y182" s="26">
        <f>SUMIFS(Verlauf!$Y$6:$Y$1000,Verlauf!$B$6:$B$1000,$A182,Verlauf!$C$6:$C$1000,$B182)</f>
        <v>0</v>
      </c>
      <c r="Z182" s="26">
        <f>SUMIFS(Verlauf!$Z$6:$Z$1000,Verlauf!$B$6:$B$1000,$A182,Verlauf!$C$6:$C$1000,$B182)</f>
        <v>0</v>
      </c>
      <c r="AA182" s="26">
        <f>SUMIFS(Verlauf!$I$6:$I$1000,Verlauf!$B$6:$B$1000,$A182,Verlauf!$C$6:$C$1000,$B182)</f>
        <v>0</v>
      </c>
      <c r="AB182" s="26">
        <f>SUMIFS(Verlauf!$AA$6:$AA$1000,Verlauf!$B$6:$B$1000,$A182,Verlauf!$C$6:$C$1000,$B182)</f>
        <v>0</v>
      </c>
      <c r="AC182" s="26">
        <f>SUMIFS(Verlauf!$AB$6:$AB$1000,Verlauf!$B$6:$B$1000,$A182,Verlauf!$C$6:$C$1000,$B182)</f>
        <v>0</v>
      </c>
      <c r="AD182" s="26">
        <f>SUMIFS(Verlauf!$AC$6:$AC$1000,Verlauf!$B$6:$B$1000,$A182,Verlauf!$C$6:$C$1000,$B182)</f>
        <v>0</v>
      </c>
      <c r="AE182" s="26">
        <f>SUMIFS(Verlauf!$S$6:$S$1000,Verlauf!$B$6:$B$1000,$A182,Verlauf!$C$6:$C$1000,$B182)</f>
        <v>0</v>
      </c>
      <c r="AF182" s="26" t="str">
        <f>IF($AN182="","",INDEX(Verlauf!$D$6:$D$1000,MATCH($AN182,Verlauf!$A$6:$A$1000,0)))</f>
        <v/>
      </c>
      <c r="AG182" s="26" t="str">
        <f>IF($AN182="","",INDEX(Verlauf!$E$6:$E$1000,MATCH($AN182,Verlauf!$A$6:$A$1000,0)))</f>
        <v/>
      </c>
      <c r="AH182" s="26" t="str">
        <f>IF($AN182="","",INDEX(Verlauf!$F$6:$F$1000,MATCH($AN182,Verlauf!$A$6:$A$1000,0)))</f>
        <v/>
      </c>
      <c r="AI182" s="26" t="str">
        <f>IF($AN182="","",INDEX(Verlauf!$H$6:$H$1000,MATCH($AN182,Verlauf!$A$6:$A$1000,0)))</f>
        <v/>
      </c>
      <c r="AJ182" s="26" t="str">
        <f>IF($AN182="","",INDEX(Verlauf!$N$6:$N$1000,MATCH($AN182,Verlauf!$A$6:$A$1000,0)))</f>
        <v/>
      </c>
      <c r="AK182" s="26" t="str">
        <f>IF($AN182="","",INDEX(Verlauf!$O$6:$O$1000,MATCH($AN182,Verlauf!$A$6:$A$1000,0)))</f>
        <v/>
      </c>
      <c r="AL182" s="26" t="str">
        <f>IF($AN182="","",INDEX(Verlauf!$P$6:$P$1000,MATCH($AN182,Verlauf!$A$6:$A$1000,0)))</f>
        <v/>
      </c>
      <c r="AM182" s="26" t="str">
        <f>IF($AN182="","",INDEX(Verlauf!$R$6:$R$1000,MATCH($AN182,Verlauf!$A$6:$A$1000,0)))</f>
        <v/>
      </c>
      <c r="AN182" s="28" t="str">
        <f>IF(U182&gt;0,_xlfn.MAXIFS(Verlauf!$A$6:$A$1000,Verlauf!$B$6:$B$1000,$A182,Verlauf!$C$6:$C$1000,$B182),"")</f>
        <v/>
      </c>
    </row>
    <row r="183" spans="1:40" x14ac:dyDescent="0.25">
      <c r="A183" s="26">
        <v>2029</v>
      </c>
      <c r="B183" s="26">
        <v>50</v>
      </c>
      <c r="C183" s="7" t="str">
        <f t="shared" si="20"/>
        <v>KW 50/29</v>
      </c>
      <c r="D183" s="26">
        <f>SUMIFS(Verlauf!$K$6:$K$1000,Verlauf!$B$6:$B$1000,$A183,Verlauf!$C$6:$C$1000,$B183)</f>
        <v>0</v>
      </c>
      <c r="E183" s="26">
        <f>SUMIFS(Verlauf!$L$6:$L$1000,Verlauf!$B$6:$B$1000,$A183,Verlauf!$C$6:$C$1000,$B183)</f>
        <v>0</v>
      </c>
      <c r="F183" s="26">
        <f>SUMIFS(Verlauf!$M$6:$M$1000,Verlauf!$B$6:$B$1000,$A183,Verlauf!$C$6:$C$1000,$B183)</f>
        <v>0</v>
      </c>
      <c r="G183" s="26">
        <f>SUMIFS(Verlauf!$J$6:$J$1000,Verlauf!$B$6:$B$1000,$A183,Verlauf!$C$6:$C$1000,$B183)</f>
        <v>0</v>
      </c>
      <c r="H183" s="26">
        <f>SUMIFS(Verlauf!$U$6:$U$1000,Verlauf!$B$6:$B$1000,$A183,Verlauf!$C$6:$C$1000,$B183)</f>
        <v>0</v>
      </c>
      <c r="I183" s="26">
        <f>SUMIFS(Verlauf!$V$6:$V$1000,Verlauf!$B$6:$B$1000,$A183,Verlauf!$C$6:$C$1000,$B183)</f>
        <v>0</v>
      </c>
      <c r="J183" s="26">
        <f>SUMIFS(Verlauf!$W$6:$W$1000,Verlauf!$B$6:$B$1000,$A183,Verlauf!$C$6:$C$1000,$B183)</f>
        <v>0</v>
      </c>
      <c r="K183" s="26">
        <f>SUMIFS(Verlauf!$T$6:$T$1000,Verlauf!$B$6:$B$1000,$A183,Verlauf!$C$6:$C$1000,$B183)</f>
        <v>0</v>
      </c>
      <c r="L183" s="27">
        <f>IF(Filter!$T$7=TRUE,IFERROR(INDEX(Planung!$D$68:$IA$68,MATCH($W183,Wirksam!$D$6:$IA$6,0)),0),0)</f>
        <v>0</v>
      </c>
      <c r="M183" s="27">
        <f>IF(OR(Filter!$T$5=TRUE,Filter!$T$6=TRUE),IFERROR(INDEX(Planung!$D$69:$IA$69,MATCH($W183,Wirksam!$D$6:$IA$6,0)),0),0)</f>
        <v>0</v>
      </c>
      <c r="N183" s="27">
        <f t="shared" si="21"/>
        <v>0</v>
      </c>
      <c r="O183" s="27" t="e">
        <f t="shared" si="22"/>
        <v>#N/A</v>
      </c>
      <c r="P183" s="27" t="e">
        <f t="shared" si="23"/>
        <v>#N/A</v>
      </c>
      <c r="Q183" s="27" t="e">
        <f t="shared" si="24"/>
        <v>#N/A</v>
      </c>
      <c r="R183" s="27" t="e">
        <f t="shared" si="25"/>
        <v>#N/A</v>
      </c>
      <c r="S183" s="27" t="e">
        <f t="shared" si="26"/>
        <v>#N/A</v>
      </c>
      <c r="T183" s="27" t="e">
        <f t="shared" si="27"/>
        <v>#N/A</v>
      </c>
      <c r="U183" s="26">
        <f>COUNTIFS(Verlauf!$B$6:$B$1000,$A183,Verlauf!$C$6:$C$1000,$B183)</f>
        <v>0</v>
      </c>
      <c r="V183" s="26">
        <f t="shared" si="28"/>
        <v>0</v>
      </c>
      <c r="W183" s="26">
        <f t="shared" si="29"/>
        <v>202950</v>
      </c>
      <c r="X183" s="26">
        <f>SUMIFS(Verlauf!$X$6:$X$1000,Verlauf!$B$6:$B$1000,$A183,Verlauf!$C$6:$C$1000,$B183)</f>
        <v>0</v>
      </c>
      <c r="Y183" s="26">
        <f>SUMIFS(Verlauf!$Y$6:$Y$1000,Verlauf!$B$6:$B$1000,$A183,Verlauf!$C$6:$C$1000,$B183)</f>
        <v>0</v>
      </c>
      <c r="Z183" s="26">
        <f>SUMIFS(Verlauf!$Z$6:$Z$1000,Verlauf!$B$6:$B$1000,$A183,Verlauf!$C$6:$C$1000,$B183)</f>
        <v>0</v>
      </c>
      <c r="AA183" s="26">
        <f>SUMIFS(Verlauf!$I$6:$I$1000,Verlauf!$B$6:$B$1000,$A183,Verlauf!$C$6:$C$1000,$B183)</f>
        <v>0</v>
      </c>
      <c r="AB183" s="26">
        <f>SUMIFS(Verlauf!$AA$6:$AA$1000,Verlauf!$B$6:$B$1000,$A183,Verlauf!$C$6:$C$1000,$B183)</f>
        <v>0</v>
      </c>
      <c r="AC183" s="26">
        <f>SUMIFS(Verlauf!$AB$6:$AB$1000,Verlauf!$B$6:$B$1000,$A183,Verlauf!$C$6:$C$1000,$B183)</f>
        <v>0</v>
      </c>
      <c r="AD183" s="26">
        <f>SUMIFS(Verlauf!$AC$6:$AC$1000,Verlauf!$B$6:$B$1000,$A183,Verlauf!$C$6:$C$1000,$B183)</f>
        <v>0</v>
      </c>
      <c r="AE183" s="26">
        <f>SUMIFS(Verlauf!$S$6:$S$1000,Verlauf!$B$6:$B$1000,$A183,Verlauf!$C$6:$C$1000,$B183)</f>
        <v>0</v>
      </c>
      <c r="AF183" s="26" t="str">
        <f>IF($AN183="","",INDEX(Verlauf!$D$6:$D$1000,MATCH($AN183,Verlauf!$A$6:$A$1000,0)))</f>
        <v/>
      </c>
      <c r="AG183" s="26" t="str">
        <f>IF($AN183="","",INDEX(Verlauf!$E$6:$E$1000,MATCH($AN183,Verlauf!$A$6:$A$1000,0)))</f>
        <v/>
      </c>
      <c r="AH183" s="26" t="str">
        <f>IF($AN183="","",INDEX(Verlauf!$F$6:$F$1000,MATCH($AN183,Verlauf!$A$6:$A$1000,0)))</f>
        <v/>
      </c>
      <c r="AI183" s="26" t="str">
        <f>IF($AN183="","",INDEX(Verlauf!$H$6:$H$1000,MATCH($AN183,Verlauf!$A$6:$A$1000,0)))</f>
        <v/>
      </c>
      <c r="AJ183" s="26" t="str">
        <f>IF($AN183="","",INDEX(Verlauf!$N$6:$N$1000,MATCH($AN183,Verlauf!$A$6:$A$1000,0)))</f>
        <v/>
      </c>
      <c r="AK183" s="26" t="str">
        <f>IF($AN183="","",INDEX(Verlauf!$O$6:$O$1000,MATCH($AN183,Verlauf!$A$6:$A$1000,0)))</f>
        <v/>
      </c>
      <c r="AL183" s="26" t="str">
        <f>IF($AN183="","",INDEX(Verlauf!$P$6:$P$1000,MATCH($AN183,Verlauf!$A$6:$A$1000,0)))</f>
        <v/>
      </c>
      <c r="AM183" s="26" t="str">
        <f>IF($AN183="","",INDEX(Verlauf!$R$6:$R$1000,MATCH($AN183,Verlauf!$A$6:$A$1000,0)))</f>
        <v/>
      </c>
      <c r="AN183" s="28" t="str">
        <f>IF(U183&gt;0,_xlfn.MAXIFS(Verlauf!$A$6:$A$1000,Verlauf!$B$6:$B$1000,$A183,Verlauf!$C$6:$C$1000,$B183),"")</f>
        <v/>
      </c>
    </row>
    <row r="184" spans="1:40" x14ac:dyDescent="0.25">
      <c r="A184" s="26">
        <v>2029</v>
      </c>
      <c r="B184" s="26">
        <v>51</v>
      </c>
      <c r="C184" s="7" t="str">
        <f t="shared" si="20"/>
        <v>KW 51/29</v>
      </c>
      <c r="D184" s="26">
        <f>SUMIFS(Verlauf!$K$6:$K$1000,Verlauf!$B$6:$B$1000,$A184,Verlauf!$C$6:$C$1000,$B184)</f>
        <v>0</v>
      </c>
      <c r="E184" s="26">
        <f>SUMIFS(Verlauf!$L$6:$L$1000,Verlauf!$B$6:$B$1000,$A184,Verlauf!$C$6:$C$1000,$B184)</f>
        <v>0</v>
      </c>
      <c r="F184" s="26">
        <f>SUMIFS(Verlauf!$M$6:$M$1000,Verlauf!$B$6:$B$1000,$A184,Verlauf!$C$6:$C$1000,$B184)</f>
        <v>0</v>
      </c>
      <c r="G184" s="26">
        <f>SUMIFS(Verlauf!$J$6:$J$1000,Verlauf!$B$6:$B$1000,$A184,Verlauf!$C$6:$C$1000,$B184)</f>
        <v>0</v>
      </c>
      <c r="H184" s="26">
        <f>SUMIFS(Verlauf!$U$6:$U$1000,Verlauf!$B$6:$B$1000,$A184,Verlauf!$C$6:$C$1000,$B184)</f>
        <v>0</v>
      </c>
      <c r="I184" s="26">
        <f>SUMIFS(Verlauf!$V$6:$V$1000,Verlauf!$B$6:$B$1000,$A184,Verlauf!$C$6:$C$1000,$B184)</f>
        <v>0</v>
      </c>
      <c r="J184" s="26">
        <f>SUMIFS(Verlauf!$W$6:$W$1000,Verlauf!$B$6:$B$1000,$A184,Verlauf!$C$6:$C$1000,$B184)</f>
        <v>0</v>
      </c>
      <c r="K184" s="26">
        <f>SUMIFS(Verlauf!$T$6:$T$1000,Verlauf!$B$6:$B$1000,$A184,Verlauf!$C$6:$C$1000,$B184)</f>
        <v>0</v>
      </c>
      <c r="L184" s="27">
        <f>IF(Filter!$T$7=TRUE,IFERROR(INDEX(Planung!$D$68:$IA$68,MATCH($W184,Wirksam!$D$6:$IA$6,0)),0),0)</f>
        <v>0</v>
      </c>
      <c r="M184" s="27">
        <f>IF(OR(Filter!$T$5=TRUE,Filter!$T$6=TRUE),IFERROR(INDEX(Planung!$D$69:$IA$69,MATCH($W184,Wirksam!$D$6:$IA$6,0)),0),0)</f>
        <v>0</v>
      </c>
      <c r="N184" s="27">
        <f t="shared" si="21"/>
        <v>0</v>
      </c>
      <c r="O184" s="27" t="e">
        <f t="shared" si="22"/>
        <v>#N/A</v>
      </c>
      <c r="P184" s="27" t="e">
        <f t="shared" si="23"/>
        <v>#N/A</v>
      </c>
      <c r="Q184" s="27" t="e">
        <f t="shared" si="24"/>
        <v>#N/A</v>
      </c>
      <c r="R184" s="27" t="e">
        <f t="shared" si="25"/>
        <v>#N/A</v>
      </c>
      <c r="S184" s="27" t="e">
        <f t="shared" si="26"/>
        <v>#N/A</v>
      </c>
      <c r="T184" s="27" t="e">
        <f t="shared" si="27"/>
        <v>#N/A</v>
      </c>
      <c r="U184" s="26">
        <f>COUNTIFS(Verlauf!$B$6:$B$1000,$A184,Verlauf!$C$6:$C$1000,$B184)</f>
        <v>0</v>
      </c>
      <c r="V184" s="26">
        <f t="shared" si="28"/>
        <v>0</v>
      </c>
      <c r="W184" s="26">
        <f t="shared" si="29"/>
        <v>202951</v>
      </c>
      <c r="X184" s="26">
        <f>SUMIFS(Verlauf!$X$6:$X$1000,Verlauf!$B$6:$B$1000,$A184,Verlauf!$C$6:$C$1000,$B184)</f>
        <v>0</v>
      </c>
      <c r="Y184" s="26">
        <f>SUMIFS(Verlauf!$Y$6:$Y$1000,Verlauf!$B$6:$B$1000,$A184,Verlauf!$C$6:$C$1000,$B184)</f>
        <v>0</v>
      </c>
      <c r="Z184" s="26">
        <f>SUMIFS(Verlauf!$Z$6:$Z$1000,Verlauf!$B$6:$B$1000,$A184,Verlauf!$C$6:$C$1000,$B184)</f>
        <v>0</v>
      </c>
      <c r="AA184" s="26">
        <f>SUMIFS(Verlauf!$I$6:$I$1000,Verlauf!$B$6:$B$1000,$A184,Verlauf!$C$6:$C$1000,$B184)</f>
        <v>0</v>
      </c>
      <c r="AB184" s="26">
        <f>SUMIFS(Verlauf!$AA$6:$AA$1000,Verlauf!$B$6:$B$1000,$A184,Verlauf!$C$6:$C$1000,$B184)</f>
        <v>0</v>
      </c>
      <c r="AC184" s="26">
        <f>SUMIFS(Verlauf!$AB$6:$AB$1000,Verlauf!$B$6:$B$1000,$A184,Verlauf!$C$6:$C$1000,$B184)</f>
        <v>0</v>
      </c>
      <c r="AD184" s="26">
        <f>SUMIFS(Verlauf!$AC$6:$AC$1000,Verlauf!$B$6:$B$1000,$A184,Verlauf!$C$6:$C$1000,$B184)</f>
        <v>0</v>
      </c>
      <c r="AE184" s="26">
        <f>SUMIFS(Verlauf!$S$6:$S$1000,Verlauf!$B$6:$B$1000,$A184,Verlauf!$C$6:$C$1000,$B184)</f>
        <v>0</v>
      </c>
      <c r="AF184" s="26" t="str">
        <f>IF($AN184="","",INDEX(Verlauf!$D$6:$D$1000,MATCH($AN184,Verlauf!$A$6:$A$1000,0)))</f>
        <v/>
      </c>
      <c r="AG184" s="26" t="str">
        <f>IF($AN184="","",INDEX(Verlauf!$E$6:$E$1000,MATCH($AN184,Verlauf!$A$6:$A$1000,0)))</f>
        <v/>
      </c>
      <c r="AH184" s="26" t="str">
        <f>IF($AN184="","",INDEX(Verlauf!$F$6:$F$1000,MATCH($AN184,Verlauf!$A$6:$A$1000,0)))</f>
        <v/>
      </c>
      <c r="AI184" s="26" t="str">
        <f>IF($AN184="","",INDEX(Verlauf!$H$6:$H$1000,MATCH($AN184,Verlauf!$A$6:$A$1000,0)))</f>
        <v/>
      </c>
      <c r="AJ184" s="26" t="str">
        <f>IF($AN184="","",INDEX(Verlauf!$N$6:$N$1000,MATCH($AN184,Verlauf!$A$6:$A$1000,0)))</f>
        <v/>
      </c>
      <c r="AK184" s="26" t="str">
        <f>IF($AN184="","",INDEX(Verlauf!$O$6:$O$1000,MATCH($AN184,Verlauf!$A$6:$A$1000,0)))</f>
        <v/>
      </c>
      <c r="AL184" s="26" t="str">
        <f>IF($AN184="","",INDEX(Verlauf!$P$6:$P$1000,MATCH($AN184,Verlauf!$A$6:$A$1000,0)))</f>
        <v/>
      </c>
      <c r="AM184" s="26" t="str">
        <f>IF($AN184="","",INDEX(Verlauf!$R$6:$R$1000,MATCH($AN184,Verlauf!$A$6:$A$1000,0)))</f>
        <v/>
      </c>
      <c r="AN184" s="28" t="str">
        <f>IF(U184&gt;0,_xlfn.MAXIFS(Verlauf!$A$6:$A$1000,Verlauf!$B$6:$B$1000,$A184,Verlauf!$C$6:$C$1000,$B184),"")</f>
        <v/>
      </c>
    </row>
    <row r="185" spans="1:40" x14ac:dyDescent="0.25">
      <c r="A185" s="26">
        <v>2029</v>
      </c>
      <c r="B185" s="26">
        <v>52</v>
      </c>
      <c r="C185" s="7" t="str">
        <f t="shared" si="20"/>
        <v>KW 52/29</v>
      </c>
      <c r="D185" s="26">
        <f>SUMIFS(Verlauf!$K$6:$K$1000,Verlauf!$B$6:$B$1000,$A185,Verlauf!$C$6:$C$1000,$B185)</f>
        <v>0</v>
      </c>
      <c r="E185" s="26">
        <f>SUMIFS(Verlauf!$L$6:$L$1000,Verlauf!$B$6:$B$1000,$A185,Verlauf!$C$6:$C$1000,$B185)</f>
        <v>0</v>
      </c>
      <c r="F185" s="26">
        <f>SUMIFS(Verlauf!$M$6:$M$1000,Verlauf!$B$6:$B$1000,$A185,Verlauf!$C$6:$C$1000,$B185)</f>
        <v>0</v>
      </c>
      <c r="G185" s="26">
        <f>SUMIFS(Verlauf!$J$6:$J$1000,Verlauf!$B$6:$B$1000,$A185,Verlauf!$C$6:$C$1000,$B185)</f>
        <v>0</v>
      </c>
      <c r="H185" s="26">
        <f>SUMIFS(Verlauf!$U$6:$U$1000,Verlauf!$B$6:$B$1000,$A185,Verlauf!$C$6:$C$1000,$B185)</f>
        <v>0</v>
      </c>
      <c r="I185" s="26">
        <f>SUMIFS(Verlauf!$V$6:$V$1000,Verlauf!$B$6:$B$1000,$A185,Verlauf!$C$6:$C$1000,$B185)</f>
        <v>0</v>
      </c>
      <c r="J185" s="26">
        <f>SUMIFS(Verlauf!$W$6:$W$1000,Verlauf!$B$6:$B$1000,$A185,Verlauf!$C$6:$C$1000,$B185)</f>
        <v>0</v>
      </c>
      <c r="K185" s="26">
        <f>SUMIFS(Verlauf!$T$6:$T$1000,Verlauf!$B$6:$B$1000,$A185,Verlauf!$C$6:$C$1000,$B185)</f>
        <v>0</v>
      </c>
      <c r="L185" s="27">
        <f>IF(Filter!$T$7=TRUE,IFERROR(INDEX(Planung!$D$68:$IA$68,MATCH($W185,Wirksam!$D$6:$IA$6,0)),0),0)</f>
        <v>0</v>
      </c>
      <c r="M185" s="27">
        <f>IF(OR(Filter!$T$5=TRUE,Filter!$T$6=TRUE),IFERROR(INDEX(Planung!$D$69:$IA$69,MATCH($W185,Wirksam!$D$6:$IA$6,0)),0),0)</f>
        <v>0</v>
      </c>
      <c r="N185" s="27">
        <f t="shared" si="21"/>
        <v>0</v>
      </c>
      <c r="O185" s="27" t="e">
        <f t="shared" si="22"/>
        <v>#N/A</v>
      </c>
      <c r="P185" s="27" t="e">
        <f t="shared" si="23"/>
        <v>#N/A</v>
      </c>
      <c r="Q185" s="27" t="e">
        <f t="shared" si="24"/>
        <v>#N/A</v>
      </c>
      <c r="R185" s="27" t="e">
        <f t="shared" si="25"/>
        <v>#N/A</v>
      </c>
      <c r="S185" s="27" t="e">
        <f t="shared" si="26"/>
        <v>#N/A</v>
      </c>
      <c r="T185" s="27" t="e">
        <f t="shared" si="27"/>
        <v>#N/A</v>
      </c>
      <c r="U185" s="26">
        <f>COUNTIFS(Verlauf!$B$6:$B$1000,$A185,Verlauf!$C$6:$C$1000,$B185)</f>
        <v>0</v>
      </c>
      <c r="V185" s="26">
        <f t="shared" si="28"/>
        <v>0</v>
      </c>
      <c r="W185" s="26">
        <f t="shared" si="29"/>
        <v>202952</v>
      </c>
      <c r="X185" s="26">
        <f>SUMIFS(Verlauf!$X$6:$X$1000,Verlauf!$B$6:$B$1000,$A185,Verlauf!$C$6:$C$1000,$B185)</f>
        <v>0</v>
      </c>
      <c r="Y185" s="26">
        <f>SUMIFS(Verlauf!$Y$6:$Y$1000,Verlauf!$B$6:$B$1000,$A185,Verlauf!$C$6:$C$1000,$B185)</f>
        <v>0</v>
      </c>
      <c r="Z185" s="26">
        <f>SUMIFS(Verlauf!$Z$6:$Z$1000,Verlauf!$B$6:$B$1000,$A185,Verlauf!$C$6:$C$1000,$B185)</f>
        <v>0</v>
      </c>
      <c r="AA185" s="26">
        <f>SUMIFS(Verlauf!$I$6:$I$1000,Verlauf!$B$6:$B$1000,$A185,Verlauf!$C$6:$C$1000,$B185)</f>
        <v>0</v>
      </c>
      <c r="AB185" s="26">
        <f>SUMIFS(Verlauf!$AA$6:$AA$1000,Verlauf!$B$6:$B$1000,$A185,Verlauf!$C$6:$C$1000,$B185)</f>
        <v>0</v>
      </c>
      <c r="AC185" s="26">
        <f>SUMIFS(Verlauf!$AB$6:$AB$1000,Verlauf!$B$6:$B$1000,$A185,Verlauf!$C$6:$C$1000,$B185)</f>
        <v>0</v>
      </c>
      <c r="AD185" s="26">
        <f>SUMIFS(Verlauf!$AC$6:$AC$1000,Verlauf!$B$6:$B$1000,$A185,Verlauf!$C$6:$C$1000,$B185)</f>
        <v>0</v>
      </c>
      <c r="AE185" s="26">
        <f>SUMIFS(Verlauf!$S$6:$S$1000,Verlauf!$B$6:$B$1000,$A185,Verlauf!$C$6:$C$1000,$B185)</f>
        <v>0</v>
      </c>
      <c r="AF185" s="26" t="str">
        <f>IF($AN185="","",INDEX(Verlauf!$D$6:$D$1000,MATCH($AN185,Verlauf!$A$6:$A$1000,0)))</f>
        <v/>
      </c>
      <c r="AG185" s="26" t="str">
        <f>IF($AN185="","",INDEX(Verlauf!$E$6:$E$1000,MATCH($AN185,Verlauf!$A$6:$A$1000,0)))</f>
        <v/>
      </c>
      <c r="AH185" s="26" t="str">
        <f>IF($AN185="","",INDEX(Verlauf!$F$6:$F$1000,MATCH($AN185,Verlauf!$A$6:$A$1000,0)))</f>
        <v/>
      </c>
      <c r="AI185" s="26" t="str">
        <f>IF($AN185="","",INDEX(Verlauf!$H$6:$H$1000,MATCH($AN185,Verlauf!$A$6:$A$1000,0)))</f>
        <v/>
      </c>
      <c r="AJ185" s="26" t="str">
        <f>IF($AN185="","",INDEX(Verlauf!$N$6:$N$1000,MATCH($AN185,Verlauf!$A$6:$A$1000,0)))</f>
        <v/>
      </c>
      <c r="AK185" s="26" t="str">
        <f>IF($AN185="","",INDEX(Verlauf!$O$6:$O$1000,MATCH($AN185,Verlauf!$A$6:$A$1000,0)))</f>
        <v/>
      </c>
      <c r="AL185" s="26" t="str">
        <f>IF($AN185="","",INDEX(Verlauf!$P$6:$P$1000,MATCH($AN185,Verlauf!$A$6:$A$1000,0)))</f>
        <v/>
      </c>
      <c r="AM185" s="26" t="str">
        <f>IF($AN185="","",INDEX(Verlauf!$R$6:$R$1000,MATCH($AN185,Verlauf!$A$6:$A$1000,0)))</f>
        <v/>
      </c>
      <c r="AN185" s="28" t="str">
        <f>IF(U185&gt;0,_xlfn.MAXIFS(Verlauf!$A$6:$A$1000,Verlauf!$B$6:$B$1000,$A185,Verlauf!$C$6:$C$1000,$B185),"")</f>
        <v/>
      </c>
    </row>
    <row r="186" spans="1:40" x14ac:dyDescent="0.25">
      <c r="A186" s="26">
        <v>2030</v>
      </c>
      <c r="B186" s="26">
        <v>1</v>
      </c>
      <c r="C186" s="7" t="str">
        <f t="shared" si="20"/>
        <v>KW 1/30</v>
      </c>
      <c r="D186" s="26">
        <f>SUMIFS(Verlauf!$K$6:$K$1000,Verlauf!$B$6:$B$1000,$A186,Verlauf!$C$6:$C$1000,$B186)</f>
        <v>0</v>
      </c>
      <c r="E186" s="26">
        <f>SUMIFS(Verlauf!$L$6:$L$1000,Verlauf!$B$6:$B$1000,$A186,Verlauf!$C$6:$C$1000,$B186)</f>
        <v>0</v>
      </c>
      <c r="F186" s="26">
        <f>SUMIFS(Verlauf!$M$6:$M$1000,Verlauf!$B$6:$B$1000,$A186,Verlauf!$C$6:$C$1000,$B186)</f>
        <v>0</v>
      </c>
      <c r="G186" s="26">
        <f>SUMIFS(Verlauf!$J$6:$J$1000,Verlauf!$B$6:$B$1000,$A186,Verlauf!$C$6:$C$1000,$B186)</f>
        <v>0</v>
      </c>
      <c r="H186" s="26">
        <f>SUMIFS(Verlauf!$U$6:$U$1000,Verlauf!$B$6:$B$1000,$A186,Verlauf!$C$6:$C$1000,$B186)</f>
        <v>0</v>
      </c>
      <c r="I186" s="26">
        <f>SUMIFS(Verlauf!$V$6:$V$1000,Verlauf!$B$6:$B$1000,$A186,Verlauf!$C$6:$C$1000,$B186)</f>
        <v>0</v>
      </c>
      <c r="J186" s="26">
        <f>SUMIFS(Verlauf!$W$6:$W$1000,Verlauf!$B$6:$B$1000,$A186,Verlauf!$C$6:$C$1000,$B186)</f>
        <v>0</v>
      </c>
      <c r="K186" s="26">
        <f>SUMIFS(Verlauf!$T$6:$T$1000,Verlauf!$B$6:$B$1000,$A186,Verlauf!$C$6:$C$1000,$B186)</f>
        <v>0</v>
      </c>
      <c r="L186" s="27">
        <f>IF(Filter!$T$7=TRUE,IFERROR(INDEX(Planung!$D$68:$IA$68,MATCH($W186,Wirksam!$D$6:$IA$6,0)),0),0)</f>
        <v>0</v>
      </c>
      <c r="M186" s="27">
        <f>IF(OR(Filter!$T$5=TRUE,Filter!$T$6=TRUE),IFERROR(INDEX(Planung!$D$69:$IA$69,MATCH($W186,Wirksam!$D$6:$IA$6,0)),0),0)</f>
        <v>0</v>
      </c>
      <c r="N186" s="27">
        <f t="shared" si="21"/>
        <v>0</v>
      </c>
      <c r="O186" s="27" t="e">
        <f t="shared" si="22"/>
        <v>#N/A</v>
      </c>
      <c r="P186" s="27" t="e">
        <f t="shared" si="23"/>
        <v>#N/A</v>
      </c>
      <c r="Q186" s="27" t="e">
        <f t="shared" si="24"/>
        <v>#N/A</v>
      </c>
      <c r="R186" s="27" t="e">
        <f t="shared" si="25"/>
        <v>#N/A</v>
      </c>
      <c r="S186" s="27" t="e">
        <f t="shared" si="26"/>
        <v>#N/A</v>
      </c>
      <c r="T186" s="27" t="e">
        <f t="shared" si="27"/>
        <v>#N/A</v>
      </c>
      <c r="U186" s="26">
        <f>COUNTIFS(Verlauf!$B$6:$B$1000,$A186,Verlauf!$C$6:$C$1000,$B186)</f>
        <v>0</v>
      </c>
      <c r="V186" s="26">
        <f t="shared" si="28"/>
        <v>0</v>
      </c>
      <c r="W186" s="26">
        <f t="shared" si="29"/>
        <v>203001</v>
      </c>
      <c r="X186" s="26">
        <f>SUMIFS(Verlauf!$X$6:$X$1000,Verlauf!$B$6:$B$1000,$A186,Verlauf!$C$6:$C$1000,$B186)</f>
        <v>0</v>
      </c>
      <c r="Y186" s="26">
        <f>SUMIFS(Verlauf!$Y$6:$Y$1000,Verlauf!$B$6:$B$1000,$A186,Verlauf!$C$6:$C$1000,$B186)</f>
        <v>0</v>
      </c>
      <c r="Z186" s="26">
        <f>SUMIFS(Verlauf!$Z$6:$Z$1000,Verlauf!$B$6:$B$1000,$A186,Verlauf!$C$6:$C$1000,$B186)</f>
        <v>0</v>
      </c>
      <c r="AA186" s="26">
        <f>SUMIFS(Verlauf!$I$6:$I$1000,Verlauf!$B$6:$B$1000,$A186,Verlauf!$C$6:$C$1000,$B186)</f>
        <v>0</v>
      </c>
      <c r="AB186" s="26">
        <f>SUMIFS(Verlauf!$AA$6:$AA$1000,Verlauf!$B$6:$B$1000,$A186,Verlauf!$C$6:$C$1000,$B186)</f>
        <v>0</v>
      </c>
      <c r="AC186" s="26">
        <f>SUMIFS(Verlauf!$AB$6:$AB$1000,Verlauf!$B$6:$B$1000,$A186,Verlauf!$C$6:$C$1000,$B186)</f>
        <v>0</v>
      </c>
      <c r="AD186" s="26">
        <f>SUMIFS(Verlauf!$AC$6:$AC$1000,Verlauf!$B$6:$B$1000,$A186,Verlauf!$C$6:$C$1000,$B186)</f>
        <v>0</v>
      </c>
      <c r="AE186" s="26">
        <f>SUMIFS(Verlauf!$S$6:$S$1000,Verlauf!$B$6:$B$1000,$A186,Verlauf!$C$6:$C$1000,$B186)</f>
        <v>0</v>
      </c>
      <c r="AF186" s="26" t="str">
        <f>IF($AN186="","",INDEX(Verlauf!$D$6:$D$1000,MATCH($AN186,Verlauf!$A$6:$A$1000,0)))</f>
        <v/>
      </c>
      <c r="AG186" s="26" t="str">
        <f>IF($AN186="","",INDEX(Verlauf!$E$6:$E$1000,MATCH($AN186,Verlauf!$A$6:$A$1000,0)))</f>
        <v/>
      </c>
      <c r="AH186" s="26" t="str">
        <f>IF($AN186="","",INDEX(Verlauf!$F$6:$F$1000,MATCH($AN186,Verlauf!$A$6:$A$1000,0)))</f>
        <v/>
      </c>
      <c r="AI186" s="26" t="str">
        <f>IF($AN186="","",INDEX(Verlauf!$H$6:$H$1000,MATCH($AN186,Verlauf!$A$6:$A$1000,0)))</f>
        <v/>
      </c>
      <c r="AJ186" s="26" t="str">
        <f>IF($AN186="","",INDEX(Verlauf!$N$6:$N$1000,MATCH($AN186,Verlauf!$A$6:$A$1000,0)))</f>
        <v/>
      </c>
      <c r="AK186" s="26" t="str">
        <f>IF($AN186="","",INDEX(Verlauf!$O$6:$O$1000,MATCH($AN186,Verlauf!$A$6:$A$1000,0)))</f>
        <v/>
      </c>
      <c r="AL186" s="26" t="str">
        <f>IF($AN186="","",INDEX(Verlauf!$P$6:$P$1000,MATCH($AN186,Verlauf!$A$6:$A$1000,0)))</f>
        <v/>
      </c>
      <c r="AM186" s="26" t="str">
        <f>IF($AN186="","",INDEX(Verlauf!$R$6:$R$1000,MATCH($AN186,Verlauf!$A$6:$A$1000,0)))</f>
        <v/>
      </c>
      <c r="AN186" s="28" t="str">
        <f>IF(U186&gt;0,_xlfn.MAXIFS(Verlauf!$A$6:$A$1000,Verlauf!$B$6:$B$1000,$A186,Verlauf!$C$6:$C$1000,$B186),"")</f>
        <v/>
      </c>
    </row>
    <row r="187" spans="1:40" x14ac:dyDescent="0.25">
      <c r="A187" s="26">
        <v>2030</v>
      </c>
      <c r="B187" s="26">
        <v>2</v>
      </c>
      <c r="C187" s="7" t="str">
        <f t="shared" si="20"/>
        <v>KW 2/30</v>
      </c>
      <c r="D187" s="26">
        <f>SUMIFS(Verlauf!$K$6:$K$1000,Verlauf!$B$6:$B$1000,$A187,Verlauf!$C$6:$C$1000,$B187)</f>
        <v>0</v>
      </c>
      <c r="E187" s="26">
        <f>SUMIFS(Verlauf!$L$6:$L$1000,Verlauf!$B$6:$B$1000,$A187,Verlauf!$C$6:$C$1000,$B187)</f>
        <v>0</v>
      </c>
      <c r="F187" s="26">
        <f>SUMIFS(Verlauf!$M$6:$M$1000,Verlauf!$B$6:$B$1000,$A187,Verlauf!$C$6:$C$1000,$B187)</f>
        <v>0</v>
      </c>
      <c r="G187" s="26">
        <f>SUMIFS(Verlauf!$J$6:$J$1000,Verlauf!$B$6:$B$1000,$A187,Verlauf!$C$6:$C$1000,$B187)</f>
        <v>0</v>
      </c>
      <c r="H187" s="26">
        <f>SUMIFS(Verlauf!$U$6:$U$1000,Verlauf!$B$6:$B$1000,$A187,Verlauf!$C$6:$C$1000,$B187)</f>
        <v>0</v>
      </c>
      <c r="I187" s="26">
        <f>SUMIFS(Verlauf!$V$6:$V$1000,Verlauf!$B$6:$B$1000,$A187,Verlauf!$C$6:$C$1000,$B187)</f>
        <v>0</v>
      </c>
      <c r="J187" s="26">
        <f>SUMIFS(Verlauf!$W$6:$W$1000,Verlauf!$B$6:$B$1000,$A187,Verlauf!$C$6:$C$1000,$B187)</f>
        <v>0</v>
      </c>
      <c r="K187" s="26">
        <f>SUMIFS(Verlauf!$T$6:$T$1000,Verlauf!$B$6:$B$1000,$A187,Verlauf!$C$6:$C$1000,$B187)</f>
        <v>0</v>
      </c>
      <c r="L187" s="27">
        <f>IF(Filter!$T$7=TRUE,IFERROR(INDEX(Planung!$D$68:$IA$68,MATCH($W187,Wirksam!$D$6:$IA$6,0)),0),0)</f>
        <v>0</v>
      </c>
      <c r="M187" s="27">
        <f>IF(OR(Filter!$T$5=TRUE,Filter!$T$6=TRUE),IFERROR(INDEX(Planung!$D$69:$IA$69,MATCH($W187,Wirksam!$D$6:$IA$6,0)),0),0)</f>
        <v>0</v>
      </c>
      <c r="N187" s="27">
        <f t="shared" si="21"/>
        <v>0</v>
      </c>
      <c r="O187" s="27" t="e">
        <f t="shared" si="22"/>
        <v>#N/A</v>
      </c>
      <c r="P187" s="27" t="e">
        <f t="shared" si="23"/>
        <v>#N/A</v>
      </c>
      <c r="Q187" s="27" t="e">
        <f t="shared" si="24"/>
        <v>#N/A</v>
      </c>
      <c r="R187" s="27" t="e">
        <f t="shared" si="25"/>
        <v>#N/A</v>
      </c>
      <c r="S187" s="27" t="e">
        <f t="shared" si="26"/>
        <v>#N/A</v>
      </c>
      <c r="T187" s="27" t="e">
        <f t="shared" si="27"/>
        <v>#N/A</v>
      </c>
      <c r="U187" s="26">
        <f>COUNTIFS(Verlauf!$B$6:$B$1000,$A187,Verlauf!$C$6:$C$1000,$B187)</f>
        <v>0</v>
      </c>
      <c r="V187" s="26">
        <f t="shared" si="28"/>
        <v>0</v>
      </c>
      <c r="W187" s="26">
        <f t="shared" si="29"/>
        <v>203002</v>
      </c>
      <c r="X187" s="26">
        <f>SUMIFS(Verlauf!$X$6:$X$1000,Verlauf!$B$6:$B$1000,$A187,Verlauf!$C$6:$C$1000,$B187)</f>
        <v>0</v>
      </c>
      <c r="Y187" s="26">
        <f>SUMIFS(Verlauf!$Y$6:$Y$1000,Verlauf!$B$6:$B$1000,$A187,Verlauf!$C$6:$C$1000,$B187)</f>
        <v>0</v>
      </c>
      <c r="Z187" s="26">
        <f>SUMIFS(Verlauf!$Z$6:$Z$1000,Verlauf!$B$6:$B$1000,$A187,Verlauf!$C$6:$C$1000,$B187)</f>
        <v>0</v>
      </c>
      <c r="AA187" s="26">
        <f>SUMIFS(Verlauf!$I$6:$I$1000,Verlauf!$B$6:$B$1000,$A187,Verlauf!$C$6:$C$1000,$B187)</f>
        <v>0</v>
      </c>
      <c r="AB187" s="26">
        <f>SUMIFS(Verlauf!$AA$6:$AA$1000,Verlauf!$B$6:$B$1000,$A187,Verlauf!$C$6:$C$1000,$B187)</f>
        <v>0</v>
      </c>
      <c r="AC187" s="26">
        <f>SUMIFS(Verlauf!$AB$6:$AB$1000,Verlauf!$B$6:$B$1000,$A187,Verlauf!$C$6:$C$1000,$B187)</f>
        <v>0</v>
      </c>
      <c r="AD187" s="26">
        <f>SUMIFS(Verlauf!$AC$6:$AC$1000,Verlauf!$B$6:$B$1000,$A187,Verlauf!$C$6:$C$1000,$B187)</f>
        <v>0</v>
      </c>
      <c r="AE187" s="26">
        <f>SUMIFS(Verlauf!$S$6:$S$1000,Verlauf!$B$6:$B$1000,$A187,Verlauf!$C$6:$C$1000,$B187)</f>
        <v>0</v>
      </c>
      <c r="AF187" s="26" t="str">
        <f>IF($AN187="","",INDEX(Verlauf!$D$6:$D$1000,MATCH($AN187,Verlauf!$A$6:$A$1000,0)))</f>
        <v/>
      </c>
      <c r="AG187" s="26" t="str">
        <f>IF($AN187="","",INDEX(Verlauf!$E$6:$E$1000,MATCH($AN187,Verlauf!$A$6:$A$1000,0)))</f>
        <v/>
      </c>
      <c r="AH187" s="26" t="str">
        <f>IF($AN187="","",INDEX(Verlauf!$F$6:$F$1000,MATCH($AN187,Verlauf!$A$6:$A$1000,0)))</f>
        <v/>
      </c>
      <c r="AI187" s="26" t="str">
        <f>IF($AN187="","",INDEX(Verlauf!$H$6:$H$1000,MATCH($AN187,Verlauf!$A$6:$A$1000,0)))</f>
        <v/>
      </c>
      <c r="AJ187" s="26" t="str">
        <f>IF($AN187="","",INDEX(Verlauf!$N$6:$N$1000,MATCH($AN187,Verlauf!$A$6:$A$1000,0)))</f>
        <v/>
      </c>
      <c r="AK187" s="26" t="str">
        <f>IF($AN187="","",INDEX(Verlauf!$O$6:$O$1000,MATCH($AN187,Verlauf!$A$6:$A$1000,0)))</f>
        <v/>
      </c>
      <c r="AL187" s="26" t="str">
        <f>IF($AN187="","",INDEX(Verlauf!$P$6:$P$1000,MATCH($AN187,Verlauf!$A$6:$A$1000,0)))</f>
        <v/>
      </c>
      <c r="AM187" s="26" t="str">
        <f>IF($AN187="","",INDEX(Verlauf!$R$6:$R$1000,MATCH($AN187,Verlauf!$A$6:$A$1000,0)))</f>
        <v/>
      </c>
      <c r="AN187" s="28" t="str">
        <f>IF(U187&gt;0,_xlfn.MAXIFS(Verlauf!$A$6:$A$1000,Verlauf!$B$6:$B$1000,$A187,Verlauf!$C$6:$C$1000,$B187),"")</f>
        <v/>
      </c>
    </row>
    <row r="188" spans="1:40" x14ac:dyDescent="0.25">
      <c r="A188" s="26">
        <v>2030</v>
      </c>
      <c r="B188" s="26">
        <v>3</v>
      </c>
      <c r="C188" s="7" t="str">
        <f t="shared" si="20"/>
        <v>KW 3/30</v>
      </c>
      <c r="D188" s="26">
        <f>SUMIFS(Verlauf!$K$6:$K$1000,Verlauf!$B$6:$B$1000,$A188,Verlauf!$C$6:$C$1000,$B188)</f>
        <v>0</v>
      </c>
      <c r="E188" s="26">
        <f>SUMIFS(Verlauf!$L$6:$L$1000,Verlauf!$B$6:$B$1000,$A188,Verlauf!$C$6:$C$1000,$B188)</f>
        <v>0</v>
      </c>
      <c r="F188" s="26">
        <f>SUMIFS(Verlauf!$M$6:$M$1000,Verlauf!$B$6:$B$1000,$A188,Verlauf!$C$6:$C$1000,$B188)</f>
        <v>0</v>
      </c>
      <c r="G188" s="26">
        <f>SUMIFS(Verlauf!$J$6:$J$1000,Verlauf!$B$6:$B$1000,$A188,Verlauf!$C$6:$C$1000,$B188)</f>
        <v>0</v>
      </c>
      <c r="H188" s="26">
        <f>SUMIFS(Verlauf!$U$6:$U$1000,Verlauf!$B$6:$B$1000,$A188,Verlauf!$C$6:$C$1000,$B188)</f>
        <v>0</v>
      </c>
      <c r="I188" s="26">
        <f>SUMIFS(Verlauf!$V$6:$V$1000,Verlauf!$B$6:$B$1000,$A188,Verlauf!$C$6:$C$1000,$B188)</f>
        <v>0</v>
      </c>
      <c r="J188" s="26">
        <f>SUMIFS(Verlauf!$W$6:$W$1000,Verlauf!$B$6:$B$1000,$A188,Verlauf!$C$6:$C$1000,$B188)</f>
        <v>0</v>
      </c>
      <c r="K188" s="26">
        <f>SUMIFS(Verlauf!$T$6:$T$1000,Verlauf!$B$6:$B$1000,$A188,Verlauf!$C$6:$C$1000,$B188)</f>
        <v>0</v>
      </c>
      <c r="L188" s="27">
        <f>IF(Filter!$T$7=TRUE,IFERROR(INDEX(Planung!$D$68:$IA$68,MATCH($W188,Wirksam!$D$6:$IA$6,0)),0),0)</f>
        <v>0</v>
      </c>
      <c r="M188" s="27">
        <f>IF(OR(Filter!$T$5=TRUE,Filter!$T$6=TRUE),IFERROR(INDEX(Planung!$D$69:$IA$69,MATCH($W188,Wirksam!$D$6:$IA$6,0)),0),0)</f>
        <v>0</v>
      </c>
      <c r="N188" s="27">
        <f t="shared" si="21"/>
        <v>0</v>
      </c>
      <c r="O188" s="27" t="e">
        <f t="shared" si="22"/>
        <v>#N/A</v>
      </c>
      <c r="P188" s="27" t="e">
        <f t="shared" si="23"/>
        <v>#N/A</v>
      </c>
      <c r="Q188" s="27" t="e">
        <f t="shared" si="24"/>
        <v>#N/A</v>
      </c>
      <c r="R188" s="27" t="e">
        <f t="shared" si="25"/>
        <v>#N/A</v>
      </c>
      <c r="S188" s="27" t="e">
        <f t="shared" si="26"/>
        <v>#N/A</v>
      </c>
      <c r="T188" s="27" t="e">
        <f t="shared" si="27"/>
        <v>#N/A</v>
      </c>
      <c r="U188" s="26">
        <f>COUNTIFS(Verlauf!$B$6:$B$1000,$A188,Verlauf!$C$6:$C$1000,$B188)</f>
        <v>0</v>
      </c>
      <c r="V188" s="26">
        <f t="shared" si="28"/>
        <v>0</v>
      </c>
      <c r="W188" s="26">
        <f t="shared" si="29"/>
        <v>203003</v>
      </c>
      <c r="X188" s="26">
        <f>SUMIFS(Verlauf!$X$6:$X$1000,Verlauf!$B$6:$B$1000,$A188,Verlauf!$C$6:$C$1000,$B188)</f>
        <v>0</v>
      </c>
      <c r="Y188" s="26">
        <f>SUMIFS(Verlauf!$Y$6:$Y$1000,Verlauf!$B$6:$B$1000,$A188,Verlauf!$C$6:$C$1000,$B188)</f>
        <v>0</v>
      </c>
      <c r="Z188" s="26">
        <f>SUMIFS(Verlauf!$Z$6:$Z$1000,Verlauf!$B$6:$B$1000,$A188,Verlauf!$C$6:$C$1000,$B188)</f>
        <v>0</v>
      </c>
      <c r="AA188" s="26">
        <f>SUMIFS(Verlauf!$I$6:$I$1000,Verlauf!$B$6:$B$1000,$A188,Verlauf!$C$6:$C$1000,$B188)</f>
        <v>0</v>
      </c>
      <c r="AB188" s="26">
        <f>SUMIFS(Verlauf!$AA$6:$AA$1000,Verlauf!$B$6:$B$1000,$A188,Verlauf!$C$6:$C$1000,$B188)</f>
        <v>0</v>
      </c>
      <c r="AC188" s="26">
        <f>SUMIFS(Verlauf!$AB$6:$AB$1000,Verlauf!$B$6:$B$1000,$A188,Verlauf!$C$6:$C$1000,$B188)</f>
        <v>0</v>
      </c>
      <c r="AD188" s="26">
        <f>SUMIFS(Verlauf!$AC$6:$AC$1000,Verlauf!$B$6:$B$1000,$A188,Verlauf!$C$6:$C$1000,$B188)</f>
        <v>0</v>
      </c>
      <c r="AE188" s="26">
        <f>SUMIFS(Verlauf!$S$6:$S$1000,Verlauf!$B$6:$B$1000,$A188,Verlauf!$C$6:$C$1000,$B188)</f>
        <v>0</v>
      </c>
      <c r="AF188" s="26" t="str">
        <f>IF($AN188="","",INDEX(Verlauf!$D$6:$D$1000,MATCH($AN188,Verlauf!$A$6:$A$1000,0)))</f>
        <v/>
      </c>
      <c r="AG188" s="26" t="str">
        <f>IF($AN188="","",INDEX(Verlauf!$E$6:$E$1000,MATCH($AN188,Verlauf!$A$6:$A$1000,0)))</f>
        <v/>
      </c>
      <c r="AH188" s="26" t="str">
        <f>IF($AN188="","",INDEX(Verlauf!$F$6:$F$1000,MATCH($AN188,Verlauf!$A$6:$A$1000,0)))</f>
        <v/>
      </c>
      <c r="AI188" s="26" t="str">
        <f>IF($AN188="","",INDEX(Verlauf!$H$6:$H$1000,MATCH($AN188,Verlauf!$A$6:$A$1000,0)))</f>
        <v/>
      </c>
      <c r="AJ188" s="26" t="str">
        <f>IF($AN188="","",INDEX(Verlauf!$N$6:$N$1000,MATCH($AN188,Verlauf!$A$6:$A$1000,0)))</f>
        <v/>
      </c>
      <c r="AK188" s="26" t="str">
        <f>IF($AN188="","",INDEX(Verlauf!$O$6:$O$1000,MATCH($AN188,Verlauf!$A$6:$A$1000,0)))</f>
        <v/>
      </c>
      <c r="AL188" s="26" t="str">
        <f>IF($AN188="","",INDEX(Verlauf!$P$6:$P$1000,MATCH($AN188,Verlauf!$A$6:$A$1000,0)))</f>
        <v/>
      </c>
      <c r="AM188" s="26" t="str">
        <f>IF($AN188="","",INDEX(Verlauf!$R$6:$R$1000,MATCH($AN188,Verlauf!$A$6:$A$1000,0)))</f>
        <v/>
      </c>
      <c r="AN188" s="28" t="str">
        <f>IF(U188&gt;0,_xlfn.MAXIFS(Verlauf!$A$6:$A$1000,Verlauf!$B$6:$B$1000,$A188,Verlauf!$C$6:$C$1000,$B188),"")</f>
        <v/>
      </c>
    </row>
    <row r="189" spans="1:40" x14ac:dyDescent="0.25">
      <c r="A189" s="26">
        <v>2030</v>
      </c>
      <c r="B189" s="26">
        <v>4</v>
      </c>
      <c r="C189" s="7" t="str">
        <f t="shared" si="20"/>
        <v>KW 4/30</v>
      </c>
      <c r="D189" s="26">
        <f>SUMIFS(Verlauf!$K$6:$K$1000,Verlauf!$B$6:$B$1000,$A189,Verlauf!$C$6:$C$1000,$B189)</f>
        <v>0</v>
      </c>
      <c r="E189" s="26">
        <f>SUMIFS(Verlauf!$L$6:$L$1000,Verlauf!$B$6:$B$1000,$A189,Verlauf!$C$6:$C$1000,$B189)</f>
        <v>0</v>
      </c>
      <c r="F189" s="26">
        <f>SUMIFS(Verlauf!$M$6:$M$1000,Verlauf!$B$6:$B$1000,$A189,Verlauf!$C$6:$C$1000,$B189)</f>
        <v>0</v>
      </c>
      <c r="G189" s="26">
        <f>SUMIFS(Verlauf!$J$6:$J$1000,Verlauf!$B$6:$B$1000,$A189,Verlauf!$C$6:$C$1000,$B189)</f>
        <v>0</v>
      </c>
      <c r="H189" s="26">
        <f>SUMIFS(Verlauf!$U$6:$U$1000,Verlauf!$B$6:$B$1000,$A189,Verlauf!$C$6:$C$1000,$B189)</f>
        <v>0</v>
      </c>
      <c r="I189" s="26">
        <f>SUMIFS(Verlauf!$V$6:$V$1000,Verlauf!$B$6:$B$1000,$A189,Verlauf!$C$6:$C$1000,$B189)</f>
        <v>0</v>
      </c>
      <c r="J189" s="26">
        <f>SUMIFS(Verlauf!$W$6:$W$1000,Verlauf!$B$6:$B$1000,$A189,Verlauf!$C$6:$C$1000,$B189)</f>
        <v>0</v>
      </c>
      <c r="K189" s="26">
        <f>SUMIFS(Verlauf!$T$6:$T$1000,Verlauf!$B$6:$B$1000,$A189,Verlauf!$C$6:$C$1000,$B189)</f>
        <v>0</v>
      </c>
      <c r="L189" s="27">
        <f>IF(Filter!$T$7=TRUE,IFERROR(INDEX(Planung!$D$68:$IA$68,MATCH($W189,Wirksam!$D$6:$IA$6,0)),0),0)</f>
        <v>0</v>
      </c>
      <c r="M189" s="27">
        <f>IF(OR(Filter!$T$5=TRUE,Filter!$T$6=TRUE),IFERROR(INDEX(Planung!$D$69:$IA$69,MATCH($W189,Wirksam!$D$6:$IA$6,0)),0),0)</f>
        <v>0</v>
      </c>
      <c r="N189" s="27">
        <f t="shared" si="21"/>
        <v>0</v>
      </c>
      <c r="O189" s="27" t="e">
        <f t="shared" si="22"/>
        <v>#N/A</v>
      </c>
      <c r="P189" s="27" t="e">
        <f t="shared" si="23"/>
        <v>#N/A</v>
      </c>
      <c r="Q189" s="27" t="e">
        <f t="shared" si="24"/>
        <v>#N/A</v>
      </c>
      <c r="R189" s="27" t="e">
        <f t="shared" si="25"/>
        <v>#N/A</v>
      </c>
      <c r="S189" s="27" t="e">
        <f t="shared" si="26"/>
        <v>#N/A</v>
      </c>
      <c r="T189" s="27" t="e">
        <f t="shared" si="27"/>
        <v>#N/A</v>
      </c>
      <c r="U189" s="26">
        <f>COUNTIFS(Verlauf!$B$6:$B$1000,$A189,Verlauf!$C$6:$C$1000,$B189)</f>
        <v>0</v>
      </c>
      <c r="V189" s="26">
        <f t="shared" si="28"/>
        <v>0</v>
      </c>
      <c r="W189" s="26">
        <f t="shared" si="29"/>
        <v>203004</v>
      </c>
      <c r="X189" s="26">
        <f>SUMIFS(Verlauf!$X$6:$X$1000,Verlauf!$B$6:$B$1000,$A189,Verlauf!$C$6:$C$1000,$B189)</f>
        <v>0</v>
      </c>
      <c r="Y189" s="26">
        <f>SUMIFS(Verlauf!$Y$6:$Y$1000,Verlauf!$B$6:$B$1000,$A189,Verlauf!$C$6:$C$1000,$B189)</f>
        <v>0</v>
      </c>
      <c r="Z189" s="26">
        <f>SUMIFS(Verlauf!$Z$6:$Z$1000,Verlauf!$B$6:$B$1000,$A189,Verlauf!$C$6:$C$1000,$B189)</f>
        <v>0</v>
      </c>
      <c r="AA189" s="26">
        <f>SUMIFS(Verlauf!$I$6:$I$1000,Verlauf!$B$6:$B$1000,$A189,Verlauf!$C$6:$C$1000,$B189)</f>
        <v>0</v>
      </c>
      <c r="AB189" s="26">
        <f>SUMIFS(Verlauf!$AA$6:$AA$1000,Verlauf!$B$6:$B$1000,$A189,Verlauf!$C$6:$C$1000,$B189)</f>
        <v>0</v>
      </c>
      <c r="AC189" s="26">
        <f>SUMIFS(Verlauf!$AB$6:$AB$1000,Verlauf!$B$6:$B$1000,$A189,Verlauf!$C$6:$C$1000,$B189)</f>
        <v>0</v>
      </c>
      <c r="AD189" s="26">
        <f>SUMIFS(Verlauf!$AC$6:$AC$1000,Verlauf!$B$6:$B$1000,$A189,Verlauf!$C$6:$C$1000,$B189)</f>
        <v>0</v>
      </c>
      <c r="AE189" s="26">
        <f>SUMIFS(Verlauf!$S$6:$S$1000,Verlauf!$B$6:$B$1000,$A189,Verlauf!$C$6:$C$1000,$B189)</f>
        <v>0</v>
      </c>
      <c r="AF189" s="26" t="str">
        <f>IF($AN189="","",INDEX(Verlauf!$D$6:$D$1000,MATCH($AN189,Verlauf!$A$6:$A$1000,0)))</f>
        <v/>
      </c>
      <c r="AG189" s="26" t="str">
        <f>IF($AN189="","",INDEX(Verlauf!$E$6:$E$1000,MATCH($AN189,Verlauf!$A$6:$A$1000,0)))</f>
        <v/>
      </c>
      <c r="AH189" s="26" t="str">
        <f>IF($AN189="","",INDEX(Verlauf!$F$6:$F$1000,MATCH($AN189,Verlauf!$A$6:$A$1000,0)))</f>
        <v/>
      </c>
      <c r="AI189" s="26" t="str">
        <f>IF($AN189="","",INDEX(Verlauf!$H$6:$H$1000,MATCH($AN189,Verlauf!$A$6:$A$1000,0)))</f>
        <v/>
      </c>
      <c r="AJ189" s="26" t="str">
        <f>IF($AN189="","",INDEX(Verlauf!$N$6:$N$1000,MATCH($AN189,Verlauf!$A$6:$A$1000,0)))</f>
        <v/>
      </c>
      <c r="AK189" s="26" t="str">
        <f>IF($AN189="","",INDEX(Verlauf!$O$6:$O$1000,MATCH($AN189,Verlauf!$A$6:$A$1000,0)))</f>
        <v/>
      </c>
      <c r="AL189" s="26" t="str">
        <f>IF($AN189="","",INDEX(Verlauf!$P$6:$P$1000,MATCH($AN189,Verlauf!$A$6:$A$1000,0)))</f>
        <v/>
      </c>
      <c r="AM189" s="26" t="str">
        <f>IF($AN189="","",INDEX(Verlauf!$R$6:$R$1000,MATCH($AN189,Verlauf!$A$6:$A$1000,0)))</f>
        <v/>
      </c>
      <c r="AN189" s="28" t="str">
        <f>IF(U189&gt;0,_xlfn.MAXIFS(Verlauf!$A$6:$A$1000,Verlauf!$B$6:$B$1000,$A189,Verlauf!$C$6:$C$1000,$B189),"")</f>
        <v/>
      </c>
    </row>
    <row r="190" spans="1:40" x14ac:dyDescent="0.25">
      <c r="A190" s="26">
        <v>2030</v>
      </c>
      <c r="B190" s="26">
        <v>5</v>
      </c>
      <c r="C190" s="7" t="str">
        <f t="shared" si="20"/>
        <v>KW 5/30</v>
      </c>
      <c r="D190" s="26">
        <f>SUMIFS(Verlauf!$K$6:$K$1000,Verlauf!$B$6:$B$1000,$A190,Verlauf!$C$6:$C$1000,$B190)</f>
        <v>0</v>
      </c>
      <c r="E190" s="26">
        <f>SUMIFS(Verlauf!$L$6:$L$1000,Verlauf!$B$6:$B$1000,$A190,Verlauf!$C$6:$C$1000,$B190)</f>
        <v>0</v>
      </c>
      <c r="F190" s="26">
        <f>SUMIFS(Verlauf!$M$6:$M$1000,Verlauf!$B$6:$B$1000,$A190,Verlauf!$C$6:$C$1000,$B190)</f>
        <v>0</v>
      </c>
      <c r="G190" s="26">
        <f>SUMIFS(Verlauf!$J$6:$J$1000,Verlauf!$B$6:$B$1000,$A190,Verlauf!$C$6:$C$1000,$B190)</f>
        <v>0</v>
      </c>
      <c r="H190" s="26">
        <f>SUMIFS(Verlauf!$U$6:$U$1000,Verlauf!$B$6:$B$1000,$A190,Verlauf!$C$6:$C$1000,$B190)</f>
        <v>0</v>
      </c>
      <c r="I190" s="26">
        <f>SUMIFS(Verlauf!$V$6:$V$1000,Verlauf!$B$6:$B$1000,$A190,Verlauf!$C$6:$C$1000,$B190)</f>
        <v>0</v>
      </c>
      <c r="J190" s="26">
        <f>SUMIFS(Verlauf!$W$6:$W$1000,Verlauf!$B$6:$B$1000,$A190,Verlauf!$C$6:$C$1000,$B190)</f>
        <v>0</v>
      </c>
      <c r="K190" s="26">
        <f>SUMIFS(Verlauf!$T$6:$T$1000,Verlauf!$B$6:$B$1000,$A190,Verlauf!$C$6:$C$1000,$B190)</f>
        <v>0</v>
      </c>
      <c r="L190" s="27">
        <f>IF(Filter!$T$7=TRUE,IFERROR(INDEX(Planung!$D$68:$IA$68,MATCH($W190,Wirksam!$D$6:$IA$6,0)),0),0)</f>
        <v>0</v>
      </c>
      <c r="M190" s="27">
        <f>IF(OR(Filter!$T$5=TRUE,Filter!$T$6=TRUE),IFERROR(INDEX(Planung!$D$69:$IA$69,MATCH($W190,Wirksam!$D$6:$IA$6,0)),0),0)</f>
        <v>0</v>
      </c>
      <c r="N190" s="27">
        <f t="shared" si="21"/>
        <v>0</v>
      </c>
      <c r="O190" s="27" t="e">
        <f t="shared" si="22"/>
        <v>#N/A</v>
      </c>
      <c r="P190" s="27" t="e">
        <f t="shared" si="23"/>
        <v>#N/A</v>
      </c>
      <c r="Q190" s="27" t="e">
        <f t="shared" si="24"/>
        <v>#N/A</v>
      </c>
      <c r="R190" s="27" t="e">
        <f t="shared" si="25"/>
        <v>#N/A</v>
      </c>
      <c r="S190" s="27" t="e">
        <f t="shared" si="26"/>
        <v>#N/A</v>
      </c>
      <c r="T190" s="27" t="e">
        <f t="shared" si="27"/>
        <v>#N/A</v>
      </c>
      <c r="U190" s="26">
        <f>COUNTIFS(Verlauf!$B$6:$B$1000,$A190,Verlauf!$C$6:$C$1000,$B190)</f>
        <v>0</v>
      </c>
      <c r="V190" s="26">
        <f t="shared" si="28"/>
        <v>0</v>
      </c>
      <c r="W190" s="26">
        <f t="shared" si="29"/>
        <v>203005</v>
      </c>
      <c r="X190" s="26">
        <f>SUMIFS(Verlauf!$X$6:$X$1000,Verlauf!$B$6:$B$1000,$A190,Verlauf!$C$6:$C$1000,$B190)</f>
        <v>0</v>
      </c>
      <c r="Y190" s="26">
        <f>SUMIFS(Verlauf!$Y$6:$Y$1000,Verlauf!$B$6:$B$1000,$A190,Verlauf!$C$6:$C$1000,$B190)</f>
        <v>0</v>
      </c>
      <c r="Z190" s="26">
        <f>SUMIFS(Verlauf!$Z$6:$Z$1000,Verlauf!$B$6:$B$1000,$A190,Verlauf!$C$6:$C$1000,$B190)</f>
        <v>0</v>
      </c>
      <c r="AA190" s="26">
        <f>SUMIFS(Verlauf!$I$6:$I$1000,Verlauf!$B$6:$B$1000,$A190,Verlauf!$C$6:$C$1000,$B190)</f>
        <v>0</v>
      </c>
      <c r="AB190" s="26">
        <f>SUMIFS(Verlauf!$AA$6:$AA$1000,Verlauf!$B$6:$B$1000,$A190,Verlauf!$C$6:$C$1000,$B190)</f>
        <v>0</v>
      </c>
      <c r="AC190" s="26">
        <f>SUMIFS(Verlauf!$AB$6:$AB$1000,Verlauf!$B$6:$B$1000,$A190,Verlauf!$C$6:$C$1000,$B190)</f>
        <v>0</v>
      </c>
      <c r="AD190" s="26">
        <f>SUMIFS(Verlauf!$AC$6:$AC$1000,Verlauf!$B$6:$B$1000,$A190,Verlauf!$C$6:$C$1000,$B190)</f>
        <v>0</v>
      </c>
      <c r="AE190" s="26">
        <f>SUMIFS(Verlauf!$S$6:$S$1000,Verlauf!$B$6:$B$1000,$A190,Verlauf!$C$6:$C$1000,$B190)</f>
        <v>0</v>
      </c>
      <c r="AF190" s="26" t="str">
        <f>IF($AN190="","",INDEX(Verlauf!$D$6:$D$1000,MATCH($AN190,Verlauf!$A$6:$A$1000,0)))</f>
        <v/>
      </c>
      <c r="AG190" s="26" t="str">
        <f>IF($AN190="","",INDEX(Verlauf!$E$6:$E$1000,MATCH($AN190,Verlauf!$A$6:$A$1000,0)))</f>
        <v/>
      </c>
      <c r="AH190" s="26" t="str">
        <f>IF($AN190="","",INDEX(Verlauf!$F$6:$F$1000,MATCH($AN190,Verlauf!$A$6:$A$1000,0)))</f>
        <v/>
      </c>
      <c r="AI190" s="26" t="str">
        <f>IF($AN190="","",INDEX(Verlauf!$H$6:$H$1000,MATCH($AN190,Verlauf!$A$6:$A$1000,0)))</f>
        <v/>
      </c>
      <c r="AJ190" s="26" t="str">
        <f>IF($AN190="","",INDEX(Verlauf!$N$6:$N$1000,MATCH($AN190,Verlauf!$A$6:$A$1000,0)))</f>
        <v/>
      </c>
      <c r="AK190" s="26" t="str">
        <f>IF($AN190="","",INDEX(Verlauf!$O$6:$O$1000,MATCH($AN190,Verlauf!$A$6:$A$1000,0)))</f>
        <v/>
      </c>
      <c r="AL190" s="26" t="str">
        <f>IF($AN190="","",INDEX(Verlauf!$P$6:$P$1000,MATCH($AN190,Verlauf!$A$6:$A$1000,0)))</f>
        <v/>
      </c>
      <c r="AM190" s="26" t="str">
        <f>IF($AN190="","",INDEX(Verlauf!$R$6:$R$1000,MATCH($AN190,Verlauf!$A$6:$A$1000,0)))</f>
        <v/>
      </c>
      <c r="AN190" s="28" t="str">
        <f>IF(U190&gt;0,_xlfn.MAXIFS(Verlauf!$A$6:$A$1000,Verlauf!$B$6:$B$1000,$A190,Verlauf!$C$6:$C$1000,$B190),"")</f>
        <v/>
      </c>
    </row>
    <row r="191" spans="1:40" x14ac:dyDescent="0.25">
      <c r="A191" s="26">
        <v>2030</v>
      </c>
      <c r="B191" s="26">
        <v>6</v>
      </c>
      <c r="C191" s="7" t="str">
        <f t="shared" si="20"/>
        <v>KW 6/30</v>
      </c>
      <c r="D191" s="26">
        <f>SUMIFS(Verlauf!$K$6:$K$1000,Verlauf!$B$6:$B$1000,$A191,Verlauf!$C$6:$C$1000,$B191)</f>
        <v>0</v>
      </c>
      <c r="E191" s="26">
        <f>SUMIFS(Verlauf!$L$6:$L$1000,Verlauf!$B$6:$B$1000,$A191,Verlauf!$C$6:$C$1000,$B191)</f>
        <v>0</v>
      </c>
      <c r="F191" s="26">
        <f>SUMIFS(Verlauf!$M$6:$M$1000,Verlauf!$B$6:$B$1000,$A191,Verlauf!$C$6:$C$1000,$B191)</f>
        <v>0</v>
      </c>
      <c r="G191" s="26">
        <f>SUMIFS(Verlauf!$J$6:$J$1000,Verlauf!$B$6:$B$1000,$A191,Verlauf!$C$6:$C$1000,$B191)</f>
        <v>0</v>
      </c>
      <c r="H191" s="26">
        <f>SUMIFS(Verlauf!$U$6:$U$1000,Verlauf!$B$6:$B$1000,$A191,Verlauf!$C$6:$C$1000,$B191)</f>
        <v>0</v>
      </c>
      <c r="I191" s="26">
        <f>SUMIFS(Verlauf!$V$6:$V$1000,Verlauf!$B$6:$B$1000,$A191,Verlauf!$C$6:$C$1000,$B191)</f>
        <v>0</v>
      </c>
      <c r="J191" s="26">
        <f>SUMIFS(Verlauf!$W$6:$W$1000,Verlauf!$B$6:$B$1000,$A191,Verlauf!$C$6:$C$1000,$B191)</f>
        <v>0</v>
      </c>
      <c r="K191" s="26">
        <f>SUMIFS(Verlauf!$T$6:$T$1000,Verlauf!$B$6:$B$1000,$A191,Verlauf!$C$6:$C$1000,$B191)</f>
        <v>0</v>
      </c>
      <c r="L191" s="27">
        <f>IF(Filter!$T$7=TRUE,IFERROR(INDEX(Planung!$D$68:$IA$68,MATCH($W191,Wirksam!$D$6:$IA$6,0)),0),0)</f>
        <v>0</v>
      </c>
      <c r="M191" s="27">
        <f>IF(OR(Filter!$T$5=TRUE,Filter!$T$6=TRUE),IFERROR(INDEX(Planung!$D$69:$IA$69,MATCH($W191,Wirksam!$D$6:$IA$6,0)),0),0)</f>
        <v>0</v>
      </c>
      <c r="N191" s="27">
        <f t="shared" si="21"/>
        <v>0</v>
      </c>
      <c r="O191" s="27" t="e">
        <f t="shared" si="22"/>
        <v>#N/A</v>
      </c>
      <c r="P191" s="27" t="e">
        <f t="shared" si="23"/>
        <v>#N/A</v>
      </c>
      <c r="Q191" s="27" t="e">
        <f t="shared" si="24"/>
        <v>#N/A</v>
      </c>
      <c r="R191" s="27" t="e">
        <f t="shared" si="25"/>
        <v>#N/A</v>
      </c>
      <c r="S191" s="27" t="e">
        <f t="shared" si="26"/>
        <v>#N/A</v>
      </c>
      <c r="T191" s="27" t="e">
        <f t="shared" si="27"/>
        <v>#N/A</v>
      </c>
      <c r="U191" s="26">
        <f>COUNTIFS(Verlauf!$B$6:$B$1000,$A191,Verlauf!$C$6:$C$1000,$B191)</f>
        <v>0</v>
      </c>
      <c r="V191" s="26">
        <f t="shared" si="28"/>
        <v>0</v>
      </c>
      <c r="W191" s="26">
        <f t="shared" si="29"/>
        <v>203006</v>
      </c>
      <c r="X191" s="26">
        <f>SUMIFS(Verlauf!$X$6:$X$1000,Verlauf!$B$6:$B$1000,$A191,Verlauf!$C$6:$C$1000,$B191)</f>
        <v>0</v>
      </c>
      <c r="Y191" s="26">
        <f>SUMIFS(Verlauf!$Y$6:$Y$1000,Verlauf!$B$6:$B$1000,$A191,Verlauf!$C$6:$C$1000,$B191)</f>
        <v>0</v>
      </c>
      <c r="Z191" s="26">
        <f>SUMIFS(Verlauf!$Z$6:$Z$1000,Verlauf!$B$6:$B$1000,$A191,Verlauf!$C$6:$C$1000,$B191)</f>
        <v>0</v>
      </c>
      <c r="AA191" s="26">
        <f>SUMIFS(Verlauf!$I$6:$I$1000,Verlauf!$B$6:$B$1000,$A191,Verlauf!$C$6:$C$1000,$B191)</f>
        <v>0</v>
      </c>
      <c r="AB191" s="26">
        <f>SUMIFS(Verlauf!$AA$6:$AA$1000,Verlauf!$B$6:$B$1000,$A191,Verlauf!$C$6:$C$1000,$B191)</f>
        <v>0</v>
      </c>
      <c r="AC191" s="26">
        <f>SUMIFS(Verlauf!$AB$6:$AB$1000,Verlauf!$B$6:$B$1000,$A191,Verlauf!$C$6:$C$1000,$B191)</f>
        <v>0</v>
      </c>
      <c r="AD191" s="26">
        <f>SUMIFS(Verlauf!$AC$6:$AC$1000,Verlauf!$B$6:$B$1000,$A191,Verlauf!$C$6:$C$1000,$B191)</f>
        <v>0</v>
      </c>
      <c r="AE191" s="26">
        <f>SUMIFS(Verlauf!$S$6:$S$1000,Verlauf!$B$6:$B$1000,$A191,Verlauf!$C$6:$C$1000,$B191)</f>
        <v>0</v>
      </c>
      <c r="AF191" s="26" t="str">
        <f>IF($AN191="","",INDEX(Verlauf!$D$6:$D$1000,MATCH($AN191,Verlauf!$A$6:$A$1000,0)))</f>
        <v/>
      </c>
      <c r="AG191" s="26" t="str">
        <f>IF($AN191="","",INDEX(Verlauf!$E$6:$E$1000,MATCH($AN191,Verlauf!$A$6:$A$1000,0)))</f>
        <v/>
      </c>
      <c r="AH191" s="26" t="str">
        <f>IF($AN191="","",INDEX(Verlauf!$F$6:$F$1000,MATCH($AN191,Verlauf!$A$6:$A$1000,0)))</f>
        <v/>
      </c>
      <c r="AI191" s="26" t="str">
        <f>IF($AN191="","",INDEX(Verlauf!$H$6:$H$1000,MATCH($AN191,Verlauf!$A$6:$A$1000,0)))</f>
        <v/>
      </c>
      <c r="AJ191" s="26" t="str">
        <f>IF($AN191="","",INDEX(Verlauf!$N$6:$N$1000,MATCH($AN191,Verlauf!$A$6:$A$1000,0)))</f>
        <v/>
      </c>
      <c r="AK191" s="26" t="str">
        <f>IF($AN191="","",INDEX(Verlauf!$O$6:$O$1000,MATCH($AN191,Verlauf!$A$6:$A$1000,0)))</f>
        <v/>
      </c>
      <c r="AL191" s="26" t="str">
        <f>IF($AN191="","",INDEX(Verlauf!$P$6:$P$1000,MATCH($AN191,Verlauf!$A$6:$A$1000,0)))</f>
        <v/>
      </c>
      <c r="AM191" s="26" t="str">
        <f>IF($AN191="","",INDEX(Verlauf!$R$6:$R$1000,MATCH($AN191,Verlauf!$A$6:$A$1000,0)))</f>
        <v/>
      </c>
      <c r="AN191" s="28" t="str">
        <f>IF(U191&gt;0,_xlfn.MAXIFS(Verlauf!$A$6:$A$1000,Verlauf!$B$6:$B$1000,$A191,Verlauf!$C$6:$C$1000,$B191),"")</f>
        <v/>
      </c>
    </row>
    <row r="192" spans="1:40" x14ac:dyDescent="0.25">
      <c r="A192" s="26">
        <v>2030</v>
      </c>
      <c r="B192" s="26">
        <v>7</v>
      </c>
      <c r="C192" s="7" t="str">
        <f t="shared" si="20"/>
        <v>KW 7/30</v>
      </c>
      <c r="D192" s="26">
        <f>SUMIFS(Verlauf!$K$6:$K$1000,Verlauf!$B$6:$B$1000,$A192,Verlauf!$C$6:$C$1000,$B192)</f>
        <v>0</v>
      </c>
      <c r="E192" s="26">
        <f>SUMIFS(Verlauf!$L$6:$L$1000,Verlauf!$B$6:$B$1000,$A192,Verlauf!$C$6:$C$1000,$B192)</f>
        <v>0</v>
      </c>
      <c r="F192" s="26">
        <f>SUMIFS(Verlauf!$M$6:$M$1000,Verlauf!$B$6:$B$1000,$A192,Verlauf!$C$6:$C$1000,$B192)</f>
        <v>0</v>
      </c>
      <c r="G192" s="26">
        <f>SUMIFS(Verlauf!$J$6:$J$1000,Verlauf!$B$6:$B$1000,$A192,Verlauf!$C$6:$C$1000,$B192)</f>
        <v>0</v>
      </c>
      <c r="H192" s="26">
        <f>SUMIFS(Verlauf!$U$6:$U$1000,Verlauf!$B$6:$B$1000,$A192,Verlauf!$C$6:$C$1000,$B192)</f>
        <v>0</v>
      </c>
      <c r="I192" s="26">
        <f>SUMIFS(Verlauf!$V$6:$V$1000,Verlauf!$B$6:$B$1000,$A192,Verlauf!$C$6:$C$1000,$B192)</f>
        <v>0</v>
      </c>
      <c r="J192" s="26">
        <f>SUMIFS(Verlauf!$W$6:$W$1000,Verlauf!$B$6:$B$1000,$A192,Verlauf!$C$6:$C$1000,$B192)</f>
        <v>0</v>
      </c>
      <c r="K192" s="26">
        <f>SUMIFS(Verlauf!$T$6:$T$1000,Verlauf!$B$6:$B$1000,$A192,Verlauf!$C$6:$C$1000,$B192)</f>
        <v>0</v>
      </c>
      <c r="L192" s="27">
        <f>IF(Filter!$T$7=TRUE,IFERROR(INDEX(Planung!$D$68:$IA$68,MATCH($W192,Wirksam!$D$6:$IA$6,0)),0),0)</f>
        <v>0</v>
      </c>
      <c r="M192" s="27">
        <f>IF(OR(Filter!$T$5=TRUE,Filter!$T$6=TRUE),IFERROR(INDEX(Planung!$D$69:$IA$69,MATCH($W192,Wirksam!$D$6:$IA$6,0)),0),0)</f>
        <v>0</v>
      </c>
      <c r="N192" s="27">
        <f t="shared" si="21"/>
        <v>0</v>
      </c>
      <c r="O192" s="27" t="e">
        <f t="shared" si="22"/>
        <v>#N/A</v>
      </c>
      <c r="P192" s="27" t="e">
        <f t="shared" si="23"/>
        <v>#N/A</v>
      </c>
      <c r="Q192" s="27" t="e">
        <f t="shared" si="24"/>
        <v>#N/A</v>
      </c>
      <c r="R192" s="27" t="e">
        <f t="shared" si="25"/>
        <v>#N/A</v>
      </c>
      <c r="S192" s="27" t="e">
        <f t="shared" si="26"/>
        <v>#N/A</v>
      </c>
      <c r="T192" s="27" t="e">
        <f t="shared" si="27"/>
        <v>#N/A</v>
      </c>
      <c r="U192" s="26">
        <f>COUNTIFS(Verlauf!$B$6:$B$1000,$A192,Verlauf!$C$6:$C$1000,$B192)</f>
        <v>0</v>
      </c>
      <c r="V192" s="26">
        <f t="shared" si="28"/>
        <v>0</v>
      </c>
      <c r="W192" s="26">
        <f t="shared" si="29"/>
        <v>203007</v>
      </c>
      <c r="X192" s="26">
        <f>SUMIFS(Verlauf!$X$6:$X$1000,Verlauf!$B$6:$B$1000,$A192,Verlauf!$C$6:$C$1000,$B192)</f>
        <v>0</v>
      </c>
      <c r="Y192" s="26">
        <f>SUMIFS(Verlauf!$Y$6:$Y$1000,Verlauf!$B$6:$B$1000,$A192,Verlauf!$C$6:$C$1000,$B192)</f>
        <v>0</v>
      </c>
      <c r="Z192" s="26">
        <f>SUMIFS(Verlauf!$Z$6:$Z$1000,Verlauf!$B$6:$B$1000,$A192,Verlauf!$C$6:$C$1000,$B192)</f>
        <v>0</v>
      </c>
      <c r="AA192" s="26">
        <f>SUMIFS(Verlauf!$I$6:$I$1000,Verlauf!$B$6:$B$1000,$A192,Verlauf!$C$6:$C$1000,$B192)</f>
        <v>0</v>
      </c>
      <c r="AB192" s="26">
        <f>SUMIFS(Verlauf!$AA$6:$AA$1000,Verlauf!$B$6:$B$1000,$A192,Verlauf!$C$6:$C$1000,$B192)</f>
        <v>0</v>
      </c>
      <c r="AC192" s="26">
        <f>SUMIFS(Verlauf!$AB$6:$AB$1000,Verlauf!$B$6:$B$1000,$A192,Verlauf!$C$6:$C$1000,$B192)</f>
        <v>0</v>
      </c>
      <c r="AD192" s="26">
        <f>SUMIFS(Verlauf!$AC$6:$AC$1000,Verlauf!$B$6:$B$1000,$A192,Verlauf!$C$6:$C$1000,$B192)</f>
        <v>0</v>
      </c>
      <c r="AE192" s="26">
        <f>SUMIFS(Verlauf!$S$6:$S$1000,Verlauf!$B$6:$B$1000,$A192,Verlauf!$C$6:$C$1000,$B192)</f>
        <v>0</v>
      </c>
      <c r="AF192" s="26" t="str">
        <f>IF($AN192="","",INDEX(Verlauf!$D$6:$D$1000,MATCH($AN192,Verlauf!$A$6:$A$1000,0)))</f>
        <v/>
      </c>
      <c r="AG192" s="26" t="str">
        <f>IF($AN192="","",INDEX(Verlauf!$E$6:$E$1000,MATCH($AN192,Verlauf!$A$6:$A$1000,0)))</f>
        <v/>
      </c>
      <c r="AH192" s="26" t="str">
        <f>IF($AN192="","",INDEX(Verlauf!$F$6:$F$1000,MATCH($AN192,Verlauf!$A$6:$A$1000,0)))</f>
        <v/>
      </c>
      <c r="AI192" s="26" t="str">
        <f>IF($AN192="","",INDEX(Verlauf!$H$6:$H$1000,MATCH($AN192,Verlauf!$A$6:$A$1000,0)))</f>
        <v/>
      </c>
      <c r="AJ192" s="26" t="str">
        <f>IF($AN192="","",INDEX(Verlauf!$N$6:$N$1000,MATCH($AN192,Verlauf!$A$6:$A$1000,0)))</f>
        <v/>
      </c>
      <c r="AK192" s="26" t="str">
        <f>IF($AN192="","",INDEX(Verlauf!$O$6:$O$1000,MATCH($AN192,Verlauf!$A$6:$A$1000,0)))</f>
        <v/>
      </c>
      <c r="AL192" s="26" t="str">
        <f>IF($AN192="","",INDEX(Verlauf!$P$6:$P$1000,MATCH($AN192,Verlauf!$A$6:$A$1000,0)))</f>
        <v/>
      </c>
      <c r="AM192" s="26" t="str">
        <f>IF($AN192="","",INDEX(Verlauf!$R$6:$R$1000,MATCH($AN192,Verlauf!$A$6:$A$1000,0)))</f>
        <v/>
      </c>
      <c r="AN192" s="28" t="str">
        <f>IF(U192&gt;0,_xlfn.MAXIFS(Verlauf!$A$6:$A$1000,Verlauf!$B$6:$B$1000,$A192,Verlauf!$C$6:$C$1000,$B192),"")</f>
        <v/>
      </c>
    </row>
    <row r="193" spans="1:40" x14ac:dyDescent="0.25">
      <c r="A193" s="26">
        <v>2030</v>
      </c>
      <c r="B193" s="26">
        <v>8</v>
      </c>
      <c r="C193" s="7" t="str">
        <f t="shared" si="20"/>
        <v>KW 8/30</v>
      </c>
      <c r="D193" s="26">
        <f>SUMIFS(Verlauf!$K$6:$K$1000,Verlauf!$B$6:$B$1000,$A193,Verlauf!$C$6:$C$1000,$B193)</f>
        <v>0</v>
      </c>
      <c r="E193" s="26">
        <f>SUMIFS(Verlauf!$L$6:$L$1000,Verlauf!$B$6:$B$1000,$A193,Verlauf!$C$6:$C$1000,$B193)</f>
        <v>0</v>
      </c>
      <c r="F193" s="26">
        <f>SUMIFS(Verlauf!$M$6:$M$1000,Verlauf!$B$6:$B$1000,$A193,Verlauf!$C$6:$C$1000,$B193)</f>
        <v>0</v>
      </c>
      <c r="G193" s="26">
        <f>SUMIFS(Verlauf!$J$6:$J$1000,Verlauf!$B$6:$B$1000,$A193,Verlauf!$C$6:$C$1000,$B193)</f>
        <v>0</v>
      </c>
      <c r="H193" s="26">
        <f>SUMIFS(Verlauf!$U$6:$U$1000,Verlauf!$B$6:$B$1000,$A193,Verlauf!$C$6:$C$1000,$B193)</f>
        <v>0</v>
      </c>
      <c r="I193" s="26">
        <f>SUMIFS(Verlauf!$V$6:$V$1000,Verlauf!$B$6:$B$1000,$A193,Verlauf!$C$6:$C$1000,$B193)</f>
        <v>0</v>
      </c>
      <c r="J193" s="26">
        <f>SUMIFS(Verlauf!$W$6:$W$1000,Verlauf!$B$6:$B$1000,$A193,Verlauf!$C$6:$C$1000,$B193)</f>
        <v>0</v>
      </c>
      <c r="K193" s="26">
        <f>SUMIFS(Verlauf!$T$6:$T$1000,Verlauf!$B$6:$B$1000,$A193,Verlauf!$C$6:$C$1000,$B193)</f>
        <v>0</v>
      </c>
      <c r="L193" s="27">
        <f>IF(Filter!$T$7=TRUE,IFERROR(INDEX(Planung!$D$68:$IA$68,MATCH($W193,Wirksam!$D$6:$IA$6,0)),0),0)</f>
        <v>0</v>
      </c>
      <c r="M193" s="27">
        <f>IF(OR(Filter!$T$5=TRUE,Filter!$T$6=TRUE),IFERROR(INDEX(Planung!$D$69:$IA$69,MATCH($W193,Wirksam!$D$6:$IA$6,0)),0),0)</f>
        <v>0</v>
      </c>
      <c r="N193" s="27">
        <f t="shared" si="21"/>
        <v>0</v>
      </c>
      <c r="O193" s="27" t="e">
        <f t="shared" si="22"/>
        <v>#N/A</v>
      </c>
      <c r="P193" s="27" t="e">
        <f t="shared" si="23"/>
        <v>#N/A</v>
      </c>
      <c r="Q193" s="27" t="e">
        <f t="shared" si="24"/>
        <v>#N/A</v>
      </c>
      <c r="R193" s="27" t="e">
        <f t="shared" si="25"/>
        <v>#N/A</v>
      </c>
      <c r="S193" s="27" t="e">
        <f t="shared" si="26"/>
        <v>#N/A</v>
      </c>
      <c r="T193" s="27" t="e">
        <f t="shared" si="27"/>
        <v>#N/A</v>
      </c>
      <c r="U193" s="26">
        <f>COUNTIFS(Verlauf!$B$6:$B$1000,$A193,Verlauf!$C$6:$C$1000,$B193)</f>
        <v>0</v>
      </c>
      <c r="V193" s="26">
        <f t="shared" si="28"/>
        <v>0</v>
      </c>
      <c r="W193" s="26">
        <f t="shared" si="29"/>
        <v>203008</v>
      </c>
      <c r="X193" s="26">
        <f>SUMIFS(Verlauf!$X$6:$X$1000,Verlauf!$B$6:$B$1000,$A193,Verlauf!$C$6:$C$1000,$B193)</f>
        <v>0</v>
      </c>
      <c r="Y193" s="26">
        <f>SUMIFS(Verlauf!$Y$6:$Y$1000,Verlauf!$B$6:$B$1000,$A193,Verlauf!$C$6:$C$1000,$B193)</f>
        <v>0</v>
      </c>
      <c r="Z193" s="26">
        <f>SUMIFS(Verlauf!$Z$6:$Z$1000,Verlauf!$B$6:$B$1000,$A193,Verlauf!$C$6:$C$1000,$B193)</f>
        <v>0</v>
      </c>
      <c r="AA193" s="26">
        <f>SUMIFS(Verlauf!$I$6:$I$1000,Verlauf!$B$6:$B$1000,$A193,Verlauf!$C$6:$C$1000,$B193)</f>
        <v>0</v>
      </c>
      <c r="AB193" s="26">
        <f>SUMIFS(Verlauf!$AA$6:$AA$1000,Verlauf!$B$6:$B$1000,$A193,Verlauf!$C$6:$C$1000,$B193)</f>
        <v>0</v>
      </c>
      <c r="AC193" s="26">
        <f>SUMIFS(Verlauf!$AB$6:$AB$1000,Verlauf!$B$6:$B$1000,$A193,Verlauf!$C$6:$C$1000,$B193)</f>
        <v>0</v>
      </c>
      <c r="AD193" s="26">
        <f>SUMIFS(Verlauf!$AC$6:$AC$1000,Verlauf!$B$6:$B$1000,$A193,Verlauf!$C$6:$C$1000,$B193)</f>
        <v>0</v>
      </c>
      <c r="AE193" s="26">
        <f>SUMIFS(Verlauf!$S$6:$S$1000,Verlauf!$B$6:$B$1000,$A193,Verlauf!$C$6:$C$1000,$B193)</f>
        <v>0</v>
      </c>
      <c r="AF193" s="26" t="str">
        <f>IF($AN193="","",INDEX(Verlauf!$D$6:$D$1000,MATCH($AN193,Verlauf!$A$6:$A$1000,0)))</f>
        <v/>
      </c>
      <c r="AG193" s="26" t="str">
        <f>IF($AN193="","",INDEX(Verlauf!$E$6:$E$1000,MATCH($AN193,Verlauf!$A$6:$A$1000,0)))</f>
        <v/>
      </c>
      <c r="AH193" s="26" t="str">
        <f>IF($AN193="","",INDEX(Verlauf!$F$6:$F$1000,MATCH($AN193,Verlauf!$A$6:$A$1000,0)))</f>
        <v/>
      </c>
      <c r="AI193" s="26" t="str">
        <f>IF($AN193="","",INDEX(Verlauf!$H$6:$H$1000,MATCH($AN193,Verlauf!$A$6:$A$1000,0)))</f>
        <v/>
      </c>
      <c r="AJ193" s="26" t="str">
        <f>IF($AN193="","",INDEX(Verlauf!$N$6:$N$1000,MATCH($AN193,Verlauf!$A$6:$A$1000,0)))</f>
        <v/>
      </c>
      <c r="AK193" s="26" t="str">
        <f>IF($AN193="","",INDEX(Verlauf!$O$6:$O$1000,MATCH($AN193,Verlauf!$A$6:$A$1000,0)))</f>
        <v/>
      </c>
      <c r="AL193" s="26" t="str">
        <f>IF($AN193="","",INDEX(Verlauf!$P$6:$P$1000,MATCH($AN193,Verlauf!$A$6:$A$1000,0)))</f>
        <v/>
      </c>
      <c r="AM193" s="26" t="str">
        <f>IF($AN193="","",INDEX(Verlauf!$R$6:$R$1000,MATCH($AN193,Verlauf!$A$6:$A$1000,0)))</f>
        <v/>
      </c>
      <c r="AN193" s="28" t="str">
        <f>IF(U193&gt;0,_xlfn.MAXIFS(Verlauf!$A$6:$A$1000,Verlauf!$B$6:$B$1000,$A193,Verlauf!$C$6:$C$1000,$B193),"")</f>
        <v/>
      </c>
    </row>
    <row r="194" spans="1:40" x14ac:dyDescent="0.25">
      <c r="A194" s="26">
        <v>2030</v>
      </c>
      <c r="B194" s="26">
        <v>9</v>
      </c>
      <c r="C194" s="7" t="str">
        <f t="shared" si="20"/>
        <v>KW 9/30</v>
      </c>
      <c r="D194" s="26">
        <f>SUMIFS(Verlauf!$K$6:$K$1000,Verlauf!$B$6:$B$1000,$A194,Verlauf!$C$6:$C$1000,$B194)</f>
        <v>0</v>
      </c>
      <c r="E194" s="26">
        <f>SUMIFS(Verlauf!$L$6:$L$1000,Verlauf!$B$6:$B$1000,$A194,Verlauf!$C$6:$C$1000,$B194)</f>
        <v>0</v>
      </c>
      <c r="F194" s="26">
        <f>SUMIFS(Verlauf!$M$6:$M$1000,Verlauf!$B$6:$B$1000,$A194,Verlauf!$C$6:$C$1000,$B194)</f>
        <v>0</v>
      </c>
      <c r="G194" s="26">
        <f>SUMIFS(Verlauf!$J$6:$J$1000,Verlauf!$B$6:$B$1000,$A194,Verlauf!$C$6:$C$1000,$B194)</f>
        <v>0</v>
      </c>
      <c r="H194" s="26">
        <f>SUMIFS(Verlauf!$U$6:$U$1000,Verlauf!$B$6:$B$1000,$A194,Verlauf!$C$6:$C$1000,$B194)</f>
        <v>0</v>
      </c>
      <c r="I194" s="26">
        <f>SUMIFS(Verlauf!$V$6:$V$1000,Verlauf!$B$6:$B$1000,$A194,Verlauf!$C$6:$C$1000,$B194)</f>
        <v>0</v>
      </c>
      <c r="J194" s="26">
        <f>SUMIFS(Verlauf!$W$6:$W$1000,Verlauf!$B$6:$B$1000,$A194,Verlauf!$C$6:$C$1000,$B194)</f>
        <v>0</v>
      </c>
      <c r="K194" s="26">
        <f>SUMIFS(Verlauf!$T$6:$T$1000,Verlauf!$B$6:$B$1000,$A194,Verlauf!$C$6:$C$1000,$B194)</f>
        <v>0</v>
      </c>
      <c r="L194" s="27">
        <f>IF(Filter!$T$7=TRUE,IFERROR(INDEX(Planung!$D$68:$IA$68,MATCH($W194,Wirksam!$D$6:$IA$6,0)),0),0)</f>
        <v>0</v>
      </c>
      <c r="M194" s="27">
        <f>IF(OR(Filter!$T$5=TRUE,Filter!$T$6=TRUE),IFERROR(INDEX(Planung!$D$69:$IA$69,MATCH($W194,Wirksam!$D$6:$IA$6,0)),0),0)</f>
        <v>0</v>
      </c>
      <c r="N194" s="27">
        <f t="shared" si="21"/>
        <v>0</v>
      </c>
      <c r="O194" s="27" t="e">
        <f t="shared" si="22"/>
        <v>#N/A</v>
      </c>
      <c r="P194" s="27" t="e">
        <f t="shared" si="23"/>
        <v>#N/A</v>
      </c>
      <c r="Q194" s="27" t="e">
        <f t="shared" si="24"/>
        <v>#N/A</v>
      </c>
      <c r="R194" s="27" t="e">
        <f t="shared" si="25"/>
        <v>#N/A</v>
      </c>
      <c r="S194" s="27" t="e">
        <f t="shared" si="26"/>
        <v>#N/A</v>
      </c>
      <c r="T194" s="27" t="e">
        <f t="shared" si="27"/>
        <v>#N/A</v>
      </c>
      <c r="U194" s="26">
        <f>COUNTIFS(Verlauf!$B$6:$B$1000,$A194,Verlauf!$C$6:$C$1000,$B194)</f>
        <v>0</v>
      </c>
      <c r="V194" s="26">
        <f t="shared" si="28"/>
        <v>0</v>
      </c>
      <c r="W194" s="26">
        <f t="shared" si="29"/>
        <v>203009</v>
      </c>
      <c r="X194" s="26">
        <f>SUMIFS(Verlauf!$X$6:$X$1000,Verlauf!$B$6:$B$1000,$A194,Verlauf!$C$6:$C$1000,$B194)</f>
        <v>0</v>
      </c>
      <c r="Y194" s="26">
        <f>SUMIFS(Verlauf!$Y$6:$Y$1000,Verlauf!$B$6:$B$1000,$A194,Verlauf!$C$6:$C$1000,$B194)</f>
        <v>0</v>
      </c>
      <c r="Z194" s="26">
        <f>SUMIFS(Verlauf!$Z$6:$Z$1000,Verlauf!$B$6:$B$1000,$A194,Verlauf!$C$6:$C$1000,$B194)</f>
        <v>0</v>
      </c>
      <c r="AA194" s="26">
        <f>SUMIFS(Verlauf!$I$6:$I$1000,Verlauf!$B$6:$B$1000,$A194,Verlauf!$C$6:$C$1000,$B194)</f>
        <v>0</v>
      </c>
      <c r="AB194" s="26">
        <f>SUMIFS(Verlauf!$AA$6:$AA$1000,Verlauf!$B$6:$B$1000,$A194,Verlauf!$C$6:$C$1000,$B194)</f>
        <v>0</v>
      </c>
      <c r="AC194" s="26">
        <f>SUMIFS(Verlauf!$AB$6:$AB$1000,Verlauf!$B$6:$B$1000,$A194,Verlauf!$C$6:$C$1000,$B194)</f>
        <v>0</v>
      </c>
      <c r="AD194" s="26">
        <f>SUMIFS(Verlauf!$AC$6:$AC$1000,Verlauf!$B$6:$B$1000,$A194,Verlauf!$C$6:$C$1000,$B194)</f>
        <v>0</v>
      </c>
      <c r="AE194" s="26">
        <f>SUMIFS(Verlauf!$S$6:$S$1000,Verlauf!$B$6:$B$1000,$A194,Verlauf!$C$6:$C$1000,$B194)</f>
        <v>0</v>
      </c>
      <c r="AF194" s="26" t="str">
        <f>IF($AN194="","",INDEX(Verlauf!$D$6:$D$1000,MATCH($AN194,Verlauf!$A$6:$A$1000,0)))</f>
        <v/>
      </c>
      <c r="AG194" s="26" t="str">
        <f>IF($AN194="","",INDEX(Verlauf!$E$6:$E$1000,MATCH($AN194,Verlauf!$A$6:$A$1000,0)))</f>
        <v/>
      </c>
      <c r="AH194" s="26" t="str">
        <f>IF($AN194="","",INDEX(Verlauf!$F$6:$F$1000,MATCH($AN194,Verlauf!$A$6:$A$1000,0)))</f>
        <v/>
      </c>
      <c r="AI194" s="26" t="str">
        <f>IF($AN194="","",INDEX(Verlauf!$H$6:$H$1000,MATCH($AN194,Verlauf!$A$6:$A$1000,0)))</f>
        <v/>
      </c>
      <c r="AJ194" s="26" t="str">
        <f>IF($AN194="","",INDEX(Verlauf!$N$6:$N$1000,MATCH($AN194,Verlauf!$A$6:$A$1000,0)))</f>
        <v/>
      </c>
      <c r="AK194" s="26" t="str">
        <f>IF($AN194="","",INDEX(Verlauf!$O$6:$O$1000,MATCH($AN194,Verlauf!$A$6:$A$1000,0)))</f>
        <v/>
      </c>
      <c r="AL194" s="26" t="str">
        <f>IF($AN194="","",INDEX(Verlauf!$P$6:$P$1000,MATCH($AN194,Verlauf!$A$6:$A$1000,0)))</f>
        <v/>
      </c>
      <c r="AM194" s="26" t="str">
        <f>IF($AN194="","",INDEX(Verlauf!$R$6:$R$1000,MATCH($AN194,Verlauf!$A$6:$A$1000,0)))</f>
        <v/>
      </c>
      <c r="AN194" s="28" t="str">
        <f>IF(U194&gt;0,_xlfn.MAXIFS(Verlauf!$A$6:$A$1000,Verlauf!$B$6:$B$1000,$A194,Verlauf!$C$6:$C$1000,$B194),"")</f>
        <v/>
      </c>
    </row>
    <row r="195" spans="1:40" x14ac:dyDescent="0.25">
      <c r="A195" s="26">
        <v>2030</v>
      </c>
      <c r="B195" s="26">
        <v>10</v>
      </c>
      <c r="C195" s="7" t="str">
        <f t="shared" si="20"/>
        <v>KW 10/30</v>
      </c>
      <c r="D195" s="26">
        <f>SUMIFS(Verlauf!$K$6:$K$1000,Verlauf!$B$6:$B$1000,$A195,Verlauf!$C$6:$C$1000,$B195)</f>
        <v>0</v>
      </c>
      <c r="E195" s="26">
        <f>SUMIFS(Verlauf!$L$6:$L$1000,Verlauf!$B$6:$B$1000,$A195,Verlauf!$C$6:$C$1000,$B195)</f>
        <v>0</v>
      </c>
      <c r="F195" s="26">
        <f>SUMIFS(Verlauf!$M$6:$M$1000,Verlauf!$B$6:$B$1000,$A195,Verlauf!$C$6:$C$1000,$B195)</f>
        <v>0</v>
      </c>
      <c r="G195" s="26">
        <f>SUMIFS(Verlauf!$J$6:$J$1000,Verlauf!$B$6:$B$1000,$A195,Verlauf!$C$6:$C$1000,$B195)</f>
        <v>0</v>
      </c>
      <c r="H195" s="26">
        <f>SUMIFS(Verlauf!$U$6:$U$1000,Verlauf!$B$6:$B$1000,$A195,Verlauf!$C$6:$C$1000,$B195)</f>
        <v>0</v>
      </c>
      <c r="I195" s="26">
        <f>SUMIFS(Verlauf!$V$6:$V$1000,Verlauf!$B$6:$B$1000,$A195,Verlauf!$C$6:$C$1000,$B195)</f>
        <v>0</v>
      </c>
      <c r="J195" s="26">
        <f>SUMIFS(Verlauf!$W$6:$W$1000,Verlauf!$B$6:$B$1000,$A195,Verlauf!$C$6:$C$1000,$B195)</f>
        <v>0</v>
      </c>
      <c r="K195" s="26">
        <f>SUMIFS(Verlauf!$T$6:$T$1000,Verlauf!$B$6:$B$1000,$A195,Verlauf!$C$6:$C$1000,$B195)</f>
        <v>0</v>
      </c>
      <c r="L195" s="27">
        <f>IF(Filter!$T$7=TRUE,IFERROR(INDEX(Planung!$D$68:$IA$68,MATCH($W195,Wirksam!$D$6:$IA$6,0)),0),0)</f>
        <v>0</v>
      </c>
      <c r="M195" s="27">
        <f>IF(OR(Filter!$T$5=TRUE,Filter!$T$6=TRUE),IFERROR(INDEX(Planung!$D$69:$IA$69,MATCH($W195,Wirksam!$D$6:$IA$6,0)),0),0)</f>
        <v>0</v>
      </c>
      <c r="N195" s="27">
        <f t="shared" si="21"/>
        <v>0</v>
      </c>
      <c r="O195" s="27" t="e">
        <f t="shared" si="22"/>
        <v>#N/A</v>
      </c>
      <c r="P195" s="27" t="e">
        <f t="shared" si="23"/>
        <v>#N/A</v>
      </c>
      <c r="Q195" s="27" t="e">
        <f t="shared" si="24"/>
        <v>#N/A</v>
      </c>
      <c r="R195" s="27" t="e">
        <f t="shared" si="25"/>
        <v>#N/A</v>
      </c>
      <c r="S195" s="27" t="e">
        <f t="shared" si="26"/>
        <v>#N/A</v>
      </c>
      <c r="T195" s="27" t="e">
        <f t="shared" si="27"/>
        <v>#N/A</v>
      </c>
      <c r="U195" s="26">
        <f>COUNTIFS(Verlauf!$B$6:$B$1000,$A195,Verlauf!$C$6:$C$1000,$B195)</f>
        <v>0</v>
      </c>
      <c r="V195" s="26">
        <f t="shared" si="28"/>
        <v>0</v>
      </c>
      <c r="W195" s="26">
        <f t="shared" si="29"/>
        <v>203010</v>
      </c>
      <c r="X195" s="26">
        <f>SUMIFS(Verlauf!$X$6:$X$1000,Verlauf!$B$6:$B$1000,$A195,Verlauf!$C$6:$C$1000,$B195)</f>
        <v>0</v>
      </c>
      <c r="Y195" s="26">
        <f>SUMIFS(Verlauf!$Y$6:$Y$1000,Verlauf!$B$6:$B$1000,$A195,Verlauf!$C$6:$C$1000,$B195)</f>
        <v>0</v>
      </c>
      <c r="Z195" s="26">
        <f>SUMIFS(Verlauf!$Z$6:$Z$1000,Verlauf!$B$6:$B$1000,$A195,Verlauf!$C$6:$C$1000,$B195)</f>
        <v>0</v>
      </c>
      <c r="AA195" s="26">
        <f>SUMIFS(Verlauf!$I$6:$I$1000,Verlauf!$B$6:$B$1000,$A195,Verlauf!$C$6:$C$1000,$B195)</f>
        <v>0</v>
      </c>
      <c r="AB195" s="26">
        <f>SUMIFS(Verlauf!$AA$6:$AA$1000,Verlauf!$B$6:$B$1000,$A195,Verlauf!$C$6:$C$1000,$B195)</f>
        <v>0</v>
      </c>
      <c r="AC195" s="26">
        <f>SUMIFS(Verlauf!$AB$6:$AB$1000,Verlauf!$B$6:$B$1000,$A195,Verlauf!$C$6:$C$1000,$B195)</f>
        <v>0</v>
      </c>
      <c r="AD195" s="26">
        <f>SUMIFS(Verlauf!$AC$6:$AC$1000,Verlauf!$B$6:$B$1000,$A195,Verlauf!$C$6:$C$1000,$B195)</f>
        <v>0</v>
      </c>
      <c r="AE195" s="26">
        <f>SUMIFS(Verlauf!$S$6:$S$1000,Verlauf!$B$6:$B$1000,$A195,Verlauf!$C$6:$C$1000,$B195)</f>
        <v>0</v>
      </c>
      <c r="AF195" s="26" t="str">
        <f>IF($AN195="","",INDEX(Verlauf!$D$6:$D$1000,MATCH($AN195,Verlauf!$A$6:$A$1000,0)))</f>
        <v/>
      </c>
      <c r="AG195" s="26" t="str">
        <f>IF($AN195="","",INDEX(Verlauf!$E$6:$E$1000,MATCH($AN195,Verlauf!$A$6:$A$1000,0)))</f>
        <v/>
      </c>
      <c r="AH195" s="26" t="str">
        <f>IF($AN195="","",INDEX(Verlauf!$F$6:$F$1000,MATCH($AN195,Verlauf!$A$6:$A$1000,0)))</f>
        <v/>
      </c>
      <c r="AI195" s="26" t="str">
        <f>IF($AN195="","",INDEX(Verlauf!$H$6:$H$1000,MATCH($AN195,Verlauf!$A$6:$A$1000,0)))</f>
        <v/>
      </c>
      <c r="AJ195" s="26" t="str">
        <f>IF($AN195="","",INDEX(Verlauf!$N$6:$N$1000,MATCH($AN195,Verlauf!$A$6:$A$1000,0)))</f>
        <v/>
      </c>
      <c r="AK195" s="26" t="str">
        <f>IF($AN195="","",INDEX(Verlauf!$O$6:$O$1000,MATCH($AN195,Verlauf!$A$6:$A$1000,0)))</f>
        <v/>
      </c>
      <c r="AL195" s="26" t="str">
        <f>IF($AN195="","",INDEX(Verlauf!$P$6:$P$1000,MATCH($AN195,Verlauf!$A$6:$A$1000,0)))</f>
        <v/>
      </c>
      <c r="AM195" s="26" t="str">
        <f>IF($AN195="","",INDEX(Verlauf!$R$6:$R$1000,MATCH($AN195,Verlauf!$A$6:$A$1000,0)))</f>
        <v/>
      </c>
      <c r="AN195" s="28" t="str">
        <f>IF(U195&gt;0,_xlfn.MAXIFS(Verlauf!$A$6:$A$1000,Verlauf!$B$6:$B$1000,$A195,Verlauf!$C$6:$C$1000,$B195),"")</f>
        <v/>
      </c>
    </row>
    <row r="196" spans="1:40" x14ac:dyDescent="0.25">
      <c r="A196" s="26">
        <v>2030</v>
      </c>
      <c r="B196" s="26">
        <v>11</v>
      </c>
      <c r="C196" s="7" t="str">
        <f t="shared" si="20"/>
        <v>KW 11/30</v>
      </c>
      <c r="D196" s="26">
        <f>SUMIFS(Verlauf!$K$6:$K$1000,Verlauf!$B$6:$B$1000,$A196,Verlauf!$C$6:$C$1000,$B196)</f>
        <v>0</v>
      </c>
      <c r="E196" s="26">
        <f>SUMIFS(Verlauf!$L$6:$L$1000,Verlauf!$B$6:$B$1000,$A196,Verlauf!$C$6:$C$1000,$B196)</f>
        <v>0</v>
      </c>
      <c r="F196" s="26">
        <f>SUMIFS(Verlauf!$M$6:$M$1000,Verlauf!$B$6:$B$1000,$A196,Verlauf!$C$6:$C$1000,$B196)</f>
        <v>0</v>
      </c>
      <c r="G196" s="26">
        <f>SUMIFS(Verlauf!$J$6:$J$1000,Verlauf!$B$6:$B$1000,$A196,Verlauf!$C$6:$C$1000,$B196)</f>
        <v>0</v>
      </c>
      <c r="H196" s="26">
        <f>SUMIFS(Verlauf!$U$6:$U$1000,Verlauf!$B$6:$B$1000,$A196,Verlauf!$C$6:$C$1000,$B196)</f>
        <v>0</v>
      </c>
      <c r="I196" s="26">
        <f>SUMIFS(Verlauf!$V$6:$V$1000,Verlauf!$B$6:$B$1000,$A196,Verlauf!$C$6:$C$1000,$B196)</f>
        <v>0</v>
      </c>
      <c r="J196" s="26">
        <f>SUMIFS(Verlauf!$W$6:$W$1000,Verlauf!$B$6:$B$1000,$A196,Verlauf!$C$6:$C$1000,$B196)</f>
        <v>0</v>
      </c>
      <c r="K196" s="26">
        <f>SUMIFS(Verlauf!$T$6:$T$1000,Verlauf!$B$6:$B$1000,$A196,Verlauf!$C$6:$C$1000,$B196)</f>
        <v>0</v>
      </c>
      <c r="L196" s="27">
        <f>IF(Filter!$T$7=TRUE,IFERROR(INDEX(Planung!$D$68:$IA$68,MATCH($W196,Wirksam!$D$6:$IA$6,0)),0),0)</f>
        <v>0</v>
      </c>
      <c r="M196" s="27">
        <f>IF(OR(Filter!$T$5=TRUE,Filter!$T$6=TRUE),IFERROR(INDEX(Planung!$D$69:$IA$69,MATCH($W196,Wirksam!$D$6:$IA$6,0)),0),0)</f>
        <v>0</v>
      </c>
      <c r="N196" s="27">
        <f t="shared" si="21"/>
        <v>0</v>
      </c>
      <c r="O196" s="27" t="e">
        <f t="shared" si="22"/>
        <v>#N/A</v>
      </c>
      <c r="P196" s="27" t="e">
        <f t="shared" si="23"/>
        <v>#N/A</v>
      </c>
      <c r="Q196" s="27" t="e">
        <f t="shared" si="24"/>
        <v>#N/A</v>
      </c>
      <c r="R196" s="27" t="e">
        <f t="shared" si="25"/>
        <v>#N/A</v>
      </c>
      <c r="S196" s="27" t="e">
        <f t="shared" si="26"/>
        <v>#N/A</v>
      </c>
      <c r="T196" s="27" t="e">
        <f t="shared" si="27"/>
        <v>#N/A</v>
      </c>
      <c r="U196" s="26">
        <f>COUNTIFS(Verlauf!$B$6:$B$1000,$A196,Verlauf!$C$6:$C$1000,$B196)</f>
        <v>0</v>
      </c>
      <c r="V196" s="26">
        <f t="shared" si="28"/>
        <v>0</v>
      </c>
      <c r="W196" s="26">
        <f t="shared" si="29"/>
        <v>203011</v>
      </c>
      <c r="X196" s="26">
        <f>SUMIFS(Verlauf!$X$6:$X$1000,Verlauf!$B$6:$B$1000,$A196,Verlauf!$C$6:$C$1000,$B196)</f>
        <v>0</v>
      </c>
      <c r="Y196" s="26">
        <f>SUMIFS(Verlauf!$Y$6:$Y$1000,Verlauf!$B$6:$B$1000,$A196,Verlauf!$C$6:$C$1000,$B196)</f>
        <v>0</v>
      </c>
      <c r="Z196" s="26">
        <f>SUMIFS(Verlauf!$Z$6:$Z$1000,Verlauf!$B$6:$B$1000,$A196,Verlauf!$C$6:$C$1000,$B196)</f>
        <v>0</v>
      </c>
      <c r="AA196" s="26">
        <f>SUMIFS(Verlauf!$I$6:$I$1000,Verlauf!$B$6:$B$1000,$A196,Verlauf!$C$6:$C$1000,$B196)</f>
        <v>0</v>
      </c>
      <c r="AB196" s="26">
        <f>SUMIFS(Verlauf!$AA$6:$AA$1000,Verlauf!$B$6:$B$1000,$A196,Verlauf!$C$6:$C$1000,$B196)</f>
        <v>0</v>
      </c>
      <c r="AC196" s="26">
        <f>SUMIFS(Verlauf!$AB$6:$AB$1000,Verlauf!$B$6:$B$1000,$A196,Verlauf!$C$6:$C$1000,$B196)</f>
        <v>0</v>
      </c>
      <c r="AD196" s="26">
        <f>SUMIFS(Verlauf!$AC$6:$AC$1000,Verlauf!$B$6:$B$1000,$A196,Verlauf!$C$6:$C$1000,$B196)</f>
        <v>0</v>
      </c>
      <c r="AE196" s="26">
        <f>SUMIFS(Verlauf!$S$6:$S$1000,Verlauf!$B$6:$B$1000,$A196,Verlauf!$C$6:$C$1000,$B196)</f>
        <v>0</v>
      </c>
      <c r="AF196" s="26" t="str">
        <f>IF($AN196="","",INDEX(Verlauf!$D$6:$D$1000,MATCH($AN196,Verlauf!$A$6:$A$1000,0)))</f>
        <v/>
      </c>
      <c r="AG196" s="26" t="str">
        <f>IF($AN196="","",INDEX(Verlauf!$E$6:$E$1000,MATCH($AN196,Verlauf!$A$6:$A$1000,0)))</f>
        <v/>
      </c>
      <c r="AH196" s="26" t="str">
        <f>IF($AN196="","",INDEX(Verlauf!$F$6:$F$1000,MATCH($AN196,Verlauf!$A$6:$A$1000,0)))</f>
        <v/>
      </c>
      <c r="AI196" s="26" t="str">
        <f>IF($AN196="","",INDEX(Verlauf!$H$6:$H$1000,MATCH($AN196,Verlauf!$A$6:$A$1000,0)))</f>
        <v/>
      </c>
      <c r="AJ196" s="26" t="str">
        <f>IF($AN196="","",INDEX(Verlauf!$N$6:$N$1000,MATCH($AN196,Verlauf!$A$6:$A$1000,0)))</f>
        <v/>
      </c>
      <c r="AK196" s="26" t="str">
        <f>IF($AN196="","",INDEX(Verlauf!$O$6:$O$1000,MATCH($AN196,Verlauf!$A$6:$A$1000,0)))</f>
        <v/>
      </c>
      <c r="AL196" s="26" t="str">
        <f>IF($AN196="","",INDEX(Verlauf!$P$6:$P$1000,MATCH($AN196,Verlauf!$A$6:$A$1000,0)))</f>
        <v/>
      </c>
      <c r="AM196" s="26" t="str">
        <f>IF($AN196="","",INDEX(Verlauf!$R$6:$R$1000,MATCH($AN196,Verlauf!$A$6:$A$1000,0)))</f>
        <v/>
      </c>
      <c r="AN196" s="28" t="str">
        <f>IF(U196&gt;0,_xlfn.MAXIFS(Verlauf!$A$6:$A$1000,Verlauf!$B$6:$B$1000,$A196,Verlauf!$C$6:$C$1000,$B196),"")</f>
        <v/>
      </c>
    </row>
    <row r="197" spans="1:40" x14ac:dyDescent="0.25">
      <c r="A197" s="26">
        <v>2030</v>
      </c>
      <c r="B197" s="26">
        <v>12</v>
      </c>
      <c r="C197" s="7" t="str">
        <f t="shared" si="20"/>
        <v>KW 12/30</v>
      </c>
      <c r="D197" s="26">
        <f>SUMIFS(Verlauf!$K$6:$K$1000,Verlauf!$B$6:$B$1000,$A197,Verlauf!$C$6:$C$1000,$B197)</f>
        <v>0</v>
      </c>
      <c r="E197" s="26">
        <f>SUMIFS(Verlauf!$L$6:$L$1000,Verlauf!$B$6:$B$1000,$A197,Verlauf!$C$6:$C$1000,$B197)</f>
        <v>0</v>
      </c>
      <c r="F197" s="26">
        <f>SUMIFS(Verlauf!$M$6:$M$1000,Verlauf!$B$6:$B$1000,$A197,Verlauf!$C$6:$C$1000,$B197)</f>
        <v>0</v>
      </c>
      <c r="G197" s="26">
        <f>SUMIFS(Verlauf!$J$6:$J$1000,Verlauf!$B$6:$B$1000,$A197,Verlauf!$C$6:$C$1000,$B197)</f>
        <v>0</v>
      </c>
      <c r="H197" s="26">
        <f>SUMIFS(Verlauf!$U$6:$U$1000,Verlauf!$B$6:$B$1000,$A197,Verlauf!$C$6:$C$1000,$B197)</f>
        <v>0</v>
      </c>
      <c r="I197" s="26">
        <f>SUMIFS(Verlauf!$V$6:$V$1000,Verlauf!$B$6:$B$1000,$A197,Verlauf!$C$6:$C$1000,$B197)</f>
        <v>0</v>
      </c>
      <c r="J197" s="26">
        <f>SUMIFS(Verlauf!$W$6:$W$1000,Verlauf!$B$6:$B$1000,$A197,Verlauf!$C$6:$C$1000,$B197)</f>
        <v>0</v>
      </c>
      <c r="K197" s="26">
        <f>SUMIFS(Verlauf!$T$6:$T$1000,Verlauf!$B$6:$B$1000,$A197,Verlauf!$C$6:$C$1000,$B197)</f>
        <v>0</v>
      </c>
      <c r="L197" s="27">
        <f>IF(Filter!$T$7=TRUE,IFERROR(INDEX(Planung!$D$68:$IA$68,MATCH($W197,Wirksam!$D$6:$IA$6,0)),0),0)</f>
        <v>0</v>
      </c>
      <c r="M197" s="27">
        <f>IF(OR(Filter!$T$5=TRUE,Filter!$T$6=TRUE),IFERROR(INDEX(Planung!$D$69:$IA$69,MATCH($W197,Wirksam!$D$6:$IA$6,0)),0),0)</f>
        <v>0</v>
      </c>
      <c r="N197" s="27">
        <f t="shared" si="21"/>
        <v>0</v>
      </c>
      <c r="O197" s="27" t="e">
        <f t="shared" si="22"/>
        <v>#N/A</v>
      </c>
      <c r="P197" s="27" t="e">
        <f t="shared" si="23"/>
        <v>#N/A</v>
      </c>
      <c r="Q197" s="27" t="e">
        <f t="shared" si="24"/>
        <v>#N/A</v>
      </c>
      <c r="R197" s="27" t="e">
        <f t="shared" si="25"/>
        <v>#N/A</v>
      </c>
      <c r="S197" s="27" t="e">
        <f t="shared" si="26"/>
        <v>#N/A</v>
      </c>
      <c r="T197" s="27" t="e">
        <f t="shared" si="27"/>
        <v>#N/A</v>
      </c>
      <c r="U197" s="26">
        <f>COUNTIFS(Verlauf!$B$6:$B$1000,$A197,Verlauf!$C$6:$C$1000,$B197)</f>
        <v>0</v>
      </c>
      <c r="V197" s="26">
        <f t="shared" si="28"/>
        <v>0</v>
      </c>
      <c r="W197" s="26">
        <f t="shared" si="29"/>
        <v>203012</v>
      </c>
      <c r="X197" s="26">
        <f>SUMIFS(Verlauf!$X$6:$X$1000,Verlauf!$B$6:$B$1000,$A197,Verlauf!$C$6:$C$1000,$B197)</f>
        <v>0</v>
      </c>
      <c r="Y197" s="26">
        <f>SUMIFS(Verlauf!$Y$6:$Y$1000,Verlauf!$B$6:$B$1000,$A197,Verlauf!$C$6:$C$1000,$B197)</f>
        <v>0</v>
      </c>
      <c r="Z197" s="26">
        <f>SUMIFS(Verlauf!$Z$6:$Z$1000,Verlauf!$B$6:$B$1000,$A197,Verlauf!$C$6:$C$1000,$B197)</f>
        <v>0</v>
      </c>
      <c r="AA197" s="26">
        <f>SUMIFS(Verlauf!$I$6:$I$1000,Verlauf!$B$6:$B$1000,$A197,Verlauf!$C$6:$C$1000,$B197)</f>
        <v>0</v>
      </c>
      <c r="AB197" s="26">
        <f>SUMIFS(Verlauf!$AA$6:$AA$1000,Verlauf!$B$6:$B$1000,$A197,Verlauf!$C$6:$C$1000,$B197)</f>
        <v>0</v>
      </c>
      <c r="AC197" s="26">
        <f>SUMIFS(Verlauf!$AB$6:$AB$1000,Verlauf!$B$6:$B$1000,$A197,Verlauf!$C$6:$C$1000,$B197)</f>
        <v>0</v>
      </c>
      <c r="AD197" s="26">
        <f>SUMIFS(Verlauf!$AC$6:$AC$1000,Verlauf!$B$6:$B$1000,$A197,Verlauf!$C$6:$C$1000,$B197)</f>
        <v>0</v>
      </c>
      <c r="AE197" s="26">
        <f>SUMIFS(Verlauf!$S$6:$S$1000,Verlauf!$B$6:$B$1000,$A197,Verlauf!$C$6:$C$1000,$B197)</f>
        <v>0</v>
      </c>
      <c r="AF197" s="26" t="str">
        <f>IF($AN197="","",INDEX(Verlauf!$D$6:$D$1000,MATCH($AN197,Verlauf!$A$6:$A$1000,0)))</f>
        <v/>
      </c>
      <c r="AG197" s="26" t="str">
        <f>IF($AN197="","",INDEX(Verlauf!$E$6:$E$1000,MATCH($AN197,Verlauf!$A$6:$A$1000,0)))</f>
        <v/>
      </c>
      <c r="AH197" s="26" t="str">
        <f>IF($AN197="","",INDEX(Verlauf!$F$6:$F$1000,MATCH($AN197,Verlauf!$A$6:$A$1000,0)))</f>
        <v/>
      </c>
      <c r="AI197" s="26" t="str">
        <f>IF($AN197="","",INDEX(Verlauf!$H$6:$H$1000,MATCH($AN197,Verlauf!$A$6:$A$1000,0)))</f>
        <v/>
      </c>
      <c r="AJ197" s="26" t="str">
        <f>IF($AN197="","",INDEX(Verlauf!$N$6:$N$1000,MATCH($AN197,Verlauf!$A$6:$A$1000,0)))</f>
        <v/>
      </c>
      <c r="AK197" s="26" t="str">
        <f>IF($AN197="","",INDEX(Verlauf!$O$6:$O$1000,MATCH($AN197,Verlauf!$A$6:$A$1000,0)))</f>
        <v/>
      </c>
      <c r="AL197" s="26" t="str">
        <f>IF($AN197="","",INDEX(Verlauf!$P$6:$P$1000,MATCH($AN197,Verlauf!$A$6:$A$1000,0)))</f>
        <v/>
      </c>
      <c r="AM197" s="26" t="str">
        <f>IF($AN197="","",INDEX(Verlauf!$R$6:$R$1000,MATCH($AN197,Verlauf!$A$6:$A$1000,0)))</f>
        <v/>
      </c>
      <c r="AN197" s="28" t="str">
        <f>IF(U197&gt;0,_xlfn.MAXIFS(Verlauf!$A$6:$A$1000,Verlauf!$B$6:$B$1000,$A197,Verlauf!$C$6:$C$1000,$B197),"")</f>
        <v/>
      </c>
    </row>
    <row r="198" spans="1:40" x14ac:dyDescent="0.25">
      <c r="A198" s="26">
        <v>2030</v>
      </c>
      <c r="B198" s="26">
        <v>13</v>
      </c>
      <c r="C198" s="7" t="str">
        <f t="shared" ref="C198:C261" si="30">"KW "&amp;B198&amp;"/"&amp;RIGHT(A198,2)</f>
        <v>KW 13/30</v>
      </c>
      <c r="D198" s="26">
        <f>SUMIFS(Verlauf!$K$6:$K$1000,Verlauf!$B$6:$B$1000,$A198,Verlauf!$C$6:$C$1000,$B198)</f>
        <v>0</v>
      </c>
      <c r="E198" s="26">
        <f>SUMIFS(Verlauf!$L$6:$L$1000,Verlauf!$B$6:$B$1000,$A198,Verlauf!$C$6:$C$1000,$B198)</f>
        <v>0</v>
      </c>
      <c r="F198" s="26">
        <f>SUMIFS(Verlauf!$M$6:$M$1000,Verlauf!$B$6:$B$1000,$A198,Verlauf!$C$6:$C$1000,$B198)</f>
        <v>0</v>
      </c>
      <c r="G198" s="26">
        <f>SUMIFS(Verlauf!$J$6:$J$1000,Verlauf!$B$6:$B$1000,$A198,Verlauf!$C$6:$C$1000,$B198)</f>
        <v>0</v>
      </c>
      <c r="H198" s="26">
        <f>SUMIFS(Verlauf!$U$6:$U$1000,Verlauf!$B$6:$B$1000,$A198,Verlauf!$C$6:$C$1000,$B198)</f>
        <v>0</v>
      </c>
      <c r="I198" s="26">
        <f>SUMIFS(Verlauf!$V$6:$V$1000,Verlauf!$B$6:$B$1000,$A198,Verlauf!$C$6:$C$1000,$B198)</f>
        <v>0</v>
      </c>
      <c r="J198" s="26">
        <f>SUMIFS(Verlauf!$W$6:$W$1000,Verlauf!$B$6:$B$1000,$A198,Verlauf!$C$6:$C$1000,$B198)</f>
        <v>0</v>
      </c>
      <c r="K198" s="26">
        <f>SUMIFS(Verlauf!$T$6:$T$1000,Verlauf!$B$6:$B$1000,$A198,Verlauf!$C$6:$C$1000,$B198)</f>
        <v>0</v>
      </c>
      <c r="L198" s="27">
        <f>IF(Filter!$T$7=TRUE,IFERROR(INDEX(Planung!$D$68:$IA$68,MATCH($W198,Wirksam!$D$6:$IA$6,0)),0),0)</f>
        <v>0</v>
      </c>
      <c r="M198" s="27">
        <f>IF(OR(Filter!$T$5=TRUE,Filter!$T$6=TRUE),IFERROR(INDEX(Planung!$D$69:$IA$69,MATCH($W198,Wirksam!$D$6:$IA$6,0)),0),0)</f>
        <v>0</v>
      </c>
      <c r="N198" s="27">
        <f t="shared" ref="N198:N261" si="31">L198+M198</f>
        <v>0</v>
      </c>
      <c r="O198" s="27" t="e">
        <f t="shared" ref="O198:O237" si="32">IF(AND(L198&gt;0,U198&gt;0),J198/L198,NA())</f>
        <v>#N/A</v>
      </c>
      <c r="P198" s="27" t="e">
        <f t="shared" ref="P198:P237" si="33">IF(AND(M198&gt;0,U198&gt;0),(H198+I198)/M198,NA())</f>
        <v>#N/A</v>
      </c>
      <c r="Q198" s="27" t="e">
        <f t="shared" ref="Q198:Q237" si="34">IF(AND(N198&gt;0,U198&gt;0),K198/N198,NA())</f>
        <v>#N/A</v>
      </c>
      <c r="R198" s="27" t="e">
        <f t="shared" ref="R198:R237" si="35">IF(AND(L198&gt;0,U198&gt;0),F198/L198,NA())</f>
        <v>#N/A</v>
      </c>
      <c r="S198" s="27" t="e">
        <f t="shared" ref="S198:S237" si="36">IF(AND(M198&gt;0,U198&gt;0),(D198+E198)/M198,NA())</f>
        <v>#N/A</v>
      </c>
      <c r="T198" s="27" t="e">
        <f t="shared" ref="T198:T261" si="37">IF(AND(N198&gt;0,U198&gt;0),G198/N198,NA())</f>
        <v>#N/A</v>
      </c>
      <c r="U198" s="26">
        <f>COUNTIFS(Verlauf!$B$6:$B$1000,$A198,Verlauf!$C$6:$C$1000,$B198)</f>
        <v>0</v>
      </c>
      <c r="V198" s="26">
        <f t="shared" ref="V198:V261" si="38">IF(OR(U198&gt;0,N198&gt;0),1,0)</f>
        <v>0</v>
      </c>
      <c r="W198" s="26">
        <f t="shared" ref="W198:W237" si="39">A198*100+B198</f>
        <v>203013</v>
      </c>
      <c r="X198" s="26">
        <f>SUMIFS(Verlauf!$X$6:$X$1000,Verlauf!$B$6:$B$1000,$A198,Verlauf!$C$6:$C$1000,$B198)</f>
        <v>0</v>
      </c>
      <c r="Y198" s="26">
        <f>SUMIFS(Verlauf!$Y$6:$Y$1000,Verlauf!$B$6:$B$1000,$A198,Verlauf!$C$6:$C$1000,$B198)</f>
        <v>0</v>
      </c>
      <c r="Z198" s="26">
        <f>SUMIFS(Verlauf!$Z$6:$Z$1000,Verlauf!$B$6:$B$1000,$A198,Verlauf!$C$6:$C$1000,$B198)</f>
        <v>0</v>
      </c>
      <c r="AA198" s="26">
        <f>SUMIFS(Verlauf!$I$6:$I$1000,Verlauf!$B$6:$B$1000,$A198,Verlauf!$C$6:$C$1000,$B198)</f>
        <v>0</v>
      </c>
      <c r="AB198" s="26">
        <f>SUMIFS(Verlauf!$AA$6:$AA$1000,Verlauf!$B$6:$B$1000,$A198,Verlauf!$C$6:$C$1000,$B198)</f>
        <v>0</v>
      </c>
      <c r="AC198" s="26">
        <f>SUMIFS(Verlauf!$AB$6:$AB$1000,Verlauf!$B$6:$B$1000,$A198,Verlauf!$C$6:$C$1000,$B198)</f>
        <v>0</v>
      </c>
      <c r="AD198" s="26">
        <f>SUMIFS(Verlauf!$AC$6:$AC$1000,Verlauf!$B$6:$B$1000,$A198,Verlauf!$C$6:$C$1000,$B198)</f>
        <v>0</v>
      </c>
      <c r="AE198" s="26">
        <f>SUMIFS(Verlauf!$S$6:$S$1000,Verlauf!$B$6:$B$1000,$A198,Verlauf!$C$6:$C$1000,$B198)</f>
        <v>0</v>
      </c>
      <c r="AF198" s="26" t="str">
        <f>IF($AN198="","",INDEX(Verlauf!$D$6:$D$1000,MATCH($AN198,Verlauf!$A$6:$A$1000,0)))</f>
        <v/>
      </c>
      <c r="AG198" s="26" t="str">
        <f>IF($AN198="","",INDEX(Verlauf!$E$6:$E$1000,MATCH($AN198,Verlauf!$A$6:$A$1000,0)))</f>
        <v/>
      </c>
      <c r="AH198" s="26" t="str">
        <f>IF($AN198="","",INDEX(Verlauf!$F$6:$F$1000,MATCH($AN198,Verlauf!$A$6:$A$1000,0)))</f>
        <v/>
      </c>
      <c r="AI198" s="26" t="str">
        <f>IF($AN198="","",INDEX(Verlauf!$H$6:$H$1000,MATCH($AN198,Verlauf!$A$6:$A$1000,0)))</f>
        <v/>
      </c>
      <c r="AJ198" s="26" t="str">
        <f>IF($AN198="","",INDEX(Verlauf!$N$6:$N$1000,MATCH($AN198,Verlauf!$A$6:$A$1000,0)))</f>
        <v/>
      </c>
      <c r="AK198" s="26" t="str">
        <f>IF($AN198="","",INDEX(Verlauf!$O$6:$O$1000,MATCH($AN198,Verlauf!$A$6:$A$1000,0)))</f>
        <v/>
      </c>
      <c r="AL198" s="26" t="str">
        <f>IF($AN198="","",INDEX(Verlauf!$P$6:$P$1000,MATCH($AN198,Verlauf!$A$6:$A$1000,0)))</f>
        <v/>
      </c>
      <c r="AM198" s="26" t="str">
        <f>IF($AN198="","",INDEX(Verlauf!$R$6:$R$1000,MATCH($AN198,Verlauf!$A$6:$A$1000,0)))</f>
        <v/>
      </c>
      <c r="AN198" s="28" t="str">
        <f>IF(U198&gt;0,_xlfn.MAXIFS(Verlauf!$A$6:$A$1000,Verlauf!$B$6:$B$1000,$A198,Verlauf!$C$6:$C$1000,$B198),"")</f>
        <v/>
      </c>
    </row>
    <row r="199" spans="1:40" x14ac:dyDescent="0.25">
      <c r="A199" s="26">
        <v>2030</v>
      </c>
      <c r="B199" s="26">
        <v>14</v>
      </c>
      <c r="C199" s="7" t="str">
        <f t="shared" si="30"/>
        <v>KW 14/30</v>
      </c>
      <c r="D199" s="26">
        <f>SUMIFS(Verlauf!$K$6:$K$1000,Verlauf!$B$6:$B$1000,$A199,Verlauf!$C$6:$C$1000,$B199)</f>
        <v>0</v>
      </c>
      <c r="E199" s="26">
        <f>SUMIFS(Verlauf!$L$6:$L$1000,Verlauf!$B$6:$B$1000,$A199,Verlauf!$C$6:$C$1000,$B199)</f>
        <v>0</v>
      </c>
      <c r="F199" s="26">
        <f>SUMIFS(Verlauf!$M$6:$M$1000,Verlauf!$B$6:$B$1000,$A199,Verlauf!$C$6:$C$1000,$B199)</f>
        <v>0</v>
      </c>
      <c r="G199" s="26">
        <f>SUMIFS(Verlauf!$J$6:$J$1000,Verlauf!$B$6:$B$1000,$A199,Verlauf!$C$6:$C$1000,$B199)</f>
        <v>0</v>
      </c>
      <c r="H199" s="26">
        <f>SUMIFS(Verlauf!$U$6:$U$1000,Verlauf!$B$6:$B$1000,$A199,Verlauf!$C$6:$C$1000,$B199)</f>
        <v>0</v>
      </c>
      <c r="I199" s="26">
        <f>SUMIFS(Verlauf!$V$6:$V$1000,Verlauf!$B$6:$B$1000,$A199,Verlauf!$C$6:$C$1000,$B199)</f>
        <v>0</v>
      </c>
      <c r="J199" s="26">
        <f>SUMIFS(Verlauf!$W$6:$W$1000,Verlauf!$B$6:$B$1000,$A199,Verlauf!$C$6:$C$1000,$B199)</f>
        <v>0</v>
      </c>
      <c r="K199" s="26">
        <f>SUMIFS(Verlauf!$T$6:$T$1000,Verlauf!$B$6:$B$1000,$A199,Verlauf!$C$6:$C$1000,$B199)</f>
        <v>0</v>
      </c>
      <c r="L199" s="27">
        <f>IF(Filter!$T$7=TRUE,IFERROR(INDEX(Planung!$D$68:$IA$68,MATCH($W199,Wirksam!$D$6:$IA$6,0)),0),0)</f>
        <v>0</v>
      </c>
      <c r="M199" s="27">
        <f>IF(OR(Filter!$T$5=TRUE,Filter!$T$6=TRUE),IFERROR(INDEX(Planung!$D$69:$IA$69,MATCH($W199,Wirksam!$D$6:$IA$6,0)),0),0)</f>
        <v>0</v>
      </c>
      <c r="N199" s="27">
        <f t="shared" si="31"/>
        <v>0</v>
      </c>
      <c r="O199" s="27" t="e">
        <f t="shared" si="32"/>
        <v>#N/A</v>
      </c>
      <c r="P199" s="27" t="e">
        <f t="shared" si="33"/>
        <v>#N/A</v>
      </c>
      <c r="Q199" s="27" t="e">
        <f t="shared" si="34"/>
        <v>#N/A</v>
      </c>
      <c r="R199" s="27" t="e">
        <f t="shared" si="35"/>
        <v>#N/A</v>
      </c>
      <c r="S199" s="27" t="e">
        <f t="shared" si="36"/>
        <v>#N/A</v>
      </c>
      <c r="T199" s="27" t="e">
        <f t="shared" si="37"/>
        <v>#N/A</v>
      </c>
      <c r="U199" s="26">
        <f>COUNTIFS(Verlauf!$B$6:$B$1000,$A199,Verlauf!$C$6:$C$1000,$B199)</f>
        <v>0</v>
      </c>
      <c r="V199" s="26">
        <f t="shared" si="38"/>
        <v>0</v>
      </c>
      <c r="W199" s="26">
        <f t="shared" si="39"/>
        <v>203014</v>
      </c>
      <c r="X199" s="26">
        <f>SUMIFS(Verlauf!$X$6:$X$1000,Verlauf!$B$6:$B$1000,$A199,Verlauf!$C$6:$C$1000,$B199)</f>
        <v>0</v>
      </c>
      <c r="Y199" s="26">
        <f>SUMIFS(Verlauf!$Y$6:$Y$1000,Verlauf!$B$6:$B$1000,$A199,Verlauf!$C$6:$C$1000,$B199)</f>
        <v>0</v>
      </c>
      <c r="Z199" s="26">
        <f>SUMIFS(Verlauf!$Z$6:$Z$1000,Verlauf!$B$6:$B$1000,$A199,Verlauf!$C$6:$C$1000,$B199)</f>
        <v>0</v>
      </c>
      <c r="AA199" s="26">
        <f>SUMIFS(Verlauf!$I$6:$I$1000,Verlauf!$B$6:$B$1000,$A199,Verlauf!$C$6:$C$1000,$B199)</f>
        <v>0</v>
      </c>
      <c r="AB199" s="26">
        <f>SUMIFS(Verlauf!$AA$6:$AA$1000,Verlauf!$B$6:$B$1000,$A199,Verlauf!$C$6:$C$1000,$B199)</f>
        <v>0</v>
      </c>
      <c r="AC199" s="26">
        <f>SUMIFS(Verlauf!$AB$6:$AB$1000,Verlauf!$B$6:$B$1000,$A199,Verlauf!$C$6:$C$1000,$B199)</f>
        <v>0</v>
      </c>
      <c r="AD199" s="26">
        <f>SUMIFS(Verlauf!$AC$6:$AC$1000,Verlauf!$B$6:$B$1000,$A199,Verlauf!$C$6:$C$1000,$B199)</f>
        <v>0</v>
      </c>
      <c r="AE199" s="26">
        <f>SUMIFS(Verlauf!$S$6:$S$1000,Verlauf!$B$6:$B$1000,$A199,Verlauf!$C$6:$C$1000,$B199)</f>
        <v>0</v>
      </c>
      <c r="AF199" s="26" t="str">
        <f>IF($AN199="","",INDEX(Verlauf!$D$6:$D$1000,MATCH($AN199,Verlauf!$A$6:$A$1000,0)))</f>
        <v/>
      </c>
      <c r="AG199" s="26" t="str">
        <f>IF($AN199="","",INDEX(Verlauf!$E$6:$E$1000,MATCH($AN199,Verlauf!$A$6:$A$1000,0)))</f>
        <v/>
      </c>
      <c r="AH199" s="26" t="str">
        <f>IF($AN199="","",INDEX(Verlauf!$F$6:$F$1000,MATCH($AN199,Verlauf!$A$6:$A$1000,0)))</f>
        <v/>
      </c>
      <c r="AI199" s="26" t="str">
        <f>IF($AN199="","",INDEX(Verlauf!$H$6:$H$1000,MATCH($AN199,Verlauf!$A$6:$A$1000,0)))</f>
        <v/>
      </c>
      <c r="AJ199" s="26" t="str">
        <f>IF($AN199="","",INDEX(Verlauf!$N$6:$N$1000,MATCH($AN199,Verlauf!$A$6:$A$1000,0)))</f>
        <v/>
      </c>
      <c r="AK199" s="26" t="str">
        <f>IF($AN199="","",INDEX(Verlauf!$O$6:$O$1000,MATCH($AN199,Verlauf!$A$6:$A$1000,0)))</f>
        <v/>
      </c>
      <c r="AL199" s="26" t="str">
        <f>IF($AN199="","",INDEX(Verlauf!$P$6:$P$1000,MATCH($AN199,Verlauf!$A$6:$A$1000,0)))</f>
        <v/>
      </c>
      <c r="AM199" s="26" t="str">
        <f>IF($AN199="","",INDEX(Verlauf!$R$6:$R$1000,MATCH($AN199,Verlauf!$A$6:$A$1000,0)))</f>
        <v/>
      </c>
      <c r="AN199" s="28" t="str">
        <f>IF(U199&gt;0,_xlfn.MAXIFS(Verlauf!$A$6:$A$1000,Verlauf!$B$6:$B$1000,$A199,Verlauf!$C$6:$C$1000,$B199),"")</f>
        <v/>
      </c>
    </row>
    <row r="200" spans="1:40" x14ac:dyDescent="0.25">
      <c r="A200" s="26">
        <v>2030</v>
      </c>
      <c r="B200" s="26">
        <v>15</v>
      </c>
      <c r="C200" s="7" t="str">
        <f t="shared" si="30"/>
        <v>KW 15/30</v>
      </c>
      <c r="D200" s="26">
        <f>SUMIFS(Verlauf!$K$6:$K$1000,Verlauf!$B$6:$B$1000,$A200,Verlauf!$C$6:$C$1000,$B200)</f>
        <v>0</v>
      </c>
      <c r="E200" s="26">
        <f>SUMIFS(Verlauf!$L$6:$L$1000,Verlauf!$B$6:$B$1000,$A200,Verlauf!$C$6:$C$1000,$B200)</f>
        <v>0</v>
      </c>
      <c r="F200" s="26">
        <f>SUMIFS(Verlauf!$M$6:$M$1000,Verlauf!$B$6:$B$1000,$A200,Verlauf!$C$6:$C$1000,$B200)</f>
        <v>0</v>
      </c>
      <c r="G200" s="26">
        <f>SUMIFS(Verlauf!$J$6:$J$1000,Verlauf!$B$6:$B$1000,$A200,Verlauf!$C$6:$C$1000,$B200)</f>
        <v>0</v>
      </c>
      <c r="H200" s="26">
        <f>SUMIFS(Verlauf!$U$6:$U$1000,Verlauf!$B$6:$B$1000,$A200,Verlauf!$C$6:$C$1000,$B200)</f>
        <v>0</v>
      </c>
      <c r="I200" s="26">
        <f>SUMIFS(Verlauf!$V$6:$V$1000,Verlauf!$B$6:$B$1000,$A200,Verlauf!$C$6:$C$1000,$B200)</f>
        <v>0</v>
      </c>
      <c r="J200" s="26">
        <f>SUMIFS(Verlauf!$W$6:$W$1000,Verlauf!$B$6:$B$1000,$A200,Verlauf!$C$6:$C$1000,$B200)</f>
        <v>0</v>
      </c>
      <c r="K200" s="26">
        <f>SUMIFS(Verlauf!$T$6:$T$1000,Verlauf!$B$6:$B$1000,$A200,Verlauf!$C$6:$C$1000,$B200)</f>
        <v>0</v>
      </c>
      <c r="L200" s="27">
        <f>IF(Filter!$T$7=TRUE,IFERROR(INDEX(Planung!$D$68:$IA$68,MATCH($W200,Wirksam!$D$6:$IA$6,0)),0),0)</f>
        <v>0</v>
      </c>
      <c r="M200" s="27">
        <f>IF(OR(Filter!$T$5=TRUE,Filter!$T$6=TRUE),IFERROR(INDEX(Planung!$D$69:$IA$69,MATCH($W200,Wirksam!$D$6:$IA$6,0)),0),0)</f>
        <v>0</v>
      </c>
      <c r="N200" s="27">
        <f t="shared" si="31"/>
        <v>0</v>
      </c>
      <c r="O200" s="27" t="e">
        <f t="shared" si="32"/>
        <v>#N/A</v>
      </c>
      <c r="P200" s="27" t="e">
        <f t="shared" si="33"/>
        <v>#N/A</v>
      </c>
      <c r="Q200" s="27" t="e">
        <f t="shared" si="34"/>
        <v>#N/A</v>
      </c>
      <c r="R200" s="27" t="e">
        <f t="shared" si="35"/>
        <v>#N/A</v>
      </c>
      <c r="S200" s="27" t="e">
        <f t="shared" si="36"/>
        <v>#N/A</v>
      </c>
      <c r="T200" s="27" t="e">
        <f t="shared" si="37"/>
        <v>#N/A</v>
      </c>
      <c r="U200" s="26">
        <f>COUNTIFS(Verlauf!$B$6:$B$1000,$A200,Verlauf!$C$6:$C$1000,$B200)</f>
        <v>0</v>
      </c>
      <c r="V200" s="26">
        <f t="shared" si="38"/>
        <v>0</v>
      </c>
      <c r="W200" s="26">
        <f t="shared" si="39"/>
        <v>203015</v>
      </c>
      <c r="X200" s="26">
        <f>SUMIFS(Verlauf!$X$6:$X$1000,Verlauf!$B$6:$B$1000,$A200,Verlauf!$C$6:$C$1000,$B200)</f>
        <v>0</v>
      </c>
      <c r="Y200" s="26">
        <f>SUMIFS(Verlauf!$Y$6:$Y$1000,Verlauf!$B$6:$B$1000,$A200,Verlauf!$C$6:$C$1000,$B200)</f>
        <v>0</v>
      </c>
      <c r="Z200" s="26">
        <f>SUMIFS(Verlauf!$Z$6:$Z$1000,Verlauf!$B$6:$B$1000,$A200,Verlauf!$C$6:$C$1000,$B200)</f>
        <v>0</v>
      </c>
      <c r="AA200" s="26">
        <f>SUMIFS(Verlauf!$I$6:$I$1000,Verlauf!$B$6:$B$1000,$A200,Verlauf!$C$6:$C$1000,$B200)</f>
        <v>0</v>
      </c>
      <c r="AB200" s="26">
        <f>SUMIFS(Verlauf!$AA$6:$AA$1000,Verlauf!$B$6:$B$1000,$A200,Verlauf!$C$6:$C$1000,$B200)</f>
        <v>0</v>
      </c>
      <c r="AC200" s="26">
        <f>SUMIFS(Verlauf!$AB$6:$AB$1000,Verlauf!$B$6:$B$1000,$A200,Verlauf!$C$6:$C$1000,$B200)</f>
        <v>0</v>
      </c>
      <c r="AD200" s="26">
        <f>SUMIFS(Verlauf!$AC$6:$AC$1000,Verlauf!$B$6:$B$1000,$A200,Verlauf!$C$6:$C$1000,$B200)</f>
        <v>0</v>
      </c>
      <c r="AE200" s="26">
        <f>SUMIFS(Verlauf!$S$6:$S$1000,Verlauf!$B$6:$B$1000,$A200,Verlauf!$C$6:$C$1000,$B200)</f>
        <v>0</v>
      </c>
      <c r="AF200" s="26" t="str">
        <f>IF($AN200="","",INDEX(Verlauf!$D$6:$D$1000,MATCH($AN200,Verlauf!$A$6:$A$1000,0)))</f>
        <v/>
      </c>
      <c r="AG200" s="26" t="str">
        <f>IF($AN200="","",INDEX(Verlauf!$E$6:$E$1000,MATCH($AN200,Verlauf!$A$6:$A$1000,0)))</f>
        <v/>
      </c>
      <c r="AH200" s="26" t="str">
        <f>IF($AN200="","",INDEX(Verlauf!$F$6:$F$1000,MATCH($AN200,Verlauf!$A$6:$A$1000,0)))</f>
        <v/>
      </c>
      <c r="AI200" s="26" t="str">
        <f>IF($AN200="","",INDEX(Verlauf!$H$6:$H$1000,MATCH($AN200,Verlauf!$A$6:$A$1000,0)))</f>
        <v/>
      </c>
      <c r="AJ200" s="26" t="str">
        <f>IF($AN200="","",INDEX(Verlauf!$N$6:$N$1000,MATCH($AN200,Verlauf!$A$6:$A$1000,0)))</f>
        <v/>
      </c>
      <c r="AK200" s="26" t="str">
        <f>IF($AN200="","",INDEX(Verlauf!$O$6:$O$1000,MATCH($AN200,Verlauf!$A$6:$A$1000,0)))</f>
        <v/>
      </c>
      <c r="AL200" s="26" t="str">
        <f>IF($AN200="","",INDEX(Verlauf!$P$6:$P$1000,MATCH($AN200,Verlauf!$A$6:$A$1000,0)))</f>
        <v/>
      </c>
      <c r="AM200" s="26" t="str">
        <f>IF($AN200="","",INDEX(Verlauf!$R$6:$R$1000,MATCH($AN200,Verlauf!$A$6:$A$1000,0)))</f>
        <v/>
      </c>
      <c r="AN200" s="28" t="str">
        <f>IF(U200&gt;0,_xlfn.MAXIFS(Verlauf!$A$6:$A$1000,Verlauf!$B$6:$B$1000,$A200,Verlauf!$C$6:$C$1000,$B200),"")</f>
        <v/>
      </c>
    </row>
    <row r="201" spans="1:40" x14ac:dyDescent="0.25">
      <c r="A201" s="26">
        <v>2030</v>
      </c>
      <c r="B201" s="26">
        <v>16</v>
      </c>
      <c r="C201" s="7" t="str">
        <f t="shared" si="30"/>
        <v>KW 16/30</v>
      </c>
      <c r="D201" s="26">
        <f>SUMIFS(Verlauf!$K$6:$K$1000,Verlauf!$B$6:$B$1000,$A201,Verlauf!$C$6:$C$1000,$B201)</f>
        <v>0</v>
      </c>
      <c r="E201" s="26">
        <f>SUMIFS(Verlauf!$L$6:$L$1000,Verlauf!$B$6:$B$1000,$A201,Verlauf!$C$6:$C$1000,$B201)</f>
        <v>0</v>
      </c>
      <c r="F201" s="26">
        <f>SUMIFS(Verlauf!$M$6:$M$1000,Verlauf!$B$6:$B$1000,$A201,Verlauf!$C$6:$C$1000,$B201)</f>
        <v>0</v>
      </c>
      <c r="G201" s="26">
        <f>SUMIFS(Verlauf!$J$6:$J$1000,Verlauf!$B$6:$B$1000,$A201,Verlauf!$C$6:$C$1000,$B201)</f>
        <v>0</v>
      </c>
      <c r="H201" s="26">
        <f>SUMIFS(Verlauf!$U$6:$U$1000,Verlauf!$B$6:$B$1000,$A201,Verlauf!$C$6:$C$1000,$B201)</f>
        <v>0</v>
      </c>
      <c r="I201" s="26">
        <f>SUMIFS(Verlauf!$V$6:$V$1000,Verlauf!$B$6:$B$1000,$A201,Verlauf!$C$6:$C$1000,$B201)</f>
        <v>0</v>
      </c>
      <c r="J201" s="26">
        <f>SUMIFS(Verlauf!$W$6:$W$1000,Verlauf!$B$6:$B$1000,$A201,Verlauf!$C$6:$C$1000,$B201)</f>
        <v>0</v>
      </c>
      <c r="K201" s="26">
        <f>SUMIFS(Verlauf!$T$6:$T$1000,Verlauf!$B$6:$B$1000,$A201,Verlauf!$C$6:$C$1000,$B201)</f>
        <v>0</v>
      </c>
      <c r="L201" s="27">
        <f>IF(Filter!$T$7=TRUE,IFERROR(INDEX(Planung!$D$68:$IA$68,MATCH($W201,Wirksam!$D$6:$IA$6,0)),0),0)</f>
        <v>0</v>
      </c>
      <c r="M201" s="27">
        <f>IF(OR(Filter!$T$5=TRUE,Filter!$T$6=TRUE),IFERROR(INDEX(Planung!$D$69:$IA$69,MATCH($W201,Wirksam!$D$6:$IA$6,0)),0),0)</f>
        <v>0</v>
      </c>
      <c r="N201" s="27">
        <f t="shared" si="31"/>
        <v>0</v>
      </c>
      <c r="O201" s="27" t="e">
        <f t="shared" si="32"/>
        <v>#N/A</v>
      </c>
      <c r="P201" s="27" t="e">
        <f t="shared" si="33"/>
        <v>#N/A</v>
      </c>
      <c r="Q201" s="27" t="e">
        <f t="shared" si="34"/>
        <v>#N/A</v>
      </c>
      <c r="R201" s="27" t="e">
        <f t="shared" si="35"/>
        <v>#N/A</v>
      </c>
      <c r="S201" s="27" t="e">
        <f t="shared" si="36"/>
        <v>#N/A</v>
      </c>
      <c r="T201" s="27" t="e">
        <f t="shared" si="37"/>
        <v>#N/A</v>
      </c>
      <c r="U201" s="26">
        <f>COUNTIFS(Verlauf!$B$6:$B$1000,$A201,Verlauf!$C$6:$C$1000,$B201)</f>
        <v>0</v>
      </c>
      <c r="V201" s="26">
        <f t="shared" si="38"/>
        <v>0</v>
      </c>
      <c r="W201" s="26">
        <f t="shared" si="39"/>
        <v>203016</v>
      </c>
      <c r="X201" s="26">
        <f>SUMIFS(Verlauf!$X$6:$X$1000,Verlauf!$B$6:$B$1000,$A201,Verlauf!$C$6:$C$1000,$B201)</f>
        <v>0</v>
      </c>
      <c r="Y201" s="26">
        <f>SUMIFS(Verlauf!$Y$6:$Y$1000,Verlauf!$B$6:$B$1000,$A201,Verlauf!$C$6:$C$1000,$B201)</f>
        <v>0</v>
      </c>
      <c r="Z201" s="26">
        <f>SUMIFS(Verlauf!$Z$6:$Z$1000,Verlauf!$B$6:$B$1000,$A201,Verlauf!$C$6:$C$1000,$B201)</f>
        <v>0</v>
      </c>
      <c r="AA201" s="26">
        <f>SUMIFS(Verlauf!$I$6:$I$1000,Verlauf!$B$6:$B$1000,$A201,Verlauf!$C$6:$C$1000,$B201)</f>
        <v>0</v>
      </c>
      <c r="AB201" s="26">
        <f>SUMIFS(Verlauf!$AA$6:$AA$1000,Verlauf!$B$6:$B$1000,$A201,Verlauf!$C$6:$C$1000,$B201)</f>
        <v>0</v>
      </c>
      <c r="AC201" s="26">
        <f>SUMIFS(Verlauf!$AB$6:$AB$1000,Verlauf!$B$6:$B$1000,$A201,Verlauf!$C$6:$C$1000,$B201)</f>
        <v>0</v>
      </c>
      <c r="AD201" s="26">
        <f>SUMIFS(Verlauf!$AC$6:$AC$1000,Verlauf!$B$6:$B$1000,$A201,Verlauf!$C$6:$C$1000,$B201)</f>
        <v>0</v>
      </c>
      <c r="AE201" s="26">
        <f>SUMIFS(Verlauf!$S$6:$S$1000,Verlauf!$B$6:$B$1000,$A201,Verlauf!$C$6:$C$1000,$B201)</f>
        <v>0</v>
      </c>
      <c r="AF201" s="26" t="str">
        <f>IF($AN201="","",INDEX(Verlauf!$D$6:$D$1000,MATCH($AN201,Verlauf!$A$6:$A$1000,0)))</f>
        <v/>
      </c>
      <c r="AG201" s="26" t="str">
        <f>IF($AN201="","",INDEX(Verlauf!$E$6:$E$1000,MATCH($AN201,Verlauf!$A$6:$A$1000,0)))</f>
        <v/>
      </c>
      <c r="AH201" s="26" t="str">
        <f>IF($AN201="","",INDEX(Verlauf!$F$6:$F$1000,MATCH($AN201,Verlauf!$A$6:$A$1000,0)))</f>
        <v/>
      </c>
      <c r="AI201" s="26" t="str">
        <f>IF($AN201="","",INDEX(Verlauf!$H$6:$H$1000,MATCH($AN201,Verlauf!$A$6:$A$1000,0)))</f>
        <v/>
      </c>
      <c r="AJ201" s="26" t="str">
        <f>IF($AN201="","",INDEX(Verlauf!$N$6:$N$1000,MATCH($AN201,Verlauf!$A$6:$A$1000,0)))</f>
        <v/>
      </c>
      <c r="AK201" s="26" t="str">
        <f>IF($AN201="","",INDEX(Verlauf!$O$6:$O$1000,MATCH($AN201,Verlauf!$A$6:$A$1000,0)))</f>
        <v/>
      </c>
      <c r="AL201" s="26" t="str">
        <f>IF($AN201="","",INDEX(Verlauf!$P$6:$P$1000,MATCH($AN201,Verlauf!$A$6:$A$1000,0)))</f>
        <v/>
      </c>
      <c r="AM201" s="26" t="str">
        <f>IF($AN201="","",INDEX(Verlauf!$R$6:$R$1000,MATCH($AN201,Verlauf!$A$6:$A$1000,0)))</f>
        <v/>
      </c>
      <c r="AN201" s="28" t="str">
        <f>IF(U201&gt;0,_xlfn.MAXIFS(Verlauf!$A$6:$A$1000,Verlauf!$B$6:$B$1000,$A201,Verlauf!$C$6:$C$1000,$B201),"")</f>
        <v/>
      </c>
    </row>
    <row r="202" spans="1:40" x14ac:dyDescent="0.25">
      <c r="A202" s="26">
        <v>2030</v>
      </c>
      <c r="B202" s="26">
        <v>17</v>
      </c>
      <c r="C202" s="7" t="str">
        <f t="shared" si="30"/>
        <v>KW 17/30</v>
      </c>
      <c r="D202" s="26">
        <f>SUMIFS(Verlauf!$K$6:$K$1000,Verlauf!$B$6:$B$1000,$A202,Verlauf!$C$6:$C$1000,$B202)</f>
        <v>0</v>
      </c>
      <c r="E202" s="26">
        <f>SUMIFS(Verlauf!$L$6:$L$1000,Verlauf!$B$6:$B$1000,$A202,Verlauf!$C$6:$C$1000,$B202)</f>
        <v>0</v>
      </c>
      <c r="F202" s="26">
        <f>SUMIFS(Verlauf!$M$6:$M$1000,Verlauf!$B$6:$B$1000,$A202,Verlauf!$C$6:$C$1000,$B202)</f>
        <v>0</v>
      </c>
      <c r="G202" s="26">
        <f>SUMIFS(Verlauf!$J$6:$J$1000,Verlauf!$B$6:$B$1000,$A202,Verlauf!$C$6:$C$1000,$B202)</f>
        <v>0</v>
      </c>
      <c r="H202" s="26">
        <f>SUMIFS(Verlauf!$U$6:$U$1000,Verlauf!$B$6:$B$1000,$A202,Verlauf!$C$6:$C$1000,$B202)</f>
        <v>0</v>
      </c>
      <c r="I202" s="26">
        <f>SUMIFS(Verlauf!$V$6:$V$1000,Verlauf!$B$6:$B$1000,$A202,Verlauf!$C$6:$C$1000,$B202)</f>
        <v>0</v>
      </c>
      <c r="J202" s="26">
        <f>SUMIFS(Verlauf!$W$6:$W$1000,Verlauf!$B$6:$B$1000,$A202,Verlauf!$C$6:$C$1000,$B202)</f>
        <v>0</v>
      </c>
      <c r="K202" s="26">
        <f>SUMIFS(Verlauf!$T$6:$T$1000,Verlauf!$B$6:$B$1000,$A202,Verlauf!$C$6:$C$1000,$B202)</f>
        <v>0</v>
      </c>
      <c r="L202" s="27">
        <f>IF(Filter!$T$7=TRUE,IFERROR(INDEX(Planung!$D$68:$IA$68,MATCH($W202,Wirksam!$D$6:$IA$6,0)),0),0)</f>
        <v>0</v>
      </c>
      <c r="M202" s="27">
        <f>IF(OR(Filter!$T$5=TRUE,Filter!$T$6=TRUE),IFERROR(INDEX(Planung!$D$69:$IA$69,MATCH($W202,Wirksam!$D$6:$IA$6,0)),0),0)</f>
        <v>0</v>
      </c>
      <c r="N202" s="27">
        <f t="shared" si="31"/>
        <v>0</v>
      </c>
      <c r="O202" s="27" t="e">
        <f t="shared" si="32"/>
        <v>#N/A</v>
      </c>
      <c r="P202" s="27" t="e">
        <f t="shared" si="33"/>
        <v>#N/A</v>
      </c>
      <c r="Q202" s="27" t="e">
        <f t="shared" si="34"/>
        <v>#N/A</v>
      </c>
      <c r="R202" s="27" t="e">
        <f t="shared" si="35"/>
        <v>#N/A</v>
      </c>
      <c r="S202" s="27" t="e">
        <f t="shared" si="36"/>
        <v>#N/A</v>
      </c>
      <c r="T202" s="27" t="e">
        <f t="shared" si="37"/>
        <v>#N/A</v>
      </c>
      <c r="U202" s="26">
        <f>COUNTIFS(Verlauf!$B$6:$B$1000,$A202,Verlauf!$C$6:$C$1000,$B202)</f>
        <v>0</v>
      </c>
      <c r="V202" s="26">
        <f t="shared" si="38"/>
        <v>0</v>
      </c>
      <c r="W202" s="26">
        <f t="shared" si="39"/>
        <v>203017</v>
      </c>
      <c r="X202" s="26">
        <f>SUMIFS(Verlauf!$X$6:$X$1000,Verlauf!$B$6:$B$1000,$A202,Verlauf!$C$6:$C$1000,$B202)</f>
        <v>0</v>
      </c>
      <c r="Y202" s="26">
        <f>SUMIFS(Verlauf!$Y$6:$Y$1000,Verlauf!$B$6:$B$1000,$A202,Verlauf!$C$6:$C$1000,$B202)</f>
        <v>0</v>
      </c>
      <c r="Z202" s="26">
        <f>SUMIFS(Verlauf!$Z$6:$Z$1000,Verlauf!$B$6:$B$1000,$A202,Verlauf!$C$6:$C$1000,$B202)</f>
        <v>0</v>
      </c>
      <c r="AA202" s="26">
        <f>SUMIFS(Verlauf!$I$6:$I$1000,Verlauf!$B$6:$B$1000,$A202,Verlauf!$C$6:$C$1000,$B202)</f>
        <v>0</v>
      </c>
      <c r="AB202" s="26">
        <f>SUMIFS(Verlauf!$AA$6:$AA$1000,Verlauf!$B$6:$B$1000,$A202,Verlauf!$C$6:$C$1000,$B202)</f>
        <v>0</v>
      </c>
      <c r="AC202" s="26">
        <f>SUMIFS(Verlauf!$AB$6:$AB$1000,Verlauf!$B$6:$B$1000,$A202,Verlauf!$C$6:$C$1000,$B202)</f>
        <v>0</v>
      </c>
      <c r="AD202" s="26">
        <f>SUMIFS(Verlauf!$AC$6:$AC$1000,Verlauf!$B$6:$B$1000,$A202,Verlauf!$C$6:$C$1000,$B202)</f>
        <v>0</v>
      </c>
      <c r="AE202" s="26">
        <f>SUMIFS(Verlauf!$S$6:$S$1000,Verlauf!$B$6:$B$1000,$A202,Verlauf!$C$6:$C$1000,$B202)</f>
        <v>0</v>
      </c>
      <c r="AF202" s="26" t="str">
        <f>IF($AN202="","",INDEX(Verlauf!$D$6:$D$1000,MATCH($AN202,Verlauf!$A$6:$A$1000,0)))</f>
        <v/>
      </c>
      <c r="AG202" s="26" t="str">
        <f>IF($AN202="","",INDEX(Verlauf!$E$6:$E$1000,MATCH($AN202,Verlauf!$A$6:$A$1000,0)))</f>
        <v/>
      </c>
      <c r="AH202" s="26" t="str">
        <f>IF($AN202="","",INDEX(Verlauf!$F$6:$F$1000,MATCH($AN202,Verlauf!$A$6:$A$1000,0)))</f>
        <v/>
      </c>
      <c r="AI202" s="26" t="str">
        <f>IF($AN202="","",INDEX(Verlauf!$H$6:$H$1000,MATCH($AN202,Verlauf!$A$6:$A$1000,0)))</f>
        <v/>
      </c>
      <c r="AJ202" s="26" t="str">
        <f>IF($AN202="","",INDEX(Verlauf!$N$6:$N$1000,MATCH($AN202,Verlauf!$A$6:$A$1000,0)))</f>
        <v/>
      </c>
      <c r="AK202" s="26" t="str">
        <f>IF($AN202="","",INDEX(Verlauf!$O$6:$O$1000,MATCH($AN202,Verlauf!$A$6:$A$1000,0)))</f>
        <v/>
      </c>
      <c r="AL202" s="26" t="str">
        <f>IF($AN202="","",INDEX(Verlauf!$P$6:$P$1000,MATCH($AN202,Verlauf!$A$6:$A$1000,0)))</f>
        <v/>
      </c>
      <c r="AM202" s="26" t="str">
        <f>IF($AN202="","",INDEX(Verlauf!$R$6:$R$1000,MATCH($AN202,Verlauf!$A$6:$A$1000,0)))</f>
        <v/>
      </c>
      <c r="AN202" s="28" t="str">
        <f>IF(U202&gt;0,_xlfn.MAXIFS(Verlauf!$A$6:$A$1000,Verlauf!$B$6:$B$1000,$A202,Verlauf!$C$6:$C$1000,$B202),"")</f>
        <v/>
      </c>
    </row>
    <row r="203" spans="1:40" x14ac:dyDescent="0.25">
      <c r="A203" s="26">
        <v>2030</v>
      </c>
      <c r="B203" s="26">
        <v>18</v>
      </c>
      <c r="C203" s="7" t="str">
        <f t="shared" si="30"/>
        <v>KW 18/30</v>
      </c>
      <c r="D203" s="26">
        <f>SUMIFS(Verlauf!$K$6:$K$1000,Verlauf!$B$6:$B$1000,$A203,Verlauf!$C$6:$C$1000,$B203)</f>
        <v>0</v>
      </c>
      <c r="E203" s="26">
        <f>SUMIFS(Verlauf!$L$6:$L$1000,Verlauf!$B$6:$B$1000,$A203,Verlauf!$C$6:$C$1000,$B203)</f>
        <v>0</v>
      </c>
      <c r="F203" s="26">
        <f>SUMIFS(Verlauf!$M$6:$M$1000,Verlauf!$B$6:$B$1000,$A203,Verlauf!$C$6:$C$1000,$B203)</f>
        <v>0</v>
      </c>
      <c r="G203" s="26">
        <f>SUMIFS(Verlauf!$J$6:$J$1000,Verlauf!$B$6:$B$1000,$A203,Verlauf!$C$6:$C$1000,$B203)</f>
        <v>0</v>
      </c>
      <c r="H203" s="26">
        <f>SUMIFS(Verlauf!$U$6:$U$1000,Verlauf!$B$6:$B$1000,$A203,Verlauf!$C$6:$C$1000,$B203)</f>
        <v>0</v>
      </c>
      <c r="I203" s="26">
        <f>SUMIFS(Verlauf!$V$6:$V$1000,Verlauf!$B$6:$B$1000,$A203,Verlauf!$C$6:$C$1000,$B203)</f>
        <v>0</v>
      </c>
      <c r="J203" s="26">
        <f>SUMIFS(Verlauf!$W$6:$W$1000,Verlauf!$B$6:$B$1000,$A203,Verlauf!$C$6:$C$1000,$B203)</f>
        <v>0</v>
      </c>
      <c r="K203" s="26">
        <f>SUMIFS(Verlauf!$T$6:$T$1000,Verlauf!$B$6:$B$1000,$A203,Verlauf!$C$6:$C$1000,$B203)</f>
        <v>0</v>
      </c>
      <c r="L203" s="27">
        <f>IF(Filter!$T$7=TRUE,IFERROR(INDEX(Planung!$D$68:$IA$68,MATCH($W203,Wirksam!$D$6:$IA$6,0)),0),0)</f>
        <v>0</v>
      </c>
      <c r="M203" s="27">
        <f>IF(OR(Filter!$T$5=TRUE,Filter!$T$6=TRUE),IFERROR(INDEX(Planung!$D$69:$IA$69,MATCH($W203,Wirksam!$D$6:$IA$6,0)),0),0)</f>
        <v>0</v>
      </c>
      <c r="N203" s="27">
        <f t="shared" si="31"/>
        <v>0</v>
      </c>
      <c r="O203" s="27" t="e">
        <f t="shared" si="32"/>
        <v>#N/A</v>
      </c>
      <c r="P203" s="27" t="e">
        <f t="shared" si="33"/>
        <v>#N/A</v>
      </c>
      <c r="Q203" s="27" t="e">
        <f t="shared" si="34"/>
        <v>#N/A</v>
      </c>
      <c r="R203" s="27" t="e">
        <f t="shared" si="35"/>
        <v>#N/A</v>
      </c>
      <c r="S203" s="27" t="e">
        <f t="shared" si="36"/>
        <v>#N/A</v>
      </c>
      <c r="T203" s="27" t="e">
        <f t="shared" si="37"/>
        <v>#N/A</v>
      </c>
      <c r="U203" s="26">
        <f>COUNTIFS(Verlauf!$B$6:$B$1000,$A203,Verlauf!$C$6:$C$1000,$B203)</f>
        <v>0</v>
      </c>
      <c r="V203" s="26">
        <f t="shared" si="38"/>
        <v>0</v>
      </c>
      <c r="W203" s="26">
        <f t="shared" si="39"/>
        <v>203018</v>
      </c>
      <c r="X203" s="26">
        <f>SUMIFS(Verlauf!$X$6:$X$1000,Verlauf!$B$6:$B$1000,$A203,Verlauf!$C$6:$C$1000,$B203)</f>
        <v>0</v>
      </c>
      <c r="Y203" s="26">
        <f>SUMIFS(Verlauf!$Y$6:$Y$1000,Verlauf!$B$6:$B$1000,$A203,Verlauf!$C$6:$C$1000,$B203)</f>
        <v>0</v>
      </c>
      <c r="Z203" s="26">
        <f>SUMIFS(Verlauf!$Z$6:$Z$1000,Verlauf!$B$6:$B$1000,$A203,Verlauf!$C$6:$C$1000,$B203)</f>
        <v>0</v>
      </c>
      <c r="AA203" s="26">
        <f>SUMIFS(Verlauf!$I$6:$I$1000,Verlauf!$B$6:$B$1000,$A203,Verlauf!$C$6:$C$1000,$B203)</f>
        <v>0</v>
      </c>
      <c r="AB203" s="26">
        <f>SUMIFS(Verlauf!$AA$6:$AA$1000,Verlauf!$B$6:$B$1000,$A203,Verlauf!$C$6:$C$1000,$B203)</f>
        <v>0</v>
      </c>
      <c r="AC203" s="26">
        <f>SUMIFS(Verlauf!$AB$6:$AB$1000,Verlauf!$B$6:$B$1000,$A203,Verlauf!$C$6:$C$1000,$B203)</f>
        <v>0</v>
      </c>
      <c r="AD203" s="26">
        <f>SUMIFS(Verlauf!$AC$6:$AC$1000,Verlauf!$B$6:$B$1000,$A203,Verlauf!$C$6:$C$1000,$B203)</f>
        <v>0</v>
      </c>
      <c r="AE203" s="26">
        <f>SUMIFS(Verlauf!$S$6:$S$1000,Verlauf!$B$6:$B$1000,$A203,Verlauf!$C$6:$C$1000,$B203)</f>
        <v>0</v>
      </c>
      <c r="AF203" s="26" t="str">
        <f>IF($AN203="","",INDEX(Verlauf!$D$6:$D$1000,MATCH($AN203,Verlauf!$A$6:$A$1000,0)))</f>
        <v/>
      </c>
      <c r="AG203" s="26" t="str">
        <f>IF($AN203="","",INDEX(Verlauf!$E$6:$E$1000,MATCH($AN203,Verlauf!$A$6:$A$1000,0)))</f>
        <v/>
      </c>
      <c r="AH203" s="26" t="str">
        <f>IF($AN203="","",INDEX(Verlauf!$F$6:$F$1000,MATCH($AN203,Verlauf!$A$6:$A$1000,0)))</f>
        <v/>
      </c>
      <c r="AI203" s="26" t="str">
        <f>IF($AN203="","",INDEX(Verlauf!$H$6:$H$1000,MATCH($AN203,Verlauf!$A$6:$A$1000,0)))</f>
        <v/>
      </c>
      <c r="AJ203" s="26" t="str">
        <f>IF($AN203="","",INDEX(Verlauf!$N$6:$N$1000,MATCH($AN203,Verlauf!$A$6:$A$1000,0)))</f>
        <v/>
      </c>
      <c r="AK203" s="26" t="str">
        <f>IF($AN203="","",INDEX(Verlauf!$O$6:$O$1000,MATCH($AN203,Verlauf!$A$6:$A$1000,0)))</f>
        <v/>
      </c>
      <c r="AL203" s="26" t="str">
        <f>IF($AN203="","",INDEX(Verlauf!$P$6:$P$1000,MATCH($AN203,Verlauf!$A$6:$A$1000,0)))</f>
        <v/>
      </c>
      <c r="AM203" s="26" t="str">
        <f>IF($AN203="","",INDEX(Verlauf!$R$6:$R$1000,MATCH($AN203,Verlauf!$A$6:$A$1000,0)))</f>
        <v/>
      </c>
      <c r="AN203" s="28" t="str">
        <f>IF(U203&gt;0,_xlfn.MAXIFS(Verlauf!$A$6:$A$1000,Verlauf!$B$6:$B$1000,$A203,Verlauf!$C$6:$C$1000,$B203),"")</f>
        <v/>
      </c>
    </row>
    <row r="204" spans="1:40" x14ac:dyDescent="0.25">
      <c r="A204" s="26">
        <v>2030</v>
      </c>
      <c r="B204" s="26">
        <v>19</v>
      </c>
      <c r="C204" s="7" t="str">
        <f t="shared" si="30"/>
        <v>KW 19/30</v>
      </c>
      <c r="D204" s="26">
        <f>SUMIFS(Verlauf!$K$6:$K$1000,Verlauf!$B$6:$B$1000,$A204,Verlauf!$C$6:$C$1000,$B204)</f>
        <v>0</v>
      </c>
      <c r="E204" s="26">
        <f>SUMIFS(Verlauf!$L$6:$L$1000,Verlauf!$B$6:$B$1000,$A204,Verlauf!$C$6:$C$1000,$B204)</f>
        <v>0</v>
      </c>
      <c r="F204" s="26">
        <f>SUMIFS(Verlauf!$M$6:$M$1000,Verlauf!$B$6:$B$1000,$A204,Verlauf!$C$6:$C$1000,$B204)</f>
        <v>0</v>
      </c>
      <c r="G204" s="26">
        <f>SUMIFS(Verlauf!$J$6:$J$1000,Verlauf!$B$6:$B$1000,$A204,Verlauf!$C$6:$C$1000,$B204)</f>
        <v>0</v>
      </c>
      <c r="H204" s="26">
        <f>SUMIFS(Verlauf!$U$6:$U$1000,Verlauf!$B$6:$B$1000,$A204,Verlauf!$C$6:$C$1000,$B204)</f>
        <v>0</v>
      </c>
      <c r="I204" s="26">
        <f>SUMIFS(Verlauf!$V$6:$V$1000,Verlauf!$B$6:$B$1000,$A204,Verlauf!$C$6:$C$1000,$B204)</f>
        <v>0</v>
      </c>
      <c r="J204" s="26">
        <f>SUMIFS(Verlauf!$W$6:$W$1000,Verlauf!$B$6:$B$1000,$A204,Verlauf!$C$6:$C$1000,$B204)</f>
        <v>0</v>
      </c>
      <c r="K204" s="26">
        <f>SUMIFS(Verlauf!$T$6:$T$1000,Verlauf!$B$6:$B$1000,$A204,Verlauf!$C$6:$C$1000,$B204)</f>
        <v>0</v>
      </c>
      <c r="L204" s="27">
        <f>IF(Filter!$T$7=TRUE,IFERROR(INDEX(Planung!$D$68:$IA$68,MATCH($W204,Wirksam!$D$6:$IA$6,0)),0),0)</f>
        <v>0</v>
      </c>
      <c r="M204" s="27">
        <f>IF(OR(Filter!$T$5=TRUE,Filter!$T$6=TRUE),IFERROR(INDEX(Planung!$D$69:$IA$69,MATCH($W204,Wirksam!$D$6:$IA$6,0)),0),0)</f>
        <v>0</v>
      </c>
      <c r="N204" s="27">
        <f t="shared" si="31"/>
        <v>0</v>
      </c>
      <c r="O204" s="27" t="e">
        <f t="shared" si="32"/>
        <v>#N/A</v>
      </c>
      <c r="P204" s="27" t="e">
        <f t="shared" si="33"/>
        <v>#N/A</v>
      </c>
      <c r="Q204" s="27" t="e">
        <f t="shared" si="34"/>
        <v>#N/A</v>
      </c>
      <c r="R204" s="27" t="e">
        <f t="shared" si="35"/>
        <v>#N/A</v>
      </c>
      <c r="S204" s="27" t="e">
        <f t="shared" si="36"/>
        <v>#N/A</v>
      </c>
      <c r="T204" s="27" t="e">
        <f t="shared" si="37"/>
        <v>#N/A</v>
      </c>
      <c r="U204" s="26">
        <f>COUNTIFS(Verlauf!$B$6:$B$1000,$A204,Verlauf!$C$6:$C$1000,$B204)</f>
        <v>0</v>
      </c>
      <c r="V204" s="26">
        <f t="shared" si="38"/>
        <v>0</v>
      </c>
      <c r="W204" s="26">
        <f t="shared" si="39"/>
        <v>203019</v>
      </c>
      <c r="X204" s="26">
        <f>SUMIFS(Verlauf!$X$6:$X$1000,Verlauf!$B$6:$B$1000,$A204,Verlauf!$C$6:$C$1000,$B204)</f>
        <v>0</v>
      </c>
      <c r="Y204" s="26">
        <f>SUMIFS(Verlauf!$Y$6:$Y$1000,Verlauf!$B$6:$B$1000,$A204,Verlauf!$C$6:$C$1000,$B204)</f>
        <v>0</v>
      </c>
      <c r="Z204" s="26">
        <f>SUMIFS(Verlauf!$Z$6:$Z$1000,Verlauf!$B$6:$B$1000,$A204,Verlauf!$C$6:$C$1000,$B204)</f>
        <v>0</v>
      </c>
      <c r="AA204" s="26">
        <f>SUMIFS(Verlauf!$I$6:$I$1000,Verlauf!$B$6:$B$1000,$A204,Verlauf!$C$6:$C$1000,$B204)</f>
        <v>0</v>
      </c>
      <c r="AB204" s="26">
        <f>SUMIFS(Verlauf!$AA$6:$AA$1000,Verlauf!$B$6:$B$1000,$A204,Verlauf!$C$6:$C$1000,$B204)</f>
        <v>0</v>
      </c>
      <c r="AC204" s="26">
        <f>SUMIFS(Verlauf!$AB$6:$AB$1000,Verlauf!$B$6:$B$1000,$A204,Verlauf!$C$6:$C$1000,$B204)</f>
        <v>0</v>
      </c>
      <c r="AD204" s="26">
        <f>SUMIFS(Verlauf!$AC$6:$AC$1000,Verlauf!$B$6:$B$1000,$A204,Verlauf!$C$6:$C$1000,$B204)</f>
        <v>0</v>
      </c>
      <c r="AE204" s="26">
        <f>SUMIFS(Verlauf!$S$6:$S$1000,Verlauf!$B$6:$B$1000,$A204,Verlauf!$C$6:$C$1000,$B204)</f>
        <v>0</v>
      </c>
      <c r="AF204" s="26" t="str">
        <f>IF($AN204="","",INDEX(Verlauf!$D$6:$D$1000,MATCH($AN204,Verlauf!$A$6:$A$1000,0)))</f>
        <v/>
      </c>
      <c r="AG204" s="26" t="str">
        <f>IF($AN204="","",INDEX(Verlauf!$E$6:$E$1000,MATCH($AN204,Verlauf!$A$6:$A$1000,0)))</f>
        <v/>
      </c>
      <c r="AH204" s="26" t="str">
        <f>IF($AN204="","",INDEX(Verlauf!$F$6:$F$1000,MATCH($AN204,Verlauf!$A$6:$A$1000,0)))</f>
        <v/>
      </c>
      <c r="AI204" s="26" t="str">
        <f>IF($AN204="","",INDEX(Verlauf!$H$6:$H$1000,MATCH($AN204,Verlauf!$A$6:$A$1000,0)))</f>
        <v/>
      </c>
      <c r="AJ204" s="26" t="str">
        <f>IF($AN204="","",INDEX(Verlauf!$N$6:$N$1000,MATCH($AN204,Verlauf!$A$6:$A$1000,0)))</f>
        <v/>
      </c>
      <c r="AK204" s="26" t="str">
        <f>IF($AN204="","",INDEX(Verlauf!$O$6:$O$1000,MATCH($AN204,Verlauf!$A$6:$A$1000,0)))</f>
        <v/>
      </c>
      <c r="AL204" s="26" t="str">
        <f>IF($AN204="","",INDEX(Verlauf!$P$6:$P$1000,MATCH($AN204,Verlauf!$A$6:$A$1000,0)))</f>
        <v/>
      </c>
      <c r="AM204" s="26" t="str">
        <f>IF($AN204="","",INDEX(Verlauf!$R$6:$R$1000,MATCH($AN204,Verlauf!$A$6:$A$1000,0)))</f>
        <v/>
      </c>
      <c r="AN204" s="28" t="str">
        <f>IF(U204&gt;0,_xlfn.MAXIFS(Verlauf!$A$6:$A$1000,Verlauf!$B$6:$B$1000,$A204,Verlauf!$C$6:$C$1000,$B204),"")</f>
        <v/>
      </c>
    </row>
    <row r="205" spans="1:40" x14ac:dyDescent="0.25">
      <c r="A205" s="26">
        <v>2030</v>
      </c>
      <c r="B205" s="26">
        <v>20</v>
      </c>
      <c r="C205" s="7" t="str">
        <f t="shared" si="30"/>
        <v>KW 20/30</v>
      </c>
      <c r="D205" s="26">
        <f>SUMIFS(Verlauf!$K$6:$K$1000,Verlauf!$B$6:$B$1000,$A205,Verlauf!$C$6:$C$1000,$B205)</f>
        <v>0</v>
      </c>
      <c r="E205" s="26">
        <f>SUMIFS(Verlauf!$L$6:$L$1000,Verlauf!$B$6:$B$1000,$A205,Verlauf!$C$6:$C$1000,$B205)</f>
        <v>0</v>
      </c>
      <c r="F205" s="26">
        <f>SUMIFS(Verlauf!$M$6:$M$1000,Verlauf!$B$6:$B$1000,$A205,Verlauf!$C$6:$C$1000,$B205)</f>
        <v>0</v>
      </c>
      <c r="G205" s="26">
        <f>SUMIFS(Verlauf!$J$6:$J$1000,Verlauf!$B$6:$B$1000,$A205,Verlauf!$C$6:$C$1000,$B205)</f>
        <v>0</v>
      </c>
      <c r="H205" s="26">
        <f>SUMIFS(Verlauf!$U$6:$U$1000,Verlauf!$B$6:$B$1000,$A205,Verlauf!$C$6:$C$1000,$B205)</f>
        <v>0</v>
      </c>
      <c r="I205" s="26">
        <f>SUMIFS(Verlauf!$V$6:$V$1000,Verlauf!$B$6:$B$1000,$A205,Verlauf!$C$6:$C$1000,$B205)</f>
        <v>0</v>
      </c>
      <c r="J205" s="26">
        <f>SUMIFS(Verlauf!$W$6:$W$1000,Verlauf!$B$6:$B$1000,$A205,Verlauf!$C$6:$C$1000,$B205)</f>
        <v>0</v>
      </c>
      <c r="K205" s="26">
        <f>SUMIFS(Verlauf!$T$6:$T$1000,Verlauf!$B$6:$B$1000,$A205,Verlauf!$C$6:$C$1000,$B205)</f>
        <v>0</v>
      </c>
      <c r="L205" s="27">
        <f>IF(Filter!$T$7=TRUE,IFERROR(INDEX(Planung!$D$68:$IA$68,MATCH($W205,Wirksam!$D$6:$IA$6,0)),0),0)</f>
        <v>0</v>
      </c>
      <c r="M205" s="27">
        <f>IF(OR(Filter!$T$5=TRUE,Filter!$T$6=TRUE),IFERROR(INDEX(Planung!$D$69:$IA$69,MATCH($W205,Wirksam!$D$6:$IA$6,0)),0),0)</f>
        <v>0</v>
      </c>
      <c r="N205" s="27">
        <f t="shared" si="31"/>
        <v>0</v>
      </c>
      <c r="O205" s="27" t="e">
        <f t="shared" si="32"/>
        <v>#N/A</v>
      </c>
      <c r="P205" s="27" t="e">
        <f t="shared" si="33"/>
        <v>#N/A</v>
      </c>
      <c r="Q205" s="27" t="e">
        <f t="shared" si="34"/>
        <v>#N/A</v>
      </c>
      <c r="R205" s="27" t="e">
        <f t="shared" si="35"/>
        <v>#N/A</v>
      </c>
      <c r="S205" s="27" t="e">
        <f t="shared" si="36"/>
        <v>#N/A</v>
      </c>
      <c r="T205" s="27" t="e">
        <f t="shared" si="37"/>
        <v>#N/A</v>
      </c>
      <c r="U205" s="26">
        <f>COUNTIFS(Verlauf!$B$6:$B$1000,$A205,Verlauf!$C$6:$C$1000,$B205)</f>
        <v>0</v>
      </c>
      <c r="V205" s="26">
        <f t="shared" si="38"/>
        <v>0</v>
      </c>
      <c r="W205" s="26">
        <f t="shared" si="39"/>
        <v>203020</v>
      </c>
      <c r="X205" s="26">
        <f>SUMIFS(Verlauf!$X$6:$X$1000,Verlauf!$B$6:$B$1000,$A205,Verlauf!$C$6:$C$1000,$B205)</f>
        <v>0</v>
      </c>
      <c r="Y205" s="26">
        <f>SUMIFS(Verlauf!$Y$6:$Y$1000,Verlauf!$B$6:$B$1000,$A205,Verlauf!$C$6:$C$1000,$B205)</f>
        <v>0</v>
      </c>
      <c r="Z205" s="26">
        <f>SUMIFS(Verlauf!$Z$6:$Z$1000,Verlauf!$B$6:$B$1000,$A205,Verlauf!$C$6:$C$1000,$B205)</f>
        <v>0</v>
      </c>
      <c r="AA205" s="26">
        <f>SUMIFS(Verlauf!$I$6:$I$1000,Verlauf!$B$6:$B$1000,$A205,Verlauf!$C$6:$C$1000,$B205)</f>
        <v>0</v>
      </c>
      <c r="AB205" s="26">
        <f>SUMIFS(Verlauf!$AA$6:$AA$1000,Verlauf!$B$6:$B$1000,$A205,Verlauf!$C$6:$C$1000,$B205)</f>
        <v>0</v>
      </c>
      <c r="AC205" s="26">
        <f>SUMIFS(Verlauf!$AB$6:$AB$1000,Verlauf!$B$6:$B$1000,$A205,Verlauf!$C$6:$C$1000,$B205)</f>
        <v>0</v>
      </c>
      <c r="AD205" s="26">
        <f>SUMIFS(Verlauf!$AC$6:$AC$1000,Verlauf!$B$6:$B$1000,$A205,Verlauf!$C$6:$C$1000,$B205)</f>
        <v>0</v>
      </c>
      <c r="AE205" s="26">
        <f>SUMIFS(Verlauf!$S$6:$S$1000,Verlauf!$B$6:$B$1000,$A205,Verlauf!$C$6:$C$1000,$B205)</f>
        <v>0</v>
      </c>
      <c r="AF205" s="26" t="str">
        <f>IF($AN205="","",INDEX(Verlauf!$D$6:$D$1000,MATCH($AN205,Verlauf!$A$6:$A$1000,0)))</f>
        <v/>
      </c>
      <c r="AG205" s="26" t="str">
        <f>IF($AN205="","",INDEX(Verlauf!$E$6:$E$1000,MATCH($AN205,Verlauf!$A$6:$A$1000,0)))</f>
        <v/>
      </c>
      <c r="AH205" s="26" t="str">
        <f>IF($AN205="","",INDEX(Verlauf!$F$6:$F$1000,MATCH($AN205,Verlauf!$A$6:$A$1000,0)))</f>
        <v/>
      </c>
      <c r="AI205" s="26" t="str">
        <f>IF($AN205="","",INDEX(Verlauf!$H$6:$H$1000,MATCH($AN205,Verlauf!$A$6:$A$1000,0)))</f>
        <v/>
      </c>
      <c r="AJ205" s="26" t="str">
        <f>IF($AN205="","",INDEX(Verlauf!$N$6:$N$1000,MATCH($AN205,Verlauf!$A$6:$A$1000,0)))</f>
        <v/>
      </c>
      <c r="AK205" s="26" t="str">
        <f>IF($AN205="","",INDEX(Verlauf!$O$6:$O$1000,MATCH($AN205,Verlauf!$A$6:$A$1000,0)))</f>
        <v/>
      </c>
      <c r="AL205" s="26" t="str">
        <f>IF($AN205="","",INDEX(Verlauf!$P$6:$P$1000,MATCH($AN205,Verlauf!$A$6:$A$1000,0)))</f>
        <v/>
      </c>
      <c r="AM205" s="26" t="str">
        <f>IF($AN205="","",INDEX(Verlauf!$R$6:$R$1000,MATCH($AN205,Verlauf!$A$6:$A$1000,0)))</f>
        <v/>
      </c>
      <c r="AN205" s="28" t="str">
        <f>IF(U205&gt;0,_xlfn.MAXIFS(Verlauf!$A$6:$A$1000,Verlauf!$B$6:$B$1000,$A205,Verlauf!$C$6:$C$1000,$B205),"")</f>
        <v/>
      </c>
    </row>
    <row r="206" spans="1:40" x14ac:dyDescent="0.25">
      <c r="A206" s="26">
        <v>2030</v>
      </c>
      <c r="B206" s="26">
        <v>21</v>
      </c>
      <c r="C206" s="7" t="str">
        <f t="shared" si="30"/>
        <v>KW 21/30</v>
      </c>
      <c r="D206" s="26">
        <f>SUMIFS(Verlauf!$K$6:$K$1000,Verlauf!$B$6:$B$1000,$A206,Verlauf!$C$6:$C$1000,$B206)</f>
        <v>0</v>
      </c>
      <c r="E206" s="26">
        <f>SUMIFS(Verlauf!$L$6:$L$1000,Verlauf!$B$6:$B$1000,$A206,Verlauf!$C$6:$C$1000,$B206)</f>
        <v>0</v>
      </c>
      <c r="F206" s="26">
        <f>SUMIFS(Verlauf!$M$6:$M$1000,Verlauf!$B$6:$B$1000,$A206,Verlauf!$C$6:$C$1000,$B206)</f>
        <v>0</v>
      </c>
      <c r="G206" s="26">
        <f>SUMIFS(Verlauf!$J$6:$J$1000,Verlauf!$B$6:$B$1000,$A206,Verlauf!$C$6:$C$1000,$B206)</f>
        <v>0</v>
      </c>
      <c r="H206" s="26">
        <f>SUMIFS(Verlauf!$U$6:$U$1000,Verlauf!$B$6:$B$1000,$A206,Verlauf!$C$6:$C$1000,$B206)</f>
        <v>0</v>
      </c>
      <c r="I206" s="26">
        <f>SUMIFS(Verlauf!$V$6:$V$1000,Verlauf!$B$6:$B$1000,$A206,Verlauf!$C$6:$C$1000,$B206)</f>
        <v>0</v>
      </c>
      <c r="J206" s="26">
        <f>SUMIFS(Verlauf!$W$6:$W$1000,Verlauf!$B$6:$B$1000,$A206,Verlauf!$C$6:$C$1000,$B206)</f>
        <v>0</v>
      </c>
      <c r="K206" s="26">
        <f>SUMIFS(Verlauf!$T$6:$T$1000,Verlauf!$B$6:$B$1000,$A206,Verlauf!$C$6:$C$1000,$B206)</f>
        <v>0</v>
      </c>
      <c r="L206" s="27">
        <f>IF(Filter!$T$7=TRUE,IFERROR(INDEX(Planung!$D$68:$IA$68,MATCH($W206,Wirksam!$D$6:$IA$6,0)),0),0)</f>
        <v>0</v>
      </c>
      <c r="M206" s="27">
        <f>IF(OR(Filter!$T$5=TRUE,Filter!$T$6=TRUE),IFERROR(INDEX(Planung!$D$69:$IA$69,MATCH($W206,Wirksam!$D$6:$IA$6,0)),0),0)</f>
        <v>0</v>
      </c>
      <c r="N206" s="27">
        <f t="shared" si="31"/>
        <v>0</v>
      </c>
      <c r="O206" s="27" t="e">
        <f t="shared" si="32"/>
        <v>#N/A</v>
      </c>
      <c r="P206" s="27" t="e">
        <f t="shared" si="33"/>
        <v>#N/A</v>
      </c>
      <c r="Q206" s="27" t="e">
        <f t="shared" si="34"/>
        <v>#N/A</v>
      </c>
      <c r="R206" s="27" t="e">
        <f t="shared" si="35"/>
        <v>#N/A</v>
      </c>
      <c r="S206" s="27" t="e">
        <f t="shared" si="36"/>
        <v>#N/A</v>
      </c>
      <c r="T206" s="27" t="e">
        <f t="shared" si="37"/>
        <v>#N/A</v>
      </c>
      <c r="U206" s="26">
        <f>COUNTIFS(Verlauf!$B$6:$B$1000,$A206,Verlauf!$C$6:$C$1000,$B206)</f>
        <v>0</v>
      </c>
      <c r="V206" s="26">
        <f t="shared" si="38"/>
        <v>0</v>
      </c>
      <c r="W206" s="26">
        <f t="shared" si="39"/>
        <v>203021</v>
      </c>
      <c r="X206" s="26">
        <f>SUMIFS(Verlauf!$X$6:$X$1000,Verlauf!$B$6:$B$1000,$A206,Verlauf!$C$6:$C$1000,$B206)</f>
        <v>0</v>
      </c>
      <c r="Y206" s="26">
        <f>SUMIFS(Verlauf!$Y$6:$Y$1000,Verlauf!$B$6:$B$1000,$A206,Verlauf!$C$6:$C$1000,$B206)</f>
        <v>0</v>
      </c>
      <c r="Z206" s="26">
        <f>SUMIFS(Verlauf!$Z$6:$Z$1000,Verlauf!$B$6:$B$1000,$A206,Verlauf!$C$6:$C$1000,$B206)</f>
        <v>0</v>
      </c>
      <c r="AA206" s="26">
        <f>SUMIFS(Verlauf!$I$6:$I$1000,Verlauf!$B$6:$B$1000,$A206,Verlauf!$C$6:$C$1000,$B206)</f>
        <v>0</v>
      </c>
      <c r="AB206" s="26">
        <f>SUMIFS(Verlauf!$AA$6:$AA$1000,Verlauf!$B$6:$B$1000,$A206,Verlauf!$C$6:$C$1000,$B206)</f>
        <v>0</v>
      </c>
      <c r="AC206" s="26">
        <f>SUMIFS(Verlauf!$AB$6:$AB$1000,Verlauf!$B$6:$B$1000,$A206,Verlauf!$C$6:$C$1000,$B206)</f>
        <v>0</v>
      </c>
      <c r="AD206" s="26">
        <f>SUMIFS(Verlauf!$AC$6:$AC$1000,Verlauf!$B$6:$B$1000,$A206,Verlauf!$C$6:$C$1000,$B206)</f>
        <v>0</v>
      </c>
      <c r="AE206" s="26">
        <f>SUMIFS(Verlauf!$S$6:$S$1000,Verlauf!$B$6:$B$1000,$A206,Verlauf!$C$6:$C$1000,$B206)</f>
        <v>0</v>
      </c>
      <c r="AF206" s="26" t="str">
        <f>IF($AN206="","",INDEX(Verlauf!$D$6:$D$1000,MATCH($AN206,Verlauf!$A$6:$A$1000,0)))</f>
        <v/>
      </c>
      <c r="AG206" s="26" t="str">
        <f>IF($AN206="","",INDEX(Verlauf!$E$6:$E$1000,MATCH($AN206,Verlauf!$A$6:$A$1000,0)))</f>
        <v/>
      </c>
      <c r="AH206" s="26" t="str">
        <f>IF($AN206="","",INDEX(Verlauf!$F$6:$F$1000,MATCH($AN206,Verlauf!$A$6:$A$1000,0)))</f>
        <v/>
      </c>
      <c r="AI206" s="26" t="str">
        <f>IF($AN206="","",INDEX(Verlauf!$H$6:$H$1000,MATCH($AN206,Verlauf!$A$6:$A$1000,0)))</f>
        <v/>
      </c>
      <c r="AJ206" s="26" t="str">
        <f>IF($AN206="","",INDEX(Verlauf!$N$6:$N$1000,MATCH($AN206,Verlauf!$A$6:$A$1000,0)))</f>
        <v/>
      </c>
      <c r="AK206" s="26" t="str">
        <f>IF($AN206="","",INDEX(Verlauf!$O$6:$O$1000,MATCH($AN206,Verlauf!$A$6:$A$1000,0)))</f>
        <v/>
      </c>
      <c r="AL206" s="26" t="str">
        <f>IF($AN206="","",INDEX(Verlauf!$P$6:$P$1000,MATCH($AN206,Verlauf!$A$6:$A$1000,0)))</f>
        <v/>
      </c>
      <c r="AM206" s="26" t="str">
        <f>IF($AN206="","",INDEX(Verlauf!$R$6:$R$1000,MATCH($AN206,Verlauf!$A$6:$A$1000,0)))</f>
        <v/>
      </c>
      <c r="AN206" s="28" t="str">
        <f>IF(U206&gt;0,_xlfn.MAXIFS(Verlauf!$A$6:$A$1000,Verlauf!$B$6:$B$1000,$A206,Verlauf!$C$6:$C$1000,$B206),"")</f>
        <v/>
      </c>
    </row>
    <row r="207" spans="1:40" x14ac:dyDescent="0.25">
      <c r="A207" s="26">
        <v>2030</v>
      </c>
      <c r="B207" s="26">
        <v>22</v>
      </c>
      <c r="C207" s="7" t="str">
        <f t="shared" si="30"/>
        <v>KW 22/30</v>
      </c>
      <c r="D207" s="26">
        <f>SUMIFS(Verlauf!$K$6:$K$1000,Verlauf!$B$6:$B$1000,$A207,Verlauf!$C$6:$C$1000,$B207)</f>
        <v>0</v>
      </c>
      <c r="E207" s="26">
        <f>SUMIFS(Verlauf!$L$6:$L$1000,Verlauf!$B$6:$B$1000,$A207,Verlauf!$C$6:$C$1000,$B207)</f>
        <v>0</v>
      </c>
      <c r="F207" s="26">
        <f>SUMIFS(Verlauf!$M$6:$M$1000,Verlauf!$B$6:$B$1000,$A207,Verlauf!$C$6:$C$1000,$B207)</f>
        <v>0</v>
      </c>
      <c r="G207" s="26">
        <f>SUMIFS(Verlauf!$J$6:$J$1000,Verlauf!$B$6:$B$1000,$A207,Verlauf!$C$6:$C$1000,$B207)</f>
        <v>0</v>
      </c>
      <c r="H207" s="26">
        <f>SUMIFS(Verlauf!$U$6:$U$1000,Verlauf!$B$6:$B$1000,$A207,Verlauf!$C$6:$C$1000,$B207)</f>
        <v>0</v>
      </c>
      <c r="I207" s="26">
        <f>SUMIFS(Verlauf!$V$6:$V$1000,Verlauf!$B$6:$B$1000,$A207,Verlauf!$C$6:$C$1000,$B207)</f>
        <v>0</v>
      </c>
      <c r="J207" s="26">
        <f>SUMIFS(Verlauf!$W$6:$W$1000,Verlauf!$B$6:$B$1000,$A207,Verlauf!$C$6:$C$1000,$B207)</f>
        <v>0</v>
      </c>
      <c r="K207" s="26">
        <f>SUMIFS(Verlauf!$T$6:$T$1000,Verlauf!$B$6:$B$1000,$A207,Verlauf!$C$6:$C$1000,$B207)</f>
        <v>0</v>
      </c>
      <c r="L207" s="27">
        <f>IF(Filter!$T$7=TRUE,IFERROR(INDEX(Planung!$D$68:$IA$68,MATCH($W207,Wirksam!$D$6:$IA$6,0)),0),0)</f>
        <v>0</v>
      </c>
      <c r="M207" s="27">
        <f>IF(OR(Filter!$T$5=TRUE,Filter!$T$6=TRUE),IFERROR(INDEX(Planung!$D$69:$IA$69,MATCH($W207,Wirksam!$D$6:$IA$6,0)),0),0)</f>
        <v>0</v>
      </c>
      <c r="N207" s="27">
        <f t="shared" si="31"/>
        <v>0</v>
      </c>
      <c r="O207" s="27" t="e">
        <f t="shared" si="32"/>
        <v>#N/A</v>
      </c>
      <c r="P207" s="27" t="e">
        <f t="shared" si="33"/>
        <v>#N/A</v>
      </c>
      <c r="Q207" s="27" t="e">
        <f t="shared" si="34"/>
        <v>#N/A</v>
      </c>
      <c r="R207" s="27" t="e">
        <f t="shared" si="35"/>
        <v>#N/A</v>
      </c>
      <c r="S207" s="27" t="e">
        <f t="shared" si="36"/>
        <v>#N/A</v>
      </c>
      <c r="T207" s="27" t="e">
        <f t="shared" si="37"/>
        <v>#N/A</v>
      </c>
      <c r="U207" s="26">
        <f>COUNTIFS(Verlauf!$B$6:$B$1000,$A207,Verlauf!$C$6:$C$1000,$B207)</f>
        <v>0</v>
      </c>
      <c r="V207" s="26">
        <f t="shared" si="38"/>
        <v>0</v>
      </c>
      <c r="W207" s="26">
        <f t="shared" si="39"/>
        <v>203022</v>
      </c>
      <c r="X207" s="26">
        <f>SUMIFS(Verlauf!$X$6:$X$1000,Verlauf!$B$6:$B$1000,$A207,Verlauf!$C$6:$C$1000,$B207)</f>
        <v>0</v>
      </c>
      <c r="Y207" s="26">
        <f>SUMIFS(Verlauf!$Y$6:$Y$1000,Verlauf!$B$6:$B$1000,$A207,Verlauf!$C$6:$C$1000,$B207)</f>
        <v>0</v>
      </c>
      <c r="Z207" s="26">
        <f>SUMIFS(Verlauf!$Z$6:$Z$1000,Verlauf!$B$6:$B$1000,$A207,Verlauf!$C$6:$C$1000,$B207)</f>
        <v>0</v>
      </c>
      <c r="AA207" s="26">
        <f>SUMIFS(Verlauf!$I$6:$I$1000,Verlauf!$B$6:$B$1000,$A207,Verlauf!$C$6:$C$1000,$B207)</f>
        <v>0</v>
      </c>
      <c r="AB207" s="26">
        <f>SUMIFS(Verlauf!$AA$6:$AA$1000,Verlauf!$B$6:$B$1000,$A207,Verlauf!$C$6:$C$1000,$B207)</f>
        <v>0</v>
      </c>
      <c r="AC207" s="26">
        <f>SUMIFS(Verlauf!$AB$6:$AB$1000,Verlauf!$B$6:$B$1000,$A207,Verlauf!$C$6:$C$1000,$B207)</f>
        <v>0</v>
      </c>
      <c r="AD207" s="26">
        <f>SUMIFS(Verlauf!$AC$6:$AC$1000,Verlauf!$B$6:$B$1000,$A207,Verlauf!$C$6:$C$1000,$B207)</f>
        <v>0</v>
      </c>
      <c r="AE207" s="26">
        <f>SUMIFS(Verlauf!$S$6:$S$1000,Verlauf!$B$6:$B$1000,$A207,Verlauf!$C$6:$C$1000,$B207)</f>
        <v>0</v>
      </c>
      <c r="AF207" s="26" t="str">
        <f>IF($AN207="","",INDEX(Verlauf!$D$6:$D$1000,MATCH($AN207,Verlauf!$A$6:$A$1000,0)))</f>
        <v/>
      </c>
      <c r="AG207" s="26" t="str">
        <f>IF($AN207="","",INDEX(Verlauf!$E$6:$E$1000,MATCH($AN207,Verlauf!$A$6:$A$1000,0)))</f>
        <v/>
      </c>
      <c r="AH207" s="26" t="str">
        <f>IF($AN207="","",INDEX(Verlauf!$F$6:$F$1000,MATCH($AN207,Verlauf!$A$6:$A$1000,0)))</f>
        <v/>
      </c>
      <c r="AI207" s="26" t="str">
        <f>IF($AN207="","",INDEX(Verlauf!$H$6:$H$1000,MATCH($AN207,Verlauf!$A$6:$A$1000,0)))</f>
        <v/>
      </c>
      <c r="AJ207" s="26" t="str">
        <f>IF($AN207="","",INDEX(Verlauf!$N$6:$N$1000,MATCH($AN207,Verlauf!$A$6:$A$1000,0)))</f>
        <v/>
      </c>
      <c r="AK207" s="26" t="str">
        <f>IF($AN207="","",INDEX(Verlauf!$O$6:$O$1000,MATCH($AN207,Verlauf!$A$6:$A$1000,0)))</f>
        <v/>
      </c>
      <c r="AL207" s="26" t="str">
        <f>IF($AN207="","",INDEX(Verlauf!$P$6:$P$1000,MATCH($AN207,Verlauf!$A$6:$A$1000,0)))</f>
        <v/>
      </c>
      <c r="AM207" s="26" t="str">
        <f>IF($AN207="","",INDEX(Verlauf!$R$6:$R$1000,MATCH($AN207,Verlauf!$A$6:$A$1000,0)))</f>
        <v/>
      </c>
      <c r="AN207" s="28" t="str">
        <f>IF(U207&gt;0,_xlfn.MAXIFS(Verlauf!$A$6:$A$1000,Verlauf!$B$6:$B$1000,$A207,Verlauf!$C$6:$C$1000,$B207),"")</f>
        <v/>
      </c>
    </row>
    <row r="208" spans="1:40" x14ac:dyDescent="0.25">
      <c r="A208" s="26">
        <v>2030</v>
      </c>
      <c r="B208" s="26">
        <v>23</v>
      </c>
      <c r="C208" s="7" t="str">
        <f t="shared" si="30"/>
        <v>KW 23/30</v>
      </c>
      <c r="D208" s="26">
        <f>SUMIFS(Verlauf!$K$6:$K$1000,Verlauf!$B$6:$B$1000,$A208,Verlauf!$C$6:$C$1000,$B208)</f>
        <v>0</v>
      </c>
      <c r="E208" s="26">
        <f>SUMIFS(Verlauf!$L$6:$L$1000,Verlauf!$B$6:$B$1000,$A208,Verlauf!$C$6:$C$1000,$B208)</f>
        <v>0</v>
      </c>
      <c r="F208" s="26">
        <f>SUMIFS(Verlauf!$M$6:$M$1000,Verlauf!$B$6:$B$1000,$A208,Verlauf!$C$6:$C$1000,$B208)</f>
        <v>0</v>
      </c>
      <c r="G208" s="26">
        <f>SUMIFS(Verlauf!$J$6:$J$1000,Verlauf!$B$6:$B$1000,$A208,Verlauf!$C$6:$C$1000,$B208)</f>
        <v>0</v>
      </c>
      <c r="H208" s="26">
        <f>SUMIFS(Verlauf!$U$6:$U$1000,Verlauf!$B$6:$B$1000,$A208,Verlauf!$C$6:$C$1000,$B208)</f>
        <v>0</v>
      </c>
      <c r="I208" s="26">
        <f>SUMIFS(Verlauf!$V$6:$V$1000,Verlauf!$B$6:$B$1000,$A208,Verlauf!$C$6:$C$1000,$B208)</f>
        <v>0</v>
      </c>
      <c r="J208" s="26">
        <f>SUMIFS(Verlauf!$W$6:$W$1000,Verlauf!$B$6:$B$1000,$A208,Verlauf!$C$6:$C$1000,$B208)</f>
        <v>0</v>
      </c>
      <c r="K208" s="26">
        <f>SUMIFS(Verlauf!$T$6:$T$1000,Verlauf!$B$6:$B$1000,$A208,Verlauf!$C$6:$C$1000,$B208)</f>
        <v>0</v>
      </c>
      <c r="L208" s="27">
        <f>IF(Filter!$T$7=TRUE,IFERROR(INDEX(Planung!$D$68:$IA$68,MATCH($W208,Wirksam!$D$6:$IA$6,0)),0),0)</f>
        <v>0</v>
      </c>
      <c r="M208" s="27">
        <f>IF(OR(Filter!$T$5=TRUE,Filter!$T$6=TRUE),IFERROR(INDEX(Planung!$D$69:$IA$69,MATCH($W208,Wirksam!$D$6:$IA$6,0)),0),0)</f>
        <v>0</v>
      </c>
      <c r="N208" s="27">
        <f t="shared" si="31"/>
        <v>0</v>
      </c>
      <c r="O208" s="27" t="e">
        <f t="shared" si="32"/>
        <v>#N/A</v>
      </c>
      <c r="P208" s="27" t="e">
        <f t="shared" si="33"/>
        <v>#N/A</v>
      </c>
      <c r="Q208" s="27" t="e">
        <f t="shared" si="34"/>
        <v>#N/A</v>
      </c>
      <c r="R208" s="27" t="e">
        <f t="shared" si="35"/>
        <v>#N/A</v>
      </c>
      <c r="S208" s="27" t="e">
        <f t="shared" si="36"/>
        <v>#N/A</v>
      </c>
      <c r="T208" s="27" t="e">
        <f t="shared" si="37"/>
        <v>#N/A</v>
      </c>
      <c r="U208" s="26">
        <f>COUNTIFS(Verlauf!$B$6:$B$1000,$A208,Verlauf!$C$6:$C$1000,$B208)</f>
        <v>0</v>
      </c>
      <c r="V208" s="26">
        <f t="shared" si="38"/>
        <v>0</v>
      </c>
      <c r="W208" s="26">
        <f t="shared" si="39"/>
        <v>203023</v>
      </c>
      <c r="X208" s="26">
        <f>SUMIFS(Verlauf!$X$6:$X$1000,Verlauf!$B$6:$B$1000,$A208,Verlauf!$C$6:$C$1000,$B208)</f>
        <v>0</v>
      </c>
      <c r="Y208" s="26">
        <f>SUMIFS(Verlauf!$Y$6:$Y$1000,Verlauf!$B$6:$B$1000,$A208,Verlauf!$C$6:$C$1000,$B208)</f>
        <v>0</v>
      </c>
      <c r="Z208" s="26">
        <f>SUMIFS(Verlauf!$Z$6:$Z$1000,Verlauf!$B$6:$B$1000,$A208,Verlauf!$C$6:$C$1000,$B208)</f>
        <v>0</v>
      </c>
      <c r="AA208" s="26">
        <f>SUMIFS(Verlauf!$I$6:$I$1000,Verlauf!$B$6:$B$1000,$A208,Verlauf!$C$6:$C$1000,$B208)</f>
        <v>0</v>
      </c>
      <c r="AB208" s="26">
        <f>SUMIFS(Verlauf!$AA$6:$AA$1000,Verlauf!$B$6:$B$1000,$A208,Verlauf!$C$6:$C$1000,$B208)</f>
        <v>0</v>
      </c>
      <c r="AC208" s="26">
        <f>SUMIFS(Verlauf!$AB$6:$AB$1000,Verlauf!$B$6:$B$1000,$A208,Verlauf!$C$6:$C$1000,$B208)</f>
        <v>0</v>
      </c>
      <c r="AD208" s="26">
        <f>SUMIFS(Verlauf!$AC$6:$AC$1000,Verlauf!$B$6:$B$1000,$A208,Verlauf!$C$6:$C$1000,$B208)</f>
        <v>0</v>
      </c>
      <c r="AE208" s="26">
        <f>SUMIFS(Verlauf!$S$6:$S$1000,Verlauf!$B$6:$B$1000,$A208,Verlauf!$C$6:$C$1000,$B208)</f>
        <v>0</v>
      </c>
      <c r="AF208" s="26" t="str">
        <f>IF($AN208="","",INDEX(Verlauf!$D$6:$D$1000,MATCH($AN208,Verlauf!$A$6:$A$1000,0)))</f>
        <v/>
      </c>
      <c r="AG208" s="26" t="str">
        <f>IF($AN208="","",INDEX(Verlauf!$E$6:$E$1000,MATCH($AN208,Verlauf!$A$6:$A$1000,0)))</f>
        <v/>
      </c>
      <c r="AH208" s="26" t="str">
        <f>IF($AN208="","",INDEX(Verlauf!$F$6:$F$1000,MATCH($AN208,Verlauf!$A$6:$A$1000,0)))</f>
        <v/>
      </c>
      <c r="AI208" s="26" t="str">
        <f>IF($AN208="","",INDEX(Verlauf!$H$6:$H$1000,MATCH($AN208,Verlauf!$A$6:$A$1000,0)))</f>
        <v/>
      </c>
      <c r="AJ208" s="26" t="str">
        <f>IF($AN208="","",INDEX(Verlauf!$N$6:$N$1000,MATCH($AN208,Verlauf!$A$6:$A$1000,0)))</f>
        <v/>
      </c>
      <c r="AK208" s="26" t="str">
        <f>IF($AN208="","",INDEX(Verlauf!$O$6:$O$1000,MATCH($AN208,Verlauf!$A$6:$A$1000,0)))</f>
        <v/>
      </c>
      <c r="AL208" s="26" t="str">
        <f>IF($AN208="","",INDEX(Verlauf!$P$6:$P$1000,MATCH($AN208,Verlauf!$A$6:$A$1000,0)))</f>
        <v/>
      </c>
      <c r="AM208" s="26" t="str">
        <f>IF($AN208="","",INDEX(Verlauf!$R$6:$R$1000,MATCH($AN208,Verlauf!$A$6:$A$1000,0)))</f>
        <v/>
      </c>
      <c r="AN208" s="28" t="str">
        <f>IF(U208&gt;0,_xlfn.MAXIFS(Verlauf!$A$6:$A$1000,Verlauf!$B$6:$B$1000,$A208,Verlauf!$C$6:$C$1000,$B208),"")</f>
        <v/>
      </c>
    </row>
    <row r="209" spans="1:40" x14ac:dyDescent="0.25">
      <c r="A209" s="26">
        <v>2030</v>
      </c>
      <c r="B209" s="26">
        <v>24</v>
      </c>
      <c r="C209" s="7" t="str">
        <f t="shared" si="30"/>
        <v>KW 24/30</v>
      </c>
      <c r="D209" s="26">
        <f>SUMIFS(Verlauf!$K$6:$K$1000,Verlauf!$B$6:$B$1000,$A209,Verlauf!$C$6:$C$1000,$B209)</f>
        <v>0</v>
      </c>
      <c r="E209" s="26">
        <f>SUMIFS(Verlauf!$L$6:$L$1000,Verlauf!$B$6:$B$1000,$A209,Verlauf!$C$6:$C$1000,$B209)</f>
        <v>0</v>
      </c>
      <c r="F209" s="26">
        <f>SUMIFS(Verlauf!$M$6:$M$1000,Verlauf!$B$6:$B$1000,$A209,Verlauf!$C$6:$C$1000,$B209)</f>
        <v>0</v>
      </c>
      <c r="G209" s="26">
        <f>SUMIFS(Verlauf!$J$6:$J$1000,Verlauf!$B$6:$B$1000,$A209,Verlauf!$C$6:$C$1000,$B209)</f>
        <v>0</v>
      </c>
      <c r="H209" s="26">
        <f>SUMIFS(Verlauf!$U$6:$U$1000,Verlauf!$B$6:$B$1000,$A209,Verlauf!$C$6:$C$1000,$B209)</f>
        <v>0</v>
      </c>
      <c r="I209" s="26">
        <f>SUMIFS(Verlauf!$V$6:$V$1000,Verlauf!$B$6:$B$1000,$A209,Verlauf!$C$6:$C$1000,$B209)</f>
        <v>0</v>
      </c>
      <c r="J209" s="26">
        <f>SUMIFS(Verlauf!$W$6:$W$1000,Verlauf!$B$6:$B$1000,$A209,Verlauf!$C$6:$C$1000,$B209)</f>
        <v>0</v>
      </c>
      <c r="K209" s="26">
        <f>SUMIFS(Verlauf!$T$6:$T$1000,Verlauf!$B$6:$B$1000,$A209,Verlauf!$C$6:$C$1000,$B209)</f>
        <v>0</v>
      </c>
      <c r="L209" s="27">
        <f>IF(Filter!$T$7=TRUE,IFERROR(INDEX(Planung!$D$68:$IA$68,MATCH($W209,Wirksam!$D$6:$IA$6,0)),0),0)</f>
        <v>0</v>
      </c>
      <c r="M209" s="27">
        <f>IF(OR(Filter!$T$5=TRUE,Filter!$T$6=TRUE),IFERROR(INDEX(Planung!$D$69:$IA$69,MATCH($W209,Wirksam!$D$6:$IA$6,0)),0),0)</f>
        <v>0</v>
      </c>
      <c r="N209" s="27">
        <f t="shared" si="31"/>
        <v>0</v>
      </c>
      <c r="O209" s="27" t="e">
        <f t="shared" si="32"/>
        <v>#N/A</v>
      </c>
      <c r="P209" s="27" t="e">
        <f t="shared" si="33"/>
        <v>#N/A</v>
      </c>
      <c r="Q209" s="27" t="e">
        <f t="shared" si="34"/>
        <v>#N/A</v>
      </c>
      <c r="R209" s="27" t="e">
        <f t="shared" si="35"/>
        <v>#N/A</v>
      </c>
      <c r="S209" s="27" t="e">
        <f t="shared" si="36"/>
        <v>#N/A</v>
      </c>
      <c r="T209" s="27" t="e">
        <f t="shared" si="37"/>
        <v>#N/A</v>
      </c>
      <c r="U209" s="26">
        <f>COUNTIFS(Verlauf!$B$6:$B$1000,$A209,Verlauf!$C$6:$C$1000,$B209)</f>
        <v>0</v>
      </c>
      <c r="V209" s="26">
        <f t="shared" si="38"/>
        <v>0</v>
      </c>
      <c r="W209" s="26">
        <f t="shared" si="39"/>
        <v>203024</v>
      </c>
      <c r="X209" s="26">
        <f>SUMIFS(Verlauf!$X$6:$X$1000,Verlauf!$B$6:$B$1000,$A209,Verlauf!$C$6:$C$1000,$B209)</f>
        <v>0</v>
      </c>
      <c r="Y209" s="26">
        <f>SUMIFS(Verlauf!$Y$6:$Y$1000,Verlauf!$B$6:$B$1000,$A209,Verlauf!$C$6:$C$1000,$B209)</f>
        <v>0</v>
      </c>
      <c r="Z209" s="26">
        <f>SUMIFS(Verlauf!$Z$6:$Z$1000,Verlauf!$B$6:$B$1000,$A209,Verlauf!$C$6:$C$1000,$B209)</f>
        <v>0</v>
      </c>
      <c r="AA209" s="26">
        <f>SUMIFS(Verlauf!$I$6:$I$1000,Verlauf!$B$6:$B$1000,$A209,Verlauf!$C$6:$C$1000,$B209)</f>
        <v>0</v>
      </c>
      <c r="AB209" s="26">
        <f>SUMIFS(Verlauf!$AA$6:$AA$1000,Verlauf!$B$6:$B$1000,$A209,Verlauf!$C$6:$C$1000,$B209)</f>
        <v>0</v>
      </c>
      <c r="AC209" s="26">
        <f>SUMIFS(Verlauf!$AB$6:$AB$1000,Verlauf!$B$6:$B$1000,$A209,Verlauf!$C$6:$C$1000,$B209)</f>
        <v>0</v>
      </c>
      <c r="AD209" s="26">
        <f>SUMIFS(Verlauf!$AC$6:$AC$1000,Verlauf!$B$6:$B$1000,$A209,Verlauf!$C$6:$C$1000,$B209)</f>
        <v>0</v>
      </c>
      <c r="AE209" s="26">
        <f>SUMIFS(Verlauf!$S$6:$S$1000,Verlauf!$B$6:$B$1000,$A209,Verlauf!$C$6:$C$1000,$B209)</f>
        <v>0</v>
      </c>
      <c r="AF209" s="26" t="str">
        <f>IF($AN209="","",INDEX(Verlauf!$D$6:$D$1000,MATCH($AN209,Verlauf!$A$6:$A$1000,0)))</f>
        <v/>
      </c>
      <c r="AG209" s="26" t="str">
        <f>IF($AN209="","",INDEX(Verlauf!$E$6:$E$1000,MATCH($AN209,Verlauf!$A$6:$A$1000,0)))</f>
        <v/>
      </c>
      <c r="AH209" s="26" t="str">
        <f>IF($AN209="","",INDEX(Verlauf!$F$6:$F$1000,MATCH($AN209,Verlauf!$A$6:$A$1000,0)))</f>
        <v/>
      </c>
      <c r="AI209" s="26" t="str">
        <f>IF($AN209="","",INDEX(Verlauf!$H$6:$H$1000,MATCH($AN209,Verlauf!$A$6:$A$1000,0)))</f>
        <v/>
      </c>
      <c r="AJ209" s="26" t="str">
        <f>IF($AN209="","",INDEX(Verlauf!$N$6:$N$1000,MATCH($AN209,Verlauf!$A$6:$A$1000,0)))</f>
        <v/>
      </c>
      <c r="AK209" s="26" t="str">
        <f>IF($AN209="","",INDEX(Verlauf!$O$6:$O$1000,MATCH($AN209,Verlauf!$A$6:$A$1000,0)))</f>
        <v/>
      </c>
      <c r="AL209" s="26" t="str">
        <f>IF($AN209="","",INDEX(Verlauf!$P$6:$P$1000,MATCH($AN209,Verlauf!$A$6:$A$1000,0)))</f>
        <v/>
      </c>
      <c r="AM209" s="26" t="str">
        <f>IF($AN209="","",INDEX(Verlauf!$R$6:$R$1000,MATCH($AN209,Verlauf!$A$6:$A$1000,0)))</f>
        <v/>
      </c>
      <c r="AN209" s="28" t="str">
        <f>IF(U209&gt;0,_xlfn.MAXIFS(Verlauf!$A$6:$A$1000,Verlauf!$B$6:$B$1000,$A209,Verlauf!$C$6:$C$1000,$B209),"")</f>
        <v/>
      </c>
    </row>
    <row r="210" spans="1:40" x14ac:dyDescent="0.25">
      <c r="A210" s="26">
        <v>2030</v>
      </c>
      <c r="B210" s="26">
        <v>25</v>
      </c>
      <c r="C210" s="7" t="str">
        <f t="shared" si="30"/>
        <v>KW 25/30</v>
      </c>
      <c r="D210" s="26">
        <f>SUMIFS(Verlauf!$K$6:$K$1000,Verlauf!$B$6:$B$1000,$A210,Verlauf!$C$6:$C$1000,$B210)</f>
        <v>0</v>
      </c>
      <c r="E210" s="26">
        <f>SUMIFS(Verlauf!$L$6:$L$1000,Verlauf!$B$6:$B$1000,$A210,Verlauf!$C$6:$C$1000,$B210)</f>
        <v>0</v>
      </c>
      <c r="F210" s="26">
        <f>SUMIFS(Verlauf!$M$6:$M$1000,Verlauf!$B$6:$B$1000,$A210,Verlauf!$C$6:$C$1000,$B210)</f>
        <v>0</v>
      </c>
      <c r="G210" s="26">
        <f>SUMIFS(Verlauf!$J$6:$J$1000,Verlauf!$B$6:$B$1000,$A210,Verlauf!$C$6:$C$1000,$B210)</f>
        <v>0</v>
      </c>
      <c r="H210" s="26">
        <f>SUMIFS(Verlauf!$U$6:$U$1000,Verlauf!$B$6:$B$1000,$A210,Verlauf!$C$6:$C$1000,$B210)</f>
        <v>0</v>
      </c>
      <c r="I210" s="26">
        <f>SUMIFS(Verlauf!$V$6:$V$1000,Verlauf!$B$6:$B$1000,$A210,Verlauf!$C$6:$C$1000,$B210)</f>
        <v>0</v>
      </c>
      <c r="J210" s="26">
        <f>SUMIFS(Verlauf!$W$6:$W$1000,Verlauf!$B$6:$B$1000,$A210,Verlauf!$C$6:$C$1000,$B210)</f>
        <v>0</v>
      </c>
      <c r="K210" s="26">
        <f>SUMIFS(Verlauf!$T$6:$T$1000,Verlauf!$B$6:$B$1000,$A210,Verlauf!$C$6:$C$1000,$B210)</f>
        <v>0</v>
      </c>
      <c r="L210" s="27">
        <f>IF(Filter!$T$7=TRUE,IFERROR(INDEX(Planung!$D$68:$IA$68,MATCH($W210,Wirksam!$D$6:$IA$6,0)),0),0)</f>
        <v>0</v>
      </c>
      <c r="M210" s="27">
        <f>IF(OR(Filter!$T$5=TRUE,Filter!$T$6=TRUE),IFERROR(INDEX(Planung!$D$69:$IA$69,MATCH($W210,Wirksam!$D$6:$IA$6,0)),0),0)</f>
        <v>0</v>
      </c>
      <c r="N210" s="27">
        <f t="shared" si="31"/>
        <v>0</v>
      </c>
      <c r="O210" s="27" t="e">
        <f t="shared" si="32"/>
        <v>#N/A</v>
      </c>
      <c r="P210" s="27" t="e">
        <f t="shared" si="33"/>
        <v>#N/A</v>
      </c>
      <c r="Q210" s="27" t="e">
        <f t="shared" si="34"/>
        <v>#N/A</v>
      </c>
      <c r="R210" s="27" t="e">
        <f t="shared" si="35"/>
        <v>#N/A</v>
      </c>
      <c r="S210" s="27" t="e">
        <f t="shared" si="36"/>
        <v>#N/A</v>
      </c>
      <c r="T210" s="27" t="e">
        <f t="shared" si="37"/>
        <v>#N/A</v>
      </c>
      <c r="U210" s="26">
        <f>COUNTIFS(Verlauf!$B$6:$B$1000,$A210,Verlauf!$C$6:$C$1000,$B210)</f>
        <v>0</v>
      </c>
      <c r="V210" s="26">
        <f t="shared" si="38"/>
        <v>0</v>
      </c>
      <c r="W210" s="26">
        <f t="shared" si="39"/>
        <v>203025</v>
      </c>
      <c r="X210" s="26">
        <f>SUMIFS(Verlauf!$X$6:$X$1000,Verlauf!$B$6:$B$1000,$A210,Verlauf!$C$6:$C$1000,$B210)</f>
        <v>0</v>
      </c>
      <c r="Y210" s="26">
        <f>SUMIFS(Verlauf!$Y$6:$Y$1000,Verlauf!$B$6:$B$1000,$A210,Verlauf!$C$6:$C$1000,$B210)</f>
        <v>0</v>
      </c>
      <c r="Z210" s="26">
        <f>SUMIFS(Verlauf!$Z$6:$Z$1000,Verlauf!$B$6:$B$1000,$A210,Verlauf!$C$6:$C$1000,$B210)</f>
        <v>0</v>
      </c>
      <c r="AA210" s="26">
        <f>SUMIFS(Verlauf!$I$6:$I$1000,Verlauf!$B$6:$B$1000,$A210,Verlauf!$C$6:$C$1000,$B210)</f>
        <v>0</v>
      </c>
      <c r="AB210" s="26">
        <f>SUMIFS(Verlauf!$AA$6:$AA$1000,Verlauf!$B$6:$B$1000,$A210,Verlauf!$C$6:$C$1000,$B210)</f>
        <v>0</v>
      </c>
      <c r="AC210" s="26">
        <f>SUMIFS(Verlauf!$AB$6:$AB$1000,Verlauf!$B$6:$B$1000,$A210,Verlauf!$C$6:$C$1000,$B210)</f>
        <v>0</v>
      </c>
      <c r="AD210" s="26">
        <f>SUMIFS(Verlauf!$AC$6:$AC$1000,Verlauf!$B$6:$B$1000,$A210,Verlauf!$C$6:$C$1000,$B210)</f>
        <v>0</v>
      </c>
      <c r="AE210" s="26">
        <f>SUMIFS(Verlauf!$S$6:$S$1000,Verlauf!$B$6:$B$1000,$A210,Verlauf!$C$6:$C$1000,$B210)</f>
        <v>0</v>
      </c>
      <c r="AF210" s="26" t="str">
        <f>IF($AN210="","",INDEX(Verlauf!$D$6:$D$1000,MATCH($AN210,Verlauf!$A$6:$A$1000,0)))</f>
        <v/>
      </c>
      <c r="AG210" s="26" t="str">
        <f>IF($AN210="","",INDEX(Verlauf!$E$6:$E$1000,MATCH($AN210,Verlauf!$A$6:$A$1000,0)))</f>
        <v/>
      </c>
      <c r="AH210" s="26" t="str">
        <f>IF($AN210="","",INDEX(Verlauf!$F$6:$F$1000,MATCH($AN210,Verlauf!$A$6:$A$1000,0)))</f>
        <v/>
      </c>
      <c r="AI210" s="26" t="str">
        <f>IF($AN210="","",INDEX(Verlauf!$H$6:$H$1000,MATCH($AN210,Verlauf!$A$6:$A$1000,0)))</f>
        <v/>
      </c>
      <c r="AJ210" s="26" t="str">
        <f>IF($AN210="","",INDEX(Verlauf!$N$6:$N$1000,MATCH($AN210,Verlauf!$A$6:$A$1000,0)))</f>
        <v/>
      </c>
      <c r="AK210" s="26" t="str">
        <f>IF($AN210="","",INDEX(Verlauf!$O$6:$O$1000,MATCH($AN210,Verlauf!$A$6:$A$1000,0)))</f>
        <v/>
      </c>
      <c r="AL210" s="26" t="str">
        <f>IF($AN210="","",INDEX(Verlauf!$P$6:$P$1000,MATCH($AN210,Verlauf!$A$6:$A$1000,0)))</f>
        <v/>
      </c>
      <c r="AM210" s="26" t="str">
        <f>IF($AN210="","",INDEX(Verlauf!$R$6:$R$1000,MATCH($AN210,Verlauf!$A$6:$A$1000,0)))</f>
        <v/>
      </c>
      <c r="AN210" s="28" t="str">
        <f>IF(U210&gt;0,_xlfn.MAXIFS(Verlauf!$A$6:$A$1000,Verlauf!$B$6:$B$1000,$A210,Verlauf!$C$6:$C$1000,$B210),"")</f>
        <v/>
      </c>
    </row>
    <row r="211" spans="1:40" x14ac:dyDescent="0.25">
      <c r="A211" s="26">
        <v>2030</v>
      </c>
      <c r="B211" s="26">
        <v>26</v>
      </c>
      <c r="C211" s="7" t="str">
        <f t="shared" si="30"/>
        <v>KW 26/30</v>
      </c>
      <c r="D211" s="26">
        <f>SUMIFS(Verlauf!$K$6:$K$1000,Verlauf!$B$6:$B$1000,$A211,Verlauf!$C$6:$C$1000,$B211)</f>
        <v>0</v>
      </c>
      <c r="E211" s="26">
        <f>SUMIFS(Verlauf!$L$6:$L$1000,Verlauf!$B$6:$B$1000,$A211,Verlauf!$C$6:$C$1000,$B211)</f>
        <v>0</v>
      </c>
      <c r="F211" s="26">
        <f>SUMIFS(Verlauf!$M$6:$M$1000,Verlauf!$B$6:$B$1000,$A211,Verlauf!$C$6:$C$1000,$B211)</f>
        <v>0</v>
      </c>
      <c r="G211" s="26">
        <f>SUMIFS(Verlauf!$J$6:$J$1000,Verlauf!$B$6:$B$1000,$A211,Verlauf!$C$6:$C$1000,$B211)</f>
        <v>0</v>
      </c>
      <c r="H211" s="26">
        <f>SUMIFS(Verlauf!$U$6:$U$1000,Verlauf!$B$6:$B$1000,$A211,Verlauf!$C$6:$C$1000,$B211)</f>
        <v>0</v>
      </c>
      <c r="I211" s="26">
        <f>SUMIFS(Verlauf!$V$6:$V$1000,Verlauf!$B$6:$B$1000,$A211,Verlauf!$C$6:$C$1000,$B211)</f>
        <v>0</v>
      </c>
      <c r="J211" s="26">
        <f>SUMIFS(Verlauf!$W$6:$W$1000,Verlauf!$B$6:$B$1000,$A211,Verlauf!$C$6:$C$1000,$B211)</f>
        <v>0</v>
      </c>
      <c r="K211" s="26">
        <f>SUMIFS(Verlauf!$T$6:$T$1000,Verlauf!$B$6:$B$1000,$A211,Verlauf!$C$6:$C$1000,$B211)</f>
        <v>0</v>
      </c>
      <c r="L211" s="27">
        <f>IF(Filter!$T$7=TRUE,IFERROR(INDEX(Planung!$D$68:$IA$68,MATCH($W211,Wirksam!$D$6:$IA$6,0)),0),0)</f>
        <v>0</v>
      </c>
      <c r="M211" s="27">
        <f>IF(OR(Filter!$T$5=TRUE,Filter!$T$6=TRUE),IFERROR(INDEX(Planung!$D$69:$IA$69,MATCH($W211,Wirksam!$D$6:$IA$6,0)),0),0)</f>
        <v>0</v>
      </c>
      <c r="N211" s="27">
        <f t="shared" si="31"/>
        <v>0</v>
      </c>
      <c r="O211" s="27" t="e">
        <f t="shared" si="32"/>
        <v>#N/A</v>
      </c>
      <c r="P211" s="27" t="e">
        <f t="shared" si="33"/>
        <v>#N/A</v>
      </c>
      <c r="Q211" s="27" t="e">
        <f t="shared" si="34"/>
        <v>#N/A</v>
      </c>
      <c r="R211" s="27" t="e">
        <f t="shared" si="35"/>
        <v>#N/A</v>
      </c>
      <c r="S211" s="27" t="e">
        <f t="shared" si="36"/>
        <v>#N/A</v>
      </c>
      <c r="T211" s="27" t="e">
        <f t="shared" si="37"/>
        <v>#N/A</v>
      </c>
      <c r="U211" s="26">
        <f>COUNTIFS(Verlauf!$B$6:$B$1000,$A211,Verlauf!$C$6:$C$1000,$B211)</f>
        <v>0</v>
      </c>
      <c r="V211" s="26">
        <f t="shared" si="38"/>
        <v>0</v>
      </c>
      <c r="W211" s="26">
        <f t="shared" si="39"/>
        <v>203026</v>
      </c>
      <c r="X211" s="26">
        <f>SUMIFS(Verlauf!$X$6:$X$1000,Verlauf!$B$6:$B$1000,$A211,Verlauf!$C$6:$C$1000,$B211)</f>
        <v>0</v>
      </c>
      <c r="Y211" s="26">
        <f>SUMIFS(Verlauf!$Y$6:$Y$1000,Verlauf!$B$6:$B$1000,$A211,Verlauf!$C$6:$C$1000,$B211)</f>
        <v>0</v>
      </c>
      <c r="Z211" s="26">
        <f>SUMIFS(Verlauf!$Z$6:$Z$1000,Verlauf!$B$6:$B$1000,$A211,Verlauf!$C$6:$C$1000,$B211)</f>
        <v>0</v>
      </c>
      <c r="AA211" s="26">
        <f>SUMIFS(Verlauf!$I$6:$I$1000,Verlauf!$B$6:$B$1000,$A211,Verlauf!$C$6:$C$1000,$B211)</f>
        <v>0</v>
      </c>
      <c r="AB211" s="26">
        <f>SUMIFS(Verlauf!$AA$6:$AA$1000,Verlauf!$B$6:$B$1000,$A211,Verlauf!$C$6:$C$1000,$B211)</f>
        <v>0</v>
      </c>
      <c r="AC211" s="26">
        <f>SUMIFS(Verlauf!$AB$6:$AB$1000,Verlauf!$B$6:$B$1000,$A211,Verlauf!$C$6:$C$1000,$B211)</f>
        <v>0</v>
      </c>
      <c r="AD211" s="26">
        <f>SUMIFS(Verlauf!$AC$6:$AC$1000,Verlauf!$B$6:$B$1000,$A211,Verlauf!$C$6:$C$1000,$B211)</f>
        <v>0</v>
      </c>
      <c r="AE211" s="26">
        <f>SUMIFS(Verlauf!$S$6:$S$1000,Verlauf!$B$6:$B$1000,$A211,Verlauf!$C$6:$C$1000,$B211)</f>
        <v>0</v>
      </c>
      <c r="AF211" s="26" t="str">
        <f>IF($AN211="","",INDEX(Verlauf!$D$6:$D$1000,MATCH($AN211,Verlauf!$A$6:$A$1000,0)))</f>
        <v/>
      </c>
      <c r="AG211" s="26" t="str">
        <f>IF($AN211="","",INDEX(Verlauf!$E$6:$E$1000,MATCH($AN211,Verlauf!$A$6:$A$1000,0)))</f>
        <v/>
      </c>
      <c r="AH211" s="26" t="str">
        <f>IF($AN211="","",INDEX(Verlauf!$F$6:$F$1000,MATCH($AN211,Verlauf!$A$6:$A$1000,0)))</f>
        <v/>
      </c>
      <c r="AI211" s="26" t="str">
        <f>IF($AN211="","",INDEX(Verlauf!$H$6:$H$1000,MATCH($AN211,Verlauf!$A$6:$A$1000,0)))</f>
        <v/>
      </c>
      <c r="AJ211" s="26" t="str">
        <f>IF($AN211="","",INDEX(Verlauf!$N$6:$N$1000,MATCH($AN211,Verlauf!$A$6:$A$1000,0)))</f>
        <v/>
      </c>
      <c r="AK211" s="26" t="str">
        <f>IF($AN211="","",INDEX(Verlauf!$O$6:$O$1000,MATCH($AN211,Verlauf!$A$6:$A$1000,0)))</f>
        <v/>
      </c>
      <c r="AL211" s="26" t="str">
        <f>IF($AN211="","",INDEX(Verlauf!$P$6:$P$1000,MATCH($AN211,Verlauf!$A$6:$A$1000,0)))</f>
        <v/>
      </c>
      <c r="AM211" s="26" t="str">
        <f>IF($AN211="","",INDEX(Verlauf!$R$6:$R$1000,MATCH($AN211,Verlauf!$A$6:$A$1000,0)))</f>
        <v/>
      </c>
      <c r="AN211" s="28" t="str">
        <f>IF(U211&gt;0,_xlfn.MAXIFS(Verlauf!$A$6:$A$1000,Verlauf!$B$6:$B$1000,$A211,Verlauf!$C$6:$C$1000,$B211),"")</f>
        <v/>
      </c>
    </row>
    <row r="212" spans="1:40" x14ac:dyDescent="0.25">
      <c r="A212" s="26">
        <v>2030</v>
      </c>
      <c r="B212" s="26">
        <v>27</v>
      </c>
      <c r="C212" s="7" t="str">
        <f t="shared" si="30"/>
        <v>KW 27/30</v>
      </c>
      <c r="D212" s="26">
        <f>SUMIFS(Verlauf!$K$6:$K$1000,Verlauf!$B$6:$B$1000,$A212,Verlauf!$C$6:$C$1000,$B212)</f>
        <v>0</v>
      </c>
      <c r="E212" s="26">
        <f>SUMIFS(Verlauf!$L$6:$L$1000,Verlauf!$B$6:$B$1000,$A212,Verlauf!$C$6:$C$1000,$B212)</f>
        <v>0</v>
      </c>
      <c r="F212" s="26">
        <f>SUMIFS(Verlauf!$M$6:$M$1000,Verlauf!$B$6:$B$1000,$A212,Verlauf!$C$6:$C$1000,$B212)</f>
        <v>0</v>
      </c>
      <c r="G212" s="26">
        <f>SUMIFS(Verlauf!$J$6:$J$1000,Verlauf!$B$6:$B$1000,$A212,Verlauf!$C$6:$C$1000,$B212)</f>
        <v>0</v>
      </c>
      <c r="H212" s="26">
        <f>SUMIFS(Verlauf!$U$6:$U$1000,Verlauf!$B$6:$B$1000,$A212,Verlauf!$C$6:$C$1000,$B212)</f>
        <v>0</v>
      </c>
      <c r="I212" s="26">
        <f>SUMIFS(Verlauf!$V$6:$V$1000,Verlauf!$B$6:$B$1000,$A212,Verlauf!$C$6:$C$1000,$B212)</f>
        <v>0</v>
      </c>
      <c r="J212" s="26">
        <f>SUMIFS(Verlauf!$W$6:$W$1000,Verlauf!$B$6:$B$1000,$A212,Verlauf!$C$6:$C$1000,$B212)</f>
        <v>0</v>
      </c>
      <c r="K212" s="26">
        <f>SUMIFS(Verlauf!$T$6:$T$1000,Verlauf!$B$6:$B$1000,$A212,Verlauf!$C$6:$C$1000,$B212)</f>
        <v>0</v>
      </c>
      <c r="L212" s="27">
        <f>IF(Filter!$T$7=TRUE,IFERROR(INDEX(Planung!$D$68:$IA$68,MATCH($W212,Wirksam!$D$6:$IA$6,0)),0),0)</f>
        <v>0</v>
      </c>
      <c r="M212" s="27">
        <f>IF(OR(Filter!$T$5=TRUE,Filter!$T$6=TRUE),IFERROR(INDEX(Planung!$D$69:$IA$69,MATCH($W212,Wirksam!$D$6:$IA$6,0)),0),0)</f>
        <v>0</v>
      </c>
      <c r="N212" s="27">
        <f t="shared" si="31"/>
        <v>0</v>
      </c>
      <c r="O212" s="27" t="e">
        <f t="shared" si="32"/>
        <v>#N/A</v>
      </c>
      <c r="P212" s="27" t="e">
        <f t="shared" si="33"/>
        <v>#N/A</v>
      </c>
      <c r="Q212" s="27" t="e">
        <f t="shared" si="34"/>
        <v>#N/A</v>
      </c>
      <c r="R212" s="27" t="e">
        <f t="shared" si="35"/>
        <v>#N/A</v>
      </c>
      <c r="S212" s="27" t="e">
        <f t="shared" si="36"/>
        <v>#N/A</v>
      </c>
      <c r="T212" s="27" t="e">
        <f t="shared" si="37"/>
        <v>#N/A</v>
      </c>
      <c r="U212" s="26">
        <f>COUNTIFS(Verlauf!$B$6:$B$1000,$A212,Verlauf!$C$6:$C$1000,$B212)</f>
        <v>0</v>
      </c>
      <c r="V212" s="26">
        <f t="shared" si="38"/>
        <v>0</v>
      </c>
      <c r="W212" s="26">
        <f t="shared" si="39"/>
        <v>203027</v>
      </c>
      <c r="X212" s="26">
        <f>SUMIFS(Verlauf!$X$6:$X$1000,Verlauf!$B$6:$B$1000,$A212,Verlauf!$C$6:$C$1000,$B212)</f>
        <v>0</v>
      </c>
      <c r="Y212" s="26">
        <f>SUMIFS(Verlauf!$Y$6:$Y$1000,Verlauf!$B$6:$B$1000,$A212,Verlauf!$C$6:$C$1000,$B212)</f>
        <v>0</v>
      </c>
      <c r="Z212" s="26">
        <f>SUMIFS(Verlauf!$Z$6:$Z$1000,Verlauf!$B$6:$B$1000,$A212,Verlauf!$C$6:$C$1000,$B212)</f>
        <v>0</v>
      </c>
      <c r="AA212" s="26">
        <f>SUMIFS(Verlauf!$I$6:$I$1000,Verlauf!$B$6:$B$1000,$A212,Verlauf!$C$6:$C$1000,$B212)</f>
        <v>0</v>
      </c>
      <c r="AB212" s="26">
        <f>SUMIFS(Verlauf!$AA$6:$AA$1000,Verlauf!$B$6:$B$1000,$A212,Verlauf!$C$6:$C$1000,$B212)</f>
        <v>0</v>
      </c>
      <c r="AC212" s="26">
        <f>SUMIFS(Verlauf!$AB$6:$AB$1000,Verlauf!$B$6:$B$1000,$A212,Verlauf!$C$6:$C$1000,$B212)</f>
        <v>0</v>
      </c>
      <c r="AD212" s="26">
        <f>SUMIFS(Verlauf!$AC$6:$AC$1000,Verlauf!$B$6:$B$1000,$A212,Verlauf!$C$6:$C$1000,$B212)</f>
        <v>0</v>
      </c>
      <c r="AE212" s="26">
        <f>SUMIFS(Verlauf!$S$6:$S$1000,Verlauf!$B$6:$B$1000,$A212,Verlauf!$C$6:$C$1000,$B212)</f>
        <v>0</v>
      </c>
      <c r="AF212" s="26" t="str">
        <f>IF($AN212="","",INDEX(Verlauf!$D$6:$D$1000,MATCH($AN212,Verlauf!$A$6:$A$1000,0)))</f>
        <v/>
      </c>
      <c r="AG212" s="26" t="str">
        <f>IF($AN212="","",INDEX(Verlauf!$E$6:$E$1000,MATCH($AN212,Verlauf!$A$6:$A$1000,0)))</f>
        <v/>
      </c>
      <c r="AH212" s="26" t="str">
        <f>IF($AN212="","",INDEX(Verlauf!$F$6:$F$1000,MATCH($AN212,Verlauf!$A$6:$A$1000,0)))</f>
        <v/>
      </c>
      <c r="AI212" s="26" t="str">
        <f>IF($AN212="","",INDEX(Verlauf!$H$6:$H$1000,MATCH($AN212,Verlauf!$A$6:$A$1000,0)))</f>
        <v/>
      </c>
      <c r="AJ212" s="26" t="str">
        <f>IF($AN212="","",INDEX(Verlauf!$N$6:$N$1000,MATCH($AN212,Verlauf!$A$6:$A$1000,0)))</f>
        <v/>
      </c>
      <c r="AK212" s="26" t="str">
        <f>IF($AN212="","",INDEX(Verlauf!$O$6:$O$1000,MATCH($AN212,Verlauf!$A$6:$A$1000,0)))</f>
        <v/>
      </c>
      <c r="AL212" s="26" t="str">
        <f>IF($AN212="","",INDEX(Verlauf!$P$6:$P$1000,MATCH($AN212,Verlauf!$A$6:$A$1000,0)))</f>
        <v/>
      </c>
      <c r="AM212" s="26" t="str">
        <f>IF($AN212="","",INDEX(Verlauf!$R$6:$R$1000,MATCH($AN212,Verlauf!$A$6:$A$1000,0)))</f>
        <v/>
      </c>
      <c r="AN212" s="28" t="str">
        <f>IF(U212&gt;0,_xlfn.MAXIFS(Verlauf!$A$6:$A$1000,Verlauf!$B$6:$B$1000,$A212,Verlauf!$C$6:$C$1000,$B212),"")</f>
        <v/>
      </c>
    </row>
    <row r="213" spans="1:40" x14ac:dyDescent="0.25">
      <c r="A213" s="26">
        <v>2030</v>
      </c>
      <c r="B213" s="26">
        <v>28</v>
      </c>
      <c r="C213" s="7" t="str">
        <f t="shared" si="30"/>
        <v>KW 28/30</v>
      </c>
      <c r="D213" s="26">
        <f>SUMIFS(Verlauf!$K$6:$K$1000,Verlauf!$B$6:$B$1000,$A213,Verlauf!$C$6:$C$1000,$B213)</f>
        <v>0</v>
      </c>
      <c r="E213" s="26">
        <f>SUMIFS(Verlauf!$L$6:$L$1000,Verlauf!$B$6:$B$1000,$A213,Verlauf!$C$6:$C$1000,$B213)</f>
        <v>0</v>
      </c>
      <c r="F213" s="26">
        <f>SUMIFS(Verlauf!$M$6:$M$1000,Verlauf!$B$6:$B$1000,$A213,Verlauf!$C$6:$C$1000,$B213)</f>
        <v>0</v>
      </c>
      <c r="G213" s="26">
        <f>SUMIFS(Verlauf!$J$6:$J$1000,Verlauf!$B$6:$B$1000,$A213,Verlauf!$C$6:$C$1000,$B213)</f>
        <v>0</v>
      </c>
      <c r="H213" s="26">
        <f>SUMIFS(Verlauf!$U$6:$U$1000,Verlauf!$B$6:$B$1000,$A213,Verlauf!$C$6:$C$1000,$B213)</f>
        <v>0</v>
      </c>
      <c r="I213" s="26">
        <f>SUMIFS(Verlauf!$V$6:$V$1000,Verlauf!$B$6:$B$1000,$A213,Verlauf!$C$6:$C$1000,$B213)</f>
        <v>0</v>
      </c>
      <c r="J213" s="26">
        <f>SUMIFS(Verlauf!$W$6:$W$1000,Verlauf!$B$6:$B$1000,$A213,Verlauf!$C$6:$C$1000,$B213)</f>
        <v>0</v>
      </c>
      <c r="K213" s="26">
        <f>SUMIFS(Verlauf!$T$6:$T$1000,Verlauf!$B$6:$B$1000,$A213,Verlauf!$C$6:$C$1000,$B213)</f>
        <v>0</v>
      </c>
      <c r="L213" s="27">
        <f>IF(Filter!$T$7=TRUE,IFERROR(INDEX(Planung!$D$68:$IA$68,MATCH($W213,Wirksam!$D$6:$IA$6,0)),0),0)</f>
        <v>0</v>
      </c>
      <c r="M213" s="27">
        <f>IF(OR(Filter!$T$5=TRUE,Filter!$T$6=TRUE),IFERROR(INDEX(Planung!$D$69:$IA$69,MATCH($W213,Wirksam!$D$6:$IA$6,0)),0),0)</f>
        <v>0</v>
      </c>
      <c r="N213" s="27">
        <f t="shared" si="31"/>
        <v>0</v>
      </c>
      <c r="O213" s="27" t="e">
        <f t="shared" si="32"/>
        <v>#N/A</v>
      </c>
      <c r="P213" s="27" t="e">
        <f t="shared" si="33"/>
        <v>#N/A</v>
      </c>
      <c r="Q213" s="27" t="e">
        <f t="shared" si="34"/>
        <v>#N/A</v>
      </c>
      <c r="R213" s="27" t="e">
        <f t="shared" si="35"/>
        <v>#N/A</v>
      </c>
      <c r="S213" s="27" t="e">
        <f t="shared" si="36"/>
        <v>#N/A</v>
      </c>
      <c r="T213" s="27" t="e">
        <f t="shared" si="37"/>
        <v>#N/A</v>
      </c>
      <c r="U213" s="26">
        <f>COUNTIFS(Verlauf!$B$6:$B$1000,$A213,Verlauf!$C$6:$C$1000,$B213)</f>
        <v>0</v>
      </c>
      <c r="V213" s="26">
        <f t="shared" si="38"/>
        <v>0</v>
      </c>
      <c r="W213" s="26">
        <f t="shared" si="39"/>
        <v>203028</v>
      </c>
      <c r="X213" s="26">
        <f>SUMIFS(Verlauf!$X$6:$X$1000,Verlauf!$B$6:$B$1000,$A213,Verlauf!$C$6:$C$1000,$B213)</f>
        <v>0</v>
      </c>
      <c r="Y213" s="26">
        <f>SUMIFS(Verlauf!$Y$6:$Y$1000,Verlauf!$B$6:$B$1000,$A213,Verlauf!$C$6:$C$1000,$B213)</f>
        <v>0</v>
      </c>
      <c r="Z213" s="26">
        <f>SUMIFS(Verlauf!$Z$6:$Z$1000,Verlauf!$B$6:$B$1000,$A213,Verlauf!$C$6:$C$1000,$B213)</f>
        <v>0</v>
      </c>
      <c r="AA213" s="26">
        <f>SUMIFS(Verlauf!$I$6:$I$1000,Verlauf!$B$6:$B$1000,$A213,Verlauf!$C$6:$C$1000,$B213)</f>
        <v>0</v>
      </c>
      <c r="AB213" s="26">
        <f>SUMIFS(Verlauf!$AA$6:$AA$1000,Verlauf!$B$6:$B$1000,$A213,Verlauf!$C$6:$C$1000,$B213)</f>
        <v>0</v>
      </c>
      <c r="AC213" s="26">
        <f>SUMIFS(Verlauf!$AB$6:$AB$1000,Verlauf!$B$6:$B$1000,$A213,Verlauf!$C$6:$C$1000,$B213)</f>
        <v>0</v>
      </c>
      <c r="AD213" s="26">
        <f>SUMIFS(Verlauf!$AC$6:$AC$1000,Verlauf!$B$6:$B$1000,$A213,Verlauf!$C$6:$C$1000,$B213)</f>
        <v>0</v>
      </c>
      <c r="AE213" s="26">
        <f>SUMIFS(Verlauf!$S$6:$S$1000,Verlauf!$B$6:$B$1000,$A213,Verlauf!$C$6:$C$1000,$B213)</f>
        <v>0</v>
      </c>
      <c r="AF213" s="26" t="str">
        <f>IF($AN213="","",INDEX(Verlauf!$D$6:$D$1000,MATCH($AN213,Verlauf!$A$6:$A$1000,0)))</f>
        <v/>
      </c>
      <c r="AG213" s="26" t="str">
        <f>IF($AN213="","",INDEX(Verlauf!$E$6:$E$1000,MATCH($AN213,Verlauf!$A$6:$A$1000,0)))</f>
        <v/>
      </c>
      <c r="AH213" s="26" t="str">
        <f>IF($AN213="","",INDEX(Verlauf!$F$6:$F$1000,MATCH($AN213,Verlauf!$A$6:$A$1000,0)))</f>
        <v/>
      </c>
      <c r="AI213" s="26" t="str">
        <f>IF($AN213="","",INDEX(Verlauf!$H$6:$H$1000,MATCH($AN213,Verlauf!$A$6:$A$1000,0)))</f>
        <v/>
      </c>
      <c r="AJ213" s="26" t="str">
        <f>IF($AN213="","",INDEX(Verlauf!$N$6:$N$1000,MATCH($AN213,Verlauf!$A$6:$A$1000,0)))</f>
        <v/>
      </c>
      <c r="AK213" s="26" t="str">
        <f>IF($AN213="","",INDEX(Verlauf!$O$6:$O$1000,MATCH($AN213,Verlauf!$A$6:$A$1000,0)))</f>
        <v/>
      </c>
      <c r="AL213" s="26" t="str">
        <f>IF($AN213="","",INDEX(Verlauf!$P$6:$P$1000,MATCH($AN213,Verlauf!$A$6:$A$1000,0)))</f>
        <v/>
      </c>
      <c r="AM213" s="26" t="str">
        <f>IF($AN213="","",INDEX(Verlauf!$R$6:$R$1000,MATCH($AN213,Verlauf!$A$6:$A$1000,0)))</f>
        <v/>
      </c>
      <c r="AN213" s="28" t="str">
        <f>IF(U213&gt;0,_xlfn.MAXIFS(Verlauf!$A$6:$A$1000,Verlauf!$B$6:$B$1000,$A213,Verlauf!$C$6:$C$1000,$B213),"")</f>
        <v/>
      </c>
    </row>
    <row r="214" spans="1:40" x14ac:dyDescent="0.25">
      <c r="A214" s="26">
        <v>2030</v>
      </c>
      <c r="B214" s="26">
        <v>29</v>
      </c>
      <c r="C214" s="7" t="str">
        <f t="shared" si="30"/>
        <v>KW 29/30</v>
      </c>
      <c r="D214" s="26">
        <f>SUMIFS(Verlauf!$K$6:$K$1000,Verlauf!$B$6:$B$1000,$A214,Verlauf!$C$6:$C$1000,$B214)</f>
        <v>0</v>
      </c>
      <c r="E214" s="26">
        <f>SUMIFS(Verlauf!$L$6:$L$1000,Verlauf!$B$6:$B$1000,$A214,Verlauf!$C$6:$C$1000,$B214)</f>
        <v>0</v>
      </c>
      <c r="F214" s="26">
        <f>SUMIFS(Verlauf!$M$6:$M$1000,Verlauf!$B$6:$B$1000,$A214,Verlauf!$C$6:$C$1000,$B214)</f>
        <v>0</v>
      </c>
      <c r="G214" s="26">
        <f>SUMIFS(Verlauf!$J$6:$J$1000,Verlauf!$B$6:$B$1000,$A214,Verlauf!$C$6:$C$1000,$B214)</f>
        <v>0</v>
      </c>
      <c r="H214" s="26">
        <f>SUMIFS(Verlauf!$U$6:$U$1000,Verlauf!$B$6:$B$1000,$A214,Verlauf!$C$6:$C$1000,$B214)</f>
        <v>0</v>
      </c>
      <c r="I214" s="26">
        <f>SUMIFS(Verlauf!$V$6:$V$1000,Verlauf!$B$6:$B$1000,$A214,Verlauf!$C$6:$C$1000,$B214)</f>
        <v>0</v>
      </c>
      <c r="J214" s="26">
        <f>SUMIFS(Verlauf!$W$6:$W$1000,Verlauf!$B$6:$B$1000,$A214,Verlauf!$C$6:$C$1000,$B214)</f>
        <v>0</v>
      </c>
      <c r="K214" s="26">
        <f>SUMIFS(Verlauf!$T$6:$T$1000,Verlauf!$B$6:$B$1000,$A214,Verlauf!$C$6:$C$1000,$B214)</f>
        <v>0</v>
      </c>
      <c r="L214" s="27">
        <f>IF(Filter!$T$7=TRUE,IFERROR(INDEX(Planung!$D$68:$IA$68,MATCH($W214,Wirksam!$D$6:$IA$6,0)),0),0)</f>
        <v>0</v>
      </c>
      <c r="M214" s="27">
        <f>IF(OR(Filter!$T$5=TRUE,Filter!$T$6=TRUE),IFERROR(INDEX(Planung!$D$69:$IA$69,MATCH($W214,Wirksam!$D$6:$IA$6,0)),0),0)</f>
        <v>0</v>
      </c>
      <c r="N214" s="27">
        <f t="shared" si="31"/>
        <v>0</v>
      </c>
      <c r="O214" s="27" t="e">
        <f t="shared" si="32"/>
        <v>#N/A</v>
      </c>
      <c r="P214" s="27" t="e">
        <f t="shared" si="33"/>
        <v>#N/A</v>
      </c>
      <c r="Q214" s="27" t="e">
        <f t="shared" si="34"/>
        <v>#N/A</v>
      </c>
      <c r="R214" s="27" t="e">
        <f t="shared" si="35"/>
        <v>#N/A</v>
      </c>
      <c r="S214" s="27" t="e">
        <f t="shared" si="36"/>
        <v>#N/A</v>
      </c>
      <c r="T214" s="27" t="e">
        <f t="shared" si="37"/>
        <v>#N/A</v>
      </c>
      <c r="U214" s="26">
        <f>COUNTIFS(Verlauf!$B$6:$B$1000,$A214,Verlauf!$C$6:$C$1000,$B214)</f>
        <v>0</v>
      </c>
      <c r="V214" s="26">
        <f t="shared" si="38"/>
        <v>0</v>
      </c>
      <c r="W214" s="26">
        <f t="shared" si="39"/>
        <v>203029</v>
      </c>
      <c r="X214" s="26">
        <f>SUMIFS(Verlauf!$X$6:$X$1000,Verlauf!$B$6:$B$1000,$A214,Verlauf!$C$6:$C$1000,$B214)</f>
        <v>0</v>
      </c>
      <c r="Y214" s="26">
        <f>SUMIFS(Verlauf!$Y$6:$Y$1000,Verlauf!$B$6:$B$1000,$A214,Verlauf!$C$6:$C$1000,$B214)</f>
        <v>0</v>
      </c>
      <c r="Z214" s="26">
        <f>SUMIFS(Verlauf!$Z$6:$Z$1000,Verlauf!$B$6:$B$1000,$A214,Verlauf!$C$6:$C$1000,$B214)</f>
        <v>0</v>
      </c>
      <c r="AA214" s="26">
        <f>SUMIFS(Verlauf!$I$6:$I$1000,Verlauf!$B$6:$B$1000,$A214,Verlauf!$C$6:$C$1000,$B214)</f>
        <v>0</v>
      </c>
      <c r="AB214" s="26">
        <f>SUMIFS(Verlauf!$AA$6:$AA$1000,Verlauf!$B$6:$B$1000,$A214,Verlauf!$C$6:$C$1000,$B214)</f>
        <v>0</v>
      </c>
      <c r="AC214" s="26">
        <f>SUMIFS(Verlauf!$AB$6:$AB$1000,Verlauf!$B$6:$B$1000,$A214,Verlauf!$C$6:$C$1000,$B214)</f>
        <v>0</v>
      </c>
      <c r="AD214" s="26">
        <f>SUMIFS(Verlauf!$AC$6:$AC$1000,Verlauf!$B$6:$B$1000,$A214,Verlauf!$C$6:$C$1000,$B214)</f>
        <v>0</v>
      </c>
      <c r="AE214" s="26">
        <f>SUMIFS(Verlauf!$S$6:$S$1000,Verlauf!$B$6:$B$1000,$A214,Verlauf!$C$6:$C$1000,$B214)</f>
        <v>0</v>
      </c>
      <c r="AF214" s="26" t="str">
        <f>IF($AN214="","",INDEX(Verlauf!$D$6:$D$1000,MATCH($AN214,Verlauf!$A$6:$A$1000,0)))</f>
        <v/>
      </c>
      <c r="AG214" s="26" t="str">
        <f>IF($AN214="","",INDEX(Verlauf!$E$6:$E$1000,MATCH($AN214,Verlauf!$A$6:$A$1000,0)))</f>
        <v/>
      </c>
      <c r="AH214" s="26" t="str">
        <f>IF($AN214="","",INDEX(Verlauf!$F$6:$F$1000,MATCH($AN214,Verlauf!$A$6:$A$1000,0)))</f>
        <v/>
      </c>
      <c r="AI214" s="26" t="str">
        <f>IF($AN214="","",INDEX(Verlauf!$H$6:$H$1000,MATCH($AN214,Verlauf!$A$6:$A$1000,0)))</f>
        <v/>
      </c>
      <c r="AJ214" s="26" t="str">
        <f>IF($AN214="","",INDEX(Verlauf!$N$6:$N$1000,MATCH($AN214,Verlauf!$A$6:$A$1000,0)))</f>
        <v/>
      </c>
      <c r="AK214" s="26" t="str">
        <f>IF($AN214="","",INDEX(Verlauf!$O$6:$O$1000,MATCH($AN214,Verlauf!$A$6:$A$1000,0)))</f>
        <v/>
      </c>
      <c r="AL214" s="26" t="str">
        <f>IF($AN214="","",INDEX(Verlauf!$P$6:$P$1000,MATCH($AN214,Verlauf!$A$6:$A$1000,0)))</f>
        <v/>
      </c>
      <c r="AM214" s="26" t="str">
        <f>IF($AN214="","",INDEX(Verlauf!$R$6:$R$1000,MATCH($AN214,Verlauf!$A$6:$A$1000,0)))</f>
        <v/>
      </c>
      <c r="AN214" s="28" t="str">
        <f>IF(U214&gt;0,_xlfn.MAXIFS(Verlauf!$A$6:$A$1000,Verlauf!$B$6:$B$1000,$A214,Verlauf!$C$6:$C$1000,$B214),"")</f>
        <v/>
      </c>
    </row>
    <row r="215" spans="1:40" x14ac:dyDescent="0.25">
      <c r="A215" s="26">
        <v>2030</v>
      </c>
      <c r="B215" s="26">
        <v>30</v>
      </c>
      <c r="C215" s="7" t="str">
        <f t="shared" si="30"/>
        <v>KW 30/30</v>
      </c>
      <c r="D215" s="26">
        <f>SUMIFS(Verlauf!$K$6:$K$1000,Verlauf!$B$6:$B$1000,$A215,Verlauf!$C$6:$C$1000,$B215)</f>
        <v>0</v>
      </c>
      <c r="E215" s="26">
        <f>SUMIFS(Verlauf!$L$6:$L$1000,Verlauf!$B$6:$B$1000,$A215,Verlauf!$C$6:$C$1000,$B215)</f>
        <v>0</v>
      </c>
      <c r="F215" s="26">
        <f>SUMIFS(Verlauf!$M$6:$M$1000,Verlauf!$B$6:$B$1000,$A215,Verlauf!$C$6:$C$1000,$B215)</f>
        <v>0</v>
      </c>
      <c r="G215" s="26">
        <f>SUMIFS(Verlauf!$J$6:$J$1000,Verlauf!$B$6:$B$1000,$A215,Verlauf!$C$6:$C$1000,$B215)</f>
        <v>0</v>
      </c>
      <c r="H215" s="26">
        <f>SUMIFS(Verlauf!$U$6:$U$1000,Verlauf!$B$6:$B$1000,$A215,Verlauf!$C$6:$C$1000,$B215)</f>
        <v>0</v>
      </c>
      <c r="I215" s="26">
        <f>SUMIFS(Verlauf!$V$6:$V$1000,Verlauf!$B$6:$B$1000,$A215,Verlauf!$C$6:$C$1000,$B215)</f>
        <v>0</v>
      </c>
      <c r="J215" s="26">
        <f>SUMIFS(Verlauf!$W$6:$W$1000,Verlauf!$B$6:$B$1000,$A215,Verlauf!$C$6:$C$1000,$B215)</f>
        <v>0</v>
      </c>
      <c r="K215" s="26">
        <f>SUMIFS(Verlauf!$T$6:$T$1000,Verlauf!$B$6:$B$1000,$A215,Verlauf!$C$6:$C$1000,$B215)</f>
        <v>0</v>
      </c>
      <c r="L215" s="27">
        <f>IF(Filter!$T$7=TRUE,IFERROR(INDEX(Planung!$D$68:$IA$68,MATCH($W215,Wirksam!$D$6:$IA$6,0)),0),0)</f>
        <v>0</v>
      </c>
      <c r="M215" s="27">
        <f>IF(OR(Filter!$T$5=TRUE,Filter!$T$6=TRUE),IFERROR(INDEX(Planung!$D$69:$IA$69,MATCH($W215,Wirksam!$D$6:$IA$6,0)),0),0)</f>
        <v>0</v>
      </c>
      <c r="N215" s="27">
        <f t="shared" si="31"/>
        <v>0</v>
      </c>
      <c r="O215" s="27" t="e">
        <f t="shared" si="32"/>
        <v>#N/A</v>
      </c>
      <c r="P215" s="27" t="e">
        <f t="shared" si="33"/>
        <v>#N/A</v>
      </c>
      <c r="Q215" s="27" t="e">
        <f t="shared" si="34"/>
        <v>#N/A</v>
      </c>
      <c r="R215" s="27" t="e">
        <f t="shared" si="35"/>
        <v>#N/A</v>
      </c>
      <c r="S215" s="27" t="e">
        <f t="shared" si="36"/>
        <v>#N/A</v>
      </c>
      <c r="T215" s="27" t="e">
        <f t="shared" si="37"/>
        <v>#N/A</v>
      </c>
      <c r="U215" s="26">
        <f>COUNTIFS(Verlauf!$B$6:$B$1000,$A215,Verlauf!$C$6:$C$1000,$B215)</f>
        <v>0</v>
      </c>
      <c r="V215" s="26">
        <f t="shared" si="38"/>
        <v>0</v>
      </c>
      <c r="W215" s="26">
        <f t="shared" si="39"/>
        <v>203030</v>
      </c>
      <c r="X215" s="26">
        <f>SUMIFS(Verlauf!$X$6:$X$1000,Verlauf!$B$6:$B$1000,$A215,Verlauf!$C$6:$C$1000,$B215)</f>
        <v>0</v>
      </c>
      <c r="Y215" s="26">
        <f>SUMIFS(Verlauf!$Y$6:$Y$1000,Verlauf!$B$6:$B$1000,$A215,Verlauf!$C$6:$C$1000,$B215)</f>
        <v>0</v>
      </c>
      <c r="Z215" s="26">
        <f>SUMIFS(Verlauf!$Z$6:$Z$1000,Verlauf!$B$6:$B$1000,$A215,Verlauf!$C$6:$C$1000,$B215)</f>
        <v>0</v>
      </c>
      <c r="AA215" s="26">
        <f>SUMIFS(Verlauf!$I$6:$I$1000,Verlauf!$B$6:$B$1000,$A215,Verlauf!$C$6:$C$1000,$B215)</f>
        <v>0</v>
      </c>
      <c r="AB215" s="26">
        <f>SUMIFS(Verlauf!$AA$6:$AA$1000,Verlauf!$B$6:$B$1000,$A215,Verlauf!$C$6:$C$1000,$B215)</f>
        <v>0</v>
      </c>
      <c r="AC215" s="26">
        <f>SUMIFS(Verlauf!$AB$6:$AB$1000,Verlauf!$B$6:$B$1000,$A215,Verlauf!$C$6:$C$1000,$B215)</f>
        <v>0</v>
      </c>
      <c r="AD215" s="26">
        <f>SUMIFS(Verlauf!$AC$6:$AC$1000,Verlauf!$B$6:$B$1000,$A215,Verlauf!$C$6:$C$1000,$B215)</f>
        <v>0</v>
      </c>
      <c r="AE215" s="26">
        <f>SUMIFS(Verlauf!$S$6:$S$1000,Verlauf!$B$6:$B$1000,$A215,Verlauf!$C$6:$C$1000,$B215)</f>
        <v>0</v>
      </c>
      <c r="AF215" s="26" t="str">
        <f>IF($AN215="","",INDEX(Verlauf!$D$6:$D$1000,MATCH($AN215,Verlauf!$A$6:$A$1000,0)))</f>
        <v/>
      </c>
      <c r="AG215" s="26" t="str">
        <f>IF($AN215="","",INDEX(Verlauf!$E$6:$E$1000,MATCH($AN215,Verlauf!$A$6:$A$1000,0)))</f>
        <v/>
      </c>
      <c r="AH215" s="26" t="str">
        <f>IF($AN215="","",INDEX(Verlauf!$F$6:$F$1000,MATCH($AN215,Verlauf!$A$6:$A$1000,0)))</f>
        <v/>
      </c>
      <c r="AI215" s="26" t="str">
        <f>IF($AN215="","",INDEX(Verlauf!$H$6:$H$1000,MATCH($AN215,Verlauf!$A$6:$A$1000,0)))</f>
        <v/>
      </c>
      <c r="AJ215" s="26" t="str">
        <f>IF($AN215="","",INDEX(Verlauf!$N$6:$N$1000,MATCH($AN215,Verlauf!$A$6:$A$1000,0)))</f>
        <v/>
      </c>
      <c r="AK215" s="26" t="str">
        <f>IF($AN215="","",INDEX(Verlauf!$O$6:$O$1000,MATCH($AN215,Verlauf!$A$6:$A$1000,0)))</f>
        <v/>
      </c>
      <c r="AL215" s="26" t="str">
        <f>IF($AN215="","",INDEX(Verlauf!$P$6:$P$1000,MATCH($AN215,Verlauf!$A$6:$A$1000,0)))</f>
        <v/>
      </c>
      <c r="AM215" s="26" t="str">
        <f>IF($AN215="","",INDEX(Verlauf!$R$6:$R$1000,MATCH($AN215,Verlauf!$A$6:$A$1000,0)))</f>
        <v/>
      </c>
      <c r="AN215" s="28" t="str">
        <f>IF(U215&gt;0,_xlfn.MAXIFS(Verlauf!$A$6:$A$1000,Verlauf!$B$6:$B$1000,$A215,Verlauf!$C$6:$C$1000,$B215),"")</f>
        <v/>
      </c>
    </row>
    <row r="216" spans="1:40" x14ac:dyDescent="0.25">
      <c r="A216" s="26">
        <v>2030</v>
      </c>
      <c r="B216" s="26">
        <v>31</v>
      </c>
      <c r="C216" s="7" t="str">
        <f t="shared" si="30"/>
        <v>KW 31/30</v>
      </c>
      <c r="D216" s="26">
        <f>SUMIFS(Verlauf!$K$6:$K$1000,Verlauf!$B$6:$B$1000,$A216,Verlauf!$C$6:$C$1000,$B216)</f>
        <v>0</v>
      </c>
      <c r="E216" s="26">
        <f>SUMIFS(Verlauf!$L$6:$L$1000,Verlauf!$B$6:$B$1000,$A216,Verlauf!$C$6:$C$1000,$B216)</f>
        <v>0</v>
      </c>
      <c r="F216" s="26">
        <f>SUMIFS(Verlauf!$M$6:$M$1000,Verlauf!$B$6:$B$1000,$A216,Verlauf!$C$6:$C$1000,$B216)</f>
        <v>0</v>
      </c>
      <c r="G216" s="26">
        <f>SUMIFS(Verlauf!$J$6:$J$1000,Verlauf!$B$6:$B$1000,$A216,Verlauf!$C$6:$C$1000,$B216)</f>
        <v>0</v>
      </c>
      <c r="H216" s="26">
        <f>SUMIFS(Verlauf!$U$6:$U$1000,Verlauf!$B$6:$B$1000,$A216,Verlauf!$C$6:$C$1000,$B216)</f>
        <v>0</v>
      </c>
      <c r="I216" s="26">
        <f>SUMIFS(Verlauf!$V$6:$V$1000,Verlauf!$B$6:$B$1000,$A216,Verlauf!$C$6:$C$1000,$B216)</f>
        <v>0</v>
      </c>
      <c r="J216" s="26">
        <f>SUMIFS(Verlauf!$W$6:$W$1000,Verlauf!$B$6:$B$1000,$A216,Verlauf!$C$6:$C$1000,$B216)</f>
        <v>0</v>
      </c>
      <c r="K216" s="26">
        <f>SUMIFS(Verlauf!$T$6:$T$1000,Verlauf!$B$6:$B$1000,$A216,Verlauf!$C$6:$C$1000,$B216)</f>
        <v>0</v>
      </c>
      <c r="L216" s="27">
        <f>IF(Filter!$T$7=TRUE,IFERROR(INDEX(Planung!$D$68:$IA$68,MATCH($W216,Wirksam!$D$6:$IA$6,0)),0),0)</f>
        <v>0</v>
      </c>
      <c r="M216" s="27">
        <f>IF(OR(Filter!$T$5=TRUE,Filter!$T$6=TRUE),IFERROR(INDEX(Planung!$D$69:$IA$69,MATCH($W216,Wirksam!$D$6:$IA$6,0)),0),0)</f>
        <v>0</v>
      </c>
      <c r="N216" s="27">
        <f t="shared" si="31"/>
        <v>0</v>
      </c>
      <c r="O216" s="27" t="e">
        <f t="shared" si="32"/>
        <v>#N/A</v>
      </c>
      <c r="P216" s="27" t="e">
        <f t="shared" si="33"/>
        <v>#N/A</v>
      </c>
      <c r="Q216" s="27" t="e">
        <f t="shared" si="34"/>
        <v>#N/A</v>
      </c>
      <c r="R216" s="27" t="e">
        <f t="shared" si="35"/>
        <v>#N/A</v>
      </c>
      <c r="S216" s="27" t="e">
        <f t="shared" si="36"/>
        <v>#N/A</v>
      </c>
      <c r="T216" s="27" t="e">
        <f t="shared" si="37"/>
        <v>#N/A</v>
      </c>
      <c r="U216" s="26">
        <f>COUNTIFS(Verlauf!$B$6:$B$1000,$A216,Verlauf!$C$6:$C$1000,$B216)</f>
        <v>0</v>
      </c>
      <c r="V216" s="26">
        <f t="shared" si="38"/>
        <v>0</v>
      </c>
      <c r="W216" s="26">
        <f t="shared" si="39"/>
        <v>203031</v>
      </c>
      <c r="X216" s="26">
        <f>SUMIFS(Verlauf!$X$6:$X$1000,Verlauf!$B$6:$B$1000,$A216,Verlauf!$C$6:$C$1000,$B216)</f>
        <v>0</v>
      </c>
      <c r="Y216" s="26">
        <f>SUMIFS(Verlauf!$Y$6:$Y$1000,Verlauf!$B$6:$B$1000,$A216,Verlauf!$C$6:$C$1000,$B216)</f>
        <v>0</v>
      </c>
      <c r="Z216" s="26">
        <f>SUMIFS(Verlauf!$Z$6:$Z$1000,Verlauf!$B$6:$B$1000,$A216,Verlauf!$C$6:$C$1000,$B216)</f>
        <v>0</v>
      </c>
      <c r="AA216" s="26">
        <f>SUMIFS(Verlauf!$I$6:$I$1000,Verlauf!$B$6:$B$1000,$A216,Verlauf!$C$6:$C$1000,$B216)</f>
        <v>0</v>
      </c>
      <c r="AB216" s="26">
        <f>SUMIFS(Verlauf!$AA$6:$AA$1000,Verlauf!$B$6:$B$1000,$A216,Verlauf!$C$6:$C$1000,$B216)</f>
        <v>0</v>
      </c>
      <c r="AC216" s="26">
        <f>SUMIFS(Verlauf!$AB$6:$AB$1000,Verlauf!$B$6:$B$1000,$A216,Verlauf!$C$6:$C$1000,$B216)</f>
        <v>0</v>
      </c>
      <c r="AD216" s="26">
        <f>SUMIFS(Verlauf!$AC$6:$AC$1000,Verlauf!$B$6:$B$1000,$A216,Verlauf!$C$6:$C$1000,$B216)</f>
        <v>0</v>
      </c>
      <c r="AE216" s="26">
        <f>SUMIFS(Verlauf!$S$6:$S$1000,Verlauf!$B$6:$B$1000,$A216,Verlauf!$C$6:$C$1000,$B216)</f>
        <v>0</v>
      </c>
      <c r="AF216" s="26" t="str">
        <f>IF($AN216="","",INDEX(Verlauf!$D$6:$D$1000,MATCH($AN216,Verlauf!$A$6:$A$1000,0)))</f>
        <v/>
      </c>
      <c r="AG216" s="26" t="str">
        <f>IF($AN216="","",INDEX(Verlauf!$E$6:$E$1000,MATCH($AN216,Verlauf!$A$6:$A$1000,0)))</f>
        <v/>
      </c>
      <c r="AH216" s="26" t="str">
        <f>IF($AN216="","",INDEX(Verlauf!$F$6:$F$1000,MATCH($AN216,Verlauf!$A$6:$A$1000,0)))</f>
        <v/>
      </c>
      <c r="AI216" s="26" t="str">
        <f>IF($AN216="","",INDEX(Verlauf!$H$6:$H$1000,MATCH($AN216,Verlauf!$A$6:$A$1000,0)))</f>
        <v/>
      </c>
      <c r="AJ216" s="26" t="str">
        <f>IF($AN216="","",INDEX(Verlauf!$N$6:$N$1000,MATCH($AN216,Verlauf!$A$6:$A$1000,0)))</f>
        <v/>
      </c>
      <c r="AK216" s="26" t="str">
        <f>IF($AN216="","",INDEX(Verlauf!$O$6:$O$1000,MATCH($AN216,Verlauf!$A$6:$A$1000,0)))</f>
        <v/>
      </c>
      <c r="AL216" s="26" t="str">
        <f>IF($AN216="","",INDEX(Verlauf!$P$6:$P$1000,MATCH($AN216,Verlauf!$A$6:$A$1000,0)))</f>
        <v/>
      </c>
      <c r="AM216" s="26" t="str">
        <f>IF($AN216="","",INDEX(Verlauf!$R$6:$R$1000,MATCH($AN216,Verlauf!$A$6:$A$1000,0)))</f>
        <v/>
      </c>
      <c r="AN216" s="28" t="str">
        <f>IF(U216&gt;0,_xlfn.MAXIFS(Verlauf!$A$6:$A$1000,Verlauf!$B$6:$B$1000,$A216,Verlauf!$C$6:$C$1000,$B216),"")</f>
        <v/>
      </c>
    </row>
    <row r="217" spans="1:40" x14ac:dyDescent="0.25">
      <c r="A217" s="26">
        <v>2030</v>
      </c>
      <c r="B217" s="26">
        <v>32</v>
      </c>
      <c r="C217" s="7" t="str">
        <f t="shared" si="30"/>
        <v>KW 32/30</v>
      </c>
      <c r="D217" s="26">
        <f>SUMIFS(Verlauf!$K$6:$K$1000,Verlauf!$B$6:$B$1000,$A217,Verlauf!$C$6:$C$1000,$B217)</f>
        <v>0</v>
      </c>
      <c r="E217" s="26">
        <f>SUMIFS(Verlauf!$L$6:$L$1000,Verlauf!$B$6:$B$1000,$A217,Verlauf!$C$6:$C$1000,$B217)</f>
        <v>0</v>
      </c>
      <c r="F217" s="26">
        <f>SUMIFS(Verlauf!$M$6:$M$1000,Verlauf!$B$6:$B$1000,$A217,Verlauf!$C$6:$C$1000,$B217)</f>
        <v>0</v>
      </c>
      <c r="G217" s="26">
        <f>SUMIFS(Verlauf!$J$6:$J$1000,Verlauf!$B$6:$B$1000,$A217,Verlauf!$C$6:$C$1000,$B217)</f>
        <v>0</v>
      </c>
      <c r="H217" s="26">
        <f>SUMIFS(Verlauf!$U$6:$U$1000,Verlauf!$B$6:$B$1000,$A217,Verlauf!$C$6:$C$1000,$B217)</f>
        <v>0</v>
      </c>
      <c r="I217" s="26">
        <f>SUMIFS(Verlauf!$V$6:$V$1000,Verlauf!$B$6:$B$1000,$A217,Verlauf!$C$6:$C$1000,$B217)</f>
        <v>0</v>
      </c>
      <c r="J217" s="26">
        <f>SUMIFS(Verlauf!$W$6:$W$1000,Verlauf!$B$6:$B$1000,$A217,Verlauf!$C$6:$C$1000,$B217)</f>
        <v>0</v>
      </c>
      <c r="K217" s="26">
        <f>SUMIFS(Verlauf!$T$6:$T$1000,Verlauf!$B$6:$B$1000,$A217,Verlauf!$C$6:$C$1000,$B217)</f>
        <v>0</v>
      </c>
      <c r="L217" s="27">
        <f>IF(Filter!$T$7=TRUE,IFERROR(INDEX(Planung!$D$68:$IA$68,MATCH($W217,Wirksam!$D$6:$IA$6,0)),0),0)</f>
        <v>0</v>
      </c>
      <c r="M217" s="27">
        <f>IF(OR(Filter!$T$5=TRUE,Filter!$T$6=TRUE),IFERROR(INDEX(Planung!$D$69:$IA$69,MATCH($W217,Wirksam!$D$6:$IA$6,0)),0),0)</f>
        <v>0</v>
      </c>
      <c r="N217" s="27">
        <f t="shared" si="31"/>
        <v>0</v>
      </c>
      <c r="O217" s="27" t="e">
        <f t="shared" si="32"/>
        <v>#N/A</v>
      </c>
      <c r="P217" s="27" t="e">
        <f t="shared" si="33"/>
        <v>#N/A</v>
      </c>
      <c r="Q217" s="27" t="e">
        <f t="shared" si="34"/>
        <v>#N/A</v>
      </c>
      <c r="R217" s="27" t="e">
        <f t="shared" si="35"/>
        <v>#N/A</v>
      </c>
      <c r="S217" s="27" t="e">
        <f t="shared" si="36"/>
        <v>#N/A</v>
      </c>
      <c r="T217" s="27" t="e">
        <f t="shared" si="37"/>
        <v>#N/A</v>
      </c>
      <c r="U217" s="26">
        <f>COUNTIFS(Verlauf!$B$6:$B$1000,$A217,Verlauf!$C$6:$C$1000,$B217)</f>
        <v>0</v>
      </c>
      <c r="V217" s="26">
        <f t="shared" si="38"/>
        <v>0</v>
      </c>
      <c r="W217" s="26">
        <f t="shared" si="39"/>
        <v>203032</v>
      </c>
      <c r="X217" s="26">
        <f>SUMIFS(Verlauf!$X$6:$X$1000,Verlauf!$B$6:$B$1000,$A217,Verlauf!$C$6:$C$1000,$B217)</f>
        <v>0</v>
      </c>
      <c r="Y217" s="26">
        <f>SUMIFS(Verlauf!$Y$6:$Y$1000,Verlauf!$B$6:$B$1000,$A217,Verlauf!$C$6:$C$1000,$B217)</f>
        <v>0</v>
      </c>
      <c r="Z217" s="26">
        <f>SUMIFS(Verlauf!$Z$6:$Z$1000,Verlauf!$B$6:$B$1000,$A217,Verlauf!$C$6:$C$1000,$B217)</f>
        <v>0</v>
      </c>
      <c r="AA217" s="26">
        <f>SUMIFS(Verlauf!$I$6:$I$1000,Verlauf!$B$6:$B$1000,$A217,Verlauf!$C$6:$C$1000,$B217)</f>
        <v>0</v>
      </c>
      <c r="AB217" s="26">
        <f>SUMIFS(Verlauf!$AA$6:$AA$1000,Verlauf!$B$6:$B$1000,$A217,Verlauf!$C$6:$C$1000,$B217)</f>
        <v>0</v>
      </c>
      <c r="AC217" s="26">
        <f>SUMIFS(Verlauf!$AB$6:$AB$1000,Verlauf!$B$6:$B$1000,$A217,Verlauf!$C$6:$C$1000,$B217)</f>
        <v>0</v>
      </c>
      <c r="AD217" s="26">
        <f>SUMIFS(Verlauf!$AC$6:$AC$1000,Verlauf!$B$6:$B$1000,$A217,Verlauf!$C$6:$C$1000,$B217)</f>
        <v>0</v>
      </c>
      <c r="AE217" s="26">
        <f>SUMIFS(Verlauf!$S$6:$S$1000,Verlauf!$B$6:$B$1000,$A217,Verlauf!$C$6:$C$1000,$B217)</f>
        <v>0</v>
      </c>
      <c r="AF217" s="26" t="str">
        <f>IF($AN217="","",INDEX(Verlauf!$D$6:$D$1000,MATCH($AN217,Verlauf!$A$6:$A$1000,0)))</f>
        <v/>
      </c>
      <c r="AG217" s="26" t="str">
        <f>IF($AN217="","",INDEX(Verlauf!$E$6:$E$1000,MATCH($AN217,Verlauf!$A$6:$A$1000,0)))</f>
        <v/>
      </c>
      <c r="AH217" s="26" t="str">
        <f>IF($AN217="","",INDEX(Verlauf!$F$6:$F$1000,MATCH($AN217,Verlauf!$A$6:$A$1000,0)))</f>
        <v/>
      </c>
      <c r="AI217" s="26" t="str">
        <f>IF($AN217="","",INDEX(Verlauf!$H$6:$H$1000,MATCH($AN217,Verlauf!$A$6:$A$1000,0)))</f>
        <v/>
      </c>
      <c r="AJ217" s="26" t="str">
        <f>IF($AN217="","",INDEX(Verlauf!$N$6:$N$1000,MATCH($AN217,Verlauf!$A$6:$A$1000,0)))</f>
        <v/>
      </c>
      <c r="AK217" s="26" t="str">
        <f>IF($AN217="","",INDEX(Verlauf!$O$6:$O$1000,MATCH($AN217,Verlauf!$A$6:$A$1000,0)))</f>
        <v/>
      </c>
      <c r="AL217" s="26" t="str">
        <f>IF($AN217="","",INDEX(Verlauf!$P$6:$P$1000,MATCH($AN217,Verlauf!$A$6:$A$1000,0)))</f>
        <v/>
      </c>
      <c r="AM217" s="26" t="str">
        <f>IF($AN217="","",INDEX(Verlauf!$R$6:$R$1000,MATCH($AN217,Verlauf!$A$6:$A$1000,0)))</f>
        <v/>
      </c>
      <c r="AN217" s="28" t="str">
        <f>IF(U217&gt;0,_xlfn.MAXIFS(Verlauf!$A$6:$A$1000,Verlauf!$B$6:$B$1000,$A217,Verlauf!$C$6:$C$1000,$B217),"")</f>
        <v/>
      </c>
    </row>
    <row r="218" spans="1:40" x14ac:dyDescent="0.25">
      <c r="A218" s="26">
        <v>2030</v>
      </c>
      <c r="B218" s="26">
        <v>33</v>
      </c>
      <c r="C218" s="7" t="str">
        <f t="shared" si="30"/>
        <v>KW 33/30</v>
      </c>
      <c r="D218" s="26">
        <f>SUMIFS(Verlauf!$K$6:$K$1000,Verlauf!$B$6:$B$1000,$A218,Verlauf!$C$6:$C$1000,$B218)</f>
        <v>0</v>
      </c>
      <c r="E218" s="26">
        <f>SUMIFS(Verlauf!$L$6:$L$1000,Verlauf!$B$6:$B$1000,$A218,Verlauf!$C$6:$C$1000,$B218)</f>
        <v>0</v>
      </c>
      <c r="F218" s="26">
        <f>SUMIFS(Verlauf!$M$6:$M$1000,Verlauf!$B$6:$B$1000,$A218,Verlauf!$C$6:$C$1000,$B218)</f>
        <v>0</v>
      </c>
      <c r="G218" s="26">
        <f>SUMIFS(Verlauf!$J$6:$J$1000,Verlauf!$B$6:$B$1000,$A218,Verlauf!$C$6:$C$1000,$B218)</f>
        <v>0</v>
      </c>
      <c r="H218" s="26">
        <f>SUMIFS(Verlauf!$U$6:$U$1000,Verlauf!$B$6:$B$1000,$A218,Verlauf!$C$6:$C$1000,$B218)</f>
        <v>0</v>
      </c>
      <c r="I218" s="26">
        <f>SUMIFS(Verlauf!$V$6:$V$1000,Verlauf!$B$6:$B$1000,$A218,Verlauf!$C$6:$C$1000,$B218)</f>
        <v>0</v>
      </c>
      <c r="J218" s="26">
        <f>SUMIFS(Verlauf!$W$6:$W$1000,Verlauf!$B$6:$B$1000,$A218,Verlauf!$C$6:$C$1000,$B218)</f>
        <v>0</v>
      </c>
      <c r="K218" s="26">
        <f>SUMIFS(Verlauf!$T$6:$T$1000,Verlauf!$B$6:$B$1000,$A218,Verlauf!$C$6:$C$1000,$B218)</f>
        <v>0</v>
      </c>
      <c r="L218" s="27">
        <f>IF(Filter!$T$7=TRUE,IFERROR(INDEX(Planung!$D$68:$IA$68,MATCH($W218,Wirksam!$D$6:$IA$6,0)),0),0)</f>
        <v>0</v>
      </c>
      <c r="M218" s="27">
        <f>IF(OR(Filter!$T$5=TRUE,Filter!$T$6=TRUE),IFERROR(INDEX(Planung!$D$69:$IA$69,MATCH($W218,Wirksam!$D$6:$IA$6,0)),0),0)</f>
        <v>0</v>
      </c>
      <c r="N218" s="27">
        <f t="shared" si="31"/>
        <v>0</v>
      </c>
      <c r="O218" s="27" t="e">
        <f t="shared" si="32"/>
        <v>#N/A</v>
      </c>
      <c r="P218" s="27" t="e">
        <f t="shared" si="33"/>
        <v>#N/A</v>
      </c>
      <c r="Q218" s="27" t="e">
        <f t="shared" si="34"/>
        <v>#N/A</v>
      </c>
      <c r="R218" s="27" t="e">
        <f t="shared" si="35"/>
        <v>#N/A</v>
      </c>
      <c r="S218" s="27" t="e">
        <f t="shared" si="36"/>
        <v>#N/A</v>
      </c>
      <c r="T218" s="27" t="e">
        <f t="shared" si="37"/>
        <v>#N/A</v>
      </c>
      <c r="U218" s="26">
        <f>COUNTIFS(Verlauf!$B$6:$B$1000,$A218,Verlauf!$C$6:$C$1000,$B218)</f>
        <v>0</v>
      </c>
      <c r="V218" s="26">
        <f t="shared" si="38"/>
        <v>0</v>
      </c>
      <c r="W218" s="26">
        <f t="shared" si="39"/>
        <v>203033</v>
      </c>
      <c r="X218" s="26">
        <f>SUMIFS(Verlauf!$X$6:$X$1000,Verlauf!$B$6:$B$1000,$A218,Verlauf!$C$6:$C$1000,$B218)</f>
        <v>0</v>
      </c>
      <c r="Y218" s="26">
        <f>SUMIFS(Verlauf!$Y$6:$Y$1000,Verlauf!$B$6:$B$1000,$A218,Verlauf!$C$6:$C$1000,$B218)</f>
        <v>0</v>
      </c>
      <c r="Z218" s="26">
        <f>SUMIFS(Verlauf!$Z$6:$Z$1000,Verlauf!$B$6:$B$1000,$A218,Verlauf!$C$6:$C$1000,$B218)</f>
        <v>0</v>
      </c>
      <c r="AA218" s="26">
        <f>SUMIFS(Verlauf!$I$6:$I$1000,Verlauf!$B$6:$B$1000,$A218,Verlauf!$C$6:$C$1000,$B218)</f>
        <v>0</v>
      </c>
      <c r="AB218" s="26">
        <f>SUMIFS(Verlauf!$AA$6:$AA$1000,Verlauf!$B$6:$B$1000,$A218,Verlauf!$C$6:$C$1000,$B218)</f>
        <v>0</v>
      </c>
      <c r="AC218" s="26">
        <f>SUMIFS(Verlauf!$AB$6:$AB$1000,Verlauf!$B$6:$B$1000,$A218,Verlauf!$C$6:$C$1000,$B218)</f>
        <v>0</v>
      </c>
      <c r="AD218" s="26">
        <f>SUMIFS(Verlauf!$AC$6:$AC$1000,Verlauf!$B$6:$B$1000,$A218,Verlauf!$C$6:$C$1000,$B218)</f>
        <v>0</v>
      </c>
      <c r="AE218" s="26">
        <f>SUMIFS(Verlauf!$S$6:$S$1000,Verlauf!$B$6:$B$1000,$A218,Verlauf!$C$6:$C$1000,$B218)</f>
        <v>0</v>
      </c>
      <c r="AF218" s="26" t="str">
        <f>IF($AN218="","",INDEX(Verlauf!$D$6:$D$1000,MATCH($AN218,Verlauf!$A$6:$A$1000,0)))</f>
        <v/>
      </c>
      <c r="AG218" s="26" t="str">
        <f>IF($AN218="","",INDEX(Verlauf!$E$6:$E$1000,MATCH($AN218,Verlauf!$A$6:$A$1000,0)))</f>
        <v/>
      </c>
      <c r="AH218" s="26" t="str">
        <f>IF($AN218="","",INDEX(Verlauf!$F$6:$F$1000,MATCH($AN218,Verlauf!$A$6:$A$1000,0)))</f>
        <v/>
      </c>
      <c r="AI218" s="26" t="str">
        <f>IF($AN218="","",INDEX(Verlauf!$H$6:$H$1000,MATCH($AN218,Verlauf!$A$6:$A$1000,0)))</f>
        <v/>
      </c>
      <c r="AJ218" s="26" t="str">
        <f>IF($AN218="","",INDEX(Verlauf!$N$6:$N$1000,MATCH($AN218,Verlauf!$A$6:$A$1000,0)))</f>
        <v/>
      </c>
      <c r="AK218" s="26" t="str">
        <f>IF($AN218="","",INDEX(Verlauf!$O$6:$O$1000,MATCH($AN218,Verlauf!$A$6:$A$1000,0)))</f>
        <v/>
      </c>
      <c r="AL218" s="26" t="str">
        <f>IF($AN218="","",INDEX(Verlauf!$P$6:$P$1000,MATCH($AN218,Verlauf!$A$6:$A$1000,0)))</f>
        <v/>
      </c>
      <c r="AM218" s="26" t="str">
        <f>IF($AN218="","",INDEX(Verlauf!$R$6:$R$1000,MATCH($AN218,Verlauf!$A$6:$A$1000,0)))</f>
        <v/>
      </c>
      <c r="AN218" s="28" t="str">
        <f>IF(U218&gt;0,_xlfn.MAXIFS(Verlauf!$A$6:$A$1000,Verlauf!$B$6:$B$1000,$A218,Verlauf!$C$6:$C$1000,$B218),"")</f>
        <v/>
      </c>
    </row>
    <row r="219" spans="1:40" x14ac:dyDescent="0.25">
      <c r="A219" s="26">
        <v>2030</v>
      </c>
      <c r="B219" s="26">
        <v>34</v>
      </c>
      <c r="C219" s="7" t="str">
        <f t="shared" si="30"/>
        <v>KW 34/30</v>
      </c>
      <c r="D219" s="26">
        <f>SUMIFS(Verlauf!$K$6:$K$1000,Verlauf!$B$6:$B$1000,$A219,Verlauf!$C$6:$C$1000,$B219)</f>
        <v>0</v>
      </c>
      <c r="E219" s="26">
        <f>SUMIFS(Verlauf!$L$6:$L$1000,Verlauf!$B$6:$B$1000,$A219,Verlauf!$C$6:$C$1000,$B219)</f>
        <v>0</v>
      </c>
      <c r="F219" s="26">
        <f>SUMIFS(Verlauf!$M$6:$M$1000,Verlauf!$B$6:$B$1000,$A219,Verlauf!$C$6:$C$1000,$B219)</f>
        <v>0</v>
      </c>
      <c r="G219" s="26">
        <f>SUMIFS(Verlauf!$J$6:$J$1000,Verlauf!$B$6:$B$1000,$A219,Verlauf!$C$6:$C$1000,$B219)</f>
        <v>0</v>
      </c>
      <c r="H219" s="26">
        <f>SUMIFS(Verlauf!$U$6:$U$1000,Verlauf!$B$6:$B$1000,$A219,Verlauf!$C$6:$C$1000,$B219)</f>
        <v>0</v>
      </c>
      <c r="I219" s="26">
        <f>SUMIFS(Verlauf!$V$6:$V$1000,Verlauf!$B$6:$B$1000,$A219,Verlauf!$C$6:$C$1000,$B219)</f>
        <v>0</v>
      </c>
      <c r="J219" s="26">
        <f>SUMIFS(Verlauf!$W$6:$W$1000,Verlauf!$B$6:$B$1000,$A219,Verlauf!$C$6:$C$1000,$B219)</f>
        <v>0</v>
      </c>
      <c r="K219" s="26">
        <f>SUMIFS(Verlauf!$T$6:$T$1000,Verlauf!$B$6:$B$1000,$A219,Verlauf!$C$6:$C$1000,$B219)</f>
        <v>0</v>
      </c>
      <c r="L219" s="27">
        <f>IF(Filter!$T$7=TRUE,IFERROR(INDEX(Planung!$D$68:$IA$68,MATCH($W219,Wirksam!$D$6:$IA$6,0)),0),0)</f>
        <v>0</v>
      </c>
      <c r="M219" s="27">
        <f>IF(OR(Filter!$T$5=TRUE,Filter!$T$6=TRUE),IFERROR(INDEX(Planung!$D$69:$IA$69,MATCH($W219,Wirksam!$D$6:$IA$6,0)),0),0)</f>
        <v>0</v>
      </c>
      <c r="N219" s="27">
        <f t="shared" si="31"/>
        <v>0</v>
      </c>
      <c r="O219" s="27" t="e">
        <f t="shared" si="32"/>
        <v>#N/A</v>
      </c>
      <c r="P219" s="27" t="e">
        <f t="shared" si="33"/>
        <v>#N/A</v>
      </c>
      <c r="Q219" s="27" t="e">
        <f t="shared" si="34"/>
        <v>#N/A</v>
      </c>
      <c r="R219" s="27" t="e">
        <f t="shared" si="35"/>
        <v>#N/A</v>
      </c>
      <c r="S219" s="27" t="e">
        <f t="shared" si="36"/>
        <v>#N/A</v>
      </c>
      <c r="T219" s="27" t="e">
        <f t="shared" si="37"/>
        <v>#N/A</v>
      </c>
      <c r="U219" s="26">
        <f>COUNTIFS(Verlauf!$B$6:$B$1000,$A219,Verlauf!$C$6:$C$1000,$B219)</f>
        <v>0</v>
      </c>
      <c r="V219" s="26">
        <f t="shared" si="38"/>
        <v>0</v>
      </c>
      <c r="W219" s="26">
        <f t="shared" si="39"/>
        <v>203034</v>
      </c>
      <c r="X219" s="26">
        <f>SUMIFS(Verlauf!$X$6:$X$1000,Verlauf!$B$6:$B$1000,$A219,Verlauf!$C$6:$C$1000,$B219)</f>
        <v>0</v>
      </c>
      <c r="Y219" s="26">
        <f>SUMIFS(Verlauf!$Y$6:$Y$1000,Verlauf!$B$6:$B$1000,$A219,Verlauf!$C$6:$C$1000,$B219)</f>
        <v>0</v>
      </c>
      <c r="Z219" s="26">
        <f>SUMIFS(Verlauf!$Z$6:$Z$1000,Verlauf!$B$6:$B$1000,$A219,Verlauf!$C$6:$C$1000,$B219)</f>
        <v>0</v>
      </c>
      <c r="AA219" s="26">
        <f>SUMIFS(Verlauf!$I$6:$I$1000,Verlauf!$B$6:$B$1000,$A219,Verlauf!$C$6:$C$1000,$B219)</f>
        <v>0</v>
      </c>
      <c r="AB219" s="26">
        <f>SUMIFS(Verlauf!$AA$6:$AA$1000,Verlauf!$B$6:$B$1000,$A219,Verlauf!$C$6:$C$1000,$B219)</f>
        <v>0</v>
      </c>
      <c r="AC219" s="26">
        <f>SUMIFS(Verlauf!$AB$6:$AB$1000,Verlauf!$B$6:$B$1000,$A219,Verlauf!$C$6:$C$1000,$B219)</f>
        <v>0</v>
      </c>
      <c r="AD219" s="26">
        <f>SUMIFS(Verlauf!$AC$6:$AC$1000,Verlauf!$B$6:$B$1000,$A219,Verlauf!$C$6:$C$1000,$B219)</f>
        <v>0</v>
      </c>
      <c r="AE219" s="26">
        <f>SUMIFS(Verlauf!$S$6:$S$1000,Verlauf!$B$6:$B$1000,$A219,Verlauf!$C$6:$C$1000,$B219)</f>
        <v>0</v>
      </c>
      <c r="AF219" s="26" t="str">
        <f>IF($AN219="","",INDEX(Verlauf!$D$6:$D$1000,MATCH($AN219,Verlauf!$A$6:$A$1000,0)))</f>
        <v/>
      </c>
      <c r="AG219" s="26" t="str">
        <f>IF($AN219="","",INDEX(Verlauf!$E$6:$E$1000,MATCH($AN219,Verlauf!$A$6:$A$1000,0)))</f>
        <v/>
      </c>
      <c r="AH219" s="26" t="str">
        <f>IF($AN219="","",INDEX(Verlauf!$F$6:$F$1000,MATCH($AN219,Verlauf!$A$6:$A$1000,0)))</f>
        <v/>
      </c>
      <c r="AI219" s="26" t="str">
        <f>IF($AN219="","",INDEX(Verlauf!$H$6:$H$1000,MATCH($AN219,Verlauf!$A$6:$A$1000,0)))</f>
        <v/>
      </c>
      <c r="AJ219" s="26" t="str">
        <f>IF($AN219="","",INDEX(Verlauf!$N$6:$N$1000,MATCH($AN219,Verlauf!$A$6:$A$1000,0)))</f>
        <v/>
      </c>
      <c r="AK219" s="26" t="str">
        <f>IF($AN219="","",INDEX(Verlauf!$O$6:$O$1000,MATCH($AN219,Verlauf!$A$6:$A$1000,0)))</f>
        <v/>
      </c>
      <c r="AL219" s="26" t="str">
        <f>IF($AN219="","",INDEX(Verlauf!$P$6:$P$1000,MATCH($AN219,Verlauf!$A$6:$A$1000,0)))</f>
        <v/>
      </c>
      <c r="AM219" s="26" t="str">
        <f>IF($AN219="","",INDEX(Verlauf!$R$6:$R$1000,MATCH($AN219,Verlauf!$A$6:$A$1000,0)))</f>
        <v/>
      </c>
      <c r="AN219" s="28" t="str">
        <f>IF(U219&gt;0,_xlfn.MAXIFS(Verlauf!$A$6:$A$1000,Verlauf!$B$6:$B$1000,$A219,Verlauf!$C$6:$C$1000,$B219),"")</f>
        <v/>
      </c>
    </row>
    <row r="220" spans="1:40" x14ac:dyDescent="0.25">
      <c r="A220" s="26">
        <v>2030</v>
      </c>
      <c r="B220" s="26">
        <v>35</v>
      </c>
      <c r="C220" s="7" t="str">
        <f t="shared" si="30"/>
        <v>KW 35/30</v>
      </c>
      <c r="D220" s="26">
        <f>SUMIFS(Verlauf!$K$6:$K$1000,Verlauf!$B$6:$B$1000,$A220,Verlauf!$C$6:$C$1000,$B220)</f>
        <v>0</v>
      </c>
      <c r="E220" s="26">
        <f>SUMIFS(Verlauf!$L$6:$L$1000,Verlauf!$B$6:$B$1000,$A220,Verlauf!$C$6:$C$1000,$B220)</f>
        <v>0</v>
      </c>
      <c r="F220" s="26">
        <f>SUMIFS(Verlauf!$M$6:$M$1000,Verlauf!$B$6:$B$1000,$A220,Verlauf!$C$6:$C$1000,$B220)</f>
        <v>0</v>
      </c>
      <c r="G220" s="26">
        <f>SUMIFS(Verlauf!$J$6:$J$1000,Verlauf!$B$6:$B$1000,$A220,Verlauf!$C$6:$C$1000,$B220)</f>
        <v>0</v>
      </c>
      <c r="H220" s="26">
        <f>SUMIFS(Verlauf!$U$6:$U$1000,Verlauf!$B$6:$B$1000,$A220,Verlauf!$C$6:$C$1000,$B220)</f>
        <v>0</v>
      </c>
      <c r="I220" s="26">
        <f>SUMIFS(Verlauf!$V$6:$V$1000,Verlauf!$B$6:$B$1000,$A220,Verlauf!$C$6:$C$1000,$B220)</f>
        <v>0</v>
      </c>
      <c r="J220" s="26">
        <f>SUMIFS(Verlauf!$W$6:$W$1000,Verlauf!$B$6:$B$1000,$A220,Verlauf!$C$6:$C$1000,$B220)</f>
        <v>0</v>
      </c>
      <c r="K220" s="26">
        <f>SUMIFS(Verlauf!$T$6:$T$1000,Verlauf!$B$6:$B$1000,$A220,Verlauf!$C$6:$C$1000,$B220)</f>
        <v>0</v>
      </c>
      <c r="L220" s="27">
        <f>IF(Filter!$T$7=TRUE,IFERROR(INDEX(Planung!$D$68:$IA$68,MATCH($W220,Wirksam!$D$6:$IA$6,0)),0),0)</f>
        <v>0</v>
      </c>
      <c r="M220" s="27">
        <f>IF(OR(Filter!$T$5=TRUE,Filter!$T$6=TRUE),IFERROR(INDEX(Planung!$D$69:$IA$69,MATCH($W220,Wirksam!$D$6:$IA$6,0)),0),0)</f>
        <v>0</v>
      </c>
      <c r="N220" s="27">
        <f t="shared" si="31"/>
        <v>0</v>
      </c>
      <c r="O220" s="27" t="e">
        <f t="shared" si="32"/>
        <v>#N/A</v>
      </c>
      <c r="P220" s="27" t="e">
        <f t="shared" si="33"/>
        <v>#N/A</v>
      </c>
      <c r="Q220" s="27" t="e">
        <f t="shared" si="34"/>
        <v>#N/A</v>
      </c>
      <c r="R220" s="27" t="e">
        <f t="shared" si="35"/>
        <v>#N/A</v>
      </c>
      <c r="S220" s="27" t="e">
        <f t="shared" si="36"/>
        <v>#N/A</v>
      </c>
      <c r="T220" s="27" t="e">
        <f t="shared" si="37"/>
        <v>#N/A</v>
      </c>
      <c r="U220" s="26">
        <f>COUNTIFS(Verlauf!$B$6:$B$1000,$A220,Verlauf!$C$6:$C$1000,$B220)</f>
        <v>0</v>
      </c>
      <c r="V220" s="26">
        <f t="shared" si="38"/>
        <v>0</v>
      </c>
      <c r="W220" s="26">
        <f t="shared" si="39"/>
        <v>203035</v>
      </c>
      <c r="X220" s="26">
        <f>SUMIFS(Verlauf!$X$6:$X$1000,Verlauf!$B$6:$B$1000,$A220,Verlauf!$C$6:$C$1000,$B220)</f>
        <v>0</v>
      </c>
      <c r="Y220" s="26">
        <f>SUMIFS(Verlauf!$Y$6:$Y$1000,Verlauf!$B$6:$B$1000,$A220,Verlauf!$C$6:$C$1000,$B220)</f>
        <v>0</v>
      </c>
      <c r="Z220" s="26">
        <f>SUMIFS(Verlauf!$Z$6:$Z$1000,Verlauf!$B$6:$B$1000,$A220,Verlauf!$C$6:$C$1000,$B220)</f>
        <v>0</v>
      </c>
      <c r="AA220" s="26">
        <f>SUMIFS(Verlauf!$I$6:$I$1000,Verlauf!$B$6:$B$1000,$A220,Verlauf!$C$6:$C$1000,$B220)</f>
        <v>0</v>
      </c>
      <c r="AB220" s="26">
        <f>SUMIFS(Verlauf!$AA$6:$AA$1000,Verlauf!$B$6:$B$1000,$A220,Verlauf!$C$6:$C$1000,$B220)</f>
        <v>0</v>
      </c>
      <c r="AC220" s="26">
        <f>SUMIFS(Verlauf!$AB$6:$AB$1000,Verlauf!$B$6:$B$1000,$A220,Verlauf!$C$6:$C$1000,$B220)</f>
        <v>0</v>
      </c>
      <c r="AD220" s="26">
        <f>SUMIFS(Verlauf!$AC$6:$AC$1000,Verlauf!$B$6:$B$1000,$A220,Verlauf!$C$6:$C$1000,$B220)</f>
        <v>0</v>
      </c>
      <c r="AE220" s="26">
        <f>SUMIFS(Verlauf!$S$6:$S$1000,Verlauf!$B$6:$B$1000,$A220,Verlauf!$C$6:$C$1000,$B220)</f>
        <v>0</v>
      </c>
      <c r="AF220" s="26" t="str">
        <f>IF($AN220="","",INDEX(Verlauf!$D$6:$D$1000,MATCH($AN220,Verlauf!$A$6:$A$1000,0)))</f>
        <v/>
      </c>
      <c r="AG220" s="26" t="str">
        <f>IF($AN220="","",INDEX(Verlauf!$E$6:$E$1000,MATCH($AN220,Verlauf!$A$6:$A$1000,0)))</f>
        <v/>
      </c>
      <c r="AH220" s="26" t="str">
        <f>IF($AN220="","",INDEX(Verlauf!$F$6:$F$1000,MATCH($AN220,Verlauf!$A$6:$A$1000,0)))</f>
        <v/>
      </c>
      <c r="AI220" s="26" t="str">
        <f>IF($AN220="","",INDEX(Verlauf!$H$6:$H$1000,MATCH($AN220,Verlauf!$A$6:$A$1000,0)))</f>
        <v/>
      </c>
      <c r="AJ220" s="26" t="str">
        <f>IF($AN220="","",INDEX(Verlauf!$N$6:$N$1000,MATCH($AN220,Verlauf!$A$6:$A$1000,0)))</f>
        <v/>
      </c>
      <c r="AK220" s="26" t="str">
        <f>IF($AN220="","",INDEX(Verlauf!$O$6:$O$1000,MATCH($AN220,Verlauf!$A$6:$A$1000,0)))</f>
        <v/>
      </c>
      <c r="AL220" s="26" t="str">
        <f>IF($AN220="","",INDEX(Verlauf!$P$6:$P$1000,MATCH($AN220,Verlauf!$A$6:$A$1000,0)))</f>
        <v/>
      </c>
      <c r="AM220" s="26" t="str">
        <f>IF($AN220="","",INDEX(Verlauf!$R$6:$R$1000,MATCH($AN220,Verlauf!$A$6:$A$1000,0)))</f>
        <v/>
      </c>
      <c r="AN220" s="28" t="str">
        <f>IF(U220&gt;0,_xlfn.MAXIFS(Verlauf!$A$6:$A$1000,Verlauf!$B$6:$B$1000,$A220,Verlauf!$C$6:$C$1000,$B220),"")</f>
        <v/>
      </c>
    </row>
    <row r="221" spans="1:40" x14ac:dyDescent="0.25">
      <c r="A221" s="26">
        <v>2030</v>
      </c>
      <c r="B221" s="26">
        <v>36</v>
      </c>
      <c r="C221" s="7" t="str">
        <f t="shared" si="30"/>
        <v>KW 36/30</v>
      </c>
      <c r="D221" s="26">
        <f>SUMIFS(Verlauf!$K$6:$K$1000,Verlauf!$B$6:$B$1000,$A221,Verlauf!$C$6:$C$1000,$B221)</f>
        <v>0</v>
      </c>
      <c r="E221" s="26">
        <f>SUMIFS(Verlauf!$L$6:$L$1000,Verlauf!$B$6:$B$1000,$A221,Verlauf!$C$6:$C$1000,$B221)</f>
        <v>0</v>
      </c>
      <c r="F221" s="26">
        <f>SUMIFS(Verlauf!$M$6:$M$1000,Verlauf!$B$6:$B$1000,$A221,Verlauf!$C$6:$C$1000,$B221)</f>
        <v>0</v>
      </c>
      <c r="G221" s="26">
        <f>SUMIFS(Verlauf!$J$6:$J$1000,Verlauf!$B$6:$B$1000,$A221,Verlauf!$C$6:$C$1000,$B221)</f>
        <v>0</v>
      </c>
      <c r="H221" s="26">
        <f>SUMIFS(Verlauf!$U$6:$U$1000,Verlauf!$B$6:$B$1000,$A221,Verlauf!$C$6:$C$1000,$B221)</f>
        <v>0</v>
      </c>
      <c r="I221" s="26">
        <f>SUMIFS(Verlauf!$V$6:$V$1000,Verlauf!$B$6:$B$1000,$A221,Verlauf!$C$6:$C$1000,$B221)</f>
        <v>0</v>
      </c>
      <c r="J221" s="26">
        <f>SUMIFS(Verlauf!$W$6:$W$1000,Verlauf!$B$6:$B$1000,$A221,Verlauf!$C$6:$C$1000,$B221)</f>
        <v>0</v>
      </c>
      <c r="K221" s="26">
        <f>SUMIFS(Verlauf!$T$6:$T$1000,Verlauf!$B$6:$B$1000,$A221,Verlauf!$C$6:$C$1000,$B221)</f>
        <v>0</v>
      </c>
      <c r="L221" s="27">
        <f>IF(Filter!$T$7=TRUE,IFERROR(INDEX(Planung!$D$68:$IA$68,MATCH($W221,Wirksam!$D$6:$IA$6,0)),0),0)</f>
        <v>0</v>
      </c>
      <c r="M221" s="27">
        <f>IF(OR(Filter!$T$5=TRUE,Filter!$T$6=TRUE),IFERROR(INDEX(Planung!$D$69:$IA$69,MATCH($W221,Wirksam!$D$6:$IA$6,0)),0),0)</f>
        <v>0</v>
      </c>
      <c r="N221" s="27">
        <f t="shared" si="31"/>
        <v>0</v>
      </c>
      <c r="O221" s="27" t="e">
        <f t="shared" si="32"/>
        <v>#N/A</v>
      </c>
      <c r="P221" s="27" t="e">
        <f t="shared" si="33"/>
        <v>#N/A</v>
      </c>
      <c r="Q221" s="27" t="e">
        <f t="shared" si="34"/>
        <v>#N/A</v>
      </c>
      <c r="R221" s="27" t="e">
        <f t="shared" si="35"/>
        <v>#N/A</v>
      </c>
      <c r="S221" s="27" t="e">
        <f t="shared" si="36"/>
        <v>#N/A</v>
      </c>
      <c r="T221" s="27" t="e">
        <f t="shared" si="37"/>
        <v>#N/A</v>
      </c>
      <c r="U221" s="26">
        <f>COUNTIFS(Verlauf!$B$6:$B$1000,$A221,Verlauf!$C$6:$C$1000,$B221)</f>
        <v>0</v>
      </c>
      <c r="V221" s="26">
        <f t="shared" si="38"/>
        <v>0</v>
      </c>
      <c r="W221" s="26">
        <f t="shared" si="39"/>
        <v>203036</v>
      </c>
      <c r="X221" s="26">
        <f>SUMIFS(Verlauf!$X$6:$X$1000,Verlauf!$B$6:$B$1000,$A221,Verlauf!$C$6:$C$1000,$B221)</f>
        <v>0</v>
      </c>
      <c r="Y221" s="26">
        <f>SUMIFS(Verlauf!$Y$6:$Y$1000,Verlauf!$B$6:$B$1000,$A221,Verlauf!$C$6:$C$1000,$B221)</f>
        <v>0</v>
      </c>
      <c r="Z221" s="26">
        <f>SUMIFS(Verlauf!$Z$6:$Z$1000,Verlauf!$B$6:$B$1000,$A221,Verlauf!$C$6:$C$1000,$B221)</f>
        <v>0</v>
      </c>
      <c r="AA221" s="26">
        <f>SUMIFS(Verlauf!$I$6:$I$1000,Verlauf!$B$6:$B$1000,$A221,Verlauf!$C$6:$C$1000,$B221)</f>
        <v>0</v>
      </c>
      <c r="AB221" s="26">
        <f>SUMIFS(Verlauf!$AA$6:$AA$1000,Verlauf!$B$6:$B$1000,$A221,Verlauf!$C$6:$C$1000,$B221)</f>
        <v>0</v>
      </c>
      <c r="AC221" s="26">
        <f>SUMIFS(Verlauf!$AB$6:$AB$1000,Verlauf!$B$6:$B$1000,$A221,Verlauf!$C$6:$C$1000,$B221)</f>
        <v>0</v>
      </c>
      <c r="AD221" s="26">
        <f>SUMIFS(Verlauf!$AC$6:$AC$1000,Verlauf!$B$6:$B$1000,$A221,Verlauf!$C$6:$C$1000,$B221)</f>
        <v>0</v>
      </c>
      <c r="AE221" s="26">
        <f>SUMIFS(Verlauf!$S$6:$S$1000,Verlauf!$B$6:$B$1000,$A221,Verlauf!$C$6:$C$1000,$B221)</f>
        <v>0</v>
      </c>
      <c r="AF221" s="26" t="str">
        <f>IF($AN221="","",INDEX(Verlauf!$D$6:$D$1000,MATCH($AN221,Verlauf!$A$6:$A$1000,0)))</f>
        <v/>
      </c>
      <c r="AG221" s="26" t="str">
        <f>IF($AN221="","",INDEX(Verlauf!$E$6:$E$1000,MATCH($AN221,Verlauf!$A$6:$A$1000,0)))</f>
        <v/>
      </c>
      <c r="AH221" s="26" t="str">
        <f>IF($AN221="","",INDEX(Verlauf!$F$6:$F$1000,MATCH($AN221,Verlauf!$A$6:$A$1000,0)))</f>
        <v/>
      </c>
      <c r="AI221" s="26" t="str">
        <f>IF($AN221="","",INDEX(Verlauf!$H$6:$H$1000,MATCH($AN221,Verlauf!$A$6:$A$1000,0)))</f>
        <v/>
      </c>
      <c r="AJ221" s="26" t="str">
        <f>IF($AN221="","",INDEX(Verlauf!$N$6:$N$1000,MATCH($AN221,Verlauf!$A$6:$A$1000,0)))</f>
        <v/>
      </c>
      <c r="AK221" s="26" t="str">
        <f>IF($AN221="","",INDEX(Verlauf!$O$6:$O$1000,MATCH($AN221,Verlauf!$A$6:$A$1000,0)))</f>
        <v/>
      </c>
      <c r="AL221" s="26" t="str">
        <f>IF($AN221="","",INDEX(Verlauf!$P$6:$P$1000,MATCH($AN221,Verlauf!$A$6:$A$1000,0)))</f>
        <v/>
      </c>
      <c r="AM221" s="26" t="str">
        <f>IF($AN221="","",INDEX(Verlauf!$R$6:$R$1000,MATCH($AN221,Verlauf!$A$6:$A$1000,0)))</f>
        <v/>
      </c>
      <c r="AN221" s="28" t="str">
        <f>IF(U221&gt;0,_xlfn.MAXIFS(Verlauf!$A$6:$A$1000,Verlauf!$B$6:$B$1000,$A221,Verlauf!$C$6:$C$1000,$B221),"")</f>
        <v/>
      </c>
    </row>
    <row r="222" spans="1:40" x14ac:dyDescent="0.25">
      <c r="A222" s="26">
        <v>2030</v>
      </c>
      <c r="B222" s="26">
        <v>37</v>
      </c>
      <c r="C222" s="7" t="str">
        <f t="shared" si="30"/>
        <v>KW 37/30</v>
      </c>
      <c r="D222" s="26">
        <f>SUMIFS(Verlauf!$K$6:$K$1000,Verlauf!$B$6:$B$1000,$A222,Verlauf!$C$6:$C$1000,$B222)</f>
        <v>0</v>
      </c>
      <c r="E222" s="26">
        <f>SUMIFS(Verlauf!$L$6:$L$1000,Verlauf!$B$6:$B$1000,$A222,Verlauf!$C$6:$C$1000,$B222)</f>
        <v>0</v>
      </c>
      <c r="F222" s="26">
        <f>SUMIFS(Verlauf!$M$6:$M$1000,Verlauf!$B$6:$B$1000,$A222,Verlauf!$C$6:$C$1000,$B222)</f>
        <v>0</v>
      </c>
      <c r="G222" s="26">
        <f>SUMIFS(Verlauf!$J$6:$J$1000,Verlauf!$B$6:$B$1000,$A222,Verlauf!$C$6:$C$1000,$B222)</f>
        <v>0</v>
      </c>
      <c r="H222" s="26">
        <f>SUMIFS(Verlauf!$U$6:$U$1000,Verlauf!$B$6:$B$1000,$A222,Verlauf!$C$6:$C$1000,$B222)</f>
        <v>0</v>
      </c>
      <c r="I222" s="26">
        <f>SUMIFS(Verlauf!$V$6:$V$1000,Verlauf!$B$6:$B$1000,$A222,Verlauf!$C$6:$C$1000,$B222)</f>
        <v>0</v>
      </c>
      <c r="J222" s="26">
        <f>SUMIFS(Verlauf!$W$6:$W$1000,Verlauf!$B$6:$B$1000,$A222,Verlauf!$C$6:$C$1000,$B222)</f>
        <v>0</v>
      </c>
      <c r="K222" s="26">
        <f>SUMIFS(Verlauf!$T$6:$T$1000,Verlauf!$B$6:$B$1000,$A222,Verlauf!$C$6:$C$1000,$B222)</f>
        <v>0</v>
      </c>
      <c r="L222" s="27">
        <f>IF(Filter!$T$7=TRUE,IFERROR(INDEX(Planung!$D$68:$IA$68,MATCH($W222,Wirksam!$D$6:$IA$6,0)),0),0)</f>
        <v>0</v>
      </c>
      <c r="M222" s="27">
        <f>IF(OR(Filter!$T$5=TRUE,Filter!$T$6=TRUE),IFERROR(INDEX(Planung!$D$69:$IA$69,MATCH($W222,Wirksam!$D$6:$IA$6,0)),0),0)</f>
        <v>0</v>
      </c>
      <c r="N222" s="27">
        <f t="shared" si="31"/>
        <v>0</v>
      </c>
      <c r="O222" s="27" t="e">
        <f t="shared" si="32"/>
        <v>#N/A</v>
      </c>
      <c r="P222" s="27" t="e">
        <f t="shared" si="33"/>
        <v>#N/A</v>
      </c>
      <c r="Q222" s="27" t="e">
        <f t="shared" si="34"/>
        <v>#N/A</v>
      </c>
      <c r="R222" s="27" t="e">
        <f t="shared" si="35"/>
        <v>#N/A</v>
      </c>
      <c r="S222" s="27" t="e">
        <f t="shared" si="36"/>
        <v>#N/A</v>
      </c>
      <c r="T222" s="27" t="e">
        <f t="shared" si="37"/>
        <v>#N/A</v>
      </c>
      <c r="U222" s="26">
        <f>COUNTIFS(Verlauf!$B$6:$B$1000,$A222,Verlauf!$C$6:$C$1000,$B222)</f>
        <v>0</v>
      </c>
      <c r="V222" s="26">
        <f t="shared" si="38"/>
        <v>0</v>
      </c>
      <c r="W222" s="26">
        <f t="shared" si="39"/>
        <v>203037</v>
      </c>
      <c r="X222" s="26">
        <f>SUMIFS(Verlauf!$X$6:$X$1000,Verlauf!$B$6:$B$1000,$A222,Verlauf!$C$6:$C$1000,$B222)</f>
        <v>0</v>
      </c>
      <c r="Y222" s="26">
        <f>SUMIFS(Verlauf!$Y$6:$Y$1000,Verlauf!$B$6:$B$1000,$A222,Verlauf!$C$6:$C$1000,$B222)</f>
        <v>0</v>
      </c>
      <c r="Z222" s="26">
        <f>SUMIFS(Verlauf!$Z$6:$Z$1000,Verlauf!$B$6:$B$1000,$A222,Verlauf!$C$6:$C$1000,$B222)</f>
        <v>0</v>
      </c>
      <c r="AA222" s="26">
        <f>SUMIFS(Verlauf!$I$6:$I$1000,Verlauf!$B$6:$B$1000,$A222,Verlauf!$C$6:$C$1000,$B222)</f>
        <v>0</v>
      </c>
      <c r="AB222" s="26">
        <f>SUMIFS(Verlauf!$AA$6:$AA$1000,Verlauf!$B$6:$B$1000,$A222,Verlauf!$C$6:$C$1000,$B222)</f>
        <v>0</v>
      </c>
      <c r="AC222" s="26">
        <f>SUMIFS(Verlauf!$AB$6:$AB$1000,Verlauf!$B$6:$B$1000,$A222,Verlauf!$C$6:$C$1000,$B222)</f>
        <v>0</v>
      </c>
      <c r="AD222" s="26">
        <f>SUMIFS(Verlauf!$AC$6:$AC$1000,Verlauf!$B$6:$B$1000,$A222,Verlauf!$C$6:$C$1000,$B222)</f>
        <v>0</v>
      </c>
      <c r="AE222" s="26">
        <f>SUMIFS(Verlauf!$S$6:$S$1000,Verlauf!$B$6:$B$1000,$A222,Verlauf!$C$6:$C$1000,$B222)</f>
        <v>0</v>
      </c>
      <c r="AF222" s="26" t="str">
        <f>IF($AN222="","",INDEX(Verlauf!$D$6:$D$1000,MATCH($AN222,Verlauf!$A$6:$A$1000,0)))</f>
        <v/>
      </c>
      <c r="AG222" s="26" t="str">
        <f>IF($AN222="","",INDEX(Verlauf!$E$6:$E$1000,MATCH($AN222,Verlauf!$A$6:$A$1000,0)))</f>
        <v/>
      </c>
      <c r="AH222" s="26" t="str">
        <f>IF($AN222="","",INDEX(Verlauf!$F$6:$F$1000,MATCH($AN222,Verlauf!$A$6:$A$1000,0)))</f>
        <v/>
      </c>
      <c r="AI222" s="26" t="str">
        <f>IF($AN222="","",INDEX(Verlauf!$H$6:$H$1000,MATCH($AN222,Verlauf!$A$6:$A$1000,0)))</f>
        <v/>
      </c>
      <c r="AJ222" s="26" t="str">
        <f>IF($AN222="","",INDEX(Verlauf!$N$6:$N$1000,MATCH($AN222,Verlauf!$A$6:$A$1000,0)))</f>
        <v/>
      </c>
      <c r="AK222" s="26" t="str">
        <f>IF($AN222="","",INDEX(Verlauf!$O$6:$O$1000,MATCH($AN222,Verlauf!$A$6:$A$1000,0)))</f>
        <v/>
      </c>
      <c r="AL222" s="26" t="str">
        <f>IF($AN222="","",INDEX(Verlauf!$P$6:$P$1000,MATCH($AN222,Verlauf!$A$6:$A$1000,0)))</f>
        <v/>
      </c>
      <c r="AM222" s="26" t="str">
        <f>IF($AN222="","",INDEX(Verlauf!$R$6:$R$1000,MATCH($AN222,Verlauf!$A$6:$A$1000,0)))</f>
        <v/>
      </c>
      <c r="AN222" s="28" t="str">
        <f>IF(U222&gt;0,_xlfn.MAXIFS(Verlauf!$A$6:$A$1000,Verlauf!$B$6:$B$1000,$A222,Verlauf!$C$6:$C$1000,$B222),"")</f>
        <v/>
      </c>
    </row>
    <row r="223" spans="1:40" x14ac:dyDescent="0.25">
      <c r="A223" s="26">
        <v>2030</v>
      </c>
      <c r="B223" s="26">
        <v>38</v>
      </c>
      <c r="C223" s="7" t="str">
        <f t="shared" si="30"/>
        <v>KW 38/30</v>
      </c>
      <c r="D223" s="26">
        <f>SUMIFS(Verlauf!$K$6:$K$1000,Verlauf!$B$6:$B$1000,$A223,Verlauf!$C$6:$C$1000,$B223)</f>
        <v>0</v>
      </c>
      <c r="E223" s="26">
        <f>SUMIFS(Verlauf!$L$6:$L$1000,Verlauf!$B$6:$B$1000,$A223,Verlauf!$C$6:$C$1000,$B223)</f>
        <v>0</v>
      </c>
      <c r="F223" s="26">
        <f>SUMIFS(Verlauf!$M$6:$M$1000,Verlauf!$B$6:$B$1000,$A223,Verlauf!$C$6:$C$1000,$B223)</f>
        <v>0</v>
      </c>
      <c r="G223" s="26">
        <f>SUMIFS(Verlauf!$J$6:$J$1000,Verlauf!$B$6:$B$1000,$A223,Verlauf!$C$6:$C$1000,$B223)</f>
        <v>0</v>
      </c>
      <c r="H223" s="26">
        <f>SUMIFS(Verlauf!$U$6:$U$1000,Verlauf!$B$6:$B$1000,$A223,Verlauf!$C$6:$C$1000,$B223)</f>
        <v>0</v>
      </c>
      <c r="I223" s="26">
        <f>SUMIFS(Verlauf!$V$6:$V$1000,Verlauf!$B$6:$B$1000,$A223,Verlauf!$C$6:$C$1000,$B223)</f>
        <v>0</v>
      </c>
      <c r="J223" s="26">
        <f>SUMIFS(Verlauf!$W$6:$W$1000,Verlauf!$B$6:$B$1000,$A223,Verlauf!$C$6:$C$1000,$B223)</f>
        <v>0</v>
      </c>
      <c r="K223" s="26">
        <f>SUMIFS(Verlauf!$T$6:$T$1000,Verlauf!$B$6:$B$1000,$A223,Verlauf!$C$6:$C$1000,$B223)</f>
        <v>0</v>
      </c>
      <c r="L223" s="27">
        <f>IF(Filter!$T$7=TRUE,IFERROR(INDEX(Planung!$D$68:$IA$68,MATCH($W223,Wirksam!$D$6:$IA$6,0)),0),0)</f>
        <v>0</v>
      </c>
      <c r="M223" s="27">
        <f>IF(OR(Filter!$T$5=TRUE,Filter!$T$6=TRUE),IFERROR(INDEX(Planung!$D$69:$IA$69,MATCH($W223,Wirksam!$D$6:$IA$6,0)),0),0)</f>
        <v>0</v>
      </c>
      <c r="N223" s="27">
        <f t="shared" si="31"/>
        <v>0</v>
      </c>
      <c r="O223" s="27" t="e">
        <f t="shared" si="32"/>
        <v>#N/A</v>
      </c>
      <c r="P223" s="27" t="e">
        <f t="shared" si="33"/>
        <v>#N/A</v>
      </c>
      <c r="Q223" s="27" t="e">
        <f t="shared" si="34"/>
        <v>#N/A</v>
      </c>
      <c r="R223" s="27" t="e">
        <f t="shared" si="35"/>
        <v>#N/A</v>
      </c>
      <c r="S223" s="27" t="e">
        <f t="shared" si="36"/>
        <v>#N/A</v>
      </c>
      <c r="T223" s="27" t="e">
        <f t="shared" si="37"/>
        <v>#N/A</v>
      </c>
      <c r="U223" s="26">
        <f>COUNTIFS(Verlauf!$B$6:$B$1000,$A223,Verlauf!$C$6:$C$1000,$B223)</f>
        <v>0</v>
      </c>
      <c r="V223" s="26">
        <f t="shared" si="38"/>
        <v>0</v>
      </c>
      <c r="W223" s="26">
        <f t="shared" si="39"/>
        <v>203038</v>
      </c>
      <c r="X223" s="26">
        <f>SUMIFS(Verlauf!$X$6:$X$1000,Verlauf!$B$6:$B$1000,$A223,Verlauf!$C$6:$C$1000,$B223)</f>
        <v>0</v>
      </c>
      <c r="Y223" s="26">
        <f>SUMIFS(Verlauf!$Y$6:$Y$1000,Verlauf!$B$6:$B$1000,$A223,Verlauf!$C$6:$C$1000,$B223)</f>
        <v>0</v>
      </c>
      <c r="Z223" s="26">
        <f>SUMIFS(Verlauf!$Z$6:$Z$1000,Verlauf!$B$6:$B$1000,$A223,Verlauf!$C$6:$C$1000,$B223)</f>
        <v>0</v>
      </c>
      <c r="AA223" s="26">
        <f>SUMIFS(Verlauf!$I$6:$I$1000,Verlauf!$B$6:$B$1000,$A223,Verlauf!$C$6:$C$1000,$B223)</f>
        <v>0</v>
      </c>
      <c r="AB223" s="26">
        <f>SUMIFS(Verlauf!$AA$6:$AA$1000,Verlauf!$B$6:$B$1000,$A223,Verlauf!$C$6:$C$1000,$B223)</f>
        <v>0</v>
      </c>
      <c r="AC223" s="26">
        <f>SUMIFS(Verlauf!$AB$6:$AB$1000,Verlauf!$B$6:$B$1000,$A223,Verlauf!$C$6:$C$1000,$B223)</f>
        <v>0</v>
      </c>
      <c r="AD223" s="26">
        <f>SUMIFS(Verlauf!$AC$6:$AC$1000,Verlauf!$B$6:$B$1000,$A223,Verlauf!$C$6:$C$1000,$B223)</f>
        <v>0</v>
      </c>
      <c r="AE223" s="26">
        <f>SUMIFS(Verlauf!$S$6:$S$1000,Verlauf!$B$6:$B$1000,$A223,Verlauf!$C$6:$C$1000,$B223)</f>
        <v>0</v>
      </c>
      <c r="AF223" s="26" t="str">
        <f>IF($AN223="","",INDEX(Verlauf!$D$6:$D$1000,MATCH($AN223,Verlauf!$A$6:$A$1000,0)))</f>
        <v/>
      </c>
      <c r="AG223" s="26" t="str">
        <f>IF($AN223="","",INDEX(Verlauf!$E$6:$E$1000,MATCH($AN223,Verlauf!$A$6:$A$1000,0)))</f>
        <v/>
      </c>
      <c r="AH223" s="26" t="str">
        <f>IF($AN223="","",INDEX(Verlauf!$F$6:$F$1000,MATCH($AN223,Verlauf!$A$6:$A$1000,0)))</f>
        <v/>
      </c>
      <c r="AI223" s="26" t="str">
        <f>IF($AN223="","",INDEX(Verlauf!$H$6:$H$1000,MATCH($AN223,Verlauf!$A$6:$A$1000,0)))</f>
        <v/>
      </c>
      <c r="AJ223" s="26" t="str">
        <f>IF($AN223="","",INDEX(Verlauf!$N$6:$N$1000,MATCH($AN223,Verlauf!$A$6:$A$1000,0)))</f>
        <v/>
      </c>
      <c r="AK223" s="26" t="str">
        <f>IF($AN223="","",INDEX(Verlauf!$O$6:$O$1000,MATCH($AN223,Verlauf!$A$6:$A$1000,0)))</f>
        <v/>
      </c>
      <c r="AL223" s="26" t="str">
        <f>IF($AN223="","",INDEX(Verlauf!$P$6:$P$1000,MATCH($AN223,Verlauf!$A$6:$A$1000,0)))</f>
        <v/>
      </c>
      <c r="AM223" s="26" t="str">
        <f>IF($AN223="","",INDEX(Verlauf!$R$6:$R$1000,MATCH($AN223,Verlauf!$A$6:$A$1000,0)))</f>
        <v/>
      </c>
      <c r="AN223" s="28" t="str">
        <f>IF(U223&gt;0,_xlfn.MAXIFS(Verlauf!$A$6:$A$1000,Verlauf!$B$6:$B$1000,$A223,Verlauf!$C$6:$C$1000,$B223),"")</f>
        <v/>
      </c>
    </row>
    <row r="224" spans="1:40" x14ac:dyDescent="0.25">
      <c r="A224" s="26">
        <v>2030</v>
      </c>
      <c r="B224" s="26">
        <v>39</v>
      </c>
      <c r="C224" s="7" t="str">
        <f t="shared" si="30"/>
        <v>KW 39/30</v>
      </c>
      <c r="D224" s="26">
        <f>SUMIFS(Verlauf!$K$6:$K$1000,Verlauf!$B$6:$B$1000,$A224,Verlauf!$C$6:$C$1000,$B224)</f>
        <v>0</v>
      </c>
      <c r="E224" s="26">
        <f>SUMIFS(Verlauf!$L$6:$L$1000,Verlauf!$B$6:$B$1000,$A224,Verlauf!$C$6:$C$1000,$B224)</f>
        <v>0</v>
      </c>
      <c r="F224" s="26">
        <f>SUMIFS(Verlauf!$M$6:$M$1000,Verlauf!$B$6:$B$1000,$A224,Verlauf!$C$6:$C$1000,$B224)</f>
        <v>0</v>
      </c>
      <c r="G224" s="26">
        <f>SUMIFS(Verlauf!$J$6:$J$1000,Verlauf!$B$6:$B$1000,$A224,Verlauf!$C$6:$C$1000,$B224)</f>
        <v>0</v>
      </c>
      <c r="H224" s="26">
        <f>SUMIFS(Verlauf!$U$6:$U$1000,Verlauf!$B$6:$B$1000,$A224,Verlauf!$C$6:$C$1000,$B224)</f>
        <v>0</v>
      </c>
      <c r="I224" s="26">
        <f>SUMIFS(Verlauf!$V$6:$V$1000,Verlauf!$B$6:$B$1000,$A224,Verlauf!$C$6:$C$1000,$B224)</f>
        <v>0</v>
      </c>
      <c r="J224" s="26">
        <f>SUMIFS(Verlauf!$W$6:$W$1000,Verlauf!$B$6:$B$1000,$A224,Verlauf!$C$6:$C$1000,$B224)</f>
        <v>0</v>
      </c>
      <c r="K224" s="26">
        <f>SUMIFS(Verlauf!$T$6:$T$1000,Verlauf!$B$6:$B$1000,$A224,Verlauf!$C$6:$C$1000,$B224)</f>
        <v>0</v>
      </c>
      <c r="L224" s="27">
        <f>IF(Filter!$T$7=TRUE,IFERROR(INDEX(Planung!$D$68:$IA$68,MATCH($W224,Wirksam!$D$6:$IA$6,0)),0),0)</f>
        <v>0</v>
      </c>
      <c r="M224" s="27">
        <f>IF(OR(Filter!$T$5=TRUE,Filter!$T$6=TRUE),IFERROR(INDEX(Planung!$D$69:$IA$69,MATCH($W224,Wirksam!$D$6:$IA$6,0)),0),0)</f>
        <v>0</v>
      </c>
      <c r="N224" s="27">
        <f t="shared" si="31"/>
        <v>0</v>
      </c>
      <c r="O224" s="27" t="e">
        <f t="shared" si="32"/>
        <v>#N/A</v>
      </c>
      <c r="P224" s="27" t="e">
        <f t="shared" si="33"/>
        <v>#N/A</v>
      </c>
      <c r="Q224" s="27" t="e">
        <f t="shared" si="34"/>
        <v>#N/A</v>
      </c>
      <c r="R224" s="27" t="e">
        <f t="shared" si="35"/>
        <v>#N/A</v>
      </c>
      <c r="S224" s="27" t="e">
        <f t="shared" si="36"/>
        <v>#N/A</v>
      </c>
      <c r="T224" s="27" t="e">
        <f t="shared" si="37"/>
        <v>#N/A</v>
      </c>
      <c r="U224" s="26">
        <f>COUNTIFS(Verlauf!$B$6:$B$1000,$A224,Verlauf!$C$6:$C$1000,$B224)</f>
        <v>0</v>
      </c>
      <c r="V224" s="26">
        <f t="shared" si="38"/>
        <v>0</v>
      </c>
      <c r="W224" s="26">
        <f t="shared" si="39"/>
        <v>203039</v>
      </c>
      <c r="X224" s="26">
        <f>SUMIFS(Verlauf!$X$6:$X$1000,Verlauf!$B$6:$B$1000,$A224,Verlauf!$C$6:$C$1000,$B224)</f>
        <v>0</v>
      </c>
      <c r="Y224" s="26">
        <f>SUMIFS(Verlauf!$Y$6:$Y$1000,Verlauf!$B$6:$B$1000,$A224,Verlauf!$C$6:$C$1000,$B224)</f>
        <v>0</v>
      </c>
      <c r="Z224" s="26">
        <f>SUMIFS(Verlauf!$Z$6:$Z$1000,Verlauf!$B$6:$B$1000,$A224,Verlauf!$C$6:$C$1000,$B224)</f>
        <v>0</v>
      </c>
      <c r="AA224" s="26">
        <f>SUMIFS(Verlauf!$I$6:$I$1000,Verlauf!$B$6:$B$1000,$A224,Verlauf!$C$6:$C$1000,$B224)</f>
        <v>0</v>
      </c>
      <c r="AB224" s="26">
        <f>SUMIFS(Verlauf!$AA$6:$AA$1000,Verlauf!$B$6:$B$1000,$A224,Verlauf!$C$6:$C$1000,$B224)</f>
        <v>0</v>
      </c>
      <c r="AC224" s="26">
        <f>SUMIFS(Verlauf!$AB$6:$AB$1000,Verlauf!$B$6:$B$1000,$A224,Verlauf!$C$6:$C$1000,$B224)</f>
        <v>0</v>
      </c>
      <c r="AD224" s="26">
        <f>SUMIFS(Verlauf!$AC$6:$AC$1000,Verlauf!$B$6:$B$1000,$A224,Verlauf!$C$6:$C$1000,$B224)</f>
        <v>0</v>
      </c>
      <c r="AE224" s="26">
        <f>SUMIFS(Verlauf!$S$6:$S$1000,Verlauf!$B$6:$B$1000,$A224,Verlauf!$C$6:$C$1000,$B224)</f>
        <v>0</v>
      </c>
      <c r="AF224" s="26" t="str">
        <f>IF($AN224="","",INDEX(Verlauf!$D$6:$D$1000,MATCH($AN224,Verlauf!$A$6:$A$1000,0)))</f>
        <v/>
      </c>
      <c r="AG224" s="26" t="str">
        <f>IF($AN224="","",INDEX(Verlauf!$E$6:$E$1000,MATCH($AN224,Verlauf!$A$6:$A$1000,0)))</f>
        <v/>
      </c>
      <c r="AH224" s="26" t="str">
        <f>IF($AN224="","",INDEX(Verlauf!$F$6:$F$1000,MATCH($AN224,Verlauf!$A$6:$A$1000,0)))</f>
        <v/>
      </c>
      <c r="AI224" s="26" t="str">
        <f>IF($AN224="","",INDEX(Verlauf!$H$6:$H$1000,MATCH($AN224,Verlauf!$A$6:$A$1000,0)))</f>
        <v/>
      </c>
      <c r="AJ224" s="26" t="str">
        <f>IF($AN224="","",INDEX(Verlauf!$N$6:$N$1000,MATCH($AN224,Verlauf!$A$6:$A$1000,0)))</f>
        <v/>
      </c>
      <c r="AK224" s="26" t="str">
        <f>IF($AN224="","",INDEX(Verlauf!$O$6:$O$1000,MATCH($AN224,Verlauf!$A$6:$A$1000,0)))</f>
        <v/>
      </c>
      <c r="AL224" s="26" t="str">
        <f>IF($AN224="","",INDEX(Verlauf!$P$6:$P$1000,MATCH($AN224,Verlauf!$A$6:$A$1000,0)))</f>
        <v/>
      </c>
      <c r="AM224" s="26" t="str">
        <f>IF($AN224="","",INDEX(Verlauf!$R$6:$R$1000,MATCH($AN224,Verlauf!$A$6:$A$1000,0)))</f>
        <v/>
      </c>
      <c r="AN224" s="28" t="str">
        <f>IF(U224&gt;0,_xlfn.MAXIFS(Verlauf!$A$6:$A$1000,Verlauf!$B$6:$B$1000,$A224,Verlauf!$C$6:$C$1000,$B224),"")</f>
        <v/>
      </c>
    </row>
    <row r="225" spans="1:40" x14ac:dyDescent="0.25">
      <c r="A225" s="26">
        <v>2030</v>
      </c>
      <c r="B225" s="26">
        <v>40</v>
      </c>
      <c r="C225" s="7" t="str">
        <f t="shared" si="30"/>
        <v>KW 40/30</v>
      </c>
      <c r="D225" s="26">
        <f>SUMIFS(Verlauf!$K$6:$K$1000,Verlauf!$B$6:$B$1000,$A225,Verlauf!$C$6:$C$1000,$B225)</f>
        <v>0</v>
      </c>
      <c r="E225" s="26">
        <f>SUMIFS(Verlauf!$L$6:$L$1000,Verlauf!$B$6:$B$1000,$A225,Verlauf!$C$6:$C$1000,$B225)</f>
        <v>0</v>
      </c>
      <c r="F225" s="26">
        <f>SUMIFS(Verlauf!$M$6:$M$1000,Verlauf!$B$6:$B$1000,$A225,Verlauf!$C$6:$C$1000,$B225)</f>
        <v>0</v>
      </c>
      <c r="G225" s="26">
        <f>SUMIFS(Verlauf!$J$6:$J$1000,Verlauf!$B$6:$B$1000,$A225,Verlauf!$C$6:$C$1000,$B225)</f>
        <v>0</v>
      </c>
      <c r="H225" s="26">
        <f>SUMIFS(Verlauf!$U$6:$U$1000,Verlauf!$B$6:$B$1000,$A225,Verlauf!$C$6:$C$1000,$B225)</f>
        <v>0</v>
      </c>
      <c r="I225" s="26">
        <f>SUMIFS(Verlauf!$V$6:$V$1000,Verlauf!$B$6:$B$1000,$A225,Verlauf!$C$6:$C$1000,$B225)</f>
        <v>0</v>
      </c>
      <c r="J225" s="26">
        <f>SUMIFS(Verlauf!$W$6:$W$1000,Verlauf!$B$6:$B$1000,$A225,Verlauf!$C$6:$C$1000,$B225)</f>
        <v>0</v>
      </c>
      <c r="K225" s="26">
        <f>SUMIFS(Verlauf!$T$6:$T$1000,Verlauf!$B$6:$B$1000,$A225,Verlauf!$C$6:$C$1000,$B225)</f>
        <v>0</v>
      </c>
      <c r="L225" s="27">
        <f>IF(Filter!$T$7=TRUE,IFERROR(INDEX(Planung!$D$68:$IA$68,MATCH($W225,Wirksam!$D$6:$IA$6,0)),0),0)</f>
        <v>0</v>
      </c>
      <c r="M225" s="27">
        <f>IF(OR(Filter!$T$5=TRUE,Filter!$T$6=TRUE),IFERROR(INDEX(Planung!$D$69:$IA$69,MATCH($W225,Wirksam!$D$6:$IA$6,0)),0),0)</f>
        <v>0</v>
      </c>
      <c r="N225" s="27">
        <f t="shared" si="31"/>
        <v>0</v>
      </c>
      <c r="O225" s="27" t="e">
        <f t="shared" si="32"/>
        <v>#N/A</v>
      </c>
      <c r="P225" s="27" t="e">
        <f t="shared" si="33"/>
        <v>#N/A</v>
      </c>
      <c r="Q225" s="27" t="e">
        <f t="shared" si="34"/>
        <v>#N/A</v>
      </c>
      <c r="R225" s="27" t="e">
        <f t="shared" si="35"/>
        <v>#N/A</v>
      </c>
      <c r="S225" s="27" t="e">
        <f t="shared" si="36"/>
        <v>#N/A</v>
      </c>
      <c r="T225" s="27" t="e">
        <f t="shared" si="37"/>
        <v>#N/A</v>
      </c>
      <c r="U225" s="26">
        <f>COUNTIFS(Verlauf!$B$6:$B$1000,$A225,Verlauf!$C$6:$C$1000,$B225)</f>
        <v>0</v>
      </c>
      <c r="V225" s="26">
        <f t="shared" si="38"/>
        <v>0</v>
      </c>
      <c r="W225" s="26">
        <f t="shared" si="39"/>
        <v>203040</v>
      </c>
      <c r="X225" s="26">
        <f>SUMIFS(Verlauf!$X$6:$X$1000,Verlauf!$B$6:$B$1000,$A225,Verlauf!$C$6:$C$1000,$B225)</f>
        <v>0</v>
      </c>
      <c r="Y225" s="26">
        <f>SUMIFS(Verlauf!$Y$6:$Y$1000,Verlauf!$B$6:$B$1000,$A225,Verlauf!$C$6:$C$1000,$B225)</f>
        <v>0</v>
      </c>
      <c r="Z225" s="26">
        <f>SUMIFS(Verlauf!$Z$6:$Z$1000,Verlauf!$B$6:$B$1000,$A225,Verlauf!$C$6:$C$1000,$B225)</f>
        <v>0</v>
      </c>
      <c r="AA225" s="26">
        <f>SUMIFS(Verlauf!$I$6:$I$1000,Verlauf!$B$6:$B$1000,$A225,Verlauf!$C$6:$C$1000,$B225)</f>
        <v>0</v>
      </c>
      <c r="AB225" s="26">
        <f>SUMIFS(Verlauf!$AA$6:$AA$1000,Verlauf!$B$6:$B$1000,$A225,Verlauf!$C$6:$C$1000,$B225)</f>
        <v>0</v>
      </c>
      <c r="AC225" s="26">
        <f>SUMIFS(Verlauf!$AB$6:$AB$1000,Verlauf!$B$6:$B$1000,$A225,Verlauf!$C$6:$C$1000,$B225)</f>
        <v>0</v>
      </c>
      <c r="AD225" s="26">
        <f>SUMIFS(Verlauf!$AC$6:$AC$1000,Verlauf!$B$6:$B$1000,$A225,Verlauf!$C$6:$C$1000,$B225)</f>
        <v>0</v>
      </c>
      <c r="AE225" s="26">
        <f>SUMIFS(Verlauf!$S$6:$S$1000,Verlauf!$B$6:$B$1000,$A225,Verlauf!$C$6:$C$1000,$B225)</f>
        <v>0</v>
      </c>
      <c r="AF225" s="26" t="str">
        <f>IF($AN225="","",INDEX(Verlauf!$D$6:$D$1000,MATCH($AN225,Verlauf!$A$6:$A$1000,0)))</f>
        <v/>
      </c>
      <c r="AG225" s="26" t="str">
        <f>IF($AN225="","",INDEX(Verlauf!$E$6:$E$1000,MATCH($AN225,Verlauf!$A$6:$A$1000,0)))</f>
        <v/>
      </c>
      <c r="AH225" s="26" t="str">
        <f>IF($AN225="","",INDEX(Verlauf!$F$6:$F$1000,MATCH($AN225,Verlauf!$A$6:$A$1000,0)))</f>
        <v/>
      </c>
      <c r="AI225" s="26" t="str">
        <f>IF($AN225="","",INDEX(Verlauf!$H$6:$H$1000,MATCH($AN225,Verlauf!$A$6:$A$1000,0)))</f>
        <v/>
      </c>
      <c r="AJ225" s="26" t="str">
        <f>IF($AN225="","",INDEX(Verlauf!$N$6:$N$1000,MATCH($AN225,Verlauf!$A$6:$A$1000,0)))</f>
        <v/>
      </c>
      <c r="AK225" s="26" t="str">
        <f>IF($AN225="","",INDEX(Verlauf!$O$6:$O$1000,MATCH($AN225,Verlauf!$A$6:$A$1000,0)))</f>
        <v/>
      </c>
      <c r="AL225" s="26" t="str">
        <f>IF($AN225="","",INDEX(Verlauf!$P$6:$P$1000,MATCH($AN225,Verlauf!$A$6:$A$1000,0)))</f>
        <v/>
      </c>
      <c r="AM225" s="26" t="str">
        <f>IF($AN225="","",INDEX(Verlauf!$R$6:$R$1000,MATCH($AN225,Verlauf!$A$6:$A$1000,0)))</f>
        <v/>
      </c>
      <c r="AN225" s="28" t="str">
        <f>IF(U225&gt;0,_xlfn.MAXIFS(Verlauf!$A$6:$A$1000,Verlauf!$B$6:$B$1000,$A225,Verlauf!$C$6:$C$1000,$B225),"")</f>
        <v/>
      </c>
    </row>
    <row r="226" spans="1:40" x14ac:dyDescent="0.25">
      <c r="A226" s="26">
        <v>2030</v>
      </c>
      <c r="B226" s="26">
        <v>41</v>
      </c>
      <c r="C226" s="7" t="str">
        <f t="shared" si="30"/>
        <v>KW 41/30</v>
      </c>
      <c r="D226" s="26">
        <f>SUMIFS(Verlauf!$K$6:$K$1000,Verlauf!$B$6:$B$1000,$A226,Verlauf!$C$6:$C$1000,$B226)</f>
        <v>0</v>
      </c>
      <c r="E226" s="26">
        <f>SUMIFS(Verlauf!$L$6:$L$1000,Verlauf!$B$6:$B$1000,$A226,Verlauf!$C$6:$C$1000,$B226)</f>
        <v>0</v>
      </c>
      <c r="F226" s="26">
        <f>SUMIFS(Verlauf!$M$6:$M$1000,Verlauf!$B$6:$B$1000,$A226,Verlauf!$C$6:$C$1000,$B226)</f>
        <v>0</v>
      </c>
      <c r="G226" s="26">
        <f>SUMIFS(Verlauf!$J$6:$J$1000,Verlauf!$B$6:$B$1000,$A226,Verlauf!$C$6:$C$1000,$B226)</f>
        <v>0</v>
      </c>
      <c r="H226" s="26">
        <f>SUMIFS(Verlauf!$U$6:$U$1000,Verlauf!$B$6:$B$1000,$A226,Verlauf!$C$6:$C$1000,$B226)</f>
        <v>0</v>
      </c>
      <c r="I226" s="26">
        <f>SUMIFS(Verlauf!$V$6:$V$1000,Verlauf!$B$6:$B$1000,$A226,Verlauf!$C$6:$C$1000,$B226)</f>
        <v>0</v>
      </c>
      <c r="J226" s="26">
        <f>SUMIFS(Verlauf!$W$6:$W$1000,Verlauf!$B$6:$B$1000,$A226,Verlauf!$C$6:$C$1000,$B226)</f>
        <v>0</v>
      </c>
      <c r="K226" s="26">
        <f>SUMIFS(Verlauf!$T$6:$T$1000,Verlauf!$B$6:$B$1000,$A226,Verlauf!$C$6:$C$1000,$B226)</f>
        <v>0</v>
      </c>
      <c r="L226" s="27">
        <f>IF(Filter!$T$7=TRUE,IFERROR(INDEX(Planung!$D$68:$IA$68,MATCH($W226,Wirksam!$D$6:$IA$6,0)),0),0)</f>
        <v>0</v>
      </c>
      <c r="M226" s="27">
        <f>IF(OR(Filter!$T$5=TRUE,Filter!$T$6=TRUE),IFERROR(INDEX(Planung!$D$69:$IA$69,MATCH($W226,Wirksam!$D$6:$IA$6,0)),0),0)</f>
        <v>0</v>
      </c>
      <c r="N226" s="27">
        <f t="shared" si="31"/>
        <v>0</v>
      </c>
      <c r="O226" s="27" t="e">
        <f t="shared" si="32"/>
        <v>#N/A</v>
      </c>
      <c r="P226" s="27" t="e">
        <f t="shared" si="33"/>
        <v>#N/A</v>
      </c>
      <c r="Q226" s="27" t="e">
        <f t="shared" si="34"/>
        <v>#N/A</v>
      </c>
      <c r="R226" s="27" t="e">
        <f t="shared" si="35"/>
        <v>#N/A</v>
      </c>
      <c r="S226" s="27" t="e">
        <f t="shared" si="36"/>
        <v>#N/A</v>
      </c>
      <c r="T226" s="27" t="e">
        <f t="shared" si="37"/>
        <v>#N/A</v>
      </c>
      <c r="U226" s="26">
        <f>COUNTIFS(Verlauf!$B$6:$B$1000,$A226,Verlauf!$C$6:$C$1000,$B226)</f>
        <v>0</v>
      </c>
      <c r="V226" s="26">
        <f t="shared" si="38"/>
        <v>0</v>
      </c>
      <c r="W226" s="26">
        <f t="shared" si="39"/>
        <v>203041</v>
      </c>
      <c r="X226" s="26">
        <f>SUMIFS(Verlauf!$X$6:$X$1000,Verlauf!$B$6:$B$1000,$A226,Verlauf!$C$6:$C$1000,$B226)</f>
        <v>0</v>
      </c>
      <c r="Y226" s="26">
        <f>SUMIFS(Verlauf!$Y$6:$Y$1000,Verlauf!$B$6:$B$1000,$A226,Verlauf!$C$6:$C$1000,$B226)</f>
        <v>0</v>
      </c>
      <c r="Z226" s="26">
        <f>SUMIFS(Verlauf!$Z$6:$Z$1000,Verlauf!$B$6:$B$1000,$A226,Verlauf!$C$6:$C$1000,$B226)</f>
        <v>0</v>
      </c>
      <c r="AA226" s="26">
        <f>SUMIFS(Verlauf!$I$6:$I$1000,Verlauf!$B$6:$B$1000,$A226,Verlauf!$C$6:$C$1000,$B226)</f>
        <v>0</v>
      </c>
      <c r="AB226" s="26">
        <f>SUMIFS(Verlauf!$AA$6:$AA$1000,Verlauf!$B$6:$B$1000,$A226,Verlauf!$C$6:$C$1000,$B226)</f>
        <v>0</v>
      </c>
      <c r="AC226" s="26">
        <f>SUMIFS(Verlauf!$AB$6:$AB$1000,Verlauf!$B$6:$B$1000,$A226,Verlauf!$C$6:$C$1000,$B226)</f>
        <v>0</v>
      </c>
      <c r="AD226" s="26">
        <f>SUMIFS(Verlauf!$AC$6:$AC$1000,Verlauf!$B$6:$B$1000,$A226,Verlauf!$C$6:$C$1000,$B226)</f>
        <v>0</v>
      </c>
      <c r="AE226" s="26">
        <f>SUMIFS(Verlauf!$S$6:$S$1000,Verlauf!$B$6:$B$1000,$A226,Verlauf!$C$6:$C$1000,$B226)</f>
        <v>0</v>
      </c>
      <c r="AF226" s="26" t="str">
        <f>IF($AN226="","",INDEX(Verlauf!$D$6:$D$1000,MATCH($AN226,Verlauf!$A$6:$A$1000,0)))</f>
        <v/>
      </c>
      <c r="AG226" s="26" t="str">
        <f>IF($AN226="","",INDEX(Verlauf!$E$6:$E$1000,MATCH($AN226,Verlauf!$A$6:$A$1000,0)))</f>
        <v/>
      </c>
      <c r="AH226" s="26" t="str">
        <f>IF($AN226="","",INDEX(Verlauf!$F$6:$F$1000,MATCH($AN226,Verlauf!$A$6:$A$1000,0)))</f>
        <v/>
      </c>
      <c r="AI226" s="26" t="str">
        <f>IF($AN226="","",INDEX(Verlauf!$H$6:$H$1000,MATCH($AN226,Verlauf!$A$6:$A$1000,0)))</f>
        <v/>
      </c>
      <c r="AJ226" s="26" t="str">
        <f>IF($AN226="","",INDEX(Verlauf!$N$6:$N$1000,MATCH($AN226,Verlauf!$A$6:$A$1000,0)))</f>
        <v/>
      </c>
      <c r="AK226" s="26" t="str">
        <f>IF($AN226="","",INDEX(Verlauf!$O$6:$O$1000,MATCH($AN226,Verlauf!$A$6:$A$1000,0)))</f>
        <v/>
      </c>
      <c r="AL226" s="26" t="str">
        <f>IF($AN226="","",INDEX(Verlauf!$P$6:$P$1000,MATCH($AN226,Verlauf!$A$6:$A$1000,0)))</f>
        <v/>
      </c>
      <c r="AM226" s="26" t="str">
        <f>IF($AN226="","",INDEX(Verlauf!$R$6:$R$1000,MATCH($AN226,Verlauf!$A$6:$A$1000,0)))</f>
        <v/>
      </c>
      <c r="AN226" s="28" t="str">
        <f>IF(U226&gt;0,_xlfn.MAXIFS(Verlauf!$A$6:$A$1000,Verlauf!$B$6:$B$1000,$A226,Verlauf!$C$6:$C$1000,$B226),"")</f>
        <v/>
      </c>
    </row>
    <row r="227" spans="1:40" x14ac:dyDescent="0.25">
      <c r="A227" s="26">
        <v>2030</v>
      </c>
      <c r="B227" s="26">
        <v>42</v>
      </c>
      <c r="C227" s="7" t="str">
        <f t="shared" si="30"/>
        <v>KW 42/30</v>
      </c>
      <c r="D227" s="26">
        <f>SUMIFS(Verlauf!$K$6:$K$1000,Verlauf!$B$6:$B$1000,$A227,Verlauf!$C$6:$C$1000,$B227)</f>
        <v>0</v>
      </c>
      <c r="E227" s="26">
        <f>SUMIFS(Verlauf!$L$6:$L$1000,Verlauf!$B$6:$B$1000,$A227,Verlauf!$C$6:$C$1000,$B227)</f>
        <v>0</v>
      </c>
      <c r="F227" s="26">
        <f>SUMIFS(Verlauf!$M$6:$M$1000,Verlauf!$B$6:$B$1000,$A227,Verlauf!$C$6:$C$1000,$B227)</f>
        <v>0</v>
      </c>
      <c r="G227" s="26">
        <f>SUMIFS(Verlauf!$J$6:$J$1000,Verlauf!$B$6:$B$1000,$A227,Verlauf!$C$6:$C$1000,$B227)</f>
        <v>0</v>
      </c>
      <c r="H227" s="26">
        <f>SUMIFS(Verlauf!$U$6:$U$1000,Verlauf!$B$6:$B$1000,$A227,Verlauf!$C$6:$C$1000,$B227)</f>
        <v>0</v>
      </c>
      <c r="I227" s="26">
        <f>SUMIFS(Verlauf!$V$6:$V$1000,Verlauf!$B$6:$B$1000,$A227,Verlauf!$C$6:$C$1000,$B227)</f>
        <v>0</v>
      </c>
      <c r="J227" s="26">
        <f>SUMIFS(Verlauf!$W$6:$W$1000,Verlauf!$B$6:$B$1000,$A227,Verlauf!$C$6:$C$1000,$B227)</f>
        <v>0</v>
      </c>
      <c r="K227" s="26">
        <f>SUMIFS(Verlauf!$T$6:$T$1000,Verlauf!$B$6:$B$1000,$A227,Verlauf!$C$6:$C$1000,$B227)</f>
        <v>0</v>
      </c>
      <c r="L227" s="27">
        <f>IF(Filter!$T$7=TRUE,IFERROR(INDEX(Planung!$D$68:$IA$68,MATCH($W227,Wirksam!$D$6:$IA$6,0)),0),0)</f>
        <v>0</v>
      </c>
      <c r="M227" s="27">
        <f>IF(OR(Filter!$T$5=TRUE,Filter!$T$6=TRUE),IFERROR(INDEX(Planung!$D$69:$IA$69,MATCH($W227,Wirksam!$D$6:$IA$6,0)),0),0)</f>
        <v>0</v>
      </c>
      <c r="N227" s="27">
        <f t="shared" si="31"/>
        <v>0</v>
      </c>
      <c r="O227" s="27" t="e">
        <f t="shared" si="32"/>
        <v>#N/A</v>
      </c>
      <c r="P227" s="27" t="e">
        <f t="shared" si="33"/>
        <v>#N/A</v>
      </c>
      <c r="Q227" s="27" t="e">
        <f t="shared" si="34"/>
        <v>#N/A</v>
      </c>
      <c r="R227" s="27" t="e">
        <f t="shared" si="35"/>
        <v>#N/A</v>
      </c>
      <c r="S227" s="27" t="e">
        <f t="shared" si="36"/>
        <v>#N/A</v>
      </c>
      <c r="T227" s="27" t="e">
        <f t="shared" si="37"/>
        <v>#N/A</v>
      </c>
      <c r="U227" s="26">
        <f>COUNTIFS(Verlauf!$B$6:$B$1000,$A227,Verlauf!$C$6:$C$1000,$B227)</f>
        <v>0</v>
      </c>
      <c r="V227" s="26">
        <f t="shared" si="38"/>
        <v>0</v>
      </c>
      <c r="W227" s="26">
        <f t="shared" si="39"/>
        <v>203042</v>
      </c>
      <c r="X227" s="26">
        <f>SUMIFS(Verlauf!$X$6:$X$1000,Verlauf!$B$6:$B$1000,$A227,Verlauf!$C$6:$C$1000,$B227)</f>
        <v>0</v>
      </c>
      <c r="Y227" s="26">
        <f>SUMIFS(Verlauf!$Y$6:$Y$1000,Verlauf!$B$6:$B$1000,$A227,Verlauf!$C$6:$C$1000,$B227)</f>
        <v>0</v>
      </c>
      <c r="Z227" s="26">
        <f>SUMIFS(Verlauf!$Z$6:$Z$1000,Verlauf!$B$6:$B$1000,$A227,Verlauf!$C$6:$C$1000,$B227)</f>
        <v>0</v>
      </c>
      <c r="AA227" s="26">
        <f>SUMIFS(Verlauf!$I$6:$I$1000,Verlauf!$B$6:$B$1000,$A227,Verlauf!$C$6:$C$1000,$B227)</f>
        <v>0</v>
      </c>
      <c r="AB227" s="26">
        <f>SUMIFS(Verlauf!$AA$6:$AA$1000,Verlauf!$B$6:$B$1000,$A227,Verlauf!$C$6:$C$1000,$B227)</f>
        <v>0</v>
      </c>
      <c r="AC227" s="26">
        <f>SUMIFS(Verlauf!$AB$6:$AB$1000,Verlauf!$B$6:$B$1000,$A227,Verlauf!$C$6:$C$1000,$B227)</f>
        <v>0</v>
      </c>
      <c r="AD227" s="26">
        <f>SUMIFS(Verlauf!$AC$6:$AC$1000,Verlauf!$B$6:$B$1000,$A227,Verlauf!$C$6:$C$1000,$B227)</f>
        <v>0</v>
      </c>
      <c r="AE227" s="26">
        <f>SUMIFS(Verlauf!$S$6:$S$1000,Verlauf!$B$6:$B$1000,$A227,Verlauf!$C$6:$C$1000,$B227)</f>
        <v>0</v>
      </c>
      <c r="AF227" s="26" t="str">
        <f>IF($AN227="","",INDEX(Verlauf!$D$6:$D$1000,MATCH($AN227,Verlauf!$A$6:$A$1000,0)))</f>
        <v/>
      </c>
      <c r="AG227" s="26" t="str">
        <f>IF($AN227="","",INDEX(Verlauf!$E$6:$E$1000,MATCH($AN227,Verlauf!$A$6:$A$1000,0)))</f>
        <v/>
      </c>
      <c r="AH227" s="26" t="str">
        <f>IF($AN227="","",INDEX(Verlauf!$F$6:$F$1000,MATCH($AN227,Verlauf!$A$6:$A$1000,0)))</f>
        <v/>
      </c>
      <c r="AI227" s="26" t="str">
        <f>IF($AN227="","",INDEX(Verlauf!$H$6:$H$1000,MATCH($AN227,Verlauf!$A$6:$A$1000,0)))</f>
        <v/>
      </c>
      <c r="AJ227" s="26" t="str">
        <f>IF($AN227="","",INDEX(Verlauf!$N$6:$N$1000,MATCH($AN227,Verlauf!$A$6:$A$1000,0)))</f>
        <v/>
      </c>
      <c r="AK227" s="26" t="str">
        <f>IF($AN227="","",INDEX(Verlauf!$O$6:$O$1000,MATCH($AN227,Verlauf!$A$6:$A$1000,0)))</f>
        <v/>
      </c>
      <c r="AL227" s="26" t="str">
        <f>IF($AN227="","",INDEX(Verlauf!$P$6:$P$1000,MATCH($AN227,Verlauf!$A$6:$A$1000,0)))</f>
        <v/>
      </c>
      <c r="AM227" s="26" t="str">
        <f>IF($AN227="","",INDEX(Verlauf!$R$6:$R$1000,MATCH($AN227,Verlauf!$A$6:$A$1000,0)))</f>
        <v/>
      </c>
      <c r="AN227" s="28" t="str">
        <f>IF(U227&gt;0,_xlfn.MAXIFS(Verlauf!$A$6:$A$1000,Verlauf!$B$6:$B$1000,$A227,Verlauf!$C$6:$C$1000,$B227),"")</f>
        <v/>
      </c>
    </row>
    <row r="228" spans="1:40" x14ac:dyDescent="0.25">
      <c r="A228" s="26">
        <v>2030</v>
      </c>
      <c r="B228" s="26">
        <v>43</v>
      </c>
      <c r="C228" s="7" t="str">
        <f t="shared" si="30"/>
        <v>KW 43/30</v>
      </c>
      <c r="D228" s="26">
        <f>SUMIFS(Verlauf!$K$6:$K$1000,Verlauf!$B$6:$B$1000,$A228,Verlauf!$C$6:$C$1000,$B228)</f>
        <v>0</v>
      </c>
      <c r="E228" s="26">
        <f>SUMIFS(Verlauf!$L$6:$L$1000,Verlauf!$B$6:$B$1000,$A228,Verlauf!$C$6:$C$1000,$B228)</f>
        <v>0</v>
      </c>
      <c r="F228" s="26">
        <f>SUMIFS(Verlauf!$M$6:$M$1000,Verlauf!$B$6:$B$1000,$A228,Verlauf!$C$6:$C$1000,$B228)</f>
        <v>0</v>
      </c>
      <c r="G228" s="26">
        <f>SUMIFS(Verlauf!$J$6:$J$1000,Verlauf!$B$6:$B$1000,$A228,Verlauf!$C$6:$C$1000,$B228)</f>
        <v>0</v>
      </c>
      <c r="H228" s="26">
        <f>SUMIFS(Verlauf!$U$6:$U$1000,Verlauf!$B$6:$B$1000,$A228,Verlauf!$C$6:$C$1000,$B228)</f>
        <v>0</v>
      </c>
      <c r="I228" s="26">
        <f>SUMIFS(Verlauf!$V$6:$V$1000,Verlauf!$B$6:$B$1000,$A228,Verlauf!$C$6:$C$1000,$B228)</f>
        <v>0</v>
      </c>
      <c r="J228" s="26">
        <f>SUMIFS(Verlauf!$W$6:$W$1000,Verlauf!$B$6:$B$1000,$A228,Verlauf!$C$6:$C$1000,$B228)</f>
        <v>0</v>
      </c>
      <c r="K228" s="26">
        <f>SUMIFS(Verlauf!$T$6:$T$1000,Verlauf!$B$6:$B$1000,$A228,Verlauf!$C$6:$C$1000,$B228)</f>
        <v>0</v>
      </c>
      <c r="L228" s="27">
        <f>IF(Filter!$T$7=TRUE,IFERROR(INDEX(Planung!$D$68:$IA$68,MATCH($W228,Wirksam!$D$6:$IA$6,0)),0),0)</f>
        <v>0</v>
      </c>
      <c r="M228" s="27">
        <f>IF(OR(Filter!$T$5=TRUE,Filter!$T$6=TRUE),IFERROR(INDEX(Planung!$D$69:$IA$69,MATCH($W228,Wirksam!$D$6:$IA$6,0)),0),0)</f>
        <v>0</v>
      </c>
      <c r="N228" s="27">
        <f t="shared" si="31"/>
        <v>0</v>
      </c>
      <c r="O228" s="27" t="e">
        <f t="shared" si="32"/>
        <v>#N/A</v>
      </c>
      <c r="P228" s="27" t="e">
        <f t="shared" si="33"/>
        <v>#N/A</v>
      </c>
      <c r="Q228" s="27" t="e">
        <f t="shared" si="34"/>
        <v>#N/A</v>
      </c>
      <c r="R228" s="27" t="e">
        <f t="shared" si="35"/>
        <v>#N/A</v>
      </c>
      <c r="S228" s="27" t="e">
        <f t="shared" si="36"/>
        <v>#N/A</v>
      </c>
      <c r="T228" s="27" t="e">
        <f t="shared" si="37"/>
        <v>#N/A</v>
      </c>
      <c r="U228" s="26">
        <f>COUNTIFS(Verlauf!$B$6:$B$1000,$A228,Verlauf!$C$6:$C$1000,$B228)</f>
        <v>0</v>
      </c>
      <c r="V228" s="26">
        <f t="shared" si="38"/>
        <v>0</v>
      </c>
      <c r="W228" s="26">
        <f t="shared" si="39"/>
        <v>203043</v>
      </c>
      <c r="X228" s="26">
        <f>SUMIFS(Verlauf!$X$6:$X$1000,Verlauf!$B$6:$B$1000,$A228,Verlauf!$C$6:$C$1000,$B228)</f>
        <v>0</v>
      </c>
      <c r="Y228" s="26">
        <f>SUMIFS(Verlauf!$Y$6:$Y$1000,Verlauf!$B$6:$B$1000,$A228,Verlauf!$C$6:$C$1000,$B228)</f>
        <v>0</v>
      </c>
      <c r="Z228" s="26">
        <f>SUMIFS(Verlauf!$Z$6:$Z$1000,Verlauf!$B$6:$B$1000,$A228,Verlauf!$C$6:$C$1000,$B228)</f>
        <v>0</v>
      </c>
      <c r="AA228" s="26">
        <f>SUMIFS(Verlauf!$I$6:$I$1000,Verlauf!$B$6:$B$1000,$A228,Verlauf!$C$6:$C$1000,$B228)</f>
        <v>0</v>
      </c>
      <c r="AB228" s="26">
        <f>SUMIFS(Verlauf!$AA$6:$AA$1000,Verlauf!$B$6:$B$1000,$A228,Verlauf!$C$6:$C$1000,$B228)</f>
        <v>0</v>
      </c>
      <c r="AC228" s="26">
        <f>SUMIFS(Verlauf!$AB$6:$AB$1000,Verlauf!$B$6:$B$1000,$A228,Verlauf!$C$6:$C$1000,$B228)</f>
        <v>0</v>
      </c>
      <c r="AD228" s="26">
        <f>SUMIFS(Verlauf!$AC$6:$AC$1000,Verlauf!$B$6:$B$1000,$A228,Verlauf!$C$6:$C$1000,$B228)</f>
        <v>0</v>
      </c>
      <c r="AE228" s="26">
        <f>SUMIFS(Verlauf!$S$6:$S$1000,Verlauf!$B$6:$B$1000,$A228,Verlauf!$C$6:$C$1000,$B228)</f>
        <v>0</v>
      </c>
      <c r="AF228" s="26" t="str">
        <f>IF($AN228="","",INDEX(Verlauf!$D$6:$D$1000,MATCH($AN228,Verlauf!$A$6:$A$1000,0)))</f>
        <v/>
      </c>
      <c r="AG228" s="26" t="str">
        <f>IF($AN228="","",INDEX(Verlauf!$E$6:$E$1000,MATCH($AN228,Verlauf!$A$6:$A$1000,0)))</f>
        <v/>
      </c>
      <c r="AH228" s="26" t="str">
        <f>IF($AN228="","",INDEX(Verlauf!$F$6:$F$1000,MATCH($AN228,Verlauf!$A$6:$A$1000,0)))</f>
        <v/>
      </c>
      <c r="AI228" s="26" t="str">
        <f>IF($AN228="","",INDEX(Verlauf!$H$6:$H$1000,MATCH($AN228,Verlauf!$A$6:$A$1000,0)))</f>
        <v/>
      </c>
      <c r="AJ228" s="26" t="str">
        <f>IF($AN228="","",INDEX(Verlauf!$N$6:$N$1000,MATCH($AN228,Verlauf!$A$6:$A$1000,0)))</f>
        <v/>
      </c>
      <c r="AK228" s="26" t="str">
        <f>IF($AN228="","",INDEX(Verlauf!$O$6:$O$1000,MATCH($AN228,Verlauf!$A$6:$A$1000,0)))</f>
        <v/>
      </c>
      <c r="AL228" s="26" t="str">
        <f>IF($AN228="","",INDEX(Verlauf!$P$6:$P$1000,MATCH($AN228,Verlauf!$A$6:$A$1000,0)))</f>
        <v/>
      </c>
      <c r="AM228" s="26" t="str">
        <f>IF($AN228="","",INDEX(Verlauf!$R$6:$R$1000,MATCH($AN228,Verlauf!$A$6:$A$1000,0)))</f>
        <v/>
      </c>
      <c r="AN228" s="28" t="str">
        <f>IF(U228&gt;0,_xlfn.MAXIFS(Verlauf!$A$6:$A$1000,Verlauf!$B$6:$B$1000,$A228,Verlauf!$C$6:$C$1000,$B228),"")</f>
        <v/>
      </c>
    </row>
    <row r="229" spans="1:40" x14ac:dyDescent="0.25">
      <c r="A229" s="26">
        <v>2030</v>
      </c>
      <c r="B229" s="26">
        <v>44</v>
      </c>
      <c r="C229" s="7" t="str">
        <f t="shared" si="30"/>
        <v>KW 44/30</v>
      </c>
      <c r="D229" s="26">
        <f>SUMIFS(Verlauf!$K$6:$K$1000,Verlauf!$B$6:$B$1000,$A229,Verlauf!$C$6:$C$1000,$B229)</f>
        <v>0</v>
      </c>
      <c r="E229" s="26">
        <f>SUMIFS(Verlauf!$L$6:$L$1000,Verlauf!$B$6:$B$1000,$A229,Verlauf!$C$6:$C$1000,$B229)</f>
        <v>0</v>
      </c>
      <c r="F229" s="26">
        <f>SUMIFS(Verlauf!$M$6:$M$1000,Verlauf!$B$6:$B$1000,$A229,Verlauf!$C$6:$C$1000,$B229)</f>
        <v>0</v>
      </c>
      <c r="G229" s="26">
        <f>SUMIFS(Verlauf!$J$6:$J$1000,Verlauf!$B$6:$B$1000,$A229,Verlauf!$C$6:$C$1000,$B229)</f>
        <v>0</v>
      </c>
      <c r="H229" s="26">
        <f>SUMIFS(Verlauf!$U$6:$U$1000,Verlauf!$B$6:$B$1000,$A229,Verlauf!$C$6:$C$1000,$B229)</f>
        <v>0</v>
      </c>
      <c r="I229" s="26">
        <f>SUMIFS(Verlauf!$V$6:$V$1000,Verlauf!$B$6:$B$1000,$A229,Verlauf!$C$6:$C$1000,$B229)</f>
        <v>0</v>
      </c>
      <c r="J229" s="26">
        <f>SUMIFS(Verlauf!$W$6:$W$1000,Verlauf!$B$6:$B$1000,$A229,Verlauf!$C$6:$C$1000,$B229)</f>
        <v>0</v>
      </c>
      <c r="K229" s="26">
        <f>SUMIFS(Verlauf!$T$6:$T$1000,Verlauf!$B$6:$B$1000,$A229,Verlauf!$C$6:$C$1000,$B229)</f>
        <v>0</v>
      </c>
      <c r="L229" s="27">
        <f>IF(Filter!$T$7=TRUE,IFERROR(INDEX(Planung!$D$68:$IA$68,MATCH($W229,Wirksam!$D$6:$IA$6,0)),0),0)</f>
        <v>0</v>
      </c>
      <c r="M229" s="27">
        <f>IF(OR(Filter!$T$5=TRUE,Filter!$T$6=TRUE),IFERROR(INDEX(Planung!$D$69:$IA$69,MATCH($W229,Wirksam!$D$6:$IA$6,0)),0),0)</f>
        <v>0</v>
      </c>
      <c r="N229" s="27">
        <f t="shared" si="31"/>
        <v>0</v>
      </c>
      <c r="O229" s="27" t="e">
        <f t="shared" si="32"/>
        <v>#N/A</v>
      </c>
      <c r="P229" s="27" t="e">
        <f t="shared" si="33"/>
        <v>#N/A</v>
      </c>
      <c r="Q229" s="27" t="e">
        <f t="shared" si="34"/>
        <v>#N/A</v>
      </c>
      <c r="R229" s="27" t="e">
        <f t="shared" si="35"/>
        <v>#N/A</v>
      </c>
      <c r="S229" s="27" t="e">
        <f t="shared" si="36"/>
        <v>#N/A</v>
      </c>
      <c r="T229" s="27" t="e">
        <f t="shared" si="37"/>
        <v>#N/A</v>
      </c>
      <c r="U229" s="26">
        <f>COUNTIFS(Verlauf!$B$6:$B$1000,$A229,Verlauf!$C$6:$C$1000,$B229)</f>
        <v>0</v>
      </c>
      <c r="V229" s="26">
        <f t="shared" si="38"/>
        <v>0</v>
      </c>
      <c r="W229" s="26">
        <f t="shared" si="39"/>
        <v>203044</v>
      </c>
      <c r="X229" s="26">
        <f>SUMIFS(Verlauf!$X$6:$X$1000,Verlauf!$B$6:$B$1000,$A229,Verlauf!$C$6:$C$1000,$B229)</f>
        <v>0</v>
      </c>
      <c r="Y229" s="26">
        <f>SUMIFS(Verlauf!$Y$6:$Y$1000,Verlauf!$B$6:$B$1000,$A229,Verlauf!$C$6:$C$1000,$B229)</f>
        <v>0</v>
      </c>
      <c r="Z229" s="26">
        <f>SUMIFS(Verlauf!$Z$6:$Z$1000,Verlauf!$B$6:$B$1000,$A229,Verlauf!$C$6:$C$1000,$B229)</f>
        <v>0</v>
      </c>
      <c r="AA229" s="26">
        <f>SUMIFS(Verlauf!$I$6:$I$1000,Verlauf!$B$6:$B$1000,$A229,Verlauf!$C$6:$C$1000,$B229)</f>
        <v>0</v>
      </c>
      <c r="AB229" s="26">
        <f>SUMIFS(Verlauf!$AA$6:$AA$1000,Verlauf!$B$6:$B$1000,$A229,Verlauf!$C$6:$C$1000,$B229)</f>
        <v>0</v>
      </c>
      <c r="AC229" s="26">
        <f>SUMIFS(Verlauf!$AB$6:$AB$1000,Verlauf!$B$6:$B$1000,$A229,Verlauf!$C$6:$C$1000,$B229)</f>
        <v>0</v>
      </c>
      <c r="AD229" s="26">
        <f>SUMIFS(Verlauf!$AC$6:$AC$1000,Verlauf!$B$6:$B$1000,$A229,Verlauf!$C$6:$C$1000,$B229)</f>
        <v>0</v>
      </c>
      <c r="AE229" s="26">
        <f>SUMIFS(Verlauf!$S$6:$S$1000,Verlauf!$B$6:$B$1000,$A229,Verlauf!$C$6:$C$1000,$B229)</f>
        <v>0</v>
      </c>
      <c r="AF229" s="26" t="str">
        <f>IF($AN229="","",INDEX(Verlauf!$D$6:$D$1000,MATCH($AN229,Verlauf!$A$6:$A$1000,0)))</f>
        <v/>
      </c>
      <c r="AG229" s="26" t="str">
        <f>IF($AN229="","",INDEX(Verlauf!$E$6:$E$1000,MATCH($AN229,Verlauf!$A$6:$A$1000,0)))</f>
        <v/>
      </c>
      <c r="AH229" s="26" t="str">
        <f>IF($AN229="","",INDEX(Verlauf!$F$6:$F$1000,MATCH($AN229,Verlauf!$A$6:$A$1000,0)))</f>
        <v/>
      </c>
      <c r="AI229" s="26" t="str">
        <f>IF($AN229="","",INDEX(Verlauf!$H$6:$H$1000,MATCH($AN229,Verlauf!$A$6:$A$1000,0)))</f>
        <v/>
      </c>
      <c r="AJ229" s="26" t="str">
        <f>IF($AN229="","",INDEX(Verlauf!$N$6:$N$1000,MATCH($AN229,Verlauf!$A$6:$A$1000,0)))</f>
        <v/>
      </c>
      <c r="AK229" s="26" t="str">
        <f>IF($AN229="","",INDEX(Verlauf!$O$6:$O$1000,MATCH($AN229,Verlauf!$A$6:$A$1000,0)))</f>
        <v/>
      </c>
      <c r="AL229" s="26" t="str">
        <f>IF($AN229="","",INDEX(Verlauf!$P$6:$P$1000,MATCH($AN229,Verlauf!$A$6:$A$1000,0)))</f>
        <v/>
      </c>
      <c r="AM229" s="26" t="str">
        <f>IF($AN229="","",INDEX(Verlauf!$R$6:$R$1000,MATCH($AN229,Verlauf!$A$6:$A$1000,0)))</f>
        <v/>
      </c>
      <c r="AN229" s="28" t="str">
        <f>IF(U229&gt;0,_xlfn.MAXIFS(Verlauf!$A$6:$A$1000,Verlauf!$B$6:$B$1000,$A229,Verlauf!$C$6:$C$1000,$B229),"")</f>
        <v/>
      </c>
    </row>
    <row r="230" spans="1:40" x14ac:dyDescent="0.25">
      <c r="A230" s="26">
        <v>2030</v>
      </c>
      <c r="B230" s="26">
        <v>45</v>
      </c>
      <c r="C230" s="7" t="str">
        <f t="shared" si="30"/>
        <v>KW 45/30</v>
      </c>
      <c r="D230" s="26">
        <f>SUMIFS(Verlauf!$K$6:$K$1000,Verlauf!$B$6:$B$1000,$A230,Verlauf!$C$6:$C$1000,$B230)</f>
        <v>0</v>
      </c>
      <c r="E230" s="26">
        <f>SUMIFS(Verlauf!$L$6:$L$1000,Verlauf!$B$6:$B$1000,$A230,Verlauf!$C$6:$C$1000,$B230)</f>
        <v>0</v>
      </c>
      <c r="F230" s="26">
        <f>SUMIFS(Verlauf!$M$6:$M$1000,Verlauf!$B$6:$B$1000,$A230,Verlauf!$C$6:$C$1000,$B230)</f>
        <v>0</v>
      </c>
      <c r="G230" s="26">
        <f>SUMIFS(Verlauf!$J$6:$J$1000,Verlauf!$B$6:$B$1000,$A230,Verlauf!$C$6:$C$1000,$B230)</f>
        <v>0</v>
      </c>
      <c r="H230" s="26">
        <f>SUMIFS(Verlauf!$U$6:$U$1000,Verlauf!$B$6:$B$1000,$A230,Verlauf!$C$6:$C$1000,$B230)</f>
        <v>0</v>
      </c>
      <c r="I230" s="26">
        <f>SUMIFS(Verlauf!$V$6:$V$1000,Verlauf!$B$6:$B$1000,$A230,Verlauf!$C$6:$C$1000,$B230)</f>
        <v>0</v>
      </c>
      <c r="J230" s="26">
        <f>SUMIFS(Verlauf!$W$6:$W$1000,Verlauf!$B$6:$B$1000,$A230,Verlauf!$C$6:$C$1000,$B230)</f>
        <v>0</v>
      </c>
      <c r="K230" s="26">
        <f>SUMIFS(Verlauf!$T$6:$T$1000,Verlauf!$B$6:$B$1000,$A230,Verlauf!$C$6:$C$1000,$B230)</f>
        <v>0</v>
      </c>
      <c r="L230" s="27">
        <f>IF(Filter!$T$7=TRUE,IFERROR(INDEX(Planung!$D$68:$IA$68,MATCH($W230,Wirksam!$D$6:$IA$6,0)),0),0)</f>
        <v>0</v>
      </c>
      <c r="M230" s="27">
        <f>IF(OR(Filter!$T$5=TRUE,Filter!$T$6=TRUE),IFERROR(INDEX(Planung!$D$69:$IA$69,MATCH($W230,Wirksam!$D$6:$IA$6,0)),0),0)</f>
        <v>0</v>
      </c>
      <c r="N230" s="27">
        <f t="shared" si="31"/>
        <v>0</v>
      </c>
      <c r="O230" s="27" t="e">
        <f t="shared" si="32"/>
        <v>#N/A</v>
      </c>
      <c r="P230" s="27" t="e">
        <f t="shared" si="33"/>
        <v>#N/A</v>
      </c>
      <c r="Q230" s="27" t="e">
        <f t="shared" si="34"/>
        <v>#N/A</v>
      </c>
      <c r="R230" s="27" t="e">
        <f t="shared" si="35"/>
        <v>#N/A</v>
      </c>
      <c r="S230" s="27" t="e">
        <f t="shared" si="36"/>
        <v>#N/A</v>
      </c>
      <c r="T230" s="27" t="e">
        <f t="shared" si="37"/>
        <v>#N/A</v>
      </c>
      <c r="U230" s="26">
        <f>COUNTIFS(Verlauf!$B$6:$B$1000,$A230,Verlauf!$C$6:$C$1000,$B230)</f>
        <v>0</v>
      </c>
      <c r="V230" s="26">
        <f t="shared" si="38"/>
        <v>0</v>
      </c>
      <c r="W230" s="26">
        <f t="shared" si="39"/>
        <v>203045</v>
      </c>
      <c r="X230" s="26">
        <f>SUMIFS(Verlauf!$X$6:$X$1000,Verlauf!$B$6:$B$1000,$A230,Verlauf!$C$6:$C$1000,$B230)</f>
        <v>0</v>
      </c>
      <c r="Y230" s="26">
        <f>SUMIFS(Verlauf!$Y$6:$Y$1000,Verlauf!$B$6:$B$1000,$A230,Verlauf!$C$6:$C$1000,$B230)</f>
        <v>0</v>
      </c>
      <c r="Z230" s="26">
        <f>SUMIFS(Verlauf!$Z$6:$Z$1000,Verlauf!$B$6:$B$1000,$A230,Verlauf!$C$6:$C$1000,$B230)</f>
        <v>0</v>
      </c>
      <c r="AA230" s="26">
        <f>SUMIFS(Verlauf!$I$6:$I$1000,Verlauf!$B$6:$B$1000,$A230,Verlauf!$C$6:$C$1000,$B230)</f>
        <v>0</v>
      </c>
      <c r="AB230" s="26">
        <f>SUMIFS(Verlauf!$AA$6:$AA$1000,Verlauf!$B$6:$B$1000,$A230,Verlauf!$C$6:$C$1000,$B230)</f>
        <v>0</v>
      </c>
      <c r="AC230" s="26">
        <f>SUMIFS(Verlauf!$AB$6:$AB$1000,Verlauf!$B$6:$B$1000,$A230,Verlauf!$C$6:$C$1000,$B230)</f>
        <v>0</v>
      </c>
      <c r="AD230" s="26">
        <f>SUMIFS(Verlauf!$AC$6:$AC$1000,Verlauf!$B$6:$B$1000,$A230,Verlauf!$C$6:$C$1000,$B230)</f>
        <v>0</v>
      </c>
      <c r="AE230" s="26">
        <f>SUMIFS(Verlauf!$S$6:$S$1000,Verlauf!$B$6:$B$1000,$A230,Verlauf!$C$6:$C$1000,$B230)</f>
        <v>0</v>
      </c>
      <c r="AF230" s="26" t="str">
        <f>IF($AN230="","",INDEX(Verlauf!$D$6:$D$1000,MATCH($AN230,Verlauf!$A$6:$A$1000,0)))</f>
        <v/>
      </c>
      <c r="AG230" s="26" t="str">
        <f>IF($AN230="","",INDEX(Verlauf!$E$6:$E$1000,MATCH($AN230,Verlauf!$A$6:$A$1000,0)))</f>
        <v/>
      </c>
      <c r="AH230" s="26" t="str">
        <f>IF($AN230="","",INDEX(Verlauf!$F$6:$F$1000,MATCH($AN230,Verlauf!$A$6:$A$1000,0)))</f>
        <v/>
      </c>
      <c r="AI230" s="26" t="str">
        <f>IF($AN230="","",INDEX(Verlauf!$H$6:$H$1000,MATCH($AN230,Verlauf!$A$6:$A$1000,0)))</f>
        <v/>
      </c>
      <c r="AJ230" s="26" t="str">
        <f>IF($AN230="","",INDEX(Verlauf!$N$6:$N$1000,MATCH($AN230,Verlauf!$A$6:$A$1000,0)))</f>
        <v/>
      </c>
      <c r="AK230" s="26" t="str">
        <f>IF($AN230="","",INDEX(Verlauf!$O$6:$O$1000,MATCH($AN230,Verlauf!$A$6:$A$1000,0)))</f>
        <v/>
      </c>
      <c r="AL230" s="26" t="str">
        <f>IF($AN230="","",INDEX(Verlauf!$P$6:$P$1000,MATCH($AN230,Verlauf!$A$6:$A$1000,0)))</f>
        <v/>
      </c>
      <c r="AM230" s="26" t="str">
        <f>IF($AN230="","",INDEX(Verlauf!$R$6:$R$1000,MATCH($AN230,Verlauf!$A$6:$A$1000,0)))</f>
        <v/>
      </c>
      <c r="AN230" s="28" t="str">
        <f>IF(U230&gt;0,_xlfn.MAXIFS(Verlauf!$A$6:$A$1000,Verlauf!$B$6:$B$1000,$A230,Verlauf!$C$6:$C$1000,$B230),"")</f>
        <v/>
      </c>
    </row>
    <row r="231" spans="1:40" x14ac:dyDescent="0.25">
      <c r="A231" s="26">
        <v>2030</v>
      </c>
      <c r="B231" s="26">
        <v>46</v>
      </c>
      <c r="C231" s="7" t="str">
        <f t="shared" si="30"/>
        <v>KW 46/30</v>
      </c>
      <c r="D231" s="26">
        <f>SUMIFS(Verlauf!$K$6:$K$1000,Verlauf!$B$6:$B$1000,$A231,Verlauf!$C$6:$C$1000,$B231)</f>
        <v>0</v>
      </c>
      <c r="E231" s="26">
        <f>SUMIFS(Verlauf!$L$6:$L$1000,Verlauf!$B$6:$B$1000,$A231,Verlauf!$C$6:$C$1000,$B231)</f>
        <v>0</v>
      </c>
      <c r="F231" s="26">
        <f>SUMIFS(Verlauf!$M$6:$M$1000,Verlauf!$B$6:$B$1000,$A231,Verlauf!$C$6:$C$1000,$B231)</f>
        <v>0</v>
      </c>
      <c r="G231" s="26">
        <f>SUMIFS(Verlauf!$J$6:$J$1000,Verlauf!$B$6:$B$1000,$A231,Verlauf!$C$6:$C$1000,$B231)</f>
        <v>0</v>
      </c>
      <c r="H231" s="26">
        <f>SUMIFS(Verlauf!$U$6:$U$1000,Verlauf!$B$6:$B$1000,$A231,Verlauf!$C$6:$C$1000,$B231)</f>
        <v>0</v>
      </c>
      <c r="I231" s="26">
        <f>SUMIFS(Verlauf!$V$6:$V$1000,Verlauf!$B$6:$B$1000,$A231,Verlauf!$C$6:$C$1000,$B231)</f>
        <v>0</v>
      </c>
      <c r="J231" s="26">
        <f>SUMIFS(Verlauf!$W$6:$W$1000,Verlauf!$B$6:$B$1000,$A231,Verlauf!$C$6:$C$1000,$B231)</f>
        <v>0</v>
      </c>
      <c r="K231" s="26">
        <f>SUMIFS(Verlauf!$T$6:$T$1000,Verlauf!$B$6:$B$1000,$A231,Verlauf!$C$6:$C$1000,$B231)</f>
        <v>0</v>
      </c>
      <c r="L231" s="27">
        <f>IF(Filter!$T$7=TRUE,IFERROR(INDEX(Planung!$D$68:$IA$68,MATCH($W231,Wirksam!$D$6:$IA$6,0)),0),0)</f>
        <v>0</v>
      </c>
      <c r="M231" s="27">
        <f>IF(OR(Filter!$T$5=TRUE,Filter!$T$6=TRUE),IFERROR(INDEX(Planung!$D$69:$IA$69,MATCH($W231,Wirksam!$D$6:$IA$6,0)),0),0)</f>
        <v>0</v>
      </c>
      <c r="N231" s="27">
        <f t="shared" si="31"/>
        <v>0</v>
      </c>
      <c r="O231" s="27" t="e">
        <f t="shared" si="32"/>
        <v>#N/A</v>
      </c>
      <c r="P231" s="27" t="e">
        <f t="shared" si="33"/>
        <v>#N/A</v>
      </c>
      <c r="Q231" s="27" t="e">
        <f t="shared" si="34"/>
        <v>#N/A</v>
      </c>
      <c r="R231" s="27" t="e">
        <f t="shared" si="35"/>
        <v>#N/A</v>
      </c>
      <c r="S231" s="27" t="e">
        <f t="shared" si="36"/>
        <v>#N/A</v>
      </c>
      <c r="T231" s="27" t="e">
        <f t="shared" si="37"/>
        <v>#N/A</v>
      </c>
      <c r="U231" s="26">
        <f>COUNTIFS(Verlauf!$B$6:$B$1000,$A231,Verlauf!$C$6:$C$1000,$B231)</f>
        <v>0</v>
      </c>
      <c r="V231" s="26">
        <f t="shared" si="38"/>
        <v>0</v>
      </c>
      <c r="W231" s="26">
        <f t="shared" si="39"/>
        <v>203046</v>
      </c>
      <c r="X231" s="26">
        <f>SUMIFS(Verlauf!$X$6:$X$1000,Verlauf!$B$6:$B$1000,$A231,Verlauf!$C$6:$C$1000,$B231)</f>
        <v>0</v>
      </c>
      <c r="Y231" s="26">
        <f>SUMIFS(Verlauf!$Y$6:$Y$1000,Verlauf!$B$6:$B$1000,$A231,Verlauf!$C$6:$C$1000,$B231)</f>
        <v>0</v>
      </c>
      <c r="Z231" s="26">
        <f>SUMIFS(Verlauf!$Z$6:$Z$1000,Verlauf!$B$6:$B$1000,$A231,Verlauf!$C$6:$C$1000,$B231)</f>
        <v>0</v>
      </c>
      <c r="AA231" s="26">
        <f>SUMIFS(Verlauf!$I$6:$I$1000,Verlauf!$B$6:$B$1000,$A231,Verlauf!$C$6:$C$1000,$B231)</f>
        <v>0</v>
      </c>
      <c r="AB231" s="26">
        <f>SUMIFS(Verlauf!$AA$6:$AA$1000,Verlauf!$B$6:$B$1000,$A231,Verlauf!$C$6:$C$1000,$B231)</f>
        <v>0</v>
      </c>
      <c r="AC231" s="26">
        <f>SUMIFS(Verlauf!$AB$6:$AB$1000,Verlauf!$B$6:$B$1000,$A231,Verlauf!$C$6:$C$1000,$B231)</f>
        <v>0</v>
      </c>
      <c r="AD231" s="26">
        <f>SUMIFS(Verlauf!$AC$6:$AC$1000,Verlauf!$B$6:$B$1000,$A231,Verlauf!$C$6:$C$1000,$B231)</f>
        <v>0</v>
      </c>
      <c r="AE231" s="26">
        <f>SUMIFS(Verlauf!$S$6:$S$1000,Verlauf!$B$6:$B$1000,$A231,Verlauf!$C$6:$C$1000,$B231)</f>
        <v>0</v>
      </c>
      <c r="AF231" s="26" t="str">
        <f>IF($AN231="","",INDEX(Verlauf!$D$6:$D$1000,MATCH($AN231,Verlauf!$A$6:$A$1000,0)))</f>
        <v/>
      </c>
      <c r="AG231" s="26" t="str">
        <f>IF($AN231="","",INDEX(Verlauf!$E$6:$E$1000,MATCH($AN231,Verlauf!$A$6:$A$1000,0)))</f>
        <v/>
      </c>
      <c r="AH231" s="26" t="str">
        <f>IF($AN231="","",INDEX(Verlauf!$F$6:$F$1000,MATCH($AN231,Verlauf!$A$6:$A$1000,0)))</f>
        <v/>
      </c>
      <c r="AI231" s="26" t="str">
        <f>IF($AN231="","",INDEX(Verlauf!$H$6:$H$1000,MATCH($AN231,Verlauf!$A$6:$A$1000,0)))</f>
        <v/>
      </c>
      <c r="AJ231" s="26" t="str">
        <f>IF($AN231="","",INDEX(Verlauf!$N$6:$N$1000,MATCH($AN231,Verlauf!$A$6:$A$1000,0)))</f>
        <v/>
      </c>
      <c r="AK231" s="26" t="str">
        <f>IF($AN231="","",INDEX(Verlauf!$O$6:$O$1000,MATCH($AN231,Verlauf!$A$6:$A$1000,0)))</f>
        <v/>
      </c>
      <c r="AL231" s="26" t="str">
        <f>IF($AN231="","",INDEX(Verlauf!$P$6:$P$1000,MATCH($AN231,Verlauf!$A$6:$A$1000,0)))</f>
        <v/>
      </c>
      <c r="AM231" s="26" t="str">
        <f>IF($AN231="","",INDEX(Verlauf!$R$6:$R$1000,MATCH($AN231,Verlauf!$A$6:$A$1000,0)))</f>
        <v/>
      </c>
      <c r="AN231" s="28" t="str">
        <f>IF(U231&gt;0,_xlfn.MAXIFS(Verlauf!$A$6:$A$1000,Verlauf!$B$6:$B$1000,$A231,Verlauf!$C$6:$C$1000,$B231),"")</f>
        <v/>
      </c>
    </row>
    <row r="232" spans="1:40" x14ac:dyDescent="0.25">
      <c r="A232" s="26">
        <v>2030</v>
      </c>
      <c r="B232" s="26">
        <v>47</v>
      </c>
      <c r="C232" s="7" t="str">
        <f t="shared" si="30"/>
        <v>KW 47/30</v>
      </c>
      <c r="D232" s="26">
        <f>SUMIFS(Verlauf!$K$6:$K$1000,Verlauf!$B$6:$B$1000,$A232,Verlauf!$C$6:$C$1000,$B232)</f>
        <v>0</v>
      </c>
      <c r="E232" s="26">
        <f>SUMIFS(Verlauf!$L$6:$L$1000,Verlauf!$B$6:$B$1000,$A232,Verlauf!$C$6:$C$1000,$B232)</f>
        <v>0</v>
      </c>
      <c r="F232" s="26">
        <f>SUMIFS(Verlauf!$M$6:$M$1000,Verlauf!$B$6:$B$1000,$A232,Verlauf!$C$6:$C$1000,$B232)</f>
        <v>0</v>
      </c>
      <c r="G232" s="26">
        <f>SUMIFS(Verlauf!$J$6:$J$1000,Verlauf!$B$6:$B$1000,$A232,Verlauf!$C$6:$C$1000,$B232)</f>
        <v>0</v>
      </c>
      <c r="H232" s="26">
        <f>SUMIFS(Verlauf!$U$6:$U$1000,Verlauf!$B$6:$B$1000,$A232,Verlauf!$C$6:$C$1000,$B232)</f>
        <v>0</v>
      </c>
      <c r="I232" s="26">
        <f>SUMIFS(Verlauf!$V$6:$V$1000,Verlauf!$B$6:$B$1000,$A232,Verlauf!$C$6:$C$1000,$B232)</f>
        <v>0</v>
      </c>
      <c r="J232" s="26">
        <f>SUMIFS(Verlauf!$W$6:$W$1000,Verlauf!$B$6:$B$1000,$A232,Verlauf!$C$6:$C$1000,$B232)</f>
        <v>0</v>
      </c>
      <c r="K232" s="26">
        <f>SUMIFS(Verlauf!$T$6:$T$1000,Verlauf!$B$6:$B$1000,$A232,Verlauf!$C$6:$C$1000,$B232)</f>
        <v>0</v>
      </c>
      <c r="L232" s="27">
        <f>IF(Filter!$T$7=TRUE,IFERROR(INDEX(Planung!$D$68:$IA$68,MATCH($W232,Wirksam!$D$6:$IA$6,0)),0),0)</f>
        <v>0</v>
      </c>
      <c r="M232" s="27">
        <f>IF(OR(Filter!$T$5=TRUE,Filter!$T$6=TRUE),IFERROR(INDEX(Planung!$D$69:$IA$69,MATCH($W232,Wirksam!$D$6:$IA$6,0)),0),0)</f>
        <v>0</v>
      </c>
      <c r="N232" s="27">
        <f t="shared" si="31"/>
        <v>0</v>
      </c>
      <c r="O232" s="27" t="e">
        <f t="shared" si="32"/>
        <v>#N/A</v>
      </c>
      <c r="P232" s="27" t="e">
        <f t="shared" si="33"/>
        <v>#N/A</v>
      </c>
      <c r="Q232" s="27" t="e">
        <f t="shared" si="34"/>
        <v>#N/A</v>
      </c>
      <c r="R232" s="27" t="e">
        <f t="shared" si="35"/>
        <v>#N/A</v>
      </c>
      <c r="S232" s="27" t="e">
        <f t="shared" si="36"/>
        <v>#N/A</v>
      </c>
      <c r="T232" s="27" t="e">
        <f t="shared" si="37"/>
        <v>#N/A</v>
      </c>
      <c r="U232" s="26">
        <f>COUNTIFS(Verlauf!$B$6:$B$1000,$A232,Verlauf!$C$6:$C$1000,$B232)</f>
        <v>0</v>
      </c>
      <c r="V232" s="26">
        <f t="shared" si="38"/>
        <v>0</v>
      </c>
      <c r="W232" s="26">
        <f t="shared" si="39"/>
        <v>203047</v>
      </c>
      <c r="X232" s="26">
        <f>SUMIFS(Verlauf!$X$6:$X$1000,Verlauf!$B$6:$B$1000,$A232,Verlauf!$C$6:$C$1000,$B232)</f>
        <v>0</v>
      </c>
      <c r="Y232" s="26">
        <f>SUMIFS(Verlauf!$Y$6:$Y$1000,Verlauf!$B$6:$B$1000,$A232,Verlauf!$C$6:$C$1000,$B232)</f>
        <v>0</v>
      </c>
      <c r="Z232" s="26">
        <f>SUMIFS(Verlauf!$Z$6:$Z$1000,Verlauf!$B$6:$B$1000,$A232,Verlauf!$C$6:$C$1000,$B232)</f>
        <v>0</v>
      </c>
      <c r="AA232" s="26">
        <f>SUMIFS(Verlauf!$I$6:$I$1000,Verlauf!$B$6:$B$1000,$A232,Verlauf!$C$6:$C$1000,$B232)</f>
        <v>0</v>
      </c>
      <c r="AB232" s="26">
        <f>SUMIFS(Verlauf!$AA$6:$AA$1000,Verlauf!$B$6:$B$1000,$A232,Verlauf!$C$6:$C$1000,$B232)</f>
        <v>0</v>
      </c>
      <c r="AC232" s="26">
        <f>SUMIFS(Verlauf!$AB$6:$AB$1000,Verlauf!$B$6:$B$1000,$A232,Verlauf!$C$6:$C$1000,$B232)</f>
        <v>0</v>
      </c>
      <c r="AD232" s="26">
        <f>SUMIFS(Verlauf!$AC$6:$AC$1000,Verlauf!$B$6:$B$1000,$A232,Verlauf!$C$6:$C$1000,$B232)</f>
        <v>0</v>
      </c>
      <c r="AE232" s="26">
        <f>SUMIFS(Verlauf!$S$6:$S$1000,Verlauf!$B$6:$B$1000,$A232,Verlauf!$C$6:$C$1000,$B232)</f>
        <v>0</v>
      </c>
      <c r="AF232" s="26" t="str">
        <f>IF($AN232="","",INDEX(Verlauf!$D$6:$D$1000,MATCH($AN232,Verlauf!$A$6:$A$1000,0)))</f>
        <v/>
      </c>
      <c r="AG232" s="26" t="str">
        <f>IF($AN232="","",INDEX(Verlauf!$E$6:$E$1000,MATCH($AN232,Verlauf!$A$6:$A$1000,0)))</f>
        <v/>
      </c>
      <c r="AH232" s="26" t="str">
        <f>IF($AN232="","",INDEX(Verlauf!$F$6:$F$1000,MATCH($AN232,Verlauf!$A$6:$A$1000,0)))</f>
        <v/>
      </c>
      <c r="AI232" s="26" t="str">
        <f>IF($AN232="","",INDEX(Verlauf!$H$6:$H$1000,MATCH($AN232,Verlauf!$A$6:$A$1000,0)))</f>
        <v/>
      </c>
      <c r="AJ232" s="26" t="str">
        <f>IF($AN232="","",INDEX(Verlauf!$N$6:$N$1000,MATCH($AN232,Verlauf!$A$6:$A$1000,0)))</f>
        <v/>
      </c>
      <c r="AK232" s="26" t="str">
        <f>IF($AN232="","",INDEX(Verlauf!$O$6:$O$1000,MATCH($AN232,Verlauf!$A$6:$A$1000,0)))</f>
        <v/>
      </c>
      <c r="AL232" s="26" t="str">
        <f>IF($AN232="","",INDEX(Verlauf!$P$6:$P$1000,MATCH($AN232,Verlauf!$A$6:$A$1000,0)))</f>
        <v/>
      </c>
      <c r="AM232" s="26" t="str">
        <f>IF($AN232="","",INDEX(Verlauf!$R$6:$R$1000,MATCH($AN232,Verlauf!$A$6:$A$1000,0)))</f>
        <v/>
      </c>
      <c r="AN232" s="28" t="str">
        <f>IF(U232&gt;0,_xlfn.MAXIFS(Verlauf!$A$6:$A$1000,Verlauf!$B$6:$B$1000,$A232,Verlauf!$C$6:$C$1000,$B232),"")</f>
        <v/>
      </c>
    </row>
    <row r="233" spans="1:40" x14ac:dyDescent="0.25">
      <c r="A233" s="26">
        <v>2030</v>
      </c>
      <c r="B233" s="26">
        <v>48</v>
      </c>
      <c r="C233" s="7" t="str">
        <f t="shared" si="30"/>
        <v>KW 48/30</v>
      </c>
      <c r="D233" s="26">
        <f>SUMIFS(Verlauf!$K$6:$K$1000,Verlauf!$B$6:$B$1000,$A233,Verlauf!$C$6:$C$1000,$B233)</f>
        <v>0</v>
      </c>
      <c r="E233" s="26">
        <f>SUMIFS(Verlauf!$L$6:$L$1000,Verlauf!$B$6:$B$1000,$A233,Verlauf!$C$6:$C$1000,$B233)</f>
        <v>0</v>
      </c>
      <c r="F233" s="26">
        <f>SUMIFS(Verlauf!$M$6:$M$1000,Verlauf!$B$6:$B$1000,$A233,Verlauf!$C$6:$C$1000,$B233)</f>
        <v>0</v>
      </c>
      <c r="G233" s="26">
        <f>SUMIFS(Verlauf!$J$6:$J$1000,Verlauf!$B$6:$B$1000,$A233,Verlauf!$C$6:$C$1000,$B233)</f>
        <v>0</v>
      </c>
      <c r="H233" s="26">
        <f>SUMIFS(Verlauf!$U$6:$U$1000,Verlauf!$B$6:$B$1000,$A233,Verlauf!$C$6:$C$1000,$B233)</f>
        <v>0</v>
      </c>
      <c r="I233" s="26">
        <f>SUMIFS(Verlauf!$V$6:$V$1000,Verlauf!$B$6:$B$1000,$A233,Verlauf!$C$6:$C$1000,$B233)</f>
        <v>0</v>
      </c>
      <c r="J233" s="26">
        <f>SUMIFS(Verlauf!$W$6:$W$1000,Verlauf!$B$6:$B$1000,$A233,Verlauf!$C$6:$C$1000,$B233)</f>
        <v>0</v>
      </c>
      <c r="K233" s="26">
        <f>SUMIFS(Verlauf!$T$6:$T$1000,Verlauf!$B$6:$B$1000,$A233,Verlauf!$C$6:$C$1000,$B233)</f>
        <v>0</v>
      </c>
      <c r="L233" s="27">
        <f>IF(Filter!$T$7=TRUE,IFERROR(INDEX(Planung!$D$68:$IA$68,MATCH($W233,Wirksam!$D$6:$IA$6,0)),0),0)</f>
        <v>0</v>
      </c>
      <c r="M233" s="27">
        <f>IF(OR(Filter!$T$5=TRUE,Filter!$T$6=TRUE),IFERROR(INDEX(Planung!$D$69:$IA$69,MATCH($W233,Wirksam!$D$6:$IA$6,0)),0),0)</f>
        <v>0</v>
      </c>
      <c r="N233" s="27">
        <f t="shared" si="31"/>
        <v>0</v>
      </c>
      <c r="O233" s="27" t="e">
        <f t="shared" si="32"/>
        <v>#N/A</v>
      </c>
      <c r="P233" s="27" t="e">
        <f t="shared" si="33"/>
        <v>#N/A</v>
      </c>
      <c r="Q233" s="27" t="e">
        <f t="shared" si="34"/>
        <v>#N/A</v>
      </c>
      <c r="R233" s="27" t="e">
        <f t="shared" si="35"/>
        <v>#N/A</v>
      </c>
      <c r="S233" s="27" t="e">
        <f t="shared" si="36"/>
        <v>#N/A</v>
      </c>
      <c r="T233" s="27" t="e">
        <f t="shared" si="37"/>
        <v>#N/A</v>
      </c>
      <c r="U233" s="26">
        <f>COUNTIFS(Verlauf!$B$6:$B$1000,$A233,Verlauf!$C$6:$C$1000,$B233)</f>
        <v>0</v>
      </c>
      <c r="V233" s="26">
        <f t="shared" si="38"/>
        <v>0</v>
      </c>
      <c r="W233" s="26">
        <f t="shared" si="39"/>
        <v>203048</v>
      </c>
      <c r="X233" s="26">
        <f>SUMIFS(Verlauf!$X$6:$X$1000,Verlauf!$B$6:$B$1000,$A233,Verlauf!$C$6:$C$1000,$B233)</f>
        <v>0</v>
      </c>
      <c r="Y233" s="26">
        <f>SUMIFS(Verlauf!$Y$6:$Y$1000,Verlauf!$B$6:$B$1000,$A233,Verlauf!$C$6:$C$1000,$B233)</f>
        <v>0</v>
      </c>
      <c r="Z233" s="26">
        <f>SUMIFS(Verlauf!$Z$6:$Z$1000,Verlauf!$B$6:$B$1000,$A233,Verlauf!$C$6:$C$1000,$B233)</f>
        <v>0</v>
      </c>
      <c r="AA233" s="26">
        <f>SUMIFS(Verlauf!$I$6:$I$1000,Verlauf!$B$6:$B$1000,$A233,Verlauf!$C$6:$C$1000,$B233)</f>
        <v>0</v>
      </c>
      <c r="AB233" s="26">
        <f>SUMIFS(Verlauf!$AA$6:$AA$1000,Verlauf!$B$6:$B$1000,$A233,Verlauf!$C$6:$C$1000,$B233)</f>
        <v>0</v>
      </c>
      <c r="AC233" s="26">
        <f>SUMIFS(Verlauf!$AB$6:$AB$1000,Verlauf!$B$6:$B$1000,$A233,Verlauf!$C$6:$C$1000,$B233)</f>
        <v>0</v>
      </c>
      <c r="AD233" s="26">
        <f>SUMIFS(Verlauf!$AC$6:$AC$1000,Verlauf!$B$6:$B$1000,$A233,Verlauf!$C$6:$C$1000,$B233)</f>
        <v>0</v>
      </c>
      <c r="AE233" s="26">
        <f>SUMIFS(Verlauf!$S$6:$S$1000,Verlauf!$B$6:$B$1000,$A233,Verlauf!$C$6:$C$1000,$B233)</f>
        <v>0</v>
      </c>
      <c r="AF233" s="26" t="str">
        <f>IF($AN233="","",INDEX(Verlauf!$D$6:$D$1000,MATCH($AN233,Verlauf!$A$6:$A$1000,0)))</f>
        <v/>
      </c>
      <c r="AG233" s="26" t="str">
        <f>IF($AN233="","",INDEX(Verlauf!$E$6:$E$1000,MATCH($AN233,Verlauf!$A$6:$A$1000,0)))</f>
        <v/>
      </c>
      <c r="AH233" s="26" t="str">
        <f>IF($AN233="","",INDEX(Verlauf!$F$6:$F$1000,MATCH($AN233,Verlauf!$A$6:$A$1000,0)))</f>
        <v/>
      </c>
      <c r="AI233" s="26" t="str">
        <f>IF($AN233="","",INDEX(Verlauf!$H$6:$H$1000,MATCH($AN233,Verlauf!$A$6:$A$1000,0)))</f>
        <v/>
      </c>
      <c r="AJ233" s="26" t="str">
        <f>IF($AN233="","",INDEX(Verlauf!$N$6:$N$1000,MATCH($AN233,Verlauf!$A$6:$A$1000,0)))</f>
        <v/>
      </c>
      <c r="AK233" s="26" t="str">
        <f>IF($AN233="","",INDEX(Verlauf!$O$6:$O$1000,MATCH($AN233,Verlauf!$A$6:$A$1000,0)))</f>
        <v/>
      </c>
      <c r="AL233" s="26" t="str">
        <f>IF($AN233="","",INDEX(Verlauf!$P$6:$P$1000,MATCH($AN233,Verlauf!$A$6:$A$1000,0)))</f>
        <v/>
      </c>
      <c r="AM233" s="26" t="str">
        <f>IF($AN233="","",INDEX(Verlauf!$R$6:$R$1000,MATCH($AN233,Verlauf!$A$6:$A$1000,0)))</f>
        <v/>
      </c>
      <c r="AN233" s="28" t="str">
        <f>IF(U233&gt;0,_xlfn.MAXIFS(Verlauf!$A$6:$A$1000,Verlauf!$B$6:$B$1000,$A233,Verlauf!$C$6:$C$1000,$B233),"")</f>
        <v/>
      </c>
    </row>
    <row r="234" spans="1:40" x14ac:dyDescent="0.25">
      <c r="A234" s="26">
        <v>2030</v>
      </c>
      <c r="B234" s="26">
        <v>49</v>
      </c>
      <c r="C234" s="7" t="str">
        <f t="shared" si="30"/>
        <v>KW 49/30</v>
      </c>
      <c r="D234" s="26">
        <f>SUMIFS(Verlauf!$K$6:$K$1000,Verlauf!$B$6:$B$1000,$A234,Verlauf!$C$6:$C$1000,$B234)</f>
        <v>0</v>
      </c>
      <c r="E234" s="26">
        <f>SUMIFS(Verlauf!$L$6:$L$1000,Verlauf!$B$6:$B$1000,$A234,Verlauf!$C$6:$C$1000,$B234)</f>
        <v>0</v>
      </c>
      <c r="F234" s="26">
        <f>SUMIFS(Verlauf!$M$6:$M$1000,Verlauf!$B$6:$B$1000,$A234,Verlauf!$C$6:$C$1000,$B234)</f>
        <v>0</v>
      </c>
      <c r="G234" s="26">
        <f>SUMIFS(Verlauf!$J$6:$J$1000,Verlauf!$B$6:$B$1000,$A234,Verlauf!$C$6:$C$1000,$B234)</f>
        <v>0</v>
      </c>
      <c r="H234" s="26">
        <f>SUMIFS(Verlauf!$U$6:$U$1000,Verlauf!$B$6:$B$1000,$A234,Verlauf!$C$6:$C$1000,$B234)</f>
        <v>0</v>
      </c>
      <c r="I234" s="26">
        <f>SUMIFS(Verlauf!$V$6:$V$1000,Verlauf!$B$6:$B$1000,$A234,Verlauf!$C$6:$C$1000,$B234)</f>
        <v>0</v>
      </c>
      <c r="J234" s="26">
        <f>SUMIFS(Verlauf!$W$6:$W$1000,Verlauf!$B$6:$B$1000,$A234,Verlauf!$C$6:$C$1000,$B234)</f>
        <v>0</v>
      </c>
      <c r="K234" s="26">
        <f>SUMIFS(Verlauf!$T$6:$T$1000,Verlauf!$B$6:$B$1000,$A234,Verlauf!$C$6:$C$1000,$B234)</f>
        <v>0</v>
      </c>
      <c r="L234" s="27">
        <f>IF(Filter!$T$7=TRUE,IFERROR(INDEX(Planung!$D$68:$IA$68,MATCH($W234,Wirksam!$D$6:$IA$6,0)),0),0)</f>
        <v>0</v>
      </c>
      <c r="M234" s="27">
        <f>IF(OR(Filter!$T$5=TRUE,Filter!$T$6=TRUE),IFERROR(INDEX(Planung!$D$69:$IA$69,MATCH($W234,Wirksam!$D$6:$IA$6,0)),0),0)</f>
        <v>0</v>
      </c>
      <c r="N234" s="27">
        <f t="shared" si="31"/>
        <v>0</v>
      </c>
      <c r="O234" s="27" t="e">
        <f t="shared" si="32"/>
        <v>#N/A</v>
      </c>
      <c r="P234" s="27" t="e">
        <f t="shared" si="33"/>
        <v>#N/A</v>
      </c>
      <c r="Q234" s="27" t="e">
        <f t="shared" si="34"/>
        <v>#N/A</v>
      </c>
      <c r="R234" s="27" t="e">
        <f t="shared" si="35"/>
        <v>#N/A</v>
      </c>
      <c r="S234" s="27" t="e">
        <f t="shared" si="36"/>
        <v>#N/A</v>
      </c>
      <c r="T234" s="27" t="e">
        <f t="shared" si="37"/>
        <v>#N/A</v>
      </c>
      <c r="U234" s="26">
        <f>COUNTIFS(Verlauf!$B$6:$B$1000,$A234,Verlauf!$C$6:$C$1000,$B234)</f>
        <v>0</v>
      </c>
      <c r="V234" s="26">
        <f t="shared" si="38"/>
        <v>0</v>
      </c>
      <c r="W234" s="26">
        <f t="shared" si="39"/>
        <v>203049</v>
      </c>
      <c r="X234" s="26">
        <f>SUMIFS(Verlauf!$X$6:$X$1000,Verlauf!$B$6:$B$1000,$A234,Verlauf!$C$6:$C$1000,$B234)</f>
        <v>0</v>
      </c>
      <c r="Y234" s="26">
        <f>SUMIFS(Verlauf!$Y$6:$Y$1000,Verlauf!$B$6:$B$1000,$A234,Verlauf!$C$6:$C$1000,$B234)</f>
        <v>0</v>
      </c>
      <c r="Z234" s="26">
        <f>SUMIFS(Verlauf!$Z$6:$Z$1000,Verlauf!$B$6:$B$1000,$A234,Verlauf!$C$6:$C$1000,$B234)</f>
        <v>0</v>
      </c>
      <c r="AA234" s="26">
        <f>SUMIFS(Verlauf!$I$6:$I$1000,Verlauf!$B$6:$B$1000,$A234,Verlauf!$C$6:$C$1000,$B234)</f>
        <v>0</v>
      </c>
      <c r="AB234" s="26">
        <f>SUMIFS(Verlauf!$AA$6:$AA$1000,Verlauf!$B$6:$B$1000,$A234,Verlauf!$C$6:$C$1000,$B234)</f>
        <v>0</v>
      </c>
      <c r="AC234" s="26">
        <f>SUMIFS(Verlauf!$AB$6:$AB$1000,Verlauf!$B$6:$B$1000,$A234,Verlauf!$C$6:$C$1000,$B234)</f>
        <v>0</v>
      </c>
      <c r="AD234" s="26">
        <f>SUMIFS(Verlauf!$AC$6:$AC$1000,Verlauf!$B$6:$B$1000,$A234,Verlauf!$C$6:$C$1000,$B234)</f>
        <v>0</v>
      </c>
      <c r="AE234" s="26">
        <f>SUMIFS(Verlauf!$S$6:$S$1000,Verlauf!$B$6:$B$1000,$A234,Verlauf!$C$6:$C$1000,$B234)</f>
        <v>0</v>
      </c>
      <c r="AF234" s="26" t="str">
        <f>IF($AN234="","",INDEX(Verlauf!$D$6:$D$1000,MATCH($AN234,Verlauf!$A$6:$A$1000,0)))</f>
        <v/>
      </c>
      <c r="AG234" s="26" t="str">
        <f>IF($AN234="","",INDEX(Verlauf!$E$6:$E$1000,MATCH($AN234,Verlauf!$A$6:$A$1000,0)))</f>
        <v/>
      </c>
      <c r="AH234" s="26" t="str">
        <f>IF($AN234="","",INDEX(Verlauf!$F$6:$F$1000,MATCH($AN234,Verlauf!$A$6:$A$1000,0)))</f>
        <v/>
      </c>
      <c r="AI234" s="26" t="str">
        <f>IF($AN234="","",INDEX(Verlauf!$H$6:$H$1000,MATCH($AN234,Verlauf!$A$6:$A$1000,0)))</f>
        <v/>
      </c>
      <c r="AJ234" s="26" t="str">
        <f>IF($AN234="","",INDEX(Verlauf!$N$6:$N$1000,MATCH($AN234,Verlauf!$A$6:$A$1000,0)))</f>
        <v/>
      </c>
      <c r="AK234" s="26" t="str">
        <f>IF($AN234="","",INDEX(Verlauf!$O$6:$O$1000,MATCH($AN234,Verlauf!$A$6:$A$1000,0)))</f>
        <v/>
      </c>
      <c r="AL234" s="26" t="str">
        <f>IF($AN234="","",INDEX(Verlauf!$P$6:$P$1000,MATCH($AN234,Verlauf!$A$6:$A$1000,0)))</f>
        <v/>
      </c>
      <c r="AM234" s="26" t="str">
        <f>IF($AN234="","",INDEX(Verlauf!$R$6:$R$1000,MATCH($AN234,Verlauf!$A$6:$A$1000,0)))</f>
        <v/>
      </c>
      <c r="AN234" s="28" t="str">
        <f>IF(U234&gt;0,_xlfn.MAXIFS(Verlauf!$A$6:$A$1000,Verlauf!$B$6:$B$1000,$A234,Verlauf!$C$6:$C$1000,$B234),"")</f>
        <v/>
      </c>
    </row>
    <row r="235" spans="1:40" x14ac:dyDescent="0.25">
      <c r="A235" s="26">
        <v>2030</v>
      </c>
      <c r="B235" s="26">
        <v>50</v>
      </c>
      <c r="C235" s="7" t="str">
        <f t="shared" si="30"/>
        <v>KW 50/30</v>
      </c>
      <c r="D235" s="26">
        <f>SUMIFS(Verlauf!$K$6:$K$1000,Verlauf!$B$6:$B$1000,$A235,Verlauf!$C$6:$C$1000,$B235)</f>
        <v>0</v>
      </c>
      <c r="E235" s="26">
        <f>SUMIFS(Verlauf!$L$6:$L$1000,Verlauf!$B$6:$B$1000,$A235,Verlauf!$C$6:$C$1000,$B235)</f>
        <v>0</v>
      </c>
      <c r="F235" s="26">
        <f>SUMIFS(Verlauf!$M$6:$M$1000,Verlauf!$B$6:$B$1000,$A235,Verlauf!$C$6:$C$1000,$B235)</f>
        <v>0</v>
      </c>
      <c r="G235" s="26">
        <f>SUMIFS(Verlauf!$J$6:$J$1000,Verlauf!$B$6:$B$1000,$A235,Verlauf!$C$6:$C$1000,$B235)</f>
        <v>0</v>
      </c>
      <c r="H235" s="26">
        <f>SUMIFS(Verlauf!$U$6:$U$1000,Verlauf!$B$6:$B$1000,$A235,Verlauf!$C$6:$C$1000,$B235)</f>
        <v>0</v>
      </c>
      <c r="I235" s="26">
        <f>SUMIFS(Verlauf!$V$6:$V$1000,Verlauf!$B$6:$B$1000,$A235,Verlauf!$C$6:$C$1000,$B235)</f>
        <v>0</v>
      </c>
      <c r="J235" s="26">
        <f>SUMIFS(Verlauf!$W$6:$W$1000,Verlauf!$B$6:$B$1000,$A235,Verlauf!$C$6:$C$1000,$B235)</f>
        <v>0</v>
      </c>
      <c r="K235" s="26">
        <f>SUMIFS(Verlauf!$T$6:$T$1000,Verlauf!$B$6:$B$1000,$A235,Verlauf!$C$6:$C$1000,$B235)</f>
        <v>0</v>
      </c>
      <c r="L235" s="27">
        <f>IF(Filter!$T$7=TRUE,IFERROR(INDEX(Planung!$D$68:$IA$68,MATCH($W235,Wirksam!$D$6:$IA$6,0)),0),0)</f>
        <v>0</v>
      </c>
      <c r="M235" s="27">
        <f>IF(OR(Filter!$T$5=TRUE,Filter!$T$6=TRUE),IFERROR(INDEX(Planung!$D$69:$IA$69,MATCH($W235,Wirksam!$D$6:$IA$6,0)),0),0)</f>
        <v>0</v>
      </c>
      <c r="N235" s="27">
        <f t="shared" si="31"/>
        <v>0</v>
      </c>
      <c r="O235" s="27" t="e">
        <f t="shared" si="32"/>
        <v>#N/A</v>
      </c>
      <c r="P235" s="27" t="e">
        <f t="shared" si="33"/>
        <v>#N/A</v>
      </c>
      <c r="Q235" s="27" t="e">
        <f t="shared" si="34"/>
        <v>#N/A</v>
      </c>
      <c r="R235" s="27" t="e">
        <f t="shared" si="35"/>
        <v>#N/A</v>
      </c>
      <c r="S235" s="27" t="e">
        <f t="shared" si="36"/>
        <v>#N/A</v>
      </c>
      <c r="T235" s="27" t="e">
        <f t="shared" si="37"/>
        <v>#N/A</v>
      </c>
      <c r="U235" s="26">
        <f>COUNTIFS(Verlauf!$B$6:$B$1000,$A235,Verlauf!$C$6:$C$1000,$B235)</f>
        <v>0</v>
      </c>
      <c r="V235" s="26">
        <f t="shared" si="38"/>
        <v>0</v>
      </c>
      <c r="W235" s="26">
        <f t="shared" si="39"/>
        <v>203050</v>
      </c>
      <c r="X235" s="26">
        <f>SUMIFS(Verlauf!$X$6:$X$1000,Verlauf!$B$6:$B$1000,$A235,Verlauf!$C$6:$C$1000,$B235)</f>
        <v>0</v>
      </c>
      <c r="Y235" s="26">
        <f>SUMIFS(Verlauf!$Y$6:$Y$1000,Verlauf!$B$6:$B$1000,$A235,Verlauf!$C$6:$C$1000,$B235)</f>
        <v>0</v>
      </c>
      <c r="Z235" s="26">
        <f>SUMIFS(Verlauf!$Z$6:$Z$1000,Verlauf!$B$6:$B$1000,$A235,Verlauf!$C$6:$C$1000,$B235)</f>
        <v>0</v>
      </c>
      <c r="AA235" s="26">
        <f>SUMIFS(Verlauf!$I$6:$I$1000,Verlauf!$B$6:$B$1000,$A235,Verlauf!$C$6:$C$1000,$B235)</f>
        <v>0</v>
      </c>
      <c r="AB235" s="26">
        <f>SUMIFS(Verlauf!$AA$6:$AA$1000,Verlauf!$B$6:$B$1000,$A235,Verlauf!$C$6:$C$1000,$B235)</f>
        <v>0</v>
      </c>
      <c r="AC235" s="26">
        <f>SUMIFS(Verlauf!$AB$6:$AB$1000,Verlauf!$B$6:$B$1000,$A235,Verlauf!$C$6:$C$1000,$B235)</f>
        <v>0</v>
      </c>
      <c r="AD235" s="26">
        <f>SUMIFS(Verlauf!$AC$6:$AC$1000,Verlauf!$B$6:$B$1000,$A235,Verlauf!$C$6:$C$1000,$B235)</f>
        <v>0</v>
      </c>
      <c r="AE235" s="26">
        <f>SUMIFS(Verlauf!$S$6:$S$1000,Verlauf!$B$6:$B$1000,$A235,Verlauf!$C$6:$C$1000,$B235)</f>
        <v>0</v>
      </c>
      <c r="AF235" s="26" t="str">
        <f>IF($AN235="","",INDEX(Verlauf!$D$6:$D$1000,MATCH($AN235,Verlauf!$A$6:$A$1000,0)))</f>
        <v/>
      </c>
      <c r="AG235" s="26" t="str">
        <f>IF($AN235="","",INDEX(Verlauf!$E$6:$E$1000,MATCH($AN235,Verlauf!$A$6:$A$1000,0)))</f>
        <v/>
      </c>
      <c r="AH235" s="26" t="str">
        <f>IF($AN235="","",INDEX(Verlauf!$F$6:$F$1000,MATCH($AN235,Verlauf!$A$6:$A$1000,0)))</f>
        <v/>
      </c>
      <c r="AI235" s="26" t="str">
        <f>IF($AN235="","",INDEX(Verlauf!$H$6:$H$1000,MATCH($AN235,Verlauf!$A$6:$A$1000,0)))</f>
        <v/>
      </c>
      <c r="AJ235" s="26" t="str">
        <f>IF($AN235="","",INDEX(Verlauf!$N$6:$N$1000,MATCH($AN235,Verlauf!$A$6:$A$1000,0)))</f>
        <v/>
      </c>
      <c r="AK235" s="26" t="str">
        <f>IF($AN235="","",INDEX(Verlauf!$O$6:$O$1000,MATCH($AN235,Verlauf!$A$6:$A$1000,0)))</f>
        <v/>
      </c>
      <c r="AL235" s="26" t="str">
        <f>IF($AN235="","",INDEX(Verlauf!$P$6:$P$1000,MATCH($AN235,Verlauf!$A$6:$A$1000,0)))</f>
        <v/>
      </c>
      <c r="AM235" s="26" t="str">
        <f>IF($AN235="","",INDEX(Verlauf!$R$6:$R$1000,MATCH($AN235,Verlauf!$A$6:$A$1000,0)))</f>
        <v/>
      </c>
      <c r="AN235" s="28" t="str">
        <f>IF(U235&gt;0,_xlfn.MAXIFS(Verlauf!$A$6:$A$1000,Verlauf!$B$6:$B$1000,$A235,Verlauf!$C$6:$C$1000,$B235),"")</f>
        <v/>
      </c>
    </row>
    <row r="236" spans="1:40" x14ac:dyDescent="0.25">
      <c r="A236" s="26">
        <v>2030</v>
      </c>
      <c r="B236" s="26">
        <v>51</v>
      </c>
      <c r="C236" s="7" t="str">
        <f t="shared" si="30"/>
        <v>KW 51/30</v>
      </c>
      <c r="D236" s="26">
        <f>SUMIFS(Verlauf!$K$6:$K$1000,Verlauf!$B$6:$B$1000,$A236,Verlauf!$C$6:$C$1000,$B236)</f>
        <v>0</v>
      </c>
      <c r="E236" s="26">
        <f>SUMIFS(Verlauf!$L$6:$L$1000,Verlauf!$B$6:$B$1000,$A236,Verlauf!$C$6:$C$1000,$B236)</f>
        <v>0</v>
      </c>
      <c r="F236" s="26">
        <f>SUMIFS(Verlauf!$M$6:$M$1000,Verlauf!$B$6:$B$1000,$A236,Verlauf!$C$6:$C$1000,$B236)</f>
        <v>0</v>
      </c>
      <c r="G236" s="26">
        <f>SUMIFS(Verlauf!$J$6:$J$1000,Verlauf!$B$6:$B$1000,$A236,Verlauf!$C$6:$C$1000,$B236)</f>
        <v>0</v>
      </c>
      <c r="H236" s="26">
        <f>SUMIFS(Verlauf!$U$6:$U$1000,Verlauf!$B$6:$B$1000,$A236,Verlauf!$C$6:$C$1000,$B236)</f>
        <v>0</v>
      </c>
      <c r="I236" s="26">
        <f>SUMIFS(Verlauf!$V$6:$V$1000,Verlauf!$B$6:$B$1000,$A236,Verlauf!$C$6:$C$1000,$B236)</f>
        <v>0</v>
      </c>
      <c r="J236" s="26">
        <f>SUMIFS(Verlauf!$W$6:$W$1000,Verlauf!$B$6:$B$1000,$A236,Verlauf!$C$6:$C$1000,$B236)</f>
        <v>0</v>
      </c>
      <c r="K236" s="26">
        <f>SUMIFS(Verlauf!$T$6:$T$1000,Verlauf!$B$6:$B$1000,$A236,Verlauf!$C$6:$C$1000,$B236)</f>
        <v>0</v>
      </c>
      <c r="L236" s="27">
        <f>IF(Filter!$T$7=TRUE,IFERROR(INDEX(Planung!$D$68:$IA$68,MATCH($W236,Wirksam!$D$6:$IA$6,0)),0),0)</f>
        <v>0</v>
      </c>
      <c r="M236" s="27">
        <f>IF(OR(Filter!$T$5=TRUE,Filter!$T$6=TRUE),IFERROR(INDEX(Planung!$D$69:$IA$69,MATCH($W236,Wirksam!$D$6:$IA$6,0)),0),0)</f>
        <v>0</v>
      </c>
      <c r="N236" s="27">
        <f t="shared" si="31"/>
        <v>0</v>
      </c>
      <c r="O236" s="27" t="e">
        <f t="shared" si="32"/>
        <v>#N/A</v>
      </c>
      <c r="P236" s="27" t="e">
        <f t="shared" si="33"/>
        <v>#N/A</v>
      </c>
      <c r="Q236" s="27" t="e">
        <f t="shared" si="34"/>
        <v>#N/A</v>
      </c>
      <c r="R236" s="27" t="e">
        <f t="shared" si="35"/>
        <v>#N/A</v>
      </c>
      <c r="S236" s="27" t="e">
        <f t="shared" si="36"/>
        <v>#N/A</v>
      </c>
      <c r="T236" s="27" t="e">
        <f t="shared" si="37"/>
        <v>#N/A</v>
      </c>
      <c r="U236" s="26">
        <f>COUNTIFS(Verlauf!$B$6:$B$1000,$A236,Verlauf!$C$6:$C$1000,$B236)</f>
        <v>0</v>
      </c>
      <c r="V236" s="26">
        <f t="shared" si="38"/>
        <v>0</v>
      </c>
      <c r="W236" s="26">
        <f t="shared" si="39"/>
        <v>203051</v>
      </c>
      <c r="X236" s="26">
        <f>SUMIFS(Verlauf!$X$6:$X$1000,Verlauf!$B$6:$B$1000,$A236,Verlauf!$C$6:$C$1000,$B236)</f>
        <v>0</v>
      </c>
      <c r="Y236" s="26">
        <f>SUMIFS(Verlauf!$Y$6:$Y$1000,Verlauf!$B$6:$B$1000,$A236,Verlauf!$C$6:$C$1000,$B236)</f>
        <v>0</v>
      </c>
      <c r="Z236" s="26">
        <f>SUMIFS(Verlauf!$Z$6:$Z$1000,Verlauf!$B$6:$B$1000,$A236,Verlauf!$C$6:$C$1000,$B236)</f>
        <v>0</v>
      </c>
      <c r="AA236" s="26">
        <f>SUMIFS(Verlauf!$I$6:$I$1000,Verlauf!$B$6:$B$1000,$A236,Verlauf!$C$6:$C$1000,$B236)</f>
        <v>0</v>
      </c>
      <c r="AB236" s="26">
        <f>SUMIFS(Verlauf!$AA$6:$AA$1000,Verlauf!$B$6:$B$1000,$A236,Verlauf!$C$6:$C$1000,$B236)</f>
        <v>0</v>
      </c>
      <c r="AC236" s="26">
        <f>SUMIFS(Verlauf!$AB$6:$AB$1000,Verlauf!$B$6:$B$1000,$A236,Verlauf!$C$6:$C$1000,$B236)</f>
        <v>0</v>
      </c>
      <c r="AD236" s="26">
        <f>SUMIFS(Verlauf!$AC$6:$AC$1000,Verlauf!$B$6:$B$1000,$A236,Verlauf!$C$6:$C$1000,$B236)</f>
        <v>0</v>
      </c>
      <c r="AE236" s="26">
        <f>SUMIFS(Verlauf!$S$6:$S$1000,Verlauf!$B$6:$B$1000,$A236,Verlauf!$C$6:$C$1000,$B236)</f>
        <v>0</v>
      </c>
      <c r="AF236" s="26" t="str">
        <f>IF($AN236="","",INDEX(Verlauf!$D$6:$D$1000,MATCH($AN236,Verlauf!$A$6:$A$1000,0)))</f>
        <v/>
      </c>
      <c r="AG236" s="26" t="str">
        <f>IF($AN236="","",INDEX(Verlauf!$E$6:$E$1000,MATCH($AN236,Verlauf!$A$6:$A$1000,0)))</f>
        <v/>
      </c>
      <c r="AH236" s="26" t="str">
        <f>IF($AN236="","",INDEX(Verlauf!$F$6:$F$1000,MATCH($AN236,Verlauf!$A$6:$A$1000,0)))</f>
        <v/>
      </c>
      <c r="AI236" s="26" t="str">
        <f>IF($AN236="","",INDEX(Verlauf!$H$6:$H$1000,MATCH($AN236,Verlauf!$A$6:$A$1000,0)))</f>
        <v/>
      </c>
      <c r="AJ236" s="26" t="str">
        <f>IF($AN236="","",INDEX(Verlauf!$N$6:$N$1000,MATCH($AN236,Verlauf!$A$6:$A$1000,0)))</f>
        <v/>
      </c>
      <c r="AK236" s="26" t="str">
        <f>IF($AN236="","",INDEX(Verlauf!$O$6:$O$1000,MATCH($AN236,Verlauf!$A$6:$A$1000,0)))</f>
        <v/>
      </c>
      <c r="AL236" s="26" t="str">
        <f>IF($AN236="","",INDEX(Verlauf!$P$6:$P$1000,MATCH($AN236,Verlauf!$A$6:$A$1000,0)))</f>
        <v/>
      </c>
      <c r="AM236" s="26" t="str">
        <f>IF($AN236="","",INDEX(Verlauf!$R$6:$R$1000,MATCH($AN236,Verlauf!$A$6:$A$1000,0)))</f>
        <v/>
      </c>
      <c r="AN236" s="28" t="str">
        <f>IF(U236&gt;0,_xlfn.MAXIFS(Verlauf!$A$6:$A$1000,Verlauf!$B$6:$B$1000,$A236,Verlauf!$C$6:$C$1000,$B236),"")</f>
        <v/>
      </c>
    </row>
    <row r="237" spans="1:40" x14ac:dyDescent="0.25">
      <c r="A237" s="26">
        <v>2030</v>
      </c>
      <c r="B237" s="26">
        <v>52</v>
      </c>
      <c r="C237" s="7" t="str">
        <f t="shared" si="30"/>
        <v>KW 52/30</v>
      </c>
      <c r="D237" s="26">
        <f>SUMIFS(Verlauf!$K$6:$K$1000,Verlauf!$B$6:$B$1000,$A237,Verlauf!$C$6:$C$1000,$B237)</f>
        <v>0</v>
      </c>
      <c r="E237" s="26">
        <f>SUMIFS(Verlauf!$L$6:$L$1000,Verlauf!$B$6:$B$1000,$A237,Verlauf!$C$6:$C$1000,$B237)</f>
        <v>0</v>
      </c>
      <c r="F237" s="26">
        <f>SUMIFS(Verlauf!$M$6:$M$1000,Verlauf!$B$6:$B$1000,$A237,Verlauf!$C$6:$C$1000,$B237)</f>
        <v>0</v>
      </c>
      <c r="G237" s="26">
        <f>SUMIFS(Verlauf!$J$6:$J$1000,Verlauf!$B$6:$B$1000,$A237,Verlauf!$C$6:$C$1000,$B237)</f>
        <v>0</v>
      </c>
      <c r="H237" s="26">
        <f>SUMIFS(Verlauf!$U$6:$U$1000,Verlauf!$B$6:$B$1000,$A237,Verlauf!$C$6:$C$1000,$B237)</f>
        <v>0</v>
      </c>
      <c r="I237" s="26">
        <f>SUMIFS(Verlauf!$V$6:$V$1000,Verlauf!$B$6:$B$1000,$A237,Verlauf!$C$6:$C$1000,$B237)</f>
        <v>0</v>
      </c>
      <c r="J237" s="26">
        <f>SUMIFS(Verlauf!$W$6:$W$1000,Verlauf!$B$6:$B$1000,$A237,Verlauf!$C$6:$C$1000,$B237)</f>
        <v>0</v>
      </c>
      <c r="K237" s="26">
        <f>SUMIFS(Verlauf!$T$6:$T$1000,Verlauf!$B$6:$B$1000,$A237,Verlauf!$C$6:$C$1000,$B237)</f>
        <v>0</v>
      </c>
      <c r="L237" s="27">
        <f>IF(Filter!$T$7=TRUE,IFERROR(INDEX(Planung!$D$68:$IA$68,MATCH($W237,Wirksam!$D$6:$IA$6,0)),0),0)</f>
        <v>0</v>
      </c>
      <c r="M237" s="27">
        <f>IF(OR(Filter!$T$5=TRUE,Filter!$T$6=TRUE),IFERROR(INDEX(Planung!$D$69:$IA$69,MATCH($W237,Wirksam!$D$6:$IA$6,0)),0),0)</f>
        <v>0</v>
      </c>
      <c r="N237" s="27">
        <f t="shared" si="31"/>
        <v>0</v>
      </c>
      <c r="O237" s="27" t="e">
        <f t="shared" si="32"/>
        <v>#N/A</v>
      </c>
      <c r="P237" s="27" t="e">
        <f t="shared" si="33"/>
        <v>#N/A</v>
      </c>
      <c r="Q237" s="27" t="e">
        <f t="shared" si="34"/>
        <v>#N/A</v>
      </c>
      <c r="R237" s="27" t="e">
        <f t="shared" si="35"/>
        <v>#N/A</v>
      </c>
      <c r="S237" s="27" t="e">
        <f t="shared" si="36"/>
        <v>#N/A</v>
      </c>
      <c r="T237" s="27" t="e">
        <f t="shared" si="37"/>
        <v>#N/A</v>
      </c>
      <c r="U237" s="26">
        <f>COUNTIFS(Verlauf!$B$6:$B$1000,$A237,Verlauf!$C$6:$C$1000,$B237)</f>
        <v>0</v>
      </c>
      <c r="V237" s="26">
        <f t="shared" si="38"/>
        <v>0</v>
      </c>
      <c r="W237" s="26">
        <f t="shared" si="39"/>
        <v>203052</v>
      </c>
      <c r="X237" s="26">
        <f>SUMIFS(Verlauf!$X$6:$X$1000,Verlauf!$B$6:$B$1000,$A237,Verlauf!$C$6:$C$1000,$B237)</f>
        <v>0</v>
      </c>
      <c r="Y237" s="26">
        <f>SUMIFS(Verlauf!$Y$6:$Y$1000,Verlauf!$B$6:$B$1000,$A237,Verlauf!$C$6:$C$1000,$B237)</f>
        <v>0</v>
      </c>
      <c r="Z237" s="26">
        <f>SUMIFS(Verlauf!$Z$6:$Z$1000,Verlauf!$B$6:$B$1000,$A237,Verlauf!$C$6:$C$1000,$B237)</f>
        <v>0</v>
      </c>
      <c r="AA237" s="26">
        <f>SUMIFS(Verlauf!$I$6:$I$1000,Verlauf!$B$6:$B$1000,$A237,Verlauf!$C$6:$C$1000,$B237)</f>
        <v>0</v>
      </c>
      <c r="AB237" s="26">
        <f>SUMIFS(Verlauf!$AA$6:$AA$1000,Verlauf!$B$6:$B$1000,$A237,Verlauf!$C$6:$C$1000,$B237)</f>
        <v>0</v>
      </c>
      <c r="AC237" s="26">
        <f>SUMIFS(Verlauf!$AB$6:$AB$1000,Verlauf!$B$6:$B$1000,$A237,Verlauf!$C$6:$C$1000,$B237)</f>
        <v>0</v>
      </c>
      <c r="AD237" s="26">
        <f>SUMIFS(Verlauf!$AC$6:$AC$1000,Verlauf!$B$6:$B$1000,$A237,Verlauf!$C$6:$C$1000,$B237)</f>
        <v>0</v>
      </c>
      <c r="AE237" s="26">
        <f>SUMIFS(Verlauf!$S$6:$S$1000,Verlauf!$B$6:$B$1000,$A237,Verlauf!$C$6:$C$1000,$B237)</f>
        <v>0</v>
      </c>
      <c r="AF237" s="26" t="str">
        <f>IF($AN237="","",INDEX(Verlauf!$D$6:$D$1000,MATCH($AN237,Verlauf!$A$6:$A$1000,0)))</f>
        <v/>
      </c>
      <c r="AG237" s="26" t="str">
        <f>IF($AN237="","",INDEX(Verlauf!$E$6:$E$1000,MATCH($AN237,Verlauf!$A$6:$A$1000,0)))</f>
        <v/>
      </c>
      <c r="AH237" s="26" t="str">
        <f>IF($AN237="","",INDEX(Verlauf!$F$6:$F$1000,MATCH($AN237,Verlauf!$A$6:$A$1000,0)))</f>
        <v/>
      </c>
      <c r="AI237" s="26" t="str">
        <f>IF($AN237="","",INDEX(Verlauf!$H$6:$H$1000,MATCH($AN237,Verlauf!$A$6:$A$1000,0)))</f>
        <v/>
      </c>
      <c r="AJ237" s="26" t="str">
        <f>IF($AN237="","",INDEX(Verlauf!$N$6:$N$1000,MATCH($AN237,Verlauf!$A$6:$A$1000,0)))</f>
        <v/>
      </c>
      <c r="AK237" s="26" t="str">
        <f>IF($AN237="","",INDEX(Verlauf!$O$6:$O$1000,MATCH($AN237,Verlauf!$A$6:$A$1000,0)))</f>
        <v/>
      </c>
      <c r="AL237" s="26" t="str">
        <f>IF($AN237="","",INDEX(Verlauf!$P$6:$P$1000,MATCH($AN237,Verlauf!$A$6:$A$1000,0)))</f>
        <v/>
      </c>
      <c r="AM237" s="26" t="str">
        <f>IF($AN237="","",INDEX(Verlauf!$R$6:$R$1000,MATCH($AN237,Verlauf!$A$6:$A$1000,0)))</f>
        <v/>
      </c>
      <c r="AN237" s="28" t="str">
        <f>IF(U237&gt;0,_xlfn.MAXIFS(Verlauf!$A$6:$A$1000,Verlauf!$B$6:$B$1000,$A237,Verlauf!$C$6:$C$1000,$B237),"")</f>
        <v/>
      </c>
    </row>
  </sheetData>
  <mergeCells count="9">
    <mergeCell ref="X4:AA4"/>
    <mergeCell ref="AB4:AE4"/>
    <mergeCell ref="AF4:AI4"/>
    <mergeCell ref="AJ4:AM4"/>
    <mergeCell ref="D4:G4"/>
    <mergeCell ref="H4:K4"/>
    <mergeCell ref="L4:N4"/>
    <mergeCell ref="O4:Q4"/>
    <mergeCell ref="R4:T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P2"/>
  <sheetViews>
    <sheetView showGridLines="0" workbookViewId="0">
      <pane ySplit="1" topLeftCell="A2" activePane="bottomLeft" state="frozen"/>
      <selection pane="bottomLeft"/>
    </sheetView>
  </sheetViews>
  <sheetFormatPr defaultRowHeight="13.5" x14ac:dyDescent="0.25"/>
  <cols>
    <col min="1" max="1" width="11.7109375" style="28" customWidth="1"/>
    <col min="2" max="4" width="9.7109375" style="7" customWidth="1"/>
    <col min="5" max="5" width="15.7109375" style="7" customWidth="1"/>
    <col min="6" max="7" width="30.7109375" style="7" customWidth="1"/>
    <col min="8" max="16" width="9.7109375" style="26" customWidth="1"/>
  </cols>
  <sheetData>
    <row r="1" spans="1:16" ht="30" customHeight="1" x14ac:dyDescent="0.25">
      <c r="A1" s="20" t="s">
        <v>43</v>
      </c>
      <c r="B1" s="20" t="s">
        <v>44</v>
      </c>
      <c r="C1" s="20" t="s">
        <v>45</v>
      </c>
      <c r="D1" s="20" t="s">
        <v>46</v>
      </c>
      <c r="E1" s="20" t="s">
        <v>47</v>
      </c>
      <c r="F1" s="20" t="s">
        <v>48</v>
      </c>
      <c r="G1" s="20" t="s">
        <v>49</v>
      </c>
      <c r="H1" s="20" t="s">
        <v>50</v>
      </c>
      <c r="I1" s="20" t="s">
        <v>51</v>
      </c>
      <c r="J1" s="20" t="s">
        <v>52</v>
      </c>
      <c r="K1" s="20" t="s">
        <v>53</v>
      </c>
      <c r="L1" s="20" t="s">
        <v>54</v>
      </c>
      <c r="M1" s="20" t="s">
        <v>55</v>
      </c>
      <c r="N1" s="20" t="s">
        <v>56</v>
      </c>
      <c r="O1" s="20" t="s">
        <v>57</v>
      </c>
      <c r="P1" s="20" t="s">
        <v>58</v>
      </c>
    </row>
    <row r="2" spans="1:16" x14ac:dyDescent="0.25">
      <c r="P2" s="26">
        <f>IF(AND(IFERROR(INDEX(SP_Aktiv,MATCH(C2,SP_Liste,0)),TRUE),IFERROR(INDEX(PK_Aktiv,MATCH(E2,PK_Liste,0)),TRUE),IF(Filter!$L$5="Alle GeVo",TRUE,IF(Filter!$L$5="Nur BÜ-Schlüssel",ISNUMBER(MATCH(H2,BUESchluessel,0)),IFERROR(INDEX(GV_Aktiv,MATCH(G2,GV_Liste,0)),Filter!$H$18)))),1,0)</f>
        <v>1</v>
      </c>
    </row>
  </sheetData>
  <autoFilter ref="A1:P2" xr:uid="{00000000-0009-0000-0000-000007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T44"/>
  <sheetViews>
    <sheetView showGridLines="0" workbookViewId="0"/>
  </sheetViews>
  <sheetFormatPr defaultRowHeight="13.5" x14ac:dyDescent="0.25"/>
  <cols>
    <col min="1" max="1" width="2.7109375" customWidth="1"/>
    <col min="2" max="2" width="20.7109375" customWidth="1"/>
    <col min="3" max="3" width="8.7109375" customWidth="1"/>
    <col min="4" max="5" width="13.7109375" customWidth="1"/>
    <col min="6" max="6" width="2.7109375" customWidth="1"/>
    <col min="7" max="7" width="30.7109375" customWidth="1"/>
    <col min="8" max="9" width="9.7109375" customWidth="1"/>
    <col min="10" max="10" width="13.7109375" customWidth="1"/>
    <col min="11" max="11" width="2.7109375" customWidth="1"/>
    <col min="12" max="12" width="18.7109375" customWidth="1"/>
    <col min="13" max="13" width="2.7109375" customWidth="1"/>
    <col min="14" max="17" width="14.7109375" customWidth="1"/>
    <col min="18" max="18" width="2.7109375" customWidth="1"/>
    <col min="19" max="19" width="12.7109375" customWidth="1"/>
    <col min="20" max="20" width="8.7109375" customWidth="1"/>
  </cols>
  <sheetData>
    <row r="1" spans="2:20" ht="26.25" x14ac:dyDescent="0.25">
      <c r="B1" s="1" t="s">
        <v>59</v>
      </c>
      <c r="Q1" s="26">
        <v>0</v>
      </c>
      <c r="R1" s="7" t="s">
        <v>95</v>
      </c>
    </row>
    <row r="2" spans="2:20" x14ac:dyDescent="0.25">
      <c r="B2" s="2" t="s">
        <v>60</v>
      </c>
    </row>
    <row r="4" spans="2:20" ht="27" x14ac:dyDescent="0.25">
      <c r="B4" s="20" t="s">
        <v>47</v>
      </c>
      <c r="C4" s="20" t="s">
        <v>58</v>
      </c>
      <c r="D4" s="20" t="s">
        <v>62</v>
      </c>
      <c r="E4" s="20" t="s">
        <v>63</v>
      </c>
      <c r="G4" s="20" t="s">
        <v>49</v>
      </c>
      <c r="H4" s="20" t="s">
        <v>70</v>
      </c>
      <c r="I4" s="20" t="s">
        <v>71</v>
      </c>
      <c r="J4" s="20" t="s">
        <v>62</v>
      </c>
      <c r="L4" s="20" t="s">
        <v>86</v>
      </c>
      <c r="N4" s="20" t="s">
        <v>96</v>
      </c>
      <c r="O4" s="20" t="s">
        <v>97</v>
      </c>
      <c r="S4" s="20" t="s">
        <v>45</v>
      </c>
      <c r="T4" s="20" t="s">
        <v>58</v>
      </c>
    </row>
    <row r="5" spans="2:20" x14ac:dyDescent="0.25">
      <c r="B5" s="7" t="s">
        <v>33</v>
      </c>
      <c r="C5" s="29" t="b">
        <v>1</v>
      </c>
      <c r="D5" s="26">
        <f>IF(B5="","",SUMIFS(INDEX(F_Rueckstand,$O$22):INDEX(F_Rueckstand,$O$23),INDEX(F_Stichtag,$O$22):INDEX(F_Stichtag,$O$23),$N$5,INDEX(F_Quelle,$O$22):INDEX(F_Quelle,$O$23),"Verbund",INDEX(F_Postkorb,$O$22):INDEX(F_Postkorb,$O$23),B5))</f>
        <v>0</v>
      </c>
      <c r="E5" s="26">
        <f>IF(B5="","",SUMIFS(INDEX(F_Rueckstand,$O$22):INDEX(F_Rueckstand,$O$23),INDEX(F_Stichtag,$O$22):INDEX(F_Stichtag,$O$23),$N$5,INDEX(F_Quelle,$O$22):INDEX(F_Quelle,$O$23),"OPAG",INDEX(F_Postkorb,$O$22):INDEX(F_Postkorb,$O$23),B5))</f>
        <v>0</v>
      </c>
      <c r="G5" s="7" t="s">
        <v>72</v>
      </c>
      <c r="H5" s="29" t="b">
        <v>1</v>
      </c>
      <c r="I5" s="29" t="b">
        <f t="shared" ref="I5:I17" si="0">IF($L$5="Alle GeVo",TRUE,IF($L$5="Nur BÜ-Schlüssel",ISNUMBER(MATCH(IFERROR(VALUE(LEFT(G5,FIND(" ",G5&amp;" ")-1)),-1),BUESchluessel,0)),H5))</f>
        <v>1</v>
      </c>
      <c r="J5" s="26">
        <f>IF(G5="","",SUMIFS(INDEX(F_Rueckstand,$O$22):INDEX(F_Rueckstand,$O$23),INDEX(F_Stichtag,$O$22):INDEX(F_Stichtag,$O$23),$N$5,INDEX(F_Quelle,$O$22):INDEX(F_Quelle,$O$23),"Verbund",INDEX(F_GevoTyp,$O$22):INDEX(F_GevoTyp,$O$23),G5))</f>
        <v>0</v>
      </c>
      <c r="L5" s="4" t="s">
        <v>87</v>
      </c>
      <c r="N5" s="28" t="str">
        <f>O5</f>
        <v/>
      </c>
      <c r="O5" s="28" t="str">
        <f>IF(COUNT(Verlauf!$A$6:$A$1000)=0,"",MAX(Verlauf!$A$6:$A$1000))</f>
        <v/>
      </c>
      <c r="S5" s="7" t="s">
        <v>20</v>
      </c>
      <c r="T5" s="29" t="b">
        <v>1</v>
      </c>
    </row>
    <row r="6" spans="2:20" x14ac:dyDescent="0.25">
      <c r="B6" s="7" t="s">
        <v>34</v>
      </c>
      <c r="C6" s="29" t="b">
        <v>1</v>
      </c>
      <c r="D6" s="26">
        <f>IF(B6="","",SUMIFS(INDEX(F_Rueckstand,$O$22):INDEX(F_Rueckstand,$O$23),INDEX(F_Stichtag,$O$22):INDEX(F_Stichtag,$O$23),$N$5,INDEX(F_Quelle,$O$22):INDEX(F_Quelle,$O$23),"Verbund",INDEX(F_Postkorb,$O$22):INDEX(F_Postkorb,$O$23),B6))</f>
        <v>0</v>
      </c>
      <c r="E6" s="26">
        <f>IF(B6="","",SUMIFS(INDEX(F_Rueckstand,$O$22):INDEX(F_Rueckstand,$O$23),INDEX(F_Stichtag,$O$22):INDEX(F_Stichtag,$O$23),$N$5,INDEX(F_Quelle,$O$22):INDEX(F_Quelle,$O$23),"OPAG",INDEX(F_Postkorb,$O$22):INDEX(F_Postkorb,$O$23),B6))</f>
        <v>0</v>
      </c>
      <c r="G6" s="7" t="s">
        <v>73</v>
      </c>
      <c r="H6" s="29" t="b">
        <v>1</v>
      </c>
      <c r="I6" s="29" t="b">
        <f t="shared" si="0"/>
        <v>1</v>
      </c>
      <c r="J6" s="26">
        <f>IF(G6="","",SUMIFS(INDEX(F_Rueckstand,$O$22):INDEX(F_Rueckstand,$O$23),INDEX(F_Stichtag,$O$22):INDEX(F_Stichtag,$O$23),$N$5,INDEX(F_Quelle,$O$22):INDEX(F_Quelle,$O$23),"Verbund",INDEX(F_GevoTyp,$O$22):INDEX(F_GevoTyp,$O$23),G6))</f>
        <v>0</v>
      </c>
      <c r="N6" s="7" t="s">
        <v>98</v>
      </c>
      <c r="O6" s="28" t="str">
        <f>IF(COUNT(Verlauf!$A$6:$A$1000)&lt;2,"",LARGE(Verlauf!$A$6:$A$1000,2))</f>
        <v/>
      </c>
      <c r="S6" s="7" t="s">
        <v>16</v>
      </c>
      <c r="T6" s="29" t="b">
        <v>1</v>
      </c>
    </row>
    <row r="7" spans="2:20" ht="60" customHeight="1" x14ac:dyDescent="0.25">
      <c r="B7" s="7" t="s">
        <v>64</v>
      </c>
      <c r="C7" s="29" t="b">
        <v>0</v>
      </c>
      <c r="D7" s="26">
        <f>IF(B7="","",SUMIFS(INDEX(F_Rueckstand,$O$22):INDEX(F_Rueckstand,$O$23),INDEX(F_Stichtag,$O$22):INDEX(F_Stichtag,$O$23),$N$5,INDEX(F_Quelle,$O$22):INDEX(F_Quelle,$O$23),"Verbund",INDEX(F_Postkorb,$O$22):INDEX(F_Postkorb,$O$23),B7))</f>
        <v>0</v>
      </c>
      <c r="E7" s="26">
        <f>IF(B7="","",SUMIFS(INDEX(F_Rueckstand,$O$22):INDEX(F_Rueckstand,$O$23),INDEX(F_Stichtag,$O$22):INDEX(F_Stichtag,$O$23),$N$5,INDEX(F_Quelle,$O$22):INDEX(F_Quelle,$O$23),"OPAG",INDEX(F_Postkorb,$O$22):INDEX(F_Postkorb,$O$23),B7))</f>
        <v>0</v>
      </c>
      <c r="G7" s="7" t="s">
        <v>74</v>
      </c>
      <c r="H7" s="29" t="b">
        <v>1</v>
      </c>
      <c r="I7" s="29" t="b">
        <f t="shared" si="0"/>
        <v>1</v>
      </c>
      <c r="J7" s="26">
        <f>IF(G7="","",SUMIFS(INDEX(F_Rueckstand,$O$22):INDEX(F_Rueckstand,$O$23),INDEX(F_Stichtag,$O$22):INDEX(F_Stichtag,$O$23),$N$5,INDEX(F_Quelle,$O$22):INDEX(F_Quelle,$O$23),"Verbund",INDEX(F_GevoTyp,$O$22):INDEX(F_GevoTyp,$O$23),G7))</f>
        <v>0</v>
      </c>
      <c r="L7" s="5" t="s">
        <v>88</v>
      </c>
      <c r="N7" s="7" t="s">
        <v>99</v>
      </c>
      <c r="O7" s="26">
        <f>IFERROR(MATCH(O5,Verlauf!$A$6:$A$1000,0),0)</f>
        <v>0</v>
      </c>
      <c r="S7" s="7" t="s">
        <v>14</v>
      </c>
      <c r="T7" s="29" t="b">
        <v>1</v>
      </c>
    </row>
    <row r="8" spans="2:20" x14ac:dyDescent="0.25">
      <c r="B8" s="7" t="s">
        <v>65</v>
      </c>
      <c r="C8" s="29" t="b">
        <v>0</v>
      </c>
      <c r="D8" s="26">
        <f>IF(B8="","",SUMIFS(INDEX(F_Rueckstand,$O$22):INDEX(F_Rueckstand,$O$23),INDEX(F_Stichtag,$O$22):INDEX(F_Stichtag,$O$23),$N$5,INDEX(F_Quelle,$O$22):INDEX(F_Quelle,$O$23),"Verbund",INDEX(F_Postkorb,$O$22):INDEX(F_Postkorb,$O$23),B8))</f>
        <v>0</v>
      </c>
      <c r="E8" s="26">
        <f>IF(B8="","",SUMIFS(INDEX(F_Rueckstand,$O$22):INDEX(F_Rueckstand,$O$23),INDEX(F_Stichtag,$O$22):INDEX(F_Stichtag,$O$23),$N$5,INDEX(F_Quelle,$O$22):INDEX(F_Quelle,$O$23),"OPAG",INDEX(F_Postkorb,$O$22):INDEX(F_Postkorb,$O$23),B8))</f>
        <v>0</v>
      </c>
      <c r="G8" s="7" t="s">
        <v>75</v>
      </c>
      <c r="H8" s="29" t="b">
        <v>1</v>
      </c>
      <c r="I8" s="29" t="b">
        <f t="shared" si="0"/>
        <v>1</v>
      </c>
      <c r="J8" s="26">
        <f>IF(G8="","",SUMIFS(INDEX(F_Rueckstand,$O$22):INDEX(F_Rueckstand,$O$23),INDEX(F_Stichtag,$O$22):INDEX(F_Stichtag,$O$23),$N$5,INDEX(F_Quelle,$O$22):INDEX(F_Quelle,$O$23),"Verbund",INDEX(F_GevoTyp,$O$22):INDEX(F_GevoTyp,$O$23),G8))</f>
        <v>0</v>
      </c>
      <c r="L8" s="20" t="s">
        <v>89</v>
      </c>
      <c r="N8" s="7" t="s">
        <v>100</v>
      </c>
      <c r="O8" s="26">
        <f>IFERROR(MATCH(O6,Verlauf!$A$6:$A$1000,0),0)</f>
        <v>0</v>
      </c>
      <c r="S8" s="7" t="s">
        <v>61</v>
      </c>
      <c r="T8" s="29" t="b">
        <v>1</v>
      </c>
    </row>
    <row r="9" spans="2:20" x14ac:dyDescent="0.25">
      <c r="B9" s="7" t="s">
        <v>66</v>
      </c>
      <c r="C9" s="29" t="b">
        <v>0</v>
      </c>
      <c r="D9" s="26">
        <f>IF(B9="","",SUMIFS(INDEX(F_Rueckstand,$O$22):INDEX(F_Rueckstand,$O$23),INDEX(F_Stichtag,$O$22):INDEX(F_Stichtag,$O$23),$N$5,INDEX(F_Quelle,$O$22):INDEX(F_Quelle,$O$23),"Verbund",INDEX(F_Postkorb,$O$22):INDEX(F_Postkorb,$O$23),B9))</f>
        <v>0</v>
      </c>
      <c r="E9" s="26">
        <f>IF(B9="","",SUMIFS(INDEX(F_Rueckstand,$O$22):INDEX(F_Rueckstand,$O$23),INDEX(F_Stichtag,$O$22):INDEX(F_Stichtag,$O$23),$N$5,INDEX(F_Quelle,$O$22):INDEX(F_Quelle,$O$23),"OPAG",INDEX(F_Postkorb,$O$22):INDEX(F_Postkorb,$O$23),B9))</f>
        <v>0</v>
      </c>
      <c r="G9" s="7" t="s">
        <v>76</v>
      </c>
      <c r="H9" s="29" t="b">
        <v>1</v>
      </c>
      <c r="I9" s="29" t="b">
        <f t="shared" si="0"/>
        <v>1</v>
      </c>
      <c r="J9" s="26">
        <f>IF(G9="","",SUMIFS(INDEX(F_Rueckstand,$O$22):INDEX(F_Rueckstand,$O$23),INDEX(F_Stichtag,$O$22):INDEX(F_Stichtag,$O$23),$N$5,INDEX(F_Quelle,$O$22):INDEX(F_Quelle,$O$23),"Verbund",INDEX(F_GevoTyp,$O$22):INDEX(F_GevoTyp,$O$23),G9))</f>
        <v>0</v>
      </c>
      <c r="L9" s="4" t="s">
        <v>90</v>
      </c>
      <c r="N9" s="7" t="s">
        <v>101</v>
      </c>
      <c r="O9" s="26" t="str">
        <f>IF(O7=0,"",INDEX(Verlauf!$B$6:$B$1000,O7))</f>
        <v/>
      </c>
    </row>
    <row r="10" spans="2:20" x14ac:dyDescent="0.25">
      <c r="B10" s="7" t="s">
        <v>67</v>
      </c>
      <c r="C10" s="29" t="b">
        <v>0</v>
      </c>
      <c r="D10" s="26">
        <f>IF(B10="","",SUMIFS(INDEX(F_Rueckstand,$O$22):INDEX(F_Rueckstand,$O$23),INDEX(F_Stichtag,$O$22):INDEX(F_Stichtag,$O$23),$N$5,INDEX(F_Quelle,$O$22):INDEX(F_Quelle,$O$23),"Verbund",INDEX(F_Postkorb,$O$22):INDEX(F_Postkorb,$O$23),B10))</f>
        <v>0</v>
      </c>
      <c r="E10" s="26">
        <f>IF(B10="","",SUMIFS(INDEX(F_Rueckstand,$O$22):INDEX(F_Rueckstand,$O$23),INDEX(F_Stichtag,$O$22):INDEX(F_Stichtag,$O$23),$N$5,INDEX(F_Quelle,$O$22):INDEX(F_Quelle,$O$23),"OPAG",INDEX(F_Postkorb,$O$22):INDEX(F_Postkorb,$O$23),B10))</f>
        <v>0</v>
      </c>
      <c r="G10" s="7" t="s">
        <v>77</v>
      </c>
      <c r="H10" s="29" t="b">
        <v>1</v>
      </c>
      <c r="I10" s="29" t="b">
        <f t="shared" si="0"/>
        <v>1</v>
      </c>
      <c r="J10" s="26">
        <f>IF(G10="","",SUMIFS(INDEX(F_Rueckstand,$O$22):INDEX(F_Rueckstand,$O$23),INDEX(F_Stichtag,$O$22):INDEX(F_Stichtag,$O$23),$N$5,INDEX(F_Quelle,$O$22):INDEX(F_Quelle,$O$23),"Verbund",INDEX(F_GevoTyp,$O$22):INDEX(F_GevoTyp,$O$23),G10))</f>
        <v>0</v>
      </c>
      <c r="N10" s="7" t="s">
        <v>102</v>
      </c>
      <c r="O10" s="26" t="str">
        <f>IF(O7=0,"",INDEX(Verlauf!$C$6:$C$1000,O7))</f>
        <v/>
      </c>
    </row>
    <row r="11" spans="2:20" ht="48" customHeight="1" x14ac:dyDescent="0.25">
      <c r="B11" s="7" t="s">
        <v>35</v>
      </c>
      <c r="C11" s="29" t="b">
        <v>1</v>
      </c>
      <c r="D11" s="26">
        <f>IF(B11="","",SUMIFS(INDEX(F_Rueckstand,$O$22):INDEX(F_Rueckstand,$O$23),INDEX(F_Stichtag,$O$22):INDEX(F_Stichtag,$O$23),$N$5,INDEX(F_Quelle,$O$22):INDEX(F_Quelle,$O$23),"Verbund",INDEX(F_Postkorb,$O$22):INDEX(F_Postkorb,$O$23),B11))</f>
        <v>0</v>
      </c>
      <c r="E11" s="26">
        <f>IF(B11="","",SUMIFS(INDEX(F_Rueckstand,$O$22):INDEX(F_Rueckstand,$O$23),INDEX(F_Stichtag,$O$22):INDEX(F_Stichtag,$O$23),$N$5,INDEX(F_Quelle,$O$22):INDEX(F_Quelle,$O$23),"OPAG",INDEX(F_Postkorb,$O$22):INDEX(F_Postkorb,$O$23),B11))</f>
        <v>0</v>
      </c>
      <c r="G11" s="7" t="s">
        <v>78</v>
      </c>
      <c r="H11" s="29" t="b">
        <v>1</v>
      </c>
      <c r="I11" s="29" t="b">
        <f t="shared" si="0"/>
        <v>1</v>
      </c>
      <c r="J11" s="26">
        <f>IF(G11="","",SUMIFS(INDEX(F_Rueckstand,$O$22):INDEX(F_Rueckstand,$O$23),INDEX(F_Stichtag,$O$22):INDEX(F_Stichtag,$O$23),$N$5,INDEX(F_Quelle,$O$22):INDEX(F_Quelle,$O$23),"Verbund",INDEX(F_GevoTyp,$O$22):INDEX(F_GevoTyp,$O$23),G11))</f>
        <v>0</v>
      </c>
      <c r="L11" s="5" t="s">
        <v>91</v>
      </c>
      <c r="N11" s="7" t="s">
        <v>103</v>
      </c>
      <c r="O11" s="26">
        <f>IFERROR(MATCH(O9*100+O10,KW!$W$6:$W$400,0),0)</f>
        <v>0</v>
      </c>
    </row>
    <row r="12" spans="2:20" ht="27" x14ac:dyDescent="0.25">
      <c r="B12" s="7" t="s">
        <v>68</v>
      </c>
      <c r="C12" s="29" t="b">
        <v>0</v>
      </c>
      <c r="D12" s="26">
        <f>IF(B12="","",SUMIFS(INDEX(F_Rueckstand,$O$22):INDEX(F_Rueckstand,$O$23),INDEX(F_Stichtag,$O$22):INDEX(F_Stichtag,$O$23),$N$5,INDEX(F_Quelle,$O$22):INDEX(F_Quelle,$O$23),"Verbund",INDEX(F_Postkorb,$O$22):INDEX(F_Postkorb,$O$23),B12))</f>
        <v>0</v>
      </c>
      <c r="E12" s="26">
        <f>IF(B12="","",SUMIFS(INDEX(F_Rueckstand,$O$22):INDEX(F_Rueckstand,$O$23),INDEX(F_Stichtag,$O$22):INDEX(F_Stichtag,$O$23),$N$5,INDEX(F_Quelle,$O$22):INDEX(F_Quelle,$O$23),"OPAG",INDEX(F_Postkorb,$O$22):INDEX(F_Postkorb,$O$23),B12))</f>
        <v>0</v>
      </c>
      <c r="G12" s="7" t="s">
        <v>79</v>
      </c>
      <c r="H12" s="29" t="b">
        <v>1</v>
      </c>
      <c r="I12" s="29" t="b">
        <f t="shared" si="0"/>
        <v>1</v>
      </c>
      <c r="J12" s="26">
        <f>IF(G12="","",SUMIFS(INDEX(F_Rueckstand,$O$22):INDEX(F_Rueckstand,$O$23),INDEX(F_Stichtag,$O$22):INDEX(F_Stichtag,$O$23),$N$5,INDEX(F_Quelle,$O$22):INDEX(F_Quelle,$O$23),"Verbund",INDEX(F_GevoTyp,$O$22):INDEX(F_GevoTyp,$O$23),G12))</f>
        <v>0</v>
      </c>
      <c r="L12" s="20" t="s">
        <v>92</v>
      </c>
    </row>
    <row r="13" spans="2:20" x14ac:dyDescent="0.25">
      <c r="B13" s="7" t="s">
        <v>69</v>
      </c>
      <c r="C13" s="29" t="b">
        <v>0</v>
      </c>
      <c r="D13" s="26">
        <f>IF(B13="","",SUMIFS(INDEX(F_Rueckstand,$O$22):INDEX(F_Rueckstand,$O$23),INDEX(F_Stichtag,$O$22):INDEX(F_Stichtag,$O$23),$N$5,INDEX(F_Quelle,$O$22):INDEX(F_Quelle,$O$23),"Verbund",INDEX(F_Postkorb,$O$22):INDEX(F_Postkorb,$O$23),B13))</f>
        <v>0</v>
      </c>
      <c r="E13" s="26">
        <f>IF(B13="","",SUMIFS(INDEX(F_Rueckstand,$O$22):INDEX(F_Rueckstand,$O$23),INDEX(F_Stichtag,$O$22):INDEX(F_Stichtag,$O$23),$N$5,INDEX(F_Quelle,$O$22):INDEX(F_Quelle,$O$23),"OPAG",INDEX(F_Postkorb,$O$22):INDEX(F_Postkorb,$O$23),B13))</f>
        <v>0</v>
      </c>
      <c r="G13" s="7" t="s">
        <v>80</v>
      </c>
      <c r="H13" s="29" t="b">
        <v>1</v>
      </c>
      <c r="I13" s="29" t="b">
        <f t="shared" si="0"/>
        <v>1</v>
      </c>
      <c r="J13" s="26">
        <f>IF(G13="","",SUMIFS(INDEX(F_Rueckstand,$O$22):INDEX(F_Rueckstand,$O$23),INDEX(F_Stichtag,$O$22):INDEX(F_Stichtag,$O$23),$N$5,INDEX(F_Quelle,$O$22):INDEX(F_Quelle,$O$23),"Verbund",INDEX(F_GevoTyp,$O$22):INDEX(F_GevoTyp,$O$23),G13))</f>
        <v>0</v>
      </c>
      <c r="L13" s="4" t="s">
        <v>93</v>
      </c>
      <c r="N13" s="6" t="s">
        <v>106</v>
      </c>
    </row>
    <row r="14" spans="2:20" ht="121.5" x14ac:dyDescent="0.25">
      <c r="D14" s="26" t="str">
        <f>IF(B14="","",SUMIFS(INDEX(F_Rueckstand,$O$22):INDEX(F_Rueckstand,$O$23),INDEX(F_Stichtag,$O$22):INDEX(F_Stichtag,$O$23),$N$5,INDEX(F_Quelle,$O$22):INDEX(F_Quelle,$O$23),"Verbund",INDEX(F_Postkorb,$O$22):INDEX(F_Postkorb,$O$23),B14))</f>
        <v/>
      </c>
      <c r="E14" s="26" t="str">
        <f>IF(B14="","",SUMIFS(INDEX(F_Rueckstand,$O$22):INDEX(F_Rueckstand,$O$23),INDEX(F_Stichtag,$O$22):INDEX(F_Stichtag,$O$23),$N$5,INDEX(F_Quelle,$O$22):INDEX(F_Quelle,$O$23),"OPAG",INDEX(F_Postkorb,$O$22):INDEX(F_Postkorb,$O$23),B14))</f>
        <v/>
      </c>
      <c r="G14" s="7" t="s">
        <v>81</v>
      </c>
      <c r="H14" s="29" t="b">
        <v>1</v>
      </c>
      <c r="I14" s="29" t="b">
        <f t="shared" si="0"/>
        <v>1</v>
      </c>
      <c r="J14" s="26">
        <f>IF(G14="","",SUMIFS(INDEX(F_Rueckstand,$O$22):INDEX(F_Rueckstand,$O$23),INDEX(F_Stichtag,$O$22):INDEX(F_Stichtag,$O$23),$N$5,INDEX(F_Quelle,$O$22):INDEX(F_Quelle,$O$23),"Verbund",INDEX(F_GevoTyp,$O$22):INDEX(F_GevoTyp,$O$23),G14))</f>
        <v>0</v>
      </c>
      <c r="L14" s="5" t="s">
        <v>94</v>
      </c>
      <c r="O14" s="25" t="s">
        <v>38</v>
      </c>
      <c r="P14" s="25" t="s">
        <v>39</v>
      </c>
      <c r="Q14" s="25" t="s">
        <v>40</v>
      </c>
      <c r="R14" s="25" t="s">
        <v>41</v>
      </c>
    </row>
    <row r="15" spans="2:20" x14ac:dyDescent="0.25">
      <c r="D15" s="26" t="str">
        <f>IF(B15="","",SUMIFS(INDEX(F_Rueckstand,$O$22):INDEX(F_Rueckstand,$O$23),INDEX(F_Stichtag,$O$22):INDEX(F_Stichtag,$O$23),$N$5,INDEX(F_Quelle,$O$22):INDEX(F_Quelle,$O$23),"Verbund",INDEX(F_Postkorb,$O$22):INDEX(F_Postkorb,$O$23),B15))</f>
        <v/>
      </c>
      <c r="E15" s="26" t="str">
        <f>IF(B15="","",SUMIFS(INDEX(F_Rueckstand,$O$22):INDEX(F_Rueckstand,$O$23),INDEX(F_Stichtag,$O$22):INDEX(F_Stichtag,$O$23),$N$5,INDEX(F_Quelle,$O$22):INDEX(F_Quelle,$O$23),"OPAG",INDEX(F_Postkorb,$O$22):INDEX(F_Postkorb,$O$23),B15))</f>
        <v/>
      </c>
      <c r="G15" s="7" t="s">
        <v>82</v>
      </c>
      <c r="H15" s="29" t="b">
        <v>1</v>
      </c>
      <c r="I15" s="29" t="b">
        <f t="shared" si="0"/>
        <v>1</v>
      </c>
      <c r="J15" s="26">
        <f>IF(G15="","",SUMIFS(INDEX(F_Rueckstand,$O$22):INDEX(F_Rueckstand,$O$23),INDEX(F_Stichtag,$O$22):INDEX(F_Stichtag,$O$23),$N$5,INDEX(F_Quelle,$O$22):INDEX(F_Quelle,$O$23),"Verbund",INDEX(F_GevoTyp,$O$22):INDEX(F_GevoTyp,$O$23),G15))</f>
        <v>0</v>
      </c>
      <c r="N15" s="7" t="s">
        <v>107</v>
      </c>
      <c r="O15" s="26">
        <f>SUMIFS(INDEX(F_A0,$O$22):INDEX(F_A0,$O$23),INDEX(F_Stichtag,$O$22):INDEX(F_Stichtag,$O$23),$O$5,INDEX(F_Quelle,$O$22):INDEX(F_Quelle,$O$23),"OPAG",INDEX(F_Aktiv,$O$22):INDEX(F_Aktiv,$O$23),1)</f>
        <v>0</v>
      </c>
      <c r="P15" s="26">
        <f>SUMIFS(INDEX(F_A1,$O$22):INDEX(F_A1,$O$23),INDEX(F_Stichtag,$O$22):INDEX(F_Stichtag,$O$23),$O$5,INDEX(F_Quelle,$O$22):INDEX(F_Quelle,$O$23),"OPAG",INDEX(F_Aktiv,$O$22):INDEX(F_Aktiv,$O$23),1)</f>
        <v>0</v>
      </c>
      <c r="Q15" s="26">
        <f>SUMIFS(INDEX(F_A2,$O$22):INDEX(F_A2,$O$23),INDEX(F_Stichtag,$O$22):INDEX(F_Stichtag,$O$23),$O$5,INDEX(F_Quelle,$O$22):INDEX(F_Quelle,$O$23),"OPAG",INDEX(F_Aktiv,$O$22):INDEX(F_Aktiv,$O$23),1)</f>
        <v>0</v>
      </c>
      <c r="R15" s="26">
        <f>SUMIFS(INDEX(F_A3,$O$22):INDEX(F_A3,$O$23),INDEX(F_Stichtag,$O$22):INDEX(F_Stichtag,$O$23),$O$5,INDEX(F_Quelle,$O$22):INDEX(F_Quelle,$O$23),"OPAG",INDEX(F_Aktiv,$O$22):INDEX(F_Aktiv,$O$23),1)</f>
        <v>0</v>
      </c>
    </row>
    <row r="16" spans="2:20" x14ac:dyDescent="0.25">
      <c r="D16" s="26" t="str">
        <f>IF(B16="","",SUMIFS(INDEX(F_Rueckstand,$O$22):INDEX(F_Rueckstand,$O$23),INDEX(F_Stichtag,$O$22):INDEX(F_Stichtag,$O$23),$N$5,INDEX(F_Quelle,$O$22):INDEX(F_Quelle,$O$23),"Verbund",INDEX(F_Postkorb,$O$22):INDEX(F_Postkorb,$O$23),B16))</f>
        <v/>
      </c>
      <c r="E16" s="26" t="str">
        <f>IF(B16="","",SUMIFS(INDEX(F_Rueckstand,$O$22):INDEX(F_Rueckstand,$O$23),INDEX(F_Stichtag,$O$22):INDEX(F_Stichtag,$O$23),$N$5,INDEX(F_Quelle,$O$22):INDEX(F_Quelle,$O$23),"OPAG",INDEX(F_Postkorb,$O$22):INDEX(F_Postkorb,$O$23),B16))</f>
        <v/>
      </c>
      <c r="G16" s="7" t="s">
        <v>83</v>
      </c>
      <c r="H16" s="29" t="b">
        <v>1</v>
      </c>
      <c r="I16" s="29" t="b">
        <f t="shared" si="0"/>
        <v>1</v>
      </c>
      <c r="J16" s="26">
        <f>IF(G16="","",SUMIFS(INDEX(F_Rueckstand,$O$22):INDEX(F_Rueckstand,$O$23),INDEX(F_Stichtag,$O$22):INDEX(F_Stichtag,$O$23),$N$5,INDEX(F_Quelle,$O$22):INDEX(F_Quelle,$O$23),"Verbund",INDEX(F_GevoTyp,$O$22):INDEX(F_GevoTyp,$O$23),G16))</f>
        <v>0</v>
      </c>
      <c r="N16" s="7" t="s">
        <v>93</v>
      </c>
      <c r="O16" s="26">
        <f>SUMIFS(INDEX(F_A0,$O$22):INDEX(F_A0,$O$23),INDEX(F_Stichtag,$O$22):INDEX(F_Stichtag,$O$23),$O$5,INDEX(F_Quelle,$O$22):INDEX(F_Quelle,$O$23),"Verbund",INDEX(F_Aktiv,$O$22):INDEX(F_Aktiv,$O$23),1)</f>
        <v>0</v>
      </c>
      <c r="P16" s="26">
        <f>SUMIFS(INDEX(F_A1,$O$22):INDEX(F_A1,$O$23),INDEX(F_Stichtag,$O$22):INDEX(F_Stichtag,$O$23),$O$5,INDEX(F_Quelle,$O$22):INDEX(F_Quelle,$O$23),"Verbund",INDEX(F_Aktiv,$O$22):INDEX(F_Aktiv,$O$23),1)</f>
        <v>0</v>
      </c>
      <c r="Q16" s="26">
        <f>SUMIFS(INDEX(F_A2,$O$22):INDEX(F_A2,$O$23),INDEX(F_Stichtag,$O$22):INDEX(F_Stichtag,$O$23),$O$5,INDEX(F_Quelle,$O$22):INDEX(F_Quelle,$O$23),"Verbund",INDEX(F_Aktiv,$O$22):INDEX(F_Aktiv,$O$23),1)</f>
        <v>0</v>
      </c>
      <c r="R16" s="26">
        <f>SUMIFS(INDEX(F_A3,$O$22):INDEX(F_A3,$O$23),INDEX(F_Stichtag,$O$22):INDEX(F_Stichtag,$O$23),$O$5,INDEX(F_Quelle,$O$22):INDEX(F_Quelle,$O$23),"Verbund",INDEX(F_Aktiv,$O$22):INDEX(F_Aktiv,$O$23),1)</f>
        <v>0</v>
      </c>
    </row>
    <row r="17" spans="4:15" x14ac:dyDescent="0.25">
      <c r="D17" s="26" t="str">
        <f>IF(B17="","",SUMIFS(INDEX(F_Rueckstand,$O$22):INDEX(F_Rueckstand,$O$23),INDEX(F_Stichtag,$O$22):INDEX(F_Stichtag,$O$23),$N$5,INDEX(F_Quelle,$O$22):INDEX(F_Quelle,$O$23),"Verbund",INDEX(F_Postkorb,$O$22):INDEX(F_Postkorb,$O$23),B17))</f>
        <v/>
      </c>
      <c r="E17" s="26" t="str">
        <f>IF(B17="","",SUMIFS(INDEX(F_Rueckstand,$O$22):INDEX(F_Rueckstand,$O$23),INDEX(F_Stichtag,$O$22):INDEX(F_Stichtag,$O$23),$N$5,INDEX(F_Quelle,$O$22):INDEX(F_Quelle,$O$23),"OPAG",INDEX(F_Postkorb,$O$22):INDEX(F_Postkorb,$O$23),B17))</f>
        <v/>
      </c>
      <c r="G17" s="7" t="s">
        <v>84</v>
      </c>
      <c r="H17" s="29" t="b">
        <v>1</v>
      </c>
      <c r="I17" s="29" t="b">
        <f t="shared" si="0"/>
        <v>1</v>
      </c>
      <c r="J17" s="26">
        <f>IF(G17="","",SUMIFS(INDEX(F_Rueckstand,$O$22):INDEX(F_Rueckstand,$O$23),INDEX(F_Stichtag,$O$22):INDEX(F_Stichtag,$O$23),$N$5,INDEX(F_Quelle,$O$22):INDEX(F_Quelle,$O$23),"Verbund",INDEX(F_GevoTyp,$O$22):INDEX(F_GevoTyp,$O$23),G17))</f>
        <v>0</v>
      </c>
    </row>
    <row r="18" spans="4:15" x14ac:dyDescent="0.25">
      <c r="D18" s="26" t="str">
        <f>IF(B18="","",SUMIFS(INDEX(F_Rueckstand,$O$22):INDEX(F_Rueckstand,$O$23),INDEX(F_Stichtag,$O$22):INDEX(F_Stichtag,$O$23),$N$5,INDEX(F_Quelle,$O$22):INDEX(F_Quelle,$O$23),"Verbund",INDEX(F_Postkorb,$O$22):INDEX(F_Postkorb,$O$23),B18))</f>
        <v/>
      </c>
      <c r="E18" s="26" t="str">
        <f>IF(B18="","",SUMIFS(INDEX(F_Rueckstand,$O$22):INDEX(F_Rueckstand,$O$23),INDEX(F_Stichtag,$O$22):INDEX(F_Stichtag,$O$23),$N$5,INDEX(F_Quelle,$O$22):INDEX(F_Quelle,$O$23),"OPAG",INDEX(F_Postkorb,$O$22):INDEX(F_Postkorb,$O$23),B18))</f>
        <v/>
      </c>
      <c r="G18" s="7" t="s">
        <v>85</v>
      </c>
      <c r="H18" s="29" t="b">
        <v>1</v>
      </c>
      <c r="I18" s="29" t="b">
        <f>IF($L$5="Alle GeVo",TRUE,IF($L$5="Nur BÜ-Schlüssel",FALSE,H18))</f>
        <v>1</v>
      </c>
      <c r="J18" s="26">
        <f>SUMIFS(INDEX(F_Rueckstand,$O$22):INDEX(F_Rueckstand,$O$23),INDEX(F_Stichtag,$O$22):INDEX(F_Stichtag,$O$23),$N$5,INDEX(F_Quelle,$O$22):INDEX(F_Quelle,$O$23),"Verbund")-SUM(J5:J17)</f>
        <v>0</v>
      </c>
    </row>
    <row r="19" spans="4:15" x14ac:dyDescent="0.25">
      <c r="D19" s="26" t="str">
        <f>IF(B19="","",SUMIFS(INDEX(F_Rueckstand,$O$22):INDEX(F_Rueckstand,$O$23),INDEX(F_Stichtag,$O$22):INDEX(F_Stichtag,$O$23),$N$5,INDEX(F_Quelle,$O$22):INDEX(F_Quelle,$O$23),"Verbund",INDEX(F_Postkorb,$O$22):INDEX(F_Postkorb,$O$23),B19))</f>
        <v/>
      </c>
      <c r="E19" s="26" t="str">
        <f>IF(B19="","",SUMIFS(INDEX(F_Rueckstand,$O$22):INDEX(F_Rueckstand,$O$23),INDEX(F_Stichtag,$O$22):INDEX(F_Stichtag,$O$23),$N$5,INDEX(F_Quelle,$O$22):INDEX(F_Quelle,$O$23),"OPAG",INDEX(F_Postkorb,$O$22):INDEX(F_Postkorb,$O$23),B19))</f>
        <v/>
      </c>
      <c r="N19" s="7" t="s">
        <v>104</v>
      </c>
      <c r="O19" s="26" t="str">
        <f>IF(OR(O7=0,O8=0),"",INDEX(Verlauf!$H$6:$H$1000,O7)-INDEX(Verlauf!$H$6:$H$1000,O8))</f>
        <v/>
      </c>
    </row>
    <row r="20" spans="4:15" x14ac:dyDescent="0.25">
      <c r="D20" s="26" t="str">
        <f>IF(B20="","",SUMIFS(INDEX(F_Rueckstand,$O$22):INDEX(F_Rueckstand,$O$23),INDEX(F_Stichtag,$O$22):INDEX(F_Stichtag,$O$23),$N$5,INDEX(F_Quelle,$O$22):INDEX(F_Quelle,$O$23),"Verbund",INDEX(F_Postkorb,$O$22):INDEX(F_Postkorb,$O$23),B20))</f>
        <v/>
      </c>
      <c r="E20" s="26" t="str">
        <f>IF(B20="","",SUMIFS(INDEX(F_Rueckstand,$O$22):INDEX(F_Rueckstand,$O$23),INDEX(F_Stichtag,$O$22):INDEX(F_Stichtag,$O$23),$N$5,INDEX(F_Quelle,$O$22):INDEX(F_Quelle,$O$23),"OPAG",INDEX(F_Postkorb,$O$22):INDEX(F_Postkorb,$O$23),B20))</f>
        <v/>
      </c>
      <c r="N20" s="7" t="s">
        <v>105</v>
      </c>
      <c r="O20" s="26" t="str">
        <f>IF(OR(O7=0,O8=0),"",INDEX(Verlauf!$R$6:$R$1000,O7)-INDEX(Verlauf!$R$6:$R$1000,O8))</f>
        <v/>
      </c>
    </row>
    <row r="21" spans="4:15" x14ac:dyDescent="0.25">
      <c r="D21" s="26" t="str">
        <f>IF(B21="","",SUMIFS(INDEX(F_Rueckstand,$O$22):INDEX(F_Rueckstand,$O$23),INDEX(F_Stichtag,$O$22):INDEX(F_Stichtag,$O$23),$N$5,INDEX(F_Quelle,$O$22):INDEX(F_Quelle,$O$23),"Verbund",INDEX(F_Postkorb,$O$22):INDEX(F_Postkorb,$O$23),B21))</f>
        <v/>
      </c>
      <c r="E21" s="26" t="str">
        <f>IF(B21="","",SUMIFS(INDEX(F_Rueckstand,$O$22):INDEX(F_Rueckstand,$O$23),INDEX(F_Stichtag,$O$22):INDEX(F_Stichtag,$O$23),$N$5,INDEX(F_Quelle,$O$22):INDEX(F_Quelle,$O$23),"OPAG",INDEX(F_Postkorb,$O$22):INDEX(F_Postkorb,$O$23),B21))</f>
        <v/>
      </c>
      <c r="N21" s="7" t="s">
        <v>110</v>
      </c>
      <c r="O21" s="7" t="str">
        <f>IF(O9="","",IF(O9*100+O10&gt;MAX(KW!$W$6:$W$400),"Der Planungshorizont der Kalenderwochen ist überschritten – Blatt KW, Planung und Wirksam müssen im Build erweitert werden (kw_liste).",""))</f>
        <v/>
      </c>
    </row>
    <row r="22" spans="4:15" x14ac:dyDescent="0.25">
      <c r="D22" s="26" t="str">
        <f>IF(B22="","",SUMIFS(INDEX(F_Rueckstand,$O$22):INDEX(F_Rueckstand,$O$23),INDEX(F_Stichtag,$O$22):INDEX(F_Stichtag,$O$23),$N$5,INDEX(F_Quelle,$O$22):INDEX(F_Quelle,$O$23),"Verbund",INDEX(F_Postkorb,$O$22):INDEX(F_Postkorb,$O$23),B22))</f>
        <v/>
      </c>
      <c r="E22" s="26" t="str">
        <f>IF(B22="","",SUMIFS(INDEX(F_Rueckstand,$O$22):INDEX(F_Rueckstand,$O$23),INDEX(F_Stichtag,$O$22):INDEX(F_Stichtag,$O$23),$N$5,INDEX(F_Quelle,$O$22):INDEX(F_Quelle,$O$23),"OPAG",INDEX(F_Postkorb,$O$22):INDEX(F_Postkorb,$O$23),B22))</f>
        <v/>
      </c>
      <c r="N22" s="7" t="s">
        <v>108</v>
      </c>
      <c r="O22" s="26">
        <f>IF(O7=0,1,INDEX(Verlauf!$AL$6:$AL$1000,O7))</f>
        <v>1</v>
      </c>
    </row>
    <row r="23" spans="4:15" x14ac:dyDescent="0.25">
      <c r="D23" s="26" t="str">
        <f>IF(B23="","",SUMIFS(INDEX(F_Rueckstand,$O$22):INDEX(F_Rueckstand,$O$23),INDEX(F_Stichtag,$O$22):INDEX(F_Stichtag,$O$23),$N$5,INDEX(F_Quelle,$O$22):INDEX(F_Quelle,$O$23),"Verbund",INDEX(F_Postkorb,$O$22):INDEX(F_Postkorb,$O$23),B23))</f>
        <v/>
      </c>
      <c r="E23" s="26" t="str">
        <f>IF(B23="","",SUMIFS(INDEX(F_Rueckstand,$O$22):INDEX(F_Rueckstand,$O$23),INDEX(F_Stichtag,$O$22):INDEX(F_Stichtag,$O$23),$N$5,INDEX(F_Quelle,$O$22):INDEX(F_Quelle,$O$23),"OPAG",INDEX(F_Postkorb,$O$22):INDEX(F_Postkorb,$O$23),B23))</f>
        <v/>
      </c>
      <c r="N23" s="7" t="s">
        <v>109</v>
      </c>
      <c r="O23" s="26">
        <f>IF(O7=0,1,INDEX(Verlauf!$AM$6:$AM$1000,O7))</f>
        <v>1</v>
      </c>
    </row>
    <row r="24" spans="4:15" x14ac:dyDescent="0.25">
      <c r="D24" s="26" t="str">
        <f>IF(B24="","",SUMIFS(INDEX(F_Rueckstand,$O$22):INDEX(F_Rueckstand,$O$23),INDEX(F_Stichtag,$O$22):INDEX(F_Stichtag,$O$23),$N$5,INDEX(F_Quelle,$O$22):INDEX(F_Quelle,$O$23),"Verbund",INDEX(F_Postkorb,$O$22):INDEX(F_Postkorb,$O$23),B24))</f>
        <v/>
      </c>
      <c r="E24" s="26" t="str">
        <f>IF(B24="","",SUMIFS(INDEX(F_Rueckstand,$O$22):INDEX(F_Rueckstand,$O$23),INDEX(F_Stichtag,$O$22):INDEX(F_Stichtag,$O$23),$N$5,INDEX(F_Quelle,$O$22):INDEX(F_Quelle,$O$23),"OPAG",INDEX(F_Postkorb,$O$22):INDEX(F_Postkorb,$O$23),B24))</f>
        <v/>
      </c>
      <c r="N24" s="7" t="s">
        <v>111</v>
      </c>
      <c r="O24" s="26">
        <f ca="1">YEAR(TODAY()-WEEKDAY(TODAY(),2)+4)*100+_xlfn.ISOWEEKNUM(TODAY())</f>
        <v>202640</v>
      </c>
    </row>
    <row r="25" spans="4:15" x14ac:dyDescent="0.25">
      <c r="D25" s="26" t="str">
        <f>IF(B25="","",SUMIFS(INDEX(F_Rueckstand,$O$22):INDEX(F_Rueckstand,$O$23),INDEX(F_Stichtag,$O$22):INDEX(F_Stichtag,$O$23),$N$5,INDEX(F_Quelle,$O$22):INDEX(F_Quelle,$O$23),"Verbund",INDEX(F_Postkorb,$O$22):INDEX(F_Postkorb,$O$23),B25))</f>
        <v/>
      </c>
      <c r="E25" s="26" t="str">
        <f>IF(B25="","",SUMIFS(INDEX(F_Rueckstand,$O$22):INDEX(F_Rueckstand,$O$23),INDEX(F_Stichtag,$O$22):INDEX(F_Stichtag,$O$23),$N$5,INDEX(F_Quelle,$O$22):INDEX(F_Quelle,$O$23),"OPAG",INDEX(F_Postkorb,$O$22):INDEX(F_Postkorb,$O$23),B25))</f>
        <v/>
      </c>
      <c r="N25" s="7" t="s">
        <v>112</v>
      </c>
      <c r="O25" s="28">
        <f ca="1">TODAY()-6</f>
        <v>46289</v>
      </c>
    </row>
    <row r="26" spans="4:15" x14ac:dyDescent="0.25">
      <c r="D26" s="26" t="str">
        <f>IF(B26="","",SUMIFS(INDEX(F_Rueckstand,$O$22):INDEX(F_Rueckstand,$O$23),INDEX(F_Stichtag,$O$22):INDEX(F_Stichtag,$O$23),$N$5,INDEX(F_Quelle,$O$22):INDEX(F_Quelle,$O$23),"Verbund",INDEX(F_Postkorb,$O$22):INDEX(F_Postkorb,$O$23),B26))</f>
        <v/>
      </c>
      <c r="E26" s="26" t="str">
        <f>IF(B26="","",SUMIFS(INDEX(F_Rueckstand,$O$22):INDEX(F_Rueckstand,$O$23),INDEX(F_Stichtag,$O$22):INDEX(F_Stichtag,$O$23),$N$5,INDEX(F_Quelle,$O$22):INDEX(F_Quelle,$O$23),"OPAG",INDEX(F_Postkorb,$O$22):INDEX(F_Postkorb,$O$23),B26))</f>
        <v/>
      </c>
    </row>
    <row r="27" spans="4:15" x14ac:dyDescent="0.25">
      <c r="D27" s="26" t="str">
        <f>IF(B27="","",SUMIFS(INDEX(F_Rueckstand,$O$22):INDEX(F_Rueckstand,$O$23),INDEX(F_Stichtag,$O$22):INDEX(F_Stichtag,$O$23),$N$5,INDEX(F_Quelle,$O$22):INDEX(F_Quelle,$O$23),"Verbund",INDEX(F_Postkorb,$O$22):INDEX(F_Postkorb,$O$23),B27))</f>
        <v/>
      </c>
      <c r="E27" s="26" t="str">
        <f>IF(B27="","",SUMIFS(INDEX(F_Rueckstand,$O$22):INDEX(F_Rueckstand,$O$23),INDEX(F_Stichtag,$O$22):INDEX(F_Stichtag,$O$23),$N$5,INDEX(F_Quelle,$O$22):INDEX(F_Quelle,$O$23),"OPAG",INDEX(F_Postkorb,$O$22):INDEX(F_Postkorb,$O$23),B27))</f>
        <v/>
      </c>
    </row>
    <row r="28" spans="4:15" x14ac:dyDescent="0.25">
      <c r="D28" s="26" t="str">
        <f>IF(B28="","",SUMIFS(INDEX(F_Rueckstand,$O$22):INDEX(F_Rueckstand,$O$23),INDEX(F_Stichtag,$O$22):INDEX(F_Stichtag,$O$23),$N$5,INDEX(F_Quelle,$O$22):INDEX(F_Quelle,$O$23),"Verbund",INDEX(F_Postkorb,$O$22):INDEX(F_Postkorb,$O$23),B28))</f>
        <v/>
      </c>
      <c r="E28" s="26" t="str">
        <f>IF(B28="","",SUMIFS(INDEX(F_Rueckstand,$O$22):INDEX(F_Rueckstand,$O$23),INDEX(F_Stichtag,$O$22):INDEX(F_Stichtag,$O$23),$N$5,INDEX(F_Quelle,$O$22):INDEX(F_Quelle,$O$23),"OPAG",INDEX(F_Postkorb,$O$22):INDEX(F_Postkorb,$O$23),B28))</f>
        <v/>
      </c>
    </row>
    <row r="29" spans="4:15" x14ac:dyDescent="0.25">
      <c r="D29" s="26" t="str">
        <f>IF(B29="","",SUMIFS(INDEX(F_Rueckstand,$O$22):INDEX(F_Rueckstand,$O$23),INDEX(F_Stichtag,$O$22):INDEX(F_Stichtag,$O$23),$N$5,INDEX(F_Quelle,$O$22):INDEX(F_Quelle,$O$23),"Verbund",INDEX(F_Postkorb,$O$22):INDEX(F_Postkorb,$O$23),B29))</f>
        <v/>
      </c>
      <c r="E29" s="26" t="str">
        <f>IF(B29="","",SUMIFS(INDEX(F_Rueckstand,$O$22):INDEX(F_Rueckstand,$O$23),INDEX(F_Stichtag,$O$22):INDEX(F_Stichtag,$O$23),$N$5,INDEX(F_Quelle,$O$22):INDEX(F_Quelle,$O$23),"OPAG",INDEX(F_Postkorb,$O$22):INDEX(F_Postkorb,$O$23),B29))</f>
        <v/>
      </c>
    </row>
    <row r="30" spans="4:15" x14ac:dyDescent="0.25">
      <c r="D30" s="26" t="str">
        <f>IF(B30="","",SUMIFS(INDEX(F_Rueckstand,$O$22):INDEX(F_Rueckstand,$O$23),INDEX(F_Stichtag,$O$22):INDEX(F_Stichtag,$O$23),$N$5,INDEX(F_Quelle,$O$22):INDEX(F_Quelle,$O$23),"Verbund",INDEX(F_Postkorb,$O$22):INDEX(F_Postkorb,$O$23),B30))</f>
        <v/>
      </c>
      <c r="E30" s="26" t="str">
        <f>IF(B30="","",SUMIFS(INDEX(F_Rueckstand,$O$22):INDEX(F_Rueckstand,$O$23),INDEX(F_Stichtag,$O$22):INDEX(F_Stichtag,$O$23),$N$5,INDEX(F_Quelle,$O$22):INDEX(F_Quelle,$O$23),"OPAG",INDEX(F_Postkorb,$O$22):INDEX(F_Postkorb,$O$23),B30))</f>
        <v/>
      </c>
    </row>
    <row r="31" spans="4:15" x14ac:dyDescent="0.25">
      <c r="D31" s="26" t="str">
        <f>IF(B31="","",SUMIFS(INDEX(F_Rueckstand,$O$22):INDEX(F_Rueckstand,$O$23),INDEX(F_Stichtag,$O$22):INDEX(F_Stichtag,$O$23),$N$5,INDEX(F_Quelle,$O$22):INDEX(F_Quelle,$O$23),"Verbund",INDEX(F_Postkorb,$O$22):INDEX(F_Postkorb,$O$23),B31))</f>
        <v/>
      </c>
      <c r="E31" s="26" t="str">
        <f>IF(B31="","",SUMIFS(INDEX(F_Rueckstand,$O$22):INDEX(F_Rueckstand,$O$23),INDEX(F_Stichtag,$O$22):INDEX(F_Stichtag,$O$23),$N$5,INDEX(F_Quelle,$O$22):INDEX(F_Quelle,$O$23),"OPAG",INDEX(F_Postkorb,$O$22):INDEX(F_Postkorb,$O$23),B31))</f>
        <v/>
      </c>
    </row>
    <row r="32" spans="4:15" x14ac:dyDescent="0.25">
      <c r="D32" s="26" t="str">
        <f>IF(B32="","",SUMIFS(INDEX(F_Rueckstand,$O$22):INDEX(F_Rueckstand,$O$23),INDEX(F_Stichtag,$O$22):INDEX(F_Stichtag,$O$23),$N$5,INDEX(F_Quelle,$O$22):INDEX(F_Quelle,$O$23),"Verbund",INDEX(F_Postkorb,$O$22):INDEX(F_Postkorb,$O$23),B32))</f>
        <v/>
      </c>
      <c r="E32" s="26" t="str">
        <f>IF(B32="","",SUMIFS(INDEX(F_Rueckstand,$O$22):INDEX(F_Rueckstand,$O$23),INDEX(F_Stichtag,$O$22):INDEX(F_Stichtag,$O$23),$N$5,INDEX(F_Quelle,$O$22):INDEX(F_Quelle,$O$23),"OPAG",INDEX(F_Postkorb,$O$22):INDEX(F_Postkorb,$O$23),B32))</f>
        <v/>
      </c>
    </row>
    <row r="33" spans="4:5" x14ac:dyDescent="0.25">
      <c r="D33" s="26" t="str">
        <f>IF(B33="","",SUMIFS(INDEX(F_Rueckstand,$O$22):INDEX(F_Rueckstand,$O$23),INDEX(F_Stichtag,$O$22):INDEX(F_Stichtag,$O$23),$N$5,INDEX(F_Quelle,$O$22):INDEX(F_Quelle,$O$23),"Verbund",INDEX(F_Postkorb,$O$22):INDEX(F_Postkorb,$O$23),B33))</f>
        <v/>
      </c>
      <c r="E33" s="26" t="str">
        <f>IF(B33="","",SUMIFS(INDEX(F_Rueckstand,$O$22):INDEX(F_Rueckstand,$O$23),INDEX(F_Stichtag,$O$22):INDEX(F_Stichtag,$O$23),$N$5,INDEX(F_Quelle,$O$22):INDEX(F_Quelle,$O$23),"OPAG",INDEX(F_Postkorb,$O$22):INDEX(F_Postkorb,$O$23),B33))</f>
        <v/>
      </c>
    </row>
    <row r="34" spans="4:5" x14ac:dyDescent="0.25">
      <c r="D34" s="26" t="str">
        <f>IF(B34="","",SUMIFS(INDEX(F_Rueckstand,$O$22):INDEX(F_Rueckstand,$O$23),INDEX(F_Stichtag,$O$22):INDEX(F_Stichtag,$O$23),$N$5,INDEX(F_Quelle,$O$22):INDEX(F_Quelle,$O$23),"Verbund",INDEX(F_Postkorb,$O$22):INDEX(F_Postkorb,$O$23),B34))</f>
        <v/>
      </c>
      <c r="E34" s="26" t="str">
        <f>IF(B34="","",SUMIFS(INDEX(F_Rueckstand,$O$22):INDEX(F_Rueckstand,$O$23),INDEX(F_Stichtag,$O$22):INDEX(F_Stichtag,$O$23),$N$5,INDEX(F_Quelle,$O$22):INDEX(F_Quelle,$O$23),"OPAG",INDEX(F_Postkorb,$O$22):INDEX(F_Postkorb,$O$23),B34))</f>
        <v/>
      </c>
    </row>
    <row r="35" spans="4:5" x14ac:dyDescent="0.25">
      <c r="D35" s="26" t="str">
        <f>IF(B35="","",SUMIFS(INDEX(F_Rueckstand,$O$22):INDEX(F_Rueckstand,$O$23),INDEX(F_Stichtag,$O$22):INDEX(F_Stichtag,$O$23),$N$5,INDEX(F_Quelle,$O$22):INDEX(F_Quelle,$O$23),"Verbund",INDEX(F_Postkorb,$O$22):INDEX(F_Postkorb,$O$23),B35))</f>
        <v/>
      </c>
      <c r="E35" s="26" t="str">
        <f>IF(B35="","",SUMIFS(INDEX(F_Rueckstand,$O$22):INDEX(F_Rueckstand,$O$23),INDEX(F_Stichtag,$O$22):INDEX(F_Stichtag,$O$23),$N$5,INDEX(F_Quelle,$O$22):INDEX(F_Quelle,$O$23),"OPAG",INDEX(F_Postkorb,$O$22):INDEX(F_Postkorb,$O$23),B35))</f>
        <v/>
      </c>
    </row>
    <row r="36" spans="4:5" x14ac:dyDescent="0.25">
      <c r="D36" s="26" t="str">
        <f>IF(B36="","",SUMIFS(INDEX(F_Rueckstand,$O$22):INDEX(F_Rueckstand,$O$23),INDEX(F_Stichtag,$O$22):INDEX(F_Stichtag,$O$23),$N$5,INDEX(F_Quelle,$O$22):INDEX(F_Quelle,$O$23),"Verbund",INDEX(F_Postkorb,$O$22):INDEX(F_Postkorb,$O$23),B36))</f>
        <v/>
      </c>
      <c r="E36" s="26" t="str">
        <f>IF(B36="","",SUMIFS(INDEX(F_Rueckstand,$O$22):INDEX(F_Rueckstand,$O$23),INDEX(F_Stichtag,$O$22):INDEX(F_Stichtag,$O$23),$N$5,INDEX(F_Quelle,$O$22):INDEX(F_Quelle,$O$23),"OPAG",INDEX(F_Postkorb,$O$22):INDEX(F_Postkorb,$O$23),B36))</f>
        <v/>
      </c>
    </row>
    <row r="37" spans="4:5" x14ac:dyDescent="0.25">
      <c r="D37" s="26" t="str">
        <f>IF(B37="","",SUMIFS(INDEX(F_Rueckstand,$O$22):INDEX(F_Rueckstand,$O$23),INDEX(F_Stichtag,$O$22):INDEX(F_Stichtag,$O$23),$N$5,INDEX(F_Quelle,$O$22):INDEX(F_Quelle,$O$23),"Verbund",INDEX(F_Postkorb,$O$22):INDEX(F_Postkorb,$O$23),B37))</f>
        <v/>
      </c>
      <c r="E37" s="26" t="str">
        <f>IF(B37="","",SUMIFS(INDEX(F_Rueckstand,$O$22):INDEX(F_Rueckstand,$O$23),INDEX(F_Stichtag,$O$22):INDEX(F_Stichtag,$O$23),$N$5,INDEX(F_Quelle,$O$22):INDEX(F_Quelle,$O$23),"OPAG",INDEX(F_Postkorb,$O$22):INDEX(F_Postkorb,$O$23),B37))</f>
        <v/>
      </c>
    </row>
    <row r="38" spans="4:5" x14ac:dyDescent="0.25">
      <c r="D38" s="26" t="str">
        <f>IF(B38="","",SUMIFS(INDEX(F_Rueckstand,$O$22):INDEX(F_Rueckstand,$O$23),INDEX(F_Stichtag,$O$22):INDEX(F_Stichtag,$O$23),$N$5,INDEX(F_Quelle,$O$22):INDEX(F_Quelle,$O$23),"Verbund",INDEX(F_Postkorb,$O$22):INDEX(F_Postkorb,$O$23),B38))</f>
        <v/>
      </c>
      <c r="E38" s="26" t="str">
        <f>IF(B38="","",SUMIFS(INDEX(F_Rueckstand,$O$22):INDEX(F_Rueckstand,$O$23),INDEX(F_Stichtag,$O$22):INDEX(F_Stichtag,$O$23),$N$5,INDEX(F_Quelle,$O$22):INDEX(F_Quelle,$O$23),"OPAG",INDEX(F_Postkorb,$O$22):INDEX(F_Postkorb,$O$23),B38))</f>
        <v/>
      </c>
    </row>
    <row r="39" spans="4:5" x14ac:dyDescent="0.25">
      <c r="D39" s="26" t="str">
        <f>IF(B39="","",SUMIFS(INDEX(F_Rueckstand,$O$22):INDEX(F_Rueckstand,$O$23),INDEX(F_Stichtag,$O$22):INDEX(F_Stichtag,$O$23),$N$5,INDEX(F_Quelle,$O$22):INDEX(F_Quelle,$O$23),"Verbund",INDEX(F_Postkorb,$O$22):INDEX(F_Postkorb,$O$23),B39))</f>
        <v/>
      </c>
      <c r="E39" s="26" t="str">
        <f>IF(B39="","",SUMIFS(INDEX(F_Rueckstand,$O$22):INDEX(F_Rueckstand,$O$23),INDEX(F_Stichtag,$O$22):INDEX(F_Stichtag,$O$23),$N$5,INDEX(F_Quelle,$O$22):INDEX(F_Quelle,$O$23),"OPAG",INDEX(F_Postkorb,$O$22):INDEX(F_Postkorb,$O$23),B39))</f>
        <v/>
      </c>
    </row>
    <row r="40" spans="4:5" x14ac:dyDescent="0.25">
      <c r="D40" s="26" t="str">
        <f>IF(B40="","",SUMIFS(INDEX(F_Rueckstand,$O$22):INDEX(F_Rueckstand,$O$23),INDEX(F_Stichtag,$O$22):INDEX(F_Stichtag,$O$23),$N$5,INDEX(F_Quelle,$O$22):INDEX(F_Quelle,$O$23),"Verbund",INDEX(F_Postkorb,$O$22):INDEX(F_Postkorb,$O$23),B40))</f>
        <v/>
      </c>
      <c r="E40" s="26" t="str">
        <f>IF(B40="","",SUMIFS(INDEX(F_Rueckstand,$O$22):INDEX(F_Rueckstand,$O$23),INDEX(F_Stichtag,$O$22):INDEX(F_Stichtag,$O$23),$N$5,INDEX(F_Quelle,$O$22):INDEX(F_Quelle,$O$23),"OPAG",INDEX(F_Postkorb,$O$22):INDEX(F_Postkorb,$O$23),B40))</f>
        <v/>
      </c>
    </row>
    <row r="41" spans="4:5" x14ac:dyDescent="0.25">
      <c r="D41" s="26" t="str">
        <f>IF(B41="","",SUMIFS(INDEX(F_Rueckstand,$O$22):INDEX(F_Rueckstand,$O$23),INDEX(F_Stichtag,$O$22):INDEX(F_Stichtag,$O$23),$N$5,INDEX(F_Quelle,$O$22):INDEX(F_Quelle,$O$23),"Verbund",INDEX(F_Postkorb,$O$22):INDEX(F_Postkorb,$O$23),B41))</f>
        <v/>
      </c>
      <c r="E41" s="26" t="str">
        <f>IF(B41="","",SUMIFS(INDEX(F_Rueckstand,$O$22):INDEX(F_Rueckstand,$O$23),INDEX(F_Stichtag,$O$22):INDEX(F_Stichtag,$O$23),$N$5,INDEX(F_Quelle,$O$22):INDEX(F_Quelle,$O$23),"OPAG",INDEX(F_Postkorb,$O$22):INDEX(F_Postkorb,$O$23),B41))</f>
        <v/>
      </c>
    </row>
    <row r="42" spans="4:5" x14ac:dyDescent="0.25">
      <c r="D42" s="26" t="str">
        <f>IF(B42="","",SUMIFS(INDEX(F_Rueckstand,$O$22):INDEX(F_Rueckstand,$O$23),INDEX(F_Stichtag,$O$22):INDEX(F_Stichtag,$O$23),$N$5,INDEX(F_Quelle,$O$22):INDEX(F_Quelle,$O$23),"Verbund",INDEX(F_Postkorb,$O$22):INDEX(F_Postkorb,$O$23),B42))</f>
        <v/>
      </c>
      <c r="E42" s="26" t="str">
        <f>IF(B42="","",SUMIFS(INDEX(F_Rueckstand,$O$22):INDEX(F_Rueckstand,$O$23),INDEX(F_Stichtag,$O$22):INDEX(F_Stichtag,$O$23),$N$5,INDEX(F_Quelle,$O$22):INDEX(F_Quelle,$O$23),"OPAG",INDEX(F_Postkorb,$O$22):INDEX(F_Postkorb,$O$23),B42))</f>
        <v/>
      </c>
    </row>
    <row r="43" spans="4:5" x14ac:dyDescent="0.25">
      <c r="D43" s="26" t="str">
        <f>IF(B43="","",SUMIFS(INDEX(F_Rueckstand,$O$22):INDEX(F_Rueckstand,$O$23),INDEX(F_Stichtag,$O$22):INDEX(F_Stichtag,$O$23),$N$5,INDEX(F_Quelle,$O$22):INDEX(F_Quelle,$O$23),"Verbund",INDEX(F_Postkorb,$O$22):INDEX(F_Postkorb,$O$23),B43))</f>
        <v/>
      </c>
      <c r="E43" s="26" t="str">
        <f>IF(B43="","",SUMIFS(INDEX(F_Rueckstand,$O$22):INDEX(F_Rueckstand,$O$23),INDEX(F_Stichtag,$O$22):INDEX(F_Stichtag,$O$23),$N$5,INDEX(F_Quelle,$O$22):INDEX(F_Quelle,$O$23),"OPAG",INDEX(F_Postkorb,$O$22):INDEX(F_Postkorb,$O$23),B43))</f>
        <v/>
      </c>
    </row>
    <row r="44" spans="4:5" x14ac:dyDescent="0.25">
      <c r="D44" s="26" t="str">
        <f>IF(B44="","",SUMIFS(INDEX(F_Rueckstand,$O$22):INDEX(F_Rueckstand,$O$23),INDEX(F_Stichtag,$O$22):INDEX(F_Stichtag,$O$23),$N$5,INDEX(F_Quelle,$O$22):INDEX(F_Quelle,$O$23),"Verbund",INDEX(F_Postkorb,$O$22):INDEX(F_Postkorb,$O$23),B44))</f>
        <v/>
      </c>
      <c r="E44" s="26" t="str">
        <f>IF(B44="","",SUMIFS(INDEX(F_Rueckstand,$O$22):INDEX(F_Rueckstand,$O$23),INDEX(F_Stichtag,$O$22):INDEX(F_Stichtag,$O$23),$N$5,INDEX(F_Quelle,$O$22):INDEX(F_Quelle,$O$23),"OPAG",INDEX(F_Postkorb,$O$22):INDEX(F_Postkorb,$O$23),B44))</f>
        <v/>
      </c>
    </row>
  </sheetData>
  <dataValidations count="3">
    <dataValidation type="list" allowBlank="1" showInputMessage="1" showErrorMessage="1" sqref="L5" xr:uid="{00000000-0002-0000-0800-000000000000}">
      <formula1>"Alle GeVo,Nur BÜ-Schlüssel,Manuelle Auswahl"</formula1>
    </dataValidation>
    <dataValidation type="list" allowBlank="1" showInputMessage="1" showErrorMessage="1" sqref="L9" xr:uid="{00000000-0002-0000-0800-000001000000}">
      <formula1>"Tag,Woche"</formula1>
    </dataValidation>
    <dataValidation type="list" allowBlank="1" showInputMessage="1" showErrorMessage="1" sqref="L13" xr:uid="{00000000-0002-0000-0800-000002000000}">
      <formula1>"Verbund,OPAG"</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1"/>
  <sheetViews>
    <sheetView showGridLines="0" workbookViewId="0"/>
  </sheetViews>
  <sheetFormatPr defaultRowHeight="13.5" x14ac:dyDescent="0.25"/>
  <cols>
    <col min="1" max="1" width="30.7109375" customWidth="1"/>
    <col min="2" max="2" width="42.7109375" customWidth="1"/>
    <col min="3" max="3" width="3.7109375" customWidth="1"/>
    <col min="4" max="4" width="26.7109375" customWidth="1"/>
    <col min="5" max="5" width="3.7109375" customWidth="1"/>
    <col min="6" max="6" width="40.7109375" customWidth="1"/>
  </cols>
  <sheetData>
    <row r="1" spans="1:6" ht="26.25" x14ac:dyDescent="0.25">
      <c r="A1" s="1" t="s">
        <v>0</v>
      </c>
    </row>
    <row r="2" spans="1:6" x14ac:dyDescent="0.25">
      <c r="A2" s="2" t="s">
        <v>1</v>
      </c>
    </row>
    <row r="3" spans="1:6" x14ac:dyDescent="0.25">
      <c r="A3" s="7" t="s">
        <v>2</v>
      </c>
      <c r="B3" s="30" t="s">
        <v>3</v>
      </c>
    </row>
    <row r="4" spans="1:6" x14ac:dyDescent="0.25">
      <c r="A4" s="7" t="s">
        <v>4</v>
      </c>
      <c r="B4" s="30" t="s">
        <v>5</v>
      </c>
    </row>
    <row r="5" spans="1:6" x14ac:dyDescent="0.25">
      <c r="A5" s="7" t="s">
        <v>6</v>
      </c>
      <c r="B5" s="30">
        <v>2026</v>
      </c>
    </row>
    <row r="6" spans="1:6" ht="45" x14ac:dyDescent="0.25">
      <c r="A6" s="5" t="s">
        <v>7</v>
      </c>
    </row>
    <row r="7" spans="1:6" x14ac:dyDescent="0.25">
      <c r="A7" s="7" t="s">
        <v>8</v>
      </c>
      <c r="B7" s="30"/>
    </row>
    <row r="8" spans="1:6" x14ac:dyDescent="0.25">
      <c r="A8" s="7" t="s">
        <v>9</v>
      </c>
      <c r="B8" s="30" t="s">
        <v>10</v>
      </c>
    </row>
    <row r="9" spans="1:6" x14ac:dyDescent="0.25">
      <c r="A9" s="7" t="s">
        <v>11</v>
      </c>
      <c r="B9" s="30" t="s">
        <v>10</v>
      </c>
    </row>
    <row r="10" spans="1:6" ht="27" x14ac:dyDescent="0.25">
      <c r="A10" s="20" t="s">
        <v>12</v>
      </c>
      <c r="B10" s="20" t="s">
        <v>13</v>
      </c>
      <c r="D10" s="20" t="s">
        <v>30</v>
      </c>
      <c r="F10" s="20" t="s">
        <v>32</v>
      </c>
    </row>
    <row r="11" spans="1:6" x14ac:dyDescent="0.25">
      <c r="A11" s="7" t="s">
        <v>14</v>
      </c>
      <c r="B11" s="30" t="s">
        <v>14</v>
      </c>
      <c r="D11" s="30">
        <v>108</v>
      </c>
      <c r="F11" s="30" t="s">
        <v>33</v>
      </c>
    </row>
    <row r="12" spans="1:6" x14ac:dyDescent="0.25">
      <c r="A12" s="7" t="s">
        <v>15</v>
      </c>
      <c r="B12" s="30" t="s">
        <v>16</v>
      </c>
      <c r="D12" s="30">
        <v>469</v>
      </c>
      <c r="F12" s="30" t="s">
        <v>34</v>
      </c>
    </row>
    <row r="13" spans="1:6" x14ac:dyDescent="0.25">
      <c r="A13" s="7" t="s">
        <v>17</v>
      </c>
      <c r="B13" s="30" t="s">
        <v>16</v>
      </c>
      <c r="D13" s="30">
        <v>2015</v>
      </c>
      <c r="F13" s="30" t="s">
        <v>35</v>
      </c>
    </row>
    <row r="14" spans="1:6" x14ac:dyDescent="0.25">
      <c r="A14" s="7" t="s">
        <v>18</v>
      </c>
      <c r="B14" s="30" t="s">
        <v>16</v>
      </c>
      <c r="D14" s="30">
        <v>6065</v>
      </c>
    </row>
    <row r="15" spans="1:6" x14ac:dyDescent="0.25">
      <c r="A15" s="7" t="s">
        <v>19</v>
      </c>
      <c r="B15" s="30" t="s">
        <v>20</v>
      </c>
    </row>
    <row r="16" spans="1:6" ht="45" x14ac:dyDescent="0.25">
      <c r="A16" s="7" t="s">
        <v>21</v>
      </c>
      <c r="B16" s="30" t="s">
        <v>20</v>
      </c>
      <c r="D16" s="5" t="s">
        <v>31</v>
      </c>
      <c r="F16" s="5" t="s">
        <v>36</v>
      </c>
    </row>
    <row r="17" spans="1:2" x14ac:dyDescent="0.25">
      <c r="A17" s="7" t="s">
        <v>22</v>
      </c>
      <c r="B17" s="30" t="s">
        <v>20</v>
      </c>
    </row>
    <row r="18" spans="1:2" x14ac:dyDescent="0.25">
      <c r="A18" s="7" t="s">
        <v>23</v>
      </c>
      <c r="B18" s="30" t="s">
        <v>20</v>
      </c>
    </row>
    <row r="19" spans="1:2" x14ac:dyDescent="0.25">
      <c r="A19" s="7" t="s">
        <v>24</v>
      </c>
      <c r="B19" s="30" t="s">
        <v>20</v>
      </c>
    </row>
    <row r="20" spans="1:2" x14ac:dyDescent="0.25">
      <c r="A20" s="7" t="s">
        <v>25</v>
      </c>
      <c r="B20" s="30" t="s">
        <v>20</v>
      </c>
    </row>
    <row r="21" spans="1:2" x14ac:dyDescent="0.25">
      <c r="A21" s="7" t="s">
        <v>26</v>
      </c>
      <c r="B21" s="30" t="s">
        <v>20</v>
      </c>
    </row>
    <row r="22" spans="1:2" x14ac:dyDescent="0.25">
      <c r="A22" s="7" t="s">
        <v>27</v>
      </c>
      <c r="B22" s="30" t="s">
        <v>20</v>
      </c>
    </row>
    <row r="23" spans="1:2" x14ac:dyDescent="0.25">
      <c r="A23" s="7" t="s">
        <v>28</v>
      </c>
      <c r="B23" s="30" t="s">
        <v>20</v>
      </c>
    </row>
    <row r="25" spans="1:2" ht="33.75" x14ac:dyDescent="0.25">
      <c r="A25" s="5" t="s">
        <v>29</v>
      </c>
    </row>
    <row r="26" spans="1:2" ht="15" x14ac:dyDescent="0.25">
      <c r="A26" s="31" t="s">
        <v>37</v>
      </c>
    </row>
    <row r="27" spans="1:2" x14ac:dyDescent="0.25">
      <c r="A27" s="7" t="s">
        <v>38</v>
      </c>
    </row>
    <row r="28" spans="1:2" x14ac:dyDescent="0.25">
      <c r="A28" s="7" t="s">
        <v>39</v>
      </c>
    </row>
    <row r="29" spans="1:2" x14ac:dyDescent="0.25">
      <c r="A29" s="7" t="s">
        <v>40</v>
      </c>
    </row>
    <row r="30" spans="1:2" x14ac:dyDescent="0.25">
      <c r="A30" s="7" t="s">
        <v>41</v>
      </c>
    </row>
    <row r="31" spans="1:2" ht="48" customHeight="1" x14ac:dyDescent="0.25">
      <c r="A31" s="5" t="s">
        <v>42</v>
      </c>
    </row>
  </sheetData>
  <dataValidations count="1">
    <dataValidation type="list" allowBlank="1" showInputMessage="1" showErrorMessage="1" sqref="B8:B9" xr:uid="{00000000-0002-0000-0900-000000000000}">
      <formula1>"JA,NEIN"</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J4"/>
  <sheetViews>
    <sheetView showGridLines="0" workbookViewId="0"/>
  </sheetViews>
  <sheetFormatPr defaultRowHeight="13.5" x14ac:dyDescent="0.25"/>
  <cols>
    <col min="1" max="1" width="16.7109375" customWidth="1"/>
    <col min="2" max="2" width="40.7109375" customWidth="1"/>
    <col min="3" max="3" width="16.7109375" customWidth="1"/>
    <col min="4" max="9" width="11.7109375" customWidth="1"/>
    <col min="10" max="10" width="70.7109375" customWidth="1"/>
  </cols>
  <sheetData>
    <row r="1" spans="1:10" ht="26.25" x14ac:dyDescent="0.25">
      <c r="A1" s="1" t="s">
        <v>301</v>
      </c>
    </row>
    <row r="2" spans="1:10" x14ac:dyDescent="0.25">
      <c r="A2" s="2" t="s">
        <v>302</v>
      </c>
    </row>
    <row r="4" spans="1:10" x14ac:dyDescent="0.25">
      <c r="A4" s="20" t="s">
        <v>303</v>
      </c>
      <c r="B4" s="20" t="s">
        <v>304</v>
      </c>
      <c r="C4" s="20" t="s">
        <v>305</v>
      </c>
      <c r="D4" s="20" t="s">
        <v>44</v>
      </c>
      <c r="E4" s="20" t="s">
        <v>43</v>
      </c>
      <c r="F4" s="20" t="s">
        <v>306</v>
      </c>
      <c r="G4" s="20" t="s">
        <v>51</v>
      </c>
      <c r="H4" s="20" t="s">
        <v>125</v>
      </c>
      <c r="I4" s="20" t="s">
        <v>126</v>
      </c>
      <c r="J4" s="20" t="s">
        <v>307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F48"/>
  <sheetViews>
    <sheetView showGridLines="0" workbookViewId="0">
      <pane ySplit="3" topLeftCell="A4" activePane="bottomLeft" state="frozen"/>
      <selection pane="bottomLeft"/>
    </sheetView>
  </sheetViews>
  <sheetFormatPr defaultRowHeight="13.5" x14ac:dyDescent="0.25"/>
  <cols>
    <col min="1" max="1" width="16.7109375" customWidth="1"/>
    <col min="2" max="2" width="7.7109375" customWidth="1"/>
    <col min="3" max="30" width="9.7109375" customWidth="1"/>
    <col min="31" max="31" width="2.7109375" customWidth="1"/>
    <col min="32" max="32" width="18.7109375" customWidth="1"/>
  </cols>
  <sheetData>
    <row r="1" spans="1:32" x14ac:dyDescent="0.25">
      <c r="A1" s="2" t="s">
        <v>308</v>
      </c>
      <c r="AF1" s="20" t="s">
        <v>309</v>
      </c>
    </row>
    <row r="2" spans="1:32" x14ac:dyDescent="0.25">
      <c r="AF2" s="26">
        <f>MIN(7,IF(Filter!$L$9="Woche",COUNTIF(KW!$U$6:$U$237,"&gt;0"),COUNT(Verlauf!$A$6:$A$1000)))</f>
        <v>0</v>
      </c>
    </row>
    <row r="3" spans="1:32" ht="40.5" x14ac:dyDescent="0.25">
      <c r="A3" s="25" t="s">
        <v>310</v>
      </c>
      <c r="B3" s="25" t="s">
        <v>311</v>
      </c>
      <c r="C3" s="25" t="s">
        <v>312</v>
      </c>
      <c r="D3" s="25" t="s">
        <v>313</v>
      </c>
      <c r="E3" s="25" t="s">
        <v>314</v>
      </c>
      <c r="F3" s="25" t="s">
        <v>315</v>
      </c>
      <c r="G3" s="25" t="s">
        <v>316</v>
      </c>
      <c r="H3" s="25" t="s">
        <v>317</v>
      </c>
      <c r="I3" s="25" t="s">
        <v>318</v>
      </c>
      <c r="J3" s="25" t="s">
        <v>319</v>
      </c>
      <c r="K3" s="25" t="s">
        <v>320</v>
      </c>
      <c r="L3" s="25" t="s">
        <v>321</v>
      </c>
      <c r="M3" s="25" t="s">
        <v>322</v>
      </c>
      <c r="N3" s="25" t="s">
        <v>323</v>
      </c>
      <c r="O3" s="25" t="s">
        <v>324</v>
      </c>
      <c r="P3" s="25" t="s">
        <v>325</v>
      </c>
      <c r="Q3" s="25" t="s">
        <v>326</v>
      </c>
      <c r="R3" s="25" t="s">
        <v>327</v>
      </c>
      <c r="S3" s="25" t="s">
        <v>328</v>
      </c>
      <c r="T3" s="25" t="s">
        <v>329</v>
      </c>
      <c r="U3" s="25" t="s">
        <v>330</v>
      </c>
      <c r="V3" s="25" t="s">
        <v>331</v>
      </c>
      <c r="W3" s="25" t="s">
        <v>332</v>
      </c>
      <c r="X3" s="25" t="s">
        <v>333</v>
      </c>
      <c r="Y3" s="25" t="s">
        <v>334</v>
      </c>
      <c r="Z3" s="25" t="s">
        <v>335</v>
      </c>
    </row>
    <row r="4" spans="1:32" x14ac:dyDescent="0.25">
      <c r="A4" s="7" t="str">
        <f>IF(B4="","",IF(Filter!$L$9="Woche","KW "&amp;INDEX(KW!$B$6:$B$237,B4),RIGHT("0"&amp;DAY(INDEX(Verlauf!$A$6:$A$1000,B4)),2)&amp;"."&amp;RIGHT("0"&amp;MONTH(INDEX(Verlauf!$A$6:$A$1000,B4)),2)&amp;"."))</f>
        <v/>
      </c>
      <c r="B4" s="26" t="str">
        <f>IF(1&lt;=7-$AF$2,"",IF(Filter!$L$9="Woche",_xlfn.AGGREGATE(14,6,(ROW(KW!$U$6:$U$237)-5)/(KW!$U$6:$U$237&gt;0),7),COUNT(Verlauf!$A$6:$A$1000)-7+1))</f>
        <v/>
      </c>
      <c r="C4" s="26" t="e">
        <f>IF($B4="",NA(),IF(Filter!$L$9="Woche",INDEX(KW!$AF$6:$AF$237,$B4),INDEX(Verlauf!$D$6:$D$1000,$B4)))</f>
        <v>#N/A</v>
      </c>
      <c r="D4" s="26" t="e">
        <f>IF($B4="",NA(),IF(Filter!$L$9="Woche",INDEX(KW!$AG$6:$AG$237,$B4),INDEX(Verlauf!$E$6:$E$1000,$B4)))</f>
        <v>#N/A</v>
      </c>
      <c r="E4" s="26" t="e">
        <f>IF($B4="",NA(),IF(Filter!$L$9="Woche",INDEX(KW!$AH$6:$AH$237,$B4),INDEX(Verlauf!$F$6:$F$1000,$B4)))</f>
        <v>#N/A</v>
      </c>
      <c r="F4" s="26" t="e">
        <f>IF($B4="",NA(),IF(Filter!$L$9="Woche",INDEX(KW!$AI$6:$AI$237,$B4),INDEX(Verlauf!$H$6:$H$1000,$B4)))</f>
        <v>#N/A</v>
      </c>
      <c r="G4" s="26" t="e">
        <f>IF($B4="",NA(),IF(Filter!$L$9="Woche",INDEX(KW!$AJ$6:$AJ$237,$B4),INDEX(Verlauf!$N$6:$N$1000,$B4)))</f>
        <v>#N/A</v>
      </c>
      <c r="H4" s="26" t="e">
        <f>IF($B4="",NA(),IF(Filter!$L$9="Woche",INDEX(KW!$AK$6:$AK$237,$B4),INDEX(Verlauf!$O$6:$O$1000,$B4)))</f>
        <v>#N/A</v>
      </c>
      <c r="I4" s="26" t="e">
        <f>IF($B4="",NA(),IF(Filter!$L$9="Woche",INDEX(KW!$AL$6:$AL$237,$B4),INDEX(Verlauf!$P$6:$P$1000,$B4)))</f>
        <v>#N/A</v>
      </c>
      <c r="J4" s="26" t="e">
        <f>IF($B4="",NA(),IF(Filter!$L$9="Woche",INDEX(KW!$AM$6:$AM$237,$B4),INDEX(Verlauf!$R$6:$R$1000,$B4)))</f>
        <v>#N/A</v>
      </c>
      <c r="K4" s="26" t="e">
        <f>IF($B4="",NA(),N(IF(Filter!$L$9="Woche",INDEX(KW!$AA$6:$AA$237,$B4),INDEX(Verlauf!$I$6:$I$1000,$B4))))</f>
        <v>#N/A</v>
      </c>
      <c r="L4" s="26" t="e">
        <f>IF($B4="",NA(),-N(IF(Filter!$L$9="Woche",INDEX(KW!$G$6:$G$237,$B4),INDEX(Verlauf!$J$6:$J$1000,$B4))))</f>
        <v>#N/A</v>
      </c>
      <c r="M4" s="26" t="e">
        <f>IF($B4="",NA(),N(IF(Filter!$L$9="Woche",INDEX(KW!$AA$6:$AA$237,$B4),INDEX(Verlauf!$I$6:$I$1000,$B4)))-N(IF(Filter!$L$9="Woche",INDEX(KW!$G$6:$G$237,$B4),INDEX(Verlauf!$J$6:$J$1000,$B4))))</f>
        <v>#N/A</v>
      </c>
      <c r="N4" s="26" t="e">
        <f>IF($B4="",NA(),N(IF(Filter!$L$9="Woche",INDEX(KW!$AE$6:$AE$237,$B4),INDEX(Verlauf!$S$6:$S$1000,$B4))))</f>
        <v>#N/A</v>
      </c>
      <c r="O4" s="26" t="e">
        <f>IF($B4="",NA(),-N(IF(Filter!$L$9="Woche",INDEX(KW!$K$6:$K$237,$B4),INDEX(Verlauf!$T$6:$T$1000,$B4))))</f>
        <v>#N/A</v>
      </c>
      <c r="P4" s="26" t="e">
        <f>IF($B4="",NA(),N(IF(Filter!$L$9="Woche",INDEX(KW!$AE$6:$AE$237,$B4),INDEX(Verlauf!$S$6:$S$1000,$B4)))-N(IF(Filter!$L$9="Woche",INDEX(KW!$K$6:$K$237,$B4),INDEX(Verlauf!$T$6:$T$1000,$B4))))</f>
        <v>#N/A</v>
      </c>
      <c r="Q4" s="26" t="e">
        <f>IF(OR($B4="",1=1,ISNA(F3)),NA(),IF((F4-F3)&lt;0,F4+_xlfn.AGGREGATE(4,6,$F$4:$F$10)*0.22,NA()))</f>
        <v>#N/A</v>
      </c>
      <c r="R4" s="26" t="e">
        <f>IF(OR($B4="",1=1,ISNA(F3)),NA(),IF((F4-F3)&gt;0,F4+_xlfn.AGGREGATE(4,6,$F$4:$F$10)*0.22,NA()))</f>
        <v>#N/A</v>
      </c>
      <c r="S4" s="26" t="e">
        <f>IF(OR($B4="",1=1,ISNA(F3)),NA(),IF((F4-F3)=0,F4+_xlfn.AGGREGATE(4,6,$F$4:$F$10)*0.22,NA()))</f>
        <v>#N/A</v>
      </c>
      <c r="T4" s="26" t="e">
        <f t="shared" ref="T4:T10" si="0">IF($B4="",NA(),_xlfn.AGGREGATE(4,6,$F$4:$F$10)*1.42)</f>
        <v>#N/A</v>
      </c>
      <c r="U4" s="7" t="str">
        <f>IF(OR($B4="",1=1,ISNA(F3)),"",IF((F4-F3)&gt;0,"+"&amp;FIXED((F4-F3),0),IF((F4-F3)&lt;0,"-"&amp;FIXED(-(F4-F3),0),"±0")))</f>
        <v/>
      </c>
      <c r="V4" s="26" t="e">
        <f>IF(OR($B4="",1=1,ISNA(J3)),NA(),IF((J4-J3)&lt;0,J4+_xlfn.AGGREGATE(4,6,$J$4:$J$10)*0.22,NA()))</f>
        <v>#N/A</v>
      </c>
      <c r="W4" s="26" t="e">
        <f>IF(OR($B4="",1=1,ISNA(J3)),NA(),IF((J4-J3)&gt;0,J4+_xlfn.AGGREGATE(4,6,$J$4:$J$10)*0.22,NA()))</f>
        <v>#N/A</v>
      </c>
      <c r="X4" s="26" t="e">
        <f>IF(OR($B4="",1=1,ISNA(J3)),NA(),IF((J4-J3)=0,J4+_xlfn.AGGREGATE(4,6,$J$4:$J$10)*0.22,NA()))</f>
        <v>#N/A</v>
      </c>
      <c r="Y4" s="26" t="e">
        <f t="shared" ref="Y4:Y10" si="1">IF($B4="",NA(),_xlfn.AGGREGATE(4,6,$J$4:$J$10)*1.42)</f>
        <v>#N/A</v>
      </c>
      <c r="Z4" s="7" t="str">
        <f>IF(OR($B4="",1=1,ISNA(J3)),"",IF((J4-J3)&gt;0,"+"&amp;FIXED((J4-J3),0),IF((J4-J3)&lt;0,"-"&amp;FIXED(-(J4-J3),0),"±0")))</f>
        <v/>
      </c>
    </row>
    <row r="5" spans="1:32" x14ac:dyDescent="0.25">
      <c r="A5" s="7" t="str">
        <f>IF(B5="","",IF(Filter!$L$9="Woche","KW "&amp;INDEX(KW!$B$6:$B$237,B5),RIGHT("0"&amp;DAY(INDEX(Verlauf!$A$6:$A$1000,B5)),2)&amp;"."&amp;RIGHT("0"&amp;MONTH(INDEX(Verlauf!$A$6:$A$1000,B5)),2)&amp;"."))</f>
        <v/>
      </c>
      <c r="B5" s="26" t="str">
        <f>IF(2&lt;=7-$AF$2,"",IF(Filter!$L$9="Woche",_xlfn.AGGREGATE(14,6,(ROW(KW!$U$6:$U$237)-5)/(KW!$U$6:$U$237&gt;0),6),COUNT(Verlauf!$A$6:$A$1000)-7+2))</f>
        <v/>
      </c>
      <c r="C5" s="26" t="e">
        <f>IF($B5="",NA(),IF(Filter!$L$9="Woche",INDEX(KW!$AF$6:$AF$237,$B5),INDEX(Verlauf!$D$6:$D$1000,$B5)))</f>
        <v>#N/A</v>
      </c>
      <c r="D5" s="26" t="e">
        <f>IF($B5="",NA(),IF(Filter!$L$9="Woche",INDEX(KW!$AG$6:$AG$237,$B5),INDEX(Verlauf!$E$6:$E$1000,$B5)))</f>
        <v>#N/A</v>
      </c>
      <c r="E5" s="26" t="e">
        <f>IF($B5="",NA(),IF(Filter!$L$9="Woche",INDEX(KW!$AH$6:$AH$237,$B5),INDEX(Verlauf!$F$6:$F$1000,$B5)))</f>
        <v>#N/A</v>
      </c>
      <c r="F5" s="26" t="e">
        <f>IF($B5="",NA(),IF(Filter!$L$9="Woche",INDEX(KW!$AI$6:$AI$237,$B5),INDEX(Verlauf!$H$6:$H$1000,$B5)))</f>
        <v>#N/A</v>
      </c>
      <c r="G5" s="26" t="e">
        <f>IF($B5="",NA(),IF(Filter!$L$9="Woche",INDEX(KW!$AJ$6:$AJ$237,$B5),INDEX(Verlauf!$N$6:$N$1000,$B5)))</f>
        <v>#N/A</v>
      </c>
      <c r="H5" s="26" t="e">
        <f>IF($B5="",NA(),IF(Filter!$L$9="Woche",INDEX(KW!$AK$6:$AK$237,$B5),INDEX(Verlauf!$O$6:$O$1000,$B5)))</f>
        <v>#N/A</v>
      </c>
      <c r="I5" s="26" t="e">
        <f>IF($B5="",NA(),IF(Filter!$L$9="Woche",INDEX(KW!$AL$6:$AL$237,$B5),INDEX(Verlauf!$P$6:$P$1000,$B5)))</f>
        <v>#N/A</v>
      </c>
      <c r="J5" s="26" t="e">
        <f>IF($B5="",NA(),IF(Filter!$L$9="Woche",INDEX(KW!$AM$6:$AM$237,$B5),INDEX(Verlauf!$R$6:$R$1000,$B5)))</f>
        <v>#N/A</v>
      </c>
      <c r="K5" s="26" t="e">
        <f>IF($B5="",NA(),N(IF(Filter!$L$9="Woche",INDEX(KW!$AA$6:$AA$237,$B5),INDEX(Verlauf!$I$6:$I$1000,$B5))))</f>
        <v>#N/A</v>
      </c>
      <c r="L5" s="26" t="e">
        <f>IF($B5="",NA(),-N(IF(Filter!$L$9="Woche",INDEX(KW!$G$6:$G$237,$B5),INDEX(Verlauf!$J$6:$J$1000,$B5))))</f>
        <v>#N/A</v>
      </c>
      <c r="M5" s="26" t="e">
        <f>IF($B5="",NA(),N(IF(Filter!$L$9="Woche",INDEX(KW!$AA$6:$AA$237,$B5),INDEX(Verlauf!$I$6:$I$1000,$B5)))-N(IF(Filter!$L$9="Woche",INDEX(KW!$G$6:$G$237,$B5),INDEX(Verlauf!$J$6:$J$1000,$B5))))</f>
        <v>#N/A</v>
      </c>
      <c r="N5" s="26" t="e">
        <f>IF($B5="",NA(),N(IF(Filter!$L$9="Woche",INDEX(KW!$AE$6:$AE$237,$B5),INDEX(Verlauf!$S$6:$S$1000,$B5))))</f>
        <v>#N/A</v>
      </c>
      <c r="O5" s="26" t="e">
        <f>IF($B5="",NA(),-N(IF(Filter!$L$9="Woche",INDEX(KW!$K$6:$K$237,$B5),INDEX(Verlauf!$T$6:$T$1000,$B5))))</f>
        <v>#N/A</v>
      </c>
      <c r="P5" s="26" t="e">
        <f>IF($B5="",NA(),N(IF(Filter!$L$9="Woche",INDEX(KW!$AE$6:$AE$237,$B5),INDEX(Verlauf!$S$6:$S$1000,$B5)))-N(IF(Filter!$L$9="Woche",INDEX(KW!$K$6:$K$237,$B5),INDEX(Verlauf!$T$6:$T$1000,$B5))))</f>
        <v>#N/A</v>
      </c>
      <c r="Q5" s="26" t="e">
        <f>IF(OR($B5="",2=1,ISNA(F4)),NA(),IF((F5-F4)&lt;0,F5+_xlfn.AGGREGATE(4,6,$F$4:$F$10)*0.22,NA()))</f>
        <v>#N/A</v>
      </c>
      <c r="R5" s="26" t="e">
        <f>IF(OR($B5="",2=1,ISNA(F4)),NA(),IF((F5-F4)&gt;0,F5+_xlfn.AGGREGATE(4,6,$F$4:$F$10)*0.22,NA()))</f>
        <v>#N/A</v>
      </c>
      <c r="S5" s="26" t="e">
        <f>IF(OR($B5="",2=1,ISNA(F4)),NA(),IF((F5-F4)=0,F5+_xlfn.AGGREGATE(4,6,$F$4:$F$10)*0.22,NA()))</f>
        <v>#N/A</v>
      </c>
      <c r="T5" s="26" t="e">
        <f t="shared" si="0"/>
        <v>#N/A</v>
      </c>
      <c r="U5" s="7" t="str">
        <f>IF(OR($B5="",2=1,ISNA(F4)),"",IF((F5-F4)&gt;0,"+"&amp;FIXED((F5-F4),0),IF((F5-F4)&lt;0,"-"&amp;FIXED(-(F5-F4),0),"±0")))</f>
        <v/>
      </c>
      <c r="V5" s="26" t="e">
        <f>IF(OR($B5="",2=1,ISNA(J4)),NA(),IF((J5-J4)&lt;0,J5+_xlfn.AGGREGATE(4,6,$J$4:$J$10)*0.22,NA()))</f>
        <v>#N/A</v>
      </c>
      <c r="W5" s="26" t="e">
        <f>IF(OR($B5="",2=1,ISNA(J4)),NA(),IF((J5-J4)&gt;0,J5+_xlfn.AGGREGATE(4,6,$J$4:$J$10)*0.22,NA()))</f>
        <v>#N/A</v>
      </c>
      <c r="X5" s="26" t="e">
        <f>IF(OR($B5="",2=1,ISNA(J4)),NA(),IF((J5-J4)=0,J5+_xlfn.AGGREGATE(4,6,$J$4:$J$10)*0.22,NA()))</f>
        <v>#N/A</v>
      </c>
      <c r="Y5" s="26" t="e">
        <f t="shared" si="1"/>
        <v>#N/A</v>
      </c>
      <c r="Z5" s="7" t="str">
        <f>IF(OR($B5="",2=1,ISNA(J4)),"",IF((J5-J4)&gt;0,"+"&amp;FIXED((J5-J4),0),IF((J5-J4)&lt;0,"-"&amp;FIXED(-(J5-J4),0),"±0")))</f>
        <v/>
      </c>
    </row>
    <row r="6" spans="1:32" x14ac:dyDescent="0.25">
      <c r="A6" s="7" t="str">
        <f>IF(B6="","",IF(Filter!$L$9="Woche","KW "&amp;INDEX(KW!$B$6:$B$237,B6),RIGHT("0"&amp;DAY(INDEX(Verlauf!$A$6:$A$1000,B6)),2)&amp;"."&amp;RIGHT("0"&amp;MONTH(INDEX(Verlauf!$A$6:$A$1000,B6)),2)&amp;"."))</f>
        <v/>
      </c>
      <c r="B6" s="26" t="str">
        <f>IF(3&lt;=7-$AF$2,"",IF(Filter!$L$9="Woche",_xlfn.AGGREGATE(14,6,(ROW(KW!$U$6:$U$237)-5)/(KW!$U$6:$U$237&gt;0),5),COUNT(Verlauf!$A$6:$A$1000)-7+3))</f>
        <v/>
      </c>
      <c r="C6" s="26" t="e">
        <f>IF($B6="",NA(),IF(Filter!$L$9="Woche",INDEX(KW!$AF$6:$AF$237,$B6),INDEX(Verlauf!$D$6:$D$1000,$B6)))</f>
        <v>#N/A</v>
      </c>
      <c r="D6" s="26" t="e">
        <f>IF($B6="",NA(),IF(Filter!$L$9="Woche",INDEX(KW!$AG$6:$AG$237,$B6),INDEX(Verlauf!$E$6:$E$1000,$B6)))</f>
        <v>#N/A</v>
      </c>
      <c r="E6" s="26" t="e">
        <f>IF($B6="",NA(),IF(Filter!$L$9="Woche",INDEX(KW!$AH$6:$AH$237,$B6),INDEX(Verlauf!$F$6:$F$1000,$B6)))</f>
        <v>#N/A</v>
      </c>
      <c r="F6" s="26" t="e">
        <f>IF($B6="",NA(),IF(Filter!$L$9="Woche",INDEX(KW!$AI$6:$AI$237,$B6),INDEX(Verlauf!$H$6:$H$1000,$B6)))</f>
        <v>#N/A</v>
      </c>
      <c r="G6" s="26" t="e">
        <f>IF($B6="",NA(),IF(Filter!$L$9="Woche",INDEX(KW!$AJ$6:$AJ$237,$B6),INDEX(Verlauf!$N$6:$N$1000,$B6)))</f>
        <v>#N/A</v>
      </c>
      <c r="H6" s="26" t="e">
        <f>IF($B6="",NA(),IF(Filter!$L$9="Woche",INDEX(KW!$AK$6:$AK$237,$B6),INDEX(Verlauf!$O$6:$O$1000,$B6)))</f>
        <v>#N/A</v>
      </c>
      <c r="I6" s="26" t="e">
        <f>IF($B6="",NA(),IF(Filter!$L$9="Woche",INDEX(KW!$AL$6:$AL$237,$B6),INDEX(Verlauf!$P$6:$P$1000,$B6)))</f>
        <v>#N/A</v>
      </c>
      <c r="J6" s="26" t="e">
        <f>IF($B6="",NA(),IF(Filter!$L$9="Woche",INDEX(KW!$AM$6:$AM$237,$B6),INDEX(Verlauf!$R$6:$R$1000,$B6)))</f>
        <v>#N/A</v>
      </c>
      <c r="K6" s="26" t="e">
        <f>IF($B6="",NA(),N(IF(Filter!$L$9="Woche",INDEX(KW!$AA$6:$AA$237,$B6),INDEX(Verlauf!$I$6:$I$1000,$B6))))</f>
        <v>#N/A</v>
      </c>
      <c r="L6" s="26" t="e">
        <f>IF($B6="",NA(),-N(IF(Filter!$L$9="Woche",INDEX(KW!$G$6:$G$237,$B6),INDEX(Verlauf!$J$6:$J$1000,$B6))))</f>
        <v>#N/A</v>
      </c>
      <c r="M6" s="26" t="e">
        <f>IF($B6="",NA(),N(IF(Filter!$L$9="Woche",INDEX(KW!$AA$6:$AA$237,$B6),INDEX(Verlauf!$I$6:$I$1000,$B6)))-N(IF(Filter!$L$9="Woche",INDEX(KW!$G$6:$G$237,$B6),INDEX(Verlauf!$J$6:$J$1000,$B6))))</f>
        <v>#N/A</v>
      </c>
      <c r="N6" s="26" t="e">
        <f>IF($B6="",NA(),N(IF(Filter!$L$9="Woche",INDEX(KW!$AE$6:$AE$237,$B6),INDEX(Verlauf!$S$6:$S$1000,$B6))))</f>
        <v>#N/A</v>
      </c>
      <c r="O6" s="26" t="e">
        <f>IF($B6="",NA(),-N(IF(Filter!$L$9="Woche",INDEX(KW!$K$6:$K$237,$B6),INDEX(Verlauf!$T$6:$T$1000,$B6))))</f>
        <v>#N/A</v>
      </c>
      <c r="P6" s="26" t="e">
        <f>IF($B6="",NA(),N(IF(Filter!$L$9="Woche",INDEX(KW!$AE$6:$AE$237,$B6),INDEX(Verlauf!$S$6:$S$1000,$B6)))-N(IF(Filter!$L$9="Woche",INDEX(KW!$K$6:$K$237,$B6),INDEX(Verlauf!$T$6:$T$1000,$B6))))</f>
        <v>#N/A</v>
      </c>
      <c r="Q6" s="26" t="e">
        <f>IF(OR($B6="",3=1,ISNA(F5)),NA(),IF((F6-F5)&lt;0,F6+_xlfn.AGGREGATE(4,6,$F$4:$F$10)*0.22,NA()))</f>
        <v>#N/A</v>
      </c>
      <c r="R6" s="26" t="e">
        <f>IF(OR($B6="",3=1,ISNA(F5)),NA(),IF((F6-F5)&gt;0,F6+_xlfn.AGGREGATE(4,6,$F$4:$F$10)*0.22,NA()))</f>
        <v>#N/A</v>
      </c>
      <c r="S6" s="26" t="e">
        <f>IF(OR($B6="",3=1,ISNA(F5)),NA(),IF((F6-F5)=0,F6+_xlfn.AGGREGATE(4,6,$F$4:$F$10)*0.22,NA()))</f>
        <v>#N/A</v>
      </c>
      <c r="T6" s="26" t="e">
        <f t="shared" si="0"/>
        <v>#N/A</v>
      </c>
      <c r="U6" s="7" t="str">
        <f>IF(OR($B6="",3=1,ISNA(F5)),"",IF((F6-F5)&gt;0,"+"&amp;FIXED((F6-F5),0),IF((F6-F5)&lt;0,"-"&amp;FIXED(-(F6-F5),0),"±0")))</f>
        <v/>
      </c>
      <c r="V6" s="26" t="e">
        <f>IF(OR($B6="",3=1,ISNA(J5)),NA(),IF((J6-J5)&lt;0,J6+_xlfn.AGGREGATE(4,6,$J$4:$J$10)*0.22,NA()))</f>
        <v>#N/A</v>
      </c>
      <c r="W6" s="26" t="e">
        <f>IF(OR($B6="",3=1,ISNA(J5)),NA(),IF((J6-J5)&gt;0,J6+_xlfn.AGGREGATE(4,6,$J$4:$J$10)*0.22,NA()))</f>
        <v>#N/A</v>
      </c>
      <c r="X6" s="26" t="e">
        <f>IF(OR($B6="",3=1,ISNA(J5)),NA(),IF((J6-J5)=0,J6+_xlfn.AGGREGATE(4,6,$J$4:$J$10)*0.22,NA()))</f>
        <v>#N/A</v>
      </c>
      <c r="Y6" s="26" t="e">
        <f t="shared" si="1"/>
        <v>#N/A</v>
      </c>
      <c r="Z6" s="7" t="str">
        <f>IF(OR($B6="",3=1,ISNA(J5)),"",IF((J6-J5)&gt;0,"+"&amp;FIXED((J6-J5),0),IF((J6-J5)&lt;0,"-"&amp;FIXED(-(J6-J5),0),"±0")))</f>
        <v/>
      </c>
    </row>
    <row r="7" spans="1:32" x14ac:dyDescent="0.25">
      <c r="A7" s="7" t="str">
        <f>IF(B7="","",IF(Filter!$L$9="Woche","KW "&amp;INDEX(KW!$B$6:$B$237,B7),RIGHT("0"&amp;DAY(INDEX(Verlauf!$A$6:$A$1000,B7)),2)&amp;"."&amp;RIGHT("0"&amp;MONTH(INDEX(Verlauf!$A$6:$A$1000,B7)),2)&amp;"."))</f>
        <v/>
      </c>
      <c r="B7" s="26" t="str">
        <f>IF(4&lt;=7-$AF$2,"",IF(Filter!$L$9="Woche",_xlfn.AGGREGATE(14,6,(ROW(KW!$U$6:$U$237)-5)/(KW!$U$6:$U$237&gt;0),4),COUNT(Verlauf!$A$6:$A$1000)-7+4))</f>
        <v/>
      </c>
      <c r="C7" s="26" t="e">
        <f>IF($B7="",NA(),IF(Filter!$L$9="Woche",INDEX(KW!$AF$6:$AF$237,$B7),INDEX(Verlauf!$D$6:$D$1000,$B7)))</f>
        <v>#N/A</v>
      </c>
      <c r="D7" s="26" t="e">
        <f>IF($B7="",NA(),IF(Filter!$L$9="Woche",INDEX(KW!$AG$6:$AG$237,$B7),INDEX(Verlauf!$E$6:$E$1000,$B7)))</f>
        <v>#N/A</v>
      </c>
      <c r="E7" s="26" t="e">
        <f>IF($B7="",NA(),IF(Filter!$L$9="Woche",INDEX(KW!$AH$6:$AH$237,$B7),INDEX(Verlauf!$F$6:$F$1000,$B7)))</f>
        <v>#N/A</v>
      </c>
      <c r="F7" s="26" t="e">
        <f>IF($B7="",NA(),IF(Filter!$L$9="Woche",INDEX(KW!$AI$6:$AI$237,$B7),INDEX(Verlauf!$H$6:$H$1000,$B7)))</f>
        <v>#N/A</v>
      </c>
      <c r="G7" s="26" t="e">
        <f>IF($B7="",NA(),IF(Filter!$L$9="Woche",INDEX(KW!$AJ$6:$AJ$237,$B7),INDEX(Verlauf!$N$6:$N$1000,$B7)))</f>
        <v>#N/A</v>
      </c>
      <c r="H7" s="26" t="e">
        <f>IF($B7="",NA(),IF(Filter!$L$9="Woche",INDEX(KW!$AK$6:$AK$237,$B7),INDEX(Verlauf!$O$6:$O$1000,$B7)))</f>
        <v>#N/A</v>
      </c>
      <c r="I7" s="26" t="e">
        <f>IF($B7="",NA(),IF(Filter!$L$9="Woche",INDEX(KW!$AL$6:$AL$237,$B7),INDEX(Verlauf!$P$6:$P$1000,$B7)))</f>
        <v>#N/A</v>
      </c>
      <c r="J7" s="26" t="e">
        <f>IF($B7="",NA(),IF(Filter!$L$9="Woche",INDEX(KW!$AM$6:$AM$237,$B7),INDEX(Verlauf!$R$6:$R$1000,$B7)))</f>
        <v>#N/A</v>
      </c>
      <c r="K7" s="26" t="e">
        <f>IF($B7="",NA(),N(IF(Filter!$L$9="Woche",INDEX(KW!$AA$6:$AA$237,$B7),INDEX(Verlauf!$I$6:$I$1000,$B7))))</f>
        <v>#N/A</v>
      </c>
      <c r="L7" s="26" t="e">
        <f>IF($B7="",NA(),-N(IF(Filter!$L$9="Woche",INDEX(KW!$G$6:$G$237,$B7),INDEX(Verlauf!$J$6:$J$1000,$B7))))</f>
        <v>#N/A</v>
      </c>
      <c r="M7" s="26" t="e">
        <f>IF($B7="",NA(),N(IF(Filter!$L$9="Woche",INDEX(KW!$AA$6:$AA$237,$B7),INDEX(Verlauf!$I$6:$I$1000,$B7)))-N(IF(Filter!$L$9="Woche",INDEX(KW!$G$6:$G$237,$B7),INDEX(Verlauf!$J$6:$J$1000,$B7))))</f>
        <v>#N/A</v>
      </c>
      <c r="N7" s="26" t="e">
        <f>IF($B7="",NA(),N(IF(Filter!$L$9="Woche",INDEX(KW!$AE$6:$AE$237,$B7),INDEX(Verlauf!$S$6:$S$1000,$B7))))</f>
        <v>#N/A</v>
      </c>
      <c r="O7" s="26" t="e">
        <f>IF($B7="",NA(),-N(IF(Filter!$L$9="Woche",INDEX(KW!$K$6:$K$237,$B7),INDEX(Verlauf!$T$6:$T$1000,$B7))))</f>
        <v>#N/A</v>
      </c>
      <c r="P7" s="26" t="e">
        <f>IF($B7="",NA(),N(IF(Filter!$L$9="Woche",INDEX(KW!$AE$6:$AE$237,$B7),INDEX(Verlauf!$S$6:$S$1000,$B7)))-N(IF(Filter!$L$9="Woche",INDEX(KW!$K$6:$K$237,$B7),INDEX(Verlauf!$T$6:$T$1000,$B7))))</f>
        <v>#N/A</v>
      </c>
      <c r="Q7" s="26" t="e">
        <f>IF(OR($B7="",4=1,ISNA(F6)),NA(),IF((F7-F6)&lt;0,F7+_xlfn.AGGREGATE(4,6,$F$4:$F$10)*0.22,NA()))</f>
        <v>#N/A</v>
      </c>
      <c r="R7" s="26" t="e">
        <f>IF(OR($B7="",4=1,ISNA(F6)),NA(),IF((F7-F6)&gt;0,F7+_xlfn.AGGREGATE(4,6,$F$4:$F$10)*0.22,NA()))</f>
        <v>#N/A</v>
      </c>
      <c r="S7" s="26" t="e">
        <f>IF(OR($B7="",4=1,ISNA(F6)),NA(),IF((F7-F6)=0,F7+_xlfn.AGGREGATE(4,6,$F$4:$F$10)*0.22,NA()))</f>
        <v>#N/A</v>
      </c>
      <c r="T7" s="26" t="e">
        <f t="shared" si="0"/>
        <v>#N/A</v>
      </c>
      <c r="U7" s="7" t="str">
        <f>IF(OR($B7="",4=1,ISNA(F6)),"",IF((F7-F6)&gt;0,"+"&amp;FIXED((F7-F6),0),IF((F7-F6)&lt;0,"-"&amp;FIXED(-(F7-F6),0),"±0")))</f>
        <v/>
      </c>
      <c r="V7" s="26" t="e">
        <f>IF(OR($B7="",4=1,ISNA(J6)),NA(),IF((J7-J6)&lt;0,J7+_xlfn.AGGREGATE(4,6,$J$4:$J$10)*0.22,NA()))</f>
        <v>#N/A</v>
      </c>
      <c r="W7" s="26" t="e">
        <f>IF(OR($B7="",4=1,ISNA(J6)),NA(),IF((J7-J6)&gt;0,J7+_xlfn.AGGREGATE(4,6,$J$4:$J$10)*0.22,NA()))</f>
        <v>#N/A</v>
      </c>
      <c r="X7" s="26" t="e">
        <f>IF(OR($B7="",4=1,ISNA(J6)),NA(),IF((J7-J6)=0,J7+_xlfn.AGGREGATE(4,6,$J$4:$J$10)*0.22,NA()))</f>
        <v>#N/A</v>
      </c>
      <c r="Y7" s="26" t="e">
        <f t="shared" si="1"/>
        <v>#N/A</v>
      </c>
      <c r="Z7" s="7" t="str">
        <f>IF(OR($B7="",4=1,ISNA(J6)),"",IF((J7-J6)&gt;0,"+"&amp;FIXED((J7-J6),0),IF((J7-J6)&lt;0,"-"&amp;FIXED(-(J7-J6),0),"±0")))</f>
        <v/>
      </c>
    </row>
    <row r="8" spans="1:32" x14ac:dyDescent="0.25">
      <c r="A8" s="7" t="str">
        <f>IF(B8="","",IF(Filter!$L$9="Woche","KW "&amp;INDEX(KW!$B$6:$B$237,B8),RIGHT("0"&amp;DAY(INDEX(Verlauf!$A$6:$A$1000,B8)),2)&amp;"."&amp;RIGHT("0"&amp;MONTH(INDEX(Verlauf!$A$6:$A$1000,B8)),2)&amp;"."))</f>
        <v/>
      </c>
      <c r="B8" s="26" t="str">
        <f>IF(5&lt;=7-$AF$2,"",IF(Filter!$L$9="Woche",_xlfn.AGGREGATE(14,6,(ROW(KW!$U$6:$U$237)-5)/(KW!$U$6:$U$237&gt;0),3),COUNT(Verlauf!$A$6:$A$1000)-7+5))</f>
        <v/>
      </c>
      <c r="C8" s="26" t="e">
        <f>IF($B8="",NA(),IF(Filter!$L$9="Woche",INDEX(KW!$AF$6:$AF$237,$B8),INDEX(Verlauf!$D$6:$D$1000,$B8)))</f>
        <v>#N/A</v>
      </c>
      <c r="D8" s="26" t="e">
        <f>IF($B8="",NA(),IF(Filter!$L$9="Woche",INDEX(KW!$AG$6:$AG$237,$B8),INDEX(Verlauf!$E$6:$E$1000,$B8)))</f>
        <v>#N/A</v>
      </c>
      <c r="E8" s="26" t="e">
        <f>IF($B8="",NA(),IF(Filter!$L$9="Woche",INDEX(KW!$AH$6:$AH$237,$B8),INDEX(Verlauf!$F$6:$F$1000,$B8)))</f>
        <v>#N/A</v>
      </c>
      <c r="F8" s="26" t="e">
        <f>IF($B8="",NA(),IF(Filter!$L$9="Woche",INDEX(KW!$AI$6:$AI$237,$B8),INDEX(Verlauf!$H$6:$H$1000,$B8)))</f>
        <v>#N/A</v>
      </c>
      <c r="G8" s="26" t="e">
        <f>IF($B8="",NA(),IF(Filter!$L$9="Woche",INDEX(KW!$AJ$6:$AJ$237,$B8),INDEX(Verlauf!$N$6:$N$1000,$B8)))</f>
        <v>#N/A</v>
      </c>
      <c r="H8" s="26" t="e">
        <f>IF($B8="",NA(),IF(Filter!$L$9="Woche",INDEX(KW!$AK$6:$AK$237,$B8),INDEX(Verlauf!$O$6:$O$1000,$B8)))</f>
        <v>#N/A</v>
      </c>
      <c r="I8" s="26" t="e">
        <f>IF($B8="",NA(),IF(Filter!$L$9="Woche",INDEX(KW!$AL$6:$AL$237,$B8),INDEX(Verlauf!$P$6:$P$1000,$B8)))</f>
        <v>#N/A</v>
      </c>
      <c r="J8" s="26" t="e">
        <f>IF($B8="",NA(),IF(Filter!$L$9="Woche",INDEX(KW!$AM$6:$AM$237,$B8),INDEX(Verlauf!$R$6:$R$1000,$B8)))</f>
        <v>#N/A</v>
      </c>
      <c r="K8" s="26" t="e">
        <f>IF($B8="",NA(),N(IF(Filter!$L$9="Woche",INDEX(KW!$AA$6:$AA$237,$B8),INDEX(Verlauf!$I$6:$I$1000,$B8))))</f>
        <v>#N/A</v>
      </c>
      <c r="L8" s="26" t="e">
        <f>IF($B8="",NA(),-N(IF(Filter!$L$9="Woche",INDEX(KW!$G$6:$G$237,$B8),INDEX(Verlauf!$J$6:$J$1000,$B8))))</f>
        <v>#N/A</v>
      </c>
      <c r="M8" s="26" t="e">
        <f>IF($B8="",NA(),N(IF(Filter!$L$9="Woche",INDEX(KW!$AA$6:$AA$237,$B8),INDEX(Verlauf!$I$6:$I$1000,$B8)))-N(IF(Filter!$L$9="Woche",INDEX(KW!$G$6:$G$237,$B8),INDEX(Verlauf!$J$6:$J$1000,$B8))))</f>
        <v>#N/A</v>
      </c>
      <c r="N8" s="26" t="e">
        <f>IF($B8="",NA(),N(IF(Filter!$L$9="Woche",INDEX(KW!$AE$6:$AE$237,$B8),INDEX(Verlauf!$S$6:$S$1000,$B8))))</f>
        <v>#N/A</v>
      </c>
      <c r="O8" s="26" t="e">
        <f>IF($B8="",NA(),-N(IF(Filter!$L$9="Woche",INDEX(KW!$K$6:$K$237,$B8),INDEX(Verlauf!$T$6:$T$1000,$B8))))</f>
        <v>#N/A</v>
      </c>
      <c r="P8" s="26" t="e">
        <f>IF($B8="",NA(),N(IF(Filter!$L$9="Woche",INDEX(KW!$AE$6:$AE$237,$B8),INDEX(Verlauf!$S$6:$S$1000,$B8)))-N(IF(Filter!$L$9="Woche",INDEX(KW!$K$6:$K$237,$B8),INDEX(Verlauf!$T$6:$T$1000,$B8))))</f>
        <v>#N/A</v>
      </c>
      <c r="Q8" s="26" t="e">
        <f>IF(OR($B8="",5=1,ISNA(F7)),NA(),IF((F8-F7)&lt;0,F8+_xlfn.AGGREGATE(4,6,$F$4:$F$10)*0.22,NA()))</f>
        <v>#N/A</v>
      </c>
      <c r="R8" s="26" t="e">
        <f>IF(OR($B8="",5=1,ISNA(F7)),NA(),IF((F8-F7)&gt;0,F8+_xlfn.AGGREGATE(4,6,$F$4:$F$10)*0.22,NA()))</f>
        <v>#N/A</v>
      </c>
      <c r="S8" s="26" t="e">
        <f>IF(OR($B8="",5=1,ISNA(F7)),NA(),IF((F8-F7)=0,F8+_xlfn.AGGREGATE(4,6,$F$4:$F$10)*0.22,NA()))</f>
        <v>#N/A</v>
      </c>
      <c r="T8" s="26" t="e">
        <f t="shared" si="0"/>
        <v>#N/A</v>
      </c>
      <c r="U8" s="7" t="str">
        <f>IF(OR($B8="",5=1,ISNA(F7)),"",IF((F8-F7)&gt;0,"+"&amp;FIXED((F8-F7),0),IF((F8-F7)&lt;0,"-"&amp;FIXED(-(F8-F7),0),"±0")))</f>
        <v/>
      </c>
      <c r="V8" s="26" t="e">
        <f>IF(OR($B8="",5=1,ISNA(J7)),NA(),IF((J8-J7)&lt;0,J8+_xlfn.AGGREGATE(4,6,$J$4:$J$10)*0.22,NA()))</f>
        <v>#N/A</v>
      </c>
      <c r="W8" s="26" t="e">
        <f>IF(OR($B8="",5=1,ISNA(J7)),NA(),IF((J8-J7)&gt;0,J8+_xlfn.AGGREGATE(4,6,$J$4:$J$10)*0.22,NA()))</f>
        <v>#N/A</v>
      </c>
      <c r="X8" s="26" t="e">
        <f>IF(OR($B8="",5=1,ISNA(J7)),NA(),IF((J8-J7)=0,J8+_xlfn.AGGREGATE(4,6,$J$4:$J$10)*0.22,NA()))</f>
        <v>#N/A</v>
      </c>
      <c r="Y8" s="26" t="e">
        <f t="shared" si="1"/>
        <v>#N/A</v>
      </c>
      <c r="Z8" s="7" t="str">
        <f>IF(OR($B8="",5=1,ISNA(J7)),"",IF((J8-J7)&gt;0,"+"&amp;FIXED((J8-J7),0),IF((J8-J7)&lt;0,"-"&amp;FIXED(-(J8-J7),0),"±0")))</f>
        <v/>
      </c>
    </row>
    <row r="9" spans="1:32" x14ac:dyDescent="0.25">
      <c r="A9" s="7" t="str">
        <f>IF(B9="","",IF(Filter!$L$9="Woche","KW "&amp;INDEX(KW!$B$6:$B$237,B9),RIGHT("0"&amp;DAY(INDEX(Verlauf!$A$6:$A$1000,B9)),2)&amp;"."&amp;RIGHT("0"&amp;MONTH(INDEX(Verlauf!$A$6:$A$1000,B9)),2)&amp;"."))</f>
        <v/>
      </c>
      <c r="B9" s="26" t="str">
        <f>IF(6&lt;=7-$AF$2,"",IF(Filter!$L$9="Woche",_xlfn.AGGREGATE(14,6,(ROW(KW!$U$6:$U$237)-5)/(KW!$U$6:$U$237&gt;0),2),COUNT(Verlauf!$A$6:$A$1000)-7+6))</f>
        <v/>
      </c>
      <c r="C9" s="26" t="e">
        <f>IF($B9="",NA(),IF(Filter!$L$9="Woche",INDEX(KW!$AF$6:$AF$237,$B9),INDEX(Verlauf!$D$6:$D$1000,$B9)))</f>
        <v>#N/A</v>
      </c>
      <c r="D9" s="26" t="e">
        <f>IF($B9="",NA(),IF(Filter!$L$9="Woche",INDEX(KW!$AG$6:$AG$237,$B9),INDEX(Verlauf!$E$6:$E$1000,$B9)))</f>
        <v>#N/A</v>
      </c>
      <c r="E9" s="26" t="e">
        <f>IF($B9="",NA(),IF(Filter!$L$9="Woche",INDEX(KW!$AH$6:$AH$237,$B9),INDEX(Verlauf!$F$6:$F$1000,$B9)))</f>
        <v>#N/A</v>
      </c>
      <c r="F9" s="26" t="e">
        <f>IF($B9="",NA(),IF(Filter!$L$9="Woche",INDEX(KW!$AI$6:$AI$237,$B9),INDEX(Verlauf!$H$6:$H$1000,$B9)))</f>
        <v>#N/A</v>
      </c>
      <c r="G9" s="26" t="e">
        <f>IF($B9="",NA(),IF(Filter!$L$9="Woche",INDEX(KW!$AJ$6:$AJ$237,$B9),INDEX(Verlauf!$N$6:$N$1000,$B9)))</f>
        <v>#N/A</v>
      </c>
      <c r="H9" s="26" t="e">
        <f>IF($B9="",NA(),IF(Filter!$L$9="Woche",INDEX(KW!$AK$6:$AK$237,$B9),INDEX(Verlauf!$O$6:$O$1000,$B9)))</f>
        <v>#N/A</v>
      </c>
      <c r="I9" s="26" t="e">
        <f>IF($B9="",NA(),IF(Filter!$L$9="Woche",INDEX(KW!$AL$6:$AL$237,$B9),INDEX(Verlauf!$P$6:$P$1000,$B9)))</f>
        <v>#N/A</v>
      </c>
      <c r="J9" s="26" t="e">
        <f>IF($B9="",NA(),IF(Filter!$L$9="Woche",INDEX(KW!$AM$6:$AM$237,$B9),INDEX(Verlauf!$R$6:$R$1000,$B9)))</f>
        <v>#N/A</v>
      </c>
      <c r="K9" s="26" t="e">
        <f>IF($B9="",NA(),N(IF(Filter!$L$9="Woche",INDEX(KW!$AA$6:$AA$237,$B9),INDEX(Verlauf!$I$6:$I$1000,$B9))))</f>
        <v>#N/A</v>
      </c>
      <c r="L9" s="26" t="e">
        <f>IF($B9="",NA(),-N(IF(Filter!$L$9="Woche",INDEX(KW!$G$6:$G$237,$B9),INDEX(Verlauf!$J$6:$J$1000,$B9))))</f>
        <v>#N/A</v>
      </c>
      <c r="M9" s="26" t="e">
        <f>IF($B9="",NA(),N(IF(Filter!$L$9="Woche",INDEX(KW!$AA$6:$AA$237,$B9),INDEX(Verlauf!$I$6:$I$1000,$B9)))-N(IF(Filter!$L$9="Woche",INDEX(KW!$G$6:$G$237,$B9),INDEX(Verlauf!$J$6:$J$1000,$B9))))</f>
        <v>#N/A</v>
      </c>
      <c r="N9" s="26" t="e">
        <f>IF($B9="",NA(),N(IF(Filter!$L$9="Woche",INDEX(KW!$AE$6:$AE$237,$B9),INDEX(Verlauf!$S$6:$S$1000,$B9))))</f>
        <v>#N/A</v>
      </c>
      <c r="O9" s="26" t="e">
        <f>IF($B9="",NA(),-N(IF(Filter!$L$9="Woche",INDEX(KW!$K$6:$K$237,$B9),INDEX(Verlauf!$T$6:$T$1000,$B9))))</f>
        <v>#N/A</v>
      </c>
      <c r="P9" s="26" t="e">
        <f>IF($B9="",NA(),N(IF(Filter!$L$9="Woche",INDEX(KW!$AE$6:$AE$237,$B9),INDEX(Verlauf!$S$6:$S$1000,$B9)))-N(IF(Filter!$L$9="Woche",INDEX(KW!$K$6:$K$237,$B9),INDEX(Verlauf!$T$6:$T$1000,$B9))))</f>
        <v>#N/A</v>
      </c>
      <c r="Q9" s="26" t="e">
        <f>IF(OR($B9="",6=1,ISNA(F8)),NA(),IF((F9-F8)&lt;0,F9+_xlfn.AGGREGATE(4,6,$F$4:$F$10)*0.22,NA()))</f>
        <v>#N/A</v>
      </c>
      <c r="R9" s="26" t="e">
        <f>IF(OR($B9="",6=1,ISNA(F8)),NA(),IF((F9-F8)&gt;0,F9+_xlfn.AGGREGATE(4,6,$F$4:$F$10)*0.22,NA()))</f>
        <v>#N/A</v>
      </c>
      <c r="S9" s="26" t="e">
        <f>IF(OR($B9="",6=1,ISNA(F8)),NA(),IF((F9-F8)=0,F9+_xlfn.AGGREGATE(4,6,$F$4:$F$10)*0.22,NA()))</f>
        <v>#N/A</v>
      </c>
      <c r="T9" s="26" t="e">
        <f t="shared" si="0"/>
        <v>#N/A</v>
      </c>
      <c r="U9" s="7" t="str">
        <f>IF(OR($B9="",6=1,ISNA(F8)),"",IF((F9-F8)&gt;0,"+"&amp;FIXED((F9-F8),0),IF((F9-F8)&lt;0,"-"&amp;FIXED(-(F9-F8),0),"±0")))</f>
        <v/>
      </c>
      <c r="V9" s="26" t="e">
        <f>IF(OR($B9="",6=1,ISNA(J8)),NA(),IF((J9-J8)&lt;0,J9+_xlfn.AGGREGATE(4,6,$J$4:$J$10)*0.22,NA()))</f>
        <v>#N/A</v>
      </c>
      <c r="W9" s="26" t="e">
        <f>IF(OR($B9="",6=1,ISNA(J8)),NA(),IF((J9-J8)&gt;0,J9+_xlfn.AGGREGATE(4,6,$J$4:$J$10)*0.22,NA()))</f>
        <v>#N/A</v>
      </c>
      <c r="X9" s="26" t="e">
        <f>IF(OR($B9="",6=1,ISNA(J8)),NA(),IF((J9-J8)=0,J9+_xlfn.AGGREGATE(4,6,$J$4:$J$10)*0.22,NA()))</f>
        <v>#N/A</v>
      </c>
      <c r="Y9" s="26" t="e">
        <f t="shared" si="1"/>
        <v>#N/A</v>
      </c>
      <c r="Z9" s="7" t="str">
        <f>IF(OR($B9="",6=1,ISNA(J8)),"",IF((J9-J8)&gt;0,"+"&amp;FIXED((J9-J8),0),IF((J9-J8)&lt;0,"-"&amp;FIXED(-(J9-J8),0),"±0")))</f>
        <v/>
      </c>
    </row>
    <row r="10" spans="1:32" x14ac:dyDescent="0.25">
      <c r="A10" s="7" t="str">
        <f>IF(B10="","",IF(Filter!$L$9="Woche","KW "&amp;INDEX(KW!$B$6:$B$237,B10),RIGHT("0"&amp;DAY(INDEX(Verlauf!$A$6:$A$1000,B10)),2)&amp;"."&amp;RIGHT("0"&amp;MONTH(INDEX(Verlauf!$A$6:$A$1000,B10)),2)&amp;"."))</f>
        <v/>
      </c>
      <c r="B10" s="26" t="str">
        <f>IF(7&lt;=7-$AF$2,"",IF(Filter!$L$9="Woche",_xlfn.AGGREGATE(14,6,(ROW(KW!$U$6:$U$237)-5)/(KW!$U$6:$U$237&gt;0),1),COUNT(Verlauf!$A$6:$A$1000)-7+7))</f>
        <v/>
      </c>
      <c r="C10" s="26" t="e">
        <f>IF($B10="",NA(),IF(Filter!$L$9="Woche",INDEX(KW!$AF$6:$AF$237,$B10),INDEX(Verlauf!$D$6:$D$1000,$B10)))</f>
        <v>#N/A</v>
      </c>
      <c r="D10" s="26" t="e">
        <f>IF($B10="",NA(),IF(Filter!$L$9="Woche",INDEX(KW!$AG$6:$AG$237,$B10),INDEX(Verlauf!$E$6:$E$1000,$B10)))</f>
        <v>#N/A</v>
      </c>
      <c r="E10" s="26" t="e">
        <f>IF($B10="",NA(),IF(Filter!$L$9="Woche",INDEX(KW!$AH$6:$AH$237,$B10),INDEX(Verlauf!$F$6:$F$1000,$B10)))</f>
        <v>#N/A</v>
      </c>
      <c r="F10" s="26" t="e">
        <f>IF($B10="",NA(),IF(Filter!$L$9="Woche",INDEX(KW!$AI$6:$AI$237,$B10),INDEX(Verlauf!$H$6:$H$1000,$B10)))</f>
        <v>#N/A</v>
      </c>
      <c r="G10" s="26" t="e">
        <f>IF($B10="",NA(),IF(Filter!$L$9="Woche",INDEX(KW!$AJ$6:$AJ$237,$B10),INDEX(Verlauf!$N$6:$N$1000,$B10)))</f>
        <v>#N/A</v>
      </c>
      <c r="H10" s="26" t="e">
        <f>IF($B10="",NA(),IF(Filter!$L$9="Woche",INDEX(KW!$AK$6:$AK$237,$B10),INDEX(Verlauf!$O$6:$O$1000,$B10)))</f>
        <v>#N/A</v>
      </c>
      <c r="I10" s="26" t="e">
        <f>IF($B10="",NA(),IF(Filter!$L$9="Woche",INDEX(KW!$AL$6:$AL$237,$B10),INDEX(Verlauf!$P$6:$P$1000,$B10)))</f>
        <v>#N/A</v>
      </c>
      <c r="J10" s="26" t="e">
        <f>IF($B10="",NA(),IF(Filter!$L$9="Woche",INDEX(KW!$AM$6:$AM$237,$B10),INDEX(Verlauf!$R$6:$R$1000,$B10)))</f>
        <v>#N/A</v>
      </c>
      <c r="K10" s="26" t="e">
        <f>IF($B10="",NA(),N(IF(Filter!$L$9="Woche",INDEX(KW!$AA$6:$AA$237,$B10),INDEX(Verlauf!$I$6:$I$1000,$B10))))</f>
        <v>#N/A</v>
      </c>
      <c r="L10" s="26" t="e">
        <f>IF($B10="",NA(),-N(IF(Filter!$L$9="Woche",INDEX(KW!$G$6:$G$237,$B10),INDEX(Verlauf!$J$6:$J$1000,$B10))))</f>
        <v>#N/A</v>
      </c>
      <c r="M10" s="26" t="e">
        <f>IF($B10="",NA(),N(IF(Filter!$L$9="Woche",INDEX(KW!$AA$6:$AA$237,$B10),INDEX(Verlauf!$I$6:$I$1000,$B10)))-N(IF(Filter!$L$9="Woche",INDEX(KW!$G$6:$G$237,$B10),INDEX(Verlauf!$J$6:$J$1000,$B10))))</f>
        <v>#N/A</v>
      </c>
      <c r="N10" s="26" t="e">
        <f>IF($B10="",NA(),N(IF(Filter!$L$9="Woche",INDEX(KW!$AE$6:$AE$237,$B10),INDEX(Verlauf!$S$6:$S$1000,$B10))))</f>
        <v>#N/A</v>
      </c>
      <c r="O10" s="26" t="e">
        <f>IF($B10="",NA(),-N(IF(Filter!$L$9="Woche",INDEX(KW!$K$6:$K$237,$B10),INDEX(Verlauf!$T$6:$T$1000,$B10))))</f>
        <v>#N/A</v>
      </c>
      <c r="P10" s="26" t="e">
        <f>IF($B10="",NA(),N(IF(Filter!$L$9="Woche",INDEX(KW!$AE$6:$AE$237,$B10),INDEX(Verlauf!$S$6:$S$1000,$B10)))-N(IF(Filter!$L$9="Woche",INDEX(KW!$K$6:$K$237,$B10),INDEX(Verlauf!$T$6:$T$1000,$B10))))</f>
        <v>#N/A</v>
      </c>
      <c r="Q10" s="26" t="e">
        <f>IF(OR($B10="",7=1,ISNA(F9)),NA(),IF((F10-F9)&lt;0,F10+_xlfn.AGGREGATE(4,6,$F$4:$F$10)*0.22,NA()))</f>
        <v>#N/A</v>
      </c>
      <c r="R10" s="26" t="e">
        <f>IF(OR($B10="",7=1,ISNA(F9)),NA(),IF((F10-F9)&gt;0,F10+_xlfn.AGGREGATE(4,6,$F$4:$F$10)*0.22,NA()))</f>
        <v>#N/A</v>
      </c>
      <c r="S10" s="26" t="e">
        <f>IF(OR($B10="",7=1,ISNA(F9)),NA(),IF((F10-F9)=0,F10+_xlfn.AGGREGATE(4,6,$F$4:$F$10)*0.22,NA()))</f>
        <v>#N/A</v>
      </c>
      <c r="T10" s="26" t="e">
        <f t="shared" si="0"/>
        <v>#N/A</v>
      </c>
      <c r="U10" s="7" t="str">
        <f>IF(OR($B10="",7=1,ISNA(F9)),"",IF((F10-F9)&gt;0,"+"&amp;FIXED((F10-F9),0),IF((F10-F9)&lt;0,"-"&amp;FIXED(-(F10-F9),0),"±0")))</f>
        <v/>
      </c>
      <c r="V10" s="26" t="e">
        <f>IF(OR($B10="",7=1,ISNA(J9)),NA(),IF((J10-J9)&lt;0,J10+_xlfn.AGGREGATE(4,6,$J$4:$J$10)*0.22,NA()))</f>
        <v>#N/A</v>
      </c>
      <c r="W10" s="26" t="e">
        <f>IF(OR($B10="",7=1,ISNA(J9)),NA(),IF((J10-J9)&gt;0,J10+_xlfn.AGGREGATE(4,6,$J$4:$J$10)*0.22,NA()))</f>
        <v>#N/A</v>
      </c>
      <c r="X10" s="26" t="e">
        <f>IF(OR($B10="",7=1,ISNA(J9)),NA(),IF((J10-J9)=0,J10+_xlfn.AGGREGATE(4,6,$J$4:$J$10)*0.22,NA()))</f>
        <v>#N/A</v>
      </c>
      <c r="Y10" s="26" t="e">
        <f t="shared" si="1"/>
        <v>#N/A</v>
      </c>
      <c r="Z10" s="7" t="str">
        <f>IF(OR($B10="",7=1,ISNA(J9)),"",IF((J10-J9)&gt;0,"+"&amp;FIXED((J10-J9),0),IF((J10-J9)&lt;0,"-"&amp;FIXED(-(J10-J9),0),"±0")))</f>
        <v/>
      </c>
    </row>
    <row r="12" spans="1:32" ht="30" customHeight="1" x14ac:dyDescent="0.25">
      <c r="A12" s="25" t="s">
        <v>336</v>
      </c>
      <c r="B12" s="25" t="s">
        <v>311</v>
      </c>
      <c r="C12" s="25" t="s">
        <v>337</v>
      </c>
      <c r="D12" s="25" t="s">
        <v>338</v>
      </c>
      <c r="E12" s="25" t="s">
        <v>339</v>
      </c>
      <c r="F12" s="25" t="s">
        <v>340</v>
      </c>
      <c r="G12" s="25" t="s">
        <v>341</v>
      </c>
      <c r="H12" s="25" t="s">
        <v>342</v>
      </c>
      <c r="I12" s="25" t="s">
        <v>343</v>
      </c>
      <c r="J12" s="25" t="s">
        <v>344</v>
      </c>
      <c r="K12" s="25" t="s">
        <v>345</v>
      </c>
      <c r="L12" s="25" t="s">
        <v>320</v>
      </c>
      <c r="M12" s="25" t="s">
        <v>346</v>
      </c>
      <c r="N12" s="25" t="s">
        <v>347</v>
      </c>
      <c r="O12" s="25" t="s">
        <v>348</v>
      </c>
      <c r="P12" s="25" t="s">
        <v>349</v>
      </c>
      <c r="Q12" s="25" t="s">
        <v>350</v>
      </c>
      <c r="R12" s="25" t="s">
        <v>351</v>
      </c>
      <c r="S12" s="25" t="s">
        <v>352</v>
      </c>
      <c r="T12" s="25" t="s">
        <v>353</v>
      </c>
      <c r="U12" s="25" t="s">
        <v>354</v>
      </c>
      <c r="V12" s="25" t="s">
        <v>355</v>
      </c>
      <c r="W12" s="25" t="s">
        <v>356</v>
      </c>
      <c r="X12" s="25" t="s">
        <v>357</v>
      </c>
      <c r="Y12" s="25" t="s">
        <v>358</v>
      </c>
      <c r="Z12" s="25" t="s">
        <v>323</v>
      </c>
      <c r="AA12" s="25" t="s">
        <v>359</v>
      </c>
      <c r="AB12" s="25" t="s">
        <v>360</v>
      </c>
      <c r="AC12" s="25" t="s">
        <v>361</v>
      </c>
      <c r="AD12" s="25" t="s">
        <v>362</v>
      </c>
    </row>
    <row r="13" spans="1:32" x14ac:dyDescent="0.25">
      <c r="A13" s="7" t="str">
        <f>IF(B13="","",$A$4&amp;CHAR(10)&amp;"Eingänge")</f>
        <v/>
      </c>
      <c r="B13" s="26" t="str">
        <f>IF($B$4="","",$B$4)</f>
        <v/>
      </c>
      <c r="C13" s="26" t="e">
        <f>IF($B13="",NA(),N(IF(Filter!$L$9="Woche",INDEX(KW!$X$6:$X$237,$B13),INDEX(Verlauf!$X$6:$X$1000,$B13))))</f>
        <v>#N/A</v>
      </c>
      <c r="D13" s="26" t="e">
        <f>IF($B13="",NA(),N(IF(Filter!$L$9="Woche",INDEX(KW!$Y$6:$Y$237,$B13),INDEX(Verlauf!$Y$6:$Y$1000,$B13))))</f>
        <v>#N/A</v>
      </c>
      <c r="E13" s="26" t="e">
        <f>IF($B13="",NA(),N(IF(Filter!$L$9="Woche",INDEX(KW!$Z$6:$Z$237,$B13),INDEX(Verlauf!$Z$6:$Z$1000,$B13))))</f>
        <v>#N/A</v>
      </c>
      <c r="F13" s="26" t="e">
        <f>NA()</f>
        <v>#N/A</v>
      </c>
      <c r="G13" s="26" t="e">
        <f>NA()</f>
        <v>#N/A</v>
      </c>
      <c r="H13" s="26" t="e">
        <f>NA()</f>
        <v>#N/A</v>
      </c>
      <c r="I13" s="26" t="e">
        <f>NA()</f>
        <v>#N/A</v>
      </c>
      <c r="J13" s="26" t="e">
        <f>NA()</f>
        <v>#N/A</v>
      </c>
      <c r="K13" s="26" t="e">
        <f>NA()</f>
        <v>#N/A</v>
      </c>
      <c r="L13" s="26" t="e">
        <f>IF($B13="",NA(),SUM(C13:E13))</f>
        <v>#N/A</v>
      </c>
      <c r="M13" s="26" t="e">
        <f>NA()</f>
        <v>#N/A</v>
      </c>
      <c r="N13" s="26" t="e">
        <f>NA()</f>
        <v>#N/A</v>
      </c>
      <c r="O13" s="26" t="e">
        <f>NA()</f>
        <v>#N/A</v>
      </c>
      <c r="P13" s="26" t="str">
        <f>""</f>
        <v/>
      </c>
      <c r="Q13" s="26" t="e">
        <f>IF($B13="",NA(),N(IF(Filter!$L$9="Woche",INDEX(KW!$AB$6:$AB$237,$B13),INDEX(Verlauf!$AA$6:$AA$1000,$B13))))</f>
        <v>#N/A</v>
      </c>
      <c r="R13" s="26" t="e">
        <f>IF($B13="",NA(),N(IF(Filter!$L$9="Woche",INDEX(KW!$AC$6:$AC$237,$B13),INDEX(Verlauf!$AB$6:$AB$1000,$B13))))</f>
        <v>#N/A</v>
      </c>
      <c r="S13" s="26" t="e">
        <f>IF($B13="",NA(),N(IF(Filter!$L$9="Woche",INDEX(KW!$AD$6:$AD$237,$B13),INDEX(Verlauf!$AC$6:$AC$1000,$B13))))</f>
        <v>#N/A</v>
      </c>
      <c r="T13" s="26" t="e">
        <f>NA()</f>
        <v>#N/A</v>
      </c>
      <c r="U13" s="26" t="e">
        <f>NA()</f>
        <v>#N/A</v>
      </c>
      <c r="V13" s="26" t="e">
        <f>NA()</f>
        <v>#N/A</v>
      </c>
      <c r="W13" s="26" t="e">
        <f>NA()</f>
        <v>#N/A</v>
      </c>
      <c r="X13" s="26" t="e">
        <f>NA()</f>
        <v>#N/A</v>
      </c>
      <c r="Y13" s="26" t="e">
        <f>NA()</f>
        <v>#N/A</v>
      </c>
      <c r="Z13" s="26" t="e">
        <f>IF($B13="",NA(),SUM(Q13:S13))</f>
        <v>#N/A</v>
      </c>
      <c r="AA13" s="26" t="e">
        <f>NA()</f>
        <v>#N/A</v>
      </c>
      <c r="AB13" s="26" t="e">
        <f>NA()</f>
        <v>#N/A</v>
      </c>
      <c r="AC13" s="26" t="e">
        <f>NA()</f>
        <v>#N/A</v>
      </c>
      <c r="AD13" s="26" t="str">
        <f>""</f>
        <v/>
      </c>
    </row>
    <row r="14" spans="1:32" x14ac:dyDescent="0.25">
      <c r="A14" s="7" t="str">
        <f>IF(B14="","",$A$4&amp;CHAR(10)&amp;"Abgänge")</f>
        <v/>
      </c>
      <c r="B14" s="26" t="str">
        <f>IF($B$4="","",$B$4)</f>
        <v/>
      </c>
      <c r="C14" s="26" t="e">
        <f>NA()</f>
        <v>#N/A</v>
      </c>
      <c r="D14" s="26" t="e">
        <f>NA()</f>
        <v>#N/A</v>
      </c>
      <c r="E14" s="26" t="e">
        <f>NA()</f>
        <v>#N/A</v>
      </c>
      <c r="F14" s="26" t="e">
        <f>IF($B14="",NA(),-N(IF(Filter!$L$9="Woche",INDEX(KW!$D$6:$D$237,$B14),INDEX(Verlauf!$K$6:$K$1000,$B14))))</f>
        <v>#N/A</v>
      </c>
      <c r="G14" s="26" t="e">
        <f>IF($B14="",NA(),-N(IF(Filter!$L$9="Woche",INDEX(KW!$E$6:$E$237,$B14),INDEX(Verlauf!$L$6:$L$1000,$B14))))</f>
        <v>#N/A</v>
      </c>
      <c r="H14" s="26" t="e">
        <f>IF($B14="",NA(),-N(IF(Filter!$L$9="Woche",INDEX(KW!$F$6:$F$237,$B14),INDEX(Verlauf!$M$6:$M$1000,$B14))))</f>
        <v>#N/A</v>
      </c>
      <c r="I14" s="26" t="e">
        <f>NA()</f>
        <v>#N/A</v>
      </c>
      <c r="J14" s="26" t="e">
        <f>NA()</f>
        <v>#N/A</v>
      </c>
      <c r="K14" s="26" t="e">
        <f>NA()</f>
        <v>#N/A</v>
      </c>
      <c r="L14" s="26" t="e">
        <f>NA()</f>
        <v>#N/A</v>
      </c>
      <c r="M14" s="26" t="e">
        <f>IF($B14="",NA(),SUM(F14:H14))</f>
        <v>#N/A</v>
      </c>
      <c r="N14" s="26" t="e">
        <f>NA()</f>
        <v>#N/A</v>
      </c>
      <c r="O14" s="26" t="e">
        <f>NA()</f>
        <v>#N/A</v>
      </c>
      <c r="P14" s="26" t="str">
        <f>""</f>
        <v/>
      </c>
      <c r="Q14" s="26" t="e">
        <f>NA()</f>
        <v>#N/A</v>
      </c>
      <c r="R14" s="26" t="e">
        <f>NA()</f>
        <v>#N/A</v>
      </c>
      <c r="S14" s="26" t="e">
        <f>NA()</f>
        <v>#N/A</v>
      </c>
      <c r="T14" s="26" t="e">
        <f>IF($B14="",NA(),-N(IF(Filter!$L$9="Woche",INDEX(KW!$H$6:$H$237,$B14),INDEX(Verlauf!$U$6:$U$1000,$B14))))</f>
        <v>#N/A</v>
      </c>
      <c r="U14" s="26" t="e">
        <f>IF($B14="",NA(),-N(IF(Filter!$L$9="Woche",INDEX(KW!$I$6:$I$237,$B14),INDEX(Verlauf!$V$6:$V$1000,$B14))))</f>
        <v>#N/A</v>
      </c>
      <c r="V14" s="26" t="e">
        <f>IF($B14="",NA(),-N(IF(Filter!$L$9="Woche",INDEX(KW!$J$6:$J$237,$B14),INDEX(Verlauf!$W$6:$W$1000,$B14))))</f>
        <v>#N/A</v>
      </c>
      <c r="W14" s="26" t="e">
        <f>NA()</f>
        <v>#N/A</v>
      </c>
      <c r="X14" s="26" t="e">
        <f>NA()</f>
        <v>#N/A</v>
      </c>
      <c r="Y14" s="26" t="e">
        <f>NA()</f>
        <v>#N/A</v>
      </c>
      <c r="Z14" s="26" t="e">
        <f>NA()</f>
        <v>#N/A</v>
      </c>
      <c r="AA14" s="26" t="e">
        <f>IF($B14="",NA(),SUM(T14:V14))</f>
        <v>#N/A</v>
      </c>
      <c r="AB14" s="26" t="e">
        <f>NA()</f>
        <v>#N/A</v>
      </c>
      <c r="AC14" s="26" t="e">
        <f>NA()</f>
        <v>#N/A</v>
      </c>
      <c r="AD14" s="26" t="str">
        <f>""</f>
        <v/>
      </c>
    </row>
    <row r="15" spans="1:32" x14ac:dyDescent="0.25">
      <c r="A15" s="7" t="str">
        <f>IF(B15="","",$A$4&amp;CHAR(10)&amp;"Delta")</f>
        <v/>
      </c>
      <c r="B15" s="26" t="str">
        <f>IF($B$4="","",$B$4)</f>
        <v/>
      </c>
      <c r="C15" s="26" t="e">
        <f>NA()</f>
        <v>#N/A</v>
      </c>
      <c r="D15" s="26" t="e">
        <f>NA()</f>
        <v>#N/A</v>
      </c>
      <c r="E15" s="26" t="e">
        <f>NA()</f>
        <v>#N/A</v>
      </c>
      <c r="F15" s="26" t="e">
        <f>NA()</f>
        <v>#N/A</v>
      </c>
      <c r="G15" s="26" t="e">
        <f>NA()</f>
        <v>#N/A</v>
      </c>
      <c r="H15" s="26" t="e">
        <f>NA()</f>
        <v>#N/A</v>
      </c>
      <c r="I15" s="26" t="e">
        <f>IF($B15="",NA(),N(IF(Filter!$L$9="Woche",INDEX(KW!$X$6:$X$237,$B15),INDEX(Verlauf!$X$6:$X$1000,$B15)))-N(IF(Filter!$L$9="Woche",INDEX(KW!$D$6:$D$237,$B15),INDEX(Verlauf!$K$6:$K$1000,$B15))))</f>
        <v>#N/A</v>
      </c>
      <c r="J15" s="26" t="e">
        <f>IF($B15="",NA(),N(IF(Filter!$L$9="Woche",INDEX(KW!$Y$6:$Y$237,$B15),INDEX(Verlauf!$Y$6:$Y$1000,$B15)))-N(IF(Filter!$L$9="Woche",INDEX(KW!$E$6:$E$237,$B15),INDEX(Verlauf!$L$6:$L$1000,$B15))))</f>
        <v>#N/A</v>
      </c>
      <c r="K15" s="26" t="e">
        <f>IF($B15="",NA(),N(IF(Filter!$L$9="Woche",INDEX(KW!$Z$6:$Z$237,$B15),INDEX(Verlauf!$Z$6:$Z$1000,$B15)))-N(IF(Filter!$L$9="Woche",INDEX(KW!$F$6:$F$237,$B15),INDEX(Verlauf!$M$6:$M$1000,$B15))))</f>
        <v>#N/A</v>
      </c>
      <c r="L15" s="26" t="e">
        <f>NA()</f>
        <v>#N/A</v>
      </c>
      <c r="M15" s="26" t="e">
        <f>NA()</f>
        <v>#N/A</v>
      </c>
      <c r="N15" s="26" t="e">
        <f>IF($B15="",NA(),IF(SUM(I15:K15)&gt;=0,SUMIF(I15:K15,"&gt;0"),NA()))</f>
        <v>#N/A</v>
      </c>
      <c r="O15" s="26" t="e">
        <f>IF($B15="",NA(),IF(SUM(I15:K15)&lt;0,SUMIF(I15:K15,"&lt;0"),NA()))</f>
        <v>#N/A</v>
      </c>
      <c r="P15" s="26" t="str">
        <f>IF($B15="","",IF(SUM(I15:K15)=0,"±0",IF(SUM(I15:K15)&lt;0,"-","+")&amp;FIXED(ABS(SUM(I15:K15)),0,FALSE)))</f>
        <v/>
      </c>
      <c r="Q15" s="26" t="e">
        <f>NA()</f>
        <v>#N/A</v>
      </c>
      <c r="R15" s="26" t="e">
        <f>NA()</f>
        <v>#N/A</v>
      </c>
      <c r="S15" s="26" t="e">
        <f>NA()</f>
        <v>#N/A</v>
      </c>
      <c r="T15" s="26" t="e">
        <f>NA()</f>
        <v>#N/A</v>
      </c>
      <c r="U15" s="26" t="e">
        <f>NA()</f>
        <v>#N/A</v>
      </c>
      <c r="V15" s="26" t="e">
        <f>NA()</f>
        <v>#N/A</v>
      </c>
      <c r="W15" s="26" t="e">
        <f>IF($B15="",NA(),N(IF(Filter!$L$9="Woche",INDEX(KW!$AB$6:$AB$237,$B15),INDEX(Verlauf!$AA$6:$AA$1000,$B15)))-N(IF(Filter!$L$9="Woche",INDEX(KW!$H$6:$H$237,$B15),INDEX(Verlauf!$U$6:$U$1000,$B15))))</f>
        <v>#N/A</v>
      </c>
      <c r="X15" s="26" t="e">
        <f>IF($B15="",NA(),N(IF(Filter!$L$9="Woche",INDEX(KW!$AC$6:$AC$237,$B15),INDEX(Verlauf!$AB$6:$AB$1000,$B15)))-N(IF(Filter!$L$9="Woche",INDEX(KW!$I$6:$I$237,$B15),INDEX(Verlauf!$V$6:$V$1000,$B15))))</f>
        <v>#N/A</v>
      </c>
      <c r="Y15" s="26" t="e">
        <f>IF($B15="",NA(),N(IF(Filter!$L$9="Woche",INDEX(KW!$AD$6:$AD$237,$B15),INDEX(Verlauf!$AC$6:$AC$1000,$B15)))-N(IF(Filter!$L$9="Woche",INDEX(KW!$J$6:$J$237,$B15),INDEX(Verlauf!$W$6:$W$1000,$B15))))</f>
        <v>#N/A</v>
      </c>
      <c r="Z15" s="26" t="e">
        <f>NA()</f>
        <v>#N/A</v>
      </c>
      <c r="AA15" s="26" t="e">
        <f>NA()</f>
        <v>#N/A</v>
      </c>
      <c r="AB15" s="26" t="e">
        <f>IF($B15="",NA(),IF(SUM(W15:Y15)&gt;=0,SUMIF(W15:Y15,"&gt;0"),NA()))</f>
        <v>#N/A</v>
      </c>
      <c r="AC15" s="26" t="e">
        <f>IF($B15="",NA(),IF(SUM(W15:Y15)&lt;0,SUMIF(W15:Y15,"&lt;0"),NA()))</f>
        <v>#N/A</v>
      </c>
      <c r="AD15" s="26" t="str">
        <f>IF($B15="","",IF(SUM(W15:Y15)=0,"±0",IF(SUM(W15:Y15)&lt;0,"-","+")&amp;FIXED(ABS(SUM(W15:Y15)),0,FALSE)))</f>
        <v/>
      </c>
    </row>
    <row r="16" spans="1:32" x14ac:dyDescent="0.25">
      <c r="A16" s="7" t="str">
        <f>IF(B16="","",$A$5&amp;CHAR(10)&amp;"Eingänge")</f>
        <v/>
      </c>
      <c r="B16" s="26" t="str">
        <f>IF($B$5="","",$B$5)</f>
        <v/>
      </c>
      <c r="C16" s="26" t="e">
        <f>IF($B16="",NA(),N(IF(Filter!$L$9="Woche",INDEX(KW!$X$6:$X$237,$B16),INDEX(Verlauf!$X$6:$X$1000,$B16))))</f>
        <v>#N/A</v>
      </c>
      <c r="D16" s="26" t="e">
        <f>IF($B16="",NA(),N(IF(Filter!$L$9="Woche",INDEX(KW!$Y$6:$Y$237,$B16),INDEX(Verlauf!$Y$6:$Y$1000,$B16))))</f>
        <v>#N/A</v>
      </c>
      <c r="E16" s="26" t="e">
        <f>IF($B16="",NA(),N(IF(Filter!$L$9="Woche",INDEX(KW!$Z$6:$Z$237,$B16),INDEX(Verlauf!$Z$6:$Z$1000,$B16))))</f>
        <v>#N/A</v>
      </c>
      <c r="F16" s="26" t="e">
        <f>NA()</f>
        <v>#N/A</v>
      </c>
      <c r="G16" s="26" t="e">
        <f>NA()</f>
        <v>#N/A</v>
      </c>
      <c r="H16" s="26" t="e">
        <f>NA()</f>
        <v>#N/A</v>
      </c>
      <c r="I16" s="26" t="e">
        <f>NA()</f>
        <v>#N/A</v>
      </c>
      <c r="J16" s="26" t="e">
        <f>NA()</f>
        <v>#N/A</v>
      </c>
      <c r="K16" s="26" t="e">
        <f>NA()</f>
        <v>#N/A</v>
      </c>
      <c r="L16" s="26" t="e">
        <f>IF($B16="",NA(),SUM(C16:E16))</f>
        <v>#N/A</v>
      </c>
      <c r="M16" s="26" t="e">
        <f>NA()</f>
        <v>#N/A</v>
      </c>
      <c r="N16" s="26" t="e">
        <f>NA()</f>
        <v>#N/A</v>
      </c>
      <c r="O16" s="26" t="e">
        <f>NA()</f>
        <v>#N/A</v>
      </c>
      <c r="P16" s="26" t="str">
        <f>""</f>
        <v/>
      </c>
      <c r="Q16" s="26" t="e">
        <f>IF($B16="",NA(),N(IF(Filter!$L$9="Woche",INDEX(KW!$AB$6:$AB$237,$B16),INDEX(Verlauf!$AA$6:$AA$1000,$B16))))</f>
        <v>#N/A</v>
      </c>
      <c r="R16" s="26" t="e">
        <f>IF($B16="",NA(),N(IF(Filter!$L$9="Woche",INDEX(KW!$AC$6:$AC$237,$B16),INDEX(Verlauf!$AB$6:$AB$1000,$B16))))</f>
        <v>#N/A</v>
      </c>
      <c r="S16" s="26" t="e">
        <f>IF($B16="",NA(),N(IF(Filter!$L$9="Woche",INDEX(KW!$AD$6:$AD$237,$B16),INDEX(Verlauf!$AC$6:$AC$1000,$B16))))</f>
        <v>#N/A</v>
      </c>
      <c r="T16" s="26" t="e">
        <f>NA()</f>
        <v>#N/A</v>
      </c>
      <c r="U16" s="26" t="e">
        <f>NA()</f>
        <v>#N/A</v>
      </c>
      <c r="V16" s="26" t="e">
        <f>NA()</f>
        <v>#N/A</v>
      </c>
      <c r="W16" s="26" t="e">
        <f>NA()</f>
        <v>#N/A</v>
      </c>
      <c r="X16" s="26" t="e">
        <f>NA()</f>
        <v>#N/A</v>
      </c>
      <c r="Y16" s="26" t="e">
        <f>NA()</f>
        <v>#N/A</v>
      </c>
      <c r="Z16" s="26" t="e">
        <f>IF($B16="",NA(),SUM(Q16:S16))</f>
        <v>#N/A</v>
      </c>
      <c r="AA16" s="26" t="e">
        <f>NA()</f>
        <v>#N/A</v>
      </c>
      <c r="AB16" s="26" t="e">
        <f>NA()</f>
        <v>#N/A</v>
      </c>
      <c r="AC16" s="26" t="e">
        <f>NA()</f>
        <v>#N/A</v>
      </c>
      <c r="AD16" s="26" t="str">
        <f>""</f>
        <v/>
      </c>
    </row>
    <row r="17" spans="1:30" x14ac:dyDescent="0.25">
      <c r="A17" s="7" t="str">
        <f>IF(B17="","",$A$5&amp;CHAR(10)&amp;"Abgänge")</f>
        <v/>
      </c>
      <c r="B17" s="26" t="str">
        <f>IF($B$5="","",$B$5)</f>
        <v/>
      </c>
      <c r="C17" s="26" t="e">
        <f>NA()</f>
        <v>#N/A</v>
      </c>
      <c r="D17" s="26" t="e">
        <f>NA()</f>
        <v>#N/A</v>
      </c>
      <c r="E17" s="26" t="e">
        <f>NA()</f>
        <v>#N/A</v>
      </c>
      <c r="F17" s="26" t="e">
        <f>IF($B17="",NA(),-N(IF(Filter!$L$9="Woche",INDEX(KW!$D$6:$D$237,$B17),INDEX(Verlauf!$K$6:$K$1000,$B17))))</f>
        <v>#N/A</v>
      </c>
      <c r="G17" s="26" t="e">
        <f>IF($B17="",NA(),-N(IF(Filter!$L$9="Woche",INDEX(KW!$E$6:$E$237,$B17),INDEX(Verlauf!$L$6:$L$1000,$B17))))</f>
        <v>#N/A</v>
      </c>
      <c r="H17" s="26" t="e">
        <f>IF($B17="",NA(),-N(IF(Filter!$L$9="Woche",INDEX(KW!$F$6:$F$237,$B17),INDEX(Verlauf!$M$6:$M$1000,$B17))))</f>
        <v>#N/A</v>
      </c>
      <c r="I17" s="26" t="e">
        <f>NA()</f>
        <v>#N/A</v>
      </c>
      <c r="J17" s="26" t="e">
        <f>NA()</f>
        <v>#N/A</v>
      </c>
      <c r="K17" s="26" t="e">
        <f>NA()</f>
        <v>#N/A</v>
      </c>
      <c r="L17" s="26" t="e">
        <f>NA()</f>
        <v>#N/A</v>
      </c>
      <c r="M17" s="26" t="e">
        <f>IF($B17="",NA(),SUM(F17:H17))</f>
        <v>#N/A</v>
      </c>
      <c r="N17" s="26" t="e">
        <f>NA()</f>
        <v>#N/A</v>
      </c>
      <c r="O17" s="26" t="e">
        <f>NA()</f>
        <v>#N/A</v>
      </c>
      <c r="P17" s="26" t="str">
        <f>""</f>
        <v/>
      </c>
      <c r="Q17" s="26" t="e">
        <f>NA()</f>
        <v>#N/A</v>
      </c>
      <c r="R17" s="26" t="e">
        <f>NA()</f>
        <v>#N/A</v>
      </c>
      <c r="S17" s="26" t="e">
        <f>NA()</f>
        <v>#N/A</v>
      </c>
      <c r="T17" s="26" t="e">
        <f>IF($B17="",NA(),-N(IF(Filter!$L$9="Woche",INDEX(KW!$H$6:$H$237,$B17),INDEX(Verlauf!$U$6:$U$1000,$B17))))</f>
        <v>#N/A</v>
      </c>
      <c r="U17" s="26" t="e">
        <f>IF($B17="",NA(),-N(IF(Filter!$L$9="Woche",INDEX(KW!$I$6:$I$237,$B17),INDEX(Verlauf!$V$6:$V$1000,$B17))))</f>
        <v>#N/A</v>
      </c>
      <c r="V17" s="26" t="e">
        <f>IF($B17="",NA(),-N(IF(Filter!$L$9="Woche",INDEX(KW!$J$6:$J$237,$B17),INDEX(Verlauf!$W$6:$W$1000,$B17))))</f>
        <v>#N/A</v>
      </c>
      <c r="W17" s="26" t="e">
        <f>NA()</f>
        <v>#N/A</v>
      </c>
      <c r="X17" s="26" t="e">
        <f>NA()</f>
        <v>#N/A</v>
      </c>
      <c r="Y17" s="26" t="e">
        <f>NA()</f>
        <v>#N/A</v>
      </c>
      <c r="Z17" s="26" t="e">
        <f>NA()</f>
        <v>#N/A</v>
      </c>
      <c r="AA17" s="26" t="e">
        <f>IF($B17="",NA(),SUM(T17:V17))</f>
        <v>#N/A</v>
      </c>
      <c r="AB17" s="26" t="e">
        <f>NA()</f>
        <v>#N/A</v>
      </c>
      <c r="AC17" s="26" t="e">
        <f>NA()</f>
        <v>#N/A</v>
      </c>
      <c r="AD17" s="26" t="str">
        <f>""</f>
        <v/>
      </c>
    </row>
    <row r="18" spans="1:30" x14ac:dyDescent="0.25">
      <c r="A18" s="7" t="str">
        <f>IF(B18="","",$A$5&amp;CHAR(10)&amp;"Delta")</f>
        <v/>
      </c>
      <c r="B18" s="26" t="str">
        <f>IF($B$5="","",$B$5)</f>
        <v/>
      </c>
      <c r="C18" s="26" t="e">
        <f>NA()</f>
        <v>#N/A</v>
      </c>
      <c r="D18" s="26" t="e">
        <f>NA()</f>
        <v>#N/A</v>
      </c>
      <c r="E18" s="26" t="e">
        <f>NA()</f>
        <v>#N/A</v>
      </c>
      <c r="F18" s="26" t="e">
        <f>NA()</f>
        <v>#N/A</v>
      </c>
      <c r="G18" s="26" t="e">
        <f>NA()</f>
        <v>#N/A</v>
      </c>
      <c r="H18" s="26" t="e">
        <f>NA()</f>
        <v>#N/A</v>
      </c>
      <c r="I18" s="26" t="e">
        <f>IF($B18="",NA(),N(IF(Filter!$L$9="Woche",INDEX(KW!$X$6:$X$237,$B18),INDEX(Verlauf!$X$6:$X$1000,$B18)))-N(IF(Filter!$L$9="Woche",INDEX(KW!$D$6:$D$237,$B18),INDEX(Verlauf!$K$6:$K$1000,$B18))))</f>
        <v>#N/A</v>
      </c>
      <c r="J18" s="26" t="e">
        <f>IF($B18="",NA(),N(IF(Filter!$L$9="Woche",INDEX(KW!$Y$6:$Y$237,$B18),INDEX(Verlauf!$Y$6:$Y$1000,$B18)))-N(IF(Filter!$L$9="Woche",INDEX(KW!$E$6:$E$237,$B18),INDEX(Verlauf!$L$6:$L$1000,$B18))))</f>
        <v>#N/A</v>
      </c>
      <c r="K18" s="26" t="e">
        <f>IF($B18="",NA(),N(IF(Filter!$L$9="Woche",INDEX(KW!$Z$6:$Z$237,$B18),INDEX(Verlauf!$Z$6:$Z$1000,$B18)))-N(IF(Filter!$L$9="Woche",INDEX(KW!$F$6:$F$237,$B18),INDEX(Verlauf!$M$6:$M$1000,$B18))))</f>
        <v>#N/A</v>
      </c>
      <c r="L18" s="26" t="e">
        <f>NA()</f>
        <v>#N/A</v>
      </c>
      <c r="M18" s="26" t="e">
        <f>NA()</f>
        <v>#N/A</v>
      </c>
      <c r="N18" s="26" t="e">
        <f>IF($B18="",NA(),IF(SUM(I18:K18)&gt;=0,SUMIF(I18:K18,"&gt;0"),NA()))</f>
        <v>#N/A</v>
      </c>
      <c r="O18" s="26" t="e">
        <f>IF($B18="",NA(),IF(SUM(I18:K18)&lt;0,SUMIF(I18:K18,"&lt;0"),NA()))</f>
        <v>#N/A</v>
      </c>
      <c r="P18" s="26" t="str">
        <f>IF($B18="","",IF(SUM(I18:K18)=0,"±0",IF(SUM(I18:K18)&lt;0,"-","+")&amp;FIXED(ABS(SUM(I18:K18)),0,FALSE)))</f>
        <v/>
      </c>
      <c r="Q18" s="26" t="e">
        <f>NA()</f>
        <v>#N/A</v>
      </c>
      <c r="R18" s="26" t="e">
        <f>NA()</f>
        <v>#N/A</v>
      </c>
      <c r="S18" s="26" t="e">
        <f>NA()</f>
        <v>#N/A</v>
      </c>
      <c r="T18" s="26" t="e">
        <f>NA()</f>
        <v>#N/A</v>
      </c>
      <c r="U18" s="26" t="e">
        <f>NA()</f>
        <v>#N/A</v>
      </c>
      <c r="V18" s="26" t="e">
        <f>NA()</f>
        <v>#N/A</v>
      </c>
      <c r="W18" s="26" t="e">
        <f>IF($B18="",NA(),N(IF(Filter!$L$9="Woche",INDEX(KW!$AB$6:$AB$237,$B18),INDEX(Verlauf!$AA$6:$AA$1000,$B18)))-N(IF(Filter!$L$9="Woche",INDEX(KW!$H$6:$H$237,$B18),INDEX(Verlauf!$U$6:$U$1000,$B18))))</f>
        <v>#N/A</v>
      </c>
      <c r="X18" s="26" t="e">
        <f>IF($B18="",NA(),N(IF(Filter!$L$9="Woche",INDEX(KW!$AC$6:$AC$237,$B18),INDEX(Verlauf!$AB$6:$AB$1000,$B18)))-N(IF(Filter!$L$9="Woche",INDEX(KW!$I$6:$I$237,$B18),INDEX(Verlauf!$V$6:$V$1000,$B18))))</f>
        <v>#N/A</v>
      </c>
      <c r="Y18" s="26" t="e">
        <f>IF($B18="",NA(),N(IF(Filter!$L$9="Woche",INDEX(KW!$AD$6:$AD$237,$B18),INDEX(Verlauf!$AC$6:$AC$1000,$B18)))-N(IF(Filter!$L$9="Woche",INDEX(KW!$J$6:$J$237,$B18),INDEX(Verlauf!$W$6:$W$1000,$B18))))</f>
        <v>#N/A</v>
      </c>
      <c r="Z18" s="26" t="e">
        <f>NA()</f>
        <v>#N/A</v>
      </c>
      <c r="AA18" s="26" t="e">
        <f>NA()</f>
        <v>#N/A</v>
      </c>
      <c r="AB18" s="26" t="e">
        <f>IF($B18="",NA(),IF(SUM(W18:Y18)&gt;=0,SUMIF(W18:Y18,"&gt;0"),NA()))</f>
        <v>#N/A</v>
      </c>
      <c r="AC18" s="26" t="e">
        <f>IF($B18="",NA(),IF(SUM(W18:Y18)&lt;0,SUMIF(W18:Y18,"&lt;0"),NA()))</f>
        <v>#N/A</v>
      </c>
      <c r="AD18" s="26" t="str">
        <f>IF($B18="","",IF(SUM(W18:Y18)=0,"±0",IF(SUM(W18:Y18)&lt;0,"-","+")&amp;FIXED(ABS(SUM(W18:Y18)),0,FALSE)))</f>
        <v/>
      </c>
    </row>
    <row r="19" spans="1:30" x14ac:dyDescent="0.25">
      <c r="A19" s="7" t="str">
        <f>IF(B19="","",$A$6&amp;CHAR(10)&amp;"Eingänge")</f>
        <v/>
      </c>
      <c r="B19" s="26" t="str">
        <f>IF($B$6="","",$B$6)</f>
        <v/>
      </c>
      <c r="C19" s="26" t="e">
        <f>IF($B19="",NA(),N(IF(Filter!$L$9="Woche",INDEX(KW!$X$6:$X$237,$B19),INDEX(Verlauf!$X$6:$X$1000,$B19))))</f>
        <v>#N/A</v>
      </c>
      <c r="D19" s="26" t="e">
        <f>IF($B19="",NA(),N(IF(Filter!$L$9="Woche",INDEX(KW!$Y$6:$Y$237,$B19),INDEX(Verlauf!$Y$6:$Y$1000,$B19))))</f>
        <v>#N/A</v>
      </c>
      <c r="E19" s="26" t="e">
        <f>IF($B19="",NA(),N(IF(Filter!$L$9="Woche",INDEX(KW!$Z$6:$Z$237,$B19),INDEX(Verlauf!$Z$6:$Z$1000,$B19))))</f>
        <v>#N/A</v>
      </c>
      <c r="F19" s="26" t="e">
        <f>NA()</f>
        <v>#N/A</v>
      </c>
      <c r="G19" s="26" t="e">
        <f>NA()</f>
        <v>#N/A</v>
      </c>
      <c r="H19" s="26" t="e">
        <f>NA()</f>
        <v>#N/A</v>
      </c>
      <c r="I19" s="26" t="e">
        <f>NA()</f>
        <v>#N/A</v>
      </c>
      <c r="J19" s="26" t="e">
        <f>NA()</f>
        <v>#N/A</v>
      </c>
      <c r="K19" s="26" t="e">
        <f>NA()</f>
        <v>#N/A</v>
      </c>
      <c r="L19" s="26" t="e">
        <f>IF($B19="",NA(),SUM(C19:E19))</f>
        <v>#N/A</v>
      </c>
      <c r="M19" s="26" t="e">
        <f>NA()</f>
        <v>#N/A</v>
      </c>
      <c r="N19" s="26" t="e">
        <f>NA()</f>
        <v>#N/A</v>
      </c>
      <c r="O19" s="26" t="e">
        <f>NA()</f>
        <v>#N/A</v>
      </c>
      <c r="P19" s="26" t="str">
        <f>""</f>
        <v/>
      </c>
      <c r="Q19" s="26" t="e">
        <f>IF($B19="",NA(),N(IF(Filter!$L$9="Woche",INDEX(KW!$AB$6:$AB$237,$B19),INDEX(Verlauf!$AA$6:$AA$1000,$B19))))</f>
        <v>#N/A</v>
      </c>
      <c r="R19" s="26" t="e">
        <f>IF($B19="",NA(),N(IF(Filter!$L$9="Woche",INDEX(KW!$AC$6:$AC$237,$B19),INDEX(Verlauf!$AB$6:$AB$1000,$B19))))</f>
        <v>#N/A</v>
      </c>
      <c r="S19" s="26" t="e">
        <f>IF($B19="",NA(),N(IF(Filter!$L$9="Woche",INDEX(KW!$AD$6:$AD$237,$B19),INDEX(Verlauf!$AC$6:$AC$1000,$B19))))</f>
        <v>#N/A</v>
      </c>
      <c r="T19" s="26" t="e">
        <f>NA()</f>
        <v>#N/A</v>
      </c>
      <c r="U19" s="26" t="e">
        <f>NA()</f>
        <v>#N/A</v>
      </c>
      <c r="V19" s="26" t="e">
        <f>NA()</f>
        <v>#N/A</v>
      </c>
      <c r="W19" s="26" t="e">
        <f>NA()</f>
        <v>#N/A</v>
      </c>
      <c r="X19" s="26" t="e">
        <f>NA()</f>
        <v>#N/A</v>
      </c>
      <c r="Y19" s="26" t="e">
        <f>NA()</f>
        <v>#N/A</v>
      </c>
      <c r="Z19" s="26" t="e">
        <f>IF($B19="",NA(),SUM(Q19:S19))</f>
        <v>#N/A</v>
      </c>
      <c r="AA19" s="26" t="e">
        <f>NA()</f>
        <v>#N/A</v>
      </c>
      <c r="AB19" s="26" t="e">
        <f>NA()</f>
        <v>#N/A</v>
      </c>
      <c r="AC19" s="26" t="e">
        <f>NA()</f>
        <v>#N/A</v>
      </c>
      <c r="AD19" s="26" t="str">
        <f>""</f>
        <v/>
      </c>
    </row>
    <row r="20" spans="1:30" x14ac:dyDescent="0.25">
      <c r="A20" s="7" t="str">
        <f>IF(B20="","",$A$6&amp;CHAR(10)&amp;"Abgänge")</f>
        <v/>
      </c>
      <c r="B20" s="26" t="str">
        <f>IF($B$6="","",$B$6)</f>
        <v/>
      </c>
      <c r="C20" s="26" t="e">
        <f>NA()</f>
        <v>#N/A</v>
      </c>
      <c r="D20" s="26" t="e">
        <f>NA()</f>
        <v>#N/A</v>
      </c>
      <c r="E20" s="26" t="e">
        <f>NA()</f>
        <v>#N/A</v>
      </c>
      <c r="F20" s="26" t="e">
        <f>IF($B20="",NA(),-N(IF(Filter!$L$9="Woche",INDEX(KW!$D$6:$D$237,$B20),INDEX(Verlauf!$K$6:$K$1000,$B20))))</f>
        <v>#N/A</v>
      </c>
      <c r="G20" s="26" t="e">
        <f>IF($B20="",NA(),-N(IF(Filter!$L$9="Woche",INDEX(KW!$E$6:$E$237,$B20),INDEX(Verlauf!$L$6:$L$1000,$B20))))</f>
        <v>#N/A</v>
      </c>
      <c r="H20" s="26" t="e">
        <f>IF($B20="",NA(),-N(IF(Filter!$L$9="Woche",INDEX(KW!$F$6:$F$237,$B20),INDEX(Verlauf!$M$6:$M$1000,$B20))))</f>
        <v>#N/A</v>
      </c>
      <c r="I20" s="26" t="e">
        <f>NA()</f>
        <v>#N/A</v>
      </c>
      <c r="J20" s="26" t="e">
        <f>NA()</f>
        <v>#N/A</v>
      </c>
      <c r="K20" s="26" t="e">
        <f>NA()</f>
        <v>#N/A</v>
      </c>
      <c r="L20" s="26" t="e">
        <f>NA()</f>
        <v>#N/A</v>
      </c>
      <c r="M20" s="26" t="e">
        <f>IF($B20="",NA(),SUM(F20:H20))</f>
        <v>#N/A</v>
      </c>
      <c r="N20" s="26" t="e">
        <f>NA()</f>
        <v>#N/A</v>
      </c>
      <c r="O20" s="26" t="e">
        <f>NA()</f>
        <v>#N/A</v>
      </c>
      <c r="P20" s="26" t="str">
        <f>""</f>
        <v/>
      </c>
      <c r="Q20" s="26" t="e">
        <f>NA()</f>
        <v>#N/A</v>
      </c>
      <c r="R20" s="26" t="e">
        <f>NA()</f>
        <v>#N/A</v>
      </c>
      <c r="S20" s="26" t="e">
        <f>NA()</f>
        <v>#N/A</v>
      </c>
      <c r="T20" s="26" t="e">
        <f>IF($B20="",NA(),-N(IF(Filter!$L$9="Woche",INDEX(KW!$H$6:$H$237,$B20),INDEX(Verlauf!$U$6:$U$1000,$B20))))</f>
        <v>#N/A</v>
      </c>
      <c r="U20" s="26" t="e">
        <f>IF($B20="",NA(),-N(IF(Filter!$L$9="Woche",INDEX(KW!$I$6:$I$237,$B20),INDEX(Verlauf!$V$6:$V$1000,$B20))))</f>
        <v>#N/A</v>
      </c>
      <c r="V20" s="26" t="e">
        <f>IF($B20="",NA(),-N(IF(Filter!$L$9="Woche",INDEX(KW!$J$6:$J$237,$B20),INDEX(Verlauf!$W$6:$W$1000,$B20))))</f>
        <v>#N/A</v>
      </c>
      <c r="W20" s="26" t="e">
        <f>NA()</f>
        <v>#N/A</v>
      </c>
      <c r="X20" s="26" t="e">
        <f>NA()</f>
        <v>#N/A</v>
      </c>
      <c r="Y20" s="26" t="e">
        <f>NA()</f>
        <v>#N/A</v>
      </c>
      <c r="Z20" s="26" t="e">
        <f>NA()</f>
        <v>#N/A</v>
      </c>
      <c r="AA20" s="26" t="e">
        <f>IF($B20="",NA(),SUM(T20:V20))</f>
        <v>#N/A</v>
      </c>
      <c r="AB20" s="26" t="e">
        <f>NA()</f>
        <v>#N/A</v>
      </c>
      <c r="AC20" s="26" t="e">
        <f>NA()</f>
        <v>#N/A</v>
      </c>
      <c r="AD20" s="26" t="str">
        <f>""</f>
        <v/>
      </c>
    </row>
    <row r="21" spans="1:30" x14ac:dyDescent="0.25">
      <c r="A21" s="7" t="str">
        <f>IF(B21="","",$A$6&amp;CHAR(10)&amp;"Delta")</f>
        <v/>
      </c>
      <c r="B21" s="26" t="str">
        <f>IF($B$6="","",$B$6)</f>
        <v/>
      </c>
      <c r="C21" s="26" t="e">
        <f>NA()</f>
        <v>#N/A</v>
      </c>
      <c r="D21" s="26" t="e">
        <f>NA()</f>
        <v>#N/A</v>
      </c>
      <c r="E21" s="26" t="e">
        <f>NA()</f>
        <v>#N/A</v>
      </c>
      <c r="F21" s="26" t="e">
        <f>NA()</f>
        <v>#N/A</v>
      </c>
      <c r="G21" s="26" t="e">
        <f>NA()</f>
        <v>#N/A</v>
      </c>
      <c r="H21" s="26" t="e">
        <f>NA()</f>
        <v>#N/A</v>
      </c>
      <c r="I21" s="26" t="e">
        <f>IF($B21="",NA(),N(IF(Filter!$L$9="Woche",INDEX(KW!$X$6:$X$237,$B21),INDEX(Verlauf!$X$6:$X$1000,$B21)))-N(IF(Filter!$L$9="Woche",INDEX(KW!$D$6:$D$237,$B21),INDEX(Verlauf!$K$6:$K$1000,$B21))))</f>
        <v>#N/A</v>
      </c>
      <c r="J21" s="26" t="e">
        <f>IF($B21="",NA(),N(IF(Filter!$L$9="Woche",INDEX(KW!$Y$6:$Y$237,$B21),INDEX(Verlauf!$Y$6:$Y$1000,$B21)))-N(IF(Filter!$L$9="Woche",INDEX(KW!$E$6:$E$237,$B21),INDEX(Verlauf!$L$6:$L$1000,$B21))))</f>
        <v>#N/A</v>
      </c>
      <c r="K21" s="26" t="e">
        <f>IF($B21="",NA(),N(IF(Filter!$L$9="Woche",INDEX(KW!$Z$6:$Z$237,$B21),INDEX(Verlauf!$Z$6:$Z$1000,$B21)))-N(IF(Filter!$L$9="Woche",INDEX(KW!$F$6:$F$237,$B21),INDEX(Verlauf!$M$6:$M$1000,$B21))))</f>
        <v>#N/A</v>
      </c>
      <c r="L21" s="26" t="e">
        <f>NA()</f>
        <v>#N/A</v>
      </c>
      <c r="M21" s="26" t="e">
        <f>NA()</f>
        <v>#N/A</v>
      </c>
      <c r="N21" s="26" t="e">
        <f>IF($B21="",NA(),IF(SUM(I21:K21)&gt;=0,SUMIF(I21:K21,"&gt;0"),NA()))</f>
        <v>#N/A</v>
      </c>
      <c r="O21" s="26" t="e">
        <f>IF($B21="",NA(),IF(SUM(I21:K21)&lt;0,SUMIF(I21:K21,"&lt;0"),NA()))</f>
        <v>#N/A</v>
      </c>
      <c r="P21" s="26" t="str">
        <f>IF($B21="","",IF(SUM(I21:K21)=0,"±0",IF(SUM(I21:K21)&lt;0,"-","+")&amp;FIXED(ABS(SUM(I21:K21)),0,FALSE)))</f>
        <v/>
      </c>
      <c r="Q21" s="26" t="e">
        <f>NA()</f>
        <v>#N/A</v>
      </c>
      <c r="R21" s="26" t="e">
        <f>NA()</f>
        <v>#N/A</v>
      </c>
      <c r="S21" s="26" t="e">
        <f>NA()</f>
        <v>#N/A</v>
      </c>
      <c r="T21" s="26" t="e">
        <f>NA()</f>
        <v>#N/A</v>
      </c>
      <c r="U21" s="26" t="e">
        <f>NA()</f>
        <v>#N/A</v>
      </c>
      <c r="V21" s="26" t="e">
        <f>NA()</f>
        <v>#N/A</v>
      </c>
      <c r="W21" s="26" t="e">
        <f>IF($B21="",NA(),N(IF(Filter!$L$9="Woche",INDEX(KW!$AB$6:$AB$237,$B21),INDEX(Verlauf!$AA$6:$AA$1000,$B21)))-N(IF(Filter!$L$9="Woche",INDEX(KW!$H$6:$H$237,$B21),INDEX(Verlauf!$U$6:$U$1000,$B21))))</f>
        <v>#N/A</v>
      </c>
      <c r="X21" s="26" t="e">
        <f>IF($B21="",NA(),N(IF(Filter!$L$9="Woche",INDEX(KW!$AC$6:$AC$237,$B21),INDEX(Verlauf!$AB$6:$AB$1000,$B21)))-N(IF(Filter!$L$9="Woche",INDEX(KW!$I$6:$I$237,$B21),INDEX(Verlauf!$V$6:$V$1000,$B21))))</f>
        <v>#N/A</v>
      </c>
      <c r="Y21" s="26" t="e">
        <f>IF($B21="",NA(),N(IF(Filter!$L$9="Woche",INDEX(KW!$AD$6:$AD$237,$B21),INDEX(Verlauf!$AC$6:$AC$1000,$B21)))-N(IF(Filter!$L$9="Woche",INDEX(KW!$J$6:$J$237,$B21),INDEX(Verlauf!$W$6:$W$1000,$B21))))</f>
        <v>#N/A</v>
      </c>
      <c r="Z21" s="26" t="e">
        <f>NA()</f>
        <v>#N/A</v>
      </c>
      <c r="AA21" s="26" t="e">
        <f>NA()</f>
        <v>#N/A</v>
      </c>
      <c r="AB21" s="26" t="e">
        <f>IF($B21="",NA(),IF(SUM(W21:Y21)&gt;=0,SUMIF(W21:Y21,"&gt;0"),NA()))</f>
        <v>#N/A</v>
      </c>
      <c r="AC21" s="26" t="e">
        <f>IF($B21="",NA(),IF(SUM(W21:Y21)&lt;0,SUMIF(W21:Y21,"&lt;0"),NA()))</f>
        <v>#N/A</v>
      </c>
      <c r="AD21" s="26" t="str">
        <f>IF($B21="","",IF(SUM(W21:Y21)=0,"±0",IF(SUM(W21:Y21)&lt;0,"-","+")&amp;FIXED(ABS(SUM(W21:Y21)),0,FALSE)))</f>
        <v/>
      </c>
    </row>
    <row r="22" spans="1:30" x14ac:dyDescent="0.25">
      <c r="A22" s="7" t="str">
        <f>IF(B22="","",$A$7&amp;CHAR(10)&amp;"Eingänge")</f>
        <v/>
      </c>
      <c r="B22" s="26" t="str">
        <f>IF($B$7="","",$B$7)</f>
        <v/>
      </c>
      <c r="C22" s="26" t="e">
        <f>IF($B22="",NA(),N(IF(Filter!$L$9="Woche",INDEX(KW!$X$6:$X$237,$B22),INDEX(Verlauf!$X$6:$X$1000,$B22))))</f>
        <v>#N/A</v>
      </c>
      <c r="D22" s="26" t="e">
        <f>IF($B22="",NA(),N(IF(Filter!$L$9="Woche",INDEX(KW!$Y$6:$Y$237,$B22),INDEX(Verlauf!$Y$6:$Y$1000,$B22))))</f>
        <v>#N/A</v>
      </c>
      <c r="E22" s="26" t="e">
        <f>IF($B22="",NA(),N(IF(Filter!$L$9="Woche",INDEX(KW!$Z$6:$Z$237,$B22),INDEX(Verlauf!$Z$6:$Z$1000,$B22))))</f>
        <v>#N/A</v>
      </c>
      <c r="F22" s="26" t="e">
        <f>NA()</f>
        <v>#N/A</v>
      </c>
      <c r="G22" s="26" t="e">
        <f>NA()</f>
        <v>#N/A</v>
      </c>
      <c r="H22" s="26" t="e">
        <f>NA()</f>
        <v>#N/A</v>
      </c>
      <c r="I22" s="26" t="e">
        <f>NA()</f>
        <v>#N/A</v>
      </c>
      <c r="J22" s="26" t="e">
        <f>NA()</f>
        <v>#N/A</v>
      </c>
      <c r="K22" s="26" t="e">
        <f>NA()</f>
        <v>#N/A</v>
      </c>
      <c r="L22" s="26" t="e">
        <f>IF($B22="",NA(),SUM(C22:E22))</f>
        <v>#N/A</v>
      </c>
      <c r="M22" s="26" t="e">
        <f>NA()</f>
        <v>#N/A</v>
      </c>
      <c r="N22" s="26" t="e">
        <f>NA()</f>
        <v>#N/A</v>
      </c>
      <c r="O22" s="26" t="e">
        <f>NA()</f>
        <v>#N/A</v>
      </c>
      <c r="P22" s="26" t="str">
        <f>""</f>
        <v/>
      </c>
      <c r="Q22" s="26" t="e">
        <f>IF($B22="",NA(),N(IF(Filter!$L$9="Woche",INDEX(KW!$AB$6:$AB$237,$B22),INDEX(Verlauf!$AA$6:$AA$1000,$B22))))</f>
        <v>#N/A</v>
      </c>
      <c r="R22" s="26" t="e">
        <f>IF($B22="",NA(),N(IF(Filter!$L$9="Woche",INDEX(KW!$AC$6:$AC$237,$B22),INDEX(Verlauf!$AB$6:$AB$1000,$B22))))</f>
        <v>#N/A</v>
      </c>
      <c r="S22" s="26" t="e">
        <f>IF($B22="",NA(),N(IF(Filter!$L$9="Woche",INDEX(KW!$AD$6:$AD$237,$B22),INDEX(Verlauf!$AC$6:$AC$1000,$B22))))</f>
        <v>#N/A</v>
      </c>
      <c r="T22" s="26" t="e">
        <f>NA()</f>
        <v>#N/A</v>
      </c>
      <c r="U22" s="26" t="e">
        <f>NA()</f>
        <v>#N/A</v>
      </c>
      <c r="V22" s="26" t="e">
        <f>NA()</f>
        <v>#N/A</v>
      </c>
      <c r="W22" s="26" t="e">
        <f>NA()</f>
        <v>#N/A</v>
      </c>
      <c r="X22" s="26" t="e">
        <f>NA()</f>
        <v>#N/A</v>
      </c>
      <c r="Y22" s="26" t="e">
        <f>NA()</f>
        <v>#N/A</v>
      </c>
      <c r="Z22" s="26" t="e">
        <f>IF($B22="",NA(),SUM(Q22:S22))</f>
        <v>#N/A</v>
      </c>
      <c r="AA22" s="26" t="e">
        <f>NA()</f>
        <v>#N/A</v>
      </c>
      <c r="AB22" s="26" t="e">
        <f>NA()</f>
        <v>#N/A</v>
      </c>
      <c r="AC22" s="26" t="e">
        <f>NA()</f>
        <v>#N/A</v>
      </c>
      <c r="AD22" s="26" t="str">
        <f>""</f>
        <v/>
      </c>
    </row>
    <row r="23" spans="1:30" x14ac:dyDescent="0.25">
      <c r="A23" s="7" t="str">
        <f>IF(B23="","",$A$7&amp;CHAR(10)&amp;"Abgänge")</f>
        <v/>
      </c>
      <c r="B23" s="26" t="str">
        <f>IF($B$7="","",$B$7)</f>
        <v/>
      </c>
      <c r="C23" s="26" t="e">
        <f>NA()</f>
        <v>#N/A</v>
      </c>
      <c r="D23" s="26" t="e">
        <f>NA()</f>
        <v>#N/A</v>
      </c>
      <c r="E23" s="26" t="e">
        <f>NA()</f>
        <v>#N/A</v>
      </c>
      <c r="F23" s="26" t="e">
        <f>IF($B23="",NA(),-N(IF(Filter!$L$9="Woche",INDEX(KW!$D$6:$D$237,$B23),INDEX(Verlauf!$K$6:$K$1000,$B23))))</f>
        <v>#N/A</v>
      </c>
      <c r="G23" s="26" t="e">
        <f>IF($B23="",NA(),-N(IF(Filter!$L$9="Woche",INDEX(KW!$E$6:$E$237,$B23),INDEX(Verlauf!$L$6:$L$1000,$B23))))</f>
        <v>#N/A</v>
      </c>
      <c r="H23" s="26" t="e">
        <f>IF($B23="",NA(),-N(IF(Filter!$L$9="Woche",INDEX(KW!$F$6:$F$237,$B23),INDEX(Verlauf!$M$6:$M$1000,$B23))))</f>
        <v>#N/A</v>
      </c>
      <c r="I23" s="26" t="e">
        <f>NA()</f>
        <v>#N/A</v>
      </c>
      <c r="J23" s="26" t="e">
        <f>NA()</f>
        <v>#N/A</v>
      </c>
      <c r="K23" s="26" t="e">
        <f>NA()</f>
        <v>#N/A</v>
      </c>
      <c r="L23" s="26" t="e">
        <f>NA()</f>
        <v>#N/A</v>
      </c>
      <c r="M23" s="26" t="e">
        <f>IF($B23="",NA(),SUM(F23:H23))</f>
        <v>#N/A</v>
      </c>
      <c r="N23" s="26" t="e">
        <f>NA()</f>
        <v>#N/A</v>
      </c>
      <c r="O23" s="26" t="e">
        <f>NA()</f>
        <v>#N/A</v>
      </c>
      <c r="P23" s="26" t="str">
        <f>""</f>
        <v/>
      </c>
      <c r="Q23" s="26" t="e">
        <f>NA()</f>
        <v>#N/A</v>
      </c>
      <c r="R23" s="26" t="e">
        <f>NA()</f>
        <v>#N/A</v>
      </c>
      <c r="S23" s="26" t="e">
        <f>NA()</f>
        <v>#N/A</v>
      </c>
      <c r="T23" s="26" t="e">
        <f>IF($B23="",NA(),-N(IF(Filter!$L$9="Woche",INDEX(KW!$H$6:$H$237,$B23),INDEX(Verlauf!$U$6:$U$1000,$B23))))</f>
        <v>#N/A</v>
      </c>
      <c r="U23" s="26" t="e">
        <f>IF($B23="",NA(),-N(IF(Filter!$L$9="Woche",INDEX(KW!$I$6:$I$237,$B23),INDEX(Verlauf!$V$6:$V$1000,$B23))))</f>
        <v>#N/A</v>
      </c>
      <c r="V23" s="26" t="e">
        <f>IF($B23="",NA(),-N(IF(Filter!$L$9="Woche",INDEX(KW!$J$6:$J$237,$B23),INDEX(Verlauf!$W$6:$W$1000,$B23))))</f>
        <v>#N/A</v>
      </c>
      <c r="W23" s="26" t="e">
        <f>NA()</f>
        <v>#N/A</v>
      </c>
      <c r="X23" s="26" t="e">
        <f>NA()</f>
        <v>#N/A</v>
      </c>
      <c r="Y23" s="26" t="e">
        <f>NA()</f>
        <v>#N/A</v>
      </c>
      <c r="Z23" s="26" t="e">
        <f>NA()</f>
        <v>#N/A</v>
      </c>
      <c r="AA23" s="26" t="e">
        <f>IF($B23="",NA(),SUM(T23:V23))</f>
        <v>#N/A</v>
      </c>
      <c r="AB23" s="26" t="e">
        <f>NA()</f>
        <v>#N/A</v>
      </c>
      <c r="AC23" s="26" t="e">
        <f>NA()</f>
        <v>#N/A</v>
      </c>
      <c r="AD23" s="26" t="str">
        <f>""</f>
        <v/>
      </c>
    </row>
    <row r="24" spans="1:30" x14ac:dyDescent="0.25">
      <c r="A24" s="7" t="str">
        <f>IF(B24="","",$A$7&amp;CHAR(10)&amp;"Delta")</f>
        <v/>
      </c>
      <c r="B24" s="26" t="str">
        <f>IF($B$7="","",$B$7)</f>
        <v/>
      </c>
      <c r="C24" s="26" t="e">
        <f>NA()</f>
        <v>#N/A</v>
      </c>
      <c r="D24" s="26" t="e">
        <f>NA()</f>
        <v>#N/A</v>
      </c>
      <c r="E24" s="26" t="e">
        <f>NA()</f>
        <v>#N/A</v>
      </c>
      <c r="F24" s="26" t="e">
        <f>NA()</f>
        <v>#N/A</v>
      </c>
      <c r="G24" s="26" t="e">
        <f>NA()</f>
        <v>#N/A</v>
      </c>
      <c r="H24" s="26" t="e">
        <f>NA()</f>
        <v>#N/A</v>
      </c>
      <c r="I24" s="26" t="e">
        <f>IF($B24="",NA(),N(IF(Filter!$L$9="Woche",INDEX(KW!$X$6:$X$237,$B24),INDEX(Verlauf!$X$6:$X$1000,$B24)))-N(IF(Filter!$L$9="Woche",INDEX(KW!$D$6:$D$237,$B24),INDEX(Verlauf!$K$6:$K$1000,$B24))))</f>
        <v>#N/A</v>
      </c>
      <c r="J24" s="26" t="e">
        <f>IF($B24="",NA(),N(IF(Filter!$L$9="Woche",INDEX(KW!$Y$6:$Y$237,$B24),INDEX(Verlauf!$Y$6:$Y$1000,$B24)))-N(IF(Filter!$L$9="Woche",INDEX(KW!$E$6:$E$237,$B24),INDEX(Verlauf!$L$6:$L$1000,$B24))))</f>
        <v>#N/A</v>
      </c>
      <c r="K24" s="26" t="e">
        <f>IF($B24="",NA(),N(IF(Filter!$L$9="Woche",INDEX(KW!$Z$6:$Z$237,$B24),INDEX(Verlauf!$Z$6:$Z$1000,$B24)))-N(IF(Filter!$L$9="Woche",INDEX(KW!$F$6:$F$237,$B24),INDEX(Verlauf!$M$6:$M$1000,$B24))))</f>
        <v>#N/A</v>
      </c>
      <c r="L24" s="26" t="e">
        <f>NA()</f>
        <v>#N/A</v>
      </c>
      <c r="M24" s="26" t="e">
        <f>NA()</f>
        <v>#N/A</v>
      </c>
      <c r="N24" s="26" t="e">
        <f>IF($B24="",NA(),IF(SUM(I24:K24)&gt;=0,SUMIF(I24:K24,"&gt;0"),NA()))</f>
        <v>#N/A</v>
      </c>
      <c r="O24" s="26" t="e">
        <f>IF($B24="",NA(),IF(SUM(I24:K24)&lt;0,SUMIF(I24:K24,"&lt;0"),NA()))</f>
        <v>#N/A</v>
      </c>
      <c r="P24" s="26" t="str">
        <f>IF($B24="","",IF(SUM(I24:K24)=0,"±0",IF(SUM(I24:K24)&lt;0,"-","+")&amp;FIXED(ABS(SUM(I24:K24)),0,FALSE)))</f>
        <v/>
      </c>
      <c r="Q24" s="26" t="e">
        <f>NA()</f>
        <v>#N/A</v>
      </c>
      <c r="R24" s="26" t="e">
        <f>NA()</f>
        <v>#N/A</v>
      </c>
      <c r="S24" s="26" t="e">
        <f>NA()</f>
        <v>#N/A</v>
      </c>
      <c r="T24" s="26" t="e">
        <f>NA()</f>
        <v>#N/A</v>
      </c>
      <c r="U24" s="26" t="e">
        <f>NA()</f>
        <v>#N/A</v>
      </c>
      <c r="V24" s="26" t="e">
        <f>NA()</f>
        <v>#N/A</v>
      </c>
      <c r="W24" s="26" t="e">
        <f>IF($B24="",NA(),N(IF(Filter!$L$9="Woche",INDEX(KW!$AB$6:$AB$237,$B24),INDEX(Verlauf!$AA$6:$AA$1000,$B24)))-N(IF(Filter!$L$9="Woche",INDEX(KW!$H$6:$H$237,$B24),INDEX(Verlauf!$U$6:$U$1000,$B24))))</f>
        <v>#N/A</v>
      </c>
      <c r="X24" s="26" t="e">
        <f>IF($B24="",NA(),N(IF(Filter!$L$9="Woche",INDEX(KW!$AC$6:$AC$237,$B24),INDEX(Verlauf!$AB$6:$AB$1000,$B24)))-N(IF(Filter!$L$9="Woche",INDEX(KW!$I$6:$I$237,$B24),INDEX(Verlauf!$V$6:$V$1000,$B24))))</f>
        <v>#N/A</v>
      </c>
      <c r="Y24" s="26" t="e">
        <f>IF($B24="",NA(),N(IF(Filter!$L$9="Woche",INDEX(KW!$AD$6:$AD$237,$B24),INDEX(Verlauf!$AC$6:$AC$1000,$B24)))-N(IF(Filter!$L$9="Woche",INDEX(KW!$J$6:$J$237,$B24),INDEX(Verlauf!$W$6:$W$1000,$B24))))</f>
        <v>#N/A</v>
      </c>
      <c r="Z24" s="26" t="e">
        <f>NA()</f>
        <v>#N/A</v>
      </c>
      <c r="AA24" s="26" t="e">
        <f>NA()</f>
        <v>#N/A</v>
      </c>
      <c r="AB24" s="26" t="e">
        <f>IF($B24="",NA(),IF(SUM(W24:Y24)&gt;=0,SUMIF(W24:Y24,"&gt;0"),NA()))</f>
        <v>#N/A</v>
      </c>
      <c r="AC24" s="26" t="e">
        <f>IF($B24="",NA(),IF(SUM(W24:Y24)&lt;0,SUMIF(W24:Y24,"&lt;0"),NA()))</f>
        <v>#N/A</v>
      </c>
      <c r="AD24" s="26" t="str">
        <f>IF($B24="","",IF(SUM(W24:Y24)=0,"±0",IF(SUM(W24:Y24)&lt;0,"-","+")&amp;FIXED(ABS(SUM(W24:Y24)),0,FALSE)))</f>
        <v/>
      </c>
    </row>
    <row r="25" spans="1:30" x14ac:dyDescent="0.25">
      <c r="A25" s="7" t="str">
        <f>IF(B25="","",$A$8&amp;CHAR(10)&amp;"Eingänge")</f>
        <v/>
      </c>
      <c r="B25" s="26" t="str">
        <f>IF($B$8="","",$B$8)</f>
        <v/>
      </c>
      <c r="C25" s="26" t="e">
        <f>IF($B25="",NA(),N(IF(Filter!$L$9="Woche",INDEX(KW!$X$6:$X$237,$B25),INDEX(Verlauf!$X$6:$X$1000,$B25))))</f>
        <v>#N/A</v>
      </c>
      <c r="D25" s="26" t="e">
        <f>IF($B25="",NA(),N(IF(Filter!$L$9="Woche",INDEX(KW!$Y$6:$Y$237,$B25),INDEX(Verlauf!$Y$6:$Y$1000,$B25))))</f>
        <v>#N/A</v>
      </c>
      <c r="E25" s="26" t="e">
        <f>IF($B25="",NA(),N(IF(Filter!$L$9="Woche",INDEX(KW!$Z$6:$Z$237,$B25),INDEX(Verlauf!$Z$6:$Z$1000,$B25))))</f>
        <v>#N/A</v>
      </c>
      <c r="F25" s="26" t="e">
        <f>NA()</f>
        <v>#N/A</v>
      </c>
      <c r="G25" s="26" t="e">
        <f>NA()</f>
        <v>#N/A</v>
      </c>
      <c r="H25" s="26" t="e">
        <f>NA()</f>
        <v>#N/A</v>
      </c>
      <c r="I25" s="26" t="e">
        <f>NA()</f>
        <v>#N/A</v>
      </c>
      <c r="J25" s="26" t="e">
        <f>NA()</f>
        <v>#N/A</v>
      </c>
      <c r="K25" s="26" t="e">
        <f>NA()</f>
        <v>#N/A</v>
      </c>
      <c r="L25" s="26" t="e">
        <f>IF($B25="",NA(),SUM(C25:E25))</f>
        <v>#N/A</v>
      </c>
      <c r="M25" s="26" t="e">
        <f>NA()</f>
        <v>#N/A</v>
      </c>
      <c r="N25" s="26" t="e">
        <f>NA()</f>
        <v>#N/A</v>
      </c>
      <c r="O25" s="26" t="e">
        <f>NA()</f>
        <v>#N/A</v>
      </c>
      <c r="P25" s="26" t="str">
        <f>""</f>
        <v/>
      </c>
      <c r="Q25" s="26" t="e">
        <f>IF($B25="",NA(),N(IF(Filter!$L$9="Woche",INDEX(KW!$AB$6:$AB$237,$B25),INDEX(Verlauf!$AA$6:$AA$1000,$B25))))</f>
        <v>#N/A</v>
      </c>
      <c r="R25" s="26" t="e">
        <f>IF($B25="",NA(),N(IF(Filter!$L$9="Woche",INDEX(KW!$AC$6:$AC$237,$B25),INDEX(Verlauf!$AB$6:$AB$1000,$B25))))</f>
        <v>#N/A</v>
      </c>
      <c r="S25" s="26" t="e">
        <f>IF($B25="",NA(),N(IF(Filter!$L$9="Woche",INDEX(KW!$AD$6:$AD$237,$B25),INDEX(Verlauf!$AC$6:$AC$1000,$B25))))</f>
        <v>#N/A</v>
      </c>
      <c r="T25" s="26" t="e">
        <f>NA()</f>
        <v>#N/A</v>
      </c>
      <c r="U25" s="26" t="e">
        <f>NA()</f>
        <v>#N/A</v>
      </c>
      <c r="V25" s="26" t="e">
        <f>NA()</f>
        <v>#N/A</v>
      </c>
      <c r="W25" s="26" t="e">
        <f>NA()</f>
        <v>#N/A</v>
      </c>
      <c r="X25" s="26" t="e">
        <f>NA()</f>
        <v>#N/A</v>
      </c>
      <c r="Y25" s="26" t="e">
        <f>NA()</f>
        <v>#N/A</v>
      </c>
      <c r="Z25" s="26" t="e">
        <f>IF($B25="",NA(),SUM(Q25:S25))</f>
        <v>#N/A</v>
      </c>
      <c r="AA25" s="26" t="e">
        <f>NA()</f>
        <v>#N/A</v>
      </c>
      <c r="AB25" s="26" t="e">
        <f>NA()</f>
        <v>#N/A</v>
      </c>
      <c r="AC25" s="26" t="e">
        <f>NA()</f>
        <v>#N/A</v>
      </c>
      <c r="AD25" s="26" t="str">
        <f>""</f>
        <v/>
      </c>
    </row>
    <row r="26" spans="1:30" x14ac:dyDescent="0.25">
      <c r="A26" s="7" t="str">
        <f>IF(B26="","",$A$8&amp;CHAR(10)&amp;"Abgänge")</f>
        <v/>
      </c>
      <c r="B26" s="26" t="str">
        <f>IF($B$8="","",$B$8)</f>
        <v/>
      </c>
      <c r="C26" s="26" t="e">
        <f>NA()</f>
        <v>#N/A</v>
      </c>
      <c r="D26" s="26" t="e">
        <f>NA()</f>
        <v>#N/A</v>
      </c>
      <c r="E26" s="26" t="e">
        <f>NA()</f>
        <v>#N/A</v>
      </c>
      <c r="F26" s="26" t="e">
        <f>IF($B26="",NA(),-N(IF(Filter!$L$9="Woche",INDEX(KW!$D$6:$D$237,$B26),INDEX(Verlauf!$K$6:$K$1000,$B26))))</f>
        <v>#N/A</v>
      </c>
      <c r="G26" s="26" t="e">
        <f>IF($B26="",NA(),-N(IF(Filter!$L$9="Woche",INDEX(KW!$E$6:$E$237,$B26),INDEX(Verlauf!$L$6:$L$1000,$B26))))</f>
        <v>#N/A</v>
      </c>
      <c r="H26" s="26" t="e">
        <f>IF($B26="",NA(),-N(IF(Filter!$L$9="Woche",INDEX(KW!$F$6:$F$237,$B26),INDEX(Verlauf!$M$6:$M$1000,$B26))))</f>
        <v>#N/A</v>
      </c>
      <c r="I26" s="26" t="e">
        <f>NA()</f>
        <v>#N/A</v>
      </c>
      <c r="J26" s="26" t="e">
        <f>NA()</f>
        <v>#N/A</v>
      </c>
      <c r="K26" s="26" t="e">
        <f>NA()</f>
        <v>#N/A</v>
      </c>
      <c r="L26" s="26" t="e">
        <f>NA()</f>
        <v>#N/A</v>
      </c>
      <c r="M26" s="26" t="e">
        <f>IF($B26="",NA(),SUM(F26:H26))</f>
        <v>#N/A</v>
      </c>
      <c r="N26" s="26" t="e">
        <f>NA()</f>
        <v>#N/A</v>
      </c>
      <c r="O26" s="26" t="e">
        <f>NA()</f>
        <v>#N/A</v>
      </c>
      <c r="P26" s="26" t="str">
        <f>""</f>
        <v/>
      </c>
      <c r="Q26" s="26" t="e">
        <f>NA()</f>
        <v>#N/A</v>
      </c>
      <c r="R26" s="26" t="e">
        <f>NA()</f>
        <v>#N/A</v>
      </c>
      <c r="S26" s="26" t="e">
        <f>NA()</f>
        <v>#N/A</v>
      </c>
      <c r="T26" s="26" t="e">
        <f>IF($B26="",NA(),-N(IF(Filter!$L$9="Woche",INDEX(KW!$H$6:$H$237,$B26),INDEX(Verlauf!$U$6:$U$1000,$B26))))</f>
        <v>#N/A</v>
      </c>
      <c r="U26" s="26" t="e">
        <f>IF($B26="",NA(),-N(IF(Filter!$L$9="Woche",INDEX(KW!$I$6:$I$237,$B26),INDEX(Verlauf!$V$6:$V$1000,$B26))))</f>
        <v>#N/A</v>
      </c>
      <c r="V26" s="26" t="e">
        <f>IF($B26="",NA(),-N(IF(Filter!$L$9="Woche",INDEX(KW!$J$6:$J$237,$B26),INDEX(Verlauf!$W$6:$W$1000,$B26))))</f>
        <v>#N/A</v>
      </c>
      <c r="W26" s="26" t="e">
        <f>NA()</f>
        <v>#N/A</v>
      </c>
      <c r="X26" s="26" t="e">
        <f>NA()</f>
        <v>#N/A</v>
      </c>
      <c r="Y26" s="26" t="e">
        <f>NA()</f>
        <v>#N/A</v>
      </c>
      <c r="Z26" s="26" t="e">
        <f>NA()</f>
        <v>#N/A</v>
      </c>
      <c r="AA26" s="26" t="e">
        <f>IF($B26="",NA(),SUM(T26:V26))</f>
        <v>#N/A</v>
      </c>
      <c r="AB26" s="26" t="e">
        <f>NA()</f>
        <v>#N/A</v>
      </c>
      <c r="AC26" s="26" t="e">
        <f>NA()</f>
        <v>#N/A</v>
      </c>
      <c r="AD26" s="26" t="str">
        <f>""</f>
        <v/>
      </c>
    </row>
    <row r="27" spans="1:30" x14ac:dyDescent="0.25">
      <c r="A27" s="7" t="str">
        <f>IF(B27="","",$A$8&amp;CHAR(10)&amp;"Delta")</f>
        <v/>
      </c>
      <c r="B27" s="26" t="str">
        <f>IF($B$8="","",$B$8)</f>
        <v/>
      </c>
      <c r="C27" s="26" t="e">
        <f>NA()</f>
        <v>#N/A</v>
      </c>
      <c r="D27" s="26" t="e">
        <f>NA()</f>
        <v>#N/A</v>
      </c>
      <c r="E27" s="26" t="e">
        <f>NA()</f>
        <v>#N/A</v>
      </c>
      <c r="F27" s="26" t="e">
        <f>NA()</f>
        <v>#N/A</v>
      </c>
      <c r="G27" s="26" t="e">
        <f>NA()</f>
        <v>#N/A</v>
      </c>
      <c r="H27" s="26" t="e">
        <f>NA()</f>
        <v>#N/A</v>
      </c>
      <c r="I27" s="26" t="e">
        <f>IF($B27="",NA(),N(IF(Filter!$L$9="Woche",INDEX(KW!$X$6:$X$237,$B27),INDEX(Verlauf!$X$6:$X$1000,$B27)))-N(IF(Filter!$L$9="Woche",INDEX(KW!$D$6:$D$237,$B27),INDEX(Verlauf!$K$6:$K$1000,$B27))))</f>
        <v>#N/A</v>
      </c>
      <c r="J27" s="26" t="e">
        <f>IF($B27="",NA(),N(IF(Filter!$L$9="Woche",INDEX(KW!$Y$6:$Y$237,$B27),INDEX(Verlauf!$Y$6:$Y$1000,$B27)))-N(IF(Filter!$L$9="Woche",INDEX(KW!$E$6:$E$237,$B27),INDEX(Verlauf!$L$6:$L$1000,$B27))))</f>
        <v>#N/A</v>
      </c>
      <c r="K27" s="26" t="e">
        <f>IF($B27="",NA(),N(IF(Filter!$L$9="Woche",INDEX(KW!$Z$6:$Z$237,$B27),INDEX(Verlauf!$Z$6:$Z$1000,$B27)))-N(IF(Filter!$L$9="Woche",INDEX(KW!$F$6:$F$237,$B27),INDEX(Verlauf!$M$6:$M$1000,$B27))))</f>
        <v>#N/A</v>
      </c>
      <c r="L27" s="26" t="e">
        <f>NA()</f>
        <v>#N/A</v>
      </c>
      <c r="M27" s="26" t="e">
        <f>NA()</f>
        <v>#N/A</v>
      </c>
      <c r="N27" s="26" t="e">
        <f>IF($B27="",NA(),IF(SUM(I27:K27)&gt;=0,SUMIF(I27:K27,"&gt;0"),NA()))</f>
        <v>#N/A</v>
      </c>
      <c r="O27" s="26" t="e">
        <f>IF($B27="",NA(),IF(SUM(I27:K27)&lt;0,SUMIF(I27:K27,"&lt;0"),NA()))</f>
        <v>#N/A</v>
      </c>
      <c r="P27" s="26" t="str">
        <f>IF($B27="","",IF(SUM(I27:K27)=0,"±0",IF(SUM(I27:K27)&lt;0,"-","+")&amp;FIXED(ABS(SUM(I27:K27)),0,FALSE)))</f>
        <v/>
      </c>
      <c r="Q27" s="26" t="e">
        <f>NA()</f>
        <v>#N/A</v>
      </c>
      <c r="R27" s="26" t="e">
        <f>NA()</f>
        <v>#N/A</v>
      </c>
      <c r="S27" s="26" t="e">
        <f>NA()</f>
        <v>#N/A</v>
      </c>
      <c r="T27" s="26" t="e">
        <f>NA()</f>
        <v>#N/A</v>
      </c>
      <c r="U27" s="26" t="e">
        <f>NA()</f>
        <v>#N/A</v>
      </c>
      <c r="V27" s="26" t="e">
        <f>NA()</f>
        <v>#N/A</v>
      </c>
      <c r="W27" s="26" t="e">
        <f>IF($B27="",NA(),N(IF(Filter!$L$9="Woche",INDEX(KW!$AB$6:$AB$237,$B27),INDEX(Verlauf!$AA$6:$AA$1000,$B27)))-N(IF(Filter!$L$9="Woche",INDEX(KW!$H$6:$H$237,$B27),INDEX(Verlauf!$U$6:$U$1000,$B27))))</f>
        <v>#N/A</v>
      </c>
      <c r="X27" s="26" t="e">
        <f>IF($B27="",NA(),N(IF(Filter!$L$9="Woche",INDEX(KW!$AC$6:$AC$237,$B27),INDEX(Verlauf!$AB$6:$AB$1000,$B27)))-N(IF(Filter!$L$9="Woche",INDEX(KW!$I$6:$I$237,$B27),INDEX(Verlauf!$V$6:$V$1000,$B27))))</f>
        <v>#N/A</v>
      </c>
      <c r="Y27" s="26" t="e">
        <f>IF($B27="",NA(),N(IF(Filter!$L$9="Woche",INDEX(KW!$AD$6:$AD$237,$B27),INDEX(Verlauf!$AC$6:$AC$1000,$B27)))-N(IF(Filter!$L$9="Woche",INDEX(KW!$J$6:$J$237,$B27),INDEX(Verlauf!$W$6:$W$1000,$B27))))</f>
        <v>#N/A</v>
      </c>
      <c r="Z27" s="26" t="e">
        <f>NA()</f>
        <v>#N/A</v>
      </c>
      <c r="AA27" s="26" t="e">
        <f>NA()</f>
        <v>#N/A</v>
      </c>
      <c r="AB27" s="26" t="e">
        <f>IF($B27="",NA(),IF(SUM(W27:Y27)&gt;=0,SUMIF(W27:Y27,"&gt;0"),NA()))</f>
        <v>#N/A</v>
      </c>
      <c r="AC27" s="26" t="e">
        <f>IF($B27="",NA(),IF(SUM(W27:Y27)&lt;0,SUMIF(W27:Y27,"&lt;0"),NA()))</f>
        <v>#N/A</v>
      </c>
      <c r="AD27" s="26" t="str">
        <f>IF($B27="","",IF(SUM(W27:Y27)=0,"±0",IF(SUM(W27:Y27)&lt;0,"-","+")&amp;FIXED(ABS(SUM(W27:Y27)),0,FALSE)))</f>
        <v/>
      </c>
    </row>
    <row r="28" spans="1:30" x14ac:dyDescent="0.25">
      <c r="A28" s="7" t="str">
        <f>IF(B28="","",$A$9&amp;CHAR(10)&amp;"Eingänge")</f>
        <v/>
      </c>
      <c r="B28" s="26" t="str">
        <f>IF($B$9="","",$B$9)</f>
        <v/>
      </c>
      <c r="C28" s="26" t="e">
        <f>IF($B28="",NA(),N(IF(Filter!$L$9="Woche",INDEX(KW!$X$6:$X$237,$B28),INDEX(Verlauf!$X$6:$X$1000,$B28))))</f>
        <v>#N/A</v>
      </c>
      <c r="D28" s="26" t="e">
        <f>IF($B28="",NA(),N(IF(Filter!$L$9="Woche",INDEX(KW!$Y$6:$Y$237,$B28),INDEX(Verlauf!$Y$6:$Y$1000,$B28))))</f>
        <v>#N/A</v>
      </c>
      <c r="E28" s="26" t="e">
        <f>IF($B28="",NA(),N(IF(Filter!$L$9="Woche",INDEX(KW!$Z$6:$Z$237,$B28),INDEX(Verlauf!$Z$6:$Z$1000,$B28))))</f>
        <v>#N/A</v>
      </c>
      <c r="F28" s="26" t="e">
        <f>NA()</f>
        <v>#N/A</v>
      </c>
      <c r="G28" s="26" t="e">
        <f>NA()</f>
        <v>#N/A</v>
      </c>
      <c r="H28" s="26" t="e">
        <f>NA()</f>
        <v>#N/A</v>
      </c>
      <c r="I28" s="26" t="e">
        <f>NA()</f>
        <v>#N/A</v>
      </c>
      <c r="J28" s="26" t="e">
        <f>NA()</f>
        <v>#N/A</v>
      </c>
      <c r="K28" s="26" t="e">
        <f>NA()</f>
        <v>#N/A</v>
      </c>
      <c r="L28" s="26" t="e">
        <f>IF($B28="",NA(),SUM(C28:E28))</f>
        <v>#N/A</v>
      </c>
      <c r="M28" s="26" t="e">
        <f>NA()</f>
        <v>#N/A</v>
      </c>
      <c r="N28" s="26" t="e">
        <f>NA()</f>
        <v>#N/A</v>
      </c>
      <c r="O28" s="26" t="e">
        <f>NA()</f>
        <v>#N/A</v>
      </c>
      <c r="P28" s="26" t="str">
        <f>""</f>
        <v/>
      </c>
      <c r="Q28" s="26" t="e">
        <f>IF($B28="",NA(),N(IF(Filter!$L$9="Woche",INDEX(KW!$AB$6:$AB$237,$B28),INDEX(Verlauf!$AA$6:$AA$1000,$B28))))</f>
        <v>#N/A</v>
      </c>
      <c r="R28" s="26" t="e">
        <f>IF($B28="",NA(),N(IF(Filter!$L$9="Woche",INDEX(KW!$AC$6:$AC$237,$B28),INDEX(Verlauf!$AB$6:$AB$1000,$B28))))</f>
        <v>#N/A</v>
      </c>
      <c r="S28" s="26" t="e">
        <f>IF($B28="",NA(),N(IF(Filter!$L$9="Woche",INDEX(KW!$AD$6:$AD$237,$B28),INDEX(Verlauf!$AC$6:$AC$1000,$B28))))</f>
        <v>#N/A</v>
      </c>
      <c r="T28" s="26" t="e">
        <f>NA()</f>
        <v>#N/A</v>
      </c>
      <c r="U28" s="26" t="e">
        <f>NA()</f>
        <v>#N/A</v>
      </c>
      <c r="V28" s="26" t="e">
        <f>NA()</f>
        <v>#N/A</v>
      </c>
      <c r="W28" s="26" t="e">
        <f>NA()</f>
        <v>#N/A</v>
      </c>
      <c r="X28" s="26" t="e">
        <f>NA()</f>
        <v>#N/A</v>
      </c>
      <c r="Y28" s="26" t="e">
        <f>NA()</f>
        <v>#N/A</v>
      </c>
      <c r="Z28" s="26" t="e">
        <f>IF($B28="",NA(),SUM(Q28:S28))</f>
        <v>#N/A</v>
      </c>
      <c r="AA28" s="26" t="e">
        <f>NA()</f>
        <v>#N/A</v>
      </c>
      <c r="AB28" s="26" t="e">
        <f>NA()</f>
        <v>#N/A</v>
      </c>
      <c r="AC28" s="26" t="e">
        <f>NA()</f>
        <v>#N/A</v>
      </c>
      <c r="AD28" s="26" t="str">
        <f>""</f>
        <v/>
      </c>
    </row>
    <row r="29" spans="1:30" x14ac:dyDescent="0.25">
      <c r="A29" s="7" t="str">
        <f>IF(B29="","",$A$9&amp;CHAR(10)&amp;"Abgänge")</f>
        <v/>
      </c>
      <c r="B29" s="26" t="str">
        <f>IF($B$9="","",$B$9)</f>
        <v/>
      </c>
      <c r="C29" s="26" t="e">
        <f>NA()</f>
        <v>#N/A</v>
      </c>
      <c r="D29" s="26" t="e">
        <f>NA()</f>
        <v>#N/A</v>
      </c>
      <c r="E29" s="26" t="e">
        <f>NA()</f>
        <v>#N/A</v>
      </c>
      <c r="F29" s="26" t="e">
        <f>IF($B29="",NA(),-N(IF(Filter!$L$9="Woche",INDEX(KW!$D$6:$D$237,$B29),INDEX(Verlauf!$K$6:$K$1000,$B29))))</f>
        <v>#N/A</v>
      </c>
      <c r="G29" s="26" t="e">
        <f>IF($B29="",NA(),-N(IF(Filter!$L$9="Woche",INDEX(KW!$E$6:$E$237,$B29),INDEX(Verlauf!$L$6:$L$1000,$B29))))</f>
        <v>#N/A</v>
      </c>
      <c r="H29" s="26" t="e">
        <f>IF($B29="",NA(),-N(IF(Filter!$L$9="Woche",INDEX(KW!$F$6:$F$237,$B29),INDEX(Verlauf!$M$6:$M$1000,$B29))))</f>
        <v>#N/A</v>
      </c>
      <c r="I29" s="26" t="e">
        <f>NA()</f>
        <v>#N/A</v>
      </c>
      <c r="J29" s="26" t="e">
        <f>NA()</f>
        <v>#N/A</v>
      </c>
      <c r="K29" s="26" t="e">
        <f>NA()</f>
        <v>#N/A</v>
      </c>
      <c r="L29" s="26" t="e">
        <f>NA()</f>
        <v>#N/A</v>
      </c>
      <c r="M29" s="26" t="e">
        <f>IF($B29="",NA(),SUM(F29:H29))</f>
        <v>#N/A</v>
      </c>
      <c r="N29" s="26" t="e">
        <f>NA()</f>
        <v>#N/A</v>
      </c>
      <c r="O29" s="26" t="e">
        <f>NA()</f>
        <v>#N/A</v>
      </c>
      <c r="P29" s="26" t="str">
        <f>""</f>
        <v/>
      </c>
      <c r="Q29" s="26" t="e">
        <f>NA()</f>
        <v>#N/A</v>
      </c>
      <c r="R29" s="26" t="e">
        <f>NA()</f>
        <v>#N/A</v>
      </c>
      <c r="S29" s="26" t="e">
        <f>NA()</f>
        <v>#N/A</v>
      </c>
      <c r="T29" s="26" t="e">
        <f>IF($B29="",NA(),-N(IF(Filter!$L$9="Woche",INDEX(KW!$H$6:$H$237,$B29),INDEX(Verlauf!$U$6:$U$1000,$B29))))</f>
        <v>#N/A</v>
      </c>
      <c r="U29" s="26" t="e">
        <f>IF($B29="",NA(),-N(IF(Filter!$L$9="Woche",INDEX(KW!$I$6:$I$237,$B29),INDEX(Verlauf!$V$6:$V$1000,$B29))))</f>
        <v>#N/A</v>
      </c>
      <c r="V29" s="26" t="e">
        <f>IF($B29="",NA(),-N(IF(Filter!$L$9="Woche",INDEX(KW!$J$6:$J$237,$B29),INDEX(Verlauf!$W$6:$W$1000,$B29))))</f>
        <v>#N/A</v>
      </c>
      <c r="W29" s="26" t="e">
        <f>NA()</f>
        <v>#N/A</v>
      </c>
      <c r="X29" s="26" t="e">
        <f>NA()</f>
        <v>#N/A</v>
      </c>
      <c r="Y29" s="26" t="e">
        <f>NA()</f>
        <v>#N/A</v>
      </c>
      <c r="Z29" s="26" t="e">
        <f>NA()</f>
        <v>#N/A</v>
      </c>
      <c r="AA29" s="26" t="e">
        <f>IF($B29="",NA(),SUM(T29:V29))</f>
        <v>#N/A</v>
      </c>
      <c r="AB29" s="26" t="e">
        <f>NA()</f>
        <v>#N/A</v>
      </c>
      <c r="AC29" s="26" t="e">
        <f>NA()</f>
        <v>#N/A</v>
      </c>
      <c r="AD29" s="26" t="str">
        <f>""</f>
        <v/>
      </c>
    </row>
    <row r="30" spans="1:30" x14ac:dyDescent="0.25">
      <c r="A30" s="7" t="str">
        <f>IF(B30="","",$A$9&amp;CHAR(10)&amp;"Delta")</f>
        <v/>
      </c>
      <c r="B30" s="26" t="str">
        <f>IF($B$9="","",$B$9)</f>
        <v/>
      </c>
      <c r="C30" s="26" t="e">
        <f>NA()</f>
        <v>#N/A</v>
      </c>
      <c r="D30" s="26" t="e">
        <f>NA()</f>
        <v>#N/A</v>
      </c>
      <c r="E30" s="26" t="e">
        <f>NA()</f>
        <v>#N/A</v>
      </c>
      <c r="F30" s="26" t="e">
        <f>NA()</f>
        <v>#N/A</v>
      </c>
      <c r="G30" s="26" t="e">
        <f>NA()</f>
        <v>#N/A</v>
      </c>
      <c r="H30" s="26" t="e">
        <f>NA()</f>
        <v>#N/A</v>
      </c>
      <c r="I30" s="26" t="e">
        <f>IF($B30="",NA(),N(IF(Filter!$L$9="Woche",INDEX(KW!$X$6:$X$237,$B30),INDEX(Verlauf!$X$6:$X$1000,$B30)))-N(IF(Filter!$L$9="Woche",INDEX(KW!$D$6:$D$237,$B30),INDEX(Verlauf!$K$6:$K$1000,$B30))))</f>
        <v>#N/A</v>
      </c>
      <c r="J30" s="26" t="e">
        <f>IF($B30="",NA(),N(IF(Filter!$L$9="Woche",INDEX(KW!$Y$6:$Y$237,$B30),INDEX(Verlauf!$Y$6:$Y$1000,$B30)))-N(IF(Filter!$L$9="Woche",INDEX(KW!$E$6:$E$237,$B30),INDEX(Verlauf!$L$6:$L$1000,$B30))))</f>
        <v>#N/A</v>
      </c>
      <c r="K30" s="26" t="e">
        <f>IF($B30="",NA(),N(IF(Filter!$L$9="Woche",INDEX(KW!$Z$6:$Z$237,$B30),INDEX(Verlauf!$Z$6:$Z$1000,$B30)))-N(IF(Filter!$L$9="Woche",INDEX(KW!$F$6:$F$237,$B30),INDEX(Verlauf!$M$6:$M$1000,$B30))))</f>
        <v>#N/A</v>
      </c>
      <c r="L30" s="26" t="e">
        <f>NA()</f>
        <v>#N/A</v>
      </c>
      <c r="M30" s="26" t="e">
        <f>NA()</f>
        <v>#N/A</v>
      </c>
      <c r="N30" s="26" t="e">
        <f>IF($B30="",NA(),IF(SUM(I30:K30)&gt;=0,SUMIF(I30:K30,"&gt;0"),NA()))</f>
        <v>#N/A</v>
      </c>
      <c r="O30" s="26" t="e">
        <f>IF($B30="",NA(),IF(SUM(I30:K30)&lt;0,SUMIF(I30:K30,"&lt;0"),NA()))</f>
        <v>#N/A</v>
      </c>
      <c r="P30" s="26" t="str">
        <f>IF($B30="","",IF(SUM(I30:K30)=0,"±0",IF(SUM(I30:K30)&lt;0,"-","+")&amp;FIXED(ABS(SUM(I30:K30)),0,FALSE)))</f>
        <v/>
      </c>
      <c r="Q30" s="26" t="e">
        <f>NA()</f>
        <v>#N/A</v>
      </c>
      <c r="R30" s="26" t="e">
        <f>NA()</f>
        <v>#N/A</v>
      </c>
      <c r="S30" s="26" t="e">
        <f>NA()</f>
        <v>#N/A</v>
      </c>
      <c r="T30" s="26" t="e">
        <f>NA()</f>
        <v>#N/A</v>
      </c>
      <c r="U30" s="26" t="e">
        <f>NA()</f>
        <v>#N/A</v>
      </c>
      <c r="V30" s="26" t="e">
        <f>NA()</f>
        <v>#N/A</v>
      </c>
      <c r="W30" s="26" t="e">
        <f>IF($B30="",NA(),N(IF(Filter!$L$9="Woche",INDEX(KW!$AB$6:$AB$237,$B30),INDEX(Verlauf!$AA$6:$AA$1000,$B30)))-N(IF(Filter!$L$9="Woche",INDEX(KW!$H$6:$H$237,$B30),INDEX(Verlauf!$U$6:$U$1000,$B30))))</f>
        <v>#N/A</v>
      </c>
      <c r="X30" s="26" t="e">
        <f>IF($B30="",NA(),N(IF(Filter!$L$9="Woche",INDEX(KW!$AC$6:$AC$237,$B30),INDEX(Verlauf!$AB$6:$AB$1000,$B30)))-N(IF(Filter!$L$9="Woche",INDEX(KW!$I$6:$I$237,$B30),INDEX(Verlauf!$V$6:$V$1000,$B30))))</f>
        <v>#N/A</v>
      </c>
      <c r="Y30" s="26" t="e">
        <f>IF($B30="",NA(),N(IF(Filter!$L$9="Woche",INDEX(KW!$AD$6:$AD$237,$B30),INDEX(Verlauf!$AC$6:$AC$1000,$B30)))-N(IF(Filter!$L$9="Woche",INDEX(KW!$J$6:$J$237,$B30),INDEX(Verlauf!$W$6:$W$1000,$B30))))</f>
        <v>#N/A</v>
      </c>
      <c r="Z30" s="26" t="e">
        <f>NA()</f>
        <v>#N/A</v>
      </c>
      <c r="AA30" s="26" t="e">
        <f>NA()</f>
        <v>#N/A</v>
      </c>
      <c r="AB30" s="26" t="e">
        <f>IF($B30="",NA(),IF(SUM(W30:Y30)&gt;=0,SUMIF(W30:Y30,"&gt;0"),NA()))</f>
        <v>#N/A</v>
      </c>
      <c r="AC30" s="26" t="e">
        <f>IF($B30="",NA(),IF(SUM(W30:Y30)&lt;0,SUMIF(W30:Y30,"&lt;0"),NA()))</f>
        <v>#N/A</v>
      </c>
      <c r="AD30" s="26" t="str">
        <f>IF($B30="","",IF(SUM(W30:Y30)=0,"±0",IF(SUM(W30:Y30)&lt;0,"-","+")&amp;FIXED(ABS(SUM(W30:Y30)),0,FALSE)))</f>
        <v/>
      </c>
    </row>
    <row r="31" spans="1:30" x14ac:dyDescent="0.25">
      <c r="A31" s="7" t="str">
        <f>IF(B31="","",$A$10&amp;CHAR(10)&amp;"Eingänge")</f>
        <v/>
      </c>
      <c r="B31" s="26" t="str">
        <f>IF($B$10="","",$B$10)</f>
        <v/>
      </c>
      <c r="C31" s="26" t="e">
        <f>IF($B31="",NA(),N(IF(Filter!$L$9="Woche",INDEX(KW!$X$6:$X$237,$B31),INDEX(Verlauf!$X$6:$X$1000,$B31))))</f>
        <v>#N/A</v>
      </c>
      <c r="D31" s="26" t="e">
        <f>IF($B31="",NA(),N(IF(Filter!$L$9="Woche",INDEX(KW!$Y$6:$Y$237,$B31),INDEX(Verlauf!$Y$6:$Y$1000,$B31))))</f>
        <v>#N/A</v>
      </c>
      <c r="E31" s="26" t="e">
        <f>IF($B31="",NA(),N(IF(Filter!$L$9="Woche",INDEX(KW!$Z$6:$Z$237,$B31),INDEX(Verlauf!$Z$6:$Z$1000,$B31))))</f>
        <v>#N/A</v>
      </c>
      <c r="F31" s="26" t="e">
        <f>NA()</f>
        <v>#N/A</v>
      </c>
      <c r="G31" s="26" t="e">
        <f>NA()</f>
        <v>#N/A</v>
      </c>
      <c r="H31" s="26" t="e">
        <f>NA()</f>
        <v>#N/A</v>
      </c>
      <c r="I31" s="26" t="e">
        <f>NA()</f>
        <v>#N/A</v>
      </c>
      <c r="J31" s="26" t="e">
        <f>NA()</f>
        <v>#N/A</v>
      </c>
      <c r="K31" s="26" t="e">
        <f>NA()</f>
        <v>#N/A</v>
      </c>
      <c r="L31" s="26" t="e">
        <f>IF($B31="",NA(),SUM(C31:E31))</f>
        <v>#N/A</v>
      </c>
      <c r="M31" s="26" t="e">
        <f>NA()</f>
        <v>#N/A</v>
      </c>
      <c r="N31" s="26" t="e">
        <f>NA()</f>
        <v>#N/A</v>
      </c>
      <c r="O31" s="26" t="e">
        <f>NA()</f>
        <v>#N/A</v>
      </c>
      <c r="P31" s="26" t="str">
        <f>""</f>
        <v/>
      </c>
      <c r="Q31" s="26" t="e">
        <f>IF($B31="",NA(),N(IF(Filter!$L$9="Woche",INDEX(KW!$AB$6:$AB$237,$B31),INDEX(Verlauf!$AA$6:$AA$1000,$B31))))</f>
        <v>#N/A</v>
      </c>
      <c r="R31" s="26" t="e">
        <f>IF($B31="",NA(),N(IF(Filter!$L$9="Woche",INDEX(KW!$AC$6:$AC$237,$B31),INDEX(Verlauf!$AB$6:$AB$1000,$B31))))</f>
        <v>#N/A</v>
      </c>
      <c r="S31" s="26" t="e">
        <f>IF($B31="",NA(),N(IF(Filter!$L$9="Woche",INDEX(KW!$AD$6:$AD$237,$B31),INDEX(Verlauf!$AC$6:$AC$1000,$B31))))</f>
        <v>#N/A</v>
      </c>
      <c r="T31" s="26" t="e">
        <f>NA()</f>
        <v>#N/A</v>
      </c>
      <c r="U31" s="26" t="e">
        <f>NA()</f>
        <v>#N/A</v>
      </c>
      <c r="V31" s="26" t="e">
        <f>NA()</f>
        <v>#N/A</v>
      </c>
      <c r="W31" s="26" t="e">
        <f>NA()</f>
        <v>#N/A</v>
      </c>
      <c r="X31" s="26" t="e">
        <f>NA()</f>
        <v>#N/A</v>
      </c>
      <c r="Y31" s="26" t="e">
        <f>NA()</f>
        <v>#N/A</v>
      </c>
      <c r="Z31" s="26" t="e">
        <f>IF($B31="",NA(),SUM(Q31:S31))</f>
        <v>#N/A</v>
      </c>
      <c r="AA31" s="26" t="e">
        <f>NA()</f>
        <v>#N/A</v>
      </c>
      <c r="AB31" s="26" t="e">
        <f>NA()</f>
        <v>#N/A</v>
      </c>
      <c r="AC31" s="26" t="e">
        <f>NA()</f>
        <v>#N/A</v>
      </c>
      <c r="AD31" s="26" t="str">
        <f>""</f>
        <v/>
      </c>
    </row>
    <row r="32" spans="1:30" x14ac:dyDescent="0.25">
      <c r="A32" s="7" t="str">
        <f>IF(B32="","",$A$10&amp;CHAR(10)&amp;"Abgänge")</f>
        <v/>
      </c>
      <c r="B32" s="26" t="str">
        <f>IF($B$10="","",$B$10)</f>
        <v/>
      </c>
      <c r="C32" s="26" t="e">
        <f>NA()</f>
        <v>#N/A</v>
      </c>
      <c r="D32" s="26" t="e">
        <f>NA()</f>
        <v>#N/A</v>
      </c>
      <c r="E32" s="26" t="e">
        <f>NA()</f>
        <v>#N/A</v>
      </c>
      <c r="F32" s="26" t="e">
        <f>IF($B32="",NA(),-N(IF(Filter!$L$9="Woche",INDEX(KW!$D$6:$D$237,$B32),INDEX(Verlauf!$K$6:$K$1000,$B32))))</f>
        <v>#N/A</v>
      </c>
      <c r="G32" s="26" t="e">
        <f>IF($B32="",NA(),-N(IF(Filter!$L$9="Woche",INDEX(KW!$E$6:$E$237,$B32),INDEX(Verlauf!$L$6:$L$1000,$B32))))</f>
        <v>#N/A</v>
      </c>
      <c r="H32" s="26" t="e">
        <f>IF($B32="",NA(),-N(IF(Filter!$L$9="Woche",INDEX(KW!$F$6:$F$237,$B32),INDEX(Verlauf!$M$6:$M$1000,$B32))))</f>
        <v>#N/A</v>
      </c>
      <c r="I32" s="26" t="e">
        <f>NA()</f>
        <v>#N/A</v>
      </c>
      <c r="J32" s="26" t="e">
        <f>NA()</f>
        <v>#N/A</v>
      </c>
      <c r="K32" s="26" t="e">
        <f>NA()</f>
        <v>#N/A</v>
      </c>
      <c r="L32" s="26" t="e">
        <f>NA()</f>
        <v>#N/A</v>
      </c>
      <c r="M32" s="26" t="e">
        <f>IF($B32="",NA(),SUM(F32:H32))</f>
        <v>#N/A</v>
      </c>
      <c r="N32" s="26" t="e">
        <f>NA()</f>
        <v>#N/A</v>
      </c>
      <c r="O32" s="26" t="e">
        <f>NA()</f>
        <v>#N/A</v>
      </c>
      <c r="P32" s="26" t="str">
        <f>""</f>
        <v/>
      </c>
      <c r="Q32" s="26" t="e">
        <f>NA()</f>
        <v>#N/A</v>
      </c>
      <c r="R32" s="26" t="e">
        <f>NA()</f>
        <v>#N/A</v>
      </c>
      <c r="S32" s="26" t="e">
        <f>NA()</f>
        <v>#N/A</v>
      </c>
      <c r="T32" s="26" t="e">
        <f>IF($B32="",NA(),-N(IF(Filter!$L$9="Woche",INDEX(KW!$H$6:$H$237,$B32),INDEX(Verlauf!$U$6:$U$1000,$B32))))</f>
        <v>#N/A</v>
      </c>
      <c r="U32" s="26" t="e">
        <f>IF($B32="",NA(),-N(IF(Filter!$L$9="Woche",INDEX(KW!$I$6:$I$237,$B32),INDEX(Verlauf!$V$6:$V$1000,$B32))))</f>
        <v>#N/A</v>
      </c>
      <c r="V32" s="26" t="e">
        <f>IF($B32="",NA(),-N(IF(Filter!$L$9="Woche",INDEX(KW!$J$6:$J$237,$B32),INDEX(Verlauf!$W$6:$W$1000,$B32))))</f>
        <v>#N/A</v>
      </c>
      <c r="W32" s="26" t="e">
        <f>NA()</f>
        <v>#N/A</v>
      </c>
      <c r="X32" s="26" t="e">
        <f>NA()</f>
        <v>#N/A</v>
      </c>
      <c r="Y32" s="26" t="e">
        <f>NA()</f>
        <v>#N/A</v>
      </c>
      <c r="Z32" s="26" t="e">
        <f>NA()</f>
        <v>#N/A</v>
      </c>
      <c r="AA32" s="26" t="e">
        <f>IF($B32="",NA(),SUM(T32:V32))</f>
        <v>#N/A</v>
      </c>
      <c r="AB32" s="26" t="e">
        <f>NA()</f>
        <v>#N/A</v>
      </c>
      <c r="AC32" s="26" t="e">
        <f>NA()</f>
        <v>#N/A</v>
      </c>
      <c r="AD32" s="26" t="str">
        <f>""</f>
        <v/>
      </c>
    </row>
    <row r="33" spans="1:30" x14ac:dyDescent="0.25">
      <c r="A33" s="7" t="str">
        <f>IF(B33="","",$A$10&amp;CHAR(10)&amp;"Delta")</f>
        <v/>
      </c>
      <c r="B33" s="26" t="str">
        <f>IF($B$10="","",$B$10)</f>
        <v/>
      </c>
      <c r="C33" s="26" t="e">
        <f>NA()</f>
        <v>#N/A</v>
      </c>
      <c r="D33" s="26" t="e">
        <f>NA()</f>
        <v>#N/A</v>
      </c>
      <c r="E33" s="26" t="e">
        <f>NA()</f>
        <v>#N/A</v>
      </c>
      <c r="F33" s="26" t="e">
        <f>NA()</f>
        <v>#N/A</v>
      </c>
      <c r="G33" s="26" t="e">
        <f>NA()</f>
        <v>#N/A</v>
      </c>
      <c r="H33" s="26" t="e">
        <f>NA()</f>
        <v>#N/A</v>
      </c>
      <c r="I33" s="26" t="e">
        <f>IF($B33="",NA(),N(IF(Filter!$L$9="Woche",INDEX(KW!$X$6:$X$237,$B33),INDEX(Verlauf!$X$6:$X$1000,$B33)))-N(IF(Filter!$L$9="Woche",INDEX(KW!$D$6:$D$237,$B33),INDEX(Verlauf!$K$6:$K$1000,$B33))))</f>
        <v>#N/A</v>
      </c>
      <c r="J33" s="26" t="e">
        <f>IF($B33="",NA(),N(IF(Filter!$L$9="Woche",INDEX(KW!$Y$6:$Y$237,$B33),INDEX(Verlauf!$Y$6:$Y$1000,$B33)))-N(IF(Filter!$L$9="Woche",INDEX(KW!$E$6:$E$237,$B33),INDEX(Verlauf!$L$6:$L$1000,$B33))))</f>
        <v>#N/A</v>
      </c>
      <c r="K33" s="26" t="e">
        <f>IF($B33="",NA(),N(IF(Filter!$L$9="Woche",INDEX(KW!$Z$6:$Z$237,$B33),INDEX(Verlauf!$Z$6:$Z$1000,$B33)))-N(IF(Filter!$L$9="Woche",INDEX(KW!$F$6:$F$237,$B33),INDEX(Verlauf!$M$6:$M$1000,$B33))))</f>
        <v>#N/A</v>
      </c>
      <c r="L33" s="26" t="e">
        <f>NA()</f>
        <v>#N/A</v>
      </c>
      <c r="M33" s="26" t="e">
        <f>NA()</f>
        <v>#N/A</v>
      </c>
      <c r="N33" s="26" t="e">
        <f>IF($B33="",NA(),IF(SUM(I33:K33)&gt;=0,SUMIF(I33:K33,"&gt;0"),NA()))</f>
        <v>#N/A</v>
      </c>
      <c r="O33" s="26" t="e">
        <f>IF($B33="",NA(),IF(SUM(I33:K33)&lt;0,SUMIF(I33:K33,"&lt;0"),NA()))</f>
        <v>#N/A</v>
      </c>
      <c r="P33" s="26" t="str">
        <f>IF($B33="","",IF(SUM(I33:K33)=0,"±0",IF(SUM(I33:K33)&lt;0,"-","+")&amp;FIXED(ABS(SUM(I33:K33)),0,FALSE)))</f>
        <v/>
      </c>
      <c r="Q33" s="26" t="e">
        <f>NA()</f>
        <v>#N/A</v>
      </c>
      <c r="R33" s="26" t="e">
        <f>NA()</f>
        <v>#N/A</v>
      </c>
      <c r="S33" s="26" t="e">
        <f>NA()</f>
        <v>#N/A</v>
      </c>
      <c r="T33" s="26" t="e">
        <f>NA()</f>
        <v>#N/A</v>
      </c>
      <c r="U33" s="26" t="e">
        <f>NA()</f>
        <v>#N/A</v>
      </c>
      <c r="V33" s="26" t="e">
        <f>NA()</f>
        <v>#N/A</v>
      </c>
      <c r="W33" s="26" t="e">
        <f>IF($B33="",NA(),N(IF(Filter!$L$9="Woche",INDEX(KW!$AB$6:$AB$237,$B33),INDEX(Verlauf!$AA$6:$AA$1000,$B33)))-N(IF(Filter!$L$9="Woche",INDEX(KW!$H$6:$H$237,$B33),INDEX(Verlauf!$U$6:$U$1000,$B33))))</f>
        <v>#N/A</v>
      </c>
      <c r="X33" s="26" t="e">
        <f>IF($B33="",NA(),N(IF(Filter!$L$9="Woche",INDEX(KW!$AC$6:$AC$237,$B33),INDEX(Verlauf!$AB$6:$AB$1000,$B33)))-N(IF(Filter!$L$9="Woche",INDEX(KW!$I$6:$I$237,$B33),INDEX(Verlauf!$V$6:$V$1000,$B33))))</f>
        <v>#N/A</v>
      </c>
      <c r="Y33" s="26" t="e">
        <f>IF($B33="",NA(),N(IF(Filter!$L$9="Woche",INDEX(KW!$AD$6:$AD$237,$B33),INDEX(Verlauf!$AC$6:$AC$1000,$B33)))-N(IF(Filter!$L$9="Woche",INDEX(KW!$J$6:$J$237,$B33),INDEX(Verlauf!$W$6:$W$1000,$B33))))</f>
        <v>#N/A</v>
      </c>
      <c r="Z33" s="26" t="e">
        <f>NA()</f>
        <v>#N/A</v>
      </c>
      <c r="AA33" s="26" t="e">
        <f>NA()</f>
        <v>#N/A</v>
      </c>
      <c r="AB33" s="26" t="e">
        <f>IF($B33="",NA(),IF(SUM(W33:Y33)&gt;=0,SUMIF(W33:Y33,"&gt;0"),NA()))</f>
        <v>#N/A</v>
      </c>
      <c r="AC33" s="26" t="e">
        <f>IF($B33="",NA(),IF(SUM(W33:Y33)&lt;0,SUMIF(W33:Y33,"&lt;0"),NA()))</f>
        <v>#N/A</v>
      </c>
      <c r="AD33" s="26" t="str">
        <f>IF($B33="","",IF(SUM(W33:Y33)=0,"±0",IF(SUM(W33:Y33)&lt;0,"-","+")&amp;FIXED(ABS(SUM(W33:Y33)),0,FALSE)))</f>
        <v/>
      </c>
    </row>
    <row r="35" spans="1:30" x14ac:dyDescent="0.25">
      <c r="A35" s="2" t="s">
        <v>363</v>
      </c>
    </row>
    <row r="36" spans="1:30" ht="30" customHeight="1" x14ac:dyDescent="0.25">
      <c r="A36" s="25" t="s">
        <v>310</v>
      </c>
      <c r="B36" s="25" t="s">
        <v>311</v>
      </c>
      <c r="C36" s="25" t="s">
        <v>364</v>
      </c>
      <c r="D36" s="25" t="s">
        <v>365</v>
      </c>
      <c r="E36" s="25" t="s">
        <v>366</v>
      </c>
      <c r="F36" s="25" t="s">
        <v>367</v>
      </c>
      <c r="G36" s="25" t="s">
        <v>368</v>
      </c>
      <c r="H36" s="25" t="s">
        <v>369</v>
      </c>
      <c r="I36" s="25" t="s">
        <v>370</v>
      </c>
      <c r="J36" s="25" t="s">
        <v>371</v>
      </c>
      <c r="K36" s="25" t="s">
        <v>372</v>
      </c>
      <c r="L36" s="25" t="s">
        <v>373</v>
      </c>
      <c r="M36" s="25" t="s">
        <v>374</v>
      </c>
      <c r="N36" s="25" t="s">
        <v>375</v>
      </c>
      <c r="O36" s="25" t="s">
        <v>376</v>
      </c>
      <c r="P36" s="25" t="s">
        <v>377</v>
      </c>
      <c r="Q36" s="25" t="s">
        <v>378</v>
      </c>
      <c r="R36" s="25" t="s">
        <v>379</v>
      </c>
      <c r="S36" s="25" t="s">
        <v>380</v>
      </c>
      <c r="T36" s="25" t="s">
        <v>381</v>
      </c>
      <c r="U36" s="25" t="s">
        <v>382</v>
      </c>
      <c r="V36" s="25" t="s">
        <v>383</v>
      </c>
      <c r="W36" s="25" t="s">
        <v>384</v>
      </c>
      <c r="X36" s="25" t="s">
        <v>385</v>
      </c>
      <c r="Y36" s="25" t="s">
        <v>386</v>
      </c>
      <c r="Z36" s="25" t="s">
        <v>387</v>
      </c>
      <c r="AA36" s="25" t="s">
        <v>388</v>
      </c>
      <c r="AB36" s="25" t="s">
        <v>389</v>
      </c>
    </row>
    <row r="37" spans="1:30" x14ac:dyDescent="0.25">
      <c r="A37" s="7" t="str">
        <f>$A$4</f>
        <v/>
      </c>
      <c r="B37" s="26" t="str">
        <f>$B$4</f>
        <v/>
      </c>
      <c r="C37" s="26" t="str">
        <f>IF($B37="","",IF(Filter!$L$13="OPAG",N(IF(Filter!$L$9="Woche",INDEX(KW!$AA$6:$AA$237,$B37),INDEX(Verlauf!$I$6:$I$1000,$B37))),N(IF(Filter!$L$9="Woche",INDEX(KW!$AE$6:$AE$237,$B37),INDEX(Verlauf!$S$6:$S$1000,$B37)))))</f>
        <v/>
      </c>
      <c r="D37" s="26" t="str">
        <f>IF($B37="","",-IF(Filter!$L$13="OPAG",N(IF(Filter!$L$9="Woche",INDEX(KW!$G$6:$G$237,$B37),INDEX(Verlauf!$J$6:$J$1000,$B37))),N(IF(Filter!$L$9="Woche",INDEX(KW!$K$6:$K$237,$B37),INDEX(Verlauf!$T$6:$T$1000,$B37)))))</f>
        <v/>
      </c>
      <c r="E37" s="26" t="e">
        <f t="shared" ref="E37:E43" si="2">IF(C37="",NA(),IF((C37+D37)&lt;0,0,NA()))</f>
        <v>#N/A</v>
      </c>
      <c r="F37" s="26" t="e">
        <f t="shared" ref="F37:F43" si="3">IF(C37="",NA(),IF((C37+D37)&gt;0,0,NA()))</f>
        <v>#N/A</v>
      </c>
      <c r="G37" s="26" t="e">
        <f t="shared" ref="G37:G43" si="4">IF(C37="",NA(),IF((C37+D37)=0,0,NA()))</f>
        <v>#N/A</v>
      </c>
      <c r="H37" s="7" t="str">
        <f t="shared" ref="H37:H43" si="5">IF(C37="","",IF((C37+D37)&gt;0,"+"&amp;FIXED((C37+D37),0),IF((C37+D37)&lt;0,"-"&amp;FIXED(-(C37+D37),0),"±0")))</f>
        <v/>
      </c>
      <c r="I37" s="26" t="str">
        <f>IF($B37="","",IF(Filter!$L$13="OPAG",N(IF(Filter!$L$9="Woche",INDEX(KW!$X$6:$X$237,$B37),INDEX(Verlauf!$X$6:$X$1000,$B37))),N(IF(Filter!$L$9="Woche",INDEX(KW!$AB$6:$AB$237,$B37),INDEX(Verlauf!$AA$6:$AA$1000,$B37)))))</f>
        <v/>
      </c>
      <c r="J37" s="26" t="str">
        <f>IF($B37="","",-IF(Filter!$L$13="OPAG",N(IF(Filter!$L$9="Woche",INDEX(KW!$D$6:$D$237,$B37),INDEX(Verlauf!$K$6:$K$1000,$B37))),N(IF(Filter!$L$9="Woche",INDEX(KW!$H$6:$H$237,$B37),INDEX(Verlauf!$U$6:$U$1000,$B37)))))</f>
        <v/>
      </c>
      <c r="K37" s="26" t="e">
        <f t="shared" ref="K37:K43" si="6">IF(I37="",NA(),IF((I37+J37)&lt;0,0,NA()))</f>
        <v>#N/A</v>
      </c>
      <c r="L37" s="26" t="e">
        <f t="shared" ref="L37:L43" si="7">IF(I37="",NA(),IF((I37+J37)&gt;0,0,NA()))</f>
        <v>#N/A</v>
      </c>
      <c r="M37" s="26" t="e">
        <f t="shared" ref="M37:M43" si="8">IF(I37="",NA(),IF((I37+J37)=0,0,NA()))</f>
        <v>#N/A</v>
      </c>
      <c r="N37" s="7" t="str">
        <f t="shared" ref="N37:N43" si="9">IF(I37="","",IF((I37+J37)&gt;0,"+"&amp;FIXED((I37+J37),0),IF((I37+J37)&lt;0,"-"&amp;FIXED(-(I37+J37),0),"±0")))</f>
        <v/>
      </c>
      <c r="O37" s="26" t="str">
        <f>IF($B37="","",IF(Filter!$L$13="OPAG",N(IF(Filter!$L$9="Woche",INDEX(KW!$Y$6:$Y$237,$B37),INDEX(Verlauf!$Y$6:$Y$1000,$B37))),N(IF(Filter!$L$9="Woche",INDEX(KW!$AC$6:$AC$237,$B37),INDEX(Verlauf!$AB$6:$AB$1000,$B37)))))</f>
        <v/>
      </c>
      <c r="P37" s="26" t="str">
        <f>IF($B37="","",-IF(Filter!$L$13="OPAG",N(IF(Filter!$L$9="Woche",INDEX(KW!$E$6:$E$237,$B37),INDEX(Verlauf!$L$6:$L$1000,$B37))),N(IF(Filter!$L$9="Woche",INDEX(KW!$I$6:$I$237,$B37),INDEX(Verlauf!$V$6:$V$1000,$B37)))))</f>
        <v/>
      </c>
      <c r="Q37" s="26" t="e">
        <f t="shared" ref="Q37:Q43" si="10">IF(O37="",NA(),IF((O37+P37)&lt;0,0,NA()))</f>
        <v>#N/A</v>
      </c>
      <c r="R37" s="26" t="e">
        <f t="shared" ref="R37:R43" si="11">IF(O37="",NA(),IF((O37+P37)&gt;0,0,NA()))</f>
        <v>#N/A</v>
      </c>
      <c r="S37" s="26" t="e">
        <f t="shared" ref="S37:S43" si="12">IF(O37="",NA(),IF((O37+P37)=0,0,NA()))</f>
        <v>#N/A</v>
      </c>
      <c r="T37" s="7" t="str">
        <f t="shared" ref="T37:T43" si="13">IF(O37="","",IF((O37+P37)&gt;0,"+"&amp;FIXED((O37+P37),0),IF((O37+P37)&lt;0,"-"&amp;FIXED(-(O37+P37),0),"±0")))</f>
        <v/>
      </c>
      <c r="U37" s="26" t="str">
        <f>IF($B37="","",IF(Filter!$L$13="OPAG",N(IF(Filter!$L$9="Woche",INDEX(KW!$Z$6:$Z$237,$B37),INDEX(Verlauf!$Z$6:$Z$1000,$B37))),N(IF(Filter!$L$9="Woche",INDEX(KW!$AD$6:$AD$237,$B37),INDEX(Verlauf!$AC$6:$AC$1000,$B37)))))</f>
        <v/>
      </c>
      <c r="V37" s="26" t="str">
        <f>IF($B37="","",-IF(Filter!$L$13="OPAG",N(IF(Filter!$L$9="Woche",INDEX(KW!$F$6:$F$237,$B37),INDEX(Verlauf!$M$6:$M$1000,$B37))),N(IF(Filter!$L$9="Woche",INDEX(KW!$J$6:$J$237,$B37),INDEX(Verlauf!$W$6:$W$1000,$B37)))))</f>
        <v/>
      </c>
      <c r="W37" s="26" t="e">
        <f t="shared" ref="W37:W43" si="14">IF(U37="",NA(),IF((U37+V37)&lt;0,0,NA()))</f>
        <v>#N/A</v>
      </c>
      <c r="X37" s="26" t="e">
        <f t="shared" ref="X37:X43" si="15">IF(U37="",NA(),IF((U37+V37)&gt;0,0,NA()))</f>
        <v>#N/A</v>
      </c>
      <c r="Y37" s="26" t="e">
        <f t="shared" ref="Y37:Y43" si="16">IF(U37="",NA(),IF((U37+V37)=0,0,NA()))</f>
        <v>#N/A</v>
      </c>
      <c r="Z37" s="7" t="str">
        <f t="shared" ref="Z37:Z43" si="17">IF(U37="","",IF((U37+V37)&gt;0,"+"&amp;FIXED((U37+V37),0),IF((U37+V37)&lt;0,"-"&amp;FIXED(-(U37+V37),0),"±0")))</f>
        <v/>
      </c>
      <c r="AA37" s="26" t="e">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#N/A</v>
      </c>
      <c r="AB37" s="26" t="e">
        <f>IF(MAX(IFERROR(_xlfn.AGGREGATE(4,6,$C$37:$C$43),0),IFERROR(-_xlfn.AGGREGATE(5,6,$D$37:$D$43),0))&gt;0,MAX(IFERROR(_xlfn.AGGREGATE(4,6,$C$37:$C$43),0),IFERROR(-_xlfn.AGGREGATE(5,6,$D$37:$D$43),0))*1.3,NA())</f>
        <v>#N/A</v>
      </c>
    </row>
    <row r="38" spans="1:30" x14ac:dyDescent="0.25">
      <c r="A38" s="7" t="str">
        <f>$A$5</f>
        <v/>
      </c>
      <c r="B38" s="26" t="str">
        <f>$B$5</f>
        <v/>
      </c>
      <c r="C38" s="26" t="str">
        <f>IF($B38="","",IF(Filter!$L$13="OPAG",N(IF(Filter!$L$9="Woche",INDEX(KW!$AA$6:$AA$237,$B38),INDEX(Verlauf!$I$6:$I$1000,$B38))),N(IF(Filter!$L$9="Woche",INDEX(KW!$AE$6:$AE$237,$B38),INDEX(Verlauf!$S$6:$S$1000,$B38)))))</f>
        <v/>
      </c>
      <c r="D38" s="26" t="str">
        <f>IF($B38="","",-IF(Filter!$L$13="OPAG",N(IF(Filter!$L$9="Woche",INDEX(KW!$G$6:$G$237,$B38),INDEX(Verlauf!$J$6:$J$1000,$B38))),N(IF(Filter!$L$9="Woche",INDEX(KW!$K$6:$K$237,$B38),INDEX(Verlauf!$T$6:$T$1000,$B38)))))</f>
        <v/>
      </c>
      <c r="E38" s="26" t="e">
        <f t="shared" si="2"/>
        <v>#N/A</v>
      </c>
      <c r="F38" s="26" t="e">
        <f t="shared" si="3"/>
        <v>#N/A</v>
      </c>
      <c r="G38" s="26" t="e">
        <f t="shared" si="4"/>
        <v>#N/A</v>
      </c>
      <c r="H38" s="7" t="str">
        <f t="shared" si="5"/>
        <v/>
      </c>
      <c r="I38" s="26" t="str">
        <f>IF($B38="","",IF(Filter!$L$13="OPAG",N(IF(Filter!$L$9="Woche",INDEX(KW!$X$6:$X$237,$B38),INDEX(Verlauf!$X$6:$X$1000,$B38))),N(IF(Filter!$L$9="Woche",INDEX(KW!$AB$6:$AB$237,$B38),INDEX(Verlauf!$AA$6:$AA$1000,$B38)))))</f>
        <v/>
      </c>
      <c r="J38" s="26" t="str">
        <f>IF($B38="","",-IF(Filter!$L$13="OPAG",N(IF(Filter!$L$9="Woche",INDEX(KW!$D$6:$D$237,$B38),INDEX(Verlauf!$K$6:$K$1000,$B38))),N(IF(Filter!$L$9="Woche",INDEX(KW!$H$6:$H$237,$B38),INDEX(Verlauf!$U$6:$U$1000,$B38)))))</f>
        <v/>
      </c>
      <c r="K38" s="26" t="e">
        <f t="shared" si="6"/>
        <v>#N/A</v>
      </c>
      <c r="L38" s="26" t="e">
        <f t="shared" si="7"/>
        <v>#N/A</v>
      </c>
      <c r="M38" s="26" t="e">
        <f t="shared" si="8"/>
        <v>#N/A</v>
      </c>
      <c r="N38" s="7" t="str">
        <f t="shared" si="9"/>
        <v/>
      </c>
      <c r="O38" s="26" t="str">
        <f>IF($B38="","",IF(Filter!$L$13="OPAG",N(IF(Filter!$L$9="Woche",INDEX(KW!$Y$6:$Y$237,$B38),INDEX(Verlauf!$Y$6:$Y$1000,$B38))),N(IF(Filter!$L$9="Woche",INDEX(KW!$AC$6:$AC$237,$B38),INDEX(Verlauf!$AB$6:$AB$1000,$B38)))))</f>
        <v/>
      </c>
      <c r="P38" s="26" t="str">
        <f>IF($B38="","",-IF(Filter!$L$13="OPAG",N(IF(Filter!$L$9="Woche",INDEX(KW!$E$6:$E$237,$B38),INDEX(Verlauf!$L$6:$L$1000,$B38))),N(IF(Filter!$L$9="Woche",INDEX(KW!$I$6:$I$237,$B38),INDEX(Verlauf!$V$6:$V$1000,$B38)))))</f>
        <v/>
      </c>
      <c r="Q38" s="26" t="e">
        <f t="shared" si="10"/>
        <v>#N/A</v>
      </c>
      <c r="R38" s="26" t="e">
        <f t="shared" si="11"/>
        <v>#N/A</v>
      </c>
      <c r="S38" s="26" t="e">
        <f t="shared" si="12"/>
        <v>#N/A</v>
      </c>
      <c r="T38" s="7" t="str">
        <f t="shared" si="13"/>
        <v/>
      </c>
      <c r="U38" s="26" t="str">
        <f>IF($B38="","",IF(Filter!$L$13="OPAG",N(IF(Filter!$L$9="Woche",INDEX(KW!$Z$6:$Z$237,$B38),INDEX(Verlauf!$Z$6:$Z$1000,$B38))),N(IF(Filter!$L$9="Woche",INDEX(KW!$AD$6:$AD$237,$B38),INDEX(Verlauf!$AC$6:$AC$1000,$B38)))))</f>
        <v/>
      </c>
      <c r="V38" s="26" t="str">
        <f>IF($B38="","",-IF(Filter!$L$13="OPAG",N(IF(Filter!$L$9="Woche",INDEX(KW!$F$6:$F$237,$B38),INDEX(Verlauf!$M$6:$M$1000,$B38))),N(IF(Filter!$L$9="Woche",INDEX(KW!$J$6:$J$237,$B38),INDEX(Verlauf!$W$6:$W$1000,$B38)))))</f>
        <v/>
      </c>
      <c r="W38" s="26" t="e">
        <f t="shared" si="14"/>
        <v>#N/A</v>
      </c>
      <c r="X38" s="26" t="e">
        <f t="shared" si="15"/>
        <v>#N/A</v>
      </c>
      <c r="Y38" s="26" t="e">
        <f t="shared" si="16"/>
        <v>#N/A</v>
      </c>
      <c r="Z38" s="7" t="str">
        <f t="shared" si="17"/>
        <v/>
      </c>
      <c r="AA38" s="26" t="e">
        <f>IF(MAX(MAX(IFERROR(_xlfn.AGGREGATE(4,6,$I$37:$I$43),0),IFERROR(-_xlfn.AGGREGATE(5,6,$J$37:$J$43),0)),MAX(IFERROR(_xlfn.AGGREGATE(4,6,$O$37:$O$43),0),IFERROR(-_xlfn.AGGREGATE(5,6,$P$37:$P$43),0)),MAX(IFERROR(_xlfn.AGGREGATE(4,6,$U$37:$U$43),0),IFERROR(-_xlfn.AGGREGATE(5,6,$V$37:$V$43),0)))&gt;0,-MAX(MAX(IFERROR(_xlfn.AGGREGATE(4,6,$I$37:$I$43),0),IFERROR(-_xlfn.AGGREGATE(5,6,$J$37:$J$43),0)),MAX(IFERROR(_xlfn.AGGREGATE(4,6,$O$37:$O$43),0),IFERROR(-_xlfn.AGGREGATE(5,6,$P$37:$P$43),0)),MAX(IFERROR(_xlfn.AGGREGATE(4,6,$U$37:$U$43),0),IFERROR(-_xlfn.AGGREGATE(5,6,$V$37:$V$43),0)))*1.3,NA())</f>
        <v>#N/A</v>
      </c>
      <c r="AB38" s="26" t="e">
        <f>IF(MAX(IFERROR(_xlfn.AGGREGATE(4,6,$C$37:$C$43),0),IFERROR(-_xlfn.AGGREGATE(5,6,$D$37:$D$43),0))&gt;0,-MAX(IFERROR(_xlfn.AGGREGATE(4,6,$C$37:$C$43),0),IFERROR(-_xlfn.AGGREGATE(5,6,$D$37:$D$43),0))*1.3,NA())</f>
        <v>#N/A</v>
      </c>
    </row>
    <row r="39" spans="1:30" x14ac:dyDescent="0.25">
      <c r="A39" s="7" t="str">
        <f>$A$6</f>
        <v/>
      </c>
      <c r="B39" s="26" t="str">
        <f>$B$6</f>
        <v/>
      </c>
      <c r="C39" s="26" t="str">
        <f>IF($B39="","",IF(Filter!$L$13="OPAG",N(IF(Filter!$L$9="Woche",INDEX(KW!$AA$6:$AA$237,$B39),INDEX(Verlauf!$I$6:$I$1000,$B39))),N(IF(Filter!$L$9="Woche",INDEX(KW!$AE$6:$AE$237,$B39),INDEX(Verlauf!$S$6:$S$1000,$B39)))))</f>
        <v/>
      </c>
      <c r="D39" s="26" t="str">
        <f>IF($B39="","",-IF(Filter!$L$13="OPAG",N(IF(Filter!$L$9="Woche",INDEX(KW!$G$6:$G$237,$B39),INDEX(Verlauf!$J$6:$J$1000,$B39))),N(IF(Filter!$L$9="Woche",INDEX(KW!$K$6:$K$237,$B39),INDEX(Verlauf!$T$6:$T$1000,$B39)))))</f>
        <v/>
      </c>
      <c r="E39" s="26" t="e">
        <f t="shared" si="2"/>
        <v>#N/A</v>
      </c>
      <c r="F39" s="26" t="e">
        <f t="shared" si="3"/>
        <v>#N/A</v>
      </c>
      <c r="G39" s="26" t="e">
        <f t="shared" si="4"/>
        <v>#N/A</v>
      </c>
      <c r="H39" s="7" t="str">
        <f t="shared" si="5"/>
        <v/>
      </c>
      <c r="I39" s="26" t="str">
        <f>IF($B39="","",IF(Filter!$L$13="OPAG",N(IF(Filter!$L$9="Woche",INDEX(KW!$X$6:$X$237,$B39),INDEX(Verlauf!$X$6:$X$1000,$B39))),N(IF(Filter!$L$9="Woche",INDEX(KW!$AB$6:$AB$237,$B39),INDEX(Verlauf!$AA$6:$AA$1000,$B39)))))</f>
        <v/>
      </c>
      <c r="J39" s="26" t="str">
        <f>IF($B39="","",-IF(Filter!$L$13="OPAG",N(IF(Filter!$L$9="Woche",INDEX(KW!$D$6:$D$237,$B39),INDEX(Verlauf!$K$6:$K$1000,$B39))),N(IF(Filter!$L$9="Woche",INDEX(KW!$H$6:$H$237,$B39),INDEX(Verlauf!$U$6:$U$1000,$B39)))))</f>
        <v/>
      </c>
      <c r="K39" s="26" t="e">
        <f t="shared" si="6"/>
        <v>#N/A</v>
      </c>
      <c r="L39" s="26" t="e">
        <f t="shared" si="7"/>
        <v>#N/A</v>
      </c>
      <c r="M39" s="26" t="e">
        <f t="shared" si="8"/>
        <v>#N/A</v>
      </c>
      <c r="N39" s="7" t="str">
        <f t="shared" si="9"/>
        <v/>
      </c>
      <c r="O39" s="26" t="str">
        <f>IF($B39="","",IF(Filter!$L$13="OPAG",N(IF(Filter!$L$9="Woche",INDEX(KW!$Y$6:$Y$237,$B39),INDEX(Verlauf!$Y$6:$Y$1000,$B39))),N(IF(Filter!$L$9="Woche",INDEX(KW!$AC$6:$AC$237,$B39),INDEX(Verlauf!$AB$6:$AB$1000,$B39)))))</f>
        <v/>
      </c>
      <c r="P39" s="26" t="str">
        <f>IF($B39="","",-IF(Filter!$L$13="OPAG",N(IF(Filter!$L$9="Woche",INDEX(KW!$E$6:$E$237,$B39),INDEX(Verlauf!$L$6:$L$1000,$B39))),N(IF(Filter!$L$9="Woche",INDEX(KW!$I$6:$I$237,$B39),INDEX(Verlauf!$V$6:$V$1000,$B39)))))</f>
        <v/>
      </c>
      <c r="Q39" s="26" t="e">
        <f t="shared" si="10"/>
        <v>#N/A</v>
      </c>
      <c r="R39" s="26" t="e">
        <f t="shared" si="11"/>
        <v>#N/A</v>
      </c>
      <c r="S39" s="26" t="e">
        <f t="shared" si="12"/>
        <v>#N/A</v>
      </c>
      <c r="T39" s="7" t="str">
        <f t="shared" si="13"/>
        <v/>
      </c>
      <c r="U39" s="26" t="str">
        <f>IF($B39="","",IF(Filter!$L$13="OPAG",N(IF(Filter!$L$9="Woche",INDEX(KW!$Z$6:$Z$237,$B39),INDEX(Verlauf!$Z$6:$Z$1000,$B39))),N(IF(Filter!$L$9="Woche",INDEX(KW!$AD$6:$AD$237,$B39),INDEX(Verlauf!$AC$6:$AC$1000,$B39)))))</f>
        <v/>
      </c>
      <c r="V39" s="26" t="str">
        <f>IF($B39="","",-IF(Filter!$L$13="OPAG",N(IF(Filter!$L$9="Woche",INDEX(KW!$F$6:$F$237,$B39),INDEX(Verlauf!$M$6:$M$1000,$B39))),N(IF(Filter!$L$9="Woche",INDEX(KW!$J$6:$J$237,$B39),INDEX(Verlauf!$W$6:$W$1000,$B39)))))</f>
        <v/>
      </c>
      <c r="W39" s="26" t="e">
        <f t="shared" si="14"/>
        <v>#N/A</v>
      </c>
      <c r="X39" s="26" t="e">
        <f t="shared" si="15"/>
        <v>#N/A</v>
      </c>
      <c r="Y39" s="26" t="e">
        <f t="shared" si="16"/>
        <v>#N/A</v>
      </c>
      <c r="Z39" s="7" t="str">
        <f t="shared" si="17"/>
        <v/>
      </c>
      <c r="AA39" s="26" t="e">
        <f>NA()</f>
        <v>#N/A</v>
      </c>
      <c r="AB39" s="26" t="e">
        <f>NA()</f>
        <v>#N/A</v>
      </c>
    </row>
    <row r="40" spans="1:30" x14ac:dyDescent="0.25">
      <c r="A40" s="7" t="str">
        <f>$A$7</f>
        <v/>
      </c>
      <c r="B40" s="26" t="str">
        <f>$B$7</f>
        <v/>
      </c>
      <c r="C40" s="26" t="str">
        <f>IF($B40="","",IF(Filter!$L$13="OPAG",N(IF(Filter!$L$9="Woche",INDEX(KW!$AA$6:$AA$237,$B40),INDEX(Verlauf!$I$6:$I$1000,$B40))),N(IF(Filter!$L$9="Woche",INDEX(KW!$AE$6:$AE$237,$B40),INDEX(Verlauf!$S$6:$S$1000,$B40)))))</f>
        <v/>
      </c>
      <c r="D40" s="26" t="str">
        <f>IF($B40="","",-IF(Filter!$L$13="OPAG",N(IF(Filter!$L$9="Woche",INDEX(KW!$G$6:$G$237,$B40),INDEX(Verlauf!$J$6:$J$1000,$B40))),N(IF(Filter!$L$9="Woche",INDEX(KW!$K$6:$K$237,$B40),INDEX(Verlauf!$T$6:$T$1000,$B40)))))</f>
        <v/>
      </c>
      <c r="E40" s="26" t="e">
        <f t="shared" si="2"/>
        <v>#N/A</v>
      </c>
      <c r="F40" s="26" t="e">
        <f t="shared" si="3"/>
        <v>#N/A</v>
      </c>
      <c r="G40" s="26" t="e">
        <f t="shared" si="4"/>
        <v>#N/A</v>
      </c>
      <c r="H40" s="7" t="str">
        <f t="shared" si="5"/>
        <v/>
      </c>
      <c r="I40" s="26" t="str">
        <f>IF($B40="","",IF(Filter!$L$13="OPAG",N(IF(Filter!$L$9="Woche",INDEX(KW!$X$6:$X$237,$B40),INDEX(Verlauf!$X$6:$X$1000,$B40))),N(IF(Filter!$L$9="Woche",INDEX(KW!$AB$6:$AB$237,$B40),INDEX(Verlauf!$AA$6:$AA$1000,$B40)))))</f>
        <v/>
      </c>
      <c r="J40" s="26" t="str">
        <f>IF($B40="","",-IF(Filter!$L$13="OPAG",N(IF(Filter!$L$9="Woche",INDEX(KW!$D$6:$D$237,$B40),INDEX(Verlauf!$K$6:$K$1000,$B40))),N(IF(Filter!$L$9="Woche",INDEX(KW!$H$6:$H$237,$B40),INDEX(Verlauf!$U$6:$U$1000,$B40)))))</f>
        <v/>
      </c>
      <c r="K40" s="26" t="e">
        <f t="shared" si="6"/>
        <v>#N/A</v>
      </c>
      <c r="L40" s="26" t="e">
        <f t="shared" si="7"/>
        <v>#N/A</v>
      </c>
      <c r="M40" s="26" t="e">
        <f t="shared" si="8"/>
        <v>#N/A</v>
      </c>
      <c r="N40" s="7" t="str">
        <f t="shared" si="9"/>
        <v/>
      </c>
      <c r="O40" s="26" t="str">
        <f>IF($B40="","",IF(Filter!$L$13="OPAG",N(IF(Filter!$L$9="Woche",INDEX(KW!$Y$6:$Y$237,$B40),INDEX(Verlauf!$Y$6:$Y$1000,$B40))),N(IF(Filter!$L$9="Woche",INDEX(KW!$AC$6:$AC$237,$B40),INDEX(Verlauf!$AB$6:$AB$1000,$B40)))))</f>
        <v/>
      </c>
      <c r="P40" s="26" t="str">
        <f>IF($B40="","",-IF(Filter!$L$13="OPAG",N(IF(Filter!$L$9="Woche",INDEX(KW!$E$6:$E$237,$B40),INDEX(Verlauf!$L$6:$L$1000,$B40))),N(IF(Filter!$L$9="Woche",INDEX(KW!$I$6:$I$237,$B40),INDEX(Verlauf!$V$6:$V$1000,$B40)))))</f>
        <v/>
      </c>
      <c r="Q40" s="26" t="e">
        <f t="shared" si="10"/>
        <v>#N/A</v>
      </c>
      <c r="R40" s="26" t="e">
        <f t="shared" si="11"/>
        <v>#N/A</v>
      </c>
      <c r="S40" s="26" t="e">
        <f t="shared" si="12"/>
        <v>#N/A</v>
      </c>
      <c r="T40" s="7" t="str">
        <f t="shared" si="13"/>
        <v/>
      </c>
      <c r="U40" s="26" t="str">
        <f>IF($B40="","",IF(Filter!$L$13="OPAG",N(IF(Filter!$L$9="Woche",INDEX(KW!$Z$6:$Z$237,$B40),INDEX(Verlauf!$Z$6:$Z$1000,$B40))),N(IF(Filter!$L$9="Woche",INDEX(KW!$AD$6:$AD$237,$B40),INDEX(Verlauf!$AC$6:$AC$1000,$B40)))))</f>
        <v/>
      </c>
      <c r="V40" s="26" t="str">
        <f>IF($B40="","",-IF(Filter!$L$13="OPAG",N(IF(Filter!$L$9="Woche",INDEX(KW!$F$6:$F$237,$B40),INDEX(Verlauf!$M$6:$M$1000,$B40))),N(IF(Filter!$L$9="Woche",INDEX(KW!$J$6:$J$237,$B40),INDEX(Verlauf!$W$6:$W$1000,$B40)))))</f>
        <v/>
      </c>
      <c r="W40" s="26" t="e">
        <f t="shared" si="14"/>
        <v>#N/A</v>
      </c>
      <c r="X40" s="26" t="e">
        <f t="shared" si="15"/>
        <v>#N/A</v>
      </c>
      <c r="Y40" s="26" t="e">
        <f t="shared" si="16"/>
        <v>#N/A</v>
      </c>
      <c r="Z40" s="7" t="str">
        <f t="shared" si="17"/>
        <v/>
      </c>
      <c r="AA40" s="26" t="e">
        <f>NA()</f>
        <v>#N/A</v>
      </c>
      <c r="AB40" s="26" t="e">
        <f>NA()</f>
        <v>#N/A</v>
      </c>
    </row>
    <row r="41" spans="1:30" x14ac:dyDescent="0.25">
      <c r="A41" s="7" t="str">
        <f>$A$8</f>
        <v/>
      </c>
      <c r="B41" s="26" t="str">
        <f>$B$8</f>
        <v/>
      </c>
      <c r="C41" s="26" t="str">
        <f>IF($B41="","",IF(Filter!$L$13="OPAG",N(IF(Filter!$L$9="Woche",INDEX(KW!$AA$6:$AA$237,$B41),INDEX(Verlauf!$I$6:$I$1000,$B41))),N(IF(Filter!$L$9="Woche",INDEX(KW!$AE$6:$AE$237,$B41),INDEX(Verlauf!$S$6:$S$1000,$B41)))))</f>
        <v/>
      </c>
      <c r="D41" s="26" t="str">
        <f>IF($B41="","",-IF(Filter!$L$13="OPAG",N(IF(Filter!$L$9="Woche",INDEX(KW!$G$6:$G$237,$B41),INDEX(Verlauf!$J$6:$J$1000,$B41))),N(IF(Filter!$L$9="Woche",INDEX(KW!$K$6:$K$237,$B41),INDEX(Verlauf!$T$6:$T$1000,$B41)))))</f>
        <v/>
      </c>
      <c r="E41" s="26" t="e">
        <f t="shared" si="2"/>
        <v>#N/A</v>
      </c>
      <c r="F41" s="26" t="e">
        <f t="shared" si="3"/>
        <v>#N/A</v>
      </c>
      <c r="G41" s="26" t="e">
        <f t="shared" si="4"/>
        <v>#N/A</v>
      </c>
      <c r="H41" s="7" t="str">
        <f t="shared" si="5"/>
        <v/>
      </c>
      <c r="I41" s="26" t="str">
        <f>IF($B41="","",IF(Filter!$L$13="OPAG",N(IF(Filter!$L$9="Woche",INDEX(KW!$X$6:$X$237,$B41),INDEX(Verlauf!$X$6:$X$1000,$B41))),N(IF(Filter!$L$9="Woche",INDEX(KW!$AB$6:$AB$237,$B41),INDEX(Verlauf!$AA$6:$AA$1000,$B41)))))</f>
        <v/>
      </c>
      <c r="J41" s="26" t="str">
        <f>IF($B41="","",-IF(Filter!$L$13="OPAG",N(IF(Filter!$L$9="Woche",INDEX(KW!$D$6:$D$237,$B41),INDEX(Verlauf!$K$6:$K$1000,$B41))),N(IF(Filter!$L$9="Woche",INDEX(KW!$H$6:$H$237,$B41),INDEX(Verlauf!$U$6:$U$1000,$B41)))))</f>
        <v/>
      </c>
      <c r="K41" s="26" t="e">
        <f t="shared" si="6"/>
        <v>#N/A</v>
      </c>
      <c r="L41" s="26" t="e">
        <f t="shared" si="7"/>
        <v>#N/A</v>
      </c>
      <c r="M41" s="26" t="e">
        <f t="shared" si="8"/>
        <v>#N/A</v>
      </c>
      <c r="N41" s="7" t="str">
        <f t="shared" si="9"/>
        <v/>
      </c>
      <c r="O41" s="26" t="str">
        <f>IF($B41="","",IF(Filter!$L$13="OPAG",N(IF(Filter!$L$9="Woche",INDEX(KW!$Y$6:$Y$237,$B41),INDEX(Verlauf!$Y$6:$Y$1000,$B41))),N(IF(Filter!$L$9="Woche",INDEX(KW!$AC$6:$AC$237,$B41),INDEX(Verlauf!$AB$6:$AB$1000,$B41)))))</f>
        <v/>
      </c>
      <c r="P41" s="26" t="str">
        <f>IF($B41="","",-IF(Filter!$L$13="OPAG",N(IF(Filter!$L$9="Woche",INDEX(KW!$E$6:$E$237,$B41),INDEX(Verlauf!$L$6:$L$1000,$B41))),N(IF(Filter!$L$9="Woche",INDEX(KW!$I$6:$I$237,$B41),INDEX(Verlauf!$V$6:$V$1000,$B41)))))</f>
        <v/>
      </c>
      <c r="Q41" s="26" t="e">
        <f t="shared" si="10"/>
        <v>#N/A</v>
      </c>
      <c r="R41" s="26" t="e">
        <f t="shared" si="11"/>
        <v>#N/A</v>
      </c>
      <c r="S41" s="26" t="e">
        <f t="shared" si="12"/>
        <v>#N/A</v>
      </c>
      <c r="T41" s="7" t="str">
        <f t="shared" si="13"/>
        <v/>
      </c>
      <c r="U41" s="26" t="str">
        <f>IF($B41="","",IF(Filter!$L$13="OPAG",N(IF(Filter!$L$9="Woche",INDEX(KW!$Z$6:$Z$237,$B41),INDEX(Verlauf!$Z$6:$Z$1000,$B41))),N(IF(Filter!$L$9="Woche",INDEX(KW!$AD$6:$AD$237,$B41),INDEX(Verlauf!$AC$6:$AC$1000,$B41)))))</f>
        <v/>
      </c>
      <c r="V41" s="26" t="str">
        <f>IF($B41="","",-IF(Filter!$L$13="OPAG",N(IF(Filter!$L$9="Woche",INDEX(KW!$F$6:$F$237,$B41),INDEX(Verlauf!$M$6:$M$1000,$B41))),N(IF(Filter!$L$9="Woche",INDEX(KW!$J$6:$J$237,$B41),INDEX(Verlauf!$W$6:$W$1000,$B41)))))</f>
        <v/>
      </c>
      <c r="W41" s="26" t="e">
        <f t="shared" si="14"/>
        <v>#N/A</v>
      </c>
      <c r="X41" s="26" t="e">
        <f t="shared" si="15"/>
        <v>#N/A</v>
      </c>
      <c r="Y41" s="26" t="e">
        <f t="shared" si="16"/>
        <v>#N/A</v>
      </c>
      <c r="Z41" s="7" t="str">
        <f t="shared" si="17"/>
        <v/>
      </c>
      <c r="AA41" s="26" t="e">
        <f>NA()</f>
        <v>#N/A</v>
      </c>
      <c r="AB41" s="26" t="e">
        <f>NA()</f>
        <v>#N/A</v>
      </c>
    </row>
    <row r="42" spans="1:30" x14ac:dyDescent="0.25">
      <c r="A42" s="7" t="str">
        <f>$A$9</f>
        <v/>
      </c>
      <c r="B42" s="26" t="str">
        <f>$B$9</f>
        <v/>
      </c>
      <c r="C42" s="26" t="str">
        <f>IF($B42="","",IF(Filter!$L$13="OPAG",N(IF(Filter!$L$9="Woche",INDEX(KW!$AA$6:$AA$237,$B42),INDEX(Verlauf!$I$6:$I$1000,$B42))),N(IF(Filter!$L$9="Woche",INDEX(KW!$AE$6:$AE$237,$B42),INDEX(Verlauf!$S$6:$S$1000,$B42)))))</f>
        <v/>
      </c>
      <c r="D42" s="26" t="str">
        <f>IF($B42="","",-IF(Filter!$L$13="OPAG",N(IF(Filter!$L$9="Woche",INDEX(KW!$G$6:$G$237,$B42),INDEX(Verlauf!$J$6:$J$1000,$B42))),N(IF(Filter!$L$9="Woche",INDEX(KW!$K$6:$K$237,$B42),INDEX(Verlauf!$T$6:$T$1000,$B42)))))</f>
        <v/>
      </c>
      <c r="E42" s="26" t="e">
        <f t="shared" si="2"/>
        <v>#N/A</v>
      </c>
      <c r="F42" s="26" t="e">
        <f t="shared" si="3"/>
        <v>#N/A</v>
      </c>
      <c r="G42" s="26" t="e">
        <f t="shared" si="4"/>
        <v>#N/A</v>
      </c>
      <c r="H42" s="7" t="str">
        <f t="shared" si="5"/>
        <v/>
      </c>
      <c r="I42" s="26" t="str">
        <f>IF($B42="","",IF(Filter!$L$13="OPAG",N(IF(Filter!$L$9="Woche",INDEX(KW!$X$6:$X$237,$B42),INDEX(Verlauf!$X$6:$X$1000,$B42))),N(IF(Filter!$L$9="Woche",INDEX(KW!$AB$6:$AB$237,$B42),INDEX(Verlauf!$AA$6:$AA$1000,$B42)))))</f>
        <v/>
      </c>
      <c r="J42" s="26" t="str">
        <f>IF($B42="","",-IF(Filter!$L$13="OPAG",N(IF(Filter!$L$9="Woche",INDEX(KW!$D$6:$D$237,$B42),INDEX(Verlauf!$K$6:$K$1000,$B42))),N(IF(Filter!$L$9="Woche",INDEX(KW!$H$6:$H$237,$B42),INDEX(Verlauf!$U$6:$U$1000,$B42)))))</f>
        <v/>
      </c>
      <c r="K42" s="26" t="e">
        <f t="shared" si="6"/>
        <v>#N/A</v>
      </c>
      <c r="L42" s="26" t="e">
        <f t="shared" si="7"/>
        <v>#N/A</v>
      </c>
      <c r="M42" s="26" t="e">
        <f t="shared" si="8"/>
        <v>#N/A</v>
      </c>
      <c r="N42" s="7" t="str">
        <f t="shared" si="9"/>
        <v/>
      </c>
      <c r="O42" s="26" t="str">
        <f>IF($B42="","",IF(Filter!$L$13="OPAG",N(IF(Filter!$L$9="Woche",INDEX(KW!$Y$6:$Y$237,$B42),INDEX(Verlauf!$Y$6:$Y$1000,$B42))),N(IF(Filter!$L$9="Woche",INDEX(KW!$AC$6:$AC$237,$B42),INDEX(Verlauf!$AB$6:$AB$1000,$B42)))))</f>
        <v/>
      </c>
      <c r="P42" s="26" t="str">
        <f>IF($B42="","",-IF(Filter!$L$13="OPAG",N(IF(Filter!$L$9="Woche",INDEX(KW!$E$6:$E$237,$B42),INDEX(Verlauf!$L$6:$L$1000,$B42))),N(IF(Filter!$L$9="Woche",INDEX(KW!$I$6:$I$237,$B42),INDEX(Verlauf!$V$6:$V$1000,$B42)))))</f>
        <v/>
      </c>
      <c r="Q42" s="26" t="e">
        <f t="shared" si="10"/>
        <v>#N/A</v>
      </c>
      <c r="R42" s="26" t="e">
        <f t="shared" si="11"/>
        <v>#N/A</v>
      </c>
      <c r="S42" s="26" t="e">
        <f t="shared" si="12"/>
        <v>#N/A</v>
      </c>
      <c r="T42" s="7" t="str">
        <f t="shared" si="13"/>
        <v/>
      </c>
      <c r="U42" s="26" t="str">
        <f>IF($B42="","",IF(Filter!$L$13="OPAG",N(IF(Filter!$L$9="Woche",INDEX(KW!$Z$6:$Z$237,$B42),INDEX(Verlauf!$Z$6:$Z$1000,$B42))),N(IF(Filter!$L$9="Woche",INDEX(KW!$AD$6:$AD$237,$B42),INDEX(Verlauf!$AC$6:$AC$1000,$B42)))))</f>
        <v/>
      </c>
      <c r="V42" s="26" t="str">
        <f>IF($B42="","",-IF(Filter!$L$13="OPAG",N(IF(Filter!$L$9="Woche",INDEX(KW!$F$6:$F$237,$B42),INDEX(Verlauf!$M$6:$M$1000,$B42))),N(IF(Filter!$L$9="Woche",INDEX(KW!$J$6:$J$237,$B42),INDEX(Verlauf!$W$6:$W$1000,$B42)))))</f>
        <v/>
      </c>
      <c r="W42" s="26" t="e">
        <f t="shared" si="14"/>
        <v>#N/A</v>
      </c>
      <c r="X42" s="26" t="e">
        <f t="shared" si="15"/>
        <v>#N/A</v>
      </c>
      <c r="Y42" s="26" t="e">
        <f t="shared" si="16"/>
        <v>#N/A</v>
      </c>
      <c r="Z42" s="7" t="str">
        <f t="shared" si="17"/>
        <v/>
      </c>
      <c r="AA42" s="26" t="e">
        <f>NA()</f>
        <v>#N/A</v>
      </c>
      <c r="AB42" s="26" t="e">
        <f>NA()</f>
        <v>#N/A</v>
      </c>
    </row>
    <row r="43" spans="1:30" x14ac:dyDescent="0.25">
      <c r="A43" s="7" t="str">
        <f>$A$10</f>
        <v/>
      </c>
      <c r="B43" s="26" t="str">
        <f>$B$10</f>
        <v/>
      </c>
      <c r="C43" s="26" t="str">
        <f>IF($B43="","",IF(Filter!$L$13="OPAG",N(IF(Filter!$L$9="Woche",INDEX(KW!$AA$6:$AA$237,$B43),INDEX(Verlauf!$I$6:$I$1000,$B43))),N(IF(Filter!$L$9="Woche",INDEX(KW!$AE$6:$AE$237,$B43),INDEX(Verlauf!$S$6:$S$1000,$B43)))))</f>
        <v/>
      </c>
      <c r="D43" s="26" t="str">
        <f>IF($B43="","",-IF(Filter!$L$13="OPAG",N(IF(Filter!$L$9="Woche",INDEX(KW!$G$6:$G$237,$B43),INDEX(Verlauf!$J$6:$J$1000,$B43))),N(IF(Filter!$L$9="Woche",INDEX(KW!$K$6:$K$237,$B43),INDEX(Verlauf!$T$6:$T$1000,$B43)))))</f>
        <v/>
      </c>
      <c r="E43" s="26" t="e">
        <f t="shared" si="2"/>
        <v>#N/A</v>
      </c>
      <c r="F43" s="26" t="e">
        <f t="shared" si="3"/>
        <v>#N/A</v>
      </c>
      <c r="G43" s="26" t="e">
        <f t="shared" si="4"/>
        <v>#N/A</v>
      </c>
      <c r="H43" s="7" t="str">
        <f t="shared" si="5"/>
        <v/>
      </c>
      <c r="I43" s="26" t="str">
        <f>IF($B43="","",IF(Filter!$L$13="OPAG",N(IF(Filter!$L$9="Woche",INDEX(KW!$X$6:$X$237,$B43),INDEX(Verlauf!$X$6:$X$1000,$B43))),N(IF(Filter!$L$9="Woche",INDEX(KW!$AB$6:$AB$237,$B43),INDEX(Verlauf!$AA$6:$AA$1000,$B43)))))</f>
        <v/>
      </c>
      <c r="J43" s="26" t="str">
        <f>IF($B43="","",-IF(Filter!$L$13="OPAG",N(IF(Filter!$L$9="Woche",INDEX(KW!$D$6:$D$237,$B43),INDEX(Verlauf!$K$6:$K$1000,$B43))),N(IF(Filter!$L$9="Woche",INDEX(KW!$H$6:$H$237,$B43),INDEX(Verlauf!$U$6:$U$1000,$B43)))))</f>
        <v/>
      </c>
      <c r="K43" s="26" t="e">
        <f t="shared" si="6"/>
        <v>#N/A</v>
      </c>
      <c r="L43" s="26" t="e">
        <f t="shared" si="7"/>
        <v>#N/A</v>
      </c>
      <c r="M43" s="26" t="e">
        <f t="shared" si="8"/>
        <v>#N/A</v>
      </c>
      <c r="N43" s="7" t="str">
        <f t="shared" si="9"/>
        <v/>
      </c>
      <c r="O43" s="26" t="str">
        <f>IF($B43="","",IF(Filter!$L$13="OPAG",N(IF(Filter!$L$9="Woche",INDEX(KW!$Y$6:$Y$237,$B43),INDEX(Verlauf!$Y$6:$Y$1000,$B43))),N(IF(Filter!$L$9="Woche",INDEX(KW!$AC$6:$AC$237,$B43),INDEX(Verlauf!$AB$6:$AB$1000,$B43)))))</f>
        <v/>
      </c>
      <c r="P43" s="26" t="str">
        <f>IF($B43="","",-IF(Filter!$L$13="OPAG",N(IF(Filter!$L$9="Woche",INDEX(KW!$E$6:$E$237,$B43),INDEX(Verlauf!$L$6:$L$1000,$B43))),N(IF(Filter!$L$9="Woche",INDEX(KW!$I$6:$I$237,$B43),INDEX(Verlauf!$V$6:$V$1000,$B43)))))</f>
        <v/>
      </c>
      <c r="Q43" s="26" t="e">
        <f t="shared" si="10"/>
        <v>#N/A</v>
      </c>
      <c r="R43" s="26" t="e">
        <f t="shared" si="11"/>
        <v>#N/A</v>
      </c>
      <c r="S43" s="26" t="e">
        <f t="shared" si="12"/>
        <v>#N/A</v>
      </c>
      <c r="T43" s="7" t="str">
        <f t="shared" si="13"/>
        <v/>
      </c>
      <c r="U43" s="26" t="str">
        <f>IF($B43="","",IF(Filter!$L$13="OPAG",N(IF(Filter!$L$9="Woche",INDEX(KW!$Z$6:$Z$237,$B43),INDEX(Verlauf!$Z$6:$Z$1000,$B43))),N(IF(Filter!$L$9="Woche",INDEX(KW!$AD$6:$AD$237,$B43),INDEX(Verlauf!$AC$6:$AC$1000,$B43)))))</f>
        <v/>
      </c>
      <c r="V43" s="26" t="str">
        <f>IF($B43="","",-IF(Filter!$L$13="OPAG",N(IF(Filter!$L$9="Woche",INDEX(KW!$F$6:$F$237,$B43),INDEX(Verlauf!$M$6:$M$1000,$B43))),N(IF(Filter!$L$9="Woche",INDEX(KW!$J$6:$J$237,$B43),INDEX(Verlauf!$W$6:$W$1000,$B43)))))</f>
        <v/>
      </c>
      <c r="W43" s="26" t="e">
        <f t="shared" si="14"/>
        <v>#N/A</v>
      </c>
      <c r="X43" s="26" t="e">
        <f t="shared" si="15"/>
        <v>#N/A</v>
      </c>
      <c r="Y43" s="26" t="e">
        <f t="shared" si="16"/>
        <v>#N/A</v>
      </c>
      <c r="Z43" s="7" t="str">
        <f t="shared" si="17"/>
        <v/>
      </c>
      <c r="AA43" s="26" t="e">
        <f>NA()</f>
        <v>#N/A</v>
      </c>
      <c r="AB43" s="26" t="e">
        <f>NA()</f>
        <v>#N/A</v>
      </c>
    </row>
    <row r="44" spans="1:30" x14ac:dyDescent="0.25">
      <c r="A44" s="25" t="str">
        <f>"Summen"</f>
        <v>Summen</v>
      </c>
      <c r="C44" s="7" t="str">
        <f>IF(Filter!$L$9="Woche","Σ "&amp;$A$10,"Σ letzte "&amp;$AF$2&amp;" Stichtage")</f>
        <v>Σ letzte 0 Stichtage</v>
      </c>
    </row>
    <row r="45" spans="1:30" x14ac:dyDescent="0.25">
      <c r="A45" s="7" t="s">
        <v>155</v>
      </c>
      <c r="C45" s="7" t="str">
        <f>FIXED(IF(Filter!$L$9="Woche",IFERROR(N(C43),0),_xlfn.AGGREGATE(9,6,C37:C43)),0)</f>
        <v>0</v>
      </c>
      <c r="D45" s="7" t="str">
        <f>FIXED(-IF(Filter!$L$9="Woche",IFERROR(N(D43),0),_xlfn.AGGREGATE(9,6,D37:D43)),0)</f>
        <v>0</v>
      </c>
      <c r="E45" s="7" t="str">
        <f>IF((IF(Filter!$L$9="Woche",IFERROR(N(C43),0),_xlfn.AGGREGATE(9,6,C37:C43))+IF(Filter!$L$9="Woche",IFERROR(N(D43),0),_xlfn.AGGREGATE(9,6,D37:D43)))&lt;0,"-"&amp;FIXED(-(IF(Filter!$L$9="Woche",IFERROR(N(C43),0),_xlfn.AGGREGATE(9,6,C37:C43))+IF(Filter!$L$9="Woche",IFERROR(N(D43),0),_xlfn.AGGREGATE(9,6,D37:D43))),0),"")</f>
        <v/>
      </c>
      <c r="F45" s="7" t="str">
        <f>IF((IF(Filter!$L$9="Woche",IFERROR(N(C43),0),_xlfn.AGGREGATE(9,6,C37:C43))+IF(Filter!$L$9="Woche",IFERROR(N(D43),0),_xlfn.AGGREGATE(9,6,D37:D43)))&gt;0,"+"&amp;FIXED((IF(Filter!$L$9="Woche",IFERROR(N(C43),0),_xlfn.AGGREGATE(9,6,C37:C43))+IF(Filter!$L$9="Woche",IFERROR(N(D43),0),_xlfn.AGGREGATE(9,6,D37:D43))),0),IF((IF(Filter!$L$9="Woche",IFERROR(N(C43),0),_xlfn.AGGREGATE(9,6,C37:C43))+IF(Filter!$L$9="Woche",IFERROR(N(D43),0),_xlfn.AGGREGATE(9,6,D37:D43)))=0,"±0",""))</f>
        <v>±0</v>
      </c>
    </row>
    <row r="46" spans="1:30" x14ac:dyDescent="0.25">
      <c r="A46" s="7" t="s">
        <v>20</v>
      </c>
      <c r="C46" s="7" t="str">
        <f>FIXED(IF(Filter!$L$9="Woche",IFERROR(N(I43),0),_xlfn.AGGREGATE(9,6,I37:I43)),0)</f>
        <v>0</v>
      </c>
      <c r="D46" s="7" t="str">
        <f>FIXED(-IF(Filter!$L$9="Woche",IFERROR(N(J43),0),_xlfn.AGGREGATE(9,6,J37:J43)),0)</f>
        <v>0</v>
      </c>
      <c r="E46" s="7" t="str">
        <f>IF((IF(Filter!$L$9="Woche",IFERROR(N(I43),0),_xlfn.AGGREGATE(9,6,I37:I43))+IF(Filter!$L$9="Woche",IFERROR(N(J43),0),_xlfn.AGGREGATE(9,6,J37:J43)))&lt;0,"-"&amp;FIXED(-(IF(Filter!$L$9="Woche",IFERROR(N(I43),0),_xlfn.AGGREGATE(9,6,I37:I43))+IF(Filter!$L$9="Woche",IFERROR(N(J43),0),_xlfn.AGGREGATE(9,6,J37:J43))),0),"")</f>
        <v/>
      </c>
      <c r="F46" s="7" t="str">
        <f>IF((IF(Filter!$L$9="Woche",IFERROR(N(I43),0),_xlfn.AGGREGATE(9,6,I37:I43))+IF(Filter!$L$9="Woche",IFERROR(N(J43),0),_xlfn.AGGREGATE(9,6,J37:J43)))&gt;0,"+"&amp;FIXED((IF(Filter!$L$9="Woche",IFERROR(N(I43),0),_xlfn.AGGREGATE(9,6,I37:I43))+IF(Filter!$L$9="Woche",IFERROR(N(J43),0),_xlfn.AGGREGATE(9,6,J37:J43))),0),IF((IF(Filter!$L$9="Woche",IFERROR(N(I43),0),_xlfn.AGGREGATE(9,6,I37:I43))+IF(Filter!$L$9="Woche",IFERROR(N(J43),0),_xlfn.AGGREGATE(9,6,J37:J43)))=0,"±0",""))</f>
        <v>±0</v>
      </c>
    </row>
    <row r="47" spans="1:30" x14ac:dyDescent="0.25">
      <c r="A47" s="7" t="s">
        <v>16</v>
      </c>
      <c r="C47" s="7" t="str">
        <f>FIXED(IF(Filter!$L$9="Woche",IFERROR(N(O43),0),_xlfn.AGGREGATE(9,6,O37:O43)),0)</f>
        <v>0</v>
      </c>
      <c r="D47" s="7" t="str">
        <f>FIXED(-IF(Filter!$L$9="Woche",IFERROR(N(P43),0),_xlfn.AGGREGATE(9,6,P37:P43)),0)</f>
        <v>0</v>
      </c>
      <c r="E47" s="7" t="str">
        <f>IF((IF(Filter!$L$9="Woche",IFERROR(N(O43),0),_xlfn.AGGREGATE(9,6,O37:O43))+IF(Filter!$L$9="Woche",IFERROR(N(P43),0),_xlfn.AGGREGATE(9,6,P37:P43)))&lt;0,"-"&amp;FIXED(-(IF(Filter!$L$9="Woche",IFERROR(N(O43),0),_xlfn.AGGREGATE(9,6,O37:O43))+IF(Filter!$L$9="Woche",IFERROR(N(P43),0),_xlfn.AGGREGATE(9,6,P37:P43))),0),"")</f>
        <v/>
      </c>
      <c r="F47" s="7" t="str">
        <f>IF((IF(Filter!$L$9="Woche",IFERROR(N(O43),0),_xlfn.AGGREGATE(9,6,O37:O43))+IF(Filter!$L$9="Woche",IFERROR(N(P43),0),_xlfn.AGGREGATE(9,6,P37:P43)))&gt;0,"+"&amp;FIXED((IF(Filter!$L$9="Woche",IFERROR(N(O43),0),_xlfn.AGGREGATE(9,6,O37:O43))+IF(Filter!$L$9="Woche",IFERROR(N(P43),0),_xlfn.AGGREGATE(9,6,P37:P43))),0),IF((IF(Filter!$L$9="Woche",IFERROR(N(O43),0),_xlfn.AGGREGATE(9,6,O37:O43))+IF(Filter!$L$9="Woche",IFERROR(N(P43),0),_xlfn.AGGREGATE(9,6,P37:P43)))=0,"±0",""))</f>
        <v>±0</v>
      </c>
    </row>
    <row r="48" spans="1:30" x14ac:dyDescent="0.25">
      <c r="A48" s="7" t="s">
        <v>14</v>
      </c>
      <c r="C48" s="7" t="str">
        <f>FIXED(IF(Filter!$L$9="Woche",IFERROR(N(U43),0),_xlfn.AGGREGATE(9,6,U37:U43)),0)</f>
        <v>0</v>
      </c>
      <c r="D48" s="7" t="str">
        <f>FIXED(-IF(Filter!$L$9="Woche",IFERROR(N(V43),0),_xlfn.AGGREGATE(9,6,V37:V43)),0)</f>
        <v>0</v>
      </c>
      <c r="E48" s="7" t="str">
        <f>IF((IF(Filter!$L$9="Woche",IFERROR(N(U43),0),_xlfn.AGGREGATE(9,6,U37:U43))+IF(Filter!$L$9="Woche",IFERROR(N(V43),0),_xlfn.AGGREGATE(9,6,V37:V43)))&lt;0,"-"&amp;FIXED(-(IF(Filter!$L$9="Woche",IFERROR(N(U43),0),_xlfn.AGGREGATE(9,6,U37:U43))+IF(Filter!$L$9="Woche",IFERROR(N(V43),0),_xlfn.AGGREGATE(9,6,V37:V43))),0),"")</f>
        <v/>
      </c>
      <c r="F48" s="7" t="str">
        <f>IF((IF(Filter!$L$9="Woche",IFERROR(N(U43),0),_xlfn.AGGREGATE(9,6,U37:U43))+IF(Filter!$L$9="Woche",IFERROR(N(V43),0),_xlfn.AGGREGATE(9,6,V37:V43)))&gt;0,"+"&amp;FIXED((IF(Filter!$L$9="Woche",IFERROR(N(U43),0),_xlfn.AGGREGATE(9,6,U37:U43))+IF(Filter!$L$9="Woche",IFERROR(N(V43),0),_xlfn.AGGREGATE(9,6,V37:V43))),0),IF((IF(Filter!$L$9="Woche",IFERROR(N(U43),0),_xlfn.AGGREGATE(9,6,U37:U43))+IF(Filter!$L$9="Woche",IFERROR(N(V43),0),_xlfn.AGGREGATE(9,6,V37:V43)))=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IA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3.5" x14ac:dyDescent="0.25"/>
  <cols>
    <col min="1" max="1" width="20.7109375" customWidth="1"/>
    <col min="2" max="2" width="10.7109375" customWidth="1"/>
    <col min="3" max="3" width="7.7109375" customWidth="1"/>
    <col min="4" max="235" width="6.85546875" customWidth="1"/>
  </cols>
  <sheetData>
    <row r="1" spans="1:235" x14ac:dyDescent="0.25">
      <c r="A1" s="2" t="s">
        <v>189</v>
      </c>
    </row>
    <row r="5" spans="1:235" x14ac:dyDescent="0.25">
      <c r="A5" s="7" t="s">
        <v>187</v>
      </c>
      <c r="D5" s="28">
        <v>46223</v>
      </c>
      <c r="E5" s="28">
        <v>46230</v>
      </c>
      <c r="F5" s="28">
        <v>46237</v>
      </c>
      <c r="G5" s="28">
        <v>46244</v>
      </c>
      <c r="H5" s="28">
        <v>46251</v>
      </c>
      <c r="I5" s="28">
        <v>46258</v>
      </c>
      <c r="J5" s="28">
        <v>46265</v>
      </c>
      <c r="K5" s="28">
        <v>46272</v>
      </c>
      <c r="L5" s="28">
        <v>46279</v>
      </c>
      <c r="M5" s="28">
        <v>46286</v>
      </c>
      <c r="N5" s="28">
        <v>46293</v>
      </c>
      <c r="O5" s="28">
        <v>46300</v>
      </c>
      <c r="P5" s="28">
        <v>46307</v>
      </c>
      <c r="Q5" s="28">
        <v>46314</v>
      </c>
      <c r="R5" s="28">
        <v>46321</v>
      </c>
      <c r="S5" s="28">
        <v>46328</v>
      </c>
      <c r="T5" s="28">
        <v>46335</v>
      </c>
      <c r="U5" s="28">
        <v>46342</v>
      </c>
      <c r="V5" s="28">
        <v>46349</v>
      </c>
      <c r="W5" s="28">
        <v>46356</v>
      </c>
      <c r="X5" s="28">
        <v>46363</v>
      </c>
      <c r="Y5" s="28">
        <v>46370</v>
      </c>
      <c r="Z5" s="28">
        <v>46377</v>
      </c>
      <c r="AA5" s="28">
        <v>46384</v>
      </c>
      <c r="AB5" s="28">
        <v>46391</v>
      </c>
      <c r="AC5" s="28">
        <v>46398</v>
      </c>
      <c r="AD5" s="28">
        <v>46405</v>
      </c>
      <c r="AE5" s="28">
        <v>46412</v>
      </c>
      <c r="AF5" s="28">
        <v>46419</v>
      </c>
      <c r="AG5" s="28">
        <v>46426</v>
      </c>
      <c r="AH5" s="28">
        <v>46433</v>
      </c>
      <c r="AI5" s="28">
        <v>46440</v>
      </c>
      <c r="AJ5" s="28">
        <v>46447</v>
      </c>
      <c r="AK5" s="28">
        <v>46454</v>
      </c>
      <c r="AL5" s="28">
        <v>46461</v>
      </c>
      <c r="AM5" s="28">
        <v>46468</v>
      </c>
      <c r="AN5" s="28">
        <v>46475</v>
      </c>
      <c r="AO5" s="28">
        <v>46482</v>
      </c>
      <c r="AP5" s="28">
        <v>46489</v>
      </c>
      <c r="AQ5" s="28">
        <v>46496</v>
      </c>
      <c r="AR5" s="28">
        <v>46503</v>
      </c>
      <c r="AS5" s="28">
        <v>46510</v>
      </c>
      <c r="AT5" s="28">
        <v>46517</v>
      </c>
      <c r="AU5" s="28">
        <v>46524</v>
      </c>
      <c r="AV5" s="28">
        <v>46531</v>
      </c>
      <c r="AW5" s="28">
        <v>46538</v>
      </c>
      <c r="AX5" s="28">
        <v>46545</v>
      </c>
      <c r="AY5" s="28">
        <v>46552</v>
      </c>
      <c r="AZ5" s="28">
        <v>46559</v>
      </c>
      <c r="BA5" s="28">
        <v>46566</v>
      </c>
      <c r="BB5" s="28">
        <v>46573</v>
      </c>
      <c r="BC5" s="28">
        <v>46580</v>
      </c>
      <c r="BD5" s="28">
        <v>46587</v>
      </c>
      <c r="BE5" s="28">
        <v>46594</v>
      </c>
      <c r="BF5" s="28">
        <v>46601</v>
      </c>
      <c r="BG5" s="28">
        <v>46608</v>
      </c>
      <c r="BH5" s="28">
        <v>46615</v>
      </c>
      <c r="BI5" s="28">
        <v>46622</v>
      </c>
      <c r="BJ5" s="28">
        <v>46629</v>
      </c>
      <c r="BK5" s="28">
        <v>46636</v>
      </c>
      <c r="BL5" s="28">
        <v>46643</v>
      </c>
      <c r="BM5" s="28">
        <v>46650</v>
      </c>
      <c r="BN5" s="28">
        <v>46657</v>
      </c>
      <c r="BO5" s="28">
        <v>46664</v>
      </c>
      <c r="BP5" s="28">
        <v>46671</v>
      </c>
      <c r="BQ5" s="28">
        <v>46678</v>
      </c>
      <c r="BR5" s="28">
        <v>46685</v>
      </c>
      <c r="BS5" s="28">
        <v>46692</v>
      </c>
      <c r="BT5" s="28">
        <v>46699</v>
      </c>
      <c r="BU5" s="28">
        <v>46706</v>
      </c>
      <c r="BV5" s="28">
        <v>46713</v>
      </c>
      <c r="BW5" s="28">
        <v>46720</v>
      </c>
      <c r="BX5" s="28">
        <v>46727</v>
      </c>
      <c r="BY5" s="28">
        <v>46734</v>
      </c>
      <c r="BZ5" s="28">
        <v>46741</v>
      </c>
      <c r="CA5" s="28">
        <v>46748</v>
      </c>
      <c r="CB5" s="28">
        <v>46755</v>
      </c>
      <c r="CC5" s="28">
        <v>46762</v>
      </c>
      <c r="CD5" s="28">
        <v>46769</v>
      </c>
      <c r="CE5" s="28">
        <v>46776</v>
      </c>
      <c r="CF5" s="28">
        <v>46783</v>
      </c>
      <c r="CG5" s="28">
        <v>46790</v>
      </c>
      <c r="CH5" s="28">
        <v>46797</v>
      </c>
      <c r="CI5" s="28">
        <v>46804</v>
      </c>
      <c r="CJ5" s="28">
        <v>46811</v>
      </c>
      <c r="CK5" s="28">
        <v>46818</v>
      </c>
      <c r="CL5" s="28">
        <v>46825</v>
      </c>
      <c r="CM5" s="28">
        <v>46832</v>
      </c>
      <c r="CN5" s="28">
        <v>46839</v>
      </c>
      <c r="CO5" s="28">
        <v>46846</v>
      </c>
      <c r="CP5" s="28">
        <v>46853</v>
      </c>
      <c r="CQ5" s="28">
        <v>46860</v>
      </c>
      <c r="CR5" s="28">
        <v>46867</v>
      </c>
      <c r="CS5" s="28">
        <v>46874</v>
      </c>
      <c r="CT5" s="28">
        <v>46881</v>
      </c>
      <c r="CU5" s="28">
        <v>46888</v>
      </c>
      <c r="CV5" s="28">
        <v>46895</v>
      </c>
      <c r="CW5" s="28">
        <v>46902</v>
      </c>
      <c r="CX5" s="28">
        <v>46909</v>
      </c>
      <c r="CY5" s="28">
        <v>46916</v>
      </c>
      <c r="CZ5" s="28">
        <v>46923</v>
      </c>
      <c r="DA5" s="28">
        <v>46930</v>
      </c>
      <c r="DB5" s="28">
        <v>46937</v>
      </c>
      <c r="DC5" s="28">
        <v>46944</v>
      </c>
      <c r="DD5" s="28">
        <v>46951</v>
      </c>
      <c r="DE5" s="28">
        <v>46958</v>
      </c>
      <c r="DF5" s="28">
        <v>46965</v>
      </c>
      <c r="DG5" s="28">
        <v>46972</v>
      </c>
      <c r="DH5" s="28">
        <v>46979</v>
      </c>
      <c r="DI5" s="28">
        <v>46986</v>
      </c>
      <c r="DJ5" s="28">
        <v>46993</v>
      </c>
      <c r="DK5" s="28">
        <v>47000</v>
      </c>
      <c r="DL5" s="28">
        <v>47007</v>
      </c>
      <c r="DM5" s="28">
        <v>47014</v>
      </c>
      <c r="DN5" s="28">
        <v>47021</v>
      </c>
      <c r="DO5" s="28">
        <v>47028</v>
      </c>
      <c r="DP5" s="28">
        <v>47035</v>
      </c>
      <c r="DQ5" s="28">
        <v>47042</v>
      </c>
      <c r="DR5" s="28">
        <v>47049</v>
      </c>
      <c r="DS5" s="28">
        <v>47056</v>
      </c>
      <c r="DT5" s="28">
        <v>47063</v>
      </c>
      <c r="DU5" s="28">
        <v>47070</v>
      </c>
      <c r="DV5" s="28">
        <v>47077</v>
      </c>
      <c r="DW5" s="28">
        <v>47084</v>
      </c>
      <c r="DX5" s="28">
        <v>47091</v>
      </c>
      <c r="DY5" s="28">
        <v>47098</v>
      </c>
      <c r="DZ5" s="28">
        <v>47105</v>
      </c>
      <c r="EA5" s="28">
        <v>47112</v>
      </c>
      <c r="EB5" s="28">
        <v>47119</v>
      </c>
      <c r="EC5" s="28">
        <v>47126</v>
      </c>
      <c r="ED5" s="28">
        <v>47133</v>
      </c>
      <c r="EE5" s="28">
        <v>47140</v>
      </c>
      <c r="EF5" s="28">
        <v>47147</v>
      </c>
      <c r="EG5" s="28">
        <v>47154</v>
      </c>
      <c r="EH5" s="28">
        <v>47161</v>
      </c>
      <c r="EI5" s="28">
        <v>47168</v>
      </c>
      <c r="EJ5" s="28">
        <v>47175</v>
      </c>
      <c r="EK5" s="28">
        <v>47182</v>
      </c>
      <c r="EL5" s="28">
        <v>47189</v>
      </c>
      <c r="EM5" s="28">
        <v>47196</v>
      </c>
      <c r="EN5" s="28">
        <v>47203</v>
      </c>
      <c r="EO5" s="28">
        <v>47210</v>
      </c>
      <c r="EP5" s="28">
        <v>47217</v>
      </c>
      <c r="EQ5" s="28">
        <v>47224</v>
      </c>
      <c r="ER5" s="28">
        <v>47231</v>
      </c>
      <c r="ES5" s="28">
        <v>47238</v>
      </c>
      <c r="ET5" s="28">
        <v>47245</v>
      </c>
      <c r="EU5" s="28">
        <v>47252</v>
      </c>
      <c r="EV5" s="28">
        <v>47259</v>
      </c>
      <c r="EW5" s="28">
        <v>47266</v>
      </c>
      <c r="EX5" s="28">
        <v>47273</v>
      </c>
      <c r="EY5" s="28">
        <v>47280</v>
      </c>
      <c r="EZ5" s="28">
        <v>47287</v>
      </c>
      <c r="FA5" s="28">
        <v>47294</v>
      </c>
      <c r="FB5" s="28">
        <v>47301</v>
      </c>
      <c r="FC5" s="28">
        <v>47308</v>
      </c>
      <c r="FD5" s="28">
        <v>47315</v>
      </c>
      <c r="FE5" s="28">
        <v>47322</v>
      </c>
      <c r="FF5" s="28">
        <v>47329</v>
      </c>
      <c r="FG5" s="28">
        <v>47336</v>
      </c>
      <c r="FH5" s="28">
        <v>47343</v>
      </c>
      <c r="FI5" s="28">
        <v>47350</v>
      </c>
      <c r="FJ5" s="28">
        <v>47357</v>
      </c>
      <c r="FK5" s="28">
        <v>47364</v>
      </c>
      <c r="FL5" s="28">
        <v>47371</v>
      </c>
      <c r="FM5" s="28">
        <v>47378</v>
      </c>
      <c r="FN5" s="28">
        <v>47385</v>
      </c>
      <c r="FO5" s="28">
        <v>47392</v>
      </c>
      <c r="FP5" s="28">
        <v>47399</v>
      </c>
      <c r="FQ5" s="28">
        <v>47406</v>
      </c>
      <c r="FR5" s="28">
        <v>47413</v>
      </c>
      <c r="FS5" s="28">
        <v>47420</v>
      </c>
      <c r="FT5" s="28">
        <v>47427</v>
      </c>
      <c r="FU5" s="28">
        <v>47434</v>
      </c>
      <c r="FV5" s="28">
        <v>47441</v>
      </c>
      <c r="FW5" s="28">
        <v>47448</v>
      </c>
      <c r="FX5" s="28">
        <v>47455</v>
      </c>
      <c r="FY5" s="28">
        <v>47462</v>
      </c>
      <c r="FZ5" s="28">
        <v>47469</v>
      </c>
      <c r="GA5" s="28">
        <v>47476</v>
      </c>
      <c r="GB5" s="28">
        <v>47483</v>
      </c>
      <c r="GC5" s="28">
        <v>47490</v>
      </c>
      <c r="GD5" s="28">
        <v>47497</v>
      </c>
      <c r="GE5" s="28">
        <v>47504</v>
      </c>
      <c r="GF5" s="28">
        <v>47511</v>
      </c>
      <c r="GG5" s="28">
        <v>47518</v>
      </c>
      <c r="GH5" s="28">
        <v>47525</v>
      </c>
      <c r="GI5" s="28">
        <v>47532</v>
      </c>
      <c r="GJ5" s="28">
        <v>47539</v>
      </c>
      <c r="GK5" s="28">
        <v>47546</v>
      </c>
      <c r="GL5" s="28">
        <v>47553</v>
      </c>
      <c r="GM5" s="28">
        <v>47560</v>
      </c>
      <c r="GN5" s="28">
        <v>47567</v>
      </c>
      <c r="GO5" s="28">
        <v>47574</v>
      </c>
      <c r="GP5" s="28">
        <v>47581</v>
      </c>
      <c r="GQ5" s="28">
        <v>47588</v>
      </c>
      <c r="GR5" s="28">
        <v>47595</v>
      </c>
      <c r="GS5" s="28">
        <v>47602</v>
      </c>
      <c r="GT5" s="28">
        <v>47609</v>
      </c>
      <c r="GU5" s="28">
        <v>47616</v>
      </c>
      <c r="GV5" s="28">
        <v>47623</v>
      </c>
      <c r="GW5" s="28">
        <v>47630</v>
      </c>
      <c r="GX5" s="28">
        <v>47637</v>
      </c>
      <c r="GY5" s="28">
        <v>47644</v>
      </c>
      <c r="GZ5" s="28">
        <v>47651</v>
      </c>
      <c r="HA5" s="28">
        <v>47658</v>
      </c>
      <c r="HB5" s="28">
        <v>47665</v>
      </c>
      <c r="HC5" s="28">
        <v>47672</v>
      </c>
      <c r="HD5" s="28">
        <v>47679</v>
      </c>
      <c r="HE5" s="28">
        <v>47686</v>
      </c>
      <c r="HF5" s="28">
        <v>47693</v>
      </c>
      <c r="HG5" s="28">
        <v>47700</v>
      </c>
      <c r="HH5" s="28">
        <v>47707</v>
      </c>
      <c r="HI5" s="28">
        <v>47714</v>
      </c>
      <c r="HJ5" s="28">
        <v>47721</v>
      </c>
      <c r="HK5" s="28">
        <v>47728</v>
      </c>
      <c r="HL5" s="28">
        <v>47735</v>
      </c>
      <c r="HM5" s="28">
        <v>47742</v>
      </c>
      <c r="HN5" s="28">
        <v>47749</v>
      </c>
      <c r="HO5" s="28">
        <v>47756</v>
      </c>
      <c r="HP5" s="28">
        <v>47763</v>
      </c>
      <c r="HQ5" s="28">
        <v>47770</v>
      </c>
      <c r="HR5" s="28">
        <v>47777</v>
      </c>
      <c r="HS5" s="28">
        <v>47784</v>
      </c>
      <c r="HT5" s="28">
        <v>47791</v>
      </c>
      <c r="HU5" s="28">
        <v>47798</v>
      </c>
      <c r="HV5" s="28">
        <v>47805</v>
      </c>
      <c r="HW5" s="28">
        <v>47812</v>
      </c>
      <c r="HX5" s="28">
        <v>47819</v>
      </c>
      <c r="HY5" s="28">
        <v>47826</v>
      </c>
      <c r="HZ5" s="28">
        <v>47833</v>
      </c>
      <c r="IA5" s="28">
        <v>47840</v>
      </c>
    </row>
    <row r="6" spans="1:235" x14ac:dyDescent="0.25">
      <c r="A6" s="7" t="s">
        <v>190</v>
      </c>
      <c r="D6" s="26">
        <v>202630</v>
      </c>
      <c r="E6" s="26">
        <v>202631</v>
      </c>
      <c r="F6" s="26">
        <v>202632</v>
      </c>
      <c r="G6" s="26">
        <v>202633</v>
      </c>
      <c r="H6" s="26">
        <v>202634</v>
      </c>
      <c r="I6" s="26">
        <v>202635</v>
      </c>
      <c r="J6" s="26">
        <v>202636</v>
      </c>
      <c r="K6" s="26">
        <v>202637</v>
      </c>
      <c r="L6" s="26">
        <v>202638</v>
      </c>
      <c r="M6" s="26">
        <v>202639</v>
      </c>
      <c r="N6" s="26">
        <v>202640</v>
      </c>
      <c r="O6" s="26">
        <v>202641</v>
      </c>
      <c r="P6" s="26">
        <v>202642</v>
      </c>
      <c r="Q6" s="26">
        <v>202643</v>
      </c>
      <c r="R6" s="26">
        <v>202644</v>
      </c>
      <c r="S6" s="26">
        <v>202645</v>
      </c>
      <c r="T6" s="26">
        <v>202646</v>
      </c>
      <c r="U6" s="26">
        <v>202647</v>
      </c>
      <c r="V6" s="26">
        <v>202648</v>
      </c>
      <c r="W6" s="26">
        <v>202649</v>
      </c>
      <c r="X6" s="26">
        <v>202650</v>
      </c>
      <c r="Y6" s="26">
        <v>202651</v>
      </c>
      <c r="Z6" s="26">
        <v>202652</v>
      </c>
      <c r="AA6" s="26">
        <v>202653</v>
      </c>
      <c r="AB6" s="26">
        <v>202701</v>
      </c>
      <c r="AC6" s="26">
        <v>202702</v>
      </c>
      <c r="AD6" s="26">
        <v>202703</v>
      </c>
      <c r="AE6" s="26">
        <v>202704</v>
      </c>
      <c r="AF6" s="26">
        <v>202705</v>
      </c>
      <c r="AG6" s="26">
        <v>202706</v>
      </c>
      <c r="AH6" s="26">
        <v>202707</v>
      </c>
      <c r="AI6" s="26">
        <v>202708</v>
      </c>
      <c r="AJ6" s="26">
        <v>202709</v>
      </c>
      <c r="AK6" s="26">
        <v>202710</v>
      </c>
      <c r="AL6" s="26">
        <v>202711</v>
      </c>
      <c r="AM6" s="26">
        <v>202712</v>
      </c>
      <c r="AN6" s="26">
        <v>202713</v>
      </c>
      <c r="AO6" s="26">
        <v>202714</v>
      </c>
      <c r="AP6" s="26">
        <v>202715</v>
      </c>
      <c r="AQ6" s="26">
        <v>202716</v>
      </c>
      <c r="AR6" s="26">
        <v>202717</v>
      </c>
      <c r="AS6" s="26">
        <v>202718</v>
      </c>
      <c r="AT6" s="26">
        <v>202719</v>
      </c>
      <c r="AU6" s="26">
        <v>202720</v>
      </c>
      <c r="AV6" s="26">
        <v>202721</v>
      </c>
      <c r="AW6" s="26">
        <v>202722</v>
      </c>
      <c r="AX6" s="26">
        <v>202723</v>
      </c>
      <c r="AY6" s="26">
        <v>202724</v>
      </c>
      <c r="AZ6" s="26">
        <v>202725</v>
      </c>
      <c r="BA6" s="26">
        <v>202726</v>
      </c>
      <c r="BB6" s="26">
        <v>202727</v>
      </c>
      <c r="BC6" s="26">
        <v>202728</v>
      </c>
      <c r="BD6" s="26">
        <v>202729</v>
      </c>
      <c r="BE6" s="26">
        <v>202730</v>
      </c>
      <c r="BF6" s="26">
        <v>202731</v>
      </c>
      <c r="BG6" s="26">
        <v>202732</v>
      </c>
      <c r="BH6" s="26">
        <v>202733</v>
      </c>
      <c r="BI6" s="26">
        <v>202734</v>
      </c>
      <c r="BJ6" s="26">
        <v>202735</v>
      </c>
      <c r="BK6" s="26">
        <v>202736</v>
      </c>
      <c r="BL6" s="26">
        <v>202737</v>
      </c>
      <c r="BM6" s="26">
        <v>202738</v>
      </c>
      <c r="BN6" s="26">
        <v>202739</v>
      </c>
      <c r="BO6" s="26">
        <v>202740</v>
      </c>
      <c r="BP6" s="26">
        <v>202741</v>
      </c>
      <c r="BQ6" s="26">
        <v>202742</v>
      </c>
      <c r="BR6" s="26">
        <v>202743</v>
      </c>
      <c r="BS6" s="26">
        <v>202744</v>
      </c>
      <c r="BT6" s="26">
        <v>202745</v>
      </c>
      <c r="BU6" s="26">
        <v>202746</v>
      </c>
      <c r="BV6" s="26">
        <v>202747</v>
      </c>
      <c r="BW6" s="26">
        <v>202748</v>
      </c>
      <c r="BX6" s="26">
        <v>202749</v>
      </c>
      <c r="BY6" s="26">
        <v>202750</v>
      </c>
      <c r="BZ6" s="26">
        <v>202751</v>
      </c>
      <c r="CA6" s="26">
        <v>202752</v>
      </c>
      <c r="CB6" s="26">
        <v>202801</v>
      </c>
      <c r="CC6" s="26">
        <v>202802</v>
      </c>
      <c r="CD6" s="26">
        <v>202803</v>
      </c>
      <c r="CE6" s="26">
        <v>202804</v>
      </c>
      <c r="CF6" s="26">
        <v>202805</v>
      </c>
      <c r="CG6" s="26">
        <v>202806</v>
      </c>
      <c r="CH6" s="26">
        <v>202807</v>
      </c>
      <c r="CI6" s="26">
        <v>202808</v>
      </c>
      <c r="CJ6" s="26">
        <v>202809</v>
      </c>
      <c r="CK6" s="26">
        <v>202810</v>
      </c>
      <c r="CL6" s="26">
        <v>202811</v>
      </c>
      <c r="CM6" s="26">
        <v>202812</v>
      </c>
      <c r="CN6" s="26">
        <v>202813</v>
      </c>
      <c r="CO6" s="26">
        <v>202814</v>
      </c>
      <c r="CP6" s="26">
        <v>202815</v>
      </c>
      <c r="CQ6" s="26">
        <v>202816</v>
      </c>
      <c r="CR6" s="26">
        <v>202817</v>
      </c>
      <c r="CS6" s="26">
        <v>202818</v>
      </c>
      <c r="CT6" s="26">
        <v>202819</v>
      </c>
      <c r="CU6" s="26">
        <v>202820</v>
      </c>
      <c r="CV6" s="26">
        <v>202821</v>
      </c>
      <c r="CW6" s="26">
        <v>202822</v>
      </c>
      <c r="CX6" s="26">
        <v>202823</v>
      </c>
      <c r="CY6" s="26">
        <v>202824</v>
      </c>
      <c r="CZ6" s="26">
        <v>202825</v>
      </c>
      <c r="DA6" s="26">
        <v>202826</v>
      </c>
      <c r="DB6" s="26">
        <v>202827</v>
      </c>
      <c r="DC6" s="26">
        <v>202828</v>
      </c>
      <c r="DD6" s="26">
        <v>202829</v>
      </c>
      <c r="DE6" s="26">
        <v>202830</v>
      </c>
      <c r="DF6" s="26">
        <v>202831</v>
      </c>
      <c r="DG6" s="26">
        <v>202832</v>
      </c>
      <c r="DH6" s="26">
        <v>202833</v>
      </c>
      <c r="DI6" s="26">
        <v>202834</v>
      </c>
      <c r="DJ6" s="26">
        <v>202835</v>
      </c>
      <c r="DK6" s="26">
        <v>202836</v>
      </c>
      <c r="DL6" s="26">
        <v>202837</v>
      </c>
      <c r="DM6" s="26">
        <v>202838</v>
      </c>
      <c r="DN6" s="26">
        <v>202839</v>
      </c>
      <c r="DO6" s="26">
        <v>202840</v>
      </c>
      <c r="DP6" s="26">
        <v>202841</v>
      </c>
      <c r="DQ6" s="26">
        <v>202842</v>
      </c>
      <c r="DR6" s="26">
        <v>202843</v>
      </c>
      <c r="DS6" s="26">
        <v>202844</v>
      </c>
      <c r="DT6" s="26">
        <v>202845</v>
      </c>
      <c r="DU6" s="26">
        <v>202846</v>
      </c>
      <c r="DV6" s="26">
        <v>202847</v>
      </c>
      <c r="DW6" s="26">
        <v>202848</v>
      </c>
      <c r="DX6" s="26">
        <v>202849</v>
      </c>
      <c r="DY6" s="26">
        <v>202850</v>
      </c>
      <c r="DZ6" s="26">
        <v>202851</v>
      </c>
      <c r="EA6" s="26">
        <v>202852</v>
      </c>
      <c r="EB6" s="26">
        <v>202901</v>
      </c>
      <c r="EC6" s="26">
        <v>202902</v>
      </c>
      <c r="ED6" s="26">
        <v>202903</v>
      </c>
      <c r="EE6" s="26">
        <v>202904</v>
      </c>
      <c r="EF6" s="26">
        <v>202905</v>
      </c>
      <c r="EG6" s="26">
        <v>202906</v>
      </c>
      <c r="EH6" s="26">
        <v>202907</v>
      </c>
      <c r="EI6" s="26">
        <v>202908</v>
      </c>
      <c r="EJ6" s="26">
        <v>202909</v>
      </c>
      <c r="EK6" s="26">
        <v>202910</v>
      </c>
      <c r="EL6" s="26">
        <v>202911</v>
      </c>
      <c r="EM6" s="26">
        <v>202912</v>
      </c>
      <c r="EN6" s="26">
        <v>202913</v>
      </c>
      <c r="EO6" s="26">
        <v>202914</v>
      </c>
      <c r="EP6" s="26">
        <v>202915</v>
      </c>
      <c r="EQ6" s="26">
        <v>202916</v>
      </c>
      <c r="ER6" s="26">
        <v>202917</v>
      </c>
      <c r="ES6" s="26">
        <v>202918</v>
      </c>
      <c r="ET6" s="26">
        <v>202919</v>
      </c>
      <c r="EU6" s="26">
        <v>202920</v>
      </c>
      <c r="EV6" s="26">
        <v>202921</v>
      </c>
      <c r="EW6" s="26">
        <v>202922</v>
      </c>
      <c r="EX6" s="26">
        <v>202923</v>
      </c>
      <c r="EY6" s="26">
        <v>202924</v>
      </c>
      <c r="EZ6" s="26">
        <v>202925</v>
      </c>
      <c r="FA6" s="26">
        <v>202926</v>
      </c>
      <c r="FB6" s="26">
        <v>202927</v>
      </c>
      <c r="FC6" s="26">
        <v>202928</v>
      </c>
      <c r="FD6" s="26">
        <v>202929</v>
      </c>
      <c r="FE6" s="26">
        <v>202930</v>
      </c>
      <c r="FF6" s="26">
        <v>202931</v>
      </c>
      <c r="FG6" s="26">
        <v>202932</v>
      </c>
      <c r="FH6" s="26">
        <v>202933</v>
      </c>
      <c r="FI6" s="26">
        <v>202934</v>
      </c>
      <c r="FJ6" s="26">
        <v>202935</v>
      </c>
      <c r="FK6" s="26">
        <v>202936</v>
      </c>
      <c r="FL6" s="26">
        <v>202937</v>
      </c>
      <c r="FM6" s="26">
        <v>202938</v>
      </c>
      <c r="FN6" s="26">
        <v>202939</v>
      </c>
      <c r="FO6" s="26">
        <v>202940</v>
      </c>
      <c r="FP6" s="26">
        <v>202941</v>
      </c>
      <c r="FQ6" s="26">
        <v>202942</v>
      </c>
      <c r="FR6" s="26">
        <v>202943</v>
      </c>
      <c r="FS6" s="26">
        <v>202944</v>
      </c>
      <c r="FT6" s="26">
        <v>202945</v>
      </c>
      <c r="FU6" s="26">
        <v>202946</v>
      </c>
      <c r="FV6" s="26">
        <v>202947</v>
      </c>
      <c r="FW6" s="26">
        <v>202948</v>
      </c>
      <c r="FX6" s="26">
        <v>202949</v>
      </c>
      <c r="FY6" s="26">
        <v>202950</v>
      </c>
      <c r="FZ6" s="26">
        <v>202951</v>
      </c>
      <c r="GA6" s="26">
        <v>202952</v>
      </c>
      <c r="GB6" s="26">
        <v>203001</v>
      </c>
      <c r="GC6" s="26">
        <v>203002</v>
      </c>
      <c r="GD6" s="26">
        <v>203003</v>
      </c>
      <c r="GE6" s="26">
        <v>203004</v>
      </c>
      <c r="GF6" s="26">
        <v>203005</v>
      </c>
      <c r="GG6" s="26">
        <v>203006</v>
      </c>
      <c r="GH6" s="26">
        <v>203007</v>
      </c>
      <c r="GI6" s="26">
        <v>203008</v>
      </c>
      <c r="GJ6" s="26">
        <v>203009</v>
      </c>
      <c r="GK6" s="26">
        <v>203010</v>
      </c>
      <c r="GL6" s="26">
        <v>203011</v>
      </c>
      <c r="GM6" s="26">
        <v>203012</v>
      </c>
      <c r="GN6" s="26">
        <v>203013</v>
      </c>
      <c r="GO6" s="26">
        <v>203014</v>
      </c>
      <c r="GP6" s="26">
        <v>203015</v>
      </c>
      <c r="GQ6" s="26">
        <v>203016</v>
      </c>
      <c r="GR6" s="26">
        <v>203017</v>
      </c>
      <c r="GS6" s="26">
        <v>203018</v>
      </c>
      <c r="GT6" s="26">
        <v>203019</v>
      </c>
      <c r="GU6" s="26">
        <v>203020</v>
      </c>
      <c r="GV6" s="26">
        <v>203021</v>
      </c>
      <c r="GW6" s="26">
        <v>203022</v>
      </c>
      <c r="GX6" s="26">
        <v>203023</v>
      </c>
      <c r="GY6" s="26">
        <v>203024</v>
      </c>
      <c r="GZ6" s="26">
        <v>203025</v>
      </c>
      <c r="HA6" s="26">
        <v>203026</v>
      </c>
      <c r="HB6" s="26">
        <v>203027</v>
      </c>
      <c r="HC6" s="26">
        <v>203028</v>
      </c>
      <c r="HD6" s="26">
        <v>203029</v>
      </c>
      <c r="HE6" s="26">
        <v>203030</v>
      </c>
      <c r="HF6" s="26">
        <v>203031</v>
      </c>
      <c r="HG6" s="26">
        <v>203032</v>
      </c>
      <c r="HH6" s="26">
        <v>203033</v>
      </c>
      <c r="HI6" s="26">
        <v>203034</v>
      </c>
      <c r="HJ6" s="26">
        <v>203035</v>
      </c>
      <c r="HK6" s="26">
        <v>203036</v>
      </c>
      <c r="HL6" s="26">
        <v>203037</v>
      </c>
      <c r="HM6" s="26">
        <v>203038</v>
      </c>
      <c r="HN6" s="26">
        <v>203039</v>
      </c>
      <c r="HO6" s="26">
        <v>203040</v>
      </c>
      <c r="HP6" s="26">
        <v>203041</v>
      </c>
      <c r="HQ6" s="26">
        <v>203042</v>
      </c>
      <c r="HR6" s="26">
        <v>203043</v>
      </c>
      <c r="HS6" s="26">
        <v>203044</v>
      </c>
      <c r="HT6" s="26">
        <v>203045</v>
      </c>
      <c r="HU6" s="26">
        <v>203046</v>
      </c>
      <c r="HV6" s="26">
        <v>203047</v>
      </c>
      <c r="HW6" s="26">
        <v>203048</v>
      </c>
      <c r="HX6" s="26">
        <v>203049</v>
      </c>
      <c r="HY6" s="26">
        <v>203050</v>
      </c>
      <c r="HZ6" s="26">
        <v>203051</v>
      </c>
      <c r="IA6" s="26">
        <v>203052</v>
      </c>
    </row>
    <row r="7" spans="1:235" x14ac:dyDescent="0.25">
      <c r="A7" s="7" t="str">
        <f>Planung!A7</f>
        <v/>
      </c>
      <c r="B7" s="7" t="str">
        <f>Planung!B7</f>
        <v/>
      </c>
      <c r="C7" s="27">
        <f>N(Mitarbeiter!$D$5)</f>
        <v>0</v>
      </c>
      <c r="D7" s="27">
        <f>IF($A7="",0,IF(Mitarbeiter!$G$5=FALSE,0,IF(AND(Mitarbeiter!$E$5&lt;&gt;"",D$5+6&lt;Mitarbeiter!$E$5),0,IF(AND(Mitarbeiter!$F$5&lt;&gt;"",D$5&gt;Mitarbeiter!$F$5),0,IF(Planung!D7="",$C7,IF(ISNUMBER(Planung!D7),Planung!D7,IF(UPPER(Planung!D7)="H",$C7/2,0)))))))</f>
        <v>0</v>
      </c>
      <c r="E7" s="27">
        <f>IF($A7="",0,IF(Mitarbeiter!$G$5=FALSE,0,IF(AND(Mitarbeiter!$E$5&lt;&gt;"",E$5+6&lt;Mitarbeiter!$E$5),0,IF(AND(Mitarbeiter!$F$5&lt;&gt;"",E$5&gt;Mitarbeiter!$F$5),0,IF(Planung!E7="",$C7,IF(ISNUMBER(Planung!E7),Planung!E7,IF(UPPER(Planung!E7)="H",$C7/2,0)))))))</f>
        <v>0</v>
      </c>
      <c r="F7" s="27">
        <f>IF($A7="",0,IF(Mitarbeiter!$G$5=FALSE,0,IF(AND(Mitarbeiter!$E$5&lt;&gt;"",F$5+6&lt;Mitarbeiter!$E$5),0,IF(AND(Mitarbeiter!$F$5&lt;&gt;"",F$5&gt;Mitarbeiter!$F$5),0,IF(Planung!F7="",$C7,IF(ISNUMBER(Planung!F7),Planung!F7,IF(UPPER(Planung!F7)="H",$C7/2,0)))))))</f>
        <v>0</v>
      </c>
      <c r="G7" s="27">
        <f>IF($A7="",0,IF(Mitarbeiter!$G$5=FALSE,0,IF(AND(Mitarbeiter!$E$5&lt;&gt;"",G$5+6&lt;Mitarbeiter!$E$5),0,IF(AND(Mitarbeiter!$F$5&lt;&gt;"",G$5&gt;Mitarbeiter!$F$5),0,IF(Planung!G7="",$C7,IF(ISNUMBER(Planung!G7),Planung!G7,IF(UPPER(Planung!G7)="H",$C7/2,0)))))))</f>
        <v>0</v>
      </c>
      <c r="H7" s="27">
        <f>IF($A7="",0,IF(Mitarbeiter!$G$5=FALSE,0,IF(AND(Mitarbeiter!$E$5&lt;&gt;"",H$5+6&lt;Mitarbeiter!$E$5),0,IF(AND(Mitarbeiter!$F$5&lt;&gt;"",H$5&gt;Mitarbeiter!$F$5),0,IF(Planung!H7="",$C7,IF(ISNUMBER(Planung!H7),Planung!H7,IF(UPPER(Planung!H7)="H",$C7/2,0)))))))</f>
        <v>0</v>
      </c>
      <c r="I7" s="27">
        <f>IF($A7="",0,IF(Mitarbeiter!$G$5=FALSE,0,IF(AND(Mitarbeiter!$E$5&lt;&gt;"",I$5+6&lt;Mitarbeiter!$E$5),0,IF(AND(Mitarbeiter!$F$5&lt;&gt;"",I$5&gt;Mitarbeiter!$F$5),0,IF(Planung!I7="",$C7,IF(ISNUMBER(Planung!I7),Planung!I7,IF(UPPER(Planung!I7)="H",$C7/2,0)))))))</f>
        <v>0</v>
      </c>
      <c r="J7" s="27">
        <f>IF($A7="",0,IF(Mitarbeiter!$G$5=FALSE,0,IF(AND(Mitarbeiter!$E$5&lt;&gt;"",J$5+6&lt;Mitarbeiter!$E$5),0,IF(AND(Mitarbeiter!$F$5&lt;&gt;"",J$5&gt;Mitarbeiter!$F$5),0,IF(Planung!J7="",$C7,IF(ISNUMBER(Planung!J7),Planung!J7,IF(UPPER(Planung!J7)="H",$C7/2,0)))))))</f>
        <v>0</v>
      </c>
      <c r="K7" s="27">
        <f>IF($A7="",0,IF(Mitarbeiter!$G$5=FALSE,0,IF(AND(Mitarbeiter!$E$5&lt;&gt;"",K$5+6&lt;Mitarbeiter!$E$5),0,IF(AND(Mitarbeiter!$F$5&lt;&gt;"",K$5&gt;Mitarbeiter!$F$5),0,IF(Planung!K7="",$C7,IF(ISNUMBER(Planung!K7),Planung!K7,IF(UPPER(Planung!K7)="H",$C7/2,0)))))))</f>
        <v>0</v>
      </c>
      <c r="L7" s="27">
        <f>IF($A7="",0,IF(Mitarbeiter!$G$5=FALSE,0,IF(AND(Mitarbeiter!$E$5&lt;&gt;"",L$5+6&lt;Mitarbeiter!$E$5),0,IF(AND(Mitarbeiter!$F$5&lt;&gt;"",L$5&gt;Mitarbeiter!$F$5),0,IF(Planung!L7="",$C7,IF(ISNUMBER(Planung!L7),Planung!L7,IF(UPPER(Planung!L7)="H",$C7/2,0)))))))</f>
        <v>0</v>
      </c>
      <c r="M7" s="27">
        <f>IF($A7="",0,IF(Mitarbeiter!$G$5=FALSE,0,IF(AND(Mitarbeiter!$E$5&lt;&gt;"",M$5+6&lt;Mitarbeiter!$E$5),0,IF(AND(Mitarbeiter!$F$5&lt;&gt;"",M$5&gt;Mitarbeiter!$F$5),0,IF(Planung!M7="",$C7,IF(ISNUMBER(Planung!M7),Planung!M7,IF(UPPER(Planung!M7)="H",$C7/2,0)))))))</f>
        <v>0</v>
      </c>
      <c r="N7" s="27">
        <f>IF($A7="",0,IF(Mitarbeiter!$G$5=FALSE,0,IF(AND(Mitarbeiter!$E$5&lt;&gt;"",N$5+6&lt;Mitarbeiter!$E$5),0,IF(AND(Mitarbeiter!$F$5&lt;&gt;"",N$5&gt;Mitarbeiter!$F$5),0,IF(Planung!N7="",$C7,IF(ISNUMBER(Planung!N7),Planung!N7,IF(UPPER(Planung!N7)="H",$C7/2,0)))))))</f>
        <v>0</v>
      </c>
      <c r="O7" s="27">
        <f>IF($A7="",0,IF(Mitarbeiter!$G$5=FALSE,0,IF(AND(Mitarbeiter!$E$5&lt;&gt;"",O$5+6&lt;Mitarbeiter!$E$5),0,IF(AND(Mitarbeiter!$F$5&lt;&gt;"",O$5&gt;Mitarbeiter!$F$5),0,IF(Planung!O7="",$C7,IF(ISNUMBER(Planung!O7),Planung!O7,IF(UPPER(Planung!O7)="H",$C7/2,0)))))))</f>
        <v>0</v>
      </c>
      <c r="P7" s="27">
        <f>IF($A7="",0,IF(Mitarbeiter!$G$5=FALSE,0,IF(AND(Mitarbeiter!$E$5&lt;&gt;"",P$5+6&lt;Mitarbeiter!$E$5),0,IF(AND(Mitarbeiter!$F$5&lt;&gt;"",P$5&gt;Mitarbeiter!$F$5),0,IF(Planung!P7="",$C7,IF(ISNUMBER(Planung!P7),Planung!P7,IF(UPPER(Planung!P7)="H",$C7/2,0)))))))</f>
        <v>0</v>
      </c>
      <c r="Q7" s="27">
        <f>IF($A7="",0,IF(Mitarbeiter!$G$5=FALSE,0,IF(AND(Mitarbeiter!$E$5&lt;&gt;"",Q$5+6&lt;Mitarbeiter!$E$5),0,IF(AND(Mitarbeiter!$F$5&lt;&gt;"",Q$5&gt;Mitarbeiter!$F$5),0,IF(Planung!Q7="",$C7,IF(ISNUMBER(Planung!Q7),Planung!Q7,IF(UPPER(Planung!Q7)="H",$C7/2,0)))))))</f>
        <v>0</v>
      </c>
      <c r="R7" s="27">
        <f>IF($A7="",0,IF(Mitarbeiter!$G$5=FALSE,0,IF(AND(Mitarbeiter!$E$5&lt;&gt;"",R$5+6&lt;Mitarbeiter!$E$5),0,IF(AND(Mitarbeiter!$F$5&lt;&gt;"",R$5&gt;Mitarbeiter!$F$5),0,IF(Planung!R7="",$C7,IF(ISNUMBER(Planung!R7),Planung!R7,IF(UPPER(Planung!R7)="H",$C7/2,0)))))))</f>
        <v>0</v>
      </c>
      <c r="S7" s="27">
        <f>IF($A7="",0,IF(Mitarbeiter!$G$5=FALSE,0,IF(AND(Mitarbeiter!$E$5&lt;&gt;"",S$5+6&lt;Mitarbeiter!$E$5),0,IF(AND(Mitarbeiter!$F$5&lt;&gt;"",S$5&gt;Mitarbeiter!$F$5),0,IF(Planung!S7="",$C7,IF(ISNUMBER(Planung!S7),Planung!S7,IF(UPPER(Planung!S7)="H",$C7/2,0)))))))</f>
        <v>0</v>
      </c>
      <c r="T7" s="27">
        <f>IF($A7="",0,IF(Mitarbeiter!$G$5=FALSE,0,IF(AND(Mitarbeiter!$E$5&lt;&gt;"",T$5+6&lt;Mitarbeiter!$E$5),0,IF(AND(Mitarbeiter!$F$5&lt;&gt;"",T$5&gt;Mitarbeiter!$F$5),0,IF(Planung!T7="",$C7,IF(ISNUMBER(Planung!T7),Planung!T7,IF(UPPER(Planung!T7)="H",$C7/2,0)))))))</f>
        <v>0</v>
      </c>
      <c r="U7" s="27">
        <f>IF($A7="",0,IF(Mitarbeiter!$G$5=FALSE,0,IF(AND(Mitarbeiter!$E$5&lt;&gt;"",U$5+6&lt;Mitarbeiter!$E$5),0,IF(AND(Mitarbeiter!$F$5&lt;&gt;"",U$5&gt;Mitarbeiter!$F$5),0,IF(Planung!U7="",$C7,IF(ISNUMBER(Planung!U7),Planung!U7,IF(UPPER(Planung!U7)="H",$C7/2,0)))))))</f>
        <v>0</v>
      </c>
      <c r="V7" s="27">
        <f>IF($A7="",0,IF(Mitarbeiter!$G$5=FALSE,0,IF(AND(Mitarbeiter!$E$5&lt;&gt;"",V$5+6&lt;Mitarbeiter!$E$5),0,IF(AND(Mitarbeiter!$F$5&lt;&gt;"",V$5&gt;Mitarbeiter!$F$5),0,IF(Planung!V7="",$C7,IF(ISNUMBER(Planung!V7),Planung!V7,IF(UPPER(Planung!V7)="H",$C7/2,0)))))))</f>
        <v>0</v>
      </c>
      <c r="W7" s="27">
        <f>IF($A7="",0,IF(Mitarbeiter!$G$5=FALSE,0,IF(AND(Mitarbeiter!$E$5&lt;&gt;"",W$5+6&lt;Mitarbeiter!$E$5),0,IF(AND(Mitarbeiter!$F$5&lt;&gt;"",W$5&gt;Mitarbeiter!$F$5),0,IF(Planung!W7="",$C7,IF(ISNUMBER(Planung!W7),Planung!W7,IF(UPPER(Planung!W7)="H",$C7/2,0)))))))</f>
        <v>0</v>
      </c>
      <c r="X7" s="27">
        <f>IF($A7="",0,IF(Mitarbeiter!$G$5=FALSE,0,IF(AND(Mitarbeiter!$E$5&lt;&gt;"",X$5+6&lt;Mitarbeiter!$E$5),0,IF(AND(Mitarbeiter!$F$5&lt;&gt;"",X$5&gt;Mitarbeiter!$F$5),0,IF(Planung!X7="",$C7,IF(ISNUMBER(Planung!X7),Planung!X7,IF(UPPER(Planung!X7)="H",$C7/2,0)))))))</f>
        <v>0</v>
      </c>
      <c r="Y7" s="27">
        <f>IF($A7="",0,IF(Mitarbeiter!$G$5=FALSE,0,IF(AND(Mitarbeiter!$E$5&lt;&gt;"",Y$5+6&lt;Mitarbeiter!$E$5),0,IF(AND(Mitarbeiter!$F$5&lt;&gt;"",Y$5&gt;Mitarbeiter!$F$5),0,IF(Planung!Y7="",$C7,IF(ISNUMBER(Planung!Y7),Planung!Y7,IF(UPPER(Planung!Y7)="H",$C7/2,0)))))))</f>
        <v>0</v>
      </c>
      <c r="Z7" s="27">
        <f>IF($A7="",0,IF(Mitarbeiter!$G$5=FALSE,0,IF(AND(Mitarbeiter!$E$5&lt;&gt;"",Z$5+6&lt;Mitarbeiter!$E$5),0,IF(AND(Mitarbeiter!$F$5&lt;&gt;"",Z$5&gt;Mitarbeiter!$F$5),0,IF(Planung!Z7="",$C7,IF(ISNUMBER(Planung!Z7),Planung!Z7,IF(UPPER(Planung!Z7)="H",$C7/2,0)))))))</f>
        <v>0</v>
      </c>
      <c r="AA7" s="27">
        <f>IF($A7="",0,IF(Mitarbeiter!$G$5=FALSE,0,IF(AND(Mitarbeiter!$E$5&lt;&gt;"",AA$5+6&lt;Mitarbeiter!$E$5),0,IF(AND(Mitarbeiter!$F$5&lt;&gt;"",AA$5&gt;Mitarbeiter!$F$5),0,IF(Planung!AA7="",$C7,IF(ISNUMBER(Planung!AA7),Planung!AA7,IF(UPPER(Planung!AA7)="H",$C7/2,0)))))))</f>
        <v>0</v>
      </c>
      <c r="AB7" s="27">
        <f>IF($A7="",0,IF(Mitarbeiter!$G$5=FALSE,0,IF(AND(Mitarbeiter!$E$5&lt;&gt;"",AB$5+6&lt;Mitarbeiter!$E$5),0,IF(AND(Mitarbeiter!$F$5&lt;&gt;"",AB$5&gt;Mitarbeiter!$F$5),0,IF(Planung!AB7="",$C7,IF(ISNUMBER(Planung!AB7),Planung!AB7,IF(UPPER(Planung!AB7)="H",$C7/2,0)))))))</f>
        <v>0</v>
      </c>
      <c r="AC7" s="27">
        <f>IF($A7="",0,IF(Mitarbeiter!$G$5=FALSE,0,IF(AND(Mitarbeiter!$E$5&lt;&gt;"",AC$5+6&lt;Mitarbeiter!$E$5),0,IF(AND(Mitarbeiter!$F$5&lt;&gt;"",AC$5&gt;Mitarbeiter!$F$5),0,IF(Planung!AC7="",$C7,IF(ISNUMBER(Planung!AC7),Planung!AC7,IF(UPPER(Planung!AC7)="H",$C7/2,0)))))))</f>
        <v>0</v>
      </c>
      <c r="AD7" s="27">
        <f>IF($A7="",0,IF(Mitarbeiter!$G$5=FALSE,0,IF(AND(Mitarbeiter!$E$5&lt;&gt;"",AD$5+6&lt;Mitarbeiter!$E$5),0,IF(AND(Mitarbeiter!$F$5&lt;&gt;"",AD$5&gt;Mitarbeiter!$F$5),0,IF(Planung!AD7="",$C7,IF(ISNUMBER(Planung!AD7),Planung!AD7,IF(UPPER(Planung!AD7)="H",$C7/2,0)))))))</f>
        <v>0</v>
      </c>
      <c r="AE7" s="27">
        <f>IF($A7="",0,IF(Mitarbeiter!$G$5=FALSE,0,IF(AND(Mitarbeiter!$E$5&lt;&gt;"",AE$5+6&lt;Mitarbeiter!$E$5),0,IF(AND(Mitarbeiter!$F$5&lt;&gt;"",AE$5&gt;Mitarbeiter!$F$5),0,IF(Planung!AE7="",$C7,IF(ISNUMBER(Planung!AE7),Planung!AE7,IF(UPPER(Planung!AE7)="H",$C7/2,0)))))))</f>
        <v>0</v>
      </c>
      <c r="AF7" s="27">
        <f>IF($A7="",0,IF(Mitarbeiter!$G$5=FALSE,0,IF(AND(Mitarbeiter!$E$5&lt;&gt;"",AF$5+6&lt;Mitarbeiter!$E$5),0,IF(AND(Mitarbeiter!$F$5&lt;&gt;"",AF$5&gt;Mitarbeiter!$F$5),0,IF(Planung!AF7="",$C7,IF(ISNUMBER(Planung!AF7),Planung!AF7,IF(UPPER(Planung!AF7)="H",$C7/2,0)))))))</f>
        <v>0</v>
      </c>
      <c r="AG7" s="27">
        <f>IF($A7="",0,IF(Mitarbeiter!$G$5=FALSE,0,IF(AND(Mitarbeiter!$E$5&lt;&gt;"",AG$5+6&lt;Mitarbeiter!$E$5),0,IF(AND(Mitarbeiter!$F$5&lt;&gt;"",AG$5&gt;Mitarbeiter!$F$5),0,IF(Planung!AG7="",$C7,IF(ISNUMBER(Planung!AG7),Planung!AG7,IF(UPPER(Planung!AG7)="H",$C7/2,0)))))))</f>
        <v>0</v>
      </c>
      <c r="AH7" s="27">
        <f>IF($A7="",0,IF(Mitarbeiter!$G$5=FALSE,0,IF(AND(Mitarbeiter!$E$5&lt;&gt;"",AH$5+6&lt;Mitarbeiter!$E$5),0,IF(AND(Mitarbeiter!$F$5&lt;&gt;"",AH$5&gt;Mitarbeiter!$F$5),0,IF(Planung!AH7="",$C7,IF(ISNUMBER(Planung!AH7),Planung!AH7,IF(UPPER(Planung!AH7)="H",$C7/2,0)))))))</f>
        <v>0</v>
      </c>
      <c r="AI7" s="27">
        <f>IF($A7="",0,IF(Mitarbeiter!$G$5=FALSE,0,IF(AND(Mitarbeiter!$E$5&lt;&gt;"",AI$5+6&lt;Mitarbeiter!$E$5),0,IF(AND(Mitarbeiter!$F$5&lt;&gt;"",AI$5&gt;Mitarbeiter!$F$5),0,IF(Planung!AI7="",$C7,IF(ISNUMBER(Planung!AI7),Planung!AI7,IF(UPPER(Planung!AI7)="H",$C7/2,0)))))))</f>
        <v>0</v>
      </c>
      <c r="AJ7" s="27">
        <f>IF($A7="",0,IF(Mitarbeiter!$G$5=FALSE,0,IF(AND(Mitarbeiter!$E$5&lt;&gt;"",AJ$5+6&lt;Mitarbeiter!$E$5),0,IF(AND(Mitarbeiter!$F$5&lt;&gt;"",AJ$5&gt;Mitarbeiter!$F$5),0,IF(Planung!AJ7="",$C7,IF(ISNUMBER(Planung!AJ7),Planung!AJ7,IF(UPPER(Planung!AJ7)="H",$C7/2,0)))))))</f>
        <v>0</v>
      </c>
      <c r="AK7" s="27">
        <f>IF($A7="",0,IF(Mitarbeiter!$G$5=FALSE,0,IF(AND(Mitarbeiter!$E$5&lt;&gt;"",AK$5+6&lt;Mitarbeiter!$E$5),0,IF(AND(Mitarbeiter!$F$5&lt;&gt;"",AK$5&gt;Mitarbeiter!$F$5),0,IF(Planung!AK7="",$C7,IF(ISNUMBER(Planung!AK7),Planung!AK7,IF(UPPER(Planung!AK7)="H",$C7/2,0)))))))</f>
        <v>0</v>
      </c>
      <c r="AL7" s="27">
        <f>IF($A7="",0,IF(Mitarbeiter!$G$5=FALSE,0,IF(AND(Mitarbeiter!$E$5&lt;&gt;"",AL$5+6&lt;Mitarbeiter!$E$5),0,IF(AND(Mitarbeiter!$F$5&lt;&gt;"",AL$5&gt;Mitarbeiter!$F$5),0,IF(Planung!AL7="",$C7,IF(ISNUMBER(Planung!AL7),Planung!AL7,IF(UPPER(Planung!AL7)="H",$C7/2,0)))))))</f>
        <v>0</v>
      </c>
      <c r="AM7" s="27">
        <f>IF($A7="",0,IF(Mitarbeiter!$G$5=FALSE,0,IF(AND(Mitarbeiter!$E$5&lt;&gt;"",AM$5+6&lt;Mitarbeiter!$E$5),0,IF(AND(Mitarbeiter!$F$5&lt;&gt;"",AM$5&gt;Mitarbeiter!$F$5),0,IF(Planung!AM7="",$C7,IF(ISNUMBER(Planung!AM7),Planung!AM7,IF(UPPER(Planung!AM7)="H",$C7/2,0)))))))</f>
        <v>0</v>
      </c>
      <c r="AN7" s="27">
        <f>IF($A7="",0,IF(Mitarbeiter!$G$5=FALSE,0,IF(AND(Mitarbeiter!$E$5&lt;&gt;"",AN$5+6&lt;Mitarbeiter!$E$5),0,IF(AND(Mitarbeiter!$F$5&lt;&gt;"",AN$5&gt;Mitarbeiter!$F$5),0,IF(Planung!AN7="",$C7,IF(ISNUMBER(Planung!AN7),Planung!AN7,IF(UPPER(Planung!AN7)="H",$C7/2,0)))))))</f>
        <v>0</v>
      </c>
      <c r="AO7" s="27">
        <f>IF($A7="",0,IF(Mitarbeiter!$G$5=FALSE,0,IF(AND(Mitarbeiter!$E$5&lt;&gt;"",AO$5+6&lt;Mitarbeiter!$E$5),0,IF(AND(Mitarbeiter!$F$5&lt;&gt;"",AO$5&gt;Mitarbeiter!$F$5),0,IF(Planung!AO7="",$C7,IF(ISNUMBER(Planung!AO7),Planung!AO7,IF(UPPER(Planung!AO7)="H",$C7/2,0)))))))</f>
        <v>0</v>
      </c>
      <c r="AP7" s="27">
        <f>IF($A7="",0,IF(Mitarbeiter!$G$5=FALSE,0,IF(AND(Mitarbeiter!$E$5&lt;&gt;"",AP$5+6&lt;Mitarbeiter!$E$5),0,IF(AND(Mitarbeiter!$F$5&lt;&gt;"",AP$5&gt;Mitarbeiter!$F$5),0,IF(Planung!AP7="",$C7,IF(ISNUMBER(Planung!AP7),Planung!AP7,IF(UPPER(Planung!AP7)="H",$C7/2,0)))))))</f>
        <v>0</v>
      </c>
      <c r="AQ7" s="27">
        <f>IF($A7="",0,IF(Mitarbeiter!$G$5=FALSE,0,IF(AND(Mitarbeiter!$E$5&lt;&gt;"",AQ$5+6&lt;Mitarbeiter!$E$5),0,IF(AND(Mitarbeiter!$F$5&lt;&gt;"",AQ$5&gt;Mitarbeiter!$F$5),0,IF(Planung!AQ7="",$C7,IF(ISNUMBER(Planung!AQ7),Planung!AQ7,IF(UPPER(Planung!AQ7)="H",$C7/2,0)))))))</f>
        <v>0</v>
      </c>
      <c r="AR7" s="27">
        <f>IF($A7="",0,IF(Mitarbeiter!$G$5=FALSE,0,IF(AND(Mitarbeiter!$E$5&lt;&gt;"",AR$5+6&lt;Mitarbeiter!$E$5),0,IF(AND(Mitarbeiter!$F$5&lt;&gt;"",AR$5&gt;Mitarbeiter!$F$5),0,IF(Planung!AR7="",$C7,IF(ISNUMBER(Planung!AR7),Planung!AR7,IF(UPPER(Planung!AR7)="H",$C7/2,0)))))))</f>
        <v>0</v>
      </c>
      <c r="AS7" s="27">
        <f>IF($A7="",0,IF(Mitarbeiter!$G$5=FALSE,0,IF(AND(Mitarbeiter!$E$5&lt;&gt;"",AS$5+6&lt;Mitarbeiter!$E$5),0,IF(AND(Mitarbeiter!$F$5&lt;&gt;"",AS$5&gt;Mitarbeiter!$F$5),0,IF(Planung!AS7="",$C7,IF(ISNUMBER(Planung!AS7),Planung!AS7,IF(UPPER(Planung!AS7)="H",$C7/2,0)))))))</f>
        <v>0</v>
      </c>
      <c r="AT7" s="27">
        <f>IF($A7="",0,IF(Mitarbeiter!$G$5=FALSE,0,IF(AND(Mitarbeiter!$E$5&lt;&gt;"",AT$5+6&lt;Mitarbeiter!$E$5),0,IF(AND(Mitarbeiter!$F$5&lt;&gt;"",AT$5&gt;Mitarbeiter!$F$5),0,IF(Planung!AT7="",$C7,IF(ISNUMBER(Planung!AT7),Planung!AT7,IF(UPPER(Planung!AT7)="H",$C7/2,0)))))))</f>
        <v>0</v>
      </c>
      <c r="AU7" s="27">
        <f>IF($A7="",0,IF(Mitarbeiter!$G$5=FALSE,0,IF(AND(Mitarbeiter!$E$5&lt;&gt;"",AU$5+6&lt;Mitarbeiter!$E$5),0,IF(AND(Mitarbeiter!$F$5&lt;&gt;"",AU$5&gt;Mitarbeiter!$F$5),0,IF(Planung!AU7="",$C7,IF(ISNUMBER(Planung!AU7),Planung!AU7,IF(UPPER(Planung!AU7)="H",$C7/2,0)))))))</f>
        <v>0</v>
      </c>
      <c r="AV7" s="27">
        <f>IF($A7="",0,IF(Mitarbeiter!$G$5=FALSE,0,IF(AND(Mitarbeiter!$E$5&lt;&gt;"",AV$5+6&lt;Mitarbeiter!$E$5),0,IF(AND(Mitarbeiter!$F$5&lt;&gt;"",AV$5&gt;Mitarbeiter!$F$5),0,IF(Planung!AV7="",$C7,IF(ISNUMBER(Planung!AV7),Planung!AV7,IF(UPPER(Planung!AV7)="H",$C7/2,0)))))))</f>
        <v>0</v>
      </c>
      <c r="AW7" s="27">
        <f>IF($A7="",0,IF(Mitarbeiter!$G$5=FALSE,0,IF(AND(Mitarbeiter!$E$5&lt;&gt;"",AW$5+6&lt;Mitarbeiter!$E$5),0,IF(AND(Mitarbeiter!$F$5&lt;&gt;"",AW$5&gt;Mitarbeiter!$F$5),0,IF(Planung!AW7="",$C7,IF(ISNUMBER(Planung!AW7),Planung!AW7,IF(UPPER(Planung!AW7)="H",$C7/2,0)))))))</f>
        <v>0</v>
      </c>
      <c r="AX7" s="27">
        <f>IF($A7="",0,IF(Mitarbeiter!$G$5=FALSE,0,IF(AND(Mitarbeiter!$E$5&lt;&gt;"",AX$5+6&lt;Mitarbeiter!$E$5),0,IF(AND(Mitarbeiter!$F$5&lt;&gt;"",AX$5&gt;Mitarbeiter!$F$5),0,IF(Planung!AX7="",$C7,IF(ISNUMBER(Planung!AX7),Planung!AX7,IF(UPPER(Planung!AX7)="H",$C7/2,0)))))))</f>
        <v>0</v>
      </c>
      <c r="AY7" s="27">
        <f>IF($A7="",0,IF(Mitarbeiter!$G$5=FALSE,0,IF(AND(Mitarbeiter!$E$5&lt;&gt;"",AY$5+6&lt;Mitarbeiter!$E$5),0,IF(AND(Mitarbeiter!$F$5&lt;&gt;"",AY$5&gt;Mitarbeiter!$F$5),0,IF(Planung!AY7="",$C7,IF(ISNUMBER(Planung!AY7),Planung!AY7,IF(UPPER(Planung!AY7)="H",$C7/2,0)))))))</f>
        <v>0</v>
      </c>
      <c r="AZ7" s="27">
        <f>IF($A7="",0,IF(Mitarbeiter!$G$5=FALSE,0,IF(AND(Mitarbeiter!$E$5&lt;&gt;"",AZ$5+6&lt;Mitarbeiter!$E$5),0,IF(AND(Mitarbeiter!$F$5&lt;&gt;"",AZ$5&gt;Mitarbeiter!$F$5),0,IF(Planung!AZ7="",$C7,IF(ISNUMBER(Planung!AZ7),Planung!AZ7,IF(UPPER(Planung!AZ7)="H",$C7/2,0)))))))</f>
        <v>0</v>
      </c>
      <c r="BA7" s="27">
        <f>IF($A7="",0,IF(Mitarbeiter!$G$5=FALSE,0,IF(AND(Mitarbeiter!$E$5&lt;&gt;"",BA$5+6&lt;Mitarbeiter!$E$5),0,IF(AND(Mitarbeiter!$F$5&lt;&gt;"",BA$5&gt;Mitarbeiter!$F$5),0,IF(Planung!BA7="",$C7,IF(ISNUMBER(Planung!BA7),Planung!BA7,IF(UPPER(Planung!BA7)="H",$C7/2,0)))))))</f>
        <v>0</v>
      </c>
      <c r="BB7" s="27">
        <f>IF($A7="",0,IF(Mitarbeiter!$G$5=FALSE,0,IF(AND(Mitarbeiter!$E$5&lt;&gt;"",BB$5+6&lt;Mitarbeiter!$E$5),0,IF(AND(Mitarbeiter!$F$5&lt;&gt;"",BB$5&gt;Mitarbeiter!$F$5),0,IF(Planung!BB7="",$C7,IF(ISNUMBER(Planung!BB7),Planung!BB7,IF(UPPER(Planung!BB7)="H",$C7/2,0)))))))</f>
        <v>0</v>
      </c>
      <c r="BC7" s="27">
        <f>IF($A7="",0,IF(Mitarbeiter!$G$5=FALSE,0,IF(AND(Mitarbeiter!$E$5&lt;&gt;"",BC$5+6&lt;Mitarbeiter!$E$5),0,IF(AND(Mitarbeiter!$F$5&lt;&gt;"",BC$5&gt;Mitarbeiter!$F$5),0,IF(Planung!BC7="",$C7,IF(ISNUMBER(Planung!BC7),Planung!BC7,IF(UPPER(Planung!BC7)="H",$C7/2,0)))))))</f>
        <v>0</v>
      </c>
      <c r="BD7" s="27">
        <f>IF($A7="",0,IF(Mitarbeiter!$G$5=FALSE,0,IF(AND(Mitarbeiter!$E$5&lt;&gt;"",BD$5+6&lt;Mitarbeiter!$E$5),0,IF(AND(Mitarbeiter!$F$5&lt;&gt;"",BD$5&gt;Mitarbeiter!$F$5),0,IF(Planung!BD7="",$C7,IF(ISNUMBER(Planung!BD7),Planung!BD7,IF(UPPER(Planung!BD7)="H",$C7/2,0)))))))</f>
        <v>0</v>
      </c>
      <c r="BE7" s="27">
        <f>IF($A7="",0,IF(Mitarbeiter!$G$5=FALSE,0,IF(AND(Mitarbeiter!$E$5&lt;&gt;"",BE$5+6&lt;Mitarbeiter!$E$5),0,IF(AND(Mitarbeiter!$F$5&lt;&gt;"",BE$5&gt;Mitarbeiter!$F$5),0,IF(Planung!BE7="",$C7,IF(ISNUMBER(Planung!BE7),Planung!BE7,IF(UPPER(Planung!BE7)="H",$C7/2,0)))))))</f>
        <v>0</v>
      </c>
      <c r="BF7" s="27">
        <f>IF($A7="",0,IF(Mitarbeiter!$G$5=FALSE,0,IF(AND(Mitarbeiter!$E$5&lt;&gt;"",BF$5+6&lt;Mitarbeiter!$E$5),0,IF(AND(Mitarbeiter!$F$5&lt;&gt;"",BF$5&gt;Mitarbeiter!$F$5),0,IF(Planung!BF7="",$C7,IF(ISNUMBER(Planung!BF7),Planung!BF7,IF(UPPER(Planung!BF7)="H",$C7/2,0)))))))</f>
        <v>0</v>
      </c>
      <c r="BG7" s="27">
        <f>IF($A7="",0,IF(Mitarbeiter!$G$5=FALSE,0,IF(AND(Mitarbeiter!$E$5&lt;&gt;"",BG$5+6&lt;Mitarbeiter!$E$5),0,IF(AND(Mitarbeiter!$F$5&lt;&gt;"",BG$5&gt;Mitarbeiter!$F$5),0,IF(Planung!BG7="",$C7,IF(ISNUMBER(Planung!BG7),Planung!BG7,IF(UPPER(Planung!BG7)="H",$C7/2,0)))))))</f>
        <v>0</v>
      </c>
      <c r="BH7" s="27">
        <f>IF($A7="",0,IF(Mitarbeiter!$G$5=FALSE,0,IF(AND(Mitarbeiter!$E$5&lt;&gt;"",BH$5+6&lt;Mitarbeiter!$E$5),0,IF(AND(Mitarbeiter!$F$5&lt;&gt;"",BH$5&gt;Mitarbeiter!$F$5),0,IF(Planung!BH7="",$C7,IF(ISNUMBER(Planung!BH7),Planung!BH7,IF(UPPER(Planung!BH7)="H",$C7/2,0)))))))</f>
        <v>0</v>
      </c>
      <c r="BI7" s="27">
        <f>IF($A7="",0,IF(Mitarbeiter!$G$5=FALSE,0,IF(AND(Mitarbeiter!$E$5&lt;&gt;"",BI$5+6&lt;Mitarbeiter!$E$5),0,IF(AND(Mitarbeiter!$F$5&lt;&gt;"",BI$5&gt;Mitarbeiter!$F$5),0,IF(Planung!BI7="",$C7,IF(ISNUMBER(Planung!BI7),Planung!BI7,IF(UPPER(Planung!BI7)="H",$C7/2,0)))))))</f>
        <v>0</v>
      </c>
      <c r="BJ7" s="27">
        <f>IF($A7="",0,IF(Mitarbeiter!$G$5=FALSE,0,IF(AND(Mitarbeiter!$E$5&lt;&gt;"",BJ$5+6&lt;Mitarbeiter!$E$5),0,IF(AND(Mitarbeiter!$F$5&lt;&gt;"",BJ$5&gt;Mitarbeiter!$F$5),0,IF(Planung!BJ7="",$C7,IF(ISNUMBER(Planung!BJ7),Planung!BJ7,IF(UPPER(Planung!BJ7)="H",$C7/2,0)))))))</f>
        <v>0</v>
      </c>
      <c r="BK7" s="27">
        <f>IF($A7="",0,IF(Mitarbeiter!$G$5=FALSE,0,IF(AND(Mitarbeiter!$E$5&lt;&gt;"",BK$5+6&lt;Mitarbeiter!$E$5),0,IF(AND(Mitarbeiter!$F$5&lt;&gt;"",BK$5&gt;Mitarbeiter!$F$5),0,IF(Planung!BK7="",$C7,IF(ISNUMBER(Planung!BK7),Planung!BK7,IF(UPPER(Planung!BK7)="H",$C7/2,0)))))))</f>
        <v>0</v>
      </c>
      <c r="BL7" s="27">
        <f>IF($A7="",0,IF(Mitarbeiter!$G$5=FALSE,0,IF(AND(Mitarbeiter!$E$5&lt;&gt;"",BL$5+6&lt;Mitarbeiter!$E$5),0,IF(AND(Mitarbeiter!$F$5&lt;&gt;"",BL$5&gt;Mitarbeiter!$F$5),0,IF(Planung!BL7="",$C7,IF(ISNUMBER(Planung!BL7),Planung!BL7,IF(UPPER(Planung!BL7)="H",$C7/2,0)))))))</f>
        <v>0</v>
      </c>
      <c r="BM7" s="27">
        <f>IF($A7="",0,IF(Mitarbeiter!$G$5=FALSE,0,IF(AND(Mitarbeiter!$E$5&lt;&gt;"",BM$5+6&lt;Mitarbeiter!$E$5),0,IF(AND(Mitarbeiter!$F$5&lt;&gt;"",BM$5&gt;Mitarbeiter!$F$5),0,IF(Planung!BM7="",$C7,IF(ISNUMBER(Planung!BM7),Planung!BM7,IF(UPPER(Planung!BM7)="H",$C7/2,0)))))))</f>
        <v>0</v>
      </c>
      <c r="BN7" s="27">
        <f>IF($A7="",0,IF(Mitarbeiter!$G$5=FALSE,0,IF(AND(Mitarbeiter!$E$5&lt;&gt;"",BN$5+6&lt;Mitarbeiter!$E$5),0,IF(AND(Mitarbeiter!$F$5&lt;&gt;"",BN$5&gt;Mitarbeiter!$F$5),0,IF(Planung!BN7="",$C7,IF(ISNUMBER(Planung!BN7),Planung!BN7,IF(UPPER(Planung!BN7)="H",$C7/2,0)))))))</f>
        <v>0</v>
      </c>
      <c r="BO7" s="27">
        <f>IF($A7="",0,IF(Mitarbeiter!$G$5=FALSE,0,IF(AND(Mitarbeiter!$E$5&lt;&gt;"",BO$5+6&lt;Mitarbeiter!$E$5),0,IF(AND(Mitarbeiter!$F$5&lt;&gt;"",BO$5&gt;Mitarbeiter!$F$5),0,IF(Planung!BO7="",$C7,IF(ISNUMBER(Planung!BO7),Planung!BO7,IF(UPPER(Planung!BO7)="H",$C7/2,0)))))))</f>
        <v>0</v>
      </c>
      <c r="BP7" s="27">
        <f>IF($A7="",0,IF(Mitarbeiter!$G$5=FALSE,0,IF(AND(Mitarbeiter!$E$5&lt;&gt;"",BP$5+6&lt;Mitarbeiter!$E$5),0,IF(AND(Mitarbeiter!$F$5&lt;&gt;"",BP$5&gt;Mitarbeiter!$F$5),0,IF(Planung!BP7="",$C7,IF(ISNUMBER(Planung!BP7),Planung!BP7,IF(UPPER(Planung!BP7)="H",$C7/2,0)))))))</f>
        <v>0</v>
      </c>
      <c r="BQ7" s="27">
        <f>IF($A7="",0,IF(Mitarbeiter!$G$5=FALSE,0,IF(AND(Mitarbeiter!$E$5&lt;&gt;"",BQ$5+6&lt;Mitarbeiter!$E$5),0,IF(AND(Mitarbeiter!$F$5&lt;&gt;"",BQ$5&gt;Mitarbeiter!$F$5),0,IF(Planung!BQ7="",$C7,IF(ISNUMBER(Planung!BQ7),Planung!BQ7,IF(UPPER(Planung!BQ7)="H",$C7/2,0)))))))</f>
        <v>0</v>
      </c>
      <c r="BR7" s="27">
        <f>IF($A7="",0,IF(Mitarbeiter!$G$5=FALSE,0,IF(AND(Mitarbeiter!$E$5&lt;&gt;"",BR$5+6&lt;Mitarbeiter!$E$5),0,IF(AND(Mitarbeiter!$F$5&lt;&gt;"",BR$5&gt;Mitarbeiter!$F$5),0,IF(Planung!BR7="",$C7,IF(ISNUMBER(Planung!BR7),Planung!BR7,IF(UPPER(Planung!BR7)="H",$C7/2,0)))))))</f>
        <v>0</v>
      </c>
      <c r="BS7" s="27">
        <f>IF($A7="",0,IF(Mitarbeiter!$G$5=FALSE,0,IF(AND(Mitarbeiter!$E$5&lt;&gt;"",BS$5+6&lt;Mitarbeiter!$E$5),0,IF(AND(Mitarbeiter!$F$5&lt;&gt;"",BS$5&gt;Mitarbeiter!$F$5),0,IF(Planung!BS7="",$C7,IF(ISNUMBER(Planung!BS7),Planung!BS7,IF(UPPER(Planung!BS7)="H",$C7/2,0)))))))</f>
        <v>0</v>
      </c>
      <c r="BT7" s="27">
        <f>IF($A7="",0,IF(Mitarbeiter!$G$5=FALSE,0,IF(AND(Mitarbeiter!$E$5&lt;&gt;"",BT$5+6&lt;Mitarbeiter!$E$5),0,IF(AND(Mitarbeiter!$F$5&lt;&gt;"",BT$5&gt;Mitarbeiter!$F$5),0,IF(Planung!BT7="",$C7,IF(ISNUMBER(Planung!BT7),Planung!BT7,IF(UPPER(Planung!BT7)="H",$C7/2,0)))))))</f>
        <v>0</v>
      </c>
      <c r="BU7" s="27">
        <f>IF($A7="",0,IF(Mitarbeiter!$G$5=FALSE,0,IF(AND(Mitarbeiter!$E$5&lt;&gt;"",BU$5+6&lt;Mitarbeiter!$E$5),0,IF(AND(Mitarbeiter!$F$5&lt;&gt;"",BU$5&gt;Mitarbeiter!$F$5),0,IF(Planung!BU7="",$C7,IF(ISNUMBER(Planung!BU7),Planung!BU7,IF(UPPER(Planung!BU7)="H",$C7/2,0)))))))</f>
        <v>0</v>
      </c>
      <c r="BV7" s="27">
        <f>IF($A7="",0,IF(Mitarbeiter!$G$5=FALSE,0,IF(AND(Mitarbeiter!$E$5&lt;&gt;"",BV$5+6&lt;Mitarbeiter!$E$5),0,IF(AND(Mitarbeiter!$F$5&lt;&gt;"",BV$5&gt;Mitarbeiter!$F$5),0,IF(Planung!BV7="",$C7,IF(ISNUMBER(Planung!BV7),Planung!BV7,IF(UPPER(Planung!BV7)="H",$C7/2,0)))))))</f>
        <v>0</v>
      </c>
      <c r="BW7" s="27">
        <f>IF($A7="",0,IF(Mitarbeiter!$G$5=FALSE,0,IF(AND(Mitarbeiter!$E$5&lt;&gt;"",BW$5+6&lt;Mitarbeiter!$E$5),0,IF(AND(Mitarbeiter!$F$5&lt;&gt;"",BW$5&gt;Mitarbeiter!$F$5),0,IF(Planung!BW7="",$C7,IF(ISNUMBER(Planung!BW7),Planung!BW7,IF(UPPER(Planung!BW7)="H",$C7/2,0)))))))</f>
        <v>0</v>
      </c>
      <c r="BX7" s="27">
        <f>IF($A7="",0,IF(Mitarbeiter!$G$5=FALSE,0,IF(AND(Mitarbeiter!$E$5&lt;&gt;"",BX$5+6&lt;Mitarbeiter!$E$5),0,IF(AND(Mitarbeiter!$F$5&lt;&gt;"",BX$5&gt;Mitarbeiter!$F$5),0,IF(Planung!BX7="",$C7,IF(ISNUMBER(Planung!BX7),Planung!BX7,IF(UPPER(Planung!BX7)="H",$C7/2,0)))))))</f>
        <v>0</v>
      </c>
      <c r="BY7" s="27">
        <f>IF($A7="",0,IF(Mitarbeiter!$G$5=FALSE,0,IF(AND(Mitarbeiter!$E$5&lt;&gt;"",BY$5+6&lt;Mitarbeiter!$E$5),0,IF(AND(Mitarbeiter!$F$5&lt;&gt;"",BY$5&gt;Mitarbeiter!$F$5),0,IF(Planung!BY7="",$C7,IF(ISNUMBER(Planung!BY7),Planung!BY7,IF(UPPER(Planung!BY7)="H",$C7/2,0)))))))</f>
        <v>0</v>
      </c>
      <c r="BZ7" s="27">
        <f>IF($A7="",0,IF(Mitarbeiter!$G$5=FALSE,0,IF(AND(Mitarbeiter!$E$5&lt;&gt;"",BZ$5+6&lt;Mitarbeiter!$E$5),0,IF(AND(Mitarbeiter!$F$5&lt;&gt;"",BZ$5&gt;Mitarbeiter!$F$5),0,IF(Planung!BZ7="",$C7,IF(ISNUMBER(Planung!BZ7),Planung!BZ7,IF(UPPER(Planung!BZ7)="H",$C7/2,0)))))))</f>
        <v>0</v>
      </c>
      <c r="CA7" s="27">
        <f>IF($A7="",0,IF(Mitarbeiter!$G$5=FALSE,0,IF(AND(Mitarbeiter!$E$5&lt;&gt;"",CA$5+6&lt;Mitarbeiter!$E$5),0,IF(AND(Mitarbeiter!$F$5&lt;&gt;"",CA$5&gt;Mitarbeiter!$F$5),0,IF(Planung!CA7="",$C7,IF(ISNUMBER(Planung!CA7),Planung!CA7,IF(UPPER(Planung!CA7)="H",$C7/2,0)))))))</f>
        <v>0</v>
      </c>
      <c r="CB7" s="27">
        <f>IF($A7="",0,IF(Mitarbeiter!$G$5=FALSE,0,IF(AND(Mitarbeiter!$E$5&lt;&gt;"",CB$5+6&lt;Mitarbeiter!$E$5),0,IF(AND(Mitarbeiter!$F$5&lt;&gt;"",CB$5&gt;Mitarbeiter!$F$5),0,IF(Planung!CB7="",$C7,IF(ISNUMBER(Planung!CB7),Planung!CB7,IF(UPPER(Planung!CB7)="H",$C7/2,0)))))))</f>
        <v>0</v>
      </c>
      <c r="CC7" s="27">
        <f>IF($A7="",0,IF(Mitarbeiter!$G$5=FALSE,0,IF(AND(Mitarbeiter!$E$5&lt;&gt;"",CC$5+6&lt;Mitarbeiter!$E$5),0,IF(AND(Mitarbeiter!$F$5&lt;&gt;"",CC$5&gt;Mitarbeiter!$F$5),0,IF(Planung!CC7="",$C7,IF(ISNUMBER(Planung!CC7),Planung!CC7,IF(UPPER(Planung!CC7)="H",$C7/2,0)))))))</f>
        <v>0</v>
      </c>
      <c r="CD7" s="27">
        <f>IF($A7="",0,IF(Mitarbeiter!$G$5=FALSE,0,IF(AND(Mitarbeiter!$E$5&lt;&gt;"",CD$5+6&lt;Mitarbeiter!$E$5),0,IF(AND(Mitarbeiter!$F$5&lt;&gt;"",CD$5&gt;Mitarbeiter!$F$5),0,IF(Planung!CD7="",$C7,IF(ISNUMBER(Planung!CD7),Planung!CD7,IF(UPPER(Planung!CD7)="H",$C7/2,0)))))))</f>
        <v>0</v>
      </c>
      <c r="CE7" s="27">
        <f>IF($A7="",0,IF(Mitarbeiter!$G$5=FALSE,0,IF(AND(Mitarbeiter!$E$5&lt;&gt;"",CE$5+6&lt;Mitarbeiter!$E$5),0,IF(AND(Mitarbeiter!$F$5&lt;&gt;"",CE$5&gt;Mitarbeiter!$F$5),0,IF(Planung!CE7="",$C7,IF(ISNUMBER(Planung!CE7),Planung!CE7,IF(UPPER(Planung!CE7)="H",$C7/2,0)))))))</f>
        <v>0</v>
      </c>
      <c r="CF7" s="27">
        <f>IF($A7="",0,IF(Mitarbeiter!$G$5=FALSE,0,IF(AND(Mitarbeiter!$E$5&lt;&gt;"",CF$5+6&lt;Mitarbeiter!$E$5),0,IF(AND(Mitarbeiter!$F$5&lt;&gt;"",CF$5&gt;Mitarbeiter!$F$5),0,IF(Planung!CF7="",$C7,IF(ISNUMBER(Planung!CF7),Planung!CF7,IF(UPPER(Planung!CF7)="H",$C7/2,0)))))))</f>
        <v>0</v>
      </c>
      <c r="CG7" s="27">
        <f>IF($A7="",0,IF(Mitarbeiter!$G$5=FALSE,0,IF(AND(Mitarbeiter!$E$5&lt;&gt;"",CG$5+6&lt;Mitarbeiter!$E$5),0,IF(AND(Mitarbeiter!$F$5&lt;&gt;"",CG$5&gt;Mitarbeiter!$F$5),0,IF(Planung!CG7="",$C7,IF(ISNUMBER(Planung!CG7),Planung!CG7,IF(UPPER(Planung!CG7)="H",$C7/2,0)))))))</f>
        <v>0</v>
      </c>
      <c r="CH7" s="27">
        <f>IF($A7="",0,IF(Mitarbeiter!$G$5=FALSE,0,IF(AND(Mitarbeiter!$E$5&lt;&gt;"",CH$5+6&lt;Mitarbeiter!$E$5),0,IF(AND(Mitarbeiter!$F$5&lt;&gt;"",CH$5&gt;Mitarbeiter!$F$5),0,IF(Planung!CH7="",$C7,IF(ISNUMBER(Planung!CH7),Planung!CH7,IF(UPPER(Planung!CH7)="H",$C7/2,0)))))))</f>
        <v>0</v>
      </c>
      <c r="CI7" s="27">
        <f>IF($A7="",0,IF(Mitarbeiter!$G$5=FALSE,0,IF(AND(Mitarbeiter!$E$5&lt;&gt;"",CI$5+6&lt;Mitarbeiter!$E$5),0,IF(AND(Mitarbeiter!$F$5&lt;&gt;"",CI$5&gt;Mitarbeiter!$F$5),0,IF(Planung!CI7="",$C7,IF(ISNUMBER(Planung!CI7),Planung!CI7,IF(UPPER(Planung!CI7)="H",$C7/2,0)))))))</f>
        <v>0</v>
      </c>
      <c r="CJ7" s="27">
        <f>IF($A7="",0,IF(Mitarbeiter!$G$5=FALSE,0,IF(AND(Mitarbeiter!$E$5&lt;&gt;"",CJ$5+6&lt;Mitarbeiter!$E$5),0,IF(AND(Mitarbeiter!$F$5&lt;&gt;"",CJ$5&gt;Mitarbeiter!$F$5),0,IF(Planung!CJ7="",$C7,IF(ISNUMBER(Planung!CJ7),Planung!CJ7,IF(UPPER(Planung!CJ7)="H",$C7/2,0)))))))</f>
        <v>0</v>
      </c>
      <c r="CK7" s="27">
        <f>IF($A7="",0,IF(Mitarbeiter!$G$5=FALSE,0,IF(AND(Mitarbeiter!$E$5&lt;&gt;"",CK$5+6&lt;Mitarbeiter!$E$5),0,IF(AND(Mitarbeiter!$F$5&lt;&gt;"",CK$5&gt;Mitarbeiter!$F$5),0,IF(Planung!CK7="",$C7,IF(ISNUMBER(Planung!CK7),Planung!CK7,IF(UPPER(Planung!CK7)="H",$C7/2,0)))))))</f>
        <v>0</v>
      </c>
      <c r="CL7" s="27">
        <f>IF($A7="",0,IF(Mitarbeiter!$G$5=FALSE,0,IF(AND(Mitarbeiter!$E$5&lt;&gt;"",CL$5+6&lt;Mitarbeiter!$E$5),0,IF(AND(Mitarbeiter!$F$5&lt;&gt;"",CL$5&gt;Mitarbeiter!$F$5),0,IF(Planung!CL7="",$C7,IF(ISNUMBER(Planung!CL7),Planung!CL7,IF(UPPER(Planung!CL7)="H",$C7/2,0)))))))</f>
        <v>0</v>
      </c>
      <c r="CM7" s="27">
        <f>IF($A7="",0,IF(Mitarbeiter!$G$5=FALSE,0,IF(AND(Mitarbeiter!$E$5&lt;&gt;"",CM$5+6&lt;Mitarbeiter!$E$5),0,IF(AND(Mitarbeiter!$F$5&lt;&gt;"",CM$5&gt;Mitarbeiter!$F$5),0,IF(Planung!CM7="",$C7,IF(ISNUMBER(Planung!CM7),Planung!CM7,IF(UPPER(Planung!CM7)="H",$C7/2,0)))))))</f>
        <v>0</v>
      </c>
      <c r="CN7" s="27">
        <f>IF($A7="",0,IF(Mitarbeiter!$G$5=FALSE,0,IF(AND(Mitarbeiter!$E$5&lt;&gt;"",CN$5+6&lt;Mitarbeiter!$E$5),0,IF(AND(Mitarbeiter!$F$5&lt;&gt;"",CN$5&gt;Mitarbeiter!$F$5),0,IF(Planung!CN7="",$C7,IF(ISNUMBER(Planung!CN7),Planung!CN7,IF(UPPER(Planung!CN7)="H",$C7/2,0)))))))</f>
        <v>0</v>
      </c>
      <c r="CO7" s="27">
        <f>IF($A7="",0,IF(Mitarbeiter!$G$5=FALSE,0,IF(AND(Mitarbeiter!$E$5&lt;&gt;"",CO$5+6&lt;Mitarbeiter!$E$5),0,IF(AND(Mitarbeiter!$F$5&lt;&gt;"",CO$5&gt;Mitarbeiter!$F$5),0,IF(Planung!CO7="",$C7,IF(ISNUMBER(Planung!CO7),Planung!CO7,IF(UPPER(Planung!CO7)="H",$C7/2,0)))))))</f>
        <v>0</v>
      </c>
      <c r="CP7" s="27">
        <f>IF($A7="",0,IF(Mitarbeiter!$G$5=FALSE,0,IF(AND(Mitarbeiter!$E$5&lt;&gt;"",CP$5+6&lt;Mitarbeiter!$E$5),0,IF(AND(Mitarbeiter!$F$5&lt;&gt;"",CP$5&gt;Mitarbeiter!$F$5),0,IF(Planung!CP7="",$C7,IF(ISNUMBER(Planung!CP7),Planung!CP7,IF(UPPER(Planung!CP7)="H",$C7/2,0)))))))</f>
        <v>0</v>
      </c>
      <c r="CQ7" s="27">
        <f>IF($A7="",0,IF(Mitarbeiter!$G$5=FALSE,0,IF(AND(Mitarbeiter!$E$5&lt;&gt;"",CQ$5+6&lt;Mitarbeiter!$E$5),0,IF(AND(Mitarbeiter!$F$5&lt;&gt;"",CQ$5&gt;Mitarbeiter!$F$5),0,IF(Planung!CQ7="",$C7,IF(ISNUMBER(Planung!CQ7),Planung!CQ7,IF(UPPER(Planung!CQ7)="H",$C7/2,0)))))))</f>
        <v>0</v>
      </c>
      <c r="CR7" s="27">
        <f>IF($A7="",0,IF(Mitarbeiter!$G$5=FALSE,0,IF(AND(Mitarbeiter!$E$5&lt;&gt;"",CR$5+6&lt;Mitarbeiter!$E$5),0,IF(AND(Mitarbeiter!$F$5&lt;&gt;"",CR$5&gt;Mitarbeiter!$F$5),0,IF(Planung!CR7="",$C7,IF(ISNUMBER(Planung!CR7),Planung!CR7,IF(UPPER(Planung!CR7)="H",$C7/2,0)))))))</f>
        <v>0</v>
      </c>
      <c r="CS7" s="27">
        <f>IF($A7="",0,IF(Mitarbeiter!$G$5=FALSE,0,IF(AND(Mitarbeiter!$E$5&lt;&gt;"",CS$5+6&lt;Mitarbeiter!$E$5),0,IF(AND(Mitarbeiter!$F$5&lt;&gt;"",CS$5&gt;Mitarbeiter!$F$5),0,IF(Planung!CS7="",$C7,IF(ISNUMBER(Planung!CS7),Planung!CS7,IF(UPPER(Planung!CS7)="H",$C7/2,0)))))))</f>
        <v>0</v>
      </c>
      <c r="CT7" s="27">
        <f>IF($A7="",0,IF(Mitarbeiter!$G$5=FALSE,0,IF(AND(Mitarbeiter!$E$5&lt;&gt;"",CT$5+6&lt;Mitarbeiter!$E$5),0,IF(AND(Mitarbeiter!$F$5&lt;&gt;"",CT$5&gt;Mitarbeiter!$F$5),0,IF(Planung!CT7="",$C7,IF(ISNUMBER(Planung!CT7),Planung!CT7,IF(UPPER(Planung!CT7)="H",$C7/2,0)))))))</f>
        <v>0</v>
      </c>
      <c r="CU7" s="27">
        <f>IF($A7="",0,IF(Mitarbeiter!$G$5=FALSE,0,IF(AND(Mitarbeiter!$E$5&lt;&gt;"",CU$5+6&lt;Mitarbeiter!$E$5),0,IF(AND(Mitarbeiter!$F$5&lt;&gt;"",CU$5&gt;Mitarbeiter!$F$5),0,IF(Planung!CU7="",$C7,IF(ISNUMBER(Planung!CU7),Planung!CU7,IF(UPPER(Planung!CU7)="H",$C7/2,0)))))))</f>
        <v>0</v>
      </c>
      <c r="CV7" s="27">
        <f>IF($A7="",0,IF(Mitarbeiter!$G$5=FALSE,0,IF(AND(Mitarbeiter!$E$5&lt;&gt;"",CV$5+6&lt;Mitarbeiter!$E$5),0,IF(AND(Mitarbeiter!$F$5&lt;&gt;"",CV$5&gt;Mitarbeiter!$F$5),0,IF(Planung!CV7="",$C7,IF(ISNUMBER(Planung!CV7),Planung!CV7,IF(UPPER(Planung!CV7)="H",$C7/2,0)))))))</f>
        <v>0</v>
      </c>
      <c r="CW7" s="27">
        <f>IF($A7="",0,IF(Mitarbeiter!$G$5=FALSE,0,IF(AND(Mitarbeiter!$E$5&lt;&gt;"",CW$5+6&lt;Mitarbeiter!$E$5),0,IF(AND(Mitarbeiter!$F$5&lt;&gt;"",CW$5&gt;Mitarbeiter!$F$5),0,IF(Planung!CW7="",$C7,IF(ISNUMBER(Planung!CW7),Planung!CW7,IF(UPPER(Planung!CW7)="H",$C7/2,0)))))))</f>
        <v>0</v>
      </c>
      <c r="CX7" s="27">
        <f>IF($A7="",0,IF(Mitarbeiter!$G$5=FALSE,0,IF(AND(Mitarbeiter!$E$5&lt;&gt;"",CX$5+6&lt;Mitarbeiter!$E$5),0,IF(AND(Mitarbeiter!$F$5&lt;&gt;"",CX$5&gt;Mitarbeiter!$F$5),0,IF(Planung!CX7="",$C7,IF(ISNUMBER(Planung!CX7),Planung!CX7,IF(UPPER(Planung!CX7)="H",$C7/2,0)))))))</f>
        <v>0</v>
      </c>
      <c r="CY7" s="27">
        <f>IF($A7="",0,IF(Mitarbeiter!$G$5=FALSE,0,IF(AND(Mitarbeiter!$E$5&lt;&gt;"",CY$5+6&lt;Mitarbeiter!$E$5),0,IF(AND(Mitarbeiter!$F$5&lt;&gt;"",CY$5&gt;Mitarbeiter!$F$5),0,IF(Planung!CY7="",$C7,IF(ISNUMBER(Planung!CY7),Planung!CY7,IF(UPPER(Planung!CY7)="H",$C7/2,0)))))))</f>
        <v>0</v>
      </c>
      <c r="CZ7" s="27">
        <f>IF($A7="",0,IF(Mitarbeiter!$G$5=FALSE,0,IF(AND(Mitarbeiter!$E$5&lt;&gt;"",CZ$5+6&lt;Mitarbeiter!$E$5),0,IF(AND(Mitarbeiter!$F$5&lt;&gt;"",CZ$5&gt;Mitarbeiter!$F$5),0,IF(Planung!CZ7="",$C7,IF(ISNUMBER(Planung!CZ7),Planung!CZ7,IF(UPPER(Planung!CZ7)="H",$C7/2,0)))))))</f>
        <v>0</v>
      </c>
      <c r="DA7" s="27">
        <f>IF($A7="",0,IF(Mitarbeiter!$G$5=FALSE,0,IF(AND(Mitarbeiter!$E$5&lt;&gt;"",DA$5+6&lt;Mitarbeiter!$E$5),0,IF(AND(Mitarbeiter!$F$5&lt;&gt;"",DA$5&gt;Mitarbeiter!$F$5),0,IF(Planung!DA7="",$C7,IF(ISNUMBER(Planung!DA7),Planung!DA7,IF(UPPER(Planung!DA7)="H",$C7/2,0)))))))</f>
        <v>0</v>
      </c>
      <c r="DB7" s="27">
        <f>IF($A7="",0,IF(Mitarbeiter!$G$5=FALSE,0,IF(AND(Mitarbeiter!$E$5&lt;&gt;"",DB$5+6&lt;Mitarbeiter!$E$5),0,IF(AND(Mitarbeiter!$F$5&lt;&gt;"",DB$5&gt;Mitarbeiter!$F$5),0,IF(Planung!DB7="",$C7,IF(ISNUMBER(Planung!DB7),Planung!DB7,IF(UPPER(Planung!DB7)="H",$C7/2,0)))))))</f>
        <v>0</v>
      </c>
      <c r="DC7" s="27">
        <f>IF($A7="",0,IF(Mitarbeiter!$G$5=FALSE,0,IF(AND(Mitarbeiter!$E$5&lt;&gt;"",DC$5+6&lt;Mitarbeiter!$E$5),0,IF(AND(Mitarbeiter!$F$5&lt;&gt;"",DC$5&gt;Mitarbeiter!$F$5),0,IF(Planung!DC7="",$C7,IF(ISNUMBER(Planung!DC7),Planung!DC7,IF(UPPER(Planung!DC7)="H",$C7/2,0)))))))</f>
        <v>0</v>
      </c>
      <c r="DD7" s="27">
        <f>IF($A7="",0,IF(Mitarbeiter!$G$5=FALSE,0,IF(AND(Mitarbeiter!$E$5&lt;&gt;"",DD$5+6&lt;Mitarbeiter!$E$5),0,IF(AND(Mitarbeiter!$F$5&lt;&gt;"",DD$5&gt;Mitarbeiter!$F$5),0,IF(Planung!DD7="",$C7,IF(ISNUMBER(Planung!DD7),Planung!DD7,IF(UPPER(Planung!DD7)="H",$C7/2,0)))))))</f>
        <v>0</v>
      </c>
      <c r="DE7" s="27">
        <f>IF($A7="",0,IF(Mitarbeiter!$G$5=FALSE,0,IF(AND(Mitarbeiter!$E$5&lt;&gt;"",DE$5+6&lt;Mitarbeiter!$E$5),0,IF(AND(Mitarbeiter!$F$5&lt;&gt;"",DE$5&gt;Mitarbeiter!$F$5),0,IF(Planung!DE7="",$C7,IF(ISNUMBER(Planung!DE7),Planung!DE7,IF(UPPER(Planung!DE7)="H",$C7/2,0)))))))</f>
        <v>0</v>
      </c>
      <c r="DF7" s="27">
        <f>IF($A7="",0,IF(Mitarbeiter!$G$5=FALSE,0,IF(AND(Mitarbeiter!$E$5&lt;&gt;"",DF$5+6&lt;Mitarbeiter!$E$5),0,IF(AND(Mitarbeiter!$F$5&lt;&gt;"",DF$5&gt;Mitarbeiter!$F$5),0,IF(Planung!DF7="",$C7,IF(ISNUMBER(Planung!DF7),Planung!DF7,IF(UPPER(Planung!DF7)="H",$C7/2,0)))))))</f>
        <v>0</v>
      </c>
      <c r="DG7" s="27">
        <f>IF($A7="",0,IF(Mitarbeiter!$G$5=FALSE,0,IF(AND(Mitarbeiter!$E$5&lt;&gt;"",DG$5+6&lt;Mitarbeiter!$E$5),0,IF(AND(Mitarbeiter!$F$5&lt;&gt;"",DG$5&gt;Mitarbeiter!$F$5),0,IF(Planung!DG7="",$C7,IF(ISNUMBER(Planung!DG7),Planung!DG7,IF(UPPER(Planung!DG7)="H",$C7/2,0)))))))</f>
        <v>0</v>
      </c>
      <c r="DH7" s="27">
        <f>IF($A7="",0,IF(Mitarbeiter!$G$5=FALSE,0,IF(AND(Mitarbeiter!$E$5&lt;&gt;"",DH$5+6&lt;Mitarbeiter!$E$5),0,IF(AND(Mitarbeiter!$F$5&lt;&gt;"",DH$5&gt;Mitarbeiter!$F$5),0,IF(Planung!DH7="",$C7,IF(ISNUMBER(Planung!DH7),Planung!DH7,IF(UPPER(Planung!DH7)="H",$C7/2,0)))))))</f>
        <v>0</v>
      </c>
      <c r="DI7" s="27">
        <f>IF($A7="",0,IF(Mitarbeiter!$G$5=FALSE,0,IF(AND(Mitarbeiter!$E$5&lt;&gt;"",DI$5+6&lt;Mitarbeiter!$E$5),0,IF(AND(Mitarbeiter!$F$5&lt;&gt;"",DI$5&gt;Mitarbeiter!$F$5),0,IF(Planung!DI7="",$C7,IF(ISNUMBER(Planung!DI7),Planung!DI7,IF(UPPER(Planung!DI7)="H",$C7/2,0)))))))</f>
        <v>0</v>
      </c>
      <c r="DJ7" s="27">
        <f>IF($A7="",0,IF(Mitarbeiter!$G$5=FALSE,0,IF(AND(Mitarbeiter!$E$5&lt;&gt;"",DJ$5+6&lt;Mitarbeiter!$E$5),0,IF(AND(Mitarbeiter!$F$5&lt;&gt;"",DJ$5&gt;Mitarbeiter!$F$5),0,IF(Planung!DJ7="",$C7,IF(ISNUMBER(Planung!DJ7),Planung!DJ7,IF(UPPER(Planung!DJ7)="H",$C7/2,0)))))))</f>
        <v>0</v>
      </c>
      <c r="DK7" s="27">
        <f>IF($A7="",0,IF(Mitarbeiter!$G$5=FALSE,0,IF(AND(Mitarbeiter!$E$5&lt;&gt;"",DK$5+6&lt;Mitarbeiter!$E$5),0,IF(AND(Mitarbeiter!$F$5&lt;&gt;"",DK$5&gt;Mitarbeiter!$F$5),0,IF(Planung!DK7="",$C7,IF(ISNUMBER(Planung!DK7),Planung!DK7,IF(UPPER(Planung!DK7)="H",$C7/2,0)))))))</f>
        <v>0</v>
      </c>
      <c r="DL7" s="27">
        <f>IF($A7="",0,IF(Mitarbeiter!$G$5=FALSE,0,IF(AND(Mitarbeiter!$E$5&lt;&gt;"",DL$5+6&lt;Mitarbeiter!$E$5),0,IF(AND(Mitarbeiter!$F$5&lt;&gt;"",DL$5&gt;Mitarbeiter!$F$5),0,IF(Planung!DL7="",$C7,IF(ISNUMBER(Planung!DL7),Planung!DL7,IF(UPPER(Planung!DL7)="H",$C7/2,0)))))))</f>
        <v>0</v>
      </c>
      <c r="DM7" s="27">
        <f>IF($A7="",0,IF(Mitarbeiter!$G$5=FALSE,0,IF(AND(Mitarbeiter!$E$5&lt;&gt;"",DM$5+6&lt;Mitarbeiter!$E$5),0,IF(AND(Mitarbeiter!$F$5&lt;&gt;"",DM$5&gt;Mitarbeiter!$F$5),0,IF(Planung!DM7="",$C7,IF(ISNUMBER(Planung!DM7),Planung!DM7,IF(UPPER(Planung!DM7)="H",$C7/2,0)))))))</f>
        <v>0</v>
      </c>
      <c r="DN7" s="27">
        <f>IF($A7="",0,IF(Mitarbeiter!$G$5=FALSE,0,IF(AND(Mitarbeiter!$E$5&lt;&gt;"",DN$5+6&lt;Mitarbeiter!$E$5),0,IF(AND(Mitarbeiter!$F$5&lt;&gt;"",DN$5&gt;Mitarbeiter!$F$5),0,IF(Planung!DN7="",$C7,IF(ISNUMBER(Planung!DN7),Planung!DN7,IF(UPPER(Planung!DN7)="H",$C7/2,0)))))))</f>
        <v>0</v>
      </c>
      <c r="DO7" s="27">
        <f>IF($A7="",0,IF(Mitarbeiter!$G$5=FALSE,0,IF(AND(Mitarbeiter!$E$5&lt;&gt;"",DO$5+6&lt;Mitarbeiter!$E$5),0,IF(AND(Mitarbeiter!$F$5&lt;&gt;"",DO$5&gt;Mitarbeiter!$F$5),0,IF(Planung!DO7="",$C7,IF(ISNUMBER(Planung!DO7),Planung!DO7,IF(UPPER(Planung!DO7)="H",$C7/2,0)))))))</f>
        <v>0</v>
      </c>
      <c r="DP7" s="27">
        <f>IF($A7="",0,IF(Mitarbeiter!$G$5=FALSE,0,IF(AND(Mitarbeiter!$E$5&lt;&gt;"",DP$5+6&lt;Mitarbeiter!$E$5),0,IF(AND(Mitarbeiter!$F$5&lt;&gt;"",DP$5&gt;Mitarbeiter!$F$5),0,IF(Planung!DP7="",$C7,IF(ISNUMBER(Planung!DP7),Planung!DP7,IF(UPPER(Planung!DP7)="H",$C7/2,0)))))))</f>
        <v>0</v>
      </c>
      <c r="DQ7" s="27">
        <f>IF($A7="",0,IF(Mitarbeiter!$G$5=FALSE,0,IF(AND(Mitarbeiter!$E$5&lt;&gt;"",DQ$5+6&lt;Mitarbeiter!$E$5),0,IF(AND(Mitarbeiter!$F$5&lt;&gt;"",DQ$5&gt;Mitarbeiter!$F$5),0,IF(Planung!DQ7="",$C7,IF(ISNUMBER(Planung!DQ7),Planung!DQ7,IF(UPPER(Planung!DQ7)="H",$C7/2,0)))))))</f>
        <v>0</v>
      </c>
      <c r="DR7" s="27">
        <f>IF($A7="",0,IF(Mitarbeiter!$G$5=FALSE,0,IF(AND(Mitarbeiter!$E$5&lt;&gt;"",DR$5+6&lt;Mitarbeiter!$E$5),0,IF(AND(Mitarbeiter!$F$5&lt;&gt;"",DR$5&gt;Mitarbeiter!$F$5),0,IF(Planung!DR7="",$C7,IF(ISNUMBER(Planung!DR7),Planung!DR7,IF(UPPER(Planung!DR7)="H",$C7/2,0)))))))</f>
        <v>0</v>
      </c>
      <c r="DS7" s="27">
        <f>IF($A7="",0,IF(Mitarbeiter!$G$5=FALSE,0,IF(AND(Mitarbeiter!$E$5&lt;&gt;"",DS$5+6&lt;Mitarbeiter!$E$5),0,IF(AND(Mitarbeiter!$F$5&lt;&gt;"",DS$5&gt;Mitarbeiter!$F$5),0,IF(Planung!DS7="",$C7,IF(ISNUMBER(Planung!DS7),Planung!DS7,IF(UPPER(Planung!DS7)="H",$C7/2,0)))))))</f>
        <v>0</v>
      </c>
      <c r="DT7" s="27">
        <f>IF($A7="",0,IF(Mitarbeiter!$G$5=FALSE,0,IF(AND(Mitarbeiter!$E$5&lt;&gt;"",DT$5+6&lt;Mitarbeiter!$E$5),0,IF(AND(Mitarbeiter!$F$5&lt;&gt;"",DT$5&gt;Mitarbeiter!$F$5),0,IF(Planung!DT7="",$C7,IF(ISNUMBER(Planung!DT7),Planung!DT7,IF(UPPER(Planung!DT7)="H",$C7/2,0)))))))</f>
        <v>0</v>
      </c>
      <c r="DU7" s="27">
        <f>IF($A7="",0,IF(Mitarbeiter!$G$5=FALSE,0,IF(AND(Mitarbeiter!$E$5&lt;&gt;"",DU$5+6&lt;Mitarbeiter!$E$5),0,IF(AND(Mitarbeiter!$F$5&lt;&gt;"",DU$5&gt;Mitarbeiter!$F$5),0,IF(Planung!DU7="",$C7,IF(ISNUMBER(Planung!DU7),Planung!DU7,IF(UPPER(Planung!DU7)="H",$C7/2,0)))))))</f>
        <v>0</v>
      </c>
      <c r="DV7" s="27">
        <f>IF($A7="",0,IF(Mitarbeiter!$G$5=FALSE,0,IF(AND(Mitarbeiter!$E$5&lt;&gt;"",DV$5+6&lt;Mitarbeiter!$E$5),0,IF(AND(Mitarbeiter!$F$5&lt;&gt;"",DV$5&gt;Mitarbeiter!$F$5),0,IF(Planung!DV7="",$C7,IF(ISNUMBER(Planung!DV7),Planung!DV7,IF(UPPER(Planung!DV7)="H",$C7/2,0)))))))</f>
        <v>0</v>
      </c>
      <c r="DW7" s="27">
        <f>IF($A7="",0,IF(Mitarbeiter!$G$5=FALSE,0,IF(AND(Mitarbeiter!$E$5&lt;&gt;"",DW$5+6&lt;Mitarbeiter!$E$5),0,IF(AND(Mitarbeiter!$F$5&lt;&gt;"",DW$5&gt;Mitarbeiter!$F$5),0,IF(Planung!DW7="",$C7,IF(ISNUMBER(Planung!DW7),Planung!DW7,IF(UPPER(Planung!DW7)="H",$C7/2,0)))))))</f>
        <v>0</v>
      </c>
      <c r="DX7" s="27">
        <f>IF($A7="",0,IF(Mitarbeiter!$G$5=FALSE,0,IF(AND(Mitarbeiter!$E$5&lt;&gt;"",DX$5+6&lt;Mitarbeiter!$E$5),0,IF(AND(Mitarbeiter!$F$5&lt;&gt;"",DX$5&gt;Mitarbeiter!$F$5),0,IF(Planung!DX7="",$C7,IF(ISNUMBER(Planung!DX7),Planung!DX7,IF(UPPER(Planung!DX7)="H",$C7/2,0)))))))</f>
        <v>0</v>
      </c>
      <c r="DY7" s="27">
        <f>IF($A7="",0,IF(Mitarbeiter!$G$5=FALSE,0,IF(AND(Mitarbeiter!$E$5&lt;&gt;"",DY$5+6&lt;Mitarbeiter!$E$5),0,IF(AND(Mitarbeiter!$F$5&lt;&gt;"",DY$5&gt;Mitarbeiter!$F$5),0,IF(Planung!DY7="",$C7,IF(ISNUMBER(Planung!DY7),Planung!DY7,IF(UPPER(Planung!DY7)="H",$C7/2,0)))))))</f>
        <v>0</v>
      </c>
      <c r="DZ7" s="27">
        <f>IF($A7="",0,IF(Mitarbeiter!$G$5=FALSE,0,IF(AND(Mitarbeiter!$E$5&lt;&gt;"",DZ$5+6&lt;Mitarbeiter!$E$5),0,IF(AND(Mitarbeiter!$F$5&lt;&gt;"",DZ$5&gt;Mitarbeiter!$F$5),0,IF(Planung!DZ7="",$C7,IF(ISNUMBER(Planung!DZ7),Planung!DZ7,IF(UPPER(Planung!DZ7)="H",$C7/2,0)))))))</f>
        <v>0</v>
      </c>
      <c r="EA7" s="27">
        <f>IF($A7="",0,IF(Mitarbeiter!$G$5=FALSE,0,IF(AND(Mitarbeiter!$E$5&lt;&gt;"",EA$5+6&lt;Mitarbeiter!$E$5),0,IF(AND(Mitarbeiter!$F$5&lt;&gt;"",EA$5&gt;Mitarbeiter!$F$5),0,IF(Planung!EA7="",$C7,IF(ISNUMBER(Planung!EA7),Planung!EA7,IF(UPPER(Planung!EA7)="H",$C7/2,0)))))))</f>
        <v>0</v>
      </c>
      <c r="EB7" s="27">
        <f>IF($A7="",0,IF(Mitarbeiter!$G$5=FALSE,0,IF(AND(Mitarbeiter!$E$5&lt;&gt;"",EB$5+6&lt;Mitarbeiter!$E$5),0,IF(AND(Mitarbeiter!$F$5&lt;&gt;"",EB$5&gt;Mitarbeiter!$F$5),0,IF(Planung!EB7="",$C7,IF(ISNUMBER(Planung!EB7),Planung!EB7,IF(UPPER(Planung!EB7)="H",$C7/2,0)))))))</f>
        <v>0</v>
      </c>
      <c r="EC7" s="27">
        <f>IF($A7="",0,IF(Mitarbeiter!$G$5=FALSE,0,IF(AND(Mitarbeiter!$E$5&lt;&gt;"",EC$5+6&lt;Mitarbeiter!$E$5),0,IF(AND(Mitarbeiter!$F$5&lt;&gt;"",EC$5&gt;Mitarbeiter!$F$5),0,IF(Planung!EC7="",$C7,IF(ISNUMBER(Planung!EC7),Planung!EC7,IF(UPPER(Planung!EC7)="H",$C7/2,0)))))))</f>
        <v>0</v>
      </c>
      <c r="ED7" s="27">
        <f>IF($A7="",0,IF(Mitarbeiter!$G$5=FALSE,0,IF(AND(Mitarbeiter!$E$5&lt;&gt;"",ED$5+6&lt;Mitarbeiter!$E$5),0,IF(AND(Mitarbeiter!$F$5&lt;&gt;"",ED$5&gt;Mitarbeiter!$F$5),0,IF(Planung!ED7="",$C7,IF(ISNUMBER(Planung!ED7),Planung!ED7,IF(UPPER(Planung!ED7)="H",$C7/2,0)))))))</f>
        <v>0</v>
      </c>
      <c r="EE7" s="27">
        <f>IF($A7="",0,IF(Mitarbeiter!$G$5=FALSE,0,IF(AND(Mitarbeiter!$E$5&lt;&gt;"",EE$5+6&lt;Mitarbeiter!$E$5),0,IF(AND(Mitarbeiter!$F$5&lt;&gt;"",EE$5&gt;Mitarbeiter!$F$5),0,IF(Planung!EE7="",$C7,IF(ISNUMBER(Planung!EE7),Planung!EE7,IF(UPPER(Planung!EE7)="H",$C7/2,0)))))))</f>
        <v>0</v>
      </c>
      <c r="EF7" s="27">
        <f>IF($A7="",0,IF(Mitarbeiter!$G$5=FALSE,0,IF(AND(Mitarbeiter!$E$5&lt;&gt;"",EF$5+6&lt;Mitarbeiter!$E$5),0,IF(AND(Mitarbeiter!$F$5&lt;&gt;"",EF$5&gt;Mitarbeiter!$F$5),0,IF(Planung!EF7="",$C7,IF(ISNUMBER(Planung!EF7),Planung!EF7,IF(UPPER(Planung!EF7)="H",$C7/2,0)))))))</f>
        <v>0</v>
      </c>
      <c r="EG7" s="27">
        <f>IF($A7="",0,IF(Mitarbeiter!$G$5=FALSE,0,IF(AND(Mitarbeiter!$E$5&lt;&gt;"",EG$5+6&lt;Mitarbeiter!$E$5),0,IF(AND(Mitarbeiter!$F$5&lt;&gt;"",EG$5&gt;Mitarbeiter!$F$5),0,IF(Planung!EG7="",$C7,IF(ISNUMBER(Planung!EG7),Planung!EG7,IF(UPPER(Planung!EG7)="H",$C7/2,0)))))))</f>
        <v>0</v>
      </c>
      <c r="EH7" s="27">
        <f>IF($A7="",0,IF(Mitarbeiter!$G$5=FALSE,0,IF(AND(Mitarbeiter!$E$5&lt;&gt;"",EH$5+6&lt;Mitarbeiter!$E$5),0,IF(AND(Mitarbeiter!$F$5&lt;&gt;"",EH$5&gt;Mitarbeiter!$F$5),0,IF(Planung!EH7="",$C7,IF(ISNUMBER(Planung!EH7),Planung!EH7,IF(UPPER(Planung!EH7)="H",$C7/2,0)))))))</f>
        <v>0</v>
      </c>
      <c r="EI7" s="27">
        <f>IF($A7="",0,IF(Mitarbeiter!$G$5=FALSE,0,IF(AND(Mitarbeiter!$E$5&lt;&gt;"",EI$5+6&lt;Mitarbeiter!$E$5),0,IF(AND(Mitarbeiter!$F$5&lt;&gt;"",EI$5&gt;Mitarbeiter!$F$5),0,IF(Planung!EI7="",$C7,IF(ISNUMBER(Planung!EI7),Planung!EI7,IF(UPPER(Planung!EI7)="H",$C7/2,0)))))))</f>
        <v>0</v>
      </c>
      <c r="EJ7" s="27">
        <f>IF($A7="",0,IF(Mitarbeiter!$G$5=FALSE,0,IF(AND(Mitarbeiter!$E$5&lt;&gt;"",EJ$5+6&lt;Mitarbeiter!$E$5),0,IF(AND(Mitarbeiter!$F$5&lt;&gt;"",EJ$5&gt;Mitarbeiter!$F$5),0,IF(Planung!EJ7="",$C7,IF(ISNUMBER(Planung!EJ7),Planung!EJ7,IF(UPPER(Planung!EJ7)="H",$C7/2,0)))))))</f>
        <v>0</v>
      </c>
      <c r="EK7" s="27">
        <f>IF($A7="",0,IF(Mitarbeiter!$G$5=FALSE,0,IF(AND(Mitarbeiter!$E$5&lt;&gt;"",EK$5+6&lt;Mitarbeiter!$E$5),0,IF(AND(Mitarbeiter!$F$5&lt;&gt;"",EK$5&gt;Mitarbeiter!$F$5),0,IF(Planung!EK7="",$C7,IF(ISNUMBER(Planung!EK7),Planung!EK7,IF(UPPER(Planung!EK7)="H",$C7/2,0)))))))</f>
        <v>0</v>
      </c>
      <c r="EL7" s="27">
        <f>IF($A7="",0,IF(Mitarbeiter!$G$5=FALSE,0,IF(AND(Mitarbeiter!$E$5&lt;&gt;"",EL$5+6&lt;Mitarbeiter!$E$5),0,IF(AND(Mitarbeiter!$F$5&lt;&gt;"",EL$5&gt;Mitarbeiter!$F$5),0,IF(Planung!EL7="",$C7,IF(ISNUMBER(Planung!EL7),Planung!EL7,IF(UPPER(Planung!EL7)="H",$C7/2,0)))))))</f>
        <v>0</v>
      </c>
      <c r="EM7" s="27">
        <f>IF($A7="",0,IF(Mitarbeiter!$G$5=FALSE,0,IF(AND(Mitarbeiter!$E$5&lt;&gt;"",EM$5+6&lt;Mitarbeiter!$E$5),0,IF(AND(Mitarbeiter!$F$5&lt;&gt;"",EM$5&gt;Mitarbeiter!$F$5),0,IF(Planung!EM7="",$C7,IF(ISNUMBER(Planung!EM7),Planung!EM7,IF(UPPER(Planung!EM7)="H",$C7/2,0)))))))</f>
        <v>0</v>
      </c>
      <c r="EN7" s="27">
        <f>IF($A7="",0,IF(Mitarbeiter!$G$5=FALSE,0,IF(AND(Mitarbeiter!$E$5&lt;&gt;"",EN$5+6&lt;Mitarbeiter!$E$5),0,IF(AND(Mitarbeiter!$F$5&lt;&gt;"",EN$5&gt;Mitarbeiter!$F$5),0,IF(Planung!EN7="",$C7,IF(ISNUMBER(Planung!EN7),Planung!EN7,IF(UPPER(Planung!EN7)="H",$C7/2,0)))))))</f>
        <v>0</v>
      </c>
      <c r="EO7" s="27">
        <f>IF($A7="",0,IF(Mitarbeiter!$G$5=FALSE,0,IF(AND(Mitarbeiter!$E$5&lt;&gt;"",EO$5+6&lt;Mitarbeiter!$E$5),0,IF(AND(Mitarbeiter!$F$5&lt;&gt;"",EO$5&gt;Mitarbeiter!$F$5),0,IF(Planung!EO7="",$C7,IF(ISNUMBER(Planung!EO7),Planung!EO7,IF(UPPER(Planung!EO7)="H",$C7/2,0)))))))</f>
        <v>0</v>
      </c>
      <c r="EP7" s="27">
        <f>IF($A7="",0,IF(Mitarbeiter!$G$5=FALSE,0,IF(AND(Mitarbeiter!$E$5&lt;&gt;"",EP$5+6&lt;Mitarbeiter!$E$5),0,IF(AND(Mitarbeiter!$F$5&lt;&gt;"",EP$5&gt;Mitarbeiter!$F$5),0,IF(Planung!EP7="",$C7,IF(ISNUMBER(Planung!EP7),Planung!EP7,IF(UPPER(Planung!EP7)="H",$C7/2,0)))))))</f>
        <v>0</v>
      </c>
      <c r="EQ7" s="27">
        <f>IF($A7="",0,IF(Mitarbeiter!$G$5=FALSE,0,IF(AND(Mitarbeiter!$E$5&lt;&gt;"",EQ$5+6&lt;Mitarbeiter!$E$5),0,IF(AND(Mitarbeiter!$F$5&lt;&gt;"",EQ$5&gt;Mitarbeiter!$F$5),0,IF(Planung!EQ7="",$C7,IF(ISNUMBER(Planung!EQ7),Planung!EQ7,IF(UPPER(Planung!EQ7)="H",$C7/2,0)))))))</f>
        <v>0</v>
      </c>
      <c r="ER7" s="27">
        <f>IF($A7="",0,IF(Mitarbeiter!$G$5=FALSE,0,IF(AND(Mitarbeiter!$E$5&lt;&gt;"",ER$5+6&lt;Mitarbeiter!$E$5),0,IF(AND(Mitarbeiter!$F$5&lt;&gt;"",ER$5&gt;Mitarbeiter!$F$5),0,IF(Planung!ER7="",$C7,IF(ISNUMBER(Planung!ER7),Planung!ER7,IF(UPPER(Planung!ER7)="H",$C7/2,0)))))))</f>
        <v>0</v>
      </c>
      <c r="ES7" s="27">
        <f>IF($A7="",0,IF(Mitarbeiter!$G$5=FALSE,0,IF(AND(Mitarbeiter!$E$5&lt;&gt;"",ES$5+6&lt;Mitarbeiter!$E$5),0,IF(AND(Mitarbeiter!$F$5&lt;&gt;"",ES$5&gt;Mitarbeiter!$F$5),0,IF(Planung!ES7="",$C7,IF(ISNUMBER(Planung!ES7),Planung!ES7,IF(UPPER(Planung!ES7)="H",$C7/2,0)))))))</f>
        <v>0</v>
      </c>
      <c r="ET7" s="27">
        <f>IF($A7="",0,IF(Mitarbeiter!$G$5=FALSE,0,IF(AND(Mitarbeiter!$E$5&lt;&gt;"",ET$5+6&lt;Mitarbeiter!$E$5),0,IF(AND(Mitarbeiter!$F$5&lt;&gt;"",ET$5&gt;Mitarbeiter!$F$5),0,IF(Planung!ET7="",$C7,IF(ISNUMBER(Planung!ET7),Planung!ET7,IF(UPPER(Planung!ET7)="H",$C7/2,0)))))))</f>
        <v>0</v>
      </c>
      <c r="EU7" s="27">
        <f>IF($A7="",0,IF(Mitarbeiter!$G$5=FALSE,0,IF(AND(Mitarbeiter!$E$5&lt;&gt;"",EU$5+6&lt;Mitarbeiter!$E$5),0,IF(AND(Mitarbeiter!$F$5&lt;&gt;"",EU$5&gt;Mitarbeiter!$F$5),0,IF(Planung!EU7="",$C7,IF(ISNUMBER(Planung!EU7),Planung!EU7,IF(UPPER(Planung!EU7)="H",$C7/2,0)))))))</f>
        <v>0</v>
      </c>
      <c r="EV7" s="27">
        <f>IF($A7="",0,IF(Mitarbeiter!$G$5=FALSE,0,IF(AND(Mitarbeiter!$E$5&lt;&gt;"",EV$5+6&lt;Mitarbeiter!$E$5),0,IF(AND(Mitarbeiter!$F$5&lt;&gt;"",EV$5&gt;Mitarbeiter!$F$5),0,IF(Planung!EV7="",$C7,IF(ISNUMBER(Planung!EV7),Planung!EV7,IF(UPPER(Planung!EV7)="H",$C7/2,0)))))))</f>
        <v>0</v>
      </c>
      <c r="EW7" s="27">
        <f>IF($A7="",0,IF(Mitarbeiter!$G$5=FALSE,0,IF(AND(Mitarbeiter!$E$5&lt;&gt;"",EW$5+6&lt;Mitarbeiter!$E$5),0,IF(AND(Mitarbeiter!$F$5&lt;&gt;"",EW$5&gt;Mitarbeiter!$F$5),0,IF(Planung!EW7="",$C7,IF(ISNUMBER(Planung!EW7),Planung!EW7,IF(UPPER(Planung!EW7)="H",$C7/2,0)))))))</f>
        <v>0</v>
      </c>
      <c r="EX7" s="27">
        <f>IF($A7="",0,IF(Mitarbeiter!$G$5=FALSE,0,IF(AND(Mitarbeiter!$E$5&lt;&gt;"",EX$5+6&lt;Mitarbeiter!$E$5),0,IF(AND(Mitarbeiter!$F$5&lt;&gt;"",EX$5&gt;Mitarbeiter!$F$5),0,IF(Planung!EX7="",$C7,IF(ISNUMBER(Planung!EX7),Planung!EX7,IF(UPPER(Planung!EX7)="H",$C7/2,0)))))))</f>
        <v>0</v>
      </c>
      <c r="EY7" s="27">
        <f>IF($A7="",0,IF(Mitarbeiter!$G$5=FALSE,0,IF(AND(Mitarbeiter!$E$5&lt;&gt;"",EY$5+6&lt;Mitarbeiter!$E$5),0,IF(AND(Mitarbeiter!$F$5&lt;&gt;"",EY$5&gt;Mitarbeiter!$F$5),0,IF(Planung!EY7="",$C7,IF(ISNUMBER(Planung!EY7),Planung!EY7,IF(UPPER(Planung!EY7)="H",$C7/2,0)))))))</f>
        <v>0</v>
      </c>
      <c r="EZ7" s="27">
        <f>IF($A7="",0,IF(Mitarbeiter!$G$5=FALSE,0,IF(AND(Mitarbeiter!$E$5&lt;&gt;"",EZ$5+6&lt;Mitarbeiter!$E$5),0,IF(AND(Mitarbeiter!$F$5&lt;&gt;"",EZ$5&gt;Mitarbeiter!$F$5),0,IF(Planung!EZ7="",$C7,IF(ISNUMBER(Planung!EZ7),Planung!EZ7,IF(UPPER(Planung!EZ7)="H",$C7/2,0)))))))</f>
        <v>0</v>
      </c>
      <c r="FA7" s="27">
        <f>IF($A7="",0,IF(Mitarbeiter!$G$5=FALSE,0,IF(AND(Mitarbeiter!$E$5&lt;&gt;"",FA$5+6&lt;Mitarbeiter!$E$5),0,IF(AND(Mitarbeiter!$F$5&lt;&gt;"",FA$5&gt;Mitarbeiter!$F$5),0,IF(Planung!FA7="",$C7,IF(ISNUMBER(Planung!FA7),Planung!FA7,IF(UPPER(Planung!FA7)="H",$C7/2,0)))))))</f>
        <v>0</v>
      </c>
      <c r="FB7" s="27">
        <f>IF($A7="",0,IF(Mitarbeiter!$G$5=FALSE,0,IF(AND(Mitarbeiter!$E$5&lt;&gt;"",FB$5+6&lt;Mitarbeiter!$E$5),0,IF(AND(Mitarbeiter!$F$5&lt;&gt;"",FB$5&gt;Mitarbeiter!$F$5),0,IF(Planung!FB7="",$C7,IF(ISNUMBER(Planung!FB7),Planung!FB7,IF(UPPER(Planung!FB7)="H",$C7/2,0)))))))</f>
        <v>0</v>
      </c>
      <c r="FC7" s="27">
        <f>IF($A7="",0,IF(Mitarbeiter!$G$5=FALSE,0,IF(AND(Mitarbeiter!$E$5&lt;&gt;"",FC$5+6&lt;Mitarbeiter!$E$5),0,IF(AND(Mitarbeiter!$F$5&lt;&gt;"",FC$5&gt;Mitarbeiter!$F$5),0,IF(Planung!FC7="",$C7,IF(ISNUMBER(Planung!FC7),Planung!FC7,IF(UPPER(Planung!FC7)="H",$C7/2,0)))))))</f>
        <v>0</v>
      </c>
      <c r="FD7" s="27">
        <f>IF($A7="",0,IF(Mitarbeiter!$G$5=FALSE,0,IF(AND(Mitarbeiter!$E$5&lt;&gt;"",FD$5+6&lt;Mitarbeiter!$E$5),0,IF(AND(Mitarbeiter!$F$5&lt;&gt;"",FD$5&gt;Mitarbeiter!$F$5),0,IF(Planung!FD7="",$C7,IF(ISNUMBER(Planung!FD7),Planung!FD7,IF(UPPER(Planung!FD7)="H",$C7/2,0)))))))</f>
        <v>0</v>
      </c>
      <c r="FE7" s="27">
        <f>IF($A7="",0,IF(Mitarbeiter!$G$5=FALSE,0,IF(AND(Mitarbeiter!$E$5&lt;&gt;"",FE$5+6&lt;Mitarbeiter!$E$5),0,IF(AND(Mitarbeiter!$F$5&lt;&gt;"",FE$5&gt;Mitarbeiter!$F$5),0,IF(Planung!FE7="",$C7,IF(ISNUMBER(Planung!FE7),Planung!FE7,IF(UPPER(Planung!FE7)="H",$C7/2,0)))))))</f>
        <v>0</v>
      </c>
      <c r="FF7" s="27">
        <f>IF($A7="",0,IF(Mitarbeiter!$G$5=FALSE,0,IF(AND(Mitarbeiter!$E$5&lt;&gt;"",FF$5+6&lt;Mitarbeiter!$E$5),0,IF(AND(Mitarbeiter!$F$5&lt;&gt;"",FF$5&gt;Mitarbeiter!$F$5),0,IF(Planung!FF7="",$C7,IF(ISNUMBER(Planung!FF7),Planung!FF7,IF(UPPER(Planung!FF7)="H",$C7/2,0)))))))</f>
        <v>0</v>
      </c>
      <c r="FG7" s="27">
        <f>IF($A7="",0,IF(Mitarbeiter!$G$5=FALSE,0,IF(AND(Mitarbeiter!$E$5&lt;&gt;"",FG$5+6&lt;Mitarbeiter!$E$5),0,IF(AND(Mitarbeiter!$F$5&lt;&gt;"",FG$5&gt;Mitarbeiter!$F$5),0,IF(Planung!FG7="",$C7,IF(ISNUMBER(Planung!FG7),Planung!FG7,IF(UPPER(Planung!FG7)="H",$C7/2,0)))))))</f>
        <v>0</v>
      </c>
      <c r="FH7" s="27">
        <f>IF($A7="",0,IF(Mitarbeiter!$G$5=FALSE,0,IF(AND(Mitarbeiter!$E$5&lt;&gt;"",FH$5+6&lt;Mitarbeiter!$E$5),0,IF(AND(Mitarbeiter!$F$5&lt;&gt;"",FH$5&gt;Mitarbeiter!$F$5),0,IF(Planung!FH7="",$C7,IF(ISNUMBER(Planung!FH7),Planung!FH7,IF(UPPER(Planung!FH7)="H",$C7/2,0)))))))</f>
        <v>0</v>
      </c>
      <c r="FI7" s="27">
        <f>IF($A7="",0,IF(Mitarbeiter!$G$5=FALSE,0,IF(AND(Mitarbeiter!$E$5&lt;&gt;"",FI$5+6&lt;Mitarbeiter!$E$5),0,IF(AND(Mitarbeiter!$F$5&lt;&gt;"",FI$5&gt;Mitarbeiter!$F$5),0,IF(Planung!FI7="",$C7,IF(ISNUMBER(Planung!FI7),Planung!FI7,IF(UPPER(Planung!FI7)="H",$C7/2,0)))))))</f>
        <v>0</v>
      </c>
      <c r="FJ7" s="27">
        <f>IF($A7="",0,IF(Mitarbeiter!$G$5=FALSE,0,IF(AND(Mitarbeiter!$E$5&lt;&gt;"",FJ$5+6&lt;Mitarbeiter!$E$5),0,IF(AND(Mitarbeiter!$F$5&lt;&gt;"",FJ$5&gt;Mitarbeiter!$F$5),0,IF(Planung!FJ7="",$C7,IF(ISNUMBER(Planung!FJ7),Planung!FJ7,IF(UPPER(Planung!FJ7)="H",$C7/2,0)))))))</f>
        <v>0</v>
      </c>
      <c r="FK7" s="27">
        <f>IF($A7="",0,IF(Mitarbeiter!$G$5=FALSE,0,IF(AND(Mitarbeiter!$E$5&lt;&gt;"",FK$5+6&lt;Mitarbeiter!$E$5),0,IF(AND(Mitarbeiter!$F$5&lt;&gt;"",FK$5&gt;Mitarbeiter!$F$5),0,IF(Planung!FK7="",$C7,IF(ISNUMBER(Planung!FK7),Planung!FK7,IF(UPPER(Planung!FK7)="H",$C7/2,0)))))))</f>
        <v>0</v>
      </c>
      <c r="FL7" s="27">
        <f>IF($A7="",0,IF(Mitarbeiter!$G$5=FALSE,0,IF(AND(Mitarbeiter!$E$5&lt;&gt;"",FL$5+6&lt;Mitarbeiter!$E$5),0,IF(AND(Mitarbeiter!$F$5&lt;&gt;"",FL$5&gt;Mitarbeiter!$F$5),0,IF(Planung!FL7="",$C7,IF(ISNUMBER(Planung!FL7),Planung!FL7,IF(UPPER(Planung!FL7)="H",$C7/2,0)))))))</f>
        <v>0</v>
      </c>
      <c r="FM7" s="27">
        <f>IF($A7="",0,IF(Mitarbeiter!$G$5=FALSE,0,IF(AND(Mitarbeiter!$E$5&lt;&gt;"",FM$5+6&lt;Mitarbeiter!$E$5),0,IF(AND(Mitarbeiter!$F$5&lt;&gt;"",FM$5&gt;Mitarbeiter!$F$5),0,IF(Planung!FM7="",$C7,IF(ISNUMBER(Planung!FM7),Planung!FM7,IF(UPPER(Planung!FM7)="H",$C7/2,0)))))))</f>
        <v>0</v>
      </c>
      <c r="FN7" s="27">
        <f>IF($A7="",0,IF(Mitarbeiter!$G$5=FALSE,0,IF(AND(Mitarbeiter!$E$5&lt;&gt;"",FN$5+6&lt;Mitarbeiter!$E$5),0,IF(AND(Mitarbeiter!$F$5&lt;&gt;"",FN$5&gt;Mitarbeiter!$F$5),0,IF(Planung!FN7="",$C7,IF(ISNUMBER(Planung!FN7),Planung!FN7,IF(UPPER(Planung!FN7)="H",$C7/2,0)))))))</f>
        <v>0</v>
      </c>
      <c r="FO7" s="27">
        <f>IF($A7="",0,IF(Mitarbeiter!$G$5=FALSE,0,IF(AND(Mitarbeiter!$E$5&lt;&gt;"",FO$5+6&lt;Mitarbeiter!$E$5),0,IF(AND(Mitarbeiter!$F$5&lt;&gt;"",FO$5&gt;Mitarbeiter!$F$5),0,IF(Planung!FO7="",$C7,IF(ISNUMBER(Planung!FO7),Planung!FO7,IF(UPPER(Planung!FO7)="H",$C7/2,0)))))))</f>
        <v>0</v>
      </c>
      <c r="FP7" s="27">
        <f>IF($A7="",0,IF(Mitarbeiter!$G$5=FALSE,0,IF(AND(Mitarbeiter!$E$5&lt;&gt;"",FP$5+6&lt;Mitarbeiter!$E$5),0,IF(AND(Mitarbeiter!$F$5&lt;&gt;"",FP$5&gt;Mitarbeiter!$F$5),0,IF(Planung!FP7="",$C7,IF(ISNUMBER(Planung!FP7),Planung!FP7,IF(UPPER(Planung!FP7)="H",$C7/2,0)))))))</f>
        <v>0</v>
      </c>
      <c r="FQ7" s="27">
        <f>IF($A7="",0,IF(Mitarbeiter!$G$5=FALSE,0,IF(AND(Mitarbeiter!$E$5&lt;&gt;"",FQ$5+6&lt;Mitarbeiter!$E$5),0,IF(AND(Mitarbeiter!$F$5&lt;&gt;"",FQ$5&gt;Mitarbeiter!$F$5),0,IF(Planung!FQ7="",$C7,IF(ISNUMBER(Planung!FQ7),Planung!FQ7,IF(UPPER(Planung!FQ7)="H",$C7/2,0)))))))</f>
        <v>0</v>
      </c>
      <c r="FR7" s="27">
        <f>IF($A7="",0,IF(Mitarbeiter!$G$5=FALSE,0,IF(AND(Mitarbeiter!$E$5&lt;&gt;"",FR$5+6&lt;Mitarbeiter!$E$5),0,IF(AND(Mitarbeiter!$F$5&lt;&gt;"",FR$5&gt;Mitarbeiter!$F$5),0,IF(Planung!FR7="",$C7,IF(ISNUMBER(Planung!FR7),Planung!FR7,IF(UPPER(Planung!FR7)="H",$C7/2,0)))))))</f>
        <v>0</v>
      </c>
      <c r="FS7" s="27">
        <f>IF($A7="",0,IF(Mitarbeiter!$G$5=FALSE,0,IF(AND(Mitarbeiter!$E$5&lt;&gt;"",FS$5+6&lt;Mitarbeiter!$E$5),0,IF(AND(Mitarbeiter!$F$5&lt;&gt;"",FS$5&gt;Mitarbeiter!$F$5),0,IF(Planung!FS7="",$C7,IF(ISNUMBER(Planung!FS7),Planung!FS7,IF(UPPER(Planung!FS7)="H",$C7/2,0)))))))</f>
        <v>0</v>
      </c>
      <c r="FT7" s="27">
        <f>IF($A7="",0,IF(Mitarbeiter!$G$5=FALSE,0,IF(AND(Mitarbeiter!$E$5&lt;&gt;"",FT$5+6&lt;Mitarbeiter!$E$5),0,IF(AND(Mitarbeiter!$F$5&lt;&gt;"",FT$5&gt;Mitarbeiter!$F$5),0,IF(Planung!FT7="",$C7,IF(ISNUMBER(Planung!FT7),Planung!FT7,IF(UPPER(Planung!FT7)="H",$C7/2,0)))))))</f>
        <v>0</v>
      </c>
      <c r="FU7" s="27">
        <f>IF($A7="",0,IF(Mitarbeiter!$G$5=FALSE,0,IF(AND(Mitarbeiter!$E$5&lt;&gt;"",FU$5+6&lt;Mitarbeiter!$E$5),0,IF(AND(Mitarbeiter!$F$5&lt;&gt;"",FU$5&gt;Mitarbeiter!$F$5),0,IF(Planung!FU7="",$C7,IF(ISNUMBER(Planung!FU7),Planung!FU7,IF(UPPER(Planung!FU7)="H",$C7/2,0)))))))</f>
        <v>0</v>
      </c>
      <c r="FV7" s="27">
        <f>IF($A7="",0,IF(Mitarbeiter!$G$5=FALSE,0,IF(AND(Mitarbeiter!$E$5&lt;&gt;"",FV$5+6&lt;Mitarbeiter!$E$5),0,IF(AND(Mitarbeiter!$F$5&lt;&gt;"",FV$5&gt;Mitarbeiter!$F$5),0,IF(Planung!FV7="",$C7,IF(ISNUMBER(Planung!FV7),Planung!FV7,IF(UPPER(Planung!FV7)="H",$C7/2,0)))))))</f>
        <v>0</v>
      </c>
      <c r="FW7" s="27">
        <f>IF($A7="",0,IF(Mitarbeiter!$G$5=FALSE,0,IF(AND(Mitarbeiter!$E$5&lt;&gt;"",FW$5+6&lt;Mitarbeiter!$E$5),0,IF(AND(Mitarbeiter!$F$5&lt;&gt;"",FW$5&gt;Mitarbeiter!$F$5),0,IF(Planung!FW7="",$C7,IF(ISNUMBER(Planung!FW7),Planung!FW7,IF(UPPER(Planung!FW7)="H",$C7/2,0)))))))</f>
        <v>0</v>
      </c>
      <c r="FX7" s="27">
        <f>IF($A7="",0,IF(Mitarbeiter!$G$5=FALSE,0,IF(AND(Mitarbeiter!$E$5&lt;&gt;"",FX$5+6&lt;Mitarbeiter!$E$5),0,IF(AND(Mitarbeiter!$F$5&lt;&gt;"",FX$5&gt;Mitarbeiter!$F$5),0,IF(Planung!FX7="",$C7,IF(ISNUMBER(Planung!FX7),Planung!FX7,IF(UPPER(Planung!FX7)="H",$C7/2,0)))))))</f>
        <v>0</v>
      </c>
      <c r="FY7" s="27">
        <f>IF($A7="",0,IF(Mitarbeiter!$G$5=FALSE,0,IF(AND(Mitarbeiter!$E$5&lt;&gt;"",FY$5+6&lt;Mitarbeiter!$E$5),0,IF(AND(Mitarbeiter!$F$5&lt;&gt;"",FY$5&gt;Mitarbeiter!$F$5),0,IF(Planung!FY7="",$C7,IF(ISNUMBER(Planung!FY7),Planung!FY7,IF(UPPER(Planung!FY7)="H",$C7/2,0)))))))</f>
        <v>0</v>
      </c>
      <c r="FZ7" s="27">
        <f>IF($A7="",0,IF(Mitarbeiter!$G$5=FALSE,0,IF(AND(Mitarbeiter!$E$5&lt;&gt;"",FZ$5+6&lt;Mitarbeiter!$E$5),0,IF(AND(Mitarbeiter!$F$5&lt;&gt;"",FZ$5&gt;Mitarbeiter!$F$5),0,IF(Planung!FZ7="",$C7,IF(ISNUMBER(Planung!FZ7),Planung!FZ7,IF(UPPER(Planung!FZ7)="H",$C7/2,0)))))))</f>
        <v>0</v>
      </c>
      <c r="GA7" s="27">
        <f>IF($A7="",0,IF(Mitarbeiter!$G$5=FALSE,0,IF(AND(Mitarbeiter!$E$5&lt;&gt;"",GA$5+6&lt;Mitarbeiter!$E$5),0,IF(AND(Mitarbeiter!$F$5&lt;&gt;"",GA$5&gt;Mitarbeiter!$F$5),0,IF(Planung!GA7="",$C7,IF(ISNUMBER(Planung!GA7),Planung!GA7,IF(UPPER(Planung!GA7)="H",$C7/2,0)))))))</f>
        <v>0</v>
      </c>
      <c r="GB7" s="27">
        <f>IF($A7="",0,IF(Mitarbeiter!$G$5=FALSE,0,IF(AND(Mitarbeiter!$E$5&lt;&gt;"",GB$5+6&lt;Mitarbeiter!$E$5),0,IF(AND(Mitarbeiter!$F$5&lt;&gt;"",GB$5&gt;Mitarbeiter!$F$5),0,IF(Planung!GB7="",$C7,IF(ISNUMBER(Planung!GB7),Planung!GB7,IF(UPPER(Planung!GB7)="H",$C7/2,0)))))))</f>
        <v>0</v>
      </c>
      <c r="GC7" s="27">
        <f>IF($A7="",0,IF(Mitarbeiter!$G$5=FALSE,0,IF(AND(Mitarbeiter!$E$5&lt;&gt;"",GC$5+6&lt;Mitarbeiter!$E$5),0,IF(AND(Mitarbeiter!$F$5&lt;&gt;"",GC$5&gt;Mitarbeiter!$F$5),0,IF(Planung!GC7="",$C7,IF(ISNUMBER(Planung!GC7),Planung!GC7,IF(UPPER(Planung!GC7)="H",$C7/2,0)))))))</f>
        <v>0</v>
      </c>
      <c r="GD7" s="27">
        <f>IF($A7="",0,IF(Mitarbeiter!$G$5=FALSE,0,IF(AND(Mitarbeiter!$E$5&lt;&gt;"",GD$5+6&lt;Mitarbeiter!$E$5),0,IF(AND(Mitarbeiter!$F$5&lt;&gt;"",GD$5&gt;Mitarbeiter!$F$5),0,IF(Planung!GD7="",$C7,IF(ISNUMBER(Planung!GD7),Planung!GD7,IF(UPPER(Planung!GD7)="H",$C7/2,0)))))))</f>
        <v>0</v>
      </c>
      <c r="GE7" s="27">
        <f>IF($A7="",0,IF(Mitarbeiter!$G$5=FALSE,0,IF(AND(Mitarbeiter!$E$5&lt;&gt;"",GE$5+6&lt;Mitarbeiter!$E$5),0,IF(AND(Mitarbeiter!$F$5&lt;&gt;"",GE$5&gt;Mitarbeiter!$F$5),0,IF(Planung!GE7="",$C7,IF(ISNUMBER(Planung!GE7),Planung!GE7,IF(UPPER(Planung!GE7)="H",$C7/2,0)))))))</f>
        <v>0</v>
      </c>
      <c r="GF7" s="27">
        <f>IF($A7="",0,IF(Mitarbeiter!$G$5=FALSE,0,IF(AND(Mitarbeiter!$E$5&lt;&gt;"",GF$5+6&lt;Mitarbeiter!$E$5),0,IF(AND(Mitarbeiter!$F$5&lt;&gt;"",GF$5&gt;Mitarbeiter!$F$5),0,IF(Planung!GF7="",$C7,IF(ISNUMBER(Planung!GF7),Planung!GF7,IF(UPPER(Planung!GF7)="H",$C7/2,0)))))))</f>
        <v>0</v>
      </c>
      <c r="GG7" s="27">
        <f>IF($A7="",0,IF(Mitarbeiter!$G$5=FALSE,0,IF(AND(Mitarbeiter!$E$5&lt;&gt;"",GG$5+6&lt;Mitarbeiter!$E$5),0,IF(AND(Mitarbeiter!$F$5&lt;&gt;"",GG$5&gt;Mitarbeiter!$F$5),0,IF(Planung!GG7="",$C7,IF(ISNUMBER(Planung!GG7),Planung!GG7,IF(UPPER(Planung!GG7)="H",$C7/2,0)))))))</f>
        <v>0</v>
      </c>
      <c r="GH7" s="27">
        <f>IF($A7="",0,IF(Mitarbeiter!$G$5=FALSE,0,IF(AND(Mitarbeiter!$E$5&lt;&gt;"",GH$5+6&lt;Mitarbeiter!$E$5),0,IF(AND(Mitarbeiter!$F$5&lt;&gt;"",GH$5&gt;Mitarbeiter!$F$5),0,IF(Planung!GH7="",$C7,IF(ISNUMBER(Planung!GH7),Planung!GH7,IF(UPPER(Planung!GH7)="H",$C7/2,0)))))))</f>
        <v>0</v>
      </c>
      <c r="GI7" s="27">
        <f>IF($A7="",0,IF(Mitarbeiter!$G$5=FALSE,0,IF(AND(Mitarbeiter!$E$5&lt;&gt;"",GI$5+6&lt;Mitarbeiter!$E$5),0,IF(AND(Mitarbeiter!$F$5&lt;&gt;"",GI$5&gt;Mitarbeiter!$F$5),0,IF(Planung!GI7="",$C7,IF(ISNUMBER(Planung!GI7),Planung!GI7,IF(UPPER(Planung!GI7)="H",$C7/2,0)))))))</f>
        <v>0</v>
      </c>
      <c r="GJ7" s="27">
        <f>IF($A7="",0,IF(Mitarbeiter!$G$5=FALSE,0,IF(AND(Mitarbeiter!$E$5&lt;&gt;"",GJ$5+6&lt;Mitarbeiter!$E$5),0,IF(AND(Mitarbeiter!$F$5&lt;&gt;"",GJ$5&gt;Mitarbeiter!$F$5),0,IF(Planung!GJ7="",$C7,IF(ISNUMBER(Planung!GJ7),Planung!GJ7,IF(UPPER(Planung!GJ7)="H",$C7/2,0)))))))</f>
        <v>0</v>
      </c>
      <c r="GK7" s="27">
        <f>IF($A7="",0,IF(Mitarbeiter!$G$5=FALSE,0,IF(AND(Mitarbeiter!$E$5&lt;&gt;"",GK$5+6&lt;Mitarbeiter!$E$5),0,IF(AND(Mitarbeiter!$F$5&lt;&gt;"",GK$5&gt;Mitarbeiter!$F$5),0,IF(Planung!GK7="",$C7,IF(ISNUMBER(Planung!GK7),Planung!GK7,IF(UPPER(Planung!GK7)="H",$C7/2,0)))))))</f>
        <v>0</v>
      </c>
      <c r="GL7" s="27">
        <f>IF($A7="",0,IF(Mitarbeiter!$G$5=FALSE,0,IF(AND(Mitarbeiter!$E$5&lt;&gt;"",GL$5+6&lt;Mitarbeiter!$E$5),0,IF(AND(Mitarbeiter!$F$5&lt;&gt;"",GL$5&gt;Mitarbeiter!$F$5),0,IF(Planung!GL7="",$C7,IF(ISNUMBER(Planung!GL7),Planung!GL7,IF(UPPER(Planung!GL7)="H",$C7/2,0)))))))</f>
        <v>0</v>
      </c>
      <c r="GM7" s="27">
        <f>IF($A7="",0,IF(Mitarbeiter!$G$5=FALSE,0,IF(AND(Mitarbeiter!$E$5&lt;&gt;"",GM$5+6&lt;Mitarbeiter!$E$5),0,IF(AND(Mitarbeiter!$F$5&lt;&gt;"",GM$5&gt;Mitarbeiter!$F$5),0,IF(Planung!GM7="",$C7,IF(ISNUMBER(Planung!GM7),Planung!GM7,IF(UPPER(Planung!GM7)="H",$C7/2,0)))))))</f>
        <v>0</v>
      </c>
      <c r="GN7" s="27">
        <f>IF($A7="",0,IF(Mitarbeiter!$G$5=FALSE,0,IF(AND(Mitarbeiter!$E$5&lt;&gt;"",GN$5+6&lt;Mitarbeiter!$E$5),0,IF(AND(Mitarbeiter!$F$5&lt;&gt;"",GN$5&gt;Mitarbeiter!$F$5),0,IF(Planung!GN7="",$C7,IF(ISNUMBER(Planung!GN7),Planung!GN7,IF(UPPER(Planung!GN7)="H",$C7/2,0)))))))</f>
        <v>0</v>
      </c>
      <c r="GO7" s="27">
        <f>IF($A7="",0,IF(Mitarbeiter!$G$5=FALSE,0,IF(AND(Mitarbeiter!$E$5&lt;&gt;"",GO$5+6&lt;Mitarbeiter!$E$5),0,IF(AND(Mitarbeiter!$F$5&lt;&gt;"",GO$5&gt;Mitarbeiter!$F$5),0,IF(Planung!GO7="",$C7,IF(ISNUMBER(Planung!GO7),Planung!GO7,IF(UPPER(Planung!GO7)="H",$C7/2,0)))))))</f>
        <v>0</v>
      </c>
      <c r="GP7" s="27">
        <f>IF($A7="",0,IF(Mitarbeiter!$G$5=FALSE,0,IF(AND(Mitarbeiter!$E$5&lt;&gt;"",GP$5+6&lt;Mitarbeiter!$E$5),0,IF(AND(Mitarbeiter!$F$5&lt;&gt;"",GP$5&gt;Mitarbeiter!$F$5),0,IF(Planung!GP7="",$C7,IF(ISNUMBER(Planung!GP7),Planung!GP7,IF(UPPER(Planung!GP7)="H",$C7/2,0)))))))</f>
        <v>0</v>
      </c>
      <c r="GQ7" s="27">
        <f>IF($A7="",0,IF(Mitarbeiter!$G$5=FALSE,0,IF(AND(Mitarbeiter!$E$5&lt;&gt;"",GQ$5+6&lt;Mitarbeiter!$E$5),0,IF(AND(Mitarbeiter!$F$5&lt;&gt;"",GQ$5&gt;Mitarbeiter!$F$5),0,IF(Planung!GQ7="",$C7,IF(ISNUMBER(Planung!GQ7),Planung!GQ7,IF(UPPER(Planung!GQ7)="H",$C7/2,0)))))))</f>
        <v>0</v>
      </c>
      <c r="GR7" s="27">
        <f>IF($A7="",0,IF(Mitarbeiter!$G$5=FALSE,0,IF(AND(Mitarbeiter!$E$5&lt;&gt;"",GR$5+6&lt;Mitarbeiter!$E$5),0,IF(AND(Mitarbeiter!$F$5&lt;&gt;"",GR$5&gt;Mitarbeiter!$F$5),0,IF(Planung!GR7="",$C7,IF(ISNUMBER(Planung!GR7),Planung!GR7,IF(UPPER(Planung!GR7)="H",$C7/2,0)))))))</f>
        <v>0</v>
      </c>
      <c r="GS7" s="27">
        <f>IF($A7="",0,IF(Mitarbeiter!$G$5=FALSE,0,IF(AND(Mitarbeiter!$E$5&lt;&gt;"",GS$5+6&lt;Mitarbeiter!$E$5),0,IF(AND(Mitarbeiter!$F$5&lt;&gt;"",GS$5&gt;Mitarbeiter!$F$5),0,IF(Planung!GS7="",$C7,IF(ISNUMBER(Planung!GS7),Planung!GS7,IF(UPPER(Planung!GS7)="H",$C7/2,0)))))))</f>
        <v>0</v>
      </c>
      <c r="GT7" s="27">
        <f>IF($A7="",0,IF(Mitarbeiter!$G$5=FALSE,0,IF(AND(Mitarbeiter!$E$5&lt;&gt;"",GT$5+6&lt;Mitarbeiter!$E$5),0,IF(AND(Mitarbeiter!$F$5&lt;&gt;"",GT$5&gt;Mitarbeiter!$F$5),0,IF(Planung!GT7="",$C7,IF(ISNUMBER(Planung!GT7),Planung!GT7,IF(UPPER(Planung!GT7)="H",$C7/2,0)))))))</f>
        <v>0</v>
      </c>
      <c r="GU7" s="27">
        <f>IF($A7="",0,IF(Mitarbeiter!$G$5=FALSE,0,IF(AND(Mitarbeiter!$E$5&lt;&gt;"",GU$5+6&lt;Mitarbeiter!$E$5),0,IF(AND(Mitarbeiter!$F$5&lt;&gt;"",GU$5&gt;Mitarbeiter!$F$5),0,IF(Planung!GU7="",$C7,IF(ISNUMBER(Planung!GU7),Planung!GU7,IF(UPPER(Planung!GU7)="H",$C7/2,0)))))))</f>
        <v>0</v>
      </c>
      <c r="GV7" s="27">
        <f>IF($A7="",0,IF(Mitarbeiter!$G$5=FALSE,0,IF(AND(Mitarbeiter!$E$5&lt;&gt;"",GV$5+6&lt;Mitarbeiter!$E$5),0,IF(AND(Mitarbeiter!$F$5&lt;&gt;"",GV$5&gt;Mitarbeiter!$F$5),0,IF(Planung!GV7="",$C7,IF(ISNUMBER(Planung!GV7),Planung!GV7,IF(UPPER(Planung!GV7)="H",$C7/2,0)))))))</f>
        <v>0</v>
      </c>
      <c r="GW7" s="27">
        <f>IF($A7="",0,IF(Mitarbeiter!$G$5=FALSE,0,IF(AND(Mitarbeiter!$E$5&lt;&gt;"",GW$5+6&lt;Mitarbeiter!$E$5),0,IF(AND(Mitarbeiter!$F$5&lt;&gt;"",GW$5&gt;Mitarbeiter!$F$5),0,IF(Planung!GW7="",$C7,IF(ISNUMBER(Planung!GW7),Planung!GW7,IF(UPPER(Planung!GW7)="H",$C7/2,0)))))))</f>
        <v>0</v>
      </c>
      <c r="GX7" s="27">
        <f>IF($A7="",0,IF(Mitarbeiter!$G$5=FALSE,0,IF(AND(Mitarbeiter!$E$5&lt;&gt;"",GX$5+6&lt;Mitarbeiter!$E$5),0,IF(AND(Mitarbeiter!$F$5&lt;&gt;"",GX$5&gt;Mitarbeiter!$F$5),0,IF(Planung!GX7="",$C7,IF(ISNUMBER(Planung!GX7),Planung!GX7,IF(UPPER(Planung!GX7)="H",$C7/2,0)))))))</f>
        <v>0</v>
      </c>
      <c r="GY7" s="27">
        <f>IF($A7="",0,IF(Mitarbeiter!$G$5=FALSE,0,IF(AND(Mitarbeiter!$E$5&lt;&gt;"",GY$5+6&lt;Mitarbeiter!$E$5),0,IF(AND(Mitarbeiter!$F$5&lt;&gt;"",GY$5&gt;Mitarbeiter!$F$5),0,IF(Planung!GY7="",$C7,IF(ISNUMBER(Planung!GY7),Planung!GY7,IF(UPPER(Planung!GY7)="H",$C7/2,0)))))))</f>
        <v>0</v>
      </c>
      <c r="GZ7" s="27">
        <f>IF($A7="",0,IF(Mitarbeiter!$G$5=FALSE,0,IF(AND(Mitarbeiter!$E$5&lt;&gt;"",GZ$5+6&lt;Mitarbeiter!$E$5),0,IF(AND(Mitarbeiter!$F$5&lt;&gt;"",GZ$5&gt;Mitarbeiter!$F$5),0,IF(Planung!GZ7="",$C7,IF(ISNUMBER(Planung!GZ7),Planung!GZ7,IF(UPPER(Planung!GZ7)="H",$C7/2,0)))))))</f>
        <v>0</v>
      </c>
      <c r="HA7" s="27">
        <f>IF($A7="",0,IF(Mitarbeiter!$G$5=FALSE,0,IF(AND(Mitarbeiter!$E$5&lt;&gt;"",HA$5+6&lt;Mitarbeiter!$E$5),0,IF(AND(Mitarbeiter!$F$5&lt;&gt;"",HA$5&gt;Mitarbeiter!$F$5),0,IF(Planung!HA7="",$C7,IF(ISNUMBER(Planung!HA7),Planung!HA7,IF(UPPER(Planung!HA7)="H",$C7/2,0)))))))</f>
        <v>0</v>
      </c>
      <c r="HB7" s="27">
        <f>IF($A7="",0,IF(Mitarbeiter!$G$5=FALSE,0,IF(AND(Mitarbeiter!$E$5&lt;&gt;"",HB$5+6&lt;Mitarbeiter!$E$5),0,IF(AND(Mitarbeiter!$F$5&lt;&gt;"",HB$5&gt;Mitarbeiter!$F$5),0,IF(Planung!HB7="",$C7,IF(ISNUMBER(Planung!HB7),Planung!HB7,IF(UPPER(Planung!HB7)="H",$C7/2,0)))))))</f>
        <v>0</v>
      </c>
      <c r="HC7" s="27">
        <f>IF($A7="",0,IF(Mitarbeiter!$G$5=FALSE,0,IF(AND(Mitarbeiter!$E$5&lt;&gt;"",HC$5+6&lt;Mitarbeiter!$E$5),0,IF(AND(Mitarbeiter!$F$5&lt;&gt;"",HC$5&gt;Mitarbeiter!$F$5),0,IF(Planung!HC7="",$C7,IF(ISNUMBER(Planung!HC7),Planung!HC7,IF(UPPER(Planung!HC7)="H",$C7/2,0)))))))</f>
        <v>0</v>
      </c>
      <c r="HD7" s="27">
        <f>IF($A7="",0,IF(Mitarbeiter!$G$5=FALSE,0,IF(AND(Mitarbeiter!$E$5&lt;&gt;"",HD$5+6&lt;Mitarbeiter!$E$5),0,IF(AND(Mitarbeiter!$F$5&lt;&gt;"",HD$5&gt;Mitarbeiter!$F$5),0,IF(Planung!HD7="",$C7,IF(ISNUMBER(Planung!HD7),Planung!HD7,IF(UPPER(Planung!HD7)="H",$C7/2,0)))))))</f>
        <v>0</v>
      </c>
      <c r="HE7" s="27">
        <f>IF($A7="",0,IF(Mitarbeiter!$G$5=FALSE,0,IF(AND(Mitarbeiter!$E$5&lt;&gt;"",HE$5+6&lt;Mitarbeiter!$E$5),0,IF(AND(Mitarbeiter!$F$5&lt;&gt;"",HE$5&gt;Mitarbeiter!$F$5),0,IF(Planung!HE7="",$C7,IF(ISNUMBER(Planung!HE7),Planung!HE7,IF(UPPER(Planung!HE7)="H",$C7/2,0)))))))</f>
        <v>0</v>
      </c>
      <c r="HF7" s="27">
        <f>IF($A7="",0,IF(Mitarbeiter!$G$5=FALSE,0,IF(AND(Mitarbeiter!$E$5&lt;&gt;"",HF$5+6&lt;Mitarbeiter!$E$5),0,IF(AND(Mitarbeiter!$F$5&lt;&gt;"",HF$5&gt;Mitarbeiter!$F$5),0,IF(Planung!HF7="",$C7,IF(ISNUMBER(Planung!HF7),Planung!HF7,IF(UPPER(Planung!HF7)="H",$C7/2,0)))))))</f>
        <v>0</v>
      </c>
      <c r="HG7" s="27">
        <f>IF($A7="",0,IF(Mitarbeiter!$G$5=FALSE,0,IF(AND(Mitarbeiter!$E$5&lt;&gt;"",HG$5+6&lt;Mitarbeiter!$E$5),0,IF(AND(Mitarbeiter!$F$5&lt;&gt;"",HG$5&gt;Mitarbeiter!$F$5),0,IF(Planung!HG7="",$C7,IF(ISNUMBER(Planung!HG7),Planung!HG7,IF(UPPER(Planung!HG7)="H",$C7/2,0)))))))</f>
        <v>0</v>
      </c>
      <c r="HH7" s="27">
        <f>IF($A7="",0,IF(Mitarbeiter!$G$5=FALSE,0,IF(AND(Mitarbeiter!$E$5&lt;&gt;"",HH$5+6&lt;Mitarbeiter!$E$5),0,IF(AND(Mitarbeiter!$F$5&lt;&gt;"",HH$5&gt;Mitarbeiter!$F$5),0,IF(Planung!HH7="",$C7,IF(ISNUMBER(Planung!HH7),Planung!HH7,IF(UPPER(Planung!HH7)="H",$C7/2,0)))))))</f>
        <v>0</v>
      </c>
      <c r="HI7" s="27">
        <f>IF($A7="",0,IF(Mitarbeiter!$G$5=FALSE,0,IF(AND(Mitarbeiter!$E$5&lt;&gt;"",HI$5+6&lt;Mitarbeiter!$E$5),0,IF(AND(Mitarbeiter!$F$5&lt;&gt;"",HI$5&gt;Mitarbeiter!$F$5),0,IF(Planung!HI7="",$C7,IF(ISNUMBER(Planung!HI7),Planung!HI7,IF(UPPER(Planung!HI7)="H",$C7/2,0)))))))</f>
        <v>0</v>
      </c>
      <c r="HJ7" s="27">
        <f>IF($A7="",0,IF(Mitarbeiter!$G$5=FALSE,0,IF(AND(Mitarbeiter!$E$5&lt;&gt;"",HJ$5+6&lt;Mitarbeiter!$E$5),0,IF(AND(Mitarbeiter!$F$5&lt;&gt;"",HJ$5&gt;Mitarbeiter!$F$5),0,IF(Planung!HJ7="",$C7,IF(ISNUMBER(Planung!HJ7),Planung!HJ7,IF(UPPER(Planung!HJ7)="H",$C7/2,0)))))))</f>
        <v>0</v>
      </c>
      <c r="HK7" s="27">
        <f>IF($A7="",0,IF(Mitarbeiter!$G$5=FALSE,0,IF(AND(Mitarbeiter!$E$5&lt;&gt;"",HK$5+6&lt;Mitarbeiter!$E$5),0,IF(AND(Mitarbeiter!$F$5&lt;&gt;"",HK$5&gt;Mitarbeiter!$F$5),0,IF(Planung!HK7="",$C7,IF(ISNUMBER(Planung!HK7),Planung!HK7,IF(UPPER(Planung!HK7)="H",$C7/2,0)))))))</f>
        <v>0</v>
      </c>
      <c r="HL7" s="27">
        <f>IF($A7="",0,IF(Mitarbeiter!$G$5=FALSE,0,IF(AND(Mitarbeiter!$E$5&lt;&gt;"",HL$5+6&lt;Mitarbeiter!$E$5),0,IF(AND(Mitarbeiter!$F$5&lt;&gt;"",HL$5&gt;Mitarbeiter!$F$5),0,IF(Planung!HL7="",$C7,IF(ISNUMBER(Planung!HL7),Planung!HL7,IF(UPPER(Planung!HL7)="H",$C7/2,0)))))))</f>
        <v>0</v>
      </c>
      <c r="HM7" s="27">
        <f>IF($A7="",0,IF(Mitarbeiter!$G$5=FALSE,0,IF(AND(Mitarbeiter!$E$5&lt;&gt;"",HM$5+6&lt;Mitarbeiter!$E$5),0,IF(AND(Mitarbeiter!$F$5&lt;&gt;"",HM$5&gt;Mitarbeiter!$F$5),0,IF(Planung!HM7="",$C7,IF(ISNUMBER(Planung!HM7),Planung!HM7,IF(UPPER(Planung!HM7)="H",$C7/2,0)))))))</f>
        <v>0</v>
      </c>
      <c r="HN7" s="27">
        <f>IF($A7="",0,IF(Mitarbeiter!$G$5=FALSE,0,IF(AND(Mitarbeiter!$E$5&lt;&gt;"",HN$5+6&lt;Mitarbeiter!$E$5),0,IF(AND(Mitarbeiter!$F$5&lt;&gt;"",HN$5&gt;Mitarbeiter!$F$5),0,IF(Planung!HN7="",$C7,IF(ISNUMBER(Planung!HN7),Planung!HN7,IF(UPPER(Planung!HN7)="H",$C7/2,0)))))))</f>
        <v>0</v>
      </c>
      <c r="HO7" s="27">
        <f>IF($A7="",0,IF(Mitarbeiter!$G$5=FALSE,0,IF(AND(Mitarbeiter!$E$5&lt;&gt;"",HO$5+6&lt;Mitarbeiter!$E$5),0,IF(AND(Mitarbeiter!$F$5&lt;&gt;"",HO$5&gt;Mitarbeiter!$F$5),0,IF(Planung!HO7="",$C7,IF(ISNUMBER(Planung!HO7),Planung!HO7,IF(UPPER(Planung!HO7)="H",$C7/2,0)))))))</f>
        <v>0</v>
      </c>
      <c r="HP7" s="27">
        <f>IF($A7="",0,IF(Mitarbeiter!$G$5=FALSE,0,IF(AND(Mitarbeiter!$E$5&lt;&gt;"",HP$5+6&lt;Mitarbeiter!$E$5),0,IF(AND(Mitarbeiter!$F$5&lt;&gt;"",HP$5&gt;Mitarbeiter!$F$5),0,IF(Planung!HP7="",$C7,IF(ISNUMBER(Planung!HP7),Planung!HP7,IF(UPPER(Planung!HP7)="H",$C7/2,0)))))))</f>
        <v>0</v>
      </c>
      <c r="HQ7" s="27">
        <f>IF($A7="",0,IF(Mitarbeiter!$G$5=FALSE,0,IF(AND(Mitarbeiter!$E$5&lt;&gt;"",HQ$5+6&lt;Mitarbeiter!$E$5),0,IF(AND(Mitarbeiter!$F$5&lt;&gt;"",HQ$5&gt;Mitarbeiter!$F$5),0,IF(Planung!HQ7="",$C7,IF(ISNUMBER(Planung!HQ7),Planung!HQ7,IF(UPPER(Planung!HQ7)="H",$C7/2,0)))))))</f>
        <v>0</v>
      </c>
      <c r="HR7" s="27">
        <f>IF($A7="",0,IF(Mitarbeiter!$G$5=FALSE,0,IF(AND(Mitarbeiter!$E$5&lt;&gt;"",HR$5+6&lt;Mitarbeiter!$E$5),0,IF(AND(Mitarbeiter!$F$5&lt;&gt;"",HR$5&gt;Mitarbeiter!$F$5),0,IF(Planung!HR7="",$C7,IF(ISNUMBER(Planung!HR7),Planung!HR7,IF(UPPER(Planung!HR7)="H",$C7/2,0)))))))</f>
        <v>0</v>
      </c>
      <c r="HS7" s="27">
        <f>IF($A7="",0,IF(Mitarbeiter!$G$5=FALSE,0,IF(AND(Mitarbeiter!$E$5&lt;&gt;"",HS$5+6&lt;Mitarbeiter!$E$5),0,IF(AND(Mitarbeiter!$F$5&lt;&gt;"",HS$5&gt;Mitarbeiter!$F$5),0,IF(Planung!HS7="",$C7,IF(ISNUMBER(Planung!HS7),Planung!HS7,IF(UPPER(Planung!HS7)="H",$C7/2,0)))))))</f>
        <v>0</v>
      </c>
      <c r="HT7" s="27">
        <f>IF($A7="",0,IF(Mitarbeiter!$G$5=FALSE,0,IF(AND(Mitarbeiter!$E$5&lt;&gt;"",HT$5+6&lt;Mitarbeiter!$E$5),0,IF(AND(Mitarbeiter!$F$5&lt;&gt;"",HT$5&gt;Mitarbeiter!$F$5),0,IF(Planung!HT7="",$C7,IF(ISNUMBER(Planung!HT7),Planung!HT7,IF(UPPER(Planung!HT7)="H",$C7/2,0)))))))</f>
        <v>0</v>
      </c>
      <c r="HU7" s="27">
        <f>IF($A7="",0,IF(Mitarbeiter!$G$5=FALSE,0,IF(AND(Mitarbeiter!$E$5&lt;&gt;"",HU$5+6&lt;Mitarbeiter!$E$5),0,IF(AND(Mitarbeiter!$F$5&lt;&gt;"",HU$5&gt;Mitarbeiter!$F$5),0,IF(Planung!HU7="",$C7,IF(ISNUMBER(Planung!HU7),Planung!HU7,IF(UPPER(Planung!HU7)="H",$C7/2,0)))))))</f>
        <v>0</v>
      </c>
      <c r="HV7" s="27">
        <f>IF($A7="",0,IF(Mitarbeiter!$G$5=FALSE,0,IF(AND(Mitarbeiter!$E$5&lt;&gt;"",HV$5+6&lt;Mitarbeiter!$E$5),0,IF(AND(Mitarbeiter!$F$5&lt;&gt;"",HV$5&gt;Mitarbeiter!$F$5),0,IF(Planung!HV7="",$C7,IF(ISNUMBER(Planung!HV7),Planung!HV7,IF(UPPER(Planung!HV7)="H",$C7/2,0)))))))</f>
        <v>0</v>
      </c>
      <c r="HW7" s="27">
        <f>IF($A7="",0,IF(Mitarbeiter!$G$5=FALSE,0,IF(AND(Mitarbeiter!$E$5&lt;&gt;"",HW$5+6&lt;Mitarbeiter!$E$5),0,IF(AND(Mitarbeiter!$F$5&lt;&gt;"",HW$5&gt;Mitarbeiter!$F$5),0,IF(Planung!HW7="",$C7,IF(ISNUMBER(Planung!HW7),Planung!HW7,IF(UPPER(Planung!HW7)="H",$C7/2,0)))))))</f>
        <v>0</v>
      </c>
      <c r="HX7" s="27">
        <f>IF($A7="",0,IF(Mitarbeiter!$G$5=FALSE,0,IF(AND(Mitarbeiter!$E$5&lt;&gt;"",HX$5+6&lt;Mitarbeiter!$E$5),0,IF(AND(Mitarbeiter!$F$5&lt;&gt;"",HX$5&gt;Mitarbeiter!$F$5),0,IF(Planung!HX7="",$C7,IF(ISNUMBER(Planung!HX7),Planung!HX7,IF(UPPER(Planung!HX7)="H",$C7/2,0)))))))</f>
        <v>0</v>
      </c>
      <c r="HY7" s="27">
        <f>IF($A7="",0,IF(Mitarbeiter!$G$5=FALSE,0,IF(AND(Mitarbeiter!$E$5&lt;&gt;"",HY$5+6&lt;Mitarbeiter!$E$5),0,IF(AND(Mitarbeiter!$F$5&lt;&gt;"",HY$5&gt;Mitarbeiter!$F$5),0,IF(Planung!HY7="",$C7,IF(ISNUMBER(Planung!HY7),Planung!HY7,IF(UPPER(Planung!HY7)="H",$C7/2,0)))))))</f>
        <v>0</v>
      </c>
      <c r="HZ7" s="27">
        <f>IF($A7="",0,IF(Mitarbeiter!$G$5=FALSE,0,IF(AND(Mitarbeiter!$E$5&lt;&gt;"",HZ$5+6&lt;Mitarbeiter!$E$5),0,IF(AND(Mitarbeiter!$F$5&lt;&gt;"",HZ$5&gt;Mitarbeiter!$F$5),0,IF(Planung!HZ7="",$C7,IF(ISNUMBER(Planung!HZ7),Planung!HZ7,IF(UPPER(Planung!HZ7)="H",$C7/2,0)))))))</f>
        <v>0</v>
      </c>
      <c r="IA7" s="27">
        <f>IF($A7="",0,IF(Mitarbeiter!$G$5=FALSE,0,IF(AND(Mitarbeiter!$E$5&lt;&gt;"",IA$5+6&lt;Mitarbeiter!$E$5),0,IF(AND(Mitarbeiter!$F$5&lt;&gt;"",IA$5&gt;Mitarbeiter!$F$5),0,IF(Planung!IA7="",$C7,IF(ISNUMBER(Planung!IA7),Planung!IA7,IF(UPPER(Planung!IA7)="H",$C7/2,0)))))))</f>
        <v>0</v>
      </c>
    </row>
    <row r="8" spans="1:235" x14ac:dyDescent="0.25">
      <c r="A8" s="7" t="str">
        <f>Planung!A8</f>
        <v/>
      </c>
      <c r="B8" s="7" t="str">
        <f>Planung!B8</f>
        <v/>
      </c>
      <c r="C8" s="27">
        <f>N(Mitarbeiter!$D$6)</f>
        <v>0</v>
      </c>
      <c r="D8" s="27">
        <f>IF($A8="",0,IF(Mitarbeiter!$G$6=FALSE,0,IF(AND(Mitarbeiter!$E$6&lt;&gt;"",D$5+6&lt;Mitarbeiter!$E$6),0,IF(AND(Mitarbeiter!$F$6&lt;&gt;"",D$5&gt;Mitarbeiter!$F$6),0,IF(Planung!D8="",$C8,IF(ISNUMBER(Planung!D8),Planung!D8,IF(UPPER(Planung!D8)="H",$C8/2,0)))))))</f>
        <v>0</v>
      </c>
      <c r="E8" s="27">
        <f>IF($A8="",0,IF(Mitarbeiter!$G$6=FALSE,0,IF(AND(Mitarbeiter!$E$6&lt;&gt;"",E$5+6&lt;Mitarbeiter!$E$6),0,IF(AND(Mitarbeiter!$F$6&lt;&gt;"",E$5&gt;Mitarbeiter!$F$6),0,IF(Planung!E8="",$C8,IF(ISNUMBER(Planung!E8),Planung!E8,IF(UPPER(Planung!E8)="H",$C8/2,0)))))))</f>
        <v>0</v>
      </c>
      <c r="F8" s="27">
        <f>IF($A8="",0,IF(Mitarbeiter!$G$6=FALSE,0,IF(AND(Mitarbeiter!$E$6&lt;&gt;"",F$5+6&lt;Mitarbeiter!$E$6),0,IF(AND(Mitarbeiter!$F$6&lt;&gt;"",F$5&gt;Mitarbeiter!$F$6),0,IF(Planung!F8="",$C8,IF(ISNUMBER(Planung!F8),Planung!F8,IF(UPPER(Planung!F8)="H",$C8/2,0)))))))</f>
        <v>0</v>
      </c>
      <c r="G8" s="27">
        <f>IF($A8="",0,IF(Mitarbeiter!$G$6=FALSE,0,IF(AND(Mitarbeiter!$E$6&lt;&gt;"",G$5+6&lt;Mitarbeiter!$E$6),0,IF(AND(Mitarbeiter!$F$6&lt;&gt;"",G$5&gt;Mitarbeiter!$F$6),0,IF(Planung!G8="",$C8,IF(ISNUMBER(Planung!G8),Planung!G8,IF(UPPER(Planung!G8)="H",$C8/2,0)))))))</f>
        <v>0</v>
      </c>
      <c r="H8" s="27">
        <f>IF($A8="",0,IF(Mitarbeiter!$G$6=FALSE,0,IF(AND(Mitarbeiter!$E$6&lt;&gt;"",H$5+6&lt;Mitarbeiter!$E$6),0,IF(AND(Mitarbeiter!$F$6&lt;&gt;"",H$5&gt;Mitarbeiter!$F$6),0,IF(Planung!H8="",$C8,IF(ISNUMBER(Planung!H8),Planung!H8,IF(UPPER(Planung!H8)="H",$C8/2,0)))))))</f>
        <v>0</v>
      </c>
      <c r="I8" s="27">
        <f>IF($A8="",0,IF(Mitarbeiter!$G$6=FALSE,0,IF(AND(Mitarbeiter!$E$6&lt;&gt;"",I$5+6&lt;Mitarbeiter!$E$6),0,IF(AND(Mitarbeiter!$F$6&lt;&gt;"",I$5&gt;Mitarbeiter!$F$6),0,IF(Planung!I8="",$C8,IF(ISNUMBER(Planung!I8),Planung!I8,IF(UPPER(Planung!I8)="H",$C8/2,0)))))))</f>
        <v>0</v>
      </c>
      <c r="J8" s="27">
        <f>IF($A8="",0,IF(Mitarbeiter!$G$6=FALSE,0,IF(AND(Mitarbeiter!$E$6&lt;&gt;"",J$5+6&lt;Mitarbeiter!$E$6),0,IF(AND(Mitarbeiter!$F$6&lt;&gt;"",J$5&gt;Mitarbeiter!$F$6),0,IF(Planung!J8="",$C8,IF(ISNUMBER(Planung!J8),Planung!J8,IF(UPPER(Planung!J8)="H",$C8/2,0)))))))</f>
        <v>0</v>
      </c>
      <c r="K8" s="27">
        <f>IF($A8="",0,IF(Mitarbeiter!$G$6=FALSE,0,IF(AND(Mitarbeiter!$E$6&lt;&gt;"",K$5+6&lt;Mitarbeiter!$E$6),0,IF(AND(Mitarbeiter!$F$6&lt;&gt;"",K$5&gt;Mitarbeiter!$F$6),0,IF(Planung!K8="",$C8,IF(ISNUMBER(Planung!K8),Planung!K8,IF(UPPER(Planung!K8)="H",$C8/2,0)))))))</f>
        <v>0</v>
      </c>
      <c r="L8" s="27">
        <f>IF($A8="",0,IF(Mitarbeiter!$G$6=FALSE,0,IF(AND(Mitarbeiter!$E$6&lt;&gt;"",L$5+6&lt;Mitarbeiter!$E$6),0,IF(AND(Mitarbeiter!$F$6&lt;&gt;"",L$5&gt;Mitarbeiter!$F$6),0,IF(Planung!L8="",$C8,IF(ISNUMBER(Planung!L8),Planung!L8,IF(UPPER(Planung!L8)="H",$C8/2,0)))))))</f>
        <v>0</v>
      </c>
      <c r="M8" s="27">
        <f>IF($A8="",0,IF(Mitarbeiter!$G$6=FALSE,0,IF(AND(Mitarbeiter!$E$6&lt;&gt;"",M$5+6&lt;Mitarbeiter!$E$6),0,IF(AND(Mitarbeiter!$F$6&lt;&gt;"",M$5&gt;Mitarbeiter!$F$6),0,IF(Planung!M8="",$C8,IF(ISNUMBER(Planung!M8),Planung!M8,IF(UPPER(Planung!M8)="H",$C8/2,0)))))))</f>
        <v>0</v>
      </c>
      <c r="N8" s="27">
        <f>IF($A8="",0,IF(Mitarbeiter!$G$6=FALSE,0,IF(AND(Mitarbeiter!$E$6&lt;&gt;"",N$5+6&lt;Mitarbeiter!$E$6),0,IF(AND(Mitarbeiter!$F$6&lt;&gt;"",N$5&gt;Mitarbeiter!$F$6),0,IF(Planung!N8="",$C8,IF(ISNUMBER(Planung!N8),Planung!N8,IF(UPPER(Planung!N8)="H",$C8/2,0)))))))</f>
        <v>0</v>
      </c>
      <c r="O8" s="27">
        <f>IF($A8="",0,IF(Mitarbeiter!$G$6=FALSE,0,IF(AND(Mitarbeiter!$E$6&lt;&gt;"",O$5+6&lt;Mitarbeiter!$E$6),0,IF(AND(Mitarbeiter!$F$6&lt;&gt;"",O$5&gt;Mitarbeiter!$F$6),0,IF(Planung!O8="",$C8,IF(ISNUMBER(Planung!O8),Planung!O8,IF(UPPER(Planung!O8)="H",$C8/2,0)))))))</f>
        <v>0</v>
      </c>
      <c r="P8" s="27">
        <f>IF($A8="",0,IF(Mitarbeiter!$G$6=FALSE,0,IF(AND(Mitarbeiter!$E$6&lt;&gt;"",P$5+6&lt;Mitarbeiter!$E$6),0,IF(AND(Mitarbeiter!$F$6&lt;&gt;"",P$5&gt;Mitarbeiter!$F$6),0,IF(Planung!P8="",$C8,IF(ISNUMBER(Planung!P8),Planung!P8,IF(UPPER(Planung!P8)="H",$C8/2,0)))))))</f>
        <v>0</v>
      </c>
      <c r="Q8" s="27">
        <f>IF($A8="",0,IF(Mitarbeiter!$G$6=FALSE,0,IF(AND(Mitarbeiter!$E$6&lt;&gt;"",Q$5+6&lt;Mitarbeiter!$E$6),0,IF(AND(Mitarbeiter!$F$6&lt;&gt;"",Q$5&gt;Mitarbeiter!$F$6),0,IF(Planung!Q8="",$C8,IF(ISNUMBER(Planung!Q8),Planung!Q8,IF(UPPER(Planung!Q8)="H",$C8/2,0)))))))</f>
        <v>0</v>
      </c>
      <c r="R8" s="27">
        <f>IF($A8="",0,IF(Mitarbeiter!$G$6=FALSE,0,IF(AND(Mitarbeiter!$E$6&lt;&gt;"",R$5+6&lt;Mitarbeiter!$E$6),0,IF(AND(Mitarbeiter!$F$6&lt;&gt;"",R$5&gt;Mitarbeiter!$F$6),0,IF(Planung!R8="",$C8,IF(ISNUMBER(Planung!R8),Planung!R8,IF(UPPER(Planung!R8)="H",$C8/2,0)))))))</f>
        <v>0</v>
      </c>
      <c r="S8" s="27">
        <f>IF($A8="",0,IF(Mitarbeiter!$G$6=FALSE,0,IF(AND(Mitarbeiter!$E$6&lt;&gt;"",S$5+6&lt;Mitarbeiter!$E$6),0,IF(AND(Mitarbeiter!$F$6&lt;&gt;"",S$5&gt;Mitarbeiter!$F$6),0,IF(Planung!S8="",$C8,IF(ISNUMBER(Planung!S8),Planung!S8,IF(UPPER(Planung!S8)="H",$C8/2,0)))))))</f>
        <v>0</v>
      </c>
      <c r="T8" s="27">
        <f>IF($A8="",0,IF(Mitarbeiter!$G$6=FALSE,0,IF(AND(Mitarbeiter!$E$6&lt;&gt;"",T$5+6&lt;Mitarbeiter!$E$6),0,IF(AND(Mitarbeiter!$F$6&lt;&gt;"",T$5&gt;Mitarbeiter!$F$6),0,IF(Planung!T8="",$C8,IF(ISNUMBER(Planung!T8),Planung!T8,IF(UPPER(Planung!T8)="H",$C8/2,0)))))))</f>
        <v>0</v>
      </c>
      <c r="U8" s="27">
        <f>IF($A8="",0,IF(Mitarbeiter!$G$6=FALSE,0,IF(AND(Mitarbeiter!$E$6&lt;&gt;"",U$5+6&lt;Mitarbeiter!$E$6),0,IF(AND(Mitarbeiter!$F$6&lt;&gt;"",U$5&gt;Mitarbeiter!$F$6),0,IF(Planung!U8="",$C8,IF(ISNUMBER(Planung!U8),Planung!U8,IF(UPPER(Planung!U8)="H",$C8/2,0)))))))</f>
        <v>0</v>
      </c>
      <c r="V8" s="27">
        <f>IF($A8="",0,IF(Mitarbeiter!$G$6=FALSE,0,IF(AND(Mitarbeiter!$E$6&lt;&gt;"",V$5+6&lt;Mitarbeiter!$E$6),0,IF(AND(Mitarbeiter!$F$6&lt;&gt;"",V$5&gt;Mitarbeiter!$F$6),0,IF(Planung!V8="",$C8,IF(ISNUMBER(Planung!V8),Planung!V8,IF(UPPER(Planung!V8)="H",$C8/2,0)))))))</f>
        <v>0</v>
      </c>
      <c r="W8" s="27">
        <f>IF($A8="",0,IF(Mitarbeiter!$G$6=FALSE,0,IF(AND(Mitarbeiter!$E$6&lt;&gt;"",W$5+6&lt;Mitarbeiter!$E$6),0,IF(AND(Mitarbeiter!$F$6&lt;&gt;"",W$5&gt;Mitarbeiter!$F$6),0,IF(Planung!W8="",$C8,IF(ISNUMBER(Planung!W8),Planung!W8,IF(UPPER(Planung!W8)="H",$C8/2,0)))))))</f>
        <v>0</v>
      </c>
      <c r="X8" s="27">
        <f>IF($A8="",0,IF(Mitarbeiter!$G$6=FALSE,0,IF(AND(Mitarbeiter!$E$6&lt;&gt;"",X$5+6&lt;Mitarbeiter!$E$6),0,IF(AND(Mitarbeiter!$F$6&lt;&gt;"",X$5&gt;Mitarbeiter!$F$6),0,IF(Planung!X8="",$C8,IF(ISNUMBER(Planung!X8),Planung!X8,IF(UPPER(Planung!X8)="H",$C8/2,0)))))))</f>
        <v>0</v>
      </c>
      <c r="Y8" s="27">
        <f>IF($A8="",0,IF(Mitarbeiter!$G$6=FALSE,0,IF(AND(Mitarbeiter!$E$6&lt;&gt;"",Y$5+6&lt;Mitarbeiter!$E$6),0,IF(AND(Mitarbeiter!$F$6&lt;&gt;"",Y$5&gt;Mitarbeiter!$F$6),0,IF(Planung!Y8="",$C8,IF(ISNUMBER(Planung!Y8),Planung!Y8,IF(UPPER(Planung!Y8)="H",$C8/2,0)))))))</f>
        <v>0</v>
      </c>
      <c r="Z8" s="27">
        <f>IF($A8="",0,IF(Mitarbeiter!$G$6=FALSE,0,IF(AND(Mitarbeiter!$E$6&lt;&gt;"",Z$5+6&lt;Mitarbeiter!$E$6),0,IF(AND(Mitarbeiter!$F$6&lt;&gt;"",Z$5&gt;Mitarbeiter!$F$6),0,IF(Planung!Z8="",$C8,IF(ISNUMBER(Planung!Z8),Planung!Z8,IF(UPPER(Planung!Z8)="H",$C8/2,0)))))))</f>
        <v>0</v>
      </c>
      <c r="AA8" s="27">
        <f>IF($A8="",0,IF(Mitarbeiter!$G$6=FALSE,0,IF(AND(Mitarbeiter!$E$6&lt;&gt;"",AA$5+6&lt;Mitarbeiter!$E$6),0,IF(AND(Mitarbeiter!$F$6&lt;&gt;"",AA$5&gt;Mitarbeiter!$F$6),0,IF(Planung!AA8="",$C8,IF(ISNUMBER(Planung!AA8),Planung!AA8,IF(UPPER(Planung!AA8)="H",$C8/2,0)))))))</f>
        <v>0</v>
      </c>
      <c r="AB8" s="27">
        <f>IF($A8="",0,IF(Mitarbeiter!$G$6=FALSE,0,IF(AND(Mitarbeiter!$E$6&lt;&gt;"",AB$5+6&lt;Mitarbeiter!$E$6),0,IF(AND(Mitarbeiter!$F$6&lt;&gt;"",AB$5&gt;Mitarbeiter!$F$6),0,IF(Planung!AB8="",$C8,IF(ISNUMBER(Planung!AB8),Planung!AB8,IF(UPPER(Planung!AB8)="H",$C8/2,0)))))))</f>
        <v>0</v>
      </c>
      <c r="AC8" s="27">
        <f>IF($A8="",0,IF(Mitarbeiter!$G$6=FALSE,0,IF(AND(Mitarbeiter!$E$6&lt;&gt;"",AC$5+6&lt;Mitarbeiter!$E$6),0,IF(AND(Mitarbeiter!$F$6&lt;&gt;"",AC$5&gt;Mitarbeiter!$F$6),0,IF(Planung!AC8="",$C8,IF(ISNUMBER(Planung!AC8),Planung!AC8,IF(UPPER(Planung!AC8)="H",$C8/2,0)))))))</f>
        <v>0</v>
      </c>
      <c r="AD8" s="27">
        <f>IF($A8="",0,IF(Mitarbeiter!$G$6=FALSE,0,IF(AND(Mitarbeiter!$E$6&lt;&gt;"",AD$5+6&lt;Mitarbeiter!$E$6),0,IF(AND(Mitarbeiter!$F$6&lt;&gt;"",AD$5&gt;Mitarbeiter!$F$6),0,IF(Planung!AD8="",$C8,IF(ISNUMBER(Planung!AD8),Planung!AD8,IF(UPPER(Planung!AD8)="H",$C8/2,0)))))))</f>
        <v>0</v>
      </c>
      <c r="AE8" s="27">
        <f>IF($A8="",0,IF(Mitarbeiter!$G$6=FALSE,0,IF(AND(Mitarbeiter!$E$6&lt;&gt;"",AE$5+6&lt;Mitarbeiter!$E$6),0,IF(AND(Mitarbeiter!$F$6&lt;&gt;"",AE$5&gt;Mitarbeiter!$F$6),0,IF(Planung!AE8="",$C8,IF(ISNUMBER(Planung!AE8),Planung!AE8,IF(UPPER(Planung!AE8)="H",$C8/2,0)))))))</f>
        <v>0</v>
      </c>
      <c r="AF8" s="27">
        <f>IF($A8="",0,IF(Mitarbeiter!$G$6=FALSE,0,IF(AND(Mitarbeiter!$E$6&lt;&gt;"",AF$5+6&lt;Mitarbeiter!$E$6),0,IF(AND(Mitarbeiter!$F$6&lt;&gt;"",AF$5&gt;Mitarbeiter!$F$6),0,IF(Planung!AF8="",$C8,IF(ISNUMBER(Planung!AF8),Planung!AF8,IF(UPPER(Planung!AF8)="H",$C8/2,0)))))))</f>
        <v>0</v>
      </c>
      <c r="AG8" s="27">
        <f>IF($A8="",0,IF(Mitarbeiter!$G$6=FALSE,0,IF(AND(Mitarbeiter!$E$6&lt;&gt;"",AG$5+6&lt;Mitarbeiter!$E$6),0,IF(AND(Mitarbeiter!$F$6&lt;&gt;"",AG$5&gt;Mitarbeiter!$F$6),0,IF(Planung!AG8="",$C8,IF(ISNUMBER(Planung!AG8),Planung!AG8,IF(UPPER(Planung!AG8)="H",$C8/2,0)))))))</f>
        <v>0</v>
      </c>
      <c r="AH8" s="27">
        <f>IF($A8="",0,IF(Mitarbeiter!$G$6=FALSE,0,IF(AND(Mitarbeiter!$E$6&lt;&gt;"",AH$5+6&lt;Mitarbeiter!$E$6),0,IF(AND(Mitarbeiter!$F$6&lt;&gt;"",AH$5&gt;Mitarbeiter!$F$6),0,IF(Planung!AH8="",$C8,IF(ISNUMBER(Planung!AH8),Planung!AH8,IF(UPPER(Planung!AH8)="H",$C8/2,0)))))))</f>
        <v>0</v>
      </c>
      <c r="AI8" s="27">
        <f>IF($A8="",0,IF(Mitarbeiter!$G$6=FALSE,0,IF(AND(Mitarbeiter!$E$6&lt;&gt;"",AI$5+6&lt;Mitarbeiter!$E$6),0,IF(AND(Mitarbeiter!$F$6&lt;&gt;"",AI$5&gt;Mitarbeiter!$F$6),0,IF(Planung!AI8="",$C8,IF(ISNUMBER(Planung!AI8),Planung!AI8,IF(UPPER(Planung!AI8)="H",$C8/2,0)))))))</f>
        <v>0</v>
      </c>
      <c r="AJ8" s="27">
        <f>IF($A8="",0,IF(Mitarbeiter!$G$6=FALSE,0,IF(AND(Mitarbeiter!$E$6&lt;&gt;"",AJ$5+6&lt;Mitarbeiter!$E$6),0,IF(AND(Mitarbeiter!$F$6&lt;&gt;"",AJ$5&gt;Mitarbeiter!$F$6),0,IF(Planung!AJ8="",$C8,IF(ISNUMBER(Planung!AJ8),Planung!AJ8,IF(UPPER(Planung!AJ8)="H",$C8/2,0)))))))</f>
        <v>0</v>
      </c>
      <c r="AK8" s="27">
        <f>IF($A8="",0,IF(Mitarbeiter!$G$6=FALSE,0,IF(AND(Mitarbeiter!$E$6&lt;&gt;"",AK$5+6&lt;Mitarbeiter!$E$6),0,IF(AND(Mitarbeiter!$F$6&lt;&gt;"",AK$5&gt;Mitarbeiter!$F$6),0,IF(Planung!AK8="",$C8,IF(ISNUMBER(Planung!AK8),Planung!AK8,IF(UPPER(Planung!AK8)="H",$C8/2,0)))))))</f>
        <v>0</v>
      </c>
      <c r="AL8" s="27">
        <f>IF($A8="",0,IF(Mitarbeiter!$G$6=FALSE,0,IF(AND(Mitarbeiter!$E$6&lt;&gt;"",AL$5+6&lt;Mitarbeiter!$E$6),0,IF(AND(Mitarbeiter!$F$6&lt;&gt;"",AL$5&gt;Mitarbeiter!$F$6),0,IF(Planung!AL8="",$C8,IF(ISNUMBER(Planung!AL8),Planung!AL8,IF(UPPER(Planung!AL8)="H",$C8/2,0)))))))</f>
        <v>0</v>
      </c>
      <c r="AM8" s="27">
        <f>IF($A8="",0,IF(Mitarbeiter!$G$6=FALSE,0,IF(AND(Mitarbeiter!$E$6&lt;&gt;"",AM$5+6&lt;Mitarbeiter!$E$6),0,IF(AND(Mitarbeiter!$F$6&lt;&gt;"",AM$5&gt;Mitarbeiter!$F$6),0,IF(Planung!AM8="",$C8,IF(ISNUMBER(Planung!AM8),Planung!AM8,IF(UPPER(Planung!AM8)="H",$C8/2,0)))))))</f>
        <v>0</v>
      </c>
      <c r="AN8" s="27">
        <f>IF($A8="",0,IF(Mitarbeiter!$G$6=FALSE,0,IF(AND(Mitarbeiter!$E$6&lt;&gt;"",AN$5+6&lt;Mitarbeiter!$E$6),0,IF(AND(Mitarbeiter!$F$6&lt;&gt;"",AN$5&gt;Mitarbeiter!$F$6),0,IF(Planung!AN8="",$C8,IF(ISNUMBER(Planung!AN8),Planung!AN8,IF(UPPER(Planung!AN8)="H",$C8/2,0)))))))</f>
        <v>0</v>
      </c>
      <c r="AO8" s="27">
        <f>IF($A8="",0,IF(Mitarbeiter!$G$6=FALSE,0,IF(AND(Mitarbeiter!$E$6&lt;&gt;"",AO$5+6&lt;Mitarbeiter!$E$6),0,IF(AND(Mitarbeiter!$F$6&lt;&gt;"",AO$5&gt;Mitarbeiter!$F$6),0,IF(Planung!AO8="",$C8,IF(ISNUMBER(Planung!AO8),Planung!AO8,IF(UPPER(Planung!AO8)="H",$C8/2,0)))))))</f>
        <v>0</v>
      </c>
      <c r="AP8" s="27">
        <f>IF($A8="",0,IF(Mitarbeiter!$G$6=FALSE,0,IF(AND(Mitarbeiter!$E$6&lt;&gt;"",AP$5+6&lt;Mitarbeiter!$E$6),0,IF(AND(Mitarbeiter!$F$6&lt;&gt;"",AP$5&gt;Mitarbeiter!$F$6),0,IF(Planung!AP8="",$C8,IF(ISNUMBER(Planung!AP8),Planung!AP8,IF(UPPER(Planung!AP8)="H",$C8/2,0)))))))</f>
        <v>0</v>
      </c>
      <c r="AQ8" s="27">
        <f>IF($A8="",0,IF(Mitarbeiter!$G$6=FALSE,0,IF(AND(Mitarbeiter!$E$6&lt;&gt;"",AQ$5+6&lt;Mitarbeiter!$E$6),0,IF(AND(Mitarbeiter!$F$6&lt;&gt;"",AQ$5&gt;Mitarbeiter!$F$6),0,IF(Planung!AQ8="",$C8,IF(ISNUMBER(Planung!AQ8),Planung!AQ8,IF(UPPER(Planung!AQ8)="H",$C8/2,0)))))))</f>
        <v>0</v>
      </c>
      <c r="AR8" s="27">
        <f>IF($A8="",0,IF(Mitarbeiter!$G$6=FALSE,0,IF(AND(Mitarbeiter!$E$6&lt;&gt;"",AR$5+6&lt;Mitarbeiter!$E$6),0,IF(AND(Mitarbeiter!$F$6&lt;&gt;"",AR$5&gt;Mitarbeiter!$F$6),0,IF(Planung!AR8="",$C8,IF(ISNUMBER(Planung!AR8),Planung!AR8,IF(UPPER(Planung!AR8)="H",$C8/2,0)))))))</f>
        <v>0</v>
      </c>
      <c r="AS8" s="27">
        <f>IF($A8="",0,IF(Mitarbeiter!$G$6=FALSE,0,IF(AND(Mitarbeiter!$E$6&lt;&gt;"",AS$5+6&lt;Mitarbeiter!$E$6),0,IF(AND(Mitarbeiter!$F$6&lt;&gt;"",AS$5&gt;Mitarbeiter!$F$6),0,IF(Planung!AS8="",$C8,IF(ISNUMBER(Planung!AS8),Planung!AS8,IF(UPPER(Planung!AS8)="H",$C8/2,0)))))))</f>
        <v>0</v>
      </c>
      <c r="AT8" s="27">
        <f>IF($A8="",0,IF(Mitarbeiter!$G$6=FALSE,0,IF(AND(Mitarbeiter!$E$6&lt;&gt;"",AT$5+6&lt;Mitarbeiter!$E$6),0,IF(AND(Mitarbeiter!$F$6&lt;&gt;"",AT$5&gt;Mitarbeiter!$F$6),0,IF(Planung!AT8="",$C8,IF(ISNUMBER(Planung!AT8),Planung!AT8,IF(UPPER(Planung!AT8)="H",$C8/2,0)))))))</f>
        <v>0</v>
      </c>
      <c r="AU8" s="27">
        <f>IF($A8="",0,IF(Mitarbeiter!$G$6=FALSE,0,IF(AND(Mitarbeiter!$E$6&lt;&gt;"",AU$5+6&lt;Mitarbeiter!$E$6),0,IF(AND(Mitarbeiter!$F$6&lt;&gt;"",AU$5&gt;Mitarbeiter!$F$6),0,IF(Planung!AU8="",$C8,IF(ISNUMBER(Planung!AU8),Planung!AU8,IF(UPPER(Planung!AU8)="H",$C8/2,0)))))))</f>
        <v>0</v>
      </c>
      <c r="AV8" s="27">
        <f>IF($A8="",0,IF(Mitarbeiter!$G$6=FALSE,0,IF(AND(Mitarbeiter!$E$6&lt;&gt;"",AV$5+6&lt;Mitarbeiter!$E$6),0,IF(AND(Mitarbeiter!$F$6&lt;&gt;"",AV$5&gt;Mitarbeiter!$F$6),0,IF(Planung!AV8="",$C8,IF(ISNUMBER(Planung!AV8),Planung!AV8,IF(UPPER(Planung!AV8)="H",$C8/2,0)))))))</f>
        <v>0</v>
      </c>
      <c r="AW8" s="27">
        <f>IF($A8="",0,IF(Mitarbeiter!$G$6=FALSE,0,IF(AND(Mitarbeiter!$E$6&lt;&gt;"",AW$5+6&lt;Mitarbeiter!$E$6),0,IF(AND(Mitarbeiter!$F$6&lt;&gt;"",AW$5&gt;Mitarbeiter!$F$6),0,IF(Planung!AW8="",$C8,IF(ISNUMBER(Planung!AW8),Planung!AW8,IF(UPPER(Planung!AW8)="H",$C8/2,0)))))))</f>
        <v>0</v>
      </c>
      <c r="AX8" s="27">
        <f>IF($A8="",0,IF(Mitarbeiter!$G$6=FALSE,0,IF(AND(Mitarbeiter!$E$6&lt;&gt;"",AX$5+6&lt;Mitarbeiter!$E$6),0,IF(AND(Mitarbeiter!$F$6&lt;&gt;"",AX$5&gt;Mitarbeiter!$F$6),0,IF(Planung!AX8="",$C8,IF(ISNUMBER(Planung!AX8),Planung!AX8,IF(UPPER(Planung!AX8)="H",$C8/2,0)))))))</f>
        <v>0</v>
      </c>
      <c r="AY8" s="27">
        <f>IF($A8="",0,IF(Mitarbeiter!$G$6=FALSE,0,IF(AND(Mitarbeiter!$E$6&lt;&gt;"",AY$5+6&lt;Mitarbeiter!$E$6),0,IF(AND(Mitarbeiter!$F$6&lt;&gt;"",AY$5&gt;Mitarbeiter!$F$6),0,IF(Planung!AY8="",$C8,IF(ISNUMBER(Planung!AY8),Planung!AY8,IF(UPPER(Planung!AY8)="H",$C8/2,0)))))))</f>
        <v>0</v>
      </c>
      <c r="AZ8" s="27">
        <f>IF($A8="",0,IF(Mitarbeiter!$G$6=FALSE,0,IF(AND(Mitarbeiter!$E$6&lt;&gt;"",AZ$5+6&lt;Mitarbeiter!$E$6),0,IF(AND(Mitarbeiter!$F$6&lt;&gt;"",AZ$5&gt;Mitarbeiter!$F$6),0,IF(Planung!AZ8="",$C8,IF(ISNUMBER(Planung!AZ8),Planung!AZ8,IF(UPPER(Planung!AZ8)="H",$C8/2,0)))))))</f>
        <v>0</v>
      </c>
      <c r="BA8" s="27">
        <f>IF($A8="",0,IF(Mitarbeiter!$G$6=FALSE,0,IF(AND(Mitarbeiter!$E$6&lt;&gt;"",BA$5+6&lt;Mitarbeiter!$E$6),0,IF(AND(Mitarbeiter!$F$6&lt;&gt;"",BA$5&gt;Mitarbeiter!$F$6),0,IF(Planung!BA8="",$C8,IF(ISNUMBER(Planung!BA8),Planung!BA8,IF(UPPER(Planung!BA8)="H",$C8/2,0)))))))</f>
        <v>0</v>
      </c>
      <c r="BB8" s="27">
        <f>IF($A8="",0,IF(Mitarbeiter!$G$6=FALSE,0,IF(AND(Mitarbeiter!$E$6&lt;&gt;"",BB$5+6&lt;Mitarbeiter!$E$6),0,IF(AND(Mitarbeiter!$F$6&lt;&gt;"",BB$5&gt;Mitarbeiter!$F$6),0,IF(Planung!BB8="",$C8,IF(ISNUMBER(Planung!BB8),Planung!BB8,IF(UPPER(Planung!BB8)="H",$C8/2,0)))))))</f>
        <v>0</v>
      </c>
      <c r="BC8" s="27">
        <f>IF($A8="",0,IF(Mitarbeiter!$G$6=FALSE,0,IF(AND(Mitarbeiter!$E$6&lt;&gt;"",BC$5+6&lt;Mitarbeiter!$E$6),0,IF(AND(Mitarbeiter!$F$6&lt;&gt;"",BC$5&gt;Mitarbeiter!$F$6),0,IF(Planung!BC8="",$C8,IF(ISNUMBER(Planung!BC8),Planung!BC8,IF(UPPER(Planung!BC8)="H",$C8/2,0)))))))</f>
        <v>0</v>
      </c>
      <c r="BD8" s="27">
        <f>IF($A8="",0,IF(Mitarbeiter!$G$6=FALSE,0,IF(AND(Mitarbeiter!$E$6&lt;&gt;"",BD$5+6&lt;Mitarbeiter!$E$6),0,IF(AND(Mitarbeiter!$F$6&lt;&gt;"",BD$5&gt;Mitarbeiter!$F$6),0,IF(Planung!BD8="",$C8,IF(ISNUMBER(Planung!BD8),Planung!BD8,IF(UPPER(Planung!BD8)="H",$C8/2,0)))))))</f>
        <v>0</v>
      </c>
      <c r="BE8" s="27">
        <f>IF($A8="",0,IF(Mitarbeiter!$G$6=FALSE,0,IF(AND(Mitarbeiter!$E$6&lt;&gt;"",BE$5+6&lt;Mitarbeiter!$E$6),0,IF(AND(Mitarbeiter!$F$6&lt;&gt;"",BE$5&gt;Mitarbeiter!$F$6),0,IF(Planung!BE8="",$C8,IF(ISNUMBER(Planung!BE8),Planung!BE8,IF(UPPER(Planung!BE8)="H",$C8/2,0)))))))</f>
        <v>0</v>
      </c>
      <c r="BF8" s="27">
        <f>IF($A8="",0,IF(Mitarbeiter!$G$6=FALSE,0,IF(AND(Mitarbeiter!$E$6&lt;&gt;"",BF$5+6&lt;Mitarbeiter!$E$6),0,IF(AND(Mitarbeiter!$F$6&lt;&gt;"",BF$5&gt;Mitarbeiter!$F$6),0,IF(Planung!BF8="",$C8,IF(ISNUMBER(Planung!BF8),Planung!BF8,IF(UPPER(Planung!BF8)="H",$C8/2,0)))))))</f>
        <v>0</v>
      </c>
      <c r="BG8" s="27">
        <f>IF($A8="",0,IF(Mitarbeiter!$G$6=FALSE,0,IF(AND(Mitarbeiter!$E$6&lt;&gt;"",BG$5+6&lt;Mitarbeiter!$E$6),0,IF(AND(Mitarbeiter!$F$6&lt;&gt;"",BG$5&gt;Mitarbeiter!$F$6),0,IF(Planung!BG8="",$C8,IF(ISNUMBER(Planung!BG8),Planung!BG8,IF(UPPER(Planung!BG8)="H",$C8/2,0)))))))</f>
        <v>0</v>
      </c>
      <c r="BH8" s="27">
        <f>IF($A8="",0,IF(Mitarbeiter!$G$6=FALSE,0,IF(AND(Mitarbeiter!$E$6&lt;&gt;"",BH$5+6&lt;Mitarbeiter!$E$6),0,IF(AND(Mitarbeiter!$F$6&lt;&gt;"",BH$5&gt;Mitarbeiter!$F$6),0,IF(Planung!BH8="",$C8,IF(ISNUMBER(Planung!BH8),Planung!BH8,IF(UPPER(Planung!BH8)="H",$C8/2,0)))))))</f>
        <v>0</v>
      </c>
      <c r="BI8" s="27">
        <f>IF($A8="",0,IF(Mitarbeiter!$G$6=FALSE,0,IF(AND(Mitarbeiter!$E$6&lt;&gt;"",BI$5+6&lt;Mitarbeiter!$E$6),0,IF(AND(Mitarbeiter!$F$6&lt;&gt;"",BI$5&gt;Mitarbeiter!$F$6),0,IF(Planung!BI8="",$C8,IF(ISNUMBER(Planung!BI8),Planung!BI8,IF(UPPER(Planung!BI8)="H",$C8/2,0)))))))</f>
        <v>0</v>
      </c>
      <c r="BJ8" s="27">
        <f>IF($A8="",0,IF(Mitarbeiter!$G$6=FALSE,0,IF(AND(Mitarbeiter!$E$6&lt;&gt;"",BJ$5+6&lt;Mitarbeiter!$E$6),0,IF(AND(Mitarbeiter!$F$6&lt;&gt;"",BJ$5&gt;Mitarbeiter!$F$6),0,IF(Planung!BJ8="",$C8,IF(ISNUMBER(Planung!BJ8),Planung!BJ8,IF(UPPER(Planung!BJ8)="H",$C8/2,0)))))))</f>
        <v>0</v>
      </c>
      <c r="BK8" s="27">
        <f>IF($A8="",0,IF(Mitarbeiter!$G$6=FALSE,0,IF(AND(Mitarbeiter!$E$6&lt;&gt;"",BK$5+6&lt;Mitarbeiter!$E$6),0,IF(AND(Mitarbeiter!$F$6&lt;&gt;"",BK$5&gt;Mitarbeiter!$F$6),0,IF(Planung!BK8="",$C8,IF(ISNUMBER(Planung!BK8),Planung!BK8,IF(UPPER(Planung!BK8)="H",$C8/2,0)))))))</f>
        <v>0</v>
      </c>
      <c r="BL8" s="27">
        <f>IF($A8="",0,IF(Mitarbeiter!$G$6=FALSE,0,IF(AND(Mitarbeiter!$E$6&lt;&gt;"",BL$5+6&lt;Mitarbeiter!$E$6),0,IF(AND(Mitarbeiter!$F$6&lt;&gt;"",BL$5&gt;Mitarbeiter!$F$6),0,IF(Planung!BL8="",$C8,IF(ISNUMBER(Planung!BL8),Planung!BL8,IF(UPPER(Planung!BL8)="H",$C8/2,0)))))))</f>
        <v>0</v>
      </c>
      <c r="BM8" s="27">
        <f>IF($A8="",0,IF(Mitarbeiter!$G$6=FALSE,0,IF(AND(Mitarbeiter!$E$6&lt;&gt;"",BM$5+6&lt;Mitarbeiter!$E$6),0,IF(AND(Mitarbeiter!$F$6&lt;&gt;"",BM$5&gt;Mitarbeiter!$F$6),0,IF(Planung!BM8="",$C8,IF(ISNUMBER(Planung!BM8),Planung!BM8,IF(UPPER(Planung!BM8)="H",$C8/2,0)))))))</f>
        <v>0</v>
      </c>
      <c r="BN8" s="27">
        <f>IF($A8="",0,IF(Mitarbeiter!$G$6=FALSE,0,IF(AND(Mitarbeiter!$E$6&lt;&gt;"",BN$5+6&lt;Mitarbeiter!$E$6),0,IF(AND(Mitarbeiter!$F$6&lt;&gt;"",BN$5&gt;Mitarbeiter!$F$6),0,IF(Planung!BN8="",$C8,IF(ISNUMBER(Planung!BN8),Planung!BN8,IF(UPPER(Planung!BN8)="H",$C8/2,0)))))))</f>
        <v>0</v>
      </c>
      <c r="BO8" s="27">
        <f>IF($A8="",0,IF(Mitarbeiter!$G$6=FALSE,0,IF(AND(Mitarbeiter!$E$6&lt;&gt;"",BO$5+6&lt;Mitarbeiter!$E$6),0,IF(AND(Mitarbeiter!$F$6&lt;&gt;"",BO$5&gt;Mitarbeiter!$F$6),0,IF(Planung!BO8="",$C8,IF(ISNUMBER(Planung!BO8),Planung!BO8,IF(UPPER(Planung!BO8)="H",$C8/2,0)))))))</f>
        <v>0</v>
      </c>
      <c r="BP8" s="27">
        <f>IF($A8="",0,IF(Mitarbeiter!$G$6=FALSE,0,IF(AND(Mitarbeiter!$E$6&lt;&gt;"",BP$5+6&lt;Mitarbeiter!$E$6),0,IF(AND(Mitarbeiter!$F$6&lt;&gt;"",BP$5&gt;Mitarbeiter!$F$6),0,IF(Planung!BP8="",$C8,IF(ISNUMBER(Planung!BP8),Planung!BP8,IF(UPPER(Planung!BP8)="H",$C8/2,0)))))))</f>
        <v>0</v>
      </c>
      <c r="BQ8" s="27">
        <f>IF($A8="",0,IF(Mitarbeiter!$G$6=FALSE,0,IF(AND(Mitarbeiter!$E$6&lt;&gt;"",BQ$5+6&lt;Mitarbeiter!$E$6),0,IF(AND(Mitarbeiter!$F$6&lt;&gt;"",BQ$5&gt;Mitarbeiter!$F$6),0,IF(Planung!BQ8="",$C8,IF(ISNUMBER(Planung!BQ8),Planung!BQ8,IF(UPPER(Planung!BQ8)="H",$C8/2,0)))))))</f>
        <v>0</v>
      </c>
      <c r="BR8" s="27">
        <f>IF($A8="",0,IF(Mitarbeiter!$G$6=FALSE,0,IF(AND(Mitarbeiter!$E$6&lt;&gt;"",BR$5+6&lt;Mitarbeiter!$E$6),0,IF(AND(Mitarbeiter!$F$6&lt;&gt;"",BR$5&gt;Mitarbeiter!$F$6),0,IF(Planung!BR8="",$C8,IF(ISNUMBER(Planung!BR8),Planung!BR8,IF(UPPER(Planung!BR8)="H",$C8/2,0)))))))</f>
        <v>0</v>
      </c>
      <c r="BS8" s="27">
        <f>IF($A8="",0,IF(Mitarbeiter!$G$6=FALSE,0,IF(AND(Mitarbeiter!$E$6&lt;&gt;"",BS$5+6&lt;Mitarbeiter!$E$6),0,IF(AND(Mitarbeiter!$F$6&lt;&gt;"",BS$5&gt;Mitarbeiter!$F$6),0,IF(Planung!BS8="",$C8,IF(ISNUMBER(Planung!BS8),Planung!BS8,IF(UPPER(Planung!BS8)="H",$C8/2,0)))))))</f>
        <v>0</v>
      </c>
      <c r="BT8" s="27">
        <f>IF($A8="",0,IF(Mitarbeiter!$G$6=FALSE,0,IF(AND(Mitarbeiter!$E$6&lt;&gt;"",BT$5+6&lt;Mitarbeiter!$E$6),0,IF(AND(Mitarbeiter!$F$6&lt;&gt;"",BT$5&gt;Mitarbeiter!$F$6),0,IF(Planung!BT8="",$C8,IF(ISNUMBER(Planung!BT8),Planung!BT8,IF(UPPER(Planung!BT8)="H",$C8/2,0)))))))</f>
        <v>0</v>
      </c>
      <c r="BU8" s="27">
        <f>IF($A8="",0,IF(Mitarbeiter!$G$6=FALSE,0,IF(AND(Mitarbeiter!$E$6&lt;&gt;"",BU$5+6&lt;Mitarbeiter!$E$6),0,IF(AND(Mitarbeiter!$F$6&lt;&gt;"",BU$5&gt;Mitarbeiter!$F$6),0,IF(Planung!BU8="",$C8,IF(ISNUMBER(Planung!BU8),Planung!BU8,IF(UPPER(Planung!BU8)="H",$C8/2,0)))))))</f>
        <v>0</v>
      </c>
      <c r="BV8" s="27">
        <f>IF($A8="",0,IF(Mitarbeiter!$G$6=FALSE,0,IF(AND(Mitarbeiter!$E$6&lt;&gt;"",BV$5+6&lt;Mitarbeiter!$E$6),0,IF(AND(Mitarbeiter!$F$6&lt;&gt;"",BV$5&gt;Mitarbeiter!$F$6),0,IF(Planung!BV8="",$C8,IF(ISNUMBER(Planung!BV8),Planung!BV8,IF(UPPER(Planung!BV8)="H",$C8/2,0)))))))</f>
        <v>0</v>
      </c>
      <c r="BW8" s="27">
        <f>IF($A8="",0,IF(Mitarbeiter!$G$6=FALSE,0,IF(AND(Mitarbeiter!$E$6&lt;&gt;"",BW$5+6&lt;Mitarbeiter!$E$6),0,IF(AND(Mitarbeiter!$F$6&lt;&gt;"",BW$5&gt;Mitarbeiter!$F$6),0,IF(Planung!BW8="",$C8,IF(ISNUMBER(Planung!BW8),Planung!BW8,IF(UPPER(Planung!BW8)="H",$C8/2,0)))))))</f>
        <v>0</v>
      </c>
      <c r="BX8" s="27">
        <f>IF($A8="",0,IF(Mitarbeiter!$G$6=FALSE,0,IF(AND(Mitarbeiter!$E$6&lt;&gt;"",BX$5+6&lt;Mitarbeiter!$E$6),0,IF(AND(Mitarbeiter!$F$6&lt;&gt;"",BX$5&gt;Mitarbeiter!$F$6),0,IF(Planung!BX8="",$C8,IF(ISNUMBER(Planung!BX8),Planung!BX8,IF(UPPER(Planung!BX8)="H",$C8/2,0)))))))</f>
        <v>0</v>
      </c>
      <c r="BY8" s="27">
        <f>IF($A8="",0,IF(Mitarbeiter!$G$6=FALSE,0,IF(AND(Mitarbeiter!$E$6&lt;&gt;"",BY$5+6&lt;Mitarbeiter!$E$6),0,IF(AND(Mitarbeiter!$F$6&lt;&gt;"",BY$5&gt;Mitarbeiter!$F$6),0,IF(Planung!BY8="",$C8,IF(ISNUMBER(Planung!BY8),Planung!BY8,IF(UPPER(Planung!BY8)="H",$C8/2,0)))))))</f>
        <v>0</v>
      </c>
      <c r="BZ8" s="27">
        <f>IF($A8="",0,IF(Mitarbeiter!$G$6=FALSE,0,IF(AND(Mitarbeiter!$E$6&lt;&gt;"",BZ$5+6&lt;Mitarbeiter!$E$6),0,IF(AND(Mitarbeiter!$F$6&lt;&gt;"",BZ$5&gt;Mitarbeiter!$F$6),0,IF(Planung!BZ8="",$C8,IF(ISNUMBER(Planung!BZ8),Planung!BZ8,IF(UPPER(Planung!BZ8)="H",$C8/2,0)))))))</f>
        <v>0</v>
      </c>
      <c r="CA8" s="27">
        <f>IF($A8="",0,IF(Mitarbeiter!$G$6=FALSE,0,IF(AND(Mitarbeiter!$E$6&lt;&gt;"",CA$5+6&lt;Mitarbeiter!$E$6),0,IF(AND(Mitarbeiter!$F$6&lt;&gt;"",CA$5&gt;Mitarbeiter!$F$6),0,IF(Planung!CA8="",$C8,IF(ISNUMBER(Planung!CA8),Planung!CA8,IF(UPPER(Planung!CA8)="H",$C8/2,0)))))))</f>
        <v>0</v>
      </c>
      <c r="CB8" s="27">
        <f>IF($A8="",0,IF(Mitarbeiter!$G$6=FALSE,0,IF(AND(Mitarbeiter!$E$6&lt;&gt;"",CB$5+6&lt;Mitarbeiter!$E$6),0,IF(AND(Mitarbeiter!$F$6&lt;&gt;"",CB$5&gt;Mitarbeiter!$F$6),0,IF(Planung!CB8="",$C8,IF(ISNUMBER(Planung!CB8),Planung!CB8,IF(UPPER(Planung!CB8)="H",$C8/2,0)))))))</f>
        <v>0</v>
      </c>
      <c r="CC8" s="27">
        <f>IF($A8="",0,IF(Mitarbeiter!$G$6=FALSE,0,IF(AND(Mitarbeiter!$E$6&lt;&gt;"",CC$5+6&lt;Mitarbeiter!$E$6),0,IF(AND(Mitarbeiter!$F$6&lt;&gt;"",CC$5&gt;Mitarbeiter!$F$6),0,IF(Planung!CC8="",$C8,IF(ISNUMBER(Planung!CC8),Planung!CC8,IF(UPPER(Planung!CC8)="H",$C8/2,0)))))))</f>
        <v>0</v>
      </c>
      <c r="CD8" s="27">
        <f>IF($A8="",0,IF(Mitarbeiter!$G$6=FALSE,0,IF(AND(Mitarbeiter!$E$6&lt;&gt;"",CD$5+6&lt;Mitarbeiter!$E$6),0,IF(AND(Mitarbeiter!$F$6&lt;&gt;"",CD$5&gt;Mitarbeiter!$F$6),0,IF(Planung!CD8="",$C8,IF(ISNUMBER(Planung!CD8),Planung!CD8,IF(UPPER(Planung!CD8)="H",$C8/2,0)))))))</f>
        <v>0</v>
      </c>
      <c r="CE8" s="27">
        <f>IF($A8="",0,IF(Mitarbeiter!$G$6=FALSE,0,IF(AND(Mitarbeiter!$E$6&lt;&gt;"",CE$5+6&lt;Mitarbeiter!$E$6),0,IF(AND(Mitarbeiter!$F$6&lt;&gt;"",CE$5&gt;Mitarbeiter!$F$6),0,IF(Planung!CE8="",$C8,IF(ISNUMBER(Planung!CE8),Planung!CE8,IF(UPPER(Planung!CE8)="H",$C8/2,0)))))))</f>
        <v>0</v>
      </c>
      <c r="CF8" s="27">
        <f>IF($A8="",0,IF(Mitarbeiter!$G$6=FALSE,0,IF(AND(Mitarbeiter!$E$6&lt;&gt;"",CF$5+6&lt;Mitarbeiter!$E$6),0,IF(AND(Mitarbeiter!$F$6&lt;&gt;"",CF$5&gt;Mitarbeiter!$F$6),0,IF(Planung!CF8="",$C8,IF(ISNUMBER(Planung!CF8),Planung!CF8,IF(UPPER(Planung!CF8)="H",$C8/2,0)))))))</f>
        <v>0</v>
      </c>
      <c r="CG8" s="27">
        <f>IF($A8="",0,IF(Mitarbeiter!$G$6=FALSE,0,IF(AND(Mitarbeiter!$E$6&lt;&gt;"",CG$5+6&lt;Mitarbeiter!$E$6),0,IF(AND(Mitarbeiter!$F$6&lt;&gt;"",CG$5&gt;Mitarbeiter!$F$6),0,IF(Planung!CG8="",$C8,IF(ISNUMBER(Planung!CG8),Planung!CG8,IF(UPPER(Planung!CG8)="H",$C8/2,0)))))))</f>
        <v>0</v>
      </c>
      <c r="CH8" s="27">
        <f>IF($A8="",0,IF(Mitarbeiter!$G$6=FALSE,0,IF(AND(Mitarbeiter!$E$6&lt;&gt;"",CH$5+6&lt;Mitarbeiter!$E$6),0,IF(AND(Mitarbeiter!$F$6&lt;&gt;"",CH$5&gt;Mitarbeiter!$F$6),0,IF(Planung!CH8="",$C8,IF(ISNUMBER(Planung!CH8),Planung!CH8,IF(UPPER(Planung!CH8)="H",$C8/2,0)))))))</f>
        <v>0</v>
      </c>
      <c r="CI8" s="27">
        <f>IF($A8="",0,IF(Mitarbeiter!$G$6=FALSE,0,IF(AND(Mitarbeiter!$E$6&lt;&gt;"",CI$5+6&lt;Mitarbeiter!$E$6),0,IF(AND(Mitarbeiter!$F$6&lt;&gt;"",CI$5&gt;Mitarbeiter!$F$6),0,IF(Planung!CI8="",$C8,IF(ISNUMBER(Planung!CI8),Planung!CI8,IF(UPPER(Planung!CI8)="H",$C8/2,0)))))))</f>
        <v>0</v>
      </c>
      <c r="CJ8" s="27">
        <f>IF($A8="",0,IF(Mitarbeiter!$G$6=FALSE,0,IF(AND(Mitarbeiter!$E$6&lt;&gt;"",CJ$5+6&lt;Mitarbeiter!$E$6),0,IF(AND(Mitarbeiter!$F$6&lt;&gt;"",CJ$5&gt;Mitarbeiter!$F$6),0,IF(Planung!CJ8="",$C8,IF(ISNUMBER(Planung!CJ8),Planung!CJ8,IF(UPPER(Planung!CJ8)="H",$C8/2,0)))))))</f>
        <v>0</v>
      </c>
      <c r="CK8" s="27">
        <f>IF($A8="",0,IF(Mitarbeiter!$G$6=FALSE,0,IF(AND(Mitarbeiter!$E$6&lt;&gt;"",CK$5+6&lt;Mitarbeiter!$E$6),0,IF(AND(Mitarbeiter!$F$6&lt;&gt;"",CK$5&gt;Mitarbeiter!$F$6),0,IF(Planung!CK8="",$C8,IF(ISNUMBER(Planung!CK8),Planung!CK8,IF(UPPER(Planung!CK8)="H",$C8/2,0)))))))</f>
        <v>0</v>
      </c>
      <c r="CL8" s="27">
        <f>IF($A8="",0,IF(Mitarbeiter!$G$6=FALSE,0,IF(AND(Mitarbeiter!$E$6&lt;&gt;"",CL$5+6&lt;Mitarbeiter!$E$6),0,IF(AND(Mitarbeiter!$F$6&lt;&gt;"",CL$5&gt;Mitarbeiter!$F$6),0,IF(Planung!CL8="",$C8,IF(ISNUMBER(Planung!CL8),Planung!CL8,IF(UPPER(Planung!CL8)="H",$C8/2,0)))))))</f>
        <v>0</v>
      </c>
      <c r="CM8" s="27">
        <f>IF($A8="",0,IF(Mitarbeiter!$G$6=FALSE,0,IF(AND(Mitarbeiter!$E$6&lt;&gt;"",CM$5+6&lt;Mitarbeiter!$E$6),0,IF(AND(Mitarbeiter!$F$6&lt;&gt;"",CM$5&gt;Mitarbeiter!$F$6),0,IF(Planung!CM8="",$C8,IF(ISNUMBER(Planung!CM8),Planung!CM8,IF(UPPER(Planung!CM8)="H",$C8/2,0)))))))</f>
        <v>0</v>
      </c>
      <c r="CN8" s="27">
        <f>IF($A8="",0,IF(Mitarbeiter!$G$6=FALSE,0,IF(AND(Mitarbeiter!$E$6&lt;&gt;"",CN$5+6&lt;Mitarbeiter!$E$6),0,IF(AND(Mitarbeiter!$F$6&lt;&gt;"",CN$5&gt;Mitarbeiter!$F$6),0,IF(Planung!CN8="",$C8,IF(ISNUMBER(Planung!CN8),Planung!CN8,IF(UPPER(Planung!CN8)="H",$C8/2,0)))))))</f>
        <v>0</v>
      </c>
      <c r="CO8" s="27">
        <f>IF($A8="",0,IF(Mitarbeiter!$G$6=FALSE,0,IF(AND(Mitarbeiter!$E$6&lt;&gt;"",CO$5+6&lt;Mitarbeiter!$E$6),0,IF(AND(Mitarbeiter!$F$6&lt;&gt;"",CO$5&gt;Mitarbeiter!$F$6),0,IF(Planung!CO8="",$C8,IF(ISNUMBER(Planung!CO8),Planung!CO8,IF(UPPER(Planung!CO8)="H",$C8/2,0)))))))</f>
        <v>0</v>
      </c>
      <c r="CP8" s="27">
        <f>IF($A8="",0,IF(Mitarbeiter!$G$6=FALSE,0,IF(AND(Mitarbeiter!$E$6&lt;&gt;"",CP$5+6&lt;Mitarbeiter!$E$6),0,IF(AND(Mitarbeiter!$F$6&lt;&gt;"",CP$5&gt;Mitarbeiter!$F$6),0,IF(Planung!CP8="",$C8,IF(ISNUMBER(Planung!CP8),Planung!CP8,IF(UPPER(Planung!CP8)="H",$C8/2,0)))))))</f>
        <v>0</v>
      </c>
      <c r="CQ8" s="27">
        <f>IF($A8="",0,IF(Mitarbeiter!$G$6=FALSE,0,IF(AND(Mitarbeiter!$E$6&lt;&gt;"",CQ$5+6&lt;Mitarbeiter!$E$6),0,IF(AND(Mitarbeiter!$F$6&lt;&gt;"",CQ$5&gt;Mitarbeiter!$F$6),0,IF(Planung!CQ8="",$C8,IF(ISNUMBER(Planung!CQ8),Planung!CQ8,IF(UPPER(Planung!CQ8)="H",$C8/2,0)))))))</f>
        <v>0</v>
      </c>
      <c r="CR8" s="27">
        <f>IF($A8="",0,IF(Mitarbeiter!$G$6=FALSE,0,IF(AND(Mitarbeiter!$E$6&lt;&gt;"",CR$5+6&lt;Mitarbeiter!$E$6),0,IF(AND(Mitarbeiter!$F$6&lt;&gt;"",CR$5&gt;Mitarbeiter!$F$6),0,IF(Planung!CR8="",$C8,IF(ISNUMBER(Planung!CR8),Planung!CR8,IF(UPPER(Planung!CR8)="H",$C8/2,0)))))))</f>
        <v>0</v>
      </c>
      <c r="CS8" s="27">
        <f>IF($A8="",0,IF(Mitarbeiter!$G$6=FALSE,0,IF(AND(Mitarbeiter!$E$6&lt;&gt;"",CS$5+6&lt;Mitarbeiter!$E$6),0,IF(AND(Mitarbeiter!$F$6&lt;&gt;"",CS$5&gt;Mitarbeiter!$F$6),0,IF(Planung!CS8="",$C8,IF(ISNUMBER(Planung!CS8),Planung!CS8,IF(UPPER(Planung!CS8)="H",$C8/2,0)))))))</f>
        <v>0</v>
      </c>
      <c r="CT8" s="27">
        <f>IF($A8="",0,IF(Mitarbeiter!$G$6=FALSE,0,IF(AND(Mitarbeiter!$E$6&lt;&gt;"",CT$5+6&lt;Mitarbeiter!$E$6),0,IF(AND(Mitarbeiter!$F$6&lt;&gt;"",CT$5&gt;Mitarbeiter!$F$6),0,IF(Planung!CT8="",$C8,IF(ISNUMBER(Planung!CT8),Planung!CT8,IF(UPPER(Planung!CT8)="H",$C8/2,0)))))))</f>
        <v>0</v>
      </c>
      <c r="CU8" s="27">
        <f>IF($A8="",0,IF(Mitarbeiter!$G$6=FALSE,0,IF(AND(Mitarbeiter!$E$6&lt;&gt;"",CU$5+6&lt;Mitarbeiter!$E$6),0,IF(AND(Mitarbeiter!$F$6&lt;&gt;"",CU$5&gt;Mitarbeiter!$F$6),0,IF(Planung!CU8="",$C8,IF(ISNUMBER(Planung!CU8),Planung!CU8,IF(UPPER(Planung!CU8)="H",$C8/2,0)))))))</f>
        <v>0</v>
      </c>
      <c r="CV8" s="27">
        <f>IF($A8="",0,IF(Mitarbeiter!$G$6=FALSE,0,IF(AND(Mitarbeiter!$E$6&lt;&gt;"",CV$5+6&lt;Mitarbeiter!$E$6),0,IF(AND(Mitarbeiter!$F$6&lt;&gt;"",CV$5&gt;Mitarbeiter!$F$6),0,IF(Planung!CV8="",$C8,IF(ISNUMBER(Planung!CV8),Planung!CV8,IF(UPPER(Planung!CV8)="H",$C8/2,0)))))))</f>
        <v>0</v>
      </c>
      <c r="CW8" s="27">
        <f>IF($A8="",0,IF(Mitarbeiter!$G$6=FALSE,0,IF(AND(Mitarbeiter!$E$6&lt;&gt;"",CW$5+6&lt;Mitarbeiter!$E$6),0,IF(AND(Mitarbeiter!$F$6&lt;&gt;"",CW$5&gt;Mitarbeiter!$F$6),0,IF(Planung!CW8="",$C8,IF(ISNUMBER(Planung!CW8),Planung!CW8,IF(UPPER(Planung!CW8)="H",$C8/2,0)))))))</f>
        <v>0</v>
      </c>
      <c r="CX8" s="27">
        <f>IF($A8="",0,IF(Mitarbeiter!$G$6=FALSE,0,IF(AND(Mitarbeiter!$E$6&lt;&gt;"",CX$5+6&lt;Mitarbeiter!$E$6),0,IF(AND(Mitarbeiter!$F$6&lt;&gt;"",CX$5&gt;Mitarbeiter!$F$6),0,IF(Planung!CX8="",$C8,IF(ISNUMBER(Planung!CX8),Planung!CX8,IF(UPPER(Planung!CX8)="H",$C8/2,0)))))))</f>
        <v>0</v>
      </c>
      <c r="CY8" s="27">
        <f>IF($A8="",0,IF(Mitarbeiter!$G$6=FALSE,0,IF(AND(Mitarbeiter!$E$6&lt;&gt;"",CY$5+6&lt;Mitarbeiter!$E$6),0,IF(AND(Mitarbeiter!$F$6&lt;&gt;"",CY$5&gt;Mitarbeiter!$F$6),0,IF(Planung!CY8="",$C8,IF(ISNUMBER(Planung!CY8),Planung!CY8,IF(UPPER(Planung!CY8)="H",$C8/2,0)))))))</f>
        <v>0</v>
      </c>
      <c r="CZ8" s="27">
        <f>IF($A8="",0,IF(Mitarbeiter!$G$6=FALSE,0,IF(AND(Mitarbeiter!$E$6&lt;&gt;"",CZ$5+6&lt;Mitarbeiter!$E$6),0,IF(AND(Mitarbeiter!$F$6&lt;&gt;"",CZ$5&gt;Mitarbeiter!$F$6),0,IF(Planung!CZ8="",$C8,IF(ISNUMBER(Planung!CZ8),Planung!CZ8,IF(UPPER(Planung!CZ8)="H",$C8/2,0)))))))</f>
        <v>0</v>
      </c>
      <c r="DA8" s="27">
        <f>IF($A8="",0,IF(Mitarbeiter!$G$6=FALSE,0,IF(AND(Mitarbeiter!$E$6&lt;&gt;"",DA$5+6&lt;Mitarbeiter!$E$6),0,IF(AND(Mitarbeiter!$F$6&lt;&gt;"",DA$5&gt;Mitarbeiter!$F$6),0,IF(Planung!DA8="",$C8,IF(ISNUMBER(Planung!DA8),Planung!DA8,IF(UPPER(Planung!DA8)="H",$C8/2,0)))))))</f>
        <v>0</v>
      </c>
      <c r="DB8" s="27">
        <f>IF($A8="",0,IF(Mitarbeiter!$G$6=FALSE,0,IF(AND(Mitarbeiter!$E$6&lt;&gt;"",DB$5+6&lt;Mitarbeiter!$E$6),0,IF(AND(Mitarbeiter!$F$6&lt;&gt;"",DB$5&gt;Mitarbeiter!$F$6),0,IF(Planung!DB8="",$C8,IF(ISNUMBER(Planung!DB8),Planung!DB8,IF(UPPER(Planung!DB8)="H",$C8/2,0)))))))</f>
        <v>0</v>
      </c>
      <c r="DC8" s="27">
        <f>IF($A8="",0,IF(Mitarbeiter!$G$6=FALSE,0,IF(AND(Mitarbeiter!$E$6&lt;&gt;"",DC$5+6&lt;Mitarbeiter!$E$6),0,IF(AND(Mitarbeiter!$F$6&lt;&gt;"",DC$5&gt;Mitarbeiter!$F$6),0,IF(Planung!DC8="",$C8,IF(ISNUMBER(Planung!DC8),Planung!DC8,IF(UPPER(Planung!DC8)="H",$C8/2,0)))))))</f>
        <v>0</v>
      </c>
      <c r="DD8" s="27">
        <f>IF($A8="",0,IF(Mitarbeiter!$G$6=FALSE,0,IF(AND(Mitarbeiter!$E$6&lt;&gt;"",DD$5+6&lt;Mitarbeiter!$E$6),0,IF(AND(Mitarbeiter!$F$6&lt;&gt;"",DD$5&gt;Mitarbeiter!$F$6),0,IF(Planung!DD8="",$C8,IF(ISNUMBER(Planung!DD8),Planung!DD8,IF(UPPER(Planung!DD8)="H",$C8/2,0)))))))</f>
        <v>0</v>
      </c>
      <c r="DE8" s="27">
        <f>IF($A8="",0,IF(Mitarbeiter!$G$6=FALSE,0,IF(AND(Mitarbeiter!$E$6&lt;&gt;"",DE$5+6&lt;Mitarbeiter!$E$6),0,IF(AND(Mitarbeiter!$F$6&lt;&gt;"",DE$5&gt;Mitarbeiter!$F$6),0,IF(Planung!DE8="",$C8,IF(ISNUMBER(Planung!DE8),Planung!DE8,IF(UPPER(Planung!DE8)="H",$C8/2,0)))))))</f>
        <v>0</v>
      </c>
      <c r="DF8" s="27">
        <f>IF($A8="",0,IF(Mitarbeiter!$G$6=FALSE,0,IF(AND(Mitarbeiter!$E$6&lt;&gt;"",DF$5+6&lt;Mitarbeiter!$E$6),0,IF(AND(Mitarbeiter!$F$6&lt;&gt;"",DF$5&gt;Mitarbeiter!$F$6),0,IF(Planung!DF8="",$C8,IF(ISNUMBER(Planung!DF8),Planung!DF8,IF(UPPER(Planung!DF8)="H",$C8/2,0)))))))</f>
        <v>0</v>
      </c>
      <c r="DG8" s="27">
        <f>IF($A8="",0,IF(Mitarbeiter!$G$6=FALSE,0,IF(AND(Mitarbeiter!$E$6&lt;&gt;"",DG$5+6&lt;Mitarbeiter!$E$6),0,IF(AND(Mitarbeiter!$F$6&lt;&gt;"",DG$5&gt;Mitarbeiter!$F$6),0,IF(Planung!DG8="",$C8,IF(ISNUMBER(Planung!DG8),Planung!DG8,IF(UPPER(Planung!DG8)="H",$C8/2,0)))))))</f>
        <v>0</v>
      </c>
      <c r="DH8" s="27">
        <f>IF($A8="",0,IF(Mitarbeiter!$G$6=FALSE,0,IF(AND(Mitarbeiter!$E$6&lt;&gt;"",DH$5+6&lt;Mitarbeiter!$E$6),0,IF(AND(Mitarbeiter!$F$6&lt;&gt;"",DH$5&gt;Mitarbeiter!$F$6),0,IF(Planung!DH8="",$C8,IF(ISNUMBER(Planung!DH8),Planung!DH8,IF(UPPER(Planung!DH8)="H",$C8/2,0)))))))</f>
        <v>0</v>
      </c>
      <c r="DI8" s="27">
        <f>IF($A8="",0,IF(Mitarbeiter!$G$6=FALSE,0,IF(AND(Mitarbeiter!$E$6&lt;&gt;"",DI$5+6&lt;Mitarbeiter!$E$6),0,IF(AND(Mitarbeiter!$F$6&lt;&gt;"",DI$5&gt;Mitarbeiter!$F$6),0,IF(Planung!DI8="",$C8,IF(ISNUMBER(Planung!DI8),Planung!DI8,IF(UPPER(Planung!DI8)="H",$C8/2,0)))))))</f>
        <v>0</v>
      </c>
      <c r="DJ8" s="27">
        <f>IF($A8="",0,IF(Mitarbeiter!$G$6=FALSE,0,IF(AND(Mitarbeiter!$E$6&lt;&gt;"",DJ$5+6&lt;Mitarbeiter!$E$6),0,IF(AND(Mitarbeiter!$F$6&lt;&gt;"",DJ$5&gt;Mitarbeiter!$F$6),0,IF(Planung!DJ8="",$C8,IF(ISNUMBER(Planung!DJ8),Planung!DJ8,IF(UPPER(Planung!DJ8)="H",$C8/2,0)))))))</f>
        <v>0</v>
      </c>
      <c r="DK8" s="27">
        <f>IF($A8="",0,IF(Mitarbeiter!$G$6=FALSE,0,IF(AND(Mitarbeiter!$E$6&lt;&gt;"",DK$5+6&lt;Mitarbeiter!$E$6),0,IF(AND(Mitarbeiter!$F$6&lt;&gt;"",DK$5&gt;Mitarbeiter!$F$6),0,IF(Planung!DK8="",$C8,IF(ISNUMBER(Planung!DK8),Planung!DK8,IF(UPPER(Planung!DK8)="H",$C8/2,0)))))))</f>
        <v>0</v>
      </c>
      <c r="DL8" s="27">
        <f>IF($A8="",0,IF(Mitarbeiter!$G$6=FALSE,0,IF(AND(Mitarbeiter!$E$6&lt;&gt;"",DL$5+6&lt;Mitarbeiter!$E$6),0,IF(AND(Mitarbeiter!$F$6&lt;&gt;"",DL$5&gt;Mitarbeiter!$F$6),0,IF(Planung!DL8="",$C8,IF(ISNUMBER(Planung!DL8),Planung!DL8,IF(UPPER(Planung!DL8)="H",$C8/2,0)))))))</f>
        <v>0</v>
      </c>
      <c r="DM8" s="27">
        <f>IF($A8="",0,IF(Mitarbeiter!$G$6=FALSE,0,IF(AND(Mitarbeiter!$E$6&lt;&gt;"",DM$5+6&lt;Mitarbeiter!$E$6),0,IF(AND(Mitarbeiter!$F$6&lt;&gt;"",DM$5&gt;Mitarbeiter!$F$6),0,IF(Planung!DM8="",$C8,IF(ISNUMBER(Planung!DM8),Planung!DM8,IF(UPPER(Planung!DM8)="H",$C8/2,0)))))))</f>
        <v>0</v>
      </c>
      <c r="DN8" s="27">
        <f>IF($A8="",0,IF(Mitarbeiter!$G$6=FALSE,0,IF(AND(Mitarbeiter!$E$6&lt;&gt;"",DN$5+6&lt;Mitarbeiter!$E$6),0,IF(AND(Mitarbeiter!$F$6&lt;&gt;"",DN$5&gt;Mitarbeiter!$F$6),0,IF(Planung!DN8="",$C8,IF(ISNUMBER(Planung!DN8),Planung!DN8,IF(UPPER(Planung!DN8)="H",$C8/2,0)))))))</f>
        <v>0</v>
      </c>
      <c r="DO8" s="27">
        <f>IF($A8="",0,IF(Mitarbeiter!$G$6=FALSE,0,IF(AND(Mitarbeiter!$E$6&lt;&gt;"",DO$5+6&lt;Mitarbeiter!$E$6),0,IF(AND(Mitarbeiter!$F$6&lt;&gt;"",DO$5&gt;Mitarbeiter!$F$6),0,IF(Planung!DO8="",$C8,IF(ISNUMBER(Planung!DO8),Planung!DO8,IF(UPPER(Planung!DO8)="H",$C8/2,0)))))))</f>
        <v>0</v>
      </c>
      <c r="DP8" s="27">
        <f>IF($A8="",0,IF(Mitarbeiter!$G$6=FALSE,0,IF(AND(Mitarbeiter!$E$6&lt;&gt;"",DP$5+6&lt;Mitarbeiter!$E$6),0,IF(AND(Mitarbeiter!$F$6&lt;&gt;"",DP$5&gt;Mitarbeiter!$F$6),0,IF(Planung!DP8="",$C8,IF(ISNUMBER(Planung!DP8),Planung!DP8,IF(UPPER(Planung!DP8)="H",$C8/2,0)))))))</f>
        <v>0</v>
      </c>
      <c r="DQ8" s="27">
        <f>IF($A8="",0,IF(Mitarbeiter!$G$6=FALSE,0,IF(AND(Mitarbeiter!$E$6&lt;&gt;"",DQ$5+6&lt;Mitarbeiter!$E$6),0,IF(AND(Mitarbeiter!$F$6&lt;&gt;"",DQ$5&gt;Mitarbeiter!$F$6),0,IF(Planung!DQ8="",$C8,IF(ISNUMBER(Planung!DQ8),Planung!DQ8,IF(UPPER(Planung!DQ8)="H",$C8/2,0)))))))</f>
        <v>0</v>
      </c>
      <c r="DR8" s="27">
        <f>IF($A8="",0,IF(Mitarbeiter!$G$6=FALSE,0,IF(AND(Mitarbeiter!$E$6&lt;&gt;"",DR$5+6&lt;Mitarbeiter!$E$6),0,IF(AND(Mitarbeiter!$F$6&lt;&gt;"",DR$5&gt;Mitarbeiter!$F$6),0,IF(Planung!DR8="",$C8,IF(ISNUMBER(Planung!DR8),Planung!DR8,IF(UPPER(Planung!DR8)="H",$C8/2,0)))))))</f>
        <v>0</v>
      </c>
      <c r="DS8" s="27">
        <f>IF($A8="",0,IF(Mitarbeiter!$G$6=FALSE,0,IF(AND(Mitarbeiter!$E$6&lt;&gt;"",DS$5+6&lt;Mitarbeiter!$E$6),0,IF(AND(Mitarbeiter!$F$6&lt;&gt;"",DS$5&gt;Mitarbeiter!$F$6),0,IF(Planung!DS8="",$C8,IF(ISNUMBER(Planung!DS8),Planung!DS8,IF(UPPER(Planung!DS8)="H",$C8/2,0)))))))</f>
        <v>0</v>
      </c>
      <c r="DT8" s="27">
        <f>IF($A8="",0,IF(Mitarbeiter!$G$6=FALSE,0,IF(AND(Mitarbeiter!$E$6&lt;&gt;"",DT$5+6&lt;Mitarbeiter!$E$6),0,IF(AND(Mitarbeiter!$F$6&lt;&gt;"",DT$5&gt;Mitarbeiter!$F$6),0,IF(Planung!DT8="",$C8,IF(ISNUMBER(Planung!DT8),Planung!DT8,IF(UPPER(Planung!DT8)="H",$C8/2,0)))))))</f>
        <v>0</v>
      </c>
      <c r="DU8" s="27">
        <f>IF($A8="",0,IF(Mitarbeiter!$G$6=FALSE,0,IF(AND(Mitarbeiter!$E$6&lt;&gt;"",DU$5+6&lt;Mitarbeiter!$E$6),0,IF(AND(Mitarbeiter!$F$6&lt;&gt;"",DU$5&gt;Mitarbeiter!$F$6),0,IF(Planung!DU8="",$C8,IF(ISNUMBER(Planung!DU8),Planung!DU8,IF(UPPER(Planung!DU8)="H",$C8/2,0)))))))</f>
        <v>0</v>
      </c>
      <c r="DV8" s="27">
        <f>IF($A8="",0,IF(Mitarbeiter!$G$6=FALSE,0,IF(AND(Mitarbeiter!$E$6&lt;&gt;"",DV$5+6&lt;Mitarbeiter!$E$6),0,IF(AND(Mitarbeiter!$F$6&lt;&gt;"",DV$5&gt;Mitarbeiter!$F$6),0,IF(Planung!DV8="",$C8,IF(ISNUMBER(Planung!DV8),Planung!DV8,IF(UPPER(Planung!DV8)="H",$C8/2,0)))))))</f>
        <v>0</v>
      </c>
      <c r="DW8" s="27">
        <f>IF($A8="",0,IF(Mitarbeiter!$G$6=FALSE,0,IF(AND(Mitarbeiter!$E$6&lt;&gt;"",DW$5+6&lt;Mitarbeiter!$E$6),0,IF(AND(Mitarbeiter!$F$6&lt;&gt;"",DW$5&gt;Mitarbeiter!$F$6),0,IF(Planung!DW8="",$C8,IF(ISNUMBER(Planung!DW8),Planung!DW8,IF(UPPER(Planung!DW8)="H",$C8/2,0)))))))</f>
        <v>0</v>
      </c>
      <c r="DX8" s="27">
        <f>IF($A8="",0,IF(Mitarbeiter!$G$6=FALSE,0,IF(AND(Mitarbeiter!$E$6&lt;&gt;"",DX$5+6&lt;Mitarbeiter!$E$6),0,IF(AND(Mitarbeiter!$F$6&lt;&gt;"",DX$5&gt;Mitarbeiter!$F$6),0,IF(Planung!DX8="",$C8,IF(ISNUMBER(Planung!DX8),Planung!DX8,IF(UPPER(Planung!DX8)="H",$C8/2,0)))))))</f>
        <v>0</v>
      </c>
      <c r="DY8" s="27">
        <f>IF($A8="",0,IF(Mitarbeiter!$G$6=FALSE,0,IF(AND(Mitarbeiter!$E$6&lt;&gt;"",DY$5+6&lt;Mitarbeiter!$E$6),0,IF(AND(Mitarbeiter!$F$6&lt;&gt;"",DY$5&gt;Mitarbeiter!$F$6),0,IF(Planung!DY8="",$C8,IF(ISNUMBER(Planung!DY8),Planung!DY8,IF(UPPER(Planung!DY8)="H",$C8/2,0)))))))</f>
        <v>0</v>
      </c>
      <c r="DZ8" s="27">
        <f>IF($A8="",0,IF(Mitarbeiter!$G$6=FALSE,0,IF(AND(Mitarbeiter!$E$6&lt;&gt;"",DZ$5+6&lt;Mitarbeiter!$E$6),0,IF(AND(Mitarbeiter!$F$6&lt;&gt;"",DZ$5&gt;Mitarbeiter!$F$6),0,IF(Planung!DZ8="",$C8,IF(ISNUMBER(Planung!DZ8),Planung!DZ8,IF(UPPER(Planung!DZ8)="H",$C8/2,0)))))))</f>
        <v>0</v>
      </c>
      <c r="EA8" s="27">
        <f>IF($A8="",0,IF(Mitarbeiter!$G$6=FALSE,0,IF(AND(Mitarbeiter!$E$6&lt;&gt;"",EA$5+6&lt;Mitarbeiter!$E$6),0,IF(AND(Mitarbeiter!$F$6&lt;&gt;"",EA$5&gt;Mitarbeiter!$F$6),0,IF(Planung!EA8="",$C8,IF(ISNUMBER(Planung!EA8),Planung!EA8,IF(UPPER(Planung!EA8)="H",$C8/2,0)))))))</f>
        <v>0</v>
      </c>
      <c r="EB8" s="27">
        <f>IF($A8="",0,IF(Mitarbeiter!$G$6=FALSE,0,IF(AND(Mitarbeiter!$E$6&lt;&gt;"",EB$5+6&lt;Mitarbeiter!$E$6),0,IF(AND(Mitarbeiter!$F$6&lt;&gt;"",EB$5&gt;Mitarbeiter!$F$6),0,IF(Planung!EB8="",$C8,IF(ISNUMBER(Planung!EB8),Planung!EB8,IF(UPPER(Planung!EB8)="H",$C8/2,0)))))))</f>
        <v>0</v>
      </c>
      <c r="EC8" s="27">
        <f>IF($A8="",0,IF(Mitarbeiter!$G$6=FALSE,0,IF(AND(Mitarbeiter!$E$6&lt;&gt;"",EC$5+6&lt;Mitarbeiter!$E$6),0,IF(AND(Mitarbeiter!$F$6&lt;&gt;"",EC$5&gt;Mitarbeiter!$F$6),0,IF(Planung!EC8="",$C8,IF(ISNUMBER(Planung!EC8),Planung!EC8,IF(UPPER(Planung!EC8)="H",$C8/2,0)))))))</f>
        <v>0</v>
      </c>
      <c r="ED8" s="27">
        <f>IF($A8="",0,IF(Mitarbeiter!$G$6=FALSE,0,IF(AND(Mitarbeiter!$E$6&lt;&gt;"",ED$5+6&lt;Mitarbeiter!$E$6),0,IF(AND(Mitarbeiter!$F$6&lt;&gt;"",ED$5&gt;Mitarbeiter!$F$6),0,IF(Planung!ED8="",$C8,IF(ISNUMBER(Planung!ED8),Planung!ED8,IF(UPPER(Planung!ED8)="H",$C8/2,0)))))))</f>
        <v>0</v>
      </c>
      <c r="EE8" s="27">
        <f>IF($A8="",0,IF(Mitarbeiter!$G$6=FALSE,0,IF(AND(Mitarbeiter!$E$6&lt;&gt;"",EE$5+6&lt;Mitarbeiter!$E$6),0,IF(AND(Mitarbeiter!$F$6&lt;&gt;"",EE$5&gt;Mitarbeiter!$F$6),0,IF(Planung!EE8="",$C8,IF(ISNUMBER(Planung!EE8),Planung!EE8,IF(UPPER(Planung!EE8)="H",$C8/2,0)))))))</f>
        <v>0</v>
      </c>
      <c r="EF8" s="27">
        <f>IF($A8="",0,IF(Mitarbeiter!$G$6=FALSE,0,IF(AND(Mitarbeiter!$E$6&lt;&gt;"",EF$5+6&lt;Mitarbeiter!$E$6),0,IF(AND(Mitarbeiter!$F$6&lt;&gt;"",EF$5&gt;Mitarbeiter!$F$6),0,IF(Planung!EF8="",$C8,IF(ISNUMBER(Planung!EF8),Planung!EF8,IF(UPPER(Planung!EF8)="H",$C8/2,0)))))))</f>
        <v>0</v>
      </c>
      <c r="EG8" s="27">
        <f>IF($A8="",0,IF(Mitarbeiter!$G$6=FALSE,0,IF(AND(Mitarbeiter!$E$6&lt;&gt;"",EG$5+6&lt;Mitarbeiter!$E$6),0,IF(AND(Mitarbeiter!$F$6&lt;&gt;"",EG$5&gt;Mitarbeiter!$F$6),0,IF(Planung!EG8="",$C8,IF(ISNUMBER(Planung!EG8),Planung!EG8,IF(UPPER(Planung!EG8)="H",$C8/2,0)))))))</f>
        <v>0</v>
      </c>
      <c r="EH8" s="27">
        <f>IF($A8="",0,IF(Mitarbeiter!$G$6=FALSE,0,IF(AND(Mitarbeiter!$E$6&lt;&gt;"",EH$5+6&lt;Mitarbeiter!$E$6),0,IF(AND(Mitarbeiter!$F$6&lt;&gt;"",EH$5&gt;Mitarbeiter!$F$6),0,IF(Planung!EH8="",$C8,IF(ISNUMBER(Planung!EH8),Planung!EH8,IF(UPPER(Planung!EH8)="H",$C8/2,0)))))))</f>
        <v>0</v>
      </c>
      <c r="EI8" s="27">
        <f>IF($A8="",0,IF(Mitarbeiter!$G$6=FALSE,0,IF(AND(Mitarbeiter!$E$6&lt;&gt;"",EI$5+6&lt;Mitarbeiter!$E$6),0,IF(AND(Mitarbeiter!$F$6&lt;&gt;"",EI$5&gt;Mitarbeiter!$F$6),0,IF(Planung!EI8="",$C8,IF(ISNUMBER(Planung!EI8),Planung!EI8,IF(UPPER(Planung!EI8)="H",$C8/2,0)))))))</f>
        <v>0</v>
      </c>
      <c r="EJ8" s="27">
        <f>IF($A8="",0,IF(Mitarbeiter!$G$6=FALSE,0,IF(AND(Mitarbeiter!$E$6&lt;&gt;"",EJ$5+6&lt;Mitarbeiter!$E$6),0,IF(AND(Mitarbeiter!$F$6&lt;&gt;"",EJ$5&gt;Mitarbeiter!$F$6),0,IF(Planung!EJ8="",$C8,IF(ISNUMBER(Planung!EJ8),Planung!EJ8,IF(UPPER(Planung!EJ8)="H",$C8/2,0)))))))</f>
        <v>0</v>
      </c>
      <c r="EK8" s="27">
        <f>IF($A8="",0,IF(Mitarbeiter!$G$6=FALSE,0,IF(AND(Mitarbeiter!$E$6&lt;&gt;"",EK$5+6&lt;Mitarbeiter!$E$6),0,IF(AND(Mitarbeiter!$F$6&lt;&gt;"",EK$5&gt;Mitarbeiter!$F$6),0,IF(Planung!EK8="",$C8,IF(ISNUMBER(Planung!EK8),Planung!EK8,IF(UPPER(Planung!EK8)="H",$C8/2,0)))))))</f>
        <v>0</v>
      </c>
      <c r="EL8" s="27">
        <f>IF($A8="",0,IF(Mitarbeiter!$G$6=FALSE,0,IF(AND(Mitarbeiter!$E$6&lt;&gt;"",EL$5+6&lt;Mitarbeiter!$E$6),0,IF(AND(Mitarbeiter!$F$6&lt;&gt;"",EL$5&gt;Mitarbeiter!$F$6),0,IF(Planung!EL8="",$C8,IF(ISNUMBER(Planung!EL8),Planung!EL8,IF(UPPER(Planung!EL8)="H",$C8/2,0)))))))</f>
        <v>0</v>
      </c>
      <c r="EM8" s="27">
        <f>IF($A8="",0,IF(Mitarbeiter!$G$6=FALSE,0,IF(AND(Mitarbeiter!$E$6&lt;&gt;"",EM$5+6&lt;Mitarbeiter!$E$6),0,IF(AND(Mitarbeiter!$F$6&lt;&gt;"",EM$5&gt;Mitarbeiter!$F$6),0,IF(Planung!EM8="",$C8,IF(ISNUMBER(Planung!EM8),Planung!EM8,IF(UPPER(Planung!EM8)="H",$C8/2,0)))))))</f>
        <v>0</v>
      </c>
      <c r="EN8" s="27">
        <f>IF($A8="",0,IF(Mitarbeiter!$G$6=FALSE,0,IF(AND(Mitarbeiter!$E$6&lt;&gt;"",EN$5+6&lt;Mitarbeiter!$E$6),0,IF(AND(Mitarbeiter!$F$6&lt;&gt;"",EN$5&gt;Mitarbeiter!$F$6),0,IF(Planung!EN8="",$C8,IF(ISNUMBER(Planung!EN8),Planung!EN8,IF(UPPER(Planung!EN8)="H",$C8/2,0)))))))</f>
        <v>0</v>
      </c>
      <c r="EO8" s="27">
        <f>IF($A8="",0,IF(Mitarbeiter!$G$6=FALSE,0,IF(AND(Mitarbeiter!$E$6&lt;&gt;"",EO$5+6&lt;Mitarbeiter!$E$6),0,IF(AND(Mitarbeiter!$F$6&lt;&gt;"",EO$5&gt;Mitarbeiter!$F$6),0,IF(Planung!EO8="",$C8,IF(ISNUMBER(Planung!EO8),Planung!EO8,IF(UPPER(Planung!EO8)="H",$C8/2,0)))))))</f>
        <v>0</v>
      </c>
      <c r="EP8" s="27">
        <f>IF($A8="",0,IF(Mitarbeiter!$G$6=FALSE,0,IF(AND(Mitarbeiter!$E$6&lt;&gt;"",EP$5+6&lt;Mitarbeiter!$E$6),0,IF(AND(Mitarbeiter!$F$6&lt;&gt;"",EP$5&gt;Mitarbeiter!$F$6),0,IF(Planung!EP8="",$C8,IF(ISNUMBER(Planung!EP8),Planung!EP8,IF(UPPER(Planung!EP8)="H",$C8/2,0)))))))</f>
        <v>0</v>
      </c>
      <c r="EQ8" s="27">
        <f>IF($A8="",0,IF(Mitarbeiter!$G$6=FALSE,0,IF(AND(Mitarbeiter!$E$6&lt;&gt;"",EQ$5+6&lt;Mitarbeiter!$E$6),0,IF(AND(Mitarbeiter!$F$6&lt;&gt;"",EQ$5&gt;Mitarbeiter!$F$6),0,IF(Planung!EQ8="",$C8,IF(ISNUMBER(Planung!EQ8),Planung!EQ8,IF(UPPER(Planung!EQ8)="H",$C8/2,0)))))))</f>
        <v>0</v>
      </c>
      <c r="ER8" s="27">
        <f>IF($A8="",0,IF(Mitarbeiter!$G$6=FALSE,0,IF(AND(Mitarbeiter!$E$6&lt;&gt;"",ER$5+6&lt;Mitarbeiter!$E$6),0,IF(AND(Mitarbeiter!$F$6&lt;&gt;"",ER$5&gt;Mitarbeiter!$F$6),0,IF(Planung!ER8="",$C8,IF(ISNUMBER(Planung!ER8),Planung!ER8,IF(UPPER(Planung!ER8)="H",$C8/2,0)))))))</f>
        <v>0</v>
      </c>
      <c r="ES8" s="27">
        <f>IF($A8="",0,IF(Mitarbeiter!$G$6=FALSE,0,IF(AND(Mitarbeiter!$E$6&lt;&gt;"",ES$5+6&lt;Mitarbeiter!$E$6),0,IF(AND(Mitarbeiter!$F$6&lt;&gt;"",ES$5&gt;Mitarbeiter!$F$6),0,IF(Planung!ES8="",$C8,IF(ISNUMBER(Planung!ES8),Planung!ES8,IF(UPPER(Planung!ES8)="H",$C8/2,0)))))))</f>
        <v>0</v>
      </c>
      <c r="ET8" s="27">
        <f>IF($A8="",0,IF(Mitarbeiter!$G$6=FALSE,0,IF(AND(Mitarbeiter!$E$6&lt;&gt;"",ET$5+6&lt;Mitarbeiter!$E$6),0,IF(AND(Mitarbeiter!$F$6&lt;&gt;"",ET$5&gt;Mitarbeiter!$F$6),0,IF(Planung!ET8="",$C8,IF(ISNUMBER(Planung!ET8),Planung!ET8,IF(UPPER(Planung!ET8)="H",$C8/2,0)))))))</f>
        <v>0</v>
      </c>
      <c r="EU8" s="27">
        <f>IF($A8="",0,IF(Mitarbeiter!$G$6=FALSE,0,IF(AND(Mitarbeiter!$E$6&lt;&gt;"",EU$5+6&lt;Mitarbeiter!$E$6),0,IF(AND(Mitarbeiter!$F$6&lt;&gt;"",EU$5&gt;Mitarbeiter!$F$6),0,IF(Planung!EU8="",$C8,IF(ISNUMBER(Planung!EU8),Planung!EU8,IF(UPPER(Planung!EU8)="H",$C8/2,0)))))))</f>
        <v>0</v>
      </c>
      <c r="EV8" s="27">
        <f>IF($A8="",0,IF(Mitarbeiter!$G$6=FALSE,0,IF(AND(Mitarbeiter!$E$6&lt;&gt;"",EV$5+6&lt;Mitarbeiter!$E$6),0,IF(AND(Mitarbeiter!$F$6&lt;&gt;"",EV$5&gt;Mitarbeiter!$F$6),0,IF(Planung!EV8="",$C8,IF(ISNUMBER(Planung!EV8),Planung!EV8,IF(UPPER(Planung!EV8)="H",$C8/2,0)))))))</f>
        <v>0</v>
      </c>
      <c r="EW8" s="27">
        <f>IF($A8="",0,IF(Mitarbeiter!$G$6=FALSE,0,IF(AND(Mitarbeiter!$E$6&lt;&gt;"",EW$5+6&lt;Mitarbeiter!$E$6),0,IF(AND(Mitarbeiter!$F$6&lt;&gt;"",EW$5&gt;Mitarbeiter!$F$6),0,IF(Planung!EW8="",$C8,IF(ISNUMBER(Planung!EW8),Planung!EW8,IF(UPPER(Planung!EW8)="H",$C8/2,0)))))))</f>
        <v>0</v>
      </c>
      <c r="EX8" s="27">
        <f>IF($A8="",0,IF(Mitarbeiter!$G$6=FALSE,0,IF(AND(Mitarbeiter!$E$6&lt;&gt;"",EX$5+6&lt;Mitarbeiter!$E$6),0,IF(AND(Mitarbeiter!$F$6&lt;&gt;"",EX$5&gt;Mitarbeiter!$F$6),0,IF(Planung!EX8="",$C8,IF(ISNUMBER(Planung!EX8),Planung!EX8,IF(UPPER(Planung!EX8)="H",$C8/2,0)))))))</f>
        <v>0</v>
      </c>
      <c r="EY8" s="27">
        <f>IF($A8="",0,IF(Mitarbeiter!$G$6=FALSE,0,IF(AND(Mitarbeiter!$E$6&lt;&gt;"",EY$5+6&lt;Mitarbeiter!$E$6),0,IF(AND(Mitarbeiter!$F$6&lt;&gt;"",EY$5&gt;Mitarbeiter!$F$6),0,IF(Planung!EY8="",$C8,IF(ISNUMBER(Planung!EY8),Planung!EY8,IF(UPPER(Planung!EY8)="H",$C8/2,0)))))))</f>
        <v>0</v>
      </c>
      <c r="EZ8" s="27">
        <f>IF($A8="",0,IF(Mitarbeiter!$G$6=FALSE,0,IF(AND(Mitarbeiter!$E$6&lt;&gt;"",EZ$5+6&lt;Mitarbeiter!$E$6),0,IF(AND(Mitarbeiter!$F$6&lt;&gt;"",EZ$5&gt;Mitarbeiter!$F$6),0,IF(Planung!EZ8="",$C8,IF(ISNUMBER(Planung!EZ8),Planung!EZ8,IF(UPPER(Planung!EZ8)="H",$C8/2,0)))))))</f>
        <v>0</v>
      </c>
      <c r="FA8" s="27">
        <f>IF($A8="",0,IF(Mitarbeiter!$G$6=FALSE,0,IF(AND(Mitarbeiter!$E$6&lt;&gt;"",FA$5+6&lt;Mitarbeiter!$E$6),0,IF(AND(Mitarbeiter!$F$6&lt;&gt;"",FA$5&gt;Mitarbeiter!$F$6),0,IF(Planung!FA8="",$C8,IF(ISNUMBER(Planung!FA8),Planung!FA8,IF(UPPER(Planung!FA8)="H",$C8/2,0)))))))</f>
        <v>0</v>
      </c>
      <c r="FB8" s="27">
        <f>IF($A8="",0,IF(Mitarbeiter!$G$6=FALSE,0,IF(AND(Mitarbeiter!$E$6&lt;&gt;"",FB$5+6&lt;Mitarbeiter!$E$6),0,IF(AND(Mitarbeiter!$F$6&lt;&gt;"",FB$5&gt;Mitarbeiter!$F$6),0,IF(Planung!FB8="",$C8,IF(ISNUMBER(Planung!FB8),Planung!FB8,IF(UPPER(Planung!FB8)="H",$C8/2,0)))))))</f>
        <v>0</v>
      </c>
      <c r="FC8" s="27">
        <f>IF($A8="",0,IF(Mitarbeiter!$G$6=FALSE,0,IF(AND(Mitarbeiter!$E$6&lt;&gt;"",FC$5+6&lt;Mitarbeiter!$E$6),0,IF(AND(Mitarbeiter!$F$6&lt;&gt;"",FC$5&gt;Mitarbeiter!$F$6),0,IF(Planung!FC8="",$C8,IF(ISNUMBER(Planung!FC8),Planung!FC8,IF(UPPER(Planung!FC8)="H",$C8/2,0)))))))</f>
        <v>0</v>
      </c>
      <c r="FD8" s="27">
        <f>IF($A8="",0,IF(Mitarbeiter!$G$6=FALSE,0,IF(AND(Mitarbeiter!$E$6&lt;&gt;"",FD$5+6&lt;Mitarbeiter!$E$6),0,IF(AND(Mitarbeiter!$F$6&lt;&gt;"",FD$5&gt;Mitarbeiter!$F$6),0,IF(Planung!FD8="",$C8,IF(ISNUMBER(Planung!FD8),Planung!FD8,IF(UPPER(Planung!FD8)="H",$C8/2,0)))))))</f>
        <v>0</v>
      </c>
      <c r="FE8" s="27">
        <f>IF($A8="",0,IF(Mitarbeiter!$G$6=FALSE,0,IF(AND(Mitarbeiter!$E$6&lt;&gt;"",FE$5+6&lt;Mitarbeiter!$E$6),0,IF(AND(Mitarbeiter!$F$6&lt;&gt;"",FE$5&gt;Mitarbeiter!$F$6),0,IF(Planung!FE8="",$C8,IF(ISNUMBER(Planung!FE8),Planung!FE8,IF(UPPER(Planung!FE8)="H",$C8/2,0)))))))</f>
        <v>0</v>
      </c>
      <c r="FF8" s="27">
        <f>IF($A8="",0,IF(Mitarbeiter!$G$6=FALSE,0,IF(AND(Mitarbeiter!$E$6&lt;&gt;"",FF$5+6&lt;Mitarbeiter!$E$6),0,IF(AND(Mitarbeiter!$F$6&lt;&gt;"",FF$5&gt;Mitarbeiter!$F$6),0,IF(Planung!FF8="",$C8,IF(ISNUMBER(Planung!FF8),Planung!FF8,IF(UPPER(Planung!FF8)="H",$C8/2,0)))))))</f>
        <v>0</v>
      </c>
      <c r="FG8" s="27">
        <f>IF($A8="",0,IF(Mitarbeiter!$G$6=FALSE,0,IF(AND(Mitarbeiter!$E$6&lt;&gt;"",FG$5+6&lt;Mitarbeiter!$E$6),0,IF(AND(Mitarbeiter!$F$6&lt;&gt;"",FG$5&gt;Mitarbeiter!$F$6),0,IF(Planung!FG8="",$C8,IF(ISNUMBER(Planung!FG8),Planung!FG8,IF(UPPER(Planung!FG8)="H",$C8/2,0)))))))</f>
        <v>0</v>
      </c>
      <c r="FH8" s="27">
        <f>IF($A8="",0,IF(Mitarbeiter!$G$6=FALSE,0,IF(AND(Mitarbeiter!$E$6&lt;&gt;"",FH$5+6&lt;Mitarbeiter!$E$6),0,IF(AND(Mitarbeiter!$F$6&lt;&gt;"",FH$5&gt;Mitarbeiter!$F$6),0,IF(Planung!FH8="",$C8,IF(ISNUMBER(Planung!FH8),Planung!FH8,IF(UPPER(Planung!FH8)="H",$C8/2,0)))))))</f>
        <v>0</v>
      </c>
      <c r="FI8" s="27">
        <f>IF($A8="",0,IF(Mitarbeiter!$G$6=FALSE,0,IF(AND(Mitarbeiter!$E$6&lt;&gt;"",FI$5+6&lt;Mitarbeiter!$E$6),0,IF(AND(Mitarbeiter!$F$6&lt;&gt;"",FI$5&gt;Mitarbeiter!$F$6),0,IF(Planung!FI8="",$C8,IF(ISNUMBER(Planung!FI8),Planung!FI8,IF(UPPER(Planung!FI8)="H",$C8/2,0)))))))</f>
        <v>0</v>
      </c>
      <c r="FJ8" s="27">
        <f>IF($A8="",0,IF(Mitarbeiter!$G$6=FALSE,0,IF(AND(Mitarbeiter!$E$6&lt;&gt;"",FJ$5+6&lt;Mitarbeiter!$E$6),0,IF(AND(Mitarbeiter!$F$6&lt;&gt;"",FJ$5&gt;Mitarbeiter!$F$6),0,IF(Planung!FJ8="",$C8,IF(ISNUMBER(Planung!FJ8),Planung!FJ8,IF(UPPER(Planung!FJ8)="H",$C8/2,0)))))))</f>
        <v>0</v>
      </c>
      <c r="FK8" s="27">
        <f>IF($A8="",0,IF(Mitarbeiter!$G$6=FALSE,0,IF(AND(Mitarbeiter!$E$6&lt;&gt;"",FK$5+6&lt;Mitarbeiter!$E$6),0,IF(AND(Mitarbeiter!$F$6&lt;&gt;"",FK$5&gt;Mitarbeiter!$F$6),0,IF(Planung!FK8="",$C8,IF(ISNUMBER(Planung!FK8),Planung!FK8,IF(UPPER(Planung!FK8)="H",$C8/2,0)))))))</f>
        <v>0</v>
      </c>
      <c r="FL8" s="27">
        <f>IF($A8="",0,IF(Mitarbeiter!$G$6=FALSE,0,IF(AND(Mitarbeiter!$E$6&lt;&gt;"",FL$5+6&lt;Mitarbeiter!$E$6),0,IF(AND(Mitarbeiter!$F$6&lt;&gt;"",FL$5&gt;Mitarbeiter!$F$6),0,IF(Planung!FL8="",$C8,IF(ISNUMBER(Planung!FL8),Planung!FL8,IF(UPPER(Planung!FL8)="H",$C8/2,0)))))))</f>
        <v>0</v>
      </c>
      <c r="FM8" s="27">
        <f>IF($A8="",0,IF(Mitarbeiter!$G$6=FALSE,0,IF(AND(Mitarbeiter!$E$6&lt;&gt;"",FM$5+6&lt;Mitarbeiter!$E$6),0,IF(AND(Mitarbeiter!$F$6&lt;&gt;"",FM$5&gt;Mitarbeiter!$F$6),0,IF(Planung!FM8="",$C8,IF(ISNUMBER(Planung!FM8),Planung!FM8,IF(UPPER(Planung!FM8)="H",$C8/2,0)))))))</f>
        <v>0</v>
      </c>
      <c r="FN8" s="27">
        <f>IF($A8="",0,IF(Mitarbeiter!$G$6=FALSE,0,IF(AND(Mitarbeiter!$E$6&lt;&gt;"",FN$5+6&lt;Mitarbeiter!$E$6),0,IF(AND(Mitarbeiter!$F$6&lt;&gt;"",FN$5&gt;Mitarbeiter!$F$6),0,IF(Planung!FN8="",$C8,IF(ISNUMBER(Planung!FN8),Planung!FN8,IF(UPPER(Planung!FN8)="H",$C8/2,0)))))))</f>
        <v>0</v>
      </c>
      <c r="FO8" s="27">
        <f>IF($A8="",0,IF(Mitarbeiter!$G$6=FALSE,0,IF(AND(Mitarbeiter!$E$6&lt;&gt;"",FO$5+6&lt;Mitarbeiter!$E$6),0,IF(AND(Mitarbeiter!$F$6&lt;&gt;"",FO$5&gt;Mitarbeiter!$F$6),0,IF(Planung!FO8="",$C8,IF(ISNUMBER(Planung!FO8),Planung!FO8,IF(UPPER(Planung!FO8)="H",$C8/2,0)))))))</f>
        <v>0</v>
      </c>
      <c r="FP8" s="27">
        <f>IF($A8="",0,IF(Mitarbeiter!$G$6=FALSE,0,IF(AND(Mitarbeiter!$E$6&lt;&gt;"",FP$5+6&lt;Mitarbeiter!$E$6),0,IF(AND(Mitarbeiter!$F$6&lt;&gt;"",FP$5&gt;Mitarbeiter!$F$6),0,IF(Planung!FP8="",$C8,IF(ISNUMBER(Planung!FP8),Planung!FP8,IF(UPPER(Planung!FP8)="H",$C8/2,0)))))))</f>
        <v>0</v>
      </c>
      <c r="FQ8" s="27">
        <f>IF($A8="",0,IF(Mitarbeiter!$G$6=FALSE,0,IF(AND(Mitarbeiter!$E$6&lt;&gt;"",FQ$5+6&lt;Mitarbeiter!$E$6),0,IF(AND(Mitarbeiter!$F$6&lt;&gt;"",FQ$5&gt;Mitarbeiter!$F$6),0,IF(Planung!FQ8="",$C8,IF(ISNUMBER(Planung!FQ8),Planung!FQ8,IF(UPPER(Planung!FQ8)="H",$C8/2,0)))))))</f>
        <v>0</v>
      </c>
      <c r="FR8" s="27">
        <f>IF($A8="",0,IF(Mitarbeiter!$G$6=FALSE,0,IF(AND(Mitarbeiter!$E$6&lt;&gt;"",FR$5+6&lt;Mitarbeiter!$E$6),0,IF(AND(Mitarbeiter!$F$6&lt;&gt;"",FR$5&gt;Mitarbeiter!$F$6),0,IF(Planung!FR8="",$C8,IF(ISNUMBER(Planung!FR8),Planung!FR8,IF(UPPER(Planung!FR8)="H",$C8/2,0)))))))</f>
        <v>0</v>
      </c>
      <c r="FS8" s="27">
        <f>IF($A8="",0,IF(Mitarbeiter!$G$6=FALSE,0,IF(AND(Mitarbeiter!$E$6&lt;&gt;"",FS$5+6&lt;Mitarbeiter!$E$6),0,IF(AND(Mitarbeiter!$F$6&lt;&gt;"",FS$5&gt;Mitarbeiter!$F$6),0,IF(Planung!FS8="",$C8,IF(ISNUMBER(Planung!FS8),Planung!FS8,IF(UPPER(Planung!FS8)="H",$C8/2,0)))))))</f>
        <v>0</v>
      </c>
      <c r="FT8" s="27">
        <f>IF($A8="",0,IF(Mitarbeiter!$G$6=FALSE,0,IF(AND(Mitarbeiter!$E$6&lt;&gt;"",FT$5+6&lt;Mitarbeiter!$E$6),0,IF(AND(Mitarbeiter!$F$6&lt;&gt;"",FT$5&gt;Mitarbeiter!$F$6),0,IF(Planung!FT8="",$C8,IF(ISNUMBER(Planung!FT8),Planung!FT8,IF(UPPER(Planung!FT8)="H",$C8/2,0)))))))</f>
        <v>0</v>
      </c>
      <c r="FU8" s="27">
        <f>IF($A8="",0,IF(Mitarbeiter!$G$6=FALSE,0,IF(AND(Mitarbeiter!$E$6&lt;&gt;"",FU$5+6&lt;Mitarbeiter!$E$6),0,IF(AND(Mitarbeiter!$F$6&lt;&gt;"",FU$5&gt;Mitarbeiter!$F$6),0,IF(Planung!FU8="",$C8,IF(ISNUMBER(Planung!FU8),Planung!FU8,IF(UPPER(Planung!FU8)="H",$C8/2,0)))))))</f>
        <v>0</v>
      </c>
      <c r="FV8" s="27">
        <f>IF($A8="",0,IF(Mitarbeiter!$G$6=FALSE,0,IF(AND(Mitarbeiter!$E$6&lt;&gt;"",FV$5+6&lt;Mitarbeiter!$E$6),0,IF(AND(Mitarbeiter!$F$6&lt;&gt;"",FV$5&gt;Mitarbeiter!$F$6),0,IF(Planung!FV8="",$C8,IF(ISNUMBER(Planung!FV8),Planung!FV8,IF(UPPER(Planung!FV8)="H",$C8/2,0)))))))</f>
        <v>0</v>
      </c>
      <c r="FW8" s="27">
        <f>IF($A8="",0,IF(Mitarbeiter!$G$6=FALSE,0,IF(AND(Mitarbeiter!$E$6&lt;&gt;"",FW$5+6&lt;Mitarbeiter!$E$6),0,IF(AND(Mitarbeiter!$F$6&lt;&gt;"",FW$5&gt;Mitarbeiter!$F$6),0,IF(Planung!FW8="",$C8,IF(ISNUMBER(Planung!FW8),Planung!FW8,IF(UPPER(Planung!FW8)="H",$C8/2,0)))))))</f>
        <v>0</v>
      </c>
      <c r="FX8" s="27">
        <f>IF($A8="",0,IF(Mitarbeiter!$G$6=FALSE,0,IF(AND(Mitarbeiter!$E$6&lt;&gt;"",FX$5+6&lt;Mitarbeiter!$E$6),0,IF(AND(Mitarbeiter!$F$6&lt;&gt;"",FX$5&gt;Mitarbeiter!$F$6),0,IF(Planung!FX8="",$C8,IF(ISNUMBER(Planung!FX8),Planung!FX8,IF(UPPER(Planung!FX8)="H",$C8/2,0)))))))</f>
        <v>0</v>
      </c>
      <c r="FY8" s="27">
        <f>IF($A8="",0,IF(Mitarbeiter!$G$6=FALSE,0,IF(AND(Mitarbeiter!$E$6&lt;&gt;"",FY$5+6&lt;Mitarbeiter!$E$6),0,IF(AND(Mitarbeiter!$F$6&lt;&gt;"",FY$5&gt;Mitarbeiter!$F$6),0,IF(Planung!FY8="",$C8,IF(ISNUMBER(Planung!FY8),Planung!FY8,IF(UPPER(Planung!FY8)="H",$C8/2,0)))))))</f>
        <v>0</v>
      </c>
      <c r="FZ8" s="27">
        <f>IF($A8="",0,IF(Mitarbeiter!$G$6=FALSE,0,IF(AND(Mitarbeiter!$E$6&lt;&gt;"",FZ$5+6&lt;Mitarbeiter!$E$6),0,IF(AND(Mitarbeiter!$F$6&lt;&gt;"",FZ$5&gt;Mitarbeiter!$F$6),0,IF(Planung!FZ8="",$C8,IF(ISNUMBER(Planung!FZ8),Planung!FZ8,IF(UPPER(Planung!FZ8)="H",$C8/2,0)))))))</f>
        <v>0</v>
      </c>
      <c r="GA8" s="27">
        <f>IF($A8="",0,IF(Mitarbeiter!$G$6=FALSE,0,IF(AND(Mitarbeiter!$E$6&lt;&gt;"",GA$5+6&lt;Mitarbeiter!$E$6),0,IF(AND(Mitarbeiter!$F$6&lt;&gt;"",GA$5&gt;Mitarbeiter!$F$6),0,IF(Planung!GA8="",$C8,IF(ISNUMBER(Planung!GA8),Planung!GA8,IF(UPPER(Planung!GA8)="H",$C8/2,0)))))))</f>
        <v>0</v>
      </c>
      <c r="GB8" s="27">
        <f>IF($A8="",0,IF(Mitarbeiter!$G$6=FALSE,0,IF(AND(Mitarbeiter!$E$6&lt;&gt;"",GB$5+6&lt;Mitarbeiter!$E$6),0,IF(AND(Mitarbeiter!$F$6&lt;&gt;"",GB$5&gt;Mitarbeiter!$F$6),0,IF(Planung!GB8="",$C8,IF(ISNUMBER(Planung!GB8),Planung!GB8,IF(UPPER(Planung!GB8)="H",$C8/2,0)))))))</f>
        <v>0</v>
      </c>
      <c r="GC8" s="27">
        <f>IF($A8="",0,IF(Mitarbeiter!$G$6=FALSE,0,IF(AND(Mitarbeiter!$E$6&lt;&gt;"",GC$5+6&lt;Mitarbeiter!$E$6),0,IF(AND(Mitarbeiter!$F$6&lt;&gt;"",GC$5&gt;Mitarbeiter!$F$6),0,IF(Planung!GC8="",$C8,IF(ISNUMBER(Planung!GC8),Planung!GC8,IF(UPPER(Planung!GC8)="H",$C8/2,0)))))))</f>
        <v>0</v>
      </c>
      <c r="GD8" s="27">
        <f>IF($A8="",0,IF(Mitarbeiter!$G$6=FALSE,0,IF(AND(Mitarbeiter!$E$6&lt;&gt;"",GD$5+6&lt;Mitarbeiter!$E$6),0,IF(AND(Mitarbeiter!$F$6&lt;&gt;"",GD$5&gt;Mitarbeiter!$F$6),0,IF(Planung!GD8="",$C8,IF(ISNUMBER(Planung!GD8),Planung!GD8,IF(UPPER(Planung!GD8)="H",$C8/2,0)))))))</f>
        <v>0</v>
      </c>
      <c r="GE8" s="27">
        <f>IF($A8="",0,IF(Mitarbeiter!$G$6=FALSE,0,IF(AND(Mitarbeiter!$E$6&lt;&gt;"",GE$5+6&lt;Mitarbeiter!$E$6),0,IF(AND(Mitarbeiter!$F$6&lt;&gt;"",GE$5&gt;Mitarbeiter!$F$6),0,IF(Planung!GE8="",$C8,IF(ISNUMBER(Planung!GE8),Planung!GE8,IF(UPPER(Planung!GE8)="H",$C8/2,0)))))))</f>
        <v>0</v>
      </c>
      <c r="GF8" s="27">
        <f>IF($A8="",0,IF(Mitarbeiter!$G$6=FALSE,0,IF(AND(Mitarbeiter!$E$6&lt;&gt;"",GF$5+6&lt;Mitarbeiter!$E$6),0,IF(AND(Mitarbeiter!$F$6&lt;&gt;"",GF$5&gt;Mitarbeiter!$F$6),0,IF(Planung!GF8="",$C8,IF(ISNUMBER(Planung!GF8),Planung!GF8,IF(UPPER(Planung!GF8)="H",$C8/2,0)))))))</f>
        <v>0</v>
      </c>
      <c r="GG8" s="27">
        <f>IF($A8="",0,IF(Mitarbeiter!$G$6=FALSE,0,IF(AND(Mitarbeiter!$E$6&lt;&gt;"",GG$5+6&lt;Mitarbeiter!$E$6),0,IF(AND(Mitarbeiter!$F$6&lt;&gt;"",GG$5&gt;Mitarbeiter!$F$6),0,IF(Planung!GG8="",$C8,IF(ISNUMBER(Planung!GG8),Planung!GG8,IF(UPPER(Planung!GG8)="H",$C8/2,0)))))))</f>
        <v>0</v>
      </c>
      <c r="GH8" s="27">
        <f>IF($A8="",0,IF(Mitarbeiter!$G$6=FALSE,0,IF(AND(Mitarbeiter!$E$6&lt;&gt;"",GH$5+6&lt;Mitarbeiter!$E$6),0,IF(AND(Mitarbeiter!$F$6&lt;&gt;"",GH$5&gt;Mitarbeiter!$F$6),0,IF(Planung!GH8="",$C8,IF(ISNUMBER(Planung!GH8),Planung!GH8,IF(UPPER(Planung!GH8)="H",$C8/2,0)))))))</f>
        <v>0</v>
      </c>
      <c r="GI8" s="27">
        <f>IF($A8="",0,IF(Mitarbeiter!$G$6=FALSE,0,IF(AND(Mitarbeiter!$E$6&lt;&gt;"",GI$5+6&lt;Mitarbeiter!$E$6),0,IF(AND(Mitarbeiter!$F$6&lt;&gt;"",GI$5&gt;Mitarbeiter!$F$6),0,IF(Planung!GI8="",$C8,IF(ISNUMBER(Planung!GI8),Planung!GI8,IF(UPPER(Planung!GI8)="H",$C8/2,0)))))))</f>
        <v>0</v>
      </c>
      <c r="GJ8" s="27">
        <f>IF($A8="",0,IF(Mitarbeiter!$G$6=FALSE,0,IF(AND(Mitarbeiter!$E$6&lt;&gt;"",GJ$5+6&lt;Mitarbeiter!$E$6),0,IF(AND(Mitarbeiter!$F$6&lt;&gt;"",GJ$5&gt;Mitarbeiter!$F$6),0,IF(Planung!GJ8="",$C8,IF(ISNUMBER(Planung!GJ8),Planung!GJ8,IF(UPPER(Planung!GJ8)="H",$C8/2,0)))))))</f>
        <v>0</v>
      </c>
      <c r="GK8" s="27">
        <f>IF($A8="",0,IF(Mitarbeiter!$G$6=FALSE,0,IF(AND(Mitarbeiter!$E$6&lt;&gt;"",GK$5+6&lt;Mitarbeiter!$E$6),0,IF(AND(Mitarbeiter!$F$6&lt;&gt;"",GK$5&gt;Mitarbeiter!$F$6),0,IF(Planung!GK8="",$C8,IF(ISNUMBER(Planung!GK8),Planung!GK8,IF(UPPER(Planung!GK8)="H",$C8/2,0)))))))</f>
        <v>0</v>
      </c>
      <c r="GL8" s="27">
        <f>IF($A8="",0,IF(Mitarbeiter!$G$6=FALSE,0,IF(AND(Mitarbeiter!$E$6&lt;&gt;"",GL$5+6&lt;Mitarbeiter!$E$6),0,IF(AND(Mitarbeiter!$F$6&lt;&gt;"",GL$5&gt;Mitarbeiter!$F$6),0,IF(Planung!GL8="",$C8,IF(ISNUMBER(Planung!GL8),Planung!GL8,IF(UPPER(Planung!GL8)="H",$C8/2,0)))))))</f>
        <v>0</v>
      </c>
      <c r="GM8" s="27">
        <f>IF($A8="",0,IF(Mitarbeiter!$G$6=FALSE,0,IF(AND(Mitarbeiter!$E$6&lt;&gt;"",GM$5+6&lt;Mitarbeiter!$E$6),0,IF(AND(Mitarbeiter!$F$6&lt;&gt;"",GM$5&gt;Mitarbeiter!$F$6),0,IF(Planung!GM8="",$C8,IF(ISNUMBER(Planung!GM8),Planung!GM8,IF(UPPER(Planung!GM8)="H",$C8/2,0)))))))</f>
        <v>0</v>
      </c>
      <c r="GN8" s="27">
        <f>IF($A8="",0,IF(Mitarbeiter!$G$6=FALSE,0,IF(AND(Mitarbeiter!$E$6&lt;&gt;"",GN$5+6&lt;Mitarbeiter!$E$6),0,IF(AND(Mitarbeiter!$F$6&lt;&gt;"",GN$5&gt;Mitarbeiter!$F$6),0,IF(Planung!GN8="",$C8,IF(ISNUMBER(Planung!GN8),Planung!GN8,IF(UPPER(Planung!GN8)="H",$C8/2,0)))))))</f>
        <v>0</v>
      </c>
      <c r="GO8" s="27">
        <f>IF($A8="",0,IF(Mitarbeiter!$G$6=FALSE,0,IF(AND(Mitarbeiter!$E$6&lt;&gt;"",GO$5+6&lt;Mitarbeiter!$E$6),0,IF(AND(Mitarbeiter!$F$6&lt;&gt;"",GO$5&gt;Mitarbeiter!$F$6),0,IF(Planung!GO8="",$C8,IF(ISNUMBER(Planung!GO8),Planung!GO8,IF(UPPER(Planung!GO8)="H",$C8/2,0)))))))</f>
        <v>0</v>
      </c>
      <c r="GP8" s="27">
        <f>IF($A8="",0,IF(Mitarbeiter!$G$6=FALSE,0,IF(AND(Mitarbeiter!$E$6&lt;&gt;"",GP$5+6&lt;Mitarbeiter!$E$6),0,IF(AND(Mitarbeiter!$F$6&lt;&gt;"",GP$5&gt;Mitarbeiter!$F$6),0,IF(Planung!GP8="",$C8,IF(ISNUMBER(Planung!GP8),Planung!GP8,IF(UPPER(Planung!GP8)="H",$C8/2,0)))))))</f>
        <v>0</v>
      </c>
      <c r="GQ8" s="27">
        <f>IF($A8="",0,IF(Mitarbeiter!$G$6=FALSE,0,IF(AND(Mitarbeiter!$E$6&lt;&gt;"",GQ$5+6&lt;Mitarbeiter!$E$6),0,IF(AND(Mitarbeiter!$F$6&lt;&gt;"",GQ$5&gt;Mitarbeiter!$F$6),0,IF(Planung!GQ8="",$C8,IF(ISNUMBER(Planung!GQ8),Planung!GQ8,IF(UPPER(Planung!GQ8)="H",$C8/2,0)))))))</f>
        <v>0</v>
      </c>
      <c r="GR8" s="27">
        <f>IF($A8="",0,IF(Mitarbeiter!$G$6=FALSE,0,IF(AND(Mitarbeiter!$E$6&lt;&gt;"",GR$5+6&lt;Mitarbeiter!$E$6),0,IF(AND(Mitarbeiter!$F$6&lt;&gt;"",GR$5&gt;Mitarbeiter!$F$6),0,IF(Planung!GR8="",$C8,IF(ISNUMBER(Planung!GR8),Planung!GR8,IF(UPPER(Planung!GR8)="H",$C8/2,0)))))))</f>
        <v>0</v>
      </c>
      <c r="GS8" s="27">
        <f>IF($A8="",0,IF(Mitarbeiter!$G$6=FALSE,0,IF(AND(Mitarbeiter!$E$6&lt;&gt;"",GS$5+6&lt;Mitarbeiter!$E$6),0,IF(AND(Mitarbeiter!$F$6&lt;&gt;"",GS$5&gt;Mitarbeiter!$F$6),0,IF(Planung!GS8="",$C8,IF(ISNUMBER(Planung!GS8),Planung!GS8,IF(UPPER(Planung!GS8)="H",$C8/2,0)))))))</f>
        <v>0</v>
      </c>
      <c r="GT8" s="27">
        <f>IF($A8="",0,IF(Mitarbeiter!$G$6=FALSE,0,IF(AND(Mitarbeiter!$E$6&lt;&gt;"",GT$5+6&lt;Mitarbeiter!$E$6),0,IF(AND(Mitarbeiter!$F$6&lt;&gt;"",GT$5&gt;Mitarbeiter!$F$6),0,IF(Planung!GT8="",$C8,IF(ISNUMBER(Planung!GT8),Planung!GT8,IF(UPPER(Planung!GT8)="H",$C8/2,0)))))))</f>
        <v>0</v>
      </c>
      <c r="GU8" s="27">
        <f>IF($A8="",0,IF(Mitarbeiter!$G$6=FALSE,0,IF(AND(Mitarbeiter!$E$6&lt;&gt;"",GU$5+6&lt;Mitarbeiter!$E$6),0,IF(AND(Mitarbeiter!$F$6&lt;&gt;"",GU$5&gt;Mitarbeiter!$F$6),0,IF(Planung!GU8="",$C8,IF(ISNUMBER(Planung!GU8),Planung!GU8,IF(UPPER(Planung!GU8)="H",$C8/2,0)))))))</f>
        <v>0</v>
      </c>
      <c r="GV8" s="27">
        <f>IF($A8="",0,IF(Mitarbeiter!$G$6=FALSE,0,IF(AND(Mitarbeiter!$E$6&lt;&gt;"",GV$5+6&lt;Mitarbeiter!$E$6),0,IF(AND(Mitarbeiter!$F$6&lt;&gt;"",GV$5&gt;Mitarbeiter!$F$6),0,IF(Planung!GV8="",$C8,IF(ISNUMBER(Planung!GV8),Planung!GV8,IF(UPPER(Planung!GV8)="H",$C8/2,0)))))))</f>
        <v>0</v>
      </c>
      <c r="GW8" s="27">
        <f>IF($A8="",0,IF(Mitarbeiter!$G$6=FALSE,0,IF(AND(Mitarbeiter!$E$6&lt;&gt;"",GW$5+6&lt;Mitarbeiter!$E$6),0,IF(AND(Mitarbeiter!$F$6&lt;&gt;"",GW$5&gt;Mitarbeiter!$F$6),0,IF(Planung!GW8="",$C8,IF(ISNUMBER(Planung!GW8),Planung!GW8,IF(UPPER(Planung!GW8)="H",$C8/2,0)))))))</f>
        <v>0</v>
      </c>
      <c r="GX8" s="27">
        <f>IF($A8="",0,IF(Mitarbeiter!$G$6=FALSE,0,IF(AND(Mitarbeiter!$E$6&lt;&gt;"",GX$5+6&lt;Mitarbeiter!$E$6),0,IF(AND(Mitarbeiter!$F$6&lt;&gt;"",GX$5&gt;Mitarbeiter!$F$6),0,IF(Planung!GX8="",$C8,IF(ISNUMBER(Planung!GX8),Planung!GX8,IF(UPPER(Planung!GX8)="H",$C8/2,0)))))))</f>
        <v>0</v>
      </c>
      <c r="GY8" s="27">
        <f>IF($A8="",0,IF(Mitarbeiter!$G$6=FALSE,0,IF(AND(Mitarbeiter!$E$6&lt;&gt;"",GY$5+6&lt;Mitarbeiter!$E$6),0,IF(AND(Mitarbeiter!$F$6&lt;&gt;"",GY$5&gt;Mitarbeiter!$F$6),0,IF(Planung!GY8="",$C8,IF(ISNUMBER(Planung!GY8),Planung!GY8,IF(UPPER(Planung!GY8)="H",$C8/2,0)))))))</f>
        <v>0</v>
      </c>
      <c r="GZ8" s="27">
        <f>IF($A8="",0,IF(Mitarbeiter!$G$6=FALSE,0,IF(AND(Mitarbeiter!$E$6&lt;&gt;"",GZ$5+6&lt;Mitarbeiter!$E$6),0,IF(AND(Mitarbeiter!$F$6&lt;&gt;"",GZ$5&gt;Mitarbeiter!$F$6),0,IF(Planung!GZ8="",$C8,IF(ISNUMBER(Planung!GZ8),Planung!GZ8,IF(UPPER(Planung!GZ8)="H",$C8/2,0)))))))</f>
        <v>0</v>
      </c>
      <c r="HA8" s="27">
        <f>IF($A8="",0,IF(Mitarbeiter!$G$6=FALSE,0,IF(AND(Mitarbeiter!$E$6&lt;&gt;"",HA$5+6&lt;Mitarbeiter!$E$6),0,IF(AND(Mitarbeiter!$F$6&lt;&gt;"",HA$5&gt;Mitarbeiter!$F$6),0,IF(Planung!HA8="",$C8,IF(ISNUMBER(Planung!HA8),Planung!HA8,IF(UPPER(Planung!HA8)="H",$C8/2,0)))))))</f>
        <v>0</v>
      </c>
      <c r="HB8" s="27">
        <f>IF($A8="",0,IF(Mitarbeiter!$G$6=FALSE,0,IF(AND(Mitarbeiter!$E$6&lt;&gt;"",HB$5+6&lt;Mitarbeiter!$E$6),0,IF(AND(Mitarbeiter!$F$6&lt;&gt;"",HB$5&gt;Mitarbeiter!$F$6),0,IF(Planung!HB8="",$C8,IF(ISNUMBER(Planung!HB8),Planung!HB8,IF(UPPER(Planung!HB8)="H",$C8/2,0)))))))</f>
        <v>0</v>
      </c>
      <c r="HC8" s="27">
        <f>IF($A8="",0,IF(Mitarbeiter!$G$6=FALSE,0,IF(AND(Mitarbeiter!$E$6&lt;&gt;"",HC$5+6&lt;Mitarbeiter!$E$6),0,IF(AND(Mitarbeiter!$F$6&lt;&gt;"",HC$5&gt;Mitarbeiter!$F$6),0,IF(Planung!HC8="",$C8,IF(ISNUMBER(Planung!HC8),Planung!HC8,IF(UPPER(Planung!HC8)="H",$C8/2,0)))))))</f>
        <v>0</v>
      </c>
      <c r="HD8" s="27">
        <f>IF($A8="",0,IF(Mitarbeiter!$G$6=FALSE,0,IF(AND(Mitarbeiter!$E$6&lt;&gt;"",HD$5+6&lt;Mitarbeiter!$E$6),0,IF(AND(Mitarbeiter!$F$6&lt;&gt;"",HD$5&gt;Mitarbeiter!$F$6),0,IF(Planung!HD8="",$C8,IF(ISNUMBER(Planung!HD8),Planung!HD8,IF(UPPER(Planung!HD8)="H",$C8/2,0)))))))</f>
        <v>0</v>
      </c>
      <c r="HE8" s="27">
        <f>IF($A8="",0,IF(Mitarbeiter!$G$6=FALSE,0,IF(AND(Mitarbeiter!$E$6&lt;&gt;"",HE$5+6&lt;Mitarbeiter!$E$6),0,IF(AND(Mitarbeiter!$F$6&lt;&gt;"",HE$5&gt;Mitarbeiter!$F$6),0,IF(Planung!HE8="",$C8,IF(ISNUMBER(Planung!HE8),Planung!HE8,IF(UPPER(Planung!HE8)="H",$C8/2,0)))))))</f>
        <v>0</v>
      </c>
      <c r="HF8" s="27">
        <f>IF($A8="",0,IF(Mitarbeiter!$G$6=FALSE,0,IF(AND(Mitarbeiter!$E$6&lt;&gt;"",HF$5+6&lt;Mitarbeiter!$E$6),0,IF(AND(Mitarbeiter!$F$6&lt;&gt;"",HF$5&gt;Mitarbeiter!$F$6),0,IF(Planung!HF8="",$C8,IF(ISNUMBER(Planung!HF8),Planung!HF8,IF(UPPER(Planung!HF8)="H",$C8/2,0)))))))</f>
        <v>0</v>
      </c>
      <c r="HG8" s="27">
        <f>IF($A8="",0,IF(Mitarbeiter!$G$6=FALSE,0,IF(AND(Mitarbeiter!$E$6&lt;&gt;"",HG$5+6&lt;Mitarbeiter!$E$6),0,IF(AND(Mitarbeiter!$F$6&lt;&gt;"",HG$5&gt;Mitarbeiter!$F$6),0,IF(Planung!HG8="",$C8,IF(ISNUMBER(Planung!HG8),Planung!HG8,IF(UPPER(Planung!HG8)="H",$C8/2,0)))))))</f>
        <v>0</v>
      </c>
      <c r="HH8" s="27">
        <f>IF($A8="",0,IF(Mitarbeiter!$G$6=FALSE,0,IF(AND(Mitarbeiter!$E$6&lt;&gt;"",HH$5+6&lt;Mitarbeiter!$E$6),0,IF(AND(Mitarbeiter!$F$6&lt;&gt;"",HH$5&gt;Mitarbeiter!$F$6),0,IF(Planung!HH8="",$C8,IF(ISNUMBER(Planung!HH8),Planung!HH8,IF(UPPER(Planung!HH8)="H",$C8/2,0)))))))</f>
        <v>0</v>
      </c>
      <c r="HI8" s="27">
        <f>IF($A8="",0,IF(Mitarbeiter!$G$6=FALSE,0,IF(AND(Mitarbeiter!$E$6&lt;&gt;"",HI$5+6&lt;Mitarbeiter!$E$6),0,IF(AND(Mitarbeiter!$F$6&lt;&gt;"",HI$5&gt;Mitarbeiter!$F$6),0,IF(Planung!HI8="",$C8,IF(ISNUMBER(Planung!HI8),Planung!HI8,IF(UPPER(Planung!HI8)="H",$C8/2,0)))))))</f>
        <v>0</v>
      </c>
      <c r="HJ8" s="27">
        <f>IF($A8="",0,IF(Mitarbeiter!$G$6=FALSE,0,IF(AND(Mitarbeiter!$E$6&lt;&gt;"",HJ$5+6&lt;Mitarbeiter!$E$6),0,IF(AND(Mitarbeiter!$F$6&lt;&gt;"",HJ$5&gt;Mitarbeiter!$F$6),0,IF(Planung!HJ8="",$C8,IF(ISNUMBER(Planung!HJ8),Planung!HJ8,IF(UPPER(Planung!HJ8)="H",$C8/2,0)))))))</f>
        <v>0</v>
      </c>
      <c r="HK8" s="27">
        <f>IF($A8="",0,IF(Mitarbeiter!$G$6=FALSE,0,IF(AND(Mitarbeiter!$E$6&lt;&gt;"",HK$5+6&lt;Mitarbeiter!$E$6),0,IF(AND(Mitarbeiter!$F$6&lt;&gt;"",HK$5&gt;Mitarbeiter!$F$6),0,IF(Planung!HK8="",$C8,IF(ISNUMBER(Planung!HK8),Planung!HK8,IF(UPPER(Planung!HK8)="H",$C8/2,0)))))))</f>
        <v>0</v>
      </c>
      <c r="HL8" s="27">
        <f>IF($A8="",0,IF(Mitarbeiter!$G$6=FALSE,0,IF(AND(Mitarbeiter!$E$6&lt;&gt;"",HL$5+6&lt;Mitarbeiter!$E$6),0,IF(AND(Mitarbeiter!$F$6&lt;&gt;"",HL$5&gt;Mitarbeiter!$F$6),0,IF(Planung!HL8="",$C8,IF(ISNUMBER(Planung!HL8),Planung!HL8,IF(UPPER(Planung!HL8)="H",$C8/2,0)))))))</f>
        <v>0</v>
      </c>
      <c r="HM8" s="27">
        <f>IF($A8="",0,IF(Mitarbeiter!$G$6=FALSE,0,IF(AND(Mitarbeiter!$E$6&lt;&gt;"",HM$5+6&lt;Mitarbeiter!$E$6),0,IF(AND(Mitarbeiter!$F$6&lt;&gt;"",HM$5&gt;Mitarbeiter!$F$6),0,IF(Planung!HM8="",$C8,IF(ISNUMBER(Planung!HM8),Planung!HM8,IF(UPPER(Planung!HM8)="H",$C8/2,0)))))))</f>
        <v>0</v>
      </c>
      <c r="HN8" s="27">
        <f>IF($A8="",0,IF(Mitarbeiter!$G$6=FALSE,0,IF(AND(Mitarbeiter!$E$6&lt;&gt;"",HN$5+6&lt;Mitarbeiter!$E$6),0,IF(AND(Mitarbeiter!$F$6&lt;&gt;"",HN$5&gt;Mitarbeiter!$F$6),0,IF(Planung!HN8="",$C8,IF(ISNUMBER(Planung!HN8),Planung!HN8,IF(UPPER(Planung!HN8)="H",$C8/2,0)))))))</f>
        <v>0</v>
      </c>
      <c r="HO8" s="27">
        <f>IF($A8="",0,IF(Mitarbeiter!$G$6=FALSE,0,IF(AND(Mitarbeiter!$E$6&lt;&gt;"",HO$5+6&lt;Mitarbeiter!$E$6),0,IF(AND(Mitarbeiter!$F$6&lt;&gt;"",HO$5&gt;Mitarbeiter!$F$6),0,IF(Planung!HO8="",$C8,IF(ISNUMBER(Planung!HO8),Planung!HO8,IF(UPPER(Planung!HO8)="H",$C8/2,0)))))))</f>
        <v>0</v>
      </c>
      <c r="HP8" s="27">
        <f>IF($A8="",0,IF(Mitarbeiter!$G$6=FALSE,0,IF(AND(Mitarbeiter!$E$6&lt;&gt;"",HP$5+6&lt;Mitarbeiter!$E$6),0,IF(AND(Mitarbeiter!$F$6&lt;&gt;"",HP$5&gt;Mitarbeiter!$F$6),0,IF(Planung!HP8="",$C8,IF(ISNUMBER(Planung!HP8),Planung!HP8,IF(UPPER(Planung!HP8)="H",$C8/2,0)))))))</f>
        <v>0</v>
      </c>
      <c r="HQ8" s="27">
        <f>IF($A8="",0,IF(Mitarbeiter!$G$6=FALSE,0,IF(AND(Mitarbeiter!$E$6&lt;&gt;"",HQ$5+6&lt;Mitarbeiter!$E$6),0,IF(AND(Mitarbeiter!$F$6&lt;&gt;"",HQ$5&gt;Mitarbeiter!$F$6),0,IF(Planung!HQ8="",$C8,IF(ISNUMBER(Planung!HQ8),Planung!HQ8,IF(UPPER(Planung!HQ8)="H",$C8/2,0)))))))</f>
        <v>0</v>
      </c>
      <c r="HR8" s="27">
        <f>IF($A8="",0,IF(Mitarbeiter!$G$6=FALSE,0,IF(AND(Mitarbeiter!$E$6&lt;&gt;"",HR$5+6&lt;Mitarbeiter!$E$6),0,IF(AND(Mitarbeiter!$F$6&lt;&gt;"",HR$5&gt;Mitarbeiter!$F$6),0,IF(Planung!HR8="",$C8,IF(ISNUMBER(Planung!HR8),Planung!HR8,IF(UPPER(Planung!HR8)="H",$C8/2,0)))))))</f>
        <v>0</v>
      </c>
      <c r="HS8" s="27">
        <f>IF($A8="",0,IF(Mitarbeiter!$G$6=FALSE,0,IF(AND(Mitarbeiter!$E$6&lt;&gt;"",HS$5+6&lt;Mitarbeiter!$E$6),0,IF(AND(Mitarbeiter!$F$6&lt;&gt;"",HS$5&gt;Mitarbeiter!$F$6),0,IF(Planung!HS8="",$C8,IF(ISNUMBER(Planung!HS8),Planung!HS8,IF(UPPER(Planung!HS8)="H",$C8/2,0)))))))</f>
        <v>0</v>
      </c>
      <c r="HT8" s="27">
        <f>IF($A8="",0,IF(Mitarbeiter!$G$6=FALSE,0,IF(AND(Mitarbeiter!$E$6&lt;&gt;"",HT$5+6&lt;Mitarbeiter!$E$6),0,IF(AND(Mitarbeiter!$F$6&lt;&gt;"",HT$5&gt;Mitarbeiter!$F$6),0,IF(Planung!HT8="",$C8,IF(ISNUMBER(Planung!HT8),Planung!HT8,IF(UPPER(Planung!HT8)="H",$C8/2,0)))))))</f>
        <v>0</v>
      </c>
      <c r="HU8" s="27">
        <f>IF($A8="",0,IF(Mitarbeiter!$G$6=FALSE,0,IF(AND(Mitarbeiter!$E$6&lt;&gt;"",HU$5+6&lt;Mitarbeiter!$E$6),0,IF(AND(Mitarbeiter!$F$6&lt;&gt;"",HU$5&gt;Mitarbeiter!$F$6),0,IF(Planung!HU8="",$C8,IF(ISNUMBER(Planung!HU8),Planung!HU8,IF(UPPER(Planung!HU8)="H",$C8/2,0)))))))</f>
        <v>0</v>
      </c>
      <c r="HV8" s="27">
        <f>IF($A8="",0,IF(Mitarbeiter!$G$6=FALSE,0,IF(AND(Mitarbeiter!$E$6&lt;&gt;"",HV$5+6&lt;Mitarbeiter!$E$6),0,IF(AND(Mitarbeiter!$F$6&lt;&gt;"",HV$5&gt;Mitarbeiter!$F$6),0,IF(Planung!HV8="",$C8,IF(ISNUMBER(Planung!HV8),Planung!HV8,IF(UPPER(Planung!HV8)="H",$C8/2,0)))))))</f>
        <v>0</v>
      </c>
      <c r="HW8" s="27">
        <f>IF($A8="",0,IF(Mitarbeiter!$G$6=FALSE,0,IF(AND(Mitarbeiter!$E$6&lt;&gt;"",HW$5+6&lt;Mitarbeiter!$E$6),0,IF(AND(Mitarbeiter!$F$6&lt;&gt;"",HW$5&gt;Mitarbeiter!$F$6),0,IF(Planung!HW8="",$C8,IF(ISNUMBER(Planung!HW8),Planung!HW8,IF(UPPER(Planung!HW8)="H",$C8/2,0)))))))</f>
        <v>0</v>
      </c>
      <c r="HX8" s="27">
        <f>IF($A8="",0,IF(Mitarbeiter!$G$6=FALSE,0,IF(AND(Mitarbeiter!$E$6&lt;&gt;"",HX$5+6&lt;Mitarbeiter!$E$6),0,IF(AND(Mitarbeiter!$F$6&lt;&gt;"",HX$5&gt;Mitarbeiter!$F$6),0,IF(Planung!HX8="",$C8,IF(ISNUMBER(Planung!HX8),Planung!HX8,IF(UPPER(Planung!HX8)="H",$C8/2,0)))))))</f>
        <v>0</v>
      </c>
      <c r="HY8" s="27">
        <f>IF($A8="",0,IF(Mitarbeiter!$G$6=FALSE,0,IF(AND(Mitarbeiter!$E$6&lt;&gt;"",HY$5+6&lt;Mitarbeiter!$E$6),0,IF(AND(Mitarbeiter!$F$6&lt;&gt;"",HY$5&gt;Mitarbeiter!$F$6),0,IF(Planung!HY8="",$C8,IF(ISNUMBER(Planung!HY8),Planung!HY8,IF(UPPER(Planung!HY8)="H",$C8/2,0)))))))</f>
        <v>0</v>
      </c>
      <c r="HZ8" s="27">
        <f>IF($A8="",0,IF(Mitarbeiter!$G$6=FALSE,0,IF(AND(Mitarbeiter!$E$6&lt;&gt;"",HZ$5+6&lt;Mitarbeiter!$E$6),0,IF(AND(Mitarbeiter!$F$6&lt;&gt;"",HZ$5&gt;Mitarbeiter!$F$6),0,IF(Planung!HZ8="",$C8,IF(ISNUMBER(Planung!HZ8),Planung!HZ8,IF(UPPER(Planung!HZ8)="H",$C8/2,0)))))))</f>
        <v>0</v>
      </c>
      <c r="IA8" s="27">
        <f>IF($A8="",0,IF(Mitarbeiter!$G$6=FALSE,0,IF(AND(Mitarbeiter!$E$6&lt;&gt;"",IA$5+6&lt;Mitarbeiter!$E$6),0,IF(AND(Mitarbeiter!$F$6&lt;&gt;"",IA$5&gt;Mitarbeiter!$F$6),0,IF(Planung!IA8="",$C8,IF(ISNUMBER(Planung!IA8),Planung!IA8,IF(UPPER(Planung!IA8)="H",$C8/2,0)))))))</f>
        <v>0</v>
      </c>
    </row>
    <row r="9" spans="1:235" x14ac:dyDescent="0.25">
      <c r="A9" s="7" t="str">
        <f>Planung!A9</f>
        <v/>
      </c>
      <c r="B9" s="7" t="str">
        <f>Planung!B9</f>
        <v/>
      </c>
      <c r="C9" s="27">
        <f>N(Mitarbeiter!$D$7)</f>
        <v>0</v>
      </c>
      <c r="D9" s="27">
        <f>IF($A9="",0,IF(Mitarbeiter!$G$7=FALSE,0,IF(AND(Mitarbeiter!$E$7&lt;&gt;"",D$5+6&lt;Mitarbeiter!$E$7),0,IF(AND(Mitarbeiter!$F$7&lt;&gt;"",D$5&gt;Mitarbeiter!$F$7),0,IF(Planung!D9="",$C9,IF(ISNUMBER(Planung!D9),Planung!D9,IF(UPPER(Planung!D9)="H",$C9/2,0)))))))</f>
        <v>0</v>
      </c>
      <c r="E9" s="27">
        <f>IF($A9="",0,IF(Mitarbeiter!$G$7=FALSE,0,IF(AND(Mitarbeiter!$E$7&lt;&gt;"",E$5+6&lt;Mitarbeiter!$E$7),0,IF(AND(Mitarbeiter!$F$7&lt;&gt;"",E$5&gt;Mitarbeiter!$F$7),0,IF(Planung!E9="",$C9,IF(ISNUMBER(Planung!E9),Planung!E9,IF(UPPER(Planung!E9)="H",$C9/2,0)))))))</f>
        <v>0</v>
      </c>
      <c r="F9" s="27">
        <f>IF($A9="",0,IF(Mitarbeiter!$G$7=FALSE,0,IF(AND(Mitarbeiter!$E$7&lt;&gt;"",F$5+6&lt;Mitarbeiter!$E$7),0,IF(AND(Mitarbeiter!$F$7&lt;&gt;"",F$5&gt;Mitarbeiter!$F$7),0,IF(Planung!F9="",$C9,IF(ISNUMBER(Planung!F9),Planung!F9,IF(UPPER(Planung!F9)="H",$C9/2,0)))))))</f>
        <v>0</v>
      </c>
      <c r="G9" s="27">
        <f>IF($A9="",0,IF(Mitarbeiter!$G$7=FALSE,0,IF(AND(Mitarbeiter!$E$7&lt;&gt;"",G$5+6&lt;Mitarbeiter!$E$7),0,IF(AND(Mitarbeiter!$F$7&lt;&gt;"",G$5&gt;Mitarbeiter!$F$7),0,IF(Planung!G9="",$C9,IF(ISNUMBER(Planung!G9),Planung!G9,IF(UPPER(Planung!G9)="H",$C9/2,0)))))))</f>
        <v>0</v>
      </c>
      <c r="H9" s="27">
        <f>IF($A9="",0,IF(Mitarbeiter!$G$7=FALSE,0,IF(AND(Mitarbeiter!$E$7&lt;&gt;"",H$5+6&lt;Mitarbeiter!$E$7),0,IF(AND(Mitarbeiter!$F$7&lt;&gt;"",H$5&gt;Mitarbeiter!$F$7),0,IF(Planung!H9="",$C9,IF(ISNUMBER(Planung!H9),Planung!H9,IF(UPPER(Planung!H9)="H",$C9/2,0)))))))</f>
        <v>0</v>
      </c>
      <c r="I9" s="27">
        <f>IF($A9="",0,IF(Mitarbeiter!$G$7=FALSE,0,IF(AND(Mitarbeiter!$E$7&lt;&gt;"",I$5+6&lt;Mitarbeiter!$E$7),0,IF(AND(Mitarbeiter!$F$7&lt;&gt;"",I$5&gt;Mitarbeiter!$F$7),0,IF(Planung!I9="",$C9,IF(ISNUMBER(Planung!I9),Planung!I9,IF(UPPER(Planung!I9)="H",$C9/2,0)))))))</f>
        <v>0</v>
      </c>
      <c r="J9" s="27">
        <f>IF($A9="",0,IF(Mitarbeiter!$G$7=FALSE,0,IF(AND(Mitarbeiter!$E$7&lt;&gt;"",J$5+6&lt;Mitarbeiter!$E$7),0,IF(AND(Mitarbeiter!$F$7&lt;&gt;"",J$5&gt;Mitarbeiter!$F$7),0,IF(Planung!J9="",$C9,IF(ISNUMBER(Planung!J9),Planung!J9,IF(UPPER(Planung!J9)="H",$C9/2,0)))))))</f>
        <v>0</v>
      </c>
      <c r="K9" s="27">
        <f>IF($A9="",0,IF(Mitarbeiter!$G$7=FALSE,0,IF(AND(Mitarbeiter!$E$7&lt;&gt;"",K$5+6&lt;Mitarbeiter!$E$7),0,IF(AND(Mitarbeiter!$F$7&lt;&gt;"",K$5&gt;Mitarbeiter!$F$7),0,IF(Planung!K9="",$C9,IF(ISNUMBER(Planung!K9),Planung!K9,IF(UPPER(Planung!K9)="H",$C9/2,0)))))))</f>
        <v>0</v>
      </c>
      <c r="L9" s="27">
        <f>IF($A9="",0,IF(Mitarbeiter!$G$7=FALSE,0,IF(AND(Mitarbeiter!$E$7&lt;&gt;"",L$5+6&lt;Mitarbeiter!$E$7),0,IF(AND(Mitarbeiter!$F$7&lt;&gt;"",L$5&gt;Mitarbeiter!$F$7),0,IF(Planung!L9="",$C9,IF(ISNUMBER(Planung!L9),Planung!L9,IF(UPPER(Planung!L9)="H",$C9/2,0)))))))</f>
        <v>0</v>
      </c>
      <c r="M9" s="27">
        <f>IF($A9="",0,IF(Mitarbeiter!$G$7=FALSE,0,IF(AND(Mitarbeiter!$E$7&lt;&gt;"",M$5+6&lt;Mitarbeiter!$E$7),0,IF(AND(Mitarbeiter!$F$7&lt;&gt;"",M$5&gt;Mitarbeiter!$F$7),0,IF(Planung!M9="",$C9,IF(ISNUMBER(Planung!M9),Planung!M9,IF(UPPER(Planung!M9)="H",$C9/2,0)))))))</f>
        <v>0</v>
      </c>
      <c r="N9" s="27">
        <f>IF($A9="",0,IF(Mitarbeiter!$G$7=FALSE,0,IF(AND(Mitarbeiter!$E$7&lt;&gt;"",N$5+6&lt;Mitarbeiter!$E$7),0,IF(AND(Mitarbeiter!$F$7&lt;&gt;"",N$5&gt;Mitarbeiter!$F$7),0,IF(Planung!N9="",$C9,IF(ISNUMBER(Planung!N9),Planung!N9,IF(UPPER(Planung!N9)="H",$C9/2,0)))))))</f>
        <v>0</v>
      </c>
      <c r="O9" s="27">
        <f>IF($A9="",0,IF(Mitarbeiter!$G$7=FALSE,0,IF(AND(Mitarbeiter!$E$7&lt;&gt;"",O$5+6&lt;Mitarbeiter!$E$7),0,IF(AND(Mitarbeiter!$F$7&lt;&gt;"",O$5&gt;Mitarbeiter!$F$7),0,IF(Planung!O9="",$C9,IF(ISNUMBER(Planung!O9),Planung!O9,IF(UPPER(Planung!O9)="H",$C9/2,0)))))))</f>
        <v>0</v>
      </c>
      <c r="P9" s="27">
        <f>IF($A9="",0,IF(Mitarbeiter!$G$7=FALSE,0,IF(AND(Mitarbeiter!$E$7&lt;&gt;"",P$5+6&lt;Mitarbeiter!$E$7),0,IF(AND(Mitarbeiter!$F$7&lt;&gt;"",P$5&gt;Mitarbeiter!$F$7),0,IF(Planung!P9="",$C9,IF(ISNUMBER(Planung!P9),Planung!P9,IF(UPPER(Planung!P9)="H",$C9/2,0)))))))</f>
        <v>0</v>
      </c>
      <c r="Q9" s="27">
        <f>IF($A9="",0,IF(Mitarbeiter!$G$7=FALSE,0,IF(AND(Mitarbeiter!$E$7&lt;&gt;"",Q$5+6&lt;Mitarbeiter!$E$7),0,IF(AND(Mitarbeiter!$F$7&lt;&gt;"",Q$5&gt;Mitarbeiter!$F$7),0,IF(Planung!Q9="",$C9,IF(ISNUMBER(Planung!Q9),Planung!Q9,IF(UPPER(Planung!Q9)="H",$C9/2,0)))))))</f>
        <v>0</v>
      </c>
      <c r="R9" s="27">
        <f>IF($A9="",0,IF(Mitarbeiter!$G$7=FALSE,0,IF(AND(Mitarbeiter!$E$7&lt;&gt;"",R$5+6&lt;Mitarbeiter!$E$7),0,IF(AND(Mitarbeiter!$F$7&lt;&gt;"",R$5&gt;Mitarbeiter!$F$7),0,IF(Planung!R9="",$C9,IF(ISNUMBER(Planung!R9),Planung!R9,IF(UPPER(Planung!R9)="H",$C9/2,0)))))))</f>
        <v>0</v>
      </c>
      <c r="S9" s="27">
        <f>IF($A9="",0,IF(Mitarbeiter!$G$7=FALSE,0,IF(AND(Mitarbeiter!$E$7&lt;&gt;"",S$5+6&lt;Mitarbeiter!$E$7),0,IF(AND(Mitarbeiter!$F$7&lt;&gt;"",S$5&gt;Mitarbeiter!$F$7),0,IF(Planung!S9="",$C9,IF(ISNUMBER(Planung!S9),Planung!S9,IF(UPPER(Planung!S9)="H",$C9/2,0)))))))</f>
        <v>0</v>
      </c>
      <c r="T9" s="27">
        <f>IF($A9="",0,IF(Mitarbeiter!$G$7=FALSE,0,IF(AND(Mitarbeiter!$E$7&lt;&gt;"",T$5+6&lt;Mitarbeiter!$E$7),0,IF(AND(Mitarbeiter!$F$7&lt;&gt;"",T$5&gt;Mitarbeiter!$F$7),0,IF(Planung!T9="",$C9,IF(ISNUMBER(Planung!T9),Planung!T9,IF(UPPER(Planung!T9)="H",$C9/2,0)))))))</f>
        <v>0</v>
      </c>
      <c r="U9" s="27">
        <f>IF($A9="",0,IF(Mitarbeiter!$G$7=FALSE,0,IF(AND(Mitarbeiter!$E$7&lt;&gt;"",U$5+6&lt;Mitarbeiter!$E$7),0,IF(AND(Mitarbeiter!$F$7&lt;&gt;"",U$5&gt;Mitarbeiter!$F$7),0,IF(Planung!U9="",$C9,IF(ISNUMBER(Planung!U9),Planung!U9,IF(UPPER(Planung!U9)="H",$C9/2,0)))))))</f>
        <v>0</v>
      </c>
      <c r="V9" s="27">
        <f>IF($A9="",0,IF(Mitarbeiter!$G$7=FALSE,0,IF(AND(Mitarbeiter!$E$7&lt;&gt;"",V$5+6&lt;Mitarbeiter!$E$7),0,IF(AND(Mitarbeiter!$F$7&lt;&gt;"",V$5&gt;Mitarbeiter!$F$7),0,IF(Planung!V9="",$C9,IF(ISNUMBER(Planung!V9),Planung!V9,IF(UPPER(Planung!V9)="H",$C9/2,0)))))))</f>
        <v>0</v>
      </c>
      <c r="W9" s="27">
        <f>IF($A9="",0,IF(Mitarbeiter!$G$7=FALSE,0,IF(AND(Mitarbeiter!$E$7&lt;&gt;"",W$5+6&lt;Mitarbeiter!$E$7),0,IF(AND(Mitarbeiter!$F$7&lt;&gt;"",W$5&gt;Mitarbeiter!$F$7),0,IF(Planung!W9="",$C9,IF(ISNUMBER(Planung!W9),Planung!W9,IF(UPPER(Planung!W9)="H",$C9/2,0)))))))</f>
        <v>0</v>
      </c>
      <c r="X9" s="27">
        <f>IF($A9="",0,IF(Mitarbeiter!$G$7=FALSE,0,IF(AND(Mitarbeiter!$E$7&lt;&gt;"",X$5+6&lt;Mitarbeiter!$E$7),0,IF(AND(Mitarbeiter!$F$7&lt;&gt;"",X$5&gt;Mitarbeiter!$F$7),0,IF(Planung!X9="",$C9,IF(ISNUMBER(Planung!X9),Planung!X9,IF(UPPER(Planung!X9)="H",$C9/2,0)))))))</f>
        <v>0</v>
      </c>
      <c r="Y9" s="27">
        <f>IF($A9="",0,IF(Mitarbeiter!$G$7=FALSE,0,IF(AND(Mitarbeiter!$E$7&lt;&gt;"",Y$5+6&lt;Mitarbeiter!$E$7),0,IF(AND(Mitarbeiter!$F$7&lt;&gt;"",Y$5&gt;Mitarbeiter!$F$7),0,IF(Planung!Y9="",$C9,IF(ISNUMBER(Planung!Y9),Planung!Y9,IF(UPPER(Planung!Y9)="H",$C9/2,0)))))))</f>
        <v>0</v>
      </c>
      <c r="Z9" s="27">
        <f>IF($A9="",0,IF(Mitarbeiter!$G$7=FALSE,0,IF(AND(Mitarbeiter!$E$7&lt;&gt;"",Z$5+6&lt;Mitarbeiter!$E$7),0,IF(AND(Mitarbeiter!$F$7&lt;&gt;"",Z$5&gt;Mitarbeiter!$F$7),0,IF(Planung!Z9="",$C9,IF(ISNUMBER(Planung!Z9),Planung!Z9,IF(UPPER(Planung!Z9)="H",$C9/2,0)))))))</f>
        <v>0</v>
      </c>
      <c r="AA9" s="27">
        <f>IF($A9="",0,IF(Mitarbeiter!$G$7=FALSE,0,IF(AND(Mitarbeiter!$E$7&lt;&gt;"",AA$5+6&lt;Mitarbeiter!$E$7),0,IF(AND(Mitarbeiter!$F$7&lt;&gt;"",AA$5&gt;Mitarbeiter!$F$7),0,IF(Planung!AA9="",$C9,IF(ISNUMBER(Planung!AA9),Planung!AA9,IF(UPPER(Planung!AA9)="H",$C9/2,0)))))))</f>
        <v>0</v>
      </c>
      <c r="AB9" s="27">
        <f>IF($A9="",0,IF(Mitarbeiter!$G$7=FALSE,0,IF(AND(Mitarbeiter!$E$7&lt;&gt;"",AB$5+6&lt;Mitarbeiter!$E$7),0,IF(AND(Mitarbeiter!$F$7&lt;&gt;"",AB$5&gt;Mitarbeiter!$F$7),0,IF(Planung!AB9="",$C9,IF(ISNUMBER(Planung!AB9),Planung!AB9,IF(UPPER(Planung!AB9)="H",$C9/2,0)))))))</f>
        <v>0</v>
      </c>
      <c r="AC9" s="27">
        <f>IF($A9="",0,IF(Mitarbeiter!$G$7=FALSE,0,IF(AND(Mitarbeiter!$E$7&lt;&gt;"",AC$5+6&lt;Mitarbeiter!$E$7),0,IF(AND(Mitarbeiter!$F$7&lt;&gt;"",AC$5&gt;Mitarbeiter!$F$7),0,IF(Planung!AC9="",$C9,IF(ISNUMBER(Planung!AC9),Planung!AC9,IF(UPPER(Planung!AC9)="H",$C9/2,0)))))))</f>
        <v>0</v>
      </c>
      <c r="AD9" s="27">
        <f>IF($A9="",0,IF(Mitarbeiter!$G$7=FALSE,0,IF(AND(Mitarbeiter!$E$7&lt;&gt;"",AD$5+6&lt;Mitarbeiter!$E$7),0,IF(AND(Mitarbeiter!$F$7&lt;&gt;"",AD$5&gt;Mitarbeiter!$F$7),0,IF(Planung!AD9="",$C9,IF(ISNUMBER(Planung!AD9),Planung!AD9,IF(UPPER(Planung!AD9)="H",$C9/2,0)))))))</f>
        <v>0</v>
      </c>
      <c r="AE9" s="27">
        <f>IF($A9="",0,IF(Mitarbeiter!$G$7=FALSE,0,IF(AND(Mitarbeiter!$E$7&lt;&gt;"",AE$5+6&lt;Mitarbeiter!$E$7),0,IF(AND(Mitarbeiter!$F$7&lt;&gt;"",AE$5&gt;Mitarbeiter!$F$7),0,IF(Planung!AE9="",$C9,IF(ISNUMBER(Planung!AE9),Planung!AE9,IF(UPPER(Planung!AE9)="H",$C9/2,0)))))))</f>
        <v>0</v>
      </c>
      <c r="AF9" s="27">
        <f>IF($A9="",0,IF(Mitarbeiter!$G$7=FALSE,0,IF(AND(Mitarbeiter!$E$7&lt;&gt;"",AF$5+6&lt;Mitarbeiter!$E$7),0,IF(AND(Mitarbeiter!$F$7&lt;&gt;"",AF$5&gt;Mitarbeiter!$F$7),0,IF(Planung!AF9="",$C9,IF(ISNUMBER(Planung!AF9),Planung!AF9,IF(UPPER(Planung!AF9)="H",$C9/2,0)))))))</f>
        <v>0</v>
      </c>
      <c r="AG9" s="27">
        <f>IF($A9="",0,IF(Mitarbeiter!$G$7=FALSE,0,IF(AND(Mitarbeiter!$E$7&lt;&gt;"",AG$5+6&lt;Mitarbeiter!$E$7),0,IF(AND(Mitarbeiter!$F$7&lt;&gt;"",AG$5&gt;Mitarbeiter!$F$7),0,IF(Planung!AG9="",$C9,IF(ISNUMBER(Planung!AG9),Planung!AG9,IF(UPPER(Planung!AG9)="H",$C9/2,0)))))))</f>
        <v>0</v>
      </c>
      <c r="AH9" s="27">
        <f>IF($A9="",0,IF(Mitarbeiter!$G$7=FALSE,0,IF(AND(Mitarbeiter!$E$7&lt;&gt;"",AH$5+6&lt;Mitarbeiter!$E$7),0,IF(AND(Mitarbeiter!$F$7&lt;&gt;"",AH$5&gt;Mitarbeiter!$F$7),0,IF(Planung!AH9="",$C9,IF(ISNUMBER(Planung!AH9),Planung!AH9,IF(UPPER(Planung!AH9)="H",$C9/2,0)))))))</f>
        <v>0</v>
      </c>
      <c r="AI9" s="27">
        <f>IF($A9="",0,IF(Mitarbeiter!$G$7=FALSE,0,IF(AND(Mitarbeiter!$E$7&lt;&gt;"",AI$5+6&lt;Mitarbeiter!$E$7),0,IF(AND(Mitarbeiter!$F$7&lt;&gt;"",AI$5&gt;Mitarbeiter!$F$7),0,IF(Planung!AI9="",$C9,IF(ISNUMBER(Planung!AI9),Planung!AI9,IF(UPPER(Planung!AI9)="H",$C9/2,0)))))))</f>
        <v>0</v>
      </c>
      <c r="AJ9" s="27">
        <f>IF($A9="",0,IF(Mitarbeiter!$G$7=FALSE,0,IF(AND(Mitarbeiter!$E$7&lt;&gt;"",AJ$5+6&lt;Mitarbeiter!$E$7),0,IF(AND(Mitarbeiter!$F$7&lt;&gt;"",AJ$5&gt;Mitarbeiter!$F$7),0,IF(Planung!AJ9="",$C9,IF(ISNUMBER(Planung!AJ9),Planung!AJ9,IF(UPPER(Planung!AJ9)="H",$C9/2,0)))))))</f>
        <v>0</v>
      </c>
      <c r="AK9" s="27">
        <f>IF($A9="",0,IF(Mitarbeiter!$G$7=FALSE,0,IF(AND(Mitarbeiter!$E$7&lt;&gt;"",AK$5+6&lt;Mitarbeiter!$E$7),0,IF(AND(Mitarbeiter!$F$7&lt;&gt;"",AK$5&gt;Mitarbeiter!$F$7),0,IF(Planung!AK9="",$C9,IF(ISNUMBER(Planung!AK9),Planung!AK9,IF(UPPER(Planung!AK9)="H",$C9/2,0)))))))</f>
        <v>0</v>
      </c>
      <c r="AL9" s="27">
        <f>IF($A9="",0,IF(Mitarbeiter!$G$7=FALSE,0,IF(AND(Mitarbeiter!$E$7&lt;&gt;"",AL$5+6&lt;Mitarbeiter!$E$7),0,IF(AND(Mitarbeiter!$F$7&lt;&gt;"",AL$5&gt;Mitarbeiter!$F$7),0,IF(Planung!AL9="",$C9,IF(ISNUMBER(Planung!AL9),Planung!AL9,IF(UPPER(Planung!AL9)="H",$C9/2,0)))))))</f>
        <v>0</v>
      </c>
      <c r="AM9" s="27">
        <f>IF($A9="",0,IF(Mitarbeiter!$G$7=FALSE,0,IF(AND(Mitarbeiter!$E$7&lt;&gt;"",AM$5+6&lt;Mitarbeiter!$E$7),0,IF(AND(Mitarbeiter!$F$7&lt;&gt;"",AM$5&gt;Mitarbeiter!$F$7),0,IF(Planung!AM9="",$C9,IF(ISNUMBER(Planung!AM9),Planung!AM9,IF(UPPER(Planung!AM9)="H",$C9/2,0)))))))</f>
        <v>0</v>
      </c>
      <c r="AN9" s="27">
        <f>IF($A9="",0,IF(Mitarbeiter!$G$7=FALSE,0,IF(AND(Mitarbeiter!$E$7&lt;&gt;"",AN$5+6&lt;Mitarbeiter!$E$7),0,IF(AND(Mitarbeiter!$F$7&lt;&gt;"",AN$5&gt;Mitarbeiter!$F$7),0,IF(Planung!AN9="",$C9,IF(ISNUMBER(Planung!AN9),Planung!AN9,IF(UPPER(Planung!AN9)="H",$C9/2,0)))))))</f>
        <v>0</v>
      </c>
      <c r="AO9" s="27">
        <f>IF($A9="",0,IF(Mitarbeiter!$G$7=FALSE,0,IF(AND(Mitarbeiter!$E$7&lt;&gt;"",AO$5+6&lt;Mitarbeiter!$E$7),0,IF(AND(Mitarbeiter!$F$7&lt;&gt;"",AO$5&gt;Mitarbeiter!$F$7),0,IF(Planung!AO9="",$C9,IF(ISNUMBER(Planung!AO9),Planung!AO9,IF(UPPER(Planung!AO9)="H",$C9/2,0)))))))</f>
        <v>0</v>
      </c>
      <c r="AP9" s="27">
        <f>IF($A9="",0,IF(Mitarbeiter!$G$7=FALSE,0,IF(AND(Mitarbeiter!$E$7&lt;&gt;"",AP$5+6&lt;Mitarbeiter!$E$7),0,IF(AND(Mitarbeiter!$F$7&lt;&gt;"",AP$5&gt;Mitarbeiter!$F$7),0,IF(Planung!AP9="",$C9,IF(ISNUMBER(Planung!AP9),Planung!AP9,IF(UPPER(Planung!AP9)="H",$C9/2,0)))))))</f>
        <v>0</v>
      </c>
      <c r="AQ9" s="27">
        <f>IF($A9="",0,IF(Mitarbeiter!$G$7=FALSE,0,IF(AND(Mitarbeiter!$E$7&lt;&gt;"",AQ$5+6&lt;Mitarbeiter!$E$7),0,IF(AND(Mitarbeiter!$F$7&lt;&gt;"",AQ$5&gt;Mitarbeiter!$F$7),0,IF(Planung!AQ9="",$C9,IF(ISNUMBER(Planung!AQ9),Planung!AQ9,IF(UPPER(Planung!AQ9)="H",$C9/2,0)))))))</f>
        <v>0</v>
      </c>
      <c r="AR9" s="27">
        <f>IF($A9="",0,IF(Mitarbeiter!$G$7=FALSE,0,IF(AND(Mitarbeiter!$E$7&lt;&gt;"",AR$5+6&lt;Mitarbeiter!$E$7),0,IF(AND(Mitarbeiter!$F$7&lt;&gt;"",AR$5&gt;Mitarbeiter!$F$7),0,IF(Planung!AR9="",$C9,IF(ISNUMBER(Planung!AR9),Planung!AR9,IF(UPPER(Planung!AR9)="H",$C9/2,0)))))))</f>
        <v>0</v>
      </c>
      <c r="AS9" s="27">
        <f>IF($A9="",0,IF(Mitarbeiter!$G$7=FALSE,0,IF(AND(Mitarbeiter!$E$7&lt;&gt;"",AS$5+6&lt;Mitarbeiter!$E$7),0,IF(AND(Mitarbeiter!$F$7&lt;&gt;"",AS$5&gt;Mitarbeiter!$F$7),0,IF(Planung!AS9="",$C9,IF(ISNUMBER(Planung!AS9),Planung!AS9,IF(UPPER(Planung!AS9)="H",$C9/2,0)))))))</f>
        <v>0</v>
      </c>
      <c r="AT9" s="27">
        <f>IF($A9="",0,IF(Mitarbeiter!$G$7=FALSE,0,IF(AND(Mitarbeiter!$E$7&lt;&gt;"",AT$5+6&lt;Mitarbeiter!$E$7),0,IF(AND(Mitarbeiter!$F$7&lt;&gt;"",AT$5&gt;Mitarbeiter!$F$7),0,IF(Planung!AT9="",$C9,IF(ISNUMBER(Planung!AT9),Planung!AT9,IF(UPPER(Planung!AT9)="H",$C9/2,0)))))))</f>
        <v>0</v>
      </c>
      <c r="AU9" s="27">
        <f>IF($A9="",0,IF(Mitarbeiter!$G$7=FALSE,0,IF(AND(Mitarbeiter!$E$7&lt;&gt;"",AU$5+6&lt;Mitarbeiter!$E$7),0,IF(AND(Mitarbeiter!$F$7&lt;&gt;"",AU$5&gt;Mitarbeiter!$F$7),0,IF(Planung!AU9="",$C9,IF(ISNUMBER(Planung!AU9),Planung!AU9,IF(UPPER(Planung!AU9)="H",$C9/2,0)))))))</f>
        <v>0</v>
      </c>
      <c r="AV9" s="27">
        <f>IF($A9="",0,IF(Mitarbeiter!$G$7=FALSE,0,IF(AND(Mitarbeiter!$E$7&lt;&gt;"",AV$5+6&lt;Mitarbeiter!$E$7),0,IF(AND(Mitarbeiter!$F$7&lt;&gt;"",AV$5&gt;Mitarbeiter!$F$7),0,IF(Planung!AV9="",$C9,IF(ISNUMBER(Planung!AV9),Planung!AV9,IF(UPPER(Planung!AV9)="H",$C9/2,0)))))))</f>
        <v>0</v>
      </c>
      <c r="AW9" s="27">
        <f>IF($A9="",0,IF(Mitarbeiter!$G$7=FALSE,0,IF(AND(Mitarbeiter!$E$7&lt;&gt;"",AW$5+6&lt;Mitarbeiter!$E$7),0,IF(AND(Mitarbeiter!$F$7&lt;&gt;"",AW$5&gt;Mitarbeiter!$F$7),0,IF(Planung!AW9="",$C9,IF(ISNUMBER(Planung!AW9),Planung!AW9,IF(UPPER(Planung!AW9)="H",$C9/2,0)))))))</f>
        <v>0</v>
      </c>
      <c r="AX9" s="27">
        <f>IF($A9="",0,IF(Mitarbeiter!$G$7=FALSE,0,IF(AND(Mitarbeiter!$E$7&lt;&gt;"",AX$5+6&lt;Mitarbeiter!$E$7),0,IF(AND(Mitarbeiter!$F$7&lt;&gt;"",AX$5&gt;Mitarbeiter!$F$7),0,IF(Planung!AX9="",$C9,IF(ISNUMBER(Planung!AX9),Planung!AX9,IF(UPPER(Planung!AX9)="H",$C9/2,0)))))))</f>
        <v>0</v>
      </c>
      <c r="AY9" s="27">
        <f>IF($A9="",0,IF(Mitarbeiter!$G$7=FALSE,0,IF(AND(Mitarbeiter!$E$7&lt;&gt;"",AY$5+6&lt;Mitarbeiter!$E$7),0,IF(AND(Mitarbeiter!$F$7&lt;&gt;"",AY$5&gt;Mitarbeiter!$F$7),0,IF(Planung!AY9="",$C9,IF(ISNUMBER(Planung!AY9),Planung!AY9,IF(UPPER(Planung!AY9)="H",$C9/2,0)))))))</f>
        <v>0</v>
      </c>
      <c r="AZ9" s="27">
        <f>IF($A9="",0,IF(Mitarbeiter!$G$7=FALSE,0,IF(AND(Mitarbeiter!$E$7&lt;&gt;"",AZ$5+6&lt;Mitarbeiter!$E$7),0,IF(AND(Mitarbeiter!$F$7&lt;&gt;"",AZ$5&gt;Mitarbeiter!$F$7),0,IF(Planung!AZ9="",$C9,IF(ISNUMBER(Planung!AZ9),Planung!AZ9,IF(UPPER(Planung!AZ9)="H",$C9/2,0)))))))</f>
        <v>0</v>
      </c>
      <c r="BA9" s="27">
        <f>IF($A9="",0,IF(Mitarbeiter!$G$7=FALSE,0,IF(AND(Mitarbeiter!$E$7&lt;&gt;"",BA$5+6&lt;Mitarbeiter!$E$7),0,IF(AND(Mitarbeiter!$F$7&lt;&gt;"",BA$5&gt;Mitarbeiter!$F$7),0,IF(Planung!BA9="",$C9,IF(ISNUMBER(Planung!BA9),Planung!BA9,IF(UPPER(Planung!BA9)="H",$C9/2,0)))))))</f>
        <v>0</v>
      </c>
      <c r="BB9" s="27">
        <f>IF($A9="",0,IF(Mitarbeiter!$G$7=FALSE,0,IF(AND(Mitarbeiter!$E$7&lt;&gt;"",BB$5+6&lt;Mitarbeiter!$E$7),0,IF(AND(Mitarbeiter!$F$7&lt;&gt;"",BB$5&gt;Mitarbeiter!$F$7),0,IF(Planung!BB9="",$C9,IF(ISNUMBER(Planung!BB9),Planung!BB9,IF(UPPER(Planung!BB9)="H",$C9/2,0)))))))</f>
        <v>0</v>
      </c>
      <c r="BC9" s="27">
        <f>IF($A9="",0,IF(Mitarbeiter!$G$7=FALSE,0,IF(AND(Mitarbeiter!$E$7&lt;&gt;"",BC$5+6&lt;Mitarbeiter!$E$7),0,IF(AND(Mitarbeiter!$F$7&lt;&gt;"",BC$5&gt;Mitarbeiter!$F$7),0,IF(Planung!BC9="",$C9,IF(ISNUMBER(Planung!BC9),Planung!BC9,IF(UPPER(Planung!BC9)="H",$C9/2,0)))))))</f>
        <v>0</v>
      </c>
      <c r="BD9" s="27">
        <f>IF($A9="",0,IF(Mitarbeiter!$G$7=FALSE,0,IF(AND(Mitarbeiter!$E$7&lt;&gt;"",BD$5+6&lt;Mitarbeiter!$E$7),0,IF(AND(Mitarbeiter!$F$7&lt;&gt;"",BD$5&gt;Mitarbeiter!$F$7),0,IF(Planung!BD9="",$C9,IF(ISNUMBER(Planung!BD9),Planung!BD9,IF(UPPER(Planung!BD9)="H",$C9/2,0)))))))</f>
        <v>0</v>
      </c>
      <c r="BE9" s="27">
        <f>IF($A9="",0,IF(Mitarbeiter!$G$7=FALSE,0,IF(AND(Mitarbeiter!$E$7&lt;&gt;"",BE$5+6&lt;Mitarbeiter!$E$7),0,IF(AND(Mitarbeiter!$F$7&lt;&gt;"",BE$5&gt;Mitarbeiter!$F$7),0,IF(Planung!BE9="",$C9,IF(ISNUMBER(Planung!BE9),Planung!BE9,IF(UPPER(Planung!BE9)="H",$C9/2,0)))))))</f>
        <v>0</v>
      </c>
      <c r="BF9" s="27">
        <f>IF($A9="",0,IF(Mitarbeiter!$G$7=FALSE,0,IF(AND(Mitarbeiter!$E$7&lt;&gt;"",BF$5+6&lt;Mitarbeiter!$E$7),0,IF(AND(Mitarbeiter!$F$7&lt;&gt;"",BF$5&gt;Mitarbeiter!$F$7),0,IF(Planung!BF9="",$C9,IF(ISNUMBER(Planung!BF9),Planung!BF9,IF(UPPER(Planung!BF9)="H",$C9/2,0)))))))</f>
        <v>0</v>
      </c>
      <c r="BG9" s="27">
        <f>IF($A9="",0,IF(Mitarbeiter!$G$7=FALSE,0,IF(AND(Mitarbeiter!$E$7&lt;&gt;"",BG$5+6&lt;Mitarbeiter!$E$7),0,IF(AND(Mitarbeiter!$F$7&lt;&gt;"",BG$5&gt;Mitarbeiter!$F$7),0,IF(Planung!BG9="",$C9,IF(ISNUMBER(Planung!BG9),Planung!BG9,IF(UPPER(Planung!BG9)="H",$C9/2,0)))))))</f>
        <v>0</v>
      </c>
      <c r="BH9" s="27">
        <f>IF($A9="",0,IF(Mitarbeiter!$G$7=FALSE,0,IF(AND(Mitarbeiter!$E$7&lt;&gt;"",BH$5+6&lt;Mitarbeiter!$E$7),0,IF(AND(Mitarbeiter!$F$7&lt;&gt;"",BH$5&gt;Mitarbeiter!$F$7),0,IF(Planung!BH9="",$C9,IF(ISNUMBER(Planung!BH9),Planung!BH9,IF(UPPER(Planung!BH9)="H",$C9/2,0)))))))</f>
        <v>0</v>
      </c>
      <c r="BI9" s="27">
        <f>IF($A9="",0,IF(Mitarbeiter!$G$7=FALSE,0,IF(AND(Mitarbeiter!$E$7&lt;&gt;"",BI$5+6&lt;Mitarbeiter!$E$7),0,IF(AND(Mitarbeiter!$F$7&lt;&gt;"",BI$5&gt;Mitarbeiter!$F$7),0,IF(Planung!BI9="",$C9,IF(ISNUMBER(Planung!BI9),Planung!BI9,IF(UPPER(Planung!BI9)="H",$C9/2,0)))))))</f>
        <v>0</v>
      </c>
      <c r="BJ9" s="27">
        <f>IF($A9="",0,IF(Mitarbeiter!$G$7=FALSE,0,IF(AND(Mitarbeiter!$E$7&lt;&gt;"",BJ$5+6&lt;Mitarbeiter!$E$7),0,IF(AND(Mitarbeiter!$F$7&lt;&gt;"",BJ$5&gt;Mitarbeiter!$F$7),0,IF(Planung!BJ9="",$C9,IF(ISNUMBER(Planung!BJ9),Planung!BJ9,IF(UPPER(Planung!BJ9)="H",$C9/2,0)))))))</f>
        <v>0</v>
      </c>
      <c r="BK9" s="27">
        <f>IF($A9="",0,IF(Mitarbeiter!$G$7=FALSE,0,IF(AND(Mitarbeiter!$E$7&lt;&gt;"",BK$5+6&lt;Mitarbeiter!$E$7),0,IF(AND(Mitarbeiter!$F$7&lt;&gt;"",BK$5&gt;Mitarbeiter!$F$7),0,IF(Planung!BK9="",$C9,IF(ISNUMBER(Planung!BK9),Planung!BK9,IF(UPPER(Planung!BK9)="H",$C9/2,0)))))))</f>
        <v>0</v>
      </c>
      <c r="BL9" s="27">
        <f>IF($A9="",0,IF(Mitarbeiter!$G$7=FALSE,0,IF(AND(Mitarbeiter!$E$7&lt;&gt;"",BL$5+6&lt;Mitarbeiter!$E$7),0,IF(AND(Mitarbeiter!$F$7&lt;&gt;"",BL$5&gt;Mitarbeiter!$F$7),0,IF(Planung!BL9="",$C9,IF(ISNUMBER(Planung!BL9),Planung!BL9,IF(UPPER(Planung!BL9)="H",$C9/2,0)))))))</f>
        <v>0</v>
      </c>
      <c r="BM9" s="27">
        <f>IF($A9="",0,IF(Mitarbeiter!$G$7=FALSE,0,IF(AND(Mitarbeiter!$E$7&lt;&gt;"",BM$5+6&lt;Mitarbeiter!$E$7),0,IF(AND(Mitarbeiter!$F$7&lt;&gt;"",BM$5&gt;Mitarbeiter!$F$7),0,IF(Planung!BM9="",$C9,IF(ISNUMBER(Planung!BM9),Planung!BM9,IF(UPPER(Planung!BM9)="H",$C9/2,0)))))))</f>
        <v>0</v>
      </c>
      <c r="BN9" s="27">
        <f>IF($A9="",0,IF(Mitarbeiter!$G$7=FALSE,0,IF(AND(Mitarbeiter!$E$7&lt;&gt;"",BN$5+6&lt;Mitarbeiter!$E$7),0,IF(AND(Mitarbeiter!$F$7&lt;&gt;"",BN$5&gt;Mitarbeiter!$F$7),0,IF(Planung!BN9="",$C9,IF(ISNUMBER(Planung!BN9),Planung!BN9,IF(UPPER(Planung!BN9)="H",$C9/2,0)))))))</f>
        <v>0</v>
      </c>
      <c r="BO9" s="27">
        <f>IF($A9="",0,IF(Mitarbeiter!$G$7=FALSE,0,IF(AND(Mitarbeiter!$E$7&lt;&gt;"",BO$5+6&lt;Mitarbeiter!$E$7),0,IF(AND(Mitarbeiter!$F$7&lt;&gt;"",BO$5&gt;Mitarbeiter!$F$7),0,IF(Planung!BO9="",$C9,IF(ISNUMBER(Planung!BO9),Planung!BO9,IF(UPPER(Planung!BO9)="H",$C9/2,0)))))))</f>
        <v>0</v>
      </c>
      <c r="BP9" s="27">
        <f>IF($A9="",0,IF(Mitarbeiter!$G$7=FALSE,0,IF(AND(Mitarbeiter!$E$7&lt;&gt;"",BP$5+6&lt;Mitarbeiter!$E$7),0,IF(AND(Mitarbeiter!$F$7&lt;&gt;"",BP$5&gt;Mitarbeiter!$F$7),0,IF(Planung!BP9="",$C9,IF(ISNUMBER(Planung!BP9),Planung!BP9,IF(UPPER(Planung!BP9)="H",$C9/2,0)))))))</f>
        <v>0</v>
      </c>
      <c r="BQ9" s="27">
        <f>IF($A9="",0,IF(Mitarbeiter!$G$7=FALSE,0,IF(AND(Mitarbeiter!$E$7&lt;&gt;"",BQ$5+6&lt;Mitarbeiter!$E$7),0,IF(AND(Mitarbeiter!$F$7&lt;&gt;"",BQ$5&gt;Mitarbeiter!$F$7),0,IF(Planung!BQ9="",$C9,IF(ISNUMBER(Planung!BQ9),Planung!BQ9,IF(UPPER(Planung!BQ9)="H",$C9/2,0)))))))</f>
        <v>0</v>
      </c>
      <c r="BR9" s="27">
        <f>IF($A9="",0,IF(Mitarbeiter!$G$7=FALSE,0,IF(AND(Mitarbeiter!$E$7&lt;&gt;"",BR$5+6&lt;Mitarbeiter!$E$7),0,IF(AND(Mitarbeiter!$F$7&lt;&gt;"",BR$5&gt;Mitarbeiter!$F$7),0,IF(Planung!BR9="",$C9,IF(ISNUMBER(Planung!BR9),Planung!BR9,IF(UPPER(Planung!BR9)="H",$C9/2,0)))))))</f>
        <v>0</v>
      </c>
      <c r="BS9" s="27">
        <f>IF($A9="",0,IF(Mitarbeiter!$G$7=FALSE,0,IF(AND(Mitarbeiter!$E$7&lt;&gt;"",BS$5+6&lt;Mitarbeiter!$E$7),0,IF(AND(Mitarbeiter!$F$7&lt;&gt;"",BS$5&gt;Mitarbeiter!$F$7),0,IF(Planung!BS9="",$C9,IF(ISNUMBER(Planung!BS9),Planung!BS9,IF(UPPER(Planung!BS9)="H",$C9/2,0)))))))</f>
        <v>0</v>
      </c>
      <c r="BT9" s="27">
        <f>IF($A9="",0,IF(Mitarbeiter!$G$7=FALSE,0,IF(AND(Mitarbeiter!$E$7&lt;&gt;"",BT$5+6&lt;Mitarbeiter!$E$7),0,IF(AND(Mitarbeiter!$F$7&lt;&gt;"",BT$5&gt;Mitarbeiter!$F$7),0,IF(Planung!BT9="",$C9,IF(ISNUMBER(Planung!BT9),Planung!BT9,IF(UPPER(Planung!BT9)="H",$C9/2,0)))))))</f>
        <v>0</v>
      </c>
      <c r="BU9" s="27">
        <f>IF($A9="",0,IF(Mitarbeiter!$G$7=FALSE,0,IF(AND(Mitarbeiter!$E$7&lt;&gt;"",BU$5+6&lt;Mitarbeiter!$E$7),0,IF(AND(Mitarbeiter!$F$7&lt;&gt;"",BU$5&gt;Mitarbeiter!$F$7),0,IF(Planung!BU9="",$C9,IF(ISNUMBER(Planung!BU9),Planung!BU9,IF(UPPER(Planung!BU9)="H",$C9/2,0)))))))</f>
        <v>0</v>
      </c>
      <c r="BV9" s="27">
        <f>IF($A9="",0,IF(Mitarbeiter!$G$7=FALSE,0,IF(AND(Mitarbeiter!$E$7&lt;&gt;"",BV$5+6&lt;Mitarbeiter!$E$7),0,IF(AND(Mitarbeiter!$F$7&lt;&gt;"",BV$5&gt;Mitarbeiter!$F$7),0,IF(Planung!BV9="",$C9,IF(ISNUMBER(Planung!BV9),Planung!BV9,IF(UPPER(Planung!BV9)="H",$C9/2,0)))))))</f>
        <v>0</v>
      </c>
      <c r="BW9" s="27">
        <f>IF($A9="",0,IF(Mitarbeiter!$G$7=FALSE,0,IF(AND(Mitarbeiter!$E$7&lt;&gt;"",BW$5+6&lt;Mitarbeiter!$E$7),0,IF(AND(Mitarbeiter!$F$7&lt;&gt;"",BW$5&gt;Mitarbeiter!$F$7),0,IF(Planung!BW9="",$C9,IF(ISNUMBER(Planung!BW9),Planung!BW9,IF(UPPER(Planung!BW9)="H",$C9/2,0)))))))</f>
        <v>0</v>
      </c>
      <c r="BX9" s="27">
        <f>IF($A9="",0,IF(Mitarbeiter!$G$7=FALSE,0,IF(AND(Mitarbeiter!$E$7&lt;&gt;"",BX$5+6&lt;Mitarbeiter!$E$7),0,IF(AND(Mitarbeiter!$F$7&lt;&gt;"",BX$5&gt;Mitarbeiter!$F$7),0,IF(Planung!BX9="",$C9,IF(ISNUMBER(Planung!BX9),Planung!BX9,IF(UPPER(Planung!BX9)="H",$C9/2,0)))))))</f>
        <v>0</v>
      </c>
      <c r="BY9" s="27">
        <f>IF($A9="",0,IF(Mitarbeiter!$G$7=FALSE,0,IF(AND(Mitarbeiter!$E$7&lt;&gt;"",BY$5+6&lt;Mitarbeiter!$E$7),0,IF(AND(Mitarbeiter!$F$7&lt;&gt;"",BY$5&gt;Mitarbeiter!$F$7),0,IF(Planung!BY9="",$C9,IF(ISNUMBER(Planung!BY9),Planung!BY9,IF(UPPER(Planung!BY9)="H",$C9/2,0)))))))</f>
        <v>0</v>
      </c>
      <c r="BZ9" s="27">
        <f>IF($A9="",0,IF(Mitarbeiter!$G$7=FALSE,0,IF(AND(Mitarbeiter!$E$7&lt;&gt;"",BZ$5+6&lt;Mitarbeiter!$E$7),0,IF(AND(Mitarbeiter!$F$7&lt;&gt;"",BZ$5&gt;Mitarbeiter!$F$7),0,IF(Planung!BZ9="",$C9,IF(ISNUMBER(Planung!BZ9),Planung!BZ9,IF(UPPER(Planung!BZ9)="H",$C9/2,0)))))))</f>
        <v>0</v>
      </c>
      <c r="CA9" s="27">
        <f>IF($A9="",0,IF(Mitarbeiter!$G$7=FALSE,0,IF(AND(Mitarbeiter!$E$7&lt;&gt;"",CA$5+6&lt;Mitarbeiter!$E$7),0,IF(AND(Mitarbeiter!$F$7&lt;&gt;"",CA$5&gt;Mitarbeiter!$F$7),0,IF(Planung!CA9="",$C9,IF(ISNUMBER(Planung!CA9),Planung!CA9,IF(UPPER(Planung!CA9)="H",$C9/2,0)))))))</f>
        <v>0</v>
      </c>
      <c r="CB9" s="27">
        <f>IF($A9="",0,IF(Mitarbeiter!$G$7=FALSE,0,IF(AND(Mitarbeiter!$E$7&lt;&gt;"",CB$5+6&lt;Mitarbeiter!$E$7),0,IF(AND(Mitarbeiter!$F$7&lt;&gt;"",CB$5&gt;Mitarbeiter!$F$7),0,IF(Planung!CB9="",$C9,IF(ISNUMBER(Planung!CB9),Planung!CB9,IF(UPPER(Planung!CB9)="H",$C9/2,0)))))))</f>
        <v>0</v>
      </c>
      <c r="CC9" s="27">
        <f>IF($A9="",0,IF(Mitarbeiter!$G$7=FALSE,0,IF(AND(Mitarbeiter!$E$7&lt;&gt;"",CC$5+6&lt;Mitarbeiter!$E$7),0,IF(AND(Mitarbeiter!$F$7&lt;&gt;"",CC$5&gt;Mitarbeiter!$F$7),0,IF(Planung!CC9="",$C9,IF(ISNUMBER(Planung!CC9),Planung!CC9,IF(UPPER(Planung!CC9)="H",$C9/2,0)))))))</f>
        <v>0</v>
      </c>
      <c r="CD9" s="27">
        <f>IF($A9="",0,IF(Mitarbeiter!$G$7=FALSE,0,IF(AND(Mitarbeiter!$E$7&lt;&gt;"",CD$5+6&lt;Mitarbeiter!$E$7),0,IF(AND(Mitarbeiter!$F$7&lt;&gt;"",CD$5&gt;Mitarbeiter!$F$7),0,IF(Planung!CD9="",$C9,IF(ISNUMBER(Planung!CD9),Planung!CD9,IF(UPPER(Planung!CD9)="H",$C9/2,0)))))))</f>
        <v>0</v>
      </c>
      <c r="CE9" s="27">
        <f>IF($A9="",0,IF(Mitarbeiter!$G$7=FALSE,0,IF(AND(Mitarbeiter!$E$7&lt;&gt;"",CE$5+6&lt;Mitarbeiter!$E$7),0,IF(AND(Mitarbeiter!$F$7&lt;&gt;"",CE$5&gt;Mitarbeiter!$F$7),0,IF(Planung!CE9="",$C9,IF(ISNUMBER(Planung!CE9),Planung!CE9,IF(UPPER(Planung!CE9)="H",$C9/2,0)))))))</f>
        <v>0</v>
      </c>
      <c r="CF9" s="27">
        <f>IF($A9="",0,IF(Mitarbeiter!$G$7=FALSE,0,IF(AND(Mitarbeiter!$E$7&lt;&gt;"",CF$5+6&lt;Mitarbeiter!$E$7),0,IF(AND(Mitarbeiter!$F$7&lt;&gt;"",CF$5&gt;Mitarbeiter!$F$7),0,IF(Planung!CF9="",$C9,IF(ISNUMBER(Planung!CF9),Planung!CF9,IF(UPPER(Planung!CF9)="H",$C9/2,0)))))))</f>
        <v>0</v>
      </c>
      <c r="CG9" s="27">
        <f>IF($A9="",0,IF(Mitarbeiter!$G$7=FALSE,0,IF(AND(Mitarbeiter!$E$7&lt;&gt;"",CG$5+6&lt;Mitarbeiter!$E$7),0,IF(AND(Mitarbeiter!$F$7&lt;&gt;"",CG$5&gt;Mitarbeiter!$F$7),0,IF(Planung!CG9="",$C9,IF(ISNUMBER(Planung!CG9),Planung!CG9,IF(UPPER(Planung!CG9)="H",$C9/2,0)))))))</f>
        <v>0</v>
      </c>
      <c r="CH9" s="27">
        <f>IF($A9="",0,IF(Mitarbeiter!$G$7=FALSE,0,IF(AND(Mitarbeiter!$E$7&lt;&gt;"",CH$5+6&lt;Mitarbeiter!$E$7),0,IF(AND(Mitarbeiter!$F$7&lt;&gt;"",CH$5&gt;Mitarbeiter!$F$7),0,IF(Planung!CH9="",$C9,IF(ISNUMBER(Planung!CH9),Planung!CH9,IF(UPPER(Planung!CH9)="H",$C9/2,0)))))))</f>
        <v>0</v>
      </c>
      <c r="CI9" s="27">
        <f>IF($A9="",0,IF(Mitarbeiter!$G$7=FALSE,0,IF(AND(Mitarbeiter!$E$7&lt;&gt;"",CI$5+6&lt;Mitarbeiter!$E$7),0,IF(AND(Mitarbeiter!$F$7&lt;&gt;"",CI$5&gt;Mitarbeiter!$F$7),0,IF(Planung!CI9="",$C9,IF(ISNUMBER(Planung!CI9),Planung!CI9,IF(UPPER(Planung!CI9)="H",$C9/2,0)))))))</f>
        <v>0</v>
      </c>
      <c r="CJ9" s="27">
        <f>IF($A9="",0,IF(Mitarbeiter!$G$7=FALSE,0,IF(AND(Mitarbeiter!$E$7&lt;&gt;"",CJ$5+6&lt;Mitarbeiter!$E$7),0,IF(AND(Mitarbeiter!$F$7&lt;&gt;"",CJ$5&gt;Mitarbeiter!$F$7),0,IF(Planung!CJ9="",$C9,IF(ISNUMBER(Planung!CJ9),Planung!CJ9,IF(UPPER(Planung!CJ9)="H",$C9/2,0)))))))</f>
        <v>0</v>
      </c>
      <c r="CK9" s="27">
        <f>IF($A9="",0,IF(Mitarbeiter!$G$7=FALSE,0,IF(AND(Mitarbeiter!$E$7&lt;&gt;"",CK$5+6&lt;Mitarbeiter!$E$7),0,IF(AND(Mitarbeiter!$F$7&lt;&gt;"",CK$5&gt;Mitarbeiter!$F$7),0,IF(Planung!CK9="",$C9,IF(ISNUMBER(Planung!CK9),Planung!CK9,IF(UPPER(Planung!CK9)="H",$C9/2,0)))))))</f>
        <v>0</v>
      </c>
      <c r="CL9" s="27">
        <f>IF($A9="",0,IF(Mitarbeiter!$G$7=FALSE,0,IF(AND(Mitarbeiter!$E$7&lt;&gt;"",CL$5+6&lt;Mitarbeiter!$E$7),0,IF(AND(Mitarbeiter!$F$7&lt;&gt;"",CL$5&gt;Mitarbeiter!$F$7),0,IF(Planung!CL9="",$C9,IF(ISNUMBER(Planung!CL9),Planung!CL9,IF(UPPER(Planung!CL9)="H",$C9/2,0)))))))</f>
        <v>0</v>
      </c>
      <c r="CM9" s="27">
        <f>IF($A9="",0,IF(Mitarbeiter!$G$7=FALSE,0,IF(AND(Mitarbeiter!$E$7&lt;&gt;"",CM$5+6&lt;Mitarbeiter!$E$7),0,IF(AND(Mitarbeiter!$F$7&lt;&gt;"",CM$5&gt;Mitarbeiter!$F$7),0,IF(Planung!CM9="",$C9,IF(ISNUMBER(Planung!CM9),Planung!CM9,IF(UPPER(Planung!CM9)="H",$C9/2,0)))))))</f>
        <v>0</v>
      </c>
      <c r="CN9" s="27">
        <f>IF($A9="",0,IF(Mitarbeiter!$G$7=FALSE,0,IF(AND(Mitarbeiter!$E$7&lt;&gt;"",CN$5+6&lt;Mitarbeiter!$E$7),0,IF(AND(Mitarbeiter!$F$7&lt;&gt;"",CN$5&gt;Mitarbeiter!$F$7),0,IF(Planung!CN9="",$C9,IF(ISNUMBER(Planung!CN9),Planung!CN9,IF(UPPER(Planung!CN9)="H",$C9/2,0)))))))</f>
        <v>0</v>
      </c>
      <c r="CO9" s="27">
        <f>IF($A9="",0,IF(Mitarbeiter!$G$7=FALSE,0,IF(AND(Mitarbeiter!$E$7&lt;&gt;"",CO$5+6&lt;Mitarbeiter!$E$7),0,IF(AND(Mitarbeiter!$F$7&lt;&gt;"",CO$5&gt;Mitarbeiter!$F$7),0,IF(Planung!CO9="",$C9,IF(ISNUMBER(Planung!CO9),Planung!CO9,IF(UPPER(Planung!CO9)="H",$C9/2,0)))))))</f>
        <v>0</v>
      </c>
      <c r="CP9" s="27">
        <f>IF($A9="",0,IF(Mitarbeiter!$G$7=FALSE,0,IF(AND(Mitarbeiter!$E$7&lt;&gt;"",CP$5+6&lt;Mitarbeiter!$E$7),0,IF(AND(Mitarbeiter!$F$7&lt;&gt;"",CP$5&gt;Mitarbeiter!$F$7),0,IF(Planung!CP9="",$C9,IF(ISNUMBER(Planung!CP9),Planung!CP9,IF(UPPER(Planung!CP9)="H",$C9/2,0)))))))</f>
        <v>0</v>
      </c>
      <c r="CQ9" s="27">
        <f>IF($A9="",0,IF(Mitarbeiter!$G$7=FALSE,0,IF(AND(Mitarbeiter!$E$7&lt;&gt;"",CQ$5+6&lt;Mitarbeiter!$E$7),0,IF(AND(Mitarbeiter!$F$7&lt;&gt;"",CQ$5&gt;Mitarbeiter!$F$7),0,IF(Planung!CQ9="",$C9,IF(ISNUMBER(Planung!CQ9),Planung!CQ9,IF(UPPER(Planung!CQ9)="H",$C9/2,0)))))))</f>
        <v>0</v>
      </c>
      <c r="CR9" s="27">
        <f>IF($A9="",0,IF(Mitarbeiter!$G$7=FALSE,0,IF(AND(Mitarbeiter!$E$7&lt;&gt;"",CR$5+6&lt;Mitarbeiter!$E$7),0,IF(AND(Mitarbeiter!$F$7&lt;&gt;"",CR$5&gt;Mitarbeiter!$F$7),0,IF(Planung!CR9="",$C9,IF(ISNUMBER(Planung!CR9),Planung!CR9,IF(UPPER(Planung!CR9)="H",$C9/2,0)))))))</f>
        <v>0</v>
      </c>
      <c r="CS9" s="27">
        <f>IF($A9="",0,IF(Mitarbeiter!$G$7=FALSE,0,IF(AND(Mitarbeiter!$E$7&lt;&gt;"",CS$5+6&lt;Mitarbeiter!$E$7),0,IF(AND(Mitarbeiter!$F$7&lt;&gt;"",CS$5&gt;Mitarbeiter!$F$7),0,IF(Planung!CS9="",$C9,IF(ISNUMBER(Planung!CS9),Planung!CS9,IF(UPPER(Planung!CS9)="H",$C9/2,0)))))))</f>
        <v>0</v>
      </c>
      <c r="CT9" s="27">
        <f>IF($A9="",0,IF(Mitarbeiter!$G$7=FALSE,0,IF(AND(Mitarbeiter!$E$7&lt;&gt;"",CT$5+6&lt;Mitarbeiter!$E$7),0,IF(AND(Mitarbeiter!$F$7&lt;&gt;"",CT$5&gt;Mitarbeiter!$F$7),0,IF(Planung!CT9="",$C9,IF(ISNUMBER(Planung!CT9),Planung!CT9,IF(UPPER(Planung!CT9)="H",$C9/2,0)))))))</f>
        <v>0</v>
      </c>
      <c r="CU9" s="27">
        <f>IF($A9="",0,IF(Mitarbeiter!$G$7=FALSE,0,IF(AND(Mitarbeiter!$E$7&lt;&gt;"",CU$5+6&lt;Mitarbeiter!$E$7),0,IF(AND(Mitarbeiter!$F$7&lt;&gt;"",CU$5&gt;Mitarbeiter!$F$7),0,IF(Planung!CU9="",$C9,IF(ISNUMBER(Planung!CU9),Planung!CU9,IF(UPPER(Planung!CU9)="H",$C9/2,0)))))))</f>
        <v>0</v>
      </c>
      <c r="CV9" s="27">
        <f>IF($A9="",0,IF(Mitarbeiter!$G$7=FALSE,0,IF(AND(Mitarbeiter!$E$7&lt;&gt;"",CV$5+6&lt;Mitarbeiter!$E$7),0,IF(AND(Mitarbeiter!$F$7&lt;&gt;"",CV$5&gt;Mitarbeiter!$F$7),0,IF(Planung!CV9="",$C9,IF(ISNUMBER(Planung!CV9),Planung!CV9,IF(UPPER(Planung!CV9)="H",$C9/2,0)))))))</f>
        <v>0</v>
      </c>
      <c r="CW9" s="27">
        <f>IF($A9="",0,IF(Mitarbeiter!$G$7=FALSE,0,IF(AND(Mitarbeiter!$E$7&lt;&gt;"",CW$5+6&lt;Mitarbeiter!$E$7),0,IF(AND(Mitarbeiter!$F$7&lt;&gt;"",CW$5&gt;Mitarbeiter!$F$7),0,IF(Planung!CW9="",$C9,IF(ISNUMBER(Planung!CW9),Planung!CW9,IF(UPPER(Planung!CW9)="H",$C9/2,0)))))))</f>
        <v>0</v>
      </c>
      <c r="CX9" s="27">
        <f>IF($A9="",0,IF(Mitarbeiter!$G$7=FALSE,0,IF(AND(Mitarbeiter!$E$7&lt;&gt;"",CX$5+6&lt;Mitarbeiter!$E$7),0,IF(AND(Mitarbeiter!$F$7&lt;&gt;"",CX$5&gt;Mitarbeiter!$F$7),0,IF(Planung!CX9="",$C9,IF(ISNUMBER(Planung!CX9),Planung!CX9,IF(UPPER(Planung!CX9)="H",$C9/2,0)))))))</f>
        <v>0</v>
      </c>
      <c r="CY9" s="27">
        <f>IF($A9="",0,IF(Mitarbeiter!$G$7=FALSE,0,IF(AND(Mitarbeiter!$E$7&lt;&gt;"",CY$5+6&lt;Mitarbeiter!$E$7),0,IF(AND(Mitarbeiter!$F$7&lt;&gt;"",CY$5&gt;Mitarbeiter!$F$7),0,IF(Planung!CY9="",$C9,IF(ISNUMBER(Planung!CY9),Planung!CY9,IF(UPPER(Planung!CY9)="H",$C9/2,0)))))))</f>
        <v>0</v>
      </c>
      <c r="CZ9" s="27">
        <f>IF($A9="",0,IF(Mitarbeiter!$G$7=FALSE,0,IF(AND(Mitarbeiter!$E$7&lt;&gt;"",CZ$5+6&lt;Mitarbeiter!$E$7),0,IF(AND(Mitarbeiter!$F$7&lt;&gt;"",CZ$5&gt;Mitarbeiter!$F$7),0,IF(Planung!CZ9="",$C9,IF(ISNUMBER(Planung!CZ9),Planung!CZ9,IF(UPPER(Planung!CZ9)="H",$C9/2,0)))))))</f>
        <v>0</v>
      </c>
      <c r="DA9" s="27">
        <f>IF($A9="",0,IF(Mitarbeiter!$G$7=FALSE,0,IF(AND(Mitarbeiter!$E$7&lt;&gt;"",DA$5+6&lt;Mitarbeiter!$E$7),0,IF(AND(Mitarbeiter!$F$7&lt;&gt;"",DA$5&gt;Mitarbeiter!$F$7),0,IF(Planung!DA9="",$C9,IF(ISNUMBER(Planung!DA9),Planung!DA9,IF(UPPER(Planung!DA9)="H",$C9/2,0)))))))</f>
        <v>0</v>
      </c>
      <c r="DB9" s="27">
        <f>IF($A9="",0,IF(Mitarbeiter!$G$7=FALSE,0,IF(AND(Mitarbeiter!$E$7&lt;&gt;"",DB$5+6&lt;Mitarbeiter!$E$7),0,IF(AND(Mitarbeiter!$F$7&lt;&gt;"",DB$5&gt;Mitarbeiter!$F$7),0,IF(Planung!DB9="",$C9,IF(ISNUMBER(Planung!DB9),Planung!DB9,IF(UPPER(Planung!DB9)="H",$C9/2,0)))))))</f>
        <v>0</v>
      </c>
      <c r="DC9" s="27">
        <f>IF($A9="",0,IF(Mitarbeiter!$G$7=FALSE,0,IF(AND(Mitarbeiter!$E$7&lt;&gt;"",DC$5+6&lt;Mitarbeiter!$E$7),0,IF(AND(Mitarbeiter!$F$7&lt;&gt;"",DC$5&gt;Mitarbeiter!$F$7),0,IF(Planung!DC9="",$C9,IF(ISNUMBER(Planung!DC9),Planung!DC9,IF(UPPER(Planung!DC9)="H",$C9/2,0)))))))</f>
        <v>0</v>
      </c>
      <c r="DD9" s="27">
        <f>IF($A9="",0,IF(Mitarbeiter!$G$7=FALSE,0,IF(AND(Mitarbeiter!$E$7&lt;&gt;"",DD$5+6&lt;Mitarbeiter!$E$7),0,IF(AND(Mitarbeiter!$F$7&lt;&gt;"",DD$5&gt;Mitarbeiter!$F$7),0,IF(Planung!DD9="",$C9,IF(ISNUMBER(Planung!DD9),Planung!DD9,IF(UPPER(Planung!DD9)="H",$C9/2,0)))))))</f>
        <v>0</v>
      </c>
      <c r="DE9" s="27">
        <f>IF($A9="",0,IF(Mitarbeiter!$G$7=FALSE,0,IF(AND(Mitarbeiter!$E$7&lt;&gt;"",DE$5+6&lt;Mitarbeiter!$E$7),0,IF(AND(Mitarbeiter!$F$7&lt;&gt;"",DE$5&gt;Mitarbeiter!$F$7),0,IF(Planung!DE9="",$C9,IF(ISNUMBER(Planung!DE9),Planung!DE9,IF(UPPER(Planung!DE9)="H",$C9/2,0)))))))</f>
        <v>0</v>
      </c>
      <c r="DF9" s="27">
        <f>IF($A9="",0,IF(Mitarbeiter!$G$7=FALSE,0,IF(AND(Mitarbeiter!$E$7&lt;&gt;"",DF$5+6&lt;Mitarbeiter!$E$7),0,IF(AND(Mitarbeiter!$F$7&lt;&gt;"",DF$5&gt;Mitarbeiter!$F$7),0,IF(Planung!DF9="",$C9,IF(ISNUMBER(Planung!DF9),Planung!DF9,IF(UPPER(Planung!DF9)="H",$C9/2,0)))))))</f>
        <v>0</v>
      </c>
      <c r="DG9" s="27">
        <f>IF($A9="",0,IF(Mitarbeiter!$G$7=FALSE,0,IF(AND(Mitarbeiter!$E$7&lt;&gt;"",DG$5+6&lt;Mitarbeiter!$E$7),0,IF(AND(Mitarbeiter!$F$7&lt;&gt;"",DG$5&gt;Mitarbeiter!$F$7),0,IF(Planung!DG9="",$C9,IF(ISNUMBER(Planung!DG9),Planung!DG9,IF(UPPER(Planung!DG9)="H",$C9/2,0)))))))</f>
        <v>0</v>
      </c>
      <c r="DH9" s="27">
        <f>IF($A9="",0,IF(Mitarbeiter!$G$7=FALSE,0,IF(AND(Mitarbeiter!$E$7&lt;&gt;"",DH$5+6&lt;Mitarbeiter!$E$7),0,IF(AND(Mitarbeiter!$F$7&lt;&gt;"",DH$5&gt;Mitarbeiter!$F$7),0,IF(Planung!DH9="",$C9,IF(ISNUMBER(Planung!DH9),Planung!DH9,IF(UPPER(Planung!DH9)="H",$C9/2,0)))))))</f>
        <v>0</v>
      </c>
      <c r="DI9" s="27">
        <f>IF($A9="",0,IF(Mitarbeiter!$G$7=FALSE,0,IF(AND(Mitarbeiter!$E$7&lt;&gt;"",DI$5+6&lt;Mitarbeiter!$E$7),0,IF(AND(Mitarbeiter!$F$7&lt;&gt;"",DI$5&gt;Mitarbeiter!$F$7),0,IF(Planung!DI9="",$C9,IF(ISNUMBER(Planung!DI9),Planung!DI9,IF(UPPER(Planung!DI9)="H",$C9/2,0)))))))</f>
        <v>0</v>
      </c>
      <c r="DJ9" s="27">
        <f>IF($A9="",0,IF(Mitarbeiter!$G$7=FALSE,0,IF(AND(Mitarbeiter!$E$7&lt;&gt;"",DJ$5+6&lt;Mitarbeiter!$E$7),0,IF(AND(Mitarbeiter!$F$7&lt;&gt;"",DJ$5&gt;Mitarbeiter!$F$7),0,IF(Planung!DJ9="",$C9,IF(ISNUMBER(Planung!DJ9),Planung!DJ9,IF(UPPER(Planung!DJ9)="H",$C9/2,0)))))))</f>
        <v>0</v>
      </c>
      <c r="DK9" s="27">
        <f>IF($A9="",0,IF(Mitarbeiter!$G$7=FALSE,0,IF(AND(Mitarbeiter!$E$7&lt;&gt;"",DK$5+6&lt;Mitarbeiter!$E$7),0,IF(AND(Mitarbeiter!$F$7&lt;&gt;"",DK$5&gt;Mitarbeiter!$F$7),0,IF(Planung!DK9="",$C9,IF(ISNUMBER(Planung!DK9),Planung!DK9,IF(UPPER(Planung!DK9)="H",$C9/2,0)))))))</f>
        <v>0</v>
      </c>
      <c r="DL9" s="27">
        <f>IF($A9="",0,IF(Mitarbeiter!$G$7=FALSE,0,IF(AND(Mitarbeiter!$E$7&lt;&gt;"",DL$5+6&lt;Mitarbeiter!$E$7),0,IF(AND(Mitarbeiter!$F$7&lt;&gt;"",DL$5&gt;Mitarbeiter!$F$7),0,IF(Planung!DL9="",$C9,IF(ISNUMBER(Planung!DL9),Planung!DL9,IF(UPPER(Planung!DL9)="H",$C9/2,0)))))))</f>
        <v>0</v>
      </c>
      <c r="DM9" s="27">
        <f>IF($A9="",0,IF(Mitarbeiter!$G$7=FALSE,0,IF(AND(Mitarbeiter!$E$7&lt;&gt;"",DM$5+6&lt;Mitarbeiter!$E$7),0,IF(AND(Mitarbeiter!$F$7&lt;&gt;"",DM$5&gt;Mitarbeiter!$F$7),0,IF(Planung!DM9="",$C9,IF(ISNUMBER(Planung!DM9),Planung!DM9,IF(UPPER(Planung!DM9)="H",$C9/2,0)))))))</f>
        <v>0</v>
      </c>
      <c r="DN9" s="27">
        <f>IF($A9="",0,IF(Mitarbeiter!$G$7=FALSE,0,IF(AND(Mitarbeiter!$E$7&lt;&gt;"",DN$5+6&lt;Mitarbeiter!$E$7),0,IF(AND(Mitarbeiter!$F$7&lt;&gt;"",DN$5&gt;Mitarbeiter!$F$7),0,IF(Planung!DN9="",$C9,IF(ISNUMBER(Planung!DN9),Planung!DN9,IF(UPPER(Planung!DN9)="H",$C9/2,0)))))))</f>
        <v>0</v>
      </c>
      <c r="DO9" s="27">
        <f>IF($A9="",0,IF(Mitarbeiter!$G$7=FALSE,0,IF(AND(Mitarbeiter!$E$7&lt;&gt;"",DO$5+6&lt;Mitarbeiter!$E$7),0,IF(AND(Mitarbeiter!$F$7&lt;&gt;"",DO$5&gt;Mitarbeiter!$F$7),0,IF(Planung!DO9="",$C9,IF(ISNUMBER(Planung!DO9),Planung!DO9,IF(UPPER(Planung!DO9)="H",$C9/2,0)))))))</f>
        <v>0</v>
      </c>
      <c r="DP9" s="27">
        <f>IF($A9="",0,IF(Mitarbeiter!$G$7=FALSE,0,IF(AND(Mitarbeiter!$E$7&lt;&gt;"",DP$5+6&lt;Mitarbeiter!$E$7),0,IF(AND(Mitarbeiter!$F$7&lt;&gt;"",DP$5&gt;Mitarbeiter!$F$7),0,IF(Planung!DP9="",$C9,IF(ISNUMBER(Planung!DP9),Planung!DP9,IF(UPPER(Planung!DP9)="H",$C9/2,0)))))))</f>
        <v>0</v>
      </c>
      <c r="DQ9" s="27">
        <f>IF($A9="",0,IF(Mitarbeiter!$G$7=FALSE,0,IF(AND(Mitarbeiter!$E$7&lt;&gt;"",DQ$5+6&lt;Mitarbeiter!$E$7),0,IF(AND(Mitarbeiter!$F$7&lt;&gt;"",DQ$5&gt;Mitarbeiter!$F$7),0,IF(Planung!DQ9="",$C9,IF(ISNUMBER(Planung!DQ9),Planung!DQ9,IF(UPPER(Planung!DQ9)="H",$C9/2,0)))))))</f>
        <v>0</v>
      </c>
      <c r="DR9" s="27">
        <f>IF($A9="",0,IF(Mitarbeiter!$G$7=FALSE,0,IF(AND(Mitarbeiter!$E$7&lt;&gt;"",DR$5+6&lt;Mitarbeiter!$E$7),0,IF(AND(Mitarbeiter!$F$7&lt;&gt;"",DR$5&gt;Mitarbeiter!$F$7),0,IF(Planung!DR9="",$C9,IF(ISNUMBER(Planung!DR9),Planung!DR9,IF(UPPER(Planung!DR9)="H",$C9/2,0)))))))</f>
        <v>0</v>
      </c>
      <c r="DS9" s="27">
        <f>IF($A9="",0,IF(Mitarbeiter!$G$7=FALSE,0,IF(AND(Mitarbeiter!$E$7&lt;&gt;"",DS$5+6&lt;Mitarbeiter!$E$7),0,IF(AND(Mitarbeiter!$F$7&lt;&gt;"",DS$5&gt;Mitarbeiter!$F$7),0,IF(Planung!DS9="",$C9,IF(ISNUMBER(Planung!DS9),Planung!DS9,IF(UPPER(Planung!DS9)="H",$C9/2,0)))))))</f>
        <v>0</v>
      </c>
      <c r="DT9" s="27">
        <f>IF($A9="",0,IF(Mitarbeiter!$G$7=FALSE,0,IF(AND(Mitarbeiter!$E$7&lt;&gt;"",DT$5+6&lt;Mitarbeiter!$E$7),0,IF(AND(Mitarbeiter!$F$7&lt;&gt;"",DT$5&gt;Mitarbeiter!$F$7),0,IF(Planung!DT9="",$C9,IF(ISNUMBER(Planung!DT9),Planung!DT9,IF(UPPER(Planung!DT9)="H",$C9/2,0)))))))</f>
        <v>0</v>
      </c>
      <c r="DU9" s="27">
        <f>IF($A9="",0,IF(Mitarbeiter!$G$7=FALSE,0,IF(AND(Mitarbeiter!$E$7&lt;&gt;"",DU$5+6&lt;Mitarbeiter!$E$7),0,IF(AND(Mitarbeiter!$F$7&lt;&gt;"",DU$5&gt;Mitarbeiter!$F$7),0,IF(Planung!DU9="",$C9,IF(ISNUMBER(Planung!DU9),Planung!DU9,IF(UPPER(Planung!DU9)="H",$C9/2,0)))))))</f>
        <v>0</v>
      </c>
      <c r="DV9" s="27">
        <f>IF($A9="",0,IF(Mitarbeiter!$G$7=FALSE,0,IF(AND(Mitarbeiter!$E$7&lt;&gt;"",DV$5+6&lt;Mitarbeiter!$E$7),0,IF(AND(Mitarbeiter!$F$7&lt;&gt;"",DV$5&gt;Mitarbeiter!$F$7),0,IF(Planung!DV9="",$C9,IF(ISNUMBER(Planung!DV9),Planung!DV9,IF(UPPER(Planung!DV9)="H",$C9/2,0)))))))</f>
        <v>0</v>
      </c>
      <c r="DW9" s="27">
        <f>IF($A9="",0,IF(Mitarbeiter!$G$7=FALSE,0,IF(AND(Mitarbeiter!$E$7&lt;&gt;"",DW$5+6&lt;Mitarbeiter!$E$7),0,IF(AND(Mitarbeiter!$F$7&lt;&gt;"",DW$5&gt;Mitarbeiter!$F$7),0,IF(Planung!DW9="",$C9,IF(ISNUMBER(Planung!DW9),Planung!DW9,IF(UPPER(Planung!DW9)="H",$C9/2,0)))))))</f>
        <v>0</v>
      </c>
      <c r="DX9" s="27">
        <f>IF($A9="",0,IF(Mitarbeiter!$G$7=FALSE,0,IF(AND(Mitarbeiter!$E$7&lt;&gt;"",DX$5+6&lt;Mitarbeiter!$E$7),0,IF(AND(Mitarbeiter!$F$7&lt;&gt;"",DX$5&gt;Mitarbeiter!$F$7),0,IF(Planung!DX9="",$C9,IF(ISNUMBER(Planung!DX9),Planung!DX9,IF(UPPER(Planung!DX9)="H",$C9/2,0)))))))</f>
        <v>0</v>
      </c>
      <c r="DY9" s="27">
        <f>IF($A9="",0,IF(Mitarbeiter!$G$7=FALSE,0,IF(AND(Mitarbeiter!$E$7&lt;&gt;"",DY$5+6&lt;Mitarbeiter!$E$7),0,IF(AND(Mitarbeiter!$F$7&lt;&gt;"",DY$5&gt;Mitarbeiter!$F$7),0,IF(Planung!DY9="",$C9,IF(ISNUMBER(Planung!DY9),Planung!DY9,IF(UPPER(Planung!DY9)="H",$C9/2,0)))))))</f>
        <v>0</v>
      </c>
      <c r="DZ9" s="27">
        <f>IF($A9="",0,IF(Mitarbeiter!$G$7=FALSE,0,IF(AND(Mitarbeiter!$E$7&lt;&gt;"",DZ$5+6&lt;Mitarbeiter!$E$7),0,IF(AND(Mitarbeiter!$F$7&lt;&gt;"",DZ$5&gt;Mitarbeiter!$F$7),0,IF(Planung!DZ9="",$C9,IF(ISNUMBER(Planung!DZ9),Planung!DZ9,IF(UPPER(Planung!DZ9)="H",$C9/2,0)))))))</f>
        <v>0</v>
      </c>
      <c r="EA9" s="27">
        <f>IF($A9="",0,IF(Mitarbeiter!$G$7=FALSE,0,IF(AND(Mitarbeiter!$E$7&lt;&gt;"",EA$5+6&lt;Mitarbeiter!$E$7),0,IF(AND(Mitarbeiter!$F$7&lt;&gt;"",EA$5&gt;Mitarbeiter!$F$7),0,IF(Planung!EA9="",$C9,IF(ISNUMBER(Planung!EA9),Planung!EA9,IF(UPPER(Planung!EA9)="H",$C9/2,0)))))))</f>
        <v>0</v>
      </c>
      <c r="EB9" s="27">
        <f>IF($A9="",0,IF(Mitarbeiter!$G$7=FALSE,0,IF(AND(Mitarbeiter!$E$7&lt;&gt;"",EB$5+6&lt;Mitarbeiter!$E$7),0,IF(AND(Mitarbeiter!$F$7&lt;&gt;"",EB$5&gt;Mitarbeiter!$F$7),0,IF(Planung!EB9="",$C9,IF(ISNUMBER(Planung!EB9),Planung!EB9,IF(UPPER(Planung!EB9)="H",$C9/2,0)))))))</f>
        <v>0</v>
      </c>
      <c r="EC9" s="27">
        <f>IF($A9="",0,IF(Mitarbeiter!$G$7=FALSE,0,IF(AND(Mitarbeiter!$E$7&lt;&gt;"",EC$5+6&lt;Mitarbeiter!$E$7),0,IF(AND(Mitarbeiter!$F$7&lt;&gt;"",EC$5&gt;Mitarbeiter!$F$7),0,IF(Planung!EC9="",$C9,IF(ISNUMBER(Planung!EC9),Planung!EC9,IF(UPPER(Planung!EC9)="H",$C9/2,0)))))))</f>
        <v>0</v>
      </c>
      <c r="ED9" s="27">
        <f>IF($A9="",0,IF(Mitarbeiter!$G$7=FALSE,0,IF(AND(Mitarbeiter!$E$7&lt;&gt;"",ED$5+6&lt;Mitarbeiter!$E$7),0,IF(AND(Mitarbeiter!$F$7&lt;&gt;"",ED$5&gt;Mitarbeiter!$F$7),0,IF(Planung!ED9="",$C9,IF(ISNUMBER(Planung!ED9),Planung!ED9,IF(UPPER(Planung!ED9)="H",$C9/2,0)))))))</f>
        <v>0</v>
      </c>
      <c r="EE9" s="27">
        <f>IF($A9="",0,IF(Mitarbeiter!$G$7=FALSE,0,IF(AND(Mitarbeiter!$E$7&lt;&gt;"",EE$5+6&lt;Mitarbeiter!$E$7),0,IF(AND(Mitarbeiter!$F$7&lt;&gt;"",EE$5&gt;Mitarbeiter!$F$7),0,IF(Planung!EE9="",$C9,IF(ISNUMBER(Planung!EE9),Planung!EE9,IF(UPPER(Planung!EE9)="H",$C9/2,0)))))))</f>
        <v>0</v>
      </c>
      <c r="EF9" s="27">
        <f>IF($A9="",0,IF(Mitarbeiter!$G$7=FALSE,0,IF(AND(Mitarbeiter!$E$7&lt;&gt;"",EF$5+6&lt;Mitarbeiter!$E$7),0,IF(AND(Mitarbeiter!$F$7&lt;&gt;"",EF$5&gt;Mitarbeiter!$F$7),0,IF(Planung!EF9="",$C9,IF(ISNUMBER(Planung!EF9),Planung!EF9,IF(UPPER(Planung!EF9)="H",$C9/2,0)))))))</f>
        <v>0</v>
      </c>
      <c r="EG9" s="27">
        <f>IF($A9="",0,IF(Mitarbeiter!$G$7=FALSE,0,IF(AND(Mitarbeiter!$E$7&lt;&gt;"",EG$5+6&lt;Mitarbeiter!$E$7),0,IF(AND(Mitarbeiter!$F$7&lt;&gt;"",EG$5&gt;Mitarbeiter!$F$7),0,IF(Planung!EG9="",$C9,IF(ISNUMBER(Planung!EG9),Planung!EG9,IF(UPPER(Planung!EG9)="H",$C9/2,0)))))))</f>
        <v>0</v>
      </c>
      <c r="EH9" s="27">
        <f>IF($A9="",0,IF(Mitarbeiter!$G$7=FALSE,0,IF(AND(Mitarbeiter!$E$7&lt;&gt;"",EH$5+6&lt;Mitarbeiter!$E$7),0,IF(AND(Mitarbeiter!$F$7&lt;&gt;"",EH$5&gt;Mitarbeiter!$F$7),0,IF(Planung!EH9="",$C9,IF(ISNUMBER(Planung!EH9),Planung!EH9,IF(UPPER(Planung!EH9)="H",$C9/2,0)))))))</f>
        <v>0</v>
      </c>
      <c r="EI9" s="27">
        <f>IF($A9="",0,IF(Mitarbeiter!$G$7=FALSE,0,IF(AND(Mitarbeiter!$E$7&lt;&gt;"",EI$5+6&lt;Mitarbeiter!$E$7),0,IF(AND(Mitarbeiter!$F$7&lt;&gt;"",EI$5&gt;Mitarbeiter!$F$7),0,IF(Planung!EI9="",$C9,IF(ISNUMBER(Planung!EI9),Planung!EI9,IF(UPPER(Planung!EI9)="H",$C9/2,0)))))))</f>
        <v>0</v>
      </c>
      <c r="EJ9" s="27">
        <f>IF($A9="",0,IF(Mitarbeiter!$G$7=FALSE,0,IF(AND(Mitarbeiter!$E$7&lt;&gt;"",EJ$5+6&lt;Mitarbeiter!$E$7),0,IF(AND(Mitarbeiter!$F$7&lt;&gt;"",EJ$5&gt;Mitarbeiter!$F$7),0,IF(Planung!EJ9="",$C9,IF(ISNUMBER(Planung!EJ9),Planung!EJ9,IF(UPPER(Planung!EJ9)="H",$C9/2,0)))))))</f>
        <v>0</v>
      </c>
      <c r="EK9" s="27">
        <f>IF($A9="",0,IF(Mitarbeiter!$G$7=FALSE,0,IF(AND(Mitarbeiter!$E$7&lt;&gt;"",EK$5+6&lt;Mitarbeiter!$E$7),0,IF(AND(Mitarbeiter!$F$7&lt;&gt;"",EK$5&gt;Mitarbeiter!$F$7),0,IF(Planung!EK9="",$C9,IF(ISNUMBER(Planung!EK9),Planung!EK9,IF(UPPER(Planung!EK9)="H",$C9/2,0)))))))</f>
        <v>0</v>
      </c>
      <c r="EL9" s="27">
        <f>IF($A9="",0,IF(Mitarbeiter!$G$7=FALSE,0,IF(AND(Mitarbeiter!$E$7&lt;&gt;"",EL$5+6&lt;Mitarbeiter!$E$7),0,IF(AND(Mitarbeiter!$F$7&lt;&gt;"",EL$5&gt;Mitarbeiter!$F$7),0,IF(Planung!EL9="",$C9,IF(ISNUMBER(Planung!EL9),Planung!EL9,IF(UPPER(Planung!EL9)="H",$C9/2,0)))))))</f>
        <v>0</v>
      </c>
      <c r="EM9" s="27">
        <f>IF($A9="",0,IF(Mitarbeiter!$G$7=FALSE,0,IF(AND(Mitarbeiter!$E$7&lt;&gt;"",EM$5+6&lt;Mitarbeiter!$E$7),0,IF(AND(Mitarbeiter!$F$7&lt;&gt;"",EM$5&gt;Mitarbeiter!$F$7),0,IF(Planung!EM9="",$C9,IF(ISNUMBER(Planung!EM9),Planung!EM9,IF(UPPER(Planung!EM9)="H",$C9/2,0)))))))</f>
        <v>0</v>
      </c>
      <c r="EN9" s="27">
        <f>IF($A9="",0,IF(Mitarbeiter!$G$7=FALSE,0,IF(AND(Mitarbeiter!$E$7&lt;&gt;"",EN$5+6&lt;Mitarbeiter!$E$7),0,IF(AND(Mitarbeiter!$F$7&lt;&gt;"",EN$5&gt;Mitarbeiter!$F$7),0,IF(Planung!EN9="",$C9,IF(ISNUMBER(Planung!EN9),Planung!EN9,IF(UPPER(Planung!EN9)="H",$C9/2,0)))))))</f>
        <v>0</v>
      </c>
      <c r="EO9" s="27">
        <f>IF($A9="",0,IF(Mitarbeiter!$G$7=FALSE,0,IF(AND(Mitarbeiter!$E$7&lt;&gt;"",EO$5+6&lt;Mitarbeiter!$E$7),0,IF(AND(Mitarbeiter!$F$7&lt;&gt;"",EO$5&gt;Mitarbeiter!$F$7),0,IF(Planung!EO9="",$C9,IF(ISNUMBER(Planung!EO9),Planung!EO9,IF(UPPER(Planung!EO9)="H",$C9/2,0)))))))</f>
        <v>0</v>
      </c>
      <c r="EP9" s="27">
        <f>IF($A9="",0,IF(Mitarbeiter!$G$7=FALSE,0,IF(AND(Mitarbeiter!$E$7&lt;&gt;"",EP$5+6&lt;Mitarbeiter!$E$7),0,IF(AND(Mitarbeiter!$F$7&lt;&gt;"",EP$5&gt;Mitarbeiter!$F$7),0,IF(Planung!EP9="",$C9,IF(ISNUMBER(Planung!EP9),Planung!EP9,IF(UPPER(Planung!EP9)="H",$C9/2,0)))))))</f>
        <v>0</v>
      </c>
      <c r="EQ9" s="27">
        <f>IF($A9="",0,IF(Mitarbeiter!$G$7=FALSE,0,IF(AND(Mitarbeiter!$E$7&lt;&gt;"",EQ$5+6&lt;Mitarbeiter!$E$7),0,IF(AND(Mitarbeiter!$F$7&lt;&gt;"",EQ$5&gt;Mitarbeiter!$F$7),0,IF(Planung!EQ9="",$C9,IF(ISNUMBER(Planung!EQ9),Planung!EQ9,IF(UPPER(Planung!EQ9)="H",$C9/2,0)))))))</f>
        <v>0</v>
      </c>
      <c r="ER9" s="27">
        <f>IF($A9="",0,IF(Mitarbeiter!$G$7=FALSE,0,IF(AND(Mitarbeiter!$E$7&lt;&gt;"",ER$5+6&lt;Mitarbeiter!$E$7),0,IF(AND(Mitarbeiter!$F$7&lt;&gt;"",ER$5&gt;Mitarbeiter!$F$7),0,IF(Planung!ER9="",$C9,IF(ISNUMBER(Planung!ER9),Planung!ER9,IF(UPPER(Planung!ER9)="H",$C9/2,0)))))))</f>
        <v>0</v>
      </c>
      <c r="ES9" s="27">
        <f>IF($A9="",0,IF(Mitarbeiter!$G$7=FALSE,0,IF(AND(Mitarbeiter!$E$7&lt;&gt;"",ES$5+6&lt;Mitarbeiter!$E$7),0,IF(AND(Mitarbeiter!$F$7&lt;&gt;"",ES$5&gt;Mitarbeiter!$F$7),0,IF(Planung!ES9="",$C9,IF(ISNUMBER(Planung!ES9),Planung!ES9,IF(UPPER(Planung!ES9)="H",$C9/2,0)))))))</f>
        <v>0</v>
      </c>
      <c r="ET9" s="27">
        <f>IF($A9="",0,IF(Mitarbeiter!$G$7=FALSE,0,IF(AND(Mitarbeiter!$E$7&lt;&gt;"",ET$5+6&lt;Mitarbeiter!$E$7),0,IF(AND(Mitarbeiter!$F$7&lt;&gt;"",ET$5&gt;Mitarbeiter!$F$7),0,IF(Planung!ET9="",$C9,IF(ISNUMBER(Planung!ET9),Planung!ET9,IF(UPPER(Planung!ET9)="H",$C9/2,0)))))))</f>
        <v>0</v>
      </c>
      <c r="EU9" s="27">
        <f>IF($A9="",0,IF(Mitarbeiter!$G$7=FALSE,0,IF(AND(Mitarbeiter!$E$7&lt;&gt;"",EU$5+6&lt;Mitarbeiter!$E$7),0,IF(AND(Mitarbeiter!$F$7&lt;&gt;"",EU$5&gt;Mitarbeiter!$F$7),0,IF(Planung!EU9="",$C9,IF(ISNUMBER(Planung!EU9),Planung!EU9,IF(UPPER(Planung!EU9)="H",$C9/2,0)))))))</f>
        <v>0</v>
      </c>
      <c r="EV9" s="27">
        <f>IF($A9="",0,IF(Mitarbeiter!$G$7=FALSE,0,IF(AND(Mitarbeiter!$E$7&lt;&gt;"",EV$5+6&lt;Mitarbeiter!$E$7),0,IF(AND(Mitarbeiter!$F$7&lt;&gt;"",EV$5&gt;Mitarbeiter!$F$7),0,IF(Planung!EV9="",$C9,IF(ISNUMBER(Planung!EV9),Planung!EV9,IF(UPPER(Planung!EV9)="H",$C9/2,0)))))))</f>
        <v>0</v>
      </c>
      <c r="EW9" s="27">
        <f>IF($A9="",0,IF(Mitarbeiter!$G$7=FALSE,0,IF(AND(Mitarbeiter!$E$7&lt;&gt;"",EW$5+6&lt;Mitarbeiter!$E$7),0,IF(AND(Mitarbeiter!$F$7&lt;&gt;"",EW$5&gt;Mitarbeiter!$F$7),0,IF(Planung!EW9="",$C9,IF(ISNUMBER(Planung!EW9),Planung!EW9,IF(UPPER(Planung!EW9)="H",$C9/2,0)))))))</f>
        <v>0</v>
      </c>
      <c r="EX9" s="27">
        <f>IF($A9="",0,IF(Mitarbeiter!$G$7=FALSE,0,IF(AND(Mitarbeiter!$E$7&lt;&gt;"",EX$5+6&lt;Mitarbeiter!$E$7),0,IF(AND(Mitarbeiter!$F$7&lt;&gt;"",EX$5&gt;Mitarbeiter!$F$7),0,IF(Planung!EX9="",$C9,IF(ISNUMBER(Planung!EX9),Planung!EX9,IF(UPPER(Planung!EX9)="H",$C9/2,0)))))))</f>
        <v>0</v>
      </c>
      <c r="EY9" s="27">
        <f>IF($A9="",0,IF(Mitarbeiter!$G$7=FALSE,0,IF(AND(Mitarbeiter!$E$7&lt;&gt;"",EY$5+6&lt;Mitarbeiter!$E$7),0,IF(AND(Mitarbeiter!$F$7&lt;&gt;"",EY$5&gt;Mitarbeiter!$F$7),0,IF(Planung!EY9="",$C9,IF(ISNUMBER(Planung!EY9),Planung!EY9,IF(UPPER(Planung!EY9)="H",$C9/2,0)))))))</f>
        <v>0</v>
      </c>
      <c r="EZ9" s="27">
        <f>IF($A9="",0,IF(Mitarbeiter!$G$7=FALSE,0,IF(AND(Mitarbeiter!$E$7&lt;&gt;"",EZ$5+6&lt;Mitarbeiter!$E$7),0,IF(AND(Mitarbeiter!$F$7&lt;&gt;"",EZ$5&gt;Mitarbeiter!$F$7),0,IF(Planung!EZ9="",$C9,IF(ISNUMBER(Planung!EZ9),Planung!EZ9,IF(UPPER(Planung!EZ9)="H",$C9/2,0)))))))</f>
        <v>0</v>
      </c>
      <c r="FA9" s="27">
        <f>IF($A9="",0,IF(Mitarbeiter!$G$7=FALSE,0,IF(AND(Mitarbeiter!$E$7&lt;&gt;"",FA$5+6&lt;Mitarbeiter!$E$7),0,IF(AND(Mitarbeiter!$F$7&lt;&gt;"",FA$5&gt;Mitarbeiter!$F$7),0,IF(Planung!FA9="",$C9,IF(ISNUMBER(Planung!FA9),Planung!FA9,IF(UPPER(Planung!FA9)="H",$C9/2,0)))))))</f>
        <v>0</v>
      </c>
      <c r="FB9" s="27">
        <f>IF($A9="",0,IF(Mitarbeiter!$G$7=FALSE,0,IF(AND(Mitarbeiter!$E$7&lt;&gt;"",FB$5+6&lt;Mitarbeiter!$E$7),0,IF(AND(Mitarbeiter!$F$7&lt;&gt;"",FB$5&gt;Mitarbeiter!$F$7),0,IF(Planung!FB9="",$C9,IF(ISNUMBER(Planung!FB9),Planung!FB9,IF(UPPER(Planung!FB9)="H",$C9/2,0)))))))</f>
        <v>0</v>
      </c>
      <c r="FC9" s="27">
        <f>IF($A9="",0,IF(Mitarbeiter!$G$7=FALSE,0,IF(AND(Mitarbeiter!$E$7&lt;&gt;"",FC$5+6&lt;Mitarbeiter!$E$7),0,IF(AND(Mitarbeiter!$F$7&lt;&gt;"",FC$5&gt;Mitarbeiter!$F$7),0,IF(Planung!FC9="",$C9,IF(ISNUMBER(Planung!FC9),Planung!FC9,IF(UPPER(Planung!FC9)="H",$C9/2,0)))))))</f>
        <v>0</v>
      </c>
      <c r="FD9" s="27">
        <f>IF($A9="",0,IF(Mitarbeiter!$G$7=FALSE,0,IF(AND(Mitarbeiter!$E$7&lt;&gt;"",FD$5+6&lt;Mitarbeiter!$E$7),0,IF(AND(Mitarbeiter!$F$7&lt;&gt;"",FD$5&gt;Mitarbeiter!$F$7),0,IF(Planung!FD9="",$C9,IF(ISNUMBER(Planung!FD9),Planung!FD9,IF(UPPER(Planung!FD9)="H",$C9/2,0)))))))</f>
        <v>0</v>
      </c>
      <c r="FE9" s="27">
        <f>IF($A9="",0,IF(Mitarbeiter!$G$7=FALSE,0,IF(AND(Mitarbeiter!$E$7&lt;&gt;"",FE$5+6&lt;Mitarbeiter!$E$7),0,IF(AND(Mitarbeiter!$F$7&lt;&gt;"",FE$5&gt;Mitarbeiter!$F$7),0,IF(Planung!FE9="",$C9,IF(ISNUMBER(Planung!FE9),Planung!FE9,IF(UPPER(Planung!FE9)="H",$C9/2,0)))))))</f>
        <v>0</v>
      </c>
      <c r="FF9" s="27">
        <f>IF($A9="",0,IF(Mitarbeiter!$G$7=FALSE,0,IF(AND(Mitarbeiter!$E$7&lt;&gt;"",FF$5+6&lt;Mitarbeiter!$E$7),0,IF(AND(Mitarbeiter!$F$7&lt;&gt;"",FF$5&gt;Mitarbeiter!$F$7),0,IF(Planung!FF9="",$C9,IF(ISNUMBER(Planung!FF9),Planung!FF9,IF(UPPER(Planung!FF9)="H",$C9/2,0)))))))</f>
        <v>0</v>
      </c>
      <c r="FG9" s="27">
        <f>IF($A9="",0,IF(Mitarbeiter!$G$7=FALSE,0,IF(AND(Mitarbeiter!$E$7&lt;&gt;"",FG$5+6&lt;Mitarbeiter!$E$7),0,IF(AND(Mitarbeiter!$F$7&lt;&gt;"",FG$5&gt;Mitarbeiter!$F$7),0,IF(Planung!FG9="",$C9,IF(ISNUMBER(Planung!FG9),Planung!FG9,IF(UPPER(Planung!FG9)="H",$C9/2,0)))))))</f>
        <v>0</v>
      </c>
      <c r="FH9" s="27">
        <f>IF($A9="",0,IF(Mitarbeiter!$G$7=FALSE,0,IF(AND(Mitarbeiter!$E$7&lt;&gt;"",FH$5+6&lt;Mitarbeiter!$E$7),0,IF(AND(Mitarbeiter!$F$7&lt;&gt;"",FH$5&gt;Mitarbeiter!$F$7),0,IF(Planung!FH9="",$C9,IF(ISNUMBER(Planung!FH9),Planung!FH9,IF(UPPER(Planung!FH9)="H",$C9/2,0)))))))</f>
        <v>0</v>
      </c>
      <c r="FI9" s="27">
        <f>IF($A9="",0,IF(Mitarbeiter!$G$7=FALSE,0,IF(AND(Mitarbeiter!$E$7&lt;&gt;"",FI$5+6&lt;Mitarbeiter!$E$7),0,IF(AND(Mitarbeiter!$F$7&lt;&gt;"",FI$5&gt;Mitarbeiter!$F$7),0,IF(Planung!FI9="",$C9,IF(ISNUMBER(Planung!FI9),Planung!FI9,IF(UPPER(Planung!FI9)="H",$C9/2,0)))))))</f>
        <v>0</v>
      </c>
      <c r="FJ9" s="27">
        <f>IF($A9="",0,IF(Mitarbeiter!$G$7=FALSE,0,IF(AND(Mitarbeiter!$E$7&lt;&gt;"",FJ$5+6&lt;Mitarbeiter!$E$7),0,IF(AND(Mitarbeiter!$F$7&lt;&gt;"",FJ$5&gt;Mitarbeiter!$F$7),0,IF(Planung!FJ9="",$C9,IF(ISNUMBER(Planung!FJ9),Planung!FJ9,IF(UPPER(Planung!FJ9)="H",$C9/2,0)))))))</f>
        <v>0</v>
      </c>
      <c r="FK9" s="27">
        <f>IF($A9="",0,IF(Mitarbeiter!$G$7=FALSE,0,IF(AND(Mitarbeiter!$E$7&lt;&gt;"",FK$5+6&lt;Mitarbeiter!$E$7),0,IF(AND(Mitarbeiter!$F$7&lt;&gt;"",FK$5&gt;Mitarbeiter!$F$7),0,IF(Planung!FK9="",$C9,IF(ISNUMBER(Planung!FK9),Planung!FK9,IF(UPPER(Planung!FK9)="H",$C9/2,0)))))))</f>
        <v>0</v>
      </c>
      <c r="FL9" s="27">
        <f>IF($A9="",0,IF(Mitarbeiter!$G$7=FALSE,0,IF(AND(Mitarbeiter!$E$7&lt;&gt;"",FL$5+6&lt;Mitarbeiter!$E$7),0,IF(AND(Mitarbeiter!$F$7&lt;&gt;"",FL$5&gt;Mitarbeiter!$F$7),0,IF(Planung!FL9="",$C9,IF(ISNUMBER(Planung!FL9),Planung!FL9,IF(UPPER(Planung!FL9)="H",$C9/2,0)))))))</f>
        <v>0</v>
      </c>
      <c r="FM9" s="27">
        <f>IF($A9="",0,IF(Mitarbeiter!$G$7=FALSE,0,IF(AND(Mitarbeiter!$E$7&lt;&gt;"",FM$5+6&lt;Mitarbeiter!$E$7),0,IF(AND(Mitarbeiter!$F$7&lt;&gt;"",FM$5&gt;Mitarbeiter!$F$7),0,IF(Planung!FM9="",$C9,IF(ISNUMBER(Planung!FM9),Planung!FM9,IF(UPPER(Planung!FM9)="H",$C9/2,0)))))))</f>
        <v>0</v>
      </c>
      <c r="FN9" s="27">
        <f>IF($A9="",0,IF(Mitarbeiter!$G$7=FALSE,0,IF(AND(Mitarbeiter!$E$7&lt;&gt;"",FN$5+6&lt;Mitarbeiter!$E$7),0,IF(AND(Mitarbeiter!$F$7&lt;&gt;"",FN$5&gt;Mitarbeiter!$F$7),0,IF(Planung!FN9="",$C9,IF(ISNUMBER(Planung!FN9),Planung!FN9,IF(UPPER(Planung!FN9)="H",$C9/2,0)))))))</f>
        <v>0</v>
      </c>
      <c r="FO9" s="27">
        <f>IF($A9="",0,IF(Mitarbeiter!$G$7=FALSE,0,IF(AND(Mitarbeiter!$E$7&lt;&gt;"",FO$5+6&lt;Mitarbeiter!$E$7),0,IF(AND(Mitarbeiter!$F$7&lt;&gt;"",FO$5&gt;Mitarbeiter!$F$7),0,IF(Planung!FO9="",$C9,IF(ISNUMBER(Planung!FO9),Planung!FO9,IF(UPPER(Planung!FO9)="H",$C9/2,0)))))))</f>
        <v>0</v>
      </c>
      <c r="FP9" s="27">
        <f>IF($A9="",0,IF(Mitarbeiter!$G$7=FALSE,0,IF(AND(Mitarbeiter!$E$7&lt;&gt;"",FP$5+6&lt;Mitarbeiter!$E$7),0,IF(AND(Mitarbeiter!$F$7&lt;&gt;"",FP$5&gt;Mitarbeiter!$F$7),0,IF(Planung!FP9="",$C9,IF(ISNUMBER(Planung!FP9),Planung!FP9,IF(UPPER(Planung!FP9)="H",$C9/2,0)))))))</f>
        <v>0</v>
      </c>
      <c r="FQ9" s="27">
        <f>IF($A9="",0,IF(Mitarbeiter!$G$7=FALSE,0,IF(AND(Mitarbeiter!$E$7&lt;&gt;"",FQ$5+6&lt;Mitarbeiter!$E$7),0,IF(AND(Mitarbeiter!$F$7&lt;&gt;"",FQ$5&gt;Mitarbeiter!$F$7),0,IF(Planung!FQ9="",$C9,IF(ISNUMBER(Planung!FQ9),Planung!FQ9,IF(UPPER(Planung!FQ9)="H",$C9/2,0)))))))</f>
        <v>0</v>
      </c>
      <c r="FR9" s="27">
        <f>IF($A9="",0,IF(Mitarbeiter!$G$7=FALSE,0,IF(AND(Mitarbeiter!$E$7&lt;&gt;"",FR$5+6&lt;Mitarbeiter!$E$7),0,IF(AND(Mitarbeiter!$F$7&lt;&gt;"",FR$5&gt;Mitarbeiter!$F$7),0,IF(Planung!FR9="",$C9,IF(ISNUMBER(Planung!FR9),Planung!FR9,IF(UPPER(Planung!FR9)="H",$C9/2,0)))))))</f>
        <v>0</v>
      </c>
      <c r="FS9" s="27">
        <f>IF($A9="",0,IF(Mitarbeiter!$G$7=FALSE,0,IF(AND(Mitarbeiter!$E$7&lt;&gt;"",FS$5+6&lt;Mitarbeiter!$E$7),0,IF(AND(Mitarbeiter!$F$7&lt;&gt;"",FS$5&gt;Mitarbeiter!$F$7),0,IF(Planung!FS9="",$C9,IF(ISNUMBER(Planung!FS9),Planung!FS9,IF(UPPER(Planung!FS9)="H",$C9/2,0)))))))</f>
        <v>0</v>
      </c>
      <c r="FT9" s="27">
        <f>IF($A9="",0,IF(Mitarbeiter!$G$7=FALSE,0,IF(AND(Mitarbeiter!$E$7&lt;&gt;"",FT$5+6&lt;Mitarbeiter!$E$7),0,IF(AND(Mitarbeiter!$F$7&lt;&gt;"",FT$5&gt;Mitarbeiter!$F$7),0,IF(Planung!FT9="",$C9,IF(ISNUMBER(Planung!FT9),Planung!FT9,IF(UPPER(Planung!FT9)="H",$C9/2,0)))))))</f>
        <v>0</v>
      </c>
      <c r="FU9" s="27">
        <f>IF($A9="",0,IF(Mitarbeiter!$G$7=FALSE,0,IF(AND(Mitarbeiter!$E$7&lt;&gt;"",FU$5+6&lt;Mitarbeiter!$E$7),0,IF(AND(Mitarbeiter!$F$7&lt;&gt;"",FU$5&gt;Mitarbeiter!$F$7),0,IF(Planung!FU9="",$C9,IF(ISNUMBER(Planung!FU9),Planung!FU9,IF(UPPER(Planung!FU9)="H",$C9/2,0)))))))</f>
        <v>0</v>
      </c>
      <c r="FV9" s="27">
        <f>IF($A9="",0,IF(Mitarbeiter!$G$7=FALSE,0,IF(AND(Mitarbeiter!$E$7&lt;&gt;"",FV$5+6&lt;Mitarbeiter!$E$7),0,IF(AND(Mitarbeiter!$F$7&lt;&gt;"",FV$5&gt;Mitarbeiter!$F$7),0,IF(Planung!FV9="",$C9,IF(ISNUMBER(Planung!FV9),Planung!FV9,IF(UPPER(Planung!FV9)="H",$C9/2,0)))))))</f>
        <v>0</v>
      </c>
      <c r="FW9" s="27">
        <f>IF($A9="",0,IF(Mitarbeiter!$G$7=FALSE,0,IF(AND(Mitarbeiter!$E$7&lt;&gt;"",FW$5+6&lt;Mitarbeiter!$E$7),0,IF(AND(Mitarbeiter!$F$7&lt;&gt;"",FW$5&gt;Mitarbeiter!$F$7),0,IF(Planung!FW9="",$C9,IF(ISNUMBER(Planung!FW9),Planung!FW9,IF(UPPER(Planung!FW9)="H",$C9/2,0)))))))</f>
        <v>0</v>
      </c>
      <c r="FX9" s="27">
        <f>IF($A9="",0,IF(Mitarbeiter!$G$7=FALSE,0,IF(AND(Mitarbeiter!$E$7&lt;&gt;"",FX$5+6&lt;Mitarbeiter!$E$7),0,IF(AND(Mitarbeiter!$F$7&lt;&gt;"",FX$5&gt;Mitarbeiter!$F$7),0,IF(Planung!FX9="",$C9,IF(ISNUMBER(Planung!FX9),Planung!FX9,IF(UPPER(Planung!FX9)="H",$C9/2,0)))))))</f>
        <v>0</v>
      </c>
      <c r="FY9" s="27">
        <f>IF($A9="",0,IF(Mitarbeiter!$G$7=FALSE,0,IF(AND(Mitarbeiter!$E$7&lt;&gt;"",FY$5+6&lt;Mitarbeiter!$E$7),0,IF(AND(Mitarbeiter!$F$7&lt;&gt;"",FY$5&gt;Mitarbeiter!$F$7),0,IF(Planung!FY9="",$C9,IF(ISNUMBER(Planung!FY9),Planung!FY9,IF(UPPER(Planung!FY9)="H",$C9/2,0)))))))</f>
        <v>0</v>
      </c>
      <c r="FZ9" s="27">
        <f>IF($A9="",0,IF(Mitarbeiter!$G$7=FALSE,0,IF(AND(Mitarbeiter!$E$7&lt;&gt;"",FZ$5+6&lt;Mitarbeiter!$E$7),0,IF(AND(Mitarbeiter!$F$7&lt;&gt;"",FZ$5&gt;Mitarbeiter!$F$7),0,IF(Planung!FZ9="",$C9,IF(ISNUMBER(Planung!FZ9),Planung!FZ9,IF(UPPER(Planung!FZ9)="H",$C9/2,0)))))))</f>
        <v>0</v>
      </c>
      <c r="GA9" s="27">
        <f>IF($A9="",0,IF(Mitarbeiter!$G$7=FALSE,0,IF(AND(Mitarbeiter!$E$7&lt;&gt;"",GA$5+6&lt;Mitarbeiter!$E$7),0,IF(AND(Mitarbeiter!$F$7&lt;&gt;"",GA$5&gt;Mitarbeiter!$F$7),0,IF(Planung!GA9="",$C9,IF(ISNUMBER(Planung!GA9),Planung!GA9,IF(UPPER(Planung!GA9)="H",$C9/2,0)))))))</f>
        <v>0</v>
      </c>
      <c r="GB9" s="27">
        <f>IF($A9="",0,IF(Mitarbeiter!$G$7=FALSE,0,IF(AND(Mitarbeiter!$E$7&lt;&gt;"",GB$5+6&lt;Mitarbeiter!$E$7),0,IF(AND(Mitarbeiter!$F$7&lt;&gt;"",GB$5&gt;Mitarbeiter!$F$7),0,IF(Planung!GB9="",$C9,IF(ISNUMBER(Planung!GB9),Planung!GB9,IF(UPPER(Planung!GB9)="H",$C9/2,0)))))))</f>
        <v>0</v>
      </c>
      <c r="GC9" s="27">
        <f>IF($A9="",0,IF(Mitarbeiter!$G$7=FALSE,0,IF(AND(Mitarbeiter!$E$7&lt;&gt;"",GC$5+6&lt;Mitarbeiter!$E$7),0,IF(AND(Mitarbeiter!$F$7&lt;&gt;"",GC$5&gt;Mitarbeiter!$F$7),0,IF(Planung!GC9="",$C9,IF(ISNUMBER(Planung!GC9),Planung!GC9,IF(UPPER(Planung!GC9)="H",$C9/2,0)))))))</f>
        <v>0</v>
      </c>
      <c r="GD9" s="27">
        <f>IF($A9="",0,IF(Mitarbeiter!$G$7=FALSE,0,IF(AND(Mitarbeiter!$E$7&lt;&gt;"",GD$5+6&lt;Mitarbeiter!$E$7),0,IF(AND(Mitarbeiter!$F$7&lt;&gt;"",GD$5&gt;Mitarbeiter!$F$7),0,IF(Planung!GD9="",$C9,IF(ISNUMBER(Planung!GD9),Planung!GD9,IF(UPPER(Planung!GD9)="H",$C9/2,0)))))))</f>
        <v>0</v>
      </c>
      <c r="GE9" s="27">
        <f>IF($A9="",0,IF(Mitarbeiter!$G$7=FALSE,0,IF(AND(Mitarbeiter!$E$7&lt;&gt;"",GE$5+6&lt;Mitarbeiter!$E$7),0,IF(AND(Mitarbeiter!$F$7&lt;&gt;"",GE$5&gt;Mitarbeiter!$F$7),0,IF(Planung!GE9="",$C9,IF(ISNUMBER(Planung!GE9),Planung!GE9,IF(UPPER(Planung!GE9)="H",$C9/2,0)))))))</f>
        <v>0</v>
      </c>
      <c r="GF9" s="27">
        <f>IF($A9="",0,IF(Mitarbeiter!$G$7=FALSE,0,IF(AND(Mitarbeiter!$E$7&lt;&gt;"",GF$5+6&lt;Mitarbeiter!$E$7),0,IF(AND(Mitarbeiter!$F$7&lt;&gt;"",GF$5&gt;Mitarbeiter!$F$7),0,IF(Planung!GF9="",$C9,IF(ISNUMBER(Planung!GF9),Planung!GF9,IF(UPPER(Planung!GF9)="H",$C9/2,0)))))))</f>
        <v>0</v>
      </c>
      <c r="GG9" s="27">
        <f>IF($A9="",0,IF(Mitarbeiter!$G$7=FALSE,0,IF(AND(Mitarbeiter!$E$7&lt;&gt;"",GG$5+6&lt;Mitarbeiter!$E$7),0,IF(AND(Mitarbeiter!$F$7&lt;&gt;"",GG$5&gt;Mitarbeiter!$F$7),0,IF(Planung!GG9="",$C9,IF(ISNUMBER(Planung!GG9),Planung!GG9,IF(UPPER(Planung!GG9)="H",$C9/2,0)))))))</f>
        <v>0</v>
      </c>
      <c r="GH9" s="27">
        <f>IF($A9="",0,IF(Mitarbeiter!$G$7=FALSE,0,IF(AND(Mitarbeiter!$E$7&lt;&gt;"",GH$5+6&lt;Mitarbeiter!$E$7),0,IF(AND(Mitarbeiter!$F$7&lt;&gt;"",GH$5&gt;Mitarbeiter!$F$7),0,IF(Planung!GH9="",$C9,IF(ISNUMBER(Planung!GH9),Planung!GH9,IF(UPPER(Planung!GH9)="H",$C9/2,0)))))))</f>
        <v>0</v>
      </c>
      <c r="GI9" s="27">
        <f>IF($A9="",0,IF(Mitarbeiter!$G$7=FALSE,0,IF(AND(Mitarbeiter!$E$7&lt;&gt;"",GI$5+6&lt;Mitarbeiter!$E$7),0,IF(AND(Mitarbeiter!$F$7&lt;&gt;"",GI$5&gt;Mitarbeiter!$F$7),0,IF(Planung!GI9="",$C9,IF(ISNUMBER(Planung!GI9),Planung!GI9,IF(UPPER(Planung!GI9)="H",$C9/2,0)))))))</f>
        <v>0</v>
      </c>
      <c r="GJ9" s="27">
        <f>IF($A9="",0,IF(Mitarbeiter!$G$7=FALSE,0,IF(AND(Mitarbeiter!$E$7&lt;&gt;"",GJ$5+6&lt;Mitarbeiter!$E$7),0,IF(AND(Mitarbeiter!$F$7&lt;&gt;"",GJ$5&gt;Mitarbeiter!$F$7),0,IF(Planung!GJ9="",$C9,IF(ISNUMBER(Planung!GJ9),Planung!GJ9,IF(UPPER(Planung!GJ9)="H",$C9/2,0)))))))</f>
        <v>0</v>
      </c>
      <c r="GK9" s="27">
        <f>IF($A9="",0,IF(Mitarbeiter!$G$7=FALSE,0,IF(AND(Mitarbeiter!$E$7&lt;&gt;"",GK$5+6&lt;Mitarbeiter!$E$7),0,IF(AND(Mitarbeiter!$F$7&lt;&gt;"",GK$5&gt;Mitarbeiter!$F$7),0,IF(Planung!GK9="",$C9,IF(ISNUMBER(Planung!GK9),Planung!GK9,IF(UPPER(Planung!GK9)="H",$C9/2,0)))))))</f>
        <v>0</v>
      </c>
      <c r="GL9" s="27">
        <f>IF($A9="",0,IF(Mitarbeiter!$G$7=FALSE,0,IF(AND(Mitarbeiter!$E$7&lt;&gt;"",GL$5+6&lt;Mitarbeiter!$E$7),0,IF(AND(Mitarbeiter!$F$7&lt;&gt;"",GL$5&gt;Mitarbeiter!$F$7),0,IF(Planung!GL9="",$C9,IF(ISNUMBER(Planung!GL9),Planung!GL9,IF(UPPER(Planung!GL9)="H",$C9/2,0)))))))</f>
        <v>0</v>
      </c>
      <c r="GM9" s="27">
        <f>IF($A9="",0,IF(Mitarbeiter!$G$7=FALSE,0,IF(AND(Mitarbeiter!$E$7&lt;&gt;"",GM$5+6&lt;Mitarbeiter!$E$7),0,IF(AND(Mitarbeiter!$F$7&lt;&gt;"",GM$5&gt;Mitarbeiter!$F$7),0,IF(Planung!GM9="",$C9,IF(ISNUMBER(Planung!GM9),Planung!GM9,IF(UPPER(Planung!GM9)="H",$C9/2,0)))))))</f>
        <v>0</v>
      </c>
      <c r="GN9" s="27">
        <f>IF($A9="",0,IF(Mitarbeiter!$G$7=FALSE,0,IF(AND(Mitarbeiter!$E$7&lt;&gt;"",GN$5+6&lt;Mitarbeiter!$E$7),0,IF(AND(Mitarbeiter!$F$7&lt;&gt;"",GN$5&gt;Mitarbeiter!$F$7),0,IF(Planung!GN9="",$C9,IF(ISNUMBER(Planung!GN9),Planung!GN9,IF(UPPER(Planung!GN9)="H",$C9/2,0)))))))</f>
        <v>0</v>
      </c>
      <c r="GO9" s="27">
        <f>IF($A9="",0,IF(Mitarbeiter!$G$7=FALSE,0,IF(AND(Mitarbeiter!$E$7&lt;&gt;"",GO$5+6&lt;Mitarbeiter!$E$7),0,IF(AND(Mitarbeiter!$F$7&lt;&gt;"",GO$5&gt;Mitarbeiter!$F$7),0,IF(Planung!GO9="",$C9,IF(ISNUMBER(Planung!GO9),Planung!GO9,IF(UPPER(Planung!GO9)="H",$C9/2,0)))))))</f>
        <v>0</v>
      </c>
      <c r="GP9" s="27">
        <f>IF($A9="",0,IF(Mitarbeiter!$G$7=FALSE,0,IF(AND(Mitarbeiter!$E$7&lt;&gt;"",GP$5+6&lt;Mitarbeiter!$E$7),0,IF(AND(Mitarbeiter!$F$7&lt;&gt;"",GP$5&gt;Mitarbeiter!$F$7),0,IF(Planung!GP9="",$C9,IF(ISNUMBER(Planung!GP9),Planung!GP9,IF(UPPER(Planung!GP9)="H",$C9/2,0)))))))</f>
        <v>0</v>
      </c>
      <c r="GQ9" s="27">
        <f>IF($A9="",0,IF(Mitarbeiter!$G$7=FALSE,0,IF(AND(Mitarbeiter!$E$7&lt;&gt;"",GQ$5+6&lt;Mitarbeiter!$E$7),0,IF(AND(Mitarbeiter!$F$7&lt;&gt;"",GQ$5&gt;Mitarbeiter!$F$7),0,IF(Planung!GQ9="",$C9,IF(ISNUMBER(Planung!GQ9),Planung!GQ9,IF(UPPER(Planung!GQ9)="H",$C9/2,0)))))))</f>
        <v>0</v>
      </c>
      <c r="GR9" s="27">
        <f>IF($A9="",0,IF(Mitarbeiter!$G$7=FALSE,0,IF(AND(Mitarbeiter!$E$7&lt;&gt;"",GR$5+6&lt;Mitarbeiter!$E$7),0,IF(AND(Mitarbeiter!$F$7&lt;&gt;"",GR$5&gt;Mitarbeiter!$F$7),0,IF(Planung!GR9="",$C9,IF(ISNUMBER(Planung!GR9),Planung!GR9,IF(UPPER(Planung!GR9)="H",$C9/2,0)))))))</f>
        <v>0</v>
      </c>
      <c r="GS9" s="27">
        <f>IF($A9="",0,IF(Mitarbeiter!$G$7=FALSE,0,IF(AND(Mitarbeiter!$E$7&lt;&gt;"",GS$5+6&lt;Mitarbeiter!$E$7),0,IF(AND(Mitarbeiter!$F$7&lt;&gt;"",GS$5&gt;Mitarbeiter!$F$7),0,IF(Planung!GS9="",$C9,IF(ISNUMBER(Planung!GS9),Planung!GS9,IF(UPPER(Planung!GS9)="H",$C9/2,0)))))))</f>
        <v>0</v>
      </c>
      <c r="GT9" s="27">
        <f>IF($A9="",0,IF(Mitarbeiter!$G$7=FALSE,0,IF(AND(Mitarbeiter!$E$7&lt;&gt;"",GT$5+6&lt;Mitarbeiter!$E$7),0,IF(AND(Mitarbeiter!$F$7&lt;&gt;"",GT$5&gt;Mitarbeiter!$F$7),0,IF(Planung!GT9="",$C9,IF(ISNUMBER(Planung!GT9),Planung!GT9,IF(UPPER(Planung!GT9)="H",$C9/2,0)))))))</f>
        <v>0</v>
      </c>
      <c r="GU9" s="27">
        <f>IF($A9="",0,IF(Mitarbeiter!$G$7=FALSE,0,IF(AND(Mitarbeiter!$E$7&lt;&gt;"",GU$5+6&lt;Mitarbeiter!$E$7),0,IF(AND(Mitarbeiter!$F$7&lt;&gt;"",GU$5&gt;Mitarbeiter!$F$7),0,IF(Planung!GU9="",$C9,IF(ISNUMBER(Planung!GU9),Planung!GU9,IF(UPPER(Planung!GU9)="H",$C9/2,0)))))))</f>
        <v>0</v>
      </c>
      <c r="GV9" s="27">
        <f>IF($A9="",0,IF(Mitarbeiter!$G$7=FALSE,0,IF(AND(Mitarbeiter!$E$7&lt;&gt;"",GV$5+6&lt;Mitarbeiter!$E$7),0,IF(AND(Mitarbeiter!$F$7&lt;&gt;"",GV$5&gt;Mitarbeiter!$F$7),0,IF(Planung!GV9="",$C9,IF(ISNUMBER(Planung!GV9),Planung!GV9,IF(UPPER(Planung!GV9)="H",$C9/2,0)))))))</f>
        <v>0</v>
      </c>
      <c r="GW9" s="27">
        <f>IF($A9="",0,IF(Mitarbeiter!$G$7=FALSE,0,IF(AND(Mitarbeiter!$E$7&lt;&gt;"",GW$5+6&lt;Mitarbeiter!$E$7),0,IF(AND(Mitarbeiter!$F$7&lt;&gt;"",GW$5&gt;Mitarbeiter!$F$7),0,IF(Planung!GW9="",$C9,IF(ISNUMBER(Planung!GW9),Planung!GW9,IF(UPPER(Planung!GW9)="H",$C9/2,0)))))))</f>
        <v>0</v>
      </c>
      <c r="GX9" s="27">
        <f>IF($A9="",0,IF(Mitarbeiter!$G$7=FALSE,0,IF(AND(Mitarbeiter!$E$7&lt;&gt;"",GX$5+6&lt;Mitarbeiter!$E$7),0,IF(AND(Mitarbeiter!$F$7&lt;&gt;"",GX$5&gt;Mitarbeiter!$F$7),0,IF(Planung!GX9="",$C9,IF(ISNUMBER(Planung!GX9),Planung!GX9,IF(UPPER(Planung!GX9)="H",$C9/2,0)))))))</f>
        <v>0</v>
      </c>
      <c r="GY9" s="27">
        <f>IF($A9="",0,IF(Mitarbeiter!$G$7=FALSE,0,IF(AND(Mitarbeiter!$E$7&lt;&gt;"",GY$5+6&lt;Mitarbeiter!$E$7),0,IF(AND(Mitarbeiter!$F$7&lt;&gt;"",GY$5&gt;Mitarbeiter!$F$7),0,IF(Planung!GY9="",$C9,IF(ISNUMBER(Planung!GY9),Planung!GY9,IF(UPPER(Planung!GY9)="H",$C9/2,0)))))))</f>
        <v>0</v>
      </c>
      <c r="GZ9" s="27">
        <f>IF($A9="",0,IF(Mitarbeiter!$G$7=FALSE,0,IF(AND(Mitarbeiter!$E$7&lt;&gt;"",GZ$5+6&lt;Mitarbeiter!$E$7),0,IF(AND(Mitarbeiter!$F$7&lt;&gt;"",GZ$5&gt;Mitarbeiter!$F$7),0,IF(Planung!GZ9="",$C9,IF(ISNUMBER(Planung!GZ9),Planung!GZ9,IF(UPPER(Planung!GZ9)="H",$C9/2,0)))))))</f>
        <v>0</v>
      </c>
      <c r="HA9" s="27">
        <f>IF($A9="",0,IF(Mitarbeiter!$G$7=FALSE,0,IF(AND(Mitarbeiter!$E$7&lt;&gt;"",HA$5+6&lt;Mitarbeiter!$E$7),0,IF(AND(Mitarbeiter!$F$7&lt;&gt;"",HA$5&gt;Mitarbeiter!$F$7),0,IF(Planung!HA9="",$C9,IF(ISNUMBER(Planung!HA9),Planung!HA9,IF(UPPER(Planung!HA9)="H",$C9/2,0)))))))</f>
        <v>0</v>
      </c>
      <c r="HB9" s="27">
        <f>IF($A9="",0,IF(Mitarbeiter!$G$7=FALSE,0,IF(AND(Mitarbeiter!$E$7&lt;&gt;"",HB$5+6&lt;Mitarbeiter!$E$7),0,IF(AND(Mitarbeiter!$F$7&lt;&gt;"",HB$5&gt;Mitarbeiter!$F$7),0,IF(Planung!HB9="",$C9,IF(ISNUMBER(Planung!HB9),Planung!HB9,IF(UPPER(Planung!HB9)="H",$C9/2,0)))))))</f>
        <v>0</v>
      </c>
      <c r="HC9" s="27">
        <f>IF($A9="",0,IF(Mitarbeiter!$G$7=FALSE,0,IF(AND(Mitarbeiter!$E$7&lt;&gt;"",HC$5+6&lt;Mitarbeiter!$E$7),0,IF(AND(Mitarbeiter!$F$7&lt;&gt;"",HC$5&gt;Mitarbeiter!$F$7),0,IF(Planung!HC9="",$C9,IF(ISNUMBER(Planung!HC9),Planung!HC9,IF(UPPER(Planung!HC9)="H",$C9/2,0)))))))</f>
        <v>0</v>
      </c>
      <c r="HD9" s="27">
        <f>IF($A9="",0,IF(Mitarbeiter!$G$7=FALSE,0,IF(AND(Mitarbeiter!$E$7&lt;&gt;"",HD$5+6&lt;Mitarbeiter!$E$7),0,IF(AND(Mitarbeiter!$F$7&lt;&gt;"",HD$5&gt;Mitarbeiter!$F$7),0,IF(Planung!HD9="",$C9,IF(ISNUMBER(Planung!HD9),Planung!HD9,IF(UPPER(Planung!HD9)="H",$C9/2,0)))))))</f>
        <v>0</v>
      </c>
      <c r="HE9" s="27">
        <f>IF($A9="",0,IF(Mitarbeiter!$G$7=FALSE,0,IF(AND(Mitarbeiter!$E$7&lt;&gt;"",HE$5+6&lt;Mitarbeiter!$E$7),0,IF(AND(Mitarbeiter!$F$7&lt;&gt;"",HE$5&gt;Mitarbeiter!$F$7),0,IF(Planung!HE9="",$C9,IF(ISNUMBER(Planung!HE9),Planung!HE9,IF(UPPER(Planung!HE9)="H",$C9/2,0)))))))</f>
        <v>0</v>
      </c>
      <c r="HF9" s="27">
        <f>IF($A9="",0,IF(Mitarbeiter!$G$7=FALSE,0,IF(AND(Mitarbeiter!$E$7&lt;&gt;"",HF$5+6&lt;Mitarbeiter!$E$7),0,IF(AND(Mitarbeiter!$F$7&lt;&gt;"",HF$5&gt;Mitarbeiter!$F$7),0,IF(Planung!HF9="",$C9,IF(ISNUMBER(Planung!HF9),Planung!HF9,IF(UPPER(Planung!HF9)="H",$C9/2,0)))))))</f>
        <v>0</v>
      </c>
      <c r="HG9" s="27">
        <f>IF($A9="",0,IF(Mitarbeiter!$G$7=FALSE,0,IF(AND(Mitarbeiter!$E$7&lt;&gt;"",HG$5+6&lt;Mitarbeiter!$E$7),0,IF(AND(Mitarbeiter!$F$7&lt;&gt;"",HG$5&gt;Mitarbeiter!$F$7),0,IF(Planung!HG9="",$C9,IF(ISNUMBER(Planung!HG9),Planung!HG9,IF(UPPER(Planung!HG9)="H",$C9/2,0)))))))</f>
        <v>0</v>
      </c>
      <c r="HH9" s="27">
        <f>IF($A9="",0,IF(Mitarbeiter!$G$7=FALSE,0,IF(AND(Mitarbeiter!$E$7&lt;&gt;"",HH$5+6&lt;Mitarbeiter!$E$7),0,IF(AND(Mitarbeiter!$F$7&lt;&gt;"",HH$5&gt;Mitarbeiter!$F$7),0,IF(Planung!HH9="",$C9,IF(ISNUMBER(Planung!HH9),Planung!HH9,IF(UPPER(Planung!HH9)="H",$C9/2,0)))))))</f>
        <v>0</v>
      </c>
      <c r="HI9" s="27">
        <f>IF($A9="",0,IF(Mitarbeiter!$G$7=FALSE,0,IF(AND(Mitarbeiter!$E$7&lt;&gt;"",HI$5+6&lt;Mitarbeiter!$E$7),0,IF(AND(Mitarbeiter!$F$7&lt;&gt;"",HI$5&gt;Mitarbeiter!$F$7),0,IF(Planung!HI9="",$C9,IF(ISNUMBER(Planung!HI9),Planung!HI9,IF(UPPER(Planung!HI9)="H",$C9/2,0)))))))</f>
        <v>0</v>
      </c>
      <c r="HJ9" s="27">
        <f>IF($A9="",0,IF(Mitarbeiter!$G$7=FALSE,0,IF(AND(Mitarbeiter!$E$7&lt;&gt;"",HJ$5+6&lt;Mitarbeiter!$E$7),0,IF(AND(Mitarbeiter!$F$7&lt;&gt;"",HJ$5&gt;Mitarbeiter!$F$7),0,IF(Planung!HJ9="",$C9,IF(ISNUMBER(Planung!HJ9),Planung!HJ9,IF(UPPER(Planung!HJ9)="H",$C9/2,0)))))))</f>
        <v>0</v>
      </c>
      <c r="HK9" s="27">
        <f>IF($A9="",0,IF(Mitarbeiter!$G$7=FALSE,0,IF(AND(Mitarbeiter!$E$7&lt;&gt;"",HK$5+6&lt;Mitarbeiter!$E$7),0,IF(AND(Mitarbeiter!$F$7&lt;&gt;"",HK$5&gt;Mitarbeiter!$F$7),0,IF(Planung!HK9="",$C9,IF(ISNUMBER(Planung!HK9),Planung!HK9,IF(UPPER(Planung!HK9)="H",$C9/2,0)))))))</f>
        <v>0</v>
      </c>
      <c r="HL9" s="27">
        <f>IF($A9="",0,IF(Mitarbeiter!$G$7=FALSE,0,IF(AND(Mitarbeiter!$E$7&lt;&gt;"",HL$5+6&lt;Mitarbeiter!$E$7),0,IF(AND(Mitarbeiter!$F$7&lt;&gt;"",HL$5&gt;Mitarbeiter!$F$7),0,IF(Planung!HL9="",$C9,IF(ISNUMBER(Planung!HL9),Planung!HL9,IF(UPPER(Planung!HL9)="H",$C9/2,0)))))))</f>
        <v>0</v>
      </c>
      <c r="HM9" s="27">
        <f>IF($A9="",0,IF(Mitarbeiter!$G$7=FALSE,0,IF(AND(Mitarbeiter!$E$7&lt;&gt;"",HM$5+6&lt;Mitarbeiter!$E$7),0,IF(AND(Mitarbeiter!$F$7&lt;&gt;"",HM$5&gt;Mitarbeiter!$F$7),0,IF(Planung!HM9="",$C9,IF(ISNUMBER(Planung!HM9),Planung!HM9,IF(UPPER(Planung!HM9)="H",$C9/2,0)))))))</f>
        <v>0</v>
      </c>
      <c r="HN9" s="27">
        <f>IF($A9="",0,IF(Mitarbeiter!$G$7=FALSE,0,IF(AND(Mitarbeiter!$E$7&lt;&gt;"",HN$5+6&lt;Mitarbeiter!$E$7),0,IF(AND(Mitarbeiter!$F$7&lt;&gt;"",HN$5&gt;Mitarbeiter!$F$7),0,IF(Planung!HN9="",$C9,IF(ISNUMBER(Planung!HN9),Planung!HN9,IF(UPPER(Planung!HN9)="H",$C9/2,0)))))))</f>
        <v>0</v>
      </c>
      <c r="HO9" s="27">
        <f>IF($A9="",0,IF(Mitarbeiter!$G$7=FALSE,0,IF(AND(Mitarbeiter!$E$7&lt;&gt;"",HO$5+6&lt;Mitarbeiter!$E$7),0,IF(AND(Mitarbeiter!$F$7&lt;&gt;"",HO$5&gt;Mitarbeiter!$F$7),0,IF(Planung!HO9="",$C9,IF(ISNUMBER(Planung!HO9),Planung!HO9,IF(UPPER(Planung!HO9)="H",$C9/2,0)))))))</f>
        <v>0</v>
      </c>
      <c r="HP9" s="27">
        <f>IF($A9="",0,IF(Mitarbeiter!$G$7=FALSE,0,IF(AND(Mitarbeiter!$E$7&lt;&gt;"",HP$5+6&lt;Mitarbeiter!$E$7),0,IF(AND(Mitarbeiter!$F$7&lt;&gt;"",HP$5&gt;Mitarbeiter!$F$7),0,IF(Planung!HP9="",$C9,IF(ISNUMBER(Planung!HP9),Planung!HP9,IF(UPPER(Planung!HP9)="H",$C9/2,0)))))))</f>
        <v>0</v>
      </c>
      <c r="HQ9" s="27">
        <f>IF($A9="",0,IF(Mitarbeiter!$G$7=FALSE,0,IF(AND(Mitarbeiter!$E$7&lt;&gt;"",HQ$5+6&lt;Mitarbeiter!$E$7),0,IF(AND(Mitarbeiter!$F$7&lt;&gt;"",HQ$5&gt;Mitarbeiter!$F$7),0,IF(Planung!HQ9="",$C9,IF(ISNUMBER(Planung!HQ9),Planung!HQ9,IF(UPPER(Planung!HQ9)="H",$C9/2,0)))))))</f>
        <v>0</v>
      </c>
      <c r="HR9" s="27">
        <f>IF($A9="",0,IF(Mitarbeiter!$G$7=FALSE,0,IF(AND(Mitarbeiter!$E$7&lt;&gt;"",HR$5+6&lt;Mitarbeiter!$E$7),0,IF(AND(Mitarbeiter!$F$7&lt;&gt;"",HR$5&gt;Mitarbeiter!$F$7),0,IF(Planung!HR9="",$C9,IF(ISNUMBER(Planung!HR9),Planung!HR9,IF(UPPER(Planung!HR9)="H",$C9/2,0)))))))</f>
        <v>0</v>
      </c>
      <c r="HS9" s="27">
        <f>IF($A9="",0,IF(Mitarbeiter!$G$7=FALSE,0,IF(AND(Mitarbeiter!$E$7&lt;&gt;"",HS$5+6&lt;Mitarbeiter!$E$7),0,IF(AND(Mitarbeiter!$F$7&lt;&gt;"",HS$5&gt;Mitarbeiter!$F$7),0,IF(Planung!HS9="",$C9,IF(ISNUMBER(Planung!HS9),Planung!HS9,IF(UPPER(Planung!HS9)="H",$C9/2,0)))))))</f>
        <v>0</v>
      </c>
      <c r="HT9" s="27">
        <f>IF($A9="",0,IF(Mitarbeiter!$G$7=FALSE,0,IF(AND(Mitarbeiter!$E$7&lt;&gt;"",HT$5+6&lt;Mitarbeiter!$E$7),0,IF(AND(Mitarbeiter!$F$7&lt;&gt;"",HT$5&gt;Mitarbeiter!$F$7),0,IF(Planung!HT9="",$C9,IF(ISNUMBER(Planung!HT9),Planung!HT9,IF(UPPER(Planung!HT9)="H",$C9/2,0)))))))</f>
        <v>0</v>
      </c>
      <c r="HU9" s="27">
        <f>IF($A9="",0,IF(Mitarbeiter!$G$7=FALSE,0,IF(AND(Mitarbeiter!$E$7&lt;&gt;"",HU$5+6&lt;Mitarbeiter!$E$7),0,IF(AND(Mitarbeiter!$F$7&lt;&gt;"",HU$5&gt;Mitarbeiter!$F$7),0,IF(Planung!HU9="",$C9,IF(ISNUMBER(Planung!HU9),Planung!HU9,IF(UPPER(Planung!HU9)="H",$C9/2,0)))))))</f>
        <v>0</v>
      </c>
      <c r="HV9" s="27">
        <f>IF($A9="",0,IF(Mitarbeiter!$G$7=FALSE,0,IF(AND(Mitarbeiter!$E$7&lt;&gt;"",HV$5+6&lt;Mitarbeiter!$E$7),0,IF(AND(Mitarbeiter!$F$7&lt;&gt;"",HV$5&gt;Mitarbeiter!$F$7),0,IF(Planung!HV9="",$C9,IF(ISNUMBER(Planung!HV9),Planung!HV9,IF(UPPER(Planung!HV9)="H",$C9/2,0)))))))</f>
        <v>0</v>
      </c>
      <c r="HW9" s="27">
        <f>IF($A9="",0,IF(Mitarbeiter!$G$7=FALSE,0,IF(AND(Mitarbeiter!$E$7&lt;&gt;"",HW$5+6&lt;Mitarbeiter!$E$7),0,IF(AND(Mitarbeiter!$F$7&lt;&gt;"",HW$5&gt;Mitarbeiter!$F$7),0,IF(Planung!HW9="",$C9,IF(ISNUMBER(Planung!HW9),Planung!HW9,IF(UPPER(Planung!HW9)="H",$C9/2,0)))))))</f>
        <v>0</v>
      </c>
      <c r="HX9" s="27">
        <f>IF($A9="",0,IF(Mitarbeiter!$G$7=FALSE,0,IF(AND(Mitarbeiter!$E$7&lt;&gt;"",HX$5+6&lt;Mitarbeiter!$E$7),0,IF(AND(Mitarbeiter!$F$7&lt;&gt;"",HX$5&gt;Mitarbeiter!$F$7),0,IF(Planung!HX9="",$C9,IF(ISNUMBER(Planung!HX9),Planung!HX9,IF(UPPER(Planung!HX9)="H",$C9/2,0)))))))</f>
        <v>0</v>
      </c>
      <c r="HY9" s="27">
        <f>IF($A9="",0,IF(Mitarbeiter!$G$7=FALSE,0,IF(AND(Mitarbeiter!$E$7&lt;&gt;"",HY$5+6&lt;Mitarbeiter!$E$7),0,IF(AND(Mitarbeiter!$F$7&lt;&gt;"",HY$5&gt;Mitarbeiter!$F$7),0,IF(Planung!HY9="",$C9,IF(ISNUMBER(Planung!HY9),Planung!HY9,IF(UPPER(Planung!HY9)="H",$C9/2,0)))))))</f>
        <v>0</v>
      </c>
      <c r="HZ9" s="27">
        <f>IF($A9="",0,IF(Mitarbeiter!$G$7=FALSE,0,IF(AND(Mitarbeiter!$E$7&lt;&gt;"",HZ$5+6&lt;Mitarbeiter!$E$7),0,IF(AND(Mitarbeiter!$F$7&lt;&gt;"",HZ$5&gt;Mitarbeiter!$F$7),0,IF(Planung!HZ9="",$C9,IF(ISNUMBER(Planung!HZ9),Planung!HZ9,IF(UPPER(Planung!HZ9)="H",$C9/2,0)))))))</f>
        <v>0</v>
      </c>
      <c r="IA9" s="27">
        <f>IF($A9="",0,IF(Mitarbeiter!$G$7=FALSE,0,IF(AND(Mitarbeiter!$E$7&lt;&gt;"",IA$5+6&lt;Mitarbeiter!$E$7),0,IF(AND(Mitarbeiter!$F$7&lt;&gt;"",IA$5&gt;Mitarbeiter!$F$7),0,IF(Planung!IA9="",$C9,IF(ISNUMBER(Planung!IA9),Planung!IA9,IF(UPPER(Planung!IA9)="H",$C9/2,0)))))))</f>
        <v>0</v>
      </c>
    </row>
    <row r="10" spans="1:235" x14ac:dyDescent="0.25">
      <c r="A10" s="7" t="str">
        <f>Planung!A10</f>
        <v/>
      </c>
      <c r="B10" s="7" t="str">
        <f>Planung!B10</f>
        <v/>
      </c>
      <c r="C10" s="27">
        <f>N(Mitarbeiter!$D$8)</f>
        <v>0</v>
      </c>
      <c r="D10" s="27">
        <f>IF($A10="",0,IF(Mitarbeiter!$G$8=FALSE,0,IF(AND(Mitarbeiter!$E$8&lt;&gt;"",D$5+6&lt;Mitarbeiter!$E$8),0,IF(AND(Mitarbeiter!$F$8&lt;&gt;"",D$5&gt;Mitarbeiter!$F$8),0,IF(Planung!D10="",$C10,IF(ISNUMBER(Planung!D10),Planung!D10,IF(UPPER(Planung!D10)="H",$C10/2,0)))))))</f>
        <v>0</v>
      </c>
      <c r="E10" s="27">
        <f>IF($A10="",0,IF(Mitarbeiter!$G$8=FALSE,0,IF(AND(Mitarbeiter!$E$8&lt;&gt;"",E$5+6&lt;Mitarbeiter!$E$8),0,IF(AND(Mitarbeiter!$F$8&lt;&gt;"",E$5&gt;Mitarbeiter!$F$8),0,IF(Planung!E10="",$C10,IF(ISNUMBER(Planung!E10),Planung!E10,IF(UPPER(Planung!E10)="H",$C10/2,0)))))))</f>
        <v>0</v>
      </c>
      <c r="F10" s="27">
        <f>IF($A10="",0,IF(Mitarbeiter!$G$8=FALSE,0,IF(AND(Mitarbeiter!$E$8&lt;&gt;"",F$5+6&lt;Mitarbeiter!$E$8),0,IF(AND(Mitarbeiter!$F$8&lt;&gt;"",F$5&gt;Mitarbeiter!$F$8),0,IF(Planung!F10="",$C10,IF(ISNUMBER(Planung!F10),Planung!F10,IF(UPPER(Planung!F10)="H",$C10/2,0)))))))</f>
        <v>0</v>
      </c>
      <c r="G10" s="27">
        <f>IF($A10="",0,IF(Mitarbeiter!$G$8=FALSE,0,IF(AND(Mitarbeiter!$E$8&lt;&gt;"",G$5+6&lt;Mitarbeiter!$E$8),0,IF(AND(Mitarbeiter!$F$8&lt;&gt;"",G$5&gt;Mitarbeiter!$F$8),0,IF(Planung!G10="",$C10,IF(ISNUMBER(Planung!G10),Planung!G10,IF(UPPER(Planung!G10)="H",$C10/2,0)))))))</f>
        <v>0</v>
      </c>
      <c r="H10" s="27">
        <f>IF($A10="",0,IF(Mitarbeiter!$G$8=FALSE,0,IF(AND(Mitarbeiter!$E$8&lt;&gt;"",H$5+6&lt;Mitarbeiter!$E$8),0,IF(AND(Mitarbeiter!$F$8&lt;&gt;"",H$5&gt;Mitarbeiter!$F$8),0,IF(Planung!H10="",$C10,IF(ISNUMBER(Planung!H10),Planung!H10,IF(UPPER(Planung!H10)="H",$C10/2,0)))))))</f>
        <v>0</v>
      </c>
      <c r="I10" s="27">
        <f>IF($A10="",0,IF(Mitarbeiter!$G$8=FALSE,0,IF(AND(Mitarbeiter!$E$8&lt;&gt;"",I$5+6&lt;Mitarbeiter!$E$8),0,IF(AND(Mitarbeiter!$F$8&lt;&gt;"",I$5&gt;Mitarbeiter!$F$8),0,IF(Planung!I10="",$C10,IF(ISNUMBER(Planung!I10),Planung!I10,IF(UPPER(Planung!I10)="H",$C10/2,0)))))))</f>
        <v>0</v>
      </c>
      <c r="J10" s="27">
        <f>IF($A10="",0,IF(Mitarbeiter!$G$8=FALSE,0,IF(AND(Mitarbeiter!$E$8&lt;&gt;"",J$5+6&lt;Mitarbeiter!$E$8),0,IF(AND(Mitarbeiter!$F$8&lt;&gt;"",J$5&gt;Mitarbeiter!$F$8),0,IF(Planung!J10="",$C10,IF(ISNUMBER(Planung!J10),Planung!J10,IF(UPPER(Planung!J10)="H",$C10/2,0)))))))</f>
        <v>0</v>
      </c>
      <c r="K10" s="27">
        <f>IF($A10="",0,IF(Mitarbeiter!$G$8=FALSE,0,IF(AND(Mitarbeiter!$E$8&lt;&gt;"",K$5+6&lt;Mitarbeiter!$E$8),0,IF(AND(Mitarbeiter!$F$8&lt;&gt;"",K$5&gt;Mitarbeiter!$F$8),0,IF(Planung!K10="",$C10,IF(ISNUMBER(Planung!K10),Planung!K10,IF(UPPER(Planung!K10)="H",$C10/2,0)))))))</f>
        <v>0</v>
      </c>
      <c r="L10" s="27">
        <f>IF($A10="",0,IF(Mitarbeiter!$G$8=FALSE,0,IF(AND(Mitarbeiter!$E$8&lt;&gt;"",L$5+6&lt;Mitarbeiter!$E$8),0,IF(AND(Mitarbeiter!$F$8&lt;&gt;"",L$5&gt;Mitarbeiter!$F$8),0,IF(Planung!L10="",$C10,IF(ISNUMBER(Planung!L10),Planung!L10,IF(UPPER(Planung!L10)="H",$C10/2,0)))))))</f>
        <v>0</v>
      </c>
      <c r="M10" s="27">
        <f>IF($A10="",0,IF(Mitarbeiter!$G$8=FALSE,0,IF(AND(Mitarbeiter!$E$8&lt;&gt;"",M$5+6&lt;Mitarbeiter!$E$8),0,IF(AND(Mitarbeiter!$F$8&lt;&gt;"",M$5&gt;Mitarbeiter!$F$8),0,IF(Planung!M10="",$C10,IF(ISNUMBER(Planung!M10),Planung!M10,IF(UPPER(Planung!M10)="H",$C10/2,0)))))))</f>
        <v>0</v>
      </c>
      <c r="N10" s="27">
        <f>IF($A10="",0,IF(Mitarbeiter!$G$8=FALSE,0,IF(AND(Mitarbeiter!$E$8&lt;&gt;"",N$5+6&lt;Mitarbeiter!$E$8),0,IF(AND(Mitarbeiter!$F$8&lt;&gt;"",N$5&gt;Mitarbeiter!$F$8),0,IF(Planung!N10="",$C10,IF(ISNUMBER(Planung!N10),Planung!N10,IF(UPPER(Planung!N10)="H",$C10/2,0)))))))</f>
        <v>0</v>
      </c>
      <c r="O10" s="27">
        <f>IF($A10="",0,IF(Mitarbeiter!$G$8=FALSE,0,IF(AND(Mitarbeiter!$E$8&lt;&gt;"",O$5+6&lt;Mitarbeiter!$E$8),0,IF(AND(Mitarbeiter!$F$8&lt;&gt;"",O$5&gt;Mitarbeiter!$F$8),0,IF(Planung!O10="",$C10,IF(ISNUMBER(Planung!O10),Planung!O10,IF(UPPER(Planung!O10)="H",$C10/2,0)))))))</f>
        <v>0</v>
      </c>
      <c r="P10" s="27">
        <f>IF($A10="",0,IF(Mitarbeiter!$G$8=FALSE,0,IF(AND(Mitarbeiter!$E$8&lt;&gt;"",P$5+6&lt;Mitarbeiter!$E$8),0,IF(AND(Mitarbeiter!$F$8&lt;&gt;"",P$5&gt;Mitarbeiter!$F$8),0,IF(Planung!P10="",$C10,IF(ISNUMBER(Planung!P10),Planung!P10,IF(UPPER(Planung!P10)="H",$C10/2,0)))))))</f>
        <v>0</v>
      </c>
      <c r="Q10" s="27">
        <f>IF($A10="",0,IF(Mitarbeiter!$G$8=FALSE,0,IF(AND(Mitarbeiter!$E$8&lt;&gt;"",Q$5+6&lt;Mitarbeiter!$E$8),0,IF(AND(Mitarbeiter!$F$8&lt;&gt;"",Q$5&gt;Mitarbeiter!$F$8),0,IF(Planung!Q10="",$C10,IF(ISNUMBER(Planung!Q10),Planung!Q10,IF(UPPER(Planung!Q10)="H",$C10/2,0)))))))</f>
        <v>0</v>
      </c>
      <c r="R10" s="27">
        <f>IF($A10="",0,IF(Mitarbeiter!$G$8=FALSE,0,IF(AND(Mitarbeiter!$E$8&lt;&gt;"",R$5+6&lt;Mitarbeiter!$E$8),0,IF(AND(Mitarbeiter!$F$8&lt;&gt;"",R$5&gt;Mitarbeiter!$F$8),0,IF(Planung!R10="",$C10,IF(ISNUMBER(Planung!R10),Planung!R10,IF(UPPER(Planung!R10)="H",$C10/2,0)))))))</f>
        <v>0</v>
      </c>
      <c r="S10" s="27">
        <f>IF($A10="",0,IF(Mitarbeiter!$G$8=FALSE,0,IF(AND(Mitarbeiter!$E$8&lt;&gt;"",S$5+6&lt;Mitarbeiter!$E$8),0,IF(AND(Mitarbeiter!$F$8&lt;&gt;"",S$5&gt;Mitarbeiter!$F$8),0,IF(Planung!S10="",$C10,IF(ISNUMBER(Planung!S10),Planung!S10,IF(UPPER(Planung!S10)="H",$C10/2,0)))))))</f>
        <v>0</v>
      </c>
      <c r="T10" s="27">
        <f>IF($A10="",0,IF(Mitarbeiter!$G$8=FALSE,0,IF(AND(Mitarbeiter!$E$8&lt;&gt;"",T$5+6&lt;Mitarbeiter!$E$8),0,IF(AND(Mitarbeiter!$F$8&lt;&gt;"",T$5&gt;Mitarbeiter!$F$8),0,IF(Planung!T10="",$C10,IF(ISNUMBER(Planung!T10),Planung!T10,IF(UPPER(Planung!T10)="H",$C10/2,0)))))))</f>
        <v>0</v>
      </c>
      <c r="U10" s="27">
        <f>IF($A10="",0,IF(Mitarbeiter!$G$8=FALSE,0,IF(AND(Mitarbeiter!$E$8&lt;&gt;"",U$5+6&lt;Mitarbeiter!$E$8),0,IF(AND(Mitarbeiter!$F$8&lt;&gt;"",U$5&gt;Mitarbeiter!$F$8),0,IF(Planung!U10="",$C10,IF(ISNUMBER(Planung!U10),Planung!U10,IF(UPPER(Planung!U10)="H",$C10/2,0)))))))</f>
        <v>0</v>
      </c>
      <c r="V10" s="27">
        <f>IF($A10="",0,IF(Mitarbeiter!$G$8=FALSE,0,IF(AND(Mitarbeiter!$E$8&lt;&gt;"",V$5+6&lt;Mitarbeiter!$E$8),0,IF(AND(Mitarbeiter!$F$8&lt;&gt;"",V$5&gt;Mitarbeiter!$F$8),0,IF(Planung!V10="",$C10,IF(ISNUMBER(Planung!V10),Planung!V10,IF(UPPER(Planung!V10)="H",$C10/2,0)))))))</f>
        <v>0</v>
      </c>
      <c r="W10" s="27">
        <f>IF($A10="",0,IF(Mitarbeiter!$G$8=FALSE,0,IF(AND(Mitarbeiter!$E$8&lt;&gt;"",W$5+6&lt;Mitarbeiter!$E$8),0,IF(AND(Mitarbeiter!$F$8&lt;&gt;"",W$5&gt;Mitarbeiter!$F$8),0,IF(Planung!W10="",$C10,IF(ISNUMBER(Planung!W10),Planung!W10,IF(UPPER(Planung!W10)="H",$C10/2,0)))))))</f>
        <v>0</v>
      </c>
      <c r="X10" s="27">
        <f>IF($A10="",0,IF(Mitarbeiter!$G$8=FALSE,0,IF(AND(Mitarbeiter!$E$8&lt;&gt;"",X$5+6&lt;Mitarbeiter!$E$8),0,IF(AND(Mitarbeiter!$F$8&lt;&gt;"",X$5&gt;Mitarbeiter!$F$8),0,IF(Planung!X10="",$C10,IF(ISNUMBER(Planung!X10),Planung!X10,IF(UPPER(Planung!X10)="H",$C10/2,0)))))))</f>
        <v>0</v>
      </c>
      <c r="Y10" s="27">
        <f>IF($A10="",0,IF(Mitarbeiter!$G$8=FALSE,0,IF(AND(Mitarbeiter!$E$8&lt;&gt;"",Y$5+6&lt;Mitarbeiter!$E$8),0,IF(AND(Mitarbeiter!$F$8&lt;&gt;"",Y$5&gt;Mitarbeiter!$F$8),0,IF(Planung!Y10="",$C10,IF(ISNUMBER(Planung!Y10),Planung!Y10,IF(UPPER(Planung!Y10)="H",$C10/2,0)))))))</f>
        <v>0</v>
      </c>
      <c r="Z10" s="27">
        <f>IF($A10="",0,IF(Mitarbeiter!$G$8=FALSE,0,IF(AND(Mitarbeiter!$E$8&lt;&gt;"",Z$5+6&lt;Mitarbeiter!$E$8),0,IF(AND(Mitarbeiter!$F$8&lt;&gt;"",Z$5&gt;Mitarbeiter!$F$8),0,IF(Planung!Z10="",$C10,IF(ISNUMBER(Planung!Z10),Planung!Z10,IF(UPPER(Planung!Z10)="H",$C10/2,0)))))))</f>
        <v>0</v>
      </c>
      <c r="AA10" s="27">
        <f>IF($A10="",0,IF(Mitarbeiter!$G$8=FALSE,0,IF(AND(Mitarbeiter!$E$8&lt;&gt;"",AA$5+6&lt;Mitarbeiter!$E$8),0,IF(AND(Mitarbeiter!$F$8&lt;&gt;"",AA$5&gt;Mitarbeiter!$F$8),0,IF(Planung!AA10="",$C10,IF(ISNUMBER(Planung!AA10),Planung!AA10,IF(UPPER(Planung!AA10)="H",$C10/2,0)))))))</f>
        <v>0</v>
      </c>
      <c r="AB10" s="27">
        <f>IF($A10="",0,IF(Mitarbeiter!$G$8=FALSE,0,IF(AND(Mitarbeiter!$E$8&lt;&gt;"",AB$5+6&lt;Mitarbeiter!$E$8),0,IF(AND(Mitarbeiter!$F$8&lt;&gt;"",AB$5&gt;Mitarbeiter!$F$8),0,IF(Planung!AB10="",$C10,IF(ISNUMBER(Planung!AB10),Planung!AB10,IF(UPPER(Planung!AB10)="H",$C10/2,0)))))))</f>
        <v>0</v>
      </c>
      <c r="AC10" s="27">
        <f>IF($A10="",0,IF(Mitarbeiter!$G$8=FALSE,0,IF(AND(Mitarbeiter!$E$8&lt;&gt;"",AC$5+6&lt;Mitarbeiter!$E$8),0,IF(AND(Mitarbeiter!$F$8&lt;&gt;"",AC$5&gt;Mitarbeiter!$F$8),0,IF(Planung!AC10="",$C10,IF(ISNUMBER(Planung!AC10),Planung!AC10,IF(UPPER(Planung!AC10)="H",$C10/2,0)))))))</f>
        <v>0</v>
      </c>
      <c r="AD10" s="27">
        <f>IF($A10="",0,IF(Mitarbeiter!$G$8=FALSE,0,IF(AND(Mitarbeiter!$E$8&lt;&gt;"",AD$5+6&lt;Mitarbeiter!$E$8),0,IF(AND(Mitarbeiter!$F$8&lt;&gt;"",AD$5&gt;Mitarbeiter!$F$8),0,IF(Planung!AD10="",$C10,IF(ISNUMBER(Planung!AD10),Planung!AD10,IF(UPPER(Planung!AD10)="H",$C10/2,0)))))))</f>
        <v>0</v>
      </c>
      <c r="AE10" s="27">
        <f>IF($A10="",0,IF(Mitarbeiter!$G$8=FALSE,0,IF(AND(Mitarbeiter!$E$8&lt;&gt;"",AE$5+6&lt;Mitarbeiter!$E$8),0,IF(AND(Mitarbeiter!$F$8&lt;&gt;"",AE$5&gt;Mitarbeiter!$F$8),0,IF(Planung!AE10="",$C10,IF(ISNUMBER(Planung!AE10),Planung!AE10,IF(UPPER(Planung!AE10)="H",$C10/2,0)))))))</f>
        <v>0</v>
      </c>
      <c r="AF10" s="27">
        <f>IF($A10="",0,IF(Mitarbeiter!$G$8=FALSE,0,IF(AND(Mitarbeiter!$E$8&lt;&gt;"",AF$5+6&lt;Mitarbeiter!$E$8),0,IF(AND(Mitarbeiter!$F$8&lt;&gt;"",AF$5&gt;Mitarbeiter!$F$8),0,IF(Planung!AF10="",$C10,IF(ISNUMBER(Planung!AF10),Planung!AF10,IF(UPPER(Planung!AF10)="H",$C10/2,0)))))))</f>
        <v>0</v>
      </c>
      <c r="AG10" s="27">
        <f>IF($A10="",0,IF(Mitarbeiter!$G$8=FALSE,0,IF(AND(Mitarbeiter!$E$8&lt;&gt;"",AG$5+6&lt;Mitarbeiter!$E$8),0,IF(AND(Mitarbeiter!$F$8&lt;&gt;"",AG$5&gt;Mitarbeiter!$F$8),0,IF(Planung!AG10="",$C10,IF(ISNUMBER(Planung!AG10),Planung!AG10,IF(UPPER(Planung!AG10)="H",$C10/2,0)))))))</f>
        <v>0</v>
      </c>
      <c r="AH10" s="27">
        <f>IF($A10="",0,IF(Mitarbeiter!$G$8=FALSE,0,IF(AND(Mitarbeiter!$E$8&lt;&gt;"",AH$5+6&lt;Mitarbeiter!$E$8),0,IF(AND(Mitarbeiter!$F$8&lt;&gt;"",AH$5&gt;Mitarbeiter!$F$8),0,IF(Planung!AH10="",$C10,IF(ISNUMBER(Planung!AH10),Planung!AH10,IF(UPPER(Planung!AH10)="H",$C10/2,0)))))))</f>
        <v>0</v>
      </c>
      <c r="AI10" s="27">
        <f>IF($A10="",0,IF(Mitarbeiter!$G$8=FALSE,0,IF(AND(Mitarbeiter!$E$8&lt;&gt;"",AI$5+6&lt;Mitarbeiter!$E$8),0,IF(AND(Mitarbeiter!$F$8&lt;&gt;"",AI$5&gt;Mitarbeiter!$F$8),0,IF(Planung!AI10="",$C10,IF(ISNUMBER(Planung!AI10),Planung!AI10,IF(UPPER(Planung!AI10)="H",$C10/2,0)))))))</f>
        <v>0</v>
      </c>
      <c r="AJ10" s="27">
        <f>IF($A10="",0,IF(Mitarbeiter!$G$8=FALSE,0,IF(AND(Mitarbeiter!$E$8&lt;&gt;"",AJ$5+6&lt;Mitarbeiter!$E$8),0,IF(AND(Mitarbeiter!$F$8&lt;&gt;"",AJ$5&gt;Mitarbeiter!$F$8),0,IF(Planung!AJ10="",$C10,IF(ISNUMBER(Planung!AJ10),Planung!AJ10,IF(UPPER(Planung!AJ10)="H",$C10/2,0)))))))</f>
        <v>0</v>
      </c>
      <c r="AK10" s="27">
        <f>IF($A10="",0,IF(Mitarbeiter!$G$8=FALSE,0,IF(AND(Mitarbeiter!$E$8&lt;&gt;"",AK$5+6&lt;Mitarbeiter!$E$8),0,IF(AND(Mitarbeiter!$F$8&lt;&gt;"",AK$5&gt;Mitarbeiter!$F$8),0,IF(Planung!AK10="",$C10,IF(ISNUMBER(Planung!AK10),Planung!AK10,IF(UPPER(Planung!AK10)="H",$C10/2,0)))))))</f>
        <v>0</v>
      </c>
      <c r="AL10" s="27">
        <f>IF($A10="",0,IF(Mitarbeiter!$G$8=FALSE,0,IF(AND(Mitarbeiter!$E$8&lt;&gt;"",AL$5+6&lt;Mitarbeiter!$E$8),0,IF(AND(Mitarbeiter!$F$8&lt;&gt;"",AL$5&gt;Mitarbeiter!$F$8),0,IF(Planung!AL10="",$C10,IF(ISNUMBER(Planung!AL10),Planung!AL10,IF(UPPER(Planung!AL10)="H",$C10/2,0)))))))</f>
        <v>0</v>
      </c>
      <c r="AM10" s="27">
        <f>IF($A10="",0,IF(Mitarbeiter!$G$8=FALSE,0,IF(AND(Mitarbeiter!$E$8&lt;&gt;"",AM$5+6&lt;Mitarbeiter!$E$8),0,IF(AND(Mitarbeiter!$F$8&lt;&gt;"",AM$5&gt;Mitarbeiter!$F$8),0,IF(Planung!AM10="",$C10,IF(ISNUMBER(Planung!AM10),Planung!AM10,IF(UPPER(Planung!AM10)="H",$C10/2,0)))))))</f>
        <v>0</v>
      </c>
      <c r="AN10" s="27">
        <f>IF($A10="",0,IF(Mitarbeiter!$G$8=FALSE,0,IF(AND(Mitarbeiter!$E$8&lt;&gt;"",AN$5+6&lt;Mitarbeiter!$E$8),0,IF(AND(Mitarbeiter!$F$8&lt;&gt;"",AN$5&gt;Mitarbeiter!$F$8),0,IF(Planung!AN10="",$C10,IF(ISNUMBER(Planung!AN10),Planung!AN10,IF(UPPER(Planung!AN10)="H",$C10/2,0)))))))</f>
        <v>0</v>
      </c>
      <c r="AO10" s="27">
        <f>IF($A10="",0,IF(Mitarbeiter!$G$8=FALSE,0,IF(AND(Mitarbeiter!$E$8&lt;&gt;"",AO$5+6&lt;Mitarbeiter!$E$8),0,IF(AND(Mitarbeiter!$F$8&lt;&gt;"",AO$5&gt;Mitarbeiter!$F$8),0,IF(Planung!AO10="",$C10,IF(ISNUMBER(Planung!AO10),Planung!AO10,IF(UPPER(Planung!AO10)="H",$C10/2,0)))))))</f>
        <v>0</v>
      </c>
      <c r="AP10" s="27">
        <f>IF($A10="",0,IF(Mitarbeiter!$G$8=FALSE,0,IF(AND(Mitarbeiter!$E$8&lt;&gt;"",AP$5+6&lt;Mitarbeiter!$E$8),0,IF(AND(Mitarbeiter!$F$8&lt;&gt;"",AP$5&gt;Mitarbeiter!$F$8),0,IF(Planung!AP10="",$C10,IF(ISNUMBER(Planung!AP10),Planung!AP10,IF(UPPER(Planung!AP10)="H",$C10/2,0)))))))</f>
        <v>0</v>
      </c>
      <c r="AQ10" s="27">
        <f>IF($A10="",0,IF(Mitarbeiter!$G$8=FALSE,0,IF(AND(Mitarbeiter!$E$8&lt;&gt;"",AQ$5+6&lt;Mitarbeiter!$E$8),0,IF(AND(Mitarbeiter!$F$8&lt;&gt;"",AQ$5&gt;Mitarbeiter!$F$8),0,IF(Planung!AQ10="",$C10,IF(ISNUMBER(Planung!AQ10),Planung!AQ10,IF(UPPER(Planung!AQ10)="H",$C10/2,0)))))))</f>
        <v>0</v>
      </c>
      <c r="AR10" s="27">
        <f>IF($A10="",0,IF(Mitarbeiter!$G$8=FALSE,0,IF(AND(Mitarbeiter!$E$8&lt;&gt;"",AR$5+6&lt;Mitarbeiter!$E$8),0,IF(AND(Mitarbeiter!$F$8&lt;&gt;"",AR$5&gt;Mitarbeiter!$F$8),0,IF(Planung!AR10="",$C10,IF(ISNUMBER(Planung!AR10),Planung!AR10,IF(UPPER(Planung!AR10)="H",$C10/2,0)))))))</f>
        <v>0</v>
      </c>
      <c r="AS10" s="27">
        <f>IF($A10="",0,IF(Mitarbeiter!$G$8=FALSE,0,IF(AND(Mitarbeiter!$E$8&lt;&gt;"",AS$5+6&lt;Mitarbeiter!$E$8),0,IF(AND(Mitarbeiter!$F$8&lt;&gt;"",AS$5&gt;Mitarbeiter!$F$8),0,IF(Planung!AS10="",$C10,IF(ISNUMBER(Planung!AS10),Planung!AS10,IF(UPPER(Planung!AS10)="H",$C10/2,0)))))))</f>
        <v>0</v>
      </c>
      <c r="AT10" s="27">
        <f>IF($A10="",0,IF(Mitarbeiter!$G$8=FALSE,0,IF(AND(Mitarbeiter!$E$8&lt;&gt;"",AT$5+6&lt;Mitarbeiter!$E$8),0,IF(AND(Mitarbeiter!$F$8&lt;&gt;"",AT$5&gt;Mitarbeiter!$F$8),0,IF(Planung!AT10="",$C10,IF(ISNUMBER(Planung!AT10),Planung!AT10,IF(UPPER(Planung!AT10)="H",$C10/2,0)))))))</f>
        <v>0</v>
      </c>
      <c r="AU10" s="27">
        <f>IF($A10="",0,IF(Mitarbeiter!$G$8=FALSE,0,IF(AND(Mitarbeiter!$E$8&lt;&gt;"",AU$5+6&lt;Mitarbeiter!$E$8),0,IF(AND(Mitarbeiter!$F$8&lt;&gt;"",AU$5&gt;Mitarbeiter!$F$8),0,IF(Planung!AU10="",$C10,IF(ISNUMBER(Planung!AU10),Planung!AU10,IF(UPPER(Planung!AU10)="H",$C10/2,0)))))))</f>
        <v>0</v>
      </c>
      <c r="AV10" s="27">
        <f>IF($A10="",0,IF(Mitarbeiter!$G$8=FALSE,0,IF(AND(Mitarbeiter!$E$8&lt;&gt;"",AV$5+6&lt;Mitarbeiter!$E$8),0,IF(AND(Mitarbeiter!$F$8&lt;&gt;"",AV$5&gt;Mitarbeiter!$F$8),0,IF(Planung!AV10="",$C10,IF(ISNUMBER(Planung!AV10),Planung!AV10,IF(UPPER(Planung!AV10)="H",$C10/2,0)))))))</f>
        <v>0</v>
      </c>
      <c r="AW10" s="27">
        <f>IF($A10="",0,IF(Mitarbeiter!$G$8=FALSE,0,IF(AND(Mitarbeiter!$E$8&lt;&gt;"",AW$5+6&lt;Mitarbeiter!$E$8),0,IF(AND(Mitarbeiter!$F$8&lt;&gt;"",AW$5&gt;Mitarbeiter!$F$8),0,IF(Planung!AW10="",$C10,IF(ISNUMBER(Planung!AW10),Planung!AW10,IF(UPPER(Planung!AW10)="H",$C10/2,0)))))))</f>
        <v>0</v>
      </c>
      <c r="AX10" s="27">
        <f>IF($A10="",0,IF(Mitarbeiter!$G$8=FALSE,0,IF(AND(Mitarbeiter!$E$8&lt;&gt;"",AX$5+6&lt;Mitarbeiter!$E$8),0,IF(AND(Mitarbeiter!$F$8&lt;&gt;"",AX$5&gt;Mitarbeiter!$F$8),0,IF(Planung!AX10="",$C10,IF(ISNUMBER(Planung!AX10),Planung!AX10,IF(UPPER(Planung!AX10)="H",$C10/2,0)))))))</f>
        <v>0</v>
      </c>
      <c r="AY10" s="27">
        <f>IF($A10="",0,IF(Mitarbeiter!$G$8=FALSE,0,IF(AND(Mitarbeiter!$E$8&lt;&gt;"",AY$5+6&lt;Mitarbeiter!$E$8),0,IF(AND(Mitarbeiter!$F$8&lt;&gt;"",AY$5&gt;Mitarbeiter!$F$8),0,IF(Planung!AY10="",$C10,IF(ISNUMBER(Planung!AY10),Planung!AY10,IF(UPPER(Planung!AY10)="H",$C10/2,0)))))))</f>
        <v>0</v>
      </c>
      <c r="AZ10" s="27">
        <f>IF($A10="",0,IF(Mitarbeiter!$G$8=FALSE,0,IF(AND(Mitarbeiter!$E$8&lt;&gt;"",AZ$5+6&lt;Mitarbeiter!$E$8),0,IF(AND(Mitarbeiter!$F$8&lt;&gt;"",AZ$5&gt;Mitarbeiter!$F$8),0,IF(Planung!AZ10="",$C10,IF(ISNUMBER(Planung!AZ10),Planung!AZ10,IF(UPPER(Planung!AZ10)="H",$C10/2,0)))))))</f>
        <v>0</v>
      </c>
      <c r="BA10" s="27">
        <f>IF($A10="",0,IF(Mitarbeiter!$G$8=FALSE,0,IF(AND(Mitarbeiter!$E$8&lt;&gt;"",BA$5+6&lt;Mitarbeiter!$E$8),0,IF(AND(Mitarbeiter!$F$8&lt;&gt;"",BA$5&gt;Mitarbeiter!$F$8),0,IF(Planung!BA10="",$C10,IF(ISNUMBER(Planung!BA10),Planung!BA10,IF(UPPER(Planung!BA10)="H",$C10/2,0)))))))</f>
        <v>0</v>
      </c>
      <c r="BB10" s="27">
        <f>IF($A10="",0,IF(Mitarbeiter!$G$8=FALSE,0,IF(AND(Mitarbeiter!$E$8&lt;&gt;"",BB$5+6&lt;Mitarbeiter!$E$8),0,IF(AND(Mitarbeiter!$F$8&lt;&gt;"",BB$5&gt;Mitarbeiter!$F$8),0,IF(Planung!BB10="",$C10,IF(ISNUMBER(Planung!BB10),Planung!BB10,IF(UPPER(Planung!BB10)="H",$C10/2,0)))))))</f>
        <v>0</v>
      </c>
      <c r="BC10" s="27">
        <f>IF($A10="",0,IF(Mitarbeiter!$G$8=FALSE,0,IF(AND(Mitarbeiter!$E$8&lt;&gt;"",BC$5+6&lt;Mitarbeiter!$E$8),0,IF(AND(Mitarbeiter!$F$8&lt;&gt;"",BC$5&gt;Mitarbeiter!$F$8),0,IF(Planung!BC10="",$C10,IF(ISNUMBER(Planung!BC10),Planung!BC10,IF(UPPER(Planung!BC10)="H",$C10/2,0)))))))</f>
        <v>0</v>
      </c>
      <c r="BD10" s="27">
        <f>IF($A10="",0,IF(Mitarbeiter!$G$8=FALSE,0,IF(AND(Mitarbeiter!$E$8&lt;&gt;"",BD$5+6&lt;Mitarbeiter!$E$8),0,IF(AND(Mitarbeiter!$F$8&lt;&gt;"",BD$5&gt;Mitarbeiter!$F$8),0,IF(Planung!BD10="",$C10,IF(ISNUMBER(Planung!BD10),Planung!BD10,IF(UPPER(Planung!BD10)="H",$C10/2,0)))))))</f>
        <v>0</v>
      </c>
      <c r="BE10" s="27">
        <f>IF($A10="",0,IF(Mitarbeiter!$G$8=FALSE,0,IF(AND(Mitarbeiter!$E$8&lt;&gt;"",BE$5+6&lt;Mitarbeiter!$E$8),0,IF(AND(Mitarbeiter!$F$8&lt;&gt;"",BE$5&gt;Mitarbeiter!$F$8),0,IF(Planung!BE10="",$C10,IF(ISNUMBER(Planung!BE10),Planung!BE10,IF(UPPER(Planung!BE10)="H",$C10/2,0)))))))</f>
        <v>0</v>
      </c>
      <c r="BF10" s="27">
        <f>IF($A10="",0,IF(Mitarbeiter!$G$8=FALSE,0,IF(AND(Mitarbeiter!$E$8&lt;&gt;"",BF$5+6&lt;Mitarbeiter!$E$8),0,IF(AND(Mitarbeiter!$F$8&lt;&gt;"",BF$5&gt;Mitarbeiter!$F$8),0,IF(Planung!BF10="",$C10,IF(ISNUMBER(Planung!BF10),Planung!BF10,IF(UPPER(Planung!BF10)="H",$C10/2,0)))))))</f>
        <v>0</v>
      </c>
      <c r="BG10" s="27">
        <f>IF($A10="",0,IF(Mitarbeiter!$G$8=FALSE,0,IF(AND(Mitarbeiter!$E$8&lt;&gt;"",BG$5+6&lt;Mitarbeiter!$E$8),0,IF(AND(Mitarbeiter!$F$8&lt;&gt;"",BG$5&gt;Mitarbeiter!$F$8),0,IF(Planung!BG10="",$C10,IF(ISNUMBER(Planung!BG10),Planung!BG10,IF(UPPER(Planung!BG10)="H",$C10/2,0)))))))</f>
        <v>0</v>
      </c>
      <c r="BH10" s="27">
        <f>IF($A10="",0,IF(Mitarbeiter!$G$8=FALSE,0,IF(AND(Mitarbeiter!$E$8&lt;&gt;"",BH$5+6&lt;Mitarbeiter!$E$8),0,IF(AND(Mitarbeiter!$F$8&lt;&gt;"",BH$5&gt;Mitarbeiter!$F$8),0,IF(Planung!BH10="",$C10,IF(ISNUMBER(Planung!BH10),Planung!BH10,IF(UPPER(Planung!BH10)="H",$C10/2,0)))))))</f>
        <v>0</v>
      </c>
      <c r="BI10" s="27">
        <f>IF($A10="",0,IF(Mitarbeiter!$G$8=FALSE,0,IF(AND(Mitarbeiter!$E$8&lt;&gt;"",BI$5+6&lt;Mitarbeiter!$E$8),0,IF(AND(Mitarbeiter!$F$8&lt;&gt;"",BI$5&gt;Mitarbeiter!$F$8),0,IF(Planung!BI10="",$C10,IF(ISNUMBER(Planung!BI10),Planung!BI10,IF(UPPER(Planung!BI10)="H",$C10/2,0)))))))</f>
        <v>0</v>
      </c>
      <c r="BJ10" s="27">
        <f>IF($A10="",0,IF(Mitarbeiter!$G$8=FALSE,0,IF(AND(Mitarbeiter!$E$8&lt;&gt;"",BJ$5+6&lt;Mitarbeiter!$E$8),0,IF(AND(Mitarbeiter!$F$8&lt;&gt;"",BJ$5&gt;Mitarbeiter!$F$8),0,IF(Planung!BJ10="",$C10,IF(ISNUMBER(Planung!BJ10),Planung!BJ10,IF(UPPER(Planung!BJ10)="H",$C10/2,0)))))))</f>
        <v>0</v>
      </c>
      <c r="BK10" s="27">
        <f>IF($A10="",0,IF(Mitarbeiter!$G$8=FALSE,0,IF(AND(Mitarbeiter!$E$8&lt;&gt;"",BK$5+6&lt;Mitarbeiter!$E$8),0,IF(AND(Mitarbeiter!$F$8&lt;&gt;"",BK$5&gt;Mitarbeiter!$F$8),0,IF(Planung!BK10="",$C10,IF(ISNUMBER(Planung!BK10),Planung!BK10,IF(UPPER(Planung!BK10)="H",$C10/2,0)))))))</f>
        <v>0</v>
      </c>
      <c r="BL10" s="27">
        <f>IF($A10="",0,IF(Mitarbeiter!$G$8=FALSE,0,IF(AND(Mitarbeiter!$E$8&lt;&gt;"",BL$5+6&lt;Mitarbeiter!$E$8),0,IF(AND(Mitarbeiter!$F$8&lt;&gt;"",BL$5&gt;Mitarbeiter!$F$8),0,IF(Planung!BL10="",$C10,IF(ISNUMBER(Planung!BL10),Planung!BL10,IF(UPPER(Planung!BL10)="H",$C10/2,0)))))))</f>
        <v>0</v>
      </c>
      <c r="BM10" s="27">
        <f>IF($A10="",0,IF(Mitarbeiter!$G$8=FALSE,0,IF(AND(Mitarbeiter!$E$8&lt;&gt;"",BM$5+6&lt;Mitarbeiter!$E$8),0,IF(AND(Mitarbeiter!$F$8&lt;&gt;"",BM$5&gt;Mitarbeiter!$F$8),0,IF(Planung!BM10="",$C10,IF(ISNUMBER(Planung!BM10),Planung!BM10,IF(UPPER(Planung!BM10)="H",$C10/2,0)))))))</f>
        <v>0</v>
      </c>
      <c r="BN10" s="27">
        <f>IF($A10="",0,IF(Mitarbeiter!$G$8=FALSE,0,IF(AND(Mitarbeiter!$E$8&lt;&gt;"",BN$5+6&lt;Mitarbeiter!$E$8),0,IF(AND(Mitarbeiter!$F$8&lt;&gt;"",BN$5&gt;Mitarbeiter!$F$8),0,IF(Planung!BN10="",$C10,IF(ISNUMBER(Planung!BN10),Planung!BN10,IF(UPPER(Planung!BN10)="H",$C10/2,0)))))))</f>
        <v>0</v>
      </c>
      <c r="BO10" s="27">
        <f>IF($A10="",0,IF(Mitarbeiter!$G$8=FALSE,0,IF(AND(Mitarbeiter!$E$8&lt;&gt;"",BO$5+6&lt;Mitarbeiter!$E$8),0,IF(AND(Mitarbeiter!$F$8&lt;&gt;"",BO$5&gt;Mitarbeiter!$F$8),0,IF(Planung!BO10="",$C10,IF(ISNUMBER(Planung!BO10),Planung!BO10,IF(UPPER(Planung!BO10)="H",$C10/2,0)))))))</f>
        <v>0</v>
      </c>
      <c r="BP10" s="27">
        <f>IF($A10="",0,IF(Mitarbeiter!$G$8=FALSE,0,IF(AND(Mitarbeiter!$E$8&lt;&gt;"",BP$5+6&lt;Mitarbeiter!$E$8),0,IF(AND(Mitarbeiter!$F$8&lt;&gt;"",BP$5&gt;Mitarbeiter!$F$8),0,IF(Planung!BP10="",$C10,IF(ISNUMBER(Planung!BP10),Planung!BP10,IF(UPPER(Planung!BP10)="H",$C10/2,0)))))))</f>
        <v>0</v>
      </c>
      <c r="BQ10" s="27">
        <f>IF($A10="",0,IF(Mitarbeiter!$G$8=FALSE,0,IF(AND(Mitarbeiter!$E$8&lt;&gt;"",BQ$5+6&lt;Mitarbeiter!$E$8),0,IF(AND(Mitarbeiter!$F$8&lt;&gt;"",BQ$5&gt;Mitarbeiter!$F$8),0,IF(Planung!BQ10="",$C10,IF(ISNUMBER(Planung!BQ10),Planung!BQ10,IF(UPPER(Planung!BQ10)="H",$C10/2,0)))))))</f>
        <v>0</v>
      </c>
      <c r="BR10" s="27">
        <f>IF($A10="",0,IF(Mitarbeiter!$G$8=FALSE,0,IF(AND(Mitarbeiter!$E$8&lt;&gt;"",BR$5+6&lt;Mitarbeiter!$E$8),0,IF(AND(Mitarbeiter!$F$8&lt;&gt;"",BR$5&gt;Mitarbeiter!$F$8),0,IF(Planung!BR10="",$C10,IF(ISNUMBER(Planung!BR10),Planung!BR10,IF(UPPER(Planung!BR10)="H",$C10/2,0)))))))</f>
        <v>0</v>
      </c>
      <c r="BS10" s="27">
        <f>IF($A10="",0,IF(Mitarbeiter!$G$8=FALSE,0,IF(AND(Mitarbeiter!$E$8&lt;&gt;"",BS$5+6&lt;Mitarbeiter!$E$8),0,IF(AND(Mitarbeiter!$F$8&lt;&gt;"",BS$5&gt;Mitarbeiter!$F$8),0,IF(Planung!BS10="",$C10,IF(ISNUMBER(Planung!BS10),Planung!BS10,IF(UPPER(Planung!BS10)="H",$C10/2,0)))))))</f>
        <v>0</v>
      </c>
      <c r="BT10" s="27">
        <f>IF($A10="",0,IF(Mitarbeiter!$G$8=FALSE,0,IF(AND(Mitarbeiter!$E$8&lt;&gt;"",BT$5+6&lt;Mitarbeiter!$E$8),0,IF(AND(Mitarbeiter!$F$8&lt;&gt;"",BT$5&gt;Mitarbeiter!$F$8),0,IF(Planung!BT10="",$C10,IF(ISNUMBER(Planung!BT10),Planung!BT10,IF(UPPER(Planung!BT10)="H",$C10/2,0)))))))</f>
        <v>0</v>
      </c>
      <c r="BU10" s="27">
        <f>IF($A10="",0,IF(Mitarbeiter!$G$8=FALSE,0,IF(AND(Mitarbeiter!$E$8&lt;&gt;"",BU$5+6&lt;Mitarbeiter!$E$8),0,IF(AND(Mitarbeiter!$F$8&lt;&gt;"",BU$5&gt;Mitarbeiter!$F$8),0,IF(Planung!BU10="",$C10,IF(ISNUMBER(Planung!BU10),Planung!BU10,IF(UPPER(Planung!BU10)="H",$C10/2,0)))))))</f>
        <v>0</v>
      </c>
      <c r="BV10" s="27">
        <f>IF($A10="",0,IF(Mitarbeiter!$G$8=FALSE,0,IF(AND(Mitarbeiter!$E$8&lt;&gt;"",BV$5+6&lt;Mitarbeiter!$E$8),0,IF(AND(Mitarbeiter!$F$8&lt;&gt;"",BV$5&gt;Mitarbeiter!$F$8),0,IF(Planung!BV10="",$C10,IF(ISNUMBER(Planung!BV10),Planung!BV10,IF(UPPER(Planung!BV10)="H",$C10/2,0)))))))</f>
        <v>0</v>
      </c>
      <c r="BW10" s="27">
        <f>IF($A10="",0,IF(Mitarbeiter!$G$8=FALSE,0,IF(AND(Mitarbeiter!$E$8&lt;&gt;"",BW$5+6&lt;Mitarbeiter!$E$8),0,IF(AND(Mitarbeiter!$F$8&lt;&gt;"",BW$5&gt;Mitarbeiter!$F$8),0,IF(Planung!BW10="",$C10,IF(ISNUMBER(Planung!BW10),Planung!BW10,IF(UPPER(Planung!BW10)="H",$C10/2,0)))))))</f>
        <v>0</v>
      </c>
      <c r="BX10" s="27">
        <f>IF($A10="",0,IF(Mitarbeiter!$G$8=FALSE,0,IF(AND(Mitarbeiter!$E$8&lt;&gt;"",BX$5+6&lt;Mitarbeiter!$E$8),0,IF(AND(Mitarbeiter!$F$8&lt;&gt;"",BX$5&gt;Mitarbeiter!$F$8),0,IF(Planung!BX10="",$C10,IF(ISNUMBER(Planung!BX10),Planung!BX10,IF(UPPER(Planung!BX10)="H",$C10/2,0)))))))</f>
        <v>0</v>
      </c>
      <c r="BY10" s="27">
        <f>IF($A10="",0,IF(Mitarbeiter!$G$8=FALSE,0,IF(AND(Mitarbeiter!$E$8&lt;&gt;"",BY$5+6&lt;Mitarbeiter!$E$8),0,IF(AND(Mitarbeiter!$F$8&lt;&gt;"",BY$5&gt;Mitarbeiter!$F$8),0,IF(Planung!BY10="",$C10,IF(ISNUMBER(Planung!BY10),Planung!BY10,IF(UPPER(Planung!BY10)="H",$C10/2,0)))))))</f>
        <v>0</v>
      </c>
      <c r="BZ10" s="27">
        <f>IF($A10="",0,IF(Mitarbeiter!$G$8=FALSE,0,IF(AND(Mitarbeiter!$E$8&lt;&gt;"",BZ$5+6&lt;Mitarbeiter!$E$8),0,IF(AND(Mitarbeiter!$F$8&lt;&gt;"",BZ$5&gt;Mitarbeiter!$F$8),0,IF(Planung!BZ10="",$C10,IF(ISNUMBER(Planung!BZ10),Planung!BZ10,IF(UPPER(Planung!BZ10)="H",$C10/2,0)))))))</f>
        <v>0</v>
      </c>
      <c r="CA10" s="27">
        <f>IF($A10="",0,IF(Mitarbeiter!$G$8=FALSE,0,IF(AND(Mitarbeiter!$E$8&lt;&gt;"",CA$5+6&lt;Mitarbeiter!$E$8),0,IF(AND(Mitarbeiter!$F$8&lt;&gt;"",CA$5&gt;Mitarbeiter!$F$8),0,IF(Planung!CA10="",$C10,IF(ISNUMBER(Planung!CA10),Planung!CA10,IF(UPPER(Planung!CA10)="H",$C10/2,0)))))))</f>
        <v>0</v>
      </c>
      <c r="CB10" s="27">
        <f>IF($A10="",0,IF(Mitarbeiter!$G$8=FALSE,0,IF(AND(Mitarbeiter!$E$8&lt;&gt;"",CB$5+6&lt;Mitarbeiter!$E$8),0,IF(AND(Mitarbeiter!$F$8&lt;&gt;"",CB$5&gt;Mitarbeiter!$F$8),0,IF(Planung!CB10="",$C10,IF(ISNUMBER(Planung!CB10),Planung!CB10,IF(UPPER(Planung!CB10)="H",$C10/2,0)))))))</f>
        <v>0</v>
      </c>
      <c r="CC10" s="27">
        <f>IF($A10="",0,IF(Mitarbeiter!$G$8=FALSE,0,IF(AND(Mitarbeiter!$E$8&lt;&gt;"",CC$5+6&lt;Mitarbeiter!$E$8),0,IF(AND(Mitarbeiter!$F$8&lt;&gt;"",CC$5&gt;Mitarbeiter!$F$8),0,IF(Planung!CC10="",$C10,IF(ISNUMBER(Planung!CC10),Planung!CC10,IF(UPPER(Planung!CC10)="H",$C10/2,0)))))))</f>
        <v>0</v>
      </c>
      <c r="CD10" s="27">
        <f>IF($A10="",0,IF(Mitarbeiter!$G$8=FALSE,0,IF(AND(Mitarbeiter!$E$8&lt;&gt;"",CD$5+6&lt;Mitarbeiter!$E$8),0,IF(AND(Mitarbeiter!$F$8&lt;&gt;"",CD$5&gt;Mitarbeiter!$F$8),0,IF(Planung!CD10="",$C10,IF(ISNUMBER(Planung!CD10),Planung!CD10,IF(UPPER(Planung!CD10)="H",$C10/2,0)))))))</f>
        <v>0</v>
      </c>
      <c r="CE10" s="27">
        <f>IF($A10="",0,IF(Mitarbeiter!$G$8=FALSE,0,IF(AND(Mitarbeiter!$E$8&lt;&gt;"",CE$5+6&lt;Mitarbeiter!$E$8),0,IF(AND(Mitarbeiter!$F$8&lt;&gt;"",CE$5&gt;Mitarbeiter!$F$8),0,IF(Planung!CE10="",$C10,IF(ISNUMBER(Planung!CE10),Planung!CE10,IF(UPPER(Planung!CE10)="H",$C10/2,0)))))))</f>
        <v>0</v>
      </c>
      <c r="CF10" s="27">
        <f>IF($A10="",0,IF(Mitarbeiter!$G$8=FALSE,0,IF(AND(Mitarbeiter!$E$8&lt;&gt;"",CF$5+6&lt;Mitarbeiter!$E$8),0,IF(AND(Mitarbeiter!$F$8&lt;&gt;"",CF$5&gt;Mitarbeiter!$F$8),0,IF(Planung!CF10="",$C10,IF(ISNUMBER(Planung!CF10),Planung!CF10,IF(UPPER(Planung!CF10)="H",$C10/2,0)))))))</f>
        <v>0</v>
      </c>
      <c r="CG10" s="27">
        <f>IF($A10="",0,IF(Mitarbeiter!$G$8=FALSE,0,IF(AND(Mitarbeiter!$E$8&lt;&gt;"",CG$5+6&lt;Mitarbeiter!$E$8),0,IF(AND(Mitarbeiter!$F$8&lt;&gt;"",CG$5&gt;Mitarbeiter!$F$8),0,IF(Planung!CG10="",$C10,IF(ISNUMBER(Planung!CG10),Planung!CG10,IF(UPPER(Planung!CG10)="H",$C10/2,0)))))))</f>
        <v>0</v>
      </c>
      <c r="CH10" s="27">
        <f>IF($A10="",0,IF(Mitarbeiter!$G$8=FALSE,0,IF(AND(Mitarbeiter!$E$8&lt;&gt;"",CH$5+6&lt;Mitarbeiter!$E$8),0,IF(AND(Mitarbeiter!$F$8&lt;&gt;"",CH$5&gt;Mitarbeiter!$F$8),0,IF(Planung!CH10="",$C10,IF(ISNUMBER(Planung!CH10),Planung!CH10,IF(UPPER(Planung!CH10)="H",$C10/2,0)))))))</f>
        <v>0</v>
      </c>
      <c r="CI10" s="27">
        <f>IF($A10="",0,IF(Mitarbeiter!$G$8=FALSE,0,IF(AND(Mitarbeiter!$E$8&lt;&gt;"",CI$5+6&lt;Mitarbeiter!$E$8),0,IF(AND(Mitarbeiter!$F$8&lt;&gt;"",CI$5&gt;Mitarbeiter!$F$8),0,IF(Planung!CI10="",$C10,IF(ISNUMBER(Planung!CI10),Planung!CI10,IF(UPPER(Planung!CI10)="H",$C10/2,0)))))))</f>
        <v>0</v>
      </c>
      <c r="CJ10" s="27">
        <f>IF($A10="",0,IF(Mitarbeiter!$G$8=FALSE,0,IF(AND(Mitarbeiter!$E$8&lt;&gt;"",CJ$5+6&lt;Mitarbeiter!$E$8),0,IF(AND(Mitarbeiter!$F$8&lt;&gt;"",CJ$5&gt;Mitarbeiter!$F$8),0,IF(Planung!CJ10="",$C10,IF(ISNUMBER(Planung!CJ10),Planung!CJ10,IF(UPPER(Planung!CJ10)="H",$C10/2,0)))))))</f>
        <v>0</v>
      </c>
      <c r="CK10" s="27">
        <f>IF($A10="",0,IF(Mitarbeiter!$G$8=FALSE,0,IF(AND(Mitarbeiter!$E$8&lt;&gt;"",CK$5+6&lt;Mitarbeiter!$E$8),0,IF(AND(Mitarbeiter!$F$8&lt;&gt;"",CK$5&gt;Mitarbeiter!$F$8),0,IF(Planung!CK10="",$C10,IF(ISNUMBER(Planung!CK10),Planung!CK10,IF(UPPER(Planung!CK10)="H",$C10/2,0)))))))</f>
        <v>0</v>
      </c>
      <c r="CL10" s="27">
        <f>IF($A10="",0,IF(Mitarbeiter!$G$8=FALSE,0,IF(AND(Mitarbeiter!$E$8&lt;&gt;"",CL$5+6&lt;Mitarbeiter!$E$8),0,IF(AND(Mitarbeiter!$F$8&lt;&gt;"",CL$5&gt;Mitarbeiter!$F$8),0,IF(Planung!CL10="",$C10,IF(ISNUMBER(Planung!CL10),Planung!CL10,IF(UPPER(Planung!CL10)="H",$C10/2,0)))))))</f>
        <v>0</v>
      </c>
      <c r="CM10" s="27">
        <f>IF($A10="",0,IF(Mitarbeiter!$G$8=FALSE,0,IF(AND(Mitarbeiter!$E$8&lt;&gt;"",CM$5+6&lt;Mitarbeiter!$E$8),0,IF(AND(Mitarbeiter!$F$8&lt;&gt;"",CM$5&gt;Mitarbeiter!$F$8),0,IF(Planung!CM10="",$C10,IF(ISNUMBER(Planung!CM10),Planung!CM10,IF(UPPER(Planung!CM10)="H",$C10/2,0)))))))</f>
        <v>0</v>
      </c>
      <c r="CN10" s="27">
        <f>IF($A10="",0,IF(Mitarbeiter!$G$8=FALSE,0,IF(AND(Mitarbeiter!$E$8&lt;&gt;"",CN$5+6&lt;Mitarbeiter!$E$8),0,IF(AND(Mitarbeiter!$F$8&lt;&gt;"",CN$5&gt;Mitarbeiter!$F$8),0,IF(Planung!CN10="",$C10,IF(ISNUMBER(Planung!CN10),Planung!CN10,IF(UPPER(Planung!CN10)="H",$C10/2,0)))))))</f>
        <v>0</v>
      </c>
      <c r="CO10" s="27">
        <f>IF($A10="",0,IF(Mitarbeiter!$G$8=FALSE,0,IF(AND(Mitarbeiter!$E$8&lt;&gt;"",CO$5+6&lt;Mitarbeiter!$E$8),0,IF(AND(Mitarbeiter!$F$8&lt;&gt;"",CO$5&gt;Mitarbeiter!$F$8),0,IF(Planung!CO10="",$C10,IF(ISNUMBER(Planung!CO10),Planung!CO10,IF(UPPER(Planung!CO10)="H",$C10/2,0)))))))</f>
        <v>0</v>
      </c>
      <c r="CP10" s="27">
        <f>IF($A10="",0,IF(Mitarbeiter!$G$8=FALSE,0,IF(AND(Mitarbeiter!$E$8&lt;&gt;"",CP$5+6&lt;Mitarbeiter!$E$8),0,IF(AND(Mitarbeiter!$F$8&lt;&gt;"",CP$5&gt;Mitarbeiter!$F$8),0,IF(Planung!CP10="",$C10,IF(ISNUMBER(Planung!CP10),Planung!CP10,IF(UPPER(Planung!CP10)="H",$C10/2,0)))))))</f>
        <v>0</v>
      </c>
      <c r="CQ10" s="27">
        <f>IF($A10="",0,IF(Mitarbeiter!$G$8=FALSE,0,IF(AND(Mitarbeiter!$E$8&lt;&gt;"",CQ$5+6&lt;Mitarbeiter!$E$8),0,IF(AND(Mitarbeiter!$F$8&lt;&gt;"",CQ$5&gt;Mitarbeiter!$F$8),0,IF(Planung!CQ10="",$C10,IF(ISNUMBER(Planung!CQ10),Planung!CQ10,IF(UPPER(Planung!CQ10)="H",$C10/2,0)))))))</f>
        <v>0</v>
      </c>
      <c r="CR10" s="27">
        <f>IF($A10="",0,IF(Mitarbeiter!$G$8=FALSE,0,IF(AND(Mitarbeiter!$E$8&lt;&gt;"",CR$5+6&lt;Mitarbeiter!$E$8),0,IF(AND(Mitarbeiter!$F$8&lt;&gt;"",CR$5&gt;Mitarbeiter!$F$8),0,IF(Planung!CR10="",$C10,IF(ISNUMBER(Planung!CR10),Planung!CR10,IF(UPPER(Planung!CR10)="H",$C10/2,0)))))))</f>
        <v>0</v>
      </c>
      <c r="CS10" s="27">
        <f>IF($A10="",0,IF(Mitarbeiter!$G$8=FALSE,0,IF(AND(Mitarbeiter!$E$8&lt;&gt;"",CS$5+6&lt;Mitarbeiter!$E$8),0,IF(AND(Mitarbeiter!$F$8&lt;&gt;"",CS$5&gt;Mitarbeiter!$F$8),0,IF(Planung!CS10="",$C10,IF(ISNUMBER(Planung!CS10),Planung!CS10,IF(UPPER(Planung!CS10)="H",$C10/2,0)))))))</f>
        <v>0</v>
      </c>
      <c r="CT10" s="27">
        <f>IF($A10="",0,IF(Mitarbeiter!$G$8=FALSE,0,IF(AND(Mitarbeiter!$E$8&lt;&gt;"",CT$5+6&lt;Mitarbeiter!$E$8),0,IF(AND(Mitarbeiter!$F$8&lt;&gt;"",CT$5&gt;Mitarbeiter!$F$8),0,IF(Planung!CT10="",$C10,IF(ISNUMBER(Planung!CT10),Planung!CT10,IF(UPPER(Planung!CT10)="H",$C10/2,0)))))))</f>
        <v>0</v>
      </c>
      <c r="CU10" s="27">
        <f>IF($A10="",0,IF(Mitarbeiter!$G$8=FALSE,0,IF(AND(Mitarbeiter!$E$8&lt;&gt;"",CU$5+6&lt;Mitarbeiter!$E$8),0,IF(AND(Mitarbeiter!$F$8&lt;&gt;"",CU$5&gt;Mitarbeiter!$F$8),0,IF(Planung!CU10="",$C10,IF(ISNUMBER(Planung!CU10),Planung!CU10,IF(UPPER(Planung!CU10)="H",$C10/2,0)))))))</f>
        <v>0</v>
      </c>
      <c r="CV10" s="27">
        <f>IF($A10="",0,IF(Mitarbeiter!$G$8=FALSE,0,IF(AND(Mitarbeiter!$E$8&lt;&gt;"",CV$5+6&lt;Mitarbeiter!$E$8),0,IF(AND(Mitarbeiter!$F$8&lt;&gt;"",CV$5&gt;Mitarbeiter!$F$8),0,IF(Planung!CV10="",$C10,IF(ISNUMBER(Planung!CV10),Planung!CV10,IF(UPPER(Planung!CV10)="H",$C10/2,0)))))))</f>
        <v>0</v>
      </c>
      <c r="CW10" s="27">
        <f>IF($A10="",0,IF(Mitarbeiter!$G$8=FALSE,0,IF(AND(Mitarbeiter!$E$8&lt;&gt;"",CW$5+6&lt;Mitarbeiter!$E$8),0,IF(AND(Mitarbeiter!$F$8&lt;&gt;"",CW$5&gt;Mitarbeiter!$F$8),0,IF(Planung!CW10="",$C10,IF(ISNUMBER(Planung!CW10),Planung!CW10,IF(UPPER(Planung!CW10)="H",$C10/2,0)))))))</f>
        <v>0</v>
      </c>
      <c r="CX10" s="27">
        <f>IF($A10="",0,IF(Mitarbeiter!$G$8=FALSE,0,IF(AND(Mitarbeiter!$E$8&lt;&gt;"",CX$5+6&lt;Mitarbeiter!$E$8),0,IF(AND(Mitarbeiter!$F$8&lt;&gt;"",CX$5&gt;Mitarbeiter!$F$8),0,IF(Planung!CX10="",$C10,IF(ISNUMBER(Planung!CX10),Planung!CX10,IF(UPPER(Planung!CX10)="H",$C10/2,0)))))))</f>
        <v>0</v>
      </c>
      <c r="CY10" s="27">
        <f>IF($A10="",0,IF(Mitarbeiter!$G$8=FALSE,0,IF(AND(Mitarbeiter!$E$8&lt;&gt;"",CY$5+6&lt;Mitarbeiter!$E$8),0,IF(AND(Mitarbeiter!$F$8&lt;&gt;"",CY$5&gt;Mitarbeiter!$F$8),0,IF(Planung!CY10="",$C10,IF(ISNUMBER(Planung!CY10),Planung!CY10,IF(UPPER(Planung!CY10)="H",$C10/2,0)))))))</f>
        <v>0</v>
      </c>
      <c r="CZ10" s="27">
        <f>IF($A10="",0,IF(Mitarbeiter!$G$8=FALSE,0,IF(AND(Mitarbeiter!$E$8&lt;&gt;"",CZ$5+6&lt;Mitarbeiter!$E$8),0,IF(AND(Mitarbeiter!$F$8&lt;&gt;"",CZ$5&gt;Mitarbeiter!$F$8),0,IF(Planung!CZ10="",$C10,IF(ISNUMBER(Planung!CZ10),Planung!CZ10,IF(UPPER(Planung!CZ10)="H",$C10/2,0)))))))</f>
        <v>0</v>
      </c>
      <c r="DA10" s="27">
        <f>IF($A10="",0,IF(Mitarbeiter!$G$8=FALSE,0,IF(AND(Mitarbeiter!$E$8&lt;&gt;"",DA$5+6&lt;Mitarbeiter!$E$8),0,IF(AND(Mitarbeiter!$F$8&lt;&gt;"",DA$5&gt;Mitarbeiter!$F$8),0,IF(Planung!DA10="",$C10,IF(ISNUMBER(Planung!DA10),Planung!DA10,IF(UPPER(Planung!DA10)="H",$C10/2,0)))))))</f>
        <v>0</v>
      </c>
      <c r="DB10" s="27">
        <f>IF($A10="",0,IF(Mitarbeiter!$G$8=FALSE,0,IF(AND(Mitarbeiter!$E$8&lt;&gt;"",DB$5+6&lt;Mitarbeiter!$E$8),0,IF(AND(Mitarbeiter!$F$8&lt;&gt;"",DB$5&gt;Mitarbeiter!$F$8),0,IF(Planung!DB10="",$C10,IF(ISNUMBER(Planung!DB10),Planung!DB10,IF(UPPER(Planung!DB10)="H",$C10/2,0)))))))</f>
        <v>0</v>
      </c>
      <c r="DC10" s="27">
        <f>IF($A10="",0,IF(Mitarbeiter!$G$8=FALSE,0,IF(AND(Mitarbeiter!$E$8&lt;&gt;"",DC$5+6&lt;Mitarbeiter!$E$8),0,IF(AND(Mitarbeiter!$F$8&lt;&gt;"",DC$5&gt;Mitarbeiter!$F$8),0,IF(Planung!DC10="",$C10,IF(ISNUMBER(Planung!DC10),Planung!DC10,IF(UPPER(Planung!DC10)="H",$C10/2,0)))))))</f>
        <v>0</v>
      </c>
      <c r="DD10" s="27">
        <f>IF($A10="",0,IF(Mitarbeiter!$G$8=FALSE,0,IF(AND(Mitarbeiter!$E$8&lt;&gt;"",DD$5+6&lt;Mitarbeiter!$E$8),0,IF(AND(Mitarbeiter!$F$8&lt;&gt;"",DD$5&gt;Mitarbeiter!$F$8),0,IF(Planung!DD10="",$C10,IF(ISNUMBER(Planung!DD10),Planung!DD10,IF(UPPER(Planung!DD10)="H",$C10/2,0)))))))</f>
        <v>0</v>
      </c>
      <c r="DE10" s="27">
        <f>IF($A10="",0,IF(Mitarbeiter!$G$8=FALSE,0,IF(AND(Mitarbeiter!$E$8&lt;&gt;"",DE$5+6&lt;Mitarbeiter!$E$8),0,IF(AND(Mitarbeiter!$F$8&lt;&gt;"",DE$5&gt;Mitarbeiter!$F$8),0,IF(Planung!DE10="",$C10,IF(ISNUMBER(Planung!DE10),Planung!DE10,IF(UPPER(Planung!DE10)="H",$C10/2,0)))))))</f>
        <v>0</v>
      </c>
      <c r="DF10" s="27">
        <f>IF($A10="",0,IF(Mitarbeiter!$G$8=FALSE,0,IF(AND(Mitarbeiter!$E$8&lt;&gt;"",DF$5+6&lt;Mitarbeiter!$E$8),0,IF(AND(Mitarbeiter!$F$8&lt;&gt;"",DF$5&gt;Mitarbeiter!$F$8),0,IF(Planung!DF10="",$C10,IF(ISNUMBER(Planung!DF10),Planung!DF10,IF(UPPER(Planung!DF10)="H",$C10/2,0)))))))</f>
        <v>0</v>
      </c>
      <c r="DG10" s="27">
        <f>IF($A10="",0,IF(Mitarbeiter!$G$8=FALSE,0,IF(AND(Mitarbeiter!$E$8&lt;&gt;"",DG$5+6&lt;Mitarbeiter!$E$8),0,IF(AND(Mitarbeiter!$F$8&lt;&gt;"",DG$5&gt;Mitarbeiter!$F$8),0,IF(Planung!DG10="",$C10,IF(ISNUMBER(Planung!DG10),Planung!DG10,IF(UPPER(Planung!DG10)="H",$C10/2,0)))))))</f>
        <v>0</v>
      </c>
      <c r="DH10" s="27">
        <f>IF($A10="",0,IF(Mitarbeiter!$G$8=FALSE,0,IF(AND(Mitarbeiter!$E$8&lt;&gt;"",DH$5+6&lt;Mitarbeiter!$E$8),0,IF(AND(Mitarbeiter!$F$8&lt;&gt;"",DH$5&gt;Mitarbeiter!$F$8),0,IF(Planung!DH10="",$C10,IF(ISNUMBER(Planung!DH10),Planung!DH10,IF(UPPER(Planung!DH10)="H",$C10/2,0)))))))</f>
        <v>0</v>
      </c>
      <c r="DI10" s="27">
        <f>IF($A10="",0,IF(Mitarbeiter!$G$8=FALSE,0,IF(AND(Mitarbeiter!$E$8&lt;&gt;"",DI$5+6&lt;Mitarbeiter!$E$8),0,IF(AND(Mitarbeiter!$F$8&lt;&gt;"",DI$5&gt;Mitarbeiter!$F$8),0,IF(Planung!DI10="",$C10,IF(ISNUMBER(Planung!DI10),Planung!DI10,IF(UPPER(Planung!DI10)="H",$C10/2,0)))))))</f>
        <v>0</v>
      </c>
      <c r="DJ10" s="27">
        <f>IF($A10="",0,IF(Mitarbeiter!$G$8=FALSE,0,IF(AND(Mitarbeiter!$E$8&lt;&gt;"",DJ$5+6&lt;Mitarbeiter!$E$8),0,IF(AND(Mitarbeiter!$F$8&lt;&gt;"",DJ$5&gt;Mitarbeiter!$F$8),0,IF(Planung!DJ10="",$C10,IF(ISNUMBER(Planung!DJ10),Planung!DJ10,IF(UPPER(Planung!DJ10)="H",$C10/2,0)))))))</f>
        <v>0</v>
      </c>
      <c r="DK10" s="27">
        <f>IF($A10="",0,IF(Mitarbeiter!$G$8=FALSE,0,IF(AND(Mitarbeiter!$E$8&lt;&gt;"",DK$5+6&lt;Mitarbeiter!$E$8),0,IF(AND(Mitarbeiter!$F$8&lt;&gt;"",DK$5&gt;Mitarbeiter!$F$8),0,IF(Planung!DK10="",$C10,IF(ISNUMBER(Planung!DK10),Planung!DK10,IF(UPPER(Planung!DK10)="H",$C10/2,0)))))))</f>
        <v>0</v>
      </c>
      <c r="DL10" s="27">
        <f>IF($A10="",0,IF(Mitarbeiter!$G$8=FALSE,0,IF(AND(Mitarbeiter!$E$8&lt;&gt;"",DL$5+6&lt;Mitarbeiter!$E$8),0,IF(AND(Mitarbeiter!$F$8&lt;&gt;"",DL$5&gt;Mitarbeiter!$F$8),0,IF(Planung!DL10="",$C10,IF(ISNUMBER(Planung!DL10),Planung!DL10,IF(UPPER(Planung!DL10)="H",$C10/2,0)))))))</f>
        <v>0</v>
      </c>
      <c r="DM10" s="27">
        <f>IF($A10="",0,IF(Mitarbeiter!$G$8=FALSE,0,IF(AND(Mitarbeiter!$E$8&lt;&gt;"",DM$5+6&lt;Mitarbeiter!$E$8),0,IF(AND(Mitarbeiter!$F$8&lt;&gt;"",DM$5&gt;Mitarbeiter!$F$8),0,IF(Planung!DM10="",$C10,IF(ISNUMBER(Planung!DM10),Planung!DM10,IF(UPPER(Planung!DM10)="H",$C10/2,0)))))))</f>
        <v>0</v>
      </c>
      <c r="DN10" s="27">
        <f>IF($A10="",0,IF(Mitarbeiter!$G$8=FALSE,0,IF(AND(Mitarbeiter!$E$8&lt;&gt;"",DN$5+6&lt;Mitarbeiter!$E$8),0,IF(AND(Mitarbeiter!$F$8&lt;&gt;"",DN$5&gt;Mitarbeiter!$F$8),0,IF(Planung!DN10="",$C10,IF(ISNUMBER(Planung!DN10),Planung!DN10,IF(UPPER(Planung!DN10)="H",$C10/2,0)))))))</f>
        <v>0</v>
      </c>
      <c r="DO10" s="27">
        <f>IF($A10="",0,IF(Mitarbeiter!$G$8=FALSE,0,IF(AND(Mitarbeiter!$E$8&lt;&gt;"",DO$5+6&lt;Mitarbeiter!$E$8),0,IF(AND(Mitarbeiter!$F$8&lt;&gt;"",DO$5&gt;Mitarbeiter!$F$8),0,IF(Planung!DO10="",$C10,IF(ISNUMBER(Planung!DO10),Planung!DO10,IF(UPPER(Planung!DO10)="H",$C10/2,0)))))))</f>
        <v>0</v>
      </c>
      <c r="DP10" s="27">
        <f>IF($A10="",0,IF(Mitarbeiter!$G$8=FALSE,0,IF(AND(Mitarbeiter!$E$8&lt;&gt;"",DP$5+6&lt;Mitarbeiter!$E$8),0,IF(AND(Mitarbeiter!$F$8&lt;&gt;"",DP$5&gt;Mitarbeiter!$F$8),0,IF(Planung!DP10="",$C10,IF(ISNUMBER(Planung!DP10),Planung!DP10,IF(UPPER(Planung!DP10)="H",$C10/2,0)))))))</f>
        <v>0</v>
      </c>
      <c r="DQ10" s="27">
        <f>IF($A10="",0,IF(Mitarbeiter!$G$8=FALSE,0,IF(AND(Mitarbeiter!$E$8&lt;&gt;"",DQ$5+6&lt;Mitarbeiter!$E$8),0,IF(AND(Mitarbeiter!$F$8&lt;&gt;"",DQ$5&gt;Mitarbeiter!$F$8),0,IF(Planung!DQ10="",$C10,IF(ISNUMBER(Planung!DQ10),Planung!DQ10,IF(UPPER(Planung!DQ10)="H",$C10/2,0)))))))</f>
        <v>0</v>
      </c>
      <c r="DR10" s="27">
        <f>IF($A10="",0,IF(Mitarbeiter!$G$8=FALSE,0,IF(AND(Mitarbeiter!$E$8&lt;&gt;"",DR$5+6&lt;Mitarbeiter!$E$8),0,IF(AND(Mitarbeiter!$F$8&lt;&gt;"",DR$5&gt;Mitarbeiter!$F$8),0,IF(Planung!DR10="",$C10,IF(ISNUMBER(Planung!DR10),Planung!DR10,IF(UPPER(Planung!DR10)="H",$C10/2,0)))))))</f>
        <v>0</v>
      </c>
      <c r="DS10" s="27">
        <f>IF($A10="",0,IF(Mitarbeiter!$G$8=FALSE,0,IF(AND(Mitarbeiter!$E$8&lt;&gt;"",DS$5+6&lt;Mitarbeiter!$E$8),0,IF(AND(Mitarbeiter!$F$8&lt;&gt;"",DS$5&gt;Mitarbeiter!$F$8),0,IF(Planung!DS10="",$C10,IF(ISNUMBER(Planung!DS10),Planung!DS10,IF(UPPER(Planung!DS10)="H",$C10/2,0)))))))</f>
        <v>0</v>
      </c>
      <c r="DT10" s="27">
        <f>IF($A10="",0,IF(Mitarbeiter!$G$8=FALSE,0,IF(AND(Mitarbeiter!$E$8&lt;&gt;"",DT$5+6&lt;Mitarbeiter!$E$8),0,IF(AND(Mitarbeiter!$F$8&lt;&gt;"",DT$5&gt;Mitarbeiter!$F$8),0,IF(Planung!DT10="",$C10,IF(ISNUMBER(Planung!DT10),Planung!DT10,IF(UPPER(Planung!DT10)="H",$C10/2,0)))))))</f>
        <v>0</v>
      </c>
      <c r="DU10" s="27">
        <f>IF($A10="",0,IF(Mitarbeiter!$G$8=FALSE,0,IF(AND(Mitarbeiter!$E$8&lt;&gt;"",DU$5+6&lt;Mitarbeiter!$E$8),0,IF(AND(Mitarbeiter!$F$8&lt;&gt;"",DU$5&gt;Mitarbeiter!$F$8),0,IF(Planung!DU10="",$C10,IF(ISNUMBER(Planung!DU10),Planung!DU10,IF(UPPER(Planung!DU10)="H",$C10/2,0)))))))</f>
        <v>0</v>
      </c>
      <c r="DV10" s="27">
        <f>IF($A10="",0,IF(Mitarbeiter!$G$8=FALSE,0,IF(AND(Mitarbeiter!$E$8&lt;&gt;"",DV$5+6&lt;Mitarbeiter!$E$8),0,IF(AND(Mitarbeiter!$F$8&lt;&gt;"",DV$5&gt;Mitarbeiter!$F$8),0,IF(Planung!DV10="",$C10,IF(ISNUMBER(Planung!DV10),Planung!DV10,IF(UPPER(Planung!DV10)="H",$C10/2,0)))))))</f>
        <v>0</v>
      </c>
      <c r="DW10" s="27">
        <f>IF($A10="",0,IF(Mitarbeiter!$G$8=FALSE,0,IF(AND(Mitarbeiter!$E$8&lt;&gt;"",DW$5+6&lt;Mitarbeiter!$E$8),0,IF(AND(Mitarbeiter!$F$8&lt;&gt;"",DW$5&gt;Mitarbeiter!$F$8),0,IF(Planung!DW10="",$C10,IF(ISNUMBER(Planung!DW10),Planung!DW10,IF(UPPER(Planung!DW10)="H",$C10/2,0)))))))</f>
        <v>0</v>
      </c>
      <c r="DX10" s="27">
        <f>IF($A10="",0,IF(Mitarbeiter!$G$8=FALSE,0,IF(AND(Mitarbeiter!$E$8&lt;&gt;"",DX$5+6&lt;Mitarbeiter!$E$8),0,IF(AND(Mitarbeiter!$F$8&lt;&gt;"",DX$5&gt;Mitarbeiter!$F$8),0,IF(Planung!DX10="",$C10,IF(ISNUMBER(Planung!DX10),Planung!DX10,IF(UPPER(Planung!DX10)="H",$C10/2,0)))))))</f>
        <v>0</v>
      </c>
      <c r="DY10" s="27">
        <f>IF($A10="",0,IF(Mitarbeiter!$G$8=FALSE,0,IF(AND(Mitarbeiter!$E$8&lt;&gt;"",DY$5+6&lt;Mitarbeiter!$E$8),0,IF(AND(Mitarbeiter!$F$8&lt;&gt;"",DY$5&gt;Mitarbeiter!$F$8),0,IF(Planung!DY10="",$C10,IF(ISNUMBER(Planung!DY10),Planung!DY10,IF(UPPER(Planung!DY10)="H",$C10/2,0)))))))</f>
        <v>0</v>
      </c>
      <c r="DZ10" s="27">
        <f>IF($A10="",0,IF(Mitarbeiter!$G$8=FALSE,0,IF(AND(Mitarbeiter!$E$8&lt;&gt;"",DZ$5+6&lt;Mitarbeiter!$E$8),0,IF(AND(Mitarbeiter!$F$8&lt;&gt;"",DZ$5&gt;Mitarbeiter!$F$8),0,IF(Planung!DZ10="",$C10,IF(ISNUMBER(Planung!DZ10),Planung!DZ10,IF(UPPER(Planung!DZ10)="H",$C10/2,0)))))))</f>
        <v>0</v>
      </c>
      <c r="EA10" s="27">
        <f>IF($A10="",0,IF(Mitarbeiter!$G$8=FALSE,0,IF(AND(Mitarbeiter!$E$8&lt;&gt;"",EA$5+6&lt;Mitarbeiter!$E$8),0,IF(AND(Mitarbeiter!$F$8&lt;&gt;"",EA$5&gt;Mitarbeiter!$F$8),0,IF(Planung!EA10="",$C10,IF(ISNUMBER(Planung!EA10),Planung!EA10,IF(UPPER(Planung!EA10)="H",$C10/2,0)))))))</f>
        <v>0</v>
      </c>
      <c r="EB10" s="27">
        <f>IF($A10="",0,IF(Mitarbeiter!$G$8=FALSE,0,IF(AND(Mitarbeiter!$E$8&lt;&gt;"",EB$5+6&lt;Mitarbeiter!$E$8),0,IF(AND(Mitarbeiter!$F$8&lt;&gt;"",EB$5&gt;Mitarbeiter!$F$8),0,IF(Planung!EB10="",$C10,IF(ISNUMBER(Planung!EB10),Planung!EB10,IF(UPPER(Planung!EB10)="H",$C10/2,0)))))))</f>
        <v>0</v>
      </c>
      <c r="EC10" s="27">
        <f>IF($A10="",0,IF(Mitarbeiter!$G$8=FALSE,0,IF(AND(Mitarbeiter!$E$8&lt;&gt;"",EC$5+6&lt;Mitarbeiter!$E$8),0,IF(AND(Mitarbeiter!$F$8&lt;&gt;"",EC$5&gt;Mitarbeiter!$F$8),0,IF(Planung!EC10="",$C10,IF(ISNUMBER(Planung!EC10),Planung!EC10,IF(UPPER(Planung!EC10)="H",$C10/2,0)))))))</f>
        <v>0</v>
      </c>
      <c r="ED10" s="27">
        <f>IF($A10="",0,IF(Mitarbeiter!$G$8=FALSE,0,IF(AND(Mitarbeiter!$E$8&lt;&gt;"",ED$5+6&lt;Mitarbeiter!$E$8),0,IF(AND(Mitarbeiter!$F$8&lt;&gt;"",ED$5&gt;Mitarbeiter!$F$8),0,IF(Planung!ED10="",$C10,IF(ISNUMBER(Planung!ED10),Planung!ED10,IF(UPPER(Planung!ED10)="H",$C10/2,0)))))))</f>
        <v>0</v>
      </c>
      <c r="EE10" s="27">
        <f>IF($A10="",0,IF(Mitarbeiter!$G$8=FALSE,0,IF(AND(Mitarbeiter!$E$8&lt;&gt;"",EE$5+6&lt;Mitarbeiter!$E$8),0,IF(AND(Mitarbeiter!$F$8&lt;&gt;"",EE$5&gt;Mitarbeiter!$F$8),0,IF(Planung!EE10="",$C10,IF(ISNUMBER(Planung!EE10),Planung!EE10,IF(UPPER(Planung!EE10)="H",$C10/2,0)))))))</f>
        <v>0</v>
      </c>
      <c r="EF10" s="27">
        <f>IF($A10="",0,IF(Mitarbeiter!$G$8=FALSE,0,IF(AND(Mitarbeiter!$E$8&lt;&gt;"",EF$5+6&lt;Mitarbeiter!$E$8),0,IF(AND(Mitarbeiter!$F$8&lt;&gt;"",EF$5&gt;Mitarbeiter!$F$8),0,IF(Planung!EF10="",$C10,IF(ISNUMBER(Planung!EF10),Planung!EF10,IF(UPPER(Planung!EF10)="H",$C10/2,0)))))))</f>
        <v>0</v>
      </c>
      <c r="EG10" s="27">
        <f>IF($A10="",0,IF(Mitarbeiter!$G$8=FALSE,0,IF(AND(Mitarbeiter!$E$8&lt;&gt;"",EG$5+6&lt;Mitarbeiter!$E$8),0,IF(AND(Mitarbeiter!$F$8&lt;&gt;"",EG$5&gt;Mitarbeiter!$F$8),0,IF(Planung!EG10="",$C10,IF(ISNUMBER(Planung!EG10),Planung!EG10,IF(UPPER(Planung!EG10)="H",$C10/2,0)))))))</f>
        <v>0</v>
      </c>
      <c r="EH10" s="27">
        <f>IF($A10="",0,IF(Mitarbeiter!$G$8=FALSE,0,IF(AND(Mitarbeiter!$E$8&lt;&gt;"",EH$5+6&lt;Mitarbeiter!$E$8),0,IF(AND(Mitarbeiter!$F$8&lt;&gt;"",EH$5&gt;Mitarbeiter!$F$8),0,IF(Planung!EH10="",$C10,IF(ISNUMBER(Planung!EH10),Planung!EH10,IF(UPPER(Planung!EH10)="H",$C10/2,0)))))))</f>
        <v>0</v>
      </c>
      <c r="EI10" s="27">
        <f>IF($A10="",0,IF(Mitarbeiter!$G$8=FALSE,0,IF(AND(Mitarbeiter!$E$8&lt;&gt;"",EI$5+6&lt;Mitarbeiter!$E$8),0,IF(AND(Mitarbeiter!$F$8&lt;&gt;"",EI$5&gt;Mitarbeiter!$F$8),0,IF(Planung!EI10="",$C10,IF(ISNUMBER(Planung!EI10),Planung!EI10,IF(UPPER(Planung!EI10)="H",$C10/2,0)))))))</f>
        <v>0</v>
      </c>
      <c r="EJ10" s="27">
        <f>IF($A10="",0,IF(Mitarbeiter!$G$8=FALSE,0,IF(AND(Mitarbeiter!$E$8&lt;&gt;"",EJ$5+6&lt;Mitarbeiter!$E$8),0,IF(AND(Mitarbeiter!$F$8&lt;&gt;"",EJ$5&gt;Mitarbeiter!$F$8),0,IF(Planung!EJ10="",$C10,IF(ISNUMBER(Planung!EJ10),Planung!EJ10,IF(UPPER(Planung!EJ10)="H",$C10/2,0)))))))</f>
        <v>0</v>
      </c>
      <c r="EK10" s="27">
        <f>IF($A10="",0,IF(Mitarbeiter!$G$8=FALSE,0,IF(AND(Mitarbeiter!$E$8&lt;&gt;"",EK$5+6&lt;Mitarbeiter!$E$8),0,IF(AND(Mitarbeiter!$F$8&lt;&gt;"",EK$5&gt;Mitarbeiter!$F$8),0,IF(Planung!EK10="",$C10,IF(ISNUMBER(Planung!EK10),Planung!EK10,IF(UPPER(Planung!EK10)="H",$C10/2,0)))))))</f>
        <v>0</v>
      </c>
      <c r="EL10" s="27">
        <f>IF($A10="",0,IF(Mitarbeiter!$G$8=FALSE,0,IF(AND(Mitarbeiter!$E$8&lt;&gt;"",EL$5+6&lt;Mitarbeiter!$E$8),0,IF(AND(Mitarbeiter!$F$8&lt;&gt;"",EL$5&gt;Mitarbeiter!$F$8),0,IF(Planung!EL10="",$C10,IF(ISNUMBER(Planung!EL10),Planung!EL10,IF(UPPER(Planung!EL10)="H",$C10/2,0)))))))</f>
        <v>0</v>
      </c>
      <c r="EM10" s="27">
        <f>IF($A10="",0,IF(Mitarbeiter!$G$8=FALSE,0,IF(AND(Mitarbeiter!$E$8&lt;&gt;"",EM$5+6&lt;Mitarbeiter!$E$8),0,IF(AND(Mitarbeiter!$F$8&lt;&gt;"",EM$5&gt;Mitarbeiter!$F$8),0,IF(Planung!EM10="",$C10,IF(ISNUMBER(Planung!EM10),Planung!EM10,IF(UPPER(Planung!EM10)="H",$C10/2,0)))))))</f>
        <v>0</v>
      </c>
      <c r="EN10" s="27">
        <f>IF($A10="",0,IF(Mitarbeiter!$G$8=FALSE,0,IF(AND(Mitarbeiter!$E$8&lt;&gt;"",EN$5+6&lt;Mitarbeiter!$E$8),0,IF(AND(Mitarbeiter!$F$8&lt;&gt;"",EN$5&gt;Mitarbeiter!$F$8),0,IF(Planung!EN10="",$C10,IF(ISNUMBER(Planung!EN10),Planung!EN10,IF(UPPER(Planung!EN10)="H",$C10/2,0)))))))</f>
        <v>0</v>
      </c>
      <c r="EO10" s="27">
        <f>IF($A10="",0,IF(Mitarbeiter!$G$8=FALSE,0,IF(AND(Mitarbeiter!$E$8&lt;&gt;"",EO$5+6&lt;Mitarbeiter!$E$8),0,IF(AND(Mitarbeiter!$F$8&lt;&gt;"",EO$5&gt;Mitarbeiter!$F$8),0,IF(Planung!EO10="",$C10,IF(ISNUMBER(Planung!EO10),Planung!EO10,IF(UPPER(Planung!EO10)="H",$C10/2,0)))))))</f>
        <v>0</v>
      </c>
      <c r="EP10" s="27">
        <f>IF($A10="",0,IF(Mitarbeiter!$G$8=FALSE,0,IF(AND(Mitarbeiter!$E$8&lt;&gt;"",EP$5+6&lt;Mitarbeiter!$E$8),0,IF(AND(Mitarbeiter!$F$8&lt;&gt;"",EP$5&gt;Mitarbeiter!$F$8),0,IF(Planung!EP10="",$C10,IF(ISNUMBER(Planung!EP10),Planung!EP10,IF(UPPER(Planung!EP10)="H",$C10/2,0)))))))</f>
        <v>0</v>
      </c>
      <c r="EQ10" s="27">
        <f>IF($A10="",0,IF(Mitarbeiter!$G$8=FALSE,0,IF(AND(Mitarbeiter!$E$8&lt;&gt;"",EQ$5+6&lt;Mitarbeiter!$E$8),0,IF(AND(Mitarbeiter!$F$8&lt;&gt;"",EQ$5&gt;Mitarbeiter!$F$8),0,IF(Planung!EQ10="",$C10,IF(ISNUMBER(Planung!EQ10),Planung!EQ10,IF(UPPER(Planung!EQ10)="H",$C10/2,0)))))))</f>
        <v>0</v>
      </c>
      <c r="ER10" s="27">
        <f>IF($A10="",0,IF(Mitarbeiter!$G$8=FALSE,0,IF(AND(Mitarbeiter!$E$8&lt;&gt;"",ER$5+6&lt;Mitarbeiter!$E$8),0,IF(AND(Mitarbeiter!$F$8&lt;&gt;"",ER$5&gt;Mitarbeiter!$F$8),0,IF(Planung!ER10="",$C10,IF(ISNUMBER(Planung!ER10),Planung!ER10,IF(UPPER(Planung!ER10)="H",$C10/2,0)))))))</f>
        <v>0</v>
      </c>
      <c r="ES10" s="27">
        <f>IF($A10="",0,IF(Mitarbeiter!$G$8=FALSE,0,IF(AND(Mitarbeiter!$E$8&lt;&gt;"",ES$5+6&lt;Mitarbeiter!$E$8),0,IF(AND(Mitarbeiter!$F$8&lt;&gt;"",ES$5&gt;Mitarbeiter!$F$8),0,IF(Planung!ES10="",$C10,IF(ISNUMBER(Planung!ES10),Planung!ES10,IF(UPPER(Planung!ES10)="H",$C10/2,0)))))))</f>
        <v>0</v>
      </c>
      <c r="ET10" s="27">
        <f>IF($A10="",0,IF(Mitarbeiter!$G$8=FALSE,0,IF(AND(Mitarbeiter!$E$8&lt;&gt;"",ET$5+6&lt;Mitarbeiter!$E$8),0,IF(AND(Mitarbeiter!$F$8&lt;&gt;"",ET$5&gt;Mitarbeiter!$F$8),0,IF(Planung!ET10="",$C10,IF(ISNUMBER(Planung!ET10),Planung!ET10,IF(UPPER(Planung!ET10)="H",$C10/2,0)))))))</f>
        <v>0</v>
      </c>
      <c r="EU10" s="27">
        <f>IF($A10="",0,IF(Mitarbeiter!$G$8=FALSE,0,IF(AND(Mitarbeiter!$E$8&lt;&gt;"",EU$5+6&lt;Mitarbeiter!$E$8),0,IF(AND(Mitarbeiter!$F$8&lt;&gt;"",EU$5&gt;Mitarbeiter!$F$8),0,IF(Planung!EU10="",$C10,IF(ISNUMBER(Planung!EU10),Planung!EU10,IF(UPPER(Planung!EU10)="H",$C10/2,0)))))))</f>
        <v>0</v>
      </c>
      <c r="EV10" s="27">
        <f>IF($A10="",0,IF(Mitarbeiter!$G$8=FALSE,0,IF(AND(Mitarbeiter!$E$8&lt;&gt;"",EV$5+6&lt;Mitarbeiter!$E$8),0,IF(AND(Mitarbeiter!$F$8&lt;&gt;"",EV$5&gt;Mitarbeiter!$F$8),0,IF(Planung!EV10="",$C10,IF(ISNUMBER(Planung!EV10),Planung!EV10,IF(UPPER(Planung!EV10)="H",$C10/2,0)))))))</f>
        <v>0</v>
      </c>
      <c r="EW10" s="27">
        <f>IF($A10="",0,IF(Mitarbeiter!$G$8=FALSE,0,IF(AND(Mitarbeiter!$E$8&lt;&gt;"",EW$5+6&lt;Mitarbeiter!$E$8),0,IF(AND(Mitarbeiter!$F$8&lt;&gt;"",EW$5&gt;Mitarbeiter!$F$8),0,IF(Planung!EW10="",$C10,IF(ISNUMBER(Planung!EW10),Planung!EW10,IF(UPPER(Planung!EW10)="H",$C10/2,0)))))))</f>
        <v>0</v>
      </c>
      <c r="EX10" s="27">
        <f>IF($A10="",0,IF(Mitarbeiter!$G$8=FALSE,0,IF(AND(Mitarbeiter!$E$8&lt;&gt;"",EX$5+6&lt;Mitarbeiter!$E$8),0,IF(AND(Mitarbeiter!$F$8&lt;&gt;"",EX$5&gt;Mitarbeiter!$F$8),0,IF(Planung!EX10="",$C10,IF(ISNUMBER(Planung!EX10),Planung!EX10,IF(UPPER(Planung!EX10)="H",$C10/2,0)))))))</f>
        <v>0</v>
      </c>
      <c r="EY10" s="27">
        <f>IF($A10="",0,IF(Mitarbeiter!$G$8=FALSE,0,IF(AND(Mitarbeiter!$E$8&lt;&gt;"",EY$5+6&lt;Mitarbeiter!$E$8),0,IF(AND(Mitarbeiter!$F$8&lt;&gt;"",EY$5&gt;Mitarbeiter!$F$8),0,IF(Planung!EY10="",$C10,IF(ISNUMBER(Planung!EY10),Planung!EY10,IF(UPPER(Planung!EY10)="H",$C10/2,0)))))))</f>
        <v>0</v>
      </c>
      <c r="EZ10" s="27">
        <f>IF($A10="",0,IF(Mitarbeiter!$G$8=FALSE,0,IF(AND(Mitarbeiter!$E$8&lt;&gt;"",EZ$5+6&lt;Mitarbeiter!$E$8),0,IF(AND(Mitarbeiter!$F$8&lt;&gt;"",EZ$5&gt;Mitarbeiter!$F$8),0,IF(Planung!EZ10="",$C10,IF(ISNUMBER(Planung!EZ10),Planung!EZ10,IF(UPPER(Planung!EZ10)="H",$C10/2,0)))))))</f>
        <v>0</v>
      </c>
      <c r="FA10" s="27">
        <f>IF($A10="",0,IF(Mitarbeiter!$G$8=FALSE,0,IF(AND(Mitarbeiter!$E$8&lt;&gt;"",FA$5+6&lt;Mitarbeiter!$E$8),0,IF(AND(Mitarbeiter!$F$8&lt;&gt;"",FA$5&gt;Mitarbeiter!$F$8),0,IF(Planung!FA10="",$C10,IF(ISNUMBER(Planung!FA10),Planung!FA10,IF(UPPER(Planung!FA10)="H",$C10/2,0)))))))</f>
        <v>0</v>
      </c>
      <c r="FB10" s="27">
        <f>IF($A10="",0,IF(Mitarbeiter!$G$8=FALSE,0,IF(AND(Mitarbeiter!$E$8&lt;&gt;"",FB$5+6&lt;Mitarbeiter!$E$8),0,IF(AND(Mitarbeiter!$F$8&lt;&gt;"",FB$5&gt;Mitarbeiter!$F$8),0,IF(Planung!FB10="",$C10,IF(ISNUMBER(Planung!FB10),Planung!FB10,IF(UPPER(Planung!FB10)="H",$C10/2,0)))))))</f>
        <v>0</v>
      </c>
      <c r="FC10" s="27">
        <f>IF($A10="",0,IF(Mitarbeiter!$G$8=FALSE,0,IF(AND(Mitarbeiter!$E$8&lt;&gt;"",FC$5+6&lt;Mitarbeiter!$E$8),0,IF(AND(Mitarbeiter!$F$8&lt;&gt;"",FC$5&gt;Mitarbeiter!$F$8),0,IF(Planung!FC10="",$C10,IF(ISNUMBER(Planung!FC10),Planung!FC10,IF(UPPER(Planung!FC10)="H",$C10/2,0)))))))</f>
        <v>0</v>
      </c>
      <c r="FD10" s="27">
        <f>IF($A10="",0,IF(Mitarbeiter!$G$8=FALSE,0,IF(AND(Mitarbeiter!$E$8&lt;&gt;"",FD$5+6&lt;Mitarbeiter!$E$8),0,IF(AND(Mitarbeiter!$F$8&lt;&gt;"",FD$5&gt;Mitarbeiter!$F$8),0,IF(Planung!FD10="",$C10,IF(ISNUMBER(Planung!FD10),Planung!FD10,IF(UPPER(Planung!FD10)="H",$C10/2,0)))))))</f>
        <v>0</v>
      </c>
      <c r="FE10" s="27">
        <f>IF($A10="",0,IF(Mitarbeiter!$G$8=FALSE,0,IF(AND(Mitarbeiter!$E$8&lt;&gt;"",FE$5+6&lt;Mitarbeiter!$E$8),0,IF(AND(Mitarbeiter!$F$8&lt;&gt;"",FE$5&gt;Mitarbeiter!$F$8),0,IF(Planung!FE10="",$C10,IF(ISNUMBER(Planung!FE10),Planung!FE10,IF(UPPER(Planung!FE10)="H",$C10/2,0)))))))</f>
        <v>0</v>
      </c>
      <c r="FF10" s="27">
        <f>IF($A10="",0,IF(Mitarbeiter!$G$8=FALSE,0,IF(AND(Mitarbeiter!$E$8&lt;&gt;"",FF$5+6&lt;Mitarbeiter!$E$8),0,IF(AND(Mitarbeiter!$F$8&lt;&gt;"",FF$5&gt;Mitarbeiter!$F$8),0,IF(Planung!FF10="",$C10,IF(ISNUMBER(Planung!FF10),Planung!FF10,IF(UPPER(Planung!FF10)="H",$C10/2,0)))))))</f>
        <v>0</v>
      </c>
      <c r="FG10" s="27">
        <f>IF($A10="",0,IF(Mitarbeiter!$G$8=FALSE,0,IF(AND(Mitarbeiter!$E$8&lt;&gt;"",FG$5+6&lt;Mitarbeiter!$E$8),0,IF(AND(Mitarbeiter!$F$8&lt;&gt;"",FG$5&gt;Mitarbeiter!$F$8),0,IF(Planung!FG10="",$C10,IF(ISNUMBER(Planung!FG10),Planung!FG10,IF(UPPER(Planung!FG10)="H",$C10/2,0)))))))</f>
        <v>0</v>
      </c>
      <c r="FH10" s="27">
        <f>IF($A10="",0,IF(Mitarbeiter!$G$8=FALSE,0,IF(AND(Mitarbeiter!$E$8&lt;&gt;"",FH$5+6&lt;Mitarbeiter!$E$8),0,IF(AND(Mitarbeiter!$F$8&lt;&gt;"",FH$5&gt;Mitarbeiter!$F$8),0,IF(Planung!FH10="",$C10,IF(ISNUMBER(Planung!FH10),Planung!FH10,IF(UPPER(Planung!FH10)="H",$C10/2,0)))))))</f>
        <v>0</v>
      </c>
      <c r="FI10" s="27">
        <f>IF($A10="",0,IF(Mitarbeiter!$G$8=FALSE,0,IF(AND(Mitarbeiter!$E$8&lt;&gt;"",FI$5+6&lt;Mitarbeiter!$E$8),0,IF(AND(Mitarbeiter!$F$8&lt;&gt;"",FI$5&gt;Mitarbeiter!$F$8),0,IF(Planung!FI10="",$C10,IF(ISNUMBER(Planung!FI10),Planung!FI10,IF(UPPER(Planung!FI10)="H",$C10/2,0)))))))</f>
        <v>0</v>
      </c>
      <c r="FJ10" s="27">
        <f>IF($A10="",0,IF(Mitarbeiter!$G$8=FALSE,0,IF(AND(Mitarbeiter!$E$8&lt;&gt;"",FJ$5+6&lt;Mitarbeiter!$E$8),0,IF(AND(Mitarbeiter!$F$8&lt;&gt;"",FJ$5&gt;Mitarbeiter!$F$8),0,IF(Planung!FJ10="",$C10,IF(ISNUMBER(Planung!FJ10),Planung!FJ10,IF(UPPER(Planung!FJ10)="H",$C10/2,0)))))))</f>
        <v>0</v>
      </c>
      <c r="FK10" s="27">
        <f>IF($A10="",0,IF(Mitarbeiter!$G$8=FALSE,0,IF(AND(Mitarbeiter!$E$8&lt;&gt;"",FK$5+6&lt;Mitarbeiter!$E$8),0,IF(AND(Mitarbeiter!$F$8&lt;&gt;"",FK$5&gt;Mitarbeiter!$F$8),0,IF(Planung!FK10="",$C10,IF(ISNUMBER(Planung!FK10),Planung!FK10,IF(UPPER(Planung!FK10)="H",$C10/2,0)))))))</f>
        <v>0</v>
      </c>
      <c r="FL10" s="27">
        <f>IF($A10="",0,IF(Mitarbeiter!$G$8=FALSE,0,IF(AND(Mitarbeiter!$E$8&lt;&gt;"",FL$5+6&lt;Mitarbeiter!$E$8),0,IF(AND(Mitarbeiter!$F$8&lt;&gt;"",FL$5&gt;Mitarbeiter!$F$8),0,IF(Planung!FL10="",$C10,IF(ISNUMBER(Planung!FL10),Planung!FL10,IF(UPPER(Planung!FL10)="H",$C10/2,0)))))))</f>
        <v>0</v>
      </c>
      <c r="FM10" s="27">
        <f>IF($A10="",0,IF(Mitarbeiter!$G$8=FALSE,0,IF(AND(Mitarbeiter!$E$8&lt;&gt;"",FM$5+6&lt;Mitarbeiter!$E$8),0,IF(AND(Mitarbeiter!$F$8&lt;&gt;"",FM$5&gt;Mitarbeiter!$F$8),0,IF(Planung!FM10="",$C10,IF(ISNUMBER(Planung!FM10),Planung!FM10,IF(UPPER(Planung!FM10)="H",$C10/2,0)))))))</f>
        <v>0</v>
      </c>
      <c r="FN10" s="27">
        <f>IF($A10="",0,IF(Mitarbeiter!$G$8=FALSE,0,IF(AND(Mitarbeiter!$E$8&lt;&gt;"",FN$5+6&lt;Mitarbeiter!$E$8),0,IF(AND(Mitarbeiter!$F$8&lt;&gt;"",FN$5&gt;Mitarbeiter!$F$8),0,IF(Planung!FN10="",$C10,IF(ISNUMBER(Planung!FN10),Planung!FN10,IF(UPPER(Planung!FN10)="H",$C10/2,0)))))))</f>
        <v>0</v>
      </c>
      <c r="FO10" s="27">
        <f>IF($A10="",0,IF(Mitarbeiter!$G$8=FALSE,0,IF(AND(Mitarbeiter!$E$8&lt;&gt;"",FO$5+6&lt;Mitarbeiter!$E$8),0,IF(AND(Mitarbeiter!$F$8&lt;&gt;"",FO$5&gt;Mitarbeiter!$F$8),0,IF(Planung!FO10="",$C10,IF(ISNUMBER(Planung!FO10),Planung!FO10,IF(UPPER(Planung!FO10)="H",$C10/2,0)))))))</f>
        <v>0</v>
      </c>
      <c r="FP10" s="27">
        <f>IF($A10="",0,IF(Mitarbeiter!$G$8=FALSE,0,IF(AND(Mitarbeiter!$E$8&lt;&gt;"",FP$5+6&lt;Mitarbeiter!$E$8),0,IF(AND(Mitarbeiter!$F$8&lt;&gt;"",FP$5&gt;Mitarbeiter!$F$8),0,IF(Planung!FP10="",$C10,IF(ISNUMBER(Planung!FP10),Planung!FP10,IF(UPPER(Planung!FP10)="H",$C10/2,0)))))))</f>
        <v>0</v>
      </c>
      <c r="FQ10" s="27">
        <f>IF($A10="",0,IF(Mitarbeiter!$G$8=FALSE,0,IF(AND(Mitarbeiter!$E$8&lt;&gt;"",FQ$5+6&lt;Mitarbeiter!$E$8),0,IF(AND(Mitarbeiter!$F$8&lt;&gt;"",FQ$5&gt;Mitarbeiter!$F$8),0,IF(Planung!FQ10="",$C10,IF(ISNUMBER(Planung!FQ10),Planung!FQ10,IF(UPPER(Planung!FQ10)="H",$C10/2,0)))))))</f>
        <v>0</v>
      </c>
      <c r="FR10" s="27">
        <f>IF($A10="",0,IF(Mitarbeiter!$G$8=FALSE,0,IF(AND(Mitarbeiter!$E$8&lt;&gt;"",FR$5+6&lt;Mitarbeiter!$E$8),0,IF(AND(Mitarbeiter!$F$8&lt;&gt;"",FR$5&gt;Mitarbeiter!$F$8),0,IF(Planung!FR10="",$C10,IF(ISNUMBER(Planung!FR10),Planung!FR10,IF(UPPER(Planung!FR10)="H",$C10/2,0)))))))</f>
        <v>0</v>
      </c>
      <c r="FS10" s="27">
        <f>IF($A10="",0,IF(Mitarbeiter!$G$8=FALSE,0,IF(AND(Mitarbeiter!$E$8&lt;&gt;"",FS$5+6&lt;Mitarbeiter!$E$8),0,IF(AND(Mitarbeiter!$F$8&lt;&gt;"",FS$5&gt;Mitarbeiter!$F$8),0,IF(Planung!FS10="",$C10,IF(ISNUMBER(Planung!FS10),Planung!FS10,IF(UPPER(Planung!FS10)="H",$C10/2,0)))))))</f>
        <v>0</v>
      </c>
      <c r="FT10" s="27">
        <f>IF($A10="",0,IF(Mitarbeiter!$G$8=FALSE,0,IF(AND(Mitarbeiter!$E$8&lt;&gt;"",FT$5+6&lt;Mitarbeiter!$E$8),0,IF(AND(Mitarbeiter!$F$8&lt;&gt;"",FT$5&gt;Mitarbeiter!$F$8),0,IF(Planung!FT10="",$C10,IF(ISNUMBER(Planung!FT10),Planung!FT10,IF(UPPER(Planung!FT10)="H",$C10/2,0)))))))</f>
        <v>0</v>
      </c>
      <c r="FU10" s="27">
        <f>IF($A10="",0,IF(Mitarbeiter!$G$8=FALSE,0,IF(AND(Mitarbeiter!$E$8&lt;&gt;"",FU$5+6&lt;Mitarbeiter!$E$8),0,IF(AND(Mitarbeiter!$F$8&lt;&gt;"",FU$5&gt;Mitarbeiter!$F$8),0,IF(Planung!FU10="",$C10,IF(ISNUMBER(Planung!FU10),Planung!FU10,IF(UPPER(Planung!FU10)="H",$C10/2,0)))))))</f>
        <v>0</v>
      </c>
      <c r="FV10" s="27">
        <f>IF($A10="",0,IF(Mitarbeiter!$G$8=FALSE,0,IF(AND(Mitarbeiter!$E$8&lt;&gt;"",FV$5+6&lt;Mitarbeiter!$E$8),0,IF(AND(Mitarbeiter!$F$8&lt;&gt;"",FV$5&gt;Mitarbeiter!$F$8),0,IF(Planung!FV10="",$C10,IF(ISNUMBER(Planung!FV10),Planung!FV10,IF(UPPER(Planung!FV10)="H",$C10/2,0)))))))</f>
        <v>0</v>
      </c>
      <c r="FW10" s="27">
        <f>IF($A10="",0,IF(Mitarbeiter!$G$8=FALSE,0,IF(AND(Mitarbeiter!$E$8&lt;&gt;"",FW$5+6&lt;Mitarbeiter!$E$8),0,IF(AND(Mitarbeiter!$F$8&lt;&gt;"",FW$5&gt;Mitarbeiter!$F$8),0,IF(Planung!FW10="",$C10,IF(ISNUMBER(Planung!FW10),Planung!FW10,IF(UPPER(Planung!FW10)="H",$C10/2,0)))))))</f>
        <v>0</v>
      </c>
      <c r="FX10" s="27">
        <f>IF($A10="",0,IF(Mitarbeiter!$G$8=FALSE,0,IF(AND(Mitarbeiter!$E$8&lt;&gt;"",FX$5+6&lt;Mitarbeiter!$E$8),0,IF(AND(Mitarbeiter!$F$8&lt;&gt;"",FX$5&gt;Mitarbeiter!$F$8),0,IF(Planung!FX10="",$C10,IF(ISNUMBER(Planung!FX10),Planung!FX10,IF(UPPER(Planung!FX10)="H",$C10/2,0)))))))</f>
        <v>0</v>
      </c>
      <c r="FY10" s="27">
        <f>IF($A10="",0,IF(Mitarbeiter!$G$8=FALSE,0,IF(AND(Mitarbeiter!$E$8&lt;&gt;"",FY$5+6&lt;Mitarbeiter!$E$8),0,IF(AND(Mitarbeiter!$F$8&lt;&gt;"",FY$5&gt;Mitarbeiter!$F$8),0,IF(Planung!FY10="",$C10,IF(ISNUMBER(Planung!FY10),Planung!FY10,IF(UPPER(Planung!FY10)="H",$C10/2,0)))))))</f>
        <v>0</v>
      </c>
      <c r="FZ10" s="27">
        <f>IF($A10="",0,IF(Mitarbeiter!$G$8=FALSE,0,IF(AND(Mitarbeiter!$E$8&lt;&gt;"",FZ$5+6&lt;Mitarbeiter!$E$8),0,IF(AND(Mitarbeiter!$F$8&lt;&gt;"",FZ$5&gt;Mitarbeiter!$F$8),0,IF(Planung!FZ10="",$C10,IF(ISNUMBER(Planung!FZ10),Planung!FZ10,IF(UPPER(Planung!FZ10)="H",$C10/2,0)))))))</f>
        <v>0</v>
      </c>
      <c r="GA10" s="27">
        <f>IF($A10="",0,IF(Mitarbeiter!$G$8=FALSE,0,IF(AND(Mitarbeiter!$E$8&lt;&gt;"",GA$5+6&lt;Mitarbeiter!$E$8),0,IF(AND(Mitarbeiter!$F$8&lt;&gt;"",GA$5&gt;Mitarbeiter!$F$8),0,IF(Planung!GA10="",$C10,IF(ISNUMBER(Planung!GA10),Planung!GA10,IF(UPPER(Planung!GA10)="H",$C10/2,0)))))))</f>
        <v>0</v>
      </c>
      <c r="GB10" s="27">
        <f>IF($A10="",0,IF(Mitarbeiter!$G$8=FALSE,0,IF(AND(Mitarbeiter!$E$8&lt;&gt;"",GB$5+6&lt;Mitarbeiter!$E$8),0,IF(AND(Mitarbeiter!$F$8&lt;&gt;"",GB$5&gt;Mitarbeiter!$F$8),0,IF(Planung!GB10="",$C10,IF(ISNUMBER(Planung!GB10),Planung!GB10,IF(UPPER(Planung!GB10)="H",$C10/2,0)))))))</f>
        <v>0</v>
      </c>
      <c r="GC10" s="27">
        <f>IF($A10="",0,IF(Mitarbeiter!$G$8=FALSE,0,IF(AND(Mitarbeiter!$E$8&lt;&gt;"",GC$5+6&lt;Mitarbeiter!$E$8),0,IF(AND(Mitarbeiter!$F$8&lt;&gt;"",GC$5&gt;Mitarbeiter!$F$8),0,IF(Planung!GC10="",$C10,IF(ISNUMBER(Planung!GC10),Planung!GC10,IF(UPPER(Planung!GC10)="H",$C10/2,0)))))))</f>
        <v>0</v>
      </c>
      <c r="GD10" s="27">
        <f>IF($A10="",0,IF(Mitarbeiter!$G$8=FALSE,0,IF(AND(Mitarbeiter!$E$8&lt;&gt;"",GD$5+6&lt;Mitarbeiter!$E$8),0,IF(AND(Mitarbeiter!$F$8&lt;&gt;"",GD$5&gt;Mitarbeiter!$F$8),0,IF(Planung!GD10="",$C10,IF(ISNUMBER(Planung!GD10),Planung!GD10,IF(UPPER(Planung!GD10)="H",$C10/2,0)))))))</f>
        <v>0</v>
      </c>
      <c r="GE10" s="27">
        <f>IF($A10="",0,IF(Mitarbeiter!$G$8=FALSE,0,IF(AND(Mitarbeiter!$E$8&lt;&gt;"",GE$5+6&lt;Mitarbeiter!$E$8),0,IF(AND(Mitarbeiter!$F$8&lt;&gt;"",GE$5&gt;Mitarbeiter!$F$8),0,IF(Planung!GE10="",$C10,IF(ISNUMBER(Planung!GE10),Planung!GE10,IF(UPPER(Planung!GE10)="H",$C10/2,0)))))))</f>
        <v>0</v>
      </c>
      <c r="GF10" s="27">
        <f>IF($A10="",0,IF(Mitarbeiter!$G$8=FALSE,0,IF(AND(Mitarbeiter!$E$8&lt;&gt;"",GF$5+6&lt;Mitarbeiter!$E$8),0,IF(AND(Mitarbeiter!$F$8&lt;&gt;"",GF$5&gt;Mitarbeiter!$F$8),0,IF(Planung!GF10="",$C10,IF(ISNUMBER(Planung!GF10),Planung!GF10,IF(UPPER(Planung!GF10)="H",$C10/2,0)))))))</f>
        <v>0</v>
      </c>
      <c r="GG10" s="27">
        <f>IF($A10="",0,IF(Mitarbeiter!$G$8=FALSE,0,IF(AND(Mitarbeiter!$E$8&lt;&gt;"",GG$5+6&lt;Mitarbeiter!$E$8),0,IF(AND(Mitarbeiter!$F$8&lt;&gt;"",GG$5&gt;Mitarbeiter!$F$8),0,IF(Planung!GG10="",$C10,IF(ISNUMBER(Planung!GG10),Planung!GG10,IF(UPPER(Planung!GG10)="H",$C10/2,0)))))))</f>
        <v>0</v>
      </c>
      <c r="GH10" s="27">
        <f>IF($A10="",0,IF(Mitarbeiter!$G$8=FALSE,0,IF(AND(Mitarbeiter!$E$8&lt;&gt;"",GH$5+6&lt;Mitarbeiter!$E$8),0,IF(AND(Mitarbeiter!$F$8&lt;&gt;"",GH$5&gt;Mitarbeiter!$F$8),0,IF(Planung!GH10="",$C10,IF(ISNUMBER(Planung!GH10),Planung!GH10,IF(UPPER(Planung!GH10)="H",$C10/2,0)))))))</f>
        <v>0</v>
      </c>
      <c r="GI10" s="27">
        <f>IF($A10="",0,IF(Mitarbeiter!$G$8=FALSE,0,IF(AND(Mitarbeiter!$E$8&lt;&gt;"",GI$5+6&lt;Mitarbeiter!$E$8),0,IF(AND(Mitarbeiter!$F$8&lt;&gt;"",GI$5&gt;Mitarbeiter!$F$8),0,IF(Planung!GI10="",$C10,IF(ISNUMBER(Planung!GI10),Planung!GI10,IF(UPPER(Planung!GI10)="H",$C10/2,0)))))))</f>
        <v>0</v>
      </c>
      <c r="GJ10" s="27">
        <f>IF($A10="",0,IF(Mitarbeiter!$G$8=FALSE,0,IF(AND(Mitarbeiter!$E$8&lt;&gt;"",GJ$5+6&lt;Mitarbeiter!$E$8),0,IF(AND(Mitarbeiter!$F$8&lt;&gt;"",GJ$5&gt;Mitarbeiter!$F$8),0,IF(Planung!GJ10="",$C10,IF(ISNUMBER(Planung!GJ10),Planung!GJ10,IF(UPPER(Planung!GJ10)="H",$C10/2,0)))))))</f>
        <v>0</v>
      </c>
      <c r="GK10" s="27">
        <f>IF($A10="",0,IF(Mitarbeiter!$G$8=FALSE,0,IF(AND(Mitarbeiter!$E$8&lt;&gt;"",GK$5+6&lt;Mitarbeiter!$E$8),0,IF(AND(Mitarbeiter!$F$8&lt;&gt;"",GK$5&gt;Mitarbeiter!$F$8),0,IF(Planung!GK10="",$C10,IF(ISNUMBER(Planung!GK10),Planung!GK10,IF(UPPER(Planung!GK10)="H",$C10/2,0)))))))</f>
        <v>0</v>
      </c>
      <c r="GL10" s="27">
        <f>IF($A10="",0,IF(Mitarbeiter!$G$8=FALSE,0,IF(AND(Mitarbeiter!$E$8&lt;&gt;"",GL$5+6&lt;Mitarbeiter!$E$8),0,IF(AND(Mitarbeiter!$F$8&lt;&gt;"",GL$5&gt;Mitarbeiter!$F$8),0,IF(Planung!GL10="",$C10,IF(ISNUMBER(Planung!GL10),Planung!GL10,IF(UPPER(Planung!GL10)="H",$C10/2,0)))))))</f>
        <v>0</v>
      </c>
      <c r="GM10" s="27">
        <f>IF($A10="",0,IF(Mitarbeiter!$G$8=FALSE,0,IF(AND(Mitarbeiter!$E$8&lt;&gt;"",GM$5+6&lt;Mitarbeiter!$E$8),0,IF(AND(Mitarbeiter!$F$8&lt;&gt;"",GM$5&gt;Mitarbeiter!$F$8),0,IF(Planung!GM10="",$C10,IF(ISNUMBER(Planung!GM10),Planung!GM10,IF(UPPER(Planung!GM10)="H",$C10/2,0)))))))</f>
        <v>0</v>
      </c>
      <c r="GN10" s="27">
        <f>IF($A10="",0,IF(Mitarbeiter!$G$8=FALSE,0,IF(AND(Mitarbeiter!$E$8&lt;&gt;"",GN$5+6&lt;Mitarbeiter!$E$8),0,IF(AND(Mitarbeiter!$F$8&lt;&gt;"",GN$5&gt;Mitarbeiter!$F$8),0,IF(Planung!GN10="",$C10,IF(ISNUMBER(Planung!GN10),Planung!GN10,IF(UPPER(Planung!GN10)="H",$C10/2,0)))))))</f>
        <v>0</v>
      </c>
      <c r="GO10" s="27">
        <f>IF($A10="",0,IF(Mitarbeiter!$G$8=FALSE,0,IF(AND(Mitarbeiter!$E$8&lt;&gt;"",GO$5+6&lt;Mitarbeiter!$E$8),0,IF(AND(Mitarbeiter!$F$8&lt;&gt;"",GO$5&gt;Mitarbeiter!$F$8),0,IF(Planung!GO10="",$C10,IF(ISNUMBER(Planung!GO10),Planung!GO10,IF(UPPER(Planung!GO10)="H",$C10/2,0)))))))</f>
        <v>0</v>
      </c>
      <c r="GP10" s="27">
        <f>IF($A10="",0,IF(Mitarbeiter!$G$8=FALSE,0,IF(AND(Mitarbeiter!$E$8&lt;&gt;"",GP$5+6&lt;Mitarbeiter!$E$8),0,IF(AND(Mitarbeiter!$F$8&lt;&gt;"",GP$5&gt;Mitarbeiter!$F$8),0,IF(Planung!GP10="",$C10,IF(ISNUMBER(Planung!GP10),Planung!GP10,IF(UPPER(Planung!GP10)="H",$C10/2,0)))))))</f>
        <v>0</v>
      </c>
      <c r="GQ10" s="27">
        <f>IF($A10="",0,IF(Mitarbeiter!$G$8=FALSE,0,IF(AND(Mitarbeiter!$E$8&lt;&gt;"",GQ$5+6&lt;Mitarbeiter!$E$8),0,IF(AND(Mitarbeiter!$F$8&lt;&gt;"",GQ$5&gt;Mitarbeiter!$F$8),0,IF(Planung!GQ10="",$C10,IF(ISNUMBER(Planung!GQ10),Planung!GQ10,IF(UPPER(Planung!GQ10)="H",$C10/2,0)))))))</f>
        <v>0</v>
      </c>
      <c r="GR10" s="27">
        <f>IF($A10="",0,IF(Mitarbeiter!$G$8=FALSE,0,IF(AND(Mitarbeiter!$E$8&lt;&gt;"",GR$5+6&lt;Mitarbeiter!$E$8),0,IF(AND(Mitarbeiter!$F$8&lt;&gt;"",GR$5&gt;Mitarbeiter!$F$8),0,IF(Planung!GR10="",$C10,IF(ISNUMBER(Planung!GR10),Planung!GR10,IF(UPPER(Planung!GR10)="H",$C10/2,0)))))))</f>
        <v>0</v>
      </c>
      <c r="GS10" s="27">
        <f>IF($A10="",0,IF(Mitarbeiter!$G$8=FALSE,0,IF(AND(Mitarbeiter!$E$8&lt;&gt;"",GS$5+6&lt;Mitarbeiter!$E$8),0,IF(AND(Mitarbeiter!$F$8&lt;&gt;"",GS$5&gt;Mitarbeiter!$F$8),0,IF(Planung!GS10="",$C10,IF(ISNUMBER(Planung!GS10),Planung!GS10,IF(UPPER(Planung!GS10)="H",$C10/2,0)))))))</f>
        <v>0</v>
      </c>
      <c r="GT10" s="27">
        <f>IF($A10="",0,IF(Mitarbeiter!$G$8=FALSE,0,IF(AND(Mitarbeiter!$E$8&lt;&gt;"",GT$5+6&lt;Mitarbeiter!$E$8),0,IF(AND(Mitarbeiter!$F$8&lt;&gt;"",GT$5&gt;Mitarbeiter!$F$8),0,IF(Planung!GT10="",$C10,IF(ISNUMBER(Planung!GT10),Planung!GT10,IF(UPPER(Planung!GT10)="H",$C10/2,0)))))))</f>
        <v>0</v>
      </c>
      <c r="GU10" s="27">
        <f>IF($A10="",0,IF(Mitarbeiter!$G$8=FALSE,0,IF(AND(Mitarbeiter!$E$8&lt;&gt;"",GU$5+6&lt;Mitarbeiter!$E$8),0,IF(AND(Mitarbeiter!$F$8&lt;&gt;"",GU$5&gt;Mitarbeiter!$F$8),0,IF(Planung!GU10="",$C10,IF(ISNUMBER(Planung!GU10),Planung!GU10,IF(UPPER(Planung!GU10)="H",$C10/2,0)))))))</f>
        <v>0</v>
      </c>
      <c r="GV10" s="27">
        <f>IF($A10="",0,IF(Mitarbeiter!$G$8=FALSE,0,IF(AND(Mitarbeiter!$E$8&lt;&gt;"",GV$5+6&lt;Mitarbeiter!$E$8),0,IF(AND(Mitarbeiter!$F$8&lt;&gt;"",GV$5&gt;Mitarbeiter!$F$8),0,IF(Planung!GV10="",$C10,IF(ISNUMBER(Planung!GV10),Planung!GV10,IF(UPPER(Planung!GV10)="H",$C10/2,0)))))))</f>
        <v>0</v>
      </c>
      <c r="GW10" s="27">
        <f>IF($A10="",0,IF(Mitarbeiter!$G$8=FALSE,0,IF(AND(Mitarbeiter!$E$8&lt;&gt;"",GW$5+6&lt;Mitarbeiter!$E$8),0,IF(AND(Mitarbeiter!$F$8&lt;&gt;"",GW$5&gt;Mitarbeiter!$F$8),0,IF(Planung!GW10="",$C10,IF(ISNUMBER(Planung!GW10),Planung!GW10,IF(UPPER(Planung!GW10)="H",$C10/2,0)))))))</f>
        <v>0</v>
      </c>
      <c r="GX10" s="27">
        <f>IF($A10="",0,IF(Mitarbeiter!$G$8=FALSE,0,IF(AND(Mitarbeiter!$E$8&lt;&gt;"",GX$5+6&lt;Mitarbeiter!$E$8),0,IF(AND(Mitarbeiter!$F$8&lt;&gt;"",GX$5&gt;Mitarbeiter!$F$8),0,IF(Planung!GX10="",$C10,IF(ISNUMBER(Planung!GX10),Planung!GX10,IF(UPPER(Planung!GX10)="H",$C10/2,0)))))))</f>
        <v>0</v>
      </c>
      <c r="GY10" s="27">
        <f>IF($A10="",0,IF(Mitarbeiter!$G$8=FALSE,0,IF(AND(Mitarbeiter!$E$8&lt;&gt;"",GY$5+6&lt;Mitarbeiter!$E$8),0,IF(AND(Mitarbeiter!$F$8&lt;&gt;"",GY$5&gt;Mitarbeiter!$F$8),0,IF(Planung!GY10="",$C10,IF(ISNUMBER(Planung!GY10),Planung!GY10,IF(UPPER(Planung!GY10)="H",$C10/2,0)))))))</f>
        <v>0</v>
      </c>
      <c r="GZ10" s="27">
        <f>IF($A10="",0,IF(Mitarbeiter!$G$8=FALSE,0,IF(AND(Mitarbeiter!$E$8&lt;&gt;"",GZ$5+6&lt;Mitarbeiter!$E$8),0,IF(AND(Mitarbeiter!$F$8&lt;&gt;"",GZ$5&gt;Mitarbeiter!$F$8),0,IF(Planung!GZ10="",$C10,IF(ISNUMBER(Planung!GZ10),Planung!GZ10,IF(UPPER(Planung!GZ10)="H",$C10/2,0)))))))</f>
        <v>0</v>
      </c>
      <c r="HA10" s="27">
        <f>IF($A10="",0,IF(Mitarbeiter!$G$8=FALSE,0,IF(AND(Mitarbeiter!$E$8&lt;&gt;"",HA$5+6&lt;Mitarbeiter!$E$8),0,IF(AND(Mitarbeiter!$F$8&lt;&gt;"",HA$5&gt;Mitarbeiter!$F$8),0,IF(Planung!HA10="",$C10,IF(ISNUMBER(Planung!HA10),Planung!HA10,IF(UPPER(Planung!HA10)="H",$C10/2,0)))))))</f>
        <v>0</v>
      </c>
      <c r="HB10" s="27">
        <f>IF($A10="",0,IF(Mitarbeiter!$G$8=FALSE,0,IF(AND(Mitarbeiter!$E$8&lt;&gt;"",HB$5+6&lt;Mitarbeiter!$E$8),0,IF(AND(Mitarbeiter!$F$8&lt;&gt;"",HB$5&gt;Mitarbeiter!$F$8),0,IF(Planung!HB10="",$C10,IF(ISNUMBER(Planung!HB10),Planung!HB10,IF(UPPER(Planung!HB10)="H",$C10/2,0)))))))</f>
        <v>0</v>
      </c>
      <c r="HC10" s="27">
        <f>IF($A10="",0,IF(Mitarbeiter!$G$8=FALSE,0,IF(AND(Mitarbeiter!$E$8&lt;&gt;"",HC$5+6&lt;Mitarbeiter!$E$8),0,IF(AND(Mitarbeiter!$F$8&lt;&gt;"",HC$5&gt;Mitarbeiter!$F$8),0,IF(Planung!HC10="",$C10,IF(ISNUMBER(Planung!HC10),Planung!HC10,IF(UPPER(Planung!HC10)="H",$C10/2,0)))))))</f>
        <v>0</v>
      </c>
      <c r="HD10" s="27">
        <f>IF($A10="",0,IF(Mitarbeiter!$G$8=FALSE,0,IF(AND(Mitarbeiter!$E$8&lt;&gt;"",HD$5+6&lt;Mitarbeiter!$E$8),0,IF(AND(Mitarbeiter!$F$8&lt;&gt;"",HD$5&gt;Mitarbeiter!$F$8),0,IF(Planung!HD10="",$C10,IF(ISNUMBER(Planung!HD10),Planung!HD10,IF(UPPER(Planung!HD10)="H",$C10/2,0)))))))</f>
        <v>0</v>
      </c>
      <c r="HE10" s="27">
        <f>IF($A10="",0,IF(Mitarbeiter!$G$8=FALSE,0,IF(AND(Mitarbeiter!$E$8&lt;&gt;"",HE$5+6&lt;Mitarbeiter!$E$8),0,IF(AND(Mitarbeiter!$F$8&lt;&gt;"",HE$5&gt;Mitarbeiter!$F$8),0,IF(Planung!HE10="",$C10,IF(ISNUMBER(Planung!HE10),Planung!HE10,IF(UPPER(Planung!HE10)="H",$C10/2,0)))))))</f>
        <v>0</v>
      </c>
      <c r="HF10" s="27">
        <f>IF($A10="",0,IF(Mitarbeiter!$G$8=FALSE,0,IF(AND(Mitarbeiter!$E$8&lt;&gt;"",HF$5+6&lt;Mitarbeiter!$E$8),0,IF(AND(Mitarbeiter!$F$8&lt;&gt;"",HF$5&gt;Mitarbeiter!$F$8),0,IF(Planung!HF10="",$C10,IF(ISNUMBER(Planung!HF10),Planung!HF10,IF(UPPER(Planung!HF10)="H",$C10/2,0)))))))</f>
        <v>0</v>
      </c>
      <c r="HG10" s="27">
        <f>IF($A10="",0,IF(Mitarbeiter!$G$8=FALSE,0,IF(AND(Mitarbeiter!$E$8&lt;&gt;"",HG$5+6&lt;Mitarbeiter!$E$8),0,IF(AND(Mitarbeiter!$F$8&lt;&gt;"",HG$5&gt;Mitarbeiter!$F$8),0,IF(Planung!HG10="",$C10,IF(ISNUMBER(Planung!HG10),Planung!HG10,IF(UPPER(Planung!HG10)="H",$C10/2,0)))))))</f>
        <v>0</v>
      </c>
      <c r="HH10" s="27">
        <f>IF($A10="",0,IF(Mitarbeiter!$G$8=FALSE,0,IF(AND(Mitarbeiter!$E$8&lt;&gt;"",HH$5+6&lt;Mitarbeiter!$E$8),0,IF(AND(Mitarbeiter!$F$8&lt;&gt;"",HH$5&gt;Mitarbeiter!$F$8),0,IF(Planung!HH10="",$C10,IF(ISNUMBER(Planung!HH10),Planung!HH10,IF(UPPER(Planung!HH10)="H",$C10/2,0)))))))</f>
        <v>0</v>
      </c>
      <c r="HI10" s="27">
        <f>IF($A10="",0,IF(Mitarbeiter!$G$8=FALSE,0,IF(AND(Mitarbeiter!$E$8&lt;&gt;"",HI$5+6&lt;Mitarbeiter!$E$8),0,IF(AND(Mitarbeiter!$F$8&lt;&gt;"",HI$5&gt;Mitarbeiter!$F$8),0,IF(Planung!HI10="",$C10,IF(ISNUMBER(Planung!HI10),Planung!HI10,IF(UPPER(Planung!HI10)="H",$C10/2,0)))))))</f>
        <v>0</v>
      </c>
      <c r="HJ10" s="27">
        <f>IF($A10="",0,IF(Mitarbeiter!$G$8=FALSE,0,IF(AND(Mitarbeiter!$E$8&lt;&gt;"",HJ$5+6&lt;Mitarbeiter!$E$8),0,IF(AND(Mitarbeiter!$F$8&lt;&gt;"",HJ$5&gt;Mitarbeiter!$F$8),0,IF(Planung!HJ10="",$C10,IF(ISNUMBER(Planung!HJ10),Planung!HJ10,IF(UPPER(Planung!HJ10)="H",$C10/2,0)))))))</f>
        <v>0</v>
      </c>
      <c r="HK10" s="27">
        <f>IF($A10="",0,IF(Mitarbeiter!$G$8=FALSE,0,IF(AND(Mitarbeiter!$E$8&lt;&gt;"",HK$5+6&lt;Mitarbeiter!$E$8),0,IF(AND(Mitarbeiter!$F$8&lt;&gt;"",HK$5&gt;Mitarbeiter!$F$8),0,IF(Planung!HK10="",$C10,IF(ISNUMBER(Planung!HK10),Planung!HK10,IF(UPPER(Planung!HK10)="H",$C10/2,0)))))))</f>
        <v>0</v>
      </c>
      <c r="HL10" s="27">
        <f>IF($A10="",0,IF(Mitarbeiter!$G$8=FALSE,0,IF(AND(Mitarbeiter!$E$8&lt;&gt;"",HL$5+6&lt;Mitarbeiter!$E$8),0,IF(AND(Mitarbeiter!$F$8&lt;&gt;"",HL$5&gt;Mitarbeiter!$F$8),0,IF(Planung!HL10="",$C10,IF(ISNUMBER(Planung!HL10),Planung!HL10,IF(UPPER(Planung!HL10)="H",$C10/2,0)))))))</f>
        <v>0</v>
      </c>
      <c r="HM10" s="27">
        <f>IF($A10="",0,IF(Mitarbeiter!$G$8=FALSE,0,IF(AND(Mitarbeiter!$E$8&lt;&gt;"",HM$5+6&lt;Mitarbeiter!$E$8),0,IF(AND(Mitarbeiter!$F$8&lt;&gt;"",HM$5&gt;Mitarbeiter!$F$8),0,IF(Planung!HM10="",$C10,IF(ISNUMBER(Planung!HM10),Planung!HM10,IF(UPPER(Planung!HM10)="H",$C10/2,0)))))))</f>
        <v>0</v>
      </c>
      <c r="HN10" s="27">
        <f>IF($A10="",0,IF(Mitarbeiter!$G$8=FALSE,0,IF(AND(Mitarbeiter!$E$8&lt;&gt;"",HN$5+6&lt;Mitarbeiter!$E$8),0,IF(AND(Mitarbeiter!$F$8&lt;&gt;"",HN$5&gt;Mitarbeiter!$F$8),0,IF(Planung!HN10="",$C10,IF(ISNUMBER(Planung!HN10),Planung!HN10,IF(UPPER(Planung!HN10)="H",$C10/2,0)))))))</f>
        <v>0</v>
      </c>
      <c r="HO10" s="27">
        <f>IF($A10="",0,IF(Mitarbeiter!$G$8=FALSE,0,IF(AND(Mitarbeiter!$E$8&lt;&gt;"",HO$5+6&lt;Mitarbeiter!$E$8),0,IF(AND(Mitarbeiter!$F$8&lt;&gt;"",HO$5&gt;Mitarbeiter!$F$8),0,IF(Planung!HO10="",$C10,IF(ISNUMBER(Planung!HO10),Planung!HO10,IF(UPPER(Planung!HO10)="H",$C10/2,0)))))))</f>
        <v>0</v>
      </c>
      <c r="HP10" s="27">
        <f>IF($A10="",0,IF(Mitarbeiter!$G$8=FALSE,0,IF(AND(Mitarbeiter!$E$8&lt;&gt;"",HP$5+6&lt;Mitarbeiter!$E$8),0,IF(AND(Mitarbeiter!$F$8&lt;&gt;"",HP$5&gt;Mitarbeiter!$F$8),0,IF(Planung!HP10="",$C10,IF(ISNUMBER(Planung!HP10),Planung!HP10,IF(UPPER(Planung!HP10)="H",$C10/2,0)))))))</f>
        <v>0</v>
      </c>
      <c r="HQ10" s="27">
        <f>IF($A10="",0,IF(Mitarbeiter!$G$8=FALSE,0,IF(AND(Mitarbeiter!$E$8&lt;&gt;"",HQ$5+6&lt;Mitarbeiter!$E$8),0,IF(AND(Mitarbeiter!$F$8&lt;&gt;"",HQ$5&gt;Mitarbeiter!$F$8),0,IF(Planung!HQ10="",$C10,IF(ISNUMBER(Planung!HQ10),Planung!HQ10,IF(UPPER(Planung!HQ10)="H",$C10/2,0)))))))</f>
        <v>0</v>
      </c>
      <c r="HR10" s="27">
        <f>IF($A10="",0,IF(Mitarbeiter!$G$8=FALSE,0,IF(AND(Mitarbeiter!$E$8&lt;&gt;"",HR$5+6&lt;Mitarbeiter!$E$8),0,IF(AND(Mitarbeiter!$F$8&lt;&gt;"",HR$5&gt;Mitarbeiter!$F$8),0,IF(Planung!HR10="",$C10,IF(ISNUMBER(Planung!HR10),Planung!HR10,IF(UPPER(Planung!HR10)="H",$C10/2,0)))))))</f>
        <v>0</v>
      </c>
      <c r="HS10" s="27">
        <f>IF($A10="",0,IF(Mitarbeiter!$G$8=FALSE,0,IF(AND(Mitarbeiter!$E$8&lt;&gt;"",HS$5+6&lt;Mitarbeiter!$E$8),0,IF(AND(Mitarbeiter!$F$8&lt;&gt;"",HS$5&gt;Mitarbeiter!$F$8),0,IF(Planung!HS10="",$C10,IF(ISNUMBER(Planung!HS10),Planung!HS10,IF(UPPER(Planung!HS10)="H",$C10/2,0)))))))</f>
        <v>0</v>
      </c>
      <c r="HT10" s="27">
        <f>IF($A10="",0,IF(Mitarbeiter!$G$8=FALSE,0,IF(AND(Mitarbeiter!$E$8&lt;&gt;"",HT$5+6&lt;Mitarbeiter!$E$8),0,IF(AND(Mitarbeiter!$F$8&lt;&gt;"",HT$5&gt;Mitarbeiter!$F$8),0,IF(Planung!HT10="",$C10,IF(ISNUMBER(Planung!HT10),Planung!HT10,IF(UPPER(Planung!HT10)="H",$C10/2,0)))))))</f>
        <v>0</v>
      </c>
      <c r="HU10" s="27">
        <f>IF($A10="",0,IF(Mitarbeiter!$G$8=FALSE,0,IF(AND(Mitarbeiter!$E$8&lt;&gt;"",HU$5+6&lt;Mitarbeiter!$E$8),0,IF(AND(Mitarbeiter!$F$8&lt;&gt;"",HU$5&gt;Mitarbeiter!$F$8),0,IF(Planung!HU10="",$C10,IF(ISNUMBER(Planung!HU10),Planung!HU10,IF(UPPER(Planung!HU10)="H",$C10/2,0)))))))</f>
        <v>0</v>
      </c>
      <c r="HV10" s="27">
        <f>IF($A10="",0,IF(Mitarbeiter!$G$8=FALSE,0,IF(AND(Mitarbeiter!$E$8&lt;&gt;"",HV$5+6&lt;Mitarbeiter!$E$8),0,IF(AND(Mitarbeiter!$F$8&lt;&gt;"",HV$5&gt;Mitarbeiter!$F$8),0,IF(Planung!HV10="",$C10,IF(ISNUMBER(Planung!HV10),Planung!HV10,IF(UPPER(Planung!HV10)="H",$C10/2,0)))))))</f>
        <v>0</v>
      </c>
      <c r="HW10" s="27">
        <f>IF($A10="",0,IF(Mitarbeiter!$G$8=FALSE,0,IF(AND(Mitarbeiter!$E$8&lt;&gt;"",HW$5+6&lt;Mitarbeiter!$E$8),0,IF(AND(Mitarbeiter!$F$8&lt;&gt;"",HW$5&gt;Mitarbeiter!$F$8),0,IF(Planung!HW10="",$C10,IF(ISNUMBER(Planung!HW10),Planung!HW10,IF(UPPER(Planung!HW10)="H",$C10/2,0)))))))</f>
        <v>0</v>
      </c>
      <c r="HX10" s="27">
        <f>IF($A10="",0,IF(Mitarbeiter!$G$8=FALSE,0,IF(AND(Mitarbeiter!$E$8&lt;&gt;"",HX$5+6&lt;Mitarbeiter!$E$8),0,IF(AND(Mitarbeiter!$F$8&lt;&gt;"",HX$5&gt;Mitarbeiter!$F$8),0,IF(Planung!HX10="",$C10,IF(ISNUMBER(Planung!HX10),Planung!HX10,IF(UPPER(Planung!HX10)="H",$C10/2,0)))))))</f>
        <v>0</v>
      </c>
      <c r="HY10" s="27">
        <f>IF($A10="",0,IF(Mitarbeiter!$G$8=FALSE,0,IF(AND(Mitarbeiter!$E$8&lt;&gt;"",HY$5+6&lt;Mitarbeiter!$E$8),0,IF(AND(Mitarbeiter!$F$8&lt;&gt;"",HY$5&gt;Mitarbeiter!$F$8),0,IF(Planung!HY10="",$C10,IF(ISNUMBER(Planung!HY10),Planung!HY10,IF(UPPER(Planung!HY10)="H",$C10/2,0)))))))</f>
        <v>0</v>
      </c>
      <c r="HZ10" s="27">
        <f>IF($A10="",0,IF(Mitarbeiter!$G$8=FALSE,0,IF(AND(Mitarbeiter!$E$8&lt;&gt;"",HZ$5+6&lt;Mitarbeiter!$E$8),0,IF(AND(Mitarbeiter!$F$8&lt;&gt;"",HZ$5&gt;Mitarbeiter!$F$8),0,IF(Planung!HZ10="",$C10,IF(ISNUMBER(Planung!HZ10),Planung!HZ10,IF(UPPER(Planung!HZ10)="H",$C10/2,0)))))))</f>
        <v>0</v>
      </c>
      <c r="IA10" s="27">
        <f>IF($A10="",0,IF(Mitarbeiter!$G$8=FALSE,0,IF(AND(Mitarbeiter!$E$8&lt;&gt;"",IA$5+6&lt;Mitarbeiter!$E$8),0,IF(AND(Mitarbeiter!$F$8&lt;&gt;"",IA$5&gt;Mitarbeiter!$F$8),0,IF(Planung!IA10="",$C10,IF(ISNUMBER(Planung!IA10),Planung!IA10,IF(UPPER(Planung!IA10)="H",$C10/2,0)))))))</f>
        <v>0</v>
      </c>
    </row>
    <row r="11" spans="1:235" x14ac:dyDescent="0.25">
      <c r="A11" s="7" t="str">
        <f>Planung!A11</f>
        <v/>
      </c>
      <c r="B11" s="7" t="str">
        <f>Planung!B11</f>
        <v/>
      </c>
      <c r="C11" s="27">
        <f>N(Mitarbeiter!$D$9)</f>
        <v>0</v>
      </c>
      <c r="D11" s="27">
        <f>IF($A11="",0,IF(Mitarbeiter!$G$9=FALSE,0,IF(AND(Mitarbeiter!$E$9&lt;&gt;"",D$5+6&lt;Mitarbeiter!$E$9),0,IF(AND(Mitarbeiter!$F$9&lt;&gt;"",D$5&gt;Mitarbeiter!$F$9),0,IF(Planung!D11="",$C11,IF(ISNUMBER(Planung!D11),Planung!D11,IF(UPPER(Planung!D11)="H",$C11/2,0)))))))</f>
        <v>0</v>
      </c>
      <c r="E11" s="27">
        <f>IF($A11="",0,IF(Mitarbeiter!$G$9=FALSE,0,IF(AND(Mitarbeiter!$E$9&lt;&gt;"",E$5+6&lt;Mitarbeiter!$E$9),0,IF(AND(Mitarbeiter!$F$9&lt;&gt;"",E$5&gt;Mitarbeiter!$F$9),0,IF(Planung!E11="",$C11,IF(ISNUMBER(Planung!E11),Planung!E11,IF(UPPER(Planung!E11)="H",$C11/2,0)))))))</f>
        <v>0</v>
      </c>
      <c r="F11" s="27">
        <f>IF($A11="",0,IF(Mitarbeiter!$G$9=FALSE,0,IF(AND(Mitarbeiter!$E$9&lt;&gt;"",F$5+6&lt;Mitarbeiter!$E$9),0,IF(AND(Mitarbeiter!$F$9&lt;&gt;"",F$5&gt;Mitarbeiter!$F$9),0,IF(Planung!F11="",$C11,IF(ISNUMBER(Planung!F11),Planung!F11,IF(UPPER(Planung!F11)="H",$C11/2,0)))))))</f>
        <v>0</v>
      </c>
      <c r="G11" s="27">
        <f>IF($A11="",0,IF(Mitarbeiter!$G$9=FALSE,0,IF(AND(Mitarbeiter!$E$9&lt;&gt;"",G$5+6&lt;Mitarbeiter!$E$9),0,IF(AND(Mitarbeiter!$F$9&lt;&gt;"",G$5&gt;Mitarbeiter!$F$9),0,IF(Planung!G11="",$C11,IF(ISNUMBER(Planung!G11),Planung!G11,IF(UPPER(Planung!G11)="H",$C11/2,0)))))))</f>
        <v>0</v>
      </c>
      <c r="H11" s="27">
        <f>IF($A11="",0,IF(Mitarbeiter!$G$9=FALSE,0,IF(AND(Mitarbeiter!$E$9&lt;&gt;"",H$5+6&lt;Mitarbeiter!$E$9),0,IF(AND(Mitarbeiter!$F$9&lt;&gt;"",H$5&gt;Mitarbeiter!$F$9),0,IF(Planung!H11="",$C11,IF(ISNUMBER(Planung!H11),Planung!H11,IF(UPPER(Planung!H11)="H",$C11/2,0)))))))</f>
        <v>0</v>
      </c>
      <c r="I11" s="27">
        <f>IF($A11="",0,IF(Mitarbeiter!$G$9=FALSE,0,IF(AND(Mitarbeiter!$E$9&lt;&gt;"",I$5+6&lt;Mitarbeiter!$E$9),0,IF(AND(Mitarbeiter!$F$9&lt;&gt;"",I$5&gt;Mitarbeiter!$F$9),0,IF(Planung!I11="",$C11,IF(ISNUMBER(Planung!I11),Planung!I11,IF(UPPER(Planung!I11)="H",$C11/2,0)))))))</f>
        <v>0</v>
      </c>
      <c r="J11" s="27">
        <f>IF($A11="",0,IF(Mitarbeiter!$G$9=FALSE,0,IF(AND(Mitarbeiter!$E$9&lt;&gt;"",J$5+6&lt;Mitarbeiter!$E$9),0,IF(AND(Mitarbeiter!$F$9&lt;&gt;"",J$5&gt;Mitarbeiter!$F$9),0,IF(Planung!J11="",$C11,IF(ISNUMBER(Planung!J11),Planung!J11,IF(UPPER(Planung!J11)="H",$C11/2,0)))))))</f>
        <v>0</v>
      </c>
      <c r="K11" s="27">
        <f>IF($A11="",0,IF(Mitarbeiter!$G$9=FALSE,0,IF(AND(Mitarbeiter!$E$9&lt;&gt;"",K$5+6&lt;Mitarbeiter!$E$9),0,IF(AND(Mitarbeiter!$F$9&lt;&gt;"",K$5&gt;Mitarbeiter!$F$9),0,IF(Planung!K11="",$C11,IF(ISNUMBER(Planung!K11),Planung!K11,IF(UPPER(Planung!K11)="H",$C11/2,0)))))))</f>
        <v>0</v>
      </c>
      <c r="L11" s="27">
        <f>IF($A11="",0,IF(Mitarbeiter!$G$9=FALSE,0,IF(AND(Mitarbeiter!$E$9&lt;&gt;"",L$5+6&lt;Mitarbeiter!$E$9),0,IF(AND(Mitarbeiter!$F$9&lt;&gt;"",L$5&gt;Mitarbeiter!$F$9),0,IF(Planung!L11="",$C11,IF(ISNUMBER(Planung!L11),Planung!L11,IF(UPPER(Planung!L11)="H",$C11/2,0)))))))</f>
        <v>0</v>
      </c>
      <c r="M11" s="27">
        <f>IF($A11="",0,IF(Mitarbeiter!$G$9=FALSE,0,IF(AND(Mitarbeiter!$E$9&lt;&gt;"",M$5+6&lt;Mitarbeiter!$E$9),0,IF(AND(Mitarbeiter!$F$9&lt;&gt;"",M$5&gt;Mitarbeiter!$F$9),0,IF(Planung!M11="",$C11,IF(ISNUMBER(Planung!M11),Planung!M11,IF(UPPER(Planung!M11)="H",$C11/2,0)))))))</f>
        <v>0</v>
      </c>
      <c r="N11" s="27">
        <f>IF($A11="",0,IF(Mitarbeiter!$G$9=FALSE,0,IF(AND(Mitarbeiter!$E$9&lt;&gt;"",N$5+6&lt;Mitarbeiter!$E$9),0,IF(AND(Mitarbeiter!$F$9&lt;&gt;"",N$5&gt;Mitarbeiter!$F$9),0,IF(Planung!N11="",$C11,IF(ISNUMBER(Planung!N11),Planung!N11,IF(UPPER(Planung!N11)="H",$C11/2,0)))))))</f>
        <v>0</v>
      </c>
      <c r="O11" s="27">
        <f>IF($A11="",0,IF(Mitarbeiter!$G$9=FALSE,0,IF(AND(Mitarbeiter!$E$9&lt;&gt;"",O$5+6&lt;Mitarbeiter!$E$9),0,IF(AND(Mitarbeiter!$F$9&lt;&gt;"",O$5&gt;Mitarbeiter!$F$9),0,IF(Planung!O11="",$C11,IF(ISNUMBER(Planung!O11),Planung!O11,IF(UPPER(Planung!O11)="H",$C11/2,0)))))))</f>
        <v>0</v>
      </c>
      <c r="P11" s="27">
        <f>IF($A11="",0,IF(Mitarbeiter!$G$9=FALSE,0,IF(AND(Mitarbeiter!$E$9&lt;&gt;"",P$5+6&lt;Mitarbeiter!$E$9),0,IF(AND(Mitarbeiter!$F$9&lt;&gt;"",P$5&gt;Mitarbeiter!$F$9),0,IF(Planung!P11="",$C11,IF(ISNUMBER(Planung!P11),Planung!P11,IF(UPPER(Planung!P11)="H",$C11/2,0)))))))</f>
        <v>0</v>
      </c>
      <c r="Q11" s="27">
        <f>IF($A11="",0,IF(Mitarbeiter!$G$9=FALSE,0,IF(AND(Mitarbeiter!$E$9&lt;&gt;"",Q$5+6&lt;Mitarbeiter!$E$9),0,IF(AND(Mitarbeiter!$F$9&lt;&gt;"",Q$5&gt;Mitarbeiter!$F$9),0,IF(Planung!Q11="",$C11,IF(ISNUMBER(Planung!Q11),Planung!Q11,IF(UPPER(Planung!Q11)="H",$C11/2,0)))))))</f>
        <v>0</v>
      </c>
      <c r="R11" s="27">
        <f>IF($A11="",0,IF(Mitarbeiter!$G$9=FALSE,0,IF(AND(Mitarbeiter!$E$9&lt;&gt;"",R$5+6&lt;Mitarbeiter!$E$9),0,IF(AND(Mitarbeiter!$F$9&lt;&gt;"",R$5&gt;Mitarbeiter!$F$9),0,IF(Planung!R11="",$C11,IF(ISNUMBER(Planung!R11),Planung!R11,IF(UPPER(Planung!R11)="H",$C11/2,0)))))))</f>
        <v>0</v>
      </c>
      <c r="S11" s="27">
        <f>IF($A11="",0,IF(Mitarbeiter!$G$9=FALSE,0,IF(AND(Mitarbeiter!$E$9&lt;&gt;"",S$5+6&lt;Mitarbeiter!$E$9),0,IF(AND(Mitarbeiter!$F$9&lt;&gt;"",S$5&gt;Mitarbeiter!$F$9),0,IF(Planung!S11="",$C11,IF(ISNUMBER(Planung!S11),Planung!S11,IF(UPPER(Planung!S11)="H",$C11/2,0)))))))</f>
        <v>0</v>
      </c>
      <c r="T11" s="27">
        <f>IF($A11="",0,IF(Mitarbeiter!$G$9=FALSE,0,IF(AND(Mitarbeiter!$E$9&lt;&gt;"",T$5+6&lt;Mitarbeiter!$E$9),0,IF(AND(Mitarbeiter!$F$9&lt;&gt;"",T$5&gt;Mitarbeiter!$F$9),0,IF(Planung!T11="",$C11,IF(ISNUMBER(Planung!T11),Planung!T11,IF(UPPER(Planung!T11)="H",$C11/2,0)))))))</f>
        <v>0</v>
      </c>
      <c r="U11" s="27">
        <f>IF($A11="",0,IF(Mitarbeiter!$G$9=FALSE,0,IF(AND(Mitarbeiter!$E$9&lt;&gt;"",U$5+6&lt;Mitarbeiter!$E$9),0,IF(AND(Mitarbeiter!$F$9&lt;&gt;"",U$5&gt;Mitarbeiter!$F$9),0,IF(Planung!U11="",$C11,IF(ISNUMBER(Planung!U11),Planung!U11,IF(UPPER(Planung!U11)="H",$C11/2,0)))))))</f>
        <v>0</v>
      </c>
      <c r="V11" s="27">
        <f>IF($A11="",0,IF(Mitarbeiter!$G$9=FALSE,0,IF(AND(Mitarbeiter!$E$9&lt;&gt;"",V$5+6&lt;Mitarbeiter!$E$9),0,IF(AND(Mitarbeiter!$F$9&lt;&gt;"",V$5&gt;Mitarbeiter!$F$9),0,IF(Planung!V11="",$C11,IF(ISNUMBER(Planung!V11),Planung!V11,IF(UPPER(Planung!V11)="H",$C11/2,0)))))))</f>
        <v>0</v>
      </c>
      <c r="W11" s="27">
        <f>IF($A11="",0,IF(Mitarbeiter!$G$9=FALSE,0,IF(AND(Mitarbeiter!$E$9&lt;&gt;"",W$5+6&lt;Mitarbeiter!$E$9),0,IF(AND(Mitarbeiter!$F$9&lt;&gt;"",W$5&gt;Mitarbeiter!$F$9),0,IF(Planung!W11="",$C11,IF(ISNUMBER(Planung!W11),Planung!W11,IF(UPPER(Planung!W11)="H",$C11/2,0)))))))</f>
        <v>0</v>
      </c>
      <c r="X11" s="27">
        <f>IF($A11="",0,IF(Mitarbeiter!$G$9=FALSE,0,IF(AND(Mitarbeiter!$E$9&lt;&gt;"",X$5+6&lt;Mitarbeiter!$E$9),0,IF(AND(Mitarbeiter!$F$9&lt;&gt;"",X$5&gt;Mitarbeiter!$F$9),0,IF(Planung!X11="",$C11,IF(ISNUMBER(Planung!X11),Planung!X11,IF(UPPER(Planung!X11)="H",$C11/2,0)))))))</f>
        <v>0</v>
      </c>
      <c r="Y11" s="27">
        <f>IF($A11="",0,IF(Mitarbeiter!$G$9=FALSE,0,IF(AND(Mitarbeiter!$E$9&lt;&gt;"",Y$5+6&lt;Mitarbeiter!$E$9),0,IF(AND(Mitarbeiter!$F$9&lt;&gt;"",Y$5&gt;Mitarbeiter!$F$9),0,IF(Planung!Y11="",$C11,IF(ISNUMBER(Planung!Y11),Planung!Y11,IF(UPPER(Planung!Y11)="H",$C11/2,0)))))))</f>
        <v>0</v>
      </c>
      <c r="Z11" s="27">
        <f>IF($A11="",0,IF(Mitarbeiter!$G$9=FALSE,0,IF(AND(Mitarbeiter!$E$9&lt;&gt;"",Z$5+6&lt;Mitarbeiter!$E$9),0,IF(AND(Mitarbeiter!$F$9&lt;&gt;"",Z$5&gt;Mitarbeiter!$F$9),0,IF(Planung!Z11="",$C11,IF(ISNUMBER(Planung!Z11),Planung!Z11,IF(UPPER(Planung!Z11)="H",$C11/2,0)))))))</f>
        <v>0</v>
      </c>
      <c r="AA11" s="27">
        <f>IF($A11="",0,IF(Mitarbeiter!$G$9=FALSE,0,IF(AND(Mitarbeiter!$E$9&lt;&gt;"",AA$5+6&lt;Mitarbeiter!$E$9),0,IF(AND(Mitarbeiter!$F$9&lt;&gt;"",AA$5&gt;Mitarbeiter!$F$9),0,IF(Planung!AA11="",$C11,IF(ISNUMBER(Planung!AA11),Planung!AA11,IF(UPPER(Planung!AA11)="H",$C11/2,0)))))))</f>
        <v>0</v>
      </c>
      <c r="AB11" s="27">
        <f>IF($A11="",0,IF(Mitarbeiter!$G$9=FALSE,0,IF(AND(Mitarbeiter!$E$9&lt;&gt;"",AB$5+6&lt;Mitarbeiter!$E$9),0,IF(AND(Mitarbeiter!$F$9&lt;&gt;"",AB$5&gt;Mitarbeiter!$F$9),0,IF(Planung!AB11="",$C11,IF(ISNUMBER(Planung!AB11),Planung!AB11,IF(UPPER(Planung!AB11)="H",$C11/2,0)))))))</f>
        <v>0</v>
      </c>
      <c r="AC11" s="27">
        <f>IF($A11="",0,IF(Mitarbeiter!$G$9=FALSE,0,IF(AND(Mitarbeiter!$E$9&lt;&gt;"",AC$5+6&lt;Mitarbeiter!$E$9),0,IF(AND(Mitarbeiter!$F$9&lt;&gt;"",AC$5&gt;Mitarbeiter!$F$9),0,IF(Planung!AC11="",$C11,IF(ISNUMBER(Planung!AC11),Planung!AC11,IF(UPPER(Planung!AC11)="H",$C11/2,0)))))))</f>
        <v>0</v>
      </c>
      <c r="AD11" s="27">
        <f>IF($A11="",0,IF(Mitarbeiter!$G$9=FALSE,0,IF(AND(Mitarbeiter!$E$9&lt;&gt;"",AD$5+6&lt;Mitarbeiter!$E$9),0,IF(AND(Mitarbeiter!$F$9&lt;&gt;"",AD$5&gt;Mitarbeiter!$F$9),0,IF(Planung!AD11="",$C11,IF(ISNUMBER(Planung!AD11),Planung!AD11,IF(UPPER(Planung!AD11)="H",$C11/2,0)))))))</f>
        <v>0</v>
      </c>
      <c r="AE11" s="27">
        <f>IF($A11="",0,IF(Mitarbeiter!$G$9=FALSE,0,IF(AND(Mitarbeiter!$E$9&lt;&gt;"",AE$5+6&lt;Mitarbeiter!$E$9),0,IF(AND(Mitarbeiter!$F$9&lt;&gt;"",AE$5&gt;Mitarbeiter!$F$9),0,IF(Planung!AE11="",$C11,IF(ISNUMBER(Planung!AE11),Planung!AE11,IF(UPPER(Planung!AE11)="H",$C11/2,0)))))))</f>
        <v>0</v>
      </c>
      <c r="AF11" s="27">
        <f>IF($A11="",0,IF(Mitarbeiter!$G$9=FALSE,0,IF(AND(Mitarbeiter!$E$9&lt;&gt;"",AF$5+6&lt;Mitarbeiter!$E$9),0,IF(AND(Mitarbeiter!$F$9&lt;&gt;"",AF$5&gt;Mitarbeiter!$F$9),0,IF(Planung!AF11="",$C11,IF(ISNUMBER(Planung!AF11),Planung!AF11,IF(UPPER(Planung!AF11)="H",$C11/2,0)))))))</f>
        <v>0</v>
      </c>
      <c r="AG11" s="27">
        <f>IF($A11="",0,IF(Mitarbeiter!$G$9=FALSE,0,IF(AND(Mitarbeiter!$E$9&lt;&gt;"",AG$5+6&lt;Mitarbeiter!$E$9),0,IF(AND(Mitarbeiter!$F$9&lt;&gt;"",AG$5&gt;Mitarbeiter!$F$9),0,IF(Planung!AG11="",$C11,IF(ISNUMBER(Planung!AG11),Planung!AG11,IF(UPPER(Planung!AG11)="H",$C11/2,0)))))))</f>
        <v>0</v>
      </c>
      <c r="AH11" s="27">
        <f>IF($A11="",0,IF(Mitarbeiter!$G$9=FALSE,0,IF(AND(Mitarbeiter!$E$9&lt;&gt;"",AH$5+6&lt;Mitarbeiter!$E$9),0,IF(AND(Mitarbeiter!$F$9&lt;&gt;"",AH$5&gt;Mitarbeiter!$F$9),0,IF(Planung!AH11="",$C11,IF(ISNUMBER(Planung!AH11),Planung!AH11,IF(UPPER(Planung!AH11)="H",$C11/2,0)))))))</f>
        <v>0</v>
      </c>
      <c r="AI11" s="27">
        <f>IF($A11="",0,IF(Mitarbeiter!$G$9=FALSE,0,IF(AND(Mitarbeiter!$E$9&lt;&gt;"",AI$5+6&lt;Mitarbeiter!$E$9),0,IF(AND(Mitarbeiter!$F$9&lt;&gt;"",AI$5&gt;Mitarbeiter!$F$9),0,IF(Planung!AI11="",$C11,IF(ISNUMBER(Planung!AI11),Planung!AI11,IF(UPPER(Planung!AI11)="H",$C11/2,0)))))))</f>
        <v>0</v>
      </c>
      <c r="AJ11" s="27">
        <f>IF($A11="",0,IF(Mitarbeiter!$G$9=FALSE,0,IF(AND(Mitarbeiter!$E$9&lt;&gt;"",AJ$5+6&lt;Mitarbeiter!$E$9),0,IF(AND(Mitarbeiter!$F$9&lt;&gt;"",AJ$5&gt;Mitarbeiter!$F$9),0,IF(Planung!AJ11="",$C11,IF(ISNUMBER(Planung!AJ11),Planung!AJ11,IF(UPPER(Planung!AJ11)="H",$C11/2,0)))))))</f>
        <v>0</v>
      </c>
      <c r="AK11" s="27">
        <f>IF($A11="",0,IF(Mitarbeiter!$G$9=FALSE,0,IF(AND(Mitarbeiter!$E$9&lt;&gt;"",AK$5+6&lt;Mitarbeiter!$E$9),0,IF(AND(Mitarbeiter!$F$9&lt;&gt;"",AK$5&gt;Mitarbeiter!$F$9),0,IF(Planung!AK11="",$C11,IF(ISNUMBER(Planung!AK11),Planung!AK11,IF(UPPER(Planung!AK11)="H",$C11/2,0)))))))</f>
        <v>0</v>
      </c>
      <c r="AL11" s="27">
        <f>IF($A11="",0,IF(Mitarbeiter!$G$9=FALSE,0,IF(AND(Mitarbeiter!$E$9&lt;&gt;"",AL$5+6&lt;Mitarbeiter!$E$9),0,IF(AND(Mitarbeiter!$F$9&lt;&gt;"",AL$5&gt;Mitarbeiter!$F$9),0,IF(Planung!AL11="",$C11,IF(ISNUMBER(Planung!AL11),Planung!AL11,IF(UPPER(Planung!AL11)="H",$C11/2,0)))))))</f>
        <v>0</v>
      </c>
      <c r="AM11" s="27">
        <f>IF($A11="",0,IF(Mitarbeiter!$G$9=FALSE,0,IF(AND(Mitarbeiter!$E$9&lt;&gt;"",AM$5+6&lt;Mitarbeiter!$E$9),0,IF(AND(Mitarbeiter!$F$9&lt;&gt;"",AM$5&gt;Mitarbeiter!$F$9),0,IF(Planung!AM11="",$C11,IF(ISNUMBER(Planung!AM11),Planung!AM11,IF(UPPER(Planung!AM11)="H",$C11/2,0)))))))</f>
        <v>0</v>
      </c>
      <c r="AN11" s="27">
        <f>IF($A11="",0,IF(Mitarbeiter!$G$9=FALSE,0,IF(AND(Mitarbeiter!$E$9&lt;&gt;"",AN$5+6&lt;Mitarbeiter!$E$9),0,IF(AND(Mitarbeiter!$F$9&lt;&gt;"",AN$5&gt;Mitarbeiter!$F$9),0,IF(Planung!AN11="",$C11,IF(ISNUMBER(Planung!AN11),Planung!AN11,IF(UPPER(Planung!AN11)="H",$C11/2,0)))))))</f>
        <v>0</v>
      </c>
      <c r="AO11" s="27">
        <f>IF($A11="",0,IF(Mitarbeiter!$G$9=FALSE,0,IF(AND(Mitarbeiter!$E$9&lt;&gt;"",AO$5+6&lt;Mitarbeiter!$E$9),0,IF(AND(Mitarbeiter!$F$9&lt;&gt;"",AO$5&gt;Mitarbeiter!$F$9),0,IF(Planung!AO11="",$C11,IF(ISNUMBER(Planung!AO11),Planung!AO11,IF(UPPER(Planung!AO11)="H",$C11/2,0)))))))</f>
        <v>0</v>
      </c>
      <c r="AP11" s="27">
        <f>IF($A11="",0,IF(Mitarbeiter!$G$9=FALSE,0,IF(AND(Mitarbeiter!$E$9&lt;&gt;"",AP$5+6&lt;Mitarbeiter!$E$9),0,IF(AND(Mitarbeiter!$F$9&lt;&gt;"",AP$5&gt;Mitarbeiter!$F$9),0,IF(Planung!AP11="",$C11,IF(ISNUMBER(Planung!AP11),Planung!AP11,IF(UPPER(Planung!AP11)="H",$C11/2,0)))))))</f>
        <v>0</v>
      </c>
      <c r="AQ11" s="27">
        <f>IF($A11="",0,IF(Mitarbeiter!$G$9=FALSE,0,IF(AND(Mitarbeiter!$E$9&lt;&gt;"",AQ$5+6&lt;Mitarbeiter!$E$9),0,IF(AND(Mitarbeiter!$F$9&lt;&gt;"",AQ$5&gt;Mitarbeiter!$F$9),0,IF(Planung!AQ11="",$C11,IF(ISNUMBER(Planung!AQ11),Planung!AQ11,IF(UPPER(Planung!AQ11)="H",$C11/2,0)))))))</f>
        <v>0</v>
      </c>
      <c r="AR11" s="27">
        <f>IF($A11="",0,IF(Mitarbeiter!$G$9=FALSE,0,IF(AND(Mitarbeiter!$E$9&lt;&gt;"",AR$5+6&lt;Mitarbeiter!$E$9),0,IF(AND(Mitarbeiter!$F$9&lt;&gt;"",AR$5&gt;Mitarbeiter!$F$9),0,IF(Planung!AR11="",$C11,IF(ISNUMBER(Planung!AR11),Planung!AR11,IF(UPPER(Planung!AR11)="H",$C11/2,0)))))))</f>
        <v>0</v>
      </c>
      <c r="AS11" s="27">
        <f>IF($A11="",0,IF(Mitarbeiter!$G$9=FALSE,0,IF(AND(Mitarbeiter!$E$9&lt;&gt;"",AS$5+6&lt;Mitarbeiter!$E$9),0,IF(AND(Mitarbeiter!$F$9&lt;&gt;"",AS$5&gt;Mitarbeiter!$F$9),0,IF(Planung!AS11="",$C11,IF(ISNUMBER(Planung!AS11),Planung!AS11,IF(UPPER(Planung!AS11)="H",$C11/2,0)))))))</f>
        <v>0</v>
      </c>
      <c r="AT11" s="27">
        <f>IF($A11="",0,IF(Mitarbeiter!$G$9=FALSE,0,IF(AND(Mitarbeiter!$E$9&lt;&gt;"",AT$5+6&lt;Mitarbeiter!$E$9),0,IF(AND(Mitarbeiter!$F$9&lt;&gt;"",AT$5&gt;Mitarbeiter!$F$9),0,IF(Planung!AT11="",$C11,IF(ISNUMBER(Planung!AT11),Planung!AT11,IF(UPPER(Planung!AT11)="H",$C11/2,0)))))))</f>
        <v>0</v>
      </c>
      <c r="AU11" s="27">
        <f>IF($A11="",0,IF(Mitarbeiter!$G$9=FALSE,0,IF(AND(Mitarbeiter!$E$9&lt;&gt;"",AU$5+6&lt;Mitarbeiter!$E$9),0,IF(AND(Mitarbeiter!$F$9&lt;&gt;"",AU$5&gt;Mitarbeiter!$F$9),0,IF(Planung!AU11="",$C11,IF(ISNUMBER(Planung!AU11),Planung!AU11,IF(UPPER(Planung!AU11)="H",$C11/2,0)))))))</f>
        <v>0</v>
      </c>
      <c r="AV11" s="27">
        <f>IF($A11="",0,IF(Mitarbeiter!$G$9=FALSE,0,IF(AND(Mitarbeiter!$E$9&lt;&gt;"",AV$5+6&lt;Mitarbeiter!$E$9),0,IF(AND(Mitarbeiter!$F$9&lt;&gt;"",AV$5&gt;Mitarbeiter!$F$9),0,IF(Planung!AV11="",$C11,IF(ISNUMBER(Planung!AV11),Planung!AV11,IF(UPPER(Planung!AV11)="H",$C11/2,0)))))))</f>
        <v>0</v>
      </c>
      <c r="AW11" s="27">
        <f>IF($A11="",0,IF(Mitarbeiter!$G$9=FALSE,0,IF(AND(Mitarbeiter!$E$9&lt;&gt;"",AW$5+6&lt;Mitarbeiter!$E$9),0,IF(AND(Mitarbeiter!$F$9&lt;&gt;"",AW$5&gt;Mitarbeiter!$F$9),0,IF(Planung!AW11="",$C11,IF(ISNUMBER(Planung!AW11),Planung!AW11,IF(UPPER(Planung!AW11)="H",$C11/2,0)))))))</f>
        <v>0</v>
      </c>
      <c r="AX11" s="27">
        <f>IF($A11="",0,IF(Mitarbeiter!$G$9=FALSE,0,IF(AND(Mitarbeiter!$E$9&lt;&gt;"",AX$5+6&lt;Mitarbeiter!$E$9),0,IF(AND(Mitarbeiter!$F$9&lt;&gt;"",AX$5&gt;Mitarbeiter!$F$9),0,IF(Planung!AX11="",$C11,IF(ISNUMBER(Planung!AX11),Planung!AX11,IF(UPPER(Planung!AX11)="H",$C11/2,0)))))))</f>
        <v>0</v>
      </c>
      <c r="AY11" s="27">
        <f>IF($A11="",0,IF(Mitarbeiter!$G$9=FALSE,0,IF(AND(Mitarbeiter!$E$9&lt;&gt;"",AY$5+6&lt;Mitarbeiter!$E$9),0,IF(AND(Mitarbeiter!$F$9&lt;&gt;"",AY$5&gt;Mitarbeiter!$F$9),0,IF(Planung!AY11="",$C11,IF(ISNUMBER(Planung!AY11),Planung!AY11,IF(UPPER(Planung!AY11)="H",$C11/2,0)))))))</f>
        <v>0</v>
      </c>
      <c r="AZ11" s="27">
        <f>IF($A11="",0,IF(Mitarbeiter!$G$9=FALSE,0,IF(AND(Mitarbeiter!$E$9&lt;&gt;"",AZ$5+6&lt;Mitarbeiter!$E$9),0,IF(AND(Mitarbeiter!$F$9&lt;&gt;"",AZ$5&gt;Mitarbeiter!$F$9),0,IF(Planung!AZ11="",$C11,IF(ISNUMBER(Planung!AZ11),Planung!AZ11,IF(UPPER(Planung!AZ11)="H",$C11/2,0)))))))</f>
        <v>0</v>
      </c>
      <c r="BA11" s="27">
        <f>IF($A11="",0,IF(Mitarbeiter!$G$9=FALSE,0,IF(AND(Mitarbeiter!$E$9&lt;&gt;"",BA$5+6&lt;Mitarbeiter!$E$9),0,IF(AND(Mitarbeiter!$F$9&lt;&gt;"",BA$5&gt;Mitarbeiter!$F$9),0,IF(Planung!BA11="",$C11,IF(ISNUMBER(Planung!BA11),Planung!BA11,IF(UPPER(Planung!BA11)="H",$C11/2,0)))))))</f>
        <v>0</v>
      </c>
      <c r="BB11" s="27">
        <f>IF($A11="",0,IF(Mitarbeiter!$G$9=FALSE,0,IF(AND(Mitarbeiter!$E$9&lt;&gt;"",BB$5+6&lt;Mitarbeiter!$E$9),0,IF(AND(Mitarbeiter!$F$9&lt;&gt;"",BB$5&gt;Mitarbeiter!$F$9),0,IF(Planung!BB11="",$C11,IF(ISNUMBER(Planung!BB11),Planung!BB11,IF(UPPER(Planung!BB11)="H",$C11/2,0)))))))</f>
        <v>0</v>
      </c>
      <c r="BC11" s="27">
        <f>IF($A11="",0,IF(Mitarbeiter!$G$9=FALSE,0,IF(AND(Mitarbeiter!$E$9&lt;&gt;"",BC$5+6&lt;Mitarbeiter!$E$9),0,IF(AND(Mitarbeiter!$F$9&lt;&gt;"",BC$5&gt;Mitarbeiter!$F$9),0,IF(Planung!BC11="",$C11,IF(ISNUMBER(Planung!BC11),Planung!BC11,IF(UPPER(Planung!BC11)="H",$C11/2,0)))))))</f>
        <v>0</v>
      </c>
      <c r="BD11" s="27">
        <f>IF($A11="",0,IF(Mitarbeiter!$G$9=FALSE,0,IF(AND(Mitarbeiter!$E$9&lt;&gt;"",BD$5+6&lt;Mitarbeiter!$E$9),0,IF(AND(Mitarbeiter!$F$9&lt;&gt;"",BD$5&gt;Mitarbeiter!$F$9),0,IF(Planung!BD11="",$C11,IF(ISNUMBER(Planung!BD11),Planung!BD11,IF(UPPER(Planung!BD11)="H",$C11/2,0)))))))</f>
        <v>0</v>
      </c>
      <c r="BE11" s="27">
        <f>IF($A11="",0,IF(Mitarbeiter!$G$9=FALSE,0,IF(AND(Mitarbeiter!$E$9&lt;&gt;"",BE$5+6&lt;Mitarbeiter!$E$9),0,IF(AND(Mitarbeiter!$F$9&lt;&gt;"",BE$5&gt;Mitarbeiter!$F$9),0,IF(Planung!BE11="",$C11,IF(ISNUMBER(Planung!BE11),Planung!BE11,IF(UPPER(Planung!BE11)="H",$C11/2,0)))))))</f>
        <v>0</v>
      </c>
      <c r="BF11" s="27">
        <f>IF($A11="",0,IF(Mitarbeiter!$G$9=FALSE,0,IF(AND(Mitarbeiter!$E$9&lt;&gt;"",BF$5+6&lt;Mitarbeiter!$E$9),0,IF(AND(Mitarbeiter!$F$9&lt;&gt;"",BF$5&gt;Mitarbeiter!$F$9),0,IF(Planung!BF11="",$C11,IF(ISNUMBER(Planung!BF11),Planung!BF11,IF(UPPER(Planung!BF11)="H",$C11/2,0)))))))</f>
        <v>0</v>
      </c>
      <c r="BG11" s="27">
        <f>IF($A11="",0,IF(Mitarbeiter!$G$9=FALSE,0,IF(AND(Mitarbeiter!$E$9&lt;&gt;"",BG$5+6&lt;Mitarbeiter!$E$9),0,IF(AND(Mitarbeiter!$F$9&lt;&gt;"",BG$5&gt;Mitarbeiter!$F$9),0,IF(Planung!BG11="",$C11,IF(ISNUMBER(Planung!BG11),Planung!BG11,IF(UPPER(Planung!BG11)="H",$C11/2,0)))))))</f>
        <v>0</v>
      </c>
      <c r="BH11" s="27">
        <f>IF($A11="",0,IF(Mitarbeiter!$G$9=FALSE,0,IF(AND(Mitarbeiter!$E$9&lt;&gt;"",BH$5+6&lt;Mitarbeiter!$E$9),0,IF(AND(Mitarbeiter!$F$9&lt;&gt;"",BH$5&gt;Mitarbeiter!$F$9),0,IF(Planung!BH11="",$C11,IF(ISNUMBER(Planung!BH11),Planung!BH11,IF(UPPER(Planung!BH11)="H",$C11/2,0)))))))</f>
        <v>0</v>
      </c>
      <c r="BI11" s="27">
        <f>IF($A11="",0,IF(Mitarbeiter!$G$9=FALSE,0,IF(AND(Mitarbeiter!$E$9&lt;&gt;"",BI$5+6&lt;Mitarbeiter!$E$9),0,IF(AND(Mitarbeiter!$F$9&lt;&gt;"",BI$5&gt;Mitarbeiter!$F$9),0,IF(Planung!BI11="",$C11,IF(ISNUMBER(Planung!BI11),Planung!BI11,IF(UPPER(Planung!BI11)="H",$C11/2,0)))))))</f>
        <v>0</v>
      </c>
      <c r="BJ11" s="27">
        <f>IF($A11="",0,IF(Mitarbeiter!$G$9=FALSE,0,IF(AND(Mitarbeiter!$E$9&lt;&gt;"",BJ$5+6&lt;Mitarbeiter!$E$9),0,IF(AND(Mitarbeiter!$F$9&lt;&gt;"",BJ$5&gt;Mitarbeiter!$F$9),0,IF(Planung!BJ11="",$C11,IF(ISNUMBER(Planung!BJ11),Planung!BJ11,IF(UPPER(Planung!BJ11)="H",$C11/2,0)))))))</f>
        <v>0</v>
      </c>
      <c r="BK11" s="27">
        <f>IF($A11="",0,IF(Mitarbeiter!$G$9=FALSE,0,IF(AND(Mitarbeiter!$E$9&lt;&gt;"",BK$5+6&lt;Mitarbeiter!$E$9),0,IF(AND(Mitarbeiter!$F$9&lt;&gt;"",BK$5&gt;Mitarbeiter!$F$9),0,IF(Planung!BK11="",$C11,IF(ISNUMBER(Planung!BK11),Planung!BK11,IF(UPPER(Planung!BK11)="H",$C11/2,0)))))))</f>
        <v>0</v>
      </c>
      <c r="BL11" s="27">
        <f>IF($A11="",0,IF(Mitarbeiter!$G$9=FALSE,0,IF(AND(Mitarbeiter!$E$9&lt;&gt;"",BL$5+6&lt;Mitarbeiter!$E$9),0,IF(AND(Mitarbeiter!$F$9&lt;&gt;"",BL$5&gt;Mitarbeiter!$F$9),0,IF(Planung!BL11="",$C11,IF(ISNUMBER(Planung!BL11),Planung!BL11,IF(UPPER(Planung!BL11)="H",$C11/2,0)))))))</f>
        <v>0</v>
      </c>
      <c r="BM11" s="27">
        <f>IF($A11="",0,IF(Mitarbeiter!$G$9=FALSE,0,IF(AND(Mitarbeiter!$E$9&lt;&gt;"",BM$5+6&lt;Mitarbeiter!$E$9),0,IF(AND(Mitarbeiter!$F$9&lt;&gt;"",BM$5&gt;Mitarbeiter!$F$9),0,IF(Planung!BM11="",$C11,IF(ISNUMBER(Planung!BM11),Planung!BM11,IF(UPPER(Planung!BM11)="H",$C11/2,0)))))))</f>
        <v>0</v>
      </c>
      <c r="BN11" s="27">
        <f>IF($A11="",0,IF(Mitarbeiter!$G$9=FALSE,0,IF(AND(Mitarbeiter!$E$9&lt;&gt;"",BN$5+6&lt;Mitarbeiter!$E$9),0,IF(AND(Mitarbeiter!$F$9&lt;&gt;"",BN$5&gt;Mitarbeiter!$F$9),0,IF(Planung!BN11="",$C11,IF(ISNUMBER(Planung!BN11),Planung!BN11,IF(UPPER(Planung!BN11)="H",$C11/2,0)))))))</f>
        <v>0</v>
      </c>
      <c r="BO11" s="27">
        <f>IF($A11="",0,IF(Mitarbeiter!$G$9=FALSE,0,IF(AND(Mitarbeiter!$E$9&lt;&gt;"",BO$5+6&lt;Mitarbeiter!$E$9),0,IF(AND(Mitarbeiter!$F$9&lt;&gt;"",BO$5&gt;Mitarbeiter!$F$9),0,IF(Planung!BO11="",$C11,IF(ISNUMBER(Planung!BO11),Planung!BO11,IF(UPPER(Planung!BO11)="H",$C11/2,0)))))))</f>
        <v>0</v>
      </c>
      <c r="BP11" s="27">
        <f>IF($A11="",0,IF(Mitarbeiter!$G$9=FALSE,0,IF(AND(Mitarbeiter!$E$9&lt;&gt;"",BP$5+6&lt;Mitarbeiter!$E$9),0,IF(AND(Mitarbeiter!$F$9&lt;&gt;"",BP$5&gt;Mitarbeiter!$F$9),0,IF(Planung!BP11="",$C11,IF(ISNUMBER(Planung!BP11),Planung!BP11,IF(UPPER(Planung!BP11)="H",$C11/2,0)))))))</f>
        <v>0</v>
      </c>
      <c r="BQ11" s="27">
        <f>IF($A11="",0,IF(Mitarbeiter!$G$9=FALSE,0,IF(AND(Mitarbeiter!$E$9&lt;&gt;"",BQ$5+6&lt;Mitarbeiter!$E$9),0,IF(AND(Mitarbeiter!$F$9&lt;&gt;"",BQ$5&gt;Mitarbeiter!$F$9),0,IF(Planung!BQ11="",$C11,IF(ISNUMBER(Planung!BQ11),Planung!BQ11,IF(UPPER(Planung!BQ11)="H",$C11/2,0)))))))</f>
        <v>0</v>
      </c>
      <c r="BR11" s="27">
        <f>IF($A11="",0,IF(Mitarbeiter!$G$9=FALSE,0,IF(AND(Mitarbeiter!$E$9&lt;&gt;"",BR$5+6&lt;Mitarbeiter!$E$9),0,IF(AND(Mitarbeiter!$F$9&lt;&gt;"",BR$5&gt;Mitarbeiter!$F$9),0,IF(Planung!BR11="",$C11,IF(ISNUMBER(Planung!BR11),Planung!BR11,IF(UPPER(Planung!BR11)="H",$C11/2,0)))))))</f>
        <v>0</v>
      </c>
      <c r="BS11" s="27">
        <f>IF($A11="",0,IF(Mitarbeiter!$G$9=FALSE,0,IF(AND(Mitarbeiter!$E$9&lt;&gt;"",BS$5+6&lt;Mitarbeiter!$E$9),0,IF(AND(Mitarbeiter!$F$9&lt;&gt;"",BS$5&gt;Mitarbeiter!$F$9),0,IF(Planung!BS11="",$C11,IF(ISNUMBER(Planung!BS11),Planung!BS11,IF(UPPER(Planung!BS11)="H",$C11/2,0)))))))</f>
        <v>0</v>
      </c>
      <c r="BT11" s="27">
        <f>IF($A11="",0,IF(Mitarbeiter!$G$9=FALSE,0,IF(AND(Mitarbeiter!$E$9&lt;&gt;"",BT$5+6&lt;Mitarbeiter!$E$9),0,IF(AND(Mitarbeiter!$F$9&lt;&gt;"",BT$5&gt;Mitarbeiter!$F$9),0,IF(Planung!BT11="",$C11,IF(ISNUMBER(Planung!BT11),Planung!BT11,IF(UPPER(Planung!BT11)="H",$C11/2,0)))))))</f>
        <v>0</v>
      </c>
      <c r="BU11" s="27">
        <f>IF($A11="",0,IF(Mitarbeiter!$G$9=FALSE,0,IF(AND(Mitarbeiter!$E$9&lt;&gt;"",BU$5+6&lt;Mitarbeiter!$E$9),0,IF(AND(Mitarbeiter!$F$9&lt;&gt;"",BU$5&gt;Mitarbeiter!$F$9),0,IF(Planung!BU11="",$C11,IF(ISNUMBER(Planung!BU11),Planung!BU11,IF(UPPER(Planung!BU11)="H",$C11/2,0)))))))</f>
        <v>0</v>
      </c>
      <c r="BV11" s="27">
        <f>IF($A11="",0,IF(Mitarbeiter!$G$9=FALSE,0,IF(AND(Mitarbeiter!$E$9&lt;&gt;"",BV$5+6&lt;Mitarbeiter!$E$9),0,IF(AND(Mitarbeiter!$F$9&lt;&gt;"",BV$5&gt;Mitarbeiter!$F$9),0,IF(Planung!BV11="",$C11,IF(ISNUMBER(Planung!BV11),Planung!BV11,IF(UPPER(Planung!BV11)="H",$C11/2,0)))))))</f>
        <v>0</v>
      </c>
      <c r="BW11" s="27">
        <f>IF($A11="",0,IF(Mitarbeiter!$G$9=FALSE,0,IF(AND(Mitarbeiter!$E$9&lt;&gt;"",BW$5+6&lt;Mitarbeiter!$E$9),0,IF(AND(Mitarbeiter!$F$9&lt;&gt;"",BW$5&gt;Mitarbeiter!$F$9),0,IF(Planung!BW11="",$C11,IF(ISNUMBER(Planung!BW11),Planung!BW11,IF(UPPER(Planung!BW11)="H",$C11/2,0)))))))</f>
        <v>0</v>
      </c>
      <c r="BX11" s="27">
        <f>IF($A11="",0,IF(Mitarbeiter!$G$9=FALSE,0,IF(AND(Mitarbeiter!$E$9&lt;&gt;"",BX$5+6&lt;Mitarbeiter!$E$9),0,IF(AND(Mitarbeiter!$F$9&lt;&gt;"",BX$5&gt;Mitarbeiter!$F$9),0,IF(Planung!BX11="",$C11,IF(ISNUMBER(Planung!BX11),Planung!BX11,IF(UPPER(Planung!BX11)="H",$C11/2,0)))))))</f>
        <v>0</v>
      </c>
      <c r="BY11" s="27">
        <f>IF($A11="",0,IF(Mitarbeiter!$G$9=FALSE,0,IF(AND(Mitarbeiter!$E$9&lt;&gt;"",BY$5+6&lt;Mitarbeiter!$E$9),0,IF(AND(Mitarbeiter!$F$9&lt;&gt;"",BY$5&gt;Mitarbeiter!$F$9),0,IF(Planung!BY11="",$C11,IF(ISNUMBER(Planung!BY11),Planung!BY11,IF(UPPER(Planung!BY11)="H",$C11/2,0)))))))</f>
        <v>0</v>
      </c>
      <c r="BZ11" s="27">
        <f>IF($A11="",0,IF(Mitarbeiter!$G$9=FALSE,0,IF(AND(Mitarbeiter!$E$9&lt;&gt;"",BZ$5+6&lt;Mitarbeiter!$E$9),0,IF(AND(Mitarbeiter!$F$9&lt;&gt;"",BZ$5&gt;Mitarbeiter!$F$9),0,IF(Planung!BZ11="",$C11,IF(ISNUMBER(Planung!BZ11),Planung!BZ11,IF(UPPER(Planung!BZ11)="H",$C11/2,0)))))))</f>
        <v>0</v>
      </c>
      <c r="CA11" s="27">
        <f>IF($A11="",0,IF(Mitarbeiter!$G$9=FALSE,0,IF(AND(Mitarbeiter!$E$9&lt;&gt;"",CA$5+6&lt;Mitarbeiter!$E$9),0,IF(AND(Mitarbeiter!$F$9&lt;&gt;"",CA$5&gt;Mitarbeiter!$F$9),0,IF(Planung!CA11="",$C11,IF(ISNUMBER(Planung!CA11),Planung!CA11,IF(UPPER(Planung!CA11)="H",$C11/2,0)))))))</f>
        <v>0</v>
      </c>
      <c r="CB11" s="27">
        <f>IF($A11="",0,IF(Mitarbeiter!$G$9=FALSE,0,IF(AND(Mitarbeiter!$E$9&lt;&gt;"",CB$5+6&lt;Mitarbeiter!$E$9),0,IF(AND(Mitarbeiter!$F$9&lt;&gt;"",CB$5&gt;Mitarbeiter!$F$9),0,IF(Planung!CB11="",$C11,IF(ISNUMBER(Planung!CB11),Planung!CB11,IF(UPPER(Planung!CB11)="H",$C11/2,0)))))))</f>
        <v>0</v>
      </c>
      <c r="CC11" s="27">
        <f>IF($A11="",0,IF(Mitarbeiter!$G$9=FALSE,0,IF(AND(Mitarbeiter!$E$9&lt;&gt;"",CC$5+6&lt;Mitarbeiter!$E$9),0,IF(AND(Mitarbeiter!$F$9&lt;&gt;"",CC$5&gt;Mitarbeiter!$F$9),0,IF(Planung!CC11="",$C11,IF(ISNUMBER(Planung!CC11),Planung!CC11,IF(UPPER(Planung!CC11)="H",$C11/2,0)))))))</f>
        <v>0</v>
      </c>
      <c r="CD11" s="27">
        <f>IF($A11="",0,IF(Mitarbeiter!$G$9=FALSE,0,IF(AND(Mitarbeiter!$E$9&lt;&gt;"",CD$5+6&lt;Mitarbeiter!$E$9),0,IF(AND(Mitarbeiter!$F$9&lt;&gt;"",CD$5&gt;Mitarbeiter!$F$9),0,IF(Planung!CD11="",$C11,IF(ISNUMBER(Planung!CD11),Planung!CD11,IF(UPPER(Planung!CD11)="H",$C11/2,0)))))))</f>
        <v>0</v>
      </c>
      <c r="CE11" s="27">
        <f>IF($A11="",0,IF(Mitarbeiter!$G$9=FALSE,0,IF(AND(Mitarbeiter!$E$9&lt;&gt;"",CE$5+6&lt;Mitarbeiter!$E$9),0,IF(AND(Mitarbeiter!$F$9&lt;&gt;"",CE$5&gt;Mitarbeiter!$F$9),0,IF(Planung!CE11="",$C11,IF(ISNUMBER(Planung!CE11),Planung!CE11,IF(UPPER(Planung!CE11)="H",$C11/2,0)))))))</f>
        <v>0</v>
      </c>
      <c r="CF11" s="27">
        <f>IF($A11="",0,IF(Mitarbeiter!$G$9=FALSE,0,IF(AND(Mitarbeiter!$E$9&lt;&gt;"",CF$5+6&lt;Mitarbeiter!$E$9),0,IF(AND(Mitarbeiter!$F$9&lt;&gt;"",CF$5&gt;Mitarbeiter!$F$9),0,IF(Planung!CF11="",$C11,IF(ISNUMBER(Planung!CF11),Planung!CF11,IF(UPPER(Planung!CF11)="H",$C11/2,0)))))))</f>
        <v>0</v>
      </c>
      <c r="CG11" s="27">
        <f>IF($A11="",0,IF(Mitarbeiter!$G$9=FALSE,0,IF(AND(Mitarbeiter!$E$9&lt;&gt;"",CG$5+6&lt;Mitarbeiter!$E$9),0,IF(AND(Mitarbeiter!$F$9&lt;&gt;"",CG$5&gt;Mitarbeiter!$F$9),0,IF(Planung!CG11="",$C11,IF(ISNUMBER(Planung!CG11),Planung!CG11,IF(UPPER(Planung!CG11)="H",$C11/2,0)))))))</f>
        <v>0</v>
      </c>
      <c r="CH11" s="27">
        <f>IF($A11="",0,IF(Mitarbeiter!$G$9=FALSE,0,IF(AND(Mitarbeiter!$E$9&lt;&gt;"",CH$5+6&lt;Mitarbeiter!$E$9),0,IF(AND(Mitarbeiter!$F$9&lt;&gt;"",CH$5&gt;Mitarbeiter!$F$9),0,IF(Planung!CH11="",$C11,IF(ISNUMBER(Planung!CH11),Planung!CH11,IF(UPPER(Planung!CH11)="H",$C11/2,0)))))))</f>
        <v>0</v>
      </c>
      <c r="CI11" s="27">
        <f>IF($A11="",0,IF(Mitarbeiter!$G$9=FALSE,0,IF(AND(Mitarbeiter!$E$9&lt;&gt;"",CI$5+6&lt;Mitarbeiter!$E$9),0,IF(AND(Mitarbeiter!$F$9&lt;&gt;"",CI$5&gt;Mitarbeiter!$F$9),0,IF(Planung!CI11="",$C11,IF(ISNUMBER(Planung!CI11),Planung!CI11,IF(UPPER(Planung!CI11)="H",$C11/2,0)))))))</f>
        <v>0</v>
      </c>
      <c r="CJ11" s="27">
        <f>IF($A11="",0,IF(Mitarbeiter!$G$9=FALSE,0,IF(AND(Mitarbeiter!$E$9&lt;&gt;"",CJ$5+6&lt;Mitarbeiter!$E$9),0,IF(AND(Mitarbeiter!$F$9&lt;&gt;"",CJ$5&gt;Mitarbeiter!$F$9),0,IF(Planung!CJ11="",$C11,IF(ISNUMBER(Planung!CJ11),Planung!CJ11,IF(UPPER(Planung!CJ11)="H",$C11/2,0)))))))</f>
        <v>0</v>
      </c>
      <c r="CK11" s="27">
        <f>IF($A11="",0,IF(Mitarbeiter!$G$9=FALSE,0,IF(AND(Mitarbeiter!$E$9&lt;&gt;"",CK$5+6&lt;Mitarbeiter!$E$9),0,IF(AND(Mitarbeiter!$F$9&lt;&gt;"",CK$5&gt;Mitarbeiter!$F$9),0,IF(Planung!CK11="",$C11,IF(ISNUMBER(Planung!CK11),Planung!CK11,IF(UPPER(Planung!CK11)="H",$C11/2,0)))))))</f>
        <v>0</v>
      </c>
      <c r="CL11" s="27">
        <f>IF($A11="",0,IF(Mitarbeiter!$G$9=FALSE,0,IF(AND(Mitarbeiter!$E$9&lt;&gt;"",CL$5+6&lt;Mitarbeiter!$E$9),0,IF(AND(Mitarbeiter!$F$9&lt;&gt;"",CL$5&gt;Mitarbeiter!$F$9),0,IF(Planung!CL11="",$C11,IF(ISNUMBER(Planung!CL11),Planung!CL11,IF(UPPER(Planung!CL11)="H",$C11/2,0)))))))</f>
        <v>0</v>
      </c>
      <c r="CM11" s="27">
        <f>IF($A11="",0,IF(Mitarbeiter!$G$9=FALSE,0,IF(AND(Mitarbeiter!$E$9&lt;&gt;"",CM$5+6&lt;Mitarbeiter!$E$9),0,IF(AND(Mitarbeiter!$F$9&lt;&gt;"",CM$5&gt;Mitarbeiter!$F$9),0,IF(Planung!CM11="",$C11,IF(ISNUMBER(Planung!CM11),Planung!CM11,IF(UPPER(Planung!CM11)="H",$C11/2,0)))))))</f>
        <v>0</v>
      </c>
      <c r="CN11" s="27">
        <f>IF($A11="",0,IF(Mitarbeiter!$G$9=FALSE,0,IF(AND(Mitarbeiter!$E$9&lt;&gt;"",CN$5+6&lt;Mitarbeiter!$E$9),0,IF(AND(Mitarbeiter!$F$9&lt;&gt;"",CN$5&gt;Mitarbeiter!$F$9),0,IF(Planung!CN11="",$C11,IF(ISNUMBER(Planung!CN11),Planung!CN11,IF(UPPER(Planung!CN11)="H",$C11/2,0)))))))</f>
        <v>0</v>
      </c>
      <c r="CO11" s="27">
        <f>IF($A11="",0,IF(Mitarbeiter!$G$9=FALSE,0,IF(AND(Mitarbeiter!$E$9&lt;&gt;"",CO$5+6&lt;Mitarbeiter!$E$9),0,IF(AND(Mitarbeiter!$F$9&lt;&gt;"",CO$5&gt;Mitarbeiter!$F$9),0,IF(Planung!CO11="",$C11,IF(ISNUMBER(Planung!CO11),Planung!CO11,IF(UPPER(Planung!CO11)="H",$C11/2,0)))))))</f>
        <v>0</v>
      </c>
      <c r="CP11" s="27">
        <f>IF($A11="",0,IF(Mitarbeiter!$G$9=FALSE,0,IF(AND(Mitarbeiter!$E$9&lt;&gt;"",CP$5+6&lt;Mitarbeiter!$E$9),0,IF(AND(Mitarbeiter!$F$9&lt;&gt;"",CP$5&gt;Mitarbeiter!$F$9),0,IF(Planung!CP11="",$C11,IF(ISNUMBER(Planung!CP11),Planung!CP11,IF(UPPER(Planung!CP11)="H",$C11/2,0)))))))</f>
        <v>0</v>
      </c>
      <c r="CQ11" s="27">
        <f>IF($A11="",0,IF(Mitarbeiter!$G$9=FALSE,0,IF(AND(Mitarbeiter!$E$9&lt;&gt;"",CQ$5+6&lt;Mitarbeiter!$E$9),0,IF(AND(Mitarbeiter!$F$9&lt;&gt;"",CQ$5&gt;Mitarbeiter!$F$9),0,IF(Planung!CQ11="",$C11,IF(ISNUMBER(Planung!CQ11),Planung!CQ11,IF(UPPER(Planung!CQ11)="H",$C11/2,0)))))))</f>
        <v>0</v>
      </c>
      <c r="CR11" s="27">
        <f>IF($A11="",0,IF(Mitarbeiter!$G$9=FALSE,0,IF(AND(Mitarbeiter!$E$9&lt;&gt;"",CR$5+6&lt;Mitarbeiter!$E$9),0,IF(AND(Mitarbeiter!$F$9&lt;&gt;"",CR$5&gt;Mitarbeiter!$F$9),0,IF(Planung!CR11="",$C11,IF(ISNUMBER(Planung!CR11),Planung!CR11,IF(UPPER(Planung!CR11)="H",$C11/2,0)))))))</f>
        <v>0</v>
      </c>
      <c r="CS11" s="27">
        <f>IF($A11="",0,IF(Mitarbeiter!$G$9=FALSE,0,IF(AND(Mitarbeiter!$E$9&lt;&gt;"",CS$5+6&lt;Mitarbeiter!$E$9),0,IF(AND(Mitarbeiter!$F$9&lt;&gt;"",CS$5&gt;Mitarbeiter!$F$9),0,IF(Planung!CS11="",$C11,IF(ISNUMBER(Planung!CS11),Planung!CS11,IF(UPPER(Planung!CS11)="H",$C11/2,0)))))))</f>
        <v>0</v>
      </c>
      <c r="CT11" s="27">
        <f>IF($A11="",0,IF(Mitarbeiter!$G$9=FALSE,0,IF(AND(Mitarbeiter!$E$9&lt;&gt;"",CT$5+6&lt;Mitarbeiter!$E$9),0,IF(AND(Mitarbeiter!$F$9&lt;&gt;"",CT$5&gt;Mitarbeiter!$F$9),0,IF(Planung!CT11="",$C11,IF(ISNUMBER(Planung!CT11),Planung!CT11,IF(UPPER(Planung!CT11)="H",$C11/2,0)))))))</f>
        <v>0</v>
      </c>
      <c r="CU11" s="27">
        <f>IF($A11="",0,IF(Mitarbeiter!$G$9=FALSE,0,IF(AND(Mitarbeiter!$E$9&lt;&gt;"",CU$5+6&lt;Mitarbeiter!$E$9),0,IF(AND(Mitarbeiter!$F$9&lt;&gt;"",CU$5&gt;Mitarbeiter!$F$9),0,IF(Planung!CU11="",$C11,IF(ISNUMBER(Planung!CU11),Planung!CU11,IF(UPPER(Planung!CU11)="H",$C11/2,0)))))))</f>
        <v>0</v>
      </c>
      <c r="CV11" s="27">
        <f>IF($A11="",0,IF(Mitarbeiter!$G$9=FALSE,0,IF(AND(Mitarbeiter!$E$9&lt;&gt;"",CV$5+6&lt;Mitarbeiter!$E$9),0,IF(AND(Mitarbeiter!$F$9&lt;&gt;"",CV$5&gt;Mitarbeiter!$F$9),0,IF(Planung!CV11="",$C11,IF(ISNUMBER(Planung!CV11),Planung!CV11,IF(UPPER(Planung!CV11)="H",$C11/2,0)))))))</f>
        <v>0</v>
      </c>
      <c r="CW11" s="27">
        <f>IF($A11="",0,IF(Mitarbeiter!$G$9=FALSE,0,IF(AND(Mitarbeiter!$E$9&lt;&gt;"",CW$5+6&lt;Mitarbeiter!$E$9),0,IF(AND(Mitarbeiter!$F$9&lt;&gt;"",CW$5&gt;Mitarbeiter!$F$9),0,IF(Planung!CW11="",$C11,IF(ISNUMBER(Planung!CW11),Planung!CW11,IF(UPPER(Planung!CW11)="H",$C11/2,0)))))))</f>
        <v>0</v>
      </c>
      <c r="CX11" s="27">
        <f>IF($A11="",0,IF(Mitarbeiter!$G$9=FALSE,0,IF(AND(Mitarbeiter!$E$9&lt;&gt;"",CX$5+6&lt;Mitarbeiter!$E$9),0,IF(AND(Mitarbeiter!$F$9&lt;&gt;"",CX$5&gt;Mitarbeiter!$F$9),0,IF(Planung!CX11="",$C11,IF(ISNUMBER(Planung!CX11),Planung!CX11,IF(UPPER(Planung!CX11)="H",$C11/2,0)))))))</f>
        <v>0</v>
      </c>
      <c r="CY11" s="27">
        <f>IF($A11="",0,IF(Mitarbeiter!$G$9=FALSE,0,IF(AND(Mitarbeiter!$E$9&lt;&gt;"",CY$5+6&lt;Mitarbeiter!$E$9),0,IF(AND(Mitarbeiter!$F$9&lt;&gt;"",CY$5&gt;Mitarbeiter!$F$9),0,IF(Planung!CY11="",$C11,IF(ISNUMBER(Planung!CY11),Planung!CY11,IF(UPPER(Planung!CY11)="H",$C11/2,0)))))))</f>
        <v>0</v>
      </c>
      <c r="CZ11" s="27">
        <f>IF($A11="",0,IF(Mitarbeiter!$G$9=FALSE,0,IF(AND(Mitarbeiter!$E$9&lt;&gt;"",CZ$5+6&lt;Mitarbeiter!$E$9),0,IF(AND(Mitarbeiter!$F$9&lt;&gt;"",CZ$5&gt;Mitarbeiter!$F$9),0,IF(Planung!CZ11="",$C11,IF(ISNUMBER(Planung!CZ11),Planung!CZ11,IF(UPPER(Planung!CZ11)="H",$C11/2,0)))))))</f>
        <v>0</v>
      </c>
      <c r="DA11" s="27">
        <f>IF($A11="",0,IF(Mitarbeiter!$G$9=FALSE,0,IF(AND(Mitarbeiter!$E$9&lt;&gt;"",DA$5+6&lt;Mitarbeiter!$E$9),0,IF(AND(Mitarbeiter!$F$9&lt;&gt;"",DA$5&gt;Mitarbeiter!$F$9),0,IF(Planung!DA11="",$C11,IF(ISNUMBER(Planung!DA11),Planung!DA11,IF(UPPER(Planung!DA11)="H",$C11/2,0)))))))</f>
        <v>0</v>
      </c>
      <c r="DB11" s="27">
        <f>IF($A11="",0,IF(Mitarbeiter!$G$9=FALSE,0,IF(AND(Mitarbeiter!$E$9&lt;&gt;"",DB$5+6&lt;Mitarbeiter!$E$9),0,IF(AND(Mitarbeiter!$F$9&lt;&gt;"",DB$5&gt;Mitarbeiter!$F$9),0,IF(Planung!DB11="",$C11,IF(ISNUMBER(Planung!DB11),Planung!DB11,IF(UPPER(Planung!DB11)="H",$C11/2,0)))))))</f>
        <v>0</v>
      </c>
      <c r="DC11" s="27">
        <f>IF($A11="",0,IF(Mitarbeiter!$G$9=FALSE,0,IF(AND(Mitarbeiter!$E$9&lt;&gt;"",DC$5+6&lt;Mitarbeiter!$E$9),0,IF(AND(Mitarbeiter!$F$9&lt;&gt;"",DC$5&gt;Mitarbeiter!$F$9),0,IF(Planung!DC11="",$C11,IF(ISNUMBER(Planung!DC11),Planung!DC11,IF(UPPER(Planung!DC11)="H",$C11/2,0)))))))</f>
        <v>0</v>
      </c>
      <c r="DD11" s="27">
        <f>IF($A11="",0,IF(Mitarbeiter!$G$9=FALSE,0,IF(AND(Mitarbeiter!$E$9&lt;&gt;"",DD$5+6&lt;Mitarbeiter!$E$9),0,IF(AND(Mitarbeiter!$F$9&lt;&gt;"",DD$5&gt;Mitarbeiter!$F$9),0,IF(Planung!DD11="",$C11,IF(ISNUMBER(Planung!DD11),Planung!DD11,IF(UPPER(Planung!DD11)="H",$C11/2,0)))))))</f>
        <v>0</v>
      </c>
      <c r="DE11" s="27">
        <f>IF($A11="",0,IF(Mitarbeiter!$G$9=FALSE,0,IF(AND(Mitarbeiter!$E$9&lt;&gt;"",DE$5+6&lt;Mitarbeiter!$E$9),0,IF(AND(Mitarbeiter!$F$9&lt;&gt;"",DE$5&gt;Mitarbeiter!$F$9),0,IF(Planung!DE11="",$C11,IF(ISNUMBER(Planung!DE11),Planung!DE11,IF(UPPER(Planung!DE11)="H",$C11/2,0)))))))</f>
        <v>0</v>
      </c>
      <c r="DF11" s="27">
        <f>IF($A11="",0,IF(Mitarbeiter!$G$9=FALSE,0,IF(AND(Mitarbeiter!$E$9&lt;&gt;"",DF$5+6&lt;Mitarbeiter!$E$9),0,IF(AND(Mitarbeiter!$F$9&lt;&gt;"",DF$5&gt;Mitarbeiter!$F$9),0,IF(Planung!DF11="",$C11,IF(ISNUMBER(Planung!DF11),Planung!DF11,IF(UPPER(Planung!DF11)="H",$C11/2,0)))))))</f>
        <v>0</v>
      </c>
      <c r="DG11" s="27">
        <f>IF($A11="",0,IF(Mitarbeiter!$G$9=FALSE,0,IF(AND(Mitarbeiter!$E$9&lt;&gt;"",DG$5+6&lt;Mitarbeiter!$E$9),0,IF(AND(Mitarbeiter!$F$9&lt;&gt;"",DG$5&gt;Mitarbeiter!$F$9),0,IF(Planung!DG11="",$C11,IF(ISNUMBER(Planung!DG11),Planung!DG11,IF(UPPER(Planung!DG11)="H",$C11/2,0)))))))</f>
        <v>0</v>
      </c>
      <c r="DH11" s="27">
        <f>IF($A11="",0,IF(Mitarbeiter!$G$9=FALSE,0,IF(AND(Mitarbeiter!$E$9&lt;&gt;"",DH$5+6&lt;Mitarbeiter!$E$9),0,IF(AND(Mitarbeiter!$F$9&lt;&gt;"",DH$5&gt;Mitarbeiter!$F$9),0,IF(Planung!DH11="",$C11,IF(ISNUMBER(Planung!DH11),Planung!DH11,IF(UPPER(Planung!DH11)="H",$C11/2,0)))))))</f>
        <v>0</v>
      </c>
      <c r="DI11" s="27">
        <f>IF($A11="",0,IF(Mitarbeiter!$G$9=FALSE,0,IF(AND(Mitarbeiter!$E$9&lt;&gt;"",DI$5+6&lt;Mitarbeiter!$E$9),0,IF(AND(Mitarbeiter!$F$9&lt;&gt;"",DI$5&gt;Mitarbeiter!$F$9),0,IF(Planung!DI11="",$C11,IF(ISNUMBER(Planung!DI11),Planung!DI11,IF(UPPER(Planung!DI11)="H",$C11/2,0)))))))</f>
        <v>0</v>
      </c>
      <c r="DJ11" s="27">
        <f>IF($A11="",0,IF(Mitarbeiter!$G$9=FALSE,0,IF(AND(Mitarbeiter!$E$9&lt;&gt;"",DJ$5+6&lt;Mitarbeiter!$E$9),0,IF(AND(Mitarbeiter!$F$9&lt;&gt;"",DJ$5&gt;Mitarbeiter!$F$9),0,IF(Planung!DJ11="",$C11,IF(ISNUMBER(Planung!DJ11),Planung!DJ11,IF(UPPER(Planung!DJ11)="H",$C11/2,0)))))))</f>
        <v>0</v>
      </c>
      <c r="DK11" s="27">
        <f>IF($A11="",0,IF(Mitarbeiter!$G$9=FALSE,0,IF(AND(Mitarbeiter!$E$9&lt;&gt;"",DK$5+6&lt;Mitarbeiter!$E$9),0,IF(AND(Mitarbeiter!$F$9&lt;&gt;"",DK$5&gt;Mitarbeiter!$F$9),0,IF(Planung!DK11="",$C11,IF(ISNUMBER(Planung!DK11),Planung!DK11,IF(UPPER(Planung!DK11)="H",$C11/2,0)))))))</f>
        <v>0</v>
      </c>
      <c r="DL11" s="27">
        <f>IF($A11="",0,IF(Mitarbeiter!$G$9=FALSE,0,IF(AND(Mitarbeiter!$E$9&lt;&gt;"",DL$5+6&lt;Mitarbeiter!$E$9),0,IF(AND(Mitarbeiter!$F$9&lt;&gt;"",DL$5&gt;Mitarbeiter!$F$9),0,IF(Planung!DL11="",$C11,IF(ISNUMBER(Planung!DL11),Planung!DL11,IF(UPPER(Planung!DL11)="H",$C11/2,0)))))))</f>
        <v>0</v>
      </c>
      <c r="DM11" s="27">
        <f>IF($A11="",0,IF(Mitarbeiter!$G$9=FALSE,0,IF(AND(Mitarbeiter!$E$9&lt;&gt;"",DM$5+6&lt;Mitarbeiter!$E$9),0,IF(AND(Mitarbeiter!$F$9&lt;&gt;"",DM$5&gt;Mitarbeiter!$F$9),0,IF(Planung!DM11="",$C11,IF(ISNUMBER(Planung!DM11),Planung!DM11,IF(UPPER(Planung!DM11)="H",$C11/2,0)))))))</f>
        <v>0</v>
      </c>
      <c r="DN11" s="27">
        <f>IF($A11="",0,IF(Mitarbeiter!$G$9=FALSE,0,IF(AND(Mitarbeiter!$E$9&lt;&gt;"",DN$5+6&lt;Mitarbeiter!$E$9),0,IF(AND(Mitarbeiter!$F$9&lt;&gt;"",DN$5&gt;Mitarbeiter!$F$9),0,IF(Planung!DN11="",$C11,IF(ISNUMBER(Planung!DN11),Planung!DN11,IF(UPPER(Planung!DN11)="H",$C11/2,0)))))))</f>
        <v>0</v>
      </c>
      <c r="DO11" s="27">
        <f>IF($A11="",0,IF(Mitarbeiter!$G$9=FALSE,0,IF(AND(Mitarbeiter!$E$9&lt;&gt;"",DO$5+6&lt;Mitarbeiter!$E$9),0,IF(AND(Mitarbeiter!$F$9&lt;&gt;"",DO$5&gt;Mitarbeiter!$F$9),0,IF(Planung!DO11="",$C11,IF(ISNUMBER(Planung!DO11),Planung!DO11,IF(UPPER(Planung!DO11)="H",$C11/2,0)))))))</f>
        <v>0</v>
      </c>
      <c r="DP11" s="27">
        <f>IF($A11="",0,IF(Mitarbeiter!$G$9=FALSE,0,IF(AND(Mitarbeiter!$E$9&lt;&gt;"",DP$5+6&lt;Mitarbeiter!$E$9),0,IF(AND(Mitarbeiter!$F$9&lt;&gt;"",DP$5&gt;Mitarbeiter!$F$9),0,IF(Planung!DP11="",$C11,IF(ISNUMBER(Planung!DP11),Planung!DP11,IF(UPPER(Planung!DP11)="H",$C11/2,0)))))))</f>
        <v>0</v>
      </c>
      <c r="DQ11" s="27">
        <f>IF($A11="",0,IF(Mitarbeiter!$G$9=FALSE,0,IF(AND(Mitarbeiter!$E$9&lt;&gt;"",DQ$5+6&lt;Mitarbeiter!$E$9),0,IF(AND(Mitarbeiter!$F$9&lt;&gt;"",DQ$5&gt;Mitarbeiter!$F$9),0,IF(Planung!DQ11="",$C11,IF(ISNUMBER(Planung!DQ11),Planung!DQ11,IF(UPPER(Planung!DQ11)="H",$C11/2,0)))))))</f>
        <v>0</v>
      </c>
      <c r="DR11" s="27">
        <f>IF($A11="",0,IF(Mitarbeiter!$G$9=FALSE,0,IF(AND(Mitarbeiter!$E$9&lt;&gt;"",DR$5+6&lt;Mitarbeiter!$E$9),0,IF(AND(Mitarbeiter!$F$9&lt;&gt;"",DR$5&gt;Mitarbeiter!$F$9),0,IF(Planung!DR11="",$C11,IF(ISNUMBER(Planung!DR11),Planung!DR11,IF(UPPER(Planung!DR11)="H",$C11/2,0)))))))</f>
        <v>0</v>
      </c>
      <c r="DS11" s="27">
        <f>IF($A11="",0,IF(Mitarbeiter!$G$9=FALSE,0,IF(AND(Mitarbeiter!$E$9&lt;&gt;"",DS$5+6&lt;Mitarbeiter!$E$9),0,IF(AND(Mitarbeiter!$F$9&lt;&gt;"",DS$5&gt;Mitarbeiter!$F$9),0,IF(Planung!DS11="",$C11,IF(ISNUMBER(Planung!DS11),Planung!DS11,IF(UPPER(Planung!DS11)="H",$C11/2,0)))))))</f>
        <v>0</v>
      </c>
      <c r="DT11" s="27">
        <f>IF($A11="",0,IF(Mitarbeiter!$G$9=FALSE,0,IF(AND(Mitarbeiter!$E$9&lt;&gt;"",DT$5+6&lt;Mitarbeiter!$E$9),0,IF(AND(Mitarbeiter!$F$9&lt;&gt;"",DT$5&gt;Mitarbeiter!$F$9),0,IF(Planung!DT11="",$C11,IF(ISNUMBER(Planung!DT11),Planung!DT11,IF(UPPER(Planung!DT11)="H",$C11/2,0)))))))</f>
        <v>0</v>
      </c>
      <c r="DU11" s="27">
        <f>IF($A11="",0,IF(Mitarbeiter!$G$9=FALSE,0,IF(AND(Mitarbeiter!$E$9&lt;&gt;"",DU$5+6&lt;Mitarbeiter!$E$9),0,IF(AND(Mitarbeiter!$F$9&lt;&gt;"",DU$5&gt;Mitarbeiter!$F$9),0,IF(Planung!DU11="",$C11,IF(ISNUMBER(Planung!DU11),Planung!DU11,IF(UPPER(Planung!DU11)="H",$C11/2,0)))))))</f>
        <v>0</v>
      </c>
      <c r="DV11" s="27">
        <f>IF($A11="",0,IF(Mitarbeiter!$G$9=FALSE,0,IF(AND(Mitarbeiter!$E$9&lt;&gt;"",DV$5+6&lt;Mitarbeiter!$E$9),0,IF(AND(Mitarbeiter!$F$9&lt;&gt;"",DV$5&gt;Mitarbeiter!$F$9),0,IF(Planung!DV11="",$C11,IF(ISNUMBER(Planung!DV11),Planung!DV11,IF(UPPER(Planung!DV11)="H",$C11/2,0)))))))</f>
        <v>0</v>
      </c>
      <c r="DW11" s="27">
        <f>IF($A11="",0,IF(Mitarbeiter!$G$9=FALSE,0,IF(AND(Mitarbeiter!$E$9&lt;&gt;"",DW$5+6&lt;Mitarbeiter!$E$9),0,IF(AND(Mitarbeiter!$F$9&lt;&gt;"",DW$5&gt;Mitarbeiter!$F$9),0,IF(Planung!DW11="",$C11,IF(ISNUMBER(Planung!DW11),Planung!DW11,IF(UPPER(Planung!DW11)="H",$C11/2,0)))))))</f>
        <v>0</v>
      </c>
      <c r="DX11" s="27">
        <f>IF($A11="",0,IF(Mitarbeiter!$G$9=FALSE,0,IF(AND(Mitarbeiter!$E$9&lt;&gt;"",DX$5+6&lt;Mitarbeiter!$E$9),0,IF(AND(Mitarbeiter!$F$9&lt;&gt;"",DX$5&gt;Mitarbeiter!$F$9),0,IF(Planung!DX11="",$C11,IF(ISNUMBER(Planung!DX11),Planung!DX11,IF(UPPER(Planung!DX11)="H",$C11/2,0)))))))</f>
        <v>0</v>
      </c>
      <c r="DY11" s="27">
        <f>IF($A11="",0,IF(Mitarbeiter!$G$9=FALSE,0,IF(AND(Mitarbeiter!$E$9&lt;&gt;"",DY$5+6&lt;Mitarbeiter!$E$9),0,IF(AND(Mitarbeiter!$F$9&lt;&gt;"",DY$5&gt;Mitarbeiter!$F$9),0,IF(Planung!DY11="",$C11,IF(ISNUMBER(Planung!DY11),Planung!DY11,IF(UPPER(Planung!DY11)="H",$C11/2,0)))))))</f>
        <v>0</v>
      </c>
      <c r="DZ11" s="27">
        <f>IF($A11="",0,IF(Mitarbeiter!$G$9=FALSE,0,IF(AND(Mitarbeiter!$E$9&lt;&gt;"",DZ$5+6&lt;Mitarbeiter!$E$9),0,IF(AND(Mitarbeiter!$F$9&lt;&gt;"",DZ$5&gt;Mitarbeiter!$F$9),0,IF(Planung!DZ11="",$C11,IF(ISNUMBER(Planung!DZ11),Planung!DZ11,IF(UPPER(Planung!DZ11)="H",$C11/2,0)))))))</f>
        <v>0</v>
      </c>
      <c r="EA11" s="27">
        <f>IF($A11="",0,IF(Mitarbeiter!$G$9=FALSE,0,IF(AND(Mitarbeiter!$E$9&lt;&gt;"",EA$5+6&lt;Mitarbeiter!$E$9),0,IF(AND(Mitarbeiter!$F$9&lt;&gt;"",EA$5&gt;Mitarbeiter!$F$9),0,IF(Planung!EA11="",$C11,IF(ISNUMBER(Planung!EA11),Planung!EA11,IF(UPPER(Planung!EA11)="H",$C11/2,0)))))))</f>
        <v>0</v>
      </c>
      <c r="EB11" s="27">
        <f>IF($A11="",0,IF(Mitarbeiter!$G$9=FALSE,0,IF(AND(Mitarbeiter!$E$9&lt;&gt;"",EB$5+6&lt;Mitarbeiter!$E$9),0,IF(AND(Mitarbeiter!$F$9&lt;&gt;"",EB$5&gt;Mitarbeiter!$F$9),0,IF(Planung!EB11="",$C11,IF(ISNUMBER(Planung!EB11),Planung!EB11,IF(UPPER(Planung!EB11)="H",$C11/2,0)))))))</f>
        <v>0</v>
      </c>
      <c r="EC11" s="27">
        <f>IF($A11="",0,IF(Mitarbeiter!$G$9=FALSE,0,IF(AND(Mitarbeiter!$E$9&lt;&gt;"",EC$5+6&lt;Mitarbeiter!$E$9),0,IF(AND(Mitarbeiter!$F$9&lt;&gt;"",EC$5&gt;Mitarbeiter!$F$9),0,IF(Planung!EC11="",$C11,IF(ISNUMBER(Planung!EC11),Planung!EC11,IF(UPPER(Planung!EC11)="H",$C11/2,0)))))))</f>
        <v>0</v>
      </c>
      <c r="ED11" s="27">
        <f>IF($A11="",0,IF(Mitarbeiter!$G$9=FALSE,0,IF(AND(Mitarbeiter!$E$9&lt;&gt;"",ED$5+6&lt;Mitarbeiter!$E$9),0,IF(AND(Mitarbeiter!$F$9&lt;&gt;"",ED$5&gt;Mitarbeiter!$F$9),0,IF(Planung!ED11="",$C11,IF(ISNUMBER(Planung!ED11),Planung!ED11,IF(UPPER(Planung!ED11)="H",$C11/2,0)))))))</f>
        <v>0</v>
      </c>
      <c r="EE11" s="27">
        <f>IF($A11="",0,IF(Mitarbeiter!$G$9=FALSE,0,IF(AND(Mitarbeiter!$E$9&lt;&gt;"",EE$5+6&lt;Mitarbeiter!$E$9),0,IF(AND(Mitarbeiter!$F$9&lt;&gt;"",EE$5&gt;Mitarbeiter!$F$9),0,IF(Planung!EE11="",$C11,IF(ISNUMBER(Planung!EE11),Planung!EE11,IF(UPPER(Planung!EE11)="H",$C11/2,0)))))))</f>
        <v>0</v>
      </c>
      <c r="EF11" s="27">
        <f>IF($A11="",0,IF(Mitarbeiter!$G$9=FALSE,0,IF(AND(Mitarbeiter!$E$9&lt;&gt;"",EF$5+6&lt;Mitarbeiter!$E$9),0,IF(AND(Mitarbeiter!$F$9&lt;&gt;"",EF$5&gt;Mitarbeiter!$F$9),0,IF(Planung!EF11="",$C11,IF(ISNUMBER(Planung!EF11),Planung!EF11,IF(UPPER(Planung!EF11)="H",$C11/2,0)))))))</f>
        <v>0</v>
      </c>
      <c r="EG11" s="27">
        <f>IF($A11="",0,IF(Mitarbeiter!$G$9=FALSE,0,IF(AND(Mitarbeiter!$E$9&lt;&gt;"",EG$5+6&lt;Mitarbeiter!$E$9),0,IF(AND(Mitarbeiter!$F$9&lt;&gt;"",EG$5&gt;Mitarbeiter!$F$9),0,IF(Planung!EG11="",$C11,IF(ISNUMBER(Planung!EG11),Planung!EG11,IF(UPPER(Planung!EG11)="H",$C11/2,0)))))))</f>
        <v>0</v>
      </c>
      <c r="EH11" s="27">
        <f>IF($A11="",0,IF(Mitarbeiter!$G$9=FALSE,0,IF(AND(Mitarbeiter!$E$9&lt;&gt;"",EH$5+6&lt;Mitarbeiter!$E$9),0,IF(AND(Mitarbeiter!$F$9&lt;&gt;"",EH$5&gt;Mitarbeiter!$F$9),0,IF(Planung!EH11="",$C11,IF(ISNUMBER(Planung!EH11),Planung!EH11,IF(UPPER(Planung!EH11)="H",$C11/2,0)))))))</f>
        <v>0</v>
      </c>
      <c r="EI11" s="27">
        <f>IF($A11="",0,IF(Mitarbeiter!$G$9=FALSE,0,IF(AND(Mitarbeiter!$E$9&lt;&gt;"",EI$5+6&lt;Mitarbeiter!$E$9),0,IF(AND(Mitarbeiter!$F$9&lt;&gt;"",EI$5&gt;Mitarbeiter!$F$9),0,IF(Planung!EI11="",$C11,IF(ISNUMBER(Planung!EI11),Planung!EI11,IF(UPPER(Planung!EI11)="H",$C11/2,0)))))))</f>
        <v>0</v>
      </c>
      <c r="EJ11" s="27">
        <f>IF($A11="",0,IF(Mitarbeiter!$G$9=FALSE,0,IF(AND(Mitarbeiter!$E$9&lt;&gt;"",EJ$5+6&lt;Mitarbeiter!$E$9),0,IF(AND(Mitarbeiter!$F$9&lt;&gt;"",EJ$5&gt;Mitarbeiter!$F$9),0,IF(Planung!EJ11="",$C11,IF(ISNUMBER(Planung!EJ11),Planung!EJ11,IF(UPPER(Planung!EJ11)="H",$C11/2,0)))))))</f>
        <v>0</v>
      </c>
      <c r="EK11" s="27">
        <f>IF($A11="",0,IF(Mitarbeiter!$G$9=FALSE,0,IF(AND(Mitarbeiter!$E$9&lt;&gt;"",EK$5+6&lt;Mitarbeiter!$E$9),0,IF(AND(Mitarbeiter!$F$9&lt;&gt;"",EK$5&gt;Mitarbeiter!$F$9),0,IF(Planung!EK11="",$C11,IF(ISNUMBER(Planung!EK11),Planung!EK11,IF(UPPER(Planung!EK11)="H",$C11/2,0)))))))</f>
        <v>0</v>
      </c>
      <c r="EL11" s="27">
        <f>IF($A11="",0,IF(Mitarbeiter!$G$9=FALSE,0,IF(AND(Mitarbeiter!$E$9&lt;&gt;"",EL$5+6&lt;Mitarbeiter!$E$9),0,IF(AND(Mitarbeiter!$F$9&lt;&gt;"",EL$5&gt;Mitarbeiter!$F$9),0,IF(Planung!EL11="",$C11,IF(ISNUMBER(Planung!EL11),Planung!EL11,IF(UPPER(Planung!EL11)="H",$C11/2,0)))))))</f>
        <v>0</v>
      </c>
      <c r="EM11" s="27">
        <f>IF($A11="",0,IF(Mitarbeiter!$G$9=FALSE,0,IF(AND(Mitarbeiter!$E$9&lt;&gt;"",EM$5+6&lt;Mitarbeiter!$E$9),0,IF(AND(Mitarbeiter!$F$9&lt;&gt;"",EM$5&gt;Mitarbeiter!$F$9),0,IF(Planung!EM11="",$C11,IF(ISNUMBER(Planung!EM11),Planung!EM11,IF(UPPER(Planung!EM11)="H",$C11/2,0)))))))</f>
        <v>0</v>
      </c>
      <c r="EN11" s="27">
        <f>IF($A11="",0,IF(Mitarbeiter!$G$9=FALSE,0,IF(AND(Mitarbeiter!$E$9&lt;&gt;"",EN$5+6&lt;Mitarbeiter!$E$9),0,IF(AND(Mitarbeiter!$F$9&lt;&gt;"",EN$5&gt;Mitarbeiter!$F$9),0,IF(Planung!EN11="",$C11,IF(ISNUMBER(Planung!EN11),Planung!EN11,IF(UPPER(Planung!EN11)="H",$C11/2,0)))))))</f>
        <v>0</v>
      </c>
      <c r="EO11" s="27">
        <f>IF($A11="",0,IF(Mitarbeiter!$G$9=FALSE,0,IF(AND(Mitarbeiter!$E$9&lt;&gt;"",EO$5+6&lt;Mitarbeiter!$E$9),0,IF(AND(Mitarbeiter!$F$9&lt;&gt;"",EO$5&gt;Mitarbeiter!$F$9),0,IF(Planung!EO11="",$C11,IF(ISNUMBER(Planung!EO11),Planung!EO11,IF(UPPER(Planung!EO11)="H",$C11/2,0)))))))</f>
        <v>0</v>
      </c>
      <c r="EP11" s="27">
        <f>IF($A11="",0,IF(Mitarbeiter!$G$9=FALSE,0,IF(AND(Mitarbeiter!$E$9&lt;&gt;"",EP$5+6&lt;Mitarbeiter!$E$9),0,IF(AND(Mitarbeiter!$F$9&lt;&gt;"",EP$5&gt;Mitarbeiter!$F$9),0,IF(Planung!EP11="",$C11,IF(ISNUMBER(Planung!EP11),Planung!EP11,IF(UPPER(Planung!EP11)="H",$C11/2,0)))))))</f>
        <v>0</v>
      </c>
      <c r="EQ11" s="27">
        <f>IF($A11="",0,IF(Mitarbeiter!$G$9=FALSE,0,IF(AND(Mitarbeiter!$E$9&lt;&gt;"",EQ$5+6&lt;Mitarbeiter!$E$9),0,IF(AND(Mitarbeiter!$F$9&lt;&gt;"",EQ$5&gt;Mitarbeiter!$F$9),0,IF(Planung!EQ11="",$C11,IF(ISNUMBER(Planung!EQ11),Planung!EQ11,IF(UPPER(Planung!EQ11)="H",$C11/2,0)))))))</f>
        <v>0</v>
      </c>
      <c r="ER11" s="27">
        <f>IF($A11="",0,IF(Mitarbeiter!$G$9=FALSE,0,IF(AND(Mitarbeiter!$E$9&lt;&gt;"",ER$5+6&lt;Mitarbeiter!$E$9),0,IF(AND(Mitarbeiter!$F$9&lt;&gt;"",ER$5&gt;Mitarbeiter!$F$9),0,IF(Planung!ER11="",$C11,IF(ISNUMBER(Planung!ER11),Planung!ER11,IF(UPPER(Planung!ER11)="H",$C11/2,0)))))))</f>
        <v>0</v>
      </c>
      <c r="ES11" s="27">
        <f>IF($A11="",0,IF(Mitarbeiter!$G$9=FALSE,0,IF(AND(Mitarbeiter!$E$9&lt;&gt;"",ES$5+6&lt;Mitarbeiter!$E$9),0,IF(AND(Mitarbeiter!$F$9&lt;&gt;"",ES$5&gt;Mitarbeiter!$F$9),0,IF(Planung!ES11="",$C11,IF(ISNUMBER(Planung!ES11),Planung!ES11,IF(UPPER(Planung!ES11)="H",$C11/2,0)))))))</f>
        <v>0</v>
      </c>
      <c r="ET11" s="27">
        <f>IF($A11="",0,IF(Mitarbeiter!$G$9=FALSE,0,IF(AND(Mitarbeiter!$E$9&lt;&gt;"",ET$5+6&lt;Mitarbeiter!$E$9),0,IF(AND(Mitarbeiter!$F$9&lt;&gt;"",ET$5&gt;Mitarbeiter!$F$9),0,IF(Planung!ET11="",$C11,IF(ISNUMBER(Planung!ET11),Planung!ET11,IF(UPPER(Planung!ET11)="H",$C11/2,0)))))))</f>
        <v>0</v>
      </c>
      <c r="EU11" s="27">
        <f>IF($A11="",0,IF(Mitarbeiter!$G$9=FALSE,0,IF(AND(Mitarbeiter!$E$9&lt;&gt;"",EU$5+6&lt;Mitarbeiter!$E$9),0,IF(AND(Mitarbeiter!$F$9&lt;&gt;"",EU$5&gt;Mitarbeiter!$F$9),0,IF(Planung!EU11="",$C11,IF(ISNUMBER(Planung!EU11),Planung!EU11,IF(UPPER(Planung!EU11)="H",$C11/2,0)))))))</f>
        <v>0</v>
      </c>
      <c r="EV11" s="27">
        <f>IF($A11="",0,IF(Mitarbeiter!$G$9=FALSE,0,IF(AND(Mitarbeiter!$E$9&lt;&gt;"",EV$5+6&lt;Mitarbeiter!$E$9),0,IF(AND(Mitarbeiter!$F$9&lt;&gt;"",EV$5&gt;Mitarbeiter!$F$9),0,IF(Planung!EV11="",$C11,IF(ISNUMBER(Planung!EV11),Planung!EV11,IF(UPPER(Planung!EV11)="H",$C11/2,0)))))))</f>
        <v>0</v>
      </c>
      <c r="EW11" s="27">
        <f>IF($A11="",0,IF(Mitarbeiter!$G$9=FALSE,0,IF(AND(Mitarbeiter!$E$9&lt;&gt;"",EW$5+6&lt;Mitarbeiter!$E$9),0,IF(AND(Mitarbeiter!$F$9&lt;&gt;"",EW$5&gt;Mitarbeiter!$F$9),0,IF(Planung!EW11="",$C11,IF(ISNUMBER(Planung!EW11),Planung!EW11,IF(UPPER(Planung!EW11)="H",$C11/2,0)))))))</f>
        <v>0</v>
      </c>
      <c r="EX11" s="27">
        <f>IF($A11="",0,IF(Mitarbeiter!$G$9=FALSE,0,IF(AND(Mitarbeiter!$E$9&lt;&gt;"",EX$5+6&lt;Mitarbeiter!$E$9),0,IF(AND(Mitarbeiter!$F$9&lt;&gt;"",EX$5&gt;Mitarbeiter!$F$9),0,IF(Planung!EX11="",$C11,IF(ISNUMBER(Planung!EX11),Planung!EX11,IF(UPPER(Planung!EX11)="H",$C11/2,0)))))))</f>
        <v>0</v>
      </c>
      <c r="EY11" s="27">
        <f>IF($A11="",0,IF(Mitarbeiter!$G$9=FALSE,0,IF(AND(Mitarbeiter!$E$9&lt;&gt;"",EY$5+6&lt;Mitarbeiter!$E$9),0,IF(AND(Mitarbeiter!$F$9&lt;&gt;"",EY$5&gt;Mitarbeiter!$F$9),0,IF(Planung!EY11="",$C11,IF(ISNUMBER(Planung!EY11),Planung!EY11,IF(UPPER(Planung!EY11)="H",$C11/2,0)))))))</f>
        <v>0</v>
      </c>
      <c r="EZ11" s="27">
        <f>IF($A11="",0,IF(Mitarbeiter!$G$9=FALSE,0,IF(AND(Mitarbeiter!$E$9&lt;&gt;"",EZ$5+6&lt;Mitarbeiter!$E$9),0,IF(AND(Mitarbeiter!$F$9&lt;&gt;"",EZ$5&gt;Mitarbeiter!$F$9),0,IF(Planung!EZ11="",$C11,IF(ISNUMBER(Planung!EZ11),Planung!EZ11,IF(UPPER(Planung!EZ11)="H",$C11/2,0)))))))</f>
        <v>0</v>
      </c>
      <c r="FA11" s="27">
        <f>IF($A11="",0,IF(Mitarbeiter!$G$9=FALSE,0,IF(AND(Mitarbeiter!$E$9&lt;&gt;"",FA$5+6&lt;Mitarbeiter!$E$9),0,IF(AND(Mitarbeiter!$F$9&lt;&gt;"",FA$5&gt;Mitarbeiter!$F$9),0,IF(Planung!FA11="",$C11,IF(ISNUMBER(Planung!FA11),Planung!FA11,IF(UPPER(Planung!FA11)="H",$C11/2,0)))))))</f>
        <v>0</v>
      </c>
      <c r="FB11" s="27">
        <f>IF($A11="",0,IF(Mitarbeiter!$G$9=FALSE,0,IF(AND(Mitarbeiter!$E$9&lt;&gt;"",FB$5+6&lt;Mitarbeiter!$E$9),0,IF(AND(Mitarbeiter!$F$9&lt;&gt;"",FB$5&gt;Mitarbeiter!$F$9),0,IF(Planung!FB11="",$C11,IF(ISNUMBER(Planung!FB11),Planung!FB11,IF(UPPER(Planung!FB11)="H",$C11/2,0)))))))</f>
        <v>0</v>
      </c>
      <c r="FC11" s="27">
        <f>IF($A11="",0,IF(Mitarbeiter!$G$9=FALSE,0,IF(AND(Mitarbeiter!$E$9&lt;&gt;"",FC$5+6&lt;Mitarbeiter!$E$9),0,IF(AND(Mitarbeiter!$F$9&lt;&gt;"",FC$5&gt;Mitarbeiter!$F$9),0,IF(Planung!FC11="",$C11,IF(ISNUMBER(Planung!FC11),Planung!FC11,IF(UPPER(Planung!FC11)="H",$C11/2,0)))))))</f>
        <v>0</v>
      </c>
      <c r="FD11" s="27">
        <f>IF($A11="",0,IF(Mitarbeiter!$G$9=FALSE,0,IF(AND(Mitarbeiter!$E$9&lt;&gt;"",FD$5+6&lt;Mitarbeiter!$E$9),0,IF(AND(Mitarbeiter!$F$9&lt;&gt;"",FD$5&gt;Mitarbeiter!$F$9),0,IF(Planung!FD11="",$C11,IF(ISNUMBER(Planung!FD11),Planung!FD11,IF(UPPER(Planung!FD11)="H",$C11/2,0)))))))</f>
        <v>0</v>
      </c>
      <c r="FE11" s="27">
        <f>IF($A11="",0,IF(Mitarbeiter!$G$9=FALSE,0,IF(AND(Mitarbeiter!$E$9&lt;&gt;"",FE$5+6&lt;Mitarbeiter!$E$9),0,IF(AND(Mitarbeiter!$F$9&lt;&gt;"",FE$5&gt;Mitarbeiter!$F$9),0,IF(Planung!FE11="",$C11,IF(ISNUMBER(Planung!FE11),Planung!FE11,IF(UPPER(Planung!FE11)="H",$C11/2,0)))))))</f>
        <v>0</v>
      </c>
      <c r="FF11" s="27">
        <f>IF($A11="",0,IF(Mitarbeiter!$G$9=FALSE,0,IF(AND(Mitarbeiter!$E$9&lt;&gt;"",FF$5+6&lt;Mitarbeiter!$E$9),0,IF(AND(Mitarbeiter!$F$9&lt;&gt;"",FF$5&gt;Mitarbeiter!$F$9),0,IF(Planung!FF11="",$C11,IF(ISNUMBER(Planung!FF11),Planung!FF11,IF(UPPER(Planung!FF11)="H",$C11/2,0)))))))</f>
        <v>0</v>
      </c>
      <c r="FG11" s="27">
        <f>IF($A11="",0,IF(Mitarbeiter!$G$9=FALSE,0,IF(AND(Mitarbeiter!$E$9&lt;&gt;"",FG$5+6&lt;Mitarbeiter!$E$9),0,IF(AND(Mitarbeiter!$F$9&lt;&gt;"",FG$5&gt;Mitarbeiter!$F$9),0,IF(Planung!FG11="",$C11,IF(ISNUMBER(Planung!FG11),Planung!FG11,IF(UPPER(Planung!FG11)="H",$C11/2,0)))))))</f>
        <v>0</v>
      </c>
      <c r="FH11" s="27">
        <f>IF($A11="",0,IF(Mitarbeiter!$G$9=FALSE,0,IF(AND(Mitarbeiter!$E$9&lt;&gt;"",FH$5+6&lt;Mitarbeiter!$E$9),0,IF(AND(Mitarbeiter!$F$9&lt;&gt;"",FH$5&gt;Mitarbeiter!$F$9),0,IF(Planung!FH11="",$C11,IF(ISNUMBER(Planung!FH11),Planung!FH11,IF(UPPER(Planung!FH11)="H",$C11/2,0)))))))</f>
        <v>0</v>
      </c>
      <c r="FI11" s="27">
        <f>IF($A11="",0,IF(Mitarbeiter!$G$9=FALSE,0,IF(AND(Mitarbeiter!$E$9&lt;&gt;"",FI$5+6&lt;Mitarbeiter!$E$9),0,IF(AND(Mitarbeiter!$F$9&lt;&gt;"",FI$5&gt;Mitarbeiter!$F$9),0,IF(Planung!FI11="",$C11,IF(ISNUMBER(Planung!FI11),Planung!FI11,IF(UPPER(Planung!FI11)="H",$C11/2,0)))))))</f>
        <v>0</v>
      </c>
      <c r="FJ11" s="27">
        <f>IF($A11="",0,IF(Mitarbeiter!$G$9=FALSE,0,IF(AND(Mitarbeiter!$E$9&lt;&gt;"",FJ$5+6&lt;Mitarbeiter!$E$9),0,IF(AND(Mitarbeiter!$F$9&lt;&gt;"",FJ$5&gt;Mitarbeiter!$F$9),0,IF(Planung!FJ11="",$C11,IF(ISNUMBER(Planung!FJ11),Planung!FJ11,IF(UPPER(Planung!FJ11)="H",$C11/2,0)))))))</f>
        <v>0</v>
      </c>
      <c r="FK11" s="27">
        <f>IF($A11="",0,IF(Mitarbeiter!$G$9=FALSE,0,IF(AND(Mitarbeiter!$E$9&lt;&gt;"",FK$5+6&lt;Mitarbeiter!$E$9),0,IF(AND(Mitarbeiter!$F$9&lt;&gt;"",FK$5&gt;Mitarbeiter!$F$9),0,IF(Planung!FK11="",$C11,IF(ISNUMBER(Planung!FK11),Planung!FK11,IF(UPPER(Planung!FK11)="H",$C11/2,0)))))))</f>
        <v>0</v>
      </c>
      <c r="FL11" s="27">
        <f>IF($A11="",0,IF(Mitarbeiter!$G$9=FALSE,0,IF(AND(Mitarbeiter!$E$9&lt;&gt;"",FL$5+6&lt;Mitarbeiter!$E$9),0,IF(AND(Mitarbeiter!$F$9&lt;&gt;"",FL$5&gt;Mitarbeiter!$F$9),0,IF(Planung!FL11="",$C11,IF(ISNUMBER(Planung!FL11),Planung!FL11,IF(UPPER(Planung!FL11)="H",$C11/2,0)))))))</f>
        <v>0</v>
      </c>
      <c r="FM11" s="27">
        <f>IF($A11="",0,IF(Mitarbeiter!$G$9=FALSE,0,IF(AND(Mitarbeiter!$E$9&lt;&gt;"",FM$5+6&lt;Mitarbeiter!$E$9),0,IF(AND(Mitarbeiter!$F$9&lt;&gt;"",FM$5&gt;Mitarbeiter!$F$9),0,IF(Planung!FM11="",$C11,IF(ISNUMBER(Planung!FM11),Planung!FM11,IF(UPPER(Planung!FM11)="H",$C11/2,0)))))))</f>
        <v>0</v>
      </c>
      <c r="FN11" s="27">
        <f>IF($A11="",0,IF(Mitarbeiter!$G$9=FALSE,0,IF(AND(Mitarbeiter!$E$9&lt;&gt;"",FN$5+6&lt;Mitarbeiter!$E$9),0,IF(AND(Mitarbeiter!$F$9&lt;&gt;"",FN$5&gt;Mitarbeiter!$F$9),0,IF(Planung!FN11="",$C11,IF(ISNUMBER(Planung!FN11),Planung!FN11,IF(UPPER(Planung!FN11)="H",$C11/2,0)))))))</f>
        <v>0</v>
      </c>
      <c r="FO11" s="27">
        <f>IF($A11="",0,IF(Mitarbeiter!$G$9=FALSE,0,IF(AND(Mitarbeiter!$E$9&lt;&gt;"",FO$5+6&lt;Mitarbeiter!$E$9),0,IF(AND(Mitarbeiter!$F$9&lt;&gt;"",FO$5&gt;Mitarbeiter!$F$9),0,IF(Planung!FO11="",$C11,IF(ISNUMBER(Planung!FO11),Planung!FO11,IF(UPPER(Planung!FO11)="H",$C11/2,0)))))))</f>
        <v>0</v>
      </c>
      <c r="FP11" s="27">
        <f>IF($A11="",0,IF(Mitarbeiter!$G$9=FALSE,0,IF(AND(Mitarbeiter!$E$9&lt;&gt;"",FP$5+6&lt;Mitarbeiter!$E$9),0,IF(AND(Mitarbeiter!$F$9&lt;&gt;"",FP$5&gt;Mitarbeiter!$F$9),0,IF(Planung!FP11="",$C11,IF(ISNUMBER(Planung!FP11),Planung!FP11,IF(UPPER(Planung!FP11)="H",$C11/2,0)))))))</f>
        <v>0</v>
      </c>
      <c r="FQ11" s="27">
        <f>IF($A11="",0,IF(Mitarbeiter!$G$9=FALSE,0,IF(AND(Mitarbeiter!$E$9&lt;&gt;"",FQ$5+6&lt;Mitarbeiter!$E$9),0,IF(AND(Mitarbeiter!$F$9&lt;&gt;"",FQ$5&gt;Mitarbeiter!$F$9),0,IF(Planung!FQ11="",$C11,IF(ISNUMBER(Planung!FQ11),Planung!FQ11,IF(UPPER(Planung!FQ11)="H",$C11/2,0)))))))</f>
        <v>0</v>
      </c>
      <c r="FR11" s="27">
        <f>IF($A11="",0,IF(Mitarbeiter!$G$9=FALSE,0,IF(AND(Mitarbeiter!$E$9&lt;&gt;"",FR$5+6&lt;Mitarbeiter!$E$9),0,IF(AND(Mitarbeiter!$F$9&lt;&gt;"",FR$5&gt;Mitarbeiter!$F$9),0,IF(Planung!FR11="",$C11,IF(ISNUMBER(Planung!FR11),Planung!FR11,IF(UPPER(Planung!FR11)="H",$C11/2,0)))))))</f>
        <v>0</v>
      </c>
      <c r="FS11" s="27">
        <f>IF($A11="",0,IF(Mitarbeiter!$G$9=FALSE,0,IF(AND(Mitarbeiter!$E$9&lt;&gt;"",FS$5+6&lt;Mitarbeiter!$E$9),0,IF(AND(Mitarbeiter!$F$9&lt;&gt;"",FS$5&gt;Mitarbeiter!$F$9),0,IF(Planung!FS11="",$C11,IF(ISNUMBER(Planung!FS11),Planung!FS11,IF(UPPER(Planung!FS11)="H",$C11/2,0)))))))</f>
        <v>0</v>
      </c>
      <c r="FT11" s="27">
        <f>IF($A11="",0,IF(Mitarbeiter!$G$9=FALSE,0,IF(AND(Mitarbeiter!$E$9&lt;&gt;"",FT$5+6&lt;Mitarbeiter!$E$9),0,IF(AND(Mitarbeiter!$F$9&lt;&gt;"",FT$5&gt;Mitarbeiter!$F$9),0,IF(Planung!FT11="",$C11,IF(ISNUMBER(Planung!FT11),Planung!FT11,IF(UPPER(Planung!FT11)="H",$C11/2,0)))))))</f>
        <v>0</v>
      </c>
      <c r="FU11" s="27">
        <f>IF($A11="",0,IF(Mitarbeiter!$G$9=FALSE,0,IF(AND(Mitarbeiter!$E$9&lt;&gt;"",FU$5+6&lt;Mitarbeiter!$E$9),0,IF(AND(Mitarbeiter!$F$9&lt;&gt;"",FU$5&gt;Mitarbeiter!$F$9),0,IF(Planung!FU11="",$C11,IF(ISNUMBER(Planung!FU11),Planung!FU11,IF(UPPER(Planung!FU11)="H",$C11/2,0)))))))</f>
        <v>0</v>
      </c>
      <c r="FV11" s="27">
        <f>IF($A11="",0,IF(Mitarbeiter!$G$9=FALSE,0,IF(AND(Mitarbeiter!$E$9&lt;&gt;"",FV$5+6&lt;Mitarbeiter!$E$9),0,IF(AND(Mitarbeiter!$F$9&lt;&gt;"",FV$5&gt;Mitarbeiter!$F$9),0,IF(Planung!FV11="",$C11,IF(ISNUMBER(Planung!FV11),Planung!FV11,IF(UPPER(Planung!FV11)="H",$C11/2,0)))))))</f>
        <v>0</v>
      </c>
      <c r="FW11" s="27">
        <f>IF($A11="",0,IF(Mitarbeiter!$G$9=FALSE,0,IF(AND(Mitarbeiter!$E$9&lt;&gt;"",FW$5+6&lt;Mitarbeiter!$E$9),0,IF(AND(Mitarbeiter!$F$9&lt;&gt;"",FW$5&gt;Mitarbeiter!$F$9),0,IF(Planung!FW11="",$C11,IF(ISNUMBER(Planung!FW11),Planung!FW11,IF(UPPER(Planung!FW11)="H",$C11/2,0)))))))</f>
        <v>0</v>
      </c>
      <c r="FX11" s="27">
        <f>IF($A11="",0,IF(Mitarbeiter!$G$9=FALSE,0,IF(AND(Mitarbeiter!$E$9&lt;&gt;"",FX$5+6&lt;Mitarbeiter!$E$9),0,IF(AND(Mitarbeiter!$F$9&lt;&gt;"",FX$5&gt;Mitarbeiter!$F$9),0,IF(Planung!FX11="",$C11,IF(ISNUMBER(Planung!FX11),Planung!FX11,IF(UPPER(Planung!FX11)="H",$C11/2,0)))))))</f>
        <v>0</v>
      </c>
      <c r="FY11" s="27">
        <f>IF($A11="",0,IF(Mitarbeiter!$G$9=FALSE,0,IF(AND(Mitarbeiter!$E$9&lt;&gt;"",FY$5+6&lt;Mitarbeiter!$E$9),0,IF(AND(Mitarbeiter!$F$9&lt;&gt;"",FY$5&gt;Mitarbeiter!$F$9),0,IF(Planung!FY11="",$C11,IF(ISNUMBER(Planung!FY11),Planung!FY11,IF(UPPER(Planung!FY11)="H",$C11/2,0)))))))</f>
        <v>0</v>
      </c>
      <c r="FZ11" s="27">
        <f>IF($A11="",0,IF(Mitarbeiter!$G$9=FALSE,0,IF(AND(Mitarbeiter!$E$9&lt;&gt;"",FZ$5+6&lt;Mitarbeiter!$E$9),0,IF(AND(Mitarbeiter!$F$9&lt;&gt;"",FZ$5&gt;Mitarbeiter!$F$9),0,IF(Planung!FZ11="",$C11,IF(ISNUMBER(Planung!FZ11),Planung!FZ11,IF(UPPER(Planung!FZ11)="H",$C11/2,0)))))))</f>
        <v>0</v>
      </c>
      <c r="GA11" s="27">
        <f>IF($A11="",0,IF(Mitarbeiter!$G$9=FALSE,0,IF(AND(Mitarbeiter!$E$9&lt;&gt;"",GA$5+6&lt;Mitarbeiter!$E$9),0,IF(AND(Mitarbeiter!$F$9&lt;&gt;"",GA$5&gt;Mitarbeiter!$F$9),0,IF(Planung!GA11="",$C11,IF(ISNUMBER(Planung!GA11),Planung!GA11,IF(UPPER(Planung!GA11)="H",$C11/2,0)))))))</f>
        <v>0</v>
      </c>
      <c r="GB11" s="27">
        <f>IF($A11="",0,IF(Mitarbeiter!$G$9=FALSE,0,IF(AND(Mitarbeiter!$E$9&lt;&gt;"",GB$5+6&lt;Mitarbeiter!$E$9),0,IF(AND(Mitarbeiter!$F$9&lt;&gt;"",GB$5&gt;Mitarbeiter!$F$9),0,IF(Planung!GB11="",$C11,IF(ISNUMBER(Planung!GB11),Planung!GB11,IF(UPPER(Planung!GB11)="H",$C11/2,0)))))))</f>
        <v>0</v>
      </c>
      <c r="GC11" s="27">
        <f>IF($A11="",0,IF(Mitarbeiter!$G$9=FALSE,0,IF(AND(Mitarbeiter!$E$9&lt;&gt;"",GC$5+6&lt;Mitarbeiter!$E$9),0,IF(AND(Mitarbeiter!$F$9&lt;&gt;"",GC$5&gt;Mitarbeiter!$F$9),0,IF(Planung!GC11="",$C11,IF(ISNUMBER(Planung!GC11),Planung!GC11,IF(UPPER(Planung!GC11)="H",$C11/2,0)))))))</f>
        <v>0</v>
      </c>
      <c r="GD11" s="27">
        <f>IF($A11="",0,IF(Mitarbeiter!$G$9=FALSE,0,IF(AND(Mitarbeiter!$E$9&lt;&gt;"",GD$5+6&lt;Mitarbeiter!$E$9),0,IF(AND(Mitarbeiter!$F$9&lt;&gt;"",GD$5&gt;Mitarbeiter!$F$9),0,IF(Planung!GD11="",$C11,IF(ISNUMBER(Planung!GD11),Planung!GD11,IF(UPPER(Planung!GD11)="H",$C11/2,0)))))))</f>
        <v>0</v>
      </c>
      <c r="GE11" s="27">
        <f>IF($A11="",0,IF(Mitarbeiter!$G$9=FALSE,0,IF(AND(Mitarbeiter!$E$9&lt;&gt;"",GE$5+6&lt;Mitarbeiter!$E$9),0,IF(AND(Mitarbeiter!$F$9&lt;&gt;"",GE$5&gt;Mitarbeiter!$F$9),0,IF(Planung!GE11="",$C11,IF(ISNUMBER(Planung!GE11),Planung!GE11,IF(UPPER(Planung!GE11)="H",$C11/2,0)))))))</f>
        <v>0</v>
      </c>
      <c r="GF11" s="27">
        <f>IF($A11="",0,IF(Mitarbeiter!$G$9=FALSE,0,IF(AND(Mitarbeiter!$E$9&lt;&gt;"",GF$5+6&lt;Mitarbeiter!$E$9),0,IF(AND(Mitarbeiter!$F$9&lt;&gt;"",GF$5&gt;Mitarbeiter!$F$9),0,IF(Planung!GF11="",$C11,IF(ISNUMBER(Planung!GF11),Planung!GF11,IF(UPPER(Planung!GF11)="H",$C11/2,0)))))))</f>
        <v>0</v>
      </c>
      <c r="GG11" s="27">
        <f>IF($A11="",0,IF(Mitarbeiter!$G$9=FALSE,0,IF(AND(Mitarbeiter!$E$9&lt;&gt;"",GG$5+6&lt;Mitarbeiter!$E$9),0,IF(AND(Mitarbeiter!$F$9&lt;&gt;"",GG$5&gt;Mitarbeiter!$F$9),0,IF(Planung!GG11="",$C11,IF(ISNUMBER(Planung!GG11),Planung!GG11,IF(UPPER(Planung!GG11)="H",$C11/2,0)))))))</f>
        <v>0</v>
      </c>
      <c r="GH11" s="27">
        <f>IF($A11="",0,IF(Mitarbeiter!$G$9=FALSE,0,IF(AND(Mitarbeiter!$E$9&lt;&gt;"",GH$5+6&lt;Mitarbeiter!$E$9),0,IF(AND(Mitarbeiter!$F$9&lt;&gt;"",GH$5&gt;Mitarbeiter!$F$9),0,IF(Planung!GH11="",$C11,IF(ISNUMBER(Planung!GH11),Planung!GH11,IF(UPPER(Planung!GH11)="H",$C11/2,0)))))))</f>
        <v>0</v>
      </c>
      <c r="GI11" s="27">
        <f>IF($A11="",0,IF(Mitarbeiter!$G$9=FALSE,0,IF(AND(Mitarbeiter!$E$9&lt;&gt;"",GI$5+6&lt;Mitarbeiter!$E$9),0,IF(AND(Mitarbeiter!$F$9&lt;&gt;"",GI$5&gt;Mitarbeiter!$F$9),0,IF(Planung!GI11="",$C11,IF(ISNUMBER(Planung!GI11),Planung!GI11,IF(UPPER(Planung!GI11)="H",$C11/2,0)))))))</f>
        <v>0</v>
      </c>
      <c r="GJ11" s="27">
        <f>IF($A11="",0,IF(Mitarbeiter!$G$9=FALSE,0,IF(AND(Mitarbeiter!$E$9&lt;&gt;"",GJ$5+6&lt;Mitarbeiter!$E$9),0,IF(AND(Mitarbeiter!$F$9&lt;&gt;"",GJ$5&gt;Mitarbeiter!$F$9),0,IF(Planung!GJ11="",$C11,IF(ISNUMBER(Planung!GJ11),Planung!GJ11,IF(UPPER(Planung!GJ11)="H",$C11/2,0)))))))</f>
        <v>0</v>
      </c>
      <c r="GK11" s="27">
        <f>IF($A11="",0,IF(Mitarbeiter!$G$9=FALSE,0,IF(AND(Mitarbeiter!$E$9&lt;&gt;"",GK$5+6&lt;Mitarbeiter!$E$9),0,IF(AND(Mitarbeiter!$F$9&lt;&gt;"",GK$5&gt;Mitarbeiter!$F$9),0,IF(Planung!GK11="",$C11,IF(ISNUMBER(Planung!GK11),Planung!GK11,IF(UPPER(Planung!GK11)="H",$C11/2,0)))))))</f>
        <v>0</v>
      </c>
      <c r="GL11" s="27">
        <f>IF($A11="",0,IF(Mitarbeiter!$G$9=FALSE,0,IF(AND(Mitarbeiter!$E$9&lt;&gt;"",GL$5+6&lt;Mitarbeiter!$E$9),0,IF(AND(Mitarbeiter!$F$9&lt;&gt;"",GL$5&gt;Mitarbeiter!$F$9),0,IF(Planung!GL11="",$C11,IF(ISNUMBER(Planung!GL11),Planung!GL11,IF(UPPER(Planung!GL11)="H",$C11/2,0)))))))</f>
        <v>0</v>
      </c>
      <c r="GM11" s="27">
        <f>IF($A11="",0,IF(Mitarbeiter!$G$9=FALSE,0,IF(AND(Mitarbeiter!$E$9&lt;&gt;"",GM$5+6&lt;Mitarbeiter!$E$9),0,IF(AND(Mitarbeiter!$F$9&lt;&gt;"",GM$5&gt;Mitarbeiter!$F$9),0,IF(Planung!GM11="",$C11,IF(ISNUMBER(Planung!GM11),Planung!GM11,IF(UPPER(Planung!GM11)="H",$C11/2,0)))))))</f>
        <v>0</v>
      </c>
      <c r="GN11" s="27">
        <f>IF($A11="",0,IF(Mitarbeiter!$G$9=FALSE,0,IF(AND(Mitarbeiter!$E$9&lt;&gt;"",GN$5+6&lt;Mitarbeiter!$E$9),0,IF(AND(Mitarbeiter!$F$9&lt;&gt;"",GN$5&gt;Mitarbeiter!$F$9),0,IF(Planung!GN11="",$C11,IF(ISNUMBER(Planung!GN11),Planung!GN11,IF(UPPER(Planung!GN11)="H",$C11/2,0)))))))</f>
        <v>0</v>
      </c>
      <c r="GO11" s="27">
        <f>IF($A11="",0,IF(Mitarbeiter!$G$9=FALSE,0,IF(AND(Mitarbeiter!$E$9&lt;&gt;"",GO$5+6&lt;Mitarbeiter!$E$9),0,IF(AND(Mitarbeiter!$F$9&lt;&gt;"",GO$5&gt;Mitarbeiter!$F$9),0,IF(Planung!GO11="",$C11,IF(ISNUMBER(Planung!GO11),Planung!GO11,IF(UPPER(Planung!GO11)="H",$C11/2,0)))))))</f>
        <v>0</v>
      </c>
      <c r="GP11" s="27">
        <f>IF($A11="",0,IF(Mitarbeiter!$G$9=FALSE,0,IF(AND(Mitarbeiter!$E$9&lt;&gt;"",GP$5+6&lt;Mitarbeiter!$E$9),0,IF(AND(Mitarbeiter!$F$9&lt;&gt;"",GP$5&gt;Mitarbeiter!$F$9),0,IF(Planung!GP11="",$C11,IF(ISNUMBER(Planung!GP11),Planung!GP11,IF(UPPER(Planung!GP11)="H",$C11/2,0)))))))</f>
        <v>0</v>
      </c>
      <c r="GQ11" s="27">
        <f>IF($A11="",0,IF(Mitarbeiter!$G$9=FALSE,0,IF(AND(Mitarbeiter!$E$9&lt;&gt;"",GQ$5+6&lt;Mitarbeiter!$E$9),0,IF(AND(Mitarbeiter!$F$9&lt;&gt;"",GQ$5&gt;Mitarbeiter!$F$9),0,IF(Planung!GQ11="",$C11,IF(ISNUMBER(Planung!GQ11),Planung!GQ11,IF(UPPER(Planung!GQ11)="H",$C11/2,0)))))))</f>
        <v>0</v>
      </c>
      <c r="GR11" s="27">
        <f>IF($A11="",0,IF(Mitarbeiter!$G$9=FALSE,0,IF(AND(Mitarbeiter!$E$9&lt;&gt;"",GR$5+6&lt;Mitarbeiter!$E$9),0,IF(AND(Mitarbeiter!$F$9&lt;&gt;"",GR$5&gt;Mitarbeiter!$F$9),0,IF(Planung!GR11="",$C11,IF(ISNUMBER(Planung!GR11),Planung!GR11,IF(UPPER(Planung!GR11)="H",$C11/2,0)))))))</f>
        <v>0</v>
      </c>
      <c r="GS11" s="27">
        <f>IF($A11="",0,IF(Mitarbeiter!$G$9=FALSE,0,IF(AND(Mitarbeiter!$E$9&lt;&gt;"",GS$5+6&lt;Mitarbeiter!$E$9),0,IF(AND(Mitarbeiter!$F$9&lt;&gt;"",GS$5&gt;Mitarbeiter!$F$9),0,IF(Planung!GS11="",$C11,IF(ISNUMBER(Planung!GS11),Planung!GS11,IF(UPPER(Planung!GS11)="H",$C11/2,0)))))))</f>
        <v>0</v>
      </c>
      <c r="GT11" s="27">
        <f>IF($A11="",0,IF(Mitarbeiter!$G$9=FALSE,0,IF(AND(Mitarbeiter!$E$9&lt;&gt;"",GT$5+6&lt;Mitarbeiter!$E$9),0,IF(AND(Mitarbeiter!$F$9&lt;&gt;"",GT$5&gt;Mitarbeiter!$F$9),0,IF(Planung!GT11="",$C11,IF(ISNUMBER(Planung!GT11),Planung!GT11,IF(UPPER(Planung!GT11)="H",$C11/2,0)))))))</f>
        <v>0</v>
      </c>
      <c r="GU11" s="27">
        <f>IF($A11="",0,IF(Mitarbeiter!$G$9=FALSE,0,IF(AND(Mitarbeiter!$E$9&lt;&gt;"",GU$5+6&lt;Mitarbeiter!$E$9),0,IF(AND(Mitarbeiter!$F$9&lt;&gt;"",GU$5&gt;Mitarbeiter!$F$9),0,IF(Planung!GU11="",$C11,IF(ISNUMBER(Planung!GU11),Planung!GU11,IF(UPPER(Planung!GU11)="H",$C11/2,0)))))))</f>
        <v>0</v>
      </c>
      <c r="GV11" s="27">
        <f>IF($A11="",0,IF(Mitarbeiter!$G$9=FALSE,0,IF(AND(Mitarbeiter!$E$9&lt;&gt;"",GV$5+6&lt;Mitarbeiter!$E$9),0,IF(AND(Mitarbeiter!$F$9&lt;&gt;"",GV$5&gt;Mitarbeiter!$F$9),0,IF(Planung!GV11="",$C11,IF(ISNUMBER(Planung!GV11),Planung!GV11,IF(UPPER(Planung!GV11)="H",$C11/2,0)))))))</f>
        <v>0</v>
      </c>
      <c r="GW11" s="27">
        <f>IF($A11="",0,IF(Mitarbeiter!$G$9=FALSE,0,IF(AND(Mitarbeiter!$E$9&lt;&gt;"",GW$5+6&lt;Mitarbeiter!$E$9),0,IF(AND(Mitarbeiter!$F$9&lt;&gt;"",GW$5&gt;Mitarbeiter!$F$9),0,IF(Planung!GW11="",$C11,IF(ISNUMBER(Planung!GW11),Planung!GW11,IF(UPPER(Planung!GW11)="H",$C11/2,0)))))))</f>
        <v>0</v>
      </c>
      <c r="GX11" s="27">
        <f>IF($A11="",0,IF(Mitarbeiter!$G$9=FALSE,0,IF(AND(Mitarbeiter!$E$9&lt;&gt;"",GX$5+6&lt;Mitarbeiter!$E$9),0,IF(AND(Mitarbeiter!$F$9&lt;&gt;"",GX$5&gt;Mitarbeiter!$F$9),0,IF(Planung!GX11="",$C11,IF(ISNUMBER(Planung!GX11),Planung!GX11,IF(UPPER(Planung!GX11)="H",$C11/2,0)))))))</f>
        <v>0</v>
      </c>
      <c r="GY11" s="27">
        <f>IF($A11="",0,IF(Mitarbeiter!$G$9=FALSE,0,IF(AND(Mitarbeiter!$E$9&lt;&gt;"",GY$5+6&lt;Mitarbeiter!$E$9),0,IF(AND(Mitarbeiter!$F$9&lt;&gt;"",GY$5&gt;Mitarbeiter!$F$9),0,IF(Planung!GY11="",$C11,IF(ISNUMBER(Planung!GY11),Planung!GY11,IF(UPPER(Planung!GY11)="H",$C11/2,0)))))))</f>
        <v>0</v>
      </c>
      <c r="GZ11" s="27">
        <f>IF($A11="",0,IF(Mitarbeiter!$G$9=FALSE,0,IF(AND(Mitarbeiter!$E$9&lt;&gt;"",GZ$5+6&lt;Mitarbeiter!$E$9),0,IF(AND(Mitarbeiter!$F$9&lt;&gt;"",GZ$5&gt;Mitarbeiter!$F$9),0,IF(Planung!GZ11="",$C11,IF(ISNUMBER(Planung!GZ11),Planung!GZ11,IF(UPPER(Planung!GZ11)="H",$C11/2,0)))))))</f>
        <v>0</v>
      </c>
      <c r="HA11" s="27">
        <f>IF($A11="",0,IF(Mitarbeiter!$G$9=FALSE,0,IF(AND(Mitarbeiter!$E$9&lt;&gt;"",HA$5+6&lt;Mitarbeiter!$E$9),0,IF(AND(Mitarbeiter!$F$9&lt;&gt;"",HA$5&gt;Mitarbeiter!$F$9),0,IF(Planung!HA11="",$C11,IF(ISNUMBER(Planung!HA11),Planung!HA11,IF(UPPER(Planung!HA11)="H",$C11/2,0)))))))</f>
        <v>0</v>
      </c>
      <c r="HB11" s="27">
        <f>IF($A11="",0,IF(Mitarbeiter!$G$9=FALSE,0,IF(AND(Mitarbeiter!$E$9&lt;&gt;"",HB$5+6&lt;Mitarbeiter!$E$9),0,IF(AND(Mitarbeiter!$F$9&lt;&gt;"",HB$5&gt;Mitarbeiter!$F$9),0,IF(Planung!HB11="",$C11,IF(ISNUMBER(Planung!HB11),Planung!HB11,IF(UPPER(Planung!HB11)="H",$C11/2,0)))))))</f>
        <v>0</v>
      </c>
      <c r="HC11" s="27">
        <f>IF($A11="",0,IF(Mitarbeiter!$G$9=FALSE,0,IF(AND(Mitarbeiter!$E$9&lt;&gt;"",HC$5+6&lt;Mitarbeiter!$E$9),0,IF(AND(Mitarbeiter!$F$9&lt;&gt;"",HC$5&gt;Mitarbeiter!$F$9),0,IF(Planung!HC11="",$C11,IF(ISNUMBER(Planung!HC11),Planung!HC11,IF(UPPER(Planung!HC11)="H",$C11/2,0)))))))</f>
        <v>0</v>
      </c>
      <c r="HD11" s="27">
        <f>IF($A11="",0,IF(Mitarbeiter!$G$9=FALSE,0,IF(AND(Mitarbeiter!$E$9&lt;&gt;"",HD$5+6&lt;Mitarbeiter!$E$9),0,IF(AND(Mitarbeiter!$F$9&lt;&gt;"",HD$5&gt;Mitarbeiter!$F$9),0,IF(Planung!HD11="",$C11,IF(ISNUMBER(Planung!HD11),Planung!HD11,IF(UPPER(Planung!HD11)="H",$C11/2,0)))))))</f>
        <v>0</v>
      </c>
      <c r="HE11" s="27">
        <f>IF($A11="",0,IF(Mitarbeiter!$G$9=FALSE,0,IF(AND(Mitarbeiter!$E$9&lt;&gt;"",HE$5+6&lt;Mitarbeiter!$E$9),0,IF(AND(Mitarbeiter!$F$9&lt;&gt;"",HE$5&gt;Mitarbeiter!$F$9),0,IF(Planung!HE11="",$C11,IF(ISNUMBER(Planung!HE11),Planung!HE11,IF(UPPER(Planung!HE11)="H",$C11/2,0)))))))</f>
        <v>0</v>
      </c>
      <c r="HF11" s="27">
        <f>IF($A11="",0,IF(Mitarbeiter!$G$9=FALSE,0,IF(AND(Mitarbeiter!$E$9&lt;&gt;"",HF$5+6&lt;Mitarbeiter!$E$9),0,IF(AND(Mitarbeiter!$F$9&lt;&gt;"",HF$5&gt;Mitarbeiter!$F$9),0,IF(Planung!HF11="",$C11,IF(ISNUMBER(Planung!HF11),Planung!HF11,IF(UPPER(Planung!HF11)="H",$C11/2,0)))))))</f>
        <v>0</v>
      </c>
      <c r="HG11" s="27">
        <f>IF($A11="",0,IF(Mitarbeiter!$G$9=FALSE,0,IF(AND(Mitarbeiter!$E$9&lt;&gt;"",HG$5+6&lt;Mitarbeiter!$E$9),0,IF(AND(Mitarbeiter!$F$9&lt;&gt;"",HG$5&gt;Mitarbeiter!$F$9),0,IF(Planung!HG11="",$C11,IF(ISNUMBER(Planung!HG11),Planung!HG11,IF(UPPER(Planung!HG11)="H",$C11/2,0)))))))</f>
        <v>0</v>
      </c>
      <c r="HH11" s="27">
        <f>IF($A11="",0,IF(Mitarbeiter!$G$9=FALSE,0,IF(AND(Mitarbeiter!$E$9&lt;&gt;"",HH$5+6&lt;Mitarbeiter!$E$9),0,IF(AND(Mitarbeiter!$F$9&lt;&gt;"",HH$5&gt;Mitarbeiter!$F$9),0,IF(Planung!HH11="",$C11,IF(ISNUMBER(Planung!HH11),Planung!HH11,IF(UPPER(Planung!HH11)="H",$C11/2,0)))))))</f>
        <v>0</v>
      </c>
      <c r="HI11" s="27">
        <f>IF($A11="",0,IF(Mitarbeiter!$G$9=FALSE,0,IF(AND(Mitarbeiter!$E$9&lt;&gt;"",HI$5+6&lt;Mitarbeiter!$E$9),0,IF(AND(Mitarbeiter!$F$9&lt;&gt;"",HI$5&gt;Mitarbeiter!$F$9),0,IF(Planung!HI11="",$C11,IF(ISNUMBER(Planung!HI11),Planung!HI11,IF(UPPER(Planung!HI11)="H",$C11/2,0)))))))</f>
        <v>0</v>
      </c>
      <c r="HJ11" s="27">
        <f>IF($A11="",0,IF(Mitarbeiter!$G$9=FALSE,0,IF(AND(Mitarbeiter!$E$9&lt;&gt;"",HJ$5+6&lt;Mitarbeiter!$E$9),0,IF(AND(Mitarbeiter!$F$9&lt;&gt;"",HJ$5&gt;Mitarbeiter!$F$9),0,IF(Planung!HJ11="",$C11,IF(ISNUMBER(Planung!HJ11),Planung!HJ11,IF(UPPER(Planung!HJ11)="H",$C11/2,0)))))))</f>
        <v>0</v>
      </c>
      <c r="HK11" s="27">
        <f>IF($A11="",0,IF(Mitarbeiter!$G$9=FALSE,0,IF(AND(Mitarbeiter!$E$9&lt;&gt;"",HK$5+6&lt;Mitarbeiter!$E$9),0,IF(AND(Mitarbeiter!$F$9&lt;&gt;"",HK$5&gt;Mitarbeiter!$F$9),0,IF(Planung!HK11="",$C11,IF(ISNUMBER(Planung!HK11),Planung!HK11,IF(UPPER(Planung!HK11)="H",$C11/2,0)))))))</f>
        <v>0</v>
      </c>
      <c r="HL11" s="27">
        <f>IF($A11="",0,IF(Mitarbeiter!$G$9=FALSE,0,IF(AND(Mitarbeiter!$E$9&lt;&gt;"",HL$5+6&lt;Mitarbeiter!$E$9),0,IF(AND(Mitarbeiter!$F$9&lt;&gt;"",HL$5&gt;Mitarbeiter!$F$9),0,IF(Planung!HL11="",$C11,IF(ISNUMBER(Planung!HL11),Planung!HL11,IF(UPPER(Planung!HL11)="H",$C11/2,0)))))))</f>
        <v>0</v>
      </c>
      <c r="HM11" s="27">
        <f>IF($A11="",0,IF(Mitarbeiter!$G$9=FALSE,0,IF(AND(Mitarbeiter!$E$9&lt;&gt;"",HM$5+6&lt;Mitarbeiter!$E$9),0,IF(AND(Mitarbeiter!$F$9&lt;&gt;"",HM$5&gt;Mitarbeiter!$F$9),0,IF(Planung!HM11="",$C11,IF(ISNUMBER(Planung!HM11),Planung!HM11,IF(UPPER(Planung!HM11)="H",$C11/2,0)))))))</f>
        <v>0</v>
      </c>
      <c r="HN11" s="27">
        <f>IF($A11="",0,IF(Mitarbeiter!$G$9=FALSE,0,IF(AND(Mitarbeiter!$E$9&lt;&gt;"",HN$5+6&lt;Mitarbeiter!$E$9),0,IF(AND(Mitarbeiter!$F$9&lt;&gt;"",HN$5&gt;Mitarbeiter!$F$9),0,IF(Planung!HN11="",$C11,IF(ISNUMBER(Planung!HN11),Planung!HN11,IF(UPPER(Planung!HN11)="H",$C11/2,0)))))))</f>
        <v>0</v>
      </c>
      <c r="HO11" s="27">
        <f>IF($A11="",0,IF(Mitarbeiter!$G$9=FALSE,0,IF(AND(Mitarbeiter!$E$9&lt;&gt;"",HO$5+6&lt;Mitarbeiter!$E$9),0,IF(AND(Mitarbeiter!$F$9&lt;&gt;"",HO$5&gt;Mitarbeiter!$F$9),0,IF(Planung!HO11="",$C11,IF(ISNUMBER(Planung!HO11),Planung!HO11,IF(UPPER(Planung!HO11)="H",$C11/2,0)))))))</f>
        <v>0</v>
      </c>
      <c r="HP11" s="27">
        <f>IF($A11="",0,IF(Mitarbeiter!$G$9=FALSE,0,IF(AND(Mitarbeiter!$E$9&lt;&gt;"",HP$5+6&lt;Mitarbeiter!$E$9),0,IF(AND(Mitarbeiter!$F$9&lt;&gt;"",HP$5&gt;Mitarbeiter!$F$9),0,IF(Planung!HP11="",$C11,IF(ISNUMBER(Planung!HP11),Planung!HP11,IF(UPPER(Planung!HP11)="H",$C11/2,0)))))))</f>
        <v>0</v>
      </c>
      <c r="HQ11" s="27">
        <f>IF($A11="",0,IF(Mitarbeiter!$G$9=FALSE,0,IF(AND(Mitarbeiter!$E$9&lt;&gt;"",HQ$5+6&lt;Mitarbeiter!$E$9),0,IF(AND(Mitarbeiter!$F$9&lt;&gt;"",HQ$5&gt;Mitarbeiter!$F$9),0,IF(Planung!HQ11="",$C11,IF(ISNUMBER(Planung!HQ11),Planung!HQ11,IF(UPPER(Planung!HQ11)="H",$C11/2,0)))))))</f>
        <v>0</v>
      </c>
      <c r="HR11" s="27">
        <f>IF($A11="",0,IF(Mitarbeiter!$G$9=FALSE,0,IF(AND(Mitarbeiter!$E$9&lt;&gt;"",HR$5+6&lt;Mitarbeiter!$E$9),0,IF(AND(Mitarbeiter!$F$9&lt;&gt;"",HR$5&gt;Mitarbeiter!$F$9),0,IF(Planung!HR11="",$C11,IF(ISNUMBER(Planung!HR11),Planung!HR11,IF(UPPER(Planung!HR11)="H",$C11/2,0)))))))</f>
        <v>0</v>
      </c>
      <c r="HS11" s="27">
        <f>IF($A11="",0,IF(Mitarbeiter!$G$9=FALSE,0,IF(AND(Mitarbeiter!$E$9&lt;&gt;"",HS$5+6&lt;Mitarbeiter!$E$9),0,IF(AND(Mitarbeiter!$F$9&lt;&gt;"",HS$5&gt;Mitarbeiter!$F$9),0,IF(Planung!HS11="",$C11,IF(ISNUMBER(Planung!HS11),Planung!HS11,IF(UPPER(Planung!HS11)="H",$C11/2,0)))))))</f>
        <v>0</v>
      </c>
      <c r="HT11" s="27">
        <f>IF($A11="",0,IF(Mitarbeiter!$G$9=FALSE,0,IF(AND(Mitarbeiter!$E$9&lt;&gt;"",HT$5+6&lt;Mitarbeiter!$E$9),0,IF(AND(Mitarbeiter!$F$9&lt;&gt;"",HT$5&gt;Mitarbeiter!$F$9),0,IF(Planung!HT11="",$C11,IF(ISNUMBER(Planung!HT11),Planung!HT11,IF(UPPER(Planung!HT11)="H",$C11/2,0)))))))</f>
        <v>0</v>
      </c>
      <c r="HU11" s="27">
        <f>IF($A11="",0,IF(Mitarbeiter!$G$9=FALSE,0,IF(AND(Mitarbeiter!$E$9&lt;&gt;"",HU$5+6&lt;Mitarbeiter!$E$9),0,IF(AND(Mitarbeiter!$F$9&lt;&gt;"",HU$5&gt;Mitarbeiter!$F$9),0,IF(Planung!HU11="",$C11,IF(ISNUMBER(Planung!HU11),Planung!HU11,IF(UPPER(Planung!HU11)="H",$C11/2,0)))))))</f>
        <v>0</v>
      </c>
      <c r="HV11" s="27">
        <f>IF($A11="",0,IF(Mitarbeiter!$G$9=FALSE,0,IF(AND(Mitarbeiter!$E$9&lt;&gt;"",HV$5+6&lt;Mitarbeiter!$E$9),0,IF(AND(Mitarbeiter!$F$9&lt;&gt;"",HV$5&gt;Mitarbeiter!$F$9),0,IF(Planung!HV11="",$C11,IF(ISNUMBER(Planung!HV11),Planung!HV11,IF(UPPER(Planung!HV11)="H",$C11/2,0)))))))</f>
        <v>0</v>
      </c>
      <c r="HW11" s="27">
        <f>IF($A11="",0,IF(Mitarbeiter!$G$9=FALSE,0,IF(AND(Mitarbeiter!$E$9&lt;&gt;"",HW$5+6&lt;Mitarbeiter!$E$9),0,IF(AND(Mitarbeiter!$F$9&lt;&gt;"",HW$5&gt;Mitarbeiter!$F$9),0,IF(Planung!HW11="",$C11,IF(ISNUMBER(Planung!HW11),Planung!HW11,IF(UPPER(Planung!HW11)="H",$C11/2,0)))))))</f>
        <v>0</v>
      </c>
      <c r="HX11" s="27">
        <f>IF($A11="",0,IF(Mitarbeiter!$G$9=FALSE,0,IF(AND(Mitarbeiter!$E$9&lt;&gt;"",HX$5+6&lt;Mitarbeiter!$E$9),0,IF(AND(Mitarbeiter!$F$9&lt;&gt;"",HX$5&gt;Mitarbeiter!$F$9),0,IF(Planung!HX11="",$C11,IF(ISNUMBER(Planung!HX11),Planung!HX11,IF(UPPER(Planung!HX11)="H",$C11/2,0)))))))</f>
        <v>0</v>
      </c>
      <c r="HY11" s="27">
        <f>IF($A11="",0,IF(Mitarbeiter!$G$9=FALSE,0,IF(AND(Mitarbeiter!$E$9&lt;&gt;"",HY$5+6&lt;Mitarbeiter!$E$9),0,IF(AND(Mitarbeiter!$F$9&lt;&gt;"",HY$5&gt;Mitarbeiter!$F$9),0,IF(Planung!HY11="",$C11,IF(ISNUMBER(Planung!HY11),Planung!HY11,IF(UPPER(Planung!HY11)="H",$C11/2,0)))))))</f>
        <v>0</v>
      </c>
      <c r="HZ11" s="27">
        <f>IF($A11="",0,IF(Mitarbeiter!$G$9=FALSE,0,IF(AND(Mitarbeiter!$E$9&lt;&gt;"",HZ$5+6&lt;Mitarbeiter!$E$9),0,IF(AND(Mitarbeiter!$F$9&lt;&gt;"",HZ$5&gt;Mitarbeiter!$F$9),0,IF(Planung!HZ11="",$C11,IF(ISNUMBER(Planung!HZ11),Planung!HZ11,IF(UPPER(Planung!HZ11)="H",$C11/2,0)))))))</f>
        <v>0</v>
      </c>
      <c r="IA11" s="27">
        <f>IF($A11="",0,IF(Mitarbeiter!$G$9=FALSE,0,IF(AND(Mitarbeiter!$E$9&lt;&gt;"",IA$5+6&lt;Mitarbeiter!$E$9),0,IF(AND(Mitarbeiter!$F$9&lt;&gt;"",IA$5&gt;Mitarbeiter!$F$9),0,IF(Planung!IA11="",$C11,IF(ISNUMBER(Planung!IA11),Planung!IA11,IF(UPPER(Planung!IA11)="H",$C11/2,0)))))))</f>
        <v>0</v>
      </c>
    </row>
    <row r="12" spans="1:235" x14ac:dyDescent="0.25">
      <c r="A12" s="7" t="str">
        <f>Planung!A12</f>
        <v/>
      </c>
      <c r="B12" s="7" t="str">
        <f>Planung!B12</f>
        <v/>
      </c>
      <c r="C12" s="27">
        <f>N(Mitarbeiter!$D$10)</f>
        <v>0</v>
      </c>
      <c r="D12" s="27">
        <f>IF($A12="",0,IF(Mitarbeiter!$G$10=FALSE,0,IF(AND(Mitarbeiter!$E$10&lt;&gt;"",D$5+6&lt;Mitarbeiter!$E$10),0,IF(AND(Mitarbeiter!$F$10&lt;&gt;"",D$5&gt;Mitarbeiter!$F$10),0,IF(Planung!D12="",$C12,IF(ISNUMBER(Planung!D12),Planung!D12,IF(UPPER(Planung!D12)="H",$C12/2,0)))))))</f>
        <v>0</v>
      </c>
      <c r="E12" s="27">
        <f>IF($A12="",0,IF(Mitarbeiter!$G$10=FALSE,0,IF(AND(Mitarbeiter!$E$10&lt;&gt;"",E$5+6&lt;Mitarbeiter!$E$10),0,IF(AND(Mitarbeiter!$F$10&lt;&gt;"",E$5&gt;Mitarbeiter!$F$10),0,IF(Planung!E12="",$C12,IF(ISNUMBER(Planung!E12),Planung!E12,IF(UPPER(Planung!E12)="H",$C12/2,0)))))))</f>
        <v>0</v>
      </c>
      <c r="F12" s="27">
        <f>IF($A12="",0,IF(Mitarbeiter!$G$10=FALSE,0,IF(AND(Mitarbeiter!$E$10&lt;&gt;"",F$5+6&lt;Mitarbeiter!$E$10),0,IF(AND(Mitarbeiter!$F$10&lt;&gt;"",F$5&gt;Mitarbeiter!$F$10),0,IF(Planung!F12="",$C12,IF(ISNUMBER(Planung!F12),Planung!F12,IF(UPPER(Planung!F12)="H",$C12/2,0)))))))</f>
        <v>0</v>
      </c>
      <c r="G12" s="27">
        <f>IF($A12="",0,IF(Mitarbeiter!$G$10=FALSE,0,IF(AND(Mitarbeiter!$E$10&lt;&gt;"",G$5+6&lt;Mitarbeiter!$E$10),0,IF(AND(Mitarbeiter!$F$10&lt;&gt;"",G$5&gt;Mitarbeiter!$F$10),0,IF(Planung!G12="",$C12,IF(ISNUMBER(Planung!G12),Planung!G12,IF(UPPER(Planung!G12)="H",$C12/2,0)))))))</f>
        <v>0</v>
      </c>
      <c r="H12" s="27">
        <f>IF($A12="",0,IF(Mitarbeiter!$G$10=FALSE,0,IF(AND(Mitarbeiter!$E$10&lt;&gt;"",H$5+6&lt;Mitarbeiter!$E$10),0,IF(AND(Mitarbeiter!$F$10&lt;&gt;"",H$5&gt;Mitarbeiter!$F$10),0,IF(Planung!H12="",$C12,IF(ISNUMBER(Planung!H12),Planung!H12,IF(UPPER(Planung!H12)="H",$C12/2,0)))))))</f>
        <v>0</v>
      </c>
      <c r="I12" s="27">
        <f>IF($A12="",0,IF(Mitarbeiter!$G$10=FALSE,0,IF(AND(Mitarbeiter!$E$10&lt;&gt;"",I$5+6&lt;Mitarbeiter!$E$10),0,IF(AND(Mitarbeiter!$F$10&lt;&gt;"",I$5&gt;Mitarbeiter!$F$10),0,IF(Planung!I12="",$C12,IF(ISNUMBER(Planung!I12),Planung!I12,IF(UPPER(Planung!I12)="H",$C12/2,0)))))))</f>
        <v>0</v>
      </c>
      <c r="J12" s="27">
        <f>IF($A12="",0,IF(Mitarbeiter!$G$10=FALSE,0,IF(AND(Mitarbeiter!$E$10&lt;&gt;"",J$5+6&lt;Mitarbeiter!$E$10),0,IF(AND(Mitarbeiter!$F$10&lt;&gt;"",J$5&gt;Mitarbeiter!$F$10),0,IF(Planung!J12="",$C12,IF(ISNUMBER(Planung!J12),Planung!J12,IF(UPPER(Planung!J12)="H",$C12/2,0)))))))</f>
        <v>0</v>
      </c>
      <c r="K12" s="27">
        <f>IF($A12="",0,IF(Mitarbeiter!$G$10=FALSE,0,IF(AND(Mitarbeiter!$E$10&lt;&gt;"",K$5+6&lt;Mitarbeiter!$E$10),0,IF(AND(Mitarbeiter!$F$10&lt;&gt;"",K$5&gt;Mitarbeiter!$F$10),0,IF(Planung!K12="",$C12,IF(ISNUMBER(Planung!K12),Planung!K12,IF(UPPER(Planung!K12)="H",$C12/2,0)))))))</f>
        <v>0</v>
      </c>
      <c r="L12" s="27">
        <f>IF($A12="",0,IF(Mitarbeiter!$G$10=FALSE,0,IF(AND(Mitarbeiter!$E$10&lt;&gt;"",L$5+6&lt;Mitarbeiter!$E$10),0,IF(AND(Mitarbeiter!$F$10&lt;&gt;"",L$5&gt;Mitarbeiter!$F$10),0,IF(Planung!L12="",$C12,IF(ISNUMBER(Planung!L12),Planung!L12,IF(UPPER(Planung!L12)="H",$C12/2,0)))))))</f>
        <v>0</v>
      </c>
      <c r="M12" s="27">
        <f>IF($A12="",0,IF(Mitarbeiter!$G$10=FALSE,0,IF(AND(Mitarbeiter!$E$10&lt;&gt;"",M$5+6&lt;Mitarbeiter!$E$10),0,IF(AND(Mitarbeiter!$F$10&lt;&gt;"",M$5&gt;Mitarbeiter!$F$10),0,IF(Planung!M12="",$C12,IF(ISNUMBER(Planung!M12),Planung!M12,IF(UPPER(Planung!M12)="H",$C12/2,0)))))))</f>
        <v>0</v>
      </c>
      <c r="N12" s="27">
        <f>IF($A12="",0,IF(Mitarbeiter!$G$10=FALSE,0,IF(AND(Mitarbeiter!$E$10&lt;&gt;"",N$5+6&lt;Mitarbeiter!$E$10),0,IF(AND(Mitarbeiter!$F$10&lt;&gt;"",N$5&gt;Mitarbeiter!$F$10),0,IF(Planung!N12="",$C12,IF(ISNUMBER(Planung!N12),Planung!N12,IF(UPPER(Planung!N12)="H",$C12/2,0)))))))</f>
        <v>0</v>
      </c>
      <c r="O12" s="27">
        <f>IF($A12="",0,IF(Mitarbeiter!$G$10=FALSE,0,IF(AND(Mitarbeiter!$E$10&lt;&gt;"",O$5+6&lt;Mitarbeiter!$E$10),0,IF(AND(Mitarbeiter!$F$10&lt;&gt;"",O$5&gt;Mitarbeiter!$F$10),0,IF(Planung!O12="",$C12,IF(ISNUMBER(Planung!O12),Planung!O12,IF(UPPER(Planung!O12)="H",$C12/2,0)))))))</f>
        <v>0</v>
      </c>
      <c r="P12" s="27">
        <f>IF($A12="",0,IF(Mitarbeiter!$G$10=FALSE,0,IF(AND(Mitarbeiter!$E$10&lt;&gt;"",P$5+6&lt;Mitarbeiter!$E$10),0,IF(AND(Mitarbeiter!$F$10&lt;&gt;"",P$5&gt;Mitarbeiter!$F$10),0,IF(Planung!P12="",$C12,IF(ISNUMBER(Planung!P12),Planung!P12,IF(UPPER(Planung!P12)="H",$C12/2,0)))))))</f>
        <v>0</v>
      </c>
      <c r="Q12" s="27">
        <f>IF($A12="",0,IF(Mitarbeiter!$G$10=FALSE,0,IF(AND(Mitarbeiter!$E$10&lt;&gt;"",Q$5+6&lt;Mitarbeiter!$E$10),0,IF(AND(Mitarbeiter!$F$10&lt;&gt;"",Q$5&gt;Mitarbeiter!$F$10),0,IF(Planung!Q12="",$C12,IF(ISNUMBER(Planung!Q12),Planung!Q12,IF(UPPER(Planung!Q12)="H",$C12/2,0)))))))</f>
        <v>0</v>
      </c>
      <c r="R12" s="27">
        <f>IF($A12="",0,IF(Mitarbeiter!$G$10=FALSE,0,IF(AND(Mitarbeiter!$E$10&lt;&gt;"",R$5+6&lt;Mitarbeiter!$E$10),0,IF(AND(Mitarbeiter!$F$10&lt;&gt;"",R$5&gt;Mitarbeiter!$F$10),0,IF(Planung!R12="",$C12,IF(ISNUMBER(Planung!R12),Planung!R12,IF(UPPER(Planung!R12)="H",$C12/2,0)))))))</f>
        <v>0</v>
      </c>
      <c r="S12" s="27">
        <f>IF($A12="",0,IF(Mitarbeiter!$G$10=FALSE,0,IF(AND(Mitarbeiter!$E$10&lt;&gt;"",S$5+6&lt;Mitarbeiter!$E$10),0,IF(AND(Mitarbeiter!$F$10&lt;&gt;"",S$5&gt;Mitarbeiter!$F$10),0,IF(Planung!S12="",$C12,IF(ISNUMBER(Planung!S12),Planung!S12,IF(UPPER(Planung!S12)="H",$C12/2,0)))))))</f>
        <v>0</v>
      </c>
      <c r="T12" s="27">
        <f>IF($A12="",0,IF(Mitarbeiter!$G$10=FALSE,0,IF(AND(Mitarbeiter!$E$10&lt;&gt;"",T$5+6&lt;Mitarbeiter!$E$10),0,IF(AND(Mitarbeiter!$F$10&lt;&gt;"",T$5&gt;Mitarbeiter!$F$10),0,IF(Planung!T12="",$C12,IF(ISNUMBER(Planung!T12),Planung!T12,IF(UPPER(Planung!T12)="H",$C12/2,0)))))))</f>
        <v>0</v>
      </c>
      <c r="U12" s="27">
        <f>IF($A12="",0,IF(Mitarbeiter!$G$10=FALSE,0,IF(AND(Mitarbeiter!$E$10&lt;&gt;"",U$5+6&lt;Mitarbeiter!$E$10),0,IF(AND(Mitarbeiter!$F$10&lt;&gt;"",U$5&gt;Mitarbeiter!$F$10),0,IF(Planung!U12="",$C12,IF(ISNUMBER(Planung!U12),Planung!U12,IF(UPPER(Planung!U12)="H",$C12/2,0)))))))</f>
        <v>0</v>
      </c>
      <c r="V12" s="27">
        <f>IF($A12="",0,IF(Mitarbeiter!$G$10=FALSE,0,IF(AND(Mitarbeiter!$E$10&lt;&gt;"",V$5+6&lt;Mitarbeiter!$E$10),0,IF(AND(Mitarbeiter!$F$10&lt;&gt;"",V$5&gt;Mitarbeiter!$F$10),0,IF(Planung!V12="",$C12,IF(ISNUMBER(Planung!V12),Planung!V12,IF(UPPER(Planung!V12)="H",$C12/2,0)))))))</f>
        <v>0</v>
      </c>
      <c r="W12" s="27">
        <f>IF($A12="",0,IF(Mitarbeiter!$G$10=FALSE,0,IF(AND(Mitarbeiter!$E$10&lt;&gt;"",W$5+6&lt;Mitarbeiter!$E$10),0,IF(AND(Mitarbeiter!$F$10&lt;&gt;"",W$5&gt;Mitarbeiter!$F$10),0,IF(Planung!W12="",$C12,IF(ISNUMBER(Planung!W12),Planung!W12,IF(UPPER(Planung!W12)="H",$C12/2,0)))))))</f>
        <v>0</v>
      </c>
      <c r="X12" s="27">
        <f>IF($A12="",0,IF(Mitarbeiter!$G$10=FALSE,0,IF(AND(Mitarbeiter!$E$10&lt;&gt;"",X$5+6&lt;Mitarbeiter!$E$10),0,IF(AND(Mitarbeiter!$F$10&lt;&gt;"",X$5&gt;Mitarbeiter!$F$10),0,IF(Planung!X12="",$C12,IF(ISNUMBER(Planung!X12),Planung!X12,IF(UPPER(Planung!X12)="H",$C12/2,0)))))))</f>
        <v>0</v>
      </c>
      <c r="Y12" s="27">
        <f>IF($A12="",0,IF(Mitarbeiter!$G$10=FALSE,0,IF(AND(Mitarbeiter!$E$10&lt;&gt;"",Y$5+6&lt;Mitarbeiter!$E$10),0,IF(AND(Mitarbeiter!$F$10&lt;&gt;"",Y$5&gt;Mitarbeiter!$F$10),0,IF(Planung!Y12="",$C12,IF(ISNUMBER(Planung!Y12),Planung!Y12,IF(UPPER(Planung!Y12)="H",$C12/2,0)))))))</f>
        <v>0</v>
      </c>
      <c r="Z12" s="27">
        <f>IF($A12="",0,IF(Mitarbeiter!$G$10=FALSE,0,IF(AND(Mitarbeiter!$E$10&lt;&gt;"",Z$5+6&lt;Mitarbeiter!$E$10),0,IF(AND(Mitarbeiter!$F$10&lt;&gt;"",Z$5&gt;Mitarbeiter!$F$10),0,IF(Planung!Z12="",$C12,IF(ISNUMBER(Planung!Z12),Planung!Z12,IF(UPPER(Planung!Z12)="H",$C12/2,0)))))))</f>
        <v>0</v>
      </c>
      <c r="AA12" s="27">
        <f>IF($A12="",0,IF(Mitarbeiter!$G$10=FALSE,0,IF(AND(Mitarbeiter!$E$10&lt;&gt;"",AA$5+6&lt;Mitarbeiter!$E$10),0,IF(AND(Mitarbeiter!$F$10&lt;&gt;"",AA$5&gt;Mitarbeiter!$F$10),0,IF(Planung!AA12="",$C12,IF(ISNUMBER(Planung!AA12),Planung!AA12,IF(UPPER(Planung!AA12)="H",$C12/2,0)))))))</f>
        <v>0</v>
      </c>
      <c r="AB12" s="27">
        <f>IF($A12="",0,IF(Mitarbeiter!$G$10=FALSE,0,IF(AND(Mitarbeiter!$E$10&lt;&gt;"",AB$5+6&lt;Mitarbeiter!$E$10),0,IF(AND(Mitarbeiter!$F$10&lt;&gt;"",AB$5&gt;Mitarbeiter!$F$10),0,IF(Planung!AB12="",$C12,IF(ISNUMBER(Planung!AB12),Planung!AB12,IF(UPPER(Planung!AB12)="H",$C12/2,0)))))))</f>
        <v>0</v>
      </c>
      <c r="AC12" s="27">
        <f>IF($A12="",0,IF(Mitarbeiter!$G$10=FALSE,0,IF(AND(Mitarbeiter!$E$10&lt;&gt;"",AC$5+6&lt;Mitarbeiter!$E$10),0,IF(AND(Mitarbeiter!$F$10&lt;&gt;"",AC$5&gt;Mitarbeiter!$F$10),0,IF(Planung!AC12="",$C12,IF(ISNUMBER(Planung!AC12),Planung!AC12,IF(UPPER(Planung!AC12)="H",$C12/2,0)))))))</f>
        <v>0</v>
      </c>
      <c r="AD12" s="27">
        <f>IF($A12="",0,IF(Mitarbeiter!$G$10=FALSE,0,IF(AND(Mitarbeiter!$E$10&lt;&gt;"",AD$5+6&lt;Mitarbeiter!$E$10),0,IF(AND(Mitarbeiter!$F$10&lt;&gt;"",AD$5&gt;Mitarbeiter!$F$10),0,IF(Planung!AD12="",$C12,IF(ISNUMBER(Planung!AD12),Planung!AD12,IF(UPPER(Planung!AD12)="H",$C12/2,0)))))))</f>
        <v>0</v>
      </c>
      <c r="AE12" s="27">
        <f>IF($A12="",0,IF(Mitarbeiter!$G$10=FALSE,0,IF(AND(Mitarbeiter!$E$10&lt;&gt;"",AE$5+6&lt;Mitarbeiter!$E$10),0,IF(AND(Mitarbeiter!$F$10&lt;&gt;"",AE$5&gt;Mitarbeiter!$F$10),0,IF(Planung!AE12="",$C12,IF(ISNUMBER(Planung!AE12),Planung!AE12,IF(UPPER(Planung!AE12)="H",$C12/2,0)))))))</f>
        <v>0</v>
      </c>
      <c r="AF12" s="27">
        <f>IF($A12="",0,IF(Mitarbeiter!$G$10=FALSE,0,IF(AND(Mitarbeiter!$E$10&lt;&gt;"",AF$5+6&lt;Mitarbeiter!$E$10),0,IF(AND(Mitarbeiter!$F$10&lt;&gt;"",AF$5&gt;Mitarbeiter!$F$10),0,IF(Planung!AF12="",$C12,IF(ISNUMBER(Planung!AF12),Planung!AF12,IF(UPPER(Planung!AF12)="H",$C12/2,0)))))))</f>
        <v>0</v>
      </c>
      <c r="AG12" s="27">
        <f>IF($A12="",0,IF(Mitarbeiter!$G$10=FALSE,0,IF(AND(Mitarbeiter!$E$10&lt;&gt;"",AG$5+6&lt;Mitarbeiter!$E$10),0,IF(AND(Mitarbeiter!$F$10&lt;&gt;"",AG$5&gt;Mitarbeiter!$F$10),0,IF(Planung!AG12="",$C12,IF(ISNUMBER(Planung!AG12),Planung!AG12,IF(UPPER(Planung!AG12)="H",$C12/2,0)))))))</f>
        <v>0</v>
      </c>
      <c r="AH12" s="27">
        <f>IF($A12="",0,IF(Mitarbeiter!$G$10=FALSE,0,IF(AND(Mitarbeiter!$E$10&lt;&gt;"",AH$5+6&lt;Mitarbeiter!$E$10),0,IF(AND(Mitarbeiter!$F$10&lt;&gt;"",AH$5&gt;Mitarbeiter!$F$10),0,IF(Planung!AH12="",$C12,IF(ISNUMBER(Planung!AH12),Planung!AH12,IF(UPPER(Planung!AH12)="H",$C12/2,0)))))))</f>
        <v>0</v>
      </c>
      <c r="AI12" s="27">
        <f>IF($A12="",0,IF(Mitarbeiter!$G$10=FALSE,0,IF(AND(Mitarbeiter!$E$10&lt;&gt;"",AI$5+6&lt;Mitarbeiter!$E$10),0,IF(AND(Mitarbeiter!$F$10&lt;&gt;"",AI$5&gt;Mitarbeiter!$F$10),0,IF(Planung!AI12="",$C12,IF(ISNUMBER(Planung!AI12),Planung!AI12,IF(UPPER(Planung!AI12)="H",$C12/2,0)))))))</f>
        <v>0</v>
      </c>
      <c r="AJ12" s="27">
        <f>IF($A12="",0,IF(Mitarbeiter!$G$10=FALSE,0,IF(AND(Mitarbeiter!$E$10&lt;&gt;"",AJ$5+6&lt;Mitarbeiter!$E$10),0,IF(AND(Mitarbeiter!$F$10&lt;&gt;"",AJ$5&gt;Mitarbeiter!$F$10),0,IF(Planung!AJ12="",$C12,IF(ISNUMBER(Planung!AJ12),Planung!AJ12,IF(UPPER(Planung!AJ12)="H",$C12/2,0)))))))</f>
        <v>0</v>
      </c>
      <c r="AK12" s="27">
        <f>IF($A12="",0,IF(Mitarbeiter!$G$10=FALSE,0,IF(AND(Mitarbeiter!$E$10&lt;&gt;"",AK$5+6&lt;Mitarbeiter!$E$10),0,IF(AND(Mitarbeiter!$F$10&lt;&gt;"",AK$5&gt;Mitarbeiter!$F$10),0,IF(Planung!AK12="",$C12,IF(ISNUMBER(Planung!AK12),Planung!AK12,IF(UPPER(Planung!AK12)="H",$C12/2,0)))))))</f>
        <v>0</v>
      </c>
      <c r="AL12" s="27">
        <f>IF($A12="",0,IF(Mitarbeiter!$G$10=FALSE,0,IF(AND(Mitarbeiter!$E$10&lt;&gt;"",AL$5+6&lt;Mitarbeiter!$E$10),0,IF(AND(Mitarbeiter!$F$10&lt;&gt;"",AL$5&gt;Mitarbeiter!$F$10),0,IF(Planung!AL12="",$C12,IF(ISNUMBER(Planung!AL12),Planung!AL12,IF(UPPER(Planung!AL12)="H",$C12/2,0)))))))</f>
        <v>0</v>
      </c>
      <c r="AM12" s="27">
        <f>IF($A12="",0,IF(Mitarbeiter!$G$10=FALSE,0,IF(AND(Mitarbeiter!$E$10&lt;&gt;"",AM$5+6&lt;Mitarbeiter!$E$10),0,IF(AND(Mitarbeiter!$F$10&lt;&gt;"",AM$5&gt;Mitarbeiter!$F$10),0,IF(Planung!AM12="",$C12,IF(ISNUMBER(Planung!AM12),Planung!AM12,IF(UPPER(Planung!AM12)="H",$C12/2,0)))))))</f>
        <v>0</v>
      </c>
      <c r="AN12" s="27">
        <f>IF($A12="",0,IF(Mitarbeiter!$G$10=FALSE,0,IF(AND(Mitarbeiter!$E$10&lt;&gt;"",AN$5+6&lt;Mitarbeiter!$E$10),0,IF(AND(Mitarbeiter!$F$10&lt;&gt;"",AN$5&gt;Mitarbeiter!$F$10),0,IF(Planung!AN12="",$C12,IF(ISNUMBER(Planung!AN12),Planung!AN12,IF(UPPER(Planung!AN12)="H",$C12/2,0)))))))</f>
        <v>0</v>
      </c>
      <c r="AO12" s="27">
        <f>IF($A12="",0,IF(Mitarbeiter!$G$10=FALSE,0,IF(AND(Mitarbeiter!$E$10&lt;&gt;"",AO$5+6&lt;Mitarbeiter!$E$10),0,IF(AND(Mitarbeiter!$F$10&lt;&gt;"",AO$5&gt;Mitarbeiter!$F$10),0,IF(Planung!AO12="",$C12,IF(ISNUMBER(Planung!AO12),Planung!AO12,IF(UPPER(Planung!AO12)="H",$C12/2,0)))))))</f>
        <v>0</v>
      </c>
      <c r="AP12" s="27">
        <f>IF($A12="",0,IF(Mitarbeiter!$G$10=FALSE,0,IF(AND(Mitarbeiter!$E$10&lt;&gt;"",AP$5+6&lt;Mitarbeiter!$E$10),0,IF(AND(Mitarbeiter!$F$10&lt;&gt;"",AP$5&gt;Mitarbeiter!$F$10),0,IF(Planung!AP12="",$C12,IF(ISNUMBER(Planung!AP12),Planung!AP12,IF(UPPER(Planung!AP12)="H",$C12/2,0)))))))</f>
        <v>0</v>
      </c>
      <c r="AQ12" s="27">
        <f>IF($A12="",0,IF(Mitarbeiter!$G$10=FALSE,0,IF(AND(Mitarbeiter!$E$10&lt;&gt;"",AQ$5+6&lt;Mitarbeiter!$E$10),0,IF(AND(Mitarbeiter!$F$10&lt;&gt;"",AQ$5&gt;Mitarbeiter!$F$10),0,IF(Planung!AQ12="",$C12,IF(ISNUMBER(Planung!AQ12),Planung!AQ12,IF(UPPER(Planung!AQ12)="H",$C12/2,0)))))))</f>
        <v>0</v>
      </c>
      <c r="AR12" s="27">
        <f>IF($A12="",0,IF(Mitarbeiter!$G$10=FALSE,0,IF(AND(Mitarbeiter!$E$10&lt;&gt;"",AR$5+6&lt;Mitarbeiter!$E$10),0,IF(AND(Mitarbeiter!$F$10&lt;&gt;"",AR$5&gt;Mitarbeiter!$F$10),0,IF(Planung!AR12="",$C12,IF(ISNUMBER(Planung!AR12),Planung!AR12,IF(UPPER(Planung!AR12)="H",$C12/2,0)))))))</f>
        <v>0</v>
      </c>
      <c r="AS12" s="27">
        <f>IF($A12="",0,IF(Mitarbeiter!$G$10=FALSE,0,IF(AND(Mitarbeiter!$E$10&lt;&gt;"",AS$5+6&lt;Mitarbeiter!$E$10),0,IF(AND(Mitarbeiter!$F$10&lt;&gt;"",AS$5&gt;Mitarbeiter!$F$10),0,IF(Planung!AS12="",$C12,IF(ISNUMBER(Planung!AS12),Planung!AS12,IF(UPPER(Planung!AS12)="H",$C12/2,0)))))))</f>
        <v>0</v>
      </c>
      <c r="AT12" s="27">
        <f>IF($A12="",0,IF(Mitarbeiter!$G$10=FALSE,0,IF(AND(Mitarbeiter!$E$10&lt;&gt;"",AT$5+6&lt;Mitarbeiter!$E$10),0,IF(AND(Mitarbeiter!$F$10&lt;&gt;"",AT$5&gt;Mitarbeiter!$F$10),0,IF(Planung!AT12="",$C12,IF(ISNUMBER(Planung!AT12),Planung!AT12,IF(UPPER(Planung!AT12)="H",$C12/2,0)))))))</f>
        <v>0</v>
      </c>
      <c r="AU12" s="27">
        <f>IF($A12="",0,IF(Mitarbeiter!$G$10=FALSE,0,IF(AND(Mitarbeiter!$E$10&lt;&gt;"",AU$5+6&lt;Mitarbeiter!$E$10),0,IF(AND(Mitarbeiter!$F$10&lt;&gt;"",AU$5&gt;Mitarbeiter!$F$10),0,IF(Planung!AU12="",$C12,IF(ISNUMBER(Planung!AU12),Planung!AU12,IF(UPPER(Planung!AU12)="H",$C12/2,0)))))))</f>
        <v>0</v>
      </c>
      <c r="AV12" s="27">
        <f>IF($A12="",0,IF(Mitarbeiter!$G$10=FALSE,0,IF(AND(Mitarbeiter!$E$10&lt;&gt;"",AV$5+6&lt;Mitarbeiter!$E$10),0,IF(AND(Mitarbeiter!$F$10&lt;&gt;"",AV$5&gt;Mitarbeiter!$F$10),0,IF(Planung!AV12="",$C12,IF(ISNUMBER(Planung!AV12),Planung!AV12,IF(UPPER(Planung!AV12)="H",$C12/2,0)))))))</f>
        <v>0</v>
      </c>
      <c r="AW12" s="27">
        <f>IF($A12="",0,IF(Mitarbeiter!$G$10=FALSE,0,IF(AND(Mitarbeiter!$E$10&lt;&gt;"",AW$5+6&lt;Mitarbeiter!$E$10),0,IF(AND(Mitarbeiter!$F$10&lt;&gt;"",AW$5&gt;Mitarbeiter!$F$10),0,IF(Planung!AW12="",$C12,IF(ISNUMBER(Planung!AW12),Planung!AW12,IF(UPPER(Planung!AW12)="H",$C12/2,0)))))))</f>
        <v>0</v>
      </c>
      <c r="AX12" s="27">
        <f>IF($A12="",0,IF(Mitarbeiter!$G$10=FALSE,0,IF(AND(Mitarbeiter!$E$10&lt;&gt;"",AX$5+6&lt;Mitarbeiter!$E$10),0,IF(AND(Mitarbeiter!$F$10&lt;&gt;"",AX$5&gt;Mitarbeiter!$F$10),0,IF(Planung!AX12="",$C12,IF(ISNUMBER(Planung!AX12),Planung!AX12,IF(UPPER(Planung!AX12)="H",$C12/2,0)))))))</f>
        <v>0</v>
      </c>
      <c r="AY12" s="27">
        <f>IF($A12="",0,IF(Mitarbeiter!$G$10=FALSE,0,IF(AND(Mitarbeiter!$E$10&lt;&gt;"",AY$5+6&lt;Mitarbeiter!$E$10),0,IF(AND(Mitarbeiter!$F$10&lt;&gt;"",AY$5&gt;Mitarbeiter!$F$10),0,IF(Planung!AY12="",$C12,IF(ISNUMBER(Planung!AY12),Planung!AY12,IF(UPPER(Planung!AY12)="H",$C12/2,0)))))))</f>
        <v>0</v>
      </c>
      <c r="AZ12" s="27">
        <f>IF($A12="",0,IF(Mitarbeiter!$G$10=FALSE,0,IF(AND(Mitarbeiter!$E$10&lt;&gt;"",AZ$5+6&lt;Mitarbeiter!$E$10),0,IF(AND(Mitarbeiter!$F$10&lt;&gt;"",AZ$5&gt;Mitarbeiter!$F$10),0,IF(Planung!AZ12="",$C12,IF(ISNUMBER(Planung!AZ12),Planung!AZ12,IF(UPPER(Planung!AZ12)="H",$C12/2,0)))))))</f>
        <v>0</v>
      </c>
      <c r="BA12" s="27">
        <f>IF($A12="",0,IF(Mitarbeiter!$G$10=FALSE,0,IF(AND(Mitarbeiter!$E$10&lt;&gt;"",BA$5+6&lt;Mitarbeiter!$E$10),0,IF(AND(Mitarbeiter!$F$10&lt;&gt;"",BA$5&gt;Mitarbeiter!$F$10),0,IF(Planung!BA12="",$C12,IF(ISNUMBER(Planung!BA12),Planung!BA12,IF(UPPER(Planung!BA12)="H",$C12/2,0)))))))</f>
        <v>0</v>
      </c>
      <c r="BB12" s="27">
        <f>IF($A12="",0,IF(Mitarbeiter!$G$10=FALSE,0,IF(AND(Mitarbeiter!$E$10&lt;&gt;"",BB$5+6&lt;Mitarbeiter!$E$10),0,IF(AND(Mitarbeiter!$F$10&lt;&gt;"",BB$5&gt;Mitarbeiter!$F$10),0,IF(Planung!BB12="",$C12,IF(ISNUMBER(Planung!BB12),Planung!BB12,IF(UPPER(Planung!BB12)="H",$C12/2,0)))))))</f>
        <v>0</v>
      </c>
      <c r="BC12" s="27">
        <f>IF($A12="",0,IF(Mitarbeiter!$G$10=FALSE,0,IF(AND(Mitarbeiter!$E$10&lt;&gt;"",BC$5+6&lt;Mitarbeiter!$E$10),0,IF(AND(Mitarbeiter!$F$10&lt;&gt;"",BC$5&gt;Mitarbeiter!$F$10),0,IF(Planung!BC12="",$C12,IF(ISNUMBER(Planung!BC12),Planung!BC12,IF(UPPER(Planung!BC12)="H",$C12/2,0)))))))</f>
        <v>0</v>
      </c>
      <c r="BD12" s="27">
        <f>IF($A12="",0,IF(Mitarbeiter!$G$10=FALSE,0,IF(AND(Mitarbeiter!$E$10&lt;&gt;"",BD$5+6&lt;Mitarbeiter!$E$10),0,IF(AND(Mitarbeiter!$F$10&lt;&gt;"",BD$5&gt;Mitarbeiter!$F$10),0,IF(Planung!BD12="",$C12,IF(ISNUMBER(Planung!BD12),Planung!BD12,IF(UPPER(Planung!BD12)="H",$C12/2,0)))))))</f>
        <v>0</v>
      </c>
      <c r="BE12" s="27">
        <f>IF($A12="",0,IF(Mitarbeiter!$G$10=FALSE,0,IF(AND(Mitarbeiter!$E$10&lt;&gt;"",BE$5+6&lt;Mitarbeiter!$E$10),0,IF(AND(Mitarbeiter!$F$10&lt;&gt;"",BE$5&gt;Mitarbeiter!$F$10),0,IF(Planung!BE12="",$C12,IF(ISNUMBER(Planung!BE12),Planung!BE12,IF(UPPER(Planung!BE12)="H",$C12/2,0)))))))</f>
        <v>0</v>
      </c>
      <c r="BF12" s="27">
        <f>IF($A12="",0,IF(Mitarbeiter!$G$10=FALSE,0,IF(AND(Mitarbeiter!$E$10&lt;&gt;"",BF$5+6&lt;Mitarbeiter!$E$10),0,IF(AND(Mitarbeiter!$F$10&lt;&gt;"",BF$5&gt;Mitarbeiter!$F$10),0,IF(Planung!BF12="",$C12,IF(ISNUMBER(Planung!BF12),Planung!BF12,IF(UPPER(Planung!BF12)="H",$C12/2,0)))))))</f>
        <v>0</v>
      </c>
      <c r="BG12" s="27">
        <f>IF($A12="",0,IF(Mitarbeiter!$G$10=FALSE,0,IF(AND(Mitarbeiter!$E$10&lt;&gt;"",BG$5+6&lt;Mitarbeiter!$E$10),0,IF(AND(Mitarbeiter!$F$10&lt;&gt;"",BG$5&gt;Mitarbeiter!$F$10),0,IF(Planung!BG12="",$C12,IF(ISNUMBER(Planung!BG12),Planung!BG12,IF(UPPER(Planung!BG12)="H",$C12/2,0)))))))</f>
        <v>0</v>
      </c>
      <c r="BH12" s="27">
        <f>IF($A12="",0,IF(Mitarbeiter!$G$10=FALSE,0,IF(AND(Mitarbeiter!$E$10&lt;&gt;"",BH$5+6&lt;Mitarbeiter!$E$10),0,IF(AND(Mitarbeiter!$F$10&lt;&gt;"",BH$5&gt;Mitarbeiter!$F$10),0,IF(Planung!BH12="",$C12,IF(ISNUMBER(Planung!BH12),Planung!BH12,IF(UPPER(Planung!BH12)="H",$C12/2,0)))))))</f>
        <v>0</v>
      </c>
      <c r="BI12" s="27">
        <f>IF($A12="",0,IF(Mitarbeiter!$G$10=FALSE,0,IF(AND(Mitarbeiter!$E$10&lt;&gt;"",BI$5+6&lt;Mitarbeiter!$E$10),0,IF(AND(Mitarbeiter!$F$10&lt;&gt;"",BI$5&gt;Mitarbeiter!$F$10),0,IF(Planung!BI12="",$C12,IF(ISNUMBER(Planung!BI12),Planung!BI12,IF(UPPER(Planung!BI12)="H",$C12/2,0)))))))</f>
        <v>0</v>
      </c>
      <c r="BJ12" s="27">
        <f>IF($A12="",0,IF(Mitarbeiter!$G$10=FALSE,0,IF(AND(Mitarbeiter!$E$10&lt;&gt;"",BJ$5+6&lt;Mitarbeiter!$E$10),0,IF(AND(Mitarbeiter!$F$10&lt;&gt;"",BJ$5&gt;Mitarbeiter!$F$10),0,IF(Planung!BJ12="",$C12,IF(ISNUMBER(Planung!BJ12),Planung!BJ12,IF(UPPER(Planung!BJ12)="H",$C12/2,0)))))))</f>
        <v>0</v>
      </c>
      <c r="BK12" s="27">
        <f>IF($A12="",0,IF(Mitarbeiter!$G$10=FALSE,0,IF(AND(Mitarbeiter!$E$10&lt;&gt;"",BK$5+6&lt;Mitarbeiter!$E$10),0,IF(AND(Mitarbeiter!$F$10&lt;&gt;"",BK$5&gt;Mitarbeiter!$F$10),0,IF(Planung!BK12="",$C12,IF(ISNUMBER(Planung!BK12),Planung!BK12,IF(UPPER(Planung!BK12)="H",$C12/2,0)))))))</f>
        <v>0</v>
      </c>
      <c r="BL12" s="27">
        <f>IF($A12="",0,IF(Mitarbeiter!$G$10=FALSE,0,IF(AND(Mitarbeiter!$E$10&lt;&gt;"",BL$5+6&lt;Mitarbeiter!$E$10),0,IF(AND(Mitarbeiter!$F$10&lt;&gt;"",BL$5&gt;Mitarbeiter!$F$10),0,IF(Planung!BL12="",$C12,IF(ISNUMBER(Planung!BL12),Planung!BL12,IF(UPPER(Planung!BL12)="H",$C12/2,0)))))))</f>
        <v>0</v>
      </c>
      <c r="BM12" s="27">
        <f>IF($A12="",0,IF(Mitarbeiter!$G$10=FALSE,0,IF(AND(Mitarbeiter!$E$10&lt;&gt;"",BM$5+6&lt;Mitarbeiter!$E$10),0,IF(AND(Mitarbeiter!$F$10&lt;&gt;"",BM$5&gt;Mitarbeiter!$F$10),0,IF(Planung!BM12="",$C12,IF(ISNUMBER(Planung!BM12),Planung!BM12,IF(UPPER(Planung!BM12)="H",$C12/2,0)))))))</f>
        <v>0</v>
      </c>
      <c r="BN12" s="27">
        <f>IF($A12="",0,IF(Mitarbeiter!$G$10=FALSE,0,IF(AND(Mitarbeiter!$E$10&lt;&gt;"",BN$5+6&lt;Mitarbeiter!$E$10),0,IF(AND(Mitarbeiter!$F$10&lt;&gt;"",BN$5&gt;Mitarbeiter!$F$10),0,IF(Planung!BN12="",$C12,IF(ISNUMBER(Planung!BN12),Planung!BN12,IF(UPPER(Planung!BN12)="H",$C12/2,0)))))))</f>
        <v>0</v>
      </c>
      <c r="BO12" s="27">
        <f>IF($A12="",0,IF(Mitarbeiter!$G$10=FALSE,0,IF(AND(Mitarbeiter!$E$10&lt;&gt;"",BO$5+6&lt;Mitarbeiter!$E$10),0,IF(AND(Mitarbeiter!$F$10&lt;&gt;"",BO$5&gt;Mitarbeiter!$F$10),0,IF(Planung!BO12="",$C12,IF(ISNUMBER(Planung!BO12),Planung!BO12,IF(UPPER(Planung!BO12)="H",$C12/2,0)))))))</f>
        <v>0</v>
      </c>
      <c r="BP12" s="27">
        <f>IF($A12="",0,IF(Mitarbeiter!$G$10=FALSE,0,IF(AND(Mitarbeiter!$E$10&lt;&gt;"",BP$5+6&lt;Mitarbeiter!$E$10),0,IF(AND(Mitarbeiter!$F$10&lt;&gt;"",BP$5&gt;Mitarbeiter!$F$10),0,IF(Planung!BP12="",$C12,IF(ISNUMBER(Planung!BP12),Planung!BP12,IF(UPPER(Planung!BP12)="H",$C12/2,0)))))))</f>
        <v>0</v>
      </c>
      <c r="BQ12" s="27">
        <f>IF($A12="",0,IF(Mitarbeiter!$G$10=FALSE,0,IF(AND(Mitarbeiter!$E$10&lt;&gt;"",BQ$5+6&lt;Mitarbeiter!$E$10),0,IF(AND(Mitarbeiter!$F$10&lt;&gt;"",BQ$5&gt;Mitarbeiter!$F$10),0,IF(Planung!BQ12="",$C12,IF(ISNUMBER(Planung!BQ12),Planung!BQ12,IF(UPPER(Planung!BQ12)="H",$C12/2,0)))))))</f>
        <v>0</v>
      </c>
      <c r="BR12" s="27">
        <f>IF($A12="",0,IF(Mitarbeiter!$G$10=FALSE,0,IF(AND(Mitarbeiter!$E$10&lt;&gt;"",BR$5+6&lt;Mitarbeiter!$E$10),0,IF(AND(Mitarbeiter!$F$10&lt;&gt;"",BR$5&gt;Mitarbeiter!$F$10),0,IF(Planung!BR12="",$C12,IF(ISNUMBER(Planung!BR12),Planung!BR12,IF(UPPER(Planung!BR12)="H",$C12/2,0)))))))</f>
        <v>0</v>
      </c>
      <c r="BS12" s="27">
        <f>IF($A12="",0,IF(Mitarbeiter!$G$10=FALSE,0,IF(AND(Mitarbeiter!$E$10&lt;&gt;"",BS$5+6&lt;Mitarbeiter!$E$10),0,IF(AND(Mitarbeiter!$F$10&lt;&gt;"",BS$5&gt;Mitarbeiter!$F$10),0,IF(Planung!BS12="",$C12,IF(ISNUMBER(Planung!BS12),Planung!BS12,IF(UPPER(Planung!BS12)="H",$C12/2,0)))))))</f>
        <v>0</v>
      </c>
      <c r="BT12" s="27">
        <f>IF($A12="",0,IF(Mitarbeiter!$G$10=FALSE,0,IF(AND(Mitarbeiter!$E$10&lt;&gt;"",BT$5+6&lt;Mitarbeiter!$E$10),0,IF(AND(Mitarbeiter!$F$10&lt;&gt;"",BT$5&gt;Mitarbeiter!$F$10),0,IF(Planung!BT12="",$C12,IF(ISNUMBER(Planung!BT12),Planung!BT12,IF(UPPER(Planung!BT12)="H",$C12/2,0)))))))</f>
        <v>0</v>
      </c>
      <c r="BU12" s="27">
        <f>IF($A12="",0,IF(Mitarbeiter!$G$10=FALSE,0,IF(AND(Mitarbeiter!$E$10&lt;&gt;"",BU$5+6&lt;Mitarbeiter!$E$10),0,IF(AND(Mitarbeiter!$F$10&lt;&gt;"",BU$5&gt;Mitarbeiter!$F$10),0,IF(Planung!BU12="",$C12,IF(ISNUMBER(Planung!BU12),Planung!BU12,IF(UPPER(Planung!BU12)="H",$C12/2,0)))))))</f>
        <v>0</v>
      </c>
      <c r="BV12" s="27">
        <f>IF($A12="",0,IF(Mitarbeiter!$G$10=FALSE,0,IF(AND(Mitarbeiter!$E$10&lt;&gt;"",BV$5+6&lt;Mitarbeiter!$E$10),0,IF(AND(Mitarbeiter!$F$10&lt;&gt;"",BV$5&gt;Mitarbeiter!$F$10),0,IF(Planung!BV12="",$C12,IF(ISNUMBER(Planung!BV12),Planung!BV12,IF(UPPER(Planung!BV12)="H",$C12/2,0)))))))</f>
        <v>0</v>
      </c>
      <c r="BW12" s="27">
        <f>IF($A12="",0,IF(Mitarbeiter!$G$10=FALSE,0,IF(AND(Mitarbeiter!$E$10&lt;&gt;"",BW$5+6&lt;Mitarbeiter!$E$10),0,IF(AND(Mitarbeiter!$F$10&lt;&gt;"",BW$5&gt;Mitarbeiter!$F$10),0,IF(Planung!BW12="",$C12,IF(ISNUMBER(Planung!BW12),Planung!BW12,IF(UPPER(Planung!BW12)="H",$C12/2,0)))))))</f>
        <v>0</v>
      </c>
      <c r="BX12" s="27">
        <f>IF($A12="",0,IF(Mitarbeiter!$G$10=FALSE,0,IF(AND(Mitarbeiter!$E$10&lt;&gt;"",BX$5+6&lt;Mitarbeiter!$E$10),0,IF(AND(Mitarbeiter!$F$10&lt;&gt;"",BX$5&gt;Mitarbeiter!$F$10),0,IF(Planung!BX12="",$C12,IF(ISNUMBER(Planung!BX12),Planung!BX12,IF(UPPER(Planung!BX12)="H",$C12/2,0)))))))</f>
        <v>0</v>
      </c>
      <c r="BY12" s="27">
        <f>IF($A12="",0,IF(Mitarbeiter!$G$10=FALSE,0,IF(AND(Mitarbeiter!$E$10&lt;&gt;"",BY$5+6&lt;Mitarbeiter!$E$10),0,IF(AND(Mitarbeiter!$F$10&lt;&gt;"",BY$5&gt;Mitarbeiter!$F$10),0,IF(Planung!BY12="",$C12,IF(ISNUMBER(Planung!BY12),Planung!BY12,IF(UPPER(Planung!BY12)="H",$C12/2,0)))))))</f>
        <v>0</v>
      </c>
      <c r="BZ12" s="27">
        <f>IF($A12="",0,IF(Mitarbeiter!$G$10=FALSE,0,IF(AND(Mitarbeiter!$E$10&lt;&gt;"",BZ$5+6&lt;Mitarbeiter!$E$10),0,IF(AND(Mitarbeiter!$F$10&lt;&gt;"",BZ$5&gt;Mitarbeiter!$F$10),0,IF(Planung!BZ12="",$C12,IF(ISNUMBER(Planung!BZ12),Planung!BZ12,IF(UPPER(Planung!BZ12)="H",$C12/2,0)))))))</f>
        <v>0</v>
      </c>
      <c r="CA12" s="27">
        <f>IF($A12="",0,IF(Mitarbeiter!$G$10=FALSE,0,IF(AND(Mitarbeiter!$E$10&lt;&gt;"",CA$5+6&lt;Mitarbeiter!$E$10),0,IF(AND(Mitarbeiter!$F$10&lt;&gt;"",CA$5&gt;Mitarbeiter!$F$10),0,IF(Planung!CA12="",$C12,IF(ISNUMBER(Planung!CA12),Planung!CA12,IF(UPPER(Planung!CA12)="H",$C12/2,0)))))))</f>
        <v>0</v>
      </c>
      <c r="CB12" s="27">
        <f>IF($A12="",0,IF(Mitarbeiter!$G$10=FALSE,0,IF(AND(Mitarbeiter!$E$10&lt;&gt;"",CB$5+6&lt;Mitarbeiter!$E$10),0,IF(AND(Mitarbeiter!$F$10&lt;&gt;"",CB$5&gt;Mitarbeiter!$F$10),0,IF(Planung!CB12="",$C12,IF(ISNUMBER(Planung!CB12),Planung!CB12,IF(UPPER(Planung!CB12)="H",$C12/2,0)))))))</f>
        <v>0</v>
      </c>
      <c r="CC12" s="27">
        <f>IF($A12="",0,IF(Mitarbeiter!$G$10=FALSE,0,IF(AND(Mitarbeiter!$E$10&lt;&gt;"",CC$5+6&lt;Mitarbeiter!$E$10),0,IF(AND(Mitarbeiter!$F$10&lt;&gt;"",CC$5&gt;Mitarbeiter!$F$10),0,IF(Planung!CC12="",$C12,IF(ISNUMBER(Planung!CC12),Planung!CC12,IF(UPPER(Planung!CC12)="H",$C12/2,0)))))))</f>
        <v>0</v>
      </c>
      <c r="CD12" s="27">
        <f>IF($A12="",0,IF(Mitarbeiter!$G$10=FALSE,0,IF(AND(Mitarbeiter!$E$10&lt;&gt;"",CD$5+6&lt;Mitarbeiter!$E$10),0,IF(AND(Mitarbeiter!$F$10&lt;&gt;"",CD$5&gt;Mitarbeiter!$F$10),0,IF(Planung!CD12="",$C12,IF(ISNUMBER(Planung!CD12),Planung!CD12,IF(UPPER(Planung!CD12)="H",$C12/2,0)))))))</f>
        <v>0</v>
      </c>
      <c r="CE12" s="27">
        <f>IF($A12="",0,IF(Mitarbeiter!$G$10=FALSE,0,IF(AND(Mitarbeiter!$E$10&lt;&gt;"",CE$5+6&lt;Mitarbeiter!$E$10),0,IF(AND(Mitarbeiter!$F$10&lt;&gt;"",CE$5&gt;Mitarbeiter!$F$10),0,IF(Planung!CE12="",$C12,IF(ISNUMBER(Planung!CE12),Planung!CE12,IF(UPPER(Planung!CE12)="H",$C12/2,0)))))))</f>
        <v>0</v>
      </c>
      <c r="CF12" s="27">
        <f>IF($A12="",0,IF(Mitarbeiter!$G$10=FALSE,0,IF(AND(Mitarbeiter!$E$10&lt;&gt;"",CF$5+6&lt;Mitarbeiter!$E$10),0,IF(AND(Mitarbeiter!$F$10&lt;&gt;"",CF$5&gt;Mitarbeiter!$F$10),0,IF(Planung!CF12="",$C12,IF(ISNUMBER(Planung!CF12),Planung!CF12,IF(UPPER(Planung!CF12)="H",$C12/2,0)))))))</f>
        <v>0</v>
      </c>
      <c r="CG12" s="27">
        <f>IF($A12="",0,IF(Mitarbeiter!$G$10=FALSE,0,IF(AND(Mitarbeiter!$E$10&lt;&gt;"",CG$5+6&lt;Mitarbeiter!$E$10),0,IF(AND(Mitarbeiter!$F$10&lt;&gt;"",CG$5&gt;Mitarbeiter!$F$10),0,IF(Planung!CG12="",$C12,IF(ISNUMBER(Planung!CG12),Planung!CG12,IF(UPPER(Planung!CG12)="H",$C12/2,0)))))))</f>
        <v>0</v>
      </c>
      <c r="CH12" s="27">
        <f>IF($A12="",0,IF(Mitarbeiter!$G$10=FALSE,0,IF(AND(Mitarbeiter!$E$10&lt;&gt;"",CH$5+6&lt;Mitarbeiter!$E$10),0,IF(AND(Mitarbeiter!$F$10&lt;&gt;"",CH$5&gt;Mitarbeiter!$F$10),0,IF(Planung!CH12="",$C12,IF(ISNUMBER(Planung!CH12),Planung!CH12,IF(UPPER(Planung!CH12)="H",$C12/2,0)))))))</f>
        <v>0</v>
      </c>
      <c r="CI12" s="27">
        <f>IF($A12="",0,IF(Mitarbeiter!$G$10=FALSE,0,IF(AND(Mitarbeiter!$E$10&lt;&gt;"",CI$5+6&lt;Mitarbeiter!$E$10),0,IF(AND(Mitarbeiter!$F$10&lt;&gt;"",CI$5&gt;Mitarbeiter!$F$10),0,IF(Planung!CI12="",$C12,IF(ISNUMBER(Planung!CI12),Planung!CI12,IF(UPPER(Planung!CI12)="H",$C12/2,0)))))))</f>
        <v>0</v>
      </c>
      <c r="CJ12" s="27">
        <f>IF($A12="",0,IF(Mitarbeiter!$G$10=FALSE,0,IF(AND(Mitarbeiter!$E$10&lt;&gt;"",CJ$5+6&lt;Mitarbeiter!$E$10),0,IF(AND(Mitarbeiter!$F$10&lt;&gt;"",CJ$5&gt;Mitarbeiter!$F$10),0,IF(Planung!CJ12="",$C12,IF(ISNUMBER(Planung!CJ12),Planung!CJ12,IF(UPPER(Planung!CJ12)="H",$C12/2,0)))))))</f>
        <v>0</v>
      </c>
      <c r="CK12" s="27">
        <f>IF($A12="",0,IF(Mitarbeiter!$G$10=FALSE,0,IF(AND(Mitarbeiter!$E$10&lt;&gt;"",CK$5+6&lt;Mitarbeiter!$E$10),0,IF(AND(Mitarbeiter!$F$10&lt;&gt;"",CK$5&gt;Mitarbeiter!$F$10),0,IF(Planung!CK12="",$C12,IF(ISNUMBER(Planung!CK12),Planung!CK12,IF(UPPER(Planung!CK12)="H",$C12/2,0)))))))</f>
        <v>0</v>
      </c>
      <c r="CL12" s="27">
        <f>IF($A12="",0,IF(Mitarbeiter!$G$10=FALSE,0,IF(AND(Mitarbeiter!$E$10&lt;&gt;"",CL$5+6&lt;Mitarbeiter!$E$10),0,IF(AND(Mitarbeiter!$F$10&lt;&gt;"",CL$5&gt;Mitarbeiter!$F$10),0,IF(Planung!CL12="",$C12,IF(ISNUMBER(Planung!CL12),Planung!CL12,IF(UPPER(Planung!CL12)="H",$C12/2,0)))))))</f>
        <v>0</v>
      </c>
      <c r="CM12" s="27">
        <f>IF($A12="",0,IF(Mitarbeiter!$G$10=FALSE,0,IF(AND(Mitarbeiter!$E$10&lt;&gt;"",CM$5+6&lt;Mitarbeiter!$E$10),0,IF(AND(Mitarbeiter!$F$10&lt;&gt;"",CM$5&gt;Mitarbeiter!$F$10),0,IF(Planung!CM12="",$C12,IF(ISNUMBER(Planung!CM12),Planung!CM12,IF(UPPER(Planung!CM12)="H",$C12/2,0)))))))</f>
        <v>0</v>
      </c>
      <c r="CN12" s="27">
        <f>IF($A12="",0,IF(Mitarbeiter!$G$10=FALSE,0,IF(AND(Mitarbeiter!$E$10&lt;&gt;"",CN$5+6&lt;Mitarbeiter!$E$10),0,IF(AND(Mitarbeiter!$F$10&lt;&gt;"",CN$5&gt;Mitarbeiter!$F$10),0,IF(Planung!CN12="",$C12,IF(ISNUMBER(Planung!CN12),Planung!CN12,IF(UPPER(Planung!CN12)="H",$C12/2,0)))))))</f>
        <v>0</v>
      </c>
      <c r="CO12" s="27">
        <f>IF($A12="",0,IF(Mitarbeiter!$G$10=FALSE,0,IF(AND(Mitarbeiter!$E$10&lt;&gt;"",CO$5+6&lt;Mitarbeiter!$E$10),0,IF(AND(Mitarbeiter!$F$10&lt;&gt;"",CO$5&gt;Mitarbeiter!$F$10),0,IF(Planung!CO12="",$C12,IF(ISNUMBER(Planung!CO12),Planung!CO12,IF(UPPER(Planung!CO12)="H",$C12/2,0)))))))</f>
        <v>0</v>
      </c>
      <c r="CP12" s="27">
        <f>IF($A12="",0,IF(Mitarbeiter!$G$10=FALSE,0,IF(AND(Mitarbeiter!$E$10&lt;&gt;"",CP$5+6&lt;Mitarbeiter!$E$10),0,IF(AND(Mitarbeiter!$F$10&lt;&gt;"",CP$5&gt;Mitarbeiter!$F$10),0,IF(Planung!CP12="",$C12,IF(ISNUMBER(Planung!CP12),Planung!CP12,IF(UPPER(Planung!CP12)="H",$C12/2,0)))))))</f>
        <v>0</v>
      </c>
      <c r="CQ12" s="27">
        <f>IF($A12="",0,IF(Mitarbeiter!$G$10=FALSE,0,IF(AND(Mitarbeiter!$E$10&lt;&gt;"",CQ$5+6&lt;Mitarbeiter!$E$10),0,IF(AND(Mitarbeiter!$F$10&lt;&gt;"",CQ$5&gt;Mitarbeiter!$F$10),0,IF(Planung!CQ12="",$C12,IF(ISNUMBER(Planung!CQ12),Planung!CQ12,IF(UPPER(Planung!CQ12)="H",$C12/2,0)))))))</f>
        <v>0</v>
      </c>
      <c r="CR12" s="27">
        <f>IF($A12="",0,IF(Mitarbeiter!$G$10=FALSE,0,IF(AND(Mitarbeiter!$E$10&lt;&gt;"",CR$5+6&lt;Mitarbeiter!$E$10),0,IF(AND(Mitarbeiter!$F$10&lt;&gt;"",CR$5&gt;Mitarbeiter!$F$10),0,IF(Planung!CR12="",$C12,IF(ISNUMBER(Planung!CR12),Planung!CR12,IF(UPPER(Planung!CR12)="H",$C12/2,0)))))))</f>
        <v>0</v>
      </c>
      <c r="CS12" s="27">
        <f>IF($A12="",0,IF(Mitarbeiter!$G$10=FALSE,0,IF(AND(Mitarbeiter!$E$10&lt;&gt;"",CS$5+6&lt;Mitarbeiter!$E$10),0,IF(AND(Mitarbeiter!$F$10&lt;&gt;"",CS$5&gt;Mitarbeiter!$F$10),0,IF(Planung!CS12="",$C12,IF(ISNUMBER(Planung!CS12),Planung!CS12,IF(UPPER(Planung!CS12)="H",$C12/2,0)))))))</f>
        <v>0</v>
      </c>
      <c r="CT12" s="27">
        <f>IF($A12="",0,IF(Mitarbeiter!$G$10=FALSE,0,IF(AND(Mitarbeiter!$E$10&lt;&gt;"",CT$5+6&lt;Mitarbeiter!$E$10),0,IF(AND(Mitarbeiter!$F$10&lt;&gt;"",CT$5&gt;Mitarbeiter!$F$10),0,IF(Planung!CT12="",$C12,IF(ISNUMBER(Planung!CT12),Planung!CT12,IF(UPPER(Planung!CT12)="H",$C12/2,0)))))))</f>
        <v>0</v>
      </c>
      <c r="CU12" s="27">
        <f>IF($A12="",0,IF(Mitarbeiter!$G$10=FALSE,0,IF(AND(Mitarbeiter!$E$10&lt;&gt;"",CU$5+6&lt;Mitarbeiter!$E$10),0,IF(AND(Mitarbeiter!$F$10&lt;&gt;"",CU$5&gt;Mitarbeiter!$F$10),0,IF(Planung!CU12="",$C12,IF(ISNUMBER(Planung!CU12),Planung!CU12,IF(UPPER(Planung!CU12)="H",$C12/2,0)))))))</f>
        <v>0</v>
      </c>
      <c r="CV12" s="27">
        <f>IF($A12="",0,IF(Mitarbeiter!$G$10=FALSE,0,IF(AND(Mitarbeiter!$E$10&lt;&gt;"",CV$5+6&lt;Mitarbeiter!$E$10),0,IF(AND(Mitarbeiter!$F$10&lt;&gt;"",CV$5&gt;Mitarbeiter!$F$10),0,IF(Planung!CV12="",$C12,IF(ISNUMBER(Planung!CV12),Planung!CV12,IF(UPPER(Planung!CV12)="H",$C12/2,0)))))))</f>
        <v>0</v>
      </c>
      <c r="CW12" s="27">
        <f>IF($A12="",0,IF(Mitarbeiter!$G$10=FALSE,0,IF(AND(Mitarbeiter!$E$10&lt;&gt;"",CW$5+6&lt;Mitarbeiter!$E$10),0,IF(AND(Mitarbeiter!$F$10&lt;&gt;"",CW$5&gt;Mitarbeiter!$F$10),0,IF(Planung!CW12="",$C12,IF(ISNUMBER(Planung!CW12),Planung!CW12,IF(UPPER(Planung!CW12)="H",$C12/2,0)))))))</f>
        <v>0</v>
      </c>
      <c r="CX12" s="27">
        <f>IF($A12="",0,IF(Mitarbeiter!$G$10=FALSE,0,IF(AND(Mitarbeiter!$E$10&lt;&gt;"",CX$5+6&lt;Mitarbeiter!$E$10),0,IF(AND(Mitarbeiter!$F$10&lt;&gt;"",CX$5&gt;Mitarbeiter!$F$10),0,IF(Planung!CX12="",$C12,IF(ISNUMBER(Planung!CX12),Planung!CX12,IF(UPPER(Planung!CX12)="H",$C12/2,0)))))))</f>
        <v>0</v>
      </c>
      <c r="CY12" s="27">
        <f>IF($A12="",0,IF(Mitarbeiter!$G$10=FALSE,0,IF(AND(Mitarbeiter!$E$10&lt;&gt;"",CY$5+6&lt;Mitarbeiter!$E$10),0,IF(AND(Mitarbeiter!$F$10&lt;&gt;"",CY$5&gt;Mitarbeiter!$F$10),0,IF(Planung!CY12="",$C12,IF(ISNUMBER(Planung!CY12),Planung!CY12,IF(UPPER(Planung!CY12)="H",$C12/2,0)))))))</f>
        <v>0</v>
      </c>
      <c r="CZ12" s="27">
        <f>IF($A12="",0,IF(Mitarbeiter!$G$10=FALSE,0,IF(AND(Mitarbeiter!$E$10&lt;&gt;"",CZ$5+6&lt;Mitarbeiter!$E$10),0,IF(AND(Mitarbeiter!$F$10&lt;&gt;"",CZ$5&gt;Mitarbeiter!$F$10),0,IF(Planung!CZ12="",$C12,IF(ISNUMBER(Planung!CZ12),Planung!CZ12,IF(UPPER(Planung!CZ12)="H",$C12/2,0)))))))</f>
        <v>0</v>
      </c>
      <c r="DA12" s="27">
        <f>IF($A12="",0,IF(Mitarbeiter!$G$10=FALSE,0,IF(AND(Mitarbeiter!$E$10&lt;&gt;"",DA$5+6&lt;Mitarbeiter!$E$10),0,IF(AND(Mitarbeiter!$F$10&lt;&gt;"",DA$5&gt;Mitarbeiter!$F$10),0,IF(Planung!DA12="",$C12,IF(ISNUMBER(Planung!DA12),Planung!DA12,IF(UPPER(Planung!DA12)="H",$C12/2,0)))))))</f>
        <v>0</v>
      </c>
      <c r="DB12" s="27">
        <f>IF($A12="",0,IF(Mitarbeiter!$G$10=FALSE,0,IF(AND(Mitarbeiter!$E$10&lt;&gt;"",DB$5+6&lt;Mitarbeiter!$E$10),0,IF(AND(Mitarbeiter!$F$10&lt;&gt;"",DB$5&gt;Mitarbeiter!$F$10),0,IF(Planung!DB12="",$C12,IF(ISNUMBER(Planung!DB12),Planung!DB12,IF(UPPER(Planung!DB12)="H",$C12/2,0)))))))</f>
        <v>0</v>
      </c>
      <c r="DC12" s="27">
        <f>IF($A12="",0,IF(Mitarbeiter!$G$10=FALSE,0,IF(AND(Mitarbeiter!$E$10&lt;&gt;"",DC$5+6&lt;Mitarbeiter!$E$10),0,IF(AND(Mitarbeiter!$F$10&lt;&gt;"",DC$5&gt;Mitarbeiter!$F$10),0,IF(Planung!DC12="",$C12,IF(ISNUMBER(Planung!DC12),Planung!DC12,IF(UPPER(Planung!DC12)="H",$C12/2,0)))))))</f>
        <v>0</v>
      </c>
      <c r="DD12" s="27">
        <f>IF($A12="",0,IF(Mitarbeiter!$G$10=FALSE,0,IF(AND(Mitarbeiter!$E$10&lt;&gt;"",DD$5+6&lt;Mitarbeiter!$E$10),0,IF(AND(Mitarbeiter!$F$10&lt;&gt;"",DD$5&gt;Mitarbeiter!$F$10),0,IF(Planung!DD12="",$C12,IF(ISNUMBER(Planung!DD12),Planung!DD12,IF(UPPER(Planung!DD12)="H",$C12/2,0)))))))</f>
        <v>0</v>
      </c>
      <c r="DE12" s="27">
        <f>IF($A12="",0,IF(Mitarbeiter!$G$10=FALSE,0,IF(AND(Mitarbeiter!$E$10&lt;&gt;"",DE$5+6&lt;Mitarbeiter!$E$10),0,IF(AND(Mitarbeiter!$F$10&lt;&gt;"",DE$5&gt;Mitarbeiter!$F$10),0,IF(Planung!DE12="",$C12,IF(ISNUMBER(Planung!DE12),Planung!DE12,IF(UPPER(Planung!DE12)="H",$C12/2,0)))))))</f>
        <v>0</v>
      </c>
      <c r="DF12" s="27">
        <f>IF($A12="",0,IF(Mitarbeiter!$G$10=FALSE,0,IF(AND(Mitarbeiter!$E$10&lt;&gt;"",DF$5+6&lt;Mitarbeiter!$E$10),0,IF(AND(Mitarbeiter!$F$10&lt;&gt;"",DF$5&gt;Mitarbeiter!$F$10),0,IF(Planung!DF12="",$C12,IF(ISNUMBER(Planung!DF12),Planung!DF12,IF(UPPER(Planung!DF12)="H",$C12/2,0)))))))</f>
        <v>0</v>
      </c>
      <c r="DG12" s="27">
        <f>IF($A12="",0,IF(Mitarbeiter!$G$10=FALSE,0,IF(AND(Mitarbeiter!$E$10&lt;&gt;"",DG$5+6&lt;Mitarbeiter!$E$10),0,IF(AND(Mitarbeiter!$F$10&lt;&gt;"",DG$5&gt;Mitarbeiter!$F$10),0,IF(Planung!DG12="",$C12,IF(ISNUMBER(Planung!DG12),Planung!DG12,IF(UPPER(Planung!DG12)="H",$C12/2,0)))))))</f>
        <v>0</v>
      </c>
      <c r="DH12" s="27">
        <f>IF($A12="",0,IF(Mitarbeiter!$G$10=FALSE,0,IF(AND(Mitarbeiter!$E$10&lt;&gt;"",DH$5+6&lt;Mitarbeiter!$E$10),0,IF(AND(Mitarbeiter!$F$10&lt;&gt;"",DH$5&gt;Mitarbeiter!$F$10),0,IF(Planung!DH12="",$C12,IF(ISNUMBER(Planung!DH12),Planung!DH12,IF(UPPER(Planung!DH12)="H",$C12/2,0)))))))</f>
        <v>0</v>
      </c>
      <c r="DI12" s="27">
        <f>IF($A12="",0,IF(Mitarbeiter!$G$10=FALSE,0,IF(AND(Mitarbeiter!$E$10&lt;&gt;"",DI$5+6&lt;Mitarbeiter!$E$10),0,IF(AND(Mitarbeiter!$F$10&lt;&gt;"",DI$5&gt;Mitarbeiter!$F$10),0,IF(Planung!DI12="",$C12,IF(ISNUMBER(Planung!DI12),Planung!DI12,IF(UPPER(Planung!DI12)="H",$C12/2,0)))))))</f>
        <v>0</v>
      </c>
      <c r="DJ12" s="27">
        <f>IF($A12="",0,IF(Mitarbeiter!$G$10=FALSE,0,IF(AND(Mitarbeiter!$E$10&lt;&gt;"",DJ$5+6&lt;Mitarbeiter!$E$10),0,IF(AND(Mitarbeiter!$F$10&lt;&gt;"",DJ$5&gt;Mitarbeiter!$F$10),0,IF(Planung!DJ12="",$C12,IF(ISNUMBER(Planung!DJ12),Planung!DJ12,IF(UPPER(Planung!DJ12)="H",$C12/2,0)))))))</f>
        <v>0</v>
      </c>
      <c r="DK12" s="27">
        <f>IF($A12="",0,IF(Mitarbeiter!$G$10=FALSE,0,IF(AND(Mitarbeiter!$E$10&lt;&gt;"",DK$5+6&lt;Mitarbeiter!$E$10),0,IF(AND(Mitarbeiter!$F$10&lt;&gt;"",DK$5&gt;Mitarbeiter!$F$10),0,IF(Planung!DK12="",$C12,IF(ISNUMBER(Planung!DK12),Planung!DK12,IF(UPPER(Planung!DK12)="H",$C12/2,0)))))))</f>
        <v>0</v>
      </c>
      <c r="DL12" s="27">
        <f>IF($A12="",0,IF(Mitarbeiter!$G$10=FALSE,0,IF(AND(Mitarbeiter!$E$10&lt;&gt;"",DL$5+6&lt;Mitarbeiter!$E$10),0,IF(AND(Mitarbeiter!$F$10&lt;&gt;"",DL$5&gt;Mitarbeiter!$F$10),0,IF(Planung!DL12="",$C12,IF(ISNUMBER(Planung!DL12),Planung!DL12,IF(UPPER(Planung!DL12)="H",$C12/2,0)))))))</f>
        <v>0</v>
      </c>
      <c r="DM12" s="27">
        <f>IF($A12="",0,IF(Mitarbeiter!$G$10=FALSE,0,IF(AND(Mitarbeiter!$E$10&lt;&gt;"",DM$5+6&lt;Mitarbeiter!$E$10),0,IF(AND(Mitarbeiter!$F$10&lt;&gt;"",DM$5&gt;Mitarbeiter!$F$10),0,IF(Planung!DM12="",$C12,IF(ISNUMBER(Planung!DM12),Planung!DM12,IF(UPPER(Planung!DM12)="H",$C12/2,0)))))))</f>
        <v>0</v>
      </c>
      <c r="DN12" s="27">
        <f>IF($A12="",0,IF(Mitarbeiter!$G$10=FALSE,0,IF(AND(Mitarbeiter!$E$10&lt;&gt;"",DN$5+6&lt;Mitarbeiter!$E$10),0,IF(AND(Mitarbeiter!$F$10&lt;&gt;"",DN$5&gt;Mitarbeiter!$F$10),0,IF(Planung!DN12="",$C12,IF(ISNUMBER(Planung!DN12),Planung!DN12,IF(UPPER(Planung!DN12)="H",$C12/2,0)))))))</f>
        <v>0</v>
      </c>
      <c r="DO12" s="27">
        <f>IF($A12="",0,IF(Mitarbeiter!$G$10=FALSE,0,IF(AND(Mitarbeiter!$E$10&lt;&gt;"",DO$5+6&lt;Mitarbeiter!$E$10),0,IF(AND(Mitarbeiter!$F$10&lt;&gt;"",DO$5&gt;Mitarbeiter!$F$10),0,IF(Planung!DO12="",$C12,IF(ISNUMBER(Planung!DO12),Planung!DO12,IF(UPPER(Planung!DO12)="H",$C12/2,0)))))))</f>
        <v>0</v>
      </c>
      <c r="DP12" s="27">
        <f>IF($A12="",0,IF(Mitarbeiter!$G$10=FALSE,0,IF(AND(Mitarbeiter!$E$10&lt;&gt;"",DP$5+6&lt;Mitarbeiter!$E$10),0,IF(AND(Mitarbeiter!$F$10&lt;&gt;"",DP$5&gt;Mitarbeiter!$F$10),0,IF(Planung!DP12="",$C12,IF(ISNUMBER(Planung!DP12),Planung!DP12,IF(UPPER(Planung!DP12)="H",$C12/2,0)))))))</f>
        <v>0</v>
      </c>
      <c r="DQ12" s="27">
        <f>IF($A12="",0,IF(Mitarbeiter!$G$10=FALSE,0,IF(AND(Mitarbeiter!$E$10&lt;&gt;"",DQ$5+6&lt;Mitarbeiter!$E$10),0,IF(AND(Mitarbeiter!$F$10&lt;&gt;"",DQ$5&gt;Mitarbeiter!$F$10),0,IF(Planung!DQ12="",$C12,IF(ISNUMBER(Planung!DQ12),Planung!DQ12,IF(UPPER(Planung!DQ12)="H",$C12/2,0)))))))</f>
        <v>0</v>
      </c>
      <c r="DR12" s="27">
        <f>IF($A12="",0,IF(Mitarbeiter!$G$10=FALSE,0,IF(AND(Mitarbeiter!$E$10&lt;&gt;"",DR$5+6&lt;Mitarbeiter!$E$10),0,IF(AND(Mitarbeiter!$F$10&lt;&gt;"",DR$5&gt;Mitarbeiter!$F$10),0,IF(Planung!DR12="",$C12,IF(ISNUMBER(Planung!DR12),Planung!DR12,IF(UPPER(Planung!DR12)="H",$C12/2,0)))))))</f>
        <v>0</v>
      </c>
      <c r="DS12" s="27">
        <f>IF($A12="",0,IF(Mitarbeiter!$G$10=FALSE,0,IF(AND(Mitarbeiter!$E$10&lt;&gt;"",DS$5+6&lt;Mitarbeiter!$E$10),0,IF(AND(Mitarbeiter!$F$10&lt;&gt;"",DS$5&gt;Mitarbeiter!$F$10),0,IF(Planung!DS12="",$C12,IF(ISNUMBER(Planung!DS12),Planung!DS12,IF(UPPER(Planung!DS12)="H",$C12/2,0)))))))</f>
        <v>0</v>
      </c>
      <c r="DT12" s="27">
        <f>IF($A12="",0,IF(Mitarbeiter!$G$10=FALSE,0,IF(AND(Mitarbeiter!$E$10&lt;&gt;"",DT$5+6&lt;Mitarbeiter!$E$10),0,IF(AND(Mitarbeiter!$F$10&lt;&gt;"",DT$5&gt;Mitarbeiter!$F$10),0,IF(Planung!DT12="",$C12,IF(ISNUMBER(Planung!DT12),Planung!DT12,IF(UPPER(Planung!DT12)="H",$C12/2,0)))))))</f>
        <v>0</v>
      </c>
      <c r="DU12" s="27">
        <f>IF($A12="",0,IF(Mitarbeiter!$G$10=FALSE,0,IF(AND(Mitarbeiter!$E$10&lt;&gt;"",DU$5+6&lt;Mitarbeiter!$E$10),0,IF(AND(Mitarbeiter!$F$10&lt;&gt;"",DU$5&gt;Mitarbeiter!$F$10),0,IF(Planung!DU12="",$C12,IF(ISNUMBER(Planung!DU12),Planung!DU12,IF(UPPER(Planung!DU12)="H",$C12/2,0)))))))</f>
        <v>0</v>
      </c>
      <c r="DV12" s="27">
        <f>IF($A12="",0,IF(Mitarbeiter!$G$10=FALSE,0,IF(AND(Mitarbeiter!$E$10&lt;&gt;"",DV$5+6&lt;Mitarbeiter!$E$10),0,IF(AND(Mitarbeiter!$F$10&lt;&gt;"",DV$5&gt;Mitarbeiter!$F$10),0,IF(Planung!DV12="",$C12,IF(ISNUMBER(Planung!DV12),Planung!DV12,IF(UPPER(Planung!DV12)="H",$C12/2,0)))))))</f>
        <v>0</v>
      </c>
      <c r="DW12" s="27">
        <f>IF($A12="",0,IF(Mitarbeiter!$G$10=FALSE,0,IF(AND(Mitarbeiter!$E$10&lt;&gt;"",DW$5+6&lt;Mitarbeiter!$E$10),0,IF(AND(Mitarbeiter!$F$10&lt;&gt;"",DW$5&gt;Mitarbeiter!$F$10),0,IF(Planung!DW12="",$C12,IF(ISNUMBER(Planung!DW12),Planung!DW12,IF(UPPER(Planung!DW12)="H",$C12/2,0)))))))</f>
        <v>0</v>
      </c>
      <c r="DX12" s="27">
        <f>IF($A12="",0,IF(Mitarbeiter!$G$10=FALSE,0,IF(AND(Mitarbeiter!$E$10&lt;&gt;"",DX$5+6&lt;Mitarbeiter!$E$10),0,IF(AND(Mitarbeiter!$F$10&lt;&gt;"",DX$5&gt;Mitarbeiter!$F$10),0,IF(Planung!DX12="",$C12,IF(ISNUMBER(Planung!DX12),Planung!DX12,IF(UPPER(Planung!DX12)="H",$C12/2,0)))))))</f>
        <v>0</v>
      </c>
      <c r="DY12" s="27">
        <f>IF($A12="",0,IF(Mitarbeiter!$G$10=FALSE,0,IF(AND(Mitarbeiter!$E$10&lt;&gt;"",DY$5+6&lt;Mitarbeiter!$E$10),0,IF(AND(Mitarbeiter!$F$10&lt;&gt;"",DY$5&gt;Mitarbeiter!$F$10),0,IF(Planung!DY12="",$C12,IF(ISNUMBER(Planung!DY12),Planung!DY12,IF(UPPER(Planung!DY12)="H",$C12/2,0)))))))</f>
        <v>0</v>
      </c>
      <c r="DZ12" s="27">
        <f>IF($A12="",0,IF(Mitarbeiter!$G$10=FALSE,0,IF(AND(Mitarbeiter!$E$10&lt;&gt;"",DZ$5+6&lt;Mitarbeiter!$E$10),0,IF(AND(Mitarbeiter!$F$10&lt;&gt;"",DZ$5&gt;Mitarbeiter!$F$10),0,IF(Planung!DZ12="",$C12,IF(ISNUMBER(Planung!DZ12),Planung!DZ12,IF(UPPER(Planung!DZ12)="H",$C12/2,0)))))))</f>
        <v>0</v>
      </c>
      <c r="EA12" s="27">
        <f>IF($A12="",0,IF(Mitarbeiter!$G$10=FALSE,0,IF(AND(Mitarbeiter!$E$10&lt;&gt;"",EA$5+6&lt;Mitarbeiter!$E$10),0,IF(AND(Mitarbeiter!$F$10&lt;&gt;"",EA$5&gt;Mitarbeiter!$F$10),0,IF(Planung!EA12="",$C12,IF(ISNUMBER(Planung!EA12),Planung!EA12,IF(UPPER(Planung!EA12)="H",$C12/2,0)))))))</f>
        <v>0</v>
      </c>
      <c r="EB12" s="27">
        <f>IF($A12="",0,IF(Mitarbeiter!$G$10=FALSE,0,IF(AND(Mitarbeiter!$E$10&lt;&gt;"",EB$5+6&lt;Mitarbeiter!$E$10),0,IF(AND(Mitarbeiter!$F$10&lt;&gt;"",EB$5&gt;Mitarbeiter!$F$10),0,IF(Planung!EB12="",$C12,IF(ISNUMBER(Planung!EB12),Planung!EB12,IF(UPPER(Planung!EB12)="H",$C12/2,0)))))))</f>
        <v>0</v>
      </c>
      <c r="EC12" s="27">
        <f>IF($A12="",0,IF(Mitarbeiter!$G$10=FALSE,0,IF(AND(Mitarbeiter!$E$10&lt;&gt;"",EC$5+6&lt;Mitarbeiter!$E$10),0,IF(AND(Mitarbeiter!$F$10&lt;&gt;"",EC$5&gt;Mitarbeiter!$F$10),0,IF(Planung!EC12="",$C12,IF(ISNUMBER(Planung!EC12),Planung!EC12,IF(UPPER(Planung!EC12)="H",$C12/2,0)))))))</f>
        <v>0</v>
      </c>
      <c r="ED12" s="27">
        <f>IF($A12="",0,IF(Mitarbeiter!$G$10=FALSE,0,IF(AND(Mitarbeiter!$E$10&lt;&gt;"",ED$5+6&lt;Mitarbeiter!$E$10),0,IF(AND(Mitarbeiter!$F$10&lt;&gt;"",ED$5&gt;Mitarbeiter!$F$10),0,IF(Planung!ED12="",$C12,IF(ISNUMBER(Planung!ED12),Planung!ED12,IF(UPPER(Planung!ED12)="H",$C12/2,0)))))))</f>
        <v>0</v>
      </c>
      <c r="EE12" s="27">
        <f>IF($A12="",0,IF(Mitarbeiter!$G$10=FALSE,0,IF(AND(Mitarbeiter!$E$10&lt;&gt;"",EE$5+6&lt;Mitarbeiter!$E$10),0,IF(AND(Mitarbeiter!$F$10&lt;&gt;"",EE$5&gt;Mitarbeiter!$F$10),0,IF(Planung!EE12="",$C12,IF(ISNUMBER(Planung!EE12),Planung!EE12,IF(UPPER(Planung!EE12)="H",$C12/2,0)))))))</f>
        <v>0</v>
      </c>
      <c r="EF12" s="27">
        <f>IF($A12="",0,IF(Mitarbeiter!$G$10=FALSE,0,IF(AND(Mitarbeiter!$E$10&lt;&gt;"",EF$5+6&lt;Mitarbeiter!$E$10),0,IF(AND(Mitarbeiter!$F$10&lt;&gt;"",EF$5&gt;Mitarbeiter!$F$10),0,IF(Planung!EF12="",$C12,IF(ISNUMBER(Planung!EF12),Planung!EF12,IF(UPPER(Planung!EF12)="H",$C12/2,0)))))))</f>
        <v>0</v>
      </c>
      <c r="EG12" s="27">
        <f>IF($A12="",0,IF(Mitarbeiter!$G$10=FALSE,0,IF(AND(Mitarbeiter!$E$10&lt;&gt;"",EG$5+6&lt;Mitarbeiter!$E$10),0,IF(AND(Mitarbeiter!$F$10&lt;&gt;"",EG$5&gt;Mitarbeiter!$F$10),0,IF(Planung!EG12="",$C12,IF(ISNUMBER(Planung!EG12),Planung!EG12,IF(UPPER(Planung!EG12)="H",$C12/2,0)))))))</f>
        <v>0</v>
      </c>
      <c r="EH12" s="27">
        <f>IF($A12="",0,IF(Mitarbeiter!$G$10=FALSE,0,IF(AND(Mitarbeiter!$E$10&lt;&gt;"",EH$5+6&lt;Mitarbeiter!$E$10),0,IF(AND(Mitarbeiter!$F$10&lt;&gt;"",EH$5&gt;Mitarbeiter!$F$10),0,IF(Planung!EH12="",$C12,IF(ISNUMBER(Planung!EH12),Planung!EH12,IF(UPPER(Planung!EH12)="H",$C12/2,0)))))))</f>
        <v>0</v>
      </c>
      <c r="EI12" s="27">
        <f>IF($A12="",0,IF(Mitarbeiter!$G$10=FALSE,0,IF(AND(Mitarbeiter!$E$10&lt;&gt;"",EI$5+6&lt;Mitarbeiter!$E$10),0,IF(AND(Mitarbeiter!$F$10&lt;&gt;"",EI$5&gt;Mitarbeiter!$F$10),0,IF(Planung!EI12="",$C12,IF(ISNUMBER(Planung!EI12),Planung!EI12,IF(UPPER(Planung!EI12)="H",$C12/2,0)))))))</f>
        <v>0</v>
      </c>
      <c r="EJ12" s="27">
        <f>IF($A12="",0,IF(Mitarbeiter!$G$10=FALSE,0,IF(AND(Mitarbeiter!$E$10&lt;&gt;"",EJ$5+6&lt;Mitarbeiter!$E$10),0,IF(AND(Mitarbeiter!$F$10&lt;&gt;"",EJ$5&gt;Mitarbeiter!$F$10),0,IF(Planung!EJ12="",$C12,IF(ISNUMBER(Planung!EJ12),Planung!EJ12,IF(UPPER(Planung!EJ12)="H",$C12/2,0)))))))</f>
        <v>0</v>
      </c>
      <c r="EK12" s="27">
        <f>IF($A12="",0,IF(Mitarbeiter!$G$10=FALSE,0,IF(AND(Mitarbeiter!$E$10&lt;&gt;"",EK$5+6&lt;Mitarbeiter!$E$10),0,IF(AND(Mitarbeiter!$F$10&lt;&gt;"",EK$5&gt;Mitarbeiter!$F$10),0,IF(Planung!EK12="",$C12,IF(ISNUMBER(Planung!EK12),Planung!EK12,IF(UPPER(Planung!EK12)="H",$C12/2,0)))))))</f>
        <v>0</v>
      </c>
      <c r="EL12" s="27">
        <f>IF($A12="",0,IF(Mitarbeiter!$G$10=FALSE,0,IF(AND(Mitarbeiter!$E$10&lt;&gt;"",EL$5+6&lt;Mitarbeiter!$E$10),0,IF(AND(Mitarbeiter!$F$10&lt;&gt;"",EL$5&gt;Mitarbeiter!$F$10),0,IF(Planung!EL12="",$C12,IF(ISNUMBER(Planung!EL12),Planung!EL12,IF(UPPER(Planung!EL12)="H",$C12/2,0)))))))</f>
        <v>0</v>
      </c>
      <c r="EM12" s="27">
        <f>IF($A12="",0,IF(Mitarbeiter!$G$10=FALSE,0,IF(AND(Mitarbeiter!$E$10&lt;&gt;"",EM$5+6&lt;Mitarbeiter!$E$10),0,IF(AND(Mitarbeiter!$F$10&lt;&gt;"",EM$5&gt;Mitarbeiter!$F$10),0,IF(Planung!EM12="",$C12,IF(ISNUMBER(Planung!EM12),Planung!EM12,IF(UPPER(Planung!EM12)="H",$C12/2,0)))))))</f>
        <v>0</v>
      </c>
      <c r="EN12" s="27">
        <f>IF($A12="",0,IF(Mitarbeiter!$G$10=FALSE,0,IF(AND(Mitarbeiter!$E$10&lt;&gt;"",EN$5+6&lt;Mitarbeiter!$E$10),0,IF(AND(Mitarbeiter!$F$10&lt;&gt;"",EN$5&gt;Mitarbeiter!$F$10),0,IF(Planung!EN12="",$C12,IF(ISNUMBER(Planung!EN12),Planung!EN12,IF(UPPER(Planung!EN12)="H",$C12/2,0)))))))</f>
        <v>0</v>
      </c>
      <c r="EO12" s="27">
        <f>IF($A12="",0,IF(Mitarbeiter!$G$10=FALSE,0,IF(AND(Mitarbeiter!$E$10&lt;&gt;"",EO$5+6&lt;Mitarbeiter!$E$10),0,IF(AND(Mitarbeiter!$F$10&lt;&gt;"",EO$5&gt;Mitarbeiter!$F$10),0,IF(Planung!EO12="",$C12,IF(ISNUMBER(Planung!EO12),Planung!EO12,IF(UPPER(Planung!EO12)="H",$C12/2,0)))))))</f>
        <v>0</v>
      </c>
      <c r="EP12" s="27">
        <f>IF($A12="",0,IF(Mitarbeiter!$G$10=FALSE,0,IF(AND(Mitarbeiter!$E$10&lt;&gt;"",EP$5+6&lt;Mitarbeiter!$E$10),0,IF(AND(Mitarbeiter!$F$10&lt;&gt;"",EP$5&gt;Mitarbeiter!$F$10),0,IF(Planung!EP12="",$C12,IF(ISNUMBER(Planung!EP12),Planung!EP12,IF(UPPER(Planung!EP12)="H",$C12/2,0)))))))</f>
        <v>0</v>
      </c>
      <c r="EQ12" s="27">
        <f>IF($A12="",0,IF(Mitarbeiter!$G$10=FALSE,0,IF(AND(Mitarbeiter!$E$10&lt;&gt;"",EQ$5+6&lt;Mitarbeiter!$E$10),0,IF(AND(Mitarbeiter!$F$10&lt;&gt;"",EQ$5&gt;Mitarbeiter!$F$10),0,IF(Planung!EQ12="",$C12,IF(ISNUMBER(Planung!EQ12),Planung!EQ12,IF(UPPER(Planung!EQ12)="H",$C12/2,0)))))))</f>
        <v>0</v>
      </c>
      <c r="ER12" s="27">
        <f>IF($A12="",0,IF(Mitarbeiter!$G$10=FALSE,0,IF(AND(Mitarbeiter!$E$10&lt;&gt;"",ER$5+6&lt;Mitarbeiter!$E$10),0,IF(AND(Mitarbeiter!$F$10&lt;&gt;"",ER$5&gt;Mitarbeiter!$F$10),0,IF(Planung!ER12="",$C12,IF(ISNUMBER(Planung!ER12),Planung!ER12,IF(UPPER(Planung!ER12)="H",$C12/2,0)))))))</f>
        <v>0</v>
      </c>
      <c r="ES12" s="27">
        <f>IF($A12="",0,IF(Mitarbeiter!$G$10=FALSE,0,IF(AND(Mitarbeiter!$E$10&lt;&gt;"",ES$5+6&lt;Mitarbeiter!$E$10),0,IF(AND(Mitarbeiter!$F$10&lt;&gt;"",ES$5&gt;Mitarbeiter!$F$10),0,IF(Planung!ES12="",$C12,IF(ISNUMBER(Planung!ES12),Planung!ES12,IF(UPPER(Planung!ES12)="H",$C12/2,0)))))))</f>
        <v>0</v>
      </c>
      <c r="ET12" s="27">
        <f>IF($A12="",0,IF(Mitarbeiter!$G$10=FALSE,0,IF(AND(Mitarbeiter!$E$10&lt;&gt;"",ET$5+6&lt;Mitarbeiter!$E$10),0,IF(AND(Mitarbeiter!$F$10&lt;&gt;"",ET$5&gt;Mitarbeiter!$F$10),0,IF(Planung!ET12="",$C12,IF(ISNUMBER(Planung!ET12),Planung!ET12,IF(UPPER(Planung!ET12)="H",$C12/2,0)))))))</f>
        <v>0</v>
      </c>
      <c r="EU12" s="27">
        <f>IF($A12="",0,IF(Mitarbeiter!$G$10=FALSE,0,IF(AND(Mitarbeiter!$E$10&lt;&gt;"",EU$5+6&lt;Mitarbeiter!$E$10),0,IF(AND(Mitarbeiter!$F$10&lt;&gt;"",EU$5&gt;Mitarbeiter!$F$10),0,IF(Planung!EU12="",$C12,IF(ISNUMBER(Planung!EU12),Planung!EU12,IF(UPPER(Planung!EU12)="H",$C12/2,0)))))))</f>
        <v>0</v>
      </c>
      <c r="EV12" s="27">
        <f>IF($A12="",0,IF(Mitarbeiter!$G$10=FALSE,0,IF(AND(Mitarbeiter!$E$10&lt;&gt;"",EV$5+6&lt;Mitarbeiter!$E$10),0,IF(AND(Mitarbeiter!$F$10&lt;&gt;"",EV$5&gt;Mitarbeiter!$F$10),0,IF(Planung!EV12="",$C12,IF(ISNUMBER(Planung!EV12),Planung!EV12,IF(UPPER(Planung!EV12)="H",$C12/2,0)))))))</f>
        <v>0</v>
      </c>
      <c r="EW12" s="27">
        <f>IF($A12="",0,IF(Mitarbeiter!$G$10=FALSE,0,IF(AND(Mitarbeiter!$E$10&lt;&gt;"",EW$5+6&lt;Mitarbeiter!$E$10),0,IF(AND(Mitarbeiter!$F$10&lt;&gt;"",EW$5&gt;Mitarbeiter!$F$10),0,IF(Planung!EW12="",$C12,IF(ISNUMBER(Planung!EW12),Planung!EW12,IF(UPPER(Planung!EW12)="H",$C12/2,0)))))))</f>
        <v>0</v>
      </c>
      <c r="EX12" s="27">
        <f>IF($A12="",0,IF(Mitarbeiter!$G$10=FALSE,0,IF(AND(Mitarbeiter!$E$10&lt;&gt;"",EX$5+6&lt;Mitarbeiter!$E$10),0,IF(AND(Mitarbeiter!$F$10&lt;&gt;"",EX$5&gt;Mitarbeiter!$F$10),0,IF(Planung!EX12="",$C12,IF(ISNUMBER(Planung!EX12),Planung!EX12,IF(UPPER(Planung!EX12)="H",$C12/2,0)))))))</f>
        <v>0</v>
      </c>
      <c r="EY12" s="27">
        <f>IF($A12="",0,IF(Mitarbeiter!$G$10=FALSE,0,IF(AND(Mitarbeiter!$E$10&lt;&gt;"",EY$5+6&lt;Mitarbeiter!$E$10),0,IF(AND(Mitarbeiter!$F$10&lt;&gt;"",EY$5&gt;Mitarbeiter!$F$10),0,IF(Planung!EY12="",$C12,IF(ISNUMBER(Planung!EY12),Planung!EY12,IF(UPPER(Planung!EY12)="H",$C12/2,0)))))))</f>
        <v>0</v>
      </c>
      <c r="EZ12" s="27">
        <f>IF($A12="",0,IF(Mitarbeiter!$G$10=FALSE,0,IF(AND(Mitarbeiter!$E$10&lt;&gt;"",EZ$5+6&lt;Mitarbeiter!$E$10),0,IF(AND(Mitarbeiter!$F$10&lt;&gt;"",EZ$5&gt;Mitarbeiter!$F$10),0,IF(Planung!EZ12="",$C12,IF(ISNUMBER(Planung!EZ12),Planung!EZ12,IF(UPPER(Planung!EZ12)="H",$C12/2,0)))))))</f>
        <v>0</v>
      </c>
      <c r="FA12" s="27">
        <f>IF($A12="",0,IF(Mitarbeiter!$G$10=FALSE,0,IF(AND(Mitarbeiter!$E$10&lt;&gt;"",FA$5+6&lt;Mitarbeiter!$E$10),0,IF(AND(Mitarbeiter!$F$10&lt;&gt;"",FA$5&gt;Mitarbeiter!$F$10),0,IF(Planung!FA12="",$C12,IF(ISNUMBER(Planung!FA12),Planung!FA12,IF(UPPER(Planung!FA12)="H",$C12/2,0)))))))</f>
        <v>0</v>
      </c>
      <c r="FB12" s="27">
        <f>IF($A12="",0,IF(Mitarbeiter!$G$10=FALSE,0,IF(AND(Mitarbeiter!$E$10&lt;&gt;"",FB$5+6&lt;Mitarbeiter!$E$10),0,IF(AND(Mitarbeiter!$F$10&lt;&gt;"",FB$5&gt;Mitarbeiter!$F$10),0,IF(Planung!FB12="",$C12,IF(ISNUMBER(Planung!FB12),Planung!FB12,IF(UPPER(Planung!FB12)="H",$C12/2,0)))))))</f>
        <v>0</v>
      </c>
      <c r="FC12" s="27">
        <f>IF($A12="",0,IF(Mitarbeiter!$G$10=FALSE,0,IF(AND(Mitarbeiter!$E$10&lt;&gt;"",FC$5+6&lt;Mitarbeiter!$E$10),0,IF(AND(Mitarbeiter!$F$10&lt;&gt;"",FC$5&gt;Mitarbeiter!$F$10),0,IF(Planung!FC12="",$C12,IF(ISNUMBER(Planung!FC12),Planung!FC12,IF(UPPER(Planung!FC12)="H",$C12/2,0)))))))</f>
        <v>0</v>
      </c>
      <c r="FD12" s="27">
        <f>IF($A12="",0,IF(Mitarbeiter!$G$10=FALSE,0,IF(AND(Mitarbeiter!$E$10&lt;&gt;"",FD$5+6&lt;Mitarbeiter!$E$10),0,IF(AND(Mitarbeiter!$F$10&lt;&gt;"",FD$5&gt;Mitarbeiter!$F$10),0,IF(Planung!FD12="",$C12,IF(ISNUMBER(Planung!FD12),Planung!FD12,IF(UPPER(Planung!FD12)="H",$C12/2,0)))))))</f>
        <v>0</v>
      </c>
      <c r="FE12" s="27">
        <f>IF($A12="",0,IF(Mitarbeiter!$G$10=FALSE,0,IF(AND(Mitarbeiter!$E$10&lt;&gt;"",FE$5+6&lt;Mitarbeiter!$E$10),0,IF(AND(Mitarbeiter!$F$10&lt;&gt;"",FE$5&gt;Mitarbeiter!$F$10),0,IF(Planung!FE12="",$C12,IF(ISNUMBER(Planung!FE12),Planung!FE12,IF(UPPER(Planung!FE12)="H",$C12/2,0)))))))</f>
        <v>0</v>
      </c>
      <c r="FF12" s="27">
        <f>IF($A12="",0,IF(Mitarbeiter!$G$10=FALSE,0,IF(AND(Mitarbeiter!$E$10&lt;&gt;"",FF$5+6&lt;Mitarbeiter!$E$10),0,IF(AND(Mitarbeiter!$F$10&lt;&gt;"",FF$5&gt;Mitarbeiter!$F$10),0,IF(Planung!FF12="",$C12,IF(ISNUMBER(Planung!FF12),Planung!FF12,IF(UPPER(Planung!FF12)="H",$C12/2,0)))))))</f>
        <v>0</v>
      </c>
      <c r="FG12" s="27">
        <f>IF($A12="",0,IF(Mitarbeiter!$G$10=FALSE,0,IF(AND(Mitarbeiter!$E$10&lt;&gt;"",FG$5+6&lt;Mitarbeiter!$E$10),0,IF(AND(Mitarbeiter!$F$10&lt;&gt;"",FG$5&gt;Mitarbeiter!$F$10),0,IF(Planung!FG12="",$C12,IF(ISNUMBER(Planung!FG12),Planung!FG12,IF(UPPER(Planung!FG12)="H",$C12/2,0)))))))</f>
        <v>0</v>
      </c>
      <c r="FH12" s="27">
        <f>IF($A12="",0,IF(Mitarbeiter!$G$10=FALSE,0,IF(AND(Mitarbeiter!$E$10&lt;&gt;"",FH$5+6&lt;Mitarbeiter!$E$10),0,IF(AND(Mitarbeiter!$F$10&lt;&gt;"",FH$5&gt;Mitarbeiter!$F$10),0,IF(Planung!FH12="",$C12,IF(ISNUMBER(Planung!FH12),Planung!FH12,IF(UPPER(Planung!FH12)="H",$C12/2,0)))))))</f>
        <v>0</v>
      </c>
      <c r="FI12" s="27">
        <f>IF($A12="",0,IF(Mitarbeiter!$G$10=FALSE,0,IF(AND(Mitarbeiter!$E$10&lt;&gt;"",FI$5+6&lt;Mitarbeiter!$E$10),0,IF(AND(Mitarbeiter!$F$10&lt;&gt;"",FI$5&gt;Mitarbeiter!$F$10),0,IF(Planung!FI12="",$C12,IF(ISNUMBER(Planung!FI12),Planung!FI12,IF(UPPER(Planung!FI12)="H",$C12/2,0)))))))</f>
        <v>0</v>
      </c>
      <c r="FJ12" s="27">
        <f>IF($A12="",0,IF(Mitarbeiter!$G$10=FALSE,0,IF(AND(Mitarbeiter!$E$10&lt;&gt;"",FJ$5+6&lt;Mitarbeiter!$E$10),0,IF(AND(Mitarbeiter!$F$10&lt;&gt;"",FJ$5&gt;Mitarbeiter!$F$10),0,IF(Planung!FJ12="",$C12,IF(ISNUMBER(Planung!FJ12),Planung!FJ12,IF(UPPER(Planung!FJ12)="H",$C12/2,0)))))))</f>
        <v>0</v>
      </c>
      <c r="FK12" s="27">
        <f>IF($A12="",0,IF(Mitarbeiter!$G$10=FALSE,0,IF(AND(Mitarbeiter!$E$10&lt;&gt;"",FK$5+6&lt;Mitarbeiter!$E$10),0,IF(AND(Mitarbeiter!$F$10&lt;&gt;"",FK$5&gt;Mitarbeiter!$F$10),0,IF(Planung!FK12="",$C12,IF(ISNUMBER(Planung!FK12),Planung!FK12,IF(UPPER(Planung!FK12)="H",$C12/2,0)))))))</f>
        <v>0</v>
      </c>
      <c r="FL12" s="27">
        <f>IF($A12="",0,IF(Mitarbeiter!$G$10=FALSE,0,IF(AND(Mitarbeiter!$E$10&lt;&gt;"",FL$5+6&lt;Mitarbeiter!$E$10),0,IF(AND(Mitarbeiter!$F$10&lt;&gt;"",FL$5&gt;Mitarbeiter!$F$10),0,IF(Planung!FL12="",$C12,IF(ISNUMBER(Planung!FL12),Planung!FL12,IF(UPPER(Planung!FL12)="H",$C12/2,0)))))))</f>
        <v>0</v>
      </c>
      <c r="FM12" s="27">
        <f>IF($A12="",0,IF(Mitarbeiter!$G$10=FALSE,0,IF(AND(Mitarbeiter!$E$10&lt;&gt;"",FM$5+6&lt;Mitarbeiter!$E$10),0,IF(AND(Mitarbeiter!$F$10&lt;&gt;"",FM$5&gt;Mitarbeiter!$F$10),0,IF(Planung!FM12="",$C12,IF(ISNUMBER(Planung!FM12),Planung!FM12,IF(UPPER(Planung!FM12)="H",$C12/2,0)))))))</f>
        <v>0</v>
      </c>
      <c r="FN12" s="27">
        <f>IF($A12="",0,IF(Mitarbeiter!$G$10=FALSE,0,IF(AND(Mitarbeiter!$E$10&lt;&gt;"",FN$5+6&lt;Mitarbeiter!$E$10),0,IF(AND(Mitarbeiter!$F$10&lt;&gt;"",FN$5&gt;Mitarbeiter!$F$10),0,IF(Planung!FN12="",$C12,IF(ISNUMBER(Planung!FN12),Planung!FN12,IF(UPPER(Planung!FN12)="H",$C12/2,0)))))))</f>
        <v>0</v>
      </c>
      <c r="FO12" s="27">
        <f>IF($A12="",0,IF(Mitarbeiter!$G$10=FALSE,0,IF(AND(Mitarbeiter!$E$10&lt;&gt;"",FO$5+6&lt;Mitarbeiter!$E$10),0,IF(AND(Mitarbeiter!$F$10&lt;&gt;"",FO$5&gt;Mitarbeiter!$F$10),0,IF(Planung!FO12="",$C12,IF(ISNUMBER(Planung!FO12),Planung!FO12,IF(UPPER(Planung!FO12)="H",$C12/2,0)))))))</f>
        <v>0</v>
      </c>
      <c r="FP12" s="27">
        <f>IF($A12="",0,IF(Mitarbeiter!$G$10=FALSE,0,IF(AND(Mitarbeiter!$E$10&lt;&gt;"",FP$5+6&lt;Mitarbeiter!$E$10),0,IF(AND(Mitarbeiter!$F$10&lt;&gt;"",FP$5&gt;Mitarbeiter!$F$10),0,IF(Planung!FP12="",$C12,IF(ISNUMBER(Planung!FP12),Planung!FP12,IF(UPPER(Planung!FP12)="H",$C12/2,0)))))))</f>
        <v>0</v>
      </c>
      <c r="FQ12" s="27">
        <f>IF($A12="",0,IF(Mitarbeiter!$G$10=FALSE,0,IF(AND(Mitarbeiter!$E$10&lt;&gt;"",FQ$5+6&lt;Mitarbeiter!$E$10),0,IF(AND(Mitarbeiter!$F$10&lt;&gt;"",FQ$5&gt;Mitarbeiter!$F$10),0,IF(Planung!FQ12="",$C12,IF(ISNUMBER(Planung!FQ12),Planung!FQ12,IF(UPPER(Planung!FQ12)="H",$C12/2,0)))))))</f>
        <v>0</v>
      </c>
      <c r="FR12" s="27">
        <f>IF($A12="",0,IF(Mitarbeiter!$G$10=FALSE,0,IF(AND(Mitarbeiter!$E$10&lt;&gt;"",FR$5+6&lt;Mitarbeiter!$E$10),0,IF(AND(Mitarbeiter!$F$10&lt;&gt;"",FR$5&gt;Mitarbeiter!$F$10),0,IF(Planung!FR12="",$C12,IF(ISNUMBER(Planung!FR12),Planung!FR12,IF(UPPER(Planung!FR12)="H",$C12/2,0)))))))</f>
        <v>0</v>
      </c>
      <c r="FS12" s="27">
        <f>IF($A12="",0,IF(Mitarbeiter!$G$10=FALSE,0,IF(AND(Mitarbeiter!$E$10&lt;&gt;"",FS$5+6&lt;Mitarbeiter!$E$10),0,IF(AND(Mitarbeiter!$F$10&lt;&gt;"",FS$5&gt;Mitarbeiter!$F$10),0,IF(Planung!FS12="",$C12,IF(ISNUMBER(Planung!FS12),Planung!FS12,IF(UPPER(Planung!FS12)="H",$C12/2,0)))))))</f>
        <v>0</v>
      </c>
      <c r="FT12" s="27">
        <f>IF($A12="",0,IF(Mitarbeiter!$G$10=FALSE,0,IF(AND(Mitarbeiter!$E$10&lt;&gt;"",FT$5+6&lt;Mitarbeiter!$E$10),0,IF(AND(Mitarbeiter!$F$10&lt;&gt;"",FT$5&gt;Mitarbeiter!$F$10),0,IF(Planung!FT12="",$C12,IF(ISNUMBER(Planung!FT12),Planung!FT12,IF(UPPER(Planung!FT12)="H",$C12/2,0)))))))</f>
        <v>0</v>
      </c>
      <c r="FU12" s="27">
        <f>IF($A12="",0,IF(Mitarbeiter!$G$10=FALSE,0,IF(AND(Mitarbeiter!$E$10&lt;&gt;"",FU$5+6&lt;Mitarbeiter!$E$10),0,IF(AND(Mitarbeiter!$F$10&lt;&gt;"",FU$5&gt;Mitarbeiter!$F$10),0,IF(Planung!FU12="",$C12,IF(ISNUMBER(Planung!FU12),Planung!FU12,IF(UPPER(Planung!FU12)="H",$C12/2,0)))))))</f>
        <v>0</v>
      </c>
      <c r="FV12" s="27">
        <f>IF($A12="",0,IF(Mitarbeiter!$G$10=FALSE,0,IF(AND(Mitarbeiter!$E$10&lt;&gt;"",FV$5+6&lt;Mitarbeiter!$E$10),0,IF(AND(Mitarbeiter!$F$10&lt;&gt;"",FV$5&gt;Mitarbeiter!$F$10),0,IF(Planung!FV12="",$C12,IF(ISNUMBER(Planung!FV12),Planung!FV12,IF(UPPER(Planung!FV12)="H",$C12/2,0)))))))</f>
        <v>0</v>
      </c>
      <c r="FW12" s="27">
        <f>IF($A12="",0,IF(Mitarbeiter!$G$10=FALSE,0,IF(AND(Mitarbeiter!$E$10&lt;&gt;"",FW$5+6&lt;Mitarbeiter!$E$10),0,IF(AND(Mitarbeiter!$F$10&lt;&gt;"",FW$5&gt;Mitarbeiter!$F$10),0,IF(Planung!FW12="",$C12,IF(ISNUMBER(Planung!FW12),Planung!FW12,IF(UPPER(Planung!FW12)="H",$C12/2,0)))))))</f>
        <v>0</v>
      </c>
      <c r="FX12" s="27">
        <f>IF($A12="",0,IF(Mitarbeiter!$G$10=FALSE,0,IF(AND(Mitarbeiter!$E$10&lt;&gt;"",FX$5+6&lt;Mitarbeiter!$E$10),0,IF(AND(Mitarbeiter!$F$10&lt;&gt;"",FX$5&gt;Mitarbeiter!$F$10),0,IF(Planung!FX12="",$C12,IF(ISNUMBER(Planung!FX12),Planung!FX12,IF(UPPER(Planung!FX12)="H",$C12/2,0)))))))</f>
        <v>0</v>
      </c>
      <c r="FY12" s="27">
        <f>IF($A12="",0,IF(Mitarbeiter!$G$10=FALSE,0,IF(AND(Mitarbeiter!$E$10&lt;&gt;"",FY$5+6&lt;Mitarbeiter!$E$10),0,IF(AND(Mitarbeiter!$F$10&lt;&gt;"",FY$5&gt;Mitarbeiter!$F$10),0,IF(Planung!FY12="",$C12,IF(ISNUMBER(Planung!FY12),Planung!FY12,IF(UPPER(Planung!FY12)="H",$C12/2,0)))))))</f>
        <v>0</v>
      </c>
      <c r="FZ12" s="27">
        <f>IF($A12="",0,IF(Mitarbeiter!$G$10=FALSE,0,IF(AND(Mitarbeiter!$E$10&lt;&gt;"",FZ$5+6&lt;Mitarbeiter!$E$10),0,IF(AND(Mitarbeiter!$F$10&lt;&gt;"",FZ$5&gt;Mitarbeiter!$F$10),0,IF(Planung!FZ12="",$C12,IF(ISNUMBER(Planung!FZ12),Planung!FZ12,IF(UPPER(Planung!FZ12)="H",$C12/2,0)))))))</f>
        <v>0</v>
      </c>
      <c r="GA12" s="27">
        <f>IF($A12="",0,IF(Mitarbeiter!$G$10=FALSE,0,IF(AND(Mitarbeiter!$E$10&lt;&gt;"",GA$5+6&lt;Mitarbeiter!$E$10),0,IF(AND(Mitarbeiter!$F$10&lt;&gt;"",GA$5&gt;Mitarbeiter!$F$10),0,IF(Planung!GA12="",$C12,IF(ISNUMBER(Planung!GA12),Planung!GA12,IF(UPPER(Planung!GA12)="H",$C12/2,0)))))))</f>
        <v>0</v>
      </c>
      <c r="GB12" s="27">
        <f>IF($A12="",0,IF(Mitarbeiter!$G$10=FALSE,0,IF(AND(Mitarbeiter!$E$10&lt;&gt;"",GB$5+6&lt;Mitarbeiter!$E$10),0,IF(AND(Mitarbeiter!$F$10&lt;&gt;"",GB$5&gt;Mitarbeiter!$F$10),0,IF(Planung!GB12="",$C12,IF(ISNUMBER(Planung!GB12),Planung!GB12,IF(UPPER(Planung!GB12)="H",$C12/2,0)))))))</f>
        <v>0</v>
      </c>
      <c r="GC12" s="27">
        <f>IF($A12="",0,IF(Mitarbeiter!$G$10=FALSE,0,IF(AND(Mitarbeiter!$E$10&lt;&gt;"",GC$5+6&lt;Mitarbeiter!$E$10),0,IF(AND(Mitarbeiter!$F$10&lt;&gt;"",GC$5&gt;Mitarbeiter!$F$10),0,IF(Planung!GC12="",$C12,IF(ISNUMBER(Planung!GC12),Planung!GC12,IF(UPPER(Planung!GC12)="H",$C12/2,0)))))))</f>
        <v>0</v>
      </c>
      <c r="GD12" s="27">
        <f>IF($A12="",0,IF(Mitarbeiter!$G$10=FALSE,0,IF(AND(Mitarbeiter!$E$10&lt;&gt;"",GD$5+6&lt;Mitarbeiter!$E$10),0,IF(AND(Mitarbeiter!$F$10&lt;&gt;"",GD$5&gt;Mitarbeiter!$F$10),0,IF(Planung!GD12="",$C12,IF(ISNUMBER(Planung!GD12),Planung!GD12,IF(UPPER(Planung!GD12)="H",$C12/2,0)))))))</f>
        <v>0</v>
      </c>
      <c r="GE12" s="27">
        <f>IF($A12="",0,IF(Mitarbeiter!$G$10=FALSE,0,IF(AND(Mitarbeiter!$E$10&lt;&gt;"",GE$5+6&lt;Mitarbeiter!$E$10),0,IF(AND(Mitarbeiter!$F$10&lt;&gt;"",GE$5&gt;Mitarbeiter!$F$10),0,IF(Planung!GE12="",$C12,IF(ISNUMBER(Planung!GE12),Planung!GE12,IF(UPPER(Planung!GE12)="H",$C12/2,0)))))))</f>
        <v>0</v>
      </c>
      <c r="GF12" s="27">
        <f>IF($A12="",0,IF(Mitarbeiter!$G$10=FALSE,0,IF(AND(Mitarbeiter!$E$10&lt;&gt;"",GF$5+6&lt;Mitarbeiter!$E$10),0,IF(AND(Mitarbeiter!$F$10&lt;&gt;"",GF$5&gt;Mitarbeiter!$F$10),0,IF(Planung!GF12="",$C12,IF(ISNUMBER(Planung!GF12),Planung!GF12,IF(UPPER(Planung!GF12)="H",$C12/2,0)))))))</f>
        <v>0</v>
      </c>
      <c r="GG12" s="27">
        <f>IF($A12="",0,IF(Mitarbeiter!$G$10=FALSE,0,IF(AND(Mitarbeiter!$E$10&lt;&gt;"",GG$5+6&lt;Mitarbeiter!$E$10),0,IF(AND(Mitarbeiter!$F$10&lt;&gt;"",GG$5&gt;Mitarbeiter!$F$10),0,IF(Planung!GG12="",$C12,IF(ISNUMBER(Planung!GG12),Planung!GG12,IF(UPPER(Planung!GG12)="H",$C12/2,0)))))))</f>
        <v>0</v>
      </c>
      <c r="GH12" s="27">
        <f>IF($A12="",0,IF(Mitarbeiter!$G$10=FALSE,0,IF(AND(Mitarbeiter!$E$10&lt;&gt;"",GH$5+6&lt;Mitarbeiter!$E$10),0,IF(AND(Mitarbeiter!$F$10&lt;&gt;"",GH$5&gt;Mitarbeiter!$F$10),0,IF(Planung!GH12="",$C12,IF(ISNUMBER(Planung!GH12),Planung!GH12,IF(UPPER(Planung!GH12)="H",$C12/2,0)))))))</f>
        <v>0</v>
      </c>
      <c r="GI12" s="27">
        <f>IF($A12="",0,IF(Mitarbeiter!$G$10=FALSE,0,IF(AND(Mitarbeiter!$E$10&lt;&gt;"",GI$5+6&lt;Mitarbeiter!$E$10),0,IF(AND(Mitarbeiter!$F$10&lt;&gt;"",GI$5&gt;Mitarbeiter!$F$10),0,IF(Planung!GI12="",$C12,IF(ISNUMBER(Planung!GI12),Planung!GI12,IF(UPPER(Planung!GI12)="H",$C12/2,0)))))))</f>
        <v>0</v>
      </c>
      <c r="GJ12" s="27">
        <f>IF($A12="",0,IF(Mitarbeiter!$G$10=FALSE,0,IF(AND(Mitarbeiter!$E$10&lt;&gt;"",GJ$5+6&lt;Mitarbeiter!$E$10),0,IF(AND(Mitarbeiter!$F$10&lt;&gt;"",GJ$5&gt;Mitarbeiter!$F$10),0,IF(Planung!GJ12="",$C12,IF(ISNUMBER(Planung!GJ12),Planung!GJ12,IF(UPPER(Planung!GJ12)="H",$C12/2,0)))))))</f>
        <v>0</v>
      </c>
      <c r="GK12" s="27">
        <f>IF($A12="",0,IF(Mitarbeiter!$G$10=FALSE,0,IF(AND(Mitarbeiter!$E$10&lt;&gt;"",GK$5+6&lt;Mitarbeiter!$E$10),0,IF(AND(Mitarbeiter!$F$10&lt;&gt;"",GK$5&gt;Mitarbeiter!$F$10),0,IF(Planung!GK12="",$C12,IF(ISNUMBER(Planung!GK12),Planung!GK12,IF(UPPER(Planung!GK12)="H",$C12/2,0)))))))</f>
        <v>0</v>
      </c>
      <c r="GL12" s="27">
        <f>IF($A12="",0,IF(Mitarbeiter!$G$10=FALSE,0,IF(AND(Mitarbeiter!$E$10&lt;&gt;"",GL$5+6&lt;Mitarbeiter!$E$10),0,IF(AND(Mitarbeiter!$F$10&lt;&gt;"",GL$5&gt;Mitarbeiter!$F$10),0,IF(Planung!GL12="",$C12,IF(ISNUMBER(Planung!GL12),Planung!GL12,IF(UPPER(Planung!GL12)="H",$C12/2,0)))))))</f>
        <v>0</v>
      </c>
      <c r="GM12" s="27">
        <f>IF($A12="",0,IF(Mitarbeiter!$G$10=FALSE,0,IF(AND(Mitarbeiter!$E$10&lt;&gt;"",GM$5+6&lt;Mitarbeiter!$E$10),0,IF(AND(Mitarbeiter!$F$10&lt;&gt;"",GM$5&gt;Mitarbeiter!$F$10),0,IF(Planung!GM12="",$C12,IF(ISNUMBER(Planung!GM12),Planung!GM12,IF(UPPER(Planung!GM12)="H",$C12/2,0)))))))</f>
        <v>0</v>
      </c>
      <c r="GN12" s="27">
        <f>IF($A12="",0,IF(Mitarbeiter!$G$10=FALSE,0,IF(AND(Mitarbeiter!$E$10&lt;&gt;"",GN$5+6&lt;Mitarbeiter!$E$10),0,IF(AND(Mitarbeiter!$F$10&lt;&gt;"",GN$5&gt;Mitarbeiter!$F$10),0,IF(Planung!GN12="",$C12,IF(ISNUMBER(Planung!GN12),Planung!GN12,IF(UPPER(Planung!GN12)="H",$C12/2,0)))))))</f>
        <v>0</v>
      </c>
      <c r="GO12" s="27">
        <f>IF($A12="",0,IF(Mitarbeiter!$G$10=FALSE,0,IF(AND(Mitarbeiter!$E$10&lt;&gt;"",GO$5+6&lt;Mitarbeiter!$E$10),0,IF(AND(Mitarbeiter!$F$10&lt;&gt;"",GO$5&gt;Mitarbeiter!$F$10),0,IF(Planung!GO12="",$C12,IF(ISNUMBER(Planung!GO12),Planung!GO12,IF(UPPER(Planung!GO12)="H",$C12/2,0)))))))</f>
        <v>0</v>
      </c>
      <c r="GP12" s="27">
        <f>IF($A12="",0,IF(Mitarbeiter!$G$10=FALSE,0,IF(AND(Mitarbeiter!$E$10&lt;&gt;"",GP$5+6&lt;Mitarbeiter!$E$10),0,IF(AND(Mitarbeiter!$F$10&lt;&gt;"",GP$5&gt;Mitarbeiter!$F$10),0,IF(Planung!GP12="",$C12,IF(ISNUMBER(Planung!GP12),Planung!GP12,IF(UPPER(Planung!GP12)="H",$C12/2,0)))))))</f>
        <v>0</v>
      </c>
      <c r="GQ12" s="27">
        <f>IF($A12="",0,IF(Mitarbeiter!$G$10=FALSE,0,IF(AND(Mitarbeiter!$E$10&lt;&gt;"",GQ$5+6&lt;Mitarbeiter!$E$10),0,IF(AND(Mitarbeiter!$F$10&lt;&gt;"",GQ$5&gt;Mitarbeiter!$F$10),0,IF(Planung!GQ12="",$C12,IF(ISNUMBER(Planung!GQ12),Planung!GQ12,IF(UPPER(Planung!GQ12)="H",$C12/2,0)))))))</f>
        <v>0</v>
      </c>
      <c r="GR12" s="27">
        <f>IF($A12="",0,IF(Mitarbeiter!$G$10=FALSE,0,IF(AND(Mitarbeiter!$E$10&lt;&gt;"",GR$5+6&lt;Mitarbeiter!$E$10),0,IF(AND(Mitarbeiter!$F$10&lt;&gt;"",GR$5&gt;Mitarbeiter!$F$10),0,IF(Planung!GR12="",$C12,IF(ISNUMBER(Planung!GR12),Planung!GR12,IF(UPPER(Planung!GR12)="H",$C12/2,0)))))))</f>
        <v>0</v>
      </c>
      <c r="GS12" s="27">
        <f>IF($A12="",0,IF(Mitarbeiter!$G$10=FALSE,0,IF(AND(Mitarbeiter!$E$10&lt;&gt;"",GS$5+6&lt;Mitarbeiter!$E$10),0,IF(AND(Mitarbeiter!$F$10&lt;&gt;"",GS$5&gt;Mitarbeiter!$F$10),0,IF(Planung!GS12="",$C12,IF(ISNUMBER(Planung!GS12),Planung!GS12,IF(UPPER(Planung!GS12)="H",$C12/2,0)))))))</f>
        <v>0</v>
      </c>
      <c r="GT12" s="27">
        <f>IF($A12="",0,IF(Mitarbeiter!$G$10=FALSE,0,IF(AND(Mitarbeiter!$E$10&lt;&gt;"",GT$5+6&lt;Mitarbeiter!$E$10),0,IF(AND(Mitarbeiter!$F$10&lt;&gt;"",GT$5&gt;Mitarbeiter!$F$10),0,IF(Planung!GT12="",$C12,IF(ISNUMBER(Planung!GT12),Planung!GT12,IF(UPPER(Planung!GT12)="H",$C12/2,0)))))))</f>
        <v>0</v>
      </c>
      <c r="GU12" s="27">
        <f>IF($A12="",0,IF(Mitarbeiter!$G$10=FALSE,0,IF(AND(Mitarbeiter!$E$10&lt;&gt;"",GU$5+6&lt;Mitarbeiter!$E$10),0,IF(AND(Mitarbeiter!$F$10&lt;&gt;"",GU$5&gt;Mitarbeiter!$F$10),0,IF(Planung!GU12="",$C12,IF(ISNUMBER(Planung!GU12),Planung!GU12,IF(UPPER(Planung!GU12)="H",$C12/2,0)))))))</f>
        <v>0</v>
      </c>
      <c r="GV12" s="27">
        <f>IF($A12="",0,IF(Mitarbeiter!$G$10=FALSE,0,IF(AND(Mitarbeiter!$E$10&lt;&gt;"",GV$5+6&lt;Mitarbeiter!$E$10),0,IF(AND(Mitarbeiter!$F$10&lt;&gt;"",GV$5&gt;Mitarbeiter!$F$10),0,IF(Planung!GV12="",$C12,IF(ISNUMBER(Planung!GV12),Planung!GV12,IF(UPPER(Planung!GV12)="H",$C12/2,0)))))))</f>
        <v>0</v>
      </c>
      <c r="GW12" s="27">
        <f>IF($A12="",0,IF(Mitarbeiter!$G$10=FALSE,0,IF(AND(Mitarbeiter!$E$10&lt;&gt;"",GW$5+6&lt;Mitarbeiter!$E$10),0,IF(AND(Mitarbeiter!$F$10&lt;&gt;"",GW$5&gt;Mitarbeiter!$F$10),0,IF(Planung!GW12="",$C12,IF(ISNUMBER(Planung!GW12),Planung!GW12,IF(UPPER(Planung!GW12)="H",$C12/2,0)))))))</f>
        <v>0</v>
      </c>
      <c r="GX12" s="27">
        <f>IF($A12="",0,IF(Mitarbeiter!$G$10=FALSE,0,IF(AND(Mitarbeiter!$E$10&lt;&gt;"",GX$5+6&lt;Mitarbeiter!$E$10),0,IF(AND(Mitarbeiter!$F$10&lt;&gt;"",GX$5&gt;Mitarbeiter!$F$10),0,IF(Planung!GX12="",$C12,IF(ISNUMBER(Planung!GX12),Planung!GX12,IF(UPPER(Planung!GX12)="H",$C12/2,0)))))))</f>
        <v>0</v>
      </c>
      <c r="GY12" s="27">
        <f>IF($A12="",0,IF(Mitarbeiter!$G$10=FALSE,0,IF(AND(Mitarbeiter!$E$10&lt;&gt;"",GY$5+6&lt;Mitarbeiter!$E$10),0,IF(AND(Mitarbeiter!$F$10&lt;&gt;"",GY$5&gt;Mitarbeiter!$F$10),0,IF(Planung!GY12="",$C12,IF(ISNUMBER(Planung!GY12),Planung!GY12,IF(UPPER(Planung!GY12)="H",$C12/2,0)))))))</f>
        <v>0</v>
      </c>
      <c r="GZ12" s="27">
        <f>IF($A12="",0,IF(Mitarbeiter!$G$10=FALSE,0,IF(AND(Mitarbeiter!$E$10&lt;&gt;"",GZ$5+6&lt;Mitarbeiter!$E$10),0,IF(AND(Mitarbeiter!$F$10&lt;&gt;"",GZ$5&gt;Mitarbeiter!$F$10),0,IF(Planung!GZ12="",$C12,IF(ISNUMBER(Planung!GZ12),Planung!GZ12,IF(UPPER(Planung!GZ12)="H",$C12/2,0)))))))</f>
        <v>0</v>
      </c>
      <c r="HA12" s="27">
        <f>IF($A12="",0,IF(Mitarbeiter!$G$10=FALSE,0,IF(AND(Mitarbeiter!$E$10&lt;&gt;"",HA$5+6&lt;Mitarbeiter!$E$10),0,IF(AND(Mitarbeiter!$F$10&lt;&gt;"",HA$5&gt;Mitarbeiter!$F$10),0,IF(Planung!HA12="",$C12,IF(ISNUMBER(Planung!HA12),Planung!HA12,IF(UPPER(Planung!HA12)="H",$C12/2,0)))))))</f>
        <v>0</v>
      </c>
      <c r="HB12" s="27">
        <f>IF($A12="",0,IF(Mitarbeiter!$G$10=FALSE,0,IF(AND(Mitarbeiter!$E$10&lt;&gt;"",HB$5+6&lt;Mitarbeiter!$E$10),0,IF(AND(Mitarbeiter!$F$10&lt;&gt;"",HB$5&gt;Mitarbeiter!$F$10),0,IF(Planung!HB12="",$C12,IF(ISNUMBER(Planung!HB12),Planung!HB12,IF(UPPER(Planung!HB12)="H",$C12/2,0)))))))</f>
        <v>0</v>
      </c>
      <c r="HC12" s="27">
        <f>IF($A12="",0,IF(Mitarbeiter!$G$10=FALSE,0,IF(AND(Mitarbeiter!$E$10&lt;&gt;"",HC$5+6&lt;Mitarbeiter!$E$10),0,IF(AND(Mitarbeiter!$F$10&lt;&gt;"",HC$5&gt;Mitarbeiter!$F$10),0,IF(Planung!HC12="",$C12,IF(ISNUMBER(Planung!HC12),Planung!HC12,IF(UPPER(Planung!HC12)="H",$C12/2,0)))))))</f>
        <v>0</v>
      </c>
      <c r="HD12" s="27">
        <f>IF($A12="",0,IF(Mitarbeiter!$G$10=FALSE,0,IF(AND(Mitarbeiter!$E$10&lt;&gt;"",HD$5+6&lt;Mitarbeiter!$E$10),0,IF(AND(Mitarbeiter!$F$10&lt;&gt;"",HD$5&gt;Mitarbeiter!$F$10),0,IF(Planung!HD12="",$C12,IF(ISNUMBER(Planung!HD12),Planung!HD12,IF(UPPER(Planung!HD12)="H",$C12/2,0)))))))</f>
        <v>0</v>
      </c>
      <c r="HE12" s="27">
        <f>IF($A12="",0,IF(Mitarbeiter!$G$10=FALSE,0,IF(AND(Mitarbeiter!$E$10&lt;&gt;"",HE$5+6&lt;Mitarbeiter!$E$10),0,IF(AND(Mitarbeiter!$F$10&lt;&gt;"",HE$5&gt;Mitarbeiter!$F$10),0,IF(Planung!HE12="",$C12,IF(ISNUMBER(Planung!HE12),Planung!HE12,IF(UPPER(Planung!HE12)="H",$C12/2,0)))))))</f>
        <v>0</v>
      </c>
      <c r="HF12" s="27">
        <f>IF($A12="",0,IF(Mitarbeiter!$G$10=FALSE,0,IF(AND(Mitarbeiter!$E$10&lt;&gt;"",HF$5+6&lt;Mitarbeiter!$E$10),0,IF(AND(Mitarbeiter!$F$10&lt;&gt;"",HF$5&gt;Mitarbeiter!$F$10),0,IF(Planung!HF12="",$C12,IF(ISNUMBER(Planung!HF12),Planung!HF12,IF(UPPER(Planung!HF12)="H",$C12/2,0)))))))</f>
        <v>0</v>
      </c>
      <c r="HG12" s="27">
        <f>IF($A12="",0,IF(Mitarbeiter!$G$10=FALSE,0,IF(AND(Mitarbeiter!$E$10&lt;&gt;"",HG$5+6&lt;Mitarbeiter!$E$10),0,IF(AND(Mitarbeiter!$F$10&lt;&gt;"",HG$5&gt;Mitarbeiter!$F$10),0,IF(Planung!HG12="",$C12,IF(ISNUMBER(Planung!HG12),Planung!HG12,IF(UPPER(Planung!HG12)="H",$C12/2,0)))))))</f>
        <v>0</v>
      </c>
      <c r="HH12" s="27">
        <f>IF($A12="",0,IF(Mitarbeiter!$G$10=FALSE,0,IF(AND(Mitarbeiter!$E$10&lt;&gt;"",HH$5+6&lt;Mitarbeiter!$E$10),0,IF(AND(Mitarbeiter!$F$10&lt;&gt;"",HH$5&gt;Mitarbeiter!$F$10),0,IF(Planung!HH12="",$C12,IF(ISNUMBER(Planung!HH12),Planung!HH12,IF(UPPER(Planung!HH12)="H",$C12/2,0)))))))</f>
        <v>0</v>
      </c>
      <c r="HI12" s="27">
        <f>IF($A12="",0,IF(Mitarbeiter!$G$10=FALSE,0,IF(AND(Mitarbeiter!$E$10&lt;&gt;"",HI$5+6&lt;Mitarbeiter!$E$10),0,IF(AND(Mitarbeiter!$F$10&lt;&gt;"",HI$5&gt;Mitarbeiter!$F$10),0,IF(Planung!HI12="",$C12,IF(ISNUMBER(Planung!HI12),Planung!HI12,IF(UPPER(Planung!HI12)="H",$C12/2,0)))))))</f>
        <v>0</v>
      </c>
      <c r="HJ12" s="27">
        <f>IF($A12="",0,IF(Mitarbeiter!$G$10=FALSE,0,IF(AND(Mitarbeiter!$E$10&lt;&gt;"",HJ$5+6&lt;Mitarbeiter!$E$10),0,IF(AND(Mitarbeiter!$F$10&lt;&gt;"",HJ$5&gt;Mitarbeiter!$F$10),0,IF(Planung!HJ12="",$C12,IF(ISNUMBER(Planung!HJ12),Planung!HJ12,IF(UPPER(Planung!HJ12)="H",$C12/2,0)))))))</f>
        <v>0</v>
      </c>
      <c r="HK12" s="27">
        <f>IF($A12="",0,IF(Mitarbeiter!$G$10=FALSE,0,IF(AND(Mitarbeiter!$E$10&lt;&gt;"",HK$5+6&lt;Mitarbeiter!$E$10),0,IF(AND(Mitarbeiter!$F$10&lt;&gt;"",HK$5&gt;Mitarbeiter!$F$10),0,IF(Planung!HK12="",$C12,IF(ISNUMBER(Planung!HK12),Planung!HK12,IF(UPPER(Planung!HK12)="H",$C12/2,0)))))))</f>
        <v>0</v>
      </c>
      <c r="HL12" s="27">
        <f>IF($A12="",0,IF(Mitarbeiter!$G$10=FALSE,0,IF(AND(Mitarbeiter!$E$10&lt;&gt;"",HL$5+6&lt;Mitarbeiter!$E$10),0,IF(AND(Mitarbeiter!$F$10&lt;&gt;"",HL$5&gt;Mitarbeiter!$F$10),0,IF(Planung!HL12="",$C12,IF(ISNUMBER(Planung!HL12),Planung!HL12,IF(UPPER(Planung!HL12)="H",$C12/2,0)))))))</f>
        <v>0</v>
      </c>
      <c r="HM12" s="27">
        <f>IF($A12="",0,IF(Mitarbeiter!$G$10=FALSE,0,IF(AND(Mitarbeiter!$E$10&lt;&gt;"",HM$5+6&lt;Mitarbeiter!$E$10),0,IF(AND(Mitarbeiter!$F$10&lt;&gt;"",HM$5&gt;Mitarbeiter!$F$10),0,IF(Planung!HM12="",$C12,IF(ISNUMBER(Planung!HM12),Planung!HM12,IF(UPPER(Planung!HM12)="H",$C12/2,0)))))))</f>
        <v>0</v>
      </c>
      <c r="HN12" s="27">
        <f>IF($A12="",0,IF(Mitarbeiter!$G$10=FALSE,0,IF(AND(Mitarbeiter!$E$10&lt;&gt;"",HN$5+6&lt;Mitarbeiter!$E$10),0,IF(AND(Mitarbeiter!$F$10&lt;&gt;"",HN$5&gt;Mitarbeiter!$F$10),0,IF(Planung!HN12="",$C12,IF(ISNUMBER(Planung!HN12),Planung!HN12,IF(UPPER(Planung!HN12)="H",$C12/2,0)))))))</f>
        <v>0</v>
      </c>
      <c r="HO12" s="27">
        <f>IF($A12="",0,IF(Mitarbeiter!$G$10=FALSE,0,IF(AND(Mitarbeiter!$E$10&lt;&gt;"",HO$5+6&lt;Mitarbeiter!$E$10),0,IF(AND(Mitarbeiter!$F$10&lt;&gt;"",HO$5&gt;Mitarbeiter!$F$10),0,IF(Planung!HO12="",$C12,IF(ISNUMBER(Planung!HO12),Planung!HO12,IF(UPPER(Planung!HO12)="H",$C12/2,0)))))))</f>
        <v>0</v>
      </c>
      <c r="HP12" s="27">
        <f>IF($A12="",0,IF(Mitarbeiter!$G$10=FALSE,0,IF(AND(Mitarbeiter!$E$10&lt;&gt;"",HP$5+6&lt;Mitarbeiter!$E$10),0,IF(AND(Mitarbeiter!$F$10&lt;&gt;"",HP$5&gt;Mitarbeiter!$F$10),0,IF(Planung!HP12="",$C12,IF(ISNUMBER(Planung!HP12),Planung!HP12,IF(UPPER(Planung!HP12)="H",$C12/2,0)))))))</f>
        <v>0</v>
      </c>
      <c r="HQ12" s="27">
        <f>IF($A12="",0,IF(Mitarbeiter!$G$10=FALSE,0,IF(AND(Mitarbeiter!$E$10&lt;&gt;"",HQ$5+6&lt;Mitarbeiter!$E$10),0,IF(AND(Mitarbeiter!$F$10&lt;&gt;"",HQ$5&gt;Mitarbeiter!$F$10),0,IF(Planung!HQ12="",$C12,IF(ISNUMBER(Planung!HQ12),Planung!HQ12,IF(UPPER(Planung!HQ12)="H",$C12/2,0)))))))</f>
        <v>0</v>
      </c>
      <c r="HR12" s="27">
        <f>IF($A12="",0,IF(Mitarbeiter!$G$10=FALSE,0,IF(AND(Mitarbeiter!$E$10&lt;&gt;"",HR$5+6&lt;Mitarbeiter!$E$10),0,IF(AND(Mitarbeiter!$F$10&lt;&gt;"",HR$5&gt;Mitarbeiter!$F$10),0,IF(Planung!HR12="",$C12,IF(ISNUMBER(Planung!HR12),Planung!HR12,IF(UPPER(Planung!HR12)="H",$C12/2,0)))))))</f>
        <v>0</v>
      </c>
      <c r="HS12" s="27">
        <f>IF($A12="",0,IF(Mitarbeiter!$G$10=FALSE,0,IF(AND(Mitarbeiter!$E$10&lt;&gt;"",HS$5+6&lt;Mitarbeiter!$E$10),0,IF(AND(Mitarbeiter!$F$10&lt;&gt;"",HS$5&gt;Mitarbeiter!$F$10),0,IF(Planung!HS12="",$C12,IF(ISNUMBER(Planung!HS12),Planung!HS12,IF(UPPER(Planung!HS12)="H",$C12/2,0)))))))</f>
        <v>0</v>
      </c>
      <c r="HT12" s="27">
        <f>IF($A12="",0,IF(Mitarbeiter!$G$10=FALSE,0,IF(AND(Mitarbeiter!$E$10&lt;&gt;"",HT$5+6&lt;Mitarbeiter!$E$10),0,IF(AND(Mitarbeiter!$F$10&lt;&gt;"",HT$5&gt;Mitarbeiter!$F$10),0,IF(Planung!HT12="",$C12,IF(ISNUMBER(Planung!HT12),Planung!HT12,IF(UPPER(Planung!HT12)="H",$C12/2,0)))))))</f>
        <v>0</v>
      </c>
      <c r="HU12" s="27">
        <f>IF($A12="",0,IF(Mitarbeiter!$G$10=FALSE,0,IF(AND(Mitarbeiter!$E$10&lt;&gt;"",HU$5+6&lt;Mitarbeiter!$E$10),0,IF(AND(Mitarbeiter!$F$10&lt;&gt;"",HU$5&gt;Mitarbeiter!$F$10),0,IF(Planung!HU12="",$C12,IF(ISNUMBER(Planung!HU12),Planung!HU12,IF(UPPER(Planung!HU12)="H",$C12/2,0)))))))</f>
        <v>0</v>
      </c>
      <c r="HV12" s="27">
        <f>IF($A12="",0,IF(Mitarbeiter!$G$10=FALSE,0,IF(AND(Mitarbeiter!$E$10&lt;&gt;"",HV$5+6&lt;Mitarbeiter!$E$10),0,IF(AND(Mitarbeiter!$F$10&lt;&gt;"",HV$5&gt;Mitarbeiter!$F$10),0,IF(Planung!HV12="",$C12,IF(ISNUMBER(Planung!HV12),Planung!HV12,IF(UPPER(Planung!HV12)="H",$C12/2,0)))))))</f>
        <v>0</v>
      </c>
      <c r="HW12" s="27">
        <f>IF($A12="",0,IF(Mitarbeiter!$G$10=FALSE,0,IF(AND(Mitarbeiter!$E$10&lt;&gt;"",HW$5+6&lt;Mitarbeiter!$E$10),0,IF(AND(Mitarbeiter!$F$10&lt;&gt;"",HW$5&gt;Mitarbeiter!$F$10),0,IF(Planung!HW12="",$C12,IF(ISNUMBER(Planung!HW12),Planung!HW12,IF(UPPER(Planung!HW12)="H",$C12/2,0)))))))</f>
        <v>0</v>
      </c>
      <c r="HX12" s="27">
        <f>IF($A12="",0,IF(Mitarbeiter!$G$10=FALSE,0,IF(AND(Mitarbeiter!$E$10&lt;&gt;"",HX$5+6&lt;Mitarbeiter!$E$10),0,IF(AND(Mitarbeiter!$F$10&lt;&gt;"",HX$5&gt;Mitarbeiter!$F$10),0,IF(Planung!HX12="",$C12,IF(ISNUMBER(Planung!HX12),Planung!HX12,IF(UPPER(Planung!HX12)="H",$C12/2,0)))))))</f>
        <v>0</v>
      </c>
      <c r="HY12" s="27">
        <f>IF($A12="",0,IF(Mitarbeiter!$G$10=FALSE,0,IF(AND(Mitarbeiter!$E$10&lt;&gt;"",HY$5+6&lt;Mitarbeiter!$E$10),0,IF(AND(Mitarbeiter!$F$10&lt;&gt;"",HY$5&gt;Mitarbeiter!$F$10),0,IF(Planung!HY12="",$C12,IF(ISNUMBER(Planung!HY12),Planung!HY12,IF(UPPER(Planung!HY12)="H",$C12/2,0)))))))</f>
        <v>0</v>
      </c>
      <c r="HZ12" s="27">
        <f>IF($A12="",0,IF(Mitarbeiter!$G$10=FALSE,0,IF(AND(Mitarbeiter!$E$10&lt;&gt;"",HZ$5+6&lt;Mitarbeiter!$E$10),0,IF(AND(Mitarbeiter!$F$10&lt;&gt;"",HZ$5&gt;Mitarbeiter!$F$10),0,IF(Planung!HZ12="",$C12,IF(ISNUMBER(Planung!HZ12),Planung!HZ12,IF(UPPER(Planung!HZ12)="H",$C12/2,0)))))))</f>
        <v>0</v>
      </c>
      <c r="IA12" s="27">
        <f>IF($A12="",0,IF(Mitarbeiter!$G$10=FALSE,0,IF(AND(Mitarbeiter!$E$10&lt;&gt;"",IA$5+6&lt;Mitarbeiter!$E$10),0,IF(AND(Mitarbeiter!$F$10&lt;&gt;"",IA$5&gt;Mitarbeiter!$F$10),0,IF(Planung!IA12="",$C12,IF(ISNUMBER(Planung!IA12),Planung!IA12,IF(UPPER(Planung!IA12)="H",$C12/2,0)))))))</f>
        <v>0</v>
      </c>
    </row>
    <row r="13" spans="1:235" x14ac:dyDescent="0.25">
      <c r="A13" s="7" t="str">
        <f>Planung!A13</f>
        <v/>
      </c>
      <c r="B13" s="7" t="str">
        <f>Planung!B13</f>
        <v/>
      </c>
      <c r="C13" s="27">
        <f>N(Mitarbeiter!$D$11)</f>
        <v>0</v>
      </c>
      <c r="D13" s="27">
        <f>IF($A13="",0,IF(Mitarbeiter!$G$11=FALSE,0,IF(AND(Mitarbeiter!$E$11&lt;&gt;"",D$5+6&lt;Mitarbeiter!$E$11),0,IF(AND(Mitarbeiter!$F$11&lt;&gt;"",D$5&gt;Mitarbeiter!$F$11),0,IF(Planung!D13="",$C13,IF(ISNUMBER(Planung!D13),Planung!D13,IF(UPPER(Planung!D13)="H",$C13/2,0)))))))</f>
        <v>0</v>
      </c>
      <c r="E13" s="27">
        <f>IF($A13="",0,IF(Mitarbeiter!$G$11=FALSE,0,IF(AND(Mitarbeiter!$E$11&lt;&gt;"",E$5+6&lt;Mitarbeiter!$E$11),0,IF(AND(Mitarbeiter!$F$11&lt;&gt;"",E$5&gt;Mitarbeiter!$F$11),0,IF(Planung!E13="",$C13,IF(ISNUMBER(Planung!E13),Planung!E13,IF(UPPER(Planung!E13)="H",$C13/2,0)))))))</f>
        <v>0</v>
      </c>
      <c r="F13" s="27">
        <f>IF($A13="",0,IF(Mitarbeiter!$G$11=FALSE,0,IF(AND(Mitarbeiter!$E$11&lt;&gt;"",F$5+6&lt;Mitarbeiter!$E$11),0,IF(AND(Mitarbeiter!$F$11&lt;&gt;"",F$5&gt;Mitarbeiter!$F$11),0,IF(Planung!F13="",$C13,IF(ISNUMBER(Planung!F13),Planung!F13,IF(UPPER(Planung!F13)="H",$C13/2,0)))))))</f>
        <v>0</v>
      </c>
      <c r="G13" s="27">
        <f>IF($A13="",0,IF(Mitarbeiter!$G$11=FALSE,0,IF(AND(Mitarbeiter!$E$11&lt;&gt;"",G$5+6&lt;Mitarbeiter!$E$11),0,IF(AND(Mitarbeiter!$F$11&lt;&gt;"",G$5&gt;Mitarbeiter!$F$11),0,IF(Planung!G13="",$C13,IF(ISNUMBER(Planung!G13),Planung!G13,IF(UPPER(Planung!G13)="H",$C13/2,0)))))))</f>
        <v>0</v>
      </c>
      <c r="H13" s="27">
        <f>IF($A13="",0,IF(Mitarbeiter!$G$11=FALSE,0,IF(AND(Mitarbeiter!$E$11&lt;&gt;"",H$5+6&lt;Mitarbeiter!$E$11),0,IF(AND(Mitarbeiter!$F$11&lt;&gt;"",H$5&gt;Mitarbeiter!$F$11),0,IF(Planung!H13="",$C13,IF(ISNUMBER(Planung!H13),Planung!H13,IF(UPPER(Planung!H13)="H",$C13/2,0)))))))</f>
        <v>0</v>
      </c>
      <c r="I13" s="27">
        <f>IF($A13="",0,IF(Mitarbeiter!$G$11=FALSE,0,IF(AND(Mitarbeiter!$E$11&lt;&gt;"",I$5+6&lt;Mitarbeiter!$E$11),0,IF(AND(Mitarbeiter!$F$11&lt;&gt;"",I$5&gt;Mitarbeiter!$F$11),0,IF(Planung!I13="",$C13,IF(ISNUMBER(Planung!I13),Planung!I13,IF(UPPER(Planung!I13)="H",$C13/2,0)))))))</f>
        <v>0</v>
      </c>
      <c r="J13" s="27">
        <f>IF($A13="",0,IF(Mitarbeiter!$G$11=FALSE,0,IF(AND(Mitarbeiter!$E$11&lt;&gt;"",J$5+6&lt;Mitarbeiter!$E$11),0,IF(AND(Mitarbeiter!$F$11&lt;&gt;"",J$5&gt;Mitarbeiter!$F$11),0,IF(Planung!J13="",$C13,IF(ISNUMBER(Planung!J13),Planung!J13,IF(UPPER(Planung!J13)="H",$C13/2,0)))))))</f>
        <v>0</v>
      </c>
      <c r="K13" s="27">
        <f>IF($A13="",0,IF(Mitarbeiter!$G$11=FALSE,0,IF(AND(Mitarbeiter!$E$11&lt;&gt;"",K$5+6&lt;Mitarbeiter!$E$11),0,IF(AND(Mitarbeiter!$F$11&lt;&gt;"",K$5&gt;Mitarbeiter!$F$11),0,IF(Planung!K13="",$C13,IF(ISNUMBER(Planung!K13),Planung!K13,IF(UPPER(Planung!K13)="H",$C13/2,0)))))))</f>
        <v>0</v>
      </c>
      <c r="L13" s="27">
        <f>IF($A13="",0,IF(Mitarbeiter!$G$11=FALSE,0,IF(AND(Mitarbeiter!$E$11&lt;&gt;"",L$5+6&lt;Mitarbeiter!$E$11),0,IF(AND(Mitarbeiter!$F$11&lt;&gt;"",L$5&gt;Mitarbeiter!$F$11),0,IF(Planung!L13="",$C13,IF(ISNUMBER(Planung!L13),Planung!L13,IF(UPPER(Planung!L13)="H",$C13/2,0)))))))</f>
        <v>0</v>
      </c>
      <c r="M13" s="27">
        <f>IF($A13="",0,IF(Mitarbeiter!$G$11=FALSE,0,IF(AND(Mitarbeiter!$E$11&lt;&gt;"",M$5+6&lt;Mitarbeiter!$E$11),0,IF(AND(Mitarbeiter!$F$11&lt;&gt;"",M$5&gt;Mitarbeiter!$F$11),0,IF(Planung!M13="",$C13,IF(ISNUMBER(Planung!M13),Planung!M13,IF(UPPER(Planung!M13)="H",$C13/2,0)))))))</f>
        <v>0</v>
      </c>
      <c r="N13" s="27">
        <f>IF($A13="",0,IF(Mitarbeiter!$G$11=FALSE,0,IF(AND(Mitarbeiter!$E$11&lt;&gt;"",N$5+6&lt;Mitarbeiter!$E$11),0,IF(AND(Mitarbeiter!$F$11&lt;&gt;"",N$5&gt;Mitarbeiter!$F$11),0,IF(Planung!N13="",$C13,IF(ISNUMBER(Planung!N13),Planung!N13,IF(UPPER(Planung!N13)="H",$C13/2,0)))))))</f>
        <v>0</v>
      </c>
      <c r="O13" s="27">
        <f>IF($A13="",0,IF(Mitarbeiter!$G$11=FALSE,0,IF(AND(Mitarbeiter!$E$11&lt;&gt;"",O$5+6&lt;Mitarbeiter!$E$11),0,IF(AND(Mitarbeiter!$F$11&lt;&gt;"",O$5&gt;Mitarbeiter!$F$11),0,IF(Planung!O13="",$C13,IF(ISNUMBER(Planung!O13),Planung!O13,IF(UPPER(Planung!O13)="H",$C13/2,0)))))))</f>
        <v>0</v>
      </c>
      <c r="P13" s="27">
        <f>IF($A13="",0,IF(Mitarbeiter!$G$11=FALSE,0,IF(AND(Mitarbeiter!$E$11&lt;&gt;"",P$5+6&lt;Mitarbeiter!$E$11),0,IF(AND(Mitarbeiter!$F$11&lt;&gt;"",P$5&gt;Mitarbeiter!$F$11),0,IF(Planung!P13="",$C13,IF(ISNUMBER(Planung!P13),Planung!P13,IF(UPPER(Planung!P13)="H",$C13/2,0)))))))</f>
        <v>0</v>
      </c>
      <c r="Q13" s="27">
        <f>IF($A13="",0,IF(Mitarbeiter!$G$11=FALSE,0,IF(AND(Mitarbeiter!$E$11&lt;&gt;"",Q$5+6&lt;Mitarbeiter!$E$11),0,IF(AND(Mitarbeiter!$F$11&lt;&gt;"",Q$5&gt;Mitarbeiter!$F$11),0,IF(Planung!Q13="",$C13,IF(ISNUMBER(Planung!Q13),Planung!Q13,IF(UPPER(Planung!Q13)="H",$C13/2,0)))))))</f>
        <v>0</v>
      </c>
      <c r="R13" s="27">
        <f>IF($A13="",0,IF(Mitarbeiter!$G$11=FALSE,0,IF(AND(Mitarbeiter!$E$11&lt;&gt;"",R$5+6&lt;Mitarbeiter!$E$11),0,IF(AND(Mitarbeiter!$F$11&lt;&gt;"",R$5&gt;Mitarbeiter!$F$11),0,IF(Planung!R13="",$C13,IF(ISNUMBER(Planung!R13),Planung!R13,IF(UPPER(Planung!R13)="H",$C13/2,0)))))))</f>
        <v>0</v>
      </c>
      <c r="S13" s="27">
        <f>IF($A13="",0,IF(Mitarbeiter!$G$11=FALSE,0,IF(AND(Mitarbeiter!$E$11&lt;&gt;"",S$5+6&lt;Mitarbeiter!$E$11),0,IF(AND(Mitarbeiter!$F$11&lt;&gt;"",S$5&gt;Mitarbeiter!$F$11),0,IF(Planung!S13="",$C13,IF(ISNUMBER(Planung!S13),Planung!S13,IF(UPPER(Planung!S13)="H",$C13/2,0)))))))</f>
        <v>0</v>
      </c>
      <c r="T13" s="27">
        <f>IF($A13="",0,IF(Mitarbeiter!$G$11=FALSE,0,IF(AND(Mitarbeiter!$E$11&lt;&gt;"",T$5+6&lt;Mitarbeiter!$E$11),0,IF(AND(Mitarbeiter!$F$11&lt;&gt;"",T$5&gt;Mitarbeiter!$F$11),0,IF(Planung!T13="",$C13,IF(ISNUMBER(Planung!T13),Planung!T13,IF(UPPER(Planung!T13)="H",$C13/2,0)))))))</f>
        <v>0</v>
      </c>
      <c r="U13" s="27">
        <f>IF($A13="",0,IF(Mitarbeiter!$G$11=FALSE,0,IF(AND(Mitarbeiter!$E$11&lt;&gt;"",U$5+6&lt;Mitarbeiter!$E$11),0,IF(AND(Mitarbeiter!$F$11&lt;&gt;"",U$5&gt;Mitarbeiter!$F$11),0,IF(Planung!U13="",$C13,IF(ISNUMBER(Planung!U13),Planung!U13,IF(UPPER(Planung!U13)="H",$C13/2,0)))))))</f>
        <v>0</v>
      </c>
      <c r="V13" s="27">
        <f>IF($A13="",0,IF(Mitarbeiter!$G$11=FALSE,0,IF(AND(Mitarbeiter!$E$11&lt;&gt;"",V$5+6&lt;Mitarbeiter!$E$11),0,IF(AND(Mitarbeiter!$F$11&lt;&gt;"",V$5&gt;Mitarbeiter!$F$11),0,IF(Planung!V13="",$C13,IF(ISNUMBER(Planung!V13),Planung!V13,IF(UPPER(Planung!V13)="H",$C13/2,0)))))))</f>
        <v>0</v>
      </c>
      <c r="W13" s="27">
        <f>IF($A13="",0,IF(Mitarbeiter!$G$11=FALSE,0,IF(AND(Mitarbeiter!$E$11&lt;&gt;"",W$5+6&lt;Mitarbeiter!$E$11),0,IF(AND(Mitarbeiter!$F$11&lt;&gt;"",W$5&gt;Mitarbeiter!$F$11),0,IF(Planung!W13="",$C13,IF(ISNUMBER(Planung!W13),Planung!W13,IF(UPPER(Planung!W13)="H",$C13/2,0)))))))</f>
        <v>0</v>
      </c>
      <c r="X13" s="27">
        <f>IF($A13="",0,IF(Mitarbeiter!$G$11=FALSE,0,IF(AND(Mitarbeiter!$E$11&lt;&gt;"",X$5+6&lt;Mitarbeiter!$E$11),0,IF(AND(Mitarbeiter!$F$11&lt;&gt;"",X$5&gt;Mitarbeiter!$F$11),0,IF(Planung!X13="",$C13,IF(ISNUMBER(Planung!X13),Planung!X13,IF(UPPER(Planung!X13)="H",$C13/2,0)))))))</f>
        <v>0</v>
      </c>
      <c r="Y13" s="27">
        <f>IF($A13="",0,IF(Mitarbeiter!$G$11=FALSE,0,IF(AND(Mitarbeiter!$E$11&lt;&gt;"",Y$5+6&lt;Mitarbeiter!$E$11),0,IF(AND(Mitarbeiter!$F$11&lt;&gt;"",Y$5&gt;Mitarbeiter!$F$11),0,IF(Planung!Y13="",$C13,IF(ISNUMBER(Planung!Y13),Planung!Y13,IF(UPPER(Planung!Y13)="H",$C13/2,0)))))))</f>
        <v>0</v>
      </c>
      <c r="Z13" s="27">
        <f>IF($A13="",0,IF(Mitarbeiter!$G$11=FALSE,0,IF(AND(Mitarbeiter!$E$11&lt;&gt;"",Z$5+6&lt;Mitarbeiter!$E$11),0,IF(AND(Mitarbeiter!$F$11&lt;&gt;"",Z$5&gt;Mitarbeiter!$F$11),0,IF(Planung!Z13="",$C13,IF(ISNUMBER(Planung!Z13),Planung!Z13,IF(UPPER(Planung!Z13)="H",$C13/2,0)))))))</f>
        <v>0</v>
      </c>
      <c r="AA13" s="27">
        <f>IF($A13="",0,IF(Mitarbeiter!$G$11=FALSE,0,IF(AND(Mitarbeiter!$E$11&lt;&gt;"",AA$5+6&lt;Mitarbeiter!$E$11),0,IF(AND(Mitarbeiter!$F$11&lt;&gt;"",AA$5&gt;Mitarbeiter!$F$11),0,IF(Planung!AA13="",$C13,IF(ISNUMBER(Planung!AA13),Planung!AA13,IF(UPPER(Planung!AA13)="H",$C13/2,0)))))))</f>
        <v>0</v>
      </c>
      <c r="AB13" s="27">
        <f>IF($A13="",0,IF(Mitarbeiter!$G$11=FALSE,0,IF(AND(Mitarbeiter!$E$11&lt;&gt;"",AB$5+6&lt;Mitarbeiter!$E$11),0,IF(AND(Mitarbeiter!$F$11&lt;&gt;"",AB$5&gt;Mitarbeiter!$F$11),0,IF(Planung!AB13="",$C13,IF(ISNUMBER(Planung!AB13),Planung!AB13,IF(UPPER(Planung!AB13)="H",$C13/2,0)))))))</f>
        <v>0</v>
      </c>
      <c r="AC13" s="27">
        <f>IF($A13="",0,IF(Mitarbeiter!$G$11=FALSE,0,IF(AND(Mitarbeiter!$E$11&lt;&gt;"",AC$5+6&lt;Mitarbeiter!$E$11),0,IF(AND(Mitarbeiter!$F$11&lt;&gt;"",AC$5&gt;Mitarbeiter!$F$11),0,IF(Planung!AC13="",$C13,IF(ISNUMBER(Planung!AC13),Planung!AC13,IF(UPPER(Planung!AC13)="H",$C13/2,0)))))))</f>
        <v>0</v>
      </c>
      <c r="AD13" s="27">
        <f>IF($A13="",0,IF(Mitarbeiter!$G$11=FALSE,0,IF(AND(Mitarbeiter!$E$11&lt;&gt;"",AD$5+6&lt;Mitarbeiter!$E$11),0,IF(AND(Mitarbeiter!$F$11&lt;&gt;"",AD$5&gt;Mitarbeiter!$F$11),0,IF(Planung!AD13="",$C13,IF(ISNUMBER(Planung!AD13),Planung!AD13,IF(UPPER(Planung!AD13)="H",$C13/2,0)))))))</f>
        <v>0</v>
      </c>
      <c r="AE13" s="27">
        <f>IF($A13="",0,IF(Mitarbeiter!$G$11=FALSE,0,IF(AND(Mitarbeiter!$E$11&lt;&gt;"",AE$5+6&lt;Mitarbeiter!$E$11),0,IF(AND(Mitarbeiter!$F$11&lt;&gt;"",AE$5&gt;Mitarbeiter!$F$11),0,IF(Planung!AE13="",$C13,IF(ISNUMBER(Planung!AE13),Planung!AE13,IF(UPPER(Planung!AE13)="H",$C13/2,0)))))))</f>
        <v>0</v>
      </c>
      <c r="AF13" s="27">
        <f>IF($A13="",0,IF(Mitarbeiter!$G$11=FALSE,0,IF(AND(Mitarbeiter!$E$11&lt;&gt;"",AF$5+6&lt;Mitarbeiter!$E$11),0,IF(AND(Mitarbeiter!$F$11&lt;&gt;"",AF$5&gt;Mitarbeiter!$F$11),0,IF(Planung!AF13="",$C13,IF(ISNUMBER(Planung!AF13),Planung!AF13,IF(UPPER(Planung!AF13)="H",$C13/2,0)))))))</f>
        <v>0</v>
      </c>
      <c r="AG13" s="27">
        <f>IF($A13="",0,IF(Mitarbeiter!$G$11=FALSE,0,IF(AND(Mitarbeiter!$E$11&lt;&gt;"",AG$5+6&lt;Mitarbeiter!$E$11),0,IF(AND(Mitarbeiter!$F$11&lt;&gt;"",AG$5&gt;Mitarbeiter!$F$11),0,IF(Planung!AG13="",$C13,IF(ISNUMBER(Planung!AG13),Planung!AG13,IF(UPPER(Planung!AG13)="H",$C13/2,0)))))))</f>
        <v>0</v>
      </c>
      <c r="AH13" s="27">
        <f>IF($A13="",0,IF(Mitarbeiter!$G$11=FALSE,0,IF(AND(Mitarbeiter!$E$11&lt;&gt;"",AH$5+6&lt;Mitarbeiter!$E$11),0,IF(AND(Mitarbeiter!$F$11&lt;&gt;"",AH$5&gt;Mitarbeiter!$F$11),0,IF(Planung!AH13="",$C13,IF(ISNUMBER(Planung!AH13),Planung!AH13,IF(UPPER(Planung!AH13)="H",$C13/2,0)))))))</f>
        <v>0</v>
      </c>
      <c r="AI13" s="27">
        <f>IF($A13="",0,IF(Mitarbeiter!$G$11=FALSE,0,IF(AND(Mitarbeiter!$E$11&lt;&gt;"",AI$5+6&lt;Mitarbeiter!$E$11),0,IF(AND(Mitarbeiter!$F$11&lt;&gt;"",AI$5&gt;Mitarbeiter!$F$11),0,IF(Planung!AI13="",$C13,IF(ISNUMBER(Planung!AI13),Planung!AI13,IF(UPPER(Planung!AI13)="H",$C13/2,0)))))))</f>
        <v>0</v>
      </c>
      <c r="AJ13" s="27">
        <f>IF($A13="",0,IF(Mitarbeiter!$G$11=FALSE,0,IF(AND(Mitarbeiter!$E$11&lt;&gt;"",AJ$5+6&lt;Mitarbeiter!$E$11),0,IF(AND(Mitarbeiter!$F$11&lt;&gt;"",AJ$5&gt;Mitarbeiter!$F$11),0,IF(Planung!AJ13="",$C13,IF(ISNUMBER(Planung!AJ13),Planung!AJ13,IF(UPPER(Planung!AJ13)="H",$C13/2,0)))))))</f>
        <v>0</v>
      </c>
      <c r="AK13" s="27">
        <f>IF($A13="",0,IF(Mitarbeiter!$G$11=FALSE,0,IF(AND(Mitarbeiter!$E$11&lt;&gt;"",AK$5+6&lt;Mitarbeiter!$E$11),0,IF(AND(Mitarbeiter!$F$11&lt;&gt;"",AK$5&gt;Mitarbeiter!$F$11),0,IF(Planung!AK13="",$C13,IF(ISNUMBER(Planung!AK13),Planung!AK13,IF(UPPER(Planung!AK13)="H",$C13/2,0)))))))</f>
        <v>0</v>
      </c>
      <c r="AL13" s="27">
        <f>IF($A13="",0,IF(Mitarbeiter!$G$11=FALSE,0,IF(AND(Mitarbeiter!$E$11&lt;&gt;"",AL$5+6&lt;Mitarbeiter!$E$11),0,IF(AND(Mitarbeiter!$F$11&lt;&gt;"",AL$5&gt;Mitarbeiter!$F$11),0,IF(Planung!AL13="",$C13,IF(ISNUMBER(Planung!AL13),Planung!AL13,IF(UPPER(Planung!AL13)="H",$C13/2,0)))))))</f>
        <v>0</v>
      </c>
      <c r="AM13" s="27">
        <f>IF($A13="",0,IF(Mitarbeiter!$G$11=FALSE,0,IF(AND(Mitarbeiter!$E$11&lt;&gt;"",AM$5+6&lt;Mitarbeiter!$E$11),0,IF(AND(Mitarbeiter!$F$11&lt;&gt;"",AM$5&gt;Mitarbeiter!$F$11),0,IF(Planung!AM13="",$C13,IF(ISNUMBER(Planung!AM13),Planung!AM13,IF(UPPER(Planung!AM13)="H",$C13/2,0)))))))</f>
        <v>0</v>
      </c>
      <c r="AN13" s="27">
        <f>IF($A13="",0,IF(Mitarbeiter!$G$11=FALSE,0,IF(AND(Mitarbeiter!$E$11&lt;&gt;"",AN$5+6&lt;Mitarbeiter!$E$11),0,IF(AND(Mitarbeiter!$F$11&lt;&gt;"",AN$5&gt;Mitarbeiter!$F$11),0,IF(Planung!AN13="",$C13,IF(ISNUMBER(Planung!AN13),Planung!AN13,IF(UPPER(Planung!AN13)="H",$C13/2,0)))))))</f>
        <v>0</v>
      </c>
      <c r="AO13" s="27">
        <f>IF($A13="",0,IF(Mitarbeiter!$G$11=FALSE,0,IF(AND(Mitarbeiter!$E$11&lt;&gt;"",AO$5+6&lt;Mitarbeiter!$E$11),0,IF(AND(Mitarbeiter!$F$11&lt;&gt;"",AO$5&gt;Mitarbeiter!$F$11),0,IF(Planung!AO13="",$C13,IF(ISNUMBER(Planung!AO13),Planung!AO13,IF(UPPER(Planung!AO13)="H",$C13/2,0)))))))</f>
        <v>0</v>
      </c>
      <c r="AP13" s="27">
        <f>IF($A13="",0,IF(Mitarbeiter!$G$11=FALSE,0,IF(AND(Mitarbeiter!$E$11&lt;&gt;"",AP$5+6&lt;Mitarbeiter!$E$11),0,IF(AND(Mitarbeiter!$F$11&lt;&gt;"",AP$5&gt;Mitarbeiter!$F$11),0,IF(Planung!AP13="",$C13,IF(ISNUMBER(Planung!AP13),Planung!AP13,IF(UPPER(Planung!AP13)="H",$C13/2,0)))))))</f>
        <v>0</v>
      </c>
      <c r="AQ13" s="27">
        <f>IF($A13="",0,IF(Mitarbeiter!$G$11=FALSE,0,IF(AND(Mitarbeiter!$E$11&lt;&gt;"",AQ$5+6&lt;Mitarbeiter!$E$11),0,IF(AND(Mitarbeiter!$F$11&lt;&gt;"",AQ$5&gt;Mitarbeiter!$F$11),0,IF(Planung!AQ13="",$C13,IF(ISNUMBER(Planung!AQ13),Planung!AQ13,IF(UPPER(Planung!AQ13)="H",$C13/2,0)))))))</f>
        <v>0</v>
      </c>
      <c r="AR13" s="27">
        <f>IF($A13="",0,IF(Mitarbeiter!$G$11=FALSE,0,IF(AND(Mitarbeiter!$E$11&lt;&gt;"",AR$5+6&lt;Mitarbeiter!$E$11),0,IF(AND(Mitarbeiter!$F$11&lt;&gt;"",AR$5&gt;Mitarbeiter!$F$11),0,IF(Planung!AR13="",$C13,IF(ISNUMBER(Planung!AR13),Planung!AR13,IF(UPPER(Planung!AR13)="H",$C13/2,0)))))))</f>
        <v>0</v>
      </c>
      <c r="AS13" s="27">
        <f>IF($A13="",0,IF(Mitarbeiter!$G$11=FALSE,0,IF(AND(Mitarbeiter!$E$11&lt;&gt;"",AS$5+6&lt;Mitarbeiter!$E$11),0,IF(AND(Mitarbeiter!$F$11&lt;&gt;"",AS$5&gt;Mitarbeiter!$F$11),0,IF(Planung!AS13="",$C13,IF(ISNUMBER(Planung!AS13),Planung!AS13,IF(UPPER(Planung!AS13)="H",$C13/2,0)))))))</f>
        <v>0</v>
      </c>
      <c r="AT13" s="27">
        <f>IF($A13="",0,IF(Mitarbeiter!$G$11=FALSE,0,IF(AND(Mitarbeiter!$E$11&lt;&gt;"",AT$5+6&lt;Mitarbeiter!$E$11),0,IF(AND(Mitarbeiter!$F$11&lt;&gt;"",AT$5&gt;Mitarbeiter!$F$11),0,IF(Planung!AT13="",$C13,IF(ISNUMBER(Planung!AT13),Planung!AT13,IF(UPPER(Planung!AT13)="H",$C13/2,0)))))))</f>
        <v>0</v>
      </c>
      <c r="AU13" s="27">
        <f>IF($A13="",0,IF(Mitarbeiter!$G$11=FALSE,0,IF(AND(Mitarbeiter!$E$11&lt;&gt;"",AU$5+6&lt;Mitarbeiter!$E$11),0,IF(AND(Mitarbeiter!$F$11&lt;&gt;"",AU$5&gt;Mitarbeiter!$F$11),0,IF(Planung!AU13="",$C13,IF(ISNUMBER(Planung!AU13),Planung!AU13,IF(UPPER(Planung!AU13)="H",$C13/2,0)))))))</f>
        <v>0</v>
      </c>
      <c r="AV13" s="27">
        <f>IF($A13="",0,IF(Mitarbeiter!$G$11=FALSE,0,IF(AND(Mitarbeiter!$E$11&lt;&gt;"",AV$5+6&lt;Mitarbeiter!$E$11),0,IF(AND(Mitarbeiter!$F$11&lt;&gt;"",AV$5&gt;Mitarbeiter!$F$11),0,IF(Planung!AV13="",$C13,IF(ISNUMBER(Planung!AV13),Planung!AV13,IF(UPPER(Planung!AV13)="H",$C13/2,0)))))))</f>
        <v>0</v>
      </c>
      <c r="AW13" s="27">
        <f>IF($A13="",0,IF(Mitarbeiter!$G$11=FALSE,0,IF(AND(Mitarbeiter!$E$11&lt;&gt;"",AW$5+6&lt;Mitarbeiter!$E$11),0,IF(AND(Mitarbeiter!$F$11&lt;&gt;"",AW$5&gt;Mitarbeiter!$F$11),0,IF(Planung!AW13="",$C13,IF(ISNUMBER(Planung!AW13),Planung!AW13,IF(UPPER(Planung!AW13)="H",$C13/2,0)))))))</f>
        <v>0</v>
      </c>
      <c r="AX13" s="27">
        <f>IF($A13="",0,IF(Mitarbeiter!$G$11=FALSE,0,IF(AND(Mitarbeiter!$E$11&lt;&gt;"",AX$5+6&lt;Mitarbeiter!$E$11),0,IF(AND(Mitarbeiter!$F$11&lt;&gt;"",AX$5&gt;Mitarbeiter!$F$11),0,IF(Planung!AX13="",$C13,IF(ISNUMBER(Planung!AX13),Planung!AX13,IF(UPPER(Planung!AX13)="H",$C13/2,0)))))))</f>
        <v>0</v>
      </c>
      <c r="AY13" s="27">
        <f>IF($A13="",0,IF(Mitarbeiter!$G$11=FALSE,0,IF(AND(Mitarbeiter!$E$11&lt;&gt;"",AY$5+6&lt;Mitarbeiter!$E$11),0,IF(AND(Mitarbeiter!$F$11&lt;&gt;"",AY$5&gt;Mitarbeiter!$F$11),0,IF(Planung!AY13="",$C13,IF(ISNUMBER(Planung!AY13),Planung!AY13,IF(UPPER(Planung!AY13)="H",$C13/2,0)))))))</f>
        <v>0</v>
      </c>
      <c r="AZ13" s="27">
        <f>IF($A13="",0,IF(Mitarbeiter!$G$11=FALSE,0,IF(AND(Mitarbeiter!$E$11&lt;&gt;"",AZ$5+6&lt;Mitarbeiter!$E$11),0,IF(AND(Mitarbeiter!$F$11&lt;&gt;"",AZ$5&gt;Mitarbeiter!$F$11),0,IF(Planung!AZ13="",$C13,IF(ISNUMBER(Planung!AZ13),Planung!AZ13,IF(UPPER(Planung!AZ13)="H",$C13/2,0)))))))</f>
        <v>0</v>
      </c>
      <c r="BA13" s="27">
        <f>IF($A13="",0,IF(Mitarbeiter!$G$11=FALSE,0,IF(AND(Mitarbeiter!$E$11&lt;&gt;"",BA$5+6&lt;Mitarbeiter!$E$11),0,IF(AND(Mitarbeiter!$F$11&lt;&gt;"",BA$5&gt;Mitarbeiter!$F$11),0,IF(Planung!BA13="",$C13,IF(ISNUMBER(Planung!BA13),Planung!BA13,IF(UPPER(Planung!BA13)="H",$C13/2,0)))))))</f>
        <v>0</v>
      </c>
      <c r="BB13" s="27">
        <f>IF($A13="",0,IF(Mitarbeiter!$G$11=FALSE,0,IF(AND(Mitarbeiter!$E$11&lt;&gt;"",BB$5+6&lt;Mitarbeiter!$E$11),0,IF(AND(Mitarbeiter!$F$11&lt;&gt;"",BB$5&gt;Mitarbeiter!$F$11),0,IF(Planung!BB13="",$C13,IF(ISNUMBER(Planung!BB13),Planung!BB13,IF(UPPER(Planung!BB13)="H",$C13/2,0)))))))</f>
        <v>0</v>
      </c>
      <c r="BC13" s="27">
        <f>IF($A13="",0,IF(Mitarbeiter!$G$11=FALSE,0,IF(AND(Mitarbeiter!$E$11&lt;&gt;"",BC$5+6&lt;Mitarbeiter!$E$11),0,IF(AND(Mitarbeiter!$F$11&lt;&gt;"",BC$5&gt;Mitarbeiter!$F$11),0,IF(Planung!BC13="",$C13,IF(ISNUMBER(Planung!BC13),Planung!BC13,IF(UPPER(Planung!BC13)="H",$C13/2,0)))))))</f>
        <v>0</v>
      </c>
      <c r="BD13" s="27">
        <f>IF($A13="",0,IF(Mitarbeiter!$G$11=FALSE,0,IF(AND(Mitarbeiter!$E$11&lt;&gt;"",BD$5+6&lt;Mitarbeiter!$E$11),0,IF(AND(Mitarbeiter!$F$11&lt;&gt;"",BD$5&gt;Mitarbeiter!$F$11),0,IF(Planung!BD13="",$C13,IF(ISNUMBER(Planung!BD13),Planung!BD13,IF(UPPER(Planung!BD13)="H",$C13/2,0)))))))</f>
        <v>0</v>
      </c>
      <c r="BE13" s="27">
        <f>IF($A13="",0,IF(Mitarbeiter!$G$11=FALSE,0,IF(AND(Mitarbeiter!$E$11&lt;&gt;"",BE$5+6&lt;Mitarbeiter!$E$11),0,IF(AND(Mitarbeiter!$F$11&lt;&gt;"",BE$5&gt;Mitarbeiter!$F$11),0,IF(Planung!BE13="",$C13,IF(ISNUMBER(Planung!BE13),Planung!BE13,IF(UPPER(Planung!BE13)="H",$C13/2,0)))))))</f>
        <v>0</v>
      </c>
      <c r="BF13" s="27">
        <f>IF($A13="",0,IF(Mitarbeiter!$G$11=FALSE,0,IF(AND(Mitarbeiter!$E$11&lt;&gt;"",BF$5+6&lt;Mitarbeiter!$E$11),0,IF(AND(Mitarbeiter!$F$11&lt;&gt;"",BF$5&gt;Mitarbeiter!$F$11),0,IF(Planung!BF13="",$C13,IF(ISNUMBER(Planung!BF13),Planung!BF13,IF(UPPER(Planung!BF13)="H",$C13/2,0)))))))</f>
        <v>0</v>
      </c>
      <c r="BG13" s="27">
        <f>IF($A13="",0,IF(Mitarbeiter!$G$11=FALSE,0,IF(AND(Mitarbeiter!$E$11&lt;&gt;"",BG$5+6&lt;Mitarbeiter!$E$11),0,IF(AND(Mitarbeiter!$F$11&lt;&gt;"",BG$5&gt;Mitarbeiter!$F$11),0,IF(Planung!BG13="",$C13,IF(ISNUMBER(Planung!BG13),Planung!BG13,IF(UPPER(Planung!BG13)="H",$C13/2,0)))))))</f>
        <v>0</v>
      </c>
      <c r="BH13" s="27">
        <f>IF($A13="",0,IF(Mitarbeiter!$G$11=FALSE,0,IF(AND(Mitarbeiter!$E$11&lt;&gt;"",BH$5+6&lt;Mitarbeiter!$E$11),0,IF(AND(Mitarbeiter!$F$11&lt;&gt;"",BH$5&gt;Mitarbeiter!$F$11),0,IF(Planung!BH13="",$C13,IF(ISNUMBER(Planung!BH13),Planung!BH13,IF(UPPER(Planung!BH13)="H",$C13/2,0)))))))</f>
        <v>0</v>
      </c>
      <c r="BI13" s="27">
        <f>IF($A13="",0,IF(Mitarbeiter!$G$11=FALSE,0,IF(AND(Mitarbeiter!$E$11&lt;&gt;"",BI$5+6&lt;Mitarbeiter!$E$11),0,IF(AND(Mitarbeiter!$F$11&lt;&gt;"",BI$5&gt;Mitarbeiter!$F$11),0,IF(Planung!BI13="",$C13,IF(ISNUMBER(Planung!BI13),Planung!BI13,IF(UPPER(Planung!BI13)="H",$C13/2,0)))))))</f>
        <v>0</v>
      </c>
      <c r="BJ13" s="27">
        <f>IF($A13="",0,IF(Mitarbeiter!$G$11=FALSE,0,IF(AND(Mitarbeiter!$E$11&lt;&gt;"",BJ$5+6&lt;Mitarbeiter!$E$11),0,IF(AND(Mitarbeiter!$F$11&lt;&gt;"",BJ$5&gt;Mitarbeiter!$F$11),0,IF(Planung!BJ13="",$C13,IF(ISNUMBER(Planung!BJ13),Planung!BJ13,IF(UPPER(Planung!BJ13)="H",$C13/2,0)))))))</f>
        <v>0</v>
      </c>
      <c r="BK13" s="27">
        <f>IF($A13="",0,IF(Mitarbeiter!$G$11=FALSE,0,IF(AND(Mitarbeiter!$E$11&lt;&gt;"",BK$5+6&lt;Mitarbeiter!$E$11),0,IF(AND(Mitarbeiter!$F$11&lt;&gt;"",BK$5&gt;Mitarbeiter!$F$11),0,IF(Planung!BK13="",$C13,IF(ISNUMBER(Planung!BK13),Planung!BK13,IF(UPPER(Planung!BK13)="H",$C13/2,0)))))))</f>
        <v>0</v>
      </c>
      <c r="BL13" s="27">
        <f>IF($A13="",0,IF(Mitarbeiter!$G$11=FALSE,0,IF(AND(Mitarbeiter!$E$11&lt;&gt;"",BL$5+6&lt;Mitarbeiter!$E$11),0,IF(AND(Mitarbeiter!$F$11&lt;&gt;"",BL$5&gt;Mitarbeiter!$F$11),0,IF(Planung!BL13="",$C13,IF(ISNUMBER(Planung!BL13),Planung!BL13,IF(UPPER(Planung!BL13)="H",$C13/2,0)))))))</f>
        <v>0</v>
      </c>
      <c r="BM13" s="27">
        <f>IF($A13="",0,IF(Mitarbeiter!$G$11=FALSE,0,IF(AND(Mitarbeiter!$E$11&lt;&gt;"",BM$5+6&lt;Mitarbeiter!$E$11),0,IF(AND(Mitarbeiter!$F$11&lt;&gt;"",BM$5&gt;Mitarbeiter!$F$11),0,IF(Planung!BM13="",$C13,IF(ISNUMBER(Planung!BM13),Planung!BM13,IF(UPPER(Planung!BM13)="H",$C13/2,0)))))))</f>
        <v>0</v>
      </c>
      <c r="BN13" s="27">
        <f>IF($A13="",0,IF(Mitarbeiter!$G$11=FALSE,0,IF(AND(Mitarbeiter!$E$11&lt;&gt;"",BN$5+6&lt;Mitarbeiter!$E$11),0,IF(AND(Mitarbeiter!$F$11&lt;&gt;"",BN$5&gt;Mitarbeiter!$F$11),0,IF(Planung!BN13="",$C13,IF(ISNUMBER(Planung!BN13),Planung!BN13,IF(UPPER(Planung!BN13)="H",$C13/2,0)))))))</f>
        <v>0</v>
      </c>
      <c r="BO13" s="27">
        <f>IF($A13="",0,IF(Mitarbeiter!$G$11=FALSE,0,IF(AND(Mitarbeiter!$E$11&lt;&gt;"",BO$5+6&lt;Mitarbeiter!$E$11),0,IF(AND(Mitarbeiter!$F$11&lt;&gt;"",BO$5&gt;Mitarbeiter!$F$11),0,IF(Planung!BO13="",$C13,IF(ISNUMBER(Planung!BO13),Planung!BO13,IF(UPPER(Planung!BO13)="H",$C13/2,0)))))))</f>
        <v>0</v>
      </c>
      <c r="BP13" s="27">
        <f>IF($A13="",0,IF(Mitarbeiter!$G$11=FALSE,0,IF(AND(Mitarbeiter!$E$11&lt;&gt;"",BP$5+6&lt;Mitarbeiter!$E$11),0,IF(AND(Mitarbeiter!$F$11&lt;&gt;"",BP$5&gt;Mitarbeiter!$F$11),0,IF(Planung!BP13="",$C13,IF(ISNUMBER(Planung!BP13),Planung!BP13,IF(UPPER(Planung!BP13)="H",$C13/2,0)))))))</f>
        <v>0</v>
      </c>
      <c r="BQ13" s="27">
        <f>IF($A13="",0,IF(Mitarbeiter!$G$11=FALSE,0,IF(AND(Mitarbeiter!$E$11&lt;&gt;"",BQ$5+6&lt;Mitarbeiter!$E$11),0,IF(AND(Mitarbeiter!$F$11&lt;&gt;"",BQ$5&gt;Mitarbeiter!$F$11),0,IF(Planung!BQ13="",$C13,IF(ISNUMBER(Planung!BQ13),Planung!BQ13,IF(UPPER(Planung!BQ13)="H",$C13/2,0)))))))</f>
        <v>0</v>
      </c>
      <c r="BR13" s="27">
        <f>IF($A13="",0,IF(Mitarbeiter!$G$11=FALSE,0,IF(AND(Mitarbeiter!$E$11&lt;&gt;"",BR$5+6&lt;Mitarbeiter!$E$11),0,IF(AND(Mitarbeiter!$F$11&lt;&gt;"",BR$5&gt;Mitarbeiter!$F$11),0,IF(Planung!BR13="",$C13,IF(ISNUMBER(Planung!BR13),Planung!BR13,IF(UPPER(Planung!BR13)="H",$C13/2,0)))))))</f>
        <v>0</v>
      </c>
      <c r="BS13" s="27">
        <f>IF($A13="",0,IF(Mitarbeiter!$G$11=FALSE,0,IF(AND(Mitarbeiter!$E$11&lt;&gt;"",BS$5+6&lt;Mitarbeiter!$E$11),0,IF(AND(Mitarbeiter!$F$11&lt;&gt;"",BS$5&gt;Mitarbeiter!$F$11),0,IF(Planung!BS13="",$C13,IF(ISNUMBER(Planung!BS13),Planung!BS13,IF(UPPER(Planung!BS13)="H",$C13/2,0)))))))</f>
        <v>0</v>
      </c>
      <c r="BT13" s="27">
        <f>IF($A13="",0,IF(Mitarbeiter!$G$11=FALSE,0,IF(AND(Mitarbeiter!$E$11&lt;&gt;"",BT$5+6&lt;Mitarbeiter!$E$11),0,IF(AND(Mitarbeiter!$F$11&lt;&gt;"",BT$5&gt;Mitarbeiter!$F$11),0,IF(Planung!BT13="",$C13,IF(ISNUMBER(Planung!BT13),Planung!BT13,IF(UPPER(Planung!BT13)="H",$C13/2,0)))))))</f>
        <v>0</v>
      </c>
      <c r="BU13" s="27">
        <f>IF($A13="",0,IF(Mitarbeiter!$G$11=FALSE,0,IF(AND(Mitarbeiter!$E$11&lt;&gt;"",BU$5+6&lt;Mitarbeiter!$E$11),0,IF(AND(Mitarbeiter!$F$11&lt;&gt;"",BU$5&gt;Mitarbeiter!$F$11),0,IF(Planung!BU13="",$C13,IF(ISNUMBER(Planung!BU13),Planung!BU13,IF(UPPER(Planung!BU13)="H",$C13/2,0)))))))</f>
        <v>0</v>
      </c>
      <c r="BV13" s="27">
        <f>IF($A13="",0,IF(Mitarbeiter!$G$11=FALSE,0,IF(AND(Mitarbeiter!$E$11&lt;&gt;"",BV$5+6&lt;Mitarbeiter!$E$11),0,IF(AND(Mitarbeiter!$F$11&lt;&gt;"",BV$5&gt;Mitarbeiter!$F$11),0,IF(Planung!BV13="",$C13,IF(ISNUMBER(Planung!BV13),Planung!BV13,IF(UPPER(Planung!BV13)="H",$C13/2,0)))))))</f>
        <v>0</v>
      </c>
      <c r="BW13" s="27">
        <f>IF($A13="",0,IF(Mitarbeiter!$G$11=FALSE,0,IF(AND(Mitarbeiter!$E$11&lt;&gt;"",BW$5+6&lt;Mitarbeiter!$E$11),0,IF(AND(Mitarbeiter!$F$11&lt;&gt;"",BW$5&gt;Mitarbeiter!$F$11),0,IF(Planung!BW13="",$C13,IF(ISNUMBER(Planung!BW13),Planung!BW13,IF(UPPER(Planung!BW13)="H",$C13/2,0)))))))</f>
        <v>0</v>
      </c>
      <c r="BX13" s="27">
        <f>IF($A13="",0,IF(Mitarbeiter!$G$11=FALSE,0,IF(AND(Mitarbeiter!$E$11&lt;&gt;"",BX$5+6&lt;Mitarbeiter!$E$11),0,IF(AND(Mitarbeiter!$F$11&lt;&gt;"",BX$5&gt;Mitarbeiter!$F$11),0,IF(Planung!BX13="",$C13,IF(ISNUMBER(Planung!BX13),Planung!BX13,IF(UPPER(Planung!BX13)="H",$C13/2,0)))))))</f>
        <v>0</v>
      </c>
      <c r="BY13" s="27">
        <f>IF($A13="",0,IF(Mitarbeiter!$G$11=FALSE,0,IF(AND(Mitarbeiter!$E$11&lt;&gt;"",BY$5+6&lt;Mitarbeiter!$E$11),0,IF(AND(Mitarbeiter!$F$11&lt;&gt;"",BY$5&gt;Mitarbeiter!$F$11),0,IF(Planung!BY13="",$C13,IF(ISNUMBER(Planung!BY13),Planung!BY13,IF(UPPER(Planung!BY13)="H",$C13/2,0)))))))</f>
        <v>0</v>
      </c>
      <c r="BZ13" s="27">
        <f>IF($A13="",0,IF(Mitarbeiter!$G$11=FALSE,0,IF(AND(Mitarbeiter!$E$11&lt;&gt;"",BZ$5+6&lt;Mitarbeiter!$E$11),0,IF(AND(Mitarbeiter!$F$11&lt;&gt;"",BZ$5&gt;Mitarbeiter!$F$11),0,IF(Planung!BZ13="",$C13,IF(ISNUMBER(Planung!BZ13),Planung!BZ13,IF(UPPER(Planung!BZ13)="H",$C13/2,0)))))))</f>
        <v>0</v>
      </c>
      <c r="CA13" s="27">
        <f>IF($A13="",0,IF(Mitarbeiter!$G$11=FALSE,0,IF(AND(Mitarbeiter!$E$11&lt;&gt;"",CA$5+6&lt;Mitarbeiter!$E$11),0,IF(AND(Mitarbeiter!$F$11&lt;&gt;"",CA$5&gt;Mitarbeiter!$F$11),0,IF(Planung!CA13="",$C13,IF(ISNUMBER(Planung!CA13),Planung!CA13,IF(UPPER(Planung!CA13)="H",$C13/2,0)))))))</f>
        <v>0</v>
      </c>
      <c r="CB13" s="27">
        <f>IF($A13="",0,IF(Mitarbeiter!$G$11=FALSE,0,IF(AND(Mitarbeiter!$E$11&lt;&gt;"",CB$5+6&lt;Mitarbeiter!$E$11),0,IF(AND(Mitarbeiter!$F$11&lt;&gt;"",CB$5&gt;Mitarbeiter!$F$11),0,IF(Planung!CB13="",$C13,IF(ISNUMBER(Planung!CB13),Planung!CB13,IF(UPPER(Planung!CB13)="H",$C13/2,0)))))))</f>
        <v>0</v>
      </c>
      <c r="CC13" s="27">
        <f>IF($A13="",0,IF(Mitarbeiter!$G$11=FALSE,0,IF(AND(Mitarbeiter!$E$11&lt;&gt;"",CC$5+6&lt;Mitarbeiter!$E$11),0,IF(AND(Mitarbeiter!$F$11&lt;&gt;"",CC$5&gt;Mitarbeiter!$F$11),0,IF(Planung!CC13="",$C13,IF(ISNUMBER(Planung!CC13),Planung!CC13,IF(UPPER(Planung!CC13)="H",$C13/2,0)))))))</f>
        <v>0</v>
      </c>
      <c r="CD13" s="27">
        <f>IF($A13="",0,IF(Mitarbeiter!$G$11=FALSE,0,IF(AND(Mitarbeiter!$E$11&lt;&gt;"",CD$5+6&lt;Mitarbeiter!$E$11),0,IF(AND(Mitarbeiter!$F$11&lt;&gt;"",CD$5&gt;Mitarbeiter!$F$11),0,IF(Planung!CD13="",$C13,IF(ISNUMBER(Planung!CD13),Planung!CD13,IF(UPPER(Planung!CD13)="H",$C13/2,0)))))))</f>
        <v>0</v>
      </c>
      <c r="CE13" s="27">
        <f>IF($A13="",0,IF(Mitarbeiter!$G$11=FALSE,0,IF(AND(Mitarbeiter!$E$11&lt;&gt;"",CE$5+6&lt;Mitarbeiter!$E$11),0,IF(AND(Mitarbeiter!$F$11&lt;&gt;"",CE$5&gt;Mitarbeiter!$F$11),0,IF(Planung!CE13="",$C13,IF(ISNUMBER(Planung!CE13),Planung!CE13,IF(UPPER(Planung!CE13)="H",$C13/2,0)))))))</f>
        <v>0</v>
      </c>
      <c r="CF13" s="27">
        <f>IF($A13="",0,IF(Mitarbeiter!$G$11=FALSE,0,IF(AND(Mitarbeiter!$E$11&lt;&gt;"",CF$5+6&lt;Mitarbeiter!$E$11),0,IF(AND(Mitarbeiter!$F$11&lt;&gt;"",CF$5&gt;Mitarbeiter!$F$11),0,IF(Planung!CF13="",$C13,IF(ISNUMBER(Planung!CF13),Planung!CF13,IF(UPPER(Planung!CF13)="H",$C13/2,0)))))))</f>
        <v>0</v>
      </c>
      <c r="CG13" s="27">
        <f>IF($A13="",0,IF(Mitarbeiter!$G$11=FALSE,0,IF(AND(Mitarbeiter!$E$11&lt;&gt;"",CG$5+6&lt;Mitarbeiter!$E$11),0,IF(AND(Mitarbeiter!$F$11&lt;&gt;"",CG$5&gt;Mitarbeiter!$F$11),0,IF(Planung!CG13="",$C13,IF(ISNUMBER(Planung!CG13),Planung!CG13,IF(UPPER(Planung!CG13)="H",$C13/2,0)))))))</f>
        <v>0</v>
      </c>
      <c r="CH13" s="27">
        <f>IF($A13="",0,IF(Mitarbeiter!$G$11=FALSE,0,IF(AND(Mitarbeiter!$E$11&lt;&gt;"",CH$5+6&lt;Mitarbeiter!$E$11),0,IF(AND(Mitarbeiter!$F$11&lt;&gt;"",CH$5&gt;Mitarbeiter!$F$11),0,IF(Planung!CH13="",$C13,IF(ISNUMBER(Planung!CH13),Planung!CH13,IF(UPPER(Planung!CH13)="H",$C13/2,0)))))))</f>
        <v>0</v>
      </c>
      <c r="CI13" s="27">
        <f>IF($A13="",0,IF(Mitarbeiter!$G$11=FALSE,0,IF(AND(Mitarbeiter!$E$11&lt;&gt;"",CI$5+6&lt;Mitarbeiter!$E$11),0,IF(AND(Mitarbeiter!$F$11&lt;&gt;"",CI$5&gt;Mitarbeiter!$F$11),0,IF(Planung!CI13="",$C13,IF(ISNUMBER(Planung!CI13),Planung!CI13,IF(UPPER(Planung!CI13)="H",$C13/2,0)))))))</f>
        <v>0</v>
      </c>
      <c r="CJ13" s="27">
        <f>IF($A13="",0,IF(Mitarbeiter!$G$11=FALSE,0,IF(AND(Mitarbeiter!$E$11&lt;&gt;"",CJ$5+6&lt;Mitarbeiter!$E$11),0,IF(AND(Mitarbeiter!$F$11&lt;&gt;"",CJ$5&gt;Mitarbeiter!$F$11),0,IF(Planung!CJ13="",$C13,IF(ISNUMBER(Planung!CJ13),Planung!CJ13,IF(UPPER(Planung!CJ13)="H",$C13/2,0)))))))</f>
        <v>0</v>
      </c>
      <c r="CK13" s="27">
        <f>IF($A13="",0,IF(Mitarbeiter!$G$11=FALSE,0,IF(AND(Mitarbeiter!$E$11&lt;&gt;"",CK$5+6&lt;Mitarbeiter!$E$11),0,IF(AND(Mitarbeiter!$F$11&lt;&gt;"",CK$5&gt;Mitarbeiter!$F$11),0,IF(Planung!CK13="",$C13,IF(ISNUMBER(Planung!CK13),Planung!CK13,IF(UPPER(Planung!CK13)="H",$C13/2,0)))))))</f>
        <v>0</v>
      </c>
      <c r="CL13" s="27">
        <f>IF($A13="",0,IF(Mitarbeiter!$G$11=FALSE,0,IF(AND(Mitarbeiter!$E$11&lt;&gt;"",CL$5+6&lt;Mitarbeiter!$E$11),0,IF(AND(Mitarbeiter!$F$11&lt;&gt;"",CL$5&gt;Mitarbeiter!$F$11),0,IF(Planung!CL13="",$C13,IF(ISNUMBER(Planung!CL13),Planung!CL13,IF(UPPER(Planung!CL13)="H",$C13/2,0)))))))</f>
        <v>0</v>
      </c>
      <c r="CM13" s="27">
        <f>IF($A13="",0,IF(Mitarbeiter!$G$11=FALSE,0,IF(AND(Mitarbeiter!$E$11&lt;&gt;"",CM$5+6&lt;Mitarbeiter!$E$11),0,IF(AND(Mitarbeiter!$F$11&lt;&gt;"",CM$5&gt;Mitarbeiter!$F$11),0,IF(Planung!CM13="",$C13,IF(ISNUMBER(Planung!CM13),Planung!CM13,IF(UPPER(Planung!CM13)="H",$C13/2,0)))))))</f>
        <v>0</v>
      </c>
      <c r="CN13" s="27">
        <f>IF($A13="",0,IF(Mitarbeiter!$G$11=FALSE,0,IF(AND(Mitarbeiter!$E$11&lt;&gt;"",CN$5+6&lt;Mitarbeiter!$E$11),0,IF(AND(Mitarbeiter!$F$11&lt;&gt;"",CN$5&gt;Mitarbeiter!$F$11),0,IF(Planung!CN13="",$C13,IF(ISNUMBER(Planung!CN13),Planung!CN13,IF(UPPER(Planung!CN13)="H",$C13/2,0)))))))</f>
        <v>0</v>
      </c>
      <c r="CO13" s="27">
        <f>IF($A13="",0,IF(Mitarbeiter!$G$11=FALSE,0,IF(AND(Mitarbeiter!$E$11&lt;&gt;"",CO$5+6&lt;Mitarbeiter!$E$11),0,IF(AND(Mitarbeiter!$F$11&lt;&gt;"",CO$5&gt;Mitarbeiter!$F$11),0,IF(Planung!CO13="",$C13,IF(ISNUMBER(Planung!CO13),Planung!CO13,IF(UPPER(Planung!CO13)="H",$C13/2,0)))))))</f>
        <v>0</v>
      </c>
      <c r="CP13" s="27">
        <f>IF($A13="",0,IF(Mitarbeiter!$G$11=FALSE,0,IF(AND(Mitarbeiter!$E$11&lt;&gt;"",CP$5+6&lt;Mitarbeiter!$E$11),0,IF(AND(Mitarbeiter!$F$11&lt;&gt;"",CP$5&gt;Mitarbeiter!$F$11),0,IF(Planung!CP13="",$C13,IF(ISNUMBER(Planung!CP13),Planung!CP13,IF(UPPER(Planung!CP13)="H",$C13/2,0)))))))</f>
        <v>0</v>
      </c>
      <c r="CQ13" s="27">
        <f>IF($A13="",0,IF(Mitarbeiter!$G$11=FALSE,0,IF(AND(Mitarbeiter!$E$11&lt;&gt;"",CQ$5+6&lt;Mitarbeiter!$E$11),0,IF(AND(Mitarbeiter!$F$11&lt;&gt;"",CQ$5&gt;Mitarbeiter!$F$11),0,IF(Planung!CQ13="",$C13,IF(ISNUMBER(Planung!CQ13),Planung!CQ13,IF(UPPER(Planung!CQ13)="H",$C13/2,0)))))))</f>
        <v>0</v>
      </c>
      <c r="CR13" s="27">
        <f>IF($A13="",0,IF(Mitarbeiter!$G$11=FALSE,0,IF(AND(Mitarbeiter!$E$11&lt;&gt;"",CR$5+6&lt;Mitarbeiter!$E$11),0,IF(AND(Mitarbeiter!$F$11&lt;&gt;"",CR$5&gt;Mitarbeiter!$F$11),0,IF(Planung!CR13="",$C13,IF(ISNUMBER(Planung!CR13),Planung!CR13,IF(UPPER(Planung!CR13)="H",$C13/2,0)))))))</f>
        <v>0</v>
      </c>
      <c r="CS13" s="27">
        <f>IF($A13="",0,IF(Mitarbeiter!$G$11=FALSE,0,IF(AND(Mitarbeiter!$E$11&lt;&gt;"",CS$5+6&lt;Mitarbeiter!$E$11),0,IF(AND(Mitarbeiter!$F$11&lt;&gt;"",CS$5&gt;Mitarbeiter!$F$11),0,IF(Planung!CS13="",$C13,IF(ISNUMBER(Planung!CS13),Planung!CS13,IF(UPPER(Planung!CS13)="H",$C13/2,0)))))))</f>
        <v>0</v>
      </c>
      <c r="CT13" s="27">
        <f>IF($A13="",0,IF(Mitarbeiter!$G$11=FALSE,0,IF(AND(Mitarbeiter!$E$11&lt;&gt;"",CT$5+6&lt;Mitarbeiter!$E$11),0,IF(AND(Mitarbeiter!$F$11&lt;&gt;"",CT$5&gt;Mitarbeiter!$F$11),0,IF(Planung!CT13="",$C13,IF(ISNUMBER(Planung!CT13),Planung!CT13,IF(UPPER(Planung!CT13)="H",$C13/2,0)))))))</f>
        <v>0</v>
      </c>
      <c r="CU13" s="27">
        <f>IF($A13="",0,IF(Mitarbeiter!$G$11=FALSE,0,IF(AND(Mitarbeiter!$E$11&lt;&gt;"",CU$5+6&lt;Mitarbeiter!$E$11),0,IF(AND(Mitarbeiter!$F$11&lt;&gt;"",CU$5&gt;Mitarbeiter!$F$11),0,IF(Planung!CU13="",$C13,IF(ISNUMBER(Planung!CU13),Planung!CU13,IF(UPPER(Planung!CU13)="H",$C13/2,0)))))))</f>
        <v>0</v>
      </c>
      <c r="CV13" s="27">
        <f>IF($A13="",0,IF(Mitarbeiter!$G$11=FALSE,0,IF(AND(Mitarbeiter!$E$11&lt;&gt;"",CV$5+6&lt;Mitarbeiter!$E$11),0,IF(AND(Mitarbeiter!$F$11&lt;&gt;"",CV$5&gt;Mitarbeiter!$F$11),0,IF(Planung!CV13="",$C13,IF(ISNUMBER(Planung!CV13),Planung!CV13,IF(UPPER(Planung!CV13)="H",$C13/2,0)))))))</f>
        <v>0</v>
      </c>
      <c r="CW13" s="27">
        <f>IF($A13="",0,IF(Mitarbeiter!$G$11=FALSE,0,IF(AND(Mitarbeiter!$E$11&lt;&gt;"",CW$5+6&lt;Mitarbeiter!$E$11),0,IF(AND(Mitarbeiter!$F$11&lt;&gt;"",CW$5&gt;Mitarbeiter!$F$11),0,IF(Planung!CW13="",$C13,IF(ISNUMBER(Planung!CW13),Planung!CW13,IF(UPPER(Planung!CW13)="H",$C13/2,0)))))))</f>
        <v>0</v>
      </c>
      <c r="CX13" s="27">
        <f>IF($A13="",0,IF(Mitarbeiter!$G$11=FALSE,0,IF(AND(Mitarbeiter!$E$11&lt;&gt;"",CX$5+6&lt;Mitarbeiter!$E$11),0,IF(AND(Mitarbeiter!$F$11&lt;&gt;"",CX$5&gt;Mitarbeiter!$F$11),0,IF(Planung!CX13="",$C13,IF(ISNUMBER(Planung!CX13),Planung!CX13,IF(UPPER(Planung!CX13)="H",$C13/2,0)))))))</f>
        <v>0</v>
      </c>
      <c r="CY13" s="27">
        <f>IF($A13="",0,IF(Mitarbeiter!$G$11=FALSE,0,IF(AND(Mitarbeiter!$E$11&lt;&gt;"",CY$5+6&lt;Mitarbeiter!$E$11),0,IF(AND(Mitarbeiter!$F$11&lt;&gt;"",CY$5&gt;Mitarbeiter!$F$11),0,IF(Planung!CY13="",$C13,IF(ISNUMBER(Planung!CY13),Planung!CY13,IF(UPPER(Planung!CY13)="H",$C13/2,0)))))))</f>
        <v>0</v>
      </c>
      <c r="CZ13" s="27">
        <f>IF($A13="",0,IF(Mitarbeiter!$G$11=FALSE,0,IF(AND(Mitarbeiter!$E$11&lt;&gt;"",CZ$5+6&lt;Mitarbeiter!$E$11),0,IF(AND(Mitarbeiter!$F$11&lt;&gt;"",CZ$5&gt;Mitarbeiter!$F$11),0,IF(Planung!CZ13="",$C13,IF(ISNUMBER(Planung!CZ13),Planung!CZ13,IF(UPPER(Planung!CZ13)="H",$C13/2,0)))))))</f>
        <v>0</v>
      </c>
      <c r="DA13" s="27">
        <f>IF($A13="",0,IF(Mitarbeiter!$G$11=FALSE,0,IF(AND(Mitarbeiter!$E$11&lt;&gt;"",DA$5+6&lt;Mitarbeiter!$E$11),0,IF(AND(Mitarbeiter!$F$11&lt;&gt;"",DA$5&gt;Mitarbeiter!$F$11),0,IF(Planung!DA13="",$C13,IF(ISNUMBER(Planung!DA13),Planung!DA13,IF(UPPER(Planung!DA13)="H",$C13/2,0)))))))</f>
        <v>0</v>
      </c>
      <c r="DB13" s="27">
        <f>IF($A13="",0,IF(Mitarbeiter!$G$11=FALSE,0,IF(AND(Mitarbeiter!$E$11&lt;&gt;"",DB$5+6&lt;Mitarbeiter!$E$11),0,IF(AND(Mitarbeiter!$F$11&lt;&gt;"",DB$5&gt;Mitarbeiter!$F$11),0,IF(Planung!DB13="",$C13,IF(ISNUMBER(Planung!DB13),Planung!DB13,IF(UPPER(Planung!DB13)="H",$C13/2,0)))))))</f>
        <v>0</v>
      </c>
      <c r="DC13" s="27">
        <f>IF($A13="",0,IF(Mitarbeiter!$G$11=FALSE,0,IF(AND(Mitarbeiter!$E$11&lt;&gt;"",DC$5+6&lt;Mitarbeiter!$E$11),0,IF(AND(Mitarbeiter!$F$11&lt;&gt;"",DC$5&gt;Mitarbeiter!$F$11),0,IF(Planung!DC13="",$C13,IF(ISNUMBER(Planung!DC13),Planung!DC13,IF(UPPER(Planung!DC13)="H",$C13/2,0)))))))</f>
        <v>0</v>
      </c>
      <c r="DD13" s="27">
        <f>IF($A13="",0,IF(Mitarbeiter!$G$11=FALSE,0,IF(AND(Mitarbeiter!$E$11&lt;&gt;"",DD$5+6&lt;Mitarbeiter!$E$11),0,IF(AND(Mitarbeiter!$F$11&lt;&gt;"",DD$5&gt;Mitarbeiter!$F$11),0,IF(Planung!DD13="",$C13,IF(ISNUMBER(Planung!DD13),Planung!DD13,IF(UPPER(Planung!DD13)="H",$C13/2,0)))))))</f>
        <v>0</v>
      </c>
      <c r="DE13" s="27">
        <f>IF($A13="",0,IF(Mitarbeiter!$G$11=FALSE,0,IF(AND(Mitarbeiter!$E$11&lt;&gt;"",DE$5+6&lt;Mitarbeiter!$E$11),0,IF(AND(Mitarbeiter!$F$11&lt;&gt;"",DE$5&gt;Mitarbeiter!$F$11),0,IF(Planung!DE13="",$C13,IF(ISNUMBER(Planung!DE13),Planung!DE13,IF(UPPER(Planung!DE13)="H",$C13/2,0)))))))</f>
        <v>0</v>
      </c>
      <c r="DF13" s="27">
        <f>IF($A13="",0,IF(Mitarbeiter!$G$11=FALSE,0,IF(AND(Mitarbeiter!$E$11&lt;&gt;"",DF$5+6&lt;Mitarbeiter!$E$11),0,IF(AND(Mitarbeiter!$F$11&lt;&gt;"",DF$5&gt;Mitarbeiter!$F$11),0,IF(Planung!DF13="",$C13,IF(ISNUMBER(Planung!DF13),Planung!DF13,IF(UPPER(Planung!DF13)="H",$C13/2,0)))))))</f>
        <v>0</v>
      </c>
      <c r="DG13" s="27">
        <f>IF($A13="",0,IF(Mitarbeiter!$G$11=FALSE,0,IF(AND(Mitarbeiter!$E$11&lt;&gt;"",DG$5+6&lt;Mitarbeiter!$E$11),0,IF(AND(Mitarbeiter!$F$11&lt;&gt;"",DG$5&gt;Mitarbeiter!$F$11),0,IF(Planung!DG13="",$C13,IF(ISNUMBER(Planung!DG13),Planung!DG13,IF(UPPER(Planung!DG13)="H",$C13/2,0)))))))</f>
        <v>0</v>
      </c>
      <c r="DH13" s="27">
        <f>IF($A13="",0,IF(Mitarbeiter!$G$11=FALSE,0,IF(AND(Mitarbeiter!$E$11&lt;&gt;"",DH$5+6&lt;Mitarbeiter!$E$11),0,IF(AND(Mitarbeiter!$F$11&lt;&gt;"",DH$5&gt;Mitarbeiter!$F$11),0,IF(Planung!DH13="",$C13,IF(ISNUMBER(Planung!DH13),Planung!DH13,IF(UPPER(Planung!DH13)="H",$C13/2,0)))))))</f>
        <v>0</v>
      </c>
      <c r="DI13" s="27">
        <f>IF($A13="",0,IF(Mitarbeiter!$G$11=FALSE,0,IF(AND(Mitarbeiter!$E$11&lt;&gt;"",DI$5+6&lt;Mitarbeiter!$E$11),0,IF(AND(Mitarbeiter!$F$11&lt;&gt;"",DI$5&gt;Mitarbeiter!$F$11),0,IF(Planung!DI13="",$C13,IF(ISNUMBER(Planung!DI13),Planung!DI13,IF(UPPER(Planung!DI13)="H",$C13/2,0)))))))</f>
        <v>0</v>
      </c>
      <c r="DJ13" s="27">
        <f>IF($A13="",0,IF(Mitarbeiter!$G$11=FALSE,0,IF(AND(Mitarbeiter!$E$11&lt;&gt;"",DJ$5+6&lt;Mitarbeiter!$E$11),0,IF(AND(Mitarbeiter!$F$11&lt;&gt;"",DJ$5&gt;Mitarbeiter!$F$11),0,IF(Planung!DJ13="",$C13,IF(ISNUMBER(Planung!DJ13),Planung!DJ13,IF(UPPER(Planung!DJ13)="H",$C13/2,0)))))))</f>
        <v>0</v>
      </c>
      <c r="DK13" s="27">
        <f>IF($A13="",0,IF(Mitarbeiter!$G$11=FALSE,0,IF(AND(Mitarbeiter!$E$11&lt;&gt;"",DK$5+6&lt;Mitarbeiter!$E$11),0,IF(AND(Mitarbeiter!$F$11&lt;&gt;"",DK$5&gt;Mitarbeiter!$F$11),0,IF(Planung!DK13="",$C13,IF(ISNUMBER(Planung!DK13),Planung!DK13,IF(UPPER(Planung!DK13)="H",$C13/2,0)))))))</f>
        <v>0</v>
      </c>
      <c r="DL13" s="27">
        <f>IF($A13="",0,IF(Mitarbeiter!$G$11=FALSE,0,IF(AND(Mitarbeiter!$E$11&lt;&gt;"",DL$5+6&lt;Mitarbeiter!$E$11),0,IF(AND(Mitarbeiter!$F$11&lt;&gt;"",DL$5&gt;Mitarbeiter!$F$11),0,IF(Planung!DL13="",$C13,IF(ISNUMBER(Planung!DL13),Planung!DL13,IF(UPPER(Planung!DL13)="H",$C13/2,0)))))))</f>
        <v>0</v>
      </c>
      <c r="DM13" s="27">
        <f>IF($A13="",0,IF(Mitarbeiter!$G$11=FALSE,0,IF(AND(Mitarbeiter!$E$11&lt;&gt;"",DM$5+6&lt;Mitarbeiter!$E$11),0,IF(AND(Mitarbeiter!$F$11&lt;&gt;"",DM$5&gt;Mitarbeiter!$F$11),0,IF(Planung!DM13="",$C13,IF(ISNUMBER(Planung!DM13),Planung!DM13,IF(UPPER(Planung!DM13)="H",$C13/2,0)))))))</f>
        <v>0</v>
      </c>
      <c r="DN13" s="27">
        <f>IF($A13="",0,IF(Mitarbeiter!$G$11=FALSE,0,IF(AND(Mitarbeiter!$E$11&lt;&gt;"",DN$5+6&lt;Mitarbeiter!$E$11),0,IF(AND(Mitarbeiter!$F$11&lt;&gt;"",DN$5&gt;Mitarbeiter!$F$11),0,IF(Planung!DN13="",$C13,IF(ISNUMBER(Planung!DN13),Planung!DN13,IF(UPPER(Planung!DN13)="H",$C13/2,0)))))))</f>
        <v>0</v>
      </c>
      <c r="DO13" s="27">
        <f>IF($A13="",0,IF(Mitarbeiter!$G$11=FALSE,0,IF(AND(Mitarbeiter!$E$11&lt;&gt;"",DO$5+6&lt;Mitarbeiter!$E$11),0,IF(AND(Mitarbeiter!$F$11&lt;&gt;"",DO$5&gt;Mitarbeiter!$F$11),0,IF(Planung!DO13="",$C13,IF(ISNUMBER(Planung!DO13),Planung!DO13,IF(UPPER(Planung!DO13)="H",$C13/2,0)))))))</f>
        <v>0</v>
      </c>
      <c r="DP13" s="27">
        <f>IF($A13="",0,IF(Mitarbeiter!$G$11=FALSE,0,IF(AND(Mitarbeiter!$E$11&lt;&gt;"",DP$5+6&lt;Mitarbeiter!$E$11),0,IF(AND(Mitarbeiter!$F$11&lt;&gt;"",DP$5&gt;Mitarbeiter!$F$11),0,IF(Planung!DP13="",$C13,IF(ISNUMBER(Planung!DP13),Planung!DP13,IF(UPPER(Planung!DP13)="H",$C13/2,0)))))))</f>
        <v>0</v>
      </c>
      <c r="DQ13" s="27">
        <f>IF($A13="",0,IF(Mitarbeiter!$G$11=FALSE,0,IF(AND(Mitarbeiter!$E$11&lt;&gt;"",DQ$5+6&lt;Mitarbeiter!$E$11),0,IF(AND(Mitarbeiter!$F$11&lt;&gt;"",DQ$5&gt;Mitarbeiter!$F$11),0,IF(Planung!DQ13="",$C13,IF(ISNUMBER(Planung!DQ13),Planung!DQ13,IF(UPPER(Planung!DQ13)="H",$C13/2,0)))))))</f>
        <v>0</v>
      </c>
      <c r="DR13" s="27">
        <f>IF($A13="",0,IF(Mitarbeiter!$G$11=FALSE,0,IF(AND(Mitarbeiter!$E$11&lt;&gt;"",DR$5+6&lt;Mitarbeiter!$E$11),0,IF(AND(Mitarbeiter!$F$11&lt;&gt;"",DR$5&gt;Mitarbeiter!$F$11),0,IF(Planung!DR13="",$C13,IF(ISNUMBER(Planung!DR13),Planung!DR13,IF(UPPER(Planung!DR13)="H",$C13/2,0)))))))</f>
        <v>0</v>
      </c>
      <c r="DS13" s="27">
        <f>IF($A13="",0,IF(Mitarbeiter!$G$11=FALSE,0,IF(AND(Mitarbeiter!$E$11&lt;&gt;"",DS$5+6&lt;Mitarbeiter!$E$11),0,IF(AND(Mitarbeiter!$F$11&lt;&gt;"",DS$5&gt;Mitarbeiter!$F$11),0,IF(Planung!DS13="",$C13,IF(ISNUMBER(Planung!DS13),Planung!DS13,IF(UPPER(Planung!DS13)="H",$C13/2,0)))))))</f>
        <v>0</v>
      </c>
      <c r="DT13" s="27">
        <f>IF($A13="",0,IF(Mitarbeiter!$G$11=FALSE,0,IF(AND(Mitarbeiter!$E$11&lt;&gt;"",DT$5+6&lt;Mitarbeiter!$E$11),0,IF(AND(Mitarbeiter!$F$11&lt;&gt;"",DT$5&gt;Mitarbeiter!$F$11),0,IF(Planung!DT13="",$C13,IF(ISNUMBER(Planung!DT13),Planung!DT13,IF(UPPER(Planung!DT13)="H",$C13/2,0)))))))</f>
        <v>0</v>
      </c>
      <c r="DU13" s="27">
        <f>IF($A13="",0,IF(Mitarbeiter!$G$11=FALSE,0,IF(AND(Mitarbeiter!$E$11&lt;&gt;"",DU$5+6&lt;Mitarbeiter!$E$11),0,IF(AND(Mitarbeiter!$F$11&lt;&gt;"",DU$5&gt;Mitarbeiter!$F$11),0,IF(Planung!DU13="",$C13,IF(ISNUMBER(Planung!DU13),Planung!DU13,IF(UPPER(Planung!DU13)="H",$C13/2,0)))))))</f>
        <v>0</v>
      </c>
      <c r="DV13" s="27">
        <f>IF($A13="",0,IF(Mitarbeiter!$G$11=FALSE,0,IF(AND(Mitarbeiter!$E$11&lt;&gt;"",DV$5+6&lt;Mitarbeiter!$E$11),0,IF(AND(Mitarbeiter!$F$11&lt;&gt;"",DV$5&gt;Mitarbeiter!$F$11),0,IF(Planung!DV13="",$C13,IF(ISNUMBER(Planung!DV13),Planung!DV13,IF(UPPER(Planung!DV13)="H",$C13/2,0)))))))</f>
        <v>0</v>
      </c>
      <c r="DW13" s="27">
        <f>IF($A13="",0,IF(Mitarbeiter!$G$11=FALSE,0,IF(AND(Mitarbeiter!$E$11&lt;&gt;"",DW$5+6&lt;Mitarbeiter!$E$11),0,IF(AND(Mitarbeiter!$F$11&lt;&gt;"",DW$5&gt;Mitarbeiter!$F$11),0,IF(Planung!DW13="",$C13,IF(ISNUMBER(Planung!DW13),Planung!DW13,IF(UPPER(Planung!DW13)="H",$C13/2,0)))))))</f>
        <v>0</v>
      </c>
      <c r="DX13" s="27">
        <f>IF($A13="",0,IF(Mitarbeiter!$G$11=FALSE,0,IF(AND(Mitarbeiter!$E$11&lt;&gt;"",DX$5+6&lt;Mitarbeiter!$E$11),0,IF(AND(Mitarbeiter!$F$11&lt;&gt;"",DX$5&gt;Mitarbeiter!$F$11),0,IF(Planung!DX13="",$C13,IF(ISNUMBER(Planung!DX13),Planung!DX13,IF(UPPER(Planung!DX13)="H",$C13/2,0)))))))</f>
        <v>0</v>
      </c>
      <c r="DY13" s="27">
        <f>IF($A13="",0,IF(Mitarbeiter!$G$11=FALSE,0,IF(AND(Mitarbeiter!$E$11&lt;&gt;"",DY$5+6&lt;Mitarbeiter!$E$11),0,IF(AND(Mitarbeiter!$F$11&lt;&gt;"",DY$5&gt;Mitarbeiter!$F$11),0,IF(Planung!DY13="",$C13,IF(ISNUMBER(Planung!DY13),Planung!DY13,IF(UPPER(Planung!DY13)="H",$C13/2,0)))))))</f>
        <v>0</v>
      </c>
      <c r="DZ13" s="27">
        <f>IF($A13="",0,IF(Mitarbeiter!$G$11=FALSE,0,IF(AND(Mitarbeiter!$E$11&lt;&gt;"",DZ$5+6&lt;Mitarbeiter!$E$11),0,IF(AND(Mitarbeiter!$F$11&lt;&gt;"",DZ$5&gt;Mitarbeiter!$F$11),0,IF(Planung!DZ13="",$C13,IF(ISNUMBER(Planung!DZ13),Planung!DZ13,IF(UPPER(Planung!DZ13)="H",$C13/2,0)))))))</f>
        <v>0</v>
      </c>
      <c r="EA13" s="27">
        <f>IF($A13="",0,IF(Mitarbeiter!$G$11=FALSE,0,IF(AND(Mitarbeiter!$E$11&lt;&gt;"",EA$5+6&lt;Mitarbeiter!$E$11),0,IF(AND(Mitarbeiter!$F$11&lt;&gt;"",EA$5&gt;Mitarbeiter!$F$11),0,IF(Planung!EA13="",$C13,IF(ISNUMBER(Planung!EA13),Planung!EA13,IF(UPPER(Planung!EA13)="H",$C13/2,0)))))))</f>
        <v>0</v>
      </c>
      <c r="EB13" s="27">
        <f>IF($A13="",0,IF(Mitarbeiter!$G$11=FALSE,0,IF(AND(Mitarbeiter!$E$11&lt;&gt;"",EB$5+6&lt;Mitarbeiter!$E$11),0,IF(AND(Mitarbeiter!$F$11&lt;&gt;"",EB$5&gt;Mitarbeiter!$F$11),0,IF(Planung!EB13="",$C13,IF(ISNUMBER(Planung!EB13),Planung!EB13,IF(UPPER(Planung!EB13)="H",$C13/2,0)))))))</f>
        <v>0</v>
      </c>
      <c r="EC13" s="27">
        <f>IF($A13="",0,IF(Mitarbeiter!$G$11=FALSE,0,IF(AND(Mitarbeiter!$E$11&lt;&gt;"",EC$5+6&lt;Mitarbeiter!$E$11),0,IF(AND(Mitarbeiter!$F$11&lt;&gt;"",EC$5&gt;Mitarbeiter!$F$11),0,IF(Planung!EC13="",$C13,IF(ISNUMBER(Planung!EC13),Planung!EC13,IF(UPPER(Planung!EC13)="H",$C13/2,0)))))))</f>
        <v>0</v>
      </c>
      <c r="ED13" s="27">
        <f>IF($A13="",0,IF(Mitarbeiter!$G$11=FALSE,0,IF(AND(Mitarbeiter!$E$11&lt;&gt;"",ED$5+6&lt;Mitarbeiter!$E$11),0,IF(AND(Mitarbeiter!$F$11&lt;&gt;"",ED$5&gt;Mitarbeiter!$F$11),0,IF(Planung!ED13="",$C13,IF(ISNUMBER(Planung!ED13),Planung!ED13,IF(UPPER(Planung!ED13)="H",$C13/2,0)))))))</f>
        <v>0</v>
      </c>
      <c r="EE13" s="27">
        <f>IF($A13="",0,IF(Mitarbeiter!$G$11=FALSE,0,IF(AND(Mitarbeiter!$E$11&lt;&gt;"",EE$5+6&lt;Mitarbeiter!$E$11),0,IF(AND(Mitarbeiter!$F$11&lt;&gt;"",EE$5&gt;Mitarbeiter!$F$11),0,IF(Planung!EE13="",$C13,IF(ISNUMBER(Planung!EE13),Planung!EE13,IF(UPPER(Planung!EE13)="H",$C13/2,0)))))))</f>
        <v>0</v>
      </c>
      <c r="EF13" s="27">
        <f>IF($A13="",0,IF(Mitarbeiter!$G$11=FALSE,0,IF(AND(Mitarbeiter!$E$11&lt;&gt;"",EF$5+6&lt;Mitarbeiter!$E$11),0,IF(AND(Mitarbeiter!$F$11&lt;&gt;"",EF$5&gt;Mitarbeiter!$F$11),0,IF(Planung!EF13="",$C13,IF(ISNUMBER(Planung!EF13),Planung!EF13,IF(UPPER(Planung!EF13)="H",$C13/2,0)))))))</f>
        <v>0</v>
      </c>
      <c r="EG13" s="27">
        <f>IF($A13="",0,IF(Mitarbeiter!$G$11=FALSE,0,IF(AND(Mitarbeiter!$E$11&lt;&gt;"",EG$5+6&lt;Mitarbeiter!$E$11),0,IF(AND(Mitarbeiter!$F$11&lt;&gt;"",EG$5&gt;Mitarbeiter!$F$11),0,IF(Planung!EG13="",$C13,IF(ISNUMBER(Planung!EG13),Planung!EG13,IF(UPPER(Planung!EG13)="H",$C13/2,0)))))))</f>
        <v>0</v>
      </c>
      <c r="EH13" s="27">
        <f>IF($A13="",0,IF(Mitarbeiter!$G$11=FALSE,0,IF(AND(Mitarbeiter!$E$11&lt;&gt;"",EH$5+6&lt;Mitarbeiter!$E$11),0,IF(AND(Mitarbeiter!$F$11&lt;&gt;"",EH$5&gt;Mitarbeiter!$F$11),0,IF(Planung!EH13="",$C13,IF(ISNUMBER(Planung!EH13),Planung!EH13,IF(UPPER(Planung!EH13)="H",$C13/2,0)))))))</f>
        <v>0</v>
      </c>
      <c r="EI13" s="27">
        <f>IF($A13="",0,IF(Mitarbeiter!$G$11=FALSE,0,IF(AND(Mitarbeiter!$E$11&lt;&gt;"",EI$5+6&lt;Mitarbeiter!$E$11),0,IF(AND(Mitarbeiter!$F$11&lt;&gt;"",EI$5&gt;Mitarbeiter!$F$11),0,IF(Planung!EI13="",$C13,IF(ISNUMBER(Planung!EI13),Planung!EI13,IF(UPPER(Planung!EI13)="H",$C13/2,0)))))))</f>
        <v>0</v>
      </c>
      <c r="EJ13" s="27">
        <f>IF($A13="",0,IF(Mitarbeiter!$G$11=FALSE,0,IF(AND(Mitarbeiter!$E$11&lt;&gt;"",EJ$5+6&lt;Mitarbeiter!$E$11),0,IF(AND(Mitarbeiter!$F$11&lt;&gt;"",EJ$5&gt;Mitarbeiter!$F$11),0,IF(Planung!EJ13="",$C13,IF(ISNUMBER(Planung!EJ13),Planung!EJ13,IF(UPPER(Planung!EJ13)="H",$C13/2,0)))))))</f>
        <v>0</v>
      </c>
      <c r="EK13" s="27">
        <f>IF($A13="",0,IF(Mitarbeiter!$G$11=FALSE,0,IF(AND(Mitarbeiter!$E$11&lt;&gt;"",EK$5+6&lt;Mitarbeiter!$E$11),0,IF(AND(Mitarbeiter!$F$11&lt;&gt;"",EK$5&gt;Mitarbeiter!$F$11),0,IF(Planung!EK13="",$C13,IF(ISNUMBER(Planung!EK13),Planung!EK13,IF(UPPER(Planung!EK13)="H",$C13/2,0)))))))</f>
        <v>0</v>
      </c>
      <c r="EL13" s="27">
        <f>IF($A13="",0,IF(Mitarbeiter!$G$11=FALSE,0,IF(AND(Mitarbeiter!$E$11&lt;&gt;"",EL$5+6&lt;Mitarbeiter!$E$11),0,IF(AND(Mitarbeiter!$F$11&lt;&gt;"",EL$5&gt;Mitarbeiter!$F$11),0,IF(Planung!EL13="",$C13,IF(ISNUMBER(Planung!EL13),Planung!EL13,IF(UPPER(Planung!EL13)="H",$C13/2,0)))))))</f>
        <v>0</v>
      </c>
      <c r="EM13" s="27">
        <f>IF($A13="",0,IF(Mitarbeiter!$G$11=FALSE,0,IF(AND(Mitarbeiter!$E$11&lt;&gt;"",EM$5+6&lt;Mitarbeiter!$E$11),0,IF(AND(Mitarbeiter!$F$11&lt;&gt;"",EM$5&gt;Mitarbeiter!$F$11),0,IF(Planung!EM13="",$C13,IF(ISNUMBER(Planung!EM13),Planung!EM13,IF(UPPER(Planung!EM13)="H",$C13/2,0)))))))</f>
        <v>0</v>
      </c>
      <c r="EN13" s="27">
        <f>IF($A13="",0,IF(Mitarbeiter!$G$11=FALSE,0,IF(AND(Mitarbeiter!$E$11&lt;&gt;"",EN$5+6&lt;Mitarbeiter!$E$11),0,IF(AND(Mitarbeiter!$F$11&lt;&gt;"",EN$5&gt;Mitarbeiter!$F$11),0,IF(Planung!EN13="",$C13,IF(ISNUMBER(Planung!EN13),Planung!EN13,IF(UPPER(Planung!EN13)="H",$C13/2,0)))))))</f>
        <v>0</v>
      </c>
      <c r="EO13" s="27">
        <f>IF($A13="",0,IF(Mitarbeiter!$G$11=FALSE,0,IF(AND(Mitarbeiter!$E$11&lt;&gt;"",EO$5+6&lt;Mitarbeiter!$E$11),0,IF(AND(Mitarbeiter!$F$11&lt;&gt;"",EO$5&gt;Mitarbeiter!$F$11),0,IF(Planung!EO13="",$C13,IF(ISNUMBER(Planung!EO13),Planung!EO13,IF(UPPER(Planung!EO13)="H",$C13/2,0)))))))</f>
        <v>0</v>
      </c>
      <c r="EP13" s="27">
        <f>IF($A13="",0,IF(Mitarbeiter!$G$11=FALSE,0,IF(AND(Mitarbeiter!$E$11&lt;&gt;"",EP$5+6&lt;Mitarbeiter!$E$11),0,IF(AND(Mitarbeiter!$F$11&lt;&gt;"",EP$5&gt;Mitarbeiter!$F$11),0,IF(Planung!EP13="",$C13,IF(ISNUMBER(Planung!EP13),Planung!EP13,IF(UPPER(Planung!EP13)="H",$C13/2,0)))))))</f>
        <v>0</v>
      </c>
      <c r="EQ13" s="27">
        <f>IF($A13="",0,IF(Mitarbeiter!$G$11=FALSE,0,IF(AND(Mitarbeiter!$E$11&lt;&gt;"",EQ$5+6&lt;Mitarbeiter!$E$11),0,IF(AND(Mitarbeiter!$F$11&lt;&gt;"",EQ$5&gt;Mitarbeiter!$F$11),0,IF(Planung!EQ13="",$C13,IF(ISNUMBER(Planung!EQ13),Planung!EQ13,IF(UPPER(Planung!EQ13)="H",$C13/2,0)))))))</f>
        <v>0</v>
      </c>
      <c r="ER13" s="27">
        <f>IF($A13="",0,IF(Mitarbeiter!$G$11=FALSE,0,IF(AND(Mitarbeiter!$E$11&lt;&gt;"",ER$5+6&lt;Mitarbeiter!$E$11),0,IF(AND(Mitarbeiter!$F$11&lt;&gt;"",ER$5&gt;Mitarbeiter!$F$11),0,IF(Planung!ER13="",$C13,IF(ISNUMBER(Planung!ER13),Planung!ER13,IF(UPPER(Planung!ER13)="H",$C13/2,0)))))))</f>
        <v>0</v>
      </c>
      <c r="ES13" s="27">
        <f>IF($A13="",0,IF(Mitarbeiter!$G$11=FALSE,0,IF(AND(Mitarbeiter!$E$11&lt;&gt;"",ES$5+6&lt;Mitarbeiter!$E$11),0,IF(AND(Mitarbeiter!$F$11&lt;&gt;"",ES$5&gt;Mitarbeiter!$F$11),0,IF(Planung!ES13="",$C13,IF(ISNUMBER(Planung!ES13),Planung!ES13,IF(UPPER(Planung!ES13)="H",$C13/2,0)))))))</f>
        <v>0</v>
      </c>
      <c r="ET13" s="27">
        <f>IF($A13="",0,IF(Mitarbeiter!$G$11=FALSE,0,IF(AND(Mitarbeiter!$E$11&lt;&gt;"",ET$5+6&lt;Mitarbeiter!$E$11),0,IF(AND(Mitarbeiter!$F$11&lt;&gt;"",ET$5&gt;Mitarbeiter!$F$11),0,IF(Planung!ET13="",$C13,IF(ISNUMBER(Planung!ET13),Planung!ET13,IF(UPPER(Planung!ET13)="H",$C13/2,0)))))))</f>
        <v>0</v>
      </c>
      <c r="EU13" s="27">
        <f>IF($A13="",0,IF(Mitarbeiter!$G$11=FALSE,0,IF(AND(Mitarbeiter!$E$11&lt;&gt;"",EU$5+6&lt;Mitarbeiter!$E$11),0,IF(AND(Mitarbeiter!$F$11&lt;&gt;"",EU$5&gt;Mitarbeiter!$F$11),0,IF(Planung!EU13="",$C13,IF(ISNUMBER(Planung!EU13),Planung!EU13,IF(UPPER(Planung!EU13)="H",$C13/2,0)))))))</f>
        <v>0</v>
      </c>
      <c r="EV13" s="27">
        <f>IF($A13="",0,IF(Mitarbeiter!$G$11=FALSE,0,IF(AND(Mitarbeiter!$E$11&lt;&gt;"",EV$5+6&lt;Mitarbeiter!$E$11),0,IF(AND(Mitarbeiter!$F$11&lt;&gt;"",EV$5&gt;Mitarbeiter!$F$11),0,IF(Planung!EV13="",$C13,IF(ISNUMBER(Planung!EV13),Planung!EV13,IF(UPPER(Planung!EV13)="H",$C13/2,0)))))))</f>
        <v>0</v>
      </c>
      <c r="EW13" s="27">
        <f>IF($A13="",0,IF(Mitarbeiter!$G$11=FALSE,0,IF(AND(Mitarbeiter!$E$11&lt;&gt;"",EW$5+6&lt;Mitarbeiter!$E$11),0,IF(AND(Mitarbeiter!$F$11&lt;&gt;"",EW$5&gt;Mitarbeiter!$F$11),0,IF(Planung!EW13="",$C13,IF(ISNUMBER(Planung!EW13),Planung!EW13,IF(UPPER(Planung!EW13)="H",$C13/2,0)))))))</f>
        <v>0</v>
      </c>
      <c r="EX13" s="27">
        <f>IF($A13="",0,IF(Mitarbeiter!$G$11=FALSE,0,IF(AND(Mitarbeiter!$E$11&lt;&gt;"",EX$5+6&lt;Mitarbeiter!$E$11),0,IF(AND(Mitarbeiter!$F$11&lt;&gt;"",EX$5&gt;Mitarbeiter!$F$11),0,IF(Planung!EX13="",$C13,IF(ISNUMBER(Planung!EX13),Planung!EX13,IF(UPPER(Planung!EX13)="H",$C13/2,0)))))))</f>
        <v>0</v>
      </c>
      <c r="EY13" s="27">
        <f>IF($A13="",0,IF(Mitarbeiter!$G$11=FALSE,0,IF(AND(Mitarbeiter!$E$11&lt;&gt;"",EY$5+6&lt;Mitarbeiter!$E$11),0,IF(AND(Mitarbeiter!$F$11&lt;&gt;"",EY$5&gt;Mitarbeiter!$F$11),0,IF(Planung!EY13="",$C13,IF(ISNUMBER(Planung!EY13),Planung!EY13,IF(UPPER(Planung!EY13)="H",$C13/2,0)))))))</f>
        <v>0</v>
      </c>
      <c r="EZ13" s="27">
        <f>IF($A13="",0,IF(Mitarbeiter!$G$11=FALSE,0,IF(AND(Mitarbeiter!$E$11&lt;&gt;"",EZ$5+6&lt;Mitarbeiter!$E$11),0,IF(AND(Mitarbeiter!$F$11&lt;&gt;"",EZ$5&gt;Mitarbeiter!$F$11),0,IF(Planung!EZ13="",$C13,IF(ISNUMBER(Planung!EZ13),Planung!EZ13,IF(UPPER(Planung!EZ13)="H",$C13/2,0)))))))</f>
        <v>0</v>
      </c>
      <c r="FA13" s="27">
        <f>IF($A13="",0,IF(Mitarbeiter!$G$11=FALSE,0,IF(AND(Mitarbeiter!$E$11&lt;&gt;"",FA$5+6&lt;Mitarbeiter!$E$11),0,IF(AND(Mitarbeiter!$F$11&lt;&gt;"",FA$5&gt;Mitarbeiter!$F$11),0,IF(Planung!FA13="",$C13,IF(ISNUMBER(Planung!FA13),Planung!FA13,IF(UPPER(Planung!FA13)="H",$C13/2,0)))))))</f>
        <v>0</v>
      </c>
      <c r="FB13" s="27">
        <f>IF($A13="",0,IF(Mitarbeiter!$G$11=FALSE,0,IF(AND(Mitarbeiter!$E$11&lt;&gt;"",FB$5+6&lt;Mitarbeiter!$E$11),0,IF(AND(Mitarbeiter!$F$11&lt;&gt;"",FB$5&gt;Mitarbeiter!$F$11),0,IF(Planung!FB13="",$C13,IF(ISNUMBER(Planung!FB13),Planung!FB13,IF(UPPER(Planung!FB13)="H",$C13/2,0)))))))</f>
        <v>0</v>
      </c>
      <c r="FC13" s="27">
        <f>IF($A13="",0,IF(Mitarbeiter!$G$11=FALSE,0,IF(AND(Mitarbeiter!$E$11&lt;&gt;"",FC$5+6&lt;Mitarbeiter!$E$11),0,IF(AND(Mitarbeiter!$F$11&lt;&gt;"",FC$5&gt;Mitarbeiter!$F$11),0,IF(Planung!FC13="",$C13,IF(ISNUMBER(Planung!FC13),Planung!FC13,IF(UPPER(Planung!FC13)="H",$C13/2,0)))))))</f>
        <v>0</v>
      </c>
      <c r="FD13" s="27">
        <f>IF($A13="",0,IF(Mitarbeiter!$G$11=FALSE,0,IF(AND(Mitarbeiter!$E$11&lt;&gt;"",FD$5+6&lt;Mitarbeiter!$E$11),0,IF(AND(Mitarbeiter!$F$11&lt;&gt;"",FD$5&gt;Mitarbeiter!$F$11),0,IF(Planung!FD13="",$C13,IF(ISNUMBER(Planung!FD13),Planung!FD13,IF(UPPER(Planung!FD13)="H",$C13/2,0)))))))</f>
        <v>0</v>
      </c>
      <c r="FE13" s="27">
        <f>IF($A13="",0,IF(Mitarbeiter!$G$11=FALSE,0,IF(AND(Mitarbeiter!$E$11&lt;&gt;"",FE$5+6&lt;Mitarbeiter!$E$11),0,IF(AND(Mitarbeiter!$F$11&lt;&gt;"",FE$5&gt;Mitarbeiter!$F$11),0,IF(Planung!FE13="",$C13,IF(ISNUMBER(Planung!FE13),Planung!FE13,IF(UPPER(Planung!FE13)="H",$C13/2,0)))))))</f>
        <v>0</v>
      </c>
      <c r="FF13" s="27">
        <f>IF($A13="",0,IF(Mitarbeiter!$G$11=FALSE,0,IF(AND(Mitarbeiter!$E$11&lt;&gt;"",FF$5+6&lt;Mitarbeiter!$E$11),0,IF(AND(Mitarbeiter!$F$11&lt;&gt;"",FF$5&gt;Mitarbeiter!$F$11),0,IF(Planung!FF13="",$C13,IF(ISNUMBER(Planung!FF13),Planung!FF13,IF(UPPER(Planung!FF13)="H",$C13/2,0)))))))</f>
        <v>0</v>
      </c>
      <c r="FG13" s="27">
        <f>IF($A13="",0,IF(Mitarbeiter!$G$11=FALSE,0,IF(AND(Mitarbeiter!$E$11&lt;&gt;"",FG$5+6&lt;Mitarbeiter!$E$11),0,IF(AND(Mitarbeiter!$F$11&lt;&gt;"",FG$5&gt;Mitarbeiter!$F$11),0,IF(Planung!FG13="",$C13,IF(ISNUMBER(Planung!FG13),Planung!FG13,IF(UPPER(Planung!FG13)="H",$C13/2,0)))))))</f>
        <v>0</v>
      </c>
      <c r="FH13" s="27">
        <f>IF($A13="",0,IF(Mitarbeiter!$G$11=FALSE,0,IF(AND(Mitarbeiter!$E$11&lt;&gt;"",FH$5+6&lt;Mitarbeiter!$E$11),0,IF(AND(Mitarbeiter!$F$11&lt;&gt;"",FH$5&gt;Mitarbeiter!$F$11),0,IF(Planung!FH13="",$C13,IF(ISNUMBER(Planung!FH13),Planung!FH13,IF(UPPER(Planung!FH13)="H",$C13/2,0)))))))</f>
        <v>0</v>
      </c>
      <c r="FI13" s="27">
        <f>IF($A13="",0,IF(Mitarbeiter!$G$11=FALSE,0,IF(AND(Mitarbeiter!$E$11&lt;&gt;"",FI$5+6&lt;Mitarbeiter!$E$11),0,IF(AND(Mitarbeiter!$F$11&lt;&gt;"",FI$5&gt;Mitarbeiter!$F$11),0,IF(Planung!FI13="",$C13,IF(ISNUMBER(Planung!FI13),Planung!FI13,IF(UPPER(Planung!FI13)="H",$C13/2,0)))))))</f>
        <v>0</v>
      </c>
      <c r="FJ13" s="27">
        <f>IF($A13="",0,IF(Mitarbeiter!$G$11=FALSE,0,IF(AND(Mitarbeiter!$E$11&lt;&gt;"",FJ$5+6&lt;Mitarbeiter!$E$11),0,IF(AND(Mitarbeiter!$F$11&lt;&gt;"",FJ$5&gt;Mitarbeiter!$F$11),0,IF(Planung!FJ13="",$C13,IF(ISNUMBER(Planung!FJ13),Planung!FJ13,IF(UPPER(Planung!FJ13)="H",$C13/2,0)))))))</f>
        <v>0</v>
      </c>
      <c r="FK13" s="27">
        <f>IF($A13="",0,IF(Mitarbeiter!$G$11=FALSE,0,IF(AND(Mitarbeiter!$E$11&lt;&gt;"",FK$5+6&lt;Mitarbeiter!$E$11),0,IF(AND(Mitarbeiter!$F$11&lt;&gt;"",FK$5&gt;Mitarbeiter!$F$11),0,IF(Planung!FK13="",$C13,IF(ISNUMBER(Planung!FK13),Planung!FK13,IF(UPPER(Planung!FK13)="H",$C13/2,0)))))))</f>
        <v>0</v>
      </c>
      <c r="FL13" s="27">
        <f>IF($A13="",0,IF(Mitarbeiter!$G$11=FALSE,0,IF(AND(Mitarbeiter!$E$11&lt;&gt;"",FL$5+6&lt;Mitarbeiter!$E$11),0,IF(AND(Mitarbeiter!$F$11&lt;&gt;"",FL$5&gt;Mitarbeiter!$F$11),0,IF(Planung!FL13="",$C13,IF(ISNUMBER(Planung!FL13),Planung!FL13,IF(UPPER(Planung!FL13)="H",$C13/2,0)))))))</f>
        <v>0</v>
      </c>
      <c r="FM13" s="27">
        <f>IF($A13="",0,IF(Mitarbeiter!$G$11=FALSE,0,IF(AND(Mitarbeiter!$E$11&lt;&gt;"",FM$5+6&lt;Mitarbeiter!$E$11),0,IF(AND(Mitarbeiter!$F$11&lt;&gt;"",FM$5&gt;Mitarbeiter!$F$11),0,IF(Planung!FM13="",$C13,IF(ISNUMBER(Planung!FM13),Planung!FM13,IF(UPPER(Planung!FM13)="H",$C13/2,0)))))))</f>
        <v>0</v>
      </c>
      <c r="FN13" s="27">
        <f>IF($A13="",0,IF(Mitarbeiter!$G$11=FALSE,0,IF(AND(Mitarbeiter!$E$11&lt;&gt;"",FN$5+6&lt;Mitarbeiter!$E$11),0,IF(AND(Mitarbeiter!$F$11&lt;&gt;"",FN$5&gt;Mitarbeiter!$F$11),0,IF(Planung!FN13="",$C13,IF(ISNUMBER(Planung!FN13),Planung!FN13,IF(UPPER(Planung!FN13)="H",$C13/2,0)))))))</f>
        <v>0</v>
      </c>
      <c r="FO13" s="27">
        <f>IF($A13="",0,IF(Mitarbeiter!$G$11=FALSE,0,IF(AND(Mitarbeiter!$E$11&lt;&gt;"",FO$5+6&lt;Mitarbeiter!$E$11),0,IF(AND(Mitarbeiter!$F$11&lt;&gt;"",FO$5&gt;Mitarbeiter!$F$11),0,IF(Planung!FO13="",$C13,IF(ISNUMBER(Planung!FO13),Planung!FO13,IF(UPPER(Planung!FO13)="H",$C13/2,0)))))))</f>
        <v>0</v>
      </c>
      <c r="FP13" s="27">
        <f>IF($A13="",0,IF(Mitarbeiter!$G$11=FALSE,0,IF(AND(Mitarbeiter!$E$11&lt;&gt;"",FP$5+6&lt;Mitarbeiter!$E$11),0,IF(AND(Mitarbeiter!$F$11&lt;&gt;"",FP$5&gt;Mitarbeiter!$F$11),0,IF(Planung!FP13="",$C13,IF(ISNUMBER(Planung!FP13),Planung!FP13,IF(UPPER(Planung!FP13)="H",$C13/2,0)))))))</f>
        <v>0</v>
      </c>
      <c r="FQ13" s="27">
        <f>IF($A13="",0,IF(Mitarbeiter!$G$11=FALSE,0,IF(AND(Mitarbeiter!$E$11&lt;&gt;"",FQ$5+6&lt;Mitarbeiter!$E$11),0,IF(AND(Mitarbeiter!$F$11&lt;&gt;"",FQ$5&gt;Mitarbeiter!$F$11),0,IF(Planung!FQ13="",$C13,IF(ISNUMBER(Planung!FQ13),Planung!FQ13,IF(UPPER(Planung!FQ13)="H",$C13/2,0)))))))</f>
        <v>0</v>
      </c>
      <c r="FR13" s="27">
        <f>IF($A13="",0,IF(Mitarbeiter!$G$11=FALSE,0,IF(AND(Mitarbeiter!$E$11&lt;&gt;"",FR$5+6&lt;Mitarbeiter!$E$11),0,IF(AND(Mitarbeiter!$F$11&lt;&gt;"",FR$5&gt;Mitarbeiter!$F$11),0,IF(Planung!FR13="",$C13,IF(ISNUMBER(Planung!FR13),Planung!FR13,IF(UPPER(Planung!FR13)="H",$C13/2,0)))))))</f>
        <v>0</v>
      </c>
      <c r="FS13" s="27">
        <f>IF($A13="",0,IF(Mitarbeiter!$G$11=FALSE,0,IF(AND(Mitarbeiter!$E$11&lt;&gt;"",FS$5+6&lt;Mitarbeiter!$E$11),0,IF(AND(Mitarbeiter!$F$11&lt;&gt;"",FS$5&gt;Mitarbeiter!$F$11),0,IF(Planung!FS13="",$C13,IF(ISNUMBER(Planung!FS13),Planung!FS13,IF(UPPER(Planung!FS13)="H",$C13/2,0)))))))</f>
        <v>0</v>
      </c>
      <c r="FT13" s="27">
        <f>IF($A13="",0,IF(Mitarbeiter!$G$11=FALSE,0,IF(AND(Mitarbeiter!$E$11&lt;&gt;"",FT$5+6&lt;Mitarbeiter!$E$11),0,IF(AND(Mitarbeiter!$F$11&lt;&gt;"",FT$5&gt;Mitarbeiter!$F$11),0,IF(Planung!FT13="",$C13,IF(ISNUMBER(Planung!FT13),Planung!FT13,IF(UPPER(Planung!FT13)="H",$C13/2,0)))))))</f>
        <v>0</v>
      </c>
      <c r="FU13" s="27">
        <f>IF($A13="",0,IF(Mitarbeiter!$G$11=FALSE,0,IF(AND(Mitarbeiter!$E$11&lt;&gt;"",FU$5+6&lt;Mitarbeiter!$E$11),0,IF(AND(Mitarbeiter!$F$11&lt;&gt;"",FU$5&gt;Mitarbeiter!$F$11),0,IF(Planung!FU13="",$C13,IF(ISNUMBER(Planung!FU13),Planung!FU13,IF(UPPER(Planung!FU13)="H",$C13/2,0)))))))</f>
        <v>0</v>
      </c>
      <c r="FV13" s="27">
        <f>IF($A13="",0,IF(Mitarbeiter!$G$11=FALSE,0,IF(AND(Mitarbeiter!$E$11&lt;&gt;"",FV$5+6&lt;Mitarbeiter!$E$11),0,IF(AND(Mitarbeiter!$F$11&lt;&gt;"",FV$5&gt;Mitarbeiter!$F$11),0,IF(Planung!FV13="",$C13,IF(ISNUMBER(Planung!FV13),Planung!FV13,IF(UPPER(Planung!FV13)="H",$C13/2,0)))))))</f>
        <v>0</v>
      </c>
      <c r="FW13" s="27">
        <f>IF($A13="",0,IF(Mitarbeiter!$G$11=FALSE,0,IF(AND(Mitarbeiter!$E$11&lt;&gt;"",FW$5+6&lt;Mitarbeiter!$E$11),0,IF(AND(Mitarbeiter!$F$11&lt;&gt;"",FW$5&gt;Mitarbeiter!$F$11),0,IF(Planung!FW13="",$C13,IF(ISNUMBER(Planung!FW13),Planung!FW13,IF(UPPER(Planung!FW13)="H",$C13/2,0)))))))</f>
        <v>0</v>
      </c>
      <c r="FX13" s="27">
        <f>IF($A13="",0,IF(Mitarbeiter!$G$11=FALSE,0,IF(AND(Mitarbeiter!$E$11&lt;&gt;"",FX$5+6&lt;Mitarbeiter!$E$11),0,IF(AND(Mitarbeiter!$F$11&lt;&gt;"",FX$5&gt;Mitarbeiter!$F$11),0,IF(Planung!FX13="",$C13,IF(ISNUMBER(Planung!FX13),Planung!FX13,IF(UPPER(Planung!FX13)="H",$C13/2,0)))))))</f>
        <v>0</v>
      </c>
      <c r="FY13" s="27">
        <f>IF($A13="",0,IF(Mitarbeiter!$G$11=FALSE,0,IF(AND(Mitarbeiter!$E$11&lt;&gt;"",FY$5+6&lt;Mitarbeiter!$E$11),0,IF(AND(Mitarbeiter!$F$11&lt;&gt;"",FY$5&gt;Mitarbeiter!$F$11),0,IF(Planung!FY13="",$C13,IF(ISNUMBER(Planung!FY13),Planung!FY13,IF(UPPER(Planung!FY13)="H",$C13/2,0)))))))</f>
        <v>0</v>
      </c>
      <c r="FZ13" s="27">
        <f>IF($A13="",0,IF(Mitarbeiter!$G$11=FALSE,0,IF(AND(Mitarbeiter!$E$11&lt;&gt;"",FZ$5+6&lt;Mitarbeiter!$E$11),0,IF(AND(Mitarbeiter!$F$11&lt;&gt;"",FZ$5&gt;Mitarbeiter!$F$11),0,IF(Planung!FZ13="",$C13,IF(ISNUMBER(Planung!FZ13),Planung!FZ13,IF(UPPER(Planung!FZ13)="H",$C13/2,0)))))))</f>
        <v>0</v>
      </c>
      <c r="GA13" s="27">
        <f>IF($A13="",0,IF(Mitarbeiter!$G$11=FALSE,0,IF(AND(Mitarbeiter!$E$11&lt;&gt;"",GA$5+6&lt;Mitarbeiter!$E$11),0,IF(AND(Mitarbeiter!$F$11&lt;&gt;"",GA$5&gt;Mitarbeiter!$F$11),0,IF(Planung!GA13="",$C13,IF(ISNUMBER(Planung!GA13),Planung!GA13,IF(UPPER(Planung!GA13)="H",$C13/2,0)))))))</f>
        <v>0</v>
      </c>
      <c r="GB13" s="27">
        <f>IF($A13="",0,IF(Mitarbeiter!$G$11=FALSE,0,IF(AND(Mitarbeiter!$E$11&lt;&gt;"",GB$5+6&lt;Mitarbeiter!$E$11),0,IF(AND(Mitarbeiter!$F$11&lt;&gt;"",GB$5&gt;Mitarbeiter!$F$11),0,IF(Planung!GB13="",$C13,IF(ISNUMBER(Planung!GB13),Planung!GB13,IF(UPPER(Planung!GB13)="H",$C13/2,0)))))))</f>
        <v>0</v>
      </c>
      <c r="GC13" s="27">
        <f>IF($A13="",0,IF(Mitarbeiter!$G$11=FALSE,0,IF(AND(Mitarbeiter!$E$11&lt;&gt;"",GC$5+6&lt;Mitarbeiter!$E$11),0,IF(AND(Mitarbeiter!$F$11&lt;&gt;"",GC$5&gt;Mitarbeiter!$F$11),0,IF(Planung!GC13="",$C13,IF(ISNUMBER(Planung!GC13),Planung!GC13,IF(UPPER(Planung!GC13)="H",$C13/2,0)))))))</f>
        <v>0</v>
      </c>
      <c r="GD13" s="27">
        <f>IF($A13="",0,IF(Mitarbeiter!$G$11=FALSE,0,IF(AND(Mitarbeiter!$E$11&lt;&gt;"",GD$5+6&lt;Mitarbeiter!$E$11),0,IF(AND(Mitarbeiter!$F$11&lt;&gt;"",GD$5&gt;Mitarbeiter!$F$11),0,IF(Planung!GD13="",$C13,IF(ISNUMBER(Planung!GD13),Planung!GD13,IF(UPPER(Planung!GD13)="H",$C13/2,0)))))))</f>
        <v>0</v>
      </c>
      <c r="GE13" s="27">
        <f>IF($A13="",0,IF(Mitarbeiter!$G$11=FALSE,0,IF(AND(Mitarbeiter!$E$11&lt;&gt;"",GE$5+6&lt;Mitarbeiter!$E$11),0,IF(AND(Mitarbeiter!$F$11&lt;&gt;"",GE$5&gt;Mitarbeiter!$F$11),0,IF(Planung!GE13="",$C13,IF(ISNUMBER(Planung!GE13),Planung!GE13,IF(UPPER(Planung!GE13)="H",$C13/2,0)))))))</f>
        <v>0</v>
      </c>
      <c r="GF13" s="27">
        <f>IF($A13="",0,IF(Mitarbeiter!$G$11=FALSE,0,IF(AND(Mitarbeiter!$E$11&lt;&gt;"",GF$5+6&lt;Mitarbeiter!$E$11),0,IF(AND(Mitarbeiter!$F$11&lt;&gt;"",GF$5&gt;Mitarbeiter!$F$11),0,IF(Planung!GF13="",$C13,IF(ISNUMBER(Planung!GF13),Planung!GF13,IF(UPPER(Planung!GF13)="H",$C13/2,0)))))))</f>
        <v>0</v>
      </c>
      <c r="GG13" s="27">
        <f>IF($A13="",0,IF(Mitarbeiter!$G$11=FALSE,0,IF(AND(Mitarbeiter!$E$11&lt;&gt;"",GG$5+6&lt;Mitarbeiter!$E$11),0,IF(AND(Mitarbeiter!$F$11&lt;&gt;"",GG$5&gt;Mitarbeiter!$F$11),0,IF(Planung!GG13="",$C13,IF(ISNUMBER(Planung!GG13),Planung!GG13,IF(UPPER(Planung!GG13)="H",$C13/2,0)))))))</f>
        <v>0</v>
      </c>
      <c r="GH13" s="27">
        <f>IF($A13="",0,IF(Mitarbeiter!$G$11=FALSE,0,IF(AND(Mitarbeiter!$E$11&lt;&gt;"",GH$5+6&lt;Mitarbeiter!$E$11),0,IF(AND(Mitarbeiter!$F$11&lt;&gt;"",GH$5&gt;Mitarbeiter!$F$11),0,IF(Planung!GH13="",$C13,IF(ISNUMBER(Planung!GH13),Planung!GH13,IF(UPPER(Planung!GH13)="H",$C13/2,0)))))))</f>
        <v>0</v>
      </c>
      <c r="GI13" s="27">
        <f>IF($A13="",0,IF(Mitarbeiter!$G$11=FALSE,0,IF(AND(Mitarbeiter!$E$11&lt;&gt;"",GI$5+6&lt;Mitarbeiter!$E$11),0,IF(AND(Mitarbeiter!$F$11&lt;&gt;"",GI$5&gt;Mitarbeiter!$F$11),0,IF(Planung!GI13="",$C13,IF(ISNUMBER(Planung!GI13),Planung!GI13,IF(UPPER(Planung!GI13)="H",$C13/2,0)))))))</f>
        <v>0</v>
      </c>
      <c r="GJ13" s="27">
        <f>IF($A13="",0,IF(Mitarbeiter!$G$11=FALSE,0,IF(AND(Mitarbeiter!$E$11&lt;&gt;"",GJ$5+6&lt;Mitarbeiter!$E$11),0,IF(AND(Mitarbeiter!$F$11&lt;&gt;"",GJ$5&gt;Mitarbeiter!$F$11),0,IF(Planung!GJ13="",$C13,IF(ISNUMBER(Planung!GJ13),Planung!GJ13,IF(UPPER(Planung!GJ13)="H",$C13/2,0)))))))</f>
        <v>0</v>
      </c>
      <c r="GK13" s="27">
        <f>IF($A13="",0,IF(Mitarbeiter!$G$11=FALSE,0,IF(AND(Mitarbeiter!$E$11&lt;&gt;"",GK$5+6&lt;Mitarbeiter!$E$11),0,IF(AND(Mitarbeiter!$F$11&lt;&gt;"",GK$5&gt;Mitarbeiter!$F$11),0,IF(Planung!GK13="",$C13,IF(ISNUMBER(Planung!GK13),Planung!GK13,IF(UPPER(Planung!GK13)="H",$C13/2,0)))))))</f>
        <v>0</v>
      </c>
      <c r="GL13" s="27">
        <f>IF($A13="",0,IF(Mitarbeiter!$G$11=FALSE,0,IF(AND(Mitarbeiter!$E$11&lt;&gt;"",GL$5+6&lt;Mitarbeiter!$E$11),0,IF(AND(Mitarbeiter!$F$11&lt;&gt;"",GL$5&gt;Mitarbeiter!$F$11),0,IF(Planung!GL13="",$C13,IF(ISNUMBER(Planung!GL13),Planung!GL13,IF(UPPER(Planung!GL13)="H",$C13/2,0)))))))</f>
        <v>0</v>
      </c>
      <c r="GM13" s="27">
        <f>IF($A13="",0,IF(Mitarbeiter!$G$11=FALSE,0,IF(AND(Mitarbeiter!$E$11&lt;&gt;"",GM$5+6&lt;Mitarbeiter!$E$11),0,IF(AND(Mitarbeiter!$F$11&lt;&gt;"",GM$5&gt;Mitarbeiter!$F$11),0,IF(Planung!GM13="",$C13,IF(ISNUMBER(Planung!GM13),Planung!GM13,IF(UPPER(Planung!GM13)="H",$C13/2,0)))))))</f>
        <v>0</v>
      </c>
      <c r="GN13" s="27">
        <f>IF($A13="",0,IF(Mitarbeiter!$G$11=FALSE,0,IF(AND(Mitarbeiter!$E$11&lt;&gt;"",GN$5+6&lt;Mitarbeiter!$E$11),0,IF(AND(Mitarbeiter!$F$11&lt;&gt;"",GN$5&gt;Mitarbeiter!$F$11),0,IF(Planung!GN13="",$C13,IF(ISNUMBER(Planung!GN13),Planung!GN13,IF(UPPER(Planung!GN13)="H",$C13/2,0)))))))</f>
        <v>0</v>
      </c>
      <c r="GO13" s="27">
        <f>IF($A13="",0,IF(Mitarbeiter!$G$11=FALSE,0,IF(AND(Mitarbeiter!$E$11&lt;&gt;"",GO$5+6&lt;Mitarbeiter!$E$11),0,IF(AND(Mitarbeiter!$F$11&lt;&gt;"",GO$5&gt;Mitarbeiter!$F$11),0,IF(Planung!GO13="",$C13,IF(ISNUMBER(Planung!GO13),Planung!GO13,IF(UPPER(Planung!GO13)="H",$C13/2,0)))))))</f>
        <v>0</v>
      </c>
      <c r="GP13" s="27">
        <f>IF($A13="",0,IF(Mitarbeiter!$G$11=FALSE,0,IF(AND(Mitarbeiter!$E$11&lt;&gt;"",GP$5+6&lt;Mitarbeiter!$E$11),0,IF(AND(Mitarbeiter!$F$11&lt;&gt;"",GP$5&gt;Mitarbeiter!$F$11),0,IF(Planung!GP13="",$C13,IF(ISNUMBER(Planung!GP13),Planung!GP13,IF(UPPER(Planung!GP13)="H",$C13/2,0)))))))</f>
        <v>0</v>
      </c>
      <c r="GQ13" s="27">
        <f>IF($A13="",0,IF(Mitarbeiter!$G$11=FALSE,0,IF(AND(Mitarbeiter!$E$11&lt;&gt;"",GQ$5+6&lt;Mitarbeiter!$E$11),0,IF(AND(Mitarbeiter!$F$11&lt;&gt;"",GQ$5&gt;Mitarbeiter!$F$11),0,IF(Planung!GQ13="",$C13,IF(ISNUMBER(Planung!GQ13),Planung!GQ13,IF(UPPER(Planung!GQ13)="H",$C13/2,0)))))))</f>
        <v>0</v>
      </c>
      <c r="GR13" s="27">
        <f>IF($A13="",0,IF(Mitarbeiter!$G$11=FALSE,0,IF(AND(Mitarbeiter!$E$11&lt;&gt;"",GR$5+6&lt;Mitarbeiter!$E$11),0,IF(AND(Mitarbeiter!$F$11&lt;&gt;"",GR$5&gt;Mitarbeiter!$F$11),0,IF(Planung!GR13="",$C13,IF(ISNUMBER(Planung!GR13),Planung!GR13,IF(UPPER(Planung!GR13)="H",$C13/2,0)))))))</f>
        <v>0</v>
      </c>
      <c r="GS13" s="27">
        <f>IF($A13="",0,IF(Mitarbeiter!$G$11=FALSE,0,IF(AND(Mitarbeiter!$E$11&lt;&gt;"",GS$5+6&lt;Mitarbeiter!$E$11),0,IF(AND(Mitarbeiter!$F$11&lt;&gt;"",GS$5&gt;Mitarbeiter!$F$11),0,IF(Planung!GS13="",$C13,IF(ISNUMBER(Planung!GS13),Planung!GS13,IF(UPPER(Planung!GS13)="H",$C13/2,0)))))))</f>
        <v>0</v>
      </c>
      <c r="GT13" s="27">
        <f>IF($A13="",0,IF(Mitarbeiter!$G$11=FALSE,0,IF(AND(Mitarbeiter!$E$11&lt;&gt;"",GT$5+6&lt;Mitarbeiter!$E$11),0,IF(AND(Mitarbeiter!$F$11&lt;&gt;"",GT$5&gt;Mitarbeiter!$F$11),0,IF(Planung!GT13="",$C13,IF(ISNUMBER(Planung!GT13),Planung!GT13,IF(UPPER(Planung!GT13)="H",$C13/2,0)))))))</f>
        <v>0</v>
      </c>
      <c r="GU13" s="27">
        <f>IF($A13="",0,IF(Mitarbeiter!$G$11=FALSE,0,IF(AND(Mitarbeiter!$E$11&lt;&gt;"",GU$5+6&lt;Mitarbeiter!$E$11),0,IF(AND(Mitarbeiter!$F$11&lt;&gt;"",GU$5&gt;Mitarbeiter!$F$11),0,IF(Planung!GU13="",$C13,IF(ISNUMBER(Planung!GU13),Planung!GU13,IF(UPPER(Planung!GU13)="H",$C13/2,0)))))))</f>
        <v>0</v>
      </c>
      <c r="GV13" s="27">
        <f>IF($A13="",0,IF(Mitarbeiter!$G$11=FALSE,0,IF(AND(Mitarbeiter!$E$11&lt;&gt;"",GV$5+6&lt;Mitarbeiter!$E$11),0,IF(AND(Mitarbeiter!$F$11&lt;&gt;"",GV$5&gt;Mitarbeiter!$F$11),0,IF(Planung!GV13="",$C13,IF(ISNUMBER(Planung!GV13),Planung!GV13,IF(UPPER(Planung!GV13)="H",$C13/2,0)))))))</f>
        <v>0</v>
      </c>
      <c r="GW13" s="27">
        <f>IF($A13="",0,IF(Mitarbeiter!$G$11=FALSE,0,IF(AND(Mitarbeiter!$E$11&lt;&gt;"",GW$5+6&lt;Mitarbeiter!$E$11),0,IF(AND(Mitarbeiter!$F$11&lt;&gt;"",GW$5&gt;Mitarbeiter!$F$11),0,IF(Planung!GW13="",$C13,IF(ISNUMBER(Planung!GW13),Planung!GW13,IF(UPPER(Planung!GW13)="H",$C13/2,0)))))))</f>
        <v>0</v>
      </c>
      <c r="GX13" s="27">
        <f>IF($A13="",0,IF(Mitarbeiter!$G$11=FALSE,0,IF(AND(Mitarbeiter!$E$11&lt;&gt;"",GX$5+6&lt;Mitarbeiter!$E$11),0,IF(AND(Mitarbeiter!$F$11&lt;&gt;"",GX$5&gt;Mitarbeiter!$F$11),0,IF(Planung!GX13="",$C13,IF(ISNUMBER(Planung!GX13),Planung!GX13,IF(UPPER(Planung!GX13)="H",$C13/2,0)))))))</f>
        <v>0</v>
      </c>
      <c r="GY13" s="27">
        <f>IF($A13="",0,IF(Mitarbeiter!$G$11=FALSE,0,IF(AND(Mitarbeiter!$E$11&lt;&gt;"",GY$5+6&lt;Mitarbeiter!$E$11),0,IF(AND(Mitarbeiter!$F$11&lt;&gt;"",GY$5&gt;Mitarbeiter!$F$11),0,IF(Planung!GY13="",$C13,IF(ISNUMBER(Planung!GY13),Planung!GY13,IF(UPPER(Planung!GY13)="H",$C13/2,0)))))))</f>
        <v>0</v>
      </c>
      <c r="GZ13" s="27">
        <f>IF($A13="",0,IF(Mitarbeiter!$G$11=FALSE,0,IF(AND(Mitarbeiter!$E$11&lt;&gt;"",GZ$5+6&lt;Mitarbeiter!$E$11),0,IF(AND(Mitarbeiter!$F$11&lt;&gt;"",GZ$5&gt;Mitarbeiter!$F$11),0,IF(Planung!GZ13="",$C13,IF(ISNUMBER(Planung!GZ13),Planung!GZ13,IF(UPPER(Planung!GZ13)="H",$C13/2,0)))))))</f>
        <v>0</v>
      </c>
      <c r="HA13" s="27">
        <f>IF($A13="",0,IF(Mitarbeiter!$G$11=FALSE,0,IF(AND(Mitarbeiter!$E$11&lt;&gt;"",HA$5+6&lt;Mitarbeiter!$E$11),0,IF(AND(Mitarbeiter!$F$11&lt;&gt;"",HA$5&gt;Mitarbeiter!$F$11),0,IF(Planung!HA13="",$C13,IF(ISNUMBER(Planung!HA13),Planung!HA13,IF(UPPER(Planung!HA13)="H",$C13/2,0)))))))</f>
        <v>0</v>
      </c>
      <c r="HB13" s="27">
        <f>IF($A13="",0,IF(Mitarbeiter!$G$11=FALSE,0,IF(AND(Mitarbeiter!$E$11&lt;&gt;"",HB$5+6&lt;Mitarbeiter!$E$11),0,IF(AND(Mitarbeiter!$F$11&lt;&gt;"",HB$5&gt;Mitarbeiter!$F$11),0,IF(Planung!HB13="",$C13,IF(ISNUMBER(Planung!HB13),Planung!HB13,IF(UPPER(Planung!HB13)="H",$C13/2,0)))))))</f>
        <v>0</v>
      </c>
      <c r="HC13" s="27">
        <f>IF($A13="",0,IF(Mitarbeiter!$G$11=FALSE,0,IF(AND(Mitarbeiter!$E$11&lt;&gt;"",HC$5+6&lt;Mitarbeiter!$E$11),0,IF(AND(Mitarbeiter!$F$11&lt;&gt;"",HC$5&gt;Mitarbeiter!$F$11),0,IF(Planung!HC13="",$C13,IF(ISNUMBER(Planung!HC13),Planung!HC13,IF(UPPER(Planung!HC13)="H",$C13/2,0)))))))</f>
        <v>0</v>
      </c>
      <c r="HD13" s="27">
        <f>IF($A13="",0,IF(Mitarbeiter!$G$11=FALSE,0,IF(AND(Mitarbeiter!$E$11&lt;&gt;"",HD$5+6&lt;Mitarbeiter!$E$11),0,IF(AND(Mitarbeiter!$F$11&lt;&gt;"",HD$5&gt;Mitarbeiter!$F$11),0,IF(Planung!HD13="",$C13,IF(ISNUMBER(Planung!HD13),Planung!HD13,IF(UPPER(Planung!HD13)="H",$C13/2,0)))))))</f>
        <v>0</v>
      </c>
      <c r="HE13" s="27">
        <f>IF($A13="",0,IF(Mitarbeiter!$G$11=FALSE,0,IF(AND(Mitarbeiter!$E$11&lt;&gt;"",HE$5+6&lt;Mitarbeiter!$E$11),0,IF(AND(Mitarbeiter!$F$11&lt;&gt;"",HE$5&gt;Mitarbeiter!$F$11),0,IF(Planung!HE13="",$C13,IF(ISNUMBER(Planung!HE13),Planung!HE13,IF(UPPER(Planung!HE13)="H",$C13/2,0)))))))</f>
        <v>0</v>
      </c>
      <c r="HF13" s="27">
        <f>IF($A13="",0,IF(Mitarbeiter!$G$11=FALSE,0,IF(AND(Mitarbeiter!$E$11&lt;&gt;"",HF$5+6&lt;Mitarbeiter!$E$11),0,IF(AND(Mitarbeiter!$F$11&lt;&gt;"",HF$5&gt;Mitarbeiter!$F$11),0,IF(Planung!HF13="",$C13,IF(ISNUMBER(Planung!HF13),Planung!HF13,IF(UPPER(Planung!HF13)="H",$C13/2,0)))))))</f>
        <v>0</v>
      </c>
      <c r="HG13" s="27">
        <f>IF($A13="",0,IF(Mitarbeiter!$G$11=FALSE,0,IF(AND(Mitarbeiter!$E$11&lt;&gt;"",HG$5+6&lt;Mitarbeiter!$E$11),0,IF(AND(Mitarbeiter!$F$11&lt;&gt;"",HG$5&gt;Mitarbeiter!$F$11),0,IF(Planung!HG13="",$C13,IF(ISNUMBER(Planung!HG13),Planung!HG13,IF(UPPER(Planung!HG13)="H",$C13/2,0)))))))</f>
        <v>0</v>
      </c>
      <c r="HH13" s="27">
        <f>IF($A13="",0,IF(Mitarbeiter!$G$11=FALSE,0,IF(AND(Mitarbeiter!$E$11&lt;&gt;"",HH$5+6&lt;Mitarbeiter!$E$11),0,IF(AND(Mitarbeiter!$F$11&lt;&gt;"",HH$5&gt;Mitarbeiter!$F$11),0,IF(Planung!HH13="",$C13,IF(ISNUMBER(Planung!HH13),Planung!HH13,IF(UPPER(Planung!HH13)="H",$C13/2,0)))))))</f>
        <v>0</v>
      </c>
      <c r="HI13" s="27">
        <f>IF($A13="",0,IF(Mitarbeiter!$G$11=FALSE,0,IF(AND(Mitarbeiter!$E$11&lt;&gt;"",HI$5+6&lt;Mitarbeiter!$E$11),0,IF(AND(Mitarbeiter!$F$11&lt;&gt;"",HI$5&gt;Mitarbeiter!$F$11),0,IF(Planung!HI13="",$C13,IF(ISNUMBER(Planung!HI13),Planung!HI13,IF(UPPER(Planung!HI13)="H",$C13/2,0)))))))</f>
        <v>0</v>
      </c>
      <c r="HJ13" s="27">
        <f>IF($A13="",0,IF(Mitarbeiter!$G$11=FALSE,0,IF(AND(Mitarbeiter!$E$11&lt;&gt;"",HJ$5+6&lt;Mitarbeiter!$E$11),0,IF(AND(Mitarbeiter!$F$11&lt;&gt;"",HJ$5&gt;Mitarbeiter!$F$11),0,IF(Planung!HJ13="",$C13,IF(ISNUMBER(Planung!HJ13),Planung!HJ13,IF(UPPER(Planung!HJ13)="H",$C13/2,0)))))))</f>
        <v>0</v>
      </c>
      <c r="HK13" s="27">
        <f>IF($A13="",0,IF(Mitarbeiter!$G$11=FALSE,0,IF(AND(Mitarbeiter!$E$11&lt;&gt;"",HK$5+6&lt;Mitarbeiter!$E$11),0,IF(AND(Mitarbeiter!$F$11&lt;&gt;"",HK$5&gt;Mitarbeiter!$F$11),0,IF(Planung!HK13="",$C13,IF(ISNUMBER(Planung!HK13),Planung!HK13,IF(UPPER(Planung!HK13)="H",$C13/2,0)))))))</f>
        <v>0</v>
      </c>
      <c r="HL13" s="27">
        <f>IF($A13="",0,IF(Mitarbeiter!$G$11=FALSE,0,IF(AND(Mitarbeiter!$E$11&lt;&gt;"",HL$5+6&lt;Mitarbeiter!$E$11),0,IF(AND(Mitarbeiter!$F$11&lt;&gt;"",HL$5&gt;Mitarbeiter!$F$11),0,IF(Planung!HL13="",$C13,IF(ISNUMBER(Planung!HL13),Planung!HL13,IF(UPPER(Planung!HL13)="H",$C13/2,0)))))))</f>
        <v>0</v>
      </c>
      <c r="HM13" s="27">
        <f>IF($A13="",0,IF(Mitarbeiter!$G$11=FALSE,0,IF(AND(Mitarbeiter!$E$11&lt;&gt;"",HM$5+6&lt;Mitarbeiter!$E$11),0,IF(AND(Mitarbeiter!$F$11&lt;&gt;"",HM$5&gt;Mitarbeiter!$F$11),0,IF(Planung!HM13="",$C13,IF(ISNUMBER(Planung!HM13),Planung!HM13,IF(UPPER(Planung!HM13)="H",$C13/2,0)))))))</f>
        <v>0</v>
      </c>
      <c r="HN13" s="27">
        <f>IF($A13="",0,IF(Mitarbeiter!$G$11=FALSE,0,IF(AND(Mitarbeiter!$E$11&lt;&gt;"",HN$5+6&lt;Mitarbeiter!$E$11),0,IF(AND(Mitarbeiter!$F$11&lt;&gt;"",HN$5&gt;Mitarbeiter!$F$11),0,IF(Planung!HN13="",$C13,IF(ISNUMBER(Planung!HN13),Planung!HN13,IF(UPPER(Planung!HN13)="H",$C13/2,0)))))))</f>
        <v>0</v>
      </c>
      <c r="HO13" s="27">
        <f>IF($A13="",0,IF(Mitarbeiter!$G$11=FALSE,0,IF(AND(Mitarbeiter!$E$11&lt;&gt;"",HO$5+6&lt;Mitarbeiter!$E$11),0,IF(AND(Mitarbeiter!$F$11&lt;&gt;"",HO$5&gt;Mitarbeiter!$F$11),0,IF(Planung!HO13="",$C13,IF(ISNUMBER(Planung!HO13),Planung!HO13,IF(UPPER(Planung!HO13)="H",$C13/2,0)))))))</f>
        <v>0</v>
      </c>
      <c r="HP13" s="27">
        <f>IF($A13="",0,IF(Mitarbeiter!$G$11=FALSE,0,IF(AND(Mitarbeiter!$E$11&lt;&gt;"",HP$5+6&lt;Mitarbeiter!$E$11),0,IF(AND(Mitarbeiter!$F$11&lt;&gt;"",HP$5&gt;Mitarbeiter!$F$11),0,IF(Planung!HP13="",$C13,IF(ISNUMBER(Planung!HP13),Planung!HP13,IF(UPPER(Planung!HP13)="H",$C13/2,0)))))))</f>
        <v>0</v>
      </c>
      <c r="HQ13" s="27">
        <f>IF($A13="",0,IF(Mitarbeiter!$G$11=FALSE,0,IF(AND(Mitarbeiter!$E$11&lt;&gt;"",HQ$5+6&lt;Mitarbeiter!$E$11),0,IF(AND(Mitarbeiter!$F$11&lt;&gt;"",HQ$5&gt;Mitarbeiter!$F$11),0,IF(Planung!HQ13="",$C13,IF(ISNUMBER(Planung!HQ13),Planung!HQ13,IF(UPPER(Planung!HQ13)="H",$C13/2,0)))))))</f>
        <v>0</v>
      </c>
      <c r="HR13" s="27">
        <f>IF($A13="",0,IF(Mitarbeiter!$G$11=FALSE,0,IF(AND(Mitarbeiter!$E$11&lt;&gt;"",HR$5+6&lt;Mitarbeiter!$E$11),0,IF(AND(Mitarbeiter!$F$11&lt;&gt;"",HR$5&gt;Mitarbeiter!$F$11),0,IF(Planung!HR13="",$C13,IF(ISNUMBER(Planung!HR13),Planung!HR13,IF(UPPER(Planung!HR13)="H",$C13/2,0)))))))</f>
        <v>0</v>
      </c>
      <c r="HS13" s="27">
        <f>IF($A13="",0,IF(Mitarbeiter!$G$11=FALSE,0,IF(AND(Mitarbeiter!$E$11&lt;&gt;"",HS$5+6&lt;Mitarbeiter!$E$11),0,IF(AND(Mitarbeiter!$F$11&lt;&gt;"",HS$5&gt;Mitarbeiter!$F$11),0,IF(Planung!HS13="",$C13,IF(ISNUMBER(Planung!HS13),Planung!HS13,IF(UPPER(Planung!HS13)="H",$C13/2,0)))))))</f>
        <v>0</v>
      </c>
      <c r="HT13" s="27">
        <f>IF($A13="",0,IF(Mitarbeiter!$G$11=FALSE,0,IF(AND(Mitarbeiter!$E$11&lt;&gt;"",HT$5+6&lt;Mitarbeiter!$E$11),0,IF(AND(Mitarbeiter!$F$11&lt;&gt;"",HT$5&gt;Mitarbeiter!$F$11),0,IF(Planung!HT13="",$C13,IF(ISNUMBER(Planung!HT13),Planung!HT13,IF(UPPER(Planung!HT13)="H",$C13/2,0)))))))</f>
        <v>0</v>
      </c>
      <c r="HU13" s="27">
        <f>IF($A13="",0,IF(Mitarbeiter!$G$11=FALSE,0,IF(AND(Mitarbeiter!$E$11&lt;&gt;"",HU$5+6&lt;Mitarbeiter!$E$11),0,IF(AND(Mitarbeiter!$F$11&lt;&gt;"",HU$5&gt;Mitarbeiter!$F$11),0,IF(Planung!HU13="",$C13,IF(ISNUMBER(Planung!HU13),Planung!HU13,IF(UPPER(Planung!HU13)="H",$C13/2,0)))))))</f>
        <v>0</v>
      </c>
      <c r="HV13" s="27">
        <f>IF($A13="",0,IF(Mitarbeiter!$G$11=FALSE,0,IF(AND(Mitarbeiter!$E$11&lt;&gt;"",HV$5+6&lt;Mitarbeiter!$E$11),0,IF(AND(Mitarbeiter!$F$11&lt;&gt;"",HV$5&gt;Mitarbeiter!$F$11),0,IF(Planung!HV13="",$C13,IF(ISNUMBER(Planung!HV13),Planung!HV13,IF(UPPER(Planung!HV13)="H",$C13/2,0)))))))</f>
        <v>0</v>
      </c>
      <c r="HW13" s="27">
        <f>IF($A13="",0,IF(Mitarbeiter!$G$11=FALSE,0,IF(AND(Mitarbeiter!$E$11&lt;&gt;"",HW$5+6&lt;Mitarbeiter!$E$11),0,IF(AND(Mitarbeiter!$F$11&lt;&gt;"",HW$5&gt;Mitarbeiter!$F$11),0,IF(Planung!HW13="",$C13,IF(ISNUMBER(Planung!HW13),Planung!HW13,IF(UPPER(Planung!HW13)="H",$C13/2,0)))))))</f>
        <v>0</v>
      </c>
      <c r="HX13" s="27">
        <f>IF($A13="",0,IF(Mitarbeiter!$G$11=FALSE,0,IF(AND(Mitarbeiter!$E$11&lt;&gt;"",HX$5+6&lt;Mitarbeiter!$E$11),0,IF(AND(Mitarbeiter!$F$11&lt;&gt;"",HX$5&gt;Mitarbeiter!$F$11),0,IF(Planung!HX13="",$C13,IF(ISNUMBER(Planung!HX13),Planung!HX13,IF(UPPER(Planung!HX13)="H",$C13/2,0)))))))</f>
        <v>0</v>
      </c>
      <c r="HY13" s="27">
        <f>IF($A13="",0,IF(Mitarbeiter!$G$11=FALSE,0,IF(AND(Mitarbeiter!$E$11&lt;&gt;"",HY$5+6&lt;Mitarbeiter!$E$11),0,IF(AND(Mitarbeiter!$F$11&lt;&gt;"",HY$5&gt;Mitarbeiter!$F$11),0,IF(Planung!HY13="",$C13,IF(ISNUMBER(Planung!HY13),Planung!HY13,IF(UPPER(Planung!HY13)="H",$C13/2,0)))))))</f>
        <v>0</v>
      </c>
      <c r="HZ13" s="27">
        <f>IF($A13="",0,IF(Mitarbeiter!$G$11=FALSE,0,IF(AND(Mitarbeiter!$E$11&lt;&gt;"",HZ$5+6&lt;Mitarbeiter!$E$11),0,IF(AND(Mitarbeiter!$F$11&lt;&gt;"",HZ$5&gt;Mitarbeiter!$F$11),0,IF(Planung!HZ13="",$C13,IF(ISNUMBER(Planung!HZ13),Planung!HZ13,IF(UPPER(Planung!HZ13)="H",$C13/2,0)))))))</f>
        <v>0</v>
      </c>
      <c r="IA13" s="27">
        <f>IF($A13="",0,IF(Mitarbeiter!$G$11=FALSE,0,IF(AND(Mitarbeiter!$E$11&lt;&gt;"",IA$5+6&lt;Mitarbeiter!$E$11),0,IF(AND(Mitarbeiter!$F$11&lt;&gt;"",IA$5&gt;Mitarbeiter!$F$11),0,IF(Planung!IA13="",$C13,IF(ISNUMBER(Planung!IA13),Planung!IA13,IF(UPPER(Planung!IA13)="H",$C13/2,0)))))))</f>
        <v>0</v>
      </c>
    </row>
    <row r="14" spans="1:235" x14ac:dyDescent="0.25">
      <c r="A14" s="7" t="str">
        <f>Planung!A14</f>
        <v/>
      </c>
      <c r="B14" s="7" t="str">
        <f>Planung!B14</f>
        <v/>
      </c>
      <c r="C14" s="27">
        <f>N(Mitarbeiter!$D$12)</f>
        <v>0</v>
      </c>
      <c r="D14" s="27">
        <f>IF($A14="",0,IF(Mitarbeiter!$G$12=FALSE,0,IF(AND(Mitarbeiter!$E$12&lt;&gt;"",D$5+6&lt;Mitarbeiter!$E$12),0,IF(AND(Mitarbeiter!$F$12&lt;&gt;"",D$5&gt;Mitarbeiter!$F$12),0,IF(Planung!D14="",$C14,IF(ISNUMBER(Planung!D14),Planung!D14,IF(UPPER(Planung!D14)="H",$C14/2,0)))))))</f>
        <v>0</v>
      </c>
      <c r="E14" s="27">
        <f>IF($A14="",0,IF(Mitarbeiter!$G$12=FALSE,0,IF(AND(Mitarbeiter!$E$12&lt;&gt;"",E$5+6&lt;Mitarbeiter!$E$12),0,IF(AND(Mitarbeiter!$F$12&lt;&gt;"",E$5&gt;Mitarbeiter!$F$12),0,IF(Planung!E14="",$C14,IF(ISNUMBER(Planung!E14),Planung!E14,IF(UPPER(Planung!E14)="H",$C14/2,0)))))))</f>
        <v>0</v>
      </c>
      <c r="F14" s="27">
        <f>IF($A14="",0,IF(Mitarbeiter!$G$12=FALSE,0,IF(AND(Mitarbeiter!$E$12&lt;&gt;"",F$5+6&lt;Mitarbeiter!$E$12),0,IF(AND(Mitarbeiter!$F$12&lt;&gt;"",F$5&gt;Mitarbeiter!$F$12),0,IF(Planung!F14="",$C14,IF(ISNUMBER(Planung!F14),Planung!F14,IF(UPPER(Planung!F14)="H",$C14/2,0)))))))</f>
        <v>0</v>
      </c>
      <c r="G14" s="27">
        <f>IF($A14="",0,IF(Mitarbeiter!$G$12=FALSE,0,IF(AND(Mitarbeiter!$E$12&lt;&gt;"",G$5+6&lt;Mitarbeiter!$E$12),0,IF(AND(Mitarbeiter!$F$12&lt;&gt;"",G$5&gt;Mitarbeiter!$F$12),0,IF(Planung!G14="",$C14,IF(ISNUMBER(Planung!G14),Planung!G14,IF(UPPER(Planung!G14)="H",$C14/2,0)))))))</f>
        <v>0</v>
      </c>
      <c r="H14" s="27">
        <f>IF($A14="",0,IF(Mitarbeiter!$G$12=FALSE,0,IF(AND(Mitarbeiter!$E$12&lt;&gt;"",H$5+6&lt;Mitarbeiter!$E$12),0,IF(AND(Mitarbeiter!$F$12&lt;&gt;"",H$5&gt;Mitarbeiter!$F$12),0,IF(Planung!H14="",$C14,IF(ISNUMBER(Planung!H14),Planung!H14,IF(UPPER(Planung!H14)="H",$C14/2,0)))))))</f>
        <v>0</v>
      </c>
      <c r="I14" s="27">
        <f>IF($A14="",0,IF(Mitarbeiter!$G$12=FALSE,0,IF(AND(Mitarbeiter!$E$12&lt;&gt;"",I$5+6&lt;Mitarbeiter!$E$12),0,IF(AND(Mitarbeiter!$F$12&lt;&gt;"",I$5&gt;Mitarbeiter!$F$12),0,IF(Planung!I14="",$C14,IF(ISNUMBER(Planung!I14),Planung!I14,IF(UPPER(Planung!I14)="H",$C14/2,0)))))))</f>
        <v>0</v>
      </c>
      <c r="J14" s="27">
        <f>IF($A14="",0,IF(Mitarbeiter!$G$12=FALSE,0,IF(AND(Mitarbeiter!$E$12&lt;&gt;"",J$5+6&lt;Mitarbeiter!$E$12),0,IF(AND(Mitarbeiter!$F$12&lt;&gt;"",J$5&gt;Mitarbeiter!$F$12),0,IF(Planung!J14="",$C14,IF(ISNUMBER(Planung!J14),Planung!J14,IF(UPPER(Planung!J14)="H",$C14/2,0)))))))</f>
        <v>0</v>
      </c>
      <c r="K14" s="27">
        <f>IF($A14="",0,IF(Mitarbeiter!$G$12=FALSE,0,IF(AND(Mitarbeiter!$E$12&lt;&gt;"",K$5+6&lt;Mitarbeiter!$E$12),0,IF(AND(Mitarbeiter!$F$12&lt;&gt;"",K$5&gt;Mitarbeiter!$F$12),0,IF(Planung!K14="",$C14,IF(ISNUMBER(Planung!K14),Planung!K14,IF(UPPER(Planung!K14)="H",$C14/2,0)))))))</f>
        <v>0</v>
      </c>
      <c r="L14" s="27">
        <f>IF($A14="",0,IF(Mitarbeiter!$G$12=FALSE,0,IF(AND(Mitarbeiter!$E$12&lt;&gt;"",L$5+6&lt;Mitarbeiter!$E$12),0,IF(AND(Mitarbeiter!$F$12&lt;&gt;"",L$5&gt;Mitarbeiter!$F$12),0,IF(Planung!L14="",$C14,IF(ISNUMBER(Planung!L14),Planung!L14,IF(UPPER(Planung!L14)="H",$C14/2,0)))))))</f>
        <v>0</v>
      </c>
      <c r="M14" s="27">
        <f>IF($A14="",0,IF(Mitarbeiter!$G$12=FALSE,0,IF(AND(Mitarbeiter!$E$12&lt;&gt;"",M$5+6&lt;Mitarbeiter!$E$12),0,IF(AND(Mitarbeiter!$F$12&lt;&gt;"",M$5&gt;Mitarbeiter!$F$12),0,IF(Planung!M14="",$C14,IF(ISNUMBER(Planung!M14),Planung!M14,IF(UPPER(Planung!M14)="H",$C14/2,0)))))))</f>
        <v>0</v>
      </c>
      <c r="N14" s="27">
        <f>IF($A14="",0,IF(Mitarbeiter!$G$12=FALSE,0,IF(AND(Mitarbeiter!$E$12&lt;&gt;"",N$5+6&lt;Mitarbeiter!$E$12),0,IF(AND(Mitarbeiter!$F$12&lt;&gt;"",N$5&gt;Mitarbeiter!$F$12),0,IF(Planung!N14="",$C14,IF(ISNUMBER(Planung!N14),Planung!N14,IF(UPPER(Planung!N14)="H",$C14/2,0)))))))</f>
        <v>0</v>
      </c>
      <c r="O14" s="27">
        <f>IF($A14="",0,IF(Mitarbeiter!$G$12=FALSE,0,IF(AND(Mitarbeiter!$E$12&lt;&gt;"",O$5+6&lt;Mitarbeiter!$E$12),0,IF(AND(Mitarbeiter!$F$12&lt;&gt;"",O$5&gt;Mitarbeiter!$F$12),0,IF(Planung!O14="",$C14,IF(ISNUMBER(Planung!O14),Planung!O14,IF(UPPER(Planung!O14)="H",$C14/2,0)))))))</f>
        <v>0</v>
      </c>
      <c r="P14" s="27">
        <f>IF($A14="",0,IF(Mitarbeiter!$G$12=FALSE,0,IF(AND(Mitarbeiter!$E$12&lt;&gt;"",P$5+6&lt;Mitarbeiter!$E$12),0,IF(AND(Mitarbeiter!$F$12&lt;&gt;"",P$5&gt;Mitarbeiter!$F$12),0,IF(Planung!P14="",$C14,IF(ISNUMBER(Planung!P14),Planung!P14,IF(UPPER(Planung!P14)="H",$C14/2,0)))))))</f>
        <v>0</v>
      </c>
      <c r="Q14" s="27">
        <f>IF($A14="",0,IF(Mitarbeiter!$G$12=FALSE,0,IF(AND(Mitarbeiter!$E$12&lt;&gt;"",Q$5+6&lt;Mitarbeiter!$E$12),0,IF(AND(Mitarbeiter!$F$12&lt;&gt;"",Q$5&gt;Mitarbeiter!$F$12),0,IF(Planung!Q14="",$C14,IF(ISNUMBER(Planung!Q14),Planung!Q14,IF(UPPER(Planung!Q14)="H",$C14/2,0)))))))</f>
        <v>0</v>
      </c>
      <c r="R14" s="27">
        <f>IF($A14="",0,IF(Mitarbeiter!$G$12=FALSE,0,IF(AND(Mitarbeiter!$E$12&lt;&gt;"",R$5+6&lt;Mitarbeiter!$E$12),0,IF(AND(Mitarbeiter!$F$12&lt;&gt;"",R$5&gt;Mitarbeiter!$F$12),0,IF(Planung!R14="",$C14,IF(ISNUMBER(Planung!R14),Planung!R14,IF(UPPER(Planung!R14)="H",$C14/2,0)))))))</f>
        <v>0</v>
      </c>
      <c r="S14" s="27">
        <f>IF($A14="",0,IF(Mitarbeiter!$G$12=FALSE,0,IF(AND(Mitarbeiter!$E$12&lt;&gt;"",S$5+6&lt;Mitarbeiter!$E$12),0,IF(AND(Mitarbeiter!$F$12&lt;&gt;"",S$5&gt;Mitarbeiter!$F$12),0,IF(Planung!S14="",$C14,IF(ISNUMBER(Planung!S14),Planung!S14,IF(UPPER(Planung!S14)="H",$C14/2,0)))))))</f>
        <v>0</v>
      </c>
      <c r="T14" s="27">
        <f>IF($A14="",0,IF(Mitarbeiter!$G$12=FALSE,0,IF(AND(Mitarbeiter!$E$12&lt;&gt;"",T$5+6&lt;Mitarbeiter!$E$12),0,IF(AND(Mitarbeiter!$F$12&lt;&gt;"",T$5&gt;Mitarbeiter!$F$12),0,IF(Planung!T14="",$C14,IF(ISNUMBER(Planung!T14),Planung!T14,IF(UPPER(Planung!T14)="H",$C14/2,0)))))))</f>
        <v>0</v>
      </c>
      <c r="U14" s="27">
        <f>IF($A14="",0,IF(Mitarbeiter!$G$12=FALSE,0,IF(AND(Mitarbeiter!$E$12&lt;&gt;"",U$5+6&lt;Mitarbeiter!$E$12),0,IF(AND(Mitarbeiter!$F$12&lt;&gt;"",U$5&gt;Mitarbeiter!$F$12),0,IF(Planung!U14="",$C14,IF(ISNUMBER(Planung!U14),Planung!U14,IF(UPPER(Planung!U14)="H",$C14/2,0)))))))</f>
        <v>0</v>
      </c>
      <c r="V14" s="27">
        <f>IF($A14="",0,IF(Mitarbeiter!$G$12=FALSE,0,IF(AND(Mitarbeiter!$E$12&lt;&gt;"",V$5+6&lt;Mitarbeiter!$E$12),0,IF(AND(Mitarbeiter!$F$12&lt;&gt;"",V$5&gt;Mitarbeiter!$F$12),0,IF(Planung!V14="",$C14,IF(ISNUMBER(Planung!V14),Planung!V14,IF(UPPER(Planung!V14)="H",$C14/2,0)))))))</f>
        <v>0</v>
      </c>
      <c r="W14" s="27">
        <f>IF($A14="",0,IF(Mitarbeiter!$G$12=FALSE,0,IF(AND(Mitarbeiter!$E$12&lt;&gt;"",W$5+6&lt;Mitarbeiter!$E$12),0,IF(AND(Mitarbeiter!$F$12&lt;&gt;"",W$5&gt;Mitarbeiter!$F$12),0,IF(Planung!W14="",$C14,IF(ISNUMBER(Planung!W14),Planung!W14,IF(UPPER(Planung!W14)="H",$C14/2,0)))))))</f>
        <v>0</v>
      </c>
      <c r="X14" s="27">
        <f>IF($A14="",0,IF(Mitarbeiter!$G$12=FALSE,0,IF(AND(Mitarbeiter!$E$12&lt;&gt;"",X$5+6&lt;Mitarbeiter!$E$12),0,IF(AND(Mitarbeiter!$F$12&lt;&gt;"",X$5&gt;Mitarbeiter!$F$12),0,IF(Planung!X14="",$C14,IF(ISNUMBER(Planung!X14),Planung!X14,IF(UPPER(Planung!X14)="H",$C14/2,0)))))))</f>
        <v>0</v>
      </c>
      <c r="Y14" s="27">
        <f>IF($A14="",0,IF(Mitarbeiter!$G$12=FALSE,0,IF(AND(Mitarbeiter!$E$12&lt;&gt;"",Y$5+6&lt;Mitarbeiter!$E$12),0,IF(AND(Mitarbeiter!$F$12&lt;&gt;"",Y$5&gt;Mitarbeiter!$F$12),0,IF(Planung!Y14="",$C14,IF(ISNUMBER(Planung!Y14),Planung!Y14,IF(UPPER(Planung!Y14)="H",$C14/2,0)))))))</f>
        <v>0</v>
      </c>
      <c r="Z14" s="27">
        <f>IF($A14="",0,IF(Mitarbeiter!$G$12=FALSE,0,IF(AND(Mitarbeiter!$E$12&lt;&gt;"",Z$5+6&lt;Mitarbeiter!$E$12),0,IF(AND(Mitarbeiter!$F$12&lt;&gt;"",Z$5&gt;Mitarbeiter!$F$12),0,IF(Planung!Z14="",$C14,IF(ISNUMBER(Planung!Z14),Planung!Z14,IF(UPPER(Planung!Z14)="H",$C14/2,0)))))))</f>
        <v>0</v>
      </c>
      <c r="AA14" s="27">
        <f>IF($A14="",0,IF(Mitarbeiter!$G$12=FALSE,0,IF(AND(Mitarbeiter!$E$12&lt;&gt;"",AA$5+6&lt;Mitarbeiter!$E$12),0,IF(AND(Mitarbeiter!$F$12&lt;&gt;"",AA$5&gt;Mitarbeiter!$F$12),0,IF(Planung!AA14="",$C14,IF(ISNUMBER(Planung!AA14),Planung!AA14,IF(UPPER(Planung!AA14)="H",$C14/2,0)))))))</f>
        <v>0</v>
      </c>
      <c r="AB14" s="27">
        <f>IF($A14="",0,IF(Mitarbeiter!$G$12=FALSE,0,IF(AND(Mitarbeiter!$E$12&lt;&gt;"",AB$5+6&lt;Mitarbeiter!$E$12),0,IF(AND(Mitarbeiter!$F$12&lt;&gt;"",AB$5&gt;Mitarbeiter!$F$12),0,IF(Planung!AB14="",$C14,IF(ISNUMBER(Planung!AB14),Planung!AB14,IF(UPPER(Planung!AB14)="H",$C14/2,0)))))))</f>
        <v>0</v>
      </c>
      <c r="AC14" s="27">
        <f>IF($A14="",0,IF(Mitarbeiter!$G$12=FALSE,0,IF(AND(Mitarbeiter!$E$12&lt;&gt;"",AC$5+6&lt;Mitarbeiter!$E$12),0,IF(AND(Mitarbeiter!$F$12&lt;&gt;"",AC$5&gt;Mitarbeiter!$F$12),0,IF(Planung!AC14="",$C14,IF(ISNUMBER(Planung!AC14),Planung!AC14,IF(UPPER(Planung!AC14)="H",$C14/2,0)))))))</f>
        <v>0</v>
      </c>
      <c r="AD14" s="27">
        <f>IF($A14="",0,IF(Mitarbeiter!$G$12=FALSE,0,IF(AND(Mitarbeiter!$E$12&lt;&gt;"",AD$5+6&lt;Mitarbeiter!$E$12),0,IF(AND(Mitarbeiter!$F$12&lt;&gt;"",AD$5&gt;Mitarbeiter!$F$12),0,IF(Planung!AD14="",$C14,IF(ISNUMBER(Planung!AD14),Planung!AD14,IF(UPPER(Planung!AD14)="H",$C14/2,0)))))))</f>
        <v>0</v>
      </c>
      <c r="AE14" s="27">
        <f>IF($A14="",0,IF(Mitarbeiter!$G$12=FALSE,0,IF(AND(Mitarbeiter!$E$12&lt;&gt;"",AE$5+6&lt;Mitarbeiter!$E$12),0,IF(AND(Mitarbeiter!$F$12&lt;&gt;"",AE$5&gt;Mitarbeiter!$F$12),0,IF(Planung!AE14="",$C14,IF(ISNUMBER(Planung!AE14),Planung!AE14,IF(UPPER(Planung!AE14)="H",$C14/2,0)))))))</f>
        <v>0</v>
      </c>
      <c r="AF14" s="27">
        <f>IF($A14="",0,IF(Mitarbeiter!$G$12=FALSE,0,IF(AND(Mitarbeiter!$E$12&lt;&gt;"",AF$5+6&lt;Mitarbeiter!$E$12),0,IF(AND(Mitarbeiter!$F$12&lt;&gt;"",AF$5&gt;Mitarbeiter!$F$12),0,IF(Planung!AF14="",$C14,IF(ISNUMBER(Planung!AF14),Planung!AF14,IF(UPPER(Planung!AF14)="H",$C14/2,0)))))))</f>
        <v>0</v>
      </c>
      <c r="AG14" s="27">
        <f>IF($A14="",0,IF(Mitarbeiter!$G$12=FALSE,0,IF(AND(Mitarbeiter!$E$12&lt;&gt;"",AG$5+6&lt;Mitarbeiter!$E$12),0,IF(AND(Mitarbeiter!$F$12&lt;&gt;"",AG$5&gt;Mitarbeiter!$F$12),0,IF(Planung!AG14="",$C14,IF(ISNUMBER(Planung!AG14),Planung!AG14,IF(UPPER(Planung!AG14)="H",$C14/2,0)))))))</f>
        <v>0</v>
      </c>
      <c r="AH14" s="27">
        <f>IF($A14="",0,IF(Mitarbeiter!$G$12=FALSE,0,IF(AND(Mitarbeiter!$E$12&lt;&gt;"",AH$5+6&lt;Mitarbeiter!$E$12),0,IF(AND(Mitarbeiter!$F$12&lt;&gt;"",AH$5&gt;Mitarbeiter!$F$12),0,IF(Planung!AH14="",$C14,IF(ISNUMBER(Planung!AH14),Planung!AH14,IF(UPPER(Planung!AH14)="H",$C14/2,0)))))))</f>
        <v>0</v>
      </c>
      <c r="AI14" s="27">
        <f>IF($A14="",0,IF(Mitarbeiter!$G$12=FALSE,0,IF(AND(Mitarbeiter!$E$12&lt;&gt;"",AI$5+6&lt;Mitarbeiter!$E$12),0,IF(AND(Mitarbeiter!$F$12&lt;&gt;"",AI$5&gt;Mitarbeiter!$F$12),0,IF(Planung!AI14="",$C14,IF(ISNUMBER(Planung!AI14),Planung!AI14,IF(UPPER(Planung!AI14)="H",$C14/2,0)))))))</f>
        <v>0</v>
      </c>
      <c r="AJ14" s="27">
        <f>IF($A14="",0,IF(Mitarbeiter!$G$12=FALSE,0,IF(AND(Mitarbeiter!$E$12&lt;&gt;"",AJ$5+6&lt;Mitarbeiter!$E$12),0,IF(AND(Mitarbeiter!$F$12&lt;&gt;"",AJ$5&gt;Mitarbeiter!$F$12),0,IF(Planung!AJ14="",$C14,IF(ISNUMBER(Planung!AJ14),Planung!AJ14,IF(UPPER(Planung!AJ14)="H",$C14/2,0)))))))</f>
        <v>0</v>
      </c>
      <c r="AK14" s="27">
        <f>IF($A14="",0,IF(Mitarbeiter!$G$12=FALSE,0,IF(AND(Mitarbeiter!$E$12&lt;&gt;"",AK$5+6&lt;Mitarbeiter!$E$12),0,IF(AND(Mitarbeiter!$F$12&lt;&gt;"",AK$5&gt;Mitarbeiter!$F$12),0,IF(Planung!AK14="",$C14,IF(ISNUMBER(Planung!AK14),Planung!AK14,IF(UPPER(Planung!AK14)="H",$C14/2,0)))))))</f>
        <v>0</v>
      </c>
      <c r="AL14" s="27">
        <f>IF($A14="",0,IF(Mitarbeiter!$G$12=FALSE,0,IF(AND(Mitarbeiter!$E$12&lt;&gt;"",AL$5+6&lt;Mitarbeiter!$E$12),0,IF(AND(Mitarbeiter!$F$12&lt;&gt;"",AL$5&gt;Mitarbeiter!$F$12),0,IF(Planung!AL14="",$C14,IF(ISNUMBER(Planung!AL14),Planung!AL14,IF(UPPER(Planung!AL14)="H",$C14/2,0)))))))</f>
        <v>0</v>
      </c>
      <c r="AM14" s="27">
        <f>IF($A14="",0,IF(Mitarbeiter!$G$12=FALSE,0,IF(AND(Mitarbeiter!$E$12&lt;&gt;"",AM$5+6&lt;Mitarbeiter!$E$12),0,IF(AND(Mitarbeiter!$F$12&lt;&gt;"",AM$5&gt;Mitarbeiter!$F$12),0,IF(Planung!AM14="",$C14,IF(ISNUMBER(Planung!AM14),Planung!AM14,IF(UPPER(Planung!AM14)="H",$C14/2,0)))))))</f>
        <v>0</v>
      </c>
      <c r="AN14" s="27">
        <f>IF($A14="",0,IF(Mitarbeiter!$G$12=FALSE,0,IF(AND(Mitarbeiter!$E$12&lt;&gt;"",AN$5+6&lt;Mitarbeiter!$E$12),0,IF(AND(Mitarbeiter!$F$12&lt;&gt;"",AN$5&gt;Mitarbeiter!$F$12),0,IF(Planung!AN14="",$C14,IF(ISNUMBER(Planung!AN14),Planung!AN14,IF(UPPER(Planung!AN14)="H",$C14/2,0)))))))</f>
        <v>0</v>
      </c>
      <c r="AO14" s="27">
        <f>IF($A14="",0,IF(Mitarbeiter!$G$12=FALSE,0,IF(AND(Mitarbeiter!$E$12&lt;&gt;"",AO$5+6&lt;Mitarbeiter!$E$12),0,IF(AND(Mitarbeiter!$F$12&lt;&gt;"",AO$5&gt;Mitarbeiter!$F$12),0,IF(Planung!AO14="",$C14,IF(ISNUMBER(Planung!AO14),Planung!AO14,IF(UPPER(Planung!AO14)="H",$C14/2,0)))))))</f>
        <v>0</v>
      </c>
      <c r="AP14" s="27">
        <f>IF($A14="",0,IF(Mitarbeiter!$G$12=FALSE,0,IF(AND(Mitarbeiter!$E$12&lt;&gt;"",AP$5+6&lt;Mitarbeiter!$E$12),0,IF(AND(Mitarbeiter!$F$12&lt;&gt;"",AP$5&gt;Mitarbeiter!$F$12),0,IF(Planung!AP14="",$C14,IF(ISNUMBER(Planung!AP14),Planung!AP14,IF(UPPER(Planung!AP14)="H",$C14/2,0)))))))</f>
        <v>0</v>
      </c>
      <c r="AQ14" s="27">
        <f>IF($A14="",0,IF(Mitarbeiter!$G$12=FALSE,0,IF(AND(Mitarbeiter!$E$12&lt;&gt;"",AQ$5+6&lt;Mitarbeiter!$E$12),0,IF(AND(Mitarbeiter!$F$12&lt;&gt;"",AQ$5&gt;Mitarbeiter!$F$12),0,IF(Planung!AQ14="",$C14,IF(ISNUMBER(Planung!AQ14),Planung!AQ14,IF(UPPER(Planung!AQ14)="H",$C14/2,0)))))))</f>
        <v>0</v>
      </c>
      <c r="AR14" s="27">
        <f>IF($A14="",0,IF(Mitarbeiter!$G$12=FALSE,0,IF(AND(Mitarbeiter!$E$12&lt;&gt;"",AR$5+6&lt;Mitarbeiter!$E$12),0,IF(AND(Mitarbeiter!$F$12&lt;&gt;"",AR$5&gt;Mitarbeiter!$F$12),0,IF(Planung!AR14="",$C14,IF(ISNUMBER(Planung!AR14),Planung!AR14,IF(UPPER(Planung!AR14)="H",$C14/2,0)))))))</f>
        <v>0</v>
      </c>
      <c r="AS14" s="27">
        <f>IF($A14="",0,IF(Mitarbeiter!$G$12=FALSE,0,IF(AND(Mitarbeiter!$E$12&lt;&gt;"",AS$5+6&lt;Mitarbeiter!$E$12),0,IF(AND(Mitarbeiter!$F$12&lt;&gt;"",AS$5&gt;Mitarbeiter!$F$12),0,IF(Planung!AS14="",$C14,IF(ISNUMBER(Planung!AS14),Planung!AS14,IF(UPPER(Planung!AS14)="H",$C14/2,0)))))))</f>
        <v>0</v>
      </c>
      <c r="AT14" s="27">
        <f>IF($A14="",0,IF(Mitarbeiter!$G$12=FALSE,0,IF(AND(Mitarbeiter!$E$12&lt;&gt;"",AT$5+6&lt;Mitarbeiter!$E$12),0,IF(AND(Mitarbeiter!$F$12&lt;&gt;"",AT$5&gt;Mitarbeiter!$F$12),0,IF(Planung!AT14="",$C14,IF(ISNUMBER(Planung!AT14),Planung!AT14,IF(UPPER(Planung!AT14)="H",$C14/2,0)))))))</f>
        <v>0</v>
      </c>
      <c r="AU14" s="27">
        <f>IF($A14="",0,IF(Mitarbeiter!$G$12=FALSE,0,IF(AND(Mitarbeiter!$E$12&lt;&gt;"",AU$5+6&lt;Mitarbeiter!$E$12),0,IF(AND(Mitarbeiter!$F$12&lt;&gt;"",AU$5&gt;Mitarbeiter!$F$12),0,IF(Planung!AU14="",$C14,IF(ISNUMBER(Planung!AU14),Planung!AU14,IF(UPPER(Planung!AU14)="H",$C14/2,0)))))))</f>
        <v>0</v>
      </c>
      <c r="AV14" s="27">
        <f>IF($A14="",0,IF(Mitarbeiter!$G$12=FALSE,0,IF(AND(Mitarbeiter!$E$12&lt;&gt;"",AV$5+6&lt;Mitarbeiter!$E$12),0,IF(AND(Mitarbeiter!$F$12&lt;&gt;"",AV$5&gt;Mitarbeiter!$F$12),0,IF(Planung!AV14="",$C14,IF(ISNUMBER(Planung!AV14),Planung!AV14,IF(UPPER(Planung!AV14)="H",$C14/2,0)))))))</f>
        <v>0</v>
      </c>
      <c r="AW14" s="27">
        <f>IF($A14="",0,IF(Mitarbeiter!$G$12=FALSE,0,IF(AND(Mitarbeiter!$E$12&lt;&gt;"",AW$5+6&lt;Mitarbeiter!$E$12),0,IF(AND(Mitarbeiter!$F$12&lt;&gt;"",AW$5&gt;Mitarbeiter!$F$12),0,IF(Planung!AW14="",$C14,IF(ISNUMBER(Planung!AW14),Planung!AW14,IF(UPPER(Planung!AW14)="H",$C14/2,0)))))))</f>
        <v>0</v>
      </c>
      <c r="AX14" s="27">
        <f>IF($A14="",0,IF(Mitarbeiter!$G$12=FALSE,0,IF(AND(Mitarbeiter!$E$12&lt;&gt;"",AX$5+6&lt;Mitarbeiter!$E$12),0,IF(AND(Mitarbeiter!$F$12&lt;&gt;"",AX$5&gt;Mitarbeiter!$F$12),0,IF(Planung!AX14="",$C14,IF(ISNUMBER(Planung!AX14),Planung!AX14,IF(UPPER(Planung!AX14)="H",$C14/2,0)))))))</f>
        <v>0</v>
      </c>
      <c r="AY14" s="27">
        <f>IF($A14="",0,IF(Mitarbeiter!$G$12=FALSE,0,IF(AND(Mitarbeiter!$E$12&lt;&gt;"",AY$5+6&lt;Mitarbeiter!$E$12),0,IF(AND(Mitarbeiter!$F$12&lt;&gt;"",AY$5&gt;Mitarbeiter!$F$12),0,IF(Planung!AY14="",$C14,IF(ISNUMBER(Planung!AY14),Planung!AY14,IF(UPPER(Planung!AY14)="H",$C14/2,0)))))))</f>
        <v>0</v>
      </c>
      <c r="AZ14" s="27">
        <f>IF($A14="",0,IF(Mitarbeiter!$G$12=FALSE,0,IF(AND(Mitarbeiter!$E$12&lt;&gt;"",AZ$5+6&lt;Mitarbeiter!$E$12),0,IF(AND(Mitarbeiter!$F$12&lt;&gt;"",AZ$5&gt;Mitarbeiter!$F$12),0,IF(Planung!AZ14="",$C14,IF(ISNUMBER(Planung!AZ14),Planung!AZ14,IF(UPPER(Planung!AZ14)="H",$C14/2,0)))))))</f>
        <v>0</v>
      </c>
      <c r="BA14" s="27">
        <f>IF($A14="",0,IF(Mitarbeiter!$G$12=FALSE,0,IF(AND(Mitarbeiter!$E$12&lt;&gt;"",BA$5+6&lt;Mitarbeiter!$E$12),0,IF(AND(Mitarbeiter!$F$12&lt;&gt;"",BA$5&gt;Mitarbeiter!$F$12),0,IF(Planung!BA14="",$C14,IF(ISNUMBER(Planung!BA14),Planung!BA14,IF(UPPER(Planung!BA14)="H",$C14/2,0)))))))</f>
        <v>0</v>
      </c>
      <c r="BB14" s="27">
        <f>IF($A14="",0,IF(Mitarbeiter!$G$12=FALSE,0,IF(AND(Mitarbeiter!$E$12&lt;&gt;"",BB$5+6&lt;Mitarbeiter!$E$12),0,IF(AND(Mitarbeiter!$F$12&lt;&gt;"",BB$5&gt;Mitarbeiter!$F$12),0,IF(Planung!BB14="",$C14,IF(ISNUMBER(Planung!BB14),Planung!BB14,IF(UPPER(Planung!BB14)="H",$C14/2,0)))))))</f>
        <v>0</v>
      </c>
      <c r="BC14" s="27">
        <f>IF($A14="",0,IF(Mitarbeiter!$G$12=FALSE,0,IF(AND(Mitarbeiter!$E$12&lt;&gt;"",BC$5+6&lt;Mitarbeiter!$E$12),0,IF(AND(Mitarbeiter!$F$12&lt;&gt;"",BC$5&gt;Mitarbeiter!$F$12),0,IF(Planung!BC14="",$C14,IF(ISNUMBER(Planung!BC14),Planung!BC14,IF(UPPER(Planung!BC14)="H",$C14/2,0)))))))</f>
        <v>0</v>
      </c>
      <c r="BD14" s="27">
        <f>IF($A14="",0,IF(Mitarbeiter!$G$12=FALSE,0,IF(AND(Mitarbeiter!$E$12&lt;&gt;"",BD$5+6&lt;Mitarbeiter!$E$12),0,IF(AND(Mitarbeiter!$F$12&lt;&gt;"",BD$5&gt;Mitarbeiter!$F$12),0,IF(Planung!BD14="",$C14,IF(ISNUMBER(Planung!BD14),Planung!BD14,IF(UPPER(Planung!BD14)="H",$C14/2,0)))))))</f>
        <v>0</v>
      </c>
      <c r="BE14" s="27">
        <f>IF($A14="",0,IF(Mitarbeiter!$G$12=FALSE,0,IF(AND(Mitarbeiter!$E$12&lt;&gt;"",BE$5+6&lt;Mitarbeiter!$E$12),0,IF(AND(Mitarbeiter!$F$12&lt;&gt;"",BE$5&gt;Mitarbeiter!$F$12),0,IF(Planung!BE14="",$C14,IF(ISNUMBER(Planung!BE14),Planung!BE14,IF(UPPER(Planung!BE14)="H",$C14/2,0)))))))</f>
        <v>0</v>
      </c>
      <c r="BF14" s="27">
        <f>IF($A14="",0,IF(Mitarbeiter!$G$12=FALSE,0,IF(AND(Mitarbeiter!$E$12&lt;&gt;"",BF$5+6&lt;Mitarbeiter!$E$12),0,IF(AND(Mitarbeiter!$F$12&lt;&gt;"",BF$5&gt;Mitarbeiter!$F$12),0,IF(Planung!BF14="",$C14,IF(ISNUMBER(Planung!BF14),Planung!BF14,IF(UPPER(Planung!BF14)="H",$C14/2,0)))))))</f>
        <v>0</v>
      </c>
      <c r="BG14" s="27">
        <f>IF($A14="",0,IF(Mitarbeiter!$G$12=FALSE,0,IF(AND(Mitarbeiter!$E$12&lt;&gt;"",BG$5+6&lt;Mitarbeiter!$E$12),0,IF(AND(Mitarbeiter!$F$12&lt;&gt;"",BG$5&gt;Mitarbeiter!$F$12),0,IF(Planung!BG14="",$C14,IF(ISNUMBER(Planung!BG14),Planung!BG14,IF(UPPER(Planung!BG14)="H",$C14/2,0)))))))</f>
        <v>0</v>
      </c>
      <c r="BH14" s="27">
        <f>IF($A14="",0,IF(Mitarbeiter!$G$12=FALSE,0,IF(AND(Mitarbeiter!$E$12&lt;&gt;"",BH$5+6&lt;Mitarbeiter!$E$12),0,IF(AND(Mitarbeiter!$F$12&lt;&gt;"",BH$5&gt;Mitarbeiter!$F$12),0,IF(Planung!BH14="",$C14,IF(ISNUMBER(Planung!BH14),Planung!BH14,IF(UPPER(Planung!BH14)="H",$C14/2,0)))))))</f>
        <v>0</v>
      </c>
      <c r="BI14" s="27">
        <f>IF($A14="",0,IF(Mitarbeiter!$G$12=FALSE,0,IF(AND(Mitarbeiter!$E$12&lt;&gt;"",BI$5+6&lt;Mitarbeiter!$E$12),0,IF(AND(Mitarbeiter!$F$12&lt;&gt;"",BI$5&gt;Mitarbeiter!$F$12),0,IF(Planung!BI14="",$C14,IF(ISNUMBER(Planung!BI14),Planung!BI14,IF(UPPER(Planung!BI14)="H",$C14/2,0)))))))</f>
        <v>0</v>
      </c>
      <c r="BJ14" s="27">
        <f>IF($A14="",0,IF(Mitarbeiter!$G$12=FALSE,0,IF(AND(Mitarbeiter!$E$12&lt;&gt;"",BJ$5+6&lt;Mitarbeiter!$E$12),0,IF(AND(Mitarbeiter!$F$12&lt;&gt;"",BJ$5&gt;Mitarbeiter!$F$12),0,IF(Planung!BJ14="",$C14,IF(ISNUMBER(Planung!BJ14),Planung!BJ14,IF(UPPER(Planung!BJ14)="H",$C14/2,0)))))))</f>
        <v>0</v>
      </c>
      <c r="BK14" s="27">
        <f>IF($A14="",0,IF(Mitarbeiter!$G$12=FALSE,0,IF(AND(Mitarbeiter!$E$12&lt;&gt;"",BK$5+6&lt;Mitarbeiter!$E$12),0,IF(AND(Mitarbeiter!$F$12&lt;&gt;"",BK$5&gt;Mitarbeiter!$F$12),0,IF(Planung!BK14="",$C14,IF(ISNUMBER(Planung!BK14),Planung!BK14,IF(UPPER(Planung!BK14)="H",$C14/2,0)))))))</f>
        <v>0</v>
      </c>
      <c r="BL14" s="27">
        <f>IF($A14="",0,IF(Mitarbeiter!$G$12=FALSE,0,IF(AND(Mitarbeiter!$E$12&lt;&gt;"",BL$5+6&lt;Mitarbeiter!$E$12),0,IF(AND(Mitarbeiter!$F$12&lt;&gt;"",BL$5&gt;Mitarbeiter!$F$12),0,IF(Planung!BL14="",$C14,IF(ISNUMBER(Planung!BL14),Planung!BL14,IF(UPPER(Planung!BL14)="H",$C14/2,0)))))))</f>
        <v>0</v>
      </c>
      <c r="BM14" s="27">
        <f>IF($A14="",0,IF(Mitarbeiter!$G$12=FALSE,0,IF(AND(Mitarbeiter!$E$12&lt;&gt;"",BM$5+6&lt;Mitarbeiter!$E$12),0,IF(AND(Mitarbeiter!$F$12&lt;&gt;"",BM$5&gt;Mitarbeiter!$F$12),0,IF(Planung!BM14="",$C14,IF(ISNUMBER(Planung!BM14),Planung!BM14,IF(UPPER(Planung!BM14)="H",$C14/2,0)))))))</f>
        <v>0</v>
      </c>
      <c r="BN14" s="27">
        <f>IF($A14="",0,IF(Mitarbeiter!$G$12=FALSE,0,IF(AND(Mitarbeiter!$E$12&lt;&gt;"",BN$5+6&lt;Mitarbeiter!$E$12),0,IF(AND(Mitarbeiter!$F$12&lt;&gt;"",BN$5&gt;Mitarbeiter!$F$12),0,IF(Planung!BN14="",$C14,IF(ISNUMBER(Planung!BN14),Planung!BN14,IF(UPPER(Planung!BN14)="H",$C14/2,0)))))))</f>
        <v>0</v>
      </c>
      <c r="BO14" s="27">
        <f>IF($A14="",0,IF(Mitarbeiter!$G$12=FALSE,0,IF(AND(Mitarbeiter!$E$12&lt;&gt;"",BO$5+6&lt;Mitarbeiter!$E$12),0,IF(AND(Mitarbeiter!$F$12&lt;&gt;"",BO$5&gt;Mitarbeiter!$F$12),0,IF(Planung!BO14="",$C14,IF(ISNUMBER(Planung!BO14),Planung!BO14,IF(UPPER(Planung!BO14)="H",$C14/2,0)))))))</f>
        <v>0</v>
      </c>
      <c r="BP14" s="27">
        <f>IF($A14="",0,IF(Mitarbeiter!$G$12=FALSE,0,IF(AND(Mitarbeiter!$E$12&lt;&gt;"",BP$5+6&lt;Mitarbeiter!$E$12),0,IF(AND(Mitarbeiter!$F$12&lt;&gt;"",BP$5&gt;Mitarbeiter!$F$12),0,IF(Planung!BP14="",$C14,IF(ISNUMBER(Planung!BP14),Planung!BP14,IF(UPPER(Planung!BP14)="H",$C14/2,0)))))))</f>
        <v>0</v>
      </c>
      <c r="BQ14" s="27">
        <f>IF($A14="",0,IF(Mitarbeiter!$G$12=FALSE,0,IF(AND(Mitarbeiter!$E$12&lt;&gt;"",BQ$5+6&lt;Mitarbeiter!$E$12),0,IF(AND(Mitarbeiter!$F$12&lt;&gt;"",BQ$5&gt;Mitarbeiter!$F$12),0,IF(Planung!BQ14="",$C14,IF(ISNUMBER(Planung!BQ14),Planung!BQ14,IF(UPPER(Planung!BQ14)="H",$C14/2,0)))))))</f>
        <v>0</v>
      </c>
      <c r="BR14" s="27">
        <f>IF($A14="",0,IF(Mitarbeiter!$G$12=FALSE,0,IF(AND(Mitarbeiter!$E$12&lt;&gt;"",BR$5+6&lt;Mitarbeiter!$E$12),0,IF(AND(Mitarbeiter!$F$12&lt;&gt;"",BR$5&gt;Mitarbeiter!$F$12),0,IF(Planung!BR14="",$C14,IF(ISNUMBER(Planung!BR14),Planung!BR14,IF(UPPER(Planung!BR14)="H",$C14/2,0)))))))</f>
        <v>0</v>
      </c>
      <c r="BS14" s="27">
        <f>IF($A14="",0,IF(Mitarbeiter!$G$12=FALSE,0,IF(AND(Mitarbeiter!$E$12&lt;&gt;"",BS$5+6&lt;Mitarbeiter!$E$12),0,IF(AND(Mitarbeiter!$F$12&lt;&gt;"",BS$5&gt;Mitarbeiter!$F$12),0,IF(Planung!BS14="",$C14,IF(ISNUMBER(Planung!BS14),Planung!BS14,IF(UPPER(Planung!BS14)="H",$C14/2,0)))))))</f>
        <v>0</v>
      </c>
      <c r="BT14" s="27">
        <f>IF($A14="",0,IF(Mitarbeiter!$G$12=FALSE,0,IF(AND(Mitarbeiter!$E$12&lt;&gt;"",BT$5+6&lt;Mitarbeiter!$E$12),0,IF(AND(Mitarbeiter!$F$12&lt;&gt;"",BT$5&gt;Mitarbeiter!$F$12),0,IF(Planung!BT14="",$C14,IF(ISNUMBER(Planung!BT14),Planung!BT14,IF(UPPER(Planung!BT14)="H",$C14/2,0)))))))</f>
        <v>0</v>
      </c>
      <c r="BU14" s="27">
        <f>IF($A14="",0,IF(Mitarbeiter!$G$12=FALSE,0,IF(AND(Mitarbeiter!$E$12&lt;&gt;"",BU$5+6&lt;Mitarbeiter!$E$12),0,IF(AND(Mitarbeiter!$F$12&lt;&gt;"",BU$5&gt;Mitarbeiter!$F$12),0,IF(Planung!BU14="",$C14,IF(ISNUMBER(Planung!BU14),Planung!BU14,IF(UPPER(Planung!BU14)="H",$C14/2,0)))))))</f>
        <v>0</v>
      </c>
      <c r="BV14" s="27">
        <f>IF($A14="",0,IF(Mitarbeiter!$G$12=FALSE,0,IF(AND(Mitarbeiter!$E$12&lt;&gt;"",BV$5+6&lt;Mitarbeiter!$E$12),0,IF(AND(Mitarbeiter!$F$12&lt;&gt;"",BV$5&gt;Mitarbeiter!$F$12),0,IF(Planung!BV14="",$C14,IF(ISNUMBER(Planung!BV14),Planung!BV14,IF(UPPER(Planung!BV14)="H",$C14/2,0)))))))</f>
        <v>0</v>
      </c>
      <c r="BW14" s="27">
        <f>IF($A14="",0,IF(Mitarbeiter!$G$12=FALSE,0,IF(AND(Mitarbeiter!$E$12&lt;&gt;"",BW$5+6&lt;Mitarbeiter!$E$12),0,IF(AND(Mitarbeiter!$F$12&lt;&gt;"",BW$5&gt;Mitarbeiter!$F$12),0,IF(Planung!BW14="",$C14,IF(ISNUMBER(Planung!BW14),Planung!BW14,IF(UPPER(Planung!BW14)="H",$C14/2,0)))))))</f>
        <v>0</v>
      </c>
      <c r="BX14" s="27">
        <f>IF($A14="",0,IF(Mitarbeiter!$G$12=FALSE,0,IF(AND(Mitarbeiter!$E$12&lt;&gt;"",BX$5+6&lt;Mitarbeiter!$E$12),0,IF(AND(Mitarbeiter!$F$12&lt;&gt;"",BX$5&gt;Mitarbeiter!$F$12),0,IF(Planung!BX14="",$C14,IF(ISNUMBER(Planung!BX14),Planung!BX14,IF(UPPER(Planung!BX14)="H",$C14/2,0)))))))</f>
        <v>0</v>
      </c>
      <c r="BY14" s="27">
        <f>IF($A14="",0,IF(Mitarbeiter!$G$12=FALSE,0,IF(AND(Mitarbeiter!$E$12&lt;&gt;"",BY$5+6&lt;Mitarbeiter!$E$12),0,IF(AND(Mitarbeiter!$F$12&lt;&gt;"",BY$5&gt;Mitarbeiter!$F$12),0,IF(Planung!BY14="",$C14,IF(ISNUMBER(Planung!BY14),Planung!BY14,IF(UPPER(Planung!BY14)="H",$C14/2,0)))))))</f>
        <v>0</v>
      </c>
      <c r="BZ14" s="27">
        <f>IF($A14="",0,IF(Mitarbeiter!$G$12=FALSE,0,IF(AND(Mitarbeiter!$E$12&lt;&gt;"",BZ$5+6&lt;Mitarbeiter!$E$12),0,IF(AND(Mitarbeiter!$F$12&lt;&gt;"",BZ$5&gt;Mitarbeiter!$F$12),0,IF(Planung!BZ14="",$C14,IF(ISNUMBER(Planung!BZ14),Planung!BZ14,IF(UPPER(Planung!BZ14)="H",$C14/2,0)))))))</f>
        <v>0</v>
      </c>
      <c r="CA14" s="27">
        <f>IF($A14="",0,IF(Mitarbeiter!$G$12=FALSE,0,IF(AND(Mitarbeiter!$E$12&lt;&gt;"",CA$5+6&lt;Mitarbeiter!$E$12),0,IF(AND(Mitarbeiter!$F$12&lt;&gt;"",CA$5&gt;Mitarbeiter!$F$12),0,IF(Planung!CA14="",$C14,IF(ISNUMBER(Planung!CA14),Planung!CA14,IF(UPPER(Planung!CA14)="H",$C14/2,0)))))))</f>
        <v>0</v>
      </c>
      <c r="CB14" s="27">
        <f>IF($A14="",0,IF(Mitarbeiter!$G$12=FALSE,0,IF(AND(Mitarbeiter!$E$12&lt;&gt;"",CB$5+6&lt;Mitarbeiter!$E$12),0,IF(AND(Mitarbeiter!$F$12&lt;&gt;"",CB$5&gt;Mitarbeiter!$F$12),0,IF(Planung!CB14="",$C14,IF(ISNUMBER(Planung!CB14),Planung!CB14,IF(UPPER(Planung!CB14)="H",$C14/2,0)))))))</f>
        <v>0</v>
      </c>
      <c r="CC14" s="27">
        <f>IF($A14="",0,IF(Mitarbeiter!$G$12=FALSE,0,IF(AND(Mitarbeiter!$E$12&lt;&gt;"",CC$5+6&lt;Mitarbeiter!$E$12),0,IF(AND(Mitarbeiter!$F$12&lt;&gt;"",CC$5&gt;Mitarbeiter!$F$12),0,IF(Planung!CC14="",$C14,IF(ISNUMBER(Planung!CC14),Planung!CC14,IF(UPPER(Planung!CC14)="H",$C14/2,0)))))))</f>
        <v>0</v>
      </c>
      <c r="CD14" s="27">
        <f>IF($A14="",0,IF(Mitarbeiter!$G$12=FALSE,0,IF(AND(Mitarbeiter!$E$12&lt;&gt;"",CD$5+6&lt;Mitarbeiter!$E$12),0,IF(AND(Mitarbeiter!$F$12&lt;&gt;"",CD$5&gt;Mitarbeiter!$F$12),0,IF(Planung!CD14="",$C14,IF(ISNUMBER(Planung!CD14),Planung!CD14,IF(UPPER(Planung!CD14)="H",$C14/2,0)))))))</f>
        <v>0</v>
      </c>
      <c r="CE14" s="27">
        <f>IF($A14="",0,IF(Mitarbeiter!$G$12=FALSE,0,IF(AND(Mitarbeiter!$E$12&lt;&gt;"",CE$5+6&lt;Mitarbeiter!$E$12),0,IF(AND(Mitarbeiter!$F$12&lt;&gt;"",CE$5&gt;Mitarbeiter!$F$12),0,IF(Planung!CE14="",$C14,IF(ISNUMBER(Planung!CE14),Planung!CE14,IF(UPPER(Planung!CE14)="H",$C14/2,0)))))))</f>
        <v>0</v>
      </c>
      <c r="CF14" s="27">
        <f>IF($A14="",0,IF(Mitarbeiter!$G$12=FALSE,0,IF(AND(Mitarbeiter!$E$12&lt;&gt;"",CF$5+6&lt;Mitarbeiter!$E$12),0,IF(AND(Mitarbeiter!$F$12&lt;&gt;"",CF$5&gt;Mitarbeiter!$F$12),0,IF(Planung!CF14="",$C14,IF(ISNUMBER(Planung!CF14),Planung!CF14,IF(UPPER(Planung!CF14)="H",$C14/2,0)))))))</f>
        <v>0</v>
      </c>
      <c r="CG14" s="27">
        <f>IF($A14="",0,IF(Mitarbeiter!$G$12=FALSE,0,IF(AND(Mitarbeiter!$E$12&lt;&gt;"",CG$5+6&lt;Mitarbeiter!$E$12),0,IF(AND(Mitarbeiter!$F$12&lt;&gt;"",CG$5&gt;Mitarbeiter!$F$12),0,IF(Planung!CG14="",$C14,IF(ISNUMBER(Planung!CG14),Planung!CG14,IF(UPPER(Planung!CG14)="H",$C14/2,0)))))))</f>
        <v>0</v>
      </c>
      <c r="CH14" s="27">
        <f>IF($A14="",0,IF(Mitarbeiter!$G$12=FALSE,0,IF(AND(Mitarbeiter!$E$12&lt;&gt;"",CH$5+6&lt;Mitarbeiter!$E$12),0,IF(AND(Mitarbeiter!$F$12&lt;&gt;"",CH$5&gt;Mitarbeiter!$F$12),0,IF(Planung!CH14="",$C14,IF(ISNUMBER(Planung!CH14),Planung!CH14,IF(UPPER(Planung!CH14)="H",$C14/2,0)))))))</f>
        <v>0</v>
      </c>
      <c r="CI14" s="27">
        <f>IF($A14="",0,IF(Mitarbeiter!$G$12=FALSE,0,IF(AND(Mitarbeiter!$E$12&lt;&gt;"",CI$5+6&lt;Mitarbeiter!$E$12),0,IF(AND(Mitarbeiter!$F$12&lt;&gt;"",CI$5&gt;Mitarbeiter!$F$12),0,IF(Planung!CI14="",$C14,IF(ISNUMBER(Planung!CI14),Planung!CI14,IF(UPPER(Planung!CI14)="H",$C14/2,0)))))))</f>
        <v>0</v>
      </c>
      <c r="CJ14" s="27">
        <f>IF($A14="",0,IF(Mitarbeiter!$G$12=FALSE,0,IF(AND(Mitarbeiter!$E$12&lt;&gt;"",CJ$5+6&lt;Mitarbeiter!$E$12),0,IF(AND(Mitarbeiter!$F$12&lt;&gt;"",CJ$5&gt;Mitarbeiter!$F$12),0,IF(Planung!CJ14="",$C14,IF(ISNUMBER(Planung!CJ14),Planung!CJ14,IF(UPPER(Planung!CJ14)="H",$C14/2,0)))))))</f>
        <v>0</v>
      </c>
      <c r="CK14" s="27">
        <f>IF($A14="",0,IF(Mitarbeiter!$G$12=FALSE,0,IF(AND(Mitarbeiter!$E$12&lt;&gt;"",CK$5+6&lt;Mitarbeiter!$E$12),0,IF(AND(Mitarbeiter!$F$12&lt;&gt;"",CK$5&gt;Mitarbeiter!$F$12),0,IF(Planung!CK14="",$C14,IF(ISNUMBER(Planung!CK14),Planung!CK14,IF(UPPER(Planung!CK14)="H",$C14/2,0)))))))</f>
        <v>0</v>
      </c>
      <c r="CL14" s="27">
        <f>IF($A14="",0,IF(Mitarbeiter!$G$12=FALSE,0,IF(AND(Mitarbeiter!$E$12&lt;&gt;"",CL$5+6&lt;Mitarbeiter!$E$12),0,IF(AND(Mitarbeiter!$F$12&lt;&gt;"",CL$5&gt;Mitarbeiter!$F$12),0,IF(Planung!CL14="",$C14,IF(ISNUMBER(Planung!CL14),Planung!CL14,IF(UPPER(Planung!CL14)="H",$C14/2,0)))))))</f>
        <v>0</v>
      </c>
      <c r="CM14" s="27">
        <f>IF($A14="",0,IF(Mitarbeiter!$G$12=FALSE,0,IF(AND(Mitarbeiter!$E$12&lt;&gt;"",CM$5+6&lt;Mitarbeiter!$E$12),0,IF(AND(Mitarbeiter!$F$12&lt;&gt;"",CM$5&gt;Mitarbeiter!$F$12),0,IF(Planung!CM14="",$C14,IF(ISNUMBER(Planung!CM14),Planung!CM14,IF(UPPER(Planung!CM14)="H",$C14/2,0)))))))</f>
        <v>0</v>
      </c>
      <c r="CN14" s="27">
        <f>IF($A14="",0,IF(Mitarbeiter!$G$12=FALSE,0,IF(AND(Mitarbeiter!$E$12&lt;&gt;"",CN$5+6&lt;Mitarbeiter!$E$12),0,IF(AND(Mitarbeiter!$F$12&lt;&gt;"",CN$5&gt;Mitarbeiter!$F$12),0,IF(Planung!CN14="",$C14,IF(ISNUMBER(Planung!CN14),Planung!CN14,IF(UPPER(Planung!CN14)="H",$C14/2,0)))))))</f>
        <v>0</v>
      </c>
      <c r="CO14" s="27">
        <f>IF($A14="",0,IF(Mitarbeiter!$G$12=FALSE,0,IF(AND(Mitarbeiter!$E$12&lt;&gt;"",CO$5+6&lt;Mitarbeiter!$E$12),0,IF(AND(Mitarbeiter!$F$12&lt;&gt;"",CO$5&gt;Mitarbeiter!$F$12),0,IF(Planung!CO14="",$C14,IF(ISNUMBER(Planung!CO14),Planung!CO14,IF(UPPER(Planung!CO14)="H",$C14/2,0)))))))</f>
        <v>0</v>
      </c>
      <c r="CP14" s="27">
        <f>IF($A14="",0,IF(Mitarbeiter!$G$12=FALSE,0,IF(AND(Mitarbeiter!$E$12&lt;&gt;"",CP$5+6&lt;Mitarbeiter!$E$12),0,IF(AND(Mitarbeiter!$F$12&lt;&gt;"",CP$5&gt;Mitarbeiter!$F$12),0,IF(Planung!CP14="",$C14,IF(ISNUMBER(Planung!CP14),Planung!CP14,IF(UPPER(Planung!CP14)="H",$C14/2,0)))))))</f>
        <v>0</v>
      </c>
      <c r="CQ14" s="27">
        <f>IF($A14="",0,IF(Mitarbeiter!$G$12=FALSE,0,IF(AND(Mitarbeiter!$E$12&lt;&gt;"",CQ$5+6&lt;Mitarbeiter!$E$12),0,IF(AND(Mitarbeiter!$F$12&lt;&gt;"",CQ$5&gt;Mitarbeiter!$F$12),0,IF(Planung!CQ14="",$C14,IF(ISNUMBER(Planung!CQ14),Planung!CQ14,IF(UPPER(Planung!CQ14)="H",$C14/2,0)))))))</f>
        <v>0</v>
      </c>
      <c r="CR14" s="27">
        <f>IF($A14="",0,IF(Mitarbeiter!$G$12=FALSE,0,IF(AND(Mitarbeiter!$E$12&lt;&gt;"",CR$5+6&lt;Mitarbeiter!$E$12),0,IF(AND(Mitarbeiter!$F$12&lt;&gt;"",CR$5&gt;Mitarbeiter!$F$12),0,IF(Planung!CR14="",$C14,IF(ISNUMBER(Planung!CR14),Planung!CR14,IF(UPPER(Planung!CR14)="H",$C14/2,0)))))))</f>
        <v>0</v>
      </c>
      <c r="CS14" s="27">
        <f>IF($A14="",0,IF(Mitarbeiter!$G$12=FALSE,0,IF(AND(Mitarbeiter!$E$12&lt;&gt;"",CS$5+6&lt;Mitarbeiter!$E$12),0,IF(AND(Mitarbeiter!$F$12&lt;&gt;"",CS$5&gt;Mitarbeiter!$F$12),0,IF(Planung!CS14="",$C14,IF(ISNUMBER(Planung!CS14),Planung!CS14,IF(UPPER(Planung!CS14)="H",$C14/2,0)))))))</f>
        <v>0</v>
      </c>
      <c r="CT14" s="27">
        <f>IF($A14="",0,IF(Mitarbeiter!$G$12=FALSE,0,IF(AND(Mitarbeiter!$E$12&lt;&gt;"",CT$5+6&lt;Mitarbeiter!$E$12),0,IF(AND(Mitarbeiter!$F$12&lt;&gt;"",CT$5&gt;Mitarbeiter!$F$12),0,IF(Planung!CT14="",$C14,IF(ISNUMBER(Planung!CT14),Planung!CT14,IF(UPPER(Planung!CT14)="H",$C14/2,0)))))))</f>
        <v>0</v>
      </c>
      <c r="CU14" s="27">
        <f>IF($A14="",0,IF(Mitarbeiter!$G$12=FALSE,0,IF(AND(Mitarbeiter!$E$12&lt;&gt;"",CU$5+6&lt;Mitarbeiter!$E$12),0,IF(AND(Mitarbeiter!$F$12&lt;&gt;"",CU$5&gt;Mitarbeiter!$F$12),0,IF(Planung!CU14="",$C14,IF(ISNUMBER(Planung!CU14),Planung!CU14,IF(UPPER(Planung!CU14)="H",$C14/2,0)))))))</f>
        <v>0</v>
      </c>
      <c r="CV14" s="27">
        <f>IF($A14="",0,IF(Mitarbeiter!$G$12=FALSE,0,IF(AND(Mitarbeiter!$E$12&lt;&gt;"",CV$5+6&lt;Mitarbeiter!$E$12),0,IF(AND(Mitarbeiter!$F$12&lt;&gt;"",CV$5&gt;Mitarbeiter!$F$12),0,IF(Planung!CV14="",$C14,IF(ISNUMBER(Planung!CV14),Planung!CV14,IF(UPPER(Planung!CV14)="H",$C14/2,0)))))))</f>
        <v>0</v>
      </c>
      <c r="CW14" s="27">
        <f>IF($A14="",0,IF(Mitarbeiter!$G$12=FALSE,0,IF(AND(Mitarbeiter!$E$12&lt;&gt;"",CW$5+6&lt;Mitarbeiter!$E$12),0,IF(AND(Mitarbeiter!$F$12&lt;&gt;"",CW$5&gt;Mitarbeiter!$F$12),0,IF(Planung!CW14="",$C14,IF(ISNUMBER(Planung!CW14),Planung!CW14,IF(UPPER(Planung!CW14)="H",$C14/2,0)))))))</f>
        <v>0</v>
      </c>
      <c r="CX14" s="27">
        <f>IF($A14="",0,IF(Mitarbeiter!$G$12=FALSE,0,IF(AND(Mitarbeiter!$E$12&lt;&gt;"",CX$5+6&lt;Mitarbeiter!$E$12),0,IF(AND(Mitarbeiter!$F$12&lt;&gt;"",CX$5&gt;Mitarbeiter!$F$12),0,IF(Planung!CX14="",$C14,IF(ISNUMBER(Planung!CX14),Planung!CX14,IF(UPPER(Planung!CX14)="H",$C14/2,0)))))))</f>
        <v>0</v>
      </c>
      <c r="CY14" s="27">
        <f>IF($A14="",0,IF(Mitarbeiter!$G$12=FALSE,0,IF(AND(Mitarbeiter!$E$12&lt;&gt;"",CY$5+6&lt;Mitarbeiter!$E$12),0,IF(AND(Mitarbeiter!$F$12&lt;&gt;"",CY$5&gt;Mitarbeiter!$F$12),0,IF(Planung!CY14="",$C14,IF(ISNUMBER(Planung!CY14),Planung!CY14,IF(UPPER(Planung!CY14)="H",$C14/2,0)))))))</f>
        <v>0</v>
      </c>
      <c r="CZ14" s="27">
        <f>IF($A14="",0,IF(Mitarbeiter!$G$12=FALSE,0,IF(AND(Mitarbeiter!$E$12&lt;&gt;"",CZ$5+6&lt;Mitarbeiter!$E$12),0,IF(AND(Mitarbeiter!$F$12&lt;&gt;"",CZ$5&gt;Mitarbeiter!$F$12),0,IF(Planung!CZ14="",$C14,IF(ISNUMBER(Planung!CZ14),Planung!CZ14,IF(UPPER(Planung!CZ14)="H",$C14/2,0)))))))</f>
        <v>0</v>
      </c>
      <c r="DA14" s="27">
        <f>IF($A14="",0,IF(Mitarbeiter!$G$12=FALSE,0,IF(AND(Mitarbeiter!$E$12&lt;&gt;"",DA$5+6&lt;Mitarbeiter!$E$12),0,IF(AND(Mitarbeiter!$F$12&lt;&gt;"",DA$5&gt;Mitarbeiter!$F$12),0,IF(Planung!DA14="",$C14,IF(ISNUMBER(Planung!DA14),Planung!DA14,IF(UPPER(Planung!DA14)="H",$C14/2,0)))))))</f>
        <v>0</v>
      </c>
      <c r="DB14" s="27">
        <f>IF($A14="",0,IF(Mitarbeiter!$G$12=FALSE,0,IF(AND(Mitarbeiter!$E$12&lt;&gt;"",DB$5+6&lt;Mitarbeiter!$E$12),0,IF(AND(Mitarbeiter!$F$12&lt;&gt;"",DB$5&gt;Mitarbeiter!$F$12),0,IF(Planung!DB14="",$C14,IF(ISNUMBER(Planung!DB14),Planung!DB14,IF(UPPER(Planung!DB14)="H",$C14/2,0)))))))</f>
        <v>0</v>
      </c>
      <c r="DC14" s="27">
        <f>IF($A14="",0,IF(Mitarbeiter!$G$12=FALSE,0,IF(AND(Mitarbeiter!$E$12&lt;&gt;"",DC$5+6&lt;Mitarbeiter!$E$12),0,IF(AND(Mitarbeiter!$F$12&lt;&gt;"",DC$5&gt;Mitarbeiter!$F$12),0,IF(Planung!DC14="",$C14,IF(ISNUMBER(Planung!DC14),Planung!DC14,IF(UPPER(Planung!DC14)="H",$C14/2,0)))))))</f>
        <v>0</v>
      </c>
      <c r="DD14" s="27">
        <f>IF($A14="",0,IF(Mitarbeiter!$G$12=FALSE,0,IF(AND(Mitarbeiter!$E$12&lt;&gt;"",DD$5+6&lt;Mitarbeiter!$E$12),0,IF(AND(Mitarbeiter!$F$12&lt;&gt;"",DD$5&gt;Mitarbeiter!$F$12),0,IF(Planung!DD14="",$C14,IF(ISNUMBER(Planung!DD14),Planung!DD14,IF(UPPER(Planung!DD14)="H",$C14/2,0)))))))</f>
        <v>0</v>
      </c>
      <c r="DE14" s="27">
        <f>IF($A14="",0,IF(Mitarbeiter!$G$12=FALSE,0,IF(AND(Mitarbeiter!$E$12&lt;&gt;"",DE$5+6&lt;Mitarbeiter!$E$12),0,IF(AND(Mitarbeiter!$F$12&lt;&gt;"",DE$5&gt;Mitarbeiter!$F$12),0,IF(Planung!DE14="",$C14,IF(ISNUMBER(Planung!DE14),Planung!DE14,IF(UPPER(Planung!DE14)="H",$C14/2,0)))))))</f>
        <v>0</v>
      </c>
      <c r="DF14" s="27">
        <f>IF($A14="",0,IF(Mitarbeiter!$G$12=FALSE,0,IF(AND(Mitarbeiter!$E$12&lt;&gt;"",DF$5+6&lt;Mitarbeiter!$E$12),0,IF(AND(Mitarbeiter!$F$12&lt;&gt;"",DF$5&gt;Mitarbeiter!$F$12),0,IF(Planung!DF14="",$C14,IF(ISNUMBER(Planung!DF14),Planung!DF14,IF(UPPER(Planung!DF14)="H",$C14/2,0)))))))</f>
        <v>0</v>
      </c>
      <c r="DG14" s="27">
        <f>IF($A14="",0,IF(Mitarbeiter!$G$12=FALSE,0,IF(AND(Mitarbeiter!$E$12&lt;&gt;"",DG$5+6&lt;Mitarbeiter!$E$12),0,IF(AND(Mitarbeiter!$F$12&lt;&gt;"",DG$5&gt;Mitarbeiter!$F$12),0,IF(Planung!DG14="",$C14,IF(ISNUMBER(Planung!DG14),Planung!DG14,IF(UPPER(Planung!DG14)="H",$C14/2,0)))))))</f>
        <v>0</v>
      </c>
      <c r="DH14" s="27">
        <f>IF($A14="",0,IF(Mitarbeiter!$G$12=FALSE,0,IF(AND(Mitarbeiter!$E$12&lt;&gt;"",DH$5+6&lt;Mitarbeiter!$E$12),0,IF(AND(Mitarbeiter!$F$12&lt;&gt;"",DH$5&gt;Mitarbeiter!$F$12),0,IF(Planung!DH14="",$C14,IF(ISNUMBER(Planung!DH14),Planung!DH14,IF(UPPER(Planung!DH14)="H",$C14/2,0)))))))</f>
        <v>0</v>
      </c>
      <c r="DI14" s="27">
        <f>IF($A14="",0,IF(Mitarbeiter!$G$12=FALSE,0,IF(AND(Mitarbeiter!$E$12&lt;&gt;"",DI$5+6&lt;Mitarbeiter!$E$12),0,IF(AND(Mitarbeiter!$F$12&lt;&gt;"",DI$5&gt;Mitarbeiter!$F$12),0,IF(Planung!DI14="",$C14,IF(ISNUMBER(Planung!DI14),Planung!DI14,IF(UPPER(Planung!DI14)="H",$C14/2,0)))))))</f>
        <v>0</v>
      </c>
      <c r="DJ14" s="27">
        <f>IF($A14="",0,IF(Mitarbeiter!$G$12=FALSE,0,IF(AND(Mitarbeiter!$E$12&lt;&gt;"",DJ$5+6&lt;Mitarbeiter!$E$12),0,IF(AND(Mitarbeiter!$F$12&lt;&gt;"",DJ$5&gt;Mitarbeiter!$F$12),0,IF(Planung!DJ14="",$C14,IF(ISNUMBER(Planung!DJ14),Planung!DJ14,IF(UPPER(Planung!DJ14)="H",$C14/2,0)))))))</f>
        <v>0</v>
      </c>
      <c r="DK14" s="27">
        <f>IF($A14="",0,IF(Mitarbeiter!$G$12=FALSE,0,IF(AND(Mitarbeiter!$E$12&lt;&gt;"",DK$5+6&lt;Mitarbeiter!$E$12),0,IF(AND(Mitarbeiter!$F$12&lt;&gt;"",DK$5&gt;Mitarbeiter!$F$12),0,IF(Planung!DK14="",$C14,IF(ISNUMBER(Planung!DK14),Planung!DK14,IF(UPPER(Planung!DK14)="H",$C14/2,0)))))))</f>
        <v>0</v>
      </c>
      <c r="DL14" s="27">
        <f>IF($A14="",0,IF(Mitarbeiter!$G$12=FALSE,0,IF(AND(Mitarbeiter!$E$12&lt;&gt;"",DL$5+6&lt;Mitarbeiter!$E$12),0,IF(AND(Mitarbeiter!$F$12&lt;&gt;"",DL$5&gt;Mitarbeiter!$F$12),0,IF(Planung!DL14="",$C14,IF(ISNUMBER(Planung!DL14),Planung!DL14,IF(UPPER(Planung!DL14)="H",$C14/2,0)))))))</f>
        <v>0</v>
      </c>
      <c r="DM14" s="27">
        <f>IF($A14="",0,IF(Mitarbeiter!$G$12=FALSE,0,IF(AND(Mitarbeiter!$E$12&lt;&gt;"",DM$5+6&lt;Mitarbeiter!$E$12),0,IF(AND(Mitarbeiter!$F$12&lt;&gt;"",DM$5&gt;Mitarbeiter!$F$12),0,IF(Planung!DM14="",$C14,IF(ISNUMBER(Planung!DM14),Planung!DM14,IF(UPPER(Planung!DM14)="H",$C14/2,0)))))))</f>
        <v>0</v>
      </c>
      <c r="DN14" s="27">
        <f>IF($A14="",0,IF(Mitarbeiter!$G$12=FALSE,0,IF(AND(Mitarbeiter!$E$12&lt;&gt;"",DN$5+6&lt;Mitarbeiter!$E$12),0,IF(AND(Mitarbeiter!$F$12&lt;&gt;"",DN$5&gt;Mitarbeiter!$F$12),0,IF(Planung!DN14="",$C14,IF(ISNUMBER(Planung!DN14),Planung!DN14,IF(UPPER(Planung!DN14)="H",$C14/2,0)))))))</f>
        <v>0</v>
      </c>
      <c r="DO14" s="27">
        <f>IF($A14="",0,IF(Mitarbeiter!$G$12=FALSE,0,IF(AND(Mitarbeiter!$E$12&lt;&gt;"",DO$5+6&lt;Mitarbeiter!$E$12),0,IF(AND(Mitarbeiter!$F$12&lt;&gt;"",DO$5&gt;Mitarbeiter!$F$12),0,IF(Planung!DO14="",$C14,IF(ISNUMBER(Planung!DO14),Planung!DO14,IF(UPPER(Planung!DO14)="H",$C14/2,0)))))))</f>
        <v>0</v>
      </c>
      <c r="DP14" s="27">
        <f>IF($A14="",0,IF(Mitarbeiter!$G$12=FALSE,0,IF(AND(Mitarbeiter!$E$12&lt;&gt;"",DP$5+6&lt;Mitarbeiter!$E$12),0,IF(AND(Mitarbeiter!$F$12&lt;&gt;"",DP$5&gt;Mitarbeiter!$F$12),0,IF(Planung!DP14="",$C14,IF(ISNUMBER(Planung!DP14),Planung!DP14,IF(UPPER(Planung!DP14)="H",$C14/2,0)))))))</f>
        <v>0</v>
      </c>
      <c r="DQ14" s="27">
        <f>IF($A14="",0,IF(Mitarbeiter!$G$12=FALSE,0,IF(AND(Mitarbeiter!$E$12&lt;&gt;"",DQ$5+6&lt;Mitarbeiter!$E$12),0,IF(AND(Mitarbeiter!$F$12&lt;&gt;"",DQ$5&gt;Mitarbeiter!$F$12),0,IF(Planung!DQ14="",$C14,IF(ISNUMBER(Planung!DQ14),Planung!DQ14,IF(UPPER(Planung!DQ14)="H",$C14/2,0)))))))</f>
        <v>0</v>
      </c>
      <c r="DR14" s="27">
        <f>IF($A14="",0,IF(Mitarbeiter!$G$12=FALSE,0,IF(AND(Mitarbeiter!$E$12&lt;&gt;"",DR$5+6&lt;Mitarbeiter!$E$12),0,IF(AND(Mitarbeiter!$F$12&lt;&gt;"",DR$5&gt;Mitarbeiter!$F$12),0,IF(Planung!DR14="",$C14,IF(ISNUMBER(Planung!DR14),Planung!DR14,IF(UPPER(Planung!DR14)="H",$C14/2,0)))))))</f>
        <v>0</v>
      </c>
      <c r="DS14" s="27">
        <f>IF($A14="",0,IF(Mitarbeiter!$G$12=FALSE,0,IF(AND(Mitarbeiter!$E$12&lt;&gt;"",DS$5+6&lt;Mitarbeiter!$E$12),0,IF(AND(Mitarbeiter!$F$12&lt;&gt;"",DS$5&gt;Mitarbeiter!$F$12),0,IF(Planung!DS14="",$C14,IF(ISNUMBER(Planung!DS14),Planung!DS14,IF(UPPER(Planung!DS14)="H",$C14/2,0)))))))</f>
        <v>0</v>
      </c>
      <c r="DT14" s="27">
        <f>IF($A14="",0,IF(Mitarbeiter!$G$12=FALSE,0,IF(AND(Mitarbeiter!$E$12&lt;&gt;"",DT$5+6&lt;Mitarbeiter!$E$12),0,IF(AND(Mitarbeiter!$F$12&lt;&gt;"",DT$5&gt;Mitarbeiter!$F$12),0,IF(Planung!DT14="",$C14,IF(ISNUMBER(Planung!DT14),Planung!DT14,IF(UPPER(Planung!DT14)="H",$C14/2,0)))))))</f>
        <v>0</v>
      </c>
      <c r="DU14" s="27">
        <f>IF($A14="",0,IF(Mitarbeiter!$G$12=FALSE,0,IF(AND(Mitarbeiter!$E$12&lt;&gt;"",DU$5+6&lt;Mitarbeiter!$E$12),0,IF(AND(Mitarbeiter!$F$12&lt;&gt;"",DU$5&gt;Mitarbeiter!$F$12),0,IF(Planung!DU14="",$C14,IF(ISNUMBER(Planung!DU14),Planung!DU14,IF(UPPER(Planung!DU14)="H",$C14/2,0)))))))</f>
        <v>0</v>
      </c>
      <c r="DV14" s="27">
        <f>IF($A14="",0,IF(Mitarbeiter!$G$12=FALSE,0,IF(AND(Mitarbeiter!$E$12&lt;&gt;"",DV$5+6&lt;Mitarbeiter!$E$12),0,IF(AND(Mitarbeiter!$F$12&lt;&gt;"",DV$5&gt;Mitarbeiter!$F$12),0,IF(Planung!DV14="",$C14,IF(ISNUMBER(Planung!DV14),Planung!DV14,IF(UPPER(Planung!DV14)="H",$C14/2,0)))))))</f>
        <v>0</v>
      </c>
      <c r="DW14" s="27">
        <f>IF($A14="",0,IF(Mitarbeiter!$G$12=FALSE,0,IF(AND(Mitarbeiter!$E$12&lt;&gt;"",DW$5+6&lt;Mitarbeiter!$E$12),0,IF(AND(Mitarbeiter!$F$12&lt;&gt;"",DW$5&gt;Mitarbeiter!$F$12),0,IF(Planung!DW14="",$C14,IF(ISNUMBER(Planung!DW14),Planung!DW14,IF(UPPER(Planung!DW14)="H",$C14/2,0)))))))</f>
        <v>0</v>
      </c>
      <c r="DX14" s="27">
        <f>IF($A14="",0,IF(Mitarbeiter!$G$12=FALSE,0,IF(AND(Mitarbeiter!$E$12&lt;&gt;"",DX$5+6&lt;Mitarbeiter!$E$12),0,IF(AND(Mitarbeiter!$F$12&lt;&gt;"",DX$5&gt;Mitarbeiter!$F$12),0,IF(Planung!DX14="",$C14,IF(ISNUMBER(Planung!DX14),Planung!DX14,IF(UPPER(Planung!DX14)="H",$C14/2,0)))))))</f>
        <v>0</v>
      </c>
      <c r="DY14" s="27">
        <f>IF($A14="",0,IF(Mitarbeiter!$G$12=FALSE,0,IF(AND(Mitarbeiter!$E$12&lt;&gt;"",DY$5+6&lt;Mitarbeiter!$E$12),0,IF(AND(Mitarbeiter!$F$12&lt;&gt;"",DY$5&gt;Mitarbeiter!$F$12),0,IF(Planung!DY14="",$C14,IF(ISNUMBER(Planung!DY14),Planung!DY14,IF(UPPER(Planung!DY14)="H",$C14/2,0)))))))</f>
        <v>0</v>
      </c>
      <c r="DZ14" s="27">
        <f>IF($A14="",0,IF(Mitarbeiter!$G$12=FALSE,0,IF(AND(Mitarbeiter!$E$12&lt;&gt;"",DZ$5+6&lt;Mitarbeiter!$E$12),0,IF(AND(Mitarbeiter!$F$12&lt;&gt;"",DZ$5&gt;Mitarbeiter!$F$12),0,IF(Planung!DZ14="",$C14,IF(ISNUMBER(Planung!DZ14),Planung!DZ14,IF(UPPER(Planung!DZ14)="H",$C14/2,0)))))))</f>
        <v>0</v>
      </c>
      <c r="EA14" s="27">
        <f>IF($A14="",0,IF(Mitarbeiter!$G$12=FALSE,0,IF(AND(Mitarbeiter!$E$12&lt;&gt;"",EA$5+6&lt;Mitarbeiter!$E$12),0,IF(AND(Mitarbeiter!$F$12&lt;&gt;"",EA$5&gt;Mitarbeiter!$F$12),0,IF(Planung!EA14="",$C14,IF(ISNUMBER(Planung!EA14),Planung!EA14,IF(UPPER(Planung!EA14)="H",$C14/2,0)))))))</f>
        <v>0</v>
      </c>
      <c r="EB14" s="27">
        <f>IF($A14="",0,IF(Mitarbeiter!$G$12=FALSE,0,IF(AND(Mitarbeiter!$E$12&lt;&gt;"",EB$5+6&lt;Mitarbeiter!$E$12),0,IF(AND(Mitarbeiter!$F$12&lt;&gt;"",EB$5&gt;Mitarbeiter!$F$12),0,IF(Planung!EB14="",$C14,IF(ISNUMBER(Planung!EB14),Planung!EB14,IF(UPPER(Planung!EB14)="H",$C14/2,0)))))))</f>
        <v>0</v>
      </c>
      <c r="EC14" s="27">
        <f>IF($A14="",0,IF(Mitarbeiter!$G$12=FALSE,0,IF(AND(Mitarbeiter!$E$12&lt;&gt;"",EC$5+6&lt;Mitarbeiter!$E$12),0,IF(AND(Mitarbeiter!$F$12&lt;&gt;"",EC$5&gt;Mitarbeiter!$F$12),0,IF(Planung!EC14="",$C14,IF(ISNUMBER(Planung!EC14),Planung!EC14,IF(UPPER(Planung!EC14)="H",$C14/2,0)))))))</f>
        <v>0</v>
      </c>
      <c r="ED14" s="27">
        <f>IF($A14="",0,IF(Mitarbeiter!$G$12=FALSE,0,IF(AND(Mitarbeiter!$E$12&lt;&gt;"",ED$5+6&lt;Mitarbeiter!$E$12),0,IF(AND(Mitarbeiter!$F$12&lt;&gt;"",ED$5&gt;Mitarbeiter!$F$12),0,IF(Planung!ED14="",$C14,IF(ISNUMBER(Planung!ED14),Planung!ED14,IF(UPPER(Planung!ED14)="H",$C14/2,0)))))))</f>
        <v>0</v>
      </c>
      <c r="EE14" s="27">
        <f>IF($A14="",0,IF(Mitarbeiter!$G$12=FALSE,0,IF(AND(Mitarbeiter!$E$12&lt;&gt;"",EE$5+6&lt;Mitarbeiter!$E$12),0,IF(AND(Mitarbeiter!$F$12&lt;&gt;"",EE$5&gt;Mitarbeiter!$F$12),0,IF(Planung!EE14="",$C14,IF(ISNUMBER(Planung!EE14),Planung!EE14,IF(UPPER(Planung!EE14)="H",$C14/2,0)))))))</f>
        <v>0</v>
      </c>
      <c r="EF14" s="27">
        <f>IF($A14="",0,IF(Mitarbeiter!$G$12=FALSE,0,IF(AND(Mitarbeiter!$E$12&lt;&gt;"",EF$5+6&lt;Mitarbeiter!$E$12),0,IF(AND(Mitarbeiter!$F$12&lt;&gt;"",EF$5&gt;Mitarbeiter!$F$12),0,IF(Planung!EF14="",$C14,IF(ISNUMBER(Planung!EF14),Planung!EF14,IF(UPPER(Planung!EF14)="H",$C14/2,0)))))))</f>
        <v>0</v>
      </c>
      <c r="EG14" s="27">
        <f>IF($A14="",0,IF(Mitarbeiter!$G$12=FALSE,0,IF(AND(Mitarbeiter!$E$12&lt;&gt;"",EG$5+6&lt;Mitarbeiter!$E$12),0,IF(AND(Mitarbeiter!$F$12&lt;&gt;"",EG$5&gt;Mitarbeiter!$F$12),0,IF(Planung!EG14="",$C14,IF(ISNUMBER(Planung!EG14),Planung!EG14,IF(UPPER(Planung!EG14)="H",$C14/2,0)))))))</f>
        <v>0</v>
      </c>
      <c r="EH14" s="27">
        <f>IF($A14="",0,IF(Mitarbeiter!$G$12=FALSE,0,IF(AND(Mitarbeiter!$E$12&lt;&gt;"",EH$5+6&lt;Mitarbeiter!$E$12),0,IF(AND(Mitarbeiter!$F$12&lt;&gt;"",EH$5&gt;Mitarbeiter!$F$12),0,IF(Planung!EH14="",$C14,IF(ISNUMBER(Planung!EH14),Planung!EH14,IF(UPPER(Planung!EH14)="H",$C14/2,0)))))))</f>
        <v>0</v>
      </c>
      <c r="EI14" s="27">
        <f>IF($A14="",0,IF(Mitarbeiter!$G$12=FALSE,0,IF(AND(Mitarbeiter!$E$12&lt;&gt;"",EI$5+6&lt;Mitarbeiter!$E$12),0,IF(AND(Mitarbeiter!$F$12&lt;&gt;"",EI$5&gt;Mitarbeiter!$F$12),0,IF(Planung!EI14="",$C14,IF(ISNUMBER(Planung!EI14),Planung!EI14,IF(UPPER(Planung!EI14)="H",$C14/2,0)))))))</f>
        <v>0</v>
      </c>
      <c r="EJ14" s="27">
        <f>IF($A14="",0,IF(Mitarbeiter!$G$12=FALSE,0,IF(AND(Mitarbeiter!$E$12&lt;&gt;"",EJ$5+6&lt;Mitarbeiter!$E$12),0,IF(AND(Mitarbeiter!$F$12&lt;&gt;"",EJ$5&gt;Mitarbeiter!$F$12),0,IF(Planung!EJ14="",$C14,IF(ISNUMBER(Planung!EJ14),Planung!EJ14,IF(UPPER(Planung!EJ14)="H",$C14/2,0)))))))</f>
        <v>0</v>
      </c>
      <c r="EK14" s="27">
        <f>IF($A14="",0,IF(Mitarbeiter!$G$12=FALSE,0,IF(AND(Mitarbeiter!$E$12&lt;&gt;"",EK$5+6&lt;Mitarbeiter!$E$12),0,IF(AND(Mitarbeiter!$F$12&lt;&gt;"",EK$5&gt;Mitarbeiter!$F$12),0,IF(Planung!EK14="",$C14,IF(ISNUMBER(Planung!EK14),Planung!EK14,IF(UPPER(Planung!EK14)="H",$C14/2,0)))))))</f>
        <v>0</v>
      </c>
      <c r="EL14" s="27">
        <f>IF($A14="",0,IF(Mitarbeiter!$G$12=FALSE,0,IF(AND(Mitarbeiter!$E$12&lt;&gt;"",EL$5+6&lt;Mitarbeiter!$E$12),0,IF(AND(Mitarbeiter!$F$12&lt;&gt;"",EL$5&gt;Mitarbeiter!$F$12),0,IF(Planung!EL14="",$C14,IF(ISNUMBER(Planung!EL14),Planung!EL14,IF(UPPER(Planung!EL14)="H",$C14/2,0)))))))</f>
        <v>0</v>
      </c>
      <c r="EM14" s="27">
        <f>IF($A14="",0,IF(Mitarbeiter!$G$12=FALSE,0,IF(AND(Mitarbeiter!$E$12&lt;&gt;"",EM$5+6&lt;Mitarbeiter!$E$12),0,IF(AND(Mitarbeiter!$F$12&lt;&gt;"",EM$5&gt;Mitarbeiter!$F$12),0,IF(Planung!EM14="",$C14,IF(ISNUMBER(Planung!EM14),Planung!EM14,IF(UPPER(Planung!EM14)="H",$C14/2,0)))))))</f>
        <v>0</v>
      </c>
      <c r="EN14" s="27">
        <f>IF($A14="",0,IF(Mitarbeiter!$G$12=FALSE,0,IF(AND(Mitarbeiter!$E$12&lt;&gt;"",EN$5+6&lt;Mitarbeiter!$E$12),0,IF(AND(Mitarbeiter!$F$12&lt;&gt;"",EN$5&gt;Mitarbeiter!$F$12),0,IF(Planung!EN14="",$C14,IF(ISNUMBER(Planung!EN14),Planung!EN14,IF(UPPER(Planung!EN14)="H",$C14/2,0)))))))</f>
        <v>0</v>
      </c>
      <c r="EO14" s="27">
        <f>IF($A14="",0,IF(Mitarbeiter!$G$12=FALSE,0,IF(AND(Mitarbeiter!$E$12&lt;&gt;"",EO$5+6&lt;Mitarbeiter!$E$12),0,IF(AND(Mitarbeiter!$F$12&lt;&gt;"",EO$5&gt;Mitarbeiter!$F$12),0,IF(Planung!EO14="",$C14,IF(ISNUMBER(Planung!EO14),Planung!EO14,IF(UPPER(Planung!EO14)="H",$C14/2,0)))))))</f>
        <v>0</v>
      </c>
      <c r="EP14" s="27">
        <f>IF($A14="",0,IF(Mitarbeiter!$G$12=FALSE,0,IF(AND(Mitarbeiter!$E$12&lt;&gt;"",EP$5+6&lt;Mitarbeiter!$E$12),0,IF(AND(Mitarbeiter!$F$12&lt;&gt;"",EP$5&gt;Mitarbeiter!$F$12),0,IF(Planung!EP14="",$C14,IF(ISNUMBER(Planung!EP14),Planung!EP14,IF(UPPER(Planung!EP14)="H",$C14/2,0)))))))</f>
        <v>0</v>
      </c>
      <c r="EQ14" s="27">
        <f>IF($A14="",0,IF(Mitarbeiter!$G$12=FALSE,0,IF(AND(Mitarbeiter!$E$12&lt;&gt;"",EQ$5+6&lt;Mitarbeiter!$E$12),0,IF(AND(Mitarbeiter!$F$12&lt;&gt;"",EQ$5&gt;Mitarbeiter!$F$12),0,IF(Planung!EQ14="",$C14,IF(ISNUMBER(Planung!EQ14),Planung!EQ14,IF(UPPER(Planung!EQ14)="H",$C14/2,0)))))))</f>
        <v>0</v>
      </c>
      <c r="ER14" s="27">
        <f>IF($A14="",0,IF(Mitarbeiter!$G$12=FALSE,0,IF(AND(Mitarbeiter!$E$12&lt;&gt;"",ER$5+6&lt;Mitarbeiter!$E$12),0,IF(AND(Mitarbeiter!$F$12&lt;&gt;"",ER$5&gt;Mitarbeiter!$F$12),0,IF(Planung!ER14="",$C14,IF(ISNUMBER(Planung!ER14),Planung!ER14,IF(UPPER(Planung!ER14)="H",$C14/2,0)))))))</f>
        <v>0</v>
      </c>
      <c r="ES14" s="27">
        <f>IF($A14="",0,IF(Mitarbeiter!$G$12=FALSE,0,IF(AND(Mitarbeiter!$E$12&lt;&gt;"",ES$5+6&lt;Mitarbeiter!$E$12),0,IF(AND(Mitarbeiter!$F$12&lt;&gt;"",ES$5&gt;Mitarbeiter!$F$12),0,IF(Planung!ES14="",$C14,IF(ISNUMBER(Planung!ES14),Planung!ES14,IF(UPPER(Planung!ES14)="H",$C14/2,0)))))))</f>
        <v>0</v>
      </c>
      <c r="ET14" s="27">
        <f>IF($A14="",0,IF(Mitarbeiter!$G$12=FALSE,0,IF(AND(Mitarbeiter!$E$12&lt;&gt;"",ET$5+6&lt;Mitarbeiter!$E$12),0,IF(AND(Mitarbeiter!$F$12&lt;&gt;"",ET$5&gt;Mitarbeiter!$F$12),0,IF(Planung!ET14="",$C14,IF(ISNUMBER(Planung!ET14),Planung!ET14,IF(UPPER(Planung!ET14)="H",$C14/2,0)))))))</f>
        <v>0</v>
      </c>
      <c r="EU14" s="27">
        <f>IF($A14="",0,IF(Mitarbeiter!$G$12=FALSE,0,IF(AND(Mitarbeiter!$E$12&lt;&gt;"",EU$5+6&lt;Mitarbeiter!$E$12),0,IF(AND(Mitarbeiter!$F$12&lt;&gt;"",EU$5&gt;Mitarbeiter!$F$12),0,IF(Planung!EU14="",$C14,IF(ISNUMBER(Planung!EU14),Planung!EU14,IF(UPPER(Planung!EU14)="H",$C14/2,0)))))))</f>
        <v>0</v>
      </c>
      <c r="EV14" s="27">
        <f>IF($A14="",0,IF(Mitarbeiter!$G$12=FALSE,0,IF(AND(Mitarbeiter!$E$12&lt;&gt;"",EV$5+6&lt;Mitarbeiter!$E$12),0,IF(AND(Mitarbeiter!$F$12&lt;&gt;"",EV$5&gt;Mitarbeiter!$F$12),0,IF(Planung!EV14="",$C14,IF(ISNUMBER(Planung!EV14),Planung!EV14,IF(UPPER(Planung!EV14)="H",$C14/2,0)))))))</f>
        <v>0</v>
      </c>
      <c r="EW14" s="27">
        <f>IF($A14="",0,IF(Mitarbeiter!$G$12=FALSE,0,IF(AND(Mitarbeiter!$E$12&lt;&gt;"",EW$5+6&lt;Mitarbeiter!$E$12),0,IF(AND(Mitarbeiter!$F$12&lt;&gt;"",EW$5&gt;Mitarbeiter!$F$12),0,IF(Planung!EW14="",$C14,IF(ISNUMBER(Planung!EW14),Planung!EW14,IF(UPPER(Planung!EW14)="H",$C14/2,0)))))))</f>
        <v>0</v>
      </c>
      <c r="EX14" s="27">
        <f>IF($A14="",0,IF(Mitarbeiter!$G$12=FALSE,0,IF(AND(Mitarbeiter!$E$12&lt;&gt;"",EX$5+6&lt;Mitarbeiter!$E$12),0,IF(AND(Mitarbeiter!$F$12&lt;&gt;"",EX$5&gt;Mitarbeiter!$F$12),0,IF(Planung!EX14="",$C14,IF(ISNUMBER(Planung!EX14),Planung!EX14,IF(UPPER(Planung!EX14)="H",$C14/2,0)))))))</f>
        <v>0</v>
      </c>
      <c r="EY14" s="27">
        <f>IF($A14="",0,IF(Mitarbeiter!$G$12=FALSE,0,IF(AND(Mitarbeiter!$E$12&lt;&gt;"",EY$5+6&lt;Mitarbeiter!$E$12),0,IF(AND(Mitarbeiter!$F$12&lt;&gt;"",EY$5&gt;Mitarbeiter!$F$12),0,IF(Planung!EY14="",$C14,IF(ISNUMBER(Planung!EY14),Planung!EY14,IF(UPPER(Planung!EY14)="H",$C14/2,0)))))))</f>
        <v>0</v>
      </c>
      <c r="EZ14" s="27">
        <f>IF($A14="",0,IF(Mitarbeiter!$G$12=FALSE,0,IF(AND(Mitarbeiter!$E$12&lt;&gt;"",EZ$5+6&lt;Mitarbeiter!$E$12),0,IF(AND(Mitarbeiter!$F$12&lt;&gt;"",EZ$5&gt;Mitarbeiter!$F$12),0,IF(Planung!EZ14="",$C14,IF(ISNUMBER(Planung!EZ14),Planung!EZ14,IF(UPPER(Planung!EZ14)="H",$C14/2,0)))))))</f>
        <v>0</v>
      </c>
      <c r="FA14" s="27">
        <f>IF($A14="",0,IF(Mitarbeiter!$G$12=FALSE,0,IF(AND(Mitarbeiter!$E$12&lt;&gt;"",FA$5+6&lt;Mitarbeiter!$E$12),0,IF(AND(Mitarbeiter!$F$12&lt;&gt;"",FA$5&gt;Mitarbeiter!$F$12),0,IF(Planung!FA14="",$C14,IF(ISNUMBER(Planung!FA14),Planung!FA14,IF(UPPER(Planung!FA14)="H",$C14/2,0)))))))</f>
        <v>0</v>
      </c>
      <c r="FB14" s="27">
        <f>IF($A14="",0,IF(Mitarbeiter!$G$12=FALSE,0,IF(AND(Mitarbeiter!$E$12&lt;&gt;"",FB$5+6&lt;Mitarbeiter!$E$12),0,IF(AND(Mitarbeiter!$F$12&lt;&gt;"",FB$5&gt;Mitarbeiter!$F$12),0,IF(Planung!FB14="",$C14,IF(ISNUMBER(Planung!FB14),Planung!FB14,IF(UPPER(Planung!FB14)="H",$C14/2,0)))))))</f>
        <v>0</v>
      </c>
      <c r="FC14" s="27">
        <f>IF($A14="",0,IF(Mitarbeiter!$G$12=FALSE,0,IF(AND(Mitarbeiter!$E$12&lt;&gt;"",FC$5+6&lt;Mitarbeiter!$E$12),0,IF(AND(Mitarbeiter!$F$12&lt;&gt;"",FC$5&gt;Mitarbeiter!$F$12),0,IF(Planung!FC14="",$C14,IF(ISNUMBER(Planung!FC14),Planung!FC14,IF(UPPER(Planung!FC14)="H",$C14/2,0)))))))</f>
        <v>0</v>
      </c>
      <c r="FD14" s="27">
        <f>IF($A14="",0,IF(Mitarbeiter!$G$12=FALSE,0,IF(AND(Mitarbeiter!$E$12&lt;&gt;"",FD$5+6&lt;Mitarbeiter!$E$12),0,IF(AND(Mitarbeiter!$F$12&lt;&gt;"",FD$5&gt;Mitarbeiter!$F$12),0,IF(Planung!FD14="",$C14,IF(ISNUMBER(Planung!FD14),Planung!FD14,IF(UPPER(Planung!FD14)="H",$C14/2,0)))))))</f>
        <v>0</v>
      </c>
      <c r="FE14" s="27">
        <f>IF($A14="",0,IF(Mitarbeiter!$G$12=FALSE,0,IF(AND(Mitarbeiter!$E$12&lt;&gt;"",FE$5+6&lt;Mitarbeiter!$E$12),0,IF(AND(Mitarbeiter!$F$12&lt;&gt;"",FE$5&gt;Mitarbeiter!$F$12),0,IF(Planung!FE14="",$C14,IF(ISNUMBER(Planung!FE14),Planung!FE14,IF(UPPER(Planung!FE14)="H",$C14/2,0)))))))</f>
        <v>0</v>
      </c>
      <c r="FF14" s="27">
        <f>IF($A14="",0,IF(Mitarbeiter!$G$12=FALSE,0,IF(AND(Mitarbeiter!$E$12&lt;&gt;"",FF$5+6&lt;Mitarbeiter!$E$12),0,IF(AND(Mitarbeiter!$F$12&lt;&gt;"",FF$5&gt;Mitarbeiter!$F$12),0,IF(Planung!FF14="",$C14,IF(ISNUMBER(Planung!FF14),Planung!FF14,IF(UPPER(Planung!FF14)="H",$C14/2,0)))))))</f>
        <v>0</v>
      </c>
      <c r="FG14" s="27">
        <f>IF($A14="",0,IF(Mitarbeiter!$G$12=FALSE,0,IF(AND(Mitarbeiter!$E$12&lt;&gt;"",FG$5+6&lt;Mitarbeiter!$E$12),0,IF(AND(Mitarbeiter!$F$12&lt;&gt;"",FG$5&gt;Mitarbeiter!$F$12),0,IF(Planung!FG14="",$C14,IF(ISNUMBER(Planung!FG14),Planung!FG14,IF(UPPER(Planung!FG14)="H",$C14/2,0)))))))</f>
        <v>0</v>
      </c>
      <c r="FH14" s="27">
        <f>IF($A14="",0,IF(Mitarbeiter!$G$12=FALSE,0,IF(AND(Mitarbeiter!$E$12&lt;&gt;"",FH$5+6&lt;Mitarbeiter!$E$12),0,IF(AND(Mitarbeiter!$F$12&lt;&gt;"",FH$5&gt;Mitarbeiter!$F$12),0,IF(Planung!FH14="",$C14,IF(ISNUMBER(Planung!FH14),Planung!FH14,IF(UPPER(Planung!FH14)="H",$C14/2,0)))))))</f>
        <v>0</v>
      </c>
      <c r="FI14" s="27">
        <f>IF($A14="",0,IF(Mitarbeiter!$G$12=FALSE,0,IF(AND(Mitarbeiter!$E$12&lt;&gt;"",FI$5+6&lt;Mitarbeiter!$E$12),0,IF(AND(Mitarbeiter!$F$12&lt;&gt;"",FI$5&gt;Mitarbeiter!$F$12),0,IF(Planung!FI14="",$C14,IF(ISNUMBER(Planung!FI14),Planung!FI14,IF(UPPER(Planung!FI14)="H",$C14/2,0)))))))</f>
        <v>0</v>
      </c>
      <c r="FJ14" s="27">
        <f>IF($A14="",0,IF(Mitarbeiter!$G$12=FALSE,0,IF(AND(Mitarbeiter!$E$12&lt;&gt;"",FJ$5+6&lt;Mitarbeiter!$E$12),0,IF(AND(Mitarbeiter!$F$12&lt;&gt;"",FJ$5&gt;Mitarbeiter!$F$12),0,IF(Planung!FJ14="",$C14,IF(ISNUMBER(Planung!FJ14),Planung!FJ14,IF(UPPER(Planung!FJ14)="H",$C14/2,0)))))))</f>
        <v>0</v>
      </c>
      <c r="FK14" s="27">
        <f>IF($A14="",0,IF(Mitarbeiter!$G$12=FALSE,0,IF(AND(Mitarbeiter!$E$12&lt;&gt;"",FK$5+6&lt;Mitarbeiter!$E$12),0,IF(AND(Mitarbeiter!$F$12&lt;&gt;"",FK$5&gt;Mitarbeiter!$F$12),0,IF(Planung!FK14="",$C14,IF(ISNUMBER(Planung!FK14),Planung!FK14,IF(UPPER(Planung!FK14)="H",$C14/2,0)))))))</f>
        <v>0</v>
      </c>
      <c r="FL14" s="27">
        <f>IF($A14="",0,IF(Mitarbeiter!$G$12=FALSE,0,IF(AND(Mitarbeiter!$E$12&lt;&gt;"",FL$5+6&lt;Mitarbeiter!$E$12),0,IF(AND(Mitarbeiter!$F$12&lt;&gt;"",FL$5&gt;Mitarbeiter!$F$12),0,IF(Planung!FL14="",$C14,IF(ISNUMBER(Planung!FL14),Planung!FL14,IF(UPPER(Planung!FL14)="H",$C14/2,0)))))))</f>
        <v>0</v>
      </c>
      <c r="FM14" s="27">
        <f>IF($A14="",0,IF(Mitarbeiter!$G$12=FALSE,0,IF(AND(Mitarbeiter!$E$12&lt;&gt;"",FM$5+6&lt;Mitarbeiter!$E$12),0,IF(AND(Mitarbeiter!$F$12&lt;&gt;"",FM$5&gt;Mitarbeiter!$F$12),0,IF(Planung!FM14="",$C14,IF(ISNUMBER(Planung!FM14),Planung!FM14,IF(UPPER(Planung!FM14)="H",$C14/2,0)))))))</f>
        <v>0</v>
      </c>
      <c r="FN14" s="27">
        <f>IF($A14="",0,IF(Mitarbeiter!$G$12=FALSE,0,IF(AND(Mitarbeiter!$E$12&lt;&gt;"",FN$5+6&lt;Mitarbeiter!$E$12),0,IF(AND(Mitarbeiter!$F$12&lt;&gt;"",FN$5&gt;Mitarbeiter!$F$12),0,IF(Planung!FN14="",$C14,IF(ISNUMBER(Planung!FN14),Planung!FN14,IF(UPPER(Planung!FN14)="H",$C14/2,0)))))))</f>
        <v>0</v>
      </c>
      <c r="FO14" s="27">
        <f>IF($A14="",0,IF(Mitarbeiter!$G$12=FALSE,0,IF(AND(Mitarbeiter!$E$12&lt;&gt;"",FO$5+6&lt;Mitarbeiter!$E$12),0,IF(AND(Mitarbeiter!$F$12&lt;&gt;"",FO$5&gt;Mitarbeiter!$F$12),0,IF(Planung!FO14="",$C14,IF(ISNUMBER(Planung!FO14),Planung!FO14,IF(UPPER(Planung!FO14)="H",$C14/2,0)))))))</f>
        <v>0</v>
      </c>
      <c r="FP14" s="27">
        <f>IF($A14="",0,IF(Mitarbeiter!$G$12=FALSE,0,IF(AND(Mitarbeiter!$E$12&lt;&gt;"",FP$5+6&lt;Mitarbeiter!$E$12),0,IF(AND(Mitarbeiter!$F$12&lt;&gt;"",FP$5&gt;Mitarbeiter!$F$12),0,IF(Planung!FP14="",$C14,IF(ISNUMBER(Planung!FP14),Planung!FP14,IF(UPPER(Planung!FP14)="H",$C14/2,0)))))))</f>
        <v>0</v>
      </c>
      <c r="FQ14" s="27">
        <f>IF($A14="",0,IF(Mitarbeiter!$G$12=FALSE,0,IF(AND(Mitarbeiter!$E$12&lt;&gt;"",FQ$5+6&lt;Mitarbeiter!$E$12),0,IF(AND(Mitarbeiter!$F$12&lt;&gt;"",FQ$5&gt;Mitarbeiter!$F$12),0,IF(Planung!FQ14="",$C14,IF(ISNUMBER(Planung!FQ14),Planung!FQ14,IF(UPPER(Planung!FQ14)="H",$C14/2,0)))))))</f>
        <v>0</v>
      </c>
      <c r="FR14" s="27">
        <f>IF($A14="",0,IF(Mitarbeiter!$G$12=FALSE,0,IF(AND(Mitarbeiter!$E$12&lt;&gt;"",FR$5+6&lt;Mitarbeiter!$E$12),0,IF(AND(Mitarbeiter!$F$12&lt;&gt;"",FR$5&gt;Mitarbeiter!$F$12),0,IF(Planung!FR14="",$C14,IF(ISNUMBER(Planung!FR14),Planung!FR14,IF(UPPER(Planung!FR14)="H",$C14/2,0)))))))</f>
        <v>0</v>
      </c>
      <c r="FS14" s="27">
        <f>IF($A14="",0,IF(Mitarbeiter!$G$12=FALSE,0,IF(AND(Mitarbeiter!$E$12&lt;&gt;"",FS$5+6&lt;Mitarbeiter!$E$12),0,IF(AND(Mitarbeiter!$F$12&lt;&gt;"",FS$5&gt;Mitarbeiter!$F$12),0,IF(Planung!FS14="",$C14,IF(ISNUMBER(Planung!FS14),Planung!FS14,IF(UPPER(Planung!FS14)="H",$C14/2,0)))))))</f>
        <v>0</v>
      </c>
      <c r="FT14" s="27">
        <f>IF($A14="",0,IF(Mitarbeiter!$G$12=FALSE,0,IF(AND(Mitarbeiter!$E$12&lt;&gt;"",FT$5+6&lt;Mitarbeiter!$E$12),0,IF(AND(Mitarbeiter!$F$12&lt;&gt;"",FT$5&gt;Mitarbeiter!$F$12),0,IF(Planung!FT14="",$C14,IF(ISNUMBER(Planung!FT14),Planung!FT14,IF(UPPER(Planung!FT14)="H",$C14/2,0)))))))</f>
        <v>0</v>
      </c>
      <c r="FU14" s="27">
        <f>IF($A14="",0,IF(Mitarbeiter!$G$12=FALSE,0,IF(AND(Mitarbeiter!$E$12&lt;&gt;"",FU$5+6&lt;Mitarbeiter!$E$12),0,IF(AND(Mitarbeiter!$F$12&lt;&gt;"",FU$5&gt;Mitarbeiter!$F$12),0,IF(Planung!FU14="",$C14,IF(ISNUMBER(Planung!FU14),Planung!FU14,IF(UPPER(Planung!FU14)="H",$C14/2,0)))))))</f>
        <v>0</v>
      </c>
      <c r="FV14" s="27">
        <f>IF($A14="",0,IF(Mitarbeiter!$G$12=FALSE,0,IF(AND(Mitarbeiter!$E$12&lt;&gt;"",FV$5+6&lt;Mitarbeiter!$E$12),0,IF(AND(Mitarbeiter!$F$12&lt;&gt;"",FV$5&gt;Mitarbeiter!$F$12),0,IF(Planung!FV14="",$C14,IF(ISNUMBER(Planung!FV14),Planung!FV14,IF(UPPER(Planung!FV14)="H",$C14/2,0)))))))</f>
        <v>0</v>
      </c>
      <c r="FW14" s="27">
        <f>IF($A14="",0,IF(Mitarbeiter!$G$12=FALSE,0,IF(AND(Mitarbeiter!$E$12&lt;&gt;"",FW$5+6&lt;Mitarbeiter!$E$12),0,IF(AND(Mitarbeiter!$F$12&lt;&gt;"",FW$5&gt;Mitarbeiter!$F$12),0,IF(Planung!FW14="",$C14,IF(ISNUMBER(Planung!FW14),Planung!FW14,IF(UPPER(Planung!FW14)="H",$C14/2,0)))))))</f>
        <v>0</v>
      </c>
      <c r="FX14" s="27">
        <f>IF($A14="",0,IF(Mitarbeiter!$G$12=FALSE,0,IF(AND(Mitarbeiter!$E$12&lt;&gt;"",FX$5+6&lt;Mitarbeiter!$E$12),0,IF(AND(Mitarbeiter!$F$12&lt;&gt;"",FX$5&gt;Mitarbeiter!$F$12),0,IF(Planung!FX14="",$C14,IF(ISNUMBER(Planung!FX14),Planung!FX14,IF(UPPER(Planung!FX14)="H",$C14/2,0)))))))</f>
        <v>0</v>
      </c>
      <c r="FY14" s="27">
        <f>IF($A14="",0,IF(Mitarbeiter!$G$12=FALSE,0,IF(AND(Mitarbeiter!$E$12&lt;&gt;"",FY$5+6&lt;Mitarbeiter!$E$12),0,IF(AND(Mitarbeiter!$F$12&lt;&gt;"",FY$5&gt;Mitarbeiter!$F$12),0,IF(Planung!FY14="",$C14,IF(ISNUMBER(Planung!FY14),Planung!FY14,IF(UPPER(Planung!FY14)="H",$C14/2,0)))))))</f>
        <v>0</v>
      </c>
      <c r="FZ14" s="27">
        <f>IF($A14="",0,IF(Mitarbeiter!$G$12=FALSE,0,IF(AND(Mitarbeiter!$E$12&lt;&gt;"",FZ$5+6&lt;Mitarbeiter!$E$12),0,IF(AND(Mitarbeiter!$F$12&lt;&gt;"",FZ$5&gt;Mitarbeiter!$F$12),0,IF(Planung!FZ14="",$C14,IF(ISNUMBER(Planung!FZ14),Planung!FZ14,IF(UPPER(Planung!FZ14)="H",$C14/2,0)))))))</f>
        <v>0</v>
      </c>
      <c r="GA14" s="27">
        <f>IF($A14="",0,IF(Mitarbeiter!$G$12=FALSE,0,IF(AND(Mitarbeiter!$E$12&lt;&gt;"",GA$5+6&lt;Mitarbeiter!$E$12),0,IF(AND(Mitarbeiter!$F$12&lt;&gt;"",GA$5&gt;Mitarbeiter!$F$12),0,IF(Planung!GA14="",$C14,IF(ISNUMBER(Planung!GA14),Planung!GA14,IF(UPPER(Planung!GA14)="H",$C14/2,0)))))))</f>
        <v>0</v>
      </c>
      <c r="GB14" s="27">
        <f>IF($A14="",0,IF(Mitarbeiter!$G$12=FALSE,0,IF(AND(Mitarbeiter!$E$12&lt;&gt;"",GB$5+6&lt;Mitarbeiter!$E$12),0,IF(AND(Mitarbeiter!$F$12&lt;&gt;"",GB$5&gt;Mitarbeiter!$F$12),0,IF(Planung!GB14="",$C14,IF(ISNUMBER(Planung!GB14),Planung!GB14,IF(UPPER(Planung!GB14)="H",$C14/2,0)))))))</f>
        <v>0</v>
      </c>
      <c r="GC14" s="27">
        <f>IF($A14="",0,IF(Mitarbeiter!$G$12=FALSE,0,IF(AND(Mitarbeiter!$E$12&lt;&gt;"",GC$5+6&lt;Mitarbeiter!$E$12),0,IF(AND(Mitarbeiter!$F$12&lt;&gt;"",GC$5&gt;Mitarbeiter!$F$12),0,IF(Planung!GC14="",$C14,IF(ISNUMBER(Planung!GC14),Planung!GC14,IF(UPPER(Planung!GC14)="H",$C14/2,0)))))))</f>
        <v>0</v>
      </c>
      <c r="GD14" s="27">
        <f>IF($A14="",0,IF(Mitarbeiter!$G$12=FALSE,0,IF(AND(Mitarbeiter!$E$12&lt;&gt;"",GD$5+6&lt;Mitarbeiter!$E$12),0,IF(AND(Mitarbeiter!$F$12&lt;&gt;"",GD$5&gt;Mitarbeiter!$F$12),0,IF(Planung!GD14="",$C14,IF(ISNUMBER(Planung!GD14),Planung!GD14,IF(UPPER(Planung!GD14)="H",$C14/2,0)))))))</f>
        <v>0</v>
      </c>
      <c r="GE14" s="27">
        <f>IF($A14="",0,IF(Mitarbeiter!$G$12=FALSE,0,IF(AND(Mitarbeiter!$E$12&lt;&gt;"",GE$5+6&lt;Mitarbeiter!$E$12),0,IF(AND(Mitarbeiter!$F$12&lt;&gt;"",GE$5&gt;Mitarbeiter!$F$12),0,IF(Planung!GE14="",$C14,IF(ISNUMBER(Planung!GE14),Planung!GE14,IF(UPPER(Planung!GE14)="H",$C14/2,0)))))))</f>
        <v>0</v>
      </c>
      <c r="GF14" s="27">
        <f>IF($A14="",0,IF(Mitarbeiter!$G$12=FALSE,0,IF(AND(Mitarbeiter!$E$12&lt;&gt;"",GF$5+6&lt;Mitarbeiter!$E$12),0,IF(AND(Mitarbeiter!$F$12&lt;&gt;"",GF$5&gt;Mitarbeiter!$F$12),0,IF(Planung!GF14="",$C14,IF(ISNUMBER(Planung!GF14),Planung!GF14,IF(UPPER(Planung!GF14)="H",$C14/2,0)))))))</f>
        <v>0</v>
      </c>
      <c r="GG14" s="27">
        <f>IF($A14="",0,IF(Mitarbeiter!$G$12=FALSE,0,IF(AND(Mitarbeiter!$E$12&lt;&gt;"",GG$5+6&lt;Mitarbeiter!$E$12),0,IF(AND(Mitarbeiter!$F$12&lt;&gt;"",GG$5&gt;Mitarbeiter!$F$12),0,IF(Planung!GG14="",$C14,IF(ISNUMBER(Planung!GG14),Planung!GG14,IF(UPPER(Planung!GG14)="H",$C14/2,0)))))))</f>
        <v>0</v>
      </c>
      <c r="GH14" s="27">
        <f>IF($A14="",0,IF(Mitarbeiter!$G$12=FALSE,0,IF(AND(Mitarbeiter!$E$12&lt;&gt;"",GH$5+6&lt;Mitarbeiter!$E$12),0,IF(AND(Mitarbeiter!$F$12&lt;&gt;"",GH$5&gt;Mitarbeiter!$F$12),0,IF(Planung!GH14="",$C14,IF(ISNUMBER(Planung!GH14),Planung!GH14,IF(UPPER(Planung!GH14)="H",$C14/2,0)))))))</f>
        <v>0</v>
      </c>
      <c r="GI14" s="27">
        <f>IF($A14="",0,IF(Mitarbeiter!$G$12=FALSE,0,IF(AND(Mitarbeiter!$E$12&lt;&gt;"",GI$5+6&lt;Mitarbeiter!$E$12),0,IF(AND(Mitarbeiter!$F$12&lt;&gt;"",GI$5&gt;Mitarbeiter!$F$12),0,IF(Planung!GI14="",$C14,IF(ISNUMBER(Planung!GI14),Planung!GI14,IF(UPPER(Planung!GI14)="H",$C14/2,0)))))))</f>
        <v>0</v>
      </c>
      <c r="GJ14" s="27">
        <f>IF($A14="",0,IF(Mitarbeiter!$G$12=FALSE,0,IF(AND(Mitarbeiter!$E$12&lt;&gt;"",GJ$5+6&lt;Mitarbeiter!$E$12),0,IF(AND(Mitarbeiter!$F$12&lt;&gt;"",GJ$5&gt;Mitarbeiter!$F$12),0,IF(Planung!GJ14="",$C14,IF(ISNUMBER(Planung!GJ14),Planung!GJ14,IF(UPPER(Planung!GJ14)="H",$C14/2,0)))))))</f>
        <v>0</v>
      </c>
      <c r="GK14" s="27">
        <f>IF($A14="",0,IF(Mitarbeiter!$G$12=FALSE,0,IF(AND(Mitarbeiter!$E$12&lt;&gt;"",GK$5+6&lt;Mitarbeiter!$E$12),0,IF(AND(Mitarbeiter!$F$12&lt;&gt;"",GK$5&gt;Mitarbeiter!$F$12),0,IF(Planung!GK14="",$C14,IF(ISNUMBER(Planung!GK14),Planung!GK14,IF(UPPER(Planung!GK14)="H",$C14/2,0)))))))</f>
        <v>0</v>
      </c>
      <c r="GL14" s="27">
        <f>IF($A14="",0,IF(Mitarbeiter!$G$12=FALSE,0,IF(AND(Mitarbeiter!$E$12&lt;&gt;"",GL$5+6&lt;Mitarbeiter!$E$12),0,IF(AND(Mitarbeiter!$F$12&lt;&gt;"",GL$5&gt;Mitarbeiter!$F$12),0,IF(Planung!GL14="",$C14,IF(ISNUMBER(Planung!GL14),Planung!GL14,IF(UPPER(Planung!GL14)="H",$C14/2,0)))))))</f>
        <v>0</v>
      </c>
      <c r="GM14" s="27">
        <f>IF($A14="",0,IF(Mitarbeiter!$G$12=FALSE,0,IF(AND(Mitarbeiter!$E$12&lt;&gt;"",GM$5+6&lt;Mitarbeiter!$E$12),0,IF(AND(Mitarbeiter!$F$12&lt;&gt;"",GM$5&gt;Mitarbeiter!$F$12),0,IF(Planung!GM14="",$C14,IF(ISNUMBER(Planung!GM14),Planung!GM14,IF(UPPER(Planung!GM14)="H",$C14/2,0)))))))</f>
        <v>0</v>
      </c>
      <c r="GN14" s="27">
        <f>IF($A14="",0,IF(Mitarbeiter!$G$12=FALSE,0,IF(AND(Mitarbeiter!$E$12&lt;&gt;"",GN$5+6&lt;Mitarbeiter!$E$12),0,IF(AND(Mitarbeiter!$F$12&lt;&gt;"",GN$5&gt;Mitarbeiter!$F$12),0,IF(Planung!GN14="",$C14,IF(ISNUMBER(Planung!GN14),Planung!GN14,IF(UPPER(Planung!GN14)="H",$C14/2,0)))))))</f>
        <v>0</v>
      </c>
      <c r="GO14" s="27">
        <f>IF($A14="",0,IF(Mitarbeiter!$G$12=FALSE,0,IF(AND(Mitarbeiter!$E$12&lt;&gt;"",GO$5+6&lt;Mitarbeiter!$E$12),0,IF(AND(Mitarbeiter!$F$12&lt;&gt;"",GO$5&gt;Mitarbeiter!$F$12),0,IF(Planung!GO14="",$C14,IF(ISNUMBER(Planung!GO14),Planung!GO14,IF(UPPER(Planung!GO14)="H",$C14/2,0)))))))</f>
        <v>0</v>
      </c>
      <c r="GP14" s="27">
        <f>IF($A14="",0,IF(Mitarbeiter!$G$12=FALSE,0,IF(AND(Mitarbeiter!$E$12&lt;&gt;"",GP$5+6&lt;Mitarbeiter!$E$12),0,IF(AND(Mitarbeiter!$F$12&lt;&gt;"",GP$5&gt;Mitarbeiter!$F$12),0,IF(Planung!GP14="",$C14,IF(ISNUMBER(Planung!GP14),Planung!GP14,IF(UPPER(Planung!GP14)="H",$C14/2,0)))))))</f>
        <v>0</v>
      </c>
      <c r="GQ14" s="27">
        <f>IF($A14="",0,IF(Mitarbeiter!$G$12=FALSE,0,IF(AND(Mitarbeiter!$E$12&lt;&gt;"",GQ$5+6&lt;Mitarbeiter!$E$12),0,IF(AND(Mitarbeiter!$F$12&lt;&gt;"",GQ$5&gt;Mitarbeiter!$F$12),0,IF(Planung!GQ14="",$C14,IF(ISNUMBER(Planung!GQ14),Planung!GQ14,IF(UPPER(Planung!GQ14)="H",$C14/2,0)))))))</f>
        <v>0</v>
      </c>
      <c r="GR14" s="27">
        <f>IF($A14="",0,IF(Mitarbeiter!$G$12=FALSE,0,IF(AND(Mitarbeiter!$E$12&lt;&gt;"",GR$5+6&lt;Mitarbeiter!$E$12),0,IF(AND(Mitarbeiter!$F$12&lt;&gt;"",GR$5&gt;Mitarbeiter!$F$12),0,IF(Planung!GR14="",$C14,IF(ISNUMBER(Planung!GR14),Planung!GR14,IF(UPPER(Planung!GR14)="H",$C14/2,0)))))))</f>
        <v>0</v>
      </c>
      <c r="GS14" s="27">
        <f>IF($A14="",0,IF(Mitarbeiter!$G$12=FALSE,0,IF(AND(Mitarbeiter!$E$12&lt;&gt;"",GS$5+6&lt;Mitarbeiter!$E$12),0,IF(AND(Mitarbeiter!$F$12&lt;&gt;"",GS$5&gt;Mitarbeiter!$F$12),0,IF(Planung!GS14="",$C14,IF(ISNUMBER(Planung!GS14),Planung!GS14,IF(UPPER(Planung!GS14)="H",$C14/2,0)))))))</f>
        <v>0</v>
      </c>
      <c r="GT14" s="27">
        <f>IF($A14="",0,IF(Mitarbeiter!$G$12=FALSE,0,IF(AND(Mitarbeiter!$E$12&lt;&gt;"",GT$5+6&lt;Mitarbeiter!$E$12),0,IF(AND(Mitarbeiter!$F$12&lt;&gt;"",GT$5&gt;Mitarbeiter!$F$12),0,IF(Planung!GT14="",$C14,IF(ISNUMBER(Planung!GT14),Planung!GT14,IF(UPPER(Planung!GT14)="H",$C14/2,0)))))))</f>
        <v>0</v>
      </c>
      <c r="GU14" s="27">
        <f>IF($A14="",0,IF(Mitarbeiter!$G$12=FALSE,0,IF(AND(Mitarbeiter!$E$12&lt;&gt;"",GU$5+6&lt;Mitarbeiter!$E$12),0,IF(AND(Mitarbeiter!$F$12&lt;&gt;"",GU$5&gt;Mitarbeiter!$F$12),0,IF(Planung!GU14="",$C14,IF(ISNUMBER(Planung!GU14),Planung!GU14,IF(UPPER(Planung!GU14)="H",$C14/2,0)))))))</f>
        <v>0</v>
      </c>
      <c r="GV14" s="27">
        <f>IF($A14="",0,IF(Mitarbeiter!$G$12=FALSE,0,IF(AND(Mitarbeiter!$E$12&lt;&gt;"",GV$5+6&lt;Mitarbeiter!$E$12),0,IF(AND(Mitarbeiter!$F$12&lt;&gt;"",GV$5&gt;Mitarbeiter!$F$12),0,IF(Planung!GV14="",$C14,IF(ISNUMBER(Planung!GV14),Planung!GV14,IF(UPPER(Planung!GV14)="H",$C14/2,0)))))))</f>
        <v>0</v>
      </c>
      <c r="GW14" s="27">
        <f>IF($A14="",0,IF(Mitarbeiter!$G$12=FALSE,0,IF(AND(Mitarbeiter!$E$12&lt;&gt;"",GW$5+6&lt;Mitarbeiter!$E$12),0,IF(AND(Mitarbeiter!$F$12&lt;&gt;"",GW$5&gt;Mitarbeiter!$F$12),0,IF(Planung!GW14="",$C14,IF(ISNUMBER(Planung!GW14),Planung!GW14,IF(UPPER(Planung!GW14)="H",$C14/2,0)))))))</f>
        <v>0</v>
      </c>
      <c r="GX14" s="27">
        <f>IF($A14="",0,IF(Mitarbeiter!$G$12=FALSE,0,IF(AND(Mitarbeiter!$E$12&lt;&gt;"",GX$5+6&lt;Mitarbeiter!$E$12),0,IF(AND(Mitarbeiter!$F$12&lt;&gt;"",GX$5&gt;Mitarbeiter!$F$12),0,IF(Planung!GX14="",$C14,IF(ISNUMBER(Planung!GX14),Planung!GX14,IF(UPPER(Planung!GX14)="H",$C14/2,0)))))))</f>
        <v>0</v>
      </c>
      <c r="GY14" s="27">
        <f>IF($A14="",0,IF(Mitarbeiter!$G$12=FALSE,0,IF(AND(Mitarbeiter!$E$12&lt;&gt;"",GY$5+6&lt;Mitarbeiter!$E$12),0,IF(AND(Mitarbeiter!$F$12&lt;&gt;"",GY$5&gt;Mitarbeiter!$F$12),0,IF(Planung!GY14="",$C14,IF(ISNUMBER(Planung!GY14),Planung!GY14,IF(UPPER(Planung!GY14)="H",$C14/2,0)))))))</f>
        <v>0</v>
      </c>
      <c r="GZ14" s="27">
        <f>IF($A14="",0,IF(Mitarbeiter!$G$12=FALSE,0,IF(AND(Mitarbeiter!$E$12&lt;&gt;"",GZ$5+6&lt;Mitarbeiter!$E$12),0,IF(AND(Mitarbeiter!$F$12&lt;&gt;"",GZ$5&gt;Mitarbeiter!$F$12),0,IF(Planung!GZ14="",$C14,IF(ISNUMBER(Planung!GZ14),Planung!GZ14,IF(UPPER(Planung!GZ14)="H",$C14/2,0)))))))</f>
        <v>0</v>
      </c>
      <c r="HA14" s="27">
        <f>IF($A14="",0,IF(Mitarbeiter!$G$12=FALSE,0,IF(AND(Mitarbeiter!$E$12&lt;&gt;"",HA$5+6&lt;Mitarbeiter!$E$12),0,IF(AND(Mitarbeiter!$F$12&lt;&gt;"",HA$5&gt;Mitarbeiter!$F$12),0,IF(Planung!HA14="",$C14,IF(ISNUMBER(Planung!HA14),Planung!HA14,IF(UPPER(Planung!HA14)="H",$C14/2,0)))))))</f>
        <v>0</v>
      </c>
      <c r="HB14" s="27">
        <f>IF($A14="",0,IF(Mitarbeiter!$G$12=FALSE,0,IF(AND(Mitarbeiter!$E$12&lt;&gt;"",HB$5+6&lt;Mitarbeiter!$E$12),0,IF(AND(Mitarbeiter!$F$12&lt;&gt;"",HB$5&gt;Mitarbeiter!$F$12),0,IF(Planung!HB14="",$C14,IF(ISNUMBER(Planung!HB14),Planung!HB14,IF(UPPER(Planung!HB14)="H",$C14/2,0)))))))</f>
        <v>0</v>
      </c>
      <c r="HC14" s="27">
        <f>IF($A14="",0,IF(Mitarbeiter!$G$12=FALSE,0,IF(AND(Mitarbeiter!$E$12&lt;&gt;"",HC$5+6&lt;Mitarbeiter!$E$12),0,IF(AND(Mitarbeiter!$F$12&lt;&gt;"",HC$5&gt;Mitarbeiter!$F$12),0,IF(Planung!HC14="",$C14,IF(ISNUMBER(Planung!HC14),Planung!HC14,IF(UPPER(Planung!HC14)="H",$C14/2,0)))))))</f>
        <v>0</v>
      </c>
      <c r="HD14" s="27">
        <f>IF($A14="",0,IF(Mitarbeiter!$G$12=FALSE,0,IF(AND(Mitarbeiter!$E$12&lt;&gt;"",HD$5+6&lt;Mitarbeiter!$E$12),0,IF(AND(Mitarbeiter!$F$12&lt;&gt;"",HD$5&gt;Mitarbeiter!$F$12),0,IF(Planung!HD14="",$C14,IF(ISNUMBER(Planung!HD14),Planung!HD14,IF(UPPER(Planung!HD14)="H",$C14/2,0)))))))</f>
        <v>0</v>
      </c>
      <c r="HE14" s="27">
        <f>IF($A14="",0,IF(Mitarbeiter!$G$12=FALSE,0,IF(AND(Mitarbeiter!$E$12&lt;&gt;"",HE$5+6&lt;Mitarbeiter!$E$12),0,IF(AND(Mitarbeiter!$F$12&lt;&gt;"",HE$5&gt;Mitarbeiter!$F$12),0,IF(Planung!HE14="",$C14,IF(ISNUMBER(Planung!HE14),Planung!HE14,IF(UPPER(Planung!HE14)="H",$C14/2,0)))))))</f>
        <v>0</v>
      </c>
      <c r="HF14" s="27">
        <f>IF($A14="",0,IF(Mitarbeiter!$G$12=FALSE,0,IF(AND(Mitarbeiter!$E$12&lt;&gt;"",HF$5+6&lt;Mitarbeiter!$E$12),0,IF(AND(Mitarbeiter!$F$12&lt;&gt;"",HF$5&gt;Mitarbeiter!$F$12),0,IF(Planung!HF14="",$C14,IF(ISNUMBER(Planung!HF14),Planung!HF14,IF(UPPER(Planung!HF14)="H",$C14/2,0)))))))</f>
        <v>0</v>
      </c>
      <c r="HG14" s="27">
        <f>IF($A14="",0,IF(Mitarbeiter!$G$12=FALSE,0,IF(AND(Mitarbeiter!$E$12&lt;&gt;"",HG$5+6&lt;Mitarbeiter!$E$12),0,IF(AND(Mitarbeiter!$F$12&lt;&gt;"",HG$5&gt;Mitarbeiter!$F$12),0,IF(Planung!HG14="",$C14,IF(ISNUMBER(Planung!HG14),Planung!HG14,IF(UPPER(Planung!HG14)="H",$C14/2,0)))))))</f>
        <v>0</v>
      </c>
      <c r="HH14" s="27">
        <f>IF($A14="",0,IF(Mitarbeiter!$G$12=FALSE,0,IF(AND(Mitarbeiter!$E$12&lt;&gt;"",HH$5+6&lt;Mitarbeiter!$E$12),0,IF(AND(Mitarbeiter!$F$12&lt;&gt;"",HH$5&gt;Mitarbeiter!$F$12),0,IF(Planung!HH14="",$C14,IF(ISNUMBER(Planung!HH14),Planung!HH14,IF(UPPER(Planung!HH14)="H",$C14/2,0)))))))</f>
        <v>0</v>
      </c>
      <c r="HI14" s="27">
        <f>IF($A14="",0,IF(Mitarbeiter!$G$12=FALSE,0,IF(AND(Mitarbeiter!$E$12&lt;&gt;"",HI$5+6&lt;Mitarbeiter!$E$12),0,IF(AND(Mitarbeiter!$F$12&lt;&gt;"",HI$5&gt;Mitarbeiter!$F$12),0,IF(Planung!HI14="",$C14,IF(ISNUMBER(Planung!HI14),Planung!HI14,IF(UPPER(Planung!HI14)="H",$C14/2,0)))))))</f>
        <v>0</v>
      </c>
      <c r="HJ14" s="27">
        <f>IF($A14="",0,IF(Mitarbeiter!$G$12=FALSE,0,IF(AND(Mitarbeiter!$E$12&lt;&gt;"",HJ$5+6&lt;Mitarbeiter!$E$12),0,IF(AND(Mitarbeiter!$F$12&lt;&gt;"",HJ$5&gt;Mitarbeiter!$F$12),0,IF(Planung!HJ14="",$C14,IF(ISNUMBER(Planung!HJ14),Planung!HJ14,IF(UPPER(Planung!HJ14)="H",$C14/2,0)))))))</f>
        <v>0</v>
      </c>
      <c r="HK14" s="27">
        <f>IF($A14="",0,IF(Mitarbeiter!$G$12=FALSE,0,IF(AND(Mitarbeiter!$E$12&lt;&gt;"",HK$5+6&lt;Mitarbeiter!$E$12),0,IF(AND(Mitarbeiter!$F$12&lt;&gt;"",HK$5&gt;Mitarbeiter!$F$12),0,IF(Planung!HK14="",$C14,IF(ISNUMBER(Planung!HK14),Planung!HK14,IF(UPPER(Planung!HK14)="H",$C14/2,0)))))))</f>
        <v>0</v>
      </c>
      <c r="HL14" s="27">
        <f>IF($A14="",0,IF(Mitarbeiter!$G$12=FALSE,0,IF(AND(Mitarbeiter!$E$12&lt;&gt;"",HL$5+6&lt;Mitarbeiter!$E$12),0,IF(AND(Mitarbeiter!$F$12&lt;&gt;"",HL$5&gt;Mitarbeiter!$F$12),0,IF(Planung!HL14="",$C14,IF(ISNUMBER(Planung!HL14),Planung!HL14,IF(UPPER(Planung!HL14)="H",$C14/2,0)))))))</f>
        <v>0</v>
      </c>
      <c r="HM14" s="27">
        <f>IF($A14="",0,IF(Mitarbeiter!$G$12=FALSE,0,IF(AND(Mitarbeiter!$E$12&lt;&gt;"",HM$5+6&lt;Mitarbeiter!$E$12),0,IF(AND(Mitarbeiter!$F$12&lt;&gt;"",HM$5&gt;Mitarbeiter!$F$12),0,IF(Planung!HM14="",$C14,IF(ISNUMBER(Planung!HM14),Planung!HM14,IF(UPPER(Planung!HM14)="H",$C14/2,0)))))))</f>
        <v>0</v>
      </c>
      <c r="HN14" s="27">
        <f>IF($A14="",0,IF(Mitarbeiter!$G$12=FALSE,0,IF(AND(Mitarbeiter!$E$12&lt;&gt;"",HN$5+6&lt;Mitarbeiter!$E$12),0,IF(AND(Mitarbeiter!$F$12&lt;&gt;"",HN$5&gt;Mitarbeiter!$F$12),0,IF(Planung!HN14="",$C14,IF(ISNUMBER(Planung!HN14),Planung!HN14,IF(UPPER(Planung!HN14)="H",$C14/2,0)))))))</f>
        <v>0</v>
      </c>
      <c r="HO14" s="27">
        <f>IF($A14="",0,IF(Mitarbeiter!$G$12=FALSE,0,IF(AND(Mitarbeiter!$E$12&lt;&gt;"",HO$5+6&lt;Mitarbeiter!$E$12),0,IF(AND(Mitarbeiter!$F$12&lt;&gt;"",HO$5&gt;Mitarbeiter!$F$12),0,IF(Planung!HO14="",$C14,IF(ISNUMBER(Planung!HO14),Planung!HO14,IF(UPPER(Planung!HO14)="H",$C14/2,0)))))))</f>
        <v>0</v>
      </c>
      <c r="HP14" s="27">
        <f>IF($A14="",0,IF(Mitarbeiter!$G$12=FALSE,0,IF(AND(Mitarbeiter!$E$12&lt;&gt;"",HP$5+6&lt;Mitarbeiter!$E$12),0,IF(AND(Mitarbeiter!$F$12&lt;&gt;"",HP$5&gt;Mitarbeiter!$F$12),0,IF(Planung!HP14="",$C14,IF(ISNUMBER(Planung!HP14),Planung!HP14,IF(UPPER(Planung!HP14)="H",$C14/2,0)))))))</f>
        <v>0</v>
      </c>
      <c r="HQ14" s="27">
        <f>IF($A14="",0,IF(Mitarbeiter!$G$12=FALSE,0,IF(AND(Mitarbeiter!$E$12&lt;&gt;"",HQ$5+6&lt;Mitarbeiter!$E$12),0,IF(AND(Mitarbeiter!$F$12&lt;&gt;"",HQ$5&gt;Mitarbeiter!$F$12),0,IF(Planung!HQ14="",$C14,IF(ISNUMBER(Planung!HQ14),Planung!HQ14,IF(UPPER(Planung!HQ14)="H",$C14/2,0)))))))</f>
        <v>0</v>
      </c>
      <c r="HR14" s="27">
        <f>IF($A14="",0,IF(Mitarbeiter!$G$12=FALSE,0,IF(AND(Mitarbeiter!$E$12&lt;&gt;"",HR$5+6&lt;Mitarbeiter!$E$12),0,IF(AND(Mitarbeiter!$F$12&lt;&gt;"",HR$5&gt;Mitarbeiter!$F$12),0,IF(Planung!HR14="",$C14,IF(ISNUMBER(Planung!HR14),Planung!HR14,IF(UPPER(Planung!HR14)="H",$C14/2,0)))))))</f>
        <v>0</v>
      </c>
      <c r="HS14" s="27">
        <f>IF($A14="",0,IF(Mitarbeiter!$G$12=FALSE,0,IF(AND(Mitarbeiter!$E$12&lt;&gt;"",HS$5+6&lt;Mitarbeiter!$E$12),0,IF(AND(Mitarbeiter!$F$12&lt;&gt;"",HS$5&gt;Mitarbeiter!$F$12),0,IF(Planung!HS14="",$C14,IF(ISNUMBER(Planung!HS14),Planung!HS14,IF(UPPER(Planung!HS14)="H",$C14/2,0)))))))</f>
        <v>0</v>
      </c>
      <c r="HT14" s="27">
        <f>IF($A14="",0,IF(Mitarbeiter!$G$12=FALSE,0,IF(AND(Mitarbeiter!$E$12&lt;&gt;"",HT$5+6&lt;Mitarbeiter!$E$12),0,IF(AND(Mitarbeiter!$F$12&lt;&gt;"",HT$5&gt;Mitarbeiter!$F$12),0,IF(Planung!HT14="",$C14,IF(ISNUMBER(Planung!HT14),Planung!HT14,IF(UPPER(Planung!HT14)="H",$C14/2,0)))))))</f>
        <v>0</v>
      </c>
      <c r="HU14" s="27">
        <f>IF($A14="",0,IF(Mitarbeiter!$G$12=FALSE,0,IF(AND(Mitarbeiter!$E$12&lt;&gt;"",HU$5+6&lt;Mitarbeiter!$E$12),0,IF(AND(Mitarbeiter!$F$12&lt;&gt;"",HU$5&gt;Mitarbeiter!$F$12),0,IF(Planung!HU14="",$C14,IF(ISNUMBER(Planung!HU14),Planung!HU14,IF(UPPER(Planung!HU14)="H",$C14/2,0)))))))</f>
        <v>0</v>
      </c>
      <c r="HV14" s="27">
        <f>IF($A14="",0,IF(Mitarbeiter!$G$12=FALSE,0,IF(AND(Mitarbeiter!$E$12&lt;&gt;"",HV$5+6&lt;Mitarbeiter!$E$12),0,IF(AND(Mitarbeiter!$F$12&lt;&gt;"",HV$5&gt;Mitarbeiter!$F$12),0,IF(Planung!HV14="",$C14,IF(ISNUMBER(Planung!HV14),Planung!HV14,IF(UPPER(Planung!HV14)="H",$C14/2,0)))))))</f>
        <v>0</v>
      </c>
      <c r="HW14" s="27">
        <f>IF($A14="",0,IF(Mitarbeiter!$G$12=FALSE,0,IF(AND(Mitarbeiter!$E$12&lt;&gt;"",HW$5+6&lt;Mitarbeiter!$E$12),0,IF(AND(Mitarbeiter!$F$12&lt;&gt;"",HW$5&gt;Mitarbeiter!$F$12),0,IF(Planung!HW14="",$C14,IF(ISNUMBER(Planung!HW14),Planung!HW14,IF(UPPER(Planung!HW14)="H",$C14/2,0)))))))</f>
        <v>0</v>
      </c>
      <c r="HX14" s="27">
        <f>IF($A14="",0,IF(Mitarbeiter!$G$12=FALSE,0,IF(AND(Mitarbeiter!$E$12&lt;&gt;"",HX$5+6&lt;Mitarbeiter!$E$12),0,IF(AND(Mitarbeiter!$F$12&lt;&gt;"",HX$5&gt;Mitarbeiter!$F$12),0,IF(Planung!HX14="",$C14,IF(ISNUMBER(Planung!HX14),Planung!HX14,IF(UPPER(Planung!HX14)="H",$C14/2,0)))))))</f>
        <v>0</v>
      </c>
      <c r="HY14" s="27">
        <f>IF($A14="",0,IF(Mitarbeiter!$G$12=FALSE,0,IF(AND(Mitarbeiter!$E$12&lt;&gt;"",HY$5+6&lt;Mitarbeiter!$E$12),0,IF(AND(Mitarbeiter!$F$12&lt;&gt;"",HY$5&gt;Mitarbeiter!$F$12),0,IF(Planung!HY14="",$C14,IF(ISNUMBER(Planung!HY14),Planung!HY14,IF(UPPER(Planung!HY14)="H",$C14/2,0)))))))</f>
        <v>0</v>
      </c>
      <c r="HZ14" s="27">
        <f>IF($A14="",0,IF(Mitarbeiter!$G$12=FALSE,0,IF(AND(Mitarbeiter!$E$12&lt;&gt;"",HZ$5+6&lt;Mitarbeiter!$E$12),0,IF(AND(Mitarbeiter!$F$12&lt;&gt;"",HZ$5&gt;Mitarbeiter!$F$12),0,IF(Planung!HZ14="",$C14,IF(ISNUMBER(Planung!HZ14),Planung!HZ14,IF(UPPER(Planung!HZ14)="H",$C14/2,0)))))))</f>
        <v>0</v>
      </c>
      <c r="IA14" s="27">
        <f>IF($A14="",0,IF(Mitarbeiter!$G$12=FALSE,0,IF(AND(Mitarbeiter!$E$12&lt;&gt;"",IA$5+6&lt;Mitarbeiter!$E$12),0,IF(AND(Mitarbeiter!$F$12&lt;&gt;"",IA$5&gt;Mitarbeiter!$F$12),0,IF(Planung!IA14="",$C14,IF(ISNUMBER(Planung!IA14),Planung!IA14,IF(UPPER(Planung!IA14)="H",$C14/2,0)))))))</f>
        <v>0</v>
      </c>
    </row>
    <row r="15" spans="1:235" x14ac:dyDescent="0.25">
      <c r="A15" s="7" t="str">
        <f>Planung!A15</f>
        <v/>
      </c>
      <c r="B15" s="7" t="str">
        <f>Planung!B15</f>
        <v/>
      </c>
      <c r="C15" s="27">
        <f>N(Mitarbeiter!$D$13)</f>
        <v>0</v>
      </c>
      <c r="D15" s="27">
        <f>IF($A15="",0,IF(Mitarbeiter!$G$13=FALSE,0,IF(AND(Mitarbeiter!$E$13&lt;&gt;"",D$5+6&lt;Mitarbeiter!$E$13),0,IF(AND(Mitarbeiter!$F$13&lt;&gt;"",D$5&gt;Mitarbeiter!$F$13),0,IF(Planung!D15="",$C15,IF(ISNUMBER(Planung!D15),Planung!D15,IF(UPPER(Planung!D15)="H",$C15/2,0)))))))</f>
        <v>0</v>
      </c>
      <c r="E15" s="27">
        <f>IF($A15="",0,IF(Mitarbeiter!$G$13=FALSE,0,IF(AND(Mitarbeiter!$E$13&lt;&gt;"",E$5+6&lt;Mitarbeiter!$E$13),0,IF(AND(Mitarbeiter!$F$13&lt;&gt;"",E$5&gt;Mitarbeiter!$F$13),0,IF(Planung!E15="",$C15,IF(ISNUMBER(Planung!E15),Planung!E15,IF(UPPER(Planung!E15)="H",$C15/2,0)))))))</f>
        <v>0</v>
      </c>
      <c r="F15" s="27">
        <f>IF($A15="",0,IF(Mitarbeiter!$G$13=FALSE,0,IF(AND(Mitarbeiter!$E$13&lt;&gt;"",F$5+6&lt;Mitarbeiter!$E$13),0,IF(AND(Mitarbeiter!$F$13&lt;&gt;"",F$5&gt;Mitarbeiter!$F$13),0,IF(Planung!F15="",$C15,IF(ISNUMBER(Planung!F15),Planung!F15,IF(UPPER(Planung!F15)="H",$C15/2,0)))))))</f>
        <v>0</v>
      </c>
      <c r="G15" s="27">
        <f>IF($A15="",0,IF(Mitarbeiter!$G$13=FALSE,0,IF(AND(Mitarbeiter!$E$13&lt;&gt;"",G$5+6&lt;Mitarbeiter!$E$13),0,IF(AND(Mitarbeiter!$F$13&lt;&gt;"",G$5&gt;Mitarbeiter!$F$13),0,IF(Planung!G15="",$C15,IF(ISNUMBER(Planung!G15),Planung!G15,IF(UPPER(Planung!G15)="H",$C15/2,0)))))))</f>
        <v>0</v>
      </c>
      <c r="H15" s="27">
        <f>IF($A15="",0,IF(Mitarbeiter!$G$13=FALSE,0,IF(AND(Mitarbeiter!$E$13&lt;&gt;"",H$5+6&lt;Mitarbeiter!$E$13),0,IF(AND(Mitarbeiter!$F$13&lt;&gt;"",H$5&gt;Mitarbeiter!$F$13),0,IF(Planung!H15="",$C15,IF(ISNUMBER(Planung!H15),Planung!H15,IF(UPPER(Planung!H15)="H",$C15/2,0)))))))</f>
        <v>0</v>
      </c>
      <c r="I15" s="27">
        <f>IF($A15="",0,IF(Mitarbeiter!$G$13=FALSE,0,IF(AND(Mitarbeiter!$E$13&lt;&gt;"",I$5+6&lt;Mitarbeiter!$E$13),0,IF(AND(Mitarbeiter!$F$13&lt;&gt;"",I$5&gt;Mitarbeiter!$F$13),0,IF(Planung!I15="",$C15,IF(ISNUMBER(Planung!I15),Planung!I15,IF(UPPER(Planung!I15)="H",$C15/2,0)))))))</f>
        <v>0</v>
      </c>
      <c r="J15" s="27">
        <f>IF($A15="",0,IF(Mitarbeiter!$G$13=FALSE,0,IF(AND(Mitarbeiter!$E$13&lt;&gt;"",J$5+6&lt;Mitarbeiter!$E$13),0,IF(AND(Mitarbeiter!$F$13&lt;&gt;"",J$5&gt;Mitarbeiter!$F$13),0,IF(Planung!J15="",$C15,IF(ISNUMBER(Planung!J15),Planung!J15,IF(UPPER(Planung!J15)="H",$C15/2,0)))))))</f>
        <v>0</v>
      </c>
      <c r="K15" s="27">
        <f>IF($A15="",0,IF(Mitarbeiter!$G$13=FALSE,0,IF(AND(Mitarbeiter!$E$13&lt;&gt;"",K$5+6&lt;Mitarbeiter!$E$13),0,IF(AND(Mitarbeiter!$F$13&lt;&gt;"",K$5&gt;Mitarbeiter!$F$13),0,IF(Planung!K15="",$C15,IF(ISNUMBER(Planung!K15),Planung!K15,IF(UPPER(Planung!K15)="H",$C15/2,0)))))))</f>
        <v>0</v>
      </c>
      <c r="L15" s="27">
        <f>IF($A15="",0,IF(Mitarbeiter!$G$13=FALSE,0,IF(AND(Mitarbeiter!$E$13&lt;&gt;"",L$5+6&lt;Mitarbeiter!$E$13),0,IF(AND(Mitarbeiter!$F$13&lt;&gt;"",L$5&gt;Mitarbeiter!$F$13),0,IF(Planung!L15="",$C15,IF(ISNUMBER(Planung!L15),Planung!L15,IF(UPPER(Planung!L15)="H",$C15/2,0)))))))</f>
        <v>0</v>
      </c>
      <c r="M15" s="27">
        <f>IF($A15="",0,IF(Mitarbeiter!$G$13=FALSE,0,IF(AND(Mitarbeiter!$E$13&lt;&gt;"",M$5+6&lt;Mitarbeiter!$E$13),0,IF(AND(Mitarbeiter!$F$13&lt;&gt;"",M$5&gt;Mitarbeiter!$F$13),0,IF(Planung!M15="",$C15,IF(ISNUMBER(Planung!M15),Planung!M15,IF(UPPER(Planung!M15)="H",$C15/2,0)))))))</f>
        <v>0</v>
      </c>
      <c r="N15" s="27">
        <f>IF($A15="",0,IF(Mitarbeiter!$G$13=FALSE,0,IF(AND(Mitarbeiter!$E$13&lt;&gt;"",N$5+6&lt;Mitarbeiter!$E$13),0,IF(AND(Mitarbeiter!$F$13&lt;&gt;"",N$5&gt;Mitarbeiter!$F$13),0,IF(Planung!N15="",$C15,IF(ISNUMBER(Planung!N15),Planung!N15,IF(UPPER(Planung!N15)="H",$C15/2,0)))))))</f>
        <v>0</v>
      </c>
      <c r="O15" s="27">
        <f>IF($A15="",0,IF(Mitarbeiter!$G$13=FALSE,0,IF(AND(Mitarbeiter!$E$13&lt;&gt;"",O$5+6&lt;Mitarbeiter!$E$13),0,IF(AND(Mitarbeiter!$F$13&lt;&gt;"",O$5&gt;Mitarbeiter!$F$13),0,IF(Planung!O15="",$C15,IF(ISNUMBER(Planung!O15),Planung!O15,IF(UPPER(Planung!O15)="H",$C15/2,0)))))))</f>
        <v>0</v>
      </c>
      <c r="P15" s="27">
        <f>IF($A15="",0,IF(Mitarbeiter!$G$13=FALSE,0,IF(AND(Mitarbeiter!$E$13&lt;&gt;"",P$5+6&lt;Mitarbeiter!$E$13),0,IF(AND(Mitarbeiter!$F$13&lt;&gt;"",P$5&gt;Mitarbeiter!$F$13),0,IF(Planung!P15="",$C15,IF(ISNUMBER(Planung!P15),Planung!P15,IF(UPPER(Planung!P15)="H",$C15/2,0)))))))</f>
        <v>0</v>
      </c>
      <c r="Q15" s="27">
        <f>IF($A15="",0,IF(Mitarbeiter!$G$13=FALSE,0,IF(AND(Mitarbeiter!$E$13&lt;&gt;"",Q$5+6&lt;Mitarbeiter!$E$13),0,IF(AND(Mitarbeiter!$F$13&lt;&gt;"",Q$5&gt;Mitarbeiter!$F$13),0,IF(Planung!Q15="",$C15,IF(ISNUMBER(Planung!Q15),Planung!Q15,IF(UPPER(Planung!Q15)="H",$C15/2,0)))))))</f>
        <v>0</v>
      </c>
      <c r="R15" s="27">
        <f>IF($A15="",0,IF(Mitarbeiter!$G$13=FALSE,0,IF(AND(Mitarbeiter!$E$13&lt;&gt;"",R$5+6&lt;Mitarbeiter!$E$13),0,IF(AND(Mitarbeiter!$F$13&lt;&gt;"",R$5&gt;Mitarbeiter!$F$13),0,IF(Planung!R15="",$C15,IF(ISNUMBER(Planung!R15),Planung!R15,IF(UPPER(Planung!R15)="H",$C15/2,0)))))))</f>
        <v>0</v>
      </c>
      <c r="S15" s="27">
        <f>IF($A15="",0,IF(Mitarbeiter!$G$13=FALSE,0,IF(AND(Mitarbeiter!$E$13&lt;&gt;"",S$5+6&lt;Mitarbeiter!$E$13),0,IF(AND(Mitarbeiter!$F$13&lt;&gt;"",S$5&gt;Mitarbeiter!$F$13),0,IF(Planung!S15="",$C15,IF(ISNUMBER(Planung!S15),Planung!S15,IF(UPPER(Planung!S15)="H",$C15/2,0)))))))</f>
        <v>0</v>
      </c>
      <c r="T15" s="27">
        <f>IF($A15="",0,IF(Mitarbeiter!$G$13=FALSE,0,IF(AND(Mitarbeiter!$E$13&lt;&gt;"",T$5+6&lt;Mitarbeiter!$E$13),0,IF(AND(Mitarbeiter!$F$13&lt;&gt;"",T$5&gt;Mitarbeiter!$F$13),0,IF(Planung!T15="",$C15,IF(ISNUMBER(Planung!T15),Planung!T15,IF(UPPER(Planung!T15)="H",$C15/2,0)))))))</f>
        <v>0</v>
      </c>
      <c r="U15" s="27">
        <f>IF($A15="",0,IF(Mitarbeiter!$G$13=FALSE,0,IF(AND(Mitarbeiter!$E$13&lt;&gt;"",U$5+6&lt;Mitarbeiter!$E$13),0,IF(AND(Mitarbeiter!$F$13&lt;&gt;"",U$5&gt;Mitarbeiter!$F$13),0,IF(Planung!U15="",$C15,IF(ISNUMBER(Planung!U15),Planung!U15,IF(UPPER(Planung!U15)="H",$C15/2,0)))))))</f>
        <v>0</v>
      </c>
      <c r="V15" s="27">
        <f>IF($A15="",0,IF(Mitarbeiter!$G$13=FALSE,0,IF(AND(Mitarbeiter!$E$13&lt;&gt;"",V$5+6&lt;Mitarbeiter!$E$13),0,IF(AND(Mitarbeiter!$F$13&lt;&gt;"",V$5&gt;Mitarbeiter!$F$13),0,IF(Planung!V15="",$C15,IF(ISNUMBER(Planung!V15),Planung!V15,IF(UPPER(Planung!V15)="H",$C15/2,0)))))))</f>
        <v>0</v>
      </c>
      <c r="W15" s="27">
        <f>IF($A15="",0,IF(Mitarbeiter!$G$13=FALSE,0,IF(AND(Mitarbeiter!$E$13&lt;&gt;"",W$5+6&lt;Mitarbeiter!$E$13),0,IF(AND(Mitarbeiter!$F$13&lt;&gt;"",W$5&gt;Mitarbeiter!$F$13),0,IF(Planung!W15="",$C15,IF(ISNUMBER(Planung!W15),Planung!W15,IF(UPPER(Planung!W15)="H",$C15/2,0)))))))</f>
        <v>0</v>
      </c>
      <c r="X15" s="27">
        <f>IF($A15="",0,IF(Mitarbeiter!$G$13=FALSE,0,IF(AND(Mitarbeiter!$E$13&lt;&gt;"",X$5+6&lt;Mitarbeiter!$E$13),0,IF(AND(Mitarbeiter!$F$13&lt;&gt;"",X$5&gt;Mitarbeiter!$F$13),0,IF(Planung!X15="",$C15,IF(ISNUMBER(Planung!X15),Planung!X15,IF(UPPER(Planung!X15)="H",$C15/2,0)))))))</f>
        <v>0</v>
      </c>
      <c r="Y15" s="27">
        <f>IF($A15="",0,IF(Mitarbeiter!$G$13=FALSE,0,IF(AND(Mitarbeiter!$E$13&lt;&gt;"",Y$5+6&lt;Mitarbeiter!$E$13),0,IF(AND(Mitarbeiter!$F$13&lt;&gt;"",Y$5&gt;Mitarbeiter!$F$13),0,IF(Planung!Y15="",$C15,IF(ISNUMBER(Planung!Y15),Planung!Y15,IF(UPPER(Planung!Y15)="H",$C15/2,0)))))))</f>
        <v>0</v>
      </c>
      <c r="Z15" s="27">
        <f>IF($A15="",0,IF(Mitarbeiter!$G$13=FALSE,0,IF(AND(Mitarbeiter!$E$13&lt;&gt;"",Z$5+6&lt;Mitarbeiter!$E$13),0,IF(AND(Mitarbeiter!$F$13&lt;&gt;"",Z$5&gt;Mitarbeiter!$F$13),0,IF(Planung!Z15="",$C15,IF(ISNUMBER(Planung!Z15),Planung!Z15,IF(UPPER(Planung!Z15)="H",$C15/2,0)))))))</f>
        <v>0</v>
      </c>
      <c r="AA15" s="27">
        <f>IF($A15="",0,IF(Mitarbeiter!$G$13=FALSE,0,IF(AND(Mitarbeiter!$E$13&lt;&gt;"",AA$5+6&lt;Mitarbeiter!$E$13),0,IF(AND(Mitarbeiter!$F$13&lt;&gt;"",AA$5&gt;Mitarbeiter!$F$13),0,IF(Planung!AA15="",$C15,IF(ISNUMBER(Planung!AA15),Planung!AA15,IF(UPPER(Planung!AA15)="H",$C15/2,0)))))))</f>
        <v>0</v>
      </c>
      <c r="AB15" s="27">
        <f>IF($A15="",0,IF(Mitarbeiter!$G$13=FALSE,0,IF(AND(Mitarbeiter!$E$13&lt;&gt;"",AB$5+6&lt;Mitarbeiter!$E$13),0,IF(AND(Mitarbeiter!$F$13&lt;&gt;"",AB$5&gt;Mitarbeiter!$F$13),0,IF(Planung!AB15="",$C15,IF(ISNUMBER(Planung!AB15),Planung!AB15,IF(UPPER(Planung!AB15)="H",$C15/2,0)))))))</f>
        <v>0</v>
      </c>
      <c r="AC15" s="27">
        <f>IF($A15="",0,IF(Mitarbeiter!$G$13=FALSE,0,IF(AND(Mitarbeiter!$E$13&lt;&gt;"",AC$5+6&lt;Mitarbeiter!$E$13),0,IF(AND(Mitarbeiter!$F$13&lt;&gt;"",AC$5&gt;Mitarbeiter!$F$13),0,IF(Planung!AC15="",$C15,IF(ISNUMBER(Planung!AC15),Planung!AC15,IF(UPPER(Planung!AC15)="H",$C15/2,0)))))))</f>
        <v>0</v>
      </c>
      <c r="AD15" s="27">
        <f>IF($A15="",0,IF(Mitarbeiter!$G$13=FALSE,0,IF(AND(Mitarbeiter!$E$13&lt;&gt;"",AD$5+6&lt;Mitarbeiter!$E$13),0,IF(AND(Mitarbeiter!$F$13&lt;&gt;"",AD$5&gt;Mitarbeiter!$F$13),0,IF(Planung!AD15="",$C15,IF(ISNUMBER(Planung!AD15),Planung!AD15,IF(UPPER(Planung!AD15)="H",$C15/2,0)))))))</f>
        <v>0</v>
      </c>
      <c r="AE15" s="27">
        <f>IF($A15="",0,IF(Mitarbeiter!$G$13=FALSE,0,IF(AND(Mitarbeiter!$E$13&lt;&gt;"",AE$5+6&lt;Mitarbeiter!$E$13),0,IF(AND(Mitarbeiter!$F$13&lt;&gt;"",AE$5&gt;Mitarbeiter!$F$13),0,IF(Planung!AE15="",$C15,IF(ISNUMBER(Planung!AE15),Planung!AE15,IF(UPPER(Planung!AE15)="H",$C15/2,0)))))))</f>
        <v>0</v>
      </c>
      <c r="AF15" s="27">
        <f>IF($A15="",0,IF(Mitarbeiter!$G$13=FALSE,0,IF(AND(Mitarbeiter!$E$13&lt;&gt;"",AF$5+6&lt;Mitarbeiter!$E$13),0,IF(AND(Mitarbeiter!$F$13&lt;&gt;"",AF$5&gt;Mitarbeiter!$F$13),0,IF(Planung!AF15="",$C15,IF(ISNUMBER(Planung!AF15),Planung!AF15,IF(UPPER(Planung!AF15)="H",$C15/2,0)))))))</f>
        <v>0</v>
      </c>
      <c r="AG15" s="27">
        <f>IF($A15="",0,IF(Mitarbeiter!$G$13=FALSE,0,IF(AND(Mitarbeiter!$E$13&lt;&gt;"",AG$5+6&lt;Mitarbeiter!$E$13),0,IF(AND(Mitarbeiter!$F$13&lt;&gt;"",AG$5&gt;Mitarbeiter!$F$13),0,IF(Planung!AG15="",$C15,IF(ISNUMBER(Planung!AG15),Planung!AG15,IF(UPPER(Planung!AG15)="H",$C15/2,0)))))))</f>
        <v>0</v>
      </c>
      <c r="AH15" s="27">
        <f>IF($A15="",0,IF(Mitarbeiter!$G$13=FALSE,0,IF(AND(Mitarbeiter!$E$13&lt;&gt;"",AH$5+6&lt;Mitarbeiter!$E$13),0,IF(AND(Mitarbeiter!$F$13&lt;&gt;"",AH$5&gt;Mitarbeiter!$F$13),0,IF(Planung!AH15="",$C15,IF(ISNUMBER(Planung!AH15),Planung!AH15,IF(UPPER(Planung!AH15)="H",$C15/2,0)))))))</f>
        <v>0</v>
      </c>
      <c r="AI15" s="27">
        <f>IF($A15="",0,IF(Mitarbeiter!$G$13=FALSE,0,IF(AND(Mitarbeiter!$E$13&lt;&gt;"",AI$5+6&lt;Mitarbeiter!$E$13),0,IF(AND(Mitarbeiter!$F$13&lt;&gt;"",AI$5&gt;Mitarbeiter!$F$13),0,IF(Planung!AI15="",$C15,IF(ISNUMBER(Planung!AI15),Planung!AI15,IF(UPPER(Planung!AI15)="H",$C15/2,0)))))))</f>
        <v>0</v>
      </c>
      <c r="AJ15" s="27">
        <f>IF($A15="",0,IF(Mitarbeiter!$G$13=FALSE,0,IF(AND(Mitarbeiter!$E$13&lt;&gt;"",AJ$5+6&lt;Mitarbeiter!$E$13),0,IF(AND(Mitarbeiter!$F$13&lt;&gt;"",AJ$5&gt;Mitarbeiter!$F$13),0,IF(Planung!AJ15="",$C15,IF(ISNUMBER(Planung!AJ15),Planung!AJ15,IF(UPPER(Planung!AJ15)="H",$C15/2,0)))))))</f>
        <v>0</v>
      </c>
      <c r="AK15" s="27">
        <f>IF($A15="",0,IF(Mitarbeiter!$G$13=FALSE,0,IF(AND(Mitarbeiter!$E$13&lt;&gt;"",AK$5+6&lt;Mitarbeiter!$E$13),0,IF(AND(Mitarbeiter!$F$13&lt;&gt;"",AK$5&gt;Mitarbeiter!$F$13),0,IF(Planung!AK15="",$C15,IF(ISNUMBER(Planung!AK15),Planung!AK15,IF(UPPER(Planung!AK15)="H",$C15/2,0)))))))</f>
        <v>0</v>
      </c>
      <c r="AL15" s="27">
        <f>IF($A15="",0,IF(Mitarbeiter!$G$13=FALSE,0,IF(AND(Mitarbeiter!$E$13&lt;&gt;"",AL$5+6&lt;Mitarbeiter!$E$13),0,IF(AND(Mitarbeiter!$F$13&lt;&gt;"",AL$5&gt;Mitarbeiter!$F$13),0,IF(Planung!AL15="",$C15,IF(ISNUMBER(Planung!AL15),Planung!AL15,IF(UPPER(Planung!AL15)="H",$C15/2,0)))))))</f>
        <v>0</v>
      </c>
      <c r="AM15" s="27">
        <f>IF($A15="",0,IF(Mitarbeiter!$G$13=FALSE,0,IF(AND(Mitarbeiter!$E$13&lt;&gt;"",AM$5+6&lt;Mitarbeiter!$E$13),0,IF(AND(Mitarbeiter!$F$13&lt;&gt;"",AM$5&gt;Mitarbeiter!$F$13),0,IF(Planung!AM15="",$C15,IF(ISNUMBER(Planung!AM15),Planung!AM15,IF(UPPER(Planung!AM15)="H",$C15/2,0)))))))</f>
        <v>0</v>
      </c>
      <c r="AN15" s="27">
        <f>IF($A15="",0,IF(Mitarbeiter!$G$13=FALSE,0,IF(AND(Mitarbeiter!$E$13&lt;&gt;"",AN$5+6&lt;Mitarbeiter!$E$13),0,IF(AND(Mitarbeiter!$F$13&lt;&gt;"",AN$5&gt;Mitarbeiter!$F$13),0,IF(Planung!AN15="",$C15,IF(ISNUMBER(Planung!AN15),Planung!AN15,IF(UPPER(Planung!AN15)="H",$C15/2,0)))))))</f>
        <v>0</v>
      </c>
      <c r="AO15" s="27">
        <f>IF($A15="",0,IF(Mitarbeiter!$G$13=FALSE,0,IF(AND(Mitarbeiter!$E$13&lt;&gt;"",AO$5+6&lt;Mitarbeiter!$E$13),0,IF(AND(Mitarbeiter!$F$13&lt;&gt;"",AO$5&gt;Mitarbeiter!$F$13),0,IF(Planung!AO15="",$C15,IF(ISNUMBER(Planung!AO15),Planung!AO15,IF(UPPER(Planung!AO15)="H",$C15/2,0)))))))</f>
        <v>0</v>
      </c>
      <c r="AP15" s="27">
        <f>IF($A15="",0,IF(Mitarbeiter!$G$13=FALSE,0,IF(AND(Mitarbeiter!$E$13&lt;&gt;"",AP$5+6&lt;Mitarbeiter!$E$13),0,IF(AND(Mitarbeiter!$F$13&lt;&gt;"",AP$5&gt;Mitarbeiter!$F$13),0,IF(Planung!AP15="",$C15,IF(ISNUMBER(Planung!AP15),Planung!AP15,IF(UPPER(Planung!AP15)="H",$C15/2,0)))))))</f>
        <v>0</v>
      </c>
      <c r="AQ15" s="27">
        <f>IF($A15="",0,IF(Mitarbeiter!$G$13=FALSE,0,IF(AND(Mitarbeiter!$E$13&lt;&gt;"",AQ$5+6&lt;Mitarbeiter!$E$13),0,IF(AND(Mitarbeiter!$F$13&lt;&gt;"",AQ$5&gt;Mitarbeiter!$F$13),0,IF(Planung!AQ15="",$C15,IF(ISNUMBER(Planung!AQ15),Planung!AQ15,IF(UPPER(Planung!AQ15)="H",$C15/2,0)))))))</f>
        <v>0</v>
      </c>
      <c r="AR15" s="27">
        <f>IF($A15="",0,IF(Mitarbeiter!$G$13=FALSE,0,IF(AND(Mitarbeiter!$E$13&lt;&gt;"",AR$5+6&lt;Mitarbeiter!$E$13),0,IF(AND(Mitarbeiter!$F$13&lt;&gt;"",AR$5&gt;Mitarbeiter!$F$13),0,IF(Planung!AR15="",$C15,IF(ISNUMBER(Planung!AR15),Planung!AR15,IF(UPPER(Planung!AR15)="H",$C15/2,0)))))))</f>
        <v>0</v>
      </c>
      <c r="AS15" s="27">
        <f>IF($A15="",0,IF(Mitarbeiter!$G$13=FALSE,0,IF(AND(Mitarbeiter!$E$13&lt;&gt;"",AS$5+6&lt;Mitarbeiter!$E$13),0,IF(AND(Mitarbeiter!$F$13&lt;&gt;"",AS$5&gt;Mitarbeiter!$F$13),0,IF(Planung!AS15="",$C15,IF(ISNUMBER(Planung!AS15),Planung!AS15,IF(UPPER(Planung!AS15)="H",$C15/2,0)))))))</f>
        <v>0</v>
      </c>
      <c r="AT15" s="27">
        <f>IF($A15="",0,IF(Mitarbeiter!$G$13=FALSE,0,IF(AND(Mitarbeiter!$E$13&lt;&gt;"",AT$5+6&lt;Mitarbeiter!$E$13),0,IF(AND(Mitarbeiter!$F$13&lt;&gt;"",AT$5&gt;Mitarbeiter!$F$13),0,IF(Planung!AT15="",$C15,IF(ISNUMBER(Planung!AT15),Planung!AT15,IF(UPPER(Planung!AT15)="H",$C15/2,0)))))))</f>
        <v>0</v>
      </c>
      <c r="AU15" s="27">
        <f>IF($A15="",0,IF(Mitarbeiter!$G$13=FALSE,0,IF(AND(Mitarbeiter!$E$13&lt;&gt;"",AU$5+6&lt;Mitarbeiter!$E$13),0,IF(AND(Mitarbeiter!$F$13&lt;&gt;"",AU$5&gt;Mitarbeiter!$F$13),0,IF(Planung!AU15="",$C15,IF(ISNUMBER(Planung!AU15),Planung!AU15,IF(UPPER(Planung!AU15)="H",$C15/2,0)))))))</f>
        <v>0</v>
      </c>
      <c r="AV15" s="27">
        <f>IF($A15="",0,IF(Mitarbeiter!$G$13=FALSE,0,IF(AND(Mitarbeiter!$E$13&lt;&gt;"",AV$5+6&lt;Mitarbeiter!$E$13),0,IF(AND(Mitarbeiter!$F$13&lt;&gt;"",AV$5&gt;Mitarbeiter!$F$13),0,IF(Planung!AV15="",$C15,IF(ISNUMBER(Planung!AV15),Planung!AV15,IF(UPPER(Planung!AV15)="H",$C15/2,0)))))))</f>
        <v>0</v>
      </c>
      <c r="AW15" s="27">
        <f>IF($A15="",0,IF(Mitarbeiter!$G$13=FALSE,0,IF(AND(Mitarbeiter!$E$13&lt;&gt;"",AW$5+6&lt;Mitarbeiter!$E$13),0,IF(AND(Mitarbeiter!$F$13&lt;&gt;"",AW$5&gt;Mitarbeiter!$F$13),0,IF(Planung!AW15="",$C15,IF(ISNUMBER(Planung!AW15),Planung!AW15,IF(UPPER(Planung!AW15)="H",$C15/2,0)))))))</f>
        <v>0</v>
      </c>
      <c r="AX15" s="27">
        <f>IF($A15="",0,IF(Mitarbeiter!$G$13=FALSE,0,IF(AND(Mitarbeiter!$E$13&lt;&gt;"",AX$5+6&lt;Mitarbeiter!$E$13),0,IF(AND(Mitarbeiter!$F$13&lt;&gt;"",AX$5&gt;Mitarbeiter!$F$13),0,IF(Planung!AX15="",$C15,IF(ISNUMBER(Planung!AX15),Planung!AX15,IF(UPPER(Planung!AX15)="H",$C15/2,0)))))))</f>
        <v>0</v>
      </c>
      <c r="AY15" s="27">
        <f>IF($A15="",0,IF(Mitarbeiter!$G$13=FALSE,0,IF(AND(Mitarbeiter!$E$13&lt;&gt;"",AY$5+6&lt;Mitarbeiter!$E$13),0,IF(AND(Mitarbeiter!$F$13&lt;&gt;"",AY$5&gt;Mitarbeiter!$F$13),0,IF(Planung!AY15="",$C15,IF(ISNUMBER(Planung!AY15),Planung!AY15,IF(UPPER(Planung!AY15)="H",$C15/2,0)))))))</f>
        <v>0</v>
      </c>
      <c r="AZ15" s="27">
        <f>IF($A15="",0,IF(Mitarbeiter!$G$13=FALSE,0,IF(AND(Mitarbeiter!$E$13&lt;&gt;"",AZ$5+6&lt;Mitarbeiter!$E$13),0,IF(AND(Mitarbeiter!$F$13&lt;&gt;"",AZ$5&gt;Mitarbeiter!$F$13),0,IF(Planung!AZ15="",$C15,IF(ISNUMBER(Planung!AZ15),Planung!AZ15,IF(UPPER(Planung!AZ15)="H",$C15/2,0)))))))</f>
        <v>0</v>
      </c>
      <c r="BA15" s="27">
        <f>IF($A15="",0,IF(Mitarbeiter!$G$13=FALSE,0,IF(AND(Mitarbeiter!$E$13&lt;&gt;"",BA$5+6&lt;Mitarbeiter!$E$13),0,IF(AND(Mitarbeiter!$F$13&lt;&gt;"",BA$5&gt;Mitarbeiter!$F$13),0,IF(Planung!BA15="",$C15,IF(ISNUMBER(Planung!BA15),Planung!BA15,IF(UPPER(Planung!BA15)="H",$C15/2,0)))))))</f>
        <v>0</v>
      </c>
      <c r="BB15" s="27">
        <f>IF($A15="",0,IF(Mitarbeiter!$G$13=FALSE,0,IF(AND(Mitarbeiter!$E$13&lt;&gt;"",BB$5+6&lt;Mitarbeiter!$E$13),0,IF(AND(Mitarbeiter!$F$13&lt;&gt;"",BB$5&gt;Mitarbeiter!$F$13),0,IF(Planung!BB15="",$C15,IF(ISNUMBER(Planung!BB15),Planung!BB15,IF(UPPER(Planung!BB15)="H",$C15/2,0)))))))</f>
        <v>0</v>
      </c>
      <c r="BC15" s="27">
        <f>IF($A15="",0,IF(Mitarbeiter!$G$13=FALSE,0,IF(AND(Mitarbeiter!$E$13&lt;&gt;"",BC$5+6&lt;Mitarbeiter!$E$13),0,IF(AND(Mitarbeiter!$F$13&lt;&gt;"",BC$5&gt;Mitarbeiter!$F$13),0,IF(Planung!BC15="",$C15,IF(ISNUMBER(Planung!BC15),Planung!BC15,IF(UPPER(Planung!BC15)="H",$C15/2,0)))))))</f>
        <v>0</v>
      </c>
      <c r="BD15" s="27">
        <f>IF($A15="",0,IF(Mitarbeiter!$G$13=FALSE,0,IF(AND(Mitarbeiter!$E$13&lt;&gt;"",BD$5+6&lt;Mitarbeiter!$E$13),0,IF(AND(Mitarbeiter!$F$13&lt;&gt;"",BD$5&gt;Mitarbeiter!$F$13),0,IF(Planung!BD15="",$C15,IF(ISNUMBER(Planung!BD15),Planung!BD15,IF(UPPER(Planung!BD15)="H",$C15/2,0)))))))</f>
        <v>0</v>
      </c>
      <c r="BE15" s="27">
        <f>IF($A15="",0,IF(Mitarbeiter!$G$13=FALSE,0,IF(AND(Mitarbeiter!$E$13&lt;&gt;"",BE$5+6&lt;Mitarbeiter!$E$13),0,IF(AND(Mitarbeiter!$F$13&lt;&gt;"",BE$5&gt;Mitarbeiter!$F$13),0,IF(Planung!BE15="",$C15,IF(ISNUMBER(Planung!BE15),Planung!BE15,IF(UPPER(Planung!BE15)="H",$C15/2,0)))))))</f>
        <v>0</v>
      </c>
      <c r="BF15" s="27">
        <f>IF($A15="",0,IF(Mitarbeiter!$G$13=FALSE,0,IF(AND(Mitarbeiter!$E$13&lt;&gt;"",BF$5+6&lt;Mitarbeiter!$E$13),0,IF(AND(Mitarbeiter!$F$13&lt;&gt;"",BF$5&gt;Mitarbeiter!$F$13),0,IF(Planung!BF15="",$C15,IF(ISNUMBER(Planung!BF15),Planung!BF15,IF(UPPER(Planung!BF15)="H",$C15/2,0)))))))</f>
        <v>0</v>
      </c>
      <c r="BG15" s="27">
        <f>IF($A15="",0,IF(Mitarbeiter!$G$13=FALSE,0,IF(AND(Mitarbeiter!$E$13&lt;&gt;"",BG$5+6&lt;Mitarbeiter!$E$13),0,IF(AND(Mitarbeiter!$F$13&lt;&gt;"",BG$5&gt;Mitarbeiter!$F$13),0,IF(Planung!BG15="",$C15,IF(ISNUMBER(Planung!BG15),Planung!BG15,IF(UPPER(Planung!BG15)="H",$C15/2,0)))))))</f>
        <v>0</v>
      </c>
      <c r="BH15" s="27">
        <f>IF($A15="",0,IF(Mitarbeiter!$G$13=FALSE,0,IF(AND(Mitarbeiter!$E$13&lt;&gt;"",BH$5+6&lt;Mitarbeiter!$E$13),0,IF(AND(Mitarbeiter!$F$13&lt;&gt;"",BH$5&gt;Mitarbeiter!$F$13),0,IF(Planung!BH15="",$C15,IF(ISNUMBER(Planung!BH15),Planung!BH15,IF(UPPER(Planung!BH15)="H",$C15/2,0)))))))</f>
        <v>0</v>
      </c>
      <c r="BI15" s="27">
        <f>IF($A15="",0,IF(Mitarbeiter!$G$13=FALSE,0,IF(AND(Mitarbeiter!$E$13&lt;&gt;"",BI$5+6&lt;Mitarbeiter!$E$13),0,IF(AND(Mitarbeiter!$F$13&lt;&gt;"",BI$5&gt;Mitarbeiter!$F$13),0,IF(Planung!BI15="",$C15,IF(ISNUMBER(Planung!BI15),Planung!BI15,IF(UPPER(Planung!BI15)="H",$C15/2,0)))))))</f>
        <v>0</v>
      </c>
      <c r="BJ15" s="27">
        <f>IF($A15="",0,IF(Mitarbeiter!$G$13=FALSE,0,IF(AND(Mitarbeiter!$E$13&lt;&gt;"",BJ$5+6&lt;Mitarbeiter!$E$13),0,IF(AND(Mitarbeiter!$F$13&lt;&gt;"",BJ$5&gt;Mitarbeiter!$F$13),0,IF(Planung!BJ15="",$C15,IF(ISNUMBER(Planung!BJ15),Planung!BJ15,IF(UPPER(Planung!BJ15)="H",$C15/2,0)))))))</f>
        <v>0</v>
      </c>
      <c r="BK15" s="27">
        <f>IF($A15="",0,IF(Mitarbeiter!$G$13=FALSE,0,IF(AND(Mitarbeiter!$E$13&lt;&gt;"",BK$5+6&lt;Mitarbeiter!$E$13),0,IF(AND(Mitarbeiter!$F$13&lt;&gt;"",BK$5&gt;Mitarbeiter!$F$13),0,IF(Planung!BK15="",$C15,IF(ISNUMBER(Planung!BK15),Planung!BK15,IF(UPPER(Planung!BK15)="H",$C15/2,0)))))))</f>
        <v>0</v>
      </c>
      <c r="BL15" s="27">
        <f>IF($A15="",0,IF(Mitarbeiter!$G$13=FALSE,0,IF(AND(Mitarbeiter!$E$13&lt;&gt;"",BL$5+6&lt;Mitarbeiter!$E$13),0,IF(AND(Mitarbeiter!$F$13&lt;&gt;"",BL$5&gt;Mitarbeiter!$F$13),0,IF(Planung!BL15="",$C15,IF(ISNUMBER(Planung!BL15),Planung!BL15,IF(UPPER(Planung!BL15)="H",$C15/2,0)))))))</f>
        <v>0</v>
      </c>
      <c r="BM15" s="27">
        <f>IF($A15="",0,IF(Mitarbeiter!$G$13=FALSE,0,IF(AND(Mitarbeiter!$E$13&lt;&gt;"",BM$5+6&lt;Mitarbeiter!$E$13),0,IF(AND(Mitarbeiter!$F$13&lt;&gt;"",BM$5&gt;Mitarbeiter!$F$13),0,IF(Planung!BM15="",$C15,IF(ISNUMBER(Planung!BM15),Planung!BM15,IF(UPPER(Planung!BM15)="H",$C15/2,0)))))))</f>
        <v>0</v>
      </c>
      <c r="BN15" s="27">
        <f>IF($A15="",0,IF(Mitarbeiter!$G$13=FALSE,0,IF(AND(Mitarbeiter!$E$13&lt;&gt;"",BN$5+6&lt;Mitarbeiter!$E$13),0,IF(AND(Mitarbeiter!$F$13&lt;&gt;"",BN$5&gt;Mitarbeiter!$F$13),0,IF(Planung!BN15="",$C15,IF(ISNUMBER(Planung!BN15),Planung!BN15,IF(UPPER(Planung!BN15)="H",$C15/2,0)))))))</f>
        <v>0</v>
      </c>
      <c r="BO15" s="27">
        <f>IF($A15="",0,IF(Mitarbeiter!$G$13=FALSE,0,IF(AND(Mitarbeiter!$E$13&lt;&gt;"",BO$5+6&lt;Mitarbeiter!$E$13),0,IF(AND(Mitarbeiter!$F$13&lt;&gt;"",BO$5&gt;Mitarbeiter!$F$13),0,IF(Planung!BO15="",$C15,IF(ISNUMBER(Planung!BO15),Planung!BO15,IF(UPPER(Planung!BO15)="H",$C15/2,0)))))))</f>
        <v>0</v>
      </c>
      <c r="BP15" s="27">
        <f>IF($A15="",0,IF(Mitarbeiter!$G$13=FALSE,0,IF(AND(Mitarbeiter!$E$13&lt;&gt;"",BP$5+6&lt;Mitarbeiter!$E$13),0,IF(AND(Mitarbeiter!$F$13&lt;&gt;"",BP$5&gt;Mitarbeiter!$F$13),0,IF(Planung!BP15="",$C15,IF(ISNUMBER(Planung!BP15),Planung!BP15,IF(UPPER(Planung!BP15)="H",$C15/2,0)))))))</f>
        <v>0</v>
      </c>
      <c r="BQ15" s="27">
        <f>IF($A15="",0,IF(Mitarbeiter!$G$13=FALSE,0,IF(AND(Mitarbeiter!$E$13&lt;&gt;"",BQ$5+6&lt;Mitarbeiter!$E$13),0,IF(AND(Mitarbeiter!$F$13&lt;&gt;"",BQ$5&gt;Mitarbeiter!$F$13),0,IF(Planung!BQ15="",$C15,IF(ISNUMBER(Planung!BQ15),Planung!BQ15,IF(UPPER(Planung!BQ15)="H",$C15/2,0)))))))</f>
        <v>0</v>
      </c>
      <c r="BR15" s="27">
        <f>IF($A15="",0,IF(Mitarbeiter!$G$13=FALSE,0,IF(AND(Mitarbeiter!$E$13&lt;&gt;"",BR$5+6&lt;Mitarbeiter!$E$13),0,IF(AND(Mitarbeiter!$F$13&lt;&gt;"",BR$5&gt;Mitarbeiter!$F$13),0,IF(Planung!BR15="",$C15,IF(ISNUMBER(Planung!BR15),Planung!BR15,IF(UPPER(Planung!BR15)="H",$C15/2,0)))))))</f>
        <v>0</v>
      </c>
      <c r="BS15" s="27">
        <f>IF($A15="",0,IF(Mitarbeiter!$G$13=FALSE,0,IF(AND(Mitarbeiter!$E$13&lt;&gt;"",BS$5+6&lt;Mitarbeiter!$E$13),0,IF(AND(Mitarbeiter!$F$13&lt;&gt;"",BS$5&gt;Mitarbeiter!$F$13),0,IF(Planung!BS15="",$C15,IF(ISNUMBER(Planung!BS15),Planung!BS15,IF(UPPER(Planung!BS15)="H",$C15/2,0)))))))</f>
        <v>0</v>
      </c>
      <c r="BT15" s="27">
        <f>IF($A15="",0,IF(Mitarbeiter!$G$13=FALSE,0,IF(AND(Mitarbeiter!$E$13&lt;&gt;"",BT$5+6&lt;Mitarbeiter!$E$13),0,IF(AND(Mitarbeiter!$F$13&lt;&gt;"",BT$5&gt;Mitarbeiter!$F$13),0,IF(Planung!BT15="",$C15,IF(ISNUMBER(Planung!BT15),Planung!BT15,IF(UPPER(Planung!BT15)="H",$C15/2,0)))))))</f>
        <v>0</v>
      </c>
      <c r="BU15" s="27">
        <f>IF($A15="",0,IF(Mitarbeiter!$G$13=FALSE,0,IF(AND(Mitarbeiter!$E$13&lt;&gt;"",BU$5+6&lt;Mitarbeiter!$E$13),0,IF(AND(Mitarbeiter!$F$13&lt;&gt;"",BU$5&gt;Mitarbeiter!$F$13),0,IF(Planung!BU15="",$C15,IF(ISNUMBER(Planung!BU15),Planung!BU15,IF(UPPER(Planung!BU15)="H",$C15/2,0)))))))</f>
        <v>0</v>
      </c>
      <c r="BV15" s="27">
        <f>IF($A15="",0,IF(Mitarbeiter!$G$13=FALSE,0,IF(AND(Mitarbeiter!$E$13&lt;&gt;"",BV$5+6&lt;Mitarbeiter!$E$13),0,IF(AND(Mitarbeiter!$F$13&lt;&gt;"",BV$5&gt;Mitarbeiter!$F$13),0,IF(Planung!BV15="",$C15,IF(ISNUMBER(Planung!BV15),Planung!BV15,IF(UPPER(Planung!BV15)="H",$C15/2,0)))))))</f>
        <v>0</v>
      </c>
      <c r="BW15" s="27">
        <f>IF($A15="",0,IF(Mitarbeiter!$G$13=FALSE,0,IF(AND(Mitarbeiter!$E$13&lt;&gt;"",BW$5+6&lt;Mitarbeiter!$E$13),0,IF(AND(Mitarbeiter!$F$13&lt;&gt;"",BW$5&gt;Mitarbeiter!$F$13),0,IF(Planung!BW15="",$C15,IF(ISNUMBER(Planung!BW15),Planung!BW15,IF(UPPER(Planung!BW15)="H",$C15/2,0)))))))</f>
        <v>0</v>
      </c>
      <c r="BX15" s="27">
        <f>IF($A15="",0,IF(Mitarbeiter!$G$13=FALSE,0,IF(AND(Mitarbeiter!$E$13&lt;&gt;"",BX$5+6&lt;Mitarbeiter!$E$13),0,IF(AND(Mitarbeiter!$F$13&lt;&gt;"",BX$5&gt;Mitarbeiter!$F$13),0,IF(Planung!BX15="",$C15,IF(ISNUMBER(Planung!BX15),Planung!BX15,IF(UPPER(Planung!BX15)="H",$C15/2,0)))))))</f>
        <v>0</v>
      </c>
      <c r="BY15" s="27">
        <f>IF($A15="",0,IF(Mitarbeiter!$G$13=FALSE,0,IF(AND(Mitarbeiter!$E$13&lt;&gt;"",BY$5+6&lt;Mitarbeiter!$E$13),0,IF(AND(Mitarbeiter!$F$13&lt;&gt;"",BY$5&gt;Mitarbeiter!$F$13),0,IF(Planung!BY15="",$C15,IF(ISNUMBER(Planung!BY15),Planung!BY15,IF(UPPER(Planung!BY15)="H",$C15/2,0)))))))</f>
        <v>0</v>
      </c>
      <c r="BZ15" s="27">
        <f>IF($A15="",0,IF(Mitarbeiter!$G$13=FALSE,0,IF(AND(Mitarbeiter!$E$13&lt;&gt;"",BZ$5+6&lt;Mitarbeiter!$E$13),0,IF(AND(Mitarbeiter!$F$13&lt;&gt;"",BZ$5&gt;Mitarbeiter!$F$13),0,IF(Planung!BZ15="",$C15,IF(ISNUMBER(Planung!BZ15),Planung!BZ15,IF(UPPER(Planung!BZ15)="H",$C15/2,0)))))))</f>
        <v>0</v>
      </c>
      <c r="CA15" s="27">
        <f>IF($A15="",0,IF(Mitarbeiter!$G$13=FALSE,0,IF(AND(Mitarbeiter!$E$13&lt;&gt;"",CA$5+6&lt;Mitarbeiter!$E$13),0,IF(AND(Mitarbeiter!$F$13&lt;&gt;"",CA$5&gt;Mitarbeiter!$F$13),0,IF(Planung!CA15="",$C15,IF(ISNUMBER(Planung!CA15),Planung!CA15,IF(UPPER(Planung!CA15)="H",$C15/2,0)))))))</f>
        <v>0</v>
      </c>
      <c r="CB15" s="27">
        <f>IF($A15="",0,IF(Mitarbeiter!$G$13=FALSE,0,IF(AND(Mitarbeiter!$E$13&lt;&gt;"",CB$5+6&lt;Mitarbeiter!$E$13),0,IF(AND(Mitarbeiter!$F$13&lt;&gt;"",CB$5&gt;Mitarbeiter!$F$13),0,IF(Planung!CB15="",$C15,IF(ISNUMBER(Planung!CB15),Planung!CB15,IF(UPPER(Planung!CB15)="H",$C15/2,0)))))))</f>
        <v>0</v>
      </c>
      <c r="CC15" s="27">
        <f>IF($A15="",0,IF(Mitarbeiter!$G$13=FALSE,0,IF(AND(Mitarbeiter!$E$13&lt;&gt;"",CC$5+6&lt;Mitarbeiter!$E$13),0,IF(AND(Mitarbeiter!$F$13&lt;&gt;"",CC$5&gt;Mitarbeiter!$F$13),0,IF(Planung!CC15="",$C15,IF(ISNUMBER(Planung!CC15),Planung!CC15,IF(UPPER(Planung!CC15)="H",$C15/2,0)))))))</f>
        <v>0</v>
      </c>
      <c r="CD15" s="27">
        <f>IF($A15="",0,IF(Mitarbeiter!$G$13=FALSE,0,IF(AND(Mitarbeiter!$E$13&lt;&gt;"",CD$5+6&lt;Mitarbeiter!$E$13),0,IF(AND(Mitarbeiter!$F$13&lt;&gt;"",CD$5&gt;Mitarbeiter!$F$13),0,IF(Planung!CD15="",$C15,IF(ISNUMBER(Planung!CD15),Planung!CD15,IF(UPPER(Planung!CD15)="H",$C15/2,0)))))))</f>
        <v>0</v>
      </c>
      <c r="CE15" s="27">
        <f>IF($A15="",0,IF(Mitarbeiter!$G$13=FALSE,0,IF(AND(Mitarbeiter!$E$13&lt;&gt;"",CE$5+6&lt;Mitarbeiter!$E$13),0,IF(AND(Mitarbeiter!$F$13&lt;&gt;"",CE$5&gt;Mitarbeiter!$F$13),0,IF(Planung!CE15="",$C15,IF(ISNUMBER(Planung!CE15),Planung!CE15,IF(UPPER(Planung!CE15)="H",$C15/2,0)))))))</f>
        <v>0</v>
      </c>
      <c r="CF15" s="27">
        <f>IF($A15="",0,IF(Mitarbeiter!$G$13=FALSE,0,IF(AND(Mitarbeiter!$E$13&lt;&gt;"",CF$5+6&lt;Mitarbeiter!$E$13),0,IF(AND(Mitarbeiter!$F$13&lt;&gt;"",CF$5&gt;Mitarbeiter!$F$13),0,IF(Planung!CF15="",$C15,IF(ISNUMBER(Planung!CF15),Planung!CF15,IF(UPPER(Planung!CF15)="H",$C15/2,0)))))))</f>
        <v>0</v>
      </c>
      <c r="CG15" s="27">
        <f>IF($A15="",0,IF(Mitarbeiter!$G$13=FALSE,0,IF(AND(Mitarbeiter!$E$13&lt;&gt;"",CG$5+6&lt;Mitarbeiter!$E$13),0,IF(AND(Mitarbeiter!$F$13&lt;&gt;"",CG$5&gt;Mitarbeiter!$F$13),0,IF(Planung!CG15="",$C15,IF(ISNUMBER(Planung!CG15),Planung!CG15,IF(UPPER(Planung!CG15)="H",$C15/2,0)))))))</f>
        <v>0</v>
      </c>
      <c r="CH15" s="27">
        <f>IF($A15="",0,IF(Mitarbeiter!$G$13=FALSE,0,IF(AND(Mitarbeiter!$E$13&lt;&gt;"",CH$5+6&lt;Mitarbeiter!$E$13),0,IF(AND(Mitarbeiter!$F$13&lt;&gt;"",CH$5&gt;Mitarbeiter!$F$13),0,IF(Planung!CH15="",$C15,IF(ISNUMBER(Planung!CH15),Planung!CH15,IF(UPPER(Planung!CH15)="H",$C15/2,0)))))))</f>
        <v>0</v>
      </c>
      <c r="CI15" s="27">
        <f>IF($A15="",0,IF(Mitarbeiter!$G$13=FALSE,0,IF(AND(Mitarbeiter!$E$13&lt;&gt;"",CI$5+6&lt;Mitarbeiter!$E$13),0,IF(AND(Mitarbeiter!$F$13&lt;&gt;"",CI$5&gt;Mitarbeiter!$F$13),0,IF(Planung!CI15="",$C15,IF(ISNUMBER(Planung!CI15),Planung!CI15,IF(UPPER(Planung!CI15)="H",$C15/2,0)))))))</f>
        <v>0</v>
      </c>
      <c r="CJ15" s="27">
        <f>IF($A15="",0,IF(Mitarbeiter!$G$13=FALSE,0,IF(AND(Mitarbeiter!$E$13&lt;&gt;"",CJ$5+6&lt;Mitarbeiter!$E$13),0,IF(AND(Mitarbeiter!$F$13&lt;&gt;"",CJ$5&gt;Mitarbeiter!$F$13),0,IF(Planung!CJ15="",$C15,IF(ISNUMBER(Planung!CJ15),Planung!CJ15,IF(UPPER(Planung!CJ15)="H",$C15/2,0)))))))</f>
        <v>0</v>
      </c>
      <c r="CK15" s="27">
        <f>IF($A15="",0,IF(Mitarbeiter!$G$13=FALSE,0,IF(AND(Mitarbeiter!$E$13&lt;&gt;"",CK$5+6&lt;Mitarbeiter!$E$13),0,IF(AND(Mitarbeiter!$F$13&lt;&gt;"",CK$5&gt;Mitarbeiter!$F$13),0,IF(Planung!CK15="",$C15,IF(ISNUMBER(Planung!CK15),Planung!CK15,IF(UPPER(Planung!CK15)="H",$C15/2,0)))))))</f>
        <v>0</v>
      </c>
      <c r="CL15" s="27">
        <f>IF($A15="",0,IF(Mitarbeiter!$G$13=FALSE,0,IF(AND(Mitarbeiter!$E$13&lt;&gt;"",CL$5+6&lt;Mitarbeiter!$E$13),0,IF(AND(Mitarbeiter!$F$13&lt;&gt;"",CL$5&gt;Mitarbeiter!$F$13),0,IF(Planung!CL15="",$C15,IF(ISNUMBER(Planung!CL15),Planung!CL15,IF(UPPER(Planung!CL15)="H",$C15/2,0)))))))</f>
        <v>0</v>
      </c>
      <c r="CM15" s="27">
        <f>IF($A15="",0,IF(Mitarbeiter!$G$13=FALSE,0,IF(AND(Mitarbeiter!$E$13&lt;&gt;"",CM$5+6&lt;Mitarbeiter!$E$13),0,IF(AND(Mitarbeiter!$F$13&lt;&gt;"",CM$5&gt;Mitarbeiter!$F$13),0,IF(Planung!CM15="",$C15,IF(ISNUMBER(Planung!CM15),Planung!CM15,IF(UPPER(Planung!CM15)="H",$C15/2,0)))))))</f>
        <v>0</v>
      </c>
      <c r="CN15" s="27">
        <f>IF($A15="",0,IF(Mitarbeiter!$G$13=FALSE,0,IF(AND(Mitarbeiter!$E$13&lt;&gt;"",CN$5+6&lt;Mitarbeiter!$E$13),0,IF(AND(Mitarbeiter!$F$13&lt;&gt;"",CN$5&gt;Mitarbeiter!$F$13),0,IF(Planung!CN15="",$C15,IF(ISNUMBER(Planung!CN15),Planung!CN15,IF(UPPER(Planung!CN15)="H",$C15/2,0)))))))</f>
        <v>0</v>
      </c>
      <c r="CO15" s="27">
        <f>IF($A15="",0,IF(Mitarbeiter!$G$13=FALSE,0,IF(AND(Mitarbeiter!$E$13&lt;&gt;"",CO$5+6&lt;Mitarbeiter!$E$13),0,IF(AND(Mitarbeiter!$F$13&lt;&gt;"",CO$5&gt;Mitarbeiter!$F$13),0,IF(Planung!CO15="",$C15,IF(ISNUMBER(Planung!CO15),Planung!CO15,IF(UPPER(Planung!CO15)="H",$C15/2,0)))))))</f>
        <v>0</v>
      </c>
      <c r="CP15" s="27">
        <f>IF($A15="",0,IF(Mitarbeiter!$G$13=FALSE,0,IF(AND(Mitarbeiter!$E$13&lt;&gt;"",CP$5+6&lt;Mitarbeiter!$E$13),0,IF(AND(Mitarbeiter!$F$13&lt;&gt;"",CP$5&gt;Mitarbeiter!$F$13),0,IF(Planung!CP15="",$C15,IF(ISNUMBER(Planung!CP15),Planung!CP15,IF(UPPER(Planung!CP15)="H",$C15/2,0)))))))</f>
        <v>0</v>
      </c>
      <c r="CQ15" s="27">
        <f>IF($A15="",0,IF(Mitarbeiter!$G$13=FALSE,0,IF(AND(Mitarbeiter!$E$13&lt;&gt;"",CQ$5+6&lt;Mitarbeiter!$E$13),0,IF(AND(Mitarbeiter!$F$13&lt;&gt;"",CQ$5&gt;Mitarbeiter!$F$13),0,IF(Planung!CQ15="",$C15,IF(ISNUMBER(Planung!CQ15),Planung!CQ15,IF(UPPER(Planung!CQ15)="H",$C15/2,0)))))))</f>
        <v>0</v>
      </c>
      <c r="CR15" s="27">
        <f>IF($A15="",0,IF(Mitarbeiter!$G$13=FALSE,0,IF(AND(Mitarbeiter!$E$13&lt;&gt;"",CR$5+6&lt;Mitarbeiter!$E$13),0,IF(AND(Mitarbeiter!$F$13&lt;&gt;"",CR$5&gt;Mitarbeiter!$F$13),0,IF(Planung!CR15="",$C15,IF(ISNUMBER(Planung!CR15),Planung!CR15,IF(UPPER(Planung!CR15)="H",$C15/2,0)))))))</f>
        <v>0</v>
      </c>
      <c r="CS15" s="27">
        <f>IF($A15="",0,IF(Mitarbeiter!$G$13=FALSE,0,IF(AND(Mitarbeiter!$E$13&lt;&gt;"",CS$5+6&lt;Mitarbeiter!$E$13),0,IF(AND(Mitarbeiter!$F$13&lt;&gt;"",CS$5&gt;Mitarbeiter!$F$13),0,IF(Planung!CS15="",$C15,IF(ISNUMBER(Planung!CS15),Planung!CS15,IF(UPPER(Planung!CS15)="H",$C15/2,0)))))))</f>
        <v>0</v>
      </c>
      <c r="CT15" s="27">
        <f>IF($A15="",0,IF(Mitarbeiter!$G$13=FALSE,0,IF(AND(Mitarbeiter!$E$13&lt;&gt;"",CT$5+6&lt;Mitarbeiter!$E$13),0,IF(AND(Mitarbeiter!$F$13&lt;&gt;"",CT$5&gt;Mitarbeiter!$F$13),0,IF(Planung!CT15="",$C15,IF(ISNUMBER(Planung!CT15),Planung!CT15,IF(UPPER(Planung!CT15)="H",$C15/2,0)))))))</f>
        <v>0</v>
      </c>
      <c r="CU15" s="27">
        <f>IF($A15="",0,IF(Mitarbeiter!$G$13=FALSE,0,IF(AND(Mitarbeiter!$E$13&lt;&gt;"",CU$5+6&lt;Mitarbeiter!$E$13),0,IF(AND(Mitarbeiter!$F$13&lt;&gt;"",CU$5&gt;Mitarbeiter!$F$13),0,IF(Planung!CU15="",$C15,IF(ISNUMBER(Planung!CU15),Planung!CU15,IF(UPPER(Planung!CU15)="H",$C15/2,0)))))))</f>
        <v>0</v>
      </c>
      <c r="CV15" s="27">
        <f>IF($A15="",0,IF(Mitarbeiter!$G$13=FALSE,0,IF(AND(Mitarbeiter!$E$13&lt;&gt;"",CV$5+6&lt;Mitarbeiter!$E$13),0,IF(AND(Mitarbeiter!$F$13&lt;&gt;"",CV$5&gt;Mitarbeiter!$F$13),0,IF(Planung!CV15="",$C15,IF(ISNUMBER(Planung!CV15),Planung!CV15,IF(UPPER(Planung!CV15)="H",$C15/2,0)))))))</f>
        <v>0</v>
      </c>
      <c r="CW15" s="27">
        <f>IF($A15="",0,IF(Mitarbeiter!$G$13=FALSE,0,IF(AND(Mitarbeiter!$E$13&lt;&gt;"",CW$5+6&lt;Mitarbeiter!$E$13),0,IF(AND(Mitarbeiter!$F$13&lt;&gt;"",CW$5&gt;Mitarbeiter!$F$13),0,IF(Planung!CW15="",$C15,IF(ISNUMBER(Planung!CW15),Planung!CW15,IF(UPPER(Planung!CW15)="H",$C15/2,0)))))))</f>
        <v>0</v>
      </c>
      <c r="CX15" s="27">
        <f>IF($A15="",0,IF(Mitarbeiter!$G$13=FALSE,0,IF(AND(Mitarbeiter!$E$13&lt;&gt;"",CX$5+6&lt;Mitarbeiter!$E$13),0,IF(AND(Mitarbeiter!$F$13&lt;&gt;"",CX$5&gt;Mitarbeiter!$F$13),0,IF(Planung!CX15="",$C15,IF(ISNUMBER(Planung!CX15),Planung!CX15,IF(UPPER(Planung!CX15)="H",$C15/2,0)))))))</f>
        <v>0</v>
      </c>
      <c r="CY15" s="27">
        <f>IF($A15="",0,IF(Mitarbeiter!$G$13=FALSE,0,IF(AND(Mitarbeiter!$E$13&lt;&gt;"",CY$5+6&lt;Mitarbeiter!$E$13),0,IF(AND(Mitarbeiter!$F$13&lt;&gt;"",CY$5&gt;Mitarbeiter!$F$13),0,IF(Planung!CY15="",$C15,IF(ISNUMBER(Planung!CY15),Planung!CY15,IF(UPPER(Planung!CY15)="H",$C15/2,0)))))))</f>
        <v>0</v>
      </c>
      <c r="CZ15" s="27">
        <f>IF($A15="",0,IF(Mitarbeiter!$G$13=FALSE,0,IF(AND(Mitarbeiter!$E$13&lt;&gt;"",CZ$5+6&lt;Mitarbeiter!$E$13),0,IF(AND(Mitarbeiter!$F$13&lt;&gt;"",CZ$5&gt;Mitarbeiter!$F$13),0,IF(Planung!CZ15="",$C15,IF(ISNUMBER(Planung!CZ15),Planung!CZ15,IF(UPPER(Planung!CZ15)="H",$C15/2,0)))))))</f>
        <v>0</v>
      </c>
      <c r="DA15" s="27">
        <f>IF($A15="",0,IF(Mitarbeiter!$G$13=FALSE,0,IF(AND(Mitarbeiter!$E$13&lt;&gt;"",DA$5+6&lt;Mitarbeiter!$E$13),0,IF(AND(Mitarbeiter!$F$13&lt;&gt;"",DA$5&gt;Mitarbeiter!$F$13),0,IF(Planung!DA15="",$C15,IF(ISNUMBER(Planung!DA15),Planung!DA15,IF(UPPER(Planung!DA15)="H",$C15/2,0)))))))</f>
        <v>0</v>
      </c>
      <c r="DB15" s="27">
        <f>IF($A15="",0,IF(Mitarbeiter!$G$13=FALSE,0,IF(AND(Mitarbeiter!$E$13&lt;&gt;"",DB$5+6&lt;Mitarbeiter!$E$13),0,IF(AND(Mitarbeiter!$F$13&lt;&gt;"",DB$5&gt;Mitarbeiter!$F$13),0,IF(Planung!DB15="",$C15,IF(ISNUMBER(Planung!DB15),Planung!DB15,IF(UPPER(Planung!DB15)="H",$C15/2,0)))))))</f>
        <v>0</v>
      </c>
      <c r="DC15" s="27">
        <f>IF($A15="",0,IF(Mitarbeiter!$G$13=FALSE,0,IF(AND(Mitarbeiter!$E$13&lt;&gt;"",DC$5+6&lt;Mitarbeiter!$E$13),0,IF(AND(Mitarbeiter!$F$13&lt;&gt;"",DC$5&gt;Mitarbeiter!$F$13),0,IF(Planung!DC15="",$C15,IF(ISNUMBER(Planung!DC15),Planung!DC15,IF(UPPER(Planung!DC15)="H",$C15/2,0)))))))</f>
        <v>0</v>
      </c>
      <c r="DD15" s="27">
        <f>IF($A15="",0,IF(Mitarbeiter!$G$13=FALSE,0,IF(AND(Mitarbeiter!$E$13&lt;&gt;"",DD$5+6&lt;Mitarbeiter!$E$13),0,IF(AND(Mitarbeiter!$F$13&lt;&gt;"",DD$5&gt;Mitarbeiter!$F$13),0,IF(Planung!DD15="",$C15,IF(ISNUMBER(Planung!DD15),Planung!DD15,IF(UPPER(Planung!DD15)="H",$C15/2,0)))))))</f>
        <v>0</v>
      </c>
      <c r="DE15" s="27">
        <f>IF($A15="",0,IF(Mitarbeiter!$G$13=FALSE,0,IF(AND(Mitarbeiter!$E$13&lt;&gt;"",DE$5+6&lt;Mitarbeiter!$E$13),0,IF(AND(Mitarbeiter!$F$13&lt;&gt;"",DE$5&gt;Mitarbeiter!$F$13),0,IF(Planung!DE15="",$C15,IF(ISNUMBER(Planung!DE15),Planung!DE15,IF(UPPER(Planung!DE15)="H",$C15/2,0)))))))</f>
        <v>0</v>
      </c>
      <c r="DF15" s="27">
        <f>IF($A15="",0,IF(Mitarbeiter!$G$13=FALSE,0,IF(AND(Mitarbeiter!$E$13&lt;&gt;"",DF$5+6&lt;Mitarbeiter!$E$13),0,IF(AND(Mitarbeiter!$F$13&lt;&gt;"",DF$5&gt;Mitarbeiter!$F$13),0,IF(Planung!DF15="",$C15,IF(ISNUMBER(Planung!DF15),Planung!DF15,IF(UPPER(Planung!DF15)="H",$C15/2,0)))))))</f>
        <v>0</v>
      </c>
      <c r="DG15" s="27">
        <f>IF($A15="",0,IF(Mitarbeiter!$G$13=FALSE,0,IF(AND(Mitarbeiter!$E$13&lt;&gt;"",DG$5+6&lt;Mitarbeiter!$E$13),0,IF(AND(Mitarbeiter!$F$13&lt;&gt;"",DG$5&gt;Mitarbeiter!$F$13),0,IF(Planung!DG15="",$C15,IF(ISNUMBER(Planung!DG15),Planung!DG15,IF(UPPER(Planung!DG15)="H",$C15/2,0)))))))</f>
        <v>0</v>
      </c>
      <c r="DH15" s="27">
        <f>IF($A15="",0,IF(Mitarbeiter!$G$13=FALSE,0,IF(AND(Mitarbeiter!$E$13&lt;&gt;"",DH$5+6&lt;Mitarbeiter!$E$13),0,IF(AND(Mitarbeiter!$F$13&lt;&gt;"",DH$5&gt;Mitarbeiter!$F$13),0,IF(Planung!DH15="",$C15,IF(ISNUMBER(Planung!DH15),Planung!DH15,IF(UPPER(Planung!DH15)="H",$C15/2,0)))))))</f>
        <v>0</v>
      </c>
      <c r="DI15" s="27">
        <f>IF($A15="",0,IF(Mitarbeiter!$G$13=FALSE,0,IF(AND(Mitarbeiter!$E$13&lt;&gt;"",DI$5+6&lt;Mitarbeiter!$E$13),0,IF(AND(Mitarbeiter!$F$13&lt;&gt;"",DI$5&gt;Mitarbeiter!$F$13),0,IF(Planung!DI15="",$C15,IF(ISNUMBER(Planung!DI15),Planung!DI15,IF(UPPER(Planung!DI15)="H",$C15/2,0)))))))</f>
        <v>0</v>
      </c>
      <c r="DJ15" s="27">
        <f>IF($A15="",0,IF(Mitarbeiter!$G$13=FALSE,0,IF(AND(Mitarbeiter!$E$13&lt;&gt;"",DJ$5+6&lt;Mitarbeiter!$E$13),0,IF(AND(Mitarbeiter!$F$13&lt;&gt;"",DJ$5&gt;Mitarbeiter!$F$13),0,IF(Planung!DJ15="",$C15,IF(ISNUMBER(Planung!DJ15),Planung!DJ15,IF(UPPER(Planung!DJ15)="H",$C15/2,0)))))))</f>
        <v>0</v>
      </c>
      <c r="DK15" s="27">
        <f>IF($A15="",0,IF(Mitarbeiter!$G$13=FALSE,0,IF(AND(Mitarbeiter!$E$13&lt;&gt;"",DK$5+6&lt;Mitarbeiter!$E$13),0,IF(AND(Mitarbeiter!$F$13&lt;&gt;"",DK$5&gt;Mitarbeiter!$F$13),0,IF(Planung!DK15="",$C15,IF(ISNUMBER(Planung!DK15),Planung!DK15,IF(UPPER(Planung!DK15)="H",$C15/2,0)))))))</f>
        <v>0</v>
      </c>
      <c r="DL15" s="27">
        <f>IF($A15="",0,IF(Mitarbeiter!$G$13=FALSE,0,IF(AND(Mitarbeiter!$E$13&lt;&gt;"",DL$5+6&lt;Mitarbeiter!$E$13),0,IF(AND(Mitarbeiter!$F$13&lt;&gt;"",DL$5&gt;Mitarbeiter!$F$13),0,IF(Planung!DL15="",$C15,IF(ISNUMBER(Planung!DL15),Planung!DL15,IF(UPPER(Planung!DL15)="H",$C15/2,0)))))))</f>
        <v>0</v>
      </c>
      <c r="DM15" s="27">
        <f>IF($A15="",0,IF(Mitarbeiter!$G$13=FALSE,0,IF(AND(Mitarbeiter!$E$13&lt;&gt;"",DM$5+6&lt;Mitarbeiter!$E$13),0,IF(AND(Mitarbeiter!$F$13&lt;&gt;"",DM$5&gt;Mitarbeiter!$F$13),0,IF(Planung!DM15="",$C15,IF(ISNUMBER(Planung!DM15),Planung!DM15,IF(UPPER(Planung!DM15)="H",$C15/2,0)))))))</f>
        <v>0</v>
      </c>
      <c r="DN15" s="27">
        <f>IF($A15="",0,IF(Mitarbeiter!$G$13=FALSE,0,IF(AND(Mitarbeiter!$E$13&lt;&gt;"",DN$5+6&lt;Mitarbeiter!$E$13),0,IF(AND(Mitarbeiter!$F$13&lt;&gt;"",DN$5&gt;Mitarbeiter!$F$13),0,IF(Planung!DN15="",$C15,IF(ISNUMBER(Planung!DN15),Planung!DN15,IF(UPPER(Planung!DN15)="H",$C15/2,0)))))))</f>
        <v>0</v>
      </c>
      <c r="DO15" s="27">
        <f>IF($A15="",0,IF(Mitarbeiter!$G$13=FALSE,0,IF(AND(Mitarbeiter!$E$13&lt;&gt;"",DO$5+6&lt;Mitarbeiter!$E$13),0,IF(AND(Mitarbeiter!$F$13&lt;&gt;"",DO$5&gt;Mitarbeiter!$F$13),0,IF(Planung!DO15="",$C15,IF(ISNUMBER(Planung!DO15),Planung!DO15,IF(UPPER(Planung!DO15)="H",$C15/2,0)))))))</f>
        <v>0</v>
      </c>
      <c r="DP15" s="27">
        <f>IF($A15="",0,IF(Mitarbeiter!$G$13=FALSE,0,IF(AND(Mitarbeiter!$E$13&lt;&gt;"",DP$5+6&lt;Mitarbeiter!$E$13),0,IF(AND(Mitarbeiter!$F$13&lt;&gt;"",DP$5&gt;Mitarbeiter!$F$13),0,IF(Planung!DP15="",$C15,IF(ISNUMBER(Planung!DP15),Planung!DP15,IF(UPPER(Planung!DP15)="H",$C15/2,0)))))))</f>
        <v>0</v>
      </c>
      <c r="DQ15" s="27">
        <f>IF($A15="",0,IF(Mitarbeiter!$G$13=FALSE,0,IF(AND(Mitarbeiter!$E$13&lt;&gt;"",DQ$5+6&lt;Mitarbeiter!$E$13),0,IF(AND(Mitarbeiter!$F$13&lt;&gt;"",DQ$5&gt;Mitarbeiter!$F$13),0,IF(Planung!DQ15="",$C15,IF(ISNUMBER(Planung!DQ15),Planung!DQ15,IF(UPPER(Planung!DQ15)="H",$C15/2,0)))))))</f>
        <v>0</v>
      </c>
      <c r="DR15" s="27">
        <f>IF($A15="",0,IF(Mitarbeiter!$G$13=FALSE,0,IF(AND(Mitarbeiter!$E$13&lt;&gt;"",DR$5+6&lt;Mitarbeiter!$E$13),0,IF(AND(Mitarbeiter!$F$13&lt;&gt;"",DR$5&gt;Mitarbeiter!$F$13),0,IF(Planung!DR15="",$C15,IF(ISNUMBER(Planung!DR15),Planung!DR15,IF(UPPER(Planung!DR15)="H",$C15/2,0)))))))</f>
        <v>0</v>
      </c>
      <c r="DS15" s="27">
        <f>IF($A15="",0,IF(Mitarbeiter!$G$13=FALSE,0,IF(AND(Mitarbeiter!$E$13&lt;&gt;"",DS$5+6&lt;Mitarbeiter!$E$13),0,IF(AND(Mitarbeiter!$F$13&lt;&gt;"",DS$5&gt;Mitarbeiter!$F$13),0,IF(Planung!DS15="",$C15,IF(ISNUMBER(Planung!DS15),Planung!DS15,IF(UPPER(Planung!DS15)="H",$C15/2,0)))))))</f>
        <v>0</v>
      </c>
      <c r="DT15" s="27">
        <f>IF($A15="",0,IF(Mitarbeiter!$G$13=FALSE,0,IF(AND(Mitarbeiter!$E$13&lt;&gt;"",DT$5+6&lt;Mitarbeiter!$E$13),0,IF(AND(Mitarbeiter!$F$13&lt;&gt;"",DT$5&gt;Mitarbeiter!$F$13),0,IF(Planung!DT15="",$C15,IF(ISNUMBER(Planung!DT15),Planung!DT15,IF(UPPER(Planung!DT15)="H",$C15/2,0)))))))</f>
        <v>0</v>
      </c>
      <c r="DU15" s="27">
        <f>IF($A15="",0,IF(Mitarbeiter!$G$13=FALSE,0,IF(AND(Mitarbeiter!$E$13&lt;&gt;"",DU$5+6&lt;Mitarbeiter!$E$13),0,IF(AND(Mitarbeiter!$F$13&lt;&gt;"",DU$5&gt;Mitarbeiter!$F$13),0,IF(Planung!DU15="",$C15,IF(ISNUMBER(Planung!DU15),Planung!DU15,IF(UPPER(Planung!DU15)="H",$C15/2,0)))))))</f>
        <v>0</v>
      </c>
      <c r="DV15" s="27">
        <f>IF($A15="",0,IF(Mitarbeiter!$G$13=FALSE,0,IF(AND(Mitarbeiter!$E$13&lt;&gt;"",DV$5+6&lt;Mitarbeiter!$E$13),0,IF(AND(Mitarbeiter!$F$13&lt;&gt;"",DV$5&gt;Mitarbeiter!$F$13),0,IF(Planung!DV15="",$C15,IF(ISNUMBER(Planung!DV15),Planung!DV15,IF(UPPER(Planung!DV15)="H",$C15/2,0)))))))</f>
        <v>0</v>
      </c>
      <c r="DW15" s="27">
        <f>IF($A15="",0,IF(Mitarbeiter!$G$13=FALSE,0,IF(AND(Mitarbeiter!$E$13&lt;&gt;"",DW$5+6&lt;Mitarbeiter!$E$13),0,IF(AND(Mitarbeiter!$F$13&lt;&gt;"",DW$5&gt;Mitarbeiter!$F$13),0,IF(Planung!DW15="",$C15,IF(ISNUMBER(Planung!DW15),Planung!DW15,IF(UPPER(Planung!DW15)="H",$C15/2,0)))))))</f>
        <v>0</v>
      </c>
      <c r="DX15" s="27">
        <f>IF($A15="",0,IF(Mitarbeiter!$G$13=FALSE,0,IF(AND(Mitarbeiter!$E$13&lt;&gt;"",DX$5+6&lt;Mitarbeiter!$E$13),0,IF(AND(Mitarbeiter!$F$13&lt;&gt;"",DX$5&gt;Mitarbeiter!$F$13),0,IF(Planung!DX15="",$C15,IF(ISNUMBER(Planung!DX15),Planung!DX15,IF(UPPER(Planung!DX15)="H",$C15/2,0)))))))</f>
        <v>0</v>
      </c>
      <c r="DY15" s="27">
        <f>IF($A15="",0,IF(Mitarbeiter!$G$13=FALSE,0,IF(AND(Mitarbeiter!$E$13&lt;&gt;"",DY$5+6&lt;Mitarbeiter!$E$13),0,IF(AND(Mitarbeiter!$F$13&lt;&gt;"",DY$5&gt;Mitarbeiter!$F$13),0,IF(Planung!DY15="",$C15,IF(ISNUMBER(Planung!DY15),Planung!DY15,IF(UPPER(Planung!DY15)="H",$C15/2,0)))))))</f>
        <v>0</v>
      </c>
      <c r="DZ15" s="27">
        <f>IF($A15="",0,IF(Mitarbeiter!$G$13=FALSE,0,IF(AND(Mitarbeiter!$E$13&lt;&gt;"",DZ$5+6&lt;Mitarbeiter!$E$13),0,IF(AND(Mitarbeiter!$F$13&lt;&gt;"",DZ$5&gt;Mitarbeiter!$F$13),0,IF(Planung!DZ15="",$C15,IF(ISNUMBER(Planung!DZ15),Planung!DZ15,IF(UPPER(Planung!DZ15)="H",$C15/2,0)))))))</f>
        <v>0</v>
      </c>
      <c r="EA15" s="27">
        <f>IF($A15="",0,IF(Mitarbeiter!$G$13=FALSE,0,IF(AND(Mitarbeiter!$E$13&lt;&gt;"",EA$5+6&lt;Mitarbeiter!$E$13),0,IF(AND(Mitarbeiter!$F$13&lt;&gt;"",EA$5&gt;Mitarbeiter!$F$13),0,IF(Planung!EA15="",$C15,IF(ISNUMBER(Planung!EA15),Planung!EA15,IF(UPPER(Planung!EA15)="H",$C15/2,0)))))))</f>
        <v>0</v>
      </c>
      <c r="EB15" s="27">
        <f>IF($A15="",0,IF(Mitarbeiter!$G$13=FALSE,0,IF(AND(Mitarbeiter!$E$13&lt;&gt;"",EB$5+6&lt;Mitarbeiter!$E$13),0,IF(AND(Mitarbeiter!$F$13&lt;&gt;"",EB$5&gt;Mitarbeiter!$F$13),0,IF(Planung!EB15="",$C15,IF(ISNUMBER(Planung!EB15),Planung!EB15,IF(UPPER(Planung!EB15)="H",$C15/2,0)))))))</f>
        <v>0</v>
      </c>
      <c r="EC15" s="27">
        <f>IF($A15="",0,IF(Mitarbeiter!$G$13=FALSE,0,IF(AND(Mitarbeiter!$E$13&lt;&gt;"",EC$5+6&lt;Mitarbeiter!$E$13),0,IF(AND(Mitarbeiter!$F$13&lt;&gt;"",EC$5&gt;Mitarbeiter!$F$13),0,IF(Planung!EC15="",$C15,IF(ISNUMBER(Planung!EC15),Planung!EC15,IF(UPPER(Planung!EC15)="H",$C15/2,0)))))))</f>
        <v>0</v>
      </c>
      <c r="ED15" s="27">
        <f>IF($A15="",0,IF(Mitarbeiter!$G$13=FALSE,0,IF(AND(Mitarbeiter!$E$13&lt;&gt;"",ED$5+6&lt;Mitarbeiter!$E$13),0,IF(AND(Mitarbeiter!$F$13&lt;&gt;"",ED$5&gt;Mitarbeiter!$F$13),0,IF(Planung!ED15="",$C15,IF(ISNUMBER(Planung!ED15),Planung!ED15,IF(UPPER(Planung!ED15)="H",$C15/2,0)))))))</f>
        <v>0</v>
      </c>
      <c r="EE15" s="27">
        <f>IF($A15="",0,IF(Mitarbeiter!$G$13=FALSE,0,IF(AND(Mitarbeiter!$E$13&lt;&gt;"",EE$5+6&lt;Mitarbeiter!$E$13),0,IF(AND(Mitarbeiter!$F$13&lt;&gt;"",EE$5&gt;Mitarbeiter!$F$13),0,IF(Planung!EE15="",$C15,IF(ISNUMBER(Planung!EE15),Planung!EE15,IF(UPPER(Planung!EE15)="H",$C15/2,0)))))))</f>
        <v>0</v>
      </c>
      <c r="EF15" s="27">
        <f>IF($A15="",0,IF(Mitarbeiter!$G$13=FALSE,0,IF(AND(Mitarbeiter!$E$13&lt;&gt;"",EF$5+6&lt;Mitarbeiter!$E$13),0,IF(AND(Mitarbeiter!$F$13&lt;&gt;"",EF$5&gt;Mitarbeiter!$F$13),0,IF(Planung!EF15="",$C15,IF(ISNUMBER(Planung!EF15),Planung!EF15,IF(UPPER(Planung!EF15)="H",$C15/2,0)))))))</f>
        <v>0</v>
      </c>
      <c r="EG15" s="27">
        <f>IF($A15="",0,IF(Mitarbeiter!$G$13=FALSE,0,IF(AND(Mitarbeiter!$E$13&lt;&gt;"",EG$5+6&lt;Mitarbeiter!$E$13),0,IF(AND(Mitarbeiter!$F$13&lt;&gt;"",EG$5&gt;Mitarbeiter!$F$13),0,IF(Planung!EG15="",$C15,IF(ISNUMBER(Planung!EG15),Planung!EG15,IF(UPPER(Planung!EG15)="H",$C15/2,0)))))))</f>
        <v>0</v>
      </c>
      <c r="EH15" s="27">
        <f>IF($A15="",0,IF(Mitarbeiter!$G$13=FALSE,0,IF(AND(Mitarbeiter!$E$13&lt;&gt;"",EH$5+6&lt;Mitarbeiter!$E$13),0,IF(AND(Mitarbeiter!$F$13&lt;&gt;"",EH$5&gt;Mitarbeiter!$F$13),0,IF(Planung!EH15="",$C15,IF(ISNUMBER(Planung!EH15),Planung!EH15,IF(UPPER(Planung!EH15)="H",$C15/2,0)))))))</f>
        <v>0</v>
      </c>
      <c r="EI15" s="27">
        <f>IF($A15="",0,IF(Mitarbeiter!$G$13=FALSE,0,IF(AND(Mitarbeiter!$E$13&lt;&gt;"",EI$5+6&lt;Mitarbeiter!$E$13),0,IF(AND(Mitarbeiter!$F$13&lt;&gt;"",EI$5&gt;Mitarbeiter!$F$13),0,IF(Planung!EI15="",$C15,IF(ISNUMBER(Planung!EI15),Planung!EI15,IF(UPPER(Planung!EI15)="H",$C15/2,0)))))))</f>
        <v>0</v>
      </c>
      <c r="EJ15" s="27">
        <f>IF($A15="",0,IF(Mitarbeiter!$G$13=FALSE,0,IF(AND(Mitarbeiter!$E$13&lt;&gt;"",EJ$5+6&lt;Mitarbeiter!$E$13),0,IF(AND(Mitarbeiter!$F$13&lt;&gt;"",EJ$5&gt;Mitarbeiter!$F$13),0,IF(Planung!EJ15="",$C15,IF(ISNUMBER(Planung!EJ15),Planung!EJ15,IF(UPPER(Planung!EJ15)="H",$C15/2,0)))))))</f>
        <v>0</v>
      </c>
      <c r="EK15" s="27">
        <f>IF($A15="",0,IF(Mitarbeiter!$G$13=FALSE,0,IF(AND(Mitarbeiter!$E$13&lt;&gt;"",EK$5+6&lt;Mitarbeiter!$E$13),0,IF(AND(Mitarbeiter!$F$13&lt;&gt;"",EK$5&gt;Mitarbeiter!$F$13),0,IF(Planung!EK15="",$C15,IF(ISNUMBER(Planung!EK15),Planung!EK15,IF(UPPER(Planung!EK15)="H",$C15/2,0)))))))</f>
        <v>0</v>
      </c>
      <c r="EL15" s="27">
        <f>IF($A15="",0,IF(Mitarbeiter!$G$13=FALSE,0,IF(AND(Mitarbeiter!$E$13&lt;&gt;"",EL$5+6&lt;Mitarbeiter!$E$13),0,IF(AND(Mitarbeiter!$F$13&lt;&gt;"",EL$5&gt;Mitarbeiter!$F$13),0,IF(Planung!EL15="",$C15,IF(ISNUMBER(Planung!EL15),Planung!EL15,IF(UPPER(Planung!EL15)="H",$C15/2,0)))))))</f>
        <v>0</v>
      </c>
      <c r="EM15" s="27">
        <f>IF($A15="",0,IF(Mitarbeiter!$G$13=FALSE,0,IF(AND(Mitarbeiter!$E$13&lt;&gt;"",EM$5+6&lt;Mitarbeiter!$E$13),0,IF(AND(Mitarbeiter!$F$13&lt;&gt;"",EM$5&gt;Mitarbeiter!$F$13),0,IF(Planung!EM15="",$C15,IF(ISNUMBER(Planung!EM15),Planung!EM15,IF(UPPER(Planung!EM15)="H",$C15/2,0)))))))</f>
        <v>0</v>
      </c>
      <c r="EN15" s="27">
        <f>IF($A15="",0,IF(Mitarbeiter!$G$13=FALSE,0,IF(AND(Mitarbeiter!$E$13&lt;&gt;"",EN$5+6&lt;Mitarbeiter!$E$13),0,IF(AND(Mitarbeiter!$F$13&lt;&gt;"",EN$5&gt;Mitarbeiter!$F$13),0,IF(Planung!EN15="",$C15,IF(ISNUMBER(Planung!EN15),Planung!EN15,IF(UPPER(Planung!EN15)="H",$C15/2,0)))))))</f>
        <v>0</v>
      </c>
      <c r="EO15" s="27">
        <f>IF($A15="",0,IF(Mitarbeiter!$G$13=FALSE,0,IF(AND(Mitarbeiter!$E$13&lt;&gt;"",EO$5+6&lt;Mitarbeiter!$E$13),0,IF(AND(Mitarbeiter!$F$13&lt;&gt;"",EO$5&gt;Mitarbeiter!$F$13),0,IF(Planung!EO15="",$C15,IF(ISNUMBER(Planung!EO15),Planung!EO15,IF(UPPER(Planung!EO15)="H",$C15/2,0)))))))</f>
        <v>0</v>
      </c>
      <c r="EP15" s="27">
        <f>IF($A15="",0,IF(Mitarbeiter!$G$13=FALSE,0,IF(AND(Mitarbeiter!$E$13&lt;&gt;"",EP$5+6&lt;Mitarbeiter!$E$13),0,IF(AND(Mitarbeiter!$F$13&lt;&gt;"",EP$5&gt;Mitarbeiter!$F$13),0,IF(Planung!EP15="",$C15,IF(ISNUMBER(Planung!EP15),Planung!EP15,IF(UPPER(Planung!EP15)="H",$C15/2,0)))))))</f>
        <v>0</v>
      </c>
      <c r="EQ15" s="27">
        <f>IF($A15="",0,IF(Mitarbeiter!$G$13=FALSE,0,IF(AND(Mitarbeiter!$E$13&lt;&gt;"",EQ$5+6&lt;Mitarbeiter!$E$13),0,IF(AND(Mitarbeiter!$F$13&lt;&gt;"",EQ$5&gt;Mitarbeiter!$F$13),0,IF(Planung!EQ15="",$C15,IF(ISNUMBER(Planung!EQ15),Planung!EQ15,IF(UPPER(Planung!EQ15)="H",$C15/2,0)))))))</f>
        <v>0</v>
      </c>
      <c r="ER15" s="27">
        <f>IF($A15="",0,IF(Mitarbeiter!$G$13=FALSE,0,IF(AND(Mitarbeiter!$E$13&lt;&gt;"",ER$5+6&lt;Mitarbeiter!$E$13),0,IF(AND(Mitarbeiter!$F$13&lt;&gt;"",ER$5&gt;Mitarbeiter!$F$13),0,IF(Planung!ER15="",$C15,IF(ISNUMBER(Planung!ER15),Planung!ER15,IF(UPPER(Planung!ER15)="H",$C15/2,0)))))))</f>
        <v>0</v>
      </c>
      <c r="ES15" s="27">
        <f>IF($A15="",0,IF(Mitarbeiter!$G$13=FALSE,0,IF(AND(Mitarbeiter!$E$13&lt;&gt;"",ES$5+6&lt;Mitarbeiter!$E$13),0,IF(AND(Mitarbeiter!$F$13&lt;&gt;"",ES$5&gt;Mitarbeiter!$F$13),0,IF(Planung!ES15="",$C15,IF(ISNUMBER(Planung!ES15),Planung!ES15,IF(UPPER(Planung!ES15)="H",$C15/2,0)))))))</f>
        <v>0</v>
      </c>
      <c r="ET15" s="27">
        <f>IF($A15="",0,IF(Mitarbeiter!$G$13=FALSE,0,IF(AND(Mitarbeiter!$E$13&lt;&gt;"",ET$5+6&lt;Mitarbeiter!$E$13),0,IF(AND(Mitarbeiter!$F$13&lt;&gt;"",ET$5&gt;Mitarbeiter!$F$13),0,IF(Planung!ET15="",$C15,IF(ISNUMBER(Planung!ET15),Planung!ET15,IF(UPPER(Planung!ET15)="H",$C15/2,0)))))))</f>
        <v>0</v>
      </c>
      <c r="EU15" s="27">
        <f>IF($A15="",0,IF(Mitarbeiter!$G$13=FALSE,0,IF(AND(Mitarbeiter!$E$13&lt;&gt;"",EU$5+6&lt;Mitarbeiter!$E$13),0,IF(AND(Mitarbeiter!$F$13&lt;&gt;"",EU$5&gt;Mitarbeiter!$F$13),0,IF(Planung!EU15="",$C15,IF(ISNUMBER(Planung!EU15),Planung!EU15,IF(UPPER(Planung!EU15)="H",$C15/2,0)))))))</f>
        <v>0</v>
      </c>
      <c r="EV15" s="27">
        <f>IF($A15="",0,IF(Mitarbeiter!$G$13=FALSE,0,IF(AND(Mitarbeiter!$E$13&lt;&gt;"",EV$5+6&lt;Mitarbeiter!$E$13),0,IF(AND(Mitarbeiter!$F$13&lt;&gt;"",EV$5&gt;Mitarbeiter!$F$13),0,IF(Planung!EV15="",$C15,IF(ISNUMBER(Planung!EV15),Planung!EV15,IF(UPPER(Planung!EV15)="H",$C15/2,0)))))))</f>
        <v>0</v>
      </c>
      <c r="EW15" s="27">
        <f>IF($A15="",0,IF(Mitarbeiter!$G$13=FALSE,0,IF(AND(Mitarbeiter!$E$13&lt;&gt;"",EW$5+6&lt;Mitarbeiter!$E$13),0,IF(AND(Mitarbeiter!$F$13&lt;&gt;"",EW$5&gt;Mitarbeiter!$F$13),0,IF(Planung!EW15="",$C15,IF(ISNUMBER(Planung!EW15),Planung!EW15,IF(UPPER(Planung!EW15)="H",$C15/2,0)))))))</f>
        <v>0</v>
      </c>
      <c r="EX15" s="27">
        <f>IF($A15="",0,IF(Mitarbeiter!$G$13=FALSE,0,IF(AND(Mitarbeiter!$E$13&lt;&gt;"",EX$5+6&lt;Mitarbeiter!$E$13),0,IF(AND(Mitarbeiter!$F$13&lt;&gt;"",EX$5&gt;Mitarbeiter!$F$13),0,IF(Planung!EX15="",$C15,IF(ISNUMBER(Planung!EX15),Planung!EX15,IF(UPPER(Planung!EX15)="H",$C15/2,0)))))))</f>
        <v>0</v>
      </c>
      <c r="EY15" s="27">
        <f>IF($A15="",0,IF(Mitarbeiter!$G$13=FALSE,0,IF(AND(Mitarbeiter!$E$13&lt;&gt;"",EY$5+6&lt;Mitarbeiter!$E$13),0,IF(AND(Mitarbeiter!$F$13&lt;&gt;"",EY$5&gt;Mitarbeiter!$F$13),0,IF(Planung!EY15="",$C15,IF(ISNUMBER(Planung!EY15),Planung!EY15,IF(UPPER(Planung!EY15)="H",$C15/2,0)))))))</f>
        <v>0</v>
      </c>
      <c r="EZ15" s="27">
        <f>IF($A15="",0,IF(Mitarbeiter!$G$13=FALSE,0,IF(AND(Mitarbeiter!$E$13&lt;&gt;"",EZ$5+6&lt;Mitarbeiter!$E$13),0,IF(AND(Mitarbeiter!$F$13&lt;&gt;"",EZ$5&gt;Mitarbeiter!$F$13),0,IF(Planung!EZ15="",$C15,IF(ISNUMBER(Planung!EZ15),Planung!EZ15,IF(UPPER(Planung!EZ15)="H",$C15/2,0)))))))</f>
        <v>0</v>
      </c>
      <c r="FA15" s="27">
        <f>IF($A15="",0,IF(Mitarbeiter!$G$13=FALSE,0,IF(AND(Mitarbeiter!$E$13&lt;&gt;"",FA$5+6&lt;Mitarbeiter!$E$13),0,IF(AND(Mitarbeiter!$F$13&lt;&gt;"",FA$5&gt;Mitarbeiter!$F$13),0,IF(Planung!FA15="",$C15,IF(ISNUMBER(Planung!FA15),Planung!FA15,IF(UPPER(Planung!FA15)="H",$C15/2,0)))))))</f>
        <v>0</v>
      </c>
      <c r="FB15" s="27">
        <f>IF($A15="",0,IF(Mitarbeiter!$G$13=FALSE,0,IF(AND(Mitarbeiter!$E$13&lt;&gt;"",FB$5+6&lt;Mitarbeiter!$E$13),0,IF(AND(Mitarbeiter!$F$13&lt;&gt;"",FB$5&gt;Mitarbeiter!$F$13),0,IF(Planung!FB15="",$C15,IF(ISNUMBER(Planung!FB15),Planung!FB15,IF(UPPER(Planung!FB15)="H",$C15/2,0)))))))</f>
        <v>0</v>
      </c>
      <c r="FC15" s="27">
        <f>IF($A15="",0,IF(Mitarbeiter!$G$13=FALSE,0,IF(AND(Mitarbeiter!$E$13&lt;&gt;"",FC$5+6&lt;Mitarbeiter!$E$13),0,IF(AND(Mitarbeiter!$F$13&lt;&gt;"",FC$5&gt;Mitarbeiter!$F$13),0,IF(Planung!FC15="",$C15,IF(ISNUMBER(Planung!FC15),Planung!FC15,IF(UPPER(Planung!FC15)="H",$C15/2,0)))))))</f>
        <v>0</v>
      </c>
      <c r="FD15" s="27">
        <f>IF($A15="",0,IF(Mitarbeiter!$G$13=FALSE,0,IF(AND(Mitarbeiter!$E$13&lt;&gt;"",FD$5+6&lt;Mitarbeiter!$E$13),0,IF(AND(Mitarbeiter!$F$13&lt;&gt;"",FD$5&gt;Mitarbeiter!$F$13),0,IF(Planung!FD15="",$C15,IF(ISNUMBER(Planung!FD15),Planung!FD15,IF(UPPER(Planung!FD15)="H",$C15/2,0)))))))</f>
        <v>0</v>
      </c>
      <c r="FE15" s="27">
        <f>IF($A15="",0,IF(Mitarbeiter!$G$13=FALSE,0,IF(AND(Mitarbeiter!$E$13&lt;&gt;"",FE$5+6&lt;Mitarbeiter!$E$13),0,IF(AND(Mitarbeiter!$F$13&lt;&gt;"",FE$5&gt;Mitarbeiter!$F$13),0,IF(Planung!FE15="",$C15,IF(ISNUMBER(Planung!FE15),Planung!FE15,IF(UPPER(Planung!FE15)="H",$C15/2,0)))))))</f>
        <v>0</v>
      </c>
      <c r="FF15" s="27">
        <f>IF($A15="",0,IF(Mitarbeiter!$G$13=FALSE,0,IF(AND(Mitarbeiter!$E$13&lt;&gt;"",FF$5+6&lt;Mitarbeiter!$E$13),0,IF(AND(Mitarbeiter!$F$13&lt;&gt;"",FF$5&gt;Mitarbeiter!$F$13),0,IF(Planung!FF15="",$C15,IF(ISNUMBER(Planung!FF15),Planung!FF15,IF(UPPER(Planung!FF15)="H",$C15/2,0)))))))</f>
        <v>0</v>
      </c>
      <c r="FG15" s="27">
        <f>IF($A15="",0,IF(Mitarbeiter!$G$13=FALSE,0,IF(AND(Mitarbeiter!$E$13&lt;&gt;"",FG$5+6&lt;Mitarbeiter!$E$13),0,IF(AND(Mitarbeiter!$F$13&lt;&gt;"",FG$5&gt;Mitarbeiter!$F$13),0,IF(Planung!FG15="",$C15,IF(ISNUMBER(Planung!FG15),Planung!FG15,IF(UPPER(Planung!FG15)="H",$C15/2,0)))))))</f>
        <v>0</v>
      </c>
      <c r="FH15" s="27">
        <f>IF($A15="",0,IF(Mitarbeiter!$G$13=FALSE,0,IF(AND(Mitarbeiter!$E$13&lt;&gt;"",FH$5+6&lt;Mitarbeiter!$E$13),0,IF(AND(Mitarbeiter!$F$13&lt;&gt;"",FH$5&gt;Mitarbeiter!$F$13),0,IF(Planung!FH15="",$C15,IF(ISNUMBER(Planung!FH15),Planung!FH15,IF(UPPER(Planung!FH15)="H",$C15/2,0)))))))</f>
        <v>0</v>
      </c>
      <c r="FI15" s="27">
        <f>IF($A15="",0,IF(Mitarbeiter!$G$13=FALSE,0,IF(AND(Mitarbeiter!$E$13&lt;&gt;"",FI$5+6&lt;Mitarbeiter!$E$13),0,IF(AND(Mitarbeiter!$F$13&lt;&gt;"",FI$5&gt;Mitarbeiter!$F$13),0,IF(Planung!FI15="",$C15,IF(ISNUMBER(Planung!FI15),Planung!FI15,IF(UPPER(Planung!FI15)="H",$C15/2,0)))))))</f>
        <v>0</v>
      </c>
      <c r="FJ15" s="27">
        <f>IF($A15="",0,IF(Mitarbeiter!$G$13=FALSE,0,IF(AND(Mitarbeiter!$E$13&lt;&gt;"",FJ$5+6&lt;Mitarbeiter!$E$13),0,IF(AND(Mitarbeiter!$F$13&lt;&gt;"",FJ$5&gt;Mitarbeiter!$F$13),0,IF(Planung!FJ15="",$C15,IF(ISNUMBER(Planung!FJ15),Planung!FJ15,IF(UPPER(Planung!FJ15)="H",$C15/2,0)))))))</f>
        <v>0</v>
      </c>
      <c r="FK15" s="27">
        <f>IF($A15="",0,IF(Mitarbeiter!$G$13=FALSE,0,IF(AND(Mitarbeiter!$E$13&lt;&gt;"",FK$5+6&lt;Mitarbeiter!$E$13),0,IF(AND(Mitarbeiter!$F$13&lt;&gt;"",FK$5&gt;Mitarbeiter!$F$13),0,IF(Planung!FK15="",$C15,IF(ISNUMBER(Planung!FK15),Planung!FK15,IF(UPPER(Planung!FK15)="H",$C15/2,0)))))))</f>
        <v>0</v>
      </c>
      <c r="FL15" s="27">
        <f>IF($A15="",0,IF(Mitarbeiter!$G$13=FALSE,0,IF(AND(Mitarbeiter!$E$13&lt;&gt;"",FL$5+6&lt;Mitarbeiter!$E$13),0,IF(AND(Mitarbeiter!$F$13&lt;&gt;"",FL$5&gt;Mitarbeiter!$F$13),0,IF(Planung!FL15="",$C15,IF(ISNUMBER(Planung!FL15),Planung!FL15,IF(UPPER(Planung!FL15)="H",$C15/2,0)))))))</f>
        <v>0</v>
      </c>
      <c r="FM15" s="27">
        <f>IF($A15="",0,IF(Mitarbeiter!$G$13=FALSE,0,IF(AND(Mitarbeiter!$E$13&lt;&gt;"",FM$5+6&lt;Mitarbeiter!$E$13),0,IF(AND(Mitarbeiter!$F$13&lt;&gt;"",FM$5&gt;Mitarbeiter!$F$13),0,IF(Planung!FM15="",$C15,IF(ISNUMBER(Planung!FM15),Planung!FM15,IF(UPPER(Planung!FM15)="H",$C15/2,0)))))))</f>
        <v>0</v>
      </c>
      <c r="FN15" s="27">
        <f>IF($A15="",0,IF(Mitarbeiter!$G$13=FALSE,0,IF(AND(Mitarbeiter!$E$13&lt;&gt;"",FN$5+6&lt;Mitarbeiter!$E$13),0,IF(AND(Mitarbeiter!$F$13&lt;&gt;"",FN$5&gt;Mitarbeiter!$F$13),0,IF(Planung!FN15="",$C15,IF(ISNUMBER(Planung!FN15),Planung!FN15,IF(UPPER(Planung!FN15)="H",$C15/2,0)))))))</f>
        <v>0</v>
      </c>
      <c r="FO15" s="27">
        <f>IF($A15="",0,IF(Mitarbeiter!$G$13=FALSE,0,IF(AND(Mitarbeiter!$E$13&lt;&gt;"",FO$5+6&lt;Mitarbeiter!$E$13),0,IF(AND(Mitarbeiter!$F$13&lt;&gt;"",FO$5&gt;Mitarbeiter!$F$13),0,IF(Planung!FO15="",$C15,IF(ISNUMBER(Planung!FO15),Planung!FO15,IF(UPPER(Planung!FO15)="H",$C15/2,0)))))))</f>
        <v>0</v>
      </c>
      <c r="FP15" s="27">
        <f>IF($A15="",0,IF(Mitarbeiter!$G$13=FALSE,0,IF(AND(Mitarbeiter!$E$13&lt;&gt;"",FP$5+6&lt;Mitarbeiter!$E$13),0,IF(AND(Mitarbeiter!$F$13&lt;&gt;"",FP$5&gt;Mitarbeiter!$F$13),0,IF(Planung!FP15="",$C15,IF(ISNUMBER(Planung!FP15),Planung!FP15,IF(UPPER(Planung!FP15)="H",$C15/2,0)))))))</f>
        <v>0</v>
      </c>
      <c r="FQ15" s="27">
        <f>IF($A15="",0,IF(Mitarbeiter!$G$13=FALSE,0,IF(AND(Mitarbeiter!$E$13&lt;&gt;"",FQ$5+6&lt;Mitarbeiter!$E$13),0,IF(AND(Mitarbeiter!$F$13&lt;&gt;"",FQ$5&gt;Mitarbeiter!$F$13),0,IF(Planung!FQ15="",$C15,IF(ISNUMBER(Planung!FQ15),Planung!FQ15,IF(UPPER(Planung!FQ15)="H",$C15/2,0)))))))</f>
        <v>0</v>
      </c>
      <c r="FR15" s="27">
        <f>IF($A15="",0,IF(Mitarbeiter!$G$13=FALSE,0,IF(AND(Mitarbeiter!$E$13&lt;&gt;"",FR$5+6&lt;Mitarbeiter!$E$13),0,IF(AND(Mitarbeiter!$F$13&lt;&gt;"",FR$5&gt;Mitarbeiter!$F$13),0,IF(Planung!FR15="",$C15,IF(ISNUMBER(Planung!FR15),Planung!FR15,IF(UPPER(Planung!FR15)="H",$C15/2,0)))))))</f>
        <v>0</v>
      </c>
      <c r="FS15" s="27">
        <f>IF($A15="",0,IF(Mitarbeiter!$G$13=FALSE,0,IF(AND(Mitarbeiter!$E$13&lt;&gt;"",FS$5+6&lt;Mitarbeiter!$E$13),0,IF(AND(Mitarbeiter!$F$13&lt;&gt;"",FS$5&gt;Mitarbeiter!$F$13),0,IF(Planung!FS15="",$C15,IF(ISNUMBER(Planung!FS15),Planung!FS15,IF(UPPER(Planung!FS15)="H",$C15/2,0)))))))</f>
        <v>0</v>
      </c>
      <c r="FT15" s="27">
        <f>IF($A15="",0,IF(Mitarbeiter!$G$13=FALSE,0,IF(AND(Mitarbeiter!$E$13&lt;&gt;"",FT$5+6&lt;Mitarbeiter!$E$13),0,IF(AND(Mitarbeiter!$F$13&lt;&gt;"",FT$5&gt;Mitarbeiter!$F$13),0,IF(Planung!FT15="",$C15,IF(ISNUMBER(Planung!FT15),Planung!FT15,IF(UPPER(Planung!FT15)="H",$C15/2,0)))))))</f>
        <v>0</v>
      </c>
      <c r="FU15" s="27">
        <f>IF($A15="",0,IF(Mitarbeiter!$G$13=FALSE,0,IF(AND(Mitarbeiter!$E$13&lt;&gt;"",FU$5+6&lt;Mitarbeiter!$E$13),0,IF(AND(Mitarbeiter!$F$13&lt;&gt;"",FU$5&gt;Mitarbeiter!$F$13),0,IF(Planung!FU15="",$C15,IF(ISNUMBER(Planung!FU15),Planung!FU15,IF(UPPER(Planung!FU15)="H",$C15/2,0)))))))</f>
        <v>0</v>
      </c>
      <c r="FV15" s="27">
        <f>IF($A15="",0,IF(Mitarbeiter!$G$13=FALSE,0,IF(AND(Mitarbeiter!$E$13&lt;&gt;"",FV$5+6&lt;Mitarbeiter!$E$13),0,IF(AND(Mitarbeiter!$F$13&lt;&gt;"",FV$5&gt;Mitarbeiter!$F$13),0,IF(Planung!FV15="",$C15,IF(ISNUMBER(Planung!FV15),Planung!FV15,IF(UPPER(Planung!FV15)="H",$C15/2,0)))))))</f>
        <v>0</v>
      </c>
      <c r="FW15" s="27">
        <f>IF($A15="",0,IF(Mitarbeiter!$G$13=FALSE,0,IF(AND(Mitarbeiter!$E$13&lt;&gt;"",FW$5+6&lt;Mitarbeiter!$E$13),0,IF(AND(Mitarbeiter!$F$13&lt;&gt;"",FW$5&gt;Mitarbeiter!$F$13),0,IF(Planung!FW15="",$C15,IF(ISNUMBER(Planung!FW15),Planung!FW15,IF(UPPER(Planung!FW15)="H",$C15/2,0)))))))</f>
        <v>0</v>
      </c>
      <c r="FX15" s="27">
        <f>IF($A15="",0,IF(Mitarbeiter!$G$13=FALSE,0,IF(AND(Mitarbeiter!$E$13&lt;&gt;"",FX$5+6&lt;Mitarbeiter!$E$13),0,IF(AND(Mitarbeiter!$F$13&lt;&gt;"",FX$5&gt;Mitarbeiter!$F$13),0,IF(Planung!FX15="",$C15,IF(ISNUMBER(Planung!FX15),Planung!FX15,IF(UPPER(Planung!FX15)="H",$C15/2,0)))))))</f>
        <v>0</v>
      </c>
      <c r="FY15" s="27">
        <f>IF($A15="",0,IF(Mitarbeiter!$G$13=FALSE,0,IF(AND(Mitarbeiter!$E$13&lt;&gt;"",FY$5+6&lt;Mitarbeiter!$E$13),0,IF(AND(Mitarbeiter!$F$13&lt;&gt;"",FY$5&gt;Mitarbeiter!$F$13),0,IF(Planung!FY15="",$C15,IF(ISNUMBER(Planung!FY15),Planung!FY15,IF(UPPER(Planung!FY15)="H",$C15/2,0)))))))</f>
        <v>0</v>
      </c>
      <c r="FZ15" s="27">
        <f>IF($A15="",0,IF(Mitarbeiter!$G$13=FALSE,0,IF(AND(Mitarbeiter!$E$13&lt;&gt;"",FZ$5+6&lt;Mitarbeiter!$E$13),0,IF(AND(Mitarbeiter!$F$13&lt;&gt;"",FZ$5&gt;Mitarbeiter!$F$13),0,IF(Planung!FZ15="",$C15,IF(ISNUMBER(Planung!FZ15),Planung!FZ15,IF(UPPER(Planung!FZ15)="H",$C15/2,0)))))))</f>
        <v>0</v>
      </c>
      <c r="GA15" s="27">
        <f>IF($A15="",0,IF(Mitarbeiter!$G$13=FALSE,0,IF(AND(Mitarbeiter!$E$13&lt;&gt;"",GA$5+6&lt;Mitarbeiter!$E$13),0,IF(AND(Mitarbeiter!$F$13&lt;&gt;"",GA$5&gt;Mitarbeiter!$F$13),0,IF(Planung!GA15="",$C15,IF(ISNUMBER(Planung!GA15),Planung!GA15,IF(UPPER(Planung!GA15)="H",$C15/2,0)))))))</f>
        <v>0</v>
      </c>
      <c r="GB15" s="27">
        <f>IF($A15="",0,IF(Mitarbeiter!$G$13=FALSE,0,IF(AND(Mitarbeiter!$E$13&lt;&gt;"",GB$5+6&lt;Mitarbeiter!$E$13),0,IF(AND(Mitarbeiter!$F$13&lt;&gt;"",GB$5&gt;Mitarbeiter!$F$13),0,IF(Planung!GB15="",$C15,IF(ISNUMBER(Planung!GB15),Planung!GB15,IF(UPPER(Planung!GB15)="H",$C15/2,0)))))))</f>
        <v>0</v>
      </c>
      <c r="GC15" s="27">
        <f>IF($A15="",0,IF(Mitarbeiter!$G$13=FALSE,0,IF(AND(Mitarbeiter!$E$13&lt;&gt;"",GC$5+6&lt;Mitarbeiter!$E$13),0,IF(AND(Mitarbeiter!$F$13&lt;&gt;"",GC$5&gt;Mitarbeiter!$F$13),0,IF(Planung!GC15="",$C15,IF(ISNUMBER(Planung!GC15),Planung!GC15,IF(UPPER(Planung!GC15)="H",$C15/2,0)))))))</f>
        <v>0</v>
      </c>
      <c r="GD15" s="27">
        <f>IF($A15="",0,IF(Mitarbeiter!$G$13=FALSE,0,IF(AND(Mitarbeiter!$E$13&lt;&gt;"",GD$5+6&lt;Mitarbeiter!$E$13),0,IF(AND(Mitarbeiter!$F$13&lt;&gt;"",GD$5&gt;Mitarbeiter!$F$13),0,IF(Planung!GD15="",$C15,IF(ISNUMBER(Planung!GD15),Planung!GD15,IF(UPPER(Planung!GD15)="H",$C15/2,0)))))))</f>
        <v>0</v>
      </c>
      <c r="GE15" s="27">
        <f>IF($A15="",0,IF(Mitarbeiter!$G$13=FALSE,0,IF(AND(Mitarbeiter!$E$13&lt;&gt;"",GE$5+6&lt;Mitarbeiter!$E$13),0,IF(AND(Mitarbeiter!$F$13&lt;&gt;"",GE$5&gt;Mitarbeiter!$F$13),0,IF(Planung!GE15="",$C15,IF(ISNUMBER(Planung!GE15),Planung!GE15,IF(UPPER(Planung!GE15)="H",$C15/2,0)))))))</f>
        <v>0</v>
      </c>
      <c r="GF15" s="27">
        <f>IF($A15="",0,IF(Mitarbeiter!$G$13=FALSE,0,IF(AND(Mitarbeiter!$E$13&lt;&gt;"",GF$5+6&lt;Mitarbeiter!$E$13),0,IF(AND(Mitarbeiter!$F$13&lt;&gt;"",GF$5&gt;Mitarbeiter!$F$13),0,IF(Planung!GF15="",$C15,IF(ISNUMBER(Planung!GF15),Planung!GF15,IF(UPPER(Planung!GF15)="H",$C15/2,0)))))))</f>
        <v>0</v>
      </c>
      <c r="GG15" s="27">
        <f>IF($A15="",0,IF(Mitarbeiter!$G$13=FALSE,0,IF(AND(Mitarbeiter!$E$13&lt;&gt;"",GG$5+6&lt;Mitarbeiter!$E$13),0,IF(AND(Mitarbeiter!$F$13&lt;&gt;"",GG$5&gt;Mitarbeiter!$F$13),0,IF(Planung!GG15="",$C15,IF(ISNUMBER(Planung!GG15),Planung!GG15,IF(UPPER(Planung!GG15)="H",$C15/2,0)))))))</f>
        <v>0</v>
      </c>
      <c r="GH15" s="27">
        <f>IF($A15="",0,IF(Mitarbeiter!$G$13=FALSE,0,IF(AND(Mitarbeiter!$E$13&lt;&gt;"",GH$5+6&lt;Mitarbeiter!$E$13),0,IF(AND(Mitarbeiter!$F$13&lt;&gt;"",GH$5&gt;Mitarbeiter!$F$13),0,IF(Planung!GH15="",$C15,IF(ISNUMBER(Planung!GH15),Planung!GH15,IF(UPPER(Planung!GH15)="H",$C15/2,0)))))))</f>
        <v>0</v>
      </c>
      <c r="GI15" s="27">
        <f>IF($A15="",0,IF(Mitarbeiter!$G$13=FALSE,0,IF(AND(Mitarbeiter!$E$13&lt;&gt;"",GI$5+6&lt;Mitarbeiter!$E$13),0,IF(AND(Mitarbeiter!$F$13&lt;&gt;"",GI$5&gt;Mitarbeiter!$F$13),0,IF(Planung!GI15="",$C15,IF(ISNUMBER(Planung!GI15),Planung!GI15,IF(UPPER(Planung!GI15)="H",$C15/2,0)))))))</f>
        <v>0</v>
      </c>
      <c r="GJ15" s="27">
        <f>IF($A15="",0,IF(Mitarbeiter!$G$13=FALSE,0,IF(AND(Mitarbeiter!$E$13&lt;&gt;"",GJ$5+6&lt;Mitarbeiter!$E$13),0,IF(AND(Mitarbeiter!$F$13&lt;&gt;"",GJ$5&gt;Mitarbeiter!$F$13),0,IF(Planung!GJ15="",$C15,IF(ISNUMBER(Planung!GJ15),Planung!GJ15,IF(UPPER(Planung!GJ15)="H",$C15/2,0)))))))</f>
        <v>0</v>
      </c>
      <c r="GK15" s="27">
        <f>IF($A15="",0,IF(Mitarbeiter!$G$13=FALSE,0,IF(AND(Mitarbeiter!$E$13&lt;&gt;"",GK$5+6&lt;Mitarbeiter!$E$13),0,IF(AND(Mitarbeiter!$F$13&lt;&gt;"",GK$5&gt;Mitarbeiter!$F$13),0,IF(Planung!GK15="",$C15,IF(ISNUMBER(Planung!GK15),Planung!GK15,IF(UPPER(Planung!GK15)="H",$C15/2,0)))))))</f>
        <v>0</v>
      </c>
      <c r="GL15" s="27">
        <f>IF($A15="",0,IF(Mitarbeiter!$G$13=FALSE,0,IF(AND(Mitarbeiter!$E$13&lt;&gt;"",GL$5+6&lt;Mitarbeiter!$E$13),0,IF(AND(Mitarbeiter!$F$13&lt;&gt;"",GL$5&gt;Mitarbeiter!$F$13),0,IF(Planung!GL15="",$C15,IF(ISNUMBER(Planung!GL15),Planung!GL15,IF(UPPER(Planung!GL15)="H",$C15/2,0)))))))</f>
        <v>0</v>
      </c>
      <c r="GM15" s="27">
        <f>IF($A15="",0,IF(Mitarbeiter!$G$13=FALSE,0,IF(AND(Mitarbeiter!$E$13&lt;&gt;"",GM$5+6&lt;Mitarbeiter!$E$13),0,IF(AND(Mitarbeiter!$F$13&lt;&gt;"",GM$5&gt;Mitarbeiter!$F$13),0,IF(Planung!GM15="",$C15,IF(ISNUMBER(Planung!GM15),Planung!GM15,IF(UPPER(Planung!GM15)="H",$C15/2,0)))))))</f>
        <v>0</v>
      </c>
      <c r="GN15" s="27">
        <f>IF($A15="",0,IF(Mitarbeiter!$G$13=FALSE,0,IF(AND(Mitarbeiter!$E$13&lt;&gt;"",GN$5+6&lt;Mitarbeiter!$E$13),0,IF(AND(Mitarbeiter!$F$13&lt;&gt;"",GN$5&gt;Mitarbeiter!$F$13),0,IF(Planung!GN15="",$C15,IF(ISNUMBER(Planung!GN15),Planung!GN15,IF(UPPER(Planung!GN15)="H",$C15/2,0)))))))</f>
        <v>0</v>
      </c>
      <c r="GO15" s="27">
        <f>IF($A15="",0,IF(Mitarbeiter!$G$13=FALSE,0,IF(AND(Mitarbeiter!$E$13&lt;&gt;"",GO$5+6&lt;Mitarbeiter!$E$13),0,IF(AND(Mitarbeiter!$F$13&lt;&gt;"",GO$5&gt;Mitarbeiter!$F$13),0,IF(Planung!GO15="",$C15,IF(ISNUMBER(Planung!GO15),Planung!GO15,IF(UPPER(Planung!GO15)="H",$C15/2,0)))))))</f>
        <v>0</v>
      </c>
      <c r="GP15" s="27">
        <f>IF($A15="",0,IF(Mitarbeiter!$G$13=FALSE,0,IF(AND(Mitarbeiter!$E$13&lt;&gt;"",GP$5+6&lt;Mitarbeiter!$E$13),0,IF(AND(Mitarbeiter!$F$13&lt;&gt;"",GP$5&gt;Mitarbeiter!$F$13),0,IF(Planung!GP15="",$C15,IF(ISNUMBER(Planung!GP15),Planung!GP15,IF(UPPER(Planung!GP15)="H",$C15/2,0)))))))</f>
        <v>0</v>
      </c>
      <c r="GQ15" s="27">
        <f>IF($A15="",0,IF(Mitarbeiter!$G$13=FALSE,0,IF(AND(Mitarbeiter!$E$13&lt;&gt;"",GQ$5+6&lt;Mitarbeiter!$E$13),0,IF(AND(Mitarbeiter!$F$13&lt;&gt;"",GQ$5&gt;Mitarbeiter!$F$13),0,IF(Planung!GQ15="",$C15,IF(ISNUMBER(Planung!GQ15),Planung!GQ15,IF(UPPER(Planung!GQ15)="H",$C15/2,0)))))))</f>
        <v>0</v>
      </c>
      <c r="GR15" s="27">
        <f>IF($A15="",0,IF(Mitarbeiter!$G$13=FALSE,0,IF(AND(Mitarbeiter!$E$13&lt;&gt;"",GR$5+6&lt;Mitarbeiter!$E$13),0,IF(AND(Mitarbeiter!$F$13&lt;&gt;"",GR$5&gt;Mitarbeiter!$F$13),0,IF(Planung!GR15="",$C15,IF(ISNUMBER(Planung!GR15),Planung!GR15,IF(UPPER(Planung!GR15)="H",$C15/2,0)))))))</f>
        <v>0</v>
      </c>
      <c r="GS15" s="27">
        <f>IF($A15="",0,IF(Mitarbeiter!$G$13=FALSE,0,IF(AND(Mitarbeiter!$E$13&lt;&gt;"",GS$5+6&lt;Mitarbeiter!$E$13),0,IF(AND(Mitarbeiter!$F$13&lt;&gt;"",GS$5&gt;Mitarbeiter!$F$13),0,IF(Planung!GS15="",$C15,IF(ISNUMBER(Planung!GS15),Planung!GS15,IF(UPPER(Planung!GS15)="H",$C15/2,0)))))))</f>
        <v>0</v>
      </c>
      <c r="GT15" s="27">
        <f>IF($A15="",0,IF(Mitarbeiter!$G$13=FALSE,0,IF(AND(Mitarbeiter!$E$13&lt;&gt;"",GT$5+6&lt;Mitarbeiter!$E$13),0,IF(AND(Mitarbeiter!$F$13&lt;&gt;"",GT$5&gt;Mitarbeiter!$F$13),0,IF(Planung!GT15="",$C15,IF(ISNUMBER(Planung!GT15),Planung!GT15,IF(UPPER(Planung!GT15)="H",$C15/2,0)))))))</f>
        <v>0</v>
      </c>
      <c r="GU15" s="27">
        <f>IF($A15="",0,IF(Mitarbeiter!$G$13=FALSE,0,IF(AND(Mitarbeiter!$E$13&lt;&gt;"",GU$5+6&lt;Mitarbeiter!$E$13),0,IF(AND(Mitarbeiter!$F$13&lt;&gt;"",GU$5&gt;Mitarbeiter!$F$13),0,IF(Planung!GU15="",$C15,IF(ISNUMBER(Planung!GU15),Planung!GU15,IF(UPPER(Planung!GU15)="H",$C15/2,0)))))))</f>
        <v>0</v>
      </c>
      <c r="GV15" s="27">
        <f>IF($A15="",0,IF(Mitarbeiter!$G$13=FALSE,0,IF(AND(Mitarbeiter!$E$13&lt;&gt;"",GV$5+6&lt;Mitarbeiter!$E$13),0,IF(AND(Mitarbeiter!$F$13&lt;&gt;"",GV$5&gt;Mitarbeiter!$F$13),0,IF(Planung!GV15="",$C15,IF(ISNUMBER(Planung!GV15),Planung!GV15,IF(UPPER(Planung!GV15)="H",$C15/2,0)))))))</f>
        <v>0</v>
      </c>
      <c r="GW15" s="27">
        <f>IF($A15="",0,IF(Mitarbeiter!$G$13=FALSE,0,IF(AND(Mitarbeiter!$E$13&lt;&gt;"",GW$5+6&lt;Mitarbeiter!$E$13),0,IF(AND(Mitarbeiter!$F$13&lt;&gt;"",GW$5&gt;Mitarbeiter!$F$13),0,IF(Planung!GW15="",$C15,IF(ISNUMBER(Planung!GW15),Planung!GW15,IF(UPPER(Planung!GW15)="H",$C15/2,0)))))))</f>
        <v>0</v>
      </c>
      <c r="GX15" s="27">
        <f>IF($A15="",0,IF(Mitarbeiter!$G$13=FALSE,0,IF(AND(Mitarbeiter!$E$13&lt;&gt;"",GX$5+6&lt;Mitarbeiter!$E$13),0,IF(AND(Mitarbeiter!$F$13&lt;&gt;"",GX$5&gt;Mitarbeiter!$F$13),0,IF(Planung!GX15="",$C15,IF(ISNUMBER(Planung!GX15),Planung!GX15,IF(UPPER(Planung!GX15)="H",$C15/2,0)))))))</f>
        <v>0</v>
      </c>
      <c r="GY15" s="27">
        <f>IF($A15="",0,IF(Mitarbeiter!$G$13=FALSE,0,IF(AND(Mitarbeiter!$E$13&lt;&gt;"",GY$5+6&lt;Mitarbeiter!$E$13),0,IF(AND(Mitarbeiter!$F$13&lt;&gt;"",GY$5&gt;Mitarbeiter!$F$13),0,IF(Planung!GY15="",$C15,IF(ISNUMBER(Planung!GY15),Planung!GY15,IF(UPPER(Planung!GY15)="H",$C15/2,0)))))))</f>
        <v>0</v>
      </c>
      <c r="GZ15" s="27">
        <f>IF($A15="",0,IF(Mitarbeiter!$G$13=FALSE,0,IF(AND(Mitarbeiter!$E$13&lt;&gt;"",GZ$5+6&lt;Mitarbeiter!$E$13),0,IF(AND(Mitarbeiter!$F$13&lt;&gt;"",GZ$5&gt;Mitarbeiter!$F$13),0,IF(Planung!GZ15="",$C15,IF(ISNUMBER(Planung!GZ15),Planung!GZ15,IF(UPPER(Planung!GZ15)="H",$C15/2,0)))))))</f>
        <v>0</v>
      </c>
      <c r="HA15" s="27">
        <f>IF($A15="",0,IF(Mitarbeiter!$G$13=FALSE,0,IF(AND(Mitarbeiter!$E$13&lt;&gt;"",HA$5+6&lt;Mitarbeiter!$E$13),0,IF(AND(Mitarbeiter!$F$13&lt;&gt;"",HA$5&gt;Mitarbeiter!$F$13),0,IF(Planung!HA15="",$C15,IF(ISNUMBER(Planung!HA15),Planung!HA15,IF(UPPER(Planung!HA15)="H",$C15/2,0)))))))</f>
        <v>0</v>
      </c>
      <c r="HB15" s="27">
        <f>IF($A15="",0,IF(Mitarbeiter!$G$13=FALSE,0,IF(AND(Mitarbeiter!$E$13&lt;&gt;"",HB$5+6&lt;Mitarbeiter!$E$13),0,IF(AND(Mitarbeiter!$F$13&lt;&gt;"",HB$5&gt;Mitarbeiter!$F$13),0,IF(Planung!HB15="",$C15,IF(ISNUMBER(Planung!HB15),Planung!HB15,IF(UPPER(Planung!HB15)="H",$C15/2,0)))))))</f>
        <v>0</v>
      </c>
      <c r="HC15" s="27">
        <f>IF($A15="",0,IF(Mitarbeiter!$G$13=FALSE,0,IF(AND(Mitarbeiter!$E$13&lt;&gt;"",HC$5+6&lt;Mitarbeiter!$E$13),0,IF(AND(Mitarbeiter!$F$13&lt;&gt;"",HC$5&gt;Mitarbeiter!$F$13),0,IF(Planung!HC15="",$C15,IF(ISNUMBER(Planung!HC15),Planung!HC15,IF(UPPER(Planung!HC15)="H",$C15/2,0)))))))</f>
        <v>0</v>
      </c>
      <c r="HD15" s="27">
        <f>IF($A15="",0,IF(Mitarbeiter!$G$13=FALSE,0,IF(AND(Mitarbeiter!$E$13&lt;&gt;"",HD$5+6&lt;Mitarbeiter!$E$13),0,IF(AND(Mitarbeiter!$F$13&lt;&gt;"",HD$5&gt;Mitarbeiter!$F$13),0,IF(Planung!HD15="",$C15,IF(ISNUMBER(Planung!HD15),Planung!HD15,IF(UPPER(Planung!HD15)="H",$C15/2,0)))))))</f>
        <v>0</v>
      </c>
      <c r="HE15" s="27">
        <f>IF($A15="",0,IF(Mitarbeiter!$G$13=FALSE,0,IF(AND(Mitarbeiter!$E$13&lt;&gt;"",HE$5+6&lt;Mitarbeiter!$E$13),0,IF(AND(Mitarbeiter!$F$13&lt;&gt;"",HE$5&gt;Mitarbeiter!$F$13),0,IF(Planung!HE15="",$C15,IF(ISNUMBER(Planung!HE15),Planung!HE15,IF(UPPER(Planung!HE15)="H",$C15/2,0)))))))</f>
        <v>0</v>
      </c>
      <c r="HF15" s="27">
        <f>IF($A15="",0,IF(Mitarbeiter!$G$13=FALSE,0,IF(AND(Mitarbeiter!$E$13&lt;&gt;"",HF$5+6&lt;Mitarbeiter!$E$13),0,IF(AND(Mitarbeiter!$F$13&lt;&gt;"",HF$5&gt;Mitarbeiter!$F$13),0,IF(Planung!HF15="",$C15,IF(ISNUMBER(Planung!HF15),Planung!HF15,IF(UPPER(Planung!HF15)="H",$C15/2,0)))))))</f>
        <v>0</v>
      </c>
      <c r="HG15" s="27">
        <f>IF($A15="",0,IF(Mitarbeiter!$G$13=FALSE,0,IF(AND(Mitarbeiter!$E$13&lt;&gt;"",HG$5+6&lt;Mitarbeiter!$E$13),0,IF(AND(Mitarbeiter!$F$13&lt;&gt;"",HG$5&gt;Mitarbeiter!$F$13),0,IF(Planung!HG15="",$C15,IF(ISNUMBER(Planung!HG15),Planung!HG15,IF(UPPER(Planung!HG15)="H",$C15/2,0)))))))</f>
        <v>0</v>
      </c>
      <c r="HH15" s="27">
        <f>IF($A15="",0,IF(Mitarbeiter!$G$13=FALSE,0,IF(AND(Mitarbeiter!$E$13&lt;&gt;"",HH$5+6&lt;Mitarbeiter!$E$13),0,IF(AND(Mitarbeiter!$F$13&lt;&gt;"",HH$5&gt;Mitarbeiter!$F$13),0,IF(Planung!HH15="",$C15,IF(ISNUMBER(Planung!HH15),Planung!HH15,IF(UPPER(Planung!HH15)="H",$C15/2,0)))))))</f>
        <v>0</v>
      </c>
      <c r="HI15" s="27">
        <f>IF($A15="",0,IF(Mitarbeiter!$G$13=FALSE,0,IF(AND(Mitarbeiter!$E$13&lt;&gt;"",HI$5+6&lt;Mitarbeiter!$E$13),0,IF(AND(Mitarbeiter!$F$13&lt;&gt;"",HI$5&gt;Mitarbeiter!$F$13),0,IF(Planung!HI15="",$C15,IF(ISNUMBER(Planung!HI15),Planung!HI15,IF(UPPER(Planung!HI15)="H",$C15/2,0)))))))</f>
        <v>0</v>
      </c>
      <c r="HJ15" s="27">
        <f>IF($A15="",0,IF(Mitarbeiter!$G$13=FALSE,0,IF(AND(Mitarbeiter!$E$13&lt;&gt;"",HJ$5+6&lt;Mitarbeiter!$E$13),0,IF(AND(Mitarbeiter!$F$13&lt;&gt;"",HJ$5&gt;Mitarbeiter!$F$13),0,IF(Planung!HJ15="",$C15,IF(ISNUMBER(Planung!HJ15),Planung!HJ15,IF(UPPER(Planung!HJ15)="H",$C15/2,0)))))))</f>
        <v>0</v>
      </c>
      <c r="HK15" s="27">
        <f>IF($A15="",0,IF(Mitarbeiter!$G$13=FALSE,0,IF(AND(Mitarbeiter!$E$13&lt;&gt;"",HK$5+6&lt;Mitarbeiter!$E$13),0,IF(AND(Mitarbeiter!$F$13&lt;&gt;"",HK$5&gt;Mitarbeiter!$F$13),0,IF(Planung!HK15="",$C15,IF(ISNUMBER(Planung!HK15),Planung!HK15,IF(UPPER(Planung!HK15)="H",$C15/2,0)))))))</f>
        <v>0</v>
      </c>
      <c r="HL15" s="27">
        <f>IF($A15="",0,IF(Mitarbeiter!$G$13=FALSE,0,IF(AND(Mitarbeiter!$E$13&lt;&gt;"",HL$5+6&lt;Mitarbeiter!$E$13),0,IF(AND(Mitarbeiter!$F$13&lt;&gt;"",HL$5&gt;Mitarbeiter!$F$13),0,IF(Planung!HL15="",$C15,IF(ISNUMBER(Planung!HL15),Planung!HL15,IF(UPPER(Planung!HL15)="H",$C15/2,0)))))))</f>
        <v>0</v>
      </c>
      <c r="HM15" s="27">
        <f>IF($A15="",0,IF(Mitarbeiter!$G$13=FALSE,0,IF(AND(Mitarbeiter!$E$13&lt;&gt;"",HM$5+6&lt;Mitarbeiter!$E$13),0,IF(AND(Mitarbeiter!$F$13&lt;&gt;"",HM$5&gt;Mitarbeiter!$F$13),0,IF(Planung!HM15="",$C15,IF(ISNUMBER(Planung!HM15),Planung!HM15,IF(UPPER(Planung!HM15)="H",$C15/2,0)))))))</f>
        <v>0</v>
      </c>
      <c r="HN15" s="27">
        <f>IF($A15="",0,IF(Mitarbeiter!$G$13=FALSE,0,IF(AND(Mitarbeiter!$E$13&lt;&gt;"",HN$5+6&lt;Mitarbeiter!$E$13),0,IF(AND(Mitarbeiter!$F$13&lt;&gt;"",HN$5&gt;Mitarbeiter!$F$13),0,IF(Planung!HN15="",$C15,IF(ISNUMBER(Planung!HN15),Planung!HN15,IF(UPPER(Planung!HN15)="H",$C15/2,0)))))))</f>
        <v>0</v>
      </c>
      <c r="HO15" s="27">
        <f>IF($A15="",0,IF(Mitarbeiter!$G$13=FALSE,0,IF(AND(Mitarbeiter!$E$13&lt;&gt;"",HO$5+6&lt;Mitarbeiter!$E$13),0,IF(AND(Mitarbeiter!$F$13&lt;&gt;"",HO$5&gt;Mitarbeiter!$F$13),0,IF(Planung!HO15="",$C15,IF(ISNUMBER(Planung!HO15),Planung!HO15,IF(UPPER(Planung!HO15)="H",$C15/2,0)))))))</f>
        <v>0</v>
      </c>
      <c r="HP15" s="27">
        <f>IF($A15="",0,IF(Mitarbeiter!$G$13=FALSE,0,IF(AND(Mitarbeiter!$E$13&lt;&gt;"",HP$5+6&lt;Mitarbeiter!$E$13),0,IF(AND(Mitarbeiter!$F$13&lt;&gt;"",HP$5&gt;Mitarbeiter!$F$13),0,IF(Planung!HP15="",$C15,IF(ISNUMBER(Planung!HP15),Planung!HP15,IF(UPPER(Planung!HP15)="H",$C15/2,0)))))))</f>
        <v>0</v>
      </c>
      <c r="HQ15" s="27">
        <f>IF($A15="",0,IF(Mitarbeiter!$G$13=FALSE,0,IF(AND(Mitarbeiter!$E$13&lt;&gt;"",HQ$5+6&lt;Mitarbeiter!$E$13),0,IF(AND(Mitarbeiter!$F$13&lt;&gt;"",HQ$5&gt;Mitarbeiter!$F$13),0,IF(Planung!HQ15="",$C15,IF(ISNUMBER(Planung!HQ15),Planung!HQ15,IF(UPPER(Planung!HQ15)="H",$C15/2,0)))))))</f>
        <v>0</v>
      </c>
      <c r="HR15" s="27">
        <f>IF($A15="",0,IF(Mitarbeiter!$G$13=FALSE,0,IF(AND(Mitarbeiter!$E$13&lt;&gt;"",HR$5+6&lt;Mitarbeiter!$E$13),0,IF(AND(Mitarbeiter!$F$13&lt;&gt;"",HR$5&gt;Mitarbeiter!$F$13),0,IF(Planung!HR15="",$C15,IF(ISNUMBER(Planung!HR15),Planung!HR15,IF(UPPER(Planung!HR15)="H",$C15/2,0)))))))</f>
        <v>0</v>
      </c>
      <c r="HS15" s="27">
        <f>IF($A15="",0,IF(Mitarbeiter!$G$13=FALSE,0,IF(AND(Mitarbeiter!$E$13&lt;&gt;"",HS$5+6&lt;Mitarbeiter!$E$13),0,IF(AND(Mitarbeiter!$F$13&lt;&gt;"",HS$5&gt;Mitarbeiter!$F$13),0,IF(Planung!HS15="",$C15,IF(ISNUMBER(Planung!HS15),Planung!HS15,IF(UPPER(Planung!HS15)="H",$C15/2,0)))))))</f>
        <v>0</v>
      </c>
      <c r="HT15" s="27">
        <f>IF($A15="",0,IF(Mitarbeiter!$G$13=FALSE,0,IF(AND(Mitarbeiter!$E$13&lt;&gt;"",HT$5+6&lt;Mitarbeiter!$E$13),0,IF(AND(Mitarbeiter!$F$13&lt;&gt;"",HT$5&gt;Mitarbeiter!$F$13),0,IF(Planung!HT15="",$C15,IF(ISNUMBER(Planung!HT15),Planung!HT15,IF(UPPER(Planung!HT15)="H",$C15/2,0)))))))</f>
        <v>0</v>
      </c>
      <c r="HU15" s="27">
        <f>IF($A15="",0,IF(Mitarbeiter!$G$13=FALSE,0,IF(AND(Mitarbeiter!$E$13&lt;&gt;"",HU$5+6&lt;Mitarbeiter!$E$13),0,IF(AND(Mitarbeiter!$F$13&lt;&gt;"",HU$5&gt;Mitarbeiter!$F$13),0,IF(Planung!HU15="",$C15,IF(ISNUMBER(Planung!HU15),Planung!HU15,IF(UPPER(Planung!HU15)="H",$C15/2,0)))))))</f>
        <v>0</v>
      </c>
      <c r="HV15" s="27">
        <f>IF($A15="",0,IF(Mitarbeiter!$G$13=FALSE,0,IF(AND(Mitarbeiter!$E$13&lt;&gt;"",HV$5+6&lt;Mitarbeiter!$E$13),0,IF(AND(Mitarbeiter!$F$13&lt;&gt;"",HV$5&gt;Mitarbeiter!$F$13),0,IF(Planung!HV15="",$C15,IF(ISNUMBER(Planung!HV15),Planung!HV15,IF(UPPER(Planung!HV15)="H",$C15/2,0)))))))</f>
        <v>0</v>
      </c>
      <c r="HW15" s="27">
        <f>IF($A15="",0,IF(Mitarbeiter!$G$13=FALSE,0,IF(AND(Mitarbeiter!$E$13&lt;&gt;"",HW$5+6&lt;Mitarbeiter!$E$13),0,IF(AND(Mitarbeiter!$F$13&lt;&gt;"",HW$5&gt;Mitarbeiter!$F$13),0,IF(Planung!HW15="",$C15,IF(ISNUMBER(Planung!HW15),Planung!HW15,IF(UPPER(Planung!HW15)="H",$C15/2,0)))))))</f>
        <v>0</v>
      </c>
      <c r="HX15" s="27">
        <f>IF($A15="",0,IF(Mitarbeiter!$G$13=FALSE,0,IF(AND(Mitarbeiter!$E$13&lt;&gt;"",HX$5+6&lt;Mitarbeiter!$E$13),0,IF(AND(Mitarbeiter!$F$13&lt;&gt;"",HX$5&gt;Mitarbeiter!$F$13),0,IF(Planung!HX15="",$C15,IF(ISNUMBER(Planung!HX15),Planung!HX15,IF(UPPER(Planung!HX15)="H",$C15/2,0)))))))</f>
        <v>0</v>
      </c>
      <c r="HY15" s="27">
        <f>IF($A15="",0,IF(Mitarbeiter!$G$13=FALSE,0,IF(AND(Mitarbeiter!$E$13&lt;&gt;"",HY$5+6&lt;Mitarbeiter!$E$13),0,IF(AND(Mitarbeiter!$F$13&lt;&gt;"",HY$5&gt;Mitarbeiter!$F$13),0,IF(Planung!HY15="",$C15,IF(ISNUMBER(Planung!HY15),Planung!HY15,IF(UPPER(Planung!HY15)="H",$C15/2,0)))))))</f>
        <v>0</v>
      </c>
      <c r="HZ15" s="27">
        <f>IF($A15="",0,IF(Mitarbeiter!$G$13=FALSE,0,IF(AND(Mitarbeiter!$E$13&lt;&gt;"",HZ$5+6&lt;Mitarbeiter!$E$13),0,IF(AND(Mitarbeiter!$F$13&lt;&gt;"",HZ$5&gt;Mitarbeiter!$F$13),0,IF(Planung!HZ15="",$C15,IF(ISNUMBER(Planung!HZ15),Planung!HZ15,IF(UPPER(Planung!HZ15)="H",$C15/2,0)))))))</f>
        <v>0</v>
      </c>
      <c r="IA15" s="27">
        <f>IF($A15="",0,IF(Mitarbeiter!$G$13=FALSE,0,IF(AND(Mitarbeiter!$E$13&lt;&gt;"",IA$5+6&lt;Mitarbeiter!$E$13),0,IF(AND(Mitarbeiter!$F$13&lt;&gt;"",IA$5&gt;Mitarbeiter!$F$13),0,IF(Planung!IA15="",$C15,IF(ISNUMBER(Planung!IA15),Planung!IA15,IF(UPPER(Planung!IA15)="H",$C15/2,0)))))))</f>
        <v>0</v>
      </c>
    </row>
    <row r="16" spans="1:235" x14ac:dyDescent="0.25">
      <c r="A16" s="7" t="str">
        <f>Planung!A16</f>
        <v/>
      </c>
      <c r="B16" s="7" t="str">
        <f>Planung!B16</f>
        <v/>
      </c>
      <c r="C16" s="27">
        <f>N(Mitarbeiter!$D$14)</f>
        <v>0</v>
      </c>
      <c r="D16" s="27">
        <f>IF($A16="",0,IF(Mitarbeiter!$G$14=FALSE,0,IF(AND(Mitarbeiter!$E$14&lt;&gt;"",D$5+6&lt;Mitarbeiter!$E$14),0,IF(AND(Mitarbeiter!$F$14&lt;&gt;"",D$5&gt;Mitarbeiter!$F$14),0,IF(Planung!D16="",$C16,IF(ISNUMBER(Planung!D16),Planung!D16,IF(UPPER(Planung!D16)="H",$C16/2,0)))))))</f>
        <v>0</v>
      </c>
      <c r="E16" s="27">
        <f>IF($A16="",0,IF(Mitarbeiter!$G$14=FALSE,0,IF(AND(Mitarbeiter!$E$14&lt;&gt;"",E$5+6&lt;Mitarbeiter!$E$14),0,IF(AND(Mitarbeiter!$F$14&lt;&gt;"",E$5&gt;Mitarbeiter!$F$14),0,IF(Planung!E16="",$C16,IF(ISNUMBER(Planung!E16),Planung!E16,IF(UPPER(Planung!E16)="H",$C16/2,0)))))))</f>
        <v>0</v>
      </c>
      <c r="F16" s="27">
        <f>IF($A16="",0,IF(Mitarbeiter!$G$14=FALSE,0,IF(AND(Mitarbeiter!$E$14&lt;&gt;"",F$5+6&lt;Mitarbeiter!$E$14),0,IF(AND(Mitarbeiter!$F$14&lt;&gt;"",F$5&gt;Mitarbeiter!$F$14),0,IF(Planung!F16="",$C16,IF(ISNUMBER(Planung!F16),Planung!F16,IF(UPPER(Planung!F16)="H",$C16/2,0)))))))</f>
        <v>0</v>
      </c>
      <c r="G16" s="27">
        <f>IF($A16="",0,IF(Mitarbeiter!$G$14=FALSE,0,IF(AND(Mitarbeiter!$E$14&lt;&gt;"",G$5+6&lt;Mitarbeiter!$E$14),0,IF(AND(Mitarbeiter!$F$14&lt;&gt;"",G$5&gt;Mitarbeiter!$F$14),0,IF(Planung!G16="",$C16,IF(ISNUMBER(Planung!G16),Planung!G16,IF(UPPER(Planung!G16)="H",$C16/2,0)))))))</f>
        <v>0</v>
      </c>
      <c r="H16" s="27">
        <f>IF($A16="",0,IF(Mitarbeiter!$G$14=FALSE,0,IF(AND(Mitarbeiter!$E$14&lt;&gt;"",H$5+6&lt;Mitarbeiter!$E$14),0,IF(AND(Mitarbeiter!$F$14&lt;&gt;"",H$5&gt;Mitarbeiter!$F$14),0,IF(Planung!H16="",$C16,IF(ISNUMBER(Planung!H16),Planung!H16,IF(UPPER(Planung!H16)="H",$C16/2,0)))))))</f>
        <v>0</v>
      </c>
      <c r="I16" s="27">
        <f>IF($A16="",0,IF(Mitarbeiter!$G$14=FALSE,0,IF(AND(Mitarbeiter!$E$14&lt;&gt;"",I$5+6&lt;Mitarbeiter!$E$14),0,IF(AND(Mitarbeiter!$F$14&lt;&gt;"",I$5&gt;Mitarbeiter!$F$14),0,IF(Planung!I16="",$C16,IF(ISNUMBER(Planung!I16),Planung!I16,IF(UPPER(Planung!I16)="H",$C16/2,0)))))))</f>
        <v>0</v>
      </c>
      <c r="J16" s="27">
        <f>IF($A16="",0,IF(Mitarbeiter!$G$14=FALSE,0,IF(AND(Mitarbeiter!$E$14&lt;&gt;"",J$5+6&lt;Mitarbeiter!$E$14),0,IF(AND(Mitarbeiter!$F$14&lt;&gt;"",J$5&gt;Mitarbeiter!$F$14),0,IF(Planung!J16="",$C16,IF(ISNUMBER(Planung!J16),Planung!J16,IF(UPPER(Planung!J16)="H",$C16/2,0)))))))</f>
        <v>0</v>
      </c>
      <c r="K16" s="27">
        <f>IF($A16="",0,IF(Mitarbeiter!$G$14=FALSE,0,IF(AND(Mitarbeiter!$E$14&lt;&gt;"",K$5+6&lt;Mitarbeiter!$E$14),0,IF(AND(Mitarbeiter!$F$14&lt;&gt;"",K$5&gt;Mitarbeiter!$F$14),0,IF(Planung!K16="",$C16,IF(ISNUMBER(Planung!K16),Planung!K16,IF(UPPER(Planung!K16)="H",$C16/2,0)))))))</f>
        <v>0</v>
      </c>
      <c r="L16" s="27">
        <f>IF($A16="",0,IF(Mitarbeiter!$G$14=FALSE,0,IF(AND(Mitarbeiter!$E$14&lt;&gt;"",L$5+6&lt;Mitarbeiter!$E$14),0,IF(AND(Mitarbeiter!$F$14&lt;&gt;"",L$5&gt;Mitarbeiter!$F$14),0,IF(Planung!L16="",$C16,IF(ISNUMBER(Planung!L16),Planung!L16,IF(UPPER(Planung!L16)="H",$C16/2,0)))))))</f>
        <v>0</v>
      </c>
      <c r="M16" s="27">
        <f>IF($A16="",0,IF(Mitarbeiter!$G$14=FALSE,0,IF(AND(Mitarbeiter!$E$14&lt;&gt;"",M$5+6&lt;Mitarbeiter!$E$14),0,IF(AND(Mitarbeiter!$F$14&lt;&gt;"",M$5&gt;Mitarbeiter!$F$14),0,IF(Planung!M16="",$C16,IF(ISNUMBER(Planung!M16),Planung!M16,IF(UPPER(Planung!M16)="H",$C16/2,0)))))))</f>
        <v>0</v>
      </c>
      <c r="N16" s="27">
        <f>IF($A16="",0,IF(Mitarbeiter!$G$14=FALSE,0,IF(AND(Mitarbeiter!$E$14&lt;&gt;"",N$5+6&lt;Mitarbeiter!$E$14),0,IF(AND(Mitarbeiter!$F$14&lt;&gt;"",N$5&gt;Mitarbeiter!$F$14),0,IF(Planung!N16="",$C16,IF(ISNUMBER(Planung!N16),Planung!N16,IF(UPPER(Planung!N16)="H",$C16/2,0)))))))</f>
        <v>0</v>
      </c>
      <c r="O16" s="27">
        <f>IF($A16="",0,IF(Mitarbeiter!$G$14=FALSE,0,IF(AND(Mitarbeiter!$E$14&lt;&gt;"",O$5+6&lt;Mitarbeiter!$E$14),0,IF(AND(Mitarbeiter!$F$14&lt;&gt;"",O$5&gt;Mitarbeiter!$F$14),0,IF(Planung!O16="",$C16,IF(ISNUMBER(Planung!O16),Planung!O16,IF(UPPER(Planung!O16)="H",$C16/2,0)))))))</f>
        <v>0</v>
      </c>
      <c r="P16" s="27">
        <f>IF($A16="",0,IF(Mitarbeiter!$G$14=FALSE,0,IF(AND(Mitarbeiter!$E$14&lt;&gt;"",P$5+6&lt;Mitarbeiter!$E$14),0,IF(AND(Mitarbeiter!$F$14&lt;&gt;"",P$5&gt;Mitarbeiter!$F$14),0,IF(Planung!P16="",$C16,IF(ISNUMBER(Planung!P16),Planung!P16,IF(UPPER(Planung!P16)="H",$C16/2,0)))))))</f>
        <v>0</v>
      </c>
      <c r="Q16" s="27">
        <f>IF($A16="",0,IF(Mitarbeiter!$G$14=FALSE,0,IF(AND(Mitarbeiter!$E$14&lt;&gt;"",Q$5+6&lt;Mitarbeiter!$E$14),0,IF(AND(Mitarbeiter!$F$14&lt;&gt;"",Q$5&gt;Mitarbeiter!$F$14),0,IF(Planung!Q16="",$C16,IF(ISNUMBER(Planung!Q16),Planung!Q16,IF(UPPER(Planung!Q16)="H",$C16/2,0)))))))</f>
        <v>0</v>
      </c>
      <c r="R16" s="27">
        <f>IF($A16="",0,IF(Mitarbeiter!$G$14=FALSE,0,IF(AND(Mitarbeiter!$E$14&lt;&gt;"",R$5+6&lt;Mitarbeiter!$E$14),0,IF(AND(Mitarbeiter!$F$14&lt;&gt;"",R$5&gt;Mitarbeiter!$F$14),0,IF(Planung!R16="",$C16,IF(ISNUMBER(Planung!R16),Planung!R16,IF(UPPER(Planung!R16)="H",$C16/2,0)))))))</f>
        <v>0</v>
      </c>
      <c r="S16" s="27">
        <f>IF($A16="",0,IF(Mitarbeiter!$G$14=FALSE,0,IF(AND(Mitarbeiter!$E$14&lt;&gt;"",S$5+6&lt;Mitarbeiter!$E$14),0,IF(AND(Mitarbeiter!$F$14&lt;&gt;"",S$5&gt;Mitarbeiter!$F$14),0,IF(Planung!S16="",$C16,IF(ISNUMBER(Planung!S16),Planung!S16,IF(UPPER(Planung!S16)="H",$C16/2,0)))))))</f>
        <v>0</v>
      </c>
      <c r="T16" s="27">
        <f>IF($A16="",0,IF(Mitarbeiter!$G$14=FALSE,0,IF(AND(Mitarbeiter!$E$14&lt;&gt;"",T$5+6&lt;Mitarbeiter!$E$14),0,IF(AND(Mitarbeiter!$F$14&lt;&gt;"",T$5&gt;Mitarbeiter!$F$14),0,IF(Planung!T16="",$C16,IF(ISNUMBER(Planung!T16),Planung!T16,IF(UPPER(Planung!T16)="H",$C16/2,0)))))))</f>
        <v>0</v>
      </c>
      <c r="U16" s="27">
        <f>IF($A16="",0,IF(Mitarbeiter!$G$14=FALSE,0,IF(AND(Mitarbeiter!$E$14&lt;&gt;"",U$5+6&lt;Mitarbeiter!$E$14),0,IF(AND(Mitarbeiter!$F$14&lt;&gt;"",U$5&gt;Mitarbeiter!$F$14),0,IF(Planung!U16="",$C16,IF(ISNUMBER(Planung!U16),Planung!U16,IF(UPPER(Planung!U16)="H",$C16/2,0)))))))</f>
        <v>0</v>
      </c>
      <c r="V16" s="27">
        <f>IF($A16="",0,IF(Mitarbeiter!$G$14=FALSE,0,IF(AND(Mitarbeiter!$E$14&lt;&gt;"",V$5+6&lt;Mitarbeiter!$E$14),0,IF(AND(Mitarbeiter!$F$14&lt;&gt;"",V$5&gt;Mitarbeiter!$F$14),0,IF(Planung!V16="",$C16,IF(ISNUMBER(Planung!V16),Planung!V16,IF(UPPER(Planung!V16)="H",$C16/2,0)))))))</f>
        <v>0</v>
      </c>
      <c r="W16" s="27">
        <f>IF($A16="",0,IF(Mitarbeiter!$G$14=FALSE,0,IF(AND(Mitarbeiter!$E$14&lt;&gt;"",W$5+6&lt;Mitarbeiter!$E$14),0,IF(AND(Mitarbeiter!$F$14&lt;&gt;"",W$5&gt;Mitarbeiter!$F$14),0,IF(Planung!W16="",$C16,IF(ISNUMBER(Planung!W16),Planung!W16,IF(UPPER(Planung!W16)="H",$C16/2,0)))))))</f>
        <v>0</v>
      </c>
      <c r="X16" s="27">
        <f>IF($A16="",0,IF(Mitarbeiter!$G$14=FALSE,0,IF(AND(Mitarbeiter!$E$14&lt;&gt;"",X$5+6&lt;Mitarbeiter!$E$14),0,IF(AND(Mitarbeiter!$F$14&lt;&gt;"",X$5&gt;Mitarbeiter!$F$14),0,IF(Planung!X16="",$C16,IF(ISNUMBER(Planung!X16),Planung!X16,IF(UPPER(Planung!X16)="H",$C16/2,0)))))))</f>
        <v>0</v>
      </c>
      <c r="Y16" s="27">
        <f>IF($A16="",0,IF(Mitarbeiter!$G$14=FALSE,0,IF(AND(Mitarbeiter!$E$14&lt;&gt;"",Y$5+6&lt;Mitarbeiter!$E$14),0,IF(AND(Mitarbeiter!$F$14&lt;&gt;"",Y$5&gt;Mitarbeiter!$F$14),0,IF(Planung!Y16="",$C16,IF(ISNUMBER(Planung!Y16),Planung!Y16,IF(UPPER(Planung!Y16)="H",$C16/2,0)))))))</f>
        <v>0</v>
      </c>
      <c r="Z16" s="27">
        <f>IF($A16="",0,IF(Mitarbeiter!$G$14=FALSE,0,IF(AND(Mitarbeiter!$E$14&lt;&gt;"",Z$5+6&lt;Mitarbeiter!$E$14),0,IF(AND(Mitarbeiter!$F$14&lt;&gt;"",Z$5&gt;Mitarbeiter!$F$14),0,IF(Planung!Z16="",$C16,IF(ISNUMBER(Planung!Z16),Planung!Z16,IF(UPPER(Planung!Z16)="H",$C16/2,0)))))))</f>
        <v>0</v>
      </c>
      <c r="AA16" s="27">
        <f>IF($A16="",0,IF(Mitarbeiter!$G$14=FALSE,0,IF(AND(Mitarbeiter!$E$14&lt;&gt;"",AA$5+6&lt;Mitarbeiter!$E$14),0,IF(AND(Mitarbeiter!$F$14&lt;&gt;"",AA$5&gt;Mitarbeiter!$F$14),0,IF(Planung!AA16="",$C16,IF(ISNUMBER(Planung!AA16),Planung!AA16,IF(UPPER(Planung!AA16)="H",$C16/2,0)))))))</f>
        <v>0</v>
      </c>
      <c r="AB16" s="27">
        <f>IF($A16="",0,IF(Mitarbeiter!$G$14=FALSE,0,IF(AND(Mitarbeiter!$E$14&lt;&gt;"",AB$5+6&lt;Mitarbeiter!$E$14),0,IF(AND(Mitarbeiter!$F$14&lt;&gt;"",AB$5&gt;Mitarbeiter!$F$14),0,IF(Planung!AB16="",$C16,IF(ISNUMBER(Planung!AB16),Planung!AB16,IF(UPPER(Planung!AB16)="H",$C16/2,0)))))))</f>
        <v>0</v>
      </c>
      <c r="AC16" s="27">
        <f>IF($A16="",0,IF(Mitarbeiter!$G$14=FALSE,0,IF(AND(Mitarbeiter!$E$14&lt;&gt;"",AC$5+6&lt;Mitarbeiter!$E$14),0,IF(AND(Mitarbeiter!$F$14&lt;&gt;"",AC$5&gt;Mitarbeiter!$F$14),0,IF(Planung!AC16="",$C16,IF(ISNUMBER(Planung!AC16),Planung!AC16,IF(UPPER(Planung!AC16)="H",$C16/2,0)))))))</f>
        <v>0</v>
      </c>
      <c r="AD16" s="27">
        <f>IF($A16="",0,IF(Mitarbeiter!$G$14=FALSE,0,IF(AND(Mitarbeiter!$E$14&lt;&gt;"",AD$5+6&lt;Mitarbeiter!$E$14),0,IF(AND(Mitarbeiter!$F$14&lt;&gt;"",AD$5&gt;Mitarbeiter!$F$14),0,IF(Planung!AD16="",$C16,IF(ISNUMBER(Planung!AD16),Planung!AD16,IF(UPPER(Planung!AD16)="H",$C16/2,0)))))))</f>
        <v>0</v>
      </c>
      <c r="AE16" s="27">
        <f>IF($A16="",0,IF(Mitarbeiter!$G$14=FALSE,0,IF(AND(Mitarbeiter!$E$14&lt;&gt;"",AE$5+6&lt;Mitarbeiter!$E$14),0,IF(AND(Mitarbeiter!$F$14&lt;&gt;"",AE$5&gt;Mitarbeiter!$F$14),0,IF(Planung!AE16="",$C16,IF(ISNUMBER(Planung!AE16),Planung!AE16,IF(UPPER(Planung!AE16)="H",$C16/2,0)))))))</f>
        <v>0</v>
      </c>
      <c r="AF16" s="27">
        <f>IF($A16="",0,IF(Mitarbeiter!$G$14=FALSE,0,IF(AND(Mitarbeiter!$E$14&lt;&gt;"",AF$5+6&lt;Mitarbeiter!$E$14),0,IF(AND(Mitarbeiter!$F$14&lt;&gt;"",AF$5&gt;Mitarbeiter!$F$14),0,IF(Planung!AF16="",$C16,IF(ISNUMBER(Planung!AF16),Planung!AF16,IF(UPPER(Planung!AF16)="H",$C16/2,0)))))))</f>
        <v>0</v>
      </c>
      <c r="AG16" s="27">
        <f>IF($A16="",0,IF(Mitarbeiter!$G$14=FALSE,0,IF(AND(Mitarbeiter!$E$14&lt;&gt;"",AG$5+6&lt;Mitarbeiter!$E$14),0,IF(AND(Mitarbeiter!$F$14&lt;&gt;"",AG$5&gt;Mitarbeiter!$F$14),0,IF(Planung!AG16="",$C16,IF(ISNUMBER(Planung!AG16),Planung!AG16,IF(UPPER(Planung!AG16)="H",$C16/2,0)))))))</f>
        <v>0</v>
      </c>
      <c r="AH16" s="27">
        <f>IF($A16="",0,IF(Mitarbeiter!$G$14=FALSE,0,IF(AND(Mitarbeiter!$E$14&lt;&gt;"",AH$5+6&lt;Mitarbeiter!$E$14),0,IF(AND(Mitarbeiter!$F$14&lt;&gt;"",AH$5&gt;Mitarbeiter!$F$14),0,IF(Planung!AH16="",$C16,IF(ISNUMBER(Planung!AH16),Planung!AH16,IF(UPPER(Planung!AH16)="H",$C16/2,0)))))))</f>
        <v>0</v>
      </c>
      <c r="AI16" s="27">
        <f>IF($A16="",0,IF(Mitarbeiter!$G$14=FALSE,0,IF(AND(Mitarbeiter!$E$14&lt;&gt;"",AI$5+6&lt;Mitarbeiter!$E$14),0,IF(AND(Mitarbeiter!$F$14&lt;&gt;"",AI$5&gt;Mitarbeiter!$F$14),0,IF(Planung!AI16="",$C16,IF(ISNUMBER(Planung!AI16),Planung!AI16,IF(UPPER(Planung!AI16)="H",$C16/2,0)))))))</f>
        <v>0</v>
      </c>
      <c r="AJ16" s="27">
        <f>IF($A16="",0,IF(Mitarbeiter!$G$14=FALSE,0,IF(AND(Mitarbeiter!$E$14&lt;&gt;"",AJ$5+6&lt;Mitarbeiter!$E$14),0,IF(AND(Mitarbeiter!$F$14&lt;&gt;"",AJ$5&gt;Mitarbeiter!$F$14),0,IF(Planung!AJ16="",$C16,IF(ISNUMBER(Planung!AJ16),Planung!AJ16,IF(UPPER(Planung!AJ16)="H",$C16/2,0)))))))</f>
        <v>0</v>
      </c>
      <c r="AK16" s="27">
        <f>IF($A16="",0,IF(Mitarbeiter!$G$14=FALSE,0,IF(AND(Mitarbeiter!$E$14&lt;&gt;"",AK$5+6&lt;Mitarbeiter!$E$14),0,IF(AND(Mitarbeiter!$F$14&lt;&gt;"",AK$5&gt;Mitarbeiter!$F$14),0,IF(Planung!AK16="",$C16,IF(ISNUMBER(Planung!AK16),Planung!AK16,IF(UPPER(Planung!AK16)="H",$C16/2,0)))))))</f>
        <v>0</v>
      </c>
      <c r="AL16" s="27">
        <f>IF($A16="",0,IF(Mitarbeiter!$G$14=FALSE,0,IF(AND(Mitarbeiter!$E$14&lt;&gt;"",AL$5+6&lt;Mitarbeiter!$E$14),0,IF(AND(Mitarbeiter!$F$14&lt;&gt;"",AL$5&gt;Mitarbeiter!$F$14),0,IF(Planung!AL16="",$C16,IF(ISNUMBER(Planung!AL16),Planung!AL16,IF(UPPER(Planung!AL16)="H",$C16/2,0)))))))</f>
        <v>0</v>
      </c>
      <c r="AM16" s="27">
        <f>IF($A16="",0,IF(Mitarbeiter!$G$14=FALSE,0,IF(AND(Mitarbeiter!$E$14&lt;&gt;"",AM$5+6&lt;Mitarbeiter!$E$14),0,IF(AND(Mitarbeiter!$F$14&lt;&gt;"",AM$5&gt;Mitarbeiter!$F$14),0,IF(Planung!AM16="",$C16,IF(ISNUMBER(Planung!AM16),Planung!AM16,IF(UPPER(Planung!AM16)="H",$C16/2,0)))))))</f>
        <v>0</v>
      </c>
      <c r="AN16" s="27">
        <f>IF($A16="",0,IF(Mitarbeiter!$G$14=FALSE,0,IF(AND(Mitarbeiter!$E$14&lt;&gt;"",AN$5+6&lt;Mitarbeiter!$E$14),0,IF(AND(Mitarbeiter!$F$14&lt;&gt;"",AN$5&gt;Mitarbeiter!$F$14),0,IF(Planung!AN16="",$C16,IF(ISNUMBER(Planung!AN16),Planung!AN16,IF(UPPER(Planung!AN16)="H",$C16/2,0)))))))</f>
        <v>0</v>
      </c>
      <c r="AO16" s="27">
        <f>IF($A16="",0,IF(Mitarbeiter!$G$14=FALSE,0,IF(AND(Mitarbeiter!$E$14&lt;&gt;"",AO$5+6&lt;Mitarbeiter!$E$14),0,IF(AND(Mitarbeiter!$F$14&lt;&gt;"",AO$5&gt;Mitarbeiter!$F$14),0,IF(Planung!AO16="",$C16,IF(ISNUMBER(Planung!AO16),Planung!AO16,IF(UPPER(Planung!AO16)="H",$C16/2,0)))))))</f>
        <v>0</v>
      </c>
      <c r="AP16" s="27">
        <f>IF($A16="",0,IF(Mitarbeiter!$G$14=FALSE,0,IF(AND(Mitarbeiter!$E$14&lt;&gt;"",AP$5+6&lt;Mitarbeiter!$E$14),0,IF(AND(Mitarbeiter!$F$14&lt;&gt;"",AP$5&gt;Mitarbeiter!$F$14),0,IF(Planung!AP16="",$C16,IF(ISNUMBER(Planung!AP16),Planung!AP16,IF(UPPER(Planung!AP16)="H",$C16/2,0)))))))</f>
        <v>0</v>
      </c>
      <c r="AQ16" s="27">
        <f>IF($A16="",0,IF(Mitarbeiter!$G$14=FALSE,0,IF(AND(Mitarbeiter!$E$14&lt;&gt;"",AQ$5+6&lt;Mitarbeiter!$E$14),0,IF(AND(Mitarbeiter!$F$14&lt;&gt;"",AQ$5&gt;Mitarbeiter!$F$14),0,IF(Planung!AQ16="",$C16,IF(ISNUMBER(Planung!AQ16),Planung!AQ16,IF(UPPER(Planung!AQ16)="H",$C16/2,0)))))))</f>
        <v>0</v>
      </c>
      <c r="AR16" s="27">
        <f>IF($A16="",0,IF(Mitarbeiter!$G$14=FALSE,0,IF(AND(Mitarbeiter!$E$14&lt;&gt;"",AR$5+6&lt;Mitarbeiter!$E$14),0,IF(AND(Mitarbeiter!$F$14&lt;&gt;"",AR$5&gt;Mitarbeiter!$F$14),0,IF(Planung!AR16="",$C16,IF(ISNUMBER(Planung!AR16),Planung!AR16,IF(UPPER(Planung!AR16)="H",$C16/2,0)))))))</f>
        <v>0</v>
      </c>
      <c r="AS16" s="27">
        <f>IF($A16="",0,IF(Mitarbeiter!$G$14=FALSE,0,IF(AND(Mitarbeiter!$E$14&lt;&gt;"",AS$5+6&lt;Mitarbeiter!$E$14),0,IF(AND(Mitarbeiter!$F$14&lt;&gt;"",AS$5&gt;Mitarbeiter!$F$14),0,IF(Planung!AS16="",$C16,IF(ISNUMBER(Planung!AS16),Planung!AS16,IF(UPPER(Planung!AS16)="H",$C16/2,0)))))))</f>
        <v>0</v>
      </c>
      <c r="AT16" s="27">
        <f>IF($A16="",0,IF(Mitarbeiter!$G$14=FALSE,0,IF(AND(Mitarbeiter!$E$14&lt;&gt;"",AT$5+6&lt;Mitarbeiter!$E$14),0,IF(AND(Mitarbeiter!$F$14&lt;&gt;"",AT$5&gt;Mitarbeiter!$F$14),0,IF(Planung!AT16="",$C16,IF(ISNUMBER(Planung!AT16),Planung!AT16,IF(UPPER(Planung!AT16)="H",$C16/2,0)))))))</f>
        <v>0</v>
      </c>
      <c r="AU16" s="27">
        <f>IF($A16="",0,IF(Mitarbeiter!$G$14=FALSE,0,IF(AND(Mitarbeiter!$E$14&lt;&gt;"",AU$5+6&lt;Mitarbeiter!$E$14),0,IF(AND(Mitarbeiter!$F$14&lt;&gt;"",AU$5&gt;Mitarbeiter!$F$14),0,IF(Planung!AU16="",$C16,IF(ISNUMBER(Planung!AU16),Planung!AU16,IF(UPPER(Planung!AU16)="H",$C16/2,0)))))))</f>
        <v>0</v>
      </c>
      <c r="AV16" s="27">
        <f>IF($A16="",0,IF(Mitarbeiter!$G$14=FALSE,0,IF(AND(Mitarbeiter!$E$14&lt;&gt;"",AV$5+6&lt;Mitarbeiter!$E$14),0,IF(AND(Mitarbeiter!$F$14&lt;&gt;"",AV$5&gt;Mitarbeiter!$F$14),0,IF(Planung!AV16="",$C16,IF(ISNUMBER(Planung!AV16),Planung!AV16,IF(UPPER(Planung!AV16)="H",$C16/2,0)))))))</f>
        <v>0</v>
      </c>
      <c r="AW16" s="27">
        <f>IF($A16="",0,IF(Mitarbeiter!$G$14=FALSE,0,IF(AND(Mitarbeiter!$E$14&lt;&gt;"",AW$5+6&lt;Mitarbeiter!$E$14),0,IF(AND(Mitarbeiter!$F$14&lt;&gt;"",AW$5&gt;Mitarbeiter!$F$14),0,IF(Planung!AW16="",$C16,IF(ISNUMBER(Planung!AW16),Planung!AW16,IF(UPPER(Planung!AW16)="H",$C16/2,0)))))))</f>
        <v>0</v>
      </c>
      <c r="AX16" s="27">
        <f>IF($A16="",0,IF(Mitarbeiter!$G$14=FALSE,0,IF(AND(Mitarbeiter!$E$14&lt;&gt;"",AX$5+6&lt;Mitarbeiter!$E$14),0,IF(AND(Mitarbeiter!$F$14&lt;&gt;"",AX$5&gt;Mitarbeiter!$F$14),0,IF(Planung!AX16="",$C16,IF(ISNUMBER(Planung!AX16),Planung!AX16,IF(UPPER(Planung!AX16)="H",$C16/2,0)))))))</f>
        <v>0</v>
      </c>
      <c r="AY16" s="27">
        <f>IF($A16="",0,IF(Mitarbeiter!$G$14=FALSE,0,IF(AND(Mitarbeiter!$E$14&lt;&gt;"",AY$5+6&lt;Mitarbeiter!$E$14),0,IF(AND(Mitarbeiter!$F$14&lt;&gt;"",AY$5&gt;Mitarbeiter!$F$14),0,IF(Planung!AY16="",$C16,IF(ISNUMBER(Planung!AY16),Planung!AY16,IF(UPPER(Planung!AY16)="H",$C16/2,0)))))))</f>
        <v>0</v>
      </c>
      <c r="AZ16" s="27">
        <f>IF($A16="",0,IF(Mitarbeiter!$G$14=FALSE,0,IF(AND(Mitarbeiter!$E$14&lt;&gt;"",AZ$5+6&lt;Mitarbeiter!$E$14),0,IF(AND(Mitarbeiter!$F$14&lt;&gt;"",AZ$5&gt;Mitarbeiter!$F$14),0,IF(Planung!AZ16="",$C16,IF(ISNUMBER(Planung!AZ16),Planung!AZ16,IF(UPPER(Planung!AZ16)="H",$C16/2,0)))))))</f>
        <v>0</v>
      </c>
      <c r="BA16" s="27">
        <f>IF($A16="",0,IF(Mitarbeiter!$G$14=FALSE,0,IF(AND(Mitarbeiter!$E$14&lt;&gt;"",BA$5+6&lt;Mitarbeiter!$E$14),0,IF(AND(Mitarbeiter!$F$14&lt;&gt;"",BA$5&gt;Mitarbeiter!$F$14),0,IF(Planung!BA16="",$C16,IF(ISNUMBER(Planung!BA16),Planung!BA16,IF(UPPER(Planung!BA16)="H",$C16/2,0)))))))</f>
        <v>0</v>
      </c>
      <c r="BB16" s="27">
        <f>IF($A16="",0,IF(Mitarbeiter!$G$14=FALSE,0,IF(AND(Mitarbeiter!$E$14&lt;&gt;"",BB$5+6&lt;Mitarbeiter!$E$14),0,IF(AND(Mitarbeiter!$F$14&lt;&gt;"",BB$5&gt;Mitarbeiter!$F$14),0,IF(Planung!BB16="",$C16,IF(ISNUMBER(Planung!BB16),Planung!BB16,IF(UPPER(Planung!BB16)="H",$C16/2,0)))))))</f>
        <v>0</v>
      </c>
      <c r="BC16" s="27">
        <f>IF($A16="",0,IF(Mitarbeiter!$G$14=FALSE,0,IF(AND(Mitarbeiter!$E$14&lt;&gt;"",BC$5+6&lt;Mitarbeiter!$E$14),0,IF(AND(Mitarbeiter!$F$14&lt;&gt;"",BC$5&gt;Mitarbeiter!$F$14),0,IF(Planung!BC16="",$C16,IF(ISNUMBER(Planung!BC16),Planung!BC16,IF(UPPER(Planung!BC16)="H",$C16/2,0)))))))</f>
        <v>0</v>
      </c>
      <c r="BD16" s="27">
        <f>IF($A16="",0,IF(Mitarbeiter!$G$14=FALSE,0,IF(AND(Mitarbeiter!$E$14&lt;&gt;"",BD$5+6&lt;Mitarbeiter!$E$14),0,IF(AND(Mitarbeiter!$F$14&lt;&gt;"",BD$5&gt;Mitarbeiter!$F$14),0,IF(Planung!BD16="",$C16,IF(ISNUMBER(Planung!BD16),Planung!BD16,IF(UPPER(Planung!BD16)="H",$C16/2,0)))))))</f>
        <v>0</v>
      </c>
      <c r="BE16" s="27">
        <f>IF($A16="",0,IF(Mitarbeiter!$G$14=FALSE,0,IF(AND(Mitarbeiter!$E$14&lt;&gt;"",BE$5+6&lt;Mitarbeiter!$E$14),0,IF(AND(Mitarbeiter!$F$14&lt;&gt;"",BE$5&gt;Mitarbeiter!$F$14),0,IF(Planung!BE16="",$C16,IF(ISNUMBER(Planung!BE16),Planung!BE16,IF(UPPER(Planung!BE16)="H",$C16/2,0)))))))</f>
        <v>0</v>
      </c>
      <c r="BF16" s="27">
        <f>IF($A16="",0,IF(Mitarbeiter!$G$14=FALSE,0,IF(AND(Mitarbeiter!$E$14&lt;&gt;"",BF$5+6&lt;Mitarbeiter!$E$14),0,IF(AND(Mitarbeiter!$F$14&lt;&gt;"",BF$5&gt;Mitarbeiter!$F$14),0,IF(Planung!BF16="",$C16,IF(ISNUMBER(Planung!BF16),Planung!BF16,IF(UPPER(Planung!BF16)="H",$C16/2,0)))))))</f>
        <v>0</v>
      </c>
      <c r="BG16" s="27">
        <f>IF($A16="",0,IF(Mitarbeiter!$G$14=FALSE,0,IF(AND(Mitarbeiter!$E$14&lt;&gt;"",BG$5+6&lt;Mitarbeiter!$E$14),0,IF(AND(Mitarbeiter!$F$14&lt;&gt;"",BG$5&gt;Mitarbeiter!$F$14),0,IF(Planung!BG16="",$C16,IF(ISNUMBER(Planung!BG16),Planung!BG16,IF(UPPER(Planung!BG16)="H",$C16/2,0)))))))</f>
        <v>0</v>
      </c>
      <c r="BH16" s="27">
        <f>IF($A16="",0,IF(Mitarbeiter!$G$14=FALSE,0,IF(AND(Mitarbeiter!$E$14&lt;&gt;"",BH$5+6&lt;Mitarbeiter!$E$14),0,IF(AND(Mitarbeiter!$F$14&lt;&gt;"",BH$5&gt;Mitarbeiter!$F$14),0,IF(Planung!BH16="",$C16,IF(ISNUMBER(Planung!BH16),Planung!BH16,IF(UPPER(Planung!BH16)="H",$C16/2,0)))))))</f>
        <v>0</v>
      </c>
      <c r="BI16" s="27">
        <f>IF($A16="",0,IF(Mitarbeiter!$G$14=FALSE,0,IF(AND(Mitarbeiter!$E$14&lt;&gt;"",BI$5+6&lt;Mitarbeiter!$E$14),0,IF(AND(Mitarbeiter!$F$14&lt;&gt;"",BI$5&gt;Mitarbeiter!$F$14),0,IF(Planung!BI16="",$C16,IF(ISNUMBER(Planung!BI16),Planung!BI16,IF(UPPER(Planung!BI16)="H",$C16/2,0)))))))</f>
        <v>0</v>
      </c>
      <c r="BJ16" s="27">
        <f>IF($A16="",0,IF(Mitarbeiter!$G$14=FALSE,0,IF(AND(Mitarbeiter!$E$14&lt;&gt;"",BJ$5+6&lt;Mitarbeiter!$E$14),0,IF(AND(Mitarbeiter!$F$14&lt;&gt;"",BJ$5&gt;Mitarbeiter!$F$14),0,IF(Planung!BJ16="",$C16,IF(ISNUMBER(Planung!BJ16),Planung!BJ16,IF(UPPER(Planung!BJ16)="H",$C16/2,0)))))))</f>
        <v>0</v>
      </c>
      <c r="BK16" s="27">
        <f>IF($A16="",0,IF(Mitarbeiter!$G$14=FALSE,0,IF(AND(Mitarbeiter!$E$14&lt;&gt;"",BK$5+6&lt;Mitarbeiter!$E$14),0,IF(AND(Mitarbeiter!$F$14&lt;&gt;"",BK$5&gt;Mitarbeiter!$F$14),0,IF(Planung!BK16="",$C16,IF(ISNUMBER(Planung!BK16),Planung!BK16,IF(UPPER(Planung!BK16)="H",$C16/2,0)))))))</f>
        <v>0</v>
      </c>
      <c r="BL16" s="27">
        <f>IF($A16="",0,IF(Mitarbeiter!$G$14=FALSE,0,IF(AND(Mitarbeiter!$E$14&lt;&gt;"",BL$5+6&lt;Mitarbeiter!$E$14),0,IF(AND(Mitarbeiter!$F$14&lt;&gt;"",BL$5&gt;Mitarbeiter!$F$14),0,IF(Planung!BL16="",$C16,IF(ISNUMBER(Planung!BL16),Planung!BL16,IF(UPPER(Planung!BL16)="H",$C16/2,0)))))))</f>
        <v>0</v>
      </c>
      <c r="BM16" s="27">
        <f>IF($A16="",0,IF(Mitarbeiter!$G$14=FALSE,0,IF(AND(Mitarbeiter!$E$14&lt;&gt;"",BM$5+6&lt;Mitarbeiter!$E$14),0,IF(AND(Mitarbeiter!$F$14&lt;&gt;"",BM$5&gt;Mitarbeiter!$F$14),0,IF(Planung!BM16="",$C16,IF(ISNUMBER(Planung!BM16),Planung!BM16,IF(UPPER(Planung!BM16)="H",$C16/2,0)))))))</f>
        <v>0</v>
      </c>
      <c r="BN16" s="27">
        <f>IF($A16="",0,IF(Mitarbeiter!$G$14=FALSE,0,IF(AND(Mitarbeiter!$E$14&lt;&gt;"",BN$5+6&lt;Mitarbeiter!$E$14),0,IF(AND(Mitarbeiter!$F$14&lt;&gt;"",BN$5&gt;Mitarbeiter!$F$14),0,IF(Planung!BN16="",$C16,IF(ISNUMBER(Planung!BN16),Planung!BN16,IF(UPPER(Planung!BN16)="H",$C16/2,0)))))))</f>
        <v>0</v>
      </c>
      <c r="BO16" s="27">
        <f>IF($A16="",0,IF(Mitarbeiter!$G$14=FALSE,0,IF(AND(Mitarbeiter!$E$14&lt;&gt;"",BO$5+6&lt;Mitarbeiter!$E$14),0,IF(AND(Mitarbeiter!$F$14&lt;&gt;"",BO$5&gt;Mitarbeiter!$F$14),0,IF(Planung!BO16="",$C16,IF(ISNUMBER(Planung!BO16),Planung!BO16,IF(UPPER(Planung!BO16)="H",$C16/2,0)))))))</f>
        <v>0</v>
      </c>
      <c r="BP16" s="27">
        <f>IF($A16="",0,IF(Mitarbeiter!$G$14=FALSE,0,IF(AND(Mitarbeiter!$E$14&lt;&gt;"",BP$5+6&lt;Mitarbeiter!$E$14),0,IF(AND(Mitarbeiter!$F$14&lt;&gt;"",BP$5&gt;Mitarbeiter!$F$14),0,IF(Planung!BP16="",$C16,IF(ISNUMBER(Planung!BP16),Planung!BP16,IF(UPPER(Planung!BP16)="H",$C16/2,0)))))))</f>
        <v>0</v>
      </c>
      <c r="BQ16" s="27">
        <f>IF($A16="",0,IF(Mitarbeiter!$G$14=FALSE,0,IF(AND(Mitarbeiter!$E$14&lt;&gt;"",BQ$5+6&lt;Mitarbeiter!$E$14),0,IF(AND(Mitarbeiter!$F$14&lt;&gt;"",BQ$5&gt;Mitarbeiter!$F$14),0,IF(Planung!BQ16="",$C16,IF(ISNUMBER(Planung!BQ16),Planung!BQ16,IF(UPPER(Planung!BQ16)="H",$C16/2,0)))))))</f>
        <v>0</v>
      </c>
      <c r="BR16" s="27">
        <f>IF($A16="",0,IF(Mitarbeiter!$G$14=FALSE,0,IF(AND(Mitarbeiter!$E$14&lt;&gt;"",BR$5+6&lt;Mitarbeiter!$E$14),0,IF(AND(Mitarbeiter!$F$14&lt;&gt;"",BR$5&gt;Mitarbeiter!$F$14),0,IF(Planung!BR16="",$C16,IF(ISNUMBER(Planung!BR16),Planung!BR16,IF(UPPER(Planung!BR16)="H",$C16/2,0)))))))</f>
        <v>0</v>
      </c>
      <c r="BS16" s="27">
        <f>IF($A16="",0,IF(Mitarbeiter!$G$14=FALSE,0,IF(AND(Mitarbeiter!$E$14&lt;&gt;"",BS$5+6&lt;Mitarbeiter!$E$14),0,IF(AND(Mitarbeiter!$F$14&lt;&gt;"",BS$5&gt;Mitarbeiter!$F$14),0,IF(Planung!BS16="",$C16,IF(ISNUMBER(Planung!BS16),Planung!BS16,IF(UPPER(Planung!BS16)="H",$C16/2,0)))))))</f>
        <v>0</v>
      </c>
      <c r="BT16" s="27">
        <f>IF($A16="",0,IF(Mitarbeiter!$G$14=FALSE,0,IF(AND(Mitarbeiter!$E$14&lt;&gt;"",BT$5+6&lt;Mitarbeiter!$E$14),0,IF(AND(Mitarbeiter!$F$14&lt;&gt;"",BT$5&gt;Mitarbeiter!$F$14),0,IF(Planung!BT16="",$C16,IF(ISNUMBER(Planung!BT16),Planung!BT16,IF(UPPER(Planung!BT16)="H",$C16/2,0)))))))</f>
        <v>0</v>
      </c>
      <c r="BU16" s="27">
        <f>IF($A16="",0,IF(Mitarbeiter!$G$14=FALSE,0,IF(AND(Mitarbeiter!$E$14&lt;&gt;"",BU$5+6&lt;Mitarbeiter!$E$14),0,IF(AND(Mitarbeiter!$F$14&lt;&gt;"",BU$5&gt;Mitarbeiter!$F$14),0,IF(Planung!BU16="",$C16,IF(ISNUMBER(Planung!BU16),Planung!BU16,IF(UPPER(Planung!BU16)="H",$C16/2,0)))))))</f>
        <v>0</v>
      </c>
      <c r="BV16" s="27">
        <f>IF($A16="",0,IF(Mitarbeiter!$G$14=FALSE,0,IF(AND(Mitarbeiter!$E$14&lt;&gt;"",BV$5+6&lt;Mitarbeiter!$E$14),0,IF(AND(Mitarbeiter!$F$14&lt;&gt;"",BV$5&gt;Mitarbeiter!$F$14),0,IF(Planung!BV16="",$C16,IF(ISNUMBER(Planung!BV16),Planung!BV16,IF(UPPER(Planung!BV16)="H",$C16/2,0)))))))</f>
        <v>0</v>
      </c>
      <c r="BW16" s="27">
        <f>IF($A16="",0,IF(Mitarbeiter!$G$14=FALSE,0,IF(AND(Mitarbeiter!$E$14&lt;&gt;"",BW$5+6&lt;Mitarbeiter!$E$14),0,IF(AND(Mitarbeiter!$F$14&lt;&gt;"",BW$5&gt;Mitarbeiter!$F$14),0,IF(Planung!BW16="",$C16,IF(ISNUMBER(Planung!BW16),Planung!BW16,IF(UPPER(Planung!BW16)="H",$C16/2,0)))))))</f>
        <v>0</v>
      </c>
      <c r="BX16" s="27">
        <f>IF($A16="",0,IF(Mitarbeiter!$G$14=FALSE,0,IF(AND(Mitarbeiter!$E$14&lt;&gt;"",BX$5+6&lt;Mitarbeiter!$E$14),0,IF(AND(Mitarbeiter!$F$14&lt;&gt;"",BX$5&gt;Mitarbeiter!$F$14),0,IF(Planung!BX16="",$C16,IF(ISNUMBER(Planung!BX16),Planung!BX16,IF(UPPER(Planung!BX16)="H",$C16/2,0)))))))</f>
        <v>0</v>
      </c>
      <c r="BY16" s="27">
        <f>IF($A16="",0,IF(Mitarbeiter!$G$14=FALSE,0,IF(AND(Mitarbeiter!$E$14&lt;&gt;"",BY$5+6&lt;Mitarbeiter!$E$14),0,IF(AND(Mitarbeiter!$F$14&lt;&gt;"",BY$5&gt;Mitarbeiter!$F$14),0,IF(Planung!BY16="",$C16,IF(ISNUMBER(Planung!BY16),Planung!BY16,IF(UPPER(Planung!BY16)="H",$C16/2,0)))))))</f>
        <v>0</v>
      </c>
      <c r="BZ16" s="27">
        <f>IF($A16="",0,IF(Mitarbeiter!$G$14=FALSE,0,IF(AND(Mitarbeiter!$E$14&lt;&gt;"",BZ$5+6&lt;Mitarbeiter!$E$14),0,IF(AND(Mitarbeiter!$F$14&lt;&gt;"",BZ$5&gt;Mitarbeiter!$F$14),0,IF(Planung!BZ16="",$C16,IF(ISNUMBER(Planung!BZ16),Planung!BZ16,IF(UPPER(Planung!BZ16)="H",$C16/2,0)))))))</f>
        <v>0</v>
      </c>
      <c r="CA16" s="27">
        <f>IF($A16="",0,IF(Mitarbeiter!$G$14=FALSE,0,IF(AND(Mitarbeiter!$E$14&lt;&gt;"",CA$5+6&lt;Mitarbeiter!$E$14),0,IF(AND(Mitarbeiter!$F$14&lt;&gt;"",CA$5&gt;Mitarbeiter!$F$14),0,IF(Planung!CA16="",$C16,IF(ISNUMBER(Planung!CA16),Planung!CA16,IF(UPPER(Planung!CA16)="H",$C16/2,0)))))))</f>
        <v>0</v>
      </c>
      <c r="CB16" s="27">
        <f>IF($A16="",0,IF(Mitarbeiter!$G$14=FALSE,0,IF(AND(Mitarbeiter!$E$14&lt;&gt;"",CB$5+6&lt;Mitarbeiter!$E$14),0,IF(AND(Mitarbeiter!$F$14&lt;&gt;"",CB$5&gt;Mitarbeiter!$F$14),0,IF(Planung!CB16="",$C16,IF(ISNUMBER(Planung!CB16),Planung!CB16,IF(UPPER(Planung!CB16)="H",$C16/2,0)))))))</f>
        <v>0</v>
      </c>
      <c r="CC16" s="27">
        <f>IF($A16="",0,IF(Mitarbeiter!$G$14=FALSE,0,IF(AND(Mitarbeiter!$E$14&lt;&gt;"",CC$5+6&lt;Mitarbeiter!$E$14),0,IF(AND(Mitarbeiter!$F$14&lt;&gt;"",CC$5&gt;Mitarbeiter!$F$14),0,IF(Planung!CC16="",$C16,IF(ISNUMBER(Planung!CC16),Planung!CC16,IF(UPPER(Planung!CC16)="H",$C16/2,0)))))))</f>
        <v>0</v>
      </c>
      <c r="CD16" s="27">
        <f>IF($A16="",0,IF(Mitarbeiter!$G$14=FALSE,0,IF(AND(Mitarbeiter!$E$14&lt;&gt;"",CD$5+6&lt;Mitarbeiter!$E$14),0,IF(AND(Mitarbeiter!$F$14&lt;&gt;"",CD$5&gt;Mitarbeiter!$F$14),0,IF(Planung!CD16="",$C16,IF(ISNUMBER(Planung!CD16),Planung!CD16,IF(UPPER(Planung!CD16)="H",$C16/2,0)))))))</f>
        <v>0</v>
      </c>
      <c r="CE16" s="27">
        <f>IF($A16="",0,IF(Mitarbeiter!$G$14=FALSE,0,IF(AND(Mitarbeiter!$E$14&lt;&gt;"",CE$5+6&lt;Mitarbeiter!$E$14),0,IF(AND(Mitarbeiter!$F$14&lt;&gt;"",CE$5&gt;Mitarbeiter!$F$14),0,IF(Planung!CE16="",$C16,IF(ISNUMBER(Planung!CE16),Planung!CE16,IF(UPPER(Planung!CE16)="H",$C16/2,0)))))))</f>
        <v>0</v>
      </c>
      <c r="CF16" s="27">
        <f>IF($A16="",0,IF(Mitarbeiter!$G$14=FALSE,0,IF(AND(Mitarbeiter!$E$14&lt;&gt;"",CF$5+6&lt;Mitarbeiter!$E$14),0,IF(AND(Mitarbeiter!$F$14&lt;&gt;"",CF$5&gt;Mitarbeiter!$F$14),0,IF(Planung!CF16="",$C16,IF(ISNUMBER(Planung!CF16),Planung!CF16,IF(UPPER(Planung!CF16)="H",$C16/2,0)))))))</f>
        <v>0</v>
      </c>
      <c r="CG16" s="27">
        <f>IF($A16="",0,IF(Mitarbeiter!$G$14=FALSE,0,IF(AND(Mitarbeiter!$E$14&lt;&gt;"",CG$5+6&lt;Mitarbeiter!$E$14),0,IF(AND(Mitarbeiter!$F$14&lt;&gt;"",CG$5&gt;Mitarbeiter!$F$14),0,IF(Planung!CG16="",$C16,IF(ISNUMBER(Planung!CG16),Planung!CG16,IF(UPPER(Planung!CG16)="H",$C16/2,0)))))))</f>
        <v>0</v>
      </c>
      <c r="CH16" s="27">
        <f>IF($A16="",0,IF(Mitarbeiter!$G$14=FALSE,0,IF(AND(Mitarbeiter!$E$14&lt;&gt;"",CH$5+6&lt;Mitarbeiter!$E$14),0,IF(AND(Mitarbeiter!$F$14&lt;&gt;"",CH$5&gt;Mitarbeiter!$F$14),0,IF(Planung!CH16="",$C16,IF(ISNUMBER(Planung!CH16),Planung!CH16,IF(UPPER(Planung!CH16)="H",$C16/2,0)))))))</f>
        <v>0</v>
      </c>
      <c r="CI16" s="27">
        <f>IF($A16="",0,IF(Mitarbeiter!$G$14=FALSE,0,IF(AND(Mitarbeiter!$E$14&lt;&gt;"",CI$5+6&lt;Mitarbeiter!$E$14),0,IF(AND(Mitarbeiter!$F$14&lt;&gt;"",CI$5&gt;Mitarbeiter!$F$14),0,IF(Planung!CI16="",$C16,IF(ISNUMBER(Planung!CI16),Planung!CI16,IF(UPPER(Planung!CI16)="H",$C16/2,0)))))))</f>
        <v>0</v>
      </c>
      <c r="CJ16" s="27">
        <f>IF($A16="",0,IF(Mitarbeiter!$G$14=FALSE,0,IF(AND(Mitarbeiter!$E$14&lt;&gt;"",CJ$5+6&lt;Mitarbeiter!$E$14),0,IF(AND(Mitarbeiter!$F$14&lt;&gt;"",CJ$5&gt;Mitarbeiter!$F$14),0,IF(Planung!CJ16="",$C16,IF(ISNUMBER(Planung!CJ16),Planung!CJ16,IF(UPPER(Planung!CJ16)="H",$C16/2,0)))))))</f>
        <v>0</v>
      </c>
      <c r="CK16" s="27">
        <f>IF($A16="",0,IF(Mitarbeiter!$G$14=FALSE,0,IF(AND(Mitarbeiter!$E$14&lt;&gt;"",CK$5+6&lt;Mitarbeiter!$E$14),0,IF(AND(Mitarbeiter!$F$14&lt;&gt;"",CK$5&gt;Mitarbeiter!$F$14),0,IF(Planung!CK16="",$C16,IF(ISNUMBER(Planung!CK16),Planung!CK16,IF(UPPER(Planung!CK16)="H",$C16/2,0)))))))</f>
        <v>0</v>
      </c>
      <c r="CL16" s="27">
        <f>IF($A16="",0,IF(Mitarbeiter!$G$14=FALSE,0,IF(AND(Mitarbeiter!$E$14&lt;&gt;"",CL$5+6&lt;Mitarbeiter!$E$14),0,IF(AND(Mitarbeiter!$F$14&lt;&gt;"",CL$5&gt;Mitarbeiter!$F$14),0,IF(Planung!CL16="",$C16,IF(ISNUMBER(Planung!CL16),Planung!CL16,IF(UPPER(Planung!CL16)="H",$C16/2,0)))))))</f>
        <v>0</v>
      </c>
      <c r="CM16" s="27">
        <f>IF($A16="",0,IF(Mitarbeiter!$G$14=FALSE,0,IF(AND(Mitarbeiter!$E$14&lt;&gt;"",CM$5+6&lt;Mitarbeiter!$E$14),0,IF(AND(Mitarbeiter!$F$14&lt;&gt;"",CM$5&gt;Mitarbeiter!$F$14),0,IF(Planung!CM16="",$C16,IF(ISNUMBER(Planung!CM16),Planung!CM16,IF(UPPER(Planung!CM16)="H",$C16/2,0)))))))</f>
        <v>0</v>
      </c>
      <c r="CN16" s="27">
        <f>IF($A16="",0,IF(Mitarbeiter!$G$14=FALSE,0,IF(AND(Mitarbeiter!$E$14&lt;&gt;"",CN$5+6&lt;Mitarbeiter!$E$14),0,IF(AND(Mitarbeiter!$F$14&lt;&gt;"",CN$5&gt;Mitarbeiter!$F$14),0,IF(Planung!CN16="",$C16,IF(ISNUMBER(Planung!CN16),Planung!CN16,IF(UPPER(Planung!CN16)="H",$C16/2,0)))))))</f>
        <v>0</v>
      </c>
      <c r="CO16" s="27">
        <f>IF($A16="",0,IF(Mitarbeiter!$G$14=FALSE,0,IF(AND(Mitarbeiter!$E$14&lt;&gt;"",CO$5+6&lt;Mitarbeiter!$E$14),0,IF(AND(Mitarbeiter!$F$14&lt;&gt;"",CO$5&gt;Mitarbeiter!$F$14),0,IF(Planung!CO16="",$C16,IF(ISNUMBER(Planung!CO16),Planung!CO16,IF(UPPER(Planung!CO16)="H",$C16/2,0)))))))</f>
        <v>0</v>
      </c>
      <c r="CP16" s="27">
        <f>IF($A16="",0,IF(Mitarbeiter!$G$14=FALSE,0,IF(AND(Mitarbeiter!$E$14&lt;&gt;"",CP$5+6&lt;Mitarbeiter!$E$14),0,IF(AND(Mitarbeiter!$F$14&lt;&gt;"",CP$5&gt;Mitarbeiter!$F$14),0,IF(Planung!CP16="",$C16,IF(ISNUMBER(Planung!CP16),Planung!CP16,IF(UPPER(Planung!CP16)="H",$C16/2,0)))))))</f>
        <v>0</v>
      </c>
      <c r="CQ16" s="27">
        <f>IF($A16="",0,IF(Mitarbeiter!$G$14=FALSE,0,IF(AND(Mitarbeiter!$E$14&lt;&gt;"",CQ$5+6&lt;Mitarbeiter!$E$14),0,IF(AND(Mitarbeiter!$F$14&lt;&gt;"",CQ$5&gt;Mitarbeiter!$F$14),0,IF(Planung!CQ16="",$C16,IF(ISNUMBER(Planung!CQ16),Planung!CQ16,IF(UPPER(Planung!CQ16)="H",$C16/2,0)))))))</f>
        <v>0</v>
      </c>
      <c r="CR16" s="27">
        <f>IF($A16="",0,IF(Mitarbeiter!$G$14=FALSE,0,IF(AND(Mitarbeiter!$E$14&lt;&gt;"",CR$5+6&lt;Mitarbeiter!$E$14),0,IF(AND(Mitarbeiter!$F$14&lt;&gt;"",CR$5&gt;Mitarbeiter!$F$14),0,IF(Planung!CR16="",$C16,IF(ISNUMBER(Planung!CR16),Planung!CR16,IF(UPPER(Planung!CR16)="H",$C16/2,0)))))))</f>
        <v>0</v>
      </c>
      <c r="CS16" s="27">
        <f>IF($A16="",0,IF(Mitarbeiter!$G$14=FALSE,0,IF(AND(Mitarbeiter!$E$14&lt;&gt;"",CS$5+6&lt;Mitarbeiter!$E$14),0,IF(AND(Mitarbeiter!$F$14&lt;&gt;"",CS$5&gt;Mitarbeiter!$F$14),0,IF(Planung!CS16="",$C16,IF(ISNUMBER(Planung!CS16),Planung!CS16,IF(UPPER(Planung!CS16)="H",$C16/2,0)))))))</f>
        <v>0</v>
      </c>
      <c r="CT16" s="27">
        <f>IF($A16="",0,IF(Mitarbeiter!$G$14=FALSE,0,IF(AND(Mitarbeiter!$E$14&lt;&gt;"",CT$5+6&lt;Mitarbeiter!$E$14),0,IF(AND(Mitarbeiter!$F$14&lt;&gt;"",CT$5&gt;Mitarbeiter!$F$14),0,IF(Planung!CT16="",$C16,IF(ISNUMBER(Planung!CT16),Planung!CT16,IF(UPPER(Planung!CT16)="H",$C16/2,0)))))))</f>
        <v>0</v>
      </c>
      <c r="CU16" s="27">
        <f>IF($A16="",0,IF(Mitarbeiter!$G$14=FALSE,0,IF(AND(Mitarbeiter!$E$14&lt;&gt;"",CU$5+6&lt;Mitarbeiter!$E$14),0,IF(AND(Mitarbeiter!$F$14&lt;&gt;"",CU$5&gt;Mitarbeiter!$F$14),0,IF(Planung!CU16="",$C16,IF(ISNUMBER(Planung!CU16),Planung!CU16,IF(UPPER(Planung!CU16)="H",$C16/2,0)))))))</f>
        <v>0</v>
      </c>
      <c r="CV16" s="27">
        <f>IF($A16="",0,IF(Mitarbeiter!$G$14=FALSE,0,IF(AND(Mitarbeiter!$E$14&lt;&gt;"",CV$5+6&lt;Mitarbeiter!$E$14),0,IF(AND(Mitarbeiter!$F$14&lt;&gt;"",CV$5&gt;Mitarbeiter!$F$14),0,IF(Planung!CV16="",$C16,IF(ISNUMBER(Planung!CV16),Planung!CV16,IF(UPPER(Planung!CV16)="H",$C16/2,0)))))))</f>
        <v>0</v>
      </c>
      <c r="CW16" s="27">
        <f>IF($A16="",0,IF(Mitarbeiter!$G$14=FALSE,0,IF(AND(Mitarbeiter!$E$14&lt;&gt;"",CW$5+6&lt;Mitarbeiter!$E$14),0,IF(AND(Mitarbeiter!$F$14&lt;&gt;"",CW$5&gt;Mitarbeiter!$F$14),0,IF(Planung!CW16="",$C16,IF(ISNUMBER(Planung!CW16),Planung!CW16,IF(UPPER(Planung!CW16)="H",$C16/2,0)))))))</f>
        <v>0</v>
      </c>
      <c r="CX16" s="27">
        <f>IF($A16="",0,IF(Mitarbeiter!$G$14=FALSE,0,IF(AND(Mitarbeiter!$E$14&lt;&gt;"",CX$5+6&lt;Mitarbeiter!$E$14),0,IF(AND(Mitarbeiter!$F$14&lt;&gt;"",CX$5&gt;Mitarbeiter!$F$14),0,IF(Planung!CX16="",$C16,IF(ISNUMBER(Planung!CX16),Planung!CX16,IF(UPPER(Planung!CX16)="H",$C16/2,0)))))))</f>
        <v>0</v>
      </c>
      <c r="CY16" s="27">
        <f>IF($A16="",0,IF(Mitarbeiter!$G$14=FALSE,0,IF(AND(Mitarbeiter!$E$14&lt;&gt;"",CY$5+6&lt;Mitarbeiter!$E$14),0,IF(AND(Mitarbeiter!$F$14&lt;&gt;"",CY$5&gt;Mitarbeiter!$F$14),0,IF(Planung!CY16="",$C16,IF(ISNUMBER(Planung!CY16),Planung!CY16,IF(UPPER(Planung!CY16)="H",$C16/2,0)))))))</f>
        <v>0</v>
      </c>
      <c r="CZ16" s="27">
        <f>IF($A16="",0,IF(Mitarbeiter!$G$14=FALSE,0,IF(AND(Mitarbeiter!$E$14&lt;&gt;"",CZ$5+6&lt;Mitarbeiter!$E$14),0,IF(AND(Mitarbeiter!$F$14&lt;&gt;"",CZ$5&gt;Mitarbeiter!$F$14),0,IF(Planung!CZ16="",$C16,IF(ISNUMBER(Planung!CZ16),Planung!CZ16,IF(UPPER(Planung!CZ16)="H",$C16/2,0)))))))</f>
        <v>0</v>
      </c>
      <c r="DA16" s="27">
        <f>IF($A16="",0,IF(Mitarbeiter!$G$14=FALSE,0,IF(AND(Mitarbeiter!$E$14&lt;&gt;"",DA$5+6&lt;Mitarbeiter!$E$14),0,IF(AND(Mitarbeiter!$F$14&lt;&gt;"",DA$5&gt;Mitarbeiter!$F$14),0,IF(Planung!DA16="",$C16,IF(ISNUMBER(Planung!DA16),Planung!DA16,IF(UPPER(Planung!DA16)="H",$C16/2,0)))))))</f>
        <v>0</v>
      </c>
      <c r="DB16" s="27">
        <f>IF($A16="",0,IF(Mitarbeiter!$G$14=FALSE,0,IF(AND(Mitarbeiter!$E$14&lt;&gt;"",DB$5+6&lt;Mitarbeiter!$E$14),0,IF(AND(Mitarbeiter!$F$14&lt;&gt;"",DB$5&gt;Mitarbeiter!$F$14),0,IF(Planung!DB16="",$C16,IF(ISNUMBER(Planung!DB16),Planung!DB16,IF(UPPER(Planung!DB16)="H",$C16/2,0)))))))</f>
        <v>0</v>
      </c>
      <c r="DC16" s="27">
        <f>IF($A16="",0,IF(Mitarbeiter!$G$14=FALSE,0,IF(AND(Mitarbeiter!$E$14&lt;&gt;"",DC$5+6&lt;Mitarbeiter!$E$14),0,IF(AND(Mitarbeiter!$F$14&lt;&gt;"",DC$5&gt;Mitarbeiter!$F$14),0,IF(Planung!DC16="",$C16,IF(ISNUMBER(Planung!DC16),Planung!DC16,IF(UPPER(Planung!DC16)="H",$C16/2,0)))))))</f>
        <v>0</v>
      </c>
      <c r="DD16" s="27">
        <f>IF($A16="",0,IF(Mitarbeiter!$G$14=FALSE,0,IF(AND(Mitarbeiter!$E$14&lt;&gt;"",DD$5+6&lt;Mitarbeiter!$E$14),0,IF(AND(Mitarbeiter!$F$14&lt;&gt;"",DD$5&gt;Mitarbeiter!$F$14),0,IF(Planung!DD16="",$C16,IF(ISNUMBER(Planung!DD16),Planung!DD16,IF(UPPER(Planung!DD16)="H",$C16/2,0)))))))</f>
        <v>0</v>
      </c>
      <c r="DE16" s="27">
        <f>IF($A16="",0,IF(Mitarbeiter!$G$14=FALSE,0,IF(AND(Mitarbeiter!$E$14&lt;&gt;"",DE$5+6&lt;Mitarbeiter!$E$14),0,IF(AND(Mitarbeiter!$F$14&lt;&gt;"",DE$5&gt;Mitarbeiter!$F$14),0,IF(Planung!DE16="",$C16,IF(ISNUMBER(Planung!DE16),Planung!DE16,IF(UPPER(Planung!DE16)="H",$C16/2,0)))))))</f>
        <v>0</v>
      </c>
      <c r="DF16" s="27">
        <f>IF($A16="",0,IF(Mitarbeiter!$G$14=FALSE,0,IF(AND(Mitarbeiter!$E$14&lt;&gt;"",DF$5+6&lt;Mitarbeiter!$E$14),0,IF(AND(Mitarbeiter!$F$14&lt;&gt;"",DF$5&gt;Mitarbeiter!$F$14),0,IF(Planung!DF16="",$C16,IF(ISNUMBER(Planung!DF16),Planung!DF16,IF(UPPER(Planung!DF16)="H",$C16/2,0)))))))</f>
        <v>0</v>
      </c>
      <c r="DG16" s="27">
        <f>IF($A16="",0,IF(Mitarbeiter!$G$14=FALSE,0,IF(AND(Mitarbeiter!$E$14&lt;&gt;"",DG$5+6&lt;Mitarbeiter!$E$14),0,IF(AND(Mitarbeiter!$F$14&lt;&gt;"",DG$5&gt;Mitarbeiter!$F$14),0,IF(Planung!DG16="",$C16,IF(ISNUMBER(Planung!DG16),Planung!DG16,IF(UPPER(Planung!DG16)="H",$C16/2,0)))))))</f>
        <v>0</v>
      </c>
      <c r="DH16" s="27">
        <f>IF($A16="",0,IF(Mitarbeiter!$G$14=FALSE,0,IF(AND(Mitarbeiter!$E$14&lt;&gt;"",DH$5+6&lt;Mitarbeiter!$E$14),0,IF(AND(Mitarbeiter!$F$14&lt;&gt;"",DH$5&gt;Mitarbeiter!$F$14),0,IF(Planung!DH16="",$C16,IF(ISNUMBER(Planung!DH16),Planung!DH16,IF(UPPER(Planung!DH16)="H",$C16/2,0)))))))</f>
        <v>0</v>
      </c>
      <c r="DI16" s="27">
        <f>IF($A16="",0,IF(Mitarbeiter!$G$14=FALSE,0,IF(AND(Mitarbeiter!$E$14&lt;&gt;"",DI$5+6&lt;Mitarbeiter!$E$14),0,IF(AND(Mitarbeiter!$F$14&lt;&gt;"",DI$5&gt;Mitarbeiter!$F$14),0,IF(Planung!DI16="",$C16,IF(ISNUMBER(Planung!DI16),Planung!DI16,IF(UPPER(Planung!DI16)="H",$C16/2,0)))))))</f>
        <v>0</v>
      </c>
      <c r="DJ16" s="27">
        <f>IF($A16="",0,IF(Mitarbeiter!$G$14=FALSE,0,IF(AND(Mitarbeiter!$E$14&lt;&gt;"",DJ$5+6&lt;Mitarbeiter!$E$14),0,IF(AND(Mitarbeiter!$F$14&lt;&gt;"",DJ$5&gt;Mitarbeiter!$F$14),0,IF(Planung!DJ16="",$C16,IF(ISNUMBER(Planung!DJ16),Planung!DJ16,IF(UPPER(Planung!DJ16)="H",$C16/2,0)))))))</f>
        <v>0</v>
      </c>
      <c r="DK16" s="27">
        <f>IF($A16="",0,IF(Mitarbeiter!$G$14=FALSE,0,IF(AND(Mitarbeiter!$E$14&lt;&gt;"",DK$5+6&lt;Mitarbeiter!$E$14),0,IF(AND(Mitarbeiter!$F$14&lt;&gt;"",DK$5&gt;Mitarbeiter!$F$14),0,IF(Planung!DK16="",$C16,IF(ISNUMBER(Planung!DK16),Planung!DK16,IF(UPPER(Planung!DK16)="H",$C16/2,0)))))))</f>
        <v>0</v>
      </c>
      <c r="DL16" s="27">
        <f>IF($A16="",0,IF(Mitarbeiter!$G$14=FALSE,0,IF(AND(Mitarbeiter!$E$14&lt;&gt;"",DL$5+6&lt;Mitarbeiter!$E$14),0,IF(AND(Mitarbeiter!$F$14&lt;&gt;"",DL$5&gt;Mitarbeiter!$F$14),0,IF(Planung!DL16="",$C16,IF(ISNUMBER(Planung!DL16),Planung!DL16,IF(UPPER(Planung!DL16)="H",$C16/2,0)))))))</f>
        <v>0</v>
      </c>
      <c r="DM16" s="27">
        <f>IF($A16="",0,IF(Mitarbeiter!$G$14=FALSE,0,IF(AND(Mitarbeiter!$E$14&lt;&gt;"",DM$5+6&lt;Mitarbeiter!$E$14),0,IF(AND(Mitarbeiter!$F$14&lt;&gt;"",DM$5&gt;Mitarbeiter!$F$14),0,IF(Planung!DM16="",$C16,IF(ISNUMBER(Planung!DM16),Planung!DM16,IF(UPPER(Planung!DM16)="H",$C16/2,0)))))))</f>
        <v>0</v>
      </c>
      <c r="DN16" s="27">
        <f>IF($A16="",0,IF(Mitarbeiter!$G$14=FALSE,0,IF(AND(Mitarbeiter!$E$14&lt;&gt;"",DN$5+6&lt;Mitarbeiter!$E$14),0,IF(AND(Mitarbeiter!$F$14&lt;&gt;"",DN$5&gt;Mitarbeiter!$F$14),0,IF(Planung!DN16="",$C16,IF(ISNUMBER(Planung!DN16),Planung!DN16,IF(UPPER(Planung!DN16)="H",$C16/2,0)))))))</f>
        <v>0</v>
      </c>
      <c r="DO16" s="27">
        <f>IF($A16="",0,IF(Mitarbeiter!$G$14=FALSE,0,IF(AND(Mitarbeiter!$E$14&lt;&gt;"",DO$5+6&lt;Mitarbeiter!$E$14),0,IF(AND(Mitarbeiter!$F$14&lt;&gt;"",DO$5&gt;Mitarbeiter!$F$14),0,IF(Planung!DO16="",$C16,IF(ISNUMBER(Planung!DO16),Planung!DO16,IF(UPPER(Planung!DO16)="H",$C16/2,0)))))))</f>
        <v>0</v>
      </c>
      <c r="DP16" s="27">
        <f>IF($A16="",0,IF(Mitarbeiter!$G$14=FALSE,0,IF(AND(Mitarbeiter!$E$14&lt;&gt;"",DP$5+6&lt;Mitarbeiter!$E$14),0,IF(AND(Mitarbeiter!$F$14&lt;&gt;"",DP$5&gt;Mitarbeiter!$F$14),0,IF(Planung!DP16="",$C16,IF(ISNUMBER(Planung!DP16),Planung!DP16,IF(UPPER(Planung!DP16)="H",$C16/2,0)))))))</f>
        <v>0</v>
      </c>
      <c r="DQ16" s="27">
        <f>IF($A16="",0,IF(Mitarbeiter!$G$14=FALSE,0,IF(AND(Mitarbeiter!$E$14&lt;&gt;"",DQ$5+6&lt;Mitarbeiter!$E$14),0,IF(AND(Mitarbeiter!$F$14&lt;&gt;"",DQ$5&gt;Mitarbeiter!$F$14),0,IF(Planung!DQ16="",$C16,IF(ISNUMBER(Planung!DQ16),Planung!DQ16,IF(UPPER(Planung!DQ16)="H",$C16/2,0)))))))</f>
        <v>0</v>
      </c>
      <c r="DR16" s="27">
        <f>IF($A16="",0,IF(Mitarbeiter!$G$14=FALSE,0,IF(AND(Mitarbeiter!$E$14&lt;&gt;"",DR$5+6&lt;Mitarbeiter!$E$14),0,IF(AND(Mitarbeiter!$F$14&lt;&gt;"",DR$5&gt;Mitarbeiter!$F$14),0,IF(Planung!DR16="",$C16,IF(ISNUMBER(Planung!DR16),Planung!DR16,IF(UPPER(Planung!DR16)="H",$C16/2,0)))))))</f>
        <v>0</v>
      </c>
      <c r="DS16" s="27">
        <f>IF($A16="",0,IF(Mitarbeiter!$G$14=FALSE,0,IF(AND(Mitarbeiter!$E$14&lt;&gt;"",DS$5+6&lt;Mitarbeiter!$E$14),0,IF(AND(Mitarbeiter!$F$14&lt;&gt;"",DS$5&gt;Mitarbeiter!$F$14),0,IF(Planung!DS16="",$C16,IF(ISNUMBER(Planung!DS16),Planung!DS16,IF(UPPER(Planung!DS16)="H",$C16/2,0)))))))</f>
        <v>0</v>
      </c>
      <c r="DT16" s="27">
        <f>IF($A16="",0,IF(Mitarbeiter!$G$14=FALSE,0,IF(AND(Mitarbeiter!$E$14&lt;&gt;"",DT$5+6&lt;Mitarbeiter!$E$14),0,IF(AND(Mitarbeiter!$F$14&lt;&gt;"",DT$5&gt;Mitarbeiter!$F$14),0,IF(Planung!DT16="",$C16,IF(ISNUMBER(Planung!DT16),Planung!DT16,IF(UPPER(Planung!DT16)="H",$C16/2,0)))))))</f>
        <v>0</v>
      </c>
      <c r="DU16" s="27">
        <f>IF($A16="",0,IF(Mitarbeiter!$G$14=FALSE,0,IF(AND(Mitarbeiter!$E$14&lt;&gt;"",DU$5+6&lt;Mitarbeiter!$E$14),0,IF(AND(Mitarbeiter!$F$14&lt;&gt;"",DU$5&gt;Mitarbeiter!$F$14),0,IF(Planung!DU16="",$C16,IF(ISNUMBER(Planung!DU16),Planung!DU16,IF(UPPER(Planung!DU16)="H",$C16/2,0)))))))</f>
        <v>0</v>
      </c>
      <c r="DV16" s="27">
        <f>IF($A16="",0,IF(Mitarbeiter!$G$14=FALSE,0,IF(AND(Mitarbeiter!$E$14&lt;&gt;"",DV$5+6&lt;Mitarbeiter!$E$14),0,IF(AND(Mitarbeiter!$F$14&lt;&gt;"",DV$5&gt;Mitarbeiter!$F$14),0,IF(Planung!DV16="",$C16,IF(ISNUMBER(Planung!DV16),Planung!DV16,IF(UPPER(Planung!DV16)="H",$C16/2,0)))))))</f>
        <v>0</v>
      </c>
      <c r="DW16" s="27">
        <f>IF($A16="",0,IF(Mitarbeiter!$G$14=FALSE,0,IF(AND(Mitarbeiter!$E$14&lt;&gt;"",DW$5+6&lt;Mitarbeiter!$E$14),0,IF(AND(Mitarbeiter!$F$14&lt;&gt;"",DW$5&gt;Mitarbeiter!$F$14),0,IF(Planung!DW16="",$C16,IF(ISNUMBER(Planung!DW16),Planung!DW16,IF(UPPER(Planung!DW16)="H",$C16/2,0)))))))</f>
        <v>0</v>
      </c>
      <c r="DX16" s="27">
        <f>IF($A16="",0,IF(Mitarbeiter!$G$14=FALSE,0,IF(AND(Mitarbeiter!$E$14&lt;&gt;"",DX$5+6&lt;Mitarbeiter!$E$14),0,IF(AND(Mitarbeiter!$F$14&lt;&gt;"",DX$5&gt;Mitarbeiter!$F$14),0,IF(Planung!DX16="",$C16,IF(ISNUMBER(Planung!DX16),Planung!DX16,IF(UPPER(Planung!DX16)="H",$C16/2,0)))))))</f>
        <v>0</v>
      </c>
      <c r="DY16" s="27">
        <f>IF($A16="",0,IF(Mitarbeiter!$G$14=FALSE,0,IF(AND(Mitarbeiter!$E$14&lt;&gt;"",DY$5+6&lt;Mitarbeiter!$E$14),0,IF(AND(Mitarbeiter!$F$14&lt;&gt;"",DY$5&gt;Mitarbeiter!$F$14),0,IF(Planung!DY16="",$C16,IF(ISNUMBER(Planung!DY16),Planung!DY16,IF(UPPER(Planung!DY16)="H",$C16/2,0)))))))</f>
        <v>0</v>
      </c>
      <c r="DZ16" s="27">
        <f>IF($A16="",0,IF(Mitarbeiter!$G$14=FALSE,0,IF(AND(Mitarbeiter!$E$14&lt;&gt;"",DZ$5+6&lt;Mitarbeiter!$E$14),0,IF(AND(Mitarbeiter!$F$14&lt;&gt;"",DZ$5&gt;Mitarbeiter!$F$14),0,IF(Planung!DZ16="",$C16,IF(ISNUMBER(Planung!DZ16),Planung!DZ16,IF(UPPER(Planung!DZ16)="H",$C16/2,0)))))))</f>
        <v>0</v>
      </c>
      <c r="EA16" s="27">
        <f>IF($A16="",0,IF(Mitarbeiter!$G$14=FALSE,0,IF(AND(Mitarbeiter!$E$14&lt;&gt;"",EA$5+6&lt;Mitarbeiter!$E$14),0,IF(AND(Mitarbeiter!$F$14&lt;&gt;"",EA$5&gt;Mitarbeiter!$F$14),0,IF(Planung!EA16="",$C16,IF(ISNUMBER(Planung!EA16),Planung!EA16,IF(UPPER(Planung!EA16)="H",$C16/2,0)))))))</f>
        <v>0</v>
      </c>
      <c r="EB16" s="27">
        <f>IF($A16="",0,IF(Mitarbeiter!$G$14=FALSE,0,IF(AND(Mitarbeiter!$E$14&lt;&gt;"",EB$5+6&lt;Mitarbeiter!$E$14),0,IF(AND(Mitarbeiter!$F$14&lt;&gt;"",EB$5&gt;Mitarbeiter!$F$14),0,IF(Planung!EB16="",$C16,IF(ISNUMBER(Planung!EB16),Planung!EB16,IF(UPPER(Planung!EB16)="H",$C16/2,0)))))))</f>
        <v>0</v>
      </c>
      <c r="EC16" s="27">
        <f>IF($A16="",0,IF(Mitarbeiter!$G$14=FALSE,0,IF(AND(Mitarbeiter!$E$14&lt;&gt;"",EC$5+6&lt;Mitarbeiter!$E$14),0,IF(AND(Mitarbeiter!$F$14&lt;&gt;"",EC$5&gt;Mitarbeiter!$F$14),0,IF(Planung!EC16="",$C16,IF(ISNUMBER(Planung!EC16),Planung!EC16,IF(UPPER(Planung!EC16)="H",$C16/2,0)))))))</f>
        <v>0</v>
      </c>
      <c r="ED16" s="27">
        <f>IF($A16="",0,IF(Mitarbeiter!$G$14=FALSE,0,IF(AND(Mitarbeiter!$E$14&lt;&gt;"",ED$5+6&lt;Mitarbeiter!$E$14),0,IF(AND(Mitarbeiter!$F$14&lt;&gt;"",ED$5&gt;Mitarbeiter!$F$14),0,IF(Planung!ED16="",$C16,IF(ISNUMBER(Planung!ED16),Planung!ED16,IF(UPPER(Planung!ED16)="H",$C16/2,0)))))))</f>
        <v>0</v>
      </c>
      <c r="EE16" s="27">
        <f>IF($A16="",0,IF(Mitarbeiter!$G$14=FALSE,0,IF(AND(Mitarbeiter!$E$14&lt;&gt;"",EE$5+6&lt;Mitarbeiter!$E$14),0,IF(AND(Mitarbeiter!$F$14&lt;&gt;"",EE$5&gt;Mitarbeiter!$F$14),0,IF(Planung!EE16="",$C16,IF(ISNUMBER(Planung!EE16),Planung!EE16,IF(UPPER(Planung!EE16)="H",$C16/2,0)))))))</f>
        <v>0</v>
      </c>
      <c r="EF16" s="27">
        <f>IF($A16="",0,IF(Mitarbeiter!$G$14=FALSE,0,IF(AND(Mitarbeiter!$E$14&lt;&gt;"",EF$5+6&lt;Mitarbeiter!$E$14),0,IF(AND(Mitarbeiter!$F$14&lt;&gt;"",EF$5&gt;Mitarbeiter!$F$14),0,IF(Planung!EF16="",$C16,IF(ISNUMBER(Planung!EF16),Planung!EF16,IF(UPPER(Planung!EF16)="H",$C16/2,0)))))))</f>
        <v>0</v>
      </c>
      <c r="EG16" s="27">
        <f>IF($A16="",0,IF(Mitarbeiter!$G$14=FALSE,0,IF(AND(Mitarbeiter!$E$14&lt;&gt;"",EG$5+6&lt;Mitarbeiter!$E$14),0,IF(AND(Mitarbeiter!$F$14&lt;&gt;"",EG$5&gt;Mitarbeiter!$F$14),0,IF(Planung!EG16="",$C16,IF(ISNUMBER(Planung!EG16),Planung!EG16,IF(UPPER(Planung!EG16)="H",$C16/2,0)))))))</f>
        <v>0</v>
      </c>
      <c r="EH16" s="27">
        <f>IF($A16="",0,IF(Mitarbeiter!$G$14=FALSE,0,IF(AND(Mitarbeiter!$E$14&lt;&gt;"",EH$5+6&lt;Mitarbeiter!$E$14),0,IF(AND(Mitarbeiter!$F$14&lt;&gt;"",EH$5&gt;Mitarbeiter!$F$14),0,IF(Planung!EH16="",$C16,IF(ISNUMBER(Planung!EH16),Planung!EH16,IF(UPPER(Planung!EH16)="H",$C16/2,0)))))))</f>
        <v>0</v>
      </c>
      <c r="EI16" s="27">
        <f>IF($A16="",0,IF(Mitarbeiter!$G$14=FALSE,0,IF(AND(Mitarbeiter!$E$14&lt;&gt;"",EI$5+6&lt;Mitarbeiter!$E$14),0,IF(AND(Mitarbeiter!$F$14&lt;&gt;"",EI$5&gt;Mitarbeiter!$F$14),0,IF(Planung!EI16="",$C16,IF(ISNUMBER(Planung!EI16),Planung!EI16,IF(UPPER(Planung!EI16)="H",$C16/2,0)))))))</f>
        <v>0</v>
      </c>
      <c r="EJ16" s="27">
        <f>IF($A16="",0,IF(Mitarbeiter!$G$14=FALSE,0,IF(AND(Mitarbeiter!$E$14&lt;&gt;"",EJ$5+6&lt;Mitarbeiter!$E$14),0,IF(AND(Mitarbeiter!$F$14&lt;&gt;"",EJ$5&gt;Mitarbeiter!$F$14),0,IF(Planung!EJ16="",$C16,IF(ISNUMBER(Planung!EJ16),Planung!EJ16,IF(UPPER(Planung!EJ16)="H",$C16/2,0)))))))</f>
        <v>0</v>
      </c>
      <c r="EK16" s="27">
        <f>IF($A16="",0,IF(Mitarbeiter!$G$14=FALSE,0,IF(AND(Mitarbeiter!$E$14&lt;&gt;"",EK$5+6&lt;Mitarbeiter!$E$14),0,IF(AND(Mitarbeiter!$F$14&lt;&gt;"",EK$5&gt;Mitarbeiter!$F$14),0,IF(Planung!EK16="",$C16,IF(ISNUMBER(Planung!EK16),Planung!EK16,IF(UPPER(Planung!EK16)="H",$C16/2,0)))))))</f>
        <v>0</v>
      </c>
      <c r="EL16" s="27">
        <f>IF($A16="",0,IF(Mitarbeiter!$G$14=FALSE,0,IF(AND(Mitarbeiter!$E$14&lt;&gt;"",EL$5+6&lt;Mitarbeiter!$E$14),0,IF(AND(Mitarbeiter!$F$14&lt;&gt;"",EL$5&gt;Mitarbeiter!$F$14),0,IF(Planung!EL16="",$C16,IF(ISNUMBER(Planung!EL16),Planung!EL16,IF(UPPER(Planung!EL16)="H",$C16/2,0)))))))</f>
        <v>0</v>
      </c>
      <c r="EM16" s="27">
        <f>IF($A16="",0,IF(Mitarbeiter!$G$14=FALSE,0,IF(AND(Mitarbeiter!$E$14&lt;&gt;"",EM$5+6&lt;Mitarbeiter!$E$14),0,IF(AND(Mitarbeiter!$F$14&lt;&gt;"",EM$5&gt;Mitarbeiter!$F$14),0,IF(Planung!EM16="",$C16,IF(ISNUMBER(Planung!EM16),Planung!EM16,IF(UPPER(Planung!EM16)="H",$C16/2,0)))))))</f>
        <v>0</v>
      </c>
      <c r="EN16" s="27">
        <f>IF($A16="",0,IF(Mitarbeiter!$G$14=FALSE,0,IF(AND(Mitarbeiter!$E$14&lt;&gt;"",EN$5+6&lt;Mitarbeiter!$E$14),0,IF(AND(Mitarbeiter!$F$14&lt;&gt;"",EN$5&gt;Mitarbeiter!$F$14),0,IF(Planung!EN16="",$C16,IF(ISNUMBER(Planung!EN16),Planung!EN16,IF(UPPER(Planung!EN16)="H",$C16/2,0)))))))</f>
        <v>0</v>
      </c>
      <c r="EO16" s="27">
        <f>IF($A16="",0,IF(Mitarbeiter!$G$14=FALSE,0,IF(AND(Mitarbeiter!$E$14&lt;&gt;"",EO$5+6&lt;Mitarbeiter!$E$14),0,IF(AND(Mitarbeiter!$F$14&lt;&gt;"",EO$5&gt;Mitarbeiter!$F$14),0,IF(Planung!EO16="",$C16,IF(ISNUMBER(Planung!EO16),Planung!EO16,IF(UPPER(Planung!EO16)="H",$C16/2,0)))))))</f>
        <v>0</v>
      </c>
      <c r="EP16" s="27">
        <f>IF($A16="",0,IF(Mitarbeiter!$G$14=FALSE,0,IF(AND(Mitarbeiter!$E$14&lt;&gt;"",EP$5+6&lt;Mitarbeiter!$E$14),0,IF(AND(Mitarbeiter!$F$14&lt;&gt;"",EP$5&gt;Mitarbeiter!$F$14),0,IF(Planung!EP16="",$C16,IF(ISNUMBER(Planung!EP16),Planung!EP16,IF(UPPER(Planung!EP16)="H",$C16/2,0)))))))</f>
        <v>0</v>
      </c>
      <c r="EQ16" s="27">
        <f>IF($A16="",0,IF(Mitarbeiter!$G$14=FALSE,0,IF(AND(Mitarbeiter!$E$14&lt;&gt;"",EQ$5+6&lt;Mitarbeiter!$E$14),0,IF(AND(Mitarbeiter!$F$14&lt;&gt;"",EQ$5&gt;Mitarbeiter!$F$14),0,IF(Planung!EQ16="",$C16,IF(ISNUMBER(Planung!EQ16),Planung!EQ16,IF(UPPER(Planung!EQ16)="H",$C16/2,0)))))))</f>
        <v>0</v>
      </c>
      <c r="ER16" s="27">
        <f>IF($A16="",0,IF(Mitarbeiter!$G$14=FALSE,0,IF(AND(Mitarbeiter!$E$14&lt;&gt;"",ER$5+6&lt;Mitarbeiter!$E$14),0,IF(AND(Mitarbeiter!$F$14&lt;&gt;"",ER$5&gt;Mitarbeiter!$F$14),0,IF(Planung!ER16="",$C16,IF(ISNUMBER(Planung!ER16),Planung!ER16,IF(UPPER(Planung!ER16)="H",$C16/2,0)))))))</f>
        <v>0</v>
      </c>
      <c r="ES16" s="27">
        <f>IF($A16="",0,IF(Mitarbeiter!$G$14=FALSE,0,IF(AND(Mitarbeiter!$E$14&lt;&gt;"",ES$5+6&lt;Mitarbeiter!$E$14),0,IF(AND(Mitarbeiter!$F$14&lt;&gt;"",ES$5&gt;Mitarbeiter!$F$14),0,IF(Planung!ES16="",$C16,IF(ISNUMBER(Planung!ES16),Planung!ES16,IF(UPPER(Planung!ES16)="H",$C16/2,0)))))))</f>
        <v>0</v>
      </c>
      <c r="ET16" s="27">
        <f>IF($A16="",0,IF(Mitarbeiter!$G$14=FALSE,0,IF(AND(Mitarbeiter!$E$14&lt;&gt;"",ET$5+6&lt;Mitarbeiter!$E$14),0,IF(AND(Mitarbeiter!$F$14&lt;&gt;"",ET$5&gt;Mitarbeiter!$F$14),0,IF(Planung!ET16="",$C16,IF(ISNUMBER(Planung!ET16),Planung!ET16,IF(UPPER(Planung!ET16)="H",$C16/2,0)))))))</f>
        <v>0</v>
      </c>
      <c r="EU16" s="27">
        <f>IF($A16="",0,IF(Mitarbeiter!$G$14=FALSE,0,IF(AND(Mitarbeiter!$E$14&lt;&gt;"",EU$5+6&lt;Mitarbeiter!$E$14),0,IF(AND(Mitarbeiter!$F$14&lt;&gt;"",EU$5&gt;Mitarbeiter!$F$14),0,IF(Planung!EU16="",$C16,IF(ISNUMBER(Planung!EU16),Planung!EU16,IF(UPPER(Planung!EU16)="H",$C16/2,0)))))))</f>
        <v>0</v>
      </c>
      <c r="EV16" s="27">
        <f>IF($A16="",0,IF(Mitarbeiter!$G$14=FALSE,0,IF(AND(Mitarbeiter!$E$14&lt;&gt;"",EV$5+6&lt;Mitarbeiter!$E$14),0,IF(AND(Mitarbeiter!$F$14&lt;&gt;"",EV$5&gt;Mitarbeiter!$F$14),0,IF(Planung!EV16="",$C16,IF(ISNUMBER(Planung!EV16),Planung!EV16,IF(UPPER(Planung!EV16)="H",$C16/2,0)))))))</f>
        <v>0</v>
      </c>
      <c r="EW16" s="27">
        <f>IF($A16="",0,IF(Mitarbeiter!$G$14=FALSE,0,IF(AND(Mitarbeiter!$E$14&lt;&gt;"",EW$5+6&lt;Mitarbeiter!$E$14),0,IF(AND(Mitarbeiter!$F$14&lt;&gt;"",EW$5&gt;Mitarbeiter!$F$14),0,IF(Planung!EW16="",$C16,IF(ISNUMBER(Planung!EW16),Planung!EW16,IF(UPPER(Planung!EW16)="H",$C16/2,0)))))))</f>
        <v>0</v>
      </c>
      <c r="EX16" s="27">
        <f>IF($A16="",0,IF(Mitarbeiter!$G$14=FALSE,0,IF(AND(Mitarbeiter!$E$14&lt;&gt;"",EX$5+6&lt;Mitarbeiter!$E$14),0,IF(AND(Mitarbeiter!$F$14&lt;&gt;"",EX$5&gt;Mitarbeiter!$F$14),0,IF(Planung!EX16="",$C16,IF(ISNUMBER(Planung!EX16),Planung!EX16,IF(UPPER(Planung!EX16)="H",$C16/2,0)))))))</f>
        <v>0</v>
      </c>
      <c r="EY16" s="27">
        <f>IF($A16="",0,IF(Mitarbeiter!$G$14=FALSE,0,IF(AND(Mitarbeiter!$E$14&lt;&gt;"",EY$5+6&lt;Mitarbeiter!$E$14),0,IF(AND(Mitarbeiter!$F$14&lt;&gt;"",EY$5&gt;Mitarbeiter!$F$14),0,IF(Planung!EY16="",$C16,IF(ISNUMBER(Planung!EY16),Planung!EY16,IF(UPPER(Planung!EY16)="H",$C16/2,0)))))))</f>
        <v>0</v>
      </c>
      <c r="EZ16" s="27">
        <f>IF($A16="",0,IF(Mitarbeiter!$G$14=FALSE,0,IF(AND(Mitarbeiter!$E$14&lt;&gt;"",EZ$5+6&lt;Mitarbeiter!$E$14),0,IF(AND(Mitarbeiter!$F$14&lt;&gt;"",EZ$5&gt;Mitarbeiter!$F$14),0,IF(Planung!EZ16="",$C16,IF(ISNUMBER(Planung!EZ16),Planung!EZ16,IF(UPPER(Planung!EZ16)="H",$C16/2,0)))))))</f>
        <v>0</v>
      </c>
      <c r="FA16" s="27">
        <f>IF($A16="",0,IF(Mitarbeiter!$G$14=FALSE,0,IF(AND(Mitarbeiter!$E$14&lt;&gt;"",FA$5+6&lt;Mitarbeiter!$E$14),0,IF(AND(Mitarbeiter!$F$14&lt;&gt;"",FA$5&gt;Mitarbeiter!$F$14),0,IF(Planung!FA16="",$C16,IF(ISNUMBER(Planung!FA16),Planung!FA16,IF(UPPER(Planung!FA16)="H",$C16/2,0)))))))</f>
        <v>0</v>
      </c>
      <c r="FB16" s="27">
        <f>IF($A16="",0,IF(Mitarbeiter!$G$14=FALSE,0,IF(AND(Mitarbeiter!$E$14&lt;&gt;"",FB$5+6&lt;Mitarbeiter!$E$14),0,IF(AND(Mitarbeiter!$F$14&lt;&gt;"",FB$5&gt;Mitarbeiter!$F$14),0,IF(Planung!FB16="",$C16,IF(ISNUMBER(Planung!FB16),Planung!FB16,IF(UPPER(Planung!FB16)="H",$C16/2,0)))))))</f>
        <v>0</v>
      </c>
      <c r="FC16" s="27">
        <f>IF($A16="",0,IF(Mitarbeiter!$G$14=FALSE,0,IF(AND(Mitarbeiter!$E$14&lt;&gt;"",FC$5+6&lt;Mitarbeiter!$E$14),0,IF(AND(Mitarbeiter!$F$14&lt;&gt;"",FC$5&gt;Mitarbeiter!$F$14),0,IF(Planung!FC16="",$C16,IF(ISNUMBER(Planung!FC16),Planung!FC16,IF(UPPER(Planung!FC16)="H",$C16/2,0)))))))</f>
        <v>0</v>
      </c>
      <c r="FD16" s="27">
        <f>IF($A16="",0,IF(Mitarbeiter!$G$14=FALSE,0,IF(AND(Mitarbeiter!$E$14&lt;&gt;"",FD$5+6&lt;Mitarbeiter!$E$14),0,IF(AND(Mitarbeiter!$F$14&lt;&gt;"",FD$5&gt;Mitarbeiter!$F$14),0,IF(Planung!FD16="",$C16,IF(ISNUMBER(Planung!FD16),Planung!FD16,IF(UPPER(Planung!FD16)="H",$C16/2,0)))))))</f>
        <v>0</v>
      </c>
      <c r="FE16" s="27">
        <f>IF($A16="",0,IF(Mitarbeiter!$G$14=FALSE,0,IF(AND(Mitarbeiter!$E$14&lt;&gt;"",FE$5+6&lt;Mitarbeiter!$E$14),0,IF(AND(Mitarbeiter!$F$14&lt;&gt;"",FE$5&gt;Mitarbeiter!$F$14),0,IF(Planung!FE16="",$C16,IF(ISNUMBER(Planung!FE16),Planung!FE16,IF(UPPER(Planung!FE16)="H",$C16/2,0)))))))</f>
        <v>0</v>
      </c>
      <c r="FF16" s="27">
        <f>IF($A16="",0,IF(Mitarbeiter!$G$14=FALSE,0,IF(AND(Mitarbeiter!$E$14&lt;&gt;"",FF$5+6&lt;Mitarbeiter!$E$14),0,IF(AND(Mitarbeiter!$F$14&lt;&gt;"",FF$5&gt;Mitarbeiter!$F$14),0,IF(Planung!FF16="",$C16,IF(ISNUMBER(Planung!FF16),Planung!FF16,IF(UPPER(Planung!FF16)="H",$C16/2,0)))))))</f>
        <v>0</v>
      </c>
      <c r="FG16" s="27">
        <f>IF($A16="",0,IF(Mitarbeiter!$G$14=FALSE,0,IF(AND(Mitarbeiter!$E$14&lt;&gt;"",FG$5+6&lt;Mitarbeiter!$E$14),0,IF(AND(Mitarbeiter!$F$14&lt;&gt;"",FG$5&gt;Mitarbeiter!$F$14),0,IF(Planung!FG16="",$C16,IF(ISNUMBER(Planung!FG16),Planung!FG16,IF(UPPER(Planung!FG16)="H",$C16/2,0)))))))</f>
        <v>0</v>
      </c>
      <c r="FH16" s="27">
        <f>IF($A16="",0,IF(Mitarbeiter!$G$14=FALSE,0,IF(AND(Mitarbeiter!$E$14&lt;&gt;"",FH$5+6&lt;Mitarbeiter!$E$14),0,IF(AND(Mitarbeiter!$F$14&lt;&gt;"",FH$5&gt;Mitarbeiter!$F$14),0,IF(Planung!FH16="",$C16,IF(ISNUMBER(Planung!FH16),Planung!FH16,IF(UPPER(Planung!FH16)="H",$C16/2,0)))))))</f>
        <v>0</v>
      </c>
      <c r="FI16" s="27">
        <f>IF($A16="",0,IF(Mitarbeiter!$G$14=FALSE,0,IF(AND(Mitarbeiter!$E$14&lt;&gt;"",FI$5+6&lt;Mitarbeiter!$E$14),0,IF(AND(Mitarbeiter!$F$14&lt;&gt;"",FI$5&gt;Mitarbeiter!$F$14),0,IF(Planung!FI16="",$C16,IF(ISNUMBER(Planung!FI16),Planung!FI16,IF(UPPER(Planung!FI16)="H",$C16/2,0)))))))</f>
        <v>0</v>
      </c>
      <c r="FJ16" s="27">
        <f>IF($A16="",0,IF(Mitarbeiter!$G$14=FALSE,0,IF(AND(Mitarbeiter!$E$14&lt;&gt;"",FJ$5+6&lt;Mitarbeiter!$E$14),0,IF(AND(Mitarbeiter!$F$14&lt;&gt;"",FJ$5&gt;Mitarbeiter!$F$14),0,IF(Planung!FJ16="",$C16,IF(ISNUMBER(Planung!FJ16),Planung!FJ16,IF(UPPER(Planung!FJ16)="H",$C16/2,0)))))))</f>
        <v>0</v>
      </c>
      <c r="FK16" s="27">
        <f>IF($A16="",0,IF(Mitarbeiter!$G$14=FALSE,0,IF(AND(Mitarbeiter!$E$14&lt;&gt;"",FK$5+6&lt;Mitarbeiter!$E$14),0,IF(AND(Mitarbeiter!$F$14&lt;&gt;"",FK$5&gt;Mitarbeiter!$F$14),0,IF(Planung!FK16="",$C16,IF(ISNUMBER(Planung!FK16),Planung!FK16,IF(UPPER(Planung!FK16)="H",$C16/2,0)))))))</f>
        <v>0</v>
      </c>
      <c r="FL16" s="27">
        <f>IF($A16="",0,IF(Mitarbeiter!$G$14=FALSE,0,IF(AND(Mitarbeiter!$E$14&lt;&gt;"",FL$5+6&lt;Mitarbeiter!$E$14),0,IF(AND(Mitarbeiter!$F$14&lt;&gt;"",FL$5&gt;Mitarbeiter!$F$14),0,IF(Planung!FL16="",$C16,IF(ISNUMBER(Planung!FL16),Planung!FL16,IF(UPPER(Planung!FL16)="H",$C16/2,0)))))))</f>
        <v>0</v>
      </c>
      <c r="FM16" s="27">
        <f>IF($A16="",0,IF(Mitarbeiter!$G$14=FALSE,0,IF(AND(Mitarbeiter!$E$14&lt;&gt;"",FM$5+6&lt;Mitarbeiter!$E$14),0,IF(AND(Mitarbeiter!$F$14&lt;&gt;"",FM$5&gt;Mitarbeiter!$F$14),0,IF(Planung!FM16="",$C16,IF(ISNUMBER(Planung!FM16),Planung!FM16,IF(UPPER(Planung!FM16)="H",$C16/2,0)))))))</f>
        <v>0</v>
      </c>
      <c r="FN16" s="27">
        <f>IF($A16="",0,IF(Mitarbeiter!$G$14=FALSE,0,IF(AND(Mitarbeiter!$E$14&lt;&gt;"",FN$5+6&lt;Mitarbeiter!$E$14),0,IF(AND(Mitarbeiter!$F$14&lt;&gt;"",FN$5&gt;Mitarbeiter!$F$14),0,IF(Planung!FN16="",$C16,IF(ISNUMBER(Planung!FN16),Planung!FN16,IF(UPPER(Planung!FN16)="H",$C16/2,0)))))))</f>
        <v>0</v>
      </c>
      <c r="FO16" s="27">
        <f>IF($A16="",0,IF(Mitarbeiter!$G$14=FALSE,0,IF(AND(Mitarbeiter!$E$14&lt;&gt;"",FO$5+6&lt;Mitarbeiter!$E$14),0,IF(AND(Mitarbeiter!$F$14&lt;&gt;"",FO$5&gt;Mitarbeiter!$F$14),0,IF(Planung!FO16="",$C16,IF(ISNUMBER(Planung!FO16),Planung!FO16,IF(UPPER(Planung!FO16)="H",$C16/2,0)))))))</f>
        <v>0</v>
      </c>
      <c r="FP16" s="27">
        <f>IF($A16="",0,IF(Mitarbeiter!$G$14=FALSE,0,IF(AND(Mitarbeiter!$E$14&lt;&gt;"",FP$5+6&lt;Mitarbeiter!$E$14),0,IF(AND(Mitarbeiter!$F$14&lt;&gt;"",FP$5&gt;Mitarbeiter!$F$14),0,IF(Planung!FP16="",$C16,IF(ISNUMBER(Planung!FP16),Planung!FP16,IF(UPPER(Planung!FP16)="H",$C16/2,0)))))))</f>
        <v>0</v>
      </c>
      <c r="FQ16" s="27">
        <f>IF($A16="",0,IF(Mitarbeiter!$G$14=FALSE,0,IF(AND(Mitarbeiter!$E$14&lt;&gt;"",FQ$5+6&lt;Mitarbeiter!$E$14),0,IF(AND(Mitarbeiter!$F$14&lt;&gt;"",FQ$5&gt;Mitarbeiter!$F$14),0,IF(Planung!FQ16="",$C16,IF(ISNUMBER(Planung!FQ16),Planung!FQ16,IF(UPPER(Planung!FQ16)="H",$C16/2,0)))))))</f>
        <v>0</v>
      </c>
      <c r="FR16" s="27">
        <f>IF($A16="",0,IF(Mitarbeiter!$G$14=FALSE,0,IF(AND(Mitarbeiter!$E$14&lt;&gt;"",FR$5+6&lt;Mitarbeiter!$E$14),0,IF(AND(Mitarbeiter!$F$14&lt;&gt;"",FR$5&gt;Mitarbeiter!$F$14),0,IF(Planung!FR16="",$C16,IF(ISNUMBER(Planung!FR16),Planung!FR16,IF(UPPER(Planung!FR16)="H",$C16/2,0)))))))</f>
        <v>0</v>
      </c>
      <c r="FS16" s="27">
        <f>IF($A16="",0,IF(Mitarbeiter!$G$14=FALSE,0,IF(AND(Mitarbeiter!$E$14&lt;&gt;"",FS$5+6&lt;Mitarbeiter!$E$14),0,IF(AND(Mitarbeiter!$F$14&lt;&gt;"",FS$5&gt;Mitarbeiter!$F$14),0,IF(Planung!FS16="",$C16,IF(ISNUMBER(Planung!FS16),Planung!FS16,IF(UPPER(Planung!FS16)="H",$C16/2,0)))))))</f>
        <v>0</v>
      </c>
      <c r="FT16" s="27">
        <f>IF($A16="",0,IF(Mitarbeiter!$G$14=FALSE,0,IF(AND(Mitarbeiter!$E$14&lt;&gt;"",FT$5+6&lt;Mitarbeiter!$E$14),0,IF(AND(Mitarbeiter!$F$14&lt;&gt;"",FT$5&gt;Mitarbeiter!$F$14),0,IF(Planung!FT16="",$C16,IF(ISNUMBER(Planung!FT16),Planung!FT16,IF(UPPER(Planung!FT16)="H",$C16/2,0)))))))</f>
        <v>0</v>
      </c>
      <c r="FU16" s="27">
        <f>IF($A16="",0,IF(Mitarbeiter!$G$14=FALSE,0,IF(AND(Mitarbeiter!$E$14&lt;&gt;"",FU$5+6&lt;Mitarbeiter!$E$14),0,IF(AND(Mitarbeiter!$F$14&lt;&gt;"",FU$5&gt;Mitarbeiter!$F$14),0,IF(Planung!FU16="",$C16,IF(ISNUMBER(Planung!FU16),Planung!FU16,IF(UPPER(Planung!FU16)="H",$C16/2,0)))))))</f>
        <v>0</v>
      </c>
      <c r="FV16" s="27">
        <f>IF($A16="",0,IF(Mitarbeiter!$G$14=FALSE,0,IF(AND(Mitarbeiter!$E$14&lt;&gt;"",FV$5+6&lt;Mitarbeiter!$E$14),0,IF(AND(Mitarbeiter!$F$14&lt;&gt;"",FV$5&gt;Mitarbeiter!$F$14),0,IF(Planung!FV16="",$C16,IF(ISNUMBER(Planung!FV16),Planung!FV16,IF(UPPER(Planung!FV16)="H",$C16/2,0)))))))</f>
        <v>0</v>
      </c>
      <c r="FW16" s="27">
        <f>IF($A16="",0,IF(Mitarbeiter!$G$14=FALSE,0,IF(AND(Mitarbeiter!$E$14&lt;&gt;"",FW$5+6&lt;Mitarbeiter!$E$14),0,IF(AND(Mitarbeiter!$F$14&lt;&gt;"",FW$5&gt;Mitarbeiter!$F$14),0,IF(Planung!FW16="",$C16,IF(ISNUMBER(Planung!FW16),Planung!FW16,IF(UPPER(Planung!FW16)="H",$C16/2,0)))))))</f>
        <v>0</v>
      </c>
      <c r="FX16" s="27">
        <f>IF($A16="",0,IF(Mitarbeiter!$G$14=FALSE,0,IF(AND(Mitarbeiter!$E$14&lt;&gt;"",FX$5+6&lt;Mitarbeiter!$E$14),0,IF(AND(Mitarbeiter!$F$14&lt;&gt;"",FX$5&gt;Mitarbeiter!$F$14),0,IF(Planung!FX16="",$C16,IF(ISNUMBER(Planung!FX16),Planung!FX16,IF(UPPER(Planung!FX16)="H",$C16/2,0)))))))</f>
        <v>0</v>
      </c>
      <c r="FY16" s="27">
        <f>IF($A16="",0,IF(Mitarbeiter!$G$14=FALSE,0,IF(AND(Mitarbeiter!$E$14&lt;&gt;"",FY$5+6&lt;Mitarbeiter!$E$14),0,IF(AND(Mitarbeiter!$F$14&lt;&gt;"",FY$5&gt;Mitarbeiter!$F$14),0,IF(Planung!FY16="",$C16,IF(ISNUMBER(Planung!FY16),Planung!FY16,IF(UPPER(Planung!FY16)="H",$C16/2,0)))))))</f>
        <v>0</v>
      </c>
      <c r="FZ16" s="27">
        <f>IF($A16="",0,IF(Mitarbeiter!$G$14=FALSE,0,IF(AND(Mitarbeiter!$E$14&lt;&gt;"",FZ$5+6&lt;Mitarbeiter!$E$14),0,IF(AND(Mitarbeiter!$F$14&lt;&gt;"",FZ$5&gt;Mitarbeiter!$F$14),0,IF(Planung!FZ16="",$C16,IF(ISNUMBER(Planung!FZ16),Planung!FZ16,IF(UPPER(Planung!FZ16)="H",$C16/2,0)))))))</f>
        <v>0</v>
      </c>
      <c r="GA16" s="27">
        <f>IF($A16="",0,IF(Mitarbeiter!$G$14=FALSE,0,IF(AND(Mitarbeiter!$E$14&lt;&gt;"",GA$5+6&lt;Mitarbeiter!$E$14),0,IF(AND(Mitarbeiter!$F$14&lt;&gt;"",GA$5&gt;Mitarbeiter!$F$14),0,IF(Planung!GA16="",$C16,IF(ISNUMBER(Planung!GA16),Planung!GA16,IF(UPPER(Planung!GA16)="H",$C16/2,0)))))))</f>
        <v>0</v>
      </c>
      <c r="GB16" s="27">
        <f>IF($A16="",0,IF(Mitarbeiter!$G$14=FALSE,0,IF(AND(Mitarbeiter!$E$14&lt;&gt;"",GB$5+6&lt;Mitarbeiter!$E$14),0,IF(AND(Mitarbeiter!$F$14&lt;&gt;"",GB$5&gt;Mitarbeiter!$F$14),0,IF(Planung!GB16="",$C16,IF(ISNUMBER(Planung!GB16),Planung!GB16,IF(UPPER(Planung!GB16)="H",$C16/2,0)))))))</f>
        <v>0</v>
      </c>
      <c r="GC16" s="27">
        <f>IF($A16="",0,IF(Mitarbeiter!$G$14=FALSE,0,IF(AND(Mitarbeiter!$E$14&lt;&gt;"",GC$5+6&lt;Mitarbeiter!$E$14),0,IF(AND(Mitarbeiter!$F$14&lt;&gt;"",GC$5&gt;Mitarbeiter!$F$14),0,IF(Planung!GC16="",$C16,IF(ISNUMBER(Planung!GC16),Planung!GC16,IF(UPPER(Planung!GC16)="H",$C16/2,0)))))))</f>
        <v>0</v>
      </c>
      <c r="GD16" s="27">
        <f>IF($A16="",0,IF(Mitarbeiter!$G$14=FALSE,0,IF(AND(Mitarbeiter!$E$14&lt;&gt;"",GD$5+6&lt;Mitarbeiter!$E$14),0,IF(AND(Mitarbeiter!$F$14&lt;&gt;"",GD$5&gt;Mitarbeiter!$F$14),0,IF(Planung!GD16="",$C16,IF(ISNUMBER(Planung!GD16),Planung!GD16,IF(UPPER(Planung!GD16)="H",$C16/2,0)))))))</f>
        <v>0</v>
      </c>
      <c r="GE16" s="27">
        <f>IF($A16="",0,IF(Mitarbeiter!$G$14=FALSE,0,IF(AND(Mitarbeiter!$E$14&lt;&gt;"",GE$5+6&lt;Mitarbeiter!$E$14),0,IF(AND(Mitarbeiter!$F$14&lt;&gt;"",GE$5&gt;Mitarbeiter!$F$14),0,IF(Planung!GE16="",$C16,IF(ISNUMBER(Planung!GE16),Planung!GE16,IF(UPPER(Planung!GE16)="H",$C16/2,0)))))))</f>
        <v>0</v>
      </c>
      <c r="GF16" s="27">
        <f>IF($A16="",0,IF(Mitarbeiter!$G$14=FALSE,0,IF(AND(Mitarbeiter!$E$14&lt;&gt;"",GF$5+6&lt;Mitarbeiter!$E$14),0,IF(AND(Mitarbeiter!$F$14&lt;&gt;"",GF$5&gt;Mitarbeiter!$F$14),0,IF(Planung!GF16="",$C16,IF(ISNUMBER(Planung!GF16),Planung!GF16,IF(UPPER(Planung!GF16)="H",$C16/2,0)))))))</f>
        <v>0</v>
      </c>
      <c r="GG16" s="27">
        <f>IF($A16="",0,IF(Mitarbeiter!$G$14=FALSE,0,IF(AND(Mitarbeiter!$E$14&lt;&gt;"",GG$5+6&lt;Mitarbeiter!$E$14),0,IF(AND(Mitarbeiter!$F$14&lt;&gt;"",GG$5&gt;Mitarbeiter!$F$14),0,IF(Planung!GG16="",$C16,IF(ISNUMBER(Planung!GG16),Planung!GG16,IF(UPPER(Planung!GG16)="H",$C16/2,0)))))))</f>
        <v>0</v>
      </c>
      <c r="GH16" s="27">
        <f>IF($A16="",0,IF(Mitarbeiter!$G$14=FALSE,0,IF(AND(Mitarbeiter!$E$14&lt;&gt;"",GH$5+6&lt;Mitarbeiter!$E$14),0,IF(AND(Mitarbeiter!$F$14&lt;&gt;"",GH$5&gt;Mitarbeiter!$F$14),0,IF(Planung!GH16="",$C16,IF(ISNUMBER(Planung!GH16),Planung!GH16,IF(UPPER(Planung!GH16)="H",$C16/2,0)))))))</f>
        <v>0</v>
      </c>
      <c r="GI16" s="27">
        <f>IF($A16="",0,IF(Mitarbeiter!$G$14=FALSE,0,IF(AND(Mitarbeiter!$E$14&lt;&gt;"",GI$5+6&lt;Mitarbeiter!$E$14),0,IF(AND(Mitarbeiter!$F$14&lt;&gt;"",GI$5&gt;Mitarbeiter!$F$14),0,IF(Planung!GI16="",$C16,IF(ISNUMBER(Planung!GI16),Planung!GI16,IF(UPPER(Planung!GI16)="H",$C16/2,0)))))))</f>
        <v>0</v>
      </c>
      <c r="GJ16" s="27">
        <f>IF($A16="",0,IF(Mitarbeiter!$G$14=FALSE,0,IF(AND(Mitarbeiter!$E$14&lt;&gt;"",GJ$5+6&lt;Mitarbeiter!$E$14),0,IF(AND(Mitarbeiter!$F$14&lt;&gt;"",GJ$5&gt;Mitarbeiter!$F$14),0,IF(Planung!GJ16="",$C16,IF(ISNUMBER(Planung!GJ16),Planung!GJ16,IF(UPPER(Planung!GJ16)="H",$C16/2,0)))))))</f>
        <v>0</v>
      </c>
      <c r="GK16" s="27">
        <f>IF($A16="",0,IF(Mitarbeiter!$G$14=FALSE,0,IF(AND(Mitarbeiter!$E$14&lt;&gt;"",GK$5+6&lt;Mitarbeiter!$E$14),0,IF(AND(Mitarbeiter!$F$14&lt;&gt;"",GK$5&gt;Mitarbeiter!$F$14),0,IF(Planung!GK16="",$C16,IF(ISNUMBER(Planung!GK16),Planung!GK16,IF(UPPER(Planung!GK16)="H",$C16/2,0)))))))</f>
        <v>0</v>
      </c>
      <c r="GL16" s="27">
        <f>IF($A16="",0,IF(Mitarbeiter!$G$14=FALSE,0,IF(AND(Mitarbeiter!$E$14&lt;&gt;"",GL$5+6&lt;Mitarbeiter!$E$14),0,IF(AND(Mitarbeiter!$F$14&lt;&gt;"",GL$5&gt;Mitarbeiter!$F$14),0,IF(Planung!GL16="",$C16,IF(ISNUMBER(Planung!GL16),Planung!GL16,IF(UPPER(Planung!GL16)="H",$C16/2,0)))))))</f>
        <v>0</v>
      </c>
      <c r="GM16" s="27">
        <f>IF($A16="",0,IF(Mitarbeiter!$G$14=FALSE,0,IF(AND(Mitarbeiter!$E$14&lt;&gt;"",GM$5+6&lt;Mitarbeiter!$E$14),0,IF(AND(Mitarbeiter!$F$14&lt;&gt;"",GM$5&gt;Mitarbeiter!$F$14),0,IF(Planung!GM16="",$C16,IF(ISNUMBER(Planung!GM16),Planung!GM16,IF(UPPER(Planung!GM16)="H",$C16/2,0)))))))</f>
        <v>0</v>
      </c>
      <c r="GN16" s="27">
        <f>IF($A16="",0,IF(Mitarbeiter!$G$14=FALSE,0,IF(AND(Mitarbeiter!$E$14&lt;&gt;"",GN$5+6&lt;Mitarbeiter!$E$14),0,IF(AND(Mitarbeiter!$F$14&lt;&gt;"",GN$5&gt;Mitarbeiter!$F$14),0,IF(Planung!GN16="",$C16,IF(ISNUMBER(Planung!GN16),Planung!GN16,IF(UPPER(Planung!GN16)="H",$C16/2,0)))))))</f>
        <v>0</v>
      </c>
      <c r="GO16" s="27">
        <f>IF($A16="",0,IF(Mitarbeiter!$G$14=FALSE,0,IF(AND(Mitarbeiter!$E$14&lt;&gt;"",GO$5+6&lt;Mitarbeiter!$E$14),0,IF(AND(Mitarbeiter!$F$14&lt;&gt;"",GO$5&gt;Mitarbeiter!$F$14),0,IF(Planung!GO16="",$C16,IF(ISNUMBER(Planung!GO16),Planung!GO16,IF(UPPER(Planung!GO16)="H",$C16/2,0)))))))</f>
        <v>0</v>
      </c>
      <c r="GP16" s="27">
        <f>IF($A16="",0,IF(Mitarbeiter!$G$14=FALSE,0,IF(AND(Mitarbeiter!$E$14&lt;&gt;"",GP$5+6&lt;Mitarbeiter!$E$14),0,IF(AND(Mitarbeiter!$F$14&lt;&gt;"",GP$5&gt;Mitarbeiter!$F$14),0,IF(Planung!GP16="",$C16,IF(ISNUMBER(Planung!GP16),Planung!GP16,IF(UPPER(Planung!GP16)="H",$C16/2,0)))))))</f>
        <v>0</v>
      </c>
      <c r="GQ16" s="27">
        <f>IF($A16="",0,IF(Mitarbeiter!$G$14=FALSE,0,IF(AND(Mitarbeiter!$E$14&lt;&gt;"",GQ$5+6&lt;Mitarbeiter!$E$14),0,IF(AND(Mitarbeiter!$F$14&lt;&gt;"",GQ$5&gt;Mitarbeiter!$F$14),0,IF(Planung!GQ16="",$C16,IF(ISNUMBER(Planung!GQ16),Planung!GQ16,IF(UPPER(Planung!GQ16)="H",$C16/2,0)))))))</f>
        <v>0</v>
      </c>
      <c r="GR16" s="27">
        <f>IF($A16="",0,IF(Mitarbeiter!$G$14=FALSE,0,IF(AND(Mitarbeiter!$E$14&lt;&gt;"",GR$5+6&lt;Mitarbeiter!$E$14),0,IF(AND(Mitarbeiter!$F$14&lt;&gt;"",GR$5&gt;Mitarbeiter!$F$14),0,IF(Planung!GR16="",$C16,IF(ISNUMBER(Planung!GR16),Planung!GR16,IF(UPPER(Planung!GR16)="H",$C16/2,0)))))))</f>
        <v>0</v>
      </c>
      <c r="GS16" s="27">
        <f>IF($A16="",0,IF(Mitarbeiter!$G$14=FALSE,0,IF(AND(Mitarbeiter!$E$14&lt;&gt;"",GS$5+6&lt;Mitarbeiter!$E$14),0,IF(AND(Mitarbeiter!$F$14&lt;&gt;"",GS$5&gt;Mitarbeiter!$F$14),0,IF(Planung!GS16="",$C16,IF(ISNUMBER(Planung!GS16),Planung!GS16,IF(UPPER(Planung!GS16)="H",$C16/2,0)))))))</f>
        <v>0</v>
      </c>
      <c r="GT16" s="27">
        <f>IF($A16="",0,IF(Mitarbeiter!$G$14=FALSE,0,IF(AND(Mitarbeiter!$E$14&lt;&gt;"",GT$5+6&lt;Mitarbeiter!$E$14),0,IF(AND(Mitarbeiter!$F$14&lt;&gt;"",GT$5&gt;Mitarbeiter!$F$14),0,IF(Planung!GT16="",$C16,IF(ISNUMBER(Planung!GT16),Planung!GT16,IF(UPPER(Planung!GT16)="H",$C16/2,0)))))))</f>
        <v>0</v>
      </c>
      <c r="GU16" s="27">
        <f>IF($A16="",0,IF(Mitarbeiter!$G$14=FALSE,0,IF(AND(Mitarbeiter!$E$14&lt;&gt;"",GU$5+6&lt;Mitarbeiter!$E$14),0,IF(AND(Mitarbeiter!$F$14&lt;&gt;"",GU$5&gt;Mitarbeiter!$F$14),0,IF(Planung!GU16="",$C16,IF(ISNUMBER(Planung!GU16),Planung!GU16,IF(UPPER(Planung!GU16)="H",$C16/2,0)))))))</f>
        <v>0</v>
      </c>
      <c r="GV16" s="27">
        <f>IF($A16="",0,IF(Mitarbeiter!$G$14=FALSE,0,IF(AND(Mitarbeiter!$E$14&lt;&gt;"",GV$5+6&lt;Mitarbeiter!$E$14),0,IF(AND(Mitarbeiter!$F$14&lt;&gt;"",GV$5&gt;Mitarbeiter!$F$14),0,IF(Planung!GV16="",$C16,IF(ISNUMBER(Planung!GV16),Planung!GV16,IF(UPPER(Planung!GV16)="H",$C16/2,0)))))))</f>
        <v>0</v>
      </c>
      <c r="GW16" s="27">
        <f>IF($A16="",0,IF(Mitarbeiter!$G$14=FALSE,0,IF(AND(Mitarbeiter!$E$14&lt;&gt;"",GW$5+6&lt;Mitarbeiter!$E$14),0,IF(AND(Mitarbeiter!$F$14&lt;&gt;"",GW$5&gt;Mitarbeiter!$F$14),0,IF(Planung!GW16="",$C16,IF(ISNUMBER(Planung!GW16),Planung!GW16,IF(UPPER(Planung!GW16)="H",$C16/2,0)))))))</f>
        <v>0</v>
      </c>
      <c r="GX16" s="27">
        <f>IF($A16="",0,IF(Mitarbeiter!$G$14=FALSE,0,IF(AND(Mitarbeiter!$E$14&lt;&gt;"",GX$5+6&lt;Mitarbeiter!$E$14),0,IF(AND(Mitarbeiter!$F$14&lt;&gt;"",GX$5&gt;Mitarbeiter!$F$14),0,IF(Planung!GX16="",$C16,IF(ISNUMBER(Planung!GX16),Planung!GX16,IF(UPPER(Planung!GX16)="H",$C16/2,0)))))))</f>
        <v>0</v>
      </c>
      <c r="GY16" s="27">
        <f>IF($A16="",0,IF(Mitarbeiter!$G$14=FALSE,0,IF(AND(Mitarbeiter!$E$14&lt;&gt;"",GY$5+6&lt;Mitarbeiter!$E$14),0,IF(AND(Mitarbeiter!$F$14&lt;&gt;"",GY$5&gt;Mitarbeiter!$F$14),0,IF(Planung!GY16="",$C16,IF(ISNUMBER(Planung!GY16),Planung!GY16,IF(UPPER(Planung!GY16)="H",$C16/2,0)))))))</f>
        <v>0</v>
      </c>
      <c r="GZ16" s="27">
        <f>IF($A16="",0,IF(Mitarbeiter!$G$14=FALSE,0,IF(AND(Mitarbeiter!$E$14&lt;&gt;"",GZ$5+6&lt;Mitarbeiter!$E$14),0,IF(AND(Mitarbeiter!$F$14&lt;&gt;"",GZ$5&gt;Mitarbeiter!$F$14),0,IF(Planung!GZ16="",$C16,IF(ISNUMBER(Planung!GZ16),Planung!GZ16,IF(UPPER(Planung!GZ16)="H",$C16/2,0)))))))</f>
        <v>0</v>
      </c>
      <c r="HA16" s="27">
        <f>IF($A16="",0,IF(Mitarbeiter!$G$14=FALSE,0,IF(AND(Mitarbeiter!$E$14&lt;&gt;"",HA$5+6&lt;Mitarbeiter!$E$14),0,IF(AND(Mitarbeiter!$F$14&lt;&gt;"",HA$5&gt;Mitarbeiter!$F$14),0,IF(Planung!HA16="",$C16,IF(ISNUMBER(Planung!HA16),Planung!HA16,IF(UPPER(Planung!HA16)="H",$C16/2,0)))))))</f>
        <v>0</v>
      </c>
      <c r="HB16" s="27">
        <f>IF($A16="",0,IF(Mitarbeiter!$G$14=FALSE,0,IF(AND(Mitarbeiter!$E$14&lt;&gt;"",HB$5+6&lt;Mitarbeiter!$E$14),0,IF(AND(Mitarbeiter!$F$14&lt;&gt;"",HB$5&gt;Mitarbeiter!$F$14),0,IF(Planung!HB16="",$C16,IF(ISNUMBER(Planung!HB16),Planung!HB16,IF(UPPER(Planung!HB16)="H",$C16/2,0)))))))</f>
        <v>0</v>
      </c>
      <c r="HC16" s="27">
        <f>IF($A16="",0,IF(Mitarbeiter!$G$14=FALSE,0,IF(AND(Mitarbeiter!$E$14&lt;&gt;"",HC$5+6&lt;Mitarbeiter!$E$14),0,IF(AND(Mitarbeiter!$F$14&lt;&gt;"",HC$5&gt;Mitarbeiter!$F$14),0,IF(Planung!HC16="",$C16,IF(ISNUMBER(Planung!HC16),Planung!HC16,IF(UPPER(Planung!HC16)="H",$C16/2,0)))))))</f>
        <v>0</v>
      </c>
      <c r="HD16" s="27">
        <f>IF($A16="",0,IF(Mitarbeiter!$G$14=FALSE,0,IF(AND(Mitarbeiter!$E$14&lt;&gt;"",HD$5+6&lt;Mitarbeiter!$E$14),0,IF(AND(Mitarbeiter!$F$14&lt;&gt;"",HD$5&gt;Mitarbeiter!$F$14),0,IF(Planung!HD16="",$C16,IF(ISNUMBER(Planung!HD16),Planung!HD16,IF(UPPER(Planung!HD16)="H",$C16/2,0)))))))</f>
        <v>0</v>
      </c>
      <c r="HE16" s="27">
        <f>IF($A16="",0,IF(Mitarbeiter!$G$14=FALSE,0,IF(AND(Mitarbeiter!$E$14&lt;&gt;"",HE$5+6&lt;Mitarbeiter!$E$14),0,IF(AND(Mitarbeiter!$F$14&lt;&gt;"",HE$5&gt;Mitarbeiter!$F$14),0,IF(Planung!HE16="",$C16,IF(ISNUMBER(Planung!HE16),Planung!HE16,IF(UPPER(Planung!HE16)="H",$C16/2,0)))))))</f>
        <v>0</v>
      </c>
      <c r="HF16" s="27">
        <f>IF($A16="",0,IF(Mitarbeiter!$G$14=FALSE,0,IF(AND(Mitarbeiter!$E$14&lt;&gt;"",HF$5+6&lt;Mitarbeiter!$E$14),0,IF(AND(Mitarbeiter!$F$14&lt;&gt;"",HF$5&gt;Mitarbeiter!$F$14),0,IF(Planung!HF16="",$C16,IF(ISNUMBER(Planung!HF16),Planung!HF16,IF(UPPER(Planung!HF16)="H",$C16/2,0)))))))</f>
        <v>0</v>
      </c>
      <c r="HG16" s="27">
        <f>IF($A16="",0,IF(Mitarbeiter!$G$14=FALSE,0,IF(AND(Mitarbeiter!$E$14&lt;&gt;"",HG$5+6&lt;Mitarbeiter!$E$14),0,IF(AND(Mitarbeiter!$F$14&lt;&gt;"",HG$5&gt;Mitarbeiter!$F$14),0,IF(Planung!HG16="",$C16,IF(ISNUMBER(Planung!HG16),Planung!HG16,IF(UPPER(Planung!HG16)="H",$C16/2,0)))))))</f>
        <v>0</v>
      </c>
      <c r="HH16" s="27">
        <f>IF($A16="",0,IF(Mitarbeiter!$G$14=FALSE,0,IF(AND(Mitarbeiter!$E$14&lt;&gt;"",HH$5+6&lt;Mitarbeiter!$E$14),0,IF(AND(Mitarbeiter!$F$14&lt;&gt;"",HH$5&gt;Mitarbeiter!$F$14),0,IF(Planung!HH16="",$C16,IF(ISNUMBER(Planung!HH16),Planung!HH16,IF(UPPER(Planung!HH16)="H",$C16/2,0)))))))</f>
        <v>0</v>
      </c>
      <c r="HI16" s="27">
        <f>IF($A16="",0,IF(Mitarbeiter!$G$14=FALSE,0,IF(AND(Mitarbeiter!$E$14&lt;&gt;"",HI$5+6&lt;Mitarbeiter!$E$14),0,IF(AND(Mitarbeiter!$F$14&lt;&gt;"",HI$5&gt;Mitarbeiter!$F$14),0,IF(Planung!HI16="",$C16,IF(ISNUMBER(Planung!HI16),Planung!HI16,IF(UPPER(Planung!HI16)="H",$C16/2,0)))))))</f>
        <v>0</v>
      </c>
      <c r="HJ16" s="27">
        <f>IF($A16="",0,IF(Mitarbeiter!$G$14=FALSE,0,IF(AND(Mitarbeiter!$E$14&lt;&gt;"",HJ$5+6&lt;Mitarbeiter!$E$14),0,IF(AND(Mitarbeiter!$F$14&lt;&gt;"",HJ$5&gt;Mitarbeiter!$F$14),0,IF(Planung!HJ16="",$C16,IF(ISNUMBER(Planung!HJ16),Planung!HJ16,IF(UPPER(Planung!HJ16)="H",$C16/2,0)))))))</f>
        <v>0</v>
      </c>
      <c r="HK16" s="27">
        <f>IF($A16="",0,IF(Mitarbeiter!$G$14=FALSE,0,IF(AND(Mitarbeiter!$E$14&lt;&gt;"",HK$5+6&lt;Mitarbeiter!$E$14),0,IF(AND(Mitarbeiter!$F$14&lt;&gt;"",HK$5&gt;Mitarbeiter!$F$14),0,IF(Planung!HK16="",$C16,IF(ISNUMBER(Planung!HK16),Planung!HK16,IF(UPPER(Planung!HK16)="H",$C16/2,0)))))))</f>
        <v>0</v>
      </c>
      <c r="HL16" s="27">
        <f>IF($A16="",0,IF(Mitarbeiter!$G$14=FALSE,0,IF(AND(Mitarbeiter!$E$14&lt;&gt;"",HL$5+6&lt;Mitarbeiter!$E$14),0,IF(AND(Mitarbeiter!$F$14&lt;&gt;"",HL$5&gt;Mitarbeiter!$F$14),0,IF(Planung!HL16="",$C16,IF(ISNUMBER(Planung!HL16),Planung!HL16,IF(UPPER(Planung!HL16)="H",$C16/2,0)))))))</f>
        <v>0</v>
      </c>
      <c r="HM16" s="27">
        <f>IF($A16="",0,IF(Mitarbeiter!$G$14=FALSE,0,IF(AND(Mitarbeiter!$E$14&lt;&gt;"",HM$5+6&lt;Mitarbeiter!$E$14),0,IF(AND(Mitarbeiter!$F$14&lt;&gt;"",HM$5&gt;Mitarbeiter!$F$14),0,IF(Planung!HM16="",$C16,IF(ISNUMBER(Planung!HM16),Planung!HM16,IF(UPPER(Planung!HM16)="H",$C16/2,0)))))))</f>
        <v>0</v>
      </c>
      <c r="HN16" s="27">
        <f>IF($A16="",0,IF(Mitarbeiter!$G$14=FALSE,0,IF(AND(Mitarbeiter!$E$14&lt;&gt;"",HN$5+6&lt;Mitarbeiter!$E$14),0,IF(AND(Mitarbeiter!$F$14&lt;&gt;"",HN$5&gt;Mitarbeiter!$F$14),0,IF(Planung!HN16="",$C16,IF(ISNUMBER(Planung!HN16),Planung!HN16,IF(UPPER(Planung!HN16)="H",$C16/2,0)))))))</f>
        <v>0</v>
      </c>
      <c r="HO16" s="27">
        <f>IF($A16="",0,IF(Mitarbeiter!$G$14=FALSE,0,IF(AND(Mitarbeiter!$E$14&lt;&gt;"",HO$5+6&lt;Mitarbeiter!$E$14),0,IF(AND(Mitarbeiter!$F$14&lt;&gt;"",HO$5&gt;Mitarbeiter!$F$14),0,IF(Planung!HO16="",$C16,IF(ISNUMBER(Planung!HO16),Planung!HO16,IF(UPPER(Planung!HO16)="H",$C16/2,0)))))))</f>
        <v>0</v>
      </c>
      <c r="HP16" s="27">
        <f>IF($A16="",0,IF(Mitarbeiter!$G$14=FALSE,0,IF(AND(Mitarbeiter!$E$14&lt;&gt;"",HP$5+6&lt;Mitarbeiter!$E$14),0,IF(AND(Mitarbeiter!$F$14&lt;&gt;"",HP$5&gt;Mitarbeiter!$F$14),0,IF(Planung!HP16="",$C16,IF(ISNUMBER(Planung!HP16),Planung!HP16,IF(UPPER(Planung!HP16)="H",$C16/2,0)))))))</f>
        <v>0</v>
      </c>
      <c r="HQ16" s="27">
        <f>IF($A16="",0,IF(Mitarbeiter!$G$14=FALSE,0,IF(AND(Mitarbeiter!$E$14&lt;&gt;"",HQ$5+6&lt;Mitarbeiter!$E$14),0,IF(AND(Mitarbeiter!$F$14&lt;&gt;"",HQ$5&gt;Mitarbeiter!$F$14),0,IF(Planung!HQ16="",$C16,IF(ISNUMBER(Planung!HQ16),Planung!HQ16,IF(UPPER(Planung!HQ16)="H",$C16/2,0)))))))</f>
        <v>0</v>
      </c>
      <c r="HR16" s="27">
        <f>IF($A16="",0,IF(Mitarbeiter!$G$14=FALSE,0,IF(AND(Mitarbeiter!$E$14&lt;&gt;"",HR$5+6&lt;Mitarbeiter!$E$14),0,IF(AND(Mitarbeiter!$F$14&lt;&gt;"",HR$5&gt;Mitarbeiter!$F$14),0,IF(Planung!HR16="",$C16,IF(ISNUMBER(Planung!HR16),Planung!HR16,IF(UPPER(Planung!HR16)="H",$C16/2,0)))))))</f>
        <v>0</v>
      </c>
      <c r="HS16" s="27">
        <f>IF($A16="",0,IF(Mitarbeiter!$G$14=FALSE,0,IF(AND(Mitarbeiter!$E$14&lt;&gt;"",HS$5+6&lt;Mitarbeiter!$E$14),0,IF(AND(Mitarbeiter!$F$14&lt;&gt;"",HS$5&gt;Mitarbeiter!$F$14),0,IF(Planung!HS16="",$C16,IF(ISNUMBER(Planung!HS16),Planung!HS16,IF(UPPER(Planung!HS16)="H",$C16/2,0)))))))</f>
        <v>0</v>
      </c>
      <c r="HT16" s="27">
        <f>IF($A16="",0,IF(Mitarbeiter!$G$14=FALSE,0,IF(AND(Mitarbeiter!$E$14&lt;&gt;"",HT$5+6&lt;Mitarbeiter!$E$14),0,IF(AND(Mitarbeiter!$F$14&lt;&gt;"",HT$5&gt;Mitarbeiter!$F$14),0,IF(Planung!HT16="",$C16,IF(ISNUMBER(Planung!HT16),Planung!HT16,IF(UPPER(Planung!HT16)="H",$C16/2,0)))))))</f>
        <v>0</v>
      </c>
      <c r="HU16" s="27">
        <f>IF($A16="",0,IF(Mitarbeiter!$G$14=FALSE,0,IF(AND(Mitarbeiter!$E$14&lt;&gt;"",HU$5+6&lt;Mitarbeiter!$E$14),0,IF(AND(Mitarbeiter!$F$14&lt;&gt;"",HU$5&gt;Mitarbeiter!$F$14),0,IF(Planung!HU16="",$C16,IF(ISNUMBER(Planung!HU16),Planung!HU16,IF(UPPER(Planung!HU16)="H",$C16/2,0)))))))</f>
        <v>0</v>
      </c>
      <c r="HV16" s="27">
        <f>IF($A16="",0,IF(Mitarbeiter!$G$14=FALSE,0,IF(AND(Mitarbeiter!$E$14&lt;&gt;"",HV$5+6&lt;Mitarbeiter!$E$14),0,IF(AND(Mitarbeiter!$F$14&lt;&gt;"",HV$5&gt;Mitarbeiter!$F$14),0,IF(Planung!HV16="",$C16,IF(ISNUMBER(Planung!HV16),Planung!HV16,IF(UPPER(Planung!HV16)="H",$C16/2,0)))))))</f>
        <v>0</v>
      </c>
      <c r="HW16" s="27">
        <f>IF($A16="",0,IF(Mitarbeiter!$G$14=FALSE,0,IF(AND(Mitarbeiter!$E$14&lt;&gt;"",HW$5+6&lt;Mitarbeiter!$E$14),0,IF(AND(Mitarbeiter!$F$14&lt;&gt;"",HW$5&gt;Mitarbeiter!$F$14),0,IF(Planung!HW16="",$C16,IF(ISNUMBER(Planung!HW16),Planung!HW16,IF(UPPER(Planung!HW16)="H",$C16/2,0)))))))</f>
        <v>0</v>
      </c>
      <c r="HX16" s="27">
        <f>IF($A16="",0,IF(Mitarbeiter!$G$14=FALSE,0,IF(AND(Mitarbeiter!$E$14&lt;&gt;"",HX$5+6&lt;Mitarbeiter!$E$14),0,IF(AND(Mitarbeiter!$F$14&lt;&gt;"",HX$5&gt;Mitarbeiter!$F$14),0,IF(Planung!HX16="",$C16,IF(ISNUMBER(Planung!HX16),Planung!HX16,IF(UPPER(Planung!HX16)="H",$C16/2,0)))))))</f>
        <v>0</v>
      </c>
      <c r="HY16" s="27">
        <f>IF($A16="",0,IF(Mitarbeiter!$G$14=FALSE,0,IF(AND(Mitarbeiter!$E$14&lt;&gt;"",HY$5+6&lt;Mitarbeiter!$E$14),0,IF(AND(Mitarbeiter!$F$14&lt;&gt;"",HY$5&gt;Mitarbeiter!$F$14),0,IF(Planung!HY16="",$C16,IF(ISNUMBER(Planung!HY16),Planung!HY16,IF(UPPER(Planung!HY16)="H",$C16/2,0)))))))</f>
        <v>0</v>
      </c>
      <c r="HZ16" s="27">
        <f>IF($A16="",0,IF(Mitarbeiter!$G$14=FALSE,0,IF(AND(Mitarbeiter!$E$14&lt;&gt;"",HZ$5+6&lt;Mitarbeiter!$E$14),0,IF(AND(Mitarbeiter!$F$14&lt;&gt;"",HZ$5&gt;Mitarbeiter!$F$14),0,IF(Planung!HZ16="",$C16,IF(ISNUMBER(Planung!HZ16),Planung!HZ16,IF(UPPER(Planung!HZ16)="H",$C16/2,0)))))))</f>
        <v>0</v>
      </c>
      <c r="IA16" s="27">
        <f>IF($A16="",0,IF(Mitarbeiter!$G$14=FALSE,0,IF(AND(Mitarbeiter!$E$14&lt;&gt;"",IA$5+6&lt;Mitarbeiter!$E$14),0,IF(AND(Mitarbeiter!$F$14&lt;&gt;"",IA$5&gt;Mitarbeiter!$F$14),0,IF(Planung!IA16="",$C16,IF(ISNUMBER(Planung!IA16),Planung!IA16,IF(UPPER(Planung!IA16)="H",$C16/2,0)))))))</f>
        <v>0</v>
      </c>
    </row>
    <row r="17" spans="1:235" x14ac:dyDescent="0.25">
      <c r="A17" s="7" t="str">
        <f>Planung!A17</f>
        <v/>
      </c>
      <c r="B17" s="7" t="str">
        <f>Planung!B17</f>
        <v/>
      </c>
      <c r="C17" s="27">
        <f>N(Mitarbeiter!$D$15)</f>
        <v>0</v>
      </c>
      <c r="D17" s="27">
        <f>IF($A17="",0,IF(Mitarbeiter!$G$15=FALSE,0,IF(AND(Mitarbeiter!$E$15&lt;&gt;"",D$5+6&lt;Mitarbeiter!$E$15),0,IF(AND(Mitarbeiter!$F$15&lt;&gt;"",D$5&gt;Mitarbeiter!$F$15),0,IF(Planung!D17="",$C17,IF(ISNUMBER(Planung!D17),Planung!D17,IF(UPPER(Planung!D17)="H",$C17/2,0)))))))</f>
        <v>0</v>
      </c>
      <c r="E17" s="27">
        <f>IF($A17="",0,IF(Mitarbeiter!$G$15=FALSE,0,IF(AND(Mitarbeiter!$E$15&lt;&gt;"",E$5+6&lt;Mitarbeiter!$E$15),0,IF(AND(Mitarbeiter!$F$15&lt;&gt;"",E$5&gt;Mitarbeiter!$F$15),0,IF(Planung!E17="",$C17,IF(ISNUMBER(Planung!E17),Planung!E17,IF(UPPER(Planung!E17)="H",$C17/2,0)))))))</f>
        <v>0</v>
      </c>
      <c r="F17" s="27">
        <f>IF($A17="",0,IF(Mitarbeiter!$G$15=FALSE,0,IF(AND(Mitarbeiter!$E$15&lt;&gt;"",F$5+6&lt;Mitarbeiter!$E$15),0,IF(AND(Mitarbeiter!$F$15&lt;&gt;"",F$5&gt;Mitarbeiter!$F$15),0,IF(Planung!F17="",$C17,IF(ISNUMBER(Planung!F17),Planung!F17,IF(UPPER(Planung!F17)="H",$C17/2,0)))))))</f>
        <v>0</v>
      </c>
      <c r="G17" s="27">
        <f>IF($A17="",0,IF(Mitarbeiter!$G$15=FALSE,0,IF(AND(Mitarbeiter!$E$15&lt;&gt;"",G$5+6&lt;Mitarbeiter!$E$15),0,IF(AND(Mitarbeiter!$F$15&lt;&gt;"",G$5&gt;Mitarbeiter!$F$15),0,IF(Planung!G17="",$C17,IF(ISNUMBER(Planung!G17),Planung!G17,IF(UPPER(Planung!G17)="H",$C17/2,0)))))))</f>
        <v>0</v>
      </c>
      <c r="H17" s="27">
        <f>IF($A17="",0,IF(Mitarbeiter!$G$15=FALSE,0,IF(AND(Mitarbeiter!$E$15&lt;&gt;"",H$5+6&lt;Mitarbeiter!$E$15),0,IF(AND(Mitarbeiter!$F$15&lt;&gt;"",H$5&gt;Mitarbeiter!$F$15),0,IF(Planung!H17="",$C17,IF(ISNUMBER(Planung!H17),Planung!H17,IF(UPPER(Planung!H17)="H",$C17/2,0)))))))</f>
        <v>0</v>
      </c>
      <c r="I17" s="27">
        <f>IF($A17="",0,IF(Mitarbeiter!$G$15=FALSE,0,IF(AND(Mitarbeiter!$E$15&lt;&gt;"",I$5+6&lt;Mitarbeiter!$E$15),0,IF(AND(Mitarbeiter!$F$15&lt;&gt;"",I$5&gt;Mitarbeiter!$F$15),0,IF(Planung!I17="",$C17,IF(ISNUMBER(Planung!I17),Planung!I17,IF(UPPER(Planung!I17)="H",$C17/2,0)))))))</f>
        <v>0</v>
      </c>
      <c r="J17" s="27">
        <f>IF($A17="",0,IF(Mitarbeiter!$G$15=FALSE,0,IF(AND(Mitarbeiter!$E$15&lt;&gt;"",J$5+6&lt;Mitarbeiter!$E$15),0,IF(AND(Mitarbeiter!$F$15&lt;&gt;"",J$5&gt;Mitarbeiter!$F$15),0,IF(Planung!J17="",$C17,IF(ISNUMBER(Planung!J17),Planung!J17,IF(UPPER(Planung!J17)="H",$C17/2,0)))))))</f>
        <v>0</v>
      </c>
      <c r="K17" s="27">
        <f>IF($A17="",0,IF(Mitarbeiter!$G$15=FALSE,0,IF(AND(Mitarbeiter!$E$15&lt;&gt;"",K$5+6&lt;Mitarbeiter!$E$15),0,IF(AND(Mitarbeiter!$F$15&lt;&gt;"",K$5&gt;Mitarbeiter!$F$15),0,IF(Planung!K17="",$C17,IF(ISNUMBER(Planung!K17),Planung!K17,IF(UPPER(Planung!K17)="H",$C17/2,0)))))))</f>
        <v>0</v>
      </c>
      <c r="L17" s="27">
        <f>IF($A17="",0,IF(Mitarbeiter!$G$15=FALSE,0,IF(AND(Mitarbeiter!$E$15&lt;&gt;"",L$5+6&lt;Mitarbeiter!$E$15),0,IF(AND(Mitarbeiter!$F$15&lt;&gt;"",L$5&gt;Mitarbeiter!$F$15),0,IF(Planung!L17="",$C17,IF(ISNUMBER(Planung!L17),Planung!L17,IF(UPPER(Planung!L17)="H",$C17/2,0)))))))</f>
        <v>0</v>
      </c>
      <c r="M17" s="27">
        <f>IF($A17="",0,IF(Mitarbeiter!$G$15=FALSE,0,IF(AND(Mitarbeiter!$E$15&lt;&gt;"",M$5+6&lt;Mitarbeiter!$E$15),0,IF(AND(Mitarbeiter!$F$15&lt;&gt;"",M$5&gt;Mitarbeiter!$F$15),0,IF(Planung!M17="",$C17,IF(ISNUMBER(Planung!M17),Planung!M17,IF(UPPER(Planung!M17)="H",$C17/2,0)))))))</f>
        <v>0</v>
      </c>
      <c r="N17" s="27">
        <f>IF($A17="",0,IF(Mitarbeiter!$G$15=FALSE,0,IF(AND(Mitarbeiter!$E$15&lt;&gt;"",N$5+6&lt;Mitarbeiter!$E$15),0,IF(AND(Mitarbeiter!$F$15&lt;&gt;"",N$5&gt;Mitarbeiter!$F$15),0,IF(Planung!N17="",$C17,IF(ISNUMBER(Planung!N17),Planung!N17,IF(UPPER(Planung!N17)="H",$C17/2,0)))))))</f>
        <v>0</v>
      </c>
      <c r="O17" s="27">
        <f>IF($A17="",0,IF(Mitarbeiter!$G$15=FALSE,0,IF(AND(Mitarbeiter!$E$15&lt;&gt;"",O$5+6&lt;Mitarbeiter!$E$15),0,IF(AND(Mitarbeiter!$F$15&lt;&gt;"",O$5&gt;Mitarbeiter!$F$15),0,IF(Planung!O17="",$C17,IF(ISNUMBER(Planung!O17),Planung!O17,IF(UPPER(Planung!O17)="H",$C17/2,0)))))))</f>
        <v>0</v>
      </c>
      <c r="P17" s="27">
        <f>IF($A17="",0,IF(Mitarbeiter!$G$15=FALSE,0,IF(AND(Mitarbeiter!$E$15&lt;&gt;"",P$5+6&lt;Mitarbeiter!$E$15),0,IF(AND(Mitarbeiter!$F$15&lt;&gt;"",P$5&gt;Mitarbeiter!$F$15),0,IF(Planung!P17="",$C17,IF(ISNUMBER(Planung!P17),Planung!P17,IF(UPPER(Planung!P17)="H",$C17/2,0)))))))</f>
        <v>0</v>
      </c>
      <c r="Q17" s="27">
        <f>IF($A17="",0,IF(Mitarbeiter!$G$15=FALSE,0,IF(AND(Mitarbeiter!$E$15&lt;&gt;"",Q$5+6&lt;Mitarbeiter!$E$15),0,IF(AND(Mitarbeiter!$F$15&lt;&gt;"",Q$5&gt;Mitarbeiter!$F$15),0,IF(Planung!Q17="",$C17,IF(ISNUMBER(Planung!Q17),Planung!Q17,IF(UPPER(Planung!Q17)="H",$C17/2,0)))))))</f>
        <v>0</v>
      </c>
      <c r="R17" s="27">
        <f>IF($A17="",0,IF(Mitarbeiter!$G$15=FALSE,0,IF(AND(Mitarbeiter!$E$15&lt;&gt;"",R$5+6&lt;Mitarbeiter!$E$15),0,IF(AND(Mitarbeiter!$F$15&lt;&gt;"",R$5&gt;Mitarbeiter!$F$15),0,IF(Planung!R17="",$C17,IF(ISNUMBER(Planung!R17),Planung!R17,IF(UPPER(Planung!R17)="H",$C17/2,0)))))))</f>
        <v>0</v>
      </c>
      <c r="S17" s="27">
        <f>IF($A17="",0,IF(Mitarbeiter!$G$15=FALSE,0,IF(AND(Mitarbeiter!$E$15&lt;&gt;"",S$5+6&lt;Mitarbeiter!$E$15),0,IF(AND(Mitarbeiter!$F$15&lt;&gt;"",S$5&gt;Mitarbeiter!$F$15),0,IF(Planung!S17="",$C17,IF(ISNUMBER(Planung!S17),Planung!S17,IF(UPPER(Planung!S17)="H",$C17/2,0)))))))</f>
        <v>0</v>
      </c>
      <c r="T17" s="27">
        <f>IF($A17="",0,IF(Mitarbeiter!$G$15=FALSE,0,IF(AND(Mitarbeiter!$E$15&lt;&gt;"",T$5+6&lt;Mitarbeiter!$E$15),0,IF(AND(Mitarbeiter!$F$15&lt;&gt;"",T$5&gt;Mitarbeiter!$F$15),0,IF(Planung!T17="",$C17,IF(ISNUMBER(Planung!T17),Planung!T17,IF(UPPER(Planung!T17)="H",$C17/2,0)))))))</f>
        <v>0</v>
      </c>
      <c r="U17" s="27">
        <f>IF($A17="",0,IF(Mitarbeiter!$G$15=FALSE,0,IF(AND(Mitarbeiter!$E$15&lt;&gt;"",U$5+6&lt;Mitarbeiter!$E$15),0,IF(AND(Mitarbeiter!$F$15&lt;&gt;"",U$5&gt;Mitarbeiter!$F$15),0,IF(Planung!U17="",$C17,IF(ISNUMBER(Planung!U17),Planung!U17,IF(UPPER(Planung!U17)="H",$C17/2,0)))))))</f>
        <v>0</v>
      </c>
      <c r="V17" s="27">
        <f>IF($A17="",0,IF(Mitarbeiter!$G$15=FALSE,0,IF(AND(Mitarbeiter!$E$15&lt;&gt;"",V$5+6&lt;Mitarbeiter!$E$15),0,IF(AND(Mitarbeiter!$F$15&lt;&gt;"",V$5&gt;Mitarbeiter!$F$15),0,IF(Planung!V17="",$C17,IF(ISNUMBER(Planung!V17),Planung!V17,IF(UPPER(Planung!V17)="H",$C17/2,0)))))))</f>
        <v>0</v>
      </c>
      <c r="W17" s="27">
        <f>IF($A17="",0,IF(Mitarbeiter!$G$15=FALSE,0,IF(AND(Mitarbeiter!$E$15&lt;&gt;"",W$5+6&lt;Mitarbeiter!$E$15),0,IF(AND(Mitarbeiter!$F$15&lt;&gt;"",W$5&gt;Mitarbeiter!$F$15),0,IF(Planung!W17="",$C17,IF(ISNUMBER(Planung!W17),Planung!W17,IF(UPPER(Planung!W17)="H",$C17/2,0)))))))</f>
        <v>0</v>
      </c>
      <c r="X17" s="27">
        <f>IF($A17="",0,IF(Mitarbeiter!$G$15=FALSE,0,IF(AND(Mitarbeiter!$E$15&lt;&gt;"",X$5+6&lt;Mitarbeiter!$E$15),0,IF(AND(Mitarbeiter!$F$15&lt;&gt;"",X$5&gt;Mitarbeiter!$F$15),0,IF(Planung!X17="",$C17,IF(ISNUMBER(Planung!X17),Planung!X17,IF(UPPER(Planung!X17)="H",$C17/2,0)))))))</f>
        <v>0</v>
      </c>
      <c r="Y17" s="27">
        <f>IF($A17="",0,IF(Mitarbeiter!$G$15=FALSE,0,IF(AND(Mitarbeiter!$E$15&lt;&gt;"",Y$5+6&lt;Mitarbeiter!$E$15),0,IF(AND(Mitarbeiter!$F$15&lt;&gt;"",Y$5&gt;Mitarbeiter!$F$15),0,IF(Planung!Y17="",$C17,IF(ISNUMBER(Planung!Y17),Planung!Y17,IF(UPPER(Planung!Y17)="H",$C17/2,0)))))))</f>
        <v>0</v>
      </c>
      <c r="Z17" s="27">
        <f>IF($A17="",0,IF(Mitarbeiter!$G$15=FALSE,0,IF(AND(Mitarbeiter!$E$15&lt;&gt;"",Z$5+6&lt;Mitarbeiter!$E$15),0,IF(AND(Mitarbeiter!$F$15&lt;&gt;"",Z$5&gt;Mitarbeiter!$F$15),0,IF(Planung!Z17="",$C17,IF(ISNUMBER(Planung!Z17),Planung!Z17,IF(UPPER(Planung!Z17)="H",$C17/2,0)))))))</f>
        <v>0</v>
      </c>
      <c r="AA17" s="27">
        <f>IF($A17="",0,IF(Mitarbeiter!$G$15=FALSE,0,IF(AND(Mitarbeiter!$E$15&lt;&gt;"",AA$5+6&lt;Mitarbeiter!$E$15),0,IF(AND(Mitarbeiter!$F$15&lt;&gt;"",AA$5&gt;Mitarbeiter!$F$15),0,IF(Planung!AA17="",$C17,IF(ISNUMBER(Planung!AA17),Planung!AA17,IF(UPPER(Planung!AA17)="H",$C17/2,0)))))))</f>
        <v>0</v>
      </c>
      <c r="AB17" s="27">
        <f>IF($A17="",0,IF(Mitarbeiter!$G$15=FALSE,0,IF(AND(Mitarbeiter!$E$15&lt;&gt;"",AB$5+6&lt;Mitarbeiter!$E$15),0,IF(AND(Mitarbeiter!$F$15&lt;&gt;"",AB$5&gt;Mitarbeiter!$F$15),0,IF(Planung!AB17="",$C17,IF(ISNUMBER(Planung!AB17),Planung!AB17,IF(UPPER(Planung!AB17)="H",$C17/2,0)))))))</f>
        <v>0</v>
      </c>
      <c r="AC17" s="27">
        <f>IF($A17="",0,IF(Mitarbeiter!$G$15=FALSE,0,IF(AND(Mitarbeiter!$E$15&lt;&gt;"",AC$5+6&lt;Mitarbeiter!$E$15),0,IF(AND(Mitarbeiter!$F$15&lt;&gt;"",AC$5&gt;Mitarbeiter!$F$15),0,IF(Planung!AC17="",$C17,IF(ISNUMBER(Planung!AC17),Planung!AC17,IF(UPPER(Planung!AC17)="H",$C17/2,0)))))))</f>
        <v>0</v>
      </c>
      <c r="AD17" s="27">
        <f>IF($A17="",0,IF(Mitarbeiter!$G$15=FALSE,0,IF(AND(Mitarbeiter!$E$15&lt;&gt;"",AD$5+6&lt;Mitarbeiter!$E$15),0,IF(AND(Mitarbeiter!$F$15&lt;&gt;"",AD$5&gt;Mitarbeiter!$F$15),0,IF(Planung!AD17="",$C17,IF(ISNUMBER(Planung!AD17),Planung!AD17,IF(UPPER(Planung!AD17)="H",$C17/2,0)))))))</f>
        <v>0</v>
      </c>
      <c r="AE17" s="27">
        <f>IF($A17="",0,IF(Mitarbeiter!$G$15=FALSE,0,IF(AND(Mitarbeiter!$E$15&lt;&gt;"",AE$5+6&lt;Mitarbeiter!$E$15),0,IF(AND(Mitarbeiter!$F$15&lt;&gt;"",AE$5&gt;Mitarbeiter!$F$15),0,IF(Planung!AE17="",$C17,IF(ISNUMBER(Planung!AE17),Planung!AE17,IF(UPPER(Planung!AE17)="H",$C17/2,0)))))))</f>
        <v>0</v>
      </c>
      <c r="AF17" s="27">
        <f>IF($A17="",0,IF(Mitarbeiter!$G$15=FALSE,0,IF(AND(Mitarbeiter!$E$15&lt;&gt;"",AF$5+6&lt;Mitarbeiter!$E$15),0,IF(AND(Mitarbeiter!$F$15&lt;&gt;"",AF$5&gt;Mitarbeiter!$F$15),0,IF(Planung!AF17="",$C17,IF(ISNUMBER(Planung!AF17),Planung!AF17,IF(UPPER(Planung!AF17)="H",$C17/2,0)))))))</f>
        <v>0</v>
      </c>
      <c r="AG17" s="27">
        <f>IF($A17="",0,IF(Mitarbeiter!$G$15=FALSE,0,IF(AND(Mitarbeiter!$E$15&lt;&gt;"",AG$5+6&lt;Mitarbeiter!$E$15),0,IF(AND(Mitarbeiter!$F$15&lt;&gt;"",AG$5&gt;Mitarbeiter!$F$15),0,IF(Planung!AG17="",$C17,IF(ISNUMBER(Planung!AG17),Planung!AG17,IF(UPPER(Planung!AG17)="H",$C17/2,0)))))))</f>
        <v>0</v>
      </c>
      <c r="AH17" s="27">
        <f>IF($A17="",0,IF(Mitarbeiter!$G$15=FALSE,0,IF(AND(Mitarbeiter!$E$15&lt;&gt;"",AH$5+6&lt;Mitarbeiter!$E$15),0,IF(AND(Mitarbeiter!$F$15&lt;&gt;"",AH$5&gt;Mitarbeiter!$F$15),0,IF(Planung!AH17="",$C17,IF(ISNUMBER(Planung!AH17),Planung!AH17,IF(UPPER(Planung!AH17)="H",$C17/2,0)))))))</f>
        <v>0</v>
      </c>
      <c r="AI17" s="27">
        <f>IF($A17="",0,IF(Mitarbeiter!$G$15=FALSE,0,IF(AND(Mitarbeiter!$E$15&lt;&gt;"",AI$5+6&lt;Mitarbeiter!$E$15),0,IF(AND(Mitarbeiter!$F$15&lt;&gt;"",AI$5&gt;Mitarbeiter!$F$15),0,IF(Planung!AI17="",$C17,IF(ISNUMBER(Planung!AI17),Planung!AI17,IF(UPPER(Planung!AI17)="H",$C17/2,0)))))))</f>
        <v>0</v>
      </c>
      <c r="AJ17" s="27">
        <f>IF($A17="",0,IF(Mitarbeiter!$G$15=FALSE,0,IF(AND(Mitarbeiter!$E$15&lt;&gt;"",AJ$5+6&lt;Mitarbeiter!$E$15),0,IF(AND(Mitarbeiter!$F$15&lt;&gt;"",AJ$5&gt;Mitarbeiter!$F$15),0,IF(Planung!AJ17="",$C17,IF(ISNUMBER(Planung!AJ17),Planung!AJ17,IF(UPPER(Planung!AJ17)="H",$C17/2,0)))))))</f>
        <v>0</v>
      </c>
      <c r="AK17" s="27">
        <f>IF($A17="",0,IF(Mitarbeiter!$G$15=FALSE,0,IF(AND(Mitarbeiter!$E$15&lt;&gt;"",AK$5+6&lt;Mitarbeiter!$E$15),0,IF(AND(Mitarbeiter!$F$15&lt;&gt;"",AK$5&gt;Mitarbeiter!$F$15),0,IF(Planung!AK17="",$C17,IF(ISNUMBER(Planung!AK17),Planung!AK17,IF(UPPER(Planung!AK17)="H",$C17/2,0)))))))</f>
        <v>0</v>
      </c>
      <c r="AL17" s="27">
        <f>IF($A17="",0,IF(Mitarbeiter!$G$15=FALSE,0,IF(AND(Mitarbeiter!$E$15&lt;&gt;"",AL$5+6&lt;Mitarbeiter!$E$15),0,IF(AND(Mitarbeiter!$F$15&lt;&gt;"",AL$5&gt;Mitarbeiter!$F$15),0,IF(Planung!AL17="",$C17,IF(ISNUMBER(Planung!AL17),Planung!AL17,IF(UPPER(Planung!AL17)="H",$C17/2,0)))))))</f>
        <v>0</v>
      </c>
      <c r="AM17" s="27">
        <f>IF($A17="",0,IF(Mitarbeiter!$G$15=FALSE,0,IF(AND(Mitarbeiter!$E$15&lt;&gt;"",AM$5+6&lt;Mitarbeiter!$E$15),0,IF(AND(Mitarbeiter!$F$15&lt;&gt;"",AM$5&gt;Mitarbeiter!$F$15),0,IF(Planung!AM17="",$C17,IF(ISNUMBER(Planung!AM17),Planung!AM17,IF(UPPER(Planung!AM17)="H",$C17/2,0)))))))</f>
        <v>0</v>
      </c>
      <c r="AN17" s="27">
        <f>IF($A17="",0,IF(Mitarbeiter!$G$15=FALSE,0,IF(AND(Mitarbeiter!$E$15&lt;&gt;"",AN$5+6&lt;Mitarbeiter!$E$15),0,IF(AND(Mitarbeiter!$F$15&lt;&gt;"",AN$5&gt;Mitarbeiter!$F$15),0,IF(Planung!AN17="",$C17,IF(ISNUMBER(Planung!AN17),Planung!AN17,IF(UPPER(Planung!AN17)="H",$C17/2,0)))))))</f>
        <v>0</v>
      </c>
      <c r="AO17" s="27">
        <f>IF($A17="",0,IF(Mitarbeiter!$G$15=FALSE,0,IF(AND(Mitarbeiter!$E$15&lt;&gt;"",AO$5+6&lt;Mitarbeiter!$E$15),0,IF(AND(Mitarbeiter!$F$15&lt;&gt;"",AO$5&gt;Mitarbeiter!$F$15),0,IF(Planung!AO17="",$C17,IF(ISNUMBER(Planung!AO17),Planung!AO17,IF(UPPER(Planung!AO17)="H",$C17/2,0)))))))</f>
        <v>0</v>
      </c>
      <c r="AP17" s="27">
        <f>IF($A17="",0,IF(Mitarbeiter!$G$15=FALSE,0,IF(AND(Mitarbeiter!$E$15&lt;&gt;"",AP$5+6&lt;Mitarbeiter!$E$15),0,IF(AND(Mitarbeiter!$F$15&lt;&gt;"",AP$5&gt;Mitarbeiter!$F$15),0,IF(Planung!AP17="",$C17,IF(ISNUMBER(Planung!AP17),Planung!AP17,IF(UPPER(Planung!AP17)="H",$C17/2,0)))))))</f>
        <v>0</v>
      </c>
      <c r="AQ17" s="27">
        <f>IF($A17="",0,IF(Mitarbeiter!$G$15=FALSE,0,IF(AND(Mitarbeiter!$E$15&lt;&gt;"",AQ$5+6&lt;Mitarbeiter!$E$15),0,IF(AND(Mitarbeiter!$F$15&lt;&gt;"",AQ$5&gt;Mitarbeiter!$F$15),0,IF(Planung!AQ17="",$C17,IF(ISNUMBER(Planung!AQ17),Planung!AQ17,IF(UPPER(Planung!AQ17)="H",$C17/2,0)))))))</f>
        <v>0</v>
      </c>
      <c r="AR17" s="27">
        <f>IF($A17="",0,IF(Mitarbeiter!$G$15=FALSE,0,IF(AND(Mitarbeiter!$E$15&lt;&gt;"",AR$5+6&lt;Mitarbeiter!$E$15),0,IF(AND(Mitarbeiter!$F$15&lt;&gt;"",AR$5&gt;Mitarbeiter!$F$15),0,IF(Planung!AR17="",$C17,IF(ISNUMBER(Planung!AR17),Planung!AR17,IF(UPPER(Planung!AR17)="H",$C17/2,0)))))))</f>
        <v>0</v>
      </c>
      <c r="AS17" s="27">
        <f>IF($A17="",0,IF(Mitarbeiter!$G$15=FALSE,0,IF(AND(Mitarbeiter!$E$15&lt;&gt;"",AS$5+6&lt;Mitarbeiter!$E$15),0,IF(AND(Mitarbeiter!$F$15&lt;&gt;"",AS$5&gt;Mitarbeiter!$F$15),0,IF(Planung!AS17="",$C17,IF(ISNUMBER(Planung!AS17),Planung!AS17,IF(UPPER(Planung!AS17)="H",$C17/2,0)))))))</f>
        <v>0</v>
      </c>
      <c r="AT17" s="27">
        <f>IF($A17="",0,IF(Mitarbeiter!$G$15=FALSE,0,IF(AND(Mitarbeiter!$E$15&lt;&gt;"",AT$5+6&lt;Mitarbeiter!$E$15),0,IF(AND(Mitarbeiter!$F$15&lt;&gt;"",AT$5&gt;Mitarbeiter!$F$15),0,IF(Planung!AT17="",$C17,IF(ISNUMBER(Planung!AT17),Planung!AT17,IF(UPPER(Planung!AT17)="H",$C17/2,0)))))))</f>
        <v>0</v>
      </c>
      <c r="AU17" s="27">
        <f>IF($A17="",0,IF(Mitarbeiter!$G$15=FALSE,0,IF(AND(Mitarbeiter!$E$15&lt;&gt;"",AU$5+6&lt;Mitarbeiter!$E$15),0,IF(AND(Mitarbeiter!$F$15&lt;&gt;"",AU$5&gt;Mitarbeiter!$F$15),0,IF(Planung!AU17="",$C17,IF(ISNUMBER(Planung!AU17),Planung!AU17,IF(UPPER(Planung!AU17)="H",$C17/2,0)))))))</f>
        <v>0</v>
      </c>
      <c r="AV17" s="27">
        <f>IF($A17="",0,IF(Mitarbeiter!$G$15=FALSE,0,IF(AND(Mitarbeiter!$E$15&lt;&gt;"",AV$5+6&lt;Mitarbeiter!$E$15),0,IF(AND(Mitarbeiter!$F$15&lt;&gt;"",AV$5&gt;Mitarbeiter!$F$15),0,IF(Planung!AV17="",$C17,IF(ISNUMBER(Planung!AV17),Planung!AV17,IF(UPPER(Planung!AV17)="H",$C17/2,0)))))))</f>
        <v>0</v>
      </c>
      <c r="AW17" s="27">
        <f>IF($A17="",0,IF(Mitarbeiter!$G$15=FALSE,0,IF(AND(Mitarbeiter!$E$15&lt;&gt;"",AW$5+6&lt;Mitarbeiter!$E$15),0,IF(AND(Mitarbeiter!$F$15&lt;&gt;"",AW$5&gt;Mitarbeiter!$F$15),0,IF(Planung!AW17="",$C17,IF(ISNUMBER(Planung!AW17),Planung!AW17,IF(UPPER(Planung!AW17)="H",$C17/2,0)))))))</f>
        <v>0</v>
      </c>
      <c r="AX17" s="27">
        <f>IF($A17="",0,IF(Mitarbeiter!$G$15=FALSE,0,IF(AND(Mitarbeiter!$E$15&lt;&gt;"",AX$5+6&lt;Mitarbeiter!$E$15),0,IF(AND(Mitarbeiter!$F$15&lt;&gt;"",AX$5&gt;Mitarbeiter!$F$15),0,IF(Planung!AX17="",$C17,IF(ISNUMBER(Planung!AX17),Planung!AX17,IF(UPPER(Planung!AX17)="H",$C17/2,0)))))))</f>
        <v>0</v>
      </c>
      <c r="AY17" s="27">
        <f>IF($A17="",0,IF(Mitarbeiter!$G$15=FALSE,0,IF(AND(Mitarbeiter!$E$15&lt;&gt;"",AY$5+6&lt;Mitarbeiter!$E$15),0,IF(AND(Mitarbeiter!$F$15&lt;&gt;"",AY$5&gt;Mitarbeiter!$F$15),0,IF(Planung!AY17="",$C17,IF(ISNUMBER(Planung!AY17),Planung!AY17,IF(UPPER(Planung!AY17)="H",$C17/2,0)))))))</f>
        <v>0</v>
      </c>
      <c r="AZ17" s="27">
        <f>IF($A17="",0,IF(Mitarbeiter!$G$15=FALSE,0,IF(AND(Mitarbeiter!$E$15&lt;&gt;"",AZ$5+6&lt;Mitarbeiter!$E$15),0,IF(AND(Mitarbeiter!$F$15&lt;&gt;"",AZ$5&gt;Mitarbeiter!$F$15),0,IF(Planung!AZ17="",$C17,IF(ISNUMBER(Planung!AZ17),Planung!AZ17,IF(UPPER(Planung!AZ17)="H",$C17/2,0)))))))</f>
        <v>0</v>
      </c>
      <c r="BA17" s="27">
        <f>IF($A17="",0,IF(Mitarbeiter!$G$15=FALSE,0,IF(AND(Mitarbeiter!$E$15&lt;&gt;"",BA$5+6&lt;Mitarbeiter!$E$15),0,IF(AND(Mitarbeiter!$F$15&lt;&gt;"",BA$5&gt;Mitarbeiter!$F$15),0,IF(Planung!BA17="",$C17,IF(ISNUMBER(Planung!BA17),Planung!BA17,IF(UPPER(Planung!BA17)="H",$C17/2,0)))))))</f>
        <v>0</v>
      </c>
      <c r="BB17" s="27">
        <f>IF($A17="",0,IF(Mitarbeiter!$G$15=FALSE,0,IF(AND(Mitarbeiter!$E$15&lt;&gt;"",BB$5+6&lt;Mitarbeiter!$E$15),0,IF(AND(Mitarbeiter!$F$15&lt;&gt;"",BB$5&gt;Mitarbeiter!$F$15),0,IF(Planung!BB17="",$C17,IF(ISNUMBER(Planung!BB17),Planung!BB17,IF(UPPER(Planung!BB17)="H",$C17/2,0)))))))</f>
        <v>0</v>
      </c>
      <c r="BC17" s="27">
        <f>IF($A17="",0,IF(Mitarbeiter!$G$15=FALSE,0,IF(AND(Mitarbeiter!$E$15&lt;&gt;"",BC$5+6&lt;Mitarbeiter!$E$15),0,IF(AND(Mitarbeiter!$F$15&lt;&gt;"",BC$5&gt;Mitarbeiter!$F$15),0,IF(Planung!BC17="",$C17,IF(ISNUMBER(Planung!BC17),Planung!BC17,IF(UPPER(Planung!BC17)="H",$C17/2,0)))))))</f>
        <v>0</v>
      </c>
      <c r="BD17" s="27">
        <f>IF($A17="",0,IF(Mitarbeiter!$G$15=FALSE,0,IF(AND(Mitarbeiter!$E$15&lt;&gt;"",BD$5+6&lt;Mitarbeiter!$E$15),0,IF(AND(Mitarbeiter!$F$15&lt;&gt;"",BD$5&gt;Mitarbeiter!$F$15),0,IF(Planung!BD17="",$C17,IF(ISNUMBER(Planung!BD17),Planung!BD17,IF(UPPER(Planung!BD17)="H",$C17/2,0)))))))</f>
        <v>0</v>
      </c>
      <c r="BE17" s="27">
        <f>IF($A17="",0,IF(Mitarbeiter!$G$15=FALSE,0,IF(AND(Mitarbeiter!$E$15&lt;&gt;"",BE$5+6&lt;Mitarbeiter!$E$15),0,IF(AND(Mitarbeiter!$F$15&lt;&gt;"",BE$5&gt;Mitarbeiter!$F$15),0,IF(Planung!BE17="",$C17,IF(ISNUMBER(Planung!BE17),Planung!BE17,IF(UPPER(Planung!BE17)="H",$C17/2,0)))))))</f>
        <v>0</v>
      </c>
      <c r="BF17" s="27">
        <f>IF($A17="",0,IF(Mitarbeiter!$G$15=FALSE,0,IF(AND(Mitarbeiter!$E$15&lt;&gt;"",BF$5+6&lt;Mitarbeiter!$E$15),0,IF(AND(Mitarbeiter!$F$15&lt;&gt;"",BF$5&gt;Mitarbeiter!$F$15),0,IF(Planung!BF17="",$C17,IF(ISNUMBER(Planung!BF17),Planung!BF17,IF(UPPER(Planung!BF17)="H",$C17/2,0)))))))</f>
        <v>0</v>
      </c>
      <c r="BG17" s="27">
        <f>IF($A17="",0,IF(Mitarbeiter!$G$15=FALSE,0,IF(AND(Mitarbeiter!$E$15&lt;&gt;"",BG$5+6&lt;Mitarbeiter!$E$15),0,IF(AND(Mitarbeiter!$F$15&lt;&gt;"",BG$5&gt;Mitarbeiter!$F$15),0,IF(Planung!BG17="",$C17,IF(ISNUMBER(Planung!BG17),Planung!BG17,IF(UPPER(Planung!BG17)="H",$C17/2,0)))))))</f>
        <v>0</v>
      </c>
      <c r="BH17" s="27">
        <f>IF($A17="",0,IF(Mitarbeiter!$G$15=FALSE,0,IF(AND(Mitarbeiter!$E$15&lt;&gt;"",BH$5+6&lt;Mitarbeiter!$E$15),0,IF(AND(Mitarbeiter!$F$15&lt;&gt;"",BH$5&gt;Mitarbeiter!$F$15),0,IF(Planung!BH17="",$C17,IF(ISNUMBER(Planung!BH17),Planung!BH17,IF(UPPER(Planung!BH17)="H",$C17/2,0)))))))</f>
        <v>0</v>
      </c>
      <c r="BI17" s="27">
        <f>IF($A17="",0,IF(Mitarbeiter!$G$15=FALSE,0,IF(AND(Mitarbeiter!$E$15&lt;&gt;"",BI$5+6&lt;Mitarbeiter!$E$15),0,IF(AND(Mitarbeiter!$F$15&lt;&gt;"",BI$5&gt;Mitarbeiter!$F$15),0,IF(Planung!BI17="",$C17,IF(ISNUMBER(Planung!BI17),Planung!BI17,IF(UPPER(Planung!BI17)="H",$C17/2,0)))))))</f>
        <v>0</v>
      </c>
      <c r="BJ17" s="27">
        <f>IF($A17="",0,IF(Mitarbeiter!$G$15=FALSE,0,IF(AND(Mitarbeiter!$E$15&lt;&gt;"",BJ$5+6&lt;Mitarbeiter!$E$15),0,IF(AND(Mitarbeiter!$F$15&lt;&gt;"",BJ$5&gt;Mitarbeiter!$F$15),0,IF(Planung!BJ17="",$C17,IF(ISNUMBER(Planung!BJ17),Planung!BJ17,IF(UPPER(Planung!BJ17)="H",$C17/2,0)))))))</f>
        <v>0</v>
      </c>
      <c r="BK17" s="27">
        <f>IF($A17="",0,IF(Mitarbeiter!$G$15=FALSE,0,IF(AND(Mitarbeiter!$E$15&lt;&gt;"",BK$5+6&lt;Mitarbeiter!$E$15),0,IF(AND(Mitarbeiter!$F$15&lt;&gt;"",BK$5&gt;Mitarbeiter!$F$15),0,IF(Planung!BK17="",$C17,IF(ISNUMBER(Planung!BK17),Planung!BK17,IF(UPPER(Planung!BK17)="H",$C17/2,0)))))))</f>
        <v>0</v>
      </c>
      <c r="BL17" s="27">
        <f>IF($A17="",0,IF(Mitarbeiter!$G$15=FALSE,0,IF(AND(Mitarbeiter!$E$15&lt;&gt;"",BL$5+6&lt;Mitarbeiter!$E$15),0,IF(AND(Mitarbeiter!$F$15&lt;&gt;"",BL$5&gt;Mitarbeiter!$F$15),0,IF(Planung!BL17="",$C17,IF(ISNUMBER(Planung!BL17),Planung!BL17,IF(UPPER(Planung!BL17)="H",$C17/2,0)))))))</f>
        <v>0</v>
      </c>
      <c r="BM17" s="27">
        <f>IF($A17="",0,IF(Mitarbeiter!$G$15=FALSE,0,IF(AND(Mitarbeiter!$E$15&lt;&gt;"",BM$5+6&lt;Mitarbeiter!$E$15),0,IF(AND(Mitarbeiter!$F$15&lt;&gt;"",BM$5&gt;Mitarbeiter!$F$15),0,IF(Planung!BM17="",$C17,IF(ISNUMBER(Planung!BM17),Planung!BM17,IF(UPPER(Planung!BM17)="H",$C17/2,0)))))))</f>
        <v>0</v>
      </c>
      <c r="BN17" s="27">
        <f>IF($A17="",0,IF(Mitarbeiter!$G$15=FALSE,0,IF(AND(Mitarbeiter!$E$15&lt;&gt;"",BN$5+6&lt;Mitarbeiter!$E$15),0,IF(AND(Mitarbeiter!$F$15&lt;&gt;"",BN$5&gt;Mitarbeiter!$F$15),0,IF(Planung!BN17="",$C17,IF(ISNUMBER(Planung!BN17),Planung!BN17,IF(UPPER(Planung!BN17)="H",$C17/2,0)))))))</f>
        <v>0</v>
      </c>
      <c r="BO17" s="27">
        <f>IF($A17="",0,IF(Mitarbeiter!$G$15=FALSE,0,IF(AND(Mitarbeiter!$E$15&lt;&gt;"",BO$5+6&lt;Mitarbeiter!$E$15),0,IF(AND(Mitarbeiter!$F$15&lt;&gt;"",BO$5&gt;Mitarbeiter!$F$15),0,IF(Planung!BO17="",$C17,IF(ISNUMBER(Planung!BO17),Planung!BO17,IF(UPPER(Planung!BO17)="H",$C17/2,0)))))))</f>
        <v>0</v>
      </c>
      <c r="BP17" s="27">
        <f>IF($A17="",0,IF(Mitarbeiter!$G$15=FALSE,0,IF(AND(Mitarbeiter!$E$15&lt;&gt;"",BP$5+6&lt;Mitarbeiter!$E$15),0,IF(AND(Mitarbeiter!$F$15&lt;&gt;"",BP$5&gt;Mitarbeiter!$F$15),0,IF(Planung!BP17="",$C17,IF(ISNUMBER(Planung!BP17),Planung!BP17,IF(UPPER(Planung!BP17)="H",$C17/2,0)))))))</f>
        <v>0</v>
      </c>
      <c r="BQ17" s="27">
        <f>IF($A17="",0,IF(Mitarbeiter!$G$15=FALSE,0,IF(AND(Mitarbeiter!$E$15&lt;&gt;"",BQ$5+6&lt;Mitarbeiter!$E$15),0,IF(AND(Mitarbeiter!$F$15&lt;&gt;"",BQ$5&gt;Mitarbeiter!$F$15),0,IF(Planung!BQ17="",$C17,IF(ISNUMBER(Planung!BQ17),Planung!BQ17,IF(UPPER(Planung!BQ17)="H",$C17/2,0)))))))</f>
        <v>0</v>
      </c>
      <c r="BR17" s="27">
        <f>IF($A17="",0,IF(Mitarbeiter!$G$15=FALSE,0,IF(AND(Mitarbeiter!$E$15&lt;&gt;"",BR$5+6&lt;Mitarbeiter!$E$15),0,IF(AND(Mitarbeiter!$F$15&lt;&gt;"",BR$5&gt;Mitarbeiter!$F$15),0,IF(Planung!BR17="",$C17,IF(ISNUMBER(Planung!BR17),Planung!BR17,IF(UPPER(Planung!BR17)="H",$C17/2,0)))))))</f>
        <v>0</v>
      </c>
      <c r="BS17" s="27">
        <f>IF($A17="",0,IF(Mitarbeiter!$G$15=FALSE,0,IF(AND(Mitarbeiter!$E$15&lt;&gt;"",BS$5+6&lt;Mitarbeiter!$E$15),0,IF(AND(Mitarbeiter!$F$15&lt;&gt;"",BS$5&gt;Mitarbeiter!$F$15),0,IF(Planung!BS17="",$C17,IF(ISNUMBER(Planung!BS17),Planung!BS17,IF(UPPER(Planung!BS17)="H",$C17/2,0)))))))</f>
        <v>0</v>
      </c>
      <c r="BT17" s="27">
        <f>IF($A17="",0,IF(Mitarbeiter!$G$15=FALSE,0,IF(AND(Mitarbeiter!$E$15&lt;&gt;"",BT$5+6&lt;Mitarbeiter!$E$15),0,IF(AND(Mitarbeiter!$F$15&lt;&gt;"",BT$5&gt;Mitarbeiter!$F$15),0,IF(Planung!BT17="",$C17,IF(ISNUMBER(Planung!BT17),Planung!BT17,IF(UPPER(Planung!BT17)="H",$C17/2,0)))))))</f>
        <v>0</v>
      </c>
      <c r="BU17" s="27">
        <f>IF($A17="",0,IF(Mitarbeiter!$G$15=FALSE,0,IF(AND(Mitarbeiter!$E$15&lt;&gt;"",BU$5+6&lt;Mitarbeiter!$E$15),0,IF(AND(Mitarbeiter!$F$15&lt;&gt;"",BU$5&gt;Mitarbeiter!$F$15),0,IF(Planung!BU17="",$C17,IF(ISNUMBER(Planung!BU17),Planung!BU17,IF(UPPER(Planung!BU17)="H",$C17/2,0)))))))</f>
        <v>0</v>
      </c>
      <c r="BV17" s="27">
        <f>IF($A17="",0,IF(Mitarbeiter!$G$15=FALSE,0,IF(AND(Mitarbeiter!$E$15&lt;&gt;"",BV$5+6&lt;Mitarbeiter!$E$15),0,IF(AND(Mitarbeiter!$F$15&lt;&gt;"",BV$5&gt;Mitarbeiter!$F$15),0,IF(Planung!BV17="",$C17,IF(ISNUMBER(Planung!BV17),Planung!BV17,IF(UPPER(Planung!BV17)="H",$C17/2,0)))))))</f>
        <v>0</v>
      </c>
      <c r="BW17" s="27">
        <f>IF($A17="",0,IF(Mitarbeiter!$G$15=FALSE,0,IF(AND(Mitarbeiter!$E$15&lt;&gt;"",BW$5+6&lt;Mitarbeiter!$E$15),0,IF(AND(Mitarbeiter!$F$15&lt;&gt;"",BW$5&gt;Mitarbeiter!$F$15),0,IF(Planung!BW17="",$C17,IF(ISNUMBER(Planung!BW17),Planung!BW17,IF(UPPER(Planung!BW17)="H",$C17/2,0)))))))</f>
        <v>0</v>
      </c>
      <c r="BX17" s="27">
        <f>IF($A17="",0,IF(Mitarbeiter!$G$15=FALSE,0,IF(AND(Mitarbeiter!$E$15&lt;&gt;"",BX$5+6&lt;Mitarbeiter!$E$15),0,IF(AND(Mitarbeiter!$F$15&lt;&gt;"",BX$5&gt;Mitarbeiter!$F$15),0,IF(Planung!BX17="",$C17,IF(ISNUMBER(Planung!BX17),Planung!BX17,IF(UPPER(Planung!BX17)="H",$C17/2,0)))))))</f>
        <v>0</v>
      </c>
      <c r="BY17" s="27">
        <f>IF($A17="",0,IF(Mitarbeiter!$G$15=FALSE,0,IF(AND(Mitarbeiter!$E$15&lt;&gt;"",BY$5+6&lt;Mitarbeiter!$E$15),0,IF(AND(Mitarbeiter!$F$15&lt;&gt;"",BY$5&gt;Mitarbeiter!$F$15),0,IF(Planung!BY17="",$C17,IF(ISNUMBER(Planung!BY17),Planung!BY17,IF(UPPER(Planung!BY17)="H",$C17/2,0)))))))</f>
        <v>0</v>
      </c>
      <c r="BZ17" s="27">
        <f>IF($A17="",0,IF(Mitarbeiter!$G$15=FALSE,0,IF(AND(Mitarbeiter!$E$15&lt;&gt;"",BZ$5+6&lt;Mitarbeiter!$E$15),0,IF(AND(Mitarbeiter!$F$15&lt;&gt;"",BZ$5&gt;Mitarbeiter!$F$15),0,IF(Planung!BZ17="",$C17,IF(ISNUMBER(Planung!BZ17),Planung!BZ17,IF(UPPER(Planung!BZ17)="H",$C17/2,0)))))))</f>
        <v>0</v>
      </c>
      <c r="CA17" s="27">
        <f>IF($A17="",0,IF(Mitarbeiter!$G$15=FALSE,0,IF(AND(Mitarbeiter!$E$15&lt;&gt;"",CA$5+6&lt;Mitarbeiter!$E$15),0,IF(AND(Mitarbeiter!$F$15&lt;&gt;"",CA$5&gt;Mitarbeiter!$F$15),0,IF(Planung!CA17="",$C17,IF(ISNUMBER(Planung!CA17),Planung!CA17,IF(UPPER(Planung!CA17)="H",$C17/2,0)))))))</f>
        <v>0</v>
      </c>
      <c r="CB17" s="27">
        <f>IF($A17="",0,IF(Mitarbeiter!$G$15=FALSE,0,IF(AND(Mitarbeiter!$E$15&lt;&gt;"",CB$5+6&lt;Mitarbeiter!$E$15),0,IF(AND(Mitarbeiter!$F$15&lt;&gt;"",CB$5&gt;Mitarbeiter!$F$15),0,IF(Planung!CB17="",$C17,IF(ISNUMBER(Planung!CB17),Planung!CB17,IF(UPPER(Planung!CB17)="H",$C17/2,0)))))))</f>
        <v>0</v>
      </c>
      <c r="CC17" s="27">
        <f>IF($A17="",0,IF(Mitarbeiter!$G$15=FALSE,0,IF(AND(Mitarbeiter!$E$15&lt;&gt;"",CC$5+6&lt;Mitarbeiter!$E$15),0,IF(AND(Mitarbeiter!$F$15&lt;&gt;"",CC$5&gt;Mitarbeiter!$F$15),0,IF(Planung!CC17="",$C17,IF(ISNUMBER(Planung!CC17),Planung!CC17,IF(UPPER(Planung!CC17)="H",$C17/2,0)))))))</f>
        <v>0</v>
      </c>
      <c r="CD17" s="27">
        <f>IF($A17="",0,IF(Mitarbeiter!$G$15=FALSE,0,IF(AND(Mitarbeiter!$E$15&lt;&gt;"",CD$5+6&lt;Mitarbeiter!$E$15),0,IF(AND(Mitarbeiter!$F$15&lt;&gt;"",CD$5&gt;Mitarbeiter!$F$15),0,IF(Planung!CD17="",$C17,IF(ISNUMBER(Planung!CD17),Planung!CD17,IF(UPPER(Planung!CD17)="H",$C17/2,0)))))))</f>
        <v>0</v>
      </c>
      <c r="CE17" s="27">
        <f>IF($A17="",0,IF(Mitarbeiter!$G$15=FALSE,0,IF(AND(Mitarbeiter!$E$15&lt;&gt;"",CE$5+6&lt;Mitarbeiter!$E$15),0,IF(AND(Mitarbeiter!$F$15&lt;&gt;"",CE$5&gt;Mitarbeiter!$F$15),0,IF(Planung!CE17="",$C17,IF(ISNUMBER(Planung!CE17),Planung!CE17,IF(UPPER(Planung!CE17)="H",$C17/2,0)))))))</f>
        <v>0</v>
      </c>
      <c r="CF17" s="27">
        <f>IF($A17="",0,IF(Mitarbeiter!$G$15=FALSE,0,IF(AND(Mitarbeiter!$E$15&lt;&gt;"",CF$5+6&lt;Mitarbeiter!$E$15),0,IF(AND(Mitarbeiter!$F$15&lt;&gt;"",CF$5&gt;Mitarbeiter!$F$15),0,IF(Planung!CF17="",$C17,IF(ISNUMBER(Planung!CF17),Planung!CF17,IF(UPPER(Planung!CF17)="H",$C17/2,0)))))))</f>
        <v>0</v>
      </c>
      <c r="CG17" s="27">
        <f>IF($A17="",0,IF(Mitarbeiter!$G$15=FALSE,0,IF(AND(Mitarbeiter!$E$15&lt;&gt;"",CG$5+6&lt;Mitarbeiter!$E$15),0,IF(AND(Mitarbeiter!$F$15&lt;&gt;"",CG$5&gt;Mitarbeiter!$F$15),0,IF(Planung!CG17="",$C17,IF(ISNUMBER(Planung!CG17),Planung!CG17,IF(UPPER(Planung!CG17)="H",$C17/2,0)))))))</f>
        <v>0</v>
      </c>
      <c r="CH17" s="27">
        <f>IF($A17="",0,IF(Mitarbeiter!$G$15=FALSE,0,IF(AND(Mitarbeiter!$E$15&lt;&gt;"",CH$5+6&lt;Mitarbeiter!$E$15),0,IF(AND(Mitarbeiter!$F$15&lt;&gt;"",CH$5&gt;Mitarbeiter!$F$15),0,IF(Planung!CH17="",$C17,IF(ISNUMBER(Planung!CH17),Planung!CH17,IF(UPPER(Planung!CH17)="H",$C17/2,0)))))))</f>
        <v>0</v>
      </c>
      <c r="CI17" s="27">
        <f>IF($A17="",0,IF(Mitarbeiter!$G$15=FALSE,0,IF(AND(Mitarbeiter!$E$15&lt;&gt;"",CI$5+6&lt;Mitarbeiter!$E$15),0,IF(AND(Mitarbeiter!$F$15&lt;&gt;"",CI$5&gt;Mitarbeiter!$F$15),0,IF(Planung!CI17="",$C17,IF(ISNUMBER(Planung!CI17),Planung!CI17,IF(UPPER(Planung!CI17)="H",$C17/2,0)))))))</f>
        <v>0</v>
      </c>
      <c r="CJ17" s="27">
        <f>IF($A17="",0,IF(Mitarbeiter!$G$15=FALSE,0,IF(AND(Mitarbeiter!$E$15&lt;&gt;"",CJ$5+6&lt;Mitarbeiter!$E$15),0,IF(AND(Mitarbeiter!$F$15&lt;&gt;"",CJ$5&gt;Mitarbeiter!$F$15),0,IF(Planung!CJ17="",$C17,IF(ISNUMBER(Planung!CJ17),Planung!CJ17,IF(UPPER(Planung!CJ17)="H",$C17/2,0)))))))</f>
        <v>0</v>
      </c>
      <c r="CK17" s="27">
        <f>IF($A17="",0,IF(Mitarbeiter!$G$15=FALSE,0,IF(AND(Mitarbeiter!$E$15&lt;&gt;"",CK$5+6&lt;Mitarbeiter!$E$15),0,IF(AND(Mitarbeiter!$F$15&lt;&gt;"",CK$5&gt;Mitarbeiter!$F$15),0,IF(Planung!CK17="",$C17,IF(ISNUMBER(Planung!CK17),Planung!CK17,IF(UPPER(Planung!CK17)="H",$C17/2,0)))))))</f>
        <v>0</v>
      </c>
      <c r="CL17" s="27">
        <f>IF($A17="",0,IF(Mitarbeiter!$G$15=FALSE,0,IF(AND(Mitarbeiter!$E$15&lt;&gt;"",CL$5+6&lt;Mitarbeiter!$E$15),0,IF(AND(Mitarbeiter!$F$15&lt;&gt;"",CL$5&gt;Mitarbeiter!$F$15),0,IF(Planung!CL17="",$C17,IF(ISNUMBER(Planung!CL17),Planung!CL17,IF(UPPER(Planung!CL17)="H",$C17/2,0)))))))</f>
        <v>0</v>
      </c>
      <c r="CM17" s="27">
        <f>IF($A17="",0,IF(Mitarbeiter!$G$15=FALSE,0,IF(AND(Mitarbeiter!$E$15&lt;&gt;"",CM$5+6&lt;Mitarbeiter!$E$15),0,IF(AND(Mitarbeiter!$F$15&lt;&gt;"",CM$5&gt;Mitarbeiter!$F$15),0,IF(Planung!CM17="",$C17,IF(ISNUMBER(Planung!CM17),Planung!CM17,IF(UPPER(Planung!CM17)="H",$C17/2,0)))))))</f>
        <v>0</v>
      </c>
      <c r="CN17" s="27">
        <f>IF($A17="",0,IF(Mitarbeiter!$G$15=FALSE,0,IF(AND(Mitarbeiter!$E$15&lt;&gt;"",CN$5+6&lt;Mitarbeiter!$E$15),0,IF(AND(Mitarbeiter!$F$15&lt;&gt;"",CN$5&gt;Mitarbeiter!$F$15),0,IF(Planung!CN17="",$C17,IF(ISNUMBER(Planung!CN17),Planung!CN17,IF(UPPER(Planung!CN17)="H",$C17/2,0)))))))</f>
        <v>0</v>
      </c>
      <c r="CO17" s="27">
        <f>IF($A17="",0,IF(Mitarbeiter!$G$15=FALSE,0,IF(AND(Mitarbeiter!$E$15&lt;&gt;"",CO$5+6&lt;Mitarbeiter!$E$15),0,IF(AND(Mitarbeiter!$F$15&lt;&gt;"",CO$5&gt;Mitarbeiter!$F$15),0,IF(Planung!CO17="",$C17,IF(ISNUMBER(Planung!CO17),Planung!CO17,IF(UPPER(Planung!CO17)="H",$C17/2,0)))))))</f>
        <v>0</v>
      </c>
      <c r="CP17" s="27">
        <f>IF($A17="",0,IF(Mitarbeiter!$G$15=FALSE,0,IF(AND(Mitarbeiter!$E$15&lt;&gt;"",CP$5+6&lt;Mitarbeiter!$E$15),0,IF(AND(Mitarbeiter!$F$15&lt;&gt;"",CP$5&gt;Mitarbeiter!$F$15),0,IF(Planung!CP17="",$C17,IF(ISNUMBER(Planung!CP17),Planung!CP17,IF(UPPER(Planung!CP17)="H",$C17/2,0)))))))</f>
        <v>0</v>
      </c>
      <c r="CQ17" s="27">
        <f>IF($A17="",0,IF(Mitarbeiter!$G$15=FALSE,0,IF(AND(Mitarbeiter!$E$15&lt;&gt;"",CQ$5+6&lt;Mitarbeiter!$E$15),0,IF(AND(Mitarbeiter!$F$15&lt;&gt;"",CQ$5&gt;Mitarbeiter!$F$15),0,IF(Planung!CQ17="",$C17,IF(ISNUMBER(Planung!CQ17),Planung!CQ17,IF(UPPER(Planung!CQ17)="H",$C17/2,0)))))))</f>
        <v>0</v>
      </c>
      <c r="CR17" s="27">
        <f>IF($A17="",0,IF(Mitarbeiter!$G$15=FALSE,0,IF(AND(Mitarbeiter!$E$15&lt;&gt;"",CR$5+6&lt;Mitarbeiter!$E$15),0,IF(AND(Mitarbeiter!$F$15&lt;&gt;"",CR$5&gt;Mitarbeiter!$F$15),0,IF(Planung!CR17="",$C17,IF(ISNUMBER(Planung!CR17),Planung!CR17,IF(UPPER(Planung!CR17)="H",$C17/2,0)))))))</f>
        <v>0</v>
      </c>
      <c r="CS17" s="27">
        <f>IF($A17="",0,IF(Mitarbeiter!$G$15=FALSE,0,IF(AND(Mitarbeiter!$E$15&lt;&gt;"",CS$5+6&lt;Mitarbeiter!$E$15),0,IF(AND(Mitarbeiter!$F$15&lt;&gt;"",CS$5&gt;Mitarbeiter!$F$15),0,IF(Planung!CS17="",$C17,IF(ISNUMBER(Planung!CS17),Planung!CS17,IF(UPPER(Planung!CS17)="H",$C17/2,0)))))))</f>
        <v>0</v>
      </c>
      <c r="CT17" s="27">
        <f>IF($A17="",0,IF(Mitarbeiter!$G$15=FALSE,0,IF(AND(Mitarbeiter!$E$15&lt;&gt;"",CT$5+6&lt;Mitarbeiter!$E$15),0,IF(AND(Mitarbeiter!$F$15&lt;&gt;"",CT$5&gt;Mitarbeiter!$F$15),0,IF(Planung!CT17="",$C17,IF(ISNUMBER(Planung!CT17),Planung!CT17,IF(UPPER(Planung!CT17)="H",$C17/2,0)))))))</f>
        <v>0</v>
      </c>
      <c r="CU17" s="27">
        <f>IF($A17="",0,IF(Mitarbeiter!$G$15=FALSE,0,IF(AND(Mitarbeiter!$E$15&lt;&gt;"",CU$5+6&lt;Mitarbeiter!$E$15),0,IF(AND(Mitarbeiter!$F$15&lt;&gt;"",CU$5&gt;Mitarbeiter!$F$15),0,IF(Planung!CU17="",$C17,IF(ISNUMBER(Planung!CU17),Planung!CU17,IF(UPPER(Planung!CU17)="H",$C17/2,0)))))))</f>
        <v>0</v>
      </c>
      <c r="CV17" s="27">
        <f>IF($A17="",0,IF(Mitarbeiter!$G$15=FALSE,0,IF(AND(Mitarbeiter!$E$15&lt;&gt;"",CV$5+6&lt;Mitarbeiter!$E$15),0,IF(AND(Mitarbeiter!$F$15&lt;&gt;"",CV$5&gt;Mitarbeiter!$F$15),0,IF(Planung!CV17="",$C17,IF(ISNUMBER(Planung!CV17),Planung!CV17,IF(UPPER(Planung!CV17)="H",$C17/2,0)))))))</f>
        <v>0</v>
      </c>
      <c r="CW17" s="27">
        <f>IF($A17="",0,IF(Mitarbeiter!$G$15=FALSE,0,IF(AND(Mitarbeiter!$E$15&lt;&gt;"",CW$5+6&lt;Mitarbeiter!$E$15),0,IF(AND(Mitarbeiter!$F$15&lt;&gt;"",CW$5&gt;Mitarbeiter!$F$15),0,IF(Planung!CW17="",$C17,IF(ISNUMBER(Planung!CW17),Planung!CW17,IF(UPPER(Planung!CW17)="H",$C17/2,0)))))))</f>
        <v>0</v>
      </c>
      <c r="CX17" s="27">
        <f>IF($A17="",0,IF(Mitarbeiter!$G$15=FALSE,0,IF(AND(Mitarbeiter!$E$15&lt;&gt;"",CX$5+6&lt;Mitarbeiter!$E$15),0,IF(AND(Mitarbeiter!$F$15&lt;&gt;"",CX$5&gt;Mitarbeiter!$F$15),0,IF(Planung!CX17="",$C17,IF(ISNUMBER(Planung!CX17),Planung!CX17,IF(UPPER(Planung!CX17)="H",$C17/2,0)))))))</f>
        <v>0</v>
      </c>
      <c r="CY17" s="27">
        <f>IF($A17="",0,IF(Mitarbeiter!$G$15=FALSE,0,IF(AND(Mitarbeiter!$E$15&lt;&gt;"",CY$5+6&lt;Mitarbeiter!$E$15),0,IF(AND(Mitarbeiter!$F$15&lt;&gt;"",CY$5&gt;Mitarbeiter!$F$15),0,IF(Planung!CY17="",$C17,IF(ISNUMBER(Planung!CY17),Planung!CY17,IF(UPPER(Planung!CY17)="H",$C17/2,0)))))))</f>
        <v>0</v>
      </c>
      <c r="CZ17" s="27">
        <f>IF($A17="",0,IF(Mitarbeiter!$G$15=FALSE,0,IF(AND(Mitarbeiter!$E$15&lt;&gt;"",CZ$5+6&lt;Mitarbeiter!$E$15),0,IF(AND(Mitarbeiter!$F$15&lt;&gt;"",CZ$5&gt;Mitarbeiter!$F$15),0,IF(Planung!CZ17="",$C17,IF(ISNUMBER(Planung!CZ17),Planung!CZ17,IF(UPPER(Planung!CZ17)="H",$C17/2,0)))))))</f>
        <v>0</v>
      </c>
      <c r="DA17" s="27">
        <f>IF($A17="",0,IF(Mitarbeiter!$G$15=FALSE,0,IF(AND(Mitarbeiter!$E$15&lt;&gt;"",DA$5+6&lt;Mitarbeiter!$E$15),0,IF(AND(Mitarbeiter!$F$15&lt;&gt;"",DA$5&gt;Mitarbeiter!$F$15),0,IF(Planung!DA17="",$C17,IF(ISNUMBER(Planung!DA17),Planung!DA17,IF(UPPER(Planung!DA17)="H",$C17/2,0)))))))</f>
        <v>0</v>
      </c>
      <c r="DB17" s="27">
        <f>IF($A17="",0,IF(Mitarbeiter!$G$15=FALSE,0,IF(AND(Mitarbeiter!$E$15&lt;&gt;"",DB$5+6&lt;Mitarbeiter!$E$15),0,IF(AND(Mitarbeiter!$F$15&lt;&gt;"",DB$5&gt;Mitarbeiter!$F$15),0,IF(Planung!DB17="",$C17,IF(ISNUMBER(Planung!DB17),Planung!DB17,IF(UPPER(Planung!DB17)="H",$C17/2,0)))))))</f>
        <v>0</v>
      </c>
      <c r="DC17" s="27">
        <f>IF($A17="",0,IF(Mitarbeiter!$G$15=FALSE,0,IF(AND(Mitarbeiter!$E$15&lt;&gt;"",DC$5+6&lt;Mitarbeiter!$E$15),0,IF(AND(Mitarbeiter!$F$15&lt;&gt;"",DC$5&gt;Mitarbeiter!$F$15),0,IF(Planung!DC17="",$C17,IF(ISNUMBER(Planung!DC17),Planung!DC17,IF(UPPER(Planung!DC17)="H",$C17/2,0)))))))</f>
        <v>0</v>
      </c>
      <c r="DD17" s="27">
        <f>IF($A17="",0,IF(Mitarbeiter!$G$15=FALSE,0,IF(AND(Mitarbeiter!$E$15&lt;&gt;"",DD$5+6&lt;Mitarbeiter!$E$15),0,IF(AND(Mitarbeiter!$F$15&lt;&gt;"",DD$5&gt;Mitarbeiter!$F$15),0,IF(Planung!DD17="",$C17,IF(ISNUMBER(Planung!DD17),Planung!DD17,IF(UPPER(Planung!DD17)="H",$C17/2,0)))))))</f>
        <v>0</v>
      </c>
      <c r="DE17" s="27">
        <f>IF($A17="",0,IF(Mitarbeiter!$G$15=FALSE,0,IF(AND(Mitarbeiter!$E$15&lt;&gt;"",DE$5+6&lt;Mitarbeiter!$E$15),0,IF(AND(Mitarbeiter!$F$15&lt;&gt;"",DE$5&gt;Mitarbeiter!$F$15),0,IF(Planung!DE17="",$C17,IF(ISNUMBER(Planung!DE17),Planung!DE17,IF(UPPER(Planung!DE17)="H",$C17/2,0)))))))</f>
        <v>0</v>
      </c>
      <c r="DF17" s="27">
        <f>IF($A17="",0,IF(Mitarbeiter!$G$15=FALSE,0,IF(AND(Mitarbeiter!$E$15&lt;&gt;"",DF$5+6&lt;Mitarbeiter!$E$15),0,IF(AND(Mitarbeiter!$F$15&lt;&gt;"",DF$5&gt;Mitarbeiter!$F$15),0,IF(Planung!DF17="",$C17,IF(ISNUMBER(Planung!DF17),Planung!DF17,IF(UPPER(Planung!DF17)="H",$C17/2,0)))))))</f>
        <v>0</v>
      </c>
      <c r="DG17" s="27">
        <f>IF($A17="",0,IF(Mitarbeiter!$G$15=FALSE,0,IF(AND(Mitarbeiter!$E$15&lt;&gt;"",DG$5+6&lt;Mitarbeiter!$E$15),0,IF(AND(Mitarbeiter!$F$15&lt;&gt;"",DG$5&gt;Mitarbeiter!$F$15),0,IF(Planung!DG17="",$C17,IF(ISNUMBER(Planung!DG17),Planung!DG17,IF(UPPER(Planung!DG17)="H",$C17/2,0)))))))</f>
        <v>0</v>
      </c>
      <c r="DH17" s="27">
        <f>IF($A17="",0,IF(Mitarbeiter!$G$15=FALSE,0,IF(AND(Mitarbeiter!$E$15&lt;&gt;"",DH$5+6&lt;Mitarbeiter!$E$15),0,IF(AND(Mitarbeiter!$F$15&lt;&gt;"",DH$5&gt;Mitarbeiter!$F$15),0,IF(Planung!DH17="",$C17,IF(ISNUMBER(Planung!DH17),Planung!DH17,IF(UPPER(Planung!DH17)="H",$C17/2,0)))))))</f>
        <v>0</v>
      </c>
      <c r="DI17" s="27">
        <f>IF($A17="",0,IF(Mitarbeiter!$G$15=FALSE,0,IF(AND(Mitarbeiter!$E$15&lt;&gt;"",DI$5+6&lt;Mitarbeiter!$E$15),0,IF(AND(Mitarbeiter!$F$15&lt;&gt;"",DI$5&gt;Mitarbeiter!$F$15),0,IF(Planung!DI17="",$C17,IF(ISNUMBER(Planung!DI17),Planung!DI17,IF(UPPER(Planung!DI17)="H",$C17/2,0)))))))</f>
        <v>0</v>
      </c>
      <c r="DJ17" s="27">
        <f>IF($A17="",0,IF(Mitarbeiter!$G$15=FALSE,0,IF(AND(Mitarbeiter!$E$15&lt;&gt;"",DJ$5+6&lt;Mitarbeiter!$E$15),0,IF(AND(Mitarbeiter!$F$15&lt;&gt;"",DJ$5&gt;Mitarbeiter!$F$15),0,IF(Planung!DJ17="",$C17,IF(ISNUMBER(Planung!DJ17),Planung!DJ17,IF(UPPER(Planung!DJ17)="H",$C17/2,0)))))))</f>
        <v>0</v>
      </c>
      <c r="DK17" s="27">
        <f>IF($A17="",0,IF(Mitarbeiter!$G$15=FALSE,0,IF(AND(Mitarbeiter!$E$15&lt;&gt;"",DK$5+6&lt;Mitarbeiter!$E$15),0,IF(AND(Mitarbeiter!$F$15&lt;&gt;"",DK$5&gt;Mitarbeiter!$F$15),0,IF(Planung!DK17="",$C17,IF(ISNUMBER(Planung!DK17),Planung!DK17,IF(UPPER(Planung!DK17)="H",$C17/2,0)))))))</f>
        <v>0</v>
      </c>
      <c r="DL17" s="27">
        <f>IF($A17="",0,IF(Mitarbeiter!$G$15=FALSE,0,IF(AND(Mitarbeiter!$E$15&lt;&gt;"",DL$5+6&lt;Mitarbeiter!$E$15),0,IF(AND(Mitarbeiter!$F$15&lt;&gt;"",DL$5&gt;Mitarbeiter!$F$15),0,IF(Planung!DL17="",$C17,IF(ISNUMBER(Planung!DL17),Planung!DL17,IF(UPPER(Planung!DL17)="H",$C17/2,0)))))))</f>
        <v>0</v>
      </c>
      <c r="DM17" s="27">
        <f>IF($A17="",0,IF(Mitarbeiter!$G$15=FALSE,0,IF(AND(Mitarbeiter!$E$15&lt;&gt;"",DM$5+6&lt;Mitarbeiter!$E$15),0,IF(AND(Mitarbeiter!$F$15&lt;&gt;"",DM$5&gt;Mitarbeiter!$F$15),0,IF(Planung!DM17="",$C17,IF(ISNUMBER(Planung!DM17),Planung!DM17,IF(UPPER(Planung!DM17)="H",$C17/2,0)))))))</f>
        <v>0</v>
      </c>
      <c r="DN17" s="27">
        <f>IF($A17="",0,IF(Mitarbeiter!$G$15=FALSE,0,IF(AND(Mitarbeiter!$E$15&lt;&gt;"",DN$5+6&lt;Mitarbeiter!$E$15),0,IF(AND(Mitarbeiter!$F$15&lt;&gt;"",DN$5&gt;Mitarbeiter!$F$15),0,IF(Planung!DN17="",$C17,IF(ISNUMBER(Planung!DN17),Planung!DN17,IF(UPPER(Planung!DN17)="H",$C17/2,0)))))))</f>
        <v>0</v>
      </c>
      <c r="DO17" s="27">
        <f>IF($A17="",0,IF(Mitarbeiter!$G$15=FALSE,0,IF(AND(Mitarbeiter!$E$15&lt;&gt;"",DO$5+6&lt;Mitarbeiter!$E$15),0,IF(AND(Mitarbeiter!$F$15&lt;&gt;"",DO$5&gt;Mitarbeiter!$F$15),0,IF(Planung!DO17="",$C17,IF(ISNUMBER(Planung!DO17),Planung!DO17,IF(UPPER(Planung!DO17)="H",$C17/2,0)))))))</f>
        <v>0</v>
      </c>
      <c r="DP17" s="27">
        <f>IF($A17="",0,IF(Mitarbeiter!$G$15=FALSE,0,IF(AND(Mitarbeiter!$E$15&lt;&gt;"",DP$5+6&lt;Mitarbeiter!$E$15),0,IF(AND(Mitarbeiter!$F$15&lt;&gt;"",DP$5&gt;Mitarbeiter!$F$15),0,IF(Planung!DP17="",$C17,IF(ISNUMBER(Planung!DP17),Planung!DP17,IF(UPPER(Planung!DP17)="H",$C17/2,0)))))))</f>
        <v>0</v>
      </c>
      <c r="DQ17" s="27">
        <f>IF($A17="",0,IF(Mitarbeiter!$G$15=FALSE,0,IF(AND(Mitarbeiter!$E$15&lt;&gt;"",DQ$5+6&lt;Mitarbeiter!$E$15),0,IF(AND(Mitarbeiter!$F$15&lt;&gt;"",DQ$5&gt;Mitarbeiter!$F$15),0,IF(Planung!DQ17="",$C17,IF(ISNUMBER(Planung!DQ17),Planung!DQ17,IF(UPPER(Planung!DQ17)="H",$C17/2,0)))))))</f>
        <v>0</v>
      </c>
      <c r="DR17" s="27">
        <f>IF($A17="",0,IF(Mitarbeiter!$G$15=FALSE,0,IF(AND(Mitarbeiter!$E$15&lt;&gt;"",DR$5+6&lt;Mitarbeiter!$E$15),0,IF(AND(Mitarbeiter!$F$15&lt;&gt;"",DR$5&gt;Mitarbeiter!$F$15),0,IF(Planung!DR17="",$C17,IF(ISNUMBER(Planung!DR17),Planung!DR17,IF(UPPER(Planung!DR17)="H",$C17/2,0)))))))</f>
        <v>0</v>
      </c>
      <c r="DS17" s="27">
        <f>IF($A17="",0,IF(Mitarbeiter!$G$15=FALSE,0,IF(AND(Mitarbeiter!$E$15&lt;&gt;"",DS$5+6&lt;Mitarbeiter!$E$15),0,IF(AND(Mitarbeiter!$F$15&lt;&gt;"",DS$5&gt;Mitarbeiter!$F$15),0,IF(Planung!DS17="",$C17,IF(ISNUMBER(Planung!DS17),Planung!DS17,IF(UPPER(Planung!DS17)="H",$C17/2,0)))))))</f>
        <v>0</v>
      </c>
      <c r="DT17" s="27">
        <f>IF($A17="",0,IF(Mitarbeiter!$G$15=FALSE,0,IF(AND(Mitarbeiter!$E$15&lt;&gt;"",DT$5+6&lt;Mitarbeiter!$E$15),0,IF(AND(Mitarbeiter!$F$15&lt;&gt;"",DT$5&gt;Mitarbeiter!$F$15),0,IF(Planung!DT17="",$C17,IF(ISNUMBER(Planung!DT17),Planung!DT17,IF(UPPER(Planung!DT17)="H",$C17/2,0)))))))</f>
        <v>0</v>
      </c>
      <c r="DU17" s="27">
        <f>IF($A17="",0,IF(Mitarbeiter!$G$15=FALSE,0,IF(AND(Mitarbeiter!$E$15&lt;&gt;"",DU$5+6&lt;Mitarbeiter!$E$15),0,IF(AND(Mitarbeiter!$F$15&lt;&gt;"",DU$5&gt;Mitarbeiter!$F$15),0,IF(Planung!DU17="",$C17,IF(ISNUMBER(Planung!DU17),Planung!DU17,IF(UPPER(Planung!DU17)="H",$C17/2,0)))))))</f>
        <v>0</v>
      </c>
      <c r="DV17" s="27">
        <f>IF($A17="",0,IF(Mitarbeiter!$G$15=FALSE,0,IF(AND(Mitarbeiter!$E$15&lt;&gt;"",DV$5+6&lt;Mitarbeiter!$E$15),0,IF(AND(Mitarbeiter!$F$15&lt;&gt;"",DV$5&gt;Mitarbeiter!$F$15),0,IF(Planung!DV17="",$C17,IF(ISNUMBER(Planung!DV17),Planung!DV17,IF(UPPER(Planung!DV17)="H",$C17/2,0)))))))</f>
        <v>0</v>
      </c>
      <c r="DW17" s="27">
        <f>IF($A17="",0,IF(Mitarbeiter!$G$15=FALSE,0,IF(AND(Mitarbeiter!$E$15&lt;&gt;"",DW$5+6&lt;Mitarbeiter!$E$15),0,IF(AND(Mitarbeiter!$F$15&lt;&gt;"",DW$5&gt;Mitarbeiter!$F$15),0,IF(Planung!DW17="",$C17,IF(ISNUMBER(Planung!DW17),Planung!DW17,IF(UPPER(Planung!DW17)="H",$C17/2,0)))))))</f>
        <v>0</v>
      </c>
      <c r="DX17" s="27">
        <f>IF($A17="",0,IF(Mitarbeiter!$G$15=FALSE,0,IF(AND(Mitarbeiter!$E$15&lt;&gt;"",DX$5+6&lt;Mitarbeiter!$E$15),0,IF(AND(Mitarbeiter!$F$15&lt;&gt;"",DX$5&gt;Mitarbeiter!$F$15),0,IF(Planung!DX17="",$C17,IF(ISNUMBER(Planung!DX17),Planung!DX17,IF(UPPER(Planung!DX17)="H",$C17/2,0)))))))</f>
        <v>0</v>
      </c>
      <c r="DY17" s="27">
        <f>IF($A17="",0,IF(Mitarbeiter!$G$15=FALSE,0,IF(AND(Mitarbeiter!$E$15&lt;&gt;"",DY$5+6&lt;Mitarbeiter!$E$15),0,IF(AND(Mitarbeiter!$F$15&lt;&gt;"",DY$5&gt;Mitarbeiter!$F$15),0,IF(Planung!DY17="",$C17,IF(ISNUMBER(Planung!DY17),Planung!DY17,IF(UPPER(Planung!DY17)="H",$C17/2,0)))))))</f>
        <v>0</v>
      </c>
      <c r="DZ17" s="27">
        <f>IF($A17="",0,IF(Mitarbeiter!$G$15=FALSE,0,IF(AND(Mitarbeiter!$E$15&lt;&gt;"",DZ$5+6&lt;Mitarbeiter!$E$15),0,IF(AND(Mitarbeiter!$F$15&lt;&gt;"",DZ$5&gt;Mitarbeiter!$F$15),0,IF(Planung!DZ17="",$C17,IF(ISNUMBER(Planung!DZ17),Planung!DZ17,IF(UPPER(Planung!DZ17)="H",$C17/2,0)))))))</f>
        <v>0</v>
      </c>
      <c r="EA17" s="27">
        <f>IF($A17="",0,IF(Mitarbeiter!$G$15=FALSE,0,IF(AND(Mitarbeiter!$E$15&lt;&gt;"",EA$5+6&lt;Mitarbeiter!$E$15),0,IF(AND(Mitarbeiter!$F$15&lt;&gt;"",EA$5&gt;Mitarbeiter!$F$15),0,IF(Planung!EA17="",$C17,IF(ISNUMBER(Planung!EA17),Planung!EA17,IF(UPPER(Planung!EA17)="H",$C17/2,0)))))))</f>
        <v>0</v>
      </c>
      <c r="EB17" s="27">
        <f>IF($A17="",0,IF(Mitarbeiter!$G$15=FALSE,0,IF(AND(Mitarbeiter!$E$15&lt;&gt;"",EB$5+6&lt;Mitarbeiter!$E$15),0,IF(AND(Mitarbeiter!$F$15&lt;&gt;"",EB$5&gt;Mitarbeiter!$F$15),0,IF(Planung!EB17="",$C17,IF(ISNUMBER(Planung!EB17),Planung!EB17,IF(UPPER(Planung!EB17)="H",$C17/2,0)))))))</f>
        <v>0</v>
      </c>
      <c r="EC17" s="27">
        <f>IF($A17="",0,IF(Mitarbeiter!$G$15=FALSE,0,IF(AND(Mitarbeiter!$E$15&lt;&gt;"",EC$5+6&lt;Mitarbeiter!$E$15),0,IF(AND(Mitarbeiter!$F$15&lt;&gt;"",EC$5&gt;Mitarbeiter!$F$15),0,IF(Planung!EC17="",$C17,IF(ISNUMBER(Planung!EC17),Planung!EC17,IF(UPPER(Planung!EC17)="H",$C17/2,0)))))))</f>
        <v>0</v>
      </c>
      <c r="ED17" s="27">
        <f>IF($A17="",0,IF(Mitarbeiter!$G$15=FALSE,0,IF(AND(Mitarbeiter!$E$15&lt;&gt;"",ED$5+6&lt;Mitarbeiter!$E$15),0,IF(AND(Mitarbeiter!$F$15&lt;&gt;"",ED$5&gt;Mitarbeiter!$F$15),0,IF(Planung!ED17="",$C17,IF(ISNUMBER(Planung!ED17),Planung!ED17,IF(UPPER(Planung!ED17)="H",$C17/2,0)))))))</f>
        <v>0</v>
      </c>
      <c r="EE17" s="27">
        <f>IF($A17="",0,IF(Mitarbeiter!$G$15=FALSE,0,IF(AND(Mitarbeiter!$E$15&lt;&gt;"",EE$5+6&lt;Mitarbeiter!$E$15),0,IF(AND(Mitarbeiter!$F$15&lt;&gt;"",EE$5&gt;Mitarbeiter!$F$15),0,IF(Planung!EE17="",$C17,IF(ISNUMBER(Planung!EE17),Planung!EE17,IF(UPPER(Planung!EE17)="H",$C17/2,0)))))))</f>
        <v>0</v>
      </c>
      <c r="EF17" s="27">
        <f>IF($A17="",0,IF(Mitarbeiter!$G$15=FALSE,0,IF(AND(Mitarbeiter!$E$15&lt;&gt;"",EF$5+6&lt;Mitarbeiter!$E$15),0,IF(AND(Mitarbeiter!$F$15&lt;&gt;"",EF$5&gt;Mitarbeiter!$F$15),0,IF(Planung!EF17="",$C17,IF(ISNUMBER(Planung!EF17),Planung!EF17,IF(UPPER(Planung!EF17)="H",$C17/2,0)))))))</f>
        <v>0</v>
      </c>
      <c r="EG17" s="27">
        <f>IF($A17="",0,IF(Mitarbeiter!$G$15=FALSE,0,IF(AND(Mitarbeiter!$E$15&lt;&gt;"",EG$5+6&lt;Mitarbeiter!$E$15),0,IF(AND(Mitarbeiter!$F$15&lt;&gt;"",EG$5&gt;Mitarbeiter!$F$15),0,IF(Planung!EG17="",$C17,IF(ISNUMBER(Planung!EG17),Planung!EG17,IF(UPPER(Planung!EG17)="H",$C17/2,0)))))))</f>
        <v>0</v>
      </c>
      <c r="EH17" s="27">
        <f>IF($A17="",0,IF(Mitarbeiter!$G$15=FALSE,0,IF(AND(Mitarbeiter!$E$15&lt;&gt;"",EH$5+6&lt;Mitarbeiter!$E$15),0,IF(AND(Mitarbeiter!$F$15&lt;&gt;"",EH$5&gt;Mitarbeiter!$F$15),0,IF(Planung!EH17="",$C17,IF(ISNUMBER(Planung!EH17),Planung!EH17,IF(UPPER(Planung!EH17)="H",$C17/2,0)))))))</f>
        <v>0</v>
      </c>
      <c r="EI17" s="27">
        <f>IF($A17="",0,IF(Mitarbeiter!$G$15=FALSE,0,IF(AND(Mitarbeiter!$E$15&lt;&gt;"",EI$5+6&lt;Mitarbeiter!$E$15),0,IF(AND(Mitarbeiter!$F$15&lt;&gt;"",EI$5&gt;Mitarbeiter!$F$15),0,IF(Planung!EI17="",$C17,IF(ISNUMBER(Planung!EI17),Planung!EI17,IF(UPPER(Planung!EI17)="H",$C17/2,0)))))))</f>
        <v>0</v>
      </c>
      <c r="EJ17" s="27">
        <f>IF($A17="",0,IF(Mitarbeiter!$G$15=FALSE,0,IF(AND(Mitarbeiter!$E$15&lt;&gt;"",EJ$5+6&lt;Mitarbeiter!$E$15),0,IF(AND(Mitarbeiter!$F$15&lt;&gt;"",EJ$5&gt;Mitarbeiter!$F$15),0,IF(Planung!EJ17="",$C17,IF(ISNUMBER(Planung!EJ17),Planung!EJ17,IF(UPPER(Planung!EJ17)="H",$C17/2,0)))))))</f>
        <v>0</v>
      </c>
      <c r="EK17" s="27">
        <f>IF($A17="",0,IF(Mitarbeiter!$G$15=FALSE,0,IF(AND(Mitarbeiter!$E$15&lt;&gt;"",EK$5+6&lt;Mitarbeiter!$E$15),0,IF(AND(Mitarbeiter!$F$15&lt;&gt;"",EK$5&gt;Mitarbeiter!$F$15),0,IF(Planung!EK17="",$C17,IF(ISNUMBER(Planung!EK17),Planung!EK17,IF(UPPER(Planung!EK17)="H",$C17/2,0)))))))</f>
        <v>0</v>
      </c>
      <c r="EL17" s="27">
        <f>IF($A17="",0,IF(Mitarbeiter!$G$15=FALSE,0,IF(AND(Mitarbeiter!$E$15&lt;&gt;"",EL$5+6&lt;Mitarbeiter!$E$15),0,IF(AND(Mitarbeiter!$F$15&lt;&gt;"",EL$5&gt;Mitarbeiter!$F$15),0,IF(Planung!EL17="",$C17,IF(ISNUMBER(Planung!EL17),Planung!EL17,IF(UPPER(Planung!EL17)="H",$C17/2,0)))))))</f>
        <v>0</v>
      </c>
      <c r="EM17" s="27">
        <f>IF($A17="",0,IF(Mitarbeiter!$G$15=FALSE,0,IF(AND(Mitarbeiter!$E$15&lt;&gt;"",EM$5+6&lt;Mitarbeiter!$E$15),0,IF(AND(Mitarbeiter!$F$15&lt;&gt;"",EM$5&gt;Mitarbeiter!$F$15),0,IF(Planung!EM17="",$C17,IF(ISNUMBER(Planung!EM17),Planung!EM17,IF(UPPER(Planung!EM17)="H",$C17/2,0)))))))</f>
        <v>0</v>
      </c>
      <c r="EN17" s="27">
        <f>IF($A17="",0,IF(Mitarbeiter!$G$15=FALSE,0,IF(AND(Mitarbeiter!$E$15&lt;&gt;"",EN$5+6&lt;Mitarbeiter!$E$15),0,IF(AND(Mitarbeiter!$F$15&lt;&gt;"",EN$5&gt;Mitarbeiter!$F$15),0,IF(Planung!EN17="",$C17,IF(ISNUMBER(Planung!EN17),Planung!EN17,IF(UPPER(Planung!EN17)="H",$C17/2,0)))))))</f>
        <v>0</v>
      </c>
      <c r="EO17" s="27">
        <f>IF($A17="",0,IF(Mitarbeiter!$G$15=FALSE,0,IF(AND(Mitarbeiter!$E$15&lt;&gt;"",EO$5+6&lt;Mitarbeiter!$E$15),0,IF(AND(Mitarbeiter!$F$15&lt;&gt;"",EO$5&gt;Mitarbeiter!$F$15),0,IF(Planung!EO17="",$C17,IF(ISNUMBER(Planung!EO17),Planung!EO17,IF(UPPER(Planung!EO17)="H",$C17/2,0)))))))</f>
        <v>0</v>
      </c>
      <c r="EP17" s="27">
        <f>IF($A17="",0,IF(Mitarbeiter!$G$15=FALSE,0,IF(AND(Mitarbeiter!$E$15&lt;&gt;"",EP$5+6&lt;Mitarbeiter!$E$15),0,IF(AND(Mitarbeiter!$F$15&lt;&gt;"",EP$5&gt;Mitarbeiter!$F$15),0,IF(Planung!EP17="",$C17,IF(ISNUMBER(Planung!EP17),Planung!EP17,IF(UPPER(Planung!EP17)="H",$C17/2,0)))))))</f>
        <v>0</v>
      </c>
      <c r="EQ17" s="27">
        <f>IF($A17="",0,IF(Mitarbeiter!$G$15=FALSE,0,IF(AND(Mitarbeiter!$E$15&lt;&gt;"",EQ$5+6&lt;Mitarbeiter!$E$15),0,IF(AND(Mitarbeiter!$F$15&lt;&gt;"",EQ$5&gt;Mitarbeiter!$F$15),0,IF(Planung!EQ17="",$C17,IF(ISNUMBER(Planung!EQ17),Planung!EQ17,IF(UPPER(Planung!EQ17)="H",$C17/2,0)))))))</f>
        <v>0</v>
      </c>
      <c r="ER17" s="27">
        <f>IF($A17="",0,IF(Mitarbeiter!$G$15=FALSE,0,IF(AND(Mitarbeiter!$E$15&lt;&gt;"",ER$5+6&lt;Mitarbeiter!$E$15),0,IF(AND(Mitarbeiter!$F$15&lt;&gt;"",ER$5&gt;Mitarbeiter!$F$15),0,IF(Planung!ER17="",$C17,IF(ISNUMBER(Planung!ER17),Planung!ER17,IF(UPPER(Planung!ER17)="H",$C17/2,0)))))))</f>
        <v>0</v>
      </c>
      <c r="ES17" s="27">
        <f>IF($A17="",0,IF(Mitarbeiter!$G$15=FALSE,0,IF(AND(Mitarbeiter!$E$15&lt;&gt;"",ES$5+6&lt;Mitarbeiter!$E$15),0,IF(AND(Mitarbeiter!$F$15&lt;&gt;"",ES$5&gt;Mitarbeiter!$F$15),0,IF(Planung!ES17="",$C17,IF(ISNUMBER(Planung!ES17),Planung!ES17,IF(UPPER(Planung!ES17)="H",$C17/2,0)))))))</f>
        <v>0</v>
      </c>
      <c r="ET17" s="27">
        <f>IF($A17="",0,IF(Mitarbeiter!$G$15=FALSE,0,IF(AND(Mitarbeiter!$E$15&lt;&gt;"",ET$5+6&lt;Mitarbeiter!$E$15),0,IF(AND(Mitarbeiter!$F$15&lt;&gt;"",ET$5&gt;Mitarbeiter!$F$15),0,IF(Planung!ET17="",$C17,IF(ISNUMBER(Planung!ET17),Planung!ET17,IF(UPPER(Planung!ET17)="H",$C17/2,0)))))))</f>
        <v>0</v>
      </c>
      <c r="EU17" s="27">
        <f>IF($A17="",0,IF(Mitarbeiter!$G$15=FALSE,0,IF(AND(Mitarbeiter!$E$15&lt;&gt;"",EU$5+6&lt;Mitarbeiter!$E$15),0,IF(AND(Mitarbeiter!$F$15&lt;&gt;"",EU$5&gt;Mitarbeiter!$F$15),0,IF(Planung!EU17="",$C17,IF(ISNUMBER(Planung!EU17),Planung!EU17,IF(UPPER(Planung!EU17)="H",$C17/2,0)))))))</f>
        <v>0</v>
      </c>
      <c r="EV17" s="27">
        <f>IF($A17="",0,IF(Mitarbeiter!$G$15=FALSE,0,IF(AND(Mitarbeiter!$E$15&lt;&gt;"",EV$5+6&lt;Mitarbeiter!$E$15),0,IF(AND(Mitarbeiter!$F$15&lt;&gt;"",EV$5&gt;Mitarbeiter!$F$15),0,IF(Planung!EV17="",$C17,IF(ISNUMBER(Planung!EV17),Planung!EV17,IF(UPPER(Planung!EV17)="H",$C17/2,0)))))))</f>
        <v>0</v>
      </c>
      <c r="EW17" s="27">
        <f>IF($A17="",0,IF(Mitarbeiter!$G$15=FALSE,0,IF(AND(Mitarbeiter!$E$15&lt;&gt;"",EW$5+6&lt;Mitarbeiter!$E$15),0,IF(AND(Mitarbeiter!$F$15&lt;&gt;"",EW$5&gt;Mitarbeiter!$F$15),0,IF(Planung!EW17="",$C17,IF(ISNUMBER(Planung!EW17),Planung!EW17,IF(UPPER(Planung!EW17)="H",$C17/2,0)))))))</f>
        <v>0</v>
      </c>
      <c r="EX17" s="27">
        <f>IF($A17="",0,IF(Mitarbeiter!$G$15=FALSE,0,IF(AND(Mitarbeiter!$E$15&lt;&gt;"",EX$5+6&lt;Mitarbeiter!$E$15),0,IF(AND(Mitarbeiter!$F$15&lt;&gt;"",EX$5&gt;Mitarbeiter!$F$15),0,IF(Planung!EX17="",$C17,IF(ISNUMBER(Planung!EX17),Planung!EX17,IF(UPPER(Planung!EX17)="H",$C17/2,0)))))))</f>
        <v>0</v>
      </c>
      <c r="EY17" s="27">
        <f>IF($A17="",0,IF(Mitarbeiter!$G$15=FALSE,0,IF(AND(Mitarbeiter!$E$15&lt;&gt;"",EY$5+6&lt;Mitarbeiter!$E$15),0,IF(AND(Mitarbeiter!$F$15&lt;&gt;"",EY$5&gt;Mitarbeiter!$F$15),0,IF(Planung!EY17="",$C17,IF(ISNUMBER(Planung!EY17),Planung!EY17,IF(UPPER(Planung!EY17)="H",$C17/2,0)))))))</f>
        <v>0</v>
      </c>
      <c r="EZ17" s="27">
        <f>IF($A17="",0,IF(Mitarbeiter!$G$15=FALSE,0,IF(AND(Mitarbeiter!$E$15&lt;&gt;"",EZ$5+6&lt;Mitarbeiter!$E$15),0,IF(AND(Mitarbeiter!$F$15&lt;&gt;"",EZ$5&gt;Mitarbeiter!$F$15),0,IF(Planung!EZ17="",$C17,IF(ISNUMBER(Planung!EZ17),Planung!EZ17,IF(UPPER(Planung!EZ17)="H",$C17/2,0)))))))</f>
        <v>0</v>
      </c>
      <c r="FA17" s="27">
        <f>IF($A17="",0,IF(Mitarbeiter!$G$15=FALSE,0,IF(AND(Mitarbeiter!$E$15&lt;&gt;"",FA$5+6&lt;Mitarbeiter!$E$15),0,IF(AND(Mitarbeiter!$F$15&lt;&gt;"",FA$5&gt;Mitarbeiter!$F$15),0,IF(Planung!FA17="",$C17,IF(ISNUMBER(Planung!FA17),Planung!FA17,IF(UPPER(Planung!FA17)="H",$C17/2,0)))))))</f>
        <v>0</v>
      </c>
      <c r="FB17" s="27">
        <f>IF($A17="",0,IF(Mitarbeiter!$G$15=FALSE,0,IF(AND(Mitarbeiter!$E$15&lt;&gt;"",FB$5+6&lt;Mitarbeiter!$E$15),0,IF(AND(Mitarbeiter!$F$15&lt;&gt;"",FB$5&gt;Mitarbeiter!$F$15),0,IF(Planung!FB17="",$C17,IF(ISNUMBER(Planung!FB17),Planung!FB17,IF(UPPER(Planung!FB17)="H",$C17/2,0)))))))</f>
        <v>0</v>
      </c>
      <c r="FC17" s="27">
        <f>IF($A17="",0,IF(Mitarbeiter!$G$15=FALSE,0,IF(AND(Mitarbeiter!$E$15&lt;&gt;"",FC$5+6&lt;Mitarbeiter!$E$15),0,IF(AND(Mitarbeiter!$F$15&lt;&gt;"",FC$5&gt;Mitarbeiter!$F$15),0,IF(Planung!FC17="",$C17,IF(ISNUMBER(Planung!FC17),Planung!FC17,IF(UPPER(Planung!FC17)="H",$C17/2,0)))))))</f>
        <v>0</v>
      </c>
      <c r="FD17" s="27">
        <f>IF($A17="",0,IF(Mitarbeiter!$G$15=FALSE,0,IF(AND(Mitarbeiter!$E$15&lt;&gt;"",FD$5+6&lt;Mitarbeiter!$E$15),0,IF(AND(Mitarbeiter!$F$15&lt;&gt;"",FD$5&gt;Mitarbeiter!$F$15),0,IF(Planung!FD17="",$C17,IF(ISNUMBER(Planung!FD17),Planung!FD17,IF(UPPER(Planung!FD17)="H",$C17/2,0)))))))</f>
        <v>0</v>
      </c>
      <c r="FE17" s="27">
        <f>IF($A17="",0,IF(Mitarbeiter!$G$15=FALSE,0,IF(AND(Mitarbeiter!$E$15&lt;&gt;"",FE$5+6&lt;Mitarbeiter!$E$15),0,IF(AND(Mitarbeiter!$F$15&lt;&gt;"",FE$5&gt;Mitarbeiter!$F$15),0,IF(Planung!FE17="",$C17,IF(ISNUMBER(Planung!FE17),Planung!FE17,IF(UPPER(Planung!FE17)="H",$C17/2,0)))))))</f>
        <v>0</v>
      </c>
      <c r="FF17" s="27">
        <f>IF($A17="",0,IF(Mitarbeiter!$G$15=FALSE,0,IF(AND(Mitarbeiter!$E$15&lt;&gt;"",FF$5+6&lt;Mitarbeiter!$E$15),0,IF(AND(Mitarbeiter!$F$15&lt;&gt;"",FF$5&gt;Mitarbeiter!$F$15),0,IF(Planung!FF17="",$C17,IF(ISNUMBER(Planung!FF17),Planung!FF17,IF(UPPER(Planung!FF17)="H",$C17/2,0)))))))</f>
        <v>0</v>
      </c>
      <c r="FG17" s="27">
        <f>IF($A17="",0,IF(Mitarbeiter!$G$15=FALSE,0,IF(AND(Mitarbeiter!$E$15&lt;&gt;"",FG$5+6&lt;Mitarbeiter!$E$15),0,IF(AND(Mitarbeiter!$F$15&lt;&gt;"",FG$5&gt;Mitarbeiter!$F$15),0,IF(Planung!FG17="",$C17,IF(ISNUMBER(Planung!FG17),Planung!FG17,IF(UPPER(Planung!FG17)="H",$C17/2,0)))))))</f>
        <v>0</v>
      </c>
      <c r="FH17" s="27">
        <f>IF($A17="",0,IF(Mitarbeiter!$G$15=FALSE,0,IF(AND(Mitarbeiter!$E$15&lt;&gt;"",FH$5+6&lt;Mitarbeiter!$E$15),0,IF(AND(Mitarbeiter!$F$15&lt;&gt;"",FH$5&gt;Mitarbeiter!$F$15),0,IF(Planung!FH17="",$C17,IF(ISNUMBER(Planung!FH17),Planung!FH17,IF(UPPER(Planung!FH17)="H",$C17/2,0)))))))</f>
        <v>0</v>
      </c>
      <c r="FI17" s="27">
        <f>IF($A17="",0,IF(Mitarbeiter!$G$15=FALSE,0,IF(AND(Mitarbeiter!$E$15&lt;&gt;"",FI$5+6&lt;Mitarbeiter!$E$15),0,IF(AND(Mitarbeiter!$F$15&lt;&gt;"",FI$5&gt;Mitarbeiter!$F$15),0,IF(Planung!FI17="",$C17,IF(ISNUMBER(Planung!FI17),Planung!FI17,IF(UPPER(Planung!FI17)="H",$C17/2,0)))))))</f>
        <v>0</v>
      </c>
      <c r="FJ17" s="27">
        <f>IF($A17="",0,IF(Mitarbeiter!$G$15=FALSE,0,IF(AND(Mitarbeiter!$E$15&lt;&gt;"",FJ$5+6&lt;Mitarbeiter!$E$15),0,IF(AND(Mitarbeiter!$F$15&lt;&gt;"",FJ$5&gt;Mitarbeiter!$F$15),0,IF(Planung!FJ17="",$C17,IF(ISNUMBER(Planung!FJ17),Planung!FJ17,IF(UPPER(Planung!FJ17)="H",$C17/2,0)))))))</f>
        <v>0</v>
      </c>
      <c r="FK17" s="27">
        <f>IF($A17="",0,IF(Mitarbeiter!$G$15=FALSE,0,IF(AND(Mitarbeiter!$E$15&lt;&gt;"",FK$5+6&lt;Mitarbeiter!$E$15),0,IF(AND(Mitarbeiter!$F$15&lt;&gt;"",FK$5&gt;Mitarbeiter!$F$15),0,IF(Planung!FK17="",$C17,IF(ISNUMBER(Planung!FK17),Planung!FK17,IF(UPPER(Planung!FK17)="H",$C17/2,0)))))))</f>
        <v>0</v>
      </c>
      <c r="FL17" s="27">
        <f>IF($A17="",0,IF(Mitarbeiter!$G$15=FALSE,0,IF(AND(Mitarbeiter!$E$15&lt;&gt;"",FL$5+6&lt;Mitarbeiter!$E$15),0,IF(AND(Mitarbeiter!$F$15&lt;&gt;"",FL$5&gt;Mitarbeiter!$F$15),0,IF(Planung!FL17="",$C17,IF(ISNUMBER(Planung!FL17),Planung!FL17,IF(UPPER(Planung!FL17)="H",$C17/2,0)))))))</f>
        <v>0</v>
      </c>
      <c r="FM17" s="27">
        <f>IF($A17="",0,IF(Mitarbeiter!$G$15=FALSE,0,IF(AND(Mitarbeiter!$E$15&lt;&gt;"",FM$5+6&lt;Mitarbeiter!$E$15),0,IF(AND(Mitarbeiter!$F$15&lt;&gt;"",FM$5&gt;Mitarbeiter!$F$15),0,IF(Planung!FM17="",$C17,IF(ISNUMBER(Planung!FM17),Planung!FM17,IF(UPPER(Planung!FM17)="H",$C17/2,0)))))))</f>
        <v>0</v>
      </c>
      <c r="FN17" s="27">
        <f>IF($A17="",0,IF(Mitarbeiter!$G$15=FALSE,0,IF(AND(Mitarbeiter!$E$15&lt;&gt;"",FN$5+6&lt;Mitarbeiter!$E$15),0,IF(AND(Mitarbeiter!$F$15&lt;&gt;"",FN$5&gt;Mitarbeiter!$F$15),0,IF(Planung!FN17="",$C17,IF(ISNUMBER(Planung!FN17),Planung!FN17,IF(UPPER(Planung!FN17)="H",$C17/2,0)))))))</f>
        <v>0</v>
      </c>
      <c r="FO17" s="27">
        <f>IF($A17="",0,IF(Mitarbeiter!$G$15=FALSE,0,IF(AND(Mitarbeiter!$E$15&lt;&gt;"",FO$5+6&lt;Mitarbeiter!$E$15),0,IF(AND(Mitarbeiter!$F$15&lt;&gt;"",FO$5&gt;Mitarbeiter!$F$15),0,IF(Planung!FO17="",$C17,IF(ISNUMBER(Planung!FO17),Planung!FO17,IF(UPPER(Planung!FO17)="H",$C17/2,0)))))))</f>
        <v>0</v>
      </c>
      <c r="FP17" s="27">
        <f>IF($A17="",0,IF(Mitarbeiter!$G$15=FALSE,0,IF(AND(Mitarbeiter!$E$15&lt;&gt;"",FP$5+6&lt;Mitarbeiter!$E$15),0,IF(AND(Mitarbeiter!$F$15&lt;&gt;"",FP$5&gt;Mitarbeiter!$F$15),0,IF(Planung!FP17="",$C17,IF(ISNUMBER(Planung!FP17),Planung!FP17,IF(UPPER(Planung!FP17)="H",$C17/2,0)))))))</f>
        <v>0</v>
      </c>
      <c r="FQ17" s="27">
        <f>IF($A17="",0,IF(Mitarbeiter!$G$15=FALSE,0,IF(AND(Mitarbeiter!$E$15&lt;&gt;"",FQ$5+6&lt;Mitarbeiter!$E$15),0,IF(AND(Mitarbeiter!$F$15&lt;&gt;"",FQ$5&gt;Mitarbeiter!$F$15),0,IF(Planung!FQ17="",$C17,IF(ISNUMBER(Planung!FQ17),Planung!FQ17,IF(UPPER(Planung!FQ17)="H",$C17/2,0)))))))</f>
        <v>0</v>
      </c>
      <c r="FR17" s="27">
        <f>IF($A17="",0,IF(Mitarbeiter!$G$15=FALSE,0,IF(AND(Mitarbeiter!$E$15&lt;&gt;"",FR$5+6&lt;Mitarbeiter!$E$15),0,IF(AND(Mitarbeiter!$F$15&lt;&gt;"",FR$5&gt;Mitarbeiter!$F$15),0,IF(Planung!FR17="",$C17,IF(ISNUMBER(Planung!FR17),Planung!FR17,IF(UPPER(Planung!FR17)="H",$C17/2,0)))))))</f>
        <v>0</v>
      </c>
      <c r="FS17" s="27">
        <f>IF($A17="",0,IF(Mitarbeiter!$G$15=FALSE,0,IF(AND(Mitarbeiter!$E$15&lt;&gt;"",FS$5+6&lt;Mitarbeiter!$E$15),0,IF(AND(Mitarbeiter!$F$15&lt;&gt;"",FS$5&gt;Mitarbeiter!$F$15),0,IF(Planung!FS17="",$C17,IF(ISNUMBER(Planung!FS17),Planung!FS17,IF(UPPER(Planung!FS17)="H",$C17/2,0)))))))</f>
        <v>0</v>
      </c>
      <c r="FT17" s="27">
        <f>IF($A17="",0,IF(Mitarbeiter!$G$15=FALSE,0,IF(AND(Mitarbeiter!$E$15&lt;&gt;"",FT$5+6&lt;Mitarbeiter!$E$15),0,IF(AND(Mitarbeiter!$F$15&lt;&gt;"",FT$5&gt;Mitarbeiter!$F$15),0,IF(Planung!FT17="",$C17,IF(ISNUMBER(Planung!FT17),Planung!FT17,IF(UPPER(Planung!FT17)="H",$C17/2,0)))))))</f>
        <v>0</v>
      </c>
      <c r="FU17" s="27">
        <f>IF($A17="",0,IF(Mitarbeiter!$G$15=FALSE,0,IF(AND(Mitarbeiter!$E$15&lt;&gt;"",FU$5+6&lt;Mitarbeiter!$E$15),0,IF(AND(Mitarbeiter!$F$15&lt;&gt;"",FU$5&gt;Mitarbeiter!$F$15),0,IF(Planung!FU17="",$C17,IF(ISNUMBER(Planung!FU17),Planung!FU17,IF(UPPER(Planung!FU17)="H",$C17/2,0)))))))</f>
        <v>0</v>
      </c>
      <c r="FV17" s="27">
        <f>IF($A17="",0,IF(Mitarbeiter!$G$15=FALSE,0,IF(AND(Mitarbeiter!$E$15&lt;&gt;"",FV$5+6&lt;Mitarbeiter!$E$15),0,IF(AND(Mitarbeiter!$F$15&lt;&gt;"",FV$5&gt;Mitarbeiter!$F$15),0,IF(Planung!FV17="",$C17,IF(ISNUMBER(Planung!FV17),Planung!FV17,IF(UPPER(Planung!FV17)="H",$C17/2,0)))))))</f>
        <v>0</v>
      </c>
      <c r="FW17" s="27">
        <f>IF($A17="",0,IF(Mitarbeiter!$G$15=FALSE,0,IF(AND(Mitarbeiter!$E$15&lt;&gt;"",FW$5+6&lt;Mitarbeiter!$E$15),0,IF(AND(Mitarbeiter!$F$15&lt;&gt;"",FW$5&gt;Mitarbeiter!$F$15),0,IF(Planung!FW17="",$C17,IF(ISNUMBER(Planung!FW17),Planung!FW17,IF(UPPER(Planung!FW17)="H",$C17/2,0)))))))</f>
        <v>0</v>
      </c>
      <c r="FX17" s="27">
        <f>IF($A17="",0,IF(Mitarbeiter!$G$15=FALSE,0,IF(AND(Mitarbeiter!$E$15&lt;&gt;"",FX$5+6&lt;Mitarbeiter!$E$15),0,IF(AND(Mitarbeiter!$F$15&lt;&gt;"",FX$5&gt;Mitarbeiter!$F$15),0,IF(Planung!FX17="",$C17,IF(ISNUMBER(Planung!FX17),Planung!FX17,IF(UPPER(Planung!FX17)="H",$C17/2,0)))))))</f>
        <v>0</v>
      </c>
      <c r="FY17" s="27">
        <f>IF($A17="",0,IF(Mitarbeiter!$G$15=FALSE,0,IF(AND(Mitarbeiter!$E$15&lt;&gt;"",FY$5+6&lt;Mitarbeiter!$E$15),0,IF(AND(Mitarbeiter!$F$15&lt;&gt;"",FY$5&gt;Mitarbeiter!$F$15),0,IF(Planung!FY17="",$C17,IF(ISNUMBER(Planung!FY17),Planung!FY17,IF(UPPER(Planung!FY17)="H",$C17/2,0)))))))</f>
        <v>0</v>
      </c>
      <c r="FZ17" s="27">
        <f>IF($A17="",0,IF(Mitarbeiter!$G$15=FALSE,0,IF(AND(Mitarbeiter!$E$15&lt;&gt;"",FZ$5+6&lt;Mitarbeiter!$E$15),0,IF(AND(Mitarbeiter!$F$15&lt;&gt;"",FZ$5&gt;Mitarbeiter!$F$15),0,IF(Planung!FZ17="",$C17,IF(ISNUMBER(Planung!FZ17),Planung!FZ17,IF(UPPER(Planung!FZ17)="H",$C17/2,0)))))))</f>
        <v>0</v>
      </c>
      <c r="GA17" s="27">
        <f>IF($A17="",0,IF(Mitarbeiter!$G$15=FALSE,0,IF(AND(Mitarbeiter!$E$15&lt;&gt;"",GA$5+6&lt;Mitarbeiter!$E$15),0,IF(AND(Mitarbeiter!$F$15&lt;&gt;"",GA$5&gt;Mitarbeiter!$F$15),0,IF(Planung!GA17="",$C17,IF(ISNUMBER(Planung!GA17),Planung!GA17,IF(UPPER(Planung!GA17)="H",$C17/2,0)))))))</f>
        <v>0</v>
      </c>
      <c r="GB17" s="27">
        <f>IF($A17="",0,IF(Mitarbeiter!$G$15=FALSE,0,IF(AND(Mitarbeiter!$E$15&lt;&gt;"",GB$5+6&lt;Mitarbeiter!$E$15),0,IF(AND(Mitarbeiter!$F$15&lt;&gt;"",GB$5&gt;Mitarbeiter!$F$15),0,IF(Planung!GB17="",$C17,IF(ISNUMBER(Planung!GB17),Planung!GB17,IF(UPPER(Planung!GB17)="H",$C17/2,0)))))))</f>
        <v>0</v>
      </c>
      <c r="GC17" s="27">
        <f>IF($A17="",0,IF(Mitarbeiter!$G$15=FALSE,0,IF(AND(Mitarbeiter!$E$15&lt;&gt;"",GC$5+6&lt;Mitarbeiter!$E$15),0,IF(AND(Mitarbeiter!$F$15&lt;&gt;"",GC$5&gt;Mitarbeiter!$F$15),0,IF(Planung!GC17="",$C17,IF(ISNUMBER(Planung!GC17),Planung!GC17,IF(UPPER(Planung!GC17)="H",$C17/2,0)))))))</f>
        <v>0</v>
      </c>
      <c r="GD17" s="27">
        <f>IF($A17="",0,IF(Mitarbeiter!$G$15=FALSE,0,IF(AND(Mitarbeiter!$E$15&lt;&gt;"",GD$5+6&lt;Mitarbeiter!$E$15),0,IF(AND(Mitarbeiter!$F$15&lt;&gt;"",GD$5&gt;Mitarbeiter!$F$15),0,IF(Planung!GD17="",$C17,IF(ISNUMBER(Planung!GD17),Planung!GD17,IF(UPPER(Planung!GD17)="H",$C17/2,0)))))))</f>
        <v>0</v>
      </c>
      <c r="GE17" s="27">
        <f>IF($A17="",0,IF(Mitarbeiter!$G$15=FALSE,0,IF(AND(Mitarbeiter!$E$15&lt;&gt;"",GE$5+6&lt;Mitarbeiter!$E$15),0,IF(AND(Mitarbeiter!$F$15&lt;&gt;"",GE$5&gt;Mitarbeiter!$F$15),0,IF(Planung!GE17="",$C17,IF(ISNUMBER(Planung!GE17),Planung!GE17,IF(UPPER(Planung!GE17)="H",$C17/2,0)))))))</f>
        <v>0</v>
      </c>
      <c r="GF17" s="27">
        <f>IF($A17="",0,IF(Mitarbeiter!$G$15=FALSE,0,IF(AND(Mitarbeiter!$E$15&lt;&gt;"",GF$5+6&lt;Mitarbeiter!$E$15),0,IF(AND(Mitarbeiter!$F$15&lt;&gt;"",GF$5&gt;Mitarbeiter!$F$15),0,IF(Planung!GF17="",$C17,IF(ISNUMBER(Planung!GF17),Planung!GF17,IF(UPPER(Planung!GF17)="H",$C17/2,0)))))))</f>
        <v>0</v>
      </c>
      <c r="GG17" s="27">
        <f>IF($A17="",0,IF(Mitarbeiter!$G$15=FALSE,0,IF(AND(Mitarbeiter!$E$15&lt;&gt;"",GG$5+6&lt;Mitarbeiter!$E$15),0,IF(AND(Mitarbeiter!$F$15&lt;&gt;"",GG$5&gt;Mitarbeiter!$F$15),0,IF(Planung!GG17="",$C17,IF(ISNUMBER(Planung!GG17),Planung!GG17,IF(UPPER(Planung!GG17)="H",$C17/2,0)))))))</f>
        <v>0</v>
      </c>
      <c r="GH17" s="27">
        <f>IF($A17="",0,IF(Mitarbeiter!$G$15=FALSE,0,IF(AND(Mitarbeiter!$E$15&lt;&gt;"",GH$5+6&lt;Mitarbeiter!$E$15),0,IF(AND(Mitarbeiter!$F$15&lt;&gt;"",GH$5&gt;Mitarbeiter!$F$15),0,IF(Planung!GH17="",$C17,IF(ISNUMBER(Planung!GH17),Planung!GH17,IF(UPPER(Planung!GH17)="H",$C17/2,0)))))))</f>
        <v>0</v>
      </c>
      <c r="GI17" s="27">
        <f>IF($A17="",0,IF(Mitarbeiter!$G$15=FALSE,0,IF(AND(Mitarbeiter!$E$15&lt;&gt;"",GI$5+6&lt;Mitarbeiter!$E$15),0,IF(AND(Mitarbeiter!$F$15&lt;&gt;"",GI$5&gt;Mitarbeiter!$F$15),0,IF(Planung!GI17="",$C17,IF(ISNUMBER(Planung!GI17),Planung!GI17,IF(UPPER(Planung!GI17)="H",$C17/2,0)))))))</f>
        <v>0</v>
      </c>
      <c r="GJ17" s="27">
        <f>IF($A17="",0,IF(Mitarbeiter!$G$15=FALSE,0,IF(AND(Mitarbeiter!$E$15&lt;&gt;"",GJ$5+6&lt;Mitarbeiter!$E$15),0,IF(AND(Mitarbeiter!$F$15&lt;&gt;"",GJ$5&gt;Mitarbeiter!$F$15),0,IF(Planung!GJ17="",$C17,IF(ISNUMBER(Planung!GJ17),Planung!GJ17,IF(UPPER(Planung!GJ17)="H",$C17/2,0)))))))</f>
        <v>0</v>
      </c>
      <c r="GK17" s="27">
        <f>IF($A17="",0,IF(Mitarbeiter!$G$15=FALSE,0,IF(AND(Mitarbeiter!$E$15&lt;&gt;"",GK$5+6&lt;Mitarbeiter!$E$15),0,IF(AND(Mitarbeiter!$F$15&lt;&gt;"",GK$5&gt;Mitarbeiter!$F$15),0,IF(Planung!GK17="",$C17,IF(ISNUMBER(Planung!GK17),Planung!GK17,IF(UPPER(Planung!GK17)="H",$C17/2,0)))))))</f>
        <v>0</v>
      </c>
      <c r="GL17" s="27">
        <f>IF($A17="",0,IF(Mitarbeiter!$G$15=FALSE,0,IF(AND(Mitarbeiter!$E$15&lt;&gt;"",GL$5+6&lt;Mitarbeiter!$E$15),0,IF(AND(Mitarbeiter!$F$15&lt;&gt;"",GL$5&gt;Mitarbeiter!$F$15),0,IF(Planung!GL17="",$C17,IF(ISNUMBER(Planung!GL17),Planung!GL17,IF(UPPER(Planung!GL17)="H",$C17/2,0)))))))</f>
        <v>0</v>
      </c>
      <c r="GM17" s="27">
        <f>IF($A17="",0,IF(Mitarbeiter!$G$15=FALSE,0,IF(AND(Mitarbeiter!$E$15&lt;&gt;"",GM$5+6&lt;Mitarbeiter!$E$15),0,IF(AND(Mitarbeiter!$F$15&lt;&gt;"",GM$5&gt;Mitarbeiter!$F$15),0,IF(Planung!GM17="",$C17,IF(ISNUMBER(Planung!GM17),Planung!GM17,IF(UPPER(Planung!GM17)="H",$C17/2,0)))))))</f>
        <v>0</v>
      </c>
      <c r="GN17" s="27">
        <f>IF($A17="",0,IF(Mitarbeiter!$G$15=FALSE,0,IF(AND(Mitarbeiter!$E$15&lt;&gt;"",GN$5+6&lt;Mitarbeiter!$E$15),0,IF(AND(Mitarbeiter!$F$15&lt;&gt;"",GN$5&gt;Mitarbeiter!$F$15),0,IF(Planung!GN17="",$C17,IF(ISNUMBER(Planung!GN17),Planung!GN17,IF(UPPER(Planung!GN17)="H",$C17/2,0)))))))</f>
        <v>0</v>
      </c>
      <c r="GO17" s="27">
        <f>IF($A17="",0,IF(Mitarbeiter!$G$15=FALSE,0,IF(AND(Mitarbeiter!$E$15&lt;&gt;"",GO$5+6&lt;Mitarbeiter!$E$15),0,IF(AND(Mitarbeiter!$F$15&lt;&gt;"",GO$5&gt;Mitarbeiter!$F$15),0,IF(Planung!GO17="",$C17,IF(ISNUMBER(Planung!GO17),Planung!GO17,IF(UPPER(Planung!GO17)="H",$C17/2,0)))))))</f>
        <v>0</v>
      </c>
      <c r="GP17" s="27">
        <f>IF($A17="",0,IF(Mitarbeiter!$G$15=FALSE,0,IF(AND(Mitarbeiter!$E$15&lt;&gt;"",GP$5+6&lt;Mitarbeiter!$E$15),0,IF(AND(Mitarbeiter!$F$15&lt;&gt;"",GP$5&gt;Mitarbeiter!$F$15),0,IF(Planung!GP17="",$C17,IF(ISNUMBER(Planung!GP17),Planung!GP17,IF(UPPER(Planung!GP17)="H",$C17/2,0)))))))</f>
        <v>0</v>
      </c>
      <c r="GQ17" s="27">
        <f>IF($A17="",0,IF(Mitarbeiter!$G$15=FALSE,0,IF(AND(Mitarbeiter!$E$15&lt;&gt;"",GQ$5+6&lt;Mitarbeiter!$E$15),0,IF(AND(Mitarbeiter!$F$15&lt;&gt;"",GQ$5&gt;Mitarbeiter!$F$15),0,IF(Planung!GQ17="",$C17,IF(ISNUMBER(Planung!GQ17),Planung!GQ17,IF(UPPER(Planung!GQ17)="H",$C17/2,0)))))))</f>
        <v>0</v>
      </c>
      <c r="GR17" s="27">
        <f>IF($A17="",0,IF(Mitarbeiter!$G$15=FALSE,0,IF(AND(Mitarbeiter!$E$15&lt;&gt;"",GR$5+6&lt;Mitarbeiter!$E$15),0,IF(AND(Mitarbeiter!$F$15&lt;&gt;"",GR$5&gt;Mitarbeiter!$F$15),0,IF(Planung!GR17="",$C17,IF(ISNUMBER(Planung!GR17),Planung!GR17,IF(UPPER(Planung!GR17)="H",$C17/2,0)))))))</f>
        <v>0</v>
      </c>
      <c r="GS17" s="27">
        <f>IF($A17="",0,IF(Mitarbeiter!$G$15=FALSE,0,IF(AND(Mitarbeiter!$E$15&lt;&gt;"",GS$5+6&lt;Mitarbeiter!$E$15),0,IF(AND(Mitarbeiter!$F$15&lt;&gt;"",GS$5&gt;Mitarbeiter!$F$15),0,IF(Planung!GS17="",$C17,IF(ISNUMBER(Planung!GS17),Planung!GS17,IF(UPPER(Planung!GS17)="H",$C17/2,0)))))))</f>
        <v>0</v>
      </c>
      <c r="GT17" s="27">
        <f>IF($A17="",0,IF(Mitarbeiter!$G$15=FALSE,0,IF(AND(Mitarbeiter!$E$15&lt;&gt;"",GT$5+6&lt;Mitarbeiter!$E$15),0,IF(AND(Mitarbeiter!$F$15&lt;&gt;"",GT$5&gt;Mitarbeiter!$F$15),0,IF(Planung!GT17="",$C17,IF(ISNUMBER(Planung!GT17),Planung!GT17,IF(UPPER(Planung!GT17)="H",$C17/2,0)))))))</f>
        <v>0</v>
      </c>
      <c r="GU17" s="27">
        <f>IF($A17="",0,IF(Mitarbeiter!$G$15=FALSE,0,IF(AND(Mitarbeiter!$E$15&lt;&gt;"",GU$5+6&lt;Mitarbeiter!$E$15),0,IF(AND(Mitarbeiter!$F$15&lt;&gt;"",GU$5&gt;Mitarbeiter!$F$15),0,IF(Planung!GU17="",$C17,IF(ISNUMBER(Planung!GU17),Planung!GU17,IF(UPPER(Planung!GU17)="H",$C17/2,0)))))))</f>
        <v>0</v>
      </c>
      <c r="GV17" s="27">
        <f>IF($A17="",0,IF(Mitarbeiter!$G$15=FALSE,0,IF(AND(Mitarbeiter!$E$15&lt;&gt;"",GV$5+6&lt;Mitarbeiter!$E$15),0,IF(AND(Mitarbeiter!$F$15&lt;&gt;"",GV$5&gt;Mitarbeiter!$F$15),0,IF(Planung!GV17="",$C17,IF(ISNUMBER(Planung!GV17),Planung!GV17,IF(UPPER(Planung!GV17)="H",$C17/2,0)))))))</f>
        <v>0</v>
      </c>
      <c r="GW17" s="27">
        <f>IF($A17="",0,IF(Mitarbeiter!$G$15=FALSE,0,IF(AND(Mitarbeiter!$E$15&lt;&gt;"",GW$5+6&lt;Mitarbeiter!$E$15),0,IF(AND(Mitarbeiter!$F$15&lt;&gt;"",GW$5&gt;Mitarbeiter!$F$15),0,IF(Planung!GW17="",$C17,IF(ISNUMBER(Planung!GW17),Planung!GW17,IF(UPPER(Planung!GW17)="H",$C17/2,0)))))))</f>
        <v>0</v>
      </c>
      <c r="GX17" s="27">
        <f>IF($A17="",0,IF(Mitarbeiter!$G$15=FALSE,0,IF(AND(Mitarbeiter!$E$15&lt;&gt;"",GX$5+6&lt;Mitarbeiter!$E$15),0,IF(AND(Mitarbeiter!$F$15&lt;&gt;"",GX$5&gt;Mitarbeiter!$F$15),0,IF(Planung!GX17="",$C17,IF(ISNUMBER(Planung!GX17),Planung!GX17,IF(UPPER(Planung!GX17)="H",$C17/2,0)))))))</f>
        <v>0</v>
      </c>
      <c r="GY17" s="27">
        <f>IF($A17="",0,IF(Mitarbeiter!$G$15=FALSE,0,IF(AND(Mitarbeiter!$E$15&lt;&gt;"",GY$5+6&lt;Mitarbeiter!$E$15),0,IF(AND(Mitarbeiter!$F$15&lt;&gt;"",GY$5&gt;Mitarbeiter!$F$15),0,IF(Planung!GY17="",$C17,IF(ISNUMBER(Planung!GY17),Planung!GY17,IF(UPPER(Planung!GY17)="H",$C17/2,0)))))))</f>
        <v>0</v>
      </c>
      <c r="GZ17" s="27">
        <f>IF($A17="",0,IF(Mitarbeiter!$G$15=FALSE,0,IF(AND(Mitarbeiter!$E$15&lt;&gt;"",GZ$5+6&lt;Mitarbeiter!$E$15),0,IF(AND(Mitarbeiter!$F$15&lt;&gt;"",GZ$5&gt;Mitarbeiter!$F$15),0,IF(Planung!GZ17="",$C17,IF(ISNUMBER(Planung!GZ17),Planung!GZ17,IF(UPPER(Planung!GZ17)="H",$C17/2,0)))))))</f>
        <v>0</v>
      </c>
      <c r="HA17" s="27">
        <f>IF($A17="",0,IF(Mitarbeiter!$G$15=FALSE,0,IF(AND(Mitarbeiter!$E$15&lt;&gt;"",HA$5+6&lt;Mitarbeiter!$E$15),0,IF(AND(Mitarbeiter!$F$15&lt;&gt;"",HA$5&gt;Mitarbeiter!$F$15),0,IF(Planung!HA17="",$C17,IF(ISNUMBER(Planung!HA17),Planung!HA17,IF(UPPER(Planung!HA17)="H",$C17/2,0)))))))</f>
        <v>0</v>
      </c>
      <c r="HB17" s="27">
        <f>IF($A17="",0,IF(Mitarbeiter!$G$15=FALSE,0,IF(AND(Mitarbeiter!$E$15&lt;&gt;"",HB$5+6&lt;Mitarbeiter!$E$15),0,IF(AND(Mitarbeiter!$F$15&lt;&gt;"",HB$5&gt;Mitarbeiter!$F$15),0,IF(Planung!HB17="",$C17,IF(ISNUMBER(Planung!HB17),Planung!HB17,IF(UPPER(Planung!HB17)="H",$C17/2,0)))))))</f>
        <v>0</v>
      </c>
      <c r="HC17" s="27">
        <f>IF($A17="",0,IF(Mitarbeiter!$G$15=FALSE,0,IF(AND(Mitarbeiter!$E$15&lt;&gt;"",HC$5+6&lt;Mitarbeiter!$E$15),0,IF(AND(Mitarbeiter!$F$15&lt;&gt;"",HC$5&gt;Mitarbeiter!$F$15),0,IF(Planung!HC17="",$C17,IF(ISNUMBER(Planung!HC17),Planung!HC17,IF(UPPER(Planung!HC17)="H",$C17/2,0)))))))</f>
        <v>0</v>
      </c>
      <c r="HD17" s="27">
        <f>IF($A17="",0,IF(Mitarbeiter!$G$15=FALSE,0,IF(AND(Mitarbeiter!$E$15&lt;&gt;"",HD$5+6&lt;Mitarbeiter!$E$15),0,IF(AND(Mitarbeiter!$F$15&lt;&gt;"",HD$5&gt;Mitarbeiter!$F$15),0,IF(Planung!HD17="",$C17,IF(ISNUMBER(Planung!HD17),Planung!HD17,IF(UPPER(Planung!HD17)="H",$C17/2,0)))))))</f>
        <v>0</v>
      </c>
      <c r="HE17" s="27">
        <f>IF($A17="",0,IF(Mitarbeiter!$G$15=FALSE,0,IF(AND(Mitarbeiter!$E$15&lt;&gt;"",HE$5+6&lt;Mitarbeiter!$E$15),0,IF(AND(Mitarbeiter!$F$15&lt;&gt;"",HE$5&gt;Mitarbeiter!$F$15),0,IF(Planung!HE17="",$C17,IF(ISNUMBER(Planung!HE17),Planung!HE17,IF(UPPER(Planung!HE17)="H",$C17/2,0)))))))</f>
        <v>0</v>
      </c>
      <c r="HF17" s="27">
        <f>IF($A17="",0,IF(Mitarbeiter!$G$15=FALSE,0,IF(AND(Mitarbeiter!$E$15&lt;&gt;"",HF$5+6&lt;Mitarbeiter!$E$15),0,IF(AND(Mitarbeiter!$F$15&lt;&gt;"",HF$5&gt;Mitarbeiter!$F$15),0,IF(Planung!HF17="",$C17,IF(ISNUMBER(Planung!HF17),Planung!HF17,IF(UPPER(Planung!HF17)="H",$C17/2,0)))))))</f>
        <v>0</v>
      </c>
      <c r="HG17" s="27">
        <f>IF($A17="",0,IF(Mitarbeiter!$G$15=FALSE,0,IF(AND(Mitarbeiter!$E$15&lt;&gt;"",HG$5+6&lt;Mitarbeiter!$E$15),0,IF(AND(Mitarbeiter!$F$15&lt;&gt;"",HG$5&gt;Mitarbeiter!$F$15),0,IF(Planung!HG17="",$C17,IF(ISNUMBER(Planung!HG17),Planung!HG17,IF(UPPER(Planung!HG17)="H",$C17/2,0)))))))</f>
        <v>0</v>
      </c>
      <c r="HH17" s="27">
        <f>IF($A17="",0,IF(Mitarbeiter!$G$15=FALSE,0,IF(AND(Mitarbeiter!$E$15&lt;&gt;"",HH$5+6&lt;Mitarbeiter!$E$15),0,IF(AND(Mitarbeiter!$F$15&lt;&gt;"",HH$5&gt;Mitarbeiter!$F$15),0,IF(Planung!HH17="",$C17,IF(ISNUMBER(Planung!HH17),Planung!HH17,IF(UPPER(Planung!HH17)="H",$C17/2,0)))))))</f>
        <v>0</v>
      </c>
      <c r="HI17" s="27">
        <f>IF($A17="",0,IF(Mitarbeiter!$G$15=FALSE,0,IF(AND(Mitarbeiter!$E$15&lt;&gt;"",HI$5+6&lt;Mitarbeiter!$E$15),0,IF(AND(Mitarbeiter!$F$15&lt;&gt;"",HI$5&gt;Mitarbeiter!$F$15),0,IF(Planung!HI17="",$C17,IF(ISNUMBER(Planung!HI17),Planung!HI17,IF(UPPER(Planung!HI17)="H",$C17/2,0)))))))</f>
        <v>0</v>
      </c>
      <c r="HJ17" s="27">
        <f>IF($A17="",0,IF(Mitarbeiter!$G$15=FALSE,0,IF(AND(Mitarbeiter!$E$15&lt;&gt;"",HJ$5+6&lt;Mitarbeiter!$E$15),0,IF(AND(Mitarbeiter!$F$15&lt;&gt;"",HJ$5&gt;Mitarbeiter!$F$15),0,IF(Planung!HJ17="",$C17,IF(ISNUMBER(Planung!HJ17),Planung!HJ17,IF(UPPER(Planung!HJ17)="H",$C17/2,0)))))))</f>
        <v>0</v>
      </c>
      <c r="HK17" s="27">
        <f>IF($A17="",0,IF(Mitarbeiter!$G$15=FALSE,0,IF(AND(Mitarbeiter!$E$15&lt;&gt;"",HK$5+6&lt;Mitarbeiter!$E$15),0,IF(AND(Mitarbeiter!$F$15&lt;&gt;"",HK$5&gt;Mitarbeiter!$F$15),0,IF(Planung!HK17="",$C17,IF(ISNUMBER(Planung!HK17),Planung!HK17,IF(UPPER(Planung!HK17)="H",$C17/2,0)))))))</f>
        <v>0</v>
      </c>
      <c r="HL17" s="27">
        <f>IF($A17="",0,IF(Mitarbeiter!$G$15=FALSE,0,IF(AND(Mitarbeiter!$E$15&lt;&gt;"",HL$5+6&lt;Mitarbeiter!$E$15),0,IF(AND(Mitarbeiter!$F$15&lt;&gt;"",HL$5&gt;Mitarbeiter!$F$15),0,IF(Planung!HL17="",$C17,IF(ISNUMBER(Planung!HL17),Planung!HL17,IF(UPPER(Planung!HL17)="H",$C17/2,0)))))))</f>
        <v>0</v>
      </c>
      <c r="HM17" s="27">
        <f>IF($A17="",0,IF(Mitarbeiter!$G$15=FALSE,0,IF(AND(Mitarbeiter!$E$15&lt;&gt;"",HM$5+6&lt;Mitarbeiter!$E$15),0,IF(AND(Mitarbeiter!$F$15&lt;&gt;"",HM$5&gt;Mitarbeiter!$F$15),0,IF(Planung!HM17="",$C17,IF(ISNUMBER(Planung!HM17),Planung!HM17,IF(UPPER(Planung!HM17)="H",$C17/2,0)))))))</f>
        <v>0</v>
      </c>
      <c r="HN17" s="27">
        <f>IF($A17="",0,IF(Mitarbeiter!$G$15=FALSE,0,IF(AND(Mitarbeiter!$E$15&lt;&gt;"",HN$5+6&lt;Mitarbeiter!$E$15),0,IF(AND(Mitarbeiter!$F$15&lt;&gt;"",HN$5&gt;Mitarbeiter!$F$15),0,IF(Planung!HN17="",$C17,IF(ISNUMBER(Planung!HN17),Planung!HN17,IF(UPPER(Planung!HN17)="H",$C17/2,0)))))))</f>
        <v>0</v>
      </c>
      <c r="HO17" s="27">
        <f>IF($A17="",0,IF(Mitarbeiter!$G$15=FALSE,0,IF(AND(Mitarbeiter!$E$15&lt;&gt;"",HO$5+6&lt;Mitarbeiter!$E$15),0,IF(AND(Mitarbeiter!$F$15&lt;&gt;"",HO$5&gt;Mitarbeiter!$F$15),0,IF(Planung!HO17="",$C17,IF(ISNUMBER(Planung!HO17),Planung!HO17,IF(UPPER(Planung!HO17)="H",$C17/2,0)))))))</f>
        <v>0</v>
      </c>
      <c r="HP17" s="27">
        <f>IF($A17="",0,IF(Mitarbeiter!$G$15=FALSE,0,IF(AND(Mitarbeiter!$E$15&lt;&gt;"",HP$5+6&lt;Mitarbeiter!$E$15),0,IF(AND(Mitarbeiter!$F$15&lt;&gt;"",HP$5&gt;Mitarbeiter!$F$15),0,IF(Planung!HP17="",$C17,IF(ISNUMBER(Planung!HP17),Planung!HP17,IF(UPPER(Planung!HP17)="H",$C17/2,0)))))))</f>
        <v>0</v>
      </c>
      <c r="HQ17" s="27">
        <f>IF($A17="",0,IF(Mitarbeiter!$G$15=FALSE,0,IF(AND(Mitarbeiter!$E$15&lt;&gt;"",HQ$5+6&lt;Mitarbeiter!$E$15),0,IF(AND(Mitarbeiter!$F$15&lt;&gt;"",HQ$5&gt;Mitarbeiter!$F$15),0,IF(Planung!HQ17="",$C17,IF(ISNUMBER(Planung!HQ17),Planung!HQ17,IF(UPPER(Planung!HQ17)="H",$C17/2,0)))))))</f>
        <v>0</v>
      </c>
      <c r="HR17" s="27">
        <f>IF($A17="",0,IF(Mitarbeiter!$G$15=FALSE,0,IF(AND(Mitarbeiter!$E$15&lt;&gt;"",HR$5+6&lt;Mitarbeiter!$E$15),0,IF(AND(Mitarbeiter!$F$15&lt;&gt;"",HR$5&gt;Mitarbeiter!$F$15),0,IF(Planung!HR17="",$C17,IF(ISNUMBER(Planung!HR17),Planung!HR17,IF(UPPER(Planung!HR17)="H",$C17/2,0)))))))</f>
        <v>0</v>
      </c>
      <c r="HS17" s="27">
        <f>IF($A17="",0,IF(Mitarbeiter!$G$15=FALSE,0,IF(AND(Mitarbeiter!$E$15&lt;&gt;"",HS$5+6&lt;Mitarbeiter!$E$15),0,IF(AND(Mitarbeiter!$F$15&lt;&gt;"",HS$5&gt;Mitarbeiter!$F$15),0,IF(Planung!HS17="",$C17,IF(ISNUMBER(Planung!HS17),Planung!HS17,IF(UPPER(Planung!HS17)="H",$C17/2,0)))))))</f>
        <v>0</v>
      </c>
      <c r="HT17" s="27">
        <f>IF($A17="",0,IF(Mitarbeiter!$G$15=FALSE,0,IF(AND(Mitarbeiter!$E$15&lt;&gt;"",HT$5+6&lt;Mitarbeiter!$E$15),0,IF(AND(Mitarbeiter!$F$15&lt;&gt;"",HT$5&gt;Mitarbeiter!$F$15),0,IF(Planung!HT17="",$C17,IF(ISNUMBER(Planung!HT17),Planung!HT17,IF(UPPER(Planung!HT17)="H",$C17/2,0)))))))</f>
        <v>0</v>
      </c>
      <c r="HU17" s="27">
        <f>IF($A17="",0,IF(Mitarbeiter!$G$15=FALSE,0,IF(AND(Mitarbeiter!$E$15&lt;&gt;"",HU$5+6&lt;Mitarbeiter!$E$15),0,IF(AND(Mitarbeiter!$F$15&lt;&gt;"",HU$5&gt;Mitarbeiter!$F$15),0,IF(Planung!HU17="",$C17,IF(ISNUMBER(Planung!HU17),Planung!HU17,IF(UPPER(Planung!HU17)="H",$C17/2,0)))))))</f>
        <v>0</v>
      </c>
      <c r="HV17" s="27">
        <f>IF($A17="",0,IF(Mitarbeiter!$G$15=FALSE,0,IF(AND(Mitarbeiter!$E$15&lt;&gt;"",HV$5+6&lt;Mitarbeiter!$E$15),0,IF(AND(Mitarbeiter!$F$15&lt;&gt;"",HV$5&gt;Mitarbeiter!$F$15),0,IF(Planung!HV17="",$C17,IF(ISNUMBER(Planung!HV17),Planung!HV17,IF(UPPER(Planung!HV17)="H",$C17/2,0)))))))</f>
        <v>0</v>
      </c>
      <c r="HW17" s="27">
        <f>IF($A17="",0,IF(Mitarbeiter!$G$15=FALSE,0,IF(AND(Mitarbeiter!$E$15&lt;&gt;"",HW$5+6&lt;Mitarbeiter!$E$15),0,IF(AND(Mitarbeiter!$F$15&lt;&gt;"",HW$5&gt;Mitarbeiter!$F$15),0,IF(Planung!HW17="",$C17,IF(ISNUMBER(Planung!HW17),Planung!HW17,IF(UPPER(Planung!HW17)="H",$C17/2,0)))))))</f>
        <v>0</v>
      </c>
      <c r="HX17" s="27">
        <f>IF($A17="",0,IF(Mitarbeiter!$G$15=FALSE,0,IF(AND(Mitarbeiter!$E$15&lt;&gt;"",HX$5+6&lt;Mitarbeiter!$E$15),0,IF(AND(Mitarbeiter!$F$15&lt;&gt;"",HX$5&gt;Mitarbeiter!$F$15),0,IF(Planung!HX17="",$C17,IF(ISNUMBER(Planung!HX17),Planung!HX17,IF(UPPER(Planung!HX17)="H",$C17/2,0)))))))</f>
        <v>0</v>
      </c>
      <c r="HY17" s="27">
        <f>IF($A17="",0,IF(Mitarbeiter!$G$15=FALSE,0,IF(AND(Mitarbeiter!$E$15&lt;&gt;"",HY$5+6&lt;Mitarbeiter!$E$15),0,IF(AND(Mitarbeiter!$F$15&lt;&gt;"",HY$5&gt;Mitarbeiter!$F$15),0,IF(Planung!HY17="",$C17,IF(ISNUMBER(Planung!HY17),Planung!HY17,IF(UPPER(Planung!HY17)="H",$C17/2,0)))))))</f>
        <v>0</v>
      </c>
      <c r="HZ17" s="27">
        <f>IF($A17="",0,IF(Mitarbeiter!$G$15=FALSE,0,IF(AND(Mitarbeiter!$E$15&lt;&gt;"",HZ$5+6&lt;Mitarbeiter!$E$15),0,IF(AND(Mitarbeiter!$F$15&lt;&gt;"",HZ$5&gt;Mitarbeiter!$F$15),0,IF(Planung!HZ17="",$C17,IF(ISNUMBER(Planung!HZ17),Planung!HZ17,IF(UPPER(Planung!HZ17)="H",$C17/2,0)))))))</f>
        <v>0</v>
      </c>
      <c r="IA17" s="27">
        <f>IF($A17="",0,IF(Mitarbeiter!$G$15=FALSE,0,IF(AND(Mitarbeiter!$E$15&lt;&gt;"",IA$5+6&lt;Mitarbeiter!$E$15),0,IF(AND(Mitarbeiter!$F$15&lt;&gt;"",IA$5&gt;Mitarbeiter!$F$15),0,IF(Planung!IA17="",$C17,IF(ISNUMBER(Planung!IA17),Planung!IA17,IF(UPPER(Planung!IA17)="H",$C17/2,0)))))))</f>
        <v>0</v>
      </c>
    </row>
    <row r="18" spans="1:235" x14ac:dyDescent="0.25">
      <c r="A18" s="7" t="str">
        <f>Planung!A18</f>
        <v/>
      </c>
      <c r="B18" s="7" t="str">
        <f>Planung!B18</f>
        <v/>
      </c>
      <c r="C18" s="27">
        <f>N(Mitarbeiter!$D$16)</f>
        <v>0</v>
      </c>
      <c r="D18" s="27">
        <f>IF($A18="",0,IF(Mitarbeiter!$G$16=FALSE,0,IF(AND(Mitarbeiter!$E$16&lt;&gt;"",D$5+6&lt;Mitarbeiter!$E$16),0,IF(AND(Mitarbeiter!$F$16&lt;&gt;"",D$5&gt;Mitarbeiter!$F$16),0,IF(Planung!D18="",$C18,IF(ISNUMBER(Planung!D18),Planung!D18,IF(UPPER(Planung!D18)="H",$C18/2,0)))))))</f>
        <v>0</v>
      </c>
      <c r="E18" s="27">
        <f>IF($A18="",0,IF(Mitarbeiter!$G$16=FALSE,0,IF(AND(Mitarbeiter!$E$16&lt;&gt;"",E$5+6&lt;Mitarbeiter!$E$16),0,IF(AND(Mitarbeiter!$F$16&lt;&gt;"",E$5&gt;Mitarbeiter!$F$16),0,IF(Planung!E18="",$C18,IF(ISNUMBER(Planung!E18),Planung!E18,IF(UPPER(Planung!E18)="H",$C18/2,0)))))))</f>
        <v>0</v>
      </c>
      <c r="F18" s="27">
        <f>IF($A18="",0,IF(Mitarbeiter!$G$16=FALSE,0,IF(AND(Mitarbeiter!$E$16&lt;&gt;"",F$5+6&lt;Mitarbeiter!$E$16),0,IF(AND(Mitarbeiter!$F$16&lt;&gt;"",F$5&gt;Mitarbeiter!$F$16),0,IF(Planung!F18="",$C18,IF(ISNUMBER(Planung!F18),Planung!F18,IF(UPPER(Planung!F18)="H",$C18/2,0)))))))</f>
        <v>0</v>
      </c>
      <c r="G18" s="27">
        <f>IF($A18="",0,IF(Mitarbeiter!$G$16=FALSE,0,IF(AND(Mitarbeiter!$E$16&lt;&gt;"",G$5+6&lt;Mitarbeiter!$E$16),0,IF(AND(Mitarbeiter!$F$16&lt;&gt;"",G$5&gt;Mitarbeiter!$F$16),0,IF(Planung!G18="",$C18,IF(ISNUMBER(Planung!G18),Planung!G18,IF(UPPER(Planung!G18)="H",$C18/2,0)))))))</f>
        <v>0</v>
      </c>
      <c r="H18" s="27">
        <f>IF($A18="",0,IF(Mitarbeiter!$G$16=FALSE,0,IF(AND(Mitarbeiter!$E$16&lt;&gt;"",H$5+6&lt;Mitarbeiter!$E$16),0,IF(AND(Mitarbeiter!$F$16&lt;&gt;"",H$5&gt;Mitarbeiter!$F$16),0,IF(Planung!H18="",$C18,IF(ISNUMBER(Planung!H18),Planung!H18,IF(UPPER(Planung!H18)="H",$C18/2,0)))))))</f>
        <v>0</v>
      </c>
      <c r="I18" s="27">
        <f>IF($A18="",0,IF(Mitarbeiter!$G$16=FALSE,0,IF(AND(Mitarbeiter!$E$16&lt;&gt;"",I$5+6&lt;Mitarbeiter!$E$16),0,IF(AND(Mitarbeiter!$F$16&lt;&gt;"",I$5&gt;Mitarbeiter!$F$16),0,IF(Planung!I18="",$C18,IF(ISNUMBER(Planung!I18),Planung!I18,IF(UPPER(Planung!I18)="H",$C18/2,0)))))))</f>
        <v>0</v>
      </c>
      <c r="J18" s="27">
        <f>IF($A18="",0,IF(Mitarbeiter!$G$16=FALSE,0,IF(AND(Mitarbeiter!$E$16&lt;&gt;"",J$5+6&lt;Mitarbeiter!$E$16),0,IF(AND(Mitarbeiter!$F$16&lt;&gt;"",J$5&gt;Mitarbeiter!$F$16),0,IF(Planung!J18="",$C18,IF(ISNUMBER(Planung!J18),Planung!J18,IF(UPPER(Planung!J18)="H",$C18/2,0)))))))</f>
        <v>0</v>
      </c>
      <c r="K18" s="27">
        <f>IF($A18="",0,IF(Mitarbeiter!$G$16=FALSE,0,IF(AND(Mitarbeiter!$E$16&lt;&gt;"",K$5+6&lt;Mitarbeiter!$E$16),0,IF(AND(Mitarbeiter!$F$16&lt;&gt;"",K$5&gt;Mitarbeiter!$F$16),0,IF(Planung!K18="",$C18,IF(ISNUMBER(Planung!K18),Planung!K18,IF(UPPER(Planung!K18)="H",$C18/2,0)))))))</f>
        <v>0</v>
      </c>
      <c r="L18" s="27">
        <f>IF($A18="",0,IF(Mitarbeiter!$G$16=FALSE,0,IF(AND(Mitarbeiter!$E$16&lt;&gt;"",L$5+6&lt;Mitarbeiter!$E$16),0,IF(AND(Mitarbeiter!$F$16&lt;&gt;"",L$5&gt;Mitarbeiter!$F$16),0,IF(Planung!L18="",$C18,IF(ISNUMBER(Planung!L18),Planung!L18,IF(UPPER(Planung!L18)="H",$C18/2,0)))))))</f>
        <v>0</v>
      </c>
      <c r="M18" s="27">
        <f>IF($A18="",0,IF(Mitarbeiter!$G$16=FALSE,0,IF(AND(Mitarbeiter!$E$16&lt;&gt;"",M$5+6&lt;Mitarbeiter!$E$16),0,IF(AND(Mitarbeiter!$F$16&lt;&gt;"",M$5&gt;Mitarbeiter!$F$16),0,IF(Planung!M18="",$C18,IF(ISNUMBER(Planung!M18),Planung!M18,IF(UPPER(Planung!M18)="H",$C18/2,0)))))))</f>
        <v>0</v>
      </c>
      <c r="N18" s="27">
        <f>IF($A18="",0,IF(Mitarbeiter!$G$16=FALSE,0,IF(AND(Mitarbeiter!$E$16&lt;&gt;"",N$5+6&lt;Mitarbeiter!$E$16),0,IF(AND(Mitarbeiter!$F$16&lt;&gt;"",N$5&gt;Mitarbeiter!$F$16),0,IF(Planung!N18="",$C18,IF(ISNUMBER(Planung!N18),Planung!N18,IF(UPPER(Planung!N18)="H",$C18/2,0)))))))</f>
        <v>0</v>
      </c>
      <c r="O18" s="27">
        <f>IF($A18="",0,IF(Mitarbeiter!$G$16=FALSE,0,IF(AND(Mitarbeiter!$E$16&lt;&gt;"",O$5+6&lt;Mitarbeiter!$E$16),0,IF(AND(Mitarbeiter!$F$16&lt;&gt;"",O$5&gt;Mitarbeiter!$F$16),0,IF(Planung!O18="",$C18,IF(ISNUMBER(Planung!O18),Planung!O18,IF(UPPER(Planung!O18)="H",$C18/2,0)))))))</f>
        <v>0</v>
      </c>
      <c r="P18" s="27">
        <f>IF($A18="",0,IF(Mitarbeiter!$G$16=FALSE,0,IF(AND(Mitarbeiter!$E$16&lt;&gt;"",P$5+6&lt;Mitarbeiter!$E$16),0,IF(AND(Mitarbeiter!$F$16&lt;&gt;"",P$5&gt;Mitarbeiter!$F$16),0,IF(Planung!P18="",$C18,IF(ISNUMBER(Planung!P18),Planung!P18,IF(UPPER(Planung!P18)="H",$C18/2,0)))))))</f>
        <v>0</v>
      </c>
      <c r="Q18" s="27">
        <f>IF($A18="",0,IF(Mitarbeiter!$G$16=FALSE,0,IF(AND(Mitarbeiter!$E$16&lt;&gt;"",Q$5+6&lt;Mitarbeiter!$E$16),0,IF(AND(Mitarbeiter!$F$16&lt;&gt;"",Q$5&gt;Mitarbeiter!$F$16),0,IF(Planung!Q18="",$C18,IF(ISNUMBER(Planung!Q18),Planung!Q18,IF(UPPER(Planung!Q18)="H",$C18/2,0)))))))</f>
        <v>0</v>
      </c>
      <c r="R18" s="27">
        <f>IF($A18="",0,IF(Mitarbeiter!$G$16=FALSE,0,IF(AND(Mitarbeiter!$E$16&lt;&gt;"",R$5+6&lt;Mitarbeiter!$E$16),0,IF(AND(Mitarbeiter!$F$16&lt;&gt;"",R$5&gt;Mitarbeiter!$F$16),0,IF(Planung!R18="",$C18,IF(ISNUMBER(Planung!R18),Planung!R18,IF(UPPER(Planung!R18)="H",$C18/2,0)))))))</f>
        <v>0</v>
      </c>
      <c r="S18" s="27">
        <f>IF($A18="",0,IF(Mitarbeiter!$G$16=FALSE,0,IF(AND(Mitarbeiter!$E$16&lt;&gt;"",S$5+6&lt;Mitarbeiter!$E$16),0,IF(AND(Mitarbeiter!$F$16&lt;&gt;"",S$5&gt;Mitarbeiter!$F$16),0,IF(Planung!S18="",$C18,IF(ISNUMBER(Planung!S18),Planung!S18,IF(UPPER(Planung!S18)="H",$C18/2,0)))))))</f>
        <v>0</v>
      </c>
      <c r="T18" s="27">
        <f>IF($A18="",0,IF(Mitarbeiter!$G$16=FALSE,0,IF(AND(Mitarbeiter!$E$16&lt;&gt;"",T$5+6&lt;Mitarbeiter!$E$16),0,IF(AND(Mitarbeiter!$F$16&lt;&gt;"",T$5&gt;Mitarbeiter!$F$16),0,IF(Planung!T18="",$C18,IF(ISNUMBER(Planung!T18),Planung!T18,IF(UPPER(Planung!T18)="H",$C18/2,0)))))))</f>
        <v>0</v>
      </c>
      <c r="U18" s="27">
        <f>IF($A18="",0,IF(Mitarbeiter!$G$16=FALSE,0,IF(AND(Mitarbeiter!$E$16&lt;&gt;"",U$5+6&lt;Mitarbeiter!$E$16),0,IF(AND(Mitarbeiter!$F$16&lt;&gt;"",U$5&gt;Mitarbeiter!$F$16),0,IF(Planung!U18="",$C18,IF(ISNUMBER(Planung!U18),Planung!U18,IF(UPPER(Planung!U18)="H",$C18/2,0)))))))</f>
        <v>0</v>
      </c>
      <c r="V18" s="27">
        <f>IF($A18="",0,IF(Mitarbeiter!$G$16=FALSE,0,IF(AND(Mitarbeiter!$E$16&lt;&gt;"",V$5+6&lt;Mitarbeiter!$E$16),0,IF(AND(Mitarbeiter!$F$16&lt;&gt;"",V$5&gt;Mitarbeiter!$F$16),0,IF(Planung!V18="",$C18,IF(ISNUMBER(Planung!V18),Planung!V18,IF(UPPER(Planung!V18)="H",$C18/2,0)))))))</f>
        <v>0</v>
      </c>
      <c r="W18" s="27">
        <f>IF($A18="",0,IF(Mitarbeiter!$G$16=FALSE,0,IF(AND(Mitarbeiter!$E$16&lt;&gt;"",W$5+6&lt;Mitarbeiter!$E$16),0,IF(AND(Mitarbeiter!$F$16&lt;&gt;"",W$5&gt;Mitarbeiter!$F$16),0,IF(Planung!W18="",$C18,IF(ISNUMBER(Planung!W18),Planung!W18,IF(UPPER(Planung!W18)="H",$C18/2,0)))))))</f>
        <v>0</v>
      </c>
      <c r="X18" s="27">
        <f>IF($A18="",0,IF(Mitarbeiter!$G$16=FALSE,0,IF(AND(Mitarbeiter!$E$16&lt;&gt;"",X$5+6&lt;Mitarbeiter!$E$16),0,IF(AND(Mitarbeiter!$F$16&lt;&gt;"",X$5&gt;Mitarbeiter!$F$16),0,IF(Planung!X18="",$C18,IF(ISNUMBER(Planung!X18),Planung!X18,IF(UPPER(Planung!X18)="H",$C18/2,0)))))))</f>
        <v>0</v>
      </c>
      <c r="Y18" s="27">
        <f>IF($A18="",0,IF(Mitarbeiter!$G$16=FALSE,0,IF(AND(Mitarbeiter!$E$16&lt;&gt;"",Y$5+6&lt;Mitarbeiter!$E$16),0,IF(AND(Mitarbeiter!$F$16&lt;&gt;"",Y$5&gt;Mitarbeiter!$F$16),0,IF(Planung!Y18="",$C18,IF(ISNUMBER(Planung!Y18),Planung!Y18,IF(UPPER(Planung!Y18)="H",$C18/2,0)))))))</f>
        <v>0</v>
      </c>
      <c r="Z18" s="27">
        <f>IF($A18="",0,IF(Mitarbeiter!$G$16=FALSE,0,IF(AND(Mitarbeiter!$E$16&lt;&gt;"",Z$5+6&lt;Mitarbeiter!$E$16),0,IF(AND(Mitarbeiter!$F$16&lt;&gt;"",Z$5&gt;Mitarbeiter!$F$16),0,IF(Planung!Z18="",$C18,IF(ISNUMBER(Planung!Z18),Planung!Z18,IF(UPPER(Planung!Z18)="H",$C18/2,0)))))))</f>
        <v>0</v>
      </c>
      <c r="AA18" s="27">
        <f>IF($A18="",0,IF(Mitarbeiter!$G$16=FALSE,0,IF(AND(Mitarbeiter!$E$16&lt;&gt;"",AA$5+6&lt;Mitarbeiter!$E$16),0,IF(AND(Mitarbeiter!$F$16&lt;&gt;"",AA$5&gt;Mitarbeiter!$F$16),0,IF(Planung!AA18="",$C18,IF(ISNUMBER(Planung!AA18),Planung!AA18,IF(UPPER(Planung!AA18)="H",$C18/2,0)))))))</f>
        <v>0</v>
      </c>
      <c r="AB18" s="27">
        <f>IF($A18="",0,IF(Mitarbeiter!$G$16=FALSE,0,IF(AND(Mitarbeiter!$E$16&lt;&gt;"",AB$5+6&lt;Mitarbeiter!$E$16),0,IF(AND(Mitarbeiter!$F$16&lt;&gt;"",AB$5&gt;Mitarbeiter!$F$16),0,IF(Planung!AB18="",$C18,IF(ISNUMBER(Planung!AB18),Planung!AB18,IF(UPPER(Planung!AB18)="H",$C18/2,0)))))))</f>
        <v>0</v>
      </c>
      <c r="AC18" s="27">
        <f>IF($A18="",0,IF(Mitarbeiter!$G$16=FALSE,0,IF(AND(Mitarbeiter!$E$16&lt;&gt;"",AC$5+6&lt;Mitarbeiter!$E$16),0,IF(AND(Mitarbeiter!$F$16&lt;&gt;"",AC$5&gt;Mitarbeiter!$F$16),0,IF(Planung!AC18="",$C18,IF(ISNUMBER(Planung!AC18),Planung!AC18,IF(UPPER(Planung!AC18)="H",$C18/2,0)))))))</f>
        <v>0</v>
      </c>
      <c r="AD18" s="27">
        <f>IF($A18="",0,IF(Mitarbeiter!$G$16=FALSE,0,IF(AND(Mitarbeiter!$E$16&lt;&gt;"",AD$5+6&lt;Mitarbeiter!$E$16),0,IF(AND(Mitarbeiter!$F$16&lt;&gt;"",AD$5&gt;Mitarbeiter!$F$16),0,IF(Planung!AD18="",$C18,IF(ISNUMBER(Planung!AD18),Planung!AD18,IF(UPPER(Planung!AD18)="H",$C18/2,0)))))))</f>
        <v>0</v>
      </c>
      <c r="AE18" s="27">
        <f>IF($A18="",0,IF(Mitarbeiter!$G$16=FALSE,0,IF(AND(Mitarbeiter!$E$16&lt;&gt;"",AE$5+6&lt;Mitarbeiter!$E$16),0,IF(AND(Mitarbeiter!$F$16&lt;&gt;"",AE$5&gt;Mitarbeiter!$F$16),0,IF(Planung!AE18="",$C18,IF(ISNUMBER(Planung!AE18),Planung!AE18,IF(UPPER(Planung!AE18)="H",$C18/2,0)))))))</f>
        <v>0</v>
      </c>
      <c r="AF18" s="27">
        <f>IF($A18="",0,IF(Mitarbeiter!$G$16=FALSE,0,IF(AND(Mitarbeiter!$E$16&lt;&gt;"",AF$5+6&lt;Mitarbeiter!$E$16),0,IF(AND(Mitarbeiter!$F$16&lt;&gt;"",AF$5&gt;Mitarbeiter!$F$16),0,IF(Planung!AF18="",$C18,IF(ISNUMBER(Planung!AF18),Planung!AF18,IF(UPPER(Planung!AF18)="H",$C18/2,0)))))))</f>
        <v>0</v>
      </c>
      <c r="AG18" s="27">
        <f>IF($A18="",0,IF(Mitarbeiter!$G$16=FALSE,0,IF(AND(Mitarbeiter!$E$16&lt;&gt;"",AG$5+6&lt;Mitarbeiter!$E$16),0,IF(AND(Mitarbeiter!$F$16&lt;&gt;"",AG$5&gt;Mitarbeiter!$F$16),0,IF(Planung!AG18="",$C18,IF(ISNUMBER(Planung!AG18),Planung!AG18,IF(UPPER(Planung!AG18)="H",$C18/2,0)))))))</f>
        <v>0</v>
      </c>
      <c r="AH18" s="27">
        <f>IF($A18="",0,IF(Mitarbeiter!$G$16=FALSE,0,IF(AND(Mitarbeiter!$E$16&lt;&gt;"",AH$5+6&lt;Mitarbeiter!$E$16),0,IF(AND(Mitarbeiter!$F$16&lt;&gt;"",AH$5&gt;Mitarbeiter!$F$16),0,IF(Planung!AH18="",$C18,IF(ISNUMBER(Planung!AH18),Planung!AH18,IF(UPPER(Planung!AH18)="H",$C18/2,0)))))))</f>
        <v>0</v>
      </c>
      <c r="AI18" s="27">
        <f>IF($A18="",0,IF(Mitarbeiter!$G$16=FALSE,0,IF(AND(Mitarbeiter!$E$16&lt;&gt;"",AI$5+6&lt;Mitarbeiter!$E$16),0,IF(AND(Mitarbeiter!$F$16&lt;&gt;"",AI$5&gt;Mitarbeiter!$F$16),0,IF(Planung!AI18="",$C18,IF(ISNUMBER(Planung!AI18),Planung!AI18,IF(UPPER(Planung!AI18)="H",$C18/2,0)))))))</f>
        <v>0</v>
      </c>
      <c r="AJ18" s="27">
        <f>IF($A18="",0,IF(Mitarbeiter!$G$16=FALSE,0,IF(AND(Mitarbeiter!$E$16&lt;&gt;"",AJ$5+6&lt;Mitarbeiter!$E$16),0,IF(AND(Mitarbeiter!$F$16&lt;&gt;"",AJ$5&gt;Mitarbeiter!$F$16),0,IF(Planung!AJ18="",$C18,IF(ISNUMBER(Planung!AJ18),Planung!AJ18,IF(UPPER(Planung!AJ18)="H",$C18/2,0)))))))</f>
        <v>0</v>
      </c>
      <c r="AK18" s="27">
        <f>IF($A18="",0,IF(Mitarbeiter!$G$16=FALSE,0,IF(AND(Mitarbeiter!$E$16&lt;&gt;"",AK$5+6&lt;Mitarbeiter!$E$16),0,IF(AND(Mitarbeiter!$F$16&lt;&gt;"",AK$5&gt;Mitarbeiter!$F$16),0,IF(Planung!AK18="",$C18,IF(ISNUMBER(Planung!AK18),Planung!AK18,IF(UPPER(Planung!AK18)="H",$C18/2,0)))))))</f>
        <v>0</v>
      </c>
      <c r="AL18" s="27">
        <f>IF($A18="",0,IF(Mitarbeiter!$G$16=FALSE,0,IF(AND(Mitarbeiter!$E$16&lt;&gt;"",AL$5+6&lt;Mitarbeiter!$E$16),0,IF(AND(Mitarbeiter!$F$16&lt;&gt;"",AL$5&gt;Mitarbeiter!$F$16),0,IF(Planung!AL18="",$C18,IF(ISNUMBER(Planung!AL18),Planung!AL18,IF(UPPER(Planung!AL18)="H",$C18/2,0)))))))</f>
        <v>0</v>
      </c>
      <c r="AM18" s="27">
        <f>IF($A18="",0,IF(Mitarbeiter!$G$16=FALSE,0,IF(AND(Mitarbeiter!$E$16&lt;&gt;"",AM$5+6&lt;Mitarbeiter!$E$16),0,IF(AND(Mitarbeiter!$F$16&lt;&gt;"",AM$5&gt;Mitarbeiter!$F$16),0,IF(Planung!AM18="",$C18,IF(ISNUMBER(Planung!AM18),Planung!AM18,IF(UPPER(Planung!AM18)="H",$C18/2,0)))))))</f>
        <v>0</v>
      </c>
      <c r="AN18" s="27">
        <f>IF($A18="",0,IF(Mitarbeiter!$G$16=FALSE,0,IF(AND(Mitarbeiter!$E$16&lt;&gt;"",AN$5+6&lt;Mitarbeiter!$E$16),0,IF(AND(Mitarbeiter!$F$16&lt;&gt;"",AN$5&gt;Mitarbeiter!$F$16),0,IF(Planung!AN18="",$C18,IF(ISNUMBER(Planung!AN18),Planung!AN18,IF(UPPER(Planung!AN18)="H",$C18/2,0)))))))</f>
        <v>0</v>
      </c>
      <c r="AO18" s="27">
        <f>IF($A18="",0,IF(Mitarbeiter!$G$16=FALSE,0,IF(AND(Mitarbeiter!$E$16&lt;&gt;"",AO$5+6&lt;Mitarbeiter!$E$16),0,IF(AND(Mitarbeiter!$F$16&lt;&gt;"",AO$5&gt;Mitarbeiter!$F$16),0,IF(Planung!AO18="",$C18,IF(ISNUMBER(Planung!AO18),Planung!AO18,IF(UPPER(Planung!AO18)="H",$C18/2,0)))))))</f>
        <v>0</v>
      </c>
      <c r="AP18" s="27">
        <f>IF($A18="",0,IF(Mitarbeiter!$G$16=FALSE,0,IF(AND(Mitarbeiter!$E$16&lt;&gt;"",AP$5+6&lt;Mitarbeiter!$E$16),0,IF(AND(Mitarbeiter!$F$16&lt;&gt;"",AP$5&gt;Mitarbeiter!$F$16),0,IF(Planung!AP18="",$C18,IF(ISNUMBER(Planung!AP18),Planung!AP18,IF(UPPER(Planung!AP18)="H",$C18/2,0)))))))</f>
        <v>0</v>
      </c>
      <c r="AQ18" s="27">
        <f>IF($A18="",0,IF(Mitarbeiter!$G$16=FALSE,0,IF(AND(Mitarbeiter!$E$16&lt;&gt;"",AQ$5+6&lt;Mitarbeiter!$E$16),0,IF(AND(Mitarbeiter!$F$16&lt;&gt;"",AQ$5&gt;Mitarbeiter!$F$16),0,IF(Planung!AQ18="",$C18,IF(ISNUMBER(Planung!AQ18),Planung!AQ18,IF(UPPER(Planung!AQ18)="H",$C18/2,0)))))))</f>
        <v>0</v>
      </c>
      <c r="AR18" s="27">
        <f>IF($A18="",0,IF(Mitarbeiter!$G$16=FALSE,0,IF(AND(Mitarbeiter!$E$16&lt;&gt;"",AR$5+6&lt;Mitarbeiter!$E$16),0,IF(AND(Mitarbeiter!$F$16&lt;&gt;"",AR$5&gt;Mitarbeiter!$F$16),0,IF(Planung!AR18="",$C18,IF(ISNUMBER(Planung!AR18),Planung!AR18,IF(UPPER(Planung!AR18)="H",$C18/2,0)))))))</f>
        <v>0</v>
      </c>
      <c r="AS18" s="27">
        <f>IF($A18="",0,IF(Mitarbeiter!$G$16=FALSE,0,IF(AND(Mitarbeiter!$E$16&lt;&gt;"",AS$5+6&lt;Mitarbeiter!$E$16),0,IF(AND(Mitarbeiter!$F$16&lt;&gt;"",AS$5&gt;Mitarbeiter!$F$16),0,IF(Planung!AS18="",$C18,IF(ISNUMBER(Planung!AS18),Planung!AS18,IF(UPPER(Planung!AS18)="H",$C18/2,0)))))))</f>
        <v>0</v>
      </c>
      <c r="AT18" s="27">
        <f>IF($A18="",0,IF(Mitarbeiter!$G$16=FALSE,0,IF(AND(Mitarbeiter!$E$16&lt;&gt;"",AT$5+6&lt;Mitarbeiter!$E$16),0,IF(AND(Mitarbeiter!$F$16&lt;&gt;"",AT$5&gt;Mitarbeiter!$F$16),0,IF(Planung!AT18="",$C18,IF(ISNUMBER(Planung!AT18),Planung!AT18,IF(UPPER(Planung!AT18)="H",$C18/2,0)))))))</f>
        <v>0</v>
      </c>
      <c r="AU18" s="27">
        <f>IF($A18="",0,IF(Mitarbeiter!$G$16=FALSE,0,IF(AND(Mitarbeiter!$E$16&lt;&gt;"",AU$5+6&lt;Mitarbeiter!$E$16),0,IF(AND(Mitarbeiter!$F$16&lt;&gt;"",AU$5&gt;Mitarbeiter!$F$16),0,IF(Planung!AU18="",$C18,IF(ISNUMBER(Planung!AU18),Planung!AU18,IF(UPPER(Planung!AU18)="H",$C18/2,0)))))))</f>
        <v>0</v>
      </c>
      <c r="AV18" s="27">
        <f>IF($A18="",0,IF(Mitarbeiter!$G$16=FALSE,0,IF(AND(Mitarbeiter!$E$16&lt;&gt;"",AV$5+6&lt;Mitarbeiter!$E$16),0,IF(AND(Mitarbeiter!$F$16&lt;&gt;"",AV$5&gt;Mitarbeiter!$F$16),0,IF(Planung!AV18="",$C18,IF(ISNUMBER(Planung!AV18),Planung!AV18,IF(UPPER(Planung!AV18)="H",$C18/2,0)))))))</f>
        <v>0</v>
      </c>
      <c r="AW18" s="27">
        <f>IF($A18="",0,IF(Mitarbeiter!$G$16=FALSE,0,IF(AND(Mitarbeiter!$E$16&lt;&gt;"",AW$5+6&lt;Mitarbeiter!$E$16),0,IF(AND(Mitarbeiter!$F$16&lt;&gt;"",AW$5&gt;Mitarbeiter!$F$16),0,IF(Planung!AW18="",$C18,IF(ISNUMBER(Planung!AW18),Planung!AW18,IF(UPPER(Planung!AW18)="H",$C18/2,0)))))))</f>
        <v>0</v>
      </c>
      <c r="AX18" s="27">
        <f>IF($A18="",0,IF(Mitarbeiter!$G$16=FALSE,0,IF(AND(Mitarbeiter!$E$16&lt;&gt;"",AX$5+6&lt;Mitarbeiter!$E$16),0,IF(AND(Mitarbeiter!$F$16&lt;&gt;"",AX$5&gt;Mitarbeiter!$F$16),0,IF(Planung!AX18="",$C18,IF(ISNUMBER(Planung!AX18),Planung!AX18,IF(UPPER(Planung!AX18)="H",$C18/2,0)))))))</f>
        <v>0</v>
      </c>
      <c r="AY18" s="27">
        <f>IF($A18="",0,IF(Mitarbeiter!$G$16=FALSE,0,IF(AND(Mitarbeiter!$E$16&lt;&gt;"",AY$5+6&lt;Mitarbeiter!$E$16),0,IF(AND(Mitarbeiter!$F$16&lt;&gt;"",AY$5&gt;Mitarbeiter!$F$16),0,IF(Planung!AY18="",$C18,IF(ISNUMBER(Planung!AY18),Planung!AY18,IF(UPPER(Planung!AY18)="H",$C18/2,0)))))))</f>
        <v>0</v>
      </c>
      <c r="AZ18" s="27">
        <f>IF($A18="",0,IF(Mitarbeiter!$G$16=FALSE,0,IF(AND(Mitarbeiter!$E$16&lt;&gt;"",AZ$5+6&lt;Mitarbeiter!$E$16),0,IF(AND(Mitarbeiter!$F$16&lt;&gt;"",AZ$5&gt;Mitarbeiter!$F$16),0,IF(Planung!AZ18="",$C18,IF(ISNUMBER(Planung!AZ18),Planung!AZ18,IF(UPPER(Planung!AZ18)="H",$C18/2,0)))))))</f>
        <v>0</v>
      </c>
      <c r="BA18" s="27">
        <f>IF($A18="",0,IF(Mitarbeiter!$G$16=FALSE,0,IF(AND(Mitarbeiter!$E$16&lt;&gt;"",BA$5+6&lt;Mitarbeiter!$E$16),0,IF(AND(Mitarbeiter!$F$16&lt;&gt;"",BA$5&gt;Mitarbeiter!$F$16),0,IF(Planung!BA18="",$C18,IF(ISNUMBER(Planung!BA18),Planung!BA18,IF(UPPER(Planung!BA18)="H",$C18/2,0)))))))</f>
        <v>0</v>
      </c>
      <c r="BB18" s="27">
        <f>IF($A18="",0,IF(Mitarbeiter!$G$16=FALSE,0,IF(AND(Mitarbeiter!$E$16&lt;&gt;"",BB$5+6&lt;Mitarbeiter!$E$16),0,IF(AND(Mitarbeiter!$F$16&lt;&gt;"",BB$5&gt;Mitarbeiter!$F$16),0,IF(Planung!BB18="",$C18,IF(ISNUMBER(Planung!BB18),Planung!BB18,IF(UPPER(Planung!BB18)="H",$C18/2,0)))))))</f>
        <v>0</v>
      </c>
      <c r="BC18" s="27">
        <f>IF($A18="",0,IF(Mitarbeiter!$G$16=FALSE,0,IF(AND(Mitarbeiter!$E$16&lt;&gt;"",BC$5+6&lt;Mitarbeiter!$E$16),0,IF(AND(Mitarbeiter!$F$16&lt;&gt;"",BC$5&gt;Mitarbeiter!$F$16),0,IF(Planung!BC18="",$C18,IF(ISNUMBER(Planung!BC18),Planung!BC18,IF(UPPER(Planung!BC18)="H",$C18/2,0)))))))</f>
        <v>0</v>
      </c>
      <c r="BD18" s="27">
        <f>IF($A18="",0,IF(Mitarbeiter!$G$16=FALSE,0,IF(AND(Mitarbeiter!$E$16&lt;&gt;"",BD$5+6&lt;Mitarbeiter!$E$16),0,IF(AND(Mitarbeiter!$F$16&lt;&gt;"",BD$5&gt;Mitarbeiter!$F$16),0,IF(Planung!BD18="",$C18,IF(ISNUMBER(Planung!BD18),Planung!BD18,IF(UPPER(Planung!BD18)="H",$C18/2,0)))))))</f>
        <v>0</v>
      </c>
      <c r="BE18" s="27">
        <f>IF($A18="",0,IF(Mitarbeiter!$G$16=FALSE,0,IF(AND(Mitarbeiter!$E$16&lt;&gt;"",BE$5+6&lt;Mitarbeiter!$E$16),0,IF(AND(Mitarbeiter!$F$16&lt;&gt;"",BE$5&gt;Mitarbeiter!$F$16),0,IF(Planung!BE18="",$C18,IF(ISNUMBER(Planung!BE18),Planung!BE18,IF(UPPER(Planung!BE18)="H",$C18/2,0)))))))</f>
        <v>0</v>
      </c>
      <c r="BF18" s="27">
        <f>IF($A18="",0,IF(Mitarbeiter!$G$16=FALSE,0,IF(AND(Mitarbeiter!$E$16&lt;&gt;"",BF$5+6&lt;Mitarbeiter!$E$16),0,IF(AND(Mitarbeiter!$F$16&lt;&gt;"",BF$5&gt;Mitarbeiter!$F$16),0,IF(Planung!BF18="",$C18,IF(ISNUMBER(Planung!BF18),Planung!BF18,IF(UPPER(Planung!BF18)="H",$C18/2,0)))))))</f>
        <v>0</v>
      </c>
      <c r="BG18" s="27">
        <f>IF($A18="",0,IF(Mitarbeiter!$G$16=FALSE,0,IF(AND(Mitarbeiter!$E$16&lt;&gt;"",BG$5+6&lt;Mitarbeiter!$E$16),0,IF(AND(Mitarbeiter!$F$16&lt;&gt;"",BG$5&gt;Mitarbeiter!$F$16),0,IF(Planung!BG18="",$C18,IF(ISNUMBER(Planung!BG18),Planung!BG18,IF(UPPER(Planung!BG18)="H",$C18/2,0)))))))</f>
        <v>0</v>
      </c>
      <c r="BH18" s="27">
        <f>IF($A18="",0,IF(Mitarbeiter!$G$16=FALSE,0,IF(AND(Mitarbeiter!$E$16&lt;&gt;"",BH$5+6&lt;Mitarbeiter!$E$16),0,IF(AND(Mitarbeiter!$F$16&lt;&gt;"",BH$5&gt;Mitarbeiter!$F$16),0,IF(Planung!BH18="",$C18,IF(ISNUMBER(Planung!BH18),Planung!BH18,IF(UPPER(Planung!BH18)="H",$C18/2,0)))))))</f>
        <v>0</v>
      </c>
      <c r="BI18" s="27">
        <f>IF($A18="",0,IF(Mitarbeiter!$G$16=FALSE,0,IF(AND(Mitarbeiter!$E$16&lt;&gt;"",BI$5+6&lt;Mitarbeiter!$E$16),0,IF(AND(Mitarbeiter!$F$16&lt;&gt;"",BI$5&gt;Mitarbeiter!$F$16),0,IF(Planung!BI18="",$C18,IF(ISNUMBER(Planung!BI18),Planung!BI18,IF(UPPER(Planung!BI18)="H",$C18/2,0)))))))</f>
        <v>0</v>
      </c>
      <c r="BJ18" s="27">
        <f>IF($A18="",0,IF(Mitarbeiter!$G$16=FALSE,0,IF(AND(Mitarbeiter!$E$16&lt;&gt;"",BJ$5+6&lt;Mitarbeiter!$E$16),0,IF(AND(Mitarbeiter!$F$16&lt;&gt;"",BJ$5&gt;Mitarbeiter!$F$16),0,IF(Planung!BJ18="",$C18,IF(ISNUMBER(Planung!BJ18),Planung!BJ18,IF(UPPER(Planung!BJ18)="H",$C18/2,0)))))))</f>
        <v>0</v>
      </c>
      <c r="BK18" s="27">
        <f>IF($A18="",0,IF(Mitarbeiter!$G$16=FALSE,0,IF(AND(Mitarbeiter!$E$16&lt;&gt;"",BK$5+6&lt;Mitarbeiter!$E$16),0,IF(AND(Mitarbeiter!$F$16&lt;&gt;"",BK$5&gt;Mitarbeiter!$F$16),0,IF(Planung!BK18="",$C18,IF(ISNUMBER(Planung!BK18),Planung!BK18,IF(UPPER(Planung!BK18)="H",$C18/2,0)))))))</f>
        <v>0</v>
      </c>
      <c r="BL18" s="27">
        <f>IF($A18="",0,IF(Mitarbeiter!$G$16=FALSE,0,IF(AND(Mitarbeiter!$E$16&lt;&gt;"",BL$5+6&lt;Mitarbeiter!$E$16),0,IF(AND(Mitarbeiter!$F$16&lt;&gt;"",BL$5&gt;Mitarbeiter!$F$16),0,IF(Planung!BL18="",$C18,IF(ISNUMBER(Planung!BL18),Planung!BL18,IF(UPPER(Planung!BL18)="H",$C18/2,0)))))))</f>
        <v>0</v>
      </c>
      <c r="BM18" s="27">
        <f>IF($A18="",0,IF(Mitarbeiter!$G$16=FALSE,0,IF(AND(Mitarbeiter!$E$16&lt;&gt;"",BM$5+6&lt;Mitarbeiter!$E$16),0,IF(AND(Mitarbeiter!$F$16&lt;&gt;"",BM$5&gt;Mitarbeiter!$F$16),0,IF(Planung!BM18="",$C18,IF(ISNUMBER(Planung!BM18),Planung!BM18,IF(UPPER(Planung!BM18)="H",$C18/2,0)))))))</f>
        <v>0</v>
      </c>
      <c r="BN18" s="27">
        <f>IF($A18="",0,IF(Mitarbeiter!$G$16=FALSE,0,IF(AND(Mitarbeiter!$E$16&lt;&gt;"",BN$5+6&lt;Mitarbeiter!$E$16),0,IF(AND(Mitarbeiter!$F$16&lt;&gt;"",BN$5&gt;Mitarbeiter!$F$16),0,IF(Planung!BN18="",$C18,IF(ISNUMBER(Planung!BN18),Planung!BN18,IF(UPPER(Planung!BN18)="H",$C18/2,0)))))))</f>
        <v>0</v>
      </c>
      <c r="BO18" s="27">
        <f>IF($A18="",0,IF(Mitarbeiter!$G$16=FALSE,0,IF(AND(Mitarbeiter!$E$16&lt;&gt;"",BO$5+6&lt;Mitarbeiter!$E$16),0,IF(AND(Mitarbeiter!$F$16&lt;&gt;"",BO$5&gt;Mitarbeiter!$F$16),0,IF(Planung!BO18="",$C18,IF(ISNUMBER(Planung!BO18),Planung!BO18,IF(UPPER(Planung!BO18)="H",$C18/2,0)))))))</f>
        <v>0</v>
      </c>
      <c r="BP18" s="27">
        <f>IF($A18="",0,IF(Mitarbeiter!$G$16=FALSE,0,IF(AND(Mitarbeiter!$E$16&lt;&gt;"",BP$5+6&lt;Mitarbeiter!$E$16),0,IF(AND(Mitarbeiter!$F$16&lt;&gt;"",BP$5&gt;Mitarbeiter!$F$16),0,IF(Planung!BP18="",$C18,IF(ISNUMBER(Planung!BP18),Planung!BP18,IF(UPPER(Planung!BP18)="H",$C18/2,0)))))))</f>
        <v>0</v>
      </c>
      <c r="BQ18" s="27">
        <f>IF($A18="",0,IF(Mitarbeiter!$G$16=FALSE,0,IF(AND(Mitarbeiter!$E$16&lt;&gt;"",BQ$5+6&lt;Mitarbeiter!$E$16),0,IF(AND(Mitarbeiter!$F$16&lt;&gt;"",BQ$5&gt;Mitarbeiter!$F$16),0,IF(Planung!BQ18="",$C18,IF(ISNUMBER(Planung!BQ18),Planung!BQ18,IF(UPPER(Planung!BQ18)="H",$C18/2,0)))))))</f>
        <v>0</v>
      </c>
      <c r="BR18" s="27">
        <f>IF($A18="",0,IF(Mitarbeiter!$G$16=FALSE,0,IF(AND(Mitarbeiter!$E$16&lt;&gt;"",BR$5+6&lt;Mitarbeiter!$E$16),0,IF(AND(Mitarbeiter!$F$16&lt;&gt;"",BR$5&gt;Mitarbeiter!$F$16),0,IF(Planung!BR18="",$C18,IF(ISNUMBER(Planung!BR18),Planung!BR18,IF(UPPER(Planung!BR18)="H",$C18/2,0)))))))</f>
        <v>0</v>
      </c>
      <c r="BS18" s="27">
        <f>IF($A18="",0,IF(Mitarbeiter!$G$16=FALSE,0,IF(AND(Mitarbeiter!$E$16&lt;&gt;"",BS$5+6&lt;Mitarbeiter!$E$16),0,IF(AND(Mitarbeiter!$F$16&lt;&gt;"",BS$5&gt;Mitarbeiter!$F$16),0,IF(Planung!BS18="",$C18,IF(ISNUMBER(Planung!BS18),Planung!BS18,IF(UPPER(Planung!BS18)="H",$C18/2,0)))))))</f>
        <v>0</v>
      </c>
      <c r="BT18" s="27">
        <f>IF($A18="",0,IF(Mitarbeiter!$G$16=FALSE,0,IF(AND(Mitarbeiter!$E$16&lt;&gt;"",BT$5+6&lt;Mitarbeiter!$E$16),0,IF(AND(Mitarbeiter!$F$16&lt;&gt;"",BT$5&gt;Mitarbeiter!$F$16),0,IF(Planung!BT18="",$C18,IF(ISNUMBER(Planung!BT18),Planung!BT18,IF(UPPER(Planung!BT18)="H",$C18/2,0)))))))</f>
        <v>0</v>
      </c>
      <c r="BU18" s="27">
        <f>IF($A18="",0,IF(Mitarbeiter!$G$16=FALSE,0,IF(AND(Mitarbeiter!$E$16&lt;&gt;"",BU$5+6&lt;Mitarbeiter!$E$16),0,IF(AND(Mitarbeiter!$F$16&lt;&gt;"",BU$5&gt;Mitarbeiter!$F$16),0,IF(Planung!BU18="",$C18,IF(ISNUMBER(Planung!BU18),Planung!BU18,IF(UPPER(Planung!BU18)="H",$C18/2,0)))))))</f>
        <v>0</v>
      </c>
      <c r="BV18" s="27">
        <f>IF($A18="",0,IF(Mitarbeiter!$G$16=FALSE,0,IF(AND(Mitarbeiter!$E$16&lt;&gt;"",BV$5+6&lt;Mitarbeiter!$E$16),0,IF(AND(Mitarbeiter!$F$16&lt;&gt;"",BV$5&gt;Mitarbeiter!$F$16),0,IF(Planung!BV18="",$C18,IF(ISNUMBER(Planung!BV18),Planung!BV18,IF(UPPER(Planung!BV18)="H",$C18/2,0)))))))</f>
        <v>0</v>
      </c>
      <c r="BW18" s="27">
        <f>IF($A18="",0,IF(Mitarbeiter!$G$16=FALSE,0,IF(AND(Mitarbeiter!$E$16&lt;&gt;"",BW$5+6&lt;Mitarbeiter!$E$16),0,IF(AND(Mitarbeiter!$F$16&lt;&gt;"",BW$5&gt;Mitarbeiter!$F$16),0,IF(Planung!BW18="",$C18,IF(ISNUMBER(Planung!BW18),Planung!BW18,IF(UPPER(Planung!BW18)="H",$C18/2,0)))))))</f>
        <v>0</v>
      </c>
      <c r="BX18" s="27">
        <f>IF($A18="",0,IF(Mitarbeiter!$G$16=FALSE,0,IF(AND(Mitarbeiter!$E$16&lt;&gt;"",BX$5+6&lt;Mitarbeiter!$E$16),0,IF(AND(Mitarbeiter!$F$16&lt;&gt;"",BX$5&gt;Mitarbeiter!$F$16),0,IF(Planung!BX18="",$C18,IF(ISNUMBER(Planung!BX18),Planung!BX18,IF(UPPER(Planung!BX18)="H",$C18/2,0)))))))</f>
        <v>0</v>
      </c>
      <c r="BY18" s="27">
        <f>IF($A18="",0,IF(Mitarbeiter!$G$16=FALSE,0,IF(AND(Mitarbeiter!$E$16&lt;&gt;"",BY$5+6&lt;Mitarbeiter!$E$16),0,IF(AND(Mitarbeiter!$F$16&lt;&gt;"",BY$5&gt;Mitarbeiter!$F$16),0,IF(Planung!BY18="",$C18,IF(ISNUMBER(Planung!BY18),Planung!BY18,IF(UPPER(Planung!BY18)="H",$C18/2,0)))))))</f>
        <v>0</v>
      </c>
      <c r="BZ18" s="27">
        <f>IF($A18="",0,IF(Mitarbeiter!$G$16=FALSE,0,IF(AND(Mitarbeiter!$E$16&lt;&gt;"",BZ$5+6&lt;Mitarbeiter!$E$16),0,IF(AND(Mitarbeiter!$F$16&lt;&gt;"",BZ$5&gt;Mitarbeiter!$F$16),0,IF(Planung!BZ18="",$C18,IF(ISNUMBER(Planung!BZ18),Planung!BZ18,IF(UPPER(Planung!BZ18)="H",$C18/2,0)))))))</f>
        <v>0</v>
      </c>
      <c r="CA18" s="27">
        <f>IF($A18="",0,IF(Mitarbeiter!$G$16=FALSE,0,IF(AND(Mitarbeiter!$E$16&lt;&gt;"",CA$5+6&lt;Mitarbeiter!$E$16),0,IF(AND(Mitarbeiter!$F$16&lt;&gt;"",CA$5&gt;Mitarbeiter!$F$16),0,IF(Planung!CA18="",$C18,IF(ISNUMBER(Planung!CA18),Planung!CA18,IF(UPPER(Planung!CA18)="H",$C18/2,0)))))))</f>
        <v>0</v>
      </c>
      <c r="CB18" s="27">
        <f>IF($A18="",0,IF(Mitarbeiter!$G$16=FALSE,0,IF(AND(Mitarbeiter!$E$16&lt;&gt;"",CB$5+6&lt;Mitarbeiter!$E$16),0,IF(AND(Mitarbeiter!$F$16&lt;&gt;"",CB$5&gt;Mitarbeiter!$F$16),0,IF(Planung!CB18="",$C18,IF(ISNUMBER(Planung!CB18),Planung!CB18,IF(UPPER(Planung!CB18)="H",$C18/2,0)))))))</f>
        <v>0</v>
      </c>
      <c r="CC18" s="27">
        <f>IF($A18="",0,IF(Mitarbeiter!$G$16=FALSE,0,IF(AND(Mitarbeiter!$E$16&lt;&gt;"",CC$5+6&lt;Mitarbeiter!$E$16),0,IF(AND(Mitarbeiter!$F$16&lt;&gt;"",CC$5&gt;Mitarbeiter!$F$16),0,IF(Planung!CC18="",$C18,IF(ISNUMBER(Planung!CC18),Planung!CC18,IF(UPPER(Planung!CC18)="H",$C18/2,0)))))))</f>
        <v>0</v>
      </c>
      <c r="CD18" s="27">
        <f>IF($A18="",0,IF(Mitarbeiter!$G$16=FALSE,0,IF(AND(Mitarbeiter!$E$16&lt;&gt;"",CD$5+6&lt;Mitarbeiter!$E$16),0,IF(AND(Mitarbeiter!$F$16&lt;&gt;"",CD$5&gt;Mitarbeiter!$F$16),0,IF(Planung!CD18="",$C18,IF(ISNUMBER(Planung!CD18),Planung!CD18,IF(UPPER(Planung!CD18)="H",$C18/2,0)))))))</f>
        <v>0</v>
      </c>
      <c r="CE18" s="27">
        <f>IF($A18="",0,IF(Mitarbeiter!$G$16=FALSE,0,IF(AND(Mitarbeiter!$E$16&lt;&gt;"",CE$5+6&lt;Mitarbeiter!$E$16),0,IF(AND(Mitarbeiter!$F$16&lt;&gt;"",CE$5&gt;Mitarbeiter!$F$16),0,IF(Planung!CE18="",$C18,IF(ISNUMBER(Planung!CE18),Planung!CE18,IF(UPPER(Planung!CE18)="H",$C18/2,0)))))))</f>
        <v>0</v>
      </c>
      <c r="CF18" s="27">
        <f>IF($A18="",0,IF(Mitarbeiter!$G$16=FALSE,0,IF(AND(Mitarbeiter!$E$16&lt;&gt;"",CF$5+6&lt;Mitarbeiter!$E$16),0,IF(AND(Mitarbeiter!$F$16&lt;&gt;"",CF$5&gt;Mitarbeiter!$F$16),0,IF(Planung!CF18="",$C18,IF(ISNUMBER(Planung!CF18),Planung!CF18,IF(UPPER(Planung!CF18)="H",$C18/2,0)))))))</f>
        <v>0</v>
      </c>
      <c r="CG18" s="27">
        <f>IF($A18="",0,IF(Mitarbeiter!$G$16=FALSE,0,IF(AND(Mitarbeiter!$E$16&lt;&gt;"",CG$5+6&lt;Mitarbeiter!$E$16),0,IF(AND(Mitarbeiter!$F$16&lt;&gt;"",CG$5&gt;Mitarbeiter!$F$16),0,IF(Planung!CG18="",$C18,IF(ISNUMBER(Planung!CG18),Planung!CG18,IF(UPPER(Planung!CG18)="H",$C18/2,0)))))))</f>
        <v>0</v>
      </c>
      <c r="CH18" s="27">
        <f>IF($A18="",0,IF(Mitarbeiter!$G$16=FALSE,0,IF(AND(Mitarbeiter!$E$16&lt;&gt;"",CH$5+6&lt;Mitarbeiter!$E$16),0,IF(AND(Mitarbeiter!$F$16&lt;&gt;"",CH$5&gt;Mitarbeiter!$F$16),0,IF(Planung!CH18="",$C18,IF(ISNUMBER(Planung!CH18),Planung!CH18,IF(UPPER(Planung!CH18)="H",$C18/2,0)))))))</f>
        <v>0</v>
      </c>
      <c r="CI18" s="27">
        <f>IF($A18="",0,IF(Mitarbeiter!$G$16=FALSE,0,IF(AND(Mitarbeiter!$E$16&lt;&gt;"",CI$5+6&lt;Mitarbeiter!$E$16),0,IF(AND(Mitarbeiter!$F$16&lt;&gt;"",CI$5&gt;Mitarbeiter!$F$16),0,IF(Planung!CI18="",$C18,IF(ISNUMBER(Planung!CI18),Planung!CI18,IF(UPPER(Planung!CI18)="H",$C18/2,0)))))))</f>
        <v>0</v>
      </c>
      <c r="CJ18" s="27">
        <f>IF($A18="",0,IF(Mitarbeiter!$G$16=FALSE,0,IF(AND(Mitarbeiter!$E$16&lt;&gt;"",CJ$5+6&lt;Mitarbeiter!$E$16),0,IF(AND(Mitarbeiter!$F$16&lt;&gt;"",CJ$5&gt;Mitarbeiter!$F$16),0,IF(Planung!CJ18="",$C18,IF(ISNUMBER(Planung!CJ18),Planung!CJ18,IF(UPPER(Planung!CJ18)="H",$C18/2,0)))))))</f>
        <v>0</v>
      </c>
      <c r="CK18" s="27">
        <f>IF($A18="",0,IF(Mitarbeiter!$G$16=FALSE,0,IF(AND(Mitarbeiter!$E$16&lt;&gt;"",CK$5+6&lt;Mitarbeiter!$E$16),0,IF(AND(Mitarbeiter!$F$16&lt;&gt;"",CK$5&gt;Mitarbeiter!$F$16),0,IF(Planung!CK18="",$C18,IF(ISNUMBER(Planung!CK18),Planung!CK18,IF(UPPER(Planung!CK18)="H",$C18/2,0)))))))</f>
        <v>0</v>
      </c>
      <c r="CL18" s="27">
        <f>IF($A18="",0,IF(Mitarbeiter!$G$16=FALSE,0,IF(AND(Mitarbeiter!$E$16&lt;&gt;"",CL$5+6&lt;Mitarbeiter!$E$16),0,IF(AND(Mitarbeiter!$F$16&lt;&gt;"",CL$5&gt;Mitarbeiter!$F$16),0,IF(Planung!CL18="",$C18,IF(ISNUMBER(Planung!CL18),Planung!CL18,IF(UPPER(Planung!CL18)="H",$C18/2,0)))))))</f>
        <v>0</v>
      </c>
      <c r="CM18" s="27">
        <f>IF($A18="",0,IF(Mitarbeiter!$G$16=FALSE,0,IF(AND(Mitarbeiter!$E$16&lt;&gt;"",CM$5+6&lt;Mitarbeiter!$E$16),0,IF(AND(Mitarbeiter!$F$16&lt;&gt;"",CM$5&gt;Mitarbeiter!$F$16),0,IF(Planung!CM18="",$C18,IF(ISNUMBER(Planung!CM18),Planung!CM18,IF(UPPER(Planung!CM18)="H",$C18/2,0)))))))</f>
        <v>0</v>
      </c>
      <c r="CN18" s="27">
        <f>IF($A18="",0,IF(Mitarbeiter!$G$16=FALSE,0,IF(AND(Mitarbeiter!$E$16&lt;&gt;"",CN$5+6&lt;Mitarbeiter!$E$16),0,IF(AND(Mitarbeiter!$F$16&lt;&gt;"",CN$5&gt;Mitarbeiter!$F$16),0,IF(Planung!CN18="",$C18,IF(ISNUMBER(Planung!CN18),Planung!CN18,IF(UPPER(Planung!CN18)="H",$C18/2,0)))))))</f>
        <v>0</v>
      </c>
      <c r="CO18" s="27">
        <f>IF($A18="",0,IF(Mitarbeiter!$G$16=FALSE,0,IF(AND(Mitarbeiter!$E$16&lt;&gt;"",CO$5+6&lt;Mitarbeiter!$E$16),0,IF(AND(Mitarbeiter!$F$16&lt;&gt;"",CO$5&gt;Mitarbeiter!$F$16),0,IF(Planung!CO18="",$C18,IF(ISNUMBER(Planung!CO18),Planung!CO18,IF(UPPER(Planung!CO18)="H",$C18/2,0)))))))</f>
        <v>0</v>
      </c>
      <c r="CP18" s="27">
        <f>IF($A18="",0,IF(Mitarbeiter!$G$16=FALSE,0,IF(AND(Mitarbeiter!$E$16&lt;&gt;"",CP$5+6&lt;Mitarbeiter!$E$16),0,IF(AND(Mitarbeiter!$F$16&lt;&gt;"",CP$5&gt;Mitarbeiter!$F$16),0,IF(Planung!CP18="",$C18,IF(ISNUMBER(Planung!CP18),Planung!CP18,IF(UPPER(Planung!CP18)="H",$C18/2,0)))))))</f>
        <v>0</v>
      </c>
      <c r="CQ18" s="27">
        <f>IF($A18="",0,IF(Mitarbeiter!$G$16=FALSE,0,IF(AND(Mitarbeiter!$E$16&lt;&gt;"",CQ$5+6&lt;Mitarbeiter!$E$16),0,IF(AND(Mitarbeiter!$F$16&lt;&gt;"",CQ$5&gt;Mitarbeiter!$F$16),0,IF(Planung!CQ18="",$C18,IF(ISNUMBER(Planung!CQ18),Planung!CQ18,IF(UPPER(Planung!CQ18)="H",$C18/2,0)))))))</f>
        <v>0</v>
      </c>
      <c r="CR18" s="27">
        <f>IF($A18="",0,IF(Mitarbeiter!$G$16=FALSE,0,IF(AND(Mitarbeiter!$E$16&lt;&gt;"",CR$5+6&lt;Mitarbeiter!$E$16),0,IF(AND(Mitarbeiter!$F$16&lt;&gt;"",CR$5&gt;Mitarbeiter!$F$16),0,IF(Planung!CR18="",$C18,IF(ISNUMBER(Planung!CR18),Planung!CR18,IF(UPPER(Planung!CR18)="H",$C18/2,0)))))))</f>
        <v>0</v>
      </c>
      <c r="CS18" s="27">
        <f>IF($A18="",0,IF(Mitarbeiter!$G$16=FALSE,0,IF(AND(Mitarbeiter!$E$16&lt;&gt;"",CS$5+6&lt;Mitarbeiter!$E$16),0,IF(AND(Mitarbeiter!$F$16&lt;&gt;"",CS$5&gt;Mitarbeiter!$F$16),0,IF(Planung!CS18="",$C18,IF(ISNUMBER(Planung!CS18),Planung!CS18,IF(UPPER(Planung!CS18)="H",$C18/2,0)))))))</f>
        <v>0</v>
      </c>
      <c r="CT18" s="27">
        <f>IF($A18="",0,IF(Mitarbeiter!$G$16=FALSE,0,IF(AND(Mitarbeiter!$E$16&lt;&gt;"",CT$5+6&lt;Mitarbeiter!$E$16),0,IF(AND(Mitarbeiter!$F$16&lt;&gt;"",CT$5&gt;Mitarbeiter!$F$16),0,IF(Planung!CT18="",$C18,IF(ISNUMBER(Planung!CT18),Planung!CT18,IF(UPPER(Planung!CT18)="H",$C18/2,0)))))))</f>
        <v>0</v>
      </c>
      <c r="CU18" s="27">
        <f>IF($A18="",0,IF(Mitarbeiter!$G$16=FALSE,0,IF(AND(Mitarbeiter!$E$16&lt;&gt;"",CU$5+6&lt;Mitarbeiter!$E$16),0,IF(AND(Mitarbeiter!$F$16&lt;&gt;"",CU$5&gt;Mitarbeiter!$F$16),0,IF(Planung!CU18="",$C18,IF(ISNUMBER(Planung!CU18),Planung!CU18,IF(UPPER(Planung!CU18)="H",$C18/2,0)))))))</f>
        <v>0</v>
      </c>
      <c r="CV18" s="27">
        <f>IF($A18="",0,IF(Mitarbeiter!$G$16=FALSE,0,IF(AND(Mitarbeiter!$E$16&lt;&gt;"",CV$5+6&lt;Mitarbeiter!$E$16),0,IF(AND(Mitarbeiter!$F$16&lt;&gt;"",CV$5&gt;Mitarbeiter!$F$16),0,IF(Planung!CV18="",$C18,IF(ISNUMBER(Planung!CV18),Planung!CV18,IF(UPPER(Planung!CV18)="H",$C18/2,0)))))))</f>
        <v>0</v>
      </c>
      <c r="CW18" s="27">
        <f>IF($A18="",0,IF(Mitarbeiter!$G$16=FALSE,0,IF(AND(Mitarbeiter!$E$16&lt;&gt;"",CW$5+6&lt;Mitarbeiter!$E$16),0,IF(AND(Mitarbeiter!$F$16&lt;&gt;"",CW$5&gt;Mitarbeiter!$F$16),0,IF(Planung!CW18="",$C18,IF(ISNUMBER(Planung!CW18),Planung!CW18,IF(UPPER(Planung!CW18)="H",$C18/2,0)))))))</f>
        <v>0</v>
      </c>
      <c r="CX18" s="27">
        <f>IF($A18="",0,IF(Mitarbeiter!$G$16=FALSE,0,IF(AND(Mitarbeiter!$E$16&lt;&gt;"",CX$5+6&lt;Mitarbeiter!$E$16),0,IF(AND(Mitarbeiter!$F$16&lt;&gt;"",CX$5&gt;Mitarbeiter!$F$16),0,IF(Planung!CX18="",$C18,IF(ISNUMBER(Planung!CX18),Planung!CX18,IF(UPPER(Planung!CX18)="H",$C18/2,0)))))))</f>
        <v>0</v>
      </c>
      <c r="CY18" s="27">
        <f>IF($A18="",0,IF(Mitarbeiter!$G$16=FALSE,0,IF(AND(Mitarbeiter!$E$16&lt;&gt;"",CY$5+6&lt;Mitarbeiter!$E$16),0,IF(AND(Mitarbeiter!$F$16&lt;&gt;"",CY$5&gt;Mitarbeiter!$F$16),0,IF(Planung!CY18="",$C18,IF(ISNUMBER(Planung!CY18),Planung!CY18,IF(UPPER(Planung!CY18)="H",$C18/2,0)))))))</f>
        <v>0</v>
      </c>
      <c r="CZ18" s="27">
        <f>IF($A18="",0,IF(Mitarbeiter!$G$16=FALSE,0,IF(AND(Mitarbeiter!$E$16&lt;&gt;"",CZ$5+6&lt;Mitarbeiter!$E$16),0,IF(AND(Mitarbeiter!$F$16&lt;&gt;"",CZ$5&gt;Mitarbeiter!$F$16),0,IF(Planung!CZ18="",$C18,IF(ISNUMBER(Planung!CZ18),Planung!CZ18,IF(UPPER(Planung!CZ18)="H",$C18/2,0)))))))</f>
        <v>0</v>
      </c>
      <c r="DA18" s="27">
        <f>IF($A18="",0,IF(Mitarbeiter!$G$16=FALSE,0,IF(AND(Mitarbeiter!$E$16&lt;&gt;"",DA$5+6&lt;Mitarbeiter!$E$16),0,IF(AND(Mitarbeiter!$F$16&lt;&gt;"",DA$5&gt;Mitarbeiter!$F$16),0,IF(Planung!DA18="",$C18,IF(ISNUMBER(Planung!DA18),Planung!DA18,IF(UPPER(Planung!DA18)="H",$C18/2,0)))))))</f>
        <v>0</v>
      </c>
      <c r="DB18" s="27">
        <f>IF($A18="",0,IF(Mitarbeiter!$G$16=FALSE,0,IF(AND(Mitarbeiter!$E$16&lt;&gt;"",DB$5+6&lt;Mitarbeiter!$E$16),0,IF(AND(Mitarbeiter!$F$16&lt;&gt;"",DB$5&gt;Mitarbeiter!$F$16),0,IF(Planung!DB18="",$C18,IF(ISNUMBER(Planung!DB18),Planung!DB18,IF(UPPER(Planung!DB18)="H",$C18/2,0)))))))</f>
        <v>0</v>
      </c>
      <c r="DC18" s="27">
        <f>IF($A18="",0,IF(Mitarbeiter!$G$16=FALSE,0,IF(AND(Mitarbeiter!$E$16&lt;&gt;"",DC$5+6&lt;Mitarbeiter!$E$16),0,IF(AND(Mitarbeiter!$F$16&lt;&gt;"",DC$5&gt;Mitarbeiter!$F$16),0,IF(Planung!DC18="",$C18,IF(ISNUMBER(Planung!DC18),Planung!DC18,IF(UPPER(Planung!DC18)="H",$C18/2,0)))))))</f>
        <v>0</v>
      </c>
      <c r="DD18" s="27">
        <f>IF($A18="",0,IF(Mitarbeiter!$G$16=FALSE,0,IF(AND(Mitarbeiter!$E$16&lt;&gt;"",DD$5+6&lt;Mitarbeiter!$E$16),0,IF(AND(Mitarbeiter!$F$16&lt;&gt;"",DD$5&gt;Mitarbeiter!$F$16),0,IF(Planung!DD18="",$C18,IF(ISNUMBER(Planung!DD18),Planung!DD18,IF(UPPER(Planung!DD18)="H",$C18/2,0)))))))</f>
        <v>0</v>
      </c>
      <c r="DE18" s="27">
        <f>IF($A18="",0,IF(Mitarbeiter!$G$16=FALSE,0,IF(AND(Mitarbeiter!$E$16&lt;&gt;"",DE$5+6&lt;Mitarbeiter!$E$16),0,IF(AND(Mitarbeiter!$F$16&lt;&gt;"",DE$5&gt;Mitarbeiter!$F$16),0,IF(Planung!DE18="",$C18,IF(ISNUMBER(Planung!DE18),Planung!DE18,IF(UPPER(Planung!DE18)="H",$C18/2,0)))))))</f>
        <v>0</v>
      </c>
      <c r="DF18" s="27">
        <f>IF($A18="",0,IF(Mitarbeiter!$G$16=FALSE,0,IF(AND(Mitarbeiter!$E$16&lt;&gt;"",DF$5+6&lt;Mitarbeiter!$E$16),0,IF(AND(Mitarbeiter!$F$16&lt;&gt;"",DF$5&gt;Mitarbeiter!$F$16),0,IF(Planung!DF18="",$C18,IF(ISNUMBER(Planung!DF18),Planung!DF18,IF(UPPER(Planung!DF18)="H",$C18/2,0)))))))</f>
        <v>0</v>
      </c>
      <c r="DG18" s="27">
        <f>IF($A18="",0,IF(Mitarbeiter!$G$16=FALSE,0,IF(AND(Mitarbeiter!$E$16&lt;&gt;"",DG$5+6&lt;Mitarbeiter!$E$16),0,IF(AND(Mitarbeiter!$F$16&lt;&gt;"",DG$5&gt;Mitarbeiter!$F$16),0,IF(Planung!DG18="",$C18,IF(ISNUMBER(Planung!DG18),Planung!DG18,IF(UPPER(Planung!DG18)="H",$C18/2,0)))))))</f>
        <v>0</v>
      </c>
      <c r="DH18" s="27">
        <f>IF($A18="",0,IF(Mitarbeiter!$G$16=FALSE,0,IF(AND(Mitarbeiter!$E$16&lt;&gt;"",DH$5+6&lt;Mitarbeiter!$E$16),0,IF(AND(Mitarbeiter!$F$16&lt;&gt;"",DH$5&gt;Mitarbeiter!$F$16),0,IF(Planung!DH18="",$C18,IF(ISNUMBER(Planung!DH18),Planung!DH18,IF(UPPER(Planung!DH18)="H",$C18/2,0)))))))</f>
        <v>0</v>
      </c>
      <c r="DI18" s="27">
        <f>IF($A18="",0,IF(Mitarbeiter!$G$16=FALSE,0,IF(AND(Mitarbeiter!$E$16&lt;&gt;"",DI$5+6&lt;Mitarbeiter!$E$16),0,IF(AND(Mitarbeiter!$F$16&lt;&gt;"",DI$5&gt;Mitarbeiter!$F$16),0,IF(Planung!DI18="",$C18,IF(ISNUMBER(Planung!DI18),Planung!DI18,IF(UPPER(Planung!DI18)="H",$C18/2,0)))))))</f>
        <v>0</v>
      </c>
      <c r="DJ18" s="27">
        <f>IF($A18="",0,IF(Mitarbeiter!$G$16=FALSE,0,IF(AND(Mitarbeiter!$E$16&lt;&gt;"",DJ$5+6&lt;Mitarbeiter!$E$16),0,IF(AND(Mitarbeiter!$F$16&lt;&gt;"",DJ$5&gt;Mitarbeiter!$F$16),0,IF(Planung!DJ18="",$C18,IF(ISNUMBER(Planung!DJ18),Planung!DJ18,IF(UPPER(Planung!DJ18)="H",$C18/2,0)))))))</f>
        <v>0</v>
      </c>
      <c r="DK18" s="27">
        <f>IF($A18="",0,IF(Mitarbeiter!$G$16=FALSE,0,IF(AND(Mitarbeiter!$E$16&lt;&gt;"",DK$5+6&lt;Mitarbeiter!$E$16),0,IF(AND(Mitarbeiter!$F$16&lt;&gt;"",DK$5&gt;Mitarbeiter!$F$16),0,IF(Planung!DK18="",$C18,IF(ISNUMBER(Planung!DK18),Planung!DK18,IF(UPPER(Planung!DK18)="H",$C18/2,0)))))))</f>
        <v>0</v>
      </c>
      <c r="DL18" s="27">
        <f>IF($A18="",0,IF(Mitarbeiter!$G$16=FALSE,0,IF(AND(Mitarbeiter!$E$16&lt;&gt;"",DL$5+6&lt;Mitarbeiter!$E$16),0,IF(AND(Mitarbeiter!$F$16&lt;&gt;"",DL$5&gt;Mitarbeiter!$F$16),0,IF(Planung!DL18="",$C18,IF(ISNUMBER(Planung!DL18),Planung!DL18,IF(UPPER(Planung!DL18)="H",$C18/2,0)))))))</f>
        <v>0</v>
      </c>
      <c r="DM18" s="27">
        <f>IF($A18="",0,IF(Mitarbeiter!$G$16=FALSE,0,IF(AND(Mitarbeiter!$E$16&lt;&gt;"",DM$5+6&lt;Mitarbeiter!$E$16),0,IF(AND(Mitarbeiter!$F$16&lt;&gt;"",DM$5&gt;Mitarbeiter!$F$16),0,IF(Planung!DM18="",$C18,IF(ISNUMBER(Planung!DM18),Planung!DM18,IF(UPPER(Planung!DM18)="H",$C18/2,0)))))))</f>
        <v>0</v>
      </c>
      <c r="DN18" s="27">
        <f>IF($A18="",0,IF(Mitarbeiter!$G$16=FALSE,0,IF(AND(Mitarbeiter!$E$16&lt;&gt;"",DN$5+6&lt;Mitarbeiter!$E$16),0,IF(AND(Mitarbeiter!$F$16&lt;&gt;"",DN$5&gt;Mitarbeiter!$F$16),0,IF(Planung!DN18="",$C18,IF(ISNUMBER(Planung!DN18),Planung!DN18,IF(UPPER(Planung!DN18)="H",$C18/2,0)))))))</f>
        <v>0</v>
      </c>
      <c r="DO18" s="27">
        <f>IF($A18="",0,IF(Mitarbeiter!$G$16=FALSE,0,IF(AND(Mitarbeiter!$E$16&lt;&gt;"",DO$5+6&lt;Mitarbeiter!$E$16),0,IF(AND(Mitarbeiter!$F$16&lt;&gt;"",DO$5&gt;Mitarbeiter!$F$16),0,IF(Planung!DO18="",$C18,IF(ISNUMBER(Planung!DO18),Planung!DO18,IF(UPPER(Planung!DO18)="H",$C18/2,0)))))))</f>
        <v>0</v>
      </c>
      <c r="DP18" s="27">
        <f>IF($A18="",0,IF(Mitarbeiter!$G$16=FALSE,0,IF(AND(Mitarbeiter!$E$16&lt;&gt;"",DP$5+6&lt;Mitarbeiter!$E$16),0,IF(AND(Mitarbeiter!$F$16&lt;&gt;"",DP$5&gt;Mitarbeiter!$F$16),0,IF(Planung!DP18="",$C18,IF(ISNUMBER(Planung!DP18),Planung!DP18,IF(UPPER(Planung!DP18)="H",$C18/2,0)))))))</f>
        <v>0</v>
      </c>
      <c r="DQ18" s="27">
        <f>IF($A18="",0,IF(Mitarbeiter!$G$16=FALSE,0,IF(AND(Mitarbeiter!$E$16&lt;&gt;"",DQ$5+6&lt;Mitarbeiter!$E$16),0,IF(AND(Mitarbeiter!$F$16&lt;&gt;"",DQ$5&gt;Mitarbeiter!$F$16),0,IF(Planung!DQ18="",$C18,IF(ISNUMBER(Planung!DQ18),Planung!DQ18,IF(UPPER(Planung!DQ18)="H",$C18/2,0)))))))</f>
        <v>0</v>
      </c>
      <c r="DR18" s="27">
        <f>IF($A18="",0,IF(Mitarbeiter!$G$16=FALSE,0,IF(AND(Mitarbeiter!$E$16&lt;&gt;"",DR$5+6&lt;Mitarbeiter!$E$16),0,IF(AND(Mitarbeiter!$F$16&lt;&gt;"",DR$5&gt;Mitarbeiter!$F$16),0,IF(Planung!DR18="",$C18,IF(ISNUMBER(Planung!DR18),Planung!DR18,IF(UPPER(Planung!DR18)="H",$C18/2,0)))))))</f>
        <v>0</v>
      </c>
      <c r="DS18" s="27">
        <f>IF($A18="",0,IF(Mitarbeiter!$G$16=FALSE,0,IF(AND(Mitarbeiter!$E$16&lt;&gt;"",DS$5+6&lt;Mitarbeiter!$E$16),0,IF(AND(Mitarbeiter!$F$16&lt;&gt;"",DS$5&gt;Mitarbeiter!$F$16),0,IF(Planung!DS18="",$C18,IF(ISNUMBER(Planung!DS18),Planung!DS18,IF(UPPER(Planung!DS18)="H",$C18/2,0)))))))</f>
        <v>0</v>
      </c>
      <c r="DT18" s="27">
        <f>IF($A18="",0,IF(Mitarbeiter!$G$16=FALSE,0,IF(AND(Mitarbeiter!$E$16&lt;&gt;"",DT$5+6&lt;Mitarbeiter!$E$16),0,IF(AND(Mitarbeiter!$F$16&lt;&gt;"",DT$5&gt;Mitarbeiter!$F$16),0,IF(Planung!DT18="",$C18,IF(ISNUMBER(Planung!DT18),Planung!DT18,IF(UPPER(Planung!DT18)="H",$C18/2,0)))))))</f>
        <v>0</v>
      </c>
      <c r="DU18" s="27">
        <f>IF($A18="",0,IF(Mitarbeiter!$G$16=FALSE,0,IF(AND(Mitarbeiter!$E$16&lt;&gt;"",DU$5+6&lt;Mitarbeiter!$E$16),0,IF(AND(Mitarbeiter!$F$16&lt;&gt;"",DU$5&gt;Mitarbeiter!$F$16),0,IF(Planung!DU18="",$C18,IF(ISNUMBER(Planung!DU18),Planung!DU18,IF(UPPER(Planung!DU18)="H",$C18/2,0)))))))</f>
        <v>0</v>
      </c>
      <c r="DV18" s="27">
        <f>IF($A18="",0,IF(Mitarbeiter!$G$16=FALSE,0,IF(AND(Mitarbeiter!$E$16&lt;&gt;"",DV$5+6&lt;Mitarbeiter!$E$16),0,IF(AND(Mitarbeiter!$F$16&lt;&gt;"",DV$5&gt;Mitarbeiter!$F$16),0,IF(Planung!DV18="",$C18,IF(ISNUMBER(Planung!DV18),Planung!DV18,IF(UPPER(Planung!DV18)="H",$C18/2,0)))))))</f>
        <v>0</v>
      </c>
      <c r="DW18" s="27">
        <f>IF($A18="",0,IF(Mitarbeiter!$G$16=FALSE,0,IF(AND(Mitarbeiter!$E$16&lt;&gt;"",DW$5+6&lt;Mitarbeiter!$E$16),0,IF(AND(Mitarbeiter!$F$16&lt;&gt;"",DW$5&gt;Mitarbeiter!$F$16),0,IF(Planung!DW18="",$C18,IF(ISNUMBER(Planung!DW18),Planung!DW18,IF(UPPER(Planung!DW18)="H",$C18/2,0)))))))</f>
        <v>0</v>
      </c>
      <c r="DX18" s="27">
        <f>IF($A18="",0,IF(Mitarbeiter!$G$16=FALSE,0,IF(AND(Mitarbeiter!$E$16&lt;&gt;"",DX$5+6&lt;Mitarbeiter!$E$16),0,IF(AND(Mitarbeiter!$F$16&lt;&gt;"",DX$5&gt;Mitarbeiter!$F$16),0,IF(Planung!DX18="",$C18,IF(ISNUMBER(Planung!DX18),Planung!DX18,IF(UPPER(Planung!DX18)="H",$C18/2,0)))))))</f>
        <v>0</v>
      </c>
      <c r="DY18" s="27">
        <f>IF($A18="",0,IF(Mitarbeiter!$G$16=FALSE,0,IF(AND(Mitarbeiter!$E$16&lt;&gt;"",DY$5+6&lt;Mitarbeiter!$E$16),0,IF(AND(Mitarbeiter!$F$16&lt;&gt;"",DY$5&gt;Mitarbeiter!$F$16),0,IF(Planung!DY18="",$C18,IF(ISNUMBER(Planung!DY18),Planung!DY18,IF(UPPER(Planung!DY18)="H",$C18/2,0)))))))</f>
        <v>0</v>
      </c>
      <c r="DZ18" s="27">
        <f>IF($A18="",0,IF(Mitarbeiter!$G$16=FALSE,0,IF(AND(Mitarbeiter!$E$16&lt;&gt;"",DZ$5+6&lt;Mitarbeiter!$E$16),0,IF(AND(Mitarbeiter!$F$16&lt;&gt;"",DZ$5&gt;Mitarbeiter!$F$16),0,IF(Planung!DZ18="",$C18,IF(ISNUMBER(Planung!DZ18),Planung!DZ18,IF(UPPER(Planung!DZ18)="H",$C18/2,0)))))))</f>
        <v>0</v>
      </c>
      <c r="EA18" s="27">
        <f>IF($A18="",0,IF(Mitarbeiter!$G$16=FALSE,0,IF(AND(Mitarbeiter!$E$16&lt;&gt;"",EA$5+6&lt;Mitarbeiter!$E$16),0,IF(AND(Mitarbeiter!$F$16&lt;&gt;"",EA$5&gt;Mitarbeiter!$F$16),0,IF(Planung!EA18="",$C18,IF(ISNUMBER(Planung!EA18),Planung!EA18,IF(UPPER(Planung!EA18)="H",$C18/2,0)))))))</f>
        <v>0</v>
      </c>
      <c r="EB18" s="27">
        <f>IF($A18="",0,IF(Mitarbeiter!$G$16=FALSE,0,IF(AND(Mitarbeiter!$E$16&lt;&gt;"",EB$5+6&lt;Mitarbeiter!$E$16),0,IF(AND(Mitarbeiter!$F$16&lt;&gt;"",EB$5&gt;Mitarbeiter!$F$16),0,IF(Planung!EB18="",$C18,IF(ISNUMBER(Planung!EB18),Planung!EB18,IF(UPPER(Planung!EB18)="H",$C18/2,0)))))))</f>
        <v>0</v>
      </c>
      <c r="EC18" s="27">
        <f>IF($A18="",0,IF(Mitarbeiter!$G$16=FALSE,0,IF(AND(Mitarbeiter!$E$16&lt;&gt;"",EC$5+6&lt;Mitarbeiter!$E$16),0,IF(AND(Mitarbeiter!$F$16&lt;&gt;"",EC$5&gt;Mitarbeiter!$F$16),0,IF(Planung!EC18="",$C18,IF(ISNUMBER(Planung!EC18),Planung!EC18,IF(UPPER(Planung!EC18)="H",$C18/2,0)))))))</f>
        <v>0</v>
      </c>
      <c r="ED18" s="27">
        <f>IF($A18="",0,IF(Mitarbeiter!$G$16=FALSE,0,IF(AND(Mitarbeiter!$E$16&lt;&gt;"",ED$5+6&lt;Mitarbeiter!$E$16),0,IF(AND(Mitarbeiter!$F$16&lt;&gt;"",ED$5&gt;Mitarbeiter!$F$16),0,IF(Planung!ED18="",$C18,IF(ISNUMBER(Planung!ED18),Planung!ED18,IF(UPPER(Planung!ED18)="H",$C18/2,0)))))))</f>
        <v>0</v>
      </c>
      <c r="EE18" s="27">
        <f>IF($A18="",0,IF(Mitarbeiter!$G$16=FALSE,0,IF(AND(Mitarbeiter!$E$16&lt;&gt;"",EE$5+6&lt;Mitarbeiter!$E$16),0,IF(AND(Mitarbeiter!$F$16&lt;&gt;"",EE$5&gt;Mitarbeiter!$F$16),0,IF(Planung!EE18="",$C18,IF(ISNUMBER(Planung!EE18),Planung!EE18,IF(UPPER(Planung!EE18)="H",$C18/2,0)))))))</f>
        <v>0</v>
      </c>
      <c r="EF18" s="27">
        <f>IF($A18="",0,IF(Mitarbeiter!$G$16=FALSE,0,IF(AND(Mitarbeiter!$E$16&lt;&gt;"",EF$5+6&lt;Mitarbeiter!$E$16),0,IF(AND(Mitarbeiter!$F$16&lt;&gt;"",EF$5&gt;Mitarbeiter!$F$16),0,IF(Planung!EF18="",$C18,IF(ISNUMBER(Planung!EF18),Planung!EF18,IF(UPPER(Planung!EF18)="H",$C18/2,0)))))))</f>
        <v>0</v>
      </c>
      <c r="EG18" s="27">
        <f>IF($A18="",0,IF(Mitarbeiter!$G$16=FALSE,0,IF(AND(Mitarbeiter!$E$16&lt;&gt;"",EG$5+6&lt;Mitarbeiter!$E$16),0,IF(AND(Mitarbeiter!$F$16&lt;&gt;"",EG$5&gt;Mitarbeiter!$F$16),0,IF(Planung!EG18="",$C18,IF(ISNUMBER(Planung!EG18),Planung!EG18,IF(UPPER(Planung!EG18)="H",$C18/2,0)))))))</f>
        <v>0</v>
      </c>
      <c r="EH18" s="27">
        <f>IF($A18="",0,IF(Mitarbeiter!$G$16=FALSE,0,IF(AND(Mitarbeiter!$E$16&lt;&gt;"",EH$5+6&lt;Mitarbeiter!$E$16),0,IF(AND(Mitarbeiter!$F$16&lt;&gt;"",EH$5&gt;Mitarbeiter!$F$16),0,IF(Planung!EH18="",$C18,IF(ISNUMBER(Planung!EH18),Planung!EH18,IF(UPPER(Planung!EH18)="H",$C18/2,0)))))))</f>
        <v>0</v>
      </c>
      <c r="EI18" s="27">
        <f>IF($A18="",0,IF(Mitarbeiter!$G$16=FALSE,0,IF(AND(Mitarbeiter!$E$16&lt;&gt;"",EI$5+6&lt;Mitarbeiter!$E$16),0,IF(AND(Mitarbeiter!$F$16&lt;&gt;"",EI$5&gt;Mitarbeiter!$F$16),0,IF(Planung!EI18="",$C18,IF(ISNUMBER(Planung!EI18),Planung!EI18,IF(UPPER(Planung!EI18)="H",$C18/2,0)))))))</f>
        <v>0</v>
      </c>
      <c r="EJ18" s="27">
        <f>IF($A18="",0,IF(Mitarbeiter!$G$16=FALSE,0,IF(AND(Mitarbeiter!$E$16&lt;&gt;"",EJ$5+6&lt;Mitarbeiter!$E$16),0,IF(AND(Mitarbeiter!$F$16&lt;&gt;"",EJ$5&gt;Mitarbeiter!$F$16),0,IF(Planung!EJ18="",$C18,IF(ISNUMBER(Planung!EJ18),Planung!EJ18,IF(UPPER(Planung!EJ18)="H",$C18/2,0)))))))</f>
        <v>0</v>
      </c>
      <c r="EK18" s="27">
        <f>IF($A18="",0,IF(Mitarbeiter!$G$16=FALSE,0,IF(AND(Mitarbeiter!$E$16&lt;&gt;"",EK$5+6&lt;Mitarbeiter!$E$16),0,IF(AND(Mitarbeiter!$F$16&lt;&gt;"",EK$5&gt;Mitarbeiter!$F$16),0,IF(Planung!EK18="",$C18,IF(ISNUMBER(Planung!EK18),Planung!EK18,IF(UPPER(Planung!EK18)="H",$C18/2,0)))))))</f>
        <v>0</v>
      </c>
      <c r="EL18" s="27">
        <f>IF($A18="",0,IF(Mitarbeiter!$G$16=FALSE,0,IF(AND(Mitarbeiter!$E$16&lt;&gt;"",EL$5+6&lt;Mitarbeiter!$E$16),0,IF(AND(Mitarbeiter!$F$16&lt;&gt;"",EL$5&gt;Mitarbeiter!$F$16),0,IF(Planung!EL18="",$C18,IF(ISNUMBER(Planung!EL18),Planung!EL18,IF(UPPER(Planung!EL18)="H",$C18/2,0)))))))</f>
        <v>0</v>
      </c>
      <c r="EM18" s="27">
        <f>IF($A18="",0,IF(Mitarbeiter!$G$16=FALSE,0,IF(AND(Mitarbeiter!$E$16&lt;&gt;"",EM$5+6&lt;Mitarbeiter!$E$16),0,IF(AND(Mitarbeiter!$F$16&lt;&gt;"",EM$5&gt;Mitarbeiter!$F$16),0,IF(Planung!EM18="",$C18,IF(ISNUMBER(Planung!EM18),Planung!EM18,IF(UPPER(Planung!EM18)="H",$C18/2,0)))))))</f>
        <v>0</v>
      </c>
      <c r="EN18" s="27">
        <f>IF($A18="",0,IF(Mitarbeiter!$G$16=FALSE,0,IF(AND(Mitarbeiter!$E$16&lt;&gt;"",EN$5+6&lt;Mitarbeiter!$E$16),0,IF(AND(Mitarbeiter!$F$16&lt;&gt;"",EN$5&gt;Mitarbeiter!$F$16),0,IF(Planung!EN18="",$C18,IF(ISNUMBER(Planung!EN18),Planung!EN18,IF(UPPER(Planung!EN18)="H",$C18/2,0)))))))</f>
        <v>0</v>
      </c>
      <c r="EO18" s="27">
        <f>IF($A18="",0,IF(Mitarbeiter!$G$16=FALSE,0,IF(AND(Mitarbeiter!$E$16&lt;&gt;"",EO$5+6&lt;Mitarbeiter!$E$16),0,IF(AND(Mitarbeiter!$F$16&lt;&gt;"",EO$5&gt;Mitarbeiter!$F$16),0,IF(Planung!EO18="",$C18,IF(ISNUMBER(Planung!EO18),Planung!EO18,IF(UPPER(Planung!EO18)="H",$C18/2,0)))))))</f>
        <v>0</v>
      </c>
      <c r="EP18" s="27">
        <f>IF($A18="",0,IF(Mitarbeiter!$G$16=FALSE,0,IF(AND(Mitarbeiter!$E$16&lt;&gt;"",EP$5+6&lt;Mitarbeiter!$E$16),0,IF(AND(Mitarbeiter!$F$16&lt;&gt;"",EP$5&gt;Mitarbeiter!$F$16),0,IF(Planung!EP18="",$C18,IF(ISNUMBER(Planung!EP18),Planung!EP18,IF(UPPER(Planung!EP18)="H",$C18/2,0)))))))</f>
        <v>0</v>
      </c>
      <c r="EQ18" s="27">
        <f>IF($A18="",0,IF(Mitarbeiter!$G$16=FALSE,0,IF(AND(Mitarbeiter!$E$16&lt;&gt;"",EQ$5+6&lt;Mitarbeiter!$E$16),0,IF(AND(Mitarbeiter!$F$16&lt;&gt;"",EQ$5&gt;Mitarbeiter!$F$16),0,IF(Planung!EQ18="",$C18,IF(ISNUMBER(Planung!EQ18),Planung!EQ18,IF(UPPER(Planung!EQ18)="H",$C18/2,0)))))))</f>
        <v>0</v>
      </c>
      <c r="ER18" s="27">
        <f>IF($A18="",0,IF(Mitarbeiter!$G$16=FALSE,0,IF(AND(Mitarbeiter!$E$16&lt;&gt;"",ER$5+6&lt;Mitarbeiter!$E$16),0,IF(AND(Mitarbeiter!$F$16&lt;&gt;"",ER$5&gt;Mitarbeiter!$F$16),0,IF(Planung!ER18="",$C18,IF(ISNUMBER(Planung!ER18),Planung!ER18,IF(UPPER(Planung!ER18)="H",$C18/2,0)))))))</f>
        <v>0</v>
      </c>
      <c r="ES18" s="27">
        <f>IF($A18="",0,IF(Mitarbeiter!$G$16=FALSE,0,IF(AND(Mitarbeiter!$E$16&lt;&gt;"",ES$5+6&lt;Mitarbeiter!$E$16),0,IF(AND(Mitarbeiter!$F$16&lt;&gt;"",ES$5&gt;Mitarbeiter!$F$16),0,IF(Planung!ES18="",$C18,IF(ISNUMBER(Planung!ES18),Planung!ES18,IF(UPPER(Planung!ES18)="H",$C18/2,0)))))))</f>
        <v>0</v>
      </c>
      <c r="ET18" s="27">
        <f>IF($A18="",0,IF(Mitarbeiter!$G$16=FALSE,0,IF(AND(Mitarbeiter!$E$16&lt;&gt;"",ET$5+6&lt;Mitarbeiter!$E$16),0,IF(AND(Mitarbeiter!$F$16&lt;&gt;"",ET$5&gt;Mitarbeiter!$F$16),0,IF(Planung!ET18="",$C18,IF(ISNUMBER(Planung!ET18),Planung!ET18,IF(UPPER(Planung!ET18)="H",$C18/2,0)))))))</f>
        <v>0</v>
      </c>
      <c r="EU18" s="27">
        <f>IF($A18="",0,IF(Mitarbeiter!$G$16=FALSE,0,IF(AND(Mitarbeiter!$E$16&lt;&gt;"",EU$5+6&lt;Mitarbeiter!$E$16),0,IF(AND(Mitarbeiter!$F$16&lt;&gt;"",EU$5&gt;Mitarbeiter!$F$16),0,IF(Planung!EU18="",$C18,IF(ISNUMBER(Planung!EU18),Planung!EU18,IF(UPPER(Planung!EU18)="H",$C18/2,0)))))))</f>
        <v>0</v>
      </c>
      <c r="EV18" s="27">
        <f>IF($A18="",0,IF(Mitarbeiter!$G$16=FALSE,0,IF(AND(Mitarbeiter!$E$16&lt;&gt;"",EV$5+6&lt;Mitarbeiter!$E$16),0,IF(AND(Mitarbeiter!$F$16&lt;&gt;"",EV$5&gt;Mitarbeiter!$F$16),0,IF(Planung!EV18="",$C18,IF(ISNUMBER(Planung!EV18),Planung!EV18,IF(UPPER(Planung!EV18)="H",$C18/2,0)))))))</f>
        <v>0</v>
      </c>
      <c r="EW18" s="27">
        <f>IF($A18="",0,IF(Mitarbeiter!$G$16=FALSE,0,IF(AND(Mitarbeiter!$E$16&lt;&gt;"",EW$5+6&lt;Mitarbeiter!$E$16),0,IF(AND(Mitarbeiter!$F$16&lt;&gt;"",EW$5&gt;Mitarbeiter!$F$16),0,IF(Planung!EW18="",$C18,IF(ISNUMBER(Planung!EW18),Planung!EW18,IF(UPPER(Planung!EW18)="H",$C18/2,0)))))))</f>
        <v>0</v>
      </c>
      <c r="EX18" s="27">
        <f>IF($A18="",0,IF(Mitarbeiter!$G$16=FALSE,0,IF(AND(Mitarbeiter!$E$16&lt;&gt;"",EX$5+6&lt;Mitarbeiter!$E$16),0,IF(AND(Mitarbeiter!$F$16&lt;&gt;"",EX$5&gt;Mitarbeiter!$F$16),0,IF(Planung!EX18="",$C18,IF(ISNUMBER(Planung!EX18),Planung!EX18,IF(UPPER(Planung!EX18)="H",$C18/2,0)))))))</f>
        <v>0</v>
      </c>
      <c r="EY18" s="27">
        <f>IF($A18="",0,IF(Mitarbeiter!$G$16=FALSE,0,IF(AND(Mitarbeiter!$E$16&lt;&gt;"",EY$5+6&lt;Mitarbeiter!$E$16),0,IF(AND(Mitarbeiter!$F$16&lt;&gt;"",EY$5&gt;Mitarbeiter!$F$16),0,IF(Planung!EY18="",$C18,IF(ISNUMBER(Planung!EY18),Planung!EY18,IF(UPPER(Planung!EY18)="H",$C18/2,0)))))))</f>
        <v>0</v>
      </c>
      <c r="EZ18" s="27">
        <f>IF($A18="",0,IF(Mitarbeiter!$G$16=FALSE,0,IF(AND(Mitarbeiter!$E$16&lt;&gt;"",EZ$5+6&lt;Mitarbeiter!$E$16),0,IF(AND(Mitarbeiter!$F$16&lt;&gt;"",EZ$5&gt;Mitarbeiter!$F$16),0,IF(Planung!EZ18="",$C18,IF(ISNUMBER(Planung!EZ18),Planung!EZ18,IF(UPPER(Planung!EZ18)="H",$C18/2,0)))))))</f>
        <v>0</v>
      </c>
      <c r="FA18" s="27">
        <f>IF($A18="",0,IF(Mitarbeiter!$G$16=FALSE,0,IF(AND(Mitarbeiter!$E$16&lt;&gt;"",FA$5+6&lt;Mitarbeiter!$E$16),0,IF(AND(Mitarbeiter!$F$16&lt;&gt;"",FA$5&gt;Mitarbeiter!$F$16),0,IF(Planung!FA18="",$C18,IF(ISNUMBER(Planung!FA18),Planung!FA18,IF(UPPER(Planung!FA18)="H",$C18/2,0)))))))</f>
        <v>0</v>
      </c>
      <c r="FB18" s="27">
        <f>IF($A18="",0,IF(Mitarbeiter!$G$16=FALSE,0,IF(AND(Mitarbeiter!$E$16&lt;&gt;"",FB$5+6&lt;Mitarbeiter!$E$16),0,IF(AND(Mitarbeiter!$F$16&lt;&gt;"",FB$5&gt;Mitarbeiter!$F$16),0,IF(Planung!FB18="",$C18,IF(ISNUMBER(Planung!FB18),Planung!FB18,IF(UPPER(Planung!FB18)="H",$C18/2,0)))))))</f>
        <v>0</v>
      </c>
      <c r="FC18" s="27">
        <f>IF($A18="",0,IF(Mitarbeiter!$G$16=FALSE,0,IF(AND(Mitarbeiter!$E$16&lt;&gt;"",FC$5+6&lt;Mitarbeiter!$E$16),0,IF(AND(Mitarbeiter!$F$16&lt;&gt;"",FC$5&gt;Mitarbeiter!$F$16),0,IF(Planung!FC18="",$C18,IF(ISNUMBER(Planung!FC18),Planung!FC18,IF(UPPER(Planung!FC18)="H",$C18/2,0)))))))</f>
        <v>0</v>
      </c>
      <c r="FD18" s="27">
        <f>IF($A18="",0,IF(Mitarbeiter!$G$16=FALSE,0,IF(AND(Mitarbeiter!$E$16&lt;&gt;"",FD$5+6&lt;Mitarbeiter!$E$16),0,IF(AND(Mitarbeiter!$F$16&lt;&gt;"",FD$5&gt;Mitarbeiter!$F$16),0,IF(Planung!FD18="",$C18,IF(ISNUMBER(Planung!FD18),Planung!FD18,IF(UPPER(Planung!FD18)="H",$C18/2,0)))))))</f>
        <v>0</v>
      </c>
      <c r="FE18" s="27">
        <f>IF($A18="",0,IF(Mitarbeiter!$G$16=FALSE,0,IF(AND(Mitarbeiter!$E$16&lt;&gt;"",FE$5+6&lt;Mitarbeiter!$E$16),0,IF(AND(Mitarbeiter!$F$16&lt;&gt;"",FE$5&gt;Mitarbeiter!$F$16),0,IF(Planung!FE18="",$C18,IF(ISNUMBER(Planung!FE18),Planung!FE18,IF(UPPER(Planung!FE18)="H",$C18/2,0)))))))</f>
        <v>0</v>
      </c>
      <c r="FF18" s="27">
        <f>IF($A18="",0,IF(Mitarbeiter!$G$16=FALSE,0,IF(AND(Mitarbeiter!$E$16&lt;&gt;"",FF$5+6&lt;Mitarbeiter!$E$16),0,IF(AND(Mitarbeiter!$F$16&lt;&gt;"",FF$5&gt;Mitarbeiter!$F$16),0,IF(Planung!FF18="",$C18,IF(ISNUMBER(Planung!FF18),Planung!FF18,IF(UPPER(Planung!FF18)="H",$C18/2,0)))))))</f>
        <v>0</v>
      </c>
      <c r="FG18" s="27">
        <f>IF($A18="",0,IF(Mitarbeiter!$G$16=FALSE,0,IF(AND(Mitarbeiter!$E$16&lt;&gt;"",FG$5+6&lt;Mitarbeiter!$E$16),0,IF(AND(Mitarbeiter!$F$16&lt;&gt;"",FG$5&gt;Mitarbeiter!$F$16),0,IF(Planung!FG18="",$C18,IF(ISNUMBER(Planung!FG18),Planung!FG18,IF(UPPER(Planung!FG18)="H",$C18/2,0)))))))</f>
        <v>0</v>
      </c>
      <c r="FH18" s="27">
        <f>IF($A18="",0,IF(Mitarbeiter!$G$16=FALSE,0,IF(AND(Mitarbeiter!$E$16&lt;&gt;"",FH$5+6&lt;Mitarbeiter!$E$16),0,IF(AND(Mitarbeiter!$F$16&lt;&gt;"",FH$5&gt;Mitarbeiter!$F$16),0,IF(Planung!FH18="",$C18,IF(ISNUMBER(Planung!FH18),Planung!FH18,IF(UPPER(Planung!FH18)="H",$C18/2,0)))))))</f>
        <v>0</v>
      </c>
      <c r="FI18" s="27">
        <f>IF($A18="",0,IF(Mitarbeiter!$G$16=FALSE,0,IF(AND(Mitarbeiter!$E$16&lt;&gt;"",FI$5+6&lt;Mitarbeiter!$E$16),0,IF(AND(Mitarbeiter!$F$16&lt;&gt;"",FI$5&gt;Mitarbeiter!$F$16),0,IF(Planung!FI18="",$C18,IF(ISNUMBER(Planung!FI18),Planung!FI18,IF(UPPER(Planung!FI18)="H",$C18/2,0)))))))</f>
        <v>0</v>
      </c>
      <c r="FJ18" s="27">
        <f>IF($A18="",0,IF(Mitarbeiter!$G$16=FALSE,0,IF(AND(Mitarbeiter!$E$16&lt;&gt;"",FJ$5+6&lt;Mitarbeiter!$E$16),0,IF(AND(Mitarbeiter!$F$16&lt;&gt;"",FJ$5&gt;Mitarbeiter!$F$16),0,IF(Planung!FJ18="",$C18,IF(ISNUMBER(Planung!FJ18),Planung!FJ18,IF(UPPER(Planung!FJ18)="H",$C18/2,0)))))))</f>
        <v>0</v>
      </c>
      <c r="FK18" s="27">
        <f>IF($A18="",0,IF(Mitarbeiter!$G$16=FALSE,0,IF(AND(Mitarbeiter!$E$16&lt;&gt;"",FK$5+6&lt;Mitarbeiter!$E$16),0,IF(AND(Mitarbeiter!$F$16&lt;&gt;"",FK$5&gt;Mitarbeiter!$F$16),0,IF(Planung!FK18="",$C18,IF(ISNUMBER(Planung!FK18),Planung!FK18,IF(UPPER(Planung!FK18)="H",$C18/2,0)))))))</f>
        <v>0</v>
      </c>
      <c r="FL18" s="27">
        <f>IF($A18="",0,IF(Mitarbeiter!$G$16=FALSE,0,IF(AND(Mitarbeiter!$E$16&lt;&gt;"",FL$5+6&lt;Mitarbeiter!$E$16),0,IF(AND(Mitarbeiter!$F$16&lt;&gt;"",FL$5&gt;Mitarbeiter!$F$16),0,IF(Planung!FL18="",$C18,IF(ISNUMBER(Planung!FL18),Planung!FL18,IF(UPPER(Planung!FL18)="H",$C18/2,0)))))))</f>
        <v>0</v>
      </c>
      <c r="FM18" s="27">
        <f>IF($A18="",0,IF(Mitarbeiter!$G$16=FALSE,0,IF(AND(Mitarbeiter!$E$16&lt;&gt;"",FM$5+6&lt;Mitarbeiter!$E$16),0,IF(AND(Mitarbeiter!$F$16&lt;&gt;"",FM$5&gt;Mitarbeiter!$F$16),0,IF(Planung!FM18="",$C18,IF(ISNUMBER(Planung!FM18),Planung!FM18,IF(UPPER(Planung!FM18)="H",$C18/2,0)))))))</f>
        <v>0</v>
      </c>
      <c r="FN18" s="27">
        <f>IF($A18="",0,IF(Mitarbeiter!$G$16=FALSE,0,IF(AND(Mitarbeiter!$E$16&lt;&gt;"",FN$5+6&lt;Mitarbeiter!$E$16),0,IF(AND(Mitarbeiter!$F$16&lt;&gt;"",FN$5&gt;Mitarbeiter!$F$16),0,IF(Planung!FN18="",$C18,IF(ISNUMBER(Planung!FN18),Planung!FN18,IF(UPPER(Planung!FN18)="H",$C18/2,0)))))))</f>
        <v>0</v>
      </c>
      <c r="FO18" s="27">
        <f>IF($A18="",0,IF(Mitarbeiter!$G$16=FALSE,0,IF(AND(Mitarbeiter!$E$16&lt;&gt;"",FO$5+6&lt;Mitarbeiter!$E$16),0,IF(AND(Mitarbeiter!$F$16&lt;&gt;"",FO$5&gt;Mitarbeiter!$F$16),0,IF(Planung!FO18="",$C18,IF(ISNUMBER(Planung!FO18),Planung!FO18,IF(UPPER(Planung!FO18)="H",$C18/2,0)))))))</f>
        <v>0</v>
      </c>
      <c r="FP18" s="27">
        <f>IF($A18="",0,IF(Mitarbeiter!$G$16=FALSE,0,IF(AND(Mitarbeiter!$E$16&lt;&gt;"",FP$5+6&lt;Mitarbeiter!$E$16),0,IF(AND(Mitarbeiter!$F$16&lt;&gt;"",FP$5&gt;Mitarbeiter!$F$16),0,IF(Planung!FP18="",$C18,IF(ISNUMBER(Planung!FP18),Planung!FP18,IF(UPPER(Planung!FP18)="H",$C18/2,0)))))))</f>
        <v>0</v>
      </c>
      <c r="FQ18" s="27">
        <f>IF($A18="",0,IF(Mitarbeiter!$G$16=FALSE,0,IF(AND(Mitarbeiter!$E$16&lt;&gt;"",FQ$5+6&lt;Mitarbeiter!$E$16),0,IF(AND(Mitarbeiter!$F$16&lt;&gt;"",FQ$5&gt;Mitarbeiter!$F$16),0,IF(Planung!FQ18="",$C18,IF(ISNUMBER(Planung!FQ18),Planung!FQ18,IF(UPPER(Planung!FQ18)="H",$C18/2,0)))))))</f>
        <v>0</v>
      </c>
      <c r="FR18" s="27">
        <f>IF($A18="",0,IF(Mitarbeiter!$G$16=FALSE,0,IF(AND(Mitarbeiter!$E$16&lt;&gt;"",FR$5+6&lt;Mitarbeiter!$E$16),0,IF(AND(Mitarbeiter!$F$16&lt;&gt;"",FR$5&gt;Mitarbeiter!$F$16),0,IF(Planung!FR18="",$C18,IF(ISNUMBER(Planung!FR18),Planung!FR18,IF(UPPER(Planung!FR18)="H",$C18/2,0)))))))</f>
        <v>0</v>
      </c>
      <c r="FS18" s="27">
        <f>IF($A18="",0,IF(Mitarbeiter!$G$16=FALSE,0,IF(AND(Mitarbeiter!$E$16&lt;&gt;"",FS$5+6&lt;Mitarbeiter!$E$16),0,IF(AND(Mitarbeiter!$F$16&lt;&gt;"",FS$5&gt;Mitarbeiter!$F$16),0,IF(Planung!FS18="",$C18,IF(ISNUMBER(Planung!FS18),Planung!FS18,IF(UPPER(Planung!FS18)="H",$C18/2,0)))))))</f>
        <v>0</v>
      </c>
      <c r="FT18" s="27">
        <f>IF($A18="",0,IF(Mitarbeiter!$G$16=FALSE,0,IF(AND(Mitarbeiter!$E$16&lt;&gt;"",FT$5+6&lt;Mitarbeiter!$E$16),0,IF(AND(Mitarbeiter!$F$16&lt;&gt;"",FT$5&gt;Mitarbeiter!$F$16),0,IF(Planung!FT18="",$C18,IF(ISNUMBER(Planung!FT18),Planung!FT18,IF(UPPER(Planung!FT18)="H",$C18/2,0)))))))</f>
        <v>0</v>
      </c>
      <c r="FU18" s="27">
        <f>IF($A18="",0,IF(Mitarbeiter!$G$16=FALSE,0,IF(AND(Mitarbeiter!$E$16&lt;&gt;"",FU$5+6&lt;Mitarbeiter!$E$16),0,IF(AND(Mitarbeiter!$F$16&lt;&gt;"",FU$5&gt;Mitarbeiter!$F$16),0,IF(Planung!FU18="",$C18,IF(ISNUMBER(Planung!FU18),Planung!FU18,IF(UPPER(Planung!FU18)="H",$C18/2,0)))))))</f>
        <v>0</v>
      </c>
      <c r="FV18" s="27">
        <f>IF($A18="",0,IF(Mitarbeiter!$G$16=FALSE,0,IF(AND(Mitarbeiter!$E$16&lt;&gt;"",FV$5+6&lt;Mitarbeiter!$E$16),0,IF(AND(Mitarbeiter!$F$16&lt;&gt;"",FV$5&gt;Mitarbeiter!$F$16),0,IF(Planung!FV18="",$C18,IF(ISNUMBER(Planung!FV18),Planung!FV18,IF(UPPER(Planung!FV18)="H",$C18/2,0)))))))</f>
        <v>0</v>
      </c>
      <c r="FW18" s="27">
        <f>IF($A18="",0,IF(Mitarbeiter!$G$16=FALSE,0,IF(AND(Mitarbeiter!$E$16&lt;&gt;"",FW$5+6&lt;Mitarbeiter!$E$16),0,IF(AND(Mitarbeiter!$F$16&lt;&gt;"",FW$5&gt;Mitarbeiter!$F$16),0,IF(Planung!FW18="",$C18,IF(ISNUMBER(Planung!FW18),Planung!FW18,IF(UPPER(Planung!FW18)="H",$C18/2,0)))))))</f>
        <v>0</v>
      </c>
      <c r="FX18" s="27">
        <f>IF($A18="",0,IF(Mitarbeiter!$G$16=FALSE,0,IF(AND(Mitarbeiter!$E$16&lt;&gt;"",FX$5+6&lt;Mitarbeiter!$E$16),0,IF(AND(Mitarbeiter!$F$16&lt;&gt;"",FX$5&gt;Mitarbeiter!$F$16),0,IF(Planung!FX18="",$C18,IF(ISNUMBER(Planung!FX18),Planung!FX18,IF(UPPER(Planung!FX18)="H",$C18/2,0)))))))</f>
        <v>0</v>
      </c>
      <c r="FY18" s="27">
        <f>IF($A18="",0,IF(Mitarbeiter!$G$16=FALSE,0,IF(AND(Mitarbeiter!$E$16&lt;&gt;"",FY$5+6&lt;Mitarbeiter!$E$16),0,IF(AND(Mitarbeiter!$F$16&lt;&gt;"",FY$5&gt;Mitarbeiter!$F$16),0,IF(Planung!FY18="",$C18,IF(ISNUMBER(Planung!FY18),Planung!FY18,IF(UPPER(Planung!FY18)="H",$C18/2,0)))))))</f>
        <v>0</v>
      </c>
      <c r="FZ18" s="27">
        <f>IF($A18="",0,IF(Mitarbeiter!$G$16=FALSE,0,IF(AND(Mitarbeiter!$E$16&lt;&gt;"",FZ$5+6&lt;Mitarbeiter!$E$16),0,IF(AND(Mitarbeiter!$F$16&lt;&gt;"",FZ$5&gt;Mitarbeiter!$F$16),0,IF(Planung!FZ18="",$C18,IF(ISNUMBER(Planung!FZ18),Planung!FZ18,IF(UPPER(Planung!FZ18)="H",$C18/2,0)))))))</f>
        <v>0</v>
      </c>
      <c r="GA18" s="27">
        <f>IF($A18="",0,IF(Mitarbeiter!$G$16=FALSE,0,IF(AND(Mitarbeiter!$E$16&lt;&gt;"",GA$5+6&lt;Mitarbeiter!$E$16),0,IF(AND(Mitarbeiter!$F$16&lt;&gt;"",GA$5&gt;Mitarbeiter!$F$16),0,IF(Planung!GA18="",$C18,IF(ISNUMBER(Planung!GA18),Planung!GA18,IF(UPPER(Planung!GA18)="H",$C18/2,0)))))))</f>
        <v>0</v>
      </c>
      <c r="GB18" s="27">
        <f>IF($A18="",0,IF(Mitarbeiter!$G$16=FALSE,0,IF(AND(Mitarbeiter!$E$16&lt;&gt;"",GB$5+6&lt;Mitarbeiter!$E$16),0,IF(AND(Mitarbeiter!$F$16&lt;&gt;"",GB$5&gt;Mitarbeiter!$F$16),0,IF(Planung!GB18="",$C18,IF(ISNUMBER(Planung!GB18),Planung!GB18,IF(UPPER(Planung!GB18)="H",$C18/2,0)))))))</f>
        <v>0</v>
      </c>
      <c r="GC18" s="27">
        <f>IF($A18="",0,IF(Mitarbeiter!$G$16=FALSE,0,IF(AND(Mitarbeiter!$E$16&lt;&gt;"",GC$5+6&lt;Mitarbeiter!$E$16),0,IF(AND(Mitarbeiter!$F$16&lt;&gt;"",GC$5&gt;Mitarbeiter!$F$16),0,IF(Planung!GC18="",$C18,IF(ISNUMBER(Planung!GC18),Planung!GC18,IF(UPPER(Planung!GC18)="H",$C18/2,0)))))))</f>
        <v>0</v>
      </c>
      <c r="GD18" s="27">
        <f>IF($A18="",0,IF(Mitarbeiter!$G$16=FALSE,0,IF(AND(Mitarbeiter!$E$16&lt;&gt;"",GD$5+6&lt;Mitarbeiter!$E$16),0,IF(AND(Mitarbeiter!$F$16&lt;&gt;"",GD$5&gt;Mitarbeiter!$F$16),0,IF(Planung!GD18="",$C18,IF(ISNUMBER(Planung!GD18),Planung!GD18,IF(UPPER(Planung!GD18)="H",$C18/2,0)))))))</f>
        <v>0</v>
      </c>
      <c r="GE18" s="27">
        <f>IF($A18="",0,IF(Mitarbeiter!$G$16=FALSE,0,IF(AND(Mitarbeiter!$E$16&lt;&gt;"",GE$5+6&lt;Mitarbeiter!$E$16),0,IF(AND(Mitarbeiter!$F$16&lt;&gt;"",GE$5&gt;Mitarbeiter!$F$16),0,IF(Planung!GE18="",$C18,IF(ISNUMBER(Planung!GE18),Planung!GE18,IF(UPPER(Planung!GE18)="H",$C18/2,0)))))))</f>
        <v>0</v>
      </c>
      <c r="GF18" s="27">
        <f>IF($A18="",0,IF(Mitarbeiter!$G$16=FALSE,0,IF(AND(Mitarbeiter!$E$16&lt;&gt;"",GF$5+6&lt;Mitarbeiter!$E$16),0,IF(AND(Mitarbeiter!$F$16&lt;&gt;"",GF$5&gt;Mitarbeiter!$F$16),0,IF(Planung!GF18="",$C18,IF(ISNUMBER(Planung!GF18),Planung!GF18,IF(UPPER(Planung!GF18)="H",$C18/2,0)))))))</f>
        <v>0</v>
      </c>
      <c r="GG18" s="27">
        <f>IF($A18="",0,IF(Mitarbeiter!$G$16=FALSE,0,IF(AND(Mitarbeiter!$E$16&lt;&gt;"",GG$5+6&lt;Mitarbeiter!$E$16),0,IF(AND(Mitarbeiter!$F$16&lt;&gt;"",GG$5&gt;Mitarbeiter!$F$16),0,IF(Planung!GG18="",$C18,IF(ISNUMBER(Planung!GG18),Planung!GG18,IF(UPPER(Planung!GG18)="H",$C18/2,0)))))))</f>
        <v>0</v>
      </c>
      <c r="GH18" s="27">
        <f>IF($A18="",0,IF(Mitarbeiter!$G$16=FALSE,0,IF(AND(Mitarbeiter!$E$16&lt;&gt;"",GH$5+6&lt;Mitarbeiter!$E$16),0,IF(AND(Mitarbeiter!$F$16&lt;&gt;"",GH$5&gt;Mitarbeiter!$F$16),0,IF(Planung!GH18="",$C18,IF(ISNUMBER(Planung!GH18),Planung!GH18,IF(UPPER(Planung!GH18)="H",$C18/2,0)))))))</f>
        <v>0</v>
      </c>
      <c r="GI18" s="27">
        <f>IF($A18="",0,IF(Mitarbeiter!$G$16=FALSE,0,IF(AND(Mitarbeiter!$E$16&lt;&gt;"",GI$5+6&lt;Mitarbeiter!$E$16),0,IF(AND(Mitarbeiter!$F$16&lt;&gt;"",GI$5&gt;Mitarbeiter!$F$16),0,IF(Planung!GI18="",$C18,IF(ISNUMBER(Planung!GI18),Planung!GI18,IF(UPPER(Planung!GI18)="H",$C18/2,0)))))))</f>
        <v>0</v>
      </c>
      <c r="GJ18" s="27">
        <f>IF($A18="",0,IF(Mitarbeiter!$G$16=FALSE,0,IF(AND(Mitarbeiter!$E$16&lt;&gt;"",GJ$5+6&lt;Mitarbeiter!$E$16),0,IF(AND(Mitarbeiter!$F$16&lt;&gt;"",GJ$5&gt;Mitarbeiter!$F$16),0,IF(Planung!GJ18="",$C18,IF(ISNUMBER(Planung!GJ18),Planung!GJ18,IF(UPPER(Planung!GJ18)="H",$C18/2,0)))))))</f>
        <v>0</v>
      </c>
      <c r="GK18" s="27">
        <f>IF($A18="",0,IF(Mitarbeiter!$G$16=FALSE,0,IF(AND(Mitarbeiter!$E$16&lt;&gt;"",GK$5+6&lt;Mitarbeiter!$E$16),0,IF(AND(Mitarbeiter!$F$16&lt;&gt;"",GK$5&gt;Mitarbeiter!$F$16),0,IF(Planung!GK18="",$C18,IF(ISNUMBER(Planung!GK18),Planung!GK18,IF(UPPER(Planung!GK18)="H",$C18/2,0)))))))</f>
        <v>0</v>
      </c>
      <c r="GL18" s="27">
        <f>IF($A18="",0,IF(Mitarbeiter!$G$16=FALSE,0,IF(AND(Mitarbeiter!$E$16&lt;&gt;"",GL$5+6&lt;Mitarbeiter!$E$16),0,IF(AND(Mitarbeiter!$F$16&lt;&gt;"",GL$5&gt;Mitarbeiter!$F$16),0,IF(Planung!GL18="",$C18,IF(ISNUMBER(Planung!GL18),Planung!GL18,IF(UPPER(Planung!GL18)="H",$C18/2,0)))))))</f>
        <v>0</v>
      </c>
      <c r="GM18" s="27">
        <f>IF($A18="",0,IF(Mitarbeiter!$G$16=FALSE,0,IF(AND(Mitarbeiter!$E$16&lt;&gt;"",GM$5+6&lt;Mitarbeiter!$E$16),0,IF(AND(Mitarbeiter!$F$16&lt;&gt;"",GM$5&gt;Mitarbeiter!$F$16),0,IF(Planung!GM18="",$C18,IF(ISNUMBER(Planung!GM18),Planung!GM18,IF(UPPER(Planung!GM18)="H",$C18/2,0)))))))</f>
        <v>0</v>
      </c>
      <c r="GN18" s="27">
        <f>IF($A18="",0,IF(Mitarbeiter!$G$16=FALSE,0,IF(AND(Mitarbeiter!$E$16&lt;&gt;"",GN$5+6&lt;Mitarbeiter!$E$16),0,IF(AND(Mitarbeiter!$F$16&lt;&gt;"",GN$5&gt;Mitarbeiter!$F$16),0,IF(Planung!GN18="",$C18,IF(ISNUMBER(Planung!GN18),Planung!GN18,IF(UPPER(Planung!GN18)="H",$C18/2,0)))))))</f>
        <v>0</v>
      </c>
      <c r="GO18" s="27">
        <f>IF($A18="",0,IF(Mitarbeiter!$G$16=FALSE,0,IF(AND(Mitarbeiter!$E$16&lt;&gt;"",GO$5+6&lt;Mitarbeiter!$E$16),0,IF(AND(Mitarbeiter!$F$16&lt;&gt;"",GO$5&gt;Mitarbeiter!$F$16),0,IF(Planung!GO18="",$C18,IF(ISNUMBER(Planung!GO18),Planung!GO18,IF(UPPER(Planung!GO18)="H",$C18/2,0)))))))</f>
        <v>0</v>
      </c>
      <c r="GP18" s="27">
        <f>IF($A18="",0,IF(Mitarbeiter!$G$16=FALSE,0,IF(AND(Mitarbeiter!$E$16&lt;&gt;"",GP$5+6&lt;Mitarbeiter!$E$16),0,IF(AND(Mitarbeiter!$F$16&lt;&gt;"",GP$5&gt;Mitarbeiter!$F$16),0,IF(Planung!GP18="",$C18,IF(ISNUMBER(Planung!GP18),Planung!GP18,IF(UPPER(Planung!GP18)="H",$C18/2,0)))))))</f>
        <v>0</v>
      </c>
      <c r="GQ18" s="27">
        <f>IF($A18="",0,IF(Mitarbeiter!$G$16=FALSE,0,IF(AND(Mitarbeiter!$E$16&lt;&gt;"",GQ$5+6&lt;Mitarbeiter!$E$16),0,IF(AND(Mitarbeiter!$F$16&lt;&gt;"",GQ$5&gt;Mitarbeiter!$F$16),0,IF(Planung!GQ18="",$C18,IF(ISNUMBER(Planung!GQ18),Planung!GQ18,IF(UPPER(Planung!GQ18)="H",$C18/2,0)))))))</f>
        <v>0</v>
      </c>
      <c r="GR18" s="27">
        <f>IF($A18="",0,IF(Mitarbeiter!$G$16=FALSE,0,IF(AND(Mitarbeiter!$E$16&lt;&gt;"",GR$5+6&lt;Mitarbeiter!$E$16),0,IF(AND(Mitarbeiter!$F$16&lt;&gt;"",GR$5&gt;Mitarbeiter!$F$16),0,IF(Planung!GR18="",$C18,IF(ISNUMBER(Planung!GR18),Planung!GR18,IF(UPPER(Planung!GR18)="H",$C18/2,0)))))))</f>
        <v>0</v>
      </c>
      <c r="GS18" s="27">
        <f>IF($A18="",0,IF(Mitarbeiter!$G$16=FALSE,0,IF(AND(Mitarbeiter!$E$16&lt;&gt;"",GS$5+6&lt;Mitarbeiter!$E$16),0,IF(AND(Mitarbeiter!$F$16&lt;&gt;"",GS$5&gt;Mitarbeiter!$F$16),0,IF(Planung!GS18="",$C18,IF(ISNUMBER(Planung!GS18),Planung!GS18,IF(UPPER(Planung!GS18)="H",$C18/2,0)))))))</f>
        <v>0</v>
      </c>
      <c r="GT18" s="27">
        <f>IF($A18="",0,IF(Mitarbeiter!$G$16=FALSE,0,IF(AND(Mitarbeiter!$E$16&lt;&gt;"",GT$5+6&lt;Mitarbeiter!$E$16),0,IF(AND(Mitarbeiter!$F$16&lt;&gt;"",GT$5&gt;Mitarbeiter!$F$16),0,IF(Planung!GT18="",$C18,IF(ISNUMBER(Planung!GT18),Planung!GT18,IF(UPPER(Planung!GT18)="H",$C18/2,0)))))))</f>
        <v>0</v>
      </c>
      <c r="GU18" s="27">
        <f>IF($A18="",0,IF(Mitarbeiter!$G$16=FALSE,0,IF(AND(Mitarbeiter!$E$16&lt;&gt;"",GU$5+6&lt;Mitarbeiter!$E$16),0,IF(AND(Mitarbeiter!$F$16&lt;&gt;"",GU$5&gt;Mitarbeiter!$F$16),0,IF(Planung!GU18="",$C18,IF(ISNUMBER(Planung!GU18),Planung!GU18,IF(UPPER(Planung!GU18)="H",$C18/2,0)))))))</f>
        <v>0</v>
      </c>
      <c r="GV18" s="27">
        <f>IF($A18="",0,IF(Mitarbeiter!$G$16=FALSE,0,IF(AND(Mitarbeiter!$E$16&lt;&gt;"",GV$5+6&lt;Mitarbeiter!$E$16),0,IF(AND(Mitarbeiter!$F$16&lt;&gt;"",GV$5&gt;Mitarbeiter!$F$16),0,IF(Planung!GV18="",$C18,IF(ISNUMBER(Planung!GV18),Planung!GV18,IF(UPPER(Planung!GV18)="H",$C18/2,0)))))))</f>
        <v>0</v>
      </c>
      <c r="GW18" s="27">
        <f>IF($A18="",0,IF(Mitarbeiter!$G$16=FALSE,0,IF(AND(Mitarbeiter!$E$16&lt;&gt;"",GW$5+6&lt;Mitarbeiter!$E$16),0,IF(AND(Mitarbeiter!$F$16&lt;&gt;"",GW$5&gt;Mitarbeiter!$F$16),0,IF(Planung!GW18="",$C18,IF(ISNUMBER(Planung!GW18),Planung!GW18,IF(UPPER(Planung!GW18)="H",$C18/2,0)))))))</f>
        <v>0</v>
      </c>
      <c r="GX18" s="27">
        <f>IF($A18="",0,IF(Mitarbeiter!$G$16=FALSE,0,IF(AND(Mitarbeiter!$E$16&lt;&gt;"",GX$5+6&lt;Mitarbeiter!$E$16),0,IF(AND(Mitarbeiter!$F$16&lt;&gt;"",GX$5&gt;Mitarbeiter!$F$16),0,IF(Planung!GX18="",$C18,IF(ISNUMBER(Planung!GX18),Planung!GX18,IF(UPPER(Planung!GX18)="H",$C18/2,0)))))))</f>
        <v>0</v>
      </c>
      <c r="GY18" s="27">
        <f>IF($A18="",0,IF(Mitarbeiter!$G$16=FALSE,0,IF(AND(Mitarbeiter!$E$16&lt;&gt;"",GY$5+6&lt;Mitarbeiter!$E$16),0,IF(AND(Mitarbeiter!$F$16&lt;&gt;"",GY$5&gt;Mitarbeiter!$F$16),0,IF(Planung!GY18="",$C18,IF(ISNUMBER(Planung!GY18),Planung!GY18,IF(UPPER(Planung!GY18)="H",$C18/2,0)))))))</f>
        <v>0</v>
      </c>
      <c r="GZ18" s="27">
        <f>IF($A18="",0,IF(Mitarbeiter!$G$16=FALSE,0,IF(AND(Mitarbeiter!$E$16&lt;&gt;"",GZ$5+6&lt;Mitarbeiter!$E$16),0,IF(AND(Mitarbeiter!$F$16&lt;&gt;"",GZ$5&gt;Mitarbeiter!$F$16),0,IF(Planung!GZ18="",$C18,IF(ISNUMBER(Planung!GZ18),Planung!GZ18,IF(UPPER(Planung!GZ18)="H",$C18/2,0)))))))</f>
        <v>0</v>
      </c>
      <c r="HA18" s="27">
        <f>IF($A18="",0,IF(Mitarbeiter!$G$16=FALSE,0,IF(AND(Mitarbeiter!$E$16&lt;&gt;"",HA$5+6&lt;Mitarbeiter!$E$16),0,IF(AND(Mitarbeiter!$F$16&lt;&gt;"",HA$5&gt;Mitarbeiter!$F$16),0,IF(Planung!HA18="",$C18,IF(ISNUMBER(Planung!HA18),Planung!HA18,IF(UPPER(Planung!HA18)="H",$C18/2,0)))))))</f>
        <v>0</v>
      </c>
      <c r="HB18" s="27">
        <f>IF($A18="",0,IF(Mitarbeiter!$G$16=FALSE,0,IF(AND(Mitarbeiter!$E$16&lt;&gt;"",HB$5+6&lt;Mitarbeiter!$E$16),0,IF(AND(Mitarbeiter!$F$16&lt;&gt;"",HB$5&gt;Mitarbeiter!$F$16),0,IF(Planung!HB18="",$C18,IF(ISNUMBER(Planung!HB18),Planung!HB18,IF(UPPER(Planung!HB18)="H",$C18/2,0)))))))</f>
        <v>0</v>
      </c>
      <c r="HC18" s="27">
        <f>IF($A18="",0,IF(Mitarbeiter!$G$16=FALSE,0,IF(AND(Mitarbeiter!$E$16&lt;&gt;"",HC$5+6&lt;Mitarbeiter!$E$16),0,IF(AND(Mitarbeiter!$F$16&lt;&gt;"",HC$5&gt;Mitarbeiter!$F$16),0,IF(Planung!HC18="",$C18,IF(ISNUMBER(Planung!HC18),Planung!HC18,IF(UPPER(Planung!HC18)="H",$C18/2,0)))))))</f>
        <v>0</v>
      </c>
      <c r="HD18" s="27">
        <f>IF($A18="",0,IF(Mitarbeiter!$G$16=FALSE,0,IF(AND(Mitarbeiter!$E$16&lt;&gt;"",HD$5+6&lt;Mitarbeiter!$E$16),0,IF(AND(Mitarbeiter!$F$16&lt;&gt;"",HD$5&gt;Mitarbeiter!$F$16),0,IF(Planung!HD18="",$C18,IF(ISNUMBER(Planung!HD18),Planung!HD18,IF(UPPER(Planung!HD18)="H",$C18/2,0)))))))</f>
        <v>0</v>
      </c>
      <c r="HE18" s="27">
        <f>IF($A18="",0,IF(Mitarbeiter!$G$16=FALSE,0,IF(AND(Mitarbeiter!$E$16&lt;&gt;"",HE$5+6&lt;Mitarbeiter!$E$16),0,IF(AND(Mitarbeiter!$F$16&lt;&gt;"",HE$5&gt;Mitarbeiter!$F$16),0,IF(Planung!HE18="",$C18,IF(ISNUMBER(Planung!HE18),Planung!HE18,IF(UPPER(Planung!HE18)="H",$C18/2,0)))))))</f>
        <v>0</v>
      </c>
      <c r="HF18" s="27">
        <f>IF($A18="",0,IF(Mitarbeiter!$G$16=FALSE,0,IF(AND(Mitarbeiter!$E$16&lt;&gt;"",HF$5+6&lt;Mitarbeiter!$E$16),0,IF(AND(Mitarbeiter!$F$16&lt;&gt;"",HF$5&gt;Mitarbeiter!$F$16),0,IF(Planung!HF18="",$C18,IF(ISNUMBER(Planung!HF18),Planung!HF18,IF(UPPER(Planung!HF18)="H",$C18/2,0)))))))</f>
        <v>0</v>
      </c>
      <c r="HG18" s="27">
        <f>IF($A18="",0,IF(Mitarbeiter!$G$16=FALSE,0,IF(AND(Mitarbeiter!$E$16&lt;&gt;"",HG$5+6&lt;Mitarbeiter!$E$16),0,IF(AND(Mitarbeiter!$F$16&lt;&gt;"",HG$5&gt;Mitarbeiter!$F$16),0,IF(Planung!HG18="",$C18,IF(ISNUMBER(Planung!HG18),Planung!HG18,IF(UPPER(Planung!HG18)="H",$C18/2,0)))))))</f>
        <v>0</v>
      </c>
      <c r="HH18" s="27">
        <f>IF($A18="",0,IF(Mitarbeiter!$G$16=FALSE,0,IF(AND(Mitarbeiter!$E$16&lt;&gt;"",HH$5+6&lt;Mitarbeiter!$E$16),0,IF(AND(Mitarbeiter!$F$16&lt;&gt;"",HH$5&gt;Mitarbeiter!$F$16),0,IF(Planung!HH18="",$C18,IF(ISNUMBER(Planung!HH18),Planung!HH18,IF(UPPER(Planung!HH18)="H",$C18/2,0)))))))</f>
        <v>0</v>
      </c>
      <c r="HI18" s="27">
        <f>IF($A18="",0,IF(Mitarbeiter!$G$16=FALSE,0,IF(AND(Mitarbeiter!$E$16&lt;&gt;"",HI$5+6&lt;Mitarbeiter!$E$16),0,IF(AND(Mitarbeiter!$F$16&lt;&gt;"",HI$5&gt;Mitarbeiter!$F$16),0,IF(Planung!HI18="",$C18,IF(ISNUMBER(Planung!HI18),Planung!HI18,IF(UPPER(Planung!HI18)="H",$C18/2,0)))))))</f>
        <v>0</v>
      </c>
      <c r="HJ18" s="27">
        <f>IF($A18="",0,IF(Mitarbeiter!$G$16=FALSE,0,IF(AND(Mitarbeiter!$E$16&lt;&gt;"",HJ$5+6&lt;Mitarbeiter!$E$16),0,IF(AND(Mitarbeiter!$F$16&lt;&gt;"",HJ$5&gt;Mitarbeiter!$F$16),0,IF(Planung!HJ18="",$C18,IF(ISNUMBER(Planung!HJ18),Planung!HJ18,IF(UPPER(Planung!HJ18)="H",$C18/2,0)))))))</f>
        <v>0</v>
      </c>
      <c r="HK18" s="27">
        <f>IF($A18="",0,IF(Mitarbeiter!$G$16=FALSE,0,IF(AND(Mitarbeiter!$E$16&lt;&gt;"",HK$5+6&lt;Mitarbeiter!$E$16),0,IF(AND(Mitarbeiter!$F$16&lt;&gt;"",HK$5&gt;Mitarbeiter!$F$16),0,IF(Planung!HK18="",$C18,IF(ISNUMBER(Planung!HK18),Planung!HK18,IF(UPPER(Planung!HK18)="H",$C18/2,0)))))))</f>
        <v>0</v>
      </c>
      <c r="HL18" s="27">
        <f>IF($A18="",0,IF(Mitarbeiter!$G$16=FALSE,0,IF(AND(Mitarbeiter!$E$16&lt;&gt;"",HL$5+6&lt;Mitarbeiter!$E$16),0,IF(AND(Mitarbeiter!$F$16&lt;&gt;"",HL$5&gt;Mitarbeiter!$F$16),0,IF(Planung!HL18="",$C18,IF(ISNUMBER(Planung!HL18),Planung!HL18,IF(UPPER(Planung!HL18)="H",$C18/2,0)))))))</f>
        <v>0</v>
      </c>
      <c r="HM18" s="27">
        <f>IF($A18="",0,IF(Mitarbeiter!$G$16=FALSE,0,IF(AND(Mitarbeiter!$E$16&lt;&gt;"",HM$5+6&lt;Mitarbeiter!$E$16),0,IF(AND(Mitarbeiter!$F$16&lt;&gt;"",HM$5&gt;Mitarbeiter!$F$16),0,IF(Planung!HM18="",$C18,IF(ISNUMBER(Planung!HM18),Planung!HM18,IF(UPPER(Planung!HM18)="H",$C18/2,0)))))))</f>
        <v>0</v>
      </c>
      <c r="HN18" s="27">
        <f>IF($A18="",0,IF(Mitarbeiter!$G$16=FALSE,0,IF(AND(Mitarbeiter!$E$16&lt;&gt;"",HN$5+6&lt;Mitarbeiter!$E$16),0,IF(AND(Mitarbeiter!$F$16&lt;&gt;"",HN$5&gt;Mitarbeiter!$F$16),0,IF(Planung!HN18="",$C18,IF(ISNUMBER(Planung!HN18),Planung!HN18,IF(UPPER(Planung!HN18)="H",$C18/2,0)))))))</f>
        <v>0</v>
      </c>
      <c r="HO18" s="27">
        <f>IF($A18="",0,IF(Mitarbeiter!$G$16=FALSE,0,IF(AND(Mitarbeiter!$E$16&lt;&gt;"",HO$5+6&lt;Mitarbeiter!$E$16),0,IF(AND(Mitarbeiter!$F$16&lt;&gt;"",HO$5&gt;Mitarbeiter!$F$16),0,IF(Planung!HO18="",$C18,IF(ISNUMBER(Planung!HO18),Planung!HO18,IF(UPPER(Planung!HO18)="H",$C18/2,0)))))))</f>
        <v>0</v>
      </c>
      <c r="HP18" s="27">
        <f>IF($A18="",0,IF(Mitarbeiter!$G$16=FALSE,0,IF(AND(Mitarbeiter!$E$16&lt;&gt;"",HP$5+6&lt;Mitarbeiter!$E$16),0,IF(AND(Mitarbeiter!$F$16&lt;&gt;"",HP$5&gt;Mitarbeiter!$F$16),0,IF(Planung!HP18="",$C18,IF(ISNUMBER(Planung!HP18),Planung!HP18,IF(UPPER(Planung!HP18)="H",$C18/2,0)))))))</f>
        <v>0</v>
      </c>
      <c r="HQ18" s="27">
        <f>IF($A18="",0,IF(Mitarbeiter!$G$16=FALSE,0,IF(AND(Mitarbeiter!$E$16&lt;&gt;"",HQ$5+6&lt;Mitarbeiter!$E$16),0,IF(AND(Mitarbeiter!$F$16&lt;&gt;"",HQ$5&gt;Mitarbeiter!$F$16),0,IF(Planung!HQ18="",$C18,IF(ISNUMBER(Planung!HQ18),Planung!HQ18,IF(UPPER(Planung!HQ18)="H",$C18/2,0)))))))</f>
        <v>0</v>
      </c>
      <c r="HR18" s="27">
        <f>IF($A18="",0,IF(Mitarbeiter!$G$16=FALSE,0,IF(AND(Mitarbeiter!$E$16&lt;&gt;"",HR$5+6&lt;Mitarbeiter!$E$16),0,IF(AND(Mitarbeiter!$F$16&lt;&gt;"",HR$5&gt;Mitarbeiter!$F$16),0,IF(Planung!HR18="",$C18,IF(ISNUMBER(Planung!HR18),Planung!HR18,IF(UPPER(Planung!HR18)="H",$C18/2,0)))))))</f>
        <v>0</v>
      </c>
      <c r="HS18" s="27">
        <f>IF($A18="",0,IF(Mitarbeiter!$G$16=FALSE,0,IF(AND(Mitarbeiter!$E$16&lt;&gt;"",HS$5+6&lt;Mitarbeiter!$E$16),0,IF(AND(Mitarbeiter!$F$16&lt;&gt;"",HS$5&gt;Mitarbeiter!$F$16),0,IF(Planung!HS18="",$C18,IF(ISNUMBER(Planung!HS18),Planung!HS18,IF(UPPER(Planung!HS18)="H",$C18/2,0)))))))</f>
        <v>0</v>
      </c>
      <c r="HT18" s="27">
        <f>IF($A18="",0,IF(Mitarbeiter!$G$16=FALSE,0,IF(AND(Mitarbeiter!$E$16&lt;&gt;"",HT$5+6&lt;Mitarbeiter!$E$16),0,IF(AND(Mitarbeiter!$F$16&lt;&gt;"",HT$5&gt;Mitarbeiter!$F$16),0,IF(Planung!HT18="",$C18,IF(ISNUMBER(Planung!HT18),Planung!HT18,IF(UPPER(Planung!HT18)="H",$C18/2,0)))))))</f>
        <v>0</v>
      </c>
      <c r="HU18" s="27">
        <f>IF($A18="",0,IF(Mitarbeiter!$G$16=FALSE,0,IF(AND(Mitarbeiter!$E$16&lt;&gt;"",HU$5+6&lt;Mitarbeiter!$E$16),0,IF(AND(Mitarbeiter!$F$16&lt;&gt;"",HU$5&gt;Mitarbeiter!$F$16),0,IF(Planung!HU18="",$C18,IF(ISNUMBER(Planung!HU18),Planung!HU18,IF(UPPER(Planung!HU18)="H",$C18/2,0)))))))</f>
        <v>0</v>
      </c>
      <c r="HV18" s="27">
        <f>IF($A18="",0,IF(Mitarbeiter!$G$16=FALSE,0,IF(AND(Mitarbeiter!$E$16&lt;&gt;"",HV$5+6&lt;Mitarbeiter!$E$16),0,IF(AND(Mitarbeiter!$F$16&lt;&gt;"",HV$5&gt;Mitarbeiter!$F$16),0,IF(Planung!HV18="",$C18,IF(ISNUMBER(Planung!HV18),Planung!HV18,IF(UPPER(Planung!HV18)="H",$C18/2,0)))))))</f>
        <v>0</v>
      </c>
      <c r="HW18" s="27">
        <f>IF($A18="",0,IF(Mitarbeiter!$G$16=FALSE,0,IF(AND(Mitarbeiter!$E$16&lt;&gt;"",HW$5+6&lt;Mitarbeiter!$E$16),0,IF(AND(Mitarbeiter!$F$16&lt;&gt;"",HW$5&gt;Mitarbeiter!$F$16),0,IF(Planung!HW18="",$C18,IF(ISNUMBER(Planung!HW18),Planung!HW18,IF(UPPER(Planung!HW18)="H",$C18/2,0)))))))</f>
        <v>0</v>
      </c>
      <c r="HX18" s="27">
        <f>IF($A18="",0,IF(Mitarbeiter!$G$16=FALSE,0,IF(AND(Mitarbeiter!$E$16&lt;&gt;"",HX$5+6&lt;Mitarbeiter!$E$16),0,IF(AND(Mitarbeiter!$F$16&lt;&gt;"",HX$5&gt;Mitarbeiter!$F$16),0,IF(Planung!HX18="",$C18,IF(ISNUMBER(Planung!HX18),Planung!HX18,IF(UPPER(Planung!HX18)="H",$C18/2,0)))))))</f>
        <v>0</v>
      </c>
      <c r="HY18" s="27">
        <f>IF($A18="",0,IF(Mitarbeiter!$G$16=FALSE,0,IF(AND(Mitarbeiter!$E$16&lt;&gt;"",HY$5+6&lt;Mitarbeiter!$E$16),0,IF(AND(Mitarbeiter!$F$16&lt;&gt;"",HY$5&gt;Mitarbeiter!$F$16),0,IF(Planung!HY18="",$C18,IF(ISNUMBER(Planung!HY18),Planung!HY18,IF(UPPER(Planung!HY18)="H",$C18/2,0)))))))</f>
        <v>0</v>
      </c>
      <c r="HZ18" s="27">
        <f>IF($A18="",0,IF(Mitarbeiter!$G$16=FALSE,0,IF(AND(Mitarbeiter!$E$16&lt;&gt;"",HZ$5+6&lt;Mitarbeiter!$E$16),0,IF(AND(Mitarbeiter!$F$16&lt;&gt;"",HZ$5&gt;Mitarbeiter!$F$16),0,IF(Planung!HZ18="",$C18,IF(ISNUMBER(Planung!HZ18),Planung!HZ18,IF(UPPER(Planung!HZ18)="H",$C18/2,0)))))))</f>
        <v>0</v>
      </c>
      <c r="IA18" s="27">
        <f>IF($A18="",0,IF(Mitarbeiter!$G$16=FALSE,0,IF(AND(Mitarbeiter!$E$16&lt;&gt;"",IA$5+6&lt;Mitarbeiter!$E$16),0,IF(AND(Mitarbeiter!$F$16&lt;&gt;"",IA$5&gt;Mitarbeiter!$F$16),0,IF(Planung!IA18="",$C18,IF(ISNUMBER(Planung!IA18),Planung!IA18,IF(UPPER(Planung!IA18)="H",$C18/2,0)))))))</f>
        <v>0</v>
      </c>
    </row>
    <row r="19" spans="1:235" x14ac:dyDescent="0.25">
      <c r="A19" s="7" t="str">
        <f>Planung!A19</f>
        <v/>
      </c>
      <c r="B19" s="7" t="str">
        <f>Planung!B19</f>
        <v/>
      </c>
      <c r="C19" s="27">
        <f>N(Mitarbeiter!$D$17)</f>
        <v>0</v>
      </c>
      <c r="D19" s="27">
        <f>IF($A19="",0,IF(Mitarbeiter!$G$17=FALSE,0,IF(AND(Mitarbeiter!$E$17&lt;&gt;"",D$5+6&lt;Mitarbeiter!$E$17),0,IF(AND(Mitarbeiter!$F$17&lt;&gt;"",D$5&gt;Mitarbeiter!$F$17),0,IF(Planung!D19="",$C19,IF(ISNUMBER(Planung!D19),Planung!D19,IF(UPPER(Planung!D19)="H",$C19/2,0)))))))</f>
        <v>0</v>
      </c>
      <c r="E19" s="27">
        <f>IF($A19="",0,IF(Mitarbeiter!$G$17=FALSE,0,IF(AND(Mitarbeiter!$E$17&lt;&gt;"",E$5+6&lt;Mitarbeiter!$E$17),0,IF(AND(Mitarbeiter!$F$17&lt;&gt;"",E$5&gt;Mitarbeiter!$F$17),0,IF(Planung!E19="",$C19,IF(ISNUMBER(Planung!E19),Planung!E19,IF(UPPER(Planung!E19)="H",$C19/2,0)))))))</f>
        <v>0</v>
      </c>
      <c r="F19" s="27">
        <f>IF($A19="",0,IF(Mitarbeiter!$G$17=FALSE,0,IF(AND(Mitarbeiter!$E$17&lt;&gt;"",F$5+6&lt;Mitarbeiter!$E$17),0,IF(AND(Mitarbeiter!$F$17&lt;&gt;"",F$5&gt;Mitarbeiter!$F$17),0,IF(Planung!F19="",$C19,IF(ISNUMBER(Planung!F19),Planung!F19,IF(UPPER(Planung!F19)="H",$C19/2,0)))))))</f>
        <v>0</v>
      </c>
      <c r="G19" s="27">
        <f>IF($A19="",0,IF(Mitarbeiter!$G$17=FALSE,0,IF(AND(Mitarbeiter!$E$17&lt;&gt;"",G$5+6&lt;Mitarbeiter!$E$17),0,IF(AND(Mitarbeiter!$F$17&lt;&gt;"",G$5&gt;Mitarbeiter!$F$17),0,IF(Planung!G19="",$C19,IF(ISNUMBER(Planung!G19),Planung!G19,IF(UPPER(Planung!G19)="H",$C19/2,0)))))))</f>
        <v>0</v>
      </c>
      <c r="H19" s="27">
        <f>IF($A19="",0,IF(Mitarbeiter!$G$17=FALSE,0,IF(AND(Mitarbeiter!$E$17&lt;&gt;"",H$5+6&lt;Mitarbeiter!$E$17),0,IF(AND(Mitarbeiter!$F$17&lt;&gt;"",H$5&gt;Mitarbeiter!$F$17),0,IF(Planung!H19="",$C19,IF(ISNUMBER(Planung!H19),Planung!H19,IF(UPPER(Planung!H19)="H",$C19/2,0)))))))</f>
        <v>0</v>
      </c>
      <c r="I19" s="27">
        <f>IF($A19="",0,IF(Mitarbeiter!$G$17=FALSE,0,IF(AND(Mitarbeiter!$E$17&lt;&gt;"",I$5+6&lt;Mitarbeiter!$E$17),0,IF(AND(Mitarbeiter!$F$17&lt;&gt;"",I$5&gt;Mitarbeiter!$F$17),0,IF(Planung!I19="",$C19,IF(ISNUMBER(Planung!I19),Planung!I19,IF(UPPER(Planung!I19)="H",$C19/2,0)))))))</f>
        <v>0</v>
      </c>
      <c r="J19" s="27">
        <f>IF($A19="",0,IF(Mitarbeiter!$G$17=FALSE,0,IF(AND(Mitarbeiter!$E$17&lt;&gt;"",J$5+6&lt;Mitarbeiter!$E$17),0,IF(AND(Mitarbeiter!$F$17&lt;&gt;"",J$5&gt;Mitarbeiter!$F$17),0,IF(Planung!J19="",$C19,IF(ISNUMBER(Planung!J19),Planung!J19,IF(UPPER(Planung!J19)="H",$C19/2,0)))))))</f>
        <v>0</v>
      </c>
      <c r="K19" s="27">
        <f>IF($A19="",0,IF(Mitarbeiter!$G$17=FALSE,0,IF(AND(Mitarbeiter!$E$17&lt;&gt;"",K$5+6&lt;Mitarbeiter!$E$17),0,IF(AND(Mitarbeiter!$F$17&lt;&gt;"",K$5&gt;Mitarbeiter!$F$17),0,IF(Planung!K19="",$C19,IF(ISNUMBER(Planung!K19),Planung!K19,IF(UPPER(Planung!K19)="H",$C19/2,0)))))))</f>
        <v>0</v>
      </c>
      <c r="L19" s="27">
        <f>IF($A19="",0,IF(Mitarbeiter!$G$17=FALSE,0,IF(AND(Mitarbeiter!$E$17&lt;&gt;"",L$5+6&lt;Mitarbeiter!$E$17),0,IF(AND(Mitarbeiter!$F$17&lt;&gt;"",L$5&gt;Mitarbeiter!$F$17),0,IF(Planung!L19="",$C19,IF(ISNUMBER(Planung!L19),Planung!L19,IF(UPPER(Planung!L19)="H",$C19/2,0)))))))</f>
        <v>0</v>
      </c>
      <c r="M19" s="27">
        <f>IF($A19="",0,IF(Mitarbeiter!$G$17=FALSE,0,IF(AND(Mitarbeiter!$E$17&lt;&gt;"",M$5+6&lt;Mitarbeiter!$E$17),0,IF(AND(Mitarbeiter!$F$17&lt;&gt;"",M$5&gt;Mitarbeiter!$F$17),0,IF(Planung!M19="",$C19,IF(ISNUMBER(Planung!M19),Planung!M19,IF(UPPER(Planung!M19)="H",$C19/2,0)))))))</f>
        <v>0</v>
      </c>
      <c r="N19" s="27">
        <f>IF($A19="",0,IF(Mitarbeiter!$G$17=FALSE,0,IF(AND(Mitarbeiter!$E$17&lt;&gt;"",N$5+6&lt;Mitarbeiter!$E$17),0,IF(AND(Mitarbeiter!$F$17&lt;&gt;"",N$5&gt;Mitarbeiter!$F$17),0,IF(Planung!N19="",$C19,IF(ISNUMBER(Planung!N19),Planung!N19,IF(UPPER(Planung!N19)="H",$C19/2,0)))))))</f>
        <v>0</v>
      </c>
      <c r="O19" s="27">
        <f>IF($A19="",0,IF(Mitarbeiter!$G$17=FALSE,0,IF(AND(Mitarbeiter!$E$17&lt;&gt;"",O$5+6&lt;Mitarbeiter!$E$17),0,IF(AND(Mitarbeiter!$F$17&lt;&gt;"",O$5&gt;Mitarbeiter!$F$17),0,IF(Planung!O19="",$C19,IF(ISNUMBER(Planung!O19),Planung!O19,IF(UPPER(Planung!O19)="H",$C19/2,0)))))))</f>
        <v>0</v>
      </c>
      <c r="P19" s="27">
        <f>IF($A19="",0,IF(Mitarbeiter!$G$17=FALSE,0,IF(AND(Mitarbeiter!$E$17&lt;&gt;"",P$5+6&lt;Mitarbeiter!$E$17),0,IF(AND(Mitarbeiter!$F$17&lt;&gt;"",P$5&gt;Mitarbeiter!$F$17),0,IF(Planung!P19="",$C19,IF(ISNUMBER(Planung!P19),Planung!P19,IF(UPPER(Planung!P19)="H",$C19/2,0)))))))</f>
        <v>0</v>
      </c>
      <c r="Q19" s="27">
        <f>IF($A19="",0,IF(Mitarbeiter!$G$17=FALSE,0,IF(AND(Mitarbeiter!$E$17&lt;&gt;"",Q$5+6&lt;Mitarbeiter!$E$17),0,IF(AND(Mitarbeiter!$F$17&lt;&gt;"",Q$5&gt;Mitarbeiter!$F$17),0,IF(Planung!Q19="",$C19,IF(ISNUMBER(Planung!Q19),Planung!Q19,IF(UPPER(Planung!Q19)="H",$C19/2,0)))))))</f>
        <v>0</v>
      </c>
      <c r="R19" s="27">
        <f>IF($A19="",0,IF(Mitarbeiter!$G$17=FALSE,0,IF(AND(Mitarbeiter!$E$17&lt;&gt;"",R$5+6&lt;Mitarbeiter!$E$17),0,IF(AND(Mitarbeiter!$F$17&lt;&gt;"",R$5&gt;Mitarbeiter!$F$17),0,IF(Planung!R19="",$C19,IF(ISNUMBER(Planung!R19),Planung!R19,IF(UPPER(Planung!R19)="H",$C19/2,0)))))))</f>
        <v>0</v>
      </c>
      <c r="S19" s="27">
        <f>IF($A19="",0,IF(Mitarbeiter!$G$17=FALSE,0,IF(AND(Mitarbeiter!$E$17&lt;&gt;"",S$5+6&lt;Mitarbeiter!$E$17),0,IF(AND(Mitarbeiter!$F$17&lt;&gt;"",S$5&gt;Mitarbeiter!$F$17),0,IF(Planung!S19="",$C19,IF(ISNUMBER(Planung!S19),Planung!S19,IF(UPPER(Planung!S19)="H",$C19/2,0)))))))</f>
        <v>0</v>
      </c>
      <c r="T19" s="27">
        <f>IF($A19="",0,IF(Mitarbeiter!$G$17=FALSE,0,IF(AND(Mitarbeiter!$E$17&lt;&gt;"",T$5+6&lt;Mitarbeiter!$E$17),0,IF(AND(Mitarbeiter!$F$17&lt;&gt;"",T$5&gt;Mitarbeiter!$F$17),0,IF(Planung!T19="",$C19,IF(ISNUMBER(Planung!T19),Planung!T19,IF(UPPER(Planung!T19)="H",$C19/2,0)))))))</f>
        <v>0</v>
      </c>
      <c r="U19" s="27">
        <f>IF($A19="",0,IF(Mitarbeiter!$G$17=FALSE,0,IF(AND(Mitarbeiter!$E$17&lt;&gt;"",U$5+6&lt;Mitarbeiter!$E$17),0,IF(AND(Mitarbeiter!$F$17&lt;&gt;"",U$5&gt;Mitarbeiter!$F$17),0,IF(Planung!U19="",$C19,IF(ISNUMBER(Planung!U19),Planung!U19,IF(UPPER(Planung!U19)="H",$C19/2,0)))))))</f>
        <v>0</v>
      </c>
      <c r="V19" s="27">
        <f>IF($A19="",0,IF(Mitarbeiter!$G$17=FALSE,0,IF(AND(Mitarbeiter!$E$17&lt;&gt;"",V$5+6&lt;Mitarbeiter!$E$17),0,IF(AND(Mitarbeiter!$F$17&lt;&gt;"",V$5&gt;Mitarbeiter!$F$17),0,IF(Planung!V19="",$C19,IF(ISNUMBER(Planung!V19),Planung!V19,IF(UPPER(Planung!V19)="H",$C19/2,0)))))))</f>
        <v>0</v>
      </c>
      <c r="W19" s="27">
        <f>IF($A19="",0,IF(Mitarbeiter!$G$17=FALSE,0,IF(AND(Mitarbeiter!$E$17&lt;&gt;"",W$5+6&lt;Mitarbeiter!$E$17),0,IF(AND(Mitarbeiter!$F$17&lt;&gt;"",W$5&gt;Mitarbeiter!$F$17),0,IF(Planung!W19="",$C19,IF(ISNUMBER(Planung!W19),Planung!W19,IF(UPPER(Planung!W19)="H",$C19/2,0)))))))</f>
        <v>0</v>
      </c>
      <c r="X19" s="27">
        <f>IF($A19="",0,IF(Mitarbeiter!$G$17=FALSE,0,IF(AND(Mitarbeiter!$E$17&lt;&gt;"",X$5+6&lt;Mitarbeiter!$E$17),0,IF(AND(Mitarbeiter!$F$17&lt;&gt;"",X$5&gt;Mitarbeiter!$F$17),0,IF(Planung!X19="",$C19,IF(ISNUMBER(Planung!X19),Planung!X19,IF(UPPER(Planung!X19)="H",$C19/2,0)))))))</f>
        <v>0</v>
      </c>
      <c r="Y19" s="27">
        <f>IF($A19="",0,IF(Mitarbeiter!$G$17=FALSE,0,IF(AND(Mitarbeiter!$E$17&lt;&gt;"",Y$5+6&lt;Mitarbeiter!$E$17),0,IF(AND(Mitarbeiter!$F$17&lt;&gt;"",Y$5&gt;Mitarbeiter!$F$17),0,IF(Planung!Y19="",$C19,IF(ISNUMBER(Planung!Y19),Planung!Y19,IF(UPPER(Planung!Y19)="H",$C19/2,0)))))))</f>
        <v>0</v>
      </c>
      <c r="Z19" s="27">
        <f>IF($A19="",0,IF(Mitarbeiter!$G$17=FALSE,0,IF(AND(Mitarbeiter!$E$17&lt;&gt;"",Z$5+6&lt;Mitarbeiter!$E$17),0,IF(AND(Mitarbeiter!$F$17&lt;&gt;"",Z$5&gt;Mitarbeiter!$F$17),0,IF(Planung!Z19="",$C19,IF(ISNUMBER(Planung!Z19),Planung!Z19,IF(UPPER(Planung!Z19)="H",$C19/2,0)))))))</f>
        <v>0</v>
      </c>
      <c r="AA19" s="27">
        <f>IF($A19="",0,IF(Mitarbeiter!$G$17=FALSE,0,IF(AND(Mitarbeiter!$E$17&lt;&gt;"",AA$5+6&lt;Mitarbeiter!$E$17),0,IF(AND(Mitarbeiter!$F$17&lt;&gt;"",AA$5&gt;Mitarbeiter!$F$17),0,IF(Planung!AA19="",$C19,IF(ISNUMBER(Planung!AA19),Planung!AA19,IF(UPPER(Planung!AA19)="H",$C19/2,0)))))))</f>
        <v>0</v>
      </c>
      <c r="AB19" s="27">
        <f>IF($A19="",0,IF(Mitarbeiter!$G$17=FALSE,0,IF(AND(Mitarbeiter!$E$17&lt;&gt;"",AB$5+6&lt;Mitarbeiter!$E$17),0,IF(AND(Mitarbeiter!$F$17&lt;&gt;"",AB$5&gt;Mitarbeiter!$F$17),0,IF(Planung!AB19="",$C19,IF(ISNUMBER(Planung!AB19),Planung!AB19,IF(UPPER(Planung!AB19)="H",$C19/2,0)))))))</f>
        <v>0</v>
      </c>
      <c r="AC19" s="27">
        <f>IF($A19="",0,IF(Mitarbeiter!$G$17=FALSE,0,IF(AND(Mitarbeiter!$E$17&lt;&gt;"",AC$5+6&lt;Mitarbeiter!$E$17),0,IF(AND(Mitarbeiter!$F$17&lt;&gt;"",AC$5&gt;Mitarbeiter!$F$17),0,IF(Planung!AC19="",$C19,IF(ISNUMBER(Planung!AC19),Planung!AC19,IF(UPPER(Planung!AC19)="H",$C19/2,0)))))))</f>
        <v>0</v>
      </c>
      <c r="AD19" s="27">
        <f>IF($A19="",0,IF(Mitarbeiter!$G$17=FALSE,0,IF(AND(Mitarbeiter!$E$17&lt;&gt;"",AD$5+6&lt;Mitarbeiter!$E$17),0,IF(AND(Mitarbeiter!$F$17&lt;&gt;"",AD$5&gt;Mitarbeiter!$F$17),0,IF(Planung!AD19="",$C19,IF(ISNUMBER(Planung!AD19),Planung!AD19,IF(UPPER(Planung!AD19)="H",$C19/2,0)))))))</f>
        <v>0</v>
      </c>
      <c r="AE19" s="27">
        <f>IF($A19="",0,IF(Mitarbeiter!$G$17=FALSE,0,IF(AND(Mitarbeiter!$E$17&lt;&gt;"",AE$5+6&lt;Mitarbeiter!$E$17),0,IF(AND(Mitarbeiter!$F$17&lt;&gt;"",AE$5&gt;Mitarbeiter!$F$17),0,IF(Planung!AE19="",$C19,IF(ISNUMBER(Planung!AE19),Planung!AE19,IF(UPPER(Planung!AE19)="H",$C19/2,0)))))))</f>
        <v>0</v>
      </c>
      <c r="AF19" s="27">
        <f>IF($A19="",0,IF(Mitarbeiter!$G$17=FALSE,0,IF(AND(Mitarbeiter!$E$17&lt;&gt;"",AF$5+6&lt;Mitarbeiter!$E$17),0,IF(AND(Mitarbeiter!$F$17&lt;&gt;"",AF$5&gt;Mitarbeiter!$F$17),0,IF(Planung!AF19="",$C19,IF(ISNUMBER(Planung!AF19),Planung!AF19,IF(UPPER(Planung!AF19)="H",$C19/2,0)))))))</f>
        <v>0</v>
      </c>
      <c r="AG19" s="27">
        <f>IF($A19="",0,IF(Mitarbeiter!$G$17=FALSE,0,IF(AND(Mitarbeiter!$E$17&lt;&gt;"",AG$5+6&lt;Mitarbeiter!$E$17),0,IF(AND(Mitarbeiter!$F$17&lt;&gt;"",AG$5&gt;Mitarbeiter!$F$17),0,IF(Planung!AG19="",$C19,IF(ISNUMBER(Planung!AG19),Planung!AG19,IF(UPPER(Planung!AG19)="H",$C19/2,0)))))))</f>
        <v>0</v>
      </c>
      <c r="AH19" s="27">
        <f>IF($A19="",0,IF(Mitarbeiter!$G$17=FALSE,0,IF(AND(Mitarbeiter!$E$17&lt;&gt;"",AH$5+6&lt;Mitarbeiter!$E$17),0,IF(AND(Mitarbeiter!$F$17&lt;&gt;"",AH$5&gt;Mitarbeiter!$F$17),0,IF(Planung!AH19="",$C19,IF(ISNUMBER(Planung!AH19),Planung!AH19,IF(UPPER(Planung!AH19)="H",$C19/2,0)))))))</f>
        <v>0</v>
      </c>
      <c r="AI19" s="27">
        <f>IF($A19="",0,IF(Mitarbeiter!$G$17=FALSE,0,IF(AND(Mitarbeiter!$E$17&lt;&gt;"",AI$5+6&lt;Mitarbeiter!$E$17),0,IF(AND(Mitarbeiter!$F$17&lt;&gt;"",AI$5&gt;Mitarbeiter!$F$17),0,IF(Planung!AI19="",$C19,IF(ISNUMBER(Planung!AI19),Planung!AI19,IF(UPPER(Planung!AI19)="H",$C19/2,0)))))))</f>
        <v>0</v>
      </c>
      <c r="AJ19" s="27">
        <f>IF($A19="",0,IF(Mitarbeiter!$G$17=FALSE,0,IF(AND(Mitarbeiter!$E$17&lt;&gt;"",AJ$5+6&lt;Mitarbeiter!$E$17),0,IF(AND(Mitarbeiter!$F$17&lt;&gt;"",AJ$5&gt;Mitarbeiter!$F$17),0,IF(Planung!AJ19="",$C19,IF(ISNUMBER(Planung!AJ19),Planung!AJ19,IF(UPPER(Planung!AJ19)="H",$C19/2,0)))))))</f>
        <v>0</v>
      </c>
      <c r="AK19" s="27">
        <f>IF($A19="",0,IF(Mitarbeiter!$G$17=FALSE,0,IF(AND(Mitarbeiter!$E$17&lt;&gt;"",AK$5+6&lt;Mitarbeiter!$E$17),0,IF(AND(Mitarbeiter!$F$17&lt;&gt;"",AK$5&gt;Mitarbeiter!$F$17),0,IF(Planung!AK19="",$C19,IF(ISNUMBER(Planung!AK19),Planung!AK19,IF(UPPER(Planung!AK19)="H",$C19/2,0)))))))</f>
        <v>0</v>
      </c>
      <c r="AL19" s="27">
        <f>IF($A19="",0,IF(Mitarbeiter!$G$17=FALSE,0,IF(AND(Mitarbeiter!$E$17&lt;&gt;"",AL$5+6&lt;Mitarbeiter!$E$17),0,IF(AND(Mitarbeiter!$F$17&lt;&gt;"",AL$5&gt;Mitarbeiter!$F$17),0,IF(Planung!AL19="",$C19,IF(ISNUMBER(Planung!AL19),Planung!AL19,IF(UPPER(Planung!AL19)="H",$C19/2,0)))))))</f>
        <v>0</v>
      </c>
      <c r="AM19" s="27">
        <f>IF($A19="",0,IF(Mitarbeiter!$G$17=FALSE,0,IF(AND(Mitarbeiter!$E$17&lt;&gt;"",AM$5+6&lt;Mitarbeiter!$E$17),0,IF(AND(Mitarbeiter!$F$17&lt;&gt;"",AM$5&gt;Mitarbeiter!$F$17),0,IF(Planung!AM19="",$C19,IF(ISNUMBER(Planung!AM19),Planung!AM19,IF(UPPER(Planung!AM19)="H",$C19/2,0)))))))</f>
        <v>0</v>
      </c>
      <c r="AN19" s="27">
        <f>IF($A19="",0,IF(Mitarbeiter!$G$17=FALSE,0,IF(AND(Mitarbeiter!$E$17&lt;&gt;"",AN$5+6&lt;Mitarbeiter!$E$17),0,IF(AND(Mitarbeiter!$F$17&lt;&gt;"",AN$5&gt;Mitarbeiter!$F$17),0,IF(Planung!AN19="",$C19,IF(ISNUMBER(Planung!AN19),Planung!AN19,IF(UPPER(Planung!AN19)="H",$C19/2,0)))))))</f>
        <v>0</v>
      </c>
      <c r="AO19" s="27">
        <f>IF($A19="",0,IF(Mitarbeiter!$G$17=FALSE,0,IF(AND(Mitarbeiter!$E$17&lt;&gt;"",AO$5+6&lt;Mitarbeiter!$E$17),0,IF(AND(Mitarbeiter!$F$17&lt;&gt;"",AO$5&gt;Mitarbeiter!$F$17),0,IF(Planung!AO19="",$C19,IF(ISNUMBER(Planung!AO19),Planung!AO19,IF(UPPER(Planung!AO19)="H",$C19/2,0)))))))</f>
        <v>0</v>
      </c>
      <c r="AP19" s="27">
        <f>IF($A19="",0,IF(Mitarbeiter!$G$17=FALSE,0,IF(AND(Mitarbeiter!$E$17&lt;&gt;"",AP$5+6&lt;Mitarbeiter!$E$17),0,IF(AND(Mitarbeiter!$F$17&lt;&gt;"",AP$5&gt;Mitarbeiter!$F$17),0,IF(Planung!AP19="",$C19,IF(ISNUMBER(Planung!AP19),Planung!AP19,IF(UPPER(Planung!AP19)="H",$C19/2,0)))))))</f>
        <v>0</v>
      </c>
      <c r="AQ19" s="27">
        <f>IF($A19="",0,IF(Mitarbeiter!$G$17=FALSE,0,IF(AND(Mitarbeiter!$E$17&lt;&gt;"",AQ$5+6&lt;Mitarbeiter!$E$17),0,IF(AND(Mitarbeiter!$F$17&lt;&gt;"",AQ$5&gt;Mitarbeiter!$F$17),0,IF(Planung!AQ19="",$C19,IF(ISNUMBER(Planung!AQ19),Planung!AQ19,IF(UPPER(Planung!AQ19)="H",$C19/2,0)))))))</f>
        <v>0</v>
      </c>
      <c r="AR19" s="27">
        <f>IF($A19="",0,IF(Mitarbeiter!$G$17=FALSE,0,IF(AND(Mitarbeiter!$E$17&lt;&gt;"",AR$5+6&lt;Mitarbeiter!$E$17),0,IF(AND(Mitarbeiter!$F$17&lt;&gt;"",AR$5&gt;Mitarbeiter!$F$17),0,IF(Planung!AR19="",$C19,IF(ISNUMBER(Planung!AR19),Planung!AR19,IF(UPPER(Planung!AR19)="H",$C19/2,0)))))))</f>
        <v>0</v>
      </c>
      <c r="AS19" s="27">
        <f>IF($A19="",0,IF(Mitarbeiter!$G$17=FALSE,0,IF(AND(Mitarbeiter!$E$17&lt;&gt;"",AS$5+6&lt;Mitarbeiter!$E$17),0,IF(AND(Mitarbeiter!$F$17&lt;&gt;"",AS$5&gt;Mitarbeiter!$F$17),0,IF(Planung!AS19="",$C19,IF(ISNUMBER(Planung!AS19),Planung!AS19,IF(UPPER(Planung!AS19)="H",$C19/2,0)))))))</f>
        <v>0</v>
      </c>
      <c r="AT19" s="27">
        <f>IF($A19="",0,IF(Mitarbeiter!$G$17=FALSE,0,IF(AND(Mitarbeiter!$E$17&lt;&gt;"",AT$5+6&lt;Mitarbeiter!$E$17),0,IF(AND(Mitarbeiter!$F$17&lt;&gt;"",AT$5&gt;Mitarbeiter!$F$17),0,IF(Planung!AT19="",$C19,IF(ISNUMBER(Planung!AT19),Planung!AT19,IF(UPPER(Planung!AT19)="H",$C19/2,0)))))))</f>
        <v>0</v>
      </c>
      <c r="AU19" s="27">
        <f>IF($A19="",0,IF(Mitarbeiter!$G$17=FALSE,0,IF(AND(Mitarbeiter!$E$17&lt;&gt;"",AU$5+6&lt;Mitarbeiter!$E$17),0,IF(AND(Mitarbeiter!$F$17&lt;&gt;"",AU$5&gt;Mitarbeiter!$F$17),0,IF(Planung!AU19="",$C19,IF(ISNUMBER(Planung!AU19),Planung!AU19,IF(UPPER(Planung!AU19)="H",$C19/2,0)))))))</f>
        <v>0</v>
      </c>
      <c r="AV19" s="27">
        <f>IF($A19="",0,IF(Mitarbeiter!$G$17=FALSE,0,IF(AND(Mitarbeiter!$E$17&lt;&gt;"",AV$5+6&lt;Mitarbeiter!$E$17),0,IF(AND(Mitarbeiter!$F$17&lt;&gt;"",AV$5&gt;Mitarbeiter!$F$17),0,IF(Planung!AV19="",$C19,IF(ISNUMBER(Planung!AV19),Planung!AV19,IF(UPPER(Planung!AV19)="H",$C19/2,0)))))))</f>
        <v>0</v>
      </c>
      <c r="AW19" s="27">
        <f>IF($A19="",0,IF(Mitarbeiter!$G$17=FALSE,0,IF(AND(Mitarbeiter!$E$17&lt;&gt;"",AW$5+6&lt;Mitarbeiter!$E$17),0,IF(AND(Mitarbeiter!$F$17&lt;&gt;"",AW$5&gt;Mitarbeiter!$F$17),0,IF(Planung!AW19="",$C19,IF(ISNUMBER(Planung!AW19),Planung!AW19,IF(UPPER(Planung!AW19)="H",$C19/2,0)))))))</f>
        <v>0</v>
      </c>
      <c r="AX19" s="27">
        <f>IF($A19="",0,IF(Mitarbeiter!$G$17=FALSE,0,IF(AND(Mitarbeiter!$E$17&lt;&gt;"",AX$5+6&lt;Mitarbeiter!$E$17),0,IF(AND(Mitarbeiter!$F$17&lt;&gt;"",AX$5&gt;Mitarbeiter!$F$17),0,IF(Planung!AX19="",$C19,IF(ISNUMBER(Planung!AX19),Planung!AX19,IF(UPPER(Planung!AX19)="H",$C19/2,0)))))))</f>
        <v>0</v>
      </c>
      <c r="AY19" s="27">
        <f>IF($A19="",0,IF(Mitarbeiter!$G$17=FALSE,0,IF(AND(Mitarbeiter!$E$17&lt;&gt;"",AY$5+6&lt;Mitarbeiter!$E$17),0,IF(AND(Mitarbeiter!$F$17&lt;&gt;"",AY$5&gt;Mitarbeiter!$F$17),0,IF(Planung!AY19="",$C19,IF(ISNUMBER(Planung!AY19),Planung!AY19,IF(UPPER(Planung!AY19)="H",$C19/2,0)))))))</f>
        <v>0</v>
      </c>
      <c r="AZ19" s="27">
        <f>IF($A19="",0,IF(Mitarbeiter!$G$17=FALSE,0,IF(AND(Mitarbeiter!$E$17&lt;&gt;"",AZ$5+6&lt;Mitarbeiter!$E$17),0,IF(AND(Mitarbeiter!$F$17&lt;&gt;"",AZ$5&gt;Mitarbeiter!$F$17),0,IF(Planung!AZ19="",$C19,IF(ISNUMBER(Planung!AZ19),Planung!AZ19,IF(UPPER(Planung!AZ19)="H",$C19/2,0)))))))</f>
        <v>0</v>
      </c>
      <c r="BA19" s="27">
        <f>IF($A19="",0,IF(Mitarbeiter!$G$17=FALSE,0,IF(AND(Mitarbeiter!$E$17&lt;&gt;"",BA$5+6&lt;Mitarbeiter!$E$17),0,IF(AND(Mitarbeiter!$F$17&lt;&gt;"",BA$5&gt;Mitarbeiter!$F$17),0,IF(Planung!BA19="",$C19,IF(ISNUMBER(Planung!BA19),Planung!BA19,IF(UPPER(Planung!BA19)="H",$C19/2,0)))))))</f>
        <v>0</v>
      </c>
      <c r="BB19" s="27">
        <f>IF($A19="",0,IF(Mitarbeiter!$G$17=FALSE,0,IF(AND(Mitarbeiter!$E$17&lt;&gt;"",BB$5+6&lt;Mitarbeiter!$E$17),0,IF(AND(Mitarbeiter!$F$17&lt;&gt;"",BB$5&gt;Mitarbeiter!$F$17),0,IF(Planung!BB19="",$C19,IF(ISNUMBER(Planung!BB19),Planung!BB19,IF(UPPER(Planung!BB19)="H",$C19/2,0)))))))</f>
        <v>0</v>
      </c>
      <c r="BC19" s="27">
        <f>IF($A19="",0,IF(Mitarbeiter!$G$17=FALSE,0,IF(AND(Mitarbeiter!$E$17&lt;&gt;"",BC$5+6&lt;Mitarbeiter!$E$17),0,IF(AND(Mitarbeiter!$F$17&lt;&gt;"",BC$5&gt;Mitarbeiter!$F$17),0,IF(Planung!BC19="",$C19,IF(ISNUMBER(Planung!BC19),Planung!BC19,IF(UPPER(Planung!BC19)="H",$C19/2,0)))))))</f>
        <v>0</v>
      </c>
      <c r="BD19" s="27">
        <f>IF($A19="",0,IF(Mitarbeiter!$G$17=FALSE,0,IF(AND(Mitarbeiter!$E$17&lt;&gt;"",BD$5+6&lt;Mitarbeiter!$E$17),0,IF(AND(Mitarbeiter!$F$17&lt;&gt;"",BD$5&gt;Mitarbeiter!$F$17),0,IF(Planung!BD19="",$C19,IF(ISNUMBER(Planung!BD19),Planung!BD19,IF(UPPER(Planung!BD19)="H",$C19/2,0)))))))</f>
        <v>0</v>
      </c>
      <c r="BE19" s="27">
        <f>IF($A19="",0,IF(Mitarbeiter!$G$17=FALSE,0,IF(AND(Mitarbeiter!$E$17&lt;&gt;"",BE$5+6&lt;Mitarbeiter!$E$17),0,IF(AND(Mitarbeiter!$F$17&lt;&gt;"",BE$5&gt;Mitarbeiter!$F$17),0,IF(Planung!BE19="",$C19,IF(ISNUMBER(Planung!BE19),Planung!BE19,IF(UPPER(Planung!BE19)="H",$C19/2,0)))))))</f>
        <v>0</v>
      </c>
      <c r="BF19" s="27">
        <f>IF($A19="",0,IF(Mitarbeiter!$G$17=FALSE,0,IF(AND(Mitarbeiter!$E$17&lt;&gt;"",BF$5+6&lt;Mitarbeiter!$E$17),0,IF(AND(Mitarbeiter!$F$17&lt;&gt;"",BF$5&gt;Mitarbeiter!$F$17),0,IF(Planung!BF19="",$C19,IF(ISNUMBER(Planung!BF19),Planung!BF19,IF(UPPER(Planung!BF19)="H",$C19/2,0)))))))</f>
        <v>0</v>
      </c>
      <c r="BG19" s="27">
        <f>IF($A19="",0,IF(Mitarbeiter!$G$17=FALSE,0,IF(AND(Mitarbeiter!$E$17&lt;&gt;"",BG$5+6&lt;Mitarbeiter!$E$17),0,IF(AND(Mitarbeiter!$F$17&lt;&gt;"",BG$5&gt;Mitarbeiter!$F$17),0,IF(Planung!BG19="",$C19,IF(ISNUMBER(Planung!BG19),Planung!BG19,IF(UPPER(Planung!BG19)="H",$C19/2,0)))))))</f>
        <v>0</v>
      </c>
      <c r="BH19" s="27">
        <f>IF($A19="",0,IF(Mitarbeiter!$G$17=FALSE,0,IF(AND(Mitarbeiter!$E$17&lt;&gt;"",BH$5+6&lt;Mitarbeiter!$E$17),0,IF(AND(Mitarbeiter!$F$17&lt;&gt;"",BH$5&gt;Mitarbeiter!$F$17),0,IF(Planung!BH19="",$C19,IF(ISNUMBER(Planung!BH19),Planung!BH19,IF(UPPER(Planung!BH19)="H",$C19/2,0)))))))</f>
        <v>0</v>
      </c>
      <c r="BI19" s="27">
        <f>IF($A19="",0,IF(Mitarbeiter!$G$17=FALSE,0,IF(AND(Mitarbeiter!$E$17&lt;&gt;"",BI$5+6&lt;Mitarbeiter!$E$17),0,IF(AND(Mitarbeiter!$F$17&lt;&gt;"",BI$5&gt;Mitarbeiter!$F$17),0,IF(Planung!BI19="",$C19,IF(ISNUMBER(Planung!BI19),Planung!BI19,IF(UPPER(Planung!BI19)="H",$C19/2,0)))))))</f>
        <v>0</v>
      </c>
      <c r="BJ19" s="27">
        <f>IF($A19="",0,IF(Mitarbeiter!$G$17=FALSE,0,IF(AND(Mitarbeiter!$E$17&lt;&gt;"",BJ$5+6&lt;Mitarbeiter!$E$17),0,IF(AND(Mitarbeiter!$F$17&lt;&gt;"",BJ$5&gt;Mitarbeiter!$F$17),0,IF(Planung!BJ19="",$C19,IF(ISNUMBER(Planung!BJ19),Planung!BJ19,IF(UPPER(Planung!BJ19)="H",$C19/2,0)))))))</f>
        <v>0</v>
      </c>
      <c r="BK19" s="27">
        <f>IF($A19="",0,IF(Mitarbeiter!$G$17=FALSE,0,IF(AND(Mitarbeiter!$E$17&lt;&gt;"",BK$5+6&lt;Mitarbeiter!$E$17),0,IF(AND(Mitarbeiter!$F$17&lt;&gt;"",BK$5&gt;Mitarbeiter!$F$17),0,IF(Planung!BK19="",$C19,IF(ISNUMBER(Planung!BK19),Planung!BK19,IF(UPPER(Planung!BK19)="H",$C19/2,0)))))))</f>
        <v>0</v>
      </c>
      <c r="BL19" s="27">
        <f>IF($A19="",0,IF(Mitarbeiter!$G$17=FALSE,0,IF(AND(Mitarbeiter!$E$17&lt;&gt;"",BL$5+6&lt;Mitarbeiter!$E$17),0,IF(AND(Mitarbeiter!$F$17&lt;&gt;"",BL$5&gt;Mitarbeiter!$F$17),0,IF(Planung!BL19="",$C19,IF(ISNUMBER(Planung!BL19),Planung!BL19,IF(UPPER(Planung!BL19)="H",$C19/2,0)))))))</f>
        <v>0</v>
      </c>
      <c r="BM19" s="27">
        <f>IF($A19="",0,IF(Mitarbeiter!$G$17=FALSE,0,IF(AND(Mitarbeiter!$E$17&lt;&gt;"",BM$5+6&lt;Mitarbeiter!$E$17),0,IF(AND(Mitarbeiter!$F$17&lt;&gt;"",BM$5&gt;Mitarbeiter!$F$17),0,IF(Planung!BM19="",$C19,IF(ISNUMBER(Planung!BM19),Planung!BM19,IF(UPPER(Planung!BM19)="H",$C19/2,0)))))))</f>
        <v>0</v>
      </c>
      <c r="BN19" s="27">
        <f>IF($A19="",0,IF(Mitarbeiter!$G$17=FALSE,0,IF(AND(Mitarbeiter!$E$17&lt;&gt;"",BN$5+6&lt;Mitarbeiter!$E$17),0,IF(AND(Mitarbeiter!$F$17&lt;&gt;"",BN$5&gt;Mitarbeiter!$F$17),0,IF(Planung!BN19="",$C19,IF(ISNUMBER(Planung!BN19),Planung!BN19,IF(UPPER(Planung!BN19)="H",$C19/2,0)))))))</f>
        <v>0</v>
      </c>
      <c r="BO19" s="27">
        <f>IF($A19="",0,IF(Mitarbeiter!$G$17=FALSE,0,IF(AND(Mitarbeiter!$E$17&lt;&gt;"",BO$5+6&lt;Mitarbeiter!$E$17),0,IF(AND(Mitarbeiter!$F$17&lt;&gt;"",BO$5&gt;Mitarbeiter!$F$17),0,IF(Planung!BO19="",$C19,IF(ISNUMBER(Planung!BO19),Planung!BO19,IF(UPPER(Planung!BO19)="H",$C19/2,0)))))))</f>
        <v>0</v>
      </c>
      <c r="BP19" s="27">
        <f>IF($A19="",0,IF(Mitarbeiter!$G$17=FALSE,0,IF(AND(Mitarbeiter!$E$17&lt;&gt;"",BP$5+6&lt;Mitarbeiter!$E$17),0,IF(AND(Mitarbeiter!$F$17&lt;&gt;"",BP$5&gt;Mitarbeiter!$F$17),0,IF(Planung!BP19="",$C19,IF(ISNUMBER(Planung!BP19),Planung!BP19,IF(UPPER(Planung!BP19)="H",$C19/2,0)))))))</f>
        <v>0</v>
      </c>
      <c r="BQ19" s="27">
        <f>IF($A19="",0,IF(Mitarbeiter!$G$17=FALSE,0,IF(AND(Mitarbeiter!$E$17&lt;&gt;"",BQ$5+6&lt;Mitarbeiter!$E$17),0,IF(AND(Mitarbeiter!$F$17&lt;&gt;"",BQ$5&gt;Mitarbeiter!$F$17),0,IF(Planung!BQ19="",$C19,IF(ISNUMBER(Planung!BQ19),Planung!BQ19,IF(UPPER(Planung!BQ19)="H",$C19/2,0)))))))</f>
        <v>0</v>
      </c>
      <c r="BR19" s="27">
        <f>IF($A19="",0,IF(Mitarbeiter!$G$17=FALSE,0,IF(AND(Mitarbeiter!$E$17&lt;&gt;"",BR$5+6&lt;Mitarbeiter!$E$17),0,IF(AND(Mitarbeiter!$F$17&lt;&gt;"",BR$5&gt;Mitarbeiter!$F$17),0,IF(Planung!BR19="",$C19,IF(ISNUMBER(Planung!BR19),Planung!BR19,IF(UPPER(Planung!BR19)="H",$C19/2,0)))))))</f>
        <v>0</v>
      </c>
      <c r="BS19" s="27">
        <f>IF($A19="",0,IF(Mitarbeiter!$G$17=FALSE,0,IF(AND(Mitarbeiter!$E$17&lt;&gt;"",BS$5+6&lt;Mitarbeiter!$E$17),0,IF(AND(Mitarbeiter!$F$17&lt;&gt;"",BS$5&gt;Mitarbeiter!$F$17),0,IF(Planung!BS19="",$C19,IF(ISNUMBER(Planung!BS19),Planung!BS19,IF(UPPER(Planung!BS19)="H",$C19/2,0)))))))</f>
        <v>0</v>
      </c>
      <c r="BT19" s="27">
        <f>IF($A19="",0,IF(Mitarbeiter!$G$17=FALSE,0,IF(AND(Mitarbeiter!$E$17&lt;&gt;"",BT$5+6&lt;Mitarbeiter!$E$17),0,IF(AND(Mitarbeiter!$F$17&lt;&gt;"",BT$5&gt;Mitarbeiter!$F$17),0,IF(Planung!BT19="",$C19,IF(ISNUMBER(Planung!BT19),Planung!BT19,IF(UPPER(Planung!BT19)="H",$C19/2,0)))))))</f>
        <v>0</v>
      </c>
      <c r="BU19" s="27">
        <f>IF($A19="",0,IF(Mitarbeiter!$G$17=FALSE,0,IF(AND(Mitarbeiter!$E$17&lt;&gt;"",BU$5+6&lt;Mitarbeiter!$E$17),0,IF(AND(Mitarbeiter!$F$17&lt;&gt;"",BU$5&gt;Mitarbeiter!$F$17),0,IF(Planung!BU19="",$C19,IF(ISNUMBER(Planung!BU19),Planung!BU19,IF(UPPER(Planung!BU19)="H",$C19/2,0)))))))</f>
        <v>0</v>
      </c>
      <c r="BV19" s="27">
        <f>IF($A19="",0,IF(Mitarbeiter!$G$17=FALSE,0,IF(AND(Mitarbeiter!$E$17&lt;&gt;"",BV$5+6&lt;Mitarbeiter!$E$17),0,IF(AND(Mitarbeiter!$F$17&lt;&gt;"",BV$5&gt;Mitarbeiter!$F$17),0,IF(Planung!BV19="",$C19,IF(ISNUMBER(Planung!BV19),Planung!BV19,IF(UPPER(Planung!BV19)="H",$C19/2,0)))))))</f>
        <v>0</v>
      </c>
      <c r="BW19" s="27">
        <f>IF($A19="",0,IF(Mitarbeiter!$G$17=FALSE,0,IF(AND(Mitarbeiter!$E$17&lt;&gt;"",BW$5+6&lt;Mitarbeiter!$E$17),0,IF(AND(Mitarbeiter!$F$17&lt;&gt;"",BW$5&gt;Mitarbeiter!$F$17),0,IF(Planung!BW19="",$C19,IF(ISNUMBER(Planung!BW19),Planung!BW19,IF(UPPER(Planung!BW19)="H",$C19/2,0)))))))</f>
        <v>0</v>
      </c>
      <c r="BX19" s="27">
        <f>IF($A19="",0,IF(Mitarbeiter!$G$17=FALSE,0,IF(AND(Mitarbeiter!$E$17&lt;&gt;"",BX$5+6&lt;Mitarbeiter!$E$17),0,IF(AND(Mitarbeiter!$F$17&lt;&gt;"",BX$5&gt;Mitarbeiter!$F$17),0,IF(Planung!BX19="",$C19,IF(ISNUMBER(Planung!BX19),Planung!BX19,IF(UPPER(Planung!BX19)="H",$C19/2,0)))))))</f>
        <v>0</v>
      </c>
      <c r="BY19" s="27">
        <f>IF($A19="",0,IF(Mitarbeiter!$G$17=FALSE,0,IF(AND(Mitarbeiter!$E$17&lt;&gt;"",BY$5+6&lt;Mitarbeiter!$E$17),0,IF(AND(Mitarbeiter!$F$17&lt;&gt;"",BY$5&gt;Mitarbeiter!$F$17),0,IF(Planung!BY19="",$C19,IF(ISNUMBER(Planung!BY19),Planung!BY19,IF(UPPER(Planung!BY19)="H",$C19/2,0)))))))</f>
        <v>0</v>
      </c>
      <c r="BZ19" s="27">
        <f>IF($A19="",0,IF(Mitarbeiter!$G$17=FALSE,0,IF(AND(Mitarbeiter!$E$17&lt;&gt;"",BZ$5+6&lt;Mitarbeiter!$E$17),0,IF(AND(Mitarbeiter!$F$17&lt;&gt;"",BZ$5&gt;Mitarbeiter!$F$17),0,IF(Planung!BZ19="",$C19,IF(ISNUMBER(Planung!BZ19),Planung!BZ19,IF(UPPER(Planung!BZ19)="H",$C19/2,0)))))))</f>
        <v>0</v>
      </c>
      <c r="CA19" s="27">
        <f>IF($A19="",0,IF(Mitarbeiter!$G$17=FALSE,0,IF(AND(Mitarbeiter!$E$17&lt;&gt;"",CA$5+6&lt;Mitarbeiter!$E$17),0,IF(AND(Mitarbeiter!$F$17&lt;&gt;"",CA$5&gt;Mitarbeiter!$F$17),0,IF(Planung!CA19="",$C19,IF(ISNUMBER(Planung!CA19),Planung!CA19,IF(UPPER(Planung!CA19)="H",$C19/2,0)))))))</f>
        <v>0</v>
      </c>
      <c r="CB19" s="27">
        <f>IF($A19="",0,IF(Mitarbeiter!$G$17=FALSE,0,IF(AND(Mitarbeiter!$E$17&lt;&gt;"",CB$5+6&lt;Mitarbeiter!$E$17),0,IF(AND(Mitarbeiter!$F$17&lt;&gt;"",CB$5&gt;Mitarbeiter!$F$17),0,IF(Planung!CB19="",$C19,IF(ISNUMBER(Planung!CB19),Planung!CB19,IF(UPPER(Planung!CB19)="H",$C19/2,0)))))))</f>
        <v>0</v>
      </c>
      <c r="CC19" s="27">
        <f>IF($A19="",0,IF(Mitarbeiter!$G$17=FALSE,0,IF(AND(Mitarbeiter!$E$17&lt;&gt;"",CC$5+6&lt;Mitarbeiter!$E$17),0,IF(AND(Mitarbeiter!$F$17&lt;&gt;"",CC$5&gt;Mitarbeiter!$F$17),0,IF(Planung!CC19="",$C19,IF(ISNUMBER(Planung!CC19),Planung!CC19,IF(UPPER(Planung!CC19)="H",$C19/2,0)))))))</f>
        <v>0</v>
      </c>
      <c r="CD19" s="27">
        <f>IF($A19="",0,IF(Mitarbeiter!$G$17=FALSE,0,IF(AND(Mitarbeiter!$E$17&lt;&gt;"",CD$5+6&lt;Mitarbeiter!$E$17),0,IF(AND(Mitarbeiter!$F$17&lt;&gt;"",CD$5&gt;Mitarbeiter!$F$17),0,IF(Planung!CD19="",$C19,IF(ISNUMBER(Planung!CD19),Planung!CD19,IF(UPPER(Planung!CD19)="H",$C19/2,0)))))))</f>
        <v>0</v>
      </c>
      <c r="CE19" s="27">
        <f>IF($A19="",0,IF(Mitarbeiter!$G$17=FALSE,0,IF(AND(Mitarbeiter!$E$17&lt;&gt;"",CE$5+6&lt;Mitarbeiter!$E$17),0,IF(AND(Mitarbeiter!$F$17&lt;&gt;"",CE$5&gt;Mitarbeiter!$F$17),0,IF(Planung!CE19="",$C19,IF(ISNUMBER(Planung!CE19),Planung!CE19,IF(UPPER(Planung!CE19)="H",$C19/2,0)))))))</f>
        <v>0</v>
      </c>
      <c r="CF19" s="27">
        <f>IF($A19="",0,IF(Mitarbeiter!$G$17=FALSE,0,IF(AND(Mitarbeiter!$E$17&lt;&gt;"",CF$5+6&lt;Mitarbeiter!$E$17),0,IF(AND(Mitarbeiter!$F$17&lt;&gt;"",CF$5&gt;Mitarbeiter!$F$17),0,IF(Planung!CF19="",$C19,IF(ISNUMBER(Planung!CF19),Planung!CF19,IF(UPPER(Planung!CF19)="H",$C19/2,0)))))))</f>
        <v>0</v>
      </c>
      <c r="CG19" s="27">
        <f>IF($A19="",0,IF(Mitarbeiter!$G$17=FALSE,0,IF(AND(Mitarbeiter!$E$17&lt;&gt;"",CG$5+6&lt;Mitarbeiter!$E$17),0,IF(AND(Mitarbeiter!$F$17&lt;&gt;"",CG$5&gt;Mitarbeiter!$F$17),0,IF(Planung!CG19="",$C19,IF(ISNUMBER(Planung!CG19),Planung!CG19,IF(UPPER(Planung!CG19)="H",$C19/2,0)))))))</f>
        <v>0</v>
      </c>
      <c r="CH19" s="27">
        <f>IF($A19="",0,IF(Mitarbeiter!$G$17=FALSE,0,IF(AND(Mitarbeiter!$E$17&lt;&gt;"",CH$5+6&lt;Mitarbeiter!$E$17),0,IF(AND(Mitarbeiter!$F$17&lt;&gt;"",CH$5&gt;Mitarbeiter!$F$17),0,IF(Planung!CH19="",$C19,IF(ISNUMBER(Planung!CH19),Planung!CH19,IF(UPPER(Planung!CH19)="H",$C19/2,0)))))))</f>
        <v>0</v>
      </c>
      <c r="CI19" s="27">
        <f>IF($A19="",0,IF(Mitarbeiter!$G$17=FALSE,0,IF(AND(Mitarbeiter!$E$17&lt;&gt;"",CI$5+6&lt;Mitarbeiter!$E$17),0,IF(AND(Mitarbeiter!$F$17&lt;&gt;"",CI$5&gt;Mitarbeiter!$F$17),0,IF(Planung!CI19="",$C19,IF(ISNUMBER(Planung!CI19),Planung!CI19,IF(UPPER(Planung!CI19)="H",$C19/2,0)))))))</f>
        <v>0</v>
      </c>
      <c r="CJ19" s="27">
        <f>IF($A19="",0,IF(Mitarbeiter!$G$17=FALSE,0,IF(AND(Mitarbeiter!$E$17&lt;&gt;"",CJ$5+6&lt;Mitarbeiter!$E$17),0,IF(AND(Mitarbeiter!$F$17&lt;&gt;"",CJ$5&gt;Mitarbeiter!$F$17),0,IF(Planung!CJ19="",$C19,IF(ISNUMBER(Planung!CJ19),Planung!CJ19,IF(UPPER(Planung!CJ19)="H",$C19/2,0)))))))</f>
        <v>0</v>
      </c>
      <c r="CK19" s="27">
        <f>IF($A19="",0,IF(Mitarbeiter!$G$17=FALSE,0,IF(AND(Mitarbeiter!$E$17&lt;&gt;"",CK$5+6&lt;Mitarbeiter!$E$17),0,IF(AND(Mitarbeiter!$F$17&lt;&gt;"",CK$5&gt;Mitarbeiter!$F$17),0,IF(Planung!CK19="",$C19,IF(ISNUMBER(Planung!CK19),Planung!CK19,IF(UPPER(Planung!CK19)="H",$C19/2,0)))))))</f>
        <v>0</v>
      </c>
      <c r="CL19" s="27">
        <f>IF($A19="",0,IF(Mitarbeiter!$G$17=FALSE,0,IF(AND(Mitarbeiter!$E$17&lt;&gt;"",CL$5+6&lt;Mitarbeiter!$E$17),0,IF(AND(Mitarbeiter!$F$17&lt;&gt;"",CL$5&gt;Mitarbeiter!$F$17),0,IF(Planung!CL19="",$C19,IF(ISNUMBER(Planung!CL19),Planung!CL19,IF(UPPER(Planung!CL19)="H",$C19/2,0)))))))</f>
        <v>0</v>
      </c>
      <c r="CM19" s="27">
        <f>IF($A19="",0,IF(Mitarbeiter!$G$17=FALSE,0,IF(AND(Mitarbeiter!$E$17&lt;&gt;"",CM$5+6&lt;Mitarbeiter!$E$17),0,IF(AND(Mitarbeiter!$F$17&lt;&gt;"",CM$5&gt;Mitarbeiter!$F$17),0,IF(Planung!CM19="",$C19,IF(ISNUMBER(Planung!CM19),Planung!CM19,IF(UPPER(Planung!CM19)="H",$C19/2,0)))))))</f>
        <v>0</v>
      </c>
      <c r="CN19" s="27">
        <f>IF($A19="",0,IF(Mitarbeiter!$G$17=FALSE,0,IF(AND(Mitarbeiter!$E$17&lt;&gt;"",CN$5+6&lt;Mitarbeiter!$E$17),0,IF(AND(Mitarbeiter!$F$17&lt;&gt;"",CN$5&gt;Mitarbeiter!$F$17),0,IF(Planung!CN19="",$C19,IF(ISNUMBER(Planung!CN19),Planung!CN19,IF(UPPER(Planung!CN19)="H",$C19/2,0)))))))</f>
        <v>0</v>
      </c>
      <c r="CO19" s="27">
        <f>IF($A19="",0,IF(Mitarbeiter!$G$17=FALSE,0,IF(AND(Mitarbeiter!$E$17&lt;&gt;"",CO$5+6&lt;Mitarbeiter!$E$17),0,IF(AND(Mitarbeiter!$F$17&lt;&gt;"",CO$5&gt;Mitarbeiter!$F$17),0,IF(Planung!CO19="",$C19,IF(ISNUMBER(Planung!CO19),Planung!CO19,IF(UPPER(Planung!CO19)="H",$C19/2,0)))))))</f>
        <v>0</v>
      </c>
      <c r="CP19" s="27">
        <f>IF($A19="",0,IF(Mitarbeiter!$G$17=FALSE,0,IF(AND(Mitarbeiter!$E$17&lt;&gt;"",CP$5+6&lt;Mitarbeiter!$E$17),0,IF(AND(Mitarbeiter!$F$17&lt;&gt;"",CP$5&gt;Mitarbeiter!$F$17),0,IF(Planung!CP19="",$C19,IF(ISNUMBER(Planung!CP19),Planung!CP19,IF(UPPER(Planung!CP19)="H",$C19/2,0)))))))</f>
        <v>0</v>
      </c>
      <c r="CQ19" s="27">
        <f>IF($A19="",0,IF(Mitarbeiter!$G$17=FALSE,0,IF(AND(Mitarbeiter!$E$17&lt;&gt;"",CQ$5+6&lt;Mitarbeiter!$E$17),0,IF(AND(Mitarbeiter!$F$17&lt;&gt;"",CQ$5&gt;Mitarbeiter!$F$17),0,IF(Planung!CQ19="",$C19,IF(ISNUMBER(Planung!CQ19),Planung!CQ19,IF(UPPER(Planung!CQ19)="H",$C19/2,0)))))))</f>
        <v>0</v>
      </c>
      <c r="CR19" s="27">
        <f>IF($A19="",0,IF(Mitarbeiter!$G$17=FALSE,0,IF(AND(Mitarbeiter!$E$17&lt;&gt;"",CR$5+6&lt;Mitarbeiter!$E$17),0,IF(AND(Mitarbeiter!$F$17&lt;&gt;"",CR$5&gt;Mitarbeiter!$F$17),0,IF(Planung!CR19="",$C19,IF(ISNUMBER(Planung!CR19),Planung!CR19,IF(UPPER(Planung!CR19)="H",$C19/2,0)))))))</f>
        <v>0</v>
      </c>
      <c r="CS19" s="27">
        <f>IF($A19="",0,IF(Mitarbeiter!$G$17=FALSE,0,IF(AND(Mitarbeiter!$E$17&lt;&gt;"",CS$5+6&lt;Mitarbeiter!$E$17),0,IF(AND(Mitarbeiter!$F$17&lt;&gt;"",CS$5&gt;Mitarbeiter!$F$17),0,IF(Planung!CS19="",$C19,IF(ISNUMBER(Planung!CS19),Planung!CS19,IF(UPPER(Planung!CS19)="H",$C19/2,0)))))))</f>
        <v>0</v>
      </c>
      <c r="CT19" s="27">
        <f>IF($A19="",0,IF(Mitarbeiter!$G$17=FALSE,0,IF(AND(Mitarbeiter!$E$17&lt;&gt;"",CT$5+6&lt;Mitarbeiter!$E$17),0,IF(AND(Mitarbeiter!$F$17&lt;&gt;"",CT$5&gt;Mitarbeiter!$F$17),0,IF(Planung!CT19="",$C19,IF(ISNUMBER(Planung!CT19),Planung!CT19,IF(UPPER(Planung!CT19)="H",$C19/2,0)))))))</f>
        <v>0</v>
      </c>
      <c r="CU19" s="27">
        <f>IF($A19="",0,IF(Mitarbeiter!$G$17=FALSE,0,IF(AND(Mitarbeiter!$E$17&lt;&gt;"",CU$5+6&lt;Mitarbeiter!$E$17),0,IF(AND(Mitarbeiter!$F$17&lt;&gt;"",CU$5&gt;Mitarbeiter!$F$17),0,IF(Planung!CU19="",$C19,IF(ISNUMBER(Planung!CU19),Planung!CU19,IF(UPPER(Planung!CU19)="H",$C19/2,0)))))))</f>
        <v>0</v>
      </c>
      <c r="CV19" s="27">
        <f>IF($A19="",0,IF(Mitarbeiter!$G$17=FALSE,0,IF(AND(Mitarbeiter!$E$17&lt;&gt;"",CV$5+6&lt;Mitarbeiter!$E$17),0,IF(AND(Mitarbeiter!$F$17&lt;&gt;"",CV$5&gt;Mitarbeiter!$F$17),0,IF(Planung!CV19="",$C19,IF(ISNUMBER(Planung!CV19),Planung!CV19,IF(UPPER(Planung!CV19)="H",$C19/2,0)))))))</f>
        <v>0</v>
      </c>
      <c r="CW19" s="27">
        <f>IF($A19="",0,IF(Mitarbeiter!$G$17=FALSE,0,IF(AND(Mitarbeiter!$E$17&lt;&gt;"",CW$5+6&lt;Mitarbeiter!$E$17),0,IF(AND(Mitarbeiter!$F$17&lt;&gt;"",CW$5&gt;Mitarbeiter!$F$17),0,IF(Planung!CW19="",$C19,IF(ISNUMBER(Planung!CW19),Planung!CW19,IF(UPPER(Planung!CW19)="H",$C19/2,0)))))))</f>
        <v>0</v>
      </c>
      <c r="CX19" s="27">
        <f>IF($A19="",0,IF(Mitarbeiter!$G$17=FALSE,0,IF(AND(Mitarbeiter!$E$17&lt;&gt;"",CX$5+6&lt;Mitarbeiter!$E$17),0,IF(AND(Mitarbeiter!$F$17&lt;&gt;"",CX$5&gt;Mitarbeiter!$F$17),0,IF(Planung!CX19="",$C19,IF(ISNUMBER(Planung!CX19),Planung!CX19,IF(UPPER(Planung!CX19)="H",$C19/2,0)))))))</f>
        <v>0</v>
      </c>
      <c r="CY19" s="27">
        <f>IF($A19="",0,IF(Mitarbeiter!$G$17=FALSE,0,IF(AND(Mitarbeiter!$E$17&lt;&gt;"",CY$5+6&lt;Mitarbeiter!$E$17),0,IF(AND(Mitarbeiter!$F$17&lt;&gt;"",CY$5&gt;Mitarbeiter!$F$17),0,IF(Planung!CY19="",$C19,IF(ISNUMBER(Planung!CY19),Planung!CY19,IF(UPPER(Planung!CY19)="H",$C19/2,0)))))))</f>
        <v>0</v>
      </c>
      <c r="CZ19" s="27">
        <f>IF($A19="",0,IF(Mitarbeiter!$G$17=FALSE,0,IF(AND(Mitarbeiter!$E$17&lt;&gt;"",CZ$5+6&lt;Mitarbeiter!$E$17),0,IF(AND(Mitarbeiter!$F$17&lt;&gt;"",CZ$5&gt;Mitarbeiter!$F$17),0,IF(Planung!CZ19="",$C19,IF(ISNUMBER(Planung!CZ19),Planung!CZ19,IF(UPPER(Planung!CZ19)="H",$C19/2,0)))))))</f>
        <v>0</v>
      </c>
      <c r="DA19" s="27">
        <f>IF($A19="",0,IF(Mitarbeiter!$G$17=FALSE,0,IF(AND(Mitarbeiter!$E$17&lt;&gt;"",DA$5+6&lt;Mitarbeiter!$E$17),0,IF(AND(Mitarbeiter!$F$17&lt;&gt;"",DA$5&gt;Mitarbeiter!$F$17),0,IF(Planung!DA19="",$C19,IF(ISNUMBER(Planung!DA19),Planung!DA19,IF(UPPER(Planung!DA19)="H",$C19/2,0)))))))</f>
        <v>0</v>
      </c>
      <c r="DB19" s="27">
        <f>IF($A19="",0,IF(Mitarbeiter!$G$17=FALSE,0,IF(AND(Mitarbeiter!$E$17&lt;&gt;"",DB$5+6&lt;Mitarbeiter!$E$17),0,IF(AND(Mitarbeiter!$F$17&lt;&gt;"",DB$5&gt;Mitarbeiter!$F$17),0,IF(Planung!DB19="",$C19,IF(ISNUMBER(Planung!DB19),Planung!DB19,IF(UPPER(Planung!DB19)="H",$C19/2,0)))))))</f>
        <v>0</v>
      </c>
      <c r="DC19" s="27">
        <f>IF($A19="",0,IF(Mitarbeiter!$G$17=FALSE,0,IF(AND(Mitarbeiter!$E$17&lt;&gt;"",DC$5+6&lt;Mitarbeiter!$E$17),0,IF(AND(Mitarbeiter!$F$17&lt;&gt;"",DC$5&gt;Mitarbeiter!$F$17),0,IF(Planung!DC19="",$C19,IF(ISNUMBER(Planung!DC19),Planung!DC19,IF(UPPER(Planung!DC19)="H",$C19/2,0)))))))</f>
        <v>0</v>
      </c>
      <c r="DD19" s="27">
        <f>IF($A19="",0,IF(Mitarbeiter!$G$17=FALSE,0,IF(AND(Mitarbeiter!$E$17&lt;&gt;"",DD$5+6&lt;Mitarbeiter!$E$17),0,IF(AND(Mitarbeiter!$F$17&lt;&gt;"",DD$5&gt;Mitarbeiter!$F$17),0,IF(Planung!DD19="",$C19,IF(ISNUMBER(Planung!DD19),Planung!DD19,IF(UPPER(Planung!DD19)="H",$C19/2,0)))))))</f>
        <v>0</v>
      </c>
      <c r="DE19" s="27">
        <f>IF($A19="",0,IF(Mitarbeiter!$G$17=FALSE,0,IF(AND(Mitarbeiter!$E$17&lt;&gt;"",DE$5+6&lt;Mitarbeiter!$E$17),0,IF(AND(Mitarbeiter!$F$17&lt;&gt;"",DE$5&gt;Mitarbeiter!$F$17),0,IF(Planung!DE19="",$C19,IF(ISNUMBER(Planung!DE19),Planung!DE19,IF(UPPER(Planung!DE19)="H",$C19/2,0)))))))</f>
        <v>0</v>
      </c>
      <c r="DF19" s="27">
        <f>IF($A19="",0,IF(Mitarbeiter!$G$17=FALSE,0,IF(AND(Mitarbeiter!$E$17&lt;&gt;"",DF$5+6&lt;Mitarbeiter!$E$17),0,IF(AND(Mitarbeiter!$F$17&lt;&gt;"",DF$5&gt;Mitarbeiter!$F$17),0,IF(Planung!DF19="",$C19,IF(ISNUMBER(Planung!DF19),Planung!DF19,IF(UPPER(Planung!DF19)="H",$C19/2,0)))))))</f>
        <v>0</v>
      </c>
      <c r="DG19" s="27">
        <f>IF($A19="",0,IF(Mitarbeiter!$G$17=FALSE,0,IF(AND(Mitarbeiter!$E$17&lt;&gt;"",DG$5+6&lt;Mitarbeiter!$E$17),0,IF(AND(Mitarbeiter!$F$17&lt;&gt;"",DG$5&gt;Mitarbeiter!$F$17),0,IF(Planung!DG19="",$C19,IF(ISNUMBER(Planung!DG19),Planung!DG19,IF(UPPER(Planung!DG19)="H",$C19/2,0)))))))</f>
        <v>0</v>
      </c>
      <c r="DH19" s="27">
        <f>IF($A19="",0,IF(Mitarbeiter!$G$17=FALSE,0,IF(AND(Mitarbeiter!$E$17&lt;&gt;"",DH$5+6&lt;Mitarbeiter!$E$17),0,IF(AND(Mitarbeiter!$F$17&lt;&gt;"",DH$5&gt;Mitarbeiter!$F$17),0,IF(Planung!DH19="",$C19,IF(ISNUMBER(Planung!DH19),Planung!DH19,IF(UPPER(Planung!DH19)="H",$C19/2,0)))))))</f>
        <v>0</v>
      </c>
      <c r="DI19" s="27">
        <f>IF($A19="",0,IF(Mitarbeiter!$G$17=FALSE,0,IF(AND(Mitarbeiter!$E$17&lt;&gt;"",DI$5+6&lt;Mitarbeiter!$E$17),0,IF(AND(Mitarbeiter!$F$17&lt;&gt;"",DI$5&gt;Mitarbeiter!$F$17),0,IF(Planung!DI19="",$C19,IF(ISNUMBER(Planung!DI19),Planung!DI19,IF(UPPER(Planung!DI19)="H",$C19/2,0)))))))</f>
        <v>0</v>
      </c>
      <c r="DJ19" s="27">
        <f>IF($A19="",0,IF(Mitarbeiter!$G$17=FALSE,0,IF(AND(Mitarbeiter!$E$17&lt;&gt;"",DJ$5+6&lt;Mitarbeiter!$E$17),0,IF(AND(Mitarbeiter!$F$17&lt;&gt;"",DJ$5&gt;Mitarbeiter!$F$17),0,IF(Planung!DJ19="",$C19,IF(ISNUMBER(Planung!DJ19),Planung!DJ19,IF(UPPER(Planung!DJ19)="H",$C19/2,0)))))))</f>
        <v>0</v>
      </c>
      <c r="DK19" s="27">
        <f>IF($A19="",0,IF(Mitarbeiter!$G$17=FALSE,0,IF(AND(Mitarbeiter!$E$17&lt;&gt;"",DK$5+6&lt;Mitarbeiter!$E$17),0,IF(AND(Mitarbeiter!$F$17&lt;&gt;"",DK$5&gt;Mitarbeiter!$F$17),0,IF(Planung!DK19="",$C19,IF(ISNUMBER(Planung!DK19),Planung!DK19,IF(UPPER(Planung!DK19)="H",$C19/2,0)))))))</f>
        <v>0</v>
      </c>
      <c r="DL19" s="27">
        <f>IF($A19="",0,IF(Mitarbeiter!$G$17=FALSE,0,IF(AND(Mitarbeiter!$E$17&lt;&gt;"",DL$5+6&lt;Mitarbeiter!$E$17),0,IF(AND(Mitarbeiter!$F$17&lt;&gt;"",DL$5&gt;Mitarbeiter!$F$17),0,IF(Planung!DL19="",$C19,IF(ISNUMBER(Planung!DL19),Planung!DL19,IF(UPPER(Planung!DL19)="H",$C19/2,0)))))))</f>
        <v>0</v>
      </c>
      <c r="DM19" s="27">
        <f>IF($A19="",0,IF(Mitarbeiter!$G$17=FALSE,0,IF(AND(Mitarbeiter!$E$17&lt;&gt;"",DM$5+6&lt;Mitarbeiter!$E$17),0,IF(AND(Mitarbeiter!$F$17&lt;&gt;"",DM$5&gt;Mitarbeiter!$F$17),0,IF(Planung!DM19="",$C19,IF(ISNUMBER(Planung!DM19),Planung!DM19,IF(UPPER(Planung!DM19)="H",$C19/2,0)))))))</f>
        <v>0</v>
      </c>
      <c r="DN19" s="27">
        <f>IF($A19="",0,IF(Mitarbeiter!$G$17=FALSE,0,IF(AND(Mitarbeiter!$E$17&lt;&gt;"",DN$5+6&lt;Mitarbeiter!$E$17),0,IF(AND(Mitarbeiter!$F$17&lt;&gt;"",DN$5&gt;Mitarbeiter!$F$17),0,IF(Planung!DN19="",$C19,IF(ISNUMBER(Planung!DN19),Planung!DN19,IF(UPPER(Planung!DN19)="H",$C19/2,0)))))))</f>
        <v>0</v>
      </c>
      <c r="DO19" s="27">
        <f>IF($A19="",0,IF(Mitarbeiter!$G$17=FALSE,0,IF(AND(Mitarbeiter!$E$17&lt;&gt;"",DO$5+6&lt;Mitarbeiter!$E$17),0,IF(AND(Mitarbeiter!$F$17&lt;&gt;"",DO$5&gt;Mitarbeiter!$F$17),0,IF(Planung!DO19="",$C19,IF(ISNUMBER(Planung!DO19),Planung!DO19,IF(UPPER(Planung!DO19)="H",$C19/2,0)))))))</f>
        <v>0</v>
      </c>
      <c r="DP19" s="27">
        <f>IF($A19="",0,IF(Mitarbeiter!$G$17=FALSE,0,IF(AND(Mitarbeiter!$E$17&lt;&gt;"",DP$5+6&lt;Mitarbeiter!$E$17),0,IF(AND(Mitarbeiter!$F$17&lt;&gt;"",DP$5&gt;Mitarbeiter!$F$17),0,IF(Planung!DP19="",$C19,IF(ISNUMBER(Planung!DP19),Planung!DP19,IF(UPPER(Planung!DP19)="H",$C19/2,0)))))))</f>
        <v>0</v>
      </c>
      <c r="DQ19" s="27">
        <f>IF($A19="",0,IF(Mitarbeiter!$G$17=FALSE,0,IF(AND(Mitarbeiter!$E$17&lt;&gt;"",DQ$5+6&lt;Mitarbeiter!$E$17),0,IF(AND(Mitarbeiter!$F$17&lt;&gt;"",DQ$5&gt;Mitarbeiter!$F$17),0,IF(Planung!DQ19="",$C19,IF(ISNUMBER(Planung!DQ19),Planung!DQ19,IF(UPPER(Planung!DQ19)="H",$C19/2,0)))))))</f>
        <v>0</v>
      </c>
      <c r="DR19" s="27">
        <f>IF($A19="",0,IF(Mitarbeiter!$G$17=FALSE,0,IF(AND(Mitarbeiter!$E$17&lt;&gt;"",DR$5+6&lt;Mitarbeiter!$E$17),0,IF(AND(Mitarbeiter!$F$17&lt;&gt;"",DR$5&gt;Mitarbeiter!$F$17),0,IF(Planung!DR19="",$C19,IF(ISNUMBER(Planung!DR19),Planung!DR19,IF(UPPER(Planung!DR19)="H",$C19/2,0)))))))</f>
        <v>0</v>
      </c>
      <c r="DS19" s="27">
        <f>IF($A19="",0,IF(Mitarbeiter!$G$17=FALSE,0,IF(AND(Mitarbeiter!$E$17&lt;&gt;"",DS$5+6&lt;Mitarbeiter!$E$17),0,IF(AND(Mitarbeiter!$F$17&lt;&gt;"",DS$5&gt;Mitarbeiter!$F$17),0,IF(Planung!DS19="",$C19,IF(ISNUMBER(Planung!DS19),Planung!DS19,IF(UPPER(Planung!DS19)="H",$C19/2,0)))))))</f>
        <v>0</v>
      </c>
      <c r="DT19" s="27">
        <f>IF($A19="",0,IF(Mitarbeiter!$G$17=FALSE,0,IF(AND(Mitarbeiter!$E$17&lt;&gt;"",DT$5+6&lt;Mitarbeiter!$E$17),0,IF(AND(Mitarbeiter!$F$17&lt;&gt;"",DT$5&gt;Mitarbeiter!$F$17),0,IF(Planung!DT19="",$C19,IF(ISNUMBER(Planung!DT19),Planung!DT19,IF(UPPER(Planung!DT19)="H",$C19/2,0)))))))</f>
        <v>0</v>
      </c>
      <c r="DU19" s="27">
        <f>IF($A19="",0,IF(Mitarbeiter!$G$17=FALSE,0,IF(AND(Mitarbeiter!$E$17&lt;&gt;"",DU$5+6&lt;Mitarbeiter!$E$17),0,IF(AND(Mitarbeiter!$F$17&lt;&gt;"",DU$5&gt;Mitarbeiter!$F$17),0,IF(Planung!DU19="",$C19,IF(ISNUMBER(Planung!DU19),Planung!DU19,IF(UPPER(Planung!DU19)="H",$C19/2,0)))))))</f>
        <v>0</v>
      </c>
      <c r="DV19" s="27">
        <f>IF($A19="",0,IF(Mitarbeiter!$G$17=FALSE,0,IF(AND(Mitarbeiter!$E$17&lt;&gt;"",DV$5+6&lt;Mitarbeiter!$E$17),0,IF(AND(Mitarbeiter!$F$17&lt;&gt;"",DV$5&gt;Mitarbeiter!$F$17),0,IF(Planung!DV19="",$C19,IF(ISNUMBER(Planung!DV19),Planung!DV19,IF(UPPER(Planung!DV19)="H",$C19/2,0)))))))</f>
        <v>0</v>
      </c>
      <c r="DW19" s="27">
        <f>IF($A19="",0,IF(Mitarbeiter!$G$17=FALSE,0,IF(AND(Mitarbeiter!$E$17&lt;&gt;"",DW$5+6&lt;Mitarbeiter!$E$17),0,IF(AND(Mitarbeiter!$F$17&lt;&gt;"",DW$5&gt;Mitarbeiter!$F$17),0,IF(Planung!DW19="",$C19,IF(ISNUMBER(Planung!DW19),Planung!DW19,IF(UPPER(Planung!DW19)="H",$C19/2,0)))))))</f>
        <v>0</v>
      </c>
      <c r="DX19" s="27">
        <f>IF($A19="",0,IF(Mitarbeiter!$G$17=FALSE,0,IF(AND(Mitarbeiter!$E$17&lt;&gt;"",DX$5+6&lt;Mitarbeiter!$E$17),0,IF(AND(Mitarbeiter!$F$17&lt;&gt;"",DX$5&gt;Mitarbeiter!$F$17),0,IF(Planung!DX19="",$C19,IF(ISNUMBER(Planung!DX19),Planung!DX19,IF(UPPER(Planung!DX19)="H",$C19/2,0)))))))</f>
        <v>0</v>
      </c>
      <c r="DY19" s="27">
        <f>IF($A19="",0,IF(Mitarbeiter!$G$17=FALSE,0,IF(AND(Mitarbeiter!$E$17&lt;&gt;"",DY$5+6&lt;Mitarbeiter!$E$17),0,IF(AND(Mitarbeiter!$F$17&lt;&gt;"",DY$5&gt;Mitarbeiter!$F$17),0,IF(Planung!DY19="",$C19,IF(ISNUMBER(Planung!DY19),Planung!DY19,IF(UPPER(Planung!DY19)="H",$C19/2,0)))))))</f>
        <v>0</v>
      </c>
      <c r="DZ19" s="27">
        <f>IF($A19="",0,IF(Mitarbeiter!$G$17=FALSE,0,IF(AND(Mitarbeiter!$E$17&lt;&gt;"",DZ$5+6&lt;Mitarbeiter!$E$17),0,IF(AND(Mitarbeiter!$F$17&lt;&gt;"",DZ$5&gt;Mitarbeiter!$F$17),0,IF(Planung!DZ19="",$C19,IF(ISNUMBER(Planung!DZ19),Planung!DZ19,IF(UPPER(Planung!DZ19)="H",$C19/2,0)))))))</f>
        <v>0</v>
      </c>
      <c r="EA19" s="27">
        <f>IF($A19="",0,IF(Mitarbeiter!$G$17=FALSE,0,IF(AND(Mitarbeiter!$E$17&lt;&gt;"",EA$5+6&lt;Mitarbeiter!$E$17),0,IF(AND(Mitarbeiter!$F$17&lt;&gt;"",EA$5&gt;Mitarbeiter!$F$17),0,IF(Planung!EA19="",$C19,IF(ISNUMBER(Planung!EA19),Planung!EA19,IF(UPPER(Planung!EA19)="H",$C19/2,0)))))))</f>
        <v>0</v>
      </c>
      <c r="EB19" s="27">
        <f>IF($A19="",0,IF(Mitarbeiter!$G$17=FALSE,0,IF(AND(Mitarbeiter!$E$17&lt;&gt;"",EB$5+6&lt;Mitarbeiter!$E$17),0,IF(AND(Mitarbeiter!$F$17&lt;&gt;"",EB$5&gt;Mitarbeiter!$F$17),0,IF(Planung!EB19="",$C19,IF(ISNUMBER(Planung!EB19),Planung!EB19,IF(UPPER(Planung!EB19)="H",$C19/2,0)))))))</f>
        <v>0</v>
      </c>
      <c r="EC19" s="27">
        <f>IF($A19="",0,IF(Mitarbeiter!$G$17=FALSE,0,IF(AND(Mitarbeiter!$E$17&lt;&gt;"",EC$5+6&lt;Mitarbeiter!$E$17),0,IF(AND(Mitarbeiter!$F$17&lt;&gt;"",EC$5&gt;Mitarbeiter!$F$17),0,IF(Planung!EC19="",$C19,IF(ISNUMBER(Planung!EC19),Planung!EC19,IF(UPPER(Planung!EC19)="H",$C19/2,0)))))))</f>
        <v>0</v>
      </c>
      <c r="ED19" s="27">
        <f>IF($A19="",0,IF(Mitarbeiter!$G$17=FALSE,0,IF(AND(Mitarbeiter!$E$17&lt;&gt;"",ED$5+6&lt;Mitarbeiter!$E$17),0,IF(AND(Mitarbeiter!$F$17&lt;&gt;"",ED$5&gt;Mitarbeiter!$F$17),0,IF(Planung!ED19="",$C19,IF(ISNUMBER(Planung!ED19),Planung!ED19,IF(UPPER(Planung!ED19)="H",$C19/2,0)))))))</f>
        <v>0</v>
      </c>
      <c r="EE19" s="27">
        <f>IF($A19="",0,IF(Mitarbeiter!$G$17=FALSE,0,IF(AND(Mitarbeiter!$E$17&lt;&gt;"",EE$5+6&lt;Mitarbeiter!$E$17),0,IF(AND(Mitarbeiter!$F$17&lt;&gt;"",EE$5&gt;Mitarbeiter!$F$17),0,IF(Planung!EE19="",$C19,IF(ISNUMBER(Planung!EE19),Planung!EE19,IF(UPPER(Planung!EE19)="H",$C19/2,0)))))))</f>
        <v>0</v>
      </c>
      <c r="EF19" s="27">
        <f>IF($A19="",0,IF(Mitarbeiter!$G$17=FALSE,0,IF(AND(Mitarbeiter!$E$17&lt;&gt;"",EF$5+6&lt;Mitarbeiter!$E$17),0,IF(AND(Mitarbeiter!$F$17&lt;&gt;"",EF$5&gt;Mitarbeiter!$F$17),0,IF(Planung!EF19="",$C19,IF(ISNUMBER(Planung!EF19),Planung!EF19,IF(UPPER(Planung!EF19)="H",$C19/2,0)))))))</f>
        <v>0</v>
      </c>
      <c r="EG19" s="27">
        <f>IF($A19="",0,IF(Mitarbeiter!$G$17=FALSE,0,IF(AND(Mitarbeiter!$E$17&lt;&gt;"",EG$5+6&lt;Mitarbeiter!$E$17),0,IF(AND(Mitarbeiter!$F$17&lt;&gt;"",EG$5&gt;Mitarbeiter!$F$17),0,IF(Planung!EG19="",$C19,IF(ISNUMBER(Planung!EG19),Planung!EG19,IF(UPPER(Planung!EG19)="H",$C19/2,0)))))))</f>
        <v>0</v>
      </c>
      <c r="EH19" s="27">
        <f>IF($A19="",0,IF(Mitarbeiter!$G$17=FALSE,0,IF(AND(Mitarbeiter!$E$17&lt;&gt;"",EH$5+6&lt;Mitarbeiter!$E$17),0,IF(AND(Mitarbeiter!$F$17&lt;&gt;"",EH$5&gt;Mitarbeiter!$F$17),0,IF(Planung!EH19="",$C19,IF(ISNUMBER(Planung!EH19),Planung!EH19,IF(UPPER(Planung!EH19)="H",$C19/2,0)))))))</f>
        <v>0</v>
      </c>
      <c r="EI19" s="27">
        <f>IF($A19="",0,IF(Mitarbeiter!$G$17=FALSE,0,IF(AND(Mitarbeiter!$E$17&lt;&gt;"",EI$5+6&lt;Mitarbeiter!$E$17),0,IF(AND(Mitarbeiter!$F$17&lt;&gt;"",EI$5&gt;Mitarbeiter!$F$17),0,IF(Planung!EI19="",$C19,IF(ISNUMBER(Planung!EI19),Planung!EI19,IF(UPPER(Planung!EI19)="H",$C19/2,0)))))))</f>
        <v>0</v>
      </c>
      <c r="EJ19" s="27">
        <f>IF($A19="",0,IF(Mitarbeiter!$G$17=FALSE,0,IF(AND(Mitarbeiter!$E$17&lt;&gt;"",EJ$5+6&lt;Mitarbeiter!$E$17),0,IF(AND(Mitarbeiter!$F$17&lt;&gt;"",EJ$5&gt;Mitarbeiter!$F$17),0,IF(Planung!EJ19="",$C19,IF(ISNUMBER(Planung!EJ19),Planung!EJ19,IF(UPPER(Planung!EJ19)="H",$C19/2,0)))))))</f>
        <v>0</v>
      </c>
      <c r="EK19" s="27">
        <f>IF($A19="",0,IF(Mitarbeiter!$G$17=FALSE,0,IF(AND(Mitarbeiter!$E$17&lt;&gt;"",EK$5+6&lt;Mitarbeiter!$E$17),0,IF(AND(Mitarbeiter!$F$17&lt;&gt;"",EK$5&gt;Mitarbeiter!$F$17),0,IF(Planung!EK19="",$C19,IF(ISNUMBER(Planung!EK19),Planung!EK19,IF(UPPER(Planung!EK19)="H",$C19/2,0)))))))</f>
        <v>0</v>
      </c>
      <c r="EL19" s="27">
        <f>IF($A19="",0,IF(Mitarbeiter!$G$17=FALSE,0,IF(AND(Mitarbeiter!$E$17&lt;&gt;"",EL$5+6&lt;Mitarbeiter!$E$17),0,IF(AND(Mitarbeiter!$F$17&lt;&gt;"",EL$5&gt;Mitarbeiter!$F$17),0,IF(Planung!EL19="",$C19,IF(ISNUMBER(Planung!EL19),Planung!EL19,IF(UPPER(Planung!EL19)="H",$C19/2,0)))))))</f>
        <v>0</v>
      </c>
      <c r="EM19" s="27">
        <f>IF($A19="",0,IF(Mitarbeiter!$G$17=FALSE,0,IF(AND(Mitarbeiter!$E$17&lt;&gt;"",EM$5+6&lt;Mitarbeiter!$E$17),0,IF(AND(Mitarbeiter!$F$17&lt;&gt;"",EM$5&gt;Mitarbeiter!$F$17),0,IF(Planung!EM19="",$C19,IF(ISNUMBER(Planung!EM19),Planung!EM19,IF(UPPER(Planung!EM19)="H",$C19/2,0)))))))</f>
        <v>0</v>
      </c>
      <c r="EN19" s="27">
        <f>IF($A19="",0,IF(Mitarbeiter!$G$17=FALSE,0,IF(AND(Mitarbeiter!$E$17&lt;&gt;"",EN$5+6&lt;Mitarbeiter!$E$17),0,IF(AND(Mitarbeiter!$F$17&lt;&gt;"",EN$5&gt;Mitarbeiter!$F$17),0,IF(Planung!EN19="",$C19,IF(ISNUMBER(Planung!EN19),Planung!EN19,IF(UPPER(Planung!EN19)="H",$C19/2,0)))))))</f>
        <v>0</v>
      </c>
      <c r="EO19" s="27">
        <f>IF($A19="",0,IF(Mitarbeiter!$G$17=FALSE,0,IF(AND(Mitarbeiter!$E$17&lt;&gt;"",EO$5+6&lt;Mitarbeiter!$E$17),0,IF(AND(Mitarbeiter!$F$17&lt;&gt;"",EO$5&gt;Mitarbeiter!$F$17),0,IF(Planung!EO19="",$C19,IF(ISNUMBER(Planung!EO19),Planung!EO19,IF(UPPER(Planung!EO19)="H",$C19/2,0)))))))</f>
        <v>0</v>
      </c>
      <c r="EP19" s="27">
        <f>IF($A19="",0,IF(Mitarbeiter!$G$17=FALSE,0,IF(AND(Mitarbeiter!$E$17&lt;&gt;"",EP$5+6&lt;Mitarbeiter!$E$17),0,IF(AND(Mitarbeiter!$F$17&lt;&gt;"",EP$5&gt;Mitarbeiter!$F$17),0,IF(Planung!EP19="",$C19,IF(ISNUMBER(Planung!EP19),Planung!EP19,IF(UPPER(Planung!EP19)="H",$C19/2,0)))))))</f>
        <v>0</v>
      </c>
      <c r="EQ19" s="27">
        <f>IF($A19="",0,IF(Mitarbeiter!$G$17=FALSE,0,IF(AND(Mitarbeiter!$E$17&lt;&gt;"",EQ$5+6&lt;Mitarbeiter!$E$17),0,IF(AND(Mitarbeiter!$F$17&lt;&gt;"",EQ$5&gt;Mitarbeiter!$F$17),0,IF(Planung!EQ19="",$C19,IF(ISNUMBER(Planung!EQ19),Planung!EQ19,IF(UPPER(Planung!EQ19)="H",$C19/2,0)))))))</f>
        <v>0</v>
      </c>
      <c r="ER19" s="27">
        <f>IF($A19="",0,IF(Mitarbeiter!$G$17=FALSE,0,IF(AND(Mitarbeiter!$E$17&lt;&gt;"",ER$5+6&lt;Mitarbeiter!$E$17),0,IF(AND(Mitarbeiter!$F$17&lt;&gt;"",ER$5&gt;Mitarbeiter!$F$17),0,IF(Planung!ER19="",$C19,IF(ISNUMBER(Planung!ER19),Planung!ER19,IF(UPPER(Planung!ER19)="H",$C19/2,0)))))))</f>
        <v>0</v>
      </c>
      <c r="ES19" s="27">
        <f>IF($A19="",0,IF(Mitarbeiter!$G$17=FALSE,0,IF(AND(Mitarbeiter!$E$17&lt;&gt;"",ES$5+6&lt;Mitarbeiter!$E$17),0,IF(AND(Mitarbeiter!$F$17&lt;&gt;"",ES$5&gt;Mitarbeiter!$F$17),0,IF(Planung!ES19="",$C19,IF(ISNUMBER(Planung!ES19),Planung!ES19,IF(UPPER(Planung!ES19)="H",$C19/2,0)))))))</f>
        <v>0</v>
      </c>
      <c r="ET19" s="27">
        <f>IF($A19="",0,IF(Mitarbeiter!$G$17=FALSE,0,IF(AND(Mitarbeiter!$E$17&lt;&gt;"",ET$5+6&lt;Mitarbeiter!$E$17),0,IF(AND(Mitarbeiter!$F$17&lt;&gt;"",ET$5&gt;Mitarbeiter!$F$17),0,IF(Planung!ET19="",$C19,IF(ISNUMBER(Planung!ET19),Planung!ET19,IF(UPPER(Planung!ET19)="H",$C19/2,0)))))))</f>
        <v>0</v>
      </c>
      <c r="EU19" s="27">
        <f>IF($A19="",0,IF(Mitarbeiter!$G$17=FALSE,0,IF(AND(Mitarbeiter!$E$17&lt;&gt;"",EU$5+6&lt;Mitarbeiter!$E$17),0,IF(AND(Mitarbeiter!$F$17&lt;&gt;"",EU$5&gt;Mitarbeiter!$F$17),0,IF(Planung!EU19="",$C19,IF(ISNUMBER(Planung!EU19),Planung!EU19,IF(UPPER(Planung!EU19)="H",$C19/2,0)))))))</f>
        <v>0</v>
      </c>
      <c r="EV19" s="27">
        <f>IF($A19="",0,IF(Mitarbeiter!$G$17=FALSE,0,IF(AND(Mitarbeiter!$E$17&lt;&gt;"",EV$5+6&lt;Mitarbeiter!$E$17),0,IF(AND(Mitarbeiter!$F$17&lt;&gt;"",EV$5&gt;Mitarbeiter!$F$17),0,IF(Planung!EV19="",$C19,IF(ISNUMBER(Planung!EV19),Planung!EV19,IF(UPPER(Planung!EV19)="H",$C19/2,0)))))))</f>
        <v>0</v>
      </c>
      <c r="EW19" s="27">
        <f>IF($A19="",0,IF(Mitarbeiter!$G$17=FALSE,0,IF(AND(Mitarbeiter!$E$17&lt;&gt;"",EW$5+6&lt;Mitarbeiter!$E$17),0,IF(AND(Mitarbeiter!$F$17&lt;&gt;"",EW$5&gt;Mitarbeiter!$F$17),0,IF(Planung!EW19="",$C19,IF(ISNUMBER(Planung!EW19),Planung!EW19,IF(UPPER(Planung!EW19)="H",$C19/2,0)))))))</f>
        <v>0</v>
      </c>
      <c r="EX19" s="27">
        <f>IF($A19="",0,IF(Mitarbeiter!$G$17=FALSE,0,IF(AND(Mitarbeiter!$E$17&lt;&gt;"",EX$5+6&lt;Mitarbeiter!$E$17),0,IF(AND(Mitarbeiter!$F$17&lt;&gt;"",EX$5&gt;Mitarbeiter!$F$17),0,IF(Planung!EX19="",$C19,IF(ISNUMBER(Planung!EX19),Planung!EX19,IF(UPPER(Planung!EX19)="H",$C19/2,0)))))))</f>
        <v>0</v>
      </c>
      <c r="EY19" s="27">
        <f>IF($A19="",0,IF(Mitarbeiter!$G$17=FALSE,0,IF(AND(Mitarbeiter!$E$17&lt;&gt;"",EY$5+6&lt;Mitarbeiter!$E$17),0,IF(AND(Mitarbeiter!$F$17&lt;&gt;"",EY$5&gt;Mitarbeiter!$F$17),0,IF(Planung!EY19="",$C19,IF(ISNUMBER(Planung!EY19),Planung!EY19,IF(UPPER(Planung!EY19)="H",$C19/2,0)))))))</f>
        <v>0</v>
      </c>
      <c r="EZ19" s="27">
        <f>IF($A19="",0,IF(Mitarbeiter!$G$17=FALSE,0,IF(AND(Mitarbeiter!$E$17&lt;&gt;"",EZ$5+6&lt;Mitarbeiter!$E$17),0,IF(AND(Mitarbeiter!$F$17&lt;&gt;"",EZ$5&gt;Mitarbeiter!$F$17),0,IF(Planung!EZ19="",$C19,IF(ISNUMBER(Planung!EZ19),Planung!EZ19,IF(UPPER(Planung!EZ19)="H",$C19/2,0)))))))</f>
        <v>0</v>
      </c>
      <c r="FA19" s="27">
        <f>IF($A19="",0,IF(Mitarbeiter!$G$17=FALSE,0,IF(AND(Mitarbeiter!$E$17&lt;&gt;"",FA$5+6&lt;Mitarbeiter!$E$17),0,IF(AND(Mitarbeiter!$F$17&lt;&gt;"",FA$5&gt;Mitarbeiter!$F$17),0,IF(Planung!FA19="",$C19,IF(ISNUMBER(Planung!FA19),Planung!FA19,IF(UPPER(Planung!FA19)="H",$C19/2,0)))))))</f>
        <v>0</v>
      </c>
      <c r="FB19" s="27">
        <f>IF($A19="",0,IF(Mitarbeiter!$G$17=FALSE,0,IF(AND(Mitarbeiter!$E$17&lt;&gt;"",FB$5+6&lt;Mitarbeiter!$E$17),0,IF(AND(Mitarbeiter!$F$17&lt;&gt;"",FB$5&gt;Mitarbeiter!$F$17),0,IF(Planung!FB19="",$C19,IF(ISNUMBER(Planung!FB19),Planung!FB19,IF(UPPER(Planung!FB19)="H",$C19/2,0)))))))</f>
        <v>0</v>
      </c>
      <c r="FC19" s="27">
        <f>IF($A19="",0,IF(Mitarbeiter!$G$17=FALSE,0,IF(AND(Mitarbeiter!$E$17&lt;&gt;"",FC$5+6&lt;Mitarbeiter!$E$17),0,IF(AND(Mitarbeiter!$F$17&lt;&gt;"",FC$5&gt;Mitarbeiter!$F$17),0,IF(Planung!FC19="",$C19,IF(ISNUMBER(Planung!FC19),Planung!FC19,IF(UPPER(Planung!FC19)="H",$C19/2,0)))))))</f>
        <v>0</v>
      </c>
      <c r="FD19" s="27">
        <f>IF($A19="",0,IF(Mitarbeiter!$G$17=FALSE,0,IF(AND(Mitarbeiter!$E$17&lt;&gt;"",FD$5+6&lt;Mitarbeiter!$E$17),0,IF(AND(Mitarbeiter!$F$17&lt;&gt;"",FD$5&gt;Mitarbeiter!$F$17),0,IF(Planung!FD19="",$C19,IF(ISNUMBER(Planung!FD19),Planung!FD19,IF(UPPER(Planung!FD19)="H",$C19/2,0)))))))</f>
        <v>0</v>
      </c>
      <c r="FE19" s="27">
        <f>IF($A19="",0,IF(Mitarbeiter!$G$17=FALSE,0,IF(AND(Mitarbeiter!$E$17&lt;&gt;"",FE$5+6&lt;Mitarbeiter!$E$17),0,IF(AND(Mitarbeiter!$F$17&lt;&gt;"",FE$5&gt;Mitarbeiter!$F$17),0,IF(Planung!FE19="",$C19,IF(ISNUMBER(Planung!FE19),Planung!FE19,IF(UPPER(Planung!FE19)="H",$C19/2,0)))))))</f>
        <v>0</v>
      </c>
      <c r="FF19" s="27">
        <f>IF($A19="",0,IF(Mitarbeiter!$G$17=FALSE,0,IF(AND(Mitarbeiter!$E$17&lt;&gt;"",FF$5+6&lt;Mitarbeiter!$E$17),0,IF(AND(Mitarbeiter!$F$17&lt;&gt;"",FF$5&gt;Mitarbeiter!$F$17),0,IF(Planung!FF19="",$C19,IF(ISNUMBER(Planung!FF19),Planung!FF19,IF(UPPER(Planung!FF19)="H",$C19/2,0)))))))</f>
        <v>0</v>
      </c>
      <c r="FG19" s="27">
        <f>IF($A19="",0,IF(Mitarbeiter!$G$17=FALSE,0,IF(AND(Mitarbeiter!$E$17&lt;&gt;"",FG$5+6&lt;Mitarbeiter!$E$17),0,IF(AND(Mitarbeiter!$F$17&lt;&gt;"",FG$5&gt;Mitarbeiter!$F$17),0,IF(Planung!FG19="",$C19,IF(ISNUMBER(Planung!FG19),Planung!FG19,IF(UPPER(Planung!FG19)="H",$C19/2,0)))))))</f>
        <v>0</v>
      </c>
      <c r="FH19" s="27">
        <f>IF($A19="",0,IF(Mitarbeiter!$G$17=FALSE,0,IF(AND(Mitarbeiter!$E$17&lt;&gt;"",FH$5+6&lt;Mitarbeiter!$E$17),0,IF(AND(Mitarbeiter!$F$17&lt;&gt;"",FH$5&gt;Mitarbeiter!$F$17),0,IF(Planung!FH19="",$C19,IF(ISNUMBER(Planung!FH19),Planung!FH19,IF(UPPER(Planung!FH19)="H",$C19/2,0)))))))</f>
        <v>0</v>
      </c>
      <c r="FI19" s="27">
        <f>IF($A19="",0,IF(Mitarbeiter!$G$17=FALSE,0,IF(AND(Mitarbeiter!$E$17&lt;&gt;"",FI$5+6&lt;Mitarbeiter!$E$17),0,IF(AND(Mitarbeiter!$F$17&lt;&gt;"",FI$5&gt;Mitarbeiter!$F$17),0,IF(Planung!FI19="",$C19,IF(ISNUMBER(Planung!FI19),Planung!FI19,IF(UPPER(Planung!FI19)="H",$C19/2,0)))))))</f>
        <v>0</v>
      </c>
      <c r="FJ19" s="27">
        <f>IF($A19="",0,IF(Mitarbeiter!$G$17=FALSE,0,IF(AND(Mitarbeiter!$E$17&lt;&gt;"",FJ$5+6&lt;Mitarbeiter!$E$17),0,IF(AND(Mitarbeiter!$F$17&lt;&gt;"",FJ$5&gt;Mitarbeiter!$F$17),0,IF(Planung!FJ19="",$C19,IF(ISNUMBER(Planung!FJ19),Planung!FJ19,IF(UPPER(Planung!FJ19)="H",$C19/2,0)))))))</f>
        <v>0</v>
      </c>
      <c r="FK19" s="27">
        <f>IF($A19="",0,IF(Mitarbeiter!$G$17=FALSE,0,IF(AND(Mitarbeiter!$E$17&lt;&gt;"",FK$5+6&lt;Mitarbeiter!$E$17),0,IF(AND(Mitarbeiter!$F$17&lt;&gt;"",FK$5&gt;Mitarbeiter!$F$17),0,IF(Planung!FK19="",$C19,IF(ISNUMBER(Planung!FK19),Planung!FK19,IF(UPPER(Planung!FK19)="H",$C19/2,0)))))))</f>
        <v>0</v>
      </c>
      <c r="FL19" s="27">
        <f>IF($A19="",0,IF(Mitarbeiter!$G$17=FALSE,0,IF(AND(Mitarbeiter!$E$17&lt;&gt;"",FL$5+6&lt;Mitarbeiter!$E$17),0,IF(AND(Mitarbeiter!$F$17&lt;&gt;"",FL$5&gt;Mitarbeiter!$F$17),0,IF(Planung!FL19="",$C19,IF(ISNUMBER(Planung!FL19),Planung!FL19,IF(UPPER(Planung!FL19)="H",$C19/2,0)))))))</f>
        <v>0</v>
      </c>
      <c r="FM19" s="27">
        <f>IF($A19="",0,IF(Mitarbeiter!$G$17=FALSE,0,IF(AND(Mitarbeiter!$E$17&lt;&gt;"",FM$5+6&lt;Mitarbeiter!$E$17),0,IF(AND(Mitarbeiter!$F$17&lt;&gt;"",FM$5&gt;Mitarbeiter!$F$17),0,IF(Planung!FM19="",$C19,IF(ISNUMBER(Planung!FM19),Planung!FM19,IF(UPPER(Planung!FM19)="H",$C19/2,0)))))))</f>
        <v>0</v>
      </c>
      <c r="FN19" s="27">
        <f>IF($A19="",0,IF(Mitarbeiter!$G$17=FALSE,0,IF(AND(Mitarbeiter!$E$17&lt;&gt;"",FN$5+6&lt;Mitarbeiter!$E$17),0,IF(AND(Mitarbeiter!$F$17&lt;&gt;"",FN$5&gt;Mitarbeiter!$F$17),0,IF(Planung!FN19="",$C19,IF(ISNUMBER(Planung!FN19),Planung!FN19,IF(UPPER(Planung!FN19)="H",$C19/2,0)))))))</f>
        <v>0</v>
      </c>
      <c r="FO19" s="27">
        <f>IF($A19="",0,IF(Mitarbeiter!$G$17=FALSE,0,IF(AND(Mitarbeiter!$E$17&lt;&gt;"",FO$5+6&lt;Mitarbeiter!$E$17),0,IF(AND(Mitarbeiter!$F$17&lt;&gt;"",FO$5&gt;Mitarbeiter!$F$17),0,IF(Planung!FO19="",$C19,IF(ISNUMBER(Planung!FO19),Planung!FO19,IF(UPPER(Planung!FO19)="H",$C19/2,0)))))))</f>
        <v>0</v>
      </c>
      <c r="FP19" s="27">
        <f>IF($A19="",0,IF(Mitarbeiter!$G$17=FALSE,0,IF(AND(Mitarbeiter!$E$17&lt;&gt;"",FP$5+6&lt;Mitarbeiter!$E$17),0,IF(AND(Mitarbeiter!$F$17&lt;&gt;"",FP$5&gt;Mitarbeiter!$F$17),0,IF(Planung!FP19="",$C19,IF(ISNUMBER(Planung!FP19),Planung!FP19,IF(UPPER(Planung!FP19)="H",$C19/2,0)))))))</f>
        <v>0</v>
      </c>
      <c r="FQ19" s="27">
        <f>IF($A19="",0,IF(Mitarbeiter!$G$17=FALSE,0,IF(AND(Mitarbeiter!$E$17&lt;&gt;"",FQ$5+6&lt;Mitarbeiter!$E$17),0,IF(AND(Mitarbeiter!$F$17&lt;&gt;"",FQ$5&gt;Mitarbeiter!$F$17),0,IF(Planung!FQ19="",$C19,IF(ISNUMBER(Planung!FQ19),Planung!FQ19,IF(UPPER(Planung!FQ19)="H",$C19/2,0)))))))</f>
        <v>0</v>
      </c>
      <c r="FR19" s="27">
        <f>IF($A19="",0,IF(Mitarbeiter!$G$17=FALSE,0,IF(AND(Mitarbeiter!$E$17&lt;&gt;"",FR$5+6&lt;Mitarbeiter!$E$17),0,IF(AND(Mitarbeiter!$F$17&lt;&gt;"",FR$5&gt;Mitarbeiter!$F$17),0,IF(Planung!FR19="",$C19,IF(ISNUMBER(Planung!FR19),Planung!FR19,IF(UPPER(Planung!FR19)="H",$C19/2,0)))))))</f>
        <v>0</v>
      </c>
      <c r="FS19" s="27">
        <f>IF($A19="",0,IF(Mitarbeiter!$G$17=FALSE,0,IF(AND(Mitarbeiter!$E$17&lt;&gt;"",FS$5+6&lt;Mitarbeiter!$E$17),0,IF(AND(Mitarbeiter!$F$17&lt;&gt;"",FS$5&gt;Mitarbeiter!$F$17),0,IF(Planung!FS19="",$C19,IF(ISNUMBER(Planung!FS19),Planung!FS19,IF(UPPER(Planung!FS19)="H",$C19/2,0)))))))</f>
        <v>0</v>
      </c>
      <c r="FT19" s="27">
        <f>IF($A19="",0,IF(Mitarbeiter!$G$17=FALSE,0,IF(AND(Mitarbeiter!$E$17&lt;&gt;"",FT$5+6&lt;Mitarbeiter!$E$17),0,IF(AND(Mitarbeiter!$F$17&lt;&gt;"",FT$5&gt;Mitarbeiter!$F$17),0,IF(Planung!FT19="",$C19,IF(ISNUMBER(Planung!FT19),Planung!FT19,IF(UPPER(Planung!FT19)="H",$C19/2,0)))))))</f>
        <v>0</v>
      </c>
      <c r="FU19" s="27">
        <f>IF($A19="",0,IF(Mitarbeiter!$G$17=FALSE,0,IF(AND(Mitarbeiter!$E$17&lt;&gt;"",FU$5+6&lt;Mitarbeiter!$E$17),0,IF(AND(Mitarbeiter!$F$17&lt;&gt;"",FU$5&gt;Mitarbeiter!$F$17),0,IF(Planung!FU19="",$C19,IF(ISNUMBER(Planung!FU19),Planung!FU19,IF(UPPER(Planung!FU19)="H",$C19/2,0)))))))</f>
        <v>0</v>
      </c>
      <c r="FV19" s="27">
        <f>IF($A19="",0,IF(Mitarbeiter!$G$17=FALSE,0,IF(AND(Mitarbeiter!$E$17&lt;&gt;"",FV$5+6&lt;Mitarbeiter!$E$17),0,IF(AND(Mitarbeiter!$F$17&lt;&gt;"",FV$5&gt;Mitarbeiter!$F$17),0,IF(Planung!FV19="",$C19,IF(ISNUMBER(Planung!FV19),Planung!FV19,IF(UPPER(Planung!FV19)="H",$C19/2,0)))))))</f>
        <v>0</v>
      </c>
      <c r="FW19" s="27">
        <f>IF($A19="",0,IF(Mitarbeiter!$G$17=FALSE,0,IF(AND(Mitarbeiter!$E$17&lt;&gt;"",FW$5+6&lt;Mitarbeiter!$E$17),0,IF(AND(Mitarbeiter!$F$17&lt;&gt;"",FW$5&gt;Mitarbeiter!$F$17),0,IF(Planung!FW19="",$C19,IF(ISNUMBER(Planung!FW19),Planung!FW19,IF(UPPER(Planung!FW19)="H",$C19/2,0)))))))</f>
        <v>0</v>
      </c>
      <c r="FX19" s="27">
        <f>IF($A19="",0,IF(Mitarbeiter!$G$17=FALSE,0,IF(AND(Mitarbeiter!$E$17&lt;&gt;"",FX$5+6&lt;Mitarbeiter!$E$17),0,IF(AND(Mitarbeiter!$F$17&lt;&gt;"",FX$5&gt;Mitarbeiter!$F$17),0,IF(Planung!FX19="",$C19,IF(ISNUMBER(Planung!FX19),Planung!FX19,IF(UPPER(Planung!FX19)="H",$C19/2,0)))))))</f>
        <v>0</v>
      </c>
      <c r="FY19" s="27">
        <f>IF($A19="",0,IF(Mitarbeiter!$G$17=FALSE,0,IF(AND(Mitarbeiter!$E$17&lt;&gt;"",FY$5+6&lt;Mitarbeiter!$E$17),0,IF(AND(Mitarbeiter!$F$17&lt;&gt;"",FY$5&gt;Mitarbeiter!$F$17),0,IF(Planung!FY19="",$C19,IF(ISNUMBER(Planung!FY19),Planung!FY19,IF(UPPER(Planung!FY19)="H",$C19/2,0)))))))</f>
        <v>0</v>
      </c>
      <c r="FZ19" s="27">
        <f>IF($A19="",0,IF(Mitarbeiter!$G$17=FALSE,0,IF(AND(Mitarbeiter!$E$17&lt;&gt;"",FZ$5+6&lt;Mitarbeiter!$E$17),0,IF(AND(Mitarbeiter!$F$17&lt;&gt;"",FZ$5&gt;Mitarbeiter!$F$17),0,IF(Planung!FZ19="",$C19,IF(ISNUMBER(Planung!FZ19),Planung!FZ19,IF(UPPER(Planung!FZ19)="H",$C19/2,0)))))))</f>
        <v>0</v>
      </c>
      <c r="GA19" s="27">
        <f>IF($A19="",0,IF(Mitarbeiter!$G$17=FALSE,0,IF(AND(Mitarbeiter!$E$17&lt;&gt;"",GA$5+6&lt;Mitarbeiter!$E$17),0,IF(AND(Mitarbeiter!$F$17&lt;&gt;"",GA$5&gt;Mitarbeiter!$F$17),0,IF(Planung!GA19="",$C19,IF(ISNUMBER(Planung!GA19),Planung!GA19,IF(UPPER(Planung!GA19)="H",$C19/2,0)))))))</f>
        <v>0</v>
      </c>
      <c r="GB19" s="27">
        <f>IF($A19="",0,IF(Mitarbeiter!$G$17=FALSE,0,IF(AND(Mitarbeiter!$E$17&lt;&gt;"",GB$5+6&lt;Mitarbeiter!$E$17),0,IF(AND(Mitarbeiter!$F$17&lt;&gt;"",GB$5&gt;Mitarbeiter!$F$17),0,IF(Planung!GB19="",$C19,IF(ISNUMBER(Planung!GB19),Planung!GB19,IF(UPPER(Planung!GB19)="H",$C19/2,0)))))))</f>
        <v>0</v>
      </c>
      <c r="GC19" s="27">
        <f>IF($A19="",0,IF(Mitarbeiter!$G$17=FALSE,0,IF(AND(Mitarbeiter!$E$17&lt;&gt;"",GC$5+6&lt;Mitarbeiter!$E$17),0,IF(AND(Mitarbeiter!$F$17&lt;&gt;"",GC$5&gt;Mitarbeiter!$F$17),0,IF(Planung!GC19="",$C19,IF(ISNUMBER(Planung!GC19),Planung!GC19,IF(UPPER(Planung!GC19)="H",$C19/2,0)))))))</f>
        <v>0</v>
      </c>
      <c r="GD19" s="27">
        <f>IF($A19="",0,IF(Mitarbeiter!$G$17=FALSE,0,IF(AND(Mitarbeiter!$E$17&lt;&gt;"",GD$5+6&lt;Mitarbeiter!$E$17),0,IF(AND(Mitarbeiter!$F$17&lt;&gt;"",GD$5&gt;Mitarbeiter!$F$17),0,IF(Planung!GD19="",$C19,IF(ISNUMBER(Planung!GD19),Planung!GD19,IF(UPPER(Planung!GD19)="H",$C19/2,0)))))))</f>
        <v>0</v>
      </c>
      <c r="GE19" s="27">
        <f>IF($A19="",0,IF(Mitarbeiter!$G$17=FALSE,0,IF(AND(Mitarbeiter!$E$17&lt;&gt;"",GE$5+6&lt;Mitarbeiter!$E$17),0,IF(AND(Mitarbeiter!$F$17&lt;&gt;"",GE$5&gt;Mitarbeiter!$F$17),0,IF(Planung!GE19="",$C19,IF(ISNUMBER(Planung!GE19),Planung!GE19,IF(UPPER(Planung!GE19)="H",$C19/2,0)))))))</f>
        <v>0</v>
      </c>
      <c r="GF19" s="27">
        <f>IF($A19="",0,IF(Mitarbeiter!$G$17=FALSE,0,IF(AND(Mitarbeiter!$E$17&lt;&gt;"",GF$5+6&lt;Mitarbeiter!$E$17),0,IF(AND(Mitarbeiter!$F$17&lt;&gt;"",GF$5&gt;Mitarbeiter!$F$17),0,IF(Planung!GF19="",$C19,IF(ISNUMBER(Planung!GF19),Planung!GF19,IF(UPPER(Planung!GF19)="H",$C19/2,0)))))))</f>
        <v>0</v>
      </c>
      <c r="GG19" s="27">
        <f>IF($A19="",0,IF(Mitarbeiter!$G$17=FALSE,0,IF(AND(Mitarbeiter!$E$17&lt;&gt;"",GG$5+6&lt;Mitarbeiter!$E$17),0,IF(AND(Mitarbeiter!$F$17&lt;&gt;"",GG$5&gt;Mitarbeiter!$F$17),0,IF(Planung!GG19="",$C19,IF(ISNUMBER(Planung!GG19),Planung!GG19,IF(UPPER(Planung!GG19)="H",$C19/2,0)))))))</f>
        <v>0</v>
      </c>
      <c r="GH19" s="27">
        <f>IF($A19="",0,IF(Mitarbeiter!$G$17=FALSE,0,IF(AND(Mitarbeiter!$E$17&lt;&gt;"",GH$5+6&lt;Mitarbeiter!$E$17),0,IF(AND(Mitarbeiter!$F$17&lt;&gt;"",GH$5&gt;Mitarbeiter!$F$17),0,IF(Planung!GH19="",$C19,IF(ISNUMBER(Planung!GH19),Planung!GH19,IF(UPPER(Planung!GH19)="H",$C19/2,0)))))))</f>
        <v>0</v>
      </c>
      <c r="GI19" s="27">
        <f>IF($A19="",0,IF(Mitarbeiter!$G$17=FALSE,0,IF(AND(Mitarbeiter!$E$17&lt;&gt;"",GI$5+6&lt;Mitarbeiter!$E$17),0,IF(AND(Mitarbeiter!$F$17&lt;&gt;"",GI$5&gt;Mitarbeiter!$F$17),0,IF(Planung!GI19="",$C19,IF(ISNUMBER(Planung!GI19),Planung!GI19,IF(UPPER(Planung!GI19)="H",$C19/2,0)))))))</f>
        <v>0</v>
      </c>
      <c r="GJ19" s="27">
        <f>IF($A19="",0,IF(Mitarbeiter!$G$17=FALSE,0,IF(AND(Mitarbeiter!$E$17&lt;&gt;"",GJ$5+6&lt;Mitarbeiter!$E$17),0,IF(AND(Mitarbeiter!$F$17&lt;&gt;"",GJ$5&gt;Mitarbeiter!$F$17),0,IF(Planung!GJ19="",$C19,IF(ISNUMBER(Planung!GJ19),Planung!GJ19,IF(UPPER(Planung!GJ19)="H",$C19/2,0)))))))</f>
        <v>0</v>
      </c>
      <c r="GK19" s="27">
        <f>IF($A19="",0,IF(Mitarbeiter!$G$17=FALSE,0,IF(AND(Mitarbeiter!$E$17&lt;&gt;"",GK$5+6&lt;Mitarbeiter!$E$17),0,IF(AND(Mitarbeiter!$F$17&lt;&gt;"",GK$5&gt;Mitarbeiter!$F$17),0,IF(Planung!GK19="",$C19,IF(ISNUMBER(Planung!GK19),Planung!GK19,IF(UPPER(Planung!GK19)="H",$C19/2,0)))))))</f>
        <v>0</v>
      </c>
      <c r="GL19" s="27">
        <f>IF($A19="",0,IF(Mitarbeiter!$G$17=FALSE,0,IF(AND(Mitarbeiter!$E$17&lt;&gt;"",GL$5+6&lt;Mitarbeiter!$E$17),0,IF(AND(Mitarbeiter!$F$17&lt;&gt;"",GL$5&gt;Mitarbeiter!$F$17),0,IF(Planung!GL19="",$C19,IF(ISNUMBER(Planung!GL19),Planung!GL19,IF(UPPER(Planung!GL19)="H",$C19/2,0)))))))</f>
        <v>0</v>
      </c>
      <c r="GM19" s="27">
        <f>IF($A19="",0,IF(Mitarbeiter!$G$17=FALSE,0,IF(AND(Mitarbeiter!$E$17&lt;&gt;"",GM$5+6&lt;Mitarbeiter!$E$17),0,IF(AND(Mitarbeiter!$F$17&lt;&gt;"",GM$5&gt;Mitarbeiter!$F$17),0,IF(Planung!GM19="",$C19,IF(ISNUMBER(Planung!GM19),Planung!GM19,IF(UPPER(Planung!GM19)="H",$C19/2,0)))))))</f>
        <v>0</v>
      </c>
      <c r="GN19" s="27">
        <f>IF($A19="",0,IF(Mitarbeiter!$G$17=FALSE,0,IF(AND(Mitarbeiter!$E$17&lt;&gt;"",GN$5+6&lt;Mitarbeiter!$E$17),0,IF(AND(Mitarbeiter!$F$17&lt;&gt;"",GN$5&gt;Mitarbeiter!$F$17),0,IF(Planung!GN19="",$C19,IF(ISNUMBER(Planung!GN19),Planung!GN19,IF(UPPER(Planung!GN19)="H",$C19/2,0)))))))</f>
        <v>0</v>
      </c>
      <c r="GO19" s="27">
        <f>IF($A19="",0,IF(Mitarbeiter!$G$17=FALSE,0,IF(AND(Mitarbeiter!$E$17&lt;&gt;"",GO$5+6&lt;Mitarbeiter!$E$17),0,IF(AND(Mitarbeiter!$F$17&lt;&gt;"",GO$5&gt;Mitarbeiter!$F$17),0,IF(Planung!GO19="",$C19,IF(ISNUMBER(Planung!GO19),Planung!GO19,IF(UPPER(Planung!GO19)="H",$C19/2,0)))))))</f>
        <v>0</v>
      </c>
      <c r="GP19" s="27">
        <f>IF($A19="",0,IF(Mitarbeiter!$G$17=FALSE,0,IF(AND(Mitarbeiter!$E$17&lt;&gt;"",GP$5+6&lt;Mitarbeiter!$E$17),0,IF(AND(Mitarbeiter!$F$17&lt;&gt;"",GP$5&gt;Mitarbeiter!$F$17),0,IF(Planung!GP19="",$C19,IF(ISNUMBER(Planung!GP19),Planung!GP19,IF(UPPER(Planung!GP19)="H",$C19/2,0)))))))</f>
        <v>0</v>
      </c>
      <c r="GQ19" s="27">
        <f>IF($A19="",0,IF(Mitarbeiter!$G$17=FALSE,0,IF(AND(Mitarbeiter!$E$17&lt;&gt;"",GQ$5+6&lt;Mitarbeiter!$E$17),0,IF(AND(Mitarbeiter!$F$17&lt;&gt;"",GQ$5&gt;Mitarbeiter!$F$17),0,IF(Planung!GQ19="",$C19,IF(ISNUMBER(Planung!GQ19),Planung!GQ19,IF(UPPER(Planung!GQ19)="H",$C19/2,0)))))))</f>
        <v>0</v>
      </c>
      <c r="GR19" s="27">
        <f>IF($A19="",0,IF(Mitarbeiter!$G$17=FALSE,0,IF(AND(Mitarbeiter!$E$17&lt;&gt;"",GR$5+6&lt;Mitarbeiter!$E$17),0,IF(AND(Mitarbeiter!$F$17&lt;&gt;"",GR$5&gt;Mitarbeiter!$F$17),0,IF(Planung!GR19="",$C19,IF(ISNUMBER(Planung!GR19),Planung!GR19,IF(UPPER(Planung!GR19)="H",$C19/2,0)))))))</f>
        <v>0</v>
      </c>
      <c r="GS19" s="27">
        <f>IF($A19="",0,IF(Mitarbeiter!$G$17=FALSE,0,IF(AND(Mitarbeiter!$E$17&lt;&gt;"",GS$5+6&lt;Mitarbeiter!$E$17),0,IF(AND(Mitarbeiter!$F$17&lt;&gt;"",GS$5&gt;Mitarbeiter!$F$17),0,IF(Planung!GS19="",$C19,IF(ISNUMBER(Planung!GS19),Planung!GS19,IF(UPPER(Planung!GS19)="H",$C19/2,0)))))))</f>
        <v>0</v>
      </c>
      <c r="GT19" s="27">
        <f>IF($A19="",0,IF(Mitarbeiter!$G$17=FALSE,0,IF(AND(Mitarbeiter!$E$17&lt;&gt;"",GT$5+6&lt;Mitarbeiter!$E$17),0,IF(AND(Mitarbeiter!$F$17&lt;&gt;"",GT$5&gt;Mitarbeiter!$F$17),0,IF(Planung!GT19="",$C19,IF(ISNUMBER(Planung!GT19),Planung!GT19,IF(UPPER(Planung!GT19)="H",$C19/2,0)))))))</f>
        <v>0</v>
      </c>
      <c r="GU19" s="27">
        <f>IF($A19="",0,IF(Mitarbeiter!$G$17=FALSE,0,IF(AND(Mitarbeiter!$E$17&lt;&gt;"",GU$5+6&lt;Mitarbeiter!$E$17),0,IF(AND(Mitarbeiter!$F$17&lt;&gt;"",GU$5&gt;Mitarbeiter!$F$17),0,IF(Planung!GU19="",$C19,IF(ISNUMBER(Planung!GU19),Planung!GU19,IF(UPPER(Planung!GU19)="H",$C19/2,0)))))))</f>
        <v>0</v>
      </c>
      <c r="GV19" s="27">
        <f>IF($A19="",0,IF(Mitarbeiter!$G$17=FALSE,0,IF(AND(Mitarbeiter!$E$17&lt;&gt;"",GV$5+6&lt;Mitarbeiter!$E$17),0,IF(AND(Mitarbeiter!$F$17&lt;&gt;"",GV$5&gt;Mitarbeiter!$F$17),0,IF(Planung!GV19="",$C19,IF(ISNUMBER(Planung!GV19),Planung!GV19,IF(UPPER(Planung!GV19)="H",$C19/2,0)))))))</f>
        <v>0</v>
      </c>
      <c r="GW19" s="27">
        <f>IF($A19="",0,IF(Mitarbeiter!$G$17=FALSE,0,IF(AND(Mitarbeiter!$E$17&lt;&gt;"",GW$5+6&lt;Mitarbeiter!$E$17),0,IF(AND(Mitarbeiter!$F$17&lt;&gt;"",GW$5&gt;Mitarbeiter!$F$17),0,IF(Planung!GW19="",$C19,IF(ISNUMBER(Planung!GW19),Planung!GW19,IF(UPPER(Planung!GW19)="H",$C19/2,0)))))))</f>
        <v>0</v>
      </c>
      <c r="GX19" s="27">
        <f>IF($A19="",0,IF(Mitarbeiter!$G$17=FALSE,0,IF(AND(Mitarbeiter!$E$17&lt;&gt;"",GX$5+6&lt;Mitarbeiter!$E$17),0,IF(AND(Mitarbeiter!$F$17&lt;&gt;"",GX$5&gt;Mitarbeiter!$F$17),0,IF(Planung!GX19="",$C19,IF(ISNUMBER(Planung!GX19),Planung!GX19,IF(UPPER(Planung!GX19)="H",$C19/2,0)))))))</f>
        <v>0</v>
      </c>
      <c r="GY19" s="27">
        <f>IF($A19="",0,IF(Mitarbeiter!$G$17=FALSE,0,IF(AND(Mitarbeiter!$E$17&lt;&gt;"",GY$5+6&lt;Mitarbeiter!$E$17),0,IF(AND(Mitarbeiter!$F$17&lt;&gt;"",GY$5&gt;Mitarbeiter!$F$17),0,IF(Planung!GY19="",$C19,IF(ISNUMBER(Planung!GY19),Planung!GY19,IF(UPPER(Planung!GY19)="H",$C19/2,0)))))))</f>
        <v>0</v>
      </c>
      <c r="GZ19" s="27">
        <f>IF($A19="",0,IF(Mitarbeiter!$G$17=FALSE,0,IF(AND(Mitarbeiter!$E$17&lt;&gt;"",GZ$5+6&lt;Mitarbeiter!$E$17),0,IF(AND(Mitarbeiter!$F$17&lt;&gt;"",GZ$5&gt;Mitarbeiter!$F$17),0,IF(Planung!GZ19="",$C19,IF(ISNUMBER(Planung!GZ19),Planung!GZ19,IF(UPPER(Planung!GZ19)="H",$C19/2,0)))))))</f>
        <v>0</v>
      </c>
      <c r="HA19" s="27">
        <f>IF($A19="",0,IF(Mitarbeiter!$G$17=FALSE,0,IF(AND(Mitarbeiter!$E$17&lt;&gt;"",HA$5+6&lt;Mitarbeiter!$E$17),0,IF(AND(Mitarbeiter!$F$17&lt;&gt;"",HA$5&gt;Mitarbeiter!$F$17),0,IF(Planung!HA19="",$C19,IF(ISNUMBER(Planung!HA19),Planung!HA19,IF(UPPER(Planung!HA19)="H",$C19/2,0)))))))</f>
        <v>0</v>
      </c>
      <c r="HB19" s="27">
        <f>IF($A19="",0,IF(Mitarbeiter!$G$17=FALSE,0,IF(AND(Mitarbeiter!$E$17&lt;&gt;"",HB$5+6&lt;Mitarbeiter!$E$17),0,IF(AND(Mitarbeiter!$F$17&lt;&gt;"",HB$5&gt;Mitarbeiter!$F$17),0,IF(Planung!HB19="",$C19,IF(ISNUMBER(Planung!HB19),Planung!HB19,IF(UPPER(Planung!HB19)="H",$C19/2,0)))))))</f>
        <v>0</v>
      </c>
      <c r="HC19" s="27">
        <f>IF($A19="",0,IF(Mitarbeiter!$G$17=FALSE,0,IF(AND(Mitarbeiter!$E$17&lt;&gt;"",HC$5+6&lt;Mitarbeiter!$E$17),0,IF(AND(Mitarbeiter!$F$17&lt;&gt;"",HC$5&gt;Mitarbeiter!$F$17),0,IF(Planung!HC19="",$C19,IF(ISNUMBER(Planung!HC19),Planung!HC19,IF(UPPER(Planung!HC19)="H",$C19/2,0)))))))</f>
        <v>0</v>
      </c>
      <c r="HD19" s="27">
        <f>IF($A19="",0,IF(Mitarbeiter!$G$17=FALSE,0,IF(AND(Mitarbeiter!$E$17&lt;&gt;"",HD$5+6&lt;Mitarbeiter!$E$17),0,IF(AND(Mitarbeiter!$F$17&lt;&gt;"",HD$5&gt;Mitarbeiter!$F$17),0,IF(Planung!HD19="",$C19,IF(ISNUMBER(Planung!HD19),Planung!HD19,IF(UPPER(Planung!HD19)="H",$C19/2,0)))))))</f>
        <v>0</v>
      </c>
      <c r="HE19" s="27">
        <f>IF($A19="",0,IF(Mitarbeiter!$G$17=FALSE,0,IF(AND(Mitarbeiter!$E$17&lt;&gt;"",HE$5+6&lt;Mitarbeiter!$E$17),0,IF(AND(Mitarbeiter!$F$17&lt;&gt;"",HE$5&gt;Mitarbeiter!$F$17),0,IF(Planung!HE19="",$C19,IF(ISNUMBER(Planung!HE19),Planung!HE19,IF(UPPER(Planung!HE19)="H",$C19/2,0)))))))</f>
        <v>0</v>
      </c>
      <c r="HF19" s="27">
        <f>IF($A19="",0,IF(Mitarbeiter!$G$17=FALSE,0,IF(AND(Mitarbeiter!$E$17&lt;&gt;"",HF$5+6&lt;Mitarbeiter!$E$17),0,IF(AND(Mitarbeiter!$F$17&lt;&gt;"",HF$5&gt;Mitarbeiter!$F$17),0,IF(Planung!HF19="",$C19,IF(ISNUMBER(Planung!HF19),Planung!HF19,IF(UPPER(Planung!HF19)="H",$C19/2,0)))))))</f>
        <v>0</v>
      </c>
      <c r="HG19" s="27">
        <f>IF($A19="",0,IF(Mitarbeiter!$G$17=FALSE,0,IF(AND(Mitarbeiter!$E$17&lt;&gt;"",HG$5+6&lt;Mitarbeiter!$E$17),0,IF(AND(Mitarbeiter!$F$17&lt;&gt;"",HG$5&gt;Mitarbeiter!$F$17),0,IF(Planung!HG19="",$C19,IF(ISNUMBER(Planung!HG19),Planung!HG19,IF(UPPER(Planung!HG19)="H",$C19/2,0)))))))</f>
        <v>0</v>
      </c>
      <c r="HH19" s="27">
        <f>IF($A19="",0,IF(Mitarbeiter!$G$17=FALSE,0,IF(AND(Mitarbeiter!$E$17&lt;&gt;"",HH$5+6&lt;Mitarbeiter!$E$17),0,IF(AND(Mitarbeiter!$F$17&lt;&gt;"",HH$5&gt;Mitarbeiter!$F$17),0,IF(Planung!HH19="",$C19,IF(ISNUMBER(Planung!HH19),Planung!HH19,IF(UPPER(Planung!HH19)="H",$C19/2,0)))))))</f>
        <v>0</v>
      </c>
      <c r="HI19" s="27">
        <f>IF($A19="",0,IF(Mitarbeiter!$G$17=FALSE,0,IF(AND(Mitarbeiter!$E$17&lt;&gt;"",HI$5+6&lt;Mitarbeiter!$E$17),0,IF(AND(Mitarbeiter!$F$17&lt;&gt;"",HI$5&gt;Mitarbeiter!$F$17),0,IF(Planung!HI19="",$C19,IF(ISNUMBER(Planung!HI19),Planung!HI19,IF(UPPER(Planung!HI19)="H",$C19/2,0)))))))</f>
        <v>0</v>
      </c>
      <c r="HJ19" s="27">
        <f>IF($A19="",0,IF(Mitarbeiter!$G$17=FALSE,0,IF(AND(Mitarbeiter!$E$17&lt;&gt;"",HJ$5+6&lt;Mitarbeiter!$E$17),0,IF(AND(Mitarbeiter!$F$17&lt;&gt;"",HJ$5&gt;Mitarbeiter!$F$17),0,IF(Planung!HJ19="",$C19,IF(ISNUMBER(Planung!HJ19),Planung!HJ19,IF(UPPER(Planung!HJ19)="H",$C19/2,0)))))))</f>
        <v>0</v>
      </c>
      <c r="HK19" s="27">
        <f>IF($A19="",0,IF(Mitarbeiter!$G$17=FALSE,0,IF(AND(Mitarbeiter!$E$17&lt;&gt;"",HK$5+6&lt;Mitarbeiter!$E$17),0,IF(AND(Mitarbeiter!$F$17&lt;&gt;"",HK$5&gt;Mitarbeiter!$F$17),0,IF(Planung!HK19="",$C19,IF(ISNUMBER(Planung!HK19),Planung!HK19,IF(UPPER(Planung!HK19)="H",$C19/2,0)))))))</f>
        <v>0</v>
      </c>
      <c r="HL19" s="27">
        <f>IF($A19="",0,IF(Mitarbeiter!$G$17=FALSE,0,IF(AND(Mitarbeiter!$E$17&lt;&gt;"",HL$5+6&lt;Mitarbeiter!$E$17),0,IF(AND(Mitarbeiter!$F$17&lt;&gt;"",HL$5&gt;Mitarbeiter!$F$17),0,IF(Planung!HL19="",$C19,IF(ISNUMBER(Planung!HL19),Planung!HL19,IF(UPPER(Planung!HL19)="H",$C19/2,0)))))))</f>
        <v>0</v>
      </c>
      <c r="HM19" s="27">
        <f>IF($A19="",0,IF(Mitarbeiter!$G$17=FALSE,0,IF(AND(Mitarbeiter!$E$17&lt;&gt;"",HM$5+6&lt;Mitarbeiter!$E$17),0,IF(AND(Mitarbeiter!$F$17&lt;&gt;"",HM$5&gt;Mitarbeiter!$F$17),0,IF(Planung!HM19="",$C19,IF(ISNUMBER(Planung!HM19),Planung!HM19,IF(UPPER(Planung!HM19)="H",$C19/2,0)))))))</f>
        <v>0</v>
      </c>
      <c r="HN19" s="27">
        <f>IF($A19="",0,IF(Mitarbeiter!$G$17=FALSE,0,IF(AND(Mitarbeiter!$E$17&lt;&gt;"",HN$5+6&lt;Mitarbeiter!$E$17),0,IF(AND(Mitarbeiter!$F$17&lt;&gt;"",HN$5&gt;Mitarbeiter!$F$17),0,IF(Planung!HN19="",$C19,IF(ISNUMBER(Planung!HN19),Planung!HN19,IF(UPPER(Planung!HN19)="H",$C19/2,0)))))))</f>
        <v>0</v>
      </c>
      <c r="HO19" s="27">
        <f>IF($A19="",0,IF(Mitarbeiter!$G$17=FALSE,0,IF(AND(Mitarbeiter!$E$17&lt;&gt;"",HO$5+6&lt;Mitarbeiter!$E$17),0,IF(AND(Mitarbeiter!$F$17&lt;&gt;"",HO$5&gt;Mitarbeiter!$F$17),0,IF(Planung!HO19="",$C19,IF(ISNUMBER(Planung!HO19),Planung!HO19,IF(UPPER(Planung!HO19)="H",$C19/2,0)))))))</f>
        <v>0</v>
      </c>
      <c r="HP19" s="27">
        <f>IF($A19="",0,IF(Mitarbeiter!$G$17=FALSE,0,IF(AND(Mitarbeiter!$E$17&lt;&gt;"",HP$5+6&lt;Mitarbeiter!$E$17),0,IF(AND(Mitarbeiter!$F$17&lt;&gt;"",HP$5&gt;Mitarbeiter!$F$17),0,IF(Planung!HP19="",$C19,IF(ISNUMBER(Planung!HP19),Planung!HP19,IF(UPPER(Planung!HP19)="H",$C19/2,0)))))))</f>
        <v>0</v>
      </c>
      <c r="HQ19" s="27">
        <f>IF($A19="",0,IF(Mitarbeiter!$G$17=FALSE,0,IF(AND(Mitarbeiter!$E$17&lt;&gt;"",HQ$5+6&lt;Mitarbeiter!$E$17),0,IF(AND(Mitarbeiter!$F$17&lt;&gt;"",HQ$5&gt;Mitarbeiter!$F$17),0,IF(Planung!HQ19="",$C19,IF(ISNUMBER(Planung!HQ19),Planung!HQ19,IF(UPPER(Planung!HQ19)="H",$C19/2,0)))))))</f>
        <v>0</v>
      </c>
      <c r="HR19" s="27">
        <f>IF($A19="",0,IF(Mitarbeiter!$G$17=FALSE,0,IF(AND(Mitarbeiter!$E$17&lt;&gt;"",HR$5+6&lt;Mitarbeiter!$E$17),0,IF(AND(Mitarbeiter!$F$17&lt;&gt;"",HR$5&gt;Mitarbeiter!$F$17),0,IF(Planung!HR19="",$C19,IF(ISNUMBER(Planung!HR19),Planung!HR19,IF(UPPER(Planung!HR19)="H",$C19/2,0)))))))</f>
        <v>0</v>
      </c>
      <c r="HS19" s="27">
        <f>IF($A19="",0,IF(Mitarbeiter!$G$17=FALSE,0,IF(AND(Mitarbeiter!$E$17&lt;&gt;"",HS$5+6&lt;Mitarbeiter!$E$17),0,IF(AND(Mitarbeiter!$F$17&lt;&gt;"",HS$5&gt;Mitarbeiter!$F$17),0,IF(Planung!HS19="",$C19,IF(ISNUMBER(Planung!HS19),Planung!HS19,IF(UPPER(Planung!HS19)="H",$C19/2,0)))))))</f>
        <v>0</v>
      </c>
      <c r="HT19" s="27">
        <f>IF($A19="",0,IF(Mitarbeiter!$G$17=FALSE,0,IF(AND(Mitarbeiter!$E$17&lt;&gt;"",HT$5+6&lt;Mitarbeiter!$E$17),0,IF(AND(Mitarbeiter!$F$17&lt;&gt;"",HT$5&gt;Mitarbeiter!$F$17),0,IF(Planung!HT19="",$C19,IF(ISNUMBER(Planung!HT19),Planung!HT19,IF(UPPER(Planung!HT19)="H",$C19/2,0)))))))</f>
        <v>0</v>
      </c>
      <c r="HU19" s="27">
        <f>IF($A19="",0,IF(Mitarbeiter!$G$17=FALSE,0,IF(AND(Mitarbeiter!$E$17&lt;&gt;"",HU$5+6&lt;Mitarbeiter!$E$17),0,IF(AND(Mitarbeiter!$F$17&lt;&gt;"",HU$5&gt;Mitarbeiter!$F$17),0,IF(Planung!HU19="",$C19,IF(ISNUMBER(Planung!HU19),Planung!HU19,IF(UPPER(Planung!HU19)="H",$C19/2,0)))))))</f>
        <v>0</v>
      </c>
      <c r="HV19" s="27">
        <f>IF($A19="",0,IF(Mitarbeiter!$G$17=FALSE,0,IF(AND(Mitarbeiter!$E$17&lt;&gt;"",HV$5+6&lt;Mitarbeiter!$E$17),0,IF(AND(Mitarbeiter!$F$17&lt;&gt;"",HV$5&gt;Mitarbeiter!$F$17),0,IF(Planung!HV19="",$C19,IF(ISNUMBER(Planung!HV19),Planung!HV19,IF(UPPER(Planung!HV19)="H",$C19/2,0)))))))</f>
        <v>0</v>
      </c>
      <c r="HW19" s="27">
        <f>IF($A19="",0,IF(Mitarbeiter!$G$17=FALSE,0,IF(AND(Mitarbeiter!$E$17&lt;&gt;"",HW$5+6&lt;Mitarbeiter!$E$17),0,IF(AND(Mitarbeiter!$F$17&lt;&gt;"",HW$5&gt;Mitarbeiter!$F$17),0,IF(Planung!HW19="",$C19,IF(ISNUMBER(Planung!HW19),Planung!HW19,IF(UPPER(Planung!HW19)="H",$C19/2,0)))))))</f>
        <v>0</v>
      </c>
      <c r="HX19" s="27">
        <f>IF($A19="",0,IF(Mitarbeiter!$G$17=FALSE,0,IF(AND(Mitarbeiter!$E$17&lt;&gt;"",HX$5+6&lt;Mitarbeiter!$E$17),0,IF(AND(Mitarbeiter!$F$17&lt;&gt;"",HX$5&gt;Mitarbeiter!$F$17),0,IF(Planung!HX19="",$C19,IF(ISNUMBER(Planung!HX19),Planung!HX19,IF(UPPER(Planung!HX19)="H",$C19/2,0)))))))</f>
        <v>0</v>
      </c>
      <c r="HY19" s="27">
        <f>IF($A19="",0,IF(Mitarbeiter!$G$17=FALSE,0,IF(AND(Mitarbeiter!$E$17&lt;&gt;"",HY$5+6&lt;Mitarbeiter!$E$17),0,IF(AND(Mitarbeiter!$F$17&lt;&gt;"",HY$5&gt;Mitarbeiter!$F$17),0,IF(Planung!HY19="",$C19,IF(ISNUMBER(Planung!HY19),Planung!HY19,IF(UPPER(Planung!HY19)="H",$C19/2,0)))))))</f>
        <v>0</v>
      </c>
      <c r="HZ19" s="27">
        <f>IF($A19="",0,IF(Mitarbeiter!$G$17=FALSE,0,IF(AND(Mitarbeiter!$E$17&lt;&gt;"",HZ$5+6&lt;Mitarbeiter!$E$17),0,IF(AND(Mitarbeiter!$F$17&lt;&gt;"",HZ$5&gt;Mitarbeiter!$F$17),0,IF(Planung!HZ19="",$C19,IF(ISNUMBER(Planung!HZ19),Planung!HZ19,IF(UPPER(Planung!HZ19)="H",$C19/2,0)))))))</f>
        <v>0</v>
      </c>
      <c r="IA19" s="27">
        <f>IF($A19="",0,IF(Mitarbeiter!$G$17=FALSE,0,IF(AND(Mitarbeiter!$E$17&lt;&gt;"",IA$5+6&lt;Mitarbeiter!$E$17),0,IF(AND(Mitarbeiter!$F$17&lt;&gt;"",IA$5&gt;Mitarbeiter!$F$17),0,IF(Planung!IA19="",$C19,IF(ISNUMBER(Planung!IA19),Planung!IA19,IF(UPPER(Planung!IA19)="H",$C19/2,0)))))))</f>
        <v>0</v>
      </c>
    </row>
    <row r="20" spans="1:235" x14ac:dyDescent="0.25">
      <c r="A20" s="7" t="str">
        <f>Planung!A20</f>
        <v/>
      </c>
      <c r="B20" s="7" t="str">
        <f>Planung!B20</f>
        <v/>
      </c>
      <c r="C20" s="27">
        <f>N(Mitarbeiter!$D$18)</f>
        <v>0</v>
      </c>
      <c r="D20" s="27">
        <f>IF($A20="",0,IF(Mitarbeiter!$G$18=FALSE,0,IF(AND(Mitarbeiter!$E$18&lt;&gt;"",D$5+6&lt;Mitarbeiter!$E$18),0,IF(AND(Mitarbeiter!$F$18&lt;&gt;"",D$5&gt;Mitarbeiter!$F$18),0,IF(Planung!D20="",$C20,IF(ISNUMBER(Planung!D20),Planung!D20,IF(UPPER(Planung!D20)="H",$C20/2,0)))))))</f>
        <v>0</v>
      </c>
      <c r="E20" s="27">
        <f>IF($A20="",0,IF(Mitarbeiter!$G$18=FALSE,0,IF(AND(Mitarbeiter!$E$18&lt;&gt;"",E$5+6&lt;Mitarbeiter!$E$18),0,IF(AND(Mitarbeiter!$F$18&lt;&gt;"",E$5&gt;Mitarbeiter!$F$18),0,IF(Planung!E20="",$C20,IF(ISNUMBER(Planung!E20),Planung!E20,IF(UPPER(Planung!E20)="H",$C20/2,0)))))))</f>
        <v>0</v>
      </c>
      <c r="F20" s="27">
        <f>IF($A20="",0,IF(Mitarbeiter!$G$18=FALSE,0,IF(AND(Mitarbeiter!$E$18&lt;&gt;"",F$5+6&lt;Mitarbeiter!$E$18),0,IF(AND(Mitarbeiter!$F$18&lt;&gt;"",F$5&gt;Mitarbeiter!$F$18),0,IF(Planung!F20="",$C20,IF(ISNUMBER(Planung!F20),Planung!F20,IF(UPPER(Planung!F20)="H",$C20/2,0)))))))</f>
        <v>0</v>
      </c>
      <c r="G20" s="27">
        <f>IF($A20="",0,IF(Mitarbeiter!$G$18=FALSE,0,IF(AND(Mitarbeiter!$E$18&lt;&gt;"",G$5+6&lt;Mitarbeiter!$E$18),0,IF(AND(Mitarbeiter!$F$18&lt;&gt;"",G$5&gt;Mitarbeiter!$F$18),0,IF(Planung!G20="",$C20,IF(ISNUMBER(Planung!G20),Planung!G20,IF(UPPER(Planung!G20)="H",$C20/2,0)))))))</f>
        <v>0</v>
      </c>
      <c r="H20" s="27">
        <f>IF($A20="",0,IF(Mitarbeiter!$G$18=FALSE,0,IF(AND(Mitarbeiter!$E$18&lt;&gt;"",H$5+6&lt;Mitarbeiter!$E$18),0,IF(AND(Mitarbeiter!$F$18&lt;&gt;"",H$5&gt;Mitarbeiter!$F$18),0,IF(Planung!H20="",$C20,IF(ISNUMBER(Planung!H20),Planung!H20,IF(UPPER(Planung!H20)="H",$C20/2,0)))))))</f>
        <v>0</v>
      </c>
      <c r="I20" s="27">
        <f>IF($A20="",0,IF(Mitarbeiter!$G$18=FALSE,0,IF(AND(Mitarbeiter!$E$18&lt;&gt;"",I$5+6&lt;Mitarbeiter!$E$18),0,IF(AND(Mitarbeiter!$F$18&lt;&gt;"",I$5&gt;Mitarbeiter!$F$18),0,IF(Planung!I20="",$C20,IF(ISNUMBER(Planung!I20),Planung!I20,IF(UPPER(Planung!I20)="H",$C20/2,0)))))))</f>
        <v>0</v>
      </c>
      <c r="J20" s="27">
        <f>IF($A20="",0,IF(Mitarbeiter!$G$18=FALSE,0,IF(AND(Mitarbeiter!$E$18&lt;&gt;"",J$5+6&lt;Mitarbeiter!$E$18),0,IF(AND(Mitarbeiter!$F$18&lt;&gt;"",J$5&gt;Mitarbeiter!$F$18),0,IF(Planung!J20="",$C20,IF(ISNUMBER(Planung!J20),Planung!J20,IF(UPPER(Planung!J20)="H",$C20/2,0)))))))</f>
        <v>0</v>
      </c>
      <c r="K20" s="27">
        <f>IF($A20="",0,IF(Mitarbeiter!$G$18=FALSE,0,IF(AND(Mitarbeiter!$E$18&lt;&gt;"",K$5+6&lt;Mitarbeiter!$E$18),0,IF(AND(Mitarbeiter!$F$18&lt;&gt;"",K$5&gt;Mitarbeiter!$F$18),0,IF(Planung!K20="",$C20,IF(ISNUMBER(Planung!K20),Planung!K20,IF(UPPER(Planung!K20)="H",$C20/2,0)))))))</f>
        <v>0</v>
      </c>
      <c r="L20" s="27">
        <f>IF($A20="",0,IF(Mitarbeiter!$G$18=FALSE,0,IF(AND(Mitarbeiter!$E$18&lt;&gt;"",L$5+6&lt;Mitarbeiter!$E$18),0,IF(AND(Mitarbeiter!$F$18&lt;&gt;"",L$5&gt;Mitarbeiter!$F$18),0,IF(Planung!L20="",$C20,IF(ISNUMBER(Planung!L20),Planung!L20,IF(UPPER(Planung!L20)="H",$C20/2,0)))))))</f>
        <v>0</v>
      </c>
      <c r="M20" s="27">
        <f>IF($A20="",0,IF(Mitarbeiter!$G$18=FALSE,0,IF(AND(Mitarbeiter!$E$18&lt;&gt;"",M$5+6&lt;Mitarbeiter!$E$18),0,IF(AND(Mitarbeiter!$F$18&lt;&gt;"",M$5&gt;Mitarbeiter!$F$18),0,IF(Planung!M20="",$C20,IF(ISNUMBER(Planung!M20),Planung!M20,IF(UPPER(Planung!M20)="H",$C20/2,0)))))))</f>
        <v>0</v>
      </c>
      <c r="N20" s="27">
        <f>IF($A20="",0,IF(Mitarbeiter!$G$18=FALSE,0,IF(AND(Mitarbeiter!$E$18&lt;&gt;"",N$5+6&lt;Mitarbeiter!$E$18),0,IF(AND(Mitarbeiter!$F$18&lt;&gt;"",N$5&gt;Mitarbeiter!$F$18),0,IF(Planung!N20="",$C20,IF(ISNUMBER(Planung!N20),Planung!N20,IF(UPPER(Planung!N20)="H",$C20/2,0)))))))</f>
        <v>0</v>
      </c>
      <c r="O20" s="27">
        <f>IF($A20="",0,IF(Mitarbeiter!$G$18=FALSE,0,IF(AND(Mitarbeiter!$E$18&lt;&gt;"",O$5+6&lt;Mitarbeiter!$E$18),0,IF(AND(Mitarbeiter!$F$18&lt;&gt;"",O$5&gt;Mitarbeiter!$F$18),0,IF(Planung!O20="",$C20,IF(ISNUMBER(Planung!O20),Planung!O20,IF(UPPER(Planung!O20)="H",$C20/2,0)))))))</f>
        <v>0</v>
      </c>
      <c r="P20" s="27">
        <f>IF($A20="",0,IF(Mitarbeiter!$G$18=FALSE,0,IF(AND(Mitarbeiter!$E$18&lt;&gt;"",P$5+6&lt;Mitarbeiter!$E$18),0,IF(AND(Mitarbeiter!$F$18&lt;&gt;"",P$5&gt;Mitarbeiter!$F$18),0,IF(Planung!P20="",$C20,IF(ISNUMBER(Planung!P20),Planung!P20,IF(UPPER(Planung!P20)="H",$C20/2,0)))))))</f>
        <v>0</v>
      </c>
      <c r="Q20" s="27">
        <f>IF($A20="",0,IF(Mitarbeiter!$G$18=FALSE,0,IF(AND(Mitarbeiter!$E$18&lt;&gt;"",Q$5+6&lt;Mitarbeiter!$E$18),0,IF(AND(Mitarbeiter!$F$18&lt;&gt;"",Q$5&gt;Mitarbeiter!$F$18),0,IF(Planung!Q20="",$C20,IF(ISNUMBER(Planung!Q20),Planung!Q20,IF(UPPER(Planung!Q20)="H",$C20/2,0)))))))</f>
        <v>0</v>
      </c>
      <c r="R20" s="27">
        <f>IF($A20="",0,IF(Mitarbeiter!$G$18=FALSE,0,IF(AND(Mitarbeiter!$E$18&lt;&gt;"",R$5+6&lt;Mitarbeiter!$E$18),0,IF(AND(Mitarbeiter!$F$18&lt;&gt;"",R$5&gt;Mitarbeiter!$F$18),0,IF(Planung!R20="",$C20,IF(ISNUMBER(Planung!R20),Planung!R20,IF(UPPER(Planung!R20)="H",$C20/2,0)))))))</f>
        <v>0</v>
      </c>
      <c r="S20" s="27">
        <f>IF($A20="",0,IF(Mitarbeiter!$G$18=FALSE,0,IF(AND(Mitarbeiter!$E$18&lt;&gt;"",S$5+6&lt;Mitarbeiter!$E$18),0,IF(AND(Mitarbeiter!$F$18&lt;&gt;"",S$5&gt;Mitarbeiter!$F$18),0,IF(Planung!S20="",$C20,IF(ISNUMBER(Planung!S20),Planung!S20,IF(UPPER(Planung!S20)="H",$C20/2,0)))))))</f>
        <v>0</v>
      </c>
      <c r="T20" s="27">
        <f>IF($A20="",0,IF(Mitarbeiter!$G$18=FALSE,0,IF(AND(Mitarbeiter!$E$18&lt;&gt;"",T$5+6&lt;Mitarbeiter!$E$18),0,IF(AND(Mitarbeiter!$F$18&lt;&gt;"",T$5&gt;Mitarbeiter!$F$18),0,IF(Planung!T20="",$C20,IF(ISNUMBER(Planung!T20),Planung!T20,IF(UPPER(Planung!T20)="H",$C20/2,0)))))))</f>
        <v>0</v>
      </c>
      <c r="U20" s="27">
        <f>IF($A20="",0,IF(Mitarbeiter!$G$18=FALSE,0,IF(AND(Mitarbeiter!$E$18&lt;&gt;"",U$5+6&lt;Mitarbeiter!$E$18),0,IF(AND(Mitarbeiter!$F$18&lt;&gt;"",U$5&gt;Mitarbeiter!$F$18),0,IF(Planung!U20="",$C20,IF(ISNUMBER(Planung!U20),Planung!U20,IF(UPPER(Planung!U20)="H",$C20/2,0)))))))</f>
        <v>0</v>
      </c>
      <c r="V20" s="27">
        <f>IF($A20="",0,IF(Mitarbeiter!$G$18=FALSE,0,IF(AND(Mitarbeiter!$E$18&lt;&gt;"",V$5+6&lt;Mitarbeiter!$E$18),0,IF(AND(Mitarbeiter!$F$18&lt;&gt;"",V$5&gt;Mitarbeiter!$F$18),0,IF(Planung!V20="",$C20,IF(ISNUMBER(Planung!V20),Planung!V20,IF(UPPER(Planung!V20)="H",$C20/2,0)))))))</f>
        <v>0</v>
      </c>
      <c r="W20" s="27">
        <f>IF($A20="",0,IF(Mitarbeiter!$G$18=FALSE,0,IF(AND(Mitarbeiter!$E$18&lt;&gt;"",W$5+6&lt;Mitarbeiter!$E$18),0,IF(AND(Mitarbeiter!$F$18&lt;&gt;"",W$5&gt;Mitarbeiter!$F$18),0,IF(Planung!W20="",$C20,IF(ISNUMBER(Planung!W20),Planung!W20,IF(UPPER(Planung!W20)="H",$C20/2,0)))))))</f>
        <v>0</v>
      </c>
      <c r="X20" s="27">
        <f>IF($A20="",0,IF(Mitarbeiter!$G$18=FALSE,0,IF(AND(Mitarbeiter!$E$18&lt;&gt;"",X$5+6&lt;Mitarbeiter!$E$18),0,IF(AND(Mitarbeiter!$F$18&lt;&gt;"",X$5&gt;Mitarbeiter!$F$18),0,IF(Planung!X20="",$C20,IF(ISNUMBER(Planung!X20),Planung!X20,IF(UPPER(Planung!X20)="H",$C20/2,0)))))))</f>
        <v>0</v>
      </c>
      <c r="Y20" s="27">
        <f>IF($A20="",0,IF(Mitarbeiter!$G$18=FALSE,0,IF(AND(Mitarbeiter!$E$18&lt;&gt;"",Y$5+6&lt;Mitarbeiter!$E$18),0,IF(AND(Mitarbeiter!$F$18&lt;&gt;"",Y$5&gt;Mitarbeiter!$F$18),0,IF(Planung!Y20="",$C20,IF(ISNUMBER(Planung!Y20),Planung!Y20,IF(UPPER(Planung!Y20)="H",$C20/2,0)))))))</f>
        <v>0</v>
      </c>
      <c r="Z20" s="27">
        <f>IF($A20="",0,IF(Mitarbeiter!$G$18=FALSE,0,IF(AND(Mitarbeiter!$E$18&lt;&gt;"",Z$5+6&lt;Mitarbeiter!$E$18),0,IF(AND(Mitarbeiter!$F$18&lt;&gt;"",Z$5&gt;Mitarbeiter!$F$18),0,IF(Planung!Z20="",$C20,IF(ISNUMBER(Planung!Z20),Planung!Z20,IF(UPPER(Planung!Z20)="H",$C20/2,0)))))))</f>
        <v>0</v>
      </c>
      <c r="AA20" s="27">
        <f>IF($A20="",0,IF(Mitarbeiter!$G$18=FALSE,0,IF(AND(Mitarbeiter!$E$18&lt;&gt;"",AA$5+6&lt;Mitarbeiter!$E$18),0,IF(AND(Mitarbeiter!$F$18&lt;&gt;"",AA$5&gt;Mitarbeiter!$F$18),0,IF(Planung!AA20="",$C20,IF(ISNUMBER(Planung!AA20),Planung!AA20,IF(UPPER(Planung!AA20)="H",$C20/2,0)))))))</f>
        <v>0</v>
      </c>
      <c r="AB20" s="27">
        <f>IF($A20="",0,IF(Mitarbeiter!$G$18=FALSE,0,IF(AND(Mitarbeiter!$E$18&lt;&gt;"",AB$5+6&lt;Mitarbeiter!$E$18),0,IF(AND(Mitarbeiter!$F$18&lt;&gt;"",AB$5&gt;Mitarbeiter!$F$18),0,IF(Planung!AB20="",$C20,IF(ISNUMBER(Planung!AB20),Planung!AB20,IF(UPPER(Planung!AB20)="H",$C20/2,0)))))))</f>
        <v>0</v>
      </c>
      <c r="AC20" s="27">
        <f>IF($A20="",0,IF(Mitarbeiter!$G$18=FALSE,0,IF(AND(Mitarbeiter!$E$18&lt;&gt;"",AC$5+6&lt;Mitarbeiter!$E$18),0,IF(AND(Mitarbeiter!$F$18&lt;&gt;"",AC$5&gt;Mitarbeiter!$F$18),0,IF(Planung!AC20="",$C20,IF(ISNUMBER(Planung!AC20),Planung!AC20,IF(UPPER(Planung!AC20)="H",$C20/2,0)))))))</f>
        <v>0</v>
      </c>
      <c r="AD20" s="27">
        <f>IF($A20="",0,IF(Mitarbeiter!$G$18=FALSE,0,IF(AND(Mitarbeiter!$E$18&lt;&gt;"",AD$5+6&lt;Mitarbeiter!$E$18),0,IF(AND(Mitarbeiter!$F$18&lt;&gt;"",AD$5&gt;Mitarbeiter!$F$18),0,IF(Planung!AD20="",$C20,IF(ISNUMBER(Planung!AD20),Planung!AD20,IF(UPPER(Planung!AD20)="H",$C20/2,0)))))))</f>
        <v>0</v>
      </c>
      <c r="AE20" s="27">
        <f>IF($A20="",0,IF(Mitarbeiter!$G$18=FALSE,0,IF(AND(Mitarbeiter!$E$18&lt;&gt;"",AE$5+6&lt;Mitarbeiter!$E$18),0,IF(AND(Mitarbeiter!$F$18&lt;&gt;"",AE$5&gt;Mitarbeiter!$F$18),0,IF(Planung!AE20="",$C20,IF(ISNUMBER(Planung!AE20),Planung!AE20,IF(UPPER(Planung!AE20)="H",$C20/2,0)))))))</f>
        <v>0</v>
      </c>
      <c r="AF20" s="27">
        <f>IF($A20="",0,IF(Mitarbeiter!$G$18=FALSE,0,IF(AND(Mitarbeiter!$E$18&lt;&gt;"",AF$5+6&lt;Mitarbeiter!$E$18),0,IF(AND(Mitarbeiter!$F$18&lt;&gt;"",AF$5&gt;Mitarbeiter!$F$18),0,IF(Planung!AF20="",$C20,IF(ISNUMBER(Planung!AF20),Planung!AF20,IF(UPPER(Planung!AF20)="H",$C20/2,0)))))))</f>
        <v>0</v>
      </c>
      <c r="AG20" s="27">
        <f>IF($A20="",0,IF(Mitarbeiter!$G$18=FALSE,0,IF(AND(Mitarbeiter!$E$18&lt;&gt;"",AG$5+6&lt;Mitarbeiter!$E$18),0,IF(AND(Mitarbeiter!$F$18&lt;&gt;"",AG$5&gt;Mitarbeiter!$F$18),0,IF(Planung!AG20="",$C20,IF(ISNUMBER(Planung!AG20),Planung!AG20,IF(UPPER(Planung!AG20)="H",$C20/2,0)))))))</f>
        <v>0</v>
      </c>
      <c r="AH20" s="27">
        <f>IF($A20="",0,IF(Mitarbeiter!$G$18=FALSE,0,IF(AND(Mitarbeiter!$E$18&lt;&gt;"",AH$5+6&lt;Mitarbeiter!$E$18),0,IF(AND(Mitarbeiter!$F$18&lt;&gt;"",AH$5&gt;Mitarbeiter!$F$18),0,IF(Planung!AH20="",$C20,IF(ISNUMBER(Planung!AH20),Planung!AH20,IF(UPPER(Planung!AH20)="H",$C20/2,0)))))))</f>
        <v>0</v>
      </c>
      <c r="AI20" s="27">
        <f>IF($A20="",0,IF(Mitarbeiter!$G$18=FALSE,0,IF(AND(Mitarbeiter!$E$18&lt;&gt;"",AI$5+6&lt;Mitarbeiter!$E$18),0,IF(AND(Mitarbeiter!$F$18&lt;&gt;"",AI$5&gt;Mitarbeiter!$F$18),0,IF(Planung!AI20="",$C20,IF(ISNUMBER(Planung!AI20),Planung!AI20,IF(UPPER(Planung!AI20)="H",$C20/2,0)))))))</f>
        <v>0</v>
      </c>
      <c r="AJ20" s="27">
        <f>IF($A20="",0,IF(Mitarbeiter!$G$18=FALSE,0,IF(AND(Mitarbeiter!$E$18&lt;&gt;"",AJ$5+6&lt;Mitarbeiter!$E$18),0,IF(AND(Mitarbeiter!$F$18&lt;&gt;"",AJ$5&gt;Mitarbeiter!$F$18),0,IF(Planung!AJ20="",$C20,IF(ISNUMBER(Planung!AJ20),Planung!AJ20,IF(UPPER(Planung!AJ20)="H",$C20/2,0)))))))</f>
        <v>0</v>
      </c>
      <c r="AK20" s="27">
        <f>IF($A20="",0,IF(Mitarbeiter!$G$18=FALSE,0,IF(AND(Mitarbeiter!$E$18&lt;&gt;"",AK$5+6&lt;Mitarbeiter!$E$18),0,IF(AND(Mitarbeiter!$F$18&lt;&gt;"",AK$5&gt;Mitarbeiter!$F$18),0,IF(Planung!AK20="",$C20,IF(ISNUMBER(Planung!AK20),Planung!AK20,IF(UPPER(Planung!AK20)="H",$C20/2,0)))))))</f>
        <v>0</v>
      </c>
      <c r="AL20" s="27">
        <f>IF($A20="",0,IF(Mitarbeiter!$G$18=FALSE,0,IF(AND(Mitarbeiter!$E$18&lt;&gt;"",AL$5+6&lt;Mitarbeiter!$E$18),0,IF(AND(Mitarbeiter!$F$18&lt;&gt;"",AL$5&gt;Mitarbeiter!$F$18),0,IF(Planung!AL20="",$C20,IF(ISNUMBER(Planung!AL20),Planung!AL20,IF(UPPER(Planung!AL20)="H",$C20/2,0)))))))</f>
        <v>0</v>
      </c>
      <c r="AM20" s="27">
        <f>IF($A20="",0,IF(Mitarbeiter!$G$18=FALSE,0,IF(AND(Mitarbeiter!$E$18&lt;&gt;"",AM$5+6&lt;Mitarbeiter!$E$18),0,IF(AND(Mitarbeiter!$F$18&lt;&gt;"",AM$5&gt;Mitarbeiter!$F$18),0,IF(Planung!AM20="",$C20,IF(ISNUMBER(Planung!AM20),Planung!AM20,IF(UPPER(Planung!AM20)="H",$C20/2,0)))))))</f>
        <v>0</v>
      </c>
      <c r="AN20" s="27">
        <f>IF($A20="",0,IF(Mitarbeiter!$G$18=FALSE,0,IF(AND(Mitarbeiter!$E$18&lt;&gt;"",AN$5+6&lt;Mitarbeiter!$E$18),0,IF(AND(Mitarbeiter!$F$18&lt;&gt;"",AN$5&gt;Mitarbeiter!$F$18),0,IF(Planung!AN20="",$C20,IF(ISNUMBER(Planung!AN20),Planung!AN20,IF(UPPER(Planung!AN20)="H",$C20/2,0)))))))</f>
        <v>0</v>
      </c>
      <c r="AO20" s="27">
        <f>IF($A20="",0,IF(Mitarbeiter!$G$18=FALSE,0,IF(AND(Mitarbeiter!$E$18&lt;&gt;"",AO$5+6&lt;Mitarbeiter!$E$18),0,IF(AND(Mitarbeiter!$F$18&lt;&gt;"",AO$5&gt;Mitarbeiter!$F$18),0,IF(Planung!AO20="",$C20,IF(ISNUMBER(Planung!AO20),Planung!AO20,IF(UPPER(Planung!AO20)="H",$C20/2,0)))))))</f>
        <v>0</v>
      </c>
      <c r="AP20" s="27">
        <f>IF($A20="",0,IF(Mitarbeiter!$G$18=FALSE,0,IF(AND(Mitarbeiter!$E$18&lt;&gt;"",AP$5+6&lt;Mitarbeiter!$E$18),0,IF(AND(Mitarbeiter!$F$18&lt;&gt;"",AP$5&gt;Mitarbeiter!$F$18),0,IF(Planung!AP20="",$C20,IF(ISNUMBER(Planung!AP20),Planung!AP20,IF(UPPER(Planung!AP20)="H",$C20/2,0)))))))</f>
        <v>0</v>
      </c>
      <c r="AQ20" s="27">
        <f>IF($A20="",0,IF(Mitarbeiter!$G$18=FALSE,0,IF(AND(Mitarbeiter!$E$18&lt;&gt;"",AQ$5+6&lt;Mitarbeiter!$E$18),0,IF(AND(Mitarbeiter!$F$18&lt;&gt;"",AQ$5&gt;Mitarbeiter!$F$18),0,IF(Planung!AQ20="",$C20,IF(ISNUMBER(Planung!AQ20),Planung!AQ20,IF(UPPER(Planung!AQ20)="H",$C20/2,0)))))))</f>
        <v>0</v>
      </c>
      <c r="AR20" s="27">
        <f>IF($A20="",0,IF(Mitarbeiter!$G$18=FALSE,0,IF(AND(Mitarbeiter!$E$18&lt;&gt;"",AR$5+6&lt;Mitarbeiter!$E$18),0,IF(AND(Mitarbeiter!$F$18&lt;&gt;"",AR$5&gt;Mitarbeiter!$F$18),0,IF(Planung!AR20="",$C20,IF(ISNUMBER(Planung!AR20),Planung!AR20,IF(UPPER(Planung!AR20)="H",$C20/2,0)))))))</f>
        <v>0</v>
      </c>
      <c r="AS20" s="27">
        <f>IF($A20="",0,IF(Mitarbeiter!$G$18=FALSE,0,IF(AND(Mitarbeiter!$E$18&lt;&gt;"",AS$5+6&lt;Mitarbeiter!$E$18),0,IF(AND(Mitarbeiter!$F$18&lt;&gt;"",AS$5&gt;Mitarbeiter!$F$18),0,IF(Planung!AS20="",$C20,IF(ISNUMBER(Planung!AS20),Planung!AS20,IF(UPPER(Planung!AS20)="H",$C20/2,0)))))))</f>
        <v>0</v>
      </c>
      <c r="AT20" s="27">
        <f>IF($A20="",0,IF(Mitarbeiter!$G$18=FALSE,0,IF(AND(Mitarbeiter!$E$18&lt;&gt;"",AT$5+6&lt;Mitarbeiter!$E$18),0,IF(AND(Mitarbeiter!$F$18&lt;&gt;"",AT$5&gt;Mitarbeiter!$F$18),0,IF(Planung!AT20="",$C20,IF(ISNUMBER(Planung!AT20),Planung!AT20,IF(UPPER(Planung!AT20)="H",$C20/2,0)))))))</f>
        <v>0</v>
      </c>
      <c r="AU20" s="27">
        <f>IF($A20="",0,IF(Mitarbeiter!$G$18=FALSE,0,IF(AND(Mitarbeiter!$E$18&lt;&gt;"",AU$5+6&lt;Mitarbeiter!$E$18),0,IF(AND(Mitarbeiter!$F$18&lt;&gt;"",AU$5&gt;Mitarbeiter!$F$18),0,IF(Planung!AU20="",$C20,IF(ISNUMBER(Planung!AU20),Planung!AU20,IF(UPPER(Planung!AU20)="H",$C20/2,0)))))))</f>
        <v>0</v>
      </c>
      <c r="AV20" s="27">
        <f>IF($A20="",0,IF(Mitarbeiter!$G$18=FALSE,0,IF(AND(Mitarbeiter!$E$18&lt;&gt;"",AV$5+6&lt;Mitarbeiter!$E$18),0,IF(AND(Mitarbeiter!$F$18&lt;&gt;"",AV$5&gt;Mitarbeiter!$F$18),0,IF(Planung!AV20="",$C20,IF(ISNUMBER(Planung!AV20),Planung!AV20,IF(UPPER(Planung!AV20)="H",$C20/2,0)))))))</f>
        <v>0</v>
      </c>
      <c r="AW20" s="27">
        <f>IF($A20="",0,IF(Mitarbeiter!$G$18=FALSE,0,IF(AND(Mitarbeiter!$E$18&lt;&gt;"",AW$5+6&lt;Mitarbeiter!$E$18),0,IF(AND(Mitarbeiter!$F$18&lt;&gt;"",AW$5&gt;Mitarbeiter!$F$18),0,IF(Planung!AW20="",$C20,IF(ISNUMBER(Planung!AW20),Planung!AW20,IF(UPPER(Planung!AW20)="H",$C20/2,0)))))))</f>
        <v>0</v>
      </c>
      <c r="AX20" s="27">
        <f>IF($A20="",0,IF(Mitarbeiter!$G$18=FALSE,0,IF(AND(Mitarbeiter!$E$18&lt;&gt;"",AX$5+6&lt;Mitarbeiter!$E$18),0,IF(AND(Mitarbeiter!$F$18&lt;&gt;"",AX$5&gt;Mitarbeiter!$F$18),0,IF(Planung!AX20="",$C20,IF(ISNUMBER(Planung!AX20),Planung!AX20,IF(UPPER(Planung!AX20)="H",$C20/2,0)))))))</f>
        <v>0</v>
      </c>
      <c r="AY20" s="27">
        <f>IF($A20="",0,IF(Mitarbeiter!$G$18=FALSE,0,IF(AND(Mitarbeiter!$E$18&lt;&gt;"",AY$5+6&lt;Mitarbeiter!$E$18),0,IF(AND(Mitarbeiter!$F$18&lt;&gt;"",AY$5&gt;Mitarbeiter!$F$18),0,IF(Planung!AY20="",$C20,IF(ISNUMBER(Planung!AY20),Planung!AY20,IF(UPPER(Planung!AY20)="H",$C20/2,0)))))))</f>
        <v>0</v>
      </c>
      <c r="AZ20" s="27">
        <f>IF($A20="",0,IF(Mitarbeiter!$G$18=FALSE,0,IF(AND(Mitarbeiter!$E$18&lt;&gt;"",AZ$5+6&lt;Mitarbeiter!$E$18),0,IF(AND(Mitarbeiter!$F$18&lt;&gt;"",AZ$5&gt;Mitarbeiter!$F$18),0,IF(Planung!AZ20="",$C20,IF(ISNUMBER(Planung!AZ20),Planung!AZ20,IF(UPPER(Planung!AZ20)="H",$C20/2,0)))))))</f>
        <v>0</v>
      </c>
      <c r="BA20" s="27">
        <f>IF($A20="",0,IF(Mitarbeiter!$G$18=FALSE,0,IF(AND(Mitarbeiter!$E$18&lt;&gt;"",BA$5+6&lt;Mitarbeiter!$E$18),0,IF(AND(Mitarbeiter!$F$18&lt;&gt;"",BA$5&gt;Mitarbeiter!$F$18),0,IF(Planung!BA20="",$C20,IF(ISNUMBER(Planung!BA20),Planung!BA20,IF(UPPER(Planung!BA20)="H",$C20/2,0)))))))</f>
        <v>0</v>
      </c>
      <c r="BB20" s="27">
        <f>IF($A20="",0,IF(Mitarbeiter!$G$18=FALSE,0,IF(AND(Mitarbeiter!$E$18&lt;&gt;"",BB$5+6&lt;Mitarbeiter!$E$18),0,IF(AND(Mitarbeiter!$F$18&lt;&gt;"",BB$5&gt;Mitarbeiter!$F$18),0,IF(Planung!BB20="",$C20,IF(ISNUMBER(Planung!BB20),Planung!BB20,IF(UPPER(Planung!BB20)="H",$C20/2,0)))))))</f>
        <v>0</v>
      </c>
      <c r="BC20" s="27">
        <f>IF($A20="",0,IF(Mitarbeiter!$G$18=FALSE,0,IF(AND(Mitarbeiter!$E$18&lt;&gt;"",BC$5+6&lt;Mitarbeiter!$E$18),0,IF(AND(Mitarbeiter!$F$18&lt;&gt;"",BC$5&gt;Mitarbeiter!$F$18),0,IF(Planung!BC20="",$C20,IF(ISNUMBER(Planung!BC20),Planung!BC20,IF(UPPER(Planung!BC20)="H",$C20/2,0)))))))</f>
        <v>0</v>
      </c>
      <c r="BD20" s="27">
        <f>IF($A20="",0,IF(Mitarbeiter!$G$18=FALSE,0,IF(AND(Mitarbeiter!$E$18&lt;&gt;"",BD$5+6&lt;Mitarbeiter!$E$18),0,IF(AND(Mitarbeiter!$F$18&lt;&gt;"",BD$5&gt;Mitarbeiter!$F$18),0,IF(Planung!BD20="",$C20,IF(ISNUMBER(Planung!BD20),Planung!BD20,IF(UPPER(Planung!BD20)="H",$C20/2,0)))))))</f>
        <v>0</v>
      </c>
      <c r="BE20" s="27">
        <f>IF($A20="",0,IF(Mitarbeiter!$G$18=FALSE,0,IF(AND(Mitarbeiter!$E$18&lt;&gt;"",BE$5+6&lt;Mitarbeiter!$E$18),0,IF(AND(Mitarbeiter!$F$18&lt;&gt;"",BE$5&gt;Mitarbeiter!$F$18),0,IF(Planung!BE20="",$C20,IF(ISNUMBER(Planung!BE20),Planung!BE20,IF(UPPER(Planung!BE20)="H",$C20/2,0)))))))</f>
        <v>0</v>
      </c>
      <c r="BF20" s="27">
        <f>IF($A20="",0,IF(Mitarbeiter!$G$18=FALSE,0,IF(AND(Mitarbeiter!$E$18&lt;&gt;"",BF$5+6&lt;Mitarbeiter!$E$18),0,IF(AND(Mitarbeiter!$F$18&lt;&gt;"",BF$5&gt;Mitarbeiter!$F$18),0,IF(Planung!BF20="",$C20,IF(ISNUMBER(Planung!BF20),Planung!BF20,IF(UPPER(Planung!BF20)="H",$C20/2,0)))))))</f>
        <v>0</v>
      </c>
      <c r="BG20" s="27">
        <f>IF($A20="",0,IF(Mitarbeiter!$G$18=FALSE,0,IF(AND(Mitarbeiter!$E$18&lt;&gt;"",BG$5+6&lt;Mitarbeiter!$E$18),0,IF(AND(Mitarbeiter!$F$18&lt;&gt;"",BG$5&gt;Mitarbeiter!$F$18),0,IF(Planung!BG20="",$C20,IF(ISNUMBER(Planung!BG20),Planung!BG20,IF(UPPER(Planung!BG20)="H",$C20/2,0)))))))</f>
        <v>0</v>
      </c>
      <c r="BH20" s="27">
        <f>IF($A20="",0,IF(Mitarbeiter!$G$18=FALSE,0,IF(AND(Mitarbeiter!$E$18&lt;&gt;"",BH$5+6&lt;Mitarbeiter!$E$18),0,IF(AND(Mitarbeiter!$F$18&lt;&gt;"",BH$5&gt;Mitarbeiter!$F$18),0,IF(Planung!BH20="",$C20,IF(ISNUMBER(Planung!BH20),Planung!BH20,IF(UPPER(Planung!BH20)="H",$C20/2,0)))))))</f>
        <v>0</v>
      </c>
      <c r="BI20" s="27">
        <f>IF($A20="",0,IF(Mitarbeiter!$G$18=FALSE,0,IF(AND(Mitarbeiter!$E$18&lt;&gt;"",BI$5+6&lt;Mitarbeiter!$E$18),0,IF(AND(Mitarbeiter!$F$18&lt;&gt;"",BI$5&gt;Mitarbeiter!$F$18),0,IF(Planung!BI20="",$C20,IF(ISNUMBER(Planung!BI20),Planung!BI20,IF(UPPER(Planung!BI20)="H",$C20/2,0)))))))</f>
        <v>0</v>
      </c>
      <c r="BJ20" s="27">
        <f>IF($A20="",0,IF(Mitarbeiter!$G$18=FALSE,0,IF(AND(Mitarbeiter!$E$18&lt;&gt;"",BJ$5+6&lt;Mitarbeiter!$E$18),0,IF(AND(Mitarbeiter!$F$18&lt;&gt;"",BJ$5&gt;Mitarbeiter!$F$18),0,IF(Planung!BJ20="",$C20,IF(ISNUMBER(Planung!BJ20),Planung!BJ20,IF(UPPER(Planung!BJ20)="H",$C20/2,0)))))))</f>
        <v>0</v>
      </c>
      <c r="BK20" s="27">
        <f>IF($A20="",0,IF(Mitarbeiter!$G$18=FALSE,0,IF(AND(Mitarbeiter!$E$18&lt;&gt;"",BK$5+6&lt;Mitarbeiter!$E$18),0,IF(AND(Mitarbeiter!$F$18&lt;&gt;"",BK$5&gt;Mitarbeiter!$F$18),0,IF(Planung!BK20="",$C20,IF(ISNUMBER(Planung!BK20),Planung!BK20,IF(UPPER(Planung!BK20)="H",$C20/2,0)))))))</f>
        <v>0</v>
      </c>
      <c r="BL20" s="27">
        <f>IF($A20="",0,IF(Mitarbeiter!$G$18=FALSE,0,IF(AND(Mitarbeiter!$E$18&lt;&gt;"",BL$5+6&lt;Mitarbeiter!$E$18),0,IF(AND(Mitarbeiter!$F$18&lt;&gt;"",BL$5&gt;Mitarbeiter!$F$18),0,IF(Planung!BL20="",$C20,IF(ISNUMBER(Planung!BL20),Planung!BL20,IF(UPPER(Planung!BL20)="H",$C20/2,0)))))))</f>
        <v>0</v>
      </c>
      <c r="BM20" s="27">
        <f>IF($A20="",0,IF(Mitarbeiter!$G$18=FALSE,0,IF(AND(Mitarbeiter!$E$18&lt;&gt;"",BM$5+6&lt;Mitarbeiter!$E$18),0,IF(AND(Mitarbeiter!$F$18&lt;&gt;"",BM$5&gt;Mitarbeiter!$F$18),0,IF(Planung!BM20="",$C20,IF(ISNUMBER(Planung!BM20),Planung!BM20,IF(UPPER(Planung!BM20)="H",$C20/2,0)))))))</f>
        <v>0</v>
      </c>
      <c r="BN20" s="27">
        <f>IF($A20="",0,IF(Mitarbeiter!$G$18=FALSE,0,IF(AND(Mitarbeiter!$E$18&lt;&gt;"",BN$5+6&lt;Mitarbeiter!$E$18),0,IF(AND(Mitarbeiter!$F$18&lt;&gt;"",BN$5&gt;Mitarbeiter!$F$18),0,IF(Planung!BN20="",$C20,IF(ISNUMBER(Planung!BN20),Planung!BN20,IF(UPPER(Planung!BN20)="H",$C20/2,0)))))))</f>
        <v>0</v>
      </c>
      <c r="BO20" s="27">
        <f>IF($A20="",0,IF(Mitarbeiter!$G$18=FALSE,0,IF(AND(Mitarbeiter!$E$18&lt;&gt;"",BO$5+6&lt;Mitarbeiter!$E$18),0,IF(AND(Mitarbeiter!$F$18&lt;&gt;"",BO$5&gt;Mitarbeiter!$F$18),0,IF(Planung!BO20="",$C20,IF(ISNUMBER(Planung!BO20),Planung!BO20,IF(UPPER(Planung!BO20)="H",$C20/2,0)))))))</f>
        <v>0</v>
      </c>
      <c r="BP20" s="27">
        <f>IF($A20="",0,IF(Mitarbeiter!$G$18=FALSE,0,IF(AND(Mitarbeiter!$E$18&lt;&gt;"",BP$5+6&lt;Mitarbeiter!$E$18),0,IF(AND(Mitarbeiter!$F$18&lt;&gt;"",BP$5&gt;Mitarbeiter!$F$18),0,IF(Planung!BP20="",$C20,IF(ISNUMBER(Planung!BP20),Planung!BP20,IF(UPPER(Planung!BP20)="H",$C20/2,0)))))))</f>
        <v>0</v>
      </c>
      <c r="BQ20" s="27">
        <f>IF($A20="",0,IF(Mitarbeiter!$G$18=FALSE,0,IF(AND(Mitarbeiter!$E$18&lt;&gt;"",BQ$5+6&lt;Mitarbeiter!$E$18),0,IF(AND(Mitarbeiter!$F$18&lt;&gt;"",BQ$5&gt;Mitarbeiter!$F$18),0,IF(Planung!BQ20="",$C20,IF(ISNUMBER(Planung!BQ20),Planung!BQ20,IF(UPPER(Planung!BQ20)="H",$C20/2,0)))))))</f>
        <v>0</v>
      </c>
      <c r="BR20" s="27">
        <f>IF($A20="",0,IF(Mitarbeiter!$G$18=FALSE,0,IF(AND(Mitarbeiter!$E$18&lt;&gt;"",BR$5+6&lt;Mitarbeiter!$E$18),0,IF(AND(Mitarbeiter!$F$18&lt;&gt;"",BR$5&gt;Mitarbeiter!$F$18),0,IF(Planung!BR20="",$C20,IF(ISNUMBER(Planung!BR20),Planung!BR20,IF(UPPER(Planung!BR20)="H",$C20/2,0)))))))</f>
        <v>0</v>
      </c>
      <c r="BS20" s="27">
        <f>IF($A20="",0,IF(Mitarbeiter!$G$18=FALSE,0,IF(AND(Mitarbeiter!$E$18&lt;&gt;"",BS$5+6&lt;Mitarbeiter!$E$18),0,IF(AND(Mitarbeiter!$F$18&lt;&gt;"",BS$5&gt;Mitarbeiter!$F$18),0,IF(Planung!BS20="",$C20,IF(ISNUMBER(Planung!BS20),Planung!BS20,IF(UPPER(Planung!BS20)="H",$C20/2,0)))))))</f>
        <v>0</v>
      </c>
      <c r="BT20" s="27">
        <f>IF($A20="",0,IF(Mitarbeiter!$G$18=FALSE,0,IF(AND(Mitarbeiter!$E$18&lt;&gt;"",BT$5+6&lt;Mitarbeiter!$E$18),0,IF(AND(Mitarbeiter!$F$18&lt;&gt;"",BT$5&gt;Mitarbeiter!$F$18),0,IF(Planung!BT20="",$C20,IF(ISNUMBER(Planung!BT20),Planung!BT20,IF(UPPER(Planung!BT20)="H",$C20/2,0)))))))</f>
        <v>0</v>
      </c>
      <c r="BU20" s="27">
        <f>IF($A20="",0,IF(Mitarbeiter!$G$18=FALSE,0,IF(AND(Mitarbeiter!$E$18&lt;&gt;"",BU$5+6&lt;Mitarbeiter!$E$18),0,IF(AND(Mitarbeiter!$F$18&lt;&gt;"",BU$5&gt;Mitarbeiter!$F$18),0,IF(Planung!BU20="",$C20,IF(ISNUMBER(Planung!BU20),Planung!BU20,IF(UPPER(Planung!BU20)="H",$C20/2,0)))))))</f>
        <v>0</v>
      </c>
      <c r="BV20" s="27">
        <f>IF($A20="",0,IF(Mitarbeiter!$G$18=FALSE,0,IF(AND(Mitarbeiter!$E$18&lt;&gt;"",BV$5+6&lt;Mitarbeiter!$E$18),0,IF(AND(Mitarbeiter!$F$18&lt;&gt;"",BV$5&gt;Mitarbeiter!$F$18),0,IF(Planung!BV20="",$C20,IF(ISNUMBER(Planung!BV20),Planung!BV20,IF(UPPER(Planung!BV20)="H",$C20/2,0)))))))</f>
        <v>0</v>
      </c>
      <c r="BW20" s="27">
        <f>IF($A20="",0,IF(Mitarbeiter!$G$18=FALSE,0,IF(AND(Mitarbeiter!$E$18&lt;&gt;"",BW$5+6&lt;Mitarbeiter!$E$18),0,IF(AND(Mitarbeiter!$F$18&lt;&gt;"",BW$5&gt;Mitarbeiter!$F$18),0,IF(Planung!BW20="",$C20,IF(ISNUMBER(Planung!BW20),Planung!BW20,IF(UPPER(Planung!BW20)="H",$C20/2,0)))))))</f>
        <v>0</v>
      </c>
      <c r="BX20" s="27">
        <f>IF($A20="",0,IF(Mitarbeiter!$G$18=FALSE,0,IF(AND(Mitarbeiter!$E$18&lt;&gt;"",BX$5+6&lt;Mitarbeiter!$E$18),0,IF(AND(Mitarbeiter!$F$18&lt;&gt;"",BX$5&gt;Mitarbeiter!$F$18),0,IF(Planung!BX20="",$C20,IF(ISNUMBER(Planung!BX20),Planung!BX20,IF(UPPER(Planung!BX20)="H",$C20/2,0)))))))</f>
        <v>0</v>
      </c>
      <c r="BY20" s="27">
        <f>IF($A20="",0,IF(Mitarbeiter!$G$18=FALSE,0,IF(AND(Mitarbeiter!$E$18&lt;&gt;"",BY$5+6&lt;Mitarbeiter!$E$18),0,IF(AND(Mitarbeiter!$F$18&lt;&gt;"",BY$5&gt;Mitarbeiter!$F$18),0,IF(Planung!BY20="",$C20,IF(ISNUMBER(Planung!BY20),Planung!BY20,IF(UPPER(Planung!BY20)="H",$C20/2,0)))))))</f>
        <v>0</v>
      </c>
      <c r="BZ20" s="27">
        <f>IF($A20="",0,IF(Mitarbeiter!$G$18=FALSE,0,IF(AND(Mitarbeiter!$E$18&lt;&gt;"",BZ$5+6&lt;Mitarbeiter!$E$18),0,IF(AND(Mitarbeiter!$F$18&lt;&gt;"",BZ$5&gt;Mitarbeiter!$F$18),0,IF(Planung!BZ20="",$C20,IF(ISNUMBER(Planung!BZ20),Planung!BZ20,IF(UPPER(Planung!BZ20)="H",$C20/2,0)))))))</f>
        <v>0</v>
      </c>
      <c r="CA20" s="27">
        <f>IF($A20="",0,IF(Mitarbeiter!$G$18=FALSE,0,IF(AND(Mitarbeiter!$E$18&lt;&gt;"",CA$5+6&lt;Mitarbeiter!$E$18),0,IF(AND(Mitarbeiter!$F$18&lt;&gt;"",CA$5&gt;Mitarbeiter!$F$18),0,IF(Planung!CA20="",$C20,IF(ISNUMBER(Planung!CA20),Planung!CA20,IF(UPPER(Planung!CA20)="H",$C20/2,0)))))))</f>
        <v>0</v>
      </c>
      <c r="CB20" s="27">
        <f>IF($A20="",0,IF(Mitarbeiter!$G$18=FALSE,0,IF(AND(Mitarbeiter!$E$18&lt;&gt;"",CB$5+6&lt;Mitarbeiter!$E$18),0,IF(AND(Mitarbeiter!$F$18&lt;&gt;"",CB$5&gt;Mitarbeiter!$F$18),0,IF(Planung!CB20="",$C20,IF(ISNUMBER(Planung!CB20),Planung!CB20,IF(UPPER(Planung!CB20)="H",$C20/2,0)))))))</f>
        <v>0</v>
      </c>
      <c r="CC20" s="27">
        <f>IF($A20="",0,IF(Mitarbeiter!$G$18=FALSE,0,IF(AND(Mitarbeiter!$E$18&lt;&gt;"",CC$5+6&lt;Mitarbeiter!$E$18),0,IF(AND(Mitarbeiter!$F$18&lt;&gt;"",CC$5&gt;Mitarbeiter!$F$18),0,IF(Planung!CC20="",$C20,IF(ISNUMBER(Planung!CC20),Planung!CC20,IF(UPPER(Planung!CC20)="H",$C20/2,0)))))))</f>
        <v>0</v>
      </c>
      <c r="CD20" s="27">
        <f>IF($A20="",0,IF(Mitarbeiter!$G$18=FALSE,0,IF(AND(Mitarbeiter!$E$18&lt;&gt;"",CD$5+6&lt;Mitarbeiter!$E$18),0,IF(AND(Mitarbeiter!$F$18&lt;&gt;"",CD$5&gt;Mitarbeiter!$F$18),0,IF(Planung!CD20="",$C20,IF(ISNUMBER(Planung!CD20),Planung!CD20,IF(UPPER(Planung!CD20)="H",$C20/2,0)))))))</f>
        <v>0</v>
      </c>
      <c r="CE20" s="27">
        <f>IF($A20="",0,IF(Mitarbeiter!$G$18=FALSE,0,IF(AND(Mitarbeiter!$E$18&lt;&gt;"",CE$5+6&lt;Mitarbeiter!$E$18),0,IF(AND(Mitarbeiter!$F$18&lt;&gt;"",CE$5&gt;Mitarbeiter!$F$18),0,IF(Planung!CE20="",$C20,IF(ISNUMBER(Planung!CE20),Planung!CE20,IF(UPPER(Planung!CE20)="H",$C20/2,0)))))))</f>
        <v>0</v>
      </c>
      <c r="CF20" s="27">
        <f>IF($A20="",0,IF(Mitarbeiter!$G$18=FALSE,0,IF(AND(Mitarbeiter!$E$18&lt;&gt;"",CF$5+6&lt;Mitarbeiter!$E$18),0,IF(AND(Mitarbeiter!$F$18&lt;&gt;"",CF$5&gt;Mitarbeiter!$F$18),0,IF(Planung!CF20="",$C20,IF(ISNUMBER(Planung!CF20),Planung!CF20,IF(UPPER(Planung!CF20)="H",$C20/2,0)))))))</f>
        <v>0</v>
      </c>
      <c r="CG20" s="27">
        <f>IF($A20="",0,IF(Mitarbeiter!$G$18=FALSE,0,IF(AND(Mitarbeiter!$E$18&lt;&gt;"",CG$5+6&lt;Mitarbeiter!$E$18),0,IF(AND(Mitarbeiter!$F$18&lt;&gt;"",CG$5&gt;Mitarbeiter!$F$18),0,IF(Planung!CG20="",$C20,IF(ISNUMBER(Planung!CG20),Planung!CG20,IF(UPPER(Planung!CG20)="H",$C20/2,0)))))))</f>
        <v>0</v>
      </c>
      <c r="CH20" s="27">
        <f>IF($A20="",0,IF(Mitarbeiter!$G$18=FALSE,0,IF(AND(Mitarbeiter!$E$18&lt;&gt;"",CH$5+6&lt;Mitarbeiter!$E$18),0,IF(AND(Mitarbeiter!$F$18&lt;&gt;"",CH$5&gt;Mitarbeiter!$F$18),0,IF(Planung!CH20="",$C20,IF(ISNUMBER(Planung!CH20),Planung!CH20,IF(UPPER(Planung!CH20)="H",$C20/2,0)))))))</f>
        <v>0</v>
      </c>
      <c r="CI20" s="27">
        <f>IF($A20="",0,IF(Mitarbeiter!$G$18=FALSE,0,IF(AND(Mitarbeiter!$E$18&lt;&gt;"",CI$5+6&lt;Mitarbeiter!$E$18),0,IF(AND(Mitarbeiter!$F$18&lt;&gt;"",CI$5&gt;Mitarbeiter!$F$18),0,IF(Planung!CI20="",$C20,IF(ISNUMBER(Planung!CI20),Planung!CI20,IF(UPPER(Planung!CI20)="H",$C20/2,0)))))))</f>
        <v>0</v>
      </c>
      <c r="CJ20" s="27">
        <f>IF($A20="",0,IF(Mitarbeiter!$G$18=FALSE,0,IF(AND(Mitarbeiter!$E$18&lt;&gt;"",CJ$5+6&lt;Mitarbeiter!$E$18),0,IF(AND(Mitarbeiter!$F$18&lt;&gt;"",CJ$5&gt;Mitarbeiter!$F$18),0,IF(Planung!CJ20="",$C20,IF(ISNUMBER(Planung!CJ20),Planung!CJ20,IF(UPPER(Planung!CJ20)="H",$C20/2,0)))))))</f>
        <v>0</v>
      </c>
      <c r="CK20" s="27">
        <f>IF($A20="",0,IF(Mitarbeiter!$G$18=FALSE,0,IF(AND(Mitarbeiter!$E$18&lt;&gt;"",CK$5+6&lt;Mitarbeiter!$E$18),0,IF(AND(Mitarbeiter!$F$18&lt;&gt;"",CK$5&gt;Mitarbeiter!$F$18),0,IF(Planung!CK20="",$C20,IF(ISNUMBER(Planung!CK20),Planung!CK20,IF(UPPER(Planung!CK20)="H",$C20/2,0)))))))</f>
        <v>0</v>
      </c>
      <c r="CL20" s="27">
        <f>IF($A20="",0,IF(Mitarbeiter!$G$18=FALSE,0,IF(AND(Mitarbeiter!$E$18&lt;&gt;"",CL$5+6&lt;Mitarbeiter!$E$18),0,IF(AND(Mitarbeiter!$F$18&lt;&gt;"",CL$5&gt;Mitarbeiter!$F$18),0,IF(Planung!CL20="",$C20,IF(ISNUMBER(Planung!CL20),Planung!CL20,IF(UPPER(Planung!CL20)="H",$C20/2,0)))))))</f>
        <v>0</v>
      </c>
      <c r="CM20" s="27">
        <f>IF($A20="",0,IF(Mitarbeiter!$G$18=FALSE,0,IF(AND(Mitarbeiter!$E$18&lt;&gt;"",CM$5+6&lt;Mitarbeiter!$E$18),0,IF(AND(Mitarbeiter!$F$18&lt;&gt;"",CM$5&gt;Mitarbeiter!$F$18),0,IF(Planung!CM20="",$C20,IF(ISNUMBER(Planung!CM20),Planung!CM20,IF(UPPER(Planung!CM20)="H",$C20/2,0)))))))</f>
        <v>0</v>
      </c>
      <c r="CN20" s="27">
        <f>IF($A20="",0,IF(Mitarbeiter!$G$18=FALSE,0,IF(AND(Mitarbeiter!$E$18&lt;&gt;"",CN$5+6&lt;Mitarbeiter!$E$18),0,IF(AND(Mitarbeiter!$F$18&lt;&gt;"",CN$5&gt;Mitarbeiter!$F$18),0,IF(Planung!CN20="",$C20,IF(ISNUMBER(Planung!CN20),Planung!CN20,IF(UPPER(Planung!CN20)="H",$C20/2,0)))))))</f>
        <v>0</v>
      </c>
      <c r="CO20" s="27">
        <f>IF($A20="",0,IF(Mitarbeiter!$G$18=FALSE,0,IF(AND(Mitarbeiter!$E$18&lt;&gt;"",CO$5+6&lt;Mitarbeiter!$E$18),0,IF(AND(Mitarbeiter!$F$18&lt;&gt;"",CO$5&gt;Mitarbeiter!$F$18),0,IF(Planung!CO20="",$C20,IF(ISNUMBER(Planung!CO20),Planung!CO20,IF(UPPER(Planung!CO20)="H",$C20/2,0)))))))</f>
        <v>0</v>
      </c>
      <c r="CP20" s="27">
        <f>IF($A20="",0,IF(Mitarbeiter!$G$18=FALSE,0,IF(AND(Mitarbeiter!$E$18&lt;&gt;"",CP$5+6&lt;Mitarbeiter!$E$18),0,IF(AND(Mitarbeiter!$F$18&lt;&gt;"",CP$5&gt;Mitarbeiter!$F$18),0,IF(Planung!CP20="",$C20,IF(ISNUMBER(Planung!CP20),Planung!CP20,IF(UPPER(Planung!CP20)="H",$C20/2,0)))))))</f>
        <v>0</v>
      </c>
      <c r="CQ20" s="27">
        <f>IF($A20="",0,IF(Mitarbeiter!$G$18=FALSE,0,IF(AND(Mitarbeiter!$E$18&lt;&gt;"",CQ$5+6&lt;Mitarbeiter!$E$18),0,IF(AND(Mitarbeiter!$F$18&lt;&gt;"",CQ$5&gt;Mitarbeiter!$F$18),0,IF(Planung!CQ20="",$C20,IF(ISNUMBER(Planung!CQ20),Planung!CQ20,IF(UPPER(Planung!CQ20)="H",$C20/2,0)))))))</f>
        <v>0</v>
      </c>
      <c r="CR20" s="27">
        <f>IF($A20="",0,IF(Mitarbeiter!$G$18=FALSE,0,IF(AND(Mitarbeiter!$E$18&lt;&gt;"",CR$5+6&lt;Mitarbeiter!$E$18),0,IF(AND(Mitarbeiter!$F$18&lt;&gt;"",CR$5&gt;Mitarbeiter!$F$18),0,IF(Planung!CR20="",$C20,IF(ISNUMBER(Planung!CR20),Planung!CR20,IF(UPPER(Planung!CR20)="H",$C20/2,0)))))))</f>
        <v>0</v>
      </c>
      <c r="CS20" s="27">
        <f>IF($A20="",0,IF(Mitarbeiter!$G$18=FALSE,0,IF(AND(Mitarbeiter!$E$18&lt;&gt;"",CS$5+6&lt;Mitarbeiter!$E$18),0,IF(AND(Mitarbeiter!$F$18&lt;&gt;"",CS$5&gt;Mitarbeiter!$F$18),0,IF(Planung!CS20="",$C20,IF(ISNUMBER(Planung!CS20),Planung!CS20,IF(UPPER(Planung!CS20)="H",$C20/2,0)))))))</f>
        <v>0</v>
      </c>
      <c r="CT20" s="27">
        <f>IF($A20="",0,IF(Mitarbeiter!$G$18=FALSE,0,IF(AND(Mitarbeiter!$E$18&lt;&gt;"",CT$5+6&lt;Mitarbeiter!$E$18),0,IF(AND(Mitarbeiter!$F$18&lt;&gt;"",CT$5&gt;Mitarbeiter!$F$18),0,IF(Planung!CT20="",$C20,IF(ISNUMBER(Planung!CT20),Planung!CT20,IF(UPPER(Planung!CT20)="H",$C20/2,0)))))))</f>
        <v>0</v>
      </c>
      <c r="CU20" s="27">
        <f>IF($A20="",0,IF(Mitarbeiter!$G$18=FALSE,0,IF(AND(Mitarbeiter!$E$18&lt;&gt;"",CU$5+6&lt;Mitarbeiter!$E$18),0,IF(AND(Mitarbeiter!$F$18&lt;&gt;"",CU$5&gt;Mitarbeiter!$F$18),0,IF(Planung!CU20="",$C20,IF(ISNUMBER(Planung!CU20),Planung!CU20,IF(UPPER(Planung!CU20)="H",$C20/2,0)))))))</f>
        <v>0</v>
      </c>
      <c r="CV20" s="27">
        <f>IF($A20="",0,IF(Mitarbeiter!$G$18=FALSE,0,IF(AND(Mitarbeiter!$E$18&lt;&gt;"",CV$5+6&lt;Mitarbeiter!$E$18),0,IF(AND(Mitarbeiter!$F$18&lt;&gt;"",CV$5&gt;Mitarbeiter!$F$18),0,IF(Planung!CV20="",$C20,IF(ISNUMBER(Planung!CV20),Planung!CV20,IF(UPPER(Planung!CV20)="H",$C20/2,0)))))))</f>
        <v>0</v>
      </c>
      <c r="CW20" s="27">
        <f>IF($A20="",0,IF(Mitarbeiter!$G$18=FALSE,0,IF(AND(Mitarbeiter!$E$18&lt;&gt;"",CW$5+6&lt;Mitarbeiter!$E$18),0,IF(AND(Mitarbeiter!$F$18&lt;&gt;"",CW$5&gt;Mitarbeiter!$F$18),0,IF(Planung!CW20="",$C20,IF(ISNUMBER(Planung!CW20),Planung!CW20,IF(UPPER(Planung!CW20)="H",$C20/2,0)))))))</f>
        <v>0</v>
      </c>
      <c r="CX20" s="27">
        <f>IF($A20="",0,IF(Mitarbeiter!$G$18=FALSE,0,IF(AND(Mitarbeiter!$E$18&lt;&gt;"",CX$5+6&lt;Mitarbeiter!$E$18),0,IF(AND(Mitarbeiter!$F$18&lt;&gt;"",CX$5&gt;Mitarbeiter!$F$18),0,IF(Planung!CX20="",$C20,IF(ISNUMBER(Planung!CX20),Planung!CX20,IF(UPPER(Planung!CX20)="H",$C20/2,0)))))))</f>
        <v>0</v>
      </c>
      <c r="CY20" s="27">
        <f>IF($A20="",0,IF(Mitarbeiter!$G$18=FALSE,0,IF(AND(Mitarbeiter!$E$18&lt;&gt;"",CY$5+6&lt;Mitarbeiter!$E$18),0,IF(AND(Mitarbeiter!$F$18&lt;&gt;"",CY$5&gt;Mitarbeiter!$F$18),0,IF(Planung!CY20="",$C20,IF(ISNUMBER(Planung!CY20),Planung!CY20,IF(UPPER(Planung!CY20)="H",$C20/2,0)))))))</f>
        <v>0</v>
      </c>
      <c r="CZ20" s="27">
        <f>IF($A20="",0,IF(Mitarbeiter!$G$18=FALSE,0,IF(AND(Mitarbeiter!$E$18&lt;&gt;"",CZ$5+6&lt;Mitarbeiter!$E$18),0,IF(AND(Mitarbeiter!$F$18&lt;&gt;"",CZ$5&gt;Mitarbeiter!$F$18),0,IF(Planung!CZ20="",$C20,IF(ISNUMBER(Planung!CZ20),Planung!CZ20,IF(UPPER(Planung!CZ20)="H",$C20/2,0)))))))</f>
        <v>0</v>
      </c>
      <c r="DA20" s="27">
        <f>IF($A20="",0,IF(Mitarbeiter!$G$18=FALSE,0,IF(AND(Mitarbeiter!$E$18&lt;&gt;"",DA$5+6&lt;Mitarbeiter!$E$18),0,IF(AND(Mitarbeiter!$F$18&lt;&gt;"",DA$5&gt;Mitarbeiter!$F$18),0,IF(Planung!DA20="",$C20,IF(ISNUMBER(Planung!DA20),Planung!DA20,IF(UPPER(Planung!DA20)="H",$C20/2,0)))))))</f>
        <v>0</v>
      </c>
      <c r="DB20" s="27">
        <f>IF($A20="",0,IF(Mitarbeiter!$G$18=FALSE,0,IF(AND(Mitarbeiter!$E$18&lt;&gt;"",DB$5+6&lt;Mitarbeiter!$E$18),0,IF(AND(Mitarbeiter!$F$18&lt;&gt;"",DB$5&gt;Mitarbeiter!$F$18),0,IF(Planung!DB20="",$C20,IF(ISNUMBER(Planung!DB20),Planung!DB20,IF(UPPER(Planung!DB20)="H",$C20/2,0)))))))</f>
        <v>0</v>
      </c>
      <c r="DC20" s="27">
        <f>IF($A20="",0,IF(Mitarbeiter!$G$18=FALSE,0,IF(AND(Mitarbeiter!$E$18&lt;&gt;"",DC$5+6&lt;Mitarbeiter!$E$18),0,IF(AND(Mitarbeiter!$F$18&lt;&gt;"",DC$5&gt;Mitarbeiter!$F$18),0,IF(Planung!DC20="",$C20,IF(ISNUMBER(Planung!DC20),Planung!DC20,IF(UPPER(Planung!DC20)="H",$C20/2,0)))))))</f>
        <v>0</v>
      </c>
      <c r="DD20" s="27">
        <f>IF($A20="",0,IF(Mitarbeiter!$G$18=FALSE,0,IF(AND(Mitarbeiter!$E$18&lt;&gt;"",DD$5+6&lt;Mitarbeiter!$E$18),0,IF(AND(Mitarbeiter!$F$18&lt;&gt;"",DD$5&gt;Mitarbeiter!$F$18),0,IF(Planung!DD20="",$C20,IF(ISNUMBER(Planung!DD20),Planung!DD20,IF(UPPER(Planung!DD20)="H",$C20/2,0)))))))</f>
        <v>0</v>
      </c>
      <c r="DE20" s="27">
        <f>IF($A20="",0,IF(Mitarbeiter!$G$18=FALSE,0,IF(AND(Mitarbeiter!$E$18&lt;&gt;"",DE$5+6&lt;Mitarbeiter!$E$18),0,IF(AND(Mitarbeiter!$F$18&lt;&gt;"",DE$5&gt;Mitarbeiter!$F$18),0,IF(Planung!DE20="",$C20,IF(ISNUMBER(Planung!DE20),Planung!DE20,IF(UPPER(Planung!DE20)="H",$C20/2,0)))))))</f>
        <v>0</v>
      </c>
      <c r="DF20" s="27">
        <f>IF($A20="",0,IF(Mitarbeiter!$G$18=FALSE,0,IF(AND(Mitarbeiter!$E$18&lt;&gt;"",DF$5+6&lt;Mitarbeiter!$E$18),0,IF(AND(Mitarbeiter!$F$18&lt;&gt;"",DF$5&gt;Mitarbeiter!$F$18),0,IF(Planung!DF20="",$C20,IF(ISNUMBER(Planung!DF20),Planung!DF20,IF(UPPER(Planung!DF20)="H",$C20/2,0)))))))</f>
        <v>0</v>
      </c>
      <c r="DG20" s="27">
        <f>IF($A20="",0,IF(Mitarbeiter!$G$18=FALSE,0,IF(AND(Mitarbeiter!$E$18&lt;&gt;"",DG$5+6&lt;Mitarbeiter!$E$18),0,IF(AND(Mitarbeiter!$F$18&lt;&gt;"",DG$5&gt;Mitarbeiter!$F$18),0,IF(Planung!DG20="",$C20,IF(ISNUMBER(Planung!DG20),Planung!DG20,IF(UPPER(Planung!DG20)="H",$C20/2,0)))))))</f>
        <v>0</v>
      </c>
      <c r="DH20" s="27">
        <f>IF($A20="",0,IF(Mitarbeiter!$G$18=FALSE,0,IF(AND(Mitarbeiter!$E$18&lt;&gt;"",DH$5+6&lt;Mitarbeiter!$E$18),0,IF(AND(Mitarbeiter!$F$18&lt;&gt;"",DH$5&gt;Mitarbeiter!$F$18),0,IF(Planung!DH20="",$C20,IF(ISNUMBER(Planung!DH20),Planung!DH20,IF(UPPER(Planung!DH20)="H",$C20/2,0)))))))</f>
        <v>0</v>
      </c>
      <c r="DI20" s="27">
        <f>IF($A20="",0,IF(Mitarbeiter!$G$18=FALSE,0,IF(AND(Mitarbeiter!$E$18&lt;&gt;"",DI$5+6&lt;Mitarbeiter!$E$18),0,IF(AND(Mitarbeiter!$F$18&lt;&gt;"",DI$5&gt;Mitarbeiter!$F$18),0,IF(Planung!DI20="",$C20,IF(ISNUMBER(Planung!DI20),Planung!DI20,IF(UPPER(Planung!DI20)="H",$C20/2,0)))))))</f>
        <v>0</v>
      </c>
      <c r="DJ20" s="27">
        <f>IF($A20="",0,IF(Mitarbeiter!$G$18=FALSE,0,IF(AND(Mitarbeiter!$E$18&lt;&gt;"",DJ$5+6&lt;Mitarbeiter!$E$18),0,IF(AND(Mitarbeiter!$F$18&lt;&gt;"",DJ$5&gt;Mitarbeiter!$F$18),0,IF(Planung!DJ20="",$C20,IF(ISNUMBER(Planung!DJ20),Planung!DJ20,IF(UPPER(Planung!DJ20)="H",$C20/2,0)))))))</f>
        <v>0</v>
      </c>
      <c r="DK20" s="27">
        <f>IF($A20="",0,IF(Mitarbeiter!$G$18=FALSE,0,IF(AND(Mitarbeiter!$E$18&lt;&gt;"",DK$5+6&lt;Mitarbeiter!$E$18),0,IF(AND(Mitarbeiter!$F$18&lt;&gt;"",DK$5&gt;Mitarbeiter!$F$18),0,IF(Planung!DK20="",$C20,IF(ISNUMBER(Planung!DK20),Planung!DK20,IF(UPPER(Planung!DK20)="H",$C20/2,0)))))))</f>
        <v>0</v>
      </c>
      <c r="DL20" s="27">
        <f>IF($A20="",0,IF(Mitarbeiter!$G$18=FALSE,0,IF(AND(Mitarbeiter!$E$18&lt;&gt;"",DL$5+6&lt;Mitarbeiter!$E$18),0,IF(AND(Mitarbeiter!$F$18&lt;&gt;"",DL$5&gt;Mitarbeiter!$F$18),0,IF(Planung!DL20="",$C20,IF(ISNUMBER(Planung!DL20),Planung!DL20,IF(UPPER(Planung!DL20)="H",$C20/2,0)))))))</f>
        <v>0</v>
      </c>
      <c r="DM20" s="27">
        <f>IF($A20="",0,IF(Mitarbeiter!$G$18=FALSE,0,IF(AND(Mitarbeiter!$E$18&lt;&gt;"",DM$5+6&lt;Mitarbeiter!$E$18),0,IF(AND(Mitarbeiter!$F$18&lt;&gt;"",DM$5&gt;Mitarbeiter!$F$18),0,IF(Planung!DM20="",$C20,IF(ISNUMBER(Planung!DM20),Planung!DM20,IF(UPPER(Planung!DM20)="H",$C20/2,0)))))))</f>
        <v>0</v>
      </c>
      <c r="DN20" s="27">
        <f>IF($A20="",0,IF(Mitarbeiter!$G$18=FALSE,0,IF(AND(Mitarbeiter!$E$18&lt;&gt;"",DN$5+6&lt;Mitarbeiter!$E$18),0,IF(AND(Mitarbeiter!$F$18&lt;&gt;"",DN$5&gt;Mitarbeiter!$F$18),0,IF(Planung!DN20="",$C20,IF(ISNUMBER(Planung!DN20),Planung!DN20,IF(UPPER(Planung!DN20)="H",$C20/2,0)))))))</f>
        <v>0</v>
      </c>
      <c r="DO20" s="27">
        <f>IF($A20="",0,IF(Mitarbeiter!$G$18=FALSE,0,IF(AND(Mitarbeiter!$E$18&lt;&gt;"",DO$5+6&lt;Mitarbeiter!$E$18),0,IF(AND(Mitarbeiter!$F$18&lt;&gt;"",DO$5&gt;Mitarbeiter!$F$18),0,IF(Planung!DO20="",$C20,IF(ISNUMBER(Planung!DO20),Planung!DO20,IF(UPPER(Planung!DO20)="H",$C20/2,0)))))))</f>
        <v>0</v>
      </c>
      <c r="DP20" s="27">
        <f>IF($A20="",0,IF(Mitarbeiter!$G$18=FALSE,0,IF(AND(Mitarbeiter!$E$18&lt;&gt;"",DP$5+6&lt;Mitarbeiter!$E$18),0,IF(AND(Mitarbeiter!$F$18&lt;&gt;"",DP$5&gt;Mitarbeiter!$F$18),0,IF(Planung!DP20="",$C20,IF(ISNUMBER(Planung!DP20),Planung!DP20,IF(UPPER(Planung!DP20)="H",$C20/2,0)))))))</f>
        <v>0</v>
      </c>
      <c r="DQ20" s="27">
        <f>IF($A20="",0,IF(Mitarbeiter!$G$18=FALSE,0,IF(AND(Mitarbeiter!$E$18&lt;&gt;"",DQ$5+6&lt;Mitarbeiter!$E$18),0,IF(AND(Mitarbeiter!$F$18&lt;&gt;"",DQ$5&gt;Mitarbeiter!$F$18),0,IF(Planung!DQ20="",$C20,IF(ISNUMBER(Planung!DQ20),Planung!DQ20,IF(UPPER(Planung!DQ20)="H",$C20/2,0)))))))</f>
        <v>0</v>
      </c>
      <c r="DR20" s="27">
        <f>IF($A20="",0,IF(Mitarbeiter!$G$18=FALSE,0,IF(AND(Mitarbeiter!$E$18&lt;&gt;"",DR$5+6&lt;Mitarbeiter!$E$18),0,IF(AND(Mitarbeiter!$F$18&lt;&gt;"",DR$5&gt;Mitarbeiter!$F$18),0,IF(Planung!DR20="",$C20,IF(ISNUMBER(Planung!DR20),Planung!DR20,IF(UPPER(Planung!DR20)="H",$C20/2,0)))))))</f>
        <v>0</v>
      </c>
      <c r="DS20" s="27">
        <f>IF($A20="",0,IF(Mitarbeiter!$G$18=FALSE,0,IF(AND(Mitarbeiter!$E$18&lt;&gt;"",DS$5+6&lt;Mitarbeiter!$E$18),0,IF(AND(Mitarbeiter!$F$18&lt;&gt;"",DS$5&gt;Mitarbeiter!$F$18),0,IF(Planung!DS20="",$C20,IF(ISNUMBER(Planung!DS20),Planung!DS20,IF(UPPER(Planung!DS20)="H",$C20/2,0)))))))</f>
        <v>0</v>
      </c>
      <c r="DT20" s="27">
        <f>IF($A20="",0,IF(Mitarbeiter!$G$18=FALSE,0,IF(AND(Mitarbeiter!$E$18&lt;&gt;"",DT$5+6&lt;Mitarbeiter!$E$18),0,IF(AND(Mitarbeiter!$F$18&lt;&gt;"",DT$5&gt;Mitarbeiter!$F$18),0,IF(Planung!DT20="",$C20,IF(ISNUMBER(Planung!DT20),Planung!DT20,IF(UPPER(Planung!DT20)="H",$C20/2,0)))))))</f>
        <v>0</v>
      </c>
      <c r="DU20" s="27">
        <f>IF($A20="",0,IF(Mitarbeiter!$G$18=FALSE,0,IF(AND(Mitarbeiter!$E$18&lt;&gt;"",DU$5+6&lt;Mitarbeiter!$E$18),0,IF(AND(Mitarbeiter!$F$18&lt;&gt;"",DU$5&gt;Mitarbeiter!$F$18),0,IF(Planung!DU20="",$C20,IF(ISNUMBER(Planung!DU20),Planung!DU20,IF(UPPER(Planung!DU20)="H",$C20/2,0)))))))</f>
        <v>0</v>
      </c>
      <c r="DV20" s="27">
        <f>IF($A20="",0,IF(Mitarbeiter!$G$18=FALSE,0,IF(AND(Mitarbeiter!$E$18&lt;&gt;"",DV$5+6&lt;Mitarbeiter!$E$18),0,IF(AND(Mitarbeiter!$F$18&lt;&gt;"",DV$5&gt;Mitarbeiter!$F$18),0,IF(Planung!DV20="",$C20,IF(ISNUMBER(Planung!DV20),Planung!DV20,IF(UPPER(Planung!DV20)="H",$C20/2,0)))))))</f>
        <v>0</v>
      </c>
      <c r="DW20" s="27">
        <f>IF($A20="",0,IF(Mitarbeiter!$G$18=FALSE,0,IF(AND(Mitarbeiter!$E$18&lt;&gt;"",DW$5+6&lt;Mitarbeiter!$E$18),0,IF(AND(Mitarbeiter!$F$18&lt;&gt;"",DW$5&gt;Mitarbeiter!$F$18),0,IF(Planung!DW20="",$C20,IF(ISNUMBER(Planung!DW20),Planung!DW20,IF(UPPER(Planung!DW20)="H",$C20/2,0)))))))</f>
        <v>0</v>
      </c>
      <c r="DX20" s="27">
        <f>IF($A20="",0,IF(Mitarbeiter!$G$18=FALSE,0,IF(AND(Mitarbeiter!$E$18&lt;&gt;"",DX$5+6&lt;Mitarbeiter!$E$18),0,IF(AND(Mitarbeiter!$F$18&lt;&gt;"",DX$5&gt;Mitarbeiter!$F$18),0,IF(Planung!DX20="",$C20,IF(ISNUMBER(Planung!DX20),Planung!DX20,IF(UPPER(Planung!DX20)="H",$C20/2,0)))))))</f>
        <v>0</v>
      </c>
      <c r="DY20" s="27">
        <f>IF($A20="",0,IF(Mitarbeiter!$G$18=FALSE,0,IF(AND(Mitarbeiter!$E$18&lt;&gt;"",DY$5+6&lt;Mitarbeiter!$E$18),0,IF(AND(Mitarbeiter!$F$18&lt;&gt;"",DY$5&gt;Mitarbeiter!$F$18),0,IF(Planung!DY20="",$C20,IF(ISNUMBER(Planung!DY20),Planung!DY20,IF(UPPER(Planung!DY20)="H",$C20/2,0)))))))</f>
        <v>0</v>
      </c>
      <c r="DZ20" s="27">
        <f>IF($A20="",0,IF(Mitarbeiter!$G$18=FALSE,0,IF(AND(Mitarbeiter!$E$18&lt;&gt;"",DZ$5+6&lt;Mitarbeiter!$E$18),0,IF(AND(Mitarbeiter!$F$18&lt;&gt;"",DZ$5&gt;Mitarbeiter!$F$18),0,IF(Planung!DZ20="",$C20,IF(ISNUMBER(Planung!DZ20),Planung!DZ20,IF(UPPER(Planung!DZ20)="H",$C20/2,0)))))))</f>
        <v>0</v>
      </c>
      <c r="EA20" s="27">
        <f>IF($A20="",0,IF(Mitarbeiter!$G$18=FALSE,0,IF(AND(Mitarbeiter!$E$18&lt;&gt;"",EA$5+6&lt;Mitarbeiter!$E$18),0,IF(AND(Mitarbeiter!$F$18&lt;&gt;"",EA$5&gt;Mitarbeiter!$F$18),0,IF(Planung!EA20="",$C20,IF(ISNUMBER(Planung!EA20),Planung!EA20,IF(UPPER(Planung!EA20)="H",$C20/2,0)))))))</f>
        <v>0</v>
      </c>
      <c r="EB20" s="27">
        <f>IF($A20="",0,IF(Mitarbeiter!$G$18=FALSE,0,IF(AND(Mitarbeiter!$E$18&lt;&gt;"",EB$5+6&lt;Mitarbeiter!$E$18),0,IF(AND(Mitarbeiter!$F$18&lt;&gt;"",EB$5&gt;Mitarbeiter!$F$18),0,IF(Planung!EB20="",$C20,IF(ISNUMBER(Planung!EB20),Planung!EB20,IF(UPPER(Planung!EB20)="H",$C20/2,0)))))))</f>
        <v>0</v>
      </c>
      <c r="EC20" s="27">
        <f>IF($A20="",0,IF(Mitarbeiter!$G$18=FALSE,0,IF(AND(Mitarbeiter!$E$18&lt;&gt;"",EC$5+6&lt;Mitarbeiter!$E$18),0,IF(AND(Mitarbeiter!$F$18&lt;&gt;"",EC$5&gt;Mitarbeiter!$F$18),0,IF(Planung!EC20="",$C20,IF(ISNUMBER(Planung!EC20),Planung!EC20,IF(UPPER(Planung!EC20)="H",$C20/2,0)))))))</f>
        <v>0</v>
      </c>
      <c r="ED20" s="27">
        <f>IF($A20="",0,IF(Mitarbeiter!$G$18=FALSE,0,IF(AND(Mitarbeiter!$E$18&lt;&gt;"",ED$5+6&lt;Mitarbeiter!$E$18),0,IF(AND(Mitarbeiter!$F$18&lt;&gt;"",ED$5&gt;Mitarbeiter!$F$18),0,IF(Planung!ED20="",$C20,IF(ISNUMBER(Planung!ED20),Planung!ED20,IF(UPPER(Planung!ED20)="H",$C20/2,0)))))))</f>
        <v>0</v>
      </c>
      <c r="EE20" s="27">
        <f>IF($A20="",0,IF(Mitarbeiter!$G$18=FALSE,0,IF(AND(Mitarbeiter!$E$18&lt;&gt;"",EE$5+6&lt;Mitarbeiter!$E$18),0,IF(AND(Mitarbeiter!$F$18&lt;&gt;"",EE$5&gt;Mitarbeiter!$F$18),0,IF(Planung!EE20="",$C20,IF(ISNUMBER(Planung!EE20),Planung!EE20,IF(UPPER(Planung!EE20)="H",$C20/2,0)))))))</f>
        <v>0</v>
      </c>
      <c r="EF20" s="27">
        <f>IF($A20="",0,IF(Mitarbeiter!$G$18=FALSE,0,IF(AND(Mitarbeiter!$E$18&lt;&gt;"",EF$5+6&lt;Mitarbeiter!$E$18),0,IF(AND(Mitarbeiter!$F$18&lt;&gt;"",EF$5&gt;Mitarbeiter!$F$18),0,IF(Planung!EF20="",$C20,IF(ISNUMBER(Planung!EF20),Planung!EF20,IF(UPPER(Planung!EF20)="H",$C20/2,0)))))))</f>
        <v>0</v>
      </c>
      <c r="EG20" s="27">
        <f>IF($A20="",0,IF(Mitarbeiter!$G$18=FALSE,0,IF(AND(Mitarbeiter!$E$18&lt;&gt;"",EG$5+6&lt;Mitarbeiter!$E$18),0,IF(AND(Mitarbeiter!$F$18&lt;&gt;"",EG$5&gt;Mitarbeiter!$F$18),0,IF(Planung!EG20="",$C20,IF(ISNUMBER(Planung!EG20),Planung!EG20,IF(UPPER(Planung!EG20)="H",$C20/2,0)))))))</f>
        <v>0</v>
      </c>
      <c r="EH20" s="27">
        <f>IF($A20="",0,IF(Mitarbeiter!$G$18=FALSE,0,IF(AND(Mitarbeiter!$E$18&lt;&gt;"",EH$5+6&lt;Mitarbeiter!$E$18),0,IF(AND(Mitarbeiter!$F$18&lt;&gt;"",EH$5&gt;Mitarbeiter!$F$18),0,IF(Planung!EH20="",$C20,IF(ISNUMBER(Planung!EH20),Planung!EH20,IF(UPPER(Planung!EH20)="H",$C20/2,0)))))))</f>
        <v>0</v>
      </c>
      <c r="EI20" s="27">
        <f>IF($A20="",0,IF(Mitarbeiter!$G$18=FALSE,0,IF(AND(Mitarbeiter!$E$18&lt;&gt;"",EI$5+6&lt;Mitarbeiter!$E$18),0,IF(AND(Mitarbeiter!$F$18&lt;&gt;"",EI$5&gt;Mitarbeiter!$F$18),0,IF(Planung!EI20="",$C20,IF(ISNUMBER(Planung!EI20),Planung!EI20,IF(UPPER(Planung!EI20)="H",$C20/2,0)))))))</f>
        <v>0</v>
      </c>
      <c r="EJ20" s="27">
        <f>IF($A20="",0,IF(Mitarbeiter!$G$18=FALSE,0,IF(AND(Mitarbeiter!$E$18&lt;&gt;"",EJ$5+6&lt;Mitarbeiter!$E$18),0,IF(AND(Mitarbeiter!$F$18&lt;&gt;"",EJ$5&gt;Mitarbeiter!$F$18),0,IF(Planung!EJ20="",$C20,IF(ISNUMBER(Planung!EJ20),Planung!EJ20,IF(UPPER(Planung!EJ20)="H",$C20/2,0)))))))</f>
        <v>0</v>
      </c>
      <c r="EK20" s="27">
        <f>IF($A20="",0,IF(Mitarbeiter!$G$18=FALSE,0,IF(AND(Mitarbeiter!$E$18&lt;&gt;"",EK$5+6&lt;Mitarbeiter!$E$18),0,IF(AND(Mitarbeiter!$F$18&lt;&gt;"",EK$5&gt;Mitarbeiter!$F$18),0,IF(Planung!EK20="",$C20,IF(ISNUMBER(Planung!EK20),Planung!EK20,IF(UPPER(Planung!EK20)="H",$C20/2,0)))))))</f>
        <v>0</v>
      </c>
      <c r="EL20" s="27">
        <f>IF($A20="",0,IF(Mitarbeiter!$G$18=FALSE,0,IF(AND(Mitarbeiter!$E$18&lt;&gt;"",EL$5+6&lt;Mitarbeiter!$E$18),0,IF(AND(Mitarbeiter!$F$18&lt;&gt;"",EL$5&gt;Mitarbeiter!$F$18),0,IF(Planung!EL20="",$C20,IF(ISNUMBER(Planung!EL20),Planung!EL20,IF(UPPER(Planung!EL20)="H",$C20/2,0)))))))</f>
        <v>0</v>
      </c>
      <c r="EM20" s="27">
        <f>IF($A20="",0,IF(Mitarbeiter!$G$18=FALSE,0,IF(AND(Mitarbeiter!$E$18&lt;&gt;"",EM$5+6&lt;Mitarbeiter!$E$18),0,IF(AND(Mitarbeiter!$F$18&lt;&gt;"",EM$5&gt;Mitarbeiter!$F$18),0,IF(Planung!EM20="",$C20,IF(ISNUMBER(Planung!EM20),Planung!EM20,IF(UPPER(Planung!EM20)="H",$C20/2,0)))))))</f>
        <v>0</v>
      </c>
      <c r="EN20" s="27">
        <f>IF($A20="",0,IF(Mitarbeiter!$G$18=FALSE,0,IF(AND(Mitarbeiter!$E$18&lt;&gt;"",EN$5+6&lt;Mitarbeiter!$E$18),0,IF(AND(Mitarbeiter!$F$18&lt;&gt;"",EN$5&gt;Mitarbeiter!$F$18),0,IF(Planung!EN20="",$C20,IF(ISNUMBER(Planung!EN20),Planung!EN20,IF(UPPER(Planung!EN20)="H",$C20/2,0)))))))</f>
        <v>0</v>
      </c>
      <c r="EO20" s="27">
        <f>IF($A20="",0,IF(Mitarbeiter!$G$18=FALSE,0,IF(AND(Mitarbeiter!$E$18&lt;&gt;"",EO$5+6&lt;Mitarbeiter!$E$18),0,IF(AND(Mitarbeiter!$F$18&lt;&gt;"",EO$5&gt;Mitarbeiter!$F$18),0,IF(Planung!EO20="",$C20,IF(ISNUMBER(Planung!EO20),Planung!EO20,IF(UPPER(Planung!EO20)="H",$C20/2,0)))))))</f>
        <v>0</v>
      </c>
      <c r="EP20" s="27">
        <f>IF($A20="",0,IF(Mitarbeiter!$G$18=FALSE,0,IF(AND(Mitarbeiter!$E$18&lt;&gt;"",EP$5+6&lt;Mitarbeiter!$E$18),0,IF(AND(Mitarbeiter!$F$18&lt;&gt;"",EP$5&gt;Mitarbeiter!$F$18),0,IF(Planung!EP20="",$C20,IF(ISNUMBER(Planung!EP20),Planung!EP20,IF(UPPER(Planung!EP20)="H",$C20/2,0)))))))</f>
        <v>0</v>
      </c>
      <c r="EQ20" s="27">
        <f>IF($A20="",0,IF(Mitarbeiter!$G$18=FALSE,0,IF(AND(Mitarbeiter!$E$18&lt;&gt;"",EQ$5+6&lt;Mitarbeiter!$E$18),0,IF(AND(Mitarbeiter!$F$18&lt;&gt;"",EQ$5&gt;Mitarbeiter!$F$18),0,IF(Planung!EQ20="",$C20,IF(ISNUMBER(Planung!EQ20),Planung!EQ20,IF(UPPER(Planung!EQ20)="H",$C20/2,0)))))))</f>
        <v>0</v>
      </c>
      <c r="ER20" s="27">
        <f>IF($A20="",0,IF(Mitarbeiter!$G$18=FALSE,0,IF(AND(Mitarbeiter!$E$18&lt;&gt;"",ER$5+6&lt;Mitarbeiter!$E$18),0,IF(AND(Mitarbeiter!$F$18&lt;&gt;"",ER$5&gt;Mitarbeiter!$F$18),0,IF(Planung!ER20="",$C20,IF(ISNUMBER(Planung!ER20),Planung!ER20,IF(UPPER(Planung!ER20)="H",$C20/2,0)))))))</f>
        <v>0</v>
      </c>
      <c r="ES20" s="27">
        <f>IF($A20="",0,IF(Mitarbeiter!$G$18=FALSE,0,IF(AND(Mitarbeiter!$E$18&lt;&gt;"",ES$5+6&lt;Mitarbeiter!$E$18),0,IF(AND(Mitarbeiter!$F$18&lt;&gt;"",ES$5&gt;Mitarbeiter!$F$18),0,IF(Planung!ES20="",$C20,IF(ISNUMBER(Planung!ES20),Planung!ES20,IF(UPPER(Planung!ES20)="H",$C20/2,0)))))))</f>
        <v>0</v>
      </c>
      <c r="ET20" s="27">
        <f>IF($A20="",0,IF(Mitarbeiter!$G$18=FALSE,0,IF(AND(Mitarbeiter!$E$18&lt;&gt;"",ET$5+6&lt;Mitarbeiter!$E$18),0,IF(AND(Mitarbeiter!$F$18&lt;&gt;"",ET$5&gt;Mitarbeiter!$F$18),0,IF(Planung!ET20="",$C20,IF(ISNUMBER(Planung!ET20),Planung!ET20,IF(UPPER(Planung!ET20)="H",$C20/2,0)))))))</f>
        <v>0</v>
      </c>
      <c r="EU20" s="27">
        <f>IF($A20="",0,IF(Mitarbeiter!$G$18=FALSE,0,IF(AND(Mitarbeiter!$E$18&lt;&gt;"",EU$5+6&lt;Mitarbeiter!$E$18),0,IF(AND(Mitarbeiter!$F$18&lt;&gt;"",EU$5&gt;Mitarbeiter!$F$18),0,IF(Planung!EU20="",$C20,IF(ISNUMBER(Planung!EU20),Planung!EU20,IF(UPPER(Planung!EU20)="H",$C20/2,0)))))))</f>
        <v>0</v>
      </c>
      <c r="EV20" s="27">
        <f>IF($A20="",0,IF(Mitarbeiter!$G$18=FALSE,0,IF(AND(Mitarbeiter!$E$18&lt;&gt;"",EV$5+6&lt;Mitarbeiter!$E$18),0,IF(AND(Mitarbeiter!$F$18&lt;&gt;"",EV$5&gt;Mitarbeiter!$F$18),0,IF(Planung!EV20="",$C20,IF(ISNUMBER(Planung!EV20),Planung!EV20,IF(UPPER(Planung!EV20)="H",$C20/2,0)))))))</f>
        <v>0</v>
      </c>
      <c r="EW20" s="27">
        <f>IF($A20="",0,IF(Mitarbeiter!$G$18=FALSE,0,IF(AND(Mitarbeiter!$E$18&lt;&gt;"",EW$5+6&lt;Mitarbeiter!$E$18),0,IF(AND(Mitarbeiter!$F$18&lt;&gt;"",EW$5&gt;Mitarbeiter!$F$18),0,IF(Planung!EW20="",$C20,IF(ISNUMBER(Planung!EW20),Planung!EW20,IF(UPPER(Planung!EW20)="H",$C20/2,0)))))))</f>
        <v>0</v>
      </c>
      <c r="EX20" s="27">
        <f>IF($A20="",0,IF(Mitarbeiter!$G$18=FALSE,0,IF(AND(Mitarbeiter!$E$18&lt;&gt;"",EX$5+6&lt;Mitarbeiter!$E$18),0,IF(AND(Mitarbeiter!$F$18&lt;&gt;"",EX$5&gt;Mitarbeiter!$F$18),0,IF(Planung!EX20="",$C20,IF(ISNUMBER(Planung!EX20),Planung!EX20,IF(UPPER(Planung!EX20)="H",$C20/2,0)))))))</f>
        <v>0</v>
      </c>
      <c r="EY20" s="27">
        <f>IF($A20="",0,IF(Mitarbeiter!$G$18=FALSE,0,IF(AND(Mitarbeiter!$E$18&lt;&gt;"",EY$5+6&lt;Mitarbeiter!$E$18),0,IF(AND(Mitarbeiter!$F$18&lt;&gt;"",EY$5&gt;Mitarbeiter!$F$18),0,IF(Planung!EY20="",$C20,IF(ISNUMBER(Planung!EY20),Planung!EY20,IF(UPPER(Planung!EY20)="H",$C20/2,0)))))))</f>
        <v>0</v>
      </c>
      <c r="EZ20" s="27">
        <f>IF($A20="",0,IF(Mitarbeiter!$G$18=FALSE,0,IF(AND(Mitarbeiter!$E$18&lt;&gt;"",EZ$5+6&lt;Mitarbeiter!$E$18),0,IF(AND(Mitarbeiter!$F$18&lt;&gt;"",EZ$5&gt;Mitarbeiter!$F$18),0,IF(Planung!EZ20="",$C20,IF(ISNUMBER(Planung!EZ20),Planung!EZ20,IF(UPPER(Planung!EZ20)="H",$C20/2,0)))))))</f>
        <v>0</v>
      </c>
      <c r="FA20" s="27">
        <f>IF($A20="",0,IF(Mitarbeiter!$G$18=FALSE,0,IF(AND(Mitarbeiter!$E$18&lt;&gt;"",FA$5+6&lt;Mitarbeiter!$E$18),0,IF(AND(Mitarbeiter!$F$18&lt;&gt;"",FA$5&gt;Mitarbeiter!$F$18),0,IF(Planung!FA20="",$C20,IF(ISNUMBER(Planung!FA20),Planung!FA20,IF(UPPER(Planung!FA20)="H",$C20/2,0)))))))</f>
        <v>0</v>
      </c>
      <c r="FB20" s="27">
        <f>IF($A20="",0,IF(Mitarbeiter!$G$18=FALSE,0,IF(AND(Mitarbeiter!$E$18&lt;&gt;"",FB$5+6&lt;Mitarbeiter!$E$18),0,IF(AND(Mitarbeiter!$F$18&lt;&gt;"",FB$5&gt;Mitarbeiter!$F$18),0,IF(Planung!FB20="",$C20,IF(ISNUMBER(Planung!FB20),Planung!FB20,IF(UPPER(Planung!FB20)="H",$C20/2,0)))))))</f>
        <v>0</v>
      </c>
      <c r="FC20" s="27">
        <f>IF($A20="",0,IF(Mitarbeiter!$G$18=FALSE,0,IF(AND(Mitarbeiter!$E$18&lt;&gt;"",FC$5+6&lt;Mitarbeiter!$E$18),0,IF(AND(Mitarbeiter!$F$18&lt;&gt;"",FC$5&gt;Mitarbeiter!$F$18),0,IF(Planung!FC20="",$C20,IF(ISNUMBER(Planung!FC20),Planung!FC20,IF(UPPER(Planung!FC20)="H",$C20/2,0)))))))</f>
        <v>0</v>
      </c>
      <c r="FD20" s="27">
        <f>IF($A20="",0,IF(Mitarbeiter!$G$18=FALSE,0,IF(AND(Mitarbeiter!$E$18&lt;&gt;"",FD$5+6&lt;Mitarbeiter!$E$18),0,IF(AND(Mitarbeiter!$F$18&lt;&gt;"",FD$5&gt;Mitarbeiter!$F$18),0,IF(Planung!FD20="",$C20,IF(ISNUMBER(Planung!FD20),Planung!FD20,IF(UPPER(Planung!FD20)="H",$C20/2,0)))))))</f>
        <v>0</v>
      </c>
      <c r="FE20" s="27">
        <f>IF($A20="",0,IF(Mitarbeiter!$G$18=FALSE,0,IF(AND(Mitarbeiter!$E$18&lt;&gt;"",FE$5+6&lt;Mitarbeiter!$E$18),0,IF(AND(Mitarbeiter!$F$18&lt;&gt;"",FE$5&gt;Mitarbeiter!$F$18),0,IF(Planung!FE20="",$C20,IF(ISNUMBER(Planung!FE20),Planung!FE20,IF(UPPER(Planung!FE20)="H",$C20/2,0)))))))</f>
        <v>0</v>
      </c>
      <c r="FF20" s="27">
        <f>IF($A20="",0,IF(Mitarbeiter!$G$18=FALSE,0,IF(AND(Mitarbeiter!$E$18&lt;&gt;"",FF$5+6&lt;Mitarbeiter!$E$18),0,IF(AND(Mitarbeiter!$F$18&lt;&gt;"",FF$5&gt;Mitarbeiter!$F$18),0,IF(Planung!FF20="",$C20,IF(ISNUMBER(Planung!FF20),Planung!FF20,IF(UPPER(Planung!FF20)="H",$C20/2,0)))))))</f>
        <v>0</v>
      </c>
      <c r="FG20" s="27">
        <f>IF($A20="",0,IF(Mitarbeiter!$G$18=FALSE,0,IF(AND(Mitarbeiter!$E$18&lt;&gt;"",FG$5+6&lt;Mitarbeiter!$E$18),0,IF(AND(Mitarbeiter!$F$18&lt;&gt;"",FG$5&gt;Mitarbeiter!$F$18),0,IF(Planung!FG20="",$C20,IF(ISNUMBER(Planung!FG20),Planung!FG20,IF(UPPER(Planung!FG20)="H",$C20/2,0)))))))</f>
        <v>0</v>
      </c>
      <c r="FH20" s="27">
        <f>IF($A20="",0,IF(Mitarbeiter!$G$18=FALSE,0,IF(AND(Mitarbeiter!$E$18&lt;&gt;"",FH$5+6&lt;Mitarbeiter!$E$18),0,IF(AND(Mitarbeiter!$F$18&lt;&gt;"",FH$5&gt;Mitarbeiter!$F$18),0,IF(Planung!FH20="",$C20,IF(ISNUMBER(Planung!FH20),Planung!FH20,IF(UPPER(Planung!FH20)="H",$C20/2,0)))))))</f>
        <v>0</v>
      </c>
      <c r="FI20" s="27">
        <f>IF($A20="",0,IF(Mitarbeiter!$G$18=FALSE,0,IF(AND(Mitarbeiter!$E$18&lt;&gt;"",FI$5+6&lt;Mitarbeiter!$E$18),0,IF(AND(Mitarbeiter!$F$18&lt;&gt;"",FI$5&gt;Mitarbeiter!$F$18),0,IF(Planung!FI20="",$C20,IF(ISNUMBER(Planung!FI20),Planung!FI20,IF(UPPER(Planung!FI20)="H",$C20/2,0)))))))</f>
        <v>0</v>
      </c>
      <c r="FJ20" s="27">
        <f>IF($A20="",0,IF(Mitarbeiter!$G$18=FALSE,0,IF(AND(Mitarbeiter!$E$18&lt;&gt;"",FJ$5+6&lt;Mitarbeiter!$E$18),0,IF(AND(Mitarbeiter!$F$18&lt;&gt;"",FJ$5&gt;Mitarbeiter!$F$18),0,IF(Planung!FJ20="",$C20,IF(ISNUMBER(Planung!FJ20),Planung!FJ20,IF(UPPER(Planung!FJ20)="H",$C20/2,0)))))))</f>
        <v>0</v>
      </c>
      <c r="FK20" s="27">
        <f>IF($A20="",0,IF(Mitarbeiter!$G$18=FALSE,0,IF(AND(Mitarbeiter!$E$18&lt;&gt;"",FK$5+6&lt;Mitarbeiter!$E$18),0,IF(AND(Mitarbeiter!$F$18&lt;&gt;"",FK$5&gt;Mitarbeiter!$F$18),0,IF(Planung!FK20="",$C20,IF(ISNUMBER(Planung!FK20),Planung!FK20,IF(UPPER(Planung!FK20)="H",$C20/2,0)))))))</f>
        <v>0</v>
      </c>
      <c r="FL20" s="27">
        <f>IF($A20="",0,IF(Mitarbeiter!$G$18=FALSE,0,IF(AND(Mitarbeiter!$E$18&lt;&gt;"",FL$5+6&lt;Mitarbeiter!$E$18),0,IF(AND(Mitarbeiter!$F$18&lt;&gt;"",FL$5&gt;Mitarbeiter!$F$18),0,IF(Planung!FL20="",$C20,IF(ISNUMBER(Planung!FL20),Planung!FL20,IF(UPPER(Planung!FL20)="H",$C20/2,0)))))))</f>
        <v>0</v>
      </c>
      <c r="FM20" s="27">
        <f>IF($A20="",0,IF(Mitarbeiter!$G$18=FALSE,0,IF(AND(Mitarbeiter!$E$18&lt;&gt;"",FM$5+6&lt;Mitarbeiter!$E$18),0,IF(AND(Mitarbeiter!$F$18&lt;&gt;"",FM$5&gt;Mitarbeiter!$F$18),0,IF(Planung!FM20="",$C20,IF(ISNUMBER(Planung!FM20),Planung!FM20,IF(UPPER(Planung!FM20)="H",$C20/2,0)))))))</f>
        <v>0</v>
      </c>
      <c r="FN20" s="27">
        <f>IF($A20="",0,IF(Mitarbeiter!$G$18=FALSE,0,IF(AND(Mitarbeiter!$E$18&lt;&gt;"",FN$5+6&lt;Mitarbeiter!$E$18),0,IF(AND(Mitarbeiter!$F$18&lt;&gt;"",FN$5&gt;Mitarbeiter!$F$18),0,IF(Planung!FN20="",$C20,IF(ISNUMBER(Planung!FN20),Planung!FN20,IF(UPPER(Planung!FN20)="H",$C20/2,0)))))))</f>
        <v>0</v>
      </c>
      <c r="FO20" s="27">
        <f>IF($A20="",0,IF(Mitarbeiter!$G$18=FALSE,0,IF(AND(Mitarbeiter!$E$18&lt;&gt;"",FO$5+6&lt;Mitarbeiter!$E$18),0,IF(AND(Mitarbeiter!$F$18&lt;&gt;"",FO$5&gt;Mitarbeiter!$F$18),0,IF(Planung!FO20="",$C20,IF(ISNUMBER(Planung!FO20),Planung!FO20,IF(UPPER(Planung!FO20)="H",$C20/2,0)))))))</f>
        <v>0</v>
      </c>
      <c r="FP20" s="27">
        <f>IF($A20="",0,IF(Mitarbeiter!$G$18=FALSE,0,IF(AND(Mitarbeiter!$E$18&lt;&gt;"",FP$5+6&lt;Mitarbeiter!$E$18),0,IF(AND(Mitarbeiter!$F$18&lt;&gt;"",FP$5&gt;Mitarbeiter!$F$18),0,IF(Planung!FP20="",$C20,IF(ISNUMBER(Planung!FP20),Planung!FP20,IF(UPPER(Planung!FP20)="H",$C20/2,0)))))))</f>
        <v>0</v>
      </c>
      <c r="FQ20" s="27">
        <f>IF($A20="",0,IF(Mitarbeiter!$G$18=FALSE,0,IF(AND(Mitarbeiter!$E$18&lt;&gt;"",FQ$5+6&lt;Mitarbeiter!$E$18),0,IF(AND(Mitarbeiter!$F$18&lt;&gt;"",FQ$5&gt;Mitarbeiter!$F$18),0,IF(Planung!FQ20="",$C20,IF(ISNUMBER(Planung!FQ20),Planung!FQ20,IF(UPPER(Planung!FQ20)="H",$C20/2,0)))))))</f>
        <v>0</v>
      </c>
      <c r="FR20" s="27">
        <f>IF($A20="",0,IF(Mitarbeiter!$G$18=FALSE,0,IF(AND(Mitarbeiter!$E$18&lt;&gt;"",FR$5+6&lt;Mitarbeiter!$E$18),0,IF(AND(Mitarbeiter!$F$18&lt;&gt;"",FR$5&gt;Mitarbeiter!$F$18),0,IF(Planung!FR20="",$C20,IF(ISNUMBER(Planung!FR20),Planung!FR20,IF(UPPER(Planung!FR20)="H",$C20/2,0)))))))</f>
        <v>0</v>
      </c>
      <c r="FS20" s="27">
        <f>IF($A20="",0,IF(Mitarbeiter!$G$18=FALSE,0,IF(AND(Mitarbeiter!$E$18&lt;&gt;"",FS$5+6&lt;Mitarbeiter!$E$18),0,IF(AND(Mitarbeiter!$F$18&lt;&gt;"",FS$5&gt;Mitarbeiter!$F$18),0,IF(Planung!FS20="",$C20,IF(ISNUMBER(Planung!FS20),Planung!FS20,IF(UPPER(Planung!FS20)="H",$C20/2,0)))))))</f>
        <v>0</v>
      </c>
      <c r="FT20" s="27">
        <f>IF($A20="",0,IF(Mitarbeiter!$G$18=FALSE,0,IF(AND(Mitarbeiter!$E$18&lt;&gt;"",FT$5+6&lt;Mitarbeiter!$E$18),0,IF(AND(Mitarbeiter!$F$18&lt;&gt;"",FT$5&gt;Mitarbeiter!$F$18),0,IF(Planung!FT20="",$C20,IF(ISNUMBER(Planung!FT20),Planung!FT20,IF(UPPER(Planung!FT20)="H",$C20/2,0)))))))</f>
        <v>0</v>
      </c>
      <c r="FU20" s="27">
        <f>IF($A20="",0,IF(Mitarbeiter!$G$18=FALSE,0,IF(AND(Mitarbeiter!$E$18&lt;&gt;"",FU$5+6&lt;Mitarbeiter!$E$18),0,IF(AND(Mitarbeiter!$F$18&lt;&gt;"",FU$5&gt;Mitarbeiter!$F$18),0,IF(Planung!FU20="",$C20,IF(ISNUMBER(Planung!FU20),Planung!FU20,IF(UPPER(Planung!FU20)="H",$C20/2,0)))))))</f>
        <v>0</v>
      </c>
      <c r="FV20" s="27">
        <f>IF($A20="",0,IF(Mitarbeiter!$G$18=FALSE,0,IF(AND(Mitarbeiter!$E$18&lt;&gt;"",FV$5+6&lt;Mitarbeiter!$E$18),0,IF(AND(Mitarbeiter!$F$18&lt;&gt;"",FV$5&gt;Mitarbeiter!$F$18),0,IF(Planung!FV20="",$C20,IF(ISNUMBER(Planung!FV20),Planung!FV20,IF(UPPER(Planung!FV20)="H",$C20/2,0)))))))</f>
        <v>0</v>
      </c>
      <c r="FW20" s="27">
        <f>IF($A20="",0,IF(Mitarbeiter!$G$18=FALSE,0,IF(AND(Mitarbeiter!$E$18&lt;&gt;"",FW$5+6&lt;Mitarbeiter!$E$18),0,IF(AND(Mitarbeiter!$F$18&lt;&gt;"",FW$5&gt;Mitarbeiter!$F$18),0,IF(Planung!FW20="",$C20,IF(ISNUMBER(Planung!FW20),Planung!FW20,IF(UPPER(Planung!FW20)="H",$C20/2,0)))))))</f>
        <v>0</v>
      </c>
      <c r="FX20" s="27">
        <f>IF($A20="",0,IF(Mitarbeiter!$G$18=FALSE,0,IF(AND(Mitarbeiter!$E$18&lt;&gt;"",FX$5+6&lt;Mitarbeiter!$E$18),0,IF(AND(Mitarbeiter!$F$18&lt;&gt;"",FX$5&gt;Mitarbeiter!$F$18),0,IF(Planung!FX20="",$C20,IF(ISNUMBER(Planung!FX20),Planung!FX20,IF(UPPER(Planung!FX20)="H",$C20/2,0)))))))</f>
        <v>0</v>
      </c>
      <c r="FY20" s="27">
        <f>IF($A20="",0,IF(Mitarbeiter!$G$18=FALSE,0,IF(AND(Mitarbeiter!$E$18&lt;&gt;"",FY$5+6&lt;Mitarbeiter!$E$18),0,IF(AND(Mitarbeiter!$F$18&lt;&gt;"",FY$5&gt;Mitarbeiter!$F$18),0,IF(Planung!FY20="",$C20,IF(ISNUMBER(Planung!FY20),Planung!FY20,IF(UPPER(Planung!FY20)="H",$C20/2,0)))))))</f>
        <v>0</v>
      </c>
      <c r="FZ20" s="27">
        <f>IF($A20="",0,IF(Mitarbeiter!$G$18=FALSE,0,IF(AND(Mitarbeiter!$E$18&lt;&gt;"",FZ$5+6&lt;Mitarbeiter!$E$18),0,IF(AND(Mitarbeiter!$F$18&lt;&gt;"",FZ$5&gt;Mitarbeiter!$F$18),0,IF(Planung!FZ20="",$C20,IF(ISNUMBER(Planung!FZ20),Planung!FZ20,IF(UPPER(Planung!FZ20)="H",$C20/2,0)))))))</f>
        <v>0</v>
      </c>
      <c r="GA20" s="27">
        <f>IF($A20="",0,IF(Mitarbeiter!$G$18=FALSE,0,IF(AND(Mitarbeiter!$E$18&lt;&gt;"",GA$5+6&lt;Mitarbeiter!$E$18),0,IF(AND(Mitarbeiter!$F$18&lt;&gt;"",GA$5&gt;Mitarbeiter!$F$18),0,IF(Planung!GA20="",$C20,IF(ISNUMBER(Planung!GA20),Planung!GA20,IF(UPPER(Planung!GA20)="H",$C20/2,0)))))))</f>
        <v>0</v>
      </c>
      <c r="GB20" s="27">
        <f>IF($A20="",0,IF(Mitarbeiter!$G$18=FALSE,0,IF(AND(Mitarbeiter!$E$18&lt;&gt;"",GB$5+6&lt;Mitarbeiter!$E$18),0,IF(AND(Mitarbeiter!$F$18&lt;&gt;"",GB$5&gt;Mitarbeiter!$F$18),0,IF(Planung!GB20="",$C20,IF(ISNUMBER(Planung!GB20),Planung!GB20,IF(UPPER(Planung!GB20)="H",$C20/2,0)))))))</f>
        <v>0</v>
      </c>
      <c r="GC20" s="27">
        <f>IF($A20="",0,IF(Mitarbeiter!$G$18=FALSE,0,IF(AND(Mitarbeiter!$E$18&lt;&gt;"",GC$5+6&lt;Mitarbeiter!$E$18),0,IF(AND(Mitarbeiter!$F$18&lt;&gt;"",GC$5&gt;Mitarbeiter!$F$18),0,IF(Planung!GC20="",$C20,IF(ISNUMBER(Planung!GC20),Planung!GC20,IF(UPPER(Planung!GC20)="H",$C20/2,0)))))))</f>
        <v>0</v>
      </c>
      <c r="GD20" s="27">
        <f>IF($A20="",0,IF(Mitarbeiter!$G$18=FALSE,0,IF(AND(Mitarbeiter!$E$18&lt;&gt;"",GD$5+6&lt;Mitarbeiter!$E$18),0,IF(AND(Mitarbeiter!$F$18&lt;&gt;"",GD$5&gt;Mitarbeiter!$F$18),0,IF(Planung!GD20="",$C20,IF(ISNUMBER(Planung!GD20),Planung!GD20,IF(UPPER(Planung!GD20)="H",$C20/2,0)))))))</f>
        <v>0</v>
      </c>
      <c r="GE20" s="27">
        <f>IF($A20="",0,IF(Mitarbeiter!$G$18=FALSE,0,IF(AND(Mitarbeiter!$E$18&lt;&gt;"",GE$5+6&lt;Mitarbeiter!$E$18),0,IF(AND(Mitarbeiter!$F$18&lt;&gt;"",GE$5&gt;Mitarbeiter!$F$18),0,IF(Planung!GE20="",$C20,IF(ISNUMBER(Planung!GE20),Planung!GE20,IF(UPPER(Planung!GE20)="H",$C20/2,0)))))))</f>
        <v>0</v>
      </c>
      <c r="GF20" s="27">
        <f>IF($A20="",0,IF(Mitarbeiter!$G$18=FALSE,0,IF(AND(Mitarbeiter!$E$18&lt;&gt;"",GF$5+6&lt;Mitarbeiter!$E$18),0,IF(AND(Mitarbeiter!$F$18&lt;&gt;"",GF$5&gt;Mitarbeiter!$F$18),0,IF(Planung!GF20="",$C20,IF(ISNUMBER(Planung!GF20),Planung!GF20,IF(UPPER(Planung!GF20)="H",$C20/2,0)))))))</f>
        <v>0</v>
      </c>
      <c r="GG20" s="27">
        <f>IF($A20="",0,IF(Mitarbeiter!$G$18=FALSE,0,IF(AND(Mitarbeiter!$E$18&lt;&gt;"",GG$5+6&lt;Mitarbeiter!$E$18),0,IF(AND(Mitarbeiter!$F$18&lt;&gt;"",GG$5&gt;Mitarbeiter!$F$18),0,IF(Planung!GG20="",$C20,IF(ISNUMBER(Planung!GG20),Planung!GG20,IF(UPPER(Planung!GG20)="H",$C20/2,0)))))))</f>
        <v>0</v>
      </c>
      <c r="GH20" s="27">
        <f>IF($A20="",0,IF(Mitarbeiter!$G$18=FALSE,0,IF(AND(Mitarbeiter!$E$18&lt;&gt;"",GH$5+6&lt;Mitarbeiter!$E$18),0,IF(AND(Mitarbeiter!$F$18&lt;&gt;"",GH$5&gt;Mitarbeiter!$F$18),0,IF(Planung!GH20="",$C20,IF(ISNUMBER(Planung!GH20),Planung!GH20,IF(UPPER(Planung!GH20)="H",$C20/2,0)))))))</f>
        <v>0</v>
      </c>
      <c r="GI20" s="27">
        <f>IF($A20="",0,IF(Mitarbeiter!$G$18=FALSE,0,IF(AND(Mitarbeiter!$E$18&lt;&gt;"",GI$5+6&lt;Mitarbeiter!$E$18),0,IF(AND(Mitarbeiter!$F$18&lt;&gt;"",GI$5&gt;Mitarbeiter!$F$18),0,IF(Planung!GI20="",$C20,IF(ISNUMBER(Planung!GI20),Planung!GI20,IF(UPPER(Planung!GI20)="H",$C20/2,0)))))))</f>
        <v>0</v>
      </c>
      <c r="GJ20" s="27">
        <f>IF($A20="",0,IF(Mitarbeiter!$G$18=FALSE,0,IF(AND(Mitarbeiter!$E$18&lt;&gt;"",GJ$5+6&lt;Mitarbeiter!$E$18),0,IF(AND(Mitarbeiter!$F$18&lt;&gt;"",GJ$5&gt;Mitarbeiter!$F$18),0,IF(Planung!GJ20="",$C20,IF(ISNUMBER(Planung!GJ20),Planung!GJ20,IF(UPPER(Planung!GJ20)="H",$C20/2,0)))))))</f>
        <v>0</v>
      </c>
      <c r="GK20" s="27">
        <f>IF($A20="",0,IF(Mitarbeiter!$G$18=FALSE,0,IF(AND(Mitarbeiter!$E$18&lt;&gt;"",GK$5+6&lt;Mitarbeiter!$E$18),0,IF(AND(Mitarbeiter!$F$18&lt;&gt;"",GK$5&gt;Mitarbeiter!$F$18),0,IF(Planung!GK20="",$C20,IF(ISNUMBER(Planung!GK20),Planung!GK20,IF(UPPER(Planung!GK20)="H",$C20/2,0)))))))</f>
        <v>0</v>
      </c>
      <c r="GL20" s="27">
        <f>IF($A20="",0,IF(Mitarbeiter!$G$18=FALSE,0,IF(AND(Mitarbeiter!$E$18&lt;&gt;"",GL$5+6&lt;Mitarbeiter!$E$18),0,IF(AND(Mitarbeiter!$F$18&lt;&gt;"",GL$5&gt;Mitarbeiter!$F$18),0,IF(Planung!GL20="",$C20,IF(ISNUMBER(Planung!GL20),Planung!GL20,IF(UPPER(Planung!GL20)="H",$C20/2,0)))))))</f>
        <v>0</v>
      </c>
      <c r="GM20" s="27">
        <f>IF($A20="",0,IF(Mitarbeiter!$G$18=FALSE,0,IF(AND(Mitarbeiter!$E$18&lt;&gt;"",GM$5+6&lt;Mitarbeiter!$E$18),0,IF(AND(Mitarbeiter!$F$18&lt;&gt;"",GM$5&gt;Mitarbeiter!$F$18),0,IF(Planung!GM20="",$C20,IF(ISNUMBER(Planung!GM20),Planung!GM20,IF(UPPER(Planung!GM20)="H",$C20/2,0)))))))</f>
        <v>0</v>
      </c>
      <c r="GN20" s="27">
        <f>IF($A20="",0,IF(Mitarbeiter!$G$18=FALSE,0,IF(AND(Mitarbeiter!$E$18&lt;&gt;"",GN$5+6&lt;Mitarbeiter!$E$18),0,IF(AND(Mitarbeiter!$F$18&lt;&gt;"",GN$5&gt;Mitarbeiter!$F$18),0,IF(Planung!GN20="",$C20,IF(ISNUMBER(Planung!GN20),Planung!GN20,IF(UPPER(Planung!GN20)="H",$C20/2,0)))))))</f>
        <v>0</v>
      </c>
      <c r="GO20" s="27">
        <f>IF($A20="",0,IF(Mitarbeiter!$G$18=FALSE,0,IF(AND(Mitarbeiter!$E$18&lt;&gt;"",GO$5+6&lt;Mitarbeiter!$E$18),0,IF(AND(Mitarbeiter!$F$18&lt;&gt;"",GO$5&gt;Mitarbeiter!$F$18),0,IF(Planung!GO20="",$C20,IF(ISNUMBER(Planung!GO20),Planung!GO20,IF(UPPER(Planung!GO20)="H",$C20/2,0)))))))</f>
        <v>0</v>
      </c>
      <c r="GP20" s="27">
        <f>IF($A20="",0,IF(Mitarbeiter!$G$18=FALSE,0,IF(AND(Mitarbeiter!$E$18&lt;&gt;"",GP$5+6&lt;Mitarbeiter!$E$18),0,IF(AND(Mitarbeiter!$F$18&lt;&gt;"",GP$5&gt;Mitarbeiter!$F$18),0,IF(Planung!GP20="",$C20,IF(ISNUMBER(Planung!GP20),Planung!GP20,IF(UPPER(Planung!GP20)="H",$C20/2,0)))))))</f>
        <v>0</v>
      </c>
      <c r="GQ20" s="27">
        <f>IF($A20="",0,IF(Mitarbeiter!$G$18=FALSE,0,IF(AND(Mitarbeiter!$E$18&lt;&gt;"",GQ$5+6&lt;Mitarbeiter!$E$18),0,IF(AND(Mitarbeiter!$F$18&lt;&gt;"",GQ$5&gt;Mitarbeiter!$F$18),0,IF(Planung!GQ20="",$C20,IF(ISNUMBER(Planung!GQ20),Planung!GQ20,IF(UPPER(Planung!GQ20)="H",$C20/2,0)))))))</f>
        <v>0</v>
      </c>
      <c r="GR20" s="27">
        <f>IF($A20="",0,IF(Mitarbeiter!$G$18=FALSE,0,IF(AND(Mitarbeiter!$E$18&lt;&gt;"",GR$5+6&lt;Mitarbeiter!$E$18),0,IF(AND(Mitarbeiter!$F$18&lt;&gt;"",GR$5&gt;Mitarbeiter!$F$18),0,IF(Planung!GR20="",$C20,IF(ISNUMBER(Planung!GR20),Planung!GR20,IF(UPPER(Planung!GR20)="H",$C20/2,0)))))))</f>
        <v>0</v>
      </c>
      <c r="GS20" s="27">
        <f>IF($A20="",0,IF(Mitarbeiter!$G$18=FALSE,0,IF(AND(Mitarbeiter!$E$18&lt;&gt;"",GS$5+6&lt;Mitarbeiter!$E$18),0,IF(AND(Mitarbeiter!$F$18&lt;&gt;"",GS$5&gt;Mitarbeiter!$F$18),0,IF(Planung!GS20="",$C20,IF(ISNUMBER(Planung!GS20),Planung!GS20,IF(UPPER(Planung!GS20)="H",$C20/2,0)))))))</f>
        <v>0</v>
      </c>
      <c r="GT20" s="27">
        <f>IF($A20="",0,IF(Mitarbeiter!$G$18=FALSE,0,IF(AND(Mitarbeiter!$E$18&lt;&gt;"",GT$5+6&lt;Mitarbeiter!$E$18),0,IF(AND(Mitarbeiter!$F$18&lt;&gt;"",GT$5&gt;Mitarbeiter!$F$18),0,IF(Planung!GT20="",$C20,IF(ISNUMBER(Planung!GT20),Planung!GT20,IF(UPPER(Planung!GT20)="H",$C20/2,0)))))))</f>
        <v>0</v>
      </c>
      <c r="GU20" s="27">
        <f>IF($A20="",0,IF(Mitarbeiter!$G$18=FALSE,0,IF(AND(Mitarbeiter!$E$18&lt;&gt;"",GU$5+6&lt;Mitarbeiter!$E$18),0,IF(AND(Mitarbeiter!$F$18&lt;&gt;"",GU$5&gt;Mitarbeiter!$F$18),0,IF(Planung!GU20="",$C20,IF(ISNUMBER(Planung!GU20),Planung!GU20,IF(UPPER(Planung!GU20)="H",$C20/2,0)))))))</f>
        <v>0</v>
      </c>
      <c r="GV20" s="27">
        <f>IF($A20="",0,IF(Mitarbeiter!$G$18=FALSE,0,IF(AND(Mitarbeiter!$E$18&lt;&gt;"",GV$5+6&lt;Mitarbeiter!$E$18),0,IF(AND(Mitarbeiter!$F$18&lt;&gt;"",GV$5&gt;Mitarbeiter!$F$18),0,IF(Planung!GV20="",$C20,IF(ISNUMBER(Planung!GV20),Planung!GV20,IF(UPPER(Planung!GV20)="H",$C20/2,0)))))))</f>
        <v>0</v>
      </c>
      <c r="GW20" s="27">
        <f>IF($A20="",0,IF(Mitarbeiter!$G$18=FALSE,0,IF(AND(Mitarbeiter!$E$18&lt;&gt;"",GW$5+6&lt;Mitarbeiter!$E$18),0,IF(AND(Mitarbeiter!$F$18&lt;&gt;"",GW$5&gt;Mitarbeiter!$F$18),0,IF(Planung!GW20="",$C20,IF(ISNUMBER(Planung!GW20),Planung!GW20,IF(UPPER(Planung!GW20)="H",$C20/2,0)))))))</f>
        <v>0</v>
      </c>
      <c r="GX20" s="27">
        <f>IF($A20="",0,IF(Mitarbeiter!$G$18=FALSE,0,IF(AND(Mitarbeiter!$E$18&lt;&gt;"",GX$5+6&lt;Mitarbeiter!$E$18),0,IF(AND(Mitarbeiter!$F$18&lt;&gt;"",GX$5&gt;Mitarbeiter!$F$18),0,IF(Planung!GX20="",$C20,IF(ISNUMBER(Planung!GX20),Planung!GX20,IF(UPPER(Planung!GX20)="H",$C20/2,0)))))))</f>
        <v>0</v>
      </c>
      <c r="GY20" s="27">
        <f>IF($A20="",0,IF(Mitarbeiter!$G$18=FALSE,0,IF(AND(Mitarbeiter!$E$18&lt;&gt;"",GY$5+6&lt;Mitarbeiter!$E$18),0,IF(AND(Mitarbeiter!$F$18&lt;&gt;"",GY$5&gt;Mitarbeiter!$F$18),0,IF(Planung!GY20="",$C20,IF(ISNUMBER(Planung!GY20),Planung!GY20,IF(UPPER(Planung!GY20)="H",$C20/2,0)))))))</f>
        <v>0</v>
      </c>
      <c r="GZ20" s="27">
        <f>IF($A20="",0,IF(Mitarbeiter!$G$18=FALSE,0,IF(AND(Mitarbeiter!$E$18&lt;&gt;"",GZ$5+6&lt;Mitarbeiter!$E$18),0,IF(AND(Mitarbeiter!$F$18&lt;&gt;"",GZ$5&gt;Mitarbeiter!$F$18),0,IF(Planung!GZ20="",$C20,IF(ISNUMBER(Planung!GZ20),Planung!GZ20,IF(UPPER(Planung!GZ20)="H",$C20/2,0)))))))</f>
        <v>0</v>
      </c>
      <c r="HA20" s="27">
        <f>IF($A20="",0,IF(Mitarbeiter!$G$18=FALSE,0,IF(AND(Mitarbeiter!$E$18&lt;&gt;"",HA$5+6&lt;Mitarbeiter!$E$18),0,IF(AND(Mitarbeiter!$F$18&lt;&gt;"",HA$5&gt;Mitarbeiter!$F$18),0,IF(Planung!HA20="",$C20,IF(ISNUMBER(Planung!HA20),Planung!HA20,IF(UPPER(Planung!HA20)="H",$C20/2,0)))))))</f>
        <v>0</v>
      </c>
      <c r="HB20" s="27">
        <f>IF($A20="",0,IF(Mitarbeiter!$G$18=FALSE,0,IF(AND(Mitarbeiter!$E$18&lt;&gt;"",HB$5+6&lt;Mitarbeiter!$E$18),0,IF(AND(Mitarbeiter!$F$18&lt;&gt;"",HB$5&gt;Mitarbeiter!$F$18),0,IF(Planung!HB20="",$C20,IF(ISNUMBER(Planung!HB20),Planung!HB20,IF(UPPER(Planung!HB20)="H",$C20/2,0)))))))</f>
        <v>0</v>
      </c>
      <c r="HC20" s="27">
        <f>IF($A20="",0,IF(Mitarbeiter!$G$18=FALSE,0,IF(AND(Mitarbeiter!$E$18&lt;&gt;"",HC$5+6&lt;Mitarbeiter!$E$18),0,IF(AND(Mitarbeiter!$F$18&lt;&gt;"",HC$5&gt;Mitarbeiter!$F$18),0,IF(Planung!HC20="",$C20,IF(ISNUMBER(Planung!HC20),Planung!HC20,IF(UPPER(Planung!HC20)="H",$C20/2,0)))))))</f>
        <v>0</v>
      </c>
      <c r="HD20" s="27">
        <f>IF($A20="",0,IF(Mitarbeiter!$G$18=FALSE,0,IF(AND(Mitarbeiter!$E$18&lt;&gt;"",HD$5+6&lt;Mitarbeiter!$E$18),0,IF(AND(Mitarbeiter!$F$18&lt;&gt;"",HD$5&gt;Mitarbeiter!$F$18),0,IF(Planung!HD20="",$C20,IF(ISNUMBER(Planung!HD20),Planung!HD20,IF(UPPER(Planung!HD20)="H",$C20/2,0)))))))</f>
        <v>0</v>
      </c>
      <c r="HE20" s="27">
        <f>IF($A20="",0,IF(Mitarbeiter!$G$18=FALSE,0,IF(AND(Mitarbeiter!$E$18&lt;&gt;"",HE$5+6&lt;Mitarbeiter!$E$18),0,IF(AND(Mitarbeiter!$F$18&lt;&gt;"",HE$5&gt;Mitarbeiter!$F$18),0,IF(Planung!HE20="",$C20,IF(ISNUMBER(Planung!HE20),Planung!HE20,IF(UPPER(Planung!HE20)="H",$C20/2,0)))))))</f>
        <v>0</v>
      </c>
      <c r="HF20" s="27">
        <f>IF($A20="",0,IF(Mitarbeiter!$G$18=FALSE,0,IF(AND(Mitarbeiter!$E$18&lt;&gt;"",HF$5+6&lt;Mitarbeiter!$E$18),0,IF(AND(Mitarbeiter!$F$18&lt;&gt;"",HF$5&gt;Mitarbeiter!$F$18),0,IF(Planung!HF20="",$C20,IF(ISNUMBER(Planung!HF20),Planung!HF20,IF(UPPER(Planung!HF20)="H",$C20/2,0)))))))</f>
        <v>0</v>
      </c>
      <c r="HG20" s="27">
        <f>IF($A20="",0,IF(Mitarbeiter!$G$18=FALSE,0,IF(AND(Mitarbeiter!$E$18&lt;&gt;"",HG$5+6&lt;Mitarbeiter!$E$18),0,IF(AND(Mitarbeiter!$F$18&lt;&gt;"",HG$5&gt;Mitarbeiter!$F$18),0,IF(Planung!HG20="",$C20,IF(ISNUMBER(Planung!HG20),Planung!HG20,IF(UPPER(Planung!HG20)="H",$C20/2,0)))))))</f>
        <v>0</v>
      </c>
      <c r="HH20" s="27">
        <f>IF($A20="",0,IF(Mitarbeiter!$G$18=FALSE,0,IF(AND(Mitarbeiter!$E$18&lt;&gt;"",HH$5+6&lt;Mitarbeiter!$E$18),0,IF(AND(Mitarbeiter!$F$18&lt;&gt;"",HH$5&gt;Mitarbeiter!$F$18),0,IF(Planung!HH20="",$C20,IF(ISNUMBER(Planung!HH20),Planung!HH20,IF(UPPER(Planung!HH20)="H",$C20/2,0)))))))</f>
        <v>0</v>
      </c>
      <c r="HI20" s="27">
        <f>IF($A20="",0,IF(Mitarbeiter!$G$18=FALSE,0,IF(AND(Mitarbeiter!$E$18&lt;&gt;"",HI$5+6&lt;Mitarbeiter!$E$18),0,IF(AND(Mitarbeiter!$F$18&lt;&gt;"",HI$5&gt;Mitarbeiter!$F$18),0,IF(Planung!HI20="",$C20,IF(ISNUMBER(Planung!HI20),Planung!HI20,IF(UPPER(Planung!HI20)="H",$C20/2,0)))))))</f>
        <v>0</v>
      </c>
      <c r="HJ20" s="27">
        <f>IF($A20="",0,IF(Mitarbeiter!$G$18=FALSE,0,IF(AND(Mitarbeiter!$E$18&lt;&gt;"",HJ$5+6&lt;Mitarbeiter!$E$18),0,IF(AND(Mitarbeiter!$F$18&lt;&gt;"",HJ$5&gt;Mitarbeiter!$F$18),0,IF(Planung!HJ20="",$C20,IF(ISNUMBER(Planung!HJ20),Planung!HJ20,IF(UPPER(Planung!HJ20)="H",$C20/2,0)))))))</f>
        <v>0</v>
      </c>
      <c r="HK20" s="27">
        <f>IF($A20="",0,IF(Mitarbeiter!$G$18=FALSE,0,IF(AND(Mitarbeiter!$E$18&lt;&gt;"",HK$5+6&lt;Mitarbeiter!$E$18),0,IF(AND(Mitarbeiter!$F$18&lt;&gt;"",HK$5&gt;Mitarbeiter!$F$18),0,IF(Planung!HK20="",$C20,IF(ISNUMBER(Planung!HK20),Planung!HK20,IF(UPPER(Planung!HK20)="H",$C20/2,0)))))))</f>
        <v>0</v>
      </c>
      <c r="HL20" s="27">
        <f>IF($A20="",0,IF(Mitarbeiter!$G$18=FALSE,0,IF(AND(Mitarbeiter!$E$18&lt;&gt;"",HL$5+6&lt;Mitarbeiter!$E$18),0,IF(AND(Mitarbeiter!$F$18&lt;&gt;"",HL$5&gt;Mitarbeiter!$F$18),0,IF(Planung!HL20="",$C20,IF(ISNUMBER(Planung!HL20),Planung!HL20,IF(UPPER(Planung!HL20)="H",$C20/2,0)))))))</f>
        <v>0</v>
      </c>
      <c r="HM20" s="27">
        <f>IF($A20="",0,IF(Mitarbeiter!$G$18=FALSE,0,IF(AND(Mitarbeiter!$E$18&lt;&gt;"",HM$5+6&lt;Mitarbeiter!$E$18),0,IF(AND(Mitarbeiter!$F$18&lt;&gt;"",HM$5&gt;Mitarbeiter!$F$18),0,IF(Planung!HM20="",$C20,IF(ISNUMBER(Planung!HM20),Planung!HM20,IF(UPPER(Planung!HM20)="H",$C20/2,0)))))))</f>
        <v>0</v>
      </c>
      <c r="HN20" s="27">
        <f>IF($A20="",0,IF(Mitarbeiter!$G$18=FALSE,0,IF(AND(Mitarbeiter!$E$18&lt;&gt;"",HN$5+6&lt;Mitarbeiter!$E$18),0,IF(AND(Mitarbeiter!$F$18&lt;&gt;"",HN$5&gt;Mitarbeiter!$F$18),0,IF(Planung!HN20="",$C20,IF(ISNUMBER(Planung!HN20),Planung!HN20,IF(UPPER(Planung!HN20)="H",$C20/2,0)))))))</f>
        <v>0</v>
      </c>
      <c r="HO20" s="27">
        <f>IF($A20="",0,IF(Mitarbeiter!$G$18=FALSE,0,IF(AND(Mitarbeiter!$E$18&lt;&gt;"",HO$5+6&lt;Mitarbeiter!$E$18),0,IF(AND(Mitarbeiter!$F$18&lt;&gt;"",HO$5&gt;Mitarbeiter!$F$18),0,IF(Planung!HO20="",$C20,IF(ISNUMBER(Planung!HO20),Planung!HO20,IF(UPPER(Planung!HO20)="H",$C20/2,0)))))))</f>
        <v>0</v>
      </c>
      <c r="HP20" s="27">
        <f>IF($A20="",0,IF(Mitarbeiter!$G$18=FALSE,0,IF(AND(Mitarbeiter!$E$18&lt;&gt;"",HP$5+6&lt;Mitarbeiter!$E$18),0,IF(AND(Mitarbeiter!$F$18&lt;&gt;"",HP$5&gt;Mitarbeiter!$F$18),0,IF(Planung!HP20="",$C20,IF(ISNUMBER(Planung!HP20),Planung!HP20,IF(UPPER(Planung!HP20)="H",$C20/2,0)))))))</f>
        <v>0</v>
      </c>
      <c r="HQ20" s="27">
        <f>IF($A20="",0,IF(Mitarbeiter!$G$18=FALSE,0,IF(AND(Mitarbeiter!$E$18&lt;&gt;"",HQ$5+6&lt;Mitarbeiter!$E$18),0,IF(AND(Mitarbeiter!$F$18&lt;&gt;"",HQ$5&gt;Mitarbeiter!$F$18),0,IF(Planung!HQ20="",$C20,IF(ISNUMBER(Planung!HQ20),Planung!HQ20,IF(UPPER(Planung!HQ20)="H",$C20/2,0)))))))</f>
        <v>0</v>
      </c>
      <c r="HR20" s="27">
        <f>IF($A20="",0,IF(Mitarbeiter!$G$18=FALSE,0,IF(AND(Mitarbeiter!$E$18&lt;&gt;"",HR$5+6&lt;Mitarbeiter!$E$18),0,IF(AND(Mitarbeiter!$F$18&lt;&gt;"",HR$5&gt;Mitarbeiter!$F$18),0,IF(Planung!HR20="",$C20,IF(ISNUMBER(Planung!HR20),Planung!HR20,IF(UPPER(Planung!HR20)="H",$C20/2,0)))))))</f>
        <v>0</v>
      </c>
      <c r="HS20" s="27">
        <f>IF($A20="",0,IF(Mitarbeiter!$G$18=FALSE,0,IF(AND(Mitarbeiter!$E$18&lt;&gt;"",HS$5+6&lt;Mitarbeiter!$E$18),0,IF(AND(Mitarbeiter!$F$18&lt;&gt;"",HS$5&gt;Mitarbeiter!$F$18),0,IF(Planung!HS20="",$C20,IF(ISNUMBER(Planung!HS20),Planung!HS20,IF(UPPER(Planung!HS20)="H",$C20/2,0)))))))</f>
        <v>0</v>
      </c>
      <c r="HT20" s="27">
        <f>IF($A20="",0,IF(Mitarbeiter!$G$18=FALSE,0,IF(AND(Mitarbeiter!$E$18&lt;&gt;"",HT$5+6&lt;Mitarbeiter!$E$18),0,IF(AND(Mitarbeiter!$F$18&lt;&gt;"",HT$5&gt;Mitarbeiter!$F$18),0,IF(Planung!HT20="",$C20,IF(ISNUMBER(Planung!HT20),Planung!HT20,IF(UPPER(Planung!HT20)="H",$C20/2,0)))))))</f>
        <v>0</v>
      </c>
      <c r="HU20" s="27">
        <f>IF($A20="",0,IF(Mitarbeiter!$G$18=FALSE,0,IF(AND(Mitarbeiter!$E$18&lt;&gt;"",HU$5+6&lt;Mitarbeiter!$E$18),0,IF(AND(Mitarbeiter!$F$18&lt;&gt;"",HU$5&gt;Mitarbeiter!$F$18),0,IF(Planung!HU20="",$C20,IF(ISNUMBER(Planung!HU20),Planung!HU20,IF(UPPER(Planung!HU20)="H",$C20/2,0)))))))</f>
        <v>0</v>
      </c>
      <c r="HV20" s="27">
        <f>IF($A20="",0,IF(Mitarbeiter!$G$18=FALSE,0,IF(AND(Mitarbeiter!$E$18&lt;&gt;"",HV$5+6&lt;Mitarbeiter!$E$18),0,IF(AND(Mitarbeiter!$F$18&lt;&gt;"",HV$5&gt;Mitarbeiter!$F$18),0,IF(Planung!HV20="",$C20,IF(ISNUMBER(Planung!HV20),Planung!HV20,IF(UPPER(Planung!HV20)="H",$C20/2,0)))))))</f>
        <v>0</v>
      </c>
      <c r="HW20" s="27">
        <f>IF($A20="",0,IF(Mitarbeiter!$G$18=FALSE,0,IF(AND(Mitarbeiter!$E$18&lt;&gt;"",HW$5+6&lt;Mitarbeiter!$E$18),0,IF(AND(Mitarbeiter!$F$18&lt;&gt;"",HW$5&gt;Mitarbeiter!$F$18),0,IF(Planung!HW20="",$C20,IF(ISNUMBER(Planung!HW20),Planung!HW20,IF(UPPER(Planung!HW20)="H",$C20/2,0)))))))</f>
        <v>0</v>
      </c>
      <c r="HX20" s="27">
        <f>IF($A20="",0,IF(Mitarbeiter!$G$18=FALSE,0,IF(AND(Mitarbeiter!$E$18&lt;&gt;"",HX$5+6&lt;Mitarbeiter!$E$18),0,IF(AND(Mitarbeiter!$F$18&lt;&gt;"",HX$5&gt;Mitarbeiter!$F$18),0,IF(Planung!HX20="",$C20,IF(ISNUMBER(Planung!HX20),Planung!HX20,IF(UPPER(Planung!HX20)="H",$C20/2,0)))))))</f>
        <v>0</v>
      </c>
      <c r="HY20" s="27">
        <f>IF($A20="",0,IF(Mitarbeiter!$G$18=FALSE,0,IF(AND(Mitarbeiter!$E$18&lt;&gt;"",HY$5+6&lt;Mitarbeiter!$E$18),0,IF(AND(Mitarbeiter!$F$18&lt;&gt;"",HY$5&gt;Mitarbeiter!$F$18),0,IF(Planung!HY20="",$C20,IF(ISNUMBER(Planung!HY20),Planung!HY20,IF(UPPER(Planung!HY20)="H",$C20/2,0)))))))</f>
        <v>0</v>
      </c>
      <c r="HZ20" s="27">
        <f>IF($A20="",0,IF(Mitarbeiter!$G$18=FALSE,0,IF(AND(Mitarbeiter!$E$18&lt;&gt;"",HZ$5+6&lt;Mitarbeiter!$E$18),0,IF(AND(Mitarbeiter!$F$18&lt;&gt;"",HZ$5&gt;Mitarbeiter!$F$18),0,IF(Planung!HZ20="",$C20,IF(ISNUMBER(Planung!HZ20),Planung!HZ20,IF(UPPER(Planung!HZ20)="H",$C20/2,0)))))))</f>
        <v>0</v>
      </c>
      <c r="IA20" s="27">
        <f>IF($A20="",0,IF(Mitarbeiter!$G$18=FALSE,0,IF(AND(Mitarbeiter!$E$18&lt;&gt;"",IA$5+6&lt;Mitarbeiter!$E$18),0,IF(AND(Mitarbeiter!$F$18&lt;&gt;"",IA$5&gt;Mitarbeiter!$F$18),0,IF(Planung!IA20="",$C20,IF(ISNUMBER(Planung!IA20),Planung!IA20,IF(UPPER(Planung!IA20)="H",$C20/2,0)))))))</f>
        <v>0</v>
      </c>
    </row>
    <row r="21" spans="1:235" x14ac:dyDescent="0.25">
      <c r="A21" s="7" t="str">
        <f>Planung!A21</f>
        <v/>
      </c>
      <c r="B21" s="7" t="str">
        <f>Planung!B21</f>
        <v/>
      </c>
      <c r="C21" s="27">
        <f>N(Mitarbeiter!$D$19)</f>
        <v>0</v>
      </c>
      <c r="D21" s="27">
        <f>IF($A21="",0,IF(Mitarbeiter!$G$19=FALSE,0,IF(AND(Mitarbeiter!$E$19&lt;&gt;"",D$5+6&lt;Mitarbeiter!$E$19),0,IF(AND(Mitarbeiter!$F$19&lt;&gt;"",D$5&gt;Mitarbeiter!$F$19),0,IF(Planung!D21="",$C21,IF(ISNUMBER(Planung!D21),Planung!D21,IF(UPPER(Planung!D21)="H",$C21/2,0)))))))</f>
        <v>0</v>
      </c>
      <c r="E21" s="27">
        <f>IF($A21="",0,IF(Mitarbeiter!$G$19=FALSE,0,IF(AND(Mitarbeiter!$E$19&lt;&gt;"",E$5+6&lt;Mitarbeiter!$E$19),0,IF(AND(Mitarbeiter!$F$19&lt;&gt;"",E$5&gt;Mitarbeiter!$F$19),0,IF(Planung!E21="",$C21,IF(ISNUMBER(Planung!E21),Planung!E21,IF(UPPER(Planung!E21)="H",$C21/2,0)))))))</f>
        <v>0</v>
      </c>
      <c r="F21" s="27">
        <f>IF($A21="",0,IF(Mitarbeiter!$G$19=FALSE,0,IF(AND(Mitarbeiter!$E$19&lt;&gt;"",F$5+6&lt;Mitarbeiter!$E$19),0,IF(AND(Mitarbeiter!$F$19&lt;&gt;"",F$5&gt;Mitarbeiter!$F$19),0,IF(Planung!F21="",$C21,IF(ISNUMBER(Planung!F21),Planung!F21,IF(UPPER(Planung!F21)="H",$C21/2,0)))))))</f>
        <v>0</v>
      </c>
      <c r="G21" s="27">
        <f>IF($A21="",0,IF(Mitarbeiter!$G$19=FALSE,0,IF(AND(Mitarbeiter!$E$19&lt;&gt;"",G$5+6&lt;Mitarbeiter!$E$19),0,IF(AND(Mitarbeiter!$F$19&lt;&gt;"",G$5&gt;Mitarbeiter!$F$19),0,IF(Planung!G21="",$C21,IF(ISNUMBER(Planung!G21),Planung!G21,IF(UPPER(Planung!G21)="H",$C21/2,0)))))))</f>
        <v>0</v>
      </c>
      <c r="H21" s="27">
        <f>IF($A21="",0,IF(Mitarbeiter!$G$19=FALSE,0,IF(AND(Mitarbeiter!$E$19&lt;&gt;"",H$5+6&lt;Mitarbeiter!$E$19),0,IF(AND(Mitarbeiter!$F$19&lt;&gt;"",H$5&gt;Mitarbeiter!$F$19),0,IF(Planung!H21="",$C21,IF(ISNUMBER(Planung!H21),Planung!H21,IF(UPPER(Planung!H21)="H",$C21/2,0)))))))</f>
        <v>0</v>
      </c>
      <c r="I21" s="27">
        <f>IF($A21="",0,IF(Mitarbeiter!$G$19=FALSE,0,IF(AND(Mitarbeiter!$E$19&lt;&gt;"",I$5+6&lt;Mitarbeiter!$E$19),0,IF(AND(Mitarbeiter!$F$19&lt;&gt;"",I$5&gt;Mitarbeiter!$F$19),0,IF(Planung!I21="",$C21,IF(ISNUMBER(Planung!I21),Planung!I21,IF(UPPER(Planung!I21)="H",$C21/2,0)))))))</f>
        <v>0</v>
      </c>
      <c r="J21" s="27">
        <f>IF($A21="",0,IF(Mitarbeiter!$G$19=FALSE,0,IF(AND(Mitarbeiter!$E$19&lt;&gt;"",J$5+6&lt;Mitarbeiter!$E$19),0,IF(AND(Mitarbeiter!$F$19&lt;&gt;"",J$5&gt;Mitarbeiter!$F$19),0,IF(Planung!J21="",$C21,IF(ISNUMBER(Planung!J21),Planung!J21,IF(UPPER(Planung!J21)="H",$C21/2,0)))))))</f>
        <v>0</v>
      </c>
      <c r="K21" s="27">
        <f>IF($A21="",0,IF(Mitarbeiter!$G$19=FALSE,0,IF(AND(Mitarbeiter!$E$19&lt;&gt;"",K$5+6&lt;Mitarbeiter!$E$19),0,IF(AND(Mitarbeiter!$F$19&lt;&gt;"",K$5&gt;Mitarbeiter!$F$19),0,IF(Planung!K21="",$C21,IF(ISNUMBER(Planung!K21),Planung!K21,IF(UPPER(Planung!K21)="H",$C21/2,0)))))))</f>
        <v>0</v>
      </c>
      <c r="L21" s="27">
        <f>IF($A21="",0,IF(Mitarbeiter!$G$19=FALSE,0,IF(AND(Mitarbeiter!$E$19&lt;&gt;"",L$5+6&lt;Mitarbeiter!$E$19),0,IF(AND(Mitarbeiter!$F$19&lt;&gt;"",L$5&gt;Mitarbeiter!$F$19),0,IF(Planung!L21="",$C21,IF(ISNUMBER(Planung!L21),Planung!L21,IF(UPPER(Planung!L21)="H",$C21/2,0)))))))</f>
        <v>0</v>
      </c>
      <c r="M21" s="27">
        <f>IF($A21="",0,IF(Mitarbeiter!$G$19=FALSE,0,IF(AND(Mitarbeiter!$E$19&lt;&gt;"",M$5+6&lt;Mitarbeiter!$E$19),0,IF(AND(Mitarbeiter!$F$19&lt;&gt;"",M$5&gt;Mitarbeiter!$F$19),0,IF(Planung!M21="",$C21,IF(ISNUMBER(Planung!M21),Planung!M21,IF(UPPER(Planung!M21)="H",$C21/2,0)))))))</f>
        <v>0</v>
      </c>
      <c r="N21" s="27">
        <f>IF($A21="",0,IF(Mitarbeiter!$G$19=FALSE,0,IF(AND(Mitarbeiter!$E$19&lt;&gt;"",N$5+6&lt;Mitarbeiter!$E$19),0,IF(AND(Mitarbeiter!$F$19&lt;&gt;"",N$5&gt;Mitarbeiter!$F$19),0,IF(Planung!N21="",$C21,IF(ISNUMBER(Planung!N21),Planung!N21,IF(UPPER(Planung!N21)="H",$C21/2,0)))))))</f>
        <v>0</v>
      </c>
      <c r="O21" s="27">
        <f>IF($A21="",0,IF(Mitarbeiter!$G$19=FALSE,0,IF(AND(Mitarbeiter!$E$19&lt;&gt;"",O$5+6&lt;Mitarbeiter!$E$19),0,IF(AND(Mitarbeiter!$F$19&lt;&gt;"",O$5&gt;Mitarbeiter!$F$19),0,IF(Planung!O21="",$C21,IF(ISNUMBER(Planung!O21),Planung!O21,IF(UPPER(Planung!O21)="H",$C21/2,0)))))))</f>
        <v>0</v>
      </c>
      <c r="P21" s="27">
        <f>IF($A21="",0,IF(Mitarbeiter!$G$19=FALSE,0,IF(AND(Mitarbeiter!$E$19&lt;&gt;"",P$5+6&lt;Mitarbeiter!$E$19),0,IF(AND(Mitarbeiter!$F$19&lt;&gt;"",P$5&gt;Mitarbeiter!$F$19),0,IF(Planung!P21="",$C21,IF(ISNUMBER(Planung!P21),Planung!P21,IF(UPPER(Planung!P21)="H",$C21/2,0)))))))</f>
        <v>0</v>
      </c>
      <c r="Q21" s="27">
        <f>IF($A21="",0,IF(Mitarbeiter!$G$19=FALSE,0,IF(AND(Mitarbeiter!$E$19&lt;&gt;"",Q$5+6&lt;Mitarbeiter!$E$19),0,IF(AND(Mitarbeiter!$F$19&lt;&gt;"",Q$5&gt;Mitarbeiter!$F$19),0,IF(Planung!Q21="",$C21,IF(ISNUMBER(Planung!Q21),Planung!Q21,IF(UPPER(Planung!Q21)="H",$C21/2,0)))))))</f>
        <v>0</v>
      </c>
      <c r="R21" s="27">
        <f>IF($A21="",0,IF(Mitarbeiter!$G$19=FALSE,0,IF(AND(Mitarbeiter!$E$19&lt;&gt;"",R$5+6&lt;Mitarbeiter!$E$19),0,IF(AND(Mitarbeiter!$F$19&lt;&gt;"",R$5&gt;Mitarbeiter!$F$19),0,IF(Planung!R21="",$C21,IF(ISNUMBER(Planung!R21),Planung!R21,IF(UPPER(Planung!R21)="H",$C21/2,0)))))))</f>
        <v>0</v>
      </c>
      <c r="S21" s="27">
        <f>IF($A21="",0,IF(Mitarbeiter!$G$19=FALSE,0,IF(AND(Mitarbeiter!$E$19&lt;&gt;"",S$5+6&lt;Mitarbeiter!$E$19),0,IF(AND(Mitarbeiter!$F$19&lt;&gt;"",S$5&gt;Mitarbeiter!$F$19),0,IF(Planung!S21="",$C21,IF(ISNUMBER(Planung!S21),Planung!S21,IF(UPPER(Planung!S21)="H",$C21/2,0)))))))</f>
        <v>0</v>
      </c>
      <c r="T21" s="27">
        <f>IF($A21="",0,IF(Mitarbeiter!$G$19=FALSE,0,IF(AND(Mitarbeiter!$E$19&lt;&gt;"",T$5+6&lt;Mitarbeiter!$E$19),0,IF(AND(Mitarbeiter!$F$19&lt;&gt;"",T$5&gt;Mitarbeiter!$F$19),0,IF(Planung!T21="",$C21,IF(ISNUMBER(Planung!T21),Planung!T21,IF(UPPER(Planung!T21)="H",$C21/2,0)))))))</f>
        <v>0</v>
      </c>
      <c r="U21" s="27">
        <f>IF($A21="",0,IF(Mitarbeiter!$G$19=FALSE,0,IF(AND(Mitarbeiter!$E$19&lt;&gt;"",U$5+6&lt;Mitarbeiter!$E$19),0,IF(AND(Mitarbeiter!$F$19&lt;&gt;"",U$5&gt;Mitarbeiter!$F$19),0,IF(Planung!U21="",$C21,IF(ISNUMBER(Planung!U21),Planung!U21,IF(UPPER(Planung!U21)="H",$C21/2,0)))))))</f>
        <v>0</v>
      </c>
      <c r="V21" s="27">
        <f>IF($A21="",0,IF(Mitarbeiter!$G$19=FALSE,0,IF(AND(Mitarbeiter!$E$19&lt;&gt;"",V$5+6&lt;Mitarbeiter!$E$19),0,IF(AND(Mitarbeiter!$F$19&lt;&gt;"",V$5&gt;Mitarbeiter!$F$19),0,IF(Planung!V21="",$C21,IF(ISNUMBER(Planung!V21),Planung!V21,IF(UPPER(Planung!V21)="H",$C21/2,0)))))))</f>
        <v>0</v>
      </c>
      <c r="W21" s="27">
        <f>IF($A21="",0,IF(Mitarbeiter!$G$19=FALSE,0,IF(AND(Mitarbeiter!$E$19&lt;&gt;"",W$5+6&lt;Mitarbeiter!$E$19),0,IF(AND(Mitarbeiter!$F$19&lt;&gt;"",W$5&gt;Mitarbeiter!$F$19),0,IF(Planung!W21="",$C21,IF(ISNUMBER(Planung!W21),Planung!W21,IF(UPPER(Planung!W21)="H",$C21/2,0)))))))</f>
        <v>0</v>
      </c>
      <c r="X21" s="27">
        <f>IF($A21="",0,IF(Mitarbeiter!$G$19=FALSE,0,IF(AND(Mitarbeiter!$E$19&lt;&gt;"",X$5+6&lt;Mitarbeiter!$E$19),0,IF(AND(Mitarbeiter!$F$19&lt;&gt;"",X$5&gt;Mitarbeiter!$F$19),0,IF(Planung!X21="",$C21,IF(ISNUMBER(Planung!X21),Planung!X21,IF(UPPER(Planung!X21)="H",$C21/2,0)))))))</f>
        <v>0</v>
      </c>
      <c r="Y21" s="27">
        <f>IF($A21="",0,IF(Mitarbeiter!$G$19=FALSE,0,IF(AND(Mitarbeiter!$E$19&lt;&gt;"",Y$5+6&lt;Mitarbeiter!$E$19),0,IF(AND(Mitarbeiter!$F$19&lt;&gt;"",Y$5&gt;Mitarbeiter!$F$19),0,IF(Planung!Y21="",$C21,IF(ISNUMBER(Planung!Y21),Planung!Y21,IF(UPPER(Planung!Y21)="H",$C21/2,0)))))))</f>
        <v>0</v>
      </c>
      <c r="Z21" s="27">
        <f>IF($A21="",0,IF(Mitarbeiter!$G$19=FALSE,0,IF(AND(Mitarbeiter!$E$19&lt;&gt;"",Z$5+6&lt;Mitarbeiter!$E$19),0,IF(AND(Mitarbeiter!$F$19&lt;&gt;"",Z$5&gt;Mitarbeiter!$F$19),0,IF(Planung!Z21="",$C21,IF(ISNUMBER(Planung!Z21),Planung!Z21,IF(UPPER(Planung!Z21)="H",$C21/2,0)))))))</f>
        <v>0</v>
      </c>
      <c r="AA21" s="27">
        <f>IF($A21="",0,IF(Mitarbeiter!$G$19=FALSE,0,IF(AND(Mitarbeiter!$E$19&lt;&gt;"",AA$5+6&lt;Mitarbeiter!$E$19),0,IF(AND(Mitarbeiter!$F$19&lt;&gt;"",AA$5&gt;Mitarbeiter!$F$19),0,IF(Planung!AA21="",$C21,IF(ISNUMBER(Planung!AA21),Planung!AA21,IF(UPPER(Planung!AA21)="H",$C21/2,0)))))))</f>
        <v>0</v>
      </c>
      <c r="AB21" s="27">
        <f>IF($A21="",0,IF(Mitarbeiter!$G$19=FALSE,0,IF(AND(Mitarbeiter!$E$19&lt;&gt;"",AB$5+6&lt;Mitarbeiter!$E$19),0,IF(AND(Mitarbeiter!$F$19&lt;&gt;"",AB$5&gt;Mitarbeiter!$F$19),0,IF(Planung!AB21="",$C21,IF(ISNUMBER(Planung!AB21),Planung!AB21,IF(UPPER(Planung!AB21)="H",$C21/2,0)))))))</f>
        <v>0</v>
      </c>
      <c r="AC21" s="27">
        <f>IF($A21="",0,IF(Mitarbeiter!$G$19=FALSE,0,IF(AND(Mitarbeiter!$E$19&lt;&gt;"",AC$5+6&lt;Mitarbeiter!$E$19),0,IF(AND(Mitarbeiter!$F$19&lt;&gt;"",AC$5&gt;Mitarbeiter!$F$19),0,IF(Planung!AC21="",$C21,IF(ISNUMBER(Planung!AC21),Planung!AC21,IF(UPPER(Planung!AC21)="H",$C21/2,0)))))))</f>
        <v>0</v>
      </c>
      <c r="AD21" s="27">
        <f>IF($A21="",0,IF(Mitarbeiter!$G$19=FALSE,0,IF(AND(Mitarbeiter!$E$19&lt;&gt;"",AD$5+6&lt;Mitarbeiter!$E$19),0,IF(AND(Mitarbeiter!$F$19&lt;&gt;"",AD$5&gt;Mitarbeiter!$F$19),0,IF(Planung!AD21="",$C21,IF(ISNUMBER(Planung!AD21),Planung!AD21,IF(UPPER(Planung!AD21)="H",$C21/2,0)))))))</f>
        <v>0</v>
      </c>
      <c r="AE21" s="27">
        <f>IF($A21="",0,IF(Mitarbeiter!$G$19=FALSE,0,IF(AND(Mitarbeiter!$E$19&lt;&gt;"",AE$5+6&lt;Mitarbeiter!$E$19),0,IF(AND(Mitarbeiter!$F$19&lt;&gt;"",AE$5&gt;Mitarbeiter!$F$19),0,IF(Planung!AE21="",$C21,IF(ISNUMBER(Planung!AE21),Planung!AE21,IF(UPPER(Planung!AE21)="H",$C21/2,0)))))))</f>
        <v>0</v>
      </c>
      <c r="AF21" s="27">
        <f>IF($A21="",0,IF(Mitarbeiter!$G$19=FALSE,0,IF(AND(Mitarbeiter!$E$19&lt;&gt;"",AF$5+6&lt;Mitarbeiter!$E$19),0,IF(AND(Mitarbeiter!$F$19&lt;&gt;"",AF$5&gt;Mitarbeiter!$F$19),0,IF(Planung!AF21="",$C21,IF(ISNUMBER(Planung!AF21),Planung!AF21,IF(UPPER(Planung!AF21)="H",$C21/2,0)))))))</f>
        <v>0</v>
      </c>
      <c r="AG21" s="27">
        <f>IF($A21="",0,IF(Mitarbeiter!$G$19=FALSE,0,IF(AND(Mitarbeiter!$E$19&lt;&gt;"",AG$5+6&lt;Mitarbeiter!$E$19),0,IF(AND(Mitarbeiter!$F$19&lt;&gt;"",AG$5&gt;Mitarbeiter!$F$19),0,IF(Planung!AG21="",$C21,IF(ISNUMBER(Planung!AG21),Planung!AG21,IF(UPPER(Planung!AG21)="H",$C21/2,0)))))))</f>
        <v>0</v>
      </c>
      <c r="AH21" s="27">
        <f>IF($A21="",0,IF(Mitarbeiter!$G$19=FALSE,0,IF(AND(Mitarbeiter!$E$19&lt;&gt;"",AH$5+6&lt;Mitarbeiter!$E$19),0,IF(AND(Mitarbeiter!$F$19&lt;&gt;"",AH$5&gt;Mitarbeiter!$F$19),0,IF(Planung!AH21="",$C21,IF(ISNUMBER(Planung!AH21),Planung!AH21,IF(UPPER(Planung!AH21)="H",$C21/2,0)))))))</f>
        <v>0</v>
      </c>
      <c r="AI21" s="27">
        <f>IF($A21="",0,IF(Mitarbeiter!$G$19=FALSE,0,IF(AND(Mitarbeiter!$E$19&lt;&gt;"",AI$5+6&lt;Mitarbeiter!$E$19),0,IF(AND(Mitarbeiter!$F$19&lt;&gt;"",AI$5&gt;Mitarbeiter!$F$19),0,IF(Planung!AI21="",$C21,IF(ISNUMBER(Planung!AI21),Planung!AI21,IF(UPPER(Planung!AI21)="H",$C21/2,0)))))))</f>
        <v>0</v>
      </c>
      <c r="AJ21" s="27">
        <f>IF($A21="",0,IF(Mitarbeiter!$G$19=FALSE,0,IF(AND(Mitarbeiter!$E$19&lt;&gt;"",AJ$5+6&lt;Mitarbeiter!$E$19),0,IF(AND(Mitarbeiter!$F$19&lt;&gt;"",AJ$5&gt;Mitarbeiter!$F$19),0,IF(Planung!AJ21="",$C21,IF(ISNUMBER(Planung!AJ21),Planung!AJ21,IF(UPPER(Planung!AJ21)="H",$C21/2,0)))))))</f>
        <v>0</v>
      </c>
      <c r="AK21" s="27">
        <f>IF($A21="",0,IF(Mitarbeiter!$G$19=FALSE,0,IF(AND(Mitarbeiter!$E$19&lt;&gt;"",AK$5+6&lt;Mitarbeiter!$E$19),0,IF(AND(Mitarbeiter!$F$19&lt;&gt;"",AK$5&gt;Mitarbeiter!$F$19),0,IF(Planung!AK21="",$C21,IF(ISNUMBER(Planung!AK21),Planung!AK21,IF(UPPER(Planung!AK21)="H",$C21/2,0)))))))</f>
        <v>0</v>
      </c>
      <c r="AL21" s="27">
        <f>IF($A21="",0,IF(Mitarbeiter!$G$19=FALSE,0,IF(AND(Mitarbeiter!$E$19&lt;&gt;"",AL$5+6&lt;Mitarbeiter!$E$19),0,IF(AND(Mitarbeiter!$F$19&lt;&gt;"",AL$5&gt;Mitarbeiter!$F$19),0,IF(Planung!AL21="",$C21,IF(ISNUMBER(Planung!AL21),Planung!AL21,IF(UPPER(Planung!AL21)="H",$C21/2,0)))))))</f>
        <v>0</v>
      </c>
      <c r="AM21" s="27">
        <f>IF($A21="",0,IF(Mitarbeiter!$G$19=FALSE,0,IF(AND(Mitarbeiter!$E$19&lt;&gt;"",AM$5+6&lt;Mitarbeiter!$E$19),0,IF(AND(Mitarbeiter!$F$19&lt;&gt;"",AM$5&gt;Mitarbeiter!$F$19),0,IF(Planung!AM21="",$C21,IF(ISNUMBER(Planung!AM21),Planung!AM21,IF(UPPER(Planung!AM21)="H",$C21/2,0)))))))</f>
        <v>0</v>
      </c>
      <c r="AN21" s="27">
        <f>IF($A21="",0,IF(Mitarbeiter!$G$19=FALSE,0,IF(AND(Mitarbeiter!$E$19&lt;&gt;"",AN$5+6&lt;Mitarbeiter!$E$19),0,IF(AND(Mitarbeiter!$F$19&lt;&gt;"",AN$5&gt;Mitarbeiter!$F$19),0,IF(Planung!AN21="",$C21,IF(ISNUMBER(Planung!AN21),Planung!AN21,IF(UPPER(Planung!AN21)="H",$C21/2,0)))))))</f>
        <v>0</v>
      </c>
      <c r="AO21" s="27">
        <f>IF($A21="",0,IF(Mitarbeiter!$G$19=FALSE,0,IF(AND(Mitarbeiter!$E$19&lt;&gt;"",AO$5+6&lt;Mitarbeiter!$E$19),0,IF(AND(Mitarbeiter!$F$19&lt;&gt;"",AO$5&gt;Mitarbeiter!$F$19),0,IF(Planung!AO21="",$C21,IF(ISNUMBER(Planung!AO21),Planung!AO21,IF(UPPER(Planung!AO21)="H",$C21/2,0)))))))</f>
        <v>0</v>
      </c>
      <c r="AP21" s="27">
        <f>IF($A21="",0,IF(Mitarbeiter!$G$19=FALSE,0,IF(AND(Mitarbeiter!$E$19&lt;&gt;"",AP$5+6&lt;Mitarbeiter!$E$19),0,IF(AND(Mitarbeiter!$F$19&lt;&gt;"",AP$5&gt;Mitarbeiter!$F$19),0,IF(Planung!AP21="",$C21,IF(ISNUMBER(Planung!AP21),Planung!AP21,IF(UPPER(Planung!AP21)="H",$C21/2,0)))))))</f>
        <v>0</v>
      </c>
      <c r="AQ21" s="27">
        <f>IF($A21="",0,IF(Mitarbeiter!$G$19=FALSE,0,IF(AND(Mitarbeiter!$E$19&lt;&gt;"",AQ$5+6&lt;Mitarbeiter!$E$19),0,IF(AND(Mitarbeiter!$F$19&lt;&gt;"",AQ$5&gt;Mitarbeiter!$F$19),0,IF(Planung!AQ21="",$C21,IF(ISNUMBER(Planung!AQ21),Planung!AQ21,IF(UPPER(Planung!AQ21)="H",$C21/2,0)))))))</f>
        <v>0</v>
      </c>
      <c r="AR21" s="27">
        <f>IF($A21="",0,IF(Mitarbeiter!$G$19=FALSE,0,IF(AND(Mitarbeiter!$E$19&lt;&gt;"",AR$5+6&lt;Mitarbeiter!$E$19),0,IF(AND(Mitarbeiter!$F$19&lt;&gt;"",AR$5&gt;Mitarbeiter!$F$19),0,IF(Planung!AR21="",$C21,IF(ISNUMBER(Planung!AR21),Planung!AR21,IF(UPPER(Planung!AR21)="H",$C21/2,0)))))))</f>
        <v>0</v>
      </c>
      <c r="AS21" s="27">
        <f>IF($A21="",0,IF(Mitarbeiter!$G$19=FALSE,0,IF(AND(Mitarbeiter!$E$19&lt;&gt;"",AS$5+6&lt;Mitarbeiter!$E$19),0,IF(AND(Mitarbeiter!$F$19&lt;&gt;"",AS$5&gt;Mitarbeiter!$F$19),0,IF(Planung!AS21="",$C21,IF(ISNUMBER(Planung!AS21),Planung!AS21,IF(UPPER(Planung!AS21)="H",$C21/2,0)))))))</f>
        <v>0</v>
      </c>
      <c r="AT21" s="27">
        <f>IF($A21="",0,IF(Mitarbeiter!$G$19=FALSE,0,IF(AND(Mitarbeiter!$E$19&lt;&gt;"",AT$5+6&lt;Mitarbeiter!$E$19),0,IF(AND(Mitarbeiter!$F$19&lt;&gt;"",AT$5&gt;Mitarbeiter!$F$19),0,IF(Planung!AT21="",$C21,IF(ISNUMBER(Planung!AT21),Planung!AT21,IF(UPPER(Planung!AT21)="H",$C21/2,0)))))))</f>
        <v>0</v>
      </c>
      <c r="AU21" s="27">
        <f>IF($A21="",0,IF(Mitarbeiter!$G$19=FALSE,0,IF(AND(Mitarbeiter!$E$19&lt;&gt;"",AU$5+6&lt;Mitarbeiter!$E$19),0,IF(AND(Mitarbeiter!$F$19&lt;&gt;"",AU$5&gt;Mitarbeiter!$F$19),0,IF(Planung!AU21="",$C21,IF(ISNUMBER(Planung!AU21),Planung!AU21,IF(UPPER(Planung!AU21)="H",$C21/2,0)))))))</f>
        <v>0</v>
      </c>
      <c r="AV21" s="27">
        <f>IF($A21="",0,IF(Mitarbeiter!$G$19=FALSE,0,IF(AND(Mitarbeiter!$E$19&lt;&gt;"",AV$5+6&lt;Mitarbeiter!$E$19),0,IF(AND(Mitarbeiter!$F$19&lt;&gt;"",AV$5&gt;Mitarbeiter!$F$19),0,IF(Planung!AV21="",$C21,IF(ISNUMBER(Planung!AV21),Planung!AV21,IF(UPPER(Planung!AV21)="H",$C21/2,0)))))))</f>
        <v>0</v>
      </c>
      <c r="AW21" s="27">
        <f>IF($A21="",0,IF(Mitarbeiter!$G$19=FALSE,0,IF(AND(Mitarbeiter!$E$19&lt;&gt;"",AW$5+6&lt;Mitarbeiter!$E$19),0,IF(AND(Mitarbeiter!$F$19&lt;&gt;"",AW$5&gt;Mitarbeiter!$F$19),0,IF(Planung!AW21="",$C21,IF(ISNUMBER(Planung!AW21),Planung!AW21,IF(UPPER(Planung!AW21)="H",$C21/2,0)))))))</f>
        <v>0</v>
      </c>
      <c r="AX21" s="27">
        <f>IF($A21="",0,IF(Mitarbeiter!$G$19=FALSE,0,IF(AND(Mitarbeiter!$E$19&lt;&gt;"",AX$5+6&lt;Mitarbeiter!$E$19),0,IF(AND(Mitarbeiter!$F$19&lt;&gt;"",AX$5&gt;Mitarbeiter!$F$19),0,IF(Planung!AX21="",$C21,IF(ISNUMBER(Planung!AX21),Planung!AX21,IF(UPPER(Planung!AX21)="H",$C21/2,0)))))))</f>
        <v>0</v>
      </c>
      <c r="AY21" s="27">
        <f>IF($A21="",0,IF(Mitarbeiter!$G$19=FALSE,0,IF(AND(Mitarbeiter!$E$19&lt;&gt;"",AY$5+6&lt;Mitarbeiter!$E$19),0,IF(AND(Mitarbeiter!$F$19&lt;&gt;"",AY$5&gt;Mitarbeiter!$F$19),0,IF(Planung!AY21="",$C21,IF(ISNUMBER(Planung!AY21),Planung!AY21,IF(UPPER(Planung!AY21)="H",$C21/2,0)))))))</f>
        <v>0</v>
      </c>
      <c r="AZ21" s="27">
        <f>IF($A21="",0,IF(Mitarbeiter!$G$19=FALSE,0,IF(AND(Mitarbeiter!$E$19&lt;&gt;"",AZ$5+6&lt;Mitarbeiter!$E$19),0,IF(AND(Mitarbeiter!$F$19&lt;&gt;"",AZ$5&gt;Mitarbeiter!$F$19),0,IF(Planung!AZ21="",$C21,IF(ISNUMBER(Planung!AZ21),Planung!AZ21,IF(UPPER(Planung!AZ21)="H",$C21/2,0)))))))</f>
        <v>0</v>
      </c>
      <c r="BA21" s="27">
        <f>IF($A21="",0,IF(Mitarbeiter!$G$19=FALSE,0,IF(AND(Mitarbeiter!$E$19&lt;&gt;"",BA$5+6&lt;Mitarbeiter!$E$19),0,IF(AND(Mitarbeiter!$F$19&lt;&gt;"",BA$5&gt;Mitarbeiter!$F$19),0,IF(Planung!BA21="",$C21,IF(ISNUMBER(Planung!BA21),Planung!BA21,IF(UPPER(Planung!BA21)="H",$C21/2,0)))))))</f>
        <v>0</v>
      </c>
      <c r="BB21" s="27">
        <f>IF($A21="",0,IF(Mitarbeiter!$G$19=FALSE,0,IF(AND(Mitarbeiter!$E$19&lt;&gt;"",BB$5+6&lt;Mitarbeiter!$E$19),0,IF(AND(Mitarbeiter!$F$19&lt;&gt;"",BB$5&gt;Mitarbeiter!$F$19),0,IF(Planung!BB21="",$C21,IF(ISNUMBER(Planung!BB21),Planung!BB21,IF(UPPER(Planung!BB21)="H",$C21/2,0)))))))</f>
        <v>0</v>
      </c>
      <c r="BC21" s="27">
        <f>IF($A21="",0,IF(Mitarbeiter!$G$19=FALSE,0,IF(AND(Mitarbeiter!$E$19&lt;&gt;"",BC$5+6&lt;Mitarbeiter!$E$19),0,IF(AND(Mitarbeiter!$F$19&lt;&gt;"",BC$5&gt;Mitarbeiter!$F$19),0,IF(Planung!BC21="",$C21,IF(ISNUMBER(Planung!BC21),Planung!BC21,IF(UPPER(Planung!BC21)="H",$C21/2,0)))))))</f>
        <v>0</v>
      </c>
      <c r="BD21" s="27">
        <f>IF($A21="",0,IF(Mitarbeiter!$G$19=FALSE,0,IF(AND(Mitarbeiter!$E$19&lt;&gt;"",BD$5+6&lt;Mitarbeiter!$E$19),0,IF(AND(Mitarbeiter!$F$19&lt;&gt;"",BD$5&gt;Mitarbeiter!$F$19),0,IF(Planung!BD21="",$C21,IF(ISNUMBER(Planung!BD21),Planung!BD21,IF(UPPER(Planung!BD21)="H",$C21/2,0)))))))</f>
        <v>0</v>
      </c>
      <c r="BE21" s="27">
        <f>IF($A21="",0,IF(Mitarbeiter!$G$19=FALSE,0,IF(AND(Mitarbeiter!$E$19&lt;&gt;"",BE$5+6&lt;Mitarbeiter!$E$19),0,IF(AND(Mitarbeiter!$F$19&lt;&gt;"",BE$5&gt;Mitarbeiter!$F$19),0,IF(Planung!BE21="",$C21,IF(ISNUMBER(Planung!BE21),Planung!BE21,IF(UPPER(Planung!BE21)="H",$C21/2,0)))))))</f>
        <v>0</v>
      </c>
      <c r="BF21" s="27">
        <f>IF($A21="",0,IF(Mitarbeiter!$G$19=FALSE,0,IF(AND(Mitarbeiter!$E$19&lt;&gt;"",BF$5+6&lt;Mitarbeiter!$E$19),0,IF(AND(Mitarbeiter!$F$19&lt;&gt;"",BF$5&gt;Mitarbeiter!$F$19),0,IF(Planung!BF21="",$C21,IF(ISNUMBER(Planung!BF21),Planung!BF21,IF(UPPER(Planung!BF21)="H",$C21/2,0)))))))</f>
        <v>0</v>
      </c>
      <c r="BG21" s="27">
        <f>IF($A21="",0,IF(Mitarbeiter!$G$19=FALSE,0,IF(AND(Mitarbeiter!$E$19&lt;&gt;"",BG$5+6&lt;Mitarbeiter!$E$19),0,IF(AND(Mitarbeiter!$F$19&lt;&gt;"",BG$5&gt;Mitarbeiter!$F$19),0,IF(Planung!BG21="",$C21,IF(ISNUMBER(Planung!BG21),Planung!BG21,IF(UPPER(Planung!BG21)="H",$C21/2,0)))))))</f>
        <v>0</v>
      </c>
      <c r="BH21" s="27">
        <f>IF($A21="",0,IF(Mitarbeiter!$G$19=FALSE,0,IF(AND(Mitarbeiter!$E$19&lt;&gt;"",BH$5+6&lt;Mitarbeiter!$E$19),0,IF(AND(Mitarbeiter!$F$19&lt;&gt;"",BH$5&gt;Mitarbeiter!$F$19),0,IF(Planung!BH21="",$C21,IF(ISNUMBER(Planung!BH21),Planung!BH21,IF(UPPER(Planung!BH21)="H",$C21/2,0)))))))</f>
        <v>0</v>
      </c>
      <c r="BI21" s="27">
        <f>IF($A21="",0,IF(Mitarbeiter!$G$19=FALSE,0,IF(AND(Mitarbeiter!$E$19&lt;&gt;"",BI$5+6&lt;Mitarbeiter!$E$19),0,IF(AND(Mitarbeiter!$F$19&lt;&gt;"",BI$5&gt;Mitarbeiter!$F$19),0,IF(Planung!BI21="",$C21,IF(ISNUMBER(Planung!BI21),Planung!BI21,IF(UPPER(Planung!BI21)="H",$C21/2,0)))))))</f>
        <v>0</v>
      </c>
      <c r="BJ21" s="27">
        <f>IF($A21="",0,IF(Mitarbeiter!$G$19=FALSE,0,IF(AND(Mitarbeiter!$E$19&lt;&gt;"",BJ$5+6&lt;Mitarbeiter!$E$19),0,IF(AND(Mitarbeiter!$F$19&lt;&gt;"",BJ$5&gt;Mitarbeiter!$F$19),0,IF(Planung!BJ21="",$C21,IF(ISNUMBER(Planung!BJ21),Planung!BJ21,IF(UPPER(Planung!BJ21)="H",$C21/2,0)))))))</f>
        <v>0</v>
      </c>
      <c r="BK21" s="27">
        <f>IF($A21="",0,IF(Mitarbeiter!$G$19=FALSE,0,IF(AND(Mitarbeiter!$E$19&lt;&gt;"",BK$5+6&lt;Mitarbeiter!$E$19),0,IF(AND(Mitarbeiter!$F$19&lt;&gt;"",BK$5&gt;Mitarbeiter!$F$19),0,IF(Planung!BK21="",$C21,IF(ISNUMBER(Planung!BK21),Planung!BK21,IF(UPPER(Planung!BK21)="H",$C21/2,0)))))))</f>
        <v>0</v>
      </c>
      <c r="BL21" s="27">
        <f>IF($A21="",0,IF(Mitarbeiter!$G$19=FALSE,0,IF(AND(Mitarbeiter!$E$19&lt;&gt;"",BL$5+6&lt;Mitarbeiter!$E$19),0,IF(AND(Mitarbeiter!$F$19&lt;&gt;"",BL$5&gt;Mitarbeiter!$F$19),0,IF(Planung!BL21="",$C21,IF(ISNUMBER(Planung!BL21),Planung!BL21,IF(UPPER(Planung!BL21)="H",$C21/2,0)))))))</f>
        <v>0</v>
      </c>
      <c r="BM21" s="27">
        <f>IF($A21="",0,IF(Mitarbeiter!$G$19=FALSE,0,IF(AND(Mitarbeiter!$E$19&lt;&gt;"",BM$5+6&lt;Mitarbeiter!$E$19),0,IF(AND(Mitarbeiter!$F$19&lt;&gt;"",BM$5&gt;Mitarbeiter!$F$19),0,IF(Planung!BM21="",$C21,IF(ISNUMBER(Planung!BM21),Planung!BM21,IF(UPPER(Planung!BM21)="H",$C21/2,0)))))))</f>
        <v>0</v>
      </c>
      <c r="BN21" s="27">
        <f>IF($A21="",0,IF(Mitarbeiter!$G$19=FALSE,0,IF(AND(Mitarbeiter!$E$19&lt;&gt;"",BN$5+6&lt;Mitarbeiter!$E$19),0,IF(AND(Mitarbeiter!$F$19&lt;&gt;"",BN$5&gt;Mitarbeiter!$F$19),0,IF(Planung!BN21="",$C21,IF(ISNUMBER(Planung!BN21),Planung!BN21,IF(UPPER(Planung!BN21)="H",$C21/2,0)))))))</f>
        <v>0</v>
      </c>
      <c r="BO21" s="27">
        <f>IF($A21="",0,IF(Mitarbeiter!$G$19=FALSE,0,IF(AND(Mitarbeiter!$E$19&lt;&gt;"",BO$5+6&lt;Mitarbeiter!$E$19),0,IF(AND(Mitarbeiter!$F$19&lt;&gt;"",BO$5&gt;Mitarbeiter!$F$19),0,IF(Planung!BO21="",$C21,IF(ISNUMBER(Planung!BO21),Planung!BO21,IF(UPPER(Planung!BO21)="H",$C21/2,0)))))))</f>
        <v>0</v>
      </c>
      <c r="BP21" s="27">
        <f>IF($A21="",0,IF(Mitarbeiter!$G$19=FALSE,0,IF(AND(Mitarbeiter!$E$19&lt;&gt;"",BP$5+6&lt;Mitarbeiter!$E$19),0,IF(AND(Mitarbeiter!$F$19&lt;&gt;"",BP$5&gt;Mitarbeiter!$F$19),0,IF(Planung!BP21="",$C21,IF(ISNUMBER(Planung!BP21),Planung!BP21,IF(UPPER(Planung!BP21)="H",$C21/2,0)))))))</f>
        <v>0</v>
      </c>
      <c r="BQ21" s="27">
        <f>IF($A21="",0,IF(Mitarbeiter!$G$19=FALSE,0,IF(AND(Mitarbeiter!$E$19&lt;&gt;"",BQ$5+6&lt;Mitarbeiter!$E$19),0,IF(AND(Mitarbeiter!$F$19&lt;&gt;"",BQ$5&gt;Mitarbeiter!$F$19),0,IF(Planung!BQ21="",$C21,IF(ISNUMBER(Planung!BQ21),Planung!BQ21,IF(UPPER(Planung!BQ21)="H",$C21/2,0)))))))</f>
        <v>0</v>
      </c>
      <c r="BR21" s="27">
        <f>IF($A21="",0,IF(Mitarbeiter!$G$19=FALSE,0,IF(AND(Mitarbeiter!$E$19&lt;&gt;"",BR$5+6&lt;Mitarbeiter!$E$19),0,IF(AND(Mitarbeiter!$F$19&lt;&gt;"",BR$5&gt;Mitarbeiter!$F$19),0,IF(Planung!BR21="",$C21,IF(ISNUMBER(Planung!BR21),Planung!BR21,IF(UPPER(Planung!BR21)="H",$C21/2,0)))))))</f>
        <v>0</v>
      </c>
      <c r="BS21" s="27">
        <f>IF($A21="",0,IF(Mitarbeiter!$G$19=FALSE,0,IF(AND(Mitarbeiter!$E$19&lt;&gt;"",BS$5+6&lt;Mitarbeiter!$E$19),0,IF(AND(Mitarbeiter!$F$19&lt;&gt;"",BS$5&gt;Mitarbeiter!$F$19),0,IF(Planung!BS21="",$C21,IF(ISNUMBER(Planung!BS21),Planung!BS21,IF(UPPER(Planung!BS21)="H",$C21/2,0)))))))</f>
        <v>0</v>
      </c>
      <c r="BT21" s="27">
        <f>IF($A21="",0,IF(Mitarbeiter!$G$19=FALSE,0,IF(AND(Mitarbeiter!$E$19&lt;&gt;"",BT$5+6&lt;Mitarbeiter!$E$19),0,IF(AND(Mitarbeiter!$F$19&lt;&gt;"",BT$5&gt;Mitarbeiter!$F$19),0,IF(Planung!BT21="",$C21,IF(ISNUMBER(Planung!BT21),Planung!BT21,IF(UPPER(Planung!BT21)="H",$C21/2,0)))))))</f>
        <v>0</v>
      </c>
      <c r="BU21" s="27">
        <f>IF($A21="",0,IF(Mitarbeiter!$G$19=FALSE,0,IF(AND(Mitarbeiter!$E$19&lt;&gt;"",BU$5+6&lt;Mitarbeiter!$E$19),0,IF(AND(Mitarbeiter!$F$19&lt;&gt;"",BU$5&gt;Mitarbeiter!$F$19),0,IF(Planung!BU21="",$C21,IF(ISNUMBER(Planung!BU21),Planung!BU21,IF(UPPER(Planung!BU21)="H",$C21/2,0)))))))</f>
        <v>0</v>
      </c>
      <c r="BV21" s="27">
        <f>IF($A21="",0,IF(Mitarbeiter!$G$19=FALSE,0,IF(AND(Mitarbeiter!$E$19&lt;&gt;"",BV$5+6&lt;Mitarbeiter!$E$19),0,IF(AND(Mitarbeiter!$F$19&lt;&gt;"",BV$5&gt;Mitarbeiter!$F$19),0,IF(Planung!BV21="",$C21,IF(ISNUMBER(Planung!BV21),Planung!BV21,IF(UPPER(Planung!BV21)="H",$C21/2,0)))))))</f>
        <v>0</v>
      </c>
      <c r="BW21" s="27">
        <f>IF($A21="",0,IF(Mitarbeiter!$G$19=FALSE,0,IF(AND(Mitarbeiter!$E$19&lt;&gt;"",BW$5+6&lt;Mitarbeiter!$E$19),0,IF(AND(Mitarbeiter!$F$19&lt;&gt;"",BW$5&gt;Mitarbeiter!$F$19),0,IF(Planung!BW21="",$C21,IF(ISNUMBER(Planung!BW21),Planung!BW21,IF(UPPER(Planung!BW21)="H",$C21/2,0)))))))</f>
        <v>0</v>
      </c>
      <c r="BX21" s="27">
        <f>IF($A21="",0,IF(Mitarbeiter!$G$19=FALSE,0,IF(AND(Mitarbeiter!$E$19&lt;&gt;"",BX$5+6&lt;Mitarbeiter!$E$19),0,IF(AND(Mitarbeiter!$F$19&lt;&gt;"",BX$5&gt;Mitarbeiter!$F$19),0,IF(Planung!BX21="",$C21,IF(ISNUMBER(Planung!BX21),Planung!BX21,IF(UPPER(Planung!BX21)="H",$C21/2,0)))))))</f>
        <v>0</v>
      </c>
      <c r="BY21" s="27">
        <f>IF($A21="",0,IF(Mitarbeiter!$G$19=FALSE,0,IF(AND(Mitarbeiter!$E$19&lt;&gt;"",BY$5+6&lt;Mitarbeiter!$E$19),0,IF(AND(Mitarbeiter!$F$19&lt;&gt;"",BY$5&gt;Mitarbeiter!$F$19),0,IF(Planung!BY21="",$C21,IF(ISNUMBER(Planung!BY21),Planung!BY21,IF(UPPER(Planung!BY21)="H",$C21/2,0)))))))</f>
        <v>0</v>
      </c>
      <c r="BZ21" s="27">
        <f>IF($A21="",0,IF(Mitarbeiter!$G$19=FALSE,0,IF(AND(Mitarbeiter!$E$19&lt;&gt;"",BZ$5+6&lt;Mitarbeiter!$E$19),0,IF(AND(Mitarbeiter!$F$19&lt;&gt;"",BZ$5&gt;Mitarbeiter!$F$19),0,IF(Planung!BZ21="",$C21,IF(ISNUMBER(Planung!BZ21),Planung!BZ21,IF(UPPER(Planung!BZ21)="H",$C21/2,0)))))))</f>
        <v>0</v>
      </c>
      <c r="CA21" s="27">
        <f>IF($A21="",0,IF(Mitarbeiter!$G$19=FALSE,0,IF(AND(Mitarbeiter!$E$19&lt;&gt;"",CA$5+6&lt;Mitarbeiter!$E$19),0,IF(AND(Mitarbeiter!$F$19&lt;&gt;"",CA$5&gt;Mitarbeiter!$F$19),0,IF(Planung!CA21="",$C21,IF(ISNUMBER(Planung!CA21),Planung!CA21,IF(UPPER(Planung!CA21)="H",$C21/2,0)))))))</f>
        <v>0</v>
      </c>
      <c r="CB21" s="27">
        <f>IF($A21="",0,IF(Mitarbeiter!$G$19=FALSE,0,IF(AND(Mitarbeiter!$E$19&lt;&gt;"",CB$5+6&lt;Mitarbeiter!$E$19),0,IF(AND(Mitarbeiter!$F$19&lt;&gt;"",CB$5&gt;Mitarbeiter!$F$19),0,IF(Planung!CB21="",$C21,IF(ISNUMBER(Planung!CB21),Planung!CB21,IF(UPPER(Planung!CB21)="H",$C21/2,0)))))))</f>
        <v>0</v>
      </c>
      <c r="CC21" s="27">
        <f>IF($A21="",0,IF(Mitarbeiter!$G$19=FALSE,0,IF(AND(Mitarbeiter!$E$19&lt;&gt;"",CC$5+6&lt;Mitarbeiter!$E$19),0,IF(AND(Mitarbeiter!$F$19&lt;&gt;"",CC$5&gt;Mitarbeiter!$F$19),0,IF(Planung!CC21="",$C21,IF(ISNUMBER(Planung!CC21),Planung!CC21,IF(UPPER(Planung!CC21)="H",$C21/2,0)))))))</f>
        <v>0</v>
      </c>
      <c r="CD21" s="27">
        <f>IF($A21="",0,IF(Mitarbeiter!$G$19=FALSE,0,IF(AND(Mitarbeiter!$E$19&lt;&gt;"",CD$5+6&lt;Mitarbeiter!$E$19),0,IF(AND(Mitarbeiter!$F$19&lt;&gt;"",CD$5&gt;Mitarbeiter!$F$19),0,IF(Planung!CD21="",$C21,IF(ISNUMBER(Planung!CD21),Planung!CD21,IF(UPPER(Planung!CD21)="H",$C21/2,0)))))))</f>
        <v>0</v>
      </c>
      <c r="CE21" s="27">
        <f>IF($A21="",0,IF(Mitarbeiter!$G$19=FALSE,0,IF(AND(Mitarbeiter!$E$19&lt;&gt;"",CE$5+6&lt;Mitarbeiter!$E$19),0,IF(AND(Mitarbeiter!$F$19&lt;&gt;"",CE$5&gt;Mitarbeiter!$F$19),0,IF(Planung!CE21="",$C21,IF(ISNUMBER(Planung!CE21),Planung!CE21,IF(UPPER(Planung!CE21)="H",$C21/2,0)))))))</f>
        <v>0</v>
      </c>
      <c r="CF21" s="27">
        <f>IF($A21="",0,IF(Mitarbeiter!$G$19=FALSE,0,IF(AND(Mitarbeiter!$E$19&lt;&gt;"",CF$5+6&lt;Mitarbeiter!$E$19),0,IF(AND(Mitarbeiter!$F$19&lt;&gt;"",CF$5&gt;Mitarbeiter!$F$19),0,IF(Planung!CF21="",$C21,IF(ISNUMBER(Planung!CF21),Planung!CF21,IF(UPPER(Planung!CF21)="H",$C21/2,0)))))))</f>
        <v>0</v>
      </c>
      <c r="CG21" s="27">
        <f>IF($A21="",0,IF(Mitarbeiter!$G$19=FALSE,0,IF(AND(Mitarbeiter!$E$19&lt;&gt;"",CG$5+6&lt;Mitarbeiter!$E$19),0,IF(AND(Mitarbeiter!$F$19&lt;&gt;"",CG$5&gt;Mitarbeiter!$F$19),0,IF(Planung!CG21="",$C21,IF(ISNUMBER(Planung!CG21),Planung!CG21,IF(UPPER(Planung!CG21)="H",$C21/2,0)))))))</f>
        <v>0</v>
      </c>
      <c r="CH21" s="27">
        <f>IF($A21="",0,IF(Mitarbeiter!$G$19=FALSE,0,IF(AND(Mitarbeiter!$E$19&lt;&gt;"",CH$5+6&lt;Mitarbeiter!$E$19),0,IF(AND(Mitarbeiter!$F$19&lt;&gt;"",CH$5&gt;Mitarbeiter!$F$19),0,IF(Planung!CH21="",$C21,IF(ISNUMBER(Planung!CH21),Planung!CH21,IF(UPPER(Planung!CH21)="H",$C21/2,0)))))))</f>
        <v>0</v>
      </c>
      <c r="CI21" s="27">
        <f>IF($A21="",0,IF(Mitarbeiter!$G$19=FALSE,0,IF(AND(Mitarbeiter!$E$19&lt;&gt;"",CI$5+6&lt;Mitarbeiter!$E$19),0,IF(AND(Mitarbeiter!$F$19&lt;&gt;"",CI$5&gt;Mitarbeiter!$F$19),0,IF(Planung!CI21="",$C21,IF(ISNUMBER(Planung!CI21),Planung!CI21,IF(UPPER(Planung!CI21)="H",$C21/2,0)))))))</f>
        <v>0</v>
      </c>
      <c r="CJ21" s="27">
        <f>IF($A21="",0,IF(Mitarbeiter!$G$19=FALSE,0,IF(AND(Mitarbeiter!$E$19&lt;&gt;"",CJ$5+6&lt;Mitarbeiter!$E$19),0,IF(AND(Mitarbeiter!$F$19&lt;&gt;"",CJ$5&gt;Mitarbeiter!$F$19),0,IF(Planung!CJ21="",$C21,IF(ISNUMBER(Planung!CJ21),Planung!CJ21,IF(UPPER(Planung!CJ21)="H",$C21/2,0)))))))</f>
        <v>0</v>
      </c>
      <c r="CK21" s="27">
        <f>IF($A21="",0,IF(Mitarbeiter!$G$19=FALSE,0,IF(AND(Mitarbeiter!$E$19&lt;&gt;"",CK$5+6&lt;Mitarbeiter!$E$19),0,IF(AND(Mitarbeiter!$F$19&lt;&gt;"",CK$5&gt;Mitarbeiter!$F$19),0,IF(Planung!CK21="",$C21,IF(ISNUMBER(Planung!CK21),Planung!CK21,IF(UPPER(Planung!CK21)="H",$C21/2,0)))))))</f>
        <v>0</v>
      </c>
      <c r="CL21" s="27">
        <f>IF($A21="",0,IF(Mitarbeiter!$G$19=FALSE,0,IF(AND(Mitarbeiter!$E$19&lt;&gt;"",CL$5+6&lt;Mitarbeiter!$E$19),0,IF(AND(Mitarbeiter!$F$19&lt;&gt;"",CL$5&gt;Mitarbeiter!$F$19),0,IF(Planung!CL21="",$C21,IF(ISNUMBER(Planung!CL21),Planung!CL21,IF(UPPER(Planung!CL21)="H",$C21/2,0)))))))</f>
        <v>0</v>
      </c>
      <c r="CM21" s="27">
        <f>IF($A21="",0,IF(Mitarbeiter!$G$19=FALSE,0,IF(AND(Mitarbeiter!$E$19&lt;&gt;"",CM$5+6&lt;Mitarbeiter!$E$19),0,IF(AND(Mitarbeiter!$F$19&lt;&gt;"",CM$5&gt;Mitarbeiter!$F$19),0,IF(Planung!CM21="",$C21,IF(ISNUMBER(Planung!CM21),Planung!CM21,IF(UPPER(Planung!CM21)="H",$C21/2,0)))))))</f>
        <v>0</v>
      </c>
      <c r="CN21" s="27">
        <f>IF($A21="",0,IF(Mitarbeiter!$G$19=FALSE,0,IF(AND(Mitarbeiter!$E$19&lt;&gt;"",CN$5+6&lt;Mitarbeiter!$E$19),0,IF(AND(Mitarbeiter!$F$19&lt;&gt;"",CN$5&gt;Mitarbeiter!$F$19),0,IF(Planung!CN21="",$C21,IF(ISNUMBER(Planung!CN21),Planung!CN21,IF(UPPER(Planung!CN21)="H",$C21/2,0)))))))</f>
        <v>0</v>
      </c>
      <c r="CO21" s="27">
        <f>IF($A21="",0,IF(Mitarbeiter!$G$19=FALSE,0,IF(AND(Mitarbeiter!$E$19&lt;&gt;"",CO$5+6&lt;Mitarbeiter!$E$19),0,IF(AND(Mitarbeiter!$F$19&lt;&gt;"",CO$5&gt;Mitarbeiter!$F$19),0,IF(Planung!CO21="",$C21,IF(ISNUMBER(Planung!CO21),Planung!CO21,IF(UPPER(Planung!CO21)="H",$C21/2,0)))))))</f>
        <v>0</v>
      </c>
      <c r="CP21" s="27">
        <f>IF($A21="",0,IF(Mitarbeiter!$G$19=FALSE,0,IF(AND(Mitarbeiter!$E$19&lt;&gt;"",CP$5+6&lt;Mitarbeiter!$E$19),0,IF(AND(Mitarbeiter!$F$19&lt;&gt;"",CP$5&gt;Mitarbeiter!$F$19),0,IF(Planung!CP21="",$C21,IF(ISNUMBER(Planung!CP21),Planung!CP21,IF(UPPER(Planung!CP21)="H",$C21/2,0)))))))</f>
        <v>0</v>
      </c>
      <c r="CQ21" s="27">
        <f>IF($A21="",0,IF(Mitarbeiter!$G$19=FALSE,0,IF(AND(Mitarbeiter!$E$19&lt;&gt;"",CQ$5+6&lt;Mitarbeiter!$E$19),0,IF(AND(Mitarbeiter!$F$19&lt;&gt;"",CQ$5&gt;Mitarbeiter!$F$19),0,IF(Planung!CQ21="",$C21,IF(ISNUMBER(Planung!CQ21),Planung!CQ21,IF(UPPER(Planung!CQ21)="H",$C21/2,0)))))))</f>
        <v>0</v>
      </c>
      <c r="CR21" s="27">
        <f>IF($A21="",0,IF(Mitarbeiter!$G$19=FALSE,0,IF(AND(Mitarbeiter!$E$19&lt;&gt;"",CR$5+6&lt;Mitarbeiter!$E$19),0,IF(AND(Mitarbeiter!$F$19&lt;&gt;"",CR$5&gt;Mitarbeiter!$F$19),0,IF(Planung!CR21="",$C21,IF(ISNUMBER(Planung!CR21),Planung!CR21,IF(UPPER(Planung!CR21)="H",$C21/2,0)))))))</f>
        <v>0</v>
      </c>
      <c r="CS21" s="27">
        <f>IF($A21="",0,IF(Mitarbeiter!$G$19=FALSE,0,IF(AND(Mitarbeiter!$E$19&lt;&gt;"",CS$5+6&lt;Mitarbeiter!$E$19),0,IF(AND(Mitarbeiter!$F$19&lt;&gt;"",CS$5&gt;Mitarbeiter!$F$19),0,IF(Planung!CS21="",$C21,IF(ISNUMBER(Planung!CS21),Planung!CS21,IF(UPPER(Planung!CS21)="H",$C21/2,0)))))))</f>
        <v>0</v>
      </c>
      <c r="CT21" s="27">
        <f>IF($A21="",0,IF(Mitarbeiter!$G$19=FALSE,0,IF(AND(Mitarbeiter!$E$19&lt;&gt;"",CT$5+6&lt;Mitarbeiter!$E$19),0,IF(AND(Mitarbeiter!$F$19&lt;&gt;"",CT$5&gt;Mitarbeiter!$F$19),0,IF(Planung!CT21="",$C21,IF(ISNUMBER(Planung!CT21),Planung!CT21,IF(UPPER(Planung!CT21)="H",$C21/2,0)))))))</f>
        <v>0</v>
      </c>
      <c r="CU21" s="27">
        <f>IF($A21="",0,IF(Mitarbeiter!$G$19=FALSE,0,IF(AND(Mitarbeiter!$E$19&lt;&gt;"",CU$5+6&lt;Mitarbeiter!$E$19),0,IF(AND(Mitarbeiter!$F$19&lt;&gt;"",CU$5&gt;Mitarbeiter!$F$19),0,IF(Planung!CU21="",$C21,IF(ISNUMBER(Planung!CU21),Planung!CU21,IF(UPPER(Planung!CU21)="H",$C21/2,0)))))))</f>
        <v>0</v>
      </c>
      <c r="CV21" s="27">
        <f>IF($A21="",0,IF(Mitarbeiter!$G$19=FALSE,0,IF(AND(Mitarbeiter!$E$19&lt;&gt;"",CV$5+6&lt;Mitarbeiter!$E$19),0,IF(AND(Mitarbeiter!$F$19&lt;&gt;"",CV$5&gt;Mitarbeiter!$F$19),0,IF(Planung!CV21="",$C21,IF(ISNUMBER(Planung!CV21),Planung!CV21,IF(UPPER(Planung!CV21)="H",$C21/2,0)))))))</f>
        <v>0</v>
      </c>
      <c r="CW21" s="27">
        <f>IF($A21="",0,IF(Mitarbeiter!$G$19=FALSE,0,IF(AND(Mitarbeiter!$E$19&lt;&gt;"",CW$5+6&lt;Mitarbeiter!$E$19),0,IF(AND(Mitarbeiter!$F$19&lt;&gt;"",CW$5&gt;Mitarbeiter!$F$19),0,IF(Planung!CW21="",$C21,IF(ISNUMBER(Planung!CW21),Planung!CW21,IF(UPPER(Planung!CW21)="H",$C21/2,0)))))))</f>
        <v>0</v>
      </c>
      <c r="CX21" s="27">
        <f>IF($A21="",0,IF(Mitarbeiter!$G$19=FALSE,0,IF(AND(Mitarbeiter!$E$19&lt;&gt;"",CX$5+6&lt;Mitarbeiter!$E$19),0,IF(AND(Mitarbeiter!$F$19&lt;&gt;"",CX$5&gt;Mitarbeiter!$F$19),0,IF(Planung!CX21="",$C21,IF(ISNUMBER(Planung!CX21),Planung!CX21,IF(UPPER(Planung!CX21)="H",$C21/2,0)))))))</f>
        <v>0</v>
      </c>
      <c r="CY21" s="27">
        <f>IF($A21="",0,IF(Mitarbeiter!$G$19=FALSE,0,IF(AND(Mitarbeiter!$E$19&lt;&gt;"",CY$5+6&lt;Mitarbeiter!$E$19),0,IF(AND(Mitarbeiter!$F$19&lt;&gt;"",CY$5&gt;Mitarbeiter!$F$19),0,IF(Planung!CY21="",$C21,IF(ISNUMBER(Planung!CY21),Planung!CY21,IF(UPPER(Planung!CY21)="H",$C21/2,0)))))))</f>
        <v>0</v>
      </c>
      <c r="CZ21" s="27">
        <f>IF($A21="",0,IF(Mitarbeiter!$G$19=FALSE,0,IF(AND(Mitarbeiter!$E$19&lt;&gt;"",CZ$5+6&lt;Mitarbeiter!$E$19),0,IF(AND(Mitarbeiter!$F$19&lt;&gt;"",CZ$5&gt;Mitarbeiter!$F$19),0,IF(Planung!CZ21="",$C21,IF(ISNUMBER(Planung!CZ21),Planung!CZ21,IF(UPPER(Planung!CZ21)="H",$C21/2,0)))))))</f>
        <v>0</v>
      </c>
      <c r="DA21" s="27">
        <f>IF($A21="",0,IF(Mitarbeiter!$G$19=FALSE,0,IF(AND(Mitarbeiter!$E$19&lt;&gt;"",DA$5+6&lt;Mitarbeiter!$E$19),0,IF(AND(Mitarbeiter!$F$19&lt;&gt;"",DA$5&gt;Mitarbeiter!$F$19),0,IF(Planung!DA21="",$C21,IF(ISNUMBER(Planung!DA21),Planung!DA21,IF(UPPER(Planung!DA21)="H",$C21/2,0)))))))</f>
        <v>0</v>
      </c>
      <c r="DB21" s="27">
        <f>IF($A21="",0,IF(Mitarbeiter!$G$19=FALSE,0,IF(AND(Mitarbeiter!$E$19&lt;&gt;"",DB$5+6&lt;Mitarbeiter!$E$19),0,IF(AND(Mitarbeiter!$F$19&lt;&gt;"",DB$5&gt;Mitarbeiter!$F$19),0,IF(Planung!DB21="",$C21,IF(ISNUMBER(Planung!DB21),Planung!DB21,IF(UPPER(Planung!DB21)="H",$C21/2,0)))))))</f>
        <v>0</v>
      </c>
      <c r="DC21" s="27">
        <f>IF($A21="",0,IF(Mitarbeiter!$G$19=FALSE,0,IF(AND(Mitarbeiter!$E$19&lt;&gt;"",DC$5+6&lt;Mitarbeiter!$E$19),0,IF(AND(Mitarbeiter!$F$19&lt;&gt;"",DC$5&gt;Mitarbeiter!$F$19),0,IF(Planung!DC21="",$C21,IF(ISNUMBER(Planung!DC21),Planung!DC21,IF(UPPER(Planung!DC21)="H",$C21/2,0)))))))</f>
        <v>0</v>
      </c>
      <c r="DD21" s="27">
        <f>IF($A21="",0,IF(Mitarbeiter!$G$19=FALSE,0,IF(AND(Mitarbeiter!$E$19&lt;&gt;"",DD$5+6&lt;Mitarbeiter!$E$19),0,IF(AND(Mitarbeiter!$F$19&lt;&gt;"",DD$5&gt;Mitarbeiter!$F$19),0,IF(Planung!DD21="",$C21,IF(ISNUMBER(Planung!DD21),Planung!DD21,IF(UPPER(Planung!DD21)="H",$C21/2,0)))))))</f>
        <v>0</v>
      </c>
      <c r="DE21" s="27">
        <f>IF($A21="",0,IF(Mitarbeiter!$G$19=FALSE,0,IF(AND(Mitarbeiter!$E$19&lt;&gt;"",DE$5+6&lt;Mitarbeiter!$E$19),0,IF(AND(Mitarbeiter!$F$19&lt;&gt;"",DE$5&gt;Mitarbeiter!$F$19),0,IF(Planung!DE21="",$C21,IF(ISNUMBER(Planung!DE21),Planung!DE21,IF(UPPER(Planung!DE21)="H",$C21/2,0)))))))</f>
        <v>0</v>
      </c>
      <c r="DF21" s="27">
        <f>IF($A21="",0,IF(Mitarbeiter!$G$19=FALSE,0,IF(AND(Mitarbeiter!$E$19&lt;&gt;"",DF$5+6&lt;Mitarbeiter!$E$19),0,IF(AND(Mitarbeiter!$F$19&lt;&gt;"",DF$5&gt;Mitarbeiter!$F$19),0,IF(Planung!DF21="",$C21,IF(ISNUMBER(Planung!DF21),Planung!DF21,IF(UPPER(Planung!DF21)="H",$C21/2,0)))))))</f>
        <v>0</v>
      </c>
      <c r="DG21" s="27">
        <f>IF($A21="",0,IF(Mitarbeiter!$G$19=FALSE,0,IF(AND(Mitarbeiter!$E$19&lt;&gt;"",DG$5+6&lt;Mitarbeiter!$E$19),0,IF(AND(Mitarbeiter!$F$19&lt;&gt;"",DG$5&gt;Mitarbeiter!$F$19),0,IF(Planung!DG21="",$C21,IF(ISNUMBER(Planung!DG21),Planung!DG21,IF(UPPER(Planung!DG21)="H",$C21/2,0)))))))</f>
        <v>0</v>
      </c>
      <c r="DH21" s="27">
        <f>IF($A21="",0,IF(Mitarbeiter!$G$19=FALSE,0,IF(AND(Mitarbeiter!$E$19&lt;&gt;"",DH$5+6&lt;Mitarbeiter!$E$19),0,IF(AND(Mitarbeiter!$F$19&lt;&gt;"",DH$5&gt;Mitarbeiter!$F$19),0,IF(Planung!DH21="",$C21,IF(ISNUMBER(Planung!DH21),Planung!DH21,IF(UPPER(Planung!DH21)="H",$C21/2,0)))))))</f>
        <v>0</v>
      </c>
      <c r="DI21" s="27">
        <f>IF($A21="",0,IF(Mitarbeiter!$G$19=FALSE,0,IF(AND(Mitarbeiter!$E$19&lt;&gt;"",DI$5+6&lt;Mitarbeiter!$E$19),0,IF(AND(Mitarbeiter!$F$19&lt;&gt;"",DI$5&gt;Mitarbeiter!$F$19),0,IF(Planung!DI21="",$C21,IF(ISNUMBER(Planung!DI21),Planung!DI21,IF(UPPER(Planung!DI21)="H",$C21/2,0)))))))</f>
        <v>0</v>
      </c>
      <c r="DJ21" s="27">
        <f>IF($A21="",0,IF(Mitarbeiter!$G$19=FALSE,0,IF(AND(Mitarbeiter!$E$19&lt;&gt;"",DJ$5+6&lt;Mitarbeiter!$E$19),0,IF(AND(Mitarbeiter!$F$19&lt;&gt;"",DJ$5&gt;Mitarbeiter!$F$19),0,IF(Planung!DJ21="",$C21,IF(ISNUMBER(Planung!DJ21),Planung!DJ21,IF(UPPER(Planung!DJ21)="H",$C21/2,0)))))))</f>
        <v>0</v>
      </c>
      <c r="DK21" s="27">
        <f>IF($A21="",0,IF(Mitarbeiter!$G$19=FALSE,0,IF(AND(Mitarbeiter!$E$19&lt;&gt;"",DK$5+6&lt;Mitarbeiter!$E$19),0,IF(AND(Mitarbeiter!$F$19&lt;&gt;"",DK$5&gt;Mitarbeiter!$F$19),0,IF(Planung!DK21="",$C21,IF(ISNUMBER(Planung!DK21),Planung!DK21,IF(UPPER(Planung!DK21)="H",$C21/2,0)))))))</f>
        <v>0</v>
      </c>
      <c r="DL21" s="27">
        <f>IF($A21="",0,IF(Mitarbeiter!$G$19=FALSE,0,IF(AND(Mitarbeiter!$E$19&lt;&gt;"",DL$5+6&lt;Mitarbeiter!$E$19),0,IF(AND(Mitarbeiter!$F$19&lt;&gt;"",DL$5&gt;Mitarbeiter!$F$19),0,IF(Planung!DL21="",$C21,IF(ISNUMBER(Planung!DL21),Planung!DL21,IF(UPPER(Planung!DL21)="H",$C21/2,0)))))))</f>
        <v>0</v>
      </c>
      <c r="DM21" s="27">
        <f>IF($A21="",0,IF(Mitarbeiter!$G$19=FALSE,0,IF(AND(Mitarbeiter!$E$19&lt;&gt;"",DM$5+6&lt;Mitarbeiter!$E$19),0,IF(AND(Mitarbeiter!$F$19&lt;&gt;"",DM$5&gt;Mitarbeiter!$F$19),0,IF(Planung!DM21="",$C21,IF(ISNUMBER(Planung!DM21),Planung!DM21,IF(UPPER(Planung!DM21)="H",$C21/2,0)))))))</f>
        <v>0</v>
      </c>
      <c r="DN21" s="27">
        <f>IF($A21="",0,IF(Mitarbeiter!$G$19=FALSE,0,IF(AND(Mitarbeiter!$E$19&lt;&gt;"",DN$5+6&lt;Mitarbeiter!$E$19),0,IF(AND(Mitarbeiter!$F$19&lt;&gt;"",DN$5&gt;Mitarbeiter!$F$19),0,IF(Planung!DN21="",$C21,IF(ISNUMBER(Planung!DN21),Planung!DN21,IF(UPPER(Planung!DN21)="H",$C21/2,0)))))))</f>
        <v>0</v>
      </c>
      <c r="DO21" s="27">
        <f>IF($A21="",0,IF(Mitarbeiter!$G$19=FALSE,0,IF(AND(Mitarbeiter!$E$19&lt;&gt;"",DO$5+6&lt;Mitarbeiter!$E$19),0,IF(AND(Mitarbeiter!$F$19&lt;&gt;"",DO$5&gt;Mitarbeiter!$F$19),0,IF(Planung!DO21="",$C21,IF(ISNUMBER(Planung!DO21),Planung!DO21,IF(UPPER(Planung!DO21)="H",$C21/2,0)))))))</f>
        <v>0</v>
      </c>
      <c r="DP21" s="27">
        <f>IF($A21="",0,IF(Mitarbeiter!$G$19=FALSE,0,IF(AND(Mitarbeiter!$E$19&lt;&gt;"",DP$5+6&lt;Mitarbeiter!$E$19),0,IF(AND(Mitarbeiter!$F$19&lt;&gt;"",DP$5&gt;Mitarbeiter!$F$19),0,IF(Planung!DP21="",$C21,IF(ISNUMBER(Planung!DP21),Planung!DP21,IF(UPPER(Planung!DP21)="H",$C21/2,0)))))))</f>
        <v>0</v>
      </c>
      <c r="DQ21" s="27">
        <f>IF($A21="",0,IF(Mitarbeiter!$G$19=FALSE,0,IF(AND(Mitarbeiter!$E$19&lt;&gt;"",DQ$5+6&lt;Mitarbeiter!$E$19),0,IF(AND(Mitarbeiter!$F$19&lt;&gt;"",DQ$5&gt;Mitarbeiter!$F$19),0,IF(Planung!DQ21="",$C21,IF(ISNUMBER(Planung!DQ21),Planung!DQ21,IF(UPPER(Planung!DQ21)="H",$C21/2,0)))))))</f>
        <v>0</v>
      </c>
      <c r="DR21" s="27">
        <f>IF($A21="",0,IF(Mitarbeiter!$G$19=FALSE,0,IF(AND(Mitarbeiter!$E$19&lt;&gt;"",DR$5+6&lt;Mitarbeiter!$E$19),0,IF(AND(Mitarbeiter!$F$19&lt;&gt;"",DR$5&gt;Mitarbeiter!$F$19),0,IF(Planung!DR21="",$C21,IF(ISNUMBER(Planung!DR21),Planung!DR21,IF(UPPER(Planung!DR21)="H",$C21/2,0)))))))</f>
        <v>0</v>
      </c>
      <c r="DS21" s="27">
        <f>IF($A21="",0,IF(Mitarbeiter!$G$19=FALSE,0,IF(AND(Mitarbeiter!$E$19&lt;&gt;"",DS$5+6&lt;Mitarbeiter!$E$19),0,IF(AND(Mitarbeiter!$F$19&lt;&gt;"",DS$5&gt;Mitarbeiter!$F$19),0,IF(Planung!DS21="",$C21,IF(ISNUMBER(Planung!DS21),Planung!DS21,IF(UPPER(Planung!DS21)="H",$C21/2,0)))))))</f>
        <v>0</v>
      </c>
      <c r="DT21" s="27">
        <f>IF($A21="",0,IF(Mitarbeiter!$G$19=FALSE,0,IF(AND(Mitarbeiter!$E$19&lt;&gt;"",DT$5+6&lt;Mitarbeiter!$E$19),0,IF(AND(Mitarbeiter!$F$19&lt;&gt;"",DT$5&gt;Mitarbeiter!$F$19),0,IF(Planung!DT21="",$C21,IF(ISNUMBER(Planung!DT21),Planung!DT21,IF(UPPER(Planung!DT21)="H",$C21/2,0)))))))</f>
        <v>0</v>
      </c>
      <c r="DU21" s="27">
        <f>IF($A21="",0,IF(Mitarbeiter!$G$19=FALSE,0,IF(AND(Mitarbeiter!$E$19&lt;&gt;"",DU$5+6&lt;Mitarbeiter!$E$19),0,IF(AND(Mitarbeiter!$F$19&lt;&gt;"",DU$5&gt;Mitarbeiter!$F$19),0,IF(Planung!DU21="",$C21,IF(ISNUMBER(Planung!DU21),Planung!DU21,IF(UPPER(Planung!DU21)="H",$C21/2,0)))))))</f>
        <v>0</v>
      </c>
      <c r="DV21" s="27">
        <f>IF($A21="",0,IF(Mitarbeiter!$G$19=FALSE,0,IF(AND(Mitarbeiter!$E$19&lt;&gt;"",DV$5+6&lt;Mitarbeiter!$E$19),0,IF(AND(Mitarbeiter!$F$19&lt;&gt;"",DV$5&gt;Mitarbeiter!$F$19),0,IF(Planung!DV21="",$C21,IF(ISNUMBER(Planung!DV21),Planung!DV21,IF(UPPER(Planung!DV21)="H",$C21/2,0)))))))</f>
        <v>0</v>
      </c>
      <c r="DW21" s="27">
        <f>IF($A21="",0,IF(Mitarbeiter!$G$19=FALSE,0,IF(AND(Mitarbeiter!$E$19&lt;&gt;"",DW$5+6&lt;Mitarbeiter!$E$19),0,IF(AND(Mitarbeiter!$F$19&lt;&gt;"",DW$5&gt;Mitarbeiter!$F$19),0,IF(Planung!DW21="",$C21,IF(ISNUMBER(Planung!DW21),Planung!DW21,IF(UPPER(Planung!DW21)="H",$C21/2,0)))))))</f>
        <v>0</v>
      </c>
      <c r="DX21" s="27">
        <f>IF($A21="",0,IF(Mitarbeiter!$G$19=FALSE,0,IF(AND(Mitarbeiter!$E$19&lt;&gt;"",DX$5+6&lt;Mitarbeiter!$E$19),0,IF(AND(Mitarbeiter!$F$19&lt;&gt;"",DX$5&gt;Mitarbeiter!$F$19),0,IF(Planung!DX21="",$C21,IF(ISNUMBER(Planung!DX21),Planung!DX21,IF(UPPER(Planung!DX21)="H",$C21/2,0)))))))</f>
        <v>0</v>
      </c>
      <c r="DY21" s="27">
        <f>IF($A21="",0,IF(Mitarbeiter!$G$19=FALSE,0,IF(AND(Mitarbeiter!$E$19&lt;&gt;"",DY$5+6&lt;Mitarbeiter!$E$19),0,IF(AND(Mitarbeiter!$F$19&lt;&gt;"",DY$5&gt;Mitarbeiter!$F$19),0,IF(Planung!DY21="",$C21,IF(ISNUMBER(Planung!DY21),Planung!DY21,IF(UPPER(Planung!DY21)="H",$C21/2,0)))))))</f>
        <v>0</v>
      </c>
      <c r="DZ21" s="27">
        <f>IF($A21="",0,IF(Mitarbeiter!$G$19=FALSE,0,IF(AND(Mitarbeiter!$E$19&lt;&gt;"",DZ$5+6&lt;Mitarbeiter!$E$19),0,IF(AND(Mitarbeiter!$F$19&lt;&gt;"",DZ$5&gt;Mitarbeiter!$F$19),0,IF(Planung!DZ21="",$C21,IF(ISNUMBER(Planung!DZ21),Planung!DZ21,IF(UPPER(Planung!DZ21)="H",$C21/2,0)))))))</f>
        <v>0</v>
      </c>
      <c r="EA21" s="27">
        <f>IF($A21="",0,IF(Mitarbeiter!$G$19=FALSE,0,IF(AND(Mitarbeiter!$E$19&lt;&gt;"",EA$5+6&lt;Mitarbeiter!$E$19),0,IF(AND(Mitarbeiter!$F$19&lt;&gt;"",EA$5&gt;Mitarbeiter!$F$19),0,IF(Planung!EA21="",$C21,IF(ISNUMBER(Planung!EA21),Planung!EA21,IF(UPPER(Planung!EA21)="H",$C21/2,0)))))))</f>
        <v>0</v>
      </c>
      <c r="EB21" s="27">
        <f>IF($A21="",0,IF(Mitarbeiter!$G$19=FALSE,0,IF(AND(Mitarbeiter!$E$19&lt;&gt;"",EB$5+6&lt;Mitarbeiter!$E$19),0,IF(AND(Mitarbeiter!$F$19&lt;&gt;"",EB$5&gt;Mitarbeiter!$F$19),0,IF(Planung!EB21="",$C21,IF(ISNUMBER(Planung!EB21),Planung!EB21,IF(UPPER(Planung!EB21)="H",$C21/2,0)))))))</f>
        <v>0</v>
      </c>
      <c r="EC21" s="27">
        <f>IF($A21="",0,IF(Mitarbeiter!$G$19=FALSE,0,IF(AND(Mitarbeiter!$E$19&lt;&gt;"",EC$5+6&lt;Mitarbeiter!$E$19),0,IF(AND(Mitarbeiter!$F$19&lt;&gt;"",EC$5&gt;Mitarbeiter!$F$19),0,IF(Planung!EC21="",$C21,IF(ISNUMBER(Planung!EC21),Planung!EC21,IF(UPPER(Planung!EC21)="H",$C21/2,0)))))))</f>
        <v>0</v>
      </c>
      <c r="ED21" s="27">
        <f>IF($A21="",0,IF(Mitarbeiter!$G$19=FALSE,0,IF(AND(Mitarbeiter!$E$19&lt;&gt;"",ED$5+6&lt;Mitarbeiter!$E$19),0,IF(AND(Mitarbeiter!$F$19&lt;&gt;"",ED$5&gt;Mitarbeiter!$F$19),0,IF(Planung!ED21="",$C21,IF(ISNUMBER(Planung!ED21),Planung!ED21,IF(UPPER(Planung!ED21)="H",$C21/2,0)))))))</f>
        <v>0</v>
      </c>
      <c r="EE21" s="27">
        <f>IF($A21="",0,IF(Mitarbeiter!$G$19=FALSE,0,IF(AND(Mitarbeiter!$E$19&lt;&gt;"",EE$5+6&lt;Mitarbeiter!$E$19),0,IF(AND(Mitarbeiter!$F$19&lt;&gt;"",EE$5&gt;Mitarbeiter!$F$19),0,IF(Planung!EE21="",$C21,IF(ISNUMBER(Planung!EE21),Planung!EE21,IF(UPPER(Planung!EE21)="H",$C21/2,0)))))))</f>
        <v>0</v>
      </c>
      <c r="EF21" s="27">
        <f>IF($A21="",0,IF(Mitarbeiter!$G$19=FALSE,0,IF(AND(Mitarbeiter!$E$19&lt;&gt;"",EF$5+6&lt;Mitarbeiter!$E$19),0,IF(AND(Mitarbeiter!$F$19&lt;&gt;"",EF$5&gt;Mitarbeiter!$F$19),0,IF(Planung!EF21="",$C21,IF(ISNUMBER(Planung!EF21),Planung!EF21,IF(UPPER(Planung!EF21)="H",$C21/2,0)))))))</f>
        <v>0</v>
      </c>
      <c r="EG21" s="27">
        <f>IF($A21="",0,IF(Mitarbeiter!$G$19=FALSE,0,IF(AND(Mitarbeiter!$E$19&lt;&gt;"",EG$5+6&lt;Mitarbeiter!$E$19),0,IF(AND(Mitarbeiter!$F$19&lt;&gt;"",EG$5&gt;Mitarbeiter!$F$19),0,IF(Planung!EG21="",$C21,IF(ISNUMBER(Planung!EG21),Planung!EG21,IF(UPPER(Planung!EG21)="H",$C21/2,0)))))))</f>
        <v>0</v>
      </c>
      <c r="EH21" s="27">
        <f>IF($A21="",0,IF(Mitarbeiter!$G$19=FALSE,0,IF(AND(Mitarbeiter!$E$19&lt;&gt;"",EH$5+6&lt;Mitarbeiter!$E$19),0,IF(AND(Mitarbeiter!$F$19&lt;&gt;"",EH$5&gt;Mitarbeiter!$F$19),0,IF(Planung!EH21="",$C21,IF(ISNUMBER(Planung!EH21),Planung!EH21,IF(UPPER(Planung!EH21)="H",$C21/2,0)))))))</f>
        <v>0</v>
      </c>
      <c r="EI21" s="27">
        <f>IF($A21="",0,IF(Mitarbeiter!$G$19=FALSE,0,IF(AND(Mitarbeiter!$E$19&lt;&gt;"",EI$5+6&lt;Mitarbeiter!$E$19),0,IF(AND(Mitarbeiter!$F$19&lt;&gt;"",EI$5&gt;Mitarbeiter!$F$19),0,IF(Planung!EI21="",$C21,IF(ISNUMBER(Planung!EI21),Planung!EI21,IF(UPPER(Planung!EI21)="H",$C21/2,0)))))))</f>
        <v>0</v>
      </c>
      <c r="EJ21" s="27">
        <f>IF($A21="",0,IF(Mitarbeiter!$G$19=FALSE,0,IF(AND(Mitarbeiter!$E$19&lt;&gt;"",EJ$5+6&lt;Mitarbeiter!$E$19),0,IF(AND(Mitarbeiter!$F$19&lt;&gt;"",EJ$5&gt;Mitarbeiter!$F$19),0,IF(Planung!EJ21="",$C21,IF(ISNUMBER(Planung!EJ21),Planung!EJ21,IF(UPPER(Planung!EJ21)="H",$C21/2,0)))))))</f>
        <v>0</v>
      </c>
      <c r="EK21" s="27">
        <f>IF($A21="",0,IF(Mitarbeiter!$G$19=FALSE,0,IF(AND(Mitarbeiter!$E$19&lt;&gt;"",EK$5+6&lt;Mitarbeiter!$E$19),0,IF(AND(Mitarbeiter!$F$19&lt;&gt;"",EK$5&gt;Mitarbeiter!$F$19),0,IF(Planung!EK21="",$C21,IF(ISNUMBER(Planung!EK21),Planung!EK21,IF(UPPER(Planung!EK21)="H",$C21/2,0)))))))</f>
        <v>0</v>
      </c>
      <c r="EL21" s="27">
        <f>IF($A21="",0,IF(Mitarbeiter!$G$19=FALSE,0,IF(AND(Mitarbeiter!$E$19&lt;&gt;"",EL$5+6&lt;Mitarbeiter!$E$19),0,IF(AND(Mitarbeiter!$F$19&lt;&gt;"",EL$5&gt;Mitarbeiter!$F$19),0,IF(Planung!EL21="",$C21,IF(ISNUMBER(Planung!EL21),Planung!EL21,IF(UPPER(Planung!EL21)="H",$C21/2,0)))))))</f>
        <v>0</v>
      </c>
      <c r="EM21" s="27">
        <f>IF($A21="",0,IF(Mitarbeiter!$G$19=FALSE,0,IF(AND(Mitarbeiter!$E$19&lt;&gt;"",EM$5+6&lt;Mitarbeiter!$E$19),0,IF(AND(Mitarbeiter!$F$19&lt;&gt;"",EM$5&gt;Mitarbeiter!$F$19),0,IF(Planung!EM21="",$C21,IF(ISNUMBER(Planung!EM21),Planung!EM21,IF(UPPER(Planung!EM21)="H",$C21/2,0)))))))</f>
        <v>0</v>
      </c>
      <c r="EN21" s="27">
        <f>IF($A21="",0,IF(Mitarbeiter!$G$19=FALSE,0,IF(AND(Mitarbeiter!$E$19&lt;&gt;"",EN$5+6&lt;Mitarbeiter!$E$19),0,IF(AND(Mitarbeiter!$F$19&lt;&gt;"",EN$5&gt;Mitarbeiter!$F$19),0,IF(Planung!EN21="",$C21,IF(ISNUMBER(Planung!EN21),Planung!EN21,IF(UPPER(Planung!EN21)="H",$C21/2,0)))))))</f>
        <v>0</v>
      </c>
      <c r="EO21" s="27">
        <f>IF($A21="",0,IF(Mitarbeiter!$G$19=FALSE,0,IF(AND(Mitarbeiter!$E$19&lt;&gt;"",EO$5+6&lt;Mitarbeiter!$E$19),0,IF(AND(Mitarbeiter!$F$19&lt;&gt;"",EO$5&gt;Mitarbeiter!$F$19),0,IF(Planung!EO21="",$C21,IF(ISNUMBER(Planung!EO21),Planung!EO21,IF(UPPER(Planung!EO21)="H",$C21/2,0)))))))</f>
        <v>0</v>
      </c>
      <c r="EP21" s="27">
        <f>IF($A21="",0,IF(Mitarbeiter!$G$19=FALSE,0,IF(AND(Mitarbeiter!$E$19&lt;&gt;"",EP$5+6&lt;Mitarbeiter!$E$19),0,IF(AND(Mitarbeiter!$F$19&lt;&gt;"",EP$5&gt;Mitarbeiter!$F$19),0,IF(Planung!EP21="",$C21,IF(ISNUMBER(Planung!EP21),Planung!EP21,IF(UPPER(Planung!EP21)="H",$C21/2,0)))))))</f>
        <v>0</v>
      </c>
      <c r="EQ21" s="27">
        <f>IF($A21="",0,IF(Mitarbeiter!$G$19=FALSE,0,IF(AND(Mitarbeiter!$E$19&lt;&gt;"",EQ$5+6&lt;Mitarbeiter!$E$19),0,IF(AND(Mitarbeiter!$F$19&lt;&gt;"",EQ$5&gt;Mitarbeiter!$F$19),0,IF(Planung!EQ21="",$C21,IF(ISNUMBER(Planung!EQ21),Planung!EQ21,IF(UPPER(Planung!EQ21)="H",$C21/2,0)))))))</f>
        <v>0</v>
      </c>
      <c r="ER21" s="27">
        <f>IF($A21="",0,IF(Mitarbeiter!$G$19=FALSE,0,IF(AND(Mitarbeiter!$E$19&lt;&gt;"",ER$5+6&lt;Mitarbeiter!$E$19),0,IF(AND(Mitarbeiter!$F$19&lt;&gt;"",ER$5&gt;Mitarbeiter!$F$19),0,IF(Planung!ER21="",$C21,IF(ISNUMBER(Planung!ER21),Planung!ER21,IF(UPPER(Planung!ER21)="H",$C21/2,0)))))))</f>
        <v>0</v>
      </c>
      <c r="ES21" s="27">
        <f>IF($A21="",0,IF(Mitarbeiter!$G$19=FALSE,0,IF(AND(Mitarbeiter!$E$19&lt;&gt;"",ES$5+6&lt;Mitarbeiter!$E$19),0,IF(AND(Mitarbeiter!$F$19&lt;&gt;"",ES$5&gt;Mitarbeiter!$F$19),0,IF(Planung!ES21="",$C21,IF(ISNUMBER(Planung!ES21),Planung!ES21,IF(UPPER(Planung!ES21)="H",$C21/2,0)))))))</f>
        <v>0</v>
      </c>
      <c r="ET21" s="27">
        <f>IF($A21="",0,IF(Mitarbeiter!$G$19=FALSE,0,IF(AND(Mitarbeiter!$E$19&lt;&gt;"",ET$5+6&lt;Mitarbeiter!$E$19),0,IF(AND(Mitarbeiter!$F$19&lt;&gt;"",ET$5&gt;Mitarbeiter!$F$19),0,IF(Planung!ET21="",$C21,IF(ISNUMBER(Planung!ET21),Planung!ET21,IF(UPPER(Planung!ET21)="H",$C21/2,0)))))))</f>
        <v>0</v>
      </c>
      <c r="EU21" s="27">
        <f>IF($A21="",0,IF(Mitarbeiter!$G$19=FALSE,0,IF(AND(Mitarbeiter!$E$19&lt;&gt;"",EU$5+6&lt;Mitarbeiter!$E$19),0,IF(AND(Mitarbeiter!$F$19&lt;&gt;"",EU$5&gt;Mitarbeiter!$F$19),0,IF(Planung!EU21="",$C21,IF(ISNUMBER(Planung!EU21),Planung!EU21,IF(UPPER(Planung!EU21)="H",$C21/2,0)))))))</f>
        <v>0</v>
      </c>
      <c r="EV21" s="27">
        <f>IF($A21="",0,IF(Mitarbeiter!$G$19=FALSE,0,IF(AND(Mitarbeiter!$E$19&lt;&gt;"",EV$5+6&lt;Mitarbeiter!$E$19),0,IF(AND(Mitarbeiter!$F$19&lt;&gt;"",EV$5&gt;Mitarbeiter!$F$19),0,IF(Planung!EV21="",$C21,IF(ISNUMBER(Planung!EV21),Planung!EV21,IF(UPPER(Planung!EV21)="H",$C21/2,0)))))))</f>
        <v>0</v>
      </c>
      <c r="EW21" s="27">
        <f>IF($A21="",0,IF(Mitarbeiter!$G$19=FALSE,0,IF(AND(Mitarbeiter!$E$19&lt;&gt;"",EW$5+6&lt;Mitarbeiter!$E$19),0,IF(AND(Mitarbeiter!$F$19&lt;&gt;"",EW$5&gt;Mitarbeiter!$F$19),0,IF(Planung!EW21="",$C21,IF(ISNUMBER(Planung!EW21),Planung!EW21,IF(UPPER(Planung!EW21)="H",$C21/2,0)))))))</f>
        <v>0</v>
      </c>
      <c r="EX21" s="27">
        <f>IF($A21="",0,IF(Mitarbeiter!$G$19=FALSE,0,IF(AND(Mitarbeiter!$E$19&lt;&gt;"",EX$5+6&lt;Mitarbeiter!$E$19),0,IF(AND(Mitarbeiter!$F$19&lt;&gt;"",EX$5&gt;Mitarbeiter!$F$19),0,IF(Planung!EX21="",$C21,IF(ISNUMBER(Planung!EX21),Planung!EX21,IF(UPPER(Planung!EX21)="H",$C21/2,0)))))))</f>
        <v>0</v>
      </c>
      <c r="EY21" s="27">
        <f>IF($A21="",0,IF(Mitarbeiter!$G$19=FALSE,0,IF(AND(Mitarbeiter!$E$19&lt;&gt;"",EY$5+6&lt;Mitarbeiter!$E$19),0,IF(AND(Mitarbeiter!$F$19&lt;&gt;"",EY$5&gt;Mitarbeiter!$F$19),0,IF(Planung!EY21="",$C21,IF(ISNUMBER(Planung!EY21),Planung!EY21,IF(UPPER(Planung!EY21)="H",$C21/2,0)))))))</f>
        <v>0</v>
      </c>
      <c r="EZ21" s="27">
        <f>IF($A21="",0,IF(Mitarbeiter!$G$19=FALSE,0,IF(AND(Mitarbeiter!$E$19&lt;&gt;"",EZ$5+6&lt;Mitarbeiter!$E$19),0,IF(AND(Mitarbeiter!$F$19&lt;&gt;"",EZ$5&gt;Mitarbeiter!$F$19),0,IF(Planung!EZ21="",$C21,IF(ISNUMBER(Planung!EZ21),Planung!EZ21,IF(UPPER(Planung!EZ21)="H",$C21/2,0)))))))</f>
        <v>0</v>
      </c>
      <c r="FA21" s="27">
        <f>IF($A21="",0,IF(Mitarbeiter!$G$19=FALSE,0,IF(AND(Mitarbeiter!$E$19&lt;&gt;"",FA$5+6&lt;Mitarbeiter!$E$19),0,IF(AND(Mitarbeiter!$F$19&lt;&gt;"",FA$5&gt;Mitarbeiter!$F$19),0,IF(Planung!FA21="",$C21,IF(ISNUMBER(Planung!FA21),Planung!FA21,IF(UPPER(Planung!FA21)="H",$C21/2,0)))))))</f>
        <v>0</v>
      </c>
      <c r="FB21" s="27">
        <f>IF($A21="",0,IF(Mitarbeiter!$G$19=FALSE,0,IF(AND(Mitarbeiter!$E$19&lt;&gt;"",FB$5+6&lt;Mitarbeiter!$E$19),0,IF(AND(Mitarbeiter!$F$19&lt;&gt;"",FB$5&gt;Mitarbeiter!$F$19),0,IF(Planung!FB21="",$C21,IF(ISNUMBER(Planung!FB21),Planung!FB21,IF(UPPER(Planung!FB21)="H",$C21/2,0)))))))</f>
        <v>0</v>
      </c>
      <c r="FC21" s="27">
        <f>IF($A21="",0,IF(Mitarbeiter!$G$19=FALSE,0,IF(AND(Mitarbeiter!$E$19&lt;&gt;"",FC$5+6&lt;Mitarbeiter!$E$19),0,IF(AND(Mitarbeiter!$F$19&lt;&gt;"",FC$5&gt;Mitarbeiter!$F$19),0,IF(Planung!FC21="",$C21,IF(ISNUMBER(Planung!FC21),Planung!FC21,IF(UPPER(Planung!FC21)="H",$C21/2,0)))))))</f>
        <v>0</v>
      </c>
      <c r="FD21" s="27">
        <f>IF($A21="",0,IF(Mitarbeiter!$G$19=FALSE,0,IF(AND(Mitarbeiter!$E$19&lt;&gt;"",FD$5+6&lt;Mitarbeiter!$E$19),0,IF(AND(Mitarbeiter!$F$19&lt;&gt;"",FD$5&gt;Mitarbeiter!$F$19),0,IF(Planung!FD21="",$C21,IF(ISNUMBER(Planung!FD21),Planung!FD21,IF(UPPER(Planung!FD21)="H",$C21/2,0)))))))</f>
        <v>0</v>
      </c>
      <c r="FE21" s="27">
        <f>IF($A21="",0,IF(Mitarbeiter!$G$19=FALSE,0,IF(AND(Mitarbeiter!$E$19&lt;&gt;"",FE$5+6&lt;Mitarbeiter!$E$19),0,IF(AND(Mitarbeiter!$F$19&lt;&gt;"",FE$5&gt;Mitarbeiter!$F$19),0,IF(Planung!FE21="",$C21,IF(ISNUMBER(Planung!FE21),Planung!FE21,IF(UPPER(Planung!FE21)="H",$C21/2,0)))))))</f>
        <v>0</v>
      </c>
      <c r="FF21" s="27">
        <f>IF($A21="",0,IF(Mitarbeiter!$G$19=FALSE,0,IF(AND(Mitarbeiter!$E$19&lt;&gt;"",FF$5+6&lt;Mitarbeiter!$E$19),0,IF(AND(Mitarbeiter!$F$19&lt;&gt;"",FF$5&gt;Mitarbeiter!$F$19),0,IF(Planung!FF21="",$C21,IF(ISNUMBER(Planung!FF21),Planung!FF21,IF(UPPER(Planung!FF21)="H",$C21/2,0)))))))</f>
        <v>0</v>
      </c>
      <c r="FG21" s="27">
        <f>IF($A21="",0,IF(Mitarbeiter!$G$19=FALSE,0,IF(AND(Mitarbeiter!$E$19&lt;&gt;"",FG$5+6&lt;Mitarbeiter!$E$19),0,IF(AND(Mitarbeiter!$F$19&lt;&gt;"",FG$5&gt;Mitarbeiter!$F$19),0,IF(Planung!FG21="",$C21,IF(ISNUMBER(Planung!FG21),Planung!FG21,IF(UPPER(Planung!FG21)="H",$C21/2,0)))))))</f>
        <v>0</v>
      </c>
      <c r="FH21" s="27">
        <f>IF($A21="",0,IF(Mitarbeiter!$G$19=FALSE,0,IF(AND(Mitarbeiter!$E$19&lt;&gt;"",FH$5+6&lt;Mitarbeiter!$E$19),0,IF(AND(Mitarbeiter!$F$19&lt;&gt;"",FH$5&gt;Mitarbeiter!$F$19),0,IF(Planung!FH21="",$C21,IF(ISNUMBER(Planung!FH21),Planung!FH21,IF(UPPER(Planung!FH21)="H",$C21/2,0)))))))</f>
        <v>0</v>
      </c>
      <c r="FI21" s="27">
        <f>IF($A21="",0,IF(Mitarbeiter!$G$19=FALSE,0,IF(AND(Mitarbeiter!$E$19&lt;&gt;"",FI$5+6&lt;Mitarbeiter!$E$19),0,IF(AND(Mitarbeiter!$F$19&lt;&gt;"",FI$5&gt;Mitarbeiter!$F$19),0,IF(Planung!FI21="",$C21,IF(ISNUMBER(Planung!FI21),Planung!FI21,IF(UPPER(Planung!FI21)="H",$C21/2,0)))))))</f>
        <v>0</v>
      </c>
      <c r="FJ21" s="27">
        <f>IF($A21="",0,IF(Mitarbeiter!$G$19=FALSE,0,IF(AND(Mitarbeiter!$E$19&lt;&gt;"",FJ$5+6&lt;Mitarbeiter!$E$19),0,IF(AND(Mitarbeiter!$F$19&lt;&gt;"",FJ$5&gt;Mitarbeiter!$F$19),0,IF(Planung!FJ21="",$C21,IF(ISNUMBER(Planung!FJ21),Planung!FJ21,IF(UPPER(Planung!FJ21)="H",$C21/2,0)))))))</f>
        <v>0</v>
      </c>
      <c r="FK21" s="27">
        <f>IF($A21="",0,IF(Mitarbeiter!$G$19=FALSE,0,IF(AND(Mitarbeiter!$E$19&lt;&gt;"",FK$5+6&lt;Mitarbeiter!$E$19),0,IF(AND(Mitarbeiter!$F$19&lt;&gt;"",FK$5&gt;Mitarbeiter!$F$19),0,IF(Planung!FK21="",$C21,IF(ISNUMBER(Planung!FK21),Planung!FK21,IF(UPPER(Planung!FK21)="H",$C21/2,0)))))))</f>
        <v>0</v>
      </c>
      <c r="FL21" s="27">
        <f>IF($A21="",0,IF(Mitarbeiter!$G$19=FALSE,0,IF(AND(Mitarbeiter!$E$19&lt;&gt;"",FL$5+6&lt;Mitarbeiter!$E$19),0,IF(AND(Mitarbeiter!$F$19&lt;&gt;"",FL$5&gt;Mitarbeiter!$F$19),0,IF(Planung!FL21="",$C21,IF(ISNUMBER(Planung!FL21),Planung!FL21,IF(UPPER(Planung!FL21)="H",$C21/2,0)))))))</f>
        <v>0</v>
      </c>
      <c r="FM21" s="27">
        <f>IF($A21="",0,IF(Mitarbeiter!$G$19=FALSE,0,IF(AND(Mitarbeiter!$E$19&lt;&gt;"",FM$5+6&lt;Mitarbeiter!$E$19),0,IF(AND(Mitarbeiter!$F$19&lt;&gt;"",FM$5&gt;Mitarbeiter!$F$19),0,IF(Planung!FM21="",$C21,IF(ISNUMBER(Planung!FM21),Planung!FM21,IF(UPPER(Planung!FM21)="H",$C21/2,0)))))))</f>
        <v>0</v>
      </c>
      <c r="FN21" s="27">
        <f>IF($A21="",0,IF(Mitarbeiter!$G$19=FALSE,0,IF(AND(Mitarbeiter!$E$19&lt;&gt;"",FN$5+6&lt;Mitarbeiter!$E$19),0,IF(AND(Mitarbeiter!$F$19&lt;&gt;"",FN$5&gt;Mitarbeiter!$F$19),0,IF(Planung!FN21="",$C21,IF(ISNUMBER(Planung!FN21),Planung!FN21,IF(UPPER(Planung!FN21)="H",$C21/2,0)))))))</f>
        <v>0</v>
      </c>
      <c r="FO21" s="27">
        <f>IF($A21="",0,IF(Mitarbeiter!$G$19=FALSE,0,IF(AND(Mitarbeiter!$E$19&lt;&gt;"",FO$5+6&lt;Mitarbeiter!$E$19),0,IF(AND(Mitarbeiter!$F$19&lt;&gt;"",FO$5&gt;Mitarbeiter!$F$19),0,IF(Planung!FO21="",$C21,IF(ISNUMBER(Planung!FO21),Planung!FO21,IF(UPPER(Planung!FO21)="H",$C21/2,0)))))))</f>
        <v>0</v>
      </c>
      <c r="FP21" s="27">
        <f>IF($A21="",0,IF(Mitarbeiter!$G$19=FALSE,0,IF(AND(Mitarbeiter!$E$19&lt;&gt;"",FP$5+6&lt;Mitarbeiter!$E$19),0,IF(AND(Mitarbeiter!$F$19&lt;&gt;"",FP$5&gt;Mitarbeiter!$F$19),0,IF(Planung!FP21="",$C21,IF(ISNUMBER(Planung!FP21),Planung!FP21,IF(UPPER(Planung!FP21)="H",$C21/2,0)))))))</f>
        <v>0</v>
      </c>
      <c r="FQ21" s="27">
        <f>IF($A21="",0,IF(Mitarbeiter!$G$19=FALSE,0,IF(AND(Mitarbeiter!$E$19&lt;&gt;"",FQ$5+6&lt;Mitarbeiter!$E$19),0,IF(AND(Mitarbeiter!$F$19&lt;&gt;"",FQ$5&gt;Mitarbeiter!$F$19),0,IF(Planung!FQ21="",$C21,IF(ISNUMBER(Planung!FQ21),Planung!FQ21,IF(UPPER(Planung!FQ21)="H",$C21/2,0)))))))</f>
        <v>0</v>
      </c>
      <c r="FR21" s="27">
        <f>IF($A21="",0,IF(Mitarbeiter!$G$19=FALSE,0,IF(AND(Mitarbeiter!$E$19&lt;&gt;"",FR$5+6&lt;Mitarbeiter!$E$19),0,IF(AND(Mitarbeiter!$F$19&lt;&gt;"",FR$5&gt;Mitarbeiter!$F$19),0,IF(Planung!FR21="",$C21,IF(ISNUMBER(Planung!FR21),Planung!FR21,IF(UPPER(Planung!FR21)="H",$C21/2,0)))))))</f>
        <v>0</v>
      </c>
      <c r="FS21" s="27">
        <f>IF($A21="",0,IF(Mitarbeiter!$G$19=FALSE,0,IF(AND(Mitarbeiter!$E$19&lt;&gt;"",FS$5+6&lt;Mitarbeiter!$E$19),0,IF(AND(Mitarbeiter!$F$19&lt;&gt;"",FS$5&gt;Mitarbeiter!$F$19),0,IF(Planung!FS21="",$C21,IF(ISNUMBER(Planung!FS21),Planung!FS21,IF(UPPER(Planung!FS21)="H",$C21/2,0)))))))</f>
        <v>0</v>
      </c>
      <c r="FT21" s="27">
        <f>IF($A21="",0,IF(Mitarbeiter!$G$19=FALSE,0,IF(AND(Mitarbeiter!$E$19&lt;&gt;"",FT$5+6&lt;Mitarbeiter!$E$19),0,IF(AND(Mitarbeiter!$F$19&lt;&gt;"",FT$5&gt;Mitarbeiter!$F$19),0,IF(Planung!FT21="",$C21,IF(ISNUMBER(Planung!FT21),Planung!FT21,IF(UPPER(Planung!FT21)="H",$C21/2,0)))))))</f>
        <v>0</v>
      </c>
      <c r="FU21" s="27">
        <f>IF($A21="",0,IF(Mitarbeiter!$G$19=FALSE,0,IF(AND(Mitarbeiter!$E$19&lt;&gt;"",FU$5+6&lt;Mitarbeiter!$E$19),0,IF(AND(Mitarbeiter!$F$19&lt;&gt;"",FU$5&gt;Mitarbeiter!$F$19),0,IF(Planung!FU21="",$C21,IF(ISNUMBER(Planung!FU21),Planung!FU21,IF(UPPER(Planung!FU21)="H",$C21/2,0)))))))</f>
        <v>0</v>
      </c>
      <c r="FV21" s="27">
        <f>IF($A21="",0,IF(Mitarbeiter!$G$19=FALSE,0,IF(AND(Mitarbeiter!$E$19&lt;&gt;"",FV$5+6&lt;Mitarbeiter!$E$19),0,IF(AND(Mitarbeiter!$F$19&lt;&gt;"",FV$5&gt;Mitarbeiter!$F$19),0,IF(Planung!FV21="",$C21,IF(ISNUMBER(Planung!FV21),Planung!FV21,IF(UPPER(Planung!FV21)="H",$C21/2,0)))))))</f>
        <v>0</v>
      </c>
      <c r="FW21" s="27">
        <f>IF($A21="",0,IF(Mitarbeiter!$G$19=FALSE,0,IF(AND(Mitarbeiter!$E$19&lt;&gt;"",FW$5+6&lt;Mitarbeiter!$E$19),0,IF(AND(Mitarbeiter!$F$19&lt;&gt;"",FW$5&gt;Mitarbeiter!$F$19),0,IF(Planung!FW21="",$C21,IF(ISNUMBER(Planung!FW21),Planung!FW21,IF(UPPER(Planung!FW21)="H",$C21/2,0)))))))</f>
        <v>0</v>
      </c>
      <c r="FX21" s="27">
        <f>IF($A21="",0,IF(Mitarbeiter!$G$19=FALSE,0,IF(AND(Mitarbeiter!$E$19&lt;&gt;"",FX$5+6&lt;Mitarbeiter!$E$19),0,IF(AND(Mitarbeiter!$F$19&lt;&gt;"",FX$5&gt;Mitarbeiter!$F$19),0,IF(Planung!FX21="",$C21,IF(ISNUMBER(Planung!FX21),Planung!FX21,IF(UPPER(Planung!FX21)="H",$C21/2,0)))))))</f>
        <v>0</v>
      </c>
      <c r="FY21" s="27">
        <f>IF($A21="",0,IF(Mitarbeiter!$G$19=FALSE,0,IF(AND(Mitarbeiter!$E$19&lt;&gt;"",FY$5+6&lt;Mitarbeiter!$E$19),0,IF(AND(Mitarbeiter!$F$19&lt;&gt;"",FY$5&gt;Mitarbeiter!$F$19),0,IF(Planung!FY21="",$C21,IF(ISNUMBER(Planung!FY21),Planung!FY21,IF(UPPER(Planung!FY21)="H",$C21/2,0)))))))</f>
        <v>0</v>
      </c>
      <c r="FZ21" s="27">
        <f>IF($A21="",0,IF(Mitarbeiter!$G$19=FALSE,0,IF(AND(Mitarbeiter!$E$19&lt;&gt;"",FZ$5+6&lt;Mitarbeiter!$E$19),0,IF(AND(Mitarbeiter!$F$19&lt;&gt;"",FZ$5&gt;Mitarbeiter!$F$19),0,IF(Planung!FZ21="",$C21,IF(ISNUMBER(Planung!FZ21),Planung!FZ21,IF(UPPER(Planung!FZ21)="H",$C21/2,0)))))))</f>
        <v>0</v>
      </c>
      <c r="GA21" s="27">
        <f>IF($A21="",0,IF(Mitarbeiter!$G$19=FALSE,0,IF(AND(Mitarbeiter!$E$19&lt;&gt;"",GA$5+6&lt;Mitarbeiter!$E$19),0,IF(AND(Mitarbeiter!$F$19&lt;&gt;"",GA$5&gt;Mitarbeiter!$F$19),0,IF(Planung!GA21="",$C21,IF(ISNUMBER(Planung!GA21),Planung!GA21,IF(UPPER(Planung!GA21)="H",$C21/2,0)))))))</f>
        <v>0</v>
      </c>
      <c r="GB21" s="27">
        <f>IF($A21="",0,IF(Mitarbeiter!$G$19=FALSE,0,IF(AND(Mitarbeiter!$E$19&lt;&gt;"",GB$5+6&lt;Mitarbeiter!$E$19),0,IF(AND(Mitarbeiter!$F$19&lt;&gt;"",GB$5&gt;Mitarbeiter!$F$19),0,IF(Planung!GB21="",$C21,IF(ISNUMBER(Planung!GB21),Planung!GB21,IF(UPPER(Planung!GB21)="H",$C21/2,0)))))))</f>
        <v>0</v>
      </c>
      <c r="GC21" s="27">
        <f>IF($A21="",0,IF(Mitarbeiter!$G$19=FALSE,0,IF(AND(Mitarbeiter!$E$19&lt;&gt;"",GC$5+6&lt;Mitarbeiter!$E$19),0,IF(AND(Mitarbeiter!$F$19&lt;&gt;"",GC$5&gt;Mitarbeiter!$F$19),0,IF(Planung!GC21="",$C21,IF(ISNUMBER(Planung!GC21),Planung!GC21,IF(UPPER(Planung!GC21)="H",$C21/2,0)))))))</f>
        <v>0</v>
      </c>
      <c r="GD21" s="27">
        <f>IF($A21="",0,IF(Mitarbeiter!$G$19=FALSE,0,IF(AND(Mitarbeiter!$E$19&lt;&gt;"",GD$5+6&lt;Mitarbeiter!$E$19),0,IF(AND(Mitarbeiter!$F$19&lt;&gt;"",GD$5&gt;Mitarbeiter!$F$19),0,IF(Planung!GD21="",$C21,IF(ISNUMBER(Planung!GD21),Planung!GD21,IF(UPPER(Planung!GD21)="H",$C21/2,0)))))))</f>
        <v>0</v>
      </c>
      <c r="GE21" s="27">
        <f>IF($A21="",0,IF(Mitarbeiter!$G$19=FALSE,0,IF(AND(Mitarbeiter!$E$19&lt;&gt;"",GE$5+6&lt;Mitarbeiter!$E$19),0,IF(AND(Mitarbeiter!$F$19&lt;&gt;"",GE$5&gt;Mitarbeiter!$F$19),0,IF(Planung!GE21="",$C21,IF(ISNUMBER(Planung!GE21),Planung!GE21,IF(UPPER(Planung!GE21)="H",$C21/2,0)))))))</f>
        <v>0</v>
      </c>
      <c r="GF21" s="27">
        <f>IF($A21="",0,IF(Mitarbeiter!$G$19=FALSE,0,IF(AND(Mitarbeiter!$E$19&lt;&gt;"",GF$5+6&lt;Mitarbeiter!$E$19),0,IF(AND(Mitarbeiter!$F$19&lt;&gt;"",GF$5&gt;Mitarbeiter!$F$19),0,IF(Planung!GF21="",$C21,IF(ISNUMBER(Planung!GF21),Planung!GF21,IF(UPPER(Planung!GF21)="H",$C21/2,0)))))))</f>
        <v>0</v>
      </c>
      <c r="GG21" s="27">
        <f>IF($A21="",0,IF(Mitarbeiter!$G$19=FALSE,0,IF(AND(Mitarbeiter!$E$19&lt;&gt;"",GG$5+6&lt;Mitarbeiter!$E$19),0,IF(AND(Mitarbeiter!$F$19&lt;&gt;"",GG$5&gt;Mitarbeiter!$F$19),0,IF(Planung!GG21="",$C21,IF(ISNUMBER(Planung!GG21),Planung!GG21,IF(UPPER(Planung!GG21)="H",$C21/2,0)))))))</f>
        <v>0</v>
      </c>
      <c r="GH21" s="27">
        <f>IF($A21="",0,IF(Mitarbeiter!$G$19=FALSE,0,IF(AND(Mitarbeiter!$E$19&lt;&gt;"",GH$5+6&lt;Mitarbeiter!$E$19),0,IF(AND(Mitarbeiter!$F$19&lt;&gt;"",GH$5&gt;Mitarbeiter!$F$19),0,IF(Planung!GH21="",$C21,IF(ISNUMBER(Planung!GH21),Planung!GH21,IF(UPPER(Planung!GH21)="H",$C21/2,0)))))))</f>
        <v>0</v>
      </c>
      <c r="GI21" s="27">
        <f>IF($A21="",0,IF(Mitarbeiter!$G$19=FALSE,0,IF(AND(Mitarbeiter!$E$19&lt;&gt;"",GI$5+6&lt;Mitarbeiter!$E$19),0,IF(AND(Mitarbeiter!$F$19&lt;&gt;"",GI$5&gt;Mitarbeiter!$F$19),0,IF(Planung!GI21="",$C21,IF(ISNUMBER(Planung!GI21),Planung!GI21,IF(UPPER(Planung!GI21)="H",$C21/2,0)))))))</f>
        <v>0</v>
      </c>
      <c r="GJ21" s="27">
        <f>IF($A21="",0,IF(Mitarbeiter!$G$19=FALSE,0,IF(AND(Mitarbeiter!$E$19&lt;&gt;"",GJ$5+6&lt;Mitarbeiter!$E$19),0,IF(AND(Mitarbeiter!$F$19&lt;&gt;"",GJ$5&gt;Mitarbeiter!$F$19),0,IF(Planung!GJ21="",$C21,IF(ISNUMBER(Planung!GJ21),Planung!GJ21,IF(UPPER(Planung!GJ21)="H",$C21/2,0)))))))</f>
        <v>0</v>
      </c>
      <c r="GK21" s="27">
        <f>IF($A21="",0,IF(Mitarbeiter!$G$19=FALSE,0,IF(AND(Mitarbeiter!$E$19&lt;&gt;"",GK$5+6&lt;Mitarbeiter!$E$19),0,IF(AND(Mitarbeiter!$F$19&lt;&gt;"",GK$5&gt;Mitarbeiter!$F$19),0,IF(Planung!GK21="",$C21,IF(ISNUMBER(Planung!GK21),Planung!GK21,IF(UPPER(Planung!GK21)="H",$C21/2,0)))))))</f>
        <v>0</v>
      </c>
      <c r="GL21" s="27">
        <f>IF($A21="",0,IF(Mitarbeiter!$G$19=FALSE,0,IF(AND(Mitarbeiter!$E$19&lt;&gt;"",GL$5+6&lt;Mitarbeiter!$E$19),0,IF(AND(Mitarbeiter!$F$19&lt;&gt;"",GL$5&gt;Mitarbeiter!$F$19),0,IF(Planung!GL21="",$C21,IF(ISNUMBER(Planung!GL21),Planung!GL21,IF(UPPER(Planung!GL21)="H",$C21/2,0)))))))</f>
        <v>0</v>
      </c>
      <c r="GM21" s="27">
        <f>IF($A21="",0,IF(Mitarbeiter!$G$19=FALSE,0,IF(AND(Mitarbeiter!$E$19&lt;&gt;"",GM$5+6&lt;Mitarbeiter!$E$19),0,IF(AND(Mitarbeiter!$F$19&lt;&gt;"",GM$5&gt;Mitarbeiter!$F$19),0,IF(Planung!GM21="",$C21,IF(ISNUMBER(Planung!GM21),Planung!GM21,IF(UPPER(Planung!GM21)="H",$C21/2,0)))))))</f>
        <v>0</v>
      </c>
      <c r="GN21" s="27">
        <f>IF($A21="",0,IF(Mitarbeiter!$G$19=FALSE,0,IF(AND(Mitarbeiter!$E$19&lt;&gt;"",GN$5+6&lt;Mitarbeiter!$E$19),0,IF(AND(Mitarbeiter!$F$19&lt;&gt;"",GN$5&gt;Mitarbeiter!$F$19),0,IF(Planung!GN21="",$C21,IF(ISNUMBER(Planung!GN21),Planung!GN21,IF(UPPER(Planung!GN21)="H",$C21/2,0)))))))</f>
        <v>0</v>
      </c>
      <c r="GO21" s="27">
        <f>IF($A21="",0,IF(Mitarbeiter!$G$19=FALSE,0,IF(AND(Mitarbeiter!$E$19&lt;&gt;"",GO$5+6&lt;Mitarbeiter!$E$19),0,IF(AND(Mitarbeiter!$F$19&lt;&gt;"",GO$5&gt;Mitarbeiter!$F$19),0,IF(Planung!GO21="",$C21,IF(ISNUMBER(Planung!GO21),Planung!GO21,IF(UPPER(Planung!GO21)="H",$C21/2,0)))))))</f>
        <v>0</v>
      </c>
      <c r="GP21" s="27">
        <f>IF($A21="",0,IF(Mitarbeiter!$G$19=FALSE,0,IF(AND(Mitarbeiter!$E$19&lt;&gt;"",GP$5+6&lt;Mitarbeiter!$E$19),0,IF(AND(Mitarbeiter!$F$19&lt;&gt;"",GP$5&gt;Mitarbeiter!$F$19),0,IF(Planung!GP21="",$C21,IF(ISNUMBER(Planung!GP21),Planung!GP21,IF(UPPER(Planung!GP21)="H",$C21/2,0)))))))</f>
        <v>0</v>
      </c>
      <c r="GQ21" s="27">
        <f>IF($A21="",0,IF(Mitarbeiter!$G$19=FALSE,0,IF(AND(Mitarbeiter!$E$19&lt;&gt;"",GQ$5+6&lt;Mitarbeiter!$E$19),0,IF(AND(Mitarbeiter!$F$19&lt;&gt;"",GQ$5&gt;Mitarbeiter!$F$19),0,IF(Planung!GQ21="",$C21,IF(ISNUMBER(Planung!GQ21),Planung!GQ21,IF(UPPER(Planung!GQ21)="H",$C21/2,0)))))))</f>
        <v>0</v>
      </c>
      <c r="GR21" s="27">
        <f>IF($A21="",0,IF(Mitarbeiter!$G$19=FALSE,0,IF(AND(Mitarbeiter!$E$19&lt;&gt;"",GR$5+6&lt;Mitarbeiter!$E$19),0,IF(AND(Mitarbeiter!$F$19&lt;&gt;"",GR$5&gt;Mitarbeiter!$F$19),0,IF(Planung!GR21="",$C21,IF(ISNUMBER(Planung!GR21),Planung!GR21,IF(UPPER(Planung!GR21)="H",$C21/2,0)))))))</f>
        <v>0</v>
      </c>
      <c r="GS21" s="27">
        <f>IF($A21="",0,IF(Mitarbeiter!$G$19=FALSE,0,IF(AND(Mitarbeiter!$E$19&lt;&gt;"",GS$5+6&lt;Mitarbeiter!$E$19),0,IF(AND(Mitarbeiter!$F$19&lt;&gt;"",GS$5&gt;Mitarbeiter!$F$19),0,IF(Planung!GS21="",$C21,IF(ISNUMBER(Planung!GS21),Planung!GS21,IF(UPPER(Planung!GS21)="H",$C21/2,0)))))))</f>
        <v>0</v>
      </c>
      <c r="GT21" s="27">
        <f>IF($A21="",0,IF(Mitarbeiter!$G$19=FALSE,0,IF(AND(Mitarbeiter!$E$19&lt;&gt;"",GT$5+6&lt;Mitarbeiter!$E$19),0,IF(AND(Mitarbeiter!$F$19&lt;&gt;"",GT$5&gt;Mitarbeiter!$F$19),0,IF(Planung!GT21="",$C21,IF(ISNUMBER(Planung!GT21),Planung!GT21,IF(UPPER(Planung!GT21)="H",$C21/2,0)))))))</f>
        <v>0</v>
      </c>
      <c r="GU21" s="27">
        <f>IF($A21="",0,IF(Mitarbeiter!$G$19=FALSE,0,IF(AND(Mitarbeiter!$E$19&lt;&gt;"",GU$5+6&lt;Mitarbeiter!$E$19),0,IF(AND(Mitarbeiter!$F$19&lt;&gt;"",GU$5&gt;Mitarbeiter!$F$19),0,IF(Planung!GU21="",$C21,IF(ISNUMBER(Planung!GU21),Planung!GU21,IF(UPPER(Planung!GU21)="H",$C21/2,0)))))))</f>
        <v>0</v>
      </c>
      <c r="GV21" s="27">
        <f>IF($A21="",0,IF(Mitarbeiter!$G$19=FALSE,0,IF(AND(Mitarbeiter!$E$19&lt;&gt;"",GV$5+6&lt;Mitarbeiter!$E$19),0,IF(AND(Mitarbeiter!$F$19&lt;&gt;"",GV$5&gt;Mitarbeiter!$F$19),0,IF(Planung!GV21="",$C21,IF(ISNUMBER(Planung!GV21),Planung!GV21,IF(UPPER(Planung!GV21)="H",$C21/2,0)))))))</f>
        <v>0</v>
      </c>
      <c r="GW21" s="27">
        <f>IF($A21="",0,IF(Mitarbeiter!$G$19=FALSE,0,IF(AND(Mitarbeiter!$E$19&lt;&gt;"",GW$5+6&lt;Mitarbeiter!$E$19),0,IF(AND(Mitarbeiter!$F$19&lt;&gt;"",GW$5&gt;Mitarbeiter!$F$19),0,IF(Planung!GW21="",$C21,IF(ISNUMBER(Planung!GW21),Planung!GW21,IF(UPPER(Planung!GW21)="H",$C21/2,0)))))))</f>
        <v>0</v>
      </c>
      <c r="GX21" s="27">
        <f>IF($A21="",0,IF(Mitarbeiter!$G$19=FALSE,0,IF(AND(Mitarbeiter!$E$19&lt;&gt;"",GX$5+6&lt;Mitarbeiter!$E$19),0,IF(AND(Mitarbeiter!$F$19&lt;&gt;"",GX$5&gt;Mitarbeiter!$F$19),0,IF(Planung!GX21="",$C21,IF(ISNUMBER(Planung!GX21),Planung!GX21,IF(UPPER(Planung!GX21)="H",$C21/2,0)))))))</f>
        <v>0</v>
      </c>
      <c r="GY21" s="27">
        <f>IF($A21="",0,IF(Mitarbeiter!$G$19=FALSE,0,IF(AND(Mitarbeiter!$E$19&lt;&gt;"",GY$5+6&lt;Mitarbeiter!$E$19),0,IF(AND(Mitarbeiter!$F$19&lt;&gt;"",GY$5&gt;Mitarbeiter!$F$19),0,IF(Planung!GY21="",$C21,IF(ISNUMBER(Planung!GY21),Planung!GY21,IF(UPPER(Planung!GY21)="H",$C21/2,0)))))))</f>
        <v>0</v>
      </c>
      <c r="GZ21" s="27">
        <f>IF($A21="",0,IF(Mitarbeiter!$G$19=FALSE,0,IF(AND(Mitarbeiter!$E$19&lt;&gt;"",GZ$5+6&lt;Mitarbeiter!$E$19),0,IF(AND(Mitarbeiter!$F$19&lt;&gt;"",GZ$5&gt;Mitarbeiter!$F$19),0,IF(Planung!GZ21="",$C21,IF(ISNUMBER(Planung!GZ21),Planung!GZ21,IF(UPPER(Planung!GZ21)="H",$C21/2,0)))))))</f>
        <v>0</v>
      </c>
      <c r="HA21" s="27">
        <f>IF($A21="",0,IF(Mitarbeiter!$G$19=FALSE,0,IF(AND(Mitarbeiter!$E$19&lt;&gt;"",HA$5+6&lt;Mitarbeiter!$E$19),0,IF(AND(Mitarbeiter!$F$19&lt;&gt;"",HA$5&gt;Mitarbeiter!$F$19),0,IF(Planung!HA21="",$C21,IF(ISNUMBER(Planung!HA21),Planung!HA21,IF(UPPER(Planung!HA21)="H",$C21/2,0)))))))</f>
        <v>0</v>
      </c>
      <c r="HB21" s="27">
        <f>IF($A21="",0,IF(Mitarbeiter!$G$19=FALSE,0,IF(AND(Mitarbeiter!$E$19&lt;&gt;"",HB$5+6&lt;Mitarbeiter!$E$19),0,IF(AND(Mitarbeiter!$F$19&lt;&gt;"",HB$5&gt;Mitarbeiter!$F$19),0,IF(Planung!HB21="",$C21,IF(ISNUMBER(Planung!HB21),Planung!HB21,IF(UPPER(Planung!HB21)="H",$C21/2,0)))))))</f>
        <v>0</v>
      </c>
      <c r="HC21" s="27">
        <f>IF($A21="",0,IF(Mitarbeiter!$G$19=FALSE,0,IF(AND(Mitarbeiter!$E$19&lt;&gt;"",HC$5+6&lt;Mitarbeiter!$E$19),0,IF(AND(Mitarbeiter!$F$19&lt;&gt;"",HC$5&gt;Mitarbeiter!$F$19),0,IF(Planung!HC21="",$C21,IF(ISNUMBER(Planung!HC21),Planung!HC21,IF(UPPER(Planung!HC21)="H",$C21/2,0)))))))</f>
        <v>0</v>
      </c>
      <c r="HD21" s="27">
        <f>IF($A21="",0,IF(Mitarbeiter!$G$19=FALSE,0,IF(AND(Mitarbeiter!$E$19&lt;&gt;"",HD$5+6&lt;Mitarbeiter!$E$19),0,IF(AND(Mitarbeiter!$F$19&lt;&gt;"",HD$5&gt;Mitarbeiter!$F$19),0,IF(Planung!HD21="",$C21,IF(ISNUMBER(Planung!HD21),Planung!HD21,IF(UPPER(Planung!HD21)="H",$C21/2,0)))))))</f>
        <v>0</v>
      </c>
      <c r="HE21" s="27">
        <f>IF($A21="",0,IF(Mitarbeiter!$G$19=FALSE,0,IF(AND(Mitarbeiter!$E$19&lt;&gt;"",HE$5+6&lt;Mitarbeiter!$E$19),0,IF(AND(Mitarbeiter!$F$19&lt;&gt;"",HE$5&gt;Mitarbeiter!$F$19),0,IF(Planung!HE21="",$C21,IF(ISNUMBER(Planung!HE21),Planung!HE21,IF(UPPER(Planung!HE21)="H",$C21/2,0)))))))</f>
        <v>0</v>
      </c>
      <c r="HF21" s="27">
        <f>IF($A21="",0,IF(Mitarbeiter!$G$19=FALSE,0,IF(AND(Mitarbeiter!$E$19&lt;&gt;"",HF$5+6&lt;Mitarbeiter!$E$19),0,IF(AND(Mitarbeiter!$F$19&lt;&gt;"",HF$5&gt;Mitarbeiter!$F$19),0,IF(Planung!HF21="",$C21,IF(ISNUMBER(Planung!HF21),Planung!HF21,IF(UPPER(Planung!HF21)="H",$C21/2,0)))))))</f>
        <v>0</v>
      </c>
      <c r="HG21" s="27">
        <f>IF($A21="",0,IF(Mitarbeiter!$G$19=FALSE,0,IF(AND(Mitarbeiter!$E$19&lt;&gt;"",HG$5+6&lt;Mitarbeiter!$E$19),0,IF(AND(Mitarbeiter!$F$19&lt;&gt;"",HG$5&gt;Mitarbeiter!$F$19),0,IF(Planung!HG21="",$C21,IF(ISNUMBER(Planung!HG21),Planung!HG21,IF(UPPER(Planung!HG21)="H",$C21/2,0)))))))</f>
        <v>0</v>
      </c>
      <c r="HH21" s="27">
        <f>IF($A21="",0,IF(Mitarbeiter!$G$19=FALSE,0,IF(AND(Mitarbeiter!$E$19&lt;&gt;"",HH$5+6&lt;Mitarbeiter!$E$19),0,IF(AND(Mitarbeiter!$F$19&lt;&gt;"",HH$5&gt;Mitarbeiter!$F$19),0,IF(Planung!HH21="",$C21,IF(ISNUMBER(Planung!HH21),Planung!HH21,IF(UPPER(Planung!HH21)="H",$C21/2,0)))))))</f>
        <v>0</v>
      </c>
      <c r="HI21" s="27">
        <f>IF($A21="",0,IF(Mitarbeiter!$G$19=FALSE,0,IF(AND(Mitarbeiter!$E$19&lt;&gt;"",HI$5+6&lt;Mitarbeiter!$E$19),0,IF(AND(Mitarbeiter!$F$19&lt;&gt;"",HI$5&gt;Mitarbeiter!$F$19),0,IF(Planung!HI21="",$C21,IF(ISNUMBER(Planung!HI21),Planung!HI21,IF(UPPER(Planung!HI21)="H",$C21/2,0)))))))</f>
        <v>0</v>
      </c>
      <c r="HJ21" s="27">
        <f>IF($A21="",0,IF(Mitarbeiter!$G$19=FALSE,0,IF(AND(Mitarbeiter!$E$19&lt;&gt;"",HJ$5+6&lt;Mitarbeiter!$E$19),0,IF(AND(Mitarbeiter!$F$19&lt;&gt;"",HJ$5&gt;Mitarbeiter!$F$19),0,IF(Planung!HJ21="",$C21,IF(ISNUMBER(Planung!HJ21),Planung!HJ21,IF(UPPER(Planung!HJ21)="H",$C21/2,0)))))))</f>
        <v>0</v>
      </c>
      <c r="HK21" s="27">
        <f>IF($A21="",0,IF(Mitarbeiter!$G$19=FALSE,0,IF(AND(Mitarbeiter!$E$19&lt;&gt;"",HK$5+6&lt;Mitarbeiter!$E$19),0,IF(AND(Mitarbeiter!$F$19&lt;&gt;"",HK$5&gt;Mitarbeiter!$F$19),0,IF(Planung!HK21="",$C21,IF(ISNUMBER(Planung!HK21),Planung!HK21,IF(UPPER(Planung!HK21)="H",$C21/2,0)))))))</f>
        <v>0</v>
      </c>
      <c r="HL21" s="27">
        <f>IF($A21="",0,IF(Mitarbeiter!$G$19=FALSE,0,IF(AND(Mitarbeiter!$E$19&lt;&gt;"",HL$5+6&lt;Mitarbeiter!$E$19),0,IF(AND(Mitarbeiter!$F$19&lt;&gt;"",HL$5&gt;Mitarbeiter!$F$19),0,IF(Planung!HL21="",$C21,IF(ISNUMBER(Planung!HL21),Planung!HL21,IF(UPPER(Planung!HL21)="H",$C21/2,0)))))))</f>
        <v>0</v>
      </c>
      <c r="HM21" s="27">
        <f>IF($A21="",0,IF(Mitarbeiter!$G$19=FALSE,0,IF(AND(Mitarbeiter!$E$19&lt;&gt;"",HM$5+6&lt;Mitarbeiter!$E$19),0,IF(AND(Mitarbeiter!$F$19&lt;&gt;"",HM$5&gt;Mitarbeiter!$F$19),0,IF(Planung!HM21="",$C21,IF(ISNUMBER(Planung!HM21),Planung!HM21,IF(UPPER(Planung!HM21)="H",$C21/2,0)))))))</f>
        <v>0</v>
      </c>
      <c r="HN21" s="27">
        <f>IF($A21="",0,IF(Mitarbeiter!$G$19=FALSE,0,IF(AND(Mitarbeiter!$E$19&lt;&gt;"",HN$5+6&lt;Mitarbeiter!$E$19),0,IF(AND(Mitarbeiter!$F$19&lt;&gt;"",HN$5&gt;Mitarbeiter!$F$19),0,IF(Planung!HN21="",$C21,IF(ISNUMBER(Planung!HN21),Planung!HN21,IF(UPPER(Planung!HN21)="H",$C21/2,0)))))))</f>
        <v>0</v>
      </c>
      <c r="HO21" s="27">
        <f>IF($A21="",0,IF(Mitarbeiter!$G$19=FALSE,0,IF(AND(Mitarbeiter!$E$19&lt;&gt;"",HO$5+6&lt;Mitarbeiter!$E$19),0,IF(AND(Mitarbeiter!$F$19&lt;&gt;"",HO$5&gt;Mitarbeiter!$F$19),0,IF(Planung!HO21="",$C21,IF(ISNUMBER(Planung!HO21),Planung!HO21,IF(UPPER(Planung!HO21)="H",$C21/2,0)))))))</f>
        <v>0</v>
      </c>
      <c r="HP21" s="27">
        <f>IF($A21="",0,IF(Mitarbeiter!$G$19=FALSE,0,IF(AND(Mitarbeiter!$E$19&lt;&gt;"",HP$5+6&lt;Mitarbeiter!$E$19),0,IF(AND(Mitarbeiter!$F$19&lt;&gt;"",HP$5&gt;Mitarbeiter!$F$19),0,IF(Planung!HP21="",$C21,IF(ISNUMBER(Planung!HP21),Planung!HP21,IF(UPPER(Planung!HP21)="H",$C21/2,0)))))))</f>
        <v>0</v>
      </c>
      <c r="HQ21" s="27">
        <f>IF($A21="",0,IF(Mitarbeiter!$G$19=FALSE,0,IF(AND(Mitarbeiter!$E$19&lt;&gt;"",HQ$5+6&lt;Mitarbeiter!$E$19),0,IF(AND(Mitarbeiter!$F$19&lt;&gt;"",HQ$5&gt;Mitarbeiter!$F$19),0,IF(Planung!HQ21="",$C21,IF(ISNUMBER(Planung!HQ21),Planung!HQ21,IF(UPPER(Planung!HQ21)="H",$C21/2,0)))))))</f>
        <v>0</v>
      </c>
      <c r="HR21" s="27">
        <f>IF($A21="",0,IF(Mitarbeiter!$G$19=FALSE,0,IF(AND(Mitarbeiter!$E$19&lt;&gt;"",HR$5+6&lt;Mitarbeiter!$E$19),0,IF(AND(Mitarbeiter!$F$19&lt;&gt;"",HR$5&gt;Mitarbeiter!$F$19),0,IF(Planung!HR21="",$C21,IF(ISNUMBER(Planung!HR21),Planung!HR21,IF(UPPER(Planung!HR21)="H",$C21/2,0)))))))</f>
        <v>0</v>
      </c>
      <c r="HS21" s="27">
        <f>IF($A21="",0,IF(Mitarbeiter!$G$19=FALSE,0,IF(AND(Mitarbeiter!$E$19&lt;&gt;"",HS$5+6&lt;Mitarbeiter!$E$19),0,IF(AND(Mitarbeiter!$F$19&lt;&gt;"",HS$5&gt;Mitarbeiter!$F$19),0,IF(Planung!HS21="",$C21,IF(ISNUMBER(Planung!HS21),Planung!HS21,IF(UPPER(Planung!HS21)="H",$C21/2,0)))))))</f>
        <v>0</v>
      </c>
      <c r="HT21" s="27">
        <f>IF($A21="",0,IF(Mitarbeiter!$G$19=FALSE,0,IF(AND(Mitarbeiter!$E$19&lt;&gt;"",HT$5+6&lt;Mitarbeiter!$E$19),0,IF(AND(Mitarbeiter!$F$19&lt;&gt;"",HT$5&gt;Mitarbeiter!$F$19),0,IF(Planung!HT21="",$C21,IF(ISNUMBER(Planung!HT21),Planung!HT21,IF(UPPER(Planung!HT21)="H",$C21/2,0)))))))</f>
        <v>0</v>
      </c>
      <c r="HU21" s="27">
        <f>IF($A21="",0,IF(Mitarbeiter!$G$19=FALSE,0,IF(AND(Mitarbeiter!$E$19&lt;&gt;"",HU$5+6&lt;Mitarbeiter!$E$19),0,IF(AND(Mitarbeiter!$F$19&lt;&gt;"",HU$5&gt;Mitarbeiter!$F$19),0,IF(Planung!HU21="",$C21,IF(ISNUMBER(Planung!HU21),Planung!HU21,IF(UPPER(Planung!HU21)="H",$C21/2,0)))))))</f>
        <v>0</v>
      </c>
      <c r="HV21" s="27">
        <f>IF($A21="",0,IF(Mitarbeiter!$G$19=FALSE,0,IF(AND(Mitarbeiter!$E$19&lt;&gt;"",HV$5+6&lt;Mitarbeiter!$E$19),0,IF(AND(Mitarbeiter!$F$19&lt;&gt;"",HV$5&gt;Mitarbeiter!$F$19),0,IF(Planung!HV21="",$C21,IF(ISNUMBER(Planung!HV21),Planung!HV21,IF(UPPER(Planung!HV21)="H",$C21/2,0)))))))</f>
        <v>0</v>
      </c>
      <c r="HW21" s="27">
        <f>IF($A21="",0,IF(Mitarbeiter!$G$19=FALSE,0,IF(AND(Mitarbeiter!$E$19&lt;&gt;"",HW$5+6&lt;Mitarbeiter!$E$19),0,IF(AND(Mitarbeiter!$F$19&lt;&gt;"",HW$5&gt;Mitarbeiter!$F$19),0,IF(Planung!HW21="",$C21,IF(ISNUMBER(Planung!HW21),Planung!HW21,IF(UPPER(Planung!HW21)="H",$C21/2,0)))))))</f>
        <v>0</v>
      </c>
      <c r="HX21" s="27">
        <f>IF($A21="",0,IF(Mitarbeiter!$G$19=FALSE,0,IF(AND(Mitarbeiter!$E$19&lt;&gt;"",HX$5+6&lt;Mitarbeiter!$E$19),0,IF(AND(Mitarbeiter!$F$19&lt;&gt;"",HX$5&gt;Mitarbeiter!$F$19),0,IF(Planung!HX21="",$C21,IF(ISNUMBER(Planung!HX21),Planung!HX21,IF(UPPER(Planung!HX21)="H",$C21/2,0)))))))</f>
        <v>0</v>
      </c>
      <c r="HY21" s="27">
        <f>IF($A21="",0,IF(Mitarbeiter!$G$19=FALSE,0,IF(AND(Mitarbeiter!$E$19&lt;&gt;"",HY$5+6&lt;Mitarbeiter!$E$19),0,IF(AND(Mitarbeiter!$F$19&lt;&gt;"",HY$5&gt;Mitarbeiter!$F$19),0,IF(Planung!HY21="",$C21,IF(ISNUMBER(Planung!HY21),Planung!HY21,IF(UPPER(Planung!HY21)="H",$C21/2,0)))))))</f>
        <v>0</v>
      </c>
      <c r="HZ21" s="27">
        <f>IF($A21="",0,IF(Mitarbeiter!$G$19=FALSE,0,IF(AND(Mitarbeiter!$E$19&lt;&gt;"",HZ$5+6&lt;Mitarbeiter!$E$19),0,IF(AND(Mitarbeiter!$F$19&lt;&gt;"",HZ$5&gt;Mitarbeiter!$F$19),0,IF(Planung!HZ21="",$C21,IF(ISNUMBER(Planung!HZ21),Planung!HZ21,IF(UPPER(Planung!HZ21)="H",$C21/2,0)))))))</f>
        <v>0</v>
      </c>
      <c r="IA21" s="27">
        <f>IF($A21="",0,IF(Mitarbeiter!$G$19=FALSE,0,IF(AND(Mitarbeiter!$E$19&lt;&gt;"",IA$5+6&lt;Mitarbeiter!$E$19),0,IF(AND(Mitarbeiter!$F$19&lt;&gt;"",IA$5&gt;Mitarbeiter!$F$19),0,IF(Planung!IA21="",$C21,IF(ISNUMBER(Planung!IA21),Planung!IA21,IF(UPPER(Planung!IA21)="H",$C21/2,0)))))))</f>
        <v>0</v>
      </c>
    </row>
    <row r="22" spans="1:235" x14ac:dyDescent="0.25">
      <c r="A22" s="7" t="str">
        <f>Planung!A22</f>
        <v/>
      </c>
      <c r="B22" s="7" t="str">
        <f>Planung!B22</f>
        <v/>
      </c>
      <c r="C22" s="27">
        <f>N(Mitarbeiter!$D$20)</f>
        <v>0</v>
      </c>
      <c r="D22" s="27">
        <f>IF($A22="",0,IF(Mitarbeiter!$G$20=FALSE,0,IF(AND(Mitarbeiter!$E$20&lt;&gt;"",D$5+6&lt;Mitarbeiter!$E$20),0,IF(AND(Mitarbeiter!$F$20&lt;&gt;"",D$5&gt;Mitarbeiter!$F$20),0,IF(Planung!D22="",$C22,IF(ISNUMBER(Planung!D22),Planung!D22,IF(UPPER(Planung!D22)="H",$C22/2,0)))))))</f>
        <v>0</v>
      </c>
      <c r="E22" s="27">
        <f>IF($A22="",0,IF(Mitarbeiter!$G$20=FALSE,0,IF(AND(Mitarbeiter!$E$20&lt;&gt;"",E$5+6&lt;Mitarbeiter!$E$20),0,IF(AND(Mitarbeiter!$F$20&lt;&gt;"",E$5&gt;Mitarbeiter!$F$20),0,IF(Planung!E22="",$C22,IF(ISNUMBER(Planung!E22),Planung!E22,IF(UPPER(Planung!E22)="H",$C22/2,0)))))))</f>
        <v>0</v>
      </c>
      <c r="F22" s="27">
        <f>IF($A22="",0,IF(Mitarbeiter!$G$20=FALSE,0,IF(AND(Mitarbeiter!$E$20&lt;&gt;"",F$5+6&lt;Mitarbeiter!$E$20),0,IF(AND(Mitarbeiter!$F$20&lt;&gt;"",F$5&gt;Mitarbeiter!$F$20),0,IF(Planung!F22="",$C22,IF(ISNUMBER(Planung!F22),Planung!F22,IF(UPPER(Planung!F22)="H",$C22/2,0)))))))</f>
        <v>0</v>
      </c>
      <c r="G22" s="27">
        <f>IF($A22="",0,IF(Mitarbeiter!$G$20=FALSE,0,IF(AND(Mitarbeiter!$E$20&lt;&gt;"",G$5+6&lt;Mitarbeiter!$E$20),0,IF(AND(Mitarbeiter!$F$20&lt;&gt;"",G$5&gt;Mitarbeiter!$F$20),0,IF(Planung!G22="",$C22,IF(ISNUMBER(Planung!G22),Planung!G22,IF(UPPER(Planung!G22)="H",$C22/2,0)))))))</f>
        <v>0</v>
      </c>
      <c r="H22" s="27">
        <f>IF($A22="",0,IF(Mitarbeiter!$G$20=FALSE,0,IF(AND(Mitarbeiter!$E$20&lt;&gt;"",H$5+6&lt;Mitarbeiter!$E$20),0,IF(AND(Mitarbeiter!$F$20&lt;&gt;"",H$5&gt;Mitarbeiter!$F$20),0,IF(Planung!H22="",$C22,IF(ISNUMBER(Planung!H22),Planung!H22,IF(UPPER(Planung!H22)="H",$C22/2,0)))))))</f>
        <v>0</v>
      </c>
      <c r="I22" s="27">
        <f>IF($A22="",0,IF(Mitarbeiter!$G$20=FALSE,0,IF(AND(Mitarbeiter!$E$20&lt;&gt;"",I$5+6&lt;Mitarbeiter!$E$20),0,IF(AND(Mitarbeiter!$F$20&lt;&gt;"",I$5&gt;Mitarbeiter!$F$20),0,IF(Planung!I22="",$C22,IF(ISNUMBER(Planung!I22),Planung!I22,IF(UPPER(Planung!I22)="H",$C22/2,0)))))))</f>
        <v>0</v>
      </c>
      <c r="J22" s="27">
        <f>IF($A22="",0,IF(Mitarbeiter!$G$20=FALSE,0,IF(AND(Mitarbeiter!$E$20&lt;&gt;"",J$5+6&lt;Mitarbeiter!$E$20),0,IF(AND(Mitarbeiter!$F$20&lt;&gt;"",J$5&gt;Mitarbeiter!$F$20),0,IF(Planung!J22="",$C22,IF(ISNUMBER(Planung!J22),Planung!J22,IF(UPPER(Planung!J22)="H",$C22/2,0)))))))</f>
        <v>0</v>
      </c>
      <c r="K22" s="27">
        <f>IF($A22="",0,IF(Mitarbeiter!$G$20=FALSE,0,IF(AND(Mitarbeiter!$E$20&lt;&gt;"",K$5+6&lt;Mitarbeiter!$E$20),0,IF(AND(Mitarbeiter!$F$20&lt;&gt;"",K$5&gt;Mitarbeiter!$F$20),0,IF(Planung!K22="",$C22,IF(ISNUMBER(Planung!K22),Planung!K22,IF(UPPER(Planung!K22)="H",$C22/2,0)))))))</f>
        <v>0</v>
      </c>
      <c r="L22" s="27">
        <f>IF($A22="",0,IF(Mitarbeiter!$G$20=FALSE,0,IF(AND(Mitarbeiter!$E$20&lt;&gt;"",L$5+6&lt;Mitarbeiter!$E$20),0,IF(AND(Mitarbeiter!$F$20&lt;&gt;"",L$5&gt;Mitarbeiter!$F$20),0,IF(Planung!L22="",$C22,IF(ISNUMBER(Planung!L22),Planung!L22,IF(UPPER(Planung!L22)="H",$C22/2,0)))))))</f>
        <v>0</v>
      </c>
      <c r="M22" s="27">
        <f>IF($A22="",0,IF(Mitarbeiter!$G$20=FALSE,0,IF(AND(Mitarbeiter!$E$20&lt;&gt;"",M$5+6&lt;Mitarbeiter!$E$20),0,IF(AND(Mitarbeiter!$F$20&lt;&gt;"",M$5&gt;Mitarbeiter!$F$20),0,IF(Planung!M22="",$C22,IF(ISNUMBER(Planung!M22),Planung!M22,IF(UPPER(Planung!M22)="H",$C22/2,0)))))))</f>
        <v>0</v>
      </c>
      <c r="N22" s="27">
        <f>IF($A22="",0,IF(Mitarbeiter!$G$20=FALSE,0,IF(AND(Mitarbeiter!$E$20&lt;&gt;"",N$5+6&lt;Mitarbeiter!$E$20),0,IF(AND(Mitarbeiter!$F$20&lt;&gt;"",N$5&gt;Mitarbeiter!$F$20),0,IF(Planung!N22="",$C22,IF(ISNUMBER(Planung!N22),Planung!N22,IF(UPPER(Planung!N22)="H",$C22/2,0)))))))</f>
        <v>0</v>
      </c>
      <c r="O22" s="27">
        <f>IF($A22="",0,IF(Mitarbeiter!$G$20=FALSE,0,IF(AND(Mitarbeiter!$E$20&lt;&gt;"",O$5+6&lt;Mitarbeiter!$E$20),0,IF(AND(Mitarbeiter!$F$20&lt;&gt;"",O$5&gt;Mitarbeiter!$F$20),0,IF(Planung!O22="",$C22,IF(ISNUMBER(Planung!O22),Planung!O22,IF(UPPER(Planung!O22)="H",$C22/2,0)))))))</f>
        <v>0</v>
      </c>
      <c r="P22" s="27">
        <f>IF($A22="",0,IF(Mitarbeiter!$G$20=FALSE,0,IF(AND(Mitarbeiter!$E$20&lt;&gt;"",P$5+6&lt;Mitarbeiter!$E$20),0,IF(AND(Mitarbeiter!$F$20&lt;&gt;"",P$5&gt;Mitarbeiter!$F$20),0,IF(Planung!P22="",$C22,IF(ISNUMBER(Planung!P22),Planung!P22,IF(UPPER(Planung!P22)="H",$C22/2,0)))))))</f>
        <v>0</v>
      </c>
      <c r="Q22" s="27">
        <f>IF($A22="",0,IF(Mitarbeiter!$G$20=FALSE,0,IF(AND(Mitarbeiter!$E$20&lt;&gt;"",Q$5+6&lt;Mitarbeiter!$E$20),0,IF(AND(Mitarbeiter!$F$20&lt;&gt;"",Q$5&gt;Mitarbeiter!$F$20),0,IF(Planung!Q22="",$C22,IF(ISNUMBER(Planung!Q22),Planung!Q22,IF(UPPER(Planung!Q22)="H",$C22/2,0)))))))</f>
        <v>0</v>
      </c>
      <c r="R22" s="27">
        <f>IF($A22="",0,IF(Mitarbeiter!$G$20=FALSE,0,IF(AND(Mitarbeiter!$E$20&lt;&gt;"",R$5+6&lt;Mitarbeiter!$E$20),0,IF(AND(Mitarbeiter!$F$20&lt;&gt;"",R$5&gt;Mitarbeiter!$F$20),0,IF(Planung!R22="",$C22,IF(ISNUMBER(Planung!R22),Planung!R22,IF(UPPER(Planung!R22)="H",$C22/2,0)))))))</f>
        <v>0</v>
      </c>
      <c r="S22" s="27">
        <f>IF($A22="",0,IF(Mitarbeiter!$G$20=FALSE,0,IF(AND(Mitarbeiter!$E$20&lt;&gt;"",S$5+6&lt;Mitarbeiter!$E$20),0,IF(AND(Mitarbeiter!$F$20&lt;&gt;"",S$5&gt;Mitarbeiter!$F$20),0,IF(Planung!S22="",$C22,IF(ISNUMBER(Planung!S22),Planung!S22,IF(UPPER(Planung!S22)="H",$C22/2,0)))))))</f>
        <v>0</v>
      </c>
      <c r="T22" s="27">
        <f>IF($A22="",0,IF(Mitarbeiter!$G$20=FALSE,0,IF(AND(Mitarbeiter!$E$20&lt;&gt;"",T$5+6&lt;Mitarbeiter!$E$20),0,IF(AND(Mitarbeiter!$F$20&lt;&gt;"",T$5&gt;Mitarbeiter!$F$20),0,IF(Planung!T22="",$C22,IF(ISNUMBER(Planung!T22),Planung!T22,IF(UPPER(Planung!T22)="H",$C22/2,0)))))))</f>
        <v>0</v>
      </c>
      <c r="U22" s="27">
        <f>IF($A22="",0,IF(Mitarbeiter!$G$20=FALSE,0,IF(AND(Mitarbeiter!$E$20&lt;&gt;"",U$5+6&lt;Mitarbeiter!$E$20),0,IF(AND(Mitarbeiter!$F$20&lt;&gt;"",U$5&gt;Mitarbeiter!$F$20),0,IF(Planung!U22="",$C22,IF(ISNUMBER(Planung!U22),Planung!U22,IF(UPPER(Planung!U22)="H",$C22/2,0)))))))</f>
        <v>0</v>
      </c>
      <c r="V22" s="27">
        <f>IF($A22="",0,IF(Mitarbeiter!$G$20=FALSE,0,IF(AND(Mitarbeiter!$E$20&lt;&gt;"",V$5+6&lt;Mitarbeiter!$E$20),0,IF(AND(Mitarbeiter!$F$20&lt;&gt;"",V$5&gt;Mitarbeiter!$F$20),0,IF(Planung!V22="",$C22,IF(ISNUMBER(Planung!V22),Planung!V22,IF(UPPER(Planung!V22)="H",$C22/2,0)))))))</f>
        <v>0</v>
      </c>
      <c r="W22" s="27">
        <f>IF($A22="",0,IF(Mitarbeiter!$G$20=FALSE,0,IF(AND(Mitarbeiter!$E$20&lt;&gt;"",W$5+6&lt;Mitarbeiter!$E$20),0,IF(AND(Mitarbeiter!$F$20&lt;&gt;"",W$5&gt;Mitarbeiter!$F$20),0,IF(Planung!W22="",$C22,IF(ISNUMBER(Planung!W22),Planung!W22,IF(UPPER(Planung!W22)="H",$C22/2,0)))))))</f>
        <v>0</v>
      </c>
      <c r="X22" s="27">
        <f>IF($A22="",0,IF(Mitarbeiter!$G$20=FALSE,0,IF(AND(Mitarbeiter!$E$20&lt;&gt;"",X$5+6&lt;Mitarbeiter!$E$20),0,IF(AND(Mitarbeiter!$F$20&lt;&gt;"",X$5&gt;Mitarbeiter!$F$20),0,IF(Planung!X22="",$C22,IF(ISNUMBER(Planung!X22),Planung!X22,IF(UPPER(Planung!X22)="H",$C22/2,0)))))))</f>
        <v>0</v>
      </c>
      <c r="Y22" s="27">
        <f>IF($A22="",0,IF(Mitarbeiter!$G$20=FALSE,0,IF(AND(Mitarbeiter!$E$20&lt;&gt;"",Y$5+6&lt;Mitarbeiter!$E$20),0,IF(AND(Mitarbeiter!$F$20&lt;&gt;"",Y$5&gt;Mitarbeiter!$F$20),0,IF(Planung!Y22="",$C22,IF(ISNUMBER(Planung!Y22),Planung!Y22,IF(UPPER(Planung!Y22)="H",$C22/2,0)))))))</f>
        <v>0</v>
      </c>
      <c r="Z22" s="27">
        <f>IF($A22="",0,IF(Mitarbeiter!$G$20=FALSE,0,IF(AND(Mitarbeiter!$E$20&lt;&gt;"",Z$5+6&lt;Mitarbeiter!$E$20),0,IF(AND(Mitarbeiter!$F$20&lt;&gt;"",Z$5&gt;Mitarbeiter!$F$20),0,IF(Planung!Z22="",$C22,IF(ISNUMBER(Planung!Z22),Planung!Z22,IF(UPPER(Planung!Z22)="H",$C22/2,0)))))))</f>
        <v>0</v>
      </c>
      <c r="AA22" s="27">
        <f>IF($A22="",0,IF(Mitarbeiter!$G$20=FALSE,0,IF(AND(Mitarbeiter!$E$20&lt;&gt;"",AA$5+6&lt;Mitarbeiter!$E$20),0,IF(AND(Mitarbeiter!$F$20&lt;&gt;"",AA$5&gt;Mitarbeiter!$F$20),0,IF(Planung!AA22="",$C22,IF(ISNUMBER(Planung!AA22),Planung!AA22,IF(UPPER(Planung!AA22)="H",$C22/2,0)))))))</f>
        <v>0</v>
      </c>
      <c r="AB22" s="27">
        <f>IF($A22="",0,IF(Mitarbeiter!$G$20=FALSE,0,IF(AND(Mitarbeiter!$E$20&lt;&gt;"",AB$5+6&lt;Mitarbeiter!$E$20),0,IF(AND(Mitarbeiter!$F$20&lt;&gt;"",AB$5&gt;Mitarbeiter!$F$20),0,IF(Planung!AB22="",$C22,IF(ISNUMBER(Planung!AB22),Planung!AB22,IF(UPPER(Planung!AB22)="H",$C22/2,0)))))))</f>
        <v>0</v>
      </c>
      <c r="AC22" s="27">
        <f>IF($A22="",0,IF(Mitarbeiter!$G$20=FALSE,0,IF(AND(Mitarbeiter!$E$20&lt;&gt;"",AC$5+6&lt;Mitarbeiter!$E$20),0,IF(AND(Mitarbeiter!$F$20&lt;&gt;"",AC$5&gt;Mitarbeiter!$F$20),0,IF(Planung!AC22="",$C22,IF(ISNUMBER(Planung!AC22),Planung!AC22,IF(UPPER(Planung!AC22)="H",$C22/2,0)))))))</f>
        <v>0</v>
      </c>
      <c r="AD22" s="27">
        <f>IF($A22="",0,IF(Mitarbeiter!$G$20=FALSE,0,IF(AND(Mitarbeiter!$E$20&lt;&gt;"",AD$5+6&lt;Mitarbeiter!$E$20),0,IF(AND(Mitarbeiter!$F$20&lt;&gt;"",AD$5&gt;Mitarbeiter!$F$20),0,IF(Planung!AD22="",$C22,IF(ISNUMBER(Planung!AD22),Planung!AD22,IF(UPPER(Planung!AD22)="H",$C22/2,0)))))))</f>
        <v>0</v>
      </c>
      <c r="AE22" s="27">
        <f>IF($A22="",0,IF(Mitarbeiter!$G$20=FALSE,0,IF(AND(Mitarbeiter!$E$20&lt;&gt;"",AE$5+6&lt;Mitarbeiter!$E$20),0,IF(AND(Mitarbeiter!$F$20&lt;&gt;"",AE$5&gt;Mitarbeiter!$F$20),0,IF(Planung!AE22="",$C22,IF(ISNUMBER(Planung!AE22),Planung!AE22,IF(UPPER(Planung!AE22)="H",$C22/2,0)))))))</f>
        <v>0</v>
      </c>
      <c r="AF22" s="27">
        <f>IF($A22="",0,IF(Mitarbeiter!$G$20=FALSE,0,IF(AND(Mitarbeiter!$E$20&lt;&gt;"",AF$5+6&lt;Mitarbeiter!$E$20),0,IF(AND(Mitarbeiter!$F$20&lt;&gt;"",AF$5&gt;Mitarbeiter!$F$20),0,IF(Planung!AF22="",$C22,IF(ISNUMBER(Planung!AF22),Planung!AF22,IF(UPPER(Planung!AF22)="H",$C22/2,0)))))))</f>
        <v>0</v>
      </c>
      <c r="AG22" s="27">
        <f>IF($A22="",0,IF(Mitarbeiter!$G$20=FALSE,0,IF(AND(Mitarbeiter!$E$20&lt;&gt;"",AG$5+6&lt;Mitarbeiter!$E$20),0,IF(AND(Mitarbeiter!$F$20&lt;&gt;"",AG$5&gt;Mitarbeiter!$F$20),0,IF(Planung!AG22="",$C22,IF(ISNUMBER(Planung!AG22),Planung!AG22,IF(UPPER(Planung!AG22)="H",$C22/2,0)))))))</f>
        <v>0</v>
      </c>
      <c r="AH22" s="27">
        <f>IF($A22="",0,IF(Mitarbeiter!$G$20=FALSE,0,IF(AND(Mitarbeiter!$E$20&lt;&gt;"",AH$5+6&lt;Mitarbeiter!$E$20),0,IF(AND(Mitarbeiter!$F$20&lt;&gt;"",AH$5&gt;Mitarbeiter!$F$20),0,IF(Planung!AH22="",$C22,IF(ISNUMBER(Planung!AH22),Planung!AH22,IF(UPPER(Planung!AH22)="H",$C22/2,0)))))))</f>
        <v>0</v>
      </c>
      <c r="AI22" s="27">
        <f>IF($A22="",0,IF(Mitarbeiter!$G$20=FALSE,0,IF(AND(Mitarbeiter!$E$20&lt;&gt;"",AI$5+6&lt;Mitarbeiter!$E$20),0,IF(AND(Mitarbeiter!$F$20&lt;&gt;"",AI$5&gt;Mitarbeiter!$F$20),0,IF(Planung!AI22="",$C22,IF(ISNUMBER(Planung!AI22),Planung!AI22,IF(UPPER(Planung!AI22)="H",$C22/2,0)))))))</f>
        <v>0</v>
      </c>
      <c r="AJ22" s="27">
        <f>IF($A22="",0,IF(Mitarbeiter!$G$20=FALSE,0,IF(AND(Mitarbeiter!$E$20&lt;&gt;"",AJ$5+6&lt;Mitarbeiter!$E$20),0,IF(AND(Mitarbeiter!$F$20&lt;&gt;"",AJ$5&gt;Mitarbeiter!$F$20),0,IF(Planung!AJ22="",$C22,IF(ISNUMBER(Planung!AJ22),Planung!AJ22,IF(UPPER(Planung!AJ22)="H",$C22/2,0)))))))</f>
        <v>0</v>
      </c>
      <c r="AK22" s="27">
        <f>IF($A22="",0,IF(Mitarbeiter!$G$20=FALSE,0,IF(AND(Mitarbeiter!$E$20&lt;&gt;"",AK$5+6&lt;Mitarbeiter!$E$20),0,IF(AND(Mitarbeiter!$F$20&lt;&gt;"",AK$5&gt;Mitarbeiter!$F$20),0,IF(Planung!AK22="",$C22,IF(ISNUMBER(Planung!AK22),Planung!AK22,IF(UPPER(Planung!AK22)="H",$C22/2,0)))))))</f>
        <v>0</v>
      </c>
      <c r="AL22" s="27">
        <f>IF($A22="",0,IF(Mitarbeiter!$G$20=FALSE,0,IF(AND(Mitarbeiter!$E$20&lt;&gt;"",AL$5+6&lt;Mitarbeiter!$E$20),0,IF(AND(Mitarbeiter!$F$20&lt;&gt;"",AL$5&gt;Mitarbeiter!$F$20),0,IF(Planung!AL22="",$C22,IF(ISNUMBER(Planung!AL22),Planung!AL22,IF(UPPER(Planung!AL22)="H",$C22/2,0)))))))</f>
        <v>0</v>
      </c>
      <c r="AM22" s="27">
        <f>IF($A22="",0,IF(Mitarbeiter!$G$20=FALSE,0,IF(AND(Mitarbeiter!$E$20&lt;&gt;"",AM$5+6&lt;Mitarbeiter!$E$20),0,IF(AND(Mitarbeiter!$F$20&lt;&gt;"",AM$5&gt;Mitarbeiter!$F$20),0,IF(Planung!AM22="",$C22,IF(ISNUMBER(Planung!AM22),Planung!AM22,IF(UPPER(Planung!AM22)="H",$C22/2,0)))))))</f>
        <v>0</v>
      </c>
      <c r="AN22" s="27">
        <f>IF($A22="",0,IF(Mitarbeiter!$G$20=FALSE,0,IF(AND(Mitarbeiter!$E$20&lt;&gt;"",AN$5+6&lt;Mitarbeiter!$E$20),0,IF(AND(Mitarbeiter!$F$20&lt;&gt;"",AN$5&gt;Mitarbeiter!$F$20),0,IF(Planung!AN22="",$C22,IF(ISNUMBER(Planung!AN22),Planung!AN22,IF(UPPER(Planung!AN22)="H",$C22/2,0)))))))</f>
        <v>0</v>
      </c>
      <c r="AO22" s="27">
        <f>IF($A22="",0,IF(Mitarbeiter!$G$20=FALSE,0,IF(AND(Mitarbeiter!$E$20&lt;&gt;"",AO$5+6&lt;Mitarbeiter!$E$20),0,IF(AND(Mitarbeiter!$F$20&lt;&gt;"",AO$5&gt;Mitarbeiter!$F$20),0,IF(Planung!AO22="",$C22,IF(ISNUMBER(Planung!AO22),Planung!AO22,IF(UPPER(Planung!AO22)="H",$C22/2,0)))))))</f>
        <v>0</v>
      </c>
      <c r="AP22" s="27">
        <f>IF($A22="",0,IF(Mitarbeiter!$G$20=FALSE,0,IF(AND(Mitarbeiter!$E$20&lt;&gt;"",AP$5+6&lt;Mitarbeiter!$E$20),0,IF(AND(Mitarbeiter!$F$20&lt;&gt;"",AP$5&gt;Mitarbeiter!$F$20),0,IF(Planung!AP22="",$C22,IF(ISNUMBER(Planung!AP22),Planung!AP22,IF(UPPER(Planung!AP22)="H",$C22/2,0)))))))</f>
        <v>0</v>
      </c>
      <c r="AQ22" s="27">
        <f>IF($A22="",0,IF(Mitarbeiter!$G$20=FALSE,0,IF(AND(Mitarbeiter!$E$20&lt;&gt;"",AQ$5+6&lt;Mitarbeiter!$E$20),0,IF(AND(Mitarbeiter!$F$20&lt;&gt;"",AQ$5&gt;Mitarbeiter!$F$20),0,IF(Planung!AQ22="",$C22,IF(ISNUMBER(Planung!AQ22),Planung!AQ22,IF(UPPER(Planung!AQ22)="H",$C22/2,0)))))))</f>
        <v>0</v>
      </c>
      <c r="AR22" s="27">
        <f>IF($A22="",0,IF(Mitarbeiter!$G$20=FALSE,0,IF(AND(Mitarbeiter!$E$20&lt;&gt;"",AR$5+6&lt;Mitarbeiter!$E$20),0,IF(AND(Mitarbeiter!$F$20&lt;&gt;"",AR$5&gt;Mitarbeiter!$F$20),0,IF(Planung!AR22="",$C22,IF(ISNUMBER(Planung!AR22),Planung!AR22,IF(UPPER(Planung!AR22)="H",$C22/2,0)))))))</f>
        <v>0</v>
      </c>
      <c r="AS22" s="27">
        <f>IF($A22="",0,IF(Mitarbeiter!$G$20=FALSE,0,IF(AND(Mitarbeiter!$E$20&lt;&gt;"",AS$5+6&lt;Mitarbeiter!$E$20),0,IF(AND(Mitarbeiter!$F$20&lt;&gt;"",AS$5&gt;Mitarbeiter!$F$20),0,IF(Planung!AS22="",$C22,IF(ISNUMBER(Planung!AS22),Planung!AS22,IF(UPPER(Planung!AS22)="H",$C22/2,0)))))))</f>
        <v>0</v>
      </c>
      <c r="AT22" s="27">
        <f>IF($A22="",0,IF(Mitarbeiter!$G$20=FALSE,0,IF(AND(Mitarbeiter!$E$20&lt;&gt;"",AT$5+6&lt;Mitarbeiter!$E$20),0,IF(AND(Mitarbeiter!$F$20&lt;&gt;"",AT$5&gt;Mitarbeiter!$F$20),0,IF(Planung!AT22="",$C22,IF(ISNUMBER(Planung!AT22),Planung!AT22,IF(UPPER(Planung!AT22)="H",$C22/2,0)))))))</f>
        <v>0</v>
      </c>
      <c r="AU22" s="27">
        <f>IF($A22="",0,IF(Mitarbeiter!$G$20=FALSE,0,IF(AND(Mitarbeiter!$E$20&lt;&gt;"",AU$5+6&lt;Mitarbeiter!$E$20),0,IF(AND(Mitarbeiter!$F$20&lt;&gt;"",AU$5&gt;Mitarbeiter!$F$20),0,IF(Planung!AU22="",$C22,IF(ISNUMBER(Planung!AU22),Planung!AU22,IF(UPPER(Planung!AU22)="H",$C22/2,0)))))))</f>
        <v>0</v>
      </c>
      <c r="AV22" s="27">
        <f>IF($A22="",0,IF(Mitarbeiter!$G$20=FALSE,0,IF(AND(Mitarbeiter!$E$20&lt;&gt;"",AV$5+6&lt;Mitarbeiter!$E$20),0,IF(AND(Mitarbeiter!$F$20&lt;&gt;"",AV$5&gt;Mitarbeiter!$F$20),0,IF(Planung!AV22="",$C22,IF(ISNUMBER(Planung!AV22),Planung!AV22,IF(UPPER(Planung!AV22)="H",$C22/2,0)))))))</f>
        <v>0</v>
      </c>
      <c r="AW22" s="27">
        <f>IF($A22="",0,IF(Mitarbeiter!$G$20=FALSE,0,IF(AND(Mitarbeiter!$E$20&lt;&gt;"",AW$5+6&lt;Mitarbeiter!$E$20),0,IF(AND(Mitarbeiter!$F$20&lt;&gt;"",AW$5&gt;Mitarbeiter!$F$20),0,IF(Planung!AW22="",$C22,IF(ISNUMBER(Planung!AW22),Planung!AW22,IF(UPPER(Planung!AW22)="H",$C22/2,0)))))))</f>
        <v>0</v>
      </c>
      <c r="AX22" s="27">
        <f>IF($A22="",0,IF(Mitarbeiter!$G$20=FALSE,0,IF(AND(Mitarbeiter!$E$20&lt;&gt;"",AX$5+6&lt;Mitarbeiter!$E$20),0,IF(AND(Mitarbeiter!$F$20&lt;&gt;"",AX$5&gt;Mitarbeiter!$F$20),0,IF(Planung!AX22="",$C22,IF(ISNUMBER(Planung!AX22),Planung!AX22,IF(UPPER(Planung!AX22)="H",$C22/2,0)))))))</f>
        <v>0</v>
      </c>
      <c r="AY22" s="27">
        <f>IF($A22="",0,IF(Mitarbeiter!$G$20=FALSE,0,IF(AND(Mitarbeiter!$E$20&lt;&gt;"",AY$5+6&lt;Mitarbeiter!$E$20),0,IF(AND(Mitarbeiter!$F$20&lt;&gt;"",AY$5&gt;Mitarbeiter!$F$20),0,IF(Planung!AY22="",$C22,IF(ISNUMBER(Planung!AY22),Planung!AY22,IF(UPPER(Planung!AY22)="H",$C22/2,0)))))))</f>
        <v>0</v>
      </c>
      <c r="AZ22" s="27">
        <f>IF($A22="",0,IF(Mitarbeiter!$G$20=FALSE,0,IF(AND(Mitarbeiter!$E$20&lt;&gt;"",AZ$5+6&lt;Mitarbeiter!$E$20),0,IF(AND(Mitarbeiter!$F$20&lt;&gt;"",AZ$5&gt;Mitarbeiter!$F$20),0,IF(Planung!AZ22="",$C22,IF(ISNUMBER(Planung!AZ22),Planung!AZ22,IF(UPPER(Planung!AZ22)="H",$C22/2,0)))))))</f>
        <v>0</v>
      </c>
      <c r="BA22" s="27">
        <f>IF($A22="",0,IF(Mitarbeiter!$G$20=FALSE,0,IF(AND(Mitarbeiter!$E$20&lt;&gt;"",BA$5+6&lt;Mitarbeiter!$E$20),0,IF(AND(Mitarbeiter!$F$20&lt;&gt;"",BA$5&gt;Mitarbeiter!$F$20),0,IF(Planung!BA22="",$C22,IF(ISNUMBER(Planung!BA22),Planung!BA22,IF(UPPER(Planung!BA22)="H",$C22/2,0)))))))</f>
        <v>0</v>
      </c>
      <c r="BB22" s="27">
        <f>IF($A22="",0,IF(Mitarbeiter!$G$20=FALSE,0,IF(AND(Mitarbeiter!$E$20&lt;&gt;"",BB$5+6&lt;Mitarbeiter!$E$20),0,IF(AND(Mitarbeiter!$F$20&lt;&gt;"",BB$5&gt;Mitarbeiter!$F$20),0,IF(Planung!BB22="",$C22,IF(ISNUMBER(Planung!BB22),Planung!BB22,IF(UPPER(Planung!BB22)="H",$C22/2,0)))))))</f>
        <v>0</v>
      </c>
      <c r="BC22" s="27">
        <f>IF($A22="",0,IF(Mitarbeiter!$G$20=FALSE,0,IF(AND(Mitarbeiter!$E$20&lt;&gt;"",BC$5+6&lt;Mitarbeiter!$E$20),0,IF(AND(Mitarbeiter!$F$20&lt;&gt;"",BC$5&gt;Mitarbeiter!$F$20),0,IF(Planung!BC22="",$C22,IF(ISNUMBER(Planung!BC22),Planung!BC22,IF(UPPER(Planung!BC22)="H",$C22/2,0)))))))</f>
        <v>0</v>
      </c>
      <c r="BD22" s="27">
        <f>IF($A22="",0,IF(Mitarbeiter!$G$20=FALSE,0,IF(AND(Mitarbeiter!$E$20&lt;&gt;"",BD$5+6&lt;Mitarbeiter!$E$20),0,IF(AND(Mitarbeiter!$F$20&lt;&gt;"",BD$5&gt;Mitarbeiter!$F$20),0,IF(Planung!BD22="",$C22,IF(ISNUMBER(Planung!BD22),Planung!BD22,IF(UPPER(Planung!BD22)="H",$C22/2,0)))))))</f>
        <v>0</v>
      </c>
      <c r="BE22" s="27">
        <f>IF($A22="",0,IF(Mitarbeiter!$G$20=FALSE,0,IF(AND(Mitarbeiter!$E$20&lt;&gt;"",BE$5+6&lt;Mitarbeiter!$E$20),0,IF(AND(Mitarbeiter!$F$20&lt;&gt;"",BE$5&gt;Mitarbeiter!$F$20),0,IF(Planung!BE22="",$C22,IF(ISNUMBER(Planung!BE22),Planung!BE22,IF(UPPER(Planung!BE22)="H",$C22/2,0)))))))</f>
        <v>0</v>
      </c>
      <c r="BF22" s="27">
        <f>IF($A22="",0,IF(Mitarbeiter!$G$20=FALSE,0,IF(AND(Mitarbeiter!$E$20&lt;&gt;"",BF$5+6&lt;Mitarbeiter!$E$20),0,IF(AND(Mitarbeiter!$F$20&lt;&gt;"",BF$5&gt;Mitarbeiter!$F$20),0,IF(Planung!BF22="",$C22,IF(ISNUMBER(Planung!BF22),Planung!BF22,IF(UPPER(Planung!BF22)="H",$C22/2,0)))))))</f>
        <v>0</v>
      </c>
      <c r="BG22" s="27">
        <f>IF($A22="",0,IF(Mitarbeiter!$G$20=FALSE,0,IF(AND(Mitarbeiter!$E$20&lt;&gt;"",BG$5+6&lt;Mitarbeiter!$E$20),0,IF(AND(Mitarbeiter!$F$20&lt;&gt;"",BG$5&gt;Mitarbeiter!$F$20),0,IF(Planung!BG22="",$C22,IF(ISNUMBER(Planung!BG22),Planung!BG22,IF(UPPER(Planung!BG22)="H",$C22/2,0)))))))</f>
        <v>0</v>
      </c>
      <c r="BH22" s="27">
        <f>IF($A22="",0,IF(Mitarbeiter!$G$20=FALSE,0,IF(AND(Mitarbeiter!$E$20&lt;&gt;"",BH$5+6&lt;Mitarbeiter!$E$20),0,IF(AND(Mitarbeiter!$F$20&lt;&gt;"",BH$5&gt;Mitarbeiter!$F$20),0,IF(Planung!BH22="",$C22,IF(ISNUMBER(Planung!BH22),Planung!BH22,IF(UPPER(Planung!BH22)="H",$C22/2,0)))))))</f>
        <v>0</v>
      </c>
      <c r="BI22" s="27">
        <f>IF($A22="",0,IF(Mitarbeiter!$G$20=FALSE,0,IF(AND(Mitarbeiter!$E$20&lt;&gt;"",BI$5+6&lt;Mitarbeiter!$E$20),0,IF(AND(Mitarbeiter!$F$20&lt;&gt;"",BI$5&gt;Mitarbeiter!$F$20),0,IF(Planung!BI22="",$C22,IF(ISNUMBER(Planung!BI22),Planung!BI22,IF(UPPER(Planung!BI22)="H",$C22/2,0)))))))</f>
        <v>0</v>
      </c>
      <c r="BJ22" s="27">
        <f>IF($A22="",0,IF(Mitarbeiter!$G$20=FALSE,0,IF(AND(Mitarbeiter!$E$20&lt;&gt;"",BJ$5+6&lt;Mitarbeiter!$E$20),0,IF(AND(Mitarbeiter!$F$20&lt;&gt;"",BJ$5&gt;Mitarbeiter!$F$20),0,IF(Planung!BJ22="",$C22,IF(ISNUMBER(Planung!BJ22),Planung!BJ22,IF(UPPER(Planung!BJ22)="H",$C22/2,0)))))))</f>
        <v>0</v>
      </c>
      <c r="BK22" s="27">
        <f>IF($A22="",0,IF(Mitarbeiter!$G$20=FALSE,0,IF(AND(Mitarbeiter!$E$20&lt;&gt;"",BK$5+6&lt;Mitarbeiter!$E$20),0,IF(AND(Mitarbeiter!$F$20&lt;&gt;"",BK$5&gt;Mitarbeiter!$F$20),0,IF(Planung!BK22="",$C22,IF(ISNUMBER(Planung!BK22),Planung!BK22,IF(UPPER(Planung!BK22)="H",$C22/2,0)))))))</f>
        <v>0</v>
      </c>
      <c r="BL22" s="27">
        <f>IF($A22="",0,IF(Mitarbeiter!$G$20=FALSE,0,IF(AND(Mitarbeiter!$E$20&lt;&gt;"",BL$5+6&lt;Mitarbeiter!$E$20),0,IF(AND(Mitarbeiter!$F$20&lt;&gt;"",BL$5&gt;Mitarbeiter!$F$20),0,IF(Planung!BL22="",$C22,IF(ISNUMBER(Planung!BL22),Planung!BL22,IF(UPPER(Planung!BL22)="H",$C22/2,0)))))))</f>
        <v>0</v>
      </c>
      <c r="BM22" s="27">
        <f>IF($A22="",0,IF(Mitarbeiter!$G$20=FALSE,0,IF(AND(Mitarbeiter!$E$20&lt;&gt;"",BM$5+6&lt;Mitarbeiter!$E$20),0,IF(AND(Mitarbeiter!$F$20&lt;&gt;"",BM$5&gt;Mitarbeiter!$F$20),0,IF(Planung!BM22="",$C22,IF(ISNUMBER(Planung!BM22),Planung!BM22,IF(UPPER(Planung!BM22)="H",$C22/2,0)))))))</f>
        <v>0</v>
      </c>
      <c r="BN22" s="27">
        <f>IF($A22="",0,IF(Mitarbeiter!$G$20=FALSE,0,IF(AND(Mitarbeiter!$E$20&lt;&gt;"",BN$5+6&lt;Mitarbeiter!$E$20),0,IF(AND(Mitarbeiter!$F$20&lt;&gt;"",BN$5&gt;Mitarbeiter!$F$20),0,IF(Planung!BN22="",$C22,IF(ISNUMBER(Planung!BN22),Planung!BN22,IF(UPPER(Planung!BN22)="H",$C22/2,0)))))))</f>
        <v>0</v>
      </c>
      <c r="BO22" s="27">
        <f>IF($A22="",0,IF(Mitarbeiter!$G$20=FALSE,0,IF(AND(Mitarbeiter!$E$20&lt;&gt;"",BO$5+6&lt;Mitarbeiter!$E$20),0,IF(AND(Mitarbeiter!$F$20&lt;&gt;"",BO$5&gt;Mitarbeiter!$F$20),0,IF(Planung!BO22="",$C22,IF(ISNUMBER(Planung!BO22),Planung!BO22,IF(UPPER(Planung!BO22)="H",$C22/2,0)))))))</f>
        <v>0</v>
      </c>
      <c r="BP22" s="27">
        <f>IF($A22="",0,IF(Mitarbeiter!$G$20=FALSE,0,IF(AND(Mitarbeiter!$E$20&lt;&gt;"",BP$5+6&lt;Mitarbeiter!$E$20),0,IF(AND(Mitarbeiter!$F$20&lt;&gt;"",BP$5&gt;Mitarbeiter!$F$20),0,IF(Planung!BP22="",$C22,IF(ISNUMBER(Planung!BP22),Planung!BP22,IF(UPPER(Planung!BP22)="H",$C22/2,0)))))))</f>
        <v>0</v>
      </c>
      <c r="BQ22" s="27">
        <f>IF($A22="",0,IF(Mitarbeiter!$G$20=FALSE,0,IF(AND(Mitarbeiter!$E$20&lt;&gt;"",BQ$5+6&lt;Mitarbeiter!$E$20),0,IF(AND(Mitarbeiter!$F$20&lt;&gt;"",BQ$5&gt;Mitarbeiter!$F$20),0,IF(Planung!BQ22="",$C22,IF(ISNUMBER(Planung!BQ22),Planung!BQ22,IF(UPPER(Planung!BQ22)="H",$C22/2,0)))))))</f>
        <v>0</v>
      </c>
      <c r="BR22" s="27">
        <f>IF($A22="",0,IF(Mitarbeiter!$G$20=FALSE,0,IF(AND(Mitarbeiter!$E$20&lt;&gt;"",BR$5+6&lt;Mitarbeiter!$E$20),0,IF(AND(Mitarbeiter!$F$20&lt;&gt;"",BR$5&gt;Mitarbeiter!$F$20),0,IF(Planung!BR22="",$C22,IF(ISNUMBER(Planung!BR22),Planung!BR22,IF(UPPER(Planung!BR22)="H",$C22/2,0)))))))</f>
        <v>0</v>
      </c>
      <c r="BS22" s="27">
        <f>IF($A22="",0,IF(Mitarbeiter!$G$20=FALSE,0,IF(AND(Mitarbeiter!$E$20&lt;&gt;"",BS$5+6&lt;Mitarbeiter!$E$20),0,IF(AND(Mitarbeiter!$F$20&lt;&gt;"",BS$5&gt;Mitarbeiter!$F$20),0,IF(Planung!BS22="",$C22,IF(ISNUMBER(Planung!BS22),Planung!BS22,IF(UPPER(Planung!BS22)="H",$C22/2,0)))))))</f>
        <v>0</v>
      </c>
      <c r="BT22" s="27">
        <f>IF($A22="",0,IF(Mitarbeiter!$G$20=FALSE,0,IF(AND(Mitarbeiter!$E$20&lt;&gt;"",BT$5+6&lt;Mitarbeiter!$E$20),0,IF(AND(Mitarbeiter!$F$20&lt;&gt;"",BT$5&gt;Mitarbeiter!$F$20),0,IF(Planung!BT22="",$C22,IF(ISNUMBER(Planung!BT22),Planung!BT22,IF(UPPER(Planung!BT22)="H",$C22/2,0)))))))</f>
        <v>0</v>
      </c>
      <c r="BU22" s="27">
        <f>IF($A22="",0,IF(Mitarbeiter!$G$20=FALSE,0,IF(AND(Mitarbeiter!$E$20&lt;&gt;"",BU$5+6&lt;Mitarbeiter!$E$20),0,IF(AND(Mitarbeiter!$F$20&lt;&gt;"",BU$5&gt;Mitarbeiter!$F$20),0,IF(Planung!BU22="",$C22,IF(ISNUMBER(Planung!BU22),Planung!BU22,IF(UPPER(Planung!BU22)="H",$C22/2,0)))))))</f>
        <v>0</v>
      </c>
      <c r="BV22" s="27">
        <f>IF($A22="",0,IF(Mitarbeiter!$G$20=FALSE,0,IF(AND(Mitarbeiter!$E$20&lt;&gt;"",BV$5+6&lt;Mitarbeiter!$E$20),0,IF(AND(Mitarbeiter!$F$20&lt;&gt;"",BV$5&gt;Mitarbeiter!$F$20),0,IF(Planung!BV22="",$C22,IF(ISNUMBER(Planung!BV22),Planung!BV22,IF(UPPER(Planung!BV22)="H",$C22/2,0)))))))</f>
        <v>0</v>
      </c>
      <c r="BW22" s="27">
        <f>IF($A22="",0,IF(Mitarbeiter!$G$20=FALSE,0,IF(AND(Mitarbeiter!$E$20&lt;&gt;"",BW$5+6&lt;Mitarbeiter!$E$20),0,IF(AND(Mitarbeiter!$F$20&lt;&gt;"",BW$5&gt;Mitarbeiter!$F$20),0,IF(Planung!BW22="",$C22,IF(ISNUMBER(Planung!BW22),Planung!BW22,IF(UPPER(Planung!BW22)="H",$C22/2,0)))))))</f>
        <v>0</v>
      </c>
      <c r="BX22" s="27">
        <f>IF($A22="",0,IF(Mitarbeiter!$G$20=FALSE,0,IF(AND(Mitarbeiter!$E$20&lt;&gt;"",BX$5+6&lt;Mitarbeiter!$E$20),0,IF(AND(Mitarbeiter!$F$20&lt;&gt;"",BX$5&gt;Mitarbeiter!$F$20),0,IF(Planung!BX22="",$C22,IF(ISNUMBER(Planung!BX22),Planung!BX22,IF(UPPER(Planung!BX22)="H",$C22/2,0)))))))</f>
        <v>0</v>
      </c>
      <c r="BY22" s="27">
        <f>IF($A22="",0,IF(Mitarbeiter!$G$20=FALSE,0,IF(AND(Mitarbeiter!$E$20&lt;&gt;"",BY$5+6&lt;Mitarbeiter!$E$20),0,IF(AND(Mitarbeiter!$F$20&lt;&gt;"",BY$5&gt;Mitarbeiter!$F$20),0,IF(Planung!BY22="",$C22,IF(ISNUMBER(Planung!BY22),Planung!BY22,IF(UPPER(Planung!BY22)="H",$C22/2,0)))))))</f>
        <v>0</v>
      </c>
      <c r="BZ22" s="27">
        <f>IF($A22="",0,IF(Mitarbeiter!$G$20=FALSE,0,IF(AND(Mitarbeiter!$E$20&lt;&gt;"",BZ$5+6&lt;Mitarbeiter!$E$20),0,IF(AND(Mitarbeiter!$F$20&lt;&gt;"",BZ$5&gt;Mitarbeiter!$F$20),0,IF(Planung!BZ22="",$C22,IF(ISNUMBER(Planung!BZ22),Planung!BZ22,IF(UPPER(Planung!BZ22)="H",$C22/2,0)))))))</f>
        <v>0</v>
      </c>
      <c r="CA22" s="27">
        <f>IF($A22="",0,IF(Mitarbeiter!$G$20=FALSE,0,IF(AND(Mitarbeiter!$E$20&lt;&gt;"",CA$5+6&lt;Mitarbeiter!$E$20),0,IF(AND(Mitarbeiter!$F$20&lt;&gt;"",CA$5&gt;Mitarbeiter!$F$20),0,IF(Planung!CA22="",$C22,IF(ISNUMBER(Planung!CA22),Planung!CA22,IF(UPPER(Planung!CA22)="H",$C22/2,0)))))))</f>
        <v>0</v>
      </c>
      <c r="CB22" s="27">
        <f>IF($A22="",0,IF(Mitarbeiter!$G$20=FALSE,0,IF(AND(Mitarbeiter!$E$20&lt;&gt;"",CB$5+6&lt;Mitarbeiter!$E$20),0,IF(AND(Mitarbeiter!$F$20&lt;&gt;"",CB$5&gt;Mitarbeiter!$F$20),0,IF(Planung!CB22="",$C22,IF(ISNUMBER(Planung!CB22),Planung!CB22,IF(UPPER(Planung!CB22)="H",$C22/2,0)))))))</f>
        <v>0</v>
      </c>
      <c r="CC22" s="27">
        <f>IF($A22="",0,IF(Mitarbeiter!$G$20=FALSE,0,IF(AND(Mitarbeiter!$E$20&lt;&gt;"",CC$5+6&lt;Mitarbeiter!$E$20),0,IF(AND(Mitarbeiter!$F$20&lt;&gt;"",CC$5&gt;Mitarbeiter!$F$20),0,IF(Planung!CC22="",$C22,IF(ISNUMBER(Planung!CC22),Planung!CC22,IF(UPPER(Planung!CC22)="H",$C22/2,0)))))))</f>
        <v>0</v>
      </c>
      <c r="CD22" s="27">
        <f>IF($A22="",0,IF(Mitarbeiter!$G$20=FALSE,0,IF(AND(Mitarbeiter!$E$20&lt;&gt;"",CD$5+6&lt;Mitarbeiter!$E$20),0,IF(AND(Mitarbeiter!$F$20&lt;&gt;"",CD$5&gt;Mitarbeiter!$F$20),0,IF(Planung!CD22="",$C22,IF(ISNUMBER(Planung!CD22),Planung!CD22,IF(UPPER(Planung!CD22)="H",$C22/2,0)))))))</f>
        <v>0</v>
      </c>
      <c r="CE22" s="27">
        <f>IF($A22="",0,IF(Mitarbeiter!$G$20=FALSE,0,IF(AND(Mitarbeiter!$E$20&lt;&gt;"",CE$5+6&lt;Mitarbeiter!$E$20),0,IF(AND(Mitarbeiter!$F$20&lt;&gt;"",CE$5&gt;Mitarbeiter!$F$20),0,IF(Planung!CE22="",$C22,IF(ISNUMBER(Planung!CE22),Planung!CE22,IF(UPPER(Planung!CE22)="H",$C22/2,0)))))))</f>
        <v>0</v>
      </c>
      <c r="CF22" s="27">
        <f>IF($A22="",0,IF(Mitarbeiter!$G$20=FALSE,0,IF(AND(Mitarbeiter!$E$20&lt;&gt;"",CF$5+6&lt;Mitarbeiter!$E$20),0,IF(AND(Mitarbeiter!$F$20&lt;&gt;"",CF$5&gt;Mitarbeiter!$F$20),0,IF(Planung!CF22="",$C22,IF(ISNUMBER(Planung!CF22),Planung!CF22,IF(UPPER(Planung!CF22)="H",$C22/2,0)))))))</f>
        <v>0</v>
      </c>
      <c r="CG22" s="27">
        <f>IF($A22="",0,IF(Mitarbeiter!$G$20=FALSE,0,IF(AND(Mitarbeiter!$E$20&lt;&gt;"",CG$5+6&lt;Mitarbeiter!$E$20),0,IF(AND(Mitarbeiter!$F$20&lt;&gt;"",CG$5&gt;Mitarbeiter!$F$20),0,IF(Planung!CG22="",$C22,IF(ISNUMBER(Planung!CG22),Planung!CG22,IF(UPPER(Planung!CG22)="H",$C22/2,0)))))))</f>
        <v>0</v>
      </c>
      <c r="CH22" s="27">
        <f>IF($A22="",0,IF(Mitarbeiter!$G$20=FALSE,0,IF(AND(Mitarbeiter!$E$20&lt;&gt;"",CH$5+6&lt;Mitarbeiter!$E$20),0,IF(AND(Mitarbeiter!$F$20&lt;&gt;"",CH$5&gt;Mitarbeiter!$F$20),0,IF(Planung!CH22="",$C22,IF(ISNUMBER(Planung!CH22),Planung!CH22,IF(UPPER(Planung!CH22)="H",$C22/2,0)))))))</f>
        <v>0</v>
      </c>
      <c r="CI22" s="27">
        <f>IF($A22="",0,IF(Mitarbeiter!$G$20=FALSE,0,IF(AND(Mitarbeiter!$E$20&lt;&gt;"",CI$5+6&lt;Mitarbeiter!$E$20),0,IF(AND(Mitarbeiter!$F$20&lt;&gt;"",CI$5&gt;Mitarbeiter!$F$20),0,IF(Planung!CI22="",$C22,IF(ISNUMBER(Planung!CI22),Planung!CI22,IF(UPPER(Planung!CI22)="H",$C22/2,0)))))))</f>
        <v>0</v>
      </c>
      <c r="CJ22" s="27">
        <f>IF($A22="",0,IF(Mitarbeiter!$G$20=FALSE,0,IF(AND(Mitarbeiter!$E$20&lt;&gt;"",CJ$5+6&lt;Mitarbeiter!$E$20),0,IF(AND(Mitarbeiter!$F$20&lt;&gt;"",CJ$5&gt;Mitarbeiter!$F$20),0,IF(Planung!CJ22="",$C22,IF(ISNUMBER(Planung!CJ22),Planung!CJ22,IF(UPPER(Planung!CJ22)="H",$C22/2,0)))))))</f>
        <v>0</v>
      </c>
      <c r="CK22" s="27">
        <f>IF($A22="",0,IF(Mitarbeiter!$G$20=FALSE,0,IF(AND(Mitarbeiter!$E$20&lt;&gt;"",CK$5+6&lt;Mitarbeiter!$E$20),0,IF(AND(Mitarbeiter!$F$20&lt;&gt;"",CK$5&gt;Mitarbeiter!$F$20),0,IF(Planung!CK22="",$C22,IF(ISNUMBER(Planung!CK22),Planung!CK22,IF(UPPER(Planung!CK22)="H",$C22/2,0)))))))</f>
        <v>0</v>
      </c>
      <c r="CL22" s="27">
        <f>IF($A22="",0,IF(Mitarbeiter!$G$20=FALSE,0,IF(AND(Mitarbeiter!$E$20&lt;&gt;"",CL$5+6&lt;Mitarbeiter!$E$20),0,IF(AND(Mitarbeiter!$F$20&lt;&gt;"",CL$5&gt;Mitarbeiter!$F$20),0,IF(Planung!CL22="",$C22,IF(ISNUMBER(Planung!CL22),Planung!CL22,IF(UPPER(Planung!CL22)="H",$C22/2,0)))))))</f>
        <v>0</v>
      </c>
      <c r="CM22" s="27">
        <f>IF($A22="",0,IF(Mitarbeiter!$G$20=FALSE,0,IF(AND(Mitarbeiter!$E$20&lt;&gt;"",CM$5+6&lt;Mitarbeiter!$E$20),0,IF(AND(Mitarbeiter!$F$20&lt;&gt;"",CM$5&gt;Mitarbeiter!$F$20),0,IF(Planung!CM22="",$C22,IF(ISNUMBER(Planung!CM22),Planung!CM22,IF(UPPER(Planung!CM22)="H",$C22/2,0)))))))</f>
        <v>0</v>
      </c>
      <c r="CN22" s="27">
        <f>IF($A22="",0,IF(Mitarbeiter!$G$20=FALSE,0,IF(AND(Mitarbeiter!$E$20&lt;&gt;"",CN$5+6&lt;Mitarbeiter!$E$20),0,IF(AND(Mitarbeiter!$F$20&lt;&gt;"",CN$5&gt;Mitarbeiter!$F$20),0,IF(Planung!CN22="",$C22,IF(ISNUMBER(Planung!CN22),Planung!CN22,IF(UPPER(Planung!CN22)="H",$C22/2,0)))))))</f>
        <v>0</v>
      </c>
      <c r="CO22" s="27">
        <f>IF($A22="",0,IF(Mitarbeiter!$G$20=FALSE,0,IF(AND(Mitarbeiter!$E$20&lt;&gt;"",CO$5+6&lt;Mitarbeiter!$E$20),0,IF(AND(Mitarbeiter!$F$20&lt;&gt;"",CO$5&gt;Mitarbeiter!$F$20),0,IF(Planung!CO22="",$C22,IF(ISNUMBER(Planung!CO22),Planung!CO22,IF(UPPER(Planung!CO22)="H",$C22/2,0)))))))</f>
        <v>0</v>
      </c>
      <c r="CP22" s="27">
        <f>IF($A22="",0,IF(Mitarbeiter!$G$20=FALSE,0,IF(AND(Mitarbeiter!$E$20&lt;&gt;"",CP$5+6&lt;Mitarbeiter!$E$20),0,IF(AND(Mitarbeiter!$F$20&lt;&gt;"",CP$5&gt;Mitarbeiter!$F$20),0,IF(Planung!CP22="",$C22,IF(ISNUMBER(Planung!CP22),Planung!CP22,IF(UPPER(Planung!CP22)="H",$C22/2,0)))))))</f>
        <v>0</v>
      </c>
      <c r="CQ22" s="27">
        <f>IF($A22="",0,IF(Mitarbeiter!$G$20=FALSE,0,IF(AND(Mitarbeiter!$E$20&lt;&gt;"",CQ$5+6&lt;Mitarbeiter!$E$20),0,IF(AND(Mitarbeiter!$F$20&lt;&gt;"",CQ$5&gt;Mitarbeiter!$F$20),0,IF(Planung!CQ22="",$C22,IF(ISNUMBER(Planung!CQ22),Planung!CQ22,IF(UPPER(Planung!CQ22)="H",$C22/2,0)))))))</f>
        <v>0</v>
      </c>
      <c r="CR22" s="27">
        <f>IF($A22="",0,IF(Mitarbeiter!$G$20=FALSE,0,IF(AND(Mitarbeiter!$E$20&lt;&gt;"",CR$5+6&lt;Mitarbeiter!$E$20),0,IF(AND(Mitarbeiter!$F$20&lt;&gt;"",CR$5&gt;Mitarbeiter!$F$20),0,IF(Planung!CR22="",$C22,IF(ISNUMBER(Planung!CR22),Planung!CR22,IF(UPPER(Planung!CR22)="H",$C22/2,0)))))))</f>
        <v>0</v>
      </c>
      <c r="CS22" s="27">
        <f>IF($A22="",0,IF(Mitarbeiter!$G$20=FALSE,0,IF(AND(Mitarbeiter!$E$20&lt;&gt;"",CS$5+6&lt;Mitarbeiter!$E$20),0,IF(AND(Mitarbeiter!$F$20&lt;&gt;"",CS$5&gt;Mitarbeiter!$F$20),0,IF(Planung!CS22="",$C22,IF(ISNUMBER(Planung!CS22),Planung!CS22,IF(UPPER(Planung!CS22)="H",$C22/2,0)))))))</f>
        <v>0</v>
      </c>
      <c r="CT22" s="27">
        <f>IF($A22="",0,IF(Mitarbeiter!$G$20=FALSE,0,IF(AND(Mitarbeiter!$E$20&lt;&gt;"",CT$5+6&lt;Mitarbeiter!$E$20),0,IF(AND(Mitarbeiter!$F$20&lt;&gt;"",CT$5&gt;Mitarbeiter!$F$20),0,IF(Planung!CT22="",$C22,IF(ISNUMBER(Planung!CT22),Planung!CT22,IF(UPPER(Planung!CT22)="H",$C22/2,0)))))))</f>
        <v>0</v>
      </c>
      <c r="CU22" s="27">
        <f>IF($A22="",0,IF(Mitarbeiter!$G$20=FALSE,0,IF(AND(Mitarbeiter!$E$20&lt;&gt;"",CU$5+6&lt;Mitarbeiter!$E$20),0,IF(AND(Mitarbeiter!$F$20&lt;&gt;"",CU$5&gt;Mitarbeiter!$F$20),0,IF(Planung!CU22="",$C22,IF(ISNUMBER(Planung!CU22),Planung!CU22,IF(UPPER(Planung!CU22)="H",$C22/2,0)))))))</f>
        <v>0</v>
      </c>
      <c r="CV22" s="27">
        <f>IF($A22="",0,IF(Mitarbeiter!$G$20=FALSE,0,IF(AND(Mitarbeiter!$E$20&lt;&gt;"",CV$5+6&lt;Mitarbeiter!$E$20),0,IF(AND(Mitarbeiter!$F$20&lt;&gt;"",CV$5&gt;Mitarbeiter!$F$20),0,IF(Planung!CV22="",$C22,IF(ISNUMBER(Planung!CV22),Planung!CV22,IF(UPPER(Planung!CV22)="H",$C22/2,0)))))))</f>
        <v>0</v>
      </c>
      <c r="CW22" s="27">
        <f>IF($A22="",0,IF(Mitarbeiter!$G$20=FALSE,0,IF(AND(Mitarbeiter!$E$20&lt;&gt;"",CW$5+6&lt;Mitarbeiter!$E$20),0,IF(AND(Mitarbeiter!$F$20&lt;&gt;"",CW$5&gt;Mitarbeiter!$F$20),0,IF(Planung!CW22="",$C22,IF(ISNUMBER(Planung!CW22),Planung!CW22,IF(UPPER(Planung!CW22)="H",$C22/2,0)))))))</f>
        <v>0</v>
      </c>
      <c r="CX22" s="27">
        <f>IF($A22="",0,IF(Mitarbeiter!$G$20=FALSE,0,IF(AND(Mitarbeiter!$E$20&lt;&gt;"",CX$5+6&lt;Mitarbeiter!$E$20),0,IF(AND(Mitarbeiter!$F$20&lt;&gt;"",CX$5&gt;Mitarbeiter!$F$20),0,IF(Planung!CX22="",$C22,IF(ISNUMBER(Planung!CX22),Planung!CX22,IF(UPPER(Planung!CX22)="H",$C22/2,0)))))))</f>
        <v>0</v>
      </c>
      <c r="CY22" s="27">
        <f>IF($A22="",0,IF(Mitarbeiter!$G$20=FALSE,0,IF(AND(Mitarbeiter!$E$20&lt;&gt;"",CY$5+6&lt;Mitarbeiter!$E$20),0,IF(AND(Mitarbeiter!$F$20&lt;&gt;"",CY$5&gt;Mitarbeiter!$F$20),0,IF(Planung!CY22="",$C22,IF(ISNUMBER(Planung!CY22),Planung!CY22,IF(UPPER(Planung!CY22)="H",$C22/2,0)))))))</f>
        <v>0</v>
      </c>
      <c r="CZ22" s="27">
        <f>IF($A22="",0,IF(Mitarbeiter!$G$20=FALSE,0,IF(AND(Mitarbeiter!$E$20&lt;&gt;"",CZ$5+6&lt;Mitarbeiter!$E$20),0,IF(AND(Mitarbeiter!$F$20&lt;&gt;"",CZ$5&gt;Mitarbeiter!$F$20),0,IF(Planung!CZ22="",$C22,IF(ISNUMBER(Planung!CZ22),Planung!CZ22,IF(UPPER(Planung!CZ22)="H",$C22/2,0)))))))</f>
        <v>0</v>
      </c>
      <c r="DA22" s="27">
        <f>IF($A22="",0,IF(Mitarbeiter!$G$20=FALSE,0,IF(AND(Mitarbeiter!$E$20&lt;&gt;"",DA$5+6&lt;Mitarbeiter!$E$20),0,IF(AND(Mitarbeiter!$F$20&lt;&gt;"",DA$5&gt;Mitarbeiter!$F$20),0,IF(Planung!DA22="",$C22,IF(ISNUMBER(Planung!DA22),Planung!DA22,IF(UPPER(Planung!DA22)="H",$C22/2,0)))))))</f>
        <v>0</v>
      </c>
      <c r="DB22" s="27">
        <f>IF($A22="",0,IF(Mitarbeiter!$G$20=FALSE,0,IF(AND(Mitarbeiter!$E$20&lt;&gt;"",DB$5+6&lt;Mitarbeiter!$E$20),0,IF(AND(Mitarbeiter!$F$20&lt;&gt;"",DB$5&gt;Mitarbeiter!$F$20),0,IF(Planung!DB22="",$C22,IF(ISNUMBER(Planung!DB22),Planung!DB22,IF(UPPER(Planung!DB22)="H",$C22/2,0)))))))</f>
        <v>0</v>
      </c>
      <c r="DC22" s="27">
        <f>IF($A22="",0,IF(Mitarbeiter!$G$20=FALSE,0,IF(AND(Mitarbeiter!$E$20&lt;&gt;"",DC$5+6&lt;Mitarbeiter!$E$20),0,IF(AND(Mitarbeiter!$F$20&lt;&gt;"",DC$5&gt;Mitarbeiter!$F$20),0,IF(Planung!DC22="",$C22,IF(ISNUMBER(Planung!DC22),Planung!DC22,IF(UPPER(Planung!DC22)="H",$C22/2,0)))))))</f>
        <v>0</v>
      </c>
      <c r="DD22" s="27">
        <f>IF($A22="",0,IF(Mitarbeiter!$G$20=FALSE,0,IF(AND(Mitarbeiter!$E$20&lt;&gt;"",DD$5+6&lt;Mitarbeiter!$E$20),0,IF(AND(Mitarbeiter!$F$20&lt;&gt;"",DD$5&gt;Mitarbeiter!$F$20),0,IF(Planung!DD22="",$C22,IF(ISNUMBER(Planung!DD22),Planung!DD22,IF(UPPER(Planung!DD22)="H",$C22/2,0)))))))</f>
        <v>0</v>
      </c>
      <c r="DE22" s="27">
        <f>IF($A22="",0,IF(Mitarbeiter!$G$20=FALSE,0,IF(AND(Mitarbeiter!$E$20&lt;&gt;"",DE$5+6&lt;Mitarbeiter!$E$20),0,IF(AND(Mitarbeiter!$F$20&lt;&gt;"",DE$5&gt;Mitarbeiter!$F$20),0,IF(Planung!DE22="",$C22,IF(ISNUMBER(Planung!DE22),Planung!DE22,IF(UPPER(Planung!DE22)="H",$C22/2,0)))))))</f>
        <v>0</v>
      </c>
      <c r="DF22" s="27">
        <f>IF($A22="",0,IF(Mitarbeiter!$G$20=FALSE,0,IF(AND(Mitarbeiter!$E$20&lt;&gt;"",DF$5+6&lt;Mitarbeiter!$E$20),0,IF(AND(Mitarbeiter!$F$20&lt;&gt;"",DF$5&gt;Mitarbeiter!$F$20),0,IF(Planung!DF22="",$C22,IF(ISNUMBER(Planung!DF22),Planung!DF22,IF(UPPER(Planung!DF22)="H",$C22/2,0)))))))</f>
        <v>0</v>
      </c>
      <c r="DG22" s="27">
        <f>IF($A22="",0,IF(Mitarbeiter!$G$20=FALSE,0,IF(AND(Mitarbeiter!$E$20&lt;&gt;"",DG$5+6&lt;Mitarbeiter!$E$20),0,IF(AND(Mitarbeiter!$F$20&lt;&gt;"",DG$5&gt;Mitarbeiter!$F$20),0,IF(Planung!DG22="",$C22,IF(ISNUMBER(Planung!DG22),Planung!DG22,IF(UPPER(Planung!DG22)="H",$C22/2,0)))))))</f>
        <v>0</v>
      </c>
      <c r="DH22" s="27">
        <f>IF($A22="",0,IF(Mitarbeiter!$G$20=FALSE,0,IF(AND(Mitarbeiter!$E$20&lt;&gt;"",DH$5+6&lt;Mitarbeiter!$E$20),0,IF(AND(Mitarbeiter!$F$20&lt;&gt;"",DH$5&gt;Mitarbeiter!$F$20),0,IF(Planung!DH22="",$C22,IF(ISNUMBER(Planung!DH22),Planung!DH22,IF(UPPER(Planung!DH22)="H",$C22/2,0)))))))</f>
        <v>0</v>
      </c>
      <c r="DI22" s="27">
        <f>IF($A22="",0,IF(Mitarbeiter!$G$20=FALSE,0,IF(AND(Mitarbeiter!$E$20&lt;&gt;"",DI$5+6&lt;Mitarbeiter!$E$20),0,IF(AND(Mitarbeiter!$F$20&lt;&gt;"",DI$5&gt;Mitarbeiter!$F$20),0,IF(Planung!DI22="",$C22,IF(ISNUMBER(Planung!DI22),Planung!DI22,IF(UPPER(Planung!DI22)="H",$C22/2,0)))))))</f>
        <v>0</v>
      </c>
      <c r="DJ22" s="27">
        <f>IF($A22="",0,IF(Mitarbeiter!$G$20=FALSE,0,IF(AND(Mitarbeiter!$E$20&lt;&gt;"",DJ$5+6&lt;Mitarbeiter!$E$20),0,IF(AND(Mitarbeiter!$F$20&lt;&gt;"",DJ$5&gt;Mitarbeiter!$F$20),0,IF(Planung!DJ22="",$C22,IF(ISNUMBER(Planung!DJ22),Planung!DJ22,IF(UPPER(Planung!DJ22)="H",$C22/2,0)))))))</f>
        <v>0</v>
      </c>
      <c r="DK22" s="27">
        <f>IF($A22="",0,IF(Mitarbeiter!$G$20=FALSE,0,IF(AND(Mitarbeiter!$E$20&lt;&gt;"",DK$5+6&lt;Mitarbeiter!$E$20),0,IF(AND(Mitarbeiter!$F$20&lt;&gt;"",DK$5&gt;Mitarbeiter!$F$20),0,IF(Planung!DK22="",$C22,IF(ISNUMBER(Planung!DK22),Planung!DK22,IF(UPPER(Planung!DK22)="H",$C22/2,0)))))))</f>
        <v>0</v>
      </c>
      <c r="DL22" s="27">
        <f>IF($A22="",0,IF(Mitarbeiter!$G$20=FALSE,0,IF(AND(Mitarbeiter!$E$20&lt;&gt;"",DL$5+6&lt;Mitarbeiter!$E$20),0,IF(AND(Mitarbeiter!$F$20&lt;&gt;"",DL$5&gt;Mitarbeiter!$F$20),0,IF(Planung!DL22="",$C22,IF(ISNUMBER(Planung!DL22),Planung!DL22,IF(UPPER(Planung!DL22)="H",$C22/2,0)))))))</f>
        <v>0</v>
      </c>
      <c r="DM22" s="27">
        <f>IF($A22="",0,IF(Mitarbeiter!$G$20=FALSE,0,IF(AND(Mitarbeiter!$E$20&lt;&gt;"",DM$5+6&lt;Mitarbeiter!$E$20),0,IF(AND(Mitarbeiter!$F$20&lt;&gt;"",DM$5&gt;Mitarbeiter!$F$20),0,IF(Planung!DM22="",$C22,IF(ISNUMBER(Planung!DM22),Planung!DM22,IF(UPPER(Planung!DM22)="H",$C22/2,0)))))))</f>
        <v>0</v>
      </c>
      <c r="DN22" s="27">
        <f>IF($A22="",0,IF(Mitarbeiter!$G$20=FALSE,0,IF(AND(Mitarbeiter!$E$20&lt;&gt;"",DN$5+6&lt;Mitarbeiter!$E$20),0,IF(AND(Mitarbeiter!$F$20&lt;&gt;"",DN$5&gt;Mitarbeiter!$F$20),0,IF(Planung!DN22="",$C22,IF(ISNUMBER(Planung!DN22),Planung!DN22,IF(UPPER(Planung!DN22)="H",$C22/2,0)))))))</f>
        <v>0</v>
      </c>
      <c r="DO22" s="27">
        <f>IF($A22="",0,IF(Mitarbeiter!$G$20=FALSE,0,IF(AND(Mitarbeiter!$E$20&lt;&gt;"",DO$5+6&lt;Mitarbeiter!$E$20),0,IF(AND(Mitarbeiter!$F$20&lt;&gt;"",DO$5&gt;Mitarbeiter!$F$20),0,IF(Planung!DO22="",$C22,IF(ISNUMBER(Planung!DO22),Planung!DO22,IF(UPPER(Planung!DO22)="H",$C22/2,0)))))))</f>
        <v>0</v>
      </c>
      <c r="DP22" s="27">
        <f>IF($A22="",0,IF(Mitarbeiter!$G$20=FALSE,0,IF(AND(Mitarbeiter!$E$20&lt;&gt;"",DP$5+6&lt;Mitarbeiter!$E$20),0,IF(AND(Mitarbeiter!$F$20&lt;&gt;"",DP$5&gt;Mitarbeiter!$F$20),0,IF(Planung!DP22="",$C22,IF(ISNUMBER(Planung!DP22),Planung!DP22,IF(UPPER(Planung!DP22)="H",$C22/2,0)))))))</f>
        <v>0</v>
      </c>
      <c r="DQ22" s="27">
        <f>IF($A22="",0,IF(Mitarbeiter!$G$20=FALSE,0,IF(AND(Mitarbeiter!$E$20&lt;&gt;"",DQ$5+6&lt;Mitarbeiter!$E$20),0,IF(AND(Mitarbeiter!$F$20&lt;&gt;"",DQ$5&gt;Mitarbeiter!$F$20),0,IF(Planung!DQ22="",$C22,IF(ISNUMBER(Planung!DQ22),Planung!DQ22,IF(UPPER(Planung!DQ22)="H",$C22/2,0)))))))</f>
        <v>0</v>
      </c>
      <c r="DR22" s="27">
        <f>IF($A22="",0,IF(Mitarbeiter!$G$20=FALSE,0,IF(AND(Mitarbeiter!$E$20&lt;&gt;"",DR$5+6&lt;Mitarbeiter!$E$20),0,IF(AND(Mitarbeiter!$F$20&lt;&gt;"",DR$5&gt;Mitarbeiter!$F$20),0,IF(Planung!DR22="",$C22,IF(ISNUMBER(Planung!DR22),Planung!DR22,IF(UPPER(Planung!DR22)="H",$C22/2,0)))))))</f>
        <v>0</v>
      </c>
      <c r="DS22" s="27">
        <f>IF($A22="",0,IF(Mitarbeiter!$G$20=FALSE,0,IF(AND(Mitarbeiter!$E$20&lt;&gt;"",DS$5+6&lt;Mitarbeiter!$E$20),0,IF(AND(Mitarbeiter!$F$20&lt;&gt;"",DS$5&gt;Mitarbeiter!$F$20),0,IF(Planung!DS22="",$C22,IF(ISNUMBER(Planung!DS22),Planung!DS22,IF(UPPER(Planung!DS22)="H",$C22/2,0)))))))</f>
        <v>0</v>
      </c>
      <c r="DT22" s="27">
        <f>IF($A22="",0,IF(Mitarbeiter!$G$20=FALSE,0,IF(AND(Mitarbeiter!$E$20&lt;&gt;"",DT$5+6&lt;Mitarbeiter!$E$20),0,IF(AND(Mitarbeiter!$F$20&lt;&gt;"",DT$5&gt;Mitarbeiter!$F$20),0,IF(Planung!DT22="",$C22,IF(ISNUMBER(Planung!DT22),Planung!DT22,IF(UPPER(Planung!DT22)="H",$C22/2,0)))))))</f>
        <v>0</v>
      </c>
      <c r="DU22" s="27">
        <f>IF($A22="",0,IF(Mitarbeiter!$G$20=FALSE,0,IF(AND(Mitarbeiter!$E$20&lt;&gt;"",DU$5+6&lt;Mitarbeiter!$E$20),0,IF(AND(Mitarbeiter!$F$20&lt;&gt;"",DU$5&gt;Mitarbeiter!$F$20),0,IF(Planung!DU22="",$C22,IF(ISNUMBER(Planung!DU22),Planung!DU22,IF(UPPER(Planung!DU22)="H",$C22/2,0)))))))</f>
        <v>0</v>
      </c>
      <c r="DV22" s="27">
        <f>IF($A22="",0,IF(Mitarbeiter!$G$20=FALSE,0,IF(AND(Mitarbeiter!$E$20&lt;&gt;"",DV$5+6&lt;Mitarbeiter!$E$20),0,IF(AND(Mitarbeiter!$F$20&lt;&gt;"",DV$5&gt;Mitarbeiter!$F$20),0,IF(Planung!DV22="",$C22,IF(ISNUMBER(Planung!DV22),Planung!DV22,IF(UPPER(Planung!DV22)="H",$C22/2,0)))))))</f>
        <v>0</v>
      </c>
      <c r="DW22" s="27">
        <f>IF($A22="",0,IF(Mitarbeiter!$G$20=FALSE,0,IF(AND(Mitarbeiter!$E$20&lt;&gt;"",DW$5+6&lt;Mitarbeiter!$E$20),0,IF(AND(Mitarbeiter!$F$20&lt;&gt;"",DW$5&gt;Mitarbeiter!$F$20),0,IF(Planung!DW22="",$C22,IF(ISNUMBER(Planung!DW22),Planung!DW22,IF(UPPER(Planung!DW22)="H",$C22/2,0)))))))</f>
        <v>0</v>
      </c>
      <c r="DX22" s="27">
        <f>IF($A22="",0,IF(Mitarbeiter!$G$20=FALSE,0,IF(AND(Mitarbeiter!$E$20&lt;&gt;"",DX$5+6&lt;Mitarbeiter!$E$20),0,IF(AND(Mitarbeiter!$F$20&lt;&gt;"",DX$5&gt;Mitarbeiter!$F$20),0,IF(Planung!DX22="",$C22,IF(ISNUMBER(Planung!DX22),Planung!DX22,IF(UPPER(Planung!DX22)="H",$C22/2,0)))))))</f>
        <v>0</v>
      </c>
      <c r="DY22" s="27">
        <f>IF($A22="",0,IF(Mitarbeiter!$G$20=FALSE,0,IF(AND(Mitarbeiter!$E$20&lt;&gt;"",DY$5+6&lt;Mitarbeiter!$E$20),0,IF(AND(Mitarbeiter!$F$20&lt;&gt;"",DY$5&gt;Mitarbeiter!$F$20),0,IF(Planung!DY22="",$C22,IF(ISNUMBER(Planung!DY22),Planung!DY22,IF(UPPER(Planung!DY22)="H",$C22/2,0)))))))</f>
        <v>0</v>
      </c>
      <c r="DZ22" s="27">
        <f>IF($A22="",0,IF(Mitarbeiter!$G$20=FALSE,0,IF(AND(Mitarbeiter!$E$20&lt;&gt;"",DZ$5+6&lt;Mitarbeiter!$E$20),0,IF(AND(Mitarbeiter!$F$20&lt;&gt;"",DZ$5&gt;Mitarbeiter!$F$20),0,IF(Planung!DZ22="",$C22,IF(ISNUMBER(Planung!DZ22),Planung!DZ22,IF(UPPER(Planung!DZ22)="H",$C22/2,0)))))))</f>
        <v>0</v>
      </c>
      <c r="EA22" s="27">
        <f>IF($A22="",0,IF(Mitarbeiter!$G$20=FALSE,0,IF(AND(Mitarbeiter!$E$20&lt;&gt;"",EA$5+6&lt;Mitarbeiter!$E$20),0,IF(AND(Mitarbeiter!$F$20&lt;&gt;"",EA$5&gt;Mitarbeiter!$F$20),0,IF(Planung!EA22="",$C22,IF(ISNUMBER(Planung!EA22),Planung!EA22,IF(UPPER(Planung!EA22)="H",$C22/2,0)))))))</f>
        <v>0</v>
      </c>
      <c r="EB22" s="27">
        <f>IF($A22="",0,IF(Mitarbeiter!$G$20=FALSE,0,IF(AND(Mitarbeiter!$E$20&lt;&gt;"",EB$5+6&lt;Mitarbeiter!$E$20),0,IF(AND(Mitarbeiter!$F$20&lt;&gt;"",EB$5&gt;Mitarbeiter!$F$20),0,IF(Planung!EB22="",$C22,IF(ISNUMBER(Planung!EB22),Planung!EB22,IF(UPPER(Planung!EB22)="H",$C22/2,0)))))))</f>
        <v>0</v>
      </c>
      <c r="EC22" s="27">
        <f>IF($A22="",0,IF(Mitarbeiter!$G$20=FALSE,0,IF(AND(Mitarbeiter!$E$20&lt;&gt;"",EC$5+6&lt;Mitarbeiter!$E$20),0,IF(AND(Mitarbeiter!$F$20&lt;&gt;"",EC$5&gt;Mitarbeiter!$F$20),0,IF(Planung!EC22="",$C22,IF(ISNUMBER(Planung!EC22),Planung!EC22,IF(UPPER(Planung!EC22)="H",$C22/2,0)))))))</f>
        <v>0</v>
      </c>
      <c r="ED22" s="27">
        <f>IF($A22="",0,IF(Mitarbeiter!$G$20=FALSE,0,IF(AND(Mitarbeiter!$E$20&lt;&gt;"",ED$5+6&lt;Mitarbeiter!$E$20),0,IF(AND(Mitarbeiter!$F$20&lt;&gt;"",ED$5&gt;Mitarbeiter!$F$20),0,IF(Planung!ED22="",$C22,IF(ISNUMBER(Planung!ED22),Planung!ED22,IF(UPPER(Planung!ED22)="H",$C22/2,0)))))))</f>
        <v>0</v>
      </c>
      <c r="EE22" s="27">
        <f>IF($A22="",0,IF(Mitarbeiter!$G$20=FALSE,0,IF(AND(Mitarbeiter!$E$20&lt;&gt;"",EE$5+6&lt;Mitarbeiter!$E$20),0,IF(AND(Mitarbeiter!$F$20&lt;&gt;"",EE$5&gt;Mitarbeiter!$F$20),0,IF(Planung!EE22="",$C22,IF(ISNUMBER(Planung!EE22),Planung!EE22,IF(UPPER(Planung!EE22)="H",$C22/2,0)))))))</f>
        <v>0</v>
      </c>
      <c r="EF22" s="27">
        <f>IF($A22="",0,IF(Mitarbeiter!$G$20=FALSE,0,IF(AND(Mitarbeiter!$E$20&lt;&gt;"",EF$5+6&lt;Mitarbeiter!$E$20),0,IF(AND(Mitarbeiter!$F$20&lt;&gt;"",EF$5&gt;Mitarbeiter!$F$20),0,IF(Planung!EF22="",$C22,IF(ISNUMBER(Planung!EF22),Planung!EF22,IF(UPPER(Planung!EF22)="H",$C22/2,0)))))))</f>
        <v>0</v>
      </c>
      <c r="EG22" s="27">
        <f>IF($A22="",0,IF(Mitarbeiter!$G$20=FALSE,0,IF(AND(Mitarbeiter!$E$20&lt;&gt;"",EG$5+6&lt;Mitarbeiter!$E$20),0,IF(AND(Mitarbeiter!$F$20&lt;&gt;"",EG$5&gt;Mitarbeiter!$F$20),0,IF(Planung!EG22="",$C22,IF(ISNUMBER(Planung!EG22),Planung!EG22,IF(UPPER(Planung!EG22)="H",$C22/2,0)))))))</f>
        <v>0</v>
      </c>
      <c r="EH22" s="27">
        <f>IF($A22="",0,IF(Mitarbeiter!$G$20=FALSE,0,IF(AND(Mitarbeiter!$E$20&lt;&gt;"",EH$5+6&lt;Mitarbeiter!$E$20),0,IF(AND(Mitarbeiter!$F$20&lt;&gt;"",EH$5&gt;Mitarbeiter!$F$20),0,IF(Planung!EH22="",$C22,IF(ISNUMBER(Planung!EH22),Planung!EH22,IF(UPPER(Planung!EH22)="H",$C22/2,0)))))))</f>
        <v>0</v>
      </c>
      <c r="EI22" s="27">
        <f>IF($A22="",0,IF(Mitarbeiter!$G$20=FALSE,0,IF(AND(Mitarbeiter!$E$20&lt;&gt;"",EI$5+6&lt;Mitarbeiter!$E$20),0,IF(AND(Mitarbeiter!$F$20&lt;&gt;"",EI$5&gt;Mitarbeiter!$F$20),0,IF(Planung!EI22="",$C22,IF(ISNUMBER(Planung!EI22),Planung!EI22,IF(UPPER(Planung!EI22)="H",$C22/2,0)))))))</f>
        <v>0</v>
      </c>
      <c r="EJ22" s="27">
        <f>IF($A22="",0,IF(Mitarbeiter!$G$20=FALSE,0,IF(AND(Mitarbeiter!$E$20&lt;&gt;"",EJ$5+6&lt;Mitarbeiter!$E$20),0,IF(AND(Mitarbeiter!$F$20&lt;&gt;"",EJ$5&gt;Mitarbeiter!$F$20),0,IF(Planung!EJ22="",$C22,IF(ISNUMBER(Planung!EJ22),Planung!EJ22,IF(UPPER(Planung!EJ22)="H",$C22/2,0)))))))</f>
        <v>0</v>
      </c>
      <c r="EK22" s="27">
        <f>IF($A22="",0,IF(Mitarbeiter!$G$20=FALSE,0,IF(AND(Mitarbeiter!$E$20&lt;&gt;"",EK$5+6&lt;Mitarbeiter!$E$20),0,IF(AND(Mitarbeiter!$F$20&lt;&gt;"",EK$5&gt;Mitarbeiter!$F$20),0,IF(Planung!EK22="",$C22,IF(ISNUMBER(Planung!EK22),Planung!EK22,IF(UPPER(Planung!EK22)="H",$C22/2,0)))))))</f>
        <v>0</v>
      </c>
      <c r="EL22" s="27">
        <f>IF($A22="",0,IF(Mitarbeiter!$G$20=FALSE,0,IF(AND(Mitarbeiter!$E$20&lt;&gt;"",EL$5+6&lt;Mitarbeiter!$E$20),0,IF(AND(Mitarbeiter!$F$20&lt;&gt;"",EL$5&gt;Mitarbeiter!$F$20),0,IF(Planung!EL22="",$C22,IF(ISNUMBER(Planung!EL22),Planung!EL22,IF(UPPER(Planung!EL22)="H",$C22/2,0)))))))</f>
        <v>0</v>
      </c>
      <c r="EM22" s="27">
        <f>IF($A22="",0,IF(Mitarbeiter!$G$20=FALSE,0,IF(AND(Mitarbeiter!$E$20&lt;&gt;"",EM$5+6&lt;Mitarbeiter!$E$20),0,IF(AND(Mitarbeiter!$F$20&lt;&gt;"",EM$5&gt;Mitarbeiter!$F$20),0,IF(Planung!EM22="",$C22,IF(ISNUMBER(Planung!EM22),Planung!EM22,IF(UPPER(Planung!EM22)="H",$C22/2,0)))))))</f>
        <v>0</v>
      </c>
      <c r="EN22" s="27">
        <f>IF($A22="",0,IF(Mitarbeiter!$G$20=FALSE,0,IF(AND(Mitarbeiter!$E$20&lt;&gt;"",EN$5+6&lt;Mitarbeiter!$E$20),0,IF(AND(Mitarbeiter!$F$20&lt;&gt;"",EN$5&gt;Mitarbeiter!$F$20),0,IF(Planung!EN22="",$C22,IF(ISNUMBER(Planung!EN22),Planung!EN22,IF(UPPER(Planung!EN22)="H",$C22/2,0)))))))</f>
        <v>0</v>
      </c>
      <c r="EO22" s="27">
        <f>IF($A22="",0,IF(Mitarbeiter!$G$20=FALSE,0,IF(AND(Mitarbeiter!$E$20&lt;&gt;"",EO$5+6&lt;Mitarbeiter!$E$20),0,IF(AND(Mitarbeiter!$F$20&lt;&gt;"",EO$5&gt;Mitarbeiter!$F$20),0,IF(Planung!EO22="",$C22,IF(ISNUMBER(Planung!EO22),Planung!EO22,IF(UPPER(Planung!EO22)="H",$C22/2,0)))))))</f>
        <v>0</v>
      </c>
      <c r="EP22" s="27">
        <f>IF($A22="",0,IF(Mitarbeiter!$G$20=FALSE,0,IF(AND(Mitarbeiter!$E$20&lt;&gt;"",EP$5+6&lt;Mitarbeiter!$E$20),0,IF(AND(Mitarbeiter!$F$20&lt;&gt;"",EP$5&gt;Mitarbeiter!$F$20),0,IF(Planung!EP22="",$C22,IF(ISNUMBER(Planung!EP22),Planung!EP22,IF(UPPER(Planung!EP22)="H",$C22/2,0)))))))</f>
        <v>0</v>
      </c>
      <c r="EQ22" s="27">
        <f>IF($A22="",0,IF(Mitarbeiter!$G$20=FALSE,0,IF(AND(Mitarbeiter!$E$20&lt;&gt;"",EQ$5+6&lt;Mitarbeiter!$E$20),0,IF(AND(Mitarbeiter!$F$20&lt;&gt;"",EQ$5&gt;Mitarbeiter!$F$20),0,IF(Planung!EQ22="",$C22,IF(ISNUMBER(Planung!EQ22),Planung!EQ22,IF(UPPER(Planung!EQ22)="H",$C22/2,0)))))))</f>
        <v>0</v>
      </c>
      <c r="ER22" s="27">
        <f>IF($A22="",0,IF(Mitarbeiter!$G$20=FALSE,0,IF(AND(Mitarbeiter!$E$20&lt;&gt;"",ER$5+6&lt;Mitarbeiter!$E$20),0,IF(AND(Mitarbeiter!$F$20&lt;&gt;"",ER$5&gt;Mitarbeiter!$F$20),0,IF(Planung!ER22="",$C22,IF(ISNUMBER(Planung!ER22),Planung!ER22,IF(UPPER(Planung!ER22)="H",$C22/2,0)))))))</f>
        <v>0</v>
      </c>
      <c r="ES22" s="27">
        <f>IF($A22="",0,IF(Mitarbeiter!$G$20=FALSE,0,IF(AND(Mitarbeiter!$E$20&lt;&gt;"",ES$5+6&lt;Mitarbeiter!$E$20),0,IF(AND(Mitarbeiter!$F$20&lt;&gt;"",ES$5&gt;Mitarbeiter!$F$20),0,IF(Planung!ES22="",$C22,IF(ISNUMBER(Planung!ES22),Planung!ES22,IF(UPPER(Planung!ES22)="H",$C22/2,0)))))))</f>
        <v>0</v>
      </c>
      <c r="ET22" s="27">
        <f>IF($A22="",0,IF(Mitarbeiter!$G$20=FALSE,0,IF(AND(Mitarbeiter!$E$20&lt;&gt;"",ET$5+6&lt;Mitarbeiter!$E$20),0,IF(AND(Mitarbeiter!$F$20&lt;&gt;"",ET$5&gt;Mitarbeiter!$F$20),0,IF(Planung!ET22="",$C22,IF(ISNUMBER(Planung!ET22),Planung!ET22,IF(UPPER(Planung!ET22)="H",$C22/2,0)))))))</f>
        <v>0</v>
      </c>
      <c r="EU22" s="27">
        <f>IF($A22="",0,IF(Mitarbeiter!$G$20=FALSE,0,IF(AND(Mitarbeiter!$E$20&lt;&gt;"",EU$5+6&lt;Mitarbeiter!$E$20),0,IF(AND(Mitarbeiter!$F$20&lt;&gt;"",EU$5&gt;Mitarbeiter!$F$20),0,IF(Planung!EU22="",$C22,IF(ISNUMBER(Planung!EU22),Planung!EU22,IF(UPPER(Planung!EU22)="H",$C22/2,0)))))))</f>
        <v>0</v>
      </c>
      <c r="EV22" s="27">
        <f>IF($A22="",0,IF(Mitarbeiter!$G$20=FALSE,0,IF(AND(Mitarbeiter!$E$20&lt;&gt;"",EV$5+6&lt;Mitarbeiter!$E$20),0,IF(AND(Mitarbeiter!$F$20&lt;&gt;"",EV$5&gt;Mitarbeiter!$F$20),0,IF(Planung!EV22="",$C22,IF(ISNUMBER(Planung!EV22),Planung!EV22,IF(UPPER(Planung!EV22)="H",$C22/2,0)))))))</f>
        <v>0</v>
      </c>
      <c r="EW22" s="27">
        <f>IF($A22="",0,IF(Mitarbeiter!$G$20=FALSE,0,IF(AND(Mitarbeiter!$E$20&lt;&gt;"",EW$5+6&lt;Mitarbeiter!$E$20),0,IF(AND(Mitarbeiter!$F$20&lt;&gt;"",EW$5&gt;Mitarbeiter!$F$20),0,IF(Planung!EW22="",$C22,IF(ISNUMBER(Planung!EW22),Planung!EW22,IF(UPPER(Planung!EW22)="H",$C22/2,0)))))))</f>
        <v>0</v>
      </c>
      <c r="EX22" s="27">
        <f>IF($A22="",0,IF(Mitarbeiter!$G$20=FALSE,0,IF(AND(Mitarbeiter!$E$20&lt;&gt;"",EX$5+6&lt;Mitarbeiter!$E$20),0,IF(AND(Mitarbeiter!$F$20&lt;&gt;"",EX$5&gt;Mitarbeiter!$F$20),0,IF(Planung!EX22="",$C22,IF(ISNUMBER(Planung!EX22),Planung!EX22,IF(UPPER(Planung!EX22)="H",$C22/2,0)))))))</f>
        <v>0</v>
      </c>
      <c r="EY22" s="27">
        <f>IF($A22="",0,IF(Mitarbeiter!$G$20=FALSE,0,IF(AND(Mitarbeiter!$E$20&lt;&gt;"",EY$5+6&lt;Mitarbeiter!$E$20),0,IF(AND(Mitarbeiter!$F$20&lt;&gt;"",EY$5&gt;Mitarbeiter!$F$20),0,IF(Planung!EY22="",$C22,IF(ISNUMBER(Planung!EY22),Planung!EY22,IF(UPPER(Planung!EY22)="H",$C22/2,0)))))))</f>
        <v>0</v>
      </c>
      <c r="EZ22" s="27">
        <f>IF($A22="",0,IF(Mitarbeiter!$G$20=FALSE,0,IF(AND(Mitarbeiter!$E$20&lt;&gt;"",EZ$5+6&lt;Mitarbeiter!$E$20),0,IF(AND(Mitarbeiter!$F$20&lt;&gt;"",EZ$5&gt;Mitarbeiter!$F$20),0,IF(Planung!EZ22="",$C22,IF(ISNUMBER(Planung!EZ22),Planung!EZ22,IF(UPPER(Planung!EZ22)="H",$C22/2,0)))))))</f>
        <v>0</v>
      </c>
      <c r="FA22" s="27">
        <f>IF($A22="",0,IF(Mitarbeiter!$G$20=FALSE,0,IF(AND(Mitarbeiter!$E$20&lt;&gt;"",FA$5+6&lt;Mitarbeiter!$E$20),0,IF(AND(Mitarbeiter!$F$20&lt;&gt;"",FA$5&gt;Mitarbeiter!$F$20),0,IF(Planung!FA22="",$C22,IF(ISNUMBER(Planung!FA22),Planung!FA22,IF(UPPER(Planung!FA22)="H",$C22/2,0)))))))</f>
        <v>0</v>
      </c>
      <c r="FB22" s="27">
        <f>IF($A22="",0,IF(Mitarbeiter!$G$20=FALSE,0,IF(AND(Mitarbeiter!$E$20&lt;&gt;"",FB$5+6&lt;Mitarbeiter!$E$20),0,IF(AND(Mitarbeiter!$F$20&lt;&gt;"",FB$5&gt;Mitarbeiter!$F$20),0,IF(Planung!FB22="",$C22,IF(ISNUMBER(Planung!FB22),Planung!FB22,IF(UPPER(Planung!FB22)="H",$C22/2,0)))))))</f>
        <v>0</v>
      </c>
      <c r="FC22" s="27">
        <f>IF($A22="",0,IF(Mitarbeiter!$G$20=FALSE,0,IF(AND(Mitarbeiter!$E$20&lt;&gt;"",FC$5+6&lt;Mitarbeiter!$E$20),0,IF(AND(Mitarbeiter!$F$20&lt;&gt;"",FC$5&gt;Mitarbeiter!$F$20),0,IF(Planung!FC22="",$C22,IF(ISNUMBER(Planung!FC22),Planung!FC22,IF(UPPER(Planung!FC22)="H",$C22/2,0)))))))</f>
        <v>0</v>
      </c>
      <c r="FD22" s="27">
        <f>IF($A22="",0,IF(Mitarbeiter!$G$20=FALSE,0,IF(AND(Mitarbeiter!$E$20&lt;&gt;"",FD$5+6&lt;Mitarbeiter!$E$20),0,IF(AND(Mitarbeiter!$F$20&lt;&gt;"",FD$5&gt;Mitarbeiter!$F$20),0,IF(Planung!FD22="",$C22,IF(ISNUMBER(Planung!FD22),Planung!FD22,IF(UPPER(Planung!FD22)="H",$C22/2,0)))))))</f>
        <v>0</v>
      </c>
      <c r="FE22" s="27">
        <f>IF($A22="",0,IF(Mitarbeiter!$G$20=FALSE,0,IF(AND(Mitarbeiter!$E$20&lt;&gt;"",FE$5+6&lt;Mitarbeiter!$E$20),0,IF(AND(Mitarbeiter!$F$20&lt;&gt;"",FE$5&gt;Mitarbeiter!$F$20),0,IF(Planung!FE22="",$C22,IF(ISNUMBER(Planung!FE22),Planung!FE22,IF(UPPER(Planung!FE22)="H",$C22/2,0)))))))</f>
        <v>0</v>
      </c>
      <c r="FF22" s="27">
        <f>IF($A22="",0,IF(Mitarbeiter!$G$20=FALSE,0,IF(AND(Mitarbeiter!$E$20&lt;&gt;"",FF$5+6&lt;Mitarbeiter!$E$20),0,IF(AND(Mitarbeiter!$F$20&lt;&gt;"",FF$5&gt;Mitarbeiter!$F$20),0,IF(Planung!FF22="",$C22,IF(ISNUMBER(Planung!FF22),Planung!FF22,IF(UPPER(Planung!FF22)="H",$C22/2,0)))))))</f>
        <v>0</v>
      </c>
      <c r="FG22" s="27">
        <f>IF($A22="",0,IF(Mitarbeiter!$G$20=FALSE,0,IF(AND(Mitarbeiter!$E$20&lt;&gt;"",FG$5+6&lt;Mitarbeiter!$E$20),0,IF(AND(Mitarbeiter!$F$20&lt;&gt;"",FG$5&gt;Mitarbeiter!$F$20),0,IF(Planung!FG22="",$C22,IF(ISNUMBER(Planung!FG22),Planung!FG22,IF(UPPER(Planung!FG22)="H",$C22/2,0)))))))</f>
        <v>0</v>
      </c>
      <c r="FH22" s="27">
        <f>IF($A22="",0,IF(Mitarbeiter!$G$20=FALSE,0,IF(AND(Mitarbeiter!$E$20&lt;&gt;"",FH$5+6&lt;Mitarbeiter!$E$20),0,IF(AND(Mitarbeiter!$F$20&lt;&gt;"",FH$5&gt;Mitarbeiter!$F$20),0,IF(Planung!FH22="",$C22,IF(ISNUMBER(Planung!FH22),Planung!FH22,IF(UPPER(Planung!FH22)="H",$C22/2,0)))))))</f>
        <v>0</v>
      </c>
      <c r="FI22" s="27">
        <f>IF($A22="",0,IF(Mitarbeiter!$G$20=FALSE,0,IF(AND(Mitarbeiter!$E$20&lt;&gt;"",FI$5+6&lt;Mitarbeiter!$E$20),0,IF(AND(Mitarbeiter!$F$20&lt;&gt;"",FI$5&gt;Mitarbeiter!$F$20),0,IF(Planung!FI22="",$C22,IF(ISNUMBER(Planung!FI22),Planung!FI22,IF(UPPER(Planung!FI22)="H",$C22/2,0)))))))</f>
        <v>0</v>
      </c>
      <c r="FJ22" s="27">
        <f>IF($A22="",0,IF(Mitarbeiter!$G$20=FALSE,0,IF(AND(Mitarbeiter!$E$20&lt;&gt;"",FJ$5+6&lt;Mitarbeiter!$E$20),0,IF(AND(Mitarbeiter!$F$20&lt;&gt;"",FJ$5&gt;Mitarbeiter!$F$20),0,IF(Planung!FJ22="",$C22,IF(ISNUMBER(Planung!FJ22),Planung!FJ22,IF(UPPER(Planung!FJ22)="H",$C22/2,0)))))))</f>
        <v>0</v>
      </c>
      <c r="FK22" s="27">
        <f>IF($A22="",0,IF(Mitarbeiter!$G$20=FALSE,0,IF(AND(Mitarbeiter!$E$20&lt;&gt;"",FK$5+6&lt;Mitarbeiter!$E$20),0,IF(AND(Mitarbeiter!$F$20&lt;&gt;"",FK$5&gt;Mitarbeiter!$F$20),0,IF(Planung!FK22="",$C22,IF(ISNUMBER(Planung!FK22),Planung!FK22,IF(UPPER(Planung!FK22)="H",$C22/2,0)))))))</f>
        <v>0</v>
      </c>
      <c r="FL22" s="27">
        <f>IF($A22="",0,IF(Mitarbeiter!$G$20=FALSE,0,IF(AND(Mitarbeiter!$E$20&lt;&gt;"",FL$5+6&lt;Mitarbeiter!$E$20),0,IF(AND(Mitarbeiter!$F$20&lt;&gt;"",FL$5&gt;Mitarbeiter!$F$20),0,IF(Planung!FL22="",$C22,IF(ISNUMBER(Planung!FL22),Planung!FL22,IF(UPPER(Planung!FL22)="H",$C22/2,0)))))))</f>
        <v>0</v>
      </c>
      <c r="FM22" s="27">
        <f>IF($A22="",0,IF(Mitarbeiter!$G$20=FALSE,0,IF(AND(Mitarbeiter!$E$20&lt;&gt;"",FM$5+6&lt;Mitarbeiter!$E$20),0,IF(AND(Mitarbeiter!$F$20&lt;&gt;"",FM$5&gt;Mitarbeiter!$F$20),0,IF(Planung!FM22="",$C22,IF(ISNUMBER(Planung!FM22),Planung!FM22,IF(UPPER(Planung!FM22)="H",$C22/2,0)))))))</f>
        <v>0</v>
      </c>
      <c r="FN22" s="27">
        <f>IF($A22="",0,IF(Mitarbeiter!$G$20=FALSE,0,IF(AND(Mitarbeiter!$E$20&lt;&gt;"",FN$5+6&lt;Mitarbeiter!$E$20),0,IF(AND(Mitarbeiter!$F$20&lt;&gt;"",FN$5&gt;Mitarbeiter!$F$20),0,IF(Planung!FN22="",$C22,IF(ISNUMBER(Planung!FN22),Planung!FN22,IF(UPPER(Planung!FN22)="H",$C22/2,0)))))))</f>
        <v>0</v>
      </c>
      <c r="FO22" s="27">
        <f>IF($A22="",0,IF(Mitarbeiter!$G$20=FALSE,0,IF(AND(Mitarbeiter!$E$20&lt;&gt;"",FO$5+6&lt;Mitarbeiter!$E$20),0,IF(AND(Mitarbeiter!$F$20&lt;&gt;"",FO$5&gt;Mitarbeiter!$F$20),0,IF(Planung!FO22="",$C22,IF(ISNUMBER(Planung!FO22),Planung!FO22,IF(UPPER(Planung!FO22)="H",$C22/2,0)))))))</f>
        <v>0</v>
      </c>
      <c r="FP22" s="27">
        <f>IF($A22="",0,IF(Mitarbeiter!$G$20=FALSE,0,IF(AND(Mitarbeiter!$E$20&lt;&gt;"",FP$5+6&lt;Mitarbeiter!$E$20),0,IF(AND(Mitarbeiter!$F$20&lt;&gt;"",FP$5&gt;Mitarbeiter!$F$20),0,IF(Planung!FP22="",$C22,IF(ISNUMBER(Planung!FP22),Planung!FP22,IF(UPPER(Planung!FP22)="H",$C22/2,0)))))))</f>
        <v>0</v>
      </c>
      <c r="FQ22" s="27">
        <f>IF($A22="",0,IF(Mitarbeiter!$G$20=FALSE,0,IF(AND(Mitarbeiter!$E$20&lt;&gt;"",FQ$5+6&lt;Mitarbeiter!$E$20),0,IF(AND(Mitarbeiter!$F$20&lt;&gt;"",FQ$5&gt;Mitarbeiter!$F$20),0,IF(Planung!FQ22="",$C22,IF(ISNUMBER(Planung!FQ22),Planung!FQ22,IF(UPPER(Planung!FQ22)="H",$C22/2,0)))))))</f>
        <v>0</v>
      </c>
      <c r="FR22" s="27">
        <f>IF($A22="",0,IF(Mitarbeiter!$G$20=FALSE,0,IF(AND(Mitarbeiter!$E$20&lt;&gt;"",FR$5+6&lt;Mitarbeiter!$E$20),0,IF(AND(Mitarbeiter!$F$20&lt;&gt;"",FR$5&gt;Mitarbeiter!$F$20),0,IF(Planung!FR22="",$C22,IF(ISNUMBER(Planung!FR22),Planung!FR22,IF(UPPER(Planung!FR22)="H",$C22/2,0)))))))</f>
        <v>0</v>
      </c>
      <c r="FS22" s="27">
        <f>IF($A22="",0,IF(Mitarbeiter!$G$20=FALSE,0,IF(AND(Mitarbeiter!$E$20&lt;&gt;"",FS$5+6&lt;Mitarbeiter!$E$20),0,IF(AND(Mitarbeiter!$F$20&lt;&gt;"",FS$5&gt;Mitarbeiter!$F$20),0,IF(Planung!FS22="",$C22,IF(ISNUMBER(Planung!FS22),Planung!FS22,IF(UPPER(Planung!FS22)="H",$C22/2,0)))))))</f>
        <v>0</v>
      </c>
      <c r="FT22" s="27">
        <f>IF($A22="",0,IF(Mitarbeiter!$G$20=FALSE,0,IF(AND(Mitarbeiter!$E$20&lt;&gt;"",FT$5+6&lt;Mitarbeiter!$E$20),0,IF(AND(Mitarbeiter!$F$20&lt;&gt;"",FT$5&gt;Mitarbeiter!$F$20),0,IF(Planung!FT22="",$C22,IF(ISNUMBER(Planung!FT22),Planung!FT22,IF(UPPER(Planung!FT22)="H",$C22/2,0)))))))</f>
        <v>0</v>
      </c>
      <c r="FU22" s="27">
        <f>IF($A22="",0,IF(Mitarbeiter!$G$20=FALSE,0,IF(AND(Mitarbeiter!$E$20&lt;&gt;"",FU$5+6&lt;Mitarbeiter!$E$20),0,IF(AND(Mitarbeiter!$F$20&lt;&gt;"",FU$5&gt;Mitarbeiter!$F$20),0,IF(Planung!FU22="",$C22,IF(ISNUMBER(Planung!FU22),Planung!FU22,IF(UPPER(Planung!FU22)="H",$C22/2,0)))))))</f>
        <v>0</v>
      </c>
      <c r="FV22" s="27">
        <f>IF($A22="",0,IF(Mitarbeiter!$G$20=FALSE,0,IF(AND(Mitarbeiter!$E$20&lt;&gt;"",FV$5+6&lt;Mitarbeiter!$E$20),0,IF(AND(Mitarbeiter!$F$20&lt;&gt;"",FV$5&gt;Mitarbeiter!$F$20),0,IF(Planung!FV22="",$C22,IF(ISNUMBER(Planung!FV22),Planung!FV22,IF(UPPER(Planung!FV22)="H",$C22/2,0)))))))</f>
        <v>0</v>
      </c>
      <c r="FW22" s="27">
        <f>IF($A22="",0,IF(Mitarbeiter!$G$20=FALSE,0,IF(AND(Mitarbeiter!$E$20&lt;&gt;"",FW$5+6&lt;Mitarbeiter!$E$20),0,IF(AND(Mitarbeiter!$F$20&lt;&gt;"",FW$5&gt;Mitarbeiter!$F$20),0,IF(Planung!FW22="",$C22,IF(ISNUMBER(Planung!FW22),Planung!FW22,IF(UPPER(Planung!FW22)="H",$C22/2,0)))))))</f>
        <v>0</v>
      </c>
      <c r="FX22" s="27">
        <f>IF($A22="",0,IF(Mitarbeiter!$G$20=FALSE,0,IF(AND(Mitarbeiter!$E$20&lt;&gt;"",FX$5+6&lt;Mitarbeiter!$E$20),0,IF(AND(Mitarbeiter!$F$20&lt;&gt;"",FX$5&gt;Mitarbeiter!$F$20),0,IF(Planung!FX22="",$C22,IF(ISNUMBER(Planung!FX22),Planung!FX22,IF(UPPER(Planung!FX22)="H",$C22/2,0)))))))</f>
        <v>0</v>
      </c>
      <c r="FY22" s="27">
        <f>IF($A22="",0,IF(Mitarbeiter!$G$20=FALSE,0,IF(AND(Mitarbeiter!$E$20&lt;&gt;"",FY$5+6&lt;Mitarbeiter!$E$20),0,IF(AND(Mitarbeiter!$F$20&lt;&gt;"",FY$5&gt;Mitarbeiter!$F$20),0,IF(Planung!FY22="",$C22,IF(ISNUMBER(Planung!FY22),Planung!FY22,IF(UPPER(Planung!FY22)="H",$C22/2,0)))))))</f>
        <v>0</v>
      </c>
      <c r="FZ22" s="27">
        <f>IF($A22="",0,IF(Mitarbeiter!$G$20=FALSE,0,IF(AND(Mitarbeiter!$E$20&lt;&gt;"",FZ$5+6&lt;Mitarbeiter!$E$20),0,IF(AND(Mitarbeiter!$F$20&lt;&gt;"",FZ$5&gt;Mitarbeiter!$F$20),0,IF(Planung!FZ22="",$C22,IF(ISNUMBER(Planung!FZ22),Planung!FZ22,IF(UPPER(Planung!FZ22)="H",$C22/2,0)))))))</f>
        <v>0</v>
      </c>
      <c r="GA22" s="27">
        <f>IF($A22="",0,IF(Mitarbeiter!$G$20=FALSE,0,IF(AND(Mitarbeiter!$E$20&lt;&gt;"",GA$5+6&lt;Mitarbeiter!$E$20),0,IF(AND(Mitarbeiter!$F$20&lt;&gt;"",GA$5&gt;Mitarbeiter!$F$20),0,IF(Planung!GA22="",$C22,IF(ISNUMBER(Planung!GA22),Planung!GA22,IF(UPPER(Planung!GA22)="H",$C22/2,0)))))))</f>
        <v>0</v>
      </c>
      <c r="GB22" s="27">
        <f>IF($A22="",0,IF(Mitarbeiter!$G$20=FALSE,0,IF(AND(Mitarbeiter!$E$20&lt;&gt;"",GB$5+6&lt;Mitarbeiter!$E$20),0,IF(AND(Mitarbeiter!$F$20&lt;&gt;"",GB$5&gt;Mitarbeiter!$F$20),0,IF(Planung!GB22="",$C22,IF(ISNUMBER(Planung!GB22),Planung!GB22,IF(UPPER(Planung!GB22)="H",$C22/2,0)))))))</f>
        <v>0</v>
      </c>
      <c r="GC22" s="27">
        <f>IF($A22="",0,IF(Mitarbeiter!$G$20=FALSE,0,IF(AND(Mitarbeiter!$E$20&lt;&gt;"",GC$5+6&lt;Mitarbeiter!$E$20),0,IF(AND(Mitarbeiter!$F$20&lt;&gt;"",GC$5&gt;Mitarbeiter!$F$20),0,IF(Planung!GC22="",$C22,IF(ISNUMBER(Planung!GC22),Planung!GC22,IF(UPPER(Planung!GC22)="H",$C22/2,0)))))))</f>
        <v>0</v>
      </c>
      <c r="GD22" s="27">
        <f>IF($A22="",0,IF(Mitarbeiter!$G$20=FALSE,0,IF(AND(Mitarbeiter!$E$20&lt;&gt;"",GD$5+6&lt;Mitarbeiter!$E$20),0,IF(AND(Mitarbeiter!$F$20&lt;&gt;"",GD$5&gt;Mitarbeiter!$F$20),0,IF(Planung!GD22="",$C22,IF(ISNUMBER(Planung!GD22),Planung!GD22,IF(UPPER(Planung!GD22)="H",$C22/2,0)))))))</f>
        <v>0</v>
      </c>
      <c r="GE22" s="27">
        <f>IF($A22="",0,IF(Mitarbeiter!$G$20=FALSE,0,IF(AND(Mitarbeiter!$E$20&lt;&gt;"",GE$5+6&lt;Mitarbeiter!$E$20),0,IF(AND(Mitarbeiter!$F$20&lt;&gt;"",GE$5&gt;Mitarbeiter!$F$20),0,IF(Planung!GE22="",$C22,IF(ISNUMBER(Planung!GE22),Planung!GE22,IF(UPPER(Planung!GE22)="H",$C22/2,0)))))))</f>
        <v>0</v>
      </c>
      <c r="GF22" s="27">
        <f>IF($A22="",0,IF(Mitarbeiter!$G$20=FALSE,0,IF(AND(Mitarbeiter!$E$20&lt;&gt;"",GF$5+6&lt;Mitarbeiter!$E$20),0,IF(AND(Mitarbeiter!$F$20&lt;&gt;"",GF$5&gt;Mitarbeiter!$F$20),0,IF(Planung!GF22="",$C22,IF(ISNUMBER(Planung!GF22),Planung!GF22,IF(UPPER(Planung!GF22)="H",$C22/2,0)))))))</f>
        <v>0</v>
      </c>
      <c r="GG22" s="27">
        <f>IF($A22="",0,IF(Mitarbeiter!$G$20=FALSE,0,IF(AND(Mitarbeiter!$E$20&lt;&gt;"",GG$5+6&lt;Mitarbeiter!$E$20),0,IF(AND(Mitarbeiter!$F$20&lt;&gt;"",GG$5&gt;Mitarbeiter!$F$20),0,IF(Planung!GG22="",$C22,IF(ISNUMBER(Planung!GG22),Planung!GG22,IF(UPPER(Planung!GG22)="H",$C22/2,0)))))))</f>
        <v>0</v>
      </c>
      <c r="GH22" s="27">
        <f>IF($A22="",0,IF(Mitarbeiter!$G$20=FALSE,0,IF(AND(Mitarbeiter!$E$20&lt;&gt;"",GH$5+6&lt;Mitarbeiter!$E$20),0,IF(AND(Mitarbeiter!$F$20&lt;&gt;"",GH$5&gt;Mitarbeiter!$F$20),0,IF(Planung!GH22="",$C22,IF(ISNUMBER(Planung!GH22),Planung!GH22,IF(UPPER(Planung!GH22)="H",$C22/2,0)))))))</f>
        <v>0</v>
      </c>
      <c r="GI22" s="27">
        <f>IF($A22="",0,IF(Mitarbeiter!$G$20=FALSE,0,IF(AND(Mitarbeiter!$E$20&lt;&gt;"",GI$5+6&lt;Mitarbeiter!$E$20),0,IF(AND(Mitarbeiter!$F$20&lt;&gt;"",GI$5&gt;Mitarbeiter!$F$20),0,IF(Planung!GI22="",$C22,IF(ISNUMBER(Planung!GI22),Planung!GI22,IF(UPPER(Planung!GI22)="H",$C22/2,0)))))))</f>
        <v>0</v>
      </c>
      <c r="GJ22" s="27">
        <f>IF($A22="",0,IF(Mitarbeiter!$G$20=FALSE,0,IF(AND(Mitarbeiter!$E$20&lt;&gt;"",GJ$5+6&lt;Mitarbeiter!$E$20),0,IF(AND(Mitarbeiter!$F$20&lt;&gt;"",GJ$5&gt;Mitarbeiter!$F$20),0,IF(Planung!GJ22="",$C22,IF(ISNUMBER(Planung!GJ22),Planung!GJ22,IF(UPPER(Planung!GJ22)="H",$C22/2,0)))))))</f>
        <v>0</v>
      </c>
      <c r="GK22" s="27">
        <f>IF($A22="",0,IF(Mitarbeiter!$G$20=FALSE,0,IF(AND(Mitarbeiter!$E$20&lt;&gt;"",GK$5+6&lt;Mitarbeiter!$E$20),0,IF(AND(Mitarbeiter!$F$20&lt;&gt;"",GK$5&gt;Mitarbeiter!$F$20),0,IF(Planung!GK22="",$C22,IF(ISNUMBER(Planung!GK22),Planung!GK22,IF(UPPER(Planung!GK22)="H",$C22/2,0)))))))</f>
        <v>0</v>
      </c>
      <c r="GL22" s="27">
        <f>IF($A22="",0,IF(Mitarbeiter!$G$20=FALSE,0,IF(AND(Mitarbeiter!$E$20&lt;&gt;"",GL$5+6&lt;Mitarbeiter!$E$20),0,IF(AND(Mitarbeiter!$F$20&lt;&gt;"",GL$5&gt;Mitarbeiter!$F$20),0,IF(Planung!GL22="",$C22,IF(ISNUMBER(Planung!GL22),Planung!GL22,IF(UPPER(Planung!GL22)="H",$C22/2,0)))))))</f>
        <v>0</v>
      </c>
      <c r="GM22" s="27">
        <f>IF($A22="",0,IF(Mitarbeiter!$G$20=FALSE,0,IF(AND(Mitarbeiter!$E$20&lt;&gt;"",GM$5+6&lt;Mitarbeiter!$E$20),0,IF(AND(Mitarbeiter!$F$20&lt;&gt;"",GM$5&gt;Mitarbeiter!$F$20),0,IF(Planung!GM22="",$C22,IF(ISNUMBER(Planung!GM22),Planung!GM22,IF(UPPER(Planung!GM22)="H",$C22/2,0)))))))</f>
        <v>0</v>
      </c>
      <c r="GN22" s="27">
        <f>IF($A22="",0,IF(Mitarbeiter!$G$20=FALSE,0,IF(AND(Mitarbeiter!$E$20&lt;&gt;"",GN$5+6&lt;Mitarbeiter!$E$20),0,IF(AND(Mitarbeiter!$F$20&lt;&gt;"",GN$5&gt;Mitarbeiter!$F$20),0,IF(Planung!GN22="",$C22,IF(ISNUMBER(Planung!GN22),Planung!GN22,IF(UPPER(Planung!GN22)="H",$C22/2,0)))))))</f>
        <v>0</v>
      </c>
      <c r="GO22" s="27">
        <f>IF($A22="",0,IF(Mitarbeiter!$G$20=FALSE,0,IF(AND(Mitarbeiter!$E$20&lt;&gt;"",GO$5+6&lt;Mitarbeiter!$E$20),0,IF(AND(Mitarbeiter!$F$20&lt;&gt;"",GO$5&gt;Mitarbeiter!$F$20),0,IF(Planung!GO22="",$C22,IF(ISNUMBER(Planung!GO22),Planung!GO22,IF(UPPER(Planung!GO22)="H",$C22/2,0)))))))</f>
        <v>0</v>
      </c>
      <c r="GP22" s="27">
        <f>IF($A22="",0,IF(Mitarbeiter!$G$20=FALSE,0,IF(AND(Mitarbeiter!$E$20&lt;&gt;"",GP$5+6&lt;Mitarbeiter!$E$20),0,IF(AND(Mitarbeiter!$F$20&lt;&gt;"",GP$5&gt;Mitarbeiter!$F$20),0,IF(Planung!GP22="",$C22,IF(ISNUMBER(Planung!GP22),Planung!GP22,IF(UPPER(Planung!GP22)="H",$C22/2,0)))))))</f>
        <v>0</v>
      </c>
      <c r="GQ22" s="27">
        <f>IF($A22="",0,IF(Mitarbeiter!$G$20=FALSE,0,IF(AND(Mitarbeiter!$E$20&lt;&gt;"",GQ$5+6&lt;Mitarbeiter!$E$20),0,IF(AND(Mitarbeiter!$F$20&lt;&gt;"",GQ$5&gt;Mitarbeiter!$F$20),0,IF(Planung!GQ22="",$C22,IF(ISNUMBER(Planung!GQ22),Planung!GQ22,IF(UPPER(Planung!GQ22)="H",$C22/2,0)))))))</f>
        <v>0</v>
      </c>
      <c r="GR22" s="27">
        <f>IF($A22="",0,IF(Mitarbeiter!$G$20=FALSE,0,IF(AND(Mitarbeiter!$E$20&lt;&gt;"",GR$5+6&lt;Mitarbeiter!$E$20),0,IF(AND(Mitarbeiter!$F$20&lt;&gt;"",GR$5&gt;Mitarbeiter!$F$20),0,IF(Planung!GR22="",$C22,IF(ISNUMBER(Planung!GR22),Planung!GR22,IF(UPPER(Planung!GR22)="H",$C22/2,0)))))))</f>
        <v>0</v>
      </c>
      <c r="GS22" s="27">
        <f>IF($A22="",0,IF(Mitarbeiter!$G$20=FALSE,0,IF(AND(Mitarbeiter!$E$20&lt;&gt;"",GS$5+6&lt;Mitarbeiter!$E$20),0,IF(AND(Mitarbeiter!$F$20&lt;&gt;"",GS$5&gt;Mitarbeiter!$F$20),0,IF(Planung!GS22="",$C22,IF(ISNUMBER(Planung!GS22),Planung!GS22,IF(UPPER(Planung!GS22)="H",$C22/2,0)))))))</f>
        <v>0</v>
      </c>
      <c r="GT22" s="27">
        <f>IF($A22="",0,IF(Mitarbeiter!$G$20=FALSE,0,IF(AND(Mitarbeiter!$E$20&lt;&gt;"",GT$5+6&lt;Mitarbeiter!$E$20),0,IF(AND(Mitarbeiter!$F$20&lt;&gt;"",GT$5&gt;Mitarbeiter!$F$20),0,IF(Planung!GT22="",$C22,IF(ISNUMBER(Planung!GT22),Planung!GT22,IF(UPPER(Planung!GT22)="H",$C22/2,0)))))))</f>
        <v>0</v>
      </c>
      <c r="GU22" s="27">
        <f>IF($A22="",0,IF(Mitarbeiter!$G$20=FALSE,0,IF(AND(Mitarbeiter!$E$20&lt;&gt;"",GU$5+6&lt;Mitarbeiter!$E$20),0,IF(AND(Mitarbeiter!$F$20&lt;&gt;"",GU$5&gt;Mitarbeiter!$F$20),0,IF(Planung!GU22="",$C22,IF(ISNUMBER(Planung!GU22),Planung!GU22,IF(UPPER(Planung!GU22)="H",$C22/2,0)))))))</f>
        <v>0</v>
      </c>
      <c r="GV22" s="27">
        <f>IF($A22="",0,IF(Mitarbeiter!$G$20=FALSE,0,IF(AND(Mitarbeiter!$E$20&lt;&gt;"",GV$5+6&lt;Mitarbeiter!$E$20),0,IF(AND(Mitarbeiter!$F$20&lt;&gt;"",GV$5&gt;Mitarbeiter!$F$20),0,IF(Planung!GV22="",$C22,IF(ISNUMBER(Planung!GV22),Planung!GV22,IF(UPPER(Planung!GV22)="H",$C22/2,0)))))))</f>
        <v>0</v>
      </c>
      <c r="GW22" s="27">
        <f>IF($A22="",0,IF(Mitarbeiter!$G$20=FALSE,0,IF(AND(Mitarbeiter!$E$20&lt;&gt;"",GW$5+6&lt;Mitarbeiter!$E$20),0,IF(AND(Mitarbeiter!$F$20&lt;&gt;"",GW$5&gt;Mitarbeiter!$F$20),0,IF(Planung!GW22="",$C22,IF(ISNUMBER(Planung!GW22),Planung!GW22,IF(UPPER(Planung!GW22)="H",$C22/2,0)))))))</f>
        <v>0</v>
      </c>
      <c r="GX22" s="27">
        <f>IF($A22="",0,IF(Mitarbeiter!$G$20=FALSE,0,IF(AND(Mitarbeiter!$E$20&lt;&gt;"",GX$5+6&lt;Mitarbeiter!$E$20),0,IF(AND(Mitarbeiter!$F$20&lt;&gt;"",GX$5&gt;Mitarbeiter!$F$20),0,IF(Planung!GX22="",$C22,IF(ISNUMBER(Planung!GX22),Planung!GX22,IF(UPPER(Planung!GX22)="H",$C22/2,0)))))))</f>
        <v>0</v>
      </c>
      <c r="GY22" s="27">
        <f>IF($A22="",0,IF(Mitarbeiter!$G$20=FALSE,0,IF(AND(Mitarbeiter!$E$20&lt;&gt;"",GY$5+6&lt;Mitarbeiter!$E$20),0,IF(AND(Mitarbeiter!$F$20&lt;&gt;"",GY$5&gt;Mitarbeiter!$F$20),0,IF(Planung!GY22="",$C22,IF(ISNUMBER(Planung!GY22),Planung!GY22,IF(UPPER(Planung!GY22)="H",$C22/2,0)))))))</f>
        <v>0</v>
      </c>
      <c r="GZ22" s="27">
        <f>IF($A22="",0,IF(Mitarbeiter!$G$20=FALSE,0,IF(AND(Mitarbeiter!$E$20&lt;&gt;"",GZ$5+6&lt;Mitarbeiter!$E$20),0,IF(AND(Mitarbeiter!$F$20&lt;&gt;"",GZ$5&gt;Mitarbeiter!$F$20),0,IF(Planung!GZ22="",$C22,IF(ISNUMBER(Planung!GZ22),Planung!GZ22,IF(UPPER(Planung!GZ22)="H",$C22/2,0)))))))</f>
        <v>0</v>
      </c>
      <c r="HA22" s="27">
        <f>IF($A22="",0,IF(Mitarbeiter!$G$20=FALSE,0,IF(AND(Mitarbeiter!$E$20&lt;&gt;"",HA$5+6&lt;Mitarbeiter!$E$20),0,IF(AND(Mitarbeiter!$F$20&lt;&gt;"",HA$5&gt;Mitarbeiter!$F$20),0,IF(Planung!HA22="",$C22,IF(ISNUMBER(Planung!HA22),Planung!HA22,IF(UPPER(Planung!HA22)="H",$C22/2,0)))))))</f>
        <v>0</v>
      </c>
      <c r="HB22" s="27">
        <f>IF($A22="",0,IF(Mitarbeiter!$G$20=FALSE,0,IF(AND(Mitarbeiter!$E$20&lt;&gt;"",HB$5+6&lt;Mitarbeiter!$E$20),0,IF(AND(Mitarbeiter!$F$20&lt;&gt;"",HB$5&gt;Mitarbeiter!$F$20),0,IF(Planung!HB22="",$C22,IF(ISNUMBER(Planung!HB22),Planung!HB22,IF(UPPER(Planung!HB22)="H",$C22/2,0)))))))</f>
        <v>0</v>
      </c>
      <c r="HC22" s="27">
        <f>IF($A22="",0,IF(Mitarbeiter!$G$20=FALSE,0,IF(AND(Mitarbeiter!$E$20&lt;&gt;"",HC$5+6&lt;Mitarbeiter!$E$20),0,IF(AND(Mitarbeiter!$F$20&lt;&gt;"",HC$5&gt;Mitarbeiter!$F$20),0,IF(Planung!HC22="",$C22,IF(ISNUMBER(Planung!HC22),Planung!HC22,IF(UPPER(Planung!HC22)="H",$C22/2,0)))))))</f>
        <v>0</v>
      </c>
      <c r="HD22" s="27">
        <f>IF($A22="",0,IF(Mitarbeiter!$G$20=FALSE,0,IF(AND(Mitarbeiter!$E$20&lt;&gt;"",HD$5+6&lt;Mitarbeiter!$E$20),0,IF(AND(Mitarbeiter!$F$20&lt;&gt;"",HD$5&gt;Mitarbeiter!$F$20),0,IF(Planung!HD22="",$C22,IF(ISNUMBER(Planung!HD22),Planung!HD22,IF(UPPER(Planung!HD22)="H",$C22/2,0)))))))</f>
        <v>0</v>
      </c>
      <c r="HE22" s="27">
        <f>IF($A22="",0,IF(Mitarbeiter!$G$20=FALSE,0,IF(AND(Mitarbeiter!$E$20&lt;&gt;"",HE$5+6&lt;Mitarbeiter!$E$20),0,IF(AND(Mitarbeiter!$F$20&lt;&gt;"",HE$5&gt;Mitarbeiter!$F$20),0,IF(Planung!HE22="",$C22,IF(ISNUMBER(Planung!HE22),Planung!HE22,IF(UPPER(Planung!HE22)="H",$C22/2,0)))))))</f>
        <v>0</v>
      </c>
      <c r="HF22" s="27">
        <f>IF($A22="",0,IF(Mitarbeiter!$G$20=FALSE,0,IF(AND(Mitarbeiter!$E$20&lt;&gt;"",HF$5+6&lt;Mitarbeiter!$E$20),0,IF(AND(Mitarbeiter!$F$20&lt;&gt;"",HF$5&gt;Mitarbeiter!$F$20),0,IF(Planung!HF22="",$C22,IF(ISNUMBER(Planung!HF22),Planung!HF22,IF(UPPER(Planung!HF22)="H",$C22/2,0)))))))</f>
        <v>0</v>
      </c>
      <c r="HG22" s="27">
        <f>IF($A22="",0,IF(Mitarbeiter!$G$20=FALSE,0,IF(AND(Mitarbeiter!$E$20&lt;&gt;"",HG$5+6&lt;Mitarbeiter!$E$20),0,IF(AND(Mitarbeiter!$F$20&lt;&gt;"",HG$5&gt;Mitarbeiter!$F$20),0,IF(Planung!HG22="",$C22,IF(ISNUMBER(Planung!HG22),Planung!HG22,IF(UPPER(Planung!HG22)="H",$C22/2,0)))))))</f>
        <v>0</v>
      </c>
      <c r="HH22" s="27">
        <f>IF($A22="",0,IF(Mitarbeiter!$G$20=FALSE,0,IF(AND(Mitarbeiter!$E$20&lt;&gt;"",HH$5+6&lt;Mitarbeiter!$E$20),0,IF(AND(Mitarbeiter!$F$20&lt;&gt;"",HH$5&gt;Mitarbeiter!$F$20),0,IF(Planung!HH22="",$C22,IF(ISNUMBER(Planung!HH22),Planung!HH22,IF(UPPER(Planung!HH22)="H",$C22/2,0)))))))</f>
        <v>0</v>
      </c>
      <c r="HI22" s="27">
        <f>IF($A22="",0,IF(Mitarbeiter!$G$20=FALSE,0,IF(AND(Mitarbeiter!$E$20&lt;&gt;"",HI$5+6&lt;Mitarbeiter!$E$20),0,IF(AND(Mitarbeiter!$F$20&lt;&gt;"",HI$5&gt;Mitarbeiter!$F$20),0,IF(Planung!HI22="",$C22,IF(ISNUMBER(Planung!HI22),Planung!HI22,IF(UPPER(Planung!HI22)="H",$C22/2,0)))))))</f>
        <v>0</v>
      </c>
      <c r="HJ22" s="27">
        <f>IF($A22="",0,IF(Mitarbeiter!$G$20=FALSE,0,IF(AND(Mitarbeiter!$E$20&lt;&gt;"",HJ$5+6&lt;Mitarbeiter!$E$20),0,IF(AND(Mitarbeiter!$F$20&lt;&gt;"",HJ$5&gt;Mitarbeiter!$F$20),0,IF(Planung!HJ22="",$C22,IF(ISNUMBER(Planung!HJ22),Planung!HJ22,IF(UPPER(Planung!HJ22)="H",$C22/2,0)))))))</f>
        <v>0</v>
      </c>
      <c r="HK22" s="27">
        <f>IF($A22="",0,IF(Mitarbeiter!$G$20=FALSE,0,IF(AND(Mitarbeiter!$E$20&lt;&gt;"",HK$5+6&lt;Mitarbeiter!$E$20),0,IF(AND(Mitarbeiter!$F$20&lt;&gt;"",HK$5&gt;Mitarbeiter!$F$20),0,IF(Planung!HK22="",$C22,IF(ISNUMBER(Planung!HK22),Planung!HK22,IF(UPPER(Planung!HK22)="H",$C22/2,0)))))))</f>
        <v>0</v>
      </c>
      <c r="HL22" s="27">
        <f>IF($A22="",0,IF(Mitarbeiter!$G$20=FALSE,0,IF(AND(Mitarbeiter!$E$20&lt;&gt;"",HL$5+6&lt;Mitarbeiter!$E$20),0,IF(AND(Mitarbeiter!$F$20&lt;&gt;"",HL$5&gt;Mitarbeiter!$F$20),0,IF(Planung!HL22="",$C22,IF(ISNUMBER(Planung!HL22),Planung!HL22,IF(UPPER(Planung!HL22)="H",$C22/2,0)))))))</f>
        <v>0</v>
      </c>
      <c r="HM22" s="27">
        <f>IF($A22="",0,IF(Mitarbeiter!$G$20=FALSE,0,IF(AND(Mitarbeiter!$E$20&lt;&gt;"",HM$5+6&lt;Mitarbeiter!$E$20),0,IF(AND(Mitarbeiter!$F$20&lt;&gt;"",HM$5&gt;Mitarbeiter!$F$20),0,IF(Planung!HM22="",$C22,IF(ISNUMBER(Planung!HM22),Planung!HM22,IF(UPPER(Planung!HM22)="H",$C22/2,0)))))))</f>
        <v>0</v>
      </c>
      <c r="HN22" s="27">
        <f>IF($A22="",0,IF(Mitarbeiter!$G$20=FALSE,0,IF(AND(Mitarbeiter!$E$20&lt;&gt;"",HN$5+6&lt;Mitarbeiter!$E$20),0,IF(AND(Mitarbeiter!$F$20&lt;&gt;"",HN$5&gt;Mitarbeiter!$F$20),0,IF(Planung!HN22="",$C22,IF(ISNUMBER(Planung!HN22),Planung!HN22,IF(UPPER(Planung!HN22)="H",$C22/2,0)))))))</f>
        <v>0</v>
      </c>
      <c r="HO22" s="27">
        <f>IF($A22="",0,IF(Mitarbeiter!$G$20=FALSE,0,IF(AND(Mitarbeiter!$E$20&lt;&gt;"",HO$5+6&lt;Mitarbeiter!$E$20),0,IF(AND(Mitarbeiter!$F$20&lt;&gt;"",HO$5&gt;Mitarbeiter!$F$20),0,IF(Planung!HO22="",$C22,IF(ISNUMBER(Planung!HO22),Planung!HO22,IF(UPPER(Planung!HO22)="H",$C22/2,0)))))))</f>
        <v>0</v>
      </c>
      <c r="HP22" s="27">
        <f>IF($A22="",0,IF(Mitarbeiter!$G$20=FALSE,0,IF(AND(Mitarbeiter!$E$20&lt;&gt;"",HP$5+6&lt;Mitarbeiter!$E$20),0,IF(AND(Mitarbeiter!$F$20&lt;&gt;"",HP$5&gt;Mitarbeiter!$F$20),0,IF(Planung!HP22="",$C22,IF(ISNUMBER(Planung!HP22),Planung!HP22,IF(UPPER(Planung!HP22)="H",$C22/2,0)))))))</f>
        <v>0</v>
      </c>
      <c r="HQ22" s="27">
        <f>IF($A22="",0,IF(Mitarbeiter!$G$20=FALSE,0,IF(AND(Mitarbeiter!$E$20&lt;&gt;"",HQ$5+6&lt;Mitarbeiter!$E$20),0,IF(AND(Mitarbeiter!$F$20&lt;&gt;"",HQ$5&gt;Mitarbeiter!$F$20),0,IF(Planung!HQ22="",$C22,IF(ISNUMBER(Planung!HQ22),Planung!HQ22,IF(UPPER(Planung!HQ22)="H",$C22/2,0)))))))</f>
        <v>0</v>
      </c>
      <c r="HR22" s="27">
        <f>IF($A22="",0,IF(Mitarbeiter!$G$20=FALSE,0,IF(AND(Mitarbeiter!$E$20&lt;&gt;"",HR$5+6&lt;Mitarbeiter!$E$20),0,IF(AND(Mitarbeiter!$F$20&lt;&gt;"",HR$5&gt;Mitarbeiter!$F$20),0,IF(Planung!HR22="",$C22,IF(ISNUMBER(Planung!HR22),Planung!HR22,IF(UPPER(Planung!HR22)="H",$C22/2,0)))))))</f>
        <v>0</v>
      </c>
      <c r="HS22" s="27">
        <f>IF($A22="",0,IF(Mitarbeiter!$G$20=FALSE,0,IF(AND(Mitarbeiter!$E$20&lt;&gt;"",HS$5+6&lt;Mitarbeiter!$E$20),0,IF(AND(Mitarbeiter!$F$20&lt;&gt;"",HS$5&gt;Mitarbeiter!$F$20),0,IF(Planung!HS22="",$C22,IF(ISNUMBER(Planung!HS22),Planung!HS22,IF(UPPER(Planung!HS22)="H",$C22/2,0)))))))</f>
        <v>0</v>
      </c>
      <c r="HT22" s="27">
        <f>IF($A22="",0,IF(Mitarbeiter!$G$20=FALSE,0,IF(AND(Mitarbeiter!$E$20&lt;&gt;"",HT$5+6&lt;Mitarbeiter!$E$20),0,IF(AND(Mitarbeiter!$F$20&lt;&gt;"",HT$5&gt;Mitarbeiter!$F$20),0,IF(Planung!HT22="",$C22,IF(ISNUMBER(Planung!HT22),Planung!HT22,IF(UPPER(Planung!HT22)="H",$C22/2,0)))))))</f>
        <v>0</v>
      </c>
      <c r="HU22" s="27">
        <f>IF($A22="",0,IF(Mitarbeiter!$G$20=FALSE,0,IF(AND(Mitarbeiter!$E$20&lt;&gt;"",HU$5+6&lt;Mitarbeiter!$E$20),0,IF(AND(Mitarbeiter!$F$20&lt;&gt;"",HU$5&gt;Mitarbeiter!$F$20),0,IF(Planung!HU22="",$C22,IF(ISNUMBER(Planung!HU22),Planung!HU22,IF(UPPER(Planung!HU22)="H",$C22/2,0)))))))</f>
        <v>0</v>
      </c>
      <c r="HV22" s="27">
        <f>IF($A22="",0,IF(Mitarbeiter!$G$20=FALSE,0,IF(AND(Mitarbeiter!$E$20&lt;&gt;"",HV$5+6&lt;Mitarbeiter!$E$20),0,IF(AND(Mitarbeiter!$F$20&lt;&gt;"",HV$5&gt;Mitarbeiter!$F$20),0,IF(Planung!HV22="",$C22,IF(ISNUMBER(Planung!HV22),Planung!HV22,IF(UPPER(Planung!HV22)="H",$C22/2,0)))))))</f>
        <v>0</v>
      </c>
      <c r="HW22" s="27">
        <f>IF($A22="",0,IF(Mitarbeiter!$G$20=FALSE,0,IF(AND(Mitarbeiter!$E$20&lt;&gt;"",HW$5+6&lt;Mitarbeiter!$E$20),0,IF(AND(Mitarbeiter!$F$20&lt;&gt;"",HW$5&gt;Mitarbeiter!$F$20),0,IF(Planung!HW22="",$C22,IF(ISNUMBER(Planung!HW22),Planung!HW22,IF(UPPER(Planung!HW22)="H",$C22/2,0)))))))</f>
        <v>0</v>
      </c>
      <c r="HX22" s="27">
        <f>IF($A22="",0,IF(Mitarbeiter!$G$20=FALSE,0,IF(AND(Mitarbeiter!$E$20&lt;&gt;"",HX$5+6&lt;Mitarbeiter!$E$20),0,IF(AND(Mitarbeiter!$F$20&lt;&gt;"",HX$5&gt;Mitarbeiter!$F$20),0,IF(Planung!HX22="",$C22,IF(ISNUMBER(Planung!HX22),Planung!HX22,IF(UPPER(Planung!HX22)="H",$C22/2,0)))))))</f>
        <v>0</v>
      </c>
      <c r="HY22" s="27">
        <f>IF($A22="",0,IF(Mitarbeiter!$G$20=FALSE,0,IF(AND(Mitarbeiter!$E$20&lt;&gt;"",HY$5+6&lt;Mitarbeiter!$E$20),0,IF(AND(Mitarbeiter!$F$20&lt;&gt;"",HY$5&gt;Mitarbeiter!$F$20),0,IF(Planung!HY22="",$C22,IF(ISNUMBER(Planung!HY22),Planung!HY22,IF(UPPER(Planung!HY22)="H",$C22/2,0)))))))</f>
        <v>0</v>
      </c>
      <c r="HZ22" s="27">
        <f>IF($A22="",0,IF(Mitarbeiter!$G$20=FALSE,0,IF(AND(Mitarbeiter!$E$20&lt;&gt;"",HZ$5+6&lt;Mitarbeiter!$E$20),0,IF(AND(Mitarbeiter!$F$20&lt;&gt;"",HZ$5&gt;Mitarbeiter!$F$20),0,IF(Planung!HZ22="",$C22,IF(ISNUMBER(Planung!HZ22),Planung!HZ22,IF(UPPER(Planung!HZ22)="H",$C22/2,0)))))))</f>
        <v>0</v>
      </c>
      <c r="IA22" s="27">
        <f>IF($A22="",0,IF(Mitarbeiter!$G$20=FALSE,0,IF(AND(Mitarbeiter!$E$20&lt;&gt;"",IA$5+6&lt;Mitarbeiter!$E$20),0,IF(AND(Mitarbeiter!$F$20&lt;&gt;"",IA$5&gt;Mitarbeiter!$F$20),0,IF(Planung!IA22="",$C22,IF(ISNUMBER(Planung!IA22),Planung!IA22,IF(UPPER(Planung!IA22)="H",$C22/2,0)))))))</f>
        <v>0</v>
      </c>
    </row>
    <row r="23" spans="1:235" x14ac:dyDescent="0.25">
      <c r="A23" s="7" t="str">
        <f>Planung!A23</f>
        <v/>
      </c>
      <c r="B23" s="7" t="str">
        <f>Planung!B23</f>
        <v/>
      </c>
      <c r="C23" s="27">
        <f>N(Mitarbeiter!$D$21)</f>
        <v>0</v>
      </c>
      <c r="D23" s="27">
        <f>IF($A23="",0,IF(Mitarbeiter!$G$21=FALSE,0,IF(AND(Mitarbeiter!$E$21&lt;&gt;"",D$5+6&lt;Mitarbeiter!$E$21),0,IF(AND(Mitarbeiter!$F$21&lt;&gt;"",D$5&gt;Mitarbeiter!$F$21),0,IF(Planung!D23="",$C23,IF(ISNUMBER(Planung!D23),Planung!D23,IF(UPPER(Planung!D23)="H",$C23/2,0)))))))</f>
        <v>0</v>
      </c>
      <c r="E23" s="27">
        <f>IF($A23="",0,IF(Mitarbeiter!$G$21=FALSE,0,IF(AND(Mitarbeiter!$E$21&lt;&gt;"",E$5+6&lt;Mitarbeiter!$E$21),0,IF(AND(Mitarbeiter!$F$21&lt;&gt;"",E$5&gt;Mitarbeiter!$F$21),0,IF(Planung!E23="",$C23,IF(ISNUMBER(Planung!E23),Planung!E23,IF(UPPER(Planung!E23)="H",$C23/2,0)))))))</f>
        <v>0</v>
      </c>
      <c r="F23" s="27">
        <f>IF($A23="",0,IF(Mitarbeiter!$G$21=FALSE,0,IF(AND(Mitarbeiter!$E$21&lt;&gt;"",F$5+6&lt;Mitarbeiter!$E$21),0,IF(AND(Mitarbeiter!$F$21&lt;&gt;"",F$5&gt;Mitarbeiter!$F$21),0,IF(Planung!F23="",$C23,IF(ISNUMBER(Planung!F23),Planung!F23,IF(UPPER(Planung!F23)="H",$C23/2,0)))))))</f>
        <v>0</v>
      </c>
      <c r="G23" s="27">
        <f>IF($A23="",0,IF(Mitarbeiter!$G$21=FALSE,0,IF(AND(Mitarbeiter!$E$21&lt;&gt;"",G$5+6&lt;Mitarbeiter!$E$21),0,IF(AND(Mitarbeiter!$F$21&lt;&gt;"",G$5&gt;Mitarbeiter!$F$21),0,IF(Planung!G23="",$C23,IF(ISNUMBER(Planung!G23),Planung!G23,IF(UPPER(Planung!G23)="H",$C23/2,0)))))))</f>
        <v>0</v>
      </c>
      <c r="H23" s="27">
        <f>IF($A23="",0,IF(Mitarbeiter!$G$21=FALSE,0,IF(AND(Mitarbeiter!$E$21&lt;&gt;"",H$5+6&lt;Mitarbeiter!$E$21),0,IF(AND(Mitarbeiter!$F$21&lt;&gt;"",H$5&gt;Mitarbeiter!$F$21),0,IF(Planung!H23="",$C23,IF(ISNUMBER(Planung!H23),Planung!H23,IF(UPPER(Planung!H23)="H",$C23/2,0)))))))</f>
        <v>0</v>
      </c>
      <c r="I23" s="27">
        <f>IF($A23="",0,IF(Mitarbeiter!$G$21=FALSE,0,IF(AND(Mitarbeiter!$E$21&lt;&gt;"",I$5+6&lt;Mitarbeiter!$E$21),0,IF(AND(Mitarbeiter!$F$21&lt;&gt;"",I$5&gt;Mitarbeiter!$F$21),0,IF(Planung!I23="",$C23,IF(ISNUMBER(Planung!I23),Planung!I23,IF(UPPER(Planung!I23)="H",$C23/2,0)))))))</f>
        <v>0</v>
      </c>
      <c r="J23" s="27">
        <f>IF($A23="",0,IF(Mitarbeiter!$G$21=FALSE,0,IF(AND(Mitarbeiter!$E$21&lt;&gt;"",J$5+6&lt;Mitarbeiter!$E$21),0,IF(AND(Mitarbeiter!$F$21&lt;&gt;"",J$5&gt;Mitarbeiter!$F$21),0,IF(Planung!J23="",$C23,IF(ISNUMBER(Planung!J23),Planung!J23,IF(UPPER(Planung!J23)="H",$C23/2,0)))))))</f>
        <v>0</v>
      </c>
      <c r="K23" s="27">
        <f>IF($A23="",0,IF(Mitarbeiter!$G$21=FALSE,0,IF(AND(Mitarbeiter!$E$21&lt;&gt;"",K$5+6&lt;Mitarbeiter!$E$21),0,IF(AND(Mitarbeiter!$F$21&lt;&gt;"",K$5&gt;Mitarbeiter!$F$21),0,IF(Planung!K23="",$C23,IF(ISNUMBER(Planung!K23),Planung!K23,IF(UPPER(Planung!K23)="H",$C23/2,0)))))))</f>
        <v>0</v>
      </c>
      <c r="L23" s="27">
        <f>IF($A23="",0,IF(Mitarbeiter!$G$21=FALSE,0,IF(AND(Mitarbeiter!$E$21&lt;&gt;"",L$5+6&lt;Mitarbeiter!$E$21),0,IF(AND(Mitarbeiter!$F$21&lt;&gt;"",L$5&gt;Mitarbeiter!$F$21),0,IF(Planung!L23="",$C23,IF(ISNUMBER(Planung!L23),Planung!L23,IF(UPPER(Planung!L23)="H",$C23/2,0)))))))</f>
        <v>0</v>
      </c>
      <c r="M23" s="27">
        <f>IF($A23="",0,IF(Mitarbeiter!$G$21=FALSE,0,IF(AND(Mitarbeiter!$E$21&lt;&gt;"",M$5+6&lt;Mitarbeiter!$E$21),0,IF(AND(Mitarbeiter!$F$21&lt;&gt;"",M$5&gt;Mitarbeiter!$F$21),0,IF(Planung!M23="",$C23,IF(ISNUMBER(Planung!M23),Planung!M23,IF(UPPER(Planung!M23)="H",$C23/2,0)))))))</f>
        <v>0</v>
      </c>
      <c r="N23" s="27">
        <f>IF($A23="",0,IF(Mitarbeiter!$G$21=FALSE,0,IF(AND(Mitarbeiter!$E$21&lt;&gt;"",N$5+6&lt;Mitarbeiter!$E$21),0,IF(AND(Mitarbeiter!$F$21&lt;&gt;"",N$5&gt;Mitarbeiter!$F$21),0,IF(Planung!N23="",$C23,IF(ISNUMBER(Planung!N23),Planung!N23,IF(UPPER(Planung!N23)="H",$C23/2,0)))))))</f>
        <v>0</v>
      </c>
      <c r="O23" s="27">
        <f>IF($A23="",0,IF(Mitarbeiter!$G$21=FALSE,0,IF(AND(Mitarbeiter!$E$21&lt;&gt;"",O$5+6&lt;Mitarbeiter!$E$21),0,IF(AND(Mitarbeiter!$F$21&lt;&gt;"",O$5&gt;Mitarbeiter!$F$21),0,IF(Planung!O23="",$C23,IF(ISNUMBER(Planung!O23),Planung!O23,IF(UPPER(Planung!O23)="H",$C23/2,0)))))))</f>
        <v>0</v>
      </c>
      <c r="P23" s="27">
        <f>IF($A23="",0,IF(Mitarbeiter!$G$21=FALSE,0,IF(AND(Mitarbeiter!$E$21&lt;&gt;"",P$5+6&lt;Mitarbeiter!$E$21),0,IF(AND(Mitarbeiter!$F$21&lt;&gt;"",P$5&gt;Mitarbeiter!$F$21),0,IF(Planung!P23="",$C23,IF(ISNUMBER(Planung!P23),Planung!P23,IF(UPPER(Planung!P23)="H",$C23/2,0)))))))</f>
        <v>0</v>
      </c>
      <c r="Q23" s="27">
        <f>IF($A23="",0,IF(Mitarbeiter!$G$21=FALSE,0,IF(AND(Mitarbeiter!$E$21&lt;&gt;"",Q$5+6&lt;Mitarbeiter!$E$21),0,IF(AND(Mitarbeiter!$F$21&lt;&gt;"",Q$5&gt;Mitarbeiter!$F$21),0,IF(Planung!Q23="",$C23,IF(ISNUMBER(Planung!Q23),Planung!Q23,IF(UPPER(Planung!Q23)="H",$C23/2,0)))))))</f>
        <v>0</v>
      </c>
      <c r="R23" s="27">
        <f>IF($A23="",0,IF(Mitarbeiter!$G$21=FALSE,0,IF(AND(Mitarbeiter!$E$21&lt;&gt;"",R$5+6&lt;Mitarbeiter!$E$21),0,IF(AND(Mitarbeiter!$F$21&lt;&gt;"",R$5&gt;Mitarbeiter!$F$21),0,IF(Planung!R23="",$C23,IF(ISNUMBER(Planung!R23),Planung!R23,IF(UPPER(Planung!R23)="H",$C23/2,0)))))))</f>
        <v>0</v>
      </c>
      <c r="S23" s="27">
        <f>IF($A23="",0,IF(Mitarbeiter!$G$21=FALSE,0,IF(AND(Mitarbeiter!$E$21&lt;&gt;"",S$5+6&lt;Mitarbeiter!$E$21),0,IF(AND(Mitarbeiter!$F$21&lt;&gt;"",S$5&gt;Mitarbeiter!$F$21),0,IF(Planung!S23="",$C23,IF(ISNUMBER(Planung!S23),Planung!S23,IF(UPPER(Planung!S23)="H",$C23/2,0)))))))</f>
        <v>0</v>
      </c>
      <c r="T23" s="27">
        <f>IF($A23="",0,IF(Mitarbeiter!$G$21=FALSE,0,IF(AND(Mitarbeiter!$E$21&lt;&gt;"",T$5+6&lt;Mitarbeiter!$E$21),0,IF(AND(Mitarbeiter!$F$21&lt;&gt;"",T$5&gt;Mitarbeiter!$F$21),0,IF(Planung!T23="",$C23,IF(ISNUMBER(Planung!T23),Planung!T23,IF(UPPER(Planung!T23)="H",$C23/2,0)))))))</f>
        <v>0</v>
      </c>
      <c r="U23" s="27">
        <f>IF($A23="",0,IF(Mitarbeiter!$G$21=FALSE,0,IF(AND(Mitarbeiter!$E$21&lt;&gt;"",U$5+6&lt;Mitarbeiter!$E$21),0,IF(AND(Mitarbeiter!$F$21&lt;&gt;"",U$5&gt;Mitarbeiter!$F$21),0,IF(Planung!U23="",$C23,IF(ISNUMBER(Planung!U23),Planung!U23,IF(UPPER(Planung!U23)="H",$C23/2,0)))))))</f>
        <v>0</v>
      </c>
      <c r="V23" s="27">
        <f>IF($A23="",0,IF(Mitarbeiter!$G$21=FALSE,0,IF(AND(Mitarbeiter!$E$21&lt;&gt;"",V$5+6&lt;Mitarbeiter!$E$21),0,IF(AND(Mitarbeiter!$F$21&lt;&gt;"",V$5&gt;Mitarbeiter!$F$21),0,IF(Planung!V23="",$C23,IF(ISNUMBER(Planung!V23),Planung!V23,IF(UPPER(Planung!V23)="H",$C23/2,0)))))))</f>
        <v>0</v>
      </c>
      <c r="W23" s="27">
        <f>IF($A23="",0,IF(Mitarbeiter!$G$21=FALSE,0,IF(AND(Mitarbeiter!$E$21&lt;&gt;"",W$5+6&lt;Mitarbeiter!$E$21),0,IF(AND(Mitarbeiter!$F$21&lt;&gt;"",W$5&gt;Mitarbeiter!$F$21),0,IF(Planung!W23="",$C23,IF(ISNUMBER(Planung!W23),Planung!W23,IF(UPPER(Planung!W23)="H",$C23/2,0)))))))</f>
        <v>0</v>
      </c>
      <c r="X23" s="27">
        <f>IF($A23="",0,IF(Mitarbeiter!$G$21=FALSE,0,IF(AND(Mitarbeiter!$E$21&lt;&gt;"",X$5+6&lt;Mitarbeiter!$E$21),0,IF(AND(Mitarbeiter!$F$21&lt;&gt;"",X$5&gt;Mitarbeiter!$F$21),0,IF(Planung!X23="",$C23,IF(ISNUMBER(Planung!X23),Planung!X23,IF(UPPER(Planung!X23)="H",$C23/2,0)))))))</f>
        <v>0</v>
      </c>
      <c r="Y23" s="27">
        <f>IF($A23="",0,IF(Mitarbeiter!$G$21=FALSE,0,IF(AND(Mitarbeiter!$E$21&lt;&gt;"",Y$5+6&lt;Mitarbeiter!$E$21),0,IF(AND(Mitarbeiter!$F$21&lt;&gt;"",Y$5&gt;Mitarbeiter!$F$21),0,IF(Planung!Y23="",$C23,IF(ISNUMBER(Planung!Y23),Planung!Y23,IF(UPPER(Planung!Y23)="H",$C23/2,0)))))))</f>
        <v>0</v>
      </c>
      <c r="Z23" s="27">
        <f>IF($A23="",0,IF(Mitarbeiter!$G$21=FALSE,0,IF(AND(Mitarbeiter!$E$21&lt;&gt;"",Z$5+6&lt;Mitarbeiter!$E$21),0,IF(AND(Mitarbeiter!$F$21&lt;&gt;"",Z$5&gt;Mitarbeiter!$F$21),0,IF(Planung!Z23="",$C23,IF(ISNUMBER(Planung!Z23),Planung!Z23,IF(UPPER(Planung!Z23)="H",$C23/2,0)))))))</f>
        <v>0</v>
      </c>
      <c r="AA23" s="27">
        <f>IF($A23="",0,IF(Mitarbeiter!$G$21=FALSE,0,IF(AND(Mitarbeiter!$E$21&lt;&gt;"",AA$5+6&lt;Mitarbeiter!$E$21),0,IF(AND(Mitarbeiter!$F$21&lt;&gt;"",AA$5&gt;Mitarbeiter!$F$21),0,IF(Planung!AA23="",$C23,IF(ISNUMBER(Planung!AA23),Planung!AA23,IF(UPPER(Planung!AA23)="H",$C23/2,0)))))))</f>
        <v>0</v>
      </c>
      <c r="AB23" s="27">
        <f>IF($A23="",0,IF(Mitarbeiter!$G$21=FALSE,0,IF(AND(Mitarbeiter!$E$21&lt;&gt;"",AB$5+6&lt;Mitarbeiter!$E$21),0,IF(AND(Mitarbeiter!$F$21&lt;&gt;"",AB$5&gt;Mitarbeiter!$F$21),0,IF(Planung!AB23="",$C23,IF(ISNUMBER(Planung!AB23),Planung!AB23,IF(UPPER(Planung!AB23)="H",$C23/2,0)))))))</f>
        <v>0</v>
      </c>
      <c r="AC23" s="27">
        <f>IF($A23="",0,IF(Mitarbeiter!$G$21=FALSE,0,IF(AND(Mitarbeiter!$E$21&lt;&gt;"",AC$5+6&lt;Mitarbeiter!$E$21),0,IF(AND(Mitarbeiter!$F$21&lt;&gt;"",AC$5&gt;Mitarbeiter!$F$21),0,IF(Planung!AC23="",$C23,IF(ISNUMBER(Planung!AC23),Planung!AC23,IF(UPPER(Planung!AC23)="H",$C23/2,0)))))))</f>
        <v>0</v>
      </c>
      <c r="AD23" s="27">
        <f>IF($A23="",0,IF(Mitarbeiter!$G$21=FALSE,0,IF(AND(Mitarbeiter!$E$21&lt;&gt;"",AD$5+6&lt;Mitarbeiter!$E$21),0,IF(AND(Mitarbeiter!$F$21&lt;&gt;"",AD$5&gt;Mitarbeiter!$F$21),0,IF(Planung!AD23="",$C23,IF(ISNUMBER(Planung!AD23),Planung!AD23,IF(UPPER(Planung!AD23)="H",$C23/2,0)))))))</f>
        <v>0</v>
      </c>
      <c r="AE23" s="27">
        <f>IF($A23="",0,IF(Mitarbeiter!$G$21=FALSE,0,IF(AND(Mitarbeiter!$E$21&lt;&gt;"",AE$5+6&lt;Mitarbeiter!$E$21),0,IF(AND(Mitarbeiter!$F$21&lt;&gt;"",AE$5&gt;Mitarbeiter!$F$21),0,IF(Planung!AE23="",$C23,IF(ISNUMBER(Planung!AE23),Planung!AE23,IF(UPPER(Planung!AE23)="H",$C23/2,0)))))))</f>
        <v>0</v>
      </c>
      <c r="AF23" s="27">
        <f>IF($A23="",0,IF(Mitarbeiter!$G$21=FALSE,0,IF(AND(Mitarbeiter!$E$21&lt;&gt;"",AF$5+6&lt;Mitarbeiter!$E$21),0,IF(AND(Mitarbeiter!$F$21&lt;&gt;"",AF$5&gt;Mitarbeiter!$F$21),0,IF(Planung!AF23="",$C23,IF(ISNUMBER(Planung!AF23),Planung!AF23,IF(UPPER(Planung!AF23)="H",$C23/2,0)))))))</f>
        <v>0</v>
      </c>
      <c r="AG23" s="27">
        <f>IF($A23="",0,IF(Mitarbeiter!$G$21=FALSE,0,IF(AND(Mitarbeiter!$E$21&lt;&gt;"",AG$5+6&lt;Mitarbeiter!$E$21),0,IF(AND(Mitarbeiter!$F$21&lt;&gt;"",AG$5&gt;Mitarbeiter!$F$21),0,IF(Planung!AG23="",$C23,IF(ISNUMBER(Planung!AG23),Planung!AG23,IF(UPPER(Planung!AG23)="H",$C23/2,0)))))))</f>
        <v>0</v>
      </c>
      <c r="AH23" s="27">
        <f>IF($A23="",0,IF(Mitarbeiter!$G$21=FALSE,0,IF(AND(Mitarbeiter!$E$21&lt;&gt;"",AH$5+6&lt;Mitarbeiter!$E$21),0,IF(AND(Mitarbeiter!$F$21&lt;&gt;"",AH$5&gt;Mitarbeiter!$F$21),0,IF(Planung!AH23="",$C23,IF(ISNUMBER(Planung!AH23),Planung!AH23,IF(UPPER(Planung!AH23)="H",$C23/2,0)))))))</f>
        <v>0</v>
      </c>
      <c r="AI23" s="27">
        <f>IF($A23="",0,IF(Mitarbeiter!$G$21=FALSE,0,IF(AND(Mitarbeiter!$E$21&lt;&gt;"",AI$5+6&lt;Mitarbeiter!$E$21),0,IF(AND(Mitarbeiter!$F$21&lt;&gt;"",AI$5&gt;Mitarbeiter!$F$21),0,IF(Planung!AI23="",$C23,IF(ISNUMBER(Planung!AI23),Planung!AI23,IF(UPPER(Planung!AI23)="H",$C23/2,0)))))))</f>
        <v>0</v>
      </c>
      <c r="AJ23" s="27">
        <f>IF($A23="",0,IF(Mitarbeiter!$G$21=FALSE,0,IF(AND(Mitarbeiter!$E$21&lt;&gt;"",AJ$5+6&lt;Mitarbeiter!$E$21),0,IF(AND(Mitarbeiter!$F$21&lt;&gt;"",AJ$5&gt;Mitarbeiter!$F$21),0,IF(Planung!AJ23="",$C23,IF(ISNUMBER(Planung!AJ23),Planung!AJ23,IF(UPPER(Planung!AJ23)="H",$C23/2,0)))))))</f>
        <v>0</v>
      </c>
      <c r="AK23" s="27">
        <f>IF($A23="",0,IF(Mitarbeiter!$G$21=FALSE,0,IF(AND(Mitarbeiter!$E$21&lt;&gt;"",AK$5+6&lt;Mitarbeiter!$E$21),0,IF(AND(Mitarbeiter!$F$21&lt;&gt;"",AK$5&gt;Mitarbeiter!$F$21),0,IF(Planung!AK23="",$C23,IF(ISNUMBER(Planung!AK23),Planung!AK23,IF(UPPER(Planung!AK23)="H",$C23/2,0)))))))</f>
        <v>0</v>
      </c>
      <c r="AL23" s="27">
        <f>IF($A23="",0,IF(Mitarbeiter!$G$21=FALSE,0,IF(AND(Mitarbeiter!$E$21&lt;&gt;"",AL$5+6&lt;Mitarbeiter!$E$21),0,IF(AND(Mitarbeiter!$F$21&lt;&gt;"",AL$5&gt;Mitarbeiter!$F$21),0,IF(Planung!AL23="",$C23,IF(ISNUMBER(Planung!AL23),Planung!AL23,IF(UPPER(Planung!AL23)="H",$C23/2,0)))))))</f>
        <v>0</v>
      </c>
      <c r="AM23" s="27">
        <f>IF($A23="",0,IF(Mitarbeiter!$G$21=FALSE,0,IF(AND(Mitarbeiter!$E$21&lt;&gt;"",AM$5+6&lt;Mitarbeiter!$E$21),0,IF(AND(Mitarbeiter!$F$21&lt;&gt;"",AM$5&gt;Mitarbeiter!$F$21),0,IF(Planung!AM23="",$C23,IF(ISNUMBER(Planung!AM23),Planung!AM23,IF(UPPER(Planung!AM23)="H",$C23/2,0)))))))</f>
        <v>0</v>
      </c>
      <c r="AN23" s="27">
        <f>IF($A23="",0,IF(Mitarbeiter!$G$21=FALSE,0,IF(AND(Mitarbeiter!$E$21&lt;&gt;"",AN$5+6&lt;Mitarbeiter!$E$21),0,IF(AND(Mitarbeiter!$F$21&lt;&gt;"",AN$5&gt;Mitarbeiter!$F$21),0,IF(Planung!AN23="",$C23,IF(ISNUMBER(Planung!AN23),Planung!AN23,IF(UPPER(Planung!AN23)="H",$C23/2,0)))))))</f>
        <v>0</v>
      </c>
      <c r="AO23" s="27">
        <f>IF($A23="",0,IF(Mitarbeiter!$G$21=FALSE,0,IF(AND(Mitarbeiter!$E$21&lt;&gt;"",AO$5+6&lt;Mitarbeiter!$E$21),0,IF(AND(Mitarbeiter!$F$21&lt;&gt;"",AO$5&gt;Mitarbeiter!$F$21),0,IF(Planung!AO23="",$C23,IF(ISNUMBER(Planung!AO23),Planung!AO23,IF(UPPER(Planung!AO23)="H",$C23/2,0)))))))</f>
        <v>0</v>
      </c>
      <c r="AP23" s="27">
        <f>IF($A23="",0,IF(Mitarbeiter!$G$21=FALSE,0,IF(AND(Mitarbeiter!$E$21&lt;&gt;"",AP$5+6&lt;Mitarbeiter!$E$21),0,IF(AND(Mitarbeiter!$F$21&lt;&gt;"",AP$5&gt;Mitarbeiter!$F$21),0,IF(Planung!AP23="",$C23,IF(ISNUMBER(Planung!AP23),Planung!AP23,IF(UPPER(Planung!AP23)="H",$C23/2,0)))))))</f>
        <v>0</v>
      </c>
      <c r="AQ23" s="27">
        <f>IF($A23="",0,IF(Mitarbeiter!$G$21=FALSE,0,IF(AND(Mitarbeiter!$E$21&lt;&gt;"",AQ$5+6&lt;Mitarbeiter!$E$21),0,IF(AND(Mitarbeiter!$F$21&lt;&gt;"",AQ$5&gt;Mitarbeiter!$F$21),0,IF(Planung!AQ23="",$C23,IF(ISNUMBER(Planung!AQ23),Planung!AQ23,IF(UPPER(Planung!AQ23)="H",$C23/2,0)))))))</f>
        <v>0</v>
      </c>
      <c r="AR23" s="27">
        <f>IF($A23="",0,IF(Mitarbeiter!$G$21=FALSE,0,IF(AND(Mitarbeiter!$E$21&lt;&gt;"",AR$5+6&lt;Mitarbeiter!$E$21),0,IF(AND(Mitarbeiter!$F$21&lt;&gt;"",AR$5&gt;Mitarbeiter!$F$21),0,IF(Planung!AR23="",$C23,IF(ISNUMBER(Planung!AR23),Planung!AR23,IF(UPPER(Planung!AR23)="H",$C23/2,0)))))))</f>
        <v>0</v>
      </c>
      <c r="AS23" s="27">
        <f>IF($A23="",0,IF(Mitarbeiter!$G$21=FALSE,0,IF(AND(Mitarbeiter!$E$21&lt;&gt;"",AS$5+6&lt;Mitarbeiter!$E$21),0,IF(AND(Mitarbeiter!$F$21&lt;&gt;"",AS$5&gt;Mitarbeiter!$F$21),0,IF(Planung!AS23="",$C23,IF(ISNUMBER(Planung!AS23),Planung!AS23,IF(UPPER(Planung!AS23)="H",$C23/2,0)))))))</f>
        <v>0</v>
      </c>
      <c r="AT23" s="27">
        <f>IF($A23="",0,IF(Mitarbeiter!$G$21=FALSE,0,IF(AND(Mitarbeiter!$E$21&lt;&gt;"",AT$5+6&lt;Mitarbeiter!$E$21),0,IF(AND(Mitarbeiter!$F$21&lt;&gt;"",AT$5&gt;Mitarbeiter!$F$21),0,IF(Planung!AT23="",$C23,IF(ISNUMBER(Planung!AT23),Planung!AT23,IF(UPPER(Planung!AT23)="H",$C23/2,0)))))))</f>
        <v>0</v>
      </c>
      <c r="AU23" s="27">
        <f>IF($A23="",0,IF(Mitarbeiter!$G$21=FALSE,0,IF(AND(Mitarbeiter!$E$21&lt;&gt;"",AU$5+6&lt;Mitarbeiter!$E$21),0,IF(AND(Mitarbeiter!$F$21&lt;&gt;"",AU$5&gt;Mitarbeiter!$F$21),0,IF(Planung!AU23="",$C23,IF(ISNUMBER(Planung!AU23),Planung!AU23,IF(UPPER(Planung!AU23)="H",$C23/2,0)))))))</f>
        <v>0</v>
      </c>
      <c r="AV23" s="27">
        <f>IF($A23="",0,IF(Mitarbeiter!$G$21=FALSE,0,IF(AND(Mitarbeiter!$E$21&lt;&gt;"",AV$5+6&lt;Mitarbeiter!$E$21),0,IF(AND(Mitarbeiter!$F$21&lt;&gt;"",AV$5&gt;Mitarbeiter!$F$21),0,IF(Planung!AV23="",$C23,IF(ISNUMBER(Planung!AV23),Planung!AV23,IF(UPPER(Planung!AV23)="H",$C23/2,0)))))))</f>
        <v>0</v>
      </c>
      <c r="AW23" s="27">
        <f>IF($A23="",0,IF(Mitarbeiter!$G$21=FALSE,0,IF(AND(Mitarbeiter!$E$21&lt;&gt;"",AW$5+6&lt;Mitarbeiter!$E$21),0,IF(AND(Mitarbeiter!$F$21&lt;&gt;"",AW$5&gt;Mitarbeiter!$F$21),0,IF(Planung!AW23="",$C23,IF(ISNUMBER(Planung!AW23),Planung!AW23,IF(UPPER(Planung!AW23)="H",$C23/2,0)))))))</f>
        <v>0</v>
      </c>
      <c r="AX23" s="27">
        <f>IF($A23="",0,IF(Mitarbeiter!$G$21=FALSE,0,IF(AND(Mitarbeiter!$E$21&lt;&gt;"",AX$5+6&lt;Mitarbeiter!$E$21),0,IF(AND(Mitarbeiter!$F$21&lt;&gt;"",AX$5&gt;Mitarbeiter!$F$21),0,IF(Planung!AX23="",$C23,IF(ISNUMBER(Planung!AX23),Planung!AX23,IF(UPPER(Planung!AX23)="H",$C23/2,0)))))))</f>
        <v>0</v>
      </c>
      <c r="AY23" s="27">
        <f>IF($A23="",0,IF(Mitarbeiter!$G$21=FALSE,0,IF(AND(Mitarbeiter!$E$21&lt;&gt;"",AY$5+6&lt;Mitarbeiter!$E$21),0,IF(AND(Mitarbeiter!$F$21&lt;&gt;"",AY$5&gt;Mitarbeiter!$F$21),0,IF(Planung!AY23="",$C23,IF(ISNUMBER(Planung!AY23),Planung!AY23,IF(UPPER(Planung!AY23)="H",$C23/2,0)))))))</f>
        <v>0</v>
      </c>
      <c r="AZ23" s="27">
        <f>IF($A23="",0,IF(Mitarbeiter!$G$21=FALSE,0,IF(AND(Mitarbeiter!$E$21&lt;&gt;"",AZ$5+6&lt;Mitarbeiter!$E$21),0,IF(AND(Mitarbeiter!$F$21&lt;&gt;"",AZ$5&gt;Mitarbeiter!$F$21),0,IF(Planung!AZ23="",$C23,IF(ISNUMBER(Planung!AZ23),Planung!AZ23,IF(UPPER(Planung!AZ23)="H",$C23/2,0)))))))</f>
        <v>0</v>
      </c>
      <c r="BA23" s="27">
        <f>IF($A23="",0,IF(Mitarbeiter!$G$21=FALSE,0,IF(AND(Mitarbeiter!$E$21&lt;&gt;"",BA$5+6&lt;Mitarbeiter!$E$21),0,IF(AND(Mitarbeiter!$F$21&lt;&gt;"",BA$5&gt;Mitarbeiter!$F$21),0,IF(Planung!BA23="",$C23,IF(ISNUMBER(Planung!BA23),Planung!BA23,IF(UPPER(Planung!BA23)="H",$C23/2,0)))))))</f>
        <v>0</v>
      </c>
      <c r="BB23" s="27">
        <f>IF($A23="",0,IF(Mitarbeiter!$G$21=FALSE,0,IF(AND(Mitarbeiter!$E$21&lt;&gt;"",BB$5+6&lt;Mitarbeiter!$E$21),0,IF(AND(Mitarbeiter!$F$21&lt;&gt;"",BB$5&gt;Mitarbeiter!$F$21),0,IF(Planung!BB23="",$C23,IF(ISNUMBER(Planung!BB23),Planung!BB23,IF(UPPER(Planung!BB23)="H",$C23/2,0)))))))</f>
        <v>0</v>
      </c>
      <c r="BC23" s="27">
        <f>IF($A23="",0,IF(Mitarbeiter!$G$21=FALSE,0,IF(AND(Mitarbeiter!$E$21&lt;&gt;"",BC$5+6&lt;Mitarbeiter!$E$21),0,IF(AND(Mitarbeiter!$F$21&lt;&gt;"",BC$5&gt;Mitarbeiter!$F$21),0,IF(Planung!BC23="",$C23,IF(ISNUMBER(Planung!BC23),Planung!BC23,IF(UPPER(Planung!BC23)="H",$C23/2,0)))))))</f>
        <v>0</v>
      </c>
      <c r="BD23" s="27">
        <f>IF($A23="",0,IF(Mitarbeiter!$G$21=FALSE,0,IF(AND(Mitarbeiter!$E$21&lt;&gt;"",BD$5+6&lt;Mitarbeiter!$E$21),0,IF(AND(Mitarbeiter!$F$21&lt;&gt;"",BD$5&gt;Mitarbeiter!$F$21),0,IF(Planung!BD23="",$C23,IF(ISNUMBER(Planung!BD23),Planung!BD23,IF(UPPER(Planung!BD23)="H",$C23/2,0)))))))</f>
        <v>0</v>
      </c>
      <c r="BE23" s="27">
        <f>IF($A23="",0,IF(Mitarbeiter!$G$21=FALSE,0,IF(AND(Mitarbeiter!$E$21&lt;&gt;"",BE$5+6&lt;Mitarbeiter!$E$21),0,IF(AND(Mitarbeiter!$F$21&lt;&gt;"",BE$5&gt;Mitarbeiter!$F$21),0,IF(Planung!BE23="",$C23,IF(ISNUMBER(Planung!BE23),Planung!BE23,IF(UPPER(Planung!BE23)="H",$C23/2,0)))))))</f>
        <v>0</v>
      </c>
      <c r="BF23" s="27">
        <f>IF($A23="",0,IF(Mitarbeiter!$G$21=FALSE,0,IF(AND(Mitarbeiter!$E$21&lt;&gt;"",BF$5+6&lt;Mitarbeiter!$E$21),0,IF(AND(Mitarbeiter!$F$21&lt;&gt;"",BF$5&gt;Mitarbeiter!$F$21),0,IF(Planung!BF23="",$C23,IF(ISNUMBER(Planung!BF23),Planung!BF23,IF(UPPER(Planung!BF23)="H",$C23/2,0)))))))</f>
        <v>0</v>
      </c>
      <c r="BG23" s="27">
        <f>IF($A23="",0,IF(Mitarbeiter!$G$21=FALSE,0,IF(AND(Mitarbeiter!$E$21&lt;&gt;"",BG$5+6&lt;Mitarbeiter!$E$21),0,IF(AND(Mitarbeiter!$F$21&lt;&gt;"",BG$5&gt;Mitarbeiter!$F$21),0,IF(Planung!BG23="",$C23,IF(ISNUMBER(Planung!BG23),Planung!BG23,IF(UPPER(Planung!BG23)="H",$C23/2,0)))))))</f>
        <v>0</v>
      </c>
      <c r="BH23" s="27">
        <f>IF($A23="",0,IF(Mitarbeiter!$G$21=FALSE,0,IF(AND(Mitarbeiter!$E$21&lt;&gt;"",BH$5+6&lt;Mitarbeiter!$E$21),0,IF(AND(Mitarbeiter!$F$21&lt;&gt;"",BH$5&gt;Mitarbeiter!$F$21),0,IF(Planung!BH23="",$C23,IF(ISNUMBER(Planung!BH23),Planung!BH23,IF(UPPER(Planung!BH23)="H",$C23/2,0)))))))</f>
        <v>0</v>
      </c>
      <c r="BI23" s="27">
        <f>IF($A23="",0,IF(Mitarbeiter!$G$21=FALSE,0,IF(AND(Mitarbeiter!$E$21&lt;&gt;"",BI$5+6&lt;Mitarbeiter!$E$21),0,IF(AND(Mitarbeiter!$F$21&lt;&gt;"",BI$5&gt;Mitarbeiter!$F$21),0,IF(Planung!BI23="",$C23,IF(ISNUMBER(Planung!BI23),Planung!BI23,IF(UPPER(Planung!BI23)="H",$C23/2,0)))))))</f>
        <v>0</v>
      </c>
      <c r="BJ23" s="27">
        <f>IF($A23="",0,IF(Mitarbeiter!$G$21=FALSE,0,IF(AND(Mitarbeiter!$E$21&lt;&gt;"",BJ$5+6&lt;Mitarbeiter!$E$21),0,IF(AND(Mitarbeiter!$F$21&lt;&gt;"",BJ$5&gt;Mitarbeiter!$F$21),0,IF(Planung!BJ23="",$C23,IF(ISNUMBER(Planung!BJ23),Planung!BJ23,IF(UPPER(Planung!BJ23)="H",$C23/2,0)))))))</f>
        <v>0</v>
      </c>
      <c r="BK23" s="27">
        <f>IF($A23="",0,IF(Mitarbeiter!$G$21=FALSE,0,IF(AND(Mitarbeiter!$E$21&lt;&gt;"",BK$5+6&lt;Mitarbeiter!$E$21),0,IF(AND(Mitarbeiter!$F$21&lt;&gt;"",BK$5&gt;Mitarbeiter!$F$21),0,IF(Planung!BK23="",$C23,IF(ISNUMBER(Planung!BK23),Planung!BK23,IF(UPPER(Planung!BK23)="H",$C23/2,0)))))))</f>
        <v>0</v>
      </c>
      <c r="BL23" s="27">
        <f>IF($A23="",0,IF(Mitarbeiter!$G$21=FALSE,0,IF(AND(Mitarbeiter!$E$21&lt;&gt;"",BL$5+6&lt;Mitarbeiter!$E$21),0,IF(AND(Mitarbeiter!$F$21&lt;&gt;"",BL$5&gt;Mitarbeiter!$F$21),0,IF(Planung!BL23="",$C23,IF(ISNUMBER(Planung!BL23),Planung!BL23,IF(UPPER(Planung!BL23)="H",$C23/2,0)))))))</f>
        <v>0</v>
      </c>
      <c r="BM23" s="27">
        <f>IF($A23="",0,IF(Mitarbeiter!$G$21=FALSE,0,IF(AND(Mitarbeiter!$E$21&lt;&gt;"",BM$5+6&lt;Mitarbeiter!$E$21),0,IF(AND(Mitarbeiter!$F$21&lt;&gt;"",BM$5&gt;Mitarbeiter!$F$21),0,IF(Planung!BM23="",$C23,IF(ISNUMBER(Planung!BM23),Planung!BM23,IF(UPPER(Planung!BM23)="H",$C23/2,0)))))))</f>
        <v>0</v>
      </c>
      <c r="BN23" s="27">
        <f>IF($A23="",0,IF(Mitarbeiter!$G$21=FALSE,0,IF(AND(Mitarbeiter!$E$21&lt;&gt;"",BN$5+6&lt;Mitarbeiter!$E$21),0,IF(AND(Mitarbeiter!$F$21&lt;&gt;"",BN$5&gt;Mitarbeiter!$F$21),0,IF(Planung!BN23="",$C23,IF(ISNUMBER(Planung!BN23),Planung!BN23,IF(UPPER(Planung!BN23)="H",$C23/2,0)))))))</f>
        <v>0</v>
      </c>
      <c r="BO23" s="27">
        <f>IF($A23="",0,IF(Mitarbeiter!$G$21=FALSE,0,IF(AND(Mitarbeiter!$E$21&lt;&gt;"",BO$5+6&lt;Mitarbeiter!$E$21),0,IF(AND(Mitarbeiter!$F$21&lt;&gt;"",BO$5&gt;Mitarbeiter!$F$21),0,IF(Planung!BO23="",$C23,IF(ISNUMBER(Planung!BO23),Planung!BO23,IF(UPPER(Planung!BO23)="H",$C23/2,0)))))))</f>
        <v>0</v>
      </c>
      <c r="BP23" s="27">
        <f>IF($A23="",0,IF(Mitarbeiter!$G$21=FALSE,0,IF(AND(Mitarbeiter!$E$21&lt;&gt;"",BP$5+6&lt;Mitarbeiter!$E$21),0,IF(AND(Mitarbeiter!$F$21&lt;&gt;"",BP$5&gt;Mitarbeiter!$F$21),0,IF(Planung!BP23="",$C23,IF(ISNUMBER(Planung!BP23),Planung!BP23,IF(UPPER(Planung!BP23)="H",$C23/2,0)))))))</f>
        <v>0</v>
      </c>
      <c r="BQ23" s="27">
        <f>IF($A23="",0,IF(Mitarbeiter!$G$21=FALSE,0,IF(AND(Mitarbeiter!$E$21&lt;&gt;"",BQ$5+6&lt;Mitarbeiter!$E$21),0,IF(AND(Mitarbeiter!$F$21&lt;&gt;"",BQ$5&gt;Mitarbeiter!$F$21),0,IF(Planung!BQ23="",$C23,IF(ISNUMBER(Planung!BQ23),Planung!BQ23,IF(UPPER(Planung!BQ23)="H",$C23/2,0)))))))</f>
        <v>0</v>
      </c>
      <c r="BR23" s="27">
        <f>IF($A23="",0,IF(Mitarbeiter!$G$21=FALSE,0,IF(AND(Mitarbeiter!$E$21&lt;&gt;"",BR$5+6&lt;Mitarbeiter!$E$21),0,IF(AND(Mitarbeiter!$F$21&lt;&gt;"",BR$5&gt;Mitarbeiter!$F$21),0,IF(Planung!BR23="",$C23,IF(ISNUMBER(Planung!BR23),Planung!BR23,IF(UPPER(Planung!BR23)="H",$C23/2,0)))))))</f>
        <v>0</v>
      </c>
      <c r="BS23" s="27">
        <f>IF($A23="",0,IF(Mitarbeiter!$G$21=FALSE,0,IF(AND(Mitarbeiter!$E$21&lt;&gt;"",BS$5+6&lt;Mitarbeiter!$E$21),0,IF(AND(Mitarbeiter!$F$21&lt;&gt;"",BS$5&gt;Mitarbeiter!$F$21),0,IF(Planung!BS23="",$C23,IF(ISNUMBER(Planung!BS23),Planung!BS23,IF(UPPER(Planung!BS23)="H",$C23/2,0)))))))</f>
        <v>0</v>
      </c>
      <c r="BT23" s="27">
        <f>IF($A23="",0,IF(Mitarbeiter!$G$21=FALSE,0,IF(AND(Mitarbeiter!$E$21&lt;&gt;"",BT$5+6&lt;Mitarbeiter!$E$21),0,IF(AND(Mitarbeiter!$F$21&lt;&gt;"",BT$5&gt;Mitarbeiter!$F$21),0,IF(Planung!BT23="",$C23,IF(ISNUMBER(Planung!BT23),Planung!BT23,IF(UPPER(Planung!BT23)="H",$C23/2,0)))))))</f>
        <v>0</v>
      </c>
      <c r="BU23" s="27">
        <f>IF($A23="",0,IF(Mitarbeiter!$G$21=FALSE,0,IF(AND(Mitarbeiter!$E$21&lt;&gt;"",BU$5+6&lt;Mitarbeiter!$E$21),0,IF(AND(Mitarbeiter!$F$21&lt;&gt;"",BU$5&gt;Mitarbeiter!$F$21),0,IF(Planung!BU23="",$C23,IF(ISNUMBER(Planung!BU23),Planung!BU23,IF(UPPER(Planung!BU23)="H",$C23/2,0)))))))</f>
        <v>0</v>
      </c>
      <c r="BV23" s="27">
        <f>IF($A23="",0,IF(Mitarbeiter!$G$21=FALSE,0,IF(AND(Mitarbeiter!$E$21&lt;&gt;"",BV$5+6&lt;Mitarbeiter!$E$21),0,IF(AND(Mitarbeiter!$F$21&lt;&gt;"",BV$5&gt;Mitarbeiter!$F$21),0,IF(Planung!BV23="",$C23,IF(ISNUMBER(Planung!BV23),Planung!BV23,IF(UPPER(Planung!BV23)="H",$C23/2,0)))))))</f>
        <v>0</v>
      </c>
      <c r="BW23" s="27">
        <f>IF($A23="",0,IF(Mitarbeiter!$G$21=FALSE,0,IF(AND(Mitarbeiter!$E$21&lt;&gt;"",BW$5+6&lt;Mitarbeiter!$E$21),0,IF(AND(Mitarbeiter!$F$21&lt;&gt;"",BW$5&gt;Mitarbeiter!$F$21),0,IF(Planung!BW23="",$C23,IF(ISNUMBER(Planung!BW23),Planung!BW23,IF(UPPER(Planung!BW23)="H",$C23/2,0)))))))</f>
        <v>0</v>
      </c>
      <c r="BX23" s="27">
        <f>IF($A23="",0,IF(Mitarbeiter!$G$21=FALSE,0,IF(AND(Mitarbeiter!$E$21&lt;&gt;"",BX$5+6&lt;Mitarbeiter!$E$21),0,IF(AND(Mitarbeiter!$F$21&lt;&gt;"",BX$5&gt;Mitarbeiter!$F$21),0,IF(Planung!BX23="",$C23,IF(ISNUMBER(Planung!BX23),Planung!BX23,IF(UPPER(Planung!BX23)="H",$C23/2,0)))))))</f>
        <v>0</v>
      </c>
      <c r="BY23" s="27">
        <f>IF($A23="",0,IF(Mitarbeiter!$G$21=FALSE,0,IF(AND(Mitarbeiter!$E$21&lt;&gt;"",BY$5+6&lt;Mitarbeiter!$E$21),0,IF(AND(Mitarbeiter!$F$21&lt;&gt;"",BY$5&gt;Mitarbeiter!$F$21),0,IF(Planung!BY23="",$C23,IF(ISNUMBER(Planung!BY23),Planung!BY23,IF(UPPER(Planung!BY23)="H",$C23/2,0)))))))</f>
        <v>0</v>
      </c>
      <c r="BZ23" s="27">
        <f>IF($A23="",0,IF(Mitarbeiter!$G$21=FALSE,0,IF(AND(Mitarbeiter!$E$21&lt;&gt;"",BZ$5+6&lt;Mitarbeiter!$E$21),0,IF(AND(Mitarbeiter!$F$21&lt;&gt;"",BZ$5&gt;Mitarbeiter!$F$21),0,IF(Planung!BZ23="",$C23,IF(ISNUMBER(Planung!BZ23),Planung!BZ23,IF(UPPER(Planung!BZ23)="H",$C23/2,0)))))))</f>
        <v>0</v>
      </c>
      <c r="CA23" s="27">
        <f>IF($A23="",0,IF(Mitarbeiter!$G$21=FALSE,0,IF(AND(Mitarbeiter!$E$21&lt;&gt;"",CA$5+6&lt;Mitarbeiter!$E$21),0,IF(AND(Mitarbeiter!$F$21&lt;&gt;"",CA$5&gt;Mitarbeiter!$F$21),0,IF(Planung!CA23="",$C23,IF(ISNUMBER(Planung!CA23),Planung!CA23,IF(UPPER(Planung!CA23)="H",$C23/2,0)))))))</f>
        <v>0</v>
      </c>
      <c r="CB23" s="27">
        <f>IF($A23="",0,IF(Mitarbeiter!$G$21=FALSE,0,IF(AND(Mitarbeiter!$E$21&lt;&gt;"",CB$5+6&lt;Mitarbeiter!$E$21),0,IF(AND(Mitarbeiter!$F$21&lt;&gt;"",CB$5&gt;Mitarbeiter!$F$21),0,IF(Planung!CB23="",$C23,IF(ISNUMBER(Planung!CB23),Planung!CB23,IF(UPPER(Planung!CB23)="H",$C23/2,0)))))))</f>
        <v>0</v>
      </c>
      <c r="CC23" s="27">
        <f>IF($A23="",0,IF(Mitarbeiter!$G$21=FALSE,0,IF(AND(Mitarbeiter!$E$21&lt;&gt;"",CC$5+6&lt;Mitarbeiter!$E$21),0,IF(AND(Mitarbeiter!$F$21&lt;&gt;"",CC$5&gt;Mitarbeiter!$F$21),0,IF(Planung!CC23="",$C23,IF(ISNUMBER(Planung!CC23),Planung!CC23,IF(UPPER(Planung!CC23)="H",$C23/2,0)))))))</f>
        <v>0</v>
      </c>
      <c r="CD23" s="27">
        <f>IF($A23="",0,IF(Mitarbeiter!$G$21=FALSE,0,IF(AND(Mitarbeiter!$E$21&lt;&gt;"",CD$5+6&lt;Mitarbeiter!$E$21),0,IF(AND(Mitarbeiter!$F$21&lt;&gt;"",CD$5&gt;Mitarbeiter!$F$21),0,IF(Planung!CD23="",$C23,IF(ISNUMBER(Planung!CD23),Planung!CD23,IF(UPPER(Planung!CD23)="H",$C23/2,0)))))))</f>
        <v>0</v>
      </c>
      <c r="CE23" s="27">
        <f>IF($A23="",0,IF(Mitarbeiter!$G$21=FALSE,0,IF(AND(Mitarbeiter!$E$21&lt;&gt;"",CE$5+6&lt;Mitarbeiter!$E$21),0,IF(AND(Mitarbeiter!$F$21&lt;&gt;"",CE$5&gt;Mitarbeiter!$F$21),0,IF(Planung!CE23="",$C23,IF(ISNUMBER(Planung!CE23),Planung!CE23,IF(UPPER(Planung!CE23)="H",$C23/2,0)))))))</f>
        <v>0</v>
      </c>
      <c r="CF23" s="27">
        <f>IF($A23="",0,IF(Mitarbeiter!$G$21=FALSE,0,IF(AND(Mitarbeiter!$E$21&lt;&gt;"",CF$5+6&lt;Mitarbeiter!$E$21),0,IF(AND(Mitarbeiter!$F$21&lt;&gt;"",CF$5&gt;Mitarbeiter!$F$21),0,IF(Planung!CF23="",$C23,IF(ISNUMBER(Planung!CF23),Planung!CF23,IF(UPPER(Planung!CF23)="H",$C23/2,0)))))))</f>
        <v>0</v>
      </c>
      <c r="CG23" s="27">
        <f>IF($A23="",0,IF(Mitarbeiter!$G$21=FALSE,0,IF(AND(Mitarbeiter!$E$21&lt;&gt;"",CG$5+6&lt;Mitarbeiter!$E$21),0,IF(AND(Mitarbeiter!$F$21&lt;&gt;"",CG$5&gt;Mitarbeiter!$F$21),0,IF(Planung!CG23="",$C23,IF(ISNUMBER(Planung!CG23),Planung!CG23,IF(UPPER(Planung!CG23)="H",$C23/2,0)))))))</f>
        <v>0</v>
      </c>
      <c r="CH23" s="27">
        <f>IF($A23="",0,IF(Mitarbeiter!$G$21=FALSE,0,IF(AND(Mitarbeiter!$E$21&lt;&gt;"",CH$5+6&lt;Mitarbeiter!$E$21),0,IF(AND(Mitarbeiter!$F$21&lt;&gt;"",CH$5&gt;Mitarbeiter!$F$21),0,IF(Planung!CH23="",$C23,IF(ISNUMBER(Planung!CH23),Planung!CH23,IF(UPPER(Planung!CH23)="H",$C23/2,0)))))))</f>
        <v>0</v>
      </c>
      <c r="CI23" s="27">
        <f>IF($A23="",0,IF(Mitarbeiter!$G$21=FALSE,0,IF(AND(Mitarbeiter!$E$21&lt;&gt;"",CI$5+6&lt;Mitarbeiter!$E$21),0,IF(AND(Mitarbeiter!$F$21&lt;&gt;"",CI$5&gt;Mitarbeiter!$F$21),0,IF(Planung!CI23="",$C23,IF(ISNUMBER(Planung!CI23),Planung!CI23,IF(UPPER(Planung!CI23)="H",$C23/2,0)))))))</f>
        <v>0</v>
      </c>
      <c r="CJ23" s="27">
        <f>IF($A23="",0,IF(Mitarbeiter!$G$21=FALSE,0,IF(AND(Mitarbeiter!$E$21&lt;&gt;"",CJ$5+6&lt;Mitarbeiter!$E$21),0,IF(AND(Mitarbeiter!$F$21&lt;&gt;"",CJ$5&gt;Mitarbeiter!$F$21),0,IF(Planung!CJ23="",$C23,IF(ISNUMBER(Planung!CJ23),Planung!CJ23,IF(UPPER(Planung!CJ23)="H",$C23/2,0)))))))</f>
        <v>0</v>
      </c>
      <c r="CK23" s="27">
        <f>IF($A23="",0,IF(Mitarbeiter!$G$21=FALSE,0,IF(AND(Mitarbeiter!$E$21&lt;&gt;"",CK$5+6&lt;Mitarbeiter!$E$21),0,IF(AND(Mitarbeiter!$F$21&lt;&gt;"",CK$5&gt;Mitarbeiter!$F$21),0,IF(Planung!CK23="",$C23,IF(ISNUMBER(Planung!CK23),Planung!CK23,IF(UPPER(Planung!CK23)="H",$C23/2,0)))))))</f>
        <v>0</v>
      </c>
      <c r="CL23" s="27">
        <f>IF($A23="",0,IF(Mitarbeiter!$G$21=FALSE,0,IF(AND(Mitarbeiter!$E$21&lt;&gt;"",CL$5+6&lt;Mitarbeiter!$E$21),0,IF(AND(Mitarbeiter!$F$21&lt;&gt;"",CL$5&gt;Mitarbeiter!$F$21),0,IF(Planung!CL23="",$C23,IF(ISNUMBER(Planung!CL23),Planung!CL23,IF(UPPER(Planung!CL23)="H",$C23/2,0)))))))</f>
        <v>0</v>
      </c>
      <c r="CM23" s="27">
        <f>IF($A23="",0,IF(Mitarbeiter!$G$21=FALSE,0,IF(AND(Mitarbeiter!$E$21&lt;&gt;"",CM$5+6&lt;Mitarbeiter!$E$21),0,IF(AND(Mitarbeiter!$F$21&lt;&gt;"",CM$5&gt;Mitarbeiter!$F$21),0,IF(Planung!CM23="",$C23,IF(ISNUMBER(Planung!CM23),Planung!CM23,IF(UPPER(Planung!CM23)="H",$C23/2,0)))))))</f>
        <v>0</v>
      </c>
      <c r="CN23" s="27">
        <f>IF($A23="",0,IF(Mitarbeiter!$G$21=FALSE,0,IF(AND(Mitarbeiter!$E$21&lt;&gt;"",CN$5+6&lt;Mitarbeiter!$E$21),0,IF(AND(Mitarbeiter!$F$21&lt;&gt;"",CN$5&gt;Mitarbeiter!$F$21),0,IF(Planung!CN23="",$C23,IF(ISNUMBER(Planung!CN23),Planung!CN23,IF(UPPER(Planung!CN23)="H",$C23/2,0)))))))</f>
        <v>0</v>
      </c>
      <c r="CO23" s="27">
        <f>IF($A23="",0,IF(Mitarbeiter!$G$21=FALSE,0,IF(AND(Mitarbeiter!$E$21&lt;&gt;"",CO$5+6&lt;Mitarbeiter!$E$21),0,IF(AND(Mitarbeiter!$F$21&lt;&gt;"",CO$5&gt;Mitarbeiter!$F$21),0,IF(Planung!CO23="",$C23,IF(ISNUMBER(Planung!CO23),Planung!CO23,IF(UPPER(Planung!CO23)="H",$C23/2,0)))))))</f>
        <v>0</v>
      </c>
      <c r="CP23" s="27">
        <f>IF($A23="",0,IF(Mitarbeiter!$G$21=FALSE,0,IF(AND(Mitarbeiter!$E$21&lt;&gt;"",CP$5+6&lt;Mitarbeiter!$E$21),0,IF(AND(Mitarbeiter!$F$21&lt;&gt;"",CP$5&gt;Mitarbeiter!$F$21),0,IF(Planung!CP23="",$C23,IF(ISNUMBER(Planung!CP23),Planung!CP23,IF(UPPER(Planung!CP23)="H",$C23/2,0)))))))</f>
        <v>0</v>
      </c>
      <c r="CQ23" s="27">
        <f>IF($A23="",0,IF(Mitarbeiter!$G$21=FALSE,0,IF(AND(Mitarbeiter!$E$21&lt;&gt;"",CQ$5+6&lt;Mitarbeiter!$E$21),0,IF(AND(Mitarbeiter!$F$21&lt;&gt;"",CQ$5&gt;Mitarbeiter!$F$21),0,IF(Planung!CQ23="",$C23,IF(ISNUMBER(Planung!CQ23),Planung!CQ23,IF(UPPER(Planung!CQ23)="H",$C23/2,0)))))))</f>
        <v>0</v>
      </c>
      <c r="CR23" s="27">
        <f>IF($A23="",0,IF(Mitarbeiter!$G$21=FALSE,0,IF(AND(Mitarbeiter!$E$21&lt;&gt;"",CR$5+6&lt;Mitarbeiter!$E$21),0,IF(AND(Mitarbeiter!$F$21&lt;&gt;"",CR$5&gt;Mitarbeiter!$F$21),0,IF(Planung!CR23="",$C23,IF(ISNUMBER(Planung!CR23),Planung!CR23,IF(UPPER(Planung!CR23)="H",$C23/2,0)))))))</f>
        <v>0</v>
      </c>
      <c r="CS23" s="27">
        <f>IF($A23="",0,IF(Mitarbeiter!$G$21=FALSE,0,IF(AND(Mitarbeiter!$E$21&lt;&gt;"",CS$5+6&lt;Mitarbeiter!$E$21),0,IF(AND(Mitarbeiter!$F$21&lt;&gt;"",CS$5&gt;Mitarbeiter!$F$21),0,IF(Planung!CS23="",$C23,IF(ISNUMBER(Planung!CS23),Planung!CS23,IF(UPPER(Planung!CS23)="H",$C23/2,0)))))))</f>
        <v>0</v>
      </c>
      <c r="CT23" s="27">
        <f>IF($A23="",0,IF(Mitarbeiter!$G$21=FALSE,0,IF(AND(Mitarbeiter!$E$21&lt;&gt;"",CT$5+6&lt;Mitarbeiter!$E$21),0,IF(AND(Mitarbeiter!$F$21&lt;&gt;"",CT$5&gt;Mitarbeiter!$F$21),0,IF(Planung!CT23="",$C23,IF(ISNUMBER(Planung!CT23),Planung!CT23,IF(UPPER(Planung!CT23)="H",$C23/2,0)))))))</f>
        <v>0</v>
      </c>
      <c r="CU23" s="27">
        <f>IF($A23="",0,IF(Mitarbeiter!$G$21=FALSE,0,IF(AND(Mitarbeiter!$E$21&lt;&gt;"",CU$5+6&lt;Mitarbeiter!$E$21),0,IF(AND(Mitarbeiter!$F$21&lt;&gt;"",CU$5&gt;Mitarbeiter!$F$21),0,IF(Planung!CU23="",$C23,IF(ISNUMBER(Planung!CU23),Planung!CU23,IF(UPPER(Planung!CU23)="H",$C23/2,0)))))))</f>
        <v>0</v>
      </c>
      <c r="CV23" s="27">
        <f>IF($A23="",0,IF(Mitarbeiter!$G$21=FALSE,0,IF(AND(Mitarbeiter!$E$21&lt;&gt;"",CV$5+6&lt;Mitarbeiter!$E$21),0,IF(AND(Mitarbeiter!$F$21&lt;&gt;"",CV$5&gt;Mitarbeiter!$F$21),0,IF(Planung!CV23="",$C23,IF(ISNUMBER(Planung!CV23),Planung!CV23,IF(UPPER(Planung!CV23)="H",$C23/2,0)))))))</f>
        <v>0</v>
      </c>
      <c r="CW23" s="27">
        <f>IF($A23="",0,IF(Mitarbeiter!$G$21=FALSE,0,IF(AND(Mitarbeiter!$E$21&lt;&gt;"",CW$5+6&lt;Mitarbeiter!$E$21),0,IF(AND(Mitarbeiter!$F$21&lt;&gt;"",CW$5&gt;Mitarbeiter!$F$21),0,IF(Planung!CW23="",$C23,IF(ISNUMBER(Planung!CW23),Planung!CW23,IF(UPPER(Planung!CW23)="H",$C23/2,0)))))))</f>
        <v>0</v>
      </c>
      <c r="CX23" s="27">
        <f>IF($A23="",0,IF(Mitarbeiter!$G$21=FALSE,0,IF(AND(Mitarbeiter!$E$21&lt;&gt;"",CX$5+6&lt;Mitarbeiter!$E$21),0,IF(AND(Mitarbeiter!$F$21&lt;&gt;"",CX$5&gt;Mitarbeiter!$F$21),0,IF(Planung!CX23="",$C23,IF(ISNUMBER(Planung!CX23),Planung!CX23,IF(UPPER(Planung!CX23)="H",$C23/2,0)))))))</f>
        <v>0</v>
      </c>
      <c r="CY23" s="27">
        <f>IF($A23="",0,IF(Mitarbeiter!$G$21=FALSE,0,IF(AND(Mitarbeiter!$E$21&lt;&gt;"",CY$5+6&lt;Mitarbeiter!$E$21),0,IF(AND(Mitarbeiter!$F$21&lt;&gt;"",CY$5&gt;Mitarbeiter!$F$21),0,IF(Planung!CY23="",$C23,IF(ISNUMBER(Planung!CY23),Planung!CY23,IF(UPPER(Planung!CY23)="H",$C23/2,0)))))))</f>
        <v>0</v>
      </c>
      <c r="CZ23" s="27">
        <f>IF($A23="",0,IF(Mitarbeiter!$G$21=FALSE,0,IF(AND(Mitarbeiter!$E$21&lt;&gt;"",CZ$5+6&lt;Mitarbeiter!$E$21),0,IF(AND(Mitarbeiter!$F$21&lt;&gt;"",CZ$5&gt;Mitarbeiter!$F$21),0,IF(Planung!CZ23="",$C23,IF(ISNUMBER(Planung!CZ23),Planung!CZ23,IF(UPPER(Planung!CZ23)="H",$C23/2,0)))))))</f>
        <v>0</v>
      </c>
      <c r="DA23" s="27">
        <f>IF($A23="",0,IF(Mitarbeiter!$G$21=FALSE,0,IF(AND(Mitarbeiter!$E$21&lt;&gt;"",DA$5+6&lt;Mitarbeiter!$E$21),0,IF(AND(Mitarbeiter!$F$21&lt;&gt;"",DA$5&gt;Mitarbeiter!$F$21),0,IF(Planung!DA23="",$C23,IF(ISNUMBER(Planung!DA23),Planung!DA23,IF(UPPER(Planung!DA23)="H",$C23/2,0)))))))</f>
        <v>0</v>
      </c>
      <c r="DB23" s="27">
        <f>IF($A23="",0,IF(Mitarbeiter!$G$21=FALSE,0,IF(AND(Mitarbeiter!$E$21&lt;&gt;"",DB$5+6&lt;Mitarbeiter!$E$21),0,IF(AND(Mitarbeiter!$F$21&lt;&gt;"",DB$5&gt;Mitarbeiter!$F$21),0,IF(Planung!DB23="",$C23,IF(ISNUMBER(Planung!DB23),Planung!DB23,IF(UPPER(Planung!DB23)="H",$C23/2,0)))))))</f>
        <v>0</v>
      </c>
      <c r="DC23" s="27">
        <f>IF($A23="",0,IF(Mitarbeiter!$G$21=FALSE,0,IF(AND(Mitarbeiter!$E$21&lt;&gt;"",DC$5+6&lt;Mitarbeiter!$E$21),0,IF(AND(Mitarbeiter!$F$21&lt;&gt;"",DC$5&gt;Mitarbeiter!$F$21),0,IF(Planung!DC23="",$C23,IF(ISNUMBER(Planung!DC23),Planung!DC23,IF(UPPER(Planung!DC23)="H",$C23/2,0)))))))</f>
        <v>0</v>
      </c>
      <c r="DD23" s="27">
        <f>IF($A23="",0,IF(Mitarbeiter!$G$21=FALSE,0,IF(AND(Mitarbeiter!$E$21&lt;&gt;"",DD$5+6&lt;Mitarbeiter!$E$21),0,IF(AND(Mitarbeiter!$F$21&lt;&gt;"",DD$5&gt;Mitarbeiter!$F$21),0,IF(Planung!DD23="",$C23,IF(ISNUMBER(Planung!DD23),Planung!DD23,IF(UPPER(Planung!DD23)="H",$C23/2,0)))))))</f>
        <v>0</v>
      </c>
      <c r="DE23" s="27">
        <f>IF($A23="",0,IF(Mitarbeiter!$G$21=FALSE,0,IF(AND(Mitarbeiter!$E$21&lt;&gt;"",DE$5+6&lt;Mitarbeiter!$E$21),0,IF(AND(Mitarbeiter!$F$21&lt;&gt;"",DE$5&gt;Mitarbeiter!$F$21),0,IF(Planung!DE23="",$C23,IF(ISNUMBER(Planung!DE23),Planung!DE23,IF(UPPER(Planung!DE23)="H",$C23/2,0)))))))</f>
        <v>0</v>
      </c>
      <c r="DF23" s="27">
        <f>IF($A23="",0,IF(Mitarbeiter!$G$21=FALSE,0,IF(AND(Mitarbeiter!$E$21&lt;&gt;"",DF$5+6&lt;Mitarbeiter!$E$21),0,IF(AND(Mitarbeiter!$F$21&lt;&gt;"",DF$5&gt;Mitarbeiter!$F$21),0,IF(Planung!DF23="",$C23,IF(ISNUMBER(Planung!DF23),Planung!DF23,IF(UPPER(Planung!DF23)="H",$C23/2,0)))))))</f>
        <v>0</v>
      </c>
      <c r="DG23" s="27">
        <f>IF($A23="",0,IF(Mitarbeiter!$G$21=FALSE,0,IF(AND(Mitarbeiter!$E$21&lt;&gt;"",DG$5+6&lt;Mitarbeiter!$E$21),0,IF(AND(Mitarbeiter!$F$21&lt;&gt;"",DG$5&gt;Mitarbeiter!$F$21),0,IF(Planung!DG23="",$C23,IF(ISNUMBER(Planung!DG23),Planung!DG23,IF(UPPER(Planung!DG23)="H",$C23/2,0)))))))</f>
        <v>0</v>
      </c>
      <c r="DH23" s="27">
        <f>IF($A23="",0,IF(Mitarbeiter!$G$21=FALSE,0,IF(AND(Mitarbeiter!$E$21&lt;&gt;"",DH$5+6&lt;Mitarbeiter!$E$21),0,IF(AND(Mitarbeiter!$F$21&lt;&gt;"",DH$5&gt;Mitarbeiter!$F$21),0,IF(Planung!DH23="",$C23,IF(ISNUMBER(Planung!DH23),Planung!DH23,IF(UPPER(Planung!DH23)="H",$C23/2,0)))))))</f>
        <v>0</v>
      </c>
      <c r="DI23" s="27">
        <f>IF($A23="",0,IF(Mitarbeiter!$G$21=FALSE,0,IF(AND(Mitarbeiter!$E$21&lt;&gt;"",DI$5+6&lt;Mitarbeiter!$E$21),0,IF(AND(Mitarbeiter!$F$21&lt;&gt;"",DI$5&gt;Mitarbeiter!$F$21),0,IF(Planung!DI23="",$C23,IF(ISNUMBER(Planung!DI23),Planung!DI23,IF(UPPER(Planung!DI23)="H",$C23/2,0)))))))</f>
        <v>0</v>
      </c>
      <c r="DJ23" s="27">
        <f>IF($A23="",0,IF(Mitarbeiter!$G$21=FALSE,0,IF(AND(Mitarbeiter!$E$21&lt;&gt;"",DJ$5+6&lt;Mitarbeiter!$E$21),0,IF(AND(Mitarbeiter!$F$21&lt;&gt;"",DJ$5&gt;Mitarbeiter!$F$21),0,IF(Planung!DJ23="",$C23,IF(ISNUMBER(Planung!DJ23),Planung!DJ23,IF(UPPER(Planung!DJ23)="H",$C23/2,0)))))))</f>
        <v>0</v>
      </c>
      <c r="DK23" s="27">
        <f>IF($A23="",0,IF(Mitarbeiter!$G$21=FALSE,0,IF(AND(Mitarbeiter!$E$21&lt;&gt;"",DK$5+6&lt;Mitarbeiter!$E$21),0,IF(AND(Mitarbeiter!$F$21&lt;&gt;"",DK$5&gt;Mitarbeiter!$F$21),0,IF(Planung!DK23="",$C23,IF(ISNUMBER(Planung!DK23),Planung!DK23,IF(UPPER(Planung!DK23)="H",$C23/2,0)))))))</f>
        <v>0</v>
      </c>
      <c r="DL23" s="27">
        <f>IF($A23="",0,IF(Mitarbeiter!$G$21=FALSE,0,IF(AND(Mitarbeiter!$E$21&lt;&gt;"",DL$5+6&lt;Mitarbeiter!$E$21),0,IF(AND(Mitarbeiter!$F$21&lt;&gt;"",DL$5&gt;Mitarbeiter!$F$21),0,IF(Planung!DL23="",$C23,IF(ISNUMBER(Planung!DL23),Planung!DL23,IF(UPPER(Planung!DL23)="H",$C23/2,0)))))))</f>
        <v>0</v>
      </c>
      <c r="DM23" s="27">
        <f>IF($A23="",0,IF(Mitarbeiter!$G$21=FALSE,0,IF(AND(Mitarbeiter!$E$21&lt;&gt;"",DM$5+6&lt;Mitarbeiter!$E$21),0,IF(AND(Mitarbeiter!$F$21&lt;&gt;"",DM$5&gt;Mitarbeiter!$F$21),0,IF(Planung!DM23="",$C23,IF(ISNUMBER(Planung!DM23),Planung!DM23,IF(UPPER(Planung!DM23)="H",$C23/2,0)))))))</f>
        <v>0</v>
      </c>
      <c r="DN23" s="27">
        <f>IF($A23="",0,IF(Mitarbeiter!$G$21=FALSE,0,IF(AND(Mitarbeiter!$E$21&lt;&gt;"",DN$5+6&lt;Mitarbeiter!$E$21),0,IF(AND(Mitarbeiter!$F$21&lt;&gt;"",DN$5&gt;Mitarbeiter!$F$21),0,IF(Planung!DN23="",$C23,IF(ISNUMBER(Planung!DN23),Planung!DN23,IF(UPPER(Planung!DN23)="H",$C23/2,0)))))))</f>
        <v>0</v>
      </c>
      <c r="DO23" s="27">
        <f>IF($A23="",0,IF(Mitarbeiter!$G$21=FALSE,0,IF(AND(Mitarbeiter!$E$21&lt;&gt;"",DO$5+6&lt;Mitarbeiter!$E$21),0,IF(AND(Mitarbeiter!$F$21&lt;&gt;"",DO$5&gt;Mitarbeiter!$F$21),0,IF(Planung!DO23="",$C23,IF(ISNUMBER(Planung!DO23),Planung!DO23,IF(UPPER(Planung!DO23)="H",$C23/2,0)))))))</f>
        <v>0</v>
      </c>
      <c r="DP23" s="27">
        <f>IF($A23="",0,IF(Mitarbeiter!$G$21=FALSE,0,IF(AND(Mitarbeiter!$E$21&lt;&gt;"",DP$5+6&lt;Mitarbeiter!$E$21),0,IF(AND(Mitarbeiter!$F$21&lt;&gt;"",DP$5&gt;Mitarbeiter!$F$21),0,IF(Planung!DP23="",$C23,IF(ISNUMBER(Planung!DP23),Planung!DP23,IF(UPPER(Planung!DP23)="H",$C23/2,0)))))))</f>
        <v>0</v>
      </c>
      <c r="DQ23" s="27">
        <f>IF($A23="",0,IF(Mitarbeiter!$G$21=FALSE,0,IF(AND(Mitarbeiter!$E$21&lt;&gt;"",DQ$5+6&lt;Mitarbeiter!$E$21),0,IF(AND(Mitarbeiter!$F$21&lt;&gt;"",DQ$5&gt;Mitarbeiter!$F$21),0,IF(Planung!DQ23="",$C23,IF(ISNUMBER(Planung!DQ23),Planung!DQ23,IF(UPPER(Planung!DQ23)="H",$C23/2,0)))))))</f>
        <v>0</v>
      </c>
      <c r="DR23" s="27">
        <f>IF($A23="",0,IF(Mitarbeiter!$G$21=FALSE,0,IF(AND(Mitarbeiter!$E$21&lt;&gt;"",DR$5+6&lt;Mitarbeiter!$E$21),0,IF(AND(Mitarbeiter!$F$21&lt;&gt;"",DR$5&gt;Mitarbeiter!$F$21),0,IF(Planung!DR23="",$C23,IF(ISNUMBER(Planung!DR23),Planung!DR23,IF(UPPER(Planung!DR23)="H",$C23/2,0)))))))</f>
        <v>0</v>
      </c>
      <c r="DS23" s="27">
        <f>IF($A23="",0,IF(Mitarbeiter!$G$21=FALSE,0,IF(AND(Mitarbeiter!$E$21&lt;&gt;"",DS$5+6&lt;Mitarbeiter!$E$21),0,IF(AND(Mitarbeiter!$F$21&lt;&gt;"",DS$5&gt;Mitarbeiter!$F$21),0,IF(Planung!DS23="",$C23,IF(ISNUMBER(Planung!DS23),Planung!DS23,IF(UPPER(Planung!DS23)="H",$C23/2,0)))))))</f>
        <v>0</v>
      </c>
      <c r="DT23" s="27">
        <f>IF($A23="",0,IF(Mitarbeiter!$G$21=FALSE,0,IF(AND(Mitarbeiter!$E$21&lt;&gt;"",DT$5+6&lt;Mitarbeiter!$E$21),0,IF(AND(Mitarbeiter!$F$21&lt;&gt;"",DT$5&gt;Mitarbeiter!$F$21),0,IF(Planung!DT23="",$C23,IF(ISNUMBER(Planung!DT23),Planung!DT23,IF(UPPER(Planung!DT23)="H",$C23/2,0)))))))</f>
        <v>0</v>
      </c>
      <c r="DU23" s="27">
        <f>IF($A23="",0,IF(Mitarbeiter!$G$21=FALSE,0,IF(AND(Mitarbeiter!$E$21&lt;&gt;"",DU$5+6&lt;Mitarbeiter!$E$21),0,IF(AND(Mitarbeiter!$F$21&lt;&gt;"",DU$5&gt;Mitarbeiter!$F$21),0,IF(Planung!DU23="",$C23,IF(ISNUMBER(Planung!DU23),Planung!DU23,IF(UPPER(Planung!DU23)="H",$C23/2,0)))))))</f>
        <v>0</v>
      </c>
      <c r="DV23" s="27">
        <f>IF($A23="",0,IF(Mitarbeiter!$G$21=FALSE,0,IF(AND(Mitarbeiter!$E$21&lt;&gt;"",DV$5+6&lt;Mitarbeiter!$E$21),0,IF(AND(Mitarbeiter!$F$21&lt;&gt;"",DV$5&gt;Mitarbeiter!$F$21),0,IF(Planung!DV23="",$C23,IF(ISNUMBER(Planung!DV23),Planung!DV23,IF(UPPER(Planung!DV23)="H",$C23/2,0)))))))</f>
        <v>0</v>
      </c>
      <c r="DW23" s="27">
        <f>IF($A23="",0,IF(Mitarbeiter!$G$21=FALSE,0,IF(AND(Mitarbeiter!$E$21&lt;&gt;"",DW$5+6&lt;Mitarbeiter!$E$21),0,IF(AND(Mitarbeiter!$F$21&lt;&gt;"",DW$5&gt;Mitarbeiter!$F$21),0,IF(Planung!DW23="",$C23,IF(ISNUMBER(Planung!DW23),Planung!DW23,IF(UPPER(Planung!DW23)="H",$C23/2,0)))))))</f>
        <v>0</v>
      </c>
      <c r="DX23" s="27">
        <f>IF($A23="",0,IF(Mitarbeiter!$G$21=FALSE,0,IF(AND(Mitarbeiter!$E$21&lt;&gt;"",DX$5+6&lt;Mitarbeiter!$E$21),0,IF(AND(Mitarbeiter!$F$21&lt;&gt;"",DX$5&gt;Mitarbeiter!$F$21),0,IF(Planung!DX23="",$C23,IF(ISNUMBER(Planung!DX23),Planung!DX23,IF(UPPER(Planung!DX23)="H",$C23/2,0)))))))</f>
        <v>0</v>
      </c>
      <c r="DY23" s="27">
        <f>IF($A23="",0,IF(Mitarbeiter!$G$21=FALSE,0,IF(AND(Mitarbeiter!$E$21&lt;&gt;"",DY$5+6&lt;Mitarbeiter!$E$21),0,IF(AND(Mitarbeiter!$F$21&lt;&gt;"",DY$5&gt;Mitarbeiter!$F$21),0,IF(Planung!DY23="",$C23,IF(ISNUMBER(Planung!DY23),Planung!DY23,IF(UPPER(Planung!DY23)="H",$C23/2,0)))))))</f>
        <v>0</v>
      </c>
      <c r="DZ23" s="27">
        <f>IF($A23="",0,IF(Mitarbeiter!$G$21=FALSE,0,IF(AND(Mitarbeiter!$E$21&lt;&gt;"",DZ$5+6&lt;Mitarbeiter!$E$21),0,IF(AND(Mitarbeiter!$F$21&lt;&gt;"",DZ$5&gt;Mitarbeiter!$F$21),0,IF(Planung!DZ23="",$C23,IF(ISNUMBER(Planung!DZ23),Planung!DZ23,IF(UPPER(Planung!DZ23)="H",$C23/2,0)))))))</f>
        <v>0</v>
      </c>
      <c r="EA23" s="27">
        <f>IF($A23="",0,IF(Mitarbeiter!$G$21=FALSE,0,IF(AND(Mitarbeiter!$E$21&lt;&gt;"",EA$5+6&lt;Mitarbeiter!$E$21),0,IF(AND(Mitarbeiter!$F$21&lt;&gt;"",EA$5&gt;Mitarbeiter!$F$21),0,IF(Planung!EA23="",$C23,IF(ISNUMBER(Planung!EA23),Planung!EA23,IF(UPPER(Planung!EA23)="H",$C23/2,0)))))))</f>
        <v>0</v>
      </c>
      <c r="EB23" s="27">
        <f>IF($A23="",0,IF(Mitarbeiter!$G$21=FALSE,0,IF(AND(Mitarbeiter!$E$21&lt;&gt;"",EB$5+6&lt;Mitarbeiter!$E$21),0,IF(AND(Mitarbeiter!$F$21&lt;&gt;"",EB$5&gt;Mitarbeiter!$F$21),0,IF(Planung!EB23="",$C23,IF(ISNUMBER(Planung!EB23),Planung!EB23,IF(UPPER(Planung!EB23)="H",$C23/2,0)))))))</f>
        <v>0</v>
      </c>
      <c r="EC23" s="27">
        <f>IF($A23="",0,IF(Mitarbeiter!$G$21=FALSE,0,IF(AND(Mitarbeiter!$E$21&lt;&gt;"",EC$5+6&lt;Mitarbeiter!$E$21),0,IF(AND(Mitarbeiter!$F$21&lt;&gt;"",EC$5&gt;Mitarbeiter!$F$21),0,IF(Planung!EC23="",$C23,IF(ISNUMBER(Planung!EC23),Planung!EC23,IF(UPPER(Planung!EC23)="H",$C23/2,0)))))))</f>
        <v>0</v>
      </c>
      <c r="ED23" s="27">
        <f>IF($A23="",0,IF(Mitarbeiter!$G$21=FALSE,0,IF(AND(Mitarbeiter!$E$21&lt;&gt;"",ED$5+6&lt;Mitarbeiter!$E$21),0,IF(AND(Mitarbeiter!$F$21&lt;&gt;"",ED$5&gt;Mitarbeiter!$F$21),0,IF(Planung!ED23="",$C23,IF(ISNUMBER(Planung!ED23),Planung!ED23,IF(UPPER(Planung!ED23)="H",$C23/2,0)))))))</f>
        <v>0</v>
      </c>
      <c r="EE23" s="27">
        <f>IF($A23="",0,IF(Mitarbeiter!$G$21=FALSE,0,IF(AND(Mitarbeiter!$E$21&lt;&gt;"",EE$5+6&lt;Mitarbeiter!$E$21),0,IF(AND(Mitarbeiter!$F$21&lt;&gt;"",EE$5&gt;Mitarbeiter!$F$21),0,IF(Planung!EE23="",$C23,IF(ISNUMBER(Planung!EE23),Planung!EE23,IF(UPPER(Planung!EE23)="H",$C23/2,0)))))))</f>
        <v>0</v>
      </c>
      <c r="EF23" s="27">
        <f>IF($A23="",0,IF(Mitarbeiter!$G$21=FALSE,0,IF(AND(Mitarbeiter!$E$21&lt;&gt;"",EF$5+6&lt;Mitarbeiter!$E$21),0,IF(AND(Mitarbeiter!$F$21&lt;&gt;"",EF$5&gt;Mitarbeiter!$F$21),0,IF(Planung!EF23="",$C23,IF(ISNUMBER(Planung!EF23),Planung!EF23,IF(UPPER(Planung!EF23)="H",$C23/2,0)))))))</f>
        <v>0</v>
      </c>
      <c r="EG23" s="27">
        <f>IF($A23="",0,IF(Mitarbeiter!$G$21=FALSE,0,IF(AND(Mitarbeiter!$E$21&lt;&gt;"",EG$5+6&lt;Mitarbeiter!$E$21),0,IF(AND(Mitarbeiter!$F$21&lt;&gt;"",EG$5&gt;Mitarbeiter!$F$21),0,IF(Planung!EG23="",$C23,IF(ISNUMBER(Planung!EG23),Planung!EG23,IF(UPPER(Planung!EG23)="H",$C23/2,0)))))))</f>
        <v>0</v>
      </c>
      <c r="EH23" s="27">
        <f>IF($A23="",0,IF(Mitarbeiter!$G$21=FALSE,0,IF(AND(Mitarbeiter!$E$21&lt;&gt;"",EH$5+6&lt;Mitarbeiter!$E$21),0,IF(AND(Mitarbeiter!$F$21&lt;&gt;"",EH$5&gt;Mitarbeiter!$F$21),0,IF(Planung!EH23="",$C23,IF(ISNUMBER(Planung!EH23),Planung!EH23,IF(UPPER(Planung!EH23)="H",$C23/2,0)))))))</f>
        <v>0</v>
      </c>
      <c r="EI23" s="27">
        <f>IF($A23="",0,IF(Mitarbeiter!$G$21=FALSE,0,IF(AND(Mitarbeiter!$E$21&lt;&gt;"",EI$5+6&lt;Mitarbeiter!$E$21),0,IF(AND(Mitarbeiter!$F$21&lt;&gt;"",EI$5&gt;Mitarbeiter!$F$21),0,IF(Planung!EI23="",$C23,IF(ISNUMBER(Planung!EI23),Planung!EI23,IF(UPPER(Planung!EI23)="H",$C23/2,0)))))))</f>
        <v>0</v>
      </c>
      <c r="EJ23" s="27">
        <f>IF($A23="",0,IF(Mitarbeiter!$G$21=FALSE,0,IF(AND(Mitarbeiter!$E$21&lt;&gt;"",EJ$5+6&lt;Mitarbeiter!$E$21),0,IF(AND(Mitarbeiter!$F$21&lt;&gt;"",EJ$5&gt;Mitarbeiter!$F$21),0,IF(Planung!EJ23="",$C23,IF(ISNUMBER(Planung!EJ23),Planung!EJ23,IF(UPPER(Planung!EJ23)="H",$C23/2,0)))))))</f>
        <v>0</v>
      </c>
      <c r="EK23" s="27">
        <f>IF($A23="",0,IF(Mitarbeiter!$G$21=FALSE,0,IF(AND(Mitarbeiter!$E$21&lt;&gt;"",EK$5+6&lt;Mitarbeiter!$E$21),0,IF(AND(Mitarbeiter!$F$21&lt;&gt;"",EK$5&gt;Mitarbeiter!$F$21),0,IF(Planung!EK23="",$C23,IF(ISNUMBER(Planung!EK23),Planung!EK23,IF(UPPER(Planung!EK23)="H",$C23/2,0)))))))</f>
        <v>0</v>
      </c>
      <c r="EL23" s="27">
        <f>IF($A23="",0,IF(Mitarbeiter!$G$21=FALSE,0,IF(AND(Mitarbeiter!$E$21&lt;&gt;"",EL$5+6&lt;Mitarbeiter!$E$21),0,IF(AND(Mitarbeiter!$F$21&lt;&gt;"",EL$5&gt;Mitarbeiter!$F$21),0,IF(Planung!EL23="",$C23,IF(ISNUMBER(Planung!EL23),Planung!EL23,IF(UPPER(Planung!EL23)="H",$C23/2,0)))))))</f>
        <v>0</v>
      </c>
      <c r="EM23" s="27">
        <f>IF($A23="",0,IF(Mitarbeiter!$G$21=FALSE,0,IF(AND(Mitarbeiter!$E$21&lt;&gt;"",EM$5+6&lt;Mitarbeiter!$E$21),0,IF(AND(Mitarbeiter!$F$21&lt;&gt;"",EM$5&gt;Mitarbeiter!$F$21),0,IF(Planung!EM23="",$C23,IF(ISNUMBER(Planung!EM23),Planung!EM23,IF(UPPER(Planung!EM23)="H",$C23/2,0)))))))</f>
        <v>0</v>
      </c>
      <c r="EN23" s="27">
        <f>IF($A23="",0,IF(Mitarbeiter!$G$21=FALSE,0,IF(AND(Mitarbeiter!$E$21&lt;&gt;"",EN$5+6&lt;Mitarbeiter!$E$21),0,IF(AND(Mitarbeiter!$F$21&lt;&gt;"",EN$5&gt;Mitarbeiter!$F$21),0,IF(Planung!EN23="",$C23,IF(ISNUMBER(Planung!EN23),Planung!EN23,IF(UPPER(Planung!EN23)="H",$C23/2,0)))))))</f>
        <v>0</v>
      </c>
      <c r="EO23" s="27">
        <f>IF($A23="",0,IF(Mitarbeiter!$G$21=FALSE,0,IF(AND(Mitarbeiter!$E$21&lt;&gt;"",EO$5+6&lt;Mitarbeiter!$E$21),0,IF(AND(Mitarbeiter!$F$21&lt;&gt;"",EO$5&gt;Mitarbeiter!$F$21),0,IF(Planung!EO23="",$C23,IF(ISNUMBER(Planung!EO23),Planung!EO23,IF(UPPER(Planung!EO23)="H",$C23/2,0)))))))</f>
        <v>0</v>
      </c>
      <c r="EP23" s="27">
        <f>IF($A23="",0,IF(Mitarbeiter!$G$21=FALSE,0,IF(AND(Mitarbeiter!$E$21&lt;&gt;"",EP$5+6&lt;Mitarbeiter!$E$21),0,IF(AND(Mitarbeiter!$F$21&lt;&gt;"",EP$5&gt;Mitarbeiter!$F$21),0,IF(Planung!EP23="",$C23,IF(ISNUMBER(Planung!EP23),Planung!EP23,IF(UPPER(Planung!EP23)="H",$C23/2,0)))))))</f>
        <v>0</v>
      </c>
      <c r="EQ23" s="27">
        <f>IF($A23="",0,IF(Mitarbeiter!$G$21=FALSE,0,IF(AND(Mitarbeiter!$E$21&lt;&gt;"",EQ$5+6&lt;Mitarbeiter!$E$21),0,IF(AND(Mitarbeiter!$F$21&lt;&gt;"",EQ$5&gt;Mitarbeiter!$F$21),0,IF(Planung!EQ23="",$C23,IF(ISNUMBER(Planung!EQ23),Planung!EQ23,IF(UPPER(Planung!EQ23)="H",$C23/2,0)))))))</f>
        <v>0</v>
      </c>
      <c r="ER23" s="27">
        <f>IF($A23="",0,IF(Mitarbeiter!$G$21=FALSE,0,IF(AND(Mitarbeiter!$E$21&lt;&gt;"",ER$5+6&lt;Mitarbeiter!$E$21),0,IF(AND(Mitarbeiter!$F$21&lt;&gt;"",ER$5&gt;Mitarbeiter!$F$21),0,IF(Planung!ER23="",$C23,IF(ISNUMBER(Planung!ER23),Planung!ER23,IF(UPPER(Planung!ER23)="H",$C23/2,0)))))))</f>
        <v>0</v>
      </c>
      <c r="ES23" s="27">
        <f>IF($A23="",0,IF(Mitarbeiter!$G$21=FALSE,0,IF(AND(Mitarbeiter!$E$21&lt;&gt;"",ES$5+6&lt;Mitarbeiter!$E$21),0,IF(AND(Mitarbeiter!$F$21&lt;&gt;"",ES$5&gt;Mitarbeiter!$F$21),0,IF(Planung!ES23="",$C23,IF(ISNUMBER(Planung!ES23),Planung!ES23,IF(UPPER(Planung!ES23)="H",$C23/2,0)))))))</f>
        <v>0</v>
      </c>
      <c r="ET23" s="27">
        <f>IF($A23="",0,IF(Mitarbeiter!$G$21=FALSE,0,IF(AND(Mitarbeiter!$E$21&lt;&gt;"",ET$5+6&lt;Mitarbeiter!$E$21),0,IF(AND(Mitarbeiter!$F$21&lt;&gt;"",ET$5&gt;Mitarbeiter!$F$21),0,IF(Planung!ET23="",$C23,IF(ISNUMBER(Planung!ET23),Planung!ET23,IF(UPPER(Planung!ET23)="H",$C23/2,0)))))))</f>
        <v>0</v>
      </c>
      <c r="EU23" s="27">
        <f>IF($A23="",0,IF(Mitarbeiter!$G$21=FALSE,0,IF(AND(Mitarbeiter!$E$21&lt;&gt;"",EU$5+6&lt;Mitarbeiter!$E$21),0,IF(AND(Mitarbeiter!$F$21&lt;&gt;"",EU$5&gt;Mitarbeiter!$F$21),0,IF(Planung!EU23="",$C23,IF(ISNUMBER(Planung!EU23),Planung!EU23,IF(UPPER(Planung!EU23)="H",$C23/2,0)))))))</f>
        <v>0</v>
      </c>
      <c r="EV23" s="27">
        <f>IF($A23="",0,IF(Mitarbeiter!$G$21=FALSE,0,IF(AND(Mitarbeiter!$E$21&lt;&gt;"",EV$5+6&lt;Mitarbeiter!$E$21),0,IF(AND(Mitarbeiter!$F$21&lt;&gt;"",EV$5&gt;Mitarbeiter!$F$21),0,IF(Planung!EV23="",$C23,IF(ISNUMBER(Planung!EV23),Planung!EV23,IF(UPPER(Planung!EV23)="H",$C23/2,0)))))))</f>
        <v>0</v>
      </c>
      <c r="EW23" s="27">
        <f>IF($A23="",0,IF(Mitarbeiter!$G$21=FALSE,0,IF(AND(Mitarbeiter!$E$21&lt;&gt;"",EW$5+6&lt;Mitarbeiter!$E$21),0,IF(AND(Mitarbeiter!$F$21&lt;&gt;"",EW$5&gt;Mitarbeiter!$F$21),0,IF(Planung!EW23="",$C23,IF(ISNUMBER(Planung!EW23),Planung!EW23,IF(UPPER(Planung!EW23)="H",$C23/2,0)))))))</f>
        <v>0</v>
      </c>
      <c r="EX23" s="27">
        <f>IF($A23="",0,IF(Mitarbeiter!$G$21=FALSE,0,IF(AND(Mitarbeiter!$E$21&lt;&gt;"",EX$5+6&lt;Mitarbeiter!$E$21),0,IF(AND(Mitarbeiter!$F$21&lt;&gt;"",EX$5&gt;Mitarbeiter!$F$21),0,IF(Planung!EX23="",$C23,IF(ISNUMBER(Planung!EX23),Planung!EX23,IF(UPPER(Planung!EX23)="H",$C23/2,0)))))))</f>
        <v>0</v>
      </c>
      <c r="EY23" s="27">
        <f>IF($A23="",0,IF(Mitarbeiter!$G$21=FALSE,0,IF(AND(Mitarbeiter!$E$21&lt;&gt;"",EY$5+6&lt;Mitarbeiter!$E$21),0,IF(AND(Mitarbeiter!$F$21&lt;&gt;"",EY$5&gt;Mitarbeiter!$F$21),0,IF(Planung!EY23="",$C23,IF(ISNUMBER(Planung!EY23),Planung!EY23,IF(UPPER(Planung!EY23)="H",$C23/2,0)))))))</f>
        <v>0</v>
      </c>
      <c r="EZ23" s="27">
        <f>IF($A23="",0,IF(Mitarbeiter!$G$21=FALSE,0,IF(AND(Mitarbeiter!$E$21&lt;&gt;"",EZ$5+6&lt;Mitarbeiter!$E$21),0,IF(AND(Mitarbeiter!$F$21&lt;&gt;"",EZ$5&gt;Mitarbeiter!$F$21),0,IF(Planung!EZ23="",$C23,IF(ISNUMBER(Planung!EZ23),Planung!EZ23,IF(UPPER(Planung!EZ23)="H",$C23/2,0)))))))</f>
        <v>0</v>
      </c>
      <c r="FA23" s="27">
        <f>IF($A23="",0,IF(Mitarbeiter!$G$21=FALSE,0,IF(AND(Mitarbeiter!$E$21&lt;&gt;"",FA$5+6&lt;Mitarbeiter!$E$21),0,IF(AND(Mitarbeiter!$F$21&lt;&gt;"",FA$5&gt;Mitarbeiter!$F$21),0,IF(Planung!FA23="",$C23,IF(ISNUMBER(Planung!FA23),Planung!FA23,IF(UPPER(Planung!FA23)="H",$C23/2,0)))))))</f>
        <v>0</v>
      </c>
      <c r="FB23" s="27">
        <f>IF($A23="",0,IF(Mitarbeiter!$G$21=FALSE,0,IF(AND(Mitarbeiter!$E$21&lt;&gt;"",FB$5+6&lt;Mitarbeiter!$E$21),0,IF(AND(Mitarbeiter!$F$21&lt;&gt;"",FB$5&gt;Mitarbeiter!$F$21),0,IF(Planung!FB23="",$C23,IF(ISNUMBER(Planung!FB23),Planung!FB23,IF(UPPER(Planung!FB23)="H",$C23/2,0)))))))</f>
        <v>0</v>
      </c>
      <c r="FC23" s="27">
        <f>IF($A23="",0,IF(Mitarbeiter!$G$21=FALSE,0,IF(AND(Mitarbeiter!$E$21&lt;&gt;"",FC$5+6&lt;Mitarbeiter!$E$21),0,IF(AND(Mitarbeiter!$F$21&lt;&gt;"",FC$5&gt;Mitarbeiter!$F$21),0,IF(Planung!FC23="",$C23,IF(ISNUMBER(Planung!FC23),Planung!FC23,IF(UPPER(Planung!FC23)="H",$C23/2,0)))))))</f>
        <v>0</v>
      </c>
      <c r="FD23" s="27">
        <f>IF($A23="",0,IF(Mitarbeiter!$G$21=FALSE,0,IF(AND(Mitarbeiter!$E$21&lt;&gt;"",FD$5+6&lt;Mitarbeiter!$E$21),0,IF(AND(Mitarbeiter!$F$21&lt;&gt;"",FD$5&gt;Mitarbeiter!$F$21),0,IF(Planung!FD23="",$C23,IF(ISNUMBER(Planung!FD23),Planung!FD23,IF(UPPER(Planung!FD23)="H",$C23/2,0)))))))</f>
        <v>0</v>
      </c>
      <c r="FE23" s="27">
        <f>IF($A23="",0,IF(Mitarbeiter!$G$21=FALSE,0,IF(AND(Mitarbeiter!$E$21&lt;&gt;"",FE$5+6&lt;Mitarbeiter!$E$21),0,IF(AND(Mitarbeiter!$F$21&lt;&gt;"",FE$5&gt;Mitarbeiter!$F$21),0,IF(Planung!FE23="",$C23,IF(ISNUMBER(Planung!FE23),Planung!FE23,IF(UPPER(Planung!FE23)="H",$C23/2,0)))))))</f>
        <v>0</v>
      </c>
      <c r="FF23" s="27">
        <f>IF($A23="",0,IF(Mitarbeiter!$G$21=FALSE,0,IF(AND(Mitarbeiter!$E$21&lt;&gt;"",FF$5+6&lt;Mitarbeiter!$E$21),0,IF(AND(Mitarbeiter!$F$21&lt;&gt;"",FF$5&gt;Mitarbeiter!$F$21),0,IF(Planung!FF23="",$C23,IF(ISNUMBER(Planung!FF23),Planung!FF23,IF(UPPER(Planung!FF23)="H",$C23/2,0)))))))</f>
        <v>0</v>
      </c>
      <c r="FG23" s="27">
        <f>IF($A23="",0,IF(Mitarbeiter!$G$21=FALSE,0,IF(AND(Mitarbeiter!$E$21&lt;&gt;"",FG$5+6&lt;Mitarbeiter!$E$21),0,IF(AND(Mitarbeiter!$F$21&lt;&gt;"",FG$5&gt;Mitarbeiter!$F$21),0,IF(Planung!FG23="",$C23,IF(ISNUMBER(Planung!FG23),Planung!FG23,IF(UPPER(Planung!FG23)="H",$C23/2,0)))))))</f>
        <v>0</v>
      </c>
      <c r="FH23" s="27">
        <f>IF($A23="",0,IF(Mitarbeiter!$G$21=FALSE,0,IF(AND(Mitarbeiter!$E$21&lt;&gt;"",FH$5+6&lt;Mitarbeiter!$E$21),0,IF(AND(Mitarbeiter!$F$21&lt;&gt;"",FH$5&gt;Mitarbeiter!$F$21),0,IF(Planung!FH23="",$C23,IF(ISNUMBER(Planung!FH23),Planung!FH23,IF(UPPER(Planung!FH23)="H",$C23/2,0)))))))</f>
        <v>0</v>
      </c>
      <c r="FI23" s="27">
        <f>IF($A23="",0,IF(Mitarbeiter!$G$21=FALSE,0,IF(AND(Mitarbeiter!$E$21&lt;&gt;"",FI$5+6&lt;Mitarbeiter!$E$21),0,IF(AND(Mitarbeiter!$F$21&lt;&gt;"",FI$5&gt;Mitarbeiter!$F$21),0,IF(Planung!FI23="",$C23,IF(ISNUMBER(Planung!FI23),Planung!FI23,IF(UPPER(Planung!FI23)="H",$C23/2,0)))))))</f>
        <v>0</v>
      </c>
      <c r="FJ23" s="27">
        <f>IF($A23="",0,IF(Mitarbeiter!$G$21=FALSE,0,IF(AND(Mitarbeiter!$E$21&lt;&gt;"",FJ$5+6&lt;Mitarbeiter!$E$21),0,IF(AND(Mitarbeiter!$F$21&lt;&gt;"",FJ$5&gt;Mitarbeiter!$F$21),0,IF(Planung!FJ23="",$C23,IF(ISNUMBER(Planung!FJ23),Planung!FJ23,IF(UPPER(Planung!FJ23)="H",$C23/2,0)))))))</f>
        <v>0</v>
      </c>
      <c r="FK23" s="27">
        <f>IF($A23="",0,IF(Mitarbeiter!$G$21=FALSE,0,IF(AND(Mitarbeiter!$E$21&lt;&gt;"",FK$5+6&lt;Mitarbeiter!$E$21),0,IF(AND(Mitarbeiter!$F$21&lt;&gt;"",FK$5&gt;Mitarbeiter!$F$21),0,IF(Planung!FK23="",$C23,IF(ISNUMBER(Planung!FK23),Planung!FK23,IF(UPPER(Planung!FK23)="H",$C23/2,0)))))))</f>
        <v>0</v>
      </c>
      <c r="FL23" s="27">
        <f>IF($A23="",0,IF(Mitarbeiter!$G$21=FALSE,0,IF(AND(Mitarbeiter!$E$21&lt;&gt;"",FL$5+6&lt;Mitarbeiter!$E$21),0,IF(AND(Mitarbeiter!$F$21&lt;&gt;"",FL$5&gt;Mitarbeiter!$F$21),0,IF(Planung!FL23="",$C23,IF(ISNUMBER(Planung!FL23),Planung!FL23,IF(UPPER(Planung!FL23)="H",$C23/2,0)))))))</f>
        <v>0</v>
      </c>
      <c r="FM23" s="27">
        <f>IF($A23="",0,IF(Mitarbeiter!$G$21=FALSE,0,IF(AND(Mitarbeiter!$E$21&lt;&gt;"",FM$5+6&lt;Mitarbeiter!$E$21),0,IF(AND(Mitarbeiter!$F$21&lt;&gt;"",FM$5&gt;Mitarbeiter!$F$21),0,IF(Planung!FM23="",$C23,IF(ISNUMBER(Planung!FM23),Planung!FM23,IF(UPPER(Planung!FM23)="H",$C23/2,0)))))))</f>
        <v>0</v>
      </c>
      <c r="FN23" s="27">
        <f>IF($A23="",0,IF(Mitarbeiter!$G$21=FALSE,0,IF(AND(Mitarbeiter!$E$21&lt;&gt;"",FN$5+6&lt;Mitarbeiter!$E$21),0,IF(AND(Mitarbeiter!$F$21&lt;&gt;"",FN$5&gt;Mitarbeiter!$F$21),0,IF(Planung!FN23="",$C23,IF(ISNUMBER(Planung!FN23),Planung!FN23,IF(UPPER(Planung!FN23)="H",$C23/2,0)))))))</f>
        <v>0</v>
      </c>
      <c r="FO23" s="27">
        <f>IF($A23="",0,IF(Mitarbeiter!$G$21=FALSE,0,IF(AND(Mitarbeiter!$E$21&lt;&gt;"",FO$5+6&lt;Mitarbeiter!$E$21),0,IF(AND(Mitarbeiter!$F$21&lt;&gt;"",FO$5&gt;Mitarbeiter!$F$21),0,IF(Planung!FO23="",$C23,IF(ISNUMBER(Planung!FO23),Planung!FO23,IF(UPPER(Planung!FO23)="H",$C23/2,0)))))))</f>
        <v>0</v>
      </c>
      <c r="FP23" s="27">
        <f>IF($A23="",0,IF(Mitarbeiter!$G$21=FALSE,0,IF(AND(Mitarbeiter!$E$21&lt;&gt;"",FP$5+6&lt;Mitarbeiter!$E$21),0,IF(AND(Mitarbeiter!$F$21&lt;&gt;"",FP$5&gt;Mitarbeiter!$F$21),0,IF(Planung!FP23="",$C23,IF(ISNUMBER(Planung!FP23),Planung!FP23,IF(UPPER(Planung!FP23)="H",$C23/2,0)))))))</f>
        <v>0</v>
      </c>
      <c r="FQ23" s="27">
        <f>IF($A23="",0,IF(Mitarbeiter!$G$21=FALSE,0,IF(AND(Mitarbeiter!$E$21&lt;&gt;"",FQ$5+6&lt;Mitarbeiter!$E$21),0,IF(AND(Mitarbeiter!$F$21&lt;&gt;"",FQ$5&gt;Mitarbeiter!$F$21),0,IF(Planung!FQ23="",$C23,IF(ISNUMBER(Planung!FQ23),Planung!FQ23,IF(UPPER(Planung!FQ23)="H",$C23/2,0)))))))</f>
        <v>0</v>
      </c>
      <c r="FR23" s="27">
        <f>IF($A23="",0,IF(Mitarbeiter!$G$21=FALSE,0,IF(AND(Mitarbeiter!$E$21&lt;&gt;"",FR$5+6&lt;Mitarbeiter!$E$21),0,IF(AND(Mitarbeiter!$F$21&lt;&gt;"",FR$5&gt;Mitarbeiter!$F$21),0,IF(Planung!FR23="",$C23,IF(ISNUMBER(Planung!FR23),Planung!FR23,IF(UPPER(Planung!FR23)="H",$C23/2,0)))))))</f>
        <v>0</v>
      </c>
      <c r="FS23" s="27">
        <f>IF($A23="",0,IF(Mitarbeiter!$G$21=FALSE,0,IF(AND(Mitarbeiter!$E$21&lt;&gt;"",FS$5+6&lt;Mitarbeiter!$E$21),0,IF(AND(Mitarbeiter!$F$21&lt;&gt;"",FS$5&gt;Mitarbeiter!$F$21),0,IF(Planung!FS23="",$C23,IF(ISNUMBER(Planung!FS23),Planung!FS23,IF(UPPER(Planung!FS23)="H",$C23/2,0)))))))</f>
        <v>0</v>
      </c>
      <c r="FT23" s="27">
        <f>IF($A23="",0,IF(Mitarbeiter!$G$21=FALSE,0,IF(AND(Mitarbeiter!$E$21&lt;&gt;"",FT$5+6&lt;Mitarbeiter!$E$21),0,IF(AND(Mitarbeiter!$F$21&lt;&gt;"",FT$5&gt;Mitarbeiter!$F$21),0,IF(Planung!FT23="",$C23,IF(ISNUMBER(Planung!FT23),Planung!FT23,IF(UPPER(Planung!FT23)="H",$C23/2,0)))))))</f>
        <v>0</v>
      </c>
      <c r="FU23" s="27">
        <f>IF($A23="",0,IF(Mitarbeiter!$G$21=FALSE,0,IF(AND(Mitarbeiter!$E$21&lt;&gt;"",FU$5+6&lt;Mitarbeiter!$E$21),0,IF(AND(Mitarbeiter!$F$21&lt;&gt;"",FU$5&gt;Mitarbeiter!$F$21),0,IF(Planung!FU23="",$C23,IF(ISNUMBER(Planung!FU23),Planung!FU23,IF(UPPER(Planung!FU23)="H",$C23/2,0)))))))</f>
        <v>0</v>
      </c>
      <c r="FV23" s="27">
        <f>IF($A23="",0,IF(Mitarbeiter!$G$21=FALSE,0,IF(AND(Mitarbeiter!$E$21&lt;&gt;"",FV$5+6&lt;Mitarbeiter!$E$21),0,IF(AND(Mitarbeiter!$F$21&lt;&gt;"",FV$5&gt;Mitarbeiter!$F$21),0,IF(Planung!FV23="",$C23,IF(ISNUMBER(Planung!FV23),Planung!FV23,IF(UPPER(Planung!FV23)="H",$C23/2,0)))))))</f>
        <v>0</v>
      </c>
      <c r="FW23" s="27">
        <f>IF($A23="",0,IF(Mitarbeiter!$G$21=FALSE,0,IF(AND(Mitarbeiter!$E$21&lt;&gt;"",FW$5+6&lt;Mitarbeiter!$E$21),0,IF(AND(Mitarbeiter!$F$21&lt;&gt;"",FW$5&gt;Mitarbeiter!$F$21),0,IF(Planung!FW23="",$C23,IF(ISNUMBER(Planung!FW23),Planung!FW23,IF(UPPER(Planung!FW23)="H",$C23/2,0)))))))</f>
        <v>0</v>
      </c>
      <c r="FX23" s="27">
        <f>IF($A23="",0,IF(Mitarbeiter!$G$21=FALSE,0,IF(AND(Mitarbeiter!$E$21&lt;&gt;"",FX$5+6&lt;Mitarbeiter!$E$21),0,IF(AND(Mitarbeiter!$F$21&lt;&gt;"",FX$5&gt;Mitarbeiter!$F$21),0,IF(Planung!FX23="",$C23,IF(ISNUMBER(Planung!FX23),Planung!FX23,IF(UPPER(Planung!FX23)="H",$C23/2,0)))))))</f>
        <v>0</v>
      </c>
      <c r="FY23" s="27">
        <f>IF($A23="",0,IF(Mitarbeiter!$G$21=FALSE,0,IF(AND(Mitarbeiter!$E$21&lt;&gt;"",FY$5+6&lt;Mitarbeiter!$E$21),0,IF(AND(Mitarbeiter!$F$21&lt;&gt;"",FY$5&gt;Mitarbeiter!$F$21),0,IF(Planung!FY23="",$C23,IF(ISNUMBER(Planung!FY23),Planung!FY23,IF(UPPER(Planung!FY23)="H",$C23/2,0)))))))</f>
        <v>0</v>
      </c>
      <c r="FZ23" s="27">
        <f>IF($A23="",0,IF(Mitarbeiter!$G$21=FALSE,0,IF(AND(Mitarbeiter!$E$21&lt;&gt;"",FZ$5+6&lt;Mitarbeiter!$E$21),0,IF(AND(Mitarbeiter!$F$21&lt;&gt;"",FZ$5&gt;Mitarbeiter!$F$21),0,IF(Planung!FZ23="",$C23,IF(ISNUMBER(Planung!FZ23),Planung!FZ23,IF(UPPER(Planung!FZ23)="H",$C23/2,0)))))))</f>
        <v>0</v>
      </c>
      <c r="GA23" s="27">
        <f>IF($A23="",0,IF(Mitarbeiter!$G$21=FALSE,0,IF(AND(Mitarbeiter!$E$21&lt;&gt;"",GA$5+6&lt;Mitarbeiter!$E$21),0,IF(AND(Mitarbeiter!$F$21&lt;&gt;"",GA$5&gt;Mitarbeiter!$F$21),0,IF(Planung!GA23="",$C23,IF(ISNUMBER(Planung!GA23),Planung!GA23,IF(UPPER(Planung!GA23)="H",$C23/2,0)))))))</f>
        <v>0</v>
      </c>
      <c r="GB23" s="27">
        <f>IF($A23="",0,IF(Mitarbeiter!$G$21=FALSE,0,IF(AND(Mitarbeiter!$E$21&lt;&gt;"",GB$5+6&lt;Mitarbeiter!$E$21),0,IF(AND(Mitarbeiter!$F$21&lt;&gt;"",GB$5&gt;Mitarbeiter!$F$21),0,IF(Planung!GB23="",$C23,IF(ISNUMBER(Planung!GB23),Planung!GB23,IF(UPPER(Planung!GB23)="H",$C23/2,0)))))))</f>
        <v>0</v>
      </c>
      <c r="GC23" s="27">
        <f>IF($A23="",0,IF(Mitarbeiter!$G$21=FALSE,0,IF(AND(Mitarbeiter!$E$21&lt;&gt;"",GC$5+6&lt;Mitarbeiter!$E$21),0,IF(AND(Mitarbeiter!$F$21&lt;&gt;"",GC$5&gt;Mitarbeiter!$F$21),0,IF(Planung!GC23="",$C23,IF(ISNUMBER(Planung!GC23),Planung!GC23,IF(UPPER(Planung!GC23)="H",$C23/2,0)))))))</f>
        <v>0</v>
      </c>
      <c r="GD23" s="27">
        <f>IF($A23="",0,IF(Mitarbeiter!$G$21=FALSE,0,IF(AND(Mitarbeiter!$E$21&lt;&gt;"",GD$5+6&lt;Mitarbeiter!$E$21),0,IF(AND(Mitarbeiter!$F$21&lt;&gt;"",GD$5&gt;Mitarbeiter!$F$21),0,IF(Planung!GD23="",$C23,IF(ISNUMBER(Planung!GD23),Planung!GD23,IF(UPPER(Planung!GD23)="H",$C23/2,0)))))))</f>
        <v>0</v>
      </c>
      <c r="GE23" s="27">
        <f>IF($A23="",0,IF(Mitarbeiter!$G$21=FALSE,0,IF(AND(Mitarbeiter!$E$21&lt;&gt;"",GE$5+6&lt;Mitarbeiter!$E$21),0,IF(AND(Mitarbeiter!$F$21&lt;&gt;"",GE$5&gt;Mitarbeiter!$F$21),0,IF(Planung!GE23="",$C23,IF(ISNUMBER(Planung!GE23),Planung!GE23,IF(UPPER(Planung!GE23)="H",$C23/2,0)))))))</f>
        <v>0</v>
      </c>
      <c r="GF23" s="27">
        <f>IF($A23="",0,IF(Mitarbeiter!$G$21=FALSE,0,IF(AND(Mitarbeiter!$E$21&lt;&gt;"",GF$5+6&lt;Mitarbeiter!$E$21),0,IF(AND(Mitarbeiter!$F$21&lt;&gt;"",GF$5&gt;Mitarbeiter!$F$21),0,IF(Planung!GF23="",$C23,IF(ISNUMBER(Planung!GF23),Planung!GF23,IF(UPPER(Planung!GF23)="H",$C23/2,0)))))))</f>
        <v>0</v>
      </c>
      <c r="GG23" s="27">
        <f>IF($A23="",0,IF(Mitarbeiter!$G$21=FALSE,0,IF(AND(Mitarbeiter!$E$21&lt;&gt;"",GG$5+6&lt;Mitarbeiter!$E$21),0,IF(AND(Mitarbeiter!$F$21&lt;&gt;"",GG$5&gt;Mitarbeiter!$F$21),0,IF(Planung!GG23="",$C23,IF(ISNUMBER(Planung!GG23),Planung!GG23,IF(UPPER(Planung!GG23)="H",$C23/2,0)))))))</f>
        <v>0</v>
      </c>
      <c r="GH23" s="27">
        <f>IF($A23="",0,IF(Mitarbeiter!$G$21=FALSE,0,IF(AND(Mitarbeiter!$E$21&lt;&gt;"",GH$5+6&lt;Mitarbeiter!$E$21),0,IF(AND(Mitarbeiter!$F$21&lt;&gt;"",GH$5&gt;Mitarbeiter!$F$21),0,IF(Planung!GH23="",$C23,IF(ISNUMBER(Planung!GH23),Planung!GH23,IF(UPPER(Planung!GH23)="H",$C23/2,0)))))))</f>
        <v>0</v>
      </c>
      <c r="GI23" s="27">
        <f>IF($A23="",0,IF(Mitarbeiter!$G$21=FALSE,0,IF(AND(Mitarbeiter!$E$21&lt;&gt;"",GI$5+6&lt;Mitarbeiter!$E$21),0,IF(AND(Mitarbeiter!$F$21&lt;&gt;"",GI$5&gt;Mitarbeiter!$F$21),0,IF(Planung!GI23="",$C23,IF(ISNUMBER(Planung!GI23),Planung!GI23,IF(UPPER(Planung!GI23)="H",$C23/2,0)))))))</f>
        <v>0</v>
      </c>
      <c r="GJ23" s="27">
        <f>IF($A23="",0,IF(Mitarbeiter!$G$21=FALSE,0,IF(AND(Mitarbeiter!$E$21&lt;&gt;"",GJ$5+6&lt;Mitarbeiter!$E$21),0,IF(AND(Mitarbeiter!$F$21&lt;&gt;"",GJ$5&gt;Mitarbeiter!$F$21),0,IF(Planung!GJ23="",$C23,IF(ISNUMBER(Planung!GJ23),Planung!GJ23,IF(UPPER(Planung!GJ23)="H",$C23/2,0)))))))</f>
        <v>0</v>
      </c>
      <c r="GK23" s="27">
        <f>IF($A23="",0,IF(Mitarbeiter!$G$21=FALSE,0,IF(AND(Mitarbeiter!$E$21&lt;&gt;"",GK$5+6&lt;Mitarbeiter!$E$21),0,IF(AND(Mitarbeiter!$F$21&lt;&gt;"",GK$5&gt;Mitarbeiter!$F$21),0,IF(Planung!GK23="",$C23,IF(ISNUMBER(Planung!GK23),Planung!GK23,IF(UPPER(Planung!GK23)="H",$C23/2,0)))))))</f>
        <v>0</v>
      </c>
      <c r="GL23" s="27">
        <f>IF($A23="",0,IF(Mitarbeiter!$G$21=FALSE,0,IF(AND(Mitarbeiter!$E$21&lt;&gt;"",GL$5+6&lt;Mitarbeiter!$E$21),0,IF(AND(Mitarbeiter!$F$21&lt;&gt;"",GL$5&gt;Mitarbeiter!$F$21),0,IF(Planung!GL23="",$C23,IF(ISNUMBER(Planung!GL23),Planung!GL23,IF(UPPER(Planung!GL23)="H",$C23/2,0)))))))</f>
        <v>0</v>
      </c>
      <c r="GM23" s="27">
        <f>IF($A23="",0,IF(Mitarbeiter!$G$21=FALSE,0,IF(AND(Mitarbeiter!$E$21&lt;&gt;"",GM$5+6&lt;Mitarbeiter!$E$21),0,IF(AND(Mitarbeiter!$F$21&lt;&gt;"",GM$5&gt;Mitarbeiter!$F$21),0,IF(Planung!GM23="",$C23,IF(ISNUMBER(Planung!GM23),Planung!GM23,IF(UPPER(Planung!GM23)="H",$C23/2,0)))))))</f>
        <v>0</v>
      </c>
      <c r="GN23" s="27">
        <f>IF($A23="",0,IF(Mitarbeiter!$G$21=FALSE,0,IF(AND(Mitarbeiter!$E$21&lt;&gt;"",GN$5+6&lt;Mitarbeiter!$E$21),0,IF(AND(Mitarbeiter!$F$21&lt;&gt;"",GN$5&gt;Mitarbeiter!$F$21),0,IF(Planung!GN23="",$C23,IF(ISNUMBER(Planung!GN23),Planung!GN23,IF(UPPER(Planung!GN23)="H",$C23/2,0)))))))</f>
        <v>0</v>
      </c>
      <c r="GO23" s="27">
        <f>IF($A23="",0,IF(Mitarbeiter!$G$21=FALSE,0,IF(AND(Mitarbeiter!$E$21&lt;&gt;"",GO$5+6&lt;Mitarbeiter!$E$21),0,IF(AND(Mitarbeiter!$F$21&lt;&gt;"",GO$5&gt;Mitarbeiter!$F$21),0,IF(Planung!GO23="",$C23,IF(ISNUMBER(Planung!GO23),Planung!GO23,IF(UPPER(Planung!GO23)="H",$C23/2,0)))))))</f>
        <v>0</v>
      </c>
      <c r="GP23" s="27">
        <f>IF($A23="",0,IF(Mitarbeiter!$G$21=FALSE,0,IF(AND(Mitarbeiter!$E$21&lt;&gt;"",GP$5+6&lt;Mitarbeiter!$E$21),0,IF(AND(Mitarbeiter!$F$21&lt;&gt;"",GP$5&gt;Mitarbeiter!$F$21),0,IF(Planung!GP23="",$C23,IF(ISNUMBER(Planung!GP23),Planung!GP23,IF(UPPER(Planung!GP23)="H",$C23/2,0)))))))</f>
        <v>0</v>
      </c>
      <c r="GQ23" s="27">
        <f>IF($A23="",0,IF(Mitarbeiter!$G$21=FALSE,0,IF(AND(Mitarbeiter!$E$21&lt;&gt;"",GQ$5+6&lt;Mitarbeiter!$E$21),0,IF(AND(Mitarbeiter!$F$21&lt;&gt;"",GQ$5&gt;Mitarbeiter!$F$21),0,IF(Planung!GQ23="",$C23,IF(ISNUMBER(Planung!GQ23),Planung!GQ23,IF(UPPER(Planung!GQ23)="H",$C23/2,0)))))))</f>
        <v>0</v>
      </c>
      <c r="GR23" s="27">
        <f>IF($A23="",0,IF(Mitarbeiter!$G$21=FALSE,0,IF(AND(Mitarbeiter!$E$21&lt;&gt;"",GR$5+6&lt;Mitarbeiter!$E$21),0,IF(AND(Mitarbeiter!$F$21&lt;&gt;"",GR$5&gt;Mitarbeiter!$F$21),0,IF(Planung!GR23="",$C23,IF(ISNUMBER(Planung!GR23),Planung!GR23,IF(UPPER(Planung!GR23)="H",$C23/2,0)))))))</f>
        <v>0</v>
      </c>
      <c r="GS23" s="27">
        <f>IF($A23="",0,IF(Mitarbeiter!$G$21=FALSE,0,IF(AND(Mitarbeiter!$E$21&lt;&gt;"",GS$5+6&lt;Mitarbeiter!$E$21),0,IF(AND(Mitarbeiter!$F$21&lt;&gt;"",GS$5&gt;Mitarbeiter!$F$21),0,IF(Planung!GS23="",$C23,IF(ISNUMBER(Planung!GS23),Planung!GS23,IF(UPPER(Planung!GS23)="H",$C23/2,0)))))))</f>
        <v>0</v>
      </c>
      <c r="GT23" s="27">
        <f>IF($A23="",0,IF(Mitarbeiter!$G$21=FALSE,0,IF(AND(Mitarbeiter!$E$21&lt;&gt;"",GT$5+6&lt;Mitarbeiter!$E$21),0,IF(AND(Mitarbeiter!$F$21&lt;&gt;"",GT$5&gt;Mitarbeiter!$F$21),0,IF(Planung!GT23="",$C23,IF(ISNUMBER(Planung!GT23),Planung!GT23,IF(UPPER(Planung!GT23)="H",$C23/2,0)))))))</f>
        <v>0</v>
      </c>
      <c r="GU23" s="27">
        <f>IF($A23="",0,IF(Mitarbeiter!$G$21=FALSE,0,IF(AND(Mitarbeiter!$E$21&lt;&gt;"",GU$5+6&lt;Mitarbeiter!$E$21),0,IF(AND(Mitarbeiter!$F$21&lt;&gt;"",GU$5&gt;Mitarbeiter!$F$21),0,IF(Planung!GU23="",$C23,IF(ISNUMBER(Planung!GU23),Planung!GU23,IF(UPPER(Planung!GU23)="H",$C23/2,0)))))))</f>
        <v>0</v>
      </c>
      <c r="GV23" s="27">
        <f>IF($A23="",0,IF(Mitarbeiter!$G$21=FALSE,0,IF(AND(Mitarbeiter!$E$21&lt;&gt;"",GV$5+6&lt;Mitarbeiter!$E$21),0,IF(AND(Mitarbeiter!$F$21&lt;&gt;"",GV$5&gt;Mitarbeiter!$F$21),0,IF(Planung!GV23="",$C23,IF(ISNUMBER(Planung!GV23),Planung!GV23,IF(UPPER(Planung!GV23)="H",$C23/2,0)))))))</f>
        <v>0</v>
      </c>
      <c r="GW23" s="27">
        <f>IF($A23="",0,IF(Mitarbeiter!$G$21=FALSE,0,IF(AND(Mitarbeiter!$E$21&lt;&gt;"",GW$5+6&lt;Mitarbeiter!$E$21),0,IF(AND(Mitarbeiter!$F$21&lt;&gt;"",GW$5&gt;Mitarbeiter!$F$21),0,IF(Planung!GW23="",$C23,IF(ISNUMBER(Planung!GW23),Planung!GW23,IF(UPPER(Planung!GW23)="H",$C23/2,0)))))))</f>
        <v>0</v>
      </c>
      <c r="GX23" s="27">
        <f>IF($A23="",0,IF(Mitarbeiter!$G$21=FALSE,0,IF(AND(Mitarbeiter!$E$21&lt;&gt;"",GX$5+6&lt;Mitarbeiter!$E$21),0,IF(AND(Mitarbeiter!$F$21&lt;&gt;"",GX$5&gt;Mitarbeiter!$F$21),0,IF(Planung!GX23="",$C23,IF(ISNUMBER(Planung!GX23),Planung!GX23,IF(UPPER(Planung!GX23)="H",$C23/2,0)))))))</f>
        <v>0</v>
      </c>
      <c r="GY23" s="27">
        <f>IF($A23="",0,IF(Mitarbeiter!$G$21=FALSE,0,IF(AND(Mitarbeiter!$E$21&lt;&gt;"",GY$5+6&lt;Mitarbeiter!$E$21),0,IF(AND(Mitarbeiter!$F$21&lt;&gt;"",GY$5&gt;Mitarbeiter!$F$21),0,IF(Planung!GY23="",$C23,IF(ISNUMBER(Planung!GY23),Planung!GY23,IF(UPPER(Planung!GY23)="H",$C23/2,0)))))))</f>
        <v>0</v>
      </c>
      <c r="GZ23" s="27">
        <f>IF($A23="",0,IF(Mitarbeiter!$G$21=FALSE,0,IF(AND(Mitarbeiter!$E$21&lt;&gt;"",GZ$5+6&lt;Mitarbeiter!$E$21),0,IF(AND(Mitarbeiter!$F$21&lt;&gt;"",GZ$5&gt;Mitarbeiter!$F$21),0,IF(Planung!GZ23="",$C23,IF(ISNUMBER(Planung!GZ23),Planung!GZ23,IF(UPPER(Planung!GZ23)="H",$C23/2,0)))))))</f>
        <v>0</v>
      </c>
      <c r="HA23" s="27">
        <f>IF($A23="",0,IF(Mitarbeiter!$G$21=FALSE,0,IF(AND(Mitarbeiter!$E$21&lt;&gt;"",HA$5+6&lt;Mitarbeiter!$E$21),0,IF(AND(Mitarbeiter!$F$21&lt;&gt;"",HA$5&gt;Mitarbeiter!$F$21),0,IF(Planung!HA23="",$C23,IF(ISNUMBER(Planung!HA23),Planung!HA23,IF(UPPER(Planung!HA23)="H",$C23/2,0)))))))</f>
        <v>0</v>
      </c>
      <c r="HB23" s="27">
        <f>IF($A23="",0,IF(Mitarbeiter!$G$21=FALSE,0,IF(AND(Mitarbeiter!$E$21&lt;&gt;"",HB$5+6&lt;Mitarbeiter!$E$21),0,IF(AND(Mitarbeiter!$F$21&lt;&gt;"",HB$5&gt;Mitarbeiter!$F$21),0,IF(Planung!HB23="",$C23,IF(ISNUMBER(Planung!HB23),Planung!HB23,IF(UPPER(Planung!HB23)="H",$C23/2,0)))))))</f>
        <v>0</v>
      </c>
      <c r="HC23" s="27">
        <f>IF($A23="",0,IF(Mitarbeiter!$G$21=FALSE,0,IF(AND(Mitarbeiter!$E$21&lt;&gt;"",HC$5+6&lt;Mitarbeiter!$E$21),0,IF(AND(Mitarbeiter!$F$21&lt;&gt;"",HC$5&gt;Mitarbeiter!$F$21),0,IF(Planung!HC23="",$C23,IF(ISNUMBER(Planung!HC23),Planung!HC23,IF(UPPER(Planung!HC23)="H",$C23/2,0)))))))</f>
        <v>0</v>
      </c>
      <c r="HD23" s="27">
        <f>IF($A23="",0,IF(Mitarbeiter!$G$21=FALSE,0,IF(AND(Mitarbeiter!$E$21&lt;&gt;"",HD$5+6&lt;Mitarbeiter!$E$21),0,IF(AND(Mitarbeiter!$F$21&lt;&gt;"",HD$5&gt;Mitarbeiter!$F$21),0,IF(Planung!HD23="",$C23,IF(ISNUMBER(Planung!HD23),Planung!HD23,IF(UPPER(Planung!HD23)="H",$C23/2,0)))))))</f>
        <v>0</v>
      </c>
      <c r="HE23" s="27">
        <f>IF($A23="",0,IF(Mitarbeiter!$G$21=FALSE,0,IF(AND(Mitarbeiter!$E$21&lt;&gt;"",HE$5+6&lt;Mitarbeiter!$E$21),0,IF(AND(Mitarbeiter!$F$21&lt;&gt;"",HE$5&gt;Mitarbeiter!$F$21),0,IF(Planung!HE23="",$C23,IF(ISNUMBER(Planung!HE23),Planung!HE23,IF(UPPER(Planung!HE23)="H",$C23/2,0)))))))</f>
        <v>0</v>
      </c>
      <c r="HF23" s="27">
        <f>IF($A23="",0,IF(Mitarbeiter!$G$21=FALSE,0,IF(AND(Mitarbeiter!$E$21&lt;&gt;"",HF$5+6&lt;Mitarbeiter!$E$21),0,IF(AND(Mitarbeiter!$F$21&lt;&gt;"",HF$5&gt;Mitarbeiter!$F$21),0,IF(Planung!HF23="",$C23,IF(ISNUMBER(Planung!HF23),Planung!HF23,IF(UPPER(Planung!HF23)="H",$C23/2,0)))))))</f>
        <v>0</v>
      </c>
      <c r="HG23" s="27">
        <f>IF($A23="",0,IF(Mitarbeiter!$G$21=FALSE,0,IF(AND(Mitarbeiter!$E$21&lt;&gt;"",HG$5+6&lt;Mitarbeiter!$E$21),0,IF(AND(Mitarbeiter!$F$21&lt;&gt;"",HG$5&gt;Mitarbeiter!$F$21),0,IF(Planung!HG23="",$C23,IF(ISNUMBER(Planung!HG23),Planung!HG23,IF(UPPER(Planung!HG23)="H",$C23/2,0)))))))</f>
        <v>0</v>
      </c>
      <c r="HH23" s="27">
        <f>IF($A23="",0,IF(Mitarbeiter!$G$21=FALSE,0,IF(AND(Mitarbeiter!$E$21&lt;&gt;"",HH$5+6&lt;Mitarbeiter!$E$21),0,IF(AND(Mitarbeiter!$F$21&lt;&gt;"",HH$5&gt;Mitarbeiter!$F$21),0,IF(Planung!HH23="",$C23,IF(ISNUMBER(Planung!HH23),Planung!HH23,IF(UPPER(Planung!HH23)="H",$C23/2,0)))))))</f>
        <v>0</v>
      </c>
      <c r="HI23" s="27">
        <f>IF($A23="",0,IF(Mitarbeiter!$G$21=FALSE,0,IF(AND(Mitarbeiter!$E$21&lt;&gt;"",HI$5+6&lt;Mitarbeiter!$E$21),0,IF(AND(Mitarbeiter!$F$21&lt;&gt;"",HI$5&gt;Mitarbeiter!$F$21),0,IF(Planung!HI23="",$C23,IF(ISNUMBER(Planung!HI23),Planung!HI23,IF(UPPER(Planung!HI23)="H",$C23/2,0)))))))</f>
        <v>0</v>
      </c>
      <c r="HJ23" s="27">
        <f>IF($A23="",0,IF(Mitarbeiter!$G$21=FALSE,0,IF(AND(Mitarbeiter!$E$21&lt;&gt;"",HJ$5+6&lt;Mitarbeiter!$E$21),0,IF(AND(Mitarbeiter!$F$21&lt;&gt;"",HJ$5&gt;Mitarbeiter!$F$21),0,IF(Planung!HJ23="",$C23,IF(ISNUMBER(Planung!HJ23),Planung!HJ23,IF(UPPER(Planung!HJ23)="H",$C23/2,0)))))))</f>
        <v>0</v>
      </c>
      <c r="HK23" s="27">
        <f>IF($A23="",0,IF(Mitarbeiter!$G$21=FALSE,0,IF(AND(Mitarbeiter!$E$21&lt;&gt;"",HK$5+6&lt;Mitarbeiter!$E$21),0,IF(AND(Mitarbeiter!$F$21&lt;&gt;"",HK$5&gt;Mitarbeiter!$F$21),0,IF(Planung!HK23="",$C23,IF(ISNUMBER(Planung!HK23),Planung!HK23,IF(UPPER(Planung!HK23)="H",$C23/2,0)))))))</f>
        <v>0</v>
      </c>
      <c r="HL23" s="27">
        <f>IF($A23="",0,IF(Mitarbeiter!$G$21=FALSE,0,IF(AND(Mitarbeiter!$E$21&lt;&gt;"",HL$5+6&lt;Mitarbeiter!$E$21),0,IF(AND(Mitarbeiter!$F$21&lt;&gt;"",HL$5&gt;Mitarbeiter!$F$21),0,IF(Planung!HL23="",$C23,IF(ISNUMBER(Planung!HL23),Planung!HL23,IF(UPPER(Planung!HL23)="H",$C23/2,0)))))))</f>
        <v>0</v>
      </c>
      <c r="HM23" s="27">
        <f>IF($A23="",0,IF(Mitarbeiter!$G$21=FALSE,0,IF(AND(Mitarbeiter!$E$21&lt;&gt;"",HM$5+6&lt;Mitarbeiter!$E$21),0,IF(AND(Mitarbeiter!$F$21&lt;&gt;"",HM$5&gt;Mitarbeiter!$F$21),0,IF(Planung!HM23="",$C23,IF(ISNUMBER(Planung!HM23),Planung!HM23,IF(UPPER(Planung!HM23)="H",$C23/2,0)))))))</f>
        <v>0</v>
      </c>
      <c r="HN23" s="27">
        <f>IF($A23="",0,IF(Mitarbeiter!$G$21=FALSE,0,IF(AND(Mitarbeiter!$E$21&lt;&gt;"",HN$5+6&lt;Mitarbeiter!$E$21),0,IF(AND(Mitarbeiter!$F$21&lt;&gt;"",HN$5&gt;Mitarbeiter!$F$21),0,IF(Planung!HN23="",$C23,IF(ISNUMBER(Planung!HN23),Planung!HN23,IF(UPPER(Planung!HN23)="H",$C23/2,0)))))))</f>
        <v>0</v>
      </c>
      <c r="HO23" s="27">
        <f>IF($A23="",0,IF(Mitarbeiter!$G$21=FALSE,0,IF(AND(Mitarbeiter!$E$21&lt;&gt;"",HO$5+6&lt;Mitarbeiter!$E$21),0,IF(AND(Mitarbeiter!$F$21&lt;&gt;"",HO$5&gt;Mitarbeiter!$F$21),0,IF(Planung!HO23="",$C23,IF(ISNUMBER(Planung!HO23),Planung!HO23,IF(UPPER(Planung!HO23)="H",$C23/2,0)))))))</f>
        <v>0</v>
      </c>
      <c r="HP23" s="27">
        <f>IF($A23="",0,IF(Mitarbeiter!$G$21=FALSE,0,IF(AND(Mitarbeiter!$E$21&lt;&gt;"",HP$5+6&lt;Mitarbeiter!$E$21),0,IF(AND(Mitarbeiter!$F$21&lt;&gt;"",HP$5&gt;Mitarbeiter!$F$21),0,IF(Planung!HP23="",$C23,IF(ISNUMBER(Planung!HP23),Planung!HP23,IF(UPPER(Planung!HP23)="H",$C23/2,0)))))))</f>
        <v>0</v>
      </c>
      <c r="HQ23" s="27">
        <f>IF($A23="",0,IF(Mitarbeiter!$G$21=FALSE,0,IF(AND(Mitarbeiter!$E$21&lt;&gt;"",HQ$5+6&lt;Mitarbeiter!$E$21),0,IF(AND(Mitarbeiter!$F$21&lt;&gt;"",HQ$5&gt;Mitarbeiter!$F$21),0,IF(Planung!HQ23="",$C23,IF(ISNUMBER(Planung!HQ23),Planung!HQ23,IF(UPPER(Planung!HQ23)="H",$C23/2,0)))))))</f>
        <v>0</v>
      </c>
      <c r="HR23" s="27">
        <f>IF($A23="",0,IF(Mitarbeiter!$G$21=FALSE,0,IF(AND(Mitarbeiter!$E$21&lt;&gt;"",HR$5+6&lt;Mitarbeiter!$E$21),0,IF(AND(Mitarbeiter!$F$21&lt;&gt;"",HR$5&gt;Mitarbeiter!$F$21),0,IF(Planung!HR23="",$C23,IF(ISNUMBER(Planung!HR23),Planung!HR23,IF(UPPER(Planung!HR23)="H",$C23/2,0)))))))</f>
        <v>0</v>
      </c>
      <c r="HS23" s="27">
        <f>IF($A23="",0,IF(Mitarbeiter!$G$21=FALSE,0,IF(AND(Mitarbeiter!$E$21&lt;&gt;"",HS$5+6&lt;Mitarbeiter!$E$21),0,IF(AND(Mitarbeiter!$F$21&lt;&gt;"",HS$5&gt;Mitarbeiter!$F$21),0,IF(Planung!HS23="",$C23,IF(ISNUMBER(Planung!HS23),Planung!HS23,IF(UPPER(Planung!HS23)="H",$C23/2,0)))))))</f>
        <v>0</v>
      </c>
      <c r="HT23" s="27">
        <f>IF($A23="",0,IF(Mitarbeiter!$G$21=FALSE,0,IF(AND(Mitarbeiter!$E$21&lt;&gt;"",HT$5+6&lt;Mitarbeiter!$E$21),0,IF(AND(Mitarbeiter!$F$21&lt;&gt;"",HT$5&gt;Mitarbeiter!$F$21),0,IF(Planung!HT23="",$C23,IF(ISNUMBER(Planung!HT23),Planung!HT23,IF(UPPER(Planung!HT23)="H",$C23/2,0)))))))</f>
        <v>0</v>
      </c>
      <c r="HU23" s="27">
        <f>IF($A23="",0,IF(Mitarbeiter!$G$21=FALSE,0,IF(AND(Mitarbeiter!$E$21&lt;&gt;"",HU$5+6&lt;Mitarbeiter!$E$21),0,IF(AND(Mitarbeiter!$F$21&lt;&gt;"",HU$5&gt;Mitarbeiter!$F$21),0,IF(Planung!HU23="",$C23,IF(ISNUMBER(Planung!HU23),Planung!HU23,IF(UPPER(Planung!HU23)="H",$C23/2,0)))))))</f>
        <v>0</v>
      </c>
      <c r="HV23" s="27">
        <f>IF($A23="",0,IF(Mitarbeiter!$G$21=FALSE,0,IF(AND(Mitarbeiter!$E$21&lt;&gt;"",HV$5+6&lt;Mitarbeiter!$E$21),0,IF(AND(Mitarbeiter!$F$21&lt;&gt;"",HV$5&gt;Mitarbeiter!$F$21),0,IF(Planung!HV23="",$C23,IF(ISNUMBER(Planung!HV23),Planung!HV23,IF(UPPER(Planung!HV23)="H",$C23/2,0)))))))</f>
        <v>0</v>
      </c>
      <c r="HW23" s="27">
        <f>IF($A23="",0,IF(Mitarbeiter!$G$21=FALSE,0,IF(AND(Mitarbeiter!$E$21&lt;&gt;"",HW$5+6&lt;Mitarbeiter!$E$21),0,IF(AND(Mitarbeiter!$F$21&lt;&gt;"",HW$5&gt;Mitarbeiter!$F$21),0,IF(Planung!HW23="",$C23,IF(ISNUMBER(Planung!HW23),Planung!HW23,IF(UPPER(Planung!HW23)="H",$C23/2,0)))))))</f>
        <v>0</v>
      </c>
      <c r="HX23" s="27">
        <f>IF($A23="",0,IF(Mitarbeiter!$G$21=FALSE,0,IF(AND(Mitarbeiter!$E$21&lt;&gt;"",HX$5+6&lt;Mitarbeiter!$E$21),0,IF(AND(Mitarbeiter!$F$21&lt;&gt;"",HX$5&gt;Mitarbeiter!$F$21),0,IF(Planung!HX23="",$C23,IF(ISNUMBER(Planung!HX23),Planung!HX23,IF(UPPER(Planung!HX23)="H",$C23/2,0)))))))</f>
        <v>0</v>
      </c>
      <c r="HY23" s="27">
        <f>IF($A23="",0,IF(Mitarbeiter!$G$21=FALSE,0,IF(AND(Mitarbeiter!$E$21&lt;&gt;"",HY$5+6&lt;Mitarbeiter!$E$21),0,IF(AND(Mitarbeiter!$F$21&lt;&gt;"",HY$5&gt;Mitarbeiter!$F$21),0,IF(Planung!HY23="",$C23,IF(ISNUMBER(Planung!HY23),Planung!HY23,IF(UPPER(Planung!HY23)="H",$C23/2,0)))))))</f>
        <v>0</v>
      </c>
      <c r="HZ23" s="27">
        <f>IF($A23="",0,IF(Mitarbeiter!$G$21=FALSE,0,IF(AND(Mitarbeiter!$E$21&lt;&gt;"",HZ$5+6&lt;Mitarbeiter!$E$21),0,IF(AND(Mitarbeiter!$F$21&lt;&gt;"",HZ$5&gt;Mitarbeiter!$F$21),0,IF(Planung!HZ23="",$C23,IF(ISNUMBER(Planung!HZ23),Planung!HZ23,IF(UPPER(Planung!HZ23)="H",$C23/2,0)))))))</f>
        <v>0</v>
      </c>
      <c r="IA23" s="27">
        <f>IF($A23="",0,IF(Mitarbeiter!$G$21=FALSE,0,IF(AND(Mitarbeiter!$E$21&lt;&gt;"",IA$5+6&lt;Mitarbeiter!$E$21),0,IF(AND(Mitarbeiter!$F$21&lt;&gt;"",IA$5&gt;Mitarbeiter!$F$21),0,IF(Planung!IA23="",$C23,IF(ISNUMBER(Planung!IA23),Planung!IA23,IF(UPPER(Planung!IA23)="H",$C23/2,0)))))))</f>
        <v>0</v>
      </c>
    </row>
    <row r="24" spans="1:235" x14ac:dyDescent="0.25">
      <c r="A24" s="7" t="str">
        <f>Planung!A24</f>
        <v/>
      </c>
      <c r="B24" s="7" t="str">
        <f>Planung!B24</f>
        <v/>
      </c>
      <c r="C24" s="27">
        <f>N(Mitarbeiter!$D$22)</f>
        <v>0</v>
      </c>
      <c r="D24" s="27">
        <f>IF($A24="",0,IF(Mitarbeiter!$G$22=FALSE,0,IF(AND(Mitarbeiter!$E$22&lt;&gt;"",D$5+6&lt;Mitarbeiter!$E$22),0,IF(AND(Mitarbeiter!$F$22&lt;&gt;"",D$5&gt;Mitarbeiter!$F$22),0,IF(Planung!D24="",$C24,IF(ISNUMBER(Planung!D24),Planung!D24,IF(UPPER(Planung!D24)="H",$C24/2,0)))))))</f>
        <v>0</v>
      </c>
      <c r="E24" s="27">
        <f>IF($A24="",0,IF(Mitarbeiter!$G$22=FALSE,0,IF(AND(Mitarbeiter!$E$22&lt;&gt;"",E$5+6&lt;Mitarbeiter!$E$22),0,IF(AND(Mitarbeiter!$F$22&lt;&gt;"",E$5&gt;Mitarbeiter!$F$22),0,IF(Planung!E24="",$C24,IF(ISNUMBER(Planung!E24),Planung!E24,IF(UPPER(Planung!E24)="H",$C24/2,0)))))))</f>
        <v>0</v>
      </c>
      <c r="F24" s="27">
        <f>IF($A24="",0,IF(Mitarbeiter!$G$22=FALSE,0,IF(AND(Mitarbeiter!$E$22&lt;&gt;"",F$5+6&lt;Mitarbeiter!$E$22),0,IF(AND(Mitarbeiter!$F$22&lt;&gt;"",F$5&gt;Mitarbeiter!$F$22),0,IF(Planung!F24="",$C24,IF(ISNUMBER(Planung!F24),Planung!F24,IF(UPPER(Planung!F24)="H",$C24/2,0)))))))</f>
        <v>0</v>
      </c>
      <c r="G24" s="27">
        <f>IF($A24="",0,IF(Mitarbeiter!$G$22=FALSE,0,IF(AND(Mitarbeiter!$E$22&lt;&gt;"",G$5+6&lt;Mitarbeiter!$E$22),0,IF(AND(Mitarbeiter!$F$22&lt;&gt;"",G$5&gt;Mitarbeiter!$F$22),0,IF(Planung!G24="",$C24,IF(ISNUMBER(Planung!G24),Planung!G24,IF(UPPER(Planung!G24)="H",$C24/2,0)))))))</f>
        <v>0</v>
      </c>
      <c r="H24" s="27">
        <f>IF($A24="",0,IF(Mitarbeiter!$G$22=FALSE,0,IF(AND(Mitarbeiter!$E$22&lt;&gt;"",H$5+6&lt;Mitarbeiter!$E$22),0,IF(AND(Mitarbeiter!$F$22&lt;&gt;"",H$5&gt;Mitarbeiter!$F$22),0,IF(Planung!H24="",$C24,IF(ISNUMBER(Planung!H24),Planung!H24,IF(UPPER(Planung!H24)="H",$C24/2,0)))))))</f>
        <v>0</v>
      </c>
      <c r="I24" s="27">
        <f>IF($A24="",0,IF(Mitarbeiter!$G$22=FALSE,0,IF(AND(Mitarbeiter!$E$22&lt;&gt;"",I$5+6&lt;Mitarbeiter!$E$22),0,IF(AND(Mitarbeiter!$F$22&lt;&gt;"",I$5&gt;Mitarbeiter!$F$22),0,IF(Planung!I24="",$C24,IF(ISNUMBER(Planung!I24),Planung!I24,IF(UPPER(Planung!I24)="H",$C24/2,0)))))))</f>
        <v>0</v>
      </c>
      <c r="J24" s="27">
        <f>IF($A24="",0,IF(Mitarbeiter!$G$22=FALSE,0,IF(AND(Mitarbeiter!$E$22&lt;&gt;"",J$5+6&lt;Mitarbeiter!$E$22),0,IF(AND(Mitarbeiter!$F$22&lt;&gt;"",J$5&gt;Mitarbeiter!$F$22),0,IF(Planung!J24="",$C24,IF(ISNUMBER(Planung!J24),Planung!J24,IF(UPPER(Planung!J24)="H",$C24/2,0)))))))</f>
        <v>0</v>
      </c>
      <c r="K24" s="27">
        <f>IF($A24="",0,IF(Mitarbeiter!$G$22=FALSE,0,IF(AND(Mitarbeiter!$E$22&lt;&gt;"",K$5+6&lt;Mitarbeiter!$E$22),0,IF(AND(Mitarbeiter!$F$22&lt;&gt;"",K$5&gt;Mitarbeiter!$F$22),0,IF(Planung!K24="",$C24,IF(ISNUMBER(Planung!K24),Planung!K24,IF(UPPER(Planung!K24)="H",$C24/2,0)))))))</f>
        <v>0</v>
      </c>
      <c r="L24" s="27">
        <f>IF($A24="",0,IF(Mitarbeiter!$G$22=FALSE,0,IF(AND(Mitarbeiter!$E$22&lt;&gt;"",L$5+6&lt;Mitarbeiter!$E$22),0,IF(AND(Mitarbeiter!$F$22&lt;&gt;"",L$5&gt;Mitarbeiter!$F$22),0,IF(Planung!L24="",$C24,IF(ISNUMBER(Planung!L24),Planung!L24,IF(UPPER(Planung!L24)="H",$C24/2,0)))))))</f>
        <v>0</v>
      </c>
      <c r="M24" s="27">
        <f>IF($A24="",0,IF(Mitarbeiter!$G$22=FALSE,0,IF(AND(Mitarbeiter!$E$22&lt;&gt;"",M$5+6&lt;Mitarbeiter!$E$22),0,IF(AND(Mitarbeiter!$F$22&lt;&gt;"",M$5&gt;Mitarbeiter!$F$22),0,IF(Planung!M24="",$C24,IF(ISNUMBER(Planung!M24),Planung!M24,IF(UPPER(Planung!M24)="H",$C24/2,0)))))))</f>
        <v>0</v>
      </c>
      <c r="N24" s="27">
        <f>IF($A24="",0,IF(Mitarbeiter!$G$22=FALSE,0,IF(AND(Mitarbeiter!$E$22&lt;&gt;"",N$5+6&lt;Mitarbeiter!$E$22),0,IF(AND(Mitarbeiter!$F$22&lt;&gt;"",N$5&gt;Mitarbeiter!$F$22),0,IF(Planung!N24="",$C24,IF(ISNUMBER(Planung!N24),Planung!N24,IF(UPPER(Planung!N24)="H",$C24/2,0)))))))</f>
        <v>0</v>
      </c>
      <c r="O24" s="27">
        <f>IF($A24="",0,IF(Mitarbeiter!$G$22=FALSE,0,IF(AND(Mitarbeiter!$E$22&lt;&gt;"",O$5+6&lt;Mitarbeiter!$E$22),0,IF(AND(Mitarbeiter!$F$22&lt;&gt;"",O$5&gt;Mitarbeiter!$F$22),0,IF(Planung!O24="",$C24,IF(ISNUMBER(Planung!O24),Planung!O24,IF(UPPER(Planung!O24)="H",$C24/2,0)))))))</f>
        <v>0</v>
      </c>
      <c r="P24" s="27">
        <f>IF($A24="",0,IF(Mitarbeiter!$G$22=FALSE,0,IF(AND(Mitarbeiter!$E$22&lt;&gt;"",P$5+6&lt;Mitarbeiter!$E$22),0,IF(AND(Mitarbeiter!$F$22&lt;&gt;"",P$5&gt;Mitarbeiter!$F$22),0,IF(Planung!P24="",$C24,IF(ISNUMBER(Planung!P24),Planung!P24,IF(UPPER(Planung!P24)="H",$C24/2,0)))))))</f>
        <v>0</v>
      </c>
      <c r="Q24" s="27">
        <f>IF($A24="",0,IF(Mitarbeiter!$G$22=FALSE,0,IF(AND(Mitarbeiter!$E$22&lt;&gt;"",Q$5+6&lt;Mitarbeiter!$E$22),0,IF(AND(Mitarbeiter!$F$22&lt;&gt;"",Q$5&gt;Mitarbeiter!$F$22),0,IF(Planung!Q24="",$C24,IF(ISNUMBER(Planung!Q24),Planung!Q24,IF(UPPER(Planung!Q24)="H",$C24/2,0)))))))</f>
        <v>0</v>
      </c>
      <c r="R24" s="27">
        <f>IF($A24="",0,IF(Mitarbeiter!$G$22=FALSE,0,IF(AND(Mitarbeiter!$E$22&lt;&gt;"",R$5+6&lt;Mitarbeiter!$E$22),0,IF(AND(Mitarbeiter!$F$22&lt;&gt;"",R$5&gt;Mitarbeiter!$F$22),0,IF(Planung!R24="",$C24,IF(ISNUMBER(Planung!R24),Planung!R24,IF(UPPER(Planung!R24)="H",$C24/2,0)))))))</f>
        <v>0</v>
      </c>
      <c r="S24" s="27">
        <f>IF($A24="",0,IF(Mitarbeiter!$G$22=FALSE,0,IF(AND(Mitarbeiter!$E$22&lt;&gt;"",S$5+6&lt;Mitarbeiter!$E$22),0,IF(AND(Mitarbeiter!$F$22&lt;&gt;"",S$5&gt;Mitarbeiter!$F$22),0,IF(Planung!S24="",$C24,IF(ISNUMBER(Planung!S24),Planung!S24,IF(UPPER(Planung!S24)="H",$C24/2,0)))))))</f>
        <v>0</v>
      </c>
      <c r="T24" s="27">
        <f>IF($A24="",0,IF(Mitarbeiter!$G$22=FALSE,0,IF(AND(Mitarbeiter!$E$22&lt;&gt;"",T$5+6&lt;Mitarbeiter!$E$22),0,IF(AND(Mitarbeiter!$F$22&lt;&gt;"",T$5&gt;Mitarbeiter!$F$22),0,IF(Planung!T24="",$C24,IF(ISNUMBER(Planung!T24),Planung!T24,IF(UPPER(Planung!T24)="H",$C24/2,0)))))))</f>
        <v>0</v>
      </c>
      <c r="U24" s="27">
        <f>IF($A24="",0,IF(Mitarbeiter!$G$22=FALSE,0,IF(AND(Mitarbeiter!$E$22&lt;&gt;"",U$5+6&lt;Mitarbeiter!$E$22),0,IF(AND(Mitarbeiter!$F$22&lt;&gt;"",U$5&gt;Mitarbeiter!$F$22),0,IF(Planung!U24="",$C24,IF(ISNUMBER(Planung!U24),Planung!U24,IF(UPPER(Planung!U24)="H",$C24/2,0)))))))</f>
        <v>0</v>
      </c>
      <c r="V24" s="27">
        <f>IF($A24="",0,IF(Mitarbeiter!$G$22=FALSE,0,IF(AND(Mitarbeiter!$E$22&lt;&gt;"",V$5+6&lt;Mitarbeiter!$E$22),0,IF(AND(Mitarbeiter!$F$22&lt;&gt;"",V$5&gt;Mitarbeiter!$F$22),0,IF(Planung!V24="",$C24,IF(ISNUMBER(Planung!V24),Planung!V24,IF(UPPER(Planung!V24)="H",$C24/2,0)))))))</f>
        <v>0</v>
      </c>
      <c r="W24" s="27">
        <f>IF($A24="",0,IF(Mitarbeiter!$G$22=FALSE,0,IF(AND(Mitarbeiter!$E$22&lt;&gt;"",W$5+6&lt;Mitarbeiter!$E$22),0,IF(AND(Mitarbeiter!$F$22&lt;&gt;"",W$5&gt;Mitarbeiter!$F$22),0,IF(Planung!W24="",$C24,IF(ISNUMBER(Planung!W24),Planung!W24,IF(UPPER(Planung!W24)="H",$C24/2,0)))))))</f>
        <v>0</v>
      </c>
      <c r="X24" s="27">
        <f>IF($A24="",0,IF(Mitarbeiter!$G$22=FALSE,0,IF(AND(Mitarbeiter!$E$22&lt;&gt;"",X$5+6&lt;Mitarbeiter!$E$22),0,IF(AND(Mitarbeiter!$F$22&lt;&gt;"",X$5&gt;Mitarbeiter!$F$22),0,IF(Planung!X24="",$C24,IF(ISNUMBER(Planung!X24),Planung!X24,IF(UPPER(Planung!X24)="H",$C24/2,0)))))))</f>
        <v>0</v>
      </c>
      <c r="Y24" s="27">
        <f>IF($A24="",0,IF(Mitarbeiter!$G$22=FALSE,0,IF(AND(Mitarbeiter!$E$22&lt;&gt;"",Y$5+6&lt;Mitarbeiter!$E$22),0,IF(AND(Mitarbeiter!$F$22&lt;&gt;"",Y$5&gt;Mitarbeiter!$F$22),0,IF(Planung!Y24="",$C24,IF(ISNUMBER(Planung!Y24),Planung!Y24,IF(UPPER(Planung!Y24)="H",$C24/2,0)))))))</f>
        <v>0</v>
      </c>
      <c r="Z24" s="27">
        <f>IF($A24="",0,IF(Mitarbeiter!$G$22=FALSE,0,IF(AND(Mitarbeiter!$E$22&lt;&gt;"",Z$5+6&lt;Mitarbeiter!$E$22),0,IF(AND(Mitarbeiter!$F$22&lt;&gt;"",Z$5&gt;Mitarbeiter!$F$22),0,IF(Planung!Z24="",$C24,IF(ISNUMBER(Planung!Z24),Planung!Z24,IF(UPPER(Planung!Z24)="H",$C24/2,0)))))))</f>
        <v>0</v>
      </c>
      <c r="AA24" s="27">
        <f>IF($A24="",0,IF(Mitarbeiter!$G$22=FALSE,0,IF(AND(Mitarbeiter!$E$22&lt;&gt;"",AA$5+6&lt;Mitarbeiter!$E$22),0,IF(AND(Mitarbeiter!$F$22&lt;&gt;"",AA$5&gt;Mitarbeiter!$F$22),0,IF(Planung!AA24="",$C24,IF(ISNUMBER(Planung!AA24),Planung!AA24,IF(UPPER(Planung!AA24)="H",$C24/2,0)))))))</f>
        <v>0</v>
      </c>
      <c r="AB24" s="27">
        <f>IF($A24="",0,IF(Mitarbeiter!$G$22=FALSE,0,IF(AND(Mitarbeiter!$E$22&lt;&gt;"",AB$5+6&lt;Mitarbeiter!$E$22),0,IF(AND(Mitarbeiter!$F$22&lt;&gt;"",AB$5&gt;Mitarbeiter!$F$22),0,IF(Planung!AB24="",$C24,IF(ISNUMBER(Planung!AB24),Planung!AB24,IF(UPPER(Planung!AB24)="H",$C24/2,0)))))))</f>
        <v>0</v>
      </c>
      <c r="AC24" s="27">
        <f>IF($A24="",0,IF(Mitarbeiter!$G$22=FALSE,0,IF(AND(Mitarbeiter!$E$22&lt;&gt;"",AC$5+6&lt;Mitarbeiter!$E$22),0,IF(AND(Mitarbeiter!$F$22&lt;&gt;"",AC$5&gt;Mitarbeiter!$F$22),0,IF(Planung!AC24="",$C24,IF(ISNUMBER(Planung!AC24),Planung!AC24,IF(UPPER(Planung!AC24)="H",$C24/2,0)))))))</f>
        <v>0</v>
      </c>
      <c r="AD24" s="27">
        <f>IF($A24="",0,IF(Mitarbeiter!$G$22=FALSE,0,IF(AND(Mitarbeiter!$E$22&lt;&gt;"",AD$5+6&lt;Mitarbeiter!$E$22),0,IF(AND(Mitarbeiter!$F$22&lt;&gt;"",AD$5&gt;Mitarbeiter!$F$22),0,IF(Planung!AD24="",$C24,IF(ISNUMBER(Planung!AD24),Planung!AD24,IF(UPPER(Planung!AD24)="H",$C24/2,0)))))))</f>
        <v>0</v>
      </c>
      <c r="AE24" s="27">
        <f>IF($A24="",0,IF(Mitarbeiter!$G$22=FALSE,0,IF(AND(Mitarbeiter!$E$22&lt;&gt;"",AE$5+6&lt;Mitarbeiter!$E$22),0,IF(AND(Mitarbeiter!$F$22&lt;&gt;"",AE$5&gt;Mitarbeiter!$F$22),0,IF(Planung!AE24="",$C24,IF(ISNUMBER(Planung!AE24),Planung!AE24,IF(UPPER(Planung!AE24)="H",$C24/2,0)))))))</f>
        <v>0</v>
      </c>
      <c r="AF24" s="27">
        <f>IF($A24="",0,IF(Mitarbeiter!$G$22=FALSE,0,IF(AND(Mitarbeiter!$E$22&lt;&gt;"",AF$5+6&lt;Mitarbeiter!$E$22),0,IF(AND(Mitarbeiter!$F$22&lt;&gt;"",AF$5&gt;Mitarbeiter!$F$22),0,IF(Planung!AF24="",$C24,IF(ISNUMBER(Planung!AF24),Planung!AF24,IF(UPPER(Planung!AF24)="H",$C24/2,0)))))))</f>
        <v>0</v>
      </c>
      <c r="AG24" s="27">
        <f>IF($A24="",0,IF(Mitarbeiter!$G$22=FALSE,0,IF(AND(Mitarbeiter!$E$22&lt;&gt;"",AG$5+6&lt;Mitarbeiter!$E$22),0,IF(AND(Mitarbeiter!$F$22&lt;&gt;"",AG$5&gt;Mitarbeiter!$F$22),0,IF(Planung!AG24="",$C24,IF(ISNUMBER(Planung!AG24),Planung!AG24,IF(UPPER(Planung!AG24)="H",$C24/2,0)))))))</f>
        <v>0</v>
      </c>
      <c r="AH24" s="27">
        <f>IF($A24="",0,IF(Mitarbeiter!$G$22=FALSE,0,IF(AND(Mitarbeiter!$E$22&lt;&gt;"",AH$5+6&lt;Mitarbeiter!$E$22),0,IF(AND(Mitarbeiter!$F$22&lt;&gt;"",AH$5&gt;Mitarbeiter!$F$22),0,IF(Planung!AH24="",$C24,IF(ISNUMBER(Planung!AH24),Planung!AH24,IF(UPPER(Planung!AH24)="H",$C24/2,0)))))))</f>
        <v>0</v>
      </c>
      <c r="AI24" s="27">
        <f>IF($A24="",0,IF(Mitarbeiter!$G$22=FALSE,0,IF(AND(Mitarbeiter!$E$22&lt;&gt;"",AI$5+6&lt;Mitarbeiter!$E$22),0,IF(AND(Mitarbeiter!$F$22&lt;&gt;"",AI$5&gt;Mitarbeiter!$F$22),0,IF(Planung!AI24="",$C24,IF(ISNUMBER(Planung!AI24),Planung!AI24,IF(UPPER(Planung!AI24)="H",$C24/2,0)))))))</f>
        <v>0</v>
      </c>
      <c r="AJ24" s="27">
        <f>IF($A24="",0,IF(Mitarbeiter!$G$22=FALSE,0,IF(AND(Mitarbeiter!$E$22&lt;&gt;"",AJ$5+6&lt;Mitarbeiter!$E$22),0,IF(AND(Mitarbeiter!$F$22&lt;&gt;"",AJ$5&gt;Mitarbeiter!$F$22),0,IF(Planung!AJ24="",$C24,IF(ISNUMBER(Planung!AJ24),Planung!AJ24,IF(UPPER(Planung!AJ24)="H",$C24/2,0)))))))</f>
        <v>0</v>
      </c>
      <c r="AK24" s="27">
        <f>IF($A24="",0,IF(Mitarbeiter!$G$22=FALSE,0,IF(AND(Mitarbeiter!$E$22&lt;&gt;"",AK$5+6&lt;Mitarbeiter!$E$22),0,IF(AND(Mitarbeiter!$F$22&lt;&gt;"",AK$5&gt;Mitarbeiter!$F$22),0,IF(Planung!AK24="",$C24,IF(ISNUMBER(Planung!AK24),Planung!AK24,IF(UPPER(Planung!AK24)="H",$C24/2,0)))))))</f>
        <v>0</v>
      </c>
      <c r="AL24" s="27">
        <f>IF($A24="",0,IF(Mitarbeiter!$G$22=FALSE,0,IF(AND(Mitarbeiter!$E$22&lt;&gt;"",AL$5+6&lt;Mitarbeiter!$E$22),0,IF(AND(Mitarbeiter!$F$22&lt;&gt;"",AL$5&gt;Mitarbeiter!$F$22),0,IF(Planung!AL24="",$C24,IF(ISNUMBER(Planung!AL24),Planung!AL24,IF(UPPER(Planung!AL24)="H",$C24/2,0)))))))</f>
        <v>0</v>
      </c>
      <c r="AM24" s="27">
        <f>IF($A24="",0,IF(Mitarbeiter!$G$22=FALSE,0,IF(AND(Mitarbeiter!$E$22&lt;&gt;"",AM$5+6&lt;Mitarbeiter!$E$22),0,IF(AND(Mitarbeiter!$F$22&lt;&gt;"",AM$5&gt;Mitarbeiter!$F$22),0,IF(Planung!AM24="",$C24,IF(ISNUMBER(Planung!AM24),Planung!AM24,IF(UPPER(Planung!AM24)="H",$C24/2,0)))))))</f>
        <v>0</v>
      </c>
      <c r="AN24" s="27">
        <f>IF($A24="",0,IF(Mitarbeiter!$G$22=FALSE,0,IF(AND(Mitarbeiter!$E$22&lt;&gt;"",AN$5+6&lt;Mitarbeiter!$E$22),0,IF(AND(Mitarbeiter!$F$22&lt;&gt;"",AN$5&gt;Mitarbeiter!$F$22),0,IF(Planung!AN24="",$C24,IF(ISNUMBER(Planung!AN24),Planung!AN24,IF(UPPER(Planung!AN24)="H",$C24/2,0)))))))</f>
        <v>0</v>
      </c>
      <c r="AO24" s="27">
        <f>IF($A24="",0,IF(Mitarbeiter!$G$22=FALSE,0,IF(AND(Mitarbeiter!$E$22&lt;&gt;"",AO$5+6&lt;Mitarbeiter!$E$22),0,IF(AND(Mitarbeiter!$F$22&lt;&gt;"",AO$5&gt;Mitarbeiter!$F$22),0,IF(Planung!AO24="",$C24,IF(ISNUMBER(Planung!AO24),Planung!AO24,IF(UPPER(Planung!AO24)="H",$C24/2,0)))))))</f>
        <v>0</v>
      </c>
      <c r="AP24" s="27">
        <f>IF($A24="",0,IF(Mitarbeiter!$G$22=FALSE,0,IF(AND(Mitarbeiter!$E$22&lt;&gt;"",AP$5+6&lt;Mitarbeiter!$E$22),0,IF(AND(Mitarbeiter!$F$22&lt;&gt;"",AP$5&gt;Mitarbeiter!$F$22),0,IF(Planung!AP24="",$C24,IF(ISNUMBER(Planung!AP24),Planung!AP24,IF(UPPER(Planung!AP24)="H",$C24/2,0)))))))</f>
        <v>0</v>
      </c>
      <c r="AQ24" s="27">
        <f>IF($A24="",0,IF(Mitarbeiter!$G$22=FALSE,0,IF(AND(Mitarbeiter!$E$22&lt;&gt;"",AQ$5+6&lt;Mitarbeiter!$E$22),0,IF(AND(Mitarbeiter!$F$22&lt;&gt;"",AQ$5&gt;Mitarbeiter!$F$22),0,IF(Planung!AQ24="",$C24,IF(ISNUMBER(Planung!AQ24),Planung!AQ24,IF(UPPER(Planung!AQ24)="H",$C24/2,0)))))))</f>
        <v>0</v>
      </c>
      <c r="AR24" s="27">
        <f>IF($A24="",0,IF(Mitarbeiter!$G$22=FALSE,0,IF(AND(Mitarbeiter!$E$22&lt;&gt;"",AR$5+6&lt;Mitarbeiter!$E$22),0,IF(AND(Mitarbeiter!$F$22&lt;&gt;"",AR$5&gt;Mitarbeiter!$F$22),0,IF(Planung!AR24="",$C24,IF(ISNUMBER(Planung!AR24),Planung!AR24,IF(UPPER(Planung!AR24)="H",$C24/2,0)))))))</f>
        <v>0</v>
      </c>
      <c r="AS24" s="27">
        <f>IF($A24="",0,IF(Mitarbeiter!$G$22=FALSE,0,IF(AND(Mitarbeiter!$E$22&lt;&gt;"",AS$5+6&lt;Mitarbeiter!$E$22),0,IF(AND(Mitarbeiter!$F$22&lt;&gt;"",AS$5&gt;Mitarbeiter!$F$22),0,IF(Planung!AS24="",$C24,IF(ISNUMBER(Planung!AS24),Planung!AS24,IF(UPPER(Planung!AS24)="H",$C24/2,0)))))))</f>
        <v>0</v>
      </c>
      <c r="AT24" s="27">
        <f>IF($A24="",0,IF(Mitarbeiter!$G$22=FALSE,0,IF(AND(Mitarbeiter!$E$22&lt;&gt;"",AT$5+6&lt;Mitarbeiter!$E$22),0,IF(AND(Mitarbeiter!$F$22&lt;&gt;"",AT$5&gt;Mitarbeiter!$F$22),0,IF(Planung!AT24="",$C24,IF(ISNUMBER(Planung!AT24),Planung!AT24,IF(UPPER(Planung!AT24)="H",$C24/2,0)))))))</f>
        <v>0</v>
      </c>
      <c r="AU24" s="27">
        <f>IF($A24="",0,IF(Mitarbeiter!$G$22=FALSE,0,IF(AND(Mitarbeiter!$E$22&lt;&gt;"",AU$5+6&lt;Mitarbeiter!$E$22),0,IF(AND(Mitarbeiter!$F$22&lt;&gt;"",AU$5&gt;Mitarbeiter!$F$22),0,IF(Planung!AU24="",$C24,IF(ISNUMBER(Planung!AU24),Planung!AU24,IF(UPPER(Planung!AU24)="H",$C24/2,0)))))))</f>
        <v>0</v>
      </c>
      <c r="AV24" s="27">
        <f>IF($A24="",0,IF(Mitarbeiter!$G$22=FALSE,0,IF(AND(Mitarbeiter!$E$22&lt;&gt;"",AV$5+6&lt;Mitarbeiter!$E$22),0,IF(AND(Mitarbeiter!$F$22&lt;&gt;"",AV$5&gt;Mitarbeiter!$F$22),0,IF(Planung!AV24="",$C24,IF(ISNUMBER(Planung!AV24),Planung!AV24,IF(UPPER(Planung!AV24)="H",$C24/2,0)))))))</f>
        <v>0</v>
      </c>
      <c r="AW24" s="27">
        <f>IF($A24="",0,IF(Mitarbeiter!$G$22=FALSE,0,IF(AND(Mitarbeiter!$E$22&lt;&gt;"",AW$5+6&lt;Mitarbeiter!$E$22),0,IF(AND(Mitarbeiter!$F$22&lt;&gt;"",AW$5&gt;Mitarbeiter!$F$22),0,IF(Planung!AW24="",$C24,IF(ISNUMBER(Planung!AW24),Planung!AW24,IF(UPPER(Planung!AW24)="H",$C24/2,0)))))))</f>
        <v>0</v>
      </c>
      <c r="AX24" s="27">
        <f>IF($A24="",0,IF(Mitarbeiter!$G$22=FALSE,0,IF(AND(Mitarbeiter!$E$22&lt;&gt;"",AX$5+6&lt;Mitarbeiter!$E$22),0,IF(AND(Mitarbeiter!$F$22&lt;&gt;"",AX$5&gt;Mitarbeiter!$F$22),0,IF(Planung!AX24="",$C24,IF(ISNUMBER(Planung!AX24),Planung!AX24,IF(UPPER(Planung!AX24)="H",$C24/2,0)))))))</f>
        <v>0</v>
      </c>
      <c r="AY24" s="27">
        <f>IF($A24="",0,IF(Mitarbeiter!$G$22=FALSE,0,IF(AND(Mitarbeiter!$E$22&lt;&gt;"",AY$5+6&lt;Mitarbeiter!$E$22),0,IF(AND(Mitarbeiter!$F$22&lt;&gt;"",AY$5&gt;Mitarbeiter!$F$22),0,IF(Planung!AY24="",$C24,IF(ISNUMBER(Planung!AY24),Planung!AY24,IF(UPPER(Planung!AY24)="H",$C24/2,0)))))))</f>
        <v>0</v>
      </c>
      <c r="AZ24" s="27">
        <f>IF($A24="",0,IF(Mitarbeiter!$G$22=FALSE,0,IF(AND(Mitarbeiter!$E$22&lt;&gt;"",AZ$5+6&lt;Mitarbeiter!$E$22),0,IF(AND(Mitarbeiter!$F$22&lt;&gt;"",AZ$5&gt;Mitarbeiter!$F$22),0,IF(Planung!AZ24="",$C24,IF(ISNUMBER(Planung!AZ24),Planung!AZ24,IF(UPPER(Planung!AZ24)="H",$C24/2,0)))))))</f>
        <v>0</v>
      </c>
      <c r="BA24" s="27">
        <f>IF($A24="",0,IF(Mitarbeiter!$G$22=FALSE,0,IF(AND(Mitarbeiter!$E$22&lt;&gt;"",BA$5+6&lt;Mitarbeiter!$E$22),0,IF(AND(Mitarbeiter!$F$22&lt;&gt;"",BA$5&gt;Mitarbeiter!$F$22),0,IF(Planung!BA24="",$C24,IF(ISNUMBER(Planung!BA24),Planung!BA24,IF(UPPER(Planung!BA24)="H",$C24/2,0)))))))</f>
        <v>0</v>
      </c>
      <c r="BB24" s="27">
        <f>IF($A24="",0,IF(Mitarbeiter!$G$22=FALSE,0,IF(AND(Mitarbeiter!$E$22&lt;&gt;"",BB$5+6&lt;Mitarbeiter!$E$22),0,IF(AND(Mitarbeiter!$F$22&lt;&gt;"",BB$5&gt;Mitarbeiter!$F$22),0,IF(Planung!BB24="",$C24,IF(ISNUMBER(Planung!BB24),Planung!BB24,IF(UPPER(Planung!BB24)="H",$C24/2,0)))))))</f>
        <v>0</v>
      </c>
      <c r="BC24" s="27">
        <f>IF($A24="",0,IF(Mitarbeiter!$G$22=FALSE,0,IF(AND(Mitarbeiter!$E$22&lt;&gt;"",BC$5+6&lt;Mitarbeiter!$E$22),0,IF(AND(Mitarbeiter!$F$22&lt;&gt;"",BC$5&gt;Mitarbeiter!$F$22),0,IF(Planung!BC24="",$C24,IF(ISNUMBER(Planung!BC24),Planung!BC24,IF(UPPER(Planung!BC24)="H",$C24/2,0)))))))</f>
        <v>0</v>
      </c>
      <c r="BD24" s="27">
        <f>IF($A24="",0,IF(Mitarbeiter!$G$22=FALSE,0,IF(AND(Mitarbeiter!$E$22&lt;&gt;"",BD$5+6&lt;Mitarbeiter!$E$22),0,IF(AND(Mitarbeiter!$F$22&lt;&gt;"",BD$5&gt;Mitarbeiter!$F$22),0,IF(Planung!BD24="",$C24,IF(ISNUMBER(Planung!BD24),Planung!BD24,IF(UPPER(Planung!BD24)="H",$C24/2,0)))))))</f>
        <v>0</v>
      </c>
      <c r="BE24" s="27">
        <f>IF($A24="",0,IF(Mitarbeiter!$G$22=FALSE,0,IF(AND(Mitarbeiter!$E$22&lt;&gt;"",BE$5+6&lt;Mitarbeiter!$E$22),0,IF(AND(Mitarbeiter!$F$22&lt;&gt;"",BE$5&gt;Mitarbeiter!$F$22),0,IF(Planung!BE24="",$C24,IF(ISNUMBER(Planung!BE24),Planung!BE24,IF(UPPER(Planung!BE24)="H",$C24/2,0)))))))</f>
        <v>0</v>
      </c>
      <c r="BF24" s="27">
        <f>IF($A24="",0,IF(Mitarbeiter!$G$22=FALSE,0,IF(AND(Mitarbeiter!$E$22&lt;&gt;"",BF$5+6&lt;Mitarbeiter!$E$22),0,IF(AND(Mitarbeiter!$F$22&lt;&gt;"",BF$5&gt;Mitarbeiter!$F$22),0,IF(Planung!BF24="",$C24,IF(ISNUMBER(Planung!BF24),Planung!BF24,IF(UPPER(Planung!BF24)="H",$C24/2,0)))))))</f>
        <v>0</v>
      </c>
      <c r="BG24" s="27">
        <f>IF($A24="",0,IF(Mitarbeiter!$G$22=FALSE,0,IF(AND(Mitarbeiter!$E$22&lt;&gt;"",BG$5+6&lt;Mitarbeiter!$E$22),0,IF(AND(Mitarbeiter!$F$22&lt;&gt;"",BG$5&gt;Mitarbeiter!$F$22),0,IF(Planung!BG24="",$C24,IF(ISNUMBER(Planung!BG24),Planung!BG24,IF(UPPER(Planung!BG24)="H",$C24/2,0)))))))</f>
        <v>0</v>
      </c>
      <c r="BH24" s="27">
        <f>IF($A24="",0,IF(Mitarbeiter!$G$22=FALSE,0,IF(AND(Mitarbeiter!$E$22&lt;&gt;"",BH$5+6&lt;Mitarbeiter!$E$22),0,IF(AND(Mitarbeiter!$F$22&lt;&gt;"",BH$5&gt;Mitarbeiter!$F$22),0,IF(Planung!BH24="",$C24,IF(ISNUMBER(Planung!BH24),Planung!BH24,IF(UPPER(Planung!BH24)="H",$C24/2,0)))))))</f>
        <v>0</v>
      </c>
      <c r="BI24" s="27">
        <f>IF($A24="",0,IF(Mitarbeiter!$G$22=FALSE,0,IF(AND(Mitarbeiter!$E$22&lt;&gt;"",BI$5+6&lt;Mitarbeiter!$E$22),0,IF(AND(Mitarbeiter!$F$22&lt;&gt;"",BI$5&gt;Mitarbeiter!$F$22),0,IF(Planung!BI24="",$C24,IF(ISNUMBER(Planung!BI24),Planung!BI24,IF(UPPER(Planung!BI24)="H",$C24/2,0)))))))</f>
        <v>0</v>
      </c>
      <c r="BJ24" s="27">
        <f>IF($A24="",0,IF(Mitarbeiter!$G$22=FALSE,0,IF(AND(Mitarbeiter!$E$22&lt;&gt;"",BJ$5+6&lt;Mitarbeiter!$E$22),0,IF(AND(Mitarbeiter!$F$22&lt;&gt;"",BJ$5&gt;Mitarbeiter!$F$22),0,IF(Planung!BJ24="",$C24,IF(ISNUMBER(Planung!BJ24),Planung!BJ24,IF(UPPER(Planung!BJ24)="H",$C24/2,0)))))))</f>
        <v>0</v>
      </c>
      <c r="BK24" s="27">
        <f>IF($A24="",0,IF(Mitarbeiter!$G$22=FALSE,0,IF(AND(Mitarbeiter!$E$22&lt;&gt;"",BK$5+6&lt;Mitarbeiter!$E$22),0,IF(AND(Mitarbeiter!$F$22&lt;&gt;"",BK$5&gt;Mitarbeiter!$F$22),0,IF(Planung!BK24="",$C24,IF(ISNUMBER(Planung!BK24),Planung!BK24,IF(UPPER(Planung!BK24)="H",$C24/2,0)))))))</f>
        <v>0</v>
      </c>
      <c r="BL24" s="27">
        <f>IF($A24="",0,IF(Mitarbeiter!$G$22=FALSE,0,IF(AND(Mitarbeiter!$E$22&lt;&gt;"",BL$5+6&lt;Mitarbeiter!$E$22),0,IF(AND(Mitarbeiter!$F$22&lt;&gt;"",BL$5&gt;Mitarbeiter!$F$22),0,IF(Planung!BL24="",$C24,IF(ISNUMBER(Planung!BL24),Planung!BL24,IF(UPPER(Planung!BL24)="H",$C24/2,0)))))))</f>
        <v>0</v>
      </c>
      <c r="BM24" s="27">
        <f>IF($A24="",0,IF(Mitarbeiter!$G$22=FALSE,0,IF(AND(Mitarbeiter!$E$22&lt;&gt;"",BM$5+6&lt;Mitarbeiter!$E$22),0,IF(AND(Mitarbeiter!$F$22&lt;&gt;"",BM$5&gt;Mitarbeiter!$F$22),0,IF(Planung!BM24="",$C24,IF(ISNUMBER(Planung!BM24),Planung!BM24,IF(UPPER(Planung!BM24)="H",$C24/2,0)))))))</f>
        <v>0</v>
      </c>
      <c r="BN24" s="27">
        <f>IF($A24="",0,IF(Mitarbeiter!$G$22=FALSE,0,IF(AND(Mitarbeiter!$E$22&lt;&gt;"",BN$5+6&lt;Mitarbeiter!$E$22),0,IF(AND(Mitarbeiter!$F$22&lt;&gt;"",BN$5&gt;Mitarbeiter!$F$22),0,IF(Planung!BN24="",$C24,IF(ISNUMBER(Planung!BN24),Planung!BN24,IF(UPPER(Planung!BN24)="H",$C24/2,0)))))))</f>
        <v>0</v>
      </c>
      <c r="BO24" s="27">
        <f>IF($A24="",0,IF(Mitarbeiter!$G$22=FALSE,0,IF(AND(Mitarbeiter!$E$22&lt;&gt;"",BO$5+6&lt;Mitarbeiter!$E$22),0,IF(AND(Mitarbeiter!$F$22&lt;&gt;"",BO$5&gt;Mitarbeiter!$F$22),0,IF(Planung!BO24="",$C24,IF(ISNUMBER(Planung!BO24),Planung!BO24,IF(UPPER(Planung!BO24)="H",$C24/2,0)))))))</f>
        <v>0</v>
      </c>
      <c r="BP24" s="27">
        <f>IF($A24="",0,IF(Mitarbeiter!$G$22=FALSE,0,IF(AND(Mitarbeiter!$E$22&lt;&gt;"",BP$5+6&lt;Mitarbeiter!$E$22),0,IF(AND(Mitarbeiter!$F$22&lt;&gt;"",BP$5&gt;Mitarbeiter!$F$22),0,IF(Planung!BP24="",$C24,IF(ISNUMBER(Planung!BP24),Planung!BP24,IF(UPPER(Planung!BP24)="H",$C24/2,0)))))))</f>
        <v>0</v>
      </c>
      <c r="BQ24" s="27">
        <f>IF($A24="",0,IF(Mitarbeiter!$G$22=FALSE,0,IF(AND(Mitarbeiter!$E$22&lt;&gt;"",BQ$5+6&lt;Mitarbeiter!$E$22),0,IF(AND(Mitarbeiter!$F$22&lt;&gt;"",BQ$5&gt;Mitarbeiter!$F$22),0,IF(Planung!BQ24="",$C24,IF(ISNUMBER(Planung!BQ24),Planung!BQ24,IF(UPPER(Planung!BQ24)="H",$C24/2,0)))))))</f>
        <v>0</v>
      </c>
      <c r="BR24" s="27">
        <f>IF($A24="",0,IF(Mitarbeiter!$G$22=FALSE,0,IF(AND(Mitarbeiter!$E$22&lt;&gt;"",BR$5+6&lt;Mitarbeiter!$E$22),0,IF(AND(Mitarbeiter!$F$22&lt;&gt;"",BR$5&gt;Mitarbeiter!$F$22),0,IF(Planung!BR24="",$C24,IF(ISNUMBER(Planung!BR24),Planung!BR24,IF(UPPER(Planung!BR24)="H",$C24/2,0)))))))</f>
        <v>0</v>
      </c>
      <c r="BS24" s="27">
        <f>IF($A24="",0,IF(Mitarbeiter!$G$22=FALSE,0,IF(AND(Mitarbeiter!$E$22&lt;&gt;"",BS$5+6&lt;Mitarbeiter!$E$22),0,IF(AND(Mitarbeiter!$F$22&lt;&gt;"",BS$5&gt;Mitarbeiter!$F$22),0,IF(Planung!BS24="",$C24,IF(ISNUMBER(Planung!BS24),Planung!BS24,IF(UPPER(Planung!BS24)="H",$C24/2,0)))))))</f>
        <v>0</v>
      </c>
      <c r="BT24" s="27">
        <f>IF($A24="",0,IF(Mitarbeiter!$G$22=FALSE,0,IF(AND(Mitarbeiter!$E$22&lt;&gt;"",BT$5+6&lt;Mitarbeiter!$E$22),0,IF(AND(Mitarbeiter!$F$22&lt;&gt;"",BT$5&gt;Mitarbeiter!$F$22),0,IF(Planung!BT24="",$C24,IF(ISNUMBER(Planung!BT24),Planung!BT24,IF(UPPER(Planung!BT24)="H",$C24/2,0)))))))</f>
        <v>0</v>
      </c>
      <c r="BU24" s="27">
        <f>IF($A24="",0,IF(Mitarbeiter!$G$22=FALSE,0,IF(AND(Mitarbeiter!$E$22&lt;&gt;"",BU$5+6&lt;Mitarbeiter!$E$22),0,IF(AND(Mitarbeiter!$F$22&lt;&gt;"",BU$5&gt;Mitarbeiter!$F$22),0,IF(Planung!BU24="",$C24,IF(ISNUMBER(Planung!BU24),Planung!BU24,IF(UPPER(Planung!BU24)="H",$C24/2,0)))))))</f>
        <v>0</v>
      </c>
      <c r="BV24" s="27">
        <f>IF($A24="",0,IF(Mitarbeiter!$G$22=FALSE,0,IF(AND(Mitarbeiter!$E$22&lt;&gt;"",BV$5+6&lt;Mitarbeiter!$E$22),0,IF(AND(Mitarbeiter!$F$22&lt;&gt;"",BV$5&gt;Mitarbeiter!$F$22),0,IF(Planung!BV24="",$C24,IF(ISNUMBER(Planung!BV24),Planung!BV24,IF(UPPER(Planung!BV24)="H",$C24/2,0)))))))</f>
        <v>0</v>
      </c>
      <c r="BW24" s="27">
        <f>IF($A24="",0,IF(Mitarbeiter!$G$22=FALSE,0,IF(AND(Mitarbeiter!$E$22&lt;&gt;"",BW$5+6&lt;Mitarbeiter!$E$22),0,IF(AND(Mitarbeiter!$F$22&lt;&gt;"",BW$5&gt;Mitarbeiter!$F$22),0,IF(Planung!BW24="",$C24,IF(ISNUMBER(Planung!BW24),Planung!BW24,IF(UPPER(Planung!BW24)="H",$C24/2,0)))))))</f>
        <v>0</v>
      </c>
      <c r="BX24" s="27">
        <f>IF($A24="",0,IF(Mitarbeiter!$G$22=FALSE,0,IF(AND(Mitarbeiter!$E$22&lt;&gt;"",BX$5+6&lt;Mitarbeiter!$E$22),0,IF(AND(Mitarbeiter!$F$22&lt;&gt;"",BX$5&gt;Mitarbeiter!$F$22),0,IF(Planung!BX24="",$C24,IF(ISNUMBER(Planung!BX24),Planung!BX24,IF(UPPER(Planung!BX24)="H",$C24/2,0)))))))</f>
        <v>0</v>
      </c>
      <c r="BY24" s="27">
        <f>IF($A24="",0,IF(Mitarbeiter!$G$22=FALSE,0,IF(AND(Mitarbeiter!$E$22&lt;&gt;"",BY$5+6&lt;Mitarbeiter!$E$22),0,IF(AND(Mitarbeiter!$F$22&lt;&gt;"",BY$5&gt;Mitarbeiter!$F$22),0,IF(Planung!BY24="",$C24,IF(ISNUMBER(Planung!BY24),Planung!BY24,IF(UPPER(Planung!BY24)="H",$C24/2,0)))))))</f>
        <v>0</v>
      </c>
      <c r="BZ24" s="27">
        <f>IF($A24="",0,IF(Mitarbeiter!$G$22=FALSE,0,IF(AND(Mitarbeiter!$E$22&lt;&gt;"",BZ$5+6&lt;Mitarbeiter!$E$22),0,IF(AND(Mitarbeiter!$F$22&lt;&gt;"",BZ$5&gt;Mitarbeiter!$F$22),0,IF(Planung!BZ24="",$C24,IF(ISNUMBER(Planung!BZ24),Planung!BZ24,IF(UPPER(Planung!BZ24)="H",$C24/2,0)))))))</f>
        <v>0</v>
      </c>
      <c r="CA24" s="27">
        <f>IF($A24="",0,IF(Mitarbeiter!$G$22=FALSE,0,IF(AND(Mitarbeiter!$E$22&lt;&gt;"",CA$5+6&lt;Mitarbeiter!$E$22),0,IF(AND(Mitarbeiter!$F$22&lt;&gt;"",CA$5&gt;Mitarbeiter!$F$22),0,IF(Planung!CA24="",$C24,IF(ISNUMBER(Planung!CA24),Planung!CA24,IF(UPPER(Planung!CA24)="H",$C24/2,0)))))))</f>
        <v>0</v>
      </c>
      <c r="CB24" s="27">
        <f>IF($A24="",0,IF(Mitarbeiter!$G$22=FALSE,0,IF(AND(Mitarbeiter!$E$22&lt;&gt;"",CB$5+6&lt;Mitarbeiter!$E$22),0,IF(AND(Mitarbeiter!$F$22&lt;&gt;"",CB$5&gt;Mitarbeiter!$F$22),0,IF(Planung!CB24="",$C24,IF(ISNUMBER(Planung!CB24),Planung!CB24,IF(UPPER(Planung!CB24)="H",$C24/2,0)))))))</f>
        <v>0</v>
      </c>
      <c r="CC24" s="27">
        <f>IF($A24="",0,IF(Mitarbeiter!$G$22=FALSE,0,IF(AND(Mitarbeiter!$E$22&lt;&gt;"",CC$5+6&lt;Mitarbeiter!$E$22),0,IF(AND(Mitarbeiter!$F$22&lt;&gt;"",CC$5&gt;Mitarbeiter!$F$22),0,IF(Planung!CC24="",$C24,IF(ISNUMBER(Planung!CC24),Planung!CC24,IF(UPPER(Planung!CC24)="H",$C24/2,0)))))))</f>
        <v>0</v>
      </c>
      <c r="CD24" s="27">
        <f>IF($A24="",0,IF(Mitarbeiter!$G$22=FALSE,0,IF(AND(Mitarbeiter!$E$22&lt;&gt;"",CD$5+6&lt;Mitarbeiter!$E$22),0,IF(AND(Mitarbeiter!$F$22&lt;&gt;"",CD$5&gt;Mitarbeiter!$F$22),0,IF(Planung!CD24="",$C24,IF(ISNUMBER(Planung!CD24),Planung!CD24,IF(UPPER(Planung!CD24)="H",$C24/2,0)))))))</f>
        <v>0</v>
      </c>
      <c r="CE24" s="27">
        <f>IF($A24="",0,IF(Mitarbeiter!$G$22=FALSE,0,IF(AND(Mitarbeiter!$E$22&lt;&gt;"",CE$5+6&lt;Mitarbeiter!$E$22),0,IF(AND(Mitarbeiter!$F$22&lt;&gt;"",CE$5&gt;Mitarbeiter!$F$22),0,IF(Planung!CE24="",$C24,IF(ISNUMBER(Planung!CE24),Planung!CE24,IF(UPPER(Planung!CE24)="H",$C24/2,0)))))))</f>
        <v>0</v>
      </c>
      <c r="CF24" s="27">
        <f>IF($A24="",0,IF(Mitarbeiter!$G$22=FALSE,0,IF(AND(Mitarbeiter!$E$22&lt;&gt;"",CF$5+6&lt;Mitarbeiter!$E$22),0,IF(AND(Mitarbeiter!$F$22&lt;&gt;"",CF$5&gt;Mitarbeiter!$F$22),0,IF(Planung!CF24="",$C24,IF(ISNUMBER(Planung!CF24),Planung!CF24,IF(UPPER(Planung!CF24)="H",$C24/2,0)))))))</f>
        <v>0</v>
      </c>
      <c r="CG24" s="27">
        <f>IF($A24="",0,IF(Mitarbeiter!$G$22=FALSE,0,IF(AND(Mitarbeiter!$E$22&lt;&gt;"",CG$5+6&lt;Mitarbeiter!$E$22),0,IF(AND(Mitarbeiter!$F$22&lt;&gt;"",CG$5&gt;Mitarbeiter!$F$22),0,IF(Planung!CG24="",$C24,IF(ISNUMBER(Planung!CG24),Planung!CG24,IF(UPPER(Planung!CG24)="H",$C24/2,0)))))))</f>
        <v>0</v>
      </c>
      <c r="CH24" s="27">
        <f>IF($A24="",0,IF(Mitarbeiter!$G$22=FALSE,0,IF(AND(Mitarbeiter!$E$22&lt;&gt;"",CH$5+6&lt;Mitarbeiter!$E$22),0,IF(AND(Mitarbeiter!$F$22&lt;&gt;"",CH$5&gt;Mitarbeiter!$F$22),0,IF(Planung!CH24="",$C24,IF(ISNUMBER(Planung!CH24),Planung!CH24,IF(UPPER(Planung!CH24)="H",$C24/2,0)))))))</f>
        <v>0</v>
      </c>
      <c r="CI24" s="27">
        <f>IF($A24="",0,IF(Mitarbeiter!$G$22=FALSE,0,IF(AND(Mitarbeiter!$E$22&lt;&gt;"",CI$5+6&lt;Mitarbeiter!$E$22),0,IF(AND(Mitarbeiter!$F$22&lt;&gt;"",CI$5&gt;Mitarbeiter!$F$22),0,IF(Planung!CI24="",$C24,IF(ISNUMBER(Planung!CI24),Planung!CI24,IF(UPPER(Planung!CI24)="H",$C24/2,0)))))))</f>
        <v>0</v>
      </c>
      <c r="CJ24" s="27">
        <f>IF($A24="",0,IF(Mitarbeiter!$G$22=FALSE,0,IF(AND(Mitarbeiter!$E$22&lt;&gt;"",CJ$5+6&lt;Mitarbeiter!$E$22),0,IF(AND(Mitarbeiter!$F$22&lt;&gt;"",CJ$5&gt;Mitarbeiter!$F$22),0,IF(Planung!CJ24="",$C24,IF(ISNUMBER(Planung!CJ24),Planung!CJ24,IF(UPPER(Planung!CJ24)="H",$C24/2,0)))))))</f>
        <v>0</v>
      </c>
      <c r="CK24" s="27">
        <f>IF($A24="",0,IF(Mitarbeiter!$G$22=FALSE,0,IF(AND(Mitarbeiter!$E$22&lt;&gt;"",CK$5+6&lt;Mitarbeiter!$E$22),0,IF(AND(Mitarbeiter!$F$22&lt;&gt;"",CK$5&gt;Mitarbeiter!$F$22),0,IF(Planung!CK24="",$C24,IF(ISNUMBER(Planung!CK24),Planung!CK24,IF(UPPER(Planung!CK24)="H",$C24/2,0)))))))</f>
        <v>0</v>
      </c>
      <c r="CL24" s="27">
        <f>IF($A24="",0,IF(Mitarbeiter!$G$22=FALSE,0,IF(AND(Mitarbeiter!$E$22&lt;&gt;"",CL$5+6&lt;Mitarbeiter!$E$22),0,IF(AND(Mitarbeiter!$F$22&lt;&gt;"",CL$5&gt;Mitarbeiter!$F$22),0,IF(Planung!CL24="",$C24,IF(ISNUMBER(Planung!CL24),Planung!CL24,IF(UPPER(Planung!CL24)="H",$C24/2,0)))))))</f>
        <v>0</v>
      </c>
      <c r="CM24" s="27">
        <f>IF($A24="",0,IF(Mitarbeiter!$G$22=FALSE,0,IF(AND(Mitarbeiter!$E$22&lt;&gt;"",CM$5+6&lt;Mitarbeiter!$E$22),0,IF(AND(Mitarbeiter!$F$22&lt;&gt;"",CM$5&gt;Mitarbeiter!$F$22),0,IF(Planung!CM24="",$C24,IF(ISNUMBER(Planung!CM24),Planung!CM24,IF(UPPER(Planung!CM24)="H",$C24/2,0)))))))</f>
        <v>0</v>
      </c>
      <c r="CN24" s="27">
        <f>IF($A24="",0,IF(Mitarbeiter!$G$22=FALSE,0,IF(AND(Mitarbeiter!$E$22&lt;&gt;"",CN$5+6&lt;Mitarbeiter!$E$22),0,IF(AND(Mitarbeiter!$F$22&lt;&gt;"",CN$5&gt;Mitarbeiter!$F$22),0,IF(Planung!CN24="",$C24,IF(ISNUMBER(Planung!CN24),Planung!CN24,IF(UPPER(Planung!CN24)="H",$C24/2,0)))))))</f>
        <v>0</v>
      </c>
      <c r="CO24" s="27">
        <f>IF($A24="",0,IF(Mitarbeiter!$G$22=FALSE,0,IF(AND(Mitarbeiter!$E$22&lt;&gt;"",CO$5+6&lt;Mitarbeiter!$E$22),0,IF(AND(Mitarbeiter!$F$22&lt;&gt;"",CO$5&gt;Mitarbeiter!$F$22),0,IF(Planung!CO24="",$C24,IF(ISNUMBER(Planung!CO24),Planung!CO24,IF(UPPER(Planung!CO24)="H",$C24/2,0)))))))</f>
        <v>0</v>
      </c>
      <c r="CP24" s="27">
        <f>IF($A24="",0,IF(Mitarbeiter!$G$22=FALSE,0,IF(AND(Mitarbeiter!$E$22&lt;&gt;"",CP$5+6&lt;Mitarbeiter!$E$22),0,IF(AND(Mitarbeiter!$F$22&lt;&gt;"",CP$5&gt;Mitarbeiter!$F$22),0,IF(Planung!CP24="",$C24,IF(ISNUMBER(Planung!CP24),Planung!CP24,IF(UPPER(Planung!CP24)="H",$C24/2,0)))))))</f>
        <v>0</v>
      </c>
      <c r="CQ24" s="27">
        <f>IF($A24="",0,IF(Mitarbeiter!$G$22=FALSE,0,IF(AND(Mitarbeiter!$E$22&lt;&gt;"",CQ$5+6&lt;Mitarbeiter!$E$22),0,IF(AND(Mitarbeiter!$F$22&lt;&gt;"",CQ$5&gt;Mitarbeiter!$F$22),0,IF(Planung!CQ24="",$C24,IF(ISNUMBER(Planung!CQ24),Planung!CQ24,IF(UPPER(Planung!CQ24)="H",$C24/2,0)))))))</f>
        <v>0</v>
      </c>
      <c r="CR24" s="27">
        <f>IF($A24="",0,IF(Mitarbeiter!$G$22=FALSE,0,IF(AND(Mitarbeiter!$E$22&lt;&gt;"",CR$5+6&lt;Mitarbeiter!$E$22),0,IF(AND(Mitarbeiter!$F$22&lt;&gt;"",CR$5&gt;Mitarbeiter!$F$22),0,IF(Planung!CR24="",$C24,IF(ISNUMBER(Planung!CR24),Planung!CR24,IF(UPPER(Planung!CR24)="H",$C24/2,0)))))))</f>
        <v>0</v>
      </c>
      <c r="CS24" s="27">
        <f>IF($A24="",0,IF(Mitarbeiter!$G$22=FALSE,0,IF(AND(Mitarbeiter!$E$22&lt;&gt;"",CS$5+6&lt;Mitarbeiter!$E$22),0,IF(AND(Mitarbeiter!$F$22&lt;&gt;"",CS$5&gt;Mitarbeiter!$F$22),0,IF(Planung!CS24="",$C24,IF(ISNUMBER(Planung!CS24),Planung!CS24,IF(UPPER(Planung!CS24)="H",$C24/2,0)))))))</f>
        <v>0</v>
      </c>
      <c r="CT24" s="27">
        <f>IF($A24="",0,IF(Mitarbeiter!$G$22=FALSE,0,IF(AND(Mitarbeiter!$E$22&lt;&gt;"",CT$5+6&lt;Mitarbeiter!$E$22),0,IF(AND(Mitarbeiter!$F$22&lt;&gt;"",CT$5&gt;Mitarbeiter!$F$22),0,IF(Planung!CT24="",$C24,IF(ISNUMBER(Planung!CT24),Planung!CT24,IF(UPPER(Planung!CT24)="H",$C24/2,0)))))))</f>
        <v>0</v>
      </c>
      <c r="CU24" s="27">
        <f>IF($A24="",0,IF(Mitarbeiter!$G$22=FALSE,0,IF(AND(Mitarbeiter!$E$22&lt;&gt;"",CU$5+6&lt;Mitarbeiter!$E$22),0,IF(AND(Mitarbeiter!$F$22&lt;&gt;"",CU$5&gt;Mitarbeiter!$F$22),0,IF(Planung!CU24="",$C24,IF(ISNUMBER(Planung!CU24),Planung!CU24,IF(UPPER(Planung!CU24)="H",$C24/2,0)))))))</f>
        <v>0</v>
      </c>
      <c r="CV24" s="27">
        <f>IF($A24="",0,IF(Mitarbeiter!$G$22=FALSE,0,IF(AND(Mitarbeiter!$E$22&lt;&gt;"",CV$5+6&lt;Mitarbeiter!$E$22),0,IF(AND(Mitarbeiter!$F$22&lt;&gt;"",CV$5&gt;Mitarbeiter!$F$22),0,IF(Planung!CV24="",$C24,IF(ISNUMBER(Planung!CV24),Planung!CV24,IF(UPPER(Planung!CV24)="H",$C24/2,0)))))))</f>
        <v>0</v>
      </c>
      <c r="CW24" s="27">
        <f>IF($A24="",0,IF(Mitarbeiter!$G$22=FALSE,0,IF(AND(Mitarbeiter!$E$22&lt;&gt;"",CW$5+6&lt;Mitarbeiter!$E$22),0,IF(AND(Mitarbeiter!$F$22&lt;&gt;"",CW$5&gt;Mitarbeiter!$F$22),0,IF(Planung!CW24="",$C24,IF(ISNUMBER(Planung!CW24),Planung!CW24,IF(UPPER(Planung!CW24)="H",$C24/2,0)))))))</f>
        <v>0</v>
      </c>
      <c r="CX24" s="27">
        <f>IF($A24="",0,IF(Mitarbeiter!$G$22=FALSE,0,IF(AND(Mitarbeiter!$E$22&lt;&gt;"",CX$5+6&lt;Mitarbeiter!$E$22),0,IF(AND(Mitarbeiter!$F$22&lt;&gt;"",CX$5&gt;Mitarbeiter!$F$22),0,IF(Planung!CX24="",$C24,IF(ISNUMBER(Planung!CX24),Planung!CX24,IF(UPPER(Planung!CX24)="H",$C24/2,0)))))))</f>
        <v>0</v>
      </c>
      <c r="CY24" s="27">
        <f>IF($A24="",0,IF(Mitarbeiter!$G$22=FALSE,0,IF(AND(Mitarbeiter!$E$22&lt;&gt;"",CY$5+6&lt;Mitarbeiter!$E$22),0,IF(AND(Mitarbeiter!$F$22&lt;&gt;"",CY$5&gt;Mitarbeiter!$F$22),0,IF(Planung!CY24="",$C24,IF(ISNUMBER(Planung!CY24),Planung!CY24,IF(UPPER(Planung!CY24)="H",$C24/2,0)))))))</f>
        <v>0</v>
      </c>
      <c r="CZ24" s="27">
        <f>IF($A24="",0,IF(Mitarbeiter!$G$22=FALSE,0,IF(AND(Mitarbeiter!$E$22&lt;&gt;"",CZ$5+6&lt;Mitarbeiter!$E$22),0,IF(AND(Mitarbeiter!$F$22&lt;&gt;"",CZ$5&gt;Mitarbeiter!$F$22),0,IF(Planung!CZ24="",$C24,IF(ISNUMBER(Planung!CZ24),Planung!CZ24,IF(UPPER(Planung!CZ24)="H",$C24/2,0)))))))</f>
        <v>0</v>
      </c>
      <c r="DA24" s="27">
        <f>IF($A24="",0,IF(Mitarbeiter!$G$22=FALSE,0,IF(AND(Mitarbeiter!$E$22&lt;&gt;"",DA$5+6&lt;Mitarbeiter!$E$22),0,IF(AND(Mitarbeiter!$F$22&lt;&gt;"",DA$5&gt;Mitarbeiter!$F$22),0,IF(Planung!DA24="",$C24,IF(ISNUMBER(Planung!DA24),Planung!DA24,IF(UPPER(Planung!DA24)="H",$C24/2,0)))))))</f>
        <v>0</v>
      </c>
      <c r="DB24" s="27">
        <f>IF($A24="",0,IF(Mitarbeiter!$G$22=FALSE,0,IF(AND(Mitarbeiter!$E$22&lt;&gt;"",DB$5+6&lt;Mitarbeiter!$E$22),0,IF(AND(Mitarbeiter!$F$22&lt;&gt;"",DB$5&gt;Mitarbeiter!$F$22),0,IF(Planung!DB24="",$C24,IF(ISNUMBER(Planung!DB24),Planung!DB24,IF(UPPER(Planung!DB24)="H",$C24/2,0)))))))</f>
        <v>0</v>
      </c>
      <c r="DC24" s="27">
        <f>IF($A24="",0,IF(Mitarbeiter!$G$22=FALSE,0,IF(AND(Mitarbeiter!$E$22&lt;&gt;"",DC$5+6&lt;Mitarbeiter!$E$22),0,IF(AND(Mitarbeiter!$F$22&lt;&gt;"",DC$5&gt;Mitarbeiter!$F$22),0,IF(Planung!DC24="",$C24,IF(ISNUMBER(Planung!DC24),Planung!DC24,IF(UPPER(Planung!DC24)="H",$C24/2,0)))))))</f>
        <v>0</v>
      </c>
      <c r="DD24" s="27">
        <f>IF($A24="",0,IF(Mitarbeiter!$G$22=FALSE,0,IF(AND(Mitarbeiter!$E$22&lt;&gt;"",DD$5+6&lt;Mitarbeiter!$E$22),0,IF(AND(Mitarbeiter!$F$22&lt;&gt;"",DD$5&gt;Mitarbeiter!$F$22),0,IF(Planung!DD24="",$C24,IF(ISNUMBER(Planung!DD24),Planung!DD24,IF(UPPER(Planung!DD24)="H",$C24/2,0)))))))</f>
        <v>0</v>
      </c>
      <c r="DE24" s="27">
        <f>IF($A24="",0,IF(Mitarbeiter!$G$22=FALSE,0,IF(AND(Mitarbeiter!$E$22&lt;&gt;"",DE$5+6&lt;Mitarbeiter!$E$22),0,IF(AND(Mitarbeiter!$F$22&lt;&gt;"",DE$5&gt;Mitarbeiter!$F$22),0,IF(Planung!DE24="",$C24,IF(ISNUMBER(Planung!DE24),Planung!DE24,IF(UPPER(Planung!DE24)="H",$C24/2,0)))))))</f>
        <v>0</v>
      </c>
      <c r="DF24" s="27">
        <f>IF($A24="",0,IF(Mitarbeiter!$G$22=FALSE,0,IF(AND(Mitarbeiter!$E$22&lt;&gt;"",DF$5+6&lt;Mitarbeiter!$E$22),0,IF(AND(Mitarbeiter!$F$22&lt;&gt;"",DF$5&gt;Mitarbeiter!$F$22),0,IF(Planung!DF24="",$C24,IF(ISNUMBER(Planung!DF24),Planung!DF24,IF(UPPER(Planung!DF24)="H",$C24/2,0)))))))</f>
        <v>0</v>
      </c>
      <c r="DG24" s="27">
        <f>IF($A24="",0,IF(Mitarbeiter!$G$22=FALSE,0,IF(AND(Mitarbeiter!$E$22&lt;&gt;"",DG$5+6&lt;Mitarbeiter!$E$22),0,IF(AND(Mitarbeiter!$F$22&lt;&gt;"",DG$5&gt;Mitarbeiter!$F$22),0,IF(Planung!DG24="",$C24,IF(ISNUMBER(Planung!DG24),Planung!DG24,IF(UPPER(Planung!DG24)="H",$C24/2,0)))))))</f>
        <v>0</v>
      </c>
      <c r="DH24" s="27">
        <f>IF($A24="",0,IF(Mitarbeiter!$G$22=FALSE,0,IF(AND(Mitarbeiter!$E$22&lt;&gt;"",DH$5+6&lt;Mitarbeiter!$E$22),0,IF(AND(Mitarbeiter!$F$22&lt;&gt;"",DH$5&gt;Mitarbeiter!$F$22),0,IF(Planung!DH24="",$C24,IF(ISNUMBER(Planung!DH24),Planung!DH24,IF(UPPER(Planung!DH24)="H",$C24/2,0)))))))</f>
        <v>0</v>
      </c>
      <c r="DI24" s="27">
        <f>IF($A24="",0,IF(Mitarbeiter!$G$22=FALSE,0,IF(AND(Mitarbeiter!$E$22&lt;&gt;"",DI$5+6&lt;Mitarbeiter!$E$22),0,IF(AND(Mitarbeiter!$F$22&lt;&gt;"",DI$5&gt;Mitarbeiter!$F$22),0,IF(Planung!DI24="",$C24,IF(ISNUMBER(Planung!DI24),Planung!DI24,IF(UPPER(Planung!DI24)="H",$C24/2,0)))))))</f>
        <v>0</v>
      </c>
      <c r="DJ24" s="27">
        <f>IF($A24="",0,IF(Mitarbeiter!$G$22=FALSE,0,IF(AND(Mitarbeiter!$E$22&lt;&gt;"",DJ$5+6&lt;Mitarbeiter!$E$22),0,IF(AND(Mitarbeiter!$F$22&lt;&gt;"",DJ$5&gt;Mitarbeiter!$F$22),0,IF(Planung!DJ24="",$C24,IF(ISNUMBER(Planung!DJ24),Planung!DJ24,IF(UPPER(Planung!DJ24)="H",$C24/2,0)))))))</f>
        <v>0</v>
      </c>
      <c r="DK24" s="27">
        <f>IF($A24="",0,IF(Mitarbeiter!$G$22=FALSE,0,IF(AND(Mitarbeiter!$E$22&lt;&gt;"",DK$5+6&lt;Mitarbeiter!$E$22),0,IF(AND(Mitarbeiter!$F$22&lt;&gt;"",DK$5&gt;Mitarbeiter!$F$22),0,IF(Planung!DK24="",$C24,IF(ISNUMBER(Planung!DK24),Planung!DK24,IF(UPPER(Planung!DK24)="H",$C24/2,0)))))))</f>
        <v>0</v>
      </c>
      <c r="DL24" s="27">
        <f>IF($A24="",0,IF(Mitarbeiter!$G$22=FALSE,0,IF(AND(Mitarbeiter!$E$22&lt;&gt;"",DL$5+6&lt;Mitarbeiter!$E$22),0,IF(AND(Mitarbeiter!$F$22&lt;&gt;"",DL$5&gt;Mitarbeiter!$F$22),0,IF(Planung!DL24="",$C24,IF(ISNUMBER(Planung!DL24),Planung!DL24,IF(UPPER(Planung!DL24)="H",$C24/2,0)))))))</f>
        <v>0</v>
      </c>
      <c r="DM24" s="27">
        <f>IF($A24="",0,IF(Mitarbeiter!$G$22=FALSE,0,IF(AND(Mitarbeiter!$E$22&lt;&gt;"",DM$5+6&lt;Mitarbeiter!$E$22),0,IF(AND(Mitarbeiter!$F$22&lt;&gt;"",DM$5&gt;Mitarbeiter!$F$22),0,IF(Planung!DM24="",$C24,IF(ISNUMBER(Planung!DM24),Planung!DM24,IF(UPPER(Planung!DM24)="H",$C24/2,0)))))))</f>
        <v>0</v>
      </c>
      <c r="DN24" s="27">
        <f>IF($A24="",0,IF(Mitarbeiter!$G$22=FALSE,0,IF(AND(Mitarbeiter!$E$22&lt;&gt;"",DN$5+6&lt;Mitarbeiter!$E$22),0,IF(AND(Mitarbeiter!$F$22&lt;&gt;"",DN$5&gt;Mitarbeiter!$F$22),0,IF(Planung!DN24="",$C24,IF(ISNUMBER(Planung!DN24),Planung!DN24,IF(UPPER(Planung!DN24)="H",$C24/2,0)))))))</f>
        <v>0</v>
      </c>
      <c r="DO24" s="27">
        <f>IF($A24="",0,IF(Mitarbeiter!$G$22=FALSE,0,IF(AND(Mitarbeiter!$E$22&lt;&gt;"",DO$5+6&lt;Mitarbeiter!$E$22),0,IF(AND(Mitarbeiter!$F$22&lt;&gt;"",DO$5&gt;Mitarbeiter!$F$22),0,IF(Planung!DO24="",$C24,IF(ISNUMBER(Planung!DO24),Planung!DO24,IF(UPPER(Planung!DO24)="H",$C24/2,0)))))))</f>
        <v>0</v>
      </c>
      <c r="DP24" s="27">
        <f>IF($A24="",0,IF(Mitarbeiter!$G$22=FALSE,0,IF(AND(Mitarbeiter!$E$22&lt;&gt;"",DP$5+6&lt;Mitarbeiter!$E$22),0,IF(AND(Mitarbeiter!$F$22&lt;&gt;"",DP$5&gt;Mitarbeiter!$F$22),0,IF(Planung!DP24="",$C24,IF(ISNUMBER(Planung!DP24),Planung!DP24,IF(UPPER(Planung!DP24)="H",$C24/2,0)))))))</f>
        <v>0</v>
      </c>
      <c r="DQ24" s="27">
        <f>IF($A24="",0,IF(Mitarbeiter!$G$22=FALSE,0,IF(AND(Mitarbeiter!$E$22&lt;&gt;"",DQ$5+6&lt;Mitarbeiter!$E$22),0,IF(AND(Mitarbeiter!$F$22&lt;&gt;"",DQ$5&gt;Mitarbeiter!$F$22),0,IF(Planung!DQ24="",$C24,IF(ISNUMBER(Planung!DQ24),Planung!DQ24,IF(UPPER(Planung!DQ24)="H",$C24/2,0)))))))</f>
        <v>0</v>
      </c>
      <c r="DR24" s="27">
        <f>IF($A24="",0,IF(Mitarbeiter!$G$22=FALSE,0,IF(AND(Mitarbeiter!$E$22&lt;&gt;"",DR$5+6&lt;Mitarbeiter!$E$22),0,IF(AND(Mitarbeiter!$F$22&lt;&gt;"",DR$5&gt;Mitarbeiter!$F$22),0,IF(Planung!DR24="",$C24,IF(ISNUMBER(Planung!DR24),Planung!DR24,IF(UPPER(Planung!DR24)="H",$C24/2,0)))))))</f>
        <v>0</v>
      </c>
      <c r="DS24" s="27">
        <f>IF($A24="",0,IF(Mitarbeiter!$G$22=FALSE,0,IF(AND(Mitarbeiter!$E$22&lt;&gt;"",DS$5+6&lt;Mitarbeiter!$E$22),0,IF(AND(Mitarbeiter!$F$22&lt;&gt;"",DS$5&gt;Mitarbeiter!$F$22),0,IF(Planung!DS24="",$C24,IF(ISNUMBER(Planung!DS24),Planung!DS24,IF(UPPER(Planung!DS24)="H",$C24/2,0)))))))</f>
        <v>0</v>
      </c>
      <c r="DT24" s="27">
        <f>IF($A24="",0,IF(Mitarbeiter!$G$22=FALSE,0,IF(AND(Mitarbeiter!$E$22&lt;&gt;"",DT$5+6&lt;Mitarbeiter!$E$22),0,IF(AND(Mitarbeiter!$F$22&lt;&gt;"",DT$5&gt;Mitarbeiter!$F$22),0,IF(Planung!DT24="",$C24,IF(ISNUMBER(Planung!DT24),Planung!DT24,IF(UPPER(Planung!DT24)="H",$C24/2,0)))))))</f>
        <v>0</v>
      </c>
      <c r="DU24" s="27">
        <f>IF($A24="",0,IF(Mitarbeiter!$G$22=FALSE,0,IF(AND(Mitarbeiter!$E$22&lt;&gt;"",DU$5+6&lt;Mitarbeiter!$E$22),0,IF(AND(Mitarbeiter!$F$22&lt;&gt;"",DU$5&gt;Mitarbeiter!$F$22),0,IF(Planung!DU24="",$C24,IF(ISNUMBER(Planung!DU24),Planung!DU24,IF(UPPER(Planung!DU24)="H",$C24/2,0)))))))</f>
        <v>0</v>
      </c>
      <c r="DV24" s="27">
        <f>IF($A24="",0,IF(Mitarbeiter!$G$22=FALSE,0,IF(AND(Mitarbeiter!$E$22&lt;&gt;"",DV$5+6&lt;Mitarbeiter!$E$22),0,IF(AND(Mitarbeiter!$F$22&lt;&gt;"",DV$5&gt;Mitarbeiter!$F$22),0,IF(Planung!DV24="",$C24,IF(ISNUMBER(Planung!DV24),Planung!DV24,IF(UPPER(Planung!DV24)="H",$C24/2,0)))))))</f>
        <v>0</v>
      </c>
      <c r="DW24" s="27">
        <f>IF($A24="",0,IF(Mitarbeiter!$G$22=FALSE,0,IF(AND(Mitarbeiter!$E$22&lt;&gt;"",DW$5+6&lt;Mitarbeiter!$E$22),0,IF(AND(Mitarbeiter!$F$22&lt;&gt;"",DW$5&gt;Mitarbeiter!$F$22),0,IF(Planung!DW24="",$C24,IF(ISNUMBER(Planung!DW24),Planung!DW24,IF(UPPER(Planung!DW24)="H",$C24/2,0)))))))</f>
        <v>0</v>
      </c>
      <c r="DX24" s="27">
        <f>IF($A24="",0,IF(Mitarbeiter!$G$22=FALSE,0,IF(AND(Mitarbeiter!$E$22&lt;&gt;"",DX$5+6&lt;Mitarbeiter!$E$22),0,IF(AND(Mitarbeiter!$F$22&lt;&gt;"",DX$5&gt;Mitarbeiter!$F$22),0,IF(Planung!DX24="",$C24,IF(ISNUMBER(Planung!DX24),Planung!DX24,IF(UPPER(Planung!DX24)="H",$C24/2,0)))))))</f>
        <v>0</v>
      </c>
      <c r="DY24" s="27">
        <f>IF($A24="",0,IF(Mitarbeiter!$G$22=FALSE,0,IF(AND(Mitarbeiter!$E$22&lt;&gt;"",DY$5+6&lt;Mitarbeiter!$E$22),0,IF(AND(Mitarbeiter!$F$22&lt;&gt;"",DY$5&gt;Mitarbeiter!$F$22),0,IF(Planung!DY24="",$C24,IF(ISNUMBER(Planung!DY24),Planung!DY24,IF(UPPER(Planung!DY24)="H",$C24/2,0)))))))</f>
        <v>0</v>
      </c>
      <c r="DZ24" s="27">
        <f>IF($A24="",0,IF(Mitarbeiter!$G$22=FALSE,0,IF(AND(Mitarbeiter!$E$22&lt;&gt;"",DZ$5+6&lt;Mitarbeiter!$E$22),0,IF(AND(Mitarbeiter!$F$22&lt;&gt;"",DZ$5&gt;Mitarbeiter!$F$22),0,IF(Planung!DZ24="",$C24,IF(ISNUMBER(Planung!DZ24),Planung!DZ24,IF(UPPER(Planung!DZ24)="H",$C24/2,0)))))))</f>
        <v>0</v>
      </c>
      <c r="EA24" s="27">
        <f>IF($A24="",0,IF(Mitarbeiter!$G$22=FALSE,0,IF(AND(Mitarbeiter!$E$22&lt;&gt;"",EA$5+6&lt;Mitarbeiter!$E$22),0,IF(AND(Mitarbeiter!$F$22&lt;&gt;"",EA$5&gt;Mitarbeiter!$F$22),0,IF(Planung!EA24="",$C24,IF(ISNUMBER(Planung!EA24),Planung!EA24,IF(UPPER(Planung!EA24)="H",$C24/2,0)))))))</f>
        <v>0</v>
      </c>
      <c r="EB24" s="27">
        <f>IF($A24="",0,IF(Mitarbeiter!$G$22=FALSE,0,IF(AND(Mitarbeiter!$E$22&lt;&gt;"",EB$5+6&lt;Mitarbeiter!$E$22),0,IF(AND(Mitarbeiter!$F$22&lt;&gt;"",EB$5&gt;Mitarbeiter!$F$22),0,IF(Planung!EB24="",$C24,IF(ISNUMBER(Planung!EB24),Planung!EB24,IF(UPPER(Planung!EB24)="H",$C24/2,0)))))))</f>
        <v>0</v>
      </c>
      <c r="EC24" s="27">
        <f>IF($A24="",0,IF(Mitarbeiter!$G$22=FALSE,0,IF(AND(Mitarbeiter!$E$22&lt;&gt;"",EC$5+6&lt;Mitarbeiter!$E$22),0,IF(AND(Mitarbeiter!$F$22&lt;&gt;"",EC$5&gt;Mitarbeiter!$F$22),0,IF(Planung!EC24="",$C24,IF(ISNUMBER(Planung!EC24),Planung!EC24,IF(UPPER(Planung!EC24)="H",$C24/2,0)))))))</f>
        <v>0</v>
      </c>
      <c r="ED24" s="27">
        <f>IF($A24="",0,IF(Mitarbeiter!$G$22=FALSE,0,IF(AND(Mitarbeiter!$E$22&lt;&gt;"",ED$5+6&lt;Mitarbeiter!$E$22),0,IF(AND(Mitarbeiter!$F$22&lt;&gt;"",ED$5&gt;Mitarbeiter!$F$22),0,IF(Planung!ED24="",$C24,IF(ISNUMBER(Planung!ED24),Planung!ED24,IF(UPPER(Planung!ED24)="H",$C24/2,0)))))))</f>
        <v>0</v>
      </c>
      <c r="EE24" s="27">
        <f>IF($A24="",0,IF(Mitarbeiter!$G$22=FALSE,0,IF(AND(Mitarbeiter!$E$22&lt;&gt;"",EE$5+6&lt;Mitarbeiter!$E$22),0,IF(AND(Mitarbeiter!$F$22&lt;&gt;"",EE$5&gt;Mitarbeiter!$F$22),0,IF(Planung!EE24="",$C24,IF(ISNUMBER(Planung!EE24),Planung!EE24,IF(UPPER(Planung!EE24)="H",$C24/2,0)))))))</f>
        <v>0</v>
      </c>
      <c r="EF24" s="27">
        <f>IF($A24="",0,IF(Mitarbeiter!$G$22=FALSE,0,IF(AND(Mitarbeiter!$E$22&lt;&gt;"",EF$5+6&lt;Mitarbeiter!$E$22),0,IF(AND(Mitarbeiter!$F$22&lt;&gt;"",EF$5&gt;Mitarbeiter!$F$22),0,IF(Planung!EF24="",$C24,IF(ISNUMBER(Planung!EF24),Planung!EF24,IF(UPPER(Planung!EF24)="H",$C24/2,0)))))))</f>
        <v>0</v>
      </c>
      <c r="EG24" s="27">
        <f>IF($A24="",0,IF(Mitarbeiter!$G$22=FALSE,0,IF(AND(Mitarbeiter!$E$22&lt;&gt;"",EG$5+6&lt;Mitarbeiter!$E$22),0,IF(AND(Mitarbeiter!$F$22&lt;&gt;"",EG$5&gt;Mitarbeiter!$F$22),0,IF(Planung!EG24="",$C24,IF(ISNUMBER(Planung!EG24),Planung!EG24,IF(UPPER(Planung!EG24)="H",$C24/2,0)))))))</f>
        <v>0</v>
      </c>
      <c r="EH24" s="27">
        <f>IF($A24="",0,IF(Mitarbeiter!$G$22=FALSE,0,IF(AND(Mitarbeiter!$E$22&lt;&gt;"",EH$5+6&lt;Mitarbeiter!$E$22),0,IF(AND(Mitarbeiter!$F$22&lt;&gt;"",EH$5&gt;Mitarbeiter!$F$22),0,IF(Planung!EH24="",$C24,IF(ISNUMBER(Planung!EH24),Planung!EH24,IF(UPPER(Planung!EH24)="H",$C24/2,0)))))))</f>
        <v>0</v>
      </c>
      <c r="EI24" s="27">
        <f>IF($A24="",0,IF(Mitarbeiter!$G$22=FALSE,0,IF(AND(Mitarbeiter!$E$22&lt;&gt;"",EI$5+6&lt;Mitarbeiter!$E$22),0,IF(AND(Mitarbeiter!$F$22&lt;&gt;"",EI$5&gt;Mitarbeiter!$F$22),0,IF(Planung!EI24="",$C24,IF(ISNUMBER(Planung!EI24),Planung!EI24,IF(UPPER(Planung!EI24)="H",$C24/2,0)))))))</f>
        <v>0</v>
      </c>
      <c r="EJ24" s="27">
        <f>IF($A24="",0,IF(Mitarbeiter!$G$22=FALSE,0,IF(AND(Mitarbeiter!$E$22&lt;&gt;"",EJ$5+6&lt;Mitarbeiter!$E$22),0,IF(AND(Mitarbeiter!$F$22&lt;&gt;"",EJ$5&gt;Mitarbeiter!$F$22),0,IF(Planung!EJ24="",$C24,IF(ISNUMBER(Planung!EJ24),Planung!EJ24,IF(UPPER(Planung!EJ24)="H",$C24/2,0)))))))</f>
        <v>0</v>
      </c>
      <c r="EK24" s="27">
        <f>IF($A24="",0,IF(Mitarbeiter!$G$22=FALSE,0,IF(AND(Mitarbeiter!$E$22&lt;&gt;"",EK$5+6&lt;Mitarbeiter!$E$22),0,IF(AND(Mitarbeiter!$F$22&lt;&gt;"",EK$5&gt;Mitarbeiter!$F$22),0,IF(Planung!EK24="",$C24,IF(ISNUMBER(Planung!EK24),Planung!EK24,IF(UPPER(Planung!EK24)="H",$C24/2,0)))))))</f>
        <v>0</v>
      </c>
      <c r="EL24" s="27">
        <f>IF($A24="",0,IF(Mitarbeiter!$G$22=FALSE,0,IF(AND(Mitarbeiter!$E$22&lt;&gt;"",EL$5+6&lt;Mitarbeiter!$E$22),0,IF(AND(Mitarbeiter!$F$22&lt;&gt;"",EL$5&gt;Mitarbeiter!$F$22),0,IF(Planung!EL24="",$C24,IF(ISNUMBER(Planung!EL24),Planung!EL24,IF(UPPER(Planung!EL24)="H",$C24/2,0)))))))</f>
        <v>0</v>
      </c>
      <c r="EM24" s="27">
        <f>IF($A24="",0,IF(Mitarbeiter!$G$22=FALSE,0,IF(AND(Mitarbeiter!$E$22&lt;&gt;"",EM$5+6&lt;Mitarbeiter!$E$22),0,IF(AND(Mitarbeiter!$F$22&lt;&gt;"",EM$5&gt;Mitarbeiter!$F$22),0,IF(Planung!EM24="",$C24,IF(ISNUMBER(Planung!EM24),Planung!EM24,IF(UPPER(Planung!EM24)="H",$C24/2,0)))))))</f>
        <v>0</v>
      </c>
      <c r="EN24" s="27">
        <f>IF($A24="",0,IF(Mitarbeiter!$G$22=FALSE,0,IF(AND(Mitarbeiter!$E$22&lt;&gt;"",EN$5+6&lt;Mitarbeiter!$E$22),0,IF(AND(Mitarbeiter!$F$22&lt;&gt;"",EN$5&gt;Mitarbeiter!$F$22),0,IF(Planung!EN24="",$C24,IF(ISNUMBER(Planung!EN24),Planung!EN24,IF(UPPER(Planung!EN24)="H",$C24/2,0)))))))</f>
        <v>0</v>
      </c>
      <c r="EO24" s="27">
        <f>IF($A24="",0,IF(Mitarbeiter!$G$22=FALSE,0,IF(AND(Mitarbeiter!$E$22&lt;&gt;"",EO$5+6&lt;Mitarbeiter!$E$22),0,IF(AND(Mitarbeiter!$F$22&lt;&gt;"",EO$5&gt;Mitarbeiter!$F$22),0,IF(Planung!EO24="",$C24,IF(ISNUMBER(Planung!EO24),Planung!EO24,IF(UPPER(Planung!EO24)="H",$C24/2,0)))))))</f>
        <v>0</v>
      </c>
      <c r="EP24" s="27">
        <f>IF($A24="",0,IF(Mitarbeiter!$G$22=FALSE,0,IF(AND(Mitarbeiter!$E$22&lt;&gt;"",EP$5+6&lt;Mitarbeiter!$E$22),0,IF(AND(Mitarbeiter!$F$22&lt;&gt;"",EP$5&gt;Mitarbeiter!$F$22),0,IF(Planung!EP24="",$C24,IF(ISNUMBER(Planung!EP24),Planung!EP24,IF(UPPER(Planung!EP24)="H",$C24/2,0)))))))</f>
        <v>0</v>
      </c>
      <c r="EQ24" s="27">
        <f>IF($A24="",0,IF(Mitarbeiter!$G$22=FALSE,0,IF(AND(Mitarbeiter!$E$22&lt;&gt;"",EQ$5+6&lt;Mitarbeiter!$E$22),0,IF(AND(Mitarbeiter!$F$22&lt;&gt;"",EQ$5&gt;Mitarbeiter!$F$22),0,IF(Planung!EQ24="",$C24,IF(ISNUMBER(Planung!EQ24),Planung!EQ24,IF(UPPER(Planung!EQ24)="H",$C24/2,0)))))))</f>
        <v>0</v>
      </c>
      <c r="ER24" s="27">
        <f>IF($A24="",0,IF(Mitarbeiter!$G$22=FALSE,0,IF(AND(Mitarbeiter!$E$22&lt;&gt;"",ER$5+6&lt;Mitarbeiter!$E$22),0,IF(AND(Mitarbeiter!$F$22&lt;&gt;"",ER$5&gt;Mitarbeiter!$F$22),0,IF(Planung!ER24="",$C24,IF(ISNUMBER(Planung!ER24),Planung!ER24,IF(UPPER(Planung!ER24)="H",$C24/2,0)))))))</f>
        <v>0</v>
      </c>
      <c r="ES24" s="27">
        <f>IF($A24="",0,IF(Mitarbeiter!$G$22=FALSE,0,IF(AND(Mitarbeiter!$E$22&lt;&gt;"",ES$5+6&lt;Mitarbeiter!$E$22),0,IF(AND(Mitarbeiter!$F$22&lt;&gt;"",ES$5&gt;Mitarbeiter!$F$22),0,IF(Planung!ES24="",$C24,IF(ISNUMBER(Planung!ES24),Planung!ES24,IF(UPPER(Planung!ES24)="H",$C24/2,0)))))))</f>
        <v>0</v>
      </c>
      <c r="ET24" s="27">
        <f>IF($A24="",0,IF(Mitarbeiter!$G$22=FALSE,0,IF(AND(Mitarbeiter!$E$22&lt;&gt;"",ET$5+6&lt;Mitarbeiter!$E$22),0,IF(AND(Mitarbeiter!$F$22&lt;&gt;"",ET$5&gt;Mitarbeiter!$F$22),0,IF(Planung!ET24="",$C24,IF(ISNUMBER(Planung!ET24),Planung!ET24,IF(UPPER(Planung!ET24)="H",$C24/2,0)))))))</f>
        <v>0</v>
      </c>
      <c r="EU24" s="27">
        <f>IF($A24="",0,IF(Mitarbeiter!$G$22=FALSE,0,IF(AND(Mitarbeiter!$E$22&lt;&gt;"",EU$5+6&lt;Mitarbeiter!$E$22),0,IF(AND(Mitarbeiter!$F$22&lt;&gt;"",EU$5&gt;Mitarbeiter!$F$22),0,IF(Planung!EU24="",$C24,IF(ISNUMBER(Planung!EU24),Planung!EU24,IF(UPPER(Planung!EU24)="H",$C24/2,0)))))))</f>
        <v>0</v>
      </c>
      <c r="EV24" s="27">
        <f>IF($A24="",0,IF(Mitarbeiter!$G$22=FALSE,0,IF(AND(Mitarbeiter!$E$22&lt;&gt;"",EV$5+6&lt;Mitarbeiter!$E$22),0,IF(AND(Mitarbeiter!$F$22&lt;&gt;"",EV$5&gt;Mitarbeiter!$F$22),0,IF(Planung!EV24="",$C24,IF(ISNUMBER(Planung!EV24),Planung!EV24,IF(UPPER(Planung!EV24)="H",$C24/2,0)))))))</f>
        <v>0</v>
      </c>
      <c r="EW24" s="27">
        <f>IF($A24="",0,IF(Mitarbeiter!$G$22=FALSE,0,IF(AND(Mitarbeiter!$E$22&lt;&gt;"",EW$5+6&lt;Mitarbeiter!$E$22),0,IF(AND(Mitarbeiter!$F$22&lt;&gt;"",EW$5&gt;Mitarbeiter!$F$22),0,IF(Planung!EW24="",$C24,IF(ISNUMBER(Planung!EW24),Planung!EW24,IF(UPPER(Planung!EW24)="H",$C24/2,0)))))))</f>
        <v>0</v>
      </c>
      <c r="EX24" s="27">
        <f>IF($A24="",0,IF(Mitarbeiter!$G$22=FALSE,0,IF(AND(Mitarbeiter!$E$22&lt;&gt;"",EX$5+6&lt;Mitarbeiter!$E$22),0,IF(AND(Mitarbeiter!$F$22&lt;&gt;"",EX$5&gt;Mitarbeiter!$F$22),0,IF(Planung!EX24="",$C24,IF(ISNUMBER(Planung!EX24),Planung!EX24,IF(UPPER(Planung!EX24)="H",$C24/2,0)))))))</f>
        <v>0</v>
      </c>
      <c r="EY24" s="27">
        <f>IF($A24="",0,IF(Mitarbeiter!$G$22=FALSE,0,IF(AND(Mitarbeiter!$E$22&lt;&gt;"",EY$5+6&lt;Mitarbeiter!$E$22),0,IF(AND(Mitarbeiter!$F$22&lt;&gt;"",EY$5&gt;Mitarbeiter!$F$22),0,IF(Planung!EY24="",$C24,IF(ISNUMBER(Planung!EY24),Planung!EY24,IF(UPPER(Planung!EY24)="H",$C24/2,0)))))))</f>
        <v>0</v>
      </c>
      <c r="EZ24" s="27">
        <f>IF($A24="",0,IF(Mitarbeiter!$G$22=FALSE,0,IF(AND(Mitarbeiter!$E$22&lt;&gt;"",EZ$5+6&lt;Mitarbeiter!$E$22),0,IF(AND(Mitarbeiter!$F$22&lt;&gt;"",EZ$5&gt;Mitarbeiter!$F$22),0,IF(Planung!EZ24="",$C24,IF(ISNUMBER(Planung!EZ24),Planung!EZ24,IF(UPPER(Planung!EZ24)="H",$C24/2,0)))))))</f>
        <v>0</v>
      </c>
      <c r="FA24" s="27">
        <f>IF($A24="",0,IF(Mitarbeiter!$G$22=FALSE,0,IF(AND(Mitarbeiter!$E$22&lt;&gt;"",FA$5+6&lt;Mitarbeiter!$E$22),0,IF(AND(Mitarbeiter!$F$22&lt;&gt;"",FA$5&gt;Mitarbeiter!$F$22),0,IF(Planung!FA24="",$C24,IF(ISNUMBER(Planung!FA24),Planung!FA24,IF(UPPER(Planung!FA24)="H",$C24/2,0)))))))</f>
        <v>0</v>
      </c>
      <c r="FB24" s="27">
        <f>IF($A24="",0,IF(Mitarbeiter!$G$22=FALSE,0,IF(AND(Mitarbeiter!$E$22&lt;&gt;"",FB$5+6&lt;Mitarbeiter!$E$22),0,IF(AND(Mitarbeiter!$F$22&lt;&gt;"",FB$5&gt;Mitarbeiter!$F$22),0,IF(Planung!FB24="",$C24,IF(ISNUMBER(Planung!FB24),Planung!FB24,IF(UPPER(Planung!FB24)="H",$C24/2,0)))))))</f>
        <v>0</v>
      </c>
      <c r="FC24" s="27">
        <f>IF($A24="",0,IF(Mitarbeiter!$G$22=FALSE,0,IF(AND(Mitarbeiter!$E$22&lt;&gt;"",FC$5+6&lt;Mitarbeiter!$E$22),0,IF(AND(Mitarbeiter!$F$22&lt;&gt;"",FC$5&gt;Mitarbeiter!$F$22),0,IF(Planung!FC24="",$C24,IF(ISNUMBER(Planung!FC24),Planung!FC24,IF(UPPER(Planung!FC24)="H",$C24/2,0)))))))</f>
        <v>0</v>
      </c>
      <c r="FD24" s="27">
        <f>IF($A24="",0,IF(Mitarbeiter!$G$22=FALSE,0,IF(AND(Mitarbeiter!$E$22&lt;&gt;"",FD$5+6&lt;Mitarbeiter!$E$22),0,IF(AND(Mitarbeiter!$F$22&lt;&gt;"",FD$5&gt;Mitarbeiter!$F$22),0,IF(Planung!FD24="",$C24,IF(ISNUMBER(Planung!FD24),Planung!FD24,IF(UPPER(Planung!FD24)="H",$C24/2,0)))))))</f>
        <v>0</v>
      </c>
      <c r="FE24" s="27">
        <f>IF($A24="",0,IF(Mitarbeiter!$G$22=FALSE,0,IF(AND(Mitarbeiter!$E$22&lt;&gt;"",FE$5+6&lt;Mitarbeiter!$E$22),0,IF(AND(Mitarbeiter!$F$22&lt;&gt;"",FE$5&gt;Mitarbeiter!$F$22),0,IF(Planung!FE24="",$C24,IF(ISNUMBER(Planung!FE24),Planung!FE24,IF(UPPER(Planung!FE24)="H",$C24/2,0)))))))</f>
        <v>0</v>
      </c>
      <c r="FF24" s="27">
        <f>IF($A24="",0,IF(Mitarbeiter!$G$22=FALSE,0,IF(AND(Mitarbeiter!$E$22&lt;&gt;"",FF$5+6&lt;Mitarbeiter!$E$22),0,IF(AND(Mitarbeiter!$F$22&lt;&gt;"",FF$5&gt;Mitarbeiter!$F$22),0,IF(Planung!FF24="",$C24,IF(ISNUMBER(Planung!FF24),Planung!FF24,IF(UPPER(Planung!FF24)="H",$C24/2,0)))))))</f>
        <v>0</v>
      </c>
      <c r="FG24" s="27">
        <f>IF($A24="",0,IF(Mitarbeiter!$G$22=FALSE,0,IF(AND(Mitarbeiter!$E$22&lt;&gt;"",FG$5+6&lt;Mitarbeiter!$E$22),0,IF(AND(Mitarbeiter!$F$22&lt;&gt;"",FG$5&gt;Mitarbeiter!$F$22),0,IF(Planung!FG24="",$C24,IF(ISNUMBER(Planung!FG24),Planung!FG24,IF(UPPER(Planung!FG24)="H",$C24/2,0)))))))</f>
        <v>0</v>
      </c>
      <c r="FH24" s="27">
        <f>IF($A24="",0,IF(Mitarbeiter!$G$22=FALSE,0,IF(AND(Mitarbeiter!$E$22&lt;&gt;"",FH$5+6&lt;Mitarbeiter!$E$22),0,IF(AND(Mitarbeiter!$F$22&lt;&gt;"",FH$5&gt;Mitarbeiter!$F$22),0,IF(Planung!FH24="",$C24,IF(ISNUMBER(Planung!FH24),Planung!FH24,IF(UPPER(Planung!FH24)="H",$C24/2,0)))))))</f>
        <v>0</v>
      </c>
      <c r="FI24" s="27">
        <f>IF($A24="",0,IF(Mitarbeiter!$G$22=FALSE,0,IF(AND(Mitarbeiter!$E$22&lt;&gt;"",FI$5+6&lt;Mitarbeiter!$E$22),0,IF(AND(Mitarbeiter!$F$22&lt;&gt;"",FI$5&gt;Mitarbeiter!$F$22),0,IF(Planung!FI24="",$C24,IF(ISNUMBER(Planung!FI24),Planung!FI24,IF(UPPER(Planung!FI24)="H",$C24/2,0)))))))</f>
        <v>0</v>
      </c>
      <c r="FJ24" s="27">
        <f>IF($A24="",0,IF(Mitarbeiter!$G$22=FALSE,0,IF(AND(Mitarbeiter!$E$22&lt;&gt;"",FJ$5+6&lt;Mitarbeiter!$E$22),0,IF(AND(Mitarbeiter!$F$22&lt;&gt;"",FJ$5&gt;Mitarbeiter!$F$22),0,IF(Planung!FJ24="",$C24,IF(ISNUMBER(Planung!FJ24),Planung!FJ24,IF(UPPER(Planung!FJ24)="H",$C24/2,0)))))))</f>
        <v>0</v>
      </c>
      <c r="FK24" s="27">
        <f>IF($A24="",0,IF(Mitarbeiter!$G$22=FALSE,0,IF(AND(Mitarbeiter!$E$22&lt;&gt;"",FK$5+6&lt;Mitarbeiter!$E$22),0,IF(AND(Mitarbeiter!$F$22&lt;&gt;"",FK$5&gt;Mitarbeiter!$F$22),0,IF(Planung!FK24="",$C24,IF(ISNUMBER(Planung!FK24),Planung!FK24,IF(UPPER(Planung!FK24)="H",$C24/2,0)))))))</f>
        <v>0</v>
      </c>
      <c r="FL24" s="27">
        <f>IF($A24="",0,IF(Mitarbeiter!$G$22=FALSE,0,IF(AND(Mitarbeiter!$E$22&lt;&gt;"",FL$5+6&lt;Mitarbeiter!$E$22),0,IF(AND(Mitarbeiter!$F$22&lt;&gt;"",FL$5&gt;Mitarbeiter!$F$22),0,IF(Planung!FL24="",$C24,IF(ISNUMBER(Planung!FL24),Planung!FL24,IF(UPPER(Planung!FL24)="H",$C24/2,0)))))))</f>
        <v>0</v>
      </c>
      <c r="FM24" s="27">
        <f>IF($A24="",0,IF(Mitarbeiter!$G$22=FALSE,0,IF(AND(Mitarbeiter!$E$22&lt;&gt;"",FM$5+6&lt;Mitarbeiter!$E$22),0,IF(AND(Mitarbeiter!$F$22&lt;&gt;"",FM$5&gt;Mitarbeiter!$F$22),0,IF(Planung!FM24="",$C24,IF(ISNUMBER(Planung!FM24),Planung!FM24,IF(UPPER(Planung!FM24)="H",$C24/2,0)))))))</f>
        <v>0</v>
      </c>
      <c r="FN24" s="27">
        <f>IF($A24="",0,IF(Mitarbeiter!$G$22=FALSE,0,IF(AND(Mitarbeiter!$E$22&lt;&gt;"",FN$5+6&lt;Mitarbeiter!$E$22),0,IF(AND(Mitarbeiter!$F$22&lt;&gt;"",FN$5&gt;Mitarbeiter!$F$22),0,IF(Planung!FN24="",$C24,IF(ISNUMBER(Planung!FN24),Planung!FN24,IF(UPPER(Planung!FN24)="H",$C24/2,0)))))))</f>
        <v>0</v>
      </c>
      <c r="FO24" s="27">
        <f>IF($A24="",0,IF(Mitarbeiter!$G$22=FALSE,0,IF(AND(Mitarbeiter!$E$22&lt;&gt;"",FO$5+6&lt;Mitarbeiter!$E$22),0,IF(AND(Mitarbeiter!$F$22&lt;&gt;"",FO$5&gt;Mitarbeiter!$F$22),0,IF(Planung!FO24="",$C24,IF(ISNUMBER(Planung!FO24),Planung!FO24,IF(UPPER(Planung!FO24)="H",$C24/2,0)))))))</f>
        <v>0</v>
      </c>
      <c r="FP24" s="27">
        <f>IF($A24="",0,IF(Mitarbeiter!$G$22=FALSE,0,IF(AND(Mitarbeiter!$E$22&lt;&gt;"",FP$5+6&lt;Mitarbeiter!$E$22),0,IF(AND(Mitarbeiter!$F$22&lt;&gt;"",FP$5&gt;Mitarbeiter!$F$22),0,IF(Planung!FP24="",$C24,IF(ISNUMBER(Planung!FP24),Planung!FP24,IF(UPPER(Planung!FP24)="H",$C24/2,0)))))))</f>
        <v>0</v>
      </c>
      <c r="FQ24" s="27">
        <f>IF($A24="",0,IF(Mitarbeiter!$G$22=FALSE,0,IF(AND(Mitarbeiter!$E$22&lt;&gt;"",FQ$5+6&lt;Mitarbeiter!$E$22),0,IF(AND(Mitarbeiter!$F$22&lt;&gt;"",FQ$5&gt;Mitarbeiter!$F$22),0,IF(Planung!FQ24="",$C24,IF(ISNUMBER(Planung!FQ24),Planung!FQ24,IF(UPPER(Planung!FQ24)="H",$C24/2,0)))))))</f>
        <v>0</v>
      </c>
      <c r="FR24" s="27">
        <f>IF($A24="",0,IF(Mitarbeiter!$G$22=FALSE,0,IF(AND(Mitarbeiter!$E$22&lt;&gt;"",FR$5+6&lt;Mitarbeiter!$E$22),0,IF(AND(Mitarbeiter!$F$22&lt;&gt;"",FR$5&gt;Mitarbeiter!$F$22),0,IF(Planung!FR24="",$C24,IF(ISNUMBER(Planung!FR24),Planung!FR24,IF(UPPER(Planung!FR24)="H",$C24/2,0)))))))</f>
        <v>0</v>
      </c>
      <c r="FS24" s="27">
        <f>IF($A24="",0,IF(Mitarbeiter!$G$22=FALSE,0,IF(AND(Mitarbeiter!$E$22&lt;&gt;"",FS$5+6&lt;Mitarbeiter!$E$22),0,IF(AND(Mitarbeiter!$F$22&lt;&gt;"",FS$5&gt;Mitarbeiter!$F$22),0,IF(Planung!FS24="",$C24,IF(ISNUMBER(Planung!FS24),Planung!FS24,IF(UPPER(Planung!FS24)="H",$C24/2,0)))))))</f>
        <v>0</v>
      </c>
      <c r="FT24" s="27">
        <f>IF($A24="",0,IF(Mitarbeiter!$G$22=FALSE,0,IF(AND(Mitarbeiter!$E$22&lt;&gt;"",FT$5+6&lt;Mitarbeiter!$E$22),0,IF(AND(Mitarbeiter!$F$22&lt;&gt;"",FT$5&gt;Mitarbeiter!$F$22),0,IF(Planung!FT24="",$C24,IF(ISNUMBER(Planung!FT24),Planung!FT24,IF(UPPER(Planung!FT24)="H",$C24/2,0)))))))</f>
        <v>0</v>
      </c>
      <c r="FU24" s="27">
        <f>IF($A24="",0,IF(Mitarbeiter!$G$22=FALSE,0,IF(AND(Mitarbeiter!$E$22&lt;&gt;"",FU$5+6&lt;Mitarbeiter!$E$22),0,IF(AND(Mitarbeiter!$F$22&lt;&gt;"",FU$5&gt;Mitarbeiter!$F$22),0,IF(Planung!FU24="",$C24,IF(ISNUMBER(Planung!FU24),Planung!FU24,IF(UPPER(Planung!FU24)="H",$C24/2,0)))))))</f>
        <v>0</v>
      </c>
      <c r="FV24" s="27">
        <f>IF($A24="",0,IF(Mitarbeiter!$G$22=FALSE,0,IF(AND(Mitarbeiter!$E$22&lt;&gt;"",FV$5+6&lt;Mitarbeiter!$E$22),0,IF(AND(Mitarbeiter!$F$22&lt;&gt;"",FV$5&gt;Mitarbeiter!$F$22),0,IF(Planung!FV24="",$C24,IF(ISNUMBER(Planung!FV24),Planung!FV24,IF(UPPER(Planung!FV24)="H",$C24/2,0)))))))</f>
        <v>0</v>
      </c>
      <c r="FW24" s="27">
        <f>IF($A24="",0,IF(Mitarbeiter!$G$22=FALSE,0,IF(AND(Mitarbeiter!$E$22&lt;&gt;"",FW$5+6&lt;Mitarbeiter!$E$22),0,IF(AND(Mitarbeiter!$F$22&lt;&gt;"",FW$5&gt;Mitarbeiter!$F$22),0,IF(Planung!FW24="",$C24,IF(ISNUMBER(Planung!FW24),Planung!FW24,IF(UPPER(Planung!FW24)="H",$C24/2,0)))))))</f>
        <v>0</v>
      </c>
      <c r="FX24" s="27">
        <f>IF($A24="",0,IF(Mitarbeiter!$G$22=FALSE,0,IF(AND(Mitarbeiter!$E$22&lt;&gt;"",FX$5+6&lt;Mitarbeiter!$E$22),0,IF(AND(Mitarbeiter!$F$22&lt;&gt;"",FX$5&gt;Mitarbeiter!$F$22),0,IF(Planung!FX24="",$C24,IF(ISNUMBER(Planung!FX24),Planung!FX24,IF(UPPER(Planung!FX24)="H",$C24/2,0)))))))</f>
        <v>0</v>
      </c>
      <c r="FY24" s="27">
        <f>IF($A24="",0,IF(Mitarbeiter!$G$22=FALSE,0,IF(AND(Mitarbeiter!$E$22&lt;&gt;"",FY$5+6&lt;Mitarbeiter!$E$22),0,IF(AND(Mitarbeiter!$F$22&lt;&gt;"",FY$5&gt;Mitarbeiter!$F$22),0,IF(Planung!FY24="",$C24,IF(ISNUMBER(Planung!FY24),Planung!FY24,IF(UPPER(Planung!FY24)="H",$C24/2,0)))))))</f>
        <v>0</v>
      </c>
      <c r="FZ24" s="27">
        <f>IF($A24="",0,IF(Mitarbeiter!$G$22=FALSE,0,IF(AND(Mitarbeiter!$E$22&lt;&gt;"",FZ$5+6&lt;Mitarbeiter!$E$22),0,IF(AND(Mitarbeiter!$F$22&lt;&gt;"",FZ$5&gt;Mitarbeiter!$F$22),0,IF(Planung!FZ24="",$C24,IF(ISNUMBER(Planung!FZ24),Planung!FZ24,IF(UPPER(Planung!FZ24)="H",$C24/2,0)))))))</f>
        <v>0</v>
      </c>
      <c r="GA24" s="27">
        <f>IF($A24="",0,IF(Mitarbeiter!$G$22=FALSE,0,IF(AND(Mitarbeiter!$E$22&lt;&gt;"",GA$5+6&lt;Mitarbeiter!$E$22),0,IF(AND(Mitarbeiter!$F$22&lt;&gt;"",GA$5&gt;Mitarbeiter!$F$22),0,IF(Planung!GA24="",$C24,IF(ISNUMBER(Planung!GA24),Planung!GA24,IF(UPPER(Planung!GA24)="H",$C24/2,0)))))))</f>
        <v>0</v>
      </c>
      <c r="GB24" s="27">
        <f>IF($A24="",0,IF(Mitarbeiter!$G$22=FALSE,0,IF(AND(Mitarbeiter!$E$22&lt;&gt;"",GB$5+6&lt;Mitarbeiter!$E$22),0,IF(AND(Mitarbeiter!$F$22&lt;&gt;"",GB$5&gt;Mitarbeiter!$F$22),0,IF(Planung!GB24="",$C24,IF(ISNUMBER(Planung!GB24),Planung!GB24,IF(UPPER(Planung!GB24)="H",$C24/2,0)))))))</f>
        <v>0</v>
      </c>
      <c r="GC24" s="27">
        <f>IF($A24="",0,IF(Mitarbeiter!$G$22=FALSE,0,IF(AND(Mitarbeiter!$E$22&lt;&gt;"",GC$5+6&lt;Mitarbeiter!$E$22),0,IF(AND(Mitarbeiter!$F$22&lt;&gt;"",GC$5&gt;Mitarbeiter!$F$22),0,IF(Planung!GC24="",$C24,IF(ISNUMBER(Planung!GC24),Planung!GC24,IF(UPPER(Planung!GC24)="H",$C24/2,0)))))))</f>
        <v>0</v>
      </c>
      <c r="GD24" s="27">
        <f>IF($A24="",0,IF(Mitarbeiter!$G$22=FALSE,0,IF(AND(Mitarbeiter!$E$22&lt;&gt;"",GD$5+6&lt;Mitarbeiter!$E$22),0,IF(AND(Mitarbeiter!$F$22&lt;&gt;"",GD$5&gt;Mitarbeiter!$F$22),0,IF(Planung!GD24="",$C24,IF(ISNUMBER(Planung!GD24),Planung!GD24,IF(UPPER(Planung!GD24)="H",$C24/2,0)))))))</f>
        <v>0</v>
      </c>
      <c r="GE24" s="27">
        <f>IF($A24="",0,IF(Mitarbeiter!$G$22=FALSE,0,IF(AND(Mitarbeiter!$E$22&lt;&gt;"",GE$5+6&lt;Mitarbeiter!$E$22),0,IF(AND(Mitarbeiter!$F$22&lt;&gt;"",GE$5&gt;Mitarbeiter!$F$22),0,IF(Planung!GE24="",$C24,IF(ISNUMBER(Planung!GE24),Planung!GE24,IF(UPPER(Planung!GE24)="H",$C24/2,0)))))))</f>
        <v>0</v>
      </c>
      <c r="GF24" s="27">
        <f>IF($A24="",0,IF(Mitarbeiter!$G$22=FALSE,0,IF(AND(Mitarbeiter!$E$22&lt;&gt;"",GF$5+6&lt;Mitarbeiter!$E$22),0,IF(AND(Mitarbeiter!$F$22&lt;&gt;"",GF$5&gt;Mitarbeiter!$F$22),0,IF(Planung!GF24="",$C24,IF(ISNUMBER(Planung!GF24),Planung!GF24,IF(UPPER(Planung!GF24)="H",$C24/2,0)))))))</f>
        <v>0</v>
      </c>
      <c r="GG24" s="27">
        <f>IF($A24="",0,IF(Mitarbeiter!$G$22=FALSE,0,IF(AND(Mitarbeiter!$E$22&lt;&gt;"",GG$5+6&lt;Mitarbeiter!$E$22),0,IF(AND(Mitarbeiter!$F$22&lt;&gt;"",GG$5&gt;Mitarbeiter!$F$22),0,IF(Planung!GG24="",$C24,IF(ISNUMBER(Planung!GG24),Planung!GG24,IF(UPPER(Planung!GG24)="H",$C24/2,0)))))))</f>
        <v>0</v>
      </c>
      <c r="GH24" s="27">
        <f>IF($A24="",0,IF(Mitarbeiter!$G$22=FALSE,0,IF(AND(Mitarbeiter!$E$22&lt;&gt;"",GH$5+6&lt;Mitarbeiter!$E$22),0,IF(AND(Mitarbeiter!$F$22&lt;&gt;"",GH$5&gt;Mitarbeiter!$F$22),0,IF(Planung!GH24="",$C24,IF(ISNUMBER(Planung!GH24),Planung!GH24,IF(UPPER(Planung!GH24)="H",$C24/2,0)))))))</f>
        <v>0</v>
      </c>
      <c r="GI24" s="27">
        <f>IF($A24="",0,IF(Mitarbeiter!$G$22=FALSE,0,IF(AND(Mitarbeiter!$E$22&lt;&gt;"",GI$5+6&lt;Mitarbeiter!$E$22),0,IF(AND(Mitarbeiter!$F$22&lt;&gt;"",GI$5&gt;Mitarbeiter!$F$22),0,IF(Planung!GI24="",$C24,IF(ISNUMBER(Planung!GI24),Planung!GI24,IF(UPPER(Planung!GI24)="H",$C24/2,0)))))))</f>
        <v>0</v>
      </c>
      <c r="GJ24" s="27">
        <f>IF($A24="",0,IF(Mitarbeiter!$G$22=FALSE,0,IF(AND(Mitarbeiter!$E$22&lt;&gt;"",GJ$5+6&lt;Mitarbeiter!$E$22),0,IF(AND(Mitarbeiter!$F$22&lt;&gt;"",GJ$5&gt;Mitarbeiter!$F$22),0,IF(Planung!GJ24="",$C24,IF(ISNUMBER(Planung!GJ24),Planung!GJ24,IF(UPPER(Planung!GJ24)="H",$C24/2,0)))))))</f>
        <v>0</v>
      </c>
      <c r="GK24" s="27">
        <f>IF($A24="",0,IF(Mitarbeiter!$G$22=FALSE,0,IF(AND(Mitarbeiter!$E$22&lt;&gt;"",GK$5+6&lt;Mitarbeiter!$E$22),0,IF(AND(Mitarbeiter!$F$22&lt;&gt;"",GK$5&gt;Mitarbeiter!$F$22),0,IF(Planung!GK24="",$C24,IF(ISNUMBER(Planung!GK24),Planung!GK24,IF(UPPER(Planung!GK24)="H",$C24/2,0)))))))</f>
        <v>0</v>
      </c>
      <c r="GL24" s="27">
        <f>IF($A24="",0,IF(Mitarbeiter!$G$22=FALSE,0,IF(AND(Mitarbeiter!$E$22&lt;&gt;"",GL$5+6&lt;Mitarbeiter!$E$22),0,IF(AND(Mitarbeiter!$F$22&lt;&gt;"",GL$5&gt;Mitarbeiter!$F$22),0,IF(Planung!GL24="",$C24,IF(ISNUMBER(Planung!GL24),Planung!GL24,IF(UPPER(Planung!GL24)="H",$C24/2,0)))))))</f>
        <v>0</v>
      </c>
      <c r="GM24" s="27">
        <f>IF($A24="",0,IF(Mitarbeiter!$G$22=FALSE,0,IF(AND(Mitarbeiter!$E$22&lt;&gt;"",GM$5+6&lt;Mitarbeiter!$E$22),0,IF(AND(Mitarbeiter!$F$22&lt;&gt;"",GM$5&gt;Mitarbeiter!$F$22),0,IF(Planung!GM24="",$C24,IF(ISNUMBER(Planung!GM24),Planung!GM24,IF(UPPER(Planung!GM24)="H",$C24/2,0)))))))</f>
        <v>0</v>
      </c>
      <c r="GN24" s="27">
        <f>IF($A24="",0,IF(Mitarbeiter!$G$22=FALSE,0,IF(AND(Mitarbeiter!$E$22&lt;&gt;"",GN$5+6&lt;Mitarbeiter!$E$22),0,IF(AND(Mitarbeiter!$F$22&lt;&gt;"",GN$5&gt;Mitarbeiter!$F$22),0,IF(Planung!GN24="",$C24,IF(ISNUMBER(Planung!GN24),Planung!GN24,IF(UPPER(Planung!GN24)="H",$C24/2,0)))))))</f>
        <v>0</v>
      </c>
      <c r="GO24" s="27">
        <f>IF($A24="",0,IF(Mitarbeiter!$G$22=FALSE,0,IF(AND(Mitarbeiter!$E$22&lt;&gt;"",GO$5+6&lt;Mitarbeiter!$E$22),0,IF(AND(Mitarbeiter!$F$22&lt;&gt;"",GO$5&gt;Mitarbeiter!$F$22),0,IF(Planung!GO24="",$C24,IF(ISNUMBER(Planung!GO24),Planung!GO24,IF(UPPER(Planung!GO24)="H",$C24/2,0)))))))</f>
        <v>0</v>
      </c>
      <c r="GP24" s="27">
        <f>IF($A24="",0,IF(Mitarbeiter!$G$22=FALSE,0,IF(AND(Mitarbeiter!$E$22&lt;&gt;"",GP$5+6&lt;Mitarbeiter!$E$22),0,IF(AND(Mitarbeiter!$F$22&lt;&gt;"",GP$5&gt;Mitarbeiter!$F$22),0,IF(Planung!GP24="",$C24,IF(ISNUMBER(Planung!GP24),Planung!GP24,IF(UPPER(Planung!GP24)="H",$C24/2,0)))))))</f>
        <v>0</v>
      </c>
      <c r="GQ24" s="27">
        <f>IF($A24="",0,IF(Mitarbeiter!$G$22=FALSE,0,IF(AND(Mitarbeiter!$E$22&lt;&gt;"",GQ$5+6&lt;Mitarbeiter!$E$22),0,IF(AND(Mitarbeiter!$F$22&lt;&gt;"",GQ$5&gt;Mitarbeiter!$F$22),0,IF(Planung!GQ24="",$C24,IF(ISNUMBER(Planung!GQ24),Planung!GQ24,IF(UPPER(Planung!GQ24)="H",$C24/2,0)))))))</f>
        <v>0</v>
      </c>
      <c r="GR24" s="27">
        <f>IF($A24="",0,IF(Mitarbeiter!$G$22=FALSE,0,IF(AND(Mitarbeiter!$E$22&lt;&gt;"",GR$5+6&lt;Mitarbeiter!$E$22),0,IF(AND(Mitarbeiter!$F$22&lt;&gt;"",GR$5&gt;Mitarbeiter!$F$22),0,IF(Planung!GR24="",$C24,IF(ISNUMBER(Planung!GR24),Planung!GR24,IF(UPPER(Planung!GR24)="H",$C24/2,0)))))))</f>
        <v>0</v>
      </c>
      <c r="GS24" s="27">
        <f>IF($A24="",0,IF(Mitarbeiter!$G$22=FALSE,0,IF(AND(Mitarbeiter!$E$22&lt;&gt;"",GS$5+6&lt;Mitarbeiter!$E$22),0,IF(AND(Mitarbeiter!$F$22&lt;&gt;"",GS$5&gt;Mitarbeiter!$F$22),0,IF(Planung!GS24="",$C24,IF(ISNUMBER(Planung!GS24),Planung!GS24,IF(UPPER(Planung!GS24)="H",$C24/2,0)))))))</f>
        <v>0</v>
      </c>
      <c r="GT24" s="27">
        <f>IF($A24="",0,IF(Mitarbeiter!$G$22=FALSE,0,IF(AND(Mitarbeiter!$E$22&lt;&gt;"",GT$5+6&lt;Mitarbeiter!$E$22),0,IF(AND(Mitarbeiter!$F$22&lt;&gt;"",GT$5&gt;Mitarbeiter!$F$22),0,IF(Planung!GT24="",$C24,IF(ISNUMBER(Planung!GT24),Planung!GT24,IF(UPPER(Planung!GT24)="H",$C24/2,0)))))))</f>
        <v>0</v>
      </c>
      <c r="GU24" s="27">
        <f>IF($A24="",0,IF(Mitarbeiter!$G$22=FALSE,0,IF(AND(Mitarbeiter!$E$22&lt;&gt;"",GU$5+6&lt;Mitarbeiter!$E$22),0,IF(AND(Mitarbeiter!$F$22&lt;&gt;"",GU$5&gt;Mitarbeiter!$F$22),0,IF(Planung!GU24="",$C24,IF(ISNUMBER(Planung!GU24),Planung!GU24,IF(UPPER(Planung!GU24)="H",$C24/2,0)))))))</f>
        <v>0</v>
      </c>
      <c r="GV24" s="27">
        <f>IF($A24="",0,IF(Mitarbeiter!$G$22=FALSE,0,IF(AND(Mitarbeiter!$E$22&lt;&gt;"",GV$5+6&lt;Mitarbeiter!$E$22),0,IF(AND(Mitarbeiter!$F$22&lt;&gt;"",GV$5&gt;Mitarbeiter!$F$22),0,IF(Planung!GV24="",$C24,IF(ISNUMBER(Planung!GV24),Planung!GV24,IF(UPPER(Planung!GV24)="H",$C24/2,0)))))))</f>
        <v>0</v>
      </c>
      <c r="GW24" s="27">
        <f>IF($A24="",0,IF(Mitarbeiter!$G$22=FALSE,0,IF(AND(Mitarbeiter!$E$22&lt;&gt;"",GW$5+6&lt;Mitarbeiter!$E$22),0,IF(AND(Mitarbeiter!$F$22&lt;&gt;"",GW$5&gt;Mitarbeiter!$F$22),0,IF(Planung!GW24="",$C24,IF(ISNUMBER(Planung!GW24),Planung!GW24,IF(UPPER(Planung!GW24)="H",$C24/2,0)))))))</f>
        <v>0</v>
      </c>
      <c r="GX24" s="27">
        <f>IF($A24="",0,IF(Mitarbeiter!$G$22=FALSE,0,IF(AND(Mitarbeiter!$E$22&lt;&gt;"",GX$5+6&lt;Mitarbeiter!$E$22),0,IF(AND(Mitarbeiter!$F$22&lt;&gt;"",GX$5&gt;Mitarbeiter!$F$22),0,IF(Planung!GX24="",$C24,IF(ISNUMBER(Planung!GX24),Planung!GX24,IF(UPPER(Planung!GX24)="H",$C24/2,0)))))))</f>
        <v>0</v>
      </c>
      <c r="GY24" s="27">
        <f>IF($A24="",0,IF(Mitarbeiter!$G$22=FALSE,0,IF(AND(Mitarbeiter!$E$22&lt;&gt;"",GY$5+6&lt;Mitarbeiter!$E$22),0,IF(AND(Mitarbeiter!$F$22&lt;&gt;"",GY$5&gt;Mitarbeiter!$F$22),0,IF(Planung!GY24="",$C24,IF(ISNUMBER(Planung!GY24),Planung!GY24,IF(UPPER(Planung!GY24)="H",$C24/2,0)))))))</f>
        <v>0</v>
      </c>
      <c r="GZ24" s="27">
        <f>IF($A24="",0,IF(Mitarbeiter!$G$22=FALSE,0,IF(AND(Mitarbeiter!$E$22&lt;&gt;"",GZ$5+6&lt;Mitarbeiter!$E$22),0,IF(AND(Mitarbeiter!$F$22&lt;&gt;"",GZ$5&gt;Mitarbeiter!$F$22),0,IF(Planung!GZ24="",$C24,IF(ISNUMBER(Planung!GZ24),Planung!GZ24,IF(UPPER(Planung!GZ24)="H",$C24/2,0)))))))</f>
        <v>0</v>
      </c>
      <c r="HA24" s="27">
        <f>IF($A24="",0,IF(Mitarbeiter!$G$22=FALSE,0,IF(AND(Mitarbeiter!$E$22&lt;&gt;"",HA$5+6&lt;Mitarbeiter!$E$22),0,IF(AND(Mitarbeiter!$F$22&lt;&gt;"",HA$5&gt;Mitarbeiter!$F$22),0,IF(Planung!HA24="",$C24,IF(ISNUMBER(Planung!HA24),Planung!HA24,IF(UPPER(Planung!HA24)="H",$C24/2,0)))))))</f>
        <v>0</v>
      </c>
      <c r="HB24" s="27">
        <f>IF($A24="",0,IF(Mitarbeiter!$G$22=FALSE,0,IF(AND(Mitarbeiter!$E$22&lt;&gt;"",HB$5+6&lt;Mitarbeiter!$E$22),0,IF(AND(Mitarbeiter!$F$22&lt;&gt;"",HB$5&gt;Mitarbeiter!$F$22),0,IF(Planung!HB24="",$C24,IF(ISNUMBER(Planung!HB24),Planung!HB24,IF(UPPER(Planung!HB24)="H",$C24/2,0)))))))</f>
        <v>0</v>
      </c>
      <c r="HC24" s="27">
        <f>IF($A24="",0,IF(Mitarbeiter!$G$22=FALSE,0,IF(AND(Mitarbeiter!$E$22&lt;&gt;"",HC$5+6&lt;Mitarbeiter!$E$22),0,IF(AND(Mitarbeiter!$F$22&lt;&gt;"",HC$5&gt;Mitarbeiter!$F$22),0,IF(Planung!HC24="",$C24,IF(ISNUMBER(Planung!HC24),Planung!HC24,IF(UPPER(Planung!HC24)="H",$C24/2,0)))))))</f>
        <v>0</v>
      </c>
      <c r="HD24" s="27">
        <f>IF($A24="",0,IF(Mitarbeiter!$G$22=FALSE,0,IF(AND(Mitarbeiter!$E$22&lt;&gt;"",HD$5+6&lt;Mitarbeiter!$E$22),0,IF(AND(Mitarbeiter!$F$22&lt;&gt;"",HD$5&gt;Mitarbeiter!$F$22),0,IF(Planung!HD24="",$C24,IF(ISNUMBER(Planung!HD24),Planung!HD24,IF(UPPER(Planung!HD24)="H",$C24/2,0)))))))</f>
        <v>0</v>
      </c>
      <c r="HE24" s="27">
        <f>IF($A24="",0,IF(Mitarbeiter!$G$22=FALSE,0,IF(AND(Mitarbeiter!$E$22&lt;&gt;"",HE$5+6&lt;Mitarbeiter!$E$22),0,IF(AND(Mitarbeiter!$F$22&lt;&gt;"",HE$5&gt;Mitarbeiter!$F$22),0,IF(Planung!HE24="",$C24,IF(ISNUMBER(Planung!HE24),Planung!HE24,IF(UPPER(Planung!HE24)="H",$C24/2,0)))))))</f>
        <v>0</v>
      </c>
      <c r="HF24" s="27">
        <f>IF($A24="",0,IF(Mitarbeiter!$G$22=FALSE,0,IF(AND(Mitarbeiter!$E$22&lt;&gt;"",HF$5+6&lt;Mitarbeiter!$E$22),0,IF(AND(Mitarbeiter!$F$22&lt;&gt;"",HF$5&gt;Mitarbeiter!$F$22),0,IF(Planung!HF24="",$C24,IF(ISNUMBER(Planung!HF24),Planung!HF24,IF(UPPER(Planung!HF24)="H",$C24/2,0)))))))</f>
        <v>0</v>
      </c>
      <c r="HG24" s="27">
        <f>IF($A24="",0,IF(Mitarbeiter!$G$22=FALSE,0,IF(AND(Mitarbeiter!$E$22&lt;&gt;"",HG$5+6&lt;Mitarbeiter!$E$22),0,IF(AND(Mitarbeiter!$F$22&lt;&gt;"",HG$5&gt;Mitarbeiter!$F$22),0,IF(Planung!HG24="",$C24,IF(ISNUMBER(Planung!HG24),Planung!HG24,IF(UPPER(Planung!HG24)="H",$C24/2,0)))))))</f>
        <v>0</v>
      </c>
      <c r="HH24" s="27">
        <f>IF($A24="",0,IF(Mitarbeiter!$G$22=FALSE,0,IF(AND(Mitarbeiter!$E$22&lt;&gt;"",HH$5+6&lt;Mitarbeiter!$E$22),0,IF(AND(Mitarbeiter!$F$22&lt;&gt;"",HH$5&gt;Mitarbeiter!$F$22),0,IF(Planung!HH24="",$C24,IF(ISNUMBER(Planung!HH24),Planung!HH24,IF(UPPER(Planung!HH24)="H",$C24/2,0)))))))</f>
        <v>0</v>
      </c>
      <c r="HI24" s="27">
        <f>IF($A24="",0,IF(Mitarbeiter!$G$22=FALSE,0,IF(AND(Mitarbeiter!$E$22&lt;&gt;"",HI$5+6&lt;Mitarbeiter!$E$22),0,IF(AND(Mitarbeiter!$F$22&lt;&gt;"",HI$5&gt;Mitarbeiter!$F$22),0,IF(Planung!HI24="",$C24,IF(ISNUMBER(Planung!HI24),Planung!HI24,IF(UPPER(Planung!HI24)="H",$C24/2,0)))))))</f>
        <v>0</v>
      </c>
      <c r="HJ24" s="27">
        <f>IF($A24="",0,IF(Mitarbeiter!$G$22=FALSE,0,IF(AND(Mitarbeiter!$E$22&lt;&gt;"",HJ$5+6&lt;Mitarbeiter!$E$22),0,IF(AND(Mitarbeiter!$F$22&lt;&gt;"",HJ$5&gt;Mitarbeiter!$F$22),0,IF(Planung!HJ24="",$C24,IF(ISNUMBER(Planung!HJ24),Planung!HJ24,IF(UPPER(Planung!HJ24)="H",$C24/2,0)))))))</f>
        <v>0</v>
      </c>
      <c r="HK24" s="27">
        <f>IF($A24="",0,IF(Mitarbeiter!$G$22=FALSE,0,IF(AND(Mitarbeiter!$E$22&lt;&gt;"",HK$5+6&lt;Mitarbeiter!$E$22),0,IF(AND(Mitarbeiter!$F$22&lt;&gt;"",HK$5&gt;Mitarbeiter!$F$22),0,IF(Planung!HK24="",$C24,IF(ISNUMBER(Planung!HK24),Planung!HK24,IF(UPPER(Planung!HK24)="H",$C24/2,0)))))))</f>
        <v>0</v>
      </c>
      <c r="HL24" s="27">
        <f>IF($A24="",0,IF(Mitarbeiter!$G$22=FALSE,0,IF(AND(Mitarbeiter!$E$22&lt;&gt;"",HL$5+6&lt;Mitarbeiter!$E$22),0,IF(AND(Mitarbeiter!$F$22&lt;&gt;"",HL$5&gt;Mitarbeiter!$F$22),0,IF(Planung!HL24="",$C24,IF(ISNUMBER(Planung!HL24),Planung!HL24,IF(UPPER(Planung!HL24)="H",$C24/2,0)))))))</f>
        <v>0</v>
      </c>
      <c r="HM24" s="27">
        <f>IF($A24="",0,IF(Mitarbeiter!$G$22=FALSE,0,IF(AND(Mitarbeiter!$E$22&lt;&gt;"",HM$5+6&lt;Mitarbeiter!$E$22),0,IF(AND(Mitarbeiter!$F$22&lt;&gt;"",HM$5&gt;Mitarbeiter!$F$22),0,IF(Planung!HM24="",$C24,IF(ISNUMBER(Planung!HM24),Planung!HM24,IF(UPPER(Planung!HM24)="H",$C24/2,0)))))))</f>
        <v>0</v>
      </c>
      <c r="HN24" s="27">
        <f>IF($A24="",0,IF(Mitarbeiter!$G$22=FALSE,0,IF(AND(Mitarbeiter!$E$22&lt;&gt;"",HN$5+6&lt;Mitarbeiter!$E$22),0,IF(AND(Mitarbeiter!$F$22&lt;&gt;"",HN$5&gt;Mitarbeiter!$F$22),0,IF(Planung!HN24="",$C24,IF(ISNUMBER(Planung!HN24),Planung!HN24,IF(UPPER(Planung!HN24)="H",$C24/2,0)))))))</f>
        <v>0</v>
      </c>
      <c r="HO24" s="27">
        <f>IF($A24="",0,IF(Mitarbeiter!$G$22=FALSE,0,IF(AND(Mitarbeiter!$E$22&lt;&gt;"",HO$5+6&lt;Mitarbeiter!$E$22),0,IF(AND(Mitarbeiter!$F$22&lt;&gt;"",HO$5&gt;Mitarbeiter!$F$22),0,IF(Planung!HO24="",$C24,IF(ISNUMBER(Planung!HO24),Planung!HO24,IF(UPPER(Planung!HO24)="H",$C24/2,0)))))))</f>
        <v>0</v>
      </c>
      <c r="HP24" s="27">
        <f>IF($A24="",0,IF(Mitarbeiter!$G$22=FALSE,0,IF(AND(Mitarbeiter!$E$22&lt;&gt;"",HP$5+6&lt;Mitarbeiter!$E$22),0,IF(AND(Mitarbeiter!$F$22&lt;&gt;"",HP$5&gt;Mitarbeiter!$F$22),0,IF(Planung!HP24="",$C24,IF(ISNUMBER(Planung!HP24),Planung!HP24,IF(UPPER(Planung!HP24)="H",$C24/2,0)))))))</f>
        <v>0</v>
      </c>
      <c r="HQ24" s="27">
        <f>IF($A24="",0,IF(Mitarbeiter!$G$22=FALSE,0,IF(AND(Mitarbeiter!$E$22&lt;&gt;"",HQ$5+6&lt;Mitarbeiter!$E$22),0,IF(AND(Mitarbeiter!$F$22&lt;&gt;"",HQ$5&gt;Mitarbeiter!$F$22),0,IF(Planung!HQ24="",$C24,IF(ISNUMBER(Planung!HQ24),Planung!HQ24,IF(UPPER(Planung!HQ24)="H",$C24/2,0)))))))</f>
        <v>0</v>
      </c>
      <c r="HR24" s="27">
        <f>IF($A24="",0,IF(Mitarbeiter!$G$22=FALSE,0,IF(AND(Mitarbeiter!$E$22&lt;&gt;"",HR$5+6&lt;Mitarbeiter!$E$22),0,IF(AND(Mitarbeiter!$F$22&lt;&gt;"",HR$5&gt;Mitarbeiter!$F$22),0,IF(Planung!HR24="",$C24,IF(ISNUMBER(Planung!HR24),Planung!HR24,IF(UPPER(Planung!HR24)="H",$C24/2,0)))))))</f>
        <v>0</v>
      </c>
      <c r="HS24" s="27">
        <f>IF($A24="",0,IF(Mitarbeiter!$G$22=FALSE,0,IF(AND(Mitarbeiter!$E$22&lt;&gt;"",HS$5+6&lt;Mitarbeiter!$E$22),0,IF(AND(Mitarbeiter!$F$22&lt;&gt;"",HS$5&gt;Mitarbeiter!$F$22),0,IF(Planung!HS24="",$C24,IF(ISNUMBER(Planung!HS24),Planung!HS24,IF(UPPER(Planung!HS24)="H",$C24/2,0)))))))</f>
        <v>0</v>
      </c>
      <c r="HT24" s="27">
        <f>IF($A24="",0,IF(Mitarbeiter!$G$22=FALSE,0,IF(AND(Mitarbeiter!$E$22&lt;&gt;"",HT$5+6&lt;Mitarbeiter!$E$22),0,IF(AND(Mitarbeiter!$F$22&lt;&gt;"",HT$5&gt;Mitarbeiter!$F$22),0,IF(Planung!HT24="",$C24,IF(ISNUMBER(Planung!HT24),Planung!HT24,IF(UPPER(Planung!HT24)="H",$C24/2,0)))))))</f>
        <v>0</v>
      </c>
      <c r="HU24" s="27">
        <f>IF($A24="",0,IF(Mitarbeiter!$G$22=FALSE,0,IF(AND(Mitarbeiter!$E$22&lt;&gt;"",HU$5+6&lt;Mitarbeiter!$E$22),0,IF(AND(Mitarbeiter!$F$22&lt;&gt;"",HU$5&gt;Mitarbeiter!$F$22),0,IF(Planung!HU24="",$C24,IF(ISNUMBER(Planung!HU24),Planung!HU24,IF(UPPER(Planung!HU24)="H",$C24/2,0)))))))</f>
        <v>0</v>
      </c>
      <c r="HV24" s="27">
        <f>IF($A24="",0,IF(Mitarbeiter!$G$22=FALSE,0,IF(AND(Mitarbeiter!$E$22&lt;&gt;"",HV$5+6&lt;Mitarbeiter!$E$22),0,IF(AND(Mitarbeiter!$F$22&lt;&gt;"",HV$5&gt;Mitarbeiter!$F$22),0,IF(Planung!HV24="",$C24,IF(ISNUMBER(Planung!HV24),Planung!HV24,IF(UPPER(Planung!HV24)="H",$C24/2,0)))))))</f>
        <v>0</v>
      </c>
      <c r="HW24" s="27">
        <f>IF($A24="",0,IF(Mitarbeiter!$G$22=FALSE,0,IF(AND(Mitarbeiter!$E$22&lt;&gt;"",HW$5+6&lt;Mitarbeiter!$E$22),0,IF(AND(Mitarbeiter!$F$22&lt;&gt;"",HW$5&gt;Mitarbeiter!$F$22),0,IF(Planung!HW24="",$C24,IF(ISNUMBER(Planung!HW24),Planung!HW24,IF(UPPER(Planung!HW24)="H",$C24/2,0)))))))</f>
        <v>0</v>
      </c>
      <c r="HX24" s="27">
        <f>IF($A24="",0,IF(Mitarbeiter!$G$22=FALSE,0,IF(AND(Mitarbeiter!$E$22&lt;&gt;"",HX$5+6&lt;Mitarbeiter!$E$22),0,IF(AND(Mitarbeiter!$F$22&lt;&gt;"",HX$5&gt;Mitarbeiter!$F$22),0,IF(Planung!HX24="",$C24,IF(ISNUMBER(Planung!HX24),Planung!HX24,IF(UPPER(Planung!HX24)="H",$C24/2,0)))))))</f>
        <v>0</v>
      </c>
      <c r="HY24" s="27">
        <f>IF($A24="",0,IF(Mitarbeiter!$G$22=FALSE,0,IF(AND(Mitarbeiter!$E$22&lt;&gt;"",HY$5+6&lt;Mitarbeiter!$E$22),0,IF(AND(Mitarbeiter!$F$22&lt;&gt;"",HY$5&gt;Mitarbeiter!$F$22),0,IF(Planung!HY24="",$C24,IF(ISNUMBER(Planung!HY24),Planung!HY24,IF(UPPER(Planung!HY24)="H",$C24/2,0)))))))</f>
        <v>0</v>
      </c>
      <c r="HZ24" s="27">
        <f>IF($A24="",0,IF(Mitarbeiter!$G$22=FALSE,0,IF(AND(Mitarbeiter!$E$22&lt;&gt;"",HZ$5+6&lt;Mitarbeiter!$E$22),0,IF(AND(Mitarbeiter!$F$22&lt;&gt;"",HZ$5&gt;Mitarbeiter!$F$22),0,IF(Planung!HZ24="",$C24,IF(ISNUMBER(Planung!HZ24),Planung!HZ24,IF(UPPER(Planung!HZ24)="H",$C24/2,0)))))))</f>
        <v>0</v>
      </c>
      <c r="IA24" s="27">
        <f>IF($A24="",0,IF(Mitarbeiter!$G$22=FALSE,0,IF(AND(Mitarbeiter!$E$22&lt;&gt;"",IA$5+6&lt;Mitarbeiter!$E$22),0,IF(AND(Mitarbeiter!$F$22&lt;&gt;"",IA$5&gt;Mitarbeiter!$F$22),0,IF(Planung!IA24="",$C24,IF(ISNUMBER(Planung!IA24),Planung!IA24,IF(UPPER(Planung!IA24)="H",$C24/2,0)))))))</f>
        <v>0</v>
      </c>
    </row>
    <row r="25" spans="1:235" x14ac:dyDescent="0.25">
      <c r="A25" s="7" t="str">
        <f>Planung!A25</f>
        <v/>
      </c>
      <c r="B25" s="7" t="str">
        <f>Planung!B25</f>
        <v/>
      </c>
      <c r="C25" s="27">
        <f>N(Mitarbeiter!$D$23)</f>
        <v>0</v>
      </c>
      <c r="D25" s="27">
        <f>IF($A25="",0,IF(Mitarbeiter!$G$23=FALSE,0,IF(AND(Mitarbeiter!$E$23&lt;&gt;"",D$5+6&lt;Mitarbeiter!$E$23),0,IF(AND(Mitarbeiter!$F$23&lt;&gt;"",D$5&gt;Mitarbeiter!$F$23),0,IF(Planung!D25="",$C25,IF(ISNUMBER(Planung!D25),Planung!D25,IF(UPPER(Planung!D25)="H",$C25/2,0)))))))</f>
        <v>0</v>
      </c>
      <c r="E25" s="27">
        <f>IF($A25="",0,IF(Mitarbeiter!$G$23=FALSE,0,IF(AND(Mitarbeiter!$E$23&lt;&gt;"",E$5+6&lt;Mitarbeiter!$E$23),0,IF(AND(Mitarbeiter!$F$23&lt;&gt;"",E$5&gt;Mitarbeiter!$F$23),0,IF(Planung!E25="",$C25,IF(ISNUMBER(Planung!E25),Planung!E25,IF(UPPER(Planung!E25)="H",$C25/2,0)))))))</f>
        <v>0</v>
      </c>
      <c r="F25" s="27">
        <f>IF($A25="",0,IF(Mitarbeiter!$G$23=FALSE,0,IF(AND(Mitarbeiter!$E$23&lt;&gt;"",F$5+6&lt;Mitarbeiter!$E$23),0,IF(AND(Mitarbeiter!$F$23&lt;&gt;"",F$5&gt;Mitarbeiter!$F$23),0,IF(Planung!F25="",$C25,IF(ISNUMBER(Planung!F25),Planung!F25,IF(UPPER(Planung!F25)="H",$C25/2,0)))))))</f>
        <v>0</v>
      </c>
      <c r="G25" s="27">
        <f>IF($A25="",0,IF(Mitarbeiter!$G$23=FALSE,0,IF(AND(Mitarbeiter!$E$23&lt;&gt;"",G$5+6&lt;Mitarbeiter!$E$23),0,IF(AND(Mitarbeiter!$F$23&lt;&gt;"",G$5&gt;Mitarbeiter!$F$23),0,IF(Planung!G25="",$C25,IF(ISNUMBER(Planung!G25),Planung!G25,IF(UPPER(Planung!G25)="H",$C25/2,0)))))))</f>
        <v>0</v>
      </c>
      <c r="H25" s="27">
        <f>IF($A25="",0,IF(Mitarbeiter!$G$23=FALSE,0,IF(AND(Mitarbeiter!$E$23&lt;&gt;"",H$5+6&lt;Mitarbeiter!$E$23),0,IF(AND(Mitarbeiter!$F$23&lt;&gt;"",H$5&gt;Mitarbeiter!$F$23),0,IF(Planung!H25="",$C25,IF(ISNUMBER(Planung!H25),Planung!H25,IF(UPPER(Planung!H25)="H",$C25/2,0)))))))</f>
        <v>0</v>
      </c>
      <c r="I25" s="27">
        <f>IF($A25="",0,IF(Mitarbeiter!$G$23=FALSE,0,IF(AND(Mitarbeiter!$E$23&lt;&gt;"",I$5+6&lt;Mitarbeiter!$E$23),0,IF(AND(Mitarbeiter!$F$23&lt;&gt;"",I$5&gt;Mitarbeiter!$F$23),0,IF(Planung!I25="",$C25,IF(ISNUMBER(Planung!I25),Planung!I25,IF(UPPER(Planung!I25)="H",$C25/2,0)))))))</f>
        <v>0</v>
      </c>
      <c r="J25" s="27">
        <f>IF($A25="",0,IF(Mitarbeiter!$G$23=FALSE,0,IF(AND(Mitarbeiter!$E$23&lt;&gt;"",J$5+6&lt;Mitarbeiter!$E$23),0,IF(AND(Mitarbeiter!$F$23&lt;&gt;"",J$5&gt;Mitarbeiter!$F$23),0,IF(Planung!J25="",$C25,IF(ISNUMBER(Planung!J25),Planung!J25,IF(UPPER(Planung!J25)="H",$C25/2,0)))))))</f>
        <v>0</v>
      </c>
      <c r="K25" s="27">
        <f>IF($A25="",0,IF(Mitarbeiter!$G$23=FALSE,0,IF(AND(Mitarbeiter!$E$23&lt;&gt;"",K$5+6&lt;Mitarbeiter!$E$23),0,IF(AND(Mitarbeiter!$F$23&lt;&gt;"",K$5&gt;Mitarbeiter!$F$23),0,IF(Planung!K25="",$C25,IF(ISNUMBER(Planung!K25),Planung!K25,IF(UPPER(Planung!K25)="H",$C25/2,0)))))))</f>
        <v>0</v>
      </c>
      <c r="L25" s="27">
        <f>IF($A25="",0,IF(Mitarbeiter!$G$23=FALSE,0,IF(AND(Mitarbeiter!$E$23&lt;&gt;"",L$5+6&lt;Mitarbeiter!$E$23),0,IF(AND(Mitarbeiter!$F$23&lt;&gt;"",L$5&gt;Mitarbeiter!$F$23),0,IF(Planung!L25="",$C25,IF(ISNUMBER(Planung!L25),Planung!L25,IF(UPPER(Planung!L25)="H",$C25/2,0)))))))</f>
        <v>0</v>
      </c>
      <c r="M25" s="27">
        <f>IF($A25="",0,IF(Mitarbeiter!$G$23=FALSE,0,IF(AND(Mitarbeiter!$E$23&lt;&gt;"",M$5+6&lt;Mitarbeiter!$E$23),0,IF(AND(Mitarbeiter!$F$23&lt;&gt;"",M$5&gt;Mitarbeiter!$F$23),0,IF(Planung!M25="",$C25,IF(ISNUMBER(Planung!M25),Planung!M25,IF(UPPER(Planung!M25)="H",$C25/2,0)))))))</f>
        <v>0</v>
      </c>
      <c r="N25" s="27">
        <f>IF($A25="",0,IF(Mitarbeiter!$G$23=FALSE,0,IF(AND(Mitarbeiter!$E$23&lt;&gt;"",N$5+6&lt;Mitarbeiter!$E$23),0,IF(AND(Mitarbeiter!$F$23&lt;&gt;"",N$5&gt;Mitarbeiter!$F$23),0,IF(Planung!N25="",$C25,IF(ISNUMBER(Planung!N25),Planung!N25,IF(UPPER(Planung!N25)="H",$C25/2,0)))))))</f>
        <v>0</v>
      </c>
      <c r="O25" s="27">
        <f>IF($A25="",0,IF(Mitarbeiter!$G$23=FALSE,0,IF(AND(Mitarbeiter!$E$23&lt;&gt;"",O$5+6&lt;Mitarbeiter!$E$23),0,IF(AND(Mitarbeiter!$F$23&lt;&gt;"",O$5&gt;Mitarbeiter!$F$23),0,IF(Planung!O25="",$C25,IF(ISNUMBER(Planung!O25),Planung!O25,IF(UPPER(Planung!O25)="H",$C25/2,0)))))))</f>
        <v>0</v>
      </c>
      <c r="P25" s="27">
        <f>IF($A25="",0,IF(Mitarbeiter!$G$23=FALSE,0,IF(AND(Mitarbeiter!$E$23&lt;&gt;"",P$5+6&lt;Mitarbeiter!$E$23),0,IF(AND(Mitarbeiter!$F$23&lt;&gt;"",P$5&gt;Mitarbeiter!$F$23),0,IF(Planung!P25="",$C25,IF(ISNUMBER(Planung!P25),Planung!P25,IF(UPPER(Planung!P25)="H",$C25/2,0)))))))</f>
        <v>0</v>
      </c>
      <c r="Q25" s="27">
        <f>IF($A25="",0,IF(Mitarbeiter!$G$23=FALSE,0,IF(AND(Mitarbeiter!$E$23&lt;&gt;"",Q$5+6&lt;Mitarbeiter!$E$23),0,IF(AND(Mitarbeiter!$F$23&lt;&gt;"",Q$5&gt;Mitarbeiter!$F$23),0,IF(Planung!Q25="",$C25,IF(ISNUMBER(Planung!Q25),Planung!Q25,IF(UPPER(Planung!Q25)="H",$C25/2,0)))))))</f>
        <v>0</v>
      </c>
      <c r="R25" s="27">
        <f>IF($A25="",0,IF(Mitarbeiter!$G$23=FALSE,0,IF(AND(Mitarbeiter!$E$23&lt;&gt;"",R$5+6&lt;Mitarbeiter!$E$23),0,IF(AND(Mitarbeiter!$F$23&lt;&gt;"",R$5&gt;Mitarbeiter!$F$23),0,IF(Planung!R25="",$C25,IF(ISNUMBER(Planung!R25),Planung!R25,IF(UPPER(Planung!R25)="H",$C25/2,0)))))))</f>
        <v>0</v>
      </c>
      <c r="S25" s="27">
        <f>IF($A25="",0,IF(Mitarbeiter!$G$23=FALSE,0,IF(AND(Mitarbeiter!$E$23&lt;&gt;"",S$5+6&lt;Mitarbeiter!$E$23),0,IF(AND(Mitarbeiter!$F$23&lt;&gt;"",S$5&gt;Mitarbeiter!$F$23),0,IF(Planung!S25="",$C25,IF(ISNUMBER(Planung!S25),Planung!S25,IF(UPPER(Planung!S25)="H",$C25/2,0)))))))</f>
        <v>0</v>
      </c>
      <c r="T25" s="27">
        <f>IF($A25="",0,IF(Mitarbeiter!$G$23=FALSE,0,IF(AND(Mitarbeiter!$E$23&lt;&gt;"",T$5+6&lt;Mitarbeiter!$E$23),0,IF(AND(Mitarbeiter!$F$23&lt;&gt;"",T$5&gt;Mitarbeiter!$F$23),0,IF(Planung!T25="",$C25,IF(ISNUMBER(Planung!T25),Planung!T25,IF(UPPER(Planung!T25)="H",$C25/2,0)))))))</f>
        <v>0</v>
      </c>
      <c r="U25" s="27">
        <f>IF($A25="",0,IF(Mitarbeiter!$G$23=FALSE,0,IF(AND(Mitarbeiter!$E$23&lt;&gt;"",U$5+6&lt;Mitarbeiter!$E$23),0,IF(AND(Mitarbeiter!$F$23&lt;&gt;"",U$5&gt;Mitarbeiter!$F$23),0,IF(Planung!U25="",$C25,IF(ISNUMBER(Planung!U25),Planung!U25,IF(UPPER(Planung!U25)="H",$C25/2,0)))))))</f>
        <v>0</v>
      </c>
      <c r="V25" s="27">
        <f>IF($A25="",0,IF(Mitarbeiter!$G$23=FALSE,0,IF(AND(Mitarbeiter!$E$23&lt;&gt;"",V$5+6&lt;Mitarbeiter!$E$23),0,IF(AND(Mitarbeiter!$F$23&lt;&gt;"",V$5&gt;Mitarbeiter!$F$23),0,IF(Planung!V25="",$C25,IF(ISNUMBER(Planung!V25),Planung!V25,IF(UPPER(Planung!V25)="H",$C25/2,0)))))))</f>
        <v>0</v>
      </c>
      <c r="W25" s="27">
        <f>IF($A25="",0,IF(Mitarbeiter!$G$23=FALSE,0,IF(AND(Mitarbeiter!$E$23&lt;&gt;"",W$5+6&lt;Mitarbeiter!$E$23),0,IF(AND(Mitarbeiter!$F$23&lt;&gt;"",W$5&gt;Mitarbeiter!$F$23),0,IF(Planung!W25="",$C25,IF(ISNUMBER(Planung!W25),Planung!W25,IF(UPPER(Planung!W25)="H",$C25/2,0)))))))</f>
        <v>0</v>
      </c>
      <c r="X25" s="27">
        <f>IF($A25="",0,IF(Mitarbeiter!$G$23=FALSE,0,IF(AND(Mitarbeiter!$E$23&lt;&gt;"",X$5+6&lt;Mitarbeiter!$E$23),0,IF(AND(Mitarbeiter!$F$23&lt;&gt;"",X$5&gt;Mitarbeiter!$F$23),0,IF(Planung!X25="",$C25,IF(ISNUMBER(Planung!X25),Planung!X25,IF(UPPER(Planung!X25)="H",$C25/2,0)))))))</f>
        <v>0</v>
      </c>
      <c r="Y25" s="27">
        <f>IF($A25="",0,IF(Mitarbeiter!$G$23=FALSE,0,IF(AND(Mitarbeiter!$E$23&lt;&gt;"",Y$5+6&lt;Mitarbeiter!$E$23),0,IF(AND(Mitarbeiter!$F$23&lt;&gt;"",Y$5&gt;Mitarbeiter!$F$23),0,IF(Planung!Y25="",$C25,IF(ISNUMBER(Planung!Y25),Planung!Y25,IF(UPPER(Planung!Y25)="H",$C25/2,0)))))))</f>
        <v>0</v>
      </c>
      <c r="Z25" s="27">
        <f>IF($A25="",0,IF(Mitarbeiter!$G$23=FALSE,0,IF(AND(Mitarbeiter!$E$23&lt;&gt;"",Z$5+6&lt;Mitarbeiter!$E$23),0,IF(AND(Mitarbeiter!$F$23&lt;&gt;"",Z$5&gt;Mitarbeiter!$F$23),0,IF(Planung!Z25="",$C25,IF(ISNUMBER(Planung!Z25),Planung!Z25,IF(UPPER(Planung!Z25)="H",$C25/2,0)))))))</f>
        <v>0</v>
      </c>
      <c r="AA25" s="27">
        <f>IF($A25="",0,IF(Mitarbeiter!$G$23=FALSE,0,IF(AND(Mitarbeiter!$E$23&lt;&gt;"",AA$5+6&lt;Mitarbeiter!$E$23),0,IF(AND(Mitarbeiter!$F$23&lt;&gt;"",AA$5&gt;Mitarbeiter!$F$23),0,IF(Planung!AA25="",$C25,IF(ISNUMBER(Planung!AA25),Planung!AA25,IF(UPPER(Planung!AA25)="H",$C25/2,0)))))))</f>
        <v>0</v>
      </c>
      <c r="AB25" s="27">
        <f>IF($A25="",0,IF(Mitarbeiter!$G$23=FALSE,0,IF(AND(Mitarbeiter!$E$23&lt;&gt;"",AB$5+6&lt;Mitarbeiter!$E$23),0,IF(AND(Mitarbeiter!$F$23&lt;&gt;"",AB$5&gt;Mitarbeiter!$F$23),0,IF(Planung!AB25="",$C25,IF(ISNUMBER(Planung!AB25),Planung!AB25,IF(UPPER(Planung!AB25)="H",$C25/2,0)))))))</f>
        <v>0</v>
      </c>
      <c r="AC25" s="27">
        <f>IF($A25="",0,IF(Mitarbeiter!$G$23=FALSE,0,IF(AND(Mitarbeiter!$E$23&lt;&gt;"",AC$5+6&lt;Mitarbeiter!$E$23),0,IF(AND(Mitarbeiter!$F$23&lt;&gt;"",AC$5&gt;Mitarbeiter!$F$23),0,IF(Planung!AC25="",$C25,IF(ISNUMBER(Planung!AC25),Planung!AC25,IF(UPPER(Planung!AC25)="H",$C25/2,0)))))))</f>
        <v>0</v>
      </c>
      <c r="AD25" s="27">
        <f>IF($A25="",0,IF(Mitarbeiter!$G$23=FALSE,0,IF(AND(Mitarbeiter!$E$23&lt;&gt;"",AD$5+6&lt;Mitarbeiter!$E$23),0,IF(AND(Mitarbeiter!$F$23&lt;&gt;"",AD$5&gt;Mitarbeiter!$F$23),0,IF(Planung!AD25="",$C25,IF(ISNUMBER(Planung!AD25),Planung!AD25,IF(UPPER(Planung!AD25)="H",$C25/2,0)))))))</f>
        <v>0</v>
      </c>
      <c r="AE25" s="27">
        <f>IF($A25="",0,IF(Mitarbeiter!$G$23=FALSE,0,IF(AND(Mitarbeiter!$E$23&lt;&gt;"",AE$5+6&lt;Mitarbeiter!$E$23),0,IF(AND(Mitarbeiter!$F$23&lt;&gt;"",AE$5&gt;Mitarbeiter!$F$23),0,IF(Planung!AE25="",$C25,IF(ISNUMBER(Planung!AE25),Planung!AE25,IF(UPPER(Planung!AE25)="H",$C25/2,0)))))))</f>
        <v>0</v>
      </c>
      <c r="AF25" s="27">
        <f>IF($A25="",0,IF(Mitarbeiter!$G$23=FALSE,0,IF(AND(Mitarbeiter!$E$23&lt;&gt;"",AF$5+6&lt;Mitarbeiter!$E$23),0,IF(AND(Mitarbeiter!$F$23&lt;&gt;"",AF$5&gt;Mitarbeiter!$F$23),0,IF(Planung!AF25="",$C25,IF(ISNUMBER(Planung!AF25),Planung!AF25,IF(UPPER(Planung!AF25)="H",$C25/2,0)))))))</f>
        <v>0</v>
      </c>
      <c r="AG25" s="27">
        <f>IF($A25="",0,IF(Mitarbeiter!$G$23=FALSE,0,IF(AND(Mitarbeiter!$E$23&lt;&gt;"",AG$5+6&lt;Mitarbeiter!$E$23),0,IF(AND(Mitarbeiter!$F$23&lt;&gt;"",AG$5&gt;Mitarbeiter!$F$23),0,IF(Planung!AG25="",$C25,IF(ISNUMBER(Planung!AG25),Planung!AG25,IF(UPPER(Planung!AG25)="H",$C25/2,0)))))))</f>
        <v>0</v>
      </c>
      <c r="AH25" s="27">
        <f>IF($A25="",0,IF(Mitarbeiter!$G$23=FALSE,0,IF(AND(Mitarbeiter!$E$23&lt;&gt;"",AH$5+6&lt;Mitarbeiter!$E$23),0,IF(AND(Mitarbeiter!$F$23&lt;&gt;"",AH$5&gt;Mitarbeiter!$F$23),0,IF(Planung!AH25="",$C25,IF(ISNUMBER(Planung!AH25),Planung!AH25,IF(UPPER(Planung!AH25)="H",$C25/2,0)))))))</f>
        <v>0</v>
      </c>
      <c r="AI25" s="27">
        <f>IF($A25="",0,IF(Mitarbeiter!$G$23=FALSE,0,IF(AND(Mitarbeiter!$E$23&lt;&gt;"",AI$5+6&lt;Mitarbeiter!$E$23),0,IF(AND(Mitarbeiter!$F$23&lt;&gt;"",AI$5&gt;Mitarbeiter!$F$23),0,IF(Planung!AI25="",$C25,IF(ISNUMBER(Planung!AI25),Planung!AI25,IF(UPPER(Planung!AI25)="H",$C25/2,0)))))))</f>
        <v>0</v>
      </c>
      <c r="AJ25" s="27">
        <f>IF($A25="",0,IF(Mitarbeiter!$G$23=FALSE,0,IF(AND(Mitarbeiter!$E$23&lt;&gt;"",AJ$5+6&lt;Mitarbeiter!$E$23),0,IF(AND(Mitarbeiter!$F$23&lt;&gt;"",AJ$5&gt;Mitarbeiter!$F$23),0,IF(Planung!AJ25="",$C25,IF(ISNUMBER(Planung!AJ25),Planung!AJ25,IF(UPPER(Planung!AJ25)="H",$C25/2,0)))))))</f>
        <v>0</v>
      </c>
      <c r="AK25" s="27">
        <f>IF($A25="",0,IF(Mitarbeiter!$G$23=FALSE,0,IF(AND(Mitarbeiter!$E$23&lt;&gt;"",AK$5+6&lt;Mitarbeiter!$E$23),0,IF(AND(Mitarbeiter!$F$23&lt;&gt;"",AK$5&gt;Mitarbeiter!$F$23),0,IF(Planung!AK25="",$C25,IF(ISNUMBER(Planung!AK25),Planung!AK25,IF(UPPER(Planung!AK25)="H",$C25/2,0)))))))</f>
        <v>0</v>
      </c>
      <c r="AL25" s="27">
        <f>IF($A25="",0,IF(Mitarbeiter!$G$23=FALSE,0,IF(AND(Mitarbeiter!$E$23&lt;&gt;"",AL$5+6&lt;Mitarbeiter!$E$23),0,IF(AND(Mitarbeiter!$F$23&lt;&gt;"",AL$5&gt;Mitarbeiter!$F$23),0,IF(Planung!AL25="",$C25,IF(ISNUMBER(Planung!AL25),Planung!AL25,IF(UPPER(Planung!AL25)="H",$C25/2,0)))))))</f>
        <v>0</v>
      </c>
      <c r="AM25" s="27">
        <f>IF($A25="",0,IF(Mitarbeiter!$G$23=FALSE,0,IF(AND(Mitarbeiter!$E$23&lt;&gt;"",AM$5+6&lt;Mitarbeiter!$E$23),0,IF(AND(Mitarbeiter!$F$23&lt;&gt;"",AM$5&gt;Mitarbeiter!$F$23),0,IF(Planung!AM25="",$C25,IF(ISNUMBER(Planung!AM25),Planung!AM25,IF(UPPER(Planung!AM25)="H",$C25/2,0)))))))</f>
        <v>0</v>
      </c>
      <c r="AN25" s="27">
        <f>IF($A25="",0,IF(Mitarbeiter!$G$23=FALSE,0,IF(AND(Mitarbeiter!$E$23&lt;&gt;"",AN$5+6&lt;Mitarbeiter!$E$23),0,IF(AND(Mitarbeiter!$F$23&lt;&gt;"",AN$5&gt;Mitarbeiter!$F$23),0,IF(Planung!AN25="",$C25,IF(ISNUMBER(Planung!AN25),Planung!AN25,IF(UPPER(Planung!AN25)="H",$C25/2,0)))))))</f>
        <v>0</v>
      </c>
      <c r="AO25" s="27">
        <f>IF($A25="",0,IF(Mitarbeiter!$G$23=FALSE,0,IF(AND(Mitarbeiter!$E$23&lt;&gt;"",AO$5+6&lt;Mitarbeiter!$E$23),0,IF(AND(Mitarbeiter!$F$23&lt;&gt;"",AO$5&gt;Mitarbeiter!$F$23),0,IF(Planung!AO25="",$C25,IF(ISNUMBER(Planung!AO25),Planung!AO25,IF(UPPER(Planung!AO25)="H",$C25/2,0)))))))</f>
        <v>0</v>
      </c>
      <c r="AP25" s="27">
        <f>IF($A25="",0,IF(Mitarbeiter!$G$23=FALSE,0,IF(AND(Mitarbeiter!$E$23&lt;&gt;"",AP$5+6&lt;Mitarbeiter!$E$23),0,IF(AND(Mitarbeiter!$F$23&lt;&gt;"",AP$5&gt;Mitarbeiter!$F$23),0,IF(Planung!AP25="",$C25,IF(ISNUMBER(Planung!AP25),Planung!AP25,IF(UPPER(Planung!AP25)="H",$C25/2,0)))))))</f>
        <v>0</v>
      </c>
      <c r="AQ25" s="27">
        <f>IF($A25="",0,IF(Mitarbeiter!$G$23=FALSE,0,IF(AND(Mitarbeiter!$E$23&lt;&gt;"",AQ$5+6&lt;Mitarbeiter!$E$23),0,IF(AND(Mitarbeiter!$F$23&lt;&gt;"",AQ$5&gt;Mitarbeiter!$F$23),0,IF(Planung!AQ25="",$C25,IF(ISNUMBER(Planung!AQ25),Planung!AQ25,IF(UPPER(Planung!AQ25)="H",$C25/2,0)))))))</f>
        <v>0</v>
      </c>
      <c r="AR25" s="27">
        <f>IF($A25="",0,IF(Mitarbeiter!$G$23=FALSE,0,IF(AND(Mitarbeiter!$E$23&lt;&gt;"",AR$5+6&lt;Mitarbeiter!$E$23),0,IF(AND(Mitarbeiter!$F$23&lt;&gt;"",AR$5&gt;Mitarbeiter!$F$23),0,IF(Planung!AR25="",$C25,IF(ISNUMBER(Planung!AR25),Planung!AR25,IF(UPPER(Planung!AR25)="H",$C25/2,0)))))))</f>
        <v>0</v>
      </c>
      <c r="AS25" s="27">
        <f>IF($A25="",0,IF(Mitarbeiter!$G$23=FALSE,0,IF(AND(Mitarbeiter!$E$23&lt;&gt;"",AS$5+6&lt;Mitarbeiter!$E$23),0,IF(AND(Mitarbeiter!$F$23&lt;&gt;"",AS$5&gt;Mitarbeiter!$F$23),0,IF(Planung!AS25="",$C25,IF(ISNUMBER(Planung!AS25),Planung!AS25,IF(UPPER(Planung!AS25)="H",$C25/2,0)))))))</f>
        <v>0</v>
      </c>
      <c r="AT25" s="27">
        <f>IF($A25="",0,IF(Mitarbeiter!$G$23=FALSE,0,IF(AND(Mitarbeiter!$E$23&lt;&gt;"",AT$5+6&lt;Mitarbeiter!$E$23),0,IF(AND(Mitarbeiter!$F$23&lt;&gt;"",AT$5&gt;Mitarbeiter!$F$23),0,IF(Planung!AT25="",$C25,IF(ISNUMBER(Planung!AT25),Planung!AT25,IF(UPPER(Planung!AT25)="H",$C25/2,0)))))))</f>
        <v>0</v>
      </c>
      <c r="AU25" s="27">
        <f>IF($A25="",0,IF(Mitarbeiter!$G$23=FALSE,0,IF(AND(Mitarbeiter!$E$23&lt;&gt;"",AU$5+6&lt;Mitarbeiter!$E$23),0,IF(AND(Mitarbeiter!$F$23&lt;&gt;"",AU$5&gt;Mitarbeiter!$F$23),0,IF(Planung!AU25="",$C25,IF(ISNUMBER(Planung!AU25),Planung!AU25,IF(UPPER(Planung!AU25)="H",$C25/2,0)))))))</f>
        <v>0</v>
      </c>
      <c r="AV25" s="27">
        <f>IF($A25="",0,IF(Mitarbeiter!$G$23=FALSE,0,IF(AND(Mitarbeiter!$E$23&lt;&gt;"",AV$5+6&lt;Mitarbeiter!$E$23),0,IF(AND(Mitarbeiter!$F$23&lt;&gt;"",AV$5&gt;Mitarbeiter!$F$23),0,IF(Planung!AV25="",$C25,IF(ISNUMBER(Planung!AV25),Planung!AV25,IF(UPPER(Planung!AV25)="H",$C25/2,0)))))))</f>
        <v>0</v>
      </c>
      <c r="AW25" s="27">
        <f>IF($A25="",0,IF(Mitarbeiter!$G$23=FALSE,0,IF(AND(Mitarbeiter!$E$23&lt;&gt;"",AW$5+6&lt;Mitarbeiter!$E$23),0,IF(AND(Mitarbeiter!$F$23&lt;&gt;"",AW$5&gt;Mitarbeiter!$F$23),0,IF(Planung!AW25="",$C25,IF(ISNUMBER(Planung!AW25),Planung!AW25,IF(UPPER(Planung!AW25)="H",$C25/2,0)))))))</f>
        <v>0</v>
      </c>
      <c r="AX25" s="27">
        <f>IF($A25="",0,IF(Mitarbeiter!$G$23=FALSE,0,IF(AND(Mitarbeiter!$E$23&lt;&gt;"",AX$5+6&lt;Mitarbeiter!$E$23),0,IF(AND(Mitarbeiter!$F$23&lt;&gt;"",AX$5&gt;Mitarbeiter!$F$23),0,IF(Planung!AX25="",$C25,IF(ISNUMBER(Planung!AX25),Planung!AX25,IF(UPPER(Planung!AX25)="H",$C25/2,0)))))))</f>
        <v>0</v>
      </c>
      <c r="AY25" s="27">
        <f>IF($A25="",0,IF(Mitarbeiter!$G$23=FALSE,0,IF(AND(Mitarbeiter!$E$23&lt;&gt;"",AY$5+6&lt;Mitarbeiter!$E$23),0,IF(AND(Mitarbeiter!$F$23&lt;&gt;"",AY$5&gt;Mitarbeiter!$F$23),0,IF(Planung!AY25="",$C25,IF(ISNUMBER(Planung!AY25),Planung!AY25,IF(UPPER(Planung!AY25)="H",$C25/2,0)))))))</f>
        <v>0</v>
      </c>
      <c r="AZ25" s="27">
        <f>IF($A25="",0,IF(Mitarbeiter!$G$23=FALSE,0,IF(AND(Mitarbeiter!$E$23&lt;&gt;"",AZ$5+6&lt;Mitarbeiter!$E$23),0,IF(AND(Mitarbeiter!$F$23&lt;&gt;"",AZ$5&gt;Mitarbeiter!$F$23),0,IF(Planung!AZ25="",$C25,IF(ISNUMBER(Planung!AZ25),Planung!AZ25,IF(UPPER(Planung!AZ25)="H",$C25/2,0)))))))</f>
        <v>0</v>
      </c>
      <c r="BA25" s="27">
        <f>IF($A25="",0,IF(Mitarbeiter!$G$23=FALSE,0,IF(AND(Mitarbeiter!$E$23&lt;&gt;"",BA$5+6&lt;Mitarbeiter!$E$23),0,IF(AND(Mitarbeiter!$F$23&lt;&gt;"",BA$5&gt;Mitarbeiter!$F$23),0,IF(Planung!BA25="",$C25,IF(ISNUMBER(Planung!BA25),Planung!BA25,IF(UPPER(Planung!BA25)="H",$C25/2,0)))))))</f>
        <v>0</v>
      </c>
      <c r="BB25" s="27">
        <f>IF($A25="",0,IF(Mitarbeiter!$G$23=FALSE,0,IF(AND(Mitarbeiter!$E$23&lt;&gt;"",BB$5+6&lt;Mitarbeiter!$E$23),0,IF(AND(Mitarbeiter!$F$23&lt;&gt;"",BB$5&gt;Mitarbeiter!$F$23),0,IF(Planung!BB25="",$C25,IF(ISNUMBER(Planung!BB25),Planung!BB25,IF(UPPER(Planung!BB25)="H",$C25/2,0)))))))</f>
        <v>0</v>
      </c>
      <c r="BC25" s="27">
        <f>IF($A25="",0,IF(Mitarbeiter!$G$23=FALSE,0,IF(AND(Mitarbeiter!$E$23&lt;&gt;"",BC$5+6&lt;Mitarbeiter!$E$23),0,IF(AND(Mitarbeiter!$F$23&lt;&gt;"",BC$5&gt;Mitarbeiter!$F$23),0,IF(Planung!BC25="",$C25,IF(ISNUMBER(Planung!BC25),Planung!BC25,IF(UPPER(Planung!BC25)="H",$C25/2,0)))))))</f>
        <v>0</v>
      </c>
      <c r="BD25" s="27">
        <f>IF($A25="",0,IF(Mitarbeiter!$G$23=FALSE,0,IF(AND(Mitarbeiter!$E$23&lt;&gt;"",BD$5+6&lt;Mitarbeiter!$E$23),0,IF(AND(Mitarbeiter!$F$23&lt;&gt;"",BD$5&gt;Mitarbeiter!$F$23),0,IF(Planung!BD25="",$C25,IF(ISNUMBER(Planung!BD25),Planung!BD25,IF(UPPER(Planung!BD25)="H",$C25/2,0)))))))</f>
        <v>0</v>
      </c>
      <c r="BE25" s="27">
        <f>IF($A25="",0,IF(Mitarbeiter!$G$23=FALSE,0,IF(AND(Mitarbeiter!$E$23&lt;&gt;"",BE$5+6&lt;Mitarbeiter!$E$23),0,IF(AND(Mitarbeiter!$F$23&lt;&gt;"",BE$5&gt;Mitarbeiter!$F$23),0,IF(Planung!BE25="",$C25,IF(ISNUMBER(Planung!BE25),Planung!BE25,IF(UPPER(Planung!BE25)="H",$C25/2,0)))))))</f>
        <v>0</v>
      </c>
      <c r="BF25" s="27">
        <f>IF($A25="",0,IF(Mitarbeiter!$G$23=FALSE,0,IF(AND(Mitarbeiter!$E$23&lt;&gt;"",BF$5+6&lt;Mitarbeiter!$E$23),0,IF(AND(Mitarbeiter!$F$23&lt;&gt;"",BF$5&gt;Mitarbeiter!$F$23),0,IF(Planung!BF25="",$C25,IF(ISNUMBER(Planung!BF25),Planung!BF25,IF(UPPER(Planung!BF25)="H",$C25/2,0)))))))</f>
        <v>0</v>
      </c>
      <c r="BG25" s="27">
        <f>IF($A25="",0,IF(Mitarbeiter!$G$23=FALSE,0,IF(AND(Mitarbeiter!$E$23&lt;&gt;"",BG$5+6&lt;Mitarbeiter!$E$23),0,IF(AND(Mitarbeiter!$F$23&lt;&gt;"",BG$5&gt;Mitarbeiter!$F$23),0,IF(Planung!BG25="",$C25,IF(ISNUMBER(Planung!BG25),Planung!BG25,IF(UPPER(Planung!BG25)="H",$C25/2,0)))))))</f>
        <v>0</v>
      </c>
      <c r="BH25" s="27">
        <f>IF($A25="",0,IF(Mitarbeiter!$G$23=FALSE,0,IF(AND(Mitarbeiter!$E$23&lt;&gt;"",BH$5+6&lt;Mitarbeiter!$E$23),0,IF(AND(Mitarbeiter!$F$23&lt;&gt;"",BH$5&gt;Mitarbeiter!$F$23),0,IF(Planung!BH25="",$C25,IF(ISNUMBER(Planung!BH25),Planung!BH25,IF(UPPER(Planung!BH25)="H",$C25/2,0)))))))</f>
        <v>0</v>
      </c>
      <c r="BI25" s="27">
        <f>IF($A25="",0,IF(Mitarbeiter!$G$23=FALSE,0,IF(AND(Mitarbeiter!$E$23&lt;&gt;"",BI$5+6&lt;Mitarbeiter!$E$23),0,IF(AND(Mitarbeiter!$F$23&lt;&gt;"",BI$5&gt;Mitarbeiter!$F$23),0,IF(Planung!BI25="",$C25,IF(ISNUMBER(Planung!BI25),Planung!BI25,IF(UPPER(Planung!BI25)="H",$C25/2,0)))))))</f>
        <v>0</v>
      </c>
      <c r="BJ25" s="27">
        <f>IF($A25="",0,IF(Mitarbeiter!$G$23=FALSE,0,IF(AND(Mitarbeiter!$E$23&lt;&gt;"",BJ$5+6&lt;Mitarbeiter!$E$23),0,IF(AND(Mitarbeiter!$F$23&lt;&gt;"",BJ$5&gt;Mitarbeiter!$F$23),0,IF(Planung!BJ25="",$C25,IF(ISNUMBER(Planung!BJ25),Planung!BJ25,IF(UPPER(Planung!BJ25)="H",$C25/2,0)))))))</f>
        <v>0</v>
      </c>
      <c r="BK25" s="27">
        <f>IF($A25="",0,IF(Mitarbeiter!$G$23=FALSE,0,IF(AND(Mitarbeiter!$E$23&lt;&gt;"",BK$5+6&lt;Mitarbeiter!$E$23),0,IF(AND(Mitarbeiter!$F$23&lt;&gt;"",BK$5&gt;Mitarbeiter!$F$23),0,IF(Planung!BK25="",$C25,IF(ISNUMBER(Planung!BK25),Planung!BK25,IF(UPPER(Planung!BK25)="H",$C25/2,0)))))))</f>
        <v>0</v>
      </c>
      <c r="BL25" s="27">
        <f>IF($A25="",0,IF(Mitarbeiter!$G$23=FALSE,0,IF(AND(Mitarbeiter!$E$23&lt;&gt;"",BL$5+6&lt;Mitarbeiter!$E$23),0,IF(AND(Mitarbeiter!$F$23&lt;&gt;"",BL$5&gt;Mitarbeiter!$F$23),0,IF(Planung!BL25="",$C25,IF(ISNUMBER(Planung!BL25),Planung!BL25,IF(UPPER(Planung!BL25)="H",$C25/2,0)))))))</f>
        <v>0</v>
      </c>
      <c r="BM25" s="27">
        <f>IF($A25="",0,IF(Mitarbeiter!$G$23=FALSE,0,IF(AND(Mitarbeiter!$E$23&lt;&gt;"",BM$5+6&lt;Mitarbeiter!$E$23),0,IF(AND(Mitarbeiter!$F$23&lt;&gt;"",BM$5&gt;Mitarbeiter!$F$23),0,IF(Planung!BM25="",$C25,IF(ISNUMBER(Planung!BM25),Planung!BM25,IF(UPPER(Planung!BM25)="H",$C25/2,0)))))))</f>
        <v>0</v>
      </c>
      <c r="BN25" s="27">
        <f>IF($A25="",0,IF(Mitarbeiter!$G$23=FALSE,0,IF(AND(Mitarbeiter!$E$23&lt;&gt;"",BN$5+6&lt;Mitarbeiter!$E$23),0,IF(AND(Mitarbeiter!$F$23&lt;&gt;"",BN$5&gt;Mitarbeiter!$F$23),0,IF(Planung!BN25="",$C25,IF(ISNUMBER(Planung!BN25),Planung!BN25,IF(UPPER(Planung!BN25)="H",$C25/2,0)))))))</f>
        <v>0</v>
      </c>
      <c r="BO25" s="27">
        <f>IF($A25="",0,IF(Mitarbeiter!$G$23=FALSE,0,IF(AND(Mitarbeiter!$E$23&lt;&gt;"",BO$5+6&lt;Mitarbeiter!$E$23),0,IF(AND(Mitarbeiter!$F$23&lt;&gt;"",BO$5&gt;Mitarbeiter!$F$23),0,IF(Planung!BO25="",$C25,IF(ISNUMBER(Planung!BO25),Planung!BO25,IF(UPPER(Planung!BO25)="H",$C25/2,0)))))))</f>
        <v>0</v>
      </c>
      <c r="BP25" s="27">
        <f>IF($A25="",0,IF(Mitarbeiter!$G$23=FALSE,0,IF(AND(Mitarbeiter!$E$23&lt;&gt;"",BP$5+6&lt;Mitarbeiter!$E$23),0,IF(AND(Mitarbeiter!$F$23&lt;&gt;"",BP$5&gt;Mitarbeiter!$F$23),0,IF(Planung!BP25="",$C25,IF(ISNUMBER(Planung!BP25),Planung!BP25,IF(UPPER(Planung!BP25)="H",$C25/2,0)))))))</f>
        <v>0</v>
      </c>
      <c r="BQ25" s="27">
        <f>IF($A25="",0,IF(Mitarbeiter!$G$23=FALSE,0,IF(AND(Mitarbeiter!$E$23&lt;&gt;"",BQ$5+6&lt;Mitarbeiter!$E$23),0,IF(AND(Mitarbeiter!$F$23&lt;&gt;"",BQ$5&gt;Mitarbeiter!$F$23),0,IF(Planung!BQ25="",$C25,IF(ISNUMBER(Planung!BQ25),Planung!BQ25,IF(UPPER(Planung!BQ25)="H",$C25/2,0)))))))</f>
        <v>0</v>
      </c>
      <c r="BR25" s="27">
        <f>IF($A25="",0,IF(Mitarbeiter!$G$23=FALSE,0,IF(AND(Mitarbeiter!$E$23&lt;&gt;"",BR$5+6&lt;Mitarbeiter!$E$23),0,IF(AND(Mitarbeiter!$F$23&lt;&gt;"",BR$5&gt;Mitarbeiter!$F$23),0,IF(Planung!BR25="",$C25,IF(ISNUMBER(Planung!BR25),Planung!BR25,IF(UPPER(Planung!BR25)="H",$C25/2,0)))))))</f>
        <v>0</v>
      </c>
      <c r="BS25" s="27">
        <f>IF($A25="",0,IF(Mitarbeiter!$G$23=FALSE,0,IF(AND(Mitarbeiter!$E$23&lt;&gt;"",BS$5+6&lt;Mitarbeiter!$E$23),0,IF(AND(Mitarbeiter!$F$23&lt;&gt;"",BS$5&gt;Mitarbeiter!$F$23),0,IF(Planung!BS25="",$C25,IF(ISNUMBER(Planung!BS25),Planung!BS25,IF(UPPER(Planung!BS25)="H",$C25/2,0)))))))</f>
        <v>0</v>
      </c>
      <c r="BT25" s="27">
        <f>IF($A25="",0,IF(Mitarbeiter!$G$23=FALSE,0,IF(AND(Mitarbeiter!$E$23&lt;&gt;"",BT$5+6&lt;Mitarbeiter!$E$23),0,IF(AND(Mitarbeiter!$F$23&lt;&gt;"",BT$5&gt;Mitarbeiter!$F$23),0,IF(Planung!BT25="",$C25,IF(ISNUMBER(Planung!BT25),Planung!BT25,IF(UPPER(Planung!BT25)="H",$C25/2,0)))))))</f>
        <v>0</v>
      </c>
      <c r="BU25" s="27">
        <f>IF($A25="",0,IF(Mitarbeiter!$G$23=FALSE,0,IF(AND(Mitarbeiter!$E$23&lt;&gt;"",BU$5+6&lt;Mitarbeiter!$E$23),0,IF(AND(Mitarbeiter!$F$23&lt;&gt;"",BU$5&gt;Mitarbeiter!$F$23),0,IF(Planung!BU25="",$C25,IF(ISNUMBER(Planung!BU25),Planung!BU25,IF(UPPER(Planung!BU25)="H",$C25/2,0)))))))</f>
        <v>0</v>
      </c>
      <c r="BV25" s="27">
        <f>IF($A25="",0,IF(Mitarbeiter!$G$23=FALSE,0,IF(AND(Mitarbeiter!$E$23&lt;&gt;"",BV$5+6&lt;Mitarbeiter!$E$23),0,IF(AND(Mitarbeiter!$F$23&lt;&gt;"",BV$5&gt;Mitarbeiter!$F$23),0,IF(Planung!BV25="",$C25,IF(ISNUMBER(Planung!BV25),Planung!BV25,IF(UPPER(Planung!BV25)="H",$C25/2,0)))))))</f>
        <v>0</v>
      </c>
      <c r="BW25" s="27">
        <f>IF($A25="",0,IF(Mitarbeiter!$G$23=FALSE,0,IF(AND(Mitarbeiter!$E$23&lt;&gt;"",BW$5+6&lt;Mitarbeiter!$E$23),0,IF(AND(Mitarbeiter!$F$23&lt;&gt;"",BW$5&gt;Mitarbeiter!$F$23),0,IF(Planung!BW25="",$C25,IF(ISNUMBER(Planung!BW25),Planung!BW25,IF(UPPER(Planung!BW25)="H",$C25/2,0)))))))</f>
        <v>0</v>
      </c>
      <c r="BX25" s="27">
        <f>IF($A25="",0,IF(Mitarbeiter!$G$23=FALSE,0,IF(AND(Mitarbeiter!$E$23&lt;&gt;"",BX$5+6&lt;Mitarbeiter!$E$23),0,IF(AND(Mitarbeiter!$F$23&lt;&gt;"",BX$5&gt;Mitarbeiter!$F$23),0,IF(Planung!BX25="",$C25,IF(ISNUMBER(Planung!BX25),Planung!BX25,IF(UPPER(Planung!BX25)="H",$C25/2,0)))))))</f>
        <v>0</v>
      </c>
      <c r="BY25" s="27">
        <f>IF($A25="",0,IF(Mitarbeiter!$G$23=FALSE,0,IF(AND(Mitarbeiter!$E$23&lt;&gt;"",BY$5+6&lt;Mitarbeiter!$E$23),0,IF(AND(Mitarbeiter!$F$23&lt;&gt;"",BY$5&gt;Mitarbeiter!$F$23),0,IF(Planung!BY25="",$C25,IF(ISNUMBER(Planung!BY25),Planung!BY25,IF(UPPER(Planung!BY25)="H",$C25/2,0)))))))</f>
        <v>0</v>
      </c>
      <c r="BZ25" s="27">
        <f>IF($A25="",0,IF(Mitarbeiter!$G$23=FALSE,0,IF(AND(Mitarbeiter!$E$23&lt;&gt;"",BZ$5+6&lt;Mitarbeiter!$E$23),0,IF(AND(Mitarbeiter!$F$23&lt;&gt;"",BZ$5&gt;Mitarbeiter!$F$23),0,IF(Planung!BZ25="",$C25,IF(ISNUMBER(Planung!BZ25),Planung!BZ25,IF(UPPER(Planung!BZ25)="H",$C25/2,0)))))))</f>
        <v>0</v>
      </c>
      <c r="CA25" s="27">
        <f>IF($A25="",0,IF(Mitarbeiter!$G$23=FALSE,0,IF(AND(Mitarbeiter!$E$23&lt;&gt;"",CA$5+6&lt;Mitarbeiter!$E$23),0,IF(AND(Mitarbeiter!$F$23&lt;&gt;"",CA$5&gt;Mitarbeiter!$F$23),0,IF(Planung!CA25="",$C25,IF(ISNUMBER(Planung!CA25),Planung!CA25,IF(UPPER(Planung!CA25)="H",$C25/2,0)))))))</f>
        <v>0</v>
      </c>
      <c r="CB25" s="27">
        <f>IF($A25="",0,IF(Mitarbeiter!$G$23=FALSE,0,IF(AND(Mitarbeiter!$E$23&lt;&gt;"",CB$5+6&lt;Mitarbeiter!$E$23),0,IF(AND(Mitarbeiter!$F$23&lt;&gt;"",CB$5&gt;Mitarbeiter!$F$23),0,IF(Planung!CB25="",$C25,IF(ISNUMBER(Planung!CB25),Planung!CB25,IF(UPPER(Planung!CB25)="H",$C25/2,0)))))))</f>
        <v>0</v>
      </c>
      <c r="CC25" s="27">
        <f>IF($A25="",0,IF(Mitarbeiter!$G$23=FALSE,0,IF(AND(Mitarbeiter!$E$23&lt;&gt;"",CC$5+6&lt;Mitarbeiter!$E$23),0,IF(AND(Mitarbeiter!$F$23&lt;&gt;"",CC$5&gt;Mitarbeiter!$F$23),0,IF(Planung!CC25="",$C25,IF(ISNUMBER(Planung!CC25),Planung!CC25,IF(UPPER(Planung!CC25)="H",$C25/2,0)))))))</f>
        <v>0</v>
      </c>
      <c r="CD25" s="27">
        <f>IF($A25="",0,IF(Mitarbeiter!$G$23=FALSE,0,IF(AND(Mitarbeiter!$E$23&lt;&gt;"",CD$5+6&lt;Mitarbeiter!$E$23),0,IF(AND(Mitarbeiter!$F$23&lt;&gt;"",CD$5&gt;Mitarbeiter!$F$23),0,IF(Planung!CD25="",$C25,IF(ISNUMBER(Planung!CD25),Planung!CD25,IF(UPPER(Planung!CD25)="H",$C25/2,0)))))))</f>
        <v>0</v>
      </c>
      <c r="CE25" s="27">
        <f>IF($A25="",0,IF(Mitarbeiter!$G$23=FALSE,0,IF(AND(Mitarbeiter!$E$23&lt;&gt;"",CE$5+6&lt;Mitarbeiter!$E$23),0,IF(AND(Mitarbeiter!$F$23&lt;&gt;"",CE$5&gt;Mitarbeiter!$F$23),0,IF(Planung!CE25="",$C25,IF(ISNUMBER(Planung!CE25),Planung!CE25,IF(UPPER(Planung!CE25)="H",$C25/2,0)))))))</f>
        <v>0</v>
      </c>
      <c r="CF25" s="27">
        <f>IF($A25="",0,IF(Mitarbeiter!$G$23=FALSE,0,IF(AND(Mitarbeiter!$E$23&lt;&gt;"",CF$5+6&lt;Mitarbeiter!$E$23),0,IF(AND(Mitarbeiter!$F$23&lt;&gt;"",CF$5&gt;Mitarbeiter!$F$23),0,IF(Planung!CF25="",$C25,IF(ISNUMBER(Planung!CF25),Planung!CF25,IF(UPPER(Planung!CF25)="H",$C25/2,0)))))))</f>
        <v>0</v>
      </c>
      <c r="CG25" s="27">
        <f>IF($A25="",0,IF(Mitarbeiter!$G$23=FALSE,0,IF(AND(Mitarbeiter!$E$23&lt;&gt;"",CG$5+6&lt;Mitarbeiter!$E$23),0,IF(AND(Mitarbeiter!$F$23&lt;&gt;"",CG$5&gt;Mitarbeiter!$F$23),0,IF(Planung!CG25="",$C25,IF(ISNUMBER(Planung!CG25),Planung!CG25,IF(UPPER(Planung!CG25)="H",$C25/2,0)))))))</f>
        <v>0</v>
      </c>
      <c r="CH25" s="27">
        <f>IF($A25="",0,IF(Mitarbeiter!$G$23=FALSE,0,IF(AND(Mitarbeiter!$E$23&lt;&gt;"",CH$5+6&lt;Mitarbeiter!$E$23),0,IF(AND(Mitarbeiter!$F$23&lt;&gt;"",CH$5&gt;Mitarbeiter!$F$23),0,IF(Planung!CH25="",$C25,IF(ISNUMBER(Planung!CH25),Planung!CH25,IF(UPPER(Planung!CH25)="H",$C25/2,0)))))))</f>
        <v>0</v>
      </c>
      <c r="CI25" s="27">
        <f>IF($A25="",0,IF(Mitarbeiter!$G$23=FALSE,0,IF(AND(Mitarbeiter!$E$23&lt;&gt;"",CI$5+6&lt;Mitarbeiter!$E$23),0,IF(AND(Mitarbeiter!$F$23&lt;&gt;"",CI$5&gt;Mitarbeiter!$F$23),0,IF(Planung!CI25="",$C25,IF(ISNUMBER(Planung!CI25),Planung!CI25,IF(UPPER(Planung!CI25)="H",$C25/2,0)))))))</f>
        <v>0</v>
      </c>
      <c r="CJ25" s="27">
        <f>IF($A25="",0,IF(Mitarbeiter!$G$23=FALSE,0,IF(AND(Mitarbeiter!$E$23&lt;&gt;"",CJ$5+6&lt;Mitarbeiter!$E$23),0,IF(AND(Mitarbeiter!$F$23&lt;&gt;"",CJ$5&gt;Mitarbeiter!$F$23),0,IF(Planung!CJ25="",$C25,IF(ISNUMBER(Planung!CJ25),Planung!CJ25,IF(UPPER(Planung!CJ25)="H",$C25/2,0)))))))</f>
        <v>0</v>
      </c>
      <c r="CK25" s="27">
        <f>IF($A25="",0,IF(Mitarbeiter!$G$23=FALSE,0,IF(AND(Mitarbeiter!$E$23&lt;&gt;"",CK$5+6&lt;Mitarbeiter!$E$23),0,IF(AND(Mitarbeiter!$F$23&lt;&gt;"",CK$5&gt;Mitarbeiter!$F$23),0,IF(Planung!CK25="",$C25,IF(ISNUMBER(Planung!CK25),Planung!CK25,IF(UPPER(Planung!CK25)="H",$C25/2,0)))))))</f>
        <v>0</v>
      </c>
      <c r="CL25" s="27">
        <f>IF($A25="",0,IF(Mitarbeiter!$G$23=FALSE,0,IF(AND(Mitarbeiter!$E$23&lt;&gt;"",CL$5+6&lt;Mitarbeiter!$E$23),0,IF(AND(Mitarbeiter!$F$23&lt;&gt;"",CL$5&gt;Mitarbeiter!$F$23),0,IF(Planung!CL25="",$C25,IF(ISNUMBER(Planung!CL25),Planung!CL25,IF(UPPER(Planung!CL25)="H",$C25/2,0)))))))</f>
        <v>0</v>
      </c>
      <c r="CM25" s="27">
        <f>IF($A25="",0,IF(Mitarbeiter!$G$23=FALSE,0,IF(AND(Mitarbeiter!$E$23&lt;&gt;"",CM$5+6&lt;Mitarbeiter!$E$23),0,IF(AND(Mitarbeiter!$F$23&lt;&gt;"",CM$5&gt;Mitarbeiter!$F$23),0,IF(Planung!CM25="",$C25,IF(ISNUMBER(Planung!CM25),Planung!CM25,IF(UPPER(Planung!CM25)="H",$C25/2,0)))))))</f>
        <v>0</v>
      </c>
      <c r="CN25" s="27">
        <f>IF($A25="",0,IF(Mitarbeiter!$G$23=FALSE,0,IF(AND(Mitarbeiter!$E$23&lt;&gt;"",CN$5+6&lt;Mitarbeiter!$E$23),0,IF(AND(Mitarbeiter!$F$23&lt;&gt;"",CN$5&gt;Mitarbeiter!$F$23),0,IF(Planung!CN25="",$C25,IF(ISNUMBER(Planung!CN25),Planung!CN25,IF(UPPER(Planung!CN25)="H",$C25/2,0)))))))</f>
        <v>0</v>
      </c>
      <c r="CO25" s="27">
        <f>IF($A25="",0,IF(Mitarbeiter!$G$23=FALSE,0,IF(AND(Mitarbeiter!$E$23&lt;&gt;"",CO$5+6&lt;Mitarbeiter!$E$23),0,IF(AND(Mitarbeiter!$F$23&lt;&gt;"",CO$5&gt;Mitarbeiter!$F$23),0,IF(Planung!CO25="",$C25,IF(ISNUMBER(Planung!CO25),Planung!CO25,IF(UPPER(Planung!CO25)="H",$C25/2,0)))))))</f>
        <v>0</v>
      </c>
      <c r="CP25" s="27">
        <f>IF($A25="",0,IF(Mitarbeiter!$G$23=FALSE,0,IF(AND(Mitarbeiter!$E$23&lt;&gt;"",CP$5+6&lt;Mitarbeiter!$E$23),0,IF(AND(Mitarbeiter!$F$23&lt;&gt;"",CP$5&gt;Mitarbeiter!$F$23),0,IF(Planung!CP25="",$C25,IF(ISNUMBER(Planung!CP25),Planung!CP25,IF(UPPER(Planung!CP25)="H",$C25/2,0)))))))</f>
        <v>0</v>
      </c>
      <c r="CQ25" s="27">
        <f>IF($A25="",0,IF(Mitarbeiter!$G$23=FALSE,0,IF(AND(Mitarbeiter!$E$23&lt;&gt;"",CQ$5+6&lt;Mitarbeiter!$E$23),0,IF(AND(Mitarbeiter!$F$23&lt;&gt;"",CQ$5&gt;Mitarbeiter!$F$23),0,IF(Planung!CQ25="",$C25,IF(ISNUMBER(Planung!CQ25),Planung!CQ25,IF(UPPER(Planung!CQ25)="H",$C25/2,0)))))))</f>
        <v>0</v>
      </c>
      <c r="CR25" s="27">
        <f>IF($A25="",0,IF(Mitarbeiter!$G$23=FALSE,0,IF(AND(Mitarbeiter!$E$23&lt;&gt;"",CR$5+6&lt;Mitarbeiter!$E$23),0,IF(AND(Mitarbeiter!$F$23&lt;&gt;"",CR$5&gt;Mitarbeiter!$F$23),0,IF(Planung!CR25="",$C25,IF(ISNUMBER(Planung!CR25),Planung!CR25,IF(UPPER(Planung!CR25)="H",$C25/2,0)))))))</f>
        <v>0</v>
      </c>
      <c r="CS25" s="27">
        <f>IF($A25="",0,IF(Mitarbeiter!$G$23=FALSE,0,IF(AND(Mitarbeiter!$E$23&lt;&gt;"",CS$5+6&lt;Mitarbeiter!$E$23),0,IF(AND(Mitarbeiter!$F$23&lt;&gt;"",CS$5&gt;Mitarbeiter!$F$23),0,IF(Planung!CS25="",$C25,IF(ISNUMBER(Planung!CS25),Planung!CS25,IF(UPPER(Planung!CS25)="H",$C25/2,0)))))))</f>
        <v>0</v>
      </c>
      <c r="CT25" s="27">
        <f>IF($A25="",0,IF(Mitarbeiter!$G$23=FALSE,0,IF(AND(Mitarbeiter!$E$23&lt;&gt;"",CT$5+6&lt;Mitarbeiter!$E$23),0,IF(AND(Mitarbeiter!$F$23&lt;&gt;"",CT$5&gt;Mitarbeiter!$F$23),0,IF(Planung!CT25="",$C25,IF(ISNUMBER(Planung!CT25),Planung!CT25,IF(UPPER(Planung!CT25)="H",$C25/2,0)))))))</f>
        <v>0</v>
      </c>
      <c r="CU25" s="27">
        <f>IF($A25="",0,IF(Mitarbeiter!$G$23=FALSE,0,IF(AND(Mitarbeiter!$E$23&lt;&gt;"",CU$5+6&lt;Mitarbeiter!$E$23),0,IF(AND(Mitarbeiter!$F$23&lt;&gt;"",CU$5&gt;Mitarbeiter!$F$23),0,IF(Planung!CU25="",$C25,IF(ISNUMBER(Planung!CU25),Planung!CU25,IF(UPPER(Planung!CU25)="H",$C25/2,0)))))))</f>
        <v>0</v>
      </c>
      <c r="CV25" s="27">
        <f>IF($A25="",0,IF(Mitarbeiter!$G$23=FALSE,0,IF(AND(Mitarbeiter!$E$23&lt;&gt;"",CV$5+6&lt;Mitarbeiter!$E$23),0,IF(AND(Mitarbeiter!$F$23&lt;&gt;"",CV$5&gt;Mitarbeiter!$F$23),0,IF(Planung!CV25="",$C25,IF(ISNUMBER(Planung!CV25),Planung!CV25,IF(UPPER(Planung!CV25)="H",$C25/2,0)))))))</f>
        <v>0</v>
      </c>
      <c r="CW25" s="27">
        <f>IF($A25="",0,IF(Mitarbeiter!$G$23=FALSE,0,IF(AND(Mitarbeiter!$E$23&lt;&gt;"",CW$5+6&lt;Mitarbeiter!$E$23),0,IF(AND(Mitarbeiter!$F$23&lt;&gt;"",CW$5&gt;Mitarbeiter!$F$23),0,IF(Planung!CW25="",$C25,IF(ISNUMBER(Planung!CW25),Planung!CW25,IF(UPPER(Planung!CW25)="H",$C25/2,0)))))))</f>
        <v>0</v>
      </c>
      <c r="CX25" s="27">
        <f>IF($A25="",0,IF(Mitarbeiter!$G$23=FALSE,0,IF(AND(Mitarbeiter!$E$23&lt;&gt;"",CX$5+6&lt;Mitarbeiter!$E$23),0,IF(AND(Mitarbeiter!$F$23&lt;&gt;"",CX$5&gt;Mitarbeiter!$F$23),0,IF(Planung!CX25="",$C25,IF(ISNUMBER(Planung!CX25),Planung!CX25,IF(UPPER(Planung!CX25)="H",$C25/2,0)))))))</f>
        <v>0</v>
      </c>
      <c r="CY25" s="27">
        <f>IF($A25="",0,IF(Mitarbeiter!$G$23=FALSE,0,IF(AND(Mitarbeiter!$E$23&lt;&gt;"",CY$5+6&lt;Mitarbeiter!$E$23),0,IF(AND(Mitarbeiter!$F$23&lt;&gt;"",CY$5&gt;Mitarbeiter!$F$23),0,IF(Planung!CY25="",$C25,IF(ISNUMBER(Planung!CY25),Planung!CY25,IF(UPPER(Planung!CY25)="H",$C25/2,0)))))))</f>
        <v>0</v>
      </c>
      <c r="CZ25" s="27">
        <f>IF($A25="",0,IF(Mitarbeiter!$G$23=FALSE,0,IF(AND(Mitarbeiter!$E$23&lt;&gt;"",CZ$5+6&lt;Mitarbeiter!$E$23),0,IF(AND(Mitarbeiter!$F$23&lt;&gt;"",CZ$5&gt;Mitarbeiter!$F$23),0,IF(Planung!CZ25="",$C25,IF(ISNUMBER(Planung!CZ25),Planung!CZ25,IF(UPPER(Planung!CZ25)="H",$C25/2,0)))))))</f>
        <v>0</v>
      </c>
      <c r="DA25" s="27">
        <f>IF($A25="",0,IF(Mitarbeiter!$G$23=FALSE,0,IF(AND(Mitarbeiter!$E$23&lt;&gt;"",DA$5+6&lt;Mitarbeiter!$E$23),0,IF(AND(Mitarbeiter!$F$23&lt;&gt;"",DA$5&gt;Mitarbeiter!$F$23),0,IF(Planung!DA25="",$C25,IF(ISNUMBER(Planung!DA25),Planung!DA25,IF(UPPER(Planung!DA25)="H",$C25/2,0)))))))</f>
        <v>0</v>
      </c>
      <c r="DB25" s="27">
        <f>IF($A25="",0,IF(Mitarbeiter!$G$23=FALSE,0,IF(AND(Mitarbeiter!$E$23&lt;&gt;"",DB$5+6&lt;Mitarbeiter!$E$23),0,IF(AND(Mitarbeiter!$F$23&lt;&gt;"",DB$5&gt;Mitarbeiter!$F$23),0,IF(Planung!DB25="",$C25,IF(ISNUMBER(Planung!DB25),Planung!DB25,IF(UPPER(Planung!DB25)="H",$C25/2,0)))))))</f>
        <v>0</v>
      </c>
      <c r="DC25" s="27">
        <f>IF($A25="",0,IF(Mitarbeiter!$G$23=FALSE,0,IF(AND(Mitarbeiter!$E$23&lt;&gt;"",DC$5+6&lt;Mitarbeiter!$E$23),0,IF(AND(Mitarbeiter!$F$23&lt;&gt;"",DC$5&gt;Mitarbeiter!$F$23),0,IF(Planung!DC25="",$C25,IF(ISNUMBER(Planung!DC25),Planung!DC25,IF(UPPER(Planung!DC25)="H",$C25/2,0)))))))</f>
        <v>0</v>
      </c>
      <c r="DD25" s="27">
        <f>IF($A25="",0,IF(Mitarbeiter!$G$23=FALSE,0,IF(AND(Mitarbeiter!$E$23&lt;&gt;"",DD$5+6&lt;Mitarbeiter!$E$23),0,IF(AND(Mitarbeiter!$F$23&lt;&gt;"",DD$5&gt;Mitarbeiter!$F$23),0,IF(Planung!DD25="",$C25,IF(ISNUMBER(Planung!DD25),Planung!DD25,IF(UPPER(Planung!DD25)="H",$C25/2,0)))))))</f>
        <v>0</v>
      </c>
      <c r="DE25" s="27">
        <f>IF($A25="",0,IF(Mitarbeiter!$G$23=FALSE,0,IF(AND(Mitarbeiter!$E$23&lt;&gt;"",DE$5+6&lt;Mitarbeiter!$E$23),0,IF(AND(Mitarbeiter!$F$23&lt;&gt;"",DE$5&gt;Mitarbeiter!$F$23),0,IF(Planung!DE25="",$C25,IF(ISNUMBER(Planung!DE25),Planung!DE25,IF(UPPER(Planung!DE25)="H",$C25/2,0)))))))</f>
        <v>0</v>
      </c>
      <c r="DF25" s="27">
        <f>IF($A25="",0,IF(Mitarbeiter!$G$23=FALSE,0,IF(AND(Mitarbeiter!$E$23&lt;&gt;"",DF$5+6&lt;Mitarbeiter!$E$23),0,IF(AND(Mitarbeiter!$F$23&lt;&gt;"",DF$5&gt;Mitarbeiter!$F$23),0,IF(Planung!DF25="",$C25,IF(ISNUMBER(Planung!DF25),Planung!DF25,IF(UPPER(Planung!DF25)="H",$C25/2,0)))))))</f>
        <v>0</v>
      </c>
      <c r="DG25" s="27">
        <f>IF($A25="",0,IF(Mitarbeiter!$G$23=FALSE,0,IF(AND(Mitarbeiter!$E$23&lt;&gt;"",DG$5+6&lt;Mitarbeiter!$E$23),0,IF(AND(Mitarbeiter!$F$23&lt;&gt;"",DG$5&gt;Mitarbeiter!$F$23),0,IF(Planung!DG25="",$C25,IF(ISNUMBER(Planung!DG25),Planung!DG25,IF(UPPER(Planung!DG25)="H",$C25/2,0)))))))</f>
        <v>0</v>
      </c>
      <c r="DH25" s="27">
        <f>IF($A25="",0,IF(Mitarbeiter!$G$23=FALSE,0,IF(AND(Mitarbeiter!$E$23&lt;&gt;"",DH$5+6&lt;Mitarbeiter!$E$23),0,IF(AND(Mitarbeiter!$F$23&lt;&gt;"",DH$5&gt;Mitarbeiter!$F$23),0,IF(Planung!DH25="",$C25,IF(ISNUMBER(Planung!DH25),Planung!DH25,IF(UPPER(Planung!DH25)="H",$C25/2,0)))))))</f>
        <v>0</v>
      </c>
      <c r="DI25" s="27">
        <f>IF($A25="",0,IF(Mitarbeiter!$G$23=FALSE,0,IF(AND(Mitarbeiter!$E$23&lt;&gt;"",DI$5+6&lt;Mitarbeiter!$E$23),0,IF(AND(Mitarbeiter!$F$23&lt;&gt;"",DI$5&gt;Mitarbeiter!$F$23),0,IF(Planung!DI25="",$C25,IF(ISNUMBER(Planung!DI25),Planung!DI25,IF(UPPER(Planung!DI25)="H",$C25/2,0)))))))</f>
        <v>0</v>
      </c>
      <c r="DJ25" s="27">
        <f>IF($A25="",0,IF(Mitarbeiter!$G$23=FALSE,0,IF(AND(Mitarbeiter!$E$23&lt;&gt;"",DJ$5+6&lt;Mitarbeiter!$E$23),0,IF(AND(Mitarbeiter!$F$23&lt;&gt;"",DJ$5&gt;Mitarbeiter!$F$23),0,IF(Planung!DJ25="",$C25,IF(ISNUMBER(Planung!DJ25),Planung!DJ25,IF(UPPER(Planung!DJ25)="H",$C25/2,0)))))))</f>
        <v>0</v>
      </c>
      <c r="DK25" s="27">
        <f>IF($A25="",0,IF(Mitarbeiter!$G$23=FALSE,0,IF(AND(Mitarbeiter!$E$23&lt;&gt;"",DK$5+6&lt;Mitarbeiter!$E$23),0,IF(AND(Mitarbeiter!$F$23&lt;&gt;"",DK$5&gt;Mitarbeiter!$F$23),0,IF(Planung!DK25="",$C25,IF(ISNUMBER(Planung!DK25),Planung!DK25,IF(UPPER(Planung!DK25)="H",$C25/2,0)))))))</f>
        <v>0</v>
      </c>
      <c r="DL25" s="27">
        <f>IF($A25="",0,IF(Mitarbeiter!$G$23=FALSE,0,IF(AND(Mitarbeiter!$E$23&lt;&gt;"",DL$5+6&lt;Mitarbeiter!$E$23),0,IF(AND(Mitarbeiter!$F$23&lt;&gt;"",DL$5&gt;Mitarbeiter!$F$23),0,IF(Planung!DL25="",$C25,IF(ISNUMBER(Planung!DL25),Planung!DL25,IF(UPPER(Planung!DL25)="H",$C25/2,0)))))))</f>
        <v>0</v>
      </c>
      <c r="DM25" s="27">
        <f>IF($A25="",0,IF(Mitarbeiter!$G$23=FALSE,0,IF(AND(Mitarbeiter!$E$23&lt;&gt;"",DM$5+6&lt;Mitarbeiter!$E$23),0,IF(AND(Mitarbeiter!$F$23&lt;&gt;"",DM$5&gt;Mitarbeiter!$F$23),0,IF(Planung!DM25="",$C25,IF(ISNUMBER(Planung!DM25),Planung!DM25,IF(UPPER(Planung!DM25)="H",$C25/2,0)))))))</f>
        <v>0</v>
      </c>
      <c r="DN25" s="27">
        <f>IF($A25="",0,IF(Mitarbeiter!$G$23=FALSE,0,IF(AND(Mitarbeiter!$E$23&lt;&gt;"",DN$5+6&lt;Mitarbeiter!$E$23),0,IF(AND(Mitarbeiter!$F$23&lt;&gt;"",DN$5&gt;Mitarbeiter!$F$23),0,IF(Planung!DN25="",$C25,IF(ISNUMBER(Planung!DN25),Planung!DN25,IF(UPPER(Planung!DN25)="H",$C25/2,0)))))))</f>
        <v>0</v>
      </c>
      <c r="DO25" s="27">
        <f>IF($A25="",0,IF(Mitarbeiter!$G$23=FALSE,0,IF(AND(Mitarbeiter!$E$23&lt;&gt;"",DO$5+6&lt;Mitarbeiter!$E$23),0,IF(AND(Mitarbeiter!$F$23&lt;&gt;"",DO$5&gt;Mitarbeiter!$F$23),0,IF(Planung!DO25="",$C25,IF(ISNUMBER(Planung!DO25),Planung!DO25,IF(UPPER(Planung!DO25)="H",$C25/2,0)))))))</f>
        <v>0</v>
      </c>
      <c r="DP25" s="27">
        <f>IF($A25="",0,IF(Mitarbeiter!$G$23=FALSE,0,IF(AND(Mitarbeiter!$E$23&lt;&gt;"",DP$5+6&lt;Mitarbeiter!$E$23),0,IF(AND(Mitarbeiter!$F$23&lt;&gt;"",DP$5&gt;Mitarbeiter!$F$23),0,IF(Planung!DP25="",$C25,IF(ISNUMBER(Planung!DP25),Planung!DP25,IF(UPPER(Planung!DP25)="H",$C25/2,0)))))))</f>
        <v>0</v>
      </c>
      <c r="DQ25" s="27">
        <f>IF($A25="",0,IF(Mitarbeiter!$G$23=FALSE,0,IF(AND(Mitarbeiter!$E$23&lt;&gt;"",DQ$5+6&lt;Mitarbeiter!$E$23),0,IF(AND(Mitarbeiter!$F$23&lt;&gt;"",DQ$5&gt;Mitarbeiter!$F$23),0,IF(Planung!DQ25="",$C25,IF(ISNUMBER(Planung!DQ25),Planung!DQ25,IF(UPPER(Planung!DQ25)="H",$C25/2,0)))))))</f>
        <v>0</v>
      </c>
      <c r="DR25" s="27">
        <f>IF($A25="",0,IF(Mitarbeiter!$G$23=FALSE,0,IF(AND(Mitarbeiter!$E$23&lt;&gt;"",DR$5+6&lt;Mitarbeiter!$E$23),0,IF(AND(Mitarbeiter!$F$23&lt;&gt;"",DR$5&gt;Mitarbeiter!$F$23),0,IF(Planung!DR25="",$C25,IF(ISNUMBER(Planung!DR25),Planung!DR25,IF(UPPER(Planung!DR25)="H",$C25/2,0)))))))</f>
        <v>0</v>
      </c>
      <c r="DS25" s="27">
        <f>IF($A25="",0,IF(Mitarbeiter!$G$23=FALSE,0,IF(AND(Mitarbeiter!$E$23&lt;&gt;"",DS$5+6&lt;Mitarbeiter!$E$23),0,IF(AND(Mitarbeiter!$F$23&lt;&gt;"",DS$5&gt;Mitarbeiter!$F$23),0,IF(Planung!DS25="",$C25,IF(ISNUMBER(Planung!DS25),Planung!DS25,IF(UPPER(Planung!DS25)="H",$C25/2,0)))))))</f>
        <v>0</v>
      </c>
      <c r="DT25" s="27">
        <f>IF($A25="",0,IF(Mitarbeiter!$G$23=FALSE,0,IF(AND(Mitarbeiter!$E$23&lt;&gt;"",DT$5+6&lt;Mitarbeiter!$E$23),0,IF(AND(Mitarbeiter!$F$23&lt;&gt;"",DT$5&gt;Mitarbeiter!$F$23),0,IF(Planung!DT25="",$C25,IF(ISNUMBER(Planung!DT25),Planung!DT25,IF(UPPER(Planung!DT25)="H",$C25/2,0)))))))</f>
        <v>0</v>
      </c>
      <c r="DU25" s="27">
        <f>IF($A25="",0,IF(Mitarbeiter!$G$23=FALSE,0,IF(AND(Mitarbeiter!$E$23&lt;&gt;"",DU$5+6&lt;Mitarbeiter!$E$23),0,IF(AND(Mitarbeiter!$F$23&lt;&gt;"",DU$5&gt;Mitarbeiter!$F$23),0,IF(Planung!DU25="",$C25,IF(ISNUMBER(Planung!DU25),Planung!DU25,IF(UPPER(Planung!DU25)="H",$C25/2,0)))))))</f>
        <v>0</v>
      </c>
      <c r="DV25" s="27">
        <f>IF($A25="",0,IF(Mitarbeiter!$G$23=FALSE,0,IF(AND(Mitarbeiter!$E$23&lt;&gt;"",DV$5+6&lt;Mitarbeiter!$E$23),0,IF(AND(Mitarbeiter!$F$23&lt;&gt;"",DV$5&gt;Mitarbeiter!$F$23),0,IF(Planung!DV25="",$C25,IF(ISNUMBER(Planung!DV25),Planung!DV25,IF(UPPER(Planung!DV25)="H",$C25/2,0)))))))</f>
        <v>0</v>
      </c>
      <c r="DW25" s="27">
        <f>IF($A25="",0,IF(Mitarbeiter!$G$23=FALSE,0,IF(AND(Mitarbeiter!$E$23&lt;&gt;"",DW$5+6&lt;Mitarbeiter!$E$23),0,IF(AND(Mitarbeiter!$F$23&lt;&gt;"",DW$5&gt;Mitarbeiter!$F$23),0,IF(Planung!DW25="",$C25,IF(ISNUMBER(Planung!DW25),Planung!DW25,IF(UPPER(Planung!DW25)="H",$C25/2,0)))))))</f>
        <v>0</v>
      </c>
      <c r="DX25" s="27">
        <f>IF($A25="",0,IF(Mitarbeiter!$G$23=FALSE,0,IF(AND(Mitarbeiter!$E$23&lt;&gt;"",DX$5+6&lt;Mitarbeiter!$E$23),0,IF(AND(Mitarbeiter!$F$23&lt;&gt;"",DX$5&gt;Mitarbeiter!$F$23),0,IF(Planung!DX25="",$C25,IF(ISNUMBER(Planung!DX25),Planung!DX25,IF(UPPER(Planung!DX25)="H",$C25/2,0)))))))</f>
        <v>0</v>
      </c>
      <c r="DY25" s="27">
        <f>IF($A25="",0,IF(Mitarbeiter!$G$23=FALSE,0,IF(AND(Mitarbeiter!$E$23&lt;&gt;"",DY$5+6&lt;Mitarbeiter!$E$23),0,IF(AND(Mitarbeiter!$F$23&lt;&gt;"",DY$5&gt;Mitarbeiter!$F$23),0,IF(Planung!DY25="",$C25,IF(ISNUMBER(Planung!DY25),Planung!DY25,IF(UPPER(Planung!DY25)="H",$C25/2,0)))))))</f>
        <v>0</v>
      </c>
      <c r="DZ25" s="27">
        <f>IF($A25="",0,IF(Mitarbeiter!$G$23=FALSE,0,IF(AND(Mitarbeiter!$E$23&lt;&gt;"",DZ$5+6&lt;Mitarbeiter!$E$23),0,IF(AND(Mitarbeiter!$F$23&lt;&gt;"",DZ$5&gt;Mitarbeiter!$F$23),0,IF(Planung!DZ25="",$C25,IF(ISNUMBER(Planung!DZ25),Planung!DZ25,IF(UPPER(Planung!DZ25)="H",$C25/2,0)))))))</f>
        <v>0</v>
      </c>
      <c r="EA25" s="27">
        <f>IF($A25="",0,IF(Mitarbeiter!$G$23=FALSE,0,IF(AND(Mitarbeiter!$E$23&lt;&gt;"",EA$5+6&lt;Mitarbeiter!$E$23),0,IF(AND(Mitarbeiter!$F$23&lt;&gt;"",EA$5&gt;Mitarbeiter!$F$23),0,IF(Planung!EA25="",$C25,IF(ISNUMBER(Planung!EA25),Planung!EA25,IF(UPPER(Planung!EA25)="H",$C25/2,0)))))))</f>
        <v>0</v>
      </c>
      <c r="EB25" s="27">
        <f>IF($A25="",0,IF(Mitarbeiter!$G$23=FALSE,0,IF(AND(Mitarbeiter!$E$23&lt;&gt;"",EB$5+6&lt;Mitarbeiter!$E$23),0,IF(AND(Mitarbeiter!$F$23&lt;&gt;"",EB$5&gt;Mitarbeiter!$F$23),0,IF(Planung!EB25="",$C25,IF(ISNUMBER(Planung!EB25),Planung!EB25,IF(UPPER(Planung!EB25)="H",$C25/2,0)))))))</f>
        <v>0</v>
      </c>
      <c r="EC25" s="27">
        <f>IF($A25="",0,IF(Mitarbeiter!$G$23=FALSE,0,IF(AND(Mitarbeiter!$E$23&lt;&gt;"",EC$5+6&lt;Mitarbeiter!$E$23),0,IF(AND(Mitarbeiter!$F$23&lt;&gt;"",EC$5&gt;Mitarbeiter!$F$23),0,IF(Planung!EC25="",$C25,IF(ISNUMBER(Planung!EC25),Planung!EC25,IF(UPPER(Planung!EC25)="H",$C25/2,0)))))))</f>
        <v>0</v>
      </c>
      <c r="ED25" s="27">
        <f>IF($A25="",0,IF(Mitarbeiter!$G$23=FALSE,0,IF(AND(Mitarbeiter!$E$23&lt;&gt;"",ED$5+6&lt;Mitarbeiter!$E$23),0,IF(AND(Mitarbeiter!$F$23&lt;&gt;"",ED$5&gt;Mitarbeiter!$F$23),0,IF(Planung!ED25="",$C25,IF(ISNUMBER(Planung!ED25),Planung!ED25,IF(UPPER(Planung!ED25)="H",$C25/2,0)))))))</f>
        <v>0</v>
      </c>
      <c r="EE25" s="27">
        <f>IF($A25="",0,IF(Mitarbeiter!$G$23=FALSE,0,IF(AND(Mitarbeiter!$E$23&lt;&gt;"",EE$5+6&lt;Mitarbeiter!$E$23),0,IF(AND(Mitarbeiter!$F$23&lt;&gt;"",EE$5&gt;Mitarbeiter!$F$23),0,IF(Planung!EE25="",$C25,IF(ISNUMBER(Planung!EE25),Planung!EE25,IF(UPPER(Planung!EE25)="H",$C25/2,0)))))))</f>
        <v>0</v>
      </c>
      <c r="EF25" s="27">
        <f>IF($A25="",0,IF(Mitarbeiter!$G$23=FALSE,0,IF(AND(Mitarbeiter!$E$23&lt;&gt;"",EF$5+6&lt;Mitarbeiter!$E$23),0,IF(AND(Mitarbeiter!$F$23&lt;&gt;"",EF$5&gt;Mitarbeiter!$F$23),0,IF(Planung!EF25="",$C25,IF(ISNUMBER(Planung!EF25),Planung!EF25,IF(UPPER(Planung!EF25)="H",$C25/2,0)))))))</f>
        <v>0</v>
      </c>
      <c r="EG25" s="27">
        <f>IF($A25="",0,IF(Mitarbeiter!$G$23=FALSE,0,IF(AND(Mitarbeiter!$E$23&lt;&gt;"",EG$5+6&lt;Mitarbeiter!$E$23),0,IF(AND(Mitarbeiter!$F$23&lt;&gt;"",EG$5&gt;Mitarbeiter!$F$23),0,IF(Planung!EG25="",$C25,IF(ISNUMBER(Planung!EG25),Planung!EG25,IF(UPPER(Planung!EG25)="H",$C25/2,0)))))))</f>
        <v>0</v>
      </c>
      <c r="EH25" s="27">
        <f>IF($A25="",0,IF(Mitarbeiter!$G$23=FALSE,0,IF(AND(Mitarbeiter!$E$23&lt;&gt;"",EH$5+6&lt;Mitarbeiter!$E$23),0,IF(AND(Mitarbeiter!$F$23&lt;&gt;"",EH$5&gt;Mitarbeiter!$F$23),0,IF(Planung!EH25="",$C25,IF(ISNUMBER(Planung!EH25),Planung!EH25,IF(UPPER(Planung!EH25)="H",$C25/2,0)))))))</f>
        <v>0</v>
      </c>
      <c r="EI25" s="27">
        <f>IF($A25="",0,IF(Mitarbeiter!$G$23=FALSE,0,IF(AND(Mitarbeiter!$E$23&lt;&gt;"",EI$5+6&lt;Mitarbeiter!$E$23),0,IF(AND(Mitarbeiter!$F$23&lt;&gt;"",EI$5&gt;Mitarbeiter!$F$23),0,IF(Planung!EI25="",$C25,IF(ISNUMBER(Planung!EI25),Planung!EI25,IF(UPPER(Planung!EI25)="H",$C25/2,0)))))))</f>
        <v>0</v>
      </c>
      <c r="EJ25" s="27">
        <f>IF($A25="",0,IF(Mitarbeiter!$G$23=FALSE,0,IF(AND(Mitarbeiter!$E$23&lt;&gt;"",EJ$5+6&lt;Mitarbeiter!$E$23),0,IF(AND(Mitarbeiter!$F$23&lt;&gt;"",EJ$5&gt;Mitarbeiter!$F$23),0,IF(Planung!EJ25="",$C25,IF(ISNUMBER(Planung!EJ25),Planung!EJ25,IF(UPPER(Planung!EJ25)="H",$C25/2,0)))))))</f>
        <v>0</v>
      </c>
      <c r="EK25" s="27">
        <f>IF($A25="",0,IF(Mitarbeiter!$G$23=FALSE,0,IF(AND(Mitarbeiter!$E$23&lt;&gt;"",EK$5+6&lt;Mitarbeiter!$E$23),0,IF(AND(Mitarbeiter!$F$23&lt;&gt;"",EK$5&gt;Mitarbeiter!$F$23),0,IF(Planung!EK25="",$C25,IF(ISNUMBER(Planung!EK25),Planung!EK25,IF(UPPER(Planung!EK25)="H",$C25/2,0)))))))</f>
        <v>0</v>
      </c>
      <c r="EL25" s="27">
        <f>IF($A25="",0,IF(Mitarbeiter!$G$23=FALSE,0,IF(AND(Mitarbeiter!$E$23&lt;&gt;"",EL$5+6&lt;Mitarbeiter!$E$23),0,IF(AND(Mitarbeiter!$F$23&lt;&gt;"",EL$5&gt;Mitarbeiter!$F$23),0,IF(Planung!EL25="",$C25,IF(ISNUMBER(Planung!EL25),Planung!EL25,IF(UPPER(Planung!EL25)="H",$C25/2,0)))))))</f>
        <v>0</v>
      </c>
      <c r="EM25" s="27">
        <f>IF($A25="",0,IF(Mitarbeiter!$G$23=FALSE,0,IF(AND(Mitarbeiter!$E$23&lt;&gt;"",EM$5+6&lt;Mitarbeiter!$E$23),0,IF(AND(Mitarbeiter!$F$23&lt;&gt;"",EM$5&gt;Mitarbeiter!$F$23),0,IF(Planung!EM25="",$C25,IF(ISNUMBER(Planung!EM25),Planung!EM25,IF(UPPER(Planung!EM25)="H",$C25/2,0)))))))</f>
        <v>0</v>
      </c>
      <c r="EN25" s="27">
        <f>IF($A25="",0,IF(Mitarbeiter!$G$23=FALSE,0,IF(AND(Mitarbeiter!$E$23&lt;&gt;"",EN$5+6&lt;Mitarbeiter!$E$23),0,IF(AND(Mitarbeiter!$F$23&lt;&gt;"",EN$5&gt;Mitarbeiter!$F$23),0,IF(Planung!EN25="",$C25,IF(ISNUMBER(Planung!EN25),Planung!EN25,IF(UPPER(Planung!EN25)="H",$C25/2,0)))))))</f>
        <v>0</v>
      </c>
      <c r="EO25" s="27">
        <f>IF($A25="",0,IF(Mitarbeiter!$G$23=FALSE,0,IF(AND(Mitarbeiter!$E$23&lt;&gt;"",EO$5+6&lt;Mitarbeiter!$E$23),0,IF(AND(Mitarbeiter!$F$23&lt;&gt;"",EO$5&gt;Mitarbeiter!$F$23),0,IF(Planung!EO25="",$C25,IF(ISNUMBER(Planung!EO25),Planung!EO25,IF(UPPER(Planung!EO25)="H",$C25/2,0)))))))</f>
        <v>0</v>
      </c>
      <c r="EP25" s="27">
        <f>IF($A25="",0,IF(Mitarbeiter!$G$23=FALSE,0,IF(AND(Mitarbeiter!$E$23&lt;&gt;"",EP$5+6&lt;Mitarbeiter!$E$23),0,IF(AND(Mitarbeiter!$F$23&lt;&gt;"",EP$5&gt;Mitarbeiter!$F$23),0,IF(Planung!EP25="",$C25,IF(ISNUMBER(Planung!EP25),Planung!EP25,IF(UPPER(Planung!EP25)="H",$C25/2,0)))))))</f>
        <v>0</v>
      </c>
      <c r="EQ25" s="27">
        <f>IF($A25="",0,IF(Mitarbeiter!$G$23=FALSE,0,IF(AND(Mitarbeiter!$E$23&lt;&gt;"",EQ$5+6&lt;Mitarbeiter!$E$23),0,IF(AND(Mitarbeiter!$F$23&lt;&gt;"",EQ$5&gt;Mitarbeiter!$F$23),0,IF(Planung!EQ25="",$C25,IF(ISNUMBER(Planung!EQ25),Planung!EQ25,IF(UPPER(Planung!EQ25)="H",$C25/2,0)))))))</f>
        <v>0</v>
      </c>
      <c r="ER25" s="27">
        <f>IF($A25="",0,IF(Mitarbeiter!$G$23=FALSE,0,IF(AND(Mitarbeiter!$E$23&lt;&gt;"",ER$5+6&lt;Mitarbeiter!$E$23),0,IF(AND(Mitarbeiter!$F$23&lt;&gt;"",ER$5&gt;Mitarbeiter!$F$23),0,IF(Planung!ER25="",$C25,IF(ISNUMBER(Planung!ER25),Planung!ER25,IF(UPPER(Planung!ER25)="H",$C25/2,0)))))))</f>
        <v>0</v>
      </c>
      <c r="ES25" s="27">
        <f>IF($A25="",0,IF(Mitarbeiter!$G$23=FALSE,0,IF(AND(Mitarbeiter!$E$23&lt;&gt;"",ES$5+6&lt;Mitarbeiter!$E$23),0,IF(AND(Mitarbeiter!$F$23&lt;&gt;"",ES$5&gt;Mitarbeiter!$F$23),0,IF(Planung!ES25="",$C25,IF(ISNUMBER(Planung!ES25),Planung!ES25,IF(UPPER(Planung!ES25)="H",$C25/2,0)))))))</f>
        <v>0</v>
      </c>
      <c r="ET25" s="27">
        <f>IF($A25="",0,IF(Mitarbeiter!$G$23=FALSE,0,IF(AND(Mitarbeiter!$E$23&lt;&gt;"",ET$5+6&lt;Mitarbeiter!$E$23),0,IF(AND(Mitarbeiter!$F$23&lt;&gt;"",ET$5&gt;Mitarbeiter!$F$23),0,IF(Planung!ET25="",$C25,IF(ISNUMBER(Planung!ET25),Planung!ET25,IF(UPPER(Planung!ET25)="H",$C25/2,0)))))))</f>
        <v>0</v>
      </c>
      <c r="EU25" s="27">
        <f>IF($A25="",0,IF(Mitarbeiter!$G$23=FALSE,0,IF(AND(Mitarbeiter!$E$23&lt;&gt;"",EU$5+6&lt;Mitarbeiter!$E$23),0,IF(AND(Mitarbeiter!$F$23&lt;&gt;"",EU$5&gt;Mitarbeiter!$F$23),0,IF(Planung!EU25="",$C25,IF(ISNUMBER(Planung!EU25),Planung!EU25,IF(UPPER(Planung!EU25)="H",$C25/2,0)))))))</f>
        <v>0</v>
      </c>
      <c r="EV25" s="27">
        <f>IF($A25="",0,IF(Mitarbeiter!$G$23=FALSE,0,IF(AND(Mitarbeiter!$E$23&lt;&gt;"",EV$5+6&lt;Mitarbeiter!$E$23),0,IF(AND(Mitarbeiter!$F$23&lt;&gt;"",EV$5&gt;Mitarbeiter!$F$23),0,IF(Planung!EV25="",$C25,IF(ISNUMBER(Planung!EV25),Planung!EV25,IF(UPPER(Planung!EV25)="H",$C25/2,0)))))))</f>
        <v>0</v>
      </c>
      <c r="EW25" s="27">
        <f>IF($A25="",0,IF(Mitarbeiter!$G$23=FALSE,0,IF(AND(Mitarbeiter!$E$23&lt;&gt;"",EW$5+6&lt;Mitarbeiter!$E$23),0,IF(AND(Mitarbeiter!$F$23&lt;&gt;"",EW$5&gt;Mitarbeiter!$F$23),0,IF(Planung!EW25="",$C25,IF(ISNUMBER(Planung!EW25),Planung!EW25,IF(UPPER(Planung!EW25)="H",$C25/2,0)))))))</f>
        <v>0</v>
      </c>
      <c r="EX25" s="27">
        <f>IF($A25="",0,IF(Mitarbeiter!$G$23=FALSE,0,IF(AND(Mitarbeiter!$E$23&lt;&gt;"",EX$5+6&lt;Mitarbeiter!$E$23),0,IF(AND(Mitarbeiter!$F$23&lt;&gt;"",EX$5&gt;Mitarbeiter!$F$23),0,IF(Planung!EX25="",$C25,IF(ISNUMBER(Planung!EX25),Planung!EX25,IF(UPPER(Planung!EX25)="H",$C25/2,0)))))))</f>
        <v>0</v>
      </c>
      <c r="EY25" s="27">
        <f>IF($A25="",0,IF(Mitarbeiter!$G$23=FALSE,0,IF(AND(Mitarbeiter!$E$23&lt;&gt;"",EY$5+6&lt;Mitarbeiter!$E$23),0,IF(AND(Mitarbeiter!$F$23&lt;&gt;"",EY$5&gt;Mitarbeiter!$F$23),0,IF(Planung!EY25="",$C25,IF(ISNUMBER(Planung!EY25),Planung!EY25,IF(UPPER(Planung!EY25)="H",$C25/2,0)))))))</f>
        <v>0</v>
      </c>
      <c r="EZ25" s="27">
        <f>IF($A25="",0,IF(Mitarbeiter!$G$23=FALSE,0,IF(AND(Mitarbeiter!$E$23&lt;&gt;"",EZ$5+6&lt;Mitarbeiter!$E$23),0,IF(AND(Mitarbeiter!$F$23&lt;&gt;"",EZ$5&gt;Mitarbeiter!$F$23),0,IF(Planung!EZ25="",$C25,IF(ISNUMBER(Planung!EZ25),Planung!EZ25,IF(UPPER(Planung!EZ25)="H",$C25/2,0)))))))</f>
        <v>0</v>
      </c>
      <c r="FA25" s="27">
        <f>IF($A25="",0,IF(Mitarbeiter!$G$23=FALSE,0,IF(AND(Mitarbeiter!$E$23&lt;&gt;"",FA$5+6&lt;Mitarbeiter!$E$23),0,IF(AND(Mitarbeiter!$F$23&lt;&gt;"",FA$5&gt;Mitarbeiter!$F$23),0,IF(Planung!FA25="",$C25,IF(ISNUMBER(Planung!FA25),Planung!FA25,IF(UPPER(Planung!FA25)="H",$C25/2,0)))))))</f>
        <v>0</v>
      </c>
      <c r="FB25" s="27">
        <f>IF($A25="",0,IF(Mitarbeiter!$G$23=FALSE,0,IF(AND(Mitarbeiter!$E$23&lt;&gt;"",FB$5+6&lt;Mitarbeiter!$E$23),0,IF(AND(Mitarbeiter!$F$23&lt;&gt;"",FB$5&gt;Mitarbeiter!$F$23),0,IF(Planung!FB25="",$C25,IF(ISNUMBER(Planung!FB25),Planung!FB25,IF(UPPER(Planung!FB25)="H",$C25/2,0)))))))</f>
        <v>0</v>
      </c>
      <c r="FC25" s="27">
        <f>IF($A25="",0,IF(Mitarbeiter!$G$23=FALSE,0,IF(AND(Mitarbeiter!$E$23&lt;&gt;"",FC$5+6&lt;Mitarbeiter!$E$23),0,IF(AND(Mitarbeiter!$F$23&lt;&gt;"",FC$5&gt;Mitarbeiter!$F$23),0,IF(Planung!FC25="",$C25,IF(ISNUMBER(Planung!FC25),Planung!FC25,IF(UPPER(Planung!FC25)="H",$C25/2,0)))))))</f>
        <v>0</v>
      </c>
      <c r="FD25" s="27">
        <f>IF($A25="",0,IF(Mitarbeiter!$G$23=FALSE,0,IF(AND(Mitarbeiter!$E$23&lt;&gt;"",FD$5+6&lt;Mitarbeiter!$E$23),0,IF(AND(Mitarbeiter!$F$23&lt;&gt;"",FD$5&gt;Mitarbeiter!$F$23),0,IF(Planung!FD25="",$C25,IF(ISNUMBER(Planung!FD25),Planung!FD25,IF(UPPER(Planung!FD25)="H",$C25/2,0)))))))</f>
        <v>0</v>
      </c>
      <c r="FE25" s="27">
        <f>IF($A25="",0,IF(Mitarbeiter!$G$23=FALSE,0,IF(AND(Mitarbeiter!$E$23&lt;&gt;"",FE$5+6&lt;Mitarbeiter!$E$23),0,IF(AND(Mitarbeiter!$F$23&lt;&gt;"",FE$5&gt;Mitarbeiter!$F$23),0,IF(Planung!FE25="",$C25,IF(ISNUMBER(Planung!FE25),Planung!FE25,IF(UPPER(Planung!FE25)="H",$C25/2,0)))))))</f>
        <v>0</v>
      </c>
      <c r="FF25" s="27">
        <f>IF($A25="",0,IF(Mitarbeiter!$G$23=FALSE,0,IF(AND(Mitarbeiter!$E$23&lt;&gt;"",FF$5+6&lt;Mitarbeiter!$E$23),0,IF(AND(Mitarbeiter!$F$23&lt;&gt;"",FF$5&gt;Mitarbeiter!$F$23),0,IF(Planung!FF25="",$C25,IF(ISNUMBER(Planung!FF25),Planung!FF25,IF(UPPER(Planung!FF25)="H",$C25/2,0)))))))</f>
        <v>0</v>
      </c>
      <c r="FG25" s="27">
        <f>IF($A25="",0,IF(Mitarbeiter!$G$23=FALSE,0,IF(AND(Mitarbeiter!$E$23&lt;&gt;"",FG$5+6&lt;Mitarbeiter!$E$23),0,IF(AND(Mitarbeiter!$F$23&lt;&gt;"",FG$5&gt;Mitarbeiter!$F$23),0,IF(Planung!FG25="",$C25,IF(ISNUMBER(Planung!FG25),Planung!FG25,IF(UPPER(Planung!FG25)="H",$C25/2,0)))))))</f>
        <v>0</v>
      </c>
      <c r="FH25" s="27">
        <f>IF($A25="",0,IF(Mitarbeiter!$G$23=FALSE,0,IF(AND(Mitarbeiter!$E$23&lt;&gt;"",FH$5+6&lt;Mitarbeiter!$E$23),0,IF(AND(Mitarbeiter!$F$23&lt;&gt;"",FH$5&gt;Mitarbeiter!$F$23),0,IF(Planung!FH25="",$C25,IF(ISNUMBER(Planung!FH25),Planung!FH25,IF(UPPER(Planung!FH25)="H",$C25/2,0)))))))</f>
        <v>0</v>
      </c>
      <c r="FI25" s="27">
        <f>IF($A25="",0,IF(Mitarbeiter!$G$23=FALSE,0,IF(AND(Mitarbeiter!$E$23&lt;&gt;"",FI$5+6&lt;Mitarbeiter!$E$23),0,IF(AND(Mitarbeiter!$F$23&lt;&gt;"",FI$5&gt;Mitarbeiter!$F$23),0,IF(Planung!FI25="",$C25,IF(ISNUMBER(Planung!FI25),Planung!FI25,IF(UPPER(Planung!FI25)="H",$C25/2,0)))))))</f>
        <v>0</v>
      </c>
      <c r="FJ25" s="27">
        <f>IF($A25="",0,IF(Mitarbeiter!$G$23=FALSE,0,IF(AND(Mitarbeiter!$E$23&lt;&gt;"",FJ$5+6&lt;Mitarbeiter!$E$23),0,IF(AND(Mitarbeiter!$F$23&lt;&gt;"",FJ$5&gt;Mitarbeiter!$F$23),0,IF(Planung!FJ25="",$C25,IF(ISNUMBER(Planung!FJ25),Planung!FJ25,IF(UPPER(Planung!FJ25)="H",$C25/2,0)))))))</f>
        <v>0</v>
      </c>
      <c r="FK25" s="27">
        <f>IF($A25="",0,IF(Mitarbeiter!$G$23=FALSE,0,IF(AND(Mitarbeiter!$E$23&lt;&gt;"",FK$5+6&lt;Mitarbeiter!$E$23),0,IF(AND(Mitarbeiter!$F$23&lt;&gt;"",FK$5&gt;Mitarbeiter!$F$23),0,IF(Planung!FK25="",$C25,IF(ISNUMBER(Planung!FK25),Planung!FK25,IF(UPPER(Planung!FK25)="H",$C25/2,0)))))))</f>
        <v>0</v>
      </c>
      <c r="FL25" s="27">
        <f>IF($A25="",0,IF(Mitarbeiter!$G$23=FALSE,0,IF(AND(Mitarbeiter!$E$23&lt;&gt;"",FL$5+6&lt;Mitarbeiter!$E$23),0,IF(AND(Mitarbeiter!$F$23&lt;&gt;"",FL$5&gt;Mitarbeiter!$F$23),0,IF(Planung!FL25="",$C25,IF(ISNUMBER(Planung!FL25),Planung!FL25,IF(UPPER(Planung!FL25)="H",$C25/2,0)))))))</f>
        <v>0</v>
      </c>
      <c r="FM25" s="27">
        <f>IF($A25="",0,IF(Mitarbeiter!$G$23=FALSE,0,IF(AND(Mitarbeiter!$E$23&lt;&gt;"",FM$5+6&lt;Mitarbeiter!$E$23),0,IF(AND(Mitarbeiter!$F$23&lt;&gt;"",FM$5&gt;Mitarbeiter!$F$23),0,IF(Planung!FM25="",$C25,IF(ISNUMBER(Planung!FM25),Planung!FM25,IF(UPPER(Planung!FM25)="H",$C25/2,0)))))))</f>
        <v>0</v>
      </c>
      <c r="FN25" s="27">
        <f>IF($A25="",0,IF(Mitarbeiter!$G$23=FALSE,0,IF(AND(Mitarbeiter!$E$23&lt;&gt;"",FN$5+6&lt;Mitarbeiter!$E$23),0,IF(AND(Mitarbeiter!$F$23&lt;&gt;"",FN$5&gt;Mitarbeiter!$F$23),0,IF(Planung!FN25="",$C25,IF(ISNUMBER(Planung!FN25),Planung!FN25,IF(UPPER(Planung!FN25)="H",$C25/2,0)))))))</f>
        <v>0</v>
      </c>
      <c r="FO25" s="27">
        <f>IF($A25="",0,IF(Mitarbeiter!$G$23=FALSE,0,IF(AND(Mitarbeiter!$E$23&lt;&gt;"",FO$5+6&lt;Mitarbeiter!$E$23),0,IF(AND(Mitarbeiter!$F$23&lt;&gt;"",FO$5&gt;Mitarbeiter!$F$23),0,IF(Planung!FO25="",$C25,IF(ISNUMBER(Planung!FO25),Planung!FO25,IF(UPPER(Planung!FO25)="H",$C25/2,0)))))))</f>
        <v>0</v>
      </c>
      <c r="FP25" s="27">
        <f>IF($A25="",0,IF(Mitarbeiter!$G$23=FALSE,0,IF(AND(Mitarbeiter!$E$23&lt;&gt;"",FP$5+6&lt;Mitarbeiter!$E$23),0,IF(AND(Mitarbeiter!$F$23&lt;&gt;"",FP$5&gt;Mitarbeiter!$F$23),0,IF(Planung!FP25="",$C25,IF(ISNUMBER(Planung!FP25),Planung!FP25,IF(UPPER(Planung!FP25)="H",$C25/2,0)))))))</f>
        <v>0</v>
      </c>
      <c r="FQ25" s="27">
        <f>IF($A25="",0,IF(Mitarbeiter!$G$23=FALSE,0,IF(AND(Mitarbeiter!$E$23&lt;&gt;"",FQ$5+6&lt;Mitarbeiter!$E$23),0,IF(AND(Mitarbeiter!$F$23&lt;&gt;"",FQ$5&gt;Mitarbeiter!$F$23),0,IF(Planung!FQ25="",$C25,IF(ISNUMBER(Planung!FQ25),Planung!FQ25,IF(UPPER(Planung!FQ25)="H",$C25/2,0)))))))</f>
        <v>0</v>
      </c>
      <c r="FR25" s="27">
        <f>IF($A25="",0,IF(Mitarbeiter!$G$23=FALSE,0,IF(AND(Mitarbeiter!$E$23&lt;&gt;"",FR$5+6&lt;Mitarbeiter!$E$23),0,IF(AND(Mitarbeiter!$F$23&lt;&gt;"",FR$5&gt;Mitarbeiter!$F$23),0,IF(Planung!FR25="",$C25,IF(ISNUMBER(Planung!FR25),Planung!FR25,IF(UPPER(Planung!FR25)="H",$C25/2,0)))))))</f>
        <v>0</v>
      </c>
      <c r="FS25" s="27">
        <f>IF($A25="",0,IF(Mitarbeiter!$G$23=FALSE,0,IF(AND(Mitarbeiter!$E$23&lt;&gt;"",FS$5+6&lt;Mitarbeiter!$E$23),0,IF(AND(Mitarbeiter!$F$23&lt;&gt;"",FS$5&gt;Mitarbeiter!$F$23),0,IF(Planung!FS25="",$C25,IF(ISNUMBER(Planung!FS25),Planung!FS25,IF(UPPER(Planung!FS25)="H",$C25/2,0)))))))</f>
        <v>0</v>
      </c>
      <c r="FT25" s="27">
        <f>IF($A25="",0,IF(Mitarbeiter!$G$23=FALSE,0,IF(AND(Mitarbeiter!$E$23&lt;&gt;"",FT$5+6&lt;Mitarbeiter!$E$23),0,IF(AND(Mitarbeiter!$F$23&lt;&gt;"",FT$5&gt;Mitarbeiter!$F$23),0,IF(Planung!FT25="",$C25,IF(ISNUMBER(Planung!FT25),Planung!FT25,IF(UPPER(Planung!FT25)="H",$C25/2,0)))))))</f>
        <v>0</v>
      </c>
      <c r="FU25" s="27">
        <f>IF($A25="",0,IF(Mitarbeiter!$G$23=FALSE,0,IF(AND(Mitarbeiter!$E$23&lt;&gt;"",FU$5+6&lt;Mitarbeiter!$E$23),0,IF(AND(Mitarbeiter!$F$23&lt;&gt;"",FU$5&gt;Mitarbeiter!$F$23),0,IF(Planung!FU25="",$C25,IF(ISNUMBER(Planung!FU25),Planung!FU25,IF(UPPER(Planung!FU25)="H",$C25/2,0)))))))</f>
        <v>0</v>
      </c>
      <c r="FV25" s="27">
        <f>IF($A25="",0,IF(Mitarbeiter!$G$23=FALSE,0,IF(AND(Mitarbeiter!$E$23&lt;&gt;"",FV$5+6&lt;Mitarbeiter!$E$23),0,IF(AND(Mitarbeiter!$F$23&lt;&gt;"",FV$5&gt;Mitarbeiter!$F$23),0,IF(Planung!FV25="",$C25,IF(ISNUMBER(Planung!FV25),Planung!FV25,IF(UPPER(Planung!FV25)="H",$C25/2,0)))))))</f>
        <v>0</v>
      </c>
      <c r="FW25" s="27">
        <f>IF($A25="",0,IF(Mitarbeiter!$G$23=FALSE,0,IF(AND(Mitarbeiter!$E$23&lt;&gt;"",FW$5+6&lt;Mitarbeiter!$E$23),0,IF(AND(Mitarbeiter!$F$23&lt;&gt;"",FW$5&gt;Mitarbeiter!$F$23),0,IF(Planung!FW25="",$C25,IF(ISNUMBER(Planung!FW25),Planung!FW25,IF(UPPER(Planung!FW25)="H",$C25/2,0)))))))</f>
        <v>0</v>
      </c>
      <c r="FX25" s="27">
        <f>IF($A25="",0,IF(Mitarbeiter!$G$23=FALSE,0,IF(AND(Mitarbeiter!$E$23&lt;&gt;"",FX$5+6&lt;Mitarbeiter!$E$23),0,IF(AND(Mitarbeiter!$F$23&lt;&gt;"",FX$5&gt;Mitarbeiter!$F$23),0,IF(Planung!FX25="",$C25,IF(ISNUMBER(Planung!FX25),Planung!FX25,IF(UPPER(Planung!FX25)="H",$C25/2,0)))))))</f>
        <v>0</v>
      </c>
      <c r="FY25" s="27">
        <f>IF($A25="",0,IF(Mitarbeiter!$G$23=FALSE,0,IF(AND(Mitarbeiter!$E$23&lt;&gt;"",FY$5+6&lt;Mitarbeiter!$E$23),0,IF(AND(Mitarbeiter!$F$23&lt;&gt;"",FY$5&gt;Mitarbeiter!$F$23),0,IF(Planung!FY25="",$C25,IF(ISNUMBER(Planung!FY25),Planung!FY25,IF(UPPER(Planung!FY25)="H",$C25/2,0)))))))</f>
        <v>0</v>
      </c>
      <c r="FZ25" s="27">
        <f>IF($A25="",0,IF(Mitarbeiter!$G$23=FALSE,0,IF(AND(Mitarbeiter!$E$23&lt;&gt;"",FZ$5+6&lt;Mitarbeiter!$E$23),0,IF(AND(Mitarbeiter!$F$23&lt;&gt;"",FZ$5&gt;Mitarbeiter!$F$23),0,IF(Planung!FZ25="",$C25,IF(ISNUMBER(Planung!FZ25),Planung!FZ25,IF(UPPER(Planung!FZ25)="H",$C25/2,0)))))))</f>
        <v>0</v>
      </c>
      <c r="GA25" s="27">
        <f>IF($A25="",0,IF(Mitarbeiter!$G$23=FALSE,0,IF(AND(Mitarbeiter!$E$23&lt;&gt;"",GA$5+6&lt;Mitarbeiter!$E$23),0,IF(AND(Mitarbeiter!$F$23&lt;&gt;"",GA$5&gt;Mitarbeiter!$F$23),0,IF(Planung!GA25="",$C25,IF(ISNUMBER(Planung!GA25),Planung!GA25,IF(UPPER(Planung!GA25)="H",$C25/2,0)))))))</f>
        <v>0</v>
      </c>
      <c r="GB25" s="27">
        <f>IF($A25="",0,IF(Mitarbeiter!$G$23=FALSE,0,IF(AND(Mitarbeiter!$E$23&lt;&gt;"",GB$5+6&lt;Mitarbeiter!$E$23),0,IF(AND(Mitarbeiter!$F$23&lt;&gt;"",GB$5&gt;Mitarbeiter!$F$23),0,IF(Planung!GB25="",$C25,IF(ISNUMBER(Planung!GB25),Planung!GB25,IF(UPPER(Planung!GB25)="H",$C25/2,0)))))))</f>
        <v>0</v>
      </c>
      <c r="GC25" s="27">
        <f>IF($A25="",0,IF(Mitarbeiter!$G$23=FALSE,0,IF(AND(Mitarbeiter!$E$23&lt;&gt;"",GC$5+6&lt;Mitarbeiter!$E$23),0,IF(AND(Mitarbeiter!$F$23&lt;&gt;"",GC$5&gt;Mitarbeiter!$F$23),0,IF(Planung!GC25="",$C25,IF(ISNUMBER(Planung!GC25),Planung!GC25,IF(UPPER(Planung!GC25)="H",$C25/2,0)))))))</f>
        <v>0</v>
      </c>
      <c r="GD25" s="27">
        <f>IF($A25="",0,IF(Mitarbeiter!$G$23=FALSE,0,IF(AND(Mitarbeiter!$E$23&lt;&gt;"",GD$5+6&lt;Mitarbeiter!$E$23),0,IF(AND(Mitarbeiter!$F$23&lt;&gt;"",GD$5&gt;Mitarbeiter!$F$23),0,IF(Planung!GD25="",$C25,IF(ISNUMBER(Planung!GD25),Planung!GD25,IF(UPPER(Planung!GD25)="H",$C25/2,0)))))))</f>
        <v>0</v>
      </c>
      <c r="GE25" s="27">
        <f>IF($A25="",0,IF(Mitarbeiter!$G$23=FALSE,0,IF(AND(Mitarbeiter!$E$23&lt;&gt;"",GE$5+6&lt;Mitarbeiter!$E$23),0,IF(AND(Mitarbeiter!$F$23&lt;&gt;"",GE$5&gt;Mitarbeiter!$F$23),0,IF(Planung!GE25="",$C25,IF(ISNUMBER(Planung!GE25),Planung!GE25,IF(UPPER(Planung!GE25)="H",$C25/2,0)))))))</f>
        <v>0</v>
      </c>
      <c r="GF25" s="27">
        <f>IF($A25="",0,IF(Mitarbeiter!$G$23=FALSE,0,IF(AND(Mitarbeiter!$E$23&lt;&gt;"",GF$5+6&lt;Mitarbeiter!$E$23),0,IF(AND(Mitarbeiter!$F$23&lt;&gt;"",GF$5&gt;Mitarbeiter!$F$23),0,IF(Planung!GF25="",$C25,IF(ISNUMBER(Planung!GF25),Planung!GF25,IF(UPPER(Planung!GF25)="H",$C25/2,0)))))))</f>
        <v>0</v>
      </c>
      <c r="GG25" s="27">
        <f>IF($A25="",0,IF(Mitarbeiter!$G$23=FALSE,0,IF(AND(Mitarbeiter!$E$23&lt;&gt;"",GG$5+6&lt;Mitarbeiter!$E$23),0,IF(AND(Mitarbeiter!$F$23&lt;&gt;"",GG$5&gt;Mitarbeiter!$F$23),0,IF(Planung!GG25="",$C25,IF(ISNUMBER(Planung!GG25),Planung!GG25,IF(UPPER(Planung!GG25)="H",$C25/2,0)))))))</f>
        <v>0</v>
      </c>
      <c r="GH25" s="27">
        <f>IF($A25="",0,IF(Mitarbeiter!$G$23=FALSE,0,IF(AND(Mitarbeiter!$E$23&lt;&gt;"",GH$5+6&lt;Mitarbeiter!$E$23),0,IF(AND(Mitarbeiter!$F$23&lt;&gt;"",GH$5&gt;Mitarbeiter!$F$23),0,IF(Planung!GH25="",$C25,IF(ISNUMBER(Planung!GH25),Planung!GH25,IF(UPPER(Planung!GH25)="H",$C25/2,0)))))))</f>
        <v>0</v>
      </c>
      <c r="GI25" s="27">
        <f>IF($A25="",0,IF(Mitarbeiter!$G$23=FALSE,0,IF(AND(Mitarbeiter!$E$23&lt;&gt;"",GI$5+6&lt;Mitarbeiter!$E$23),0,IF(AND(Mitarbeiter!$F$23&lt;&gt;"",GI$5&gt;Mitarbeiter!$F$23),0,IF(Planung!GI25="",$C25,IF(ISNUMBER(Planung!GI25),Planung!GI25,IF(UPPER(Planung!GI25)="H",$C25/2,0)))))))</f>
        <v>0</v>
      </c>
      <c r="GJ25" s="27">
        <f>IF($A25="",0,IF(Mitarbeiter!$G$23=FALSE,0,IF(AND(Mitarbeiter!$E$23&lt;&gt;"",GJ$5+6&lt;Mitarbeiter!$E$23),0,IF(AND(Mitarbeiter!$F$23&lt;&gt;"",GJ$5&gt;Mitarbeiter!$F$23),0,IF(Planung!GJ25="",$C25,IF(ISNUMBER(Planung!GJ25),Planung!GJ25,IF(UPPER(Planung!GJ25)="H",$C25/2,0)))))))</f>
        <v>0</v>
      </c>
      <c r="GK25" s="27">
        <f>IF($A25="",0,IF(Mitarbeiter!$G$23=FALSE,0,IF(AND(Mitarbeiter!$E$23&lt;&gt;"",GK$5+6&lt;Mitarbeiter!$E$23),0,IF(AND(Mitarbeiter!$F$23&lt;&gt;"",GK$5&gt;Mitarbeiter!$F$23),0,IF(Planung!GK25="",$C25,IF(ISNUMBER(Planung!GK25),Planung!GK25,IF(UPPER(Planung!GK25)="H",$C25/2,0)))))))</f>
        <v>0</v>
      </c>
      <c r="GL25" s="27">
        <f>IF($A25="",0,IF(Mitarbeiter!$G$23=FALSE,0,IF(AND(Mitarbeiter!$E$23&lt;&gt;"",GL$5+6&lt;Mitarbeiter!$E$23),0,IF(AND(Mitarbeiter!$F$23&lt;&gt;"",GL$5&gt;Mitarbeiter!$F$23),0,IF(Planung!GL25="",$C25,IF(ISNUMBER(Planung!GL25),Planung!GL25,IF(UPPER(Planung!GL25)="H",$C25/2,0)))))))</f>
        <v>0</v>
      </c>
      <c r="GM25" s="27">
        <f>IF($A25="",0,IF(Mitarbeiter!$G$23=FALSE,0,IF(AND(Mitarbeiter!$E$23&lt;&gt;"",GM$5+6&lt;Mitarbeiter!$E$23),0,IF(AND(Mitarbeiter!$F$23&lt;&gt;"",GM$5&gt;Mitarbeiter!$F$23),0,IF(Planung!GM25="",$C25,IF(ISNUMBER(Planung!GM25),Planung!GM25,IF(UPPER(Planung!GM25)="H",$C25/2,0)))))))</f>
        <v>0</v>
      </c>
      <c r="GN25" s="27">
        <f>IF($A25="",0,IF(Mitarbeiter!$G$23=FALSE,0,IF(AND(Mitarbeiter!$E$23&lt;&gt;"",GN$5+6&lt;Mitarbeiter!$E$23),0,IF(AND(Mitarbeiter!$F$23&lt;&gt;"",GN$5&gt;Mitarbeiter!$F$23),0,IF(Planung!GN25="",$C25,IF(ISNUMBER(Planung!GN25),Planung!GN25,IF(UPPER(Planung!GN25)="H",$C25/2,0)))))))</f>
        <v>0</v>
      </c>
      <c r="GO25" s="27">
        <f>IF($A25="",0,IF(Mitarbeiter!$G$23=FALSE,0,IF(AND(Mitarbeiter!$E$23&lt;&gt;"",GO$5+6&lt;Mitarbeiter!$E$23),0,IF(AND(Mitarbeiter!$F$23&lt;&gt;"",GO$5&gt;Mitarbeiter!$F$23),0,IF(Planung!GO25="",$C25,IF(ISNUMBER(Planung!GO25),Planung!GO25,IF(UPPER(Planung!GO25)="H",$C25/2,0)))))))</f>
        <v>0</v>
      </c>
      <c r="GP25" s="27">
        <f>IF($A25="",0,IF(Mitarbeiter!$G$23=FALSE,0,IF(AND(Mitarbeiter!$E$23&lt;&gt;"",GP$5+6&lt;Mitarbeiter!$E$23),0,IF(AND(Mitarbeiter!$F$23&lt;&gt;"",GP$5&gt;Mitarbeiter!$F$23),0,IF(Planung!GP25="",$C25,IF(ISNUMBER(Planung!GP25),Planung!GP25,IF(UPPER(Planung!GP25)="H",$C25/2,0)))))))</f>
        <v>0</v>
      </c>
      <c r="GQ25" s="27">
        <f>IF($A25="",0,IF(Mitarbeiter!$G$23=FALSE,0,IF(AND(Mitarbeiter!$E$23&lt;&gt;"",GQ$5+6&lt;Mitarbeiter!$E$23),0,IF(AND(Mitarbeiter!$F$23&lt;&gt;"",GQ$5&gt;Mitarbeiter!$F$23),0,IF(Planung!GQ25="",$C25,IF(ISNUMBER(Planung!GQ25),Planung!GQ25,IF(UPPER(Planung!GQ25)="H",$C25/2,0)))))))</f>
        <v>0</v>
      </c>
      <c r="GR25" s="27">
        <f>IF($A25="",0,IF(Mitarbeiter!$G$23=FALSE,0,IF(AND(Mitarbeiter!$E$23&lt;&gt;"",GR$5+6&lt;Mitarbeiter!$E$23),0,IF(AND(Mitarbeiter!$F$23&lt;&gt;"",GR$5&gt;Mitarbeiter!$F$23),0,IF(Planung!GR25="",$C25,IF(ISNUMBER(Planung!GR25),Planung!GR25,IF(UPPER(Planung!GR25)="H",$C25/2,0)))))))</f>
        <v>0</v>
      </c>
      <c r="GS25" s="27">
        <f>IF($A25="",0,IF(Mitarbeiter!$G$23=FALSE,0,IF(AND(Mitarbeiter!$E$23&lt;&gt;"",GS$5+6&lt;Mitarbeiter!$E$23),0,IF(AND(Mitarbeiter!$F$23&lt;&gt;"",GS$5&gt;Mitarbeiter!$F$23),0,IF(Planung!GS25="",$C25,IF(ISNUMBER(Planung!GS25),Planung!GS25,IF(UPPER(Planung!GS25)="H",$C25/2,0)))))))</f>
        <v>0</v>
      </c>
      <c r="GT25" s="27">
        <f>IF($A25="",0,IF(Mitarbeiter!$G$23=FALSE,0,IF(AND(Mitarbeiter!$E$23&lt;&gt;"",GT$5+6&lt;Mitarbeiter!$E$23),0,IF(AND(Mitarbeiter!$F$23&lt;&gt;"",GT$5&gt;Mitarbeiter!$F$23),0,IF(Planung!GT25="",$C25,IF(ISNUMBER(Planung!GT25),Planung!GT25,IF(UPPER(Planung!GT25)="H",$C25/2,0)))))))</f>
        <v>0</v>
      </c>
      <c r="GU25" s="27">
        <f>IF($A25="",0,IF(Mitarbeiter!$G$23=FALSE,0,IF(AND(Mitarbeiter!$E$23&lt;&gt;"",GU$5+6&lt;Mitarbeiter!$E$23),0,IF(AND(Mitarbeiter!$F$23&lt;&gt;"",GU$5&gt;Mitarbeiter!$F$23),0,IF(Planung!GU25="",$C25,IF(ISNUMBER(Planung!GU25),Planung!GU25,IF(UPPER(Planung!GU25)="H",$C25/2,0)))))))</f>
        <v>0</v>
      </c>
      <c r="GV25" s="27">
        <f>IF($A25="",0,IF(Mitarbeiter!$G$23=FALSE,0,IF(AND(Mitarbeiter!$E$23&lt;&gt;"",GV$5+6&lt;Mitarbeiter!$E$23),0,IF(AND(Mitarbeiter!$F$23&lt;&gt;"",GV$5&gt;Mitarbeiter!$F$23),0,IF(Planung!GV25="",$C25,IF(ISNUMBER(Planung!GV25),Planung!GV25,IF(UPPER(Planung!GV25)="H",$C25/2,0)))))))</f>
        <v>0</v>
      </c>
      <c r="GW25" s="27">
        <f>IF($A25="",0,IF(Mitarbeiter!$G$23=FALSE,0,IF(AND(Mitarbeiter!$E$23&lt;&gt;"",GW$5+6&lt;Mitarbeiter!$E$23),0,IF(AND(Mitarbeiter!$F$23&lt;&gt;"",GW$5&gt;Mitarbeiter!$F$23),0,IF(Planung!GW25="",$C25,IF(ISNUMBER(Planung!GW25),Planung!GW25,IF(UPPER(Planung!GW25)="H",$C25/2,0)))))))</f>
        <v>0</v>
      </c>
      <c r="GX25" s="27">
        <f>IF($A25="",0,IF(Mitarbeiter!$G$23=FALSE,0,IF(AND(Mitarbeiter!$E$23&lt;&gt;"",GX$5+6&lt;Mitarbeiter!$E$23),0,IF(AND(Mitarbeiter!$F$23&lt;&gt;"",GX$5&gt;Mitarbeiter!$F$23),0,IF(Planung!GX25="",$C25,IF(ISNUMBER(Planung!GX25),Planung!GX25,IF(UPPER(Planung!GX25)="H",$C25/2,0)))))))</f>
        <v>0</v>
      </c>
      <c r="GY25" s="27">
        <f>IF($A25="",0,IF(Mitarbeiter!$G$23=FALSE,0,IF(AND(Mitarbeiter!$E$23&lt;&gt;"",GY$5+6&lt;Mitarbeiter!$E$23),0,IF(AND(Mitarbeiter!$F$23&lt;&gt;"",GY$5&gt;Mitarbeiter!$F$23),0,IF(Planung!GY25="",$C25,IF(ISNUMBER(Planung!GY25),Planung!GY25,IF(UPPER(Planung!GY25)="H",$C25/2,0)))))))</f>
        <v>0</v>
      </c>
      <c r="GZ25" s="27">
        <f>IF($A25="",0,IF(Mitarbeiter!$G$23=FALSE,0,IF(AND(Mitarbeiter!$E$23&lt;&gt;"",GZ$5+6&lt;Mitarbeiter!$E$23),0,IF(AND(Mitarbeiter!$F$23&lt;&gt;"",GZ$5&gt;Mitarbeiter!$F$23),0,IF(Planung!GZ25="",$C25,IF(ISNUMBER(Planung!GZ25),Planung!GZ25,IF(UPPER(Planung!GZ25)="H",$C25/2,0)))))))</f>
        <v>0</v>
      </c>
      <c r="HA25" s="27">
        <f>IF($A25="",0,IF(Mitarbeiter!$G$23=FALSE,0,IF(AND(Mitarbeiter!$E$23&lt;&gt;"",HA$5+6&lt;Mitarbeiter!$E$23),0,IF(AND(Mitarbeiter!$F$23&lt;&gt;"",HA$5&gt;Mitarbeiter!$F$23),0,IF(Planung!HA25="",$C25,IF(ISNUMBER(Planung!HA25),Planung!HA25,IF(UPPER(Planung!HA25)="H",$C25/2,0)))))))</f>
        <v>0</v>
      </c>
      <c r="HB25" s="27">
        <f>IF($A25="",0,IF(Mitarbeiter!$G$23=FALSE,0,IF(AND(Mitarbeiter!$E$23&lt;&gt;"",HB$5+6&lt;Mitarbeiter!$E$23),0,IF(AND(Mitarbeiter!$F$23&lt;&gt;"",HB$5&gt;Mitarbeiter!$F$23),0,IF(Planung!HB25="",$C25,IF(ISNUMBER(Planung!HB25),Planung!HB25,IF(UPPER(Planung!HB25)="H",$C25/2,0)))))))</f>
        <v>0</v>
      </c>
      <c r="HC25" s="27">
        <f>IF($A25="",0,IF(Mitarbeiter!$G$23=FALSE,0,IF(AND(Mitarbeiter!$E$23&lt;&gt;"",HC$5+6&lt;Mitarbeiter!$E$23),0,IF(AND(Mitarbeiter!$F$23&lt;&gt;"",HC$5&gt;Mitarbeiter!$F$23),0,IF(Planung!HC25="",$C25,IF(ISNUMBER(Planung!HC25),Planung!HC25,IF(UPPER(Planung!HC25)="H",$C25/2,0)))))))</f>
        <v>0</v>
      </c>
      <c r="HD25" s="27">
        <f>IF($A25="",0,IF(Mitarbeiter!$G$23=FALSE,0,IF(AND(Mitarbeiter!$E$23&lt;&gt;"",HD$5+6&lt;Mitarbeiter!$E$23),0,IF(AND(Mitarbeiter!$F$23&lt;&gt;"",HD$5&gt;Mitarbeiter!$F$23),0,IF(Planung!HD25="",$C25,IF(ISNUMBER(Planung!HD25),Planung!HD25,IF(UPPER(Planung!HD25)="H",$C25/2,0)))))))</f>
        <v>0</v>
      </c>
      <c r="HE25" s="27">
        <f>IF($A25="",0,IF(Mitarbeiter!$G$23=FALSE,0,IF(AND(Mitarbeiter!$E$23&lt;&gt;"",HE$5+6&lt;Mitarbeiter!$E$23),0,IF(AND(Mitarbeiter!$F$23&lt;&gt;"",HE$5&gt;Mitarbeiter!$F$23),0,IF(Planung!HE25="",$C25,IF(ISNUMBER(Planung!HE25),Planung!HE25,IF(UPPER(Planung!HE25)="H",$C25/2,0)))))))</f>
        <v>0</v>
      </c>
      <c r="HF25" s="27">
        <f>IF($A25="",0,IF(Mitarbeiter!$G$23=FALSE,0,IF(AND(Mitarbeiter!$E$23&lt;&gt;"",HF$5+6&lt;Mitarbeiter!$E$23),0,IF(AND(Mitarbeiter!$F$23&lt;&gt;"",HF$5&gt;Mitarbeiter!$F$23),0,IF(Planung!HF25="",$C25,IF(ISNUMBER(Planung!HF25),Planung!HF25,IF(UPPER(Planung!HF25)="H",$C25/2,0)))))))</f>
        <v>0</v>
      </c>
      <c r="HG25" s="27">
        <f>IF($A25="",0,IF(Mitarbeiter!$G$23=FALSE,0,IF(AND(Mitarbeiter!$E$23&lt;&gt;"",HG$5+6&lt;Mitarbeiter!$E$23),0,IF(AND(Mitarbeiter!$F$23&lt;&gt;"",HG$5&gt;Mitarbeiter!$F$23),0,IF(Planung!HG25="",$C25,IF(ISNUMBER(Planung!HG25),Planung!HG25,IF(UPPER(Planung!HG25)="H",$C25/2,0)))))))</f>
        <v>0</v>
      </c>
      <c r="HH25" s="27">
        <f>IF($A25="",0,IF(Mitarbeiter!$G$23=FALSE,0,IF(AND(Mitarbeiter!$E$23&lt;&gt;"",HH$5+6&lt;Mitarbeiter!$E$23),0,IF(AND(Mitarbeiter!$F$23&lt;&gt;"",HH$5&gt;Mitarbeiter!$F$23),0,IF(Planung!HH25="",$C25,IF(ISNUMBER(Planung!HH25),Planung!HH25,IF(UPPER(Planung!HH25)="H",$C25/2,0)))))))</f>
        <v>0</v>
      </c>
      <c r="HI25" s="27">
        <f>IF($A25="",0,IF(Mitarbeiter!$G$23=FALSE,0,IF(AND(Mitarbeiter!$E$23&lt;&gt;"",HI$5+6&lt;Mitarbeiter!$E$23),0,IF(AND(Mitarbeiter!$F$23&lt;&gt;"",HI$5&gt;Mitarbeiter!$F$23),0,IF(Planung!HI25="",$C25,IF(ISNUMBER(Planung!HI25),Planung!HI25,IF(UPPER(Planung!HI25)="H",$C25/2,0)))))))</f>
        <v>0</v>
      </c>
      <c r="HJ25" s="27">
        <f>IF($A25="",0,IF(Mitarbeiter!$G$23=FALSE,0,IF(AND(Mitarbeiter!$E$23&lt;&gt;"",HJ$5+6&lt;Mitarbeiter!$E$23),0,IF(AND(Mitarbeiter!$F$23&lt;&gt;"",HJ$5&gt;Mitarbeiter!$F$23),0,IF(Planung!HJ25="",$C25,IF(ISNUMBER(Planung!HJ25),Planung!HJ25,IF(UPPER(Planung!HJ25)="H",$C25/2,0)))))))</f>
        <v>0</v>
      </c>
      <c r="HK25" s="27">
        <f>IF($A25="",0,IF(Mitarbeiter!$G$23=FALSE,0,IF(AND(Mitarbeiter!$E$23&lt;&gt;"",HK$5+6&lt;Mitarbeiter!$E$23),0,IF(AND(Mitarbeiter!$F$23&lt;&gt;"",HK$5&gt;Mitarbeiter!$F$23),0,IF(Planung!HK25="",$C25,IF(ISNUMBER(Planung!HK25),Planung!HK25,IF(UPPER(Planung!HK25)="H",$C25/2,0)))))))</f>
        <v>0</v>
      </c>
      <c r="HL25" s="27">
        <f>IF($A25="",0,IF(Mitarbeiter!$G$23=FALSE,0,IF(AND(Mitarbeiter!$E$23&lt;&gt;"",HL$5+6&lt;Mitarbeiter!$E$23),0,IF(AND(Mitarbeiter!$F$23&lt;&gt;"",HL$5&gt;Mitarbeiter!$F$23),0,IF(Planung!HL25="",$C25,IF(ISNUMBER(Planung!HL25),Planung!HL25,IF(UPPER(Planung!HL25)="H",$C25/2,0)))))))</f>
        <v>0</v>
      </c>
      <c r="HM25" s="27">
        <f>IF($A25="",0,IF(Mitarbeiter!$G$23=FALSE,0,IF(AND(Mitarbeiter!$E$23&lt;&gt;"",HM$5+6&lt;Mitarbeiter!$E$23),0,IF(AND(Mitarbeiter!$F$23&lt;&gt;"",HM$5&gt;Mitarbeiter!$F$23),0,IF(Planung!HM25="",$C25,IF(ISNUMBER(Planung!HM25),Planung!HM25,IF(UPPER(Planung!HM25)="H",$C25/2,0)))))))</f>
        <v>0</v>
      </c>
      <c r="HN25" s="27">
        <f>IF($A25="",0,IF(Mitarbeiter!$G$23=FALSE,0,IF(AND(Mitarbeiter!$E$23&lt;&gt;"",HN$5+6&lt;Mitarbeiter!$E$23),0,IF(AND(Mitarbeiter!$F$23&lt;&gt;"",HN$5&gt;Mitarbeiter!$F$23),0,IF(Planung!HN25="",$C25,IF(ISNUMBER(Planung!HN25),Planung!HN25,IF(UPPER(Planung!HN25)="H",$C25/2,0)))))))</f>
        <v>0</v>
      </c>
      <c r="HO25" s="27">
        <f>IF($A25="",0,IF(Mitarbeiter!$G$23=FALSE,0,IF(AND(Mitarbeiter!$E$23&lt;&gt;"",HO$5+6&lt;Mitarbeiter!$E$23),0,IF(AND(Mitarbeiter!$F$23&lt;&gt;"",HO$5&gt;Mitarbeiter!$F$23),0,IF(Planung!HO25="",$C25,IF(ISNUMBER(Planung!HO25),Planung!HO25,IF(UPPER(Planung!HO25)="H",$C25/2,0)))))))</f>
        <v>0</v>
      </c>
      <c r="HP25" s="27">
        <f>IF($A25="",0,IF(Mitarbeiter!$G$23=FALSE,0,IF(AND(Mitarbeiter!$E$23&lt;&gt;"",HP$5+6&lt;Mitarbeiter!$E$23),0,IF(AND(Mitarbeiter!$F$23&lt;&gt;"",HP$5&gt;Mitarbeiter!$F$23),0,IF(Planung!HP25="",$C25,IF(ISNUMBER(Planung!HP25),Planung!HP25,IF(UPPER(Planung!HP25)="H",$C25/2,0)))))))</f>
        <v>0</v>
      </c>
      <c r="HQ25" s="27">
        <f>IF($A25="",0,IF(Mitarbeiter!$G$23=FALSE,0,IF(AND(Mitarbeiter!$E$23&lt;&gt;"",HQ$5+6&lt;Mitarbeiter!$E$23),0,IF(AND(Mitarbeiter!$F$23&lt;&gt;"",HQ$5&gt;Mitarbeiter!$F$23),0,IF(Planung!HQ25="",$C25,IF(ISNUMBER(Planung!HQ25),Planung!HQ25,IF(UPPER(Planung!HQ25)="H",$C25/2,0)))))))</f>
        <v>0</v>
      </c>
      <c r="HR25" s="27">
        <f>IF($A25="",0,IF(Mitarbeiter!$G$23=FALSE,0,IF(AND(Mitarbeiter!$E$23&lt;&gt;"",HR$5+6&lt;Mitarbeiter!$E$23),0,IF(AND(Mitarbeiter!$F$23&lt;&gt;"",HR$5&gt;Mitarbeiter!$F$23),0,IF(Planung!HR25="",$C25,IF(ISNUMBER(Planung!HR25),Planung!HR25,IF(UPPER(Planung!HR25)="H",$C25/2,0)))))))</f>
        <v>0</v>
      </c>
      <c r="HS25" s="27">
        <f>IF($A25="",0,IF(Mitarbeiter!$G$23=FALSE,0,IF(AND(Mitarbeiter!$E$23&lt;&gt;"",HS$5+6&lt;Mitarbeiter!$E$23),0,IF(AND(Mitarbeiter!$F$23&lt;&gt;"",HS$5&gt;Mitarbeiter!$F$23),0,IF(Planung!HS25="",$C25,IF(ISNUMBER(Planung!HS25),Planung!HS25,IF(UPPER(Planung!HS25)="H",$C25/2,0)))))))</f>
        <v>0</v>
      </c>
      <c r="HT25" s="27">
        <f>IF($A25="",0,IF(Mitarbeiter!$G$23=FALSE,0,IF(AND(Mitarbeiter!$E$23&lt;&gt;"",HT$5+6&lt;Mitarbeiter!$E$23),0,IF(AND(Mitarbeiter!$F$23&lt;&gt;"",HT$5&gt;Mitarbeiter!$F$23),0,IF(Planung!HT25="",$C25,IF(ISNUMBER(Planung!HT25),Planung!HT25,IF(UPPER(Planung!HT25)="H",$C25/2,0)))))))</f>
        <v>0</v>
      </c>
      <c r="HU25" s="27">
        <f>IF($A25="",0,IF(Mitarbeiter!$G$23=FALSE,0,IF(AND(Mitarbeiter!$E$23&lt;&gt;"",HU$5+6&lt;Mitarbeiter!$E$23),0,IF(AND(Mitarbeiter!$F$23&lt;&gt;"",HU$5&gt;Mitarbeiter!$F$23),0,IF(Planung!HU25="",$C25,IF(ISNUMBER(Planung!HU25),Planung!HU25,IF(UPPER(Planung!HU25)="H",$C25/2,0)))))))</f>
        <v>0</v>
      </c>
      <c r="HV25" s="27">
        <f>IF($A25="",0,IF(Mitarbeiter!$G$23=FALSE,0,IF(AND(Mitarbeiter!$E$23&lt;&gt;"",HV$5+6&lt;Mitarbeiter!$E$23),0,IF(AND(Mitarbeiter!$F$23&lt;&gt;"",HV$5&gt;Mitarbeiter!$F$23),0,IF(Planung!HV25="",$C25,IF(ISNUMBER(Planung!HV25),Planung!HV25,IF(UPPER(Planung!HV25)="H",$C25/2,0)))))))</f>
        <v>0</v>
      </c>
      <c r="HW25" s="27">
        <f>IF($A25="",0,IF(Mitarbeiter!$G$23=FALSE,0,IF(AND(Mitarbeiter!$E$23&lt;&gt;"",HW$5+6&lt;Mitarbeiter!$E$23),0,IF(AND(Mitarbeiter!$F$23&lt;&gt;"",HW$5&gt;Mitarbeiter!$F$23),0,IF(Planung!HW25="",$C25,IF(ISNUMBER(Planung!HW25),Planung!HW25,IF(UPPER(Planung!HW25)="H",$C25/2,0)))))))</f>
        <v>0</v>
      </c>
      <c r="HX25" s="27">
        <f>IF($A25="",0,IF(Mitarbeiter!$G$23=FALSE,0,IF(AND(Mitarbeiter!$E$23&lt;&gt;"",HX$5+6&lt;Mitarbeiter!$E$23),0,IF(AND(Mitarbeiter!$F$23&lt;&gt;"",HX$5&gt;Mitarbeiter!$F$23),0,IF(Planung!HX25="",$C25,IF(ISNUMBER(Planung!HX25),Planung!HX25,IF(UPPER(Planung!HX25)="H",$C25/2,0)))))))</f>
        <v>0</v>
      </c>
      <c r="HY25" s="27">
        <f>IF($A25="",0,IF(Mitarbeiter!$G$23=FALSE,0,IF(AND(Mitarbeiter!$E$23&lt;&gt;"",HY$5+6&lt;Mitarbeiter!$E$23),0,IF(AND(Mitarbeiter!$F$23&lt;&gt;"",HY$5&gt;Mitarbeiter!$F$23),0,IF(Planung!HY25="",$C25,IF(ISNUMBER(Planung!HY25),Planung!HY25,IF(UPPER(Planung!HY25)="H",$C25/2,0)))))))</f>
        <v>0</v>
      </c>
      <c r="HZ25" s="27">
        <f>IF($A25="",0,IF(Mitarbeiter!$G$23=FALSE,0,IF(AND(Mitarbeiter!$E$23&lt;&gt;"",HZ$5+6&lt;Mitarbeiter!$E$23),0,IF(AND(Mitarbeiter!$F$23&lt;&gt;"",HZ$5&gt;Mitarbeiter!$F$23),0,IF(Planung!HZ25="",$C25,IF(ISNUMBER(Planung!HZ25),Planung!HZ25,IF(UPPER(Planung!HZ25)="H",$C25/2,0)))))))</f>
        <v>0</v>
      </c>
      <c r="IA25" s="27">
        <f>IF($A25="",0,IF(Mitarbeiter!$G$23=FALSE,0,IF(AND(Mitarbeiter!$E$23&lt;&gt;"",IA$5+6&lt;Mitarbeiter!$E$23),0,IF(AND(Mitarbeiter!$F$23&lt;&gt;"",IA$5&gt;Mitarbeiter!$F$23),0,IF(Planung!IA25="",$C25,IF(ISNUMBER(Planung!IA25),Planung!IA25,IF(UPPER(Planung!IA25)="H",$C25/2,0)))))))</f>
        <v>0</v>
      </c>
    </row>
    <row r="26" spans="1:235" x14ac:dyDescent="0.25">
      <c r="A26" s="7" t="str">
        <f>Planung!A26</f>
        <v/>
      </c>
      <c r="B26" s="7" t="str">
        <f>Planung!B26</f>
        <v/>
      </c>
      <c r="C26" s="27">
        <f>N(Mitarbeiter!$D$24)</f>
        <v>0</v>
      </c>
      <c r="D26" s="27">
        <f>IF($A26="",0,IF(Mitarbeiter!$G$24=FALSE,0,IF(AND(Mitarbeiter!$E$24&lt;&gt;"",D$5+6&lt;Mitarbeiter!$E$24),0,IF(AND(Mitarbeiter!$F$24&lt;&gt;"",D$5&gt;Mitarbeiter!$F$24),0,IF(Planung!D26="",$C26,IF(ISNUMBER(Planung!D26),Planung!D26,IF(UPPER(Planung!D26)="H",$C26/2,0)))))))</f>
        <v>0</v>
      </c>
      <c r="E26" s="27">
        <f>IF($A26="",0,IF(Mitarbeiter!$G$24=FALSE,0,IF(AND(Mitarbeiter!$E$24&lt;&gt;"",E$5+6&lt;Mitarbeiter!$E$24),0,IF(AND(Mitarbeiter!$F$24&lt;&gt;"",E$5&gt;Mitarbeiter!$F$24),0,IF(Planung!E26="",$C26,IF(ISNUMBER(Planung!E26),Planung!E26,IF(UPPER(Planung!E26)="H",$C26/2,0)))))))</f>
        <v>0</v>
      </c>
      <c r="F26" s="27">
        <f>IF($A26="",0,IF(Mitarbeiter!$G$24=FALSE,0,IF(AND(Mitarbeiter!$E$24&lt;&gt;"",F$5+6&lt;Mitarbeiter!$E$24),0,IF(AND(Mitarbeiter!$F$24&lt;&gt;"",F$5&gt;Mitarbeiter!$F$24),0,IF(Planung!F26="",$C26,IF(ISNUMBER(Planung!F26),Planung!F26,IF(UPPER(Planung!F26)="H",$C26/2,0)))))))</f>
        <v>0</v>
      </c>
      <c r="G26" s="27">
        <f>IF($A26="",0,IF(Mitarbeiter!$G$24=FALSE,0,IF(AND(Mitarbeiter!$E$24&lt;&gt;"",G$5+6&lt;Mitarbeiter!$E$24),0,IF(AND(Mitarbeiter!$F$24&lt;&gt;"",G$5&gt;Mitarbeiter!$F$24),0,IF(Planung!G26="",$C26,IF(ISNUMBER(Planung!G26),Planung!G26,IF(UPPER(Planung!G26)="H",$C26/2,0)))))))</f>
        <v>0</v>
      </c>
      <c r="H26" s="27">
        <f>IF($A26="",0,IF(Mitarbeiter!$G$24=FALSE,0,IF(AND(Mitarbeiter!$E$24&lt;&gt;"",H$5+6&lt;Mitarbeiter!$E$24),0,IF(AND(Mitarbeiter!$F$24&lt;&gt;"",H$5&gt;Mitarbeiter!$F$24),0,IF(Planung!H26="",$C26,IF(ISNUMBER(Planung!H26),Planung!H26,IF(UPPER(Planung!H26)="H",$C26/2,0)))))))</f>
        <v>0</v>
      </c>
      <c r="I26" s="27">
        <f>IF($A26="",0,IF(Mitarbeiter!$G$24=FALSE,0,IF(AND(Mitarbeiter!$E$24&lt;&gt;"",I$5+6&lt;Mitarbeiter!$E$24),0,IF(AND(Mitarbeiter!$F$24&lt;&gt;"",I$5&gt;Mitarbeiter!$F$24),0,IF(Planung!I26="",$C26,IF(ISNUMBER(Planung!I26),Planung!I26,IF(UPPER(Planung!I26)="H",$C26/2,0)))))))</f>
        <v>0</v>
      </c>
      <c r="J26" s="27">
        <f>IF($A26="",0,IF(Mitarbeiter!$G$24=FALSE,0,IF(AND(Mitarbeiter!$E$24&lt;&gt;"",J$5+6&lt;Mitarbeiter!$E$24),0,IF(AND(Mitarbeiter!$F$24&lt;&gt;"",J$5&gt;Mitarbeiter!$F$24),0,IF(Planung!J26="",$C26,IF(ISNUMBER(Planung!J26),Planung!J26,IF(UPPER(Planung!J26)="H",$C26/2,0)))))))</f>
        <v>0</v>
      </c>
      <c r="K26" s="27">
        <f>IF($A26="",0,IF(Mitarbeiter!$G$24=FALSE,0,IF(AND(Mitarbeiter!$E$24&lt;&gt;"",K$5+6&lt;Mitarbeiter!$E$24),0,IF(AND(Mitarbeiter!$F$24&lt;&gt;"",K$5&gt;Mitarbeiter!$F$24),0,IF(Planung!K26="",$C26,IF(ISNUMBER(Planung!K26),Planung!K26,IF(UPPER(Planung!K26)="H",$C26/2,0)))))))</f>
        <v>0</v>
      </c>
      <c r="L26" s="27">
        <f>IF($A26="",0,IF(Mitarbeiter!$G$24=FALSE,0,IF(AND(Mitarbeiter!$E$24&lt;&gt;"",L$5+6&lt;Mitarbeiter!$E$24),0,IF(AND(Mitarbeiter!$F$24&lt;&gt;"",L$5&gt;Mitarbeiter!$F$24),0,IF(Planung!L26="",$C26,IF(ISNUMBER(Planung!L26),Planung!L26,IF(UPPER(Planung!L26)="H",$C26/2,0)))))))</f>
        <v>0</v>
      </c>
      <c r="M26" s="27">
        <f>IF($A26="",0,IF(Mitarbeiter!$G$24=FALSE,0,IF(AND(Mitarbeiter!$E$24&lt;&gt;"",M$5+6&lt;Mitarbeiter!$E$24),0,IF(AND(Mitarbeiter!$F$24&lt;&gt;"",M$5&gt;Mitarbeiter!$F$24),0,IF(Planung!M26="",$C26,IF(ISNUMBER(Planung!M26),Planung!M26,IF(UPPER(Planung!M26)="H",$C26/2,0)))))))</f>
        <v>0</v>
      </c>
      <c r="N26" s="27">
        <f>IF($A26="",0,IF(Mitarbeiter!$G$24=FALSE,0,IF(AND(Mitarbeiter!$E$24&lt;&gt;"",N$5+6&lt;Mitarbeiter!$E$24),0,IF(AND(Mitarbeiter!$F$24&lt;&gt;"",N$5&gt;Mitarbeiter!$F$24),0,IF(Planung!N26="",$C26,IF(ISNUMBER(Planung!N26),Planung!N26,IF(UPPER(Planung!N26)="H",$C26/2,0)))))))</f>
        <v>0</v>
      </c>
      <c r="O26" s="27">
        <f>IF($A26="",0,IF(Mitarbeiter!$G$24=FALSE,0,IF(AND(Mitarbeiter!$E$24&lt;&gt;"",O$5+6&lt;Mitarbeiter!$E$24),0,IF(AND(Mitarbeiter!$F$24&lt;&gt;"",O$5&gt;Mitarbeiter!$F$24),0,IF(Planung!O26="",$C26,IF(ISNUMBER(Planung!O26),Planung!O26,IF(UPPER(Planung!O26)="H",$C26/2,0)))))))</f>
        <v>0</v>
      </c>
      <c r="P26" s="27">
        <f>IF($A26="",0,IF(Mitarbeiter!$G$24=FALSE,0,IF(AND(Mitarbeiter!$E$24&lt;&gt;"",P$5+6&lt;Mitarbeiter!$E$24),0,IF(AND(Mitarbeiter!$F$24&lt;&gt;"",P$5&gt;Mitarbeiter!$F$24),0,IF(Planung!P26="",$C26,IF(ISNUMBER(Planung!P26),Planung!P26,IF(UPPER(Planung!P26)="H",$C26/2,0)))))))</f>
        <v>0</v>
      </c>
      <c r="Q26" s="27">
        <f>IF($A26="",0,IF(Mitarbeiter!$G$24=FALSE,0,IF(AND(Mitarbeiter!$E$24&lt;&gt;"",Q$5+6&lt;Mitarbeiter!$E$24),0,IF(AND(Mitarbeiter!$F$24&lt;&gt;"",Q$5&gt;Mitarbeiter!$F$24),0,IF(Planung!Q26="",$C26,IF(ISNUMBER(Planung!Q26),Planung!Q26,IF(UPPER(Planung!Q26)="H",$C26/2,0)))))))</f>
        <v>0</v>
      </c>
      <c r="R26" s="27">
        <f>IF($A26="",0,IF(Mitarbeiter!$G$24=FALSE,0,IF(AND(Mitarbeiter!$E$24&lt;&gt;"",R$5+6&lt;Mitarbeiter!$E$24),0,IF(AND(Mitarbeiter!$F$24&lt;&gt;"",R$5&gt;Mitarbeiter!$F$24),0,IF(Planung!R26="",$C26,IF(ISNUMBER(Planung!R26),Planung!R26,IF(UPPER(Planung!R26)="H",$C26/2,0)))))))</f>
        <v>0</v>
      </c>
      <c r="S26" s="27">
        <f>IF($A26="",0,IF(Mitarbeiter!$G$24=FALSE,0,IF(AND(Mitarbeiter!$E$24&lt;&gt;"",S$5+6&lt;Mitarbeiter!$E$24),0,IF(AND(Mitarbeiter!$F$24&lt;&gt;"",S$5&gt;Mitarbeiter!$F$24),0,IF(Planung!S26="",$C26,IF(ISNUMBER(Planung!S26),Planung!S26,IF(UPPER(Planung!S26)="H",$C26/2,0)))))))</f>
        <v>0</v>
      </c>
      <c r="T26" s="27">
        <f>IF($A26="",0,IF(Mitarbeiter!$G$24=FALSE,0,IF(AND(Mitarbeiter!$E$24&lt;&gt;"",T$5+6&lt;Mitarbeiter!$E$24),0,IF(AND(Mitarbeiter!$F$24&lt;&gt;"",T$5&gt;Mitarbeiter!$F$24),0,IF(Planung!T26="",$C26,IF(ISNUMBER(Planung!T26),Planung!T26,IF(UPPER(Planung!T26)="H",$C26/2,0)))))))</f>
        <v>0</v>
      </c>
      <c r="U26" s="27">
        <f>IF($A26="",0,IF(Mitarbeiter!$G$24=FALSE,0,IF(AND(Mitarbeiter!$E$24&lt;&gt;"",U$5+6&lt;Mitarbeiter!$E$24),0,IF(AND(Mitarbeiter!$F$24&lt;&gt;"",U$5&gt;Mitarbeiter!$F$24),0,IF(Planung!U26="",$C26,IF(ISNUMBER(Planung!U26),Planung!U26,IF(UPPER(Planung!U26)="H",$C26/2,0)))))))</f>
        <v>0</v>
      </c>
      <c r="V26" s="27">
        <f>IF($A26="",0,IF(Mitarbeiter!$G$24=FALSE,0,IF(AND(Mitarbeiter!$E$24&lt;&gt;"",V$5+6&lt;Mitarbeiter!$E$24),0,IF(AND(Mitarbeiter!$F$24&lt;&gt;"",V$5&gt;Mitarbeiter!$F$24),0,IF(Planung!V26="",$C26,IF(ISNUMBER(Planung!V26),Planung!V26,IF(UPPER(Planung!V26)="H",$C26/2,0)))))))</f>
        <v>0</v>
      </c>
      <c r="W26" s="27">
        <f>IF($A26="",0,IF(Mitarbeiter!$G$24=FALSE,0,IF(AND(Mitarbeiter!$E$24&lt;&gt;"",W$5+6&lt;Mitarbeiter!$E$24),0,IF(AND(Mitarbeiter!$F$24&lt;&gt;"",W$5&gt;Mitarbeiter!$F$24),0,IF(Planung!W26="",$C26,IF(ISNUMBER(Planung!W26),Planung!W26,IF(UPPER(Planung!W26)="H",$C26/2,0)))))))</f>
        <v>0</v>
      </c>
      <c r="X26" s="27">
        <f>IF($A26="",0,IF(Mitarbeiter!$G$24=FALSE,0,IF(AND(Mitarbeiter!$E$24&lt;&gt;"",X$5+6&lt;Mitarbeiter!$E$24),0,IF(AND(Mitarbeiter!$F$24&lt;&gt;"",X$5&gt;Mitarbeiter!$F$24),0,IF(Planung!X26="",$C26,IF(ISNUMBER(Planung!X26),Planung!X26,IF(UPPER(Planung!X26)="H",$C26/2,0)))))))</f>
        <v>0</v>
      </c>
      <c r="Y26" s="27">
        <f>IF($A26="",0,IF(Mitarbeiter!$G$24=FALSE,0,IF(AND(Mitarbeiter!$E$24&lt;&gt;"",Y$5+6&lt;Mitarbeiter!$E$24),0,IF(AND(Mitarbeiter!$F$24&lt;&gt;"",Y$5&gt;Mitarbeiter!$F$24),0,IF(Planung!Y26="",$C26,IF(ISNUMBER(Planung!Y26),Planung!Y26,IF(UPPER(Planung!Y26)="H",$C26/2,0)))))))</f>
        <v>0</v>
      </c>
      <c r="Z26" s="27">
        <f>IF($A26="",0,IF(Mitarbeiter!$G$24=FALSE,0,IF(AND(Mitarbeiter!$E$24&lt;&gt;"",Z$5+6&lt;Mitarbeiter!$E$24),0,IF(AND(Mitarbeiter!$F$24&lt;&gt;"",Z$5&gt;Mitarbeiter!$F$24),0,IF(Planung!Z26="",$C26,IF(ISNUMBER(Planung!Z26),Planung!Z26,IF(UPPER(Planung!Z26)="H",$C26/2,0)))))))</f>
        <v>0</v>
      </c>
      <c r="AA26" s="27">
        <f>IF($A26="",0,IF(Mitarbeiter!$G$24=FALSE,0,IF(AND(Mitarbeiter!$E$24&lt;&gt;"",AA$5+6&lt;Mitarbeiter!$E$24),0,IF(AND(Mitarbeiter!$F$24&lt;&gt;"",AA$5&gt;Mitarbeiter!$F$24),0,IF(Planung!AA26="",$C26,IF(ISNUMBER(Planung!AA26),Planung!AA26,IF(UPPER(Planung!AA26)="H",$C26/2,0)))))))</f>
        <v>0</v>
      </c>
      <c r="AB26" s="27">
        <f>IF($A26="",0,IF(Mitarbeiter!$G$24=FALSE,0,IF(AND(Mitarbeiter!$E$24&lt;&gt;"",AB$5+6&lt;Mitarbeiter!$E$24),0,IF(AND(Mitarbeiter!$F$24&lt;&gt;"",AB$5&gt;Mitarbeiter!$F$24),0,IF(Planung!AB26="",$C26,IF(ISNUMBER(Planung!AB26),Planung!AB26,IF(UPPER(Planung!AB26)="H",$C26/2,0)))))))</f>
        <v>0</v>
      </c>
      <c r="AC26" s="27">
        <f>IF($A26="",0,IF(Mitarbeiter!$G$24=FALSE,0,IF(AND(Mitarbeiter!$E$24&lt;&gt;"",AC$5+6&lt;Mitarbeiter!$E$24),0,IF(AND(Mitarbeiter!$F$24&lt;&gt;"",AC$5&gt;Mitarbeiter!$F$24),0,IF(Planung!AC26="",$C26,IF(ISNUMBER(Planung!AC26),Planung!AC26,IF(UPPER(Planung!AC26)="H",$C26/2,0)))))))</f>
        <v>0</v>
      </c>
      <c r="AD26" s="27">
        <f>IF($A26="",0,IF(Mitarbeiter!$G$24=FALSE,0,IF(AND(Mitarbeiter!$E$24&lt;&gt;"",AD$5+6&lt;Mitarbeiter!$E$24),0,IF(AND(Mitarbeiter!$F$24&lt;&gt;"",AD$5&gt;Mitarbeiter!$F$24),0,IF(Planung!AD26="",$C26,IF(ISNUMBER(Planung!AD26),Planung!AD26,IF(UPPER(Planung!AD26)="H",$C26/2,0)))))))</f>
        <v>0</v>
      </c>
      <c r="AE26" s="27">
        <f>IF($A26="",0,IF(Mitarbeiter!$G$24=FALSE,0,IF(AND(Mitarbeiter!$E$24&lt;&gt;"",AE$5+6&lt;Mitarbeiter!$E$24),0,IF(AND(Mitarbeiter!$F$24&lt;&gt;"",AE$5&gt;Mitarbeiter!$F$24),0,IF(Planung!AE26="",$C26,IF(ISNUMBER(Planung!AE26),Planung!AE26,IF(UPPER(Planung!AE26)="H",$C26/2,0)))))))</f>
        <v>0</v>
      </c>
      <c r="AF26" s="27">
        <f>IF($A26="",0,IF(Mitarbeiter!$G$24=FALSE,0,IF(AND(Mitarbeiter!$E$24&lt;&gt;"",AF$5+6&lt;Mitarbeiter!$E$24),0,IF(AND(Mitarbeiter!$F$24&lt;&gt;"",AF$5&gt;Mitarbeiter!$F$24),0,IF(Planung!AF26="",$C26,IF(ISNUMBER(Planung!AF26),Planung!AF26,IF(UPPER(Planung!AF26)="H",$C26/2,0)))))))</f>
        <v>0</v>
      </c>
      <c r="AG26" s="27">
        <f>IF($A26="",0,IF(Mitarbeiter!$G$24=FALSE,0,IF(AND(Mitarbeiter!$E$24&lt;&gt;"",AG$5+6&lt;Mitarbeiter!$E$24),0,IF(AND(Mitarbeiter!$F$24&lt;&gt;"",AG$5&gt;Mitarbeiter!$F$24),0,IF(Planung!AG26="",$C26,IF(ISNUMBER(Planung!AG26),Planung!AG26,IF(UPPER(Planung!AG26)="H",$C26/2,0)))))))</f>
        <v>0</v>
      </c>
      <c r="AH26" s="27">
        <f>IF($A26="",0,IF(Mitarbeiter!$G$24=FALSE,0,IF(AND(Mitarbeiter!$E$24&lt;&gt;"",AH$5+6&lt;Mitarbeiter!$E$24),0,IF(AND(Mitarbeiter!$F$24&lt;&gt;"",AH$5&gt;Mitarbeiter!$F$24),0,IF(Planung!AH26="",$C26,IF(ISNUMBER(Planung!AH26),Planung!AH26,IF(UPPER(Planung!AH26)="H",$C26/2,0)))))))</f>
        <v>0</v>
      </c>
      <c r="AI26" s="27">
        <f>IF($A26="",0,IF(Mitarbeiter!$G$24=FALSE,0,IF(AND(Mitarbeiter!$E$24&lt;&gt;"",AI$5+6&lt;Mitarbeiter!$E$24),0,IF(AND(Mitarbeiter!$F$24&lt;&gt;"",AI$5&gt;Mitarbeiter!$F$24),0,IF(Planung!AI26="",$C26,IF(ISNUMBER(Planung!AI26),Planung!AI26,IF(UPPER(Planung!AI26)="H",$C26/2,0)))))))</f>
        <v>0</v>
      </c>
      <c r="AJ26" s="27">
        <f>IF($A26="",0,IF(Mitarbeiter!$G$24=FALSE,0,IF(AND(Mitarbeiter!$E$24&lt;&gt;"",AJ$5+6&lt;Mitarbeiter!$E$24),0,IF(AND(Mitarbeiter!$F$24&lt;&gt;"",AJ$5&gt;Mitarbeiter!$F$24),0,IF(Planung!AJ26="",$C26,IF(ISNUMBER(Planung!AJ26),Planung!AJ26,IF(UPPER(Planung!AJ26)="H",$C26/2,0)))))))</f>
        <v>0</v>
      </c>
      <c r="AK26" s="27">
        <f>IF($A26="",0,IF(Mitarbeiter!$G$24=FALSE,0,IF(AND(Mitarbeiter!$E$24&lt;&gt;"",AK$5+6&lt;Mitarbeiter!$E$24),0,IF(AND(Mitarbeiter!$F$24&lt;&gt;"",AK$5&gt;Mitarbeiter!$F$24),0,IF(Planung!AK26="",$C26,IF(ISNUMBER(Planung!AK26),Planung!AK26,IF(UPPER(Planung!AK26)="H",$C26/2,0)))))))</f>
        <v>0</v>
      </c>
      <c r="AL26" s="27">
        <f>IF($A26="",0,IF(Mitarbeiter!$G$24=FALSE,0,IF(AND(Mitarbeiter!$E$24&lt;&gt;"",AL$5+6&lt;Mitarbeiter!$E$24),0,IF(AND(Mitarbeiter!$F$24&lt;&gt;"",AL$5&gt;Mitarbeiter!$F$24),0,IF(Planung!AL26="",$C26,IF(ISNUMBER(Planung!AL26),Planung!AL26,IF(UPPER(Planung!AL26)="H",$C26/2,0)))))))</f>
        <v>0</v>
      </c>
      <c r="AM26" s="27">
        <f>IF($A26="",0,IF(Mitarbeiter!$G$24=FALSE,0,IF(AND(Mitarbeiter!$E$24&lt;&gt;"",AM$5+6&lt;Mitarbeiter!$E$24),0,IF(AND(Mitarbeiter!$F$24&lt;&gt;"",AM$5&gt;Mitarbeiter!$F$24),0,IF(Planung!AM26="",$C26,IF(ISNUMBER(Planung!AM26),Planung!AM26,IF(UPPER(Planung!AM26)="H",$C26/2,0)))))))</f>
        <v>0</v>
      </c>
      <c r="AN26" s="27">
        <f>IF($A26="",0,IF(Mitarbeiter!$G$24=FALSE,0,IF(AND(Mitarbeiter!$E$24&lt;&gt;"",AN$5+6&lt;Mitarbeiter!$E$24),0,IF(AND(Mitarbeiter!$F$24&lt;&gt;"",AN$5&gt;Mitarbeiter!$F$24),0,IF(Planung!AN26="",$C26,IF(ISNUMBER(Planung!AN26),Planung!AN26,IF(UPPER(Planung!AN26)="H",$C26/2,0)))))))</f>
        <v>0</v>
      </c>
      <c r="AO26" s="27">
        <f>IF($A26="",0,IF(Mitarbeiter!$G$24=FALSE,0,IF(AND(Mitarbeiter!$E$24&lt;&gt;"",AO$5+6&lt;Mitarbeiter!$E$24),0,IF(AND(Mitarbeiter!$F$24&lt;&gt;"",AO$5&gt;Mitarbeiter!$F$24),0,IF(Planung!AO26="",$C26,IF(ISNUMBER(Planung!AO26),Planung!AO26,IF(UPPER(Planung!AO26)="H",$C26/2,0)))))))</f>
        <v>0</v>
      </c>
      <c r="AP26" s="27">
        <f>IF($A26="",0,IF(Mitarbeiter!$G$24=FALSE,0,IF(AND(Mitarbeiter!$E$24&lt;&gt;"",AP$5+6&lt;Mitarbeiter!$E$24),0,IF(AND(Mitarbeiter!$F$24&lt;&gt;"",AP$5&gt;Mitarbeiter!$F$24),0,IF(Planung!AP26="",$C26,IF(ISNUMBER(Planung!AP26),Planung!AP26,IF(UPPER(Planung!AP26)="H",$C26/2,0)))))))</f>
        <v>0</v>
      </c>
      <c r="AQ26" s="27">
        <f>IF($A26="",0,IF(Mitarbeiter!$G$24=FALSE,0,IF(AND(Mitarbeiter!$E$24&lt;&gt;"",AQ$5+6&lt;Mitarbeiter!$E$24),0,IF(AND(Mitarbeiter!$F$24&lt;&gt;"",AQ$5&gt;Mitarbeiter!$F$24),0,IF(Planung!AQ26="",$C26,IF(ISNUMBER(Planung!AQ26),Planung!AQ26,IF(UPPER(Planung!AQ26)="H",$C26/2,0)))))))</f>
        <v>0</v>
      </c>
      <c r="AR26" s="27">
        <f>IF($A26="",0,IF(Mitarbeiter!$G$24=FALSE,0,IF(AND(Mitarbeiter!$E$24&lt;&gt;"",AR$5+6&lt;Mitarbeiter!$E$24),0,IF(AND(Mitarbeiter!$F$24&lt;&gt;"",AR$5&gt;Mitarbeiter!$F$24),0,IF(Planung!AR26="",$C26,IF(ISNUMBER(Planung!AR26),Planung!AR26,IF(UPPER(Planung!AR26)="H",$C26/2,0)))))))</f>
        <v>0</v>
      </c>
      <c r="AS26" s="27">
        <f>IF($A26="",0,IF(Mitarbeiter!$G$24=FALSE,0,IF(AND(Mitarbeiter!$E$24&lt;&gt;"",AS$5+6&lt;Mitarbeiter!$E$24),0,IF(AND(Mitarbeiter!$F$24&lt;&gt;"",AS$5&gt;Mitarbeiter!$F$24),0,IF(Planung!AS26="",$C26,IF(ISNUMBER(Planung!AS26),Planung!AS26,IF(UPPER(Planung!AS26)="H",$C26/2,0)))))))</f>
        <v>0</v>
      </c>
      <c r="AT26" s="27">
        <f>IF($A26="",0,IF(Mitarbeiter!$G$24=FALSE,0,IF(AND(Mitarbeiter!$E$24&lt;&gt;"",AT$5+6&lt;Mitarbeiter!$E$24),0,IF(AND(Mitarbeiter!$F$24&lt;&gt;"",AT$5&gt;Mitarbeiter!$F$24),0,IF(Planung!AT26="",$C26,IF(ISNUMBER(Planung!AT26),Planung!AT26,IF(UPPER(Planung!AT26)="H",$C26/2,0)))))))</f>
        <v>0</v>
      </c>
      <c r="AU26" s="27">
        <f>IF($A26="",0,IF(Mitarbeiter!$G$24=FALSE,0,IF(AND(Mitarbeiter!$E$24&lt;&gt;"",AU$5+6&lt;Mitarbeiter!$E$24),0,IF(AND(Mitarbeiter!$F$24&lt;&gt;"",AU$5&gt;Mitarbeiter!$F$24),0,IF(Planung!AU26="",$C26,IF(ISNUMBER(Planung!AU26),Planung!AU26,IF(UPPER(Planung!AU26)="H",$C26/2,0)))))))</f>
        <v>0</v>
      </c>
      <c r="AV26" s="27">
        <f>IF($A26="",0,IF(Mitarbeiter!$G$24=FALSE,0,IF(AND(Mitarbeiter!$E$24&lt;&gt;"",AV$5+6&lt;Mitarbeiter!$E$24),0,IF(AND(Mitarbeiter!$F$24&lt;&gt;"",AV$5&gt;Mitarbeiter!$F$24),0,IF(Planung!AV26="",$C26,IF(ISNUMBER(Planung!AV26),Planung!AV26,IF(UPPER(Planung!AV26)="H",$C26/2,0)))))))</f>
        <v>0</v>
      </c>
      <c r="AW26" s="27">
        <f>IF($A26="",0,IF(Mitarbeiter!$G$24=FALSE,0,IF(AND(Mitarbeiter!$E$24&lt;&gt;"",AW$5+6&lt;Mitarbeiter!$E$24),0,IF(AND(Mitarbeiter!$F$24&lt;&gt;"",AW$5&gt;Mitarbeiter!$F$24),0,IF(Planung!AW26="",$C26,IF(ISNUMBER(Planung!AW26),Planung!AW26,IF(UPPER(Planung!AW26)="H",$C26/2,0)))))))</f>
        <v>0</v>
      </c>
      <c r="AX26" s="27">
        <f>IF($A26="",0,IF(Mitarbeiter!$G$24=FALSE,0,IF(AND(Mitarbeiter!$E$24&lt;&gt;"",AX$5+6&lt;Mitarbeiter!$E$24),0,IF(AND(Mitarbeiter!$F$24&lt;&gt;"",AX$5&gt;Mitarbeiter!$F$24),0,IF(Planung!AX26="",$C26,IF(ISNUMBER(Planung!AX26),Planung!AX26,IF(UPPER(Planung!AX26)="H",$C26/2,0)))))))</f>
        <v>0</v>
      </c>
      <c r="AY26" s="27">
        <f>IF($A26="",0,IF(Mitarbeiter!$G$24=FALSE,0,IF(AND(Mitarbeiter!$E$24&lt;&gt;"",AY$5+6&lt;Mitarbeiter!$E$24),0,IF(AND(Mitarbeiter!$F$24&lt;&gt;"",AY$5&gt;Mitarbeiter!$F$24),0,IF(Planung!AY26="",$C26,IF(ISNUMBER(Planung!AY26),Planung!AY26,IF(UPPER(Planung!AY26)="H",$C26/2,0)))))))</f>
        <v>0</v>
      </c>
      <c r="AZ26" s="27">
        <f>IF($A26="",0,IF(Mitarbeiter!$G$24=FALSE,0,IF(AND(Mitarbeiter!$E$24&lt;&gt;"",AZ$5+6&lt;Mitarbeiter!$E$24),0,IF(AND(Mitarbeiter!$F$24&lt;&gt;"",AZ$5&gt;Mitarbeiter!$F$24),0,IF(Planung!AZ26="",$C26,IF(ISNUMBER(Planung!AZ26),Planung!AZ26,IF(UPPER(Planung!AZ26)="H",$C26/2,0)))))))</f>
        <v>0</v>
      </c>
      <c r="BA26" s="27">
        <f>IF($A26="",0,IF(Mitarbeiter!$G$24=FALSE,0,IF(AND(Mitarbeiter!$E$24&lt;&gt;"",BA$5+6&lt;Mitarbeiter!$E$24),0,IF(AND(Mitarbeiter!$F$24&lt;&gt;"",BA$5&gt;Mitarbeiter!$F$24),0,IF(Planung!BA26="",$C26,IF(ISNUMBER(Planung!BA26),Planung!BA26,IF(UPPER(Planung!BA26)="H",$C26/2,0)))))))</f>
        <v>0</v>
      </c>
      <c r="BB26" s="27">
        <f>IF($A26="",0,IF(Mitarbeiter!$G$24=FALSE,0,IF(AND(Mitarbeiter!$E$24&lt;&gt;"",BB$5+6&lt;Mitarbeiter!$E$24),0,IF(AND(Mitarbeiter!$F$24&lt;&gt;"",BB$5&gt;Mitarbeiter!$F$24),0,IF(Planung!BB26="",$C26,IF(ISNUMBER(Planung!BB26),Planung!BB26,IF(UPPER(Planung!BB26)="H",$C26/2,0)))))))</f>
        <v>0</v>
      </c>
      <c r="BC26" s="27">
        <f>IF($A26="",0,IF(Mitarbeiter!$G$24=FALSE,0,IF(AND(Mitarbeiter!$E$24&lt;&gt;"",BC$5+6&lt;Mitarbeiter!$E$24),0,IF(AND(Mitarbeiter!$F$24&lt;&gt;"",BC$5&gt;Mitarbeiter!$F$24),0,IF(Planung!BC26="",$C26,IF(ISNUMBER(Planung!BC26),Planung!BC26,IF(UPPER(Planung!BC26)="H",$C26/2,0)))))))</f>
        <v>0</v>
      </c>
      <c r="BD26" s="27">
        <f>IF($A26="",0,IF(Mitarbeiter!$G$24=FALSE,0,IF(AND(Mitarbeiter!$E$24&lt;&gt;"",BD$5+6&lt;Mitarbeiter!$E$24),0,IF(AND(Mitarbeiter!$F$24&lt;&gt;"",BD$5&gt;Mitarbeiter!$F$24),0,IF(Planung!BD26="",$C26,IF(ISNUMBER(Planung!BD26),Planung!BD26,IF(UPPER(Planung!BD26)="H",$C26/2,0)))))))</f>
        <v>0</v>
      </c>
      <c r="BE26" s="27">
        <f>IF($A26="",0,IF(Mitarbeiter!$G$24=FALSE,0,IF(AND(Mitarbeiter!$E$24&lt;&gt;"",BE$5+6&lt;Mitarbeiter!$E$24),0,IF(AND(Mitarbeiter!$F$24&lt;&gt;"",BE$5&gt;Mitarbeiter!$F$24),0,IF(Planung!BE26="",$C26,IF(ISNUMBER(Planung!BE26),Planung!BE26,IF(UPPER(Planung!BE26)="H",$C26/2,0)))))))</f>
        <v>0</v>
      </c>
      <c r="BF26" s="27">
        <f>IF($A26="",0,IF(Mitarbeiter!$G$24=FALSE,0,IF(AND(Mitarbeiter!$E$24&lt;&gt;"",BF$5+6&lt;Mitarbeiter!$E$24),0,IF(AND(Mitarbeiter!$F$24&lt;&gt;"",BF$5&gt;Mitarbeiter!$F$24),0,IF(Planung!BF26="",$C26,IF(ISNUMBER(Planung!BF26),Planung!BF26,IF(UPPER(Planung!BF26)="H",$C26/2,0)))))))</f>
        <v>0</v>
      </c>
      <c r="BG26" s="27">
        <f>IF($A26="",0,IF(Mitarbeiter!$G$24=FALSE,0,IF(AND(Mitarbeiter!$E$24&lt;&gt;"",BG$5+6&lt;Mitarbeiter!$E$24),0,IF(AND(Mitarbeiter!$F$24&lt;&gt;"",BG$5&gt;Mitarbeiter!$F$24),0,IF(Planung!BG26="",$C26,IF(ISNUMBER(Planung!BG26),Planung!BG26,IF(UPPER(Planung!BG26)="H",$C26/2,0)))))))</f>
        <v>0</v>
      </c>
      <c r="BH26" s="27">
        <f>IF($A26="",0,IF(Mitarbeiter!$G$24=FALSE,0,IF(AND(Mitarbeiter!$E$24&lt;&gt;"",BH$5+6&lt;Mitarbeiter!$E$24),0,IF(AND(Mitarbeiter!$F$24&lt;&gt;"",BH$5&gt;Mitarbeiter!$F$24),0,IF(Planung!BH26="",$C26,IF(ISNUMBER(Planung!BH26),Planung!BH26,IF(UPPER(Planung!BH26)="H",$C26/2,0)))))))</f>
        <v>0</v>
      </c>
      <c r="BI26" s="27">
        <f>IF($A26="",0,IF(Mitarbeiter!$G$24=FALSE,0,IF(AND(Mitarbeiter!$E$24&lt;&gt;"",BI$5+6&lt;Mitarbeiter!$E$24),0,IF(AND(Mitarbeiter!$F$24&lt;&gt;"",BI$5&gt;Mitarbeiter!$F$24),0,IF(Planung!BI26="",$C26,IF(ISNUMBER(Planung!BI26),Planung!BI26,IF(UPPER(Planung!BI26)="H",$C26/2,0)))))))</f>
        <v>0</v>
      </c>
      <c r="BJ26" s="27">
        <f>IF($A26="",0,IF(Mitarbeiter!$G$24=FALSE,0,IF(AND(Mitarbeiter!$E$24&lt;&gt;"",BJ$5+6&lt;Mitarbeiter!$E$24),0,IF(AND(Mitarbeiter!$F$24&lt;&gt;"",BJ$5&gt;Mitarbeiter!$F$24),0,IF(Planung!BJ26="",$C26,IF(ISNUMBER(Planung!BJ26),Planung!BJ26,IF(UPPER(Planung!BJ26)="H",$C26/2,0)))))))</f>
        <v>0</v>
      </c>
      <c r="BK26" s="27">
        <f>IF($A26="",0,IF(Mitarbeiter!$G$24=FALSE,0,IF(AND(Mitarbeiter!$E$24&lt;&gt;"",BK$5+6&lt;Mitarbeiter!$E$24),0,IF(AND(Mitarbeiter!$F$24&lt;&gt;"",BK$5&gt;Mitarbeiter!$F$24),0,IF(Planung!BK26="",$C26,IF(ISNUMBER(Planung!BK26),Planung!BK26,IF(UPPER(Planung!BK26)="H",$C26/2,0)))))))</f>
        <v>0</v>
      </c>
      <c r="BL26" s="27">
        <f>IF($A26="",0,IF(Mitarbeiter!$G$24=FALSE,0,IF(AND(Mitarbeiter!$E$24&lt;&gt;"",BL$5+6&lt;Mitarbeiter!$E$24),0,IF(AND(Mitarbeiter!$F$24&lt;&gt;"",BL$5&gt;Mitarbeiter!$F$24),0,IF(Planung!BL26="",$C26,IF(ISNUMBER(Planung!BL26),Planung!BL26,IF(UPPER(Planung!BL26)="H",$C26/2,0)))))))</f>
        <v>0</v>
      </c>
      <c r="BM26" s="27">
        <f>IF($A26="",0,IF(Mitarbeiter!$G$24=FALSE,0,IF(AND(Mitarbeiter!$E$24&lt;&gt;"",BM$5+6&lt;Mitarbeiter!$E$24),0,IF(AND(Mitarbeiter!$F$24&lt;&gt;"",BM$5&gt;Mitarbeiter!$F$24),0,IF(Planung!BM26="",$C26,IF(ISNUMBER(Planung!BM26),Planung!BM26,IF(UPPER(Planung!BM26)="H",$C26/2,0)))))))</f>
        <v>0</v>
      </c>
      <c r="BN26" s="27">
        <f>IF($A26="",0,IF(Mitarbeiter!$G$24=FALSE,0,IF(AND(Mitarbeiter!$E$24&lt;&gt;"",BN$5+6&lt;Mitarbeiter!$E$24),0,IF(AND(Mitarbeiter!$F$24&lt;&gt;"",BN$5&gt;Mitarbeiter!$F$24),0,IF(Planung!BN26="",$C26,IF(ISNUMBER(Planung!BN26),Planung!BN26,IF(UPPER(Planung!BN26)="H",$C26/2,0)))))))</f>
        <v>0</v>
      </c>
      <c r="BO26" s="27">
        <f>IF($A26="",0,IF(Mitarbeiter!$G$24=FALSE,0,IF(AND(Mitarbeiter!$E$24&lt;&gt;"",BO$5+6&lt;Mitarbeiter!$E$24),0,IF(AND(Mitarbeiter!$F$24&lt;&gt;"",BO$5&gt;Mitarbeiter!$F$24),0,IF(Planung!BO26="",$C26,IF(ISNUMBER(Planung!BO26),Planung!BO26,IF(UPPER(Planung!BO26)="H",$C26/2,0)))))))</f>
        <v>0</v>
      </c>
      <c r="BP26" s="27">
        <f>IF($A26="",0,IF(Mitarbeiter!$G$24=FALSE,0,IF(AND(Mitarbeiter!$E$24&lt;&gt;"",BP$5+6&lt;Mitarbeiter!$E$24),0,IF(AND(Mitarbeiter!$F$24&lt;&gt;"",BP$5&gt;Mitarbeiter!$F$24),0,IF(Planung!BP26="",$C26,IF(ISNUMBER(Planung!BP26),Planung!BP26,IF(UPPER(Planung!BP26)="H",$C26/2,0)))))))</f>
        <v>0</v>
      </c>
      <c r="BQ26" s="27">
        <f>IF($A26="",0,IF(Mitarbeiter!$G$24=FALSE,0,IF(AND(Mitarbeiter!$E$24&lt;&gt;"",BQ$5+6&lt;Mitarbeiter!$E$24),0,IF(AND(Mitarbeiter!$F$24&lt;&gt;"",BQ$5&gt;Mitarbeiter!$F$24),0,IF(Planung!BQ26="",$C26,IF(ISNUMBER(Planung!BQ26),Planung!BQ26,IF(UPPER(Planung!BQ26)="H",$C26/2,0)))))))</f>
        <v>0</v>
      </c>
      <c r="BR26" s="27">
        <f>IF($A26="",0,IF(Mitarbeiter!$G$24=FALSE,0,IF(AND(Mitarbeiter!$E$24&lt;&gt;"",BR$5+6&lt;Mitarbeiter!$E$24),0,IF(AND(Mitarbeiter!$F$24&lt;&gt;"",BR$5&gt;Mitarbeiter!$F$24),0,IF(Planung!BR26="",$C26,IF(ISNUMBER(Planung!BR26),Planung!BR26,IF(UPPER(Planung!BR26)="H",$C26/2,0)))))))</f>
        <v>0</v>
      </c>
      <c r="BS26" s="27">
        <f>IF($A26="",0,IF(Mitarbeiter!$G$24=FALSE,0,IF(AND(Mitarbeiter!$E$24&lt;&gt;"",BS$5+6&lt;Mitarbeiter!$E$24),0,IF(AND(Mitarbeiter!$F$24&lt;&gt;"",BS$5&gt;Mitarbeiter!$F$24),0,IF(Planung!BS26="",$C26,IF(ISNUMBER(Planung!BS26),Planung!BS26,IF(UPPER(Planung!BS26)="H",$C26/2,0)))))))</f>
        <v>0</v>
      </c>
      <c r="BT26" s="27">
        <f>IF($A26="",0,IF(Mitarbeiter!$G$24=FALSE,0,IF(AND(Mitarbeiter!$E$24&lt;&gt;"",BT$5+6&lt;Mitarbeiter!$E$24),0,IF(AND(Mitarbeiter!$F$24&lt;&gt;"",BT$5&gt;Mitarbeiter!$F$24),0,IF(Planung!BT26="",$C26,IF(ISNUMBER(Planung!BT26),Planung!BT26,IF(UPPER(Planung!BT26)="H",$C26/2,0)))))))</f>
        <v>0</v>
      </c>
      <c r="BU26" s="27">
        <f>IF($A26="",0,IF(Mitarbeiter!$G$24=FALSE,0,IF(AND(Mitarbeiter!$E$24&lt;&gt;"",BU$5+6&lt;Mitarbeiter!$E$24),0,IF(AND(Mitarbeiter!$F$24&lt;&gt;"",BU$5&gt;Mitarbeiter!$F$24),0,IF(Planung!BU26="",$C26,IF(ISNUMBER(Planung!BU26),Planung!BU26,IF(UPPER(Planung!BU26)="H",$C26/2,0)))))))</f>
        <v>0</v>
      </c>
      <c r="BV26" s="27">
        <f>IF($A26="",0,IF(Mitarbeiter!$G$24=FALSE,0,IF(AND(Mitarbeiter!$E$24&lt;&gt;"",BV$5+6&lt;Mitarbeiter!$E$24),0,IF(AND(Mitarbeiter!$F$24&lt;&gt;"",BV$5&gt;Mitarbeiter!$F$24),0,IF(Planung!BV26="",$C26,IF(ISNUMBER(Planung!BV26),Planung!BV26,IF(UPPER(Planung!BV26)="H",$C26/2,0)))))))</f>
        <v>0</v>
      </c>
      <c r="BW26" s="27">
        <f>IF($A26="",0,IF(Mitarbeiter!$G$24=FALSE,0,IF(AND(Mitarbeiter!$E$24&lt;&gt;"",BW$5+6&lt;Mitarbeiter!$E$24),0,IF(AND(Mitarbeiter!$F$24&lt;&gt;"",BW$5&gt;Mitarbeiter!$F$24),0,IF(Planung!BW26="",$C26,IF(ISNUMBER(Planung!BW26),Planung!BW26,IF(UPPER(Planung!BW26)="H",$C26/2,0)))))))</f>
        <v>0</v>
      </c>
      <c r="BX26" s="27">
        <f>IF($A26="",0,IF(Mitarbeiter!$G$24=FALSE,0,IF(AND(Mitarbeiter!$E$24&lt;&gt;"",BX$5+6&lt;Mitarbeiter!$E$24),0,IF(AND(Mitarbeiter!$F$24&lt;&gt;"",BX$5&gt;Mitarbeiter!$F$24),0,IF(Planung!BX26="",$C26,IF(ISNUMBER(Planung!BX26),Planung!BX26,IF(UPPER(Planung!BX26)="H",$C26/2,0)))))))</f>
        <v>0</v>
      </c>
      <c r="BY26" s="27">
        <f>IF($A26="",0,IF(Mitarbeiter!$G$24=FALSE,0,IF(AND(Mitarbeiter!$E$24&lt;&gt;"",BY$5+6&lt;Mitarbeiter!$E$24),0,IF(AND(Mitarbeiter!$F$24&lt;&gt;"",BY$5&gt;Mitarbeiter!$F$24),0,IF(Planung!BY26="",$C26,IF(ISNUMBER(Planung!BY26),Planung!BY26,IF(UPPER(Planung!BY26)="H",$C26/2,0)))))))</f>
        <v>0</v>
      </c>
      <c r="BZ26" s="27">
        <f>IF($A26="",0,IF(Mitarbeiter!$G$24=FALSE,0,IF(AND(Mitarbeiter!$E$24&lt;&gt;"",BZ$5+6&lt;Mitarbeiter!$E$24),0,IF(AND(Mitarbeiter!$F$24&lt;&gt;"",BZ$5&gt;Mitarbeiter!$F$24),0,IF(Planung!BZ26="",$C26,IF(ISNUMBER(Planung!BZ26),Planung!BZ26,IF(UPPER(Planung!BZ26)="H",$C26/2,0)))))))</f>
        <v>0</v>
      </c>
      <c r="CA26" s="27">
        <f>IF($A26="",0,IF(Mitarbeiter!$G$24=FALSE,0,IF(AND(Mitarbeiter!$E$24&lt;&gt;"",CA$5+6&lt;Mitarbeiter!$E$24),0,IF(AND(Mitarbeiter!$F$24&lt;&gt;"",CA$5&gt;Mitarbeiter!$F$24),0,IF(Planung!CA26="",$C26,IF(ISNUMBER(Planung!CA26),Planung!CA26,IF(UPPER(Planung!CA26)="H",$C26/2,0)))))))</f>
        <v>0</v>
      </c>
      <c r="CB26" s="27">
        <f>IF($A26="",0,IF(Mitarbeiter!$G$24=FALSE,0,IF(AND(Mitarbeiter!$E$24&lt;&gt;"",CB$5+6&lt;Mitarbeiter!$E$24),0,IF(AND(Mitarbeiter!$F$24&lt;&gt;"",CB$5&gt;Mitarbeiter!$F$24),0,IF(Planung!CB26="",$C26,IF(ISNUMBER(Planung!CB26),Planung!CB26,IF(UPPER(Planung!CB26)="H",$C26/2,0)))))))</f>
        <v>0</v>
      </c>
      <c r="CC26" s="27">
        <f>IF($A26="",0,IF(Mitarbeiter!$G$24=FALSE,0,IF(AND(Mitarbeiter!$E$24&lt;&gt;"",CC$5+6&lt;Mitarbeiter!$E$24),0,IF(AND(Mitarbeiter!$F$24&lt;&gt;"",CC$5&gt;Mitarbeiter!$F$24),0,IF(Planung!CC26="",$C26,IF(ISNUMBER(Planung!CC26),Planung!CC26,IF(UPPER(Planung!CC26)="H",$C26/2,0)))))))</f>
        <v>0</v>
      </c>
      <c r="CD26" s="27">
        <f>IF($A26="",0,IF(Mitarbeiter!$G$24=FALSE,0,IF(AND(Mitarbeiter!$E$24&lt;&gt;"",CD$5+6&lt;Mitarbeiter!$E$24),0,IF(AND(Mitarbeiter!$F$24&lt;&gt;"",CD$5&gt;Mitarbeiter!$F$24),0,IF(Planung!CD26="",$C26,IF(ISNUMBER(Planung!CD26),Planung!CD26,IF(UPPER(Planung!CD26)="H",$C26/2,0)))))))</f>
        <v>0</v>
      </c>
      <c r="CE26" s="27">
        <f>IF($A26="",0,IF(Mitarbeiter!$G$24=FALSE,0,IF(AND(Mitarbeiter!$E$24&lt;&gt;"",CE$5+6&lt;Mitarbeiter!$E$24),0,IF(AND(Mitarbeiter!$F$24&lt;&gt;"",CE$5&gt;Mitarbeiter!$F$24),0,IF(Planung!CE26="",$C26,IF(ISNUMBER(Planung!CE26),Planung!CE26,IF(UPPER(Planung!CE26)="H",$C26/2,0)))))))</f>
        <v>0</v>
      </c>
      <c r="CF26" s="27">
        <f>IF($A26="",0,IF(Mitarbeiter!$G$24=FALSE,0,IF(AND(Mitarbeiter!$E$24&lt;&gt;"",CF$5+6&lt;Mitarbeiter!$E$24),0,IF(AND(Mitarbeiter!$F$24&lt;&gt;"",CF$5&gt;Mitarbeiter!$F$24),0,IF(Planung!CF26="",$C26,IF(ISNUMBER(Planung!CF26),Planung!CF26,IF(UPPER(Planung!CF26)="H",$C26/2,0)))))))</f>
        <v>0</v>
      </c>
      <c r="CG26" s="27">
        <f>IF($A26="",0,IF(Mitarbeiter!$G$24=FALSE,0,IF(AND(Mitarbeiter!$E$24&lt;&gt;"",CG$5+6&lt;Mitarbeiter!$E$24),0,IF(AND(Mitarbeiter!$F$24&lt;&gt;"",CG$5&gt;Mitarbeiter!$F$24),0,IF(Planung!CG26="",$C26,IF(ISNUMBER(Planung!CG26),Planung!CG26,IF(UPPER(Planung!CG26)="H",$C26/2,0)))))))</f>
        <v>0</v>
      </c>
      <c r="CH26" s="27">
        <f>IF($A26="",0,IF(Mitarbeiter!$G$24=FALSE,0,IF(AND(Mitarbeiter!$E$24&lt;&gt;"",CH$5+6&lt;Mitarbeiter!$E$24),0,IF(AND(Mitarbeiter!$F$24&lt;&gt;"",CH$5&gt;Mitarbeiter!$F$24),0,IF(Planung!CH26="",$C26,IF(ISNUMBER(Planung!CH26),Planung!CH26,IF(UPPER(Planung!CH26)="H",$C26/2,0)))))))</f>
        <v>0</v>
      </c>
      <c r="CI26" s="27">
        <f>IF($A26="",0,IF(Mitarbeiter!$G$24=FALSE,0,IF(AND(Mitarbeiter!$E$24&lt;&gt;"",CI$5+6&lt;Mitarbeiter!$E$24),0,IF(AND(Mitarbeiter!$F$24&lt;&gt;"",CI$5&gt;Mitarbeiter!$F$24),0,IF(Planung!CI26="",$C26,IF(ISNUMBER(Planung!CI26),Planung!CI26,IF(UPPER(Planung!CI26)="H",$C26/2,0)))))))</f>
        <v>0</v>
      </c>
      <c r="CJ26" s="27">
        <f>IF($A26="",0,IF(Mitarbeiter!$G$24=FALSE,0,IF(AND(Mitarbeiter!$E$24&lt;&gt;"",CJ$5+6&lt;Mitarbeiter!$E$24),0,IF(AND(Mitarbeiter!$F$24&lt;&gt;"",CJ$5&gt;Mitarbeiter!$F$24),0,IF(Planung!CJ26="",$C26,IF(ISNUMBER(Planung!CJ26),Planung!CJ26,IF(UPPER(Planung!CJ26)="H",$C26/2,0)))))))</f>
        <v>0</v>
      </c>
      <c r="CK26" s="27">
        <f>IF($A26="",0,IF(Mitarbeiter!$G$24=FALSE,0,IF(AND(Mitarbeiter!$E$24&lt;&gt;"",CK$5+6&lt;Mitarbeiter!$E$24),0,IF(AND(Mitarbeiter!$F$24&lt;&gt;"",CK$5&gt;Mitarbeiter!$F$24),0,IF(Planung!CK26="",$C26,IF(ISNUMBER(Planung!CK26),Planung!CK26,IF(UPPER(Planung!CK26)="H",$C26/2,0)))))))</f>
        <v>0</v>
      </c>
      <c r="CL26" s="27">
        <f>IF($A26="",0,IF(Mitarbeiter!$G$24=FALSE,0,IF(AND(Mitarbeiter!$E$24&lt;&gt;"",CL$5+6&lt;Mitarbeiter!$E$24),0,IF(AND(Mitarbeiter!$F$24&lt;&gt;"",CL$5&gt;Mitarbeiter!$F$24),0,IF(Planung!CL26="",$C26,IF(ISNUMBER(Planung!CL26),Planung!CL26,IF(UPPER(Planung!CL26)="H",$C26/2,0)))))))</f>
        <v>0</v>
      </c>
      <c r="CM26" s="27">
        <f>IF($A26="",0,IF(Mitarbeiter!$G$24=FALSE,0,IF(AND(Mitarbeiter!$E$24&lt;&gt;"",CM$5+6&lt;Mitarbeiter!$E$24),0,IF(AND(Mitarbeiter!$F$24&lt;&gt;"",CM$5&gt;Mitarbeiter!$F$24),0,IF(Planung!CM26="",$C26,IF(ISNUMBER(Planung!CM26),Planung!CM26,IF(UPPER(Planung!CM26)="H",$C26/2,0)))))))</f>
        <v>0</v>
      </c>
      <c r="CN26" s="27">
        <f>IF($A26="",0,IF(Mitarbeiter!$G$24=FALSE,0,IF(AND(Mitarbeiter!$E$24&lt;&gt;"",CN$5+6&lt;Mitarbeiter!$E$24),0,IF(AND(Mitarbeiter!$F$24&lt;&gt;"",CN$5&gt;Mitarbeiter!$F$24),0,IF(Planung!CN26="",$C26,IF(ISNUMBER(Planung!CN26),Planung!CN26,IF(UPPER(Planung!CN26)="H",$C26/2,0)))))))</f>
        <v>0</v>
      </c>
      <c r="CO26" s="27">
        <f>IF($A26="",0,IF(Mitarbeiter!$G$24=FALSE,0,IF(AND(Mitarbeiter!$E$24&lt;&gt;"",CO$5+6&lt;Mitarbeiter!$E$24),0,IF(AND(Mitarbeiter!$F$24&lt;&gt;"",CO$5&gt;Mitarbeiter!$F$24),0,IF(Planung!CO26="",$C26,IF(ISNUMBER(Planung!CO26),Planung!CO26,IF(UPPER(Planung!CO26)="H",$C26/2,0)))))))</f>
        <v>0</v>
      </c>
      <c r="CP26" s="27">
        <f>IF($A26="",0,IF(Mitarbeiter!$G$24=FALSE,0,IF(AND(Mitarbeiter!$E$24&lt;&gt;"",CP$5+6&lt;Mitarbeiter!$E$24),0,IF(AND(Mitarbeiter!$F$24&lt;&gt;"",CP$5&gt;Mitarbeiter!$F$24),0,IF(Planung!CP26="",$C26,IF(ISNUMBER(Planung!CP26),Planung!CP26,IF(UPPER(Planung!CP26)="H",$C26/2,0)))))))</f>
        <v>0</v>
      </c>
      <c r="CQ26" s="27">
        <f>IF($A26="",0,IF(Mitarbeiter!$G$24=FALSE,0,IF(AND(Mitarbeiter!$E$24&lt;&gt;"",CQ$5+6&lt;Mitarbeiter!$E$24),0,IF(AND(Mitarbeiter!$F$24&lt;&gt;"",CQ$5&gt;Mitarbeiter!$F$24),0,IF(Planung!CQ26="",$C26,IF(ISNUMBER(Planung!CQ26),Planung!CQ26,IF(UPPER(Planung!CQ26)="H",$C26/2,0)))))))</f>
        <v>0</v>
      </c>
      <c r="CR26" s="27">
        <f>IF($A26="",0,IF(Mitarbeiter!$G$24=FALSE,0,IF(AND(Mitarbeiter!$E$24&lt;&gt;"",CR$5+6&lt;Mitarbeiter!$E$24),0,IF(AND(Mitarbeiter!$F$24&lt;&gt;"",CR$5&gt;Mitarbeiter!$F$24),0,IF(Planung!CR26="",$C26,IF(ISNUMBER(Planung!CR26),Planung!CR26,IF(UPPER(Planung!CR26)="H",$C26/2,0)))))))</f>
        <v>0</v>
      </c>
      <c r="CS26" s="27">
        <f>IF($A26="",0,IF(Mitarbeiter!$G$24=FALSE,0,IF(AND(Mitarbeiter!$E$24&lt;&gt;"",CS$5+6&lt;Mitarbeiter!$E$24),0,IF(AND(Mitarbeiter!$F$24&lt;&gt;"",CS$5&gt;Mitarbeiter!$F$24),0,IF(Planung!CS26="",$C26,IF(ISNUMBER(Planung!CS26),Planung!CS26,IF(UPPER(Planung!CS26)="H",$C26/2,0)))))))</f>
        <v>0</v>
      </c>
      <c r="CT26" s="27">
        <f>IF($A26="",0,IF(Mitarbeiter!$G$24=FALSE,0,IF(AND(Mitarbeiter!$E$24&lt;&gt;"",CT$5+6&lt;Mitarbeiter!$E$24),0,IF(AND(Mitarbeiter!$F$24&lt;&gt;"",CT$5&gt;Mitarbeiter!$F$24),0,IF(Planung!CT26="",$C26,IF(ISNUMBER(Planung!CT26),Planung!CT26,IF(UPPER(Planung!CT26)="H",$C26/2,0)))))))</f>
        <v>0</v>
      </c>
      <c r="CU26" s="27">
        <f>IF($A26="",0,IF(Mitarbeiter!$G$24=FALSE,0,IF(AND(Mitarbeiter!$E$24&lt;&gt;"",CU$5+6&lt;Mitarbeiter!$E$24),0,IF(AND(Mitarbeiter!$F$24&lt;&gt;"",CU$5&gt;Mitarbeiter!$F$24),0,IF(Planung!CU26="",$C26,IF(ISNUMBER(Planung!CU26),Planung!CU26,IF(UPPER(Planung!CU26)="H",$C26/2,0)))))))</f>
        <v>0</v>
      </c>
      <c r="CV26" s="27">
        <f>IF($A26="",0,IF(Mitarbeiter!$G$24=FALSE,0,IF(AND(Mitarbeiter!$E$24&lt;&gt;"",CV$5+6&lt;Mitarbeiter!$E$24),0,IF(AND(Mitarbeiter!$F$24&lt;&gt;"",CV$5&gt;Mitarbeiter!$F$24),0,IF(Planung!CV26="",$C26,IF(ISNUMBER(Planung!CV26),Planung!CV26,IF(UPPER(Planung!CV26)="H",$C26/2,0)))))))</f>
        <v>0</v>
      </c>
      <c r="CW26" s="27">
        <f>IF($A26="",0,IF(Mitarbeiter!$G$24=FALSE,0,IF(AND(Mitarbeiter!$E$24&lt;&gt;"",CW$5+6&lt;Mitarbeiter!$E$24),0,IF(AND(Mitarbeiter!$F$24&lt;&gt;"",CW$5&gt;Mitarbeiter!$F$24),0,IF(Planung!CW26="",$C26,IF(ISNUMBER(Planung!CW26),Planung!CW26,IF(UPPER(Planung!CW26)="H",$C26/2,0)))))))</f>
        <v>0</v>
      </c>
      <c r="CX26" s="27">
        <f>IF($A26="",0,IF(Mitarbeiter!$G$24=FALSE,0,IF(AND(Mitarbeiter!$E$24&lt;&gt;"",CX$5+6&lt;Mitarbeiter!$E$24),0,IF(AND(Mitarbeiter!$F$24&lt;&gt;"",CX$5&gt;Mitarbeiter!$F$24),0,IF(Planung!CX26="",$C26,IF(ISNUMBER(Planung!CX26),Planung!CX26,IF(UPPER(Planung!CX26)="H",$C26/2,0)))))))</f>
        <v>0</v>
      </c>
      <c r="CY26" s="27">
        <f>IF($A26="",0,IF(Mitarbeiter!$G$24=FALSE,0,IF(AND(Mitarbeiter!$E$24&lt;&gt;"",CY$5+6&lt;Mitarbeiter!$E$24),0,IF(AND(Mitarbeiter!$F$24&lt;&gt;"",CY$5&gt;Mitarbeiter!$F$24),0,IF(Planung!CY26="",$C26,IF(ISNUMBER(Planung!CY26),Planung!CY26,IF(UPPER(Planung!CY26)="H",$C26/2,0)))))))</f>
        <v>0</v>
      </c>
      <c r="CZ26" s="27">
        <f>IF($A26="",0,IF(Mitarbeiter!$G$24=FALSE,0,IF(AND(Mitarbeiter!$E$24&lt;&gt;"",CZ$5+6&lt;Mitarbeiter!$E$24),0,IF(AND(Mitarbeiter!$F$24&lt;&gt;"",CZ$5&gt;Mitarbeiter!$F$24),0,IF(Planung!CZ26="",$C26,IF(ISNUMBER(Planung!CZ26),Planung!CZ26,IF(UPPER(Planung!CZ26)="H",$C26/2,0)))))))</f>
        <v>0</v>
      </c>
      <c r="DA26" s="27">
        <f>IF($A26="",0,IF(Mitarbeiter!$G$24=FALSE,0,IF(AND(Mitarbeiter!$E$24&lt;&gt;"",DA$5+6&lt;Mitarbeiter!$E$24),0,IF(AND(Mitarbeiter!$F$24&lt;&gt;"",DA$5&gt;Mitarbeiter!$F$24),0,IF(Planung!DA26="",$C26,IF(ISNUMBER(Planung!DA26),Planung!DA26,IF(UPPER(Planung!DA26)="H",$C26/2,0)))))))</f>
        <v>0</v>
      </c>
      <c r="DB26" s="27">
        <f>IF($A26="",0,IF(Mitarbeiter!$G$24=FALSE,0,IF(AND(Mitarbeiter!$E$24&lt;&gt;"",DB$5+6&lt;Mitarbeiter!$E$24),0,IF(AND(Mitarbeiter!$F$24&lt;&gt;"",DB$5&gt;Mitarbeiter!$F$24),0,IF(Planung!DB26="",$C26,IF(ISNUMBER(Planung!DB26),Planung!DB26,IF(UPPER(Planung!DB26)="H",$C26/2,0)))))))</f>
        <v>0</v>
      </c>
      <c r="DC26" s="27">
        <f>IF($A26="",0,IF(Mitarbeiter!$G$24=FALSE,0,IF(AND(Mitarbeiter!$E$24&lt;&gt;"",DC$5+6&lt;Mitarbeiter!$E$24),0,IF(AND(Mitarbeiter!$F$24&lt;&gt;"",DC$5&gt;Mitarbeiter!$F$24),0,IF(Planung!DC26="",$C26,IF(ISNUMBER(Planung!DC26),Planung!DC26,IF(UPPER(Planung!DC26)="H",$C26/2,0)))))))</f>
        <v>0</v>
      </c>
      <c r="DD26" s="27">
        <f>IF($A26="",0,IF(Mitarbeiter!$G$24=FALSE,0,IF(AND(Mitarbeiter!$E$24&lt;&gt;"",DD$5+6&lt;Mitarbeiter!$E$24),0,IF(AND(Mitarbeiter!$F$24&lt;&gt;"",DD$5&gt;Mitarbeiter!$F$24),0,IF(Planung!DD26="",$C26,IF(ISNUMBER(Planung!DD26),Planung!DD26,IF(UPPER(Planung!DD26)="H",$C26/2,0)))))))</f>
        <v>0</v>
      </c>
      <c r="DE26" s="27">
        <f>IF($A26="",0,IF(Mitarbeiter!$G$24=FALSE,0,IF(AND(Mitarbeiter!$E$24&lt;&gt;"",DE$5+6&lt;Mitarbeiter!$E$24),0,IF(AND(Mitarbeiter!$F$24&lt;&gt;"",DE$5&gt;Mitarbeiter!$F$24),0,IF(Planung!DE26="",$C26,IF(ISNUMBER(Planung!DE26),Planung!DE26,IF(UPPER(Planung!DE26)="H",$C26/2,0)))))))</f>
        <v>0</v>
      </c>
      <c r="DF26" s="27">
        <f>IF($A26="",0,IF(Mitarbeiter!$G$24=FALSE,0,IF(AND(Mitarbeiter!$E$24&lt;&gt;"",DF$5+6&lt;Mitarbeiter!$E$24),0,IF(AND(Mitarbeiter!$F$24&lt;&gt;"",DF$5&gt;Mitarbeiter!$F$24),0,IF(Planung!DF26="",$C26,IF(ISNUMBER(Planung!DF26),Planung!DF26,IF(UPPER(Planung!DF26)="H",$C26/2,0)))))))</f>
        <v>0</v>
      </c>
      <c r="DG26" s="27">
        <f>IF($A26="",0,IF(Mitarbeiter!$G$24=FALSE,0,IF(AND(Mitarbeiter!$E$24&lt;&gt;"",DG$5+6&lt;Mitarbeiter!$E$24),0,IF(AND(Mitarbeiter!$F$24&lt;&gt;"",DG$5&gt;Mitarbeiter!$F$24),0,IF(Planung!DG26="",$C26,IF(ISNUMBER(Planung!DG26),Planung!DG26,IF(UPPER(Planung!DG26)="H",$C26/2,0)))))))</f>
        <v>0</v>
      </c>
      <c r="DH26" s="27">
        <f>IF($A26="",0,IF(Mitarbeiter!$G$24=FALSE,0,IF(AND(Mitarbeiter!$E$24&lt;&gt;"",DH$5+6&lt;Mitarbeiter!$E$24),0,IF(AND(Mitarbeiter!$F$24&lt;&gt;"",DH$5&gt;Mitarbeiter!$F$24),0,IF(Planung!DH26="",$C26,IF(ISNUMBER(Planung!DH26),Planung!DH26,IF(UPPER(Planung!DH26)="H",$C26/2,0)))))))</f>
        <v>0</v>
      </c>
      <c r="DI26" s="27">
        <f>IF($A26="",0,IF(Mitarbeiter!$G$24=FALSE,0,IF(AND(Mitarbeiter!$E$24&lt;&gt;"",DI$5+6&lt;Mitarbeiter!$E$24),0,IF(AND(Mitarbeiter!$F$24&lt;&gt;"",DI$5&gt;Mitarbeiter!$F$24),0,IF(Planung!DI26="",$C26,IF(ISNUMBER(Planung!DI26),Planung!DI26,IF(UPPER(Planung!DI26)="H",$C26/2,0)))))))</f>
        <v>0</v>
      </c>
      <c r="DJ26" s="27">
        <f>IF($A26="",0,IF(Mitarbeiter!$G$24=FALSE,0,IF(AND(Mitarbeiter!$E$24&lt;&gt;"",DJ$5+6&lt;Mitarbeiter!$E$24),0,IF(AND(Mitarbeiter!$F$24&lt;&gt;"",DJ$5&gt;Mitarbeiter!$F$24),0,IF(Planung!DJ26="",$C26,IF(ISNUMBER(Planung!DJ26),Planung!DJ26,IF(UPPER(Planung!DJ26)="H",$C26/2,0)))))))</f>
        <v>0</v>
      </c>
      <c r="DK26" s="27">
        <f>IF($A26="",0,IF(Mitarbeiter!$G$24=FALSE,0,IF(AND(Mitarbeiter!$E$24&lt;&gt;"",DK$5+6&lt;Mitarbeiter!$E$24),0,IF(AND(Mitarbeiter!$F$24&lt;&gt;"",DK$5&gt;Mitarbeiter!$F$24),0,IF(Planung!DK26="",$C26,IF(ISNUMBER(Planung!DK26),Planung!DK26,IF(UPPER(Planung!DK26)="H",$C26/2,0)))))))</f>
        <v>0</v>
      </c>
      <c r="DL26" s="27">
        <f>IF($A26="",0,IF(Mitarbeiter!$G$24=FALSE,0,IF(AND(Mitarbeiter!$E$24&lt;&gt;"",DL$5+6&lt;Mitarbeiter!$E$24),0,IF(AND(Mitarbeiter!$F$24&lt;&gt;"",DL$5&gt;Mitarbeiter!$F$24),0,IF(Planung!DL26="",$C26,IF(ISNUMBER(Planung!DL26),Planung!DL26,IF(UPPER(Planung!DL26)="H",$C26/2,0)))))))</f>
        <v>0</v>
      </c>
      <c r="DM26" s="27">
        <f>IF($A26="",0,IF(Mitarbeiter!$G$24=FALSE,0,IF(AND(Mitarbeiter!$E$24&lt;&gt;"",DM$5+6&lt;Mitarbeiter!$E$24),0,IF(AND(Mitarbeiter!$F$24&lt;&gt;"",DM$5&gt;Mitarbeiter!$F$24),0,IF(Planung!DM26="",$C26,IF(ISNUMBER(Planung!DM26),Planung!DM26,IF(UPPER(Planung!DM26)="H",$C26/2,0)))))))</f>
        <v>0</v>
      </c>
      <c r="DN26" s="27">
        <f>IF($A26="",0,IF(Mitarbeiter!$G$24=FALSE,0,IF(AND(Mitarbeiter!$E$24&lt;&gt;"",DN$5+6&lt;Mitarbeiter!$E$24),0,IF(AND(Mitarbeiter!$F$24&lt;&gt;"",DN$5&gt;Mitarbeiter!$F$24),0,IF(Planung!DN26="",$C26,IF(ISNUMBER(Planung!DN26),Planung!DN26,IF(UPPER(Planung!DN26)="H",$C26/2,0)))))))</f>
        <v>0</v>
      </c>
      <c r="DO26" s="27">
        <f>IF($A26="",0,IF(Mitarbeiter!$G$24=FALSE,0,IF(AND(Mitarbeiter!$E$24&lt;&gt;"",DO$5+6&lt;Mitarbeiter!$E$24),0,IF(AND(Mitarbeiter!$F$24&lt;&gt;"",DO$5&gt;Mitarbeiter!$F$24),0,IF(Planung!DO26="",$C26,IF(ISNUMBER(Planung!DO26),Planung!DO26,IF(UPPER(Planung!DO26)="H",$C26/2,0)))))))</f>
        <v>0</v>
      </c>
      <c r="DP26" s="27">
        <f>IF($A26="",0,IF(Mitarbeiter!$G$24=FALSE,0,IF(AND(Mitarbeiter!$E$24&lt;&gt;"",DP$5+6&lt;Mitarbeiter!$E$24),0,IF(AND(Mitarbeiter!$F$24&lt;&gt;"",DP$5&gt;Mitarbeiter!$F$24),0,IF(Planung!DP26="",$C26,IF(ISNUMBER(Planung!DP26),Planung!DP26,IF(UPPER(Planung!DP26)="H",$C26/2,0)))))))</f>
        <v>0</v>
      </c>
      <c r="DQ26" s="27">
        <f>IF($A26="",0,IF(Mitarbeiter!$G$24=FALSE,0,IF(AND(Mitarbeiter!$E$24&lt;&gt;"",DQ$5+6&lt;Mitarbeiter!$E$24),0,IF(AND(Mitarbeiter!$F$24&lt;&gt;"",DQ$5&gt;Mitarbeiter!$F$24),0,IF(Planung!DQ26="",$C26,IF(ISNUMBER(Planung!DQ26),Planung!DQ26,IF(UPPER(Planung!DQ26)="H",$C26/2,0)))))))</f>
        <v>0</v>
      </c>
      <c r="DR26" s="27">
        <f>IF($A26="",0,IF(Mitarbeiter!$G$24=FALSE,0,IF(AND(Mitarbeiter!$E$24&lt;&gt;"",DR$5+6&lt;Mitarbeiter!$E$24),0,IF(AND(Mitarbeiter!$F$24&lt;&gt;"",DR$5&gt;Mitarbeiter!$F$24),0,IF(Planung!DR26="",$C26,IF(ISNUMBER(Planung!DR26),Planung!DR26,IF(UPPER(Planung!DR26)="H",$C26/2,0)))))))</f>
        <v>0</v>
      </c>
      <c r="DS26" s="27">
        <f>IF($A26="",0,IF(Mitarbeiter!$G$24=FALSE,0,IF(AND(Mitarbeiter!$E$24&lt;&gt;"",DS$5+6&lt;Mitarbeiter!$E$24),0,IF(AND(Mitarbeiter!$F$24&lt;&gt;"",DS$5&gt;Mitarbeiter!$F$24),0,IF(Planung!DS26="",$C26,IF(ISNUMBER(Planung!DS26),Planung!DS26,IF(UPPER(Planung!DS26)="H",$C26/2,0)))))))</f>
        <v>0</v>
      </c>
      <c r="DT26" s="27">
        <f>IF($A26="",0,IF(Mitarbeiter!$G$24=FALSE,0,IF(AND(Mitarbeiter!$E$24&lt;&gt;"",DT$5+6&lt;Mitarbeiter!$E$24),0,IF(AND(Mitarbeiter!$F$24&lt;&gt;"",DT$5&gt;Mitarbeiter!$F$24),0,IF(Planung!DT26="",$C26,IF(ISNUMBER(Planung!DT26),Planung!DT26,IF(UPPER(Planung!DT26)="H",$C26/2,0)))))))</f>
        <v>0</v>
      </c>
      <c r="DU26" s="27">
        <f>IF($A26="",0,IF(Mitarbeiter!$G$24=FALSE,0,IF(AND(Mitarbeiter!$E$24&lt;&gt;"",DU$5+6&lt;Mitarbeiter!$E$24),0,IF(AND(Mitarbeiter!$F$24&lt;&gt;"",DU$5&gt;Mitarbeiter!$F$24),0,IF(Planung!DU26="",$C26,IF(ISNUMBER(Planung!DU26),Planung!DU26,IF(UPPER(Planung!DU26)="H",$C26/2,0)))))))</f>
        <v>0</v>
      </c>
      <c r="DV26" s="27">
        <f>IF($A26="",0,IF(Mitarbeiter!$G$24=FALSE,0,IF(AND(Mitarbeiter!$E$24&lt;&gt;"",DV$5+6&lt;Mitarbeiter!$E$24),0,IF(AND(Mitarbeiter!$F$24&lt;&gt;"",DV$5&gt;Mitarbeiter!$F$24),0,IF(Planung!DV26="",$C26,IF(ISNUMBER(Planung!DV26),Planung!DV26,IF(UPPER(Planung!DV26)="H",$C26/2,0)))))))</f>
        <v>0</v>
      </c>
      <c r="DW26" s="27">
        <f>IF($A26="",0,IF(Mitarbeiter!$G$24=FALSE,0,IF(AND(Mitarbeiter!$E$24&lt;&gt;"",DW$5+6&lt;Mitarbeiter!$E$24),0,IF(AND(Mitarbeiter!$F$24&lt;&gt;"",DW$5&gt;Mitarbeiter!$F$24),0,IF(Planung!DW26="",$C26,IF(ISNUMBER(Planung!DW26),Planung!DW26,IF(UPPER(Planung!DW26)="H",$C26/2,0)))))))</f>
        <v>0</v>
      </c>
      <c r="DX26" s="27">
        <f>IF($A26="",0,IF(Mitarbeiter!$G$24=FALSE,0,IF(AND(Mitarbeiter!$E$24&lt;&gt;"",DX$5+6&lt;Mitarbeiter!$E$24),0,IF(AND(Mitarbeiter!$F$24&lt;&gt;"",DX$5&gt;Mitarbeiter!$F$24),0,IF(Planung!DX26="",$C26,IF(ISNUMBER(Planung!DX26),Planung!DX26,IF(UPPER(Planung!DX26)="H",$C26/2,0)))))))</f>
        <v>0</v>
      </c>
      <c r="DY26" s="27">
        <f>IF($A26="",0,IF(Mitarbeiter!$G$24=FALSE,0,IF(AND(Mitarbeiter!$E$24&lt;&gt;"",DY$5+6&lt;Mitarbeiter!$E$24),0,IF(AND(Mitarbeiter!$F$24&lt;&gt;"",DY$5&gt;Mitarbeiter!$F$24),0,IF(Planung!DY26="",$C26,IF(ISNUMBER(Planung!DY26),Planung!DY26,IF(UPPER(Planung!DY26)="H",$C26/2,0)))))))</f>
        <v>0</v>
      </c>
      <c r="DZ26" s="27">
        <f>IF($A26="",0,IF(Mitarbeiter!$G$24=FALSE,0,IF(AND(Mitarbeiter!$E$24&lt;&gt;"",DZ$5+6&lt;Mitarbeiter!$E$24),0,IF(AND(Mitarbeiter!$F$24&lt;&gt;"",DZ$5&gt;Mitarbeiter!$F$24),0,IF(Planung!DZ26="",$C26,IF(ISNUMBER(Planung!DZ26),Planung!DZ26,IF(UPPER(Planung!DZ26)="H",$C26/2,0)))))))</f>
        <v>0</v>
      </c>
      <c r="EA26" s="27">
        <f>IF($A26="",0,IF(Mitarbeiter!$G$24=FALSE,0,IF(AND(Mitarbeiter!$E$24&lt;&gt;"",EA$5+6&lt;Mitarbeiter!$E$24),0,IF(AND(Mitarbeiter!$F$24&lt;&gt;"",EA$5&gt;Mitarbeiter!$F$24),0,IF(Planung!EA26="",$C26,IF(ISNUMBER(Planung!EA26),Planung!EA26,IF(UPPER(Planung!EA26)="H",$C26/2,0)))))))</f>
        <v>0</v>
      </c>
      <c r="EB26" s="27">
        <f>IF($A26="",0,IF(Mitarbeiter!$G$24=FALSE,0,IF(AND(Mitarbeiter!$E$24&lt;&gt;"",EB$5+6&lt;Mitarbeiter!$E$24),0,IF(AND(Mitarbeiter!$F$24&lt;&gt;"",EB$5&gt;Mitarbeiter!$F$24),0,IF(Planung!EB26="",$C26,IF(ISNUMBER(Planung!EB26),Planung!EB26,IF(UPPER(Planung!EB26)="H",$C26/2,0)))))))</f>
        <v>0</v>
      </c>
      <c r="EC26" s="27">
        <f>IF($A26="",0,IF(Mitarbeiter!$G$24=FALSE,0,IF(AND(Mitarbeiter!$E$24&lt;&gt;"",EC$5+6&lt;Mitarbeiter!$E$24),0,IF(AND(Mitarbeiter!$F$24&lt;&gt;"",EC$5&gt;Mitarbeiter!$F$24),0,IF(Planung!EC26="",$C26,IF(ISNUMBER(Planung!EC26),Planung!EC26,IF(UPPER(Planung!EC26)="H",$C26/2,0)))))))</f>
        <v>0</v>
      </c>
      <c r="ED26" s="27">
        <f>IF($A26="",0,IF(Mitarbeiter!$G$24=FALSE,0,IF(AND(Mitarbeiter!$E$24&lt;&gt;"",ED$5+6&lt;Mitarbeiter!$E$24),0,IF(AND(Mitarbeiter!$F$24&lt;&gt;"",ED$5&gt;Mitarbeiter!$F$24),0,IF(Planung!ED26="",$C26,IF(ISNUMBER(Planung!ED26),Planung!ED26,IF(UPPER(Planung!ED26)="H",$C26/2,0)))))))</f>
        <v>0</v>
      </c>
      <c r="EE26" s="27">
        <f>IF($A26="",0,IF(Mitarbeiter!$G$24=FALSE,0,IF(AND(Mitarbeiter!$E$24&lt;&gt;"",EE$5+6&lt;Mitarbeiter!$E$24),0,IF(AND(Mitarbeiter!$F$24&lt;&gt;"",EE$5&gt;Mitarbeiter!$F$24),0,IF(Planung!EE26="",$C26,IF(ISNUMBER(Planung!EE26),Planung!EE26,IF(UPPER(Planung!EE26)="H",$C26/2,0)))))))</f>
        <v>0</v>
      </c>
      <c r="EF26" s="27">
        <f>IF($A26="",0,IF(Mitarbeiter!$G$24=FALSE,0,IF(AND(Mitarbeiter!$E$24&lt;&gt;"",EF$5+6&lt;Mitarbeiter!$E$24),0,IF(AND(Mitarbeiter!$F$24&lt;&gt;"",EF$5&gt;Mitarbeiter!$F$24),0,IF(Planung!EF26="",$C26,IF(ISNUMBER(Planung!EF26),Planung!EF26,IF(UPPER(Planung!EF26)="H",$C26/2,0)))))))</f>
        <v>0</v>
      </c>
      <c r="EG26" s="27">
        <f>IF($A26="",0,IF(Mitarbeiter!$G$24=FALSE,0,IF(AND(Mitarbeiter!$E$24&lt;&gt;"",EG$5+6&lt;Mitarbeiter!$E$24),0,IF(AND(Mitarbeiter!$F$24&lt;&gt;"",EG$5&gt;Mitarbeiter!$F$24),0,IF(Planung!EG26="",$C26,IF(ISNUMBER(Planung!EG26),Planung!EG26,IF(UPPER(Planung!EG26)="H",$C26/2,0)))))))</f>
        <v>0</v>
      </c>
      <c r="EH26" s="27">
        <f>IF($A26="",0,IF(Mitarbeiter!$G$24=FALSE,0,IF(AND(Mitarbeiter!$E$24&lt;&gt;"",EH$5+6&lt;Mitarbeiter!$E$24),0,IF(AND(Mitarbeiter!$F$24&lt;&gt;"",EH$5&gt;Mitarbeiter!$F$24),0,IF(Planung!EH26="",$C26,IF(ISNUMBER(Planung!EH26),Planung!EH26,IF(UPPER(Planung!EH26)="H",$C26/2,0)))))))</f>
        <v>0</v>
      </c>
      <c r="EI26" s="27">
        <f>IF($A26="",0,IF(Mitarbeiter!$G$24=FALSE,0,IF(AND(Mitarbeiter!$E$24&lt;&gt;"",EI$5+6&lt;Mitarbeiter!$E$24),0,IF(AND(Mitarbeiter!$F$24&lt;&gt;"",EI$5&gt;Mitarbeiter!$F$24),0,IF(Planung!EI26="",$C26,IF(ISNUMBER(Planung!EI26),Planung!EI26,IF(UPPER(Planung!EI26)="H",$C26/2,0)))))))</f>
        <v>0</v>
      </c>
      <c r="EJ26" s="27">
        <f>IF($A26="",0,IF(Mitarbeiter!$G$24=FALSE,0,IF(AND(Mitarbeiter!$E$24&lt;&gt;"",EJ$5+6&lt;Mitarbeiter!$E$24),0,IF(AND(Mitarbeiter!$F$24&lt;&gt;"",EJ$5&gt;Mitarbeiter!$F$24),0,IF(Planung!EJ26="",$C26,IF(ISNUMBER(Planung!EJ26),Planung!EJ26,IF(UPPER(Planung!EJ26)="H",$C26/2,0)))))))</f>
        <v>0</v>
      </c>
      <c r="EK26" s="27">
        <f>IF($A26="",0,IF(Mitarbeiter!$G$24=FALSE,0,IF(AND(Mitarbeiter!$E$24&lt;&gt;"",EK$5+6&lt;Mitarbeiter!$E$24),0,IF(AND(Mitarbeiter!$F$24&lt;&gt;"",EK$5&gt;Mitarbeiter!$F$24),0,IF(Planung!EK26="",$C26,IF(ISNUMBER(Planung!EK26),Planung!EK26,IF(UPPER(Planung!EK26)="H",$C26/2,0)))))))</f>
        <v>0</v>
      </c>
      <c r="EL26" s="27">
        <f>IF($A26="",0,IF(Mitarbeiter!$G$24=FALSE,0,IF(AND(Mitarbeiter!$E$24&lt;&gt;"",EL$5+6&lt;Mitarbeiter!$E$24),0,IF(AND(Mitarbeiter!$F$24&lt;&gt;"",EL$5&gt;Mitarbeiter!$F$24),0,IF(Planung!EL26="",$C26,IF(ISNUMBER(Planung!EL26),Planung!EL26,IF(UPPER(Planung!EL26)="H",$C26/2,0)))))))</f>
        <v>0</v>
      </c>
      <c r="EM26" s="27">
        <f>IF($A26="",0,IF(Mitarbeiter!$G$24=FALSE,0,IF(AND(Mitarbeiter!$E$24&lt;&gt;"",EM$5+6&lt;Mitarbeiter!$E$24),0,IF(AND(Mitarbeiter!$F$24&lt;&gt;"",EM$5&gt;Mitarbeiter!$F$24),0,IF(Planung!EM26="",$C26,IF(ISNUMBER(Planung!EM26),Planung!EM26,IF(UPPER(Planung!EM26)="H",$C26/2,0)))))))</f>
        <v>0</v>
      </c>
      <c r="EN26" s="27">
        <f>IF($A26="",0,IF(Mitarbeiter!$G$24=FALSE,0,IF(AND(Mitarbeiter!$E$24&lt;&gt;"",EN$5+6&lt;Mitarbeiter!$E$24),0,IF(AND(Mitarbeiter!$F$24&lt;&gt;"",EN$5&gt;Mitarbeiter!$F$24),0,IF(Planung!EN26="",$C26,IF(ISNUMBER(Planung!EN26),Planung!EN26,IF(UPPER(Planung!EN26)="H",$C26/2,0)))))))</f>
        <v>0</v>
      </c>
      <c r="EO26" s="27">
        <f>IF($A26="",0,IF(Mitarbeiter!$G$24=FALSE,0,IF(AND(Mitarbeiter!$E$24&lt;&gt;"",EO$5+6&lt;Mitarbeiter!$E$24),0,IF(AND(Mitarbeiter!$F$24&lt;&gt;"",EO$5&gt;Mitarbeiter!$F$24),0,IF(Planung!EO26="",$C26,IF(ISNUMBER(Planung!EO26),Planung!EO26,IF(UPPER(Planung!EO26)="H",$C26/2,0)))))))</f>
        <v>0</v>
      </c>
      <c r="EP26" s="27">
        <f>IF($A26="",0,IF(Mitarbeiter!$G$24=FALSE,0,IF(AND(Mitarbeiter!$E$24&lt;&gt;"",EP$5+6&lt;Mitarbeiter!$E$24),0,IF(AND(Mitarbeiter!$F$24&lt;&gt;"",EP$5&gt;Mitarbeiter!$F$24),0,IF(Planung!EP26="",$C26,IF(ISNUMBER(Planung!EP26),Planung!EP26,IF(UPPER(Planung!EP26)="H",$C26/2,0)))))))</f>
        <v>0</v>
      </c>
      <c r="EQ26" s="27">
        <f>IF($A26="",0,IF(Mitarbeiter!$G$24=FALSE,0,IF(AND(Mitarbeiter!$E$24&lt;&gt;"",EQ$5+6&lt;Mitarbeiter!$E$24),0,IF(AND(Mitarbeiter!$F$24&lt;&gt;"",EQ$5&gt;Mitarbeiter!$F$24),0,IF(Planung!EQ26="",$C26,IF(ISNUMBER(Planung!EQ26),Planung!EQ26,IF(UPPER(Planung!EQ26)="H",$C26/2,0)))))))</f>
        <v>0</v>
      </c>
      <c r="ER26" s="27">
        <f>IF($A26="",0,IF(Mitarbeiter!$G$24=FALSE,0,IF(AND(Mitarbeiter!$E$24&lt;&gt;"",ER$5+6&lt;Mitarbeiter!$E$24),0,IF(AND(Mitarbeiter!$F$24&lt;&gt;"",ER$5&gt;Mitarbeiter!$F$24),0,IF(Planung!ER26="",$C26,IF(ISNUMBER(Planung!ER26),Planung!ER26,IF(UPPER(Planung!ER26)="H",$C26/2,0)))))))</f>
        <v>0</v>
      </c>
      <c r="ES26" s="27">
        <f>IF($A26="",0,IF(Mitarbeiter!$G$24=FALSE,0,IF(AND(Mitarbeiter!$E$24&lt;&gt;"",ES$5+6&lt;Mitarbeiter!$E$24),0,IF(AND(Mitarbeiter!$F$24&lt;&gt;"",ES$5&gt;Mitarbeiter!$F$24),0,IF(Planung!ES26="",$C26,IF(ISNUMBER(Planung!ES26),Planung!ES26,IF(UPPER(Planung!ES26)="H",$C26/2,0)))))))</f>
        <v>0</v>
      </c>
      <c r="ET26" s="27">
        <f>IF($A26="",0,IF(Mitarbeiter!$G$24=FALSE,0,IF(AND(Mitarbeiter!$E$24&lt;&gt;"",ET$5+6&lt;Mitarbeiter!$E$24),0,IF(AND(Mitarbeiter!$F$24&lt;&gt;"",ET$5&gt;Mitarbeiter!$F$24),0,IF(Planung!ET26="",$C26,IF(ISNUMBER(Planung!ET26),Planung!ET26,IF(UPPER(Planung!ET26)="H",$C26/2,0)))))))</f>
        <v>0</v>
      </c>
      <c r="EU26" s="27">
        <f>IF($A26="",0,IF(Mitarbeiter!$G$24=FALSE,0,IF(AND(Mitarbeiter!$E$24&lt;&gt;"",EU$5+6&lt;Mitarbeiter!$E$24),0,IF(AND(Mitarbeiter!$F$24&lt;&gt;"",EU$5&gt;Mitarbeiter!$F$24),0,IF(Planung!EU26="",$C26,IF(ISNUMBER(Planung!EU26),Planung!EU26,IF(UPPER(Planung!EU26)="H",$C26/2,0)))))))</f>
        <v>0</v>
      </c>
      <c r="EV26" s="27">
        <f>IF($A26="",0,IF(Mitarbeiter!$G$24=FALSE,0,IF(AND(Mitarbeiter!$E$24&lt;&gt;"",EV$5+6&lt;Mitarbeiter!$E$24),0,IF(AND(Mitarbeiter!$F$24&lt;&gt;"",EV$5&gt;Mitarbeiter!$F$24),0,IF(Planung!EV26="",$C26,IF(ISNUMBER(Planung!EV26),Planung!EV26,IF(UPPER(Planung!EV26)="H",$C26/2,0)))))))</f>
        <v>0</v>
      </c>
      <c r="EW26" s="27">
        <f>IF($A26="",0,IF(Mitarbeiter!$G$24=FALSE,0,IF(AND(Mitarbeiter!$E$24&lt;&gt;"",EW$5+6&lt;Mitarbeiter!$E$24),0,IF(AND(Mitarbeiter!$F$24&lt;&gt;"",EW$5&gt;Mitarbeiter!$F$24),0,IF(Planung!EW26="",$C26,IF(ISNUMBER(Planung!EW26),Planung!EW26,IF(UPPER(Planung!EW26)="H",$C26/2,0)))))))</f>
        <v>0</v>
      </c>
      <c r="EX26" s="27">
        <f>IF($A26="",0,IF(Mitarbeiter!$G$24=FALSE,0,IF(AND(Mitarbeiter!$E$24&lt;&gt;"",EX$5+6&lt;Mitarbeiter!$E$24),0,IF(AND(Mitarbeiter!$F$24&lt;&gt;"",EX$5&gt;Mitarbeiter!$F$24),0,IF(Planung!EX26="",$C26,IF(ISNUMBER(Planung!EX26),Planung!EX26,IF(UPPER(Planung!EX26)="H",$C26/2,0)))))))</f>
        <v>0</v>
      </c>
      <c r="EY26" s="27">
        <f>IF($A26="",0,IF(Mitarbeiter!$G$24=FALSE,0,IF(AND(Mitarbeiter!$E$24&lt;&gt;"",EY$5+6&lt;Mitarbeiter!$E$24),0,IF(AND(Mitarbeiter!$F$24&lt;&gt;"",EY$5&gt;Mitarbeiter!$F$24),0,IF(Planung!EY26="",$C26,IF(ISNUMBER(Planung!EY26),Planung!EY26,IF(UPPER(Planung!EY26)="H",$C26/2,0)))))))</f>
        <v>0</v>
      </c>
      <c r="EZ26" s="27">
        <f>IF($A26="",0,IF(Mitarbeiter!$G$24=FALSE,0,IF(AND(Mitarbeiter!$E$24&lt;&gt;"",EZ$5+6&lt;Mitarbeiter!$E$24),0,IF(AND(Mitarbeiter!$F$24&lt;&gt;"",EZ$5&gt;Mitarbeiter!$F$24),0,IF(Planung!EZ26="",$C26,IF(ISNUMBER(Planung!EZ26),Planung!EZ26,IF(UPPER(Planung!EZ26)="H",$C26/2,0)))))))</f>
        <v>0</v>
      </c>
      <c r="FA26" s="27">
        <f>IF($A26="",0,IF(Mitarbeiter!$G$24=FALSE,0,IF(AND(Mitarbeiter!$E$24&lt;&gt;"",FA$5+6&lt;Mitarbeiter!$E$24),0,IF(AND(Mitarbeiter!$F$24&lt;&gt;"",FA$5&gt;Mitarbeiter!$F$24),0,IF(Planung!FA26="",$C26,IF(ISNUMBER(Planung!FA26),Planung!FA26,IF(UPPER(Planung!FA26)="H",$C26/2,0)))))))</f>
        <v>0</v>
      </c>
      <c r="FB26" s="27">
        <f>IF($A26="",0,IF(Mitarbeiter!$G$24=FALSE,0,IF(AND(Mitarbeiter!$E$24&lt;&gt;"",FB$5+6&lt;Mitarbeiter!$E$24),0,IF(AND(Mitarbeiter!$F$24&lt;&gt;"",FB$5&gt;Mitarbeiter!$F$24),0,IF(Planung!FB26="",$C26,IF(ISNUMBER(Planung!FB26),Planung!FB26,IF(UPPER(Planung!FB26)="H",$C26/2,0)))))))</f>
        <v>0</v>
      </c>
      <c r="FC26" s="27">
        <f>IF($A26="",0,IF(Mitarbeiter!$G$24=FALSE,0,IF(AND(Mitarbeiter!$E$24&lt;&gt;"",FC$5+6&lt;Mitarbeiter!$E$24),0,IF(AND(Mitarbeiter!$F$24&lt;&gt;"",FC$5&gt;Mitarbeiter!$F$24),0,IF(Planung!FC26="",$C26,IF(ISNUMBER(Planung!FC26),Planung!FC26,IF(UPPER(Planung!FC26)="H",$C26/2,0)))))))</f>
        <v>0</v>
      </c>
      <c r="FD26" s="27">
        <f>IF($A26="",0,IF(Mitarbeiter!$G$24=FALSE,0,IF(AND(Mitarbeiter!$E$24&lt;&gt;"",FD$5+6&lt;Mitarbeiter!$E$24),0,IF(AND(Mitarbeiter!$F$24&lt;&gt;"",FD$5&gt;Mitarbeiter!$F$24),0,IF(Planung!FD26="",$C26,IF(ISNUMBER(Planung!FD26),Planung!FD26,IF(UPPER(Planung!FD26)="H",$C26/2,0)))))))</f>
        <v>0</v>
      </c>
      <c r="FE26" s="27">
        <f>IF($A26="",0,IF(Mitarbeiter!$G$24=FALSE,0,IF(AND(Mitarbeiter!$E$24&lt;&gt;"",FE$5+6&lt;Mitarbeiter!$E$24),0,IF(AND(Mitarbeiter!$F$24&lt;&gt;"",FE$5&gt;Mitarbeiter!$F$24),0,IF(Planung!FE26="",$C26,IF(ISNUMBER(Planung!FE26),Planung!FE26,IF(UPPER(Planung!FE26)="H",$C26/2,0)))))))</f>
        <v>0</v>
      </c>
      <c r="FF26" s="27">
        <f>IF($A26="",0,IF(Mitarbeiter!$G$24=FALSE,0,IF(AND(Mitarbeiter!$E$24&lt;&gt;"",FF$5+6&lt;Mitarbeiter!$E$24),0,IF(AND(Mitarbeiter!$F$24&lt;&gt;"",FF$5&gt;Mitarbeiter!$F$24),0,IF(Planung!FF26="",$C26,IF(ISNUMBER(Planung!FF26),Planung!FF26,IF(UPPER(Planung!FF26)="H",$C26/2,0)))))))</f>
        <v>0</v>
      </c>
      <c r="FG26" s="27">
        <f>IF($A26="",0,IF(Mitarbeiter!$G$24=FALSE,0,IF(AND(Mitarbeiter!$E$24&lt;&gt;"",FG$5+6&lt;Mitarbeiter!$E$24),0,IF(AND(Mitarbeiter!$F$24&lt;&gt;"",FG$5&gt;Mitarbeiter!$F$24),0,IF(Planung!FG26="",$C26,IF(ISNUMBER(Planung!FG26),Planung!FG26,IF(UPPER(Planung!FG26)="H",$C26/2,0)))))))</f>
        <v>0</v>
      </c>
      <c r="FH26" s="27">
        <f>IF($A26="",0,IF(Mitarbeiter!$G$24=FALSE,0,IF(AND(Mitarbeiter!$E$24&lt;&gt;"",FH$5+6&lt;Mitarbeiter!$E$24),0,IF(AND(Mitarbeiter!$F$24&lt;&gt;"",FH$5&gt;Mitarbeiter!$F$24),0,IF(Planung!FH26="",$C26,IF(ISNUMBER(Planung!FH26),Planung!FH26,IF(UPPER(Planung!FH26)="H",$C26/2,0)))))))</f>
        <v>0</v>
      </c>
      <c r="FI26" s="27">
        <f>IF($A26="",0,IF(Mitarbeiter!$G$24=FALSE,0,IF(AND(Mitarbeiter!$E$24&lt;&gt;"",FI$5+6&lt;Mitarbeiter!$E$24),0,IF(AND(Mitarbeiter!$F$24&lt;&gt;"",FI$5&gt;Mitarbeiter!$F$24),0,IF(Planung!FI26="",$C26,IF(ISNUMBER(Planung!FI26),Planung!FI26,IF(UPPER(Planung!FI26)="H",$C26/2,0)))))))</f>
        <v>0</v>
      </c>
      <c r="FJ26" s="27">
        <f>IF($A26="",0,IF(Mitarbeiter!$G$24=FALSE,0,IF(AND(Mitarbeiter!$E$24&lt;&gt;"",FJ$5+6&lt;Mitarbeiter!$E$24),0,IF(AND(Mitarbeiter!$F$24&lt;&gt;"",FJ$5&gt;Mitarbeiter!$F$24),0,IF(Planung!FJ26="",$C26,IF(ISNUMBER(Planung!FJ26),Planung!FJ26,IF(UPPER(Planung!FJ26)="H",$C26/2,0)))))))</f>
        <v>0</v>
      </c>
      <c r="FK26" s="27">
        <f>IF($A26="",0,IF(Mitarbeiter!$G$24=FALSE,0,IF(AND(Mitarbeiter!$E$24&lt;&gt;"",FK$5+6&lt;Mitarbeiter!$E$24),0,IF(AND(Mitarbeiter!$F$24&lt;&gt;"",FK$5&gt;Mitarbeiter!$F$24),0,IF(Planung!FK26="",$C26,IF(ISNUMBER(Planung!FK26),Planung!FK26,IF(UPPER(Planung!FK26)="H",$C26/2,0)))))))</f>
        <v>0</v>
      </c>
      <c r="FL26" s="27">
        <f>IF($A26="",0,IF(Mitarbeiter!$G$24=FALSE,0,IF(AND(Mitarbeiter!$E$24&lt;&gt;"",FL$5+6&lt;Mitarbeiter!$E$24),0,IF(AND(Mitarbeiter!$F$24&lt;&gt;"",FL$5&gt;Mitarbeiter!$F$24),0,IF(Planung!FL26="",$C26,IF(ISNUMBER(Planung!FL26),Planung!FL26,IF(UPPER(Planung!FL26)="H",$C26/2,0)))))))</f>
        <v>0</v>
      </c>
      <c r="FM26" s="27">
        <f>IF($A26="",0,IF(Mitarbeiter!$G$24=FALSE,0,IF(AND(Mitarbeiter!$E$24&lt;&gt;"",FM$5+6&lt;Mitarbeiter!$E$24),0,IF(AND(Mitarbeiter!$F$24&lt;&gt;"",FM$5&gt;Mitarbeiter!$F$24),0,IF(Planung!FM26="",$C26,IF(ISNUMBER(Planung!FM26),Planung!FM26,IF(UPPER(Planung!FM26)="H",$C26/2,0)))))))</f>
        <v>0</v>
      </c>
      <c r="FN26" s="27">
        <f>IF($A26="",0,IF(Mitarbeiter!$G$24=FALSE,0,IF(AND(Mitarbeiter!$E$24&lt;&gt;"",FN$5+6&lt;Mitarbeiter!$E$24),0,IF(AND(Mitarbeiter!$F$24&lt;&gt;"",FN$5&gt;Mitarbeiter!$F$24),0,IF(Planung!FN26="",$C26,IF(ISNUMBER(Planung!FN26),Planung!FN26,IF(UPPER(Planung!FN26)="H",$C26/2,0)))))))</f>
        <v>0</v>
      </c>
      <c r="FO26" s="27">
        <f>IF($A26="",0,IF(Mitarbeiter!$G$24=FALSE,0,IF(AND(Mitarbeiter!$E$24&lt;&gt;"",FO$5+6&lt;Mitarbeiter!$E$24),0,IF(AND(Mitarbeiter!$F$24&lt;&gt;"",FO$5&gt;Mitarbeiter!$F$24),0,IF(Planung!FO26="",$C26,IF(ISNUMBER(Planung!FO26),Planung!FO26,IF(UPPER(Planung!FO26)="H",$C26/2,0)))))))</f>
        <v>0</v>
      </c>
      <c r="FP26" s="27">
        <f>IF($A26="",0,IF(Mitarbeiter!$G$24=FALSE,0,IF(AND(Mitarbeiter!$E$24&lt;&gt;"",FP$5+6&lt;Mitarbeiter!$E$24),0,IF(AND(Mitarbeiter!$F$24&lt;&gt;"",FP$5&gt;Mitarbeiter!$F$24),0,IF(Planung!FP26="",$C26,IF(ISNUMBER(Planung!FP26),Planung!FP26,IF(UPPER(Planung!FP26)="H",$C26/2,0)))))))</f>
        <v>0</v>
      </c>
      <c r="FQ26" s="27">
        <f>IF($A26="",0,IF(Mitarbeiter!$G$24=FALSE,0,IF(AND(Mitarbeiter!$E$24&lt;&gt;"",FQ$5+6&lt;Mitarbeiter!$E$24),0,IF(AND(Mitarbeiter!$F$24&lt;&gt;"",FQ$5&gt;Mitarbeiter!$F$24),0,IF(Planung!FQ26="",$C26,IF(ISNUMBER(Planung!FQ26),Planung!FQ26,IF(UPPER(Planung!FQ26)="H",$C26/2,0)))))))</f>
        <v>0</v>
      </c>
      <c r="FR26" s="27">
        <f>IF($A26="",0,IF(Mitarbeiter!$G$24=FALSE,0,IF(AND(Mitarbeiter!$E$24&lt;&gt;"",FR$5+6&lt;Mitarbeiter!$E$24),0,IF(AND(Mitarbeiter!$F$24&lt;&gt;"",FR$5&gt;Mitarbeiter!$F$24),0,IF(Planung!FR26="",$C26,IF(ISNUMBER(Planung!FR26),Planung!FR26,IF(UPPER(Planung!FR26)="H",$C26/2,0)))))))</f>
        <v>0</v>
      </c>
      <c r="FS26" s="27">
        <f>IF($A26="",0,IF(Mitarbeiter!$G$24=FALSE,0,IF(AND(Mitarbeiter!$E$24&lt;&gt;"",FS$5+6&lt;Mitarbeiter!$E$24),0,IF(AND(Mitarbeiter!$F$24&lt;&gt;"",FS$5&gt;Mitarbeiter!$F$24),0,IF(Planung!FS26="",$C26,IF(ISNUMBER(Planung!FS26),Planung!FS26,IF(UPPER(Planung!FS26)="H",$C26/2,0)))))))</f>
        <v>0</v>
      </c>
      <c r="FT26" s="27">
        <f>IF($A26="",0,IF(Mitarbeiter!$G$24=FALSE,0,IF(AND(Mitarbeiter!$E$24&lt;&gt;"",FT$5+6&lt;Mitarbeiter!$E$24),0,IF(AND(Mitarbeiter!$F$24&lt;&gt;"",FT$5&gt;Mitarbeiter!$F$24),0,IF(Planung!FT26="",$C26,IF(ISNUMBER(Planung!FT26),Planung!FT26,IF(UPPER(Planung!FT26)="H",$C26/2,0)))))))</f>
        <v>0</v>
      </c>
      <c r="FU26" s="27">
        <f>IF($A26="",0,IF(Mitarbeiter!$G$24=FALSE,0,IF(AND(Mitarbeiter!$E$24&lt;&gt;"",FU$5+6&lt;Mitarbeiter!$E$24),0,IF(AND(Mitarbeiter!$F$24&lt;&gt;"",FU$5&gt;Mitarbeiter!$F$24),0,IF(Planung!FU26="",$C26,IF(ISNUMBER(Planung!FU26),Planung!FU26,IF(UPPER(Planung!FU26)="H",$C26/2,0)))))))</f>
        <v>0</v>
      </c>
      <c r="FV26" s="27">
        <f>IF($A26="",0,IF(Mitarbeiter!$G$24=FALSE,0,IF(AND(Mitarbeiter!$E$24&lt;&gt;"",FV$5+6&lt;Mitarbeiter!$E$24),0,IF(AND(Mitarbeiter!$F$24&lt;&gt;"",FV$5&gt;Mitarbeiter!$F$24),0,IF(Planung!FV26="",$C26,IF(ISNUMBER(Planung!FV26),Planung!FV26,IF(UPPER(Planung!FV26)="H",$C26/2,0)))))))</f>
        <v>0</v>
      </c>
      <c r="FW26" s="27">
        <f>IF($A26="",0,IF(Mitarbeiter!$G$24=FALSE,0,IF(AND(Mitarbeiter!$E$24&lt;&gt;"",FW$5+6&lt;Mitarbeiter!$E$24),0,IF(AND(Mitarbeiter!$F$24&lt;&gt;"",FW$5&gt;Mitarbeiter!$F$24),0,IF(Planung!FW26="",$C26,IF(ISNUMBER(Planung!FW26),Planung!FW26,IF(UPPER(Planung!FW26)="H",$C26/2,0)))))))</f>
        <v>0</v>
      </c>
      <c r="FX26" s="27">
        <f>IF($A26="",0,IF(Mitarbeiter!$G$24=FALSE,0,IF(AND(Mitarbeiter!$E$24&lt;&gt;"",FX$5+6&lt;Mitarbeiter!$E$24),0,IF(AND(Mitarbeiter!$F$24&lt;&gt;"",FX$5&gt;Mitarbeiter!$F$24),0,IF(Planung!FX26="",$C26,IF(ISNUMBER(Planung!FX26),Planung!FX26,IF(UPPER(Planung!FX26)="H",$C26/2,0)))))))</f>
        <v>0</v>
      </c>
      <c r="FY26" s="27">
        <f>IF($A26="",0,IF(Mitarbeiter!$G$24=FALSE,0,IF(AND(Mitarbeiter!$E$24&lt;&gt;"",FY$5+6&lt;Mitarbeiter!$E$24),0,IF(AND(Mitarbeiter!$F$24&lt;&gt;"",FY$5&gt;Mitarbeiter!$F$24),0,IF(Planung!FY26="",$C26,IF(ISNUMBER(Planung!FY26),Planung!FY26,IF(UPPER(Planung!FY26)="H",$C26/2,0)))))))</f>
        <v>0</v>
      </c>
      <c r="FZ26" s="27">
        <f>IF($A26="",0,IF(Mitarbeiter!$G$24=FALSE,0,IF(AND(Mitarbeiter!$E$24&lt;&gt;"",FZ$5+6&lt;Mitarbeiter!$E$24),0,IF(AND(Mitarbeiter!$F$24&lt;&gt;"",FZ$5&gt;Mitarbeiter!$F$24),0,IF(Planung!FZ26="",$C26,IF(ISNUMBER(Planung!FZ26),Planung!FZ26,IF(UPPER(Planung!FZ26)="H",$C26/2,0)))))))</f>
        <v>0</v>
      </c>
      <c r="GA26" s="27">
        <f>IF($A26="",0,IF(Mitarbeiter!$G$24=FALSE,0,IF(AND(Mitarbeiter!$E$24&lt;&gt;"",GA$5+6&lt;Mitarbeiter!$E$24),0,IF(AND(Mitarbeiter!$F$24&lt;&gt;"",GA$5&gt;Mitarbeiter!$F$24),0,IF(Planung!GA26="",$C26,IF(ISNUMBER(Planung!GA26),Planung!GA26,IF(UPPER(Planung!GA26)="H",$C26/2,0)))))))</f>
        <v>0</v>
      </c>
      <c r="GB26" s="27">
        <f>IF($A26="",0,IF(Mitarbeiter!$G$24=FALSE,0,IF(AND(Mitarbeiter!$E$24&lt;&gt;"",GB$5+6&lt;Mitarbeiter!$E$24),0,IF(AND(Mitarbeiter!$F$24&lt;&gt;"",GB$5&gt;Mitarbeiter!$F$24),0,IF(Planung!GB26="",$C26,IF(ISNUMBER(Planung!GB26),Planung!GB26,IF(UPPER(Planung!GB26)="H",$C26/2,0)))))))</f>
        <v>0</v>
      </c>
      <c r="GC26" s="27">
        <f>IF($A26="",0,IF(Mitarbeiter!$G$24=FALSE,0,IF(AND(Mitarbeiter!$E$24&lt;&gt;"",GC$5+6&lt;Mitarbeiter!$E$24),0,IF(AND(Mitarbeiter!$F$24&lt;&gt;"",GC$5&gt;Mitarbeiter!$F$24),0,IF(Planung!GC26="",$C26,IF(ISNUMBER(Planung!GC26),Planung!GC26,IF(UPPER(Planung!GC26)="H",$C26/2,0)))))))</f>
        <v>0</v>
      </c>
      <c r="GD26" s="27">
        <f>IF($A26="",0,IF(Mitarbeiter!$G$24=FALSE,0,IF(AND(Mitarbeiter!$E$24&lt;&gt;"",GD$5+6&lt;Mitarbeiter!$E$24),0,IF(AND(Mitarbeiter!$F$24&lt;&gt;"",GD$5&gt;Mitarbeiter!$F$24),0,IF(Planung!GD26="",$C26,IF(ISNUMBER(Planung!GD26),Planung!GD26,IF(UPPER(Planung!GD26)="H",$C26/2,0)))))))</f>
        <v>0</v>
      </c>
      <c r="GE26" s="27">
        <f>IF($A26="",0,IF(Mitarbeiter!$G$24=FALSE,0,IF(AND(Mitarbeiter!$E$24&lt;&gt;"",GE$5+6&lt;Mitarbeiter!$E$24),0,IF(AND(Mitarbeiter!$F$24&lt;&gt;"",GE$5&gt;Mitarbeiter!$F$24),0,IF(Planung!GE26="",$C26,IF(ISNUMBER(Planung!GE26),Planung!GE26,IF(UPPER(Planung!GE26)="H",$C26/2,0)))))))</f>
        <v>0</v>
      </c>
      <c r="GF26" s="27">
        <f>IF($A26="",0,IF(Mitarbeiter!$G$24=FALSE,0,IF(AND(Mitarbeiter!$E$24&lt;&gt;"",GF$5+6&lt;Mitarbeiter!$E$24),0,IF(AND(Mitarbeiter!$F$24&lt;&gt;"",GF$5&gt;Mitarbeiter!$F$24),0,IF(Planung!GF26="",$C26,IF(ISNUMBER(Planung!GF26),Planung!GF26,IF(UPPER(Planung!GF26)="H",$C26/2,0)))))))</f>
        <v>0</v>
      </c>
      <c r="GG26" s="27">
        <f>IF($A26="",0,IF(Mitarbeiter!$G$24=FALSE,0,IF(AND(Mitarbeiter!$E$24&lt;&gt;"",GG$5+6&lt;Mitarbeiter!$E$24),0,IF(AND(Mitarbeiter!$F$24&lt;&gt;"",GG$5&gt;Mitarbeiter!$F$24),0,IF(Planung!GG26="",$C26,IF(ISNUMBER(Planung!GG26),Planung!GG26,IF(UPPER(Planung!GG26)="H",$C26/2,0)))))))</f>
        <v>0</v>
      </c>
      <c r="GH26" s="27">
        <f>IF($A26="",0,IF(Mitarbeiter!$G$24=FALSE,0,IF(AND(Mitarbeiter!$E$24&lt;&gt;"",GH$5+6&lt;Mitarbeiter!$E$24),0,IF(AND(Mitarbeiter!$F$24&lt;&gt;"",GH$5&gt;Mitarbeiter!$F$24),0,IF(Planung!GH26="",$C26,IF(ISNUMBER(Planung!GH26),Planung!GH26,IF(UPPER(Planung!GH26)="H",$C26/2,0)))))))</f>
        <v>0</v>
      </c>
      <c r="GI26" s="27">
        <f>IF($A26="",0,IF(Mitarbeiter!$G$24=FALSE,0,IF(AND(Mitarbeiter!$E$24&lt;&gt;"",GI$5+6&lt;Mitarbeiter!$E$24),0,IF(AND(Mitarbeiter!$F$24&lt;&gt;"",GI$5&gt;Mitarbeiter!$F$24),0,IF(Planung!GI26="",$C26,IF(ISNUMBER(Planung!GI26),Planung!GI26,IF(UPPER(Planung!GI26)="H",$C26/2,0)))))))</f>
        <v>0</v>
      </c>
      <c r="GJ26" s="27">
        <f>IF($A26="",0,IF(Mitarbeiter!$G$24=FALSE,0,IF(AND(Mitarbeiter!$E$24&lt;&gt;"",GJ$5+6&lt;Mitarbeiter!$E$24),0,IF(AND(Mitarbeiter!$F$24&lt;&gt;"",GJ$5&gt;Mitarbeiter!$F$24),0,IF(Planung!GJ26="",$C26,IF(ISNUMBER(Planung!GJ26),Planung!GJ26,IF(UPPER(Planung!GJ26)="H",$C26/2,0)))))))</f>
        <v>0</v>
      </c>
      <c r="GK26" s="27">
        <f>IF($A26="",0,IF(Mitarbeiter!$G$24=FALSE,0,IF(AND(Mitarbeiter!$E$24&lt;&gt;"",GK$5+6&lt;Mitarbeiter!$E$24),0,IF(AND(Mitarbeiter!$F$24&lt;&gt;"",GK$5&gt;Mitarbeiter!$F$24),0,IF(Planung!GK26="",$C26,IF(ISNUMBER(Planung!GK26),Planung!GK26,IF(UPPER(Planung!GK26)="H",$C26/2,0)))))))</f>
        <v>0</v>
      </c>
      <c r="GL26" s="27">
        <f>IF($A26="",0,IF(Mitarbeiter!$G$24=FALSE,0,IF(AND(Mitarbeiter!$E$24&lt;&gt;"",GL$5+6&lt;Mitarbeiter!$E$24),0,IF(AND(Mitarbeiter!$F$24&lt;&gt;"",GL$5&gt;Mitarbeiter!$F$24),0,IF(Planung!GL26="",$C26,IF(ISNUMBER(Planung!GL26),Planung!GL26,IF(UPPER(Planung!GL26)="H",$C26/2,0)))))))</f>
        <v>0</v>
      </c>
      <c r="GM26" s="27">
        <f>IF($A26="",0,IF(Mitarbeiter!$G$24=FALSE,0,IF(AND(Mitarbeiter!$E$24&lt;&gt;"",GM$5+6&lt;Mitarbeiter!$E$24),0,IF(AND(Mitarbeiter!$F$24&lt;&gt;"",GM$5&gt;Mitarbeiter!$F$24),0,IF(Planung!GM26="",$C26,IF(ISNUMBER(Planung!GM26),Planung!GM26,IF(UPPER(Planung!GM26)="H",$C26/2,0)))))))</f>
        <v>0</v>
      </c>
      <c r="GN26" s="27">
        <f>IF($A26="",0,IF(Mitarbeiter!$G$24=FALSE,0,IF(AND(Mitarbeiter!$E$24&lt;&gt;"",GN$5+6&lt;Mitarbeiter!$E$24),0,IF(AND(Mitarbeiter!$F$24&lt;&gt;"",GN$5&gt;Mitarbeiter!$F$24),0,IF(Planung!GN26="",$C26,IF(ISNUMBER(Planung!GN26),Planung!GN26,IF(UPPER(Planung!GN26)="H",$C26/2,0)))))))</f>
        <v>0</v>
      </c>
      <c r="GO26" s="27">
        <f>IF($A26="",0,IF(Mitarbeiter!$G$24=FALSE,0,IF(AND(Mitarbeiter!$E$24&lt;&gt;"",GO$5+6&lt;Mitarbeiter!$E$24),0,IF(AND(Mitarbeiter!$F$24&lt;&gt;"",GO$5&gt;Mitarbeiter!$F$24),0,IF(Planung!GO26="",$C26,IF(ISNUMBER(Planung!GO26),Planung!GO26,IF(UPPER(Planung!GO26)="H",$C26/2,0)))))))</f>
        <v>0</v>
      </c>
      <c r="GP26" s="27">
        <f>IF($A26="",0,IF(Mitarbeiter!$G$24=FALSE,0,IF(AND(Mitarbeiter!$E$24&lt;&gt;"",GP$5+6&lt;Mitarbeiter!$E$24),0,IF(AND(Mitarbeiter!$F$24&lt;&gt;"",GP$5&gt;Mitarbeiter!$F$24),0,IF(Planung!GP26="",$C26,IF(ISNUMBER(Planung!GP26),Planung!GP26,IF(UPPER(Planung!GP26)="H",$C26/2,0)))))))</f>
        <v>0</v>
      </c>
      <c r="GQ26" s="27">
        <f>IF($A26="",0,IF(Mitarbeiter!$G$24=FALSE,0,IF(AND(Mitarbeiter!$E$24&lt;&gt;"",GQ$5+6&lt;Mitarbeiter!$E$24),0,IF(AND(Mitarbeiter!$F$24&lt;&gt;"",GQ$5&gt;Mitarbeiter!$F$24),0,IF(Planung!GQ26="",$C26,IF(ISNUMBER(Planung!GQ26),Planung!GQ26,IF(UPPER(Planung!GQ26)="H",$C26/2,0)))))))</f>
        <v>0</v>
      </c>
      <c r="GR26" s="27">
        <f>IF($A26="",0,IF(Mitarbeiter!$G$24=FALSE,0,IF(AND(Mitarbeiter!$E$24&lt;&gt;"",GR$5+6&lt;Mitarbeiter!$E$24),0,IF(AND(Mitarbeiter!$F$24&lt;&gt;"",GR$5&gt;Mitarbeiter!$F$24),0,IF(Planung!GR26="",$C26,IF(ISNUMBER(Planung!GR26),Planung!GR26,IF(UPPER(Planung!GR26)="H",$C26/2,0)))))))</f>
        <v>0</v>
      </c>
      <c r="GS26" s="27">
        <f>IF($A26="",0,IF(Mitarbeiter!$G$24=FALSE,0,IF(AND(Mitarbeiter!$E$24&lt;&gt;"",GS$5+6&lt;Mitarbeiter!$E$24),0,IF(AND(Mitarbeiter!$F$24&lt;&gt;"",GS$5&gt;Mitarbeiter!$F$24),0,IF(Planung!GS26="",$C26,IF(ISNUMBER(Planung!GS26),Planung!GS26,IF(UPPER(Planung!GS26)="H",$C26/2,0)))))))</f>
        <v>0</v>
      </c>
      <c r="GT26" s="27">
        <f>IF($A26="",0,IF(Mitarbeiter!$G$24=FALSE,0,IF(AND(Mitarbeiter!$E$24&lt;&gt;"",GT$5+6&lt;Mitarbeiter!$E$24),0,IF(AND(Mitarbeiter!$F$24&lt;&gt;"",GT$5&gt;Mitarbeiter!$F$24),0,IF(Planung!GT26="",$C26,IF(ISNUMBER(Planung!GT26),Planung!GT26,IF(UPPER(Planung!GT26)="H",$C26/2,0)))))))</f>
        <v>0</v>
      </c>
      <c r="GU26" s="27">
        <f>IF($A26="",0,IF(Mitarbeiter!$G$24=FALSE,0,IF(AND(Mitarbeiter!$E$24&lt;&gt;"",GU$5+6&lt;Mitarbeiter!$E$24),0,IF(AND(Mitarbeiter!$F$24&lt;&gt;"",GU$5&gt;Mitarbeiter!$F$24),0,IF(Planung!GU26="",$C26,IF(ISNUMBER(Planung!GU26),Planung!GU26,IF(UPPER(Planung!GU26)="H",$C26/2,0)))))))</f>
        <v>0</v>
      </c>
      <c r="GV26" s="27">
        <f>IF($A26="",0,IF(Mitarbeiter!$G$24=FALSE,0,IF(AND(Mitarbeiter!$E$24&lt;&gt;"",GV$5+6&lt;Mitarbeiter!$E$24),0,IF(AND(Mitarbeiter!$F$24&lt;&gt;"",GV$5&gt;Mitarbeiter!$F$24),0,IF(Planung!GV26="",$C26,IF(ISNUMBER(Planung!GV26),Planung!GV26,IF(UPPER(Planung!GV26)="H",$C26/2,0)))))))</f>
        <v>0</v>
      </c>
      <c r="GW26" s="27">
        <f>IF($A26="",0,IF(Mitarbeiter!$G$24=FALSE,0,IF(AND(Mitarbeiter!$E$24&lt;&gt;"",GW$5+6&lt;Mitarbeiter!$E$24),0,IF(AND(Mitarbeiter!$F$24&lt;&gt;"",GW$5&gt;Mitarbeiter!$F$24),0,IF(Planung!GW26="",$C26,IF(ISNUMBER(Planung!GW26),Planung!GW26,IF(UPPER(Planung!GW26)="H",$C26/2,0)))))))</f>
        <v>0</v>
      </c>
      <c r="GX26" s="27">
        <f>IF($A26="",0,IF(Mitarbeiter!$G$24=FALSE,0,IF(AND(Mitarbeiter!$E$24&lt;&gt;"",GX$5+6&lt;Mitarbeiter!$E$24),0,IF(AND(Mitarbeiter!$F$24&lt;&gt;"",GX$5&gt;Mitarbeiter!$F$24),0,IF(Planung!GX26="",$C26,IF(ISNUMBER(Planung!GX26),Planung!GX26,IF(UPPER(Planung!GX26)="H",$C26/2,0)))))))</f>
        <v>0</v>
      </c>
      <c r="GY26" s="27">
        <f>IF($A26="",0,IF(Mitarbeiter!$G$24=FALSE,0,IF(AND(Mitarbeiter!$E$24&lt;&gt;"",GY$5+6&lt;Mitarbeiter!$E$24),0,IF(AND(Mitarbeiter!$F$24&lt;&gt;"",GY$5&gt;Mitarbeiter!$F$24),0,IF(Planung!GY26="",$C26,IF(ISNUMBER(Planung!GY26),Planung!GY26,IF(UPPER(Planung!GY26)="H",$C26/2,0)))))))</f>
        <v>0</v>
      </c>
      <c r="GZ26" s="27">
        <f>IF($A26="",0,IF(Mitarbeiter!$G$24=FALSE,0,IF(AND(Mitarbeiter!$E$24&lt;&gt;"",GZ$5+6&lt;Mitarbeiter!$E$24),0,IF(AND(Mitarbeiter!$F$24&lt;&gt;"",GZ$5&gt;Mitarbeiter!$F$24),0,IF(Planung!GZ26="",$C26,IF(ISNUMBER(Planung!GZ26),Planung!GZ26,IF(UPPER(Planung!GZ26)="H",$C26/2,0)))))))</f>
        <v>0</v>
      </c>
      <c r="HA26" s="27">
        <f>IF($A26="",0,IF(Mitarbeiter!$G$24=FALSE,0,IF(AND(Mitarbeiter!$E$24&lt;&gt;"",HA$5+6&lt;Mitarbeiter!$E$24),0,IF(AND(Mitarbeiter!$F$24&lt;&gt;"",HA$5&gt;Mitarbeiter!$F$24),0,IF(Planung!HA26="",$C26,IF(ISNUMBER(Planung!HA26),Planung!HA26,IF(UPPER(Planung!HA26)="H",$C26/2,0)))))))</f>
        <v>0</v>
      </c>
      <c r="HB26" s="27">
        <f>IF($A26="",0,IF(Mitarbeiter!$G$24=FALSE,0,IF(AND(Mitarbeiter!$E$24&lt;&gt;"",HB$5+6&lt;Mitarbeiter!$E$24),0,IF(AND(Mitarbeiter!$F$24&lt;&gt;"",HB$5&gt;Mitarbeiter!$F$24),0,IF(Planung!HB26="",$C26,IF(ISNUMBER(Planung!HB26),Planung!HB26,IF(UPPER(Planung!HB26)="H",$C26/2,0)))))))</f>
        <v>0</v>
      </c>
      <c r="HC26" s="27">
        <f>IF($A26="",0,IF(Mitarbeiter!$G$24=FALSE,0,IF(AND(Mitarbeiter!$E$24&lt;&gt;"",HC$5+6&lt;Mitarbeiter!$E$24),0,IF(AND(Mitarbeiter!$F$24&lt;&gt;"",HC$5&gt;Mitarbeiter!$F$24),0,IF(Planung!HC26="",$C26,IF(ISNUMBER(Planung!HC26),Planung!HC26,IF(UPPER(Planung!HC26)="H",$C26/2,0)))))))</f>
        <v>0</v>
      </c>
      <c r="HD26" s="27">
        <f>IF($A26="",0,IF(Mitarbeiter!$G$24=FALSE,0,IF(AND(Mitarbeiter!$E$24&lt;&gt;"",HD$5+6&lt;Mitarbeiter!$E$24),0,IF(AND(Mitarbeiter!$F$24&lt;&gt;"",HD$5&gt;Mitarbeiter!$F$24),0,IF(Planung!HD26="",$C26,IF(ISNUMBER(Planung!HD26),Planung!HD26,IF(UPPER(Planung!HD26)="H",$C26/2,0)))))))</f>
        <v>0</v>
      </c>
      <c r="HE26" s="27">
        <f>IF($A26="",0,IF(Mitarbeiter!$G$24=FALSE,0,IF(AND(Mitarbeiter!$E$24&lt;&gt;"",HE$5+6&lt;Mitarbeiter!$E$24),0,IF(AND(Mitarbeiter!$F$24&lt;&gt;"",HE$5&gt;Mitarbeiter!$F$24),0,IF(Planung!HE26="",$C26,IF(ISNUMBER(Planung!HE26),Planung!HE26,IF(UPPER(Planung!HE26)="H",$C26/2,0)))))))</f>
        <v>0</v>
      </c>
      <c r="HF26" s="27">
        <f>IF($A26="",0,IF(Mitarbeiter!$G$24=FALSE,0,IF(AND(Mitarbeiter!$E$24&lt;&gt;"",HF$5+6&lt;Mitarbeiter!$E$24),0,IF(AND(Mitarbeiter!$F$24&lt;&gt;"",HF$5&gt;Mitarbeiter!$F$24),0,IF(Planung!HF26="",$C26,IF(ISNUMBER(Planung!HF26),Planung!HF26,IF(UPPER(Planung!HF26)="H",$C26/2,0)))))))</f>
        <v>0</v>
      </c>
      <c r="HG26" s="27">
        <f>IF($A26="",0,IF(Mitarbeiter!$G$24=FALSE,0,IF(AND(Mitarbeiter!$E$24&lt;&gt;"",HG$5+6&lt;Mitarbeiter!$E$24),0,IF(AND(Mitarbeiter!$F$24&lt;&gt;"",HG$5&gt;Mitarbeiter!$F$24),0,IF(Planung!HG26="",$C26,IF(ISNUMBER(Planung!HG26),Planung!HG26,IF(UPPER(Planung!HG26)="H",$C26/2,0)))))))</f>
        <v>0</v>
      </c>
      <c r="HH26" s="27">
        <f>IF($A26="",0,IF(Mitarbeiter!$G$24=FALSE,0,IF(AND(Mitarbeiter!$E$24&lt;&gt;"",HH$5+6&lt;Mitarbeiter!$E$24),0,IF(AND(Mitarbeiter!$F$24&lt;&gt;"",HH$5&gt;Mitarbeiter!$F$24),0,IF(Planung!HH26="",$C26,IF(ISNUMBER(Planung!HH26),Planung!HH26,IF(UPPER(Planung!HH26)="H",$C26/2,0)))))))</f>
        <v>0</v>
      </c>
      <c r="HI26" s="27">
        <f>IF($A26="",0,IF(Mitarbeiter!$G$24=FALSE,0,IF(AND(Mitarbeiter!$E$24&lt;&gt;"",HI$5+6&lt;Mitarbeiter!$E$24),0,IF(AND(Mitarbeiter!$F$24&lt;&gt;"",HI$5&gt;Mitarbeiter!$F$24),0,IF(Planung!HI26="",$C26,IF(ISNUMBER(Planung!HI26),Planung!HI26,IF(UPPER(Planung!HI26)="H",$C26/2,0)))))))</f>
        <v>0</v>
      </c>
      <c r="HJ26" s="27">
        <f>IF($A26="",0,IF(Mitarbeiter!$G$24=FALSE,0,IF(AND(Mitarbeiter!$E$24&lt;&gt;"",HJ$5+6&lt;Mitarbeiter!$E$24),0,IF(AND(Mitarbeiter!$F$24&lt;&gt;"",HJ$5&gt;Mitarbeiter!$F$24),0,IF(Planung!HJ26="",$C26,IF(ISNUMBER(Planung!HJ26),Planung!HJ26,IF(UPPER(Planung!HJ26)="H",$C26/2,0)))))))</f>
        <v>0</v>
      </c>
      <c r="HK26" s="27">
        <f>IF($A26="",0,IF(Mitarbeiter!$G$24=FALSE,0,IF(AND(Mitarbeiter!$E$24&lt;&gt;"",HK$5+6&lt;Mitarbeiter!$E$24),0,IF(AND(Mitarbeiter!$F$24&lt;&gt;"",HK$5&gt;Mitarbeiter!$F$24),0,IF(Planung!HK26="",$C26,IF(ISNUMBER(Planung!HK26),Planung!HK26,IF(UPPER(Planung!HK26)="H",$C26/2,0)))))))</f>
        <v>0</v>
      </c>
      <c r="HL26" s="27">
        <f>IF($A26="",0,IF(Mitarbeiter!$G$24=FALSE,0,IF(AND(Mitarbeiter!$E$24&lt;&gt;"",HL$5+6&lt;Mitarbeiter!$E$24),0,IF(AND(Mitarbeiter!$F$24&lt;&gt;"",HL$5&gt;Mitarbeiter!$F$24),0,IF(Planung!HL26="",$C26,IF(ISNUMBER(Planung!HL26),Planung!HL26,IF(UPPER(Planung!HL26)="H",$C26/2,0)))))))</f>
        <v>0</v>
      </c>
      <c r="HM26" s="27">
        <f>IF($A26="",0,IF(Mitarbeiter!$G$24=FALSE,0,IF(AND(Mitarbeiter!$E$24&lt;&gt;"",HM$5+6&lt;Mitarbeiter!$E$24),0,IF(AND(Mitarbeiter!$F$24&lt;&gt;"",HM$5&gt;Mitarbeiter!$F$24),0,IF(Planung!HM26="",$C26,IF(ISNUMBER(Planung!HM26),Planung!HM26,IF(UPPER(Planung!HM26)="H",$C26/2,0)))))))</f>
        <v>0</v>
      </c>
      <c r="HN26" s="27">
        <f>IF($A26="",0,IF(Mitarbeiter!$G$24=FALSE,0,IF(AND(Mitarbeiter!$E$24&lt;&gt;"",HN$5+6&lt;Mitarbeiter!$E$24),0,IF(AND(Mitarbeiter!$F$24&lt;&gt;"",HN$5&gt;Mitarbeiter!$F$24),0,IF(Planung!HN26="",$C26,IF(ISNUMBER(Planung!HN26),Planung!HN26,IF(UPPER(Planung!HN26)="H",$C26/2,0)))))))</f>
        <v>0</v>
      </c>
      <c r="HO26" s="27">
        <f>IF($A26="",0,IF(Mitarbeiter!$G$24=FALSE,0,IF(AND(Mitarbeiter!$E$24&lt;&gt;"",HO$5+6&lt;Mitarbeiter!$E$24),0,IF(AND(Mitarbeiter!$F$24&lt;&gt;"",HO$5&gt;Mitarbeiter!$F$24),0,IF(Planung!HO26="",$C26,IF(ISNUMBER(Planung!HO26),Planung!HO26,IF(UPPER(Planung!HO26)="H",$C26/2,0)))))))</f>
        <v>0</v>
      </c>
      <c r="HP26" s="27">
        <f>IF($A26="",0,IF(Mitarbeiter!$G$24=FALSE,0,IF(AND(Mitarbeiter!$E$24&lt;&gt;"",HP$5+6&lt;Mitarbeiter!$E$24),0,IF(AND(Mitarbeiter!$F$24&lt;&gt;"",HP$5&gt;Mitarbeiter!$F$24),0,IF(Planung!HP26="",$C26,IF(ISNUMBER(Planung!HP26),Planung!HP26,IF(UPPER(Planung!HP26)="H",$C26/2,0)))))))</f>
        <v>0</v>
      </c>
      <c r="HQ26" s="27">
        <f>IF($A26="",0,IF(Mitarbeiter!$G$24=FALSE,0,IF(AND(Mitarbeiter!$E$24&lt;&gt;"",HQ$5+6&lt;Mitarbeiter!$E$24),0,IF(AND(Mitarbeiter!$F$24&lt;&gt;"",HQ$5&gt;Mitarbeiter!$F$24),0,IF(Planung!HQ26="",$C26,IF(ISNUMBER(Planung!HQ26),Planung!HQ26,IF(UPPER(Planung!HQ26)="H",$C26/2,0)))))))</f>
        <v>0</v>
      </c>
      <c r="HR26" s="27">
        <f>IF($A26="",0,IF(Mitarbeiter!$G$24=FALSE,0,IF(AND(Mitarbeiter!$E$24&lt;&gt;"",HR$5+6&lt;Mitarbeiter!$E$24),0,IF(AND(Mitarbeiter!$F$24&lt;&gt;"",HR$5&gt;Mitarbeiter!$F$24),0,IF(Planung!HR26="",$C26,IF(ISNUMBER(Planung!HR26),Planung!HR26,IF(UPPER(Planung!HR26)="H",$C26/2,0)))))))</f>
        <v>0</v>
      </c>
      <c r="HS26" s="27">
        <f>IF($A26="",0,IF(Mitarbeiter!$G$24=FALSE,0,IF(AND(Mitarbeiter!$E$24&lt;&gt;"",HS$5+6&lt;Mitarbeiter!$E$24),0,IF(AND(Mitarbeiter!$F$24&lt;&gt;"",HS$5&gt;Mitarbeiter!$F$24),0,IF(Planung!HS26="",$C26,IF(ISNUMBER(Planung!HS26),Planung!HS26,IF(UPPER(Planung!HS26)="H",$C26/2,0)))))))</f>
        <v>0</v>
      </c>
      <c r="HT26" s="27">
        <f>IF($A26="",0,IF(Mitarbeiter!$G$24=FALSE,0,IF(AND(Mitarbeiter!$E$24&lt;&gt;"",HT$5+6&lt;Mitarbeiter!$E$24),0,IF(AND(Mitarbeiter!$F$24&lt;&gt;"",HT$5&gt;Mitarbeiter!$F$24),0,IF(Planung!HT26="",$C26,IF(ISNUMBER(Planung!HT26),Planung!HT26,IF(UPPER(Planung!HT26)="H",$C26/2,0)))))))</f>
        <v>0</v>
      </c>
      <c r="HU26" s="27">
        <f>IF($A26="",0,IF(Mitarbeiter!$G$24=FALSE,0,IF(AND(Mitarbeiter!$E$24&lt;&gt;"",HU$5+6&lt;Mitarbeiter!$E$24),0,IF(AND(Mitarbeiter!$F$24&lt;&gt;"",HU$5&gt;Mitarbeiter!$F$24),0,IF(Planung!HU26="",$C26,IF(ISNUMBER(Planung!HU26),Planung!HU26,IF(UPPER(Planung!HU26)="H",$C26/2,0)))))))</f>
        <v>0</v>
      </c>
      <c r="HV26" s="27">
        <f>IF($A26="",0,IF(Mitarbeiter!$G$24=FALSE,0,IF(AND(Mitarbeiter!$E$24&lt;&gt;"",HV$5+6&lt;Mitarbeiter!$E$24),0,IF(AND(Mitarbeiter!$F$24&lt;&gt;"",HV$5&gt;Mitarbeiter!$F$24),0,IF(Planung!HV26="",$C26,IF(ISNUMBER(Planung!HV26),Planung!HV26,IF(UPPER(Planung!HV26)="H",$C26/2,0)))))))</f>
        <v>0</v>
      </c>
      <c r="HW26" s="27">
        <f>IF($A26="",0,IF(Mitarbeiter!$G$24=FALSE,0,IF(AND(Mitarbeiter!$E$24&lt;&gt;"",HW$5+6&lt;Mitarbeiter!$E$24),0,IF(AND(Mitarbeiter!$F$24&lt;&gt;"",HW$5&gt;Mitarbeiter!$F$24),0,IF(Planung!HW26="",$C26,IF(ISNUMBER(Planung!HW26),Planung!HW26,IF(UPPER(Planung!HW26)="H",$C26/2,0)))))))</f>
        <v>0</v>
      </c>
      <c r="HX26" s="27">
        <f>IF($A26="",0,IF(Mitarbeiter!$G$24=FALSE,0,IF(AND(Mitarbeiter!$E$24&lt;&gt;"",HX$5+6&lt;Mitarbeiter!$E$24),0,IF(AND(Mitarbeiter!$F$24&lt;&gt;"",HX$5&gt;Mitarbeiter!$F$24),0,IF(Planung!HX26="",$C26,IF(ISNUMBER(Planung!HX26),Planung!HX26,IF(UPPER(Planung!HX26)="H",$C26/2,0)))))))</f>
        <v>0</v>
      </c>
      <c r="HY26" s="27">
        <f>IF($A26="",0,IF(Mitarbeiter!$G$24=FALSE,0,IF(AND(Mitarbeiter!$E$24&lt;&gt;"",HY$5+6&lt;Mitarbeiter!$E$24),0,IF(AND(Mitarbeiter!$F$24&lt;&gt;"",HY$5&gt;Mitarbeiter!$F$24),0,IF(Planung!HY26="",$C26,IF(ISNUMBER(Planung!HY26),Planung!HY26,IF(UPPER(Planung!HY26)="H",$C26/2,0)))))))</f>
        <v>0</v>
      </c>
      <c r="HZ26" s="27">
        <f>IF($A26="",0,IF(Mitarbeiter!$G$24=FALSE,0,IF(AND(Mitarbeiter!$E$24&lt;&gt;"",HZ$5+6&lt;Mitarbeiter!$E$24),0,IF(AND(Mitarbeiter!$F$24&lt;&gt;"",HZ$5&gt;Mitarbeiter!$F$24),0,IF(Planung!HZ26="",$C26,IF(ISNUMBER(Planung!HZ26),Planung!HZ26,IF(UPPER(Planung!HZ26)="H",$C26/2,0)))))))</f>
        <v>0</v>
      </c>
      <c r="IA26" s="27">
        <f>IF($A26="",0,IF(Mitarbeiter!$G$24=FALSE,0,IF(AND(Mitarbeiter!$E$24&lt;&gt;"",IA$5+6&lt;Mitarbeiter!$E$24),0,IF(AND(Mitarbeiter!$F$24&lt;&gt;"",IA$5&gt;Mitarbeiter!$F$24),0,IF(Planung!IA26="",$C26,IF(ISNUMBER(Planung!IA26),Planung!IA26,IF(UPPER(Planung!IA26)="H",$C26/2,0)))))))</f>
        <v>0</v>
      </c>
    </row>
    <row r="27" spans="1:235" x14ac:dyDescent="0.25">
      <c r="A27" s="7" t="str">
        <f>Planung!A27</f>
        <v/>
      </c>
      <c r="B27" s="7" t="str">
        <f>Planung!B27</f>
        <v/>
      </c>
      <c r="C27" s="27">
        <f>N(Mitarbeiter!$D$25)</f>
        <v>0</v>
      </c>
      <c r="D27" s="27">
        <f>IF($A27="",0,IF(Mitarbeiter!$G$25=FALSE,0,IF(AND(Mitarbeiter!$E$25&lt;&gt;"",D$5+6&lt;Mitarbeiter!$E$25),0,IF(AND(Mitarbeiter!$F$25&lt;&gt;"",D$5&gt;Mitarbeiter!$F$25),0,IF(Planung!D27="",$C27,IF(ISNUMBER(Planung!D27),Planung!D27,IF(UPPER(Planung!D27)="H",$C27/2,0)))))))</f>
        <v>0</v>
      </c>
      <c r="E27" s="27">
        <f>IF($A27="",0,IF(Mitarbeiter!$G$25=FALSE,0,IF(AND(Mitarbeiter!$E$25&lt;&gt;"",E$5+6&lt;Mitarbeiter!$E$25),0,IF(AND(Mitarbeiter!$F$25&lt;&gt;"",E$5&gt;Mitarbeiter!$F$25),0,IF(Planung!E27="",$C27,IF(ISNUMBER(Planung!E27),Planung!E27,IF(UPPER(Planung!E27)="H",$C27/2,0)))))))</f>
        <v>0</v>
      </c>
      <c r="F27" s="27">
        <f>IF($A27="",0,IF(Mitarbeiter!$G$25=FALSE,0,IF(AND(Mitarbeiter!$E$25&lt;&gt;"",F$5+6&lt;Mitarbeiter!$E$25),0,IF(AND(Mitarbeiter!$F$25&lt;&gt;"",F$5&gt;Mitarbeiter!$F$25),0,IF(Planung!F27="",$C27,IF(ISNUMBER(Planung!F27),Planung!F27,IF(UPPER(Planung!F27)="H",$C27/2,0)))))))</f>
        <v>0</v>
      </c>
      <c r="G27" s="27">
        <f>IF($A27="",0,IF(Mitarbeiter!$G$25=FALSE,0,IF(AND(Mitarbeiter!$E$25&lt;&gt;"",G$5+6&lt;Mitarbeiter!$E$25),0,IF(AND(Mitarbeiter!$F$25&lt;&gt;"",G$5&gt;Mitarbeiter!$F$25),0,IF(Planung!G27="",$C27,IF(ISNUMBER(Planung!G27),Planung!G27,IF(UPPER(Planung!G27)="H",$C27/2,0)))))))</f>
        <v>0</v>
      </c>
      <c r="H27" s="27">
        <f>IF($A27="",0,IF(Mitarbeiter!$G$25=FALSE,0,IF(AND(Mitarbeiter!$E$25&lt;&gt;"",H$5+6&lt;Mitarbeiter!$E$25),0,IF(AND(Mitarbeiter!$F$25&lt;&gt;"",H$5&gt;Mitarbeiter!$F$25),0,IF(Planung!H27="",$C27,IF(ISNUMBER(Planung!H27),Planung!H27,IF(UPPER(Planung!H27)="H",$C27/2,0)))))))</f>
        <v>0</v>
      </c>
      <c r="I27" s="27">
        <f>IF($A27="",0,IF(Mitarbeiter!$G$25=FALSE,0,IF(AND(Mitarbeiter!$E$25&lt;&gt;"",I$5+6&lt;Mitarbeiter!$E$25),0,IF(AND(Mitarbeiter!$F$25&lt;&gt;"",I$5&gt;Mitarbeiter!$F$25),0,IF(Planung!I27="",$C27,IF(ISNUMBER(Planung!I27),Planung!I27,IF(UPPER(Planung!I27)="H",$C27/2,0)))))))</f>
        <v>0</v>
      </c>
      <c r="J27" s="27">
        <f>IF($A27="",0,IF(Mitarbeiter!$G$25=FALSE,0,IF(AND(Mitarbeiter!$E$25&lt;&gt;"",J$5+6&lt;Mitarbeiter!$E$25),0,IF(AND(Mitarbeiter!$F$25&lt;&gt;"",J$5&gt;Mitarbeiter!$F$25),0,IF(Planung!J27="",$C27,IF(ISNUMBER(Planung!J27),Planung!J27,IF(UPPER(Planung!J27)="H",$C27/2,0)))))))</f>
        <v>0</v>
      </c>
      <c r="K27" s="27">
        <f>IF($A27="",0,IF(Mitarbeiter!$G$25=FALSE,0,IF(AND(Mitarbeiter!$E$25&lt;&gt;"",K$5+6&lt;Mitarbeiter!$E$25),0,IF(AND(Mitarbeiter!$F$25&lt;&gt;"",K$5&gt;Mitarbeiter!$F$25),0,IF(Planung!K27="",$C27,IF(ISNUMBER(Planung!K27),Planung!K27,IF(UPPER(Planung!K27)="H",$C27/2,0)))))))</f>
        <v>0</v>
      </c>
      <c r="L27" s="27">
        <f>IF($A27="",0,IF(Mitarbeiter!$G$25=FALSE,0,IF(AND(Mitarbeiter!$E$25&lt;&gt;"",L$5+6&lt;Mitarbeiter!$E$25),0,IF(AND(Mitarbeiter!$F$25&lt;&gt;"",L$5&gt;Mitarbeiter!$F$25),0,IF(Planung!L27="",$C27,IF(ISNUMBER(Planung!L27),Planung!L27,IF(UPPER(Planung!L27)="H",$C27/2,0)))))))</f>
        <v>0</v>
      </c>
      <c r="M27" s="27">
        <f>IF($A27="",0,IF(Mitarbeiter!$G$25=FALSE,0,IF(AND(Mitarbeiter!$E$25&lt;&gt;"",M$5+6&lt;Mitarbeiter!$E$25),0,IF(AND(Mitarbeiter!$F$25&lt;&gt;"",M$5&gt;Mitarbeiter!$F$25),0,IF(Planung!M27="",$C27,IF(ISNUMBER(Planung!M27),Planung!M27,IF(UPPER(Planung!M27)="H",$C27/2,0)))))))</f>
        <v>0</v>
      </c>
      <c r="N27" s="27">
        <f>IF($A27="",0,IF(Mitarbeiter!$G$25=FALSE,0,IF(AND(Mitarbeiter!$E$25&lt;&gt;"",N$5+6&lt;Mitarbeiter!$E$25),0,IF(AND(Mitarbeiter!$F$25&lt;&gt;"",N$5&gt;Mitarbeiter!$F$25),0,IF(Planung!N27="",$C27,IF(ISNUMBER(Planung!N27),Planung!N27,IF(UPPER(Planung!N27)="H",$C27/2,0)))))))</f>
        <v>0</v>
      </c>
      <c r="O27" s="27">
        <f>IF($A27="",0,IF(Mitarbeiter!$G$25=FALSE,0,IF(AND(Mitarbeiter!$E$25&lt;&gt;"",O$5+6&lt;Mitarbeiter!$E$25),0,IF(AND(Mitarbeiter!$F$25&lt;&gt;"",O$5&gt;Mitarbeiter!$F$25),0,IF(Planung!O27="",$C27,IF(ISNUMBER(Planung!O27),Planung!O27,IF(UPPER(Planung!O27)="H",$C27/2,0)))))))</f>
        <v>0</v>
      </c>
      <c r="P27" s="27">
        <f>IF($A27="",0,IF(Mitarbeiter!$G$25=FALSE,0,IF(AND(Mitarbeiter!$E$25&lt;&gt;"",P$5+6&lt;Mitarbeiter!$E$25),0,IF(AND(Mitarbeiter!$F$25&lt;&gt;"",P$5&gt;Mitarbeiter!$F$25),0,IF(Planung!P27="",$C27,IF(ISNUMBER(Planung!P27),Planung!P27,IF(UPPER(Planung!P27)="H",$C27/2,0)))))))</f>
        <v>0</v>
      </c>
      <c r="Q27" s="27">
        <f>IF($A27="",0,IF(Mitarbeiter!$G$25=FALSE,0,IF(AND(Mitarbeiter!$E$25&lt;&gt;"",Q$5+6&lt;Mitarbeiter!$E$25),0,IF(AND(Mitarbeiter!$F$25&lt;&gt;"",Q$5&gt;Mitarbeiter!$F$25),0,IF(Planung!Q27="",$C27,IF(ISNUMBER(Planung!Q27),Planung!Q27,IF(UPPER(Planung!Q27)="H",$C27/2,0)))))))</f>
        <v>0</v>
      </c>
      <c r="R27" s="27">
        <f>IF($A27="",0,IF(Mitarbeiter!$G$25=FALSE,0,IF(AND(Mitarbeiter!$E$25&lt;&gt;"",R$5+6&lt;Mitarbeiter!$E$25),0,IF(AND(Mitarbeiter!$F$25&lt;&gt;"",R$5&gt;Mitarbeiter!$F$25),0,IF(Planung!R27="",$C27,IF(ISNUMBER(Planung!R27),Planung!R27,IF(UPPER(Planung!R27)="H",$C27/2,0)))))))</f>
        <v>0</v>
      </c>
      <c r="S27" s="27">
        <f>IF($A27="",0,IF(Mitarbeiter!$G$25=FALSE,0,IF(AND(Mitarbeiter!$E$25&lt;&gt;"",S$5+6&lt;Mitarbeiter!$E$25),0,IF(AND(Mitarbeiter!$F$25&lt;&gt;"",S$5&gt;Mitarbeiter!$F$25),0,IF(Planung!S27="",$C27,IF(ISNUMBER(Planung!S27),Planung!S27,IF(UPPER(Planung!S27)="H",$C27/2,0)))))))</f>
        <v>0</v>
      </c>
      <c r="T27" s="27">
        <f>IF($A27="",0,IF(Mitarbeiter!$G$25=FALSE,0,IF(AND(Mitarbeiter!$E$25&lt;&gt;"",T$5+6&lt;Mitarbeiter!$E$25),0,IF(AND(Mitarbeiter!$F$25&lt;&gt;"",T$5&gt;Mitarbeiter!$F$25),0,IF(Planung!T27="",$C27,IF(ISNUMBER(Planung!T27),Planung!T27,IF(UPPER(Planung!T27)="H",$C27/2,0)))))))</f>
        <v>0</v>
      </c>
      <c r="U27" s="27">
        <f>IF($A27="",0,IF(Mitarbeiter!$G$25=FALSE,0,IF(AND(Mitarbeiter!$E$25&lt;&gt;"",U$5+6&lt;Mitarbeiter!$E$25),0,IF(AND(Mitarbeiter!$F$25&lt;&gt;"",U$5&gt;Mitarbeiter!$F$25),0,IF(Planung!U27="",$C27,IF(ISNUMBER(Planung!U27),Planung!U27,IF(UPPER(Planung!U27)="H",$C27/2,0)))))))</f>
        <v>0</v>
      </c>
      <c r="V27" s="27">
        <f>IF($A27="",0,IF(Mitarbeiter!$G$25=FALSE,0,IF(AND(Mitarbeiter!$E$25&lt;&gt;"",V$5+6&lt;Mitarbeiter!$E$25),0,IF(AND(Mitarbeiter!$F$25&lt;&gt;"",V$5&gt;Mitarbeiter!$F$25),0,IF(Planung!V27="",$C27,IF(ISNUMBER(Planung!V27),Planung!V27,IF(UPPER(Planung!V27)="H",$C27/2,0)))))))</f>
        <v>0</v>
      </c>
      <c r="W27" s="27">
        <f>IF($A27="",0,IF(Mitarbeiter!$G$25=FALSE,0,IF(AND(Mitarbeiter!$E$25&lt;&gt;"",W$5+6&lt;Mitarbeiter!$E$25),0,IF(AND(Mitarbeiter!$F$25&lt;&gt;"",W$5&gt;Mitarbeiter!$F$25),0,IF(Planung!W27="",$C27,IF(ISNUMBER(Planung!W27),Planung!W27,IF(UPPER(Planung!W27)="H",$C27/2,0)))))))</f>
        <v>0</v>
      </c>
      <c r="X27" s="27">
        <f>IF($A27="",0,IF(Mitarbeiter!$G$25=FALSE,0,IF(AND(Mitarbeiter!$E$25&lt;&gt;"",X$5+6&lt;Mitarbeiter!$E$25),0,IF(AND(Mitarbeiter!$F$25&lt;&gt;"",X$5&gt;Mitarbeiter!$F$25),0,IF(Planung!X27="",$C27,IF(ISNUMBER(Planung!X27),Planung!X27,IF(UPPER(Planung!X27)="H",$C27/2,0)))))))</f>
        <v>0</v>
      </c>
      <c r="Y27" s="27">
        <f>IF($A27="",0,IF(Mitarbeiter!$G$25=FALSE,0,IF(AND(Mitarbeiter!$E$25&lt;&gt;"",Y$5+6&lt;Mitarbeiter!$E$25),0,IF(AND(Mitarbeiter!$F$25&lt;&gt;"",Y$5&gt;Mitarbeiter!$F$25),0,IF(Planung!Y27="",$C27,IF(ISNUMBER(Planung!Y27),Planung!Y27,IF(UPPER(Planung!Y27)="H",$C27/2,0)))))))</f>
        <v>0</v>
      </c>
      <c r="Z27" s="27">
        <f>IF($A27="",0,IF(Mitarbeiter!$G$25=FALSE,0,IF(AND(Mitarbeiter!$E$25&lt;&gt;"",Z$5+6&lt;Mitarbeiter!$E$25),0,IF(AND(Mitarbeiter!$F$25&lt;&gt;"",Z$5&gt;Mitarbeiter!$F$25),0,IF(Planung!Z27="",$C27,IF(ISNUMBER(Planung!Z27),Planung!Z27,IF(UPPER(Planung!Z27)="H",$C27/2,0)))))))</f>
        <v>0</v>
      </c>
      <c r="AA27" s="27">
        <f>IF($A27="",0,IF(Mitarbeiter!$G$25=FALSE,0,IF(AND(Mitarbeiter!$E$25&lt;&gt;"",AA$5+6&lt;Mitarbeiter!$E$25),0,IF(AND(Mitarbeiter!$F$25&lt;&gt;"",AA$5&gt;Mitarbeiter!$F$25),0,IF(Planung!AA27="",$C27,IF(ISNUMBER(Planung!AA27),Planung!AA27,IF(UPPER(Planung!AA27)="H",$C27/2,0)))))))</f>
        <v>0</v>
      </c>
      <c r="AB27" s="27">
        <f>IF($A27="",0,IF(Mitarbeiter!$G$25=FALSE,0,IF(AND(Mitarbeiter!$E$25&lt;&gt;"",AB$5+6&lt;Mitarbeiter!$E$25),0,IF(AND(Mitarbeiter!$F$25&lt;&gt;"",AB$5&gt;Mitarbeiter!$F$25),0,IF(Planung!AB27="",$C27,IF(ISNUMBER(Planung!AB27),Planung!AB27,IF(UPPER(Planung!AB27)="H",$C27/2,0)))))))</f>
        <v>0</v>
      </c>
      <c r="AC27" s="27">
        <f>IF($A27="",0,IF(Mitarbeiter!$G$25=FALSE,0,IF(AND(Mitarbeiter!$E$25&lt;&gt;"",AC$5+6&lt;Mitarbeiter!$E$25),0,IF(AND(Mitarbeiter!$F$25&lt;&gt;"",AC$5&gt;Mitarbeiter!$F$25),0,IF(Planung!AC27="",$C27,IF(ISNUMBER(Planung!AC27),Planung!AC27,IF(UPPER(Planung!AC27)="H",$C27/2,0)))))))</f>
        <v>0</v>
      </c>
      <c r="AD27" s="27">
        <f>IF($A27="",0,IF(Mitarbeiter!$G$25=FALSE,0,IF(AND(Mitarbeiter!$E$25&lt;&gt;"",AD$5+6&lt;Mitarbeiter!$E$25),0,IF(AND(Mitarbeiter!$F$25&lt;&gt;"",AD$5&gt;Mitarbeiter!$F$25),0,IF(Planung!AD27="",$C27,IF(ISNUMBER(Planung!AD27),Planung!AD27,IF(UPPER(Planung!AD27)="H",$C27/2,0)))))))</f>
        <v>0</v>
      </c>
      <c r="AE27" s="27">
        <f>IF($A27="",0,IF(Mitarbeiter!$G$25=FALSE,0,IF(AND(Mitarbeiter!$E$25&lt;&gt;"",AE$5+6&lt;Mitarbeiter!$E$25),0,IF(AND(Mitarbeiter!$F$25&lt;&gt;"",AE$5&gt;Mitarbeiter!$F$25),0,IF(Planung!AE27="",$C27,IF(ISNUMBER(Planung!AE27),Planung!AE27,IF(UPPER(Planung!AE27)="H",$C27/2,0)))))))</f>
        <v>0</v>
      </c>
      <c r="AF27" s="27">
        <f>IF($A27="",0,IF(Mitarbeiter!$G$25=FALSE,0,IF(AND(Mitarbeiter!$E$25&lt;&gt;"",AF$5+6&lt;Mitarbeiter!$E$25),0,IF(AND(Mitarbeiter!$F$25&lt;&gt;"",AF$5&gt;Mitarbeiter!$F$25),0,IF(Planung!AF27="",$C27,IF(ISNUMBER(Planung!AF27),Planung!AF27,IF(UPPER(Planung!AF27)="H",$C27/2,0)))))))</f>
        <v>0</v>
      </c>
      <c r="AG27" s="27">
        <f>IF($A27="",0,IF(Mitarbeiter!$G$25=FALSE,0,IF(AND(Mitarbeiter!$E$25&lt;&gt;"",AG$5+6&lt;Mitarbeiter!$E$25),0,IF(AND(Mitarbeiter!$F$25&lt;&gt;"",AG$5&gt;Mitarbeiter!$F$25),0,IF(Planung!AG27="",$C27,IF(ISNUMBER(Planung!AG27),Planung!AG27,IF(UPPER(Planung!AG27)="H",$C27/2,0)))))))</f>
        <v>0</v>
      </c>
      <c r="AH27" s="27">
        <f>IF($A27="",0,IF(Mitarbeiter!$G$25=FALSE,0,IF(AND(Mitarbeiter!$E$25&lt;&gt;"",AH$5+6&lt;Mitarbeiter!$E$25),0,IF(AND(Mitarbeiter!$F$25&lt;&gt;"",AH$5&gt;Mitarbeiter!$F$25),0,IF(Planung!AH27="",$C27,IF(ISNUMBER(Planung!AH27),Planung!AH27,IF(UPPER(Planung!AH27)="H",$C27/2,0)))))))</f>
        <v>0</v>
      </c>
      <c r="AI27" s="27">
        <f>IF($A27="",0,IF(Mitarbeiter!$G$25=FALSE,0,IF(AND(Mitarbeiter!$E$25&lt;&gt;"",AI$5+6&lt;Mitarbeiter!$E$25),0,IF(AND(Mitarbeiter!$F$25&lt;&gt;"",AI$5&gt;Mitarbeiter!$F$25),0,IF(Planung!AI27="",$C27,IF(ISNUMBER(Planung!AI27),Planung!AI27,IF(UPPER(Planung!AI27)="H",$C27/2,0)))))))</f>
        <v>0</v>
      </c>
      <c r="AJ27" s="27">
        <f>IF($A27="",0,IF(Mitarbeiter!$G$25=FALSE,0,IF(AND(Mitarbeiter!$E$25&lt;&gt;"",AJ$5+6&lt;Mitarbeiter!$E$25),0,IF(AND(Mitarbeiter!$F$25&lt;&gt;"",AJ$5&gt;Mitarbeiter!$F$25),0,IF(Planung!AJ27="",$C27,IF(ISNUMBER(Planung!AJ27),Planung!AJ27,IF(UPPER(Planung!AJ27)="H",$C27/2,0)))))))</f>
        <v>0</v>
      </c>
      <c r="AK27" s="27">
        <f>IF($A27="",0,IF(Mitarbeiter!$G$25=FALSE,0,IF(AND(Mitarbeiter!$E$25&lt;&gt;"",AK$5+6&lt;Mitarbeiter!$E$25),0,IF(AND(Mitarbeiter!$F$25&lt;&gt;"",AK$5&gt;Mitarbeiter!$F$25),0,IF(Planung!AK27="",$C27,IF(ISNUMBER(Planung!AK27),Planung!AK27,IF(UPPER(Planung!AK27)="H",$C27/2,0)))))))</f>
        <v>0</v>
      </c>
      <c r="AL27" s="27">
        <f>IF($A27="",0,IF(Mitarbeiter!$G$25=FALSE,0,IF(AND(Mitarbeiter!$E$25&lt;&gt;"",AL$5+6&lt;Mitarbeiter!$E$25),0,IF(AND(Mitarbeiter!$F$25&lt;&gt;"",AL$5&gt;Mitarbeiter!$F$25),0,IF(Planung!AL27="",$C27,IF(ISNUMBER(Planung!AL27),Planung!AL27,IF(UPPER(Planung!AL27)="H",$C27/2,0)))))))</f>
        <v>0</v>
      </c>
      <c r="AM27" s="27">
        <f>IF($A27="",0,IF(Mitarbeiter!$G$25=FALSE,0,IF(AND(Mitarbeiter!$E$25&lt;&gt;"",AM$5+6&lt;Mitarbeiter!$E$25),0,IF(AND(Mitarbeiter!$F$25&lt;&gt;"",AM$5&gt;Mitarbeiter!$F$25),0,IF(Planung!AM27="",$C27,IF(ISNUMBER(Planung!AM27),Planung!AM27,IF(UPPER(Planung!AM27)="H",$C27/2,0)))))))</f>
        <v>0</v>
      </c>
      <c r="AN27" s="27">
        <f>IF($A27="",0,IF(Mitarbeiter!$G$25=FALSE,0,IF(AND(Mitarbeiter!$E$25&lt;&gt;"",AN$5+6&lt;Mitarbeiter!$E$25),0,IF(AND(Mitarbeiter!$F$25&lt;&gt;"",AN$5&gt;Mitarbeiter!$F$25),0,IF(Planung!AN27="",$C27,IF(ISNUMBER(Planung!AN27),Planung!AN27,IF(UPPER(Planung!AN27)="H",$C27/2,0)))))))</f>
        <v>0</v>
      </c>
      <c r="AO27" s="27">
        <f>IF($A27="",0,IF(Mitarbeiter!$G$25=FALSE,0,IF(AND(Mitarbeiter!$E$25&lt;&gt;"",AO$5+6&lt;Mitarbeiter!$E$25),0,IF(AND(Mitarbeiter!$F$25&lt;&gt;"",AO$5&gt;Mitarbeiter!$F$25),0,IF(Planung!AO27="",$C27,IF(ISNUMBER(Planung!AO27),Planung!AO27,IF(UPPER(Planung!AO27)="H",$C27/2,0)))))))</f>
        <v>0</v>
      </c>
      <c r="AP27" s="27">
        <f>IF($A27="",0,IF(Mitarbeiter!$G$25=FALSE,0,IF(AND(Mitarbeiter!$E$25&lt;&gt;"",AP$5+6&lt;Mitarbeiter!$E$25),0,IF(AND(Mitarbeiter!$F$25&lt;&gt;"",AP$5&gt;Mitarbeiter!$F$25),0,IF(Planung!AP27="",$C27,IF(ISNUMBER(Planung!AP27),Planung!AP27,IF(UPPER(Planung!AP27)="H",$C27/2,0)))))))</f>
        <v>0</v>
      </c>
      <c r="AQ27" s="27">
        <f>IF($A27="",0,IF(Mitarbeiter!$G$25=FALSE,0,IF(AND(Mitarbeiter!$E$25&lt;&gt;"",AQ$5+6&lt;Mitarbeiter!$E$25),0,IF(AND(Mitarbeiter!$F$25&lt;&gt;"",AQ$5&gt;Mitarbeiter!$F$25),0,IF(Planung!AQ27="",$C27,IF(ISNUMBER(Planung!AQ27),Planung!AQ27,IF(UPPER(Planung!AQ27)="H",$C27/2,0)))))))</f>
        <v>0</v>
      </c>
      <c r="AR27" s="27">
        <f>IF($A27="",0,IF(Mitarbeiter!$G$25=FALSE,0,IF(AND(Mitarbeiter!$E$25&lt;&gt;"",AR$5+6&lt;Mitarbeiter!$E$25),0,IF(AND(Mitarbeiter!$F$25&lt;&gt;"",AR$5&gt;Mitarbeiter!$F$25),0,IF(Planung!AR27="",$C27,IF(ISNUMBER(Planung!AR27),Planung!AR27,IF(UPPER(Planung!AR27)="H",$C27/2,0)))))))</f>
        <v>0</v>
      </c>
      <c r="AS27" s="27">
        <f>IF($A27="",0,IF(Mitarbeiter!$G$25=FALSE,0,IF(AND(Mitarbeiter!$E$25&lt;&gt;"",AS$5+6&lt;Mitarbeiter!$E$25),0,IF(AND(Mitarbeiter!$F$25&lt;&gt;"",AS$5&gt;Mitarbeiter!$F$25),0,IF(Planung!AS27="",$C27,IF(ISNUMBER(Planung!AS27),Planung!AS27,IF(UPPER(Planung!AS27)="H",$C27/2,0)))))))</f>
        <v>0</v>
      </c>
      <c r="AT27" s="27">
        <f>IF($A27="",0,IF(Mitarbeiter!$G$25=FALSE,0,IF(AND(Mitarbeiter!$E$25&lt;&gt;"",AT$5+6&lt;Mitarbeiter!$E$25),0,IF(AND(Mitarbeiter!$F$25&lt;&gt;"",AT$5&gt;Mitarbeiter!$F$25),0,IF(Planung!AT27="",$C27,IF(ISNUMBER(Planung!AT27),Planung!AT27,IF(UPPER(Planung!AT27)="H",$C27/2,0)))))))</f>
        <v>0</v>
      </c>
      <c r="AU27" s="27">
        <f>IF($A27="",0,IF(Mitarbeiter!$G$25=FALSE,0,IF(AND(Mitarbeiter!$E$25&lt;&gt;"",AU$5+6&lt;Mitarbeiter!$E$25),0,IF(AND(Mitarbeiter!$F$25&lt;&gt;"",AU$5&gt;Mitarbeiter!$F$25),0,IF(Planung!AU27="",$C27,IF(ISNUMBER(Planung!AU27),Planung!AU27,IF(UPPER(Planung!AU27)="H",$C27/2,0)))))))</f>
        <v>0</v>
      </c>
      <c r="AV27" s="27">
        <f>IF($A27="",0,IF(Mitarbeiter!$G$25=FALSE,0,IF(AND(Mitarbeiter!$E$25&lt;&gt;"",AV$5+6&lt;Mitarbeiter!$E$25),0,IF(AND(Mitarbeiter!$F$25&lt;&gt;"",AV$5&gt;Mitarbeiter!$F$25),0,IF(Planung!AV27="",$C27,IF(ISNUMBER(Planung!AV27),Planung!AV27,IF(UPPER(Planung!AV27)="H",$C27/2,0)))))))</f>
        <v>0</v>
      </c>
      <c r="AW27" s="27">
        <f>IF($A27="",0,IF(Mitarbeiter!$G$25=FALSE,0,IF(AND(Mitarbeiter!$E$25&lt;&gt;"",AW$5+6&lt;Mitarbeiter!$E$25),0,IF(AND(Mitarbeiter!$F$25&lt;&gt;"",AW$5&gt;Mitarbeiter!$F$25),0,IF(Planung!AW27="",$C27,IF(ISNUMBER(Planung!AW27),Planung!AW27,IF(UPPER(Planung!AW27)="H",$C27/2,0)))))))</f>
        <v>0</v>
      </c>
      <c r="AX27" s="27">
        <f>IF($A27="",0,IF(Mitarbeiter!$G$25=FALSE,0,IF(AND(Mitarbeiter!$E$25&lt;&gt;"",AX$5+6&lt;Mitarbeiter!$E$25),0,IF(AND(Mitarbeiter!$F$25&lt;&gt;"",AX$5&gt;Mitarbeiter!$F$25),0,IF(Planung!AX27="",$C27,IF(ISNUMBER(Planung!AX27),Planung!AX27,IF(UPPER(Planung!AX27)="H",$C27/2,0)))))))</f>
        <v>0</v>
      </c>
      <c r="AY27" s="27">
        <f>IF($A27="",0,IF(Mitarbeiter!$G$25=FALSE,0,IF(AND(Mitarbeiter!$E$25&lt;&gt;"",AY$5+6&lt;Mitarbeiter!$E$25),0,IF(AND(Mitarbeiter!$F$25&lt;&gt;"",AY$5&gt;Mitarbeiter!$F$25),0,IF(Planung!AY27="",$C27,IF(ISNUMBER(Planung!AY27),Planung!AY27,IF(UPPER(Planung!AY27)="H",$C27/2,0)))))))</f>
        <v>0</v>
      </c>
      <c r="AZ27" s="27">
        <f>IF($A27="",0,IF(Mitarbeiter!$G$25=FALSE,0,IF(AND(Mitarbeiter!$E$25&lt;&gt;"",AZ$5+6&lt;Mitarbeiter!$E$25),0,IF(AND(Mitarbeiter!$F$25&lt;&gt;"",AZ$5&gt;Mitarbeiter!$F$25),0,IF(Planung!AZ27="",$C27,IF(ISNUMBER(Planung!AZ27),Planung!AZ27,IF(UPPER(Planung!AZ27)="H",$C27/2,0)))))))</f>
        <v>0</v>
      </c>
      <c r="BA27" s="27">
        <f>IF($A27="",0,IF(Mitarbeiter!$G$25=FALSE,0,IF(AND(Mitarbeiter!$E$25&lt;&gt;"",BA$5+6&lt;Mitarbeiter!$E$25),0,IF(AND(Mitarbeiter!$F$25&lt;&gt;"",BA$5&gt;Mitarbeiter!$F$25),0,IF(Planung!BA27="",$C27,IF(ISNUMBER(Planung!BA27),Planung!BA27,IF(UPPER(Planung!BA27)="H",$C27/2,0)))))))</f>
        <v>0</v>
      </c>
      <c r="BB27" s="27">
        <f>IF($A27="",0,IF(Mitarbeiter!$G$25=FALSE,0,IF(AND(Mitarbeiter!$E$25&lt;&gt;"",BB$5+6&lt;Mitarbeiter!$E$25),0,IF(AND(Mitarbeiter!$F$25&lt;&gt;"",BB$5&gt;Mitarbeiter!$F$25),0,IF(Planung!BB27="",$C27,IF(ISNUMBER(Planung!BB27),Planung!BB27,IF(UPPER(Planung!BB27)="H",$C27/2,0)))))))</f>
        <v>0</v>
      </c>
      <c r="BC27" s="27">
        <f>IF($A27="",0,IF(Mitarbeiter!$G$25=FALSE,0,IF(AND(Mitarbeiter!$E$25&lt;&gt;"",BC$5+6&lt;Mitarbeiter!$E$25),0,IF(AND(Mitarbeiter!$F$25&lt;&gt;"",BC$5&gt;Mitarbeiter!$F$25),0,IF(Planung!BC27="",$C27,IF(ISNUMBER(Planung!BC27),Planung!BC27,IF(UPPER(Planung!BC27)="H",$C27/2,0)))))))</f>
        <v>0</v>
      </c>
      <c r="BD27" s="27">
        <f>IF($A27="",0,IF(Mitarbeiter!$G$25=FALSE,0,IF(AND(Mitarbeiter!$E$25&lt;&gt;"",BD$5+6&lt;Mitarbeiter!$E$25),0,IF(AND(Mitarbeiter!$F$25&lt;&gt;"",BD$5&gt;Mitarbeiter!$F$25),0,IF(Planung!BD27="",$C27,IF(ISNUMBER(Planung!BD27),Planung!BD27,IF(UPPER(Planung!BD27)="H",$C27/2,0)))))))</f>
        <v>0</v>
      </c>
      <c r="BE27" s="27">
        <f>IF($A27="",0,IF(Mitarbeiter!$G$25=FALSE,0,IF(AND(Mitarbeiter!$E$25&lt;&gt;"",BE$5+6&lt;Mitarbeiter!$E$25),0,IF(AND(Mitarbeiter!$F$25&lt;&gt;"",BE$5&gt;Mitarbeiter!$F$25),0,IF(Planung!BE27="",$C27,IF(ISNUMBER(Planung!BE27),Planung!BE27,IF(UPPER(Planung!BE27)="H",$C27/2,0)))))))</f>
        <v>0</v>
      </c>
      <c r="BF27" s="27">
        <f>IF($A27="",0,IF(Mitarbeiter!$G$25=FALSE,0,IF(AND(Mitarbeiter!$E$25&lt;&gt;"",BF$5+6&lt;Mitarbeiter!$E$25),0,IF(AND(Mitarbeiter!$F$25&lt;&gt;"",BF$5&gt;Mitarbeiter!$F$25),0,IF(Planung!BF27="",$C27,IF(ISNUMBER(Planung!BF27),Planung!BF27,IF(UPPER(Planung!BF27)="H",$C27/2,0)))))))</f>
        <v>0</v>
      </c>
      <c r="BG27" s="27">
        <f>IF($A27="",0,IF(Mitarbeiter!$G$25=FALSE,0,IF(AND(Mitarbeiter!$E$25&lt;&gt;"",BG$5+6&lt;Mitarbeiter!$E$25),0,IF(AND(Mitarbeiter!$F$25&lt;&gt;"",BG$5&gt;Mitarbeiter!$F$25),0,IF(Planung!BG27="",$C27,IF(ISNUMBER(Planung!BG27),Planung!BG27,IF(UPPER(Planung!BG27)="H",$C27/2,0)))))))</f>
        <v>0</v>
      </c>
      <c r="BH27" s="27">
        <f>IF($A27="",0,IF(Mitarbeiter!$G$25=FALSE,0,IF(AND(Mitarbeiter!$E$25&lt;&gt;"",BH$5+6&lt;Mitarbeiter!$E$25),0,IF(AND(Mitarbeiter!$F$25&lt;&gt;"",BH$5&gt;Mitarbeiter!$F$25),0,IF(Planung!BH27="",$C27,IF(ISNUMBER(Planung!BH27),Planung!BH27,IF(UPPER(Planung!BH27)="H",$C27/2,0)))))))</f>
        <v>0</v>
      </c>
      <c r="BI27" s="27">
        <f>IF($A27="",0,IF(Mitarbeiter!$G$25=FALSE,0,IF(AND(Mitarbeiter!$E$25&lt;&gt;"",BI$5+6&lt;Mitarbeiter!$E$25),0,IF(AND(Mitarbeiter!$F$25&lt;&gt;"",BI$5&gt;Mitarbeiter!$F$25),0,IF(Planung!BI27="",$C27,IF(ISNUMBER(Planung!BI27),Planung!BI27,IF(UPPER(Planung!BI27)="H",$C27/2,0)))))))</f>
        <v>0</v>
      </c>
      <c r="BJ27" s="27">
        <f>IF($A27="",0,IF(Mitarbeiter!$G$25=FALSE,0,IF(AND(Mitarbeiter!$E$25&lt;&gt;"",BJ$5+6&lt;Mitarbeiter!$E$25),0,IF(AND(Mitarbeiter!$F$25&lt;&gt;"",BJ$5&gt;Mitarbeiter!$F$25),0,IF(Planung!BJ27="",$C27,IF(ISNUMBER(Planung!BJ27),Planung!BJ27,IF(UPPER(Planung!BJ27)="H",$C27/2,0)))))))</f>
        <v>0</v>
      </c>
      <c r="BK27" s="27">
        <f>IF($A27="",0,IF(Mitarbeiter!$G$25=FALSE,0,IF(AND(Mitarbeiter!$E$25&lt;&gt;"",BK$5+6&lt;Mitarbeiter!$E$25),0,IF(AND(Mitarbeiter!$F$25&lt;&gt;"",BK$5&gt;Mitarbeiter!$F$25),0,IF(Planung!BK27="",$C27,IF(ISNUMBER(Planung!BK27),Planung!BK27,IF(UPPER(Planung!BK27)="H",$C27/2,0)))))))</f>
        <v>0</v>
      </c>
      <c r="BL27" s="27">
        <f>IF($A27="",0,IF(Mitarbeiter!$G$25=FALSE,0,IF(AND(Mitarbeiter!$E$25&lt;&gt;"",BL$5+6&lt;Mitarbeiter!$E$25),0,IF(AND(Mitarbeiter!$F$25&lt;&gt;"",BL$5&gt;Mitarbeiter!$F$25),0,IF(Planung!BL27="",$C27,IF(ISNUMBER(Planung!BL27),Planung!BL27,IF(UPPER(Planung!BL27)="H",$C27/2,0)))))))</f>
        <v>0</v>
      </c>
      <c r="BM27" s="27">
        <f>IF($A27="",0,IF(Mitarbeiter!$G$25=FALSE,0,IF(AND(Mitarbeiter!$E$25&lt;&gt;"",BM$5+6&lt;Mitarbeiter!$E$25),0,IF(AND(Mitarbeiter!$F$25&lt;&gt;"",BM$5&gt;Mitarbeiter!$F$25),0,IF(Planung!BM27="",$C27,IF(ISNUMBER(Planung!BM27),Planung!BM27,IF(UPPER(Planung!BM27)="H",$C27/2,0)))))))</f>
        <v>0</v>
      </c>
      <c r="BN27" s="27">
        <f>IF($A27="",0,IF(Mitarbeiter!$G$25=FALSE,0,IF(AND(Mitarbeiter!$E$25&lt;&gt;"",BN$5+6&lt;Mitarbeiter!$E$25),0,IF(AND(Mitarbeiter!$F$25&lt;&gt;"",BN$5&gt;Mitarbeiter!$F$25),0,IF(Planung!BN27="",$C27,IF(ISNUMBER(Planung!BN27),Planung!BN27,IF(UPPER(Planung!BN27)="H",$C27/2,0)))))))</f>
        <v>0</v>
      </c>
      <c r="BO27" s="27">
        <f>IF($A27="",0,IF(Mitarbeiter!$G$25=FALSE,0,IF(AND(Mitarbeiter!$E$25&lt;&gt;"",BO$5+6&lt;Mitarbeiter!$E$25),0,IF(AND(Mitarbeiter!$F$25&lt;&gt;"",BO$5&gt;Mitarbeiter!$F$25),0,IF(Planung!BO27="",$C27,IF(ISNUMBER(Planung!BO27),Planung!BO27,IF(UPPER(Planung!BO27)="H",$C27/2,0)))))))</f>
        <v>0</v>
      </c>
      <c r="BP27" s="27">
        <f>IF($A27="",0,IF(Mitarbeiter!$G$25=FALSE,0,IF(AND(Mitarbeiter!$E$25&lt;&gt;"",BP$5+6&lt;Mitarbeiter!$E$25),0,IF(AND(Mitarbeiter!$F$25&lt;&gt;"",BP$5&gt;Mitarbeiter!$F$25),0,IF(Planung!BP27="",$C27,IF(ISNUMBER(Planung!BP27),Planung!BP27,IF(UPPER(Planung!BP27)="H",$C27/2,0)))))))</f>
        <v>0</v>
      </c>
      <c r="BQ27" s="27">
        <f>IF($A27="",0,IF(Mitarbeiter!$G$25=FALSE,0,IF(AND(Mitarbeiter!$E$25&lt;&gt;"",BQ$5+6&lt;Mitarbeiter!$E$25),0,IF(AND(Mitarbeiter!$F$25&lt;&gt;"",BQ$5&gt;Mitarbeiter!$F$25),0,IF(Planung!BQ27="",$C27,IF(ISNUMBER(Planung!BQ27),Planung!BQ27,IF(UPPER(Planung!BQ27)="H",$C27/2,0)))))))</f>
        <v>0</v>
      </c>
      <c r="BR27" s="27">
        <f>IF($A27="",0,IF(Mitarbeiter!$G$25=FALSE,0,IF(AND(Mitarbeiter!$E$25&lt;&gt;"",BR$5+6&lt;Mitarbeiter!$E$25),0,IF(AND(Mitarbeiter!$F$25&lt;&gt;"",BR$5&gt;Mitarbeiter!$F$25),0,IF(Planung!BR27="",$C27,IF(ISNUMBER(Planung!BR27),Planung!BR27,IF(UPPER(Planung!BR27)="H",$C27/2,0)))))))</f>
        <v>0</v>
      </c>
      <c r="BS27" s="27">
        <f>IF($A27="",0,IF(Mitarbeiter!$G$25=FALSE,0,IF(AND(Mitarbeiter!$E$25&lt;&gt;"",BS$5+6&lt;Mitarbeiter!$E$25),0,IF(AND(Mitarbeiter!$F$25&lt;&gt;"",BS$5&gt;Mitarbeiter!$F$25),0,IF(Planung!BS27="",$C27,IF(ISNUMBER(Planung!BS27),Planung!BS27,IF(UPPER(Planung!BS27)="H",$C27/2,0)))))))</f>
        <v>0</v>
      </c>
      <c r="BT27" s="27">
        <f>IF($A27="",0,IF(Mitarbeiter!$G$25=FALSE,0,IF(AND(Mitarbeiter!$E$25&lt;&gt;"",BT$5+6&lt;Mitarbeiter!$E$25),0,IF(AND(Mitarbeiter!$F$25&lt;&gt;"",BT$5&gt;Mitarbeiter!$F$25),0,IF(Planung!BT27="",$C27,IF(ISNUMBER(Planung!BT27),Planung!BT27,IF(UPPER(Planung!BT27)="H",$C27/2,0)))))))</f>
        <v>0</v>
      </c>
      <c r="BU27" s="27">
        <f>IF($A27="",0,IF(Mitarbeiter!$G$25=FALSE,0,IF(AND(Mitarbeiter!$E$25&lt;&gt;"",BU$5+6&lt;Mitarbeiter!$E$25),0,IF(AND(Mitarbeiter!$F$25&lt;&gt;"",BU$5&gt;Mitarbeiter!$F$25),0,IF(Planung!BU27="",$C27,IF(ISNUMBER(Planung!BU27),Planung!BU27,IF(UPPER(Planung!BU27)="H",$C27/2,0)))))))</f>
        <v>0</v>
      </c>
      <c r="BV27" s="27">
        <f>IF($A27="",0,IF(Mitarbeiter!$G$25=FALSE,0,IF(AND(Mitarbeiter!$E$25&lt;&gt;"",BV$5+6&lt;Mitarbeiter!$E$25),0,IF(AND(Mitarbeiter!$F$25&lt;&gt;"",BV$5&gt;Mitarbeiter!$F$25),0,IF(Planung!BV27="",$C27,IF(ISNUMBER(Planung!BV27),Planung!BV27,IF(UPPER(Planung!BV27)="H",$C27/2,0)))))))</f>
        <v>0</v>
      </c>
      <c r="BW27" s="27">
        <f>IF($A27="",0,IF(Mitarbeiter!$G$25=FALSE,0,IF(AND(Mitarbeiter!$E$25&lt;&gt;"",BW$5+6&lt;Mitarbeiter!$E$25),0,IF(AND(Mitarbeiter!$F$25&lt;&gt;"",BW$5&gt;Mitarbeiter!$F$25),0,IF(Planung!BW27="",$C27,IF(ISNUMBER(Planung!BW27),Planung!BW27,IF(UPPER(Planung!BW27)="H",$C27/2,0)))))))</f>
        <v>0</v>
      </c>
      <c r="BX27" s="27">
        <f>IF($A27="",0,IF(Mitarbeiter!$G$25=FALSE,0,IF(AND(Mitarbeiter!$E$25&lt;&gt;"",BX$5+6&lt;Mitarbeiter!$E$25),0,IF(AND(Mitarbeiter!$F$25&lt;&gt;"",BX$5&gt;Mitarbeiter!$F$25),0,IF(Planung!BX27="",$C27,IF(ISNUMBER(Planung!BX27),Planung!BX27,IF(UPPER(Planung!BX27)="H",$C27/2,0)))))))</f>
        <v>0</v>
      </c>
      <c r="BY27" s="27">
        <f>IF($A27="",0,IF(Mitarbeiter!$G$25=FALSE,0,IF(AND(Mitarbeiter!$E$25&lt;&gt;"",BY$5+6&lt;Mitarbeiter!$E$25),0,IF(AND(Mitarbeiter!$F$25&lt;&gt;"",BY$5&gt;Mitarbeiter!$F$25),0,IF(Planung!BY27="",$C27,IF(ISNUMBER(Planung!BY27),Planung!BY27,IF(UPPER(Planung!BY27)="H",$C27/2,0)))))))</f>
        <v>0</v>
      </c>
      <c r="BZ27" s="27">
        <f>IF($A27="",0,IF(Mitarbeiter!$G$25=FALSE,0,IF(AND(Mitarbeiter!$E$25&lt;&gt;"",BZ$5+6&lt;Mitarbeiter!$E$25),0,IF(AND(Mitarbeiter!$F$25&lt;&gt;"",BZ$5&gt;Mitarbeiter!$F$25),0,IF(Planung!BZ27="",$C27,IF(ISNUMBER(Planung!BZ27),Planung!BZ27,IF(UPPER(Planung!BZ27)="H",$C27/2,0)))))))</f>
        <v>0</v>
      </c>
      <c r="CA27" s="27">
        <f>IF($A27="",0,IF(Mitarbeiter!$G$25=FALSE,0,IF(AND(Mitarbeiter!$E$25&lt;&gt;"",CA$5+6&lt;Mitarbeiter!$E$25),0,IF(AND(Mitarbeiter!$F$25&lt;&gt;"",CA$5&gt;Mitarbeiter!$F$25),0,IF(Planung!CA27="",$C27,IF(ISNUMBER(Planung!CA27),Planung!CA27,IF(UPPER(Planung!CA27)="H",$C27/2,0)))))))</f>
        <v>0</v>
      </c>
      <c r="CB27" s="27">
        <f>IF($A27="",0,IF(Mitarbeiter!$G$25=FALSE,0,IF(AND(Mitarbeiter!$E$25&lt;&gt;"",CB$5+6&lt;Mitarbeiter!$E$25),0,IF(AND(Mitarbeiter!$F$25&lt;&gt;"",CB$5&gt;Mitarbeiter!$F$25),0,IF(Planung!CB27="",$C27,IF(ISNUMBER(Planung!CB27),Planung!CB27,IF(UPPER(Planung!CB27)="H",$C27/2,0)))))))</f>
        <v>0</v>
      </c>
      <c r="CC27" s="27">
        <f>IF($A27="",0,IF(Mitarbeiter!$G$25=FALSE,0,IF(AND(Mitarbeiter!$E$25&lt;&gt;"",CC$5+6&lt;Mitarbeiter!$E$25),0,IF(AND(Mitarbeiter!$F$25&lt;&gt;"",CC$5&gt;Mitarbeiter!$F$25),0,IF(Planung!CC27="",$C27,IF(ISNUMBER(Planung!CC27),Planung!CC27,IF(UPPER(Planung!CC27)="H",$C27/2,0)))))))</f>
        <v>0</v>
      </c>
      <c r="CD27" s="27">
        <f>IF($A27="",0,IF(Mitarbeiter!$G$25=FALSE,0,IF(AND(Mitarbeiter!$E$25&lt;&gt;"",CD$5+6&lt;Mitarbeiter!$E$25),0,IF(AND(Mitarbeiter!$F$25&lt;&gt;"",CD$5&gt;Mitarbeiter!$F$25),0,IF(Planung!CD27="",$C27,IF(ISNUMBER(Planung!CD27),Planung!CD27,IF(UPPER(Planung!CD27)="H",$C27/2,0)))))))</f>
        <v>0</v>
      </c>
      <c r="CE27" s="27">
        <f>IF($A27="",0,IF(Mitarbeiter!$G$25=FALSE,0,IF(AND(Mitarbeiter!$E$25&lt;&gt;"",CE$5+6&lt;Mitarbeiter!$E$25),0,IF(AND(Mitarbeiter!$F$25&lt;&gt;"",CE$5&gt;Mitarbeiter!$F$25),0,IF(Planung!CE27="",$C27,IF(ISNUMBER(Planung!CE27),Planung!CE27,IF(UPPER(Planung!CE27)="H",$C27/2,0)))))))</f>
        <v>0</v>
      </c>
      <c r="CF27" s="27">
        <f>IF($A27="",0,IF(Mitarbeiter!$G$25=FALSE,0,IF(AND(Mitarbeiter!$E$25&lt;&gt;"",CF$5+6&lt;Mitarbeiter!$E$25),0,IF(AND(Mitarbeiter!$F$25&lt;&gt;"",CF$5&gt;Mitarbeiter!$F$25),0,IF(Planung!CF27="",$C27,IF(ISNUMBER(Planung!CF27),Planung!CF27,IF(UPPER(Planung!CF27)="H",$C27/2,0)))))))</f>
        <v>0</v>
      </c>
      <c r="CG27" s="27">
        <f>IF($A27="",0,IF(Mitarbeiter!$G$25=FALSE,0,IF(AND(Mitarbeiter!$E$25&lt;&gt;"",CG$5+6&lt;Mitarbeiter!$E$25),0,IF(AND(Mitarbeiter!$F$25&lt;&gt;"",CG$5&gt;Mitarbeiter!$F$25),0,IF(Planung!CG27="",$C27,IF(ISNUMBER(Planung!CG27),Planung!CG27,IF(UPPER(Planung!CG27)="H",$C27/2,0)))))))</f>
        <v>0</v>
      </c>
      <c r="CH27" s="27">
        <f>IF($A27="",0,IF(Mitarbeiter!$G$25=FALSE,0,IF(AND(Mitarbeiter!$E$25&lt;&gt;"",CH$5+6&lt;Mitarbeiter!$E$25),0,IF(AND(Mitarbeiter!$F$25&lt;&gt;"",CH$5&gt;Mitarbeiter!$F$25),0,IF(Planung!CH27="",$C27,IF(ISNUMBER(Planung!CH27),Planung!CH27,IF(UPPER(Planung!CH27)="H",$C27/2,0)))))))</f>
        <v>0</v>
      </c>
      <c r="CI27" s="27">
        <f>IF($A27="",0,IF(Mitarbeiter!$G$25=FALSE,0,IF(AND(Mitarbeiter!$E$25&lt;&gt;"",CI$5+6&lt;Mitarbeiter!$E$25),0,IF(AND(Mitarbeiter!$F$25&lt;&gt;"",CI$5&gt;Mitarbeiter!$F$25),0,IF(Planung!CI27="",$C27,IF(ISNUMBER(Planung!CI27),Planung!CI27,IF(UPPER(Planung!CI27)="H",$C27/2,0)))))))</f>
        <v>0</v>
      </c>
      <c r="CJ27" s="27">
        <f>IF($A27="",0,IF(Mitarbeiter!$G$25=FALSE,0,IF(AND(Mitarbeiter!$E$25&lt;&gt;"",CJ$5+6&lt;Mitarbeiter!$E$25),0,IF(AND(Mitarbeiter!$F$25&lt;&gt;"",CJ$5&gt;Mitarbeiter!$F$25),0,IF(Planung!CJ27="",$C27,IF(ISNUMBER(Planung!CJ27),Planung!CJ27,IF(UPPER(Planung!CJ27)="H",$C27/2,0)))))))</f>
        <v>0</v>
      </c>
      <c r="CK27" s="27">
        <f>IF($A27="",0,IF(Mitarbeiter!$G$25=FALSE,0,IF(AND(Mitarbeiter!$E$25&lt;&gt;"",CK$5+6&lt;Mitarbeiter!$E$25),0,IF(AND(Mitarbeiter!$F$25&lt;&gt;"",CK$5&gt;Mitarbeiter!$F$25),0,IF(Planung!CK27="",$C27,IF(ISNUMBER(Planung!CK27),Planung!CK27,IF(UPPER(Planung!CK27)="H",$C27/2,0)))))))</f>
        <v>0</v>
      </c>
      <c r="CL27" s="27">
        <f>IF($A27="",0,IF(Mitarbeiter!$G$25=FALSE,0,IF(AND(Mitarbeiter!$E$25&lt;&gt;"",CL$5+6&lt;Mitarbeiter!$E$25),0,IF(AND(Mitarbeiter!$F$25&lt;&gt;"",CL$5&gt;Mitarbeiter!$F$25),0,IF(Planung!CL27="",$C27,IF(ISNUMBER(Planung!CL27),Planung!CL27,IF(UPPER(Planung!CL27)="H",$C27/2,0)))))))</f>
        <v>0</v>
      </c>
      <c r="CM27" s="27">
        <f>IF($A27="",0,IF(Mitarbeiter!$G$25=FALSE,0,IF(AND(Mitarbeiter!$E$25&lt;&gt;"",CM$5+6&lt;Mitarbeiter!$E$25),0,IF(AND(Mitarbeiter!$F$25&lt;&gt;"",CM$5&gt;Mitarbeiter!$F$25),0,IF(Planung!CM27="",$C27,IF(ISNUMBER(Planung!CM27),Planung!CM27,IF(UPPER(Planung!CM27)="H",$C27/2,0)))))))</f>
        <v>0</v>
      </c>
      <c r="CN27" s="27">
        <f>IF($A27="",0,IF(Mitarbeiter!$G$25=FALSE,0,IF(AND(Mitarbeiter!$E$25&lt;&gt;"",CN$5+6&lt;Mitarbeiter!$E$25),0,IF(AND(Mitarbeiter!$F$25&lt;&gt;"",CN$5&gt;Mitarbeiter!$F$25),0,IF(Planung!CN27="",$C27,IF(ISNUMBER(Planung!CN27),Planung!CN27,IF(UPPER(Planung!CN27)="H",$C27/2,0)))))))</f>
        <v>0</v>
      </c>
      <c r="CO27" s="27">
        <f>IF($A27="",0,IF(Mitarbeiter!$G$25=FALSE,0,IF(AND(Mitarbeiter!$E$25&lt;&gt;"",CO$5+6&lt;Mitarbeiter!$E$25),0,IF(AND(Mitarbeiter!$F$25&lt;&gt;"",CO$5&gt;Mitarbeiter!$F$25),0,IF(Planung!CO27="",$C27,IF(ISNUMBER(Planung!CO27),Planung!CO27,IF(UPPER(Planung!CO27)="H",$C27/2,0)))))))</f>
        <v>0</v>
      </c>
      <c r="CP27" s="27">
        <f>IF($A27="",0,IF(Mitarbeiter!$G$25=FALSE,0,IF(AND(Mitarbeiter!$E$25&lt;&gt;"",CP$5+6&lt;Mitarbeiter!$E$25),0,IF(AND(Mitarbeiter!$F$25&lt;&gt;"",CP$5&gt;Mitarbeiter!$F$25),0,IF(Planung!CP27="",$C27,IF(ISNUMBER(Planung!CP27),Planung!CP27,IF(UPPER(Planung!CP27)="H",$C27/2,0)))))))</f>
        <v>0</v>
      </c>
      <c r="CQ27" s="27">
        <f>IF($A27="",0,IF(Mitarbeiter!$G$25=FALSE,0,IF(AND(Mitarbeiter!$E$25&lt;&gt;"",CQ$5+6&lt;Mitarbeiter!$E$25),0,IF(AND(Mitarbeiter!$F$25&lt;&gt;"",CQ$5&gt;Mitarbeiter!$F$25),0,IF(Planung!CQ27="",$C27,IF(ISNUMBER(Planung!CQ27),Planung!CQ27,IF(UPPER(Planung!CQ27)="H",$C27/2,0)))))))</f>
        <v>0</v>
      </c>
      <c r="CR27" s="27">
        <f>IF($A27="",0,IF(Mitarbeiter!$G$25=FALSE,0,IF(AND(Mitarbeiter!$E$25&lt;&gt;"",CR$5+6&lt;Mitarbeiter!$E$25),0,IF(AND(Mitarbeiter!$F$25&lt;&gt;"",CR$5&gt;Mitarbeiter!$F$25),0,IF(Planung!CR27="",$C27,IF(ISNUMBER(Planung!CR27),Planung!CR27,IF(UPPER(Planung!CR27)="H",$C27/2,0)))))))</f>
        <v>0</v>
      </c>
      <c r="CS27" s="27">
        <f>IF($A27="",0,IF(Mitarbeiter!$G$25=FALSE,0,IF(AND(Mitarbeiter!$E$25&lt;&gt;"",CS$5+6&lt;Mitarbeiter!$E$25),0,IF(AND(Mitarbeiter!$F$25&lt;&gt;"",CS$5&gt;Mitarbeiter!$F$25),0,IF(Planung!CS27="",$C27,IF(ISNUMBER(Planung!CS27),Planung!CS27,IF(UPPER(Planung!CS27)="H",$C27/2,0)))))))</f>
        <v>0</v>
      </c>
      <c r="CT27" s="27">
        <f>IF($A27="",0,IF(Mitarbeiter!$G$25=FALSE,0,IF(AND(Mitarbeiter!$E$25&lt;&gt;"",CT$5+6&lt;Mitarbeiter!$E$25),0,IF(AND(Mitarbeiter!$F$25&lt;&gt;"",CT$5&gt;Mitarbeiter!$F$25),0,IF(Planung!CT27="",$C27,IF(ISNUMBER(Planung!CT27),Planung!CT27,IF(UPPER(Planung!CT27)="H",$C27/2,0)))))))</f>
        <v>0</v>
      </c>
      <c r="CU27" s="27">
        <f>IF($A27="",0,IF(Mitarbeiter!$G$25=FALSE,0,IF(AND(Mitarbeiter!$E$25&lt;&gt;"",CU$5+6&lt;Mitarbeiter!$E$25),0,IF(AND(Mitarbeiter!$F$25&lt;&gt;"",CU$5&gt;Mitarbeiter!$F$25),0,IF(Planung!CU27="",$C27,IF(ISNUMBER(Planung!CU27),Planung!CU27,IF(UPPER(Planung!CU27)="H",$C27/2,0)))))))</f>
        <v>0</v>
      </c>
      <c r="CV27" s="27">
        <f>IF($A27="",0,IF(Mitarbeiter!$G$25=FALSE,0,IF(AND(Mitarbeiter!$E$25&lt;&gt;"",CV$5+6&lt;Mitarbeiter!$E$25),0,IF(AND(Mitarbeiter!$F$25&lt;&gt;"",CV$5&gt;Mitarbeiter!$F$25),0,IF(Planung!CV27="",$C27,IF(ISNUMBER(Planung!CV27),Planung!CV27,IF(UPPER(Planung!CV27)="H",$C27/2,0)))))))</f>
        <v>0</v>
      </c>
      <c r="CW27" s="27">
        <f>IF($A27="",0,IF(Mitarbeiter!$G$25=FALSE,0,IF(AND(Mitarbeiter!$E$25&lt;&gt;"",CW$5+6&lt;Mitarbeiter!$E$25),0,IF(AND(Mitarbeiter!$F$25&lt;&gt;"",CW$5&gt;Mitarbeiter!$F$25),0,IF(Planung!CW27="",$C27,IF(ISNUMBER(Planung!CW27),Planung!CW27,IF(UPPER(Planung!CW27)="H",$C27/2,0)))))))</f>
        <v>0</v>
      </c>
      <c r="CX27" s="27">
        <f>IF($A27="",0,IF(Mitarbeiter!$G$25=FALSE,0,IF(AND(Mitarbeiter!$E$25&lt;&gt;"",CX$5+6&lt;Mitarbeiter!$E$25),0,IF(AND(Mitarbeiter!$F$25&lt;&gt;"",CX$5&gt;Mitarbeiter!$F$25),0,IF(Planung!CX27="",$C27,IF(ISNUMBER(Planung!CX27),Planung!CX27,IF(UPPER(Planung!CX27)="H",$C27/2,0)))))))</f>
        <v>0</v>
      </c>
      <c r="CY27" s="27">
        <f>IF($A27="",0,IF(Mitarbeiter!$G$25=FALSE,0,IF(AND(Mitarbeiter!$E$25&lt;&gt;"",CY$5+6&lt;Mitarbeiter!$E$25),0,IF(AND(Mitarbeiter!$F$25&lt;&gt;"",CY$5&gt;Mitarbeiter!$F$25),0,IF(Planung!CY27="",$C27,IF(ISNUMBER(Planung!CY27),Planung!CY27,IF(UPPER(Planung!CY27)="H",$C27/2,0)))))))</f>
        <v>0</v>
      </c>
      <c r="CZ27" s="27">
        <f>IF($A27="",0,IF(Mitarbeiter!$G$25=FALSE,0,IF(AND(Mitarbeiter!$E$25&lt;&gt;"",CZ$5+6&lt;Mitarbeiter!$E$25),0,IF(AND(Mitarbeiter!$F$25&lt;&gt;"",CZ$5&gt;Mitarbeiter!$F$25),0,IF(Planung!CZ27="",$C27,IF(ISNUMBER(Planung!CZ27),Planung!CZ27,IF(UPPER(Planung!CZ27)="H",$C27/2,0)))))))</f>
        <v>0</v>
      </c>
      <c r="DA27" s="27">
        <f>IF($A27="",0,IF(Mitarbeiter!$G$25=FALSE,0,IF(AND(Mitarbeiter!$E$25&lt;&gt;"",DA$5+6&lt;Mitarbeiter!$E$25),0,IF(AND(Mitarbeiter!$F$25&lt;&gt;"",DA$5&gt;Mitarbeiter!$F$25),0,IF(Planung!DA27="",$C27,IF(ISNUMBER(Planung!DA27),Planung!DA27,IF(UPPER(Planung!DA27)="H",$C27/2,0)))))))</f>
        <v>0</v>
      </c>
      <c r="DB27" s="27">
        <f>IF($A27="",0,IF(Mitarbeiter!$G$25=FALSE,0,IF(AND(Mitarbeiter!$E$25&lt;&gt;"",DB$5+6&lt;Mitarbeiter!$E$25),0,IF(AND(Mitarbeiter!$F$25&lt;&gt;"",DB$5&gt;Mitarbeiter!$F$25),0,IF(Planung!DB27="",$C27,IF(ISNUMBER(Planung!DB27),Planung!DB27,IF(UPPER(Planung!DB27)="H",$C27/2,0)))))))</f>
        <v>0</v>
      </c>
      <c r="DC27" s="27">
        <f>IF($A27="",0,IF(Mitarbeiter!$G$25=FALSE,0,IF(AND(Mitarbeiter!$E$25&lt;&gt;"",DC$5+6&lt;Mitarbeiter!$E$25),0,IF(AND(Mitarbeiter!$F$25&lt;&gt;"",DC$5&gt;Mitarbeiter!$F$25),0,IF(Planung!DC27="",$C27,IF(ISNUMBER(Planung!DC27),Planung!DC27,IF(UPPER(Planung!DC27)="H",$C27/2,0)))))))</f>
        <v>0</v>
      </c>
      <c r="DD27" s="27">
        <f>IF($A27="",0,IF(Mitarbeiter!$G$25=FALSE,0,IF(AND(Mitarbeiter!$E$25&lt;&gt;"",DD$5+6&lt;Mitarbeiter!$E$25),0,IF(AND(Mitarbeiter!$F$25&lt;&gt;"",DD$5&gt;Mitarbeiter!$F$25),0,IF(Planung!DD27="",$C27,IF(ISNUMBER(Planung!DD27),Planung!DD27,IF(UPPER(Planung!DD27)="H",$C27/2,0)))))))</f>
        <v>0</v>
      </c>
      <c r="DE27" s="27">
        <f>IF($A27="",0,IF(Mitarbeiter!$G$25=FALSE,0,IF(AND(Mitarbeiter!$E$25&lt;&gt;"",DE$5+6&lt;Mitarbeiter!$E$25),0,IF(AND(Mitarbeiter!$F$25&lt;&gt;"",DE$5&gt;Mitarbeiter!$F$25),0,IF(Planung!DE27="",$C27,IF(ISNUMBER(Planung!DE27),Planung!DE27,IF(UPPER(Planung!DE27)="H",$C27/2,0)))))))</f>
        <v>0</v>
      </c>
      <c r="DF27" s="27">
        <f>IF($A27="",0,IF(Mitarbeiter!$G$25=FALSE,0,IF(AND(Mitarbeiter!$E$25&lt;&gt;"",DF$5+6&lt;Mitarbeiter!$E$25),0,IF(AND(Mitarbeiter!$F$25&lt;&gt;"",DF$5&gt;Mitarbeiter!$F$25),0,IF(Planung!DF27="",$C27,IF(ISNUMBER(Planung!DF27),Planung!DF27,IF(UPPER(Planung!DF27)="H",$C27/2,0)))))))</f>
        <v>0</v>
      </c>
      <c r="DG27" s="27">
        <f>IF($A27="",0,IF(Mitarbeiter!$G$25=FALSE,0,IF(AND(Mitarbeiter!$E$25&lt;&gt;"",DG$5+6&lt;Mitarbeiter!$E$25),0,IF(AND(Mitarbeiter!$F$25&lt;&gt;"",DG$5&gt;Mitarbeiter!$F$25),0,IF(Planung!DG27="",$C27,IF(ISNUMBER(Planung!DG27),Planung!DG27,IF(UPPER(Planung!DG27)="H",$C27/2,0)))))))</f>
        <v>0</v>
      </c>
      <c r="DH27" s="27">
        <f>IF($A27="",0,IF(Mitarbeiter!$G$25=FALSE,0,IF(AND(Mitarbeiter!$E$25&lt;&gt;"",DH$5+6&lt;Mitarbeiter!$E$25),0,IF(AND(Mitarbeiter!$F$25&lt;&gt;"",DH$5&gt;Mitarbeiter!$F$25),0,IF(Planung!DH27="",$C27,IF(ISNUMBER(Planung!DH27),Planung!DH27,IF(UPPER(Planung!DH27)="H",$C27/2,0)))))))</f>
        <v>0</v>
      </c>
      <c r="DI27" s="27">
        <f>IF($A27="",0,IF(Mitarbeiter!$G$25=FALSE,0,IF(AND(Mitarbeiter!$E$25&lt;&gt;"",DI$5+6&lt;Mitarbeiter!$E$25),0,IF(AND(Mitarbeiter!$F$25&lt;&gt;"",DI$5&gt;Mitarbeiter!$F$25),0,IF(Planung!DI27="",$C27,IF(ISNUMBER(Planung!DI27),Planung!DI27,IF(UPPER(Planung!DI27)="H",$C27/2,0)))))))</f>
        <v>0</v>
      </c>
      <c r="DJ27" s="27">
        <f>IF($A27="",0,IF(Mitarbeiter!$G$25=FALSE,0,IF(AND(Mitarbeiter!$E$25&lt;&gt;"",DJ$5+6&lt;Mitarbeiter!$E$25),0,IF(AND(Mitarbeiter!$F$25&lt;&gt;"",DJ$5&gt;Mitarbeiter!$F$25),0,IF(Planung!DJ27="",$C27,IF(ISNUMBER(Planung!DJ27),Planung!DJ27,IF(UPPER(Planung!DJ27)="H",$C27/2,0)))))))</f>
        <v>0</v>
      </c>
      <c r="DK27" s="27">
        <f>IF($A27="",0,IF(Mitarbeiter!$G$25=FALSE,0,IF(AND(Mitarbeiter!$E$25&lt;&gt;"",DK$5+6&lt;Mitarbeiter!$E$25),0,IF(AND(Mitarbeiter!$F$25&lt;&gt;"",DK$5&gt;Mitarbeiter!$F$25),0,IF(Planung!DK27="",$C27,IF(ISNUMBER(Planung!DK27),Planung!DK27,IF(UPPER(Planung!DK27)="H",$C27/2,0)))))))</f>
        <v>0</v>
      </c>
      <c r="DL27" s="27">
        <f>IF($A27="",0,IF(Mitarbeiter!$G$25=FALSE,0,IF(AND(Mitarbeiter!$E$25&lt;&gt;"",DL$5+6&lt;Mitarbeiter!$E$25),0,IF(AND(Mitarbeiter!$F$25&lt;&gt;"",DL$5&gt;Mitarbeiter!$F$25),0,IF(Planung!DL27="",$C27,IF(ISNUMBER(Planung!DL27),Planung!DL27,IF(UPPER(Planung!DL27)="H",$C27/2,0)))))))</f>
        <v>0</v>
      </c>
      <c r="DM27" s="27">
        <f>IF($A27="",0,IF(Mitarbeiter!$G$25=FALSE,0,IF(AND(Mitarbeiter!$E$25&lt;&gt;"",DM$5+6&lt;Mitarbeiter!$E$25),0,IF(AND(Mitarbeiter!$F$25&lt;&gt;"",DM$5&gt;Mitarbeiter!$F$25),0,IF(Planung!DM27="",$C27,IF(ISNUMBER(Planung!DM27),Planung!DM27,IF(UPPER(Planung!DM27)="H",$C27/2,0)))))))</f>
        <v>0</v>
      </c>
      <c r="DN27" s="27">
        <f>IF($A27="",0,IF(Mitarbeiter!$G$25=FALSE,0,IF(AND(Mitarbeiter!$E$25&lt;&gt;"",DN$5+6&lt;Mitarbeiter!$E$25),0,IF(AND(Mitarbeiter!$F$25&lt;&gt;"",DN$5&gt;Mitarbeiter!$F$25),0,IF(Planung!DN27="",$C27,IF(ISNUMBER(Planung!DN27),Planung!DN27,IF(UPPER(Planung!DN27)="H",$C27/2,0)))))))</f>
        <v>0</v>
      </c>
      <c r="DO27" s="27">
        <f>IF($A27="",0,IF(Mitarbeiter!$G$25=FALSE,0,IF(AND(Mitarbeiter!$E$25&lt;&gt;"",DO$5+6&lt;Mitarbeiter!$E$25),0,IF(AND(Mitarbeiter!$F$25&lt;&gt;"",DO$5&gt;Mitarbeiter!$F$25),0,IF(Planung!DO27="",$C27,IF(ISNUMBER(Planung!DO27),Planung!DO27,IF(UPPER(Planung!DO27)="H",$C27/2,0)))))))</f>
        <v>0</v>
      </c>
      <c r="DP27" s="27">
        <f>IF($A27="",0,IF(Mitarbeiter!$G$25=FALSE,0,IF(AND(Mitarbeiter!$E$25&lt;&gt;"",DP$5+6&lt;Mitarbeiter!$E$25),0,IF(AND(Mitarbeiter!$F$25&lt;&gt;"",DP$5&gt;Mitarbeiter!$F$25),0,IF(Planung!DP27="",$C27,IF(ISNUMBER(Planung!DP27),Planung!DP27,IF(UPPER(Planung!DP27)="H",$C27/2,0)))))))</f>
        <v>0</v>
      </c>
      <c r="DQ27" s="27">
        <f>IF($A27="",0,IF(Mitarbeiter!$G$25=FALSE,0,IF(AND(Mitarbeiter!$E$25&lt;&gt;"",DQ$5+6&lt;Mitarbeiter!$E$25),0,IF(AND(Mitarbeiter!$F$25&lt;&gt;"",DQ$5&gt;Mitarbeiter!$F$25),0,IF(Planung!DQ27="",$C27,IF(ISNUMBER(Planung!DQ27),Planung!DQ27,IF(UPPER(Planung!DQ27)="H",$C27/2,0)))))))</f>
        <v>0</v>
      </c>
      <c r="DR27" s="27">
        <f>IF($A27="",0,IF(Mitarbeiter!$G$25=FALSE,0,IF(AND(Mitarbeiter!$E$25&lt;&gt;"",DR$5+6&lt;Mitarbeiter!$E$25),0,IF(AND(Mitarbeiter!$F$25&lt;&gt;"",DR$5&gt;Mitarbeiter!$F$25),0,IF(Planung!DR27="",$C27,IF(ISNUMBER(Planung!DR27),Planung!DR27,IF(UPPER(Planung!DR27)="H",$C27/2,0)))))))</f>
        <v>0</v>
      </c>
      <c r="DS27" s="27">
        <f>IF($A27="",0,IF(Mitarbeiter!$G$25=FALSE,0,IF(AND(Mitarbeiter!$E$25&lt;&gt;"",DS$5+6&lt;Mitarbeiter!$E$25),0,IF(AND(Mitarbeiter!$F$25&lt;&gt;"",DS$5&gt;Mitarbeiter!$F$25),0,IF(Planung!DS27="",$C27,IF(ISNUMBER(Planung!DS27),Planung!DS27,IF(UPPER(Planung!DS27)="H",$C27/2,0)))))))</f>
        <v>0</v>
      </c>
      <c r="DT27" s="27">
        <f>IF($A27="",0,IF(Mitarbeiter!$G$25=FALSE,0,IF(AND(Mitarbeiter!$E$25&lt;&gt;"",DT$5+6&lt;Mitarbeiter!$E$25),0,IF(AND(Mitarbeiter!$F$25&lt;&gt;"",DT$5&gt;Mitarbeiter!$F$25),0,IF(Planung!DT27="",$C27,IF(ISNUMBER(Planung!DT27),Planung!DT27,IF(UPPER(Planung!DT27)="H",$C27/2,0)))))))</f>
        <v>0</v>
      </c>
      <c r="DU27" s="27">
        <f>IF($A27="",0,IF(Mitarbeiter!$G$25=FALSE,0,IF(AND(Mitarbeiter!$E$25&lt;&gt;"",DU$5+6&lt;Mitarbeiter!$E$25),0,IF(AND(Mitarbeiter!$F$25&lt;&gt;"",DU$5&gt;Mitarbeiter!$F$25),0,IF(Planung!DU27="",$C27,IF(ISNUMBER(Planung!DU27),Planung!DU27,IF(UPPER(Planung!DU27)="H",$C27/2,0)))))))</f>
        <v>0</v>
      </c>
      <c r="DV27" s="27">
        <f>IF($A27="",0,IF(Mitarbeiter!$G$25=FALSE,0,IF(AND(Mitarbeiter!$E$25&lt;&gt;"",DV$5+6&lt;Mitarbeiter!$E$25),0,IF(AND(Mitarbeiter!$F$25&lt;&gt;"",DV$5&gt;Mitarbeiter!$F$25),0,IF(Planung!DV27="",$C27,IF(ISNUMBER(Planung!DV27),Planung!DV27,IF(UPPER(Planung!DV27)="H",$C27/2,0)))))))</f>
        <v>0</v>
      </c>
      <c r="DW27" s="27">
        <f>IF($A27="",0,IF(Mitarbeiter!$G$25=FALSE,0,IF(AND(Mitarbeiter!$E$25&lt;&gt;"",DW$5+6&lt;Mitarbeiter!$E$25),0,IF(AND(Mitarbeiter!$F$25&lt;&gt;"",DW$5&gt;Mitarbeiter!$F$25),0,IF(Planung!DW27="",$C27,IF(ISNUMBER(Planung!DW27),Planung!DW27,IF(UPPER(Planung!DW27)="H",$C27/2,0)))))))</f>
        <v>0</v>
      </c>
      <c r="DX27" s="27">
        <f>IF($A27="",0,IF(Mitarbeiter!$G$25=FALSE,0,IF(AND(Mitarbeiter!$E$25&lt;&gt;"",DX$5+6&lt;Mitarbeiter!$E$25),0,IF(AND(Mitarbeiter!$F$25&lt;&gt;"",DX$5&gt;Mitarbeiter!$F$25),0,IF(Planung!DX27="",$C27,IF(ISNUMBER(Planung!DX27),Planung!DX27,IF(UPPER(Planung!DX27)="H",$C27/2,0)))))))</f>
        <v>0</v>
      </c>
      <c r="DY27" s="27">
        <f>IF($A27="",0,IF(Mitarbeiter!$G$25=FALSE,0,IF(AND(Mitarbeiter!$E$25&lt;&gt;"",DY$5+6&lt;Mitarbeiter!$E$25),0,IF(AND(Mitarbeiter!$F$25&lt;&gt;"",DY$5&gt;Mitarbeiter!$F$25),0,IF(Planung!DY27="",$C27,IF(ISNUMBER(Planung!DY27),Planung!DY27,IF(UPPER(Planung!DY27)="H",$C27/2,0)))))))</f>
        <v>0</v>
      </c>
      <c r="DZ27" s="27">
        <f>IF($A27="",0,IF(Mitarbeiter!$G$25=FALSE,0,IF(AND(Mitarbeiter!$E$25&lt;&gt;"",DZ$5+6&lt;Mitarbeiter!$E$25),0,IF(AND(Mitarbeiter!$F$25&lt;&gt;"",DZ$5&gt;Mitarbeiter!$F$25),0,IF(Planung!DZ27="",$C27,IF(ISNUMBER(Planung!DZ27),Planung!DZ27,IF(UPPER(Planung!DZ27)="H",$C27/2,0)))))))</f>
        <v>0</v>
      </c>
      <c r="EA27" s="27">
        <f>IF($A27="",0,IF(Mitarbeiter!$G$25=FALSE,0,IF(AND(Mitarbeiter!$E$25&lt;&gt;"",EA$5+6&lt;Mitarbeiter!$E$25),0,IF(AND(Mitarbeiter!$F$25&lt;&gt;"",EA$5&gt;Mitarbeiter!$F$25),0,IF(Planung!EA27="",$C27,IF(ISNUMBER(Planung!EA27),Planung!EA27,IF(UPPER(Planung!EA27)="H",$C27/2,0)))))))</f>
        <v>0</v>
      </c>
      <c r="EB27" s="27">
        <f>IF($A27="",0,IF(Mitarbeiter!$G$25=FALSE,0,IF(AND(Mitarbeiter!$E$25&lt;&gt;"",EB$5+6&lt;Mitarbeiter!$E$25),0,IF(AND(Mitarbeiter!$F$25&lt;&gt;"",EB$5&gt;Mitarbeiter!$F$25),0,IF(Planung!EB27="",$C27,IF(ISNUMBER(Planung!EB27),Planung!EB27,IF(UPPER(Planung!EB27)="H",$C27/2,0)))))))</f>
        <v>0</v>
      </c>
      <c r="EC27" s="27">
        <f>IF($A27="",0,IF(Mitarbeiter!$G$25=FALSE,0,IF(AND(Mitarbeiter!$E$25&lt;&gt;"",EC$5+6&lt;Mitarbeiter!$E$25),0,IF(AND(Mitarbeiter!$F$25&lt;&gt;"",EC$5&gt;Mitarbeiter!$F$25),0,IF(Planung!EC27="",$C27,IF(ISNUMBER(Planung!EC27),Planung!EC27,IF(UPPER(Planung!EC27)="H",$C27/2,0)))))))</f>
        <v>0</v>
      </c>
      <c r="ED27" s="27">
        <f>IF($A27="",0,IF(Mitarbeiter!$G$25=FALSE,0,IF(AND(Mitarbeiter!$E$25&lt;&gt;"",ED$5+6&lt;Mitarbeiter!$E$25),0,IF(AND(Mitarbeiter!$F$25&lt;&gt;"",ED$5&gt;Mitarbeiter!$F$25),0,IF(Planung!ED27="",$C27,IF(ISNUMBER(Planung!ED27),Planung!ED27,IF(UPPER(Planung!ED27)="H",$C27/2,0)))))))</f>
        <v>0</v>
      </c>
      <c r="EE27" s="27">
        <f>IF($A27="",0,IF(Mitarbeiter!$G$25=FALSE,0,IF(AND(Mitarbeiter!$E$25&lt;&gt;"",EE$5+6&lt;Mitarbeiter!$E$25),0,IF(AND(Mitarbeiter!$F$25&lt;&gt;"",EE$5&gt;Mitarbeiter!$F$25),0,IF(Planung!EE27="",$C27,IF(ISNUMBER(Planung!EE27),Planung!EE27,IF(UPPER(Planung!EE27)="H",$C27/2,0)))))))</f>
        <v>0</v>
      </c>
      <c r="EF27" s="27">
        <f>IF($A27="",0,IF(Mitarbeiter!$G$25=FALSE,0,IF(AND(Mitarbeiter!$E$25&lt;&gt;"",EF$5+6&lt;Mitarbeiter!$E$25),0,IF(AND(Mitarbeiter!$F$25&lt;&gt;"",EF$5&gt;Mitarbeiter!$F$25),0,IF(Planung!EF27="",$C27,IF(ISNUMBER(Planung!EF27),Planung!EF27,IF(UPPER(Planung!EF27)="H",$C27/2,0)))))))</f>
        <v>0</v>
      </c>
      <c r="EG27" s="27">
        <f>IF($A27="",0,IF(Mitarbeiter!$G$25=FALSE,0,IF(AND(Mitarbeiter!$E$25&lt;&gt;"",EG$5+6&lt;Mitarbeiter!$E$25),0,IF(AND(Mitarbeiter!$F$25&lt;&gt;"",EG$5&gt;Mitarbeiter!$F$25),0,IF(Planung!EG27="",$C27,IF(ISNUMBER(Planung!EG27),Planung!EG27,IF(UPPER(Planung!EG27)="H",$C27/2,0)))))))</f>
        <v>0</v>
      </c>
      <c r="EH27" s="27">
        <f>IF($A27="",0,IF(Mitarbeiter!$G$25=FALSE,0,IF(AND(Mitarbeiter!$E$25&lt;&gt;"",EH$5+6&lt;Mitarbeiter!$E$25),0,IF(AND(Mitarbeiter!$F$25&lt;&gt;"",EH$5&gt;Mitarbeiter!$F$25),0,IF(Planung!EH27="",$C27,IF(ISNUMBER(Planung!EH27),Planung!EH27,IF(UPPER(Planung!EH27)="H",$C27/2,0)))))))</f>
        <v>0</v>
      </c>
      <c r="EI27" s="27">
        <f>IF($A27="",0,IF(Mitarbeiter!$G$25=FALSE,0,IF(AND(Mitarbeiter!$E$25&lt;&gt;"",EI$5+6&lt;Mitarbeiter!$E$25),0,IF(AND(Mitarbeiter!$F$25&lt;&gt;"",EI$5&gt;Mitarbeiter!$F$25),0,IF(Planung!EI27="",$C27,IF(ISNUMBER(Planung!EI27),Planung!EI27,IF(UPPER(Planung!EI27)="H",$C27/2,0)))))))</f>
        <v>0</v>
      </c>
      <c r="EJ27" s="27">
        <f>IF($A27="",0,IF(Mitarbeiter!$G$25=FALSE,0,IF(AND(Mitarbeiter!$E$25&lt;&gt;"",EJ$5+6&lt;Mitarbeiter!$E$25),0,IF(AND(Mitarbeiter!$F$25&lt;&gt;"",EJ$5&gt;Mitarbeiter!$F$25),0,IF(Planung!EJ27="",$C27,IF(ISNUMBER(Planung!EJ27),Planung!EJ27,IF(UPPER(Planung!EJ27)="H",$C27/2,0)))))))</f>
        <v>0</v>
      </c>
      <c r="EK27" s="27">
        <f>IF($A27="",0,IF(Mitarbeiter!$G$25=FALSE,0,IF(AND(Mitarbeiter!$E$25&lt;&gt;"",EK$5+6&lt;Mitarbeiter!$E$25),0,IF(AND(Mitarbeiter!$F$25&lt;&gt;"",EK$5&gt;Mitarbeiter!$F$25),0,IF(Planung!EK27="",$C27,IF(ISNUMBER(Planung!EK27),Planung!EK27,IF(UPPER(Planung!EK27)="H",$C27/2,0)))))))</f>
        <v>0</v>
      </c>
      <c r="EL27" s="27">
        <f>IF($A27="",0,IF(Mitarbeiter!$G$25=FALSE,0,IF(AND(Mitarbeiter!$E$25&lt;&gt;"",EL$5+6&lt;Mitarbeiter!$E$25),0,IF(AND(Mitarbeiter!$F$25&lt;&gt;"",EL$5&gt;Mitarbeiter!$F$25),0,IF(Planung!EL27="",$C27,IF(ISNUMBER(Planung!EL27),Planung!EL27,IF(UPPER(Planung!EL27)="H",$C27/2,0)))))))</f>
        <v>0</v>
      </c>
      <c r="EM27" s="27">
        <f>IF($A27="",0,IF(Mitarbeiter!$G$25=FALSE,0,IF(AND(Mitarbeiter!$E$25&lt;&gt;"",EM$5+6&lt;Mitarbeiter!$E$25),0,IF(AND(Mitarbeiter!$F$25&lt;&gt;"",EM$5&gt;Mitarbeiter!$F$25),0,IF(Planung!EM27="",$C27,IF(ISNUMBER(Planung!EM27),Planung!EM27,IF(UPPER(Planung!EM27)="H",$C27/2,0)))))))</f>
        <v>0</v>
      </c>
      <c r="EN27" s="27">
        <f>IF($A27="",0,IF(Mitarbeiter!$G$25=FALSE,0,IF(AND(Mitarbeiter!$E$25&lt;&gt;"",EN$5+6&lt;Mitarbeiter!$E$25),0,IF(AND(Mitarbeiter!$F$25&lt;&gt;"",EN$5&gt;Mitarbeiter!$F$25),0,IF(Planung!EN27="",$C27,IF(ISNUMBER(Planung!EN27),Planung!EN27,IF(UPPER(Planung!EN27)="H",$C27/2,0)))))))</f>
        <v>0</v>
      </c>
      <c r="EO27" s="27">
        <f>IF($A27="",0,IF(Mitarbeiter!$G$25=FALSE,0,IF(AND(Mitarbeiter!$E$25&lt;&gt;"",EO$5+6&lt;Mitarbeiter!$E$25),0,IF(AND(Mitarbeiter!$F$25&lt;&gt;"",EO$5&gt;Mitarbeiter!$F$25),0,IF(Planung!EO27="",$C27,IF(ISNUMBER(Planung!EO27),Planung!EO27,IF(UPPER(Planung!EO27)="H",$C27/2,0)))))))</f>
        <v>0</v>
      </c>
      <c r="EP27" s="27">
        <f>IF($A27="",0,IF(Mitarbeiter!$G$25=FALSE,0,IF(AND(Mitarbeiter!$E$25&lt;&gt;"",EP$5+6&lt;Mitarbeiter!$E$25),0,IF(AND(Mitarbeiter!$F$25&lt;&gt;"",EP$5&gt;Mitarbeiter!$F$25),0,IF(Planung!EP27="",$C27,IF(ISNUMBER(Planung!EP27),Planung!EP27,IF(UPPER(Planung!EP27)="H",$C27/2,0)))))))</f>
        <v>0</v>
      </c>
      <c r="EQ27" s="27">
        <f>IF($A27="",0,IF(Mitarbeiter!$G$25=FALSE,0,IF(AND(Mitarbeiter!$E$25&lt;&gt;"",EQ$5+6&lt;Mitarbeiter!$E$25),0,IF(AND(Mitarbeiter!$F$25&lt;&gt;"",EQ$5&gt;Mitarbeiter!$F$25),0,IF(Planung!EQ27="",$C27,IF(ISNUMBER(Planung!EQ27),Planung!EQ27,IF(UPPER(Planung!EQ27)="H",$C27/2,0)))))))</f>
        <v>0</v>
      </c>
      <c r="ER27" s="27">
        <f>IF($A27="",0,IF(Mitarbeiter!$G$25=FALSE,0,IF(AND(Mitarbeiter!$E$25&lt;&gt;"",ER$5+6&lt;Mitarbeiter!$E$25),0,IF(AND(Mitarbeiter!$F$25&lt;&gt;"",ER$5&gt;Mitarbeiter!$F$25),0,IF(Planung!ER27="",$C27,IF(ISNUMBER(Planung!ER27),Planung!ER27,IF(UPPER(Planung!ER27)="H",$C27/2,0)))))))</f>
        <v>0</v>
      </c>
      <c r="ES27" s="27">
        <f>IF($A27="",0,IF(Mitarbeiter!$G$25=FALSE,0,IF(AND(Mitarbeiter!$E$25&lt;&gt;"",ES$5+6&lt;Mitarbeiter!$E$25),0,IF(AND(Mitarbeiter!$F$25&lt;&gt;"",ES$5&gt;Mitarbeiter!$F$25),0,IF(Planung!ES27="",$C27,IF(ISNUMBER(Planung!ES27),Planung!ES27,IF(UPPER(Planung!ES27)="H",$C27/2,0)))))))</f>
        <v>0</v>
      </c>
      <c r="ET27" s="27">
        <f>IF($A27="",0,IF(Mitarbeiter!$G$25=FALSE,0,IF(AND(Mitarbeiter!$E$25&lt;&gt;"",ET$5+6&lt;Mitarbeiter!$E$25),0,IF(AND(Mitarbeiter!$F$25&lt;&gt;"",ET$5&gt;Mitarbeiter!$F$25),0,IF(Planung!ET27="",$C27,IF(ISNUMBER(Planung!ET27),Planung!ET27,IF(UPPER(Planung!ET27)="H",$C27/2,0)))))))</f>
        <v>0</v>
      </c>
      <c r="EU27" s="27">
        <f>IF($A27="",0,IF(Mitarbeiter!$G$25=FALSE,0,IF(AND(Mitarbeiter!$E$25&lt;&gt;"",EU$5+6&lt;Mitarbeiter!$E$25),0,IF(AND(Mitarbeiter!$F$25&lt;&gt;"",EU$5&gt;Mitarbeiter!$F$25),0,IF(Planung!EU27="",$C27,IF(ISNUMBER(Planung!EU27),Planung!EU27,IF(UPPER(Planung!EU27)="H",$C27/2,0)))))))</f>
        <v>0</v>
      </c>
      <c r="EV27" s="27">
        <f>IF($A27="",0,IF(Mitarbeiter!$G$25=FALSE,0,IF(AND(Mitarbeiter!$E$25&lt;&gt;"",EV$5+6&lt;Mitarbeiter!$E$25),0,IF(AND(Mitarbeiter!$F$25&lt;&gt;"",EV$5&gt;Mitarbeiter!$F$25),0,IF(Planung!EV27="",$C27,IF(ISNUMBER(Planung!EV27),Planung!EV27,IF(UPPER(Planung!EV27)="H",$C27/2,0)))))))</f>
        <v>0</v>
      </c>
      <c r="EW27" s="27">
        <f>IF($A27="",0,IF(Mitarbeiter!$G$25=FALSE,0,IF(AND(Mitarbeiter!$E$25&lt;&gt;"",EW$5+6&lt;Mitarbeiter!$E$25),0,IF(AND(Mitarbeiter!$F$25&lt;&gt;"",EW$5&gt;Mitarbeiter!$F$25),0,IF(Planung!EW27="",$C27,IF(ISNUMBER(Planung!EW27),Planung!EW27,IF(UPPER(Planung!EW27)="H",$C27/2,0)))))))</f>
        <v>0</v>
      </c>
      <c r="EX27" s="27">
        <f>IF($A27="",0,IF(Mitarbeiter!$G$25=FALSE,0,IF(AND(Mitarbeiter!$E$25&lt;&gt;"",EX$5+6&lt;Mitarbeiter!$E$25),0,IF(AND(Mitarbeiter!$F$25&lt;&gt;"",EX$5&gt;Mitarbeiter!$F$25),0,IF(Planung!EX27="",$C27,IF(ISNUMBER(Planung!EX27),Planung!EX27,IF(UPPER(Planung!EX27)="H",$C27/2,0)))))))</f>
        <v>0</v>
      </c>
      <c r="EY27" s="27">
        <f>IF($A27="",0,IF(Mitarbeiter!$G$25=FALSE,0,IF(AND(Mitarbeiter!$E$25&lt;&gt;"",EY$5+6&lt;Mitarbeiter!$E$25),0,IF(AND(Mitarbeiter!$F$25&lt;&gt;"",EY$5&gt;Mitarbeiter!$F$25),0,IF(Planung!EY27="",$C27,IF(ISNUMBER(Planung!EY27),Planung!EY27,IF(UPPER(Planung!EY27)="H",$C27/2,0)))))))</f>
        <v>0</v>
      </c>
      <c r="EZ27" s="27">
        <f>IF($A27="",0,IF(Mitarbeiter!$G$25=FALSE,0,IF(AND(Mitarbeiter!$E$25&lt;&gt;"",EZ$5+6&lt;Mitarbeiter!$E$25),0,IF(AND(Mitarbeiter!$F$25&lt;&gt;"",EZ$5&gt;Mitarbeiter!$F$25),0,IF(Planung!EZ27="",$C27,IF(ISNUMBER(Planung!EZ27),Planung!EZ27,IF(UPPER(Planung!EZ27)="H",$C27/2,0)))))))</f>
        <v>0</v>
      </c>
      <c r="FA27" s="27">
        <f>IF($A27="",0,IF(Mitarbeiter!$G$25=FALSE,0,IF(AND(Mitarbeiter!$E$25&lt;&gt;"",FA$5+6&lt;Mitarbeiter!$E$25),0,IF(AND(Mitarbeiter!$F$25&lt;&gt;"",FA$5&gt;Mitarbeiter!$F$25),0,IF(Planung!FA27="",$C27,IF(ISNUMBER(Planung!FA27),Planung!FA27,IF(UPPER(Planung!FA27)="H",$C27/2,0)))))))</f>
        <v>0</v>
      </c>
      <c r="FB27" s="27">
        <f>IF($A27="",0,IF(Mitarbeiter!$G$25=FALSE,0,IF(AND(Mitarbeiter!$E$25&lt;&gt;"",FB$5+6&lt;Mitarbeiter!$E$25),0,IF(AND(Mitarbeiter!$F$25&lt;&gt;"",FB$5&gt;Mitarbeiter!$F$25),0,IF(Planung!FB27="",$C27,IF(ISNUMBER(Planung!FB27),Planung!FB27,IF(UPPER(Planung!FB27)="H",$C27/2,0)))))))</f>
        <v>0</v>
      </c>
      <c r="FC27" s="27">
        <f>IF($A27="",0,IF(Mitarbeiter!$G$25=FALSE,0,IF(AND(Mitarbeiter!$E$25&lt;&gt;"",FC$5+6&lt;Mitarbeiter!$E$25),0,IF(AND(Mitarbeiter!$F$25&lt;&gt;"",FC$5&gt;Mitarbeiter!$F$25),0,IF(Planung!FC27="",$C27,IF(ISNUMBER(Planung!FC27),Planung!FC27,IF(UPPER(Planung!FC27)="H",$C27/2,0)))))))</f>
        <v>0</v>
      </c>
      <c r="FD27" s="27">
        <f>IF($A27="",0,IF(Mitarbeiter!$G$25=FALSE,0,IF(AND(Mitarbeiter!$E$25&lt;&gt;"",FD$5+6&lt;Mitarbeiter!$E$25),0,IF(AND(Mitarbeiter!$F$25&lt;&gt;"",FD$5&gt;Mitarbeiter!$F$25),0,IF(Planung!FD27="",$C27,IF(ISNUMBER(Planung!FD27),Planung!FD27,IF(UPPER(Planung!FD27)="H",$C27/2,0)))))))</f>
        <v>0</v>
      </c>
      <c r="FE27" s="27">
        <f>IF($A27="",0,IF(Mitarbeiter!$G$25=FALSE,0,IF(AND(Mitarbeiter!$E$25&lt;&gt;"",FE$5+6&lt;Mitarbeiter!$E$25),0,IF(AND(Mitarbeiter!$F$25&lt;&gt;"",FE$5&gt;Mitarbeiter!$F$25),0,IF(Planung!FE27="",$C27,IF(ISNUMBER(Planung!FE27),Planung!FE27,IF(UPPER(Planung!FE27)="H",$C27/2,0)))))))</f>
        <v>0</v>
      </c>
      <c r="FF27" s="27">
        <f>IF($A27="",0,IF(Mitarbeiter!$G$25=FALSE,0,IF(AND(Mitarbeiter!$E$25&lt;&gt;"",FF$5+6&lt;Mitarbeiter!$E$25),0,IF(AND(Mitarbeiter!$F$25&lt;&gt;"",FF$5&gt;Mitarbeiter!$F$25),0,IF(Planung!FF27="",$C27,IF(ISNUMBER(Planung!FF27),Planung!FF27,IF(UPPER(Planung!FF27)="H",$C27/2,0)))))))</f>
        <v>0</v>
      </c>
      <c r="FG27" s="27">
        <f>IF($A27="",0,IF(Mitarbeiter!$G$25=FALSE,0,IF(AND(Mitarbeiter!$E$25&lt;&gt;"",FG$5+6&lt;Mitarbeiter!$E$25),0,IF(AND(Mitarbeiter!$F$25&lt;&gt;"",FG$5&gt;Mitarbeiter!$F$25),0,IF(Planung!FG27="",$C27,IF(ISNUMBER(Planung!FG27),Planung!FG27,IF(UPPER(Planung!FG27)="H",$C27/2,0)))))))</f>
        <v>0</v>
      </c>
      <c r="FH27" s="27">
        <f>IF($A27="",0,IF(Mitarbeiter!$G$25=FALSE,0,IF(AND(Mitarbeiter!$E$25&lt;&gt;"",FH$5+6&lt;Mitarbeiter!$E$25),0,IF(AND(Mitarbeiter!$F$25&lt;&gt;"",FH$5&gt;Mitarbeiter!$F$25),0,IF(Planung!FH27="",$C27,IF(ISNUMBER(Planung!FH27),Planung!FH27,IF(UPPER(Planung!FH27)="H",$C27/2,0)))))))</f>
        <v>0</v>
      </c>
      <c r="FI27" s="27">
        <f>IF($A27="",0,IF(Mitarbeiter!$G$25=FALSE,0,IF(AND(Mitarbeiter!$E$25&lt;&gt;"",FI$5+6&lt;Mitarbeiter!$E$25),0,IF(AND(Mitarbeiter!$F$25&lt;&gt;"",FI$5&gt;Mitarbeiter!$F$25),0,IF(Planung!FI27="",$C27,IF(ISNUMBER(Planung!FI27),Planung!FI27,IF(UPPER(Planung!FI27)="H",$C27/2,0)))))))</f>
        <v>0</v>
      </c>
      <c r="FJ27" s="27">
        <f>IF($A27="",0,IF(Mitarbeiter!$G$25=FALSE,0,IF(AND(Mitarbeiter!$E$25&lt;&gt;"",FJ$5+6&lt;Mitarbeiter!$E$25),0,IF(AND(Mitarbeiter!$F$25&lt;&gt;"",FJ$5&gt;Mitarbeiter!$F$25),0,IF(Planung!FJ27="",$C27,IF(ISNUMBER(Planung!FJ27),Planung!FJ27,IF(UPPER(Planung!FJ27)="H",$C27/2,0)))))))</f>
        <v>0</v>
      </c>
      <c r="FK27" s="27">
        <f>IF($A27="",0,IF(Mitarbeiter!$G$25=FALSE,0,IF(AND(Mitarbeiter!$E$25&lt;&gt;"",FK$5+6&lt;Mitarbeiter!$E$25),0,IF(AND(Mitarbeiter!$F$25&lt;&gt;"",FK$5&gt;Mitarbeiter!$F$25),0,IF(Planung!FK27="",$C27,IF(ISNUMBER(Planung!FK27),Planung!FK27,IF(UPPER(Planung!FK27)="H",$C27/2,0)))))))</f>
        <v>0</v>
      </c>
      <c r="FL27" s="27">
        <f>IF($A27="",0,IF(Mitarbeiter!$G$25=FALSE,0,IF(AND(Mitarbeiter!$E$25&lt;&gt;"",FL$5+6&lt;Mitarbeiter!$E$25),0,IF(AND(Mitarbeiter!$F$25&lt;&gt;"",FL$5&gt;Mitarbeiter!$F$25),0,IF(Planung!FL27="",$C27,IF(ISNUMBER(Planung!FL27),Planung!FL27,IF(UPPER(Planung!FL27)="H",$C27/2,0)))))))</f>
        <v>0</v>
      </c>
      <c r="FM27" s="27">
        <f>IF($A27="",0,IF(Mitarbeiter!$G$25=FALSE,0,IF(AND(Mitarbeiter!$E$25&lt;&gt;"",FM$5+6&lt;Mitarbeiter!$E$25),0,IF(AND(Mitarbeiter!$F$25&lt;&gt;"",FM$5&gt;Mitarbeiter!$F$25),0,IF(Planung!FM27="",$C27,IF(ISNUMBER(Planung!FM27),Planung!FM27,IF(UPPER(Planung!FM27)="H",$C27/2,0)))))))</f>
        <v>0</v>
      </c>
      <c r="FN27" s="27">
        <f>IF($A27="",0,IF(Mitarbeiter!$G$25=FALSE,0,IF(AND(Mitarbeiter!$E$25&lt;&gt;"",FN$5+6&lt;Mitarbeiter!$E$25),0,IF(AND(Mitarbeiter!$F$25&lt;&gt;"",FN$5&gt;Mitarbeiter!$F$25),0,IF(Planung!FN27="",$C27,IF(ISNUMBER(Planung!FN27),Planung!FN27,IF(UPPER(Planung!FN27)="H",$C27/2,0)))))))</f>
        <v>0</v>
      </c>
      <c r="FO27" s="27">
        <f>IF($A27="",0,IF(Mitarbeiter!$G$25=FALSE,0,IF(AND(Mitarbeiter!$E$25&lt;&gt;"",FO$5+6&lt;Mitarbeiter!$E$25),0,IF(AND(Mitarbeiter!$F$25&lt;&gt;"",FO$5&gt;Mitarbeiter!$F$25),0,IF(Planung!FO27="",$C27,IF(ISNUMBER(Planung!FO27),Planung!FO27,IF(UPPER(Planung!FO27)="H",$C27/2,0)))))))</f>
        <v>0</v>
      </c>
      <c r="FP27" s="27">
        <f>IF($A27="",0,IF(Mitarbeiter!$G$25=FALSE,0,IF(AND(Mitarbeiter!$E$25&lt;&gt;"",FP$5+6&lt;Mitarbeiter!$E$25),0,IF(AND(Mitarbeiter!$F$25&lt;&gt;"",FP$5&gt;Mitarbeiter!$F$25),0,IF(Planung!FP27="",$C27,IF(ISNUMBER(Planung!FP27),Planung!FP27,IF(UPPER(Planung!FP27)="H",$C27/2,0)))))))</f>
        <v>0</v>
      </c>
      <c r="FQ27" s="27">
        <f>IF($A27="",0,IF(Mitarbeiter!$G$25=FALSE,0,IF(AND(Mitarbeiter!$E$25&lt;&gt;"",FQ$5+6&lt;Mitarbeiter!$E$25),0,IF(AND(Mitarbeiter!$F$25&lt;&gt;"",FQ$5&gt;Mitarbeiter!$F$25),0,IF(Planung!FQ27="",$C27,IF(ISNUMBER(Planung!FQ27),Planung!FQ27,IF(UPPER(Planung!FQ27)="H",$C27/2,0)))))))</f>
        <v>0</v>
      </c>
      <c r="FR27" s="27">
        <f>IF($A27="",0,IF(Mitarbeiter!$G$25=FALSE,0,IF(AND(Mitarbeiter!$E$25&lt;&gt;"",FR$5+6&lt;Mitarbeiter!$E$25),0,IF(AND(Mitarbeiter!$F$25&lt;&gt;"",FR$5&gt;Mitarbeiter!$F$25),0,IF(Planung!FR27="",$C27,IF(ISNUMBER(Planung!FR27),Planung!FR27,IF(UPPER(Planung!FR27)="H",$C27/2,0)))))))</f>
        <v>0</v>
      </c>
      <c r="FS27" s="27">
        <f>IF($A27="",0,IF(Mitarbeiter!$G$25=FALSE,0,IF(AND(Mitarbeiter!$E$25&lt;&gt;"",FS$5+6&lt;Mitarbeiter!$E$25),0,IF(AND(Mitarbeiter!$F$25&lt;&gt;"",FS$5&gt;Mitarbeiter!$F$25),0,IF(Planung!FS27="",$C27,IF(ISNUMBER(Planung!FS27),Planung!FS27,IF(UPPER(Planung!FS27)="H",$C27/2,0)))))))</f>
        <v>0</v>
      </c>
      <c r="FT27" s="27">
        <f>IF($A27="",0,IF(Mitarbeiter!$G$25=FALSE,0,IF(AND(Mitarbeiter!$E$25&lt;&gt;"",FT$5+6&lt;Mitarbeiter!$E$25),0,IF(AND(Mitarbeiter!$F$25&lt;&gt;"",FT$5&gt;Mitarbeiter!$F$25),0,IF(Planung!FT27="",$C27,IF(ISNUMBER(Planung!FT27),Planung!FT27,IF(UPPER(Planung!FT27)="H",$C27/2,0)))))))</f>
        <v>0</v>
      </c>
      <c r="FU27" s="27">
        <f>IF($A27="",0,IF(Mitarbeiter!$G$25=FALSE,0,IF(AND(Mitarbeiter!$E$25&lt;&gt;"",FU$5+6&lt;Mitarbeiter!$E$25),0,IF(AND(Mitarbeiter!$F$25&lt;&gt;"",FU$5&gt;Mitarbeiter!$F$25),0,IF(Planung!FU27="",$C27,IF(ISNUMBER(Planung!FU27),Planung!FU27,IF(UPPER(Planung!FU27)="H",$C27/2,0)))))))</f>
        <v>0</v>
      </c>
      <c r="FV27" s="27">
        <f>IF($A27="",0,IF(Mitarbeiter!$G$25=FALSE,0,IF(AND(Mitarbeiter!$E$25&lt;&gt;"",FV$5+6&lt;Mitarbeiter!$E$25),0,IF(AND(Mitarbeiter!$F$25&lt;&gt;"",FV$5&gt;Mitarbeiter!$F$25),0,IF(Planung!FV27="",$C27,IF(ISNUMBER(Planung!FV27),Planung!FV27,IF(UPPER(Planung!FV27)="H",$C27/2,0)))))))</f>
        <v>0</v>
      </c>
      <c r="FW27" s="27">
        <f>IF($A27="",0,IF(Mitarbeiter!$G$25=FALSE,0,IF(AND(Mitarbeiter!$E$25&lt;&gt;"",FW$5+6&lt;Mitarbeiter!$E$25),0,IF(AND(Mitarbeiter!$F$25&lt;&gt;"",FW$5&gt;Mitarbeiter!$F$25),0,IF(Planung!FW27="",$C27,IF(ISNUMBER(Planung!FW27),Planung!FW27,IF(UPPER(Planung!FW27)="H",$C27/2,0)))))))</f>
        <v>0</v>
      </c>
      <c r="FX27" s="27">
        <f>IF($A27="",0,IF(Mitarbeiter!$G$25=FALSE,0,IF(AND(Mitarbeiter!$E$25&lt;&gt;"",FX$5+6&lt;Mitarbeiter!$E$25),0,IF(AND(Mitarbeiter!$F$25&lt;&gt;"",FX$5&gt;Mitarbeiter!$F$25),0,IF(Planung!FX27="",$C27,IF(ISNUMBER(Planung!FX27),Planung!FX27,IF(UPPER(Planung!FX27)="H",$C27/2,0)))))))</f>
        <v>0</v>
      </c>
      <c r="FY27" s="27">
        <f>IF($A27="",0,IF(Mitarbeiter!$G$25=FALSE,0,IF(AND(Mitarbeiter!$E$25&lt;&gt;"",FY$5+6&lt;Mitarbeiter!$E$25),0,IF(AND(Mitarbeiter!$F$25&lt;&gt;"",FY$5&gt;Mitarbeiter!$F$25),0,IF(Planung!FY27="",$C27,IF(ISNUMBER(Planung!FY27),Planung!FY27,IF(UPPER(Planung!FY27)="H",$C27/2,0)))))))</f>
        <v>0</v>
      </c>
      <c r="FZ27" s="27">
        <f>IF($A27="",0,IF(Mitarbeiter!$G$25=FALSE,0,IF(AND(Mitarbeiter!$E$25&lt;&gt;"",FZ$5+6&lt;Mitarbeiter!$E$25),0,IF(AND(Mitarbeiter!$F$25&lt;&gt;"",FZ$5&gt;Mitarbeiter!$F$25),0,IF(Planung!FZ27="",$C27,IF(ISNUMBER(Planung!FZ27),Planung!FZ27,IF(UPPER(Planung!FZ27)="H",$C27/2,0)))))))</f>
        <v>0</v>
      </c>
      <c r="GA27" s="27">
        <f>IF($A27="",0,IF(Mitarbeiter!$G$25=FALSE,0,IF(AND(Mitarbeiter!$E$25&lt;&gt;"",GA$5+6&lt;Mitarbeiter!$E$25),0,IF(AND(Mitarbeiter!$F$25&lt;&gt;"",GA$5&gt;Mitarbeiter!$F$25),0,IF(Planung!GA27="",$C27,IF(ISNUMBER(Planung!GA27),Planung!GA27,IF(UPPER(Planung!GA27)="H",$C27/2,0)))))))</f>
        <v>0</v>
      </c>
      <c r="GB27" s="27">
        <f>IF($A27="",0,IF(Mitarbeiter!$G$25=FALSE,0,IF(AND(Mitarbeiter!$E$25&lt;&gt;"",GB$5+6&lt;Mitarbeiter!$E$25),0,IF(AND(Mitarbeiter!$F$25&lt;&gt;"",GB$5&gt;Mitarbeiter!$F$25),0,IF(Planung!GB27="",$C27,IF(ISNUMBER(Planung!GB27),Planung!GB27,IF(UPPER(Planung!GB27)="H",$C27/2,0)))))))</f>
        <v>0</v>
      </c>
      <c r="GC27" s="27">
        <f>IF($A27="",0,IF(Mitarbeiter!$G$25=FALSE,0,IF(AND(Mitarbeiter!$E$25&lt;&gt;"",GC$5+6&lt;Mitarbeiter!$E$25),0,IF(AND(Mitarbeiter!$F$25&lt;&gt;"",GC$5&gt;Mitarbeiter!$F$25),0,IF(Planung!GC27="",$C27,IF(ISNUMBER(Planung!GC27),Planung!GC27,IF(UPPER(Planung!GC27)="H",$C27/2,0)))))))</f>
        <v>0</v>
      </c>
      <c r="GD27" s="27">
        <f>IF($A27="",0,IF(Mitarbeiter!$G$25=FALSE,0,IF(AND(Mitarbeiter!$E$25&lt;&gt;"",GD$5+6&lt;Mitarbeiter!$E$25),0,IF(AND(Mitarbeiter!$F$25&lt;&gt;"",GD$5&gt;Mitarbeiter!$F$25),0,IF(Planung!GD27="",$C27,IF(ISNUMBER(Planung!GD27),Planung!GD27,IF(UPPER(Planung!GD27)="H",$C27/2,0)))))))</f>
        <v>0</v>
      </c>
      <c r="GE27" s="27">
        <f>IF($A27="",0,IF(Mitarbeiter!$G$25=FALSE,0,IF(AND(Mitarbeiter!$E$25&lt;&gt;"",GE$5+6&lt;Mitarbeiter!$E$25),0,IF(AND(Mitarbeiter!$F$25&lt;&gt;"",GE$5&gt;Mitarbeiter!$F$25),0,IF(Planung!GE27="",$C27,IF(ISNUMBER(Planung!GE27),Planung!GE27,IF(UPPER(Planung!GE27)="H",$C27/2,0)))))))</f>
        <v>0</v>
      </c>
      <c r="GF27" s="27">
        <f>IF($A27="",0,IF(Mitarbeiter!$G$25=FALSE,0,IF(AND(Mitarbeiter!$E$25&lt;&gt;"",GF$5+6&lt;Mitarbeiter!$E$25),0,IF(AND(Mitarbeiter!$F$25&lt;&gt;"",GF$5&gt;Mitarbeiter!$F$25),0,IF(Planung!GF27="",$C27,IF(ISNUMBER(Planung!GF27),Planung!GF27,IF(UPPER(Planung!GF27)="H",$C27/2,0)))))))</f>
        <v>0</v>
      </c>
      <c r="GG27" s="27">
        <f>IF($A27="",0,IF(Mitarbeiter!$G$25=FALSE,0,IF(AND(Mitarbeiter!$E$25&lt;&gt;"",GG$5+6&lt;Mitarbeiter!$E$25),0,IF(AND(Mitarbeiter!$F$25&lt;&gt;"",GG$5&gt;Mitarbeiter!$F$25),0,IF(Planung!GG27="",$C27,IF(ISNUMBER(Planung!GG27),Planung!GG27,IF(UPPER(Planung!GG27)="H",$C27/2,0)))))))</f>
        <v>0</v>
      </c>
      <c r="GH27" s="27">
        <f>IF($A27="",0,IF(Mitarbeiter!$G$25=FALSE,0,IF(AND(Mitarbeiter!$E$25&lt;&gt;"",GH$5+6&lt;Mitarbeiter!$E$25),0,IF(AND(Mitarbeiter!$F$25&lt;&gt;"",GH$5&gt;Mitarbeiter!$F$25),0,IF(Planung!GH27="",$C27,IF(ISNUMBER(Planung!GH27),Planung!GH27,IF(UPPER(Planung!GH27)="H",$C27/2,0)))))))</f>
        <v>0</v>
      </c>
      <c r="GI27" s="27">
        <f>IF($A27="",0,IF(Mitarbeiter!$G$25=FALSE,0,IF(AND(Mitarbeiter!$E$25&lt;&gt;"",GI$5+6&lt;Mitarbeiter!$E$25),0,IF(AND(Mitarbeiter!$F$25&lt;&gt;"",GI$5&gt;Mitarbeiter!$F$25),0,IF(Planung!GI27="",$C27,IF(ISNUMBER(Planung!GI27),Planung!GI27,IF(UPPER(Planung!GI27)="H",$C27/2,0)))))))</f>
        <v>0</v>
      </c>
      <c r="GJ27" s="27">
        <f>IF($A27="",0,IF(Mitarbeiter!$G$25=FALSE,0,IF(AND(Mitarbeiter!$E$25&lt;&gt;"",GJ$5+6&lt;Mitarbeiter!$E$25),0,IF(AND(Mitarbeiter!$F$25&lt;&gt;"",GJ$5&gt;Mitarbeiter!$F$25),0,IF(Planung!GJ27="",$C27,IF(ISNUMBER(Planung!GJ27),Planung!GJ27,IF(UPPER(Planung!GJ27)="H",$C27/2,0)))))))</f>
        <v>0</v>
      </c>
      <c r="GK27" s="27">
        <f>IF($A27="",0,IF(Mitarbeiter!$G$25=FALSE,0,IF(AND(Mitarbeiter!$E$25&lt;&gt;"",GK$5+6&lt;Mitarbeiter!$E$25),0,IF(AND(Mitarbeiter!$F$25&lt;&gt;"",GK$5&gt;Mitarbeiter!$F$25),0,IF(Planung!GK27="",$C27,IF(ISNUMBER(Planung!GK27),Planung!GK27,IF(UPPER(Planung!GK27)="H",$C27/2,0)))))))</f>
        <v>0</v>
      </c>
      <c r="GL27" s="27">
        <f>IF($A27="",0,IF(Mitarbeiter!$G$25=FALSE,0,IF(AND(Mitarbeiter!$E$25&lt;&gt;"",GL$5+6&lt;Mitarbeiter!$E$25),0,IF(AND(Mitarbeiter!$F$25&lt;&gt;"",GL$5&gt;Mitarbeiter!$F$25),0,IF(Planung!GL27="",$C27,IF(ISNUMBER(Planung!GL27),Planung!GL27,IF(UPPER(Planung!GL27)="H",$C27/2,0)))))))</f>
        <v>0</v>
      </c>
      <c r="GM27" s="27">
        <f>IF($A27="",0,IF(Mitarbeiter!$G$25=FALSE,0,IF(AND(Mitarbeiter!$E$25&lt;&gt;"",GM$5+6&lt;Mitarbeiter!$E$25),0,IF(AND(Mitarbeiter!$F$25&lt;&gt;"",GM$5&gt;Mitarbeiter!$F$25),0,IF(Planung!GM27="",$C27,IF(ISNUMBER(Planung!GM27),Planung!GM27,IF(UPPER(Planung!GM27)="H",$C27/2,0)))))))</f>
        <v>0</v>
      </c>
      <c r="GN27" s="27">
        <f>IF($A27="",0,IF(Mitarbeiter!$G$25=FALSE,0,IF(AND(Mitarbeiter!$E$25&lt;&gt;"",GN$5+6&lt;Mitarbeiter!$E$25),0,IF(AND(Mitarbeiter!$F$25&lt;&gt;"",GN$5&gt;Mitarbeiter!$F$25),0,IF(Planung!GN27="",$C27,IF(ISNUMBER(Planung!GN27),Planung!GN27,IF(UPPER(Planung!GN27)="H",$C27/2,0)))))))</f>
        <v>0</v>
      </c>
      <c r="GO27" s="27">
        <f>IF($A27="",0,IF(Mitarbeiter!$G$25=FALSE,0,IF(AND(Mitarbeiter!$E$25&lt;&gt;"",GO$5+6&lt;Mitarbeiter!$E$25),0,IF(AND(Mitarbeiter!$F$25&lt;&gt;"",GO$5&gt;Mitarbeiter!$F$25),0,IF(Planung!GO27="",$C27,IF(ISNUMBER(Planung!GO27),Planung!GO27,IF(UPPER(Planung!GO27)="H",$C27/2,0)))))))</f>
        <v>0</v>
      </c>
      <c r="GP27" s="27">
        <f>IF($A27="",0,IF(Mitarbeiter!$G$25=FALSE,0,IF(AND(Mitarbeiter!$E$25&lt;&gt;"",GP$5+6&lt;Mitarbeiter!$E$25),0,IF(AND(Mitarbeiter!$F$25&lt;&gt;"",GP$5&gt;Mitarbeiter!$F$25),0,IF(Planung!GP27="",$C27,IF(ISNUMBER(Planung!GP27),Planung!GP27,IF(UPPER(Planung!GP27)="H",$C27/2,0)))))))</f>
        <v>0</v>
      </c>
      <c r="GQ27" s="27">
        <f>IF($A27="",0,IF(Mitarbeiter!$G$25=FALSE,0,IF(AND(Mitarbeiter!$E$25&lt;&gt;"",GQ$5+6&lt;Mitarbeiter!$E$25),0,IF(AND(Mitarbeiter!$F$25&lt;&gt;"",GQ$5&gt;Mitarbeiter!$F$25),0,IF(Planung!GQ27="",$C27,IF(ISNUMBER(Planung!GQ27),Planung!GQ27,IF(UPPER(Planung!GQ27)="H",$C27/2,0)))))))</f>
        <v>0</v>
      </c>
      <c r="GR27" s="27">
        <f>IF($A27="",0,IF(Mitarbeiter!$G$25=FALSE,0,IF(AND(Mitarbeiter!$E$25&lt;&gt;"",GR$5+6&lt;Mitarbeiter!$E$25),0,IF(AND(Mitarbeiter!$F$25&lt;&gt;"",GR$5&gt;Mitarbeiter!$F$25),0,IF(Planung!GR27="",$C27,IF(ISNUMBER(Planung!GR27),Planung!GR27,IF(UPPER(Planung!GR27)="H",$C27/2,0)))))))</f>
        <v>0</v>
      </c>
      <c r="GS27" s="27">
        <f>IF($A27="",0,IF(Mitarbeiter!$G$25=FALSE,0,IF(AND(Mitarbeiter!$E$25&lt;&gt;"",GS$5+6&lt;Mitarbeiter!$E$25),0,IF(AND(Mitarbeiter!$F$25&lt;&gt;"",GS$5&gt;Mitarbeiter!$F$25),0,IF(Planung!GS27="",$C27,IF(ISNUMBER(Planung!GS27),Planung!GS27,IF(UPPER(Planung!GS27)="H",$C27/2,0)))))))</f>
        <v>0</v>
      </c>
      <c r="GT27" s="27">
        <f>IF($A27="",0,IF(Mitarbeiter!$G$25=FALSE,0,IF(AND(Mitarbeiter!$E$25&lt;&gt;"",GT$5+6&lt;Mitarbeiter!$E$25),0,IF(AND(Mitarbeiter!$F$25&lt;&gt;"",GT$5&gt;Mitarbeiter!$F$25),0,IF(Planung!GT27="",$C27,IF(ISNUMBER(Planung!GT27),Planung!GT27,IF(UPPER(Planung!GT27)="H",$C27/2,0)))))))</f>
        <v>0</v>
      </c>
      <c r="GU27" s="27">
        <f>IF($A27="",0,IF(Mitarbeiter!$G$25=FALSE,0,IF(AND(Mitarbeiter!$E$25&lt;&gt;"",GU$5+6&lt;Mitarbeiter!$E$25),0,IF(AND(Mitarbeiter!$F$25&lt;&gt;"",GU$5&gt;Mitarbeiter!$F$25),0,IF(Planung!GU27="",$C27,IF(ISNUMBER(Planung!GU27),Planung!GU27,IF(UPPER(Planung!GU27)="H",$C27/2,0)))))))</f>
        <v>0</v>
      </c>
      <c r="GV27" s="27">
        <f>IF($A27="",0,IF(Mitarbeiter!$G$25=FALSE,0,IF(AND(Mitarbeiter!$E$25&lt;&gt;"",GV$5+6&lt;Mitarbeiter!$E$25),0,IF(AND(Mitarbeiter!$F$25&lt;&gt;"",GV$5&gt;Mitarbeiter!$F$25),0,IF(Planung!GV27="",$C27,IF(ISNUMBER(Planung!GV27),Planung!GV27,IF(UPPER(Planung!GV27)="H",$C27/2,0)))))))</f>
        <v>0</v>
      </c>
      <c r="GW27" s="27">
        <f>IF($A27="",0,IF(Mitarbeiter!$G$25=FALSE,0,IF(AND(Mitarbeiter!$E$25&lt;&gt;"",GW$5+6&lt;Mitarbeiter!$E$25),0,IF(AND(Mitarbeiter!$F$25&lt;&gt;"",GW$5&gt;Mitarbeiter!$F$25),0,IF(Planung!GW27="",$C27,IF(ISNUMBER(Planung!GW27),Planung!GW27,IF(UPPER(Planung!GW27)="H",$C27/2,0)))))))</f>
        <v>0</v>
      </c>
      <c r="GX27" s="27">
        <f>IF($A27="",0,IF(Mitarbeiter!$G$25=FALSE,0,IF(AND(Mitarbeiter!$E$25&lt;&gt;"",GX$5+6&lt;Mitarbeiter!$E$25),0,IF(AND(Mitarbeiter!$F$25&lt;&gt;"",GX$5&gt;Mitarbeiter!$F$25),0,IF(Planung!GX27="",$C27,IF(ISNUMBER(Planung!GX27),Planung!GX27,IF(UPPER(Planung!GX27)="H",$C27/2,0)))))))</f>
        <v>0</v>
      </c>
      <c r="GY27" s="27">
        <f>IF($A27="",0,IF(Mitarbeiter!$G$25=FALSE,0,IF(AND(Mitarbeiter!$E$25&lt;&gt;"",GY$5+6&lt;Mitarbeiter!$E$25),0,IF(AND(Mitarbeiter!$F$25&lt;&gt;"",GY$5&gt;Mitarbeiter!$F$25),0,IF(Planung!GY27="",$C27,IF(ISNUMBER(Planung!GY27),Planung!GY27,IF(UPPER(Planung!GY27)="H",$C27/2,0)))))))</f>
        <v>0</v>
      </c>
      <c r="GZ27" s="27">
        <f>IF($A27="",0,IF(Mitarbeiter!$G$25=FALSE,0,IF(AND(Mitarbeiter!$E$25&lt;&gt;"",GZ$5+6&lt;Mitarbeiter!$E$25),0,IF(AND(Mitarbeiter!$F$25&lt;&gt;"",GZ$5&gt;Mitarbeiter!$F$25),0,IF(Planung!GZ27="",$C27,IF(ISNUMBER(Planung!GZ27),Planung!GZ27,IF(UPPER(Planung!GZ27)="H",$C27/2,0)))))))</f>
        <v>0</v>
      </c>
      <c r="HA27" s="27">
        <f>IF($A27="",0,IF(Mitarbeiter!$G$25=FALSE,0,IF(AND(Mitarbeiter!$E$25&lt;&gt;"",HA$5+6&lt;Mitarbeiter!$E$25),0,IF(AND(Mitarbeiter!$F$25&lt;&gt;"",HA$5&gt;Mitarbeiter!$F$25),0,IF(Planung!HA27="",$C27,IF(ISNUMBER(Planung!HA27),Planung!HA27,IF(UPPER(Planung!HA27)="H",$C27/2,0)))))))</f>
        <v>0</v>
      </c>
      <c r="HB27" s="27">
        <f>IF($A27="",0,IF(Mitarbeiter!$G$25=FALSE,0,IF(AND(Mitarbeiter!$E$25&lt;&gt;"",HB$5+6&lt;Mitarbeiter!$E$25),0,IF(AND(Mitarbeiter!$F$25&lt;&gt;"",HB$5&gt;Mitarbeiter!$F$25),0,IF(Planung!HB27="",$C27,IF(ISNUMBER(Planung!HB27),Planung!HB27,IF(UPPER(Planung!HB27)="H",$C27/2,0)))))))</f>
        <v>0</v>
      </c>
      <c r="HC27" s="27">
        <f>IF($A27="",0,IF(Mitarbeiter!$G$25=FALSE,0,IF(AND(Mitarbeiter!$E$25&lt;&gt;"",HC$5+6&lt;Mitarbeiter!$E$25),0,IF(AND(Mitarbeiter!$F$25&lt;&gt;"",HC$5&gt;Mitarbeiter!$F$25),0,IF(Planung!HC27="",$C27,IF(ISNUMBER(Planung!HC27),Planung!HC27,IF(UPPER(Planung!HC27)="H",$C27/2,0)))))))</f>
        <v>0</v>
      </c>
      <c r="HD27" s="27">
        <f>IF($A27="",0,IF(Mitarbeiter!$G$25=FALSE,0,IF(AND(Mitarbeiter!$E$25&lt;&gt;"",HD$5+6&lt;Mitarbeiter!$E$25),0,IF(AND(Mitarbeiter!$F$25&lt;&gt;"",HD$5&gt;Mitarbeiter!$F$25),0,IF(Planung!HD27="",$C27,IF(ISNUMBER(Planung!HD27),Planung!HD27,IF(UPPER(Planung!HD27)="H",$C27/2,0)))))))</f>
        <v>0</v>
      </c>
      <c r="HE27" s="27">
        <f>IF($A27="",0,IF(Mitarbeiter!$G$25=FALSE,0,IF(AND(Mitarbeiter!$E$25&lt;&gt;"",HE$5+6&lt;Mitarbeiter!$E$25),0,IF(AND(Mitarbeiter!$F$25&lt;&gt;"",HE$5&gt;Mitarbeiter!$F$25),0,IF(Planung!HE27="",$C27,IF(ISNUMBER(Planung!HE27),Planung!HE27,IF(UPPER(Planung!HE27)="H",$C27/2,0)))))))</f>
        <v>0</v>
      </c>
      <c r="HF27" s="27">
        <f>IF($A27="",0,IF(Mitarbeiter!$G$25=FALSE,0,IF(AND(Mitarbeiter!$E$25&lt;&gt;"",HF$5+6&lt;Mitarbeiter!$E$25),0,IF(AND(Mitarbeiter!$F$25&lt;&gt;"",HF$5&gt;Mitarbeiter!$F$25),0,IF(Planung!HF27="",$C27,IF(ISNUMBER(Planung!HF27),Planung!HF27,IF(UPPER(Planung!HF27)="H",$C27/2,0)))))))</f>
        <v>0</v>
      </c>
      <c r="HG27" s="27">
        <f>IF($A27="",0,IF(Mitarbeiter!$G$25=FALSE,0,IF(AND(Mitarbeiter!$E$25&lt;&gt;"",HG$5+6&lt;Mitarbeiter!$E$25),0,IF(AND(Mitarbeiter!$F$25&lt;&gt;"",HG$5&gt;Mitarbeiter!$F$25),0,IF(Planung!HG27="",$C27,IF(ISNUMBER(Planung!HG27),Planung!HG27,IF(UPPER(Planung!HG27)="H",$C27/2,0)))))))</f>
        <v>0</v>
      </c>
      <c r="HH27" s="27">
        <f>IF($A27="",0,IF(Mitarbeiter!$G$25=FALSE,0,IF(AND(Mitarbeiter!$E$25&lt;&gt;"",HH$5+6&lt;Mitarbeiter!$E$25),0,IF(AND(Mitarbeiter!$F$25&lt;&gt;"",HH$5&gt;Mitarbeiter!$F$25),0,IF(Planung!HH27="",$C27,IF(ISNUMBER(Planung!HH27),Planung!HH27,IF(UPPER(Planung!HH27)="H",$C27/2,0)))))))</f>
        <v>0</v>
      </c>
      <c r="HI27" s="27">
        <f>IF($A27="",0,IF(Mitarbeiter!$G$25=FALSE,0,IF(AND(Mitarbeiter!$E$25&lt;&gt;"",HI$5+6&lt;Mitarbeiter!$E$25),0,IF(AND(Mitarbeiter!$F$25&lt;&gt;"",HI$5&gt;Mitarbeiter!$F$25),0,IF(Planung!HI27="",$C27,IF(ISNUMBER(Planung!HI27),Planung!HI27,IF(UPPER(Planung!HI27)="H",$C27/2,0)))))))</f>
        <v>0</v>
      </c>
      <c r="HJ27" s="27">
        <f>IF($A27="",0,IF(Mitarbeiter!$G$25=FALSE,0,IF(AND(Mitarbeiter!$E$25&lt;&gt;"",HJ$5+6&lt;Mitarbeiter!$E$25),0,IF(AND(Mitarbeiter!$F$25&lt;&gt;"",HJ$5&gt;Mitarbeiter!$F$25),0,IF(Planung!HJ27="",$C27,IF(ISNUMBER(Planung!HJ27),Planung!HJ27,IF(UPPER(Planung!HJ27)="H",$C27/2,0)))))))</f>
        <v>0</v>
      </c>
      <c r="HK27" s="27">
        <f>IF($A27="",0,IF(Mitarbeiter!$G$25=FALSE,0,IF(AND(Mitarbeiter!$E$25&lt;&gt;"",HK$5+6&lt;Mitarbeiter!$E$25),0,IF(AND(Mitarbeiter!$F$25&lt;&gt;"",HK$5&gt;Mitarbeiter!$F$25),0,IF(Planung!HK27="",$C27,IF(ISNUMBER(Planung!HK27),Planung!HK27,IF(UPPER(Planung!HK27)="H",$C27/2,0)))))))</f>
        <v>0</v>
      </c>
      <c r="HL27" s="27">
        <f>IF($A27="",0,IF(Mitarbeiter!$G$25=FALSE,0,IF(AND(Mitarbeiter!$E$25&lt;&gt;"",HL$5+6&lt;Mitarbeiter!$E$25),0,IF(AND(Mitarbeiter!$F$25&lt;&gt;"",HL$5&gt;Mitarbeiter!$F$25),0,IF(Planung!HL27="",$C27,IF(ISNUMBER(Planung!HL27),Planung!HL27,IF(UPPER(Planung!HL27)="H",$C27/2,0)))))))</f>
        <v>0</v>
      </c>
      <c r="HM27" s="27">
        <f>IF($A27="",0,IF(Mitarbeiter!$G$25=FALSE,0,IF(AND(Mitarbeiter!$E$25&lt;&gt;"",HM$5+6&lt;Mitarbeiter!$E$25),0,IF(AND(Mitarbeiter!$F$25&lt;&gt;"",HM$5&gt;Mitarbeiter!$F$25),0,IF(Planung!HM27="",$C27,IF(ISNUMBER(Planung!HM27),Planung!HM27,IF(UPPER(Planung!HM27)="H",$C27/2,0)))))))</f>
        <v>0</v>
      </c>
      <c r="HN27" s="27">
        <f>IF($A27="",0,IF(Mitarbeiter!$G$25=FALSE,0,IF(AND(Mitarbeiter!$E$25&lt;&gt;"",HN$5+6&lt;Mitarbeiter!$E$25),0,IF(AND(Mitarbeiter!$F$25&lt;&gt;"",HN$5&gt;Mitarbeiter!$F$25),0,IF(Planung!HN27="",$C27,IF(ISNUMBER(Planung!HN27),Planung!HN27,IF(UPPER(Planung!HN27)="H",$C27/2,0)))))))</f>
        <v>0</v>
      </c>
      <c r="HO27" s="27">
        <f>IF($A27="",0,IF(Mitarbeiter!$G$25=FALSE,0,IF(AND(Mitarbeiter!$E$25&lt;&gt;"",HO$5+6&lt;Mitarbeiter!$E$25),0,IF(AND(Mitarbeiter!$F$25&lt;&gt;"",HO$5&gt;Mitarbeiter!$F$25),0,IF(Planung!HO27="",$C27,IF(ISNUMBER(Planung!HO27),Planung!HO27,IF(UPPER(Planung!HO27)="H",$C27/2,0)))))))</f>
        <v>0</v>
      </c>
      <c r="HP27" s="27">
        <f>IF($A27="",0,IF(Mitarbeiter!$G$25=FALSE,0,IF(AND(Mitarbeiter!$E$25&lt;&gt;"",HP$5+6&lt;Mitarbeiter!$E$25),0,IF(AND(Mitarbeiter!$F$25&lt;&gt;"",HP$5&gt;Mitarbeiter!$F$25),0,IF(Planung!HP27="",$C27,IF(ISNUMBER(Planung!HP27),Planung!HP27,IF(UPPER(Planung!HP27)="H",$C27/2,0)))))))</f>
        <v>0</v>
      </c>
      <c r="HQ27" s="27">
        <f>IF($A27="",0,IF(Mitarbeiter!$G$25=FALSE,0,IF(AND(Mitarbeiter!$E$25&lt;&gt;"",HQ$5+6&lt;Mitarbeiter!$E$25),0,IF(AND(Mitarbeiter!$F$25&lt;&gt;"",HQ$5&gt;Mitarbeiter!$F$25),0,IF(Planung!HQ27="",$C27,IF(ISNUMBER(Planung!HQ27),Planung!HQ27,IF(UPPER(Planung!HQ27)="H",$C27/2,0)))))))</f>
        <v>0</v>
      </c>
      <c r="HR27" s="27">
        <f>IF($A27="",0,IF(Mitarbeiter!$G$25=FALSE,0,IF(AND(Mitarbeiter!$E$25&lt;&gt;"",HR$5+6&lt;Mitarbeiter!$E$25),0,IF(AND(Mitarbeiter!$F$25&lt;&gt;"",HR$5&gt;Mitarbeiter!$F$25),0,IF(Planung!HR27="",$C27,IF(ISNUMBER(Planung!HR27),Planung!HR27,IF(UPPER(Planung!HR27)="H",$C27/2,0)))))))</f>
        <v>0</v>
      </c>
      <c r="HS27" s="27">
        <f>IF($A27="",0,IF(Mitarbeiter!$G$25=FALSE,0,IF(AND(Mitarbeiter!$E$25&lt;&gt;"",HS$5+6&lt;Mitarbeiter!$E$25),0,IF(AND(Mitarbeiter!$F$25&lt;&gt;"",HS$5&gt;Mitarbeiter!$F$25),0,IF(Planung!HS27="",$C27,IF(ISNUMBER(Planung!HS27),Planung!HS27,IF(UPPER(Planung!HS27)="H",$C27/2,0)))))))</f>
        <v>0</v>
      </c>
      <c r="HT27" s="27">
        <f>IF($A27="",0,IF(Mitarbeiter!$G$25=FALSE,0,IF(AND(Mitarbeiter!$E$25&lt;&gt;"",HT$5+6&lt;Mitarbeiter!$E$25),0,IF(AND(Mitarbeiter!$F$25&lt;&gt;"",HT$5&gt;Mitarbeiter!$F$25),0,IF(Planung!HT27="",$C27,IF(ISNUMBER(Planung!HT27),Planung!HT27,IF(UPPER(Planung!HT27)="H",$C27/2,0)))))))</f>
        <v>0</v>
      </c>
      <c r="HU27" s="27">
        <f>IF($A27="",0,IF(Mitarbeiter!$G$25=FALSE,0,IF(AND(Mitarbeiter!$E$25&lt;&gt;"",HU$5+6&lt;Mitarbeiter!$E$25),0,IF(AND(Mitarbeiter!$F$25&lt;&gt;"",HU$5&gt;Mitarbeiter!$F$25),0,IF(Planung!HU27="",$C27,IF(ISNUMBER(Planung!HU27),Planung!HU27,IF(UPPER(Planung!HU27)="H",$C27/2,0)))))))</f>
        <v>0</v>
      </c>
      <c r="HV27" s="27">
        <f>IF($A27="",0,IF(Mitarbeiter!$G$25=FALSE,0,IF(AND(Mitarbeiter!$E$25&lt;&gt;"",HV$5+6&lt;Mitarbeiter!$E$25),0,IF(AND(Mitarbeiter!$F$25&lt;&gt;"",HV$5&gt;Mitarbeiter!$F$25),0,IF(Planung!HV27="",$C27,IF(ISNUMBER(Planung!HV27),Planung!HV27,IF(UPPER(Planung!HV27)="H",$C27/2,0)))))))</f>
        <v>0</v>
      </c>
      <c r="HW27" s="27">
        <f>IF($A27="",0,IF(Mitarbeiter!$G$25=FALSE,0,IF(AND(Mitarbeiter!$E$25&lt;&gt;"",HW$5+6&lt;Mitarbeiter!$E$25),0,IF(AND(Mitarbeiter!$F$25&lt;&gt;"",HW$5&gt;Mitarbeiter!$F$25),0,IF(Planung!HW27="",$C27,IF(ISNUMBER(Planung!HW27),Planung!HW27,IF(UPPER(Planung!HW27)="H",$C27/2,0)))))))</f>
        <v>0</v>
      </c>
      <c r="HX27" s="27">
        <f>IF($A27="",0,IF(Mitarbeiter!$G$25=FALSE,0,IF(AND(Mitarbeiter!$E$25&lt;&gt;"",HX$5+6&lt;Mitarbeiter!$E$25),0,IF(AND(Mitarbeiter!$F$25&lt;&gt;"",HX$5&gt;Mitarbeiter!$F$25),0,IF(Planung!HX27="",$C27,IF(ISNUMBER(Planung!HX27),Planung!HX27,IF(UPPER(Planung!HX27)="H",$C27/2,0)))))))</f>
        <v>0</v>
      </c>
      <c r="HY27" s="27">
        <f>IF($A27="",0,IF(Mitarbeiter!$G$25=FALSE,0,IF(AND(Mitarbeiter!$E$25&lt;&gt;"",HY$5+6&lt;Mitarbeiter!$E$25),0,IF(AND(Mitarbeiter!$F$25&lt;&gt;"",HY$5&gt;Mitarbeiter!$F$25),0,IF(Planung!HY27="",$C27,IF(ISNUMBER(Planung!HY27),Planung!HY27,IF(UPPER(Planung!HY27)="H",$C27/2,0)))))))</f>
        <v>0</v>
      </c>
      <c r="HZ27" s="27">
        <f>IF($A27="",0,IF(Mitarbeiter!$G$25=FALSE,0,IF(AND(Mitarbeiter!$E$25&lt;&gt;"",HZ$5+6&lt;Mitarbeiter!$E$25),0,IF(AND(Mitarbeiter!$F$25&lt;&gt;"",HZ$5&gt;Mitarbeiter!$F$25),0,IF(Planung!HZ27="",$C27,IF(ISNUMBER(Planung!HZ27),Planung!HZ27,IF(UPPER(Planung!HZ27)="H",$C27/2,0)))))))</f>
        <v>0</v>
      </c>
      <c r="IA27" s="27">
        <f>IF($A27="",0,IF(Mitarbeiter!$G$25=FALSE,0,IF(AND(Mitarbeiter!$E$25&lt;&gt;"",IA$5+6&lt;Mitarbeiter!$E$25),0,IF(AND(Mitarbeiter!$F$25&lt;&gt;"",IA$5&gt;Mitarbeiter!$F$25),0,IF(Planung!IA27="",$C27,IF(ISNUMBER(Planung!IA27),Planung!IA27,IF(UPPER(Planung!IA27)="H",$C27/2,0)))))))</f>
        <v>0</v>
      </c>
    </row>
    <row r="28" spans="1:235" x14ac:dyDescent="0.25">
      <c r="A28" s="7" t="str">
        <f>Planung!A28</f>
        <v/>
      </c>
      <c r="B28" s="7" t="str">
        <f>Planung!B28</f>
        <v/>
      </c>
      <c r="C28" s="27">
        <f>N(Mitarbeiter!$D$26)</f>
        <v>0</v>
      </c>
      <c r="D28" s="27">
        <f>IF($A28="",0,IF(Mitarbeiter!$G$26=FALSE,0,IF(AND(Mitarbeiter!$E$26&lt;&gt;"",D$5+6&lt;Mitarbeiter!$E$26),0,IF(AND(Mitarbeiter!$F$26&lt;&gt;"",D$5&gt;Mitarbeiter!$F$26),0,IF(Planung!D28="",$C28,IF(ISNUMBER(Planung!D28),Planung!D28,IF(UPPER(Planung!D28)="H",$C28/2,0)))))))</f>
        <v>0</v>
      </c>
      <c r="E28" s="27">
        <f>IF($A28="",0,IF(Mitarbeiter!$G$26=FALSE,0,IF(AND(Mitarbeiter!$E$26&lt;&gt;"",E$5+6&lt;Mitarbeiter!$E$26),0,IF(AND(Mitarbeiter!$F$26&lt;&gt;"",E$5&gt;Mitarbeiter!$F$26),0,IF(Planung!E28="",$C28,IF(ISNUMBER(Planung!E28),Planung!E28,IF(UPPER(Planung!E28)="H",$C28/2,0)))))))</f>
        <v>0</v>
      </c>
      <c r="F28" s="27">
        <f>IF($A28="",0,IF(Mitarbeiter!$G$26=FALSE,0,IF(AND(Mitarbeiter!$E$26&lt;&gt;"",F$5+6&lt;Mitarbeiter!$E$26),0,IF(AND(Mitarbeiter!$F$26&lt;&gt;"",F$5&gt;Mitarbeiter!$F$26),0,IF(Planung!F28="",$C28,IF(ISNUMBER(Planung!F28),Planung!F28,IF(UPPER(Planung!F28)="H",$C28/2,0)))))))</f>
        <v>0</v>
      </c>
      <c r="G28" s="27">
        <f>IF($A28="",0,IF(Mitarbeiter!$G$26=FALSE,0,IF(AND(Mitarbeiter!$E$26&lt;&gt;"",G$5+6&lt;Mitarbeiter!$E$26),0,IF(AND(Mitarbeiter!$F$26&lt;&gt;"",G$5&gt;Mitarbeiter!$F$26),0,IF(Planung!G28="",$C28,IF(ISNUMBER(Planung!G28),Planung!G28,IF(UPPER(Planung!G28)="H",$C28/2,0)))))))</f>
        <v>0</v>
      </c>
      <c r="H28" s="27">
        <f>IF($A28="",0,IF(Mitarbeiter!$G$26=FALSE,0,IF(AND(Mitarbeiter!$E$26&lt;&gt;"",H$5+6&lt;Mitarbeiter!$E$26),0,IF(AND(Mitarbeiter!$F$26&lt;&gt;"",H$5&gt;Mitarbeiter!$F$26),0,IF(Planung!H28="",$C28,IF(ISNUMBER(Planung!H28),Planung!H28,IF(UPPER(Planung!H28)="H",$C28/2,0)))))))</f>
        <v>0</v>
      </c>
      <c r="I28" s="27">
        <f>IF($A28="",0,IF(Mitarbeiter!$G$26=FALSE,0,IF(AND(Mitarbeiter!$E$26&lt;&gt;"",I$5+6&lt;Mitarbeiter!$E$26),0,IF(AND(Mitarbeiter!$F$26&lt;&gt;"",I$5&gt;Mitarbeiter!$F$26),0,IF(Planung!I28="",$C28,IF(ISNUMBER(Planung!I28),Planung!I28,IF(UPPER(Planung!I28)="H",$C28/2,0)))))))</f>
        <v>0</v>
      </c>
      <c r="J28" s="27">
        <f>IF($A28="",0,IF(Mitarbeiter!$G$26=FALSE,0,IF(AND(Mitarbeiter!$E$26&lt;&gt;"",J$5+6&lt;Mitarbeiter!$E$26),0,IF(AND(Mitarbeiter!$F$26&lt;&gt;"",J$5&gt;Mitarbeiter!$F$26),0,IF(Planung!J28="",$C28,IF(ISNUMBER(Planung!J28),Planung!J28,IF(UPPER(Planung!J28)="H",$C28/2,0)))))))</f>
        <v>0</v>
      </c>
      <c r="K28" s="27">
        <f>IF($A28="",0,IF(Mitarbeiter!$G$26=FALSE,0,IF(AND(Mitarbeiter!$E$26&lt;&gt;"",K$5+6&lt;Mitarbeiter!$E$26),0,IF(AND(Mitarbeiter!$F$26&lt;&gt;"",K$5&gt;Mitarbeiter!$F$26),0,IF(Planung!K28="",$C28,IF(ISNUMBER(Planung!K28),Planung!K28,IF(UPPER(Planung!K28)="H",$C28/2,0)))))))</f>
        <v>0</v>
      </c>
      <c r="L28" s="27">
        <f>IF($A28="",0,IF(Mitarbeiter!$G$26=FALSE,0,IF(AND(Mitarbeiter!$E$26&lt;&gt;"",L$5+6&lt;Mitarbeiter!$E$26),0,IF(AND(Mitarbeiter!$F$26&lt;&gt;"",L$5&gt;Mitarbeiter!$F$26),0,IF(Planung!L28="",$C28,IF(ISNUMBER(Planung!L28),Planung!L28,IF(UPPER(Planung!L28)="H",$C28/2,0)))))))</f>
        <v>0</v>
      </c>
      <c r="M28" s="27">
        <f>IF($A28="",0,IF(Mitarbeiter!$G$26=FALSE,0,IF(AND(Mitarbeiter!$E$26&lt;&gt;"",M$5+6&lt;Mitarbeiter!$E$26),0,IF(AND(Mitarbeiter!$F$26&lt;&gt;"",M$5&gt;Mitarbeiter!$F$26),0,IF(Planung!M28="",$C28,IF(ISNUMBER(Planung!M28),Planung!M28,IF(UPPER(Planung!M28)="H",$C28/2,0)))))))</f>
        <v>0</v>
      </c>
      <c r="N28" s="27">
        <f>IF($A28="",0,IF(Mitarbeiter!$G$26=FALSE,0,IF(AND(Mitarbeiter!$E$26&lt;&gt;"",N$5+6&lt;Mitarbeiter!$E$26),0,IF(AND(Mitarbeiter!$F$26&lt;&gt;"",N$5&gt;Mitarbeiter!$F$26),0,IF(Planung!N28="",$C28,IF(ISNUMBER(Planung!N28),Planung!N28,IF(UPPER(Planung!N28)="H",$C28/2,0)))))))</f>
        <v>0</v>
      </c>
      <c r="O28" s="27">
        <f>IF($A28="",0,IF(Mitarbeiter!$G$26=FALSE,0,IF(AND(Mitarbeiter!$E$26&lt;&gt;"",O$5+6&lt;Mitarbeiter!$E$26),0,IF(AND(Mitarbeiter!$F$26&lt;&gt;"",O$5&gt;Mitarbeiter!$F$26),0,IF(Planung!O28="",$C28,IF(ISNUMBER(Planung!O28),Planung!O28,IF(UPPER(Planung!O28)="H",$C28/2,0)))))))</f>
        <v>0</v>
      </c>
      <c r="P28" s="27">
        <f>IF($A28="",0,IF(Mitarbeiter!$G$26=FALSE,0,IF(AND(Mitarbeiter!$E$26&lt;&gt;"",P$5+6&lt;Mitarbeiter!$E$26),0,IF(AND(Mitarbeiter!$F$26&lt;&gt;"",P$5&gt;Mitarbeiter!$F$26),0,IF(Planung!P28="",$C28,IF(ISNUMBER(Planung!P28),Planung!P28,IF(UPPER(Planung!P28)="H",$C28/2,0)))))))</f>
        <v>0</v>
      </c>
      <c r="Q28" s="27">
        <f>IF($A28="",0,IF(Mitarbeiter!$G$26=FALSE,0,IF(AND(Mitarbeiter!$E$26&lt;&gt;"",Q$5+6&lt;Mitarbeiter!$E$26),0,IF(AND(Mitarbeiter!$F$26&lt;&gt;"",Q$5&gt;Mitarbeiter!$F$26),0,IF(Planung!Q28="",$C28,IF(ISNUMBER(Planung!Q28),Planung!Q28,IF(UPPER(Planung!Q28)="H",$C28/2,0)))))))</f>
        <v>0</v>
      </c>
      <c r="R28" s="27">
        <f>IF($A28="",0,IF(Mitarbeiter!$G$26=FALSE,0,IF(AND(Mitarbeiter!$E$26&lt;&gt;"",R$5+6&lt;Mitarbeiter!$E$26),0,IF(AND(Mitarbeiter!$F$26&lt;&gt;"",R$5&gt;Mitarbeiter!$F$26),0,IF(Planung!R28="",$C28,IF(ISNUMBER(Planung!R28),Planung!R28,IF(UPPER(Planung!R28)="H",$C28/2,0)))))))</f>
        <v>0</v>
      </c>
      <c r="S28" s="27">
        <f>IF($A28="",0,IF(Mitarbeiter!$G$26=FALSE,0,IF(AND(Mitarbeiter!$E$26&lt;&gt;"",S$5+6&lt;Mitarbeiter!$E$26),0,IF(AND(Mitarbeiter!$F$26&lt;&gt;"",S$5&gt;Mitarbeiter!$F$26),0,IF(Planung!S28="",$C28,IF(ISNUMBER(Planung!S28),Planung!S28,IF(UPPER(Planung!S28)="H",$C28/2,0)))))))</f>
        <v>0</v>
      </c>
      <c r="T28" s="27">
        <f>IF($A28="",0,IF(Mitarbeiter!$G$26=FALSE,0,IF(AND(Mitarbeiter!$E$26&lt;&gt;"",T$5+6&lt;Mitarbeiter!$E$26),0,IF(AND(Mitarbeiter!$F$26&lt;&gt;"",T$5&gt;Mitarbeiter!$F$26),0,IF(Planung!T28="",$C28,IF(ISNUMBER(Planung!T28),Planung!T28,IF(UPPER(Planung!T28)="H",$C28/2,0)))))))</f>
        <v>0</v>
      </c>
      <c r="U28" s="27">
        <f>IF($A28="",0,IF(Mitarbeiter!$G$26=FALSE,0,IF(AND(Mitarbeiter!$E$26&lt;&gt;"",U$5+6&lt;Mitarbeiter!$E$26),0,IF(AND(Mitarbeiter!$F$26&lt;&gt;"",U$5&gt;Mitarbeiter!$F$26),0,IF(Planung!U28="",$C28,IF(ISNUMBER(Planung!U28),Planung!U28,IF(UPPER(Planung!U28)="H",$C28/2,0)))))))</f>
        <v>0</v>
      </c>
      <c r="V28" s="27">
        <f>IF($A28="",0,IF(Mitarbeiter!$G$26=FALSE,0,IF(AND(Mitarbeiter!$E$26&lt;&gt;"",V$5+6&lt;Mitarbeiter!$E$26),0,IF(AND(Mitarbeiter!$F$26&lt;&gt;"",V$5&gt;Mitarbeiter!$F$26),0,IF(Planung!V28="",$C28,IF(ISNUMBER(Planung!V28),Planung!V28,IF(UPPER(Planung!V28)="H",$C28/2,0)))))))</f>
        <v>0</v>
      </c>
      <c r="W28" s="27">
        <f>IF($A28="",0,IF(Mitarbeiter!$G$26=FALSE,0,IF(AND(Mitarbeiter!$E$26&lt;&gt;"",W$5+6&lt;Mitarbeiter!$E$26),0,IF(AND(Mitarbeiter!$F$26&lt;&gt;"",W$5&gt;Mitarbeiter!$F$26),0,IF(Planung!W28="",$C28,IF(ISNUMBER(Planung!W28),Planung!W28,IF(UPPER(Planung!W28)="H",$C28/2,0)))))))</f>
        <v>0</v>
      </c>
      <c r="X28" s="27">
        <f>IF($A28="",0,IF(Mitarbeiter!$G$26=FALSE,0,IF(AND(Mitarbeiter!$E$26&lt;&gt;"",X$5+6&lt;Mitarbeiter!$E$26),0,IF(AND(Mitarbeiter!$F$26&lt;&gt;"",X$5&gt;Mitarbeiter!$F$26),0,IF(Planung!X28="",$C28,IF(ISNUMBER(Planung!X28),Planung!X28,IF(UPPER(Planung!X28)="H",$C28/2,0)))))))</f>
        <v>0</v>
      </c>
      <c r="Y28" s="27">
        <f>IF($A28="",0,IF(Mitarbeiter!$G$26=FALSE,0,IF(AND(Mitarbeiter!$E$26&lt;&gt;"",Y$5+6&lt;Mitarbeiter!$E$26),0,IF(AND(Mitarbeiter!$F$26&lt;&gt;"",Y$5&gt;Mitarbeiter!$F$26),0,IF(Planung!Y28="",$C28,IF(ISNUMBER(Planung!Y28),Planung!Y28,IF(UPPER(Planung!Y28)="H",$C28/2,0)))))))</f>
        <v>0</v>
      </c>
      <c r="Z28" s="27">
        <f>IF($A28="",0,IF(Mitarbeiter!$G$26=FALSE,0,IF(AND(Mitarbeiter!$E$26&lt;&gt;"",Z$5+6&lt;Mitarbeiter!$E$26),0,IF(AND(Mitarbeiter!$F$26&lt;&gt;"",Z$5&gt;Mitarbeiter!$F$26),0,IF(Planung!Z28="",$C28,IF(ISNUMBER(Planung!Z28),Planung!Z28,IF(UPPER(Planung!Z28)="H",$C28/2,0)))))))</f>
        <v>0</v>
      </c>
      <c r="AA28" s="27">
        <f>IF($A28="",0,IF(Mitarbeiter!$G$26=FALSE,0,IF(AND(Mitarbeiter!$E$26&lt;&gt;"",AA$5+6&lt;Mitarbeiter!$E$26),0,IF(AND(Mitarbeiter!$F$26&lt;&gt;"",AA$5&gt;Mitarbeiter!$F$26),0,IF(Planung!AA28="",$C28,IF(ISNUMBER(Planung!AA28),Planung!AA28,IF(UPPER(Planung!AA28)="H",$C28/2,0)))))))</f>
        <v>0</v>
      </c>
      <c r="AB28" s="27">
        <f>IF($A28="",0,IF(Mitarbeiter!$G$26=FALSE,0,IF(AND(Mitarbeiter!$E$26&lt;&gt;"",AB$5+6&lt;Mitarbeiter!$E$26),0,IF(AND(Mitarbeiter!$F$26&lt;&gt;"",AB$5&gt;Mitarbeiter!$F$26),0,IF(Planung!AB28="",$C28,IF(ISNUMBER(Planung!AB28),Planung!AB28,IF(UPPER(Planung!AB28)="H",$C28/2,0)))))))</f>
        <v>0</v>
      </c>
      <c r="AC28" s="27">
        <f>IF($A28="",0,IF(Mitarbeiter!$G$26=FALSE,0,IF(AND(Mitarbeiter!$E$26&lt;&gt;"",AC$5+6&lt;Mitarbeiter!$E$26),0,IF(AND(Mitarbeiter!$F$26&lt;&gt;"",AC$5&gt;Mitarbeiter!$F$26),0,IF(Planung!AC28="",$C28,IF(ISNUMBER(Planung!AC28),Planung!AC28,IF(UPPER(Planung!AC28)="H",$C28/2,0)))))))</f>
        <v>0</v>
      </c>
      <c r="AD28" s="27">
        <f>IF($A28="",0,IF(Mitarbeiter!$G$26=FALSE,0,IF(AND(Mitarbeiter!$E$26&lt;&gt;"",AD$5+6&lt;Mitarbeiter!$E$26),0,IF(AND(Mitarbeiter!$F$26&lt;&gt;"",AD$5&gt;Mitarbeiter!$F$26),0,IF(Planung!AD28="",$C28,IF(ISNUMBER(Planung!AD28),Planung!AD28,IF(UPPER(Planung!AD28)="H",$C28/2,0)))))))</f>
        <v>0</v>
      </c>
      <c r="AE28" s="27">
        <f>IF($A28="",0,IF(Mitarbeiter!$G$26=FALSE,0,IF(AND(Mitarbeiter!$E$26&lt;&gt;"",AE$5+6&lt;Mitarbeiter!$E$26),0,IF(AND(Mitarbeiter!$F$26&lt;&gt;"",AE$5&gt;Mitarbeiter!$F$26),0,IF(Planung!AE28="",$C28,IF(ISNUMBER(Planung!AE28),Planung!AE28,IF(UPPER(Planung!AE28)="H",$C28/2,0)))))))</f>
        <v>0</v>
      </c>
      <c r="AF28" s="27">
        <f>IF($A28="",0,IF(Mitarbeiter!$G$26=FALSE,0,IF(AND(Mitarbeiter!$E$26&lt;&gt;"",AF$5+6&lt;Mitarbeiter!$E$26),0,IF(AND(Mitarbeiter!$F$26&lt;&gt;"",AF$5&gt;Mitarbeiter!$F$26),0,IF(Planung!AF28="",$C28,IF(ISNUMBER(Planung!AF28),Planung!AF28,IF(UPPER(Planung!AF28)="H",$C28/2,0)))))))</f>
        <v>0</v>
      </c>
      <c r="AG28" s="27">
        <f>IF($A28="",0,IF(Mitarbeiter!$G$26=FALSE,0,IF(AND(Mitarbeiter!$E$26&lt;&gt;"",AG$5+6&lt;Mitarbeiter!$E$26),0,IF(AND(Mitarbeiter!$F$26&lt;&gt;"",AG$5&gt;Mitarbeiter!$F$26),0,IF(Planung!AG28="",$C28,IF(ISNUMBER(Planung!AG28),Planung!AG28,IF(UPPER(Planung!AG28)="H",$C28/2,0)))))))</f>
        <v>0</v>
      </c>
      <c r="AH28" s="27">
        <f>IF($A28="",0,IF(Mitarbeiter!$G$26=FALSE,0,IF(AND(Mitarbeiter!$E$26&lt;&gt;"",AH$5+6&lt;Mitarbeiter!$E$26),0,IF(AND(Mitarbeiter!$F$26&lt;&gt;"",AH$5&gt;Mitarbeiter!$F$26),0,IF(Planung!AH28="",$C28,IF(ISNUMBER(Planung!AH28),Planung!AH28,IF(UPPER(Planung!AH28)="H",$C28/2,0)))))))</f>
        <v>0</v>
      </c>
      <c r="AI28" s="27">
        <f>IF($A28="",0,IF(Mitarbeiter!$G$26=FALSE,0,IF(AND(Mitarbeiter!$E$26&lt;&gt;"",AI$5+6&lt;Mitarbeiter!$E$26),0,IF(AND(Mitarbeiter!$F$26&lt;&gt;"",AI$5&gt;Mitarbeiter!$F$26),0,IF(Planung!AI28="",$C28,IF(ISNUMBER(Planung!AI28),Planung!AI28,IF(UPPER(Planung!AI28)="H",$C28/2,0)))))))</f>
        <v>0</v>
      </c>
      <c r="AJ28" s="27">
        <f>IF($A28="",0,IF(Mitarbeiter!$G$26=FALSE,0,IF(AND(Mitarbeiter!$E$26&lt;&gt;"",AJ$5+6&lt;Mitarbeiter!$E$26),0,IF(AND(Mitarbeiter!$F$26&lt;&gt;"",AJ$5&gt;Mitarbeiter!$F$26),0,IF(Planung!AJ28="",$C28,IF(ISNUMBER(Planung!AJ28),Planung!AJ28,IF(UPPER(Planung!AJ28)="H",$C28/2,0)))))))</f>
        <v>0</v>
      </c>
      <c r="AK28" s="27">
        <f>IF($A28="",0,IF(Mitarbeiter!$G$26=FALSE,0,IF(AND(Mitarbeiter!$E$26&lt;&gt;"",AK$5+6&lt;Mitarbeiter!$E$26),0,IF(AND(Mitarbeiter!$F$26&lt;&gt;"",AK$5&gt;Mitarbeiter!$F$26),0,IF(Planung!AK28="",$C28,IF(ISNUMBER(Planung!AK28),Planung!AK28,IF(UPPER(Planung!AK28)="H",$C28/2,0)))))))</f>
        <v>0</v>
      </c>
      <c r="AL28" s="27">
        <f>IF($A28="",0,IF(Mitarbeiter!$G$26=FALSE,0,IF(AND(Mitarbeiter!$E$26&lt;&gt;"",AL$5+6&lt;Mitarbeiter!$E$26),0,IF(AND(Mitarbeiter!$F$26&lt;&gt;"",AL$5&gt;Mitarbeiter!$F$26),0,IF(Planung!AL28="",$C28,IF(ISNUMBER(Planung!AL28),Planung!AL28,IF(UPPER(Planung!AL28)="H",$C28/2,0)))))))</f>
        <v>0</v>
      </c>
      <c r="AM28" s="27">
        <f>IF($A28="",0,IF(Mitarbeiter!$G$26=FALSE,0,IF(AND(Mitarbeiter!$E$26&lt;&gt;"",AM$5+6&lt;Mitarbeiter!$E$26),0,IF(AND(Mitarbeiter!$F$26&lt;&gt;"",AM$5&gt;Mitarbeiter!$F$26),0,IF(Planung!AM28="",$C28,IF(ISNUMBER(Planung!AM28),Planung!AM28,IF(UPPER(Planung!AM28)="H",$C28/2,0)))))))</f>
        <v>0</v>
      </c>
      <c r="AN28" s="27">
        <f>IF($A28="",0,IF(Mitarbeiter!$G$26=FALSE,0,IF(AND(Mitarbeiter!$E$26&lt;&gt;"",AN$5+6&lt;Mitarbeiter!$E$26),0,IF(AND(Mitarbeiter!$F$26&lt;&gt;"",AN$5&gt;Mitarbeiter!$F$26),0,IF(Planung!AN28="",$C28,IF(ISNUMBER(Planung!AN28),Planung!AN28,IF(UPPER(Planung!AN28)="H",$C28/2,0)))))))</f>
        <v>0</v>
      </c>
      <c r="AO28" s="27">
        <f>IF($A28="",0,IF(Mitarbeiter!$G$26=FALSE,0,IF(AND(Mitarbeiter!$E$26&lt;&gt;"",AO$5+6&lt;Mitarbeiter!$E$26),0,IF(AND(Mitarbeiter!$F$26&lt;&gt;"",AO$5&gt;Mitarbeiter!$F$26),0,IF(Planung!AO28="",$C28,IF(ISNUMBER(Planung!AO28),Planung!AO28,IF(UPPER(Planung!AO28)="H",$C28/2,0)))))))</f>
        <v>0</v>
      </c>
      <c r="AP28" s="27">
        <f>IF($A28="",0,IF(Mitarbeiter!$G$26=FALSE,0,IF(AND(Mitarbeiter!$E$26&lt;&gt;"",AP$5+6&lt;Mitarbeiter!$E$26),0,IF(AND(Mitarbeiter!$F$26&lt;&gt;"",AP$5&gt;Mitarbeiter!$F$26),0,IF(Planung!AP28="",$C28,IF(ISNUMBER(Planung!AP28),Planung!AP28,IF(UPPER(Planung!AP28)="H",$C28/2,0)))))))</f>
        <v>0</v>
      </c>
      <c r="AQ28" s="27">
        <f>IF($A28="",0,IF(Mitarbeiter!$G$26=FALSE,0,IF(AND(Mitarbeiter!$E$26&lt;&gt;"",AQ$5+6&lt;Mitarbeiter!$E$26),0,IF(AND(Mitarbeiter!$F$26&lt;&gt;"",AQ$5&gt;Mitarbeiter!$F$26),0,IF(Planung!AQ28="",$C28,IF(ISNUMBER(Planung!AQ28),Planung!AQ28,IF(UPPER(Planung!AQ28)="H",$C28/2,0)))))))</f>
        <v>0</v>
      </c>
      <c r="AR28" s="27">
        <f>IF($A28="",0,IF(Mitarbeiter!$G$26=FALSE,0,IF(AND(Mitarbeiter!$E$26&lt;&gt;"",AR$5+6&lt;Mitarbeiter!$E$26),0,IF(AND(Mitarbeiter!$F$26&lt;&gt;"",AR$5&gt;Mitarbeiter!$F$26),0,IF(Planung!AR28="",$C28,IF(ISNUMBER(Planung!AR28),Planung!AR28,IF(UPPER(Planung!AR28)="H",$C28/2,0)))))))</f>
        <v>0</v>
      </c>
      <c r="AS28" s="27">
        <f>IF($A28="",0,IF(Mitarbeiter!$G$26=FALSE,0,IF(AND(Mitarbeiter!$E$26&lt;&gt;"",AS$5+6&lt;Mitarbeiter!$E$26),0,IF(AND(Mitarbeiter!$F$26&lt;&gt;"",AS$5&gt;Mitarbeiter!$F$26),0,IF(Planung!AS28="",$C28,IF(ISNUMBER(Planung!AS28),Planung!AS28,IF(UPPER(Planung!AS28)="H",$C28/2,0)))))))</f>
        <v>0</v>
      </c>
      <c r="AT28" s="27">
        <f>IF($A28="",0,IF(Mitarbeiter!$G$26=FALSE,0,IF(AND(Mitarbeiter!$E$26&lt;&gt;"",AT$5+6&lt;Mitarbeiter!$E$26),0,IF(AND(Mitarbeiter!$F$26&lt;&gt;"",AT$5&gt;Mitarbeiter!$F$26),0,IF(Planung!AT28="",$C28,IF(ISNUMBER(Planung!AT28),Planung!AT28,IF(UPPER(Planung!AT28)="H",$C28/2,0)))))))</f>
        <v>0</v>
      </c>
      <c r="AU28" s="27">
        <f>IF($A28="",0,IF(Mitarbeiter!$G$26=FALSE,0,IF(AND(Mitarbeiter!$E$26&lt;&gt;"",AU$5+6&lt;Mitarbeiter!$E$26),0,IF(AND(Mitarbeiter!$F$26&lt;&gt;"",AU$5&gt;Mitarbeiter!$F$26),0,IF(Planung!AU28="",$C28,IF(ISNUMBER(Planung!AU28),Planung!AU28,IF(UPPER(Planung!AU28)="H",$C28/2,0)))))))</f>
        <v>0</v>
      </c>
      <c r="AV28" s="27">
        <f>IF($A28="",0,IF(Mitarbeiter!$G$26=FALSE,0,IF(AND(Mitarbeiter!$E$26&lt;&gt;"",AV$5+6&lt;Mitarbeiter!$E$26),0,IF(AND(Mitarbeiter!$F$26&lt;&gt;"",AV$5&gt;Mitarbeiter!$F$26),0,IF(Planung!AV28="",$C28,IF(ISNUMBER(Planung!AV28),Planung!AV28,IF(UPPER(Planung!AV28)="H",$C28/2,0)))))))</f>
        <v>0</v>
      </c>
      <c r="AW28" s="27">
        <f>IF($A28="",0,IF(Mitarbeiter!$G$26=FALSE,0,IF(AND(Mitarbeiter!$E$26&lt;&gt;"",AW$5+6&lt;Mitarbeiter!$E$26),0,IF(AND(Mitarbeiter!$F$26&lt;&gt;"",AW$5&gt;Mitarbeiter!$F$26),0,IF(Planung!AW28="",$C28,IF(ISNUMBER(Planung!AW28),Planung!AW28,IF(UPPER(Planung!AW28)="H",$C28/2,0)))))))</f>
        <v>0</v>
      </c>
      <c r="AX28" s="27">
        <f>IF($A28="",0,IF(Mitarbeiter!$G$26=FALSE,0,IF(AND(Mitarbeiter!$E$26&lt;&gt;"",AX$5+6&lt;Mitarbeiter!$E$26),0,IF(AND(Mitarbeiter!$F$26&lt;&gt;"",AX$5&gt;Mitarbeiter!$F$26),0,IF(Planung!AX28="",$C28,IF(ISNUMBER(Planung!AX28),Planung!AX28,IF(UPPER(Planung!AX28)="H",$C28/2,0)))))))</f>
        <v>0</v>
      </c>
      <c r="AY28" s="27">
        <f>IF($A28="",0,IF(Mitarbeiter!$G$26=FALSE,0,IF(AND(Mitarbeiter!$E$26&lt;&gt;"",AY$5+6&lt;Mitarbeiter!$E$26),0,IF(AND(Mitarbeiter!$F$26&lt;&gt;"",AY$5&gt;Mitarbeiter!$F$26),0,IF(Planung!AY28="",$C28,IF(ISNUMBER(Planung!AY28),Planung!AY28,IF(UPPER(Planung!AY28)="H",$C28/2,0)))))))</f>
        <v>0</v>
      </c>
      <c r="AZ28" s="27">
        <f>IF($A28="",0,IF(Mitarbeiter!$G$26=FALSE,0,IF(AND(Mitarbeiter!$E$26&lt;&gt;"",AZ$5+6&lt;Mitarbeiter!$E$26),0,IF(AND(Mitarbeiter!$F$26&lt;&gt;"",AZ$5&gt;Mitarbeiter!$F$26),0,IF(Planung!AZ28="",$C28,IF(ISNUMBER(Planung!AZ28),Planung!AZ28,IF(UPPER(Planung!AZ28)="H",$C28/2,0)))))))</f>
        <v>0</v>
      </c>
      <c r="BA28" s="27">
        <f>IF($A28="",0,IF(Mitarbeiter!$G$26=FALSE,0,IF(AND(Mitarbeiter!$E$26&lt;&gt;"",BA$5+6&lt;Mitarbeiter!$E$26),0,IF(AND(Mitarbeiter!$F$26&lt;&gt;"",BA$5&gt;Mitarbeiter!$F$26),0,IF(Planung!BA28="",$C28,IF(ISNUMBER(Planung!BA28),Planung!BA28,IF(UPPER(Planung!BA28)="H",$C28/2,0)))))))</f>
        <v>0</v>
      </c>
      <c r="BB28" s="27">
        <f>IF($A28="",0,IF(Mitarbeiter!$G$26=FALSE,0,IF(AND(Mitarbeiter!$E$26&lt;&gt;"",BB$5+6&lt;Mitarbeiter!$E$26),0,IF(AND(Mitarbeiter!$F$26&lt;&gt;"",BB$5&gt;Mitarbeiter!$F$26),0,IF(Planung!BB28="",$C28,IF(ISNUMBER(Planung!BB28),Planung!BB28,IF(UPPER(Planung!BB28)="H",$C28/2,0)))))))</f>
        <v>0</v>
      </c>
      <c r="BC28" s="27">
        <f>IF($A28="",0,IF(Mitarbeiter!$G$26=FALSE,0,IF(AND(Mitarbeiter!$E$26&lt;&gt;"",BC$5+6&lt;Mitarbeiter!$E$26),0,IF(AND(Mitarbeiter!$F$26&lt;&gt;"",BC$5&gt;Mitarbeiter!$F$26),0,IF(Planung!BC28="",$C28,IF(ISNUMBER(Planung!BC28),Planung!BC28,IF(UPPER(Planung!BC28)="H",$C28/2,0)))))))</f>
        <v>0</v>
      </c>
      <c r="BD28" s="27">
        <f>IF($A28="",0,IF(Mitarbeiter!$G$26=FALSE,0,IF(AND(Mitarbeiter!$E$26&lt;&gt;"",BD$5+6&lt;Mitarbeiter!$E$26),0,IF(AND(Mitarbeiter!$F$26&lt;&gt;"",BD$5&gt;Mitarbeiter!$F$26),0,IF(Planung!BD28="",$C28,IF(ISNUMBER(Planung!BD28),Planung!BD28,IF(UPPER(Planung!BD28)="H",$C28/2,0)))))))</f>
        <v>0</v>
      </c>
      <c r="BE28" s="27">
        <f>IF($A28="",0,IF(Mitarbeiter!$G$26=FALSE,0,IF(AND(Mitarbeiter!$E$26&lt;&gt;"",BE$5+6&lt;Mitarbeiter!$E$26),0,IF(AND(Mitarbeiter!$F$26&lt;&gt;"",BE$5&gt;Mitarbeiter!$F$26),0,IF(Planung!BE28="",$C28,IF(ISNUMBER(Planung!BE28),Planung!BE28,IF(UPPER(Planung!BE28)="H",$C28/2,0)))))))</f>
        <v>0</v>
      </c>
      <c r="BF28" s="27">
        <f>IF($A28="",0,IF(Mitarbeiter!$G$26=FALSE,0,IF(AND(Mitarbeiter!$E$26&lt;&gt;"",BF$5+6&lt;Mitarbeiter!$E$26),0,IF(AND(Mitarbeiter!$F$26&lt;&gt;"",BF$5&gt;Mitarbeiter!$F$26),0,IF(Planung!BF28="",$C28,IF(ISNUMBER(Planung!BF28),Planung!BF28,IF(UPPER(Planung!BF28)="H",$C28/2,0)))))))</f>
        <v>0</v>
      </c>
      <c r="BG28" s="27">
        <f>IF($A28="",0,IF(Mitarbeiter!$G$26=FALSE,0,IF(AND(Mitarbeiter!$E$26&lt;&gt;"",BG$5+6&lt;Mitarbeiter!$E$26),0,IF(AND(Mitarbeiter!$F$26&lt;&gt;"",BG$5&gt;Mitarbeiter!$F$26),0,IF(Planung!BG28="",$C28,IF(ISNUMBER(Planung!BG28),Planung!BG28,IF(UPPER(Planung!BG28)="H",$C28/2,0)))))))</f>
        <v>0</v>
      </c>
      <c r="BH28" s="27">
        <f>IF($A28="",0,IF(Mitarbeiter!$G$26=FALSE,0,IF(AND(Mitarbeiter!$E$26&lt;&gt;"",BH$5+6&lt;Mitarbeiter!$E$26),0,IF(AND(Mitarbeiter!$F$26&lt;&gt;"",BH$5&gt;Mitarbeiter!$F$26),0,IF(Planung!BH28="",$C28,IF(ISNUMBER(Planung!BH28),Planung!BH28,IF(UPPER(Planung!BH28)="H",$C28/2,0)))))))</f>
        <v>0</v>
      </c>
      <c r="BI28" s="27">
        <f>IF($A28="",0,IF(Mitarbeiter!$G$26=FALSE,0,IF(AND(Mitarbeiter!$E$26&lt;&gt;"",BI$5+6&lt;Mitarbeiter!$E$26),0,IF(AND(Mitarbeiter!$F$26&lt;&gt;"",BI$5&gt;Mitarbeiter!$F$26),0,IF(Planung!BI28="",$C28,IF(ISNUMBER(Planung!BI28),Planung!BI28,IF(UPPER(Planung!BI28)="H",$C28/2,0)))))))</f>
        <v>0</v>
      </c>
      <c r="BJ28" s="27">
        <f>IF($A28="",0,IF(Mitarbeiter!$G$26=FALSE,0,IF(AND(Mitarbeiter!$E$26&lt;&gt;"",BJ$5+6&lt;Mitarbeiter!$E$26),0,IF(AND(Mitarbeiter!$F$26&lt;&gt;"",BJ$5&gt;Mitarbeiter!$F$26),0,IF(Planung!BJ28="",$C28,IF(ISNUMBER(Planung!BJ28),Planung!BJ28,IF(UPPER(Planung!BJ28)="H",$C28/2,0)))))))</f>
        <v>0</v>
      </c>
      <c r="BK28" s="27">
        <f>IF($A28="",0,IF(Mitarbeiter!$G$26=FALSE,0,IF(AND(Mitarbeiter!$E$26&lt;&gt;"",BK$5+6&lt;Mitarbeiter!$E$26),0,IF(AND(Mitarbeiter!$F$26&lt;&gt;"",BK$5&gt;Mitarbeiter!$F$26),0,IF(Planung!BK28="",$C28,IF(ISNUMBER(Planung!BK28),Planung!BK28,IF(UPPER(Planung!BK28)="H",$C28/2,0)))))))</f>
        <v>0</v>
      </c>
      <c r="BL28" s="27">
        <f>IF($A28="",0,IF(Mitarbeiter!$G$26=FALSE,0,IF(AND(Mitarbeiter!$E$26&lt;&gt;"",BL$5+6&lt;Mitarbeiter!$E$26),0,IF(AND(Mitarbeiter!$F$26&lt;&gt;"",BL$5&gt;Mitarbeiter!$F$26),0,IF(Planung!BL28="",$C28,IF(ISNUMBER(Planung!BL28),Planung!BL28,IF(UPPER(Planung!BL28)="H",$C28/2,0)))))))</f>
        <v>0</v>
      </c>
      <c r="BM28" s="27">
        <f>IF($A28="",0,IF(Mitarbeiter!$G$26=FALSE,0,IF(AND(Mitarbeiter!$E$26&lt;&gt;"",BM$5+6&lt;Mitarbeiter!$E$26),0,IF(AND(Mitarbeiter!$F$26&lt;&gt;"",BM$5&gt;Mitarbeiter!$F$26),0,IF(Planung!BM28="",$C28,IF(ISNUMBER(Planung!BM28),Planung!BM28,IF(UPPER(Planung!BM28)="H",$C28/2,0)))))))</f>
        <v>0</v>
      </c>
      <c r="BN28" s="27">
        <f>IF($A28="",0,IF(Mitarbeiter!$G$26=FALSE,0,IF(AND(Mitarbeiter!$E$26&lt;&gt;"",BN$5+6&lt;Mitarbeiter!$E$26),0,IF(AND(Mitarbeiter!$F$26&lt;&gt;"",BN$5&gt;Mitarbeiter!$F$26),0,IF(Planung!BN28="",$C28,IF(ISNUMBER(Planung!BN28),Planung!BN28,IF(UPPER(Planung!BN28)="H",$C28/2,0)))))))</f>
        <v>0</v>
      </c>
      <c r="BO28" s="27">
        <f>IF($A28="",0,IF(Mitarbeiter!$G$26=FALSE,0,IF(AND(Mitarbeiter!$E$26&lt;&gt;"",BO$5+6&lt;Mitarbeiter!$E$26),0,IF(AND(Mitarbeiter!$F$26&lt;&gt;"",BO$5&gt;Mitarbeiter!$F$26),0,IF(Planung!BO28="",$C28,IF(ISNUMBER(Planung!BO28),Planung!BO28,IF(UPPER(Planung!BO28)="H",$C28/2,0)))))))</f>
        <v>0</v>
      </c>
      <c r="BP28" s="27">
        <f>IF($A28="",0,IF(Mitarbeiter!$G$26=FALSE,0,IF(AND(Mitarbeiter!$E$26&lt;&gt;"",BP$5+6&lt;Mitarbeiter!$E$26),0,IF(AND(Mitarbeiter!$F$26&lt;&gt;"",BP$5&gt;Mitarbeiter!$F$26),0,IF(Planung!BP28="",$C28,IF(ISNUMBER(Planung!BP28),Planung!BP28,IF(UPPER(Planung!BP28)="H",$C28/2,0)))))))</f>
        <v>0</v>
      </c>
      <c r="BQ28" s="27">
        <f>IF($A28="",0,IF(Mitarbeiter!$G$26=FALSE,0,IF(AND(Mitarbeiter!$E$26&lt;&gt;"",BQ$5+6&lt;Mitarbeiter!$E$26),0,IF(AND(Mitarbeiter!$F$26&lt;&gt;"",BQ$5&gt;Mitarbeiter!$F$26),0,IF(Planung!BQ28="",$C28,IF(ISNUMBER(Planung!BQ28),Planung!BQ28,IF(UPPER(Planung!BQ28)="H",$C28/2,0)))))))</f>
        <v>0</v>
      </c>
      <c r="BR28" s="27">
        <f>IF($A28="",0,IF(Mitarbeiter!$G$26=FALSE,0,IF(AND(Mitarbeiter!$E$26&lt;&gt;"",BR$5+6&lt;Mitarbeiter!$E$26),0,IF(AND(Mitarbeiter!$F$26&lt;&gt;"",BR$5&gt;Mitarbeiter!$F$26),0,IF(Planung!BR28="",$C28,IF(ISNUMBER(Planung!BR28),Planung!BR28,IF(UPPER(Planung!BR28)="H",$C28/2,0)))))))</f>
        <v>0</v>
      </c>
      <c r="BS28" s="27">
        <f>IF($A28="",0,IF(Mitarbeiter!$G$26=FALSE,0,IF(AND(Mitarbeiter!$E$26&lt;&gt;"",BS$5+6&lt;Mitarbeiter!$E$26),0,IF(AND(Mitarbeiter!$F$26&lt;&gt;"",BS$5&gt;Mitarbeiter!$F$26),0,IF(Planung!BS28="",$C28,IF(ISNUMBER(Planung!BS28),Planung!BS28,IF(UPPER(Planung!BS28)="H",$C28/2,0)))))))</f>
        <v>0</v>
      </c>
      <c r="BT28" s="27">
        <f>IF($A28="",0,IF(Mitarbeiter!$G$26=FALSE,0,IF(AND(Mitarbeiter!$E$26&lt;&gt;"",BT$5+6&lt;Mitarbeiter!$E$26),0,IF(AND(Mitarbeiter!$F$26&lt;&gt;"",BT$5&gt;Mitarbeiter!$F$26),0,IF(Planung!BT28="",$C28,IF(ISNUMBER(Planung!BT28),Planung!BT28,IF(UPPER(Planung!BT28)="H",$C28/2,0)))))))</f>
        <v>0</v>
      </c>
      <c r="BU28" s="27">
        <f>IF($A28="",0,IF(Mitarbeiter!$G$26=FALSE,0,IF(AND(Mitarbeiter!$E$26&lt;&gt;"",BU$5+6&lt;Mitarbeiter!$E$26),0,IF(AND(Mitarbeiter!$F$26&lt;&gt;"",BU$5&gt;Mitarbeiter!$F$26),0,IF(Planung!BU28="",$C28,IF(ISNUMBER(Planung!BU28),Planung!BU28,IF(UPPER(Planung!BU28)="H",$C28/2,0)))))))</f>
        <v>0</v>
      </c>
      <c r="BV28" s="27">
        <f>IF($A28="",0,IF(Mitarbeiter!$G$26=FALSE,0,IF(AND(Mitarbeiter!$E$26&lt;&gt;"",BV$5+6&lt;Mitarbeiter!$E$26),0,IF(AND(Mitarbeiter!$F$26&lt;&gt;"",BV$5&gt;Mitarbeiter!$F$26),0,IF(Planung!BV28="",$C28,IF(ISNUMBER(Planung!BV28),Planung!BV28,IF(UPPER(Planung!BV28)="H",$C28/2,0)))))))</f>
        <v>0</v>
      </c>
      <c r="BW28" s="27">
        <f>IF($A28="",0,IF(Mitarbeiter!$G$26=FALSE,0,IF(AND(Mitarbeiter!$E$26&lt;&gt;"",BW$5+6&lt;Mitarbeiter!$E$26),0,IF(AND(Mitarbeiter!$F$26&lt;&gt;"",BW$5&gt;Mitarbeiter!$F$26),0,IF(Planung!BW28="",$C28,IF(ISNUMBER(Planung!BW28),Planung!BW28,IF(UPPER(Planung!BW28)="H",$C28/2,0)))))))</f>
        <v>0</v>
      </c>
      <c r="BX28" s="27">
        <f>IF($A28="",0,IF(Mitarbeiter!$G$26=FALSE,0,IF(AND(Mitarbeiter!$E$26&lt;&gt;"",BX$5+6&lt;Mitarbeiter!$E$26),0,IF(AND(Mitarbeiter!$F$26&lt;&gt;"",BX$5&gt;Mitarbeiter!$F$26),0,IF(Planung!BX28="",$C28,IF(ISNUMBER(Planung!BX28),Planung!BX28,IF(UPPER(Planung!BX28)="H",$C28/2,0)))))))</f>
        <v>0</v>
      </c>
      <c r="BY28" s="27">
        <f>IF($A28="",0,IF(Mitarbeiter!$G$26=FALSE,0,IF(AND(Mitarbeiter!$E$26&lt;&gt;"",BY$5+6&lt;Mitarbeiter!$E$26),0,IF(AND(Mitarbeiter!$F$26&lt;&gt;"",BY$5&gt;Mitarbeiter!$F$26),0,IF(Planung!BY28="",$C28,IF(ISNUMBER(Planung!BY28),Planung!BY28,IF(UPPER(Planung!BY28)="H",$C28/2,0)))))))</f>
        <v>0</v>
      </c>
      <c r="BZ28" s="27">
        <f>IF($A28="",0,IF(Mitarbeiter!$G$26=FALSE,0,IF(AND(Mitarbeiter!$E$26&lt;&gt;"",BZ$5+6&lt;Mitarbeiter!$E$26),0,IF(AND(Mitarbeiter!$F$26&lt;&gt;"",BZ$5&gt;Mitarbeiter!$F$26),0,IF(Planung!BZ28="",$C28,IF(ISNUMBER(Planung!BZ28),Planung!BZ28,IF(UPPER(Planung!BZ28)="H",$C28/2,0)))))))</f>
        <v>0</v>
      </c>
      <c r="CA28" s="27">
        <f>IF($A28="",0,IF(Mitarbeiter!$G$26=FALSE,0,IF(AND(Mitarbeiter!$E$26&lt;&gt;"",CA$5+6&lt;Mitarbeiter!$E$26),0,IF(AND(Mitarbeiter!$F$26&lt;&gt;"",CA$5&gt;Mitarbeiter!$F$26),0,IF(Planung!CA28="",$C28,IF(ISNUMBER(Planung!CA28),Planung!CA28,IF(UPPER(Planung!CA28)="H",$C28/2,0)))))))</f>
        <v>0</v>
      </c>
      <c r="CB28" s="27">
        <f>IF($A28="",0,IF(Mitarbeiter!$G$26=FALSE,0,IF(AND(Mitarbeiter!$E$26&lt;&gt;"",CB$5+6&lt;Mitarbeiter!$E$26),0,IF(AND(Mitarbeiter!$F$26&lt;&gt;"",CB$5&gt;Mitarbeiter!$F$26),0,IF(Planung!CB28="",$C28,IF(ISNUMBER(Planung!CB28),Planung!CB28,IF(UPPER(Planung!CB28)="H",$C28/2,0)))))))</f>
        <v>0</v>
      </c>
      <c r="CC28" s="27">
        <f>IF($A28="",0,IF(Mitarbeiter!$G$26=FALSE,0,IF(AND(Mitarbeiter!$E$26&lt;&gt;"",CC$5+6&lt;Mitarbeiter!$E$26),0,IF(AND(Mitarbeiter!$F$26&lt;&gt;"",CC$5&gt;Mitarbeiter!$F$26),0,IF(Planung!CC28="",$C28,IF(ISNUMBER(Planung!CC28),Planung!CC28,IF(UPPER(Planung!CC28)="H",$C28/2,0)))))))</f>
        <v>0</v>
      </c>
      <c r="CD28" s="27">
        <f>IF($A28="",0,IF(Mitarbeiter!$G$26=FALSE,0,IF(AND(Mitarbeiter!$E$26&lt;&gt;"",CD$5+6&lt;Mitarbeiter!$E$26),0,IF(AND(Mitarbeiter!$F$26&lt;&gt;"",CD$5&gt;Mitarbeiter!$F$26),0,IF(Planung!CD28="",$C28,IF(ISNUMBER(Planung!CD28),Planung!CD28,IF(UPPER(Planung!CD28)="H",$C28/2,0)))))))</f>
        <v>0</v>
      </c>
      <c r="CE28" s="27">
        <f>IF($A28="",0,IF(Mitarbeiter!$G$26=FALSE,0,IF(AND(Mitarbeiter!$E$26&lt;&gt;"",CE$5+6&lt;Mitarbeiter!$E$26),0,IF(AND(Mitarbeiter!$F$26&lt;&gt;"",CE$5&gt;Mitarbeiter!$F$26),0,IF(Planung!CE28="",$C28,IF(ISNUMBER(Planung!CE28),Planung!CE28,IF(UPPER(Planung!CE28)="H",$C28/2,0)))))))</f>
        <v>0</v>
      </c>
      <c r="CF28" s="27">
        <f>IF($A28="",0,IF(Mitarbeiter!$G$26=FALSE,0,IF(AND(Mitarbeiter!$E$26&lt;&gt;"",CF$5+6&lt;Mitarbeiter!$E$26),0,IF(AND(Mitarbeiter!$F$26&lt;&gt;"",CF$5&gt;Mitarbeiter!$F$26),0,IF(Planung!CF28="",$C28,IF(ISNUMBER(Planung!CF28),Planung!CF28,IF(UPPER(Planung!CF28)="H",$C28/2,0)))))))</f>
        <v>0</v>
      </c>
      <c r="CG28" s="27">
        <f>IF($A28="",0,IF(Mitarbeiter!$G$26=FALSE,0,IF(AND(Mitarbeiter!$E$26&lt;&gt;"",CG$5+6&lt;Mitarbeiter!$E$26),0,IF(AND(Mitarbeiter!$F$26&lt;&gt;"",CG$5&gt;Mitarbeiter!$F$26),0,IF(Planung!CG28="",$C28,IF(ISNUMBER(Planung!CG28),Planung!CG28,IF(UPPER(Planung!CG28)="H",$C28/2,0)))))))</f>
        <v>0</v>
      </c>
      <c r="CH28" s="27">
        <f>IF($A28="",0,IF(Mitarbeiter!$G$26=FALSE,0,IF(AND(Mitarbeiter!$E$26&lt;&gt;"",CH$5+6&lt;Mitarbeiter!$E$26),0,IF(AND(Mitarbeiter!$F$26&lt;&gt;"",CH$5&gt;Mitarbeiter!$F$26),0,IF(Planung!CH28="",$C28,IF(ISNUMBER(Planung!CH28),Planung!CH28,IF(UPPER(Planung!CH28)="H",$C28/2,0)))))))</f>
        <v>0</v>
      </c>
      <c r="CI28" s="27">
        <f>IF($A28="",0,IF(Mitarbeiter!$G$26=FALSE,0,IF(AND(Mitarbeiter!$E$26&lt;&gt;"",CI$5+6&lt;Mitarbeiter!$E$26),0,IF(AND(Mitarbeiter!$F$26&lt;&gt;"",CI$5&gt;Mitarbeiter!$F$26),0,IF(Planung!CI28="",$C28,IF(ISNUMBER(Planung!CI28),Planung!CI28,IF(UPPER(Planung!CI28)="H",$C28/2,0)))))))</f>
        <v>0</v>
      </c>
      <c r="CJ28" s="27">
        <f>IF($A28="",0,IF(Mitarbeiter!$G$26=FALSE,0,IF(AND(Mitarbeiter!$E$26&lt;&gt;"",CJ$5+6&lt;Mitarbeiter!$E$26),0,IF(AND(Mitarbeiter!$F$26&lt;&gt;"",CJ$5&gt;Mitarbeiter!$F$26),0,IF(Planung!CJ28="",$C28,IF(ISNUMBER(Planung!CJ28),Planung!CJ28,IF(UPPER(Planung!CJ28)="H",$C28/2,0)))))))</f>
        <v>0</v>
      </c>
      <c r="CK28" s="27">
        <f>IF($A28="",0,IF(Mitarbeiter!$G$26=FALSE,0,IF(AND(Mitarbeiter!$E$26&lt;&gt;"",CK$5+6&lt;Mitarbeiter!$E$26),0,IF(AND(Mitarbeiter!$F$26&lt;&gt;"",CK$5&gt;Mitarbeiter!$F$26),0,IF(Planung!CK28="",$C28,IF(ISNUMBER(Planung!CK28),Planung!CK28,IF(UPPER(Planung!CK28)="H",$C28/2,0)))))))</f>
        <v>0</v>
      </c>
      <c r="CL28" s="27">
        <f>IF($A28="",0,IF(Mitarbeiter!$G$26=FALSE,0,IF(AND(Mitarbeiter!$E$26&lt;&gt;"",CL$5+6&lt;Mitarbeiter!$E$26),0,IF(AND(Mitarbeiter!$F$26&lt;&gt;"",CL$5&gt;Mitarbeiter!$F$26),0,IF(Planung!CL28="",$C28,IF(ISNUMBER(Planung!CL28),Planung!CL28,IF(UPPER(Planung!CL28)="H",$C28/2,0)))))))</f>
        <v>0</v>
      </c>
      <c r="CM28" s="27">
        <f>IF($A28="",0,IF(Mitarbeiter!$G$26=FALSE,0,IF(AND(Mitarbeiter!$E$26&lt;&gt;"",CM$5+6&lt;Mitarbeiter!$E$26),0,IF(AND(Mitarbeiter!$F$26&lt;&gt;"",CM$5&gt;Mitarbeiter!$F$26),0,IF(Planung!CM28="",$C28,IF(ISNUMBER(Planung!CM28),Planung!CM28,IF(UPPER(Planung!CM28)="H",$C28/2,0)))))))</f>
        <v>0</v>
      </c>
      <c r="CN28" s="27">
        <f>IF($A28="",0,IF(Mitarbeiter!$G$26=FALSE,0,IF(AND(Mitarbeiter!$E$26&lt;&gt;"",CN$5+6&lt;Mitarbeiter!$E$26),0,IF(AND(Mitarbeiter!$F$26&lt;&gt;"",CN$5&gt;Mitarbeiter!$F$26),0,IF(Planung!CN28="",$C28,IF(ISNUMBER(Planung!CN28),Planung!CN28,IF(UPPER(Planung!CN28)="H",$C28/2,0)))))))</f>
        <v>0</v>
      </c>
      <c r="CO28" s="27">
        <f>IF($A28="",0,IF(Mitarbeiter!$G$26=FALSE,0,IF(AND(Mitarbeiter!$E$26&lt;&gt;"",CO$5+6&lt;Mitarbeiter!$E$26),0,IF(AND(Mitarbeiter!$F$26&lt;&gt;"",CO$5&gt;Mitarbeiter!$F$26),0,IF(Planung!CO28="",$C28,IF(ISNUMBER(Planung!CO28),Planung!CO28,IF(UPPER(Planung!CO28)="H",$C28/2,0)))))))</f>
        <v>0</v>
      </c>
      <c r="CP28" s="27">
        <f>IF($A28="",0,IF(Mitarbeiter!$G$26=FALSE,0,IF(AND(Mitarbeiter!$E$26&lt;&gt;"",CP$5+6&lt;Mitarbeiter!$E$26),0,IF(AND(Mitarbeiter!$F$26&lt;&gt;"",CP$5&gt;Mitarbeiter!$F$26),0,IF(Planung!CP28="",$C28,IF(ISNUMBER(Planung!CP28),Planung!CP28,IF(UPPER(Planung!CP28)="H",$C28/2,0)))))))</f>
        <v>0</v>
      </c>
      <c r="CQ28" s="27">
        <f>IF($A28="",0,IF(Mitarbeiter!$G$26=FALSE,0,IF(AND(Mitarbeiter!$E$26&lt;&gt;"",CQ$5+6&lt;Mitarbeiter!$E$26),0,IF(AND(Mitarbeiter!$F$26&lt;&gt;"",CQ$5&gt;Mitarbeiter!$F$26),0,IF(Planung!CQ28="",$C28,IF(ISNUMBER(Planung!CQ28),Planung!CQ28,IF(UPPER(Planung!CQ28)="H",$C28/2,0)))))))</f>
        <v>0</v>
      </c>
      <c r="CR28" s="27">
        <f>IF($A28="",0,IF(Mitarbeiter!$G$26=FALSE,0,IF(AND(Mitarbeiter!$E$26&lt;&gt;"",CR$5+6&lt;Mitarbeiter!$E$26),0,IF(AND(Mitarbeiter!$F$26&lt;&gt;"",CR$5&gt;Mitarbeiter!$F$26),0,IF(Planung!CR28="",$C28,IF(ISNUMBER(Planung!CR28),Planung!CR28,IF(UPPER(Planung!CR28)="H",$C28/2,0)))))))</f>
        <v>0</v>
      </c>
      <c r="CS28" s="27">
        <f>IF($A28="",0,IF(Mitarbeiter!$G$26=FALSE,0,IF(AND(Mitarbeiter!$E$26&lt;&gt;"",CS$5+6&lt;Mitarbeiter!$E$26),0,IF(AND(Mitarbeiter!$F$26&lt;&gt;"",CS$5&gt;Mitarbeiter!$F$26),0,IF(Planung!CS28="",$C28,IF(ISNUMBER(Planung!CS28),Planung!CS28,IF(UPPER(Planung!CS28)="H",$C28/2,0)))))))</f>
        <v>0</v>
      </c>
      <c r="CT28" s="27">
        <f>IF($A28="",0,IF(Mitarbeiter!$G$26=FALSE,0,IF(AND(Mitarbeiter!$E$26&lt;&gt;"",CT$5+6&lt;Mitarbeiter!$E$26),0,IF(AND(Mitarbeiter!$F$26&lt;&gt;"",CT$5&gt;Mitarbeiter!$F$26),0,IF(Planung!CT28="",$C28,IF(ISNUMBER(Planung!CT28),Planung!CT28,IF(UPPER(Planung!CT28)="H",$C28/2,0)))))))</f>
        <v>0</v>
      </c>
      <c r="CU28" s="27">
        <f>IF($A28="",0,IF(Mitarbeiter!$G$26=FALSE,0,IF(AND(Mitarbeiter!$E$26&lt;&gt;"",CU$5+6&lt;Mitarbeiter!$E$26),0,IF(AND(Mitarbeiter!$F$26&lt;&gt;"",CU$5&gt;Mitarbeiter!$F$26),0,IF(Planung!CU28="",$C28,IF(ISNUMBER(Planung!CU28),Planung!CU28,IF(UPPER(Planung!CU28)="H",$C28/2,0)))))))</f>
        <v>0</v>
      </c>
      <c r="CV28" s="27">
        <f>IF($A28="",0,IF(Mitarbeiter!$G$26=FALSE,0,IF(AND(Mitarbeiter!$E$26&lt;&gt;"",CV$5+6&lt;Mitarbeiter!$E$26),0,IF(AND(Mitarbeiter!$F$26&lt;&gt;"",CV$5&gt;Mitarbeiter!$F$26),0,IF(Planung!CV28="",$C28,IF(ISNUMBER(Planung!CV28),Planung!CV28,IF(UPPER(Planung!CV28)="H",$C28/2,0)))))))</f>
        <v>0</v>
      </c>
      <c r="CW28" s="27">
        <f>IF($A28="",0,IF(Mitarbeiter!$G$26=FALSE,0,IF(AND(Mitarbeiter!$E$26&lt;&gt;"",CW$5+6&lt;Mitarbeiter!$E$26),0,IF(AND(Mitarbeiter!$F$26&lt;&gt;"",CW$5&gt;Mitarbeiter!$F$26),0,IF(Planung!CW28="",$C28,IF(ISNUMBER(Planung!CW28),Planung!CW28,IF(UPPER(Planung!CW28)="H",$C28/2,0)))))))</f>
        <v>0</v>
      </c>
      <c r="CX28" s="27">
        <f>IF($A28="",0,IF(Mitarbeiter!$G$26=FALSE,0,IF(AND(Mitarbeiter!$E$26&lt;&gt;"",CX$5+6&lt;Mitarbeiter!$E$26),0,IF(AND(Mitarbeiter!$F$26&lt;&gt;"",CX$5&gt;Mitarbeiter!$F$26),0,IF(Planung!CX28="",$C28,IF(ISNUMBER(Planung!CX28),Planung!CX28,IF(UPPER(Planung!CX28)="H",$C28/2,0)))))))</f>
        <v>0</v>
      </c>
      <c r="CY28" s="27">
        <f>IF($A28="",0,IF(Mitarbeiter!$G$26=FALSE,0,IF(AND(Mitarbeiter!$E$26&lt;&gt;"",CY$5+6&lt;Mitarbeiter!$E$26),0,IF(AND(Mitarbeiter!$F$26&lt;&gt;"",CY$5&gt;Mitarbeiter!$F$26),0,IF(Planung!CY28="",$C28,IF(ISNUMBER(Planung!CY28),Planung!CY28,IF(UPPER(Planung!CY28)="H",$C28/2,0)))))))</f>
        <v>0</v>
      </c>
      <c r="CZ28" s="27">
        <f>IF($A28="",0,IF(Mitarbeiter!$G$26=FALSE,0,IF(AND(Mitarbeiter!$E$26&lt;&gt;"",CZ$5+6&lt;Mitarbeiter!$E$26),0,IF(AND(Mitarbeiter!$F$26&lt;&gt;"",CZ$5&gt;Mitarbeiter!$F$26),0,IF(Planung!CZ28="",$C28,IF(ISNUMBER(Planung!CZ28),Planung!CZ28,IF(UPPER(Planung!CZ28)="H",$C28/2,0)))))))</f>
        <v>0</v>
      </c>
      <c r="DA28" s="27">
        <f>IF($A28="",0,IF(Mitarbeiter!$G$26=FALSE,0,IF(AND(Mitarbeiter!$E$26&lt;&gt;"",DA$5+6&lt;Mitarbeiter!$E$26),0,IF(AND(Mitarbeiter!$F$26&lt;&gt;"",DA$5&gt;Mitarbeiter!$F$26),0,IF(Planung!DA28="",$C28,IF(ISNUMBER(Planung!DA28),Planung!DA28,IF(UPPER(Planung!DA28)="H",$C28/2,0)))))))</f>
        <v>0</v>
      </c>
      <c r="DB28" s="27">
        <f>IF($A28="",0,IF(Mitarbeiter!$G$26=FALSE,0,IF(AND(Mitarbeiter!$E$26&lt;&gt;"",DB$5+6&lt;Mitarbeiter!$E$26),0,IF(AND(Mitarbeiter!$F$26&lt;&gt;"",DB$5&gt;Mitarbeiter!$F$26),0,IF(Planung!DB28="",$C28,IF(ISNUMBER(Planung!DB28),Planung!DB28,IF(UPPER(Planung!DB28)="H",$C28/2,0)))))))</f>
        <v>0</v>
      </c>
      <c r="DC28" s="27">
        <f>IF($A28="",0,IF(Mitarbeiter!$G$26=FALSE,0,IF(AND(Mitarbeiter!$E$26&lt;&gt;"",DC$5+6&lt;Mitarbeiter!$E$26),0,IF(AND(Mitarbeiter!$F$26&lt;&gt;"",DC$5&gt;Mitarbeiter!$F$26),0,IF(Planung!DC28="",$C28,IF(ISNUMBER(Planung!DC28),Planung!DC28,IF(UPPER(Planung!DC28)="H",$C28/2,0)))))))</f>
        <v>0</v>
      </c>
      <c r="DD28" s="27">
        <f>IF($A28="",0,IF(Mitarbeiter!$G$26=FALSE,0,IF(AND(Mitarbeiter!$E$26&lt;&gt;"",DD$5+6&lt;Mitarbeiter!$E$26),0,IF(AND(Mitarbeiter!$F$26&lt;&gt;"",DD$5&gt;Mitarbeiter!$F$26),0,IF(Planung!DD28="",$C28,IF(ISNUMBER(Planung!DD28),Planung!DD28,IF(UPPER(Planung!DD28)="H",$C28/2,0)))))))</f>
        <v>0</v>
      </c>
      <c r="DE28" s="27">
        <f>IF($A28="",0,IF(Mitarbeiter!$G$26=FALSE,0,IF(AND(Mitarbeiter!$E$26&lt;&gt;"",DE$5+6&lt;Mitarbeiter!$E$26),0,IF(AND(Mitarbeiter!$F$26&lt;&gt;"",DE$5&gt;Mitarbeiter!$F$26),0,IF(Planung!DE28="",$C28,IF(ISNUMBER(Planung!DE28),Planung!DE28,IF(UPPER(Planung!DE28)="H",$C28/2,0)))))))</f>
        <v>0</v>
      </c>
      <c r="DF28" s="27">
        <f>IF($A28="",0,IF(Mitarbeiter!$G$26=FALSE,0,IF(AND(Mitarbeiter!$E$26&lt;&gt;"",DF$5+6&lt;Mitarbeiter!$E$26),0,IF(AND(Mitarbeiter!$F$26&lt;&gt;"",DF$5&gt;Mitarbeiter!$F$26),0,IF(Planung!DF28="",$C28,IF(ISNUMBER(Planung!DF28),Planung!DF28,IF(UPPER(Planung!DF28)="H",$C28/2,0)))))))</f>
        <v>0</v>
      </c>
      <c r="DG28" s="27">
        <f>IF($A28="",0,IF(Mitarbeiter!$G$26=FALSE,0,IF(AND(Mitarbeiter!$E$26&lt;&gt;"",DG$5+6&lt;Mitarbeiter!$E$26),0,IF(AND(Mitarbeiter!$F$26&lt;&gt;"",DG$5&gt;Mitarbeiter!$F$26),0,IF(Planung!DG28="",$C28,IF(ISNUMBER(Planung!DG28),Planung!DG28,IF(UPPER(Planung!DG28)="H",$C28/2,0)))))))</f>
        <v>0</v>
      </c>
      <c r="DH28" s="27">
        <f>IF($A28="",0,IF(Mitarbeiter!$G$26=FALSE,0,IF(AND(Mitarbeiter!$E$26&lt;&gt;"",DH$5+6&lt;Mitarbeiter!$E$26),0,IF(AND(Mitarbeiter!$F$26&lt;&gt;"",DH$5&gt;Mitarbeiter!$F$26),0,IF(Planung!DH28="",$C28,IF(ISNUMBER(Planung!DH28),Planung!DH28,IF(UPPER(Planung!DH28)="H",$C28/2,0)))))))</f>
        <v>0</v>
      </c>
      <c r="DI28" s="27">
        <f>IF($A28="",0,IF(Mitarbeiter!$G$26=FALSE,0,IF(AND(Mitarbeiter!$E$26&lt;&gt;"",DI$5+6&lt;Mitarbeiter!$E$26),0,IF(AND(Mitarbeiter!$F$26&lt;&gt;"",DI$5&gt;Mitarbeiter!$F$26),0,IF(Planung!DI28="",$C28,IF(ISNUMBER(Planung!DI28),Planung!DI28,IF(UPPER(Planung!DI28)="H",$C28/2,0)))))))</f>
        <v>0</v>
      </c>
      <c r="DJ28" s="27">
        <f>IF($A28="",0,IF(Mitarbeiter!$G$26=FALSE,0,IF(AND(Mitarbeiter!$E$26&lt;&gt;"",DJ$5+6&lt;Mitarbeiter!$E$26),0,IF(AND(Mitarbeiter!$F$26&lt;&gt;"",DJ$5&gt;Mitarbeiter!$F$26),0,IF(Planung!DJ28="",$C28,IF(ISNUMBER(Planung!DJ28),Planung!DJ28,IF(UPPER(Planung!DJ28)="H",$C28/2,0)))))))</f>
        <v>0</v>
      </c>
      <c r="DK28" s="27">
        <f>IF($A28="",0,IF(Mitarbeiter!$G$26=FALSE,0,IF(AND(Mitarbeiter!$E$26&lt;&gt;"",DK$5+6&lt;Mitarbeiter!$E$26),0,IF(AND(Mitarbeiter!$F$26&lt;&gt;"",DK$5&gt;Mitarbeiter!$F$26),0,IF(Planung!DK28="",$C28,IF(ISNUMBER(Planung!DK28),Planung!DK28,IF(UPPER(Planung!DK28)="H",$C28/2,0)))))))</f>
        <v>0</v>
      </c>
      <c r="DL28" s="27">
        <f>IF($A28="",0,IF(Mitarbeiter!$G$26=FALSE,0,IF(AND(Mitarbeiter!$E$26&lt;&gt;"",DL$5+6&lt;Mitarbeiter!$E$26),0,IF(AND(Mitarbeiter!$F$26&lt;&gt;"",DL$5&gt;Mitarbeiter!$F$26),0,IF(Planung!DL28="",$C28,IF(ISNUMBER(Planung!DL28),Planung!DL28,IF(UPPER(Planung!DL28)="H",$C28/2,0)))))))</f>
        <v>0</v>
      </c>
      <c r="DM28" s="27">
        <f>IF($A28="",0,IF(Mitarbeiter!$G$26=FALSE,0,IF(AND(Mitarbeiter!$E$26&lt;&gt;"",DM$5+6&lt;Mitarbeiter!$E$26),0,IF(AND(Mitarbeiter!$F$26&lt;&gt;"",DM$5&gt;Mitarbeiter!$F$26),0,IF(Planung!DM28="",$C28,IF(ISNUMBER(Planung!DM28),Planung!DM28,IF(UPPER(Planung!DM28)="H",$C28/2,0)))))))</f>
        <v>0</v>
      </c>
      <c r="DN28" s="27">
        <f>IF($A28="",0,IF(Mitarbeiter!$G$26=FALSE,0,IF(AND(Mitarbeiter!$E$26&lt;&gt;"",DN$5+6&lt;Mitarbeiter!$E$26),0,IF(AND(Mitarbeiter!$F$26&lt;&gt;"",DN$5&gt;Mitarbeiter!$F$26),0,IF(Planung!DN28="",$C28,IF(ISNUMBER(Planung!DN28),Planung!DN28,IF(UPPER(Planung!DN28)="H",$C28/2,0)))))))</f>
        <v>0</v>
      </c>
      <c r="DO28" s="27">
        <f>IF($A28="",0,IF(Mitarbeiter!$G$26=FALSE,0,IF(AND(Mitarbeiter!$E$26&lt;&gt;"",DO$5+6&lt;Mitarbeiter!$E$26),0,IF(AND(Mitarbeiter!$F$26&lt;&gt;"",DO$5&gt;Mitarbeiter!$F$26),0,IF(Planung!DO28="",$C28,IF(ISNUMBER(Planung!DO28),Planung!DO28,IF(UPPER(Planung!DO28)="H",$C28/2,0)))))))</f>
        <v>0</v>
      </c>
      <c r="DP28" s="27">
        <f>IF($A28="",0,IF(Mitarbeiter!$G$26=FALSE,0,IF(AND(Mitarbeiter!$E$26&lt;&gt;"",DP$5+6&lt;Mitarbeiter!$E$26),0,IF(AND(Mitarbeiter!$F$26&lt;&gt;"",DP$5&gt;Mitarbeiter!$F$26),0,IF(Planung!DP28="",$C28,IF(ISNUMBER(Planung!DP28),Planung!DP28,IF(UPPER(Planung!DP28)="H",$C28/2,0)))))))</f>
        <v>0</v>
      </c>
      <c r="DQ28" s="27">
        <f>IF($A28="",0,IF(Mitarbeiter!$G$26=FALSE,0,IF(AND(Mitarbeiter!$E$26&lt;&gt;"",DQ$5+6&lt;Mitarbeiter!$E$26),0,IF(AND(Mitarbeiter!$F$26&lt;&gt;"",DQ$5&gt;Mitarbeiter!$F$26),0,IF(Planung!DQ28="",$C28,IF(ISNUMBER(Planung!DQ28),Planung!DQ28,IF(UPPER(Planung!DQ28)="H",$C28/2,0)))))))</f>
        <v>0</v>
      </c>
      <c r="DR28" s="27">
        <f>IF($A28="",0,IF(Mitarbeiter!$G$26=FALSE,0,IF(AND(Mitarbeiter!$E$26&lt;&gt;"",DR$5+6&lt;Mitarbeiter!$E$26),0,IF(AND(Mitarbeiter!$F$26&lt;&gt;"",DR$5&gt;Mitarbeiter!$F$26),0,IF(Planung!DR28="",$C28,IF(ISNUMBER(Planung!DR28),Planung!DR28,IF(UPPER(Planung!DR28)="H",$C28/2,0)))))))</f>
        <v>0</v>
      </c>
      <c r="DS28" s="27">
        <f>IF($A28="",0,IF(Mitarbeiter!$G$26=FALSE,0,IF(AND(Mitarbeiter!$E$26&lt;&gt;"",DS$5+6&lt;Mitarbeiter!$E$26),0,IF(AND(Mitarbeiter!$F$26&lt;&gt;"",DS$5&gt;Mitarbeiter!$F$26),0,IF(Planung!DS28="",$C28,IF(ISNUMBER(Planung!DS28),Planung!DS28,IF(UPPER(Planung!DS28)="H",$C28/2,0)))))))</f>
        <v>0</v>
      </c>
      <c r="DT28" s="27">
        <f>IF($A28="",0,IF(Mitarbeiter!$G$26=FALSE,0,IF(AND(Mitarbeiter!$E$26&lt;&gt;"",DT$5+6&lt;Mitarbeiter!$E$26),0,IF(AND(Mitarbeiter!$F$26&lt;&gt;"",DT$5&gt;Mitarbeiter!$F$26),0,IF(Planung!DT28="",$C28,IF(ISNUMBER(Planung!DT28),Planung!DT28,IF(UPPER(Planung!DT28)="H",$C28/2,0)))))))</f>
        <v>0</v>
      </c>
      <c r="DU28" s="27">
        <f>IF($A28="",0,IF(Mitarbeiter!$G$26=FALSE,0,IF(AND(Mitarbeiter!$E$26&lt;&gt;"",DU$5+6&lt;Mitarbeiter!$E$26),0,IF(AND(Mitarbeiter!$F$26&lt;&gt;"",DU$5&gt;Mitarbeiter!$F$26),0,IF(Planung!DU28="",$C28,IF(ISNUMBER(Planung!DU28),Planung!DU28,IF(UPPER(Planung!DU28)="H",$C28/2,0)))))))</f>
        <v>0</v>
      </c>
      <c r="DV28" s="27">
        <f>IF($A28="",0,IF(Mitarbeiter!$G$26=FALSE,0,IF(AND(Mitarbeiter!$E$26&lt;&gt;"",DV$5+6&lt;Mitarbeiter!$E$26),0,IF(AND(Mitarbeiter!$F$26&lt;&gt;"",DV$5&gt;Mitarbeiter!$F$26),0,IF(Planung!DV28="",$C28,IF(ISNUMBER(Planung!DV28),Planung!DV28,IF(UPPER(Planung!DV28)="H",$C28/2,0)))))))</f>
        <v>0</v>
      </c>
      <c r="DW28" s="27">
        <f>IF($A28="",0,IF(Mitarbeiter!$G$26=FALSE,0,IF(AND(Mitarbeiter!$E$26&lt;&gt;"",DW$5+6&lt;Mitarbeiter!$E$26),0,IF(AND(Mitarbeiter!$F$26&lt;&gt;"",DW$5&gt;Mitarbeiter!$F$26),0,IF(Planung!DW28="",$C28,IF(ISNUMBER(Planung!DW28),Planung!DW28,IF(UPPER(Planung!DW28)="H",$C28/2,0)))))))</f>
        <v>0</v>
      </c>
      <c r="DX28" s="27">
        <f>IF($A28="",0,IF(Mitarbeiter!$G$26=FALSE,0,IF(AND(Mitarbeiter!$E$26&lt;&gt;"",DX$5+6&lt;Mitarbeiter!$E$26),0,IF(AND(Mitarbeiter!$F$26&lt;&gt;"",DX$5&gt;Mitarbeiter!$F$26),0,IF(Planung!DX28="",$C28,IF(ISNUMBER(Planung!DX28),Planung!DX28,IF(UPPER(Planung!DX28)="H",$C28/2,0)))))))</f>
        <v>0</v>
      </c>
      <c r="DY28" s="27">
        <f>IF($A28="",0,IF(Mitarbeiter!$G$26=FALSE,0,IF(AND(Mitarbeiter!$E$26&lt;&gt;"",DY$5+6&lt;Mitarbeiter!$E$26),0,IF(AND(Mitarbeiter!$F$26&lt;&gt;"",DY$5&gt;Mitarbeiter!$F$26),0,IF(Planung!DY28="",$C28,IF(ISNUMBER(Planung!DY28),Planung!DY28,IF(UPPER(Planung!DY28)="H",$C28/2,0)))))))</f>
        <v>0</v>
      </c>
      <c r="DZ28" s="27">
        <f>IF($A28="",0,IF(Mitarbeiter!$G$26=FALSE,0,IF(AND(Mitarbeiter!$E$26&lt;&gt;"",DZ$5+6&lt;Mitarbeiter!$E$26),0,IF(AND(Mitarbeiter!$F$26&lt;&gt;"",DZ$5&gt;Mitarbeiter!$F$26),0,IF(Planung!DZ28="",$C28,IF(ISNUMBER(Planung!DZ28),Planung!DZ28,IF(UPPER(Planung!DZ28)="H",$C28/2,0)))))))</f>
        <v>0</v>
      </c>
      <c r="EA28" s="27">
        <f>IF($A28="",0,IF(Mitarbeiter!$G$26=FALSE,0,IF(AND(Mitarbeiter!$E$26&lt;&gt;"",EA$5+6&lt;Mitarbeiter!$E$26),0,IF(AND(Mitarbeiter!$F$26&lt;&gt;"",EA$5&gt;Mitarbeiter!$F$26),0,IF(Planung!EA28="",$C28,IF(ISNUMBER(Planung!EA28),Planung!EA28,IF(UPPER(Planung!EA28)="H",$C28/2,0)))))))</f>
        <v>0</v>
      </c>
      <c r="EB28" s="27">
        <f>IF($A28="",0,IF(Mitarbeiter!$G$26=FALSE,0,IF(AND(Mitarbeiter!$E$26&lt;&gt;"",EB$5+6&lt;Mitarbeiter!$E$26),0,IF(AND(Mitarbeiter!$F$26&lt;&gt;"",EB$5&gt;Mitarbeiter!$F$26),0,IF(Planung!EB28="",$C28,IF(ISNUMBER(Planung!EB28),Planung!EB28,IF(UPPER(Planung!EB28)="H",$C28/2,0)))))))</f>
        <v>0</v>
      </c>
      <c r="EC28" s="27">
        <f>IF($A28="",0,IF(Mitarbeiter!$G$26=FALSE,0,IF(AND(Mitarbeiter!$E$26&lt;&gt;"",EC$5+6&lt;Mitarbeiter!$E$26),0,IF(AND(Mitarbeiter!$F$26&lt;&gt;"",EC$5&gt;Mitarbeiter!$F$26),0,IF(Planung!EC28="",$C28,IF(ISNUMBER(Planung!EC28),Planung!EC28,IF(UPPER(Planung!EC28)="H",$C28/2,0)))))))</f>
        <v>0</v>
      </c>
      <c r="ED28" s="27">
        <f>IF($A28="",0,IF(Mitarbeiter!$G$26=FALSE,0,IF(AND(Mitarbeiter!$E$26&lt;&gt;"",ED$5+6&lt;Mitarbeiter!$E$26),0,IF(AND(Mitarbeiter!$F$26&lt;&gt;"",ED$5&gt;Mitarbeiter!$F$26),0,IF(Planung!ED28="",$C28,IF(ISNUMBER(Planung!ED28),Planung!ED28,IF(UPPER(Planung!ED28)="H",$C28/2,0)))))))</f>
        <v>0</v>
      </c>
      <c r="EE28" s="27">
        <f>IF($A28="",0,IF(Mitarbeiter!$G$26=FALSE,0,IF(AND(Mitarbeiter!$E$26&lt;&gt;"",EE$5+6&lt;Mitarbeiter!$E$26),0,IF(AND(Mitarbeiter!$F$26&lt;&gt;"",EE$5&gt;Mitarbeiter!$F$26),0,IF(Planung!EE28="",$C28,IF(ISNUMBER(Planung!EE28),Planung!EE28,IF(UPPER(Planung!EE28)="H",$C28/2,0)))))))</f>
        <v>0</v>
      </c>
      <c r="EF28" s="27">
        <f>IF($A28="",0,IF(Mitarbeiter!$G$26=FALSE,0,IF(AND(Mitarbeiter!$E$26&lt;&gt;"",EF$5+6&lt;Mitarbeiter!$E$26),0,IF(AND(Mitarbeiter!$F$26&lt;&gt;"",EF$5&gt;Mitarbeiter!$F$26),0,IF(Planung!EF28="",$C28,IF(ISNUMBER(Planung!EF28),Planung!EF28,IF(UPPER(Planung!EF28)="H",$C28/2,0)))))))</f>
        <v>0</v>
      </c>
      <c r="EG28" s="27">
        <f>IF($A28="",0,IF(Mitarbeiter!$G$26=FALSE,0,IF(AND(Mitarbeiter!$E$26&lt;&gt;"",EG$5+6&lt;Mitarbeiter!$E$26),0,IF(AND(Mitarbeiter!$F$26&lt;&gt;"",EG$5&gt;Mitarbeiter!$F$26),0,IF(Planung!EG28="",$C28,IF(ISNUMBER(Planung!EG28),Planung!EG28,IF(UPPER(Planung!EG28)="H",$C28/2,0)))))))</f>
        <v>0</v>
      </c>
      <c r="EH28" s="27">
        <f>IF($A28="",0,IF(Mitarbeiter!$G$26=FALSE,0,IF(AND(Mitarbeiter!$E$26&lt;&gt;"",EH$5+6&lt;Mitarbeiter!$E$26),0,IF(AND(Mitarbeiter!$F$26&lt;&gt;"",EH$5&gt;Mitarbeiter!$F$26),0,IF(Planung!EH28="",$C28,IF(ISNUMBER(Planung!EH28),Planung!EH28,IF(UPPER(Planung!EH28)="H",$C28/2,0)))))))</f>
        <v>0</v>
      </c>
      <c r="EI28" s="27">
        <f>IF($A28="",0,IF(Mitarbeiter!$G$26=FALSE,0,IF(AND(Mitarbeiter!$E$26&lt;&gt;"",EI$5+6&lt;Mitarbeiter!$E$26),0,IF(AND(Mitarbeiter!$F$26&lt;&gt;"",EI$5&gt;Mitarbeiter!$F$26),0,IF(Planung!EI28="",$C28,IF(ISNUMBER(Planung!EI28),Planung!EI28,IF(UPPER(Planung!EI28)="H",$C28/2,0)))))))</f>
        <v>0</v>
      </c>
      <c r="EJ28" s="27">
        <f>IF($A28="",0,IF(Mitarbeiter!$G$26=FALSE,0,IF(AND(Mitarbeiter!$E$26&lt;&gt;"",EJ$5+6&lt;Mitarbeiter!$E$26),0,IF(AND(Mitarbeiter!$F$26&lt;&gt;"",EJ$5&gt;Mitarbeiter!$F$26),0,IF(Planung!EJ28="",$C28,IF(ISNUMBER(Planung!EJ28),Planung!EJ28,IF(UPPER(Planung!EJ28)="H",$C28/2,0)))))))</f>
        <v>0</v>
      </c>
      <c r="EK28" s="27">
        <f>IF($A28="",0,IF(Mitarbeiter!$G$26=FALSE,0,IF(AND(Mitarbeiter!$E$26&lt;&gt;"",EK$5+6&lt;Mitarbeiter!$E$26),0,IF(AND(Mitarbeiter!$F$26&lt;&gt;"",EK$5&gt;Mitarbeiter!$F$26),0,IF(Planung!EK28="",$C28,IF(ISNUMBER(Planung!EK28),Planung!EK28,IF(UPPER(Planung!EK28)="H",$C28/2,0)))))))</f>
        <v>0</v>
      </c>
      <c r="EL28" s="27">
        <f>IF($A28="",0,IF(Mitarbeiter!$G$26=FALSE,0,IF(AND(Mitarbeiter!$E$26&lt;&gt;"",EL$5+6&lt;Mitarbeiter!$E$26),0,IF(AND(Mitarbeiter!$F$26&lt;&gt;"",EL$5&gt;Mitarbeiter!$F$26),0,IF(Planung!EL28="",$C28,IF(ISNUMBER(Planung!EL28),Planung!EL28,IF(UPPER(Planung!EL28)="H",$C28/2,0)))))))</f>
        <v>0</v>
      </c>
      <c r="EM28" s="27">
        <f>IF($A28="",0,IF(Mitarbeiter!$G$26=FALSE,0,IF(AND(Mitarbeiter!$E$26&lt;&gt;"",EM$5+6&lt;Mitarbeiter!$E$26),0,IF(AND(Mitarbeiter!$F$26&lt;&gt;"",EM$5&gt;Mitarbeiter!$F$26),0,IF(Planung!EM28="",$C28,IF(ISNUMBER(Planung!EM28),Planung!EM28,IF(UPPER(Planung!EM28)="H",$C28/2,0)))))))</f>
        <v>0</v>
      </c>
      <c r="EN28" s="27">
        <f>IF($A28="",0,IF(Mitarbeiter!$G$26=FALSE,0,IF(AND(Mitarbeiter!$E$26&lt;&gt;"",EN$5+6&lt;Mitarbeiter!$E$26),0,IF(AND(Mitarbeiter!$F$26&lt;&gt;"",EN$5&gt;Mitarbeiter!$F$26),0,IF(Planung!EN28="",$C28,IF(ISNUMBER(Planung!EN28),Planung!EN28,IF(UPPER(Planung!EN28)="H",$C28/2,0)))))))</f>
        <v>0</v>
      </c>
      <c r="EO28" s="27">
        <f>IF($A28="",0,IF(Mitarbeiter!$G$26=FALSE,0,IF(AND(Mitarbeiter!$E$26&lt;&gt;"",EO$5+6&lt;Mitarbeiter!$E$26),0,IF(AND(Mitarbeiter!$F$26&lt;&gt;"",EO$5&gt;Mitarbeiter!$F$26),0,IF(Planung!EO28="",$C28,IF(ISNUMBER(Planung!EO28),Planung!EO28,IF(UPPER(Planung!EO28)="H",$C28/2,0)))))))</f>
        <v>0</v>
      </c>
      <c r="EP28" s="27">
        <f>IF($A28="",0,IF(Mitarbeiter!$G$26=FALSE,0,IF(AND(Mitarbeiter!$E$26&lt;&gt;"",EP$5+6&lt;Mitarbeiter!$E$26),0,IF(AND(Mitarbeiter!$F$26&lt;&gt;"",EP$5&gt;Mitarbeiter!$F$26),0,IF(Planung!EP28="",$C28,IF(ISNUMBER(Planung!EP28),Planung!EP28,IF(UPPER(Planung!EP28)="H",$C28/2,0)))))))</f>
        <v>0</v>
      </c>
      <c r="EQ28" s="27">
        <f>IF($A28="",0,IF(Mitarbeiter!$G$26=FALSE,0,IF(AND(Mitarbeiter!$E$26&lt;&gt;"",EQ$5+6&lt;Mitarbeiter!$E$26),0,IF(AND(Mitarbeiter!$F$26&lt;&gt;"",EQ$5&gt;Mitarbeiter!$F$26),0,IF(Planung!EQ28="",$C28,IF(ISNUMBER(Planung!EQ28),Planung!EQ28,IF(UPPER(Planung!EQ28)="H",$C28/2,0)))))))</f>
        <v>0</v>
      </c>
      <c r="ER28" s="27">
        <f>IF($A28="",0,IF(Mitarbeiter!$G$26=FALSE,0,IF(AND(Mitarbeiter!$E$26&lt;&gt;"",ER$5+6&lt;Mitarbeiter!$E$26),0,IF(AND(Mitarbeiter!$F$26&lt;&gt;"",ER$5&gt;Mitarbeiter!$F$26),0,IF(Planung!ER28="",$C28,IF(ISNUMBER(Planung!ER28),Planung!ER28,IF(UPPER(Planung!ER28)="H",$C28/2,0)))))))</f>
        <v>0</v>
      </c>
      <c r="ES28" s="27">
        <f>IF($A28="",0,IF(Mitarbeiter!$G$26=FALSE,0,IF(AND(Mitarbeiter!$E$26&lt;&gt;"",ES$5+6&lt;Mitarbeiter!$E$26),0,IF(AND(Mitarbeiter!$F$26&lt;&gt;"",ES$5&gt;Mitarbeiter!$F$26),0,IF(Planung!ES28="",$C28,IF(ISNUMBER(Planung!ES28),Planung!ES28,IF(UPPER(Planung!ES28)="H",$C28/2,0)))))))</f>
        <v>0</v>
      </c>
      <c r="ET28" s="27">
        <f>IF($A28="",0,IF(Mitarbeiter!$G$26=FALSE,0,IF(AND(Mitarbeiter!$E$26&lt;&gt;"",ET$5+6&lt;Mitarbeiter!$E$26),0,IF(AND(Mitarbeiter!$F$26&lt;&gt;"",ET$5&gt;Mitarbeiter!$F$26),0,IF(Planung!ET28="",$C28,IF(ISNUMBER(Planung!ET28),Planung!ET28,IF(UPPER(Planung!ET28)="H",$C28/2,0)))))))</f>
        <v>0</v>
      </c>
      <c r="EU28" s="27">
        <f>IF($A28="",0,IF(Mitarbeiter!$G$26=FALSE,0,IF(AND(Mitarbeiter!$E$26&lt;&gt;"",EU$5+6&lt;Mitarbeiter!$E$26),0,IF(AND(Mitarbeiter!$F$26&lt;&gt;"",EU$5&gt;Mitarbeiter!$F$26),0,IF(Planung!EU28="",$C28,IF(ISNUMBER(Planung!EU28),Planung!EU28,IF(UPPER(Planung!EU28)="H",$C28/2,0)))))))</f>
        <v>0</v>
      </c>
      <c r="EV28" s="27">
        <f>IF($A28="",0,IF(Mitarbeiter!$G$26=FALSE,0,IF(AND(Mitarbeiter!$E$26&lt;&gt;"",EV$5+6&lt;Mitarbeiter!$E$26),0,IF(AND(Mitarbeiter!$F$26&lt;&gt;"",EV$5&gt;Mitarbeiter!$F$26),0,IF(Planung!EV28="",$C28,IF(ISNUMBER(Planung!EV28),Planung!EV28,IF(UPPER(Planung!EV28)="H",$C28/2,0)))))))</f>
        <v>0</v>
      </c>
      <c r="EW28" s="27">
        <f>IF($A28="",0,IF(Mitarbeiter!$G$26=FALSE,0,IF(AND(Mitarbeiter!$E$26&lt;&gt;"",EW$5+6&lt;Mitarbeiter!$E$26),0,IF(AND(Mitarbeiter!$F$26&lt;&gt;"",EW$5&gt;Mitarbeiter!$F$26),0,IF(Planung!EW28="",$C28,IF(ISNUMBER(Planung!EW28),Planung!EW28,IF(UPPER(Planung!EW28)="H",$C28/2,0)))))))</f>
        <v>0</v>
      </c>
      <c r="EX28" s="27">
        <f>IF($A28="",0,IF(Mitarbeiter!$G$26=FALSE,0,IF(AND(Mitarbeiter!$E$26&lt;&gt;"",EX$5+6&lt;Mitarbeiter!$E$26),0,IF(AND(Mitarbeiter!$F$26&lt;&gt;"",EX$5&gt;Mitarbeiter!$F$26),0,IF(Planung!EX28="",$C28,IF(ISNUMBER(Planung!EX28),Planung!EX28,IF(UPPER(Planung!EX28)="H",$C28/2,0)))))))</f>
        <v>0</v>
      </c>
      <c r="EY28" s="27">
        <f>IF($A28="",0,IF(Mitarbeiter!$G$26=FALSE,0,IF(AND(Mitarbeiter!$E$26&lt;&gt;"",EY$5+6&lt;Mitarbeiter!$E$26),0,IF(AND(Mitarbeiter!$F$26&lt;&gt;"",EY$5&gt;Mitarbeiter!$F$26),0,IF(Planung!EY28="",$C28,IF(ISNUMBER(Planung!EY28),Planung!EY28,IF(UPPER(Planung!EY28)="H",$C28/2,0)))))))</f>
        <v>0</v>
      </c>
      <c r="EZ28" s="27">
        <f>IF($A28="",0,IF(Mitarbeiter!$G$26=FALSE,0,IF(AND(Mitarbeiter!$E$26&lt;&gt;"",EZ$5+6&lt;Mitarbeiter!$E$26),0,IF(AND(Mitarbeiter!$F$26&lt;&gt;"",EZ$5&gt;Mitarbeiter!$F$26),0,IF(Planung!EZ28="",$C28,IF(ISNUMBER(Planung!EZ28),Planung!EZ28,IF(UPPER(Planung!EZ28)="H",$C28/2,0)))))))</f>
        <v>0</v>
      </c>
      <c r="FA28" s="27">
        <f>IF($A28="",0,IF(Mitarbeiter!$G$26=FALSE,0,IF(AND(Mitarbeiter!$E$26&lt;&gt;"",FA$5+6&lt;Mitarbeiter!$E$26),0,IF(AND(Mitarbeiter!$F$26&lt;&gt;"",FA$5&gt;Mitarbeiter!$F$26),0,IF(Planung!FA28="",$C28,IF(ISNUMBER(Planung!FA28),Planung!FA28,IF(UPPER(Planung!FA28)="H",$C28/2,0)))))))</f>
        <v>0</v>
      </c>
      <c r="FB28" s="27">
        <f>IF($A28="",0,IF(Mitarbeiter!$G$26=FALSE,0,IF(AND(Mitarbeiter!$E$26&lt;&gt;"",FB$5+6&lt;Mitarbeiter!$E$26),0,IF(AND(Mitarbeiter!$F$26&lt;&gt;"",FB$5&gt;Mitarbeiter!$F$26),0,IF(Planung!FB28="",$C28,IF(ISNUMBER(Planung!FB28),Planung!FB28,IF(UPPER(Planung!FB28)="H",$C28/2,0)))))))</f>
        <v>0</v>
      </c>
      <c r="FC28" s="27">
        <f>IF($A28="",0,IF(Mitarbeiter!$G$26=FALSE,0,IF(AND(Mitarbeiter!$E$26&lt;&gt;"",FC$5+6&lt;Mitarbeiter!$E$26),0,IF(AND(Mitarbeiter!$F$26&lt;&gt;"",FC$5&gt;Mitarbeiter!$F$26),0,IF(Planung!FC28="",$C28,IF(ISNUMBER(Planung!FC28),Planung!FC28,IF(UPPER(Planung!FC28)="H",$C28/2,0)))))))</f>
        <v>0</v>
      </c>
      <c r="FD28" s="27">
        <f>IF($A28="",0,IF(Mitarbeiter!$G$26=FALSE,0,IF(AND(Mitarbeiter!$E$26&lt;&gt;"",FD$5+6&lt;Mitarbeiter!$E$26),0,IF(AND(Mitarbeiter!$F$26&lt;&gt;"",FD$5&gt;Mitarbeiter!$F$26),0,IF(Planung!FD28="",$C28,IF(ISNUMBER(Planung!FD28),Planung!FD28,IF(UPPER(Planung!FD28)="H",$C28/2,0)))))))</f>
        <v>0</v>
      </c>
      <c r="FE28" s="27">
        <f>IF($A28="",0,IF(Mitarbeiter!$G$26=FALSE,0,IF(AND(Mitarbeiter!$E$26&lt;&gt;"",FE$5+6&lt;Mitarbeiter!$E$26),0,IF(AND(Mitarbeiter!$F$26&lt;&gt;"",FE$5&gt;Mitarbeiter!$F$26),0,IF(Planung!FE28="",$C28,IF(ISNUMBER(Planung!FE28),Planung!FE28,IF(UPPER(Planung!FE28)="H",$C28/2,0)))))))</f>
        <v>0</v>
      </c>
      <c r="FF28" s="27">
        <f>IF($A28="",0,IF(Mitarbeiter!$G$26=FALSE,0,IF(AND(Mitarbeiter!$E$26&lt;&gt;"",FF$5+6&lt;Mitarbeiter!$E$26),0,IF(AND(Mitarbeiter!$F$26&lt;&gt;"",FF$5&gt;Mitarbeiter!$F$26),0,IF(Planung!FF28="",$C28,IF(ISNUMBER(Planung!FF28),Planung!FF28,IF(UPPER(Planung!FF28)="H",$C28/2,0)))))))</f>
        <v>0</v>
      </c>
      <c r="FG28" s="27">
        <f>IF($A28="",0,IF(Mitarbeiter!$G$26=FALSE,0,IF(AND(Mitarbeiter!$E$26&lt;&gt;"",FG$5+6&lt;Mitarbeiter!$E$26),0,IF(AND(Mitarbeiter!$F$26&lt;&gt;"",FG$5&gt;Mitarbeiter!$F$26),0,IF(Planung!FG28="",$C28,IF(ISNUMBER(Planung!FG28),Planung!FG28,IF(UPPER(Planung!FG28)="H",$C28/2,0)))))))</f>
        <v>0</v>
      </c>
      <c r="FH28" s="27">
        <f>IF($A28="",0,IF(Mitarbeiter!$G$26=FALSE,0,IF(AND(Mitarbeiter!$E$26&lt;&gt;"",FH$5+6&lt;Mitarbeiter!$E$26),0,IF(AND(Mitarbeiter!$F$26&lt;&gt;"",FH$5&gt;Mitarbeiter!$F$26),0,IF(Planung!FH28="",$C28,IF(ISNUMBER(Planung!FH28),Planung!FH28,IF(UPPER(Planung!FH28)="H",$C28/2,0)))))))</f>
        <v>0</v>
      </c>
      <c r="FI28" s="27">
        <f>IF($A28="",0,IF(Mitarbeiter!$G$26=FALSE,0,IF(AND(Mitarbeiter!$E$26&lt;&gt;"",FI$5+6&lt;Mitarbeiter!$E$26),0,IF(AND(Mitarbeiter!$F$26&lt;&gt;"",FI$5&gt;Mitarbeiter!$F$26),0,IF(Planung!FI28="",$C28,IF(ISNUMBER(Planung!FI28),Planung!FI28,IF(UPPER(Planung!FI28)="H",$C28/2,0)))))))</f>
        <v>0</v>
      </c>
      <c r="FJ28" s="27">
        <f>IF($A28="",0,IF(Mitarbeiter!$G$26=FALSE,0,IF(AND(Mitarbeiter!$E$26&lt;&gt;"",FJ$5+6&lt;Mitarbeiter!$E$26),0,IF(AND(Mitarbeiter!$F$26&lt;&gt;"",FJ$5&gt;Mitarbeiter!$F$26),0,IF(Planung!FJ28="",$C28,IF(ISNUMBER(Planung!FJ28),Planung!FJ28,IF(UPPER(Planung!FJ28)="H",$C28/2,0)))))))</f>
        <v>0</v>
      </c>
      <c r="FK28" s="27">
        <f>IF($A28="",0,IF(Mitarbeiter!$G$26=FALSE,0,IF(AND(Mitarbeiter!$E$26&lt;&gt;"",FK$5+6&lt;Mitarbeiter!$E$26),0,IF(AND(Mitarbeiter!$F$26&lt;&gt;"",FK$5&gt;Mitarbeiter!$F$26),0,IF(Planung!FK28="",$C28,IF(ISNUMBER(Planung!FK28),Planung!FK28,IF(UPPER(Planung!FK28)="H",$C28/2,0)))))))</f>
        <v>0</v>
      </c>
      <c r="FL28" s="27">
        <f>IF($A28="",0,IF(Mitarbeiter!$G$26=FALSE,0,IF(AND(Mitarbeiter!$E$26&lt;&gt;"",FL$5+6&lt;Mitarbeiter!$E$26),0,IF(AND(Mitarbeiter!$F$26&lt;&gt;"",FL$5&gt;Mitarbeiter!$F$26),0,IF(Planung!FL28="",$C28,IF(ISNUMBER(Planung!FL28),Planung!FL28,IF(UPPER(Planung!FL28)="H",$C28/2,0)))))))</f>
        <v>0</v>
      </c>
      <c r="FM28" s="27">
        <f>IF($A28="",0,IF(Mitarbeiter!$G$26=FALSE,0,IF(AND(Mitarbeiter!$E$26&lt;&gt;"",FM$5+6&lt;Mitarbeiter!$E$26),0,IF(AND(Mitarbeiter!$F$26&lt;&gt;"",FM$5&gt;Mitarbeiter!$F$26),0,IF(Planung!FM28="",$C28,IF(ISNUMBER(Planung!FM28),Planung!FM28,IF(UPPER(Planung!FM28)="H",$C28/2,0)))))))</f>
        <v>0</v>
      </c>
      <c r="FN28" s="27">
        <f>IF($A28="",0,IF(Mitarbeiter!$G$26=FALSE,0,IF(AND(Mitarbeiter!$E$26&lt;&gt;"",FN$5+6&lt;Mitarbeiter!$E$26),0,IF(AND(Mitarbeiter!$F$26&lt;&gt;"",FN$5&gt;Mitarbeiter!$F$26),0,IF(Planung!FN28="",$C28,IF(ISNUMBER(Planung!FN28),Planung!FN28,IF(UPPER(Planung!FN28)="H",$C28/2,0)))))))</f>
        <v>0</v>
      </c>
      <c r="FO28" s="27">
        <f>IF($A28="",0,IF(Mitarbeiter!$G$26=FALSE,0,IF(AND(Mitarbeiter!$E$26&lt;&gt;"",FO$5+6&lt;Mitarbeiter!$E$26),0,IF(AND(Mitarbeiter!$F$26&lt;&gt;"",FO$5&gt;Mitarbeiter!$F$26),0,IF(Planung!FO28="",$C28,IF(ISNUMBER(Planung!FO28),Planung!FO28,IF(UPPER(Planung!FO28)="H",$C28/2,0)))))))</f>
        <v>0</v>
      </c>
      <c r="FP28" s="27">
        <f>IF($A28="",0,IF(Mitarbeiter!$G$26=FALSE,0,IF(AND(Mitarbeiter!$E$26&lt;&gt;"",FP$5+6&lt;Mitarbeiter!$E$26),0,IF(AND(Mitarbeiter!$F$26&lt;&gt;"",FP$5&gt;Mitarbeiter!$F$26),0,IF(Planung!FP28="",$C28,IF(ISNUMBER(Planung!FP28),Planung!FP28,IF(UPPER(Planung!FP28)="H",$C28/2,0)))))))</f>
        <v>0</v>
      </c>
      <c r="FQ28" s="27">
        <f>IF($A28="",0,IF(Mitarbeiter!$G$26=FALSE,0,IF(AND(Mitarbeiter!$E$26&lt;&gt;"",FQ$5+6&lt;Mitarbeiter!$E$26),0,IF(AND(Mitarbeiter!$F$26&lt;&gt;"",FQ$5&gt;Mitarbeiter!$F$26),0,IF(Planung!FQ28="",$C28,IF(ISNUMBER(Planung!FQ28),Planung!FQ28,IF(UPPER(Planung!FQ28)="H",$C28/2,0)))))))</f>
        <v>0</v>
      </c>
      <c r="FR28" s="27">
        <f>IF($A28="",0,IF(Mitarbeiter!$G$26=FALSE,0,IF(AND(Mitarbeiter!$E$26&lt;&gt;"",FR$5+6&lt;Mitarbeiter!$E$26),0,IF(AND(Mitarbeiter!$F$26&lt;&gt;"",FR$5&gt;Mitarbeiter!$F$26),0,IF(Planung!FR28="",$C28,IF(ISNUMBER(Planung!FR28),Planung!FR28,IF(UPPER(Planung!FR28)="H",$C28/2,0)))))))</f>
        <v>0</v>
      </c>
      <c r="FS28" s="27">
        <f>IF($A28="",0,IF(Mitarbeiter!$G$26=FALSE,0,IF(AND(Mitarbeiter!$E$26&lt;&gt;"",FS$5+6&lt;Mitarbeiter!$E$26),0,IF(AND(Mitarbeiter!$F$26&lt;&gt;"",FS$5&gt;Mitarbeiter!$F$26),0,IF(Planung!FS28="",$C28,IF(ISNUMBER(Planung!FS28),Planung!FS28,IF(UPPER(Planung!FS28)="H",$C28/2,0)))))))</f>
        <v>0</v>
      </c>
      <c r="FT28" s="27">
        <f>IF($A28="",0,IF(Mitarbeiter!$G$26=FALSE,0,IF(AND(Mitarbeiter!$E$26&lt;&gt;"",FT$5+6&lt;Mitarbeiter!$E$26),0,IF(AND(Mitarbeiter!$F$26&lt;&gt;"",FT$5&gt;Mitarbeiter!$F$26),0,IF(Planung!FT28="",$C28,IF(ISNUMBER(Planung!FT28),Planung!FT28,IF(UPPER(Planung!FT28)="H",$C28/2,0)))))))</f>
        <v>0</v>
      </c>
      <c r="FU28" s="27">
        <f>IF($A28="",0,IF(Mitarbeiter!$G$26=FALSE,0,IF(AND(Mitarbeiter!$E$26&lt;&gt;"",FU$5+6&lt;Mitarbeiter!$E$26),0,IF(AND(Mitarbeiter!$F$26&lt;&gt;"",FU$5&gt;Mitarbeiter!$F$26),0,IF(Planung!FU28="",$C28,IF(ISNUMBER(Planung!FU28),Planung!FU28,IF(UPPER(Planung!FU28)="H",$C28/2,0)))))))</f>
        <v>0</v>
      </c>
      <c r="FV28" s="27">
        <f>IF($A28="",0,IF(Mitarbeiter!$G$26=FALSE,0,IF(AND(Mitarbeiter!$E$26&lt;&gt;"",FV$5+6&lt;Mitarbeiter!$E$26),0,IF(AND(Mitarbeiter!$F$26&lt;&gt;"",FV$5&gt;Mitarbeiter!$F$26),0,IF(Planung!FV28="",$C28,IF(ISNUMBER(Planung!FV28),Planung!FV28,IF(UPPER(Planung!FV28)="H",$C28/2,0)))))))</f>
        <v>0</v>
      </c>
      <c r="FW28" s="27">
        <f>IF($A28="",0,IF(Mitarbeiter!$G$26=FALSE,0,IF(AND(Mitarbeiter!$E$26&lt;&gt;"",FW$5+6&lt;Mitarbeiter!$E$26),0,IF(AND(Mitarbeiter!$F$26&lt;&gt;"",FW$5&gt;Mitarbeiter!$F$26),0,IF(Planung!FW28="",$C28,IF(ISNUMBER(Planung!FW28),Planung!FW28,IF(UPPER(Planung!FW28)="H",$C28/2,0)))))))</f>
        <v>0</v>
      </c>
      <c r="FX28" s="27">
        <f>IF($A28="",0,IF(Mitarbeiter!$G$26=FALSE,0,IF(AND(Mitarbeiter!$E$26&lt;&gt;"",FX$5+6&lt;Mitarbeiter!$E$26),0,IF(AND(Mitarbeiter!$F$26&lt;&gt;"",FX$5&gt;Mitarbeiter!$F$26),0,IF(Planung!FX28="",$C28,IF(ISNUMBER(Planung!FX28),Planung!FX28,IF(UPPER(Planung!FX28)="H",$C28/2,0)))))))</f>
        <v>0</v>
      </c>
      <c r="FY28" s="27">
        <f>IF($A28="",0,IF(Mitarbeiter!$G$26=FALSE,0,IF(AND(Mitarbeiter!$E$26&lt;&gt;"",FY$5+6&lt;Mitarbeiter!$E$26),0,IF(AND(Mitarbeiter!$F$26&lt;&gt;"",FY$5&gt;Mitarbeiter!$F$26),0,IF(Planung!FY28="",$C28,IF(ISNUMBER(Planung!FY28),Planung!FY28,IF(UPPER(Planung!FY28)="H",$C28/2,0)))))))</f>
        <v>0</v>
      </c>
      <c r="FZ28" s="27">
        <f>IF($A28="",0,IF(Mitarbeiter!$G$26=FALSE,0,IF(AND(Mitarbeiter!$E$26&lt;&gt;"",FZ$5+6&lt;Mitarbeiter!$E$26),0,IF(AND(Mitarbeiter!$F$26&lt;&gt;"",FZ$5&gt;Mitarbeiter!$F$26),0,IF(Planung!FZ28="",$C28,IF(ISNUMBER(Planung!FZ28),Planung!FZ28,IF(UPPER(Planung!FZ28)="H",$C28/2,0)))))))</f>
        <v>0</v>
      </c>
      <c r="GA28" s="27">
        <f>IF($A28="",0,IF(Mitarbeiter!$G$26=FALSE,0,IF(AND(Mitarbeiter!$E$26&lt;&gt;"",GA$5+6&lt;Mitarbeiter!$E$26),0,IF(AND(Mitarbeiter!$F$26&lt;&gt;"",GA$5&gt;Mitarbeiter!$F$26),0,IF(Planung!GA28="",$C28,IF(ISNUMBER(Planung!GA28),Planung!GA28,IF(UPPER(Planung!GA28)="H",$C28/2,0)))))))</f>
        <v>0</v>
      </c>
      <c r="GB28" s="27">
        <f>IF($A28="",0,IF(Mitarbeiter!$G$26=FALSE,0,IF(AND(Mitarbeiter!$E$26&lt;&gt;"",GB$5+6&lt;Mitarbeiter!$E$26),0,IF(AND(Mitarbeiter!$F$26&lt;&gt;"",GB$5&gt;Mitarbeiter!$F$26),0,IF(Planung!GB28="",$C28,IF(ISNUMBER(Planung!GB28),Planung!GB28,IF(UPPER(Planung!GB28)="H",$C28/2,0)))))))</f>
        <v>0</v>
      </c>
      <c r="GC28" s="27">
        <f>IF($A28="",0,IF(Mitarbeiter!$G$26=FALSE,0,IF(AND(Mitarbeiter!$E$26&lt;&gt;"",GC$5+6&lt;Mitarbeiter!$E$26),0,IF(AND(Mitarbeiter!$F$26&lt;&gt;"",GC$5&gt;Mitarbeiter!$F$26),0,IF(Planung!GC28="",$C28,IF(ISNUMBER(Planung!GC28),Planung!GC28,IF(UPPER(Planung!GC28)="H",$C28/2,0)))))))</f>
        <v>0</v>
      </c>
      <c r="GD28" s="27">
        <f>IF($A28="",0,IF(Mitarbeiter!$G$26=FALSE,0,IF(AND(Mitarbeiter!$E$26&lt;&gt;"",GD$5+6&lt;Mitarbeiter!$E$26),0,IF(AND(Mitarbeiter!$F$26&lt;&gt;"",GD$5&gt;Mitarbeiter!$F$26),0,IF(Planung!GD28="",$C28,IF(ISNUMBER(Planung!GD28),Planung!GD28,IF(UPPER(Planung!GD28)="H",$C28/2,0)))))))</f>
        <v>0</v>
      </c>
      <c r="GE28" s="27">
        <f>IF($A28="",0,IF(Mitarbeiter!$G$26=FALSE,0,IF(AND(Mitarbeiter!$E$26&lt;&gt;"",GE$5+6&lt;Mitarbeiter!$E$26),0,IF(AND(Mitarbeiter!$F$26&lt;&gt;"",GE$5&gt;Mitarbeiter!$F$26),0,IF(Planung!GE28="",$C28,IF(ISNUMBER(Planung!GE28),Planung!GE28,IF(UPPER(Planung!GE28)="H",$C28/2,0)))))))</f>
        <v>0</v>
      </c>
      <c r="GF28" s="27">
        <f>IF($A28="",0,IF(Mitarbeiter!$G$26=FALSE,0,IF(AND(Mitarbeiter!$E$26&lt;&gt;"",GF$5+6&lt;Mitarbeiter!$E$26),0,IF(AND(Mitarbeiter!$F$26&lt;&gt;"",GF$5&gt;Mitarbeiter!$F$26),0,IF(Planung!GF28="",$C28,IF(ISNUMBER(Planung!GF28),Planung!GF28,IF(UPPER(Planung!GF28)="H",$C28/2,0)))))))</f>
        <v>0</v>
      </c>
      <c r="GG28" s="27">
        <f>IF($A28="",0,IF(Mitarbeiter!$G$26=FALSE,0,IF(AND(Mitarbeiter!$E$26&lt;&gt;"",GG$5+6&lt;Mitarbeiter!$E$26),0,IF(AND(Mitarbeiter!$F$26&lt;&gt;"",GG$5&gt;Mitarbeiter!$F$26),0,IF(Planung!GG28="",$C28,IF(ISNUMBER(Planung!GG28),Planung!GG28,IF(UPPER(Planung!GG28)="H",$C28/2,0)))))))</f>
        <v>0</v>
      </c>
      <c r="GH28" s="27">
        <f>IF($A28="",0,IF(Mitarbeiter!$G$26=FALSE,0,IF(AND(Mitarbeiter!$E$26&lt;&gt;"",GH$5+6&lt;Mitarbeiter!$E$26),0,IF(AND(Mitarbeiter!$F$26&lt;&gt;"",GH$5&gt;Mitarbeiter!$F$26),0,IF(Planung!GH28="",$C28,IF(ISNUMBER(Planung!GH28),Planung!GH28,IF(UPPER(Planung!GH28)="H",$C28/2,0)))))))</f>
        <v>0</v>
      </c>
      <c r="GI28" s="27">
        <f>IF($A28="",0,IF(Mitarbeiter!$G$26=FALSE,0,IF(AND(Mitarbeiter!$E$26&lt;&gt;"",GI$5+6&lt;Mitarbeiter!$E$26),0,IF(AND(Mitarbeiter!$F$26&lt;&gt;"",GI$5&gt;Mitarbeiter!$F$26),0,IF(Planung!GI28="",$C28,IF(ISNUMBER(Planung!GI28),Planung!GI28,IF(UPPER(Planung!GI28)="H",$C28/2,0)))))))</f>
        <v>0</v>
      </c>
      <c r="GJ28" s="27">
        <f>IF($A28="",0,IF(Mitarbeiter!$G$26=FALSE,0,IF(AND(Mitarbeiter!$E$26&lt;&gt;"",GJ$5+6&lt;Mitarbeiter!$E$26),0,IF(AND(Mitarbeiter!$F$26&lt;&gt;"",GJ$5&gt;Mitarbeiter!$F$26),0,IF(Planung!GJ28="",$C28,IF(ISNUMBER(Planung!GJ28),Planung!GJ28,IF(UPPER(Planung!GJ28)="H",$C28/2,0)))))))</f>
        <v>0</v>
      </c>
      <c r="GK28" s="27">
        <f>IF($A28="",0,IF(Mitarbeiter!$G$26=FALSE,0,IF(AND(Mitarbeiter!$E$26&lt;&gt;"",GK$5+6&lt;Mitarbeiter!$E$26),0,IF(AND(Mitarbeiter!$F$26&lt;&gt;"",GK$5&gt;Mitarbeiter!$F$26),0,IF(Planung!GK28="",$C28,IF(ISNUMBER(Planung!GK28),Planung!GK28,IF(UPPER(Planung!GK28)="H",$C28/2,0)))))))</f>
        <v>0</v>
      </c>
      <c r="GL28" s="27">
        <f>IF($A28="",0,IF(Mitarbeiter!$G$26=FALSE,0,IF(AND(Mitarbeiter!$E$26&lt;&gt;"",GL$5+6&lt;Mitarbeiter!$E$26),0,IF(AND(Mitarbeiter!$F$26&lt;&gt;"",GL$5&gt;Mitarbeiter!$F$26),0,IF(Planung!GL28="",$C28,IF(ISNUMBER(Planung!GL28),Planung!GL28,IF(UPPER(Planung!GL28)="H",$C28/2,0)))))))</f>
        <v>0</v>
      </c>
      <c r="GM28" s="27">
        <f>IF($A28="",0,IF(Mitarbeiter!$G$26=FALSE,0,IF(AND(Mitarbeiter!$E$26&lt;&gt;"",GM$5+6&lt;Mitarbeiter!$E$26),0,IF(AND(Mitarbeiter!$F$26&lt;&gt;"",GM$5&gt;Mitarbeiter!$F$26),0,IF(Planung!GM28="",$C28,IF(ISNUMBER(Planung!GM28),Planung!GM28,IF(UPPER(Planung!GM28)="H",$C28/2,0)))))))</f>
        <v>0</v>
      </c>
      <c r="GN28" s="27">
        <f>IF($A28="",0,IF(Mitarbeiter!$G$26=FALSE,0,IF(AND(Mitarbeiter!$E$26&lt;&gt;"",GN$5+6&lt;Mitarbeiter!$E$26),0,IF(AND(Mitarbeiter!$F$26&lt;&gt;"",GN$5&gt;Mitarbeiter!$F$26),0,IF(Planung!GN28="",$C28,IF(ISNUMBER(Planung!GN28),Planung!GN28,IF(UPPER(Planung!GN28)="H",$C28/2,0)))))))</f>
        <v>0</v>
      </c>
      <c r="GO28" s="27">
        <f>IF($A28="",0,IF(Mitarbeiter!$G$26=FALSE,0,IF(AND(Mitarbeiter!$E$26&lt;&gt;"",GO$5+6&lt;Mitarbeiter!$E$26),0,IF(AND(Mitarbeiter!$F$26&lt;&gt;"",GO$5&gt;Mitarbeiter!$F$26),0,IF(Planung!GO28="",$C28,IF(ISNUMBER(Planung!GO28),Planung!GO28,IF(UPPER(Planung!GO28)="H",$C28/2,0)))))))</f>
        <v>0</v>
      </c>
      <c r="GP28" s="27">
        <f>IF($A28="",0,IF(Mitarbeiter!$G$26=FALSE,0,IF(AND(Mitarbeiter!$E$26&lt;&gt;"",GP$5+6&lt;Mitarbeiter!$E$26),0,IF(AND(Mitarbeiter!$F$26&lt;&gt;"",GP$5&gt;Mitarbeiter!$F$26),0,IF(Planung!GP28="",$C28,IF(ISNUMBER(Planung!GP28),Planung!GP28,IF(UPPER(Planung!GP28)="H",$C28/2,0)))))))</f>
        <v>0</v>
      </c>
      <c r="GQ28" s="27">
        <f>IF($A28="",0,IF(Mitarbeiter!$G$26=FALSE,0,IF(AND(Mitarbeiter!$E$26&lt;&gt;"",GQ$5+6&lt;Mitarbeiter!$E$26),0,IF(AND(Mitarbeiter!$F$26&lt;&gt;"",GQ$5&gt;Mitarbeiter!$F$26),0,IF(Planung!GQ28="",$C28,IF(ISNUMBER(Planung!GQ28),Planung!GQ28,IF(UPPER(Planung!GQ28)="H",$C28/2,0)))))))</f>
        <v>0</v>
      </c>
      <c r="GR28" s="27">
        <f>IF($A28="",0,IF(Mitarbeiter!$G$26=FALSE,0,IF(AND(Mitarbeiter!$E$26&lt;&gt;"",GR$5+6&lt;Mitarbeiter!$E$26),0,IF(AND(Mitarbeiter!$F$26&lt;&gt;"",GR$5&gt;Mitarbeiter!$F$26),0,IF(Planung!GR28="",$C28,IF(ISNUMBER(Planung!GR28),Planung!GR28,IF(UPPER(Planung!GR28)="H",$C28/2,0)))))))</f>
        <v>0</v>
      </c>
      <c r="GS28" s="27">
        <f>IF($A28="",0,IF(Mitarbeiter!$G$26=FALSE,0,IF(AND(Mitarbeiter!$E$26&lt;&gt;"",GS$5+6&lt;Mitarbeiter!$E$26),0,IF(AND(Mitarbeiter!$F$26&lt;&gt;"",GS$5&gt;Mitarbeiter!$F$26),0,IF(Planung!GS28="",$C28,IF(ISNUMBER(Planung!GS28),Planung!GS28,IF(UPPER(Planung!GS28)="H",$C28/2,0)))))))</f>
        <v>0</v>
      </c>
      <c r="GT28" s="27">
        <f>IF($A28="",0,IF(Mitarbeiter!$G$26=FALSE,0,IF(AND(Mitarbeiter!$E$26&lt;&gt;"",GT$5+6&lt;Mitarbeiter!$E$26),0,IF(AND(Mitarbeiter!$F$26&lt;&gt;"",GT$5&gt;Mitarbeiter!$F$26),0,IF(Planung!GT28="",$C28,IF(ISNUMBER(Planung!GT28),Planung!GT28,IF(UPPER(Planung!GT28)="H",$C28/2,0)))))))</f>
        <v>0</v>
      </c>
      <c r="GU28" s="27">
        <f>IF($A28="",0,IF(Mitarbeiter!$G$26=FALSE,0,IF(AND(Mitarbeiter!$E$26&lt;&gt;"",GU$5+6&lt;Mitarbeiter!$E$26),0,IF(AND(Mitarbeiter!$F$26&lt;&gt;"",GU$5&gt;Mitarbeiter!$F$26),0,IF(Planung!GU28="",$C28,IF(ISNUMBER(Planung!GU28),Planung!GU28,IF(UPPER(Planung!GU28)="H",$C28/2,0)))))))</f>
        <v>0</v>
      </c>
      <c r="GV28" s="27">
        <f>IF($A28="",0,IF(Mitarbeiter!$G$26=FALSE,0,IF(AND(Mitarbeiter!$E$26&lt;&gt;"",GV$5+6&lt;Mitarbeiter!$E$26),0,IF(AND(Mitarbeiter!$F$26&lt;&gt;"",GV$5&gt;Mitarbeiter!$F$26),0,IF(Planung!GV28="",$C28,IF(ISNUMBER(Planung!GV28),Planung!GV28,IF(UPPER(Planung!GV28)="H",$C28/2,0)))))))</f>
        <v>0</v>
      </c>
      <c r="GW28" s="27">
        <f>IF($A28="",0,IF(Mitarbeiter!$G$26=FALSE,0,IF(AND(Mitarbeiter!$E$26&lt;&gt;"",GW$5+6&lt;Mitarbeiter!$E$26),0,IF(AND(Mitarbeiter!$F$26&lt;&gt;"",GW$5&gt;Mitarbeiter!$F$26),0,IF(Planung!GW28="",$C28,IF(ISNUMBER(Planung!GW28),Planung!GW28,IF(UPPER(Planung!GW28)="H",$C28/2,0)))))))</f>
        <v>0</v>
      </c>
      <c r="GX28" s="27">
        <f>IF($A28="",0,IF(Mitarbeiter!$G$26=FALSE,0,IF(AND(Mitarbeiter!$E$26&lt;&gt;"",GX$5+6&lt;Mitarbeiter!$E$26),0,IF(AND(Mitarbeiter!$F$26&lt;&gt;"",GX$5&gt;Mitarbeiter!$F$26),0,IF(Planung!GX28="",$C28,IF(ISNUMBER(Planung!GX28),Planung!GX28,IF(UPPER(Planung!GX28)="H",$C28/2,0)))))))</f>
        <v>0</v>
      </c>
      <c r="GY28" s="27">
        <f>IF($A28="",0,IF(Mitarbeiter!$G$26=FALSE,0,IF(AND(Mitarbeiter!$E$26&lt;&gt;"",GY$5+6&lt;Mitarbeiter!$E$26),0,IF(AND(Mitarbeiter!$F$26&lt;&gt;"",GY$5&gt;Mitarbeiter!$F$26),0,IF(Planung!GY28="",$C28,IF(ISNUMBER(Planung!GY28),Planung!GY28,IF(UPPER(Planung!GY28)="H",$C28/2,0)))))))</f>
        <v>0</v>
      </c>
      <c r="GZ28" s="27">
        <f>IF($A28="",0,IF(Mitarbeiter!$G$26=FALSE,0,IF(AND(Mitarbeiter!$E$26&lt;&gt;"",GZ$5+6&lt;Mitarbeiter!$E$26),0,IF(AND(Mitarbeiter!$F$26&lt;&gt;"",GZ$5&gt;Mitarbeiter!$F$26),0,IF(Planung!GZ28="",$C28,IF(ISNUMBER(Planung!GZ28),Planung!GZ28,IF(UPPER(Planung!GZ28)="H",$C28/2,0)))))))</f>
        <v>0</v>
      </c>
      <c r="HA28" s="27">
        <f>IF($A28="",0,IF(Mitarbeiter!$G$26=FALSE,0,IF(AND(Mitarbeiter!$E$26&lt;&gt;"",HA$5+6&lt;Mitarbeiter!$E$26),0,IF(AND(Mitarbeiter!$F$26&lt;&gt;"",HA$5&gt;Mitarbeiter!$F$26),0,IF(Planung!HA28="",$C28,IF(ISNUMBER(Planung!HA28),Planung!HA28,IF(UPPER(Planung!HA28)="H",$C28/2,0)))))))</f>
        <v>0</v>
      </c>
      <c r="HB28" s="27">
        <f>IF($A28="",0,IF(Mitarbeiter!$G$26=FALSE,0,IF(AND(Mitarbeiter!$E$26&lt;&gt;"",HB$5+6&lt;Mitarbeiter!$E$26),0,IF(AND(Mitarbeiter!$F$26&lt;&gt;"",HB$5&gt;Mitarbeiter!$F$26),0,IF(Planung!HB28="",$C28,IF(ISNUMBER(Planung!HB28),Planung!HB28,IF(UPPER(Planung!HB28)="H",$C28/2,0)))))))</f>
        <v>0</v>
      </c>
      <c r="HC28" s="27">
        <f>IF($A28="",0,IF(Mitarbeiter!$G$26=FALSE,0,IF(AND(Mitarbeiter!$E$26&lt;&gt;"",HC$5+6&lt;Mitarbeiter!$E$26),0,IF(AND(Mitarbeiter!$F$26&lt;&gt;"",HC$5&gt;Mitarbeiter!$F$26),0,IF(Planung!HC28="",$C28,IF(ISNUMBER(Planung!HC28),Planung!HC28,IF(UPPER(Planung!HC28)="H",$C28/2,0)))))))</f>
        <v>0</v>
      </c>
      <c r="HD28" s="27">
        <f>IF($A28="",0,IF(Mitarbeiter!$G$26=FALSE,0,IF(AND(Mitarbeiter!$E$26&lt;&gt;"",HD$5+6&lt;Mitarbeiter!$E$26),0,IF(AND(Mitarbeiter!$F$26&lt;&gt;"",HD$5&gt;Mitarbeiter!$F$26),0,IF(Planung!HD28="",$C28,IF(ISNUMBER(Planung!HD28),Planung!HD28,IF(UPPER(Planung!HD28)="H",$C28/2,0)))))))</f>
        <v>0</v>
      </c>
      <c r="HE28" s="27">
        <f>IF($A28="",0,IF(Mitarbeiter!$G$26=FALSE,0,IF(AND(Mitarbeiter!$E$26&lt;&gt;"",HE$5+6&lt;Mitarbeiter!$E$26),0,IF(AND(Mitarbeiter!$F$26&lt;&gt;"",HE$5&gt;Mitarbeiter!$F$26),0,IF(Planung!HE28="",$C28,IF(ISNUMBER(Planung!HE28),Planung!HE28,IF(UPPER(Planung!HE28)="H",$C28/2,0)))))))</f>
        <v>0</v>
      </c>
      <c r="HF28" s="27">
        <f>IF($A28="",0,IF(Mitarbeiter!$G$26=FALSE,0,IF(AND(Mitarbeiter!$E$26&lt;&gt;"",HF$5+6&lt;Mitarbeiter!$E$26),0,IF(AND(Mitarbeiter!$F$26&lt;&gt;"",HF$5&gt;Mitarbeiter!$F$26),0,IF(Planung!HF28="",$C28,IF(ISNUMBER(Planung!HF28),Planung!HF28,IF(UPPER(Planung!HF28)="H",$C28/2,0)))))))</f>
        <v>0</v>
      </c>
      <c r="HG28" s="27">
        <f>IF($A28="",0,IF(Mitarbeiter!$G$26=FALSE,0,IF(AND(Mitarbeiter!$E$26&lt;&gt;"",HG$5+6&lt;Mitarbeiter!$E$26),0,IF(AND(Mitarbeiter!$F$26&lt;&gt;"",HG$5&gt;Mitarbeiter!$F$26),0,IF(Planung!HG28="",$C28,IF(ISNUMBER(Planung!HG28),Planung!HG28,IF(UPPER(Planung!HG28)="H",$C28/2,0)))))))</f>
        <v>0</v>
      </c>
      <c r="HH28" s="27">
        <f>IF($A28="",0,IF(Mitarbeiter!$G$26=FALSE,0,IF(AND(Mitarbeiter!$E$26&lt;&gt;"",HH$5+6&lt;Mitarbeiter!$E$26),0,IF(AND(Mitarbeiter!$F$26&lt;&gt;"",HH$5&gt;Mitarbeiter!$F$26),0,IF(Planung!HH28="",$C28,IF(ISNUMBER(Planung!HH28),Planung!HH28,IF(UPPER(Planung!HH28)="H",$C28/2,0)))))))</f>
        <v>0</v>
      </c>
      <c r="HI28" s="27">
        <f>IF($A28="",0,IF(Mitarbeiter!$G$26=FALSE,0,IF(AND(Mitarbeiter!$E$26&lt;&gt;"",HI$5+6&lt;Mitarbeiter!$E$26),0,IF(AND(Mitarbeiter!$F$26&lt;&gt;"",HI$5&gt;Mitarbeiter!$F$26),0,IF(Planung!HI28="",$C28,IF(ISNUMBER(Planung!HI28),Planung!HI28,IF(UPPER(Planung!HI28)="H",$C28/2,0)))))))</f>
        <v>0</v>
      </c>
      <c r="HJ28" s="27">
        <f>IF($A28="",0,IF(Mitarbeiter!$G$26=FALSE,0,IF(AND(Mitarbeiter!$E$26&lt;&gt;"",HJ$5+6&lt;Mitarbeiter!$E$26),0,IF(AND(Mitarbeiter!$F$26&lt;&gt;"",HJ$5&gt;Mitarbeiter!$F$26),0,IF(Planung!HJ28="",$C28,IF(ISNUMBER(Planung!HJ28),Planung!HJ28,IF(UPPER(Planung!HJ28)="H",$C28/2,0)))))))</f>
        <v>0</v>
      </c>
      <c r="HK28" s="27">
        <f>IF($A28="",0,IF(Mitarbeiter!$G$26=FALSE,0,IF(AND(Mitarbeiter!$E$26&lt;&gt;"",HK$5+6&lt;Mitarbeiter!$E$26),0,IF(AND(Mitarbeiter!$F$26&lt;&gt;"",HK$5&gt;Mitarbeiter!$F$26),0,IF(Planung!HK28="",$C28,IF(ISNUMBER(Planung!HK28),Planung!HK28,IF(UPPER(Planung!HK28)="H",$C28/2,0)))))))</f>
        <v>0</v>
      </c>
      <c r="HL28" s="27">
        <f>IF($A28="",0,IF(Mitarbeiter!$G$26=FALSE,0,IF(AND(Mitarbeiter!$E$26&lt;&gt;"",HL$5+6&lt;Mitarbeiter!$E$26),0,IF(AND(Mitarbeiter!$F$26&lt;&gt;"",HL$5&gt;Mitarbeiter!$F$26),0,IF(Planung!HL28="",$C28,IF(ISNUMBER(Planung!HL28),Planung!HL28,IF(UPPER(Planung!HL28)="H",$C28/2,0)))))))</f>
        <v>0</v>
      </c>
      <c r="HM28" s="27">
        <f>IF($A28="",0,IF(Mitarbeiter!$G$26=FALSE,0,IF(AND(Mitarbeiter!$E$26&lt;&gt;"",HM$5+6&lt;Mitarbeiter!$E$26),0,IF(AND(Mitarbeiter!$F$26&lt;&gt;"",HM$5&gt;Mitarbeiter!$F$26),0,IF(Planung!HM28="",$C28,IF(ISNUMBER(Planung!HM28),Planung!HM28,IF(UPPER(Planung!HM28)="H",$C28/2,0)))))))</f>
        <v>0</v>
      </c>
      <c r="HN28" s="27">
        <f>IF($A28="",0,IF(Mitarbeiter!$G$26=FALSE,0,IF(AND(Mitarbeiter!$E$26&lt;&gt;"",HN$5+6&lt;Mitarbeiter!$E$26),0,IF(AND(Mitarbeiter!$F$26&lt;&gt;"",HN$5&gt;Mitarbeiter!$F$26),0,IF(Planung!HN28="",$C28,IF(ISNUMBER(Planung!HN28),Planung!HN28,IF(UPPER(Planung!HN28)="H",$C28/2,0)))))))</f>
        <v>0</v>
      </c>
      <c r="HO28" s="27">
        <f>IF($A28="",0,IF(Mitarbeiter!$G$26=FALSE,0,IF(AND(Mitarbeiter!$E$26&lt;&gt;"",HO$5+6&lt;Mitarbeiter!$E$26),0,IF(AND(Mitarbeiter!$F$26&lt;&gt;"",HO$5&gt;Mitarbeiter!$F$26),0,IF(Planung!HO28="",$C28,IF(ISNUMBER(Planung!HO28),Planung!HO28,IF(UPPER(Planung!HO28)="H",$C28/2,0)))))))</f>
        <v>0</v>
      </c>
      <c r="HP28" s="27">
        <f>IF($A28="",0,IF(Mitarbeiter!$G$26=FALSE,0,IF(AND(Mitarbeiter!$E$26&lt;&gt;"",HP$5+6&lt;Mitarbeiter!$E$26),0,IF(AND(Mitarbeiter!$F$26&lt;&gt;"",HP$5&gt;Mitarbeiter!$F$26),0,IF(Planung!HP28="",$C28,IF(ISNUMBER(Planung!HP28),Planung!HP28,IF(UPPER(Planung!HP28)="H",$C28/2,0)))))))</f>
        <v>0</v>
      </c>
      <c r="HQ28" s="27">
        <f>IF($A28="",0,IF(Mitarbeiter!$G$26=FALSE,0,IF(AND(Mitarbeiter!$E$26&lt;&gt;"",HQ$5+6&lt;Mitarbeiter!$E$26),0,IF(AND(Mitarbeiter!$F$26&lt;&gt;"",HQ$5&gt;Mitarbeiter!$F$26),0,IF(Planung!HQ28="",$C28,IF(ISNUMBER(Planung!HQ28),Planung!HQ28,IF(UPPER(Planung!HQ28)="H",$C28/2,0)))))))</f>
        <v>0</v>
      </c>
      <c r="HR28" s="27">
        <f>IF($A28="",0,IF(Mitarbeiter!$G$26=FALSE,0,IF(AND(Mitarbeiter!$E$26&lt;&gt;"",HR$5+6&lt;Mitarbeiter!$E$26),0,IF(AND(Mitarbeiter!$F$26&lt;&gt;"",HR$5&gt;Mitarbeiter!$F$26),0,IF(Planung!HR28="",$C28,IF(ISNUMBER(Planung!HR28),Planung!HR28,IF(UPPER(Planung!HR28)="H",$C28/2,0)))))))</f>
        <v>0</v>
      </c>
      <c r="HS28" s="27">
        <f>IF($A28="",0,IF(Mitarbeiter!$G$26=FALSE,0,IF(AND(Mitarbeiter!$E$26&lt;&gt;"",HS$5+6&lt;Mitarbeiter!$E$26),0,IF(AND(Mitarbeiter!$F$26&lt;&gt;"",HS$5&gt;Mitarbeiter!$F$26),0,IF(Planung!HS28="",$C28,IF(ISNUMBER(Planung!HS28),Planung!HS28,IF(UPPER(Planung!HS28)="H",$C28/2,0)))))))</f>
        <v>0</v>
      </c>
      <c r="HT28" s="27">
        <f>IF($A28="",0,IF(Mitarbeiter!$G$26=FALSE,0,IF(AND(Mitarbeiter!$E$26&lt;&gt;"",HT$5+6&lt;Mitarbeiter!$E$26),0,IF(AND(Mitarbeiter!$F$26&lt;&gt;"",HT$5&gt;Mitarbeiter!$F$26),0,IF(Planung!HT28="",$C28,IF(ISNUMBER(Planung!HT28),Planung!HT28,IF(UPPER(Planung!HT28)="H",$C28/2,0)))))))</f>
        <v>0</v>
      </c>
      <c r="HU28" s="27">
        <f>IF($A28="",0,IF(Mitarbeiter!$G$26=FALSE,0,IF(AND(Mitarbeiter!$E$26&lt;&gt;"",HU$5+6&lt;Mitarbeiter!$E$26),0,IF(AND(Mitarbeiter!$F$26&lt;&gt;"",HU$5&gt;Mitarbeiter!$F$26),0,IF(Planung!HU28="",$C28,IF(ISNUMBER(Planung!HU28),Planung!HU28,IF(UPPER(Planung!HU28)="H",$C28/2,0)))))))</f>
        <v>0</v>
      </c>
      <c r="HV28" s="27">
        <f>IF($A28="",0,IF(Mitarbeiter!$G$26=FALSE,0,IF(AND(Mitarbeiter!$E$26&lt;&gt;"",HV$5+6&lt;Mitarbeiter!$E$26),0,IF(AND(Mitarbeiter!$F$26&lt;&gt;"",HV$5&gt;Mitarbeiter!$F$26),0,IF(Planung!HV28="",$C28,IF(ISNUMBER(Planung!HV28),Planung!HV28,IF(UPPER(Planung!HV28)="H",$C28/2,0)))))))</f>
        <v>0</v>
      </c>
      <c r="HW28" s="27">
        <f>IF($A28="",0,IF(Mitarbeiter!$G$26=FALSE,0,IF(AND(Mitarbeiter!$E$26&lt;&gt;"",HW$5+6&lt;Mitarbeiter!$E$26),0,IF(AND(Mitarbeiter!$F$26&lt;&gt;"",HW$5&gt;Mitarbeiter!$F$26),0,IF(Planung!HW28="",$C28,IF(ISNUMBER(Planung!HW28),Planung!HW28,IF(UPPER(Planung!HW28)="H",$C28/2,0)))))))</f>
        <v>0</v>
      </c>
      <c r="HX28" s="27">
        <f>IF($A28="",0,IF(Mitarbeiter!$G$26=FALSE,0,IF(AND(Mitarbeiter!$E$26&lt;&gt;"",HX$5+6&lt;Mitarbeiter!$E$26),0,IF(AND(Mitarbeiter!$F$26&lt;&gt;"",HX$5&gt;Mitarbeiter!$F$26),0,IF(Planung!HX28="",$C28,IF(ISNUMBER(Planung!HX28),Planung!HX28,IF(UPPER(Planung!HX28)="H",$C28/2,0)))))))</f>
        <v>0</v>
      </c>
      <c r="HY28" s="27">
        <f>IF($A28="",0,IF(Mitarbeiter!$G$26=FALSE,0,IF(AND(Mitarbeiter!$E$26&lt;&gt;"",HY$5+6&lt;Mitarbeiter!$E$26),0,IF(AND(Mitarbeiter!$F$26&lt;&gt;"",HY$5&gt;Mitarbeiter!$F$26),0,IF(Planung!HY28="",$C28,IF(ISNUMBER(Planung!HY28),Planung!HY28,IF(UPPER(Planung!HY28)="H",$C28/2,0)))))))</f>
        <v>0</v>
      </c>
      <c r="HZ28" s="27">
        <f>IF($A28="",0,IF(Mitarbeiter!$G$26=FALSE,0,IF(AND(Mitarbeiter!$E$26&lt;&gt;"",HZ$5+6&lt;Mitarbeiter!$E$26),0,IF(AND(Mitarbeiter!$F$26&lt;&gt;"",HZ$5&gt;Mitarbeiter!$F$26),0,IF(Planung!HZ28="",$C28,IF(ISNUMBER(Planung!HZ28),Planung!HZ28,IF(UPPER(Planung!HZ28)="H",$C28/2,0)))))))</f>
        <v>0</v>
      </c>
      <c r="IA28" s="27">
        <f>IF($A28="",0,IF(Mitarbeiter!$G$26=FALSE,0,IF(AND(Mitarbeiter!$E$26&lt;&gt;"",IA$5+6&lt;Mitarbeiter!$E$26),0,IF(AND(Mitarbeiter!$F$26&lt;&gt;"",IA$5&gt;Mitarbeiter!$F$26),0,IF(Planung!IA28="",$C28,IF(ISNUMBER(Planung!IA28),Planung!IA28,IF(UPPER(Planung!IA28)="H",$C28/2,0)))))))</f>
        <v>0</v>
      </c>
    </row>
    <row r="29" spans="1:235" x14ac:dyDescent="0.25">
      <c r="A29" s="7" t="str">
        <f>Planung!A29</f>
        <v/>
      </c>
      <c r="B29" s="7" t="str">
        <f>Planung!B29</f>
        <v/>
      </c>
      <c r="C29" s="27">
        <f>N(Mitarbeiter!$D$27)</f>
        <v>0</v>
      </c>
      <c r="D29" s="27">
        <f>IF($A29="",0,IF(Mitarbeiter!$G$27=FALSE,0,IF(AND(Mitarbeiter!$E$27&lt;&gt;"",D$5+6&lt;Mitarbeiter!$E$27),0,IF(AND(Mitarbeiter!$F$27&lt;&gt;"",D$5&gt;Mitarbeiter!$F$27),0,IF(Planung!D29="",$C29,IF(ISNUMBER(Planung!D29),Planung!D29,IF(UPPER(Planung!D29)="H",$C29/2,0)))))))</f>
        <v>0</v>
      </c>
      <c r="E29" s="27">
        <f>IF($A29="",0,IF(Mitarbeiter!$G$27=FALSE,0,IF(AND(Mitarbeiter!$E$27&lt;&gt;"",E$5+6&lt;Mitarbeiter!$E$27),0,IF(AND(Mitarbeiter!$F$27&lt;&gt;"",E$5&gt;Mitarbeiter!$F$27),0,IF(Planung!E29="",$C29,IF(ISNUMBER(Planung!E29),Planung!E29,IF(UPPER(Planung!E29)="H",$C29/2,0)))))))</f>
        <v>0</v>
      </c>
      <c r="F29" s="27">
        <f>IF($A29="",0,IF(Mitarbeiter!$G$27=FALSE,0,IF(AND(Mitarbeiter!$E$27&lt;&gt;"",F$5+6&lt;Mitarbeiter!$E$27),0,IF(AND(Mitarbeiter!$F$27&lt;&gt;"",F$5&gt;Mitarbeiter!$F$27),0,IF(Planung!F29="",$C29,IF(ISNUMBER(Planung!F29),Planung!F29,IF(UPPER(Planung!F29)="H",$C29/2,0)))))))</f>
        <v>0</v>
      </c>
      <c r="G29" s="27">
        <f>IF($A29="",0,IF(Mitarbeiter!$G$27=FALSE,0,IF(AND(Mitarbeiter!$E$27&lt;&gt;"",G$5+6&lt;Mitarbeiter!$E$27),0,IF(AND(Mitarbeiter!$F$27&lt;&gt;"",G$5&gt;Mitarbeiter!$F$27),0,IF(Planung!G29="",$C29,IF(ISNUMBER(Planung!G29),Planung!G29,IF(UPPER(Planung!G29)="H",$C29/2,0)))))))</f>
        <v>0</v>
      </c>
      <c r="H29" s="27">
        <f>IF($A29="",0,IF(Mitarbeiter!$G$27=FALSE,0,IF(AND(Mitarbeiter!$E$27&lt;&gt;"",H$5+6&lt;Mitarbeiter!$E$27),0,IF(AND(Mitarbeiter!$F$27&lt;&gt;"",H$5&gt;Mitarbeiter!$F$27),0,IF(Planung!H29="",$C29,IF(ISNUMBER(Planung!H29),Planung!H29,IF(UPPER(Planung!H29)="H",$C29/2,0)))))))</f>
        <v>0</v>
      </c>
      <c r="I29" s="27">
        <f>IF($A29="",0,IF(Mitarbeiter!$G$27=FALSE,0,IF(AND(Mitarbeiter!$E$27&lt;&gt;"",I$5+6&lt;Mitarbeiter!$E$27),0,IF(AND(Mitarbeiter!$F$27&lt;&gt;"",I$5&gt;Mitarbeiter!$F$27),0,IF(Planung!I29="",$C29,IF(ISNUMBER(Planung!I29),Planung!I29,IF(UPPER(Planung!I29)="H",$C29/2,0)))))))</f>
        <v>0</v>
      </c>
      <c r="J29" s="27">
        <f>IF($A29="",0,IF(Mitarbeiter!$G$27=FALSE,0,IF(AND(Mitarbeiter!$E$27&lt;&gt;"",J$5+6&lt;Mitarbeiter!$E$27),0,IF(AND(Mitarbeiter!$F$27&lt;&gt;"",J$5&gt;Mitarbeiter!$F$27),0,IF(Planung!J29="",$C29,IF(ISNUMBER(Planung!J29),Planung!J29,IF(UPPER(Planung!J29)="H",$C29/2,0)))))))</f>
        <v>0</v>
      </c>
      <c r="K29" s="27">
        <f>IF($A29="",0,IF(Mitarbeiter!$G$27=FALSE,0,IF(AND(Mitarbeiter!$E$27&lt;&gt;"",K$5+6&lt;Mitarbeiter!$E$27),0,IF(AND(Mitarbeiter!$F$27&lt;&gt;"",K$5&gt;Mitarbeiter!$F$27),0,IF(Planung!K29="",$C29,IF(ISNUMBER(Planung!K29),Planung!K29,IF(UPPER(Planung!K29)="H",$C29/2,0)))))))</f>
        <v>0</v>
      </c>
      <c r="L29" s="27">
        <f>IF($A29="",0,IF(Mitarbeiter!$G$27=FALSE,0,IF(AND(Mitarbeiter!$E$27&lt;&gt;"",L$5+6&lt;Mitarbeiter!$E$27),0,IF(AND(Mitarbeiter!$F$27&lt;&gt;"",L$5&gt;Mitarbeiter!$F$27),0,IF(Planung!L29="",$C29,IF(ISNUMBER(Planung!L29),Planung!L29,IF(UPPER(Planung!L29)="H",$C29/2,0)))))))</f>
        <v>0</v>
      </c>
      <c r="M29" s="27">
        <f>IF($A29="",0,IF(Mitarbeiter!$G$27=FALSE,0,IF(AND(Mitarbeiter!$E$27&lt;&gt;"",M$5+6&lt;Mitarbeiter!$E$27),0,IF(AND(Mitarbeiter!$F$27&lt;&gt;"",M$5&gt;Mitarbeiter!$F$27),0,IF(Planung!M29="",$C29,IF(ISNUMBER(Planung!M29),Planung!M29,IF(UPPER(Planung!M29)="H",$C29/2,0)))))))</f>
        <v>0</v>
      </c>
      <c r="N29" s="27">
        <f>IF($A29="",0,IF(Mitarbeiter!$G$27=FALSE,0,IF(AND(Mitarbeiter!$E$27&lt;&gt;"",N$5+6&lt;Mitarbeiter!$E$27),0,IF(AND(Mitarbeiter!$F$27&lt;&gt;"",N$5&gt;Mitarbeiter!$F$27),0,IF(Planung!N29="",$C29,IF(ISNUMBER(Planung!N29),Planung!N29,IF(UPPER(Planung!N29)="H",$C29/2,0)))))))</f>
        <v>0</v>
      </c>
      <c r="O29" s="27">
        <f>IF($A29="",0,IF(Mitarbeiter!$G$27=FALSE,0,IF(AND(Mitarbeiter!$E$27&lt;&gt;"",O$5+6&lt;Mitarbeiter!$E$27),0,IF(AND(Mitarbeiter!$F$27&lt;&gt;"",O$5&gt;Mitarbeiter!$F$27),0,IF(Planung!O29="",$C29,IF(ISNUMBER(Planung!O29),Planung!O29,IF(UPPER(Planung!O29)="H",$C29/2,0)))))))</f>
        <v>0</v>
      </c>
      <c r="P29" s="27">
        <f>IF($A29="",0,IF(Mitarbeiter!$G$27=FALSE,0,IF(AND(Mitarbeiter!$E$27&lt;&gt;"",P$5+6&lt;Mitarbeiter!$E$27),0,IF(AND(Mitarbeiter!$F$27&lt;&gt;"",P$5&gt;Mitarbeiter!$F$27),0,IF(Planung!P29="",$C29,IF(ISNUMBER(Planung!P29),Planung!P29,IF(UPPER(Planung!P29)="H",$C29/2,0)))))))</f>
        <v>0</v>
      </c>
      <c r="Q29" s="27">
        <f>IF($A29="",0,IF(Mitarbeiter!$G$27=FALSE,0,IF(AND(Mitarbeiter!$E$27&lt;&gt;"",Q$5+6&lt;Mitarbeiter!$E$27),0,IF(AND(Mitarbeiter!$F$27&lt;&gt;"",Q$5&gt;Mitarbeiter!$F$27),0,IF(Planung!Q29="",$C29,IF(ISNUMBER(Planung!Q29),Planung!Q29,IF(UPPER(Planung!Q29)="H",$C29/2,0)))))))</f>
        <v>0</v>
      </c>
      <c r="R29" s="27">
        <f>IF($A29="",0,IF(Mitarbeiter!$G$27=FALSE,0,IF(AND(Mitarbeiter!$E$27&lt;&gt;"",R$5+6&lt;Mitarbeiter!$E$27),0,IF(AND(Mitarbeiter!$F$27&lt;&gt;"",R$5&gt;Mitarbeiter!$F$27),0,IF(Planung!R29="",$C29,IF(ISNUMBER(Planung!R29),Planung!R29,IF(UPPER(Planung!R29)="H",$C29/2,0)))))))</f>
        <v>0</v>
      </c>
      <c r="S29" s="27">
        <f>IF($A29="",0,IF(Mitarbeiter!$G$27=FALSE,0,IF(AND(Mitarbeiter!$E$27&lt;&gt;"",S$5+6&lt;Mitarbeiter!$E$27),0,IF(AND(Mitarbeiter!$F$27&lt;&gt;"",S$5&gt;Mitarbeiter!$F$27),0,IF(Planung!S29="",$C29,IF(ISNUMBER(Planung!S29),Planung!S29,IF(UPPER(Planung!S29)="H",$C29/2,0)))))))</f>
        <v>0</v>
      </c>
      <c r="T29" s="27">
        <f>IF($A29="",0,IF(Mitarbeiter!$G$27=FALSE,0,IF(AND(Mitarbeiter!$E$27&lt;&gt;"",T$5+6&lt;Mitarbeiter!$E$27),0,IF(AND(Mitarbeiter!$F$27&lt;&gt;"",T$5&gt;Mitarbeiter!$F$27),0,IF(Planung!T29="",$C29,IF(ISNUMBER(Planung!T29),Planung!T29,IF(UPPER(Planung!T29)="H",$C29/2,0)))))))</f>
        <v>0</v>
      </c>
      <c r="U29" s="27">
        <f>IF($A29="",0,IF(Mitarbeiter!$G$27=FALSE,0,IF(AND(Mitarbeiter!$E$27&lt;&gt;"",U$5+6&lt;Mitarbeiter!$E$27),0,IF(AND(Mitarbeiter!$F$27&lt;&gt;"",U$5&gt;Mitarbeiter!$F$27),0,IF(Planung!U29="",$C29,IF(ISNUMBER(Planung!U29),Planung!U29,IF(UPPER(Planung!U29)="H",$C29/2,0)))))))</f>
        <v>0</v>
      </c>
      <c r="V29" s="27">
        <f>IF($A29="",0,IF(Mitarbeiter!$G$27=FALSE,0,IF(AND(Mitarbeiter!$E$27&lt;&gt;"",V$5+6&lt;Mitarbeiter!$E$27),0,IF(AND(Mitarbeiter!$F$27&lt;&gt;"",V$5&gt;Mitarbeiter!$F$27),0,IF(Planung!V29="",$C29,IF(ISNUMBER(Planung!V29),Planung!V29,IF(UPPER(Planung!V29)="H",$C29/2,0)))))))</f>
        <v>0</v>
      </c>
      <c r="W29" s="27">
        <f>IF($A29="",0,IF(Mitarbeiter!$G$27=FALSE,0,IF(AND(Mitarbeiter!$E$27&lt;&gt;"",W$5+6&lt;Mitarbeiter!$E$27),0,IF(AND(Mitarbeiter!$F$27&lt;&gt;"",W$5&gt;Mitarbeiter!$F$27),0,IF(Planung!W29="",$C29,IF(ISNUMBER(Planung!W29),Planung!W29,IF(UPPER(Planung!W29)="H",$C29/2,0)))))))</f>
        <v>0</v>
      </c>
      <c r="X29" s="27">
        <f>IF($A29="",0,IF(Mitarbeiter!$G$27=FALSE,0,IF(AND(Mitarbeiter!$E$27&lt;&gt;"",X$5+6&lt;Mitarbeiter!$E$27),0,IF(AND(Mitarbeiter!$F$27&lt;&gt;"",X$5&gt;Mitarbeiter!$F$27),0,IF(Planung!X29="",$C29,IF(ISNUMBER(Planung!X29),Planung!X29,IF(UPPER(Planung!X29)="H",$C29/2,0)))))))</f>
        <v>0</v>
      </c>
      <c r="Y29" s="27">
        <f>IF($A29="",0,IF(Mitarbeiter!$G$27=FALSE,0,IF(AND(Mitarbeiter!$E$27&lt;&gt;"",Y$5+6&lt;Mitarbeiter!$E$27),0,IF(AND(Mitarbeiter!$F$27&lt;&gt;"",Y$5&gt;Mitarbeiter!$F$27),0,IF(Planung!Y29="",$C29,IF(ISNUMBER(Planung!Y29),Planung!Y29,IF(UPPER(Planung!Y29)="H",$C29/2,0)))))))</f>
        <v>0</v>
      </c>
      <c r="Z29" s="27">
        <f>IF($A29="",0,IF(Mitarbeiter!$G$27=FALSE,0,IF(AND(Mitarbeiter!$E$27&lt;&gt;"",Z$5+6&lt;Mitarbeiter!$E$27),0,IF(AND(Mitarbeiter!$F$27&lt;&gt;"",Z$5&gt;Mitarbeiter!$F$27),0,IF(Planung!Z29="",$C29,IF(ISNUMBER(Planung!Z29),Planung!Z29,IF(UPPER(Planung!Z29)="H",$C29/2,0)))))))</f>
        <v>0</v>
      </c>
      <c r="AA29" s="27">
        <f>IF($A29="",0,IF(Mitarbeiter!$G$27=FALSE,0,IF(AND(Mitarbeiter!$E$27&lt;&gt;"",AA$5+6&lt;Mitarbeiter!$E$27),0,IF(AND(Mitarbeiter!$F$27&lt;&gt;"",AA$5&gt;Mitarbeiter!$F$27),0,IF(Planung!AA29="",$C29,IF(ISNUMBER(Planung!AA29),Planung!AA29,IF(UPPER(Planung!AA29)="H",$C29/2,0)))))))</f>
        <v>0</v>
      </c>
      <c r="AB29" s="27">
        <f>IF($A29="",0,IF(Mitarbeiter!$G$27=FALSE,0,IF(AND(Mitarbeiter!$E$27&lt;&gt;"",AB$5+6&lt;Mitarbeiter!$E$27),0,IF(AND(Mitarbeiter!$F$27&lt;&gt;"",AB$5&gt;Mitarbeiter!$F$27),0,IF(Planung!AB29="",$C29,IF(ISNUMBER(Planung!AB29),Planung!AB29,IF(UPPER(Planung!AB29)="H",$C29/2,0)))))))</f>
        <v>0</v>
      </c>
      <c r="AC29" s="27">
        <f>IF($A29="",0,IF(Mitarbeiter!$G$27=FALSE,0,IF(AND(Mitarbeiter!$E$27&lt;&gt;"",AC$5+6&lt;Mitarbeiter!$E$27),0,IF(AND(Mitarbeiter!$F$27&lt;&gt;"",AC$5&gt;Mitarbeiter!$F$27),0,IF(Planung!AC29="",$C29,IF(ISNUMBER(Planung!AC29),Planung!AC29,IF(UPPER(Planung!AC29)="H",$C29/2,0)))))))</f>
        <v>0</v>
      </c>
      <c r="AD29" s="27">
        <f>IF($A29="",0,IF(Mitarbeiter!$G$27=FALSE,0,IF(AND(Mitarbeiter!$E$27&lt;&gt;"",AD$5+6&lt;Mitarbeiter!$E$27),0,IF(AND(Mitarbeiter!$F$27&lt;&gt;"",AD$5&gt;Mitarbeiter!$F$27),0,IF(Planung!AD29="",$C29,IF(ISNUMBER(Planung!AD29),Planung!AD29,IF(UPPER(Planung!AD29)="H",$C29/2,0)))))))</f>
        <v>0</v>
      </c>
      <c r="AE29" s="27">
        <f>IF($A29="",0,IF(Mitarbeiter!$G$27=FALSE,0,IF(AND(Mitarbeiter!$E$27&lt;&gt;"",AE$5+6&lt;Mitarbeiter!$E$27),0,IF(AND(Mitarbeiter!$F$27&lt;&gt;"",AE$5&gt;Mitarbeiter!$F$27),0,IF(Planung!AE29="",$C29,IF(ISNUMBER(Planung!AE29),Planung!AE29,IF(UPPER(Planung!AE29)="H",$C29/2,0)))))))</f>
        <v>0</v>
      </c>
      <c r="AF29" s="27">
        <f>IF($A29="",0,IF(Mitarbeiter!$G$27=FALSE,0,IF(AND(Mitarbeiter!$E$27&lt;&gt;"",AF$5+6&lt;Mitarbeiter!$E$27),0,IF(AND(Mitarbeiter!$F$27&lt;&gt;"",AF$5&gt;Mitarbeiter!$F$27),0,IF(Planung!AF29="",$C29,IF(ISNUMBER(Planung!AF29),Planung!AF29,IF(UPPER(Planung!AF29)="H",$C29/2,0)))))))</f>
        <v>0</v>
      </c>
      <c r="AG29" s="27">
        <f>IF($A29="",0,IF(Mitarbeiter!$G$27=FALSE,0,IF(AND(Mitarbeiter!$E$27&lt;&gt;"",AG$5+6&lt;Mitarbeiter!$E$27),0,IF(AND(Mitarbeiter!$F$27&lt;&gt;"",AG$5&gt;Mitarbeiter!$F$27),0,IF(Planung!AG29="",$C29,IF(ISNUMBER(Planung!AG29),Planung!AG29,IF(UPPER(Planung!AG29)="H",$C29/2,0)))))))</f>
        <v>0</v>
      </c>
      <c r="AH29" s="27">
        <f>IF($A29="",0,IF(Mitarbeiter!$G$27=FALSE,0,IF(AND(Mitarbeiter!$E$27&lt;&gt;"",AH$5+6&lt;Mitarbeiter!$E$27),0,IF(AND(Mitarbeiter!$F$27&lt;&gt;"",AH$5&gt;Mitarbeiter!$F$27),0,IF(Planung!AH29="",$C29,IF(ISNUMBER(Planung!AH29),Planung!AH29,IF(UPPER(Planung!AH29)="H",$C29/2,0)))))))</f>
        <v>0</v>
      </c>
      <c r="AI29" s="27">
        <f>IF($A29="",0,IF(Mitarbeiter!$G$27=FALSE,0,IF(AND(Mitarbeiter!$E$27&lt;&gt;"",AI$5+6&lt;Mitarbeiter!$E$27),0,IF(AND(Mitarbeiter!$F$27&lt;&gt;"",AI$5&gt;Mitarbeiter!$F$27),0,IF(Planung!AI29="",$C29,IF(ISNUMBER(Planung!AI29),Planung!AI29,IF(UPPER(Planung!AI29)="H",$C29/2,0)))))))</f>
        <v>0</v>
      </c>
      <c r="AJ29" s="27">
        <f>IF($A29="",0,IF(Mitarbeiter!$G$27=FALSE,0,IF(AND(Mitarbeiter!$E$27&lt;&gt;"",AJ$5+6&lt;Mitarbeiter!$E$27),0,IF(AND(Mitarbeiter!$F$27&lt;&gt;"",AJ$5&gt;Mitarbeiter!$F$27),0,IF(Planung!AJ29="",$C29,IF(ISNUMBER(Planung!AJ29),Planung!AJ29,IF(UPPER(Planung!AJ29)="H",$C29/2,0)))))))</f>
        <v>0</v>
      </c>
      <c r="AK29" s="27">
        <f>IF($A29="",0,IF(Mitarbeiter!$G$27=FALSE,0,IF(AND(Mitarbeiter!$E$27&lt;&gt;"",AK$5+6&lt;Mitarbeiter!$E$27),0,IF(AND(Mitarbeiter!$F$27&lt;&gt;"",AK$5&gt;Mitarbeiter!$F$27),0,IF(Planung!AK29="",$C29,IF(ISNUMBER(Planung!AK29),Planung!AK29,IF(UPPER(Planung!AK29)="H",$C29/2,0)))))))</f>
        <v>0</v>
      </c>
      <c r="AL29" s="27">
        <f>IF($A29="",0,IF(Mitarbeiter!$G$27=FALSE,0,IF(AND(Mitarbeiter!$E$27&lt;&gt;"",AL$5+6&lt;Mitarbeiter!$E$27),0,IF(AND(Mitarbeiter!$F$27&lt;&gt;"",AL$5&gt;Mitarbeiter!$F$27),0,IF(Planung!AL29="",$C29,IF(ISNUMBER(Planung!AL29),Planung!AL29,IF(UPPER(Planung!AL29)="H",$C29/2,0)))))))</f>
        <v>0</v>
      </c>
      <c r="AM29" s="27">
        <f>IF($A29="",0,IF(Mitarbeiter!$G$27=FALSE,0,IF(AND(Mitarbeiter!$E$27&lt;&gt;"",AM$5+6&lt;Mitarbeiter!$E$27),0,IF(AND(Mitarbeiter!$F$27&lt;&gt;"",AM$5&gt;Mitarbeiter!$F$27),0,IF(Planung!AM29="",$C29,IF(ISNUMBER(Planung!AM29),Planung!AM29,IF(UPPER(Planung!AM29)="H",$C29/2,0)))))))</f>
        <v>0</v>
      </c>
      <c r="AN29" s="27">
        <f>IF($A29="",0,IF(Mitarbeiter!$G$27=FALSE,0,IF(AND(Mitarbeiter!$E$27&lt;&gt;"",AN$5+6&lt;Mitarbeiter!$E$27),0,IF(AND(Mitarbeiter!$F$27&lt;&gt;"",AN$5&gt;Mitarbeiter!$F$27),0,IF(Planung!AN29="",$C29,IF(ISNUMBER(Planung!AN29),Planung!AN29,IF(UPPER(Planung!AN29)="H",$C29/2,0)))))))</f>
        <v>0</v>
      </c>
      <c r="AO29" s="27">
        <f>IF($A29="",0,IF(Mitarbeiter!$G$27=FALSE,0,IF(AND(Mitarbeiter!$E$27&lt;&gt;"",AO$5+6&lt;Mitarbeiter!$E$27),0,IF(AND(Mitarbeiter!$F$27&lt;&gt;"",AO$5&gt;Mitarbeiter!$F$27),0,IF(Planung!AO29="",$C29,IF(ISNUMBER(Planung!AO29),Planung!AO29,IF(UPPER(Planung!AO29)="H",$C29/2,0)))))))</f>
        <v>0</v>
      </c>
      <c r="AP29" s="27">
        <f>IF($A29="",0,IF(Mitarbeiter!$G$27=FALSE,0,IF(AND(Mitarbeiter!$E$27&lt;&gt;"",AP$5+6&lt;Mitarbeiter!$E$27),0,IF(AND(Mitarbeiter!$F$27&lt;&gt;"",AP$5&gt;Mitarbeiter!$F$27),0,IF(Planung!AP29="",$C29,IF(ISNUMBER(Planung!AP29),Planung!AP29,IF(UPPER(Planung!AP29)="H",$C29/2,0)))))))</f>
        <v>0</v>
      </c>
      <c r="AQ29" s="27">
        <f>IF($A29="",0,IF(Mitarbeiter!$G$27=FALSE,0,IF(AND(Mitarbeiter!$E$27&lt;&gt;"",AQ$5+6&lt;Mitarbeiter!$E$27),0,IF(AND(Mitarbeiter!$F$27&lt;&gt;"",AQ$5&gt;Mitarbeiter!$F$27),0,IF(Planung!AQ29="",$C29,IF(ISNUMBER(Planung!AQ29),Planung!AQ29,IF(UPPER(Planung!AQ29)="H",$C29/2,0)))))))</f>
        <v>0</v>
      </c>
      <c r="AR29" s="27">
        <f>IF($A29="",0,IF(Mitarbeiter!$G$27=FALSE,0,IF(AND(Mitarbeiter!$E$27&lt;&gt;"",AR$5+6&lt;Mitarbeiter!$E$27),0,IF(AND(Mitarbeiter!$F$27&lt;&gt;"",AR$5&gt;Mitarbeiter!$F$27),0,IF(Planung!AR29="",$C29,IF(ISNUMBER(Planung!AR29),Planung!AR29,IF(UPPER(Planung!AR29)="H",$C29/2,0)))))))</f>
        <v>0</v>
      </c>
      <c r="AS29" s="27">
        <f>IF($A29="",0,IF(Mitarbeiter!$G$27=FALSE,0,IF(AND(Mitarbeiter!$E$27&lt;&gt;"",AS$5+6&lt;Mitarbeiter!$E$27),0,IF(AND(Mitarbeiter!$F$27&lt;&gt;"",AS$5&gt;Mitarbeiter!$F$27),0,IF(Planung!AS29="",$C29,IF(ISNUMBER(Planung!AS29),Planung!AS29,IF(UPPER(Planung!AS29)="H",$C29/2,0)))))))</f>
        <v>0</v>
      </c>
      <c r="AT29" s="27">
        <f>IF($A29="",0,IF(Mitarbeiter!$G$27=FALSE,0,IF(AND(Mitarbeiter!$E$27&lt;&gt;"",AT$5+6&lt;Mitarbeiter!$E$27),0,IF(AND(Mitarbeiter!$F$27&lt;&gt;"",AT$5&gt;Mitarbeiter!$F$27),0,IF(Planung!AT29="",$C29,IF(ISNUMBER(Planung!AT29),Planung!AT29,IF(UPPER(Planung!AT29)="H",$C29/2,0)))))))</f>
        <v>0</v>
      </c>
      <c r="AU29" s="27">
        <f>IF($A29="",0,IF(Mitarbeiter!$G$27=FALSE,0,IF(AND(Mitarbeiter!$E$27&lt;&gt;"",AU$5+6&lt;Mitarbeiter!$E$27),0,IF(AND(Mitarbeiter!$F$27&lt;&gt;"",AU$5&gt;Mitarbeiter!$F$27),0,IF(Planung!AU29="",$C29,IF(ISNUMBER(Planung!AU29),Planung!AU29,IF(UPPER(Planung!AU29)="H",$C29/2,0)))))))</f>
        <v>0</v>
      </c>
      <c r="AV29" s="27">
        <f>IF($A29="",0,IF(Mitarbeiter!$G$27=FALSE,0,IF(AND(Mitarbeiter!$E$27&lt;&gt;"",AV$5+6&lt;Mitarbeiter!$E$27),0,IF(AND(Mitarbeiter!$F$27&lt;&gt;"",AV$5&gt;Mitarbeiter!$F$27),0,IF(Planung!AV29="",$C29,IF(ISNUMBER(Planung!AV29),Planung!AV29,IF(UPPER(Planung!AV29)="H",$C29/2,0)))))))</f>
        <v>0</v>
      </c>
      <c r="AW29" s="27">
        <f>IF($A29="",0,IF(Mitarbeiter!$G$27=FALSE,0,IF(AND(Mitarbeiter!$E$27&lt;&gt;"",AW$5+6&lt;Mitarbeiter!$E$27),0,IF(AND(Mitarbeiter!$F$27&lt;&gt;"",AW$5&gt;Mitarbeiter!$F$27),0,IF(Planung!AW29="",$C29,IF(ISNUMBER(Planung!AW29),Planung!AW29,IF(UPPER(Planung!AW29)="H",$C29/2,0)))))))</f>
        <v>0</v>
      </c>
      <c r="AX29" s="27">
        <f>IF($A29="",0,IF(Mitarbeiter!$G$27=FALSE,0,IF(AND(Mitarbeiter!$E$27&lt;&gt;"",AX$5+6&lt;Mitarbeiter!$E$27),0,IF(AND(Mitarbeiter!$F$27&lt;&gt;"",AX$5&gt;Mitarbeiter!$F$27),0,IF(Planung!AX29="",$C29,IF(ISNUMBER(Planung!AX29),Planung!AX29,IF(UPPER(Planung!AX29)="H",$C29/2,0)))))))</f>
        <v>0</v>
      </c>
      <c r="AY29" s="27">
        <f>IF($A29="",0,IF(Mitarbeiter!$G$27=FALSE,0,IF(AND(Mitarbeiter!$E$27&lt;&gt;"",AY$5+6&lt;Mitarbeiter!$E$27),0,IF(AND(Mitarbeiter!$F$27&lt;&gt;"",AY$5&gt;Mitarbeiter!$F$27),0,IF(Planung!AY29="",$C29,IF(ISNUMBER(Planung!AY29),Planung!AY29,IF(UPPER(Planung!AY29)="H",$C29/2,0)))))))</f>
        <v>0</v>
      </c>
      <c r="AZ29" s="27">
        <f>IF($A29="",0,IF(Mitarbeiter!$G$27=FALSE,0,IF(AND(Mitarbeiter!$E$27&lt;&gt;"",AZ$5+6&lt;Mitarbeiter!$E$27),0,IF(AND(Mitarbeiter!$F$27&lt;&gt;"",AZ$5&gt;Mitarbeiter!$F$27),0,IF(Planung!AZ29="",$C29,IF(ISNUMBER(Planung!AZ29),Planung!AZ29,IF(UPPER(Planung!AZ29)="H",$C29/2,0)))))))</f>
        <v>0</v>
      </c>
      <c r="BA29" s="27">
        <f>IF($A29="",0,IF(Mitarbeiter!$G$27=FALSE,0,IF(AND(Mitarbeiter!$E$27&lt;&gt;"",BA$5+6&lt;Mitarbeiter!$E$27),0,IF(AND(Mitarbeiter!$F$27&lt;&gt;"",BA$5&gt;Mitarbeiter!$F$27),0,IF(Planung!BA29="",$C29,IF(ISNUMBER(Planung!BA29),Planung!BA29,IF(UPPER(Planung!BA29)="H",$C29/2,0)))))))</f>
        <v>0</v>
      </c>
      <c r="BB29" s="27">
        <f>IF($A29="",0,IF(Mitarbeiter!$G$27=FALSE,0,IF(AND(Mitarbeiter!$E$27&lt;&gt;"",BB$5+6&lt;Mitarbeiter!$E$27),0,IF(AND(Mitarbeiter!$F$27&lt;&gt;"",BB$5&gt;Mitarbeiter!$F$27),0,IF(Planung!BB29="",$C29,IF(ISNUMBER(Planung!BB29),Planung!BB29,IF(UPPER(Planung!BB29)="H",$C29/2,0)))))))</f>
        <v>0</v>
      </c>
      <c r="BC29" s="27">
        <f>IF($A29="",0,IF(Mitarbeiter!$G$27=FALSE,0,IF(AND(Mitarbeiter!$E$27&lt;&gt;"",BC$5+6&lt;Mitarbeiter!$E$27),0,IF(AND(Mitarbeiter!$F$27&lt;&gt;"",BC$5&gt;Mitarbeiter!$F$27),0,IF(Planung!BC29="",$C29,IF(ISNUMBER(Planung!BC29),Planung!BC29,IF(UPPER(Planung!BC29)="H",$C29/2,0)))))))</f>
        <v>0</v>
      </c>
      <c r="BD29" s="27">
        <f>IF($A29="",0,IF(Mitarbeiter!$G$27=FALSE,0,IF(AND(Mitarbeiter!$E$27&lt;&gt;"",BD$5+6&lt;Mitarbeiter!$E$27),0,IF(AND(Mitarbeiter!$F$27&lt;&gt;"",BD$5&gt;Mitarbeiter!$F$27),0,IF(Planung!BD29="",$C29,IF(ISNUMBER(Planung!BD29),Planung!BD29,IF(UPPER(Planung!BD29)="H",$C29/2,0)))))))</f>
        <v>0</v>
      </c>
      <c r="BE29" s="27">
        <f>IF($A29="",0,IF(Mitarbeiter!$G$27=FALSE,0,IF(AND(Mitarbeiter!$E$27&lt;&gt;"",BE$5+6&lt;Mitarbeiter!$E$27),0,IF(AND(Mitarbeiter!$F$27&lt;&gt;"",BE$5&gt;Mitarbeiter!$F$27),0,IF(Planung!BE29="",$C29,IF(ISNUMBER(Planung!BE29),Planung!BE29,IF(UPPER(Planung!BE29)="H",$C29/2,0)))))))</f>
        <v>0</v>
      </c>
      <c r="BF29" s="27">
        <f>IF($A29="",0,IF(Mitarbeiter!$G$27=FALSE,0,IF(AND(Mitarbeiter!$E$27&lt;&gt;"",BF$5+6&lt;Mitarbeiter!$E$27),0,IF(AND(Mitarbeiter!$F$27&lt;&gt;"",BF$5&gt;Mitarbeiter!$F$27),0,IF(Planung!BF29="",$C29,IF(ISNUMBER(Planung!BF29),Planung!BF29,IF(UPPER(Planung!BF29)="H",$C29/2,0)))))))</f>
        <v>0</v>
      </c>
      <c r="BG29" s="27">
        <f>IF($A29="",0,IF(Mitarbeiter!$G$27=FALSE,0,IF(AND(Mitarbeiter!$E$27&lt;&gt;"",BG$5+6&lt;Mitarbeiter!$E$27),0,IF(AND(Mitarbeiter!$F$27&lt;&gt;"",BG$5&gt;Mitarbeiter!$F$27),0,IF(Planung!BG29="",$C29,IF(ISNUMBER(Planung!BG29),Planung!BG29,IF(UPPER(Planung!BG29)="H",$C29/2,0)))))))</f>
        <v>0</v>
      </c>
      <c r="BH29" s="27">
        <f>IF($A29="",0,IF(Mitarbeiter!$G$27=FALSE,0,IF(AND(Mitarbeiter!$E$27&lt;&gt;"",BH$5+6&lt;Mitarbeiter!$E$27),0,IF(AND(Mitarbeiter!$F$27&lt;&gt;"",BH$5&gt;Mitarbeiter!$F$27),0,IF(Planung!BH29="",$C29,IF(ISNUMBER(Planung!BH29),Planung!BH29,IF(UPPER(Planung!BH29)="H",$C29/2,0)))))))</f>
        <v>0</v>
      </c>
      <c r="BI29" s="27">
        <f>IF($A29="",0,IF(Mitarbeiter!$G$27=FALSE,0,IF(AND(Mitarbeiter!$E$27&lt;&gt;"",BI$5+6&lt;Mitarbeiter!$E$27),0,IF(AND(Mitarbeiter!$F$27&lt;&gt;"",BI$5&gt;Mitarbeiter!$F$27),0,IF(Planung!BI29="",$C29,IF(ISNUMBER(Planung!BI29),Planung!BI29,IF(UPPER(Planung!BI29)="H",$C29/2,0)))))))</f>
        <v>0</v>
      </c>
      <c r="BJ29" s="27">
        <f>IF($A29="",0,IF(Mitarbeiter!$G$27=FALSE,0,IF(AND(Mitarbeiter!$E$27&lt;&gt;"",BJ$5+6&lt;Mitarbeiter!$E$27),0,IF(AND(Mitarbeiter!$F$27&lt;&gt;"",BJ$5&gt;Mitarbeiter!$F$27),0,IF(Planung!BJ29="",$C29,IF(ISNUMBER(Planung!BJ29),Planung!BJ29,IF(UPPER(Planung!BJ29)="H",$C29/2,0)))))))</f>
        <v>0</v>
      </c>
      <c r="BK29" s="27">
        <f>IF($A29="",0,IF(Mitarbeiter!$G$27=FALSE,0,IF(AND(Mitarbeiter!$E$27&lt;&gt;"",BK$5+6&lt;Mitarbeiter!$E$27),0,IF(AND(Mitarbeiter!$F$27&lt;&gt;"",BK$5&gt;Mitarbeiter!$F$27),0,IF(Planung!BK29="",$C29,IF(ISNUMBER(Planung!BK29),Planung!BK29,IF(UPPER(Planung!BK29)="H",$C29/2,0)))))))</f>
        <v>0</v>
      </c>
      <c r="BL29" s="27">
        <f>IF($A29="",0,IF(Mitarbeiter!$G$27=FALSE,0,IF(AND(Mitarbeiter!$E$27&lt;&gt;"",BL$5+6&lt;Mitarbeiter!$E$27),0,IF(AND(Mitarbeiter!$F$27&lt;&gt;"",BL$5&gt;Mitarbeiter!$F$27),0,IF(Planung!BL29="",$C29,IF(ISNUMBER(Planung!BL29),Planung!BL29,IF(UPPER(Planung!BL29)="H",$C29/2,0)))))))</f>
        <v>0</v>
      </c>
      <c r="BM29" s="27">
        <f>IF($A29="",0,IF(Mitarbeiter!$G$27=FALSE,0,IF(AND(Mitarbeiter!$E$27&lt;&gt;"",BM$5+6&lt;Mitarbeiter!$E$27),0,IF(AND(Mitarbeiter!$F$27&lt;&gt;"",BM$5&gt;Mitarbeiter!$F$27),0,IF(Planung!BM29="",$C29,IF(ISNUMBER(Planung!BM29),Planung!BM29,IF(UPPER(Planung!BM29)="H",$C29/2,0)))))))</f>
        <v>0</v>
      </c>
      <c r="BN29" s="27">
        <f>IF($A29="",0,IF(Mitarbeiter!$G$27=FALSE,0,IF(AND(Mitarbeiter!$E$27&lt;&gt;"",BN$5+6&lt;Mitarbeiter!$E$27),0,IF(AND(Mitarbeiter!$F$27&lt;&gt;"",BN$5&gt;Mitarbeiter!$F$27),0,IF(Planung!BN29="",$C29,IF(ISNUMBER(Planung!BN29),Planung!BN29,IF(UPPER(Planung!BN29)="H",$C29/2,0)))))))</f>
        <v>0</v>
      </c>
      <c r="BO29" s="27">
        <f>IF($A29="",0,IF(Mitarbeiter!$G$27=FALSE,0,IF(AND(Mitarbeiter!$E$27&lt;&gt;"",BO$5+6&lt;Mitarbeiter!$E$27),0,IF(AND(Mitarbeiter!$F$27&lt;&gt;"",BO$5&gt;Mitarbeiter!$F$27),0,IF(Planung!BO29="",$C29,IF(ISNUMBER(Planung!BO29),Planung!BO29,IF(UPPER(Planung!BO29)="H",$C29/2,0)))))))</f>
        <v>0</v>
      </c>
      <c r="BP29" s="27">
        <f>IF($A29="",0,IF(Mitarbeiter!$G$27=FALSE,0,IF(AND(Mitarbeiter!$E$27&lt;&gt;"",BP$5+6&lt;Mitarbeiter!$E$27),0,IF(AND(Mitarbeiter!$F$27&lt;&gt;"",BP$5&gt;Mitarbeiter!$F$27),0,IF(Planung!BP29="",$C29,IF(ISNUMBER(Planung!BP29),Planung!BP29,IF(UPPER(Planung!BP29)="H",$C29/2,0)))))))</f>
        <v>0</v>
      </c>
      <c r="BQ29" s="27">
        <f>IF($A29="",0,IF(Mitarbeiter!$G$27=FALSE,0,IF(AND(Mitarbeiter!$E$27&lt;&gt;"",BQ$5+6&lt;Mitarbeiter!$E$27),0,IF(AND(Mitarbeiter!$F$27&lt;&gt;"",BQ$5&gt;Mitarbeiter!$F$27),0,IF(Planung!BQ29="",$C29,IF(ISNUMBER(Planung!BQ29),Planung!BQ29,IF(UPPER(Planung!BQ29)="H",$C29/2,0)))))))</f>
        <v>0</v>
      </c>
      <c r="BR29" s="27">
        <f>IF($A29="",0,IF(Mitarbeiter!$G$27=FALSE,0,IF(AND(Mitarbeiter!$E$27&lt;&gt;"",BR$5+6&lt;Mitarbeiter!$E$27),0,IF(AND(Mitarbeiter!$F$27&lt;&gt;"",BR$5&gt;Mitarbeiter!$F$27),0,IF(Planung!BR29="",$C29,IF(ISNUMBER(Planung!BR29),Planung!BR29,IF(UPPER(Planung!BR29)="H",$C29/2,0)))))))</f>
        <v>0</v>
      </c>
      <c r="BS29" s="27">
        <f>IF($A29="",0,IF(Mitarbeiter!$G$27=FALSE,0,IF(AND(Mitarbeiter!$E$27&lt;&gt;"",BS$5+6&lt;Mitarbeiter!$E$27),0,IF(AND(Mitarbeiter!$F$27&lt;&gt;"",BS$5&gt;Mitarbeiter!$F$27),0,IF(Planung!BS29="",$C29,IF(ISNUMBER(Planung!BS29),Planung!BS29,IF(UPPER(Planung!BS29)="H",$C29/2,0)))))))</f>
        <v>0</v>
      </c>
      <c r="BT29" s="27">
        <f>IF($A29="",0,IF(Mitarbeiter!$G$27=FALSE,0,IF(AND(Mitarbeiter!$E$27&lt;&gt;"",BT$5+6&lt;Mitarbeiter!$E$27),0,IF(AND(Mitarbeiter!$F$27&lt;&gt;"",BT$5&gt;Mitarbeiter!$F$27),0,IF(Planung!BT29="",$C29,IF(ISNUMBER(Planung!BT29),Planung!BT29,IF(UPPER(Planung!BT29)="H",$C29/2,0)))))))</f>
        <v>0</v>
      </c>
      <c r="BU29" s="27">
        <f>IF($A29="",0,IF(Mitarbeiter!$G$27=FALSE,0,IF(AND(Mitarbeiter!$E$27&lt;&gt;"",BU$5+6&lt;Mitarbeiter!$E$27),0,IF(AND(Mitarbeiter!$F$27&lt;&gt;"",BU$5&gt;Mitarbeiter!$F$27),0,IF(Planung!BU29="",$C29,IF(ISNUMBER(Planung!BU29),Planung!BU29,IF(UPPER(Planung!BU29)="H",$C29/2,0)))))))</f>
        <v>0</v>
      </c>
      <c r="BV29" s="27">
        <f>IF($A29="",0,IF(Mitarbeiter!$G$27=FALSE,0,IF(AND(Mitarbeiter!$E$27&lt;&gt;"",BV$5+6&lt;Mitarbeiter!$E$27),0,IF(AND(Mitarbeiter!$F$27&lt;&gt;"",BV$5&gt;Mitarbeiter!$F$27),0,IF(Planung!BV29="",$C29,IF(ISNUMBER(Planung!BV29),Planung!BV29,IF(UPPER(Planung!BV29)="H",$C29/2,0)))))))</f>
        <v>0</v>
      </c>
      <c r="BW29" s="27">
        <f>IF($A29="",0,IF(Mitarbeiter!$G$27=FALSE,0,IF(AND(Mitarbeiter!$E$27&lt;&gt;"",BW$5+6&lt;Mitarbeiter!$E$27),0,IF(AND(Mitarbeiter!$F$27&lt;&gt;"",BW$5&gt;Mitarbeiter!$F$27),0,IF(Planung!BW29="",$C29,IF(ISNUMBER(Planung!BW29),Planung!BW29,IF(UPPER(Planung!BW29)="H",$C29/2,0)))))))</f>
        <v>0</v>
      </c>
      <c r="BX29" s="27">
        <f>IF($A29="",0,IF(Mitarbeiter!$G$27=FALSE,0,IF(AND(Mitarbeiter!$E$27&lt;&gt;"",BX$5+6&lt;Mitarbeiter!$E$27),0,IF(AND(Mitarbeiter!$F$27&lt;&gt;"",BX$5&gt;Mitarbeiter!$F$27),0,IF(Planung!BX29="",$C29,IF(ISNUMBER(Planung!BX29),Planung!BX29,IF(UPPER(Planung!BX29)="H",$C29/2,0)))))))</f>
        <v>0</v>
      </c>
      <c r="BY29" s="27">
        <f>IF($A29="",0,IF(Mitarbeiter!$G$27=FALSE,0,IF(AND(Mitarbeiter!$E$27&lt;&gt;"",BY$5+6&lt;Mitarbeiter!$E$27),0,IF(AND(Mitarbeiter!$F$27&lt;&gt;"",BY$5&gt;Mitarbeiter!$F$27),0,IF(Planung!BY29="",$C29,IF(ISNUMBER(Planung!BY29),Planung!BY29,IF(UPPER(Planung!BY29)="H",$C29/2,0)))))))</f>
        <v>0</v>
      </c>
      <c r="BZ29" s="27">
        <f>IF($A29="",0,IF(Mitarbeiter!$G$27=FALSE,0,IF(AND(Mitarbeiter!$E$27&lt;&gt;"",BZ$5+6&lt;Mitarbeiter!$E$27),0,IF(AND(Mitarbeiter!$F$27&lt;&gt;"",BZ$5&gt;Mitarbeiter!$F$27),0,IF(Planung!BZ29="",$C29,IF(ISNUMBER(Planung!BZ29),Planung!BZ29,IF(UPPER(Planung!BZ29)="H",$C29/2,0)))))))</f>
        <v>0</v>
      </c>
      <c r="CA29" s="27">
        <f>IF($A29="",0,IF(Mitarbeiter!$G$27=FALSE,0,IF(AND(Mitarbeiter!$E$27&lt;&gt;"",CA$5+6&lt;Mitarbeiter!$E$27),0,IF(AND(Mitarbeiter!$F$27&lt;&gt;"",CA$5&gt;Mitarbeiter!$F$27),0,IF(Planung!CA29="",$C29,IF(ISNUMBER(Planung!CA29),Planung!CA29,IF(UPPER(Planung!CA29)="H",$C29/2,0)))))))</f>
        <v>0</v>
      </c>
      <c r="CB29" s="27">
        <f>IF($A29="",0,IF(Mitarbeiter!$G$27=FALSE,0,IF(AND(Mitarbeiter!$E$27&lt;&gt;"",CB$5+6&lt;Mitarbeiter!$E$27),0,IF(AND(Mitarbeiter!$F$27&lt;&gt;"",CB$5&gt;Mitarbeiter!$F$27),0,IF(Planung!CB29="",$C29,IF(ISNUMBER(Planung!CB29),Planung!CB29,IF(UPPER(Planung!CB29)="H",$C29/2,0)))))))</f>
        <v>0</v>
      </c>
      <c r="CC29" s="27">
        <f>IF($A29="",0,IF(Mitarbeiter!$G$27=FALSE,0,IF(AND(Mitarbeiter!$E$27&lt;&gt;"",CC$5+6&lt;Mitarbeiter!$E$27),0,IF(AND(Mitarbeiter!$F$27&lt;&gt;"",CC$5&gt;Mitarbeiter!$F$27),0,IF(Planung!CC29="",$C29,IF(ISNUMBER(Planung!CC29),Planung!CC29,IF(UPPER(Planung!CC29)="H",$C29/2,0)))))))</f>
        <v>0</v>
      </c>
      <c r="CD29" s="27">
        <f>IF($A29="",0,IF(Mitarbeiter!$G$27=FALSE,0,IF(AND(Mitarbeiter!$E$27&lt;&gt;"",CD$5+6&lt;Mitarbeiter!$E$27),0,IF(AND(Mitarbeiter!$F$27&lt;&gt;"",CD$5&gt;Mitarbeiter!$F$27),0,IF(Planung!CD29="",$C29,IF(ISNUMBER(Planung!CD29),Planung!CD29,IF(UPPER(Planung!CD29)="H",$C29/2,0)))))))</f>
        <v>0</v>
      </c>
      <c r="CE29" s="27">
        <f>IF($A29="",0,IF(Mitarbeiter!$G$27=FALSE,0,IF(AND(Mitarbeiter!$E$27&lt;&gt;"",CE$5+6&lt;Mitarbeiter!$E$27),0,IF(AND(Mitarbeiter!$F$27&lt;&gt;"",CE$5&gt;Mitarbeiter!$F$27),0,IF(Planung!CE29="",$C29,IF(ISNUMBER(Planung!CE29),Planung!CE29,IF(UPPER(Planung!CE29)="H",$C29/2,0)))))))</f>
        <v>0</v>
      </c>
      <c r="CF29" s="27">
        <f>IF($A29="",0,IF(Mitarbeiter!$G$27=FALSE,0,IF(AND(Mitarbeiter!$E$27&lt;&gt;"",CF$5+6&lt;Mitarbeiter!$E$27),0,IF(AND(Mitarbeiter!$F$27&lt;&gt;"",CF$5&gt;Mitarbeiter!$F$27),0,IF(Planung!CF29="",$C29,IF(ISNUMBER(Planung!CF29),Planung!CF29,IF(UPPER(Planung!CF29)="H",$C29/2,0)))))))</f>
        <v>0</v>
      </c>
      <c r="CG29" s="27">
        <f>IF($A29="",0,IF(Mitarbeiter!$G$27=FALSE,0,IF(AND(Mitarbeiter!$E$27&lt;&gt;"",CG$5+6&lt;Mitarbeiter!$E$27),0,IF(AND(Mitarbeiter!$F$27&lt;&gt;"",CG$5&gt;Mitarbeiter!$F$27),0,IF(Planung!CG29="",$C29,IF(ISNUMBER(Planung!CG29),Planung!CG29,IF(UPPER(Planung!CG29)="H",$C29/2,0)))))))</f>
        <v>0</v>
      </c>
      <c r="CH29" s="27">
        <f>IF($A29="",0,IF(Mitarbeiter!$G$27=FALSE,0,IF(AND(Mitarbeiter!$E$27&lt;&gt;"",CH$5+6&lt;Mitarbeiter!$E$27),0,IF(AND(Mitarbeiter!$F$27&lt;&gt;"",CH$5&gt;Mitarbeiter!$F$27),0,IF(Planung!CH29="",$C29,IF(ISNUMBER(Planung!CH29),Planung!CH29,IF(UPPER(Planung!CH29)="H",$C29/2,0)))))))</f>
        <v>0</v>
      </c>
      <c r="CI29" s="27">
        <f>IF($A29="",0,IF(Mitarbeiter!$G$27=FALSE,0,IF(AND(Mitarbeiter!$E$27&lt;&gt;"",CI$5+6&lt;Mitarbeiter!$E$27),0,IF(AND(Mitarbeiter!$F$27&lt;&gt;"",CI$5&gt;Mitarbeiter!$F$27),0,IF(Planung!CI29="",$C29,IF(ISNUMBER(Planung!CI29),Planung!CI29,IF(UPPER(Planung!CI29)="H",$C29/2,0)))))))</f>
        <v>0</v>
      </c>
      <c r="CJ29" s="27">
        <f>IF($A29="",0,IF(Mitarbeiter!$G$27=FALSE,0,IF(AND(Mitarbeiter!$E$27&lt;&gt;"",CJ$5+6&lt;Mitarbeiter!$E$27),0,IF(AND(Mitarbeiter!$F$27&lt;&gt;"",CJ$5&gt;Mitarbeiter!$F$27),0,IF(Planung!CJ29="",$C29,IF(ISNUMBER(Planung!CJ29),Planung!CJ29,IF(UPPER(Planung!CJ29)="H",$C29/2,0)))))))</f>
        <v>0</v>
      </c>
      <c r="CK29" s="27">
        <f>IF($A29="",0,IF(Mitarbeiter!$G$27=FALSE,0,IF(AND(Mitarbeiter!$E$27&lt;&gt;"",CK$5+6&lt;Mitarbeiter!$E$27),0,IF(AND(Mitarbeiter!$F$27&lt;&gt;"",CK$5&gt;Mitarbeiter!$F$27),0,IF(Planung!CK29="",$C29,IF(ISNUMBER(Planung!CK29),Planung!CK29,IF(UPPER(Planung!CK29)="H",$C29/2,0)))))))</f>
        <v>0</v>
      </c>
      <c r="CL29" s="27">
        <f>IF($A29="",0,IF(Mitarbeiter!$G$27=FALSE,0,IF(AND(Mitarbeiter!$E$27&lt;&gt;"",CL$5+6&lt;Mitarbeiter!$E$27),0,IF(AND(Mitarbeiter!$F$27&lt;&gt;"",CL$5&gt;Mitarbeiter!$F$27),0,IF(Planung!CL29="",$C29,IF(ISNUMBER(Planung!CL29),Planung!CL29,IF(UPPER(Planung!CL29)="H",$C29/2,0)))))))</f>
        <v>0</v>
      </c>
      <c r="CM29" s="27">
        <f>IF($A29="",0,IF(Mitarbeiter!$G$27=FALSE,0,IF(AND(Mitarbeiter!$E$27&lt;&gt;"",CM$5+6&lt;Mitarbeiter!$E$27),0,IF(AND(Mitarbeiter!$F$27&lt;&gt;"",CM$5&gt;Mitarbeiter!$F$27),0,IF(Planung!CM29="",$C29,IF(ISNUMBER(Planung!CM29),Planung!CM29,IF(UPPER(Planung!CM29)="H",$C29/2,0)))))))</f>
        <v>0</v>
      </c>
      <c r="CN29" s="27">
        <f>IF($A29="",0,IF(Mitarbeiter!$G$27=FALSE,0,IF(AND(Mitarbeiter!$E$27&lt;&gt;"",CN$5+6&lt;Mitarbeiter!$E$27),0,IF(AND(Mitarbeiter!$F$27&lt;&gt;"",CN$5&gt;Mitarbeiter!$F$27),0,IF(Planung!CN29="",$C29,IF(ISNUMBER(Planung!CN29),Planung!CN29,IF(UPPER(Planung!CN29)="H",$C29/2,0)))))))</f>
        <v>0</v>
      </c>
      <c r="CO29" s="27">
        <f>IF($A29="",0,IF(Mitarbeiter!$G$27=FALSE,0,IF(AND(Mitarbeiter!$E$27&lt;&gt;"",CO$5+6&lt;Mitarbeiter!$E$27),0,IF(AND(Mitarbeiter!$F$27&lt;&gt;"",CO$5&gt;Mitarbeiter!$F$27),0,IF(Planung!CO29="",$C29,IF(ISNUMBER(Planung!CO29),Planung!CO29,IF(UPPER(Planung!CO29)="H",$C29/2,0)))))))</f>
        <v>0</v>
      </c>
      <c r="CP29" s="27">
        <f>IF($A29="",0,IF(Mitarbeiter!$G$27=FALSE,0,IF(AND(Mitarbeiter!$E$27&lt;&gt;"",CP$5+6&lt;Mitarbeiter!$E$27),0,IF(AND(Mitarbeiter!$F$27&lt;&gt;"",CP$5&gt;Mitarbeiter!$F$27),0,IF(Planung!CP29="",$C29,IF(ISNUMBER(Planung!CP29),Planung!CP29,IF(UPPER(Planung!CP29)="H",$C29/2,0)))))))</f>
        <v>0</v>
      </c>
      <c r="CQ29" s="27">
        <f>IF($A29="",0,IF(Mitarbeiter!$G$27=FALSE,0,IF(AND(Mitarbeiter!$E$27&lt;&gt;"",CQ$5+6&lt;Mitarbeiter!$E$27),0,IF(AND(Mitarbeiter!$F$27&lt;&gt;"",CQ$5&gt;Mitarbeiter!$F$27),0,IF(Planung!CQ29="",$C29,IF(ISNUMBER(Planung!CQ29),Planung!CQ29,IF(UPPER(Planung!CQ29)="H",$C29/2,0)))))))</f>
        <v>0</v>
      </c>
      <c r="CR29" s="27">
        <f>IF($A29="",0,IF(Mitarbeiter!$G$27=FALSE,0,IF(AND(Mitarbeiter!$E$27&lt;&gt;"",CR$5+6&lt;Mitarbeiter!$E$27),0,IF(AND(Mitarbeiter!$F$27&lt;&gt;"",CR$5&gt;Mitarbeiter!$F$27),0,IF(Planung!CR29="",$C29,IF(ISNUMBER(Planung!CR29),Planung!CR29,IF(UPPER(Planung!CR29)="H",$C29/2,0)))))))</f>
        <v>0</v>
      </c>
      <c r="CS29" s="27">
        <f>IF($A29="",0,IF(Mitarbeiter!$G$27=FALSE,0,IF(AND(Mitarbeiter!$E$27&lt;&gt;"",CS$5+6&lt;Mitarbeiter!$E$27),0,IF(AND(Mitarbeiter!$F$27&lt;&gt;"",CS$5&gt;Mitarbeiter!$F$27),0,IF(Planung!CS29="",$C29,IF(ISNUMBER(Planung!CS29),Planung!CS29,IF(UPPER(Planung!CS29)="H",$C29/2,0)))))))</f>
        <v>0</v>
      </c>
      <c r="CT29" s="27">
        <f>IF($A29="",0,IF(Mitarbeiter!$G$27=FALSE,0,IF(AND(Mitarbeiter!$E$27&lt;&gt;"",CT$5+6&lt;Mitarbeiter!$E$27),0,IF(AND(Mitarbeiter!$F$27&lt;&gt;"",CT$5&gt;Mitarbeiter!$F$27),0,IF(Planung!CT29="",$C29,IF(ISNUMBER(Planung!CT29),Planung!CT29,IF(UPPER(Planung!CT29)="H",$C29/2,0)))))))</f>
        <v>0</v>
      </c>
      <c r="CU29" s="27">
        <f>IF($A29="",0,IF(Mitarbeiter!$G$27=FALSE,0,IF(AND(Mitarbeiter!$E$27&lt;&gt;"",CU$5+6&lt;Mitarbeiter!$E$27),0,IF(AND(Mitarbeiter!$F$27&lt;&gt;"",CU$5&gt;Mitarbeiter!$F$27),0,IF(Planung!CU29="",$C29,IF(ISNUMBER(Planung!CU29),Planung!CU29,IF(UPPER(Planung!CU29)="H",$C29/2,0)))))))</f>
        <v>0</v>
      </c>
      <c r="CV29" s="27">
        <f>IF($A29="",0,IF(Mitarbeiter!$G$27=FALSE,0,IF(AND(Mitarbeiter!$E$27&lt;&gt;"",CV$5+6&lt;Mitarbeiter!$E$27),0,IF(AND(Mitarbeiter!$F$27&lt;&gt;"",CV$5&gt;Mitarbeiter!$F$27),0,IF(Planung!CV29="",$C29,IF(ISNUMBER(Planung!CV29),Planung!CV29,IF(UPPER(Planung!CV29)="H",$C29/2,0)))))))</f>
        <v>0</v>
      </c>
      <c r="CW29" s="27">
        <f>IF($A29="",0,IF(Mitarbeiter!$G$27=FALSE,0,IF(AND(Mitarbeiter!$E$27&lt;&gt;"",CW$5+6&lt;Mitarbeiter!$E$27),0,IF(AND(Mitarbeiter!$F$27&lt;&gt;"",CW$5&gt;Mitarbeiter!$F$27),0,IF(Planung!CW29="",$C29,IF(ISNUMBER(Planung!CW29),Planung!CW29,IF(UPPER(Planung!CW29)="H",$C29/2,0)))))))</f>
        <v>0</v>
      </c>
      <c r="CX29" s="27">
        <f>IF($A29="",0,IF(Mitarbeiter!$G$27=FALSE,0,IF(AND(Mitarbeiter!$E$27&lt;&gt;"",CX$5+6&lt;Mitarbeiter!$E$27),0,IF(AND(Mitarbeiter!$F$27&lt;&gt;"",CX$5&gt;Mitarbeiter!$F$27),0,IF(Planung!CX29="",$C29,IF(ISNUMBER(Planung!CX29),Planung!CX29,IF(UPPER(Planung!CX29)="H",$C29/2,0)))))))</f>
        <v>0</v>
      </c>
      <c r="CY29" s="27">
        <f>IF($A29="",0,IF(Mitarbeiter!$G$27=FALSE,0,IF(AND(Mitarbeiter!$E$27&lt;&gt;"",CY$5+6&lt;Mitarbeiter!$E$27),0,IF(AND(Mitarbeiter!$F$27&lt;&gt;"",CY$5&gt;Mitarbeiter!$F$27),0,IF(Planung!CY29="",$C29,IF(ISNUMBER(Planung!CY29),Planung!CY29,IF(UPPER(Planung!CY29)="H",$C29/2,0)))))))</f>
        <v>0</v>
      </c>
      <c r="CZ29" s="27">
        <f>IF($A29="",0,IF(Mitarbeiter!$G$27=FALSE,0,IF(AND(Mitarbeiter!$E$27&lt;&gt;"",CZ$5+6&lt;Mitarbeiter!$E$27),0,IF(AND(Mitarbeiter!$F$27&lt;&gt;"",CZ$5&gt;Mitarbeiter!$F$27),0,IF(Planung!CZ29="",$C29,IF(ISNUMBER(Planung!CZ29),Planung!CZ29,IF(UPPER(Planung!CZ29)="H",$C29/2,0)))))))</f>
        <v>0</v>
      </c>
      <c r="DA29" s="27">
        <f>IF($A29="",0,IF(Mitarbeiter!$G$27=FALSE,0,IF(AND(Mitarbeiter!$E$27&lt;&gt;"",DA$5+6&lt;Mitarbeiter!$E$27),0,IF(AND(Mitarbeiter!$F$27&lt;&gt;"",DA$5&gt;Mitarbeiter!$F$27),0,IF(Planung!DA29="",$C29,IF(ISNUMBER(Planung!DA29),Planung!DA29,IF(UPPER(Planung!DA29)="H",$C29/2,0)))))))</f>
        <v>0</v>
      </c>
      <c r="DB29" s="27">
        <f>IF($A29="",0,IF(Mitarbeiter!$G$27=FALSE,0,IF(AND(Mitarbeiter!$E$27&lt;&gt;"",DB$5+6&lt;Mitarbeiter!$E$27),0,IF(AND(Mitarbeiter!$F$27&lt;&gt;"",DB$5&gt;Mitarbeiter!$F$27),0,IF(Planung!DB29="",$C29,IF(ISNUMBER(Planung!DB29),Planung!DB29,IF(UPPER(Planung!DB29)="H",$C29/2,0)))))))</f>
        <v>0</v>
      </c>
      <c r="DC29" s="27">
        <f>IF($A29="",0,IF(Mitarbeiter!$G$27=FALSE,0,IF(AND(Mitarbeiter!$E$27&lt;&gt;"",DC$5+6&lt;Mitarbeiter!$E$27),0,IF(AND(Mitarbeiter!$F$27&lt;&gt;"",DC$5&gt;Mitarbeiter!$F$27),0,IF(Planung!DC29="",$C29,IF(ISNUMBER(Planung!DC29),Planung!DC29,IF(UPPER(Planung!DC29)="H",$C29/2,0)))))))</f>
        <v>0</v>
      </c>
      <c r="DD29" s="27">
        <f>IF($A29="",0,IF(Mitarbeiter!$G$27=FALSE,0,IF(AND(Mitarbeiter!$E$27&lt;&gt;"",DD$5+6&lt;Mitarbeiter!$E$27),0,IF(AND(Mitarbeiter!$F$27&lt;&gt;"",DD$5&gt;Mitarbeiter!$F$27),0,IF(Planung!DD29="",$C29,IF(ISNUMBER(Planung!DD29),Planung!DD29,IF(UPPER(Planung!DD29)="H",$C29/2,0)))))))</f>
        <v>0</v>
      </c>
      <c r="DE29" s="27">
        <f>IF($A29="",0,IF(Mitarbeiter!$G$27=FALSE,0,IF(AND(Mitarbeiter!$E$27&lt;&gt;"",DE$5+6&lt;Mitarbeiter!$E$27),0,IF(AND(Mitarbeiter!$F$27&lt;&gt;"",DE$5&gt;Mitarbeiter!$F$27),0,IF(Planung!DE29="",$C29,IF(ISNUMBER(Planung!DE29),Planung!DE29,IF(UPPER(Planung!DE29)="H",$C29/2,0)))))))</f>
        <v>0</v>
      </c>
      <c r="DF29" s="27">
        <f>IF($A29="",0,IF(Mitarbeiter!$G$27=FALSE,0,IF(AND(Mitarbeiter!$E$27&lt;&gt;"",DF$5+6&lt;Mitarbeiter!$E$27),0,IF(AND(Mitarbeiter!$F$27&lt;&gt;"",DF$5&gt;Mitarbeiter!$F$27),0,IF(Planung!DF29="",$C29,IF(ISNUMBER(Planung!DF29),Planung!DF29,IF(UPPER(Planung!DF29)="H",$C29/2,0)))))))</f>
        <v>0</v>
      </c>
      <c r="DG29" s="27">
        <f>IF($A29="",0,IF(Mitarbeiter!$G$27=FALSE,0,IF(AND(Mitarbeiter!$E$27&lt;&gt;"",DG$5+6&lt;Mitarbeiter!$E$27),0,IF(AND(Mitarbeiter!$F$27&lt;&gt;"",DG$5&gt;Mitarbeiter!$F$27),0,IF(Planung!DG29="",$C29,IF(ISNUMBER(Planung!DG29),Planung!DG29,IF(UPPER(Planung!DG29)="H",$C29/2,0)))))))</f>
        <v>0</v>
      </c>
      <c r="DH29" s="27">
        <f>IF($A29="",0,IF(Mitarbeiter!$G$27=FALSE,0,IF(AND(Mitarbeiter!$E$27&lt;&gt;"",DH$5+6&lt;Mitarbeiter!$E$27),0,IF(AND(Mitarbeiter!$F$27&lt;&gt;"",DH$5&gt;Mitarbeiter!$F$27),0,IF(Planung!DH29="",$C29,IF(ISNUMBER(Planung!DH29),Planung!DH29,IF(UPPER(Planung!DH29)="H",$C29/2,0)))))))</f>
        <v>0</v>
      </c>
      <c r="DI29" s="27">
        <f>IF($A29="",0,IF(Mitarbeiter!$G$27=FALSE,0,IF(AND(Mitarbeiter!$E$27&lt;&gt;"",DI$5+6&lt;Mitarbeiter!$E$27),0,IF(AND(Mitarbeiter!$F$27&lt;&gt;"",DI$5&gt;Mitarbeiter!$F$27),0,IF(Planung!DI29="",$C29,IF(ISNUMBER(Planung!DI29),Planung!DI29,IF(UPPER(Planung!DI29)="H",$C29/2,0)))))))</f>
        <v>0</v>
      </c>
      <c r="DJ29" s="27">
        <f>IF($A29="",0,IF(Mitarbeiter!$G$27=FALSE,0,IF(AND(Mitarbeiter!$E$27&lt;&gt;"",DJ$5+6&lt;Mitarbeiter!$E$27),0,IF(AND(Mitarbeiter!$F$27&lt;&gt;"",DJ$5&gt;Mitarbeiter!$F$27),0,IF(Planung!DJ29="",$C29,IF(ISNUMBER(Planung!DJ29),Planung!DJ29,IF(UPPER(Planung!DJ29)="H",$C29/2,0)))))))</f>
        <v>0</v>
      </c>
      <c r="DK29" s="27">
        <f>IF($A29="",0,IF(Mitarbeiter!$G$27=FALSE,0,IF(AND(Mitarbeiter!$E$27&lt;&gt;"",DK$5+6&lt;Mitarbeiter!$E$27),0,IF(AND(Mitarbeiter!$F$27&lt;&gt;"",DK$5&gt;Mitarbeiter!$F$27),0,IF(Planung!DK29="",$C29,IF(ISNUMBER(Planung!DK29),Planung!DK29,IF(UPPER(Planung!DK29)="H",$C29/2,0)))))))</f>
        <v>0</v>
      </c>
      <c r="DL29" s="27">
        <f>IF($A29="",0,IF(Mitarbeiter!$G$27=FALSE,0,IF(AND(Mitarbeiter!$E$27&lt;&gt;"",DL$5+6&lt;Mitarbeiter!$E$27),0,IF(AND(Mitarbeiter!$F$27&lt;&gt;"",DL$5&gt;Mitarbeiter!$F$27),0,IF(Planung!DL29="",$C29,IF(ISNUMBER(Planung!DL29),Planung!DL29,IF(UPPER(Planung!DL29)="H",$C29/2,0)))))))</f>
        <v>0</v>
      </c>
      <c r="DM29" s="27">
        <f>IF($A29="",0,IF(Mitarbeiter!$G$27=FALSE,0,IF(AND(Mitarbeiter!$E$27&lt;&gt;"",DM$5+6&lt;Mitarbeiter!$E$27),0,IF(AND(Mitarbeiter!$F$27&lt;&gt;"",DM$5&gt;Mitarbeiter!$F$27),0,IF(Planung!DM29="",$C29,IF(ISNUMBER(Planung!DM29),Planung!DM29,IF(UPPER(Planung!DM29)="H",$C29/2,0)))))))</f>
        <v>0</v>
      </c>
      <c r="DN29" s="27">
        <f>IF($A29="",0,IF(Mitarbeiter!$G$27=FALSE,0,IF(AND(Mitarbeiter!$E$27&lt;&gt;"",DN$5+6&lt;Mitarbeiter!$E$27),0,IF(AND(Mitarbeiter!$F$27&lt;&gt;"",DN$5&gt;Mitarbeiter!$F$27),0,IF(Planung!DN29="",$C29,IF(ISNUMBER(Planung!DN29),Planung!DN29,IF(UPPER(Planung!DN29)="H",$C29/2,0)))))))</f>
        <v>0</v>
      </c>
      <c r="DO29" s="27">
        <f>IF($A29="",0,IF(Mitarbeiter!$G$27=FALSE,0,IF(AND(Mitarbeiter!$E$27&lt;&gt;"",DO$5+6&lt;Mitarbeiter!$E$27),0,IF(AND(Mitarbeiter!$F$27&lt;&gt;"",DO$5&gt;Mitarbeiter!$F$27),0,IF(Planung!DO29="",$C29,IF(ISNUMBER(Planung!DO29),Planung!DO29,IF(UPPER(Planung!DO29)="H",$C29/2,0)))))))</f>
        <v>0</v>
      </c>
      <c r="DP29" s="27">
        <f>IF($A29="",0,IF(Mitarbeiter!$G$27=FALSE,0,IF(AND(Mitarbeiter!$E$27&lt;&gt;"",DP$5+6&lt;Mitarbeiter!$E$27),0,IF(AND(Mitarbeiter!$F$27&lt;&gt;"",DP$5&gt;Mitarbeiter!$F$27),0,IF(Planung!DP29="",$C29,IF(ISNUMBER(Planung!DP29),Planung!DP29,IF(UPPER(Planung!DP29)="H",$C29/2,0)))))))</f>
        <v>0</v>
      </c>
      <c r="DQ29" s="27">
        <f>IF($A29="",0,IF(Mitarbeiter!$G$27=FALSE,0,IF(AND(Mitarbeiter!$E$27&lt;&gt;"",DQ$5+6&lt;Mitarbeiter!$E$27),0,IF(AND(Mitarbeiter!$F$27&lt;&gt;"",DQ$5&gt;Mitarbeiter!$F$27),0,IF(Planung!DQ29="",$C29,IF(ISNUMBER(Planung!DQ29),Planung!DQ29,IF(UPPER(Planung!DQ29)="H",$C29/2,0)))))))</f>
        <v>0</v>
      </c>
      <c r="DR29" s="27">
        <f>IF($A29="",0,IF(Mitarbeiter!$G$27=FALSE,0,IF(AND(Mitarbeiter!$E$27&lt;&gt;"",DR$5+6&lt;Mitarbeiter!$E$27),0,IF(AND(Mitarbeiter!$F$27&lt;&gt;"",DR$5&gt;Mitarbeiter!$F$27),0,IF(Planung!DR29="",$C29,IF(ISNUMBER(Planung!DR29),Planung!DR29,IF(UPPER(Planung!DR29)="H",$C29/2,0)))))))</f>
        <v>0</v>
      </c>
      <c r="DS29" s="27">
        <f>IF($A29="",0,IF(Mitarbeiter!$G$27=FALSE,0,IF(AND(Mitarbeiter!$E$27&lt;&gt;"",DS$5+6&lt;Mitarbeiter!$E$27),0,IF(AND(Mitarbeiter!$F$27&lt;&gt;"",DS$5&gt;Mitarbeiter!$F$27),0,IF(Planung!DS29="",$C29,IF(ISNUMBER(Planung!DS29),Planung!DS29,IF(UPPER(Planung!DS29)="H",$C29/2,0)))))))</f>
        <v>0</v>
      </c>
      <c r="DT29" s="27">
        <f>IF($A29="",0,IF(Mitarbeiter!$G$27=FALSE,0,IF(AND(Mitarbeiter!$E$27&lt;&gt;"",DT$5+6&lt;Mitarbeiter!$E$27),0,IF(AND(Mitarbeiter!$F$27&lt;&gt;"",DT$5&gt;Mitarbeiter!$F$27),0,IF(Planung!DT29="",$C29,IF(ISNUMBER(Planung!DT29),Planung!DT29,IF(UPPER(Planung!DT29)="H",$C29/2,0)))))))</f>
        <v>0</v>
      </c>
      <c r="DU29" s="27">
        <f>IF($A29="",0,IF(Mitarbeiter!$G$27=FALSE,0,IF(AND(Mitarbeiter!$E$27&lt;&gt;"",DU$5+6&lt;Mitarbeiter!$E$27),0,IF(AND(Mitarbeiter!$F$27&lt;&gt;"",DU$5&gt;Mitarbeiter!$F$27),0,IF(Planung!DU29="",$C29,IF(ISNUMBER(Planung!DU29),Planung!DU29,IF(UPPER(Planung!DU29)="H",$C29/2,0)))))))</f>
        <v>0</v>
      </c>
      <c r="DV29" s="27">
        <f>IF($A29="",0,IF(Mitarbeiter!$G$27=FALSE,0,IF(AND(Mitarbeiter!$E$27&lt;&gt;"",DV$5+6&lt;Mitarbeiter!$E$27),0,IF(AND(Mitarbeiter!$F$27&lt;&gt;"",DV$5&gt;Mitarbeiter!$F$27),0,IF(Planung!DV29="",$C29,IF(ISNUMBER(Planung!DV29),Planung!DV29,IF(UPPER(Planung!DV29)="H",$C29/2,0)))))))</f>
        <v>0</v>
      </c>
      <c r="DW29" s="27">
        <f>IF($A29="",0,IF(Mitarbeiter!$G$27=FALSE,0,IF(AND(Mitarbeiter!$E$27&lt;&gt;"",DW$5+6&lt;Mitarbeiter!$E$27),0,IF(AND(Mitarbeiter!$F$27&lt;&gt;"",DW$5&gt;Mitarbeiter!$F$27),0,IF(Planung!DW29="",$C29,IF(ISNUMBER(Planung!DW29),Planung!DW29,IF(UPPER(Planung!DW29)="H",$C29/2,0)))))))</f>
        <v>0</v>
      </c>
      <c r="DX29" s="27">
        <f>IF($A29="",0,IF(Mitarbeiter!$G$27=FALSE,0,IF(AND(Mitarbeiter!$E$27&lt;&gt;"",DX$5+6&lt;Mitarbeiter!$E$27),0,IF(AND(Mitarbeiter!$F$27&lt;&gt;"",DX$5&gt;Mitarbeiter!$F$27),0,IF(Planung!DX29="",$C29,IF(ISNUMBER(Planung!DX29),Planung!DX29,IF(UPPER(Planung!DX29)="H",$C29/2,0)))))))</f>
        <v>0</v>
      </c>
      <c r="DY29" s="27">
        <f>IF($A29="",0,IF(Mitarbeiter!$G$27=FALSE,0,IF(AND(Mitarbeiter!$E$27&lt;&gt;"",DY$5+6&lt;Mitarbeiter!$E$27),0,IF(AND(Mitarbeiter!$F$27&lt;&gt;"",DY$5&gt;Mitarbeiter!$F$27),0,IF(Planung!DY29="",$C29,IF(ISNUMBER(Planung!DY29),Planung!DY29,IF(UPPER(Planung!DY29)="H",$C29/2,0)))))))</f>
        <v>0</v>
      </c>
      <c r="DZ29" s="27">
        <f>IF($A29="",0,IF(Mitarbeiter!$G$27=FALSE,0,IF(AND(Mitarbeiter!$E$27&lt;&gt;"",DZ$5+6&lt;Mitarbeiter!$E$27),0,IF(AND(Mitarbeiter!$F$27&lt;&gt;"",DZ$5&gt;Mitarbeiter!$F$27),0,IF(Planung!DZ29="",$C29,IF(ISNUMBER(Planung!DZ29),Planung!DZ29,IF(UPPER(Planung!DZ29)="H",$C29/2,0)))))))</f>
        <v>0</v>
      </c>
      <c r="EA29" s="27">
        <f>IF($A29="",0,IF(Mitarbeiter!$G$27=FALSE,0,IF(AND(Mitarbeiter!$E$27&lt;&gt;"",EA$5+6&lt;Mitarbeiter!$E$27),0,IF(AND(Mitarbeiter!$F$27&lt;&gt;"",EA$5&gt;Mitarbeiter!$F$27),0,IF(Planung!EA29="",$C29,IF(ISNUMBER(Planung!EA29),Planung!EA29,IF(UPPER(Planung!EA29)="H",$C29/2,0)))))))</f>
        <v>0</v>
      </c>
      <c r="EB29" s="27">
        <f>IF($A29="",0,IF(Mitarbeiter!$G$27=FALSE,0,IF(AND(Mitarbeiter!$E$27&lt;&gt;"",EB$5+6&lt;Mitarbeiter!$E$27),0,IF(AND(Mitarbeiter!$F$27&lt;&gt;"",EB$5&gt;Mitarbeiter!$F$27),0,IF(Planung!EB29="",$C29,IF(ISNUMBER(Planung!EB29),Planung!EB29,IF(UPPER(Planung!EB29)="H",$C29/2,0)))))))</f>
        <v>0</v>
      </c>
      <c r="EC29" s="27">
        <f>IF($A29="",0,IF(Mitarbeiter!$G$27=FALSE,0,IF(AND(Mitarbeiter!$E$27&lt;&gt;"",EC$5+6&lt;Mitarbeiter!$E$27),0,IF(AND(Mitarbeiter!$F$27&lt;&gt;"",EC$5&gt;Mitarbeiter!$F$27),0,IF(Planung!EC29="",$C29,IF(ISNUMBER(Planung!EC29),Planung!EC29,IF(UPPER(Planung!EC29)="H",$C29/2,0)))))))</f>
        <v>0</v>
      </c>
      <c r="ED29" s="27">
        <f>IF($A29="",0,IF(Mitarbeiter!$G$27=FALSE,0,IF(AND(Mitarbeiter!$E$27&lt;&gt;"",ED$5+6&lt;Mitarbeiter!$E$27),0,IF(AND(Mitarbeiter!$F$27&lt;&gt;"",ED$5&gt;Mitarbeiter!$F$27),0,IF(Planung!ED29="",$C29,IF(ISNUMBER(Planung!ED29),Planung!ED29,IF(UPPER(Planung!ED29)="H",$C29/2,0)))))))</f>
        <v>0</v>
      </c>
      <c r="EE29" s="27">
        <f>IF($A29="",0,IF(Mitarbeiter!$G$27=FALSE,0,IF(AND(Mitarbeiter!$E$27&lt;&gt;"",EE$5+6&lt;Mitarbeiter!$E$27),0,IF(AND(Mitarbeiter!$F$27&lt;&gt;"",EE$5&gt;Mitarbeiter!$F$27),0,IF(Planung!EE29="",$C29,IF(ISNUMBER(Planung!EE29),Planung!EE29,IF(UPPER(Planung!EE29)="H",$C29/2,0)))))))</f>
        <v>0</v>
      </c>
      <c r="EF29" s="27">
        <f>IF($A29="",0,IF(Mitarbeiter!$G$27=FALSE,0,IF(AND(Mitarbeiter!$E$27&lt;&gt;"",EF$5+6&lt;Mitarbeiter!$E$27),0,IF(AND(Mitarbeiter!$F$27&lt;&gt;"",EF$5&gt;Mitarbeiter!$F$27),0,IF(Planung!EF29="",$C29,IF(ISNUMBER(Planung!EF29),Planung!EF29,IF(UPPER(Planung!EF29)="H",$C29/2,0)))))))</f>
        <v>0</v>
      </c>
      <c r="EG29" s="27">
        <f>IF($A29="",0,IF(Mitarbeiter!$G$27=FALSE,0,IF(AND(Mitarbeiter!$E$27&lt;&gt;"",EG$5+6&lt;Mitarbeiter!$E$27),0,IF(AND(Mitarbeiter!$F$27&lt;&gt;"",EG$5&gt;Mitarbeiter!$F$27),0,IF(Planung!EG29="",$C29,IF(ISNUMBER(Planung!EG29),Planung!EG29,IF(UPPER(Planung!EG29)="H",$C29/2,0)))))))</f>
        <v>0</v>
      </c>
      <c r="EH29" s="27">
        <f>IF($A29="",0,IF(Mitarbeiter!$G$27=FALSE,0,IF(AND(Mitarbeiter!$E$27&lt;&gt;"",EH$5+6&lt;Mitarbeiter!$E$27),0,IF(AND(Mitarbeiter!$F$27&lt;&gt;"",EH$5&gt;Mitarbeiter!$F$27),0,IF(Planung!EH29="",$C29,IF(ISNUMBER(Planung!EH29),Planung!EH29,IF(UPPER(Planung!EH29)="H",$C29/2,0)))))))</f>
        <v>0</v>
      </c>
      <c r="EI29" s="27">
        <f>IF($A29="",0,IF(Mitarbeiter!$G$27=FALSE,0,IF(AND(Mitarbeiter!$E$27&lt;&gt;"",EI$5+6&lt;Mitarbeiter!$E$27),0,IF(AND(Mitarbeiter!$F$27&lt;&gt;"",EI$5&gt;Mitarbeiter!$F$27),0,IF(Planung!EI29="",$C29,IF(ISNUMBER(Planung!EI29),Planung!EI29,IF(UPPER(Planung!EI29)="H",$C29/2,0)))))))</f>
        <v>0</v>
      </c>
      <c r="EJ29" s="27">
        <f>IF($A29="",0,IF(Mitarbeiter!$G$27=FALSE,0,IF(AND(Mitarbeiter!$E$27&lt;&gt;"",EJ$5+6&lt;Mitarbeiter!$E$27),0,IF(AND(Mitarbeiter!$F$27&lt;&gt;"",EJ$5&gt;Mitarbeiter!$F$27),0,IF(Planung!EJ29="",$C29,IF(ISNUMBER(Planung!EJ29),Planung!EJ29,IF(UPPER(Planung!EJ29)="H",$C29/2,0)))))))</f>
        <v>0</v>
      </c>
      <c r="EK29" s="27">
        <f>IF($A29="",0,IF(Mitarbeiter!$G$27=FALSE,0,IF(AND(Mitarbeiter!$E$27&lt;&gt;"",EK$5+6&lt;Mitarbeiter!$E$27),0,IF(AND(Mitarbeiter!$F$27&lt;&gt;"",EK$5&gt;Mitarbeiter!$F$27),0,IF(Planung!EK29="",$C29,IF(ISNUMBER(Planung!EK29),Planung!EK29,IF(UPPER(Planung!EK29)="H",$C29/2,0)))))))</f>
        <v>0</v>
      </c>
      <c r="EL29" s="27">
        <f>IF($A29="",0,IF(Mitarbeiter!$G$27=FALSE,0,IF(AND(Mitarbeiter!$E$27&lt;&gt;"",EL$5+6&lt;Mitarbeiter!$E$27),0,IF(AND(Mitarbeiter!$F$27&lt;&gt;"",EL$5&gt;Mitarbeiter!$F$27),0,IF(Planung!EL29="",$C29,IF(ISNUMBER(Planung!EL29),Planung!EL29,IF(UPPER(Planung!EL29)="H",$C29/2,0)))))))</f>
        <v>0</v>
      </c>
      <c r="EM29" s="27">
        <f>IF($A29="",0,IF(Mitarbeiter!$G$27=FALSE,0,IF(AND(Mitarbeiter!$E$27&lt;&gt;"",EM$5+6&lt;Mitarbeiter!$E$27),0,IF(AND(Mitarbeiter!$F$27&lt;&gt;"",EM$5&gt;Mitarbeiter!$F$27),0,IF(Planung!EM29="",$C29,IF(ISNUMBER(Planung!EM29),Planung!EM29,IF(UPPER(Planung!EM29)="H",$C29/2,0)))))))</f>
        <v>0</v>
      </c>
      <c r="EN29" s="27">
        <f>IF($A29="",0,IF(Mitarbeiter!$G$27=FALSE,0,IF(AND(Mitarbeiter!$E$27&lt;&gt;"",EN$5+6&lt;Mitarbeiter!$E$27),0,IF(AND(Mitarbeiter!$F$27&lt;&gt;"",EN$5&gt;Mitarbeiter!$F$27),0,IF(Planung!EN29="",$C29,IF(ISNUMBER(Planung!EN29),Planung!EN29,IF(UPPER(Planung!EN29)="H",$C29/2,0)))))))</f>
        <v>0</v>
      </c>
      <c r="EO29" s="27">
        <f>IF($A29="",0,IF(Mitarbeiter!$G$27=FALSE,0,IF(AND(Mitarbeiter!$E$27&lt;&gt;"",EO$5+6&lt;Mitarbeiter!$E$27),0,IF(AND(Mitarbeiter!$F$27&lt;&gt;"",EO$5&gt;Mitarbeiter!$F$27),0,IF(Planung!EO29="",$C29,IF(ISNUMBER(Planung!EO29),Planung!EO29,IF(UPPER(Planung!EO29)="H",$C29/2,0)))))))</f>
        <v>0</v>
      </c>
      <c r="EP29" s="27">
        <f>IF($A29="",0,IF(Mitarbeiter!$G$27=FALSE,0,IF(AND(Mitarbeiter!$E$27&lt;&gt;"",EP$5+6&lt;Mitarbeiter!$E$27),0,IF(AND(Mitarbeiter!$F$27&lt;&gt;"",EP$5&gt;Mitarbeiter!$F$27),0,IF(Planung!EP29="",$C29,IF(ISNUMBER(Planung!EP29),Planung!EP29,IF(UPPER(Planung!EP29)="H",$C29/2,0)))))))</f>
        <v>0</v>
      </c>
      <c r="EQ29" s="27">
        <f>IF($A29="",0,IF(Mitarbeiter!$G$27=FALSE,0,IF(AND(Mitarbeiter!$E$27&lt;&gt;"",EQ$5+6&lt;Mitarbeiter!$E$27),0,IF(AND(Mitarbeiter!$F$27&lt;&gt;"",EQ$5&gt;Mitarbeiter!$F$27),0,IF(Planung!EQ29="",$C29,IF(ISNUMBER(Planung!EQ29),Planung!EQ29,IF(UPPER(Planung!EQ29)="H",$C29/2,0)))))))</f>
        <v>0</v>
      </c>
      <c r="ER29" s="27">
        <f>IF($A29="",0,IF(Mitarbeiter!$G$27=FALSE,0,IF(AND(Mitarbeiter!$E$27&lt;&gt;"",ER$5+6&lt;Mitarbeiter!$E$27),0,IF(AND(Mitarbeiter!$F$27&lt;&gt;"",ER$5&gt;Mitarbeiter!$F$27),0,IF(Planung!ER29="",$C29,IF(ISNUMBER(Planung!ER29),Planung!ER29,IF(UPPER(Planung!ER29)="H",$C29/2,0)))))))</f>
        <v>0</v>
      </c>
      <c r="ES29" s="27">
        <f>IF($A29="",0,IF(Mitarbeiter!$G$27=FALSE,0,IF(AND(Mitarbeiter!$E$27&lt;&gt;"",ES$5+6&lt;Mitarbeiter!$E$27),0,IF(AND(Mitarbeiter!$F$27&lt;&gt;"",ES$5&gt;Mitarbeiter!$F$27),0,IF(Planung!ES29="",$C29,IF(ISNUMBER(Planung!ES29),Planung!ES29,IF(UPPER(Planung!ES29)="H",$C29/2,0)))))))</f>
        <v>0</v>
      </c>
      <c r="ET29" s="27">
        <f>IF($A29="",0,IF(Mitarbeiter!$G$27=FALSE,0,IF(AND(Mitarbeiter!$E$27&lt;&gt;"",ET$5+6&lt;Mitarbeiter!$E$27),0,IF(AND(Mitarbeiter!$F$27&lt;&gt;"",ET$5&gt;Mitarbeiter!$F$27),0,IF(Planung!ET29="",$C29,IF(ISNUMBER(Planung!ET29),Planung!ET29,IF(UPPER(Planung!ET29)="H",$C29/2,0)))))))</f>
        <v>0</v>
      </c>
      <c r="EU29" s="27">
        <f>IF($A29="",0,IF(Mitarbeiter!$G$27=FALSE,0,IF(AND(Mitarbeiter!$E$27&lt;&gt;"",EU$5+6&lt;Mitarbeiter!$E$27),0,IF(AND(Mitarbeiter!$F$27&lt;&gt;"",EU$5&gt;Mitarbeiter!$F$27),0,IF(Planung!EU29="",$C29,IF(ISNUMBER(Planung!EU29),Planung!EU29,IF(UPPER(Planung!EU29)="H",$C29/2,0)))))))</f>
        <v>0</v>
      </c>
      <c r="EV29" s="27">
        <f>IF($A29="",0,IF(Mitarbeiter!$G$27=FALSE,0,IF(AND(Mitarbeiter!$E$27&lt;&gt;"",EV$5+6&lt;Mitarbeiter!$E$27),0,IF(AND(Mitarbeiter!$F$27&lt;&gt;"",EV$5&gt;Mitarbeiter!$F$27),0,IF(Planung!EV29="",$C29,IF(ISNUMBER(Planung!EV29),Planung!EV29,IF(UPPER(Planung!EV29)="H",$C29/2,0)))))))</f>
        <v>0</v>
      </c>
      <c r="EW29" s="27">
        <f>IF($A29="",0,IF(Mitarbeiter!$G$27=FALSE,0,IF(AND(Mitarbeiter!$E$27&lt;&gt;"",EW$5+6&lt;Mitarbeiter!$E$27),0,IF(AND(Mitarbeiter!$F$27&lt;&gt;"",EW$5&gt;Mitarbeiter!$F$27),0,IF(Planung!EW29="",$C29,IF(ISNUMBER(Planung!EW29),Planung!EW29,IF(UPPER(Planung!EW29)="H",$C29/2,0)))))))</f>
        <v>0</v>
      </c>
      <c r="EX29" s="27">
        <f>IF($A29="",0,IF(Mitarbeiter!$G$27=FALSE,0,IF(AND(Mitarbeiter!$E$27&lt;&gt;"",EX$5+6&lt;Mitarbeiter!$E$27),0,IF(AND(Mitarbeiter!$F$27&lt;&gt;"",EX$5&gt;Mitarbeiter!$F$27),0,IF(Planung!EX29="",$C29,IF(ISNUMBER(Planung!EX29),Planung!EX29,IF(UPPER(Planung!EX29)="H",$C29/2,0)))))))</f>
        <v>0</v>
      </c>
      <c r="EY29" s="27">
        <f>IF($A29="",0,IF(Mitarbeiter!$G$27=FALSE,0,IF(AND(Mitarbeiter!$E$27&lt;&gt;"",EY$5+6&lt;Mitarbeiter!$E$27),0,IF(AND(Mitarbeiter!$F$27&lt;&gt;"",EY$5&gt;Mitarbeiter!$F$27),0,IF(Planung!EY29="",$C29,IF(ISNUMBER(Planung!EY29),Planung!EY29,IF(UPPER(Planung!EY29)="H",$C29/2,0)))))))</f>
        <v>0</v>
      </c>
      <c r="EZ29" s="27">
        <f>IF($A29="",0,IF(Mitarbeiter!$G$27=FALSE,0,IF(AND(Mitarbeiter!$E$27&lt;&gt;"",EZ$5+6&lt;Mitarbeiter!$E$27),0,IF(AND(Mitarbeiter!$F$27&lt;&gt;"",EZ$5&gt;Mitarbeiter!$F$27),0,IF(Planung!EZ29="",$C29,IF(ISNUMBER(Planung!EZ29),Planung!EZ29,IF(UPPER(Planung!EZ29)="H",$C29/2,0)))))))</f>
        <v>0</v>
      </c>
      <c r="FA29" s="27">
        <f>IF($A29="",0,IF(Mitarbeiter!$G$27=FALSE,0,IF(AND(Mitarbeiter!$E$27&lt;&gt;"",FA$5+6&lt;Mitarbeiter!$E$27),0,IF(AND(Mitarbeiter!$F$27&lt;&gt;"",FA$5&gt;Mitarbeiter!$F$27),0,IF(Planung!FA29="",$C29,IF(ISNUMBER(Planung!FA29),Planung!FA29,IF(UPPER(Planung!FA29)="H",$C29/2,0)))))))</f>
        <v>0</v>
      </c>
      <c r="FB29" s="27">
        <f>IF($A29="",0,IF(Mitarbeiter!$G$27=FALSE,0,IF(AND(Mitarbeiter!$E$27&lt;&gt;"",FB$5+6&lt;Mitarbeiter!$E$27),0,IF(AND(Mitarbeiter!$F$27&lt;&gt;"",FB$5&gt;Mitarbeiter!$F$27),0,IF(Planung!FB29="",$C29,IF(ISNUMBER(Planung!FB29),Planung!FB29,IF(UPPER(Planung!FB29)="H",$C29/2,0)))))))</f>
        <v>0</v>
      </c>
      <c r="FC29" s="27">
        <f>IF($A29="",0,IF(Mitarbeiter!$G$27=FALSE,0,IF(AND(Mitarbeiter!$E$27&lt;&gt;"",FC$5+6&lt;Mitarbeiter!$E$27),0,IF(AND(Mitarbeiter!$F$27&lt;&gt;"",FC$5&gt;Mitarbeiter!$F$27),0,IF(Planung!FC29="",$C29,IF(ISNUMBER(Planung!FC29),Planung!FC29,IF(UPPER(Planung!FC29)="H",$C29/2,0)))))))</f>
        <v>0</v>
      </c>
      <c r="FD29" s="27">
        <f>IF($A29="",0,IF(Mitarbeiter!$G$27=FALSE,0,IF(AND(Mitarbeiter!$E$27&lt;&gt;"",FD$5+6&lt;Mitarbeiter!$E$27),0,IF(AND(Mitarbeiter!$F$27&lt;&gt;"",FD$5&gt;Mitarbeiter!$F$27),0,IF(Planung!FD29="",$C29,IF(ISNUMBER(Planung!FD29),Planung!FD29,IF(UPPER(Planung!FD29)="H",$C29/2,0)))))))</f>
        <v>0</v>
      </c>
      <c r="FE29" s="27">
        <f>IF($A29="",0,IF(Mitarbeiter!$G$27=FALSE,0,IF(AND(Mitarbeiter!$E$27&lt;&gt;"",FE$5+6&lt;Mitarbeiter!$E$27),0,IF(AND(Mitarbeiter!$F$27&lt;&gt;"",FE$5&gt;Mitarbeiter!$F$27),0,IF(Planung!FE29="",$C29,IF(ISNUMBER(Planung!FE29),Planung!FE29,IF(UPPER(Planung!FE29)="H",$C29/2,0)))))))</f>
        <v>0</v>
      </c>
      <c r="FF29" s="27">
        <f>IF($A29="",0,IF(Mitarbeiter!$G$27=FALSE,0,IF(AND(Mitarbeiter!$E$27&lt;&gt;"",FF$5+6&lt;Mitarbeiter!$E$27),0,IF(AND(Mitarbeiter!$F$27&lt;&gt;"",FF$5&gt;Mitarbeiter!$F$27),0,IF(Planung!FF29="",$C29,IF(ISNUMBER(Planung!FF29),Planung!FF29,IF(UPPER(Planung!FF29)="H",$C29/2,0)))))))</f>
        <v>0</v>
      </c>
      <c r="FG29" s="27">
        <f>IF($A29="",0,IF(Mitarbeiter!$G$27=FALSE,0,IF(AND(Mitarbeiter!$E$27&lt;&gt;"",FG$5+6&lt;Mitarbeiter!$E$27),0,IF(AND(Mitarbeiter!$F$27&lt;&gt;"",FG$5&gt;Mitarbeiter!$F$27),0,IF(Planung!FG29="",$C29,IF(ISNUMBER(Planung!FG29),Planung!FG29,IF(UPPER(Planung!FG29)="H",$C29/2,0)))))))</f>
        <v>0</v>
      </c>
      <c r="FH29" s="27">
        <f>IF($A29="",0,IF(Mitarbeiter!$G$27=FALSE,0,IF(AND(Mitarbeiter!$E$27&lt;&gt;"",FH$5+6&lt;Mitarbeiter!$E$27),0,IF(AND(Mitarbeiter!$F$27&lt;&gt;"",FH$5&gt;Mitarbeiter!$F$27),0,IF(Planung!FH29="",$C29,IF(ISNUMBER(Planung!FH29),Planung!FH29,IF(UPPER(Planung!FH29)="H",$C29/2,0)))))))</f>
        <v>0</v>
      </c>
      <c r="FI29" s="27">
        <f>IF($A29="",0,IF(Mitarbeiter!$G$27=FALSE,0,IF(AND(Mitarbeiter!$E$27&lt;&gt;"",FI$5+6&lt;Mitarbeiter!$E$27),0,IF(AND(Mitarbeiter!$F$27&lt;&gt;"",FI$5&gt;Mitarbeiter!$F$27),0,IF(Planung!FI29="",$C29,IF(ISNUMBER(Planung!FI29),Planung!FI29,IF(UPPER(Planung!FI29)="H",$C29/2,0)))))))</f>
        <v>0</v>
      </c>
      <c r="FJ29" s="27">
        <f>IF($A29="",0,IF(Mitarbeiter!$G$27=FALSE,0,IF(AND(Mitarbeiter!$E$27&lt;&gt;"",FJ$5+6&lt;Mitarbeiter!$E$27),0,IF(AND(Mitarbeiter!$F$27&lt;&gt;"",FJ$5&gt;Mitarbeiter!$F$27),0,IF(Planung!FJ29="",$C29,IF(ISNUMBER(Planung!FJ29),Planung!FJ29,IF(UPPER(Planung!FJ29)="H",$C29/2,0)))))))</f>
        <v>0</v>
      </c>
      <c r="FK29" s="27">
        <f>IF($A29="",0,IF(Mitarbeiter!$G$27=FALSE,0,IF(AND(Mitarbeiter!$E$27&lt;&gt;"",FK$5+6&lt;Mitarbeiter!$E$27),0,IF(AND(Mitarbeiter!$F$27&lt;&gt;"",FK$5&gt;Mitarbeiter!$F$27),0,IF(Planung!FK29="",$C29,IF(ISNUMBER(Planung!FK29),Planung!FK29,IF(UPPER(Planung!FK29)="H",$C29/2,0)))))))</f>
        <v>0</v>
      </c>
      <c r="FL29" s="27">
        <f>IF($A29="",0,IF(Mitarbeiter!$G$27=FALSE,0,IF(AND(Mitarbeiter!$E$27&lt;&gt;"",FL$5+6&lt;Mitarbeiter!$E$27),0,IF(AND(Mitarbeiter!$F$27&lt;&gt;"",FL$5&gt;Mitarbeiter!$F$27),0,IF(Planung!FL29="",$C29,IF(ISNUMBER(Planung!FL29),Planung!FL29,IF(UPPER(Planung!FL29)="H",$C29/2,0)))))))</f>
        <v>0</v>
      </c>
      <c r="FM29" s="27">
        <f>IF($A29="",0,IF(Mitarbeiter!$G$27=FALSE,0,IF(AND(Mitarbeiter!$E$27&lt;&gt;"",FM$5+6&lt;Mitarbeiter!$E$27),0,IF(AND(Mitarbeiter!$F$27&lt;&gt;"",FM$5&gt;Mitarbeiter!$F$27),0,IF(Planung!FM29="",$C29,IF(ISNUMBER(Planung!FM29),Planung!FM29,IF(UPPER(Planung!FM29)="H",$C29/2,0)))))))</f>
        <v>0</v>
      </c>
      <c r="FN29" s="27">
        <f>IF($A29="",0,IF(Mitarbeiter!$G$27=FALSE,0,IF(AND(Mitarbeiter!$E$27&lt;&gt;"",FN$5+6&lt;Mitarbeiter!$E$27),0,IF(AND(Mitarbeiter!$F$27&lt;&gt;"",FN$5&gt;Mitarbeiter!$F$27),0,IF(Planung!FN29="",$C29,IF(ISNUMBER(Planung!FN29),Planung!FN29,IF(UPPER(Planung!FN29)="H",$C29/2,0)))))))</f>
        <v>0</v>
      </c>
      <c r="FO29" s="27">
        <f>IF($A29="",0,IF(Mitarbeiter!$G$27=FALSE,0,IF(AND(Mitarbeiter!$E$27&lt;&gt;"",FO$5+6&lt;Mitarbeiter!$E$27),0,IF(AND(Mitarbeiter!$F$27&lt;&gt;"",FO$5&gt;Mitarbeiter!$F$27),0,IF(Planung!FO29="",$C29,IF(ISNUMBER(Planung!FO29),Planung!FO29,IF(UPPER(Planung!FO29)="H",$C29/2,0)))))))</f>
        <v>0</v>
      </c>
      <c r="FP29" s="27">
        <f>IF($A29="",0,IF(Mitarbeiter!$G$27=FALSE,0,IF(AND(Mitarbeiter!$E$27&lt;&gt;"",FP$5+6&lt;Mitarbeiter!$E$27),0,IF(AND(Mitarbeiter!$F$27&lt;&gt;"",FP$5&gt;Mitarbeiter!$F$27),0,IF(Planung!FP29="",$C29,IF(ISNUMBER(Planung!FP29),Planung!FP29,IF(UPPER(Planung!FP29)="H",$C29/2,0)))))))</f>
        <v>0</v>
      </c>
      <c r="FQ29" s="27">
        <f>IF($A29="",0,IF(Mitarbeiter!$G$27=FALSE,0,IF(AND(Mitarbeiter!$E$27&lt;&gt;"",FQ$5+6&lt;Mitarbeiter!$E$27),0,IF(AND(Mitarbeiter!$F$27&lt;&gt;"",FQ$5&gt;Mitarbeiter!$F$27),0,IF(Planung!FQ29="",$C29,IF(ISNUMBER(Planung!FQ29),Planung!FQ29,IF(UPPER(Planung!FQ29)="H",$C29/2,0)))))))</f>
        <v>0</v>
      </c>
      <c r="FR29" s="27">
        <f>IF($A29="",0,IF(Mitarbeiter!$G$27=FALSE,0,IF(AND(Mitarbeiter!$E$27&lt;&gt;"",FR$5+6&lt;Mitarbeiter!$E$27),0,IF(AND(Mitarbeiter!$F$27&lt;&gt;"",FR$5&gt;Mitarbeiter!$F$27),0,IF(Planung!FR29="",$C29,IF(ISNUMBER(Planung!FR29),Planung!FR29,IF(UPPER(Planung!FR29)="H",$C29/2,0)))))))</f>
        <v>0</v>
      </c>
      <c r="FS29" s="27">
        <f>IF($A29="",0,IF(Mitarbeiter!$G$27=FALSE,0,IF(AND(Mitarbeiter!$E$27&lt;&gt;"",FS$5+6&lt;Mitarbeiter!$E$27),0,IF(AND(Mitarbeiter!$F$27&lt;&gt;"",FS$5&gt;Mitarbeiter!$F$27),0,IF(Planung!FS29="",$C29,IF(ISNUMBER(Planung!FS29),Planung!FS29,IF(UPPER(Planung!FS29)="H",$C29/2,0)))))))</f>
        <v>0</v>
      </c>
      <c r="FT29" s="27">
        <f>IF($A29="",0,IF(Mitarbeiter!$G$27=FALSE,0,IF(AND(Mitarbeiter!$E$27&lt;&gt;"",FT$5+6&lt;Mitarbeiter!$E$27),0,IF(AND(Mitarbeiter!$F$27&lt;&gt;"",FT$5&gt;Mitarbeiter!$F$27),0,IF(Planung!FT29="",$C29,IF(ISNUMBER(Planung!FT29),Planung!FT29,IF(UPPER(Planung!FT29)="H",$C29/2,0)))))))</f>
        <v>0</v>
      </c>
      <c r="FU29" s="27">
        <f>IF($A29="",0,IF(Mitarbeiter!$G$27=FALSE,0,IF(AND(Mitarbeiter!$E$27&lt;&gt;"",FU$5+6&lt;Mitarbeiter!$E$27),0,IF(AND(Mitarbeiter!$F$27&lt;&gt;"",FU$5&gt;Mitarbeiter!$F$27),0,IF(Planung!FU29="",$C29,IF(ISNUMBER(Planung!FU29),Planung!FU29,IF(UPPER(Planung!FU29)="H",$C29/2,0)))))))</f>
        <v>0</v>
      </c>
      <c r="FV29" s="27">
        <f>IF($A29="",0,IF(Mitarbeiter!$G$27=FALSE,0,IF(AND(Mitarbeiter!$E$27&lt;&gt;"",FV$5+6&lt;Mitarbeiter!$E$27),0,IF(AND(Mitarbeiter!$F$27&lt;&gt;"",FV$5&gt;Mitarbeiter!$F$27),0,IF(Planung!FV29="",$C29,IF(ISNUMBER(Planung!FV29),Planung!FV29,IF(UPPER(Planung!FV29)="H",$C29/2,0)))))))</f>
        <v>0</v>
      </c>
      <c r="FW29" s="27">
        <f>IF($A29="",0,IF(Mitarbeiter!$G$27=FALSE,0,IF(AND(Mitarbeiter!$E$27&lt;&gt;"",FW$5+6&lt;Mitarbeiter!$E$27),0,IF(AND(Mitarbeiter!$F$27&lt;&gt;"",FW$5&gt;Mitarbeiter!$F$27),0,IF(Planung!FW29="",$C29,IF(ISNUMBER(Planung!FW29),Planung!FW29,IF(UPPER(Planung!FW29)="H",$C29/2,0)))))))</f>
        <v>0</v>
      </c>
      <c r="FX29" s="27">
        <f>IF($A29="",0,IF(Mitarbeiter!$G$27=FALSE,0,IF(AND(Mitarbeiter!$E$27&lt;&gt;"",FX$5+6&lt;Mitarbeiter!$E$27),0,IF(AND(Mitarbeiter!$F$27&lt;&gt;"",FX$5&gt;Mitarbeiter!$F$27),0,IF(Planung!FX29="",$C29,IF(ISNUMBER(Planung!FX29),Planung!FX29,IF(UPPER(Planung!FX29)="H",$C29/2,0)))))))</f>
        <v>0</v>
      </c>
      <c r="FY29" s="27">
        <f>IF($A29="",0,IF(Mitarbeiter!$G$27=FALSE,0,IF(AND(Mitarbeiter!$E$27&lt;&gt;"",FY$5+6&lt;Mitarbeiter!$E$27),0,IF(AND(Mitarbeiter!$F$27&lt;&gt;"",FY$5&gt;Mitarbeiter!$F$27),0,IF(Planung!FY29="",$C29,IF(ISNUMBER(Planung!FY29),Planung!FY29,IF(UPPER(Planung!FY29)="H",$C29/2,0)))))))</f>
        <v>0</v>
      </c>
      <c r="FZ29" s="27">
        <f>IF($A29="",0,IF(Mitarbeiter!$G$27=FALSE,0,IF(AND(Mitarbeiter!$E$27&lt;&gt;"",FZ$5+6&lt;Mitarbeiter!$E$27),0,IF(AND(Mitarbeiter!$F$27&lt;&gt;"",FZ$5&gt;Mitarbeiter!$F$27),0,IF(Planung!FZ29="",$C29,IF(ISNUMBER(Planung!FZ29),Planung!FZ29,IF(UPPER(Planung!FZ29)="H",$C29/2,0)))))))</f>
        <v>0</v>
      </c>
      <c r="GA29" s="27">
        <f>IF($A29="",0,IF(Mitarbeiter!$G$27=FALSE,0,IF(AND(Mitarbeiter!$E$27&lt;&gt;"",GA$5+6&lt;Mitarbeiter!$E$27),0,IF(AND(Mitarbeiter!$F$27&lt;&gt;"",GA$5&gt;Mitarbeiter!$F$27),0,IF(Planung!GA29="",$C29,IF(ISNUMBER(Planung!GA29),Planung!GA29,IF(UPPER(Planung!GA29)="H",$C29/2,0)))))))</f>
        <v>0</v>
      </c>
      <c r="GB29" s="27">
        <f>IF($A29="",0,IF(Mitarbeiter!$G$27=FALSE,0,IF(AND(Mitarbeiter!$E$27&lt;&gt;"",GB$5+6&lt;Mitarbeiter!$E$27),0,IF(AND(Mitarbeiter!$F$27&lt;&gt;"",GB$5&gt;Mitarbeiter!$F$27),0,IF(Planung!GB29="",$C29,IF(ISNUMBER(Planung!GB29),Planung!GB29,IF(UPPER(Planung!GB29)="H",$C29/2,0)))))))</f>
        <v>0</v>
      </c>
      <c r="GC29" s="27">
        <f>IF($A29="",0,IF(Mitarbeiter!$G$27=FALSE,0,IF(AND(Mitarbeiter!$E$27&lt;&gt;"",GC$5+6&lt;Mitarbeiter!$E$27),0,IF(AND(Mitarbeiter!$F$27&lt;&gt;"",GC$5&gt;Mitarbeiter!$F$27),0,IF(Planung!GC29="",$C29,IF(ISNUMBER(Planung!GC29),Planung!GC29,IF(UPPER(Planung!GC29)="H",$C29/2,0)))))))</f>
        <v>0</v>
      </c>
      <c r="GD29" s="27">
        <f>IF($A29="",0,IF(Mitarbeiter!$G$27=FALSE,0,IF(AND(Mitarbeiter!$E$27&lt;&gt;"",GD$5+6&lt;Mitarbeiter!$E$27),0,IF(AND(Mitarbeiter!$F$27&lt;&gt;"",GD$5&gt;Mitarbeiter!$F$27),0,IF(Planung!GD29="",$C29,IF(ISNUMBER(Planung!GD29),Planung!GD29,IF(UPPER(Planung!GD29)="H",$C29/2,0)))))))</f>
        <v>0</v>
      </c>
      <c r="GE29" s="27">
        <f>IF($A29="",0,IF(Mitarbeiter!$G$27=FALSE,0,IF(AND(Mitarbeiter!$E$27&lt;&gt;"",GE$5+6&lt;Mitarbeiter!$E$27),0,IF(AND(Mitarbeiter!$F$27&lt;&gt;"",GE$5&gt;Mitarbeiter!$F$27),0,IF(Planung!GE29="",$C29,IF(ISNUMBER(Planung!GE29),Planung!GE29,IF(UPPER(Planung!GE29)="H",$C29/2,0)))))))</f>
        <v>0</v>
      </c>
      <c r="GF29" s="27">
        <f>IF($A29="",0,IF(Mitarbeiter!$G$27=FALSE,0,IF(AND(Mitarbeiter!$E$27&lt;&gt;"",GF$5+6&lt;Mitarbeiter!$E$27),0,IF(AND(Mitarbeiter!$F$27&lt;&gt;"",GF$5&gt;Mitarbeiter!$F$27),0,IF(Planung!GF29="",$C29,IF(ISNUMBER(Planung!GF29),Planung!GF29,IF(UPPER(Planung!GF29)="H",$C29/2,0)))))))</f>
        <v>0</v>
      </c>
      <c r="GG29" s="27">
        <f>IF($A29="",0,IF(Mitarbeiter!$G$27=FALSE,0,IF(AND(Mitarbeiter!$E$27&lt;&gt;"",GG$5+6&lt;Mitarbeiter!$E$27),0,IF(AND(Mitarbeiter!$F$27&lt;&gt;"",GG$5&gt;Mitarbeiter!$F$27),0,IF(Planung!GG29="",$C29,IF(ISNUMBER(Planung!GG29),Planung!GG29,IF(UPPER(Planung!GG29)="H",$C29/2,0)))))))</f>
        <v>0</v>
      </c>
      <c r="GH29" s="27">
        <f>IF($A29="",0,IF(Mitarbeiter!$G$27=FALSE,0,IF(AND(Mitarbeiter!$E$27&lt;&gt;"",GH$5+6&lt;Mitarbeiter!$E$27),0,IF(AND(Mitarbeiter!$F$27&lt;&gt;"",GH$5&gt;Mitarbeiter!$F$27),0,IF(Planung!GH29="",$C29,IF(ISNUMBER(Planung!GH29),Planung!GH29,IF(UPPER(Planung!GH29)="H",$C29/2,0)))))))</f>
        <v>0</v>
      </c>
      <c r="GI29" s="27">
        <f>IF($A29="",0,IF(Mitarbeiter!$G$27=FALSE,0,IF(AND(Mitarbeiter!$E$27&lt;&gt;"",GI$5+6&lt;Mitarbeiter!$E$27),0,IF(AND(Mitarbeiter!$F$27&lt;&gt;"",GI$5&gt;Mitarbeiter!$F$27),0,IF(Planung!GI29="",$C29,IF(ISNUMBER(Planung!GI29),Planung!GI29,IF(UPPER(Planung!GI29)="H",$C29/2,0)))))))</f>
        <v>0</v>
      </c>
      <c r="GJ29" s="27">
        <f>IF($A29="",0,IF(Mitarbeiter!$G$27=FALSE,0,IF(AND(Mitarbeiter!$E$27&lt;&gt;"",GJ$5+6&lt;Mitarbeiter!$E$27),0,IF(AND(Mitarbeiter!$F$27&lt;&gt;"",GJ$5&gt;Mitarbeiter!$F$27),0,IF(Planung!GJ29="",$C29,IF(ISNUMBER(Planung!GJ29),Planung!GJ29,IF(UPPER(Planung!GJ29)="H",$C29/2,0)))))))</f>
        <v>0</v>
      </c>
      <c r="GK29" s="27">
        <f>IF($A29="",0,IF(Mitarbeiter!$G$27=FALSE,0,IF(AND(Mitarbeiter!$E$27&lt;&gt;"",GK$5+6&lt;Mitarbeiter!$E$27),0,IF(AND(Mitarbeiter!$F$27&lt;&gt;"",GK$5&gt;Mitarbeiter!$F$27),0,IF(Planung!GK29="",$C29,IF(ISNUMBER(Planung!GK29),Planung!GK29,IF(UPPER(Planung!GK29)="H",$C29/2,0)))))))</f>
        <v>0</v>
      </c>
      <c r="GL29" s="27">
        <f>IF($A29="",0,IF(Mitarbeiter!$G$27=FALSE,0,IF(AND(Mitarbeiter!$E$27&lt;&gt;"",GL$5+6&lt;Mitarbeiter!$E$27),0,IF(AND(Mitarbeiter!$F$27&lt;&gt;"",GL$5&gt;Mitarbeiter!$F$27),0,IF(Planung!GL29="",$C29,IF(ISNUMBER(Planung!GL29),Planung!GL29,IF(UPPER(Planung!GL29)="H",$C29/2,0)))))))</f>
        <v>0</v>
      </c>
      <c r="GM29" s="27">
        <f>IF($A29="",0,IF(Mitarbeiter!$G$27=FALSE,0,IF(AND(Mitarbeiter!$E$27&lt;&gt;"",GM$5+6&lt;Mitarbeiter!$E$27),0,IF(AND(Mitarbeiter!$F$27&lt;&gt;"",GM$5&gt;Mitarbeiter!$F$27),0,IF(Planung!GM29="",$C29,IF(ISNUMBER(Planung!GM29),Planung!GM29,IF(UPPER(Planung!GM29)="H",$C29/2,0)))))))</f>
        <v>0</v>
      </c>
      <c r="GN29" s="27">
        <f>IF($A29="",0,IF(Mitarbeiter!$G$27=FALSE,0,IF(AND(Mitarbeiter!$E$27&lt;&gt;"",GN$5+6&lt;Mitarbeiter!$E$27),0,IF(AND(Mitarbeiter!$F$27&lt;&gt;"",GN$5&gt;Mitarbeiter!$F$27),0,IF(Planung!GN29="",$C29,IF(ISNUMBER(Planung!GN29),Planung!GN29,IF(UPPER(Planung!GN29)="H",$C29/2,0)))))))</f>
        <v>0</v>
      </c>
      <c r="GO29" s="27">
        <f>IF($A29="",0,IF(Mitarbeiter!$G$27=FALSE,0,IF(AND(Mitarbeiter!$E$27&lt;&gt;"",GO$5+6&lt;Mitarbeiter!$E$27),0,IF(AND(Mitarbeiter!$F$27&lt;&gt;"",GO$5&gt;Mitarbeiter!$F$27),0,IF(Planung!GO29="",$C29,IF(ISNUMBER(Planung!GO29),Planung!GO29,IF(UPPER(Planung!GO29)="H",$C29/2,0)))))))</f>
        <v>0</v>
      </c>
      <c r="GP29" s="27">
        <f>IF($A29="",0,IF(Mitarbeiter!$G$27=FALSE,0,IF(AND(Mitarbeiter!$E$27&lt;&gt;"",GP$5+6&lt;Mitarbeiter!$E$27),0,IF(AND(Mitarbeiter!$F$27&lt;&gt;"",GP$5&gt;Mitarbeiter!$F$27),0,IF(Planung!GP29="",$C29,IF(ISNUMBER(Planung!GP29),Planung!GP29,IF(UPPER(Planung!GP29)="H",$C29/2,0)))))))</f>
        <v>0</v>
      </c>
      <c r="GQ29" s="27">
        <f>IF($A29="",0,IF(Mitarbeiter!$G$27=FALSE,0,IF(AND(Mitarbeiter!$E$27&lt;&gt;"",GQ$5+6&lt;Mitarbeiter!$E$27),0,IF(AND(Mitarbeiter!$F$27&lt;&gt;"",GQ$5&gt;Mitarbeiter!$F$27),0,IF(Planung!GQ29="",$C29,IF(ISNUMBER(Planung!GQ29),Planung!GQ29,IF(UPPER(Planung!GQ29)="H",$C29/2,0)))))))</f>
        <v>0</v>
      </c>
      <c r="GR29" s="27">
        <f>IF($A29="",0,IF(Mitarbeiter!$G$27=FALSE,0,IF(AND(Mitarbeiter!$E$27&lt;&gt;"",GR$5+6&lt;Mitarbeiter!$E$27),0,IF(AND(Mitarbeiter!$F$27&lt;&gt;"",GR$5&gt;Mitarbeiter!$F$27),0,IF(Planung!GR29="",$C29,IF(ISNUMBER(Planung!GR29),Planung!GR29,IF(UPPER(Planung!GR29)="H",$C29/2,0)))))))</f>
        <v>0</v>
      </c>
      <c r="GS29" s="27">
        <f>IF($A29="",0,IF(Mitarbeiter!$G$27=FALSE,0,IF(AND(Mitarbeiter!$E$27&lt;&gt;"",GS$5+6&lt;Mitarbeiter!$E$27),0,IF(AND(Mitarbeiter!$F$27&lt;&gt;"",GS$5&gt;Mitarbeiter!$F$27),0,IF(Planung!GS29="",$C29,IF(ISNUMBER(Planung!GS29),Planung!GS29,IF(UPPER(Planung!GS29)="H",$C29/2,0)))))))</f>
        <v>0</v>
      </c>
      <c r="GT29" s="27">
        <f>IF($A29="",0,IF(Mitarbeiter!$G$27=FALSE,0,IF(AND(Mitarbeiter!$E$27&lt;&gt;"",GT$5+6&lt;Mitarbeiter!$E$27),0,IF(AND(Mitarbeiter!$F$27&lt;&gt;"",GT$5&gt;Mitarbeiter!$F$27),0,IF(Planung!GT29="",$C29,IF(ISNUMBER(Planung!GT29),Planung!GT29,IF(UPPER(Planung!GT29)="H",$C29/2,0)))))))</f>
        <v>0</v>
      </c>
      <c r="GU29" s="27">
        <f>IF($A29="",0,IF(Mitarbeiter!$G$27=FALSE,0,IF(AND(Mitarbeiter!$E$27&lt;&gt;"",GU$5+6&lt;Mitarbeiter!$E$27),0,IF(AND(Mitarbeiter!$F$27&lt;&gt;"",GU$5&gt;Mitarbeiter!$F$27),0,IF(Planung!GU29="",$C29,IF(ISNUMBER(Planung!GU29),Planung!GU29,IF(UPPER(Planung!GU29)="H",$C29/2,0)))))))</f>
        <v>0</v>
      </c>
      <c r="GV29" s="27">
        <f>IF($A29="",0,IF(Mitarbeiter!$G$27=FALSE,0,IF(AND(Mitarbeiter!$E$27&lt;&gt;"",GV$5+6&lt;Mitarbeiter!$E$27),0,IF(AND(Mitarbeiter!$F$27&lt;&gt;"",GV$5&gt;Mitarbeiter!$F$27),0,IF(Planung!GV29="",$C29,IF(ISNUMBER(Planung!GV29),Planung!GV29,IF(UPPER(Planung!GV29)="H",$C29/2,0)))))))</f>
        <v>0</v>
      </c>
      <c r="GW29" s="27">
        <f>IF($A29="",0,IF(Mitarbeiter!$G$27=FALSE,0,IF(AND(Mitarbeiter!$E$27&lt;&gt;"",GW$5+6&lt;Mitarbeiter!$E$27),0,IF(AND(Mitarbeiter!$F$27&lt;&gt;"",GW$5&gt;Mitarbeiter!$F$27),0,IF(Planung!GW29="",$C29,IF(ISNUMBER(Planung!GW29),Planung!GW29,IF(UPPER(Planung!GW29)="H",$C29/2,0)))))))</f>
        <v>0</v>
      </c>
      <c r="GX29" s="27">
        <f>IF($A29="",0,IF(Mitarbeiter!$G$27=FALSE,0,IF(AND(Mitarbeiter!$E$27&lt;&gt;"",GX$5+6&lt;Mitarbeiter!$E$27),0,IF(AND(Mitarbeiter!$F$27&lt;&gt;"",GX$5&gt;Mitarbeiter!$F$27),0,IF(Planung!GX29="",$C29,IF(ISNUMBER(Planung!GX29),Planung!GX29,IF(UPPER(Planung!GX29)="H",$C29/2,0)))))))</f>
        <v>0</v>
      </c>
      <c r="GY29" s="27">
        <f>IF($A29="",0,IF(Mitarbeiter!$G$27=FALSE,0,IF(AND(Mitarbeiter!$E$27&lt;&gt;"",GY$5+6&lt;Mitarbeiter!$E$27),0,IF(AND(Mitarbeiter!$F$27&lt;&gt;"",GY$5&gt;Mitarbeiter!$F$27),0,IF(Planung!GY29="",$C29,IF(ISNUMBER(Planung!GY29),Planung!GY29,IF(UPPER(Planung!GY29)="H",$C29/2,0)))))))</f>
        <v>0</v>
      </c>
      <c r="GZ29" s="27">
        <f>IF($A29="",0,IF(Mitarbeiter!$G$27=FALSE,0,IF(AND(Mitarbeiter!$E$27&lt;&gt;"",GZ$5+6&lt;Mitarbeiter!$E$27),0,IF(AND(Mitarbeiter!$F$27&lt;&gt;"",GZ$5&gt;Mitarbeiter!$F$27),0,IF(Planung!GZ29="",$C29,IF(ISNUMBER(Planung!GZ29),Planung!GZ29,IF(UPPER(Planung!GZ29)="H",$C29/2,0)))))))</f>
        <v>0</v>
      </c>
      <c r="HA29" s="27">
        <f>IF($A29="",0,IF(Mitarbeiter!$G$27=FALSE,0,IF(AND(Mitarbeiter!$E$27&lt;&gt;"",HA$5+6&lt;Mitarbeiter!$E$27),0,IF(AND(Mitarbeiter!$F$27&lt;&gt;"",HA$5&gt;Mitarbeiter!$F$27),0,IF(Planung!HA29="",$C29,IF(ISNUMBER(Planung!HA29),Planung!HA29,IF(UPPER(Planung!HA29)="H",$C29/2,0)))))))</f>
        <v>0</v>
      </c>
      <c r="HB29" s="27">
        <f>IF($A29="",0,IF(Mitarbeiter!$G$27=FALSE,0,IF(AND(Mitarbeiter!$E$27&lt;&gt;"",HB$5+6&lt;Mitarbeiter!$E$27),0,IF(AND(Mitarbeiter!$F$27&lt;&gt;"",HB$5&gt;Mitarbeiter!$F$27),0,IF(Planung!HB29="",$C29,IF(ISNUMBER(Planung!HB29),Planung!HB29,IF(UPPER(Planung!HB29)="H",$C29/2,0)))))))</f>
        <v>0</v>
      </c>
      <c r="HC29" s="27">
        <f>IF($A29="",0,IF(Mitarbeiter!$G$27=FALSE,0,IF(AND(Mitarbeiter!$E$27&lt;&gt;"",HC$5+6&lt;Mitarbeiter!$E$27),0,IF(AND(Mitarbeiter!$F$27&lt;&gt;"",HC$5&gt;Mitarbeiter!$F$27),0,IF(Planung!HC29="",$C29,IF(ISNUMBER(Planung!HC29),Planung!HC29,IF(UPPER(Planung!HC29)="H",$C29/2,0)))))))</f>
        <v>0</v>
      </c>
      <c r="HD29" s="27">
        <f>IF($A29="",0,IF(Mitarbeiter!$G$27=FALSE,0,IF(AND(Mitarbeiter!$E$27&lt;&gt;"",HD$5+6&lt;Mitarbeiter!$E$27),0,IF(AND(Mitarbeiter!$F$27&lt;&gt;"",HD$5&gt;Mitarbeiter!$F$27),0,IF(Planung!HD29="",$C29,IF(ISNUMBER(Planung!HD29),Planung!HD29,IF(UPPER(Planung!HD29)="H",$C29/2,0)))))))</f>
        <v>0</v>
      </c>
      <c r="HE29" s="27">
        <f>IF($A29="",0,IF(Mitarbeiter!$G$27=FALSE,0,IF(AND(Mitarbeiter!$E$27&lt;&gt;"",HE$5+6&lt;Mitarbeiter!$E$27),0,IF(AND(Mitarbeiter!$F$27&lt;&gt;"",HE$5&gt;Mitarbeiter!$F$27),0,IF(Planung!HE29="",$C29,IF(ISNUMBER(Planung!HE29),Planung!HE29,IF(UPPER(Planung!HE29)="H",$C29/2,0)))))))</f>
        <v>0</v>
      </c>
      <c r="HF29" s="27">
        <f>IF($A29="",0,IF(Mitarbeiter!$G$27=FALSE,0,IF(AND(Mitarbeiter!$E$27&lt;&gt;"",HF$5+6&lt;Mitarbeiter!$E$27),0,IF(AND(Mitarbeiter!$F$27&lt;&gt;"",HF$5&gt;Mitarbeiter!$F$27),0,IF(Planung!HF29="",$C29,IF(ISNUMBER(Planung!HF29),Planung!HF29,IF(UPPER(Planung!HF29)="H",$C29/2,0)))))))</f>
        <v>0</v>
      </c>
      <c r="HG29" s="27">
        <f>IF($A29="",0,IF(Mitarbeiter!$G$27=FALSE,0,IF(AND(Mitarbeiter!$E$27&lt;&gt;"",HG$5+6&lt;Mitarbeiter!$E$27),0,IF(AND(Mitarbeiter!$F$27&lt;&gt;"",HG$5&gt;Mitarbeiter!$F$27),0,IF(Planung!HG29="",$C29,IF(ISNUMBER(Planung!HG29),Planung!HG29,IF(UPPER(Planung!HG29)="H",$C29/2,0)))))))</f>
        <v>0</v>
      </c>
      <c r="HH29" s="27">
        <f>IF($A29="",0,IF(Mitarbeiter!$G$27=FALSE,0,IF(AND(Mitarbeiter!$E$27&lt;&gt;"",HH$5+6&lt;Mitarbeiter!$E$27),0,IF(AND(Mitarbeiter!$F$27&lt;&gt;"",HH$5&gt;Mitarbeiter!$F$27),0,IF(Planung!HH29="",$C29,IF(ISNUMBER(Planung!HH29),Planung!HH29,IF(UPPER(Planung!HH29)="H",$C29/2,0)))))))</f>
        <v>0</v>
      </c>
      <c r="HI29" s="27">
        <f>IF($A29="",0,IF(Mitarbeiter!$G$27=FALSE,0,IF(AND(Mitarbeiter!$E$27&lt;&gt;"",HI$5+6&lt;Mitarbeiter!$E$27),0,IF(AND(Mitarbeiter!$F$27&lt;&gt;"",HI$5&gt;Mitarbeiter!$F$27),0,IF(Planung!HI29="",$C29,IF(ISNUMBER(Planung!HI29),Planung!HI29,IF(UPPER(Planung!HI29)="H",$C29/2,0)))))))</f>
        <v>0</v>
      </c>
      <c r="HJ29" s="27">
        <f>IF($A29="",0,IF(Mitarbeiter!$G$27=FALSE,0,IF(AND(Mitarbeiter!$E$27&lt;&gt;"",HJ$5+6&lt;Mitarbeiter!$E$27),0,IF(AND(Mitarbeiter!$F$27&lt;&gt;"",HJ$5&gt;Mitarbeiter!$F$27),0,IF(Planung!HJ29="",$C29,IF(ISNUMBER(Planung!HJ29),Planung!HJ29,IF(UPPER(Planung!HJ29)="H",$C29/2,0)))))))</f>
        <v>0</v>
      </c>
      <c r="HK29" s="27">
        <f>IF($A29="",0,IF(Mitarbeiter!$G$27=FALSE,0,IF(AND(Mitarbeiter!$E$27&lt;&gt;"",HK$5+6&lt;Mitarbeiter!$E$27),0,IF(AND(Mitarbeiter!$F$27&lt;&gt;"",HK$5&gt;Mitarbeiter!$F$27),0,IF(Planung!HK29="",$C29,IF(ISNUMBER(Planung!HK29),Planung!HK29,IF(UPPER(Planung!HK29)="H",$C29/2,0)))))))</f>
        <v>0</v>
      </c>
      <c r="HL29" s="27">
        <f>IF($A29="",0,IF(Mitarbeiter!$G$27=FALSE,0,IF(AND(Mitarbeiter!$E$27&lt;&gt;"",HL$5+6&lt;Mitarbeiter!$E$27),0,IF(AND(Mitarbeiter!$F$27&lt;&gt;"",HL$5&gt;Mitarbeiter!$F$27),0,IF(Planung!HL29="",$C29,IF(ISNUMBER(Planung!HL29),Planung!HL29,IF(UPPER(Planung!HL29)="H",$C29/2,0)))))))</f>
        <v>0</v>
      </c>
      <c r="HM29" s="27">
        <f>IF($A29="",0,IF(Mitarbeiter!$G$27=FALSE,0,IF(AND(Mitarbeiter!$E$27&lt;&gt;"",HM$5+6&lt;Mitarbeiter!$E$27),0,IF(AND(Mitarbeiter!$F$27&lt;&gt;"",HM$5&gt;Mitarbeiter!$F$27),0,IF(Planung!HM29="",$C29,IF(ISNUMBER(Planung!HM29),Planung!HM29,IF(UPPER(Planung!HM29)="H",$C29/2,0)))))))</f>
        <v>0</v>
      </c>
      <c r="HN29" s="27">
        <f>IF($A29="",0,IF(Mitarbeiter!$G$27=FALSE,0,IF(AND(Mitarbeiter!$E$27&lt;&gt;"",HN$5+6&lt;Mitarbeiter!$E$27),0,IF(AND(Mitarbeiter!$F$27&lt;&gt;"",HN$5&gt;Mitarbeiter!$F$27),0,IF(Planung!HN29="",$C29,IF(ISNUMBER(Planung!HN29),Planung!HN29,IF(UPPER(Planung!HN29)="H",$C29/2,0)))))))</f>
        <v>0</v>
      </c>
      <c r="HO29" s="27">
        <f>IF($A29="",0,IF(Mitarbeiter!$G$27=FALSE,0,IF(AND(Mitarbeiter!$E$27&lt;&gt;"",HO$5+6&lt;Mitarbeiter!$E$27),0,IF(AND(Mitarbeiter!$F$27&lt;&gt;"",HO$5&gt;Mitarbeiter!$F$27),0,IF(Planung!HO29="",$C29,IF(ISNUMBER(Planung!HO29),Planung!HO29,IF(UPPER(Planung!HO29)="H",$C29/2,0)))))))</f>
        <v>0</v>
      </c>
      <c r="HP29" s="27">
        <f>IF($A29="",0,IF(Mitarbeiter!$G$27=FALSE,0,IF(AND(Mitarbeiter!$E$27&lt;&gt;"",HP$5+6&lt;Mitarbeiter!$E$27),0,IF(AND(Mitarbeiter!$F$27&lt;&gt;"",HP$5&gt;Mitarbeiter!$F$27),0,IF(Planung!HP29="",$C29,IF(ISNUMBER(Planung!HP29),Planung!HP29,IF(UPPER(Planung!HP29)="H",$C29/2,0)))))))</f>
        <v>0</v>
      </c>
      <c r="HQ29" s="27">
        <f>IF($A29="",0,IF(Mitarbeiter!$G$27=FALSE,0,IF(AND(Mitarbeiter!$E$27&lt;&gt;"",HQ$5+6&lt;Mitarbeiter!$E$27),0,IF(AND(Mitarbeiter!$F$27&lt;&gt;"",HQ$5&gt;Mitarbeiter!$F$27),0,IF(Planung!HQ29="",$C29,IF(ISNUMBER(Planung!HQ29),Planung!HQ29,IF(UPPER(Planung!HQ29)="H",$C29/2,0)))))))</f>
        <v>0</v>
      </c>
      <c r="HR29" s="27">
        <f>IF($A29="",0,IF(Mitarbeiter!$G$27=FALSE,0,IF(AND(Mitarbeiter!$E$27&lt;&gt;"",HR$5+6&lt;Mitarbeiter!$E$27),0,IF(AND(Mitarbeiter!$F$27&lt;&gt;"",HR$5&gt;Mitarbeiter!$F$27),0,IF(Planung!HR29="",$C29,IF(ISNUMBER(Planung!HR29),Planung!HR29,IF(UPPER(Planung!HR29)="H",$C29/2,0)))))))</f>
        <v>0</v>
      </c>
      <c r="HS29" s="27">
        <f>IF($A29="",0,IF(Mitarbeiter!$G$27=FALSE,0,IF(AND(Mitarbeiter!$E$27&lt;&gt;"",HS$5+6&lt;Mitarbeiter!$E$27),0,IF(AND(Mitarbeiter!$F$27&lt;&gt;"",HS$5&gt;Mitarbeiter!$F$27),0,IF(Planung!HS29="",$C29,IF(ISNUMBER(Planung!HS29),Planung!HS29,IF(UPPER(Planung!HS29)="H",$C29/2,0)))))))</f>
        <v>0</v>
      </c>
      <c r="HT29" s="27">
        <f>IF($A29="",0,IF(Mitarbeiter!$G$27=FALSE,0,IF(AND(Mitarbeiter!$E$27&lt;&gt;"",HT$5+6&lt;Mitarbeiter!$E$27),0,IF(AND(Mitarbeiter!$F$27&lt;&gt;"",HT$5&gt;Mitarbeiter!$F$27),0,IF(Planung!HT29="",$C29,IF(ISNUMBER(Planung!HT29),Planung!HT29,IF(UPPER(Planung!HT29)="H",$C29/2,0)))))))</f>
        <v>0</v>
      </c>
      <c r="HU29" s="27">
        <f>IF($A29="",0,IF(Mitarbeiter!$G$27=FALSE,0,IF(AND(Mitarbeiter!$E$27&lt;&gt;"",HU$5+6&lt;Mitarbeiter!$E$27),0,IF(AND(Mitarbeiter!$F$27&lt;&gt;"",HU$5&gt;Mitarbeiter!$F$27),0,IF(Planung!HU29="",$C29,IF(ISNUMBER(Planung!HU29),Planung!HU29,IF(UPPER(Planung!HU29)="H",$C29/2,0)))))))</f>
        <v>0</v>
      </c>
      <c r="HV29" s="27">
        <f>IF($A29="",0,IF(Mitarbeiter!$G$27=FALSE,0,IF(AND(Mitarbeiter!$E$27&lt;&gt;"",HV$5+6&lt;Mitarbeiter!$E$27),0,IF(AND(Mitarbeiter!$F$27&lt;&gt;"",HV$5&gt;Mitarbeiter!$F$27),0,IF(Planung!HV29="",$C29,IF(ISNUMBER(Planung!HV29),Planung!HV29,IF(UPPER(Planung!HV29)="H",$C29/2,0)))))))</f>
        <v>0</v>
      </c>
      <c r="HW29" s="27">
        <f>IF($A29="",0,IF(Mitarbeiter!$G$27=FALSE,0,IF(AND(Mitarbeiter!$E$27&lt;&gt;"",HW$5+6&lt;Mitarbeiter!$E$27),0,IF(AND(Mitarbeiter!$F$27&lt;&gt;"",HW$5&gt;Mitarbeiter!$F$27),0,IF(Planung!HW29="",$C29,IF(ISNUMBER(Planung!HW29),Planung!HW29,IF(UPPER(Planung!HW29)="H",$C29/2,0)))))))</f>
        <v>0</v>
      </c>
      <c r="HX29" s="27">
        <f>IF($A29="",0,IF(Mitarbeiter!$G$27=FALSE,0,IF(AND(Mitarbeiter!$E$27&lt;&gt;"",HX$5+6&lt;Mitarbeiter!$E$27),0,IF(AND(Mitarbeiter!$F$27&lt;&gt;"",HX$5&gt;Mitarbeiter!$F$27),0,IF(Planung!HX29="",$C29,IF(ISNUMBER(Planung!HX29),Planung!HX29,IF(UPPER(Planung!HX29)="H",$C29/2,0)))))))</f>
        <v>0</v>
      </c>
      <c r="HY29" s="27">
        <f>IF($A29="",0,IF(Mitarbeiter!$G$27=FALSE,0,IF(AND(Mitarbeiter!$E$27&lt;&gt;"",HY$5+6&lt;Mitarbeiter!$E$27),0,IF(AND(Mitarbeiter!$F$27&lt;&gt;"",HY$5&gt;Mitarbeiter!$F$27),0,IF(Planung!HY29="",$C29,IF(ISNUMBER(Planung!HY29),Planung!HY29,IF(UPPER(Planung!HY29)="H",$C29/2,0)))))))</f>
        <v>0</v>
      </c>
      <c r="HZ29" s="27">
        <f>IF($A29="",0,IF(Mitarbeiter!$G$27=FALSE,0,IF(AND(Mitarbeiter!$E$27&lt;&gt;"",HZ$5+6&lt;Mitarbeiter!$E$27),0,IF(AND(Mitarbeiter!$F$27&lt;&gt;"",HZ$5&gt;Mitarbeiter!$F$27),0,IF(Planung!HZ29="",$C29,IF(ISNUMBER(Planung!HZ29),Planung!HZ29,IF(UPPER(Planung!HZ29)="H",$C29/2,0)))))))</f>
        <v>0</v>
      </c>
      <c r="IA29" s="27">
        <f>IF($A29="",0,IF(Mitarbeiter!$G$27=FALSE,0,IF(AND(Mitarbeiter!$E$27&lt;&gt;"",IA$5+6&lt;Mitarbeiter!$E$27),0,IF(AND(Mitarbeiter!$F$27&lt;&gt;"",IA$5&gt;Mitarbeiter!$F$27),0,IF(Planung!IA29="",$C29,IF(ISNUMBER(Planung!IA29),Planung!IA29,IF(UPPER(Planung!IA29)="H",$C29/2,0)))))))</f>
        <v>0</v>
      </c>
    </row>
    <row r="30" spans="1:235" x14ac:dyDescent="0.25">
      <c r="A30" s="7" t="str">
        <f>Planung!A30</f>
        <v/>
      </c>
      <c r="B30" s="7" t="str">
        <f>Planung!B30</f>
        <v/>
      </c>
      <c r="C30" s="27">
        <f>N(Mitarbeiter!$D$28)</f>
        <v>0</v>
      </c>
      <c r="D30" s="27">
        <f>IF($A30="",0,IF(Mitarbeiter!$G$28=FALSE,0,IF(AND(Mitarbeiter!$E$28&lt;&gt;"",D$5+6&lt;Mitarbeiter!$E$28),0,IF(AND(Mitarbeiter!$F$28&lt;&gt;"",D$5&gt;Mitarbeiter!$F$28),0,IF(Planung!D30="",$C30,IF(ISNUMBER(Planung!D30),Planung!D30,IF(UPPER(Planung!D30)="H",$C30/2,0)))))))</f>
        <v>0</v>
      </c>
      <c r="E30" s="27">
        <f>IF($A30="",0,IF(Mitarbeiter!$G$28=FALSE,0,IF(AND(Mitarbeiter!$E$28&lt;&gt;"",E$5+6&lt;Mitarbeiter!$E$28),0,IF(AND(Mitarbeiter!$F$28&lt;&gt;"",E$5&gt;Mitarbeiter!$F$28),0,IF(Planung!E30="",$C30,IF(ISNUMBER(Planung!E30),Planung!E30,IF(UPPER(Planung!E30)="H",$C30/2,0)))))))</f>
        <v>0</v>
      </c>
      <c r="F30" s="27">
        <f>IF($A30="",0,IF(Mitarbeiter!$G$28=FALSE,0,IF(AND(Mitarbeiter!$E$28&lt;&gt;"",F$5+6&lt;Mitarbeiter!$E$28),0,IF(AND(Mitarbeiter!$F$28&lt;&gt;"",F$5&gt;Mitarbeiter!$F$28),0,IF(Planung!F30="",$C30,IF(ISNUMBER(Planung!F30),Planung!F30,IF(UPPER(Planung!F30)="H",$C30/2,0)))))))</f>
        <v>0</v>
      </c>
      <c r="G30" s="27">
        <f>IF($A30="",0,IF(Mitarbeiter!$G$28=FALSE,0,IF(AND(Mitarbeiter!$E$28&lt;&gt;"",G$5+6&lt;Mitarbeiter!$E$28),0,IF(AND(Mitarbeiter!$F$28&lt;&gt;"",G$5&gt;Mitarbeiter!$F$28),0,IF(Planung!G30="",$C30,IF(ISNUMBER(Planung!G30),Planung!G30,IF(UPPER(Planung!G30)="H",$C30/2,0)))))))</f>
        <v>0</v>
      </c>
      <c r="H30" s="27">
        <f>IF($A30="",0,IF(Mitarbeiter!$G$28=FALSE,0,IF(AND(Mitarbeiter!$E$28&lt;&gt;"",H$5+6&lt;Mitarbeiter!$E$28),0,IF(AND(Mitarbeiter!$F$28&lt;&gt;"",H$5&gt;Mitarbeiter!$F$28),0,IF(Planung!H30="",$C30,IF(ISNUMBER(Planung!H30),Planung!H30,IF(UPPER(Planung!H30)="H",$C30/2,0)))))))</f>
        <v>0</v>
      </c>
      <c r="I30" s="27">
        <f>IF($A30="",0,IF(Mitarbeiter!$G$28=FALSE,0,IF(AND(Mitarbeiter!$E$28&lt;&gt;"",I$5+6&lt;Mitarbeiter!$E$28),0,IF(AND(Mitarbeiter!$F$28&lt;&gt;"",I$5&gt;Mitarbeiter!$F$28),0,IF(Planung!I30="",$C30,IF(ISNUMBER(Planung!I30),Planung!I30,IF(UPPER(Planung!I30)="H",$C30/2,0)))))))</f>
        <v>0</v>
      </c>
      <c r="J30" s="27">
        <f>IF($A30="",0,IF(Mitarbeiter!$G$28=FALSE,0,IF(AND(Mitarbeiter!$E$28&lt;&gt;"",J$5+6&lt;Mitarbeiter!$E$28),0,IF(AND(Mitarbeiter!$F$28&lt;&gt;"",J$5&gt;Mitarbeiter!$F$28),0,IF(Planung!J30="",$C30,IF(ISNUMBER(Planung!J30),Planung!J30,IF(UPPER(Planung!J30)="H",$C30/2,0)))))))</f>
        <v>0</v>
      </c>
      <c r="K30" s="27">
        <f>IF($A30="",0,IF(Mitarbeiter!$G$28=FALSE,0,IF(AND(Mitarbeiter!$E$28&lt;&gt;"",K$5+6&lt;Mitarbeiter!$E$28),0,IF(AND(Mitarbeiter!$F$28&lt;&gt;"",K$5&gt;Mitarbeiter!$F$28),0,IF(Planung!K30="",$C30,IF(ISNUMBER(Planung!K30),Planung!K30,IF(UPPER(Planung!K30)="H",$C30/2,0)))))))</f>
        <v>0</v>
      </c>
      <c r="L30" s="27">
        <f>IF($A30="",0,IF(Mitarbeiter!$G$28=FALSE,0,IF(AND(Mitarbeiter!$E$28&lt;&gt;"",L$5+6&lt;Mitarbeiter!$E$28),0,IF(AND(Mitarbeiter!$F$28&lt;&gt;"",L$5&gt;Mitarbeiter!$F$28),0,IF(Planung!L30="",$C30,IF(ISNUMBER(Planung!L30),Planung!L30,IF(UPPER(Planung!L30)="H",$C30/2,0)))))))</f>
        <v>0</v>
      </c>
      <c r="M30" s="27">
        <f>IF($A30="",0,IF(Mitarbeiter!$G$28=FALSE,0,IF(AND(Mitarbeiter!$E$28&lt;&gt;"",M$5+6&lt;Mitarbeiter!$E$28),0,IF(AND(Mitarbeiter!$F$28&lt;&gt;"",M$5&gt;Mitarbeiter!$F$28),0,IF(Planung!M30="",$C30,IF(ISNUMBER(Planung!M30),Planung!M30,IF(UPPER(Planung!M30)="H",$C30/2,0)))))))</f>
        <v>0</v>
      </c>
      <c r="N30" s="27">
        <f>IF($A30="",0,IF(Mitarbeiter!$G$28=FALSE,0,IF(AND(Mitarbeiter!$E$28&lt;&gt;"",N$5+6&lt;Mitarbeiter!$E$28),0,IF(AND(Mitarbeiter!$F$28&lt;&gt;"",N$5&gt;Mitarbeiter!$F$28),0,IF(Planung!N30="",$C30,IF(ISNUMBER(Planung!N30),Planung!N30,IF(UPPER(Planung!N30)="H",$C30/2,0)))))))</f>
        <v>0</v>
      </c>
      <c r="O30" s="27">
        <f>IF($A30="",0,IF(Mitarbeiter!$G$28=FALSE,0,IF(AND(Mitarbeiter!$E$28&lt;&gt;"",O$5+6&lt;Mitarbeiter!$E$28),0,IF(AND(Mitarbeiter!$F$28&lt;&gt;"",O$5&gt;Mitarbeiter!$F$28),0,IF(Planung!O30="",$C30,IF(ISNUMBER(Planung!O30),Planung!O30,IF(UPPER(Planung!O30)="H",$C30/2,0)))))))</f>
        <v>0</v>
      </c>
      <c r="P30" s="27">
        <f>IF($A30="",0,IF(Mitarbeiter!$G$28=FALSE,0,IF(AND(Mitarbeiter!$E$28&lt;&gt;"",P$5+6&lt;Mitarbeiter!$E$28),0,IF(AND(Mitarbeiter!$F$28&lt;&gt;"",P$5&gt;Mitarbeiter!$F$28),0,IF(Planung!P30="",$C30,IF(ISNUMBER(Planung!P30),Planung!P30,IF(UPPER(Planung!P30)="H",$C30/2,0)))))))</f>
        <v>0</v>
      </c>
      <c r="Q30" s="27">
        <f>IF($A30="",0,IF(Mitarbeiter!$G$28=FALSE,0,IF(AND(Mitarbeiter!$E$28&lt;&gt;"",Q$5+6&lt;Mitarbeiter!$E$28),0,IF(AND(Mitarbeiter!$F$28&lt;&gt;"",Q$5&gt;Mitarbeiter!$F$28),0,IF(Planung!Q30="",$C30,IF(ISNUMBER(Planung!Q30),Planung!Q30,IF(UPPER(Planung!Q30)="H",$C30/2,0)))))))</f>
        <v>0</v>
      </c>
      <c r="R30" s="27">
        <f>IF($A30="",0,IF(Mitarbeiter!$G$28=FALSE,0,IF(AND(Mitarbeiter!$E$28&lt;&gt;"",R$5+6&lt;Mitarbeiter!$E$28),0,IF(AND(Mitarbeiter!$F$28&lt;&gt;"",R$5&gt;Mitarbeiter!$F$28),0,IF(Planung!R30="",$C30,IF(ISNUMBER(Planung!R30),Planung!R30,IF(UPPER(Planung!R30)="H",$C30/2,0)))))))</f>
        <v>0</v>
      </c>
      <c r="S30" s="27">
        <f>IF($A30="",0,IF(Mitarbeiter!$G$28=FALSE,0,IF(AND(Mitarbeiter!$E$28&lt;&gt;"",S$5+6&lt;Mitarbeiter!$E$28),0,IF(AND(Mitarbeiter!$F$28&lt;&gt;"",S$5&gt;Mitarbeiter!$F$28),0,IF(Planung!S30="",$C30,IF(ISNUMBER(Planung!S30),Planung!S30,IF(UPPER(Planung!S30)="H",$C30/2,0)))))))</f>
        <v>0</v>
      </c>
      <c r="T30" s="27">
        <f>IF($A30="",0,IF(Mitarbeiter!$G$28=FALSE,0,IF(AND(Mitarbeiter!$E$28&lt;&gt;"",T$5+6&lt;Mitarbeiter!$E$28),0,IF(AND(Mitarbeiter!$F$28&lt;&gt;"",T$5&gt;Mitarbeiter!$F$28),0,IF(Planung!T30="",$C30,IF(ISNUMBER(Planung!T30),Planung!T30,IF(UPPER(Planung!T30)="H",$C30/2,0)))))))</f>
        <v>0</v>
      </c>
      <c r="U30" s="27">
        <f>IF($A30="",0,IF(Mitarbeiter!$G$28=FALSE,0,IF(AND(Mitarbeiter!$E$28&lt;&gt;"",U$5+6&lt;Mitarbeiter!$E$28),0,IF(AND(Mitarbeiter!$F$28&lt;&gt;"",U$5&gt;Mitarbeiter!$F$28),0,IF(Planung!U30="",$C30,IF(ISNUMBER(Planung!U30),Planung!U30,IF(UPPER(Planung!U30)="H",$C30/2,0)))))))</f>
        <v>0</v>
      </c>
      <c r="V30" s="27">
        <f>IF($A30="",0,IF(Mitarbeiter!$G$28=FALSE,0,IF(AND(Mitarbeiter!$E$28&lt;&gt;"",V$5+6&lt;Mitarbeiter!$E$28),0,IF(AND(Mitarbeiter!$F$28&lt;&gt;"",V$5&gt;Mitarbeiter!$F$28),0,IF(Planung!V30="",$C30,IF(ISNUMBER(Planung!V30),Planung!V30,IF(UPPER(Planung!V30)="H",$C30/2,0)))))))</f>
        <v>0</v>
      </c>
      <c r="W30" s="27">
        <f>IF($A30="",0,IF(Mitarbeiter!$G$28=FALSE,0,IF(AND(Mitarbeiter!$E$28&lt;&gt;"",W$5+6&lt;Mitarbeiter!$E$28),0,IF(AND(Mitarbeiter!$F$28&lt;&gt;"",W$5&gt;Mitarbeiter!$F$28),0,IF(Planung!W30="",$C30,IF(ISNUMBER(Planung!W30),Planung!W30,IF(UPPER(Planung!W30)="H",$C30/2,0)))))))</f>
        <v>0</v>
      </c>
      <c r="X30" s="27">
        <f>IF($A30="",0,IF(Mitarbeiter!$G$28=FALSE,0,IF(AND(Mitarbeiter!$E$28&lt;&gt;"",X$5+6&lt;Mitarbeiter!$E$28),0,IF(AND(Mitarbeiter!$F$28&lt;&gt;"",X$5&gt;Mitarbeiter!$F$28),0,IF(Planung!X30="",$C30,IF(ISNUMBER(Planung!X30),Planung!X30,IF(UPPER(Planung!X30)="H",$C30/2,0)))))))</f>
        <v>0</v>
      </c>
      <c r="Y30" s="27">
        <f>IF($A30="",0,IF(Mitarbeiter!$G$28=FALSE,0,IF(AND(Mitarbeiter!$E$28&lt;&gt;"",Y$5+6&lt;Mitarbeiter!$E$28),0,IF(AND(Mitarbeiter!$F$28&lt;&gt;"",Y$5&gt;Mitarbeiter!$F$28),0,IF(Planung!Y30="",$C30,IF(ISNUMBER(Planung!Y30),Planung!Y30,IF(UPPER(Planung!Y30)="H",$C30/2,0)))))))</f>
        <v>0</v>
      </c>
      <c r="Z30" s="27">
        <f>IF($A30="",0,IF(Mitarbeiter!$G$28=FALSE,0,IF(AND(Mitarbeiter!$E$28&lt;&gt;"",Z$5+6&lt;Mitarbeiter!$E$28),0,IF(AND(Mitarbeiter!$F$28&lt;&gt;"",Z$5&gt;Mitarbeiter!$F$28),0,IF(Planung!Z30="",$C30,IF(ISNUMBER(Planung!Z30),Planung!Z30,IF(UPPER(Planung!Z30)="H",$C30/2,0)))))))</f>
        <v>0</v>
      </c>
      <c r="AA30" s="27">
        <f>IF($A30="",0,IF(Mitarbeiter!$G$28=FALSE,0,IF(AND(Mitarbeiter!$E$28&lt;&gt;"",AA$5+6&lt;Mitarbeiter!$E$28),0,IF(AND(Mitarbeiter!$F$28&lt;&gt;"",AA$5&gt;Mitarbeiter!$F$28),0,IF(Planung!AA30="",$C30,IF(ISNUMBER(Planung!AA30),Planung!AA30,IF(UPPER(Planung!AA30)="H",$C30/2,0)))))))</f>
        <v>0</v>
      </c>
      <c r="AB30" s="27">
        <f>IF($A30="",0,IF(Mitarbeiter!$G$28=FALSE,0,IF(AND(Mitarbeiter!$E$28&lt;&gt;"",AB$5+6&lt;Mitarbeiter!$E$28),0,IF(AND(Mitarbeiter!$F$28&lt;&gt;"",AB$5&gt;Mitarbeiter!$F$28),0,IF(Planung!AB30="",$C30,IF(ISNUMBER(Planung!AB30),Planung!AB30,IF(UPPER(Planung!AB30)="H",$C30/2,0)))))))</f>
        <v>0</v>
      </c>
      <c r="AC30" s="27">
        <f>IF($A30="",0,IF(Mitarbeiter!$G$28=FALSE,0,IF(AND(Mitarbeiter!$E$28&lt;&gt;"",AC$5+6&lt;Mitarbeiter!$E$28),0,IF(AND(Mitarbeiter!$F$28&lt;&gt;"",AC$5&gt;Mitarbeiter!$F$28),0,IF(Planung!AC30="",$C30,IF(ISNUMBER(Planung!AC30),Planung!AC30,IF(UPPER(Planung!AC30)="H",$C30/2,0)))))))</f>
        <v>0</v>
      </c>
      <c r="AD30" s="27">
        <f>IF($A30="",0,IF(Mitarbeiter!$G$28=FALSE,0,IF(AND(Mitarbeiter!$E$28&lt;&gt;"",AD$5+6&lt;Mitarbeiter!$E$28),0,IF(AND(Mitarbeiter!$F$28&lt;&gt;"",AD$5&gt;Mitarbeiter!$F$28),0,IF(Planung!AD30="",$C30,IF(ISNUMBER(Planung!AD30),Planung!AD30,IF(UPPER(Planung!AD30)="H",$C30/2,0)))))))</f>
        <v>0</v>
      </c>
      <c r="AE30" s="27">
        <f>IF($A30="",0,IF(Mitarbeiter!$G$28=FALSE,0,IF(AND(Mitarbeiter!$E$28&lt;&gt;"",AE$5+6&lt;Mitarbeiter!$E$28),0,IF(AND(Mitarbeiter!$F$28&lt;&gt;"",AE$5&gt;Mitarbeiter!$F$28),0,IF(Planung!AE30="",$C30,IF(ISNUMBER(Planung!AE30),Planung!AE30,IF(UPPER(Planung!AE30)="H",$C30/2,0)))))))</f>
        <v>0</v>
      </c>
      <c r="AF30" s="27">
        <f>IF($A30="",0,IF(Mitarbeiter!$G$28=FALSE,0,IF(AND(Mitarbeiter!$E$28&lt;&gt;"",AF$5+6&lt;Mitarbeiter!$E$28),0,IF(AND(Mitarbeiter!$F$28&lt;&gt;"",AF$5&gt;Mitarbeiter!$F$28),0,IF(Planung!AF30="",$C30,IF(ISNUMBER(Planung!AF30),Planung!AF30,IF(UPPER(Planung!AF30)="H",$C30/2,0)))))))</f>
        <v>0</v>
      </c>
      <c r="AG30" s="27">
        <f>IF($A30="",0,IF(Mitarbeiter!$G$28=FALSE,0,IF(AND(Mitarbeiter!$E$28&lt;&gt;"",AG$5+6&lt;Mitarbeiter!$E$28),0,IF(AND(Mitarbeiter!$F$28&lt;&gt;"",AG$5&gt;Mitarbeiter!$F$28),0,IF(Planung!AG30="",$C30,IF(ISNUMBER(Planung!AG30),Planung!AG30,IF(UPPER(Planung!AG30)="H",$C30/2,0)))))))</f>
        <v>0</v>
      </c>
      <c r="AH30" s="27">
        <f>IF($A30="",0,IF(Mitarbeiter!$G$28=FALSE,0,IF(AND(Mitarbeiter!$E$28&lt;&gt;"",AH$5+6&lt;Mitarbeiter!$E$28),0,IF(AND(Mitarbeiter!$F$28&lt;&gt;"",AH$5&gt;Mitarbeiter!$F$28),0,IF(Planung!AH30="",$C30,IF(ISNUMBER(Planung!AH30),Planung!AH30,IF(UPPER(Planung!AH30)="H",$C30/2,0)))))))</f>
        <v>0</v>
      </c>
      <c r="AI30" s="27">
        <f>IF($A30="",0,IF(Mitarbeiter!$G$28=FALSE,0,IF(AND(Mitarbeiter!$E$28&lt;&gt;"",AI$5+6&lt;Mitarbeiter!$E$28),0,IF(AND(Mitarbeiter!$F$28&lt;&gt;"",AI$5&gt;Mitarbeiter!$F$28),0,IF(Planung!AI30="",$C30,IF(ISNUMBER(Planung!AI30),Planung!AI30,IF(UPPER(Planung!AI30)="H",$C30/2,0)))))))</f>
        <v>0</v>
      </c>
      <c r="AJ30" s="27">
        <f>IF($A30="",0,IF(Mitarbeiter!$G$28=FALSE,0,IF(AND(Mitarbeiter!$E$28&lt;&gt;"",AJ$5+6&lt;Mitarbeiter!$E$28),0,IF(AND(Mitarbeiter!$F$28&lt;&gt;"",AJ$5&gt;Mitarbeiter!$F$28),0,IF(Planung!AJ30="",$C30,IF(ISNUMBER(Planung!AJ30),Planung!AJ30,IF(UPPER(Planung!AJ30)="H",$C30/2,0)))))))</f>
        <v>0</v>
      </c>
      <c r="AK30" s="27">
        <f>IF($A30="",0,IF(Mitarbeiter!$G$28=FALSE,0,IF(AND(Mitarbeiter!$E$28&lt;&gt;"",AK$5+6&lt;Mitarbeiter!$E$28),0,IF(AND(Mitarbeiter!$F$28&lt;&gt;"",AK$5&gt;Mitarbeiter!$F$28),0,IF(Planung!AK30="",$C30,IF(ISNUMBER(Planung!AK30),Planung!AK30,IF(UPPER(Planung!AK30)="H",$C30/2,0)))))))</f>
        <v>0</v>
      </c>
      <c r="AL30" s="27">
        <f>IF($A30="",0,IF(Mitarbeiter!$G$28=FALSE,0,IF(AND(Mitarbeiter!$E$28&lt;&gt;"",AL$5+6&lt;Mitarbeiter!$E$28),0,IF(AND(Mitarbeiter!$F$28&lt;&gt;"",AL$5&gt;Mitarbeiter!$F$28),0,IF(Planung!AL30="",$C30,IF(ISNUMBER(Planung!AL30),Planung!AL30,IF(UPPER(Planung!AL30)="H",$C30/2,0)))))))</f>
        <v>0</v>
      </c>
      <c r="AM30" s="27">
        <f>IF($A30="",0,IF(Mitarbeiter!$G$28=FALSE,0,IF(AND(Mitarbeiter!$E$28&lt;&gt;"",AM$5+6&lt;Mitarbeiter!$E$28),0,IF(AND(Mitarbeiter!$F$28&lt;&gt;"",AM$5&gt;Mitarbeiter!$F$28),0,IF(Planung!AM30="",$C30,IF(ISNUMBER(Planung!AM30),Planung!AM30,IF(UPPER(Planung!AM30)="H",$C30/2,0)))))))</f>
        <v>0</v>
      </c>
      <c r="AN30" s="27">
        <f>IF($A30="",0,IF(Mitarbeiter!$G$28=FALSE,0,IF(AND(Mitarbeiter!$E$28&lt;&gt;"",AN$5+6&lt;Mitarbeiter!$E$28),0,IF(AND(Mitarbeiter!$F$28&lt;&gt;"",AN$5&gt;Mitarbeiter!$F$28),0,IF(Planung!AN30="",$C30,IF(ISNUMBER(Planung!AN30),Planung!AN30,IF(UPPER(Planung!AN30)="H",$C30/2,0)))))))</f>
        <v>0</v>
      </c>
      <c r="AO30" s="27">
        <f>IF($A30="",0,IF(Mitarbeiter!$G$28=FALSE,0,IF(AND(Mitarbeiter!$E$28&lt;&gt;"",AO$5+6&lt;Mitarbeiter!$E$28),0,IF(AND(Mitarbeiter!$F$28&lt;&gt;"",AO$5&gt;Mitarbeiter!$F$28),0,IF(Planung!AO30="",$C30,IF(ISNUMBER(Planung!AO30),Planung!AO30,IF(UPPER(Planung!AO30)="H",$C30/2,0)))))))</f>
        <v>0</v>
      </c>
      <c r="AP30" s="27">
        <f>IF($A30="",0,IF(Mitarbeiter!$G$28=FALSE,0,IF(AND(Mitarbeiter!$E$28&lt;&gt;"",AP$5+6&lt;Mitarbeiter!$E$28),0,IF(AND(Mitarbeiter!$F$28&lt;&gt;"",AP$5&gt;Mitarbeiter!$F$28),0,IF(Planung!AP30="",$C30,IF(ISNUMBER(Planung!AP30),Planung!AP30,IF(UPPER(Planung!AP30)="H",$C30/2,0)))))))</f>
        <v>0</v>
      </c>
      <c r="AQ30" s="27">
        <f>IF($A30="",0,IF(Mitarbeiter!$G$28=FALSE,0,IF(AND(Mitarbeiter!$E$28&lt;&gt;"",AQ$5+6&lt;Mitarbeiter!$E$28),0,IF(AND(Mitarbeiter!$F$28&lt;&gt;"",AQ$5&gt;Mitarbeiter!$F$28),0,IF(Planung!AQ30="",$C30,IF(ISNUMBER(Planung!AQ30),Planung!AQ30,IF(UPPER(Planung!AQ30)="H",$C30/2,0)))))))</f>
        <v>0</v>
      </c>
      <c r="AR30" s="27">
        <f>IF($A30="",0,IF(Mitarbeiter!$G$28=FALSE,0,IF(AND(Mitarbeiter!$E$28&lt;&gt;"",AR$5+6&lt;Mitarbeiter!$E$28),0,IF(AND(Mitarbeiter!$F$28&lt;&gt;"",AR$5&gt;Mitarbeiter!$F$28),0,IF(Planung!AR30="",$C30,IF(ISNUMBER(Planung!AR30),Planung!AR30,IF(UPPER(Planung!AR30)="H",$C30/2,0)))))))</f>
        <v>0</v>
      </c>
      <c r="AS30" s="27">
        <f>IF($A30="",0,IF(Mitarbeiter!$G$28=FALSE,0,IF(AND(Mitarbeiter!$E$28&lt;&gt;"",AS$5+6&lt;Mitarbeiter!$E$28),0,IF(AND(Mitarbeiter!$F$28&lt;&gt;"",AS$5&gt;Mitarbeiter!$F$28),0,IF(Planung!AS30="",$C30,IF(ISNUMBER(Planung!AS30),Planung!AS30,IF(UPPER(Planung!AS30)="H",$C30/2,0)))))))</f>
        <v>0</v>
      </c>
      <c r="AT30" s="27">
        <f>IF($A30="",0,IF(Mitarbeiter!$G$28=FALSE,0,IF(AND(Mitarbeiter!$E$28&lt;&gt;"",AT$5+6&lt;Mitarbeiter!$E$28),0,IF(AND(Mitarbeiter!$F$28&lt;&gt;"",AT$5&gt;Mitarbeiter!$F$28),0,IF(Planung!AT30="",$C30,IF(ISNUMBER(Planung!AT30),Planung!AT30,IF(UPPER(Planung!AT30)="H",$C30/2,0)))))))</f>
        <v>0</v>
      </c>
      <c r="AU30" s="27">
        <f>IF($A30="",0,IF(Mitarbeiter!$G$28=FALSE,0,IF(AND(Mitarbeiter!$E$28&lt;&gt;"",AU$5+6&lt;Mitarbeiter!$E$28),0,IF(AND(Mitarbeiter!$F$28&lt;&gt;"",AU$5&gt;Mitarbeiter!$F$28),0,IF(Planung!AU30="",$C30,IF(ISNUMBER(Planung!AU30),Planung!AU30,IF(UPPER(Planung!AU30)="H",$C30/2,0)))))))</f>
        <v>0</v>
      </c>
      <c r="AV30" s="27">
        <f>IF($A30="",0,IF(Mitarbeiter!$G$28=FALSE,0,IF(AND(Mitarbeiter!$E$28&lt;&gt;"",AV$5+6&lt;Mitarbeiter!$E$28),0,IF(AND(Mitarbeiter!$F$28&lt;&gt;"",AV$5&gt;Mitarbeiter!$F$28),0,IF(Planung!AV30="",$C30,IF(ISNUMBER(Planung!AV30),Planung!AV30,IF(UPPER(Planung!AV30)="H",$C30/2,0)))))))</f>
        <v>0</v>
      </c>
      <c r="AW30" s="27">
        <f>IF($A30="",0,IF(Mitarbeiter!$G$28=FALSE,0,IF(AND(Mitarbeiter!$E$28&lt;&gt;"",AW$5+6&lt;Mitarbeiter!$E$28),0,IF(AND(Mitarbeiter!$F$28&lt;&gt;"",AW$5&gt;Mitarbeiter!$F$28),0,IF(Planung!AW30="",$C30,IF(ISNUMBER(Planung!AW30),Planung!AW30,IF(UPPER(Planung!AW30)="H",$C30/2,0)))))))</f>
        <v>0</v>
      </c>
      <c r="AX30" s="27">
        <f>IF($A30="",0,IF(Mitarbeiter!$G$28=FALSE,0,IF(AND(Mitarbeiter!$E$28&lt;&gt;"",AX$5+6&lt;Mitarbeiter!$E$28),0,IF(AND(Mitarbeiter!$F$28&lt;&gt;"",AX$5&gt;Mitarbeiter!$F$28),0,IF(Planung!AX30="",$C30,IF(ISNUMBER(Planung!AX30),Planung!AX30,IF(UPPER(Planung!AX30)="H",$C30/2,0)))))))</f>
        <v>0</v>
      </c>
      <c r="AY30" s="27">
        <f>IF($A30="",0,IF(Mitarbeiter!$G$28=FALSE,0,IF(AND(Mitarbeiter!$E$28&lt;&gt;"",AY$5+6&lt;Mitarbeiter!$E$28),0,IF(AND(Mitarbeiter!$F$28&lt;&gt;"",AY$5&gt;Mitarbeiter!$F$28),0,IF(Planung!AY30="",$C30,IF(ISNUMBER(Planung!AY30),Planung!AY30,IF(UPPER(Planung!AY30)="H",$C30/2,0)))))))</f>
        <v>0</v>
      </c>
      <c r="AZ30" s="27">
        <f>IF($A30="",0,IF(Mitarbeiter!$G$28=FALSE,0,IF(AND(Mitarbeiter!$E$28&lt;&gt;"",AZ$5+6&lt;Mitarbeiter!$E$28),0,IF(AND(Mitarbeiter!$F$28&lt;&gt;"",AZ$5&gt;Mitarbeiter!$F$28),0,IF(Planung!AZ30="",$C30,IF(ISNUMBER(Planung!AZ30),Planung!AZ30,IF(UPPER(Planung!AZ30)="H",$C30/2,0)))))))</f>
        <v>0</v>
      </c>
      <c r="BA30" s="27">
        <f>IF($A30="",0,IF(Mitarbeiter!$G$28=FALSE,0,IF(AND(Mitarbeiter!$E$28&lt;&gt;"",BA$5+6&lt;Mitarbeiter!$E$28),0,IF(AND(Mitarbeiter!$F$28&lt;&gt;"",BA$5&gt;Mitarbeiter!$F$28),0,IF(Planung!BA30="",$C30,IF(ISNUMBER(Planung!BA30),Planung!BA30,IF(UPPER(Planung!BA30)="H",$C30/2,0)))))))</f>
        <v>0</v>
      </c>
      <c r="BB30" s="27">
        <f>IF($A30="",0,IF(Mitarbeiter!$G$28=FALSE,0,IF(AND(Mitarbeiter!$E$28&lt;&gt;"",BB$5+6&lt;Mitarbeiter!$E$28),0,IF(AND(Mitarbeiter!$F$28&lt;&gt;"",BB$5&gt;Mitarbeiter!$F$28),0,IF(Planung!BB30="",$C30,IF(ISNUMBER(Planung!BB30),Planung!BB30,IF(UPPER(Planung!BB30)="H",$C30/2,0)))))))</f>
        <v>0</v>
      </c>
      <c r="BC30" s="27">
        <f>IF($A30="",0,IF(Mitarbeiter!$G$28=FALSE,0,IF(AND(Mitarbeiter!$E$28&lt;&gt;"",BC$5+6&lt;Mitarbeiter!$E$28),0,IF(AND(Mitarbeiter!$F$28&lt;&gt;"",BC$5&gt;Mitarbeiter!$F$28),0,IF(Planung!BC30="",$C30,IF(ISNUMBER(Planung!BC30),Planung!BC30,IF(UPPER(Planung!BC30)="H",$C30/2,0)))))))</f>
        <v>0</v>
      </c>
      <c r="BD30" s="27">
        <f>IF($A30="",0,IF(Mitarbeiter!$G$28=FALSE,0,IF(AND(Mitarbeiter!$E$28&lt;&gt;"",BD$5+6&lt;Mitarbeiter!$E$28),0,IF(AND(Mitarbeiter!$F$28&lt;&gt;"",BD$5&gt;Mitarbeiter!$F$28),0,IF(Planung!BD30="",$C30,IF(ISNUMBER(Planung!BD30),Planung!BD30,IF(UPPER(Planung!BD30)="H",$C30/2,0)))))))</f>
        <v>0</v>
      </c>
      <c r="BE30" s="27">
        <f>IF($A30="",0,IF(Mitarbeiter!$G$28=FALSE,0,IF(AND(Mitarbeiter!$E$28&lt;&gt;"",BE$5+6&lt;Mitarbeiter!$E$28),0,IF(AND(Mitarbeiter!$F$28&lt;&gt;"",BE$5&gt;Mitarbeiter!$F$28),0,IF(Planung!BE30="",$C30,IF(ISNUMBER(Planung!BE30),Planung!BE30,IF(UPPER(Planung!BE30)="H",$C30/2,0)))))))</f>
        <v>0</v>
      </c>
      <c r="BF30" s="27">
        <f>IF($A30="",0,IF(Mitarbeiter!$G$28=FALSE,0,IF(AND(Mitarbeiter!$E$28&lt;&gt;"",BF$5+6&lt;Mitarbeiter!$E$28),0,IF(AND(Mitarbeiter!$F$28&lt;&gt;"",BF$5&gt;Mitarbeiter!$F$28),0,IF(Planung!BF30="",$C30,IF(ISNUMBER(Planung!BF30),Planung!BF30,IF(UPPER(Planung!BF30)="H",$C30/2,0)))))))</f>
        <v>0</v>
      </c>
      <c r="BG30" s="27">
        <f>IF($A30="",0,IF(Mitarbeiter!$G$28=FALSE,0,IF(AND(Mitarbeiter!$E$28&lt;&gt;"",BG$5+6&lt;Mitarbeiter!$E$28),0,IF(AND(Mitarbeiter!$F$28&lt;&gt;"",BG$5&gt;Mitarbeiter!$F$28),0,IF(Planung!BG30="",$C30,IF(ISNUMBER(Planung!BG30),Planung!BG30,IF(UPPER(Planung!BG30)="H",$C30/2,0)))))))</f>
        <v>0</v>
      </c>
      <c r="BH30" s="27">
        <f>IF($A30="",0,IF(Mitarbeiter!$G$28=FALSE,0,IF(AND(Mitarbeiter!$E$28&lt;&gt;"",BH$5+6&lt;Mitarbeiter!$E$28),0,IF(AND(Mitarbeiter!$F$28&lt;&gt;"",BH$5&gt;Mitarbeiter!$F$28),0,IF(Planung!BH30="",$C30,IF(ISNUMBER(Planung!BH30),Planung!BH30,IF(UPPER(Planung!BH30)="H",$C30/2,0)))))))</f>
        <v>0</v>
      </c>
      <c r="BI30" s="27">
        <f>IF($A30="",0,IF(Mitarbeiter!$G$28=FALSE,0,IF(AND(Mitarbeiter!$E$28&lt;&gt;"",BI$5+6&lt;Mitarbeiter!$E$28),0,IF(AND(Mitarbeiter!$F$28&lt;&gt;"",BI$5&gt;Mitarbeiter!$F$28),0,IF(Planung!BI30="",$C30,IF(ISNUMBER(Planung!BI30),Planung!BI30,IF(UPPER(Planung!BI30)="H",$C30/2,0)))))))</f>
        <v>0</v>
      </c>
      <c r="BJ30" s="27">
        <f>IF($A30="",0,IF(Mitarbeiter!$G$28=FALSE,0,IF(AND(Mitarbeiter!$E$28&lt;&gt;"",BJ$5+6&lt;Mitarbeiter!$E$28),0,IF(AND(Mitarbeiter!$F$28&lt;&gt;"",BJ$5&gt;Mitarbeiter!$F$28),0,IF(Planung!BJ30="",$C30,IF(ISNUMBER(Planung!BJ30),Planung!BJ30,IF(UPPER(Planung!BJ30)="H",$C30/2,0)))))))</f>
        <v>0</v>
      </c>
      <c r="BK30" s="27">
        <f>IF($A30="",0,IF(Mitarbeiter!$G$28=FALSE,0,IF(AND(Mitarbeiter!$E$28&lt;&gt;"",BK$5+6&lt;Mitarbeiter!$E$28),0,IF(AND(Mitarbeiter!$F$28&lt;&gt;"",BK$5&gt;Mitarbeiter!$F$28),0,IF(Planung!BK30="",$C30,IF(ISNUMBER(Planung!BK30),Planung!BK30,IF(UPPER(Planung!BK30)="H",$C30/2,0)))))))</f>
        <v>0</v>
      </c>
      <c r="BL30" s="27">
        <f>IF($A30="",0,IF(Mitarbeiter!$G$28=FALSE,0,IF(AND(Mitarbeiter!$E$28&lt;&gt;"",BL$5+6&lt;Mitarbeiter!$E$28),0,IF(AND(Mitarbeiter!$F$28&lt;&gt;"",BL$5&gt;Mitarbeiter!$F$28),0,IF(Planung!BL30="",$C30,IF(ISNUMBER(Planung!BL30),Planung!BL30,IF(UPPER(Planung!BL30)="H",$C30/2,0)))))))</f>
        <v>0</v>
      </c>
      <c r="BM30" s="27">
        <f>IF($A30="",0,IF(Mitarbeiter!$G$28=FALSE,0,IF(AND(Mitarbeiter!$E$28&lt;&gt;"",BM$5+6&lt;Mitarbeiter!$E$28),0,IF(AND(Mitarbeiter!$F$28&lt;&gt;"",BM$5&gt;Mitarbeiter!$F$28),0,IF(Planung!BM30="",$C30,IF(ISNUMBER(Planung!BM30),Planung!BM30,IF(UPPER(Planung!BM30)="H",$C30/2,0)))))))</f>
        <v>0</v>
      </c>
      <c r="BN30" s="27">
        <f>IF($A30="",0,IF(Mitarbeiter!$G$28=FALSE,0,IF(AND(Mitarbeiter!$E$28&lt;&gt;"",BN$5+6&lt;Mitarbeiter!$E$28),0,IF(AND(Mitarbeiter!$F$28&lt;&gt;"",BN$5&gt;Mitarbeiter!$F$28),0,IF(Planung!BN30="",$C30,IF(ISNUMBER(Planung!BN30),Planung!BN30,IF(UPPER(Planung!BN30)="H",$C30/2,0)))))))</f>
        <v>0</v>
      </c>
      <c r="BO30" s="27">
        <f>IF($A30="",0,IF(Mitarbeiter!$G$28=FALSE,0,IF(AND(Mitarbeiter!$E$28&lt;&gt;"",BO$5+6&lt;Mitarbeiter!$E$28),0,IF(AND(Mitarbeiter!$F$28&lt;&gt;"",BO$5&gt;Mitarbeiter!$F$28),0,IF(Planung!BO30="",$C30,IF(ISNUMBER(Planung!BO30),Planung!BO30,IF(UPPER(Planung!BO30)="H",$C30/2,0)))))))</f>
        <v>0</v>
      </c>
      <c r="BP30" s="27">
        <f>IF($A30="",0,IF(Mitarbeiter!$G$28=FALSE,0,IF(AND(Mitarbeiter!$E$28&lt;&gt;"",BP$5+6&lt;Mitarbeiter!$E$28),0,IF(AND(Mitarbeiter!$F$28&lt;&gt;"",BP$5&gt;Mitarbeiter!$F$28),0,IF(Planung!BP30="",$C30,IF(ISNUMBER(Planung!BP30),Planung!BP30,IF(UPPER(Planung!BP30)="H",$C30/2,0)))))))</f>
        <v>0</v>
      </c>
      <c r="BQ30" s="27">
        <f>IF($A30="",0,IF(Mitarbeiter!$G$28=FALSE,0,IF(AND(Mitarbeiter!$E$28&lt;&gt;"",BQ$5+6&lt;Mitarbeiter!$E$28),0,IF(AND(Mitarbeiter!$F$28&lt;&gt;"",BQ$5&gt;Mitarbeiter!$F$28),0,IF(Planung!BQ30="",$C30,IF(ISNUMBER(Planung!BQ30),Planung!BQ30,IF(UPPER(Planung!BQ30)="H",$C30/2,0)))))))</f>
        <v>0</v>
      </c>
      <c r="BR30" s="27">
        <f>IF($A30="",0,IF(Mitarbeiter!$G$28=FALSE,0,IF(AND(Mitarbeiter!$E$28&lt;&gt;"",BR$5+6&lt;Mitarbeiter!$E$28),0,IF(AND(Mitarbeiter!$F$28&lt;&gt;"",BR$5&gt;Mitarbeiter!$F$28),0,IF(Planung!BR30="",$C30,IF(ISNUMBER(Planung!BR30),Planung!BR30,IF(UPPER(Planung!BR30)="H",$C30/2,0)))))))</f>
        <v>0</v>
      </c>
      <c r="BS30" s="27">
        <f>IF($A30="",0,IF(Mitarbeiter!$G$28=FALSE,0,IF(AND(Mitarbeiter!$E$28&lt;&gt;"",BS$5+6&lt;Mitarbeiter!$E$28),0,IF(AND(Mitarbeiter!$F$28&lt;&gt;"",BS$5&gt;Mitarbeiter!$F$28),0,IF(Planung!BS30="",$C30,IF(ISNUMBER(Planung!BS30),Planung!BS30,IF(UPPER(Planung!BS30)="H",$C30/2,0)))))))</f>
        <v>0</v>
      </c>
      <c r="BT30" s="27">
        <f>IF($A30="",0,IF(Mitarbeiter!$G$28=FALSE,0,IF(AND(Mitarbeiter!$E$28&lt;&gt;"",BT$5+6&lt;Mitarbeiter!$E$28),0,IF(AND(Mitarbeiter!$F$28&lt;&gt;"",BT$5&gt;Mitarbeiter!$F$28),0,IF(Planung!BT30="",$C30,IF(ISNUMBER(Planung!BT30),Planung!BT30,IF(UPPER(Planung!BT30)="H",$C30/2,0)))))))</f>
        <v>0</v>
      </c>
      <c r="BU30" s="27">
        <f>IF($A30="",0,IF(Mitarbeiter!$G$28=FALSE,0,IF(AND(Mitarbeiter!$E$28&lt;&gt;"",BU$5+6&lt;Mitarbeiter!$E$28),0,IF(AND(Mitarbeiter!$F$28&lt;&gt;"",BU$5&gt;Mitarbeiter!$F$28),0,IF(Planung!BU30="",$C30,IF(ISNUMBER(Planung!BU30),Planung!BU30,IF(UPPER(Planung!BU30)="H",$C30/2,0)))))))</f>
        <v>0</v>
      </c>
      <c r="BV30" s="27">
        <f>IF($A30="",0,IF(Mitarbeiter!$G$28=FALSE,0,IF(AND(Mitarbeiter!$E$28&lt;&gt;"",BV$5+6&lt;Mitarbeiter!$E$28),0,IF(AND(Mitarbeiter!$F$28&lt;&gt;"",BV$5&gt;Mitarbeiter!$F$28),0,IF(Planung!BV30="",$C30,IF(ISNUMBER(Planung!BV30),Planung!BV30,IF(UPPER(Planung!BV30)="H",$C30/2,0)))))))</f>
        <v>0</v>
      </c>
      <c r="BW30" s="27">
        <f>IF($A30="",0,IF(Mitarbeiter!$G$28=FALSE,0,IF(AND(Mitarbeiter!$E$28&lt;&gt;"",BW$5+6&lt;Mitarbeiter!$E$28),0,IF(AND(Mitarbeiter!$F$28&lt;&gt;"",BW$5&gt;Mitarbeiter!$F$28),0,IF(Planung!BW30="",$C30,IF(ISNUMBER(Planung!BW30),Planung!BW30,IF(UPPER(Planung!BW30)="H",$C30/2,0)))))))</f>
        <v>0</v>
      </c>
      <c r="BX30" s="27">
        <f>IF($A30="",0,IF(Mitarbeiter!$G$28=FALSE,0,IF(AND(Mitarbeiter!$E$28&lt;&gt;"",BX$5+6&lt;Mitarbeiter!$E$28),0,IF(AND(Mitarbeiter!$F$28&lt;&gt;"",BX$5&gt;Mitarbeiter!$F$28),0,IF(Planung!BX30="",$C30,IF(ISNUMBER(Planung!BX30),Planung!BX30,IF(UPPER(Planung!BX30)="H",$C30/2,0)))))))</f>
        <v>0</v>
      </c>
      <c r="BY30" s="27">
        <f>IF($A30="",0,IF(Mitarbeiter!$G$28=FALSE,0,IF(AND(Mitarbeiter!$E$28&lt;&gt;"",BY$5+6&lt;Mitarbeiter!$E$28),0,IF(AND(Mitarbeiter!$F$28&lt;&gt;"",BY$5&gt;Mitarbeiter!$F$28),0,IF(Planung!BY30="",$C30,IF(ISNUMBER(Planung!BY30),Planung!BY30,IF(UPPER(Planung!BY30)="H",$C30/2,0)))))))</f>
        <v>0</v>
      </c>
      <c r="BZ30" s="27">
        <f>IF($A30="",0,IF(Mitarbeiter!$G$28=FALSE,0,IF(AND(Mitarbeiter!$E$28&lt;&gt;"",BZ$5+6&lt;Mitarbeiter!$E$28),0,IF(AND(Mitarbeiter!$F$28&lt;&gt;"",BZ$5&gt;Mitarbeiter!$F$28),0,IF(Planung!BZ30="",$C30,IF(ISNUMBER(Planung!BZ30),Planung!BZ30,IF(UPPER(Planung!BZ30)="H",$C30/2,0)))))))</f>
        <v>0</v>
      </c>
      <c r="CA30" s="27">
        <f>IF($A30="",0,IF(Mitarbeiter!$G$28=FALSE,0,IF(AND(Mitarbeiter!$E$28&lt;&gt;"",CA$5+6&lt;Mitarbeiter!$E$28),0,IF(AND(Mitarbeiter!$F$28&lt;&gt;"",CA$5&gt;Mitarbeiter!$F$28),0,IF(Planung!CA30="",$C30,IF(ISNUMBER(Planung!CA30),Planung!CA30,IF(UPPER(Planung!CA30)="H",$C30/2,0)))))))</f>
        <v>0</v>
      </c>
      <c r="CB30" s="27">
        <f>IF($A30="",0,IF(Mitarbeiter!$G$28=FALSE,0,IF(AND(Mitarbeiter!$E$28&lt;&gt;"",CB$5+6&lt;Mitarbeiter!$E$28),0,IF(AND(Mitarbeiter!$F$28&lt;&gt;"",CB$5&gt;Mitarbeiter!$F$28),0,IF(Planung!CB30="",$C30,IF(ISNUMBER(Planung!CB30),Planung!CB30,IF(UPPER(Planung!CB30)="H",$C30/2,0)))))))</f>
        <v>0</v>
      </c>
      <c r="CC30" s="27">
        <f>IF($A30="",0,IF(Mitarbeiter!$G$28=FALSE,0,IF(AND(Mitarbeiter!$E$28&lt;&gt;"",CC$5+6&lt;Mitarbeiter!$E$28),0,IF(AND(Mitarbeiter!$F$28&lt;&gt;"",CC$5&gt;Mitarbeiter!$F$28),0,IF(Planung!CC30="",$C30,IF(ISNUMBER(Planung!CC30),Planung!CC30,IF(UPPER(Planung!CC30)="H",$C30/2,0)))))))</f>
        <v>0</v>
      </c>
      <c r="CD30" s="27">
        <f>IF($A30="",0,IF(Mitarbeiter!$G$28=FALSE,0,IF(AND(Mitarbeiter!$E$28&lt;&gt;"",CD$5+6&lt;Mitarbeiter!$E$28),0,IF(AND(Mitarbeiter!$F$28&lt;&gt;"",CD$5&gt;Mitarbeiter!$F$28),0,IF(Planung!CD30="",$C30,IF(ISNUMBER(Planung!CD30),Planung!CD30,IF(UPPER(Planung!CD30)="H",$C30/2,0)))))))</f>
        <v>0</v>
      </c>
      <c r="CE30" s="27">
        <f>IF($A30="",0,IF(Mitarbeiter!$G$28=FALSE,0,IF(AND(Mitarbeiter!$E$28&lt;&gt;"",CE$5+6&lt;Mitarbeiter!$E$28),0,IF(AND(Mitarbeiter!$F$28&lt;&gt;"",CE$5&gt;Mitarbeiter!$F$28),0,IF(Planung!CE30="",$C30,IF(ISNUMBER(Planung!CE30),Planung!CE30,IF(UPPER(Planung!CE30)="H",$C30/2,0)))))))</f>
        <v>0</v>
      </c>
      <c r="CF30" s="27">
        <f>IF($A30="",0,IF(Mitarbeiter!$G$28=FALSE,0,IF(AND(Mitarbeiter!$E$28&lt;&gt;"",CF$5+6&lt;Mitarbeiter!$E$28),0,IF(AND(Mitarbeiter!$F$28&lt;&gt;"",CF$5&gt;Mitarbeiter!$F$28),0,IF(Planung!CF30="",$C30,IF(ISNUMBER(Planung!CF30),Planung!CF30,IF(UPPER(Planung!CF30)="H",$C30/2,0)))))))</f>
        <v>0</v>
      </c>
      <c r="CG30" s="27">
        <f>IF($A30="",0,IF(Mitarbeiter!$G$28=FALSE,0,IF(AND(Mitarbeiter!$E$28&lt;&gt;"",CG$5+6&lt;Mitarbeiter!$E$28),0,IF(AND(Mitarbeiter!$F$28&lt;&gt;"",CG$5&gt;Mitarbeiter!$F$28),0,IF(Planung!CG30="",$C30,IF(ISNUMBER(Planung!CG30),Planung!CG30,IF(UPPER(Planung!CG30)="H",$C30/2,0)))))))</f>
        <v>0</v>
      </c>
      <c r="CH30" s="27">
        <f>IF($A30="",0,IF(Mitarbeiter!$G$28=FALSE,0,IF(AND(Mitarbeiter!$E$28&lt;&gt;"",CH$5+6&lt;Mitarbeiter!$E$28),0,IF(AND(Mitarbeiter!$F$28&lt;&gt;"",CH$5&gt;Mitarbeiter!$F$28),0,IF(Planung!CH30="",$C30,IF(ISNUMBER(Planung!CH30),Planung!CH30,IF(UPPER(Planung!CH30)="H",$C30/2,0)))))))</f>
        <v>0</v>
      </c>
      <c r="CI30" s="27">
        <f>IF($A30="",0,IF(Mitarbeiter!$G$28=FALSE,0,IF(AND(Mitarbeiter!$E$28&lt;&gt;"",CI$5+6&lt;Mitarbeiter!$E$28),0,IF(AND(Mitarbeiter!$F$28&lt;&gt;"",CI$5&gt;Mitarbeiter!$F$28),0,IF(Planung!CI30="",$C30,IF(ISNUMBER(Planung!CI30),Planung!CI30,IF(UPPER(Planung!CI30)="H",$C30/2,0)))))))</f>
        <v>0</v>
      </c>
      <c r="CJ30" s="27">
        <f>IF($A30="",0,IF(Mitarbeiter!$G$28=FALSE,0,IF(AND(Mitarbeiter!$E$28&lt;&gt;"",CJ$5+6&lt;Mitarbeiter!$E$28),0,IF(AND(Mitarbeiter!$F$28&lt;&gt;"",CJ$5&gt;Mitarbeiter!$F$28),0,IF(Planung!CJ30="",$C30,IF(ISNUMBER(Planung!CJ30),Planung!CJ30,IF(UPPER(Planung!CJ30)="H",$C30/2,0)))))))</f>
        <v>0</v>
      </c>
      <c r="CK30" s="27">
        <f>IF($A30="",0,IF(Mitarbeiter!$G$28=FALSE,0,IF(AND(Mitarbeiter!$E$28&lt;&gt;"",CK$5+6&lt;Mitarbeiter!$E$28),0,IF(AND(Mitarbeiter!$F$28&lt;&gt;"",CK$5&gt;Mitarbeiter!$F$28),0,IF(Planung!CK30="",$C30,IF(ISNUMBER(Planung!CK30),Planung!CK30,IF(UPPER(Planung!CK30)="H",$C30/2,0)))))))</f>
        <v>0</v>
      </c>
      <c r="CL30" s="27">
        <f>IF($A30="",0,IF(Mitarbeiter!$G$28=FALSE,0,IF(AND(Mitarbeiter!$E$28&lt;&gt;"",CL$5+6&lt;Mitarbeiter!$E$28),0,IF(AND(Mitarbeiter!$F$28&lt;&gt;"",CL$5&gt;Mitarbeiter!$F$28),0,IF(Planung!CL30="",$C30,IF(ISNUMBER(Planung!CL30),Planung!CL30,IF(UPPER(Planung!CL30)="H",$C30/2,0)))))))</f>
        <v>0</v>
      </c>
      <c r="CM30" s="27">
        <f>IF($A30="",0,IF(Mitarbeiter!$G$28=FALSE,0,IF(AND(Mitarbeiter!$E$28&lt;&gt;"",CM$5+6&lt;Mitarbeiter!$E$28),0,IF(AND(Mitarbeiter!$F$28&lt;&gt;"",CM$5&gt;Mitarbeiter!$F$28),0,IF(Planung!CM30="",$C30,IF(ISNUMBER(Planung!CM30),Planung!CM30,IF(UPPER(Planung!CM30)="H",$C30/2,0)))))))</f>
        <v>0</v>
      </c>
      <c r="CN30" s="27">
        <f>IF($A30="",0,IF(Mitarbeiter!$G$28=FALSE,0,IF(AND(Mitarbeiter!$E$28&lt;&gt;"",CN$5+6&lt;Mitarbeiter!$E$28),0,IF(AND(Mitarbeiter!$F$28&lt;&gt;"",CN$5&gt;Mitarbeiter!$F$28),0,IF(Planung!CN30="",$C30,IF(ISNUMBER(Planung!CN30),Planung!CN30,IF(UPPER(Planung!CN30)="H",$C30/2,0)))))))</f>
        <v>0</v>
      </c>
      <c r="CO30" s="27">
        <f>IF($A30="",0,IF(Mitarbeiter!$G$28=FALSE,0,IF(AND(Mitarbeiter!$E$28&lt;&gt;"",CO$5+6&lt;Mitarbeiter!$E$28),0,IF(AND(Mitarbeiter!$F$28&lt;&gt;"",CO$5&gt;Mitarbeiter!$F$28),0,IF(Planung!CO30="",$C30,IF(ISNUMBER(Planung!CO30),Planung!CO30,IF(UPPER(Planung!CO30)="H",$C30/2,0)))))))</f>
        <v>0</v>
      </c>
      <c r="CP30" s="27">
        <f>IF($A30="",0,IF(Mitarbeiter!$G$28=FALSE,0,IF(AND(Mitarbeiter!$E$28&lt;&gt;"",CP$5+6&lt;Mitarbeiter!$E$28),0,IF(AND(Mitarbeiter!$F$28&lt;&gt;"",CP$5&gt;Mitarbeiter!$F$28),0,IF(Planung!CP30="",$C30,IF(ISNUMBER(Planung!CP30),Planung!CP30,IF(UPPER(Planung!CP30)="H",$C30/2,0)))))))</f>
        <v>0</v>
      </c>
      <c r="CQ30" s="27">
        <f>IF($A30="",0,IF(Mitarbeiter!$G$28=FALSE,0,IF(AND(Mitarbeiter!$E$28&lt;&gt;"",CQ$5+6&lt;Mitarbeiter!$E$28),0,IF(AND(Mitarbeiter!$F$28&lt;&gt;"",CQ$5&gt;Mitarbeiter!$F$28),0,IF(Planung!CQ30="",$C30,IF(ISNUMBER(Planung!CQ30),Planung!CQ30,IF(UPPER(Planung!CQ30)="H",$C30/2,0)))))))</f>
        <v>0</v>
      </c>
      <c r="CR30" s="27">
        <f>IF($A30="",0,IF(Mitarbeiter!$G$28=FALSE,0,IF(AND(Mitarbeiter!$E$28&lt;&gt;"",CR$5+6&lt;Mitarbeiter!$E$28),0,IF(AND(Mitarbeiter!$F$28&lt;&gt;"",CR$5&gt;Mitarbeiter!$F$28),0,IF(Planung!CR30="",$C30,IF(ISNUMBER(Planung!CR30),Planung!CR30,IF(UPPER(Planung!CR30)="H",$C30/2,0)))))))</f>
        <v>0</v>
      </c>
      <c r="CS30" s="27">
        <f>IF($A30="",0,IF(Mitarbeiter!$G$28=FALSE,0,IF(AND(Mitarbeiter!$E$28&lt;&gt;"",CS$5+6&lt;Mitarbeiter!$E$28),0,IF(AND(Mitarbeiter!$F$28&lt;&gt;"",CS$5&gt;Mitarbeiter!$F$28),0,IF(Planung!CS30="",$C30,IF(ISNUMBER(Planung!CS30),Planung!CS30,IF(UPPER(Planung!CS30)="H",$C30/2,0)))))))</f>
        <v>0</v>
      </c>
      <c r="CT30" s="27">
        <f>IF($A30="",0,IF(Mitarbeiter!$G$28=FALSE,0,IF(AND(Mitarbeiter!$E$28&lt;&gt;"",CT$5+6&lt;Mitarbeiter!$E$28),0,IF(AND(Mitarbeiter!$F$28&lt;&gt;"",CT$5&gt;Mitarbeiter!$F$28),0,IF(Planung!CT30="",$C30,IF(ISNUMBER(Planung!CT30),Planung!CT30,IF(UPPER(Planung!CT30)="H",$C30/2,0)))))))</f>
        <v>0</v>
      </c>
      <c r="CU30" s="27">
        <f>IF($A30="",0,IF(Mitarbeiter!$G$28=FALSE,0,IF(AND(Mitarbeiter!$E$28&lt;&gt;"",CU$5+6&lt;Mitarbeiter!$E$28),0,IF(AND(Mitarbeiter!$F$28&lt;&gt;"",CU$5&gt;Mitarbeiter!$F$28),0,IF(Planung!CU30="",$C30,IF(ISNUMBER(Planung!CU30),Planung!CU30,IF(UPPER(Planung!CU30)="H",$C30/2,0)))))))</f>
        <v>0</v>
      </c>
      <c r="CV30" s="27">
        <f>IF($A30="",0,IF(Mitarbeiter!$G$28=FALSE,0,IF(AND(Mitarbeiter!$E$28&lt;&gt;"",CV$5+6&lt;Mitarbeiter!$E$28),0,IF(AND(Mitarbeiter!$F$28&lt;&gt;"",CV$5&gt;Mitarbeiter!$F$28),0,IF(Planung!CV30="",$C30,IF(ISNUMBER(Planung!CV30),Planung!CV30,IF(UPPER(Planung!CV30)="H",$C30/2,0)))))))</f>
        <v>0</v>
      </c>
      <c r="CW30" s="27">
        <f>IF($A30="",0,IF(Mitarbeiter!$G$28=FALSE,0,IF(AND(Mitarbeiter!$E$28&lt;&gt;"",CW$5+6&lt;Mitarbeiter!$E$28),0,IF(AND(Mitarbeiter!$F$28&lt;&gt;"",CW$5&gt;Mitarbeiter!$F$28),0,IF(Planung!CW30="",$C30,IF(ISNUMBER(Planung!CW30),Planung!CW30,IF(UPPER(Planung!CW30)="H",$C30/2,0)))))))</f>
        <v>0</v>
      </c>
      <c r="CX30" s="27">
        <f>IF($A30="",0,IF(Mitarbeiter!$G$28=FALSE,0,IF(AND(Mitarbeiter!$E$28&lt;&gt;"",CX$5+6&lt;Mitarbeiter!$E$28),0,IF(AND(Mitarbeiter!$F$28&lt;&gt;"",CX$5&gt;Mitarbeiter!$F$28),0,IF(Planung!CX30="",$C30,IF(ISNUMBER(Planung!CX30),Planung!CX30,IF(UPPER(Planung!CX30)="H",$C30/2,0)))))))</f>
        <v>0</v>
      </c>
      <c r="CY30" s="27">
        <f>IF($A30="",0,IF(Mitarbeiter!$G$28=FALSE,0,IF(AND(Mitarbeiter!$E$28&lt;&gt;"",CY$5+6&lt;Mitarbeiter!$E$28),0,IF(AND(Mitarbeiter!$F$28&lt;&gt;"",CY$5&gt;Mitarbeiter!$F$28),0,IF(Planung!CY30="",$C30,IF(ISNUMBER(Planung!CY30),Planung!CY30,IF(UPPER(Planung!CY30)="H",$C30/2,0)))))))</f>
        <v>0</v>
      </c>
      <c r="CZ30" s="27">
        <f>IF($A30="",0,IF(Mitarbeiter!$G$28=FALSE,0,IF(AND(Mitarbeiter!$E$28&lt;&gt;"",CZ$5+6&lt;Mitarbeiter!$E$28),0,IF(AND(Mitarbeiter!$F$28&lt;&gt;"",CZ$5&gt;Mitarbeiter!$F$28),0,IF(Planung!CZ30="",$C30,IF(ISNUMBER(Planung!CZ30),Planung!CZ30,IF(UPPER(Planung!CZ30)="H",$C30/2,0)))))))</f>
        <v>0</v>
      </c>
      <c r="DA30" s="27">
        <f>IF($A30="",0,IF(Mitarbeiter!$G$28=FALSE,0,IF(AND(Mitarbeiter!$E$28&lt;&gt;"",DA$5+6&lt;Mitarbeiter!$E$28),0,IF(AND(Mitarbeiter!$F$28&lt;&gt;"",DA$5&gt;Mitarbeiter!$F$28),0,IF(Planung!DA30="",$C30,IF(ISNUMBER(Planung!DA30),Planung!DA30,IF(UPPER(Planung!DA30)="H",$C30/2,0)))))))</f>
        <v>0</v>
      </c>
      <c r="DB30" s="27">
        <f>IF($A30="",0,IF(Mitarbeiter!$G$28=FALSE,0,IF(AND(Mitarbeiter!$E$28&lt;&gt;"",DB$5+6&lt;Mitarbeiter!$E$28),0,IF(AND(Mitarbeiter!$F$28&lt;&gt;"",DB$5&gt;Mitarbeiter!$F$28),0,IF(Planung!DB30="",$C30,IF(ISNUMBER(Planung!DB30),Planung!DB30,IF(UPPER(Planung!DB30)="H",$C30/2,0)))))))</f>
        <v>0</v>
      </c>
      <c r="DC30" s="27">
        <f>IF($A30="",0,IF(Mitarbeiter!$G$28=FALSE,0,IF(AND(Mitarbeiter!$E$28&lt;&gt;"",DC$5+6&lt;Mitarbeiter!$E$28),0,IF(AND(Mitarbeiter!$F$28&lt;&gt;"",DC$5&gt;Mitarbeiter!$F$28),0,IF(Planung!DC30="",$C30,IF(ISNUMBER(Planung!DC30),Planung!DC30,IF(UPPER(Planung!DC30)="H",$C30/2,0)))))))</f>
        <v>0</v>
      </c>
      <c r="DD30" s="27">
        <f>IF($A30="",0,IF(Mitarbeiter!$G$28=FALSE,0,IF(AND(Mitarbeiter!$E$28&lt;&gt;"",DD$5+6&lt;Mitarbeiter!$E$28),0,IF(AND(Mitarbeiter!$F$28&lt;&gt;"",DD$5&gt;Mitarbeiter!$F$28),0,IF(Planung!DD30="",$C30,IF(ISNUMBER(Planung!DD30),Planung!DD30,IF(UPPER(Planung!DD30)="H",$C30/2,0)))))))</f>
        <v>0</v>
      </c>
      <c r="DE30" s="27">
        <f>IF($A30="",0,IF(Mitarbeiter!$G$28=FALSE,0,IF(AND(Mitarbeiter!$E$28&lt;&gt;"",DE$5+6&lt;Mitarbeiter!$E$28),0,IF(AND(Mitarbeiter!$F$28&lt;&gt;"",DE$5&gt;Mitarbeiter!$F$28),0,IF(Planung!DE30="",$C30,IF(ISNUMBER(Planung!DE30),Planung!DE30,IF(UPPER(Planung!DE30)="H",$C30/2,0)))))))</f>
        <v>0</v>
      </c>
      <c r="DF30" s="27">
        <f>IF($A30="",0,IF(Mitarbeiter!$G$28=FALSE,0,IF(AND(Mitarbeiter!$E$28&lt;&gt;"",DF$5+6&lt;Mitarbeiter!$E$28),0,IF(AND(Mitarbeiter!$F$28&lt;&gt;"",DF$5&gt;Mitarbeiter!$F$28),0,IF(Planung!DF30="",$C30,IF(ISNUMBER(Planung!DF30),Planung!DF30,IF(UPPER(Planung!DF30)="H",$C30/2,0)))))))</f>
        <v>0</v>
      </c>
      <c r="DG30" s="27">
        <f>IF($A30="",0,IF(Mitarbeiter!$G$28=FALSE,0,IF(AND(Mitarbeiter!$E$28&lt;&gt;"",DG$5+6&lt;Mitarbeiter!$E$28),0,IF(AND(Mitarbeiter!$F$28&lt;&gt;"",DG$5&gt;Mitarbeiter!$F$28),0,IF(Planung!DG30="",$C30,IF(ISNUMBER(Planung!DG30),Planung!DG30,IF(UPPER(Planung!DG30)="H",$C30/2,0)))))))</f>
        <v>0</v>
      </c>
      <c r="DH30" s="27">
        <f>IF($A30="",0,IF(Mitarbeiter!$G$28=FALSE,0,IF(AND(Mitarbeiter!$E$28&lt;&gt;"",DH$5+6&lt;Mitarbeiter!$E$28),0,IF(AND(Mitarbeiter!$F$28&lt;&gt;"",DH$5&gt;Mitarbeiter!$F$28),0,IF(Planung!DH30="",$C30,IF(ISNUMBER(Planung!DH30),Planung!DH30,IF(UPPER(Planung!DH30)="H",$C30/2,0)))))))</f>
        <v>0</v>
      </c>
      <c r="DI30" s="27">
        <f>IF($A30="",0,IF(Mitarbeiter!$G$28=FALSE,0,IF(AND(Mitarbeiter!$E$28&lt;&gt;"",DI$5+6&lt;Mitarbeiter!$E$28),0,IF(AND(Mitarbeiter!$F$28&lt;&gt;"",DI$5&gt;Mitarbeiter!$F$28),0,IF(Planung!DI30="",$C30,IF(ISNUMBER(Planung!DI30),Planung!DI30,IF(UPPER(Planung!DI30)="H",$C30/2,0)))))))</f>
        <v>0</v>
      </c>
      <c r="DJ30" s="27">
        <f>IF($A30="",0,IF(Mitarbeiter!$G$28=FALSE,0,IF(AND(Mitarbeiter!$E$28&lt;&gt;"",DJ$5+6&lt;Mitarbeiter!$E$28),0,IF(AND(Mitarbeiter!$F$28&lt;&gt;"",DJ$5&gt;Mitarbeiter!$F$28),0,IF(Planung!DJ30="",$C30,IF(ISNUMBER(Planung!DJ30),Planung!DJ30,IF(UPPER(Planung!DJ30)="H",$C30/2,0)))))))</f>
        <v>0</v>
      </c>
      <c r="DK30" s="27">
        <f>IF($A30="",0,IF(Mitarbeiter!$G$28=FALSE,0,IF(AND(Mitarbeiter!$E$28&lt;&gt;"",DK$5+6&lt;Mitarbeiter!$E$28),0,IF(AND(Mitarbeiter!$F$28&lt;&gt;"",DK$5&gt;Mitarbeiter!$F$28),0,IF(Planung!DK30="",$C30,IF(ISNUMBER(Planung!DK30),Planung!DK30,IF(UPPER(Planung!DK30)="H",$C30/2,0)))))))</f>
        <v>0</v>
      </c>
      <c r="DL30" s="27">
        <f>IF($A30="",0,IF(Mitarbeiter!$G$28=FALSE,0,IF(AND(Mitarbeiter!$E$28&lt;&gt;"",DL$5+6&lt;Mitarbeiter!$E$28),0,IF(AND(Mitarbeiter!$F$28&lt;&gt;"",DL$5&gt;Mitarbeiter!$F$28),0,IF(Planung!DL30="",$C30,IF(ISNUMBER(Planung!DL30),Planung!DL30,IF(UPPER(Planung!DL30)="H",$C30/2,0)))))))</f>
        <v>0</v>
      </c>
      <c r="DM30" s="27">
        <f>IF($A30="",0,IF(Mitarbeiter!$G$28=FALSE,0,IF(AND(Mitarbeiter!$E$28&lt;&gt;"",DM$5+6&lt;Mitarbeiter!$E$28),0,IF(AND(Mitarbeiter!$F$28&lt;&gt;"",DM$5&gt;Mitarbeiter!$F$28),0,IF(Planung!DM30="",$C30,IF(ISNUMBER(Planung!DM30),Planung!DM30,IF(UPPER(Planung!DM30)="H",$C30/2,0)))))))</f>
        <v>0</v>
      </c>
      <c r="DN30" s="27">
        <f>IF($A30="",0,IF(Mitarbeiter!$G$28=FALSE,0,IF(AND(Mitarbeiter!$E$28&lt;&gt;"",DN$5+6&lt;Mitarbeiter!$E$28),0,IF(AND(Mitarbeiter!$F$28&lt;&gt;"",DN$5&gt;Mitarbeiter!$F$28),0,IF(Planung!DN30="",$C30,IF(ISNUMBER(Planung!DN30),Planung!DN30,IF(UPPER(Planung!DN30)="H",$C30/2,0)))))))</f>
        <v>0</v>
      </c>
      <c r="DO30" s="27">
        <f>IF($A30="",0,IF(Mitarbeiter!$G$28=FALSE,0,IF(AND(Mitarbeiter!$E$28&lt;&gt;"",DO$5+6&lt;Mitarbeiter!$E$28),0,IF(AND(Mitarbeiter!$F$28&lt;&gt;"",DO$5&gt;Mitarbeiter!$F$28),0,IF(Planung!DO30="",$C30,IF(ISNUMBER(Planung!DO30),Planung!DO30,IF(UPPER(Planung!DO30)="H",$C30/2,0)))))))</f>
        <v>0</v>
      </c>
      <c r="DP30" s="27">
        <f>IF($A30="",0,IF(Mitarbeiter!$G$28=FALSE,0,IF(AND(Mitarbeiter!$E$28&lt;&gt;"",DP$5+6&lt;Mitarbeiter!$E$28),0,IF(AND(Mitarbeiter!$F$28&lt;&gt;"",DP$5&gt;Mitarbeiter!$F$28),0,IF(Planung!DP30="",$C30,IF(ISNUMBER(Planung!DP30),Planung!DP30,IF(UPPER(Planung!DP30)="H",$C30/2,0)))))))</f>
        <v>0</v>
      </c>
      <c r="DQ30" s="27">
        <f>IF($A30="",0,IF(Mitarbeiter!$G$28=FALSE,0,IF(AND(Mitarbeiter!$E$28&lt;&gt;"",DQ$5+6&lt;Mitarbeiter!$E$28),0,IF(AND(Mitarbeiter!$F$28&lt;&gt;"",DQ$5&gt;Mitarbeiter!$F$28),0,IF(Planung!DQ30="",$C30,IF(ISNUMBER(Planung!DQ30),Planung!DQ30,IF(UPPER(Planung!DQ30)="H",$C30/2,0)))))))</f>
        <v>0</v>
      </c>
      <c r="DR30" s="27">
        <f>IF($A30="",0,IF(Mitarbeiter!$G$28=FALSE,0,IF(AND(Mitarbeiter!$E$28&lt;&gt;"",DR$5+6&lt;Mitarbeiter!$E$28),0,IF(AND(Mitarbeiter!$F$28&lt;&gt;"",DR$5&gt;Mitarbeiter!$F$28),0,IF(Planung!DR30="",$C30,IF(ISNUMBER(Planung!DR30),Planung!DR30,IF(UPPER(Planung!DR30)="H",$C30/2,0)))))))</f>
        <v>0</v>
      </c>
      <c r="DS30" s="27">
        <f>IF($A30="",0,IF(Mitarbeiter!$G$28=FALSE,0,IF(AND(Mitarbeiter!$E$28&lt;&gt;"",DS$5+6&lt;Mitarbeiter!$E$28),0,IF(AND(Mitarbeiter!$F$28&lt;&gt;"",DS$5&gt;Mitarbeiter!$F$28),0,IF(Planung!DS30="",$C30,IF(ISNUMBER(Planung!DS30),Planung!DS30,IF(UPPER(Planung!DS30)="H",$C30/2,0)))))))</f>
        <v>0</v>
      </c>
      <c r="DT30" s="27">
        <f>IF($A30="",0,IF(Mitarbeiter!$G$28=FALSE,0,IF(AND(Mitarbeiter!$E$28&lt;&gt;"",DT$5+6&lt;Mitarbeiter!$E$28),0,IF(AND(Mitarbeiter!$F$28&lt;&gt;"",DT$5&gt;Mitarbeiter!$F$28),0,IF(Planung!DT30="",$C30,IF(ISNUMBER(Planung!DT30),Planung!DT30,IF(UPPER(Planung!DT30)="H",$C30/2,0)))))))</f>
        <v>0</v>
      </c>
      <c r="DU30" s="27">
        <f>IF($A30="",0,IF(Mitarbeiter!$G$28=FALSE,0,IF(AND(Mitarbeiter!$E$28&lt;&gt;"",DU$5+6&lt;Mitarbeiter!$E$28),0,IF(AND(Mitarbeiter!$F$28&lt;&gt;"",DU$5&gt;Mitarbeiter!$F$28),0,IF(Planung!DU30="",$C30,IF(ISNUMBER(Planung!DU30),Planung!DU30,IF(UPPER(Planung!DU30)="H",$C30/2,0)))))))</f>
        <v>0</v>
      </c>
      <c r="DV30" s="27">
        <f>IF($A30="",0,IF(Mitarbeiter!$G$28=FALSE,0,IF(AND(Mitarbeiter!$E$28&lt;&gt;"",DV$5+6&lt;Mitarbeiter!$E$28),0,IF(AND(Mitarbeiter!$F$28&lt;&gt;"",DV$5&gt;Mitarbeiter!$F$28),0,IF(Planung!DV30="",$C30,IF(ISNUMBER(Planung!DV30),Planung!DV30,IF(UPPER(Planung!DV30)="H",$C30/2,0)))))))</f>
        <v>0</v>
      </c>
      <c r="DW30" s="27">
        <f>IF($A30="",0,IF(Mitarbeiter!$G$28=FALSE,0,IF(AND(Mitarbeiter!$E$28&lt;&gt;"",DW$5+6&lt;Mitarbeiter!$E$28),0,IF(AND(Mitarbeiter!$F$28&lt;&gt;"",DW$5&gt;Mitarbeiter!$F$28),0,IF(Planung!DW30="",$C30,IF(ISNUMBER(Planung!DW30),Planung!DW30,IF(UPPER(Planung!DW30)="H",$C30/2,0)))))))</f>
        <v>0</v>
      </c>
      <c r="DX30" s="27">
        <f>IF($A30="",0,IF(Mitarbeiter!$G$28=FALSE,0,IF(AND(Mitarbeiter!$E$28&lt;&gt;"",DX$5+6&lt;Mitarbeiter!$E$28),0,IF(AND(Mitarbeiter!$F$28&lt;&gt;"",DX$5&gt;Mitarbeiter!$F$28),0,IF(Planung!DX30="",$C30,IF(ISNUMBER(Planung!DX30),Planung!DX30,IF(UPPER(Planung!DX30)="H",$C30/2,0)))))))</f>
        <v>0</v>
      </c>
      <c r="DY30" s="27">
        <f>IF($A30="",0,IF(Mitarbeiter!$G$28=FALSE,0,IF(AND(Mitarbeiter!$E$28&lt;&gt;"",DY$5+6&lt;Mitarbeiter!$E$28),0,IF(AND(Mitarbeiter!$F$28&lt;&gt;"",DY$5&gt;Mitarbeiter!$F$28),0,IF(Planung!DY30="",$C30,IF(ISNUMBER(Planung!DY30),Planung!DY30,IF(UPPER(Planung!DY30)="H",$C30/2,0)))))))</f>
        <v>0</v>
      </c>
      <c r="DZ30" s="27">
        <f>IF($A30="",0,IF(Mitarbeiter!$G$28=FALSE,0,IF(AND(Mitarbeiter!$E$28&lt;&gt;"",DZ$5+6&lt;Mitarbeiter!$E$28),0,IF(AND(Mitarbeiter!$F$28&lt;&gt;"",DZ$5&gt;Mitarbeiter!$F$28),0,IF(Planung!DZ30="",$C30,IF(ISNUMBER(Planung!DZ30),Planung!DZ30,IF(UPPER(Planung!DZ30)="H",$C30/2,0)))))))</f>
        <v>0</v>
      </c>
      <c r="EA30" s="27">
        <f>IF($A30="",0,IF(Mitarbeiter!$G$28=FALSE,0,IF(AND(Mitarbeiter!$E$28&lt;&gt;"",EA$5+6&lt;Mitarbeiter!$E$28),0,IF(AND(Mitarbeiter!$F$28&lt;&gt;"",EA$5&gt;Mitarbeiter!$F$28),0,IF(Planung!EA30="",$C30,IF(ISNUMBER(Planung!EA30),Planung!EA30,IF(UPPER(Planung!EA30)="H",$C30/2,0)))))))</f>
        <v>0</v>
      </c>
      <c r="EB30" s="27">
        <f>IF($A30="",0,IF(Mitarbeiter!$G$28=FALSE,0,IF(AND(Mitarbeiter!$E$28&lt;&gt;"",EB$5+6&lt;Mitarbeiter!$E$28),0,IF(AND(Mitarbeiter!$F$28&lt;&gt;"",EB$5&gt;Mitarbeiter!$F$28),0,IF(Planung!EB30="",$C30,IF(ISNUMBER(Planung!EB30),Planung!EB30,IF(UPPER(Planung!EB30)="H",$C30/2,0)))))))</f>
        <v>0</v>
      </c>
      <c r="EC30" s="27">
        <f>IF($A30="",0,IF(Mitarbeiter!$G$28=FALSE,0,IF(AND(Mitarbeiter!$E$28&lt;&gt;"",EC$5+6&lt;Mitarbeiter!$E$28),0,IF(AND(Mitarbeiter!$F$28&lt;&gt;"",EC$5&gt;Mitarbeiter!$F$28),0,IF(Planung!EC30="",$C30,IF(ISNUMBER(Planung!EC30),Planung!EC30,IF(UPPER(Planung!EC30)="H",$C30/2,0)))))))</f>
        <v>0</v>
      </c>
      <c r="ED30" s="27">
        <f>IF($A30="",0,IF(Mitarbeiter!$G$28=FALSE,0,IF(AND(Mitarbeiter!$E$28&lt;&gt;"",ED$5+6&lt;Mitarbeiter!$E$28),0,IF(AND(Mitarbeiter!$F$28&lt;&gt;"",ED$5&gt;Mitarbeiter!$F$28),0,IF(Planung!ED30="",$C30,IF(ISNUMBER(Planung!ED30),Planung!ED30,IF(UPPER(Planung!ED30)="H",$C30/2,0)))))))</f>
        <v>0</v>
      </c>
      <c r="EE30" s="27">
        <f>IF($A30="",0,IF(Mitarbeiter!$G$28=FALSE,0,IF(AND(Mitarbeiter!$E$28&lt;&gt;"",EE$5+6&lt;Mitarbeiter!$E$28),0,IF(AND(Mitarbeiter!$F$28&lt;&gt;"",EE$5&gt;Mitarbeiter!$F$28),0,IF(Planung!EE30="",$C30,IF(ISNUMBER(Planung!EE30),Planung!EE30,IF(UPPER(Planung!EE30)="H",$C30/2,0)))))))</f>
        <v>0</v>
      </c>
      <c r="EF30" s="27">
        <f>IF($A30="",0,IF(Mitarbeiter!$G$28=FALSE,0,IF(AND(Mitarbeiter!$E$28&lt;&gt;"",EF$5+6&lt;Mitarbeiter!$E$28),0,IF(AND(Mitarbeiter!$F$28&lt;&gt;"",EF$5&gt;Mitarbeiter!$F$28),0,IF(Planung!EF30="",$C30,IF(ISNUMBER(Planung!EF30),Planung!EF30,IF(UPPER(Planung!EF30)="H",$C30/2,0)))))))</f>
        <v>0</v>
      </c>
      <c r="EG30" s="27">
        <f>IF($A30="",0,IF(Mitarbeiter!$G$28=FALSE,0,IF(AND(Mitarbeiter!$E$28&lt;&gt;"",EG$5+6&lt;Mitarbeiter!$E$28),0,IF(AND(Mitarbeiter!$F$28&lt;&gt;"",EG$5&gt;Mitarbeiter!$F$28),0,IF(Planung!EG30="",$C30,IF(ISNUMBER(Planung!EG30),Planung!EG30,IF(UPPER(Planung!EG30)="H",$C30/2,0)))))))</f>
        <v>0</v>
      </c>
      <c r="EH30" s="27">
        <f>IF($A30="",0,IF(Mitarbeiter!$G$28=FALSE,0,IF(AND(Mitarbeiter!$E$28&lt;&gt;"",EH$5+6&lt;Mitarbeiter!$E$28),0,IF(AND(Mitarbeiter!$F$28&lt;&gt;"",EH$5&gt;Mitarbeiter!$F$28),0,IF(Planung!EH30="",$C30,IF(ISNUMBER(Planung!EH30),Planung!EH30,IF(UPPER(Planung!EH30)="H",$C30/2,0)))))))</f>
        <v>0</v>
      </c>
      <c r="EI30" s="27">
        <f>IF($A30="",0,IF(Mitarbeiter!$G$28=FALSE,0,IF(AND(Mitarbeiter!$E$28&lt;&gt;"",EI$5+6&lt;Mitarbeiter!$E$28),0,IF(AND(Mitarbeiter!$F$28&lt;&gt;"",EI$5&gt;Mitarbeiter!$F$28),0,IF(Planung!EI30="",$C30,IF(ISNUMBER(Planung!EI30),Planung!EI30,IF(UPPER(Planung!EI30)="H",$C30/2,0)))))))</f>
        <v>0</v>
      </c>
      <c r="EJ30" s="27">
        <f>IF($A30="",0,IF(Mitarbeiter!$G$28=FALSE,0,IF(AND(Mitarbeiter!$E$28&lt;&gt;"",EJ$5+6&lt;Mitarbeiter!$E$28),0,IF(AND(Mitarbeiter!$F$28&lt;&gt;"",EJ$5&gt;Mitarbeiter!$F$28),0,IF(Planung!EJ30="",$C30,IF(ISNUMBER(Planung!EJ30),Planung!EJ30,IF(UPPER(Planung!EJ30)="H",$C30/2,0)))))))</f>
        <v>0</v>
      </c>
      <c r="EK30" s="27">
        <f>IF($A30="",0,IF(Mitarbeiter!$G$28=FALSE,0,IF(AND(Mitarbeiter!$E$28&lt;&gt;"",EK$5+6&lt;Mitarbeiter!$E$28),0,IF(AND(Mitarbeiter!$F$28&lt;&gt;"",EK$5&gt;Mitarbeiter!$F$28),0,IF(Planung!EK30="",$C30,IF(ISNUMBER(Planung!EK30),Planung!EK30,IF(UPPER(Planung!EK30)="H",$C30/2,0)))))))</f>
        <v>0</v>
      </c>
      <c r="EL30" s="27">
        <f>IF($A30="",0,IF(Mitarbeiter!$G$28=FALSE,0,IF(AND(Mitarbeiter!$E$28&lt;&gt;"",EL$5+6&lt;Mitarbeiter!$E$28),0,IF(AND(Mitarbeiter!$F$28&lt;&gt;"",EL$5&gt;Mitarbeiter!$F$28),0,IF(Planung!EL30="",$C30,IF(ISNUMBER(Planung!EL30),Planung!EL30,IF(UPPER(Planung!EL30)="H",$C30/2,0)))))))</f>
        <v>0</v>
      </c>
      <c r="EM30" s="27">
        <f>IF($A30="",0,IF(Mitarbeiter!$G$28=FALSE,0,IF(AND(Mitarbeiter!$E$28&lt;&gt;"",EM$5+6&lt;Mitarbeiter!$E$28),0,IF(AND(Mitarbeiter!$F$28&lt;&gt;"",EM$5&gt;Mitarbeiter!$F$28),0,IF(Planung!EM30="",$C30,IF(ISNUMBER(Planung!EM30),Planung!EM30,IF(UPPER(Planung!EM30)="H",$C30/2,0)))))))</f>
        <v>0</v>
      </c>
      <c r="EN30" s="27">
        <f>IF($A30="",0,IF(Mitarbeiter!$G$28=FALSE,0,IF(AND(Mitarbeiter!$E$28&lt;&gt;"",EN$5+6&lt;Mitarbeiter!$E$28),0,IF(AND(Mitarbeiter!$F$28&lt;&gt;"",EN$5&gt;Mitarbeiter!$F$28),0,IF(Planung!EN30="",$C30,IF(ISNUMBER(Planung!EN30),Planung!EN30,IF(UPPER(Planung!EN30)="H",$C30/2,0)))))))</f>
        <v>0</v>
      </c>
      <c r="EO30" s="27">
        <f>IF($A30="",0,IF(Mitarbeiter!$G$28=FALSE,0,IF(AND(Mitarbeiter!$E$28&lt;&gt;"",EO$5+6&lt;Mitarbeiter!$E$28),0,IF(AND(Mitarbeiter!$F$28&lt;&gt;"",EO$5&gt;Mitarbeiter!$F$28),0,IF(Planung!EO30="",$C30,IF(ISNUMBER(Planung!EO30),Planung!EO30,IF(UPPER(Planung!EO30)="H",$C30/2,0)))))))</f>
        <v>0</v>
      </c>
      <c r="EP30" s="27">
        <f>IF($A30="",0,IF(Mitarbeiter!$G$28=FALSE,0,IF(AND(Mitarbeiter!$E$28&lt;&gt;"",EP$5+6&lt;Mitarbeiter!$E$28),0,IF(AND(Mitarbeiter!$F$28&lt;&gt;"",EP$5&gt;Mitarbeiter!$F$28),0,IF(Planung!EP30="",$C30,IF(ISNUMBER(Planung!EP30),Planung!EP30,IF(UPPER(Planung!EP30)="H",$C30/2,0)))))))</f>
        <v>0</v>
      </c>
      <c r="EQ30" s="27">
        <f>IF($A30="",0,IF(Mitarbeiter!$G$28=FALSE,0,IF(AND(Mitarbeiter!$E$28&lt;&gt;"",EQ$5+6&lt;Mitarbeiter!$E$28),0,IF(AND(Mitarbeiter!$F$28&lt;&gt;"",EQ$5&gt;Mitarbeiter!$F$28),0,IF(Planung!EQ30="",$C30,IF(ISNUMBER(Planung!EQ30),Planung!EQ30,IF(UPPER(Planung!EQ30)="H",$C30/2,0)))))))</f>
        <v>0</v>
      </c>
      <c r="ER30" s="27">
        <f>IF($A30="",0,IF(Mitarbeiter!$G$28=FALSE,0,IF(AND(Mitarbeiter!$E$28&lt;&gt;"",ER$5+6&lt;Mitarbeiter!$E$28),0,IF(AND(Mitarbeiter!$F$28&lt;&gt;"",ER$5&gt;Mitarbeiter!$F$28),0,IF(Planung!ER30="",$C30,IF(ISNUMBER(Planung!ER30),Planung!ER30,IF(UPPER(Planung!ER30)="H",$C30/2,0)))))))</f>
        <v>0</v>
      </c>
      <c r="ES30" s="27">
        <f>IF($A30="",0,IF(Mitarbeiter!$G$28=FALSE,0,IF(AND(Mitarbeiter!$E$28&lt;&gt;"",ES$5+6&lt;Mitarbeiter!$E$28),0,IF(AND(Mitarbeiter!$F$28&lt;&gt;"",ES$5&gt;Mitarbeiter!$F$28),0,IF(Planung!ES30="",$C30,IF(ISNUMBER(Planung!ES30),Planung!ES30,IF(UPPER(Planung!ES30)="H",$C30/2,0)))))))</f>
        <v>0</v>
      </c>
      <c r="ET30" s="27">
        <f>IF($A30="",0,IF(Mitarbeiter!$G$28=FALSE,0,IF(AND(Mitarbeiter!$E$28&lt;&gt;"",ET$5+6&lt;Mitarbeiter!$E$28),0,IF(AND(Mitarbeiter!$F$28&lt;&gt;"",ET$5&gt;Mitarbeiter!$F$28),0,IF(Planung!ET30="",$C30,IF(ISNUMBER(Planung!ET30),Planung!ET30,IF(UPPER(Planung!ET30)="H",$C30/2,0)))))))</f>
        <v>0</v>
      </c>
      <c r="EU30" s="27">
        <f>IF($A30="",0,IF(Mitarbeiter!$G$28=FALSE,0,IF(AND(Mitarbeiter!$E$28&lt;&gt;"",EU$5+6&lt;Mitarbeiter!$E$28),0,IF(AND(Mitarbeiter!$F$28&lt;&gt;"",EU$5&gt;Mitarbeiter!$F$28),0,IF(Planung!EU30="",$C30,IF(ISNUMBER(Planung!EU30),Planung!EU30,IF(UPPER(Planung!EU30)="H",$C30/2,0)))))))</f>
        <v>0</v>
      </c>
      <c r="EV30" s="27">
        <f>IF($A30="",0,IF(Mitarbeiter!$G$28=FALSE,0,IF(AND(Mitarbeiter!$E$28&lt;&gt;"",EV$5+6&lt;Mitarbeiter!$E$28),0,IF(AND(Mitarbeiter!$F$28&lt;&gt;"",EV$5&gt;Mitarbeiter!$F$28),0,IF(Planung!EV30="",$C30,IF(ISNUMBER(Planung!EV30),Planung!EV30,IF(UPPER(Planung!EV30)="H",$C30/2,0)))))))</f>
        <v>0</v>
      </c>
      <c r="EW30" s="27">
        <f>IF($A30="",0,IF(Mitarbeiter!$G$28=FALSE,0,IF(AND(Mitarbeiter!$E$28&lt;&gt;"",EW$5+6&lt;Mitarbeiter!$E$28),0,IF(AND(Mitarbeiter!$F$28&lt;&gt;"",EW$5&gt;Mitarbeiter!$F$28),0,IF(Planung!EW30="",$C30,IF(ISNUMBER(Planung!EW30),Planung!EW30,IF(UPPER(Planung!EW30)="H",$C30/2,0)))))))</f>
        <v>0</v>
      </c>
      <c r="EX30" s="27">
        <f>IF($A30="",0,IF(Mitarbeiter!$G$28=FALSE,0,IF(AND(Mitarbeiter!$E$28&lt;&gt;"",EX$5+6&lt;Mitarbeiter!$E$28),0,IF(AND(Mitarbeiter!$F$28&lt;&gt;"",EX$5&gt;Mitarbeiter!$F$28),0,IF(Planung!EX30="",$C30,IF(ISNUMBER(Planung!EX30),Planung!EX30,IF(UPPER(Planung!EX30)="H",$C30/2,0)))))))</f>
        <v>0</v>
      </c>
      <c r="EY30" s="27">
        <f>IF($A30="",0,IF(Mitarbeiter!$G$28=FALSE,0,IF(AND(Mitarbeiter!$E$28&lt;&gt;"",EY$5+6&lt;Mitarbeiter!$E$28),0,IF(AND(Mitarbeiter!$F$28&lt;&gt;"",EY$5&gt;Mitarbeiter!$F$28),0,IF(Planung!EY30="",$C30,IF(ISNUMBER(Planung!EY30),Planung!EY30,IF(UPPER(Planung!EY30)="H",$C30/2,0)))))))</f>
        <v>0</v>
      </c>
      <c r="EZ30" s="27">
        <f>IF($A30="",0,IF(Mitarbeiter!$G$28=FALSE,0,IF(AND(Mitarbeiter!$E$28&lt;&gt;"",EZ$5+6&lt;Mitarbeiter!$E$28),0,IF(AND(Mitarbeiter!$F$28&lt;&gt;"",EZ$5&gt;Mitarbeiter!$F$28),0,IF(Planung!EZ30="",$C30,IF(ISNUMBER(Planung!EZ30),Planung!EZ30,IF(UPPER(Planung!EZ30)="H",$C30/2,0)))))))</f>
        <v>0</v>
      </c>
      <c r="FA30" s="27">
        <f>IF($A30="",0,IF(Mitarbeiter!$G$28=FALSE,0,IF(AND(Mitarbeiter!$E$28&lt;&gt;"",FA$5+6&lt;Mitarbeiter!$E$28),0,IF(AND(Mitarbeiter!$F$28&lt;&gt;"",FA$5&gt;Mitarbeiter!$F$28),0,IF(Planung!FA30="",$C30,IF(ISNUMBER(Planung!FA30),Planung!FA30,IF(UPPER(Planung!FA30)="H",$C30/2,0)))))))</f>
        <v>0</v>
      </c>
      <c r="FB30" s="27">
        <f>IF($A30="",0,IF(Mitarbeiter!$G$28=FALSE,0,IF(AND(Mitarbeiter!$E$28&lt;&gt;"",FB$5+6&lt;Mitarbeiter!$E$28),0,IF(AND(Mitarbeiter!$F$28&lt;&gt;"",FB$5&gt;Mitarbeiter!$F$28),0,IF(Planung!FB30="",$C30,IF(ISNUMBER(Planung!FB30),Planung!FB30,IF(UPPER(Planung!FB30)="H",$C30/2,0)))))))</f>
        <v>0</v>
      </c>
      <c r="FC30" s="27">
        <f>IF($A30="",0,IF(Mitarbeiter!$G$28=FALSE,0,IF(AND(Mitarbeiter!$E$28&lt;&gt;"",FC$5+6&lt;Mitarbeiter!$E$28),0,IF(AND(Mitarbeiter!$F$28&lt;&gt;"",FC$5&gt;Mitarbeiter!$F$28),0,IF(Planung!FC30="",$C30,IF(ISNUMBER(Planung!FC30),Planung!FC30,IF(UPPER(Planung!FC30)="H",$C30/2,0)))))))</f>
        <v>0</v>
      </c>
      <c r="FD30" s="27">
        <f>IF($A30="",0,IF(Mitarbeiter!$G$28=FALSE,0,IF(AND(Mitarbeiter!$E$28&lt;&gt;"",FD$5+6&lt;Mitarbeiter!$E$28),0,IF(AND(Mitarbeiter!$F$28&lt;&gt;"",FD$5&gt;Mitarbeiter!$F$28),0,IF(Planung!FD30="",$C30,IF(ISNUMBER(Planung!FD30),Planung!FD30,IF(UPPER(Planung!FD30)="H",$C30/2,0)))))))</f>
        <v>0</v>
      </c>
      <c r="FE30" s="27">
        <f>IF($A30="",0,IF(Mitarbeiter!$G$28=FALSE,0,IF(AND(Mitarbeiter!$E$28&lt;&gt;"",FE$5+6&lt;Mitarbeiter!$E$28),0,IF(AND(Mitarbeiter!$F$28&lt;&gt;"",FE$5&gt;Mitarbeiter!$F$28),0,IF(Planung!FE30="",$C30,IF(ISNUMBER(Planung!FE30),Planung!FE30,IF(UPPER(Planung!FE30)="H",$C30/2,0)))))))</f>
        <v>0</v>
      </c>
      <c r="FF30" s="27">
        <f>IF($A30="",0,IF(Mitarbeiter!$G$28=FALSE,0,IF(AND(Mitarbeiter!$E$28&lt;&gt;"",FF$5+6&lt;Mitarbeiter!$E$28),0,IF(AND(Mitarbeiter!$F$28&lt;&gt;"",FF$5&gt;Mitarbeiter!$F$28),0,IF(Planung!FF30="",$C30,IF(ISNUMBER(Planung!FF30),Planung!FF30,IF(UPPER(Planung!FF30)="H",$C30/2,0)))))))</f>
        <v>0</v>
      </c>
      <c r="FG30" s="27">
        <f>IF($A30="",0,IF(Mitarbeiter!$G$28=FALSE,0,IF(AND(Mitarbeiter!$E$28&lt;&gt;"",FG$5+6&lt;Mitarbeiter!$E$28),0,IF(AND(Mitarbeiter!$F$28&lt;&gt;"",FG$5&gt;Mitarbeiter!$F$28),0,IF(Planung!FG30="",$C30,IF(ISNUMBER(Planung!FG30),Planung!FG30,IF(UPPER(Planung!FG30)="H",$C30/2,0)))))))</f>
        <v>0</v>
      </c>
      <c r="FH30" s="27">
        <f>IF($A30="",0,IF(Mitarbeiter!$G$28=FALSE,0,IF(AND(Mitarbeiter!$E$28&lt;&gt;"",FH$5+6&lt;Mitarbeiter!$E$28),0,IF(AND(Mitarbeiter!$F$28&lt;&gt;"",FH$5&gt;Mitarbeiter!$F$28),0,IF(Planung!FH30="",$C30,IF(ISNUMBER(Planung!FH30),Planung!FH30,IF(UPPER(Planung!FH30)="H",$C30/2,0)))))))</f>
        <v>0</v>
      </c>
      <c r="FI30" s="27">
        <f>IF($A30="",0,IF(Mitarbeiter!$G$28=FALSE,0,IF(AND(Mitarbeiter!$E$28&lt;&gt;"",FI$5+6&lt;Mitarbeiter!$E$28),0,IF(AND(Mitarbeiter!$F$28&lt;&gt;"",FI$5&gt;Mitarbeiter!$F$28),0,IF(Planung!FI30="",$C30,IF(ISNUMBER(Planung!FI30),Planung!FI30,IF(UPPER(Planung!FI30)="H",$C30/2,0)))))))</f>
        <v>0</v>
      </c>
      <c r="FJ30" s="27">
        <f>IF($A30="",0,IF(Mitarbeiter!$G$28=FALSE,0,IF(AND(Mitarbeiter!$E$28&lt;&gt;"",FJ$5+6&lt;Mitarbeiter!$E$28),0,IF(AND(Mitarbeiter!$F$28&lt;&gt;"",FJ$5&gt;Mitarbeiter!$F$28),0,IF(Planung!FJ30="",$C30,IF(ISNUMBER(Planung!FJ30),Planung!FJ30,IF(UPPER(Planung!FJ30)="H",$C30/2,0)))))))</f>
        <v>0</v>
      </c>
      <c r="FK30" s="27">
        <f>IF($A30="",0,IF(Mitarbeiter!$G$28=FALSE,0,IF(AND(Mitarbeiter!$E$28&lt;&gt;"",FK$5+6&lt;Mitarbeiter!$E$28),0,IF(AND(Mitarbeiter!$F$28&lt;&gt;"",FK$5&gt;Mitarbeiter!$F$28),0,IF(Planung!FK30="",$C30,IF(ISNUMBER(Planung!FK30),Planung!FK30,IF(UPPER(Planung!FK30)="H",$C30/2,0)))))))</f>
        <v>0</v>
      </c>
      <c r="FL30" s="27">
        <f>IF($A30="",0,IF(Mitarbeiter!$G$28=FALSE,0,IF(AND(Mitarbeiter!$E$28&lt;&gt;"",FL$5+6&lt;Mitarbeiter!$E$28),0,IF(AND(Mitarbeiter!$F$28&lt;&gt;"",FL$5&gt;Mitarbeiter!$F$28),0,IF(Planung!FL30="",$C30,IF(ISNUMBER(Planung!FL30),Planung!FL30,IF(UPPER(Planung!FL30)="H",$C30/2,0)))))))</f>
        <v>0</v>
      </c>
      <c r="FM30" s="27">
        <f>IF($A30="",0,IF(Mitarbeiter!$G$28=FALSE,0,IF(AND(Mitarbeiter!$E$28&lt;&gt;"",FM$5+6&lt;Mitarbeiter!$E$28),0,IF(AND(Mitarbeiter!$F$28&lt;&gt;"",FM$5&gt;Mitarbeiter!$F$28),0,IF(Planung!FM30="",$C30,IF(ISNUMBER(Planung!FM30),Planung!FM30,IF(UPPER(Planung!FM30)="H",$C30/2,0)))))))</f>
        <v>0</v>
      </c>
      <c r="FN30" s="27">
        <f>IF($A30="",0,IF(Mitarbeiter!$G$28=FALSE,0,IF(AND(Mitarbeiter!$E$28&lt;&gt;"",FN$5+6&lt;Mitarbeiter!$E$28),0,IF(AND(Mitarbeiter!$F$28&lt;&gt;"",FN$5&gt;Mitarbeiter!$F$28),0,IF(Planung!FN30="",$C30,IF(ISNUMBER(Planung!FN30),Planung!FN30,IF(UPPER(Planung!FN30)="H",$C30/2,0)))))))</f>
        <v>0</v>
      </c>
      <c r="FO30" s="27">
        <f>IF($A30="",0,IF(Mitarbeiter!$G$28=FALSE,0,IF(AND(Mitarbeiter!$E$28&lt;&gt;"",FO$5+6&lt;Mitarbeiter!$E$28),0,IF(AND(Mitarbeiter!$F$28&lt;&gt;"",FO$5&gt;Mitarbeiter!$F$28),0,IF(Planung!FO30="",$C30,IF(ISNUMBER(Planung!FO30),Planung!FO30,IF(UPPER(Planung!FO30)="H",$C30/2,0)))))))</f>
        <v>0</v>
      </c>
      <c r="FP30" s="27">
        <f>IF($A30="",0,IF(Mitarbeiter!$G$28=FALSE,0,IF(AND(Mitarbeiter!$E$28&lt;&gt;"",FP$5+6&lt;Mitarbeiter!$E$28),0,IF(AND(Mitarbeiter!$F$28&lt;&gt;"",FP$5&gt;Mitarbeiter!$F$28),0,IF(Planung!FP30="",$C30,IF(ISNUMBER(Planung!FP30),Planung!FP30,IF(UPPER(Planung!FP30)="H",$C30/2,0)))))))</f>
        <v>0</v>
      </c>
      <c r="FQ30" s="27">
        <f>IF($A30="",0,IF(Mitarbeiter!$G$28=FALSE,0,IF(AND(Mitarbeiter!$E$28&lt;&gt;"",FQ$5+6&lt;Mitarbeiter!$E$28),0,IF(AND(Mitarbeiter!$F$28&lt;&gt;"",FQ$5&gt;Mitarbeiter!$F$28),0,IF(Planung!FQ30="",$C30,IF(ISNUMBER(Planung!FQ30),Planung!FQ30,IF(UPPER(Planung!FQ30)="H",$C30/2,0)))))))</f>
        <v>0</v>
      </c>
      <c r="FR30" s="27">
        <f>IF($A30="",0,IF(Mitarbeiter!$G$28=FALSE,0,IF(AND(Mitarbeiter!$E$28&lt;&gt;"",FR$5+6&lt;Mitarbeiter!$E$28),0,IF(AND(Mitarbeiter!$F$28&lt;&gt;"",FR$5&gt;Mitarbeiter!$F$28),0,IF(Planung!FR30="",$C30,IF(ISNUMBER(Planung!FR30),Planung!FR30,IF(UPPER(Planung!FR30)="H",$C30/2,0)))))))</f>
        <v>0</v>
      </c>
      <c r="FS30" s="27">
        <f>IF($A30="",0,IF(Mitarbeiter!$G$28=FALSE,0,IF(AND(Mitarbeiter!$E$28&lt;&gt;"",FS$5+6&lt;Mitarbeiter!$E$28),0,IF(AND(Mitarbeiter!$F$28&lt;&gt;"",FS$5&gt;Mitarbeiter!$F$28),0,IF(Planung!FS30="",$C30,IF(ISNUMBER(Planung!FS30),Planung!FS30,IF(UPPER(Planung!FS30)="H",$C30/2,0)))))))</f>
        <v>0</v>
      </c>
      <c r="FT30" s="27">
        <f>IF($A30="",0,IF(Mitarbeiter!$G$28=FALSE,0,IF(AND(Mitarbeiter!$E$28&lt;&gt;"",FT$5+6&lt;Mitarbeiter!$E$28),0,IF(AND(Mitarbeiter!$F$28&lt;&gt;"",FT$5&gt;Mitarbeiter!$F$28),0,IF(Planung!FT30="",$C30,IF(ISNUMBER(Planung!FT30),Planung!FT30,IF(UPPER(Planung!FT30)="H",$C30/2,0)))))))</f>
        <v>0</v>
      </c>
      <c r="FU30" s="27">
        <f>IF($A30="",0,IF(Mitarbeiter!$G$28=FALSE,0,IF(AND(Mitarbeiter!$E$28&lt;&gt;"",FU$5+6&lt;Mitarbeiter!$E$28),0,IF(AND(Mitarbeiter!$F$28&lt;&gt;"",FU$5&gt;Mitarbeiter!$F$28),0,IF(Planung!FU30="",$C30,IF(ISNUMBER(Planung!FU30),Planung!FU30,IF(UPPER(Planung!FU30)="H",$C30/2,0)))))))</f>
        <v>0</v>
      </c>
      <c r="FV30" s="27">
        <f>IF($A30="",0,IF(Mitarbeiter!$G$28=FALSE,0,IF(AND(Mitarbeiter!$E$28&lt;&gt;"",FV$5+6&lt;Mitarbeiter!$E$28),0,IF(AND(Mitarbeiter!$F$28&lt;&gt;"",FV$5&gt;Mitarbeiter!$F$28),0,IF(Planung!FV30="",$C30,IF(ISNUMBER(Planung!FV30),Planung!FV30,IF(UPPER(Planung!FV30)="H",$C30/2,0)))))))</f>
        <v>0</v>
      </c>
      <c r="FW30" s="27">
        <f>IF($A30="",0,IF(Mitarbeiter!$G$28=FALSE,0,IF(AND(Mitarbeiter!$E$28&lt;&gt;"",FW$5+6&lt;Mitarbeiter!$E$28),0,IF(AND(Mitarbeiter!$F$28&lt;&gt;"",FW$5&gt;Mitarbeiter!$F$28),0,IF(Planung!FW30="",$C30,IF(ISNUMBER(Planung!FW30),Planung!FW30,IF(UPPER(Planung!FW30)="H",$C30/2,0)))))))</f>
        <v>0</v>
      </c>
      <c r="FX30" s="27">
        <f>IF($A30="",0,IF(Mitarbeiter!$G$28=FALSE,0,IF(AND(Mitarbeiter!$E$28&lt;&gt;"",FX$5+6&lt;Mitarbeiter!$E$28),0,IF(AND(Mitarbeiter!$F$28&lt;&gt;"",FX$5&gt;Mitarbeiter!$F$28),0,IF(Planung!FX30="",$C30,IF(ISNUMBER(Planung!FX30),Planung!FX30,IF(UPPER(Planung!FX30)="H",$C30/2,0)))))))</f>
        <v>0</v>
      </c>
      <c r="FY30" s="27">
        <f>IF($A30="",0,IF(Mitarbeiter!$G$28=FALSE,0,IF(AND(Mitarbeiter!$E$28&lt;&gt;"",FY$5+6&lt;Mitarbeiter!$E$28),0,IF(AND(Mitarbeiter!$F$28&lt;&gt;"",FY$5&gt;Mitarbeiter!$F$28),0,IF(Planung!FY30="",$C30,IF(ISNUMBER(Planung!FY30),Planung!FY30,IF(UPPER(Planung!FY30)="H",$C30/2,0)))))))</f>
        <v>0</v>
      </c>
      <c r="FZ30" s="27">
        <f>IF($A30="",0,IF(Mitarbeiter!$G$28=FALSE,0,IF(AND(Mitarbeiter!$E$28&lt;&gt;"",FZ$5+6&lt;Mitarbeiter!$E$28),0,IF(AND(Mitarbeiter!$F$28&lt;&gt;"",FZ$5&gt;Mitarbeiter!$F$28),0,IF(Planung!FZ30="",$C30,IF(ISNUMBER(Planung!FZ30),Planung!FZ30,IF(UPPER(Planung!FZ30)="H",$C30/2,0)))))))</f>
        <v>0</v>
      </c>
      <c r="GA30" s="27">
        <f>IF($A30="",0,IF(Mitarbeiter!$G$28=FALSE,0,IF(AND(Mitarbeiter!$E$28&lt;&gt;"",GA$5+6&lt;Mitarbeiter!$E$28),0,IF(AND(Mitarbeiter!$F$28&lt;&gt;"",GA$5&gt;Mitarbeiter!$F$28),0,IF(Planung!GA30="",$C30,IF(ISNUMBER(Planung!GA30),Planung!GA30,IF(UPPER(Planung!GA30)="H",$C30/2,0)))))))</f>
        <v>0</v>
      </c>
      <c r="GB30" s="27">
        <f>IF($A30="",0,IF(Mitarbeiter!$G$28=FALSE,0,IF(AND(Mitarbeiter!$E$28&lt;&gt;"",GB$5+6&lt;Mitarbeiter!$E$28),0,IF(AND(Mitarbeiter!$F$28&lt;&gt;"",GB$5&gt;Mitarbeiter!$F$28),0,IF(Planung!GB30="",$C30,IF(ISNUMBER(Planung!GB30),Planung!GB30,IF(UPPER(Planung!GB30)="H",$C30/2,0)))))))</f>
        <v>0</v>
      </c>
      <c r="GC30" s="27">
        <f>IF($A30="",0,IF(Mitarbeiter!$G$28=FALSE,0,IF(AND(Mitarbeiter!$E$28&lt;&gt;"",GC$5+6&lt;Mitarbeiter!$E$28),0,IF(AND(Mitarbeiter!$F$28&lt;&gt;"",GC$5&gt;Mitarbeiter!$F$28),0,IF(Planung!GC30="",$C30,IF(ISNUMBER(Planung!GC30),Planung!GC30,IF(UPPER(Planung!GC30)="H",$C30/2,0)))))))</f>
        <v>0</v>
      </c>
      <c r="GD30" s="27">
        <f>IF($A30="",0,IF(Mitarbeiter!$G$28=FALSE,0,IF(AND(Mitarbeiter!$E$28&lt;&gt;"",GD$5+6&lt;Mitarbeiter!$E$28),0,IF(AND(Mitarbeiter!$F$28&lt;&gt;"",GD$5&gt;Mitarbeiter!$F$28),0,IF(Planung!GD30="",$C30,IF(ISNUMBER(Planung!GD30),Planung!GD30,IF(UPPER(Planung!GD30)="H",$C30/2,0)))))))</f>
        <v>0</v>
      </c>
      <c r="GE30" s="27">
        <f>IF($A30="",0,IF(Mitarbeiter!$G$28=FALSE,0,IF(AND(Mitarbeiter!$E$28&lt;&gt;"",GE$5+6&lt;Mitarbeiter!$E$28),0,IF(AND(Mitarbeiter!$F$28&lt;&gt;"",GE$5&gt;Mitarbeiter!$F$28),0,IF(Planung!GE30="",$C30,IF(ISNUMBER(Planung!GE30),Planung!GE30,IF(UPPER(Planung!GE30)="H",$C30/2,0)))))))</f>
        <v>0</v>
      </c>
      <c r="GF30" s="27">
        <f>IF($A30="",0,IF(Mitarbeiter!$G$28=FALSE,0,IF(AND(Mitarbeiter!$E$28&lt;&gt;"",GF$5+6&lt;Mitarbeiter!$E$28),0,IF(AND(Mitarbeiter!$F$28&lt;&gt;"",GF$5&gt;Mitarbeiter!$F$28),0,IF(Planung!GF30="",$C30,IF(ISNUMBER(Planung!GF30),Planung!GF30,IF(UPPER(Planung!GF30)="H",$C30/2,0)))))))</f>
        <v>0</v>
      </c>
      <c r="GG30" s="27">
        <f>IF($A30="",0,IF(Mitarbeiter!$G$28=FALSE,0,IF(AND(Mitarbeiter!$E$28&lt;&gt;"",GG$5+6&lt;Mitarbeiter!$E$28),0,IF(AND(Mitarbeiter!$F$28&lt;&gt;"",GG$5&gt;Mitarbeiter!$F$28),0,IF(Planung!GG30="",$C30,IF(ISNUMBER(Planung!GG30),Planung!GG30,IF(UPPER(Planung!GG30)="H",$C30/2,0)))))))</f>
        <v>0</v>
      </c>
      <c r="GH30" s="27">
        <f>IF($A30="",0,IF(Mitarbeiter!$G$28=FALSE,0,IF(AND(Mitarbeiter!$E$28&lt;&gt;"",GH$5+6&lt;Mitarbeiter!$E$28),0,IF(AND(Mitarbeiter!$F$28&lt;&gt;"",GH$5&gt;Mitarbeiter!$F$28),0,IF(Planung!GH30="",$C30,IF(ISNUMBER(Planung!GH30),Planung!GH30,IF(UPPER(Planung!GH30)="H",$C30/2,0)))))))</f>
        <v>0</v>
      </c>
      <c r="GI30" s="27">
        <f>IF($A30="",0,IF(Mitarbeiter!$G$28=FALSE,0,IF(AND(Mitarbeiter!$E$28&lt;&gt;"",GI$5+6&lt;Mitarbeiter!$E$28),0,IF(AND(Mitarbeiter!$F$28&lt;&gt;"",GI$5&gt;Mitarbeiter!$F$28),0,IF(Planung!GI30="",$C30,IF(ISNUMBER(Planung!GI30),Planung!GI30,IF(UPPER(Planung!GI30)="H",$C30/2,0)))))))</f>
        <v>0</v>
      </c>
      <c r="GJ30" s="27">
        <f>IF($A30="",0,IF(Mitarbeiter!$G$28=FALSE,0,IF(AND(Mitarbeiter!$E$28&lt;&gt;"",GJ$5+6&lt;Mitarbeiter!$E$28),0,IF(AND(Mitarbeiter!$F$28&lt;&gt;"",GJ$5&gt;Mitarbeiter!$F$28),0,IF(Planung!GJ30="",$C30,IF(ISNUMBER(Planung!GJ30),Planung!GJ30,IF(UPPER(Planung!GJ30)="H",$C30/2,0)))))))</f>
        <v>0</v>
      </c>
      <c r="GK30" s="27">
        <f>IF($A30="",0,IF(Mitarbeiter!$G$28=FALSE,0,IF(AND(Mitarbeiter!$E$28&lt;&gt;"",GK$5+6&lt;Mitarbeiter!$E$28),0,IF(AND(Mitarbeiter!$F$28&lt;&gt;"",GK$5&gt;Mitarbeiter!$F$28),0,IF(Planung!GK30="",$C30,IF(ISNUMBER(Planung!GK30),Planung!GK30,IF(UPPER(Planung!GK30)="H",$C30/2,0)))))))</f>
        <v>0</v>
      </c>
      <c r="GL30" s="27">
        <f>IF($A30="",0,IF(Mitarbeiter!$G$28=FALSE,0,IF(AND(Mitarbeiter!$E$28&lt;&gt;"",GL$5+6&lt;Mitarbeiter!$E$28),0,IF(AND(Mitarbeiter!$F$28&lt;&gt;"",GL$5&gt;Mitarbeiter!$F$28),0,IF(Planung!GL30="",$C30,IF(ISNUMBER(Planung!GL30),Planung!GL30,IF(UPPER(Planung!GL30)="H",$C30/2,0)))))))</f>
        <v>0</v>
      </c>
      <c r="GM30" s="27">
        <f>IF($A30="",0,IF(Mitarbeiter!$G$28=FALSE,0,IF(AND(Mitarbeiter!$E$28&lt;&gt;"",GM$5+6&lt;Mitarbeiter!$E$28),0,IF(AND(Mitarbeiter!$F$28&lt;&gt;"",GM$5&gt;Mitarbeiter!$F$28),0,IF(Planung!GM30="",$C30,IF(ISNUMBER(Planung!GM30),Planung!GM30,IF(UPPER(Planung!GM30)="H",$C30/2,0)))))))</f>
        <v>0</v>
      </c>
      <c r="GN30" s="27">
        <f>IF($A30="",0,IF(Mitarbeiter!$G$28=FALSE,0,IF(AND(Mitarbeiter!$E$28&lt;&gt;"",GN$5+6&lt;Mitarbeiter!$E$28),0,IF(AND(Mitarbeiter!$F$28&lt;&gt;"",GN$5&gt;Mitarbeiter!$F$28),0,IF(Planung!GN30="",$C30,IF(ISNUMBER(Planung!GN30),Planung!GN30,IF(UPPER(Planung!GN30)="H",$C30/2,0)))))))</f>
        <v>0</v>
      </c>
      <c r="GO30" s="27">
        <f>IF($A30="",0,IF(Mitarbeiter!$G$28=FALSE,0,IF(AND(Mitarbeiter!$E$28&lt;&gt;"",GO$5+6&lt;Mitarbeiter!$E$28),0,IF(AND(Mitarbeiter!$F$28&lt;&gt;"",GO$5&gt;Mitarbeiter!$F$28),0,IF(Planung!GO30="",$C30,IF(ISNUMBER(Planung!GO30),Planung!GO30,IF(UPPER(Planung!GO30)="H",$C30/2,0)))))))</f>
        <v>0</v>
      </c>
      <c r="GP30" s="27">
        <f>IF($A30="",0,IF(Mitarbeiter!$G$28=FALSE,0,IF(AND(Mitarbeiter!$E$28&lt;&gt;"",GP$5+6&lt;Mitarbeiter!$E$28),0,IF(AND(Mitarbeiter!$F$28&lt;&gt;"",GP$5&gt;Mitarbeiter!$F$28),0,IF(Planung!GP30="",$C30,IF(ISNUMBER(Planung!GP30),Planung!GP30,IF(UPPER(Planung!GP30)="H",$C30/2,0)))))))</f>
        <v>0</v>
      </c>
      <c r="GQ30" s="27">
        <f>IF($A30="",0,IF(Mitarbeiter!$G$28=FALSE,0,IF(AND(Mitarbeiter!$E$28&lt;&gt;"",GQ$5+6&lt;Mitarbeiter!$E$28),0,IF(AND(Mitarbeiter!$F$28&lt;&gt;"",GQ$5&gt;Mitarbeiter!$F$28),0,IF(Planung!GQ30="",$C30,IF(ISNUMBER(Planung!GQ30),Planung!GQ30,IF(UPPER(Planung!GQ30)="H",$C30/2,0)))))))</f>
        <v>0</v>
      </c>
      <c r="GR30" s="27">
        <f>IF($A30="",0,IF(Mitarbeiter!$G$28=FALSE,0,IF(AND(Mitarbeiter!$E$28&lt;&gt;"",GR$5+6&lt;Mitarbeiter!$E$28),0,IF(AND(Mitarbeiter!$F$28&lt;&gt;"",GR$5&gt;Mitarbeiter!$F$28),0,IF(Planung!GR30="",$C30,IF(ISNUMBER(Planung!GR30),Planung!GR30,IF(UPPER(Planung!GR30)="H",$C30/2,0)))))))</f>
        <v>0</v>
      </c>
      <c r="GS30" s="27">
        <f>IF($A30="",0,IF(Mitarbeiter!$G$28=FALSE,0,IF(AND(Mitarbeiter!$E$28&lt;&gt;"",GS$5+6&lt;Mitarbeiter!$E$28),0,IF(AND(Mitarbeiter!$F$28&lt;&gt;"",GS$5&gt;Mitarbeiter!$F$28),0,IF(Planung!GS30="",$C30,IF(ISNUMBER(Planung!GS30),Planung!GS30,IF(UPPER(Planung!GS30)="H",$C30/2,0)))))))</f>
        <v>0</v>
      </c>
      <c r="GT30" s="27">
        <f>IF($A30="",0,IF(Mitarbeiter!$G$28=FALSE,0,IF(AND(Mitarbeiter!$E$28&lt;&gt;"",GT$5+6&lt;Mitarbeiter!$E$28),0,IF(AND(Mitarbeiter!$F$28&lt;&gt;"",GT$5&gt;Mitarbeiter!$F$28),0,IF(Planung!GT30="",$C30,IF(ISNUMBER(Planung!GT30),Planung!GT30,IF(UPPER(Planung!GT30)="H",$C30/2,0)))))))</f>
        <v>0</v>
      </c>
      <c r="GU30" s="27">
        <f>IF($A30="",0,IF(Mitarbeiter!$G$28=FALSE,0,IF(AND(Mitarbeiter!$E$28&lt;&gt;"",GU$5+6&lt;Mitarbeiter!$E$28),0,IF(AND(Mitarbeiter!$F$28&lt;&gt;"",GU$5&gt;Mitarbeiter!$F$28),0,IF(Planung!GU30="",$C30,IF(ISNUMBER(Planung!GU30),Planung!GU30,IF(UPPER(Planung!GU30)="H",$C30/2,0)))))))</f>
        <v>0</v>
      </c>
      <c r="GV30" s="27">
        <f>IF($A30="",0,IF(Mitarbeiter!$G$28=FALSE,0,IF(AND(Mitarbeiter!$E$28&lt;&gt;"",GV$5+6&lt;Mitarbeiter!$E$28),0,IF(AND(Mitarbeiter!$F$28&lt;&gt;"",GV$5&gt;Mitarbeiter!$F$28),0,IF(Planung!GV30="",$C30,IF(ISNUMBER(Planung!GV30),Planung!GV30,IF(UPPER(Planung!GV30)="H",$C30/2,0)))))))</f>
        <v>0</v>
      </c>
      <c r="GW30" s="27">
        <f>IF($A30="",0,IF(Mitarbeiter!$G$28=FALSE,0,IF(AND(Mitarbeiter!$E$28&lt;&gt;"",GW$5+6&lt;Mitarbeiter!$E$28),0,IF(AND(Mitarbeiter!$F$28&lt;&gt;"",GW$5&gt;Mitarbeiter!$F$28),0,IF(Planung!GW30="",$C30,IF(ISNUMBER(Planung!GW30),Planung!GW30,IF(UPPER(Planung!GW30)="H",$C30/2,0)))))))</f>
        <v>0</v>
      </c>
      <c r="GX30" s="27">
        <f>IF($A30="",0,IF(Mitarbeiter!$G$28=FALSE,0,IF(AND(Mitarbeiter!$E$28&lt;&gt;"",GX$5+6&lt;Mitarbeiter!$E$28),0,IF(AND(Mitarbeiter!$F$28&lt;&gt;"",GX$5&gt;Mitarbeiter!$F$28),0,IF(Planung!GX30="",$C30,IF(ISNUMBER(Planung!GX30),Planung!GX30,IF(UPPER(Planung!GX30)="H",$C30/2,0)))))))</f>
        <v>0</v>
      </c>
      <c r="GY30" s="27">
        <f>IF($A30="",0,IF(Mitarbeiter!$G$28=FALSE,0,IF(AND(Mitarbeiter!$E$28&lt;&gt;"",GY$5+6&lt;Mitarbeiter!$E$28),0,IF(AND(Mitarbeiter!$F$28&lt;&gt;"",GY$5&gt;Mitarbeiter!$F$28),0,IF(Planung!GY30="",$C30,IF(ISNUMBER(Planung!GY30),Planung!GY30,IF(UPPER(Planung!GY30)="H",$C30/2,0)))))))</f>
        <v>0</v>
      </c>
      <c r="GZ30" s="27">
        <f>IF($A30="",0,IF(Mitarbeiter!$G$28=FALSE,0,IF(AND(Mitarbeiter!$E$28&lt;&gt;"",GZ$5+6&lt;Mitarbeiter!$E$28),0,IF(AND(Mitarbeiter!$F$28&lt;&gt;"",GZ$5&gt;Mitarbeiter!$F$28),0,IF(Planung!GZ30="",$C30,IF(ISNUMBER(Planung!GZ30),Planung!GZ30,IF(UPPER(Planung!GZ30)="H",$C30/2,0)))))))</f>
        <v>0</v>
      </c>
      <c r="HA30" s="27">
        <f>IF($A30="",0,IF(Mitarbeiter!$G$28=FALSE,0,IF(AND(Mitarbeiter!$E$28&lt;&gt;"",HA$5+6&lt;Mitarbeiter!$E$28),0,IF(AND(Mitarbeiter!$F$28&lt;&gt;"",HA$5&gt;Mitarbeiter!$F$28),0,IF(Planung!HA30="",$C30,IF(ISNUMBER(Planung!HA30),Planung!HA30,IF(UPPER(Planung!HA30)="H",$C30/2,0)))))))</f>
        <v>0</v>
      </c>
      <c r="HB30" s="27">
        <f>IF($A30="",0,IF(Mitarbeiter!$G$28=FALSE,0,IF(AND(Mitarbeiter!$E$28&lt;&gt;"",HB$5+6&lt;Mitarbeiter!$E$28),0,IF(AND(Mitarbeiter!$F$28&lt;&gt;"",HB$5&gt;Mitarbeiter!$F$28),0,IF(Planung!HB30="",$C30,IF(ISNUMBER(Planung!HB30),Planung!HB30,IF(UPPER(Planung!HB30)="H",$C30/2,0)))))))</f>
        <v>0</v>
      </c>
      <c r="HC30" s="27">
        <f>IF($A30="",0,IF(Mitarbeiter!$G$28=FALSE,0,IF(AND(Mitarbeiter!$E$28&lt;&gt;"",HC$5+6&lt;Mitarbeiter!$E$28),0,IF(AND(Mitarbeiter!$F$28&lt;&gt;"",HC$5&gt;Mitarbeiter!$F$28),0,IF(Planung!HC30="",$C30,IF(ISNUMBER(Planung!HC30),Planung!HC30,IF(UPPER(Planung!HC30)="H",$C30/2,0)))))))</f>
        <v>0</v>
      </c>
      <c r="HD30" s="27">
        <f>IF($A30="",0,IF(Mitarbeiter!$G$28=FALSE,0,IF(AND(Mitarbeiter!$E$28&lt;&gt;"",HD$5+6&lt;Mitarbeiter!$E$28),0,IF(AND(Mitarbeiter!$F$28&lt;&gt;"",HD$5&gt;Mitarbeiter!$F$28),0,IF(Planung!HD30="",$C30,IF(ISNUMBER(Planung!HD30),Planung!HD30,IF(UPPER(Planung!HD30)="H",$C30/2,0)))))))</f>
        <v>0</v>
      </c>
      <c r="HE30" s="27">
        <f>IF($A30="",0,IF(Mitarbeiter!$G$28=FALSE,0,IF(AND(Mitarbeiter!$E$28&lt;&gt;"",HE$5+6&lt;Mitarbeiter!$E$28),0,IF(AND(Mitarbeiter!$F$28&lt;&gt;"",HE$5&gt;Mitarbeiter!$F$28),0,IF(Planung!HE30="",$C30,IF(ISNUMBER(Planung!HE30),Planung!HE30,IF(UPPER(Planung!HE30)="H",$C30/2,0)))))))</f>
        <v>0</v>
      </c>
      <c r="HF30" s="27">
        <f>IF($A30="",0,IF(Mitarbeiter!$G$28=FALSE,0,IF(AND(Mitarbeiter!$E$28&lt;&gt;"",HF$5+6&lt;Mitarbeiter!$E$28),0,IF(AND(Mitarbeiter!$F$28&lt;&gt;"",HF$5&gt;Mitarbeiter!$F$28),0,IF(Planung!HF30="",$C30,IF(ISNUMBER(Planung!HF30),Planung!HF30,IF(UPPER(Planung!HF30)="H",$C30/2,0)))))))</f>
        <v>0</v>
      </c>
      <c r="HG30" s="27">
        <f>IF($A30="",0,IF(Mitarbeiter!$G$28=FALSE,0,IF(AND(Mitarbeiter!$E$28&lt;&gt;"",HG$5+6&lt;Mitarbeiter!$E$28),0,IF(AND(Mitarbeiter!$F$28&lt;&gt;"",HG$5&gt;Mitarbeiter!$F$28),0,IF(Planung!HG30="",$C30,IF(ISNUMBER(Planung!HG30),Planung!HG30,IF(UPPER(Planung!HG30)="H",$C30/2,0)))))))</f>
        <v>0</v>
      </c>
      <c r="HH30" s="27">
        <f>IF($A30="",0,IF(Mitarbeiter!$G$28=FALSE,0,IF(AND(Mitarbeiter!$E$28&lt;&gt;"",HH$5+6&lt;Mitarbeiter!$E$28),0,IF(AND(Mitarbeiter!$F$28&lt;&gt;"",HH$5&gt;Mitarbeiter!$F$28),0,IF(Planung!HH30="",$C30,IF(ISNUMBER(Planung!HH30),Planung!HH30,IF(UPPER(Planung!HH30)="H",$C30/2,0)))))))</f>
        <v>0</v>
      </c>
      <c r="HI30" s="27">
        <f>IF($A30="",0,IF(Mitarbeiter!$G$28=FALSE,0,IF(AND(Mitarbeiter!$E$28&lt;&gt;"",HI$5+6&lt;Mitarbeiter!$E$28),0,IF(AND(Mitarbeiter!$F$28&lt;&gt;"",HI$5&gt;Mitarbeiter!$F$28),0,IF(Planung!HI30="",$C30,IF(ISNUMBER(Planung!HI30),Planung!HI30,IF(UPPER(Planung!HI30)="H",$C30/2,0)))))))</f>
        <v>0</v>
      </c>
      <c r="HJ30" s="27">
        <f>IF($A30="",0,IF(Mitarbeiter!$G$28=FALSE,0,IF(AND(Mitarbeiter!$E$28&lt;&gt;"",HJ$5+6&lt;Mitarbeiter!$E$28),0,IF(AND(Mitarbeiter!$F$28&lt;&gt;"",HJ$5&gt;Mitarbeiter!$F$28),0,IF(Planung!HJ30="",$C30,IF(ISNUMBER(Planung!HJ30),Planung!HJ30,IF(UPPER(Planung!HJ30)="H",$C30/2,0)))))))</f>
        <v>0</v>
      </c>
      <c r="HK30" s="27">
        <f>IF($A30="",0,IF(Mitarbeiter!$G$28=FALSE,0,IF(AND(Mitarbeiter!$E$28&lt;&gt;"",HK$5+6&lt;Mitarbeiter!$E$28),0,IF(AND(Mitarbeiter!$F$28&lt;&gt;"",HK$5&gt;Mitarbeiter!$F$28),0,IF(Planung!HK30="",$C30,IF(ISNUMBER(Planung!HK30),Planung!HK30,IF(UPPER(Planung!HK30)="H",$C30/2,0)))))))</f>
        <v>0</v>
      </c>
      <c r="HL30" s="27">
        <f>IF($A30="",0,IF(Mitarbeiter!$G$28=FALSE,0,IF(AND(Mitarbeiter!$E$28&lt;&gt;"",HL$5+6&lt;Mitarbeiter!$E$28),0,IF(AND(Mitarbeiter!$F$28&lt;&gt;"",HL$5&gt;Mitarbeiter!$F$28),0,IF(Planung!HL30="",$C30,IF(ISNUMBER(Planung!HL30),Planung!HL30,IF(UPPER(Planung!HL30)="H",$C30/2,0)))))))</f>
        <v>0</v>
      </c>
      <c r="HM30" s="27">
        <f>IF($A30="",0,IF(Mitarbeiter!$G$28=FALSE,0,IF(AND(Mitarbeiter!$E$28&lt;&gt;"",HM$5+6&lt;Mitarbeiter!$E$28),0,IF(AND(Mitarbeiter!$F$28&lt;&gt;"",HM$5&gt;Mitarbeiter!$F$28),0,IF(Planung!HM30="",$C30,IF(ISNUMBER(Planung!HM30),Planung!HM30,IF(UPPER(Planung!HM30)="H",$C30/2,0)))))))</f>
        <v>0</v>
      </c>
      <c r="HN30" s="27">
        <f>IF($A30="",0,IF(Mitarbeiter!$G$28=FALSE,0,IF(AND(Mitarbeiter!$E$28&lt;&gt;"",HN$5+6&lt;Mitarbeiter!$E$28),0,IF(AND(Mitarbeiter!$F$28&lt;&gt;"",HN$5&gt;Mitarbeiter!$F$28),0,IF(Planung!HN30="",$C30,IF(ISNUMBER(Planung!HN30),Planung!HN30,IF(UPPER(Planung!HN30)="H",$C30/2,0)))))))</f>
        <v>0</v>
      </c>
      <c r="HO30" s="27">
        <f>IF($A30="",0,IF(Mitarbeiter!$G$28=FALSE,0,IF(AND(Mitarbeiter!$E$28&lt;&gt;"",HO$5+6&lt;Mitarbeiter!$E$28),0,IF(AND(Mitarbeiter!$F$28&lt;&gt;"",HO$5&gt;Mitarbeiter!$F$28),0,IF(Planung!HO30="",$C30,IF(ISNUMBER(Planung!HO30),Planung!HO30,IF(UPPER(Planung!HO30)="H",$C30/2,0)))))))</f>
        <v>0</v>
      </c>
      <c r="HP30" s="27">
        <f>IF($A30="",0,IF(Mitarbeiter!$G$28=FALSE,0,IF(AND(Mitarbeiter!$E$28&lt;&gt;"",HP$5+6&lt;Mitarbeiter!$E$28),0,IF(AND(Mitarbeiter!$F$28&lt;&gt;"",HP$5&gt;Mitarbeiter!$F$28),0,IF(Planung!HP30="",$C30,IF(ISNUMBER(Planung!HP30),Planung!HP30,IF(UPPER(Planung!HP30)="H",$C30/2,0)))))))</f>
        <v>0</v>
      </c>
      <c r="HQ30" s="27">
        <f>IF($A30="",0,IF(Mitarbeiter!$G$28=FALSE,0,IF(AND(Mitarbeiter!$E$28&lt;&gt;"",HQ$5+6&lt;Mitarbeiter!$E$28),0,IF(AND(Mitarbeiter!$F$28&lt;&gt;"",HQ$5&gt;Mitarbeiter!$F$28),0,IF(Planung!HQ30="",$C30,IF(ISNUMBER(Planung!HQ30),Planung!HQ30,IF(UPPER(Planung!HQ30)="H",$C30/2,0)))))))</f>
        <v>0</v>
      </c>
      <c r="HR30" s="27">
        <f>IF($A30="",0,IF(Mitarbeiter!$G$28=FALSE,0,IF(AND(Mitarbeiter!$E$28&lt;&gt;"",HR$5+6&lt;Mitarbeiter!$E$28),0,IF(AND(Mitarbeiter!$F$28&lt;&gt;"",HR$5&gt;Mitarbeiter!$F$28),0,IF(Planung!HR30="",$C30,IF(ISNUMBER(Planung!HR30),Planung!HR30,IF(UPPER(Planung!HR30)="H",$C30/2,0)))))))</f>
        <v>0</v>
      </c>
      <c r="HS30" s="27">
        <f>IF($A30="",0,IF(Mitarbeiter!$G$28=FALSE,0,IF(AND(Mitarbeiter!$E$28&lt;&gt;"",HS$5+6&lt;Mitarbeiter!$E$28),0,IF(AND(Mitarbeiter!$F$28&lt;&gt;"",HS$5&gt;Mitarbeiter!$F$28),0,IF(Planung!HS30="",$C30,IF(ISNUMBER(Planung!HS30),Planung!HS30,IF(UPPER(Planung!HS30)="H",$C30/2,0)))))))</f>
        <v>0</v>
      </c>
      <c r="HT30" s="27">
        <f>IF($A30="",0,IF(Mitarbeiter!$G$28=FALSE,0,IF(AND(Mitarbeiter!$E$28&lt;&gt;"",HT$5+6&lt;Mitarbeiter!$E$28),0,IF(AND(Mitarbeiter!$F$28&lt;&gt;"",HT$5&gt;Mitarbeiter!$F$28),0,IF(Planung!HT30="",$C30,IF(ISNUMBER(Planung!HT30),Planung!HT30,IF(UPPER(Planung!HT30)="H",$C30/2,0)))))))</f>
        <v>0</v>
      </c>
      <c r="HU30" s="27">
        <f>IF($A30="",0,IF(Mitarbeiter!$G$28=FALSE,0,IF(AND(Mitarbeiter!$E$28&lt;&gt;"",HU$5+6&lt;Mitarbeiter!$E$28),0,IF(AND(Mitarbeiter!$F$28&lt;&gt;"",HU$5&gt;Mitarbeiter!$F$28),0,IF(Planung!HU30="",$C30,IF(ISNUMBER(Planung!HU30),Planung!HU30,IF(UPPER(Planung!HU30)="H",$C30/2,0)))))))</f>
        <v>0</v>
      </c>
      <c r="HV30" s="27">
        <f>IF($A30="",0,IF(Mitarbeiter!$G$28=FALSE,0,IF(AND(Mitarbeiter!$E$28&lt;&gt;"",HV$5+6&lt;Mitarbeiter!$E$28),0,IF(AND(Mitarbeiter!$F$28&lt;&gt;"",HV$5&gt;Mitarbeiter!$F$28),0,IF(Planung!HV30="",$C30,IF(ISNUMBER(Planung!HV30),Planung!HV30,IF(UPPER(Planung!HV30)="H",$C30/2,0)))))))</f>
        <v>0</v>
      </c>
      <c r="HW30" s="27">
        <f>IF($A30="",0,IF(Mitarbeiter!$G$28=FALSE,0,IF(AND(Mitarbeiter!$E$28&lt;&gt;"",HW$5+6&lt;Mitarbeiter!$E$28),0,IF(AND(Mitarbeiter!$F$28&lt;&gt;"",HW$5&gt;Mitarbeiter!$F$28),0,IF(Planung!HW30="",$C30,IF(ISNUMBER(Planung!HW30),Planung!HW30,IF(UPPER(Planung!HW30)="H",$C30/2,0)))))))</f>
        <v>0</v>
      </c>
      <c r="HX30" s="27">
        <f>IF($A30="",0,IF(Mitarbeiter!$G$28=FALSE,0,IF(AND(Mitarbeiter!$E$28&lt;&gt;"",HX$5+6&lt;Mitarbeiter!$E$28),0,IF(AND(Mitarbeiter!$F$28&lt;&gt;"",HX$5&gt;Mitarbeiter!$F$28),0,IF(Planung!HX30="",$C30,IF(ISNUMBER(Planung!HX30),Planung!HX30,IF(UPPER(Planung!HX30)="H",$C30/2,0)))))))</f>
        <v>0</v>
      </c>
      <c r="HY30" s="27">
        <f>IF($A30="",0,IF(Mitarbeiter!$G$28=FALSE,0,IF(AND(Mitarbeiter!$E$28&lt;&gt;"",HY$5+6&lt;Mitarbeiter!$E$28),0,IF(AND(Mitarbeiter!$F$28&lt;&gt;"",HY$5&gt;Mitarbeiter!$F$28),0,IF(Planung!HY30="",$C30,IF(ISNUMBER(Planung!HY30),Planung!HY30,IF(UPPER(Planung!HY30)="H",$C30/2,0)))))))</f>
        <v>0</v>
      </c>
      <c r="HZ30" s="27">
        <f>IF($A30="",0,IF(Mitarbeiter!$G$28=FALSE,0,IF(AND(Mitarbeiter!$E$28&lt;&gt;"",HZ$5+6&lt;Mitarbeiter!$E$28),0,IF(AND(Mitarbeiter!$F$28&lt;&gt;"",HZ$5&gt;Mitarbeiter!$F$28),0,IF(Planung!HZ30="",$C30,IF(ISNUMBER(Planung!HZ30),Planung!HZ30,IF(UPPER(Planung!HZ30)="H",$C30/2,0)))))))</f>
        <v>0</v>
      </c>
      <c r="IA30" s="27">
        <f>IF($A30="",0,IF(Mitarbeiter!$G$28=FALSE,0,IF(AND(Mitarbeiter!$E$28&lt;&gt;"",IA$5+6&lt;Mitarbeiter!$E$28),0,IF(AND(Mitarbeiter!$F$28&lt;&gt;"",IA$5&gt;Mitarbeiter!$F$28),0,IF(Planung!IA30="",$C30,IF(ISNUMBER(Planung!IA30),Planung!IA30,IF(UPPER(Planung!IA30)="H",$C30/2,0)))))))</f>
        <v>0</v>
      </c>
    </row>
    <row r="31" spans="1:235" x14ac:dyDescent="0.25">
      <c r="A31" s="7" t="str">
        <f>Planung!A31</f>
        <v/>
      </c>
      <c r="B31" s="7" t="str">
        <f>Planung!B31</f>
        <v/>
      </c>
      <c r="C31" s="27">
        <f>N(Mitarbeiter!$D$29)</f>
        <v>0</v>
      </c>
      <c r="D31" s="27">
        <f>IF($A31="",0,IF(Mitarbeiter!$G$29=FALSE,0,IF(AND(Mitarbeiter!$E$29&lt;&gt;"",D$5+6&lt;Mitarbeiter!$E$29),0,IF(AND(Mitarbeiter!$F$29&lt;&gt;"",D$5&gt;Mitarbeiter!$F$29),0,IF(Planung!D31="",$C31,IF(ISNUMBER(Planung!D31),Planung!D31,IF(UPPER(Planung!D31)="H",$C31/2,0)))))))</f>
        <v>0</v>
      </c>
      <c r="E31" s="27">
        <f>IF($A31="",0,IF(Mitarbeiter!$G$29=FALSE,0,IF(AND(Mitarbeiter!$E$29&lt;&gt;"",E$5+6&lt;Mitarbeiter!$E$29),0,IF(AND(Mitarbeiter!$F$29&lt;&gt;"",E$5&gt;Mitarbeiter!$F$29),0,IF(Planung!E31="",$C31,IF(ISNUMBER(Planung!E31),Planung!E31,IF(UPPER(Planung!E31)="H",$C31/2,0)))))))</f>
        <v>0</v>
      </c>
      <c r="F31" s="27">
        <f>IF($A31="",0,IF(Mitarbeiter!$G$29=FALSE,0,IF(AND(Mitarbeiter!$E$29&lt;&gt;"",F$5+6&lt;Mitarbeiter!$E$29),0,IF(AND(Mitarbeiter!$F$29&lt;&gt;"",F$5&gt;Mitarbeiter!$F$29),0,IF(Planung!F31="",$C31,IF(ISNUMBER(Planung!F31),Planung!F31,IF(UPPER(Planung!F31)="H",$C31/2,0)))))))</f>
        <v>0</v>
      </c>
      <c r="G31" s="27">
        <f>IF($A31="",0,IF(Mitarbeiter!$G$29=FALSE,0,IF(AND(Mitarbeiter!$E$29&lt;&gt;"",G$5+6&lt;Mitarbeiter!$E$29),0,IF(AND(Mitarbeiter!$F$29&lt;&gt;"",G$5&gt;Mitarbeiter!$F$29),0,IF(Planung!G31="",$C31,IF(ISNUMBER(Planung!G31),Planung!G31,IF(UPPER(Planung!G31)="H",$C31/2,0)))))))</f>
        <v>0</v>
      </c>
      <c r="H31" s="27">
        <f>IF($A31="",0,IF(Mitarbeiter!$G$29=FALSE,0,IF(AND(Mitarbeiter!$E$29&lt;&gt;"",H$5+6&lt;Mitarbeiter!$E$29),0,IF(AND(Mitarbeiter!$F$29&lt;&gt;"",H$5&gt;Mitarbeiter!$F$29),0,IF(Planung!H31="",$C31,IF(ISNUMBER(Planung!H31),Planung!H31,IF(UPPER(Planung!H31)="H",$C31/2,0)))))))</f>
        <v>0</v>
      </c>
      <c r="I31" s="27">
        <f>IF($A31="",0,IF(Mitarbeiter!$G$29=FALSE,0,IF(AND(Mitarbeiter!$E$29&lt;&gt;"",I$5+6&lt;Mitarbeiter!$E$29),0,IF(AND(Mitarbeiter!$F$29&lt;&gt;"",I$5&gt;Mitarbeiter!$F$29),0,IF(Planung!I31="",$C31,IF(ISNUMBER(Planung!I31),Planung!I31,IF(UPPER(Planung!I31)="H",$C31/2,0)))))))</f>
        <v>0</v>
      </c>
      <c r="J31" s="27">
        <f>IF($A31="",0,IF(Mitarbeiter!$G$29=FALSE,0,IF(AND(Mitarbeiter!$E$29&lt;&gt;"",J$5+6&lt;Mitarbeiter!$E$29),0,IF(AND(Mitarbeiter!$F$29&lt;&gt;"",J$5&gt;Mitarbeiter!$F$29),0,IF(Planung!J31="",$C31,IF(ISNUMBER(Planung!J31),Planung!J31,IF(UPPER(Planung!J31)="H",$C31/2,0)))))))</f>
        <v>0</v>
      </c>
      <c r="K31" s="27">
        <f>IF($A31="",0,IF(Mitarbeiter!$G$29=FALSE,0,IF(AND(Mitarbeiter!$E$29&lt;&gt;"",K$5+6&lt;Mitarbeiter!$E$29),0,IF(AND(Mitarbeiter!$F$29&lt;&gt;"",K$5&gt;Mitarbeiter!$F$29),0,IF(Planung!K31="",$C31,IF(ISNUMBER(Planung!K31),Planung!K31,IF(UPPER(Planung!K31)="H",$C31/2,0)))))))</f>
        <v>0</v>
      </c>
      <c r="L31" s="27">
        <f>IF($A31="",0,IF(Mitarbeiter!$G$29=FALSE,0,IF(AND(Mitarbeiter!$E$29&lt;&gt;"",L$5+6&lt;Mitarbeiter!$E$29),0,IF(AND(Mitarbeiter!$F$29&lt;&gt;"",L$5&gt;Mitarbeiter!$F$29),0,IF(Planung!L31="",$C31,IF(ISNUMBER(Planung!L31),Planung!L31,IF(UPPER(Planung!L31)="H",$C31/2,0)))))))</f>
        <v>0</v>
      </c>
      <c r="M31" s="27">
        <f>IF($A31="",0,IF(Mitarbeiter!$G$29=FALSE,0,IF(AND(Mitarbeiter!$E$29&lt;&gt;"",M$5+6&lt;Mitarbeiter!$E$29),0,IF(AND(Mitarbeiter!$F$29&lt;&gt;"",M$5&gt;Mitarbeiter!$F$29),0,IF(Planung!M31="",$C31,IF(ISNUMBER(Planung!M31),Planung!M31,IF(UPPER(Planung!M31)="H",$C31/2,0)))))))</f>
        <v>0</v>
      </c>
      <c r="N31" s="27">
        <f>IF($A31="",0,IF(Mitarbeiter!$G$29=FALSE,0,IF(AND(Mitarbeiter!$E$29&lt;&gt;"",N$5+6&lt;Mitarbeiter!$E$29),0,IF(AND(Mitarbeiter!$F$29&lt;&gt;"",N$5&gt;Mitarbeiter!$F$29),0,IF(Planung!N31="",$C31,IF(ISNUMBER(Planung!N31),Planung!N31,IF(UPPER(Planung!N31)="H",$C31/2,0)))))))</f>
        <v>0</v>
      </c>
      <c r="O31" s="27">
        <f>IF($A31="",0,IF(Mitarbeiter!$G$29=FALSE,0,IF(AND(Mitarbeiter!$E$29&lt;&gt;"",O$5+6&lt;Mitarbeiter!$E$29),0,IF(AND(Mitarbeiter!$F$29&lt;&gt;"",O$5&gt;Mitarbeiter!$F$29),0,IF(Planung!O31="",$C31,IF(ISNUMBER(Planung!O31),Planung!O31,IF(UPPER(Planung!O31)="H",$C31/2,0)))))))</f>
        <v>0</v>
      </c>
      <c r="P31" s="27">
        <f>IF($A31="",0,IF(Mitarbeiter!$G$29=FALSE,0,IF(AND(Mitarbeiter!$E$29&lt;&gt;"",P$5+6&lt;Mitarbeiter!$E$29),0,IF(AND(Mitarbeiter!$F$29&lt;&gt;"",P$5&gt;Mitarbeiter!$F$29),0,IF(Planung!P31="",$C31,IF(ISNUMBER(Planung!P31),Planung!P31,IF(UPPER(Planung!P31)="H",$C31/2,0)))))))</f>
        <v>0</v>
      </c>
      <c r="Q31" s="27">
        <f>IF($A31="",0,IF(Mitarbeiter!$G$29=FALSE,0,IF(AND(Mitarbeiter!$E$29&lt;&gt;"",Q$5+6&lt;Mitarbeiter!$E$29),0,IF(AND(Mitarbeiter!$F$29&lt;&gt;"",Q$5&gt;Mitarbeiter!$F$29),0,IF(Planung!Q31="",$C31,IF(ISNUMBER(Planung!Q31),Planung!Q31,IF(UPPER(Planung!Q31)="H",$C31/2,0)))))))</f>
        <v>0</v>
      </c>
      <c r="R31" s="27">
        <f>IF($A31="",0,IF(Mitarbeiter!$G$29=FALSE,0,IF(AND(Mitarbeiter!$E$29&lt;&gt;"",R$5+6&lt;Mitarbeiter!$E$29),0,IF(AND(Mitarbeiter!$F$29&lt;&gt;"",R$5&gt;Mitarbeiter!$F$29),0,IF(Planung!R31="",$C31,IF(ISNUMBER(Planung!R31),Planung!R31,IF(UPPER(Planung!R31)="H",$C31/2,0)))))))</f>
        <v>0</v>
      </c>
      <c r="S31" s="27">
        <f>IF($A31="",0,IF(Mitarbeiter!$G$29=FALSE,0,IF(AND(Mitarbeiter!$E$29&lt;&gt;"",S$5+6&lt;Mitarbeiter!$E$29),0,IF(AND(Mitarbeiter!$F$29&lt;&gt;"",S$5&gt;Mitarbeiter!$F$29),0,IF(Planung!S31="",$C31,IF(ISNUMBER(Planung!S31),Planung!S31,IF(UPPER(Planung!S31)="H",$C31/2,0)))))))</f>
        <v>0</v>
      </c>
      <c r="T31" s="27">
        <f>IF($A31="",0,IF(Mitarbeiter!$G$29=FALSE,0,IF(AND(Mitarbeiter!$E$29&lt;&gt;"",T$5+6&lt;Mitarbeiter!$E$29),0,IF(AND(Mitarbeiter!$F$29&lt;&gt;"",T$5&gt;Mitarbeiter!$F$29),0,IF(Planung!T31="",$C31,IF(ISNUMBER(Planung!T31),Planung!T31,IF(UPPER(Planung!T31)="H",$C31/2,0)))))))</f>
        <v>0</v>
      </c>
      <c r="U31" s="27">
        <f>IF($A31="",0,IF(Mitarbeiter!$G$29=FALSE,0,IF(AND(Mitarbeiter!$E$29&lt;&gt;"",U$5+6&lt;Mitarbeiter!$E$29),0,IF(AND(Mitarbeiter!$F$29&lt;&gt;"",U$5&gt;Mitarbeiter!$F$29),0,IF(Planung!U31="",$C31,IF(ISNUMBER(Planung!U31),Planung!U31,IF(UPPER(Planung!U31)="H",$C31/2,0)))))))</f>
        <v>0</v>
      </c>
      <c r="V31" s="27">
        <f>IF($A31="",0,IF(Mitarbeiter!$G$29=FALSE,0,IF(AND(Mitarbeiter!$E$29&lt;&gt;"",V$5+6&lt;Mitarbeiter!$E$29),0,IF(AND(Mitarbeiter!$F$29&lt;&gt;"",V$5&gt;Mitarbeiter!$F$29),0,IF(Planung!V31="",$C31,IF(ISNUMBER(Planung!V31),Planung!V31,IF(UPPER(Planung!V31)="H",$C31/2,0)))))))</f>
        <v>0</v>
      </c>
      <c r="W31" s="27">
        <f>IF($A31="",0,IF(Mitarbeiter!$G$29=FALSE,0,IF(AND(Mitarbeiter!$E$29&lt;&gt;"",W$5+6&lt;Mitarbeiter!$E$29),0,IF(AND(Mitarbeiter!$F$29&lt;&gt;"",W$5&gt;Mitarbeiter!$F$29),0,IF(Planung!W31="",$C31,IF(ISNUMBER(Planung!W31),Planung!W31,IF(UPPER(Planung!W31)="H",$C31/2,0)))))))</f>
        <v>0</v>
      </c>
      <c r="X31" s="27">
        <f>IF($A31="",0,IF(Mitarbeiter!$G$29=FALSE,0,IF(AND(Mitarbeiter!$E$29&lt;&gt;"",X$5+6&lt;Mitarbeiter!$E$29),0,IF(AND(Mitarbeiter!$F$29&lt;&gt;"",X$5&gt;Mitarbeiter!$F$29),0,IF(Planung!X31="",$C31,IF(ISNUMBER(Planung!X31),Planung!X31,IF(UPPER(Planung!X31)="H",$C31/2,0)))))))</f>
        <v>0</v>
      </c>
      <c r="Y31" s="27">
        <f>IF($A31="",0,IF(Mitarbeiter!$G$29=FALSE,0,IF(AND(Mitarbeiter!$E$29&lt;&gt;"",Y$5+6&lt;Mitarbeiter!$E$29),0,IF(AND(Mitarbeiter!$F$29&lt;&gt;"",Y$5&gt;Mitarbeiter!$F$29),0,IF(Planung!Y31="",$C31,IF(ISNUMBER(Planung!Y31),Planung!Y31,IF(UPPER(Planung!Y31)="H",$C31/2,0)))))))</f>
        <v>0</v>
      </c>
      <c r="Z31" s="27">
        <f>IF($A31="",0,IF(Mitarbeiter!$G$29=FALSE,0,IF(AND(Mitarbeiter!$E$29&lt;&gt;"",Z$5+6&lt;Mitarbeiter!$E$29),0,IF(AND(Mitarbeiter!$F$29&lt;&gt;"",Z$5&gt;Mitarbeiter!$F$29),0,IF(Planung!Z31="",$C31,IF(ISNUMBER(Planung!Z31),Planung!Z31,IF(UPPER(Planung!Z31)="H",$C31/2,0)))))))</f>
        <v>0</v>
      </c>
      <c r="AA31" s="27">
        <f>IF($A31="",0,IF(Mitarbeiter!$G$29=FALSE,0,IF(AND(Mitarbeiter!$E$29&lt;&gt;"",AA$5+6&lt;Mitarbeiter!$E$29),0,IF(AND(Mitarbeiter!$F$29&lt;&gt;"",AA$5&gt;Mitarbeiter!$F$29),0,IF(Planung!AA31="",$C31,IF(ISNUMBER(Planung!AA31),Planung!AA31,IF(UPPER(Planung!AA31)="H",$C31/2,0)))))))</f>
        <v>0</v>
      </c>
      <c r="AB31" s="27">
        <f>IF($A31="",0,IF(Mitarbeiter!$G$29=FALSE,0,IF(AND(Mitarbeiter!$E$29&lt;&gt;"",AB$5+6&lt;Mitarbeiter!$E$29),0,IF(AND(Mitarbeiter!$F$29&lt;&gt;"",AB$5&gt;Mitarbeiter!$F$29),0,IF(Planung!AB31="",$C31,IF(ISNUMBER(Planung!AB31),Planung!AB31,IF(UPPER(Planung!AB31)="H",$C31/2,0)))))))</f>
        <v>0</v>
      </c>
      <c r="AC31" s="27">
        <f>IF($A31="",0,IF(Mitarbeiter!$G$29=FALSE,0,IF(AND(Mitarbeiter!$E$29&lt;&gt;"",AC$5+6&lt;Mitarbeiter!$E$29),0,IF(AND(Mitarbeiter!$F$29&lt;&gt;"",AC$5&gt;Mitarbeiter!$F$29),0,IF(Planung!AC31="",$C31,IF(ISNUMBER(Planung!AC31),Planung!AC31,IF(UPPER(Planung!AC31)="H",$C31/2,0)))))))</f>
        <v>0</v>
      </c>
      <c r="AD31" s="27">
        <f>IF($A31="",0,IF(Mitarbeiter!$G$29=FALSE,0,IF(AND(Mitarbeiter!$E$29&lt;&gt;"",AD$5+6&lt;Mitarbeiter!$E$29),0,IF(AND(Mitarbeiter!$F$29&lt;&gt;"",AD$5&gt;Mitarbeiter!$F$29),0,IF(Planung!AD31="",$C31,IF(ISNUMBER(Planung!AD31),Planung!AD31,IF(UPPER(Planung!AD31)="H",$C31/2,0)))))))</f>
        <v>0</v>
      </c>
      <c r="AE31" s="27">
        <f>IF($A31="",0,IF(Mitarbeiter!$G$29=FALSE,0,IF(AND(Mitarbeiter!$E$29&lt;&gt;"",AE$5+6&lt;Mitarbeiter!$E$29),0,IF(AND(Mitarbeiter!$F$29&lt;&gt;"",AE$5&gt;Mitarbeiter!$F$29),0,IF(Planung!AE31="",$C31,IF(ISNUMBER(Planung!AE31),Planung!AE31,IF(UPPER(Planung!AE31)="H",$C31/2,0)))))))</f>
        <v>0</v>
      </c>
      <c r="AF31" s="27">
        <f>IF($A31="",0,IF(Mitarbeiter!$G$29=FALSE,0,IF(AND(Mitarbeiter!$E$29&lt;&gt;"",AF$5+6&lt;Mitarbeiter!$E$29),0,IF(AND(Mitarbeiter!$F$29&lt;&gt;"",AF$5&gt;Mitarbeiter!$F$29),0,IF(Planung!AF31="",$C31,IF(ISNUMBER(Planung!AF31),Planung!AF31,IF(UPPER(Planung!AF31)="H",$C31/2,0)))))))</f>
        <v>0</v>
      </c>
      <c r="AG31" s="27">
        <f>IF($A31="",0,IF(Mitarbeiter!$G$29=FALSE,0,IF(AND(Mitarbeiter!$E$29&lt;&gt;"",AG$5+6&lt;Mitarbeiter!$E$29),0,IF(AND(Mitarbeiter!$F$29&lt;&gt;"",AG$5&gt;Mitarbeiter!$F$29),0,IF(Planung!AG31="",$C31,IF(ISNUMBER(Planung!AG31),Planung!AG31,IF(UPPER(Planung!AG31)="H",$C31/2,0)))))))</f>
        <v>0</v>
      </c>
      <c r="AH31" s="27">
        <f>IF($A31="",0,IF(Mitarbeiter!$G$29=FALSE,0,IF(AND(Mitarbeiter!$E$29&lt;&gt;"",AH$5+6&lt;Mitarbeiter!$E$29),0,IF(AND(Mitarbeiter!$F$29&lt;&gt;"",AH$5&gt;Mitarbeiter!$F$29),0,IF(Planung!AH31="",$C31,IF(ISNUMBER(Planung!AH31),Planung!AH31,IF(UPPER(Planung!AH31)="H",$C31/2,0)))))))</f>
        <v>0</v>
      </c>
      <c r="AI31" s="27">
        <f>IF($A31="",0,IF(Mitarbeiter!$G$29=FALSE,0,IF(AND(Mitarbeiter!$E$29&lt;&gt;"",AI$5+6&lt;Mitarbeiter!$E$29),0,IF(AND(Mitarbeiter!$F$29&lt;&gt;"",AI$5&gt;Mitarbeiter!$F$29),0,IF(Planung!AI31="",$C31,IF(ISNUMBER(Planung!AI31),Planung!AI31,IF(UPPER(Planung!AI31)="H",$C31/2,0)))))))</f>
        <v>0</v>
      </c>
      <c r="AJ31" s="27">
        <f>IF($A31="",0,IF(Mitarbeiter!$G$29=FALSE,0,IF(AND(Mitarbeiter!$E$29&lt;&gt;"",AJ$5+6&lt;Mitarbeiter!$E$29),0,IF(AND(Mitarbeiter!$F$29&lt;&gt;"",AJ$5&gt;Mitarbeiter!$F$29),0,IF(Planung!AJ31="",$C31,IF(ISNUMBER(Planung!AJ31),Planung!AJ31,IF(UPPER(Planung!AJ31)="H",$C31/2,0)))))))</f>
        <v>0</v>
      </c>
      <c r="AK31" s="27">
        <f>IF($A31="",0,IF(Mitarbeiter!$G$29=FALSE,0,IF(AND(Mitarbeiter!$E$29&lt;&gt;"",AK$5+6&lt;Mitarbeiter!$E$29),0,IF(AND(Mitarbeiter!$F$29&lt;&gt;"",AK$5&gt;Mitarbeiter!$F$29),0,IF(Planung!AK31="",$C31,IF(ISNUMBER(Planung!AK31),Planung!AK31,IF(UPPER(Planung!AK31)="H",$C31/2,0)))))))</f>
        <v>0</v>
      </c>
      <c r="AL31" s="27">
        <f>IF($A31="",0,IF(Mitarbeiter!$G$29=FALSE,0,IF(AND(Mitarbeiter!$E$29&lt;&gt;"",AL$5+6&lt;Mitarbeiter!$E$29),0,IF(AND(Mitarbeiter!$F$29&lt;&gt;"",AL$5&gt;Mitarbeiter!$F$29),0,IF(Planung!AL31="",$C31,IF(ISNUMBER(Planung!AL31),Planung!AL31,IF(UPPER(Planung!AL31)="H",$C31/2,0)))))))</f>
        <v>0</v>
      </c>
      <c r="AM31" s="27">
        <f>IF($A31="",0,IF(Mitarbeiter!$G$29=FALSE,0,IF(AND(Mitarbeiter!$E$29&lt;&gt;"",AM$5+6&lt;Mitarbeiter!$E$29),0,IF(AND(Mitarbeiter!$F$29&lt;&gt;"",AM$5&gt;Mitarbeiter!$F$29),0,IF(Planung!AM31="",$C31,IF(ISNUMBER(Planung!AM31),Planung!AM31,IF(UPPER(Planung!AM31)="H",$C31/2,0)))))))</f>
        <v>0</v>
      </c>
      <c r="AN31" s="27">
        <f>IF($A31="",0,IF(Mitarbeiter!$G$29=FALSE,0,IF(AND(Mitarbeiter!$E$29&lt;&gt;"",AN$5+6&lt;Mitarbeiter!$E$29),0,IF(AND(Mitarbeiter!$F$29&lt;&gt;"",AN$5&gt;Mitarbeiter!$F$29),0,IF(Planung!AN31="",$C31,IF(ISNUMBER(Planung!AN31),Planung!AN31,IF(UPPER(Planung!AN31)="H",$C31/2,0)))))))</f>
        <v>0</v>
      </c>
      <c r="AO31" s="27">
        <f>IF($A31="",0,IF(Mitarbeiter!$G$29=FALSE,0,IF(AND(Mitarbeiter!$E$29&lt;&gt;"",AO$5+6&lt;Mitarbeiter!$E$29),0,IF(AND(Mitarbeiter!$F$29&lt;&gt;"",AO$5&gt;Mitarbeiter!$F$29),0,IF(Planung!AO31="",$C31,IF(ISNUMBER(Planung!AO31),Planung!AO31,IF(UPPER(Planung!AO31)="H",$C31/2,0)))))))</f>
        <v>0</v>
      </c>
      <c r="AP31" s="27">
        <f>IF($A31="",0,IF(Mitarbeiter!$G$29=FALSE,0,IF(AND(Mitarbeiter!$E$29&lt;&gt;"",AP$5+6&lt;Mitarbeiter!$E$29),0,IF(AND(Mitarbeiter!$F$29&lt;&gt;"",AP$5&gt;Mitarbeiter!$F$29),0,IF(Planung!AP31="",$C31,IF(ISNUMBER(Planung!AP31),Planung!AP31,IF(UPPER(Planung!AP31)="H",$C31/2,0)))))))</f>
        <v>0</v>
      </c>
      <c r="AQ31" s="27">
        <f>IF($A31="",0,IF(Mitarbeiter!$G$29=FALSE,0,IF(AND(Mitarbeiter!$E$29&lt;&gt;"",AQ$5+6&lt;Mitarbeiter!$E$29),0,IF(AND(Mitarbeiter!$F$29&lt;&gt;"",AQ$5&gt;Mitarbeiter!$F$29),0,IF(Planung!AQ31="",$C31,IF(ISNUMBER(Planung!AQ31),Planung!AQ31,IF(UPPER(Planung!AQ31)="H",$C31/2,0)))))))</f>
        <v>0</v>
      </c>
      <c r="AR31" s="27">
        <f>IF($A31="",0,IF(Mitarbeiter!$G$29=FALSE,0,IF(AND(Mitarbeiter!$E$29&lt;&gt;"",AR$5+6&lt;Mitarbeiter!$E$29),0,IF(AND(Mitarbeiter!$F$29&lt;&gt;"",AR$5&gt;Mitarbeiter!$F$29),0,IF(Planung!AR31="",$C31,IF(ISNUMBER(Planung!AR31),Planung!AR31,IF(UPPER(Planung!AR31)="H",$C31/2,0)))))))</f>
        <v>0</v>
      </c>
      <c r="AS31" s="27">
        <f>IF($A31="",0,IF(Mitarbeiter!$G$29=FALSE,0,IF(AND(Mitarbeiter!$E$29&lt;&gt;"",AS$5+6&lt;Mitarbeiter!$E$29),0,IF(AND(Mitarbeiter!$F$29&lt;&gt;"",AS$5&gt;Mitarbeiter!$F$29),0,IF(Planung!AS31="",$C31,IF(ISNUMBER(Planung!AS31),Planung!AS31,IF(UPPER(Planung!AS31)="H",$C31/2,0)))))))</f>
        <v>0</v>
      </c>
      <c r="AT31" s="27">
        <f>IF($A31="",0,IF(Mitarbeiter!$G$29=FALSE,0,IF(AND(Mitarbeiter!$E$29&lt;&gt;"",AT$5+6&lt;Mitarbeiter!$E$29),0,IF(AND(Mitarbeiter!$F$29&lt;&gt;"",AT$5&gt;Mitarbeiter!$F$29),0,IF(Planung!AT31="",$C31,IF(ISNUMBER(Planung!AT31),Planung!AT31,IF(UPPER(Planung!AT31)="H",$C31/2,0)))))))</f>
        <v>0</v>
      </c>
      <c r="AU31" s="27">
        <f>IF($A31="",0,IF(Mitarbeiter!$G$29=FALSE,0,IF(AND(Mitarbeiter!$E$29&lt;&gt;"",AU$5+6&lt;Mitarbeiter!$E$29),0,IF(AND(Mitarbeiter!$F$29&lt;&gt;"",AU$5&gt;Mitarbeiter!$F$29),0,IF(Planung!AU31="",$C31,IF(ISNUMBER(Planung!AU31),Planung!AU31,IF(UPPER(Planung!AU31)="H",$C31/2,0)))))))</f>
        <v>0</v>
      </c>
      <c r="AV31" s="27">
        <f>IF($A31="",0,IF(Mitarbeiter!$G$29=FALSE,0,IF(AND(Mitarbeiter!$E$29&lt;&gt;"",AV$5+6&lt;Mitarbeiter!$E$29),0,IF(AND(Mitarbeiter!$F$29&lt;&gt;"",AV$5&gt;Mitarbeiter!$F$29),0,IF(Planung!AV31="",$C31,IF(ISNUMBER(Planung!AV31),Planung!AV31,IF(UPPER(Planung!AV31)="H",$C31/2,0)))))))</f>
        <v>0</v>
      </c>
      <c r="AW31" s="27">
        <f>IF($A31="",0,IF(Mitarbeiter!$G$29=FALSE,0,IF(AND(Mitarbeiter!$E$29&lt;&gt;"",AW$5+6&lt;Mitarbeiter!$E$29),0,IF(AND(Mitarbeiter!$F$29&lt;&gt;"",AW$5&gt;Mitarbeiter!$F$29),0,IF(Planung!AW31="",$C31,IF(ISNUMBER(Planung!AW31),Planung!AW31,IF(UPPER(Planung!AW31)="H",$C31/2,0)))))))</f>
        <v>0</v>
      </c>
      <c r="AX31" s="27">
        <f>IF($A31="",0,IF(Mitarbeiter!$G$29=FALSE,0,IF(AND(Mitarbeiter!$E$29&lt;&gt;"",AX$5+6&lt;Mitarbeiter!$E$29),0,IF(AND(Mitarbeiter!$F$29&lt;&gt;"",AX$5&gt;Mitarbeiter!$F$29),0,IF(Planung!AX31="",$C31,IF(ISNUMBER(Planung!AX31),Planung!AX31,IF(UPPER(Planung!AX31)="H",$C31/2,0)))))))</f>
        <v>0</v>
      </c>
      <c r="AY31" s="27">
        <f>IF($A31="",0,IF(Mitarbeiter!$G$29=FALSE,0,IF(AND(Mitarbeiter!$E$29&lt;&gt;"",AY$5+6&lt;Mitarbeiter!$E$29),0,IF(AND(Mitarbeiter!$F$29&lt;&gt;"",AY$5&gt;Mitarbeiter!$F$29),0,IF(Planung!AY31="",$C31,IF(ISNUMBER(Planung!AY31),Planung!AY31,IF(UPPER(Planung!AY31)="H",$C31/2,0)))))))</f>
        <v>0</v>
      </c>
      <c r="AZ31" s="27">
        <f>IF($A31="",0,IF(Mitarbeiter!$G$29=FALSE,0,IF(AND(Mitarbeiter!$E$29&lt;&gt;"",AZ$5+6&lt;Mitarbeiter!$E$29),0,IF(AND(Mitarbeiter!$F$29&lt;&gt;"",AZ$5&gt;Mitarbeiter!$F$29),0,IF(Planung!AZ31="",$C31,IF(ISNUMBER(Planung!AZ31),Planung!AZ31,IF(UPPER(Planung!AZ31)="H",$C31/2,0)))))))</f>
        <v>0</v>
      </c>
      <c r="BA31" s="27">
        <f>IF($A31="",0,IF(Mitarbeiter!$G$29=FALSE,0,IF(AND(Mitarbeiter!$E$29&lt;&gt;"",BA$5+6&lt;Mitarbeiter!$E$29),0,IF(AND(Mitarbeiter!$F$29&lt;&gt;"",BA$5&gt;Mitarbeiter!$F$29),0,IF(Planung!BA31="",$C31,IF(ISNUMBER(Planung!BA31),Planung!BA31,IF(UPPER(Planung!BA31)="H",$C31/2,0)))))))</f>
        <v>0</v>
      </c>
      <c r="BB31" s="27">
        <f>IF($A31="",0,IF(Mitarbeiter!$G$29=FALSE,0,IF(AND(Mitarbeiter!$E$29&lt;&gt;"",BB$5+6&lt;Mitarbeiter!$E$29),0,IF(AND(Mitarbeiter!$F$29&lt;&gt;"",BB$5&gt;Mitarbeiter!$F$29),0,IF(Planung!BB31="",$C31,IF(ISNUMBER(Planung!BB31),Planung!BB31,IF(UPPER(Planung!BB31)="H",$C31/2,0)))))))</f>
        <v>0</v>
      </c>
      <c r="BC31" s="27">
        <f>IF($A31="",0,IF(Mitarbeiter!$G$29=FALSE,0,IF(AND(Mitarbeiter!$E$29&lt;&gt;"",BC$5+6&lt;Mitarbeiter!$E$29),0,IF(AND(Mitarbeiter!$F$29&lt;&gt;"",BC$5&gt;Mitarbeiter!$F$29),0,IF(Planung!BC31="",$C31,IF(ISNUMBER(Planung!BC31),Planung!BC31,IF(UPPER(Planung!BC31)="H",$C31/2,0)))))))</f>
        <v>0</v>
      </c>
      <c r="BD31" s="27">
        <f>IF($A31="",0,IF(Mitarbeiter!$G$29=FALSE,0,IF(AND(Mitarbeiter!$E$29&lt;&gt;"",BD$5+6&lt;Mitarbeiter!$E$29),0,IF(AND(Mitarbeiter!$F$29&lt;&gt;"",BD$5&gt;Mitarbeiter!$F$29),0,IF(Planung!BD31="",$C31,IF(ISNUMBER(Planung!BD31),Planung!BD31,IF(UPPER(Planung!BD31)="H",$C31/2,0)))))))</f>
        <v>0</v>
      </c>
      <c r="BE31" s="27">
        <f>IF($A31="",0,IF(Mitarbeiter!$G$29=FALSE,0,IF(AND(Mitarbeiter!$E$29&lt;&gt;"",BE$5+6&lt;Mitarbeiter!$E$29),0,IF(AND(Mitarbeiter!$F$29&lt;&gt;"",BE$5&gt;Mitarbeiter!$F$29),0,IF(Planung!BE31="",$C31,IF(ISNUMBER(Planung!BE31),Planung!BE31,IF(UPPER(Planung!BE31)="H",$C31/2,0)))))))</f>
        <v>0</v>
      </c>
      <c r="BF31" s="27">
        <f>IF($A31="",0,IF(Mitarbeiter!$G$29=FALSE,0,IF(AND(Mitarbeiter!$E$29&lt;&gt;"",BF$5+6&lt;Mitarbeiter!$E$29),0,IF(AND(Mitarbeiter!$F$29&lt;&gt;"",BF$5&gt;Mitarbeiter!$F$29),0,IF(Planung!BF31="",$C31,IF(ISNUMBER(Planung!BF31),Planung!BF31,IF(UPPER(Planung!BF31)="H",$C31/2,0)))))))</f>
        <v>0</v>
      </c>
      <c r="BG31" s="27">
        <f>IF($A31="",0,IF(Mitarbeiter!$G$29=FALSE,0,IF(AND(Mitarbeiter!$E$29&lt;&gt;"",BG$5+6&lt;Mitarbeiter!$E$29),0,IF(AND(Mitarbeiter!$F$29&lt;&gt;"",BG$5&gt;Mitarbeiter!$F$29),0,IF(Planung!BG31="",$C31,IF(ISNUMBER(Planung!BG31),Planung!BG31,IF(UPPER(Planung!BG31)="H",$C31/2,0)))))))</f>
        <v>0</v>
      </c>
      <c r="BH31" s="27">
        <f>IF($A31="",0,IF(Mitarbeiter!$G$29=FALSE,0,IF(AND(Mitarbeiter!$E$29&lt;&gt;"",BH$5+6&lt;Mitarbeiter!$E$29),0,IF(AND(Mitarbeiter!$F$29&lt;&gt;"",BH$5&gt;Mitarbeiter!$F$29),0,IF(Planung!BH31="",$C31,IF(ISNUMBER(Planung!BH31),Planung!BH31,IF(UPPER(Planung!BH31)="H",$C31/2,0)))))))</f>
        <v>0</v>
      </c>
      <c r="BI31" s="27">
        <f>IF($A31="",0,IF(Mitarbeiter!$G$29=FALSE,0,IF(AND(Mitarbeiter!$E$29&lt;&gt;"",BI$5+6&lt;Mitarbeiter!$E$29),0,IF(AND(Mitarbeiter!$F$29&lt;&gt;"",BI$5&gt;Mitarbeiter!$F$29),0,IF(Planung!BI31="",$C31,IF(ISNUMBER(Planung!BI31),Planung!BI31,IF(UPPER(Planung!BI31)="H",$C31/2,0)))))))</f>
        <v>0</v>
      </c>
      <c r="BJ31" s="27">
        <f>IF($A31="",0,IF(Mitarbeiter!$G$29=FALSE,0,IF(AND(Mitarbeiter!$E$29&lt;&gt;"",BJ$5+6&lt;Mitarbeiter!$E$29),0,IF(AND(Mitarbeiter!$F$29&lt;&gt;"",BJ$5&gt;Mitarbeiter!$F$29),0,IF(Planung!BJ31="",$C31,IF(ISNUMBER(Planung!BJ31),Planung!BJ31,IF(UPPER(Planung!BJ31)="H",$C31/2,0)))))))</f>
        <v>0</v>
      </c>
      <c r="BK31" s="27">
        <f>IF($A31="",0,IF(Mitarbeiter!$G$29=FALSE,0,IF(AND(Mitarbeiter!$E$29&lt;&gt;"",BK$5+6&lt;Mitarbeiter!$E$29),0,IF(AND(Mitarbeiter!$F$29&lt;&gt;"",BK$5&gt;Mitarbeiter!$F$29),0,IF(Planung!BK31="",$C31,IF(ISNUMBER(Planung!BK31),Planung!BK31,IF(UPPER(Planung!BK31)="H",$C31/2,0)))))))</f>
        <v>0</v>
      </c>
      <c r="BL31" s="27">
        <f>IF($A31="",0,IF(Mitarbeiter!$G$29=FALSE,0,IF(AND(Mitarbeiter!$E$29&lt;&gt;"",BL$5+6&lt;Mitarbeiter!$E$29),0,IF(AND(Mitarbeiter!$F$29&lt;&gt;"",BL$5&gt;Mitarbeiter!$F$29),0,IF(Planung!BL31="",$C31,IF(ISNUMBER(Planung!BL31),Planung!BL31,IF(UPPER(Planung!BL31)="H",$C31/2,0)))))))</f>
        <v>0</v>
      </c>
      <c r="BM31" s="27">
        <f>IF($A31="",0,IF(Mitarbeiter!$G$29=FALSE,0,IF(AND(Mitarbeiter!$E$29&lt;&gt;"",BM$5+6&lt;Mitarbeiter!$E$29),0,IF(AND(Mitarbeiter!$F$29&lt;&gt;"",BM$5&gt;Mitarbeiter!$F$29),0,IF(Planung!BM31="",$C31,IF(ISNUMBER(Planung!BM31),Planung!BM31,IF(UPPER(Planung!BM31)="H",$C31/2,0)))))))</f>
        <v>0</v>
      </c>
      <c r="BN31" s="27">
        <f>IF($A31="",0,IF(Mitarbeiter!$G$29=FALSE,0,IF(AND(Mitarbeiter!$E$29&lt;&gt;"",BN$5+6&lt;Mitarbeiter!$E$29),0,IF(AND(Mitarbeiter!$F$29&lt;&gt;"",BN$5&gt;Mitarbeiter!$F$29),0,IF(Planung!BN31="",$C31,IF(ISNUMBER(Planung!BN31),Planung!BN31,IF(UPPER(Planung!BN31)="H",$C31/2,0)))))))</f>
        <v>0</v>
      </c>
      <c r="BO31" s="27">
        <f>IF($A31="",0,IF(Mitarbeiter!$G$29=FALSE,0,IF(AND(Mitarbeiter!$E$29&lt;&gt;"",BO$5+6&lt;Mitarbeiter!$E$29),0,IF(AND(Mitarbeiter!$F$29&lt;&gt;"",BO$5&gt;Mitarbeiter!$F$29),0,IF(Planung!BO31="",$C31,IF(ISNUMBER(Planung!BO31),Planung!BO31,IF(UPPER(Planung!BO31)="H",$C31/2,0)))))))</f>
        <v>0</v>
      </c>
      <c r="BP31" s="27">
        <f>IF($A31="",0,IF(Mitarbeiter!$G$29=FALSE,0,IF(AND(Mitarbeiter!$E$29&lt;&gt;"",BP$5+6&lt;Mitarbeiter!$E$29),0,IF(AND(Mitarbeiter!$F$29&lt;&gt;"",BP$5&gt;Mitarbeiter!$F$29),0,IF(Planung!BP31="",$C31,IF(ISNUMBER(Planung!BP31),Planung!BP31,IF(UPPER(Planung!BP31)="H",$C31/2,0)))))))</f>
        <v>0</v>
      </c>
      <c r="BQ31" s="27">
        <f>IF($A31="",0,IF(Mitarbeiter!$G$29=FALSE,0,IF(AND(Mitarbeiter!$E$29&lt;&gt;"",BQ$5+6&lt;Mitarbeiter!$E$29),0,IF(AND(Mitarbeiter!$F$29&lt;&gt;"",BQ$5&gt;Mitarbeiter!$F$29),0,IF(Planung!BQ31="",$C31,IF(ISNUMBER(Planung!BQ31),Planung!BQ31,IF(UPPER(Planung!BQ31)="H",$C31/2,0)))))))</f>
        <v>0</v>
      </c>
      <c r="BR31" s="27">
        <f>IF($A31="",0,IF(Mitarbeiter!$G$29=FALSE,0,IF(AND(Mitarbeiter!$E$29&lt;&gt;"",BR$5+6&lt;Mitarbeiter!$E$29),0,IF(AND(Mitarbeiter!$F$29&lt;&gt;"",BR$5&gt;Mitarbeiter!$F$29),0,IF(Planung!BR31="",$C31,IF(ISNUMBER(Planung!BR31),Planung!BR31,IF(UPPER(Planung!BR31)="H",$C31/2,0)))))))</f>
        <v>0</v>
      </c>
      <c r="BS31" s="27">
        <f>IF($A31="",0,IF(Mitarbeiter!$G$29=FALSE,0,IF(AND(Mitarbeiter!$E$29&lt;&gt;"",BS$5+6&lt;Mitarbeiter!$E$29),0,IF(AND(Mitarbeiter!$F$29&lt;&gt;"",BS$5&gt;Mitarbeiter!$F$29),0,IF(Planung!BS31="",$C31,IF(ISNUMBER(Planung!BS31),Planung!BS31,IF(UPPER(Planung!BS31)="H",$C31/2,0)))))))</f>
        <v>0</v>
      </c>
      <c r="BT31" s="27">
        <f>IF($A31="",0,IF(Mitarbeiter!$G$29=FALSE,0,IF(AND(Mitarbeiter!$E$29&lt;&gt;"",BT$5+6&lt;Mitarbeiter!$E$29),0,IF(AND(Mitarbeiter!$F$29&lt;&gt;"",BT$5&gt;Mitarbeiter!$F$29),0,IF(Planung!BT31="",$C31,IF(ISNUMBER(Planung!BT31),Planung!BT31,IF(UPPER(Planung!BT31)="H",$C31/2,0)))))))</f>
        <v>0</v>
      </c>
      <c r="BU31" s="27">
        <f>IF($A31="",0,IF(Mitarbeiter!$G$29=FALSE,0,IF(AND(Mitarbeiter!$E$29&lt;&gt;"",BU$5+6&lt;Mitarbeiter!$E$29),0,IF(AND(Mitarbeiter!$F$29&lt;&gt;"",BU$5&gt;Mitarbeiter!$F$29),0,IF(Planung!BU31="",$C31,IF(ISNUMBER(Planung!BU31),Planung!BU31,IF(UPPER(Planung!BU31)="H",$C31/2,0)))))))</f>
        <v>0</v>
      </c>
      <c r="BV31" s="27">
        <f>IF($A31="",0,IF(Mitarbeiter!$G$29=FALSE,0,IF(AND(Mitarbeiter!$E$29&lt;&gt;"",BV$5+6&lt;Mitarbeiter!$E$29),0,IF(AND(Mitarbeiter!$F$29&lt;&gt;"",BV$5&gt;Mitarbeiter!$F$29),0,IF(Planung!BV31="",$C31,IF(ISNUMBER(Planung!BV31),Planung!BV31,IF(UPPER(Planung!BV31)="H",$C31/2,0)))))))</f>
        <v>0</v>
      </c>
      <c r="BW31" s="27">
        <f>IF($A31="",0,IF(Mitarbeiter!$G$29=FALSE,0,IF(AND(Mitarbeiter!$E$29&lt;&gt;"",BW$5+6&lt;Mitarbeiter!$E$29),0,IF(AND(Mitarbeiter!$F$29&lt;&gt;"",BW$5&gt;Mitarbeiter!$F$29),0,IF(Planung!BW31="",$C31,IF(ISNUMBER(Planung!BW31),Planung!BW31,IF(UPPER(Planung!BW31)="H",$C31/2,0)))))))</f>
        <v>0</v>
      </c>
      <c r="BX31" s="27">
        <f>IF($A31="",0,IF(Mitarbeiter!$G$29=FALSE,0,IF(AND(Mitarbeiter!$E$29&lt;&gt;"",BX$5+6&lt;Mitarbeiter!$E$29),0,IF(AND(Mitarbeiter!$F$29&lt;&gt;"",BX$5&gt;Mitarbeiter!$F$29),0,IF(Planung!BX31="",$C31,IF(ISNUMBER(Planung!BX31),Planung!BX31,IF(UPPER(Planung!BX31)="H",$C31/2,0)))))))</f>
        <v>0</v>
      </c>
      <c r="BY31" s="27">
        <f>IF($A31="",0,IF(Mitarbeiter!$G$29=FALSE,0,IF(AND(Mitarbeiter!$E$29&lt;&gt;"",BY$5+6&lt;Mitarbeiter!$E$29),0,IF(AND(Mitarbeiter!$F$29&lt;&gt;"",BY$5&gt;Mitarbeiter!$F$29),0,IF(Planung!BY31="",$C31,IF(ISNUMBER(Planung!BY31),Planung!BY31,IF(UPPER(Planung!BY31)="H",$C31/2,0)))))))</f>
        <v>0</v>
      </c>
      <c r="BZ31" s="27">
        <f>IF($A31="",0,IF(Mitarbeiter!$G$29=FALSE,0,IF(AND(Mitarbeiter!$E$29&lt;&gt;"",BZ$5+6&lt;Mitarbeiter!$E$29),0,IF(AND(Mitarbeiter!$F$29&lt;&gt;"",BZ$5&gt;Mitarbeiter!$F$29),0,IF(Planung!BZ31="",$C31,IF(ISNUMBER(Planung!BZ31),Planung!BZ31,IF(UPPER(Planung!BZ31)="H",$C31/2,0)))))))</f>
        <v>0</v>
      </c>
      <c r="CA31" s="27">
        <f>IF($A31="",0,IF(Mitarbeiter!$G$29=FALSE,0,IF(AND(Mitarbeiter!$E$29&lt;&gt;"",CA$5+6&lt;Mitarbeiter!$E$29),0,IF(AND(Mitarbeiter!$F$29&lt;&gt;"",CA$5&gt;Mitarbeiter!$F$29),0,IF(Planung!CA31="",$C31,IF(ISNUMBER(Planung!CA31),Planung!CA31,IF(UPPER(Planung!CA31)="H",$C31/2,0)))))))</f>
        <v>0</v>
      </c>
      <c r="CB31" s="27">
        <f>IF($A31="",0,IF(Mitarbeiter!$G$29=FALSE,0,IF(AND(Mitarbeiter!$E$29&lt;&gt;"",CB$5+6&lt;Mitarbeiter!$E$29),0,IF(AND(Mitarbeiter!$F$29&lt;&gt;"",CB$5&gt;Mitarbeiter!$F$29),0,IF(Planung!CB31="",$C31,IF(ISNUMBER(Planung!CB31),Planung!CB31,IF(UPPER(Planung!CB31)="H",$C31/2,0)))))))</f>
        <v>0</v>
      </c>
      <c r="CC31" s="27">
        <f>IF($A31="",0,IF(Mitarbeiter!$G$29=FALSE,0,IF(AND(Mitarbeiter!$E$29&lt;&gt;"",CC$5+6&lt;Mitarbeiter!$E$29),0,IF(AND(Mitarbeiter!$F$29&lt;&gt;"",CC$5&gt;Mitarbeiter!$F$29),0,IF(Planung!CC31="",$C31,IF(ISNUMBER(Planung!CC31),Planung!CC31,IF(UPPER(Planung!CC31)="H",$C31/2,0)))))))</f>
        <v>0</v>
      </c>
      <c r="CD31" s="27">
        <f>IF($A31="",0,IF(Mitarbeiter!$G$29=FALSE,0,IF(AND(Mitarbeiter!$E$29&lt;&gt;"",CD$5+6&lt;Mitarbeiter!$E$29),0,IF(AND(Mitarbeiter!$F$29&lt;&gt;"",CD$5&gt;Mitarbeiter!$F$29),0,IF(Planung!CD31="",$C31,IF(ISNUMBER(Planung!CD31),Planung!CD31,IF(UPPER(Planung!CD31)="H",$C31/2,0)))))))</f>
        <v>0</v>
      </c>
      <c r="CE31" s="27">
        <f>IF($A31="",0,IF(Mitarbeiter!$G$29=FALSE,0,IF(AND(Mitarbeiter!$E$29&lt;&gt;"",CE$5+6&lt;Mitarbeiter!$E$29),0,IF(AND(Mitarbeiter!$F$29&lt;&gt;"",CE$5&gt;Mitarbeiter!$F$29),0,IF(Planung!CE31="",$C31,IF(ISNUMBER(Planung!CE31),Planung!CE31,IF(UPPER(Planung!CE31)="H",$C31/2,0)))))))</f>
        <v>0</v>
      </c>
      <c r="CF31" s="27">
        <f>IF($A31="",0,IF(Mitarbeiter!$G$29=FALSE,0,IF(AND(Mitarbeiter!$E$29&lt;&gt;"",CF$5+6&lt;Mitarbeiter!$E$29),0,IF(AND(Mitarbeiter!$F$29&lt;&gt;"",CF$5&gt;Mitarbeiter!$F$29),0,IF(Planung!CF31="",$C31,IF(ISNUMBER(Planung!CF31),Planung!CF31,IF(UPPER(Planung!CF31)="H",$C31/2,0)))))))</f>
        <v>0</v>
      </c>
      <c r="CG31" s="27">
        <f>IF($A31="",0,IF(Mitarbeiter!$G$29=FALSE,0,IF(AND(Mitarbeiter!$E$29&lt;&gt;"",CG$5+6&lt;Mitarbeiter!$E$29),0,IF(AND(Mitarbeiter!$F$29&lt;&gt;"",CG$5&gt;Mitarbeiter!$F$29),0,IF(Planung!CG31="",$C31,IF(ISNUMBER(Planung!CG31),Planung!CG31,IF(UPPER(Planung!CG31)="H",$C31/2,0)))))))</f>
        <v>0</v>
      </c>
      <c r="CH31" s="27">
        <f>IF($A31="",0,IF(Mitarbeiter!$G$29=FALSE,0,IF(AND(Mitarbeiter!$E$29&lt;&gt;"",CH$5+6&lt;Mitarbeiter!$E$29),0,IF(AND(Mitarbeiter!$F$29&lt;&gt;"",CH$5&gt;Mitarbeiter!$F$29),0,IF(Planung!CH31="",$C31,IF(ISNUMBER(Planung!CH31),Planung!CH31,IF(UPPER(Planung!CH31)="H",$C31/2,0)))))))</f>
        <v>0</v>
      </c>
      <c r="CI31" s="27">
        <f>IF($A31="",0,IF(Mitarbeiter!$G$29=FALSE,0,IF(AND(Mitarbeiter!$E$29&lt;&gt;"",CI$5+6&lt;Mitarbeiter!$E$29),0,IF(AND(Mitarbeiter!$F$29&lt;&gt;"",CI$5&gt;Mitarbeiter!$F$29),0,IF(Planung!CI31="",$C31,IF(ISNUMBER(Planung!CI31),Planung!CI31,IF(UPPER(Planung!CI31)="H",$C31/2,0)))))))</f>
        <v>0</v>
      </c>
      <c r="CJ31" s="27">
        <f>IF($A31="",0,IF(Mitarbeiter!$G$29=FALSE,0,IF(AND(Mitarbeiter!$E$29&lt;&gt;"",CJ$5+6&lt;Mitarbeiter!$E$29),0,IF(AND(Mitarbeiter!$F$29&lt;&gt;"",CJ$5&gt;Mitarbeiter!$F$29),0,IF(Planung!CJ31="",$C31,IF(ISNUMBER(Planung!CJ31),Planung!CJ31,IF(UPPER(Planung!CJ31)="H",$C31/2,0)))))))</f>
        <v>0</v>
      </c>
      <c r="CK31" s="27">
        <f>IF($A31="",0,IF(Mitarbeiter!$G$29=FALSE,0,IF(AND(Mitarbeiter!$E$29&lt;&gt;"",CK$5+6&lt;Mitarbeiter!$E$29),0,IF(AND(Mitarbeiter!$F$29&lt;&gt;"",CK$5&gt;Mitarbeiter!$F$29),0,IF(Planung!CK31="",$C31,IF(ISNUMBER(Planung!CK31),Planung!CK31,IF(UPPER(Planung!CK31)="H",$C31/2,0)))))))</f>
        <v>0</v>
      </c>
      <c r="CL31" s="27">
        <f>IF($A31="",0,IF(Mitarbeiter!$G$29=FALSE,0,IF(AND(Mitarbeiter!$E$29&lt;&gt;"",CL$5+6&lt;Mitarbeiter!$E$29),0,IF(AND(Mitarbeiter!$F$29&lt;&gt;"",CL$5&gt;Mitarbeiter!$F$29),0,IF(Planung!CL31="",$C31,IF(ISNUMBER(Planung!CL31),Planung!CL31,IF(UPPER(Planung!CL31)="H",$C31/2,0)))))))</f>
        <v>0</v>
      </c>
      <c r="CM31" s="27">
        <f>IF($A31="",0,IF(Mitarbeiter!$G$29=FALSE,0,IF(AND(Mitarbeiter!$E$29&lt;&gt;"",CM$5+6&lt;Mitarbeiter!$E$29),0,IF(AND(Mitarbeiter!$F$29&lt;&gt;"",CM$5&gt;Mitarbeiter!$F$29),0,IF(Planung!CM31="",$C31,IF(ISNUMBER(Planung!CM31),Planung!CM31,IF(UPPER(Planung!CM31)="H",$C31/2,0)))))))</f>
        <v>0</v>
      </c>
      <c r="CN31" s="27">
        <f>IF($A31="",0,IF(Mitarbeiter!$G$29=FALSE,0,IF(AND(Mitarbeiter!$E$29&lt;&gt;"",CN$5+6&lt;Mitarbeiter!$E$29),0,IF(AND(Mitarbeiter!$F$29&lt;&gt;"",CN$5&gt;Mitarbeiter!$F$29),0,IF(Planung!CN31="",$C31,IF(ISNUMBER(Planung!CN31),Planung!CN31,IF(UPPER(Planung!CN31)="H",$C31/2,0)))))))</f>
        <v>0</v>
      </c>
      <c r="CO31" s="27">
        <f>IF($A31="",0,IF(Mitarbeiter!$G$29=FALSE,0,IF(AND(Mitarbeiter!$E$29&lt;&gt;"",CO$5+6&lt;Mitarbeiter!$E$29),0,IF(AND(Mitarbeiter!$F$29&lt;&gt;"",CO$5&gt;Mitarbeiter!$F$29),0,IF(Planung!CO31="",$C31,IF(ISNUMBER(Planung!CO31),Planung!CO31,IF(UPPER(Planung!CO31)="H",$C31/2,0)))))))</f>
        <v>0</v>
      </c>
      <c r="CP31" s="27">
        <f>IF($A31="",0,IF(Mitarbeiter!$G$29=FALSE,0,IF(AND(Mitarbeiter!$E$29&lt;&gt;"",CP$5+6&lt;Mitarbeiter!$E$29),0,IF(AND(Mitarbeiter!$F$29&lt;&gt;"",CP$5&gt;Mitarbeiter!$F$29),0,IF(Planung!CP31="",$C31,IF(ISNUMBER(Planung!CP31),Planung!CP31,IF(UPPER(Planung!CP31)="H",$C31/2,0)))))))</f>
        <v>0</v>
      </c>
      <c r="CQ31" s="27">
        <f>IF($A31="",0,IF(Mitarbeiter!$G$29=FALSE,0,IF(AND(Mitarbeiter!$E$29&lt;&gt;"",CQ$5+6&lt;Mitarbeiter!$E$29),0,IF(AND(Mitarbeiter!$F$29&lt;&gt;"",CQ$5&gt;Mitarbeiter!$F$29),0,IF(Planung!CQ31="",$C31,IF(ISNUMBER(Planung!CQ31),Planung!CQ31,IF(UPPER(Planung!CQ31)="H",$C31/2,0)))))))</f>
        <v>0</v>
      </c>
      <c r="CR31" s="27">
        <f>IF($A31="",0,IF(Mitarbeiter!$G$29=FALSE,0,IF(AND(Mitarbeiter!$E$29&lt;&gt;"",CR$5+6&lt;Mitarbeiter!$E$29),0,IF(AND(Mitarbeiter!$F$29&lt;&gt;"",CR$5&gt;Mitarbeiter!$F$29),0,IF(Planung!CR31="",$C31,IF(ISNUMBER(Planung!CR31),Planung!CR31,IF(UPPER(Planung!CR31)="H",$C31/2,0)))))))</f>
        <v>0</v>
      </c>
      <c r="CS31" s="27">
        <f>IF($A31="",0,IF(Mitarbeiter!$G$29=FALSE,0,IF(AND(Mitarbeiter!$E$29&lt;&gt;"",CS$5+6&lt;Mitarbeiter!$E$29),0,IF(AND(Mitarbeiter!$F$29&lt;&gt;"",CS$5&gt;Mitarbeiter!$F$29),0,IF(Planung!CS31="",$C31,IF(ISNUMBER(Planung!CS31),Planung!CS31,IF(UPPER(Planung!CS31)="H",$C31/2,0)))))))</f>
        <v>0</v>
      </c>
      <c r="CT31" s="27">
        <f>IF($A31="",0,IF(Mitarbeiter!$G$29=FALSE,0,IF(AND(Mitarbeiter!$E$29&lt;&gt;"",CT$5+6&lt;Mitarbeiter!$E$29),0,IF(AND(Mitarbeiter!$F$29&lt;&gt;"",CT$5&gt;Mitarbeiter!$F$29),0,IF(Planung!CT31="",$C31,IF(ISNUMBER(Planung!CT31),Planung!CT31,IF(UPPER(Planung!CT31)="H",$C31/2,0)))))))</f>
        <v>0</v>
      </c>
      <c r="CU31" s="27">
        <f>IF($A31="",0,IF(Mitarbeiter!$G$29=FALSE,0,IF(AND(Mitarbeiter!$E$29&lt;&gt;"",CU$5+6&lt;Mitarbeiter!$E$29),0,IF(AND(Mitarbeiter!$F$29&lt;&gt;"",CU$5&gt;Mitarbeiter!$F$29),0,IF(Planung!CU31="",$C31,IF(ISNUMBER(Planung!CU31),Planung!CU31,IF(UPPER(Planung!CU31)="H",$C31/2,0)))))))</f>
        <v>0</v>
      </c>
      <c r="CV31" s="27">
        <f>IF($A31="",0,IF(Mitarbeiter!$G$29=FALSE,0,IF(AND(Mitarbeiter!$E$29&lt;&gt;"",CV$5+6&lt;Mitarbeiter!$E$29),0,IF(AND(Mitarbeiter!$F$29&lt;&gt;"",CV$5&gt;Mitarbeiter!$F$29),0,IF(Planung!CV31="",$C31,IF(ISNUMBER(Planung!CV31),Planung!CV31,IF(UPPER(Planung!CV31)="H",$C31/2,0)))))))</f>
        <v>0</v>
      </c>
      <c r="CW31" s="27">
        <f>IF($A31="",0,IF(Mitarbeiter!$G$29=FALSE,0,IF(AND(Mitarbeiter!$E$29&lt;&gt;"",CW$5+6&lt;Mitarbeiter!$E$29),0,IF(AND(Mitarbeiter!$F$29&lt;&gt;"",CW$5&gt;Mitarbeiter!$F$29),0,IF(Planung!CW31="",$C31,IF(ISNUMBER(Planung!CW31),Planung!CW31,IF(UPPER(Planung!CW31)="H",$C31/2,0)))))))</f>
        <v>0</v>
      </c>
      <c r="CX31" s="27">
        <f>IF($A31="",0,IF(Mitarbeiter!$G$29=FALSE,0,IF(AND(Mitarbeiter!$E$29&lt;&gt;"",CX$5+6&lt;Mitarbeiter!$E$29),0,IF(AND(Mitarbeiter!$F$29&lt;&gt;"",CX$5&gt;Mitarbeiter!$F$29),0,IF(Planung!CX31="",$C31,IF(ISNUMBER(Planung!CX31),Planung!CX31,IF(UPPER(Planung!CX31)="H",$C31/2,0)))))))</f>
        <v>0</v>
      </c>
      <c r="CY31" s="27">
        <f>IF($A31="",0,IF(Mitarbeiter!$G$29=FALSE,0,IF(AND(Mitarbeiter!$E$29&lt;&gt;"",CY$5+6&lt;Mitarbeiter!$E$29),0,IF(AND(Mitarbeiter!$F$29&lt;&gt;"",CY$5&gt;Mitarbeiter!$F$29),0,IF(Planung!CY31="",$C31,IF(ISNUMBER(Planung!CY31),Planung!CY31,IF(UPPER(Planung!CY31)="H",$C31/2,0)))))))</f>
        <v>0</v>
      </c>
      <c r="CZ31" s="27">
        <f>IF($A31="",0,IF(Mitarbeiter!$G$29=FALSE,0,IF(AND(Mitarbeiter!$E$29&lt;&gt;"",CZ$5+6&lt;Mitarbeiter!$E$29),0,IF(AND(Mitarbeiter!$F$29&lt;&gt;"",CZ$5&gt;Mitarbeiter!$F$29),0,IF(Planung!CZ31="",$C31,IF(ISNUMBER(Planung!CZ31),Planung!CZ31,IF(UPPER(Planung!CZ31)="H",$C31/2,0)))))))</f>
        <v>0</v>
      </c>
      <c r="DA31" s="27">
        <f>IF($A31="",0,IF(Mitarbeiter!$G$29=FALSE,0,IF(AND(Mitarbeiter!$E$29&lt;&gt;"",DA$5+6&lt;Mitarbeiter!$E$29),0,IF(AND(Mitarbeiter!$F$29&lt;&gt;"",DA$5&gt;Mitarbeiter!$F$29),0,IF(Planung!DA31="",$C31,IF(ISNUMBER(Planung!DA31),Planung!DA31,IF(UPPER(Planung!DA31)="H",$C31/2,0)))))))</f>
        <v>0</v>
      </c>
      <c r="DB31" s="27">
        <f>IF($A31="",0,IF(Mitarbeiter!$G$29=FALSE,0,IF(AND(Mitarbeiter!$E$29&lt;&gt;"",DB$5+6&lt;Mitarbeiter!$E$29),0,IF(AND(Mitarbeiter!$F$29&lt;&gt;"",DB$5&gt;Mitarbeiter!$F$29),0,IF(Planung!DB31="",$C31,IF(ISNUMBER(Planung!DB31),Planung!DB31,IF(UPPER(Planung!DB31)="H",$C31/2,0)))))))</f>
        <v>0</v>
      </c>
      <c r="DC31" s="27">
        <f>IF($A31="",0,IF(Mitarbeiter!$G$29=FALSE,0,IF(AND(Mitarbeiter!$E$29&lt;&gt;"",DC$5+6&lt;Mitarbeiter!$E$29),0,IF(AND(Mitarbeiter!$F$29&lt;&gt;"",DC$5&gt;Mitarbeiter!$F$29),0,IF(Planung!DC31="",$C31,IF(ISNUMBER(Planung!DC31),Planung!DC31,IF(UPPER(Planung!DC31)="H",$C31/2,0)))))))</f>
        <v>0</v>
      </c>
      <c r="DD31" s="27">
        <f>IF($A31="",0,IF(Mitarbeiter!$G$29=FALSE,0,IF(AND(Mitarbeiter!$E$29&lt;&gt;"",DD$5+6&lt;Mitarbeiter!$E$29),0,IF(AND(Mitarbeiter!$F$29&lt;&gt;"",DD$5&gt;Mitarbeiter!$F$29),0,IF(Planung!DD31="",$C31,IF(ISNUMBER(Planung!DD31),Planung!DD31,IF(UPPER(Planung!DD31)="H",$C31/2,0)))))))</f>
        <v>0</v>
      </c>
      <c r="DE31" s="27">
        <f>IF($A31="",0,IF(Mitarbeiter!$G$29=FALSE,0,IF(AND(Mitarbeiter!$E$29&lt;&gt;"",DE$5+6&lt;Mitarbeiter!$E$29),0,IF(AND(Mitarbeiter!$F$29&lt;&gt;"",DE$5&gt;Mitarbeiter!$F$29),0,IF(Planung!DE31="",$C31,IF(ISNUMBER(Planung!DE31),Planung!DE31,IF(UPPER(Planung!DE31)="H",$C31/2,0)))))))</f>
        <v>0</v>
      </c>
      <c r="DF31" s="27">
        <f>IF($A31="",0,IF(Mitarbeiter!$G$29=FALSE,0,IF(AND(Mitarbeiter!$E$29&lt;&gt;"",DF$5+6&lt;Mitarbeiter!$E$29),0,IF(AND(Mitarbeiter!$F$29&lt;&gt;"",DF$5&gt;Mitarbeiter!$F$29),0,IF(Planung!DF31="",$C31,IF(ISNUMBER(Planung!DF31),Planung!DF31,IF(UPPER(Planung!DF31)="H",$C31/2,0)))))))</f>
        <v>0</v>
      </c>
      <c r="DG31" s="27">
        <f>IF($A31="",0,IF(Mitarbeiter!$G$29=FALSE,0,IF(AND(Mitarbeiter!$E$29&lt;&gt;"",DG$5+6&lt;Mitarbeiter!$E$29),0,IF(AND(Mitarbeiter!$F$29&lt;&gt;"",DG$5&gt;Mitarbeiter!$F$29),0,IF(Planung!DG31="",$C31,IF(ISNUMBER(Planung!DG31),Planung!DG31,IF(UPPER(Planung!DG31)="H",$C31/2,0)))))))</f>
        <v>0</v>
      </c>
      <c r="DH31" s="27">
        <f>IF($A31="",0,IF(Mitarbeiter!$G$29=FALSE,0,IF(AND(Mitarbeiter!$E$29&lt;&gt;"",DH$5+6&lt;Mitarbeiter!$E$29),0,IF(AND(Mitarbeiter!$F$29&lt;&gt;"",DH$5&gt;Mitarbeiter!$F$29),0,IF(Planung!DH31="",$C31,IF(ISNUMBER(Planung!DH31),Planung!DH31,IF(UPPER(Planung!DH31)="H",$C31/2,0)))))))</f>
        <v>0</v>
      </c>
      <c r="DI31" s="27">
        <f>IF($A31="",0,IF(Mitarbeiter!$G$29=FALSE,0,IF(AND(Mitarbeiter!$E$29&lt;&gt;"",DI$5+6&lt;Mitarbeiter!$E$29),0,IF(AND(Mitarbeiter!$F$29&lt;&gt;"",DI$5&gt;Mitarbeiter!$F$29),0,IF(Planung!DI31="",$C31,IF(ISNUMBER(Planung!DI31),Planung!DI31,IF(UPPER(Planung!DI31)="H",$C31/2,0)))))))</f>
        <v>0</v>
      </c>
      <c r="DJ31" s="27">
        <f>IF($A31="",0,IF(Mitarbeiter!$G$29=FALSE,0,IF(AND(Mitarbeiter!$E$29&lt;&gt;"",DJ$5+6&lt;Mitarbeiter!$E$29),0,IF(AND(Mitarbeiter!$F$29&lt;&gt;"",DJ$5&gt;Mitarbeiter!$F$29),0,IF(Planung!DJ31="",$C31,IF(ISNUMBER(Planung!DJ31),Planung!DJ31,IF(UPPER(Planung!DJ31)="H",$C31/2,0)))))))</f>
        <v>0</v>
      </c>
      <c r="DK31" s="27">
        <f>IF($A31="",0,IF(Mitarbeiter!$G$29=FALSE,0,IF(AND(Mitarbeiter!$E$29&lt;&gt;"",DK$5+6&lt;Mitarbeiter!$E$29),0,IF(AND(Mitarbeiter!$F$29&lt;&gt;"",DK$5&gt;Mitarbeiter!$F$29),0,IF(Planung!DK31="",$C31,IF(ISNUMBER(Planung!DK31),Planung!DK31,IF(UPPER(Planung!DK31)="H",$C31/2,0)))))))</f>
        <v>0</v>
      </c>
      <c r="DL31" s="27">
        <f>IF($A31="",0,IF(Mitarbeiter!$G$29=FALSE,0,IF(AND(Mitarbeiter!$E$29&lt;&gt;"",DL$5+6&lt;Mitarbeiter!$E$29),0,IF(AND(Mitarbeiter!$F$29&lt;&gt;"",DL$5&gt;Mitarbeiter!$F$29),0,IF(Planung!DL31="",$C31,IF(ISNUMBER(Planung!DL31),Planung!DL31,IF(UPPER(Planung!DL31)="H",$C31/2,0)))))))</f>
        <v>0</v>
      </c>
      <c r="DM31" s="27">
        <f>IF($A31="",0,IF(Mitarbeiter!$G$29=FALSE,0,IF(AND(Mitarbeiter!$E$29&lt;&gt;"",DM$5+6&lt;Mitarbeiter!$E$29),0,IF(AND(Mitarbeiter!$F$29&lt;&gt;"",DM$5&gt;Mitarbeiter!$F$29),0,IF(Planung!DM31="",$C31,IF(ISNUMBER(Planung!DM31),Planung!DM31,IF(UPPER(Planung!DM31)="H",$C31/2,0)))))))</f>
        <v>0</v>
      </c>
      <c r="DN31" s="27">
        <f>IF($A31="",0,IF(Mitarbeiter!$G$29=FALSE,0,IF(AND(Mitarbeiter!$E$29&lt;&gt;"",DN$5+6&lt;Mitarbeiter!$E$29),0,IF(AND(Mitarbeiter!$F$29&lt;&gt;"",DN$5&gt;Mitarbeiter!$F$29),0,IF(Planung!DN31="",$C31,IF(ISNUMBER(Planung!DN31),Planung!DN31,IF(UPPER(Planung!DN31)="H",$C31/2,0)))))))</f>
        <v>0</v>
      </c>
      <c r="DO31" s="27">
        <f>IF($A31="",0,IF(Mitarbeiter!$G$29=FALSE,0,IF(AND(Mitarbeiter!$E$29&lt;&gt;"",DO$5+6&lt;Mitarbeiter!$E$29),0,IF(AND(Mitarbeiter!$F$29&lt;&gt;"",DO$5&gt;Mitarbeiter!$F$29),0,IF(Planung!DO31="",$C31,IF(ISNUMBER(Planung!DO31),Planung!DO31,IF(UPPER(Planung!DO31)="H",$C31/2,0)))))))</f>
        <v>0</v>
      </c>
      <c r="DP31" s="27">
        <f>IF($A31="",0,IF(Mitarbeiter!$G$29=FALSE,0,IF(AND(Mitarbeiter!$E$29&lt;&gt;"",DP$5+6&lt;Mitarbeiter!$E$29),0,IF(AND(Mitarbeiter!$F$29&lt;&gt;"",DP$5&gt;Mitarbeiter!$F$29),0,IF(Planung!DP31="",$C31,IF(ISNUMBER(Planung!DP31),Planung!DP31,IF(UPPER(Planung!DP31)="H",$C31/2,0)))))))</f>
        <v>0</v>
      </c>
      <c r="DQ31" s="27">
        <f>IF($A31="",0,IF(Mitarbeiter!$G$29=FALSE,0,IF(AND(Mitarbeiter!$E$29&lt;&gt;"",DQ$5+6&lt;Mitarbeiter!$E$29),0,IF(AND(Mitarbeiter!$F$29&lt;&gt;"",DQ$5&gt;Mitarbeiter!$F$29),0,IF(Planung!DQ31="",$C31,IF(ISNUMBER(Planung!DQ31),Planung!DQ31,IF(UPPER(Planung!DQ31)="H",$C31/2,0)))))))</f>
        <v>0</v>
      </c>
      <c r="DR31" s="27">
        <f>IF($A31="",0,IF(Mitarbeiter!$G$29=FALSE,0,IF(AND(Mitarbeiter!$E$29&lt;&gt;"",DR$5+6&lt;Mitarbeiter!$E$29),0,IF(AND(Mitarbeiter!$F$29&lt;&gt;"",DR$5&gt;Mitarbeiter!$F$29),0,IF(Planung!DR31="",$C31,IF(ISNUMBER(Planung!DR31),Planung!DR31,IF(UPPER(Planung!DR31)="H",$C31/2,0)))))))</f>
        <v>0</v>
      </c>
      <c r="DS31" s="27">
        <f>IF($A31="",0,IF(Mitarbeiter!$G$29=FALSE,0,IF(AND(Mitarbeiter!$E$29&lt;&gt;"",DS$5+6&lt;Mitarbeiter!$E$29),0,IF(AND(Mitarbeiter!$F$29&lt;&gt;"",DS$5&gt;Mitarbeiter!$F$29),0,IF(Planung!DS31="",$C31,IF(ISNUMBER(Planung!DS31),Planung!DS31,IF(UPPER(Planung!DS31)="H",$C31/2,0)))))))</f>
        <v>0</v>
      </c>
      <c r="DT31" s="27">
        <f>IF($A31="",0,IF(Mitarbeiter!$G$29=FALSE,0,IF(AND(Mitarbeiter!$E$29&lt;&gt;"",DT$5+6&lt;Mitarbeiter!$E$29),0,IF(AND(Mitarbeiter!$F$29&lt;&gt;"",DT$5&gt;Mitarbeiter!$F$29),0,IF(Planung!DT31="",$C31,IF(ISNUMBER(Planung!DT31),Planung!DT31,IF(UPPER(Planung!DT31)="H",$C31/2,0)))))))</f>
        <v>0</v>
      </c>
      <c r="DU31" s="27">
        <f>IF($A31="",0,IF(Mitarbeiter!$G$29=FALSE,0,IF(AND(Mitarbeiter!$E$29&lt;&gt;"",DU$5+6&lt;Mitarbeiter!$E$29),0,IF(AND(Mitarbeiter!$F$29&lt;&gt;"",DU$5&gt;Mitarbeiter!$F$29),0,IF(Planung!DU31="",$C31,IF(ISNUMBER(Planung!DU31),Planung!DU31,IF(UPPER(Planung!DU31)="H",$C31/2,0)))))))</f>
        <v>0</v>
      </c>
      <c r="DV31" s="27">
        <f>IF($A31="",0,IF(Mitarbeiter!$G$29=FALSE,0,IF(AND(Mitarbeiter!$E$29&lt;&gt;"",DV$5+6&lt;Mitarbeiter!$E$29),0,IF(AND(Mitarbeiter!$F$29&lt;&gt;"",DV$5&gt;Mitarbeiter!$F$29),0,IF(Planung!DV31="",$C31,IF(ISNUMBER(Planung!DV31),Planung!DV31,IF(UPPER(Planung!DV31)="H",$C31/2,0)))))))</f>
        <v>0</v>
      </c>
      <c r="DW31" s="27">
        <f>IF($A31="",0,IF(Mitarbeiter!$G$29=FALSE,0,IF(AND(Mitarbeiter!$E$29&lt;&gt;"",DW$5+6&lt;Mitarbeiter!$E$29),0,IF(AND(Mitarbeiter!$F$29&lt;&gt;"",DW$5&gt;Mitarbeiter!$F$29),0,IF(Planung!DW31="",$C31,IF(ISNUMBER(Planung!DW31),Planung!DW31,IF(UPPER(Planung!DW31)="H",$C31/2,0)))))))</f>
        <v>0</v>
      </c>
      <c r="DX31" s="27">
        <f>IF($A31="",0,IF(Mitarbeiter!$G$29=FALSE,0,IF(AND(Mitarbeiter!$E$29&lt;&gt;"",DX$5+6&lt;Mitarbeiter!$E$29),0,IF(AND(Mitarbeiter!$F$29&lt;&gt;"",DX$5&gt;Mitarbeiter!$F$29),0,IF(Planung!DX31="",$C31,IF(ISNUMBER(Planung!DX31),Planung!DX31,IF(UPPER(Planung!DX31)="H",$C31/2,0)))))))</f>
        <v>0</v>
      </c>
      <c r="DY31" s="27">
        <f>IF($A31="",0,IF(Mitarbeiter!$G$29=FALSE,0,IF(AND(Mitarbeiter!$E$29&lt;&gt;"",DY$5+6&lt;Mitarbeiter!$E$29),0,IF(AND(Mitarbeiter!$F$29&lt;&gt;"",DY$5&gt;Mitarbeiter!$F$29),0,IF(Planung!DY31="",$C31,IF(ISNUMBER(Planung!DY31),Planung!DY31,IF(UPPER(Planung!DY31)="H",$C31/2,0)))))))</f>
        <v>0</v>
      </c>
      <c r="DZ31" s="27">
        <f>IF($A31="",0,IF(Mitarbeiter!$G$29=FALSE,0,IF(AND(Mitarbeiter!$E$29&lt;&gt;"",DZ$5+6&lt;Mitarbeiter!$E$29),0,IF(AND(Mitarbeiter!$F$29&lt;&gt;"",DZ$5&gt;Mitarbeiter!$F$29),0,IF(Planung!DZ31="",$C31,IF(ISNUMBER(Planung!DZ31),Planung!DZ31,IF(UPPER(Planung!DZ31)="H",$C31/2,0)))))))</f>
        <v>0</v>
      </c>
      <c r="EA31" s="27">
        <f>IF($A31="",0,IF(Mitarbeiter!$G$29=FALSE,0,IF(AND(Mitarbeiter!$E$29&lt;&gt;"",EA$5+6&lt;Mitarbeiter!$E$29),0,IF(AND(Mitarbeiter!$F$29&lt;&gt;"",EA$5&gt;Mitarbeiter!$F$29),0,IF(Planung!EA31="",$C31,IF(ISNUMBER(Planung!EA31),Planung!EA31,IF(UPPER(Planung!EA31)="H",$C31/2,0)))))))</f>
        <v>0</v>
      </c>
      <c r="EB31" s="27">
        <f>IF($A31="",0,IF(Mitarbeiter!$G$29=FALSE,0,IF(AND(Mitarbeiter!$E$29&lt;&gt;"",EB$5+6&lt;Mitarbeiter!$E$29),0,IF(AND(Mitarbeiter!$F$29&lt;&gt;"",EB$5&gt;Mitarbeiter!$F$29),0,IF(Planung!EB31="",$C31,IF(ISNUMBER(Planung!EB31),Planung!EB31,IF(UPPER(Planung!EB31)="H",$C31/2,0)))))))</f>
        <v>0</v>
      </c>
      <c r="EC31" s="27">
        <f>IF($A31="",0,IF(Mitarbeiter!$G$29=FALSE,0,IF(AND(Mitarbeiter!$E$29&lt;&gt;"",EC$5+6&lt;Mitarbeiter!$E$29),0,IF(AND(Mitarbeiter!$F$29&lt;&gt;"",EC$5&gt;Mitarbeiter!$F$29),0,IF(Planung!EC31="",$C31,IF(ISNUMBER(Planung!EC31),Planung!EC31,IF(UPPER(Planung!EC31)="H",$C31/2,0)))))))</f>
        <v>0</v>
      </c>
      <c r="ED31" s="27">
        <f>IF($A31="",0,IF(Mitarbeiter!$G$29=FALSE,0,IF(AND(Mitarbeiter!$E$29&lt;&gt;"",ED$5+6&lt;Mitarbeiter!$E$29),0,IF(AND(Mitarbeiter!$F$29&lt;&gt;"",ED$5&gt;Mitarbeiter!$F$29),0,IF(Planung!ED31="",$C31,IF(ISNUMBER(Planung!ED31),Planung!ED31,IF(UPPER(Planung!ED31)="H",$C31/2,0)))))))</f>
        <v>0</v>
      </c>
      <c r="EE31" s="27">
        <f>IF($A31="",0,IF(Mitarbeiter!$G$29=FALSE,0,IF(AND(Mitarbeiter!$E$29&lt;&gt;"",EE$5+6&lt;Mitarbeiter!$E$29),0,IF(AND(Mitarbeiter!$F$29&lt;&gt;"",EE$5&gt;Mitarbeiter!$F$29),0,IF(Planung!EE31="",$C31,IF(ISNUMBER(Planung!EE31),Planung!EE31,IF(UPPER(Planung!EE31)="H",$C31/2,0)))))))</f>
        <v>0</v>
      </c>
      <c r="EF31" s="27">
        <f>IF($A31="",0,IF(Mitarbeiter!$G$29=FALSE,0,IF(AND(Mitarbeiter!$E$29&lt;&gt;"",EF$5+6&lt;Mitarbeiter!$E$29),0,IF(AND(Mitarbeiter!$F$29&lt;&gt;"",EF$5&gt;Mitarbeiter!$F$29),0,IF(Planung!EF31="",$C31,IF(ISNUMBER(Planung!EF31),Planung!EF31,IF(UPPER(Planung!EF31)="H",$C31/2,0)))))))</f>
        <v>0</v>
      </c>
      <c r="EG31" s="27">
        <f>IF($A31="",0,IF(Mitarbeiter!$G$29=FALSE,0,IF(AND(Mitarbeiter!$E$29&lt;&gt;"",EG$5+6&lt;Mitarbeiter!$E$29),0,IF(AND(Mitarbeiter!$F$29&lt;&gt;"",EG$5&gt;Mitarbeiter!$F$29),0,IF(Planung!EG31="",$C31,IF(ISNUMBER(Planung!EG31),Planung!EG31,IF(UPPER(Planung!EG31)="H",$C31/2,0)))))))</f>
        <v>0</v>
      </c>
      <c r="EH31" s="27">
        <f>IF($A31="",0,IF(Mitarbeiter!$G$29=FALSE,0,IF(AND(Mitarbeiter!$E$29&lt;&gt;"",EH$5+6&lt;Mitarbeiter!$E$29),0,IF(AND(Mitarbeiter!$F$29&lt;&gt;"",EH$5&gt;Mitarbeiter!$F$29),0,IF(Planung!EH31="",$C31,IF(ISNUMBER(Planung!EH31),Planung!EH31,IF(UPPER(Planung!EH31)="H",$C31/2,0)))))))</f>
        <v>0</v>
      </c>
      <c r="EI31" s="27">
        <f>IF($A31="",0,IF(Mitarbeiter!$G$29=FALSE,0,IF(AND(Mitarbeiter!$E$29&lt;&gt;"",EI$5+6&lt;Mitarbeiter!$E$29),0,IF(AND(Mitarbeiter!$F$29&lt;&gt;"",EI$5&gt;Mitarbeiter!$F$29),0,IF(Planung!EI31="",$C31,IF(ISNUMBER(Planung!EI31),Planung!EI31,IF(UPPER(Planung!EI31)="H",$C31/2,0)))))))</f>
        <v>0</v>
      </c>
      <c r="EJ31" s="27">
        <f>IF($A31="",0,IF(Mitarbeiter!$G$29=FALSE,0,IF(AND(Mitarbeiter!$E$29&lt;&gt;"",EJ$5+6&lt;Mitarbeiter!$E$29),0,IF(AND(Mitarbeiter!$F$29&lt;&gt;"",EJ$5&gt;Mitarbeiter!$F$29),0,IF(Planung!EJ31="",$C31,IF(ISNUMBER(Planung!EJ31),Planung!EJ31,IF(UPPER(Planung!EJ31)="H",$C31/2,0)))))))</f>
        <v>0</v>
      </c>
      <c r="EK31" s="27">
        <f>IF($A31="",0,IF(Mitarbeiter!$G$29=FALSE,0,IF(AND(Mitarbeiter!$E$29&lt;&gt;"",EK$5+6&lt;Mitarbeiter!$E$29),0,IF(AND(Mitarbeiter!$F$29&lt;&gt;"",EK$5&gt;Mitarbeiter!$F$29),0,IF(Planung!EK31="",$C31,IF(ISNUMBER(Planung!EK31),Planung!EK31,IF(UPPER(Planung!EK31)="H",$C31/2,0)))))))</f>
        <v>0</v>
      </c>
      <c r="EL31" s="27">
        <f>IF($A31="",0,IF(Mitarbeiter!$G$29=FALSE,0,IF(AND(Mitarbeiter!$E$29&lt;&gt;"",EL$5+6&lt;Mitarbeiter!$E$29),0,IF(AND(Mitarbeiter!$F$29&lt;&gt;"",EL$5&gt;Mitarbeiter!$F$29),0,IF(Planung!EL31="",$C31,IF(ISNUMBER(Planung!EL31),Planung!EL31,IF(UPPER(Planung!EL31)="H",$C31/2,0)))))))</f>
        <v>0</v>
      </c>
      <c r="EM31" s="27">
        <f>IF($A31="",0,IF(Mitarbeiter!$G$29=FALSE,0,IF(AND(Mitarbeiter!$E$29&lt;&gt;"",EM$5+6&lt;Mitarbeiter!$E$29),0,IF(AND(Mitarbeiter!$F$29&lt;&gt;"",EM$5&gt;Mitarbeiter!$F$29),0,IF(Planung!EM31="",$C31,IF(ISNUMBER(Planung!EM31),Planung!EM31,IF(UPPER(Planung!EM31)="H",$C31/2,0)))))))</f>
        <v>0</v>
      </c>
      <c r="EN31" s="27">
        <f>IF($A31="",0,IF(Mitarbeiter!$G$29=FALSE,0,IF(AND(Mitarbeiter!$E$29&lt;&gt;"",EN$5+6&lt;Mitarbeiter!$E$29),0,IF(AND(Mitarbeiter!$F$29&lt;&gt;"",EN$5&gt;Mitarbeiter!$F$29),0,IF(Planung!EN31="",$C31,IF(ISNUMBER(Planung!EN31),Planung!EN31,IF(UPPER(Planung!EN31)="H",$C31/2,0)))))))</f>
        <v>0</v>
      </c>
      <c r="EO31" s="27">
        <f>IF($A31="",0,IF(Mitarbeiter!$G$29=FALSE,0,IF(AND(Mitarbeiter!$E$29&lt;&gt;"",EO$5+6&lt;Mitarbeiter!$E$29),0,IF(AND(Mitarbeiter!$F$29&lt;&gt;"",EO$5&gt;Mitarbeiter!$F$29),0,IF(Planung!EO31="",$C31,IF(ISNUMBER(Planung!EO31),Planung!EO31,IF(UPPER(Planung!EO31)="H",$C31/2,0)))))))</f>
        <v>0</v>
      </c>
      <c r="EP31" s="27">
        <f>IF($A31="",0,IF(Mitarbeiter!$G$29=FALSE,0,IF(AND(Mitarbeiter!$E$29&lt;&gt;"",EP$5+6&lt;Mitarbeiter!$E$29),0,IF(AND(Mitarbeiter!$F$29&lt;&gt;"",EP$5&gt;Mitarbeiter!$F$29),0,IF(Planung!EP31="",$C31,IF(ISNUMBER(Planung!EP31),Planung!EP31,IF(UPPER(Planung!EP31)="H",$C31/2,0)))))))</f>
        <v>0</v>
      </c>
      <c r="EQ31" s="27">
        <f>IF($A31="",0,IF(Mitarbeiter!$G$29=FALSE,0,IF(AND(Mitarbeiter!$E$29&lt;&gt;"",EQ$5+6&lt;Mitarbeiter!$E$29),0,IF(AND(Mitarbeiter!$F$29&lt;&gt;"",EQ$5&gt;Mitarbeiter!$F$29),0,IF(Planung!EQ31="",$C31,IF(ISNUMBER(Planung!EQ31),Planung!EQ31,IF(UPPER(Planung!EQ31)="H",$C31/2,0)))))))</f>
        <v>0</v>
      </c>
      <c r="ER31" s="27">
        <f>IF($A31="",0,IF(Mitarbeiter!$G$29=FALSE,0,IF(AND(Mitarbeiter!$E$29&lt;&gt;"",ER$5+6&lt;Mitarbeiter!$E$29),0,IF(AND(Mitarbeiter!$F$29&lt;&gt;"",ER$5&gt;Mitarbeiter!$F$29),0,IF(Planung!ER31="",$C31,IF(ISNUMBER(Planung!ER31),Planung!ER31,IF(UPPER(Planung!ER31)="H",$C31/2,0)))))))</f>
        <v>0</v>
      </c>
      <c r="ES31" s="27">
        <f>IF($A31="",0,IF(Mitarbeiter!$G$29=FALSE,0,IF(AND(Mitarbeiter!$E$29&lt;&gt;"",ES$5+6&lt;Mitarbeiter!$E$29),0,IF(AND(Mitarbeiter!$F$29&lt;&gt;"",ES$5&gt;Mitarbeiter!$F$29),0,IF(Planung!ES31="",$C31,IF(ISNUMBER(Planung!ES31),Planung!ES31,IF(UPPER(Planung!ES31)="H",$C31/2,0)))))))</f>
        <v>0</v>
      </c>
      <c r="ET31" s="27">
        <f>IF($A31="",0,IF(Mitarbeiter!$G$29=FALSE,0,IF(AND(Mitarbeiter!$E$29&lt;&gt;"",ET$5+6&lt;Mitarbeiter!$E$29),0,IF(AND(Mitarbeiter!$F$29&lt;&gt;"",ET$5&gt;Mitarbeiter!$F$29),0,IF(Planung!ET31="",$C31,IF(ISNUMBER(Planung!ET31),Planung!ET31,IF(UPPER(Planung!ET31)="H",$C31/2,0)))))))</f>
        <v>0</v>
      </c>
      <c r="EU31" s="27">
        <f>IF($A31="",0,IF(Mitarbeiter!$G$29=FALSE,0,IF(AND(Mitarbeiter!$E$29&lt;&gt;"",EU$5+6&lt;Mitarbeiter!$E$29),0,IF(AND(Mitarbeiter!$F$29&lt;&gt;"",EU$5&gt;Mitarbeiter!$F$29),0,IF(Planung!EU31="",$C31,IF(ISNUMBER(Planung!EU31),Planung!EU31,IF(UPPER(Planung!EU31)="H",$C31/2,0)))))))</f>
        <v>0</v>
      </c>
      <c r="EV31" s="27">
        <f>IF($A31="",0,IF(Mitarbeiter!$G$29=FALSE,0,IF(AND(Mitarbeiter!$E$29&lt;&gt;"",EV$5+6&lt;Mitarbeiter!$E$29),0,IF(AND(Mitarbeiter!$F$29&lt;&gt;"",EV$5&gt;Mitarbeiter!$F$29),0,IF(Planung!EV31="",$C31,IF(ISNUMBER(Planung!EV31),Planung!EV31,IF(UPPER(Planung!EV31)="H",$C31/2,0)))))))</f>
        <v>0</v>
      </c>
      <c r="EW31" s="27">
        <f>IF($A31="",0,IF(Mitarbeiter!$G$29=FALSE,0,IF(AND(Mitarbeiter!$E$29&lt;&gt;"",EW$5+6&lt;Mitarbeiter!$E$29),0,IF(AND(Mitarbeiter!$F$29&lt;&gt;"",EW$5&gt;Mitarbeiter!$F$29),0,IF(Planung!EW31="",$C31,IF(ISNUMBER(Planung!EW31),Planung!EW31,IF(UPPER(Planung!EW31)="H",$C31/2,0)))))))</f>
        <v>0</v>
      </c>
      <c r="EX31" s="27">
        <f>IF($A31="",0,IF(Mitarbeiter!$G$29=FALSE,0,IF(AND(Mitarbeiter!$E$29&lt;&gt;"",EX$5+6&lt;Mitarbeiter!$E$29),0,IF(AND(Mitarbeiter!$F$29&lt;&gt;"",EX$5&gt;Mitarbeiter!$F$29),0,IF(Planung!EX31="",$C31,IF(ISNUMBER(Planung!EX31),Planung!EX31,IF(UPPER(Planung!EX31)="H",$C31/2,0)))))))</f>
        <v>0</v>
      </c>
      <c r="EY31" s="27">
        <f>IF($A31="",0,IF(Mitarbeiter!$G$29=FALSE,0,IF(AND(Mitarbeiter!$E$29&lt;&gt;"",EY$5+6&lt;Mitarbeiter!$E$29),0,IF(AND(Mitarbeiter!$F$29&lt;&gt;"",EY$5&gt;Mitarbeiter!$F$29),0,IF(Planung!EY31="",$C31,IF(ISNUMBER(Planung!EY31),Planung!EY31,IF(UPPER(Planung!EY31)="H",$C31/2,0)))))))</f>
        <v>0</v>
      </c>
      <c r="EZ31" s="27">
        <f>IF($A31="",0,IF(Mitarbeiter!$G$29=FALSE,0,IF(AND(Mitarbeiter!$E$29&lt;&gt;"",EZ$5+6&lt;Mitarbeiter!$E$29),0,IF(AND(Mitarbeiter!$F$29&lt;&gt;"",EZ$5&gt;Mitarbeiter!$F$29),0,IF(Planung!EZ31="",$C31,IF(ISNUMBER(Planung!EZ31),Planung!EZ31,IF(UPPER(Planung!EZ31)="H",$C31/2,0)))))))</f>
        <v>0</v>
      </c>
      <c r="FA31" s="27">
        <f>IF($A31="",0,IF(Mitarbeiter!$G$29=FALSE,0,IF(AND(Mitarbeiter!$E$29&lt;&gt;"",FA$5+6&lt;Mitarbeiter!$E$29),0,IF(AND(Mitarbeiter!$F$29&lt;&gt;"",FA$5&gt;Mitarbeiter!$F$29),0,IF(Planung!FA31="",$C31,IF(ISNUMBER(Planung!FA31),Planung!FA31,IF(UPPER(Planung!FA31)="H",$C31/2,0)))))))</f>
        <v>0</v>
      </c>
      <c r="FB31" s="27">
        <f>IF($A31="",0,IF(Mitarbeiter!$G$29=FALSE,0,IF(AND(Mitarbeiter!$E$29&lt;&gt;"",FB$5+6&lt;Mitarbeiter!$E$29),0,IF(AND(Mitarbeiter!$F$29&lt;&gt;"",FB$5&gt;Mitarbeiter!$F$29),0,IF(Planung!FB31="",$C31,IF(ISNUMBER(Planung!FB31),Planung!FB31,IF(UPPER(Planung!FB31)="H",$C31/2,0)))))))</f>
        <v>0</v>
      </c>
      <c r="FC31" s="27">
        <f>IF($A31="",0,IF(Mitarbeiter!$G$29=FALSE,0,IF(AND(Mitarbeiter!$E$29&lt;&gt;"",FC$5+6&lt;Mitarbeiter!$E$29),0,IF(AND(Mitarbeiter!$F$29&lt;&gt;"",FC$5&gt;Mitarbeiter!$F$29),0,IF(Planung!FC31="",$C31,IF(ISNUMBER(Planung!FC31),Planung!FC31,IF(UPPER(Planung!FC31)="H",$C31/2,0)))))))</f>
        <v>0</v>
      </c>
      <c r="FD31" s="27">
        <f>IF($A31="",0,IF(Mitarbeiter!$G$29=FALSE,0,IF(AND(Mitarbeiter!$E$29&lt;&gt;"",FD$5+6&lt;Mitarbeiter!$E$29),0,IF(AND(Mitarbeiter!$F$29&lt;&gt;"",FD$5&gt;Mitarbeiter!$F$29),0,IF(Planung!FD31="",$C31,IF(ISNUMBER(Planung!FD31),Planung!FD31,IF(UPPER(Planung!FD31)="H",$C31/2,0)))))))</f>
        <v>0</v>
      </c>
      <c r="FE31" s="27">
        <f>IF($A31="",0,IF(Mitarbeiter!$G$29=FALSE,0,IF(AND(Mitarbeiter!$E$29&lt;&gt;"",FE$5+6&lt;Mitarbeiter!$E$29),0,IF(AND(Mitarbeiter!$F$29&lt;&gt;"",FE$5&gt;Mitarbeiter!$F$29),0,IF(Planung!FE31="",$C31,IF(ISNUMBER(Planung!FE31),Planung!FE31,IF(UPPER(Planung!FE31)="H",$C31/2,0)))))))</f>
        <v>0</v>
      </c>
      <c r="FF31" s="27">
        <f>IF($A31="",0,IF(Mitarbeiter!$G$29=FALSE,0,IF(AND(Mitarbeiter!$E$29&lt;&gt;"",FF$5+6&lt;Mitarbeiter!$E$29),0,IF(AND(Mitarbeiter!$F$29&lt;&gt;"",FF$5&gt;Mitarbeiter!$F$29),0,IF(Planung!FF31="",$C31,IF(ISNUMBER(Planung!FF31),Planung!FF31,IF(UPPER(Planung!FF31)="H",$C31/2,0)))))))</f>
        <v>0</v>
      </c>
      <c r="FG31" s="27">
        <f>IF($A31="",0,IF(Mitarbeiter!$G$29=FALSE,0,IF(AND(Mitarbeiter!$E$29&lt;&gt;"",FG$5+6&lt;Mitarbeiter!$E$29),0,IF(AND(Mitarbeiter!$F$29&lt;&gt;"",FG$5&gt;Mitarbeiter!$F$29),0,IF(Planung!FG31="",$C31,IF(ISNUMBER(Planung!FG31),Planung!FG31,IF(UPPER(Planung!FG31)="H",$C31/2,0)))))))</f>
        <v>0</v>
      </c>
      <c r="FH31" s="27">
        <f>IF($A31="",0,IF(Mitarbeiter!$G$29=FALSE,0,IF(AND(Mitarbeiter!$E$29&lt;&gt;"",FH$5+6&lt;Mitarbeiter!$E$29),0,IF(AND(Mitarbeiter!$F$29&lt;&gt;"",FH$5&gt;Mitarbeiter!$F$29),0,IF(Planung!FH31="",$C31,IF(ISNUMBER(Planung!FH31),Planung!FH31,IF(UPPER(Planung!FH31)="H",$C31/2,0)))))))</f>
        <v>0</v>
      </c>
      <c r="FI31" s="27">
        <f>IF($A31="",0,IF(Mitarbeiter!$G$29=FALSE,0,IF(AND(Mitarbeiter!$E$29&lt;&gt;"",FI$5+6&lt;Mitarbeiter!$E$29),0,IF(AND(Mitarbeiter!$F$29&lt;&gt;"",FI$5&gt;Mitarbeiter!$F$29),0,IF(Planung!FI31="",$C31,IF(ISNUMBER(Planung!FI31),Planung!FI31,IF(UPPER(Planung!FI31)="H",$C31/2,0)))))))</f>
        <v>0</v>
      </c>
      <c r="FJ31" s="27">
        <f>IF($A31="",0,IF(Mitarbeiter!$G$29=FALSE,0,IF(AND(Mitarbeiter!$E$29&lt;&gt;"",FJ$5+6&lt;Mitarbeiter!$E$29),0,IF(AND(Mitarbeiter!$F$29&lt;&gt;"",FJ$5&gt;Mitarbeiter!$F$29),0,IF(Planung!FJ31="",$C31,IF(ISNUMBER(Planung!FJ31),Planung!FJ31,IF(UPPER(Planung!FJ31)="H",$C31/2,0)))))))</f>
        <v>0</v>
      </c>
      <c r="FK31" s="27">
        <f>IF($A31="",0,IF(Mitarbeiter!$G$29=FALSE,0,IF(AND(Mitarbeiter!$E$29&lt;&gt;"",FK$5+6&lt;Mitarbeiter!$E$29),0,IF(AND(Mitarbeiter!$F$29&lt;&gt;"",FK$5&gt;Mitarbeiter!$F$29),0,IF(Planung!FK31="",$C31,IF(ISNUMBER(Planung!FK31),Planung!FK31,IF(UPPER(Planung!FK31)="H",$C31/2,0)))))))</f>
        <v>0</v>
      </c>
      <c r="FL31" s="27">
        <f>IF($A31="",0,IF(Mitarbeiter!$G$29=FALSE,0,IF(AND(Mitarbeiter!$E$29&lt;&gt;"",FL$5+6&lt;Mitarbeiter!$E$29),0,IF(AND(Mitarbeiter!$F$29&lt;&gt;"",FL$5&gt;Mitarbeiter!$F$29),0,IF(Planung!FL31="",$C31,IF(ISNUMBER(Planung!FL31),Planung!FL31,IF(UPPER(Planung!FL31)="H",$C31/2,0)))))))</f>
        <v>0</v>
      </c>
      <c r="FM31" s="27">
        <f>IF($A31="",0,IF(Mitarbeiter!$G$29=FALSE,0,IF(AND(Mitarbeiter!$E$29&lt;&gt;"",FM$5+6&lt;Mitarbeiter!$E$29),0,IF(AND(Mitarbeiter!$F$29&lt;&gt;"",FM$5&gt;Mitarbeiter!$F$29),0,IF(Planung!FM31="",$C31,IF(ISNUMBER(Planung!FM31),Planung!FM31,IF(UPPER(Planung!FM31)="H",$C31/2,0)))))))</f>
        <v>0</v>
      </c>
      <c r="FN31" s="27">
        <f>IF($A31="",0,IF(Mitarbeiter!$G$29=FALSE,0,IF(AND(Mitarbeiter!$E$29&lt;&gt;"",FN$5+6&lt;Mitarbeiter!$E$29),0,IF(AND(Mitarbeiter!$F$29&lt;&gt;"",FN$5&gt;Mitarbeiter!$F$29),0,IF(Planung!FN31="",$C31,IF(ISNUMBER(Planung!FN31),Planung!FN31,IF(UPPER(Planung!FN31)="H",$C31/2,0)))))))</f>
        <v>0</v>
      </c>
      <c r="FO31" s="27">
        <f>IF($A31="",0,IF(Mitarbeiter!$G$29=FALSE,0,IF(AND(Mitarbeiter!$E$29&lt;&gt;"",FO$5+6&lt;Mitarbeiter!$E$29),0,IF(AND(Mitarbeiter!$F$29&lt;&gt;"",FO$5&gt;Mitarbeiter!$F$29),0,IF(Planung!FO31="",$C31,IF(ISNUMBER(Planung!FO31),Planung!FO31,IF(UPPER(Planung!FO31)="H",$C31/2,0)))))))</f>
        <v>0</v>
      </c>
      <c r="FP31" s="27">
        <f>IF($A31="",0,IF(Mitarbeiter!$G$29=FALSE,0,IF(AND(Mitarbeiter!$E$29&lt;&gt;"",FP$5+6&lt;Mitarbeiter!$E$29),0,IF(AND(Mitarbeiter!$F$29&lt;&gt;"",FP$5&gt;Mitarbeiter!$F$29),0,IF(Planung!FP31="",$C31,IF(ISNUMBER(Planung!FP31),Planung!FP31,IF(UPPER(Planung!FP31)="H",$C31/2,0)))))))</f>
        <v>0</v>
      </c>
      <c r="FQ31" s="27">
        <f>IF($A31="",0,IF(Mitarbeiter!$G$29=FALSE,0,IF(AND(Mitarbeiter!$E$29&lt;&gt;"",FQ$5+6&lt;Mitarbeiter!$E$29),0,IF(AND(Mitarbeiter!$F$29&lt;&gt;"",FQ$5&gt;Mitarbeiter!$F$29),0,IF(Planung!FQ31="",$C31,IF(ISNUMBER(Planung!FQ31),Planung!FQ31,IF(UPPER(Planung!FQ31)="H",$C31/2,0)))))))</f>
        <v>0</v>
      </c>
      <c r="FR31" s="27">
        <f>IF($A31="",0,IF(Mitarbeiter!$G$29=FALSE,0,IF(AND(Mitarbeiter!$E$29&lt;&gt;"",FR$5+6&lt;Mitarbeiter!$E$29),0,IF(AND(Mitarbeiter!$F$29&lt;&gt;"",FR$5&gt;Mitarbeiter!$F$29),0,IF(Planung!FR31="",$C31,IF(ISNUMBER(Planung!FR31),Planung!FR31,IF(UPPER(Planung!FR31)="H",$C31/2,0)))))))</f>
        <v>0</v>
      </c>
      <c r="FS31" s="27">
        <f>IF($A31="",0,IF(Mitarbeiter!$G$29=FALSE,0,IF(AND(Mitarbeiter!$E$29&lt;&gt;"",FS$5+6&lt;Mitarbeiter!$E$29),0,IF(AND(Mitarbeiter!$F$29&lt;&gt;"",FS$5&gt;Mitarbeiter!$F$29),0,IF(Planung!FS31="",$C31,IF(ISNUMBER(Planung!FS31),Planung!FS31,IF(UPPER(Planung!FS31)="H",$C31/2,0)))))))</f>
        <v>0</v>
      </c>
      <c r="FT31" s="27">
        <f>IF($A31="",0,IF(Mitarbeiter!$G$29=FALSE,0,IF(AND(Mitarbeiter!$E$29&lt;&gt;"",FT$5+6&lt;Mitarbeiter!$E$29),0,IF(AND(Mitarbeiter!$F$29&lt;&gt;"",FT$5&gt;Mitarbeiter!$F$29),0,IF(Planung!FT31="",$C31,IF(ISNUMBER(Planung!FT31),Planung!FT31,IF(UPPER(Planung!FT31)="H",$C31/2,0)))))))</f>
        <v>0</v>
      </c>
      <c r="FU31" s="27">
        <f>IF($A31="",0,IF(Mitarbeiter!$G$29=FALSE,0,IF(AND(Mitarbeiter!$E$29&lt;&gt;"",FU$5+6&lt;Mitarbeiter!$E$29),0,IF(AND(Mitarbeiter!$F$29&lt;&gt;"",FU$5&gt;Mitarbeiter!$F$29),0,IF(Planung!FU31="",$C31,IF(ISNUMBER(Planung!FU31),Planung!FU31,IF(UPPER(Planung!FU31)="H",$C31/2,0)))))))</f>
        <v>0</v>
      </c>
      <c r="FV31" s="27">
        <f>IF($A31="",0,IF(Mitarbeiter!$G$29=FALSE,0,IF(AND(Mitarbeiter!$E$29&lt;&gt;"",FV$5+6&lt;Mitarbeiter!$E$29),0,IF(AND(Mitarbeiter!$F$29&lt;&gt;"",FV$5&gt;Mitarbeiter!$F$29),0,IF(Planung!FV31="",$C31,IF(ISNUMBER(Planung!FV31),Planung!FV31,IF(UPPER(Planung!FV31)="H",$C31/2,0)))))))</f>
        <v>0</v>
      </c>
      <c r="FW31" s="27">
        <f>IF($A31="",0,IF(Mitarbeiter!$G$29=FALSE,0,IF(AND(Mitarbeiter!$E$29&lt;&gt;"",FW$5+6&lt;Mitarbeiter!$E$29),0,IF(AND(Mitarbeiter!$F$29&lt;&gt;"",FW$5&gt;Mitarbeiter!$F$29),0,IF(Planung!FW31="",$C31,IF(ISNUMBER(Planung!FW31),Planung!FW31,IF(UPPER(Planung!FW31)="H",$C31/2,0)))))))</f>
        <v>0</v>
      </c>
      <c r="FX31" s="27">
        <f>IF($A31="",0,IF(Mitarbeiter!$G$29=FALSE,0,IF(AND(Mitarbeiter!$E$29&lt;&gt;"",FX$5+6&lt;Mitarbeiter!$E$29),0,IF(AND(Mitarbeiter!$F$29&lt;&gt;"",FX$5&gt;Mitarbeiter!$F$29),0,IF(Planung!FX31="",$C31,IF(ISNUMBER(Planung!FX31),Planung!FX31,IF(UPPER(Planung!FX31)="H",$C31/2,0)))))))</f>
        <v>0</v>
      </c>
      <c r="FY31" s="27">
        <f>IF($A31="",0,IF(Mitarbeiter!$G$29=FALSE,0,IF(AND(Mitarbeiter!$E$29&lt;&gt;"",FY$5+6&lt;Mitarbeiter!$E$29),0,IF(AND(Mitarbeiter!$F$29&lt;&gt;"",FY$5&gt;Mitarbeiter!$F$29),0,IF(Planung!FY31="",$C31,IF(ISNUMBER(Planung!FY31),Planung!FY31,IF(UPPER(Planung!FY31)="H",$C31/2,0)))))))</f>
        <v>0</v>
      </c>
      <c r="FZ31" s="27">
        <f>IF($A31="",0,IF(Mitarbeiter!$G$29=FALSE,0,IF(AND(Mitarbeiter!$E$29&lt;&gt;"",FZ$5+6&lt;Mitarbeiter!$E$29),0,IF(AND(Mitarbeiter!$F$29&lt;&gt;"",FZ$5&gt;Mitarbeiter!$F$29),0,IF(Planung!FZ31="",$C31,IF(ISNUMBER(Planung!FZ31),Planung!FZ31,IF(UPPER(Planung!FZ31)="H",$C31/2,0)))))))</f>
        <v>0</v>
      </c>
      <c r="GA31" s="27">
        <f>IF($A31="",0,IF(Mitarbeiter!$G$29=FALSE,0,IF(AND(Mitarbeiter!$E$29&lt;&gt;"",GA$5+6&lt;Mitarbeiter!$E$29),0,IF(AND(Mitarbeiter!$F$29&lt;&gt;"",GA$5&gt;Mitarbeiter!$F$29),0,IF(Planung!GA31="",$C31,IF(ISNUMBER(Planung!GA31),Planung!GA31,IF(UPPER(Planung!GA31)="H",$C31/2,0)))))))</f>
        <v>0</v>
      </c>
      <c r="GB31" s="27">
        <f>IF($A31="",0,IF(Mitarbeiter!$G$29=FALSE,0,IF(AND(Mitarbeiter!$E$29&lt;&gt;"",GB$5+6&lt;Mitarbeiter!$E$29),0,IF(AND(Mitarbeiter!$F$29&lt;&gt;"",GB$5&gt;Mitarbeiter!$F$29),0,IF(Planung!GB31="",$C31,IF(ISNUMBER(Planung!GB31),Planung!GB31,IF(UPPER(Planung!GB31)="H",$C31/2,0)))))))</f>
        <v>0</v>
      </c>
      <c r="GC31" s="27">
        <f>IF($A31="",0,IF(Mitarbeiter!$G$29=FALSE,0,IF(AND(Mitarbeiter!$E$29&lt;&gt;"",GC$5+6&lt;Mitarbeiter!$E$29),0,IF(AND(Mitarbeiter!$F$29&lt;&gt;"",GC$5&gt;Mitarbeiter!$F$29),0,IF(Planung!GC31="",$C31,IF(ISNUMBER(Planung!GC31),Planung!GC31,IF(UPPER(Planung!GC31)="H",$C31/2,0)))))))</f>
        <v>0</v>
      </c>
      <c r="GD31" s="27">
        <f>IF($A31="",0,IF(Mitarbeiter!$G$29=FALSE,0,IF(AND(Mitarbeiter!$E$29&lt;&gt;"",GD$5+6&lt;Mitarbeiter!$E$29),0,IF(AND(Mitarbeiter!$F$29&lt;&gt;"",GD$5&gt;Mitarbeiter!$F$29),0,IF(Planung!GD31="",$C31,IF(ISNUMBER(Planung!GD31),Planung!GD31,IF(UPPER(Planung!GD31)="H",$C31/2,0)))))))</f>
        <v>0</v>
      </c>
      <c r="GE31" s="27">
        <f>IF($A31="",0,IF(Mitarbeiter!$G$29=FALSE,0,IF(AND(Mitarbeiter!$E$29&lt;&gt;"",GE$5+6&lt;Mitarbeiter!$E$29),0,IF(AND(Mitarbeiter!$F$29&lt;&gt;"",GE$5&gt;Mitarbeiter!$F$29),0,IF(Planung!GE31="",$C31,IF(ISNUMBER(Planung!GE31),Planung!GE31,IF(UPPER(Planung!GE31)="H",$C31/2,0)))))))</f>
        <v>0</v>
      </c>
      <c r="GF31" s="27">
        <f>IF($A31="",0,IF(Mitarbeiter!$G$29=FALSE,0,IF(AND(Mitarbeiter!$E$29&lt;&gt;"",GF$5+6&lt;Mitarbeiter!$E$29),0,IF(AND(Mitarbeiter!$F$29&lt;&gt;"",GF$5&gt;Mitarbeiter!$F$29),0,IF(Planung!GF31="",$C31,IF(ISNUMBER(Planung!GF31),Planung!GF31,IF(UPPER(Planung!GF31)="H",$C31/2,0)))))))</f>
        <v>0</v>
      </c>
      <c r="GG31" s="27">
        <f>IF($A31="",0,IF(Mitarbeiter!$G$29=FALSE,0,IF(AND(Mitarbeiter!$E$29&lt;&gt;"",GG$5+6&lt;Mitarbeiter!$E$29),0,IF(AND(Mitarbeiter!$F$29&lt;&gt;"",GG$5&gt;Mitarbeiter!$F$29),0,IF(Planung!GG31="",$C31,IF(ISNUMBER(Planung!GG31),Planung!GG31,IF(UPPER(Planung!GG31)="H",$C31/2,0)))))))</f>
        <v>0</v>
      </c>
      <c r="GH31" s="27">
        <f>IF($A31="",0,IF(Mitarbeiter!$G$29=FALSE,0,IF(AND(Mitarbeiter!$E$29&lt;&gt;"",GH$5+6&lt;Mitarbeiter!$E$29),0,IF(AND(Mitarbeiter!$F$29&lt;&gt;"",GH$5&gt;Mitarbeiter!$F$29),0,IF(Planung!GH31="",$C31,IF(ISNUMBER(Planung!GH31),Planung!GH31,IF(UPPER(Planung!GH31)="H",$C31/2,0)))))))</f>
        <v>0</v>
      </c>
      <c r="GI31" s="27">
        <f>IF($A31="",0,IF(Mitarbeiter!$G$29=FALSE,0,IF(AND(Mitarbeiter!$E$29&lt;&gt;"",GI$5+6&lt;Mitarbeiter!$E$29),0,IF(AND(Mitarbeiter!$F$29&lt;&gt;"",GI$5&gt;Mitarbeiter!$F$29),0,IF(Planung!GI31="",$C31,IF(ISNUMBER(Planung!GI31),Planung!GI31,IF(UPPER(Planung!GI31)="H",$C31/2,0)))))))</f>
        <v>0</v>
      </c>
      <c r="GJ31" s="27">
        <f>IF($A31="",0,IF(Mitarbeiter!$G$29=FALSE,0,IF(AND(Mitarbeiter!$E$29&lt;&gt;"",GJ$5+6&lt;Mitarbeiter!$E$29),0,IF(AND(Mitarbeiter!$F$29&lt;&gt;"",GJ$5&gt;Mitarbeiter!$F$29),0,IF(Planung!GJ31="",$C31,IF(ISNUMBER(Planung!GJ31),Planung!GJ31,IF(UPPER(Planung!GJ31)="H",$C31/2,0)))))))</f>
        <v>0</v>
      </c>
      <c r="GK31" s="27">
        <f>IF($A31="",0,IF(Mitarbeiter!$G$29=FALSE,0,IF(AND(Mitarbeiter!$E$29&lt;&gt;"",GK$5+6&lt;Mitarbeiter!$E$29),0,IF(AND(Mitarbeiter!$F$29&lt;&gt;"",GK$5&gt;Mitarbeiter!$F$29),0,IF(Planung!GK31="",$C31,IF(ISNUMBER(Planung!GK31),Planung!GK31,IF(UPPER(Planung!GK31)="H",$C31/2,0)))))))</f>
        <v>0</v>
      </c>
      <c r="GL31" s="27">
        <f>IF($A31="",0,IF(Mitarbeiter!$G$29=FALSE,0,IF(AND(Mitarbeiter!$E$29&lt;&gt;"",GL$5+6&lt;Mitarbeiter!$E$29),0,IF(AND(Mitarbeiter!$F$29&lt;&gt;"",GL$5&gt;Mitarbeiter!$F$29),0,IF(Planung!GL31="",$C31,IF(ISNUMBER(Planung!GL31),Planung!GL31,IF(UPPER(Planung!GL31)="H",$C31/2,0)))))))</f>
        <v>0</v>
      </c>
      <c r="GM31" s="27">
        <f>IF($A31="",0,IF(Mitarbeiter!$G$29=FALSE,0,IF(AND(Mitarbeiter!$E$29&lt;&gt;"",GM$5+6&lt;Mitarbeiter!$E$29),0,IF(AND(Mitarbeiter!$F$29&lt;&gt;"",GM$5&gt;Mitarbeiter!$F$29),0,IF(Planung!GM31="",$C31,IF(ISNUMBER(Planung!GM31),Planung!GM31,IF(UPPER(Planung!GM31)="H",$C31/2,0)))))))</f>
        <v>0</v>
      </c>
      <c r="GN31" s="27">
        <f>IF($A31="",0,IF(Mitarbeiter!$G$29=FALSE,0,IF(AND(Mitarbeiter!$E$29&lt;&gt;"",GN$5+6&lt;Mitarbeiter!$E$29),0,IF(AND(Mitarbeiter!$F$29&lt;&gt;"",GN$5&gt;Mitarbeiter!$F$29),0,IF(Planung!GN31="",$C31,IF(ISNUMBER(Planung!GN31),Planung!GN31,IF(UPPER(Planung!GN31)="H",$C31/2,0)))))))</f>
        <v>0</v>
      </c>
      <c r="GO31" s="27">
        <f>IF($A31="",0,IF(Mitarbeiter!$G$29=FALSE,0,IF(AND(Mitarbeiter!$E$29&lt;&gt;"",GO$5+6&lt;Mitarbeiter!$E$29),0,IF(AND(Mitarbeiter!$F$29&lt;&gt;"",GO$5&gt;Mitarbeiter!$F$29),0,IF(Planung!GO31="",$C31,IF(ISNUMBER(Planung!GO31),Planung!GO31,IF(UPPER(Planung!GO31)="H",$C31/2,0)))))))</f>
        <v>0</v>
      </c>
      <c r="GP31" s="27">
        <f>IF($A31="",0,IF(Mitarbeiter!$G$29=FALSE,0,IF(AND(Mitarbeiter!$E$29&lt;&gt;"",GP$5+6&lt;Mitarbeiter!$E$29),0,IF(AND(Mitarbeiter!$F$29&lt;&gt;"",GP$5&gt;Mitarbeiter!$F$29),0,IF(Planung!GP31="",$C31,IF(ISNUMBER(Planung!GP31),Planung!GP31,IF(UPPER(Planung!GP31)="H",$C31/2,0)))))))</f>
        <v>0</v>
      </c>
      <c r="GQ31" s="27">
        <f>IF($A31="",0,IF(Mitarbeiter!$G$29=FALSE,0,IF(AND(Mitarbeiter!$E$29&lt;&gt;"",GQ$5+6&lt;Mitarbeiter!$E$29),0,IF(AND(Mitarbeiter!$F$29&lt;&gt;"",GQ$5&gt;Mitarbeiter!$F$29),0,IF(Planung!GQ31="",$C31,IF(ISNUMBER(Planung!GQ31),Planung!GQ31,IF(UPPER(Planung!GQ31)="H",$C31/2,0)))))))</f>
        <v>0</v>
      </c>
      <c r="GR31" s="27">
        <f>IF($A31="",0,IF(Mitarbeiter!$G$29=FALSE,0,IF(AND(Mitarbeiter!$E$29&lt;&gt;"",GR$5+6&lt;Mitarbeiter!$E$29),0,IF(AND(Mitarbeiter!$F$29&lt;&gt;"",GR$5&gt;Mitarbeiter!$F$29),0,IF(Planung!GR31="",$C31,IF(ISNUMBER(Planung!GR31),Planung!GR31,IF(UPPER(Planung!GR31)="H",$C31/2,0)))))))</f>
        <v>0</v>
      </c>
      <c r="GS31" s="27">
        <f>IF($A31="",0,IF(Mitarbeiter!$G$29=FALSE,0,IF(AND(Mitarbeiter!$E$29&lt;&gt;"",GS$5+6&lt;Mitarbeiter!$E$29),0,IF(AND(Mitarbeiter!$F$29&lt;&gt;"",GS$5&gt;Mitarbeiter!$F$29),0,IF(Planung!GS31="",$C31,IF(ISNUMBER(Planung!GS31),Planung!GS31,IF(UPPER(Planung!GS31)="H",$C31/2,0)))))))</f>
        <v>0</v>
      </c>
      <c r="GT31" s="27">
        <f>IF($A31="",0,IF(Mitarbeiter!$G$29=FALSE,0,IF(AND(Mitarbeiter!$E$29&lt;&gt;"",GT$5+6&lt;Mitarbeiter!$E$29),0,IF(AND(Mitarbeiter!$F$29&lt;&gt;"",GT$5&gt;Mitarbeiter!$F$29),0,IF(Planung!GT31="",$C31,IF(ISNUMBER(Planung!GT31),Planung!GT31,IF(UPPER(Planung!GT31)="H",$C31/2,0)))))))</f>
        <v>0</v>
      </c>
      <c r="GU31" s="27">
        <f>IF($A31="",0,IF(Mitarbeiter!$G$29=FALSE,0,IF(AND(Mitarbeiter!$E$29&lt;&gt;"",GU$5+6&lt;Mitarbeiter!$E$29),0,IF(AND(Mitarbeiter!$F$29&lt;&gt;"",GU$5&gt;Mitarbeiter!$F$29),0,IF(Planung!GU31="",$C31,IF(ISNUMBER(Planung!GU31),Planung!GU31,IF(UPPER(Planung!GU31)="H",$C31/2,0)))))))</f>
        <v>0</v>
      </c>
      <c r="GV31" s="27">
        <f>IF($A31="",0,IF(Mitarbeiter!$G$29=FALSE,0,IF(AND(Mitarbeiter!$E$29&lt;&gt;"",GV$5+6&lt;Mitarbeiter!$E$29),0,IF(AND(Mitarbeiter!$F$29&lt;&gt;"",GV$5&gt;Mitarbeiter!$F$29),0,IF(Planung!GV31="",$C31,IF(ISNUMBER(Planung!GV31),Planung!GV31,IF(UPPER(Planung!GV31)="H",$C31/2,0)))))))</f>
        <v>0</v>
      </c>
      <c r="GW31" s="27">
        <f>IF($A31="",0,IF(Mitarbeiter!$G$29=FALSE,0,IF(AND(Mitarbeiter!$E$29&lt;&gt;"",GW$5+6&lt;Mitarbeiter!$E$29),0,IF(AND(Mitarbeiter!$F$29&lt;&gt;"",GW$5&gt;Mitarbeiter!$F$29),0,IF(Planung!GW31="",$C31,IF(ISNUMBER(Planung!GW31),Planung!GW31,IF(UPPER(Planung!GW31)="H",$C31/2,0)))))))</f>
        <v>0</v>
      </c>
      <c r="GX31" s="27">
        <f>IF($A31="",0,IF(Mitarbeiter!$G$29=FALSE,0,IF(AND(Mitarbeiter!$E$29&lt;&gt;"",GX$5+6&lt;Mitarbeiter!$E$29),0,IF(AND(Mitarbeiter!$F$29&lt;&gt;"",GX$5&gt;Mitarbeiter!$F$29),0,IF(Planung!GX31="",$C31,IF(ISNUMBER(Planung!GX31),Planung!GX31,IF(UPPER(Planung!GX31)="H",$C31/2,0)))))))</f>
        <v>0</v>
      </c>
      <c r="GY31" s="27">
        <f>IF($A31="",0,IF(Mitarbeiter!$G$29=FALSE,0,IF(AND(Mitarbeiter!$E$29&lt;&gt;"",GY$5+6&lt;Mitarbeiter!$E$29),0,IF(AND(Mitarbeiter!$F$29&lt;&gt;"",GY$5&gt;Mitarbeiter!$F$29),0,IF(Planung!GY31="",$C31,IF(ISNUMBER(Planung!GY31),Planung!GY31,IF(UPPER(Planung!GY31)="H",$C31/2,0)))))))</f>
        <v>0</v>
      </c>
      <c r="GZ31" s="27">
        <f>IF($A31="",0,IF(Mitarbeiter!$G$29=FALSE,0,IF(AND(Mitarbeiter!$E$29&lt;&gt;"",GZ$5+6&lt;Mitarbeiter!$E$29),0,IF(AND(Mitarbeiter!$F$29&lt;&gt;"",GZ$5&gt;Mitarbeiter!$F$29),0,IF(Planung!GZ31="",$C31,IF(ISNUMBER(Planung!GZ31),Planung!GZ31,IF(UPPER(Planung!GZ31)="H",$C31/2,0)))))))</f>
        <v>0</v>
      </c>
      <c r="HA31" s="27">
        <f>IF($A31="",0,IF(Mitarbeiter!$G$29=FALSE,0,IF(AND(Mitarbeiter!$E$29&lt;&gt;"",HA$5+6&lt;Mitarbeiter!$E$29),0,IF(AND(Mitarbeiter!$F$29&lt;&gt;"",HA$5&gt;Mitarbeiter!$F$29),0,IF(Planung!HA31="",$C31,IF(ISNUMBER(Planung!HA31),Planung!HA31,IF(UPPER(Planung!HA31)="H",$C31/2,0)))))))</f>
        <v>0</v>
      </c>
      <c r="HB31" s="27">
        <f>IF($A31="",0,IF(Mitarbeiter!$G$29=FALSE,0,IF(AND(Mitarbeiter!$E$29&lt;&gt;"",HB$5+6&lt;Mitarbeiter!$E$29),0,IF(AND(Mitarbeiter!$F$29&lt;&gt;"",HB$5&gt;Mitarbeiter!$F$29),0,IF(Planung!HB31="",$C31,IF(ISNUMBER(Planung!HB31),Planung!HB31,IF(UPPER(Planung!HB31)="H",$C31/2,0)))))))</f>
        <v>0</v>
      </c>
      <c r="HC31" s="27">
        <f>IF($A31="",0,IF(Mitarbeiter!$G$29=FALSE,0,IF(AND(Mitarbeiter!$E$29&lt;&gt;"",HC$5+6&lt;Mitarbeiter!$E$29),0,IF(AND(Mitarbeiter!$F$29&lt;&gt;"",HC$5&gt;Mitarbeiter!$F$29),0,IF(Planung!HC31="",$C31,IF(ISNUMBER(Planung!HC31),Planung!HC31,IF(UPPER(Planung!HC31)="H",$C31/2,0)))))))</f>
        <v>0</v>
      </c>
      <c r="HD31" s="27">
        <f>IF($A31="",0,IF(Mitarbeiter!$G$29=FALSE,0,IF(AND(Mitarbeiter!$E$29&lt;&gt;"",HD$5+6&lt;Mitarbeiter!$E$29),0,IF(AND(Mitarbeiter!$F$29&lt;&gt;"",HD$5&gt;Mitarbeiter!$F$29),0,IF(Planung!HD31="",$C31,IF(ISNUMBER(Planung!HD31),Planung!HD31,IF(UPPER(Planung!HD31)="H",$C31/2,0)))))))</f>
        <v>0</v>
      </c>
      <c r="HE31" s="27">
        <f>IF($A31="",0,IF(Mitarbeiter!$G$29=FALSE,0,IF(AND(Mitarbeiter!$E$29&lt;&gt;"",HE$5+6&lt;Mitarbeiter!$E$29),0,IF(AND(Mitarbeiter!$F$29&lt;&gt;"",HE$5&gt;Mitarbeiter!$F$29),0,IF(Planung!HE31="",$C31,IF(ISNUMBER(Planung!HE31),Planung!HE31,IF(UPPER(Planung!HE31)="H",$C31/2,0)))))))</f>
        <v>0</v>
      </c>
      <c r="HF31" s="27">
        <f>IF($A31="",0,IF(Mitarbeiter!$G$29=FALSE,0,IF(AND(Mitarbeiter!$E$29&lt;&gt;"",HF$5+6&lt;Mitarbeiter!$E$29),0,IF(AND(Mitarbeiter!$F$29&lt;&gt;"",HF$5&gt;Mitarbeiter!$F$29),0,IF(Planung!HF31="",$C31,IF(ISNUMBER(Planung!HF31),Planung!HF31,IF(UPPER(Planung!HF31)="H",$C31/2,0)))))))</f>
        <v>0</v>
      </c>
      <c r="HG31" s="27">
        <f>IF($A31="",0,IF(Mitarbeiter!$G$29=FALSE,0,IF(AND(Mitarbeiter!$E$29&lt;&gt;"",HG$5+6&lt;Mitarbeiter!$E$29),0,IF(AND(Mitarbeiter!$F$29&lt;&gt;"",HG$5&gt;Mitarbeiter!$F$29),0,IF(Planung!HG31="",$C31,IF(ISNUMBER(Planung!HG31),Planung!HG31,IF(UPPER(Planung!HG31)="H",$C31/2,0)))))))</f>
        <v>0</v>
      </c>
      <c r="HH31" s="27">
        <f>IF($A31="",0,IF(Mitarbeiter!$G$29=FALSE,0,IF(AND(Mitarbeiter!$E$29&lt;&gt;"",HH$5+6&lt;Mitarbeiter!$E$29),0,IF(AND(Mitarbeiter!$F$29&lt;&gt;"",HH$5&gt;Mitarbeiter!$F$29),0,IF(Planung!HH31="",$C31,IF(ISNUMBER(Planung!HH31),Planung!HH31,IF(UPPER(Planung!HH31)="H",$C31/2,0)))))))</f>
        <v>0</v>
      </c>
      <c r="HI31" s="27">
        <f>IF($A31="",0,IF(Mitarbeiter!$G$29=FALSE,0,IF(AND(Mitarbeiter!$E$29&lt;&gt;"",HI$5+6&lt;Mitarbeiter!$E$29),0,IF(AND(Mitarbeiter!$F$29&lt;&gt;"",HI$5&gt;Mitarbeiter!$F$29),0,IF(Planung!HI31="",$C31,IF(ISNUMBER(Planung!HI31),Planung!HI31,IF(UPPER(Planung!HI31)="H",$C31/2,0)))))))</f>
        <v>0</v>
      </c>
      <c r="HJ31" s="27">
        <f>IF($A31="",0,IF(Mitarbeiter!$G$29=FALSE,0,IF(AND(Mitarbeiter!$E$29&lt;&gt;"",HJ$5+6&lt;Mitarbeiter!$E$29),0,IF(AND(Mitarbeiter!$F$29&lt;&gt;"",HJ$5&gt;Mitarbeiter!$F$29),0,IF(Planung!HJ31="",$C31,IF(ISNUMBER(Planung!HJ31),Planung!HJ31,IF(UPPER(Planung!HJ31)="H",$C31/2,0)))))))</f>
        <v>0</v>
      </c>
      <c r="HK31" s="27">
        <f>IF($A31="",0,IF(Mitarbeiter!$G$29=FALSE,0,IF(AND(Mitarbeiter!$E$29&lt;&gt;"",HK$5+6&lt;Mitarbeiter!$E$29),0,IF(AND(Mitarbeiter!$F$29&lt;&gt;"",HK$5&gt;Mitarbeiter!$F$29),0,IF(Planung!HK31="",$C31,IF(ISNUMBER(Planung!HK31),Planung!HK31,IF(UPPER(Planung!HK31)="H",$C31/2,0)))))))</f>
        <v>0</v>
      </c>
      <c r="HL31" s="27">
        <f>IF($A31="",0,IF(Mitarbeiter!$G$29=FALSE,0,IF(AND(Mitarbeiter!$E$29&lt;&gt;"",HL$5+6&lt;Mitarbeiter!$E$29),0,IF(AND(Mitarbeiter!$F$29&lt;&gt;"",HL$5&gt;Mitarbeiter!$F$29),0,IF(Planung!HL31="",$C31,IF(ISNUMBER(Planung!HL31),Planung!HL31,IF(UPPER(Planung!HL31)="H",$C31/2,0)))))))</f>
        <v>0</v>
      </c>
      <c r="HM31" s="27">
        <f>IF($A31="",0,IF(Mitarbeiter!$G$29=FALSE,0,IF(AND(Mitarbeiter!$E$29&lt;&gt;"",HM$5+6&lt;Mitarbeiter!$E$29),0,IF(AND(Mitarbeiter!$F$29&lt;&gt;"",HM$5&gt;Mitarbeiter!$F$29),0,IF(Planung!HM31="",$C31,IF(ISNUMBER(Planung!HM31),Planung!HM31,IF(UPPER(Planung!HM31)="H",$C31/2,0)))))))</f>
        <v>0</v>
      </c>
      <c r="HN31" s="27">
        <f>IF($A31="",0,IF(Mitarbeiter!$G$29=FALSE,0,IF(AND(Mitarbeiter!$E$29&lt;&gt;"",HN$5+6&lt;Mitarbeiter!$E$29),0,IF(AND(Mitarbeiter!$F$29&lt;&gt;"",HN$5&gt;Mitarbeiter!$F$29),0,IF(Planung!HN31="",$C31,IF(ISNUMBER(Planung!HN31),Planung!HN31,IF(UPPER(Planung!HN31)="H",$C31/2,0)))))))</f>
        <v>0</v>
      </c>
      <c r="HO31" s="27">
        <f>IF($A31="",0,IF(Mitarbeiter!$G$29=FALSE,0,IF(AND(Mitarbeiter!$E$29&lt;&gt;"",HO$5+6&lt;Mitarbeiter!$E$29),0,IF(AND(Mitarbeiter!$F$29&lt;&gt;"",HO$5&gt;Mitarbeiter!$F$29),0,IF(Planung!HO31="",$C31,IF(ISNUMBER(Planung!HO31),Planung!HO31,IF(UPPER(Planung!HO31)="H",$C31/2,0)))))))</f>
        <v>0</v>
      </c>
      <c r="HP31" s="27">
        <f>IF($A31="",0,IF(Mitarbeiter!$G$29=FALSE,0,IF(AND(Mitarbeiter!$E$29&lt;&gt;"",HP$5+6&lt;Mitarbeiter!$E$29),0,IF(AND(Mitarbeiter!$F$29&lt;&gt;"",HP$5&gt;Mitarbeiter!$F$29),0,IF(Planung!HP31="",$C31,IF(ISNUMBER(Planung!HP31),Planung!HP31,IF(UPPER(Planung!HP31)="H",$C31/2,0)))))))</f>
        <v>0</v>
      </c>
      <c r="HQ31" s="27">
        <f>IF($A31="",0,IF(Mitarbeiter!$G$29=FALSE,0,IF(AND(Mitarbeiter!$E$29&lt;&gt;"",HQ$5+6&lt;Mitarbeiter!$E$29),0,IF(AND(Mitarbeiter!$F$29&lt;&gt;"",HQ$5&gt;Mitarbeiter!$F$29),0,IF(Planung!HQ31="",$C31,IF(ISNUMBER(Planung!HQ31),Planung!HQ31,IF(UPPER(Planung!HQ31)="H",$C31/2,0)))))))</f>
        <v>0</v>
      </c>
      <c r="HR31" s="27">
        <f>IF($A31="",0,IF(Mitarbeiter!$G$29=FALSE,0,IF(AND(Mitarbeiter!$E$29&lt;&gt;"",HR$5+6&lt;Mitarbeiter!$E$29),0,IF(AND(Mitarbeiter!$F$29&lt;&gt;"",HR$5&gt;Mitarbeiter!$F$29),0,IF(Planung!HR31="",$C31,IF(ISNUMBER(Planung!HR31),Planung!HR31,IF(UPPER(Planung!HR31)="H",$C31/2,0)))))))</f>
        <v>0</v>
      </c>
      <c r="HS31" s="27">
        <f>IF($A31="",0,IF(Mitarbeiter!$G$29=FALSE,0,IF(AND(Mitarbeiter!$E$29&lt;&gt;"",HS$5+6&lt;Mitarbeiter!$E$29),0,IF(AND(Mitarbeiter!$F$29&lt;&gt;"",HS$5&gt;Mitarbeiter!$F$29),0,IF(Planung!HS31="",$C31,IF(ISNUMBER(Planung!HS31),Planung!HS31,IF(UPPER(Planung!HS31)="H",$C31/2,0)))))))</f>
        <v>0</v>
      </c>
      <c r="HT31" s="27">
        <f>IF($A31="",0,IF(Mitarbeiter!$G$29=FALSE,0,IF(AND(Mitarbeiter!$E$29&lt;&gt;"",HT$5+6&lt;Mitarbeiter!$E$29),0,IF(AND(Mitarbeiter!$F$29&lt;&gt;"",HT$5&gt;Mitarbeiter!$F$29),0,IF(Planung!HT31="",$C31,IF(ISNUMBER(Planung!HT31),Planung!HT31,IF(UPPER(Planung!HT31)="H",$C31/2,0)))))))</f>
        <v>0</v>
      </c>
      <c r="HU31" s="27">
        <f>IF($A31="",0,IF(Mitarbeiter!$G$29=FALSE,0,IF(AND(Mitarbeiter!$E$29&lt;&gt;"",HU$5+6&lt;Mitarbeiter!$E$29),0,IF(AND(Mitarbeiter!$F$29&lt;&gt;"",HU$5&gt;Mitarbeiter!$F$29),0,IF(Planung!HU31="",$C31,IF(ISNUMBER(Planung!HU31),Planung!HU31,IF(UPPER(Planung!HU31)="H",$C31/2,0)))))))</f>
        <v>0</v>
      </c>
      <c r="HV31" s="27">
        <f>IF($A31="",0,IF(Mitarbeiter!$G$29=FALSE,0,IF(AND(Mitarbeiter!$E$29&lt;&gt;"",HV$5+6&lt;Mitarbeiter!$E$29),0,IF(AND(Mitarbeiter!$F$29&lt;&gt;"",HV$5&gt;Mitarbeiter!$F$29),0,IF(Planung!HV31="",$C31,IF(ISNUMBER(Planung!HV31),Planung!HV31,IF(UPPER(Planung!HV31)="H",$C31/2,0)))))))</f>
        <v>0</v>
      </c>
      <c r="HW31" s="27">
        <f>IF($A31="",0,IF(Mitarbeiter!$G$29=FALSE,0,IF(AND(Mitarbeiter!$E$29&lt;&gt;"",HW$5+6&lt;Mitarbeiter!$E$29),0,IF(AND(Mitarbeiter!$F$29&lt;&gt;"",HW$5&gt;Mitarbeiter!$F$29),0,IF(Planung!HW31="",$C31,IF(ISNUMBER(Planung!HW31),Planung!HW31,IF(UPPER(Planung!HW31)="H",$C31/2,0)))))))</f>
        <v>0</v>
      </c>
      <c r="HX31" s="27">
        <f>IF($A31="",0,IF(Mitarbeiter!$G$29=FALSE,0,IF(AND(Mitarbeiter!$E$29&lt;&gt;"",HX$5+6&lt;Mitarbeiter!$E$29),0,IF(AND(Mitarbeiter!$F$29&lt;&gt;"",HX$5&gt;Mitarbeiter!$F$29),0,IF(Planung!HX31="",$C31,IF(ISNUMBER(Planung!HX31),Planung!HX31,IF(UPPER(Planung!HX31)="H",$C31/2,0)))))))</f>
        <v>0</v>
      </c>
      <c r="HY31" s="27">
        <f>IF($A31="",0,IF(Mitarbeiter!$G$29=FALSE,0,IF(AND(Mitarbeiter!$E$29&lt;&gt;"",HY$5+6&lt;Mitarbeiter!$E$29),0,IF(AND(Mitarbeiter!$F$29&lt;&gt;"",HY$5&gt;Mitarbeiter!$F$29),0,IF(Planung!HY31="",$C31,IF(ISNUMBER(Planung!HY31),Planung!HY31,IF(UPPER(Planung!HY31)="H",$C31/2,0)))))))</f>
        <v>0</v>
      </c>
      <c r="HZ31" s="27">
        <f>IF($A31="",0,IF(Mitarbeiter!$G$29=FALSE,0,IF(AND(Mitarbeiter!$E$29&lt;&gt;"",HZ$5+6&lt;Mitarbeiter!$E$29),0,IF(AND(Mitarbeiter!$F$29&lt;&gt;"",HZ$5&gt;Mitarbeiter!$F$29),0,IF(Planung!HZ31="",$C31,IF(ISNUMBER(Planung!HZ31),Planung!HZ31,IF(UPPER(Planung!HZ31)="H",$C31/2,0)))))))</f>
        <v>0</v>
      </c>
      <c r="IA31" s="27">
        <f>IF($A31="",0,IF(Mitarbeiter!$G$29=FALSE,0,IF(AND(Mitarbeiter!$E$29&lt;&gt;"",IA$5+6&lt;Mitarbeiter!$E$29),0,IF(AND(Mitarbeiter!$F$29&lt;&gt;"",IA$5&gt;Mitarbeiter!$F$29),0,IF(Planung!IA31="",$C31,IF(ISNUMBER(Planung!IA31),Planung!IA31,IF(UPPER(Planung!IA31)="H",$C31/2,0)))))))</f>
        <v>0</v>
      </c>
    </row>
    <row r="32" spans="1:235" x14ac:dyDescent="0.25">
      <c r="A32" s="7" t="str">
        <f>Planung!A32</f>
        <v/>
      </c>
      <c r="B32" s="7" t="str">
        <f>Planung!B32</f>
        <v/>
      </c>
      <c r="C32" s="27">
        <f>N(Mitarbeiter!$D$30)</f>
        <v>0</v>
      </c>
      <c r="D32" s="27">
        <f>IF($A32="",0,IF(Mitarbeiter!$G$30=FALSE,0,IF(AND(Mitarbeiter!$E$30&lt;&gt;"",D$5+6&lt;Mitarbeiter!$E$30),0,IF(AND(Mitarbeiter!$F$30&lt;&gt;"",D$5&gt;Mitarbeiter!$F$30),0,IF(Planung!D32="",$C32,IF(ISNUMBER(Planung!D32),Planung!D32,IF(UPPER(Planung!D32)="H",$C32/2,0)))))))</f>
        <v>0</v>
      </c>
      <c r="E32" s="27">
        <f>IF($A32="",0,IF(Mitarbeiter!$G$30=FALSE,0,IF(AND(Mitarbeiter!$E$30&lt;&gt;"",E$5+6&lt;Mitarbeiter!$E$30),0,IF(AND(Mitarbeiter!$F$30&lt;&gt;"",E$5&gt;Mitarbeiter!$F$30),0,IF(Planung!E32="",$C32,IF(ISNUMBER(Planung!E32),Planung!E32,IF(UPPER(Planung!E32)="H",$C32/2,0)))))))</f>
        <v>0</v>
      </c>
      <c r="F32" s="27">
        <f>IF($A32="",0,IF(Mitarbeiter!$G$30=FALSE,0,IF(AND(Mitarbeiter!$E$30&lt;&gt;"",F$5+6&lt;Mitarbeiter!$E$30),0,IF(AND(Mitarbeiter!$F$30&lt;&gt;"",F$5&gt;Mitarbeiter!$F$30),0,IF(Planung!F32="",$C32,IF(ISNUMBER(Planung!F32),Planung!F32,IF(UPPER(Planung!F32)="H",$C32/2,0)))))))</f>
        <v>0</v>
      </c>
      <c r="G32" s="27">
        <f>IF($A32="",0,IF(Mitarbeiter!$G$30=FALSE,0,IF(AND(Mitarbeiter!$E$30&lt;&gt;"",G$5+6&lt;Mitarbeiter!$E$30),0,IF(AND(Mitarbeiter!$F$30&lt;&gt;"",G$5&gt;Mitarbeiter!$F$30),0,IF(Planung!G32="",$C32,IF(ISNUMBER(Planung!G32),Planung!G32,IF(UPPER(Planung!G32)="H",$C32/2,0)))))))</f>
        <v>0</v>
      </c>
      <c r="H32" s="27">
        <f>IF($A32="",0,IF(Mitarbeiter!$G$30=FALSE,0,IF(AND(Mitarbeiter!$E$30&lt;&gt;"",H$5+6&lt;Mitarbeiter!$E$30),0,IF(AND(Mitarbeiter!$F$30&lt;&gt;"",H$5&gt;Mitarbeiter!$F$30),0,IF(Planung!H32="",$C32,IF(ISNUMBER(Planung!H32),Planung!H32,IF(UPPER(Planung!H32)="H",$C32/2,0)))))))</f>
        <v>0</v>
      </c>
      <c r="I32" s="27">
        <f>IF($A32="",0,IF(Mitarbeiter!$G$30=FALSE,0,IF(AND(Mitarbeiter!$E$30&lt;&gt;"",I$5+6&lt;Mitarbeiter!$E$30),0,IF(AND(Mitarbeiter!$F$30&lt;&gt;"",I$5&gt;Mitarbeiter!$F$30),0,IF(Planung!I32="",$C32,IF(ISNUMBER(Planung!I32),Planung!I32,IF(UPPER(Planung!I32)="H",$C32/2,0)))))))</f>
        <v>0</v>
      </c>
      <c r="J32" s="27">
        <f>IF($A32="",0,IF(Mitarbeiter!$G$30=FALSE,0,IF(AND(Mitarbeiter!$E$30&lt;&gt;"",J$5+6&lt;Mitarbeiter!$E$30),0,IF(AND(Mitarbeiter!$F$30&lt;&gt;"",J$5&gt;Mitarbeiter!$F$30),0,IF(Planung!J32="",$C32,IF(ISNUMBER(Planung!J32),Planung!J32,IF(UPPER(Planung!J32)="H",$C32/2,0)))))))</f>
        <v>0</v>
      </c>
      <c r="K32" s="27">
        <f>IF($A32="",0,IF(Mitarbeiter!$G$30=FALSE,0,IF(AND(Mitarbeiter!$E$30&lt;&gt;"",K$5+6&lt;Mitarbeiter!$E$30),0,IF(AND(Mitarbeiter!$F$30&lt;&gt;"",K$5&gt;Mitarbeiter!$F$30),0,IF(Planung!K32="",$C32,IF(ISNUMBER(Planung!K32),Planung!K32,IF(UPPER(Planung!K32)="H",$C32/2,0)))))))</f>
        <v>0</v>
      </c>
      <c r="L32" s="27">
        <f>IF($A32="",0,IF(Mitarbeiter!$G$30=FALSE,0,IF(AND(Mitarbeiter!$E$30&lt;&gt;"",L$5+6&lt;Mitarbeiter!$E$30),0,IF(AND(Mitarbeiter!$F$30&lt;&gt;"",L$5&gt;Mitarbeiter!$F$30),0,IF(Planung!L32="",$C32,IF(ISNUMBER(Planung!L32),Planung!L32,IF(UPPER(Planung!L32)="H",$C32/2,0)))))))</f>
        <v>0</v>
      </c>
      <c r="M32" s="27">
        <f>IF($A32="",0,IF(Mitarbeiter!$G$30=FALSE,0,IF(AND(Mitarbeiter!$E$30&lt;&gt;"",M$5+6&lt;Mitarbeiter!$E$30),0,IF(AND(Mitarbeiter!$F$30&lt;&gt;"",M$5&gt;Mitarbeiter!$F$30),0,IF(Planung!M32="",$C32,IF(ISNUMBER(Planung!M32),Planung!M32,IF(UPPER(Planung!M32)="H",$C32/2,0)))))))</f>
        <v>0</v>
      </c>
      <c r="N32" s="27">
        <f>IF($A32="",0,IF(Mitarbeiter!$G$30=FALSE,0,IF(AND(Mitarbeiter!$E$30&lt;&gt;"",N$5+6&lt;Mitarbeiter!$E$30),0,IF(AND(Mitarbeiter!$F$30&lt;&gt;"",N$5&gt;Mitarbeiter!$F$30),0,IF(Planung!N32="",$C32,IF(ISNUMBER(Planung!N32),Planung!N32,IF(UPPER(Planung!N32)="H",$C32/2,0)))))))</f>
        <v>0</v>
      </c>
      <c r="O32" s="27">
        <f>IF($A32="",0,IF(Mitarbeiter!$G$30=FALSE,0,IF(AND(Mitarbeiter!$E$30&lt;&gt;"",O$5+6&lt;Mitarbeiter!$E$30),0,IF(AND(Mitarbeiter!$F$30&lt;&gt;"",O$5&gt;Mitarbeiter!$F$30),0,IF(Planung!O32="",$C32,IF(ISNUMBER(Planung!O32),Planung!O32,IF(UPPER(Planung!O32)="H",$C32/2,0)))))))</f>
        <v>0</v>
      </c>
      <c r="P32" s="27">
        <f>IF($A32="",0,IF(Mitarbeiter!$G$30=FALSE,0,IF(AND(Mitarbeiter!$E$30&lt;&gt;"",P$5+6&lt;Mitarbeiter!$E$30),0,IF(AND(Mitarbeiter!$F$30&lt;&gt;"",P$5&gt;Mitarbeiter!$F$30),0,IF(Planung!P32="",$C32,IF(ISNUMBER(Planung!P32),Planung!P32,IF(UPPER(Planung!P32)="H",$C32/2,0)))))))</f>
        <v>0</v>
      </c>
      <c r="Q32" s="27">
        <f>IF($A32="",0,IF(Mitarbeiter!$G$30=FALSE,0,IF(AND(Mitarbeiter!$E$30&lt;&gt;"",Q$5+6&lt;Mitarbeiter!$E$30),0,IF(AND(Mitarbeiter!$F$30&lt;&gt;"",Q$5&gt;Mitarbeiter!$F$30),0,IF(Planung!Q32="",$C32,IF(ISNUMBER(Planung!Q32),Planung!Q32,IF(UPPER(Planung!Q32)="H",$C32/2,0)))))))</f>
        <v>0</v>
      </c>
      <c r="R32" s="27">
        <f>IF($A32="",0,IF(Mitarbeiter!$G$30=FALSE,0,IF(AND(Mitarbeiter!$E$30&lt;&gt;"",R$5+6&lt;Mitarbeiter!$E$30),0,IF(AND(Mitarbeiter!$F$30&lt;&gt;"",R$5&gt;Mitarbeiter!$F$30),0,IF(Planung!R32="",$C32,IF(ISNUMBER(Planung!R32),Planung!R32,IF(UPPER(Planung!R32)="H",$C32/2,0)))))))</f>
        <v>0</v>
      </c>
      <c r="S32" s="27">
        <f>IF($A32="",0,IF(Mitarbeiter!$G$30=FALSE,0,IF(AND(Mitarbeiter!$E$30&lt;&gt;"",S$5+6&lt;Mitarbeiter!$E$30),0,IF(AND(Mitarbeiter!$F$30&lt;&gt;"",S$5&gt;Mitarbeiter!$F$30),0,IF(Planung!S32="",$C32,IF(ISNUMBER(Planung!S32),Planung!S32,IF(UPPER(Planung!S32)="H",$C32/2,0)))))))</f>
        <v>0</v>
      </c>
      <c r="T32" s="27">
        <f>IF($A32="",0,IF(Mitarbeiter!$G$30=FALSE,0,IF(AND(Mitarbeiter!$E$30&lt;&gt;"",T$5+6&lt;Mitarbeiter!$E$30),0,IF(AND(Mitarbeiter!$F$30&lt;&gt;"",T$5&gt;Mitarbeiter!$F$30),0,IF(Planung!T32="",$C32,IF(ISNUMBER(Planung!T32),Planung!T32,IF(UPPER(Planung!T32)="H",$C32/2,0)))))))</f>
        <v>0</v>
      </c>
      <c r="U32" s="27">
        <f>IF($A32="",0,IF(Mitarbeiter!$G$30=FALSE,0,IF(AND(Mitarbeiter!$E$30&lt;&gt;"",U$5+6&lt;Mitarbeiter!$E$30),0,IF(AND(Mitarbeiter!$F$30&lt;&gt;"",U$5&gt;Mitarbeiter!$F$30),0,IF(Planung!U32="",$C32,IF(ISNUMBER(Planung!U32),Planung!U32,IF(UPPER(Planung!U32)="H",$C32/2,0)))))))</f>
        <v>0</v>
      </c>
      <c r="V32" s="27">
        <f>IF($A32="",0,IF(Mitarbeiter!$G$30=FALSE,0,IF(AND(Mitarbeiter!$E$30&lt;&gt;"",V$5+6&lt;Mitarbeiter!$E$30),0,IF(AND(Mitarbeiter!$F$30&lt;&gt;"",V$5&gt;Mitarbeiter!$F$30),0,IF(Planung!V32="",$C32,IF(ISNUMBER(Planung!V32),Planung!V32,IF(UPPER(Planung!V32)="H",$C32/2,0)))))))</f>
        <v>0</v>
      </c>
      <c r="W32" s="27">
        <f>IF($A32="",0,IF(Mitarbeiter!$G$30=FALSE,0,IF(AND(Mitarbeiter!$E$30&lt;&gt;"",W$5+6&lt;Mitarbeiter!$E$30),0,IF(AND(Mitarbeiter!$F$30&lt;&gt;"",W$5&gt;Mitarbeiter!$F$30),0,IF(Planung!W32="",$C32,IF(ISNUMBER(Planung!W32),Planung!W32,IF(UPPER(Planung!W32)="H",$C32/2,0)))))))</f>
        <v>0</v>
      </c>
      <c r="X32" s="27">
        <f>IF($A32="",0,IF(Mitarbeiter!$G$30=FALSE,0,IF(AND(Mitarbeiter!$E$30&lt;&gt;"",X$5+6&lt;Mitarbeiter!$E$30),0,IF(AND(Mitarbeiter!$F$30&lt;&gt;"",X$5&gt;Mitarbeiter!$F$30),0,IF(Planung!X32="",$C32,IF(ISNUMBER(Planung!X32),Planung!X32,IF(UPPER(Planung!X32)="H",$C32/2,0)))))))</f>
        <v>0</v>
      </c>
      <c r="Y32" s="27">
        <f>IF($A32="",0,IF(Mitarbeiter!$G$30=FALSE,0,IF(AND(Mitarbeiter!$E$30&lt;&gt;"",Y$5+6&lt;Mitarbeiter!$E$30),0,IF(AND(Mitarbeiter!$F$30&lt;&gt;"",Y$5&gt;Mitarbeiter!$F$30),0,IF(Planung!Y32="",$C32,IF(ISNUMBER(Planung!Y32),Planung!Y32,IF(UPPER(Planung!Y32)="H",$C32/2,0)))))))</f>
        <v>0</v>
      </c>
      <c r="Z32" s="27">
        <f>IF($A32="",0,IF(Mitarbeiter!$G$30=FALSE,0,IF(AND(Mitarbeiter!$E$30&lt;&gt;"",Z$5+6&lt;Mitarbeiter!$E$30),0,IF(AND(Mitarbeiter!$F$30&lt;&gt;"",Z$5&gt;Mitarbeiter!$F$30),0,IF(Planung!Z32="",$C32,IF(ISNUMBER(Planung!Z32),Planung!Z32,IF(UPPER(Planung!Z32)="H",$C32/2,0)))))))</f>
        <v>0</v>
      </c>
      <c r="AA32" s="27">
        <f>IF($A32="",0,IF(Mitarbeiter!$G$30=FALSE,0,IF(AND(Mitarbeiter!$E$30&lt;&gt;"",AA$5+6&lt;Mitarbeiter!$E$30),0,IF(AND(Mitarbeiter!$F$30&lt;&gt;"",AA$5&gt;Mitarbeiter!$F$30),0,IF(Planung!AA32="",$C32,IF(ISNUMBER(Planung!AA32),Planung!AA32,IF(UPPER(Planung!AA32)="H",$C32/2,0)))))))</f>
        <v>0</v>
      </c>
      <c r="AB32" s="27">
        <f>IF($A32="",0,IF(Mitarbeiter!$G$30=FALSE,0,IF(AND(Mitarbeiter!$E$30&lt;&gt;"",AB$5+6&lt;Mitarbeiter!$E$30),0,IF(AND(Mitarbeiter!$F$30&lt;&gt;"",AB$5&gt;Mitarbeiter!$F$30),0,IF(Planung!AB32="",$C32,IF(ISNUMBER(Planung!AB32),Planung!AB32,IF(UPPER(Planung!AB32)="H",$C32/2,0)))))))</f>
        <v>0</v>
      </c>
      <c r="AC32" s="27">
        <f>IF($A32="",0,IF(Mitarbeiter!$G$30=FALSE,0,IF(AND(Mitarbeiter!$E$30&lt;&gt;"",AC$5+6&lt;Mitarbeiter!$E$30),0,IF(AND(Mitarbeiter!$F$30&lt;&gt;"",AC$5&gt;Mitarbeiter!$F$30),0,IF(Planung!AC32="",$C32,IF(ISNUMBER(Planung!AC32),Planung!AC32,IF(UPPER(Planung!AC32)="H",$C32/2,0)))))))</f>
        <v>0</v>
      </c>
      <c r="AD32" s="27">
        <f>IF($A32="",0,IF(Mitarbeiter!$G$30=FALSE,0,IF(AND(Mitarbeiter!$E$30&lt;&gt;"",AD$5+6&lt;Mitarbeiter!$E$30),0,IF(AND(Mitarbeiter!$F$30&lt;&gt;"",AD$5&gt;Mitarbeiter!$F$30),0,IF(Planung!AD32="",$C32,IF(ISNUMBER(Planung!AD32),Planung!AD32,IF(UPPER(Planung!AD32)="H",$C32/2,0)))))))</f>
        <v>0</v>
      </c>
      <c r="AE32" s="27">
        <f>IF($A32="",0,IF(Mitarbeiter!$G$30=FALSE,0,IF(AND(Mitarbeiter!$E$30&lt;&gt;"",AE$5+6&lt;Mitarbeiter!$E$30),0,IF(AND(Mitarbeiter!$F$30&lt;&gt;"",AE$5&gt;Mitarbeiter!$F$30),0,IF(Planung!AE32="",$C32,IF(ISNUMBER(Planung!AE32),Planung!AE32,IF(UPPER(Planung!AE32)="H",$C32/2,0)))))))</f>
        <v>0</v>
      </c>
      <c r="AF32" s="27">
        <f>IF($A32="",0,IF(Mitarbeiter!$G$30=FALSE,0,IF(AND(Mitarbeiter!$E$30&lt;&gt;"",AF$5+6&lt;Mitarbeiter!$E$30),0,IF(AND(Mitarbeiter!$F$30&lt;&gt;"",AF$5&gt;Mitarbeiter!$F$30),0,IF(Planung!AF32="",$C32,IF(ISNUMBER(Planung!AF32),Planung!AF32,IF(UPPER(Planung!AF32)="H",$C32/2,0)))))))</f>
        <v>0</v>
      </c>
      <c r="AG32" s="27">
        <f>IF($A32="",0,IF(Mitarbeiter!$G$30=FALSE,0,IF(AND(Mitarbeiter!$E$30&lt;&gt;"",AG$5+6&lt;Mitarbeiter!$E$30),0,IF(AND(Mitarbeiter!$F$30&lt;&gt;"",AG$5&gt;Mitarbeiter!$F$30),0,IF(Planung!AG32="",$C32,IF(ISNUMBER(Planung!AG32),Planung!AG32,IF(UPPER(Planung!AG32)="H",$C32/2,0)))))))</f>
        <v>0</v>
      </c>
      <c r="AH32" s="27">
        <f>IF($A32="",0,IF(Mitarbeiter!$G$30=FALSE,0,IF(AND(Mitarbeiter!$E$30&lt;&gt;"",AH$5+6&lt;Mitarbeiter!$E$30),0,IF(AND(Mitarbeiter!$F$30&lt;&gt;"",AH$5&gt;Mitarbeiter!$F$30),0,IF(Planung!AH32="",$C32,IF(ISNUMBER(Planung!AH32),Planung!AH32,IF(UPPER(Planung!AH32)="H",$C32/2,0)))))))</f>
        <v>0</v>
      </c>
      <c r="AI32" s="27">
        <f>IF($A32="",0,IF(Mitarbeiter!$G$30=FALSE,0,IF(AND(Mitarbeiter!$E$30&lt;&gt;"",AI$5+6&lt;Mitarbeiter!$E$30),0,IF(AND(Mitarbeiter!$F$30&lt;&gt;"",AI$5&gt;Mitarbeiter!$F$30),0,IF(Planung!AI32="",$C32,IF(ISNUMBER(Planung!AI32),Planung!AI32,IF(UPPER(Planung!AI32)="H",$C32/2,0)))))))</f>
        <v>0</v>
      </c>
      <c r="AJ32" s="27">
        <f>IF($A32="",0,IF(Mitarbeiter!$G$30=FALSE,0,IF(AND(Mitarbeiter!$E$30&lt;&gt;"",AJ$5+6&lt;Mitarbeiter!$E$30),0,IF(AND(Mitarbeiter!$F$30&lt;&gt;"",AJ$5&gt;Mitarbeiter!$F$30),0,IF(Planung!AJ32="",$C32,IF(ISNUMBER(Planung!AJ32),Planung!AJ32,IF(UPPER(Planung!AJ32)="H",$C32/2,0)))))))</f>
        <v>0</v>
      </c>
      <c r="AK32" s="27">
        <f>IF($A32="",0,IF(Mitarbeiter!$G$30=FALSE,0,IF(AND(Mitarbeiter!$E$30&lt;&gt;"",AK$5+6&lt;Mitarbeiter!$E$30),0,IF(AND(Mitarbeiter!$F$30&lt;&gt;"",AK$5&gt;Mitarbeiter!$F$30),0,IF(Planung!AK32="",$C32,IF(ISNUMBER(Planung!AK32),Planung!AK32,IF(UPPER(Planung!AK32)="H",$C32/2,0)))))))</f>
        <v>0</v>
      </c>
      <c r="AL32" s="27">
        <f>IF($A32="",0,IF(Mitarbeiter!$G$30=FALSE,0,IF(AND(Mitarbeiter!$E$30&lt;&gt;"",AL$5+6&lt;Mitarbeiter!$E$30),0,IF(AND(Mitarbeiter!$F$30&lt;&gt;"",AL$5&gt;Mitarbeiter!$F$30),0,IF(Planung!AL32="",$C32,IF(ISNUMBER(Planung!AL32),Planung!AL32,IF(UPPER(Planung!AL32)="H",$C32/2,0)))))))</f>
        <v>0</v>
      </c>
      <c r="AM32" s="27">
        <f>IF($A32="",0,IF(Mitarbeiter!$G$30=FALSE,0,IF(AND(Mitarbeiter!$E$30&lt;&gt;"",AM$5+6&lt;Mitarbeiter!$E$30),0,IF(AND(Mitarbeiter!$F$30&lt;&gt;"",AM$5&gt;Mitarbeiter!$F$30),0,IF(Planung!AM32="",$C32,IF(ISNUMBER(Planung!AM32),Planung!AM32,IF(UPPER(Planung!AM32)="H",$C32/2,0)))))))</f>
        <v>0</v>
      </c>
      <c r="AN32" s="27">
        <f>IF($A32="",0,IF(Mitarbeiter!$G$30=FALSE,0,IF(AND(Mitarbeiter!$E$30&lt;&gt;"",AN$5+6&lt;Mitarbeiter!$E$30),0,IF(AND(Mitarbeiter!$F$30&lt;&gt;"",AN$5&gt;Mitarbeiter!$F$30),0,IF(Planung!AN32="",$C32,IF(ISNUMBER(Planung!AN32),Planung!AN32,IF(UPPER(Planung!AN32)="H",$C32/2,0)))))))</f>
        <v>0</v>
      </c>
      <c r="AO32" s="27">
        <f>IF($A32="",0,IF(Mitarbeiter!$G$30=FALSE,0,IF(AND(Mitarbeiter!$E$30&lt;&gt;"",AO$5+6&lt;Mitarbeiter!$E$30),0,IF(AND(Mitarbeiter!$F$30&lt;&gt;"",AO$5&gt;Mitarbeiter!$F$30),0,IF(Planung!AO32="",$C32,IF(ISNUMBER(Planung!AO32),Planung!AO32,IF(UPPER(Planung!AO32)="H",$C32/2,0)))))))</f>
        <v>0</v>
      </c>
      <c r="AP32" s="27">
        <f>IF($A32="",0,IF(Mitarbeiter!$G$30=FALSE,0,IF(AND(Mitarbeiter!$E$30&lt;&gt;"",AP$5+6&lt;Mitarbeiter!$E$30),0,IF(AND(Mitarbeiter!$F$30&lt;&gt;"",AP$5&gt;Mitarbeiter!$F$30),0,IF(Planung!AP32="",$C32,IF(ISNUMBER(Planung!AP32),Planung!AP32,IF(UPPER(Planung!AP32)="H",$C32/2,0)))))))</f>
        <v>0</v>
      </c>
      <c r="AQ32" s="27">
        <f>IF($A32="",0,IF(Mitarbeiter!$G$30=FALSE,0,IF(AND(Mitarbeiter!$E$30&lt;&gt;"",AQ$5+6&lt;Mitarbeiter!$E$30),0,IF(AND(Mitarbeiter!$F$30&lt;&gt;"",AQ$5&gt;Mitarbeiter!$F$30),0,IF(Planung!AQ32="",$C32,IF(ISNUMBER(Planung!AQ32),Planung!AQ32,IF(UPPER(Planung!AQ32)="H",$C32/2,0)))))))</f>
        <v>0</v>
      </c>
      <c r="AR32" s="27">
        <f>IF($A32="",0,IF(Mitarbeiter!$G$30=FALSE,0,IF(AND(Mitarbeiter!$E$30&lt;&gt;"",AR$5+6&lt;Mitarbeiter!$E$30),0,IF(AND(Mitarbeiter!$F$30&lt;&gt;"",AR$5&gt;Mitarbeiter!$F$30),0,IF(Planung!AR32="",$C32,IF(ISNUMBER(Planung!AR32),Planung!AR32,IF(UPPER(Planung!AR32)="H",$C32/2,0)))))))</f>
        <v>0</v>
      </c>
      <c r="AS32" s="27">
        <f>IF($A32="",0,IF(Mitarbeiter!$G$30=FALSE,0,IF(AND(Mitarbeiter!$E$30&lt;&gt;"",AS$5+6&lt;Mitarbeiter!$E$30),0,IF(AND(Mitarbeiter!$F$30&lt;&gt;"",AS$5&gt;Mitarbeiter!$F$30),0,IF(Planung!AS32="",$C32,IF(ISNUMBER(Planung!AS32),Planung!AS32,IF(UPPER(Planung!AS32)="H",$C32/2,0)))))))</f>
        <v>0</v>
      </c>
      <c r="AT32" s="27">
        <f>IF($A32="",0,IF(Mitarbeiter!$G$30=FALSE,0,IF(AND(Mitarbeiter!$E$30&lt;&gt;"",AT$5+6&lt;Mitarbeiter!$E$30),0,IF(AND(Mitarbeiter!$F$30&lt;&gt;"",AT$5&gt;Mitarbeiter!$F$30),0,IF(Planung!AT32="",$C32,IF(ISNUMBER(Planung!AT32),Planung!AT32,IF(UPPER(Planung!AT32)="H",$C32/2,0)))))))</f>
        <v>0</v>
      </c>
      <c r="AU32" s="27">
        <f>IF($A32="",0,IF(Mitarbeiter!$G$30=FALSE,0,IF(AND(Mitarbeiter!$E$30&lt;&gt;"",AU$5+6&lt;Mitarbeiter!$E$30),0,IF(AND(Mitarbeiter!$F$30&lt;&gt;"",AU$5&gt;Mitarbeiter!$F$30),0,IF(Planung!AU32="",$C32,IF(ISNUMBER(Planung!AU32),Planung!AU32,IF(UPPER(Planung!AU32)="H",$C32/2,0)))))))</f>
        <v>0</v>
      </c>
      <c r="AV32" s="27">
        <f>IF($A32="",0,IF(Mitarbeiter!$G$30=FALSE,0,IF(AND(Mitarbeiter!$E$30&lt;&gt;"",AV$5+6&lt;Mitarbeiter!$E$30),0,IF(AND(Mitarbeiter!$F$30&lt;&gt;"",AV$5&gt;Mitarbeiter!$F$30),0,IF(Planung!AV32="",$C32,IF(ISNUMBER(Planung!AV32),Planung!AV32,IF(UPPER(Planung!AV32)="H",$C32/2,0)))))))</f>
        <v>0</v>
      </c>
      <c r="AW32" s="27">
        <f>IF($A32="",0,IF(Mitarbeiter!$G$30=FALSE,0,IF(AND(Mitarbeiter!$E$30&lt;&gt;"",AW$5+6&lt;Mitarbeiter!$E$30),0,IF(AND(Mitarbeiter!$F$30&lt;&gt;"",AW$5&gt;Mitarbeiter!$F$30),0,IF(Planung!AW32="",$C32,IF(ISNUMBER(Planung!AW32),Planung!AW32,IF(UPPER(Planung!AW32)="H",$C32/2,0)))))))</f>
        <v>0</v>
      </c>
      <c r="AX32" s="27">
        <f>IF($A32="",0,IF(Mitarbeiter!$G$30=FALSE,0,IF(AND(Mitarbeiter!$E$30&lt;&gt;"",AX$5+6&lt;Mitarbeiter!$E$30),0,IF(AND(Mitarbeiter!$F$30&lt;&gt;"",AX$5&gt;Mitarbeiter!$F$30),0,IF(Planung!AX32="",$C32,IF(ISNUMBER(Planung!AX32),Planung!AX32,IF(UPPER(Planung!AX32)="H",$C32/2,0)))))))</f>
        <v>0</v>
      </c>
      <c r="AY32" s="27">
        <f>IF($A32="",0,IF(Mitarbeiter!$G$30=FALSE,0,IF(AND(Mitarbeiter!$E$30&lt;&gt;"",AY$5+6&lt;Mitarbeiter!$E$30),0,IF(AND(Mitarbeiter!$F$30&lt;&gt;"",AY$5&gt;Mitarbeiter!$F$30),0,IF(Planung!AY32="",$C32,IF(ISNUMBER(Planung!AY32),Planung!AY32,IF(UPPER(Planung!AY32)="H",$C32/2,0)))))))</f>
        <v>0</v>
      </c>
      <c r="AZ32" s="27">
        <f>IF($A32="",0,IF(Mitarbeiter!$G$30=FALSE,0,IF(AND(Mitarbeiter!$E$30&lt;&gt;"",AZ$5+6&lt;Mitarbeiter!$E$30),0,IF(AND(Mitarbeiter!$F$30&lt;&gt;"",AZ$5&gt;Mitarbeiter!$F$30),0,IF(Planung!AZ32="",$C32,IF(ISNUMBER(Planung!AZ32),Planung!AZ32,IF(UPPER(Planung!AZ32)="H",$C32/2,0)))))))</f>
        <v>0</v>
      </c>
      <c r="BA32" s="27">
        <f>IF($A32="",0,IF(Mitarbeiter!$G$30=FALSE,0,IF(AND(Mitarbeiter!$E$30&lt;&gt;"",BA$5+6&lt;Mitarbeiter!$E$30),0,IF(AND(Mitarbeiter!$F$30&lt;&gt;"",BA$5&gt;Mitarbeiter!$F$30),0,IF(Planung!BA32="",$C32,IF(ISNUMBER(Planung!BA32),Planung!BA32,IF(UPPER(Planung!BA32)="H",$C32/2,0)))))))</f>
        <v>0</v>
      </c>
      <c r="BB32" s="27">
        <f>IF($A32="",0,IF(Mitarbeiter!$G$30=FALSE,0,IF(AND(Mitarbeiter!$E$30&lt;&gt;"",BB$5+6&lt;Mitarbeiter!$E$30),0,IF(AND(Mitarbeiter!$F$30&lt;&gt;"",BB$5&gt;Mitarbeiter!$F$30),0,IF(Planung!BB32="",$C32,IF(ISNUMBER(Planung!BB32),Planung!BB32,IF(UPPER(Planung!BB32)="H",$C32/2,0)))))))</f>
        <v>0</v>
      </c>
      <c r="BC32" s="27">
        <f>IF($A32="",0,IF(Mitarbeiter!$G$30=FALSE,0,IF(AND(Mitarbeiter!$E$30&lt;&gt;"",BC$5+6&lt;Mitarbeiter!$E$30),0,IF(AND(Mitarbeiter!$F$30&lt;&gt;"",BC$5&gt;Mitarbeiter!$F$30),0,IF(Planung!BC32="",$C32,IF(ISNUMBER(Planung!BC32),Planung!BC32,IF(UPPER(Planung!BC32)="H",$C32/2,0)))))))</f>
        <v>0</v>
      </c>
      <c r="BD32" s="27">
        <f>IF($A32="",0,IF(Mitarbeiter!$G$30=FALSE,0,IF(AND(Mitarbeiter!$E$30&lt;&gt;"",BD$5+6&lt;Mitarbeiter!$E$30),0,IF(AND(Mitarbeiter!$F$30&lt;&gt;"",BD$5&gt;Mitarbeiter!$F$30),0,IF(Planung!BD32="",$C32,IF(ISNUMBER(Planung!BD32),Planung!BD32,IF(UPPER(Planung!BD32)="H",$C32/2,0)))))))</f>
        <v>0</v>
      </c>
      <c r="BE32" s="27">
        <f>IF($A32="",0,IF(Mitarbeiter!$G$30=FALSE,0,IF(AND(Mitarbeiter!$E$30&lt;&gt;"",BE$5+6&lt;Mitarbeiter!$E$30),0,IF(AND(Mitarbeiter!$F$30&lt;&gt;"",BE$5&gt;Mitarbeiter!$F$30),0,IF(Planung!BE32="",$C32,IF(ISNUMBER(Planung!BE32),Planung!BE32,IF(UPPER(Planung!BE32)="H",$C32/2,0)))))))</f>
        <v>0</v>
      </c>
      <c r="BF32" s="27">
        <f>IF($A32="",0,IF(Mitarbeiter!$G$30=FALSE,0,IF(AND(Mitarbeiter!$E$30&lt;&gt;"",BF$5+6&lt;Mitarbeiter!$E$30),0,IF(AND(Mitarbeiter!$F$30&lt;&gt;"",BF$5&gt;Mitarbeiter!$F$30),0,IF(Planung!BF32="",$C32,IF(ISNUMBER(Planung!BF32),Planung!BF32,IF(UPPER(Planung!BF32)="H",$C32/2,0)))))))</f>
        <v>0</v>
      </c>
      <c r="BG32" s="27">
        <f>IF($A32="",0,IF(Mitarbeiter!$G$30=FALSE,0,IF(AND(Mitarbeiter!$E$30&lt;&gt;"",BG$5+6&lt;Mitarbeiter!$E$30),0,IF(AND(Mitarbeiter!$F$30&lt;&gt;"",BG$5&gt;Mitarbeiter!$F$30),0,IF(Planung!BG32="",$C32,IF(ISNUMBER(Planung!BG32),Planung!BG32,IF(UPPER(Planung!BG32)="H",$C32/2,0)))))))</f>
        <v>0</v>
      </c>
      <c r="BH32" s="27">
        <f>IF($A32="",0,IF(Mitarbeiter!$G$30=FALSE,0,IF(AND(Mitarbeiter!$E$30&lt;&gt;"",BH$5+6&lt;Mitarbeiter!$E$30),0,IF(AND(Mitarbeiter!$F$30&lt;&gt;"",BH$5&gt;Mitarbeiter!$F$30),0,IF(Planung!BH32="",$C32,IF(ISNUMBER(Planung!BH32),Planung!BH32,IF(UPPER(Planung!BH32)="H",$C32/2,0)))))))</f>
        <v>0</v>
      </c>
      <c r="BI32" s="27">
        <f>IF($A32="",0,IF(Mitarbeiter!$G$30=FALSE,0,IF(AND(Mitarbeiter!$E$30&lt;&gt;"",BI$5+6&lt;Mitarbeiter!$E$30),0,IF(AND(Mitarbeiter!$F$30&lt;&gt;"",BI$5&gt;Mitarbeiter!$F$30),0,IF(Planung!BI32="",$C32,IF(ISNUMBER(Planung!BI32),Planung!BI32,IF(UPPER(Planung!BI32)="H",$C32/2,0)))))))</f>
        <v>0</v>
      </c>
      <c r="BJ32" s="27">
        <f>IF($A32="",0,IF(Mitarbeiter!$G$30=FALSE,0,IF(AND(Mitarbeiter!$E$30&lt;&gt;"",BJ$5+6&lt;Mitarbeiter!$E$30),0,IF(AND(Mitarbeiter!$F$30&lt;&gt;"",BJ$5&gt;Mitarbeiter!$F$30),0,IF(Planung!BJ32="",$C32,IF(ISNUMBER(Planung!BJ32),Planung!BJ32,IF(UPPER(Planung!BJ32)="H",$C32/2,0)))))))</f>
        <v>0</v>
      </c>
      <c r="BK32" s="27">
        <f>IF($A32="",0,IF(Mitarbeiter!$G$30=FALSE,0,IF(AND(Mitarbeiter!$E$30&lt;&gt;"",BK$5+6&lt;Mitarbeiter!$E$30),0,IF(AND(Mitarbeiter!$F$30&lt;&gt;"",BK$5&gt;Mitarbeiter!$F$30),0,IF(Planung!BK32="",$C32,IF(ISNUMBER(Planung!BK32),Planung!BK32,IF(UPPER(Planung!BK32)="H",$C32/2,0)))))))</f>
        <v>0</v>
      </c>
      <c r="BL32" s="27">
        <f>IF($A32="",0,IF(Mitarbeiter!$G$30=FALSE,0,IF(AND(Mitarbeiter!$E$30&lt;&gt;"",BL$5+6&lt;Mitarbeiter!$E$30),0,IF(AND(Mitarbeiter!$F$30&lt;&gt;"",BL$5&gt;Mitarbeiter!$F$30),0,IF(Planung!BL32="",$C32,IF(ISNUMBER(Planung!BL32),Planung!BL32,IF(UPPER(Planung!BL32)="H",$C32/2,0)))))))</f>
        <v>0</v>
      </c>
      <c r="BM32" s="27">
        <f>IF($A32="",0,IF(Mitarbeiter!$G$30=FALSE,0,IF(AND(Mitarbeiter!$E$30&lt;&gt;"",BM$5+6&lt;Mitarbeiter!$E$30),0,IF(AND(Mitarbeiter!$F$30&lt;&gt;"",BM$5&gt;Mitarbeiter!$F$30),0,IF(Planung!BM32="",$C32,IF(ISNUMBER(Planung!BM32),Planung!BM32,IF(UPPER(Planung!BM32)="H",$C32/2,0)))))))</f>
        <v>0</v>
      </c>
      <c r="BN32" s="27">
        <f>IF($A32="",0,IF(Mitarbeiter!$G$30=FALSE,0,IF(AND(Mitarbeiter!$E$30&lt;&gt;"",BN$5+6&lt;Mitarbeiter!$E$30),0,IF(AND(Mitarbeiter!$F$30&lt;&gt;"",BN$5&gt;Mitarbeiter!$F$30),0,IF(Planung!BN32="",$C32,IF(ISNUMBER(Planung!BN32),Planung!BN32,IF(UPPER(Planung!BN32)="H",$C32/2,0)))))))</f>
        <v>0</v>
      </c>
      <c r="BO32" s="27">
        <f>IF($A32="",0,IF(Mitarbeiter!$G$30=FALSE,0,IF(AND(Mitarbeiter!$E$30&lt;&gt;"",BO$5+6&lt;Mitarbeiter!$E$30),0,IF(AND(Mitarbeiter!$F$30&lt;&gt;"",BO$5&gt;Mitarbeiter!$F$30),0,IF(Planung!BO32="",$C32,IF(ISNUMBER(Planung!BO32),Planung!BO32,IF(UPPER(Planung!BO32)="H",$C32/2,0)))))))</f>
        <v>0</v>
      </c>
      <c r="BP32" s="27">
        <f>IF($A32="",0,IF(Mitarbeiter!$G$30=FALSE,0,IF(AND(Mitarbeiter!$E$30&lt;&gt;"",BP$5+6&lt;Mitarbeiter!$E$30),0,IF(AND(Mitarbeiter!$F$30&lt;&gt;"",BP$5&gt;Mitarbeiter!$F$30),0,IF(Planung!BP32="",$C32,IF(ISNUMBER(Planung!BP32),Planung!BP32,IF(UPPER(Planung!BP32)="H",$C32/2,0)))))))</f>
        <v>0</v>
      </c>
      <c r="BQ32" s="27">
        <f>IF($A32="",0,IF(Mitarbeiter!$G$30=FALSE,0,IF(AND(Mitarbeiter!$E$30&lt;&gt;"",BQ$5+6&lt;Mitarbeiter!$E$30),0,IF(AND(Mitarbeiter!$F$30&lt;&gt;"",BQ$5&gt;Mitarbeiter!$F$30),0,IF(Planung!BQ32="",$C32,IF(ISNUMBER(Planung!BQ32),Planung!BQ32,IF(UPPER(Planung!BQ32)="H",$C32/2,0)))))))</f>
        <v>0</v>
      </c>
      <c r="BR32" s="27">
        <f>IF($A32="",0,IF(Mitarbeiter!$G$30=FALSE,0,IF(AND(Mitarbeiter!$E$30&lt;&gt;"",BR$5+6&lt;Mitarbeiter!$E$30),0,IF(AND(Mitarbeiter!$F$30&lt;&gt;"",BR$5&gt;Mitarbeiter!$F$30),0,IF(Planung!BR32="",$C32,IF(ISNUMBER(Planung!BR32),Planung!BR32,IF(UPPER(Planung!BR32)="H",$C32/2,0)))))))</f>
        <v>0</v>
      </c>
      <c r="BS32" s="27">
        <f>IF($A32="",0,IF(Mitarbeiter!$G$30=FALSE,0,IF(AND(Mitarbeiter!$E$30&lt;&gt;"",BS$5+6&lt;Mitarbeiter!$E$30),0,IF(AND(Mitarbeiter!$F$30&lt;&gt;"",BS$5&gt;Mitarbeiter!$F$30),0,IF(Planung!BS32="",$C32,IF(ISNUMBER(Planung!BS32),Planung!BS32,IF(UPPER(Planung!BS32)="H",$C32/2,0)))))))</f>
        <v>0</v>
      </c>
      <c r="BT32" s="27">
        <f>IF($A32="",0,IF(Mitarbeiter!$G$30=FALSE,0,IF(AND(Mitarbeiter!$E$30&lt;&gt;"",BT$5+6&lt;Mitarbeiter!$E$30),0,IF(AND(Mitarbeiter!$F$30&lt;&gt;"",BT$5&gt;Mitarbeiter!$F$30),0,IF(Planung!BT32="",$C32,IF(ISNUMBER(Planung!BT32),Planung!BT32,IF(UPPER(Planung!BT32)="H",$C32/2,0)))))))</f>
        <v>0</v>
      </c>
      <c r="BU32" s="27">
        <f>IF($A32="",0,IF(Mitarbeiter!$G$30=FALSE,0,IF(AND(Mitarbeiter!$E$30&lt;&gt;"",BU$5+6&lt;Mitarbeiter!$E$30),0,IF(AND(Mitarbeiter!$F$30&lt;&gt;"",BU$5&gt;Mitarbeiter!$F$30),0,IF(Planung!BU32="",$C32,IF(ISNUMBER(Planung!BU32),Planung!BU32,IF(UPPER(Planung!BU32)="H",$C32/2,0)))))))</f>
        <v>0</v>
      </c>
      <c r="BV32" s="27">
        <f>IF($A32="",0,IF(Mitarbeiter!$G$30=FALSE,0,IF(AND(Mitarbeiter!$E$30&lt;&gt;"",BV$5+6&lt;Mitarbeiter!$E$30),0,IF(AND(Mitarbeiter!$F$30&lt;&gt;"",BV$5&gt;Mitarbeiter!$F$30),0,IF(Planung!BV32="",$C32,IF(ISNUMBER(Planung!BV32),Planung!BV32,IF(UPPER(Planung!BV32)="H",$C32/2,0)))))))</f>
        <v>0</v>
      </c>
      <c r="BW32" s="27">
        <f>IF($A32="",0,IF(Mitarbeiter!$G$30=FALSE,0,IF(AND(Mitarbeiter!$E$30&lt;&gt;"",BW$5+6&lt;Mitarbeiter!$E$30),0,IF(AND(Mitarbeiter!$F$30&lt;&gt;"",BW$5&gt;Mitarbeiter!$F$30),0,IF(Planung!BW32="",$C32,IF(ISNUMBER(Planung!BW32),Planung!BW32,IF(UPPER(Planung!BW32)="H",$C32/2,0)))))))</f>
        <v>0</v>
      </c>
      <c r="BX32" s="27">
        <f>IF($A32="",0,IF(Mitarbeiter!$G$30=FALSE,0,IF(AND(Mitarbeiter!$E$30&lt;&gt;"",BX$5+6&lt;Mitarbeiter!$E$30),0,IF(AND(Mitarbeiter!$F$30&lt;&gt;"",BX$5&gt;Mitarbeiter!$F$30),0,IF(Planung!BX32="",$C32,IF(ISNUMBER(Planung!BX32),Planung!BX32,IF(UPPER(Planung!BX32)="H",$C32/2,0)))))))</f>
        <v>0</v>
      </c>
      <c r="BY32" s="27">
        <f>IF($A32="",0,IF(Mitarbeiter!$G$30=FALSE,0,IF(AND(Mitarbeiter!$E$30&lt;&gt;"",BY$5+6&lt;Mitarbeiter!$E$30),0,IF(AND(Mitarbeiter!$F$30&lt;&gt;"",BY$5&gt;Mitarbeiter!$F$30),0,IF(Planung!BY32="",$C32,IF(ISNUMBER(Planung!BY32),Planung!BY32,IF(UPPER(Planung!BY32)="H",$C32/2,0)))))))</f>
        <v>0</v>
      </c>
      <c r="BZ32" s="27">
        <f>IF($A32="",0,IF(Mitarbeiter!$G$30=FALSE,0,IF(AND(Mitarbeiter!$E$30&lt;&gt;"",BZ$5+6&lt;Mitarbeiter!$E$30),0,IF(AND(Mitarbeiter!$F$30&lt;&gt;"",BZ$5&gt;Mitarbeiter!$F$30),0,IF(Planung!BZ32="",$C32,IF(ISNUMBER(Planung!BZ32),Planung!BZ32,IF(UPPER(Planung!BZ32)="H",$C32/2,0)))))))</f>
        <v>0</v>
      </c>
      <c r="CA32" s="27">
        <f>IF($A32="",0,IF(Mitarbeiter!$G$30=FALSE,0,IF(AND(Mitarbeiter!$E$30&lt;&gt;"",CA$5+6&lt;Mitarbeiter!$E$30),0,IF(AND(Mitarbeiter!$F$30&lt;&gt;"",CA$5&gt;Mitarbeiter!$F$30),0,IF(Planung!CA32="",$C32,IF(ISNUMBER(Planung!CA32),Planung!CA32,IF(UPPER(Planung!CA32)="H",$C32/2,0)))))))</f>
        <v>0</v>
      </c>
      <c r="CB32" s="27">
        <f>IF($A32="",0,IF(Mitarbeiter!$G$30=FALSE,0,IF(AND(Mitarbeiter!$E$30&lt;&gt;"",CB$5+6&lt;Mitarbeiter!$E$30),0,IF(AND(Mitarbeiter!$F$30&lt;&gt;"",CB$5&gt;Mitarbeiter!$F$30),0,IF(Planung!CB32="",$C32,IF(ISNUMBER(Planung!CB32),Planung!CB32,IF(UPPER(Planung!CB32)="H",$C32/2,0)))))))</f>
        <v>0</v>
      </c>
      <c r="CC32" s="27">
        <f>IF($A32="",0,IF(Mitarbeiter!$G$30=FALSE,0,IF(AND(Mitarbeiter!$E$30&lt;&gt;"",CC$5+6&lt;Mitarbeiter!$E$30),0,IF(AND(Mitarbeiter!$F$30&lt;&gt;"",CC$5&gt;Mitarbeiter!$F$30),0,IF(Planung!CC32="",$C32,IF(ISNUMBER(Planung!CC32),Planung!CC32,IF(UPPER(Planung!CC32)="H",$C32/2,0)))))))</f>
        <v>0</v>
      </c>
      <c r="CD32" s="27">
        <f>IF($A32="",0,IF(Mitarbeiter!$G$30=FALSE,0,IF(AND(Mitarbeiter!$E$30&lt;&gt;"",CD$5+6&lt;Mitarbeiter!$E$30),0,IF(AND(Mitarbeiter!$F$30&lt;&gt;"",CD$5&gt;Mitarbeiter!$F$30),0,IF(Planung!CD32="",$C32,IF(ISNUMBER(Planung!CD32),Planung!CD32,IF(UPPER(Planung!CD32)="H",$C32/2,0)))))))</f>
        <v>0</v>
      </c>
      <c r="CE32" s="27">
        <f>IF($A32="",0,IF(Mitarbeiter!$G$30=FALSE,0,IF(AND(Mitarbeiter!$E$30&lt;&gt;"",CE$5+6&lt;Mitarbeiter!$E$30),0,IF(AND(Mitarbeiter!$F$30&lt;&gt;"",CE$5&gt;Mitarbeiter!$F$30),0,IF(Planung!CE32="",$C32,IF(ISNUMBER(Planung!CE32),Planung!CE32,IF(UPPER(Planung!CE32)="H",$C32/2,0)))))))</f>
        <v>0</v>
      </c>
      <c r="CF32" s="27">
        <f>IF($A32="",0,IF(Mitarbeiter!$G$30=FALSE,0,IF(AND(Mitarbeiter!$E$30&lt;&gt;"",CF$5+6&lt;Mitarbeiter!$E$30),0,IF(AND(Mitarbeiter!$F$30&lt;&gt;"",CF$5&gt;Mitarbeiter!$F$30),0,IF(Planung!CF32="",$C32,IF(ISNUMBER(Planung!CF32),Planung!CF32,IF(UPPER(Planung!CF32)="H",$C32/2,0)))))))</f>
        <v>0</v>
      </c>
      <c r="CG32" s="27">
        <f>IF($A32="",0,IF(Mitarbeiter!$G$30=FALSE,0,IF(AND(Mitarbeiter!$E$30&lt;&gt;"",CG$5+6&lt;Mitarbeiter!$E$30),0,IF(AND(Mitarbeiter!$F$30&lt;&gt;"",CG$5&gt;Mitarbeiter!$F$30),0,IF(Planung!CG32="",$C32,IF(ISNUMBER(Planung!CG32),Planung!CG32,IF(UPPER(Planung!CG32)="H",$C32/2,0)))))))</f>
        <v>0</v>
      </c>
      <c r="CH32" s="27">
        <f>IF($A32="",0,IF(Mitarbeiter!$G$30=FALSE,0,IF(AND(Mitarbeiter!$E$30&lt;&gt;"",CH$5+6&lt;Mitarbeiter!$E$30),0,IF(AND(Mitarbeiter!$F$30&lt;&gt;"",CH$5&gt;Mitarbeiter!$F$30),0,IF(Planung!CH32="",$C32,IF(ISNUMBER(Planung!CH32),Planung!CH32,IF(UPPER(Planung!CH32)="H",$C32/2,0)))))))</f>
        <v>0</v>
      </c>
      <c r="CI32" s="27">
        <f>IF($A32="",0,IF(Mitarbeiter!$G$30=FALSE,0,IF(AND(Mitarbeiter!$E$30&lt;&gt;"",CI$5+6&lt;Mitarbeiter!$E$30),0,IF(AND(Mitarbeiter!$F$30&lt;&gt;"",CI$5&gt;Mitarbeiter!$F$30),0,IF(Planung!CI32="",$C32,IF(ISNUMBER(Planung!CI32),Planung!CI32,IF(UPPER(Planung!CI32)="H",$C32/2,0)))))))</f>
        <v>0</v>
      </c>
      <c r="CJ32" s="27">
        <f>IF($A32="",0,IF(Mitarbeiter!$G$30=FALSE,0,IF(AND(Mitarbeiter!$E$30&lt;&gt;"",CJ$5+6&lt;Mitarbeiter!$E$30),0,IF(AND(Mitarbeiter!$F$30&lt;&gt;"",CJ$5&gt;Mitarbeiter!$F$30),0,IF(Planung!CJ32="",$C32,IF(ISNUMBER(Planung!CJ32),Planung!CJ32,IF(UPPER(Planung!CJ32)="H",$C32/2,0)))))))</f>
        <v>0</v>
      </c>
      <c r="CK32" s="27">
        <f>IF($A32="",0,IF(Mitarbeiter!$G$30=FALSE,0,IF(AND(Mitarbeiter!$E$30&lt;&gt;"",CK$5+6&lt;Mitarbeiter!$E$30),0,IF(AND(Mitarbeiter!$F$30&lt;&gt;"",CK$5&gt;Mitarbeiter!$F$30),0,IF(Planung!CK32="",$C32,IF(ISNUMBER(Planung!CK32),Planung!CK32,IF(UPPER(Planung!CK32)="H",$C32/2,0)))))))</f>
        <v>0</v>
      </c>
      <c r="CL32" s="27">
        <f>IF($A32="",0,IF(Mitarbeiter!$G$30=FALSE,0,IF(AND(Mitarbeiter!$E$30&lt;&gt;"",CL$5+6&lt;Mitarbeiter!$E$30),0,IF(AND(Mitarbeiter!$F$30&lt;&gt;"",CL$5&gt;Mitarbeiter!$F$30),0,IF(Planung!CL32="",$C32,IF(ISNUMBER(Planung!CL32),Planung!CL32,IF(UPPER(Planung!CL32)="H",$C32/2,0)))))))</f>
        <v>0</v>
      </c>
      <c r="CM32" s="27">
        <f>IF($A32="",0,IF(Mitarbeiter!$G$30=FALSE,0,IF(AND(Mitarbeiter!$E$30&lt;&gt;"",CM$5+6&lt;Mitarbeiter!$E$30),0,IF(AND(Mitarbeiter!$F$30&lt;&gt;"",CM$5&gt;Mitarbeiter!$F$30),0,IF(Planung!CM32="",$C32,IF(ISNUMBER(Planung!CM32),Planung!CM32,IF(UPPER(Planung!CM32)="H",$C32/2,0)))))))</f>
        <v>0</v>
      </c>
      <c r="CN32" s="27">
        <f>IF($A32="",0,IF(Mitarbeiter!$G$30=FALSE,0,IF(AND(Mitarbeiter!$E$30&lt;&gt;"",CN$5+6&lt;Mitarbeiter!$E$30),0,IF(AND(Mitarbeiter!$F$30&lt;&gt;"",CN$5&gt;Mitarbeiter!$F$30),0,IF(Planung!CN32="",$C32,IF(ISNUMBER(Planung!CN32),Planung!CN32,IF(UPPER(Planung!CN32)="H",$C32/2,0)))))))</f>
        <v>0</v>
      </c>
      <c r="CO32" s="27">
        <f>IF($A32="",0,IF(Mitarbeiter!$G$30=FALSE,0,IF(AND(Mitarbeiter!$E$30&lt;&gt;"",CO$5+6&lt;Mitarbeiter!$E$30),0,IF(AND(Mitarbeiter!$F$30&lt;&gt;"",CO$5&gt;Mitarbeiter!$F$30),0,IF(Planung!CO32="",$C32,IF(ISNUMBER(Planung!CO32),Planung!CO32,IF(UPPER(Planung!CO32)="H",$C32/2,0)))))))</f>
        <v>0</v>
      </c>
      <c r="CP32" s="27">
        <f>IF($A32="",0,IF(Mitarbeiter!$G$30=FALSE,0,IF(AND(Mitarbeiter!$E$30&lt;&gt;"",CP$5+6&lt;Mitarbeiter!$E$30),0,IF(AND(Mitarbeiter!$F$30&lt;&gt;"",CP$5&gt;Mitarbeiter!$F$30),0,IF(Planung!CP32="",$C32,IF(ISNUMBER(Planung!CP32),Planung!CP32,IF(UPPER(Planung!CP32)="H",$C32/2,0)))))))</f>
        <v>0</v>
      </c>
      <c r="CQ32" s="27">
        <f>IF($A32="",0,IF(Mitarbeiter!$G$30=FALSE,0,IF(AND(Mitarbeiter!$E$30&lt;&gt;"",CQ$5+6&lt;Mitarbeiter!$E$30),0,IF(AND(Mitarbeiter!$F$30&lt;&gt;"",CQ$5&gt;Mitarbeiter!$F$30),0,IF(Planung!CQ32="",$C32,IF(ISNUMBER(Planung!CQ32),Planung!CQ32,IF(UPPER(Planung!CQ32)="H",$C32/2,0)))))))</f>
        <v>0</v>
      </c>
      <c r="CR32" s="27">
        <f>IF($A32="",0,IF(Mitarbeiter!$G$30=FALSE,0,IF(AND(Mitarbeiter!$E$30&lt;&gt;"",CR$5+6&lt;Mitarbeiter!$E$30),0,IF(AND(Mitarbeiter!$F$30&lt;&gt;"",CR$5&gt;Mitarbeiter!$F$30),0,IF(Planung!CR32="",$C32,IF(ISNUMBER(Planung!CR32),Planung!CR32,IF(UPPER(Planung!CR32)="H",$C32/2,0)))))))</f>
        <v>0</v>
      </c>
      <c r="CS32" s="27">
        <f>IF($A32="",0,IF(Mitarbeiter!$G$30=FALSE,0,IF(AND(Mitarbeiter!$E$30&lt;&gt;"",CS$5+6&lt;Mitarbeiter!$E$30),0,IF(AND(Mitarbeiter!$F$30&lt;&gt;"",CS$5&gt;Mitarbeiter!$F$30),0,IF(Planung!CS32="",$C32,IF(ISNUMBER(Planung!CS32),Planung!CS32,IF(UPPER(Planung!CS32)="H",$C32/2,0)))))))</f>
        <v>0</v>
      </c>
      <c r="CT32" s="27">
        <f>IF($A32="",0,IF(Mitarbeiter!$G$30=FALSE,0,IF(AND(Mitarbeiter!$E$30&lt;&gt;"",CT$5+6&lt;Mitarbeiter!$E$30),0,IF(AND(Mitarbeiter!$F$30&lt;&gt;"",CT$5&gt;Mitarbeiter!$F$30),0,IF(Planung!CT32="",$C32,IF(ISNUMBER(Planung!CT32),Planung!CT32,IF(UPPER(Planung!CT32)="H",$C32/2,0)))))))</f>
        <v>0</v>
      </c>
      <c r="CU32" s="27">
        <f>IF($A32="",0,IF(Mitarbeiter!$G$30=FALSE,0,IF(AND(Mitarbeiter!$E$30&lt;&gt;"",CU$5+6&lt;Mitarbeiter!$E$30),0,IF(AND(Mitarbeiter!$F$30&lt;&gt;"",CU$5&gt;Mitarbeiter!$F$30),0,IF(Planung!CU32="",$C32,IF(ISNUMBER(Planung!CU32),Planung!CU32,IF(UPPER(Planung!CU32)="H",$C32/2,0)))))))</f>
        <v>0</v>
      </c>
      <c r="CV32" s="27">
        <f>IF($A32="",0,IF(Mitarbeiter!$G$30=FALSE,0,IF(AND(Mitarbeiter!$E$30&lt;&gt;"",CV$5+6&lt;Mitarbeiter!$E$30),0,IF(AND(Mitarbeiter!$F$30&lt;&gt;"",CV$5&gt;Mitarbeiter!$F$30),0,IF(Planung!CV32="",$C32,IF(ISNUMBER(Planung!CV32),Planung!CV32,IF(UPPER(Planung!CV32)="H",$C32/2,0)))))))</f>
        <v>0</v>
      </c>
      <c r="CW32" s="27">
        <f>IF($A32="",0,IF(Mitarbeiter!$G$30=FALSE,0,IF(AND(Mitarbeiter!$E$30&lt;&gt;"",CW$5+6&lt;Mitarbeiter!$E$30),0,IF(AND(Mitarbeiter!$F$30&lt;&gt;"",CW$5&gt;Mitarbeiter!$F$30),0,IF(Planung!CW32="",$C32,IF(ISNUMBER(Planung!CW32),Planung!CW32,IF(UPPER(Planung!CW32)="H",$C32/2,0)))))))</f>
        <v>0</v>
      </c>
      <c r="CX32" s="27">
        <f>IF($A32="",0,IF(Mitarbeiter!$G$30=FALSE,0,IF(AND(Mitarbeiter!$E$30&lt;&gt;"",CX$5+6&lt;Mitarbeiter!$E$30),0,IF(AND(Mitarbeiter!$F$30&lt;&gt;"",CX$5&gt;Mitarbeiter!$F$30),0,IF(Planung!CX32="",$C32,IF(ISNUMBER(Planung!CX32),Planung!CX32,IF(UPPER(Planung!CX32)="H",$C32/2,0)))))))</f>
        <v>0</v>
      </c>
      <c r="CY32" s="27">
        <f>IF($A32="",0,IF(Mitarbeiter!$G$30=FALSE,0,IF(AND(Mitarbeiter!$E$30&lt;&gt;"",CY$5+6&lt;Mitarbeiter!$E$30),0,IF(AND(Mitarbeiter!$F$30&lt;&gt;"",CY$5&gt;Mitarbeiter!$F$30),0,IF(Planung!CY32="",$C32,IF(ISNUMBER(Planung!CY32),Planung!CY32,IF(UPPER(Planung!CY32)="H",$C32/2,0)))))))</f>
        <v>0</v>
      </c>
      <c r="CZ32" s="27">
        <f>IF($A32="",0,IF(Mitarbeiter!$G$30=FALSE,0,IF(AND(Mitarbeiter!$E$30&lt;&gt;"",CZ$5+6&lt;Mitarbeiter!$E$30),0,IF(AND(Mitarbeiter!$F$30&lt;&gt;"",CZ$5&gt;Mitarbeiter!$F$30),0,IF(Planung!CZ32="",$C32,IF(ISNUMBER(Planung!CZ32),Planung!CZ32,IF(UPPER(Planung!CZ32)="H",$C32/2,0)))))))</f>
        <v>0</v>
      </c>
      <c r="DA32" s="27">
        <f>IF($A32="",0,IF(Mitarbeiter!$G$30=FALSE,0,IF(AND(Mitarbeiter!$E$30&lt;&gt;"",DA$5+6&lt;Mitarbeiter!$E$30),0,IF(AND(Mitarbeiter!$F$30&lt;&gt;"",DA$5&gt;Mitarbeiter!$F$30),0,IF(Planung!DA32="",$C32,IF(ISNUMBER(Planung!DA32),Planung!DA32,IF(UPPER(Planung!DA32)="H",$C32/2,0)))))))</f>
        <v>0</v>
      </c>
      <c r="DB32" s="27">
        <f>IF($A32="",0,IF(Mitarbeiter!$G$30=FALSE,0,IF(AND(Mitarbeiter!$E$30&lt;&gt;"",DB$5+6&lt;Mitarbeiter!$E$30),0,IF(AND(Mitarbeiter!$F$30&lt;&gt;"",DB$5&gt;Mitarbeiter!$F$30),0,IF(Planung!DB32="",$C32,IF(ISNUMBER(Planung!DB32),Planung!DB32,IF(UPPER(Planung!DB32)="H",$C32/2,0)))))))</f>
        <v>0</v>
      </c>
      <c r="DC32" s="27">
        <f>IF($A32="",0,IF(Mitarbeiter!$G$30=FALSE,0,IF(AND(Mitarbeiter!$E$30&lt;&gt;"",DC$5+6&lt;Mitarbeiter!$E$30),0,IF(AND(Mitarbeiter!$F$30&lt;&gt;"",DC$5&gt;Mitarbeiter!$F$30),0,IF(Planung!DC32="",$C32,IF(ISNUMBER(Planung!DC32),Planung!DC32,IF(UPPER(Planung!DC32)="H",$C32/2,0)))))))</f>
        <v>0</v>
      </c>
      <c r="DD32" s="27">
        <f>IF($A32="",0,IF(Mitarbeiter!$G$30=FALSE,0,IF(AND(Mitarbeiter!$E$30&lt;&gt;"",DD$5+6&lt;Mitarbeiter!$E$30),0,IF(AND(Mitarbeiter!$F$30&lt;&gt;"",DD$5&gt;Mitarbeiter!$F$30),0,IF(Planung!DD32="",$C32,IF(ISNUMBER(Planung!DD32),Planung!DD32,IF(UPPER(Planung!DD32)="H",$C32/2,0)))))))</f>
        <v>0</v>
      </c>
      <c r="DE32" s="27">
        <f>IF($A32="",0,IF(Mitarbeiter!$G$30=FALSE,0,IF(AND(Mitarbeiter!$E$30&lt;&gt;"",DE$5+6&lt;Mitarbeiter!$E$30),0,IF(AND(Mitarbeiter!$F$30&lt;&gt;"",DE$5&gt;Mitarbeiter!$F$30),0,IF(Planung!DE32="",$C32,IF(ISNUMBER(Planung!DE32),Planung!DE32,IF(UPPER(Planung!DE32)="H",$C32/2,0)))))))</f>
        <v>0</v>
      </c>
      <c r="DF32" s="27">
        <f>IF($A32="",0,IF(Mitarbeiter!$G$30=FALSE,0,IF(AND(Mitarbeiter!$E$30&lt;&gt;"",DF$5+6&lt;Mitarbeiter!$E$30),0,IF(AND(Mitarbeiter!$F$30&lt;&gt;"",DF$5&gt;Mitarbeiter!$F$30),0,IF(Planung!DF32="",$C32,IF(ISNUMBER(Planung!DF32),Planung!DF32,IF(UPPER(Planung!DF32)="H",$C32/2,0)))))))</f>
        <v>0</v>
      </c>
      <c r="DG32" s="27">
        <f>IF($A32="",0,IF(Mitarbeiter!$G$30=FALSE,0,IF(AND(Mitarbeiter!$E$30&lt;&gt;"",DG$5+6&lt;Mitarbeiter!$E$30),0,IF(AND(Mitarbeiter!$F$30&lt;&gt;"",DG$5&gt;Mitarbeiter!$F$30),0,IF(Planung!DG32="",$C32,IF(ISNUMBER(Planung!DG32),Planung!DG32,IF(UPPER(Planung!DG32)="H",$C32/2,0)))))))</f>
        <v>0</v>
      </c>
      <c r="DH32" s="27">
        <f>IF($A32="",0,IF(Mitarbeiter!$G$30=FALSE,0,IF(AND(Mitarbeiter!$E$30&lt;&gt;"",DH$5+6&lt;Mitarbeiter!$E$30),0,IF(AND(Mitarbeiter!$F$30&lt;&gt;"",DH$5&gt;Mitarbeiter!$F$30),0,IF(Planung!DH32="",$C32,IF(ISNUMBER(Planung!DH32),Planung!DH32,IF(UPPER(Planung!DH32)="H",$C32/2,0)))))))</f>
        <v>0</v>
      </c>
      <c r="DI32" s="27">
        <f>IF($A32="",0,IF(Mitarbeiter!$G$30=FALSE,0,IF(AND(Mitarbeiter!$E$30&lt;&gt;"",DI$5+6&lt;Mitarbeiter!$E$30),0,IF(AND(Mitarbeiter!$F$30&lt;&gt;"",DI$5&gt;Mitarbeiter!$F$30),0,IF(Planung!DI32="",$C32,IF(ISNUMBER(Planung!DI32),Planung!DI32,IF(UPPER(Planung!DI32)="H",$C32/2,0)))))))</f>
        <v>0</v>
      </c>
      <c r="DJ32" s="27">
        <f>IF($A32="",0,IF(Mitarbeiter!$G$30=FALSE,0,IF(AND(Mitarbeiter!$E$30&lt;&gt;"",DJ$5+6&lt;Mitarbeiter!$E$30),0,IF(AND(Mitarbeiter!$F$30&lt;&gt;"",DJ$5&gt;Mitarbeiter!$F$30),0,IF(Planung!DJ32="",$C32,IF(ISNUMBER(Planung!DJ32),Planung!DJ32,IF(UPPER(Planung!DJ32)="H",$C32/2,0)))))))</f>
        <v>0</v>
      </c>
      <c r="DK32" s="27">
        <f>IF($A32="",0,IF(Mitarbeiter!$G$30=FALSE,0,IF(AND(Mitarbeiter!$E$30&lt;&gt;"",DK$5+6&lt;Mitarbeiter!$E$30),0,IF(AND(Mitarbeiter!$F$30&lt;&gt;"",DK$5&gt;Mitarbeiter!$F$30),0,IF(Planung!DK32="",$C32,IF(ISNUMBER(Planung!DK32),Planung!DK32,IF(UPPER(Planung!DK32)="H",$C32/2,0)))))))</f>
        <v>0</v>
      </c>
      <c r="DL32" s="27">
        <f>IF($A32="",0,IF(Mitarbeiter!$G$30=FALSE,0,IF(AND(Mitarbeiter!$E$30&lt;&gt;"",DL$5+6&lt;Mitarbeiter!$E$30),0,IF(AND(Mitarbeiter!$F$30&lt;&gt;"",DL$5&gt;Mitarbeiter!$F$30),0,IF(Planung!DL32="",$C32,IF(ISNUMBER(Planung!DL32),Planung!DL32,IF(UPPER(Planung!DL32)="H",$C32/2,0)))))))</f>
        <v>0</v>
      </c>
      <c r="DM32" s="27">
        <f>IF($A32="",0,IF(Mitarbeiter!$G$30=FALSE,0,IF(AND(Mitarbeiter!$E$30&lt;&gt;"",DM$5+6&lt;Mitarbeiter!$E$30),0,IF(AND(Mitarbeiter!$F$30&lt;&gt;"",DM$5&gt;Mitarbeiter!$F$30),0,IF(Planung!DM32="",$C32,IF(ISNUMBER(Planung!DM32),Planung!DM32,IF(UPPER(Planung!DM32)="H",$C32/2,0)))))))</f>
        <v>0</v>
      </c>
      <c r="DN32" s="27">
        <f>IF($A32="",0,IF(Mitarbeiter!$G$30=FALSE,0,IF(AND(Mitarbeiter!$E$30&lt;&gt;"",DN$5+6&lt;Mitarbeiter!$E$30),0,IF(AND(Mitarbeiter!$F$30&lt;&gt;"",DN$5&gt;Mitarbeiter!$F$30),0,IF(Planung!DN32="",$C32,IF(ISNUMBER(Planung!DN32),Planung!DN32,IF(UPPER(Planung!DN32)="H",$C32/2,0)))))))</f>
        <v>0</v>
      </c>
      <c r="DO32" s="27">
        <f>IF($A32="",0,IF(Mitarbeiter!$G$30=FALSE,0,IF(AND(Mitarbeiter!$E$30&lt;&gt;"",DO$5+6&lt;Mitarbeiter!$E$30),0,IF(AND(Mitarbeiter!$F$30&lt;&gt;"",DO$5&gt;Mitarbeiter!$F$30),0,IF(Planung!DO32="",$C32,IF(ISNUMBER(Planung!DO32),Planung!DO32,IF(UPPER(Planung!DO32)="H",$C32/2,0)))))))</f>
        <v>0</v>
      </c>
      <c r="DP32" s="27">
        <f>IF($A32="",0,IF(Mitarbeiter!$G$30=FALSE,0,IF(AND(Mitarbeiter!$E$30&lt;&gt;"",DP$5+6&lt;Mitarbeiter!$E$30),0,IF(AND(Mitarbeiter!$F$30&lt;&gt;"",DP$5&gt;Mitarbeiter!$F$30),0,IF(Planung!DP32="",$C32,IF(ISNUMBER(Planung!DP32),Planung!DP32,IF(UPPER(Planung!DP32)="H",$C32/2,0)))))))</f>
        <v>0</v>
      </c>
      <c r="DQ32" s="27">
        <f>IF($A32="",0,IF(Mitarbeiter!$G$30=FALSE,0,IF(AND(Mitarbeiter!$E$30&lt;&gt;"",DQ$5+6&lt;Mitarbeiter!$E$30),0,IF(AND(Mitarbeiter!$F$30&lt;&gt;"",DQ$5&gt;Mitarbeiter!$F$30),0,IF(Planung!DQ32="",$C32,IF(ISNUMBER(Planung!DQ32),Planung!DQ32,IF(UPPER(Planung!DQ32)="H",$C32/2,0)))))))</f>
        <v>0</v>
      </c>
      <c r="DR32" s="27">
        <f>IF($A32="",0,IF(Mitarbeiter!$G$30=FALSE,0,IF(AND(Mitarbeiter!$E$30&lt;&gt;"",DR$5+6&lt;Mitarbeiter!$E$30),0,IF(AND(Mitarbeiter!$F$30&lt;&gt;"",DR$5&gt;Mitarbeiter!$F$30),0,IF(Planung!DR32="",$C32,IF(ISNUMBER(Planung!DR32),Planung!DR32,IF(UPPER(Planung!DR32)="H",$C32/2,0)))))))</f>
        <v>0</v>
      </c>
      <c r="DS32" s="27">
        <f>IF($A32="",0,IF(Mitarbeiter!$G$30=FALSE,0,IF(AND(Mitarbeiter!$E$30&lt;&gt;"",DS$5+6&lt;Mitarbeiter!$E$30),0,IF(AND(Mitarbeiter!$F$30&lt;&gt;"",DS$5&gt;Mitarbeiter!$F$30),0,IF(Planung!DS32="",$C32,IF(ISNUMBER(Planung!DS32),Planung!DS32,IF(UPPER(Planung!DS32)="H",$C32/2,0)))))))</f>
        <v>0</v>
      </c>
      <c r="DT32" s="27">
        <f>IF($A32="",0,IF(Mitarbeiter!$G$30=FALSE,0,IF(AND(Mitarbeiter!$E$30&lt;&gt;"",DT$5+6&lt;Mitarbeiter!$E$30),0,IF(AND(Mitarbeiter!$F$30&lt;&gt;"",DT$5&gt;Mitarbeiter!$F$30),0,IF(Planung!DT32="",$C32,IF(ISNUMBER(Planung!DT32),Planung!DT32,IF(UPPER(Planung!DT32)="H",$C32/2,0)))))))</f>
        <v>0</v>
      </c>
      <c r="DU32" s="27">
        <f>IF($A32="",0,IF(Mitarbeiter!$G$30=FALSE,0,IF(AND(Mitarbeiter!$E$30&lt;&gt;"",DU$5+6&lt;Mitarbeiter!$E$30),0,IF(AND(Mitarbeiter!$F$30&lt;&gt;"",DU$5&gt;Mitarbeiter!$F$30),0,IF(Planung!DU32="",$C32,IF(ISNUMBER(Planung!DU32),Planung!DU32,IF(UPPER(Planung!DU32)="H",$C32/2,0)))))))</f>
        <v>0</v>
      </c>
      <c r="DV32" s="27">
        <f>IF($A32="",0,IF(Mitarbeiter!$G$30=FALSE,0,IF(AND(Mitarbeiter!$E$30&lt;&gt;"",DV$5+6&lt;Mitarbeiter!$E$30),0,IF(AND(Mitarbeiter!$F$30&lt;&gt;"",DV$5&gt;Mitarbeiter!$F$30),0,IF(Planung!DV32="",$C32,IF(ISNUMBER(Planung!DV32),Planung!DV32,IF(UPPER(Planung!DV32)="H",$C32/2,0)))))))</f>
        <v>0</v>
      </c>
      <c r="DW32" s="27">
        <f>IF($A32="",0,IF(Mitarbeiter!$G$30=FALSE,0,IF(AND(Mitarbeiter!$E$30&lt;&gt;"",DW$5+6&lt;Mitarbeiter!$E$30),0,IF(AND(Mitarbeiter!$F$30&lt;&gt;"",DW$5&gt;Mitarbeiter!$F$30),0,IF(Planung!DW32="",$C32,IF(ISNUMBER(Planung!DW32),Planung!DW32,IF(UPPER(Planung!DW32)="H",$C32/2,0)))))))</f>
        <v>0</v>
      </c>
      <c r="DX32" s="27">
        <f>IF($A32="",0,IF(Mitarbeiter!$G$30=FALSE,0,IF(AND(Mitarbeiter!$E$30&lt;&gt;"",DX$5+6&lt;Mitarbeiter!$E$30),0,IF(AND(Mitarbeiter!$F$30&lt;&gt;"",DX$5&gt;Mitarbeiter!$F$30),0,IF(Planung!DX32="",$C32,IF(ISNUMBER(Planung!DX32),Planung!DX32,IF(UPPER(Planung!DX32)="H",$C32/2,0)))))))</f>
        <v>0</v>
      </c>
      <c r="DY32" s="27">
        <f>IF($A32="",0,IF(Mitarbeiter!$G$30=FALSE,0,IF(AND(Mitarbeiter!$E$30&lt;&gt;"",DY$5+6&lt;Mitarbeiter!$E$30),0,IF(AND(Mitarbeiter!$F$30&lt;&gt;"",DY$5&gt;Mitarbeiter!$F$30),0,IF(Planung!DY32="",$C32,IF(ISNUMBER(Planung!DY32),Planung!DY32,IF(UPPER(Planung!DY32)="H",$C32/2,0)))))))</f>
        <v>0</v>
      </c>
      <c r="DZ32" s="27">
        <f>IF($A32="",0,IF(Mitarbeiter!$G$30=FALSE,0,IF(AND(Mitarbeiter!$E$30&lt;&gt;"",DZ$5+6&lt;Mitarbeiter!$E$30),0,IF(AND(Mitarbeiter!$F$30&lt;&gt;"",DZ$5&gt;Mitarbeiter!$F$30),0,IF(Planung!DZ32="",$C32,IF(ISNUMBER(Planung!DZ32),Planung!DZ32,IF(UPPER(Planung!DZ32)="H",$C32/2,0)))))))</f>
        <v>0</v>
      </c>
      <c r="EA32" s="27">
        <f>IF($A32="",0,IF(Mitarbeiter!$G$30=FALSE,0,IF(AND(Mitarbeiter!$E$30&lt;&gt;"",EA$5+6&lt;Mitarbeiter!$E$30),0,IF(AND(Mitarbeiter!$F$30&lt;&gt;"",EA$5&gt;Mitarbeiter!$F$30),0,IF(Planung!EA32="",$C32,IF(ISNUMBER(Planung!EA32),Planung!EA32,IF(UPPER(Planung!EA32)="H",$C32/2,0)))))))</f>
        <v>0</v>
      </c>
      <c r="EB32" s="27">
        <f>IF($A32="",0,IF(Mitarbeiter!$G$30=FALSE,0,IF(AND(Mitarbeiter!$E$30&lt;&gt;"",EB$5+6&lt;Mitarbeiter!$E$30),0,IF(AND(Mitarbeiter!$F$30&lt;&gt;"",EB$5&gt;Mitarbeiter!$F$30),0,IF(Planung!EB32="",$C32,IF(ISNUMBER(Planung!EB32),Planung!EB32,IF(UPPER(Planung!EB32)="H",$C32/2,0)))))))</f>
        <v>0</v>
      </c>
      <c r="EC32" s="27">
        <f>IF($A32="",0,IF(Mitarbeiter!$G$30=FALSE,0,IF(AND(Mitarbeiter!$E$30&lt;&gt;"",EC$5+6&lt;Mitarbeiter!$E$30),0,IF(AND(Mitarbeiter!$F$30&lt;&gt;"",EC$5&gt;Mitarbeiter!$F$30),0,IF(Planung!EC32="",$C32,IF(ISNUMBER(Planung!EC32),Planung!EC32,IF(UPPER(Planung!EC32)="H",$C32/2,0)))))))</f>
        <v>0</v>
      </c>
      <c r="ED32" s="27">
        <f>IF($A32="",0,IF(Mitarbeiter!$G$30=FALSE,0,IF(AND(Mitarbeiter!$E$30&lt;&gt;"",ED$5+6&lt;Mitarbeiter!$E$30),0,IF(AND(Mitarbeiter!$F$30&lt;&gt;"",ED$5&gt;Mitarbeiter!$F$30),0,IF(Planung!ED32="",$C32,IF(ISNUMBER(Planung!ED32),Planung!ED32,IF(UPPER(Planung!ED32)="H",$C32/2,0)))))))</f>
        <v>0</v>
      </c>
      <c r="EE32" s="27">
        <f>IF($A32="",0,IF(Mitarbeiter!$G$30=FALSE,0,IF(AND(Mitarbeiter!$E$30&lt;&gt;"",EE$5+6&lt;Mitarbeiter!$E$30),0,IF(AND(Mitarbeiter!$F$30&lt;&gt;"",EE$5&gt;Mitarbeiter!$F$30),0,IF(Planung!EE32="",$C32,IF(ISNUMBER(Planung!EE32),Planung!EE32,IF(UPPER(Planung!EE32)="H",$C32/2,0)))))))</f>
        <v>0</v>
      </c>
      <c r="EF32" s="27">
        <f>IF($A32="",0,IF(Mitarbeiter!$G$30=FALSE,0,IF(AND(Mitarbeiter!$E$30&lt;&gt;"",EF$5+6&lt;Mitarbeiter!$E$30),0,IF(AND(Mitarbeiter!$F$30&lt;&gt;"",EF$5&gt;Mitarbeiter!$F$30),0,IF(Planung!EF32="",$C32,IF(ISNUMBER(Planung!EF32),Planung!EF32,IF(UPPER(Planung!EF32)="H",$C32/2,0)))))))</f>
        <v>0</v>
      </c>
      <c r="EG32" s="27">
        <f>IF($A32="",0,IF(Mitarbeiter!$G$30=FALSE,0,IF(AND(Mitarbeiter!$E$30&lt;&gt;"",EG$5+6&lt;Mitarbeiter!$E$30),0,IF(AND(Mitarbeiter!$F$30&lt;&gt;"",EG$5&gt;Mitarbeiter!$F$30),0,IF(Planung!EG32="",$C32,IF(ISNUMBER(Planung!EG32),Planung!EG32,IF(UPPER(Planung!EG32)="H",$C32/2,0)))))))</f>
        <v>0</v>
      </c>
      <c r="EH32" s="27">
        <f>IF($A32="",0,IF(Mitarbeiter!$G$30=FALSE,0,IF(AND(Mitarbeiter!$E$30&lt;&gt;"",EH$5+6&lt;Mitarbeiter!$E$30),0,IF(AND(Mitarbeiter!$F$30&lt;&gt;"",EH$5&gt;Mitarbeiter!$F$30),0,IF(Planung!EH32="",$C32,IF(ISNUMBER(Planung!EH32),Planung!EH32,IF(UPPER(Planung!EH32)="H",$C32/2,0)))))))</f>
        <v>0</v>
      </c>
      <c r="EI32" s="27">
        <f>IF($A32="",0,IF(Mitarbeiter!$G$30=FALSE,0,IF(AND(Mitarbeiter!$E$30&lt;&gt;"",EI$5+6&lt;Mitarbeiter!$E$30),0,IF(AND(Mitarbeiter!$F$30&lt;&gt;"",EI$5&gt;Mitarbeiter!$F$30),0,IF(Planung!EI32="",$C32,IF(ISNUMBER(Planung!EI32),Planung!EI32,IF(UPPER(Planung!EI32)="H",$C32/2,0)))))))</f>
        <v>0</v>
      </c>
      <c r="EJ32" s="27">
        <f>IF($A32="",0,IF(Mitarbeiter!$G$30=FALSE,0,IF(AND(Mitarbeiter!$E$30&lt;&gt;"",EJ$5+6&lt;Mitarbeiter!$E$30),0,IF(AND(Mitarbeiter!$F$30&lt;&gt;"",EJ$5&gt;Mitarbeiter!$F$30),0,IF(Planung!EJ32="",$C32,IF(ISNUMBER(Planung!EJ32),Planung!EJ32,IF(UPPER(Planung!EJ32)="H",$C32/2,0)))))))</f>
        <v>0</v>
      </c>
      <c r="EK32" s="27">
        <f>IF($A32="",0,IF(Mitarbeiter!$G$30=FALSE,0,IF(AND(Mitarbeiter!$E$30&lt;&gt;"",EK$5+6&lt;Mitarbeiter!$E$30),0,IF(AND(Mitarbeiter!$F$30&lt;&gt;"",EK$5&gt;Mitarbeiter!$F$30),0,IF(Planung!EK32="",$C32,IF(ISNUMBER(Planung!EK32),Planung!EK32,IF(UPPER(Planung!EK32)="H",$C32/2,0)))))))</f>
        <v>0</v>
      </c>
      <c r="EL32" s="27">
        <f>IF($A32="",0,IF(Mitarbeiter!$G$30=FALSE,0,IF(AND(Mitarbeiter!$E$30&lt;&gt;"",EL$5+6&lt;Mitarbeiter!$E$30),0,IF(AND(Mitarbeiter!$F$30&lt;&gt;"",EL$5&gt;Mitarbeiter!$F$30),0,IF(Planung!EL32="",$C32,IF(ISNUMBER(Planung!EL32),Planung!EL32,IF(UPPER(Planung!EL32)="H",$C32/2,0)))))))</f>
        <v>0</v>
      </c>
      <c r="EM32" s="27">
        <f>IF($A32="",0,IF(Mitarbeiter!$G$30=FALSE,0,IF(AND(Mitarbeiter!$E$30&lt;&gt;"",EM$5+6&lt;Mitarbeiter!$E$30),0,IF(AND(Mitarbeiter!$F$30&lt;&gt;"",EM$5&gt;Mitarbeiter!$F$30),0,IF(Planung!EM32="",$C32,IF(ISNUMBER(Planung!EM32),Planung!EM32,IF(UPPER(Planung!EM32)="H",$C32/2,0)))))))</f>
        <v>0</v>
      </c>
      <c r="EN32" s="27">
        <f>IF($A32="",0,IF(Mitarbeiter!$G$30=FALSE,0,IF(AND(Mitarbeiter!$E$30&lt;&gt;"",EN$5+6&lt;Mitarbeiter!$E$30),0,IF(AND(Mitarbeiter!$F$30&lt;&gt;"",EN$5&gt;Mitarbeiter!$F$30),0,IF(Planung!EN32="",$C32,IF(ISNUMBER(Planung!EN32),Planung!EN32,IF(UPPER(Planung!EN32)="H",$C32/2,0)))))))</f>
        <v>0</v>
      </c>
      <c r="EO32" s="27">
        <f>IF($A32="",0,IF(Mitarbeiter!$G$30=FALSE,0,IF(AND(Mitarbeiter!$E$30&lt;&gt;"",EO$5+6&lt;Mitarbeiter!$E$30),0,IF(AND(Mitarbeiter!$F$30&lt;&gt;"",EO$5&gt;Mitarbeiter!$F$30),0,IF(Planung!EO32="",$C32,IF(ISNUMBER(Planung!EO32),Planung!EO32,IF(UPPER(Planung!EO32)="H",$C32/2,0)))))))</f>
        <v>0</v>
      </c>
      <c r="EP32" s="27">
        <f>IF($A32="",0,IF(Mitarbeiter!$G$30=FALSE,0,IF(AND(Mitarbeiter!$E$30&lt;&gt;"",EP$5+6&lt;Mitarbeiter!$E$30),0,IF(AND(Mitarbeiter!$F$30&lt;&gt;"",EP$5&gt;Mitarbeiter!$F$30),0,IF(Planung!EP32="",$C32,IF(ISNUMBER(Planung!EP32),Planung!EP32,IF(UPPER(Planung!EP32)="H",$C32/2,0)))))))</f>
        <v>0</v>
      </c>
      <c r="EQ32" s="27">
        <f>IF($A32="",0,IF(Mitarbeiter!$G$30=FALSE,0,IF(AND(Mitarbeiter!$E$30&lt;&gt;"",EQ$5+6&lt;Mitarbeiter!$E$30),0,IF(AND(Mitarbeiter!$F$30&lt;&gt;"",EQ$5&gt;Mitarbeiter!$F$30),0,IF(Planung!EQ32="",$C32,IF(ISNUMBER(Planung!EQ32),Planung!EQ32,IF(UPPER(Planung!EQ32)="H",$C32/2,0)))))))</f>
        <v>0</v>
      </c>
      <c r="ER32" s="27">
        <f>IF($A32="",0,IF(Mitarbeiter!$G$30=FALSE,0,IF(AND(Mitarbeiter!$E$30&lt;&gt;"",ER$5+6&lt;Mitarbeiter!$E$30),0,IF(AND(Mitarbeiter!$F$30&lt;&gt;"",ER$5&gt;Mitarbeiter!$F$30),0,IF(Planung!ER32="",$C32,IF(ISNUMBER(Planung!ER32),Planung!ER32,IF(UPPER(Planung!ER32)="H",$C32/2,0)))))))</f>
        <v>0</v>
      </c>
      <c r="ES32" s="27">
        <f>IF($A32="",0,IF(Mitarbeiter!$G$30=FALSE,0,IF(AND(Mitarbeiter!$E$30&lt;&gt;"",ES$5+6&lt;Mitarbeiter!$E$30),0,IF(AND(Mitarbeiter!$F$30&lt;&gt;"",ES$5&gt;Mitarbeiter!$F$30),0,IF(Planung!ES32="",$C32,IF(ISNUMBER(Planung!ES32),Planung!ES32,IF(UPPER(Planung!ES32)="H",$C32/2,0)))))))</f>
        <v>0</v>
      </c>
      <c r="ET32" s="27">
        <f>IF($A32="",0,IF(Mitarbeiter!$G$30=FALSE,0,IF(AND(Mitarbeiter!$E$30&lt;&gt;"",ET$5+6&lt;Mitarbeiter!$E$30),0,IF(AND(Mitarbeiter!$F$30&lt;&gt;"",ET$5&gt;Mitarbeiter!$F$30),0,IF(Planung!ET32="",$C32,IF(ISNUMBER(Planung!ET32),Planung!ET32,IF(UPPER(Planung!ET32)="H",$C32/2,0)))))))</f>
        <v>0</v>
      </c>
      <c r="EU32" s="27">
        <f>IF($A32="",0,IF(Mitarbeiter!$G$30=FALSE,0,IF(AND(Mitarbeiter!$E$30&lt;&gt;"",EU$5+6&lt;Mitarbeiter!$E$30),0,IF(AND(Mitarbeiter!$F$30&lt;&gt;"",EU$5&gt;Mitarbeiter!$F$30),0,IF(Planung!EU32="",$C32,IF(ISNUMBER(Planung!EU32),Planung!EU32,IF(UPPER(Planung!EU32)="H",$C32/2,0)))))))</f>
        <v>0</v>
      </c>
      <c r="EV32" s="27">
        <f>IF($A32="",0,IF(Mitarbeiter!$G$30=FALSE,0,IF(AND(Mitarbeiter!$E$30&lt;&gt;"",EV$5+6&lt;Mitarbeiter!$E$30),0,IF(AND(Mitarbeiter!$F$30&lt;&gt;"",EV$5&gt;Mitarbeiter!$F$30),0,IF(Planung!EV32="",$C32,IF(ISNUMBER(Planung!EV32),Planung!EV32,IF(UPPER(Planung!EV32)="H",$C32/2,0)))))))</f>
        <v>0</v>
      </c>
      <c r="EW32" s="27">
        <f>IF($A32="",0,IF(Mitarbeiter!$G$30=FALSE,0,IF(AND(Mitarbeiter!$E$30&lt;&gt;"",EW$5+6&lt;Mitarbeiter!$E$30),0,IF(AND(Mitarbeiter!$F$30&lt;&gt;"",EW$5&gt;Mitarbeiter!$F$30),0,IF(Planung!EW32="",$C32,IF(ISNUMBER(Planung!EW32),Planung!EW32,IF(UPPER(Planung!EW32)="H",$C32/2,0)))))))</f>
        <v>0</v>
      </c>
      <c r="EX32" s="27">
        <f>IF($A32="",0,IF(Mitarbeiter!$G$30=FALSE,0,IF(AND(Mitarbeiter!$E$30&lt;&gt;"",EX$5+6&lt;Mitarbeiter!$E$30),0,IF(AND(Mitarbeiter!$F$30&lt;&gt;"",EX$5&gt;Mitarbeiter!$F$30),0,IF(Planung!EX32="",$C32,IF(ISNUMBER(Planung!EX32),Planung!EX32,IF(UPPER(Planung!EX32)="H",$C32/2,0)))))))</f>
        <v>0</v>
      </c>
      <c r="EY32" s="27">
        <f>IF($A32="",0,IF(Mitarbeiter!$G$30=FALSE,0,IF(AND(Mitarbeiter!$E$30&lt;&gt;"",EY$5+6&lt;Mitarbeiter!$E$30),0,IF(AND(Mitarbeiter!$F$30&lt;&gt;"",EY$5&gt;Mitarbeiter!$F$30),0,IF(Planung!EY32="",$C32,IF(ISNUMBER(Planung!EY32),Planung!EY32,IF(UPPER(Planung!EY32)="H",$C32/2,0)))))))</f>
        <v>0</v>
      </c>
      <c r="EZ32" s="27">
        <f>IF($A32="",0,IF(Mitarbeiter!$G$30=FALSE,0,IF(AND(Mitarbeiter!$E$30&lt;&gt;"",EZ$5+6&lt;Mitarbeiter!$E$30),0,IF(AND(Mitarbeiter!$F$30&lt;&gt;"",EZ$5&gt;Mitarbeiter!$F$30),0,IF(Planung!EZ32="",$C32,IF(ISNUMBER(Planung!EZ32),Planung!EZ32,IF(UPPER(Planung!EZ32)="H",$C32/2,0)))))))</f>
        <v>0</v>
      </c>
      <c r="FA32" s="27">
        <f>IF($A32="",0,IF(Mitarbeiter!$G$30=FALSE,0,IF(AND(Mitarbeiter!$E$30&lt;&gt;"",FA$5+6&lt;Mitarbeiter!$E$30),0,IF(AND(Mitarbeiter!$F$30&lt;&gt;"",FA$5&gt;Mitarbeiter!$F$30),0,IF(Planung!FA32="",$C32,IF(ISNUMBER(Planung!FA32),Planung!FA32,IF(UPPER(Planung!FA32)="H",$C32/2,0)))))))</f>
        <v>0</v>
      </c>
      <c r="FB32" s="27">
        <f>IF($A32="",0,IF(Mitarbeiter!$G$30=FALSE,0,IF(AND(Mitarbeiter!$E$30&lt;&gt;"",FB$5+6&lt;Mitarbeiter!$E$30),0,IF(AND(Mitarbeiter!$F$30&lt;&gt;"",FB$5&gt;Mitarbeiter!$F$30),0,IF(Planung!FB32="",$C32,IF(ISNUMBER(Planung!FB32),Planung!FB32,IF(UPPER(Planung!FB32)="H",$C32/2,0)))))))</f>
        <v>0</v>
      </c>
      <c r="FC32" s="27">
        <f>IF($A32="",0,IF(Mitarbeiter!$G$30=FALSE,0,IF(AND(Mitarbeiter!$E$30&lt;&gt;"",FC$5+6&lt;Mitarbeiter!$E$30),0,IF(AND(Mitarbeiter!$F$30&lt;&gt;"",FC$5&gt;Mitarbeiter!$F$30),0,IF(Planung!FC32="",$C32,IF(ISNUMBER(Planung!FC32),Planung!FC32,IF(UPPER(Planung!FC32)="H",$C32/2,0)))))))</f>
        <v>0</v>
      </c>
      <c r="FD32" s="27">
        <f>IF($A32="",0,IF(Mitarbeiter!$G$30=FALSE,0,IF(AND(Mitarbeiter!$E$30&lt;&gt;"",FD$5+6&lt;Mitarbeiter!$E$30),0,IF(AND(Mitarbeiter!$F$30&lt;&gt;"",FD$5&gt;Mitarbeiter!$F$30),0,IF(Planung!FD32="",$C32,IF(ISNUMBER(Planung!FD32),Planung!FD32,IF(UPPER(Planung!FD32)="H",$C32/2,0)))))))</f>
        <v>0</v>
      </c>
      <c r="FE32" s="27">
        <f>IF($A32="",0,IF(Mitarbeiter!$G$30=FALSE,0,IF(AND(Mitarbeiter!$E$30&lt;&gt;"",FE$5+6&lt;Mitarbeiter!$E$30),0,IF(AND(Mitarbeiter!$F$30&lt;&gt;"",FE$5&gt;Mitarbeiter!$F$30),0,IF(Planung!FE32="",$C32,IF(ISNUMBER(Planung!FE32),Planung!FE32,IF(UPPER(Planung!FE32)="H",$C32/2,0)))))))</f>
        <v>0</v>
      </c>
      <c r="FF32" s="27">
        <f>IF($A32="",0,IF(Mitarbeiter!$G$30=FALSE,0,IF(AND(Mitarbeiter!$E$30&lt;&gt;"",FF$5+6&lt;Mitarbeiter!$E$30),0,IF(AND(Mitarbeiter!$F$30&lt;&gt;"",FF$5&gt;Mitarbeiter!$F$30),0,IF(Planung!FF32="",$C32,IF(ISNUMBER(Planung!FF32),Planung!FF32,IF(UPPER(Planung!FF32)="H",$C32/2,0)))))))</f>
        <v>0</v>
      </c>
      <c r="FG32" s="27">
        <f>IF($A32="",0,IF(Mitarbeiter!$G$30=FALSE,0,IF(AND(Mitarbeiter!$E$30&lt;&gt;"",FG$5+6&lt;Mitarbeiter!$E$30),0,IF(AND(Mitarbeiter!$F$30&lt;&gt;"",FG$5&gt;Mitarbeiter!$F$30),0,IF(Planung!FG32="",$C32,IF(ISNUMBER(Planung!FG32),Planung!FG32,IF(UPPER(Planung!FG32)="H",$C32/2,0)))))))</f>
        <v>0</v>
      </c>
      <c r="FH32" s="27">
        <f>IF($A32="",0,IF(Mitarbeiter!$G$30=FALSE,0,IF(AND(Mitarbeiter!$E$30&lt;&gt;"",FH$5+6&lt;Mitarbeiter!$E$30),0,IF(AND(Mitarbeiter!$F$30&lt;&gt;"",FH$5&gt;Mitarbeiter!$F$30),0,IF(Planung!FH32="",$C32,IF(ISNUMBER(Planung!FH32),Planung!FH32,IF(UPPER(Planung!FH32)="H",$C32/2,0)))))))</f>
        <v>0</v>
      </c>
      <c r="FI32" s="27">
        <f>IF($A32="",0,IF(Mitarbeiter!$G$30=FALSE,0,IF(AND(Mitarbeiter!$E$30&lt;&gt;"",FI$5+6&lt;Mitarbeiter!$E$30),0,IF(AND(Mitarbeiter!$F$30&lt;&gt;"",FI$5&gt;Mitarbeiter!$F$30),0,IF(Planung!FI32="",$C32,IF(ISNUMBER(Planung!FI32),Planung!FI32,IF(UPPER(Planung!FI32)="H",$C32/2,0)))))))</f>
        <v>0</v>
      </c>
      <c r="FJ32" s="27">
        <f>IF($A32="",0,IF(Mitarbeiter!$G$30=FALSE,0,IF(AND(Mitarbeiter!$E$30&lt;&gt;"",FJ$5+6&lt;Mitarbeiter!$E$30),0,IF(AND(Mitarbeiter!$F$30&lt;&gt;"",FJ$5&gt;Mitarbeiter!$F$30),0,IF(Planung!FJ32="",$C32,IF(ISNUMBER(Planung!FJ32),Planung!FJ32,IF(UPPER(Planung!FJ32)="H",$C32/2,0)))))))</f>
        <v>0</v>
      </c>
      <c r="FK32" s="27">
        <f>IF($A32="",0,IF(Mitarbeiter!$G$30=FALSE,0,IF(AND(Mitarbeiter!$E$30&lt;&gt;"",FK$5+6&lt;Mitarbeiter!$E$30),0,IF(AND(Mitarbeiter!$F$30&lt;&gt;"",FK$5&gt;Mitarbeiter!$F$30),0,IF(Planung!FK32="",$C32,IF(ISNUMBER(Planung!FK32),Planung!FK32,IF(UPPER(Planung!FK32)="H",$C32/2,0)))))))</f>
        <v>0</v>
      </c>
      <c r="FL32" s="27">
        <f>IF($A32="",0,IF(Mitarbeiter!$G$30=FALSE,0,IF(AND(Mitarbeiter!$E$30&lt;&gt;"",FL$5+6&lt;Mitarbeiter!$E$30),0,IF(AND(Mitarbeiter!$F$30&lt;&gt;"",FL$5&gt;Mitarbeiter!$F$30),0,IF(Planung!FL32="",$C32,IF(ISNUMBER(Planung!FL32),Planung!FL32,IF(UPPER(Planung!FL32)="H",$C32/2,0)))))))</f>
        <v>0</v>
      </c>
      <c r="FM32" s="27">
        <f>IF($A32="",0,IF(Mitarbeiter!$G$30=FALSE,0,IF(AND(Mitarbeiter!$E$30&lt;&gt;"",FM$5+6&lt;Mitarbeiter!$E$30),0,IF(AND(Mitarbeiter!$F$30&lt;&gt;"",FM$5&gt;Mitarbeiter!$F$30),0,IF(Planung!FM32="",$C32,IF(ISNUMBER(Planung!FM32),Planung!FM32,IF(UPPER(Planung!FM32)="H",$C32/2,0)))))))</f>
        <v>0</v>
      </c>
      <c r="FN32" s="27">
        <f>IF($A32="",0,IF(Mitarbeiter!$G$30=FALSE,0,IF(AND(Mitarbeiter!$E$30&lt;&gt;"",FN$5+6&lt;Mitarbeiter!$E$30),0,IF(AND(Mitarbeiter!$F$30&lt;&gt;"",FN$5&gt;Mitarbeiter!$F$30),0,IF(Planung!FN32="",$C32,IF(ISNUMBER(Planung!FN32),Planung!FN32,IF(UPPER(Planung!FN32)="H",$C32/2,0)))))))</f>
        <v>0</v>
      </c>
      <c r="FO32" s="27">
        <f>IF($A32="",0,IF(Mitarbeiter!$G$30=FALSE,0,IF(AND(Mitarbeiter!$E$30&lt;&gt;"",FO$5+6&lt;Mitarbeiter!$E$30),0,IF(AND(Mitarbeiter!$F$30&lt;&gt;"",FO$5&gt;Mitarbeiter!$F$30),0,IF(Planung!FO32="",$C32,IF(ISNUMBER(Planung!FO32),Planung!FO32,IF(UPPER(Planung!FO32)="H",$C32/2,0)))))))</f>
        <v>0</v>
      </c>
      <c r="FP32" s="27">
        <f>IF($A32="",0,IF(Mitarbeiter!$G$30=FALSE,0,IF(AND(Mitarbeiter!$E$30&lt;&gt;"",FP$5+6&lt;Mitarbeiter!$E$30),0,IF(AND(Mitarbeiter!$F$30&lt;&gt;"",FP$5&gt;Mitarbeiter!$F$30),0,IF(Planung!FP32="",$C32,IF(ISNUMBER(Planung!FP32),Planung!FP32,IF(UPPER(Planung!FP32)="H",$C32/2,0)))))))</f>
        <v>0</v>
      </c>
      <c r="FQ32" s="27">
        <f>IF($A32="",0,IF(Mitarbeiter!$G$30=FALSE,0,IF(AND(Mitarbeiter!$E$30&lt;&gt;"",FQ$5+6&lt;Mitarbeiter!$E$30),0,IF(AND(Mitarbeiter!$F$30&lt;&gt;"",FQ$5&gt;Mitarbeiter!$F$30),0,IF(Planung!FQ32="",$C32,IF(ISNUMBER(Planung!FQ32),Planung!FQ32,IF(UPPER(Planung!FQ32)="H",$C32/2,0)))))))</f>
        <v>0</v>
      </c>
      <c r="FR32" s="27">
        <f>IF($A32="",0,IF(Mitarbeiter!$G$30=FALSE,0,IF(AND(Mitarbeiter!$E$30&lt;&gt;"",FR$5+6&lt;Mitarbeiter!$E$30),0,IF(AND(Mitarbeiter!$F$30&lt;&gt;"",FR$5&gt;Mitarbeiter!$F$30),0,IF(Planung!FR32="",$C32,IF(ISNUMBER(Planung!FR32),Planung!FR32,IF(UPPER(Planung!FR32)="H",$C32/2,0)))))))</f>
        <v>0</v>
      </c>
      <c r="FS32" s="27">
        <f>IF($A32="",0,IF(Mitarbeiter!$G$30=FALSE,0,IF(AND(Mitarbeiter!$E$30&lt;&gt;"",FS$5+6&lt;Mitarbeiter!$E$30),0,IF(AND(Mitarbeiter!$F$30&lt;&gt;"",FS$5&gt;Mitarbeiter!$F$30),0,IF(Planung!FS32="",$C32,IF(ISNUMBER(Planung!FS32),Planung!FS32,IF(UPPER(Planung!FS32)="H",$C32/2,0)))))))</f>
        <v>0</v>
      </c>
      <c r="FT32" s="27">
        <f>IF($A32="",0,IF(Mitarbeiter!$G$30=FALSE,0,IF(AND(Mitarbeiter!$E$30&lt;&gt;"",FT$5+6&lt;Mitarbeiter!$E$30),0,IF(AND(Mitarbeiter!$F$30&lt;&gt;"",FT$5&gt;Mitarbeiter!$F$30),0,IF(Planung!FT32="",$C32,IF(ISNUMBER(Planung!FT32),Planung!FT32,IF(UPPER(Planung!FT32)="H",$C32/2,0)))))))</f>
        <v>0</v>
      </c>
      <c r="FU32" s="27">
        <f>IF($A32="",0,IF(Mitarbeiter!$G$30=FALSE,0,IF(AND(Mitarbeiter!$E$30&lt;&gt;"",FU$5+6&lt;Mitarbeiter!$E$30),0,IF(AND(Mitarbeiter!$F$30&lt;&gt;"",FU$5&gt;Mitarbeiter!$F$30),0,IF(Planung!FU32="",$C32,IF(ISNUMBER(Planung!FU32),Planung!FU32,IF(UPPER(Planung!FU32)="H",$C32/2,0)))))))</f>
        <v>0</v>
      </c>
      <c r="FV32" s="27">
        <f>IF($A32="",0,IF(Mitarbeiter!$G$30=FALSE,0,IF(AND(Mitarbeiter!$E$30&lt;&gt;"",FV$5+6&lt;Mitarbeiter!$E$30),0,IF(AND(Mitarbeiter!$F$30&lt;&gt;"",FV$5&gt;Mitarbeiter!$F$30),0,IF(Planung!FV32="",$C32,IF(ISNUMBER(Planung!FV32),Planung!FV32,IF(UPPER(Planung!FV32)="H",$C32/2,0)))))))</f>
        <v>0</v>
      </c>
      <c r="FW32" s="27">
        <f>IF($A32="",0,IF(Mitarbeiter!$G$30=FALSE,0,IF(AND(Mitarbeiter!$E$30&lt;&gt;"",FW$5+6&lt;Mitarbeiter!$E$30),0,IF(AND(Mitarbeiter!$F$30&lt;&gt;"",FW$5&gt;Mitarbeiter!$F$30),0,IF(Planung!FW32="",$C32,IF(ISNUMBER(Planung!FW32),Planung!FW32,IF(UPPER(Planung!FW32)="H",$C32/2,0)))))))</f>
        <v>0</v>
      </c>
      <c r="FX32" s="27">
        <f>IF($A32="",0,IF(Mitarbeiter!$G$30=FALSE,0,IF(AND(Mitarbeiter!$E$30&lt;&gt;"",FX$5+6&lt;Mitarbeiter!$E$30),0,IF(AND(Mitarbeiter!$F$30&lt;&gt;"",FX$5&gt;Mitarbeiter!$F$30),0,IF(Planung!FX32="",$C32,IF(ISNUMBER(Planung!FX32),Planung!FX32,IF(UPPER(Planung!FX32)="H",$C32/2,0)))))))</f>
        <v>0</v>
      </c>
      <c r="FY32" s="27">
        <f>IF($A32="",0,IF(Mitarbeiter!$G$30=FALSE,0,IF(AND(Mitarbeiter!$E$30&lt;&gt;"",FY$5+6&lt;Mitarbeiter!$E$30),0,IF(AND(Mitarbeiter!$F$30&lt;&gt;"",FY$5&gt;Mitarbeiter!$F$30),0,IF(Planung!FY32="",$C32,IF(ISNUMBER(Planung!FY32),Planung!FY32,IF(UPPER(Planung!FY32)="H",$C32/2,0)))))))</f>
        <v>0</v>
      </c>
      <c r="FZ32" s="27">
        <f>IF($A32="",0,IF(Mitarbeiter!$G$30=FALSE,0,IF(AND(Mitarbeiter!$E$30&lt;&gt;"",FZ$5+6&lt;Mitarbeiter!$E$30),0,IF(AND(Mitarbeiter!$F$30&lt;&gt;"",FZ$5&gt;Mitarbeiter!$F$30),0,IF(Planung!FZ32="",$C32,IF(ISNUMBER(Planung!FZ32),Planung!FZ32,IF(UPPER(Planung!FZ32)="H",$C32/2,0)))))))</f>
        <v>0</v>
      </c>
      <c r="GA32" s="27">
        <f>IF($A32="",0,IF(Mitarbeiter!$G$30=FALSE,0,IF(AND(Mitarbeiter!$E$30&lt;&gt;"",GA$5+6&lt;Mitarbeiter!$E$30),0,IF(AND(Mitarbeiter!$F$30&lt;&gt;"",GA$5&gt;Mitarbeiter!$F$30),0,IF(Planung!GA32="",$C32,IF(ISNUMBER(Planung!GA32),Planung!GA32,IF(UPPER(Planung!GA32)="H",$C32/2,0)))))))</f>
        <v>0</v>
      </c>
      <c r="GB32" s="27">
        <f>IF($A32="",0,IF(Mitarbeiter!$G$30=FALSE,0,IF(AND(Mitarbeiter!$E$30&lt;&gt;"",GB$5+6&lt;Mitarbeiter!$E$30),0,IF(AND(Mitarbeiter!$F$30&lt;&gt;"",GB$5&gt;Mitarbeiter!$F$30),0,IF(Planung!GB32="",$C32,IF(ISNUMBER(Planung!GB32),Planung!GB32,IF(UPPER(Planung!GB32)="H",$C32/2,0)))))))</f>
        <v>0</v>
      </c>
      <c r="GC32" s="27">
        <f>IF($A32="",0,IF(Mitarbeiter!$G$30=FALSE,0,IF(AND(Mitarbeiter!$E$30&lt;&gt;"",GC$5+6&lt;Mitarbeiter!$E$30),0,IF(AND(Mitarbeiter!$F$30&lt;&gt;"",GC$5&gt;Mitarbeiter!$F$30),0,IF(Planung!GC32="",$C32,IF(ISNUMBER(Planung!GC32),Planung!GC32,IF(UPPER(Planung!GC32)="H",$C32/2,0)))))))</f>
        <v>0</v>
      </c>
      <c r="GD32" s="27">
        <f>IF($A32="",0,IF(Mitarbeiter!$G$30=FALSE,0,IF(AND(Mitarbeiter!$E$30&lt;&gt;"",GD$5+6&lt;Mitarbeiter!$E$30),0,IF(AND(Mitarbeiter!$F$30&lt;&gt;"",GD$5&gt;Mitarbeiter!$F$30),0,IF(Planung!GD32="",$C32,IF(ISNUMBER(Planung!GD32),Planung!GD32,IF(UPPER(Planung!GD32)="H",$C32/2,0)))))))</f>
        <v>0</v>
      </c>
      <c r="GE32" s="27">
        <f>IF($A32="",0,IF(Mitarbeiter!$G$30=FALSE,0,IF(AND(Mitarbeiter!$E$30&lt;&gt;"",GE$5+6&lt;Mitarbeiter!$E$30),0,IF(AND(Mitarbeiter!$F$30&lt;&gt;"",GE$5&gt;Mitarbeiter!$F$30),0,IF(Planung!GE32="",$C32,IF(ISNUMBER(Planung!GE32),Planung!GE32,IF(UPPER(Planung!GE32)="H",$C32/2,0)))))))</f>
        <v>0</v>
      </c>
      <c r="GF32" s="27">
        <f>IF($A32="",0,IF(Mitarbeiter!$G$30=FALSE,0,IF(AND(Mitarbeiter!$E$30&lt;&gt;"",GF$5+6&lt;Mitarbeiter!$E$30),0,IF(AND(Mitarbeiter!$F$30&lt;&gt;"",GF$5&gt;Mitarbeiter!$F$30),0,IF(Planung!GF32="",$C32,IF(ISNUMBER(Planung!GF32),Planung!GF32,IF(UPPER(Planung!GF32)="H",$C32/2,0)))))))</f>
        <v>0</v>
      </c>
      <c r="GG32" s="27">
        <f>IF($A32="",0,IF(Mitarbeiter!$G$30=FALSE,0,IF(AND(Mitarbeiter!$E$30&lt;&gt;"",GG$5+6&lt;Mitarbeiter!$E$30),0,IF(AND(Mitarbeiter!$F$30&lt;&gt;"",GG$5&gt;Mitarbeiter!$F$30),0,IF(Planung!GG32="",$C32,IF(ISNUMBER(Planung!GG32),Planung!GG32,IF(UPPER(Planung!GG32)="H",$C32/2,0)))))))</f>
        <v>0</v>
      </c>
      <c r="GH32" s="27">
        <f>IF($A32="",0,IF(Mitarbeiter!$G$30=FALSE,0,IF(AND(Mitarbeiter!$E$30&lt;&gt;"",GH$5+6&lt;Mitarbeiter!$E$30),0,IF(AND(Mitarbeiter!$F$30&lt;&gt;"",GH$5&gt;Mitarbeiter!$F$30),0,IF(Planung!GH32="",$C32,IF(ISNUMBER(Planung!GH32),Planung!GH32,IF(UPPER(Planung!GH32)="H",$C32/2,0)))))))</f>
        <v>0</v>
      </c>
      <c r="GI32" s="27">
        <f>IF($A32="",0,IF(Mitarbeiter!$G$30=FALSE,0,IF(AND(Mitarbeiter!$E$30&lt;&gt;"",GI$5+6&lt;Mitarbeiter!$E$30),0,IF(AND(Mitarbeiter!$F$30&lt;&gt;"",GI$5&gt;Mitarbeiter!$F$30),0,IF(Planung!GI32="",$C32,IF(ISNUMBER(Planung!GI32),Planung!GI32,IF(UPPER(Planung!GI32)="H",$C32/2,0)))))))</f>
        <v>0</v>
      </c>
      <c r="GJ32" s="27">
        <f>IF($A32="",0,IF(Mitarbeiter!$G$30=FALSE,0,IF(AND(Mitarbeiter!$E$30&lt;&gt;"",GJ$5+6&lt;Mitarbeiter!$E$30),0,IF(AND(Mitarbeiter!$F$30&lt;&gt;"",GJ$5&gt;Mitarbeiter!$F$30),0,IF(Planung!GJ32="",$C32,IF(ISNUMBER(Planung!GJ32),Planung!GJ32,IF(UPPER(Planung!GJ32)="H",$C32/2,0)))))))</f>
        <v>0</v>
      </c>
      <c r="GK32" s="27">
        <f>IF($A32="",0,IF(Mitarbeiter!$G$30=FALSE,0,IF(AND(Mitarbeiter!$E$30&lt;&gt;"",GK$5+6&lt;Mitarbeiter!$E$30),0,IF(AND(Mitarbeiter!$F$30&lt;&gt;"",GK$5&gt;Mitarbeiter!$F$30),0,IF(Planung!GK32="",$C32,IF(ISNUMBER(Planung!GK32),Planung!GK32,IF(UPPER(Planung!GK32)="H",$C32/2,0)))))))</f>
        <v>0</v>
      </c>
      <c r="GL32" s="27">
        <f>IF($A32="",0,IF(Mitarbeiter!$G$30=FALSE,0,IF(AND(Mitarbeiter!$E$30&lt;&gt;"",GL$5+6&lt;Mitarbeiter!$E$30),0,IF(AND(Mitarbeiter!$F$30&lt;&gt;"",GL$5&gt;Mitarbeiter!$F$30),0,IF(Planung!GL32="",$C32,IF(ISNUMBER(Planung!GL32),Planung!GL32,IF(UPPER(Planung!GL32)="H",$C32/2,0)))))))</f>
        <v>0</v>
      </c>
      <c r="GM32" s="27">
        <f>IF($A32="",0,IF(Mitarbeiter!$G$30=FALSE,0,IF(AND(Mitarbeiter!$E$30&lt;&gt;"",GM$5+6&lt;Mitarbeiter!$E$30),0,IF(AND(Mitarbeiter!$F$30&lt;&gt;"",GM$5&gt;Mitarbeiter!$F$30),0,IF(Planung!GM32="",$C32,IF(ISNUMBER(Planung!GM32),Planung!GM32,IF(UPPER(Planung!GM32)="H",$C32/2,0)))))))</f>
        <v>0</v>
      </c>
      <c r="GN32" s="27">
        <f>IF($A32="",0,IF(Mitarbeiter!$G$30=FALSE,0,IF(AND(Mitarbeiter!$E$30&lt;&gt;"",GN$5+6&lt;Mitarbeiter!$E$30),0,IF(AND(Mitarbeiter!$F$30&lt;&gt;"",GN$5&gt;Mitarbeiter!$F$30),0,IF(Planung!GN32="",$C32,IF(ISNUMBER(Planung!GN32),Planung!GN32,IF(UPPER(Planung!GN32)="H",$C32/2,0)))))))</f>
        <v>0</v>
      </c>
      <c r="GO32" s="27">
        <f>IF($A32="",0,IF(Mitarbeiter!$G$30=FALSE,0,IF(AND(Mitarbeiter!$E$30&lt;&gt;"",GO$5+6&lt;Mitarbeiter!$E$30),0,IF(AND(Mitarbeiter!$F$30&lt;&gt;"",GO$5&gt;Mitarbeiter!$F$30),0,IF(Planung!GO32="",$C32,IF(ISNUMBER(Planung!GO32),Planung!GO32,IF(UPPER(Planung!GO32)="H",$C32/2,0)))))))</f>
        <v>0</v>
      </c>
      <c r="GP32" s="27">
        <f>IF($A32="",0,IF(Mitarbeiter!$G$30=FALSE,0,IF(AND(Mitarbeiter!$E$30&lt;&gt;"",GP$5+6&lt;Mitarbeiter!$E$30),0,IF(AND(Mitarbeiter!$F$30&lt;&gt;"",GP$5&gt;Mitarbeiter!$F$30),0,IF(Planung!GP32="",$C32,IF(ISNUMBER(Planung!GP32),Planung!GP32,IF(UPPER(Planung!GP32)="H",$C32/2,0)))))))</f>
        <v>0</v>
      </c>
      <c r="GQ32" s="27">
        <f>IF($A32="",0,IF(Mitarbeiter!$G$30=FALSE,0,IF(AND(Mitarbeiter!$E$30&lt;&gt;"",GQ$5+6&lt;Mitarbeiter!$E$30),0,IF(AND(Mitarbeiter!$F$30&lt;&gt;"",GQ$5&gt;Mitarbeiter!$F$30),0,IF(Planung!GQ32="",$C32,IF(ISNUMBER(Planung!GQ32),Planung!GQ32,IF(UPPER(Planung!GQ32)="H",$C32/2,0)))))))</f>
        <v>0</v>
      </c>
      <c r="GR32" s="27">
        <f>IF($A32="",0,IF(Mitarbeiter!$G$30=FALSE,0,IF(AND(Mitarbeiter!$E$30&lt;&gt;"",GR$5+6&lt;Mitarbeiter!$E$30),0,IF(AND(Mitarbeiter!$F$30&lt;&gt;"",GR$5&gt;Mitarbeiter!$F$30),0,IF(Planung!GR32="",$C32,IF(ISNUMBER(Planung!GR32),Planung!GR32,IF(UPPER(Planung!GR32)="H",$C32/2,0)))))))</f>
        <v>0</v>
      </c>
      <c r="GS32" s="27">
        <f>IF($A32="",0,IF(Mitarbeiter!$G$30=FALSE,0,IF(AND(Mitarbeiter!$E$30&lt;&gt;"",GS$5+6&lt;Mitarbeiter!$E$30),0,IF(AND(Mitarbeiter!$F$30&lt;&gt;"",GS$5&gt;Mitarbeiter!$F$30),0,IF(Planung!GS32="",$C32,IF(ISNUMBER(Planung!GS32),Planung!GS32,IF(UPPER(Planung!GS32)="H",$C32/2,0)))))))</f>
        <v>0</v>
      </c>
      <c r="GT32" s="27">
        <f>IF($A32="",0,IF(Mitarbeiter!$G$30=FALSE,0,IF(AND(Mitarbeiter!$E$30&lt;&gt;"",GT$5+6&lt;Mitarbeiter!$E$30),0,IF(AND(Mitarbeiter!$F$30&lt;&gt;"",GT$5&gt;Mitarbeiter!$F$30),0,IF(Planung!GT32="",$C32,IF(ISNUMBER(Planung!GT32),Planung!GT32,IF(UPPER(Planung!GT32)="H",$C32/2,0)))))))</f>
        <v>0</v>
      </c>
      <c r="GU32" s="27">
        <f>IF($A32="",0,IF(Mitarbeiter!$G$30=FALSE,0,IF(AND(Mitarbeiter!$E$30&lt;&gt;"",GU$5+6&lt;Mitarbeiter!$E$30),0,IF(AND(Mitarbeiter!$F$30&lt;&gt;"",GU$5&gt;Mitarbeiter!$F$30),0,IF(Planung!GU32="",$C32,IF(ISNUMBER(Planung!GU32),Planung!GU32,IF(UPPER(Planung!GU32)="H",$C32/2,0)))))))</f>
        <v>0</v>
      </c>
      <c r="GV32" s="27">
        <f>IF($A32="",0,IF(Mitarbeiter!$G$30=FALSE,0,IF(AND(Mitarbeiter!$E$30&lt;&gt;"",GV$5+6&lt;Mitarbeiter!$E$30),0,IF(AND(Mitarbeiter!$F$30&lt;&gt;"",GV$5&gt;Mitarbeiter!$F$30),0,IF(Planung!GV32="",$C32,IF(ISNUMBER(Planung!GV32),Planung!GV32,IF(UPPER(Planung!GV32)="H",$C32/2,0)))))))</f>
        <v>0</v>
      </c>
      <c r="GW32" s="27">
        <f>IF($A32="",0,IF(Mitarbeiter!$G$30=FALSE,0,IF(AND(Mitarbeiter!$E$30&lt;&gt;"",GW$5+6&lt;Mitarbeiter!$E$30),0,IF(AND(Mitarbeiter!$F$30&lt;&gt;"",GW$5&gt;Mitarbeiter!$F$30),0,IF(Planung!GW32="",$C32,IF(ISNUMBER(Planung!GW32),Planung!GW32,IF(UPPER(Planung!GW32)="H",$C32/2,0)))))))</f>
        <v>0</v>
      </c>
      <c r="GX32" s="27">
        <f>IF($A32="",0,IF(Mitarbeiter!$G$30=FALSE,0,IF(AND(Mitarbeiter!$E$30&lt;&gt;"",GX$5+6&lt;Mitarbeiter!$E$30),0,IF(AND(Mitarbeiter!$F$30&lt;&gt;"",GX$5&gt;Mitarbeiter!$F$30),0,IF(Planung!GX32="",$C32,IF(ISNUMBER(Planung!GX32),Planung!GX32,IF(UPPER(Planung!GX32)="H",$C32/2,0)))))))</f>
        <v>0</v>
      </c>
      <c r="GY32" s="27">
        <f>IF($A32="",0,IF(Mitarbeiter!$G$30=FALSE,0,IF(AND(Mitarbeiter!$E$30&lt;&gt;"",GY$5+6&lt;Mitarbeiter!$E$30),0,IF(AND(Mitarbeiter!$F$30&lt;&gt;"",GY$5&gt;Mitarbeiter!$F$30),0,IF(Planung!GY32="",$C32,IF(ISNUMBER(Planung!GY32),Planung!GY32,IF(UPPER(Planung!GY32)="H",$C32/2,0)))))))</f>
        <v>0</v>
      </c>
      <c r="GZ32" s="27">
        <f>IF($A32="",0,IF(Mitarbeiter!$G$30=FALSE,0,IF(AND(Mitarbeiter!$E$30&lt;&gt;"",GZ$5+6&lt;Mitarbeiter!$E$30),0,IF(AND(Mitarbeiter!$F$30&lt;&gt;"",GZ$5&gt;Mitarbeiter!$F$30),0,IF(Planung!GZ32="",$C32,IF(ISNUMBER(Planung!GZ32),Planung!GZ32,IF(UPPER(Planung!GZ32)="H",$C32/2,0)))))))</f>
        <v>0</v>
      </c>
      <c r="HA32" s="27">
        <f>IF($A32="",0,IF(Mitarbeiter!$G$30=FALSE,0,IF(AND(Mitarbeiter!$E$30&lt;&gt;"",HA$5+6&lt;Mitarbeiter!$E$30),0,IF(AND(Mitarbeiter!$F$30&lt;&gt;"",HA$5&gt;Mitarbeiter!$F$30),0,IF(Planung!HA32="",$C32,IF(ISNUMBER(Planung!HA32),Planung!HA32,IF(UPPER(Planung!HA32)="H",$C32/2,0)))))))</f>
        <v>0</v>
      </c>
      <c r="HB32" s="27">
        <f>IF($A32="",0,IF(Mitarbeiter!$G$30=FALSE,0,IF(AND(Mitarbeiter!$E$30&lt;&gt;"",HB$5+6&lt;Mitarbeiter!$E$30),0,IF(AND(Mitarbeiter!$F$30&lt;&gt;"",HB$5&gt;Mitarbeiter!$F$30),0,IF(Planung!HB32="",$C32,IF(ISNUMBER(Planung!HB32),Planung!HB32,IF(UPPER(Planung!HB32)="H",$C32/2,0)))))))</f>
        <v>0</v>
      </c>
      <c r="HC32" s="27">
        <f>IF($A32="",0,IF(Mitarbeiter!$G$30=FALSE,0,IF(AND(Mitarbeiter!$E$30&lt;&gt;"",HC$5+6&lt;Mitarbeiter!$E$30),0,IF(AND(Mitarbeiter!$F$30&lt;&gt;"",HC$5&gt;Mitarbeiter!$F$30),0,IF(Planung!HC32="",$C32,IF(ISNUMBER(Planung!HC32),Planung!HC32,IF(UPPER(Planung!HC32)="H",$C32/2,0)))))))</f>
        <v>0</v>
      </c>
      <c r="HD32" s="27">
        <f>IF($A32="",0,IF(Mitarbeiter!$G$30=FALSE,0,IF(AND(Mitarbeiter!$E$30&lt;&gt;"",HD$5+6&lt;Mitarbeiter!$E$30),0,IF(AND(Mitarbeiter!$F$30&lt;&gt;"",HD$5&gt;Mitarbeiter!$F$30),0,IF(Planung!HD32="",$C32,IF(ISNUMBER(Planung!HD32),Planung!HD32,IF(UPPER(Planung!HD32)="H",$C32/2,0)))))))</f>
        <v>0</v>
      </c>
      <c r="HE32" s="27">
        <f>IF($A32="",0,IF(Mitarbeiter!$G$30=FALSE,0,IF(AND(Mitarbeiter!$E$30&lt;&gt;"",HE$5+6&lt;Mitarbeiter!$E$30),0,IF(AND(Mitarbeiter!$F$30&lt;&gt;"",HE$5&gt;Mitarbeiter!$F$30),0,IF(Planung!HE32="",$C32,IF(ISNUMBER(Planung!HE32),Planung!HE32,IF(UPPER(Planung!HE32)="H",$C32/2,0)))))))</f>
        <v>0</v>
      </c>
      <c r="HF32" s="27">
        <f>IF($A32="",0,IF(Mitarbeiter!$G$30=FALSE,0,IF(AND(Mitarbeiter!$E$30&lt;&gt;"",HF$5+6&lt;Mitarbeiter!$E$30),0,IF(AND(Mitarbeiter!$F$30&lt;&gt;"",HF$5&gt;Mitarbeiter!$F$30),0,IF(Planung!HF32="",$C32,IF(ISNUMBER(Planung!HF32),Planung!HF32,IF(UPPER(Planung!HF32)="H",$C32/2,0)))))))</f>
        <v>0</v>
      </c>
      <c r="HG32" s="27">
        <f>IF($A32="",0,IF(Mitarbeiter!$G$30=FALSE,0,IF(AND(Mitarbeiter!$E$30&lt;&gt;"",HG$5+6&lt;Mitarbeiter!$E$30),0,IF(AND(Mitarbeiter!$F$30&lt;&gt;"",HG$5&gt;Mitarbeiter!$F$30),0,IF(Planung!HG32="",$C32,IF(ISNUMBER(Planung!HG32),Planung!HG32,IF(UPPER(Planung!HG32)="H",$C32/2,0)))))))</f>
        <v>0</v>
      </c>
      <c r="HH32" s="27">
        <f>IF($A32="",0,IF(Mitarbeiter!$G$30=FALSE,0,IF(AND(Mitarbeiter!$E$30&lt;&gt;"",HH$5+6&lt;Mitarbeiter!$E$30),0,IF(AND(Mitarbeiter!$F$30&lt;&gt;"",HH$5&gt;Mitarbeiter!$F$30),0,IF(Planung!HH32="",$C32,IF(ISNUMBER(Planung!HH32),Planung!HH32,IF(UPPER(Planung!HH32)="H",$C32/2,0)))))))</f>
        <v>0</v>
      </c>
      <c r="HI32" s="27">
        <f>IF($A32="",0,IF(Mitarbeiter!$G$30=FALSE,0,IF(AND(Mitarbeiter!$E$30&lt;&gt;"",HI$5+6&lt;Mitarbeiter!$E$30),0,IF(AND(Mitarbeiter!$F$30&lt;&gt;"",HI$5&gt;Mitarbeiter!$F$30),0,IF(Planung!HI32="",$C32,IF(ISNUMBER(Planung!HI32),Planung!HI32,IF(UPPER(Planung!HI32)="H",$C32/2,0)))))))</f>
        <v>0</v>
      </c>
      <c r="HJ32" s="27">
        <f>IF($A32="",0,IF(Mitarbeiter!$G$30=FALSE,0,IF(AND(Mitarbeiter!$E$30&lt;&gt;"",HJ$5+6&lt;Mitarbeiter!$E$30),0,IF(AND(Mitarbeiter!$F$30&lt;&gt;"",HJ$5&gt;Mitarbeiter!$F$30),0,IF(Planung!HJ32="",$C32,IF(ISNUMBER(Planung!HJ32),Planung!HJ32,IF(UPPER(Planung!HJ32)="H",$C32/2,0)))))))</f>
        <v>0</v>
      </c>
      <c r="HK32" s="27">
        <f>IF($A32="",0,IF(Mitarbeiter!$G$30=FALSE,0,IF(AND(Mitarbeiter!$E$30&lt;&gt;"",HK$5+6&lt;Mitarbeiter!$E$30),0,IF(AND(Mitarbeiter!$F$30&lt;&gt;"",HK$5&gt;Mitarbeiter!$F$30),0,IF(Planung!HK32="",$C32,IF(ISNUMBER(Planung!HK32),Planung!HK32,IF(UPPER(Planung!HK32)="H",$C32/2,0)))))))</f>
        <v>0</v>
      </c>
      <c r="HL32" s="27">
        <f>IF($A32="",0,IF(Mitarbeiter!$G$30=FALSE,0,IF(AND(Mitarbeiter!$E$30&lt;&gt;"",HL$5+6&lt;Mitarbeiter!$E$30),0,IF(AND(Mitarbeiter!$F$30&lt;&gt;"",HL$5&gt;Mitarbeiter!$F$30),0,IF(Planung!HL32="",$C32,IF(ISNUMBER(Planung!HL32),Planung!HL32,IF(UPPER(Planung!HL32)="H",$C32/2,0)))))))</f>
        <v>0</v>
      </c>
      <c r="HM32" s="27">
        <f>IF($A32="",0,IF(Mitarbeiter!$G$30=FALSE,0,IF(AND(Mitarbeiter!$E$30&lt;&gt;"",HM$5+6&lt;Mitarbeiter!$E$30),0,IF(AND(Mitarbeiter!$F$30&lt;&gt;"",HM$5&gt;Mitarbeiter!$F$30),0,IF(Planung!HM32="",$C32,IF(ISNUMBER(Planung!HM32),Planung!HM32,IF(UPPER(Planung!HM32)="H",$C32/2,0)))))))</f>
        <v>0</v>
      </c>
      <c r="HN32" s="27">
        <f>IF($A32="",0,IF(Mitarbeiter!$G$30=FALSE,0,IF(AND(Mitarbeiter!$E$30&lt;&gt;"",HN$5+6&lt;Mitarbeiter!$E$30),0,IF(AND(Mitarbeiter!$F$30&lt;&gt;"",HN$5&gt;Mitarbeiter!$F$30),0,IF(Planung!HN32="",$C32,IF(ISNUMBER(Planung!HN32),Planung!HN32,IF(UPPER(Planung!HN32)="H",$C32/2,0)))))))</f>
        <v>0</v>
      </c>
      <c r="HO32" s="27">
        <f>IF($A32="",0,IF(Mitarbeiter!$G$30=FALSE,0,IF(AND(Mitarbeiter!$E$30&lt;&gt;"",HO$5+6&lt;Mitarbeiter!$E$30),0,IF(AND(Mitarbeiter!$F$30&lt;&gt;"",HO$5&gt;Mitarbeiter!$F$30),0,IF(Planung!HO32="",$C32,IF(ISNUMBER(Planung!HO32),Planung!HO32,IF(UPPER(Planung!HO32)="H",$C32/2,0)))))))</f>
        <v>0</v>
      </c>
      <c r="HP32" s="27">
        <f>IF($A32="",0,IF(Mitarbeiter!$G$30=FALSE,0,IF(AND(Mitarbeiter!$E$30&lt;&gt;"",HP$5+6&lt;Mitarbeiter!$E$30),0,IF(AND(Mitarbeiter!$F$30&lt;&gt;"",HP$5&gt;Mitarbeiter!$F$30),0,IF(Planung!HP32="",$C32,IF(ISNUMBER(Planung!HP32),Planung!HP32,IF(UPPER(Planung!HP32)="H",$C32/2,0)))))))</f>
        <v>0</v>
      </c>
      <c r="HQ32" s="27">
        <f>IF($A32="",0,IF(Mitarbeiter!$G$30=FALSE,0,IF(AND(Mitarbeiter!$E$30&lt;&gt;"",HQ$5+6&lt;Mitarbeiter!$E$30),0,IF(AND(Mitarbeiter!$F$30&lt;&gt;"",HQ$5&gt;Mitarbeiter!$F$30),0,IF(Planung!HQ32="",$C32,IF(ISNUMBER(Planung!HQ32),Planung!HQ32,IF(UPPER(Planung!HQ32)="H",$C32/2,0)))))))</f>
        <v>0</v>
      </c>
      <c r="HR32" s="27">
        <f>IF($A32="",0,IF(Mitarbeiter!$G$30=FALSE,0,IF(AND(Mitarbeiter!$E$30&lt;&gt;"",HR$5+6&lt;Mitarbeiter!$E$30),0,IF(AND(Mitarbeiter!$F$30&lt;&gt;"",HR$5&gt;Mitarbeiter!$F$30),0,IF(Planung!HR32="",$C32,IF(ISNUMBER(Planung!HR32),Planung!HR32,IF(UPPER(Planung!HR32)="H",$C32/2,0)))))))</f>
        <v>0</v>
      </c>
      <c r="HS32" s="27">
        <f>IF($A32="",0,IF(Mitarbeiter!$G$30=FALSE,0,IF(AND(Mitarbeiter!$E$30&lt;&gt;"",HS$5+6&lt;Mitarbeiter!$E$30),0,IF(AND(Mitarbeiter!$F$30&lt;&gt;"",HS$5&gt;Mitarbeiter!$F$30),0,IF(Planung!HS32="",$C32,IF(ISNUMBER(Planung!HS32),Planung!HS32,IF(UPPER(Planung!HS32)="H",$C32/2,0)))))))</f>
        <v>0</v>
      </c>
      <c r="HT32" s="27">
        <f>IF($A32="",0,IF(Mitarbeiter!$G$30=FALSE,0,IF(AND(Mitarbeiter!$E$30&lt;&gt;"",HT$5+6&lt;Mitarbeiter!$E$30),0,IF(AND(Mitarbeiter!$F$30&lt;&gt;"",HT$5&gt;Mitarbeiter!$F$30),0,IF(Planung!HT32="",$C32,IF(ISNUMBER(Planung!HT32),Planung!HT32,IF(UPPER(Planung!HT32)="H",$C32/2,0)))))))</f>
        <v>0</v>
      </c>
      <c r="HU32" s="27">
        <f>IF($A32="",0,IF(Mitarbeiter!$G$30=FALSE,0,IF(AND(Mitarbeiter!$E$30&lt;&gt;"",HU$5+6&lt;Mitarbeiter!$E$30),0,IF(AND(Mitarbeiter!$F$30&lt;&gt;"",HU$5&gt;Mitarbeiter!$F$30),0,IF(Planung!HU32="",$C32,IF(ISNUMBER(Planung!HU32),Planung!HU32,IF(UPPER(Planung!HU32)="H",$C32/2,0)))))))</f>
        <v>0</v>
      </c>
      <c r="HV32" s="27">
        <f>IF($A32="",0,IF(Mitarbeiter!$G$30=FALSE,0,IF(AND(Mitarbeiter!$E$30&lt;&gt;"",HV$5+6&lt;Mitarbeiter!$E$30),0,IF(AND(Mitarbeiter!$F$30&lt;&gt;"",HV$5&gt;Mitarbeiter!$F$30),0,IF(Planung!HV32="",$C32,IF(ISNUMBER(Planung!HV32),Planung!HV32,IF(UPPER(Planung!HV32)="H",$C32/2,0)))))))</f>
        <v>0</v>
      </c>
      <c r="HW32" s="27">
        <f>IF($A32="",0,IF(Mitarbeiter!$G$30=FALSE,0,IF(AND(Mitarbeiter!$E$30&lt;&gt;"",HW$5+6&lt;Mitarbeiter!$E$30),0,IF(AND(Mitarbeiter!$F$30&lt;&gt;"",HW$5&gt;Mitarbeiter!$F$30),0,IF(Planung!HW32="",$C32,IF(ISNUMBER(Planung!HW32),Planung!HW32,IF(UPPER(Planung!HW32)="H",$C32/2,0)))))))</f>
        <v>0</v>
      </c>
      <c r="HX32" s="27">
        <f>IF($A32="",0,IF(Mitarbeiter!$G$30=FALSE,0,IF(AND(Mitarbeiter!$E$30&lt;&gt;"",HX$5+6&lt;Mitarbeiter!$E$30),0,IF(AND(Mitarbeiter!$F$30&lt;&gt;"",HX$5&gt;Mitarbeiter!$F$30),0,IF(Planung!HX32="",$C32,IF(ISNUMBER(Planung!HX32),Planung!HX32,IF(UPPER(Planung!HX32)="H",$C32/2,0)))))))</f>
        <v>0</v>
      </c>
      <c r="HY32" s="27">
        <f>IF($A32="",0,IF(Mitarbeiter!$G$30=FALSE,0,IF(AND(Mitarbeiter!$E$30&lt;&gt;"",HY$5+6&lt;Mitarbeiter!$E$30),0,IF(AND(Mitarbeiter!$F$30&lt;&gt;"",HY$5&gt;Mitarbeiter!$F$30),0,IF(Planung!HY32="",$C32,IF(ISNUMBER(Planung!HY32),Planung!HY32,IF(UPPER(Planung!HY32)="H",$C32/2,0)))))))</f>
        <v>0</v>
      </c>
      <c r="HZ32" s="27">
        <f>IF($A32="",0,IF(Mitarbeiter!$G$30=FALSE,0,IF(AND(Mitarbeiter!$E$30&lt;&gt;"",HZ$5+6&lt;Mitarbeiter!$E$30),0,IF(AND(Mitarbeiter!$F$30&lt;&gt;"",HZ$5&gt;Mitarbeiter!$F$30),0,IF(Planung!HZ32="",$C32,IF(ISNUMBER(Planung!HZ32),Planung!HZ32,IF(UPPER(Planung!HZ32)="H",$C32/2,0)))))))</f>
        <v>0</v>
      </c>
      <c r="IA32" s="27">
        <f>IF($A32="",0,IF(Mitarbeiter!$G$30=FALSE,0,IF(AND(Mitarbeiter!$E$30&lt;&gt;"",IA$5+6&lt;Mitarbeiter!$E$30),0,IF(AND(Mitarbeiter!$F$30&lt;&gt;"",IA$5&gt;Mitarbeiter!$F$30),0,IF(Planung!IA32="",$C32,IF(ISNUMBER(Planung!IA32),Planung!IA32,IF(UPPER(Planung!IA32)="H",$C32/2,0)))))))</f>
        <v>0</v>
      </c>
    </row>
    <row r="33" spans="1:235" x14ac:dyDescent="0.25">
      <c r="A33" s="7" t="str">
        <f>Planung!A33</f>
        <v/>
      </c>
      <c r="B33" s="7" t="str">
        <f>Planung!B33</f>
        <v/>
      </c>
      <c r="C33" s="27">
        <f>N(Mitarbeiter!$D$31)</f>
        <v>0</v>
      </c>
      <c r="D33" s="27">
        <f>IF($A33="",0,IF(Mitarbeiter!$G$31=FALSE,0,IF(AND(Mitarbeiter!$E$31&lt;&gt;"",D$5+6&lt;Mitarbeiter!$E$31),0,IF(AND(Mitarbeiter!$F$31&lt;&gt;"",D$5&gt;Mitarbeiter!$F$31),0,IF(Planung!D33="",$C33,IF(ISNUMBER(Planung!D33),Planung!D33,IF(UPPER(Planung!D33)="H",$C33/2,0)))))))</f>
        <v>0</v>
      </c>
      <c r="E33" s="27">
        <f>IF($A33="",0,IF(Mitarbeiter!$G$31=FALSE,0,IF(AND(Mitarbeiter!$E$31&lt;&gt;"",E$5+6&lt;Mitarbeiter!$E$31),0,IF(AND(Mitarbeiter!$F$31&lt;&gt;"",E$5&gt;Mitarbeiter!$F$31),0,IF(Planung!E33="",$C33,IF(ISNUMBER(Planung!E33),Planung!E33,IF(UPPER(Planung!E33)="H",$C33/2,0)))))))</f>
        <v>0</v>
      </c>
      <c r="F33" s="27">
        <f>IF($A33="",0,IF(Mitarbeiter!$G$31=FALSE,0,IF(AND(Mitarbeiter!$E$31&lt;&gt;"",F$5+6&lt;Mitarbeiter!$E$31),0,IF(AND(Mitarbeiter!$F$31&lt;&gt;"",F$5&gt;Mitarbeiter!$F$31),0,IF(Planung!F33="",$C33,IF(ISNUMBER(Planung!F33),Planung!F33,IF(UPPER(Planung!F33)="H",$C33/2,0)))))))</f>
        <v>0</v>
      </c>
      <c r="G33" s="27">
        <f>IF($A33="",0,IF(Mitarbeiter!$G$31=FALSE,0,IF(AND(Mitarbeiter!$E$31&lt;&gt;"",G$5+6&lt;Mitarbeiter!$E$31),0,IF(AND(Mitarbeiter!$F$31&lt;&gt;"",G$5&gt;Mitarbeiter!$F$31),0,IF(Planung!G33="",$C33,IF(ISNUMBER(Planung!G33),Planung!G33,IF(UPPER(Planung!G33)="H",$C33/2,0)))))))</f>
        <v>0</v>
      </c>
      <c r="H33" s="27">
        <f>IF($A33="",0,IF(Mitarbeiter!$G$31=FALSE,0,IF(AND(Mitarbeiter!$E$31&lt;&gt;"",H$5+6&lt;Mitarbeiter!$E$31),0,IF(AND(Mitarbeiter!$F$31&lt;&gt;"",H$5&gt;Mitarbeiter!$F$31),0,IF(Planung!H33="",$C33,IF(ISNUMBER(Planung!H33),Planung!H33,IF(UPPER(Planung!H33)="H",$C33/2,0)))))))</f>
        <v>0</v>
      </c>
      <c r="I33" s="27">
        <f>IF($A33="",0,IF(Mitarbeiter!$G$31=FALSE,0,IF(AND(Mitarbeiter!$E$31&lt;&gt;"",I$5+6&lt;Mitarbeiter!$E$31),0,IF(AND(Mitarbeiter!$F$31&lt;&gt;"",I$5&gt;Mitarbeiter!$F$31),0,IF(Planung!I33="",$C33,IF(ISNUMBER(Planung!I33),Planung!I33,IF(UPPER(Planung!I33)="H",$C33/2,0)))))))</f>
        <v>0</v>
      </c>
      <c r="J33" s="27">
        <f>IF($A33="",0,IF(Mitarbeiter!$G$31=FALSE,0,IF(AND(Mitarbeiter!$E$31&lt;&gt;"",J$5+6&lt;Mitarbeiter!$E$31),0,IF(AND(Mitarbeiter!$F$31&lt;&gt;"",J$5&gt;Mitarbeiter!$F$31),0,IF(Planung!J33="",$C33,IF(ISNUMBER(Planung!J33),Planung!J33,IF(UPPER(Planung!J33)="H",$C33/2,0)))))))</f>
        <v>0</v>
      </c>
      <c r="K33" s="27">
        <f>IF($A33="",0,IF(Mitarbeiter!$G$31=FALSE,0,IF(AND(Mitarbeiter!$E$31&lt;&gt;"",K$5+6&lt;Mitarbeiter!$E$31),0,IF(AND(Mitarbeiter!$F$31&lt;&gt;"",K$5&gt;Mitarbeiter!$F$31),0,IF(Planung!K33="",$C33,IF(ISNUMBER(Planung!K33),Planung!K33,IF(UPPER(Planung!K33)="H",$C33/2,0)))))))</f>
        <v>0</v>
      </c>
      <c r="L33" s="27">
        <f>IF($A33="",0,IF(Mitarbeiter!$G$31=FALSE,0,IF(AND(Mitarbeiter!$E$31&lt;&gt;"",L$5+6&lt;Mitarbeiter!$E$31),0,IF(AND(Mitarbeiter!$F$31&lt;&gt;"",L$5&gt;Mitarbeiter!$F$31),0,IF(Planung!L33="",$C33,IF(ISNUMBER(Planung!L33),Planung!L33,IF(UPPER(Planung!L33)="H",$C33/2,0)))))))</f>
        <v>0</v>
      </c>
      <c r="M33" s="27">
        <f>IF($A33="",0,IF(Mitarbeiter!$G$31=FALSE,0,IF(AND(Mitarbeiter!$E$31&lt;&gt;"",M$5+6&lt;Mitarbeiter!$E$31),0,IF(AND(Mitarbeiter!$F$31&lt;&gt;"",M$5&gt;Mitarbeiter!$F$31),0,IF(Planung!M33="",$C33,IF(ISNUMBER(Planung!M33),Planung!M33,IF(UPPER(Planung!M33)="H",$C33/2,0)))))))</f>
        <v>0</v>
      </c>
      <c r="N33" s="27">
        <f>IF($A33="",0,IF(Mitarbeiter!$G$31=FALSE,0,IF(AND(Mitarbeiter!$E$31&lt;&gt;"",N$5+6&lt;Mitarbeiter!$E$31),0,IF(AND(Mitarbeiter!$F$31&lt;&gt;"",N$5&gt;Mitarbeiter!$F$31),0,IF(Planung!N33="",$C33,IF(ISNUMBER(Planung!N33),Planung!N33,IF(UPPER(Planung!N33)="H",$C33/2,0)))))))</f>
        <v>0</v>
      </c>
      <c r="O33" s="27">
        <f>IF($A33="",0,IF(Mitarbeiter!$G$31=FALSE,0,IF(AND(Mitarbeiter!$E$31&lt;&gt;"",O$5+6&lt;Mitarbeiter!$E$31),0,IF(AND(Mitarbeiter!$F$31&lt;&gt;"",O$5&gt;Mitarbeiter!$F$31),0,IF(Planung!O33="",$C33,IF(ISNUMBER(Planung!O33),Planung!O33,IF(UPPER(Planung!O33)="H",$C33/2,0)))))))</f>
        <v>0</v>
      </c>
      <c r="P33" s="27">
        <f>IF($A33="",0,IF(Mitarbeiter!$G$31=FALSE,0,IF(AND(Mitarbeiter!$E$31&lt;&gt;"",P$5+6&lt;Mitarbeiter!$E$31),0,IF(AND(Mitarbeiter!$F$31&lt;&gt;"",P$5&gt;Mitarbeiter!$F$31),0,IF(Planung!P33="",$C33,IF(ISNUMBER(Planung!P33),Planung!P33,IF(UPPER(Planung!P33)="H",$C33/2,0)))))))</f>
        <v>0</v>
      </c>
      <c r="Q33" s="27">
        <f>IF($A33="",0,IF(Mitarbeiter!$G$31=FALSE,0,IF(AND(Mitarbeiter!$E$31&lt;&gt;"",Q$5+6&lt;Mitarbeiter!$E$31),0,IF(AND(Mitarbeiter!$F$31&lt;&gt;"",Q$5&gt;Mitarbeiter!$F$31),0,IF(Planung!Q33="",$C33,IF(ISNUMBER(Planung!Q33),Planung!Q33,IF(UPPER(Planung!Q33)="H",$C33/2,0)))))))</f>
        <v>0</v>
      </c>
      <c r="R33" s="27">
        <f>IF($A33="",0,IF(Mitarbeiter!$G$31=FALSE,0,IF(AND(Mitarbeiter!$E$31&lt;&gt;"",R$5+6&lt;Mitarbeiter!$E$31),0,IF(AND(Mitarbeiter!$F$31&lt;&gt;"",R$5&gt;Mitarbeiter!$F$31),0,IF(Planung!R33="",$C33,IF(ISNUMBER(Planung!R33),Planung!R33,IF(UPPER(Planung!R33)="H",$C33/2,0)))))))</f>
        <v>0</v>
      </c>
      <c r="S33" s="27">
        <f>IF($A33="",0,IF(Mitarbeiter!$G$31=FALSE,0,IF(AND(Mitarbeiter!$E$31&lt;&gt;"",S$5+6&lt;Mitarbeiter!$E$31),0,IF(AND(Mitarbeiter!$F$31&lt;&gt;"",S$5&gt;Mitarbeiter!$F$31),0,IF(Planung!S33="",$C33,IF(ISNUMBER(Planung!S33),Planung!S33,IF(UPPER(Planung!S33)="H",$C33/2,0)))))))</f>
        <v>0</v>
      </c>
      <c r="T33" s="27">
        <f>IF($A33="",0,IF(Mitarbeiter!$G$31=FALSE,0,IF(AND(Mitarbeiter!$E$31&lt;&gt;"",T$5+6&lt;Mitarbeiter!$E$31),0,IF(AND(Mitarbeiter!$F$31&lt;&gt;"",T$5&gt;Mitarbeiter!$F$31),0,IF(Planung!T33="",$C33,IF(ISNUMBER(Planung!T33),Planung!T33,IF(UPPER(Planung!T33)="H",$C33/2,0)))))))</f>
        <v>0</v>
      </c>
      <c r="U33" s="27">
        <f>IF($A33="",0,IF(Mitarbeiter!$G$31=FALSE,0,IF(AND(Mitarbeiter!$E$31&lt;&gt;"",U$5+6&lt;Mitarbeiter!$E$31),0,IF(AND(Mitarbeiter!$F$31&lt;&gt;"",U$5&gt;Mitarbeiter!$F$31),0,IF(Planung!U33="",$C33,IF(ISNUMBER(Planung!U33),Planung!U33,IF(UPPER(Planung!U33)="H",$C33/2,0)))))))</f>
        <v>0</v>
      </c>
      <c r="V33" s="27">
        <f>IF($A33="",0,IF(Mitarbeiter!$G$31=FALSE,0,IF(AND(Mitarbeiter!$E$31&lt;&gt;"",V$5+6&lt;Mitarbeiter!$E$31),0,IF(AND(Mitarbeiter!$F$31&lt;&gt;"",V$5&gt;Mitarbeiter!$F$31),0,IF(Planung!V33="",$C33,IF(ISNUMBER(Planung!V33),Planung!V33,IF(UPPER(Planung!V33)="H",$C33/2,0)))))))</f>
        <v>0</v>
      </c>
      <c r="W33" s="27">
        <f>IF($A33="",0,IF(Mitarbeiter!$G$31=FALSE,0,IF(AND(Mitarbeiter!$E$31&lt;&gt;"",W$5+6&lt;Mitarbeiter!$E$31),0,IF(AND(Mitarbeiter!$F$31&lt;&gt;"",W$5&gt;Mitarbeiter!$F$31),0,IF(Planung!W33="",$C33,IF(ISNUMBER(Planung!W33),Planung!W33,IF(UPPER(Planung!W33)="H",$C33/2,0)))))))</f>
        <v>0</v>
      </c>
      <c r="X33" s="27">
        <f>IF($A33="",0,IF(Mitarbeiter!$G$31=FALSE,0,IF(AND(Mitarbeiter!$E$31&lt;&gt;"",X$5+6&lt;Mitarbeiter!$E$31),0,IF(AND(Mitarbeiter!$F$31&lt;&gt;"",X$5&gt;Mitarbeiter!$F$31),0,IF(Planung!X33="",$C33,IF(ISNUMBER(Planung!X33),Planung!X33,IF(UPPER(Planung!X33)="H",$C33/2,0)))))))</f>
        <v>0</v>
      </c>
      <c r="Y33" s="27">
        <f>IF($A33="",0,IF(Mitarbeiter!$G$31=FALSE,0,IF(AND(Mitarbeiter!$E$31&lt;&gt;"",Y$5+6&lt;Mitarbeiter!$E$31),0,IF(AND(Mitarbeiter!$F$31&lt;&gt;"",Y$5&gt;Mitarbeiter!$F$31),0,IF(Planung!Y33="",$C33,IF(ISNUMBER(Planung!Y33),Planung!Y33,IF(UPPER(Planung!Y33)="H",$C33/2,0)))))))</f>
        <v>0</v>
      </c>
      <c r="Z33" s="27">
        <f>IF($A33="",0,IF(Mitarbeiter!$G$31=FALSE,0,IF(AND(Mitarbeiter!$E$31&lt;&gt;"",Z$5+6&lt;Mitarbeiter!$E$31),0,IF(AND(Mitarbeiter!$F$31&lt;&gt;"",Z$5&gt;Mitarbeiter!$F$31),0,IF(Planung!Z33="",$C33,IF(ISNUMBER(Planung!Z33),Planung!Z33,IF(UPPER(Planung!Z33)="H",$C33/2,0)))))))</f>
        <v>0</v>
      </c>
      <c r="AA33" s="27">
        <f>IF($A33="",0,IF(Mitarbeiter!$G$31=FALSE,0,IF(AND(Mitarbeiter!$E$31&lt;&gt;"",AA$5+6&lt;Mitarbeiter!$E$31),0,IF(AND(Mitarbeiter!$F$31&lt;&gt;"",AA$5&gt;Mitarbeiter!$F$31),0,IF(Planung!AA33="",$C33,IF(ISNUMBER(Planung!AA33),Planung!AA33,IF(UPPER(Planung!AA33)="H",$C33/2,0)))))))</f>
        <v>0</v>
      </c>
      <c r="AB33" s="27">
        <f>IF($A33="",0,IF(Mitarbeiter!$G$31=FALSE,0,IF(AND(Mitarbeiter!$E$31&lt;&gt;"",AB$5+6&lt;Mitarbeiter!$E$31),0,IF(AND(Mitarbeiter!$F$31&lt;&gt;"",AB$5&gt;Mitarbeiter!$F$31),0,IF(Planung!AB33="",$C33,IF(ISNUMBER(Planung!AB33),Planung!AB33,IF(UPPER(Planung!AB33)="H",$C33/2,0)))))))</f>
        <v>0</v>
      </c>
      <c r="AC33" s="27">
        <f>IF($A33="",0,IF(Mitarbeiter!$G$31=FALSE,0,IF(AND(Mitarbeiter!$E$31&lt;&gt;"",AC$5+6&lt;Mitarbeiter!$E$31),0,IF(AND(Mitarbeiter!$F$31&lt;&gt;"",AC$5&gt;Mitarbeiter!$F$31),0,IF(Planung!AC33="",$C33,IF(ISNUMBER(Planung!AC33),Planung!AC33,IF(UPPER(Planung!AC33)="H",$C33/2,0)))))))</f>
        <v>0</v>
      </c>
      <c r="AD33" s="27">
        <f>IF($A33="",0,IF(Mitarbeiter!$G$31=FALSE,0,IF(AND(Mitarbeiter!$E$31&lt;&gt;"",AD$5+6&lt;Mitarbeiter!$E$31),0,IF(AND(Mitarbeiter!$F$31&lt;&gt;"",AD$5&gt;Mitarbeiter!$F$31),0,IF(Planung!AD33="",$C33,IF(ISNUMBER(Planung!AD33),Planung!AD33,IF(UPPER(Planung!AD33)="H",$C33/2,0)))))))</f>
        <v>0</v>
      </c>
      <c r="AE33" s="27">
        <f>IF($A33="",0,IF(Mitarbeiter!$G$31=FALSE,0,IF(AND(Mitarbeiter!$E$31&lt;&gt;"",AE$5+6&lt;Mitarbeiter!$E$31),0,IF(AND(Mitarbeiter!$F$31&lt;&gt;"",AE$5&gt;Mitarbeiter!$F$31),0,IF(Planung!AE33="",$C33,IF(ISNUMBER(Planung!AE33),Planung!AE33,IF(UPPER(Planung!AE33)="H",$C33/2,0)))))))</f>
        <v>0</v>
      </c>
      <c r="AF33" s="27">
        <f>IF($A33="",0,IF(Mitarbeiter!$G$31=FALSE,0,IF(AND(Mitarbeiter!$E$31&lt;&gt;"",AF$5+6&lt;Mitarbeiter!$E$31),0,IF(AND(Mitarbeiter!$F$31&lt;&gt;"",AF$5&gt;Mitarbeiter!$F$31),0,IF(Planung!AF33="",$C33,IF(ISNUMBER(Planung!AF33),Planung!AF33,IF(UPPER(Planung!AF33)="H",$C33/2,0)))))))</f>
        <v>0</v>
      </c>
      <c r="AG33" s="27">
        <f>IF($A33="",0,IF(Mitarbeiter!$G$31=FALSE,0,IF(AND(Mitarbeiter!$E$31&lt;&gt;"",AG$5+6&lt;Mitarbeiter!$E$31),0,IF(AND(Mitarbeiter!$F$31&lt;&gt;"",AG$5&gt;Mitarbeiter!$F$31),0,IF(Planung!AG33="",$C33,IF(ISNUMBER(Planung!AG33),Planung!AG33,IF(UPPER(Planung!AG33)="H",$C33/2,0)))))))</f>
        <v>0</v>
      </c>
      <c r="AH33" s="27">
        <f>IF($A33="",0,IF(Mitarbeiter!$G$31=FALSE,0,IF(AND(Mitarbeiter!$E$31&lt;&gt;"",AH$5+6&lt;Mitarbeiter!$E$31),0,IF(AND(Mitarbeiter!$F$31&lt;&gt;"",AH$5&gt;Mitarbeiter!$F$31),0,IF(Planung!AH33="",$C33,IF(ISNUMBER(Planung!AH33),Planung!AH33,IF(UPPER(Planung!AH33)="H",$C33/2,0)))))))</f>
        <v>0</v>
      </c>
      <c r="AI33" s="27">
        <f>IF($A33="",0,IF(Mitarbeiter!$G$31=FALSE,0,IF(AND(Mitarbeiter!$E$31&lt;&gt;"",AI$5+6&lt;Mitarbeiter!$E$31),0,IF(AND(Mitarbeiter!$F$31&lt;&gt;"",AI$5&gt;Mitarbeiter!$F$31),0,IF(Planung!AI33="",$C33,IF(ISNUMBER(Planung!AI33),Planung!AI33,IF(UPPER(Planung!AI33)="H",$C33/2,0)))))))</f>
        <v>0</v>
      </c>
      <c r="AJ33" s="27">
        <f>IF($A33="",0,IF(Mitarbeiter!$G$31=FALSE,0,IF(AND(Mitarbeiter!$E$31&lt;&gt;"",AJ$5+6&lt;Mitarbeiter!$E$31),0,IF(AND(Mitarbeiter!$F$31&lt;&gt;"",AJ$5&gt;Mitarbeiter!$F$31),0,IF(Planung!AJ33="",$C33,IF(ISNUMBER(Planung!AJ33),Planung!AJ33,IF(UPPER(Planung!AJ33)="H",$C33/2,0)))))))</f>
        <v>0</v>
      </c>
      <c r="AK33" s="27">
        <f>IF($A33="",0,IF(Mitarbeiter!$G$31=FALSE,0,IF(AND(Mitarbeiter!$E$31&lt;&gt;"",AK$5+6&lt;Mitarbeiter!$E$31),0,IF(AND(Mitarbeiter!$F$31&lt;&gt;"",AK$5&gt;Mitarbeiter!$F$31),0,IF(Planung!AK33="",$C33,IF(ISNUMBER(Planung!AK33),Planung!AK33,IF(UPPER(Planung!AK33)="H",$C33/2,0)))))))</f>
        <v>0</v>
      </c>
      <c r="AL33" s="27">
        <f>IF($A33="",0,IF(Mitarbeiter!$G$31=FALSE,0,IF(AND(Mitarbeiter!$E$31&lt;&gt;"",AL$5+6&lt;Mitarbeiter!$E$31),0,IF(AND(Mitarbeiter!$F$31&lt;&gt;"",AL$5&gt;Mitarbeiter!$F$31),0,IF(Planung!AL33="",$C33,IF(ISNUMBER(Planung!AL33),Planung!AL33,IF(UPPER(Planung!AL33)="H",$C33/2,0)))))))</f>
        <v>0</v>
      </c>
      <c r="AM33" s="27">
        <f>IF($A33="",0,IF(Mitarbeiter!$G$31=FALSE,0,IF(AND(Mitarbeiter!$E$31&lt;&gt;"",AM$5+6&lt;Mitarbeiter!$E$31),0,IF(AND(Mitarbeiter!$F$31&lt;&gt;"",AM$5&gt;Mitarbeiter!$F$31),0,IF(Planung!AM33="",$C33,IF(ISNUMBER(Planung!AM33),Planung!AM33,IF(UPPER(Planung!AM33)="H",$C33/2,0)))))))</f>
        <v>0</v>
      </c>
      <c r="AN33" s="27">
        <f>IF($A33="",0,IF(Mitarbeiter!$G$31=FALSE,0,IF(AND(Mitarbeiter!$E$31&lt;&gt;"",AN$5+6&lt;Mitarbeiter!$E$31),0,IF(AND(Mitarbeiter!$F$31&lt;&gt;"",AN$5&gt;Mitarbeiter!$F$31),0,IF(Planung!AN33="",$C33,IF(ISNUMBER(Planung!AN33),Planung!AN33,IF(UPPER(Planung!AN33)="H",$C33/2,0)))))))</f>
        <v>0</v>
      </c>
      <c r="AO33" s="27">
        <f>IF($A33="",0,IF(Mitarbeiter!$G$31=FALSE,0,IF(AND(Mitarbeiter!$E$31&lt;&gt;"",AO$5+6&lt;Mitarbeiter!$E$31),0,IF(AND(Mitarbeiter!$F$31&lt;&gt;"",AO$5&gt;Mitarbeiter!$F$31),0,IF(Planung!AO33="",$C33,IF(ISNUMBER(Planung!AO33),Planung!AO33,IF(UPPER(Planung!AO33)="H",$C33/2,0)))))))</f>
        <v>0</v>
      </c>
      <c r="AP33" s="27">
        <f>IF($A33="",0,IF(Mitarbeiter!$G$31=FALSE,0,IF(AND(Mitarbeiter!$E$31&lt;&gt;"",AP$5+6&lt;Mitarbeiter!$E$31),0,IF(AND(Mitarbeiter!$F$31&lt;&gt;"",AP$5&gt;Mitarbeiter!$F$31),0,IF(Planung!AP33="",$C33,IF(ISNUMBER(Planung!AP33),Planung!AP33,IF(UPPER(Planung!AP33)="H",$C33/2,0)))))))</f>
        <v>0</v>
      </c>
      <c r="AQ33" s="27">
        <f>IF($A33="",0,IF(Mitarbeiter!$G$31=FALSE,0,IF(AND(Mitarbeiter!$E$31&lt;&gt;"",AQ$5+6&lt;Mitarbeiter!$E$31),0,IF(AND(Mitarbeiter!$F$31&lt;&gt;"",AQ$5&gt;Mitarbeiter!$F$31),0,IF(Planung!AQ33="",$C33,IF(ISNUMBER(Planung!AQ33),Planung!AQ33,IF(UPPER(Planung!AQ33)="H",$C33/2,0)))))))</f>
        <v>0</v>
      </c>
      <c r="AR33" s="27">
        <f>IF($A33="",0,IF(Mitarbeiter!$G$31=FALSE,0,IF(AND(Mitarbeiter!$E$31&lt;&gt;"",AR$5+6&lt;Mitarbeiter!$E$31),0,IF(AND(Mitarbeiter!$F$31&lt;&gt;"",AR$5&gt;Mitarbeiter!$F$31),0,IF(Planung!AR33="",$C33,IF(ISNUMBER(Planung!AR33),Planung!AR33,IF(UPPER(Planung!AR33)="H",$C33/2,0)))))))</f>
        <v>0</v>
      </c>
      <c r="AS33" s="27">
        <f>IF($A33="",0,IF(Mitarbeiter!$G$31=FALSE,0,IF(AND(Mitarbeiter!$E$31&lt;&gt;"",AS$5+6&lt;Mitarbeiter!$E$31),0,IF(AND(Mitarbeiter!$F$31&lt;&gt;"",AS$5&gt;Mitarbeiter!$F$31),0,IF(Planung!AS33="",$C33,IF(ISNUMBER(Planung!AS33),Planung!AS33,IF(UPPER(Planung!AS33)="H",$C33/2,0)))))))</f>
        <v>0</v>
      </c>
      <c r="AT33" s="27">
        <f>IF($A33="",0,IF(Mitarbeiter!$G$31=FALSE,0,IF(AND(Mitarbeiter!$E$31&lt;&gt;"",AT$5+6&lt;Mitarbeiter!$E$31),0,IF(AND(Mitarbeiter!$F$31&lt;&gt;"",AT$5&gt;Mitarbeiter!$F$31),0,IF(Planung!AT33="",$C33,IF(ISNUMBER(Planung!AT33),Planung!AT33,IF(UPPER(Planung!AT33)="H",$C33/2,0)))))))</f>
        <v>0</v>
      </c>
      <c r="AU33" s="27">
        <f>IF($A33="",0,IF(Mitarbeiter!$G$31=FALSE,0,IF(AND(Mitarbeiter!$E$31&lt;&gt;"",AU$5+6&lt;Mitarbeiter!$E$31),0,IF(AND(Mitarbeiter!$F$31&lt;&gt;"",AU$5&gt;Mitarbeiter!$F$31),0,IF(Planung!AU33="",$C33,IF(ISNUMBER(Planung!AU33),Planung!AU33,IF(UPPER(Planung!AU33)="H",$C33/2,0)))))))</f>
        <v>0</v>
      </c>
      <c r="AV33" s="27">
        <f>IF($A33="",0,IF(Mitarbeiter!$G$31=FALSE,0,IF(AND(Mitarbeiter!$E$31&lt;&gt;"",AV$5+6&lt;Mitarbeiter!$E$31),0,IF(AND(Mitarbeiter!$F$31&lt;&gt;"",AV$5&gt;Mitarbeiter!$F$31),0,IF(Planung!AV33="",$C33,IF(ISNUMBER(Planung!AV33),Planung!AV33,IF(UPPER(Planung!AV33)="H",$C33/2,0)))))))</f>
        <v>0</v>
      </c>
      <c r="AW33" s="27">
        <f>IF($A33="",0,IF(Mitarbeiter!$G$31=FALSE,0,IF(AND(Mitarbeiter!$E$31&lt;&gt;"",AW$5+6&lt;Mitarbeiter!$E$31),0,IF(AND(Mitarbeiter!$F$31&lt;&gt;"",AW$5&gt;Mitarbeiter!$F$31),0,IF(Planung!AW33="",$C33,IF(ISNUMBER(Planung!AW33),Planung!AW33,IF(UPPER(Planung!AW33)="H",$C33/2,0)))))))</f>
        <v>0</v>
      </c>
      <c r="AX33" s="27">
        <f>IF($A33="",0,IF(Mitarbeiter!$G$31=FALSE,0,IF(AND(Mitarbeiter!$E$31&lt;&gt;"",AX$5+6&lt;Mitarbeiter!$E$31),0,IF(AND(Mitarbeiter!$F$31&lt;&gt;"",AX$5&gt;Mitarbeiter!$F$31),0,IF(Planung!AX33="",$C33,IF(ISNUMBER(Planung!AX33),Planung!AX33,IF(UPPER(Planung!AX33)="H",$C33/2,0)))))))</f>
        <v>0</v>
      </c>
      <c r="AY33" s="27">
        <f>IF($A33="",0,IF(Mitarbeiter!$G$31=FALSE,0,IF(AND(Mitarbeiter!$E$31&lt;&gt;"",AY$5+6&lt;Mitarbeiter!$E$31),0,IF(AND(Mitarbeiter!$F$31&lt;&gt;"",AY$5&gt;Mitarbeiter!$F$31),0,IF(Planung!AY33="",$C33,IF(ISNUMBER(Planung!AY33),Planung!AY33,IF(UPPER(Planung!AY33)="H",$C33/2,0)))))))</f>
        <v>0</v>
      </c>
      <c r="AZ33" s="27">
        <f>IF($A33="",0,IF(Mitarbeiter!$G$31=FALSE,0,IF(AND(Mitarbeiter!$E$31&lt;&gt;"",AZ$5+6&lt;Mitarbeiter!$E$31),0,IF(AND(Mitarbeiter!$F$31&lt;&gt;"",AZ$5&gt;Mitarbeiter!$F$31),0,IF(Planung!AZ33="",$C33,IF(ISNUMBER(Planung!AZ33),Planung!AZ33,IF(UPPER(Planung!AZ33)="H",$C33/2,0)))))))</f>
        <v>0</v>
      </c>
      <c r="BA33" s="27">
        <f>IF($A33="",0,IF(Mitarbeiter!$G$31=FALSE,0,IF(AND(Mitarbeiter!$E$31&lt;&gt;"",BA$5+6&lt;Mitarbeiter!$E$31),0,IF(AND(Mitarbeiter!$F$31&lt;&gt;"",BA$5&gt;Mitarbeiter!$F$31),0,IF(Planung!BA33="",$C33,IF(ISNUMBER(Planung!BA33),Planung!BA33,IF(UPPER(Planung!BA33)="H",$C33/2,0)))))))</f>
        <v>0</v>
      </c>
      <c r="BB33" s="27">
        <f>IF($A33="",0,IF(Mitarbeiter!$G$31=FALSE,0,IF(AND(Mitarbeiter!$E$31&lt;&gt;"",BB$5+6&lt;Mitarbeiter!$E$31),0,IF(AND(Mitarbeiter!$F$31&lt;&gt;"",BB$5&gt;Mitarbeiter!$F$31),0,IF(Planung!BB33="",$C33,IF(ISNUMBER(Planung!BB33),Planung!BB33,IF(UPPER(Planung!BB33)="H",$C33/2,0)))))))</f>
        <v>0</v>
      </c>
      <c r="BC33" s="27">
        <f>IF($A33="",0,IF(Mitarbeiter!$G$31=FALSE,0,IF(AND(Mitarbeiter!$E$31&lt;&gt;"",BC$5+6&lt;Mitarbeiter!$E$31),0,IF(AND(Mitarbeiter!$F$31&lt;&gt;"",BC$5&gt;Mitarbeiter!$F$31),0,IF(Planung!BC33="",$C33,IF(ISNUMBER(Planung!BC33),Planung!BC33,IF(UPPER(Planung!BC33)="H",$C33/2,0)))))))</f>
        <v>0</v>
      </c>
      <c r="BD33" s="27">
        <f>IF($A33="",0,IF(Mitarbeiter!$G$31=FALSE,0,IF(AND(Mitarbeiter!$E$31&lt;&gt;"",BD$5+6&lt;Mitarbeiter!$E$31),0,IF(AND(Mitarbeiter!$F$31&lt;&gt;"",BD$5&gt;Mitarbeiter!$F$31),0,IF(Planung!BD33="",$C33,IF(ISNUMBER(Planung!BD33),Planung!BD33,IF(UPPER(Planung!BD33)="H",$C33/2,0)))))))</f>
        <v>0</v>
      </c>
      <c r="BE33" s="27">
        <f>IF($A33="",0,IF(Mitarbeiter!$G$31=FALSE,0,IF(AND(Mitarbeiter!$E$31&lt;&gt;"",BE$5+6&lt;Mitarbeiter!$E$31),0,IF(AND(Mitarbeiter!$F$31&lt;&gt;"",BE$5&gt;Mitarbeiter!$F$31),0,IF(Planung!BE33="",$C33,IF(ISNUMBER(Planung!BE33),Planung!BE33,IF(UPPER(Planung!BE33)="H",$C33/2,0)))))))</f>
        <v>0</v>
      </c>
      <c r="BF33" s="27">
        <f>IF($A33="",0,IF(Mitarbeiter!$G$31=FALSE,0,IF(AND(Mitarbeiter!$E$31&lt;&gt;"",BF$5+6&lt;Mitarbeiter!$E$31),0,IF(AND(Mitarbeiter!$F$31&lt;&gt;"",BF$5&gt;Mitarbeiter!$F$31),0,IF(Planung!BF33="",$C33,IF(ISNUMBER(Planung!BF33),Planung!BF33,IF(UPPER(Planung!BF33)="H",$C33/2,0)))))))</f>
        <v>0</v>
      </c>
      <c r="BG33" s="27">
        <f>IF($A33="",0,IF(Mitarbeiter!$G$31=FALSE,0,IF(AND(Mitarbeiter!$E$31&lt;&gt;"",BG$5+6&lt;Mitarbeiter!$E$31),0,IF(AND(Mitarbeiter!$F$31&lt;&gt;"",BG$5&gt;Mitarbeiter!$F$31),0,IF(Planung!BG33="",$C33,IF(ISNUMBER(Planung!BG33),Planung!BG33,IF(UPPER(Planung!BG33)="H",$C33/2,0)))))))</f>
        <v>0</v>
      </c>
      <c r="BH33" s="27">
        <f>IF($A33="",0,IF(Mitarbeiter!$G$31=FALSE,0,IF(AND(Mitarbeiter!$E$31&lt;&gt;"",BH$5+6&lt;Mitarbeiter!$E$31),0,IF(AND(Mitarbeiter!$F$31&lt;&gt;"",BH$5&gt;Mitarbeiter!$F$31),0,IF(Planung!BH33="",$C33,IF(ISNUMBER(Planung!BH33),Planung!BH33,IF(UPPER(Planung!BH33)="H",$C33/2,0)))))))</f>
        <v>0</v>
      </c>
      <c r="BI33" s="27">
        <f>IF($A33="",0,IF(Mitarbeiter!$G$31=FALSE,0,IF(AND(Mitarbeiter!$E$31&lt;&gt;"",BI$5+6&lt;Mitarbeiter!$E$31),0,IF(AND(Mitarbeiter!$F$31&lt;&gt;"",BI$5&gt;Mitarbeiter!$F$31),0,IF(Planung!BI33="",$C33,IF(ISNUMBER(Planung!BI33),Planung!BI33,IF(UPPER(Planung!BI33)="H",$C33/2,0)))))))</f>
        <v>0</v>
      </c>
      <c r="BJ33" s="27">
        <f>IF($A33="",0,IF(Mitarbeiter!$G$31=FALSE,0,IF(AND(Mitarbeiter!$E$31&lt;&gt;"",BJ$5+6&lt;Mitarbeiter!$E$31),0,IF(AND(Mitarbeiter!$F$31&lt;&gt;"",BJ$5&gt;Mitarbeiter!$F$31),0,IF(Planung!BJ33="",$C33,IF(ISNUMBER(Planung!BJ33),Planung!BJ33,IF(UPPER(Planung!BJ33)="H",$C33/2,0)))))))</f>
        <v>0</v>
      </c>
      <c r="BK33" s="27">
        <f>IF($A33="",0,IF(Mitarbeiter!$G$31=FALSE,0,IF(AND(Mitarbeiter!$E$31&lt;&gt;"",BK$5+6&lt;Mitarbeiter!$E$31),0,IF(AND(Mitarbeiter!$F$31&lt;&gt;"",BK$5&gt;Mitarbeiter!$F$31),0,IF(Planung!BK33="",$C33,IF(ISNUMBER(Planung!BK33),Planung!BK33,IF(UPPER(Planung!BK33)="H",$C33/2,0)))))))</f>
        <v>0</v>
      </c>
      <c r="BL33" s="27">
        <f>IF($A33="",0,IF(Mitarbeiter!$G$31=FALSE,0,IF(AND(Mitarbeiter!$E$31&lt;&gt;"",BL$5+6&lt;Mitarbeiter!$E$31),0,IF(AND(Mitarbeiter!$F$31&lt;&gt;"",BL$5&gt;Mitarbeiter!$F$31),0,IF(Planung!BL33="",$C33,IF(ISNUMBER(Planung!BL33),Planung!BL33,IF(UPPER(Planung!BL33)="H",$C33/2,0)))))))</f>
        <v>0</v>
      </c>
      <c r="BM33" s="27">
        <f>IF($A33="",0,IF(Mitarbeiter!$G$31=FALSE,0,IF(AND(Mitarbeiter!$E$31&lt;&gt;"",BM$5+6&lt;Mitarbeiter!$E$31),0,IF(AND(Mitarbeiter!$F$31&lt;&gt;"",BM$5&gt;Mitarbeiter!$F$31),0,IF(Planung!BM33="",$C33,IF(ISNUMBER(Planung!BM33),Planung!BM33,IF(UPPER(Planung!BM33)="H",$C33/2,0)))))))</f>
        <v>0</v>
      </c>
      <c r="BN33" s="27">
        <f>IF($A33="",0,IF(Mitarbeiter!$G$31=FALSE,0,IF(AND(Mitarbeiter!$E$31&lt;&gt;"",BN$5+6&lt;Mitarbeiter!$E$31),0,IF(AND(Mitarbeiter!$F$31&lt;&gt;"",BN$5&gt;Mitarbeiter!$F$31),0,IF(Planung!BN33="",$C33,IF(ISNUMBER(Planung!BN33),Planung!BN33,IF(UPPER(Planung!BN33)="H",$C33/2,0)))))))</f>
        <v>0</v>
      </c>
      <c r="BO33" s="27">
        <f>IF($A33="",0,IF(Mitarbeiter!$G$31=FALSE,0,IF(AND(Mitarbeiter!$E$31&lt;&gt;"",BO$5+6&lt;Mitarbeiter!$E$31),0,IF(AND(Mitarbeiter!$F$31&lt;&gt;"",BO$5&gt;Mitarbeiter!$F$31),0,IF(Planung!BO33="",$C33,IF(ISNUMBER(Planung!BO33),Planung!BO33,IF(UPPER(Planung!BO33)="H",$C33/2,0)))))))</f>
        <v>0</v>
      </c>
      <c r="BP33" s="27">
        <f>IF($A33="",0,IF(Mitarbeiter!$G$31=FALSE,0,IF(AND(Mitarbeiter!$E$31&lt;&gt;"",BP$5+6&lt;Mitarbeiter!$E$31),0,IF(AND(Mitarbeiter!$F$31&lt;&gt;"",BP$5&gt;Mitarbeiter!$F$31),0,IF(Planung!BP33="",$C33,IF(ISNUMBER(Planung!BP33),Planung!BP33,IF(UPPER(Planung!BP33)="H",$C33/2,0)))))))</f>
        <v>0</v>
      </c>
      <c r="BQ33" s="27">
        <f>IF($A33="",0,IF(Mitarbeiter!$G$31=FALSE,0,IF(AND(Mitarbeiter!$E$31&lt;&gt;"",BQ$5+6&lt;Mitarbeiter!$E$31),0,IF(AND(Mitarbeiter!$F$31&lt;&gt;"",BQ$5&gt;Mitarbeiter!$F$31),0,IF(Planung!BQ33="",$C33,IF(ISNUMBER(Planung!BQ33),Planung!BQ33,IF(UPPER(Planung!BQ33)="H",$C33/2,0)))))))</f>
        <v>0</v>
      </c>
      <c r="BR33" s="27">
        <f>IF($A33="",0,IF(Mitarbeiter!$G$31=FALSE,0,IF(AND(Mitarbeiter!$E$31&lt;&gt;"",BR$5+6&lt;Mitarbeiter!$E$31),0,IF(AND(Mitarbeiter!$F$31&lt;&gt;"",BR$5&gt;Mitarbeiter!$F$31),0,IF(Planung!BR33="",$C33,IF(ISNUMBER(Planung!BR33),Planung!BR33,IF(UPPER(Planung!BR33)="H",$C33/2,0)))))))</f>
        <v>0</v>
      </c>
      <c r="BS33" s="27">
        <f>IF($A33="",0,IF(Mitarbeiter!$G$31=FALSE,0,IF(AND(Mitarbeiter!$E$31&lt;&gt;"",BS$5+6&lt;Mitarbeiter!$E$31),0,IF(AND(Mitarbeiter!$F$31&lt;&gt;"",BS$5&gt;Mitarbeiter!$F$31),0,IF(Planung!BS33="",$C33,IF(ISNUMBER(Planung!BS33),Planung!BS33,IF(UPPER(Planung!BS33)="H",$C33/2,0)))))))</f>
        <v>0</v>
      </c>
      <c r="BT33" s="27">
        <f>IF($A33="",0,IF(Mitarbeiter!$G$31=FALSE,0,IF(AND(Mitarbeiter!$E$31&lt;&gt;"",BT$5+6&lt;Mitarbeiter!$E$31),0,IF(AND(Mitarbeiter!$F$31&lt;&gt;"",BT$5&gt;Mitarbeiter!$F$31),0,IF(Planung!BT33="",$C33,IF(ISNUMBER(Planung!BT33),Planung!BT33,IF(UPPER(Planung!BT33)="H",$C33/2,0)))))))</f>
        <v>0</v>
      </c>
      <c r="BU33" s="27">
        <f>IF($A33="",0,IF(Mitarbeiter!$G$31=FALSE,0,IF(AND(Mitarbeiter!$E$31&lt;&gt;"",BU$5+6&lt;Mitarbeiter!$E$31),0,IF(AND(Mitarbeiter!$F$31&lt;&gt;"",BU$5&gt;Mitarbeiter!$F$31),0,IF(Planung!BU33="",$C33,IF(ISNUMBER(Planung!BU33),Planung!BU33,IF(UPPER(Planung!BU33)="H",$C33/2,0)))))))</f>
        <v>0</v>
      </c>
      <c r="BV33" s="27">
        <f>IF($A33="",0,IF(Mitarbeiter!$G$31=FALSE,0,IF(AND(Mitarbeiter!$E$31&lt;&gt;"",BV$5+6&lt;Mitarbeiter!$E$31),0,IF(AND(Mitarbeiter!$F$31&lt;&gt;"",BV$5&gt;Mitarbeiter!$F$31),0,IF(Planung!BV33="",$C33,IF(ISNUMBER(Planung!BV33),Planung!BV33,IF(UPPER(Planung!BV33)="H",$C33/2,0)))))))</f>
        <v>0</v>
      </c>
      <c r="BW33" s="27">
        <f>IF($A33="",0,IF(Mitarbeiter!$G$31=FALSE,0,IF(AND(Mitarbeiter!$E$31&lt;&gt;"",BW$5+6&lt;Mitarbeiter!$E$31),0,IF(AND(Mitarbeiter!$F$31&lt;&gt;"",BW$5&gt;Mitarbeiter!$F$31),0,IF(Planung!BW33="",$C33,IF(ISNUMBER(Planung!BW33),Planung!BW33,IF(UPPER(Planung!BW33)="H",$C33/2,0)))))))</f>
        <v>0</v>
      </c>
      <c r="BX33" s="27">
        <f>IF($A33="",0,IF(Mitarbeiter!$G$31=FALSE,0,IF(AND(Mitarbeiter!$E$31&lt;&gt;"",BX$5+6&lt;Mitarbeiter!$E$31),0,IF(AND(Mitarbeiter!$F$31&lt;&gt;"",BX$5&gt;Mitarbeiter!$F$31),0,IF(Planung!BX33="",$C33,IF(ISNUMBER(Planung!BX33),Planung!BX33,IF(UPPER(Planung!BX33)="H",$C33/2,0)))))))</f>
        <v>0</v>
      </c>
      <c r="BY33" s="27">
        <f>IF($A33="",0,IF(Mitarbeiter!$G$31=FALSE,0,IF(AND(Mitarbeiter!$E$31&lt;&gt;"",BY$5+6&lt;Mitarbeiter!$E$31),0,IF(AND(Mitarbeiter!$F$31&lt;&gt;"",BY$5&gt;Mitarbeiter!$F$31),0,IF(Planung!BY33="",$C33,IF(ISNUMBER(Planung!BY33),Planung!BY33,IF(UPPER(Planung!BY33)="H",$C33/2,0)))))))</f>
        <v>0</v>
      </c>
      <c r="BZ33" s="27">
        <f>IF($A33="",0,IF(Mitarbeiter!$G$31=FALSE,0,IF(AND(Mitarbeiter!$E$31&lt;&gt;"",BZ$5+6&lt;Mitarbeiter!$E$31),0,IF(AND(Mitarbeiter!$F$31&lt;&gt;"",BZ$5&gt;Mitarbeiter!$F$31),0,IF(Planung!BZ33="",$C33,IF(ISNUMBER(Planung!BZ33),Planung!BZ33,IF(UPPER(Planung!BZ33)="H",$C33/2,0)))))))</f>
        <v>0</v>
      </c>
      <c r="CA33" s="27">
        <f>IF($A33="",0,IF(Mitarbeiter!$G$31=FALSE,0,IF(AND(Mitarbeiter!$E$31&lt;&gt;"",CA$5+6&lt;Mitarbeiter!$E$31),0,IF(AND(Mitarbeiter!$F$31&lt;&gt;"",CA$5&gt;Mitarbeiter!$F$31),0,IF(Planung!CA33="",$C33,IF(ISNUMBER(Planung!CA33),Planung!CA33,IF(UPPER(Planung!CA33)="H",$C33/2,0)))))))</f>
        <v>0</v>
      </c>
      <c r="CB33" s="27">
        <f>IF($A33="",0,IF(Mitarbeiter!$G$31=FALSE,0,IF(AND(Mitarbeiter!$E$31&lt;&gt;"",CB$5+6&lt;Mitarbeiter!$E$31),0,IF(AND(Mitarbeiter!$F$31&lt;&gt;"",CB$5&gt;Mitarbeiter!$F$31),0,IF(Planung!CB33="",$C33,IF(ISNUMBER(Planung!CB33),Planung!CB33,IF(UPPER(Planung!CB33)="H",$C33/2,0)))))))</f>
        <v>0</v>
      </c>
      <c r="CC33" s="27">
        <f>IF($A33="",0,IF(Mitarbeiter!$G$31=FALSE,0,IF(AND(Mitarbeiter!$E$31&lt;&gt;"",CC$5+6&lt;Mitarbeiter!$E$31),0,IF(AND(Mitarbeiter!$F$31&lt;&gt;"",CC$5&gt;Mitarbeiter!$F$31),0,IF(Planung!CC33="",$C33,IF(ISNUMBER(Planung!CC33),Planung!CC33,IF(UPPER(Planung!CC33)="H",$C33/2,0)))))))</f>
        <v>0</v>
      </c>
      <c r="CD33" s="27">
        <f>IF($A33="",0,IF(Mitarbeiter!$G$31=FALSE,0,IF(AND(Mitarbeiter!$E$31&lt;&gt;"",CD$5+6&lt;Mitarbeiter!$E$31),0,IF(AND(Mitarbeiter!$F$31&lt;&gt;"",CD$5&gt;Mitarbeiter!$F$31),0,IF(Planung!CD33="",$C33,IF(ISNUMBER(Planung!CD33),Planung!CD33,IF(UPPER(Planung!CD33)="H",$C33/2,0)))))))</f>
        <v>0</v>
      </c>
      <c r="CE33" s="27">
        <f>IF($A33="",0,IF(Mitarbeiter!$G$31=FALSE,0,IF(AND(Mitarbeiter!$E$31&lt;&gt;"",CE$5+6&lt;Mitarbeiter!$E$31),0,IF(AND(Mitarbeiter!$F$31&lt;&gt;"",CE$5&gt;Mitarbeiter!$F$31),0,IF(Planung!CE33="",$C33,IF(ISNUMBER(Planung!CE33),Planung!CE33,IF(UPPER(Planung!CE33)="H",$C33/2,0)))))))</f>
        <v>0</v>
      </c>
      <c r="CF33" s="27">
        <f>IF($A33="",0,IF(Mitarbeiter!$G$31=FALSE,0,IF(AND(Mitarbeiter!$E$31&lt;&gt;"",CF$5+6&lt;Mitarbeiter!$E$31),0,IF(AND(Mitarbeiter!$F$31&lt;&gt;"",CF$5&gt;Mitarbeiter!$F$31),0,IF(Planung!CF33="",$C33,IF(ISNUMBER(Planung!CF33),Planung!CF33,IF(UPPER(Planung!CF33)="H",$C33/2,0)))))))</f>
        <v>0</v>
      </c>
      <c r="CG33" s="27">
        <f>IF($A33="",0,IF(Mitarbeiter!$G$31=FALSE,0,IF(AND(Mitarbeiter!$E$31&lt;&gt;"",CG$5+6&lt;Mitarbeiter!$E$31),0,IF(AND(Mitarbeiter!$F$31&lt;&gt;"",CG$5&gt;Mitarbeiter!$F$31),0,IF(Planung!CG33="",$C33,IF(ISNUMBER(Planung!CG33),Planung!CG33,IF(UPPER(Planung!CG33)="H",$C33/2,0)))))))</f>
        <v>0</v>
      </c>
      <c r="CH33" s="27">
        <f>IF($A33="",0,IF(Mitarbeiter!$G$31=FALSE,0,IF(AND(Mitarbeiter!$E$31&lt;&gt;"",CH$5+6&lt;Mitarbeiter!$E$31),0,IF(AND(Mitarbeiter!$F$31&lt;&gt;"",CH$5&gt;Mitarbeiter!$F$31),0,IF(Planung!CH33="",$C33,IF(ISNUMBER(Planung!CH33),Planung!CH33,IF(UPPER(Planung!CH33)="H",$C33/2,0)))))))</f>
        <v>0</v>
      </c>
      <c r="CI33" s="27">
        <f>IF($A33="",0,IF(Mitarbeiter!$G$31=FALSE,0,IF(AND(Mitarbeiter!$E$31&lt;&gt;"",CI$5+6&lt;Mitarbeiter!$E$31),0,IF(AND(Mitarbeiter!$F$31&lt;&gt;"",CI$5&gt;Mitarbeiter!$F$31),0,IF(Planung!CI33="",$C33,IF(ISNUMBER(Planung!CI33),Planung!CI33,IF(UPPER(Planung!CI33)="H",$C33/2,0)))))))</f>
        <v>0</v>
      </c>
      <c r="CJ33" s="27">
        <f>IF($A33="",0,IF(Mitarbeiter!$G$31=FALSE,0,IF(AND(Mitarbeiter!$E$31&lt;&gt;"",CJ$5+6&lt;Mitarbeiter!$E$31),0,IF(AND(Mitarbeiter!$F$31&lt;&gt;"",CJ$5&gt;Mitarbeiter!$F$31),0,IF(Planung!CJ33="",$C33,IF(ISNUMBER(Planung!CJ33),Planung!CJ33,IF(UPPER(Planung!CJ33)="H",$C33/2,0)))))))</f>
        <v>0</v>
      </c>
      <c r="CK33" s="27">
        <f>IF($A33="",0,IF(Mitarbeiter!$G$31=FALSE,0,IF(AND(Mitarbeiter!$E$31&lt;&gt;"",CK$5+6&lt;Mitarbeiter!$E$31),0,IF(AND(Mitarbeiter!$F$31&lt;&gt;"",CK$5&gt;Mitarbeiter!$F$31),0,IF(Planung!CK33="",$C33,IF(ISNUMBER(Planung!CK33),Planung!CK33,IF(UPPER(Planung!CK33)="H",$C33/2,0)))))))</f>
        <v>0</v>
      </c>
      <c r="CL33" s="27">
        <f>IF($A33="",0,IF(Mitarbeiter!$G$31=FALSE,0,IF(AND(Mitarbeiter!$E$31&lt;&gt;"",CL$5+6&lt;Mitarbeiter!$E$31),0,IF(AND(Mitarbeiter!$F$31&lt;&gt;"",CL$5&gt;Mitarbeiter!$F$31),0,IF(Planung!CL33="",$C33,IF(ISNUMBER(Planung!CL33),Planung!CL33,IF(UPPER(Planung!CL33)="H",$C33/2,0)))))))</f>
        <v>0</v>
      </c>
      <c r="CM33" s="27">
        <f>IF($A33="",0,IF(Mitarbeiter!$G$31=FALSE,0,IF(AND(Mitarbeiter!$E$31&lt;&gt;"",CM$5+6&lt;Mitarbeiter!$E$31),0,IF(AND(Mitarbeiter!$F$31&lt;&gt;"",CM$5&gt;Mitarbeiter!$F$31),0,IF(Planung!CM33="",$C33,IF(ISNUMBER(Planung!CM33),Planung!CM33,IF(UPPER(Planung!CM33)="H",$C33/2,0)))))))</f>
        <v>0</v>
      </c>
      <c r="CN33" s="27">
        <f>IF($A33="",0,IF(Mitarbeiter!$G$31=FALSE,0,IF(AND(Mitarbeiter!$E$31&lt;&gt;"",CN$5+6&lt;Mitarbeiter!$E$31),0,IF(AND(Mitarbeiter!$F$31&lt;&gt;"",CN$5&gt;Mitarbeiter!$F$31),0,IF(Planung!CN33="",$C33,IF(ISNUMBER(Planung!CN33),Planung!CN33,IF(UPPER(Planung!CN33)="H",$C33/2,0)))))))</f>
        <v>0</v>
      </c>
      <c r="CO33" s="27">
        <f>IF($A33="",0,IF(Mitarbeiter!$G$31=FALSE,0,IF(AND(Mitarbeiter!$E$31&lt;&gt;"",CO$5+6&lt;Mitarbeiter!$E$31),0,IF(AND(Mitarbeiter!$F$31&lt;&gt;"",CO$5&gt;Mitarbeiter!$F$31),0,IF(Planung!CO33="",$C33,IF(ISNUMBER(Planung!CO33),Planung!CO33,IF(UPPER(Planung!CO33)="H",$C33/2,0)))))))</f>
        <v>0</v>
      </c>
      <c r="CP33" s="27">
        <f>IF($A33="",0,IF(Mitarbeiter!$G$31=FALSE,0,IF(AND(Mitarbeiter!$E$31&lt;&gt;"",CP$5+6&lt;Mitarbeiter!$E$31),0,IF(AND(Mitarbeiter!$F$31&lt;&gt;"",CP$5&gt;Mitarbeiter!$F$31),0,IF(Planung!CP33="",$C33,IF(ISNUMBER(Planung!CP33),Planung!CP33,IF(UPPER(Planung!CP33)="H",$C33/2,0)))))))</f>
        <v>0</v>
      </c>
      <c r="CQ33" s="27">
        <f>IF($A33="",0,IF(Mitarbeiter!$G$31=FALSE,0,IF(AND(Mitarbeiter!$E$31&lt;&gt;"",CQ$5+6&lt;Mitarbeiter!$E$31),0,IF(AND(Mitarbeiter!$F$31&lt;&gt;"",CQ$5&gt;Mitarbeiter!$F$31),0,IF(Planung!CQ33="",$C33,IF(ISNUMBER(Planung!CQ33),Planung!CQ33,IF(UPPER(Planung!CQ33)="H",$C33/2,0)))))))</f>
        <v>0</v>
      </c>
      <c r="CR33" s="27">
        <f>IF($A33="",0,IF(Mitarbeiter!$G$31=FALSE,0,IF(AND(Mitarbeiter!$E$31&lt;&gt;"",CR$5+6&lt;Mitarbeiter!$E$31),0,IF(AND(Mitarbeiter!$F$31&lt;&gt;"",CR$5&gt;Mitarbeiter!$F$31),0,IF(Planung!CR33="",$C33,IF(ISNUMBER(Planung!CR33),Planung!CR33,IF(UPPER(Planung!CR33)="H",$C33/2,0)))))))</f>
        <v>0</v>
      </c>
      <c r="CS33" s="27">
        <f>IF($A33="",0,IF(Mitarbeiter!$G$31=FALSE,0,IF(AND(Mitarbeiter!$E$31&lt;&gt;"",CS$5+6&lt;Mitarbeiter!$E$31),0,IF(AND(Mitarbeiter!$F$31&lt;&gt;"",CS$5&gt;Mitarbeiter!$F$31),0,IF(Planung!CS33="",$C33,IF(ISNUMBER(Planung!CS33),Planung!CS33,IF(UPPER(Planung!CS33)="H",$C33/2,0)))))))</f>
        <v>0</v>
      </c>
      <c r="CT33" s="27">
        <f>IF($A33="",0,IF(Mitarbeiter!$G$31=FALSE,0,IF(AND(Mitarbeiter!$E$31&lt;&gt;"",CT$5+6&lt;Mitarbeiter!$E$31),0,IF(AND(Mitarbeiter!$F$31&lt;&gt;"",CT$5&gt;Mitarbeiter!$F$31),0,IF(Planung!CT33="",$C33,IF(ISNUMBER(Planung!CT33),Planung!CT33,IF(UPPER(Planung!CT33)="H",$C33/2,0)))))))</f>
        <v>0</v>
      </c>
      <c r="CU33" s="27">
        <f>IF($A33="",0,IF(Mitarbeiter!$G$31=FALSE,0,IF(AND(Mitarbeiter!$E$31&lt;&gt;"",CU$5+6&lt;Mitarbeiter!$E$31),0,IF(AND(Mitarbeiter!$F$31&lt;&gt;"",CU$5&gt;Mitarbeiter!$F$31),0,IF(Planung!CU33="",$C33,IF(ISNUMBER(Planung!CU33),Planung!CU33,IF(UPPER(Planung!CU33)="H",$C33/2,0)))))))</f>
        <v>0</v>
      </c>
      <c r="CV33" s="27">
        <f>IF($A33="",0,IF(Mitarbeiter!$G$31=FALSE,0,IF(AND(Mitarbeiter!$E$31&lt;&gt;"",CV$5+6&lt;Mitarbeiter!$E$31),0,IF(AND(Mitarbeiter!$F$31&lt;&gt;"",CV$5&gt;Mitarbeiter!$F$31),0,IF(Planung!CV33="",$C33,IF(ISNUMBER(Planung!CV33),Planung!CV33,IF(UPPER(Planung!CV33)="H",$C33/2,0)))))))</f>
        <v>0</v>
      </c>
      <c r="CW33" s="27">
        <f>IF($A33="",0,IF(Mitarbeiter!$G$31=FALSE,0,IF(AND(Mitarbeiter!$E$31&lt;&gt;"",CW$5+6&lt;Mitarbeiter!$E$31),0,IF(AND(Mitarbeiter!$F$31&lt;&gt;"",CW$5&gt;Mitarbeiter!$F$31),0,IF(Planung!CW33="",$C33,IF(ISNUMBER(Planung!CW33),Planung!CW33,IF(UPPER(Planung!CW33)="H",$C33/2,0)))))))</f>
        <v>0</v>
      </c>
      <c r="CX33" s="27">
        <f>IF($A33="",0,IF(Mitarbeiter!$G$31=FALSE,0,IF(AND(Mitarbeiter!$E$31&lt;&gt;"",CX$5+6&lt;Mitarbeiter!$E$31),0,IF(AND(Mitarbeiter!$F$31&lt;&gt;"",CX$5&gt;Mitarbeiter!$F$31),0,IF(Planung!CX33="",$C33,IF(ISNUMBER(Planung!CX33),Planung!CX33,IF(UPPER(Planung!CX33)="H",$C33/2,0)))))))</f>
        <v>0</v>
      </c>
      <c r="CY33" s="27">
        <f>IF($A33="",0,IF(Mitarbeiter!$G$31=FALSE,0,IF(AND(Mitarbeiter!$E$31&lt;&gt;"",CY$5+6&lt;Mitarbeiter!$E$31),0,IF(AND(Mitarbeiter!$F$31&lt;&gt;"",CY$5&gt;Mitarbeiter!$F$31),0,IF(Planung!CY33="",$C33,IF(ISNUMBER(Planung!CY33),Planung!CY33,IF(UPPER(Planung!CY33)="H",$C33/2,0)))))))</f>
        <v>0</v>
      </c>
      <c r="CZ33" s="27">
        <f>IF($A33="",0,IF(Mitarbeiter!$G$31=FALSE,0,IF(AND(Mitarbeiter!$E$31&lt;&gt;"",CZ$5+6&lt;Mitarbeiter!$E$31),0,IF(AND(Mitarbeiter!$F$31&lt;&gt;"",CZ$5&gt;Mitarbeiter!$F$31),0,IF(Planung!CZ33="",$C33,IF(ISNUMBER(Planung!CZ33),Planung!CZ33,IF(UPPER(Planung!CZ33)="H",$C33/2,0)))))))</f>
        <v>0</v>
      </c>
      <c r="DA33" s="27">
        <f>IF($A33="",0,IF(Mitarbeiter!$G$31=FALSE,0,IF(AND(Mitarbeiter!$E$31&lt;&gt;"",DA$5+6&lt;Mitarbeiter!$E$31),0,IF(AND(Mitarbeiter!$F$31&lt;&gt;"",DA$5&gt;Mitarbeiter!$F$31),0,IF(Planung!DA33="",$C33,IF(ISNUMBER(Planung!DA33),Planung!DA33,IF(UPPER(Planung!DA33)="H",$C33/2,0)))))))</f>
        <v>0</v>
      </c>
      <c r="DB33" s="27">
        <f>IF($A33="",0,IF(Mitarbeiter!$G$31=FALSE,0,IF(AND(Mitarbeiter!$E$31&lt;&gt;"",DB$5+6&lt;Mitarbeiter!$E$31),0,IF(AND(Mitarbeiter!$F$31&lt;&gt;"",DB$5&gt;Mitarbeiter!$F$31),0,IF(Planung!DB33="",$C33,IF(ISNUMBER(Planung!DB33),Planung!DB33,IF(UPPER(Planung!DB33)="H",$C33/2,0)))))))</f>
        <v>0</v>
      </c>
      <c r="DC33" s="27">
        <f>IF($A33="",0,IF(Mitarbeiter!$G$31=FALSE,0,IF(AND(Mitarbeiter!$E$31&lt;&gt;"",DC$5+6&lt;Mitarbeiter!$E$31),0,IF(AND(Mitarbeiter!$F$31&lt;&gt;"",DC$5&gt;Mitarbeiter!$F$31),0,IF(Planung!DC33="",$C33,IF(ISNUMBER(Planung!DC33),Planung!DC33,IF(UPPER(Planung!DC33)="H",$C33/2,0)))))))</f>
        <v>0</v>
      </c>
      <c r="DD33" s="27">
        <f>IF($A33="",0,IF(Mitarbeiter!$G$31=FALSE,0,IF(AND(Mitarbeiter!$E$31&lt;&gt;"",DD$5+6&lt;Mitarbeiter!$E$31),0,IF(AND(Mitarbeiter!$F$31&lt;&gt;"",DD$5&gt;Mitarbeiter!$F$31),0,IF(Planung!DD33="",$C33,IF(ISNUMBER(Planung!DD33),Planung!DD33,IF(UPPER(Planung!DD33)="H",$C33/2,0)))))))</f>
        <v>0</v>
      </c>
      <c r="DE33" s="27">
        <f>IF($A33="",0,IF(Mitarbeiter!$G$31=FALSE,0,IF(AND(Mitarbeiter!$E$31&lt;&gt;"",DE$5+6&lt;Mitarbeiter!$E$31),0,IF(AND(Mitarbeiter!$F$31&lt;&gt;"",DE$5&gt;Mitarbeiter!$F$31),0,IF(Planung!DE33="",$C33,IF(ISNUMBER(Planung!DE33),Planung!DE33,IF(UPPER(Planung!DE33)="H",$C33/2,0)))))))</f>
        <v>0</v>
      </c>
      <c r="DF33" s="27">
        <f>IF($A33="",0,IF(Mitarbeiter!$G$31=FALSE,0,IF(AND(Mitarbeiter!$E$31&lt;&gt;"",DF$5+6&lt;Mitarbeiter!$E$31),0,IF(AND(Mitarbeiter!$F$31&lt;&gt;"",DF$5&gt;Mitarbeiter!$F$31),0,IF(Planung!DF33="",$C33,IF(ISNUMBER(Planung!DF33),Planung!DF33,IF(UPPER(Planung!DF33)="H",$C33/2,0)))))))</f>
        <v>0</v>
      </c>
      <c r="DG33" s="27">
        <f>IF($A33="",0,IF(Mitarbeiter!$G$31=FALSE,0,IF(AND(Mitarbeiter!$E$31&lt;&gt;"",DG$5+6&lt;Mitarbeiter!$E$31),0,IF(AND(Mitarbeiter!$F$31&lt;&gt;"",DG$5&gt;Mitarbeiter!$F$31),0,IF(Planung!DG33="",$C33,IF(ISNUMBER(Planung!DG33),Planung!DG33,IF(UPPER(Planung!DG33)="H",$C33/2,0)))))))</f>
        <v>0</v>
      </c>
      <c r="DH33" s="27">
        <f>IF($A33="",0,IF(Mitarbeiter!$G$31=FALSE,0,IF(AND(Mitarbeiter!$E$31&lt;&gt;"",DH$5+6&lt;Mitarbeiter!$E$31),0,IF(AND(Mitarbeiter!$F$31&lt;&gt;"",DH$5&gt;Mitarbeiter!$F$31),0,IF(Planung!DH33="",$C33,IF(ISNUMBER(Planung!DH33),Planung!DH33,IF(UPPER(Planung!DH33)="H",$C33/2,0)))))))</f>
        <v>0</v>
      </c>
      <c r="DI33" s="27">
        <f>IF($A33="",0,IF(Mitarbeiter!$G$31=FALSE,0,IF(AND(Mitarbeiter!$E$31&lt;&gt;"",DI$5+6&lt;Mitarbeiter!$E$31),0,IF(AND(Mitarbeiter!$F$31&lt;&gt;"",DI$5&gt;Mitarbeiter!$F$31),0,IF(Planung!DI33="",$C33,IF(ISNUMBER(Planung!DI33),Planung!DI33,IF(UPPER(Planung!DI33)="H",$C33/2,0)))))))</f>
        <v>0</v>
      </c>
      <c r="DJ33" s="27">
        <f>IF($A33="",0,IF(Mitarbeiter!$G$31=FALSE,0,IF(AND(Mitarbeiter!$E$31&lt;&gt;"",DJ$5+6&lt;Mitarbeiter!$E$31),0,IF(AND(Mitarbeiter!$F$31&lt;&gt;"",DJ$5&gt;Mitarbeiter!$F$31),0,IF(Planung!DJ33="",$C33,IF(ISNUMBER(Planung!DJ33),Planung!DJ33,IF(UPPER(Planung!DJ33)="H",$C33/2,0)))))))</f>
        <v>0</v>
      </c>
      <c r="DK33" s="27">
        <f>IF($A33="",0,IF(Mitarbeiter!$G$31=FALSE,0,IF(AND(Mitarbeiter!$E$31&lt;&gt;"",DK$5+6&lt;Mitarbeiter!$E$31),0,IF(AND(Mitarbeiter!$F$31&lt;&gt;"",DK$5&gt;Mitarbeiter!$F$31),0,IF(Planung!DK33="",$C33,IF(ISNUMBER(Planung!DK33),Planung!DK33,IF(UPPER(Planung!DK33)="H",$C33/2,0)))))))</f>
        <v>0</v>
      </c>
      <c r="DL33" s="27">
        <f>IF($A33="",0,IF(Mitarbeiter!$G$31=FALSE,0,IF(AND(Mitarbeiter!$E$31&lt;&gt;"",DL$5+6&lt;Mitarbeiter!$E$31),0,IF(AND(Mitarbeiter!$F$31&lt;&gt;"",DL$5&gt;Mitarbeiter!$F$31),0,IF(Planung!DL33="",$C33,IF(ISNUMBER(Planung!DL33),Planung!DL33,IF(UPPER(Planung!DL33)="H",$C33/2,0)))))))</f>
        <v>0</v>
      </c>
      <c r="DM33" s="27">
        <f>IF($A33="",0,IF(Mitarbeiter!$G$31=FALSE,0,IF(AND(Mitarbeiter!$E$31&lt;&gt;"",DM$5+6&lt;Mitarbeiter!$E$31),0,IF(AND(Mitarbeiter!$F$31&lt;&gt;"",DM$5&gt;Mitarbeiter!$F$31),0,IF(Planung!DM33="",$C33,IF(ISNUMBER(Planung!DM33),Planung!DM33,IF(UPPER(Planung!DM33)="H",$C33/2,0)))))))</f>
        <v>0</v>
      </c>
      <c r="DN33" s="27">
        <f>IF($A33="",0,IF(Mitarbeiter!$G$31=FALSE,0,IF(AND(Mitarbeiter!$E$31&lt;&gt;"",DN$5+6&lt;Mitarbeiter!$E$31),0,IF(AND(Mitarbeiter!$F$31&lt;&gt;"",DN$5&gt;Mitarbeiter!$F$31),0,IF(Planung!DN33="",$C33,IF(ISNUMBER(Planung!DN33),Planung!DN33,IF(UPPER(Planung!DN33)="H",$C33/2,0)))))))</f>
        <v>0</v>
      </c>
      <c r="DO33" s="27">
        <f>IF($A33="",0,IF(Mitarbeiter!$G$31=FALSE,0,IF(AND(Mitarbeiter!$E$31&lt;&gt;"",DO$5+6&lt;Mitarbeiter!$E$31),0,IF(AND(Mitarbeiter!$F$31&lt;&gt;"",DO$5&gt;Mitarbeiter!$F$31),0,IF(Planung!DO33="",$C33,IF(ISNUMBER(Planung!DO33),Planung!DO33,IF(UPPER(Planung!DO33)="H",$C33/2,0)))))))</f>
        <v>0</v>
      </c>
      <c r="DP33" s="27">
        <f>IF($A33="",0,IF(Mitarbeiter!$G$31=FALSE,0,IF(AND(Mitarbeiter!$E$31&lt;&gt;"",DP$5+6&lt;Mitarbeiter!$E$31),0,IF(AND(Mitarbeiter!$F$31&lt;&gt;"",DP$5&gt;Mitarbeiter!$F$31),0,IF(Planung!DP33="",$C33,IF(ISNUMBER(Planung!DP33),Planung!DP33,IF(UPPER(Planung!DP33)="H",$C33/2,0)))))))</f>
        <v>0</v>
      </c>
      <c r="DQ33" s="27">
        <f>IF($A33="",0,IF(Mitarbeiter!$G$31=FALSE,0,IF(AND(Mitarbeiter!$E$31&lt;&gt;"",DQ$5+6&lt;Mitarbeiter!$E$31),0,IF(AND(Mitarbeiter!$F$31&lt;&gt;"",DQ$5&gt;Mitarbeiter!$F$31),0,IF(Planung!DQ33="",$C33,IF(ISNUMBER(Planung!DQ33),Planung!DQ33,IF(UPPER(Planung!DQ33)="H",$C33/2,0)))))))</f>
        <v>0</v>
      </c>
      <c r="DR33" s="27">
        <f>IF($A33="",0,IF(Mitarbeiter!$G$31=FALSE,0,IF(AND(Mitarbeiter!$E$31&lt;&gt;"",DR$5+6&lt;Mitarbeiter!$E$31),0,IF(AND(Mitarbeiter!$F$31&lt;&gt;"",DR$5&gt;Mitarbeiter!$F$31),0,IF(Planung!DR33="",$C33,IF(ISNUMBER(Planung!DR33),Planung!DR33,IF(UPPER(Planung!DR33)="H",$C33/2,0)))))))</f>
        <v>0</v>
      </c>
      <c r="DS33" s="27">
        <f>IF($A33="",0,IF(Mitarbeiter!$G$31=FALSE,0,IF(AND(Mitarbeiter!$E$31&lt;&gt;"",DS$5+6&lt;Mitarbeiter!$E$31),0,IF(AND(Mitarbeiter!$F$31&lt;&gt;"",DS$5&gt;Mitarbeiter!$F$31),0,IF(Planung!DS33="",$C33,IF(ISNUMBER(Planung!DS33),Planung!DS33,IF(UPPER(Planung!DS33)="H",$C33/2,0)))))))</f>
        <v>0</v>
      </c>
      <c r="DT33" s="27">
        <f>IF($A33="",0,IF(Mitarbeiter!$G$31=FALSE,0,IF(AND(Mitarbeiter!$E$31&lt;&gt;"",DT$5+6&lt;Mitarbeiter!$E$31),0,IF(AND(Mitarbeiter!$F$31&lt;&gt;"",DT$5&gt;Mitarbeiter!$F$31),0,IF(Planung!DT33="",$C33,IF(ISNUMBER(Planung!DT33),Planung!DT33,IF(UPPER(Planung!DT33)="H",$C33/2,0)))))))</f>
        <v>0</v>
      </c>
      <c r="DU33" s="27">
        <f>IF($A33="",0,IF(Mitarbeiter!$G$31=FALSE,0,IF(AND(Mitarbeiter!$E$31&lt;&gt;"",DU$5+6&lt;Mitarbeiter!$E$31),0,IF(AND(Mitarbeiter!$F$31&lt;&gt;"",DU$5&gt;Mitarbeiter!$F$31),0,IF(Planung!DU33="",$C33,IF(ISNUMBER(Planung!DU33),Planung!DU33,IF(UPPER(Planung!DU33)="H",$C33/2,0)))))))</f>
        <v>0</v>
      </c>
      <c r="DV33" s="27">
        <f>IF($A33="",0,IF(Mitarbeiter!$G$31=FALSE,0,IF(AND(Mitarbeiter!$E$31&lt;&gt;"",DV$5+6&lt;Mitarbeiter!$E$31),0,IF(AND(Mitarbeiter!$F$31&lt;&gt;"",DV$5&gt;Mitarbeiter!$F$31),0,IF(Planung!DV33="",$C33,IF(ISNUMBER(Planung!DV33),Planung!DV33,IF(UPPER(Planung!DV33)="H",$C33/2,0)))))))</f>
        <v>0</v>
      </c>
      <c r="DW33" s="27">
        <f>IF($A33="",0,IF(Mitarbeiter!$G$31=FALSE,0,IF(AND(Mitarbeiter!$E$31&lt;&gt;"",DW$5+6&lt;Mitarbeiter!$E$31),0,IF(AND(Mitarbeiter!$F$31&lt;&gt;"",DW$5&gt;Mitarbeiter!$F$31),0,IF(Planung!DW33="",$C33,IF(ISNUMBER(Planung!DW33),Planung!DW33,IF(UPPER(Planung!DW33)="H",$C33/2,0)))))))</f>
        <v>0</v>
      </c>
      <c r="DX33" s="27">
        <f>IF($A33="",0,IF(Mitarbeiter!$G$31=FALSE,0,IF(AND(Mitarbeiter!$E$31&lt;&gt;"",DX$5+6&lt;Mitarbeiter!$E$31),0,IF(AND(Mitarbeiter!$F$31&lt;&gt;"",DX$5&gt;Mitarbeiter!$F$31),0,IF(Planung!DX33="",$C33,IF(ISNUMBER(Planung!DX33),Planung!DX33,IF(UPPER(Planung!DX33)="H",$C33/2,0)))))))</f>
        <v>0</v>
      </c>
      <c r="DY33" s="27">
        <f>IF($A33="",0,IF(Mitarbeiter!$G$31=FALSE,0,IF(AND(Mitarbeiter!$E$31&lt;&gt;"",DY$5+6&lt;Mitarbeiter!$E$31),0,IF(AND(Mitarbeiter!$F$31&lt;&gt;"",DY$5&gt;Mitarbeiter!$F$31),0,IF(Planung!DY33="",$C33,IF(ISNUMBER(Planung!DY33),Planung!DY33,IF(UPPER(Planung!DY33)="H",$C33/2,0)))))))</f>
        <v>0</v>
      </c>
      <c r="DZ33" s="27">
        <f>IF($A33="",0,IF(Mitarbeiter!$G$31=FALSE,0,IF(AND(Mitarbeiter!$E$31&lt;&gt;"",DZ$5+6&lt;Mitarbeiter!$E$31),0,IF(AND(Mitarbeiter!$F$31&lt;&gt;"",DZ$5&gt;Mitarbeiter!$F$31),0,IF(Planung!DZ33="",$C33,IF(ISNUMBER(Planung!DZ33),Planung!DZ33,IF(UPPER(Planung!DZ33)="H",$C33/2,0)))))))</f>
        <v>0</v>
      </c>
      <c r="EA33" s="27">
        <f>IF($A33="",0,IF(Mitarbeiter!$G$31=FALSE,0,IF(AND(Mitarbeiter!$E$31&lt;&gt;"",EA$5+6&lt;Mitarbeiter!$E$31),0,IF(AND(Mitarbeiter!$F$31&lt;&gt;"",EA$5&gt;Mitarbeiter!$F$31),0,IF(Planung!EA33="",$C33,IF(ISNUMBER(Planung!EA33),Planung!EA33,IF(UPPER(Planung!EA33)="H",$C33/2,0)))))))</f>
        <v>0</v>
      </c>
      <c r="EB33" s="27">
        <f>IF($A33="",0,IF(Mitarbeiter!$G$31=FALSE,0,IF(AND(Mitarbeiter!$E$31&lt;&gt;"",EB$5+6&lt;Mitarbeiter!$E$31),0,IF(AND(Mitarbeiter!$F$31&lt;&gt;"",EB$5&gt;Mitarbeiter!$F$31),0,IF(Planung!EB33="",$C33,IF(ISNUMBER(Planung!EB33),Planung!EB33,IF(UPPER(Planung!EB33)="H",$C33/2,0)))))))</f>
        <v>0</v>
      </c>
      <c r="EC33" s="27">
        <f>IF($A33="",0,IF(Mitarbeiter!$G$31=FALSE,0,IF(AND(Mitarbeiter!$E$31&lt;&gt;"",EC$5+6&lt;Mitarbeiter!$E$31),0,IF(AND(Mitarbeiter!$F$31&lt;&gt;"",EC$5&gt;Mitarbeiter!$F$31),0,IF(Planung!EC33="",$C33,IF(ISNUMBER(Planung!EC33),Planung!EC33,IF(UPPER(Planung!EC33)="H",$C33/2,0)))))))</f>
        <v>0</v>
      </c>
      <c r="ED33" s="27">
        <f>IF($A33="",0,IF(Mitarbeiter!$G$31=FALSE,0,IF(AND(Mitarbeiter!$E$31&lt;&gt;"",ED$5+6&lt;Mitarbeiter!$E$31),0,IF(AND(Mitarbeiter!$F$31&lt;&gt;"",ED$5&gt;Mitarbeiter!$F$31),0,IF(Planung!ED33="",$C33,IF(ISNUMBER(Planung!ED33),Planung!ED33,IF(UPPER(Planung!ED33)="H",$C33/2,0)))))))</f>
        <v>0</v>
      </c>
      <c r="EE33" s="27">
        <f>IF($A33="",0,IF(Mitarbeiter!$G$31=FALSE,0,IF(AND(Mitarbeiter!$E$31&lt;&gt;"",EE$5+6&lt;Mitarbeiter!$E$31),0,IF(AND(Mitarbeiter!$F$31&lt;&gt;"",EE$5&gt;Mitarbeiter!$F$31),0,IF(Planung!EE33="",$C33,IF(ISNUMBER(Planung!EE33),Planung!EE33,IF(UPPER(Planung!EE33)="H",$C33/2,0)))))))</f>
        <v>0</v>
      </c>
      <c r="EF33" s="27">
        <f>IF($A33="",0,IF(Mitarbeiter!$G$31=FALSE,0,IF(AND(Mitarbeiter!$E$31&lt;&gt;"",EF$5+6&lt;Mitarbeiter!$E$31),0,IF(AND(Mitarbeiter!$F$31&lt;&gt;"",EF$5&gt;Mitarbeiter!$F$31),0,IF(Planung!EF33="",$C33,IF(ISNUMBER(Planung!EF33),Planung!EF33,IF(UPPER(Planung!EF33)="H",$C33/2,0)))))))</f>
        <v>0</v>
      </c>
      <c r="EG33" s="27">
        <f>IF($A33="",0,IF(Mitarbeiter!$G$31=FALSE,0,IF(AND(Mitarbeiter!$E$31&lt;&gt;"",EG$5+6&lt;Mitarbeiter!$E$31),0,IF(AND(Mitarbeiter!$F$31&lt;&gt;"",EG$5&gt;Mitarbeiter!$F$31),0,IF(Planung!EG33="",$C33,IF(ISNUMBER(Planung!EG33),Planung!EG33,IF(UPPER(Planung!EG33)="H",$C33/2,0)))))))</f>
        <v>0</v>
      </c>
      <c r="EH33" s="27">
        <f>IF($A33="",0,IF(Mitarbeiter!$G$31=FALSE,0,IF(AND(Mitarbeiter!$E$31&lt;&gt;"",EH$5+6&lt;Mitarbeiter!$E$31),0,IF(AND(Mitarbeiter!$F$31&lt;&gt;"",EH$5&gt;Mitarbeiter!$F$31),0,IF(Planung!EH33="",$C33,IF(ISNUMBER(Planung!EH33),Planung!EH33,IF(UPPER(Planung!EH33)="H",$C33/2,0)))))))</f>
        <v>0</v>
      </c>
      <c r="EI33" s="27">
        <f>IF($A33="",0,IF(Mitarbeiter!$G$31=FALSE,0,IF(AND(Mitarbeiter!$E$31&lt;&gt;"",EI$5+6&lt;Mitarbeiter!$E$31),0,IF(AND(Mitarbeiter!$F$31&lt;&gt;"",EI$5&gt;Mitarbeiter!$F$31),0,IF(Planung!EI33="",$C33,IF(ISNUMBER(Planung!EI33),Planung!EI33,IF(UPPER(Planung!EI33)="H",$C33/2,0)))))))</f>
        <v>0</v>
      </c>
      <c r="EJ33" s="27">
        <f>IF($A33="",0,IF(Mitarbeiter!$G$31=FALSE,0,IF(AND(Mitarbeiter!$E$31&lt;&gt;"",EJ$5+6&lt;Mitarbeiter!$E$31),0,IF(AND(Mitarbeiter!$F$31&lt;&gt;"",EJ$5&gt;Mitarbeiter!$F$31),0,IF(Planung!EJ33="",$C33,IF(ISNUMBER(Planung!EJ33),Planung!EJ33,IF(UPPER(Planung!EJ33)="H",$C33/2,0)))))))</f>
        <v>0</v>
      </c>
      <c r="EK33" s="27">
        <f>IF($A33="",0,IF(Mitarbeiter!$G$31=FALSE,0,IF(AND(Mitarbeiter!$E$31&lt;&gt;"",EK$5+6&lt;Mitarbeiter!$E$31),0,IF(AND(Mitarbeiter!$F$31&lt;&gt;"",EK$5&gt;Mitarbeiter!$F$31),0,IF(Planung!EK33="",$C33,IF(ISNUMBER(Planung!EK33),Planung!EK33,IF(UPPER(Planung!EK33)="H",$C33/2,0)))))))</f>
        <v>0</v>
      </c>
      <c r="EL33" s="27">
        <f>IF($A33="",0,IF(Mitarbeiter!$G$31=FALSE,0,IF(AND(Mitarbeiter!$E$31&lt;&gt;"",EL$5+6&lt;Mitarbeiter!$E$31),0,IF(AND(Mitarbeiter!$F$31&lt;&gt;"",EL$5&gt;Mitarbeiter!$F$31),0,IF(Planung!EL33="",$C33,IF(ISNUMBER(Planung!EL33),Planung!EL33,IF(UPPER(Planung!EL33)="H",$C33/2,0)))))))</f>
        <v>0</v>
      </c>
      <c r="EM33" s="27">
        <f>IF($A33="",0,IF(Mitarbeiter!$G$31=FALSE,0,IF(AND(Mitarbeiter!$E$31&lt;&gt;"",EM$5+6&lt;Mitarbeiter!$E$31),0,IF(AND(Mitarbeiter!$F$31&lt;&gt;"",EM$5&gt;Mitarbeiter!$F$31),0,IF(Planung!EM33="",$C33,IF(ISNUMBER(Planung!EM33),Planung!EM33,IF(UPPER(Planung!EM33)="H",$C33/2,0)))))))</f>
        <v>0</v>
      </c>
      <c r="EN33" s="27">
        <f>IF($A33="",0,IF(Mitarbeiter!$G$31=FALSE,0,IF(AND(Mitarbeiter!$E$31&lt;&gt;"",EN$5+6&lt;Mitarbeiter!$E$31),0,IF(AND(Mitarbeiter!$F$31&lt;&gt;"",EN$5&gt;Mitarbeiter!$F$31),0,IF(Planung!EN33="",$C33,IF(ISNUMBER(Planung!EN33),Planung!EN33,IF(UPPER(Planung!EN33)="H",$C33/2,0)))))))</f>
        <v>0</v>
      </c>
      <c r="EO33" s="27">
        <f>IF($A33="",0,IF(Mitarbeiter!$G$31=FALSE,0,IF(AND(Mitarbeiter!$E$31&lt;&gt;"",EO$5+6&lt;Mitarbeiter!$E$31),0,IF(AND(Mitarbeiter!$F$31&lt;&gt;"",EO$5&gt;Mitarbeiter!$F$31),0,IF(Planung!EO33="",$C33,IF(ISNUMBER(Planung!EO33),Planung!EO33,IF(UPPER(Planung!EO33)="H",$C33/2,0)))))))</f>
        <v>0</v>
      </c>
      <c r="EP33" s="27">
        <f>IF($A33="",0,IF(Mitarbeiter!$G$31=FALSE,0,IF(AND(Mitarbeiter!$E$31&lt;&gt;"",EP$5+6&lt;Mitarbeiter!$E$31),0,IF(AND(Mitarbeiter!$F$31&lt;&gt;"",EP$5&gt;Mitarbeiter!$F$31),0,IF(Planung!EP33="",$C33,IF(ISNUMBER(Planung!EP33),Planung!EP33,IF(UPPER(Planung!EP33)="H",$C33/2,0)))))))</f>
        <v>0</v>
      </c>
      <c r="EQ33" s="27">
        <f>IF($A33="",0,IF(Mitarbeiter!$G$31=FALSE,0,IF(AND(Mitarbeiter!$E$31&lt;&gt;"",EQ$5+6&lt;Mitarbeiter!$E$31),0,IF(AND(Mitarbeiter!$F$31&lt;&gt;"",EQ$5&gt;Mitarbeiter!$F$31),0,IF(Planung!EQ33="",$C33,IF(ISNUMBER(Planung!EQ33),Planung!EQ33,IF(UPPER(Planung!EQ33)="H",$C33/2,0)))))))</f>
        <v>0</v>
      </c>
      <c r="ER33" s="27">
        <f>IF($A33="",0,IF(Mitarbeiter!$G$31=FALSE,0,IF(AND(Mitarbeiter!$E$31&lt;&gt;"",ER$5+6&lt;Mitarbeiter!$E$31),0,IF(AND(Mitarbeiter!$F$31&lt;&gt;"",ER$5&gt;Mitarbeiter!$F$31),0,IF(Planung!ER33="",$C33,IF(ISNUMBER(Planung!ER33),Planung!ER33,IF(UPPER(Planung!ER33)="H",$C33/2,0)))))))</f>
        <v>0</v>
      </c>
      <c r="ES33" s="27">
        <f>IF($A33="",0,IF(Mitarbeiter!$G$31=FALSE,0,IF(AND(Mitarbeiter!$E$31&lt;&gt;"",ES$5+6&lt;Mitarbeiter!$E$31),0,IF(AND(Mitarbeiter!$F$31&lt;&gt;"",ES$5&gt;Mitarbeiter!$F$31),0,IF(Planung!ES33="",$C33,IF(ISNUMBER(Planung!ES33),Planung!ES33,IF(UPPER(Planung!ES33)="H",$C33/2,0)))))))</f>
        <v>0</v>
      </c>
      <c r="ET33" s="27">
        <f>IF($A33="",0,IF(Mitarbeiter!$G$31=FALSE,0,IF(AND(Mitarbeiter!$E$31&lt;&gt;"",ET$5+6&lt;Mitarbeiter!$E$31),0,IF(AND(Mitarbeiter!$F$31&lt;&gt;"",ET$5&gt;Mitarbeiter!$F$31),0,IF(Planung!ET33="",$C33,IF(ISNUMBER(Planung!ET33),Planung!ET33,IF(UPPER(Planung!ET33)="H",$C33/2,0)))))))</f>
        <v>0</v>
      </c>
      <c r="EU33" s="27">
        <f>IF($A33="",0,IF(Mitarbeiter!$G$31=FALSE,0,IF(AND(Mitarbeiter!$E$31&lt;&gt;"",EU$5+6&lt;Mitarbeiter!$E$31),0,IF(AND(Mitarbeiter!$F$31&lt;&gt;"",EU$5&gt;Mitarbeiter!$F$31),0,IF(Planung!EU33="",$C33,IF(ISNUMBER(Planung!EU33),Planung!EU33,IF(UPPER(Planung!EU33)="H",$C33/2,0)))))))</f>
        <v>0</v>
      </c>
      <c r="EV33" s="27">
        <f>IF($A33="",0,IF(Mitarbeiter!$G$31=FALSE,0,IF(AND(Mitarbeiter!$E$31&lt;&gt;"",EV$5+6&lt;Mitarbeiter!$E$31),0,IF(AND(Mitarbeiter!$F$31&lt;&gt;"",EV$5&gt;Mitarbeiter!$F$31),0,IF(Planung!EV33="",$C33,IF(ISNUMBER(Planung!EV33),Planung!EV33,IF(UPPER(Planung!EV33)="H",$C33/2,0)))))))</f>
        <v>0</v>
      </c>
      <c r="EW33" s="27">
        <f>IF($A33="",0,IF(Mitarbeiter!$G$31=FALSE,0,IF(AND(Mitarbeiter!$E$31&lt;&gt;"",EW$5+6&lt;Mitarbeiter!$E$31),0,IF(AND(Mitarbeiter!$F$31&lt;&gt;"",EW$5&gt;Mitarbeiter!$F$31),0,IF(Planung!EW33="",$C33,IF(ISNUMBER(Planung!EW33),Planung!EW33,IF(UPPER(Planung!EW33)="H",$C33/2,0)))))))</f>
        <v>0</v>
      </c>
      <c r="EX33" s="27">
        <f>IF($A33="",0,IF(Mitarbeiter!$G$31=FALSE,0,IF(AND(Mitarbeiter!$E$31&lt;&gt;"",EX$5+6&lt;Mitarbeiter!$E$31),0,IF(AND(Mitarbeiter!$F$31&lt;&gt;"",EX$5&gt;Mitarbeiter!$F$31),0,IF(Planung!EX33="",$C33,IF(ISNUMBER(Planung!EX33),Planung!EX33,IF(UPPER(Planung!EX33)="H",$C33/2,0)))))))</f>
        <v>0</v>
      </c>
      <c r="EY33" s="27">
        <f>IF($A33="",0,IF(Mitarbeiter!$G$31=FALSE,0,IF(AND(Mitarbeiter!$E$31&lt;&gt;"",EY$5+6&lt;Mitarbeiter!$E$31),0,IF(AND(Mitarbeiter!$F$31&lt;&gt;"",EY$5&gt;Mitarbeiter!$F$31),0,IF(Planung!EY33="",$C33,IF(ISNUMBER(Planung!EY33),Planung!EY33,IF(UPPER(Planung!EY33)="H",$C33/2,0)))))))</f>
        <v>0</v>
      </c>
      <c r="EZ33" s="27">
        <f>IF($A33="",0,IF(Mitarbeiter!$G$31=FALSE,0,IF(AND(Mitarbeiter!$E$31&lt;&gt;"",EZ$5+6&lt;Mitarbeiter!$E$31),0,IF(AND(Mitarbeiter!$F$31&lt;&gt;"",EZ$5&gt;Mitarbeiter!$F$31),0,IF(Planung!EZ33="",$C33,IF(ISNUMBER(Planung!EZ33),Planung!EZ33,IF(UPPER(Planung!EZ33)="H",$C33/2,0)))))))</f>
        <v>0</v>
      </c>
      <c r="FA33" s="27">
        <f>IF($A33="",0,IF(Mitarbeiter!$G$31=FALSE,0,IF(AND(Mitarbeiter!$E$31&lt;&gt;"",FA$5+6&lt;Mitarbeiter!$E$31),0,IF(AND(Mitarbeiter!$F$31&lt;&gt;"",FA$5&gt;Mitarbeiter!$F$31),0,IF(Planung!FA33="",$C33,IF(ISNUMBER(Planung!FA33),Planung!FA33,IF(UPPER(Planung!FA33)="H",$C33/2,0)))))))</f>
        <v>0</v>
      </c>
      <c r="FB33" s="27">
        <f>IF($A33="",0,IF(Mitarbeiter!$G$31=FALSE,0,IF(AND(Mitarbeiter!$E$31&lt;&gt;"",FB$5+6&lt;Mitarbeiter!$E$31),0,IF(AND(Mitarbeiter!$F$31&lt;&gt;"",FB$5&gt;Mitarbeiter!$F$31),0,IF(Planung!FB33="",$C33,IF(ISNUMBER(Planung!FB33),Planung!FB33,IF(UPPER(Planung!FB33)="H",$C33/2,0)))))))</f>
        <v>0</v>
      </c>
      <c r="FC33" s="27">
        <f>IF($A33="",0,IF(Mitarbeiter!$G$31=FALSE,0,IF(AND(Mitarbeiter!$E$31&lt;&gt;"",FC$5+6&lt;Mitarbeiter!$E$31),0,IF(AND(Mitarbeiter!$F$31&lt;&gt;"",FC$5&gt;Mitarbeiter!$F$31),0,IF(Planung!FC33="",$C33,IF(ISNUMBER(Planung!FC33),Planung!FC33,IF(UPPER(Planung!FC33)="H",$C33/2,0)))))))</f>
        <v>0</v>
      </c>
      <c r="FD33" s="27">
        <f>IF($A33="",0,IF(Mitarbeiter!$G$31=FALSE,0,IF(AND(Mitarbeiter!$E$31&lt;&gt;"",FD$5+6&lt;Mitarbeiter!$E$31),0,IF(AND(Mitarbeiter!$F$31&lt;&gt;"",FD$5&gt;Mitarbeiter!$F$31),0,IF(Planung!FD33="",$C33,IF(ISNUMBER(Planung!FD33),Planung!FD33,IF(UPPER(Planung!FD33)="H",$C33/2,0)))))))</f>
        <v>0</v>
      </c>
      <c r="FE33" s="27">
        <f>IF($A33="",0,IF(Mitarbeiter!$G$31=FALSE,0,IF(AND(Mitarbeiter!$E$31&lt;&gt;"",FE$5+6&lt;Mitarbeiter!$E$31),0,IF(AND(Mitarbeiter!$F$31&lt;&gt;"",FE$5&gt;Mitarbeiter!$F$31),0,IF(Planung!FE33="",$C33,IF(ISNUMBER(Planung!FE33),Planung!FE33,IF(UPPER(Planung!FE33)="H",$C33/2,0)))))))</f>
        <v>0</v>
      </c>
      <c r="FF33" s="27">
        <f>IF($A33="",0,IF(Mitarbeiter!$G$31=FALSE,0,IF(AND(Mitarbeiter!$E$31&lt;&gt;"",FF$5+6&lt;Mitarbeiter!$E$31),0,IF(AND(Mitarbeiter!$F$31&lt;&gt;"",FF$5&gt;Mitarbeiter!$F$31),0,IF(Planung!FF33="",$C33,IF(ISNUMBER(Planung!FF33),Planung!FF33,IF(UPPER(Planung!FF33)="H",$C33/2,0)))))))</f>
        <v>0</v>
      </c>
      <c r="FG33" s="27">
        <f>IF($A33="",0,IF(Mitarbeiter!$G$31=FALSE,0,IF(AND(Mitarbeiter!$E$31&lt;&gt;"",FG$5+6&lt;Mitarbeiter!$E$31),0,IF(AND(Mitarbeiter!$F$31&lt;&gt;"",FG$5&gt;Mitarbeiter!$F$31),0,IF(Planung!FG33="",$C33,IF(ISNUMBER(Planung!FG33),Planung!FG33,IF(UPPER(Planung!FG33)="H",$C33/2,0)))))))</f>
        <v>0</v>
      </c>
      <c r="FH33" s="27">
        <f>IF($A33="",0,IF(Mitarbeiter!$G$31=FALSE,0,IF(AND(Mitarbeiter!$E$31&lt;&gt;"",FH$5+6&lt;Mitarbeiter!$E$31),0,IF(AND(Mitarbeiter!$F$31&lt;&gt;"",FH$5&gt;Mitarbeiter!$F$31),0,IF(Planung!FH33="",$C33,IF(ISNUMBER(Planung!FH33),Planung!FH33,IF(UPPER(Planung!FH33)="H",$C33/2,0)))))))</f>
        <v>0</v>
      </c>
      <c r="FI33" s="27">
        <f>IF($A33="",0,IF(Mitarbeiter!$G$31=FALSE,0,IF(AND(Mitarbeiter!$E$31&lt;&gt;"",FI$5+6&lt;Mitarbeiter!$E$31),0,IF(AND(Mitarbeiter!$F$31&lt;&gt;"",FI$5&gt;Mitarbeiter!$F$31),0,IF(Planung!FI33="",$C33,IF(ISNUMBER(Planung!FI33),Planung!FI33,IF(UPPER(Planung!FI33)="H",$C33/2,0)))))))</f>
        <v>0</v>
      </c>
      <c r="FJ33" s="27">
        <f>IF($A33="",0,IF(Mitarbeiter!$G$31=FALSE,0,IF(AND(Mitarbeiter!$E$31&lt;&gt;"",FJ$5+6&lt;Mitarbeiter!$E$31),0,IF(AND(Mitarbeiter!$F$31&lt;&gt;"",FJ$5&gt;Mitarbeiter!$F$31),0,IF(Planung!FJ33="",$C33,IF(ISNUMBER(Planung!FJ33),Planung!FJ33,IF(UPPER(Planung!FJ33)="H",$C33/2,0)))))))</f>
        <v>0</v>
      </c>
      <c r="FK33" s="27">
        <f>IF($A33="",0,IF(Mitarbeiter!$G$31=FALSE,0,IF(AND(Mitarbeiter!$E$31&lt;&gt;"",FK$5+6&lt;Mitarbeiter!$E$31),0,IF(AND(Mitarbeiter!$F$31&lt;&gt;"",FK$5&gt;Mitarbeiter!$F$31),0,IF(Planung!FK33="",$C33,IF(ISNUMBER(Planung!FK33),Planung!FK33,IF(UPPER(Planung!FK33)="H",$C33/2,0)))))))</f>
        <v>0</v>
      </c>
      <c r="FL33" s="27">
        <f>IF($A33="",0,IF(Mitarbeiter!$G$31=FALSE,0,IF(AND(Mitarbeiter!$E$31&lt;&gt;"",FL$5+6&lt;Mitarbeiter!$E$31),0,IF(AND(Mitarbeiter!$F$31&lt;&gt;"",FL$5&gt;Mitarbeiter!$F$31),0,IF(Planung!FL33="",$C33,IF(ISNUMBER(Planung!FL33),Planung!FL33,IF(UPPER(Planung!FL33)="H",$C33/2,0)))))))</f>
        <v>0</v>
      </c>
      <c r="FM33" s="27">
        <f>IF($A33="",0,IF(Mitarbeiter!$G$31=FALSE,0,IF(AND(Mitarbeiter!$E$31&lt;&gt;"",FM$5+6&lt;Mitarbeiter!$E$31),0,IF(AND(Mitarbeiter!$F$31&lt;&gt;"",FM$5&gt;Mitarbeiter!$F$31),0,IF(Planung!FM33="",$C33,IF(ISNUMBER(Planung!FM33),Planung!FM33,IF(UPPER(Planung!FM33)="H",$C33/2,0)))))))</f>
        <v>0</v>
      </c>
      <c r="FN33" s="27">
        <f>IF($A33="",0,IF(Mitarbeiter!$G$31=FALSE,0,IF(AND(Mitarbeiter!$E$31&lt;&gt;"",FN$5+6&lt;Mitarbeiter!$E$31),0,IF(AND(Mitarbeiter!$F$31&lt;&gt;"",FN$5&gt;Mitarbeiter!$F$31),0,IF(Planung!FN33="",$C33,IF(ISNUMBER(Planung!FN33),Planung!FN33,IF(UPPER(Planung!FN33)="H",$C33/2,0)))))))</f>
        <v>0</v>
      </c>
      <c r="FO33" s="27">
        <f>IF($A33="",0,IF(Mitarbeiter!$G$31=FALSE,0,IF(AND(Mitarbeiter!$E$31&lt;&gt;"",FO$5+6&lt;Mitarbeiter!$E$31),0,IF(AND(Mitarbeiter!$F$31&lt;&gt;"",FO$5&gt;Mitarbeiter!$F$31),0,IF(Planung!FO33="",$C33,IF(ISNUMBER(Planung!FO33),Planung!FO33,IF(UPPER(Planung!FO33)="H",$C33/2,0)))))))</f>
        <v>0</v>
      </c>
      <c r="FP33" s="27">
        <f>IF($A33="",0,IF(Mitarbeiter!$G$31=FALSE,0,IF(AND(Mitarbeiter!$E$31&lt;&gt;"",FP$5+6&lt;Mitarbeiter!$E$31),0,IF(AND(Mitarbeiter!$F$31&lt;&gt;"",FP$5&gt;Mitarbeiter!$F$31),0,IF(Planung!FP33="",$C33,IF(ISNUMBER(Planung!FP33),Planung!FP33,IF(UPPER(Planung!FP33)="H",$C33/2,0)))))))</f>
        <v>0</v>
      </c>
      <c r="FQ33" s="27">
        <f>IF($A33="",0,IF(Mitarbeiter!$G$31=FALSE,0,IF(AND(Mitarbeiter!$E$31&lt;&gt;"",FQ$5+6&lt;Mitarbeiter!$E$31),0,IF(AND(Mitarbeiter!$F$31&lt;&gt;"",FQ$5&gt;Mitarbeiter!$F$31),0,IF(Planung!FQ33="",$C33,IF(ISNUMBER(Planung!FQ33),Planung!FQ33,IF(UPPER(Planung!FQ33)="H",$C33/2,0)))))))</f>
        <v>0</v>
      </c>
      <c r="FR33" s="27">
        <f>IF($A33="",0,IF(Mitarbeiter!$G$31=FALSE,0,IF(AND(Mitarbeiter!$E$31&lt;&gt;"",FR$5+6&lt;Mitarbeiter!$E$31),0,IF(AND(Mitarbeiter!$F$31&lt;&gt;"",FR$5&gt;Mitarbeiter!$F$31),0,IF(Planung!FR33="",$C33,IF(ISNUMBER(Planung!FR33),Planung!FR33,IF(UPPER(Planung!FR33)="H",$C33/2,0)))))))</f>
        <v>0</v>
      </c>
      <c r="FS33" s="27">
        <f>IF($A33="",0,IF(Mitarbeiter!$G$31=FALSE,0,IF(AND(Mitarbeiter!$E$31&lt;&gt;"",FS$5+6&lt;Mitarbeiter!$E$31),0,IF(AND(Mitarbeiter!$F$31&lt;&gt;"",FS$5&gt;Mitarbeiter!$F$31),0,IF(Planung!FS33="",$C33,IF(ISNUMBER(Planung!FS33),Planung!FS33,IF(UPPER(Planung!FS33)="H",$C33/2,0)))))))</f>
        <v>0</v>
      </c>
      <c r="FT33" s="27">
        <f>IF($A33="",0,IF(Mitarbeiter!$G$31=FALSE,0,IF(AND(Mitarbeiter!$E$31&lt;&gt;"",FT$5+6&lt;Mitarbeiter!$E$31),0,IF(AND(Mitarbeiter!$F$31&lt;&gt;"",FT$5&gt;Mitarbeiter!$F$31),0,IF(Planung!FT33="",$C33,IF(ISNUMBER(Planung!FT33),Planung!FT33,IF(UPPER(Planung!FT33)="H",$C33/2,0)))))))</f>
        <v>0</v>
      </c>
      <c r="FU33" s="27">
        <f>IF($A33="",0,IF(Mitarbeiter!$G$31=FALSE,0,IF(AND(Mitarbeiter!$E$31&lt;&gt;"",FU$5+6&lt;Mitarbeiter!$E$31),0,IF(AND(Mitarbeiter!$F$31&lt;&gt;"",FU$5&gt;Mitarbeiter!$F$31),0,IF(Planung!FU33="",$C33,IF(ISNUMBER(Planung!FU33),Planung!FU33,IF(UPPER(Planung!FU33)="H",$C33/2,0)))))))</f>
        <v>0</v>
      </c>
      <c r="FV33" s="27">
        <f>IF($A33="",0,IF(Mitarbeiter!$G$31=FALSE,0,IF(AND(Mitarbeiter!$E$31&lt;&gt;"",FV$5+6&lt;Mitarbeiter!$E$31),0,IF(AND(Mitarbeiter!$F$31&lt;&gt;"",FV$5&gt;Mitarbeiter!$F$31),0,IF(Planung!FV33="",$C33,IF(ISNUMBER(Planung!FV33),Planung!FV33,IF(UPPER(Planung!FV33)="H",$C33/2,0)))))))</f>
        <v>0</v>
      </c>
      <c r="FW33" s="27">
        <f>IF($A33="",0,IF(Mitarbeiter!$G$31=FALSE,0,IF(AND(Mitarbeiter!$E$31&lt;&gt;"",FW$5+6&lt;Mitarbeiter!$E$31),0,IF(AND(Mitarbeiter!$F$31&lt;&gt;"",FW$5&gt;Mitarbeiter!$F$31),0,IF(Planung!FW33="",$C33,IF(ISNUMBER(Planung!FW33),Planung!FW33,IF(UPPER(Planung!FW33)="H",$C33/2,0)))))))</f>
        <v>0</v>
      </c>
      <c r="FX33" s="27">
        <f>IF($A33="",0,IF(Mitarbeiter!$G$31=FALSE,0,IF(AND(Mitarbeiter!$E$31&lt;&gt;"",FX$5+6&lt;Mitarbeiter!$E$31),0,IF(AND(Mitarbeiter!$F$31&lt;&gt;"",FX$5&gt;Mitarbeiter!$F$31),0,IF(Planung!FX33="",$C33,IF(ISNUMBER(Planung!FX33),Planung!FX33,IF(UPPER(Planung!FX33)="H",$C33/2,0)))))))</f>
        <v>0</v>
      </c>
      <c r="FY33" s="27">
        <f>IF($A33="",0,IF(Mitarbeiter!$G$31=FALSE,0,IF(AND(Mitarbeiter!$E$31&lt;&gt;"",FY$5+6&lt;Mitarbeiter!$E$31),0,IF(AND(Mitarbeiter!$F$31&lt;&gt;"",FY$5&gt;Mitarbeiter!$F$31),0,IF(Planung!FY33="",$C33,IF(ISNUMBER(Planung!FY33),Planung!FY33,IF(UPPER(Planung!FY33)="H",$C33/2,0)))))))</f>
        <v>0</v>
      </c>
      <c r="FZ33" s="27">
        <f>IF($A33="",0,IF(Mitarbeiter!$G$31=FALSE,0,IF(AND(Mitarbeiter!$E$31&lt;&gt;"",FZ$5+6&lt;Mitarbeiter!$E$31),0,IF(AND(Mitarbeiter!$F$31&lt;&gt;"",FZ$5&gt;Mitarbeiter!$F$31),0,IF(Planung!FZ33="",$C33,IF(ISNUMBER(Planung!FZ33),Planung!FZ33,IF(UPPER(Planung!FZ33)="H",$C33/2,0)))))))</f>
        <v>0</v>
      </c>
      <c r="GA33" s="27">
        <f>IF($A33="",0,IF(Mitarbeiter!$G$31=FALSE,0,IF(AND(Mitarbeiter!$E$31&lt;&gt;"",GA$5+6&lt;Mitarbeiter!$E$31),0,IF(AND(Mitarbeiter!$F$31&lt;&gt;"",GA$5&gt;Mitarbeiter!$F$31),0,IF(Planung!GA33="",$C33,IF(ISNUMBER(Planung!GA33),Planung!GA33,IF(UPPER(Planung!GA33)="H",$C33/2,0)))))))</f>
        <v>0</v>
      </c>
      <c r="GB33" s="27">
        <f>IF($A33="",0,IF(Mitarbeiter!$G$31=FALSE,0,IF(AND(Mitarbeiter!$E$31&lt;&gt;"",GB$5+6&lt;Mitarbeiter!$E$31),0,IF(AND(Mitarbeiter!$F$31&lt;&gt;"",GB$5&gt;Mitarbeiter!$F$31),0,IF(Planung!GB33="",$C33,IF(ISNUMBER(Planung!GB33),Planung!GB33,IF(UPPER(Planung!GB33)="H",$C33/2,0)))))))</f>
        <v>0</v>
      </c>
      <c r="GC33" s="27">
        <f>IF($A33="",0,IF(Mitarbeiter!$G$31=FALSE,0,IF(AND(Mitarbeiter!$E$31&lt;&gt;"",GC$5+6&lt;Mitarbeiter!$E$31),0,IF(AND(Mitarbeiter!$F$31&lt;&gt;"",GC$5&gt;Mitarbeiter!$F$31),0,IF(Planung!GC33="",$C33,IF(ISNUMBER(Planung!GC33),Planung!GC33,IF(UPPER(Planung!GC33)="H",$C33/2,0)))))))</f>
        <v>0</v>
      </c>
      <c r="GD33" s="27">
        <f>IF($A33="",0,IF(Mitarbeiter!$G$31=FALSE,0,IF(AND(Mitarbeiter!$E$31&lt;&gt;"",GD$5+6&lt;Mitarbeiter!$E$31),0,IF(AND(Mitarbeiter!$F$31&lt;&gt;"",GD$5&gt;Mitarbeiter!$F$31),0,IF(Planung!GD33="",$C33,IF(ISNUMBER(Planung!GD33),Planung!GD33,IF(UPPER(Planung!GD33)="H",$C33/2,0)))))))</f>
        <v>0</v>
      </c>
      <c r="GE33" s="27">
        <f>IF($A33="",0,IF(Mitarbeiter!$G$31=FALSE,0,IF(AND(Mitarbeiter!$E$31&lt;&gt;"",GE$5+6&lt;Mitarbeiter!$E$31),0,IF(AND(Mitarbeiter!$F$31&lt;&gt;"",GE$5&gt;Mitarbeiter!$F$31),0,IF(Planung!GE33="",$C33,IF(ISNUMBER(Planung!GE33),Planung!GE33,IF(UPPER(Planung!GE33)="H",$C33/2,0)))))))</f>
        <v>0</v>
      </c>
      <c r="GF33" s="27">
        <f>IF($A33="",0,IF(Mitarbeiter!$G$31=FALSE,0,IF(AND(Mitarbeiter!$E$31&lt;&gt;"",GF$5+6&lt;Mitarbeiter!$E$31),0,IF(AND(Mitarbeiter!$F$31&lt;&gt;"",GF$5&gt;Mitarbeiter!$F$31),0,IF(Planung!GF33="",$C33,IF(ISNUMBER(Planung!GF33),Planung!GF33,IF(UPPER(Planung!GF33)="H",$C33/2,0)))))))</f>
        <v>0</v>
      </c>
      <c r="GG33" s="27">
        <f>IF($A33="",0,IF(Mitarbeiter!$G$31=FALSE,0,IF(AND(Mitarbeiter!$E$31&lt;&gt;"",GG$5+6&lt;Mitarbeiter!$E$31),0,IF(AND(Mitarbeiter!$F$31&lt;&gt;"",GG$5&gt;Mitarbeiter!$F$31),0,IF(Planung!GG33="",$C33,IF(ISNUMBER(Planung!GG33),Planung!GG33,IF(UPPER(Planung!GG33)="H",$C33/2,0)))))))</f>
        <v>0</v>
      </c>
      <c r="GH33" s="27">
        <f>IF($A33="",0,IF(Mitarbeiter!$G$31=FALSE,0,IF(AND(Mitarbeiter!$E$31&lt;&gt;"",GH$5+6&lt;Mitarbeiter!$E$31),0,IF(AND(Mitarbeiter!$F$31&lt;&gt;"",GH$5&gt;Mitarbeiter!$F$31),0,IF(Planung!GH33="",$C33,IF(ISNUMBER(Planung!GH33),Planung!GH33,IF(UPPER(Planung!GH33)="H",$C33/2,0)))))))</f>
        <v>0</v>
      </c>
      <c r="GI33" s="27">
        <f>IF($A33="",0,IF(Mitarbeiter!$G$31=FALSE,0,IF(AND(Mitarbeiter!$E$31&lt;&gt;"",GI$5+6&lt;Mitarbeiter!$E$31),0,IF(AND(Mitarbeiter!$F$31&lt;&gt;"",GI$5&gt;Mitarbeiter!$F$31),0,IF(Planung!GI33="",$C33,IF(ISNUMBER(Planung!GI33),Planung!GI33,IF(UPPER(Planung!GI33)="H",$C33/2,0)))))))</f>
        <v>0</v>
      </c>
      <c r="GJ33" s="27">
        <f>IF($A33="",0,IF(Mitarbeiter!$G$31=FALSE,0,IF(AND(Mitarbeiter!$E$31&lt;&gt;"",GJ$5+6&lt;Mitarbeiter!$E$31),0,IF(AND(Mitarbeiter!$F$31&lt;&gt;"",GJ$5&gt;Mitarbeiter!$F$31),0,IF(Planung!GJ33="",$C33,IF(ISNUMBER(Planung!GJ33),Planung!GJ33,IF(UPPER(Planung!GJ33)="H",$C33/2,0)))))))</f>
        <v>0</v>
      </c>
      <c r="GK33" s="27">
        <f>IF($A33="",0,IF(Mitarbeiter!$G$31=FALSE,0,IF(AND(Mitarbeiter!$E$31&lt;&gt;"",GK$5+6&lt;Mitarbeiter!$E$31),0,IF(AND(Mitarbeiter!$F$31&lt;&gt;"",GK$5&gt;Mitarbeiter!$F$31),0,IF(Planung!GK33="",$C33,IF(ISNUMBER(Planung!GK33),Planung!GK33,IF(UPPER(Planung!GK33)="H",$C33/2,0)))))))</f>
        <v>0</v>
      </c>
      <c r="GL33" s="27">
        <f>IF($A33="",0,IF(Mitarbeiter!$G$31=FALSE,0,IF(AND(Mitarbeiter!$E$31&lt;&gt;"",GL$5+6&lt;Mitarbeiter!$E$31),0,IF(AND(Mitarbeiter!$F$31&lt;&gt;"",GL$5&gt;Mitarbeiter!$F$31),0,IF(Planung!GL33="",$C33,IF(ISNUMBER(Planung!GL33),Planung!GL33,IF(UPPER(Planung!GL33)="H",$C33/2,0)))))))</f>
        <v>0</v>
      </c>
      <c r="GM33" s="27">
        <f>IF($A33="",0,IF(Mitarbeiter!$G$31=FALSE,0,IF(AND(Mitarbeiter!$E$31&lt;&gt;"",GM$5+6&lt;Mitarbeiter!$E$31),0,IF(AND(Mitarbeiter!$F$31&lt;&gt;"",GM$5&gt;Mitarbeiter!$F$31),0,IF(Planung!GM33="",$C33,IF(ISNUMBER(Planung!GM33),Planung!GM33,IF(UPPER(Planung!GM33)="H",$C33/2,0)))))))</f>
        <v>0</v>
      </c>
      <c r="GN33" s="27">
        <f>IF($A33="",0,IF(Mitarbeiter!$G$31=FALSE,0,IF(AND(Mitarbeiter!$E$31&lt;&gt;"",GN$5+6&lt;Mitarbeiter!$E$31),0,IF(AND(Mitarbeiter!$F$31&lt;&gt;"",GN$5&gt;Mitarbeiter!$F$31),0,IF(Planung!GN33="",$C33,IF(ISNUMBER(Planung!GN33),Planung!GN33,IF(UPPER(Planung!GN33)="H",$C33/2,0)))))))</f>
        <v>0</v>
      </c>
      <c r="GO33" s="27">
        <f>IF($A33="",0,IF(Mitarbeiter!$G$31=FALSE,0,IF(AND(Mitarbeiter!$E$31&lt;&gt;"",GO$5+6&lt;Mitarbeiter!$E$31),0,IF(AND(Mitarbeiter!$F$31&lt;&gt;"",GO$5&gt;Mitarbeiter!$F$31),0,IF(Planung!GO33="",$C33,IF(ISNUMBER(Planung!GO33),Planung!GO33,IF(UPPER(Planung!GO33)="H",$C33/2,0)))))))</f>
        <v>0</v>
      </c>
      <c r="GP33" s="27">
        <f>IF($A33="",0,IF(Mitarbeiter!$G$31=FALSE,0,IF(AND(Mitarbeiter!$E$31&lt;&gt;"",GP$5+6&lt;Mitarbeiter!$E$31),0,IF(AND(Mitarbeiter!$F$31&lt;&gt;"",GP$5&gt;Mitarbeiter!$F$31),0,IF(Planung!GP33="",$C33,IF(ISNUMBER(Planung!GP33),Planung!GP33,IF(UPPER(Planung!GP33)="H",$C33/2,0)))))))</f>
        <v>0</v>
      </c>
      <c r="GQ33" s="27">
        <f>IF($A33="",0,IF(Mitarbeiter!$G$31=FALSE,0,IF(AND(Mitarbeiter!$E$31&lt;&gt;"",GQ$5+6&lt;Mitarbeiter!$E$31),0,IF(AND(Mitarbeiter!$F$31&lt;&gt;"",GQ$5&gt;Mitarbeiter!$F$31),0,IF(Planung!GQ33="",$C33,IF(ISNUMBER(Planung!GQ33),Planung!GQ33,IF(UPPER(Planung!GQ33)="H",$C33/2,0)))))))</f>
        <v>0</v>
      </c>
      <c r="GR33" s="27">
        <f>IF($A33="",0,IF(Mitarbeiter!$G$31=FALSE,0,IF(AND(Mitarbeiter!$E$31&lt;&gt;"",GR$5+6&lt;Mitarbeiter!$E$31),0,IF(AND(Mitarbeiter!$F$31&lt;&gt;"",GR$5&gt;Mitarbeiter!$F$31),0,IF(Planung!GR33="",$C33,IF(ISNUMBER(Planung!GR33),Planung!GR33,IF(UPPER(Planung!GR33)="H",$C33/2,0)))))))</f>
        <v>0</v>
      </c>
      <c r="GS33" s="27">
        <f>IF($A33="",0,IF(Mitarbeiter!$G$31=FALSE,0,IF(AND(Mitarbeiter!$E$31&lt;&gt;"",GS$5+6&lt;Mitarbeiter!$E$31),0,IF(AND(Mitarbeiter!$F$31&lt;&gt;"",GS$5&gt;Mitarbeiter!$F$31),0,IF(Planung!GS33="",$C33,IF(ISNUMBER(Planung!GS33),Planung!GS33,IF(UPPER(Planung!GS33)="H",$C33/2,0)))))))</f>
        <v>0</v>
      </c>
      <c r="GT33" s="27">
        <f>IF($A33="",0,IF(Mitarbeiter!$G$31=FALSE,0,IF(AND(Mitarbeiter!$E$31&lt;&gt;"",GT$5+6&lt;Mitarbeiter!$E$31),0,IF(AND(Mitarbeiter!$F$31&lt;&gt;"",GT$5&gt;Mitarbeiter!$F$31),0,IF(Planung!GT33="",$C33,IF(ISNUMBER(Planung!GT33),Planung!GT33,IF(UPPER(Planung!GT33)="H",$C33/2,0)))))))</f>
        <v>0</v>
      </c>
      <c r="GU33" s="27">
        <f>IF($A33="",0,IF(Mitarbeiter!$G$31=FALSE,0,IF(AND(Mitarbeiter!$E$31&lt;&gt;"",GU$5+6&lt;Mitarbeiter!$E$31),0,IF(AND(Mitarbeiter!$F$31&lt;&gt;"",GU$5&gt;Mitarbeiter!$F$31),0,IF(Planung!GU33="",$C33,IF(ISNUMBER(Planung!GU33),Planung!GU33,IF(UPPER(Planung!GU33)="H",$C33/2,0)))))))</f>
        <v>0</v>
      </c>
      <c r="GV33" s="27">
        <f>IF($A33="",0,IF(Mitarbeiter!$G$31=FALSE,0,IF(AND(Mitarbeiter!$E$31&lt;&gt;"",GV$5+6&lt;Mitarbeiter!$E$31),0,IF(AND(Mitarbeiter!$F$31&lt;&gt;"",GV$5&gt;Mitarbeiter!$F$31),0,IF(Planung!GV33="",$C33,IF(ISNUMBER(Planung!GV33),Planung!GV33,IF(UPPER(Planung!GV33)="H",$C33/2,0)))))))</f>
        <v>0</v>
      </c>
      <c r="GW33" s="27">
        <f>IF($A33="",0,IF(Mitarbeiter!$G$31=FALSE,0,IF(AND(Mitarbeiter!$E$31&lt;&gt;"",GW$5+6&lt;Mitarbeiter!$E$31),0,IF(AND(Mitarbeiter!$F$31&lt;&gt;"",GW$5&gt;Mitarbeiter!$F$31),0,IF(Planung!GW33="",$C33,IF(ISNUMBER(Planung!GW33),Planung!GW33,IF(UPPER(Planung!GW33)="H",$C33/2,0)))))))</f>
        <v>0</v>
      </c>
      <c r="GX33" s="27">
        <f>IF($A33="",0,IF(Mitarbeiter!$G$31=FALSE,0,IF(AND(Mitarbeiter!$E$31&lt;&gt;"",GX$5+6&lt;Mitarbeiter!$E$31),0,IF(AND(Mitarbeiter!$F$31&lt;&gt;"",GX$5&gt;Mitarbeiter!$F$31),0,IF(Planung!GX33="",$C33,IF(ISNUMBER(Planung!GX33),Planung!GX33,IF(UPPER(Planung!GX33)="H",$C33/2,0)))))))</f>
        <v>0</v>
      </c>
      <c r="GY33" s="27">
        <f>IF($A33="",0,IF(Mitarbeiter!$G$31=FALSE,0,IF(AND(Mitarbeiter!$E$31&lt;&gt;"",GY$5+6&lt;Mitarbeiter!$E$31),0,IF(AND(Mitarbeiter!$F$31&lt;&gt;"",GY$5&gt;Mitarbeiter!$F$31),0,IF(Planung!GY33="",$C33,IF(ISNUMBER(Planung!GY33),Planung!GY33,IF(UPPER(Planung!GY33)="H",$C33/2,0)))))))</f>
        <v>0</v>
      </c>
      <c r="GZ33" s="27">
        <f>IF($A33="",0,IF(Mitarbeiter!$G$31=FALSE,0,IF(AND(Mitarbeiter!$E$31&lt;&gt;"",GZ$5+6&lt;Mitarbeiter!$E$31),0,IF(AND(Mitarbeiter!$F$31&lt;&gt;"",GZ$5&gt;Mitarbeiter!$F$31),0,IF(Planung!GZ33="",$C33,IF(ISNUMBER(Planung!GZ33),Planung!GZ33,IF(UPPER(Planung!GZ33)="H",$C33/2,0)))))))</f>
        <v>0</v>
      </c>
      <c r="HA33" s="27">
        <f>IF($A33="",0,IF(Mitarbeiter!$G$31=FALSE,0,IF(AND(Mitarbeiter!$E$31&lt;&gt;"",HA$5+6&lt;Mitarbeiter!$E$31),0,IF(AND(Mitarbeiter!$F$31&lt;&gt;"",HA$5&gt;Mitarbeiter!$F$31),0,IF(Planung!HA33="",$C33,IF(ISNUMBER(Planung!HA33),Planung!HA33,IF(UPPER(Planung!HA33)="H",$C33/2,0)))))))</f>
        <v>0</v>
      </c>
      <c r="HB33" s="27">
        <f>IF($A33="",0,IF(Mitarbeiter!$G$31=FALSE,0,IF(AND(Mitarbeiter!$E$31&lt;&gt;"",HB$5+6&lt;Mitarbeiter!$E$31),0,IF(AND(Mitarbeiter!$F$31&lt;&gt;"",HB$5&gt;Mitarbeiter!$F$31),0,IF(Planung!HB33="",$C33,IF(ISNUMBER(Planung!HB33),Planung!HB33,IF(UPPER(Planung!HB33)="H",$C33/2,0)))))))</f>
        <v>0</v>
      </c>
      <c r="HC33" s="27">
        <f>IF($A33="",0,IF(Mitarbeiter!$G$31=FALSE,0,IF(AND(Mitarbeiter!$E$31&lt;&gt;"",HC$5+6&lt;Mitarbeiter!$E$31),0,IF(AND(Mitarbeiter!$F$31&lt;&gt;"",HC$5&gt;Mitarbeiter!$F$31),0,IF(Planung!HC33="",$C33,IF(ISNUMBER(Planung!HC33),Planung!HC33,IF(UPPER(Planung!HC33)="H",$C33/2,0)))))))</f>
        <v>0</v>
      </c>
      <c r="HD33" s="27">
        <f>IF($A33="",0,IF(Mitarbeiter!$G$31=FALSE,0,IF(AND(Mitarbeiter!$E$31&lt;&gt;"",HD$5+6&lt;Mitarbeiter!$E$31),0,IF(AND(Mitarbeiter!$F$31&lt;&gt;"",HD$5&gt;Mitarbeiter!$F$31),0,IF(Planung!HD33="",$C33,IF(ISNUMBER(Planung!HD33),Planung!HD33,IF(UPPER(Planung!HD33)="H",$C33/2,0)))))))</f>
        <v>0</v>
      </c>
      <c r="HE33" s="27">
        <f>IF($A33="",0,IF(Mitarbeiter!$G$31=FALSE,0,IF(AND(Mitarbeiter!$E$31&lt;&gt;"",HE$5+6&lt;Mitarbeiter!$E$31),0,IF(AND(Mitarbeiter!$F$31&lt;&gt;"",HE$5&gt;Mitarbeiter!$F$31),0,IF(Planung!HE33="",$C33,IF(ISNUMBER(Planung!HE33),Planung!HE33,IF(UPPER(Planung!HE33)="H",$C33/2,0)))))))</f>
        <v>0</v>
      </c>
      <c r="HF33" s="27">
        <f>IF($A33="",0,IF(Mitarbeiter!$G$31=FALSE,0,IF(AND(Mitarbeiter!$E$31&lt;&gt;"",HF$5+6&lt;Mitarbeiter!$E$31),0,IF(AND(Mitarbeiter!$F$31&lt;&gt;"",HF$5&gt;Mitarbeiter!$F$31),0,IF(Planung!HF33="",$C33,IF(ISNUMBER(Planung!HF33),Planung!HF33,IF(UPPER(Planung!HF33)="H",$C33/2,0)))))))</f>
        <v>0</v>
      </c>
      <c r="HG33" s="27">
        <f>IF($A33="",0,IF(Mitarbeiter!$G$31=FALSE,0,IF(AND(Mitarbeiter!$E$31&lt;&gt;"",HG$5+6&lt;Mitarbeiter!$E$31),0,IF(AND(Mitarbeiter!$F$31&lt;&gt;"",HG$5&gt;Mitarbeiter!$F$31),0,IF(Planung!HG33="",$C33,IF(ISNUMBER(Planung!HG33),Planung!HG33,IF(UPPER(Planung!HG33)="H",$C33/2,0)))))))</f>
        <v>0</v>
      </c>
      <c r="HH33" s="27">
        <f>IF($A33="",0,IF(Mitarbeiter!$G$31=FALSE,0,IF(AND(Mitarbeiter!$E$31&lt;&gt;"",HH$5+6&lt;Mitarbeiter!$E$31),0,IF(AND(Mitarbeiter!$F$31&lt;&gt;"",HH$5&gt;Mitarbeiter!$F$31),0,IF(Planung!HH33="",$C33,IF(ISNUMBER(Planung!HH33),Planung!HH33,IF(UPPER(Planung!HH33)="H",$C33/2,0)))))))</f>
        <v>0</v>
      </c>
      <c r="HI33" s="27">
        <f>IF($A33="",0,IF(Mitarbeiter!$G$31=FALSE,0,IF(AND(Mitarbeiter!$E$31&lt;&gt;"",HI$5+6&lt;Mitarbeiter!$E$31),0,IF(AND(Mitarbeiter!$F$31&lt;&gt;"",HI$5&gt;Mitarbeiter!$F$31),0,IF(Planung!HI33="",$C33,IF(ISNUMBER(Planung!HI33),Planung!HI33,IF(UPPER(Planung!HI33)="H",$C33/2,0)))))))</f>
        <v>0</v>
      </c>
      <c r="HJ33" s="27">
        <f>IF($A33="",0,IF(Mitarbeiter!$G$31=FALSE,0,IF(AND(Mitarbeiter!$E$31&lt;&gt;"",HJ$5+6&lt;Mitarbeiter!$E$31),0,IF(AND(Mitarbeiter!$F$31&lt;&gt;"",HJ$5&gt;Mitarbeiter!$F$31),0,IF(Planung!HJ33="",$C33,IF(ISNUMBER(Planung!HJ33),Planung!HJ33,IF(UPPER(Planung!HJ33)="H",$C33/2,0)))))))</f>
        <v>0</v>
      </c>
      <c r="HK33" s="27">
        <f>IF($A33="",0,IF(Mitarbeiter!$G$31=FALSE,0,IF(AND(Mitarbeiter!$E$31&lt;&gt;"",HK$5+6&lt;Mitarbeiter!$E$31),0,IF(AND(Mitarbeiter!$F$31&lt;&gt;"",HK$5&gt;Mitarbeiter!$F$31),0,IF(Planung!HK33="",$C33,IF(ISNUMBER(Planung!HK33),Planung!HK33,IF(UPPER(Planung!HK33)="H",$C33/2,0)))))))</f>
        <v>0</v>
      </c>
      <c r="HL33" s="27">
        <f>IF($A33="",0,IF(Mitarbeiter!$G$31=FALSE,0,IF(AND(Mitarbeiter!$E$31&lt;&gt;"",HL$5+6&lt;Mitarbeiter!$E$31),0,IF(AND(Mitarbeiter!$F$31&lt;&gt;"",HL$5&gt;Mitarbeiter!$F$31),0,IF(Planung!HL33="",$C33,IF(ISNUMBER(Planung!HL33),Planung!HL33,IF(UPPER(Planung!HL33)="H",$C33/2,0)))))))</f>
        <v>0</v>
      </c>
      <c r="HM33" s="27">
        <f>IF($A33="",0,IF(Mitarbeiter!$G$31=FALSE,0,IF(AND(Mitarbeiter!$E$31&lt;&gt;"",HM$5+6&lt;Mitarbeiter!$E$31),0,IF(AND(Mitarbeiter!$F$31&lt;&gt;"",HM$5&gt;Mitarbeiter!$F$31),0,IF(Planung!HM33="",$C33,IF(ISNUMBER(Planung!HM33),Planung!HM33,IF(UPPER(Planung!HM33)="H",$C33/2,0)))))))</f>
        <v>0</v>
      </c>
      <c r="HN33" s="27">
        <f>IF($A33="",0,IF(Mitarbeiter!$G$31=FALSE,0,IF(AND(Mitarbeiter!$E$31&lt;&gt;"",HN$5+6&lt;Mitarbeiter!$E$31),0,IF(AND(Mitarbeiter!$F$31&lt;&gt;"",HN$5&gt;Mitarbeiter!$F$31),0,IF(Planung!HN33="",$C33,IF(ISNUMBER(Planung!HN33),Planung!HN33,IF(UPPER(Planung!HN33)="H",$C33/2,0)))))))</f>
        <v>0</v>
      </c>
      <c r="HO33" s="27">
        <f>IF($A33="",0,IF(Mitarbeiter!$G$31=FALSE,0,IF(AND(Mitarbeiter!$E$31&lt;&gt;"",HO$5+6&lt;Mitarbeiter!$E$31),0,IF(AND(Mitarbeiter!$F$31&lt;&gt;"",HO$5&gt;Mitarbeiter!$F$31),0,IF(Planung!HO33="",$C33,IF(ISNUMBER(Planung!HO33),Planung!HO33,IF(UPPER(Planung!HO33)="H",$C33/2,0)))))))</f>
        <v>0</v>
      </c>
      <c r="HP33" s="27">
        <f>IF($A33="",0,IF(Mitarbeiter!$G$31=FALSE,0,IF(AND(Mitarbeiter!$E$31&lt;&gt;"",HP$5+6&lt;Mitarbeiter!$E$31),0,IF(AND(Mitarbeiter!$F$31&lt;&gt;"",HP$5&gt;Mitarbeiter!$F$31),0,IF(Planung!HP33="",$C33,IF(ISNUMBER(Planung!HP33),Planung!HP33,IF(UPPER(Planung!HP33)="H",$C33/2,0)))))))</f>
        <v>0</v>
      </c>
      <c r="HQ33" s="27">
        <f>IF($A33="",0,IF(Mitarbeiter!$G$31=FALSE,0,IF(AND(Mitarbeiter!$E$31&lt;&gt;"",HQ$5+6&lt;Mitarbeiter!$E$31),0,IF(AND(Mitarbeiter!$F$31&lt;&gt;"",HQ$5&gt;Mitarbeiter!$F$31),0,IF(Planung!HQ33="",$C33,IF(ISNUMBER(Planung!HQ33),Planung!HQ33,IF(UPPER(Planung!HQ33)="H",$C33/2,0)))))))</f>
        <v>0</v>
      </c>
      <c r="HR33" s="27">
        <f>IF($A33="",0,IF(Mitarbeiter!$G$31=FALSE,0,IF(AND(Mitarbeiter!$E$31&lt;&gt;"",HR$5+6&lt;Mitarbeiter!$E$31),0,IF(AND(Mitarbeiter!$F$31&lt;&gt;"",HR$5&gt;Mitarbeiter!$F$31),0,IF(Planung!HR33="",$C33,IF(ISNUMBER(Planung!HR33),Planung!HR33,IF(UPPER(Planung!HR33)="H",$C33/2,0)))))))</f>
        <v>0</v>
      </c>
      <c r="HS33" s="27">
        <f>IF($A33="",0,IF(Mitarbeiter!$G$31=FALSE,0,IF(AND(Mitarbeiter!$E$31&lt;&gt;"",HS$5+6&lt;Mitarbeiter!$E$31),0,IF(AND(Mitarbeiter!$F$31&lt;&gt;"",HS$5&gt;Mitarbeiter!$F$31),0,IF(Planung!HS33="",$C33,IF(ISNUMBER(Planung!HS33),Planung!HS33,IF(UPPER(Planung!HS33)="H",$C33/2,0)))))))</f>
        <v>0</v>
      </c>
      <c r="HT33" s="27">
        <f>IF($A33="",0,IF(Mitarbeiter!$G$31=FALSE,0,IF(AND(Mitarbeiter!$E$31&lt;&gt;"",HT$5+6&lt;Mitarbeiter!$E$31),0,IF(AND(Mitarbeiter!$F$31&lt;&gt;"",HT$5&gt;Mitarbeiter!$F$31),0,IF(Planung!HT33="",$C33,IF(ISNUMBER(Planung!HT33),Planung!HT33,IF(UPPER(Planung!HT33)="H",$C33/2,0)))))))</f>
        <v>0</v>
      </c>
      <c r="HU33" s="27">
        <f>IF($A33="",0,IF(Mitarbeiter!$G$31=FALSE,0,IF(AND(Mitarbeiter!$E$31&lt;&gt;"",HU$5+6&lt;Mitarbeiter!$E$31),0,IF(AND(Mitarbeiter!$F$31&lt;&gt;"",HU$5&gt;Mitarbeiter!$F$31),0,IF(Planung!HU33="",$C33,IF(ISNUMBER(Planung!HU33),Planung!HU33,IF(UPPER(Planung!HU33)="H",$C33/2,0)))))))</f>
        <v>0</v>
      </c>
      <c r="HV33" s="27">
        <f>IF($A33="",0,IF(Mitarbeiter!$G$31=FALSE,0,IF(AND(Mitarbeiter!$E$31&lt;&gt;"",HV$5+6&lt;Mitarbeiter!$E$31),0,IF(AND(Mitarbeiter!$F$31&lt;&gt;"",HV$5&gt;Mitarbeiter!$F$31),0,IF(Planung!HV33="",$C33,IF(ISNUMBER(Planung!HV33),Planung!HV33,IF(UPPER(Planung!HV33)="H",$C33/2,0)))))))</f>
        <v>0</v>
      </c>
      <c r="HW33" s="27">
        <f>IF($A33="",0,IF(Mitarbeiter!$G$31=FALSE,0,IF(AND(Mitarbeiter!$E$31&lt;&gt;"",HW$5+6&lt;Mitarbeiter!$E$31),0,IF(AND(Mitarbeiter!$F$31&lt;&gt;"",HW$5&gt;Mitarbeiter!$F$31),0,IF(Planung!HW33="",$C33,IF(ISNUMBER(Planung!HW33),Planung!HW33,IF(UPPER(Planung!HW33)="H",$C33/2,0)))))))</f>
        <v>0</v>
      </c>
      <c r="HX33" s="27">
        <f>IF($A33="",0,IF(Mitarbeiter!$G$31=FALSE,0,IF(AND(Mitarbeiter!$E$31&lt;&gt;"",HX$5+6&lt;Mitarbeiter!$E$31),0,IF(AND(Mitarbeiter!$F$31&lt;&gt;"",HX$5&gt;Mitarbeiter!$F$31),0,IF(Planung!HX33="",$C33,IF(ISNUMBER(Planung!HX33),Planung!HX33,IF(UPPER(Planung!HX33)="H",$C33/2,0)))))))</f>
        <v>0</v>
      </c>
      <c r="HY33" s="27">
        <f>IF($A33="",0,IF(Mitarbeiter!$G$31=FALSE,0,IF(AND(Mitarbeiter!$E$31&lt;&gt;"",HY$5+6&lt;Mitarbeiter!$E$31),0,IF(AND(Mitarbeiter!$F$31&lt;&gt;"",HY$5&gt;Mitarbeiter!$F$31),0,IF(Planung!HY33="",$C33,IF(ISNUMBER(Planung!HY33),Planung!HY33,IF(UPPER(Planung!HY33)="H",$C33/2,0)))))))</f>
        <v>0</v>
      </c>
      <c r="HZ33" s="27">
        <f>IF($A33="",0,IF(Mitarbeiter!$G$31=FALSE,0,IF(AND(Mitarbeiter!$E$31&lt;&gt;"",HZ$5+6&lt;Mitarbeiter!$E$31),0,IF(AND(Mitarbeiter!$F$31&lt;&gt;"",HZ$5&gt;Mitarbeiter!$F$31),0,IF(Planung!HZ33="",$C33,IF(ISNUMBER(Planung!HZ33),Planung!HZ33,IF(UPPER(Planung!HZ33)="H",$C33/2,0)))))))</f>
        <v>0</v>
      </c>
      <c r="IA33" s="27">
        <f>IF($A33="",0,IF(Mitarbeiter!$G$31=FALSE,0,IF(AND(Mitarbeiter!$E$31&lt;&gt;"",IA$5+6&lt;Mitarbeiter!$E$31),0,IF(AND(Mitarbeiter!$F$31&lt;&gt;"",IA$5&gt;Mitarbeiter!$F$31),0,IF(Planung!IA33="",$C33,IF(ISNUMBER(Planung!IA33),Planung!IA33,IF(UPPER(Planung!IA33)="H",$C33/2,0)))))))</f>
        <v>0</v>
      </c>
    </row>
    <row r="34" spans="1:235" x14ac:dyDescent="0.25">
      <c r="A34" s="7" t="str">
        <f>Planung!A34</f>
        <v/>
      </c>
      <c r="B34" s="7" t="str">
        <f>Planung!B34</f>
        <v/>
      </c>
      <c r="C34" s="27">
        <f>N(Mitarbeiter!$D$32)</f>
        <v>0</v>
      </c>
      <c r="D34" s="27">
        <f>IF($A34="",0,IF(Mitarbeiter!$G$32=FALSE,0,IF(AND(Mitarbeiter!$E$32&lt;&gt;"",D$5+6&lt;Mitarbeiter!$E$32),0,IF(AND(Mitarbeiter!$F$32&lt;&gt;"",D$5&gt;Mitarbeiter!$F$32),0,IF(Planung!D34="",$C34,IF(ISNUMBER(Planung!D34),Planung!D34,IF(UPPER(Planung!D34)="H",$C34/2,0)))))))</f>
        <v>0</v>
      </c>
      <c r="E34" s="27">
        <f>IF($A34="",0,IF(Mitarbeiter!$G$32=FALSE,0,IF(AND(Mitarbeiter!$E$32&lt;&gt;"",E$5+6&lt;Mitarbeiter!$E$32),0,IF(AND(Mitarbeiter!$F$32&lt;&gt;"",E$5&gt;Mitarbeiter!$F$32),0,IF(Planung!E34="",$C34,IF(ISNUMBER(Planung!E34),Planung!E34,IF(UPPER(Planung!E34)="H",$C34/2,0)))))))</f>
        <v>0</v>
      </c>
      <c r="F34" s="27">
        <f>IF($A34="",0,IF(Mitarbeiter!$G$32=FALSE,0,IF(AND(Mitarbeiter!$E$32&lt;&gt;"",F$5+6&lt;Mitarbeiter!$E$32),0,IF(AND(Mitarbeiter!$F$32&lt;&gt;"",F$5&gt;Mitarbeiter!$F$32),0,IF(Planung!F34="",$C34,IF(ISNUMBER(Planung!F34),Planung!F34,IF(UPPER(Planung!F34)="H",$C34/2,0)))))))</f>
        <v>0</v>
      </c>
      <c r="G34" s="27">
        <f>IF($A34="",0,IF(Mitarbeiter!$G$32=FALSE,0,IF(AND(Mitarbeiter!$E$32&lt;&gt;"",G$5+6&lt;Mitarbeiter!$E$32),0,IF(AND(Mitarbeiter!$F$32&lt;&gt;"",G$5&gt;Mitarbeiter!$F$32),0,IF(Planung!G34="",$C34,IF(ISNUMBER(Planung!G34),Planung!G34,IF(UPPER(Planung!G34)="H",$C34/2,0)))))))</f>
        <v>0</v>
      </c>
      <c r="H34" s="27">
        <f>IF($A34="",0,IF(Mitarbeiter!$G$32=FALSE,0,IF(AND(Mitarbeiter!$E$32&lt;&gt;"",H$5+6&lt;Mitarbeiter!$E$32),0,IF(AND(Mitarbeiter!$F$32&lt;&gt;"",H$5&gt;Mitarbeiter!$F$32),0,IF(Planung!H34="",$C34,IF(ISNUMBER(Planung!H34),Planung!H34,IF(UPPER(Planung!H34)="H",$C34/2,0)))))))</f>
        <v>0</v>
      </c>
      <c r="I34" s="27">
        <f>IF($A34="",0,IF(Mitarbeiter!$G$32=FALSE,0,IF(AND(Mitarbeiter!$E$32&lt;&gt;"",I$5+6&lt;Mitarbeiter!$E$32),0,IF(AND(Mitarbeiter!$F$32&lt;&gt;"",I$5&gt;Mitarbeiter!$F$32),0,IF(Planung!I34="",$C34,IF(ISNUMBER(Planung!I34),Planung!I34,IF(UPPER(Planung!I34)="H",$C34/2,0)))))))</f>
        <v>0</v>
      </c>
      <c r="J34" s="27">
        <f>IF($A34="",0,IF(Mitarbeiter!$G$32=FALSE,0,IF(AND(Mitarbeiter!$E$32&lt;&gt;"",J$5+6&lt;Mitarbeiter!$E$32),0,IF(AND(Mitarbeiter!$F$32&lt;&gt;"",J$5&gt;Mitarbeiter!$F$32),0,IF(Planung!J34="",$C34,IF(ISNUMBER(Planung!J34),Planung!J34,IF(UPPER(Planung!J34)="H",$C34/2,0)))))))</f>
        <v>0</v>
      </c>
      <c r="K34" s="27">
        <f>IF($A34="",0,IF(Mitarbeiter!$G$32=FALSE,0,IF(AND(Mitarbeiter!$E$32&lt;&gt;"",K$5+6&lt;Mitarbeiter!$E$32),0,IF(AND(Mitarbeiter!$F$32&lt;&gt;"",K$5&gt;Mitarbeiter!$F$32),0,IF(Planung!K34="",$C34,IF(ISNUMBER(Planung!K34),Planung!K34,IF(UPPER(Planung!K34)="H",$C34/2,0)))))))</f>
        <v>0</v>
      </c>
      <c r="L34" s="27">
        <f>IF($A34="",0,IF(Mitarbeiter!$G$32=FALSE,0,IF(AND(Mitarbeiter!$E$32&lt;&gt;"",L$5+6&lt;Mitarbeiter!$E$32),0,IF(AND(Mitarbeiter!$F$32&lt;&gt;"",L$5&gt;Mitarbeiter!$F$32),0,IF(Planung!L34="",$C34,IF(ISNUMBER(Planung!L34),Planung!L34,IF(UPPER(Planung!L34)="H",$C34/2,0)))))))</f>
        <v>0</v>
      </c>
      <c r="M34" s="27">
        <f>IF($A34="",0,IF(Mitarbeiter!$G$32=FALSE,0,IF(AND(Mitarbeiter!$E$32&lt;&gt;"",M$5+6&lt;Mitarbeiter!$E$32),0,IF(AND(Mitarbeiter!$F$32&lt;&gt;"",M$5&gt;Mitarbeiter!$F$32),0,IF(Planung!M34="",$C34,IF(ISNUMBER(Planung!M34),Planung!M34,IF(UPPER(Planung!M34)="H",$C34/2,0)))))))</f>
        <v>0</v>
      </c>
      <c r="N34" s="27">
        <f>IF($A34="",0,IF(Mitarbeiter!$G$32=FALSE,0,IF(AND(Mitarbeiter!$E$32&lt;&gt;"",N$5+6&lt;Mitarbeiter!$E$32),0,IF(AND(Mitarbeiter!$F$32&lt;&gt;"",N$5&gt;Mitarbeiter!$F$32),0,IF(Planung!N34="",$C34,IF(ISNUMBER(Planung!N34),Planung!N34,IF(UPPER(Planung!N34)="H",$C34/2,0)))))))</f>
        <v>0</v>
      </c>
      <c r="O34" s="27">
        <f>IF($A34="",0,IF(Mitarbeiter!$G$32=FALSE,0,IF(AND(Mitarbeiter!$E$32&lt;&gt;"",O$5+6&lt;Mitarbeiter!$E$32),0,IF(AND(Mitarbeiter!$F$32&lt;&gt;"",O$5&gt;Mitarbeiter!$F$32),0,IF(Planung!O34="",$C34,IF(ISNUMBER(Planung!O34),Planung!O34,IF(UPPER(Planung!O34)="H",$C34/2,0)))))))</f>
        <v>0</v>
      </c>
      <c r="P34" s="27">
        <f>IF($A34="",0,IF(Mitarbeiter!$G$32=FALSE,0,IF(AND(Mitarbeiter!$E$32&lt;&gt;"",P$5+6&lt;Mitarbeiter!$E$32),0,IF(AND(Mitarbeiter!$F$32&lt;&gt;"",P$5&gt;Mitarbeiter!$F$32),0,IF(Planung!P34="",$C34,IF(ISNUMBER(Planung!P34),Planung!P34,IF(UPPER(Planung!P34)="H",$C34/2,0)))))))</f>
        <v>0</v>
      </c>
      <c r="Q34" s="27">
        <f>IF($A34="",0,IF(Mitarbeiter!$G$32=FALSE,0,IF(AND(Mitarbeiter!$E$32&lt;&gt;"",Q$5+6&lt;Mitarbeiter!$E$32),0,IF(AND(Mitarbeiter!$F$32&lt;&gt;"",Q$5&gt;Mitarbeiter!$F$32),0,IF(Planung!Q34="",$C34,IF(ISNUMBER(Planung!Q34),Planung!Q34,IF(UPPER(Planung!Q34)="H",$C34/2,0)))))))</f>
        <v>0</v>
      </c>
      <c r="R34" s="27">
        <f>IF($A34="",0,IF(Mitarbeiter!$G$32=FALSE,0,IF(AND(Mitarbeiter!$E$32&lt;&gt;"",R$5+6&lt;Mitarbeiter!$E$32),0,IF(AND(Mitarbeiter!$F$32&lt;&gt;"",R$5&gt;Mitarbeiter!$F$32),0,IF(Planung!R34="",$C34,IF(ISNUMBER(Planung!R34),Planung!R34,IF(UPPER(Planung!R34)="H",$C34/2,0)))))))</f>
        <v>0</v>
      </c>
      <c r="S34" s="27">
        <f>IF($A34="",0,IF(Mitarbeiter!$G$32=FALSE,0,IF(AND(Mitarbeiter!$E$32&lt;&gt;"",S$5+6&lt;Mitarbeiter!$E$32),0,IF(AND(Mitarbeiter!$F$32&lt;&gt;"",S$5&gt;Mitarbeiter!$F$32),0,IF(Planung!S34="",$C34,IF(ISNUMBER(Planung!S34),Planung!S34,IF(UPPER(Planung!S34)="H",$C34/2,0)))))))</f>
        <v>0</v>
      </c>
      <c r="T34" s="27">
        <f>IF($A34="",0,IF(Mitarbeiter!$G$32=FALSE,0,IF(AND(Mitarbeiter!$E$32&lt;&gt;"",T$5+6&lt;Mitarbeiter!$E$32),0,IF(AND(Mitarbeiter!$F$32&lt;&gt;"",T$5&gt;Mitarbeiter!$F$32),0,IF(Planung!T34="",$C34,IF(ISNUMBER(Planung!T34),Planung!T34,IF(UPPER(Planung!T34)="H",$C34/2,0)))))))</f>
        <v>0</v>
      </c>
      <c r="U34" s="27">
        <f>IF($A34="",0,IF(Mitarbeiter!$G$32=FALSE,0,IF(AND(Mitarbeiter!$E$32&lt;&gt;"",U$5+6&lt;Mitarbeiter!$E$32),0,IF(AND(Mitarbeiter!$F$32&lt;&gt;"",U$5&gt;Mitarbeiter!$F$32),0,IF(Planung!U34="",$C34,IF(ISNUMBER(Planung!U34),Planung!U34,IF(UPPER(Planung!U34)="H",$C34/2,0)))))))</f>
        <v>0</v>
      </c>
      <c r="V34" s="27">
        <f>IF($A34="",0,IF(Mitarbeiter!$G$32=FALSE,0,IF(AND(Mitarbeiter!$E$32&lt;&gt;"",V$5+6&lt;Mitarbeiter!$E$32),0,IF(AND(Mitarbeiter!$F$32&lt;&gt;"",V$5&gt;Mitarbeiter!$F$32),0,IF(Planung!V34="",$C34,IF(ISNUMBER(Planung!V34),Planung!V34,IF(UPPER(Planung!V34)="H",$C34/2,0)))))))</f>
        <v>0</v>
      </c>
      <c r="W34" s="27">
        <f>IF($A34="",0,IF(Mitarbeiter!$G$32=FALSE,0,IF(AND(Mitarbeiter!$E$32&lt;&gt;"",W$5+6&lt;Mitarbeiter!$E$32),0,IF(AND(Mitarbeiter!$F$32&lt;&gt;"",W$5&gt;Mitarbeiter!$F$32),0,IF(Planung!W34="",$C34,IF(ISNUMBER(Planung!W34),Planung!W34,IF(UPPER(Planung!W34)="H",$C34/2,0)))))))</f>
        <v>0</v>
      </c>
      <c r="X34" s="27">
        <f>IF($A34="",0,IF(Mitarbeiter!$G$32=FALSE,0,IF(AND(Mitarbeiter!$E$32&lt;&gt;"",X$5+6&lt;Mitarbeiter!$E$32),0,IF(AND(Mitarbeiter!$F$32&lt;&gt;"",X$5&gt;Mitarbeiter!$F$32),0,IF(Planung!X34="",$C34,IF(ISNUMBER(Planung!X34),Planung!X34,IF(UPPER(Planung!X34)="H",$C34/2,0)))))))</f>
        <v>0</v>
      </c>
      <c r="Y34" s="27">
        <f>IF($A34="",0,IF(Mitarbeiter!$G$32=FALSE,0,IF(AND(Mitarbeiter!$E$32&lt;&gt;"",Y$5+6&lt;Mitarbeiter!$E$32),0,IF(AND(Mitarbeiter!$F$32&lt;&gt;"",Y$5&gt;Mitarbeiter!$F$32),0,IF(Planung!Y34="",$C34,IF(ISNUMBER(Planung!Y34),Planung!Y34,IF(UPPER(Planung!Y34)="H",$C34/2,0)))))))</f>
        <v>0</v>
      </c>
      <c r="Z34" s="27">
        <f>IF($A34="",0,IF(Mitarbeiter!$G$32=FALSE,0,IF(AND(Mitarbeiter!$E$32&lt;&gt;"",Z$5+6&lt;Mitarbeiter!$E$32),0,IF(AND(Mitarbeiter!$F$32&lt;&gt;"",Z$5&gt;Mitarbeiter!$F$32),0,IF(Planung!Z34="",$C34,IF(ISNUMBER(Planung!Z34),Planung!Z34,IF(UPPER(Planung!Z34)="H",$C34/2,0)))))))</f>
        <v>0</v>
      </c>
      <c r="AA34" s="27">
        <f>IF($A34="",0,IF(Mitarbeiter!$G$32=FALSE,0,IF(AND(Mitarbeiter!$E$32&lt;&gt;"",AA$5+6&lt;Mitarbeiter!$E$32),0,IF(AND(Mitarbeiter!$F$32&lt;&gt;"",AA$5&gt;Mitarbeiter!$F$32),0,IF(Planung!AA34="",$C34,IF(ISNUMBER(Planung!AA34),Planung!AA34,IF(UPPER(Planung!AA34)="H",$C34/2,0)))))))</f>
        <v>0</v>
      </c>
      <c r="AB34" s="27">
        <f>IF($A34="",0,IF(Mitarbeiter!$G$32=FALSE,0,IF(AND(Mitarbeiter!$E$32&lt;&gt;"",AB$5+6&lt;Mitarbeiter!$E$32),0,IF(AND(Mitarbeiter!$F$32&lt;&gt;"",AB$5&gt;Mitarbeiter!$F$32),0,IF(Planung!AB34="",$C34,IF(ISNUMBER(Planung!AB34),Planung!AB34,IF(UPPER(Planung!AB34)="H",$C34/2,0)))))))</f>
        <v>0</v>
      </c>
      <c r="AC34" s="27">
        <f>IF($A34="",0,IF(Mitarbeiter!$G$32=FALSE,0,IF(AND(Mitarbeiter!$E$32&lt;&gt;"",AC$5+6&lt;Mitarbeiter!$E$32),0,IF(AND(Mitarbeiter!$F$32&lt;&gt;"",AC$5&gt;Mitarbeiter!$F$32),0,IF(Planung!AC34="",$C34,IF(ISNUMBER(Planung!AC34),Planung!AC34,IF(UPPER(Planung!AC34)="H",$C34/2,0)))))))</f>
        <v>0</v>
      </c>
      <c r="AD34" s="27">
        <f>IF($A34="",0,IF(Mitarbeiter!$G$32=FALSE,0,IF(AND(Mitarbeiter!$E$32&lt;&gt;"",AD$5+6&lt;Mitarbeiter!$E$32),0,IF(AND(Mitarbeiter!$F$32&lt;&gt;"",AD$5&gt;Mitarbeiter!$F$32),0,IF(Planung!AD34="",$C34,IF(ISNUMBER(Planung!AD34),Planung!AD34,IF(UPPER(Planung!AD34)="H",$C34/2,0)))))))</f>
        <v>0</v>
      </c>
      <c r="AE34" s="27">
        <f>IF($A34="",0,IF(Mitarbeiter!$G$32=FALSE,0,IF(AND(Mitarbeiter!$E$32&lt;&gt;"",AE$5+6&lt;Mitarbeiter!$E$32),0,IF(AND(Mitarbeiter!$F$32&lt;&gt;"",AE$5&gt;Mitarbeiter!$F$32),0,IF(Planung!AE34="",$C34,IF(ISNUMBER(Planung!AE34),Planung!AE34,IF(UPPER(Planung!AE34)="H",$C34/2,0)))))))</f>
        <v>0</v>
      </c>
      <c r="AF34" s="27">
        <f>IF($A34="",0,IF(Mitarbeiter!$G$32=FALSE,0,IF(AND(Mitarbeiter!$E$32&lt;&gt;"",AF$5+6&lt;Mitarbeiter!$E$32),0,IF(AND(Mitarbeiter!$F$32&lt;&gt;"",AF$5&gt;Mitarbeiter!$F$32),0,IF(Planung!AF34="",$C34,IF(ISNUMBER(Planung!AF34),Planung!AF34,IF(UPPER(Planung!AF34)="H",$C34/2,0)))))))</f>
        <v>0</v>
      </c>
      <c r="AG34" s="27">
        <f>IF($A34="",0,IF(Mitarbeiter!$G$32=FALSE,0,IF(AND(Mitarbeiter!$E$32&lt;&gt;"",AG$5+6&lt;Mitarbeiter!$E$32),0,IF(AND(Mitarbeiter!$F$32&lt;&gt;"",AG$5&gt;Mitarbeiter!$F$32),0,IF(Planung!AG34="",$C34,IF(ISNUMBER(Planung!AG34),Planung!AG34,IF(UPPER(Planung!AG34)="H",$C34/2,0)))))))</f>
        <v>0</v>
      </c>
      <c r="AH34" s="27">
        <f>IF($A34="",0,IF(Mitarbeiter!$G$32=FALSE,0,IF(AND(Mitarbeiter!$E$32&lt;&gt;"",AH$5+6&lt;Mitarbeiter!$E$32),0,IF(AND(Mitarbeiter!$F$32&lt;&gt;"",AH$5&gt;Mitarbeiter!$F$32),0,IF(Planung!AH34="",$C34,IF(ISNUMBER(Planung!AH34),Planung!AH34,IF(UPPER(Planung!AH34)="H",$C34/2,0)))))))</f>
        <v>0</v>
      </c>
      <c r="AI34" s="27">
        <f>IF($A34="",0,IF(Mitarbeiter!$G$32=FALSE,0,IF(AND(Mitarbeiter!$E$32&lt;&gt;"",AI$5+6&lt;Mitarbeiter!$E$32),0,IF(AND(Mitarbeiter!$F$32&lt;&gt;"",AI$5&gt;Mitarbeiter!$F$32),0,IF(Planung!AI34="",$C34,IF(ISNUMBER(Planung!AI34),Planung!AI34,IF(UPPER(Planung!AI34)="H",$C34/2,0)))))))</f>
        <v>0</v>
      </c>
      <c r="AJ34" s="27">
        <f>IF($A34="",0,IF(Mitarbeiter!$G$32=FALSE,0,IF(AND(Mitarbeiter!$E$32&lt;&gt;"",AJ$5+6&lt;Mitarbeiter!$E$32),0,IF(AND(Mitarbeiter!$F$32&lt;&gt;"",AJ$5&gt;Mitarbeiter!$F$32),0,IF(Planung!AJ34="",$C34,IF(ISNUMBER(Planung!AJ34),Planung!AJ34,IF(UPPER(Planung!AJ34)="H",$C34/2,0)))))))</f>
        <v>0</v>
      </c>
      <c r="AK34" s="27">
        <f>IF($A34="",0,IF(Mitarbeiter!$G$32=FALSE,0,IF(AND(Mitarbeiter!$E$32&lt;&gt;"",AK$5+6&lt;Mitarbeiter!$E$32),0,IF(AND(Mitarbeiter!$F$32&lt;&gt;"",AK$5&gt;Mitarbeiter!$F$32),0,IF(Planung!AK34="",$C34,IF(ISNUMBER(Planung!AK34),Planung!AK34,IF(UPPER(Planung!AK34)="H",$C34/2,0)))))))</f>
        <v>0</v>
      </c>
      <c r="AL34" s="27">
        <f>IF($A34="",0,IF(Mitarbeiter!$G$32=FALSE,0,IF(AND(Mitarbeiter!$E$32&lt;&gt;"",AL$5+6&lt;Mitarbeiter!$E$32),0,IF(AND(Mitarbeiter!$F$32&lt;&gt;"",AL$5&gt;Mitarbeiter!$F$32),0,IF(Planung!AL34="",$C34,IF(ISNUMBER(Planung!AL34),Planung!AL34,IF(UPPER(Planung!AL34)="H",$C34/2,0)))))))</f>
        <v>0</v>
      </c>
      <c r="AM34" s="27">
        <f>IF($A34="",0,IF(Mitarbeiter!$G$32=FALSE,0,IF(AND(Mitarbeiter!$E$32&lt;&gt;"",AM$5+6&lt;Mitarbeiter!$E$32),0,IF(AND(Mitarbeiter!$F$32&lt;&gt;"",AM$5&gt;Mitarbeiter!$F$32),0,IF(Planung!AM34="",$C34,IF(ISNUMBER(Planung!AM34),Planung!AM34,IF(UPPER(Planung!AM34)="H",$C34/2,0)))))))</f>
        <v>0</v>
      </c>
      <c r="AN34" s="27">
        <f>IF($A34="",0,IF(Mitarbeiter!$G$32=FALSE,0,IF(AND(Mitarbeiter!$E$32&lt;&gt;"",AN$5+6&lt;Mitarbeiter!$E$32),0,IF(AND(Mitarbeiter!$F$32&lt;&gt;"",AN$5&gt;Mitarbeiter!$F$32),0,IF(Planung!AN34="",$C34,IF(ISNUMBER(Planung!AN34),Planung!AN34,IF(UPPER(Planung!AN34)="H",$C34/2,0)))))))</f>
        <v>0</v>
      </c>
      <c r="AO34" s="27">
        <f>IF($A34="",0,IF(Mitarbeiter!$G$32=FALSE,0,IF(AND(Mitarbeiter!$E$32&lt;&gt;"",AO$5+6&lt;Mitarbeiter!$E$32),0,IF(AND(Mitarbeiter!$F$32&lt;&gt;"",AO$5&gt;Mitarbeiter!$F$32),0,IF(Planung!AO34="",$C34,IF(ISNUMBER(Planung!AO34),Planung!AO34,IF(UPPER(Planung!AO34)="H",$C34/2,0)))))))</f>
        <v>0</v>
      </c>
      <c r="AP34" s="27">
        <f>IF($A34="",0,IF(Mitarbeiter!$G$32=FALSE,0,IF(AND(Mitarbeiter!$E$32&lt;&gt;"",AP$5+6&lt;Mitarbeiter!$E$32),0,IF(AND(Mitarbeiter!$F$32&lt;&gt;"",AP$5&gt;Mitarbeiter!$F$32),0,IF(Planung!AP34="",$C34,IF(ISNUMBER(Planung!AP34),Planung!AP34,IF(UPPER(Planung!AP34)="H",$C34/2,0)))))))</f>
        <v>0</v>
      </c>
      <c r="AQ34" s="27">
        <f>IF($A34="",0,IF(Mitarbeiter!$G$32=FALSE,0,IF(AND(Mitarbeiter!$E$32&lt;&gt;"",AQ$5+6&lt;Mitarbeiter!$E$32),0,IF(AND(Mitarbeiter!$F$32&lt;&gt;"",AQ$5&gt;Mitarbeiter!$F$32),0,IF(Planung!AQ34="",$C34,IF(ISNUMBER(Planung!AQ34),Planung!AQ34,IF(UPPER(Planung!AQ34)="H",$C34/2,0)))))))</f>
        <v>0</v>
      </c>
      <c r="AR34" s="27">
        <f>IF($A34="",0,IF(Mitarbeiter!$G$32=FALSE,0,IF(AND(Mitarbeiter!$E$32&lt;&gt;"",AR$5+6&lt;Mitarbeiter!$E$32),0,IF(AND(Mitarbeiter!$F$32&lt;&gt;"",AR$5&gt;Mitarbeiter!$F$32),0,IF(Planung!AR34="",$C34,IF(ISNUMBER(Planung!AR34),Planung!AR34,IF(UPPER(Planung!AR34)="H",$C34/2,0)))))))</f>
        <v>0</v>
      </c>
      <c r="AS34" s="27">
        <f>IF($A34="",0,IF(Mitarbeiter!$G$32=FALSE,0,IF(AND(Mitarbeiter!$E$32&lt;&gt;"",AS$5+6&lt;Mitarbeiter!$E$32),0,IF(AND(Mitarbeiter!$F$32&lt;&gt;"",AS$5&gt;Mitarbeiter!$F$32),0,IF(Planung!AS34="",$C34,IF(ISNUMBER(Planung!AS34),Planung!AS34,IF(UPPER(Planung!AS34)="H",$C34/2,0)))))))</f>
        <v>0</v>
      </c>
      <c r="AT34" s="27">
        <f>IF($A34="",0,IF(Mitarbeiter!$G$32=FALSE,0,IF(AND(Mitarbeiter!$E$32&lt;&gt;"",AT$5+6&lt;Mitarbeiter!$E$32),0,IF(AND(Mitarbeiter!$F$32&lt;&gt;"",AT$5&gt;Mitarbeiter!$F$32),0,IF(Planung!AT34="",$C34,IF(ISNUMBER(Planung!AT34),Planung!AT34,IF(UPPER(Planung!AT34)="H",$C34/2,0)))))))</f>
        <v>0</v>
      </c>
      <c r="AU34" s="27">
        <f>IF($A34="",0,IF(Mitarbeiter!$G$32=FALSE,0,IF(AND(Mitarbeiter!$E$32&lt;&gt;"",AU$5+6&lt;Mitarbeiter!$E$32),0,IF(AND(Mitarbeiter!$F$32&lt;&gt;"",AU$5&gt;Mitarbeiter!$F$32),0,IF(Planung!AU34="",$C34,IF(ISNUMBER(Planung!AU34),Planung!AU34,IF(UPPER(Planung!AU34)="H",$C34/2,0)))))))</f>
        <v>0</v>
      </c>
      <c r="AV34" s="27">
        <f>IF($A34="",0,IF(Mitarbeiter!$G$32=FALSE,0,IF(AND(Mitarbeiter!$E$32&lt;&gt;"",AV$5+6&lt;Mitarbeiter!$E$32),0,IF(AND(Mitarbeiter!$F$32&lt;&gt;"",AV$5&gt;Mitarbeiter!$F$32),0,IF(Planung!AV34="",$C34,IF(ISNUMBER(Planung!AV34),Planung!AV34,IF(UPPER(Planung!AV34)="H",$C34/2,0)))))))</f>
        <v>0</v>
      </c>
      <c r="AW34" s="27">
        <f>IF($A34="",0,IF(Mitarbeiter!$G$32=FALSE,0,IF(AND(Mitarbeiter!$E$32&lt;&gt;"",AW$5+6&lt;Mitarbeiter!$E$32),0,IF(AND(Mitarbeiter!$F$32&lt;&gt;"",AW$5&gt;Mitarbeiter!$F$32),0,IF(Planung!AW34="",$C34,IF(ISNUMBER(Planung!AW34),Planung!AW34,IF(UPPER(Planung!AW34)="H",$C34/2,0)))))))</f>
        <v>0</v>
      </c>
      <c r="AX34" s="27">
        <f>IF($A34="",0,IF(Mitarbeiter!$G$32=FALSE,0,IF(AND(Mitarbeiter!$E$32&lt;&gt;"",AX$5+6&lt;Mitarbeiter!$E$32),0,IF(AND(Mitarbeiter!$F$32&lt;&gt;"",AX$5&gt;Mitarbeiter!$F$32),0,IF(Planung!AX34="",$C34,IF(ISNUMBER(Planung!AX34),Planung!AX34,IF(UPPER(Planung!AX34)="H",$C34/2,0)))))))</f>
        <v>0</v>
      </c>
      <c r="AY34" s="27">
        <f>IF($A34="",0,IF(Mitarbeiter!$G$32=FALSE,0,IF(AND(Mitarbeiter!$E$32&lt;&gt;"",AY$5+6&lt;Mitarbeiter!$E$32),0,IF(AND(Mitarbeiter!$F$32&lt;&gt;"",AY$5&gt;Mitarbeiter!$F$32),0,IF(Planung!AY34="",$C34,IF(ISNUMBER(Planung!AY34),Planung!AY34,IF(UPPER(Planung!AY34)="H",$C34/2,0)))))))</f>
        <v>0</v>
      </c>
      <c r="AZ34" s="27">
        <f>IF($A34="",0,IF(Mitarbeiter!$G$32=FALSE,0,IF(AND(Mitarbeiter!$E$32&lt;&gt;"",AZ$5+6&lt;Mitarbeiter!$E$32),0,IF(AND(Mitarbeiter!$F$32&lt;&gt;"",AZ$5&gt;Mitarbeiter!$F$32),0,IF(Planung!AZ34="",$C34,IF(ISNUMBER(Planung!AZ34),Planung!AZ34,IF(UPPER(Planung!AZ34)="H",$C34/2,0)))))))</f>
        <v>0</v>
      </c>
      <c r="BA34" s="27">
        <f>IF($A34="",0,IF(Mitarbeiter!$G$32=FALSE,0,IF(AND(Mitarbeiter!$E$32&lt;&gt;"",BA$5+6&lt;Mitarbeiter!$E$32),0,IF(AND(Mitarbeiter!$F$32&lt;&gt;"",BA$5&gt;Mitarbeiter!$F$32),0,IF(Planung!BA34="",$C34,IF(ISNUMBER(Planung!BA34),Planung!BA34,IF(UPPER(Planung!BA34)="H",$C34/2,0)))))))</f>
        <v>0</v>
      </c>
      <c r="BB34" s="27">
        <f>IF($A34="",0,IF(Mitarbeiter!$G$32=FALSE,0,IF(AND(Mitarbeiter!$E$32&lt;&gt;"",BB$5+6&lt;Mitarbeiter!$E$32),0,IF(AND(Mitarbeiter!$F$32&lt;&gt;"",BB$5&gt;Mitarbeiter!$F$32),0,IF(Planung!BB34="",$C34,IF(ISNUMBER(Planung!BB34),Planung!BB34,IF(UPPER(Planung!BB34)="H",$C34/2,0)))))))</f>
        <v>0</v>
      </c>
      <c r="BC34" s="27">
        <f>IF($A34="",0,IF(Mitarbeiter!$G$32=FALSE,0,IF(AND(Mitarbeiter!$E$32&lt;&gt;"",BC$5+6&lt;Mitarbeiter!$E$32),0,IF(AND(Mitarbeiter!$F$32&lt;&gt;"",BC$5&gt;Mitarbeiter!$F$32),0,IF(Planung!BC34="",$C34,IF(ISNUMBER(Planung!BC34),Planung!BC34,IF(UPPER(Planung!BC34)="H",$C34/2,0)))))))</f>
        <v>0</v>
      </c>
      <c r="BD34" s="27">
        <f>IF($A34="",0,IF(Mitarbeiter!$G$32=FALSE,0,IF(AND(Mitarbeiter!$E$32&lt;&gt;"",BD$5+6&lt;Mitarbeiter!$E$32),0,IF(AND(Mitarbeiter!$F$32&lt;&gt;"",BD$5&gt;Mitarbeiter!$F$32),0,IF(Planung!BD34="",$C34,IF(ISNUMBER(Planung!BD34),Planung!BD34,IF(UPPER(Planung!BD34)="H",$C34/2,0)))))))</f>
        <v>0</v>
      </c>
      <c r="BE34" s="27">
        <f>IF($A34="",0,IF(Mitarbeiter!$G$32=FALSE,0,IF(AND(Mitarbeiter!$E$32&lt;&gt;"",BE$5+6&lt;Mitarbeiter!$E$32),0,IF(AND(Mitarbeiter!$F$32&lt;&gt;"",BE$5&gt;Mitarbeiter!$F$32),0,IF(Planung!BE34="",$C34,IF(ISNUMBER(Planung!BE34),Planung!BE34,IF(UPPER(Planung!BE34)="H",$C34/2,0)))))))</f>
        <v>0</v>
      </c>
      <c r="BF34" s="27">
        <f>IF($A34="",0,IF(Mitarbeiter!$G$32=FALSE,0,IF(AND(Mitarbeiter!$E$32&lt;&gt;"",BF$5+6&lt;Mitarbeiter!$E$32),0,IF(AND(Mitarbeiter!$F$32&lt;&gt;"",BF$5&gt;Mitarbeiter!$F$32),0,IF(Planung!BF34="",$C34,IF(ISNUMBER(Planung!BF34),Planung!BF34,IF(UPPER(Planung!BF34)="H",$C34/2,0)))))))</f>
        <v>0</v>
      </c>
      <c r="BG34" s="27">
        <f>IF($A34="",0,IF(Mitarbeiter!$G$32=FALSE,0,IF(AND(Mitarbeiter!$E$32&lt;&gt;"",BG$5+6&lt;Mitarbeiter!$E$32),0,IF(AND(Mitarbeiter!$F$32&lt;&gt;"",BG$5&gt;Mitarbeiter!$F$32),0,IF(Planung!BG34="",$C34,IF(ISNUMBER(Planung!BG34),Planung!BG34,IF(UPPER(Planung!BG34)="H",$C34/2,0)))))))</f>
        <v>0</v>
      </c>
      <c r="BH34" s="27">
        <f>IF($A34="",0,IF(Mitarbeiter!$G$32=FALSE,0,IF(AND(Mitarbeiter!$E$32&lt;&gt;"",BH$5+6&lt;Mitarbeiter!$E$32),0,IF(AND(Mitarbeiter!$F$32&lt;&gt;"",BH$5&gt;Mitarbeiter!$F$32),0,IF(Planung!BH34="",$C34,IF(ISNUMBER(Planung!BH34),Planung!BH34,IF(UPPER(Planung!BH34)="H",$C34/2,0)))))))</f>
        <v>0</v>
      </c>
      <c r="BI34" s="27">
        <f>IF($A34="",0,IF(Mitarbeiter!$G$32=FALSE,0,IF(AND(Mitarbeiter!$E$32&lt;&gt;"",BI$5+6&lt;Mitarbeiter!$E$32),0,IF(AND(Mitarbeiter!$F$32&lt;&gt;"",BI$5&gt;Mitarbeiter!$F$32),0,IF(Planung!BI34="",$C34,IF(ISNUMBER(Planung!BI34),Planung!BI34,IF(UPPER(Planung!BI34)="H",$C34/2,0)))))))</f>
        <v>0</v>
      </c>
      <c r="BJ34" s="27">
        <f>IF($A34="",0,IF(Mitarbeiter!$G$32=FALSE,0,IF(AND(Mitarbeiter!$E$32&lt;&gt;"",BJ$5+6&lt;Mitarbeiter!$E$32),0,IF(AND(Mitarbeiter!$F$32&lt;&gt;"",BJ$5&gt;Mitarbeiter!$F$32),0,IF(Planung!BJ34="",$C34,IF(ISNUMBER(Planung!BJ34),Planung!BJ34,IF(UPPER(Planung!BJ34)="H",$C34/2,0)))))))</f>
        <v>0</v>
      </c>
      <c r="BK34" s="27">
        <f>IF($A34="",0,IF(Mitarbeiter!$G$32=FALSE,0,IF(AND(Mitarbeiter!$E$32&lt;&gt;"",BK$5+6&lt;Mitarbeiter!$E$32),0,IF(AND(Mitarbeiter!$F$32&lt;&gt;"",BK$5&gt;Mitarbeiter!$F$32),0,IF(Planung!BK34="",$C34,IF(ISNUMBER(Planung!BK34),Planung!BK34,IF(UPPER(Planung!BK34)="H",$C34/2,0)))))))</f>
        <v>0</v>
      </c>
      <c r="BL34" s="27">
        <f>IF($A34="",0,IF(Mitarbeiter!$G$32=FALSE,0,IF(AND(Mitarbeiter!$E$32&lt;&gt;"",BL$5+6&lt;Mitarbeiter!$E$32),0,IF(AND(Mitarbeiter!$F$32&lt;&gt;"",BL$5&gt;Mitarbeiter!$F$32),0,IF(Planung!BL34="",$C34,IF(ISNUMBER(Planung!BL34),Planung!BL34,IF(UPPER(Planung!BL34)="H",$C34/2,0)))))))</f>
        <v>0</v>
      </c>
      <c r="BM34" s="27">
        <f>IF($A34="",0,IF(Mitarbeiter!$G$32=FALSE,0,IF(AND(Mitarbeiter!$E$32&lt;&gt;"",BM$5+6&lt;Mitarbeiter!$E$32),0,IF(AND(Mitarbeiter!$F$32&lt;&gt;"",BM$5&gt;Mitarbeiter!$F$32),0,IF(Planung!BM34="",$C34,IF(ISNUMBER(Planung!BM34),Planung!BM34,IF(UPPER(Planung!BM34)="H",$C34/2,0)))))))</f>
        <v>0</v>
      </c>
      <c r="BN34" s="27">
        <f>IF($A34="",0,IF(Mitarbeiter!$G$32=FALSE,0,IF(AND(Mitarbeiter!$E$32&lt;&gt;"",BN$5+6&lt;Mitarbeiter!$E$32),0,IF(AND(Mitarbeiter!$F$32&lt;&gt;"",BN$5&gt;Mitarbeiter!$F$32),0,IF(Planung!BN34="",$C34,IF(ISNUMBER(Planung!BN34),Planung!BN34,IF(UPPER(Planung!BN34)="H",$C34/2,0)))))))</f>
        <v>0</v>
      </c>
      <c r="BO34" s="27">
        <f>IF($A34="",0,IF(Mitarbeiter!$G$32=FALSE,0,IF(AND(Mitarbeiter!$E$32&lt;&gt;"",BO$5+6&lt;Mitarbeiter!$E$32),0,IF(AND(Mitarbeiter!$F$32&lt;&gt;"",BO$5&gt;Mitarbeiter!$F$32),0,IF(Planung!BO34="",$C34,IF(ISNUMBER(Planung!BO34),Planung!BO34,IF(UPPER(Planung!BO34)="H",$C34/2,0)))))))</f>
        <v>0</v>
      </c>
      <c r="BP34" s="27">
        <f>IF($A34="",0,IF(Mitarbeiter!$G$32=FALSE,0,IF(AND(Mitarbeiter!$E$32&lt;&gt;"",BP$5+6&lt;Mitarbeiter!$E$32),0,IF(AND(Mitarbeiter!$F$32&lt;&gt;"",BP$5&gt;Mitarbeiter!$F$32),0,IF(Planung!BP34="",$C34,IF(ISNUMBER(Planung!BP34),Planung!BP34,IF(UPPER(Planung!BP34)="H",$C34/2,0)))))))</f>
        <v>0</v>
      </c>
      <c r="BQ34" s="27">
        <f>IF($A34="",0,IF(Mitarbeiter!$G$32=FALSE,0,IF(AND(Mitarbeiter!$E$32&lt;&gt;"",BQ$5+6&lt;Mitarbeiter!$E$32),0,IF(AND(Mitarbeiter!$F$32&lt;&gt;"",BQ$5&gt;Mitarbeiter!$F$32),0,IF(Planung!BQ34="",$C34,IF(ISNUMBER(Planung!BQ34),Planung!BQ34,IF(UPPER(Planung!BQ34)="H",$C34/2,0)))))))</f>
        <v>0</v>
      </c>
      <c r="BR34" s="27">
        <f>IF($A34="",0,IF(Mitarbeiter!$G$32=FALSE,0,IF(AND(Mitarbeiter!$E$32&lt;&gt;"",BR$5+6&lt;Mitarbeiter!$E$32),0,IF(AND(Mitarbeiter!$F$32&lt;&gt;"",BR$5&gt;Mitarbeiter!$F$32),0,IF(Planung!BR34="",$C34,IF(ISNUMBER(Planung!BR34),Planung!BR34,IF(UPPER(Planung!BR34)="H",$C34/2,0)))))))</f>
        <v>0</v>
      </c>
      <c r="BS34" s="27">
        <f>IF($A34="",0,IF(Mitarbeiter!$G$32=FALSE,0,IF(AND(Mitarbeiter!$E$32&lt;&gt;"",BS$5+6&lt;Mitarbeiter!$E$32),0,IF(AND(Mitarbeiter!$F$32&lt;&gt;"",BS$5&gt;Mitarbeiter!$F$32),0,IF(Planung!BS34="",$C34,IF(ISNUMBER(Planung!BS34),Planung!BS34,IF(UPPER(Planung!BS34)="H",$C34/2,0)))))))</f>
        <v>0</v>
      </c>
      <c r="BT34" s="27">
        <f>IF($A34="",0,IF(Mitarbeiter!$G$32=FALSE,0,IF(AND(Mitarbeiter!$E$32&lt;&gt;"",BT$5+6&lt;Mitarbeiter!$E$32),0,IF(AND(Mitarbeiter!$F$32&lt;&gt;"",BT$5&gt;Mitarbeiter!$F$32),0,IF(Planung!BT34="",$C34,IF(ISNUMBER(Planung!BT34),Planung!BT34,IF(UPPER(Planung!BT34)="H",$C34/2,0)))))))</f>
        <v>0</v>
      </c>
      <c r="BU34" s="27">
        <f>IF($A34="",0,IF(Mitarbeiter!$G$32=FALSE,0,IF(AND(Mitarbeiter!$E$32&lt;&gt;"",BU$5+6&lt;Mitarbeiter!$E$32),0,IF(AND(Mitarbeiter!$F$32&lt;&gt;"",BU$5&gt;Mitarbeiter!$F$32),0,IF(Planung!BU34="",$C34,IF(ISNUMBER(Planung!BU34),Planung!BU34,IF(UPPER(Planung!BU34)="H",$C34/2,0)))))))</f>
        <v>0</v>
      </c>
      <c r="BV34" s="27">
        <f>IF($A34="",0,IF(Mitarbeiter!$G$32=FALSE,0,IF(AND(Mitarbeiter!$E$32&lt;&gt;"",BV$5+6&lt;Mitarbeiter!$E$32),0,IF(AND(Mitarbeiter!$F$32&lt;&gt;"",BV$5&gt;Mitarbeiter!$F$32),0,IF(Planung!BV34="",$C34,IF(ISNUMBER(Planung!BV34),Planung!BV34,IF(UPPER(Planung!BV34)="H",$C34/2,0)))))))</f>
        <v>0</v>
      </c>
      <c r="BW34" s="27">
        <f>IF($A34="",0,IF(Mitarbeiter!$G$32=FALSE,0,IF(AND(Mitarbeiter!$E$32&lt;&gt;"",BW$5+6&lt;Mitarbeiter!$E$32),0,IF(AND(Mitarbeiter!$F$32&lt;&gt;"",BW$5&gt;Mitarbeiter!$F$32),0,IF(Planung!BW34="",$C34,IF(ISNUMBER(Planung!BW34),Planung!BW34,IF(UPPER(Planung!BW34)="H",$C34/2,0)))))))</f>
        <v>0</v>
      </c>
      <c r="BX34" s="27">
        <f>IF($A34="",0,IF(Mitarbeiter!$G$32=FALSE,0,IF(AND(Mitarbeiter!$E$32&lt;&gt;"",BX$5+6&lt;Mitarbeiter!$E$32),0,IF(AND(Mitarbeiter!$F$32&lt;&gt;"",BX$5&gt;Mitarbeiter!$F$32),0,IF(Planung!BX34="",$C34,IF(ISNUMBER(Planung!BX34),Planung!BX34,IF(UPPER(Planung!BX34)="H",$C34/2,0)))))))</f>
        <v>0</v>
      </c>
      <c r="BY34" s="27">
        <f>IF($A34="",0,IF(Mitarbeiter!$G$32=FALSE,0,IF(AND(Mitarbeiter!$E$32&lt;&gt;"",BY$5+6&lt;Mitarbeiter!$E$32),0,IF(AND(Mitarbeiter!$F$32&lt;&gt;"",BY$5&gt;Mitarbeiter!$F$32),0,IF(Planung!BY34="",$C34,IF(ISNUMBER(Planung!BY34),Planung!BY34,IF(UPPER(Planung!BY34)="H",$C34/2,0)))))))</f>
        <v>0</v>
      </c>
      <c r="BZ34" s="27">
        <f>IF($A34="",0,IF(Mitarbeiter!$G$32=FALSE,0,IF(AND(Mitarbeiter!$E$32&lt;&gt;"",BZ$5+6&lt;Mitarbeiter!$E$32),0,IF(AND(Mitarbeiter!$F$32&lt;&gt;"",BZ$5&gt;Mitarbeiter!$F$32),0,IF(Planung!BZ34="",$C34,IF(ISNUMBER(Planung!BZ34),Planung!BZ34,IF(UPPER(Planung!BZ34)="H",$C34/2,0)))))))</f>
        <v>0</v>
      </c>
      <c r="CA34" s="27">
        <f>IF($A34="",0,IF(Mitarbeiter!$G$32=FALSE,0,IF(AND(Mitarbeiter!$E$32&lt;&gt;"",CA$5+6&lt;Mitarbeiter!$E$32),0,IF(AND(Mitarbeiter!$F$32&lt;&gt;"",CA$5&gt;Mitarbeiter!$F$32),0,IF(Planung!CA34="",$C34,IF(ISNUMBER(Planung!CA34),Planung!CA34,IF(UPPER(Planung!CA34)="H",$C34/2,0)))))))</f>
        <v>0</v>
      </c>
      <c r="CB34" s="27">
        <f>IF($A34="",0,IF(Mitarbeiter!$G$32=FALSE,0,IF(AND(Mitarbeiter!$E$32&lt;&gt;"",CB$5+6&lt;Mitarbeiter!$E$32),0,IF(AND(Mitarbeiter!$F$32&lt;&gt;"",CB$5&gt;Mitarbeiter!$F$32),0,IF(Planung!CB34="",$C34,IF(ISNUMBER(Planung!CB34),Planung!CB34,IF(UPPER(Planung!CB34)="H",$C34/2,0)))))))</f>
        <v>0</v>
      </c>
      <c r="CC34" s="27">
        <f>IF($A34="",0,IF(Mitarbeiter!$G$32=FALSE,0,IF(AND(Mitarbeiter!$E$32&lt;&gt;"",CC$5+6&lt;Mitarbeiter!$E$32),0,IF(AND(Mitarbeiter!$F$32&lt;&gt;"",CC$5&gt;Mitarbeiter!$F$32),0,IF(Planung!CC34="",$C34,IF(ISNUMBER(Planung!CC34),Planung!CC34,IF(UPPER(Planung!CC34)="H",$C34/2,0)))))))</f>
        <v>0</v>
      </c>
      <c r="CD34" s="27">
        <f>IF($A34="",0,IF(Mitarbeiter!$G$32=FALSE,0,IF(AND(Mitarbeiter!$E$32&lt;&gt;"",CD$5+6&lt;Mitarbeiter!$E$32),0,IF(AND(Mitarbeiter!$F$32&lt;&gt;"",CD$5&gt;Mitarbeiter!$F$32),0,IF(Planung!CD34="",$C34,IF(ISNUMBER(Planung!CD34),Planung!CD34,IF(UPPER(Planung!CD34)="H",$C34/2,0)))))))</f>
        <v>0</v>
      </c>
      <c r="CE34" s="27">
        <f>IF($A34="",0,IF(Mitarbeiter!$G$32=FALSE,0,IF(AND(Mitarbeiter!$E$32&lt;&gt;"",CE$5+6&lt;Mitarbeiter!$E$32),0,IF(AND(Mitarbeiter!$F$32&lt;&gt;"",CE$5&gt;Mitarbeiter!$F$32),0,IF(Planung!CE34="",$C34,IF(ISNUMBER(Planung!CE34),Planung!CE34,IF(UPPER(Planung!CE34)="H",$C34/2,0)))))))</f>
        <v>0</v>
      </c>
      <c r="CF34" s="27">
        <f>IF($A34="",0,IF(Mitarbeiter!$G$32=FALSE,0,IF(AND(Mitarbeiter!$E$32&lt;&gt;"",CF$5+6&lt;Mitarbeiter!$E$32),0,IF(AND(Mitarbeiter!$F$32&lt;&gt;"",CF$5&gt;Mitarbeiter!$F$32),0,IF(Planung!CF34="",$C34,IF(ISNUMBER(Planung!CF34),Planung!CF34,IF(UPPER(Planung!CF34)="H",$C34/2,0)))))))</f>
        <v>0</v>
      </c>
      <c r="CG34" s="27">
        <f>IF($A34="",0,IF(Mitarbeiter!$G$32=FALSE,0,IF(AND(Mitarbeiter!$E$32&lt;&gt;"",CG$5+6&lt;Mitarbeiter!$E$32),0,IF(AND(Mitarbeiter!$F$32&lt;&gt;"",CG$5&gt;Mitarbeiter!$F$32),0,IF(Planung!CG34="",$C34,IF(ISNUMBER(Planung!CG34),Planung!CG34,IF(UPPER(Planung!CG34)="H",$C34/2,0)))))))</f>
        <v>0</v>
      </c>
      <c r="CH34" s="27">
        <f>IF($A34="",0,IF(Mitarbeiter!$G$32=FALSE,0,IF(AND(Mitarbeiter!$E$32&lt;&gt;"",CH$5+6&lt;Mitarbeiter!$E$32),0,IF(AND(Mitarbeiter!$F$32&lt;&gt;"",CH$5&gt;Mitarbeiter!$F$32),0,IF(Planung!CH34="",$C34,IF(ISNUMBER(Planung!CH34),Planung!CH34,IF(UPPER(Planung!CH34)="H",$C34/2,0)))))))</f>
        <v>0</v>
      </c>
      <c r="CI34" s="27">
        <f>IF($A34="",0,IF(Mitarbeiter!$G$32=FALSE,0,IF(AND(Mitarbeiter!$E$32&lt;&gt;"",CI$5+6&lt;Mitarbeiter!$E$32),0,IF(AND(Mitarbeiter!$F$32&lt;&gt;"",CI$5&gt;Mitarbeiter!$F$32),0,IF(Planung!CI34="",$C34,IF(ISNUMBER(Planung!CI34),Planung!CI34,IF(UPPER(Planung!CI34)="H",$C34/2,0)))))))</f>
        <v>0</v>
      </c>
      <c r="CJ34" s="27">
        <f>IF($A34="",0,IF(Mitarbeiter!$G$32=FALSE,0,IF(AND(Mitarbeiter!$E$32&lt;&gt;"",CJ$5+6&lt;Mitarbeiter!$E$32),0,IF(AND(Mitarbeiter!$F$32&lt;&gt;"",CJ$5&gt;Mitarbeiter!$F$32),0,IF(Planung!CJ34="",$C34,IF(ISNUMBER(Planung!CJ34),Planung!CJ34,IF(UPPER(Planung!CJ34)="H",$C34/2,0)))))))</f>
        <v>0</v>
      </c>
      <c r="CK34" s="27">
        <f>IF($A34="",0,IF(Mitarbeiter!$G$32=FALSE,0,IF(AND(Mitarbeiter!$E$32&lt;&gt;"",CK$5+6&lt;Mitarbeiter!$E$32),0,IF(AND(Mitarbeiter!$F$32&lt;&gt;"",CK$5&gt;Mitarbeiter!$F$32),0,IF(Planung!CK34="",$C34,IF(ISNUMBER(Planung!CK34),Planung!CK34,IF(UPPER(Planung!CK34)="H",$C34/2,0)))))))</f>
        <v>0</v>
      </c>
      <c r="CL34" s="27">
        <f>IF($A34="",0,IF(Mitarbeiter!$G$32=FALSE,0,IF(AND(Mitarbeiter!$E$32&lt;&gt;"",CL$5+6&lt;Mitarbeiter!$E$32),0,IF(AND(Mitarbeiter!$F$32&lt;&gt;"",CL$5&gt;Mitarbeiter!$F$32),0,IF(Planung!CL34="",$C34,IF(ISNUMBER(Planung!CL34),Planung!CL34,IF(UPPER(Planung!CL34)="H",$C34/2,0)))))))</f>
        <v>0</v>
      </c>
      <c r="CM34" s="27">
        <f>IF($A34="",0,IF(Mitarbeiter!$G$32=FALSE,0,IF(AND(Mitarbeiter!$E$32&lt;&gt;"",CM$5+6&lt;Mitarbeiter!$E$32),0,IF(AND(Mitarbeiter!$F$32&lt;&gt;"",CM$5&gt;Mitarbeiter!$F$32),0,IF(Planung!CM34="",$C34,IF(ISNUMBER(Planung!CM34),Planung!CM34,IF(UPPER(Planung!CM34)="H",$C34/2,0)))))))</f>
        <v>0</v>
      </c>
      <c r="CN34" s="27">
        <f>IF($A34="",0,IF(Mitarbeiter!$G$32=FALSE,0,IF(AND(Mitarbeiter!$E$32&lt;&gt;"",CN$5+6&lt;Mitarbeiter!$E$32),0,IF(AND(Mitarbeiter!$F$32&lt;&gt;"",CN$5&gt;Mitarbeiter!$F$32),0,IF(Planung!CN34="",$C34,IF(ISNUMBER(Planung!CN34),Planung!CN34,IF(UPPER(Planung!CN34)="H",$C34/2,0)))))))</f>
        <v>0</v>
      </c>
      <c r="CO34" s="27">
        <f>IF($A34="",0,IF(Mitarbeiter!$G$32=FALSE,0,IF(AND(Mitarbeiter!$E$32&lt;&gt;"",CO$5+6&lt;Mitarbeiter!$E$32),0,IF(AND(Mitarbeiter!$F$32&lt;&gt;"",CO$5&gt;Mitarbeiter!$F$32),0,IF(Planung!CO34="",$C34,IF(ISNUMBER(Planung!CO34),Planung!CO34,IF(UPPER(Planung!CO34)="H",$C34/2,0)))))))</f>
        <v>0</v>
      </c>
      <c r="CP34" s="27">
        <f>IF($A34="",0,IF(Mitarbeiter!$G$32=FALSE,0,IF(AND(Mitarbeiter!$E$32&lt;&gt;"",CP$5+6&lt;Mitarbeiter!$E$32),0,IF(AND(Mitarbeiter!$F$32&lt;&gt;"",CP$5&gt;Mitarbeiter!$F$32),0,IF(Planung!CP34="",$C34,IF(ISNUMBER(Planung!CP34),Planung!CP34,IF(UPPER(Planung!CP34)="H",$C34/2,0)))))))</f>
        <v>0</v>
      </c>
      <c r="CQ34" s="27">
        <f>IF($A34="",0,IF(Mitarbeiter!$G$32=FALSE,0,IF(AND(Mitarbeiter!$E$32&lt;&gt;"",CQ$5+6&lt;Mitarbeiter!$E$32),0,IF(AND(Mitarbeiter!$F$32&lt;&gt;"",CQ$5&gt;Mitarbeiter!$F$32),0,IF(Planung!CQ34="",$C34,IF(ISNUMBER(Planung!CQ34),Planung!CQ34,IF(UPPER(Planung!CQ34)="H",$C34/2,0)))))))</f>
        <v>0</v>
      </c>
      <c r="CR34" s="27">
        <f>IF($A34="",0,IF(Mitarbeiter!$G$32=FALSE,0,IF(AND(Mitarbeiter!$E$32&lt;&gt;"",CR$5+6&lt;Mitarbeiter!$E$32),0,IF(AND(Mitarbeiter!$F$32&lt;&gt;"",CR$5&gt;Mitarbeiter!$F$32),0,IF(Planung!CR34="",$C34,IF(ISNUMBER(Planung!CR34),Planung!CR34,IF(UPPER(Planung!CR34)="H",$C34/2,0)))))))</f>
        <v>0</v>
      </c>
      <c r="CS34" s="27">
        <f>IF($A34="",0,IF(Mitarbeiter!$G$32=FALSE,0,IF(AND(Mitarbeiter!$E$32&lt;&gt;"",CS$5+6&lt;Mitarbeiter!$E$32),0,IF(AND(Mitarbeiter!$F$32&lt;&gt;"",CS$5&gt;Mitarbeiter!$F$32),0,IF(Planung!CS34="",$C34,IF(ISNUMBER(Planung!CS34),Planung!CS34,IF(UPPER(Planung!CS34)="H",$C34/2,0)))))))</f>
        <v>0</v>
      </c>
      <c r="CT34" s="27">
        <f>IF($A34="",0,IF(Mitarbeiter!$G$32=FALSE,0,IF(AND(Mitarbeiter!$E$32&lt;&gt;"",CT$5+6&lt;Mitarbeiter!$E$32),0,IF(AND(Mitarbeiter!$F$32&lt;&gt;"",CT$5&gt;Mitarbeiter!$F$32),0,IF(Planung!CT34="",$C34,IF(ISNUMBER(Planung!CT34),Planung!CT34,IF(UPPER(Planung!CT34)="H",$C34/2,0)))))))</f>
        <v>0</v>
      </c>
      <c r="CU34" s="27">
        <f>IF($A34="",0,IF(Mitarbeiter!$G$32=FALSE,0,IF(AND(Mitarbeiter!$E$32&lt;&gt;"",CU$5+6&lt;Mitarbeiter!$E$32),0,IF(AND(Mitarbeiter!$F$32&lt;&gt;"",CU$5&gt;Mitarbeiter!$F$32),0,IF(Planung!CU34="",$C34,IF(ISNUMBER(Planung!CU34),Planung!CU34,IF(UPPER(Planung!CU34)="H",$C34/2,0)))))))</f>
        <v>0</v>
      </c>
      <c r="CV34" s="27">
        <f>IF($A34="",0,IF(Mitarbeiter!$G$32=FALSE,0,IF(AND(Mitarbeiter!$E$32&lt;&gt;"",CV$5+6&lt;Mitarbeiter!$E$32),0,IF(AND(Mitarbeiter!$F$32&lt;&gt;"",CV$5&gt;Mitarbeiter!$F$32),0,IF(Planung!CV34="",$C34,IF(ISNUMBER(Planung!CV34),Planung!CV34,IF(UPPER(Planung!CV34)="H",$C34/2,0)))))))</f>
        <v>0</v>
      </c>
      <c r="CW34" s="27">
        <f>IF($A34="",0,IF(Mitarbeiter!$G$32=FALSE,0,IF(AND(Mitarbeiter!$E$32&lt;&gt;"",CW$5+6&lt;Mitarbeiter!$E$32),0,IF(AND(Mitarbeiter!$F$32&lt;&gt;"",CW$5&gt;Mitarbeiter!$F$32),0,IF(Planung!CW34="",$C34,IF(ISNUMBER(Planung!CW34),Planung!CW34,IF(UPPER(Planung!CW34)="H",$C34/2,0)))))))</f>
        <v>0</v>
      </c>
      <c r="CX34" s="27">
        <f>IF($A34="",0,IF(Mitarbeiter!$G$32=FALSE,0,IF(AND(Mitarbeiter!$E$32&lt;&gt;"",CX$5+6&lt;Mitarbeiter!$E$32),0,IF(AND(Mitarbeiter!$F$32&lt;&gt;"",CX$5&gt;Mitarbeiter!$F$32),0,IF(Planung!CX34="",$C34,IF(ISNUMBER(Planung!CX34),Planung!CX34,IF(UPPER(Planung!CX34)="H",$C34/2,0)))))))</f>
        <v>0</v>
      </c>
      <c r="CY34" s="27">
        <f>IF($A34="",0,IF(Mitarbeiter!$G$32=FALSE,0,IF(AND(Mitarbeiter!$E$32&lt;&gt;"",CY$5+6&lt;Mitarbeiter!$E$32),0,IF(AND(Mitarbeiter!$F$32&lt;&gt;"",CY$5&gt;Mitarbeiter!$F$32),0,IF(Planung!CY34="",$C34,IF(ISNUMBER(Planung!CY34),Planung!CY34,IF(UPPER(Planung!CY34)="H",$C34/2,0)))))))</f>
        <v>0</v>
      </c>
      <c r="CZ34" s="27">
        <f>IF($A34="",0,IF(Mitarbeiter!$G$32=FALSE,0,IF(AND(Mitarbeiter!$E$32&lt;&gt;"",CZ$5+6&lt;Mitarbeiter!$E$32),0,IF(AND(Mitarbeiter!$F$32&lt;&gt;"",CZ$5&gt;Mitarbeiter!$F$32),0,IF(Planung!CZ34="",$C34,IF(ISNUMBER(Planung!CZ34),Planung!CZ34,IF(UPPER(Planung!CZ34)="H",$C34/2,0)))))))</f>
        <v>0</v>
      </c>
      <c r="DA34" s="27">
        <f>IF($A34="",0,IF(Mitarbeiter!$G$32=FALSE,0,IF(AND(Mitarbeiter!$E$32&lt;&gt;"",DA$5+6&lt;Mitarbeiter!$E$32),0,IF(AND(Mitarbeiter!$F$32&lt;&gt;"",DA$5&gt;Mitarbeiter!$F$32),0,IF(Planung!DA34="",$C34,IF(ISNUMBER(Planung!DA34),Planung!DA34,IF(UPPER(Planung!DA34)="H",$C34/2,0)))))))</f>
        <v>0</v>
      </c>
      <c r="DB34" s="27">
        <f>IF($A34="",0,IF(Mitarbeiter!$G$32=FALSE,0,IF(AND(Mitarbeiter!$E$32&lt;&gt;"",DB$5+6&lt;Mitarbeiter!$E$32),0,IF(AND(Mitarbeiter!$F$32&lt;&gt;"",DB$5&gt;Mitarbeiter!$F$32),0,IF(Planung!DB34="",$C34,IF(ISNUMBER(Planung!DB34),Planung!DB34,IF(UPPER(Planung!DB34)="H",$C34/2,0)))))))</f>
        <v>0</v>
      </c>
      <c r="DC34" s="27">
        <f>IF($A34="",0,IF(Mitarbeiter!$G$32=FALSE,0,IF(AND(Mitarbeiter!$E$32&lt;&gt;"",DC$5+6&lt;Mitarbeiter!$E$32),0,IF(AND(Mitarbeiter!$F$32&lt;&gt;"",DC$5&gt;Mitarbeiter!$F$32),0,IF(Planung!DC34="",$C34,IF(ISNUMBER(Planung!DC34),Planung!DC34,IF(UPPER(Planung!DC34)="H",$C34/2,0)))))))</f>
        <v>0</v>
      </c>
      <c r="DD34" s="27">
        <f>IF($A34="",0,IF(Mitarbeiter!$G$32=FALSE,0,IF(AND(Mitarbeiter!$E$32&lt;&gt;"",DD$5+6&lt;Mitarbeiter!$E$32),0,IF(AND(Mitarbeiter!$F$32&lt;&gt;"",DD$5&gt;Mitarbeiter!$F$32),0,IF(Planung!DD34="",$C34,IF(ISNUMBER(Planung!DD34),Planung!DD34,IF(UPPER(Planung!DD34)="H",$C34/2,0)))))))</f>
        <v>0</v>
      </c>
      <c r="DE34" s="27">
        <f>IF($A34="",0,IF(Mitarbeiter!$G$32=FALSE,0,IF(AND(Mitarbeiter!$E$32&lt;&gt;"",DE$5+6&lt;Mitarbeiter!$E$32),0,IF(AND(Mitarbeiter!$F$32&lt;&gt;"",DE$5&gt;Mitarbeiter!$F$32),0,IF(Planung!DE34="",$C34,IF(ISNUMBER(Planung!DE34),Planung!DE34,IF(UPPER(Planung!DE34)="H",$C34/2,0)))))))</f>
        <v>0</v>
      </c>
      <c r="DF34" s="27">
        <f>IF($A34="",0,IF(Mitarbeiter!$G$32=FALSE,0,IF(AND(Mitarbeiter!$E$32&lt;&gt;"",DF$5+6&lt;Mitarbeiter!$E$32),0,IF(AND(Mitarbeiter!$F$32&lt;&gt;"",DF$5&gt;Mitarbeiter!$F$32),0,IF(Planung!DF34="",$C34,IF(ISNUMBER(Planung!DF34),Planung!DF34,IF(UPPER(Planung!DF34)="H",$C34/2,0)))))))</f>
        <v>0</v>
      </c>
      <c r="DG34" s="27">
        <f>IF($A34="",0,IF(Mitarbeiter!$G$32=FALSE,0,IF(AND(Mitarbeiter!$E$32&lt;&gt;"",DG$5+6&lt;Mitarbeiter!$E$32),0,IF(AND(Mitarbeiter!$F$32&lt;&gt;"",DG$5&gt;Mitarbeiter!$F$32),0,IF(Planung!DG34="",$C34,IF(ISNUMBER(Planung!DG34),Planung!DG34,IF(UPPER(Planung!DG34)="H",$C34/2,0)))))))</f>
        <v>0</v>
      </c>
      <c r="DH34" s="27">
        <f>IF($A34="",0,IF(Mitarbeiter!$G$32=FALSE,0,IF(AND(Mitarbeiter!$E$32&lt;&gt;"",DH$5+6&lt;Mitarbeiter!$E$32),0,IF(AND(Mitarbeiter!$F$32&lt;&gt;"",DH$5&gt;Mitarbeiter!$F$32),0,IF(Planung!DH34="",$C34,IF(ISNUMBER(Planung!DH34),Planung!DH34,IF(UPPER(Planung!DH34)="H",$C34/2,0)))))))</f>
        <v>0</v>
      </c>
      <c r="DI34" s="27">
        <f>IF($A34="",0,IF(Mitarbeiter!$G$32=FALSE,0,IF(AND(Mitarbeiter!$E$32&lt;&gt;"",DI$5+6&lt;Mitarbeiter!$E$32),0,IF(AND(Mitarbeiter!$F$32&lt;&gt;"",DI$5&gt;Mitarbeiter!$F$32),0,IF(Planung!DI34="",$C34,IF(ISNUMBER(Planung!DI34),Planung!DI34,IF(UPPER(Planung!DI34)="H",$C34/2,0)))))))</f>
        <v>0</v>
      </c>
      <c r="DJ34" s="27">
        <f>IF($A34="",0,IF(Mitarbeiter!$G$32=FALSE,0,IF(AND(Mitarbeiter!$E$32&lt;&gt;"",DJ$5+6&lt;Mitarbeiter!$E$32),0,IF(AND(Mitarbeiter!$F$32&lt;&gt;"",DJ$5&gt;Mitarbeiter!$F$32),0,IF(Planung!DJ34="",$C34,IF(ISNUMBER(Planung!DJ34),Planung!DJ34,IF(UPPER(Planung!DJ34)="H",$C34/2,0)))))))</f>
        <v>0</v>
      </c>
      <c r="DK34" s="27">
        <f>IF($A34="",0,IF(Mitarbeiter!$G$32=FALSE,0,IF(AND(Mitarbeiter!$E$32&lt;&gt;"",DK$5+6&lt;Mitarbeiter!$E$32),0,IF(AND(Mitarbeiter!$F$32&lt;&gt;"",DK$5&gt;Mitarbeiter!$F$32),0,IF(Planung!DK34="",$C34,IF(ISNUMBER(Planung!DK34),Planung!DK34,IF(UPPER(Planung!DK34)="H",$C34/2,0)))))))</f>
        <v>0</v>
      </c>
      <c r="DL34" s="27">
        <f>IF($A34="",0,IF(Mitarbeiter!$G$32=FALSE,0,IF(AND(Mitarbeiter!$E$32&lt;&gt;"",DL$5+6&lt;Mitarbeiter!$E$32),0,IF(AND(Mitarbeiter!$F$32&lt;&gt;"",DL$5&gt;Mitarbeiter!$F$32),0,IF(Planung!DL34="",$C34,IF(ISNUMBER(Planung!DL34),Planung!DL34,IF(UPPER(Planung!DL34)="H",$C34/2,0)))))))</f>
        <v>0</v>
      </c>
      <c r="DM34" s="27">
        <f>IF($A34="",0,IF(Mitarbeiter!$G$32=FALSE,0,IF(AND(Mitarbeiter!$E$32&lt;&gt;"",DM$5+6&lt;Mitarbeiter!$E$32),0,IF(AND(Mitarbeiter!$F$32&lt;&gt;"",DM$5&gt;Mitarbeiter!$F$32),0,IF(Planung!DM34="",$C34,IF(ISNUMBER(Planung!DM34),Planung!DM34,IF(UPPER(Planung!DM34)="H",$C34/2,0)))))))</f>
        <v>0</v>
      </c>
      <c r="DN34" s="27">
        <f>IF($A34="",0,IF(Mitarbeiter!$G$32=FALSE,0,IF(AND(Mitarbeiter!$E$32&lt;&gt;"",DN$5+6&lt;Mitarbeiter!$E$32),0,IF(AND(Mitarbeiter!$F$32&lt;&gt;"",DN$5&gt;Mitarbeiter!$F$32),0,IF(Planung!DN34="",$C34,IF(ISNUMBER(Planung!DN34),Planung!DN34,IF(UPPER(Planung!DN34)="H",$C34/2,0)))))))</f>
        <v>0</v>
      </c>
      <c r="DO34" s="27">
        <f>IF($A34="",0,IF(Mitarbeiter!$G$32=FALSE,0,IF(AND(Mitarbeiter!$E$32&lt;&gt;"",DO$5+6&lt;Mitarbeiter!$E$32),0,IF(AND(Mitarbeiter!$F$32&lt;&gt;"",DO$5&gt;Mitarbeiter!$F$32),0,IF(Planung!DO34="",$C34,IF(ISNUMBER(Planung!DO34),Planung!DO34,IF(UPPER(Planung!DO34)="H",$C34/2,0)))))))</f>
        <v>0</v>
      </c>
      <c r="DP34" s="27">
        <f>IF($A34="",0,IF(Mitarbeiter!$G$32=FALSE,0,IF(AND(Mitarbeiter!$E$32&lt;&gt;"",DP$5+6&lt;Mitarbeiter!$E$32),0,IF(AND(Mitarbeiter!$F$32&lt;&gt;"",DP$5&gt;Mitarbeiter!$F$32),0,IF(Planung!DP34="",$C34,IF(ISNUMBER(Planung!DP34),Planung!DP34,IF(UPPER(Planung!DP34)="H",$C34/2,0)))))))</f>
        <v>0</v>
      </c>
      <c r="DQ34" s="27">
        <f>IF($A34="",0,IF(Mitarbeiter!$G$32=FALSE,0,IF(AND(Mitarbeiter!$E$32&lt;&gt;"",DQ$5+6&lt;Mitarbeiter!$E$32),0,IF(AND(Mitarbeiter!$F$32&lt;&gt;"",DQ$5&gt;Mitarbeiter!$F$32),0,IF(Planung!DQ34="",$C34,IF(ISNUMBER(Planung!DQ34),Planung!DQ34,IF(UPPER(Planung!DQ34)="H",$C34/2,0)))))))</f>
        <v>0</v>
      </c>
      <c r="DR34" s="27">
        <f>IF($A34="",0,IF(Mitarbeiter!$G$32=FALSE,0,IF(AND(Mitarbeiter!$E$32&lt;&gt;"",DR$5+6&lt;Mitarbeiter!$E$32),0,IF(AND(Mitarbeiter!$F$32&lt;&gt;"",DR$5&gt;Mitarbeiter!$F$32),0,IF(Planung!DR34="",$C34,IF(ISNUMBER(Planung!DR34),Planung!DR34,IF(UPPER(Planung!DR34)="H",$C34/2,0)))))))</f>
        <v>0</v>
      </c>
      <c r="DS34" s="27">
        <f>IF($A34="",0,IF(Mitarbeiter!$G$32=FALSE,0,IF(AND(Mitarbeiter!$E$32&lt;&gt;"",DS$5+6&lt;Mitarbeiter!$E$32),0,IF(AND(Mitarbeiter!$F$32&lt;&gt;"",DS$5&gt;Mitarbeiter!$F$32),0,IF(Planung!DS34="",$C34,IF(ISNUMBER(Planung!DS34),Planung!DS34,IF(UPPER(Planung!DS34)="H",$C34/2,0)))))))</f>
        <v>0</v>
      </c>
      <c r="DT34" s="27">
        <f>IF($A34="",0,IF(Mitarbeiter!$G$32=FALSE,0,IF(AND(Mitarbeiter!$E$32&lt;&gt;"",DT$5+6&lt;Mitarbeiter!$E$32),0,IF(AND(Mitarbeiter!$F$32&lt;&gt;"",DT$5&gt;Mitarbeiter!$F$32),0,IF(Planung!DT34="",$C34,IF(ISNUMBER(Planung!DT34),Planung!DT34,IF(UPPER(Planung!DT34)="H",$C34/2,0)))))))</f>
        <v>0</v>
      </c>
      <c r="DU34" s="27">
        <f>IF($A34="",0,IF(Mitarbeiter!$G$32=FALSE,0,IF(AND(Mitarbeiter!$E$32&lt;&gt;"",DU$5+6&lt;Mitarbeiter!$E$32),0,IF(AND(Mitarbeiter!$F$32&lt;&gt;"",DU$5&gt;Mitarbeiter!$F$32),0,IF(Planung!DU34="",$C34,IF(ISNUMBER(Planung!DU34),Planung!DU34,IF(UPPER(Planung!DU34)="H",$C34/2,0)))))))</f>
        <v>0</v>
      </c>
      <c r="DV34" s="27">
        <f>IF($A34="",0,IF(Mitarbeiter!$G$32=FALSE,0,IF(AND(Mitarbeiter!$E$32&lt;&gt;"",DV$5+6&lt;Mitarbeiter!$E$32),0,IF(AND(Mitarbeiter!$F$32&lt;&gt;"",DV$5&gt;Mitarbeiter!$F$32),0,IF(Planung!DV34="",$C34,IF(ISNUMBER(Planung!DV34),Planung!DV34,IF(UPPER(Planung!DV34)="H",$C34/2,0)))))))</f>
        <v>0</v>
      </c>
      <c r="DW34" s="27">
        <f>IF($A34="",0,IF(Mitarbeiter!$G$32=FALSE,0,IF(AND(Mitarbeiter!$E$32&lt;&gt;"",DW$5+6&lt;Mitarbeiter!$E$32),0,IF(AND(Mitarbeiter!$F$32&lt;&gt;"",DW$5&gt;Mitarbeiter!$F$32),0,IF(Planung!DW34="",$C34,IF(ISNUMBER(Planung!DW34),Planung!DW34,IF(UPPER(Planung!DW34)="H",$C34/2,0)))))))</f>
        <v>0</v>
      </c>
      <c r="DX34" s="27">
        <f>IF($A34="",0,IF(Mitarbeiter!$G$32=FALSE,0,IF(AND(Mitarbeiter!$E$32&lt;&gt;"",DX$5+6&lt;Mitarbeiter!$E$32),0,IF(AND(Mitarbeiter!$F$32&lt;&gt;"",DX$5&gt;Mitarbeiter!$F$32),0,IF(Planung!DX34="",$C34,IF(ISNUMBER(Planung!DX34),Planung!DX34,IF(UPPER(Planung!DX34)="H",$C34/2,0)))))))</f>
        <v>0</v>
      </c>
      <c r="DY34" s="27">
        <f>IF($A34="",0,IF(Mitarbeiter!$G$32=FALSE,0,IF(AND(Mitarbeiter!$E$32&lt;&gt;"",DY$5+6&lt;Mitarbeiter!$E$32),0,IF(AND(Mitarbeiter!$F$32&lt;&gt;"",DY$5&gt;Mitarbeiter!$F$32),0,IF(Planung!DY34="",$C34,IF(ISNUMBER(Planung!DY34),Planung!DY34,IF(UPPER(Planung!DY34)="H",$C34/2,0)))))))</f>
        <v>0</v>
      </c>
      <c r="DZ34" s="27">
        <f>IF($A34="",0,IF(Mitarbeiter!$G$32=FALSE,0,IF(AND(Mitarbeiter!$E$32&lt;&gt;"",DZ$5+6&lt;Mitarbeiter!$E$32),0,IF(AND(Mitarbeiter!$F$32&lt;&gt;"",DZ$5&gt;Mitarbeiter!$F$32),0,IF(Planung!DZ34="",$C34,IF(ISNUMBER(Planung!DZ34),Planung!DZ34,IF(UPPER(Planung!DZ34)="H",$C34/2,0)))))))</f>
        <v>0</v>
      </c>
      <c r="EA34" s="27">
        <f>IF($A34="",0,IF(Mitarbeiter!$G$32=FALSE,0,IF(AND(Mitarbeiter!$E$32&lt;&gt;"",EA$5+6&lt;Mitarbeiter!$E$32),0,IF(AND(Mitarbeiter!$F$32&lt;&gt;"",EA$5&gt;Mitarbeiter!$F$32),0,IF(Planung!EA34="",$C34,IF(ISNUMBER(Planung!EA34),Planung!EA34,IF(UPPER(Planung!EA34)="H",$C34/2,0)))))))</f>
        <v>0</v>
      </c>
      <c r="EB34" s="27">
        <f>IF($A34="",0,IF(Mitarbeiter!$G$32=FALSE,0,IF(AND(Mitarbeiter!$E$32&lt;&gt;"",EB$5+6&lt;Mitarbeiter!$E$32),0,IF(AND(Mitarbeiter!$F$32&lt;&gt;"",EB$5&gt;Mitarbeiter!$F$32),0,IF(Planung!EB34="",$C34,IF(ISNUMBER(Planung!EB34),Planung!EB34,IF(UPPER(Planung!EB34)="H",$C34/2,0)))))))</f>
        <v>0</v>
      </c>
      <c r="EC34" s="27">
        <f>IF($A34="",0,IF(Mitarbeiter!$G$32=FALSE,0,IF(AND(Mitarbeiter!$E$32&lt;&gt;"",EC$5+6&lt;Mitarbeiter!$E$32),0,IF(AND(Mitarbeiter!$F$32&lt;&gt;"",EC$5&gt;Mitarbeiter!$F$32),0,IF(Planung!EC34="",$C34,IF(ISNUMBER(Planung!EC34),Planung!EC34,IF(UPPER(Planung!EC34)="H",$C34/2,0)))))))</f>
        <v>0</v>
      </c>
      <c r="ED34" s="27">
        <f>IF($A34="",0,IF(Mitarbeiter!$G$32=FALSE,0,IF(AND(Mitarbeiter!$E$32&lt;&gt;"",ED$5+6&lt;Mitarbeiter!$E$32),0,IF(AND(Mitarbeiter!$F$32&lt;&gt;"",ED$5&gt;Mitarbeiter!$F$32),0,IF(Planung!ED34="",$C34,IF(ISNUMBER(Planung!ED34),Planung!ED34,IF(UPPER(Planung!ED34)="H",$C34/2,0)))))))</f>
        <v>0</v>
      </c>
      <c r="EE34" s="27">
        <f>IF($A34="",0,IF(Mitarbeiter!$G$32=FALSE,0,IF(AND(Mitarbeiter!$E$32&lt;&gt;"",EE$5+6&lt;Mitarbeiter!$E$32),0,IF(AND(Mitarbeiter!$F$32&lt;&gt;"",EE$5&gt;Mitarbeiter!$F$32),0,IF(Planung!EE34="",$C34,IF(ISNUMBER(Planung!EE34),Planung!EE34,IF(UPPER(Planung!EE34)="H",$C34/2,0)))))))</f>
        <v>0</v>
      </c>
      <c r="EF34" s="27">
        <f>IF($A34="",0,IF(Mitarbeiter!$G$32=FALSE,0,IF(AND(Mitarbeiter!$E$32&lt;&gt;"",EF$5+6&lt;Mitarbeiter!$E$32),0,IF(AND(Mitarbeiter!$F$32&lt;&gt;"",EF$5&gt;Mitarbeiter!$F$32),0,IF(Planung!EF34="",$C34,IF(ISNUMBER(Planung!EF34),Planung!EF34,IF(UPPER(Planung!EF34)="H",$C34/2,0)))))))</f>
        <v>0</v>
      </c>
      <c r="EG34" s="27">
        <f>IF($A34="",0,IF(Mitarbeiter!$G$32=FALSE,0,IF(AND(Mitarbeiter!$E$32&lt;&gt;"",EG$5+6&lt;Mitarbeiter!$E$32),0,IF(AND(Mitarbeiter!$F$32&lt;&gt;"",EG$5&gt;Mitarbeiter!$F$32),0,IF(Planung!EG34="",$C34,IF(ISNUMBER(Planung!EG34),Planung!EG34,IF(UPPER(Planung!EG34)="H",$C34/2,0)))))))</f>
        <v>0</v>
      </c>
      <c r="EH34" s="27">
        <f>IF($A34="",0,IF(Mitarbeiter!$G$32=FALSE,0,IF(AND(Mitarbeiter!$E$32&lt;&gt;"",EH$5+6&lt;Mitarbeiter!$E$32),0,IF(AND(Mitarbeiter!$F$32&lt;&gt;"",EH$5&gt;Mitarbeiter!$F$32),0,IF(Planung!EH34="",$C34,IF(ISNUMBER(Planung!EH34),Planung!EH34,IF(UPPER(Planung!EH34)="H",$C34/2,0)))))))</f>
        <v>0</v>
      </c>
      <c r="EI34" s="27">
        <f>IF($A34="",0,IF(Mitarbeiter!$G$32=FALSE,0,IF(AND(Mitarbeiter!$E$32&lt;&gt;"",EI$5+6&lt;Mitarbeiter!$E$32),0,IF(AND(Mitarbeiter!$F$32&lt;&gt;"",EI$5&gt;Mitarbeiter!$F$32),0,IF(Planung!EI34="",$C34,IF(ISNUMBER(Planung!EI34),Planung!EI34,IF(UPPER(Planung!EI34)="H",$C34/2,0)))))))</f>
        <v>0</v>
      </c>
      <c r="EJ34" s="27">
        <f>IF($A34="",0,IF(Mitarbeiter!$G$32=FALSE,0,IF(AND(Mitarbeiter!$E$32&lt;&gt;"",EJ$5+6&lt;Mitarbeiter!$E$32),0,IF(AND(Mitarbeiter!$F$32&lt;&gt;"",EJ$5&gt;Mitarbeiter!$F$32),0,IF(Planung!EJ34="",$C34,IF(ISNUMBER(Planung!EJ34),Planung!EJ34,IF(UPPER(Planung!EJ34)="H",$C34/2,0)))))))</f>
        <v>0</v>
      </c>
      <c r="EK34" s="27">
        <f>IF($A34="",0,IF(Mitarbeiter!$G$32=FALSE,0,IF(AND(Mitarbeiter!$E$32&lt;&gt;"",EK$5+6&lt;Mitarbeiter!$E$32),0,IF(AND(Mitarbeiter!$F$32&lt;&gt;"",EK$5&gt;Mitarbeiter!$F$32),0,IF(Planung!EK34="",$C34,IF(ISNUMBER(Planung!EK34),Planung!EK34,IF(UPPER(Planung!EK34)="H",$C34/2,0)))))))</f>
        <v>0</v>
      </c>
      <c r="EL34" s="27">
        <f>IF($A34="",0,IF(Mitarbeiter!$G$32=FALSE,0,IF(AND(Mitarbeiter!$E$32&lt;&gt;"",EL$5+6&lt;Mitarbeiter!$E$32),0,IF(AND(Mitarbeiter!$F$32&lt;&gt;"",EL$5&gt;Mitarbeiter!$F$32),0,IF(Planung!EL34="",$C34,IF(ISNUMBER(Planung!EL34),Planung!EL34,IF(UPPER(Planung!EL34)="H",$C34/2,0)))))))</f>
        <v>0</v>
      </c>
      <c r="EM34" s="27">
        <f>IF($A34="",0,IF(Mitarbeiter!$G$32=FALSE,0,IF(AND(Mitarbeiter!$E$32&lt;&gt;"",EM$5+6&lt;Mitarbeiter!$E$32),0,IF(AND(Mitarbeiter!$F$32&lt;&gt;"",EM$5&gt;Mitarbeiter!$F$32),0,IF(Planung!EM34="",$C34,IF(ISNUMBER(Planung!EM34),Planung!EM34,IF(UPPER(Planung!EM34)="H",$C34/2,0)))))))</f>
        <v>0</v>
      </c>
      <c r="EN34" s="27">
        <f>IF($A34="",0,IF(Mitarbeiter!$G$32=FALSE,0,IF(AND(Mitarbeiter!$E$32&lt;&gt;"",EN$5+6&lt;Mitarbeiter!$E$32),0,IF(AND(Mitarbeiter!$F$32&lt;&gt;"",EN$5&gt;Mitarbeiter!$F$32),0,IF(Planung!EN34="",$C34,IF(ISNUMBER(Planung!EN34),Planung!EN34,IF(UPPER(Planung!EN34)="H",$C34/2,0)))))))</f>
        <v>0</v>
      </c>
      <c r="EO34" s="27">
        <f>IF($A34="",0,IF(Mitarbeiter!$G$32=FALSE,0,IF(AND(Mitarbeiter!$E$32&lt;&gt;"",EO$5+6&lt;Mitarbeiter!$E$32),0,IF(AND(Mitarbeiter!$F$32&lt;&gt;"",EO$5&gt;Mitarbeiter!$F$32),0,IF(Planung!EO34="",$C34,IF(ISNUMBER(Planung!EO34),Planung!EO34,IF(UPPER(Planung!EO34)="H",$C34/2,0)))))))</f>
        <v>0</v>
      </c>
      <c r="EP34" s="27">
        <f>IF($A34="",0,IF(Mitarbeiter!$G$32=FALSE,0,IF(AND(Mitarbeiter!$E$32&lt;&gt;"",EP$5+6&lt;Mitarbeiter!$E$32),0,IF(AND(Mitarbeiter!$F$32&lt;&gt;"",EP$5&gt;Mitarbeiter!$F$32),0,IF(Planung!EP34="",$C34,IF(ISNUMBER(Planung!EP34),Planung!EP34,IF(UPPER(Planung!EP34)="H",$C34/2,0)))))))</f>
        <v>0</v>
      </c>
      <c r="EQ34" s="27">
        <f>IF($A34="",0,IF(Mitarbeiter!$G$32=FALSE,0,IF(AND(Mitarbeiter!$E$32&lt;&gt;"",EQ$5+6&lt;Mitarbeiter!$E$32),0,IF(AND(Mitarbeiter!$F$32&lt;&gt;"",EQ$5&gt;Mitarbeiter!$F$32),0,IF(Planung!EQ34="",$C34,IF(ISNUMBER(Planung!EQ34),Planung!EQ34,IF(UPPER(Planung!EQ34)="H",$C34/2,0)))))))</f>
        <v>0</v>
      </c>
      <c r="ER34" s="27">
        <f>IF($A34="",0,IF(Mitarbeiter!$G$32=FALSE,0,IF(AND(Mitarbeiter!$E$32&lt;&gt;"",ER$5+6&lt;Mitarbeiter!$E$32),0,IF(AND(Mitarbeiter!$F$32&lt;&gt;"",ER$5&gt;Mitarbeiter!$F$32),0,IF(Planung!ER34="",$C34,IF(ISNUMBER(Planung!ER34),Planung!ER34,IF(UPPER(Planung!ER34)="H",$C34/2,0)))))))</f>
        <v>0</v>
      </c>
      <c r="ES34" s="27">
        <f>IF($A34="",0,IF(Mitarbeiter!$G$32=FALSE,0,IF(AND(Mitarbeiter!$E$32&lt;&gt;"",ES$5+6&lt;Mitarbeiter!$E$32),0,IF(AND(Mitarbeiter!$F$32&lt;&gt;"",ES$5&gt;Mitarbeiter!$F$32),0,IF(Planung!ES34="",$C34,IF(ISNUMBER(Planung!ES34),Planung!ES34,IF(UPPER(Planung!ES34)="H",$C34/2,0)))))))</f>
        <v>0</v>
      </c>
      <c r="ET34" s="27">
        <f>IF($A34="",0,IF(Mitarbeiter!$G$32=FALSE,0,IF(AND(Mitarbeiter!$E$32&lt;&gt;"",ET$5+6&lt;Mitarbeiter!$E$32),0,IF(AND(Mitarbeiter!$F$32&lt;&gt;"",ET$5&gt;Mitarbeiter!$F$32),0,IF(Planung!ET34="",$C34,IF(ISNUMBER(Planung!ET34),Planung!ET34,IF(UPPER(Planung!ET34)="H",$C34/2,0)))))))</f>
        <v>0</v>
      </c>
      <c r="EU34" s="27">
        <f>IF($A34="",0,IF(Mitarbeiter!$G$32=FALSE,0,IF(AND(Mitarbeiter!$E$32&lt;&gt;"",EU$5+6&lt;Mitarbeiter!$E$32),0,IF(AND(Mitarbeiter!$F$32&lt;&gt;"",EU$5&gt;Mitarbeiter!$F$32),0,IF(Planung!EU34="",$C34,IF(ISNUMBER(Planung!EU34),Planung!EU34,IF(UPPER(Planung!EU34)="H",$C34/2,0)))))))</f>
        <v>0</v>
      </c>
      <c r="EV34" s="27">
        <f>IF($A34="",0,IF(Mitarbeiter!$G$32=FALSE,0,IF(AND(Mitarbeiter!$E$32&lt;&gt;"",EV$5+6&lt;Mitarbeiter!$E$32),0,IF(AND(Mitarbeiter!$F$32&lt;&gt;"",EV$5&gt;Mitarbeiter!$F$32),0,IF(Planung!EV34="",$C34,IF(ISNUMBER(Planung!EV34),Planung!EV34,IF(UPPER(Planung!EV34)="H",$C34/2,0)))))))</f>
        <v>0</v>
      </c>
      <c r="EW34" s="27">
        <f>IF($A34="",0,IF(Mitarbeiter!$G$32=FALSE,0,IF(AND(Mitarbeiter!$E$32&lt;&gt;"",EW$5+6&lt;Mitarbeiter!$E$32),0,IF(AND(Mitarbeiter!$F$32&lt;&gt;"",EW$5&gt;Mitarbeiter!$F$32),0,IF(Planung!EW34="",$C34,IF(ISNUMBER(Planung!EW34),Planung!EW34,IF(UPPER(Planung!EW34)="H",$C34/2,0)))))))</f>
        <v>0</v>
      </c>
      <c r="EX34" s="27">
        <f>IF($A34="",0,IF(Mitarbeiter!$G$32=FALSE,0,IF(AND(Mitarbeiter!$E$32&lt;&gt;"",EX$5+6&lt;Mitarbeiter!$E$32),0,IF(AND(Mitarbeiter!$F$32&lt;&gt;"",EX$5&gt;Mitarbeiter!$F$32),0,IF(Planung!EX34="",$C34,IF(ISNUMBER(Planung!EX34),Planung!EX34,IF(UPPER(Planung!EX34)="H",$C34/2,0)))))))</f>
        <v>0</v>
      </c>
      <c r="EY34" s="27">
        <f>IF($A34="",0,IF(Mitarbeiter!$G$32=FALSE,0,IF(AND(Mitarbeiter!$E$32&lt;&gt;"",EY$5+6&lt;Mitarbeiter!$E$32),0,IF(AND(Mitarbeiter!$F$32&lt;&gt;"",EY$5&gt;Mitarbeiter!$F$32),0,IF(Planung!EY34="",$C34,IF(ISNUMBER(Planung!EY34),Planung!EY34,IF(UPPER(Planung!EY34)="H",$C34/2,0)))))))</f>
        <v>0</v>
      </c>
      <c r="EZ34" s="27">
        <f>IF($A34="",0,IF(Mitarbeiter!$G$32=FALSE,0,IF(AND(Mitarbeiter!$E$32&lt;&gt;"",EZ$5+6&lt;Mitarbeiter!$E$32),0,IF(AND(Mitarbeiter!$F$32&lt;&gt;"",EZ$5&gt;Mitarbeiter!$F$32),0,IF(Planung!EZ34="",$C34,IF(ISNUMBER(Planung!EZ34),Planung!EZ34,IF(UPPER(Planung!EZ34)="H",$C34/2,0)))))))</f>
        <v>0</v>
      </c>
      <c r="FA34" s="27">
        <f>IF($A34="",0,IF(Mitarbeiter!$G$32=FALSE,0,IF(AND(Mitarbeiter!$E$32&lt;&gt;"",FA$5+6&lt;Mitarbeiter!$E$32),0,IF(AND(Mitarbeiter!$F$32&lt;&gt;"",FA$5&gt;Mitarbeiter!$F$32),0,IF(Planung!FA34="",$C34,IF(ISNUMBER(Planung!FA34),Planung!FA34,IF(UPPER(Planung!FA34)="H",$C34/2,0)))))))</f>
        <v>0</v>
      </c>
      <c r="FB34" s="27">
        <f>IF($A34="",0,IF(Mitarbeiter!$G$32=FALSE,0,IF(AND(Mitarbeiter!$E$32&lt;&gt;"",FB$5+6&lt;Mitarbeiter!$E$32),0,IF(AND(Mitarbeiter!$F$32&lt;&gt;"",FB$5&gt;Mitarbeiter!$F$32),0,IF(Planung!FB34="",$C34,IF(ISNUMBER(Planung!FB34),Planung!FB34,IF(UPPER(Planung!FB34)="H",$C34/2,0)))))))</f>
        <v>0</v>
      </c>
      <c r="FC34" s="27">
        <f>IF($A34="",0,IF(Mitarbeiter!$G$32=FALSE,0,IF(AND(Mitarbeiter!$E$32&lt;&gt;"",FC$5+6&lt;Mitarbeiter!$E$32),0,IF(AND(Mitarbeiter!$F$32&lt;&gt;"",FC$5&gt;Mitarbeiter!$F$32),0,IF(Planung!FC34="",$C34,IF(ISNUMBER(Planung!FC34),Planung!FC34,IF(UPPER(Planung!FC34)="H",$C34/2,0)))))))</f>
        <v>0</v>
      </c>
      <c r="FD34" s="27">
        <f>IF($A34="",0,IF(Mitarbeiter!$G$32=FALSE,0,IF(AND(Mitarbeiter!$E$32&lt;&gt;"",FD$5+6&lt;Mitarbeiter!$E$32),0,IF(AND(Mitarbeiter!$F$32&lt;&gt;"",FD$5&gt;Mitarbeiter!$F$32),0,IF(Planung!FD34="",$C34,IF(ISNUMBER(Planung!FD34),Planung!FD34,IF(UPPER(Planung!FD34)="H",$C34/2,0)))))))</f>
        <v>0</v>
      </c>
      <c r="FE34" s="27">
        <f>IF($A34="",0,IF(Mitarbeiter!$G$32=FALSE,0,IF(AND(Mitarbeiter!$E$32&lt;&gt;"",FE$5+6&lt;Mitarbeiter!$E$32),0,IF(AND(Mitarbeiter!$F$32&lt;&gt;"",FE$5&gt;Mitarbeiter!$F$32),0,IF(Planung!FE34="",$C34,IF(ISNUMBER(Planung!FE34),Planung!FE34,IF(UPPER(Planung!FE34)="H",$C34/2,0)))))))</f>
        <v>0</v>
      </c>
      <c r="FF34" s="27">
        <f>IF($A34="",0,IF(Mitarbeiter!$G$32=FALSE,0,IF(AND(Mitarbeiter!$E$32&lt;&gt;"",FF$5+6&lt;Mitarbeiter!$E$32),0,IF(AND(Mitarbeiter!$F$32&lt;&gt;"",FF$5&gt;Mitarbeiter!$F$32),0,IF(Planung!FF34="",$C34,IF(ISNUMBER(Planung!FF34),Planung!FF34,IF(UPPER(Planung!FF34)="H",$C34/2,0)))))))</f>
        <v>0</v>
      </c>
      <c r="FG34" s="27">
        <f>IF($A34="",0,IF(Mitarbeiter!$G$32=FALSE,0,IF(AND(Mitarbeiter!$E$32&lt;&gt;"",FG$5+6&lt;Mitarbeiter!$E$32),0,IF(AND(Mitarbeiter!$F$32&lt;&gt;"",FG$5&gt;Mitarbeiter!$F$32),0,IF(Planung!FG34="",$C34,IF(ISNUMBER(Planung!FG34),Planung!FG34,IF(UPPER(Planung!FG34)="H",$C34/2,0)))))))</f>
        <v>0</v>
      </c>
      <c r="FH34" s="27">
        <f>IF($A34="",0,IF(Mitarbeiter!$G$32=FALSE,0,IF(AND(Mitarbeiter!$E$32&lt;&gt;"",FH$5+6&lt;Mitarbeiter!$E$32),0,IF(AND(Mitarbeiter!$F$32&lt;&gt;"",FH$5&gt;Mitarbeiter!$F$32),0,IF(Planung!FH34="",$C34,IF(ISNUMBER(Planung!FH34),Planung!FH34,IF(UPPER(Planung!FH34)="H",$C34/2,0)))))))</f>
        <v>0</v>
      </c>
      <c r="FI34" s="27">
        <f>IF($A34="",0,IF(Mitarbeiter!$G$32=FALSE,0,IF(AND(Mitarbeiter!$E$32&lt;&gt;"",FI$5+6&lt;Mitarbeiter!$E$32),0,IF(AND(Mitarbeiter!$F$32&lt;&gt;"",FI$5&gt;Mitarbeiter!$F$32),0,IF(Planung!FI34="",$C34,IF(ISNUMBER(Planung!FI34),Planung!FI34,IF(UPPER(Planung!FI34)="H",$C34/2,0)))))))</f>
        <v>0</v>
      </c>
      <c r="FJ34" s="27">
        <f>IF($A34="",0,IF(Mitarbeiter!$G$32=FALSE,0,IF(AND(Mitarbeiter!$E$32&lt;&gt;"",FJ$5+6&lt;Mitarbeiter!$E$32),0,IF(AND(Mitarbeiter!$F$32&lt;&gt;"",FJ$5&gt;Mitarbeiter!$F$32),0,IF(Planung!FJ34="",$C34,IF(ISNUMBER(Planung!FJ34),Planung!FJ34,IF(UPPER(Planung!FJ34)="H",$C34/2,0)))))))</f>
        <v>0</v>
      </c>
      <c r="FK34" s="27">
        <f>IF($A34="",0,IF(Mitarbeiter!$G$32=FALSE,0,IF(AND(Mitarbeiter!$E$32&lt;&gt;"",FK$5+6&lt;Mitarbeiter!$E$32),0,IF(AND(Mitarbeiter!$F$32&lt;&gt;"",FK$5&gt;Mitarbeiter!$F$32),0,IF(Planung!FK34="",$C34,IF(ISNUMBER(Planung!FK34),Planung!FK34,IF(UPPER(Planung!FK34)="H",$C34/2,0)))))))</f>
        <v>0</v>
      </c>
      <c r="FL34" s="27">
        <f>IF($A34="",0,IF(Mitarbeiter!$G$32=FALSE,0,IF(AND(Mitarbeiter!$E$32&lt;&gt;"",FL$5+6&lt;Mitarbeiter!$E$32),0,IF(AND(Mitarbeiter!$F$32&lt;&gt;"",FL$5&gt;Mitarbeiter!$F$32),0,IF(Planung!FL34="",$C34,IF(ISNUMBER(Planung!FL34),Planung!FL34,IF(UPPER(Planung!FL34)="H",$C34/2,0)))))))</f>
        <v>0</v>
      </c>
      <c r="FM34" s="27">
        <f>IF($A34="",0,IF(Mitarbeiter!$G$32=FALSE,0,IF(AND(Mitarbeiter!$E$32&lt;&gt;"",FM$5+6&lt;Mitarbeiter!$E$32),0,IF(AND(Mitarbeiter!$F$32&lt;&gt;"",FM$5&gt;Mitarbeiter!$F$32),0,IF(Planung!FM34="",$C34,IF(ISNUMBER(Planung!FM34),Planung!FM34,IF(UPPER(Planung!FM34)="H",$C34/2,0)))))))</f>
        <v>0</v>
      </c>
      <c r="FN34" s="27">
        <f>IF($A34="",0,IF(Mitarbeiter!$G$32=FALSE,0,IF(AND(Mitarbeiter!$E$32&lt;&gt;"",FN$5+6&lt;Mitarbeiter!$E$32),0,IF(AND(Mitarbeiter!$F$32&lt;&gt;"",FN$5&gt;Mitarbeiter!$F$32),0,IF(Planung!FN34="",$C34,IF(ISNUMBER(Planung!FN34),Planung!FN34,IF(UPPER(Planung!FN34)="H",$C34/2,0)))))))</f>
        <v>0</v>
      </c>
      <c r="FO34" s="27">
        <f>IF($A34="",0,IF(Mitarbeiter!$G$32=FALSE,0,IF(AND(Mitarbeiter!$E$32&lt;&gt;"",FO$5+6&lt;Mitarbeiter!$E$32),0,IF(AND(Mitarbeiter!$F$32&lt;&gt;"",FO$5&gt;Mitarbeiter!$F$32),0,IF(Planung!FO34="",$C34,IF(ISNUMBER(Planung!FO34),Planung!FO34,IF(UPPER(Planung!FO34)="H",$C34/2,0)))))))</f>
        <v>0</v>
      </c>
      <c r="FP34" s="27">
        <f>IF($A34="",0,IF(Mitarbeiter!$G$32=FALSE,0,IF(AND(Mitarbeiter!$E$32&lt;&gt;"",FP$5+6&lt;Mitarbeiter!$E$32),0,IF(AND(Mitarbeiter!$F$32&lt;&gt;"",FP$5&gt;Mitarbeiter!$F$32),0,IF(Planung!FP34="",$C34,IF(ISNUMBER(Planung!FP34),Planung!FP34,IF(UPPER(Planung!FP34)="H",$C34/2,0)))))))</f>
        <v>0</v>
      </c>
      <c r="FQ34" s="27">
        <f>IF($A34="",0,IF(Mitarbeiter!$G$32=FALSE,0,IF(AND(Mitarbeiter!$E$32&lt;&gt;"",FQ$5+6&lt;Mitarbeiter!$E$32),0,IF(AND(Mitarbeiter!$F$32&lt;&gt;"",FQ$5&gt;Mitarbeiter!$F$32),0,IF(Planung!FQ34="",$C34,IF(ISNUMBER(Planung!FQ34),Planung!FQ34,IF(UPPER(Planung!FQ34)="H",$C34/2,0)))))))</f>
        <v>0</v>
      </c>
      <c r="FR34" s="27">
        <f>IF($A34="",0,IF(Mitarbeiter!$G$32=FALSE,0,IF(AND(Mitarbeiter!$E$32&lt;&gt;"",FR$5+6&lt;Mitarbeiter!$E$32),0,IF(AND(Mitarbeiter!$F$32&lt;&gt;"",FR$5&gt;Mitarbeiter!$F$32),0,IF(Planung!FR34="",$C34,IF(ISNUMBER(Planung!FR34),Planung!FR34,IF(UPPER(Planung!FR34)="H",$C34/2,0)))))))</f>
        <v>0</v>
      </c>
      <c r="FS34" s="27">
        <f>IF($A34="",0,IF(Mitarbeiter!$G$32=FALSE,0,IF(AND(Mitarbeiter!$E$32&lt;&gt;"",FS$5+6&lt;Mitarbeiter!$E$32),0,IF(AND(Mitarbeiter!$F$32&lt;&gt;"",FS$5&gt;Mitarbeiter!$F$32),0,IF(Planung!FS34="",$C34,IF(ISNUMBER(Planung!FS34),Planung!FS34,IF(UPPER(Planung!FS34)="H",$C34/2,0)))))))</f>
        <v>0</v>
      </c>
      <c r="FT34" s="27">
        <f>IF($A34="",0,IF(Mitarbeiter!$G$32=FALSE,0,IF(AND(Mitarbeiter!$E$32&lt;&gt;"",FT$5+6&lt;Mitarbeiter!$E$32),0,IF(AND(Mitarbeiter!$F$32&lt;&gt;"",FT$5&gt;Mitarbeiter!$F$32),0,IF(Planung!FT34="",$C34,IF(ISNUMBER(Planung!FT34),Planung!FT34,IF(UPPER(Planung!FT34)="H",$C34/2,0)))))))</f>
        <v>0</v>
      </c>
      <c r="FU34" s="27">
        <f>IF($A34="",0,IF(Mitarbeiter!$G$32=FALSE,0,IF(AND(Mitarbeiter!$E$32&lt;&gt;"",FU$5+6&lt;Mitarbeiter!$E$32),0,IF(AND(Mitarbeiter!$F$32&lt;&gt;"",FU$5&gt;Mitarbeiter!$F$32),0,IF(Planung!FU34="",$C34,IF(ISNUMBER(Planung!FU34),Planung!FU34,IF(UPPER(Planung!FU34)="H",$C34/2,0)))))))</f>
        <v>0</v>
      </c>
      <c r="FV34" s="27">
        <f>IF($A34="",0,IF(Mitarbeiter!$G$32=FALSE,0,IF(AND(Mitarbeiter!$E$32&lt;&gt;"",FV$5+6&lt;Mitarbeiter!$E$32),0,IF(AND(Mitarbeiter!$F$32&lt;&gt;"",FV$5&gt;Mitarbeiter!$F$32),0,IF(Planung!FV34="",$C34,IF(ISNUMBER(Planung!FV34),Planung!FV34,IF(UPPER(Planung!FV34)="H",$C34/2,0)))))))</f>
        <v>0</v>
      </c>
      <c r="FW34" s="27">
        <f>IF($A34="",0,IF(Mitarbeiter!$G$32=FALSE,0,IF(AND(Mitarbeiter!$E$32&lt;&gt;"",FW$5+6&lt;Mitarbeiter!$E$32),0,IF(AND(Mitarbeiter!$F$32&lt;&gt;"",FW$5&gt;Mitarbeiter!$F$32),0,IF(Planung!FW34="",$C34,IF(ISNUMBER(Planung!FW34),Planung!FW34,IF(UPPER(Planung!FW34)="H",$C34/2,0)))))))</f>
        <v>0</v>
      </c>
      <c r="FX34" s="27">
        <f>IF($A34="",0,IF(Mitarbeiter!$G$32=FALSE,0,IF(AND(Mitarbeiter!$E$32&lt;&gt;"",FX$5+6&lt;Mitarbeiter!$E$32),0,IF(AND(Mitarbeiter!$F$32&lt;&gt;"",FX$5&gt;Mitarbeiter!$F$32),0,IF(Planung!FX34="",$C34,IF(ISNUMBER(Planung!FX34),Planung!FX34,IF(UPPER(Planung!FX34)="H",$C34/2,0)))))))</f>
        <v>0</v>
      </c>
      <c r="FY34" s="27">
        <f>IF($A34="",0,IF(Mitarbeiter!$G$32=FALSE,0,IF(AND(Mitarbeiter!$E$32&lt;&gt;"",FY$5+6&lt;Mitarbeiter!$E$32),0,IF(AND(Mitarbeiter!$F$32&lt;&gt;"",FY$5&gt;Mitarbeiter!$F$32),0,IF(Planung!FY34="",$C34,IF(ISNUMBER(Planung!FY34),Planung!FY34,IF(UPPER(Planung!FY34)="H",$C34/2,0)))))))</f>
        <v>0</v>
      </c>
      <c r="FZ34" s="27">
        <f>IF($A34="",0,IF(Mitarbeiter!$G$32=FALSE,0,IF(AND(Mitarbeiter!$E$32&lt;&gt;"",FZ$5+6&lt;Mitarbeiter!$E$32),0,IF(AND(Mitarbeiter!$F$32&lt;&gt;"",FZ$5&gt;Mitarbeiter!$F$32),0,IF(Planung!FZ34="",$C34,IF(ISNUMBER(Planung!FZ34),Planung!FZ34,IF(UPPER(Planung!FZ34)="H",$C34/2,0)))))))</f>
        <v>0</v>
      </c>
      <c r="GA34" s="27">
        <f>IF($A34="",0,IF(Mitarbeiter!$G$32=FALSE,0,IF(AND(Mitarbeiter!$E$32&lt;&gt;"",GA$5+6&lt;Mitarbeiter!$E$32),0,IF(AND(Mitarbeiter!$F$32&lt;&gt;"",GA$5&gt;Mitarbeiter!$F$32),0,IF(Planung!GA34="",$C34,IF(ISNUMBER(Planung!GA34),Planung!GA34,IF(UPPER(Planung!GA34)="H",$C34/2,0)))))))</f>
        <v>0</v>
      </c>
      <c r="GB34" s="27">
        <f>IF($A34="",0,IF(Mitarbeiter!$G$32=FALSE,0,IF(AND(Mitarbeiter!$E$32&lt;&gt;"",GB$5+6&lt;Mitarbeiter!$E$32),0,IF(AND(Mitarbeiter!$F$32&lt;&gt;"",GB$5&gt;Mitarbeiter!$F$32),0,IF(Planung!GB34="",$C34,IF(ISNUMBER(Planung!GB34),Planung!GB34,IF(UPPER(Planung!GB34)="H",$C34/2,0)))))))</f>
        <v>0</v>
      </c>
      <c r="GC34" s="27">
        <f>IF($A34="",0,IF(Mitarbeiter!$G$32=FALSE,0,IF(AND(Mitarbeiter!$E$32&lt;&gt;"",GC$5+6&lt;Mitarbeiter!$E$32),0,IF(AND(Mitarbeiter!$F$32&lt;&gt;"",GC$5&gt;Mitarbeiter!$F$32),0,IF(Planung!GC34="",$C34,IF(ISNUMBER(Planung!GC34),Planung!GC34,IF(UPPER(Planung!GC34)="H",$C34/2,0)))))))</f>
        <v>0</v>
      </c>
      <c r="GD34" s="27">
        <f>IF($A34="",0,IF(Mitarbeiter!$G$32=FALSE,0,IF(AND(Mitarbeiter!$E$32&lt;&gt;"",GD$5+6&lt;Mitarbeiter!$E$32),0,IF(AND(Mitarbeiter!$F$32&lt;&gt;"",GD$5&gt;Mitarbeiter!$F$32),0,IF(Planung!GD34="",$C34,IF(ISNUMBER(Planung!GD34),Planung!GD34,IF(UPPER(Planung!GD34)="H",$C34/2,0)))))))</f>
        <v>0</v>
      </c>
      <c r="GE34" s="27">
        <f>IF($A34="",0,IF(Mitarbeiter!$G$32=FALSE,0,IF(AND(Mitarbeiter!$E$32&lt;&gt;"",GE$5+6&lt;Mitarbeiter!$E$32),0,IF(AND(Mitarbeiter!$F$32&lt;&gt;"",GE$5&gt;Mitarbeiter!$F$32),0,IF(Planung!GE34="",$C34,IF(ISNUMBER(Planung!GE34),Planung!GE34,IF(UPPER(Planung!GE34)="H",$C34/2,0)))))))</f>
        <v>0</v>
      </c>
      <c r="GF34" s="27">
        <f>IF($A34="",0,IF(Mitarbeiter!$G$32=FALSE,0,IF(AND(Mitarbeiter!$E$32&lt;&gt;"",GF$5+6&lt;Mitarbeiter!$E$32),0,IF(AND(Mitarbeiter!$F$32&lt;&gt;"",GF$5&gt;Mitarbeiter!$F$32),0,IF(Planung!GF34="",$C34,IF(ISNUMBER(Planung!GF34),Planung!GF34,IF(UPPER(Planung!GF34)="H",$C34/2,0)))))))</f>
        <v>0</v>
      </c>
      <c r="GG34" s="27">
        <f>IF($A34="",0,IF(Mitarbeiter!$G$32=FALSE,0,IF(AND(Mitarbeiter!$E$32&lt;&gt;"",GG$5+6&lt;Mitarbeiter!$E$32),0,IF(AND(Mitarbeiter!$F$32&lt;&gt;"",GG$5&gt;Mitarbeiter!$F$32),0,IF(Planung!GG34="",$C34,IF(ISNUMBER(Planung!GG34),Planung!GG34,IF(UPPER(Planung!GG34)="H",$C34/2,0)))))))</f>
        <v>0</v>
      </c>
      <c r="GH34" s="27">
        <f>IF($A34="",0,IF(Mitarbeiter!$G$32=FALSE,0,IF(AND(Mitarbeiter!$E$32&lt;&gt;"",GH$5+6&lt;Mitarbeiter!$E$32),0,IF(AND(Mitarbeiter!$F$32&lt;&gt;"",GH$5&gt;Mitarbeiter!$F$32),0,IF(Planung!GH34="",$C34,IF(ISNUMBER(Planung!GH34),Planung!GH34,IF(UPPER(Planung!GH34)="H",$C34/2,0)))))))</f>
        <v>0</v>
      </c>
      <c r="GI34" s="27">
        <f>IF($A34="",0,IF(Mitarbeiter!$G$32=FALSE,0,IF(AND(Mitarbeiter!$E$32&lt;&gt;"",GI$5+6&lt;Mitarbeiter!$E$32),0,IF(AND(Mitarbeiter!$F$32&lt;&gt;"",GI$5&gt;Mitarbeiter!$F$32),0,IF(Planung!GI34="",$C34,IF(ISNUMBER(Planung!GI34),Planung!GI34,IF(UPPER(Planung!GI34)="H",$C34/2,0)))))))</f>
        <v>0</v>
      </c>
      <c r="GJ34" s="27">
        <f>IF($A34="",0,IF(Mitarbeiter!$G$32=FALSE,0,IF(AND(Mitarbeiter!$E$32&lt;&gt;"",GJ$5+6&lt;Mitarbeiter!$E$32),0,IF(AND(Mitarbeiter!$F$32&lt;&gt;"",GJ$5&gt;Mitarbeiter!$F$32),0,IF(Planung!GJ34="",$C34,IF(ISNUMBER(Planung!GJ34),Planung!GJ34,IF(UPPER(Planung!GJ34)="H",$C34/2,0)))))))</f>
        <v>0</v>
      </c>
      <c r="GK34" s="27">
        <f>IF($A34="",0,IF(Mitarbeiter!$G$32=FALSE,0,IF(AND(Mitarbeiter!$E$32&lt;&gt;"",GK$5+6&lt;Mitarbeiter!$E$32),0,IF(AND(Mitarbeiter!$F$32&lt;&gt;"",GK$5&gt;Mitarbeiter!$F$32),0,IF(Planung!GK34="",$C34,IF(ISNUMBER(Planung!GK34),Planung!GK34,IF(UPPER(Planung!GK34)="H",$C34/2,0)))))))</f>
        <v>0</v>
      </c>
      <c r="GL34" s="27">
        <f>IF($A34="",0,IF(Mitarbeiter!$G$32=FALSE,0,IF(AND(Mitarbeiter!$E$32&lt;&gt;"",GL$5+6&lt;Mitarbeiter!$E$32),0,IF(AND(Mitarbeiter!$F$32&lt;&gt;"",GL$5&gt;Mitarbeiter!$F$32),0,IF(Planung!GL34="",$C34,IF(ISNUMBER(Planung!GL34),Planung!GL34,IF(UPPER(Planung!GL34)="H",$C34/2,0)))))))</f>
        <v>0</v>
      </c>
      <c r="GM34" s="27">
        <f>IF($A34="",0,IF(Mitarbeiter!$G$32=FALSE,0,IF(AND(Mitarbeiter!$E$32&lt;&gt;"",GM$5+6&lt;Mitarbeiter!$E$32),0,IF(AND(Mitarbeiter!$F$32&lt;&gt;"",GM$5&gt;Mitarbeiter!$F$32),0,IF(Planung!GM34="",$C34,IF(ISNUMBER(Planung!GM34),Planung!GM34,IF(UPPER(Planung!GM34)="H",$C34/2,0)))))))</f>
        <v>0</v>
      </c>
      <c r="GN34" s="27">
        <f>IF($A34="",0,IF(Mitarbeiter!$G$32=FALSE,0,IF(AND(Mitarbeiter!$E$32&lt;&gt;"",GN$5+6&lt;Mitarbeiter!$E$32),0,IF(AND(Mitarbeiter!$F$32&lt;&gt;"",GN$5&gt;Mitarbeiter!$F$32),0,IF(Planung!GN34="",$C34,IF(ISNUMBER(Planung!GN34),Planung!GN34,IF(UPPER(Planung!GN34)="H",$C34/2,0)))))))</f>
        <v>0</v>
      </c>
      <c r="GO34" s="27">
        <f>IF($A34="",0,IF(Mitarbeiter!$G$32=FALSE,0,IF(AND(Mitarbeiter!$E$32&lt;&gt;"",GO$5+6&lt;Mitarbeiter!$E$32),0,IF(AND(Mitarbeiter!$F$32&lt;&gt;"",GO$5&gt;Mitarbeiter!$F$32),0,IF(Planung!GO34="",$C34,IF(ISNUMBER(Planung!GO34),Planung!GO34,IF(UPPER(Planung!GO34)="H",$C34/2,0)))))))</f>
        <v>0</v>
      </c>
      <c r="GP34" s="27">
        <f>IF($A34="",0,IF(Mitarbeiter!$G$32=FALSE,0,IF(AND(Mitarbeiter!$E$32&lt;&gt;"",GP$5+6&lt;Mitarbeiter!$E$32),0,IF(AND(Mitarbeiter!$F$32&lt;&gt;"",GP$5&gt;Mitarbeiter!$F$32),0,IF(Planung!GP34="",$C34,IF(ISNUMBER(Planung!GP34),Planung!GP34,IF(UPPER(Planung!GP34)="H",$C34/2,0)))))))</f>
        <v>0</v>
      </c>
      <c r="GQ34" s="27">
        <f>IF($A34="",0,IF(Mitarbeiter!$G$32=FALSE,0,IF(AND(Mitarbeiter!$E$32&lt;&gt;"",GQ$5+6&lt;Mitarbeiter!$E$32),0,IF(AND(Mitarbeiter!$F$32&lt;&gt;"",GQ$5&gt;Mitarbeiter!$F$32),0,IF(Planung!GQ34="",$C34,IF(ISNUMBER(Planung!GQ34),Planung!GQ34,IF(UPPER(Planung!GQ34)="H",$C34/2,0)))))))</f>
        <v>0</v>
      </c>
      <c r="GR34" s="27">
        <f>IF($A34="",0,IF(Mitarbeiter!$G$32=FALSE,0,IF(AND(Mitarbeiter!$E$32&lt;&gt;"",GR$5+6&lt;Mitarbeiter!$E$32),0,IF(AND(Mitarbeiter!$F$32&lt;&gt;"",GR$5&gt;Mitarbeiter!$F$32),0,IF(Planung!GR34="",$C34,IF(ISNUMBER(Planung!GR34),Planung!GR34,IF(UPPER(Planung!GR34)="H",$C34/2,0)))))))</f>
        <v>0</v>
      </c>
      <c r="GS34" s="27">
        <f>IF($A34="",0,IF(Mitarbeiter!$G$32=FALSE,0,IF(AND(Mitarbeiter!$E$32&lt;&gt;"",GS$5+6&lt;Mitarbeiter!$E$32),0,IF(AND(Mitarbeiter!$F$32&lt;&gt;"",GS$5&gt;Mitarbeiter!$F$32),0,IF(Planung!GS34="",$C34,IF(ISNUMBER(Planung!GS34),Planung!GS34,IF(UPPER(Planung!GS34)="H",$C34/2,0)))))))</f>
        <v>0</v>
      </c>
      <c r="GT34" s="27">
        <f>IF($A34="",0,IF(Mitarbeiter!$G$32=FALSE,0,IF(AND(Mitarbeiter!$E$32&lt;&gt;"",GT$5+6&lt;Mitarbeiter!$E$32),0,IF(AND(Mitarbeiter!$F$32&lt;&gt;"",GT$5&gt;Mitarbeiter!$F$32),0,IF(Planung!GT34="",$C34,IF(ISNUMBER(Planung!GT34),Planung!GT34,IF(UPPER(Planung!GT34)="H",$C34/2,0)))))))</f>
        <v>0</v>
      </c>
      <c r="GU34" s="27">
        <f>IF($A34="",0,IF(Mitarbeiter!$G$32=FALSE,0,IF(AND(Mitarbeiter!$E$32&lt;&gt;"",GU$5+6&lt;Mitarbeiter!$E$32),0,IF(AND(Mitarbeiter!$F$32&lt;&gt;"",GU$5&gt;Mitarbeiter!$F$32),0,IF(Planung!GU34="",$C34,IF(ISNUMBER(Planung!GU34),Planung!GU34,IF(UPPER(Planung!GU34)="H",$C34/2,0)))))))</f>
        <v>0</v>
      </c>
      <c r="GV34" s="27">
        <f>IF($A34="",0,IF(Mitarbeiter!$G$32=FALSE,0,IF(AND(Mitarbeiter!$E$32&lt;&gt;"",GV$5+6&lt;Mitarbeiter!$E$32),0,IF(AND(Mitarbeiter!$F$32&lt;&gt;"",GV$5&gt;Mitarbeiter!$F$32),0,IF(Planung!GV34="",$C34,IF(ISNUMBER(Planung!GV34),Planung!GV34,IF(UPPER(Planung!GV34)="H",$C34/2,0)))))))</f>
        <v>0</v>
      </c>
      <c r="GW34" s="27">
        <f>IF($A34="",0,IF(Mitarbeiter!$G$32=FALSE,0,IF(AND(Mitarbeiter!$E$32&lt;&gt;"",GW$5+6&lt;Mitarbeiter!$E$32),0,IF(AND(Mitarbeiter!$F$32&lt;&gt;"",GW$5&gt;Mitarbeiter!$F$32),0,IF(Planung!GW34="",$C34,IF(ISNUMBER(Planung!GW34),Planung!GW34,IF(UPPER(Planung!GW34)="H",$C34/2,0)))))))</f>
        <v>0</v>
      </c>
      <c r="GX34" s="27">
        <f>IF($A34="",0,IF(Mitarbeiter!$G$32=FALSE,0,IF(AND(Mitarbeiter!$E$32&lt;&gt;"",GX$5+6&lt;Mitarbeiter!$E$32),0,IF(AND(Mitarbeiter!$F$32&lt;&gt;"",GX$5&gt;Mitarbeiter!$F$32),0,IF(Planung!GX34="",$C34,IF(ISNUMBER(Planung!GX34),Planung!GX34,IF(UPPER(Planung!GX34)="H",$C34/2,0)))))))</f>
        <v>0</v>
      </c>
      <c r="GY34" s="27">
        <f>IF($A34="",0,IF(Mitarbeiter!$G$32=FALSE,0,IF(AND(Mitarbeiter!$E$32&lt;&gt;"",GY$5+6&lt;Mitarbeiter!$E$32),0,IF(AND(Mitarbeiter!$F$32&lt;&gt;"",GY$5&gt;Mitarbeiter!$F$32),0,IF(Planung!GY34="",$C34,IF(ISNUMBER(Planung!GY34),Planung!GY34,IF(UPPER(Planung!GY34)="H",$C34/2,0)))))))</f>
        <v>0</v>
      </c>
      <c r="GZ34" s="27">
        <f>IF($A34="",0,IF(Mitarbeiter!$G$32=FALSE,0,IF(AND(Mitarbeiter!$E$32&lt;&gt;"",GZ$5+6&lt;Mitarbeiter!$E$32),0,IF(AND(Mitarbeiter!$F$32&lt;&gt;"",GZ$5&gt;Mitarbeiter!$F$32),0,IF(Planung!GZ34="",$C34,IF(ISNUMBER(Planung!GZ34),Planung!GZ34,IF(UPPER(Planung!GZ34)="H",$C34/2,0)))))))</f>
        <v>0</v>
      </c>
      <c r="HA34" s="27">
        <f>IF($A34="",0,IF(Mitarbeiter!$G$32=FALSE,0,IF(AND(Mitarbeiter!$E$32&lt;&gt;"",HA$5+6&lt;Mitarbeiter!$E$32),0,IF(AND(Mitarbeiter!$F$32&lt;&gt;"",HA$5&gt;Mitarbeiter!$F$32),0,IF(Planung!HA34="",$C34,IF(ISNUMBER(Planung!HA34),Planung!HA34,IF(UPPER(Planung!HA34)="H",$C34/2,0)))))))</f>
        <v>0</v>
      </c>
      <c r="HB34" s="27">
        <f>IF($A34="",0,IF(Mitarbeiter!$G$32=FALSE,0,IF(AND(Mitarbeiter!$E$32&lt;&gt;"",HB$5+6&lt;Mitarbeiter!$E$32),0,IF(AND(Mitarbeiter!$F$32&lt;&gt;"",HB$5&gt;Mitarbeiter!$F$32),0,IF(Planung!HB34="",$C34,IF(ISNUMBER(Planung!HB34),Planung!HB34,IF(UPPER(Planung!HB34)="H",$C34/2,0)))))))</f>
        <v>0</v>
      </c>
      <c r="HC34" s="27">
        <f>IF($A34="",0,IF(Mitarbeiter!$G$32=FALSE,0,IF(AND(Mitarbeiter!$E$32&lt;&gt;"",HC$5+6&lt;Mitarbeiter!$E$32),0,IF(AND(Mitarbeiter!$F$32&lt;&gt;"",HC$5&gt;Mitarbeiter!$F$32),0,IF(Planung!HC34="",$C34,IF(ISNUMBER(Planung!HC34),Planung!HC34,IF(UPPER(Planung!HC34)="H",$C34/2,0)))))))</f>
        <v>0</v>
      </c>
      <c r="HD34" s="27">
        <f>IF($A34="",0,IF(Mitarbeiter!$G$32=FALSE,0,IF(AND(Mitarbeiter!$E$32&lt;&gt;"",HD$5+6&lt;Mitarbeiter!$E$32),0,IF(AND(Mitarbeiter!$F$32&lt;&gt;"",HD$5&gt;Mitarbeiter!$F$32),0,IF(Planung!HD34="",$C34,IF(ISNUMBER(Planung!HD34),Planung!HD34,IF(UPPER(Planung!HD34)="H",$C34/2,0)))))))</f>
        <v>0</v>
      </c>
      <c r="HE34" s="27">
        <f>IF($A34="",0,IF(Mitarbeiter!$G$32=FALSE,0,IF(AND(Mitarbeiter!$E$32&lt;&gt;"",HE$5+6&lt;Mitarbeiter!$E$32),0,IF(AND(Mitarbeiter!$F$32&lt;&gt;"",HE$5&gt;Mitarbeiter!$F$32),0,IF(Planung!HE34="",$C34,IF(ISNUMBER(Planung!HE34),Planung!HE34,IF(UPPER(Planung!HE34)="H",$C34/2,0)))))))</f>
        <v>0</v>
      </c>
      <c r="HF34" s="27">
        <f>IF($A34="",0,IF(Mitarbeiter!$G$32=FALSE,0,IF(AND(Mitarbeiter!$E$32&lt;&gt;"",HF$5+6&lt;Mitarbeiter!$E$32),0,IF(AND(Mitarbeiter!$F$32&lt;&gt;"",HF$5&gt;Mitarbeiter!$F$32),0,IF(Planung!HF34="",$C34,IF(ISNUMBER(Planung!HF34),Planung!HF34,IF(UPPER(Planung!HF34)="H",$C34/2,0)))))))</f>
        <v>0</v>
      </c>
      <c r="HG34" s="27">
        <f>IF($A34="",0,IF(Mitarbeiter!$G$32=FALSE,0,IF(AND(Mitarbeiter!$E$32&lt;&gt;"",HG$5+6&lt;Mitarbeiter!$E$32),0,IF(AND(Mitarbeiter!$F$32&lt;&gt;"",HG$5&gt;Mitarbeiter!$F$32),0,IF(Planung!HG34="",$C34,IF(ISNUMBER(Planung!HG34),Planung!HG34,IF(UPPER(Planung!HG34)="H",$C34/2,0)))))))</f>
        <v>0</v>
      </c>
      <c r="HH34" s="27">
        <f>IF($A34="",0,IF(Mitarbeiter!$G$32=FALSE,0,IF(AND(Mitarbeiter!$E$32&lt;&gt;"",HH$5+6&lt;Mitarbeiter!$E$32),0,IF(AND(Mitarbeiter!$F$32&lt;&gt;"",HH$5&gt;Mitarbeiter!$F$32),0,IF(Planung!HH34="",$C34,IF(ISNUMBER(Planung!HH34),Planung!HH34,IF(UPPER(Planung!HH34)="H",$C34/2,0)))))))</f>
        <v>0</v>
      </c>
      <c r="HI34" s="27">
        <f>IF($A34="",0,IF(Mitarbeiter!$G$32=FALSE,0,IF(AND(Mitarbeiter!$E$32&lt;&gt;"",HI$5+6&lt;Mitarbeiter!$E$32),0,IF(AND(Mitarbeiter!$F$32&lt;&gt;"",HI$5&gt;Mitarbeiter!$F$32),0,IF(Planung!HI34="",$C34,IF(ISNUMBER(Planung!HI34),Planung!HI34,IF(UPPER(Planung!HI34)="H",$C34/2,0)))))))</f>
        <v>0</v>
      </c>
      <c r="HJ34" s="27">
        <f>IF($A34="",0,IF(Mitarbeiter!$G$32=FALSE,0,IF(AND(Mitarbeiter!$E$32&lt;&gt;"",HJ$5+6&lt;Mitarbeiter!$E$32),0,IF(AND(Mitarbeiter!$F$32&lt;&gt;"",HJ$5&gt;Mitarbeiter!$F$32),0,IF(Planung!HJ34="",$C34,IF(ISNUMBER(Planung!HJ34),Planung!HJ34,IF(UPPER(Planung!HJ34)="H",$C34/2,0)))))))</f>
        <v>0</v>
      </c>
      <c r="HK34" s="27">
        <f>IF($A34="",0,IF(Mitarbeiter!$G$32=FALSE,0,IF(AND(Mitarbeiter!$E$32&lt;&gt;"",HK$5+6&lt;Mitarbeiter!$E$32),0,IF(AND(Mitarbeiter!$F$32&lt;&gt;"",HK$5&gt;Mitarbeiter!$F$32),0,IF(Planung!HK34="",$C34,IF(ISNUMBER(Planung!HK34),Planung!HK34,IF(UPPER(Planung!HK34)="H",$C34/2,0)))))))</f>
        <v>0</v>
      </c>
      <c r="HL34" s="27">
        <f>IF($A34="",0,IF(Mitarbeiter!$G$32=FALSE,0,IF(AND(Mitarbeiter!$E$32&lt;&gt;"",HL$5+6&lt;Mitarbeiter!$E$32),0,IF(AND(Mitarbeiter!$F$32&lt;&gt;"",HL$5&gt;Mitarbeiter!$F$32),0,IF(Planung!HL34="",$C34,IF(ISNUMBER(Planung!HL34),Planung!HL34,IF(UPPER(Planung!HL34)="H",$C34/2,0)))))))</f>
        <v>0</v>
      </c>
      <c r="HM34" s="27">
        <f>IF($A34="",0,IF(Mitarbeiter!$G$32=FALSE,0,IF(AND(Mitarbeiter!$E$32&lt;&gt;"",HM$5+6&lt;Mitarbeiter!$E$32),0,IF(AND(Mitarbeiter!$F$32&lt;&gt;"",HM$5&gt;Mitarbeiter!$F$32),0,IF(Planung!HM34="",$C34,IF(ISNUMBER(Planung!HM34),Planung!HM34,IF(UPPER(Planung!HM34)="H",$C34/2,0)))))))</f>
        <v>0</v>
      </c>
      <c r="HN34" s="27">
        <f>IF($A34="",0,IF(Mitarbeiter!$G$32=FALSE,0,IF(AND(Mitarbeiter!$E$32&lt;&gt;"",HN$5+6&lt;Mitarbeiter!$E$32),0,IF(AND(Mitarbeiter!$F$32&lt;&gt;"",HN$5&gt;Mitarbeiter!$F$32),0,IF(Planung!HN34="",$C34,IF(ISNUMBER(Planung!HN34),Planung!HN34,IF(UPPER(Planung!HN34)="H",$C34/2,0)))))))</f>
        <v>0</v>
      </c>
      <c r="HO34" s="27">
        <f>IF($A34="",0,IF(Mitarbeiter!$G$32=FALSE,0,IF(AND(Mitarbeiter!$E$32&lt;&gt;"",HO$5+6&lt;Mitarbeiter!$E$32),0,IF(AND(Mitarbeiter!$F$32&lt;&gt;"",HO$5&gt;Mitarbeiter!$F$32),0,IF(Planung!HO34="",$C34,IF(ISNUMBER(Planung!HO34),Planung!HO34,IF(UPPER(Planung!HO34)="H",$C34/2,0)))))))</f>
        <v>0</v>
      </c>
      <c r="HP34" s="27">
        <f>IF($A34="",0,IF(Mitarbeiter!$G$32=FALSE,0,IF(AND(Mitarbeiter!$E$32&lt;&gt;"",HP$5+6&lt;Mitarbeiter!$E$32),0,IF(AND(Mitarbeiter!$F$32&lt;&gt;"",HP$5&gt;Mitarbeiter!$F$32),0,IF(Planung!HP34="",$C34,IF(ISNUMBER(Planung!HP34),Planung!HP34,IF(UPPER(Planung!HP34)="H",$C34/2,0)))))))</f>
        <v>0</v>
      </c>
      <c r="HQ34" s="27">
        <f>IF($A34="",0,IF(Mitarbeiter!$G$32=FALSE,0,IF(AND(Mitarbeiter!$E$32&lt;&gt;"",HQ$5+6&lt;Mitarbeiter!$E$32),0,IF(AND(Mitarbeiter!$F$32&lt;&gt;"",HQ$5&gt;Mitarbeiter!$F$32),0,IF(Planung!HQ34="",$C34,IF(ISNUMBER(Planung!HQ34),Planung!HQ34,IF(UPPER(Planung!HQ34)="H",$C34/2,0)))))))</f>
        <v>0</v>
      </c>
      <c r="HR34" s="27">
        <f>IF($A34="",0,IF(Mitarbeiter!$G$32=FALSE,0,IF(AND(Mitarbeiter!$E$32&lt;&gt;"",HR$5+6&lt;Mitarbeiter!$E$32),0,IF(AND(Mitarbeiter!$F$32&lt;&gt;"",HR$5&gt;Mitarbeiter!$F$32),0,IF(Planung!HR34="",$C34,IF(ISNUMBER(Planung!HR34),Planung!HR34,IF(UPPER(Planung!HR34)="H",$C34/2,0)))))))</f>
        <v>0</v>
      </c>
      <c r="HS34" s="27">
        <f>IF($A34="",0,IF(Mitarbeiter!$G$32=FALSE,0,IF(AND(Mitarbeiter!$E$32&lt;&gt;"",HS$5+6&lt;Mitarbeiter!$E$32),0,IF(AND(Mitarbeiter!$F$32&lt;&gt;"",HS$5&gt;Mitarbeiter!$F$32),0,IF(Planung!HS34="",$C34,IF(ISNUMBER(Planung!HS34),Planung!HS34,IF(UPPER(Planung!HS34)="H",$C34/2,0)))))))</f>
        <v>0</v>
      </c>
      <c r="HT34" s="27">
        <f>IF($A34="",0,IF(Mitarbeiter!$G$32=FALSE,0,IF(AND(Mitarbeiter!$E$32&lt;&gt;"",HT$5+6&lt;Mitarbeiter!$E$32),0,IF(AND(Mitarbeiter!$F$32&lt;&gt;"",HT$5&gt;Mitarbeiter!$F$32),0,IF(Planung!HT34="",$C34,IF(ISNUMBER(Planung!HT34),Planung!HT34,IF(UPPER(Planung!HT34)="H",$C34/2,0)))))))</f>
        <v>0</v>
      </c>
      <c r="HU34" s="27">
        <f>IF($A34="",0,IF(Mitarbeiter!$G$32=FALSE,0,IF(AND(Mitarbeiter!$E$32&lt;&gt;"",HU$5+6&lt;Mitarbeiter!$E$32),0,IF(AND(Mitarbeiter!$F$32&lt;&gt;"",HU$5&gt;Mitarbeiter!$F$32),0,IF(Planung!HU34="",$C34,IF(ISNUMBER(Planung!HU34),Planung!HU34,IF(UPPER(Planung!HU34)="H",$C34/2,0)))))))</f>
        <v>0</v>
      </c>
      <c r="HV34" s="27">
        <f>IF($A34="",0,IF(Mitarbeiter!$G$32=FALSE,0,IF(AND(Mitarbeiter!$E$32&lt;&gt;"",HV$5+6&lt;Mitarbeiter!$E$32),0,IF(AND(Mitarbeiter!$F$32&lt;&gt;"",HV$5&gt;Mitarbeiter!$F$32),0,IF(Planung!HV34="",$C34,IF(ISNUMBER(Planung!HV34),Planung!HV34,IF(UPPER(Planung!HV34)="H",$C34/2,0)))))))</f>
        <v>0</v>
      </c>
      <c r="HW34" s="27">
        <f>IF($A34="",0,IF(Mitarbeiter!$G$32=FALSE,0,IF(AND(Mitarbeiter!$E$32&lt;&gt;"",HW$5+6&lt;Mitarbeiter!$E$32),0,IF(AND(Mitarbeiter!$F$32&lt;&gt;"",HW$5&gt;Mitarbeiter!$F$32),0,IF(Planung!HW34="",$C34,IF(ISNUMBER(Planung!HW34),Planung!HW34,IF(UPPER(Planung!HW34)="H",$C34/2,0)))))))</f>
        <v>0</v>
      </c>
      <c r="HX34" s="27">
        <f>IF($A34="",0,IF(Mitarbeiter!$G$32=FALSE,0,IF(AND(Mitarbeiter!$E$32&lt;&gt;"",HX$5+6&lt;Mitarbeiter!$E$32),0,IF(AND(Mitarbeiter!$F$32&lt;&gt;"",HX$5&gt;Mitarbeiter!$F$32),0,IF(Planung!HX34="",$C34,IF(ISNUMBER(Planung!HX34),Planung!HX34,IF(UPPER(Planung!HX34)="H",$C34/2,0)))))))</f>
        <v>0</v>
      </c>
      <c r="HY34" s="27">
        <f>IF($A34="",0,IF(Mitarbeiter!$G$32=FALSE,0,IF(AND(Mitarbeiter!$E$32&lt;&gt;"",HY$5+6&lt;Mitarbeiter!$E$32),0,IF(AND(Mitarbeiter!$F$32&lt;&gt;"",HY$5&gt;Mitarbeiter!$F$32),0,IF(Planung!HY34="",$C34,IF(ISNUMBER(Planung!HY34),Planung!HY34,IF(UPPER(Planung!HY34)="H",$C34/2,0)))))))</f>
        <v>0</v>
      </c>
      <c r="HZ34" s="27">
        <f>IF($A34="",0,IF(Mitarbeiter!$G$32=FALSE,0,IF(AND(Mitarbeiter!$E$32&lt;&gt;"",HZ$5+6&lt;Mitarbeiter!$E$32),0,IF(AND(Mitarbeiter!$F$32&lt;&gt;"",HZ$5&gt;Mitarbeiter!$F$32),0,IF(Planung!HZ34="",$C34,IF(ISNUMBER(Planung!HZ34),Planung!HZ34,IF(UPPER(Planung!HZ34)="H",$C34/2,0)))))))</f>
        <v>0</v>
      </c>
      <c r="IA34" s="27">
        <f>IF($A34="",0,IF(Mitarbeiter!$G$32=FALSE,0,IF(AND(Mitarbeiter!$E$32&lt;&gt;"",IA$5+6&lt;Mitarbeiter!$E$32),0,IF(AND(Mitarbeiter!$F$32&lt;&gt;"",IA$5&gt;Mitarbeiter!$F$32),0,IF(Planung!IA34="",$C34,IF(ISNUMBER(Planung!IA34),Planung!IA34,IF(UPPER(Planung!IA34)="H",$C34/2,0)))))))</f>
        <v>0</v>
      </c>
    </row>
    <row r="35" spans="1:235" x14ac:dyDescent="0.25">
      <c r="A35" s="7" t="str">
        <f>Planung!A35</f>
        <v/>
      </c>
      <c r="B35" s="7" t="str">
        <f>Planung!B35</f>
        <v/>
      </c>
      <c r="C35" s="27">
        <f>N(Mitarbeiter!$D$33)</f>
        <v>0</v>
      </c>
      <c r="D35" s="27">
        <f>IF($A35="",0,IF(Mitarbeiter!$G$33=FALSE,0,IF(AND(Mitarbeiter!$E$33&lt;&gt;"",D$5+6&lt;Mitarbeiter!$E$33),0,IF(AND(Mitarbeiter!$F$33&lt;&gt;"",D$5&gt;Mitarbeiter!$F$33),0,IF(Planung!D35="",$C35,IF(ISNUMBER(Planung!D35),Planung!D35,IF(UPPER(Planung!D35)="H",$C35/2,0)))))))</f>
        <v>0</v>
      </c>
      <c r="E35" s="27">
        <f>IF($A35="",0,IF(Mitarbeiter!$G$33=FALSE,0,IF(AND(Mitarbeiter!$E$33&lt;&gt;"",E$5+6&lt;Mitarbeiter!$E$33),0,IF(AND(Mitarbeiter!$F$33&lt;&gt;"",E$5&gt;Mitarbeiter!$F$33),0,IF(Planung!E35="",$C35,IF(ISNUMBER(Planung!E35),Planung!E35,IF(UPPER(Planung!E35)="H",$C35/2,0)))))))</f>
        <v>0</v>
      </c>
      <c r="F35" s="27">
        <f>IF($A35="",0,IF(Mitarbeiter!$G$33=FALSE,0,IF(AND(Mitarbeiter!$E$33&lt;&gt;"",F$5+6&lt;Mitarbeiter!$E$33),0,IF(AND(Mitarbeiter!$F$33&lt;&gt;"",F$5&gt;Mitarbeiter!$F$33),0,IF(Planung!F35="",$C35,IF(ISNUMBER(Planung!F35),Planung!F35,IF(UPPER(Planung!F35)="H",$C35/2,0)))))))</f>
        <v>0</v>
      </c>
      <c r="G35" s="27">
        <f>IF($A35="",0,IF(Mitarbeiter!$G$33=FALSE,0,IF(AND(Mitarbeiter!$E$33&lt;&gt;"",G$5+6&lt;Mitarbeiter!$E$33),0,IF(AND(Mitarbeiter!$F$33&lt;&gt;"",G$5&gt;Mitarbeiter!$F$33),0,IF(Planung!G35="",$C35,IF(ISNUMBER(Planung!G35),Planung!G35,IF(UPPER(Planung!G35)="H",$C35/2,0)))))))</f>
        <v>0</v>
      </c>
      <c r="H35" s="27">
        <f>IF($A35="",0,IF(Mitarbeiter!$G$33=FALSE,0,IF(AND(Mitarbeiter!$E$33&lt;&gt;"",H$5+6&lt;Mitarbeiter!$E$33),0,IF(AND(Mitarbeiter!$F$33&lt;&gt;"",H$5&gt;Mitarbeiter!$F$33),0,IF(Planung!H35="",$C35,IF(ISNUMBER(Planung!H35),Planung!H35,IF(UPPER(Planung!H35)="H",$C35/2,0)))))))</f>
        <v>0</v>
      </c>
      <c r="I35" s="27">
        <f>IF($A35="",0,IF(Mitarbeiter!$G$33=FALSE,0,IF(AND(Mitarbeiter!$E$33&lt;&gt;"",I$5+6&lt;Mitarbeiter!$E$33),0,IF(AND(Mitarbeiter!$F$33&lt;&gt;"",I$5&gt;Mitarbeiter!$F$33),0,IF(Planung!I35="",$C35,IF(ISNUMBER(Planung!I35),Planung!I35,IF(UPPER(Planung!I35)="H",$C35/2,0)))))))</f>
        <v>0</v>
      </c>
      <c r="J35" s="27">
        <f>IF($A35="",0,IF(Mitarbeiter!$G$33=FALSE,0,IF(AND(Mitarbeiter!$E$33&lt;&gt;"",J$5+6&lt;Mitarbeiter!$E$33),0,IF(AND(Mitarbeiter!$F$33&lt;&gt;"",J$5&gt;Mitarbeiter!$F$33),0,IF(Planung!J35="",$C35,IF(ISNUMBER(Planung!J35),Planung!J35,IF(UPPER(Planung!J35)="H",$C35/2,0)))))))</f>
        <v>0</v>
      </c>
      <c r="K35" s="27">
        <f>IF($A35="",0,IF(Mitarbeiter!$G$33=FALSE,0,IF(AND(Mitarbeiter!$E$33&lt;&gt;"",K$5+6&lt;Mitarbeiter!$E$33),0,IF(AND(Mitarbeiter!$F$33&lt;&gt;"",K$5&gt;Mitarbeiter!$F$33),0,IF(Planung!K35="",$C35,IF(ISNUMBER(Planung!K35),Planung!K35,IF(UPPER(Planung!K35)="H",$C35/2,0)))))))</f>
        <v>0</v>
      </c>
      <c r="L35" s="27">
        <f>IF($A35="",0,IF(Mitarbeiter!$G$33=FALSE,0,IF(AND(Mitarbeiter!$E$33&lt;&gt;"",L$5+6&lt;Mitarbeiter!$E$33),0,IF(AND(Mitarbeiter!$F$33&lt;&gt;"",L$5&gt;Mitarbeiter!$F$33),0,IF(Planung!L35="",$C35,IF(ISNUMBER(Planung!L35),Planung!L35,IF(UPPER(Planung!L35)="H",$C35/2,0)))))))</f>
        <v>0</v>
      </c>
      <c r="M35" s="27">
        <f>IF($A35="",0,IF(Mitarbeiter!$G$33=FALSE,0,IF(AND(Mitarbeiter!$E$33&lt;&gt;"",M$5+6&lt;Mitarbeiter!$E$33),0,IF(AND(Mitarbeiter!$F$33&lt;&gt;"",M$5&gt;Mitarbeiter!$F$33),0,IF(Planung!M35="",$C35,IF(ISNUMBER(Planung!M35),Planung!M35,IF(UPPER(Planung!M35)="H",$C35/2,0)))))))</f>
        <v>0</v>
      </c>
      <c r="N35" s="27">
        <f>IF($A35="",0,IF(Mitarbeiter!$G$33=FALSE,0,IF(AND(Mitarbeiter!$E$33&lt;&gt;"",N$5+6&lt;Mitarbeiter!$E$33),0,IF(AND(Mitarbeiter!$F$33&lt;&gt;"",N$5&gt;Mitarbeiter!$F$33),0,IF(Planung!N35="",$C35,IF(ISNUMBER(Planung!N35),Planung!N35,IF(UPPER(Planung!N35)="H",$C35/2,0)))))))</f>
        <v>0</v>
      </c>
      <c r="O35" s="27">
        <f>IF($A35="",0,IF(Mitarbeiter!$G$33=FALSE,0,IF(AND(Mitarbeiter!$E$33&lt;&gt;"",O$5+6&lt;Mitarbeiter!$E$33),0,IF(AND(Mitarbeiter!$F$33&lt;&gt;"",O$5&gt;Mitarbeiter!$F$33),0,IF(Planung!O35="",$C35,IF(ISNUMBER(Planung!O35),Planung!O35,IF(UPPER(Planung!O35)="H",$C35/2,0)))))))</f>
        <v>0</v>
      </c>
      <c r="P35" s="27">
        <f>IF($A35="",0,IF(Mitarbeiter!$G$33=FALSE,0,IF(AND(Mitarbeiter!$E$33&lt;&gt;"",P$5+6&lt;Mitarbeiter!$E$33),0,IF(AND(Mitarbeiter!$F$33&lt;&gt;"",P$5&gt;Mitarbeiter!$F$33),0,IF(Planung!P35="",$C35,IF(ISNUMBER(Planung!P35),Planung!P35,IF(UPPER(Planung!P35)="H",$C35/2,0)))))))</f>
        <v>0</v>
      </c>
      <c r="Q35" s="27">
        <f>IF($A35="",0,IF(Mitarbeiter!$G$33=FALSE,0,IF(AND(Mitarbeiter!$E$33&lt;&gt;"",Q$5+6&lt;Mitarbeiter!$E$33),0,IF(AND(Mitarbeiter!$F$33&lt;&gt;"",Q$5&gt;Mitarbeiter!$F$33),0,IF(Planung!Q35="",$C35,IF(ISNUMBER(Planung!Q35),Planung!Q35,IF(UPPER(Planung!Q35)="H",$C35/2,0)))))))</f>
        <v>0</v>
      </c>
      <c r="R35" s="27">
        <f>IF($A35="",0,IF(Mitarbeiter!$G$33=FALSE,0,IF(AND(Mitarbeiter!$E$33&lt;&gt;"",R$5+6&lt;Mitarbeiter!$E$33),0,IF(AND(Mitarbeiter!$F$33&lt;&gt;"",R$5&gt;Mitarbeiter!$F$33),0,IF(Planung!R35="",$C35,IF(ISNUMBER(Planung!R35),Planung!R35,IF(UPPER(Planung!R35)="H",$C35/2,0)))))))</f>
        <v>0</v>
      </c>
      <c r="S35" s="27">
        <f>IF($A35="",0,IF(Mitarbeiter!$G$33=FALSE,0,IF(AND(Mitarbeiter!$E$33&lt;&gt;"",S$5+6&lt;Mitarbeiter!$E$33),0,IF(AND(Mitarbeiter!$F$33&lt;&gt;"",S$5&gt;Mitarbeiter!$F$33),0,IF(Planung!S35="",$C35,IF(ISNUMBER(Planung!S35),Planung!S35,IF(UPPER(Planung!S35)="H",$C35/2,0)))))))</f>
        <v>0</v>
      </c>
      <c r="T35" s="27">
        <f>IF($A35="",0,IF(Mitarbeiter!$G$33=FALSE,0,IF(AND(Mitarbeiter!$E$33&lt;&gt;"",T$5+6&lt;Mitarbeiter!$E$33),0,IF(AND(Mitarbeiter!$F$33&lt;&gt;"",T$5&gt;Mitarbeiter!$F$33),0,IF(Planung!T35="",$C35,IF(ISNUMBER(Planung!T35),Planung!T35,IF(UPPER(Planung!T35)="H",$C35/2,0)))))))</f>
        <v>0</v>
      </c>
      <c r="U35" s="27">
        <f>IF($A35="",0,IF(Mitarbeiter!$G$33=FALSE,0,IF(AND(Mitarbeiter!$E$33&lt;&gt;"",U$5+6&lt;Mitarbeiter!$E$33),0,IF(AND(Mitarbeiter!$F$33&lt;&gt;"",U$5&gt;Mitarbeiter!$F$33),0,IF(Planung!U35="",$C35,IF(ISNUMBER(Planung!U35),Planung!U35,IF(UPPER(Planung!U35)="H",$C35/2,0)))))))</f>
        <v>0</v>
      </c>
      <c r="V35" s="27">
        <f>IF($A35="",0,IF(Mitarbeiter!$G$33=FALSE,0,IF(AND(Mitarbeiter!$E$33&lt;&gt;"",V$5+6&lt;Mitarbeiter!$E$33),0,IF(AND(Mitarbeiter!$F$33&lt;&gt;"",V$5&gt;Mitarbeiter!$F$33),0,IF(Planung!V35="",$C35,IF(ISNUMBER(Planung!V35),Planung!V35,IF(UPPER(Planung!V35)="H",$C35/2,0)))))))</f>
        <v>0</v>
      </c>
      <c r="W35" s="27">
        <f>IF($A35="",0,IF(Mitarbeiter!$G$33=FALSE,0,IF(AND(Mitarbeiter!$E$33&lt;&gt;"",W$5+6&lt;Mitarbeiter!$E$33),0,IF(AND(Mitarbeiter!$F$33&lt;&gt;"",W$5&gt;Mitarbeiter!$F$33),0,IF(Planung!W35="",$C35,IF(ISNUMBER(Planung!W35),Planung!W35,IF(UPPER(Planung!W35)="H",$C35/2,0)))))))</f>
        <v>0</v>
      </c>
      <c r="X35" s="27">
        <f>IF($A35="",0,IF(Mitarbeiter!$G$33=FALSE,0,IF(AND(Mitarbeiter!$E$33&lt;&gt;"",X$5+6&lt;Mitarbeiter!$E$33),0,IF(AND(Mitarbeiter!$F$33&lt;&gt;"",X$5&gt;Mitarbeiter!$F$33),0,IF(Planung!X35="",$C35,IF(ISNUMBER(Planung!X35),Planung!X35,IF(UPPER(Planung!X35)="H",$C35/2,0)))))))</f>
        <v>0</v>
      </c>
      <c r="Y35" s="27">
        <f>IF($A35="",0,IF(Mitarbeiter!$G$33=FALSE,0,IF(AND(Mitarbeiter!$E$33&lt;&gt;"",Y$5+6&lt;Mitarbeiter!$E$33),0,IF(AND(Mitarbeiter!$F$33&lt;&gt;"",Y$5&gt;Mitarbeiter!$F$33),0,IF(Planung!Y35="",$C35,IF(ISNUMBER(Planung!Y35),Planung!Y35,IF(UPPER(Planung!Y35)="H",$C35/2,0)))))))</f>
        <v>0</v>
      </c>
      <c r="Z35" s="27">
        <f>IF($A35="",0,IF(Mitarbeiter!$G$33=FALSE,0,IF(AND(Mitarbeiter!$E$33&lt;&gt;"",Z$5+6&lt;Mitarbeiter!$E$33),0,IF(AND(Mitarbeiter!$F$33&lt;&gt;"",Z$5&gt;Mitarbeiter!$F$33),0,IF(Planung!Z35="",$C35,IF(ISNUMBER(Planung!Z35),Planung!Z35,IF(UPPER(Planung!Z35)="H",$C35/2,0)))))))</f>
        <v>0</v>
      </c>
      <c r="AA35" s="27">
        <f>IF($A35="",0,IF(Mitarbeiter!$G$33=FALSE,0,IF(AND(Mitarbeiter!$E$33&lt;&gt;"",AA$5+6&lt;Mitarbeiter!$E$33),0,IF(AND(Mitarbeiter!$F$33&lt;&gt;"",AA$5&gt;Mitarbeiter!$F$33),0,IF(Planung!AA35="",$C35,IF(ISNUMBER(Planung!AA35),Planung!AA35,IF(UPPER(Planung!AA35)="H",$C35/2,0)))))))</f>
        <v>0</v>
      </c>
      <c r="AB35" s="27">
        <f>IF($A35="",0,IF(Mitarbeiter!$G$33=FALSE,0,IF(AND(Mitarbeiter!$E$33&lt;&gt;"",AB$5+6&lt;Mitarbeiter!$E$33),0,IF(AND(Mitarbeiter!$F$33&lt;&gt;"",AB$5&gt;Mitarbeiter!$F$33),0,IF(Planung!AB35="",$C35,IF(ISNUMBER(Planung!AB35),Planung!AB35,IF(UPPER(Planung!AB35)="H",$C35/2,0)))))))</f>
        <v>0</v>
      </c>
      <c r="AC35" s="27">
        <f>IF($A35="",0,IF(Mitarbeiter!$G$33=FALSE,0,IF(AND(Mitarbeiter!$E$33&lt;&gt;"",AC$5+6&lt;Mitarbeiter!$E$33),0,IF(AND(Mitarbeiter!$F$33&lt;&gt;"",AC$5&gt;Mitarbeiter!$F$33),0,IF(Planung!AC35="",$C35,IF(ISNUMBER(Planung!AC35),Planung!AC35,IF(UPPER(Planung!AC35)="H",$C35/2,0)))))))</f>
        <v>0</v>
      </c>
      <c r="AD35" s="27">
        <f>IF($A35="",0,IF(Mitarbeiter!$G$33=FALSE,0,IF(AND(Mitarbeiter!$E$33&lt;&gt;"",AD$5+6&lt;Mitarbeiter!$E$33),0,IF(AND(Mitarbeiter!$F$33&lt;&gt;"",AD$5&gt;Mitarbeiter!$F$33),0,IF(Planung!AD35="",$C35,IF(ISNUMBER(Planung!AD35),Planung!AD35,IF(UPPER(Planung!AD35)="H",$C35/2,0)))))))</f>
        <v>0</v>
      </c>
      <c r="AE35" s="27">
        <f>IF($A35="",0,IF(Mitarbeiter!$G$33=FALSE,0,IF(AND(Mitarbeiter!$E$33&lt;&gt;"",AE$5+6&lt;Mitarbeiter!$E$33),0,IF(AND(Mitarbeiter!$F$33&lt;&gt;"",AE$5&gt;Mitarbeiter!$F$33),0,IF(Planung!AE35="",$C35,IF(ISNUMBER(Planung!AE35),Planung!AE35,IF(UPPER(Planung!AE35)="H",$C35/2,0)))))))</f>
        <v>0</v>
      </c>
      <c r="AF35" s="27">
        <f>IF($A35="",0,IF(Mitarbeiter!$G$33=FALSE,0,IF(AND(Mitarbeiter!$E$33&lt;&gt;"",AF$5+6&lt;Mitarbeiter!$E$33),0,IF(AND(Mitarbeiter!$F$33&lt;&gt;"",AF$5&gt;Mitarbeiter!$F$33),0,IF(Planung!AF35="",$C35,IF(ISNUMBER(Planung!AF35),Planung!AF35,IF(UPPER(Planung!AF35)="H",$C35/2,0)))))))</f>
        <v>0</v>
      </c>
      <c r="AG35" s="27">
        <f>IF($A35="",0,IF(Mitarbeiter!$G$33=FALSE,0,IF(AND(Mitarbeiter!$E$33&lt;&gt;"",AG$5+6&lt;Mitarbeiter!$E$33),0,IF(AND(Mitarbeiter!$F$33&lt;&gt;"",AG$5&gt;Mitarbeiter!$F$33),0,IF(Planung!AG35="",$C35,IF(ISNUMBER(Planung!AG35),Planung!AG35,IF(UPPER(Planung!AG35)="H",$C35/2,0)))))))</f>
        <v>0</v>
      </c>
      <c r="AH35" s="27">
        <f>IF($A35="",0,IF(Mitarbeiter!$G$33=FALSE,0,IF(AND(Mitarbeiter!$E$33&lt;&gt;"",AH$5+6&lt;Mitarbeiter!$E$33),0,IF(AND(Mitarbeiter!$F$33&lt;&gt;"",AH$5&gt;Mitarbeiter!$F$33),0,IF(Planung!AH35="",$C35,IF(ISNUMBER(Planung!AH35),Planung!AH35,IF(UPPER(Planung!AH35)="H",$C35/2,0)))))))</f>
        <v>0</v>
      </c>
      <c r="AI35" s="27">
        <f>IF($A35="",0,IF(Mitarbeiter!$G$33=FALSE,0,IF(AND(Mitarbeiter!$E$33&lt;&gt;"",AI$5+6&lt;Mitarbeiter!$E$33),0,IF(AND(Mitarbeiter!$F$33&lt;&gt;"",AI$5&gt;Mitarbeiter!$F$33),0,IF(Planung!AI35="",$C35,IF(ISNUMBER(Planung!AI35),Planung!AI35,IF(UPPER(Planung!AI35)="H",$C35/2,0)))))))</f>
        <v>0</v>
      </c>
      <c r="AJ35" s="27">
        <f>IF($A35="",0,IF(Mitarbeiter!$G$33=FALSE,0,IF(AND(Mitarbeiter!$E$33&lt;&gt;"",AJ$5+6&lt;Mitarbeiter!$E$33),0,IF(AND(Mitarbeiter!$F$33&lt;&gt;"",AJ$5&gt;Mitarbeiter!$F$33),0,IF(Planung!AJ35="",$C35,IF(ISNUMBER(Planung!AJ35),Planung!AJ35,IF(UPPER(Planung!AJ35)="H",$C35/2,0)))))))</f>
        <v>0</v>
      </c>
      <c r="AK35" s="27">
        <f>IF($A35="",0,IF(Mitarbeiter!$G$33=FALSE,0,IF(AND(Mitarbeiter!$E$33&lt;&gt;"",AK$5+6&lt;Mitarbeiter!$E$33),0,IF(AND(Mitarbeiter!$F$33&lt;&gt;"",AK$5&gt;Mitarbeiter!$F$33),0,IF(Planung!AK35="",$C35,IF(ISNUMBER(Planung!AK35),Planung!AK35,IF(UPPER(Planung!AK35)="H",$C35/2,0)))))))</f>
        <v>0</v>
      </c>
      <c r="AL35" s="27">
        <f>IF($A35="",0,IF(Mitarbeiter!$G$33=FALSE,0,IF(AND(Mitarbeiter!$E$33&lt;&gt;"",AL$5+6&lt;Mitarbeiter!$E$33),0,IF(AND(Mitarbeiter!$F$33&lt;&gt;"",AL$5&gt;Mitarbeiter!$F$33),0,IF(Planung!AL35="",$C35,IF(ISNUMBER(Planung!AL35),Planung!AL35,IF(UPPER(Planung!AL35)="H",$C35/2,0)))))))</f>
        <v>0</v>
      </c>
      <c r="AM35" s="27">
        <f>IF($A35="",0,IF(Mitarbeiter!$G$33=FALSE,0,IF(AND(Mitarbeiter!$E$33&lt;&gt;"",AM$5+6&lt;Mitarbeiter!$E$33),0,IF(AND(Mitarbeiter!$F$33&lt;&gt;"",AM$5&gt;Mitarbeiter!$F$33),0,IF(Planung!AM35="",$C35,IF(ISNUMBER(Planung!AM35),Planung!AM35,IF(UPPER(Planung!AM35)="H",$C35/2,0)))))))</f>
        <v>0</v>
      </c>
      <c r="AN35" s="27">
        <f>IF($A35="",0,IF(Mitarbeiter!$G$33=FALSE,0,IF(AND(Mitarbeiter!$E$33&lt;&gt;"",AN$5+6&lt;Mitarbeiter!$E$33),0,IF(AND(Mitarbeiter!$F$33&lt;&gt;"",AN$5&gt;Mitarbeiter!$F$33),0,IF(Planung!AN35="",$C35,IF(ISNUMBER(Planung!AN35),Planung!AN35,IF(UPPER(Planung!AN35)="H",$C35/2,0)))))))</f>
        <v>0</v>
      </c>
      <c r="AO35" s="27">
        <f>IF($A35="",0,IF(Mitarbeiter!$G$33=FALSE,0,IF(AND(Mitarbeiter!$E$33&lt;&gt;"",AO$5+6&lt;Mitarbeiter!$E$33),0,IF(AND(Mitarbeiter!$F$33&lt;&gt;"",AO$5&gt;Mitarbeiter!$F$33),0,IF(Planung!AO35="",$C35,IF(ISNUMBER(Planung!AO35),Planung!AO35,IF(UPPER(Planung!AO35)="H",$C35/2,0)))))))</f>
        <v>0</v>
      </c>
      <c r="AP35" s="27">
        <f>IF($A35="",0,IF(Mitarbeiter!$G$33=FALSE,0,IF(AND(Mitarbeiter!$E$33&lt;&gt;"",AP$5+6&lt;Mitarbeiter!$E$33),0,IF(AND(Mitarbeiter!$F$33&lt;&gt;"",AP$5&gt;Mitarbeiter!$F$33),0,IF(Planung!AP35="",$C35,IF(ISNUMBER(Planung!AP35),Planung!AP35,IF(UPPER(Planung!AP35)="H",$C35/2,0)))))))</f>
        <v>0</v>
      </c>
      <c r="AQ35" s="27">
        <f>IF($A35="",0,IF(Mitarbeiter!$G$33=FALSE,0,IF(AND(Mitarbeiter!$E$33&lt;&gt;"",AQ$5+6&lt;Mitarbeiter!$E$33),0,IF(AND(Mitarbeiter!$F$33&lt;&gt;"",AQ$5&gt;Mitarbeiter!$F$33),0,IF(Planung!AQ35="",$C35,IF(ISNUMBER(Planung!AQ35),Planung!AQ35,IF(UPPER(Planung!AQ35)="H",$C35/2,0)))))))</f>
        <v>0</v>
      </c>
      <c r="AR35" s="27">
        <f>IF($A35="",0,IF(Mitarbeiter!$G$33=FALSE,0,IF(AND(Mitarbeiter!$E$33&lt;&gt;"",AR$5+6&lt;Mitarbeiter!$E$33),0,IF(AND(Mitarbeiter!$F$33&lt;&gt;"",AR$5&gt;Mitarbeiter!$F$33),0,IF(Planung!AR35="",$C35,IF(ISNUMBER(Planung!AR35),Planung!AR35,IF(UPPER(Planung!AR35)="H",$C35/2,0)))))))</f>
        <v>0</v>
      </c>
      <c r="AS35" s="27">
        <f>IF($A35="",0,IF(Mitarbeiter!$G$33=FALSE,0,IF(AND(Mitarbeiter!$E$33&lt;&gt;"",AS$5+6&lt;Mitarbeiter!$E$33),0,IF(AND(Mitarbeiter!$F$33&lt;&gt;"",AS$5&gt;Mitarbeiter!$F$33),0,IF(Planung!AS35="",$C35,IF(ISNUMBER(Planung!AS35),Planung!AS35,IF(UPPER(Planung!AS35)="H",$C35/2,0)))))))</f>
        <v>0</v>
      </c>
      <c r="AT35" s="27">
        <f>IF($A35="",0,IF(Mitarbeiter!$G$33=FALSE,0,IF(AND(Mitarbeiter!$E$33&lt;&gt;"",AT$5+6&lt;Mitarbeiter!$E$33),0,IF(AND(Mitarbeiter!$F$33&lt;&gt;"",AT$5&gt;Mitarbeiter!$F$33),0,IF(Planung!AT35="",$C35,IF(ISNUMBER(Planung!AT35),Planung!AT35,IF(UPPER(Planung!AT35)="H",$C35/2,0)))))))</f>
        <v>0</v>
      </c>
      <c r="AU35" s="27">
        <f>IF($A35="",0,IF(Mitarbeiter!$G$33=FALSE,0,IF(AND(Mitarbeiter!$E$33&lt;&gt;"",AU$5+6&lt;Mitarbeiter!$E$33),0,IF(AND(Mitarbeiter!$F$33&lt;&gt;"",AU$5&gt;Mitarbeiter!$F$33),0,IF(Planung!AU35="",$C35,IF(ISNUMBER(Planung!AU35),Planung!AU35,IF(UPPER(Planung!AU35)="H",$C35/2,0)))))))</f>
        <v>0</v>
      </c>
      <c r="AV35" s="27">
        <f>IF($A35="",0,IF(Mitarbeiter!$G$33=FALSE,0,IF(AND(Mitarbeiter!$E$33&lt;&gt;"",AV$5+6&lt;Mitarbeiter!$E$33),0,IF(AND(Mitarbeiter!$F$33&lt;&gt;"",AV$5&gt;Mitarbeiter!$F$33),0,IF(Planung!AV35="",$C35,IF(ISNUMBER(Planung!AV35),Planung!AV35,IF(UPPER(Planung!AV35)="H",$C35/2,0)))))))</f>
        <v>0</v>
      </c>
      <c r="AW35" s="27">
        <f>IF($A35="",0,IF(Mitarbeiter!$G$33=FALSE,0,IF(AND(Mitarbeiter!$E$33&lt;&gt;"",AW$5+6&lt;Mitarbeiter!$E$33),0,IF(AND(Mitarbeiter!$F$33&lt;&gt;"",AW$5&gt;Mitarbeiter!$F$33),0,IF(Planung!AW35="",$C35,IF(ISNUMBER(Planung!AW35),Planung!AW35,IF(UPPER(Planung!AW35)="H",$C35/2,0)))))))</f>
        <v>0</v>
      </c>
      <c r="AX35" s="27">
        <f>IF($A35="",0,IF(Mitarbeiter!$G$33=FALSE,0,IF(AND(Mitarbeiter!$E$33&lt;&gt;"",AX$5+6&lt;Mitarbeiter!$E$33),0,IF(AND(Mitarbeiter!$F$33&lt;&gt;"",AX$5&gt;Mitarbeiter!$F$33),0,IF(Planung!AX35="",$C35,IF(ISNUMBER(Planung!AX35),Planung!AX35,IF(UPPER(Planung!AX35)="H",$C35/2,0)))))))</f>
        <v>0</v>
      </c>
      <c r="AY35" s="27">
        <f>IF($A35="",0,IF(Mitarbeiter!$G$33=FALSE,0,IF(AND(Mitarbeiter!$E$33&lt;&gt;"",AY$5+6&lt;Mitarbeiter!$E$33),0,IF(AND(Mitarbeiter!$F$33&lt;&gt;"",AY$5&gt;Mitarbeiter!$F$33),0,IF(Planung!AY35="",$C35,IF(ISNUMBER(Planung!AY35),Planung!AY35,IF(UPPER(Planung!AY35)="H",$C35/2,0)))))))</f>
        <v>0</v>
      </c>
      <c r="AZ35" s="27">
        <f>IF($A35="",0,IF(Mitarbeiter!$G$33=FALSE,0,IF(AND(Mitarbeiter!$E$33&lt;&gt;"",AZ$5+6&lt;Mitarbeiter!$E$33),0,IF(AND(Mitarbeiter!$F$33&lt;&gt;"",AZ$5&gt;Mitarbeiter!$F$33),0,IF(Planung!AZ35="",$C35,IF(ISNUMBER(Planung!AZ35),Planung!AZ35,IF(UPPER(Planung!AZ35)="H",$C35/2,0)))))))</f>
        <v>0</v>
      </c>
      <c r="BA35" s="27">
        <f>IF($A35="",0,IF(Mitarbeiter!$G$33=FALSE,0,IF(AND(Mitarbeiter!$E$33&lt;&gt;"",BA$5+6&lt;Mitarbeiter!$E$33),0,IF(AND(Mitarbeiter!$F$33&lt;&gt;"",BA$5&gt;Mitarbeiter!$F$33),0,IF(Planung!BA35="",$C35,IF(ISNUMBER(Planung!BA35),Planung!BA35,IF(UPPER(Planung!BA35)="H",$C35/2,0)))))))</f>
        <v>0</v>
      </c>
      <c r="BB35" s="27">
        <f>IF($A35="",0,IF(Mitarbeiter!$G$33=FALSE,0,IF(AND(Mitarbeiter!$E$33&lt;&gt;"",BB$5+6&lt;Mitarbeiter!$E$33),0,IF(AND(Mitarbeiter!$F$33&lt;&gt;"",BB$5&gt;Mitarbeiter!$F$33),0,IF(Planung!BB35="",$C35,IF(ISNUMBER(Planung!BB35),Planung!BB35,IF(UPPER(Planung!BB35)="H",$C35/2,0)))))))</f>
        <v>0</v>
      </c>
      <c r="BC35" s="27">
        <f>IF($A35="",0,IF(Mitarbeiter!$G$33=FALSE,0,IF(AND(Mitarbeiter!$E$33&lt;&gt;"",BC$5+6&lt;Mitarbeiter!$E$33),0,IF(AND(Mitarbeiter!$F$33&lt;&gt;"",BC$5&gt;Mitarbeiter!$F$33),0,IF(Planung!BC35="",$C35,IF(ISNUMBER(Planung!BC35),Planung!BC35,IF(UPPER(Planung!BC35)="H",$C35/2,0)))))))</f>
        <v>0</v>
      </c>
      <c r="BD35" s="27">
        <f>IF($A35="",0,IF(Mitarbeiter!$G$33=FALSE,0,IF(AND(Mitarbeiter!$E$33&lt;&gt;"",BD$5+6&lt;Mitarbeiter!$E$33),0,IF(AND(Mitarbeiter!$F$33&lt;&gt;"",BD$5&gt;Mitarbeiter!$F$33),0,IF(Planung!BD35="",$C35,IF(ISNUMBER(Planung!BD35),Planung!BD35,IF(UPPER(Planung!BD35)="H",$C35/2,0)))))))</f>
        <v>0</v>
      </c>
      <c r="BE35" s="27">
        <f>IF($A35="",0,IF(Mitarbeiter!$G$33=FALSE,0,IF(AND(Mitarbeiter!$E$33&lt;&gt;"",BE$5+6&lt;Mitarbeiter!$E$33),0,IF(AND(Mitarbeiter!$F$33&lt;&gt;"",BE$5&gt;Mitarbeiter!$F$33),0,IF(Planung!BE35="",$C35,IF(ISNUMBER(Planung!BE35),Planung!BE35,IF(UPPER(Planung!BE35)="H",$C35/2,0)))))))</f>
        <v>0</v>
      </c>
      <c r="BF35" s="27">
        <f>IF($A35="",0,IF(Mitarbeiter!$G$33=FALSE,0,IF(AND(Mitarbeiter!$E$33&lt;&gt;"",BF$5+6&lt;Mitarbeiter!$E$33),0,IF(AND(Mitarbeiter!$F$33&lt;&gt;"",BF$5&gt;Mitarbeiter!$F$33),0,IF(Planung!BF35="",$C35,IF(ISNUMBER(Planung!BF35),Planung!BF35,IF(UPPER(Planung!BF35)="H",$C35/2,0)))))))</f>
        <v>0</v>
      </c>
      <c r="BG35" s="27">
        <f>IF($A35="",0,IF(Mitarbeiter!$G$33=FALSE,0,IF(AND(Mitarbeiter!$E$33&lt;&gt;"",BG$5+6&lt;Mitarbeiter!$E$33),0,IF(AND(Mitarbeiter!$F$33&lt;&gt;"",BG$5&gt;Mitarbeiter!$F$33),0,IF(Planung!BG35="",$C35,IF(ISNUMBER(Planung!BG35),Planung!BG35,IF(UPPER(Planung!BG35)="H",$C35/2,0)))))))</f>
        <v>0</v>
      </c>
      <c r="BH35" s="27">
        <f>IF($A35="",0,IF(Mitarbeiter!$G$33=FALSE,0,IF(AND(Mitarbeiter!$E$33&lt;&gt;"",BH$5+6&lt;Mitarbeiter!$E$33),0,IF(AND(Mitarbeiter!$F$33&lt;&gt;"",BH$5&gt;Mitarbeiter!$F$33),0,IF(Planung!BH35="",$C35,IF(ISNUMBER(Planung!BH35),Planung!BH35,IF(UPPER(Planung!BH35)="H",$C35/2,0)))))))</f>
        <v>0</v>
      </c>
      <c r="BI35" s="27">
        <f>IF($A35="",0,IF(Mitarbeiter!$G$33=FALSE,0,IF(AND(Mitarbeiter!$E$33&lt;&gt;"",BI$5+6&lt;Mitarbeiter!$E$33),0,IF(AND(Mitarbeiter!$F$33&lt;&gt;"",BI$5&gt;Mitarbeiter!$F$33),0,IF(Planung!BI35="",$C35,IF(ISNUMBER(Planung!BI35),Planung!BI35,IF(UPPER(Planung!BI35)="H",$C35/2,0)))))))</f>
        <v>0</v>
      </c>
      <c r="BJ35" s="27">
        <f>IF($A35="",0,IF(Mitarbeiter!$G$33=FALSE,0,IF(AND(Mitarbeiter!$E$33&lt;&gt;"",BJ$5+6&lt;Mitarbeiter!$E$33),0,IF(AND(Mitarbeiter!$F$33&lt;&gt;"",BJ$5&gt;Mitarbeiter!$F$33),0,IF(Planung!BJ35="",$C35,IF(ISNUMBER(Planung!BJ35),Planung!BJ35,IF(UPPER(Planung!BJ35)="H",$C35/2,0)))))))</f>
        <v>0</v>
      </c>
      <c r="BK35" s="27">
        <f>IF($A35="",0,IF(Mitarbeiter!$G$33=FALSE,0,IF(AND(Mitarbeiter!$E$33&lt;&gt;"",BK$5+6&lt;Mitarbeiter!$E$33),0,IF(AND(Mitarbeiter!$F$33&lt;&gt;"",BK$5&gt;Mitarbeiter!$F$33),0,IF(Planung!BK35="",$C35,IF(ISNUMBER(Planung!BK35),Planung!BK35,IF(UPPER(Planung!BK35)="H",$C35/2,0)))))))</f>
        <v>0</v>
      </c>
      <c r="BL35" s="27">
        <f>IF($A35="",0,IF(Mitarbeiter!$G$33=FALSE,0,IF(AND(Mitarbeiter!$E$33&lt;&gt;"",BL$5+6&lt;Mitarbeiter!$E$33),0,IF(AND(Mitarbeiter!$F$33&lt;&gt;"",BL$5&gt;Mitarbeiter!$F$33),0,IF(Planung!BL35="",$C35,IF(ISNUMBER(Planung!BL35),Planung!BL35,IF(UPPER(Planung!BL35)="H",$C35/2,0)))))))</f>
        <v>0</v>
      </c>
      <c r="BM35" s="27">
        <f>IF($A35="",0,IF(Mitarbeiter!$G$33=FALSE,0,IF(AND(Mitarbeiter!$E$33&lt;&gt;"",BM$5+6&lt;Mitarbeiter!$E$33),0,IF(AND(Mitarbeiter!$F$33&lt;&gt;"",BM$5&gt;Mitarbeiter!$F$33),0,IF(Planung!BM35="",$C35,IF(ISNUMBER(Planung!BM35),Planung!BM35,IF(UPPER(Planung!BM35)="H",$C35/2,0)))))))</f>
        <v>0</v>
      </c>
      <c r="BN35" s="27">
        <f>IF($A35="",0,IF(Mitarbeiter!$G$33=FALSE,0,IF(AND(Mitarbeiter!$E$33&lt;&gt;"",BN$5+6&lt;Mitarbeiter!$E$33),0,IF(AND(Mitarbeiter!$F$33&lt;&gt;"",BN$5&gt;Mitarbeiter!$F$33),0,IF(Planung!BN35="",$C35,IF(ISNUMBER(Planung!BN35),Planung!BN35,IF(UPPER(Planung!BN35)="H",$C35/2,0)))))))</f>
        <v>0</v>
      </c>
      <c r="BO35" s="27">
        <f>IF($A35="",0,IF(Mitarbeiter!$G$33=FALSE,0,IF(AND(Mitarbeiter!$E$33&lt;&gt;"",BO$5+6&lt;Mitarbeiter!$E$33),0,IF(AND(Mitarbeiter!$F$33&lt;&gt;"",BO$5&gt;Mitarbeiter!$F$33),0,IF(Planung!BO35="",$C35,IF(ISNUMBER(Planung!BO35),Planung!BO35,IF(UPPER(Planung!BO35)="H",$C35/2,0)))))))</f>
        <v>0</v>
      </c>
      <c r="BP35" s="27">
        <f>IF($A35="",0,IF(Mitarbeiter!$G$33=FALSE,0,IF(AND(Mitarbeiter!$E$33&lt;&gt;"",BP$5+6&lt;Mitarbeiter!$E$33),0,IF(AND(Mitarbeiter!$F$33&lt;&gt;"",BP$5&gt;Mitarbeiter!$F$33),0,IF(Planung!BP35="",$C35,IF(ISNUMBER(Planung!BP35),Planung!BP35,IF(UPPER(Planung!BP35)="H",$C35/2,0)))))))</f>
        <v>0</v>
      </c>
      <c r="BQ35" s="27">
        <f>IF($A35="",0,IF(Mitarbeiter!$G$33=FALSE,0,IF(AND(Mitarbeiter!$E$33&lt;&gt;"",BQ$5+6&lt;Mitarbeiter!$E$33),0,IF(AND(Mitarbeiter!$F$33&lt;&gt;"",BQ$5&gt;Mitarbeiter!$F$33),0,IF(Planung!BQ35="",$C35,IF(ISNUMBER(Planung!BQ35),Planung!BQ35,IF(UPPER(Planung!BQ35)="H",$C35/2,0)))))))</f>
        <v>0</v>
      </c>
      <c r="BR35" s="27">
        <f>IF($A35="",0,IF(Mitarbeiter!$G$33=FALSE,0,IF(AND(Mitarbeiter!$E$33&lt;&gt;"",BR$5+6&lt;Mitarbeiter!$E$33),0,IF(AND(Mitarbeiter!$F$33&lt;&gt;"",BR$5&gt;Mitarbeiter!$F$33),0,IF(Planung!BR35="",$C35,IF(ISNUMBER(Planung!BR35),Planung!BR35,IF(UPPER(Planung!BR35)="H",$C35/2,0)))))))</f>
        <v>0</v>
      </c>
      <c r="BS35" s="27">
        <f>IF($A35="",0,IF(Mitarbeiter!$G$33=FALSE,0,IF(AND(Mitarbeiter!$E$33&lt;&gt;"",BS$5+6&lt;Mitarbeiter!$E$33),0,IF(AND(Mitarbeiter!$F$33&lt;&gt;"",BS$5&gt;Mitarbeiter!$F$33),0,IF(Planung!BS35="",$C35,IF(ISNUMBER(Planung!BS35),Planung!BS35,IF(UPPER(Planung!BS35)="H",$C35/2,0)))))))</f>
        <v>0</v>
      </c>
      <c r="BT35" s="27">
        <f>IF($A35="",0,IF(Mitarbeiter!$G$33=FALSE,0,IF(AND(Mitarbeiter!$E$33&lt;&gt;"",BT$5+6&lt;Mitarbeiter!$E$33),0,IF(AND(Mitarbeiter!$F$33&lt;&gt;"",BT$5&gt;Mitarbeiter!$F$33),0,IF(Planung!BT35="",$C35,IF(ISNUMBER(Planung!BT35),Planung!BT35,IF(UPPER(Planung!BT35)="H",$C35/2,0)))))))</f>
        <v>0</v>
      </c>
      <c r="BU35" s="27">
        <f>IF($A35="",0,IF(Mitarbeiter!$G$33=FALSE,0,IF(AND(Mitarbeiter!$E$33&lt;&gt;"",BU$5+6&lt;Mitarbeiter!$E$33),0,IF(AND(Mitarbeiter!$F$33&lt;&gt;"",BU$5&gt;Mitarbeiter!$F$33),0,IF(Planung!BU35="",$C35,IF(ISNUMBER(Planung!BU35),Planung!BU35,IF(UPPER(Planung!BU35)="H",$C35/2,0)))))))</f>
        <v>0</v>
      </c>
      <c r="BV35" s="27">
        <f>IF($A35="",0,IF(Mitarbeiter!$G$33=FALSE,0,IF(AND(Mitarbeiter!$E$33&lt;&gt;"",BV$5+6&lt;Mitarbeiter!$E$33),0,IF(AND(Mitarbeiter!$F$33&lt;&gt;"",BV$5&gt;Mitarbeiter!$F$33),0,IF(Planung!BV35="",$C35,IF(ISNUMBER(Planung!BV35),Planung!BV35,IF(UPPER(Planung!BV35)="H",$C35/2,0)))))))</f>
        <v>0</v>
      </c>
      <c r="BW35" s="27">
        <f>IF($A35="",0,IF(Mitarbeiter!$G$33=FALSE,0,IF(AND(Mitarbeiter!$E$33&lt;&gt;"",BW$5+6&lt;Mitarbeiter!$E$33),0,IF(AND(Mitarbeiter!$F$33&lt;&gt;"",BW$5&gt;Mitarbeiter!$F$33),0,IF(Planung!BW35="",$C35,IF(ISNUMBER(Planung!BW35),Planung!BW35,IF(UPPER(Planung!BW35)="H",$C35/2,0)))))))</f>
        <v>0</v>
      </c>
      <c r="BX35" s="27">
        <f>IF($A35="",0,IF(Mitarbeiter!$G$33=FALSE,0,IF(AND(Mitarbeiter!$E$33&lt;&gt;"",BX$5+6&lt;Mitarbeiter!$E$33),0,IF(AND(Mitarbeiter!$F$33&lt;&gt;"",BX$5&gt;Mitarbeiter!$F$33),0,IF(Planung!BX35="",$C35,IF(ISNUMBER(Planung!BX35),Planung!BX35,IF(UPPER(Planung!BX35)="H",$C35/2,0)))))))</f>
        <v>0</v>
      </c>
      <c r="BY35" s="27">
        <f>IF($A35="",0,IF(Mitarbeiter!$G$33=FALSE,0,IF(AND(Mitarbeiter!$E$33&lt;&gt;"",BY$5+6&lt;Mitarbeiter!$E$33),0,IF(AND(Mitarbeiter!$F$33&lt;&gt;"",BY$5&gt;Mitarbeiter!$F$33),0,IF(Planung!BY35="",$C35,IF(ISNUMBER(Planung!BY35),Planung!BY35,IF(UPPER(Planung!BY35)="H",$C35/2,0)))))))</f>
        <v>0</v>
      </c>
      <c r="BZ35" s="27">
        <f>IF($A35="",0,IF(Mitarbeiter!$G$33=FALSE,0,IF(AND(Mitarbeiter!$E$33&lt;&gt;"",BZ$5+6&lt;Mitarbeiter!$E$33),0,IF(AND(Mitarbeiter!$F$33&lt;&gt;"",BZ$5&gt;Mitarbeiter!$F$33),0,IF(Planung!BZ35="",$C35,IF(ISNUMBER(Planung!BZ35),Planung!BZ35,IF(UPPER(Planung!BZ35)="H",$C35/2,0)))))))</f>
        <v>0</v>
      </c>
      <c r="CA35" s="27">
        <f>IF($A35="",0,IF(Mitarbeiter!$G$33=FALSE,0,IF(AND(Mitarbeiter!$E$33&lt;&gt;"",CA$5+6&lt;Mitarbeiter!$E$33),0,IF(AND(Mitarbeiter!$F$33&lt;&gt;"",CA$5&gt;Mitarbeiter!$F$33),0,IF(Planung!CA35="",$C35,IF(ISNUMBER(Planung!CA35),Planung!CA35,IF(UPPER(Planung!CA35)="H",$C35/2,0)))))))</f>
        <v>0</v>
      </c>
      <c r="CB35" s="27">
        <f>IF($A35="",0,IF(Mitarbeiter!$G$33=FALSE,0,IF(AND(Mitarbeiter!$E$33&lt;&gt;"",CB$5+6&lt;Mitarbeiter!$E$33),0,IF(AND(Mitarbeiter!$F$33&lt;&gt;"",CB$5&gt;Mitarbeiter!$F$33),0,IF(Planung!CB35="",$C35,IF(ISNUMBER(Planung!CB35),Planung!CB35,IF(UPPER(Planung!CB35)="H",$C35/2,0)))))))</f>
        <v>0</v>
      </c>
      <c r="CC35" s="27">
        <f>IF($A35="",0,IF(Mitarbeiter!$G$33=FALSE,0,IF(AND(Mitarbeiter!$E$33&lt;&gt;"",CC$5+6&lt;Mitarbeiter!$E$33),0,IF(AND(Mitarbeiter!$F$33&lt;&gt;"",CC$5&gt;Mitarbeiter!$F$33),0,IF(Planung!CC35="",$C35,IF(ISNUMBER(Planung!CC35),Planung!CC35,IF(UPPER(Planung!CC35)="H",$C35/2,0)))))))</f>
        <v>0</v>
      </c>
      <c r="CD35" s="27">
        <f>IF($A35="",0,IF(Mitarbeiter!$G$33=FALSE,0,IF(AND(Mitarbeiter!$E$33&lt;&gt;"",CD$5+6&lt;Mitarbeiter!$E$33),0,IF(AND(Mitarbeiter!$F$33&lt;&gt;"",CD$5&gt;Mitarbeiter!$F$33),0,IF(Planung!CD35="",$C35,IF(ISNUMBER(Planung!CD35),Planung!CD35,IF(UPPER(Planung!CD35)="H",$C35/2,0)))))))</f>
        <v>0</v>
      </c>
      <c r="CE35" s="27">
        <f>IF($A35="",0,IF(Mitarbeiter!$G$33=FALSE,0,IF(AND(Mitarbeiter!$E$33&lt;&gt;"",CE$5+6&lt;Mitarbeiter!$E$33),0,IF(AND(Mitarbeiter!$F$33&lt;&gt;"",CE$5&gt;Mitarbeiter!$F$33),0,IF(Planung!CE35="",$C35,IF(ISNUMBER(Planung!CE35),Planung!CE35,IF(UPPER(Planung!CE35)="H",$C35/2,0)))))))</f>
        <v>0</v>
      </c>
      <c r="CF35" s="27">
        <f>IF($A35="",0,IF(Mitarbeiter!$G$33=FALSE,0,IF(AND(Mitarbeiter!$E$33&lt;&gt;"",CF$5+6&lt;Mitarbeiter!$E$33),0,IF(AND(Mitarbeiter!$F$33&lt;&gt;"",CF$5&gt;Mitarbeiter!$F$33),0,IF(Planung!CF35="",$C35,IF(ISNUMBER(Planung!CF35),Planung!CF35,IF(UPPER(Planung!CF35)="H",$C35/2,0)))))))</f>
        <v>0</v>
      </c>
      <c r="CG35" s="27">
        <f>IF($A35="",0,IF(Mitarbeiter!$G$33=FALSE,0,IF(AND(Mitarbeiter!$E$33&lt;&gt;"",CG$5+6&lt;Mitarbeiter!$E$33),0,IF(AND(Mitarbeiter!$F$33&lt;&gt;"",CG$5&gt;Mitarbeiter!$F$33),0,IF(Planung!CG35="",$C35,IF(ISNUMBER(Planung!CG35),Planung!CG35,IF(UPPER(Planung!CG35)="H",$C35/2,0)))))))</f>
        <v>0</v>
      </c>
      <c r="CH35" s="27">
        <f>IF($A35="",0,IF(Mitarbeiter!$G$33=FALSE,0,IF(AND(Mitarbeiter!$E$33&lt;&gt;"",CH$5+6&lt;Mitarbeiter!$E$33),0,IF(AND(Mitarbeiter!$F$33&lt;&gt;"",CH$5&gt;Mitarbeiter!$F$33),0,IF(Planung!CH35="",$C35,IF(ISNUMBER(Planung!CH35),Planung!CH35,IF(UPPER(Planung!CH35)="H",$C35/2,0)))))))</f>
        <v>0</v>
      </c>
      <c r="CI35" s="27">
        <f>IF($A35="",0,IF(Mitarbeiter!$G$33=FALSE,0,IF(AND(Mitarbeiter!$E$33&lt;&gt;"",CI$5+6&lt;Mitarbeiter!$E$33),0,IF(AND(Mitarbeiter!$F$33&lt;&gt;"",CI$5&gt;Mitarbeiter!$F$33),0,IF(Planung!CI35="",$C35,IF(ISNUMBER(Planung!CI35),Planung!CI35,IF(UPPER(Planung!CI35)="H",$C35/2,0)))))))</f>
        <v>0</v>
      </c>
      <c r="CJ35" s="27">
        <f>IF($A35="",0,IF(Mitarbeiter!$G$33=FALSE,0,IF(AND(Mitarbeiter!$E$33&lt;&gt;"",CJ$5+6&lt;Mitarbeiter!$E$33),0,IF(AND(Mitarbeiter!$F$33&lt;&gt;"",CJ$5&gt;Mitarbeiter!$F$33),0,IF(Planung!CJ35="",$C35,IF(ISNUMBER(Planung!CJ35),Planung!CJ35,IF(UPPER(Planung!CJ35)="H",$C35/2,0)))))))</f>
        <v>0</v>
      </c>
      <c r="CK35" s="27">
        <f>IF($A35="",0,IF(Mitarbeiter!$G$33=FALSE,0,IF(AND(Mitarbeiter!$E$33&lt;&gt;"",CK$5+6&lt;Mitarbeiter!$E$33),0,IF(AND(Mitarbeiter!$F$33&lt;&gt;"",CK$5&gt;Mitarbeiter!$F$33),0,IF(Planung!CK35="",$C35,IF(ISNUMBER(Planung!CK35),Planung!CK35,IF(UPPER(Planung!CK35)="H",$C35/2,0)))))))</f>
        <v>0</v>
      </c>
      <c r="CL35" s="27">
        <f>IF($A35="",0,IF(Mitarbeiter!$G$33=FALSE,0,IF(AND(Mitarbeiter!$E$33&lt;&gt;"",CL$5+6&lt;Mitarbeiter!$E$33),0,IF(AND(Mitarbeiter!$F$33&lt;&gt;"",CL$5&gt;Mitarbeiter!$F$33),0,IF(Planung!CL35="",$C35,IF(ISNUMBER(Planung!CL35),Planung!CL35,IF(UPPER(Planung!CL35)="H",$C35/2,0)))))))</f>
        <v>0</v>
      </c>
      <c r="CM35" s="27">
        <f>IF($A35="",0,IF(Mitarbeiter!$G$33=FALSE,0,IF(AND(Mitarbeiter!$E$33&lt;&gt;"",CM$5+6&lt;Mitarbeiter!$E$33),0,IF(AND(Mitarbeiter!$F$33&lt;&gt;"",CM$5&gt;Mitarbeiter!$F$33),0,IF(Planung!CM35="",$C35,IF(ISNUMBER(Planung!CM35),Planung!CM35,IF(UPPER(Planung!CM35)="H",$C35/2,0)))))))</f>
        <v>0</v>
      </c>
      <c r="CN35" s="27">
        <f>IF($A35="",0,IF(Mitarbeiter!$G$33=FALSE,0,IF(AND(Mitarbeiter!$E$33&lt;&gt;"",CN$5+6&lt;Mitarbeiter!$E$33),0,IF(AND(Mitarbeiter!$F$33&lt;&gt;"",CN$5&gt;Mitarbeiter!$F$33),0,IF(Planung!CN35="",$C35,IF(ISNUMBER(Planung!CN35),Planung!CN35,IF(UPPER(Planung!CN35)="H",$C35/2,0)))))))</f>
        <v>0</v>
      </c>
      <c r="CO35" s="27">
        <f>IF($A35="",0,IF(Mitarbeiter!$G$33=FALSE,0,IF(AND(Mitarbeiter!$E$33&lt;&gt;"",CO$5+6&lt;Mitarbeiter!$E$33),0,IF(AND(Mitarbeiter!$F$33&lt;&gt;"",CO$5&gt;Mitarbeiter!$F$33),0,IF(Planung!CO35="",$C35,IF(ISNUMBER(Planung!CO35),Planung!CO35,IF(UPPER(Planung!CO35)="H",$C35/2,0)))))))</f>
        <v>0</v>
      </c>
      <c r="CP35" s="27">
        <f>IF($A35="",0,IF(Mitarbeiter!$G$33=FALSE,0,IF(AND(Mitarbeiter!$E$33&lt;&gt;"",CP$5+6&lt;Mitarbeiter!$E$33),0,IF(AND(Mitarbeiter!$F$33&lt;&gt;"",CP$5&gt;Mitarbeiter!$F$33),0,IF(Planung!CP35="",$C35,IF(ISNUMBER(Planung!CP35),Planung!CP35,IF(UPPER(Planung!CP35)="H",$C35/2,0)))))))</f>
        <v>0</v>
      </c>
      <c r="CQ35" s="27">
        <f>IF($A35="",0,IF(Mitarbeiter!$G$33=FALSE,0,IF(AND(Mitarbeiter!$E$33&lt;&gt;"",CQ$5+6&lt;Mitarbeiter!$E$33),0,IF(AND(Mitarbeiter!$F$33&lt;&gt;"",CQ$5&gt;Mitarbeiter!$F$33),0,IF(Planung!CQ35="",$C35,IF(ISNUMBER(Planung!CQ35),Planung!CQ35,IF(UPPER(Planung!CQ35)="H",$C35/2,0)))))))</f>
        <v>0</v>
      </c>
      <c r="CR35" s="27">
        <f>IF($A35="",0,IF(Mitarbeiter!$G$33=FALSE,0,IF(AND(Mitarbeiter!$E$33&lt;&gt;"",CR$5+6&lt;Mitarbeiter!$E$33),0,IF(AND(Mitarbeiter!$F$33&lt;&gt;"",CR$5&gt;Mitarbeiter!$F$33),0,IF(Planung!CR35="",$C35,IF(ISNUMBER(Planung!CR35),Planung!CR35,IF(UPPER(Planung!CR35)="H",$C35/2,0)))))))</f>
        <v>0</v>
      </c>
      <c r="CS35" s="27">
        <f>IF($A35="",0,IF(Mitarbeiter!$G$33=FALSE,0,IF(AND(Mitarbeiter!$E$33&lt;&gt;"",CS$5+6&lt;Mitarbeiter!$E$33),0,IF(AND(Mitarbeiter!$F$33&lt;&gt;"",CS$5&gt;Mitarbeiter!$F$33),0,IF(Planung!CS35="",$C35,IF(ISNUMBER(Planung!CS35),Planung!CS35,IF(UPPER(Planung!CS35)="H",$C35/2,0)))))))</f>
        <v>0</v>
      </c>
      <c r="CT35" s="27">
        <f>IF($A35="",0,IF(Mitarbeiter!$G$33=FALSE,0,IF(AND(Mitarbeiter!$E$33&lt;&gt;"",CT$5+6&lt;Mitarbeiter!$E$33),0,IF(AND(Mitarbeiter!$F$33&lt;&gt;"",CT$5&gt;Mitarbeiter!$F$33),0,IF(Planung!CT35="",$C35,IF(ISNUMBER(Planung!CT35),Planung!CT35,IF(UPPER(Planung!CT35)="H",$C35/2,0)))))))</f>
        <v>0</v>
      </c>
      <c r="CU35" s="27">
        <f>IF($A35="",0,IF(Mitarbeiter!$G$33=FALSE,0,IF(AND(Mitarbeiter!$E$33&lt;&gt;"",CU$5+6&lt;Mitarbeiter!$E$33),0,IF(AND(Mitarbeiter!$F$33&lt;&gt;"",CU$5&gt;Mitarbeiter!$F$33),0,IF(Planung!CU35="",$C35,IF(ISNUMBER(Planung!CU35),Planung!CU35,IF(UPPER(Planung!CU35)="H",$C35/2,0)))))))</f>
        <v>0</v>
      </c>
      <c r="CV35" s="27">
        <f>IF($A35="",0,IF(Mitarbeiter!$G$33=FALSE,0,IF(AND(Mitarbeiter!$E$33&lt;&gt;"",CV$5+6&lt;Mitarbeiter!$E$33),0,IF(AND(Mitarbeiter!$F$33&lt;&gt;"",CV$5&gt;Mitarbeiter!$F$33),0,IF(Planung!CV35="",$C35,IF(ISNUMBER(Planung!CV35),Planung!CV35,IF(UPPER(Planung!CV35)="H",$C35/2,0)))))))</f>
        <v>0</v>
      </c>
      <c r="CW35" s="27">
        <f>IF($A35="",0,IF(Mitarbeiter!$G$33=FALSE,0,IF(AND(Mitarbeiter!$E$33&lt;&gt;"",CW$5+6&lt;Mitarbeiter!$E$33),0,IF(AND(Mitarbeiter!$F$33&lt;&gt;"",CW$5&gt;Mitarbeiter!$F$33),0,IF(Planung!CW35="",$C35,IF(ISNUMBER(Planung!CW35),Planung!CW35,IF(UPPER(Planung!CW35)="H",$C35/2,0)))))))</f>
        <v>0</v>
      </c>
      <c r="CX35" s="27">
        <f>IF($A35="",0,IF(Mitarbeiter!$G$33=FALSE,0,IF(AND(Mitarbeiter!$E$33&lt;&gt;"",CX$5+6&lt;Mitarbeiter!$E$33),0,IF(AND(Mitarbeiter!$F$33&lt;&gt;"",CX$5&gt;Mitarbeiter!$F$33),0,IF(Planung!CX35="",$C35,IF(ISNUMBER(Planung!CX35),Planung!CX35,IF(UPPER(Planung!CX35)="H",$C35/2,0)))))))</f>
        <v>0</v>
      </c>
      <c r="CY35" s="27">
        <f>IF($A35="",0,IF(Mitarbeiter!$G$33=FALSE,0,IF(AND(Mitarbeiter!$E$33&lt;&gt;"",CY$5+6&lt;Mitarbeiter!$E$33),0,IF(AND(Mitarbeiter!$F$33&lt;&gt;"",CY$5&gt;Mitarbeiter!$F$33),0,IF(Planung!CY35="",$C35,IF(ISNUMBER(Planung!CY35),Planung!CY35,IF(UPPER(Planung!CY35)="H",$C35/2,0)))))))</f>
        <v>0</v>
      </c>
      <c r="CZ35" s="27">
        <f>IF($A35="",0,IF(Mitarbeiter!$G$33=FALSE,0,IF(AND(Mitarbeiter!$E$33&lt;&gt;"",CZ$5+6&lt;Mitarbeiter!$E$33),0,IF(AND(Mitarbeiter!$F$33&lt;&gt;"",CZ$5&gt;Mitarbeiter!$F$33),0,IF(Planung!CZ35="",$C35,IF(ISNUMBER(Planung!CZ35),Planung!CZ35,IF(UPPER(Planung!CZ35)="H",$C35/2,0)))))))</f>
        <v>0</v>
      </c>
      <c r="DA35" s="27">
        <f>IF($A35="",0,IF(Mitarbeiter!$G$33=FALSE,0,IF(AND(Mitarbeiter!$E$33&lt;&gt;"",DA$5+6&lt;Mitarbeiter!$E$33),0,IF(AND(Mitarbeiter!$F$33&lt;&gt;"",DA$5&gt;Mitarbeiter!$F$33),0,IF(Planung!DA35="",$C35,IF(ISNUMBER(Planung!DA35),Planung!DA35,IF(UPPER(Planung!DA35)="H",$C35/2,0)))))))</f>
        <v>0</v>
      </c>
      <c r="DB35" s="27">
        <f>IF($A35="",0,IF(Mitarbeiter!$G$33=FALSE,0,IF(AND(Mitarbeiter!$E$33&lt;&gt;"",DB$5+6&lt;Mitarbeiter!$E$33),0,IF(AND(Mitarbeiter!$F$33&lt;&gt;"",DB$5&gt;Mitarbeiter!$F$33),0,IF(Planung!DB35="",$C35,IF(ISNUMBER(Planung!DB35),Planung!DB35,IF(UPPER(Planung!DB35)="H",$C35/2,0)))))))</f>
        <v>0</v>
      </c>
      <c r="DC35" s="27">
        <f>IF($A35="",0,IF(Mitarbeiter!$G$33=FALSE,0,IF(AND(Mitarbeiter!$E$33&lt;&gt;"",DC$5+6&lt;Mitarbeiter!$E$33),0,IF(AND(Mitarbeiter!$F$33&lt;&gt;"",DC$5&gt;Mitarbeiter!$F$33),0,IF(Planung!DC35="",$C35,IF(ISNUMBER(Planung!DC35),Planung!DC35,IF(UPPER(Planung!DC35)="H",$C35/2,0)))))))</f>
        <v>0</v>
      </c>
      <c r="DD35" s="27">
        <f>IF($A35="",0,IF(Mitarbeiter!$G$33=FALSE,0,IF(AND(Mitarbeiter!$E$33&lt;&gt;"",DD$5+6&lt;Mitarbeiter!$E$33),0,IF(AND(Mitarbeiter!$F$33&lt;&gt;"",DD$5&gt;Mitarbeiter!$F$33),0,IF(Planung!DD35="",$C35,IF(ISNUMBER(Planung!DD35),Planung!DD35,IF(UPPER(Planung!DD35)="H",$C35/2,0)))))))</f>
        <v>0</v>
      </c>
      <c r="DE35" s="27">
        <f>IF($A35="",0,IF(Mitarbeiter!$G$33=FALSE,0,IF(AND(Mitarbeiter!$E$33&lt;&gt;"",DE$5+6&lt;Mitarbeiter!$E$33),0,IF(AND(Mitarbeiter!$F$33&lt;&gt;"",DE$5&gt;Mitarbeiter!$F$33),0,IF(Planung!DE35="",$C35,IF(ISNUMBER(Planung!DE35),Planung!DE35,IF(UPPER(Planung!DE35)="H",$C35/2,0)))))))</f>
        <v>0</v>
      </c>
      <c r="DF35" s="27">
        <f>IF($A35="",0,IF(Mitarbeiter!$G$33=FALSE,0,IF(AND(Mitarbeiter!$E$33&lt;&gt;"",DF$5+6&lt;Mitarbeiter!$E$33),0,IF(AND(Mitarbeiter!$F$33&lt;&gt;"",DF$5&gt;Mitarbeiter!$F$33),0,IF(Planung!DF35="",$C35,IF(ISNUMBER(Planung!DF35),Planung!DF35,IF(UPPER(Planung!DF35)="H",$C35/2,0)))))))</f>
        <v>0</v>
      </c>
      <c r="DG35" s="27">
        <f>IF($A35="",0,IF(Mitarbeiter!$G$33=FALSE,0,IF(AND(Mitarbeiter!$E$33&lt;&gt;"",DG$5+6&lt;Mitarbeiter!$E$33),0,IF(AND(Mitarbeiter!$F$33&lt;&gt;"",DG$5&gt;Mitarbeiter!$F$33),0,IF(Planung!DG35="",$C35,IF(ISNUMBER(Planung!DG35),Planung!DG35,IF(UPPER(Planung!DG35)="H",$C35/2,0)))))))</f>
        <v>0</v>
      </c>
      <c r="DH35" s="27">
        <f>IF($A35="",0,IF(Mitarbeiter!$G$33=FALSE,0,IF(AND(Mitarbeiter!$E$33&lt;&gt;"",DH$5+6&lt;Mitarbeiter!$E$33),0,IF(AND(Mitarbeiter!$F$33&lt;&gt;"",DH$5&gt;Mitarbeiter!$F$33),0,IF(Planung!DH35="",$C35,IF(ISNUMBER(Planung!DH35),Planung!DH35,IF(UPPER(Planung!DH35)="H",$C35/2,0)))))))</f>
        <v>0</v>
      </c>
      <c r="DI35" s="27">
        <f>IF($A35="",0,IF(Mitarbeiter!$G$33=FALSE,0,IF(AND(Mitarbeiter!$E$33&lt;&gt;"",DI$5+6&lt;Mitarbeiter!$E$33),0,IF(AND(Mitarbeiter!$F$33&lt;&gt;"",DI$5&gt;Mitarbeiter!$F$33),0,IF(Planung!DI35="",$C35,IF(ISNUMBER(Planung!DI35),Planung!DI35,IF(UPPER(Planung!DI35)="H",$C35/2,0)))))))</f>
        <v>0</v>
      </c>
      <c r="DJ35" s="27">
        <f>IF($A35="",0,IF(Mitarbeiter!$G$33=FALSE,0,IF(AND(Mitarbeiter!$E$33&lt;&gt;"",DJ$5+6&lt;Mitarbeiter!$E$33),0,IF(AND(Mitarbeiter!$F$33&lt;&gt;"",DJ$5&gt;Mitarbeiter!$F$33),0,IF(Planung!DJ35="",$C35,IF(ISNUMBER(Planung!DJ35),Planung!DJ35,IF(UPPER(Planung!DJ35)="H",$C35/2,0)))))))</f>
        <v>0</v>
      </c>
      <c r="DK35" s="27">
        <f>IF($A35="",0,IF(Mitarbeiter!$G$33=FALSE,0,IF(AND(Mitarbeiter!$E$33&lt;&gt;"",DK$5+6&lt;Mitarbeiter!$E$33),0,IF(AND(Mitarbeiter!$F$33&lt;&gt;"",DK$5&gt;Mitarbeiter!$F$33),0,IF(Planung!DK35="",$C35,IF(ISNUMBER(Planung!DK35),Planung!DK35,IF(UPPER(Planung!DK35)="H",$C35/2,0)))))))</f>
        <v>0</v>
      </c>
      <c r="DL35" s="27">
        <f>IF($A35="",0,IF(Mitarbeiter!$G$33=FALSE,0,IF(AND(Mitarbeiter!$E$33&lt;&gt;"",DL$5+6&lt;Mitarbeiter!$E$33),0,IF(AND(Mitarbeiter!$F$33&lt;&gt;"",DL$5&gt;Mitarbeiter!$F$33),0,IF(Planung!DL35="",$C35,IF(ISNUMBER(Planung!DL35),Planung!DL35,IF(UPPER(Planung!DL35)="H",$C35/2,0)))))))</f>
        <v>0</v>
      </c>
      <c r="DM35" s="27">
        <f>IF($A35="",0,IF(Mitarbeiter!$G$33=FALSE,0,IF(AND(Mitarbeiter!$E$33&lt;&gt;"",DM$5+6&lt;Mitarbeiter!$E$33),0,IF(AND(Mitarbeiter!$F$33&lt;&gt;"",DM$5&gt;Mitarbeiter!$F$33),0,IF(Planung!DM35="",$C35,IF(ISNUMBER(Planung!DM35),Planung!DM35,IF(UPPER(Planung!DM35)="H",$C35/2,0)))))))</f>
        <v>0</v>
      </c>
      <c r="DN35" s="27">
        <f>IF($A35="",0,IF(Mitarbeiter!$G$33=FALSE,0,IF(AND(Mitarbeiter!$E$33&lt;&gt;"",DN$5+6&lt;Mitarbeiter!$E$33),0,IF(AND(Mitarbeiter!$F$33&lt;&gt;"",DN$5&gt;Mitarbeiter!$F$33),0,IF(Planung!DN35="",$C35,IF(ISNUMBER(Planung!DN35),Planung!DN35,IF(UPPER(Planung!DN35)="H",$C35/2,0)))))))</f>
        <v>0</v>
      </c>
      <c r="DO35" s="27">
        <f>IF($A35="",0,IF(Mitarbeiter!$G$33=FALSE,0,IF(AND(Mitarbeiter!$E$33&lt;&gt;"",DO$5+6&lt;Mitarbeiter!$E$33),0,IF(AND(Mitarbeiter!$F$33&lt;&gt;"",DO$5&gt;Mitarbeiter!$F$33),0,IF(Planung!DO35="",$C35,IF(ISNUMBER(Planung!DO35),Planung!DO35,IF(UPPER(Planung!DO35)="H",$C35/2,0)))))))</f>
        <v>0</v>
      </c>
      <c r="DP35" s="27">
        <f>IF($A35="",0,IF(Mitarbeiter!$G$33=FALSE,0,IF(AND(Mitarbeiter!$E$33&lt;&gt;"",DP$5+6&lt;Mitarbeiter!$E$33),0,IF(AND(Mitarbeiter!$F$33&lt;&gt;"",DP$5&gt;Mitarbeiter!$F$33),0,IF(Planung!DP35="",$C35,IF(ISNUMBER(Planung!DP35),Planung!DP35,IF(UPPER(Planung!DP35)="H",$C35/2,0)))))))</f>
        <v>0</v>
      </c>
      <c r="DQ35" s="27">
        <f>IF($A35="",0,IF(Mitarbeiter!$G$33=FALSE,0,IF(AND(Mitarbeiter!$E$33&lt;&gt;"",DQ$5+6&lt;Mitarbeiter!$E$33),0,IF(AND(Mitarbeiter!$F$33&lt;&gt;"",DQ$5&gt;Mitarbeiter!$F$33),0,IF(Planung!DQ35="",$C35,IF(ISNUMBER(Planung!DQ35),Planung!DQ35,IF(UPPER(Planung!DQ35)="H",$C35/2,0)))))))</f>
        <v>0</v>
      </c>
      <c r="DR35" s="27">
        <f>IF($A35="",0,IF(Mitarbeiter!$G$33=FALSE,0,IF(AND(Mitarbeiter!$E$33&lt;&gt;"",DR$5+6&lt;Mitarbeiter!$E$33),0,IF(AND(Mitarbeiter!$F$33&lt;&gt;"",DR$5&gt;Mitarbeiter!$F$33),0,IF(Planung!DR35="",$C35,IF(ISNUMBER(Planung!DR35),Planung!DR35,IF(UPPER(Planung!DR35)="H",$C35/2,0)))))))</f>
        <v>0</v>
      </c>
      <c r="DS35" s="27">
        <f>IF($A35="",0,IF(Mitarbeiter!$G$33=FALSE,0,IF(AND(Mitarbeiter!$E$33&lt;&gt;"",DS$5+6&lt;Mitarbeiter!$E$33),0,IF(AND(Mitarbeiter!$F$33&lt;&gt;"",DS$5&gt;Mitarbeiter!$F$33),0,IF(Planung!DS35="",$C35,IF(ISNUMBER(Planung!DS35),Planung!DS35,IF(UPPER(Planung!DS35)="H",$C35/2,0)))))))</f>
        <v>0</v>
      </c>
      <c r="DT35" s="27">
        <f>IF($A35="",0,IF(Mitarbeiter!$G$33=FALSE,0,IF(AND(Mitarbeiter!$E$33&lt;&gt;"",DT$5+6&lt;Mitarbeiter!$E$33),0,IF(AND(Mitarbeiter!$F$33&lt;&gt;"",DT$5&gt;Mitarbeiter!$F$33),0,IF(Planung!DT35="",$C35,IF(ISNUMBER(Planung!DT35),Planung!DT35,IF(UPPER(Planung!DT35)="H",$C35/2,0)))))))</f>
        <v>0</v>
      </c>
      <c r="DU35" s="27">
        <f>IF($A35="",0,IF(Mitarbeiter!$G$33=FALSE,0,IF(AND(Mitarbeiter!$E$33&lt;&gt;"",DU$5+6&lt;Mitarbeiter!$E$33),0,IF(AND(Mitarbeiter!$F$33&lt;&gt;"",DU$5&gt;Mitarbeiter!$F$33),0,IF(Planung!DU35="",$C35,IF(ISNUMBER(Planung!DU35),Planung!DU35,IF(UPPER(Planung!DU35)="H",$C35/2,0)))))))</f>
        <v>0</v>
      </c>
      <c r="DV35" s="27">
        <f>IF($A35="",0,IF(Mitarbeiter!$G$33=FALSE,0,IF(AND(Mitarbeiter!$E$33&lt;&gt;"",DV$5+6&lt;Mitarbeiter!$E$33),0,IF(AND(Mitarbeiter!$F$33&lt;&gt;"",DV$5&gt;Mitarbeiter!$F$33),0,IF(Planung!DV35="",$C35,IF(ISNUMBER(Planung!DV35),Planung!DV35,IF(UPPER(Planung!DV35)="H",$C35/2,0)))))))</f>
        <v>0</v>
      </c>
      <c r="DW35" s="27">
        <f>IF($A35="",0,IF(Mitarbeiter!$G$33=FALSE,0,IF(AND(Mitarbeiter!$E$33&lt;&gt;"",DW$5+6&lt;Mitarbeiter!$E$33),0,IF(AND(Mitarbeiter!$F$33&lt;&gt;"",DW$5&gt;Mitarbeiter!$F$33),0,IF(Planung!DW35="",$C35,IF(ISNUMBER(Planung!DW35),Planung!DW35,IF(UPPER(Planung!DW35)="H",$C35/2,0)))))))</f>
        <v>0</v>
      </c>
      <c r="DX35" s="27">
        <f>IF($A35="",0,IF(Mitarbeiter!$G$33=FALSE,0,IF(AND(Mitarbeiter!$E$33&lt;&gt;"",DX$5+6&lt;Mitarbeiter!$E$33),0,IF(AND(Mitarbeiter!$F$33&lt;&gt;"",DX$5&gt;Mitarbeiter!$F$33),0,IF(Planung!DX35="",$C35,IF(ISNUMBER(Planung!DX35),Planung!DX35,IF(UPPER(Planung!DX35)="H",$C35/2,0)))))))</f>
        <v>0</v>
      </c>
      <c r="DY35" s="27">
        <f>IF($A35="",0,IF(Mitarbeiter!$G$33=FALSE,0,IF(AND(Mitarbeiter!$E$33&lt;&gt;"",DY$5+6&lt;Mitarbeiter!$E$33),0,IF(AND(Mitarbeiter!$F$33&lt;&gt;"",DY$5&gt;Mitarbeiter!$F$33),0,IF(Planung!DY35="",$C35,IF(ISNUMBER(Planung!DY35),Planung!DY35,IF(UPPER(Planung!DY35)="H",$C35/2,0)))))))</f>
        <v>0</v>
      </c>
      <c r="DZ35" s="27">
        <f>IF($A35="",0,IF(Mitarbeiter!$G$33=FALSE,0,IF(AND(Mitarbeiter!$E$33&lt;&gt;"",DZ$5+6&lt;Mitarbeiter!$E$33),0,IF(AND(Mitarbeiter!$F$33&lt;&gt;"",DZ$5&gt;Mitarbeiter!$F$33),0,IF(Planung!DZ35="",$C35,IF(ISNUMBER(Planung!DZ35),Planung!DZ35,IF(UPPER(Planung!DZ35)="H",$C35/2,0)))))))</f>
        <v>0</v>
      </c>
      <c r="EA35" s="27">
        <f>IF($A35="",0,IF(Mitarbeiter!$G$33=FALSE,0,IF(AND(Mitarbeiter!$E$33&lt;&gt;"",EA$5+6&lt;Mitarbeiter!$E$33),0,IF(AND(Mitarbeiter!$F$33&lt;&gt;"",EA$5&gt;Mitarbeiter!$F$33),0,IF(Planung!EA35="",$C35,IF(ISNUMBER(Planung!EA35),Planung!EA35,IF(UPPER(Planung!EA35)="H",$C35/2,0)))))))</f>
        <v>0</v>
      </c>
      <c r="EB35" s="27">
        <f>IF($A35="",0,IF(Mitarbeiter!$G$33=FALSE,0,IF(AND(Mitarbeiter!$E$33&lt;&gt;"",EB$5+6&lt;Mitarbeiter!$E$33),0,IF(AND(Mitarbeiter!$F$33&lt;&gt;"",EB$5&gt;Mitarbeiter!$F$33),0,IF(Planung!EB35="",$C35,IF(ISNUMBER(Planung!EB35),Planung!EB35,IF(UPPER(Planung!EB35)="H",$C35/2,0)))))))</f>
        <v>0</v>
      </c>
      <c r="EC35" s="27">
        <f>IF($A35="",0,IF(Mitarbeiter!$G$33=FALSE,0,IF(AND(Mitarbeiter!$E$33&lt;&gt;"",EC$5+6&lt;Mitarbeiter!$E$33),0,IF(AND(Mitarbeiter!$F$33&lt;&gt;"",EC$5&gt;Mitarbeiter!$F$33),0,IF(Planung!EC35="",$C35,IF(ISNUMBER(Planung!EC35),Planung!EC35,IF(UPPER(Planung!EC35)="H",$C35/2,0)))))))</f>
        <v>0</v>
      </c>
      <c r="ED35" s="27">
        <f>IF($A35="",0,IF(Mitarbeiter!$G$33=FALSE,0,IF(AND(Mitarbeiter!$E$33&lt;&gt;"",ED$5+6&lt;Mitarbeiter!$E$33),0,IF(AND(Mitarbeiter!$F$33&lt;&gt;"",ED$5&gt;Mitarbeiter!$F$33),0,IF(Planung!ED35="",$C35,IF(ISNUMBER(Planung!ED35),Planung!ED35,IF(UPPER(Planung!ED35)="H",$C35/2,0)))))))</f>
        <v>0</v>
      </c>
      <c r="EE35" s="27">
        <f>IF($A35="",0,IF(Mitarbeiter!$G$33=FALSE,0,IF(AND(Mitarbeiter!$E$33&lt;&gt;"",EE$5+6&lt;Mitarbeiter!$E$33),0,IF(AND(Mitarbeiter!$F$33&lt;&gt;"",EE$5&gt;Mitarbeiter!$F$33),0,IF(Planung!EE35="",$C35,IF(ISNUMBER(Planung!EE35),Planung!EE35,IF(UPPER(Planung!EE35)="H",$C35/2,0)))))))</f>
        <v>0</v>
      </c>
      <c r="EF35" s="27">
        <f>IF($A35="",0,IF(Mitarbeiter!$G$33=FALSE,0,IF(AND(Mitarbeiter!$E$33&lt;&gt;"",EF$5+6&lt;Mitarbeiter!$E$33),0,IF(AND(Mitarbeiter!$F$33&lt;&gt;"",EF$5&gt;Mitarbeiter!$F$33),0,IF(Planung!EF35="",$C35,IF(ISNUMBER(Planung!EF35),Planung!EF35,IF(UPPER(Planung!EF35)="H",$C35/2,0)))))))</f>
        <v>0</v>
      </c>
      <c r="EG35" s="27">
        <f>IF($A35="",0,IF(Mitarbeiter!$G$33=FALSE,0,IF(AND(Mitarbeiter!$E$33&lt;&gt;"",EG$5+6&lt;Mitarbeiter!$E$33),0,IF(AND(Mitarbeiter!$F$33&lt;&gt;"",EG$5&gt;Mitarbeiter!$F$33),0,IF(Planung!EG35="",$C35,IF(ISNUMBER(Planung!EG35),Planung!EG35,IF(UPPER(Planung!EG35)="H",$C35/2,0)))))))</f>
        <v>0</v>
      </c>
      <c r="EH35" s="27">
        <f>IF($A35="",0,IF(Mitarbeiter!$G$33=FALSE,0,IF(AND(Mitarbeiter!$E$33&lt;&gt;"",EH$5+6&lt;Mitarbeiter!$E$33),0,IF(AND(Mitarbeiter!$F$33&lt;&gt;"",EH$5&gt;Mitarbeiter!$F$33),0,IF(Planung!EH35="",$C35,IF(ISNUMBER(Planung!EH35),Planung!EH35,IF(UPPER(Planung!EH35)="H",$C35/2,0)))))))</f>
        <v>0</v>
      </c>
      <c r="EI35" s="27">
        <f>IF($A35="",0,IF(Mitarbeiter!$G$33=FALSE,0,IF(AND(Mitarbeiter!$E$33&lt;&gt;"",EI$5+6&lt;Mitarbeiter!$E$33),0,IF(AND(Mitarbeiter!$F$33&lt;&gt;"",EI$5&gt;Mitarbeiter!$F$33),0,IF(Planung!EI35="",$C35,IF(ISNUMBER(Planung!EI35),Planung!EI35,IF(UPPER(Planung!EI35)="H",$C35/2,0)))))))</f>
        <v>0</v>
      </c>
      <c r="EJ35" s="27">
        <f>IF($A35="",0,IF(Mitarbeiter!$G$33=FALSE,0,IF(AND(Mitarbeiter!$E$33&lt;&gt;"",EJ$5+6&lt;Mitarbeiter!$E$33),0,IF(AND(Mitarbeiter!$F$33&lt;&gt;"",EJ$5&gt;Mitarbeiter!$F$33),0,IF(Planung!EJ35="",$C35,IF(ISNUMBER(Planung!EJ35),Planung!EJ35,IF(UPPER(Planung!EJ35)="H",$C35/2,0)))))))</f>
        <v>0</v>
      </c>
      <c r="EK35" s="27">
        <f>IF($A35="",0,IF(Mitarbeiter!$G$33=FALSE,0,IF(AND(Mitarbeiter!$E$33&lt;&gt;"",EK$5+6&lt;Mitarbeiter!$E$33),0,IF(AND(Mitarbeiter!$F$33&lt;&gt;"",EK$5&gt;Mitarbeiter!$F$33),0,IF(Planung!EK35="",$C35,IF(ISNUMBER(Planung!EK35),Planung!EK35,IF(UPPER(Planung!EK35)="H",$C35/2,0)))))))</f>
        <v>0</v>
      </c>
      <c r="EL35" s="27">
        <f>IF($A35="",0,IF(Mitarbeiter!$G$33=FALSE,0,IF(AND(Mitarbeiter!$E$33&lt;&gt;"",EL$5+6&lt;Mitarbeiter!$E$33),0,IF(AND(Mitarbeiter!$F$33&lt;&gt;"",EL$5&gt;Mitarbeiter!$F$33),0,IF(Planung!EL35="",$C35,IF(ISNUMBER(Planung!EL35),Planung!EL35,IF(UPPER(Planung!EL35)="H",$C35/2,0)))))))</f>
        <v>0</v>
      </c>
      <c r="EM35" s="27">
        <f>IF($A35="",0,IF(Mitarbeiter!$G$33=FALSE,0,IF(AND(Mitarbeiter!$E$33&lt;&gt;"",EM$5+6&lt;Mitarbeiter!$E$33),0,IF(AND(Mitarbeiter!$F$33&lt;&gt;"",EM$5&gt;Mitarbeiter!$F$33),0,IF(Planung!EM35="",$C35,IF(ISNUMBER(Planung!EM35),Planung!EM35,IF(UPPER(Planung!EM35)="H",$C35/2,0)))))))</f>
        <v>0</v>
      </c>
      <c r="EN35" s="27">
        <f>IF($A35="",0,IF(Mitarbeiter!$G$33=FALSE,0,IF(AND(Mitarbeiter!$E$33&lt;&gt;"",EN$5+6&lt;Mitarbeiter!$E$33),0,IF(AND(Mitarbeiter!$F$33&lt;&gt;"",EN$5&gt;Mitarbeiter!$F$33),0,IF(Planung!EN35="",$C35,IF(ISNUMBER(Planung!EN35),Planung!EN35,IF(UPPER(Planung!EN35)="H",$C35/2,0)))))))</f>
        <v>0</v>
      </c>
      <c r="EO35" s="27">
        <f>IF($A35="",0,IF(Mitarbeiter!$G$33=FALSE,0,IF(AND(Mitarbeiter!$E$33&lt;&gt;"",EO$5+6&lt;Mitarbeiter!$E$33),0,IF(AND(Mitarbeiter!$F$33&lt;&gt;"",EO$5&gt;Mitarbeiter!$F$33),0,IF(Planung!EO35="",$C35,IF(ISNUMBER(Planung!EO35),Planung!EO35,IF(UPPER(Planung!EO35)="H",$C35/2,0)))))))</f>
        <v>0</v>
      </c>
      <c r="EP35" s="27">
        <f>IF($A35="",0,IF(Mitarbeiter!$G$33=FALSE,0,IF(AND(Mitarbeiter!$E$33&lt;&gt;"",EP$5+6&lt;Mitarbeiter!$E$33),0,IF(AND(Mitarbeiter!$F$33&lt;&gt;"",EP$5&gt;Mitarbeiter!$F$33),0,IF(Planung!EP35="",$C35,IF(ISNUMBER(Planung!EP35),Planung!EP35,IF(UPPER(Planung!EP35)="H",$C35/2,0)))))))</f>
        <v>0</v>
      </c>
      <c r="EQ35" s="27">
        <f>IF($A35="",0,IF(Mitarbeiter!$G$33=FALSE,0,IF(AND(Mitarbeiter!$E$33&lt;&gt;"",EQ$5+6&lt;Mitarbeiter!$E$33),0,IF(AND(Mitarbeiter!$F$33&lt;&gt;"",EQ$5&gt;Mitarbeiter!$F$33),0,IF(Planung!EQ35="",$C35,IF(ISNUMBER(Planung!EQ35),Planung!EQ35,IF(UPPER(Planung!EQ35)="H",$C35/2,0)))))))</f>
        <v>0</v>
      </c>
      <c r="ER35" s="27">
        <f>IF($A35="",0,IF(Mitarbeiter!$G$33=FALSE,0,IF(AND(Mitarbeiter!$E$33&lt;&gt;"",ER$5+6&lt;Mitarbeiter!$E$33),0,IF(AND(Mitarbeiter!$F$33&lt;&gt;"",ER$5&gt;Mitarbeiter!$F$33),0,IF(Planung!ER35="",$C35,IF(ISNUMBER(Planung!ER35),Planung!ER35,IF(UPPER(Planung!ER35)="H",$C35/2,0)))))))</f>
        <v>0</v>
      </c>
      <c r="ES35" s="27">
        <f>IF($A35="",0,IF(Mitarbeiter!$G$33=FALSE,0,IF(AND(Mitarbeiter!$E$33&lt;&gt;"",ES$5+6&lt;Mitarbeiter!$E$33),0,IF(AND(Mitarbeiter!$F$33&lt;&gt;"",ES$5&gt;Mitarbeiter!$F$33),0,IF(Planung!ES35="",$C35,IF(ISNUMBER(Planung!ES35),Planung!ES35,IF(UPPER(Planung!ES35)="H",$C35/2,0)))))))</f>
        <v>0</v>
      </c>
      <c r="ET35" s="27">
        <f>IF($A35="",0,IF(Mitarbeiter!$G$33=FALSE,0,IF(AND(Mitarbeiter!$E$33&lt;&gt;"",ET$5+6&lt;Mitarbeiter!$E$33),0,IF(AND(Mitarbeiter!$F$33&lt;&gt;"",ET$5&gt;Mitarbeiter!$F$33),0,IF(Planung!ET35="",$C35,IF(ISNUMBER(Planung!ET35),Planung!ET35,IF(UPPER(Planung!ET35)="H",$C35/2,0)))))))</f>
        <v>0</v>
      </c>
      <c r="EU35" s="27">
        <f>IF($A35="",0,IF(Mitarbeiter!$G$33=FALSE,0,IF(AND(Mitarbeiter!$E$33&lt;&gt;"",EU$5+6&lt;Mitarbeiter!$E$33),0,IF(AND(Mitarbeiter!$F$33&lt;&gt;"",EU$5&gt;Mitarbeiter!$F$33),0,IF(Planung!EU35="",$C35,IF(ISNUMBER(Planung!EU35),Planung!EU35,IF(UPPER(Planung!EU35)="H",$C35/2,0)))))))</f>
        <v>0</v>
      </c>
      <c r="EV35" s="27">
        <f>IF($A35="",0,IF(Mitarbeiter!$G$33=FALSE,0,IF(AND(Mitarbeiter!$E$33&lt;&gt;"",EV$5+6&lt;Mitarbeiter!$E$33),0,IF(AND(Mitarbeiter!$F$33&lt;&gt;"",EV$5&gt;Mitarbeiter!$F$33),0,IF(Planung!EV35="",$C35,IF(ISNUMBER(Planung!EV35),Planung!EV35,IF(UPPER(Planung!EV35)="H",$C35/2,0)))))))</f>
        <v>0</v>
      </c>
      <c r="EW35" s="27">
        <f>IF($A35="",0,IF(Mitarbeiter!$G$33=FALSE,0,IF(AND(Mitarbeiter!$E$33&lt;&gt;"",EW$5+6&lt;Mitarbeiter!$E$33),0,IF(AND(Mitarbeiter!$F$33&lt;&gt;"",EW$5&gt;Mitarbeiter!$F$33),0,IF(Planung!EW35="",$C35,IF(ISNUMBER(Planung!EW35),Planung!EW35,IF(UPPER(Planung!EW35)="H",$C35/2,0)))))))</f>
        <v>0</v>
      </c>
      <c r="EX35" s="27">
        <f>IF($A35="",0,IF(Mitarbeiter!$G$33=FALSE,0,IF(AND(Mitarbeiter!$E$33&lt;&gt;"",EX$5+6&lt;Mitarbeiter!$E$33),0,IF(AND(Mitarbeiter!$F$33&lt;&gt;"",EX$5&gt;Mitarbeiter!$F$33),0,IF(Planung!EX35="",$C35,IF(ISNUMBER(Planung!EX35),Planung!EX35,IF(UPPER(Planung!EX35)="H",$C35/2,0)))))))</f>
        <v>0</v>
      </c>
      <c r="EY35" s="27">
        <f>IF($A35="",0,IF(Mitarbeiter!$G$33=FALSE,0,IF(AND(Mitarbeiter!$E$33&lt;&gt;"",EY$5+6&lt;Mitarbeiter!$E$33),0,IF(AND(Mitarbeiter!$F$33&lt;&gt;"",EY$5&gt;Mitarbeiter!$F$33),0,IF(Planung!EY35="",$C35,IF(ISNUMBER(Planung!EY35),Planung!EY35,IF(UPPER(Planung!EY35)="H",$C35/2,0)))))))</f>
        <v>0</v>
      </c>
      <c r="EZ35" s="27">
        <f>IF($A35="",0,IF(Mitarbeiter!$G$33=FALSE,0,IF(AND(Mitarbeiter!$E$33&lt;&gt;"",EZ$5+6&lt;Mitarbeiter!$E$33),0,IF(AND(Mitarbeiter!$F$33&lt;&gt;"",EZ$5&gt;Mitarbeiter!$F$33),0,IF(Planung!EZ35="",$C35,IF(ISNUMBER(Planung!EZ35),Planung!EZ35,IF(UPPER(Planung!EZ35)="H",$C35/2,0)))))))</f>
        <v>0</v>
      </c>
      <c r="FA35" s="27">
        <f>IF($A35="",0,IF(Mitarbeiter!$G$33=FALSE,0,IF(AND(Mitarbeiter!$E$33&lt;&gt;"",FA$5+6&lt;Mitarbeiter!$E$33),0,IF(AND(Mitarbeiter!$F$33&lt;&gt;"",FA$5&gt;Mitarbeiter!$F$33),0,IF(Planung!FA35="",$C35,IF(ISNUMBER(Planung!FA35),Planung!FA35,IF(UPPER(Planung!FA35)="H",$C35/2,0)))))))</f>
        <v>0</v>
      </c>
      <c r="FB35" s="27">
        <f>IF($A35="",0,IF(Mitarbeiter!$G$33=FALSE,0,IF(AND(Mitarbeiter!$E$33&lt;&gt;"",FB$5+6&lt;Mitarbeiter!$E$33),0,IF(AND(Mitarbeiter!$F$33&lt;&gt;"",FB$5&gt;Mitarbeiter!$F$33),0,IF(Planung!FB35="",$C35,IF(ISNUMBER(Planung!FB35),Planung!FB35,IF(UPPER(Planung!FB35)="H",$C35/2,0)))))))</f>
        <v>0</v>
      </c>
      <c r="FC35" s="27">
        <f>IF($A35="",0,IF(Mitarbeiter!$G$33=FALSE,0,IF(AND(Mitarbeiter!$E$33&lt;&gt;"",FC$5+6&lt;Mitarbeiter!$E$33),0,IF(AND(Mitarbeiter!$F$33&lt;&gt;"",FC$5&gt;Mitarbeiter!$F$33),0,IF(Planung!FC35="",$C35,IF(ISNUMBER(Planung!FC35),Planung!FC35,IF(UPPER(Planung!FC35)="H",$C35/2,0)))))))</f>
        <v>0</v>
      </c>
      <c r="FD35" s="27">
        <f>IF($A35="",0,IF(Mitarbeiter!$G$33=FALSE,0,IF(AND(Mitarbeiter!$E$33&lt;&gt;"",FD$5+6&lt;Mitarbeiter!$E$33),0,IF(AND(Mitarbeiter!$F$33&lt;&gt;"",FD$5&gt;Mitarbeiter!$F$33),0,IF(Planung!FD35="",$C35,IF(ISNUMBER(Planung!FD35),Planung!FD35,IF(UPPER(Planung!FD35)="H",$C35/2,0)))))))</f>
        <v>0</v>
      </c>
      <c r="FE35" s="27">
        <f>IF($A35="",0,IF(Mitarbeiter!$G$33=FALSE,0,IF(AND(Mitarbeiter!$E$33&lt;&gt;"",FE$5+6&lt;Mitarbeiter!$E$33),0,IF(AND(Mitarbeiter!$F$33&lt;&gt;"",FE$5&gt;Mitarbeiter!$F$33),0,IF(Planung!FE35="",$C35,IF(ISNUMBER(Planung!FE35),Planung!FE35,IF(UPPER(Planung!FE35)="H",$C35/2,0)))))))</f>
        <v>0</v>
      </c>
      <c r="FF35" s="27">
        <f>IF($A35="",0,IF(Mitarbeiter!$G$33=FALSE,0,IF(AND(Mitarbeiter!$E$33&lt;&gt;"",FF$5+6&lt;Mitarbeiter!$E$33),0,IF(AND(Mitarbeiter!$F$33&lt;&gt;"",FF$5&gt;Mitarbeiter!$F$33),0,IF(Planung!FF35="",$C35,IF(ISNUMBER(Planung!FF35),Planung!FF35,IF(UPPER(Planung!FF35)="H",$C35/2,0)))))))</f>
        <v>0</v>
      </c>
      <c r="FG35" s="27">
        <f>IF($A35="",0,IF(Mitarbeiter!$G$33=FALSE,0,IF(AND(Mitarbeiter!$E$33&lt;&gt;"",FG$5+6&lt;Mitarbeiter!$E$33),0,IF(AND(Mitarbeiter!$F$33&lt;&gt;"",FG$5&gt;Mitarbeiter!$F$33),0,IF(Planung!FG35="",$C35,IF(ISNUMBER(Planung!FG35),Planung!FG35,IF(UPPER(Planung!FG35)="H",$C35/2,0)))))))</f>
        <v>0</v>
      </c>
      <c r="FH35" s="27">
        <f>IF($A35="",0,IF(Mitarbeiter!$G$33=FALSE,0,IF(AND(Mitarbeiter!$E$33&lt;&gt;"",FH$5+6&lt;Mitarbeiter!$E$33),0,IF(AND(Mitarbeiter!$F$33&lt;&gt;"",FH$5&gt;Mitarbeiter!$F$33),0,IF(Planung!FH35="",$C35,IF(ISNUMBER(Planung!FH35),Planung!FH35,IF(UPPER(Planung!FH35)="H",$C35/2,0)))))))</f>
        <v>0</v>
      </c>
      <c r="FI35" s="27">
        <f>IF($A35="",0,IF(Mitarbeiter!$G$33=FALSE,0,IF(AND(Mitarbeiter!$E$33&lt;&gt;"",FI$5+6&lt;Mitarbeiter!$E$33),0,IF(AND(Mitarbeiter!$F$33&lt;&gt;"",FI$5&gt;Mitarbeiter!$F$33),0,IF(Planung!FI35="",$C35,IF(ISNUMBER(Planung!FI35),Planung!FI35,IF(UPPER(Planung!FI35)="H",$C35/2,0)))))))</f>
        <v>0</v>
      </c>
      <c r="FJ35" s="27">
        <f>IF($A35="",0,IF(Mitarbeiter!$G$33=FALSE,0,IF(AND(Mitarbeiter!$E$33&lt;&gt;"",FJ$5+6&lt;Mitarbeiter!$E$33),0,IF(AND(Mitarbeiter!$F$33&lt;&gt;"",FJ$5&gt;Mitarbeiter!$F$33),0,IF(Planung!FJ35="",$C35,IF(ISNUMBER(Planung!FJ35),Planung!FJ35,IF(UPPER(Planung!FJ35)="H",$C35/2,0)))))))</f>
        <v>0</v>
      </c>
      <c r="FK35" s="27">
        <f>IF($A35="",0,IF(Mitarbeiter!$G$33=FALSE,0,IF(AND(Mitarbeiter!$E$33&lt;&gt;"",FK$5+6&lt;Mitarbeiter!$E$33),0,IF(AND(Mitarbeiter!$F$33&lt;&gt;"",FK$5&gt;Mitarbeiter!$F$33),0,IF(Planung!FK35="",$C35,IF(ISNUMBER(Planung!FK35),Planung!FK35,IF(UPPER(Planung!FK35)="H",$C35/2,0)))))))</f>
        <v>0</v>
      </c>
      <c r="FL35" s="27">
        <f>IF($A35="",0,IF(Mitarbeiter!$G$33=FALSE,0,IF(AND(Mitarbeiter!$E$33&lt;&gt;"",FL$5+6&lt;Mitarbeiter!$E$33),0,IF(AND(Mitarbeiter!$F$33&lt;&gt;"",FL$5&gt;Mitarbeiter!$F$33),0,IF(Planung!FL35="",$C35,IF(ISNUMBER(Planung!FL35),Planung!FL35,IF(UPPER(Planung!FL35)="H",$C35/2,0)))))))</f>
        <v>0</v>
      </c>
      <c r="FM35" s="27">
        <f>IF($A35="",0,IF(Mitarbeiter!$G$33=FALSE,0,IF(AND(Mitarbeiter!$E$33&lt;&gt;"",FM$5+6&lt;Mitarbeiter!$E$33),0,IF(AND(Mitarbeiter!$F$33&lt;&gt;"",FM$5&gt;Mitarbeiter!$F$33),0,IF(Planung!FM35="",$C35,IF(ISNUMBER(Planung!FM35),Planung!FM35,IF(UPPER(Planung!FM35)="H",$C35/2,0)))))))</f>
        <v>0</v>
      </c>
      <c r="FN35" s="27">
        <f>IF($A35="",0,IF(Mitarbeiter!$G$33=FALSE,0,IF(AND(Mitarbeiter!$E$33&lt;&gt;"",FN$5+6&lt;Mitarbeiter!$E$33),0,IF(AND(Mitarbeiter!$F$33&lt;&gt;"",FN$5&gt;Mitarbeiter!$F$33),0,IF(Planung!FN35="",$C35,IF(ISNUMBER(Planung!FN35),Planung!FN35,IF(UPPER(Planung!FN35)="H",$C35/2,0)))))))</f>
        <v>0</v>
      </c>
      <c r="FO35" s="27">
        <f>IF($A35="",0,IF(Mitarbeiter!$G$33=FALSE,0,IF(AND(Mitarbeiter!$E$33&lt;&gt;"",FO$5+6&lt;Mitarbeiter!$E$33),0,IF(AND(Mitarbeiter!$F$33&lt;&gt;"",FO$5&gt;Mitarbeiter!$F$33),0,IF(Planung!FO35="",$C35,IF(ISNUMBER(Planung!FO35),Planung!FO35,IF(UPPER(Planung!FO35)="H",$C35/2,0)))))))</f>
        <v>0</v>
      </c>
      <c r="FP35" s="27">
        <f>IF($A35="",0,IF(Mitarbeiter!$G$33=FALSE,0,IF(AND(Mitarbeiter!$E$33&lt;&gt;"",FP$5+6&lt;Mitarbeiter!$E$33),0,IF(AND(Mitarbeiter!$F$33&lt;&gt;"",FP$5&gt;Mitarbeiter!$F$33),0,IF(Planung!FP35="",$C35,IF(ISNUMBER(Planung!FP35),Planung!FP35,IF(UPPER(Planung!FP35)="H",$C35/2,0)))))))</f>
        <v>0</v>
      </c>
      <c r="FQ35" s="27">
        <f>IF($A35="",0,IF(Mitarbeiter!$G$33=FALSE,0,IF(AND(Mitarbeiter!$E$33&lt;&gt;"",FQ$5+6&lt;Mitarbeiter!$E$33),0,IF(AND(Mitarbeiter!$F$33&lt;&gt;"",FQ$5&gt;Mitarbeiter!$F$33),0,IF(Planung!FQ35="",$C35,IF(ISNUMBER(Planung!FQ35),Planung!FQ35,IF(UPPER(Planung!FQ35)="H",$C35/2,0)))))))</f>
        <v>0</v>
      </c>
      <c r="FR35" s="27">
        <f>IF($A35="",0,IF(Mitarbeiter!$G$33=FALSE,0,IF(AND(Mitarbeiter!$E$33&lt;&gt;"",FR$5+6&lt;Mitarbeiter!$E$33),0,IF(AND(Mitarbeiter!$F$33&lt;&gt;"",FR$5&gt;Mitarbeiter!$F$33),0,IF(Planung!FR35="",$C35,IF(ISNUMBER(Planung!FR35),Planung!FR35,IF(UPPER(Planung!FR35)="H",$C35/2,0)))))))</f>
        <v>0</v>
      </c>
      <c r="FS35" s="27">
        <f>IF($A35="",0,IF(Mitarbeiter!$G$33=FALSE,0,IF(AND(Mitarbeiter!$E$33&lt;&gt;"",FS$5+6&lt;Mitarbeiter!$E$33),0,IF(AND(Mitarbeiter!$F$33&lt;&gt;"",FS$5&gt;Mitarbeiter!$F$33),0,IF(Planung!FS35="",$C35,IF(ISNUMBER(Planung!FS35),Planung!FS35,IF(UPPER(Planung!FS35)="H",$C35/2,0)))))))</f>
        <v>0</v>
      </c>
      <c r="FT35" s="27">
        <f>IF($A35="",0,IF(Mitarbeiter!$G$33=FALSE,0,IF(AND(Mitarbeiter!$E$33&lt;&gt;"",FT$5+6&lt;Mitarbeiter!$E$33),0,IF(AND(Mitarbeiter!$F$33&lt;&gt;"",FT$5&gt;Mitarbeiter!$F$33),0,IF(Planung!FT35="",$C35,IF(ISNUMBER(Planung!FT35),Planung!FT35,IF(UPPER(Planung!FT35)="H",$C35/2,0)))))))</f>
        <v>0</v>
      </c>
      <c r="FU35" s="27">
        <f>IF($A35="",0,IF(Mitarbeiter!$G$33=FALSE,0,IF(AND(Mitarbeiter!$E$33&lt;&gt;"",FU$5+6&lt;Mitarbeiter!$E$33),0,IF(AND(Mitarbeiter!$F$33&lt;&gt;"",FU$5&gt;Mitarbeiter!$F$33),0,IF(Planung!FU35="",$C35,IF(ISNUMBER(Planung!FU35),Planung!FU35,IF(UPPER(Planung!FU35)="H",$C35/2,0)))))))</f>
        <v>0</v>
      </c>
      <c r="FV35" s="27">
        <f>IF($A35="",0,IF(Mitarbeiter!$G$33=FALSE,0,IF(AND(Mitarbeiter!$E$33&lt;&gt;"",FV$5+6&lt;Mitarbeiter!$E$33),0,IF(AND(Mitarbeiter!$F$33&lt;&gt;"",FV$5&gt;Mitarbeiter!$F$33),0,IF(Planung!FV35="",$C35,IF(ISNUMBER(Planung!FV35),Planung!FV35,IF(UPPER(Planung!FV35)="H",$C35/2,0)))))))</f>
        <v>0</v>
      </c>
      <c r="FW35" s="27">
        <f>IF($A35="",0,IF(Mitarbeiter!$G$33=FALSE,0,IF(AND(Mitarbeiter!$E$33&lt;&gt;"",FW$5+6&lt;Mitarbeiter!$E$33),0,IF(AND(Mitarbeiter!$F$33&lt;&gt;"",FW$5&gt;Mitarbeiter!$F$33),0,IF(Planung!FW35="",$C35,IF(ISNUMBER(Planung!FW35),Planung!FW35,IF(UPPER(Planung!FW35)="H",$C35/2,0)))))))</f>
        <v>0</v>
      </c>
      <c r="FX35" s="27">
        <f>IF($A35="",0,IF(Mitarbeiter!$G$33=FALSE,0,IF(AND(Mitarbeiter!$E$33&lt;&gt;"",FX$5+6&lt;Mitarbeiter!$E$33),0,IF(AND(Mitarbeiter!$F$33&lt;&gt;"",FX$5&gt;Mitarbeiter!$F$33),0,IF(Planung!FX35="",$C35,IF(ISNUMBER(Planung!FX35),Planung!FX35,IF(UPPER(Planung!FX35)="H",$C35/2,0)))))))</f>
        <v>0</v>
      </c>
      <c r="FY35" s="27">
        <f>IF($A35="",0,IF(Mitarbeiter!$G$33=FALSE,0,IF(AND(Mitarbeiter!$E$33&lt;&gt;"",FY$5+6&lt;Mitarbeiter!$E$33),0,IF(AND(Mitarbeiter!$F$33&lt;&gt;"",FY$5&gt;Mitarbeiter!$F$33),0,IF(Planung!FY35="",$C35,IF(ISNUMBER(Planung!FY35),Planung!FY35,IF(UPPER(Planung!FY35)="H",$C35/2,0)))))))</f>
        <v>0</v>
      </c>
      <c r="FZ35" s="27">
        <f>IF($A35="",0,IF(Mitarbeiter!$G$33=FALSE,0,IF(AND(Mitarbeiter!$E$33&lt;&gt;"",FZ$5+6&lt;Mitarbeiter!$E$33),0,IF(AND(Mitarbeiter!$F$33&lt;&gt;"",FZ$5&gt;Mitarbeiter!$F$33),0,IF(Planung!FZ35="",$C35,IF(ISNUMBER(Planung!FZ35),Planung!FZ35,IF(UPPER(Planung!FZ35)="H",$C35/2,0)))))))</f>
        <v>0</v>
      </c>
      <c r="GA35" s="27">
        <f>IF($A35="",0,IF(Mitarbeiter!$G$33=FALSE,0,IF(AND(Mitarbeiter!$E$33&lt;&gt;"",GA$5+6&lt;Mitarbeiter!$E$33),0,IF(AND(Mitarbeiter!$F$33&lt;&gt;"",GA$5&gt;Mitarbeiter!$F$33),0,IF(Planung!GA35="",$C35,IF(ISNUMBER(Planung!GA35),Planung!GA35,IF(UPPER(Planung!GA35)="H",$C35/2,0)))))))</f>
        <v>0</v>
      </c>
      <c r="GB35" s="27">
        <f>IF($A35="",0,IF(Mitarbeiter!$G$33=FALSE,0,IF(AND(Mitarbeiter!$E$33&lt;&gt;"",GB$5+6&lt;Mitarbeiter!$E$33),0,IF(AND(Mitarbeiter!$F$33&lt;&gt;"",GB$5&gt;Mitarbeiter!$F$33),0,IF(Planung!GB35="",$C35,IF(ISNUMBER(Planung!GB35),Planung!GB35,IF(UPPER(Planung!GB35)="H",$C35/2,0)))))))</f>
        <v>0</v>
      </c>
      <c r="GC35" s="27">
        <f>IF($A35="",0,IF(Mitarbeiter!$G$33=FALSE,0,IF(AND(Mitarbeiter!$E$33&lt;&gt;"",GC$5+6&lt;Mitarbeiter!$E$33),0,IF(AND(Mitarbeiter!$F$33&lt;&gt;"",GC$5&gt;Mitarbeiter!$F$33),0,IF(Planung!GC35="",$C35,IF(ISNUMBER(Planung!GC35),Planung!GC35,IF(UPPER(Planung!GC35)="H",$C35/2,0)))))))</f>
        <v>0</v>
      </c>
      <c r="GD35" s="27">
        <f>IF($A35="",0,IF(Mitarbeiter!$G$33=FALSE,0,IF(AND(Mitarbeiter!$E$33&lt;&gt;"",GD$5+6&lt;Mitarbeiter!$E$33),0,IF(AND(Mitarbeiter!$F$33&lt;&gt;"",GD$5&gt;Mitarbeiter!$F$33),0,IF(Planung!GD35="",$C35,IF(ISNUMBER(Planung!GD35),Planung!GD35,IF(UPPER(Planung!GD35)="H",$C35/2,0)))))))</f>
        <v>0</v>
      </c>
      <c r="GE35" s="27">
        <f>IF($A35="",0,IF(Mitarbeiter!$G$33=FALSE,0,IF(AND(Mitarbeiter!$E$33&lt;&gt;"",GE$5+6&lt;Mitarbeiter!$E$33),0,IF(AND(Mitarbeiter!$F$33&lt;&gt;"",GE$5&gt;Mitarbeiter!$F$33),0,IF(Planung!GE35="",$C35,IF(ISNUMBER(Planung!GE35),Planung!GE35,IF(UPPER(Planung!GE35)="H",$C35/2,0)))))))</f>
        <v>0</v>
      </c>
      <c r="GF35" s="27">
        <f>IF($A35="",0,IF(Mitarbeiter!$G$33=FALSE,0,IF(AND(Mitarbeiter!$E$33&lt;&gt;"",GF$5+6&lt;Mitarbeiter!$E$33),0,IF(AND(Mitarbeiter!$F$33&lt;&gt;"",GF$5&gt;Mitarbeiter!$F$33),0,IF(Planung!GF35="",$C35,IF(ISNUMBER(Planung!GF35),Planung!GF35,IF(UPPER(Planung!GF35)="H",$C35/2,0)))))))</f>
        <v>0</v>
      </c>
      <c r="GG35" s="27">
        <f>IF($A35="",0,IF(Mitarbeiter!$G$33=FALSE,0,IF(AND(Mitarbeiter!$E$33&lt;&gt;"",GG$5+6&lt;Mitarbeiter!$E$33),0,IF(AND(Mitarbeiter!$F$33&lt;&gt;"",GG$5&gt;Mitarbeiter!$F$33),0,IF(Planung!GG35="",$C35,IF(ISNUMBER(Planung!GG35),Planung!GG35,IF(UPPER(Planung!GG35)="H",$C35/2,0)))))))</f>
        <v>0</v>
      </c>
      <c r="GH35" s="27">
        <f>IF($A35="",0,IF(Mitarbeiter!$G$33=FALSE,0,IF(AND(Mitarbeiter!$E$33&lt;&gt;"",GH$5+6&lt;Mitarbeiter!$E$33),0,IF(AND(Mitarbeiter!$F$33&lt;&gt;"",GH$5&gt;Mitarbeiter!$F$33),0,IF(Planung!GH35="",$C35,IF(ISNUMBER(Planung!GH35),Planung!GH35,IF(UPPER(Planung!GH35)="H",$C35/2,0)))))))</f>
        <v>0</v>
      </c>
      <c r="GI35" s="27">
        <f>IF($A35="",0,IF(Mitarbeiter!$G$33=FALSE,0,IF(AND(Mitarbeiter!$E$33&lt;&gt;"",GI$5+6&lt;Mitarbeiter!$E$33),0,IF(AND(Mitarbeiter!$F$33&lt;&gt;"",GI$5&gt;Mitarbeiter!$F$33),0,IF(Planung!GI35="",$C35,IF(ISNUMBER(Planung!GI35),Planung!GI35,IF(UPPER(Planung!GI35)="H",$C35/2,0)))))))</f>
        <v>0</v>
      </c>
      <c r="GJ35" s="27">
        <f>IF($A35="",0,IF(Mitarbeiter!$G$33=FALSE,0,IF(AND(Mitarbeiter!$E$33&lt;&gt;"",GJ$5+6&lt;Mitarbeiter!$E$33),0,IF(AND(Mitarbeiter!$F$33&lt;&gt;"",GJ$5&gt;Mitarbeiter!$F$33),0,IF(Planung!GJ35="",$C35,IF(ISNUMBER(Planung!GJ35),Planung!GJ35,IF(UPPER(Planung!GJ35)="H",$C35/2,0)))))))</f>
        <v>0</v>
      </c>
      <c r="GK35" s="27">
        <f>IF($A35="",0,IF(Mitarbeiter!$G$33=FALSE,0,IF(AND(Mitarbeiter!$E$33&lt;&gt;"",GK$5+6&lt;Mitarbeiter!$E$33),0,IF(AND(Mitarbeiter!$F$33&lt;&gt;"",GK$5&gt;Mitarbeiter!$F$33),0,IF(Planung!GK35="",$C35,IF(ISNUMBER(Planung!GK35),Planung!GK35,IF(UPPER(Planung!GK35)="H",$C35/2,0)))))))</f>
        <v>0</v>
      </c>
      <c r="GL35" s="27">
        <f>IF($A35="",0,IF(Mitarbeiter!$G$33=FALSE,0,IF(AND(Mitarbeiter!$E$33&lt;&gt;"",GL$5+6&lt;Mitarbeiter!$E$33),0,IF(AND(Mitarbeiter!$F$33&lt;&gt;"",GL$5&gt;Mitarbeiter!$F$33),0,IF(Planung!GL35="",$C35,IF(ISNUMBER(Planung!GL35),Planung!GL35,IF(UPPER(Planung!GL35)="H",$C35/2,0)))))))</f>
        <v>0</v>
      </c>
      <c r="GM35" s="27">
        <f>IF($A35="",0,IF(Mitarbeiter!$G$33=FALSE,0,IF(AND(Mitarbeiter!$E$33&lt;&gt;"",GM$5+6&lt;Mitarbeiter!$E$33),0,IF(AND(Mitarbeiter!$F$33&lt;&gt;"",GM$5&gt;Mitarbeiter!$F$33),0,IF(Planung!GM35="",$C35,IF(ISNUMBER(Planung!GM35),Planung!GM35,IF(UPPER(Planung!GM35)="H",$C35/2,0)))))))</f>
        <v>0</v>
      </c>
      <c r="GN35" s="27">
        <f>IF($A35="",0,IF(Mitarbeiter!$G$33=FALSE,0,IF(AND(Mitarbeiter!$E$33&lt;&gt;"",GN$5+6&lt;Mitarbeiter!$E$33),0,IF(AND(Mitarbeiter!$F$33&lt;&gt;"",GN$5&gt;Mitarbeiter!$F$33),0,IF(Planung!GN35="",$C35,IF(ISNUMBER(Planung!GN35),Planung!GN35,IF(UPPER(Planung!GN35)="H",$C35/2,0)))))))</f>
        <v>0</v>
      </c>
      <c r="GO35" s="27">
        <f>IF($A35="",0,IF(Mitarbeiter!$G$33=FALSE,0,IF(AND(Mitarbeiter!$E$33&lt;&gt;"",GO$5+6&lt;Mitarbeiter!$E$33),0,IF(AND(Mitarbeiter!$F$33&lt;&gt;"",GO$5&gt;Mitarbeiter!$F$33),0,IF(Planung!GO35="",$C35,IF(ISNUMBER(Planung!GO35),Planung!GO35,IF(UPPER(Planung!GO35)="H",$C35/2,0)))))))</f>
        <v>0</v>
      </c>
      <c r="GP35" s="27">
        <f>IF($A35="",0,IF(Mitarbeiter!$G$33=FALSE,0,IF(AND(Mitarbeiter!$E$33&lt;&gt;"",GP$5+6&lt;Mitarbeiter!$E$33),0,IF(AND(Mitarbeiter!$F$33&lt;&gt;"",GP$5&gt;Mitarbeiter!$F$33),0,IF(Planung!GP35="",$C35,IF(ISNUMBER(Planung!GP35),Planung!GP35,IF(UPPER(Planung!GP35)="H",$C35/2,0)))))))</f>
        <v>0</v>
      </c>
      <c r="GQ35" s="27">
        <f>IF($A35="",0,IF(Mitarbeiter!$G$33=FALSE,0,IF(AND(Mitarbeiter!$E$33&lt;&gt;"",GQ$5+6&lt;Mitarbeiter!$E$33),0,IF(AND(Mitarbeiter!$F$33&lt;&gt;"",GQ$5&gt;Mitarbeiter!$F$33),0,IF(Planung!GQ35="",$C35,IF(ISNUMBER(Planung!GQ35),Planung!GQ35,IF(UPPER(Planung!GQ35)="H",$C35/2,0)))))))</f>
        <v>0</v>
      </c>
      <c r="GR35" s="27">
        <f>IF($A35="",0,IF(Mitarbeiter!$G$33=FALSE,0,IF(AND(Mitarbeiter!$E$33&lt;&gt;"",GR$5+6&lt;Mitarbeiter!$E$33),0,IF(AND(Mitarbeiter!$F$33&lt;&gt;"",GR$5&gt;Mitarbeiter!$F$33),0,IF(Planung!GR35="",$C35,IF(ISNUMBER(Planung!GR35),Planung!GR35,IF(UPPER(Planung!GR35)="H",$C35/2,0)))))))</f>
        <v>0</v>
      </c>
      <c r="GS35" s="27">
        <f>IF($A35="",0,IF(Mitarbeiter!$G$33=FALSE,0,IF(AND(Mitarbeiter!$E$33&lt;&gt;"",GS$5+6&lt;Mitarbeiter!$E$33),0,IF(AND(Mitarbeiter!$F$33&lt;&gt;"",GS$5&gt;Mitarbeiter!$F$33),0,IF(Planung!GS35="",$C35,IF(ISNUMBER(Planung!GS35),Planung!GS35,IF(UPPER(Planung!GS35)="H",$C35/2,0)))))))</f>
        <v>0</v>
      </c>
      <c r="GT35" s="27">
        <f>IF($A35="",0,IF(Mitarbeiter!$G$33=FALSE,0,IF(AND(Mitarbeiter!$E$33&lt;&gt;"",GT$5+6&lt;Mitarbeiter!$E$33),0,IF(AND(Mitarbeiter!$F$33&lt;&gt;"",GT$5&gt;Mitarbeiter!$F$33),0,IF(Planung!GT35="",$C35,IF(ISNUMBER(Planung!GT35),Planung!GT35,IF(UPPER(Planung!GT35)="H",$C35/2,0)))))))</f>
        <v>0</v>
      </c>
      <c r="GU35" s="27">
        <f>IF($A35="",0,IF(Mitarbeiter!$G$33=FALSE,0,IF(AND(Mitarbeiter!$E$33&lt;&gt;"",GU$5+6&lt;Mitarbeiter!$E$33),0,IF(AND(Mitarbeiter!$F$33&lt;&gt;"",GU$5&gt;Mitarbeiter!$F$33),0,IF(Planung!GU35="",$C35,IF(ISNUMBER(Planung!GU35),Planung!GU35,IF(UPPER(Planung!GU35)="H",$C35/2,0)))))))</f>
        <v>0</v>
      </c>
      <c r="GV35" s="27">
        <f>IF($A35="",0,IF(Mitarbeiter!$G$33=FALSE,0,IF(AND(Mitarbeiter!$E$33&lt;&gt;"",GV$5+6&lt;Mitarbeiter!$E$33),0,IF(AND(Mitarbeiter!$F$33&lt;&gt;"",GV$5&gt;Mitarbeiter!$F$33),0,IF(Planung!GV35="",$C35,IF(ISNUMBER(Planung!GV35),Planung!GV35,IF(UPPER(Planung!GV35)="H",$C35/2,0)))))))</f>
        <v>0</v>
      </c>
      <c r="GW35" s="27">
        <f>IF($A35="",0,IF(Mitarbeiter!$G$33=FALSE,0,IF(AND(Mitarbeiter!$E$33&lt;&gt;"",GW$5+6&lt;Mitarbeiter!$E$33),0,IF(AND(Mitarbeiter!$F$33&lt;&gt;"",GW$5&gt;Mitarbeiter!$F$33),0,IF(Planung!GW35="",$C35,IF(ISNUMBER(Planung!GW35),Planung!GW35,IF(UPPER(Planung!GW35)="H",$C35/2,0)))))))</f>
        <v>0</v>
      </c>
      <c r="GX35" s="27">
        <f>IF($A35="",0,IF(Mitarbeiter!$G$33=FALSE,0,IF(AND(Mitarbeiter!$E$33&lt;&gt;"",GX$5+6&lt;Mitarbeiter!$E$33),0,IF(AND(Mitarbeiter!$F$33&lt;&gt;"",GX$5&gt;Mitarbeiter!$F$33),0,IF(Planung!GX35="",$C35,IF(ISNUMBER(Planung!GX35),Planung!GX35,IF(UPPER(Planung!GX35)="H",$C35/2,0)))))))</f>
        <v>0</v>
      </c>
      <c r="GY35" s="27">
        <f>IF($A35="",0,IF(Mitarbeiter!$G$33=FALSE,0,IF(AND(Mitarbeiter!$E$33&lt;&gt;"",GY$5+6&lt;Mitarbeiter!$E$33),0,IF(AND(Mitarbeiter!$F$33&lt;&gt;"",GY$5&gt;Mitarbeiter!$F$33),0,IF(Planung!GY35="",$C35,IF(ISNUMBER(Planung!GY35),Planung!GY35,IF(UPPER(Planung!GY35)="H",$C35/2,0)))))))</f>
        <v>0</v>
      </c>
      <c r="GZ35" s="27">
        <f>IF($A35="",0,IF(Mitarbeiter!$G$33=FALSE,0,IF(AND(Mitarbeiter!$E$33&lt;&gt;"",GZ$5+6&lt;Mitarbeiter!$E$33),0,IF(AND(Mitarbeiter!$F$33&lt;&gt;"",GZ$5&gt;Mitarbeiter!$F$33),0,IF(Planung!GZ35="",$C35,IF(ISNUMBER(Planung!GZ35),Planung!GZ35,IF(UPPER(Planung!GZ35)="H",$C35/2,0)))))))</f>
        <v>0</v>
      </c>
      <c r="HA35" s="27">
        <f>IF($A35="",0,IF(Mitarbeiter!$G$33=FALSE,0,IF(AND(Mitarbeiter!$E$33&lt;&gt;"",HA$5+6&lt;Mitarbeiter!$E$33),0,IF(AND(Mitarbeiter!$F$33&lt;&gt;"",HA$5&gt;Mitarbeiter!$F$33),0,IF(Planung!HA35="",$C35,IF(ISNUMBER(Planung!HA35),Planung!HA35,IF(UPPER(Planung!HA35)="H",$C35/2,0)))))))</f>
        <v>0</v>
      </c>
      <c r="HB35" s="27">
        <f>IF($A35="",0,IF(Mitarbeiter!$G$33=FALSE,0,IF(AND(Mitarbeiter!$E$33&lt;&gt;"",HB$5+6&lt;Mitarbeiter!$E$33),0,IF(AND(Mitarbeiter!$F$33&lt;&gt;"",HB$5&gt;Mitarbeiter!$F$33),0,IF(Planung!HB35="",$C35,IF(ISNUMBER(Planung!HB35),Planung!HB35,IF(UPPER(Planung!HB35)="H",$C35/2,0)))))))</f>
        <v>0</v>
      </c>
      <c r="HC35" s="27">
        <f>IF($A35="",0,IF(Mitarbeiter!$G$33=FALSE,0,IF(AND(Mitarbeiter!$E$33&lt;&gt;"",HC$5+6&lt;Mitarbeiter!$E$33),0,IF(AND(Mitarbeiter!$F$33&lt;&gt;"",HC$5&gt;Mitarbeiter!$F$33),0,IF(Planung!HC35="",$C35,IF(ISNUMBER(Planung!HC35),Planung!HC35,IF(UPPER(Planung!HC35)="H",$C35/2,0)))))))</f>
        <v>0</v>
      </c>
      <c r="HD35" s="27">
        <f>IF($A35="",0,IF(Mitarbeiter!$G$33=FALSE,0,IF(AND(Mitarbeiter!$E$33&lt;&gt;"",HD$5+6&lt;Mitarbeiter!$E$33),0,IF(AND(Mitarbeiter!$F$33&lt;&gt;"",HD$5&gt;Mitarbeiter!$F$33),0,IF(Planung!HD35="",$C35,IF(ISNUMBER(Planung!HD35),Planung!HD35,IF(UPPER(Planung!HD35)="H",$C35/2,0)))))))</f>
        <v>0</v>
      </c>
      <c r="HE35" s="27">
        <f>IF($A35="",0,IF(Mitarbeiter!$G$33=FALSE,0,IF(AND(Mitarbeiter!$E$33&lt;&gt;"",HE$5+6&lt;Mitarbeiter!$E$33),0,IF(AND(Mitarbeiter!$F$33&lt;&gt;"",HE$5&gt;Mitarbeiter!$F$33),0,IF(Planung!HE35="",$C35,IF(ISNUMBER(Planung!HE35),Planung!HE35,IF(UPPER(Planung!HE35)="H",$C35/2,0)))))))</f>
        <v>0</v>
      </c>
      <c r="HF35" s="27">
        <f>IF($A35="",0,IF(Mitarbeiter!$G$33=FALSE,0,IF(AND(Mitarbeiter!$E$33&lt;&gt;"",HF$5+6&lt;Mitarbeiter!$E$33),0,IF(AND(Mitarbeiter!$F$33&lt;&gt;"",HF$5&gt;Mitarbeiter!$F$33),0,IF(Planung!HF35="",$C35,IF(ISNUMBER(Planung!HF35),Planung!HF35,IF(UPPER(Planung!HF35)="H",$C35/2,0)))))))</f>
        <v>0</v>
      </c>
      <c r="HG35" s="27">
        <f>IF($A35="",0,IF(Mitarbeiter!$G$33=FALSE,0,IF(AND(Mitarbeiter!$E$33&lt;&gt;"",HG$5+6&lt;Mitarbeiter!$E$33),0,IF(AND(Mitarbeiter!$F$33&lt;&gt;"",HG$5&gt;Mitarbeiter!$F$33),0,IF(Planung!HG35="",$C35,IF(ISNUMBER(Planung!HG35),Planung!HG35,IF(UPPER(Planung!HG35)="H",$C35/2,0)))))))</f>
        <v>0</v>
      </c>
      <c r="HH35" s="27">
        <f>IF($A35="",0,IF(Mitarbeiter!$G$33=FALSE,0,IF(AND(Mitarbeiter!$E$33&lt;&gt;"",HH$5+6&lt;Mitarbeiter!$E$33),0,IF(AND(Mitarbeiter!$F$33&lt;&gt;"",HH$5&gt;Mitarbeiter!$F$33),0,IF(Planung!HH35="",$C35,IF(ISNUMBER(Planung!HH35),Planung!HH35,IF(UPPER(Planung!HH35)="H",$C35/2,0)))))))</f>
        <v>0</v>
      </c>
      <c r="HI35" s="27">
        <f>IF($A35="",0,IF(Mitarbeiter!$G$33=FALSE,0,IF(AND(Mitarbeiter!$E$33&lt;&gt;"",HI$5+6&lt;Mitarbeiter!$E$33),0,IF(AND(Mitarbeiter!$F$33&lt;&gt;"",HI$5&gt;Mitarbeiter!$F$33),0,IF(Planung!HI35="",$C35,IF(ISNUMBER(Planung!HI35),Planung!HI35,IF(UPPER(Planung!HI35)="H",$C35/2,0)))))))</f>
        <v>0</v>
      </c>
      <c r="HJ35" s="27">
        <f>IF($A35="",0,IF(Mitarbeiter!$G$33=FALSE,0,IF(AND(Mitarbeiter!$E$33&lt;&gt;"",HJ$5+6&lt;Mitarbeiter!$E$33),0,IF(AND(Mitarbeiter!$F$33&lt;&gt;"",HJ$5&gt;Mitarbeiter!$F$33),0,IF(Planung!HJ35="",$C35,IF(ISNUMBER(Planung!HJ35),Planung!HJ35,IF(UPPER(Planung!HJ35)="H",$C35/2,0)))))))</f>
        <v>0</v>
      </c>
      <c r="HK35" s="27">
        <f>IF($A35="",0,IF(Mitarbeiter!$G$33=FALSE,0,IF(AND(Mitarbeiter!$E$33&lt;&gt;"",HK$5+6&lt;Mitarbeiter!$E$33),0,IF(AND(Mitarbeiter!$F$33&lt;&gt;"",HK$5&gt;Mitarbeiter!$F$33),0,IF(Planung!HK35="",$C35,IF(ISNUMBER(Planung!HK35),Planung!HK35,IF(UPPER(Planung!HK35)="H",$C35/2,0)))))))</f>
        <v>0</v>
      </c>
      <c r="HL35" s="27">
        <f>IF($A35="",0,IF(Mitarbeiter!$G$33=FALSE,0,IF(AND(Mitarbeiter!$E$33&lt;&gt;"",HL$5+6&lt;Mitarbeiter!$E$33),0,IF(AND(Mitarbeiter!$F$33&lt;&gt;"",HL$5&gt;Mitarbeiter!$F$33),0,IF(Planung!HL35="",$C35,IF(ISNUMBER(Planung!HL35),Planung!HL35,IF(UPPER(Planung!HL35)="H",$C35/2,0)))))))</f>
        <v>0</v>
      </c>
      <c r="HM35" s="27">
        <f>IF($A35="",0,IF(Mitarbeiter!$G$33=FALSE,0,IF(AND(Mitarbeiter!$E$33&lt;&gt;"",HM$5+6&lt;Mitarbeiter!$E$33),0,IF(AND(Mitarbeiter!$F$33&lt;&gt;"",HM$5&gt;Mitarbeiter!$F$33),0,IF(Planung!HM35="",$C35,IF(ISNUMBER(Planung!HM35),Planung!HM35,IF(UPPER(Planung!HM35)="H",$C35/2,0)))))))</f>
        <v>0</v>
      </c>
      <c r="HN35" s="27">
        <f>IF($A35="",0,IF(Mitarbeiter!$G$33=FALSE,0,IF(AND(Mitarbeiter!$E$33&lt;&gt;"",HN$5+6&lt;Mitarbeiter!$E$33),0,IF(AND(Mitarbeiter!$F$33&lt;&gt;"",HN$5&gt;Mitarbeiter!$F$33),0,IF(Planung!HN35="",$C35,IF(ISNUMBER(Planung!HN35),Planung!HN35,IF(UPPER(Planung!HN35)="H",$C35/2,0)))))))</f>
        <v>0</v>
      </c>
      <c r="HO35" s="27">
        <f>IF($A35="",0,IF(Mitarbeiter!$G$33=FALSE,0,IF(AND(Mitarbeiter!$E$33&lt;&gt;"",HO$5+6&lt;Mitarbeiter!$E$33),0,IF(AND(Mitarbeiter!$F$33&lt;&gt;"",HO$5&gt;Mitarbeiter!$F$33),0,IF(Planung!HO35="",$C35,IF(ISNUMBER(Planung!HO35),Planung!HO35,IF(UPPER(Planung!HO35)="H",$C35/2,0)))))))</f>
        <v>0</v>
      </c>
      <c r="HP35" s="27">
        <f>IF($A35="",0,IF(Mitarbeiter!$G$33=FALSE,0,IF(AND(Mitarbeiter!$E$33&lt;&gt;"",HP$5+6&lt;Mitarbeiter!$E$33),0,IF(AND(Mitarbeiter!$F$33&lt;&gt;"",HP$5&gt;Mitarbeiter!$F$33),0,IF(Planung!HP35="",$C35,IF(ISNUMBER(Planung!HP35),Planung!HP35,IF(UPPER(Planung!HP35)="H",$C35/2,0)))))))</f>
        <v>0</v>
      </c>
      <c r="HQ35" s="27">
        <f>IF($A35="",0,IF(Mitarbeiter!$G$33=FALSE,0,IF(AND(Mitarbeiter!$E$33&lt;&gt;"",HQ$5+6&lt;Mitarbeiter!$E$33),0,IF(AND(Mitarbeiter!$F$33&lt;&gt;"",HQ$5&gt;Mitarbeiter!$F$33),0,IF(Planung!HQ35="",$C35,IF(ISNUMBER(Planung!HQ35),Planung!HQ35,IF(UPPER(Planung!HQ35)="H",$C35/2,0)))))))</f>
        <v>0</v>
      </c>
      <c r="HR35" s="27">
        <f>IF($A35="",0,IF(Mitarbeiter!$G$33=FALSE,0,IF(AND(Mitarbeiter!$E$33&lt;&gt;"",HR$5+6&lt;Mitarbeiter!$E$33),0,IF(AND(Mitarbeiter!$F$33&lt;&gt;"",HR$5&gt;Mitarbeiter!$F$33),0,IF(Planung!HR35="",$C35,IF(ISNUMBER(Planung!HR35),Planung!HR35,IF(UPPER(Planung!HR35)="H",$C35/2,0)))))))</f>
        <v>0</v>
      </c>
      <c r="HS35" s="27">
        <f>IF($A35="",0,IF(Mitarbeiter!$G$33=FALSE,0,IF(AND(Mitarbeiter!$E$33&lt;&gt;"",HS$5+6&lt;Mitarbeiter!$E$33),0,IF(AND(Mitarbeiter!$F$33&lt;&gt;"",HS$5&gt;Mitarbeiter!$F$33),0,IF(Planung!HS35="",$C35,IF(ISNUMBER(Planung!HS35),Planung!HS35,IF(UPPER(Planung!HS35)="H",$C35/2,0)))))))</f>
        <v>0</v>
      </c>
      <c r="HT35" s="27">
        <f>IF($A35="",0,IF(Mitarbeiter!$G$33=FALSE,0,IF(AND(Mitarbeiter!$E$33&lt;&gt;"",HT$5+6&lt;Mitarbeiter!$E$33),0,IF(AND(Mitarbeiter!$F$33&lt;&gt;"",HT$5&gt;Mitarbeiter!$F$33),0,IF(Planung!HT35="",$C35,IF(ISNUMBER(Planung!HT35),Planung!HT35,IF(UPPER(Planung!HT35)="H",$C35/2,0)))))))</f>
        <v>0</v>
      </c>
      <c r="HU35" s="27">
        <f>IF($A35="",0,IF(Mitarbeiter!$G$33=FALSE,0,IF(AND(Mitarbeiter!$E$33&lt;&gt;"",HU$5+6&lt;Mitarbeiter!$E$33),0,IF(AND(Mitarbeiter!$F$33&lt;&gt;"",HU$5&gt;Mitarbeiter!$F$33),0,IF(Planung!HU35="",$C35,IF(ISNUMBER(Planung!HU35),Planung!HU35,IF(UPPER(Planung!HU35)="H",$C35/2,0)))))))</f>
        <v>0</v>
      </c>
      <c r="HV35" s="27">
        <f>IF($A35="",0,IF(Mitarbeiter!$G$33=FALSE,0,IF(AND(Mitarbeiter!$E$33&lt;&gt;"",HV$5+6&lt;Mitarbeiter!$E$33),0,IF(AND(Mitarbeiter!$F$33&lt;&gt;"",HV$5&gt;Mitarbeiter!$F$33),0,IF(Planung!HV35="",$C35,IF(ISNUMBER(Planung!HV35),Planung!HV35,IF(UPPER(Planung!HV35)="H",$C35/2,0)))))))</f>
        <v>0</v>
      </c>
      <c r="HW35" s="27">
        <f>IF($A35="",0,IF(Mitarbeiter!$G$33=FALSE,0,IF(AND(Mitarbeiter!$E$33&lt;&gt;"",HW$5+6&lt;Mitarbeiter!$E$33),0,IF(AND(Mitarbeiter!$F$33&lt;&gt;"",HW$5&gt;Mitarbeiter!$F$33),0,IF(Planung!HW35="",$C35,IF(ISNUMBER(Planung!HW35),Planung!HW35,IF(UPPER(Planung!HW35)="H",$C35/2,0)))))))</f>
        <v>0</v>
      </c>
      <c r="HX35" s="27">
        <f>IF($A35="",0,IF(Mitarbeiter!$G$33=FALSE,0,IF(AND(Mitarbeiter!$E$33&lt;&gt;"",HX$5+6&lt;Mitarbeiter!$E$33),0,IF(AND(Mitarbeiter!$F$33&lt;&gt;"",HX$5&gt;Mitarbeiter!$F$33),0,IF(Planung!HX35="",$C35,IF(ISNUMBER(Planung!HX35),Planung!HX35,IF(UPPER(Planung!HX35)="H",$C35/2,0)))))))</f>
        <v>0</v>
      </c>
      <c r="HY35" s="27">
        <f>IF($A35="",0,IF(Mitarbeiter!$G$33=FALSE,0,IF(AND(Mitarbeiter!$E$33&lt;&gt;"",HY$5+6&lt;Mitarbeiter!$E$33),0,IF(AND(Mitarbeiter!$F$33&lt;&gt;"",HY$5&gt;Mitarbeiter!$F$33),0,IF(Planung!HY35="",$C35,IF(ISNUMBER(Planung!HY35),Planung!HY35,IF(UPPER(Planung!HY35)="H",$C35/2,0)))))))</f>
        <v>0</v>
      </c>
      <c r="HZ35" s="27">
        <f>IF($A35="",0,IF(Mitarbeiter!$G$33=FALSE,0,IF(AND(Mitarbeiter!$E$33&lt;&gt;"",HZ$5+6&lt;Mitarbeiter!$E$33),0,IF(AND(Mitarbeiter!$F$33&lt;&gt;"",HZ$5&gt;Mitarbeiter!$F$33),0,IF(Planung!HZ35="",$C35,IF(ISNUMBER(Planung!HZ35),Planung!HZ35,IF(UPPER(Planung!HZ35)="H",$C35/2,0)))))))</f>
        <v>0</v>
      </c>
      <c r="IA35" s="27">
        <f>IF($A35="",0,IF(Mitarbeiter!$G$33=FALSE,0,IF(AND(Mitarbeiter!$E$33&lt;&gt;"",IA$5+6&lt;Mitarbeiter!$E$33),0,IF(AND(Mitarbeiter!$F$33&lt;&gt;"",IA$5&gt;Mitarbeiter!$F$33),0,IF(Planung!IA35="",$C35,IF(ISNUMBER(Planung!IA35),Planung!IA35,IF(UPPER(Planung!IA35)="H",$C35/2,0)))))))</f>
        <v>0</v>
      </c>
    </row>
    <row r="36" spans="1:235" x14ac:dyDescent="0.25">
      <c r="A36" s="7" t="str">
        <f>Planung!A36</f>
        <v/>
      </c>
      <c r="B36" s="7" t="str">
        <f>Planung!B36</f>
        <v/>
      </c>
      <c r="C36" s="27">
        <f>N(Mitarbeiter!$D$34)</f>
        <v>0</v>
      </c>
      <c r="D36" s="27">
        <f>IF($A36="",0,IF(Mitarbeiter!$G$34=FALSE,0,IF(AND(Mitarbeiter!$E$34&lt;&gt;"",D$5+6&lt;Mitarbeiter!$E$34),0,IF(AND(Mitarbeiter!$F$34&lt;&gt;"",D$5&gt;Mitarbeiter!$F$34),0,IF(Planung!D36="",$C36,IF(ISNUMBER(Planung!D36),Planung!D36,IF(UPPER(Planung!D36)="H",$C36/2,0)))))))</f>
        <v>0</v>
      </c>
      <c r="E36" s="27">
        <f>IF($A36="",0,IF(Mitarbeiter!$G$34=FALSE,0,IF(AND(Mitarbeiter!$E$34&lt;&gt;"",E$5+6&lt;Mitarbeiter!$E$34),0,IF(AND(Mitarbeiter!$F$34&lt;&gt;"",E$5&gt;Mitarbeiter!$F$34),0,IF(Planung!E36="",$C36,IF(ISNUMBER(Planung!E36),Planung!E36,IF(UPPER(Planung!E36)="H",$C36/2,0)))))))</f>
        <v>0</v>
      </c>
      <c r="F36" s="27">
        <f>IF($A36="",0,IF(Mitarbeiter!$G$34=FALSE,0,IF(AND(Mitarbeiter!$E$34&lt;&gt;"",F$5+6&lt;Mitarbeiter!$E$34),0,IF(AND(Mitarbeiter!$F$34&lt;&gt;"",F$5&gt;Mitarbeiter!$F$34),0,IF(Planung!F36="",$C36,IF(ISNUMBER(Planung!F36),Planung!F36,IF(UPPER(Planung!F36)="H",$C36/2,0)))))))</f>
        <v>0</v>
      </c>
      <c r="G36" s="27">
        <f>IF($A36="",0,IF(Mitarbeiter!$G$34=FALSE,0,IF(AND(Mitarbeiter!$E$34&lt;&gt;"",G$5+6&lt;Mitarbeiter!$E$34),0,IF(AND(Mitarbeiter!$F$34&lt;&gt;"",G$5&gt;Mitarbeiter!$F$34),0,IF(Planung!G36="",$C36,IF(ISNUMBER(Planung!G36),Planung!G36,IF(UPPER(Planung!G36)="H",$C36/2,0)))))))</f>
        <v>0</v>
      </c>
      <c r="H36" s="27">
        <f>IF($A36="",0,IF(Mitarbeiter!$G$34=FALSE,0,IF(AND(Mitarbeiter!$E$34&lt;&gt;"",H$5+6&lt;Mitarbeiter!$E$34),0,IF(AND(Mitarbeiter!$F$34&lt;&gt;"",H$5&gt;Mitarbeiter!$F$34),0,IF(Planung!H36="",$C36,IF(ISNUMBER(Planung!H36),Planung!H36,IF(UPPER(Planung!H36)="H",$C36/2,0)))))))</f>
        <v>0</v>
      </c>
      <c r="I36" s="27">
        <f>IF($A36="",0,IF(Mitarbeiter!$G$34=FALSE,0,IF(AND(Mitarbeiter!$E$34&lt;&gt;"",I$5+6&lt;Mitarbeiter!$E$34),0,IF(AND(Mitarbeiter!$F$34&lt;&gt;"",I$5&gt;Mitarbeiter!$F$34),0,IF(Planung!I36="",$C36,IF(ISNUMBER(Planung!I36),Planung!I36,IF(UPPER(Planung!I36)="H",$C36/2,0)))))))</f>
        <v>0</v>
      </c>
      <c r="J36" s="27">
        <f>IF($A36="",0,IF(Mitarbeiter!$G$34=FALSE,0,IF(AND(Mitarbeiter!$E$34&lt;&gt;"",J$5+6&lt;Mitarbeiter!$E$34),0,IF(AND(Mitarbeiter!$F$34&lt;&gt;"",J$5&gt;Mitarbeiter!$F$34),0,IF(Planung!J36="",$C36,IF(ISNUMBER(Planung!J36),Planung!J36,IF(UPPER(Planung!J36)="H",$C36/2,0)))))))</f>
        <v>0</v>
      </c>
      <c r="K36" s="27">
        <f>IF($A36="",0,IF(Mitarbeiter!$G$34=FALSE,0,IF(AND(Mitarbeiter!$E$34&lt;&gt;"",K$5+6&lt;Mitarbeiter!$E$34),0,IF(AND(Mitarbeiter!$F$34&lt;&gt;"",K$5&gt;Mitarbeiter!$F$34),0,IF(Planung!K36="",$C36,IF(ISNUMBER(Planung!K36),Planung!K36,IF(UPPER(Planung!K36)="H",$C36/2,0)))))))</f>
        <v>0</v>
      </c>
      <c r="L36" s="27">
        <f>IF($A36="",0,IF(Mitarbeiter!$G$34=FALSE,0,IF(AND(Mitarbeiter!$E$34&lt;&gt;"",L$5+6&lt;Mitarbeiter!$E$34),0,IF(AND(Mitarbeiter!$F$34&lt;&gt;"",L$5&gt;Mitarbeiter!$F$34),0,IF(Planung!L36="",$C36,IF(ISNUMBER(Planung!L36),Planung!L36,IF(UPPER(Planung!L36)="H",$C36/2,0)))))))</f>
        <v>0</v>
      </c>
      <c r="M36" s="27">
        <f>IF($A36="",0,IF(Mitarbeiter!$G$34=FALSE,0,IF(AND(Mitarbeiter!$E$34&lt;&gt;"",M$5+6&lt;Mitarbeiter!$E$34),0,IF(AND(Mitarbeiter!$F$34&lt;&gt;"",M$5&gt;Mitarbeiter!$F$34),0,IF(Planung!M36="",$C36,IF(ISNUMBER(Planung!M36),Planung!M36,IF(UPPER(Planung!M36)="H",$C36/2,0)))))))</f>
        <v>0</v>
      </c>
      <c r="N36" s="27">
        <f>IF($A36="",0,IF(Mitarbeiter!$G$34=FALSE,0,IF(AND(Mitarbeiter!$E$34&lt;&gt;"",N$5+6&lt;Mitarbeiter!$E$34),0,IF(AND(Mitarbeiter!$F$34&lt;&gt;"",N$5&gt;Mitarbeiter!$F$34),0,IF(Planung!N36="",$C36,IF(ISNUMBER(Planung!N36),Planung!N36,IF(UPPER(Planung!N36)="H",$C36/2,0)))))))</f>
        <v>0</v>
      </c>
      <c r="O36" s="27">
        <f>IF($A36="",0,IF(Mitarbeiter!$G$34=FALSE,0,IF(AND(Mitarbeiter!$E$34&lt;&gt;"",O$5+6&lt;Mitarbeiter!$E$34),0,IF(AND(Mitarbeiter!$F$34&lt;&gt;"",O$5&gt;Mitarbeiter!$F$34),0,IF(Planung!O36="",$C36,IF(ISNUMBER(Planung!O36),Planung!O36,IF(UPPER(Planung!O36)="H",$C36/2,0)))))))</f>
        <v>0</v>
      </c>
      <c r="P36" s="27">
        <f>IF($A36="",0,IF(Mitarbeiter!$G$34=FALSE,0,IF(AND(Mitarbeiter!$E$34&lt;&gt;"",P$5+6&lt;Mitarbeiter!$E$34),0,IF(AND(Mitarbeiter!$F$34&lt;&gt;"",P$5&gt;Mitarbeiter!$F$34),0,IF(Planung!P36="",$C36,IF(ISNUMBER(Planung!P36),Planung!P36,IF(UPPER(Planung!P36)="H",$C36/2,0)))))))</f>
        <v>0</v>
      </c>
      <c r="Q36" s="27">
        <f>IF($A36="",0,IF(Mitarbeiter!$G$34=FALSE,0,IF(AND(Mitarbeiter!$E$34&lt;&gt;"",Q$5+6&lt;Mitarbeiter!$E$34),0,IF(AND(Mitarbeiter!$F$34&lt;&gt;"",Q$5&gt;Mitarbeiter!$F$34),0,IF(Planung!Q36="",$C36,IF(ISNUMBER(Planung!Q36),Planung!Q36,IF(UPPER(Planung!Q36)="H",$C36/2,0)))))))</f>
        <v>0</v>
      </c>
      <c r="R36" s="27">
        <f>IF($A36="",0,IF(Mitarbeiter!$G$34=FALSE,0,IF(AND(Mitarbeiter!$E$34&lt;&gt;"",R$5+6&lt;Mitarbeiter!$E$34),0,IF(AND(Mitarbeiter!$F$34&lt;&gt;"",R$5&gt;Mitarbeiter!$F$34),0,IF(Planung!R36="",$C36,IF(ISNUMBER(Planung!R36),Planung!R36,IF(UPPER(Planung!R36)="H",$C36/2,0)))))))</f>
        <v>0</v>
      </c>
      <c r="S36" s="27">
        <f>IF($A36="",0,IF(Mitarbeiter!$G$34=FALSE,0,IF(AND(Mitarbeiter!$E$34&lt;&gt;"",S$5+6&lt;Mitarbeiter!$E$34),0,IF(AND(Mitarbeiter!$F$34&lt;&gt;"",S$5&gt;Mitarbeiter!$F$34),0,IF(Planung!S36="",$C36,IF(ISNUMBER(Planung!S36),Planung!S36,IF(UPPER(Planung!S36)="H",$C36/2,0)))))))</f>
        <v>0</v>
      </c>
      <c r="T36" s="27">
        <f>IF($A36="",0,IF(Mitarbeiter!$G$34=FALSE,0,IF(AND(Mitarbeiter!$E$34&lt;&gt;"",T$5+6&lt;Mitarbeiter!$E$34),0,IF(AND(Mitarbeiter!$F$34&lt;&gt;"",T$5&gt;Mitarbeiter!$F$34),0,IF(Planung!T36="",$C36,IF(ISNUMBER(Planung!T36),Planung!T36,IF(UPPER(Planung!T36)="H",$C36/2,0)))))))</f>
        <v>0</v>
      </c>
      <c r="U36" s="27">
        <f>IF($A36="",0,IF(Mitarbeiter!$G$34=FALSE,0,IF(AND(Mitarbeiter!$E$34&lt;&gt;"",U$5+6&lt;Mitarbeiter!$E$34),0,IF(AND(Mitarbeiter!$F$34&lt;&gt;"",U$5&gt;Mitarbeiter!$F$34),0,IF(Planung!U36="",$C36,IF(ISNUMBER(Planung!U36),Planung!U36,IF(UPPER(Planung!U36)="H",$C36/2,0)))))))</f>
        <v>0</v>
      </c>
      <c r="V36" s="27">
        <f>IF($A36="",0,IF(Mitarbeiter!$G$34=FALSE,0,IF(AND(Mitarbeiter!$E$34&lt;&gt;"",V$5+6&lt;Mitarbeiter!$E$34),0,IF(AND(Mitarbeiter!$F$34&lt;&gt;"",V$5&gt;Mitarbeiter!$F$34),0,IF(Planung!V36="",$C36,IF(ISNUMBER(Planung!V36),Planung!V36,IF(UPPER(Planung!V36)="H",$C36/2,0)))))))</f>
        <v>0</v>
      </c>
      <c r="W36" s="27">
        <f>IF($A36="",0,IF(Mitarbeiter!$G$34=FALSE,0,IF(AND(Mitarbeiter!$E$34&lt;&gt;"",W$5+6&lt;Mitarbeiter!$E$34),0,IF(AND(Mitarbeiter!$F$34&lt;&gt;"",W$5&gt;Mitarbeiter!$F$34),0,IF(Planung!W36="",$C36,IF(ISNUMBER(Planung!W36),Planung!W36,IF(UPPER(Planung!W36)="H",$C36/2,0)))))))</f>
        <v>0</v>
      </c>
      <c r="X36" s="27">
        <f>IF($A36="",0,IF(Mitarbeiter!$G$34=FALSE,0,IF(AND(Mitarbeiter!$E$34&lt;&gt;"",X$5+6&lt;Mitarbeiter!$E$34),0,IF(AND(Mitarbeiter!$F$34&lt;&gt;"",X$5&gt;Mitarbeiter!$F$34),0,IF(Planung!X36="",$C36,IF(ISNUMBER(Planung!X36),Planung!X36,IF(UPPER(Planung!X36)="H",$C36/2,0)))))))</f>
        <v>0</v>
      </c>
      <c r="Y36" s="27">
        <f>IF($A36="",0,IF(Mitarbeiter!$G$34=FALSE,0,IF(AND(Mitarbeiter!$E$34&lt;&gt;"",Y$5+6&lt;Mitarbeiter!$E$34),0,IF(AND(Mitarbeiter!$F$34&lt;&gt;"",Y$5&gt;Mitarbeiter!$F$34),0,IF(Planung!Y36="",$C36,IF(ISNUMBER(Planung!Y36),Planung!Y36,IF(UPPER(Planung!Y36)="H",$C36/2,0)))))))</f>
        <v>0</v>
      </c>
      <c r="Z36" s="27">
        <f>IF($A36="",0,IF(Mitarbeiter!$G$34=FALSE,0,IF(AND(Mitarbeiter!$E$34&lt;&gt;"",Z$5+6&lt;Mitarbeiter!$E$34),0,IF(AND(Mitarbeiter!$F$34&lt;&gt;"",Z$5&gt;Mitarbeiter!$F$34),0,IF(Planung!Z36="",$C36,IF(ISNUMBER(Planung!Z36),Planung!Z36,IF(UPPER(Planung!Z36)="H",$C36/2,0)))))))</f>
        <v>0</v>
      </c>
      <c r="AA36" s="27">
        <f>IF($A36="",0,IF(Mitarbeiter!$G$34=FALSE,0,IF(AND(Mitarbeiter!$E$34&lt;&gt;"",AA$5+6&lt;Mitarbeiter!$E$34),0,IF(AND(Mitarbeiter!$F$34&lt;&gt;"",AA$5&gt;Mitarbeiter!$F$34),0,IF(Planung!AA36="",$C36,IF(ISNUMBER(Planung!AA36),Planung!AA36,IF(UPPER(Planung!AA36)="H",$C36/2,0)))))))</f>
        <v>0</v>
      </c>
      <c r="AB36" s="27">
        <f>IF($A36="",0,IF(Mitarbeiter!$G$34=FALSE,0,IF(AND(Mitarbeiter!$E$34&lt;&gt;"",AB$5+6&lt;Mitarbeiter!$E$34),0,IF(AND(Mitarbeiter!$F$34&lt;&gt;"",AB$5&gt;Mitarbeiter!$F$34),0,IF(Planung!AB36="",$C36,IF(ISNUMBER(Planung!AB36),Planung!AB36,IF(UPPER(Planung!AB36)="H",$C36/2,0)))))))</f>
        <v>0</v>
      </c>
      <c r="AC36" s="27">
        <f>IF($A36="",0,IF(Mitarbeiter!$G$34=FALSE,0,IF(AND(Mitarbeiter!$E$34&lt;&gt;"",AC$5+6&lt;Mitarbeiter!$E$34),0,IF(AND(Mitarbeiter!$F$34&lt;&gt;"",AC$5&gt;Mitarbeiter!$F$34),0,IF(Planung!AC36="",$C36,IF(ISNUMBER(Planung!AC36),Planung!AC36,IF(UPPER(Planung!AC36)="H",$C36/2,0)))))))</f>
        <v>0</v>
      </c>
      <c r="AD36" s="27">
        <f>IF($A36="",0,IF(Mitarbeiter!$G$34=FALSE,0,IF(AND(Mitarbeiter!$E$34&lt;&gt;"",AD$5+6&lt;Mitarbeiter!$E$34),0,IF(AND(Mitarbeiter!$F$34&lt;&gt;"",AD$5&gt;Mitarbeiter!$F$34),0,IF(Planung!AD36="",$C36,IF(ISNUMBER(Planung!AD36),Planung!AD36,IF(UPPER(Planung!AD36)="H",$C36/2,0)))))))</f>
        <v>0</v>
      </c>
      <c r="AE36" s="27">
        <f>IF($A36="",0,IF(Mitarbeiter!$G$34=FALSE,0,IF(AND(Mitarbeiter!$E$34&lt;&gt;"",AE$5+6&lt;Mitarbeiter!$E$34),0,IF(AND(Mitarbeiter!$F$34&lt;&gt;"",AE$5&gt;Mitarbeiter!$F$34),0,IF(Planung!AE36="",$C36,IF(ISNUMBER(Planung!AE36),Planung!AE36,IF(UPPER(Planung!AE36)="H",$C36/2,0)))))))</f>
        <v>0</v>
      </c>
      <c r="AF36" s="27">
        <f>IF($A36="",0,IF(Mitarbeiter!$G$34=FALSE,0,IF(AND(Mitarbeiter!$E$34&lt;&gt;"",AF$5+6&lt;Mitarbeiter!$E$34),0,IF(AND(Mitarbeiter!$F$34&lt;&gt;"",AF$5&gt;Mitarbeiter!$F$34),0,IF(Planung!AF36="",$C36,IF(ISNUMBER(Planung!AF36),Planung!AF36,IF(UPPER(Planung!AF36)="H",$C36/2,0)))))))</f>
        <v>0</v>
      </c>
      <c r="AG36" s="27">
        <f>IF($A36="",0,IF(Mitarbeiter!$G$34=FALSE,0,IF(AND(Mitarbeiter!$E$34&lt;&gt;"",AG$5+6&lt;Mitarbeiter!$E$34),0,IF(AND(Mitarbeiter!$F$34&lt;&gt;"",AG$5&gt;Mitarbeiter!$F$34),0,IF(Planung!AG36="",$C36,IF(ISNUMBER(Planung!AG36),Planung!AG36,IF(UPPER(Planung!AG36)="H",$C36/2,0)))))))</f>
        <v>0</v>
      </c>
      <c r="AH36" s="27">
        <f>IF($A36="",0,IF(Mitarbeiter!$G$34=FALSE,0,IF(AND(Mitarbeiter!$E$34&lt;&gt;"",AH$5+6&lt;Mitarbeiter!$E$34),0,IF(AND(Mitarbeiter!$F$34&lt;&gt;"",AH$5&gt;Mitarbeiter!$F$34),0,IF(Planung!AH36="",$C36,IF(ISNUMBER(Planung!AH36),Planung!AH36,IF(UPPER(Planung!AH36)="H",$C36/2,0)))))))</f>
        <v>0</v>
      </c>
      <c r="AI36" s="27">
        <f>IF($A36="",0,IF(Mitarbeiter!$G$34=FALSE,0,IF(AND(Mitarbeiter!$E$34&lt;&gt;"",AI$5+6&lt;Mitarbeiter!$E$34),0,IF(AND(Mitarbeiter!$F$34&lt;&gt;"",AI$5&gt;Mitarbeiter!$F$34),0,IF(Planung!AI36="",$C36,IF(ISNUMBER(Planung!AI36),Planung!AI36,IF(UPPER(Planung!AI36)="H",$C36/2,0)))))))</f>
        <v>0</v>
      </c>
      <c r="AJ36" s="27">
        <f>IF($A36="",0,IF(Mitarbeiter!$G$34=FALSE,0,IF(AND(Mitarbeiter!$E$34&lt;&gt;"",AJ$5+6&lt;Mitarbeiter!$E$34),0,IF(AND(Mitarbeiter!$F$34&lt;&gt;"",AJ$5&gt;Mitarbeiter!$F$34),0,IF(Planung!AJ36="",$C36,IF(ISNUMBER(Planung!AJ36),Planung!AJ36,IF(UPPER(Planung!AJ36)="H",$C36/2,0)))))))</f>
        <v>0</v>
      </c>
      <c r="AK36" s="27">
        <f>IF($A36="",0,IF(Mitarbeiter!$G$34=FALSE,0,IF(AND(Mitarbeiter!$E$34&lt;&gt;"",AK$5+6&lt;Mitarbeiter!$E$34),0,IF(AND(Mitarbeiter!$F$34&lt;&gt;"",AK$5&gt;Mitarbeiter!$F$34),0,IF(Planung!AK36="",$C36,IF(ISNUMBER(Planung!AK36),Planung!AK36,IF(UPPER(Planung!AK36)="H",$C36/2,0)))))))</f>
        <v>0</v>
      </c>
      <c r="AL36" s="27">
        <f>IF($A36="",0,IF(Mitarbeiter!$G$34=FALSE,0,IF(AND(Mitarbeiter!$E$34&lt;&gt;"",AL$5+6&lt;Mitarbeiter!$E$34),0,IF(AND(Mitarbeiter!$F$34&lt;&gt;"",AL$5&gt;Mitarbeiter!$F$34),0,IF(Planung!AL36="",$C36,IF(ISNUMBER(Planung!AL36),Planung!AL36,IF(UPPER(Planung!AL36)="H",$C36/2,0)))))))</f>
        <v>0</v>
      </c>
      <c r="AM36" s="27">
        <f>IF($A36="",0,IF(Mitarbeiter!$G$34=FALSE,0,IF(AND(Mitarbeiter!$E$34&lt;&gt;"",AM$5+6&lt;Mitarbeiter!$E$34),0,IF(AND(Mitarbeiter!$F$34&lt;&gt;"",AM$5&gt;Mitarbeiter!$F$34),0,IF(Planung!AM36="",$C36,IF(ISNUMBER(Planung!AM36),Planung!AM36,IF(UPPER(Planung!AM36)="H",$C36/2,0)))))))</f>
        <v>0</v>
      </c>
      <c r="AN36" s="27">
        <f>IF($A36="",0,IF(Mitarbeiter!$G$34=FALSE,0,IF(AND(Mitarbeiter!$E$34&lt;&gt;"",AN$5+6&lt;Mitarbeiter!$E$34),0,IF(AND(Mitarbeiter!$F$34&lt;&gt;"",AN$5&gt;Mitarbeiter!$F$34),0,IF(Planung!AN36="",$C36,IF(ISNUMBER(Planung!AN36),Planung!AN36,IF(UPPER(Planung!AN36)="H",$C36/2,0)))))))</f>
        <v>0</v>
      </c>
      <c r="AO36" s="27">
        <f>IF($A36="",0,IF(Mitarbeiter!$G$34=FALSE,0,IF(AND(Mitarbeiter!$E$34&lt;&gt;"",AO$5+6&lt;Mitarbeiter!$E$34),0,IF(AND(Mitarbeiter!$F$34&lt;&gt;"",AO$5&gt;Mitarbeiter!$F$34),0,IF(Planung!AO36="",$C36,IF(ISNUMBER(Planung!AO36),Planung!AO36,IF(UPPER(Planung!AO36)="H",$C36/2,0)))))))</f>
        <v>0</v>
      </c>
      <c r="AP36" s="27">
        <f>IF($A36="",0,IF(Mitarbeiter!$G$34=FALSE,0,IF(AND(Mitarbeiter!$E$34&lt;&gt;"",AP$5+6&lt;Mitarbeiter!$E$34),0,IF(AND(Mitarbeiter!$F$34&lt;&gt;"",AP$5&gt;Mitarbeiter!$F$34),0,IF(Planung!AP36="",$C36,IF(ISNUMBER(Planung!AP36),Planung!AP36,IF(UPPER(Planung!AP36)="H",$C36/2,0)))))))</f>
        <v>0</v>
      </c>
      <c r="AQ36" s="27">
        <f>IF($A36="",0,IF(Mitarbeiter!$G$34=FALSE,0,IF(AND(Mitarbeiter!$E$34&lt;&gt;"",AQ$5+6&lt;Mitarbeiter!$E$34),0,IF(AND(Mitarbeiter!$F$34&lt;&gt;"",AQ$5&gt;Mitarbeiter!$F$34),0,IF(Planung!AQ36="",$C36,IF(ISNUMBER(Planung!AQ36),Planung!AQ36,IF(UPPER(Planung!AQ36)="H",$C36/2,0)))))))</f>
        <v>0</v>
      </c>
      <c r="AR36" s="27">
        <f>IF($A36="",0,IF(Mitarbeiter!$G$34=FALSE,0,IF(AND(Mitarbeiter!$E$34&lt;&gt;"",AR$5+6&lt;Mitarbeiter!$E$34),0,IF(AND(Mitarbeiter!$F$34&lt;&gt;"",AR$5&gt;Mitarbeiter!$F$34),0,IF(Planung!AR36="",$C36,IF(ISNUMBER(Planung!AR36),Planung!AR36,IF(UPPER(Planung!AR36)="H",$C36/2,0)))))))</f>
        <v>0</v>
      </c>
      <c r="AS36" s="27">
        <f>IF($A36="",0,IF(Mitarbeiter!$G$34=FALSE,0,IF(AND(Mitarbeiter!$E$34&lt;&gt;"",AS$5+6&lt;Mitarbeiter!$E$34),0,IF(AND(Mitarbeiter!$F$34&lt;&gt;"",AS$5&gt;Mitarbeiter!$F$34),0,IF(Planung!AS36="",$C36,IF(ISNUMBER(Planung!AS36),Planung!AS36,IF(UPPER(Planung!AS36)="H",$C36/2,0)))))))</f>
        <v>0</v>
      </c>
      <c r="AT36" s="27">
        <f>IF($A36="",0,IF(Mitarbeiter!$G$34=FALSE,0,IF(AND(Mitarbeiter!$E$34&lt;&gt;"",AT$5+6&lt;Mitarbeiter!$E$34),0,IF(AND(Mitarbeiter!$F$34&lt;&gt;"",AT$5&gt;Mitarbeiter!$F$34),0,IF(Planung!AT36="",$C36,IF(ISNUMBER(Planung!AT36),Planung!AT36,IF(UPPER(Planung!AT36)="H",$C36/2,0)))))))</f>
        <v>0</v>
      </c>
      <c r="AU36" s="27">
        <f>IF($A36="",0,IF(Mitarbeiter!$G$34=FALSE,0,IF(AND(Mitarbeiter!$E$34&lt;&gt;"",AU$5+6&lt;Mitarbeiter!$E$34),0,IF(AND(Mitarbeiter!$F$34&lt;&gt;"",AU$5&gt;Mitarbeiter!$F$34),0,IF(Planung!AU36="",$C36,IF(ISNUMBER(Planung!AU36),Planung!AU36,IF(UPPER(Planung!AU36)="H",$C36/2,0)))))))</f>
        <v>0</v>
      </c>
      <c r="AV36" s="27">
        <f>IF($A36="",0,IF(Mitarbeiter!$G$34=FALSE,0,IF(AND(Mitarbeiter!$E$34&lt;&gt;"",AV$5+6&lt;Mitarbeiter!$E$34),0,IF(AND(Mitarbeiter!$F$34&lt;&gt;"",AV$5&gt;Mitarbeiter!$F$34),0,IF(Planung!AV36="",$C36,IF(ISNUMBER(Planung!AV36),Planung!AV36,IF(UPPER(Planung!AV36)="H",$C36/2,0)))))))</f>
        <v>0</v>
      </c>
      <c r="AW36" s="27">
        <f>IF($A36="",0,IF(Mitarbeiter!$G$34=FALSE,0,IF(AND(Mitarbeiter!$E$34&lt;&gt;"",AW$5+6&lt;Mitarbeiter!$E$34),0,IF(AND(Mitarbeiter!$F$34&lt;&gt;"",AW$5&gt;Mitarbeiter!$F$34),0,IF(Planung!AW36="",$C36,IF(ISNUMBER(Planung!AW36),Planung!AW36,IF(UPPER(Planung!AW36)="H",$C36/2,0)))))))</f>
        <v>0</v>
      </c>
      <c r="AX36" s="27">
        <f>IF($A36="",0,IF(Mitarbeiter!$G$34=FALSE,0,IF(AND(Mitarbeiter!$E$34&lt;&gt;"",AX$5+6&lt;Mitarbeiter!$E$34),0,IF(AND(Mitarbeiter!$F$34&lt;&gt;"",AX$5&gt;Mitarbeiter!$F$34),0,IF(Planung!AX36="",$C36,IF(ISNUMBER(Planung!AX36),Planung!AX36,IF(UPPER(Planung!AX36)="H",$C36/2,0)))))))</f>
        <v>0</v>
      </c>
      <c r="AY36" s="27">
        <f>IF($A36="",0,IF(Mitarbeiter!$G$34=FALSE,0,IF(AND(Mitarbeiter!$E$34&lt;&gt;"",AY$5+6&lt;Mitarbeiter!$E$34),0,IF(AND(Mitarbeiter!$F$34&lt;&gt;"",AY$5&gt;Mitarbeiter!$F$34),0,IF(Planung!AY36="",$C36,IF(ISNUMBER(Planung!AY36),Planung!AY36,IF(UPPER(Planung!AY36)="H",$C36/2,0)))))))</f>
        <v>0</v>
      </c>
      <c r="AZ36" s="27">
        <f>IF($A36="",0,IF(Mitarbeiter!$G$34=FALSE,0,IF(AND(Mitarbeiter!$E$34&lt;&gt;"",AZ$5+6&lt;Mitarbeiter!$E$34),0,IF(AND(Mitarbeiter!$F$34&lt;&gt;"",AZ$5&gt;Mitarbeiter!$F$34),0,IF(Planung!AZ36="",$C36,IF(ISNUMBER(Planung!AZ36),Planung!AZ36,IF(UPPER(Planung!AZ36)="H",$C36/2,0)))))))</f>
        <v>0</v>
      </c>
      <c r="BA36" s="27">
        <f>IF($A36="",0,IF(Mitarbeiter!$G$34=FALSE,0,IF(AND(Mitarbeiter!$E$34&lt;&gt;"",BA$5+6&lt;Mitarbeiter!$E$34),0,IF(AND(Mitarbeiter!$F$34&lt;&gt;"",BA$5&gt;Mitarbeiter!$F$34),0,IF(Planung!BA36="",$C36,IF(ISNUMBER(Planung!BA36),Planung!BA36,IF(UPPER(Planung!BA36)="H",$C36/2,0)))))))</f>
        <v>0</v>
      </c>
      <c r="BB36" s="27">
        <f>IF($A36="",0,IF(Mitarbeiter!$G$34=FALSE,0,IF(AND(Mitarbeiter!$E$34&lt;&gt;"",BB$5+6&lt;Mitarbeiter!$E$34),0,IF(AND(Mitarbeiter!$F$34&lt;&gt;"",BB$5&gt;Mitarbeiter!$F$34),0,IF(Planung!BB36="",$C36,IF(ISNUMBER(Planung!BB36),Planung!BB36,IF(UPPER(Planung!BB36)="H",$C36/2,0)))))))</f>
        <v>0</v>
      </c>
      <c r="BC36" s="27">
        <f>IF($A36="",0,IF(Mitarbeiter!$G$34=FALSE,0,IF(AND(Mitarbeiter!$E$34&lt;&gt;"",BC$5+6&lt;Mitarbeiter!$E$34),0,IF(AND(Mitarbeiter!$F$34&lt;&gt;"",BC$5&gt;Mitarbeiter!$F$34),0,IF(Planung!BC36="",$C36,IF(ISNUMBER(Planung!BC36),Planung!BC36,IF(UPPER(Planung!BC36)="H",$C36/2,0)))))))</f>
        <v>0</v>
      </c>
      <c r="BD36" s="27">
        <f>IF($A36="",0,IF(Mitarbeiter!$G$34=FALSE,0,IF(AND(Mitarbeiter!$E$34&lt;&gt;"",BD$5+6&lt;Mitarbeiter!$E$34),0,IF(AND(Mitarbeiter!$F$34&lt;&gt;"",BD$5&gt;Mitarbeiter!$F$34),0,IF(Planung!BD36="",$C36,IF(ISNUMBER(Planung!BD36),Planung!BD36,IF(UPPER(Planung!BD36)="H",$C36/2,0)))))))</f>
        <v>0</v>
      </c>
      <c r="BE36" s="27">
        <f>IF($A36="",0,IF(Mitarbeiter!$G$34=FALSE,0,IF(AND(Mitarbeiter!$E$34&lt;&gt;"",BE$5+6&lt;Mitarbeiter!$E$34),0,IF(AND(Mitarbeiter!$F$34&lt;&gt;"",BE$5&gt;Mitarbeiter!$F$34),0,IF(Planung!BE36="",$C36,IF(ISNUMBER(Planung!BE36),Planung!BE36,IF(UPPER(Planung!BE36)="H",$C36/2,0)))))))</f>
        <v>0</v>
      </c>
      <c r="BF36" s="27">
        <f>IF($A36="",0,IF(Mitarbeiter!$G$34=FALSE,0,IF(AND(Mitarbeiter!$E$34&lt;&gt;"",BF$5+6&lt;Mitarbeiter!$E$34),0,IF(AND(Mitarbeiter!$F$34&lt;&gt;"",BF$5&gt;Mitarbeiter!$F$34),0,IF(Planung!BF36="",$C36,IF(ISNUMBER(Planung!BF36),Planung!BF36,IF(UPPER(Planung!BF36)="H",$C36/2,0)))))))</f>
        <v>0</v>
      </c>
      <c r="BG36" s="27">
        <f>IF($A36="",0,IF(Mitarbeiter!$G$34=FALSE,0,IF(AND(Mitarbeiter!$E$34&lt;&gt;"",BG$5+6&lt;Mitarbeiter!$E$34),0,IF(AND(Mitarbeiter!$F$34&lt;&gt;"",BG$5&gt;Mitarbeiter!$F$34),0,IF(Planung!BG36="",$C36,IF(ISNUMBER(Planung!BG36),Planung!BG36,IF(UPPER(Planung!BG36)="H",$C36/2,0)))))))</f>
        <v>0</v>
      </c>
      <c r="BH36" s="27">
        <f>IF($A36="",0,IF(Mitarbeiter!$G$34=FALSE,0,IF(AND(Mitarbeiter!$E$34&lt;&gt;"",BH$5+6&lt;Mitarbeiter!$E$34),0,IF(AND(Mitarbeiter!$F$34&lt;&gt;"",BH$5&gt;Mitarbeiter!$F$34),0,IF(Planung!BH36="",$C36,IF(ISNUMBER(Planung!BH36),Planung!BH36,IF(UPPER(Planung!BH36)="H",$C36/2,0)))))))</f>
        <v>0</v>
      </c>
      <c r="BI36" s="27">
        <f>IF($A36="",0,IF(Mitarbeiter!$G$34=FALSE,0,IF(AND(Mitarbeiter!$E$34&lt;&gt;"",BI$5+6&lt;Mitarbeiter!$E$34),0,IF(AND(Mitarbeiter!$F$34&lt;&gt;"",BI$5&gt;Mitarbeiter!$F$34),0,IF(Planung!BI36="",$C36,IF(ISNUMBER(Planung!BI36),Planung!BI36,IF(UPPER(Planung!BI36)="H",$C36/2,0)))))))</f>
        <v>0</v>
      </c>
      <c r="BJ36" s="27">
        <f>IF($A36="",0,IF(Mitarbeiter!$G$34=FALSE,0,IF(AND(Mitarbeiter!$E$34&lt;&gt;"",BJ$5+6&lt;Mitarbeiter!$E$34),0,IF(AND(Mitarbeiter!$F$34&lt;&gt;"",BJ$5&gt;Mitarbeiter!$F$34),0,IF(Planung!BJ36="",$C36,IF(ISNUMBER(Planung!BJ36),Planung!BJ36,IF(UPPER(Planung!BJ36)="H",$C36/2,0)))))))</f>
        <v>0</v>
      </c>
      <c r="BK36" s="27">
        <f>IF($A36="",0,IF(Mitarbeiter!$G$34=FALSE,0,IF(AND(Mitarbeiter!$E$34&lt;&gt;"",BK$5+6&lt;Mitarbeiter!$E$34),0,IF(AND(Mitarbeiter!$F$34&lt;&gt;"",BK$5&gt;Mitarbeiter!$F$34),0,IF(Planung!BK36="",$C36,IF(ISNUMBER(Planung!BK36),Planung!BK36,IF(UPPER(Planung!BK36)="H",$C36/2,0)))))))</f>
        <v>0</v>
      </c>
      <c r="BL36" s="27">
        <f>IF($A36="",0,IF(Mitarbeiter!$G$34=FALSE,0,IF(AND(Mitarbeiter!$E$34&lt;&gt;"",BL$5+6&lt;Mitarbeiter!$E$34),0,IF(AND(Mitarbeiter!$F$34&lt;&gt;"",BL$5&gt;Mitarbeiter!$F$34),0,IF(Planung!BL36="",$C36,IF(ISNUMBER(Planung!BL36),Planung!BL36,IF(UPPER(Planung!BL36)="H",$C36/2,0)))))))</f>
        <v>0</v>
      </c>
      <c r="BM36" s="27">
        <f>IF($A36="",0,IF(Mitarbeiter!$G$34=FALSE,0,IF(AND(Mitarbeiter!$E$34&lt;&gt;"",BM$5+6&lt;Mitarbeiter!$E$34),0,IF(AND(Mitarbeiter!$F$34&lt;&gt;"",BM$5&gt;Mitarbeiter!$F$34),0,IF(Planung!BM36="",$C36,IF(ISNUMBER(Planung!BM36),Planung!BM36,IF(UPPER(Planung!BM36)="H",$C36/2,0)))))))</f>
        <v>0</v>
      </c>
      <c r="BN36" s="27">
        <f>IF($A36="",0,IF(Mitarbeiter!$G$34=FALSE,0,IF(AND(Mitarbeiter!$E$34&lt;&gt;"",BN$5+6&lt;Mitarbeiter!$E$34),0,IF(AND(Mitarbeiter!$F$34&lt;&gt;"",BN$5&gt;Mitarbeiter!$F$34),0,IF(Planung!BN36="",$C36,IF(ISNUMBER(Planung!BN36),Planung!BN36,IF(UPPER(Planung!BN36)="H",$C36/2,0)))))))</f>
        <v>0</v>
      </c>
      <c r="BO36" s="27">
        <f>IF($A36="",0,IF(Mitarbeiter!$G$34=FALSE,0,IF(AND(Mitarbeiter!$E$34&lt;&gt;"",BO$5+6&lt;Mitarbeiter!$E$34),0,IF(AND(Mitarbeiter!$F$34&lt;&gt;"",BO$5&gt;Mitarbeiter!$F$34),0,IF(Planung!BO36="",$C36,IF(ISNUMBER(Planung!BO36),Planung!BO36,IF(UPPER(Planung!BO36)="H",$C36/2,0)))))))</f>
        <v>0</v>
      </c>
      <c r="BP36" s="27">
        <f>IF($A36="",0,IF(Mitarbeiter!$G$34=FALSE,0,IF(AND(Mitarbeiter!$E$34&lt;&gt;"",BP$5+6&lt;Mitarbeiter!$E$34),0,IF(AND(Mitarbeiter!$F$34&lt;&gt;"",BP$5&gt;Mitarbeiter!$F$34),0,IF(Planung!BP36="",$C36,IF(ISNUMBER(Planung!BP36),Planung!BP36,IF(UPPER(Planung!BP36)="H",$C36/2,0)))))))</f>
        <v>0</v>
      </c>
      <c r="BQ36" s="27">
        <f>IF($A36="",0,IF(Mitarbeiter!$G$34=FALSE,0,IF(AND(Mitarbeiter!$E$34&lt;&gt;"",BQ$5+6&lt;Mitarbeiter!$E$34),0,IF(AND(Mitarbeiter!$F$34&lt;&gt;"",BQ$5&gt;Mitarbeiter!$F$34),0,IF(Planung!BQ36="",$C36,IF(ISNUMBER(Planung!BQ36),Planung!BQ36,IF(UPPER(Planung!BQ36)="H",$C36/2,0)))))))</f>
        <v>0</v>
      </c>
      <c r="BR36" s="27">
        <f>IF($A36="",0,IF(Mitarbeiter!$G$34=FALSE,0,IF(AND(Mitarbeiter!$E$34&lt;&gt;"",BR$5+6&lt;Mitarbeiter!$E$34),0,IF(AND(Mitarbeiter!$F$34&lt;&gt;"",BR$5&gt;Mitarbeiter!$F$34),0,IF(Planung!BR36="",$C36,IF(ISNUMBER(Planung!BR36),Planung!BR36,IF(UPPER(Planung!BR36)="H",$C36/2,0)))))))</f>
        <v>0</v>
      </c>
      <c r="BS36" s="27">
        <f>IF($A36="",0,IF(Mitarbeiter!$G$34=FALSE,0,IF(AND(Mitarbeiter!$E$34&lt;&gt;"",BS$5+6&lt;Mitarbeiter!$E$34),0,IF(AND(Mitarbeiter!$F$34&lt;&gt;"",BS$5&gt;Mitarbeiter!$F$34),0,IF(Planung!BS36="",$C36,IF(ISNUMBER(Planung!BS36),Planung!BS36,IF(UPPER(Planung!BS36)="H",$C36/2,0)))))))</f>
        <v>0</v>
      </c>
      <c r="BT36" s="27">
        <f>IF($A36="",0,IF(Mitarbeiter!$G$34=FALSE,0,IF(AND(Mitarbeiter!$E$34&lt;&gt;"",BT$5+6&lt;Mitarbeiter!$E$34),0,IF(AND(Mitarbeiter!$F$34&lt;&gt;"",BT$5&gt;Mitarbeiter!$F$34),0,IF(Planung!BT36="",$C36,IF(ISNUMBER(Planung!BT36),Planung!BT36,IF(UPPER(Planung!BT36)="H",$C36/2,0)))))))</f>
        <v>0</v>
      </c>
      <c r="BU36" s="27">
        <f>IF($A36="",0,IF(Mitarbeiter!$G$34=FALSE,0,IF(AND(Mitarbeiter!$E$34&lt;&gt;"",BU$5+6&lt;Mitarbeiter!$E$34),0,IF(AND(Mitarbeiter!$F$34&lt;&gt;"",BU$5&gt;Mitarbeiter!$F$34),0,IF(Planung!BU36="",$C36,IF(ISNUMBER(Planung!BU36),Planung!BU36,IF(UPPER(Planung!BU36)="H",$C36/2,0)))))))</f>
        <v>0</v>
      </c>
      <c r="BV36" s="27">
        <f>IF($A36="",0,IF(Mitarbeiter!$G$34=FALSE,0,IF(AND(Mitarbeiter!$E$34&lt;&gt;"",BV$5+6&lt;Mitarbeiter!$E$34),0,IF(AND(Mitarbeiter!$F$34&lt;&gt;"",BV$5&gt;Mitarbeiter!$F$34),0,IF(Planung!BV36="",$C36,IF(ISNUMBER(Planung!BV36),Planung!BV36,IF(UPPER(Planung!BV36)="H",$C36/2,0)))))))</f>
        <v>0</v>
      </c>
      <c r="BW36" s="27">
        <f>IF($A36="",0,IF(Mitarbeiter!$G$34=FALSE,0,IF(AND(Mitarbeiter!$E$34&lt;&gt;"",BW$5+6&lt;Mitarbeiter!$E$34),0,IF(AND(Mitarbeiter!$F$34&lt;&gt;"",BW$5&gt;Mitarbeiter!$F$34),0,IF(Planung!BW36="",$C36,IF(ISNUMBER(Planung!BW36),Planung!BW36,IF(UPPER(Planung!BW36)="H",$C36/2,0)))))))</f>
        <v>0</v>
      </c>
      <c r="BX36" s="27">
        <f>IF($A36="",0,IF(Mitarbeiter!$G$34=FALSE,0,IF(AND(Mitarbeiter!$E$34&lt;&gt;"",BX$5+6&lt;Mitarbeiter!$E$34),0,IF(AND(Mitarbeiter!$F$34&lt;&gt;"",BX$5&gt;Mitarbeiter!$F$34),0,IF(Planung!BX36="",$C36,IF(ISNUMBER(Planung!BX36),Planung!BX36,IF(UPPER(Planung!BX36)="H",$C36/2,0)))))))</f>
        <v>0</v>
      </c>
      <c r="BY36" s="27">
        <f>IF($A36="",0,IF(Mitarbeiter!$G$34=FALSE,0,IF(AND(Mitarbeiter!$E$34&lt;&gt;"",BY$5+6&lt;Mitarbeiter!$E$34),0,IF(AND(Mitarbeiter!$F$34&lt;&gt;"",BY$5&gt;Mitarbeiter!$F$34),0,IF(Planung!BY36="",$C36,IF(ISNUMBER(Planung!BY36),Planung!BY36,IF(UPPER(Planung!BY36)="H",$C36/2,0)))))))</f>
        <v>0</v>
      </c>
      <c r="BZ36" s="27">
        <f>IF($A36="",0,IF(Mitarbeiter!$G$34=FALSE,0,IF(AND(Mitarbeiter!$E$34&lt;&gt;"",BZ$5+6&lt;Mitarbeiter!$E$34),0,IF(AND(Mitarbeiter!$F$34&lt;&gt;"",BZ$5&gt;Mitarbeiter!$F$34),0,IF(Planung!BZ36="",$C36,IF(ISNUMBER(Planung!BZ36),Planung!BZ36,IF(UPPER(Planung!BZ36)="H",$C36/2,0)))))))</f>
        <v>0</v>
      </c>
      <c r="CA36" s="27">
        <f>IF($A36="",0,IF(Mitarbeiter!$G$34=FALSE,0,IF(AND(Mitarbeiter!$E$34&lt;&gt;"",CA$5+6&lt;Mitarbeiter!$E$34),0,IF(AND(Mitarbeiter!$F$34&lt;&gt;"",CA$5&gt;Mitarbeiter!$F$34),0,IF(Planung!CA36="",$C36,IF(ISNUMBER(Planung!CA36),Planung!CA36,IF(UPPER(Planung!CA36)="H",$C36/2,0)))))))</f>
        <v>0</v>
      </c>
      <c r="CB36" s="27">
        <f>IF($A36="",0,IF(Mitarbeiter!$G$34=FALSE,0,IF(AND(Mitarbeiter!$E$34&lt;&gt;"",CB$5+6&lt;Mitarbeiter!$E$34),0,IF(AND(Mitarbeiter!$F$34&lt;&gt;"",CB$5&gt;Mitarbeiter!$F$34),0,IF(Planung!CB36="",$C36,IF(ISNUMBER(Planung!CB36),Planung!CB36,IF(UPPER(Planung!CB36)="H",$C36/2,0)))))))</f>
        <v>0</v>
      </c>
      <c r="CC36" s="27">
        <f>IF($A36="",0,IF(Mitarbeiter!$G$34=FALSE,0,IF(AND(Mitarbeiter!$E$34&lt;&gt;"",CC$5+6&lt;Mitarbeiter!$E$34),0,IF(AND(Mitarbeiter!$F$34&lt;&gt;"",CC$5&gt;Mitarbeiter!$F$34),0,IF(Planung!CC36="",$C36,IF(ISNUMBER(Planung!CC36),Planung!CC36,IF(UPPER(Planung!CC36)="H",$C36/2,0)))))))</f>
        <v>0</v>
      </c>
      <c r="CD36" s="27">
        <f>IF($A36="",0,IF(Mitarbeiter!$G$34=FALSE,0,IF(AND(Mitarbeiter!$E$34&lt;&gt;"",CD$5+6&lt;Mitarbeiter!$E$34),0,IF(AND(Mitarbeiter!$F$34&lt;&gt;"",CD$5&gt;Mitarbeiter!$F$34),0,IF(Planung!CD36="",$C36,IF(ISNUMBER(Planung!CD36),Planung!CD36,IF(UPPER(Planung!CD36)="H",$C36/2,0)))))))</f>
        <v>0</v>
      </c>
      <c r="CE36" s="27">
        <f>IF($A36="",0,IF(Mitarbeiter!$G$34=FALSE,0,IF(AND(Mitarbeiter!$E$34&lt;&gt;"",CE$5+6&lt;Mitarbeiter!$E$34),0,IF(AND(Mitarbeiter!$F$34&lt;&gt;"",CE$5&gt;Mitarbeiter!$F$34),0,IF(Planung!CE36="",$C36,IF(ISNUMBER(Planung!CE36),Planung!CE36,IF(UPPER(Planung!CE36)="H",$C36/2,0)))))))</f>
        <v>0</v>
      </c>
      <c r="CF36" s="27">
        <f>IF($A36="",0,IF(Mitarbeiter!$G$34=FALSE,0,IF(AND(Mitarbeiter!$E$34&lt;&gt;"",CF$5+6&lt;Mitarbeiter!$E$34),0,IF(AND(Mitarbeiter!$F$34&lt;&gt;"",CF$5&gt;Mitarbeiter!$F$34),0,IF(Planung!CF36="",$C36,IF(ISNUMBER(Planung!CF36),Planung!CF36,IF(UPPER(Planung!CF36)="H",$C36/2,0)))))))</f>
        <v>0</v>
      </c>
      <c r="CG36" s="27">
        <f>IF($A36="",0,IF(Mitarbeiter!$G$34=FALSE,0,IF(AND(Mitarbeiter!$E$34&lt;&gt;"",CG$5+6&lt;Mitarbeiter!$E$34),0,IF(AND(Mitarbeiter!$F$34&lt;&gt;"",CG$5&gt;Mitarbeiter!$F$34),0,IF(Planung!CG36="",$C36,IF(ISNUMBER(Planung!CG36),Planung!CG36,IF(UPPER(Planung!CG36)="H",$C36/2,0)))))))</f>
        <v>0</v>
      </c>
      <c r="CH36" s="27">
        <f>IF($A36="",0,IF(Mitarbeiter!$G$34=FALSE,0,IF(AND(Mitarbeiter!$E$34&lt;&gt;"",CH$5+6&lt;Mitarbeiter!$E$34),0,IF(AND(Mitarbeiter!$F$34&lt;&gt;"",CH$5&gt;Mitarbeiter!$F$34),0,IF(Planung!CH36="",$C36,IF(ISNUMBER(Planung!CH36),Planung!CH36,IF(UPPER(Planung!CH36)="H",$C36/2,0)))))))</f>
        <v>0</v>
      </c>
      <c r="CI36" s="27">
        <f>IF($A36="",0,IF(Mitarbeiter!$G$34=FALSE,0,IF(AND(Mitarbeiter!$E$34&lt;&gt;"",CI$5+6&lt;Mitarbeiter!$E$34),0,IF(AND(Mitarbeiter!$F$34&lt;&gt;"",CI$5&gt;Mitarbeiter!$F$34),0,IF(Planung!CI36="",$C36,IF(ISNUMBER(Planung!CI36),Planung!CI36,IF(UPPER(Planung!CI36)="H",$C36/2,0)))))))</f>
        <v>0</v>
      </c>
      <c r="CJ36" s="27">
        <f>IF($A36="",0,IF(Mitarbeiter!$G$34=FALSE,0,IF(AND(Mitarbeiter!$E$34&lt;&gt;"",CJ$5+6&lt;Mitarbeiter!$E$34),0,IF(AND(Mitarbeiter!$F$34&lt;&gt;"",CJ$5&gt;Mitarbeiter!$F$34),0,IF(Planung!CJ36="",$C36,IF(ISNUMBER(Planung!CJ36),Planung!CJ36,IF(UPPER(Planung!CJ36)="H",$C36/2,0)))))))</f>
        <v>0</v>
      </c>
      <c r="CK36" s="27">
        <f>IF($A36="",0,IF(Mitarbeiter!$G$34=FALSE,0,IF(AND(Mitarbeiter!$E$34&lt;&gt;"",CK$5+6&lt;Mitarbeiter!$E$34),0,IF(AND(Mitarbeiter!$F$34&lt;&gt;"",CK$5&gt;Mitarbeiter!$F$34),0,IF(Planung!CK36="",$C36,IF(ISNUMBER(Planung!CK36),Planung!CK36,IF(UPPER(Planung!CK36)="H",$C36/2,0)))))))</f>
        <v>0</v>
      </c>
      <c r="CL36" s="27">
        <f>IF($A36="",0,IF(Mitarbeiter!$G$34=FALSE,0,IF(AND(Mitarbeiter!$E$34&lt;&gt;"",CL$5+6&lt;Mitarbeiter!$E$34),0,IF(AND(Mitarbeiter!$F$34&lt;&gt;"",CL$5&gt;Mitarbeiter!$F$34),0,IF(Planung!CL36="",$C36,IF(ISNUMBER(Planung!CL36),Planung!CL36,IF(UPPER(Planung!CL36)="H",$C36/2,0)))))))</f>
        <v>0</v>
      </c>
      <c r="CM36" s="27">
        <f>IF($A36="",0,IF(Mitarbeiter!$G$34=FALSE,0,IF(AND(Mitarbeiter!$E$34&lt;&gt;"",CM$5+6&lt;Mitarbeiter!$E$34),0,IF(AND(Mitarbeiter!$F$34&lt;&gt;"",CM$5&gt;Mitarbeiter!$F$34),0,IF(Planung!CM36="",$C36,IF(ISNUMBER(Planung!CM36),Planung!CM36,IF(UPPER(Planung!CM36)="H",$C36/2,0)))))))</f>
        <v>0</v>
      </c>
      <c r="CN36" s="27">
        <f>IF($A36="",0,IF(Mitarbeiter!$G$34=FALSE,0,IF(AND(Mitarbeiter!$E$34&lt;&gt;"",CN$5+6&lt;Mitarbeiter!$E$34),0,IF(AND(Mitarbeiter!$F$34&lt;&gt;"",CN$5&gt;Mitarbeiter!$F$34),0,IF(Planung!CN36="",$C36,IF(ISNUMBER(Planung!CN36),Planung!CN36,IF(UPPER(Planung!CN36)="H",$C36/2,0)))))))</f>
        <v>0</v>
      </c>
      <c r="CO36" s="27">
        <f>IF($A36="",0,IF(Mitarbeiter!$G$34=FALSE,0,IF(AND(Mitarbeiter!$E$34&lt;&gt;"",CO$5+6&lt;Mitarbeiter!$E$34),0,IF(AND(Mitarbeiter!$F$34&lt;&gt;"",CO$5&gt;Mitarbeiter!$F$34),0,IF(Planung!CO36="",$C36,IF(ISNUMBER(Planung!CO36),Planung!CO36,IF(UPPER(Planung!CO36)="H",$C36/2,0)))))))</f>
        <v>0</v>
      </c>
      <c r="CP36" s="27">
        <f>IF($A36="",0,IF(Mitarbeiter!$G$34=FALSE,0,IF(AND(Mitarbeiter!$E$34&lt;&gt;"",CP$5+6&lt;Mitarbeiter!$E$34),0,IF(AND(Mitarbeiter!$F$34&lt;&gt;"",CP$5&gt;Mitarbeiter!$F$34),0,IF(Planung!CP36="",$C36,IF(ISNUMBER(Planung!CP36),Planung!CP36,IF(UPPER(Planung!CP36)="H",$C36/2,0)))))))</f>
        <v>0</v>
      </c>
      <c r="CQ36" s="27">
        <f>IF($A36="",0,IF(Mitarbeiter!$G$34=FALSE,0,IF(AND(Mitarbeiter!$E$34&lt;&gt;"",CQ$5+6&lt;Mitarbeiter!$E$34),0,IF(AND(Mitarbeiter!$F$34&lt;&gt;"",CQ$5&gt;Mitarbeiter!$F$34),0,IF(Planung!CQ36="",$C36,IF(ISNUMBER(Planung!CQ36),Planung!CQ36,IF(UPPER(Planung!CQ36)="H",$C36/2,0)))))))</f>
        <v>0</v>
      </c>
      <c r="CR36" s="27">
        <f>IF($A36="",0,IF(Mitarbeiter!$G$34=FALSE,0,IF(AND(Mitarbeiter!$E$34&lt;&gt;"",CR$5+6&lt;Mitarbeiter!$E$34),0,IF(AND(Mitarbeiter!$F$34&lt;&gt;"",CR$5&gt;Mitarbeiter!$F$34),0,IF(Planung!CR36="",$C36,IF(ISNUMBER(Planung!CR36),Planung!CR36,IF(UPPER(Planung!CR36)="H",$C36/2,0)))))))</f>
        <v>0</v>
      </c>
      <c r="CS36" s="27">
        <f>IF($A36="",0,IF(Mitarbeiter!$G$34=FALSE,0,IF(AND(Mitarbeiter!$E$34&lt;&gt;"",CS$5+6&lt;Mitarbeiter!$E$34),0,IF(AND(Mitarbeiter!$F$34&lt;&gt;"",CS$5&gt;Mitarbeiter!$F$34),0,IF(Planung!CS36="",$C36,IF(ISNUMBER(Planung!CS36),Planung!CS36,IF(UPPER(Planung!CS36)="H",$C36/2,0)))))))</f>
        <v>0</v>
      </c>
      <c r="CT36" s="27">
        <f>IF($A36="",0,IF(Mitarbeiter!$G$34=FALSE,0,IF(AND(Mitarbeiter!$E$34&lt;&gt;"",CT$5+6&lt;Mitarbeiter!$E$34),0,IF(AND(Mitarbeiter!$F$34&lt;&gt;"",CT$5&gt;Mitarbeiter!$F$34),0,IF(Planung!CT36="",$C36,IF(ISNUMBER(Planung!CT36),Planung!CT36,IF(UPPER(Planung!CT36)="H",$C36/2,0)))))))</f>
        <v>0</v>
      </c>
      <c r="CU36" s="27">
        <f>IF($A36="",0,IF(Mitarbeiter!$G$34=FALSE,0,IF(AND(Mitarbeiter!$E$34&lt;&gt;"",CU$5+6&lt;Mitarbeiter!$E$34),0,IF(AND(Mitarbeiter!$F$34&lt;&gt;"",CU$5&gt;Mitarbeiter!$F$34),0,IF(Planung!CU36="",$C36,IF(ISNUMBER(Planung!CU36),Planung!CU36,IF(UPPER(Planung!CU36)="H",$C36/2,0)))))))</f>
        <v>0</v>
      </c>
      <c r="CV36" s="27">
        <f>IF($A36="",0,IF(Mitarbeiter!$G$34=FALSE,0,IF(AND(Mitarbeiter!$E$34&lt;&gt;"",CV$5+6&lt;Mitarbeiter!$E$34),0,IF(AND(Mitarbeiter!$F$34&lt;&gt;"",CV$5&gt;Mitarbeiter!$F$34),0,IF(Planung!CV36="",$C36,IF(ISNUMBER(Planung!CV36),Planung!CV36,IF(UPPER(Planung!CV36)="H",$C36/2,0)))))))</f>
        <v>0</v>
      </c>
      <c r="CW36" s="27">
        <f>IF($A36="",0,IF(Mitarbeiter!$G$34=FALSE,0,IF(AND(Mitarbeiter!$E$34&lt;&gt;"",CW$5+6&lt;Mitarbeiter!$E$34),0,IF(AND(Mitarbeiter!$F$34&lt;&gt;"",CW$5&gt;Mitarbeiter!$F$34),0,IF(Planung!CW36="",$C36,IF(ISNUMBER(Planung!CW36),Planung!CW36,IF(UPPER(Planung!CW36)="H",$C36/2,0)))))))</f>
        <v>0</v>
      </c>
      <c r="CX36" s="27">
        <f>IF($A36="",0,IF(Mitarbeiter!$G$34=FALSE,0,IF(AND(Mitarbeiter!$E$34&lt;&gt;"",CX$5+6&lt;Mitarbeiter!$E$34),0,IF(AND(Mitarbeiter!$F$34&lt;&gt;"",CX$5&gt;Mitarbeiter!$F$34),0,IF(Planung!CX36="",$C36,IF(ISNUMBER(Planung!CX36),Planung!CX36,IF(UPPER(Planung!CX36)="H",$C36/2,0)))))))</f>
        <v>0</v>
      </c>
      <c r="CY36" s="27">
        <f>IF($A36="",0,IF(Mitarbeiter!$G$34=FALSE,0,IF(AND(Mitarbeiter!$E$34&lt;&gt;"",CY$5+6&lt;Mitarbeiter!$E$34),0,IF(AND(Mitarbeiter!$F$34&lt;&gt;"",CY$5&gt;Mitarbeiter!$F$34),0,IF(Planung!CY36="",$C36,IF(ISNUMBER(Planung!CY36),Planung!CY36,IF(UPPER(Planung!CY36)="H",$C36/2,0)))))))</f>
        <v>0</v>
      </c>
      <c r="CZ36" s="27">
        <f>IF($A36="",0,IF(Mitarbeiter!$G$34=FALSE,0,IF(AND(Mitarbeiter!$E$34&lt;&gt;"",CZ$5+6&lt;Mitarbeiter!$E$34),0,IF(AND(Mitarbeiter!$F$34&lt;&gt;"",CZ$5&gt;Mitarbeiter!$F$34),0,IF(Planung!CZ36="",$C36,IF(ISNUMBER(Planung!CZ36),Planung!CZ36,IF(UPPER(Planung!CZ36)="H",$C36/2,0)))))))</f>
        <v>0</v>
      </c>
      <c r="DA36" s="27">
        <f>IF($A36="",0,IF(Mitarbeiter!$G$34=FALSE,0,IF(AND(Mitarbeiter!$E$34&lt;&gt;"",DA$5+6&lt;Mitarbeiter!$E$34),0,IF(AND(Mitarbeiter!$F$34&lt;&gt;"",DA$5&gt;Mitarbeiter!$F$34),0,IF(Planung!DA36="",$C36,IF(ISNUMBER(Planung!DA36),Planung!DA36,IF(UPPER(Planung!DA36)="H",$C36/2,0)))))))</f>
        <v>0</v>
      </c>
      <c r="DB36" s="27">
        <f>IF($A36="",0,IF(Mitarbeiter!$G$34=FALSE,0,IF(AND(Mitarbeiter!$E$34&lt;&gt;"",DB$5+6&lt;Mitarbeiter!$E$34),0,IF(AND(Mitarbeiter!$F$34&lt;&gt;"",DB$5&gt;Mitarbeiter!$F$34),0,IF(Planung!DB36="",$C36,IF(ISNUMBER(Planung!DB36),Planung!DB36,IF(UPPER(Planung!DB36)="H",$C36/2,0)))))))</f>
        <v>0</v>
      </c>
      <c r="DC36" s="27">
        <f>IF($A36="",0,IF(Mitarbeiter!$G$34=FALSE,0,IF(AND(Mitarbeiter!$E$34&lt;&gt;"",DC$5+6&lt;Mitarbeiter!$E$34),0,IF(AND(Mitarbeiter!$F$34&lt;&gt;"",DC$5&gt;Mitarbeiter!$F$34),0,IF(Planung!DC36="",$C36,IF(ISNUMBER(Planung!DC36),Planung!DC36,IF(UPPER(Planung!DC36)="H",$C36/2,0)))))))</f>
        <v>0</v>
      </c>
      <c r="DD36" s="27">
        <f>IF($A36="",0,IF(Mitarbeiter!$G$34=FALSE,0,IF(AND(Mitarbeiter!$E$34&lt;&gt;"",DD$5+6&lt;Mitarbeiter!$E$34),0,IF(AND(Mitarbeiter!$F$34&lt;&gt;"",DD$5&gt;Mitarbeiter!$F$34),0,IF(Planung!DD36="",$C36,IF(ISNUMBER(Planung!DD36),Planung!DD36,IF(UPPER(Planung!DD36)="H",$C36/2,0)))))))</f>
        <v>0</v>
      </c>
      <c r="DE36" s="27">
        <f>IF($A36="",0,IF(Mitarbeiter!$G$34=FALSE,0,IF(AND(Mitarbeiter!$E$34&lt;&gt;"",DE$5+6&lt;Mitarbeiter!$E$34),0,IF(AND(Mitarbeiter!$F$34&lt;&gt;"",DE$5&gt;Mitarbeiter!$F$34),0,IF(Planung!DE36="",$C36,IF(ISNUMBER(Planung!DE36),Planung!DE36,IF(UPPER(Planung!DE36)="H",$C36/2,0)))))))</f>
        <v>0</v>
      </c>
      <c r="DF36" s="27">
        <f>IF($A36="",0,IF(Mitarbeiter!$G$34=FALSE,0,IF(AND(Mitarbeiter!$E$34&lt;&gt;"",DF$5+6&lt;Mitarbeiter!$E$34),0,IF(AND(Mitarbeiter!$F$34&lt;&gt;"",DF$5&gt;Mitarbeiter!$F$34),0,IF(Planung!DF36="",$C36,IF(ISNUMBER(Planung!DF36),Planung!DF36,IF(UPPER(Planung!DF36)="H",$C36/2,0)))))))</f>
        <v>0</v>
      </c>
      <c r="DG36" s="27">
        <f>IF($A36="",0,IF(Mitarbeiter!$G$34=FALSE,0,IF(AND(Mitarbeiter!$E$34&lt;&gt;"",DG$5+6&lt;Mitarbeiter!$E$34),0,IF(AND(Mitarbeiter!$F$34&lt;&gt;"",DG$5&gt;Mitarbeiter!$F$34),0,IF(Planung!DG36="",$C36,IF(ISNUMBER(Planung!DG36),Planung!DG36,IF(UPPER(Planung!DG36)="H",$C36/2,0)))))))</f>
        <v>0</v>
      </c>
      <c r="DH36" s="27">
        <f>IF($A36="",0,IF(Mitarbeiter!$G$34=FALSE,0,IF(AND(Mitarbeiter!$E$34&lt;&gt;"",DH$5+6&lt;Mitarbeiter!$E$34),0,IF(AND(Mitarbeiter!$F$34&lt;&gt;"",DH$5&gt;Mitarbeiter!$F$34),0,IF(Planung!DH36="",$C36,IF(ISNUMBER(Planung!DH36),Planung!DH36,IF(UPPER(Planung!DH36)="H",$C36/2,0)))))))</f>
        <v>0</v>
      </c>
      <c r="DI36" s="27">
        <f>IF($A36="",0,IF(Mitarbeiter!$G$34=FALSE,0,IF(AND(Mitarbeiter!$E$34&lt;&gt;"",DI$5+6&lt;Mitarbeiter!$E$34),0,IF(AND(Mitarbeiter!$F$34&lt;&gt;"",DI$5&gt;Mitarbeiter!$F$34),0,IF(Planung!DI36="",$C36,IF(ISNUMBER(Planung!DI36),Planung!DI36,IF(UPPER(Planung!DI36)="H",$C36/2,0)))))))</f>
        <v>0</v>
      </c>
      <c r="DJ36" s="27">
        <f>IF($A36="",0,IF(Mitarbeiter!$G$34=FALSE,0,IF(AND(Mitarbeiter!$E$34&lt;&gt;"",DJ$5+6&lt;Mitarbeiter!$E$34),0,IF(AND(Mitarbeiter!$F$34&lt;&gt;"",DJ$5&gt;Mitarbeiter!$F$34),0,IF(Planung!DJ36="",$C36,IF(ISNUMBER(Planung!DJ36),Planung!DJ36,IF(UPPER(Planung!DJ36)="H",$C36/2,0)))))))</f>
        <v>0</v>
      </c>
      <c r="DK36" s="27">
        <f>IF($A36="",0,IF(Mitarbeiter!$G$34=FALSE,0,IF(AND(Mitarbeiter!$E$34&lt;&gt;"",DK$5+6&lt;Mitarbeiter!$E$34),0,IF(AND(Mitarbeiter!$F$34&lt;&gt;"",DK$5&gt;Mitarbeiter!$F$34),0,IF(Planung!DK36="",$C36,IF(ISNUMBER(Planung!DK36),Planung!DK36,IF(UPPER(Planung!DK36)="H",$C36/2,0)))))))</f>
        <v>0</v>
      </c>
      <c r="DL36" s="27">
        <f>IF($A36="",0,IF(Mitarbeiter!$G$34=FALSE,0,IF(AND(Mitarbeiter!$E$34&lt;&gt;"",DL$5+6&lt;Mitarbeiter!$E$34),0,IF(AND(Mitarbeiter!$F$34&lt;&gt;"",DL$5&gt;Mitarbeiter!$F$34),0,IF(Planung!DL36="",$C36,IF(ISNUMBER(Planung!DL36),Planung!DL36,IF(UPPER(Planung!DL36)="H",$C36/2,0)))))))</f>
        <v>0</v>
      </c>
      <c r="DM36" s="27">
        <f>IF($A36="",0,IF(Mitarbeiter!$G$34=FALSE,0,IF(AND(Mitarbeiter!$E$34&lt;&gt;"",DM$5+6&lt;Mitarbeiter!$E$34),0,IF(AND(Mitarbeiter!$F$34&lt;&gt;"",DM$5&gt;Mitarbeiter!$F$34),0,IF(Planung!DM36="",$C36,IF(ISNUMBER(Planung!DM36),Planung!DM36,IF(UPPER(Planung!DM36)="H",$C36/2,0)))))))</f>
        <v>0</v>
      </c>
      <c r="DN36" s="27">
        <f>IF($A36="",0,IF(Mitarbeiter!$G$34=FALSE,0,IF(AND(Mitarbeiter!$E$34&lt;&gt;"",DN$5+6&lt;Mitarbeiter!$E$34),0,IF(AND(Mitarbeiter!$F$34&lt;&gt;"",DN$5&gt;Mitarbeiter!$F$34),0,IF(Planung!DN36="",$C36,IF(ISNUMBER(Planung!DN36),Planung!DN36,IF(UPPER(Planung!DN36)="H",$C36/2,0)))))))</f>
        <v>0</v>
      </c>
      <c r="DO36" s="27">
        <f>IF($A36="",0,IF(Mitarbeiter!$G$34=FALSE,0,IF(AND(Mitarbeiter!$E$34&lt;&gt;"",DO$5+6&lt;Mitarbeiter!$E$34),0,IF(AND(Mitarbeiter!$F$34&lt;&gt;"",DO$5&gt;Mitarbeiter!$F$34),0,IF(Planung!DO36="",$C36,IF(ISNUMBER(Planung!DO36),Planung!DO36,IF(UPPER(Planung!DO36)="H",$C36/2,0)))))))</f>
        <v>0</v>
      </c>
      <c r="DP36" s="27">
        <f>IF($A36="",0,IF(Mitarbeiter!$G$34=FALSE,0,IF(AND(Mitarbeiter!$E$34&lt;&gt;"",DP$5+6&lt;Mitarbeiter!$E$34),0,IF(AND(Mitarbeiter!$F$34&lt;&gt;"",DP$5&gt;Mitarbeiter!$F$34),0,IF(Planung!DP36="",$C36,IF(ISNUMBER(Planung!DP36),Planung!DP36,IF(UPPER(Planung!DP36)="H",$C36/2,0)))))))</f>
        <v>0</v>
      </c>
      <c r="DQ36" s="27">
        <f>IF($A36="",0,IF(Mitarbeiter!$G$34=FALSE,0,IF(AND(Mitarbeiter!$E$34&lt;&gt;"",DQ$5+6&lt;Mitarbeiter!$E$34),0,IF(AND(Mitarbeiter!$F$34&lt;&gt;"",DQ$5&gt;Mitarbeiter!$F$34),0,IF(Planung!DQ36="",$C36,IF(ISNUMBER(Planung!DQ36),Planung!DQ36,IF(UPPER(Planung!DQ36)="H",$C36/2,0)))))))</f>
        <v>0</v>
      </c>
      <c r="DR36" s="27">
        <f>IF($A36="",0,IF(Mitarbeiter!$G$34=FALSE,0,IF(AND(Mitarbeiter!$E$34&lt;&gt;"",DR$5+6&lt;Mitarbeiter!$E$34),0,IF(AND(Mitarbeiter!$F$34&lt;&gt;"",DR$5&gt;Mitarbeiter!$F$34),0,IF(Planung!DR36="",$C36,IF(ISNUMBER(Planung!DR36),Planung!DR36,IF(UPPER(Planung!DR36)="H",$C36/2,0)))))))</f>
        <v>0</v>
      </c>
      <c r="DS36" s="27">
        <f>IF($A36="",0,IF(Mitarbeiter!$G$34=FALSE,0,IF(AND(Mitarbeiter!$E$34&lt;&gt;"",DS$5+6&lt;Mitarbeiter!$E$34),0,IF(AND(Mitarbeiter!$F$34&lt;&gt;"",DS$5&gt;Mitarbeiter!$F$34),0,IF(Planung!DS36="",$C36,IF(ISNUMBER(Planung!DS36),Planung!DS36,IF(UPPER(Planung!DS36)="H",$C36/2,0)))))))</f>
        <v>0</v>
      </c>
      <c r="DT36" s="27">
        <f>IF($A36="",0,IF(Mitarbeiter!$G$34=FALSE,0,IF(AND(Mitarbeiter!$E$34&lt;&gt;"",DT$5+6&lt;Mitarbeiter!$E$34),0,IF(AND(Mitarbeiter!$F$34&lt;&gt;"",DT$5&gt;Mitarbeiter!$F$34),0,IF(Planung!DT36="",$C36,IF(ISNUMBER(Planung!DT36),Planung!DT36,IF(UPPER(Planung!DT36)="H",$C36/2,0)))))))</f>
        <v>0</v>
      </c>
      <c r="DU36" s="27">
        <f>IF($A36="",0,IF(Mitarbeiter!$G$34=FALSE,0,IF(AND(Mitarbeiter!$E$34&lt;&gt;"",DU$5+6&lt;Mitarbeiter!$E$34),0,IF(AND(Mitarbeiter!$F$34&lt;&gt;"",DU$5&gt;Mitarbeiter!$F$34),0,IF(Planung!DU36="",$C36,IF(ISNUMBER(Planung!DU36),Planung!DU36,IF(UPPER(Planung!DU36)="H",$C36/2,0)))))))</f>
        <v>0</v>
      </c>
      <c r="DV36" s="27">
        <f>IF($A36="",0,IF(Mitarbeiter!$G$34=FALSE,0,IF(AND(Mitarbeiter!$E$34&lt;&gt;"",DV$5+6&lt;Mitarbeiter!$E$34),0,IF(AND(Mitarbeiter!$F$34&lt;&gt;"",DV$5&gt;Mitarbeiter!$F$34),0,IF(Planung!DV36="",$C36,IF(ISNUMBER(Planung!DV36),Planung!DV36,IF(UPPER(Planung!DV36)="H",$C36/2,0)))))))</f>
        <v>0</v>
      </c>
      <c r="DW36" s="27">
        <f>IF($A36="",0,IF(Mitarbeiter!$G$34=FALSE,0,IF(AND(Mitarbeiter!$E$34&lt;&gt;"",DW$5+6&lt;Mitarbeiter!$E$34),0,IF(AND(Mitarbeiter!$F$34&lt;&gt;"",DW$5&gt;Mitarbeiter!$F$34),0,IF(Planung!DW36="",$C36,IF(ISNUMBER(Planung!DW36),Planung!DW36,IF(UPPER(Planung!DW36)="H",$C36/2,0)))))))</f>
        <v>0</v>
      </c>
      <c r="DX36" s="27">
        <f>IF($A36="",0,IF(Mitarbeiter!$G$34=FALSE,0,IF(AND(Mitarbeiter!$E$34&lt;&gt;"",DX$5+6&lt;Mitarbeiter!$E$34),0,IF(AND(Mitarbeiter!$F$34&lt;&gt;"",DX$5&gt;Mitarbeiter!$F$34),0,IF(Planung!DX36="",$C36,IF(ISNUMBER(Planung!DX36),Planung!DX36,IF(UPPER(Planung!DX36)="H",$C36/2,0)))))))</f>
        <v>0</v>
      </c>
      <c r="DY36" s="27">
        <f>IF($A36="",0,IF(Mitarbeiter!$G$34=FALSE,0,IF(AND(Mitarbeiter!$E$34&lt;&gt;"",DY$5+6&lt;Mitarbeiter!$E$34),0,IF(AND(Mitarbeiter!$F$34&lt;&gt;"",DY$5&gt;Mitarbeiter!$F$34),0,IF(Planung!DY36="",$C36,IF(ISNUMBER(Planung!DY36),Planung!DY36,IF(UPPER(Planung!DY36)="H",$C36/2,0)))))))</f>
        <v>0</v>
      </c>
      <c r="DZ36" s="27">
        <f>IF($A36="",0,IF(Mitarbeiter!$G$34=FALSE,0,IF(AND(Mitarbeiter!$E$34&lt;&gt;"",DZ$5+6&lt;Mitarbeiter!$E$34),0,IF(AND(Mitarbeiter!$F$34&lt;&gt;"",DZ$5&gt;Mitarbeiter!$F$34),0,IF(Planung!DZ36="",$C36,IF(ISNUMBER(Planung!DZ36),Planung!DZ36,IF(UPPER(Planung!DZ36)="H",$C36/2,0)))))))</f>
        <v>0</v>
      </c>
      <c r="EA36" s="27">
        <f>IF($A36="",0,IF(Mitarbeiter!$G$34=FALSE,0,IF(AND(Mitarbeiter!$E$34&lt;&gt;"",EA$5+6&lt;Mitarbeiter!$E$34),0,IF(AND(Mitarbeiter!$F$34&lt;&gt;"",EA$5&gt;Mitarbeiter!$F$34),0,IF(Planung!EA36="",$C36,IF(ISNUMBER(Planung!EA36),Planung!EA36,IF(UPPER(Planung!EA36)="H",$C36/2,0)))))))</f>
        <v>0</v>
      </c>
      <c r="EB36" s="27">
        <f>IF($A36="",0,IF(Mitarbeiter!$G$34=FALSE,0,IF(AND(Mitarbeiter!$E$34&lt;&gt;"",EB$5+6&lt;Mitarbeiter!$E$34),0,IF(AND(Mitarbeiter!$F$34&lt;&gt;"",EB$5&gt;Mitarbeiter!$F$34),0,IF(Planung!EB36="",$C36,IF(ISNUMBER(Planung!EB36),Planung!EB36,IF(UPPER(Planung!EB36)="H",$C36/2,0)))))))</f>
        <v>0</v>
      </c>
      <c r="EC36" s="27">
        <f>IF($A36="",0,IF(Mitarbeiter!$G$34=FALSE,0,IF(AND(Mitarbeiter!$E$34&lt;&gt;"",EC$5+6&lt;Mitarbeiter!$E$34),0,IF(AND(Mitarbeiter!$F$34&lt;&gt;"",EC$5&gt;Mitarbeiter!$F$34),0,IF(Planung!EC36="",$C36,IF(ISNUMBER(Planung!EC36),Planung!EC36,IF(UPPER(Planung!EC36)="H",$C36/2,0)))))))</f>
        <v>0</v>
      </c>
      <c r="ED36" s="27">
        <f>IF($A36="",0,IF(Mitarbeiter!$G$34=FALSE,0,IF(AND(Mitarbeiter!$E$34&lt;&gt;"",ED$5+6&lt;Mitarbeiter!$E$34),0,IF(AND(Mitarbeiter!$F$34&lt;&gt;"",ED$5&gt;Mitarbeiter!$F$34),0,IF(Planung!ED36="",$C36,IF(ISNUMBER(Planung!ED36),Planung!ED36,IF(UPPER(Planung!ED36)="H",$C36/2,0)))))))</f>
        <v>0</v>
      </c>
      <c r="EE36" s="27">
        <f>IF($A36="",0,IF(Mitarbeiter!$G$34=FALSE,0,IF(AND(Mitarbeiter!$E$34&lt;&gt;"",EE$5+6&lt;Mitarbeiter!$E$34),0,IF(AND(Mitarbeiter!$F$34&lt;&gt;"",EE$5&gt;Mitarbeiter!$F$34),0,IF(Planung!EE36="",$C36,IF(ISNUMBER(Planung!EE36),Planung!EE36,IF(UPPER(Planung!EE36)="H",$C36/2,0)))))))</f>
        <v>0</v>
      </c>
      <c r="EF36" s="27">
        <f>IF($A36="",0,IF(Mitarbeiter!$G$34=FALSE,0,IF(AND(Mitarbeiter!$E$34&lt;&gt;"",EF$5+6&lt;Mitarbeiter!$E$34),0,IF(AND(Mitarbeiter!$F$34&lt;&gt;"",EF$5&gt;Mitarbeiter!$F$34),0,IF(Planung!EF36="",$C36,IF(ISNUMBER(Planung!EF36),Planung!EF36,IF(UPPER(Planung!EF36)="H",$C36/2,0)))))))</f>
        <v>0</v>
      </c>
      <c r="EG36" s="27">
        <f>IF($A36="",0,IF(Mitarbeiter!$G$34=FALSE,0,IF(AND(Mitarbeiter!$E$34&lt;&gt;"",EG$5+6&lt;Mitarbeiter!$E$34),0,IF(AND(Mitarbeiter!$F$34&lt;&gt;"",EG$5&gt;Mitarbeiter!$F$34),0,IF(Planung!EG36="",$C36,IF(ISNUMBER(Planung!EG36),Planung!EG36,IF(UPPER(Planung!EG36)="H",$C36/2,0)))))))</f>
        <v>0</v>
      </c>
      <c r="EH36" s="27">
        <f>IF($A36="",0,IF(Mitarbeiter!$G$34=FALSE,0,IF(AND(Mitarbeiter!$E$34&lt;&gt;"",EH$5+6&lt;Mitarbeiter!$E$34),0,IF(AND(Mitarbeiter!$F$34&lt;&gt;"",EH$5&gt;Mitarbeiter!$F$34),0,IF(Planung!EH36="",$C36,IF(ISNUMBER(Planung!EH36),Planung!EH36,IF(UPPER(Planung!EH36)="H",$C36/2,0)))))))</f>
        <v>0</v>
      </c>
      <c r="EI36" s="27">
        <f>IF($A36="",0,IF(Mitarbeiter!$G$34=FALSE,0,IF(AND(Mitarbeiter!$E$34&lt;&gt;"",EI$5+6&lt;Mitarbeiter!$E$34),0,IF(AND(Mitarbeiter!$F$34&lt;&gt;"",EI$5&gt;Mitarbeiter!$F$34),0,IF(Planung!EI36="",$C36,IF(ISNUMBER(Planung!EI36),Planung!EI36,IF(UPPER(Planung!EI36)="H",$C36/2,0)))))))</f>
        <v>0</v>
      </c>
      <c r="EJ36" s="27">
        <f>IF($A36="",0,IF(Mitarbeiter!$G$34=FALSE,0,IF(AND(Mitarbeiter!$E$34&lt;&gt;"",EJ$5+6&lt;Mitarbeiter!$E$34),0,IF(AND(Mitarbeiter!$F$34&lt;&gt;"",EJ$5&gt;Mitarbeiter!$F$34),0,IF(Planung!EJ36="",$C36,IF(ISNUMBER(Planung!EJ36),Planung!EJ36,IF(UPPER(Planung!EJ36)="H",$C36/2,0)))))))</f>
        <v>0</v>
      </c>
      <c r="EK36" s="27">
        <f>IF($A36="",0,IF(Mitarbeiter!$G$34=FALSE,0,IF(AND(Mitarbeiter!$E$34&lt;&gt;"",EK$5+6&lt;Mitarbeiter!$E$34),0,IF(AND(Mitarbeiter!$F$34&lt;&gt;"",EK$5&gt;Mitarbeiter!$F$34),0,IF(Planung!EK36="",$C36,IF(ISNUMBER(Planung!EK36),Planung!EK36,IF(UPPER(Planung!EK36)="H",$C36/2,0)))))))</f>
        <v>0</v>
      </c>
      <c r="EL36" s="27">
        <f>IF($A36="",0,IF(Mitarbeiter!$G$34=FALSE,0,IF(AND(Mitarbeiter!$E$34&lt;&gt;"",EL$5+6&lt;Mitarbeiter!$E$34),0,IF(AND(Mitarbeiter!$F$34&lt;&gt;"",EL$5&gt;Mitarbeiter!$F$34),0,IF(Planung!EL36="",$C36,IF(ISNUMBER(Planung!EL36),Planung!EL36,IF(UPPER(Planung!EL36)="H",$C36/2,0)))))))</f>
        <v>0</v>
      </c>
      <c r="EM36" s="27">
        <f>IF($A36="",0,IF(Mitarbeiter!$G$34=FALSE,0,IF(AND(Mitarbeiter!$E$34&lt;&gt;"",EM$5+6&lt;Mitarbeiter!$E$34),0,IF(AND(Mitarbeiter!$F$34&lt;&gt;"",EM$5&gt;Mitarbeiter!$F$34),0,IF(Planung!EM36="",$C36,IF(ISNUMBER(Planung!EM36),Planung!EM36,IF(UPPER(Planung!EM36)="H",$C36/2,0)))))))</f>
        <v>0</v>
      </c>
      <c r="EN36" s="27">
        <f>IF($A36="",0,IF(Mitarbeiter!$G$34=FALSE,0,IF(AND(Mitarbeiter!$E$34&lt;&gt;"",EN$5+6&lt;Mitarbeiter!$E$34),0,IF(AND(Mitarbeiter!$F$34&lt;&gt;"",EN$5&gt;Mitarbeiter!$F$34),0,IF(Planung!EN36="",$C36,IF(ISNUMBER(Planung!EN36),Planung!EN36,IF(UPPER(Planung!EN36)="H",$C36/2,0)))))))</f>
        <v>0</v>
      </c>
      <c r="EO36" s="27">
        <f>IF($A36="",0,IF(Mitarbeiter!$G$34=FALSE,0,IF(AND(Mitarbeiter!$E$34&lt;&gt;"",EO$5+6&lt;Mitarbeiter!$E$34),0,IF(AND(Mitarbeiter!$F$34&lt;&gt;"",EO$5&gt;Mitarbeiter!$F$34),0,IF(Planung!EO36="",$C36,IF(ISNUMBER(Planung!EO36),Planung!EO36,IF(UPPER(Planung!EO36)="H",$C36/2,0)))))))</f>
        <v>0</v>
      </c>
      <c r="EP36" s="27">
        <f>IF($A36="",0,IF(Mitarbeiter!$G$34=FALSE,0,IF(AND(Mitarbeiter!$E$34&lt;&gt;"",EP$5+6&lt;Mitarbeiter!$E$34),0,IF(AND(Mitarbeiter!$F$34&lt;&gt;"",EP$5&gt;Mitarbeiter!$F$34),0,IF(Planung!EP36="",$C36,IF(ISNUMBER(Planung!EP36),Planung!EP36,IF(UPPER(Planung!EP36)="H",$C36/2,0)))))))</f>
        <v>0</v>
      </c>
      <c r="EQ36" s="27">
        <f>IF($A36="",0,IF(Mitarbeiter!$G$34=FALSE,0,IF(AND(Mitarbeiter!$E$34&lt;&gt;"",EQ$5+6&lt;Mitarbeiter!$E$34),0,IF(AND(Mitarbeiter!$F$34&lt;&gt;"",EQ$5&gt;Mitarbeiter!$F$34),0,IF(Planung!EQ36="",$C36,IF(ISNUMBER(Planung!EQ36),Planung!EQ36,IF(UPPER(Planung!EQ36)="H",$C36/2,0)))))))</f>
        <v>0</v>
      </c>
      <c r="ER36" s="27">
        <f>IF($A36="",0,IF(Mitarbeiter!$G$34=FALSE,0,IF(AND(Mitarbeiter!$E$34&lt;&gt;"",ER$5+6&lt;Mitarbeiter!$E$34),0,IF(AND(Mitarbeiter!$F$34&lt;&gt;"",ER$5&gt;Mitarbeiter!$F$34),0,IF(Planung!ER36="",$C36,IF(ISNUMBER(Planung!ER36),Planung!ER36,IF(UPPER(Planung!ER36)="H",$C36/2,0)))))))</f>
        <v>0</v>
      </c>
      <c r="ES36" s="27">
        <f>IF($A36="",0,IF(Mitarbeiter!$G$34=FALSE,0,IF(AND(Mitarbeiter!$E$34&lt;&gt;"",ES$5+6&lt;Mitarbeiter!$E$34),0,IF(AND(Mitarbeiter!$F$34&lt;&gt;"",ES$5&gt;Mitarbeiter!$F$34),0,IF(Planung!ES36="",$C36,IF(ISNUMBER(Planung!ES36),Planung!ES36,IF(UPPER(Planung!ES36)="H",$C36/2,0)))))))</f>
        <v>0</v>
      </c>
      <c r="ET36" s="27">
        <f>IF($A36="",0,IF(Mitarbeiter!$G$34=FALSE,0,IF(AND(Mitarbeiter!$E$34&lt;&gt;"",ET$5+6&lt;Mitarbeiter!$E$34),0,IF(AND(Mitarbeiter!$F$34&lt;&gt;"",ET$5&gt;Mitarbeiter!$F$34),0,IF(Planung!ET36="",$C36,IF(ISNUMBER(Planung!ET36),Planung!ET36,IF(UPPER(Planung!ET36)="H",$C36/2,0)))))))</f>
        <v>0</v>
      </c>
      <c r="EU36" s="27">
        <f>IF($A36="",0,IF(Mitarbeiter!$G$34=FALSE,0,IF(AND(Mitarbeiter!$E$34&lt;&gt;"",EU$5+6&lt;Mitarbeiter!$E$34),0,IF(AND(Mitarbeiter!$F$34&lt;&gt;"",EU$5&gt;Mitarbeiter!$F$34),0,IF(Planung!EU36="",$C36,IF(ISNUMBER(Planung!EU36),Planung!EU36,IF(UPPER(Planung!EU36)="H",$C36/2,0)))))))</f>
        <v>0</v>
      </c>
      <c r="EV36" s="27">
        <f>IF($A36="",0,IF(Mitarbeiter!$G$34=FALSE,0,IF(AND(Mitarbeiter!$E$34&lt;&gt;"",EV$5+6&lt;Mitarbeiter!$E$34),0,IF(AND(Mitarbeiter!$F$34&lt;&gt;"",EV$5&gt;Mitarbeiter!$F$34),0,IF(Planung!EV36="",$C36,IF(ISNUMBER(Planung!EV36),Planung!EV36,IF(UPPER(Planung!EV36)="H",$C36/2,0)))))))</f>
        <v>0</v>
      </c>
      <c r="EW36" s="27">
        <f>IF($A36="",0,IF(Mitarbeiter!$G$34=FALSE,0,IF(AND(Mitarbeiter!$E$34&lt;&gt;"",EW$5+6&lt;Mitarbeiter!$E$34),0,IF(AND(Mitarbeiter!$F$34&lt;&gt;"",EW$5&gt;Mitarbeiter!$F$34),0,IF(Planung!EW36="",$C36,IF(ISNUMBER(Planung!EW36),Planung!EW36,IF(UPPER(Planung!EW36)="H",$C36/2,0)))))))</f>
        <v>0</v>
      </c>
      <c r="EX36" s="27">
        <f>IF($A36="",0,IF(Mitarbeiter!$G$34=FALSE,0,IF(AND(Mitarbeiter!$E$34&lt;&gt;"",EX$5+6&lt;Mitarbeiter!$E$34),0,IF(AND(Mitarbeiter!$F$34&lt;&gt;"",EX$5&gt;Mitarbeiter!$F$34),0,IF(Planung!EX36="",$C36,IF(ISNUMBER(Planung!EX36),Planung!EX36,IF(UPPER(Planung!EX36)="H",$C36/2,0)))))))</f>
        <v>0</v>
      </c>
      <c r="EY36" s="27">
        <f>IF($A36="",0,IF(Mitarbeiter!$G$34=FALSE,0,IF(AND(Mitarbeiter!$E$34&lt;&gt;"",EY$5+6&lt;Mitarbeiter!$E$34),0,IF(AND(Mitarbeiter!$F$34&lt;&gt;"",EY$5&gt;Mitarbeiter!$F$34),0,IF(Planung!EY36="",$C36,IF(ISNUMBER(Planung!EY36),Planung!EY36,IF(UPPER(Planung!EY36)="H",$C36/2,0)))))))</f>
        <v>0</v>
      </c>
      <c r="EZ36" s="27">
        <f>IF($A36="",0,IF(Mitarbeiter!$G$34=FALSE,0,IF(AND(Mitarbeiter!$E$34&lt;&gt;"",EZ$5+6&lt;Mitarbeiter!$E$34),0,IF(AND(Mitarbeiter!$F$34&lt;&gt;"",EZ$5&gt;Mitarbeiter!$F$34),0,IF(Planung!EZ36="",$C36,IF(ISNUMBER(Planung!EZ36),Planung!EZ36,IF(UPPER(Planung!EZ36)="H",$C36/2,0)))))))</f>
        <v>0</v>
      </c>
      <c r="FA36" s="27">
        <f>IF($A36="",0,IF(Mitarbeiter!$G$34=FALSE,0,IF(AND(Mitarbeiter!$E$34&lt;&gt;"",FA$5+6&lt;Mitarbeiter!$E$34),0,IF(AND(Mitarbeiter!$F$34&lt;&gt;"",FA$5&gt;Mitarbeiter!$F$34),0,IF(Planung!FA36="",$C36,IF(ISNUMBER(Planung!FA36),Planung!FA36,IF(UPPER(Planung!FA36)="H",$C36/2,0)))))))</f>
        <v>0</v>
      </c>
      <c r="FB36" s="27">
        <f>IF($A36="",0,IF(Mitarbeiter!$G$34=FALSE,0,IF(AND(Mitarbeiter!$E$34&lt;&gt;"",FB$5+6&lt;Mitarbeiter!$E$34),0,IF(AND(Mitarbeiter!$F$34&lt;&gt;"",FB$5&gt;Mitarbeiter!$F$34),0,IF(Planung!FB36="",$C36,IF(ISNUMBER(Planung!FB36),Planung!FB36,IF(UPPER(Planung!FB36)="H",$C36/2,0)))))))</f>
        <v>0</v>
      </c>
      <c r="FC36" s="27">
        <f>IF($A36="",0,IF(Mitarbeiter!$G$34=FALSE,0,IF(AND(Mitarbeiter!$E$34&lt;&gt;"",FC$5+6&lt;Mitarbeiter!$E$34),0,IF(AND(Mitarbeiter!$F$34&lt;&gt;"",FC$5&gt;Mitarbeiter!$F$34),0,IF(Planung!FC36="",$C36,IF(ISNUMBER(Planung!FC36),Planung!FC36,IF(UPPER(Planung!FC36)="H",$C36/2,0)))))))</f>
        <v>0</v>
      </c>
      <c r="FD36" s="27">
        <f>IF($A36="",0,IF(Mitarbeiter!$G$34=FALSE,0,IF(AND(Mitarbeiter!$E$34&lt;&gt;"",FD$5+6&lt;Mitarbeiter!$E$34),0,IF(AND(Mitarbeiter!$F$34&lt;&gt;"",FD$5&gt;Mitarbeiter!$F$34),0,IF(Planung!FD36="",$C36,IF(ISNUMBER(Planung!FD36),Planung!FD36,IF(UPPER(Planung!FD36)="H",$C36/2,0)))))))</f>
        <v>0</v>
      </c>
      <c r="FE36" s="27">
        <f>IF($A36="",0,IF(Mitarbeiter!$G$34=FALSE,0,IF(AND(Mitarbeiter!$E$34&lt;&gt;"",FE$5+6&lt;Mitarbeiter!$E$34),0,IF(AND(Mitarbeiter!$F$34&lt;&gt;"",FE$5&gt;Mitarbeiter!$F$34),0,IF(Planung!FE36="",$C36,IF(ISNUMBER(Planung!FE36),Planung!FE36,IF(UPPER(Planung!FE36)="H",$C36/2,0)))))))</f>
        <v>0</v>
      </c>
      <c r="FF36" s="27">
        <f>IF($A36="",0,IF(Mitarbeiter!$G$34=FALSE,0,IF(AND(Mitarbeiter!$E$34&lt;&gt;"",FF$5+6&lt;Mitarbeiter!$E$34),0,IF(AND(Mitarbeiter!$F$34&lt;&gt;"",FF$5&gt;Mitarbeiter!$F$34),0,IF(Planung!FF36="",$C36,IF(ISNUMBER(Planung!FF36),Planung!FF36,IF(UPPER(Planung!FF36)="H",$C36/2,0)))))))</f>
        <v>0</v>
      </c>
      <c r="FG36" s="27">
        <f>IF($A36="",0,IF(Mitarbeiter!$G$34=FALSE,0,IF(AND(Mitarbeiter!$E$34&lt;&gt;"",FG$5+6&lt;Mitarbeiter!$E$34),0,IF(AND(Mitarbeiter!$F$34&lt;&gt;"",FG$5&gt;Mitarbeiter!$F$34),0,IF(Planung!FG36="",$C36,IF(ISNUMBER(Planung!FG36),Planung!FG36,IF(UPPER(Planung!FG36)="H",$C36/2,0)))))))</f>
        <v>0</v>
      </c>
      <c r="FH36" s="27">
        <f>IF($A36="",0,IF(Mitarbeiter!$G$34=FALSE,0,IF(AND(Mitarbeiter!$E$34&lt;&gt;"",FH$5+6&lt;Mitarbeiter!$E$34),0,IF(AND(Mitarbeiter!$F$34&lt;&gt;"",FH$5&gt;Mitarbeiter!$F$34),0,IF(Planung!FH36="",$C36,IF(ISNUMBER(Planung!FH36),Planung!FH36,IF(UPPER(Planung!FH36)="H",$C36/2,0)))))))</f>
        <v>0</v>
      </c>
      <c r="FI36" s="27">
        <f>IF($A36="",0,IF(Mitarbeiter!$G$34=FALSE,0,IF(AND(Mitarbeiter!$E$34&lt;&gt;"",FI$5+6&lt;Mitarbeiter!$E$34),0,IF(AND(Mitarbeiter!$F$34&lt;&gt;"",FI$5&gt;Mitarbeiter!$F$34),0,IF(Planung!FI36="",$C36,IF(ISNUMBER(Planung!FI36),Planung!FI36,IF(UPPER(Planung!FI36)="H",$C36/2,0)))))))</f>
        <v>0</v>
      </c>
      <c r="FJ36" s="27">
        <f>IF($A36="",0,IF(Mitarbeiter!$G$34=FALSE,0,IF(AND(Mitarbeiter!$E$34&lt;&gt;"",FJ$5+6&lt;Mitarbeiter!$E$34),0,IF(AND(Mitarbeiter!$F$34&lt;&gt;"",FJ$5&gt;Mitarbeiter!$F$34),0,IF(Planung!FJ36="",$C36,IF(ISNUMBER(Planung!FJ36),Planung!FJ36,IF(UPPER(Planung!FJ36)="H",$C36/2,0)))))))</f>
        <v>0</v>
      </c>
      <c r="FK36" s="27">
        <f>IF($A36="",0,IF(Mitarbeiter!$G$34=FALSE,0,IF(AND(Mitarbeiter!$E$34&lt;&gt;"",FK$5+6&lt;Mitarbeiter!$E$34),0,IF(AND(Mitarbeiter!$F$34&lt;&gt;"",FK$5&gt;Mitarbeiter!$F$34),0,IF(Planung!FK36="",$C36,IF(ISNUMBER(Planung!FK36),Planung!FK36,IF(UPPER(Planung!FK36)="H",$C36/2,0)))))))</f>
        <v>0</v>
      </c>
      <c r="FL36" s="27">
        <f>IF($A36="",0,IF(Mitarbeiter!$G$34=FALSE,0,IF(AND(Mitarbeiter!$E$34&lt;&gt;"",FL$5+6&lt;Mitarbeiter!$E$34),0,IF(AND(Mitarbeiter!$F$34&lt;&gt;"",FL$5&gt;Mitarbeiter!$F$34),0,IF(Planung!FL36="",$C36,IF(ISNUMBER(Planung!FL36),Planung!FL36,IF(UPPER(Planung!FL36)="H",$C36/2,0)))))))</f>
        <v>0</v>
      </c>
      <c r="FM36" s="27">
        <f>IF($A36="",0,IF(Mitarbeiter!$G$34=FALSE,0,IF(AND(Mitarbeiter!$E$34&lt;&gt;"",FM$5+6&lt;Mitarbeiter!$E$34),0,IF(AND(Mitarbeiter!$F$34&lt;&gt;"",FM$5&gt;Mitarbeiter!$F$34),0,IF(Planung!FM36="",$C36,IF(ISNUMBER(Planung!FM36),Planung!FM36,IF(UPPER(Planung!FM36)="H",$C36/2,0)))))))</f>
        <v>0</v>
      </c>
      <c r="FN36" s="27">
        <f>IF($A36="",0,IF(Mitarbeiter!$G$34=FALSE,0,IF(AND(Mitarbeiter!$E$34&lt;&gt;"",FN$5+6&lt;Mitarbeiter!$E$34),0,IF(AND(Mitarbeiter!$F$34&lt;&gt;"",FN$5&gt;Mitarbeiter!$F$34),0,IF(Planung!FN36="",$C36,IF(ISNUMBER(Planung!FN36),Planung!FN36,IF(UPPER(Planung!FN36)="H",$C36/2,0)))))))</f>
        <v>0</v>
      </c>
      <c r="FO36" s="27">
        <f>IF($A36="",0,IF(Mitarbeiter!$G$34=FALSE,0,IF(AND(Mitarbeiter!$E$34&lt;&gt;"",FO$5+6&lt;Mitarbeiter!$E$34),0,IF(AND(Mitarbeiter!$F$34&lt;&gt;"",FO$5&gt;Mitarbeiter!$F$34),0,IF(Planung!FO36="",$C36,IF(ISNUMBER(Planung!FO36),Planung!FO36,IF(UPPER(Planung!FO36)="H",$C36/2,0)))))))</f>
        <v>0</v>
      </c>
      <c r="FP36" s="27">
        <f>IF($A36="",0,IF(Mitarbeiter!$G$34=FALSE,0,IF(AND(Mitarbeiter!$E$34&lt;&gt;"",FP$5+6&lt;Mitarbeiter!$E$34),0,IF(AND(Mitarbeiter!$F$34&lt;&gt;"",FP$5&gt;Mitarbeiter!$F$34),0,IF(Planung!FP36="",$C36,IF(ISNUMBER(Planung!FP36),Planung!FP36,IF(UPPER(Planung!FP36)="H",$C36/2,0)))))))</f>
        <v>0</v>
      </c>
      <c r="FQ36" s="27">
        <f>IF($A36="",0,IF(Mitarbeiter!$G$34=FALSE,0,IF(AND(Mitarbeiter!$E$34&lt;&gt;"",FQ$5+6&lt;Mitarbeiter!$E$34),0,IF(AND(Mitarbeiter!$F$34&lt;&gt;"",FQ$5&gt;Mitarbeiter!$F$34),0,IF(Planung!FQ36="",$C36,IF(ISNUMBER(Planung!FQ36),Planung!FQ36,IF(UPPER(Planung!FQ36)="H",$C36/2,0)))))))</f>
        <v>0</v>
      </c>
      <c r="FR36" s="27">
        <f>IF($A36="",0,IF(Mitarbeiter!$G$34=FALSE,0,IF(AND(Mitarbeiter!$E$34&lt;&gt;"",FR$5+6&lt;Mitarbeiter!$E$34),0,IF(AND(Mitarbeiter!$F$34&lt;&gt;"",FR$5&gt;Mitarbeiter!$F$34),0,IF(Planung!FR36="",$C36,IF(ISNUMBER(Planung!FR36),Planung!FR36,IF(UPPER(Planung!FR36)="H",$C36/2,0)))))))</f>
        <v>0</v>
      </c>
      <c r="FS36" s="27">
        <f>IF($A36="",0,IF(Mitarbeiter!$G$34=FALSE,0,IF(AND(Mitarbeiter!$E$34&lt;&gt;"",FS$5+6&lt;Mitarbeiter!$E$34),0,IF(AND(Mitarbeiter!$F$34&lt;&gt;"",FS$5&gt;Mitarbeiter!$F$34),0,IF(Planung!FS36="",$C36,IF(ISNUMBER(Planung!FS36),Planung!FS36,IF(UPPER(Planung!FS36)="H",$C36/2,0)))))))</f>
        <v>0</v>
      </c>
      <c r="FT36" s="27">
        <f>IF($A36="",0,IF(Mitarbeiter!$G$34=FALSE,0,IF(AND(Mitarbeiter!$E$34&lt;&gt;"",FT$5+6&lt;Mitarbeiter!$E$34),0,IF(AND(Mitarbeiter!$F$34&lt;&gt;"",FT$5&gt;Mitarbeiter!$F$34),0,IF(Planung!FT36="",$C36,IF(ISNUMBER(Planung!FT36),Planung!FT36,IF(UPPER(Planung!FT36)="H",$C36/2,0)))))))</f>
        <v>0</v>
      </c>
      <c r="FU36" s="27">
        <f>IF($A36="",0,IF(Mitarbeiter!$G$34=FALSE,0,IF(AND(Mitarbeiter!$E$34&lt;&gt;"",FU$5+6&lt;Mitarbeiter!$E$34),0,IF(AND(Mitarbeiter!$F$34&lt;&gt;"",FU$5&gt;Mitarbeiter!$F$34),0,IF(Planung!FU36="",$C36,IF(ISNUMBER(Planung!FU36),Planung!FU36,IF(UPPER(Planung!FU36)="H",$C36/2,0)))))))</f>
        <v>0</v>
      </c>
      <c r="FV36" s="27">
        <f>IF($A36="",0,IF(Mitarbeiter!$G$34=FALSE,0,IF(AND(Mitarbeiter!$E$34&lt;&gt;"",FV$5+6&lt;Mitarbeiter!$E$34),0,IF(AND(Mitarbeiter!$F$34&lt;&gt;"",FV$5&gt;Mitarbeiter!$F$34),0,IF(Planung!FV36="",$C36,IF(ISNUMBER(Planung!FV36),Planung!FV36,IF(UPPER(Planung!FV36)="H",$C36/2,0)))))))</f>
        <v>0</v>
      </c>
      <c r="FW36" s="27">
        <f>IF($A36="",0,IF(Mitarbeiter!$G$34=FALSE,0,IF(AND(Mitarbeiter!$E$34&lt;&gt;"",FW$5+6&lt;Mitarbeiter!$E$34),0,IF(AND(Mitarbeiter!$F$34&lt;&gt;"",FW$5&gt;Mitarbeiter!$F$34),0,IF(Planung!FW36="",$C36,IF(ISNUMBER(Planung!FW36),Planung!FW36,IF(UPPER(Planung!FW36)="H",$C36/2,0)))))))</f>
        <v>0</v>
      </c>
      <c r="FX36" s="27">
        <f>IF($A36="",0,IF(Mitarbeiter!$G$34=FALSE,0,IF(AND(Mitarbeiter!$E$34&lt;&gt;"",FX$5+6&lt;Mitarbeiter!$E$34),0,IF(AND(Mitarbeiter!$F$34&lt;&gt;"",FX$5&gt;Mitarbeiter!$F$34),0,IF(Planung!FX36="",$C36,IF(ISNUMBER(Planung!FX36),Planung!FX36,IF(UPPER(Planung!FX36)="H",$C36/2,0)))))))</f>
        <v>0</v>
      </c>
      <c r="FY36" s="27">
        <f>IF($A36="",0,IF(Mitarbeiter!$G$34=FALSE,0,IF(AND(Mitarbeiter!$E$34&lt;&gt;"",FY$5+6&lt;Mitarbeiter!$E$34),0,IF(AND(Mitarbeiter!$F$34&lt;&gt;"",FY$5&gt;Mitarbeiter!$F$34),0,IF(Planung!FY36="",$C36,IF(ISNUMBER(Planung!FY36),Planung!FY36,IF(UPPER(Planung!FY36)="H",$C36/2,0)))))))</f>
        <v>0</v>
      </c>
      <c r="FZ36" s="27">
        <f>IF($A36="",0,IF(Mitarbeiter!$G$34=FALSE,0,IF(AND(Mitarbeiter!$E$34&lt;&gt;"",FZ$5+6&lt;Mitarbeiter!$E$34),0,IF(AND(Mitarbeiter!$F$34&lt;&gt;"",FZ$5&gt;Mitarbeiter!$F$34),0,IF(Planung!FZ36="",$C36,IF(ISNUMBER(Planung!FZ36),Planung!FZ36,IF(UPPER(Planung!FZ36)="H",$C36/2,0)))))))</f>
        <v>0</v>
      </c>
      <c r="GA36" s="27">
        <f>IF($A36="",0,IF(Mitarbeiter!$G$34=FALSE,0,IF(AND(Mitarbeiter!$E$34&lt;&gt;"",GA$5+6&lt;Mitarbeiter!$E$34),0,IF(AND(Mitarbeiter!$F$34&lt;&gt;"",GA$5&gt;Mitarbeiter!$F$34),0,IF(Planung!GA36="",$C36,IF(ISNUMBER(Planung!GA36),Planung!GA36,IF(UPPER(Planung!GA36)="H",$C36/2,0)))))))</f>
        <v>0</v>
      </c>
      <c r="GB36" s="27">
        <f>IF($A36="",0,IF(Mitarbeiter!$G$34=FALSE,0,IF(AND(Mitarbeiter!$E$34&lt;&gt;"",GB$5+6&lt;Mitarbeiter!$E$34),0,IF(AND(Mitarbeiter!$F$34&lt;&gt;"",GB$5&gt;Mitarbeiter!$F$34),0,IF(Planung!GB36="",$C36,IF(ISNUMBER(Planung!GB36),Planung!GB36,IF(UPPER(Planung!GB36)="H",$C36/2,0)))))))</f>
        <v>0</v>
      </c>
      <c r="GC36" s="27">
        <f>IF($A36="",0,IF(Mitarbeiter!$G$34=FALSE,0,IF(AND(Mitarbeiter!$E$34&lt;&gt;"",GC$5+6&lt;Mitarbeiter!$E$34),0,IF(AND(Mitarbeiter!$F$34&lt;&gt;"",GC$5&gt;Mitarbeiter!$F$34),0,IF(Planung!GC36="",$C36,IF(ISNUMBER(Planung!GC36),Planung!GC36,IF(UPPER(Planung!GC36)="H",$C36/2,0)))))))</f>
        <v>0</v>
      </c>
      <c r="GD36" s="27">
        <f>IF($A36="",0,IF(Mitarbeiter!$G$34=FALSE,0,IF(AND(Mitarbeiter!$E$34&lt;&gt;"",GD$5+6&lt;Mitarbeiter!$E$34),0,IF(AND(Mitarbeiter!$F$34&lt;&gt;"",GD$5&gt;Mitarbeiter!$F$34),0,IF(Planung!GD36="",$C36,IF(ISNUMBER(Planung!GD36),Planung!GD36,IF(UPPER(Planung!GD36)="H",$C36/2,0)))))))</f>
        <v>0</v>
      </c>
      <c r="GE36" s="27">
        <f>IF($A36="",0,IF(Mitarbeiter!$G$34=FALSE,0,IF(AND(Mitarbeiter!$E$34&lt;&gt;"",GE$5+6&lt;Mitarbeiter!$E$34),0,IF(AND(Mitarbeiter!$F$34&lt;&gt;"",GE$5&gt;Mitarbeiter!$F$34),0,IF(Planung!GE36="",$C36,IF(ISNUMBER(Planung!GE36),Planung!GE36,IF(UPPER(Planung!GE36)="H",$C36/2,0)))))))</f>
        <v>0</v>
      </c>
      <c r="GF36" s="27">
        <f>IF($A36="",0,IF(Mitarbeiter!$G$34=FALSE,0,IF(AND(Mitarbeiter!$E$34&lt;&gt;"",GF$5+6&lt;Mitarbeiter!$E$34),0,IF(AND(Mitarbeiter!$F$34&lt;&gt;"",GF$5&gt;Mitarbeiter!$F$34),0,IF(Planung!GF36="",$C36,IF(ISNUMBER(Planung!GF36),Planung!GF36,IF(UPPER(Planung!GF36)="H",$C36/2,0)))))))</f>
        <v>0</v>
      </c>
      <c r="GG36" s="27">
        <f>IF($A36="",0,IF(Mitarbeiter!$G$34=FALSE,0,IF(AND(Mitarbeiter!$E$34&lt;&gt;"",GG$5+6&lt;Mitarbeiter!$E$34),0,IF(AND(Mitarbeiter!$F$34&lt;&gt;"",GG$5&gt;Mitarbeiter!$F$34),0,IF(Planung!GG36="",$C36,IF(ISNUMBER(Planung!GG36),Planung!GG36,IF(UPPER(Planung!GG36)="H",$C36/2,0)))))))</f>
        <v>0</v>
      </c>
      <c r="GH36" s="27">
        <f>IF($A36="",0,IF(Mitarbeiter!$G$34=FALSE,0,IF(AND(Mitarbeiter!$E$34&lt;&gt;"",GH$5+6&lt;Mitarbeiter!$E$34),0,IF(AND(Mitarbeiter!$F$34&lt;&gt;"",GH$5&gt;Mitarbeiter!$F$34),0,IF(Planung!GH36="",$C36,IF(ISNUMBER(Planung!GH36),Planung!GH36,IF(UPPER(Planung!GH36)="H",$C36/2,0)))))))</f>
        <v>0</v>
      </c>
      <c r="GI36" s="27">
        <f>IF($A36="",0,IF(Mitarbeiter!$G$34=FALSE,0,IF(AND(Mitarbeiter!$E$34&lt;&gt;"",GI$5+6&lt;Mitarbeiter!$E$34),0,IF(AND(Mitarbeiter!$F$34&lt;&gt;"",GI$5&gt;Mitarbeiter!$F$34),0,IF(Planung!GI36="",$C36,IF(ISNUMBER(Planung!GI36),Planung!GI36,IF(UPPER(Planung!GI36)="H",$C36/2,0)))))))</f>
        <v>0</v>
      </c>
      <c r="GJ36" s="27">
        <f>IF($A36="",0,IF(Mitarbeiter!$G$34=FALSE,0,IF(AND(Mitarbeiter!$E$34&lt;&gt;"",GJ$5+6&lt;Mitarbeiter!$E$34),0,IF(AND(Mitarbeiter!$F$34&lt;&gt;"",GJ$5&gt;Mitarbeiter!$F$34),0,IF(Planung!GJ36="",$C36,IF(ISNUMBER(Planung!GJ36),Planung!GJ36,IF(UPPER(Planung!GJ36)="H",$C36/2,0)))))))</f>
        <v>0</v>
      </c>
      <c r="GK36" s="27">
        <f>IF($A36="",0,IF(Mitarbeiter!$G$34=FALSE,0,IF(AND(Mitarbeiter!$E$34&lt;&gt;"",GK$5+6&lt;Mitarbeiter!$E$34),0,IF(AND(Mitarbeiter!$F$34&lt;&gt;"",GK$5&gt;Mitarbeiter!$F$34),0,IF(Planung!GK36="",$C36,IF(ISNUMBER(Planung!GK36),Planung!GK36,IF(UPPER(Planung!GK36)="H",$C36/2,0)))))))</f>
        <v>0</v>
      </c>
      <c r="GL36" s="27">
        <f>IF($A36="",0,IF(Mitarbeiter!$G$34=FALSE,0,IF(AND(Mitarbeiter!$E$34&lt;&gt;"",GL$5+6&lt;Mitarbeiter!$E$34),0,IF(AND(Mitarbeiter!$F$34&lt;&gt;"",GL$5&gt;Mitarbeiter!$F$34),0,IF(Planung!GL36="",$C36,IF(ISNUMBER(Planung!GL36),Planung!GL36,IF(UPPER(Planung!GL36)="H",$C36/2,0)))))))</f>
        <v>0</v>
      </c>
      <c r="GM36" s="27">
        <f>IF($A36="",0,IF(Mitarbeiter!$G$34=FALSE,0,IF(AND(Mitarbeiter!$E$34&lt;&gt;"",GM$5+6&lt;Mitarbeiter!$E$34),0,IF(AND(Mitarbeiter!$F$34&lt;&gt;"",GM$5&gt;Mitarbeiter!$F$34),0,IF(Planung!GM36="",$C36,IF(ISNUMBER(Planung!GM36),Planung!GM36,IF(UPPER(Planung!GM36)="H",$C36/2,0)))))))</f>
        <v>0</v>
      </c>
      <c r="GN36" s="27">
        <f>IF($A36="",0,IF(Mitarbeiter!$G$34=FALSE,0,IF(AND(Mitarbeiter!$E$34&lt;&gt;"",GN$5+6&lt;Mitarbeiter!$E$34),0,IF(AND(Mitarbeiter!$F$34&lt;&gt;"",GN$5&gt;Mitarbeiter!$F$34),0,IF(Planung!GN36="",$C36,IF(ISNUMBER(Planung!GN36),Planung!GN36,IF(UPPER(Planung!GN36)="H",$C36/2,0)))))))</f>
        <v>0</v>
      </c>
      <c r="GO36" s="27">
        <f>IF($A36="",0,IF(Mitarbeiter!$G$34=FALSE,0,IF(AND(Mitarbeiter!$E$34&lt;&gt;"",GO$5+6&lt;Mitarbeiter!$E$34),0,IF(AND(Mitarbeiter!$F$34&lt;&gt;"",GO$5&gt;Mitarbeiter!$F$34),0,IF(Planung!GO36="",$C36,IF(ISNUMBER(Planung!GO36),Planung!GO36,IF(UPPER(Planung!GO36)="H",$C36/2,0)))))))</f>
        <v>0</v>
      </c>
      <c r="GP36" s="27">
        <f>IF($A36="",0,IF(Mitarbeiter!$G$34=FALSE,0,IF(AND(Mitarbeiter!$E$34&lt;&gt;"",GP$5+6&lt;Mitarbeiter!$E$34),0,IF(AND(Mitarbeiter!$F$34&lt;&gt;"",GP$5&gt;Mitarbeiter!$F$34),0,IF(Planung!GP36="",$C36,IF(ISNUMBER(Planung!GP36),Planung!GP36,IF(UPPER(Planung!GP36)="H",$C36/2,0)))))))</f>
        <v>0</v>
      </c>
      <c r="GQ36" s="27">
        <f>IF($A36="",0,IF(Mitarbeiter!$G$34=FALSE,0,IF(AND(Mitarbeiter!$E$34&lt;&gt;"",GQ$5+6&lt;Mitarbeiter!$E$34),0,IF(AND(Mitarbeiter!$F$34&lt;&gt;"",GQ$5&gt;Mitarbeiter!$F$34),0,IF(Planung!GQ36="",$C36,IF(ISNUMBER(Planung!GQ36),Planung!GQ36,IF(UPPER(Planung!GQ36)="H",$C36/2,0)))))))</f>
        <v>0</v>
      </c>
      <c r="GR36" s="27">
        <f>IF($A36="",0,IF(Mitarbeiter!$G$34=FALSE,0,IF(AND(Mitarbeiter!$E$34&lt;&gt;"",GR$5+6&lt;Mitarbeiter!$E$34),0,IF(AND(Mitarbeiter!$F$34&lt;&gt;"",GR$5&gt;Mitarbeiter!$F$34),0,IF(Planung!GR36="",$C36,IF(ISNUMBER(Planung!GR36),Planung!GR36,IF(UPPER(Planung!GR36)="H",$C36/2,0)))))))</f>
        <v>0</v>
      </c>
      <c r="GS36" s="27">
        <f>IF($A36="",0,IF(Mitarbeiter!$G$34=FALSE,0,IF(AND(Mitarbeiter!$E$34&lt;&gt;"",GS$5+6&lt;Mitarbeiter!$E$34),0,IF(AND(Mitarbeiter!$F$34&lt;&gt;"",GS$5&gt;Mitarbeiter!$F$34),0,IF(Planung!GS36="",$C36,IF(ISNUMBER(Planung!GS36),Planung!GS36,IF(UPPER(Planung!GS36)="H",$C36/2,0)))))))</f>
        <v>0</v>
      </c>
      <c r="GT36" s="27">
        <f>IF($A36="",0,IF(Mitarbeiter!$G$34=FALSE,0,IF(AND(Mitarbeiter!$E$34&lt;&gt;"",GT$5+6&lt;Mitarbeiter!$E$34),0,IF(AND(Mitarbeiter!$F$34&lt;&gt;"",GT$5&gt;Mitarbeiter!$F$34),0,IF(Planung!GT36="",$C36,IF(ISNUMBER(Planung!GT36),Planung!GT36,IF(UPPER(Planung!GT36)="H",$C36/2,0)))))))</f>
        <v>0</v>
      </c>
      <c r="GU36" s="27">
        <f>IF($A36="",0,IF(Mitarbeiter!$G$34=FALSE,0,IF(AND(Mitarbeiter!$E$34&lt;&gt;"",GU$5+6&lt;Mitarbeiter!$E$34),0,IF(AND(Mitarbeiter!$F$34&lt;&gt;"",GU$5&gt;Mitarbeiter!$F$34),0,IF(Planung!GU36="",$C36,IF(ISNUMBER(Planung!GU36),Planung!GU36,IF(UPPER(Planung!GU36)="H",$C36/2,0)))))))</f>
        <v>0</v>
      </c>
      <c r="GV36" s="27">
        <f>IF($A36="",0,IF(Mitarbeiter!$G$34=FALSE,0,IF(AND(Mitarbeiter!$E$34&lt;&gt;"",GV$5+6&lt;Mitarbeiter!$E$34),0,IF(AND(Mitarbeiter!$F$34&lt;&gt;"",GV$5&gt;Mitarbeiter!$F$34),0,IF(Planung!GV36="",$C36,IF(ISNUMBER(Planung!GV36),Planung!GV36,IF(UPPER(Planung!GV36)="H",$C36/2,0)))))))</f>
        <v>0</v>
      </c>
      <c r="GW36" s="27">
        <f>IF($A36="",0,IF(Mitarbeiter!$G$34=FALSE,0,IF(AND(Mitarbeiter!$E$34&lt;&gt;"",GW$5+6&lt;Mitarbeiter!$E$34),0,IF(AND(Mitarbeiter!$F$34&lt;&gt;"",GW$5&gt;Mitarbeiter!$F$34),0,IF(Planung!GW36="",$C36,IF(ISNUMBER(Planung!GW36),Planung!GW36,IF(UPPER(Planung!GW36)="H",$C36/2,0)))))))</f>
        <v>0</v>
      </c>
      <c r="GX36" s="27">
        <f>IF($A36="",0,IF(Mitarbeiter!$G$34=FALSE,0,IF(AND(Mitarbeiter!$E$34&lt;&gt;"",GX$5+6&lt;Mitarbeiter!$E$34),0,IF(AND(Mitarbeiter!$F$34&lt;&gt;"",GX$5&gt;Mitarbeiter!$F$34),0,IF(Planung!GX36="",$C36,IF(ISNUMBER(Planung!GX36),Planung!GX36,IF(UPPER(Planung!GX36)="H",$C36/2,0)))))))</f>
        <v>0</v>
      </c>
      <c r="GY36" s="27">
        <f>IF($A36="",0,IF(Mitarbeiter!$G$34=FALSE,0,IF(AND(Mitarbeiter!$E$34&lt;&gt;"",GY$5+6&lt;Mitarbeiter!$E$34),0,IF(AND(Mitarbeiter!$F$34&lt;&gt;"",GY$5&gt;Mitarbeiter!$F$34),0,IF(Planung!GY36="",$C36,IF(ISNUMBER(Planung!GY36),Planung!GY36,IF(UPPER(Planung!GY36)="H",$C36/2,0)))))))</f>
        <v>0</v>
      </c>
      <c r="GZ36" s="27">
        <f>IF($A36="",0,IF(Mitarbeiter!$G$34=FALSE,0,IF(AND(Mitarbeiter!$E$34&lt;&gt;"",GZ$5+6&lt;Mitarbeiter!$E$34),0,IF(AND(Mitarbeiter!$F$34&lt;&gt;"",GZ$5&gt;Mitarbeiter!$F$34),0,IF(Planung!GZ36="",$C36,IF(ISNUMBER(Planung!GZ36),Planung!GZ36,IF(UPPER(Planung!GZ36)="H",$C36/2,0)))))))</f>
        <v>0</v>
      </c>
      <c r="HA36" s="27">
        <f>IF($A36="",0,IF(Mitarbeiter!$G$34=FALSE,0,IF(AND(Mitarbeiter!$E$34&lt;&gt;"",HA$5+6&lt;Mitarbeiter!$E$34),0,IF(AND(Mitarbeiter!$F$34&lt;&gt;"",HA$5&gt;Mitarbeiter!$F$34),0,IF(Planung!HA36="",$C36,IF(ISNUMBER(Planung!HA36),Planung!HA36,IF(UPPER(Planung!HA36)="H",$C36/2,0)))))))</f>
        <v>0</v>
      </c>
      <c r="HB36" s="27">
        <f>IF($A36="",0,IF(Mitarbeiter!$G$34=FALSE,0,IF(AND(Mitarbeiter!$E$34&lt;&gt;"",HB$5+6&lt;Mitarbeiter!$E$34),0,IF(AND(Mitarbeiter!$F$34&lt;&gt;"",HB$5&gt;Mitarbeiter!$F$34),0,IF(Planung!HB36="",$C36,IF(ISNUMBER(Planung!HB36),Planung!HB36,IF(UPPER(Planung!HB36)="H",$C36/2,0)))))))</f>
        <v>0</v>
      </c>
      <c r="HC36" s="27">
        <f>IF($A36="",0,IF(Mitarbeiter!$G$34=FALSE,0,IF(AND(Mitarbeiter!$E$34&lt;&gt;"",HC$5+6&lt;Mitarbeiter!$E$34),0,IF(AND(Mitarbeiter!$F$34&lt;&gt;"",HC$5&gt;Mitarbeiter!$F$34),0,IF(Planung!HC36="",$C36,IF(ISNUMBER(Planung!HC36),Planung!HC36,IF(UPPER(Planung!HC36)="H",$C36/2,0)))))))</f>
        <v>0</v>
      </c>
      <c r="HD36" s="27">
        <f>IF($A36="",0,IF(Mitarbeiter!$G$34=FALSE,0,IF(AND(Mitarbeiter!$E$34&lt;&gt;"",HD$5+6&lt;Mitarbeiter!$E$34),0,IF(AND(Mitarbeiter!$F$34&lt;&gt;"",HD$5&gt;Mitarbeiter!$F$34),0,IF(Planung!HD36="",$C36,IF(ISNUMBER(Planung!HD36),Planung!HD36,IF(UPPER(Planung!HD36)="H",$C36/2,0)))))))</f>
        <v>0</v>
      </c>
      <c r="HE36" s="27">
        <f>IF($A36="",0,IF(Mitarbeiter!$G$34=FALSE,0,IF(AND(Mitarbeiter!$E$34&lt;&gt;"",HE$5+6&lt;Mitarbeiter!$E$34),0,IF(AND(Mitarbeiter!$F$34&lt;&gt;"",HE$5&gt;Mitarbeiter!$F$34),0,IF(Planung!HE36="",$C36,IF(ISNUMBER(Planung!HE36),Planung!HE36,IF(UPPER(Planung!HE36)="H",$C36/2,0)))))))</f>
        <v>0</v>
      </c>
      <c r="HF36" s="27">
        <f>IF($A36="",0,IF(Mitarbeiter!$G$34=FALSE,0,IF(AND(Mitarbeiter!$E$34&lt;&gt;"",HF$5+6&lt;Mitarbeiter!$E$34),0,IF(AND(Mitarbeiter!$F$34&lt;&gt;"",HF$5&gt;Mitarbeiter!$F$34),0,IF(Planung!HF36="",$C36,IF(ISNUMBER(Planung!HF36),Planung!HF36,IF(UPPER(Planung!HF36)="H",$C36/2,0)))))))</f>
        <v>0</v>
      </c>
      <c r="HG36" s="27">
        <f>IF($A36="",0,IF(Mitarbeiter!$G$34=FALSE,0,IF(AND(Mitarbeiter!$E$34&lt;&gt;"",HG$5+6&lt;Mitarbeiter!$E$34),0,IF(AND(Mitarbeiter!$F$34&lt;&gt;"",HG$5&gt;Mitarbeiter!$F$34),0,IF(Planung!HG36="",$C36,IF(ISNUMBER(Planung!HG36),Planung!HG36,IF(UPPER(Planung!HG36)="H",$C36/2,0)))))))</f>
        <v>0</v>
      </c>
      <c r="HH36" s="27">
        <f>IF($A36="",0,IF(Mitarbeiter!$G$34=FALSE,0,IF(AND(Mitarbeiter!$E$34&lt;&gt;"",HH$5+6&lt;Mitarbeiter!$E$34),0,IF(AND(Mitarbeiter!$F$34&lt;&gt;"",HH$5&gt;Mitarbeiter!$F$34),0,IF(Planung!HH36="",$C36,IF(ISNUMBER(Planung!HH36),Planung!HH36,IF(UPPER(Planung!HH36)="H",$C36/2,0)))))))</f>
        <v>0</v>
      </c>
      <c r="HI36" s="27">
        <f>IF($A36="",0,IF(Mitarbeiter!$G$34=FALSE,0,IF(AND(Mitarbeiter!$E$34&lt;&gt;"",HI$5+6&lt;Mitarbeiter!$E$34),0,IF(AND(Mitarbeiter!$F$34&lt;&gt;"",HI$5&gt;Mitarbeiter!$F$34),0,IF(Planung!HI36="",$C36,IF(ISNUMBER(Planung!HI36),Planung!HI36,IF(UPPER(Planung!HI36)="H",$C36/2,0)))))))</f>
        <v>0</v>
      </c>
      <c r="HJ36" s="27">
        <f>IF($A36="",0,IF(Mitarbeiter!$G$34=FALSE,0,IF(AND(Mitarbeiter!$E$34&lt;&gt;"",HJ$5+6&lt;Mitarbeiter!$E$34),0,IF(AND(Mitarbeiter!$F$34&lt;&gt;"",HJ$5&gt;Mitarbeiter!$F$34),0,IF(Planung!HJ36="",$C36,IF(ISNUMBER(Planung!HJ36),Planung!HJ36,IF(UPPER(Planung!HJ36)="H",$C36/2,0)))))))</f>
        <v>0</v>
      </c>
      <c r="HK36" s="27">
        <f>IF($A36="",0,IF(Mitarbeiter!$G$34=FALSE,0,IF(AND(Mitarbeiter!$E$34&lt;&gt;"",HK$5+6&lt;Mitarbeiter!$E$34),0,IF(AND(Mitarbeiter!$F$34&lt;&gt;"",HK$5&gt;Mitarbeiter!$F$34),0,IF(Planung!HK36="",$C36,IF(ISNUMBER(Planung!HK36),Planung!HK36,IF(UPPER(Planung!HK36)="H",$C36/2,0)))))))</f>
        <v>0</v>
      </c>
      <c r="HL36" s="27">
        <f>IF($A36="",0,IF(Mitarbeiter!$G$34=FALSE,0,IF(AND(Mitarbeiter!$E$34&lt;&gt;"",HL$5+6&lt;Mitarbeiter!$E$34),0,IF(AND(Mitarbeiter!$F$34&lt;&gt;"",HL$5&gt;Mitarbeiter!$F$34),0,IF(Planung!HL36="",$C36,IF(ISNUMBER(Planung!HL36),Planung!HL36,IF(UPPER(Planung!HL36)="H",$C36/2,0)))))))</f>
        <v>0</v>
      </c>
      <c r="HM36" s="27">
        <f>IF($A36="",0,IF(Mitarbeiter!$G$34=FALSE,0,IF(AND(Mitarbeiter!$E$34&lt;&gt;"",HM$5+6&lt;Mitarbeiter!$E$34),0,IF(AND(Mitarbeiter!$F$34&lt;&gt;"",HM$5&gt;Mitarbeiter!$F$34),0,IF(Planung!HM36="",$C36,IF(ISNUMBER(Planung!HM36),Planung!HM36,IF(UPPER(Planung!HM36)="H",$C36/2,0)))))))</f>
        <v>0</v>
      </c>
      <c r="HN36" s="27">
        <f>IF($A36="",0,IF(Mitarbeiter!$G$34=FALSE,0,IF(AND(Mitarbeiter!$E$34&lt;&gt;"",HN$5+6&lt;Mitarbeiter!$E$34),0,IF(AND(Mitarbeiter!$F$34&lt;&gt;"",HN$5&gt;Mitarbeiter!$F$34),0,IF(Planung!HN36="",$C36,IF(ISNUMBER(Planung!HN36),Planung!HN36,IF(UPPER(Planung!HN36)="H",$C36/2,0)))))))</f>
        <v>0</v>
      </c>
      <c r="HO36" s="27">
        <f>IF($A36="",0,IF(Mitarbeiter!$G$34=FALSE,0,IF(AND(Mitarbeiter!$E$34&lt;&gt;"",HO$5+6&lt;Mitarbeiter!$E$34),0,IF(AND(Mitarbeiter!$F$34&lt;&gt;"",HO$5&gt;Mitarbeiter!$F$34),0,IF(Planung!HO36="",$C36,IF(ISNUMBER(Planung!HO36),Planung!HO36,IF(UPPER(Planung!HO36)="H",$C36/2,0)))))))</f>
        <v>0</v>
      </c>
      <c r="HP36" s="27">
        <f>IF($A36="",0,IF(Mitarbeiter!$G$34=FALSE,0,IF(AND(Mitarbeiter!$E$34&lt;&gt;"",HP$5+6&lt;Mitarbeiter!$E$34),0,IF(AND(Mitarbeiter!$F$34&lt;&gt;"",HP$5&gt;Mitarbeiter!$F$34),0,IF(Planung!HP36="",$C36,IF(ISNUMBER(Planung!HP36),Planung!HP36,IF(UPPER(Planung!HP36)="H",$C36/2,0)))))))</f>
        <v>0</v>
      </c>
      <c r="HQ36" s="27">
        <f>IF($A36="",0,IF(Mitarbeiter!$G$34=FALSE,0,IF(AND(Mitarbeiter!$E$34&lt;&gt;"",HQ$5+6&lt;Mitarbeiter!$E$34),0,IF(AND(Mitarbeiter!$F$34&lt;&gt;"",HQ$5&gt;Mitarbeiter!$F$34),0,IF(Planung!HQ36="",$C36,IF(ISNUMBER(Planung!HQ36),Planung!HQ36,IF(UPPER(Planung!HQ36)="H",$C36/2,0)))))))</f>
        <v>0</v>
      </c>
      <c r="HR36" s="27">
        <f>IF($A36="",0,IF(Mitarbeiter!$G$34=FALSE,0,IF(AND(Mitarbeiter!$E$34&lt;&gt;"",HR$5+6&lt;Mitarbeiter!$E$34),0,IF(AND(Mitarbeiter!$F$34&lt;&gt;"",HR$5&gt;Mitarbeiter!$F$34),0,IF(Planung!HR36="",$C36,IF(ISNUMBER(Planung!HR36),Planung!HR36,IF(UPPER(Planung!HR36)="H",$C36/2,0)))))))</f>
        <v>0</v>
      </c>
      <c r="HS36" s="27">
        <f>IF($A36="",0,IF(Mitarbeiter!$G$34=FALSE,0,IF(AND(Mitarbeiter!$E$34&lt;&gt;"",HS$5+6&lt;Mitarbeiter!$E$34),0,IF(AND(Mitarbeiter!$F$34&lt;&gt;"",HS$5&gt;Mitarbeiter!$F$34),0,IF(Planung!HS36="",$C36,IF(ISNUMBER(Planung!HS36),Planung!HS36,IF(UPPER(Planung!HS36)="H",$C36/2,0)))))))</f>
        <v>0</v>
      </c>
      <c r="HT36" s="27">
        <f>IF($A36="",0,IF(Mitarbeiter!$G$34=FALSE,0,IF(AND(Mitarbeiter!$E$34&lt;&gt;"",HT$5+6&lt;Mitarbeiter!$E$34),0,IF(AND(Mitarbeiter!$F$34&lt;&gt;"",HT$5&gt;Mitarbeiter!$F$34),0,IF(Planung!HT36="",$C36,IF(ISNUMBER(Planung!HT36),Planung!HT36,IF(UPPER(Planung!HT36)="H",$C36/2,0)))))))</f>
        <v>0</v>
      </c>
      <c r="HU36" s="27">
        <f>IF($A36="",0,IF(Mitarbeiter!$G$34=FALSE,0,IF(AND(Mitarbeiter!$E$34&lt;&gt;"",HU$5+6&lt;Mitarbeiter!$E$34),0,IF(AND(Mitarbeiter!$F$34&lt;&gt;"",HU$5&gt;Mitarbeiter!$F$34),0,IF(Planung!HU36="",$C36,IF(ISNUMBER(Planung!HU36),Planung!HU36,IF(UPPER(Planung!HU36)="H",$C36/2,0)))))))</f>
        <v>0</v>
      </c>
      <c r="HV36" s="27">
        <f>IF($A36="",0,IF(Mitarbeiter!$G$34=FALSE,0,IF(AND(Mitarbeiter!$E$34&lt;&gt;"",HV$5+6&lt;Mitarbeiter!$E$34),0,IF(AND(Mitarbeiter!$F$34&lt;&gt;"",HV$5&gt;Mitarbeiter!$F$34),0,IF(Planung!HV36="",$C36,IF(ISNUMBER(Planung!HV36),Planung!HV36,IF(UPPER(Planung!HV36)="H",$C36/2,0)))))))</f>
        <v>0</v>
      </c>
      <c r="HW36" s="27">
        <f>IF($A36="",0,IF(Mitarbeiter!$G$34=FALSE,0,IF(AND(Mitarbeiter!$E$34&lt;&gt;"",HW$5+6&lt;Mitarbeiter!$E$34),0,IF(AND(Mitarbeiter!$F$34&lt;&gt;"",HW$5&gt;Mitarbeiter!$F$34),0,IF(Planung!HW36="",$C36,IF(ISNUMBER(Planung!HW36),Planung!HW36,IF(UPPER(Planung!HW36)="H",$C36/2,0)))))))</f>
        <v>0</v>
      </c>
      <c r="HX36" s="27">
        <f>IF($A36="",0,IF(Mitarbeiter!$G$34=FALSE,0,IF(AND(Mitarbeiter!$E$34&lt;&gt;"",HX$5+6&lt;Mitarbeiter!$E$34),0,IF(AND(Mitarbeiter!$F$34&lt;&gt;"",HX$5&gt;Mitarbeiter!$F$34),0,IF(Planung!HX36="",$C36,IF(ISNUMBER(Planung!HX36),Planung!HX36,IF(UPPER(Planung!HX36)="H",$C36/2,0)))))))</f>
        <v>0</v>
      </c>
      <c r="HY36" s="27">
        <f>IF($A36="",0,IF(Mitarbeiter!$G$34=FALSE,0,IF(AND(Mitarbeiter!$E$34&lt;&gt;"",HY$5+6&lt;Mitarbeiter!$E$34),0,IF(AND(Mitarbeiter!$F$34&lt;&gt;"",HY$5&gt;Mitarbeiter!$F$34),0,IF(Planung!HY36="",$C36,IF(ISNUMBER(Planung!HY36),Planung!HY36,IF(UPPER(Planung!HY36)="H",$C36/2,0)))))))</f>
        <v>0</v>
      </c>
      <c r="HZ36" s="27">
        <f>IF($A36="",0,IF(Mitarbeiter!$G$34=FALSE,0,IF(AND(Mitarbeiter!$E$34&lt;&gt;"",HZ$5+6&lt;Mitarbeiter!$E$34),0,IF(AND(Mitarbeiter!$F$34&lt;&gt;"",HZ$5&gt;Mitarbeiter!$F$34),0,IF(Planung!HZ36="",$C36,IF(ISNUMBER(Planung!HZ36),Planung!HZ36,IF(UPPER(Planung!HZ36)="H",$C36/2,0)))))))</f>
        <v>0</v>
      </c>
      <c r="IA36" s="27">
        <f>IF($A36="",0,IF(Mitarbeiter!$G$34=FALSE,0,IF(AND(Mitarbeiter!$E$34&lt;&gt;"",IA$5+6&lt;Mitarbeiter!$E$34),0,IF(AND(Mitarbeiter!$F$34&lt;&gt;"",IA$5&gt;Mitarbeiter!$F$34),0,IF(Planung!IA36="",$C36,IF(ISNUMBER(Planung!IA36),Planung!IA36,IF(UPPER(Planung!IA36)="H",$C36/2,0)))))))</f>
        <v>0</v>
      </c>
    </row>
    <row r="37" spans="1:235" x14ac:dyDescent="0.25">
      <c r="A37" s="7" t="str">
        <f>Planung!A37</f>
        <v/>
      </c>
      <c r="B37" s="7" t="str">
        <f>Planung!B37</f>
        <v/>
      </c>
      <c r="C37" s="27">
        <f>N(Mitarbeiter!$D$35)</f>
        <v>0</v>
      </c>
      <c r="D37" s="27">
        <f>IF($A37="",0,IF(Mitarbeiter!$G$35=FALSE,0,IF(AND(Mitarbeiter!$E$35&lt;&gt;"",D$5+6&lt;Mitarbeiter!$E$35),0,IF(AND(Mitarbeiter!$F$35&lt;&gt;"",D$5&gt;Mitarbeiter!$F$35),0,IF(Planung!D37="",$C37,IF(ISNUMBER(Planung!D37),Planung!D37,IF(UPPER(Planung!D37)="H",$C37/2,0)))))))</f>
        <v>0</v>
      </c>
      <c r="E37" s="27">
        <f>IF($A37="",0,IF(Mitarbeiter!$G$35=FALSE,0,IF(AND(Mitarbeiter!$E$35&lt;&gt;"",E$5+6&lt;Mitarbeiter!$E$35),0,IF(AND(Mitarbeiter!$F$35&lt;&gt;"",E$5&gt;Mitarbeiter!$F$35),0,IF(Planung!E37="",$C37,IF(ISNUMBER(Planung!E37),Planung!E37,IF(UPPER(Planung!E37)="H",$C37/2,0)))))))</f>
        <v>0</v>
      </c>
      <c r="F37" s="27">
        <f>IF($A37="",0,IF(Mitarbeiter!$G$35=FALSE,0,IF(AND(Mitarbeiter!$E$35&lt;&gt;"",F$5+6&lt;Mitarbeiter!$E$35),0,IF(AND(Mitarbeiter!$F$35&lt;&gt;"",F$5&gt;Mitarbeiter!$F$35),0,IF(Planung!F37="",$C37,IF(ISNUMBER(Planung!F37),Planung!F37,IF(UPPER(Planung!F37)="H",$C37/2,0)))))))</f>
        <v>0</v>
      </c>
      <c r="G37" s="27">
        <f>IF($A37="",0,IF(Mitarbeiter!$G$35=FALSE,0,IF(AND(Mitarbeiter!$E$35&lt;&gt;"",G$5+6&lt;Mitarbeiter!$E$35),0,IF(AND(Mitarbeiter!$F$35&lt;&gt;"",G$5&gt;Mitarbeiter!$F$35),0,IF(Planung!G37="",$C37,IF(ISNUMBER(Planung!G37),Planung!G37,IF(UPPER(Planung!G37)="H",$C37/2,0)))))))</f>
        <v>0</v>
      </c>
      <c r="H37" s="27">
        <f>IF($A37="",0,IF(Mitarbeiter!$G$35=FALSE,0,IF(AND(Mitarbeiter!$E$35&lt;&gt;"",H$5+6&lt;Mitarbeiter!$E$35),0,IF(AND(Mitarbeiter!$F$35&lt;&gt;"",H$5&gt;Mitarbeiter!$F$35),0,IF(Planung!H37="",$C37,IF(ISNUMBER(Planung!H37),Planung!H37,IF(UPPER(Planung!H37)="H",$C37/2,0)))))))</f>
        <v>0</v>
      </c>
      <c r="I37" s="27">
        <f>IF($A37="",0,IF(Mitarbeiter!$G$35=FALSE,0,IF(AND(Mitarbeiter!$E$35&lt;&gt;"",I$5+6&lt;Mitarbeiter!$E$35),0,IF(AND(Mitarbeiter!$F$35&lt;&gt;"",I$5&gt;Mitarbeiter!$F$35),0,IF(Planung!I37="",$C37,IF(ISNUMBER(Planung!I37),Planung!I37,IF(UPPER(Planung!I37)="H",$C37/2,0)))))))</f>
        <v>0</v>
      </c>
      <c r="J37" s="27">
        <f>IF($A37="",0,IF(Mitarbeiter!$G$35=FALSE,0,IF(AND(Mitarbeiter!$E$35&lt;&gt;"",J$5+6&lt;Mitarbeiter!$E$35),0,IF(AND(Mitarbeiter!$F$35&lt;&gt;"",J$5&gt;Mitarbeiter!$F$35),0,IF(Planung!J37="",$C37,IF(ISNUMBER(Planung!J37),Planung!J37,IF(UPPER(Planung!J37)="H",$C37/2,0)))))))</f>
        <v>0</v>
      </c>
      <c r="K37" s="27">
        <f>IF($A37="",0,IF(Mitarbeiter!$G$35=FALSE,0,IF(AND(Mitarbeiter!$E$35&lt;&gt;"",K$5+6&lt;Mitarbeiter!$E$35),0,IF(AND(Mitarbeiter!$F$35&lt;&gt;"",K$5&gt;Mitarbeiter!$F$35),0,IF(Planung!K37="",$C37,IF(ISNUMBER(Planung!K37),Planung!K37,IF(UPPER(Planung!K37)="H",$C37/2,0)))))))</f>
        <v>0</v>
      </c>
      <c r="L37" s="27">
        <f>IF($A37="",0,IF(Mitarbeiter!$G$35=FALSE,0,IF(AND(Mitarbeiter!$E$35&lt;&gt;"",L$5+6&lt;Mitarbeiter!$E$35),0,IF(AND(Mitarbeiter!$F$35&lt;&gt;"",L$5&gt;Mitarbeiter!$F$35),0,IF(Planung!L37="",$C37,IF(ISNUMBER(Planung!L37),Planung!L37,IF(UPPER(Planung!L37)="H",$C37/2,0)))))))</f>
        <v>0</v>
      </c>
      <c r="M37" s="27">
        <f>IF($A37="",0,IF(Mitarbeiter!$G$35=FALSE,0,IF(AND(Mitarbeiter!$E$35&lt;&gt;"",M$5+6&lt;Mitarbeiter!$E$35),0,IF(AND(Mitarbeiter!$F$35&lt;&gt;"",M$5&gt;Mitarbeiter!$F$35),0,IF(Planung!M37="",$C37,IF(ISNUMBER(Planung!M37),Planung!M37,IF(UPPER(Planung!M37)="H",$C37/2,0)))))))</f>
        <v>0</v>
      </c>
      <c r="N37" s="27">
        <f>IF($A37="",0,IF(Mitarbeiter!$G$35=FALSE,0,IF(AND(Mitarbeiter!$E$35&lt;&gt;"",N$5+6&lt;Mitarbeiter!$E$35),0,IF(AND(Mitarbeiter!$F$35&lt;&gt;"",N$5&gt;Mitarbeiter!$F$35),0,IF(Planung!N37="",$C37,IF(ISNUMBER(Planung!N37),Planung!N37,IF(UPPER(Planung!N37)="H",$C37/2,0)))))))</f>
        <v>0</v>
      </c>
      <c r="O37" s="27">
        <f>IF($A37="",0,IF(Mitarbeiter!$G$35=FALSE,0,IF(AND(Mitarbeiter!$E$35&lt;&gt;"",O$5+6&lt;Mitarbeiter!$E$35),0,IF(AND(Mitarbeiter!$F$35&lt;&gt;"",O$5&gt;Mitarbeiter!$F$35),0,IF(Planung!O37="",$C37,IF(ISNUMBER(Planung!O37),Planung!O37,IF(UPPER(Planung!O37)="H",$C37/2,0)))))))</f>
        <v>0</v>
      </c>
      <c r="P37" s="27">
        <f>IF($A37="",0,IF(Mitarbeiter!$G$35=FALSE,0,IF(AND(Mitarbeiter!$E$35&lt;&gt;"",P$5+6&lt;Mitarbeiter!$E$35),0,IF(AND(Mitarbeiter!$F$35&lt;&gt;"",P$5&gt;Mitarbeiter!$F$35),0,IF(Planung!P37="",$C37,IF(ISNUMBER(Planung!P37),Planung!P37,IF(UPPER(Planung!P37)="H",$C37/2,0)))))))</f>
        <v>0</v>
      </c>
      <c r="Q37" s="27">
        <f>IF($A37="",0,IF(Mitarbeiter!$G$35=FALSE,0,IF(AND(Mitarbeiter!$E$35&lt;&gt;"",Q$5+6&lt;Mitarbeiter!$E$35),0,IF(AND(Mitarbeiter!$F$35&lt;&gt;"",Q$5&gt;Mitarbeiter!$F$35),0,IF(Planung!Q37="",$C37,IF(ISNUMBER(Planung!Q37),Planung!Q37,IF(UPPER(Planung!Q37)="H",$C37/2,0)))))))</f>
        <v>0</v>
      </c>
      <c r="R37" s="27">
        <f>IF($A37="",0,IF(Mitarbeiter!$G$35=FALSE,0,IF(AND(Mitarbeiter!$E$35&lt;&gt;"",R$5+6&lt;Mitarbeiter!$E$35),0,IF(AND(Mitarbeiter!$F$35&lt;&gt;"",R$5&gt;Mitarbeiter!$F$35),0,IF(Planung!R37="",$C37,IF(ISNUMBER(Planung!R37),Planung!R37,IF(UPPER(Planung!R37)="H",$C37/2,0)))))))</f>
        <v>0</v>
      </c>
      <c r="S37" s="27">
        <f>IF($A37="",0,IF(Mitarbeiter!$G$35=FALSE,0,IF(AND(Mitarbeiter!$E$35&lt;&gt;"",S$5+6&lt;Mitarbeiter!$E$35),0,IF(AND(Mitarbeiter!$F$35&lt;&gt;"",S$5&gt;Mitarbeiter!$F$35),0,IF(Planung!S37="",$C37,IF(ISNUMBER(Planung!S37),Planung!S37,IF(UPPER(Planung!S37)="H",$C37/2,0)))))))</f>
        <v>0</v>
      </c>
      <c r="T37" s="27">
        <f>IF($A37="",0,IF(Mitarbeiter!$G$35=FALSE,0,IF(AND(Mitarbeiter!$E$35&lt;&gt;"",T$5+6&lt;Mitarbeiter!$E$35),0,IF(AND(Mitarbeiter!$F$35&lt;&gt;"",T$5&gt;Mitarbeiter!$F$35),0,IF(Planung!T37="",$C37,IF(ISNUMBER(Planung!T37),Planung!T37,IF(UPPER(Planung!T37)="H",$C37/2,0)))))))</f>
        <v>0</v>
      </c>
      <c r="U37" s="27">
        <f>IF($A37="",0,IF(Mitarbeiter!$G$35=FALSE,0,IF(AND(Mitarbeiter!$E$35&lt;&gt;"",U$5+6&lt;Mitarbeiter!$E$35),0,IF(AND(Mitarbeiter!$F$35&lt;&gt;"",U$5&gt;Mitarbeiter!$F$35),0,IF(Planung!U37="",$C37,IF(ISNUMBER(Planung!U37),Planung!U37,IF(UPPER(Planung!U37)="H",$C37/2,0)))))))</f>
        <v>0</v>
      </c>
      <c r="V37" s="27">
        <f>IF($A37="",0,IF(Mitarbeiter!$G$35=FALSE,0,IF(AND(Mitarbeiter!$E$35&lt;&gt;"",V$5+6&lt;Mitarbeiter!$E$35),0,IF(AND(Mitarbeiter!$F$35&lt;&gt;"",V$5&gt;Mitarbeiter!$F$35),0,IF(Planung!V37="",$C37,IF(ISNUMBER(Planung!V37),Planung!V37,IF(UPPER(Planung!V37)="H",$C37/2,0)))))))</f>
        <v>0</v>
      </c>
      <c r="W37" s="27">
        <f>IF($A37="",0,IF(Mitarbeiter!$G$35=FALSE,0,IF(AND(Mitarbeiter!$E$35&lt;&gt;"",W$5+6&lt;Mitarbeiter!$E$35),0,IF(AND(Mitarbeiter!$F$35&lt;&gt;"",W$5&gt;Mitarbeiter!$F$35),0,IF(Planung!W37="",$C37,IF(ISNUMBER(Planung!W37),Planung!W37,IF(UPPER(Planung!W37)="H",$C37/2,0)))))))</f>
        <v>0</v>
      </c>
      <c r="X37" s="27">
        <f>IF($A37="",0,IF(Mitarbeiter!$G$35=FALSE,0,IF(AND(Mitarbeiter!$E$35&lt;&gt;"",X$5+6&lt;Mitarbeiter!$E$35),0,IF(AND(Mitarbeiter!$F$35&lt;&gt;"",X$5&gt;Mitarbeiter!$F$35),0,IF(Planung!X37="",$C37,IF(ISNUMBER(Planung!X37),Planung!X37,IF(UPPER(Planung!X37)="H",$C37/2,0)))))))</f>
        <v>0</v>
      </c>
      <c r="Y37" s="27">
        <f>IF($A37="",0,IF(Mitarbeiter!$G$35=FALSE,0,IF(AND(Mitarbeiter!$E$35&lt;&gt;"",Y$5+6&lt;Mitarbeiter!$E$35),0,IF(AND(Mitarbeiter!$F$35&lt;&gt;"",Y$5&gt;Mitarbeiter!$F$35),0,IF(Planung!Y37="",$C37,IF(ISNUMBER(Planung!Y37),Planung!Y37,IF(UPPER(Planung!Y37)="H",$C37/2,0)))))))</f>
        <v>0</v>
      </c>
      <c r="Z37" s="27">
        <f>IF($A37="",0,IF(Mitarbeiter!$G$35=FALSE,0,IF(AND(Mitarbeiter!$E$35&lt;&gt;"",Z$5+6&lt;Mitarbeiter!$E$35),0,IF(AND(Mitarbeiter!$F$35&lt;&gt;"",Z$5&gt;Mitarbeiter!$F$35),0,IF(Planung!Z37="",$C37,IF(ISNUMBER(Planung!Z37),Planung!Z37,IF(UPPER(Planung!Z37)="H",$C37/2,0)))))))</f>
        <v>0</v>
      </c>
      <c r="AA37" s="27">
        <f>IF($A37="",0,IF(Mitarbeiter!$G$35=FALSE,0,IF(AND(Mitarbeiter!$E$35&lt;&gt;"",AA$5+6&lt;Mitarbeiter!$E$35),0,IF(AND(Mitarbeiter!$F$35&lt;&gt;"",AA$5&gt;Mitarbeiter!$F$35),0,IF(Planung!AA37="",$C37,IF(ISNUMBER(Planung!AA37),Planung!AA37,IF(UPPER(Planung!AA37)="H",$C37/2,0)))))))</f>
        <v>0</v>
      </c>
      <c r="AB37" s="27">
        <f>IF($A37="",0,IF(Mitarbeiter!$G$35=FALSE,0,IF(AND(Mitarbeiter!$E$35&lt;&gt;"",AB$5+6&lt;Mitarbeiter!$E$35),0,IF(AND(Mitarbeiter!$F$35&lt;&gt;"",AB$5&gt;Mitarbeiter!$F$35),0,IF(Planung!AB37="",$C37,IF(ISNUMBER(Planung!AB37),Planung!AB37,IF(UPPER(Planung!AB37)="H",$C37/2,0)))))))</f>
        <v>0</v>
      </c>
      <c r="AC37" s="27">
        <f>IF($A37="",0,IF(Mitarbeiter!$G$35=FALSE,0,IF(AND(Mitarbeiter!$E$35&lt;&gt;"",AC$5+6&lt;Mitarbeiter!$E$35),0,IF(AND(Mitarbeiter!$F$35&lt;&gt;"",AC$5&gt;Mitarbeiter!$F$35),0,IF(Planung!AC37="",$C37,IF(ISNUMBER(Planung!AC37),Planung!AC37,IF(UPPER(Planung!AC37)="H",$C37/2,0)))))))</f>
        <v>0</v>
      </c>
      <c r="AD37" s="27">
        <f>IF($A37="",0,IF(Mitarbeiter!$G$35=FALSE,0,IF(AND(Mitarbeiter!$E$35&lt;&gt;"",AD$5+6&lt;Mitarbeiter!$E$35),0,IF(AND(Mitarbeiter!$F$35&lt;&gt;"",AD$5&gt;Mitarbeiter!$F$35),0,IF(Planung!AD37="",$C37,IF(ISNUMBER(Planung!AD37),Planung!AD37,IF(UPPER(Planung!AD37)="H",$C37/2,0)))))))</f>
        <v>0</v>
      </c>
      <c r="AE37" s="27">
        <f>IF($A37="",0,IF(Mitarbeiter!$G$35=FALSE,0,IF(AND(Mitarbeiter!$E$35&lt;&gt;"",AE$5+6&lt;Mitarbeiter!$E$35),0,IF(AND(Mitarbeiter!$F$35&lt;&gt;"",AE$5&gt;Mitarbeiter!$F$35),0,IF(Planung!AE37="",$C37,IF(ISNUMBER(Planung!AE37),Planung!AE37,IF(UPPER(Planung!AE37)="H",$C37/2,0)))))))</f>
        <v>0</v>
      </c>
      <c r="AF37" s="27">
        <f>IF($A37="",0,IF(Mitarbeiter!$G$35=FALSE,0,IF(AND(Mitarbeiter!$E$35&lt;&gt;"",AF$5+6&lt;Mitarbeiter!$E$35),0,IF(AND(Mitarbeiter!$F$35&lt;&gt;"",AF$5&gt;Mitarbeiter!$F$35),0,IF(Planung!AF37="",$C37,IF(ISNUMBER(Planung!AF37),Planung!AF37,IF(UPPER(Planung!AF37)="H",$C37/2,0)))))))</f>
        <v>0</v>
      </c>
      <c r="AG37" s="27">
        <f>IF($A37="",0,IF(Mitarbeiter!$G$35=FALSE,0,IF(AND(Mitarbeiter!$E$35&lt;&gt;"",AG$5+6&lt;Mitarbeiter!$E$35),0,IF(AND(Mitarbeiter!$F$35&lt;&gt;"",AG$5&gt;Mitarbeiter!$F$35),0,IF(Planung!AG37="",$C37,IF(ISNUMBER(Planung!AG37),Planung!AG37,IF(UPPER(Planung!AG37)="H",$C37/2,0)))))))</f>
        <v>0</v>
      </c>
      <c r="AH37" s="27">
        <f>IF($A37="",0,IF(Mitarbeiter!$G$35=FALSE,0,IF(AND(Mitarbeiter!$E$35&lt;&gt;"",AH$5+6&lt;Mitarbeiter!$E$35),0,IF(AND(Mitarbeiter!$F$35&lt;&gt;"",AH$5&gt;Mitarbeiter!$F$35),0,IF(Planung!AH37="",$C37,IF(ISNUMBER(Planung!AH37),Planung!AH37,IF(UPPER(Planung!AH37)="H",$C37/2,0)))))))</f>
        <v>0</v>
      </c>
      <c r="AI37" s="27">
        <f>IF($A37="",0,IF(Mitarbeiter!$G$35=FALSE,0,IF(AND(Mitarbeiter!$E$35&lt;&gt;"",AI$5+6&lt;Mitarbeiter!$E$35),0,IF(AND(Mitarbeiter!$F$35&lt;&gt;"",AI$5&gt;Mitarbeiter!$F$35),0,IF(Planung!AI37="",$C37,IF(ISNUMBER(Planung!AI37),Planung!AI37,IF(UPPER(Planung!AI37)="H",$C37/2,0)))))))</f>
        <v>0</v>
      </c>
      <c r="AJ37" s="27">
        <f>IF($A37="",0,IF(Mitarbeiter!$G$35=FALSE,0,IF(AND(Mitarbeiter!$E$35&lt;&gt;"",AJ$5+6&lt;Mitarbeiter!$E$35),0,IF(AND(Mitarbeiter!$F$35&lt;&gt;"",AJ$5&gt;Mitarbeiter!$F$35),0,IF(Planung!AJ37="",$C37,IF(ISNUMBER(Planung!AJ37),Planung!AJ37,IF(UPPER(Planung!AJ37)="H",$C37/2,0)))))))</f>
        <v>0</v>
      </c>
      <c r="AK37" s="27">
        <f>IF($A37="",0,IF(Mitarbeiter!$G$35=FALSE,0,IF(AND(Mitarbeiter!$E$35&lt;&gt;"",AK$5+6&lt;Mitarbeiter!$E$35),0,IF(AND(Mitarbeiter!$F$35&lt;&gt;"",AK$5&gt;Mitarbeiter!$F$35),0,IF(Planung!AK37="",$C37,IF(ISNUMBER(Planung!AK37),Planung!AK37,IF(UPPER(Planung!AK37)="H",$C37/2,0)))))))</f>
        <v>0</v>
      </c>
      <c r="AL37" s="27">
        <f>IF($A37="",0,IF(Mitarbeiter!$G$35=FALSE,0,IF(AND(Mitarbeiter!$E$35&lt;&gt;"",AL$5+6&lt;Mitarbeiter!$E$35),0,IF(AND(Mitarbeiter!$F$35&lt;&gt;"",AL$5&gt;Mitarbeiter!$F$35),0,IF(Planung!AL37="",$C37,IF(ISNUMBER(Planung!AL37),Planung!AL37,IF(UPPER(Planung!AL37)="H",$C37/2,0)))))))</f>
        <v>0</v>
      </c>
      <c r="AM37" s="27">
        <f>IF($A37="",0,IF(Mitarbeiter!$G$35=FALSE,0,IF(AND(Mitarbeiter!$E$35&lt;&gt;"",AM$5+6&lt;Mitarbeiter!$E$35),0,IF(AND(Mitarbeiter!$F$35&lt;&gt;"",AM$5&gt;Mitarbeiter!$F$35),0,IF(Planung!AM37="",$C37,IF(ISNUMBER(Planung!AM37),Planung!AM37,IF(UPPER(Planung!AM37)="H",$C37/2,0)))))))</f>
        <v>0</v>
      </c>
      <c r="AN37" s="27">
        <f>IF($A37="",0,IF(Mitarbeiter!$G$35=FALSE,0,IF(AND(Mitarbeiter!$E$35&lt;&gt;"",AN$5+6&lt;Mitarbeiter!$E$35),0,IF(AND(Mitarbeiter!$F$35&lt;&gt;"",AN$5&gt;Mitarbeiter!$F$35),0,IF(Planung!AN37="",$C37,IF(ISNUMBER(Planung!AN37),Planung!AN37,IF(UPPER(Planung!AN37)="H",$C37/2,0)))))))</f>
        <v>0</v>
      </c>
      <c r="AO37" s="27">
        <f>IF($A37="",0,IF(Mitarbeiter!$G$35=FALSE,0,IF(AND(Mitarbeiter!$E$35&lt;&gt;"",AO$5+6&lt;Mitarbeiter!$E$35),0,IF(AND(Mitarbeiter!$F$35&lt;&gt;"",AO$5&gt;Mitarbeiter!$F$35),0,IF(Planung!AO37="",$C37,IF(ISNUMBER(Planung!AO37),Planung!AO37,IF(UPPER(Planung!AO37)="H",$C37/2,0)))))))</f>
        <v>0</v>
      </c>
      <c r="AP37" s="27">
        <f>IF($A37="",0,IF(Mitarbeiter!$G$35=FALSE,0,IF(AND(Mitarbeiter!$E$35&lt;&gt;"",AP$5+6&lt;Mitarbeiter!$E$35),0,IF(AND(Mitarbeiter!$F$35&lt;&gt;"",AP$5&gt;Mitarbeiter!$F$35),0,IF(Planung!AP37="",$C37,IF(ISNUMBER(Planung!AP37),Planung!AP37,IF(UPPER(Planung!AP37)="H",$C37/2,0)))))))</f>
        <v>0</v>
      </c>
      <c r="AQ37" s="27">
        <f>IF($A37="",0,IF(Mitarbeiter!$G$35=FALSE,0,IF(AND(Mitarbeiter!$E$35&lt;&gt;"",AQ$5+6&lt;Mitarbeiter!$E$35),0,IF(AND(Mitarbeiter!$F$35&lt;&gt;"",AQ$5&gt;Mitarbeiter!$F$35),0,IF(Planung!AQ37="",$C37,IF(ISNUMBER(Planung!AQ37),Planung!AQ37,IF(UPPER(Planung!AQ37)="H",$C37/2,0)))))))</f>
        <v>0</v>
      </c>
      <c r="AR37" s="27">
        <f>IF($A37="",0,IF(Mitarbeiter!$G$35=FALSE,0,IF(AND(Mitarbeiter!$E$35&lt;&gt;"",AR$5+6&lt;Mitarbeiter!$E$35),0,IF(AND(Mitarbeiter!$F$35&lt;&gt;"",AR$5&gt;Mitarbeiter!$F$35),0,IF(Planung!AR37="",$C37,IF(ISNUMBER(Planung!AR37),Planung!AR37,IF(UPPER(Planung!AR37)="H",$C37/2,0)))))))</f>
        <v>0</v>
      </c>
      <c r="AS37" s="27">
        <f>IF($A37="",0,IF(Mitarbeiter!$G$35=FALSE,0,IF(AND(Mitarbeiter!$E$35&lt;&gt;"",AS$5+6&lt;Mitarbeiter!$E$35),0,IF(AND(Mitarbeiter!$F$35&lt;&gt;"",AS$5&gt;Mitarbeiter!$F$35),0,IF(Planung!AS37="",$C37,IF(ISNUMBER(Planung!AS37),Planung!AS37,IF(UPPER(Planung!AS37)="H",$C37/2,0)))))))</f>
        <v>0</v>
      </c>
      <c r="AT37" s="27">
        <f>IF($A37="",0,IF(Mitarbeiter!$G$35=FALSE,0,IF(AND(Mitarbeiter!$E$35&lt;&gt;"",AT$5+6&lt;Mitarbeiter!$E$35),0,IF(AND(Mitarbeiter!$F$35&lt;&gt;"",AT$5&gt;Mitarbeiter!$F$35),0,IF(Planung!AT37="",$C37,IF(ISNUMBER(Planung!AT37),Planung!AT37,IF(UPPER(Planung!AT37)="H",$C37/2,0)))))))</f>
        <v>0</v>
      </c>
      <c r="AU37" s="27">
        <f>IF($A37="",0,IF(Mitarbeiter!$G$35=FALSE,0,IF(AND(Mitarbeiter!$E$35&lt;&gt;"",AU$5+6&lt;Mitarbeiter!$E$35),0,IF(AND(Mitarbeiter!$F$35&lt;&gt;"",AU$5&gt;Mitarbeiter!$F$35),0,IF(Planung!AU37="",$C37,IF(ISNUMBER(Planung!AU37),Planung!AU37,IF(UPPER(Planung!AU37)="H",$C37/2,0)))))))</f>
        <v>0</v>
      </c>
      <c r="AV37" s="27">
        <f>IF($A37="",0,IF(Mitarbeiter!$G$35=FALSE,0,IF(AND(Mitarbeiter!$E$35&lt;&gt;"",AV$5+6&lt;Mitarbeiter!$E$35),0,IF(AND(Mitarbeiter!$F$35&lt;&gt;"",AV$5&gt;Mitarbeiter!$F$35),0,IF(Planung!AV37="",$C37,IF(ISNUMBER(Planung!AV37),Planung!AV37,IF(UPPER(Planung!AV37)="H",$C37/2,0)))))))</f>
        <v>0</v>
      </c>
      <c r="AW37" s="27">
        <f>IF($A37="",0,IF(Mitarbeiter!$G$35=FALSE,0,IF(AND(Mitarbeiter!$E$35&lt;&gt;"",AW$5+6&lt;Mitarbeiter!$E$35),0,IF(AND(Mitarbeiter!$F$35&lt;&gt;"",AW$5&gt;Mitarbeiter!$F$35),0,IF(Planung!AW37="",$C37,IF(ISNUMBER(Planung!AW37),Planung!AW37,IF(UPPER(Planung!AW37)="H",$C37/2,0)))))))</f>
        <v>0</v>
      </c>
      <c r="AX37" s="27">
        <f>IF($A37="",0,IF(Mitarbeiter!$G$35=FALSE,0,IF(AND(Mitarbeiter!$E$35&lt;&gt;"",AX$5+6&lt;Mitarbeiter!$E$35),0,IF(AND(Mitarbeiter!$F$35&lt;&gt;"",AX$5&gt;Mitarbeiter!$F$35),0,IF(Planung!AX37="",$C37,IF(ISNUMBER(Planung!AX37),Planung!AX37,IF(UPPER(Planung!AX37)="H",$C37/2,0)))))))</f>
        <v>0</v>
      </c>
      <c r="AY37" s="27">
        <f>IF($A37="",0,IF(Mitarbeiter!$G$35=FALSE,0,IF(AND(Mitarbeiter!$E$35&lt;&gt;"",AY$5+6&lt;Mitarbeiter!$E$35),0,IF(AND(Mitarbeiter!$F$35&lt;&gt;"",AY$5&gt;Mitarbeiter!$F$35),0,IF(Planung!AY37="",$C37,IF(ISNUMBER(Planung!AY37),Planung!AY37,IF(UPPER(Planung!AY37)="H",$C37/2,0)))))))</f>
        <v>0</v>
      </c>
      <c r="AZ37" s="27">
        <f>IF($A37="",0,IF(Mitarbeiter!$G$35=FALSE,0,IF(AND(Mitarbeiter!$E$35&lt;&gt;"",AZ$5+6&lt;Mitarbeiter!$E$35),0,IF(AND(Mitarbeiter!$F$35&lt;&gt;"",AZ$5&gt;Mitarbeiter!$F$35),0,IF(Planung!AZ37="",$C37,IF(ISNUMBER(Planung!AZ37),Planung!AZ37,IF(UPPER(Planung!AZ37)="H",$C37/2,0)))))))</f>
        <v>0</v>
      </c>
      <c r="BA37" s="27">
        <f>IF($A37="",0,IF(Mitarbeiter!$G$35=FALSE,0,IF(AND(Mitarbeiter!$E$35&lt;&gt;"",BA$5+6&lt;Mitarbeiter!$E$35),0,IF(AND(Mitarbeiter!$F$35&lt;&gt;"",BA$5&gt;Mitarbeiter!$F$35),0,IF(Planung!BA37="",$C37,IF(ISNUMBER(Planung!BA37),Planung!BA37,IF(UPPER(Planung!BA37)="H",$C37/2,0)))))))</f>
        <v>0</v>
      </c>
      <c r="BB37" s="27">
        <f>IF($A37="",0,IF(Mitarbeiter!$G$35=FALSE,0,IF(AND(Mitarbeiter!$E$35&lt;&gt;"",BB$5+6&lt;Mitarbeiter!$E$35),0,IF(AND(Mitarbeiter!$F$35&lt;&gt;"",BB$5&gt;Mitarbeiter!$F$35),0,IF(Planung!BB37="",$C37,IF(ISNUMBER(Planung!BB37),Planung!BB37,IF(UPPER(Planung!BB37)="H",$C37/2,0)))))))</f>
        <v>0</v>
      </c>
      <c r="BC37" s="27">
        <f>IF($A37="",0,IF(Mitarbeiter!$G$35=FALSE,0,IF(AND(Mitarbeiter!$E$35&lt;&gt;"",BC$5+6&lt;Mitarbeiter!$E$35),0,IF(AND(Mitarbeiter!$F$35&lt;&gt;"",BC$5&gt;Mitarbeiter!$F$35),0,IF(Planung!BC37="",$C37,IF(ISNUMBER(Planung!BC37),Planung!BC37,IF(UPPER(Planung!BC37)="H",$C37/2,0)))))))</f>
        <v>0</v>
      </c>
      <c r="BD37" s="27">
        <f>IF($A37="",0,IF(Mitarbeiter!$G$35=FALSE,0,IF(AND(Mitarbeiter!$E$35&lt;&gt;"",BD$5+6&lt;Mitarbeiter!$E$35),0,IF(AND(Mitarbeiter!$F$35&lt;&gt;"",BD$5&gt;Mitarbeiter!$F$35),0,IF(Planung!BD37="",$C37,IF(ISNUMBER(Planung!BD37),Planung!BD37,IF(UPPER(Planung!BD37)="H",$C37/2,0)))))))</f>
        <v>0</v>
      </c>
      <c r="BE37" s="27">
        <f>IF($A37="",0,IF(Mitarbeiter!$G$35=FALSE,0,IF(AND(Mitarbeiter!$E$35&lt;&gt;"",BE$5+6&lt;Mitarbeiter!$E$35),0,IF(AND(Mitarbeiter!$F$35&lt;&gt;"",BE$5&gt;Mitarbeiter!$F$35),0,IF(Planung!BE37="",$C37,IF(ISNUMBER(Planung!BE37),Planung!BE37,IF(UPPER(Planung!BE37)="H",$C37/2,0)))))))</f>
        <v>0</v>
      </c>
      <c r="BF37" s="27">
        <f>IF($A37="",0,IF(Mitarbeiter!$G$35=FALSE,0,IF(AND(Mitarbeiter!$E$35&lt;&gt;"",BF$5+6&lt;Mitarbeiter!$E$35),0,IF(AND(Mitarbeiter!$F$35&lt;&gt;"",BF$5&gt;Mitarbeiter!$F$35),0,IF(Planung!BF37="",$C37,IF(ISNUMBER(Planung!BF37),Planung!BF37,IF(UPPER(Planung!BF37)="H",$C37/2,0)))))))</f>
        <v>0</v>
      </c>
      <c r="BG37" s="27">
        <f>IF($A37="",0,IF(Mitarbeiter!$G$35=FALSE,0,IF(AND(Mitarbeiter!$E$35&lt;&gt;"",BG$5+6&lt;Mitarbeiter!$E$35),0,IF(AND(Mitarbeiter!$F$35&lt;&gt;"",BG$5&gt;Mitarbeiter!$F$35),0,IF(Planung!BG37="",$C37,IF(ISNUMBER(Planung!BG37),Planung!BG37,IF(UPPER(Planung!BG37)="H",$C37/2,0)))))))</f>
        <v>0</v>
      </c>
      <c r="BH37" s="27">
        <f>IF($A37="",0,IF(Mitarbeiter!$G$35=FALSE,0,IF(AND(Mitarbeiter!$E$35&lt;&gt;"",BH$5+6&lt;Mitarbeiter!$E$35),0,IF(AND(Mitarbeiter!$F$35&lt;&gt;"",BH$5&gt;Mitarbeiter!$F$35),0,IF(Planung!BH37="",$C37,IF(ISNUMBER(Planung!BH37),Planung!BH37,IF(UPPER(Planung!BH37)="H",$C37/2,0)))))))</f>
        <v>0</v>
      </c>
      <c r="BI37" s="27">
        <f>IF($A37="",0,IF(Mitarbeiter!$G$35=FALSE,0,IF(AND(Mitarbeiter!$E$35&lt;&gt;"",BI$5+6&lt;Mitarbeiter!$E$35),0,IF(AND(Mitarbeiter!$F$35&lt;&gt;"",BI$5&gt;Mitarbeiter!$F$35),0,IF(Planung!BI37="",$C37,IF(ISNUMBER(Planung!BI37),Planung!BI37,IF(UPPER(Planung!BI37)="H",$C37/2,0)))))))</f>
        <v>0</v>
      </c>
      <c r="BJ37" s="27">
        <f>IF($A37="",0,IF(Mitarbeiter!$G$35=FALSE,0,IF(AND(Mitarbeiter!$E$35&lt;&gt;"",BJ$5+6&lt;Mitarbeiter!$E$35),0,IF(AND(Mitarbeiter!$F$35&lt;&gt;"",BJ$5&gt;Mitarbeiter!$F$35),0,IF(Planung!BJ37="",$C37,IF(ISNUMBER(Planung!BJ37),Planung!BJ37,IF(UPPER(Planung!BJ37)="H",$C37/2,0)))))))</f>
        <v>0</v>
      </c>
      <c r="BK37" s="27">
        <f>IF($A37="",0,IF(Mitarbeiter!$G$35=FALSE,0,IF(AND(Mitarbeiter!$E$35&lt;&gt;"",BK$5+6&lt;Mitarbeiter!$E$35),0,IF(AND(Mitarbeiter!$F$35&lt;&gt;"",BK$5&gt;Mitarbeiter!$F$35),0,IF(Planung!BK37="",$C37,IF(ISNUMBER(Planung!BK37),Planung!BK37,IF(UPPER(Planung!BK37)="H",$C37/2,0)))))))</f>
        <v>0</v>
      </c>
      <c r="BL37" s="27">
        <f>IF($A37="",0,IF(Mitarbeiter!$G$35=FALSE,0,IF(AND(Mitarbeiter!$E$35&lt;&gt;"",BL$5+6&lt;Mitarbeiter!$E$35),0,IF(AND(Mitarbeiter!$F$35&lt;&gt;"",BL$5&gt;Mitarbeiter!$F$35),0,IF(Planung!BL37="",$C37,IF(ISNUMBER(Planung!BL37),Planung!BL37,IF(UPPER(Planung!BL37)="H",$C37/2,0)))))))</f>
        <v>0</v>
      </c>
      <c r="BM37" s="27">
        <f>IF($A37="",0,IF(Mitarbeiter!$G$35=FALSE,0,IF(AND(Mitarbeiter!$E$35&lt;&gt;"",BM$5+6&lt;Mitarbeiter!$E$35),0,IF(AND(Mitarbeiter!$F$35&lt;&gt;"",BM$5&gt;Mitarbeiter!$F$35),0,IF(Planung!BM37="",$C37,IF(ISNUMBER(Planung!BM37),Planung!BM37,IF(UPPER(Planung!BM37)="H",$C37/2,0)))))))</f>
        <v>0</v>
      </c>
      <c r="BN37" s="27">
        <f>IF($A37="",0,IF(Mitarbeiter!$G$35=FALSE,0,IF(AND(Mitarbeiter!$E$35&lt;&gt;"",BN$5+6&lt;Mitarbeiter!$E$35),0,IF(AND(Mitarbeiter!$F$35&lt;&gt;"",BN$5&gt;Mitarbeiter!$F$35),0,IF(Planung!BN37="",$C37,IF(ISNUMBER(Planung!BN37),Planung!BN37,IF(UPPER(Planung!BN37)="H",$C37/2,0)))))))</f>
        <v>0</v>
      </c>
      <c r="BO37" s="27">
        <f>IF($A37="",0,IF(Mitarbeiter!$G$35=FALSE,0,IF(AND(Mitarbeiter!$E$35&lt;&gt;"",BO$5+6&lt;Mitarbeiter!$E$35),0,IF(AND(Mitarbeiter!$F$35&lt;&gt;"",BO$5&gt;Mitarbeiter!$F$35),0,IF(Planung!BO37="",$C37,IF(ISNUMBER(Planung!BO37),Planung!BO37,IF(UPPER(Planung!BO37)="H",$C37/2,0)))))))</f>
        <v>0</v>
      </c>
      <c r="BP37" s="27">
        <f>IF($A37="",0,IF(Mitarbeiter!$G$35=FALSE,0,IF(AND(Mitarbeiter!$E$35&lt;&gt;"",BP$5+6&lt;Mitarbeiter!$E$35),0,IF(AND(Mitarbeiter!$F$35&lt;&gt;"",BP$5&gt;Mitarbeiter!$F$35),0,IF(Planung!BP37="",$C37,IF(ISNUMBER(Planung!BP37),Planung!BP37,IF(UPPER(Planung!BP37)="H",$C37/2,0)))))))</f>
        <v>0</v>
      </c>
      <c r="BQ37" s="27">
        <f>IF($A37="",0,IF(Mitarbeiter!$G$35=FALSE,0,IF(AND(Mitarbeiter!$E$35&lt;&gt;"",BQ$5+6&lt;Mitarbeiter!$E$35),0,IF(AND(Mitarbeiter!$F$35&lt;&gt;"",BQ$5&gt;Mitarbeiter!$F$35),0,IF(Planung!BQ37="",$C37,IF(ISNUMBER(Planung!BQ37),Planung!BQ37,IF(UPPER(Planung!BQ37)="H",$C37/2,0)))))))</f>
        <v>0</v>
      </c>
      <c r="BR37" s="27">
        <f>IF($A37="",0,IF(Mitarbeiter!$G$35=FALSE,0,IF(AND(Mitarbeiter!$E$35&lt;&gt;"",BR$5+6&lt;Mitarbeiter!$E$35),0,IF(AND(Mitarbeiter!$F$35&lt;&gt;"",BR$5&gt;Mitarbeiter!$F$35),0,IF(Planung!BR37="",$C37,IF(ISNUMBER(Planung!BR37),Planung!BR37,IF(UPPER(Planung!BR37)="H",$C37/2,0)))))))</f>
        <v>0</v>
      </c>
      <c r="BS37" s="27">
        <f>IF($A37="",0,IF(Mitarbeiter!$G$35=FALSE,0,IF(AND(Mitarbeiter!$E$35&lt;&gt;"",BS$5+6&lt;Mitarbeiter!$E$35),0,IF(AND(Mitarbeiter!$F$35&lt;&gt;"",BS$5&gt;Mitarbeiter!$F$35),0,IF(Planung!BS37="",$C37,IF(ISNUMBER(Planung!BS37),Planung!BS37,IF(UPPER(Planung!BS37)="H",$C37/2,0)))))))</f>
        <v>0</v>
      </c>
      <c r="BT37" s="27">
        <f>IF($A37="",0,IF(Mitarbeiter!$G$35=FALSE,0,IF(AND(Mitarbeiter!$E$35&lt;&gt;"",BT$5+6&lt;Mitarbeiter!$E$35),0,IF(AND(Mitarbeiter!$F$35&lt;&gt;"",BT$5&gt;Mitarbeiter!$F$35),0,IF(Planung!BT37="",$C37,IF(ISNUMBER(Planung!BT37),Planung!BT37,IF(UPPER(Planung!BT37)="H",$C37/2,0)))))))</f>
        <v>0</v>
      </c>
      <c r="BU37" s="27">
        <f>IF($A37="",0,IF(Mitarbeiter!$G$35=FALSE,0,IF(AND(Mitarbeiter!$E$35&lt;&gt;"",BU$5+6&lt;Mitarbeiter!$E$35),0,IF(AND(Mitarbeiter!$F$35&lt;&gt;"",BU$5&gt;Mitarbeiter!$F$35),0,IF(Planung!BU37="",$C37,IF(ISNUMBER(Planung!BU37),Planung!BU37,IF(UPPER(Planung!BU37)="H",$C37/2,0)))))))</f>
        <v>0</v>
      </c>
      <c r="BV37" s="27">
        <f>IF($A37="",0,IF(Mitarbeiter!$G$35=FALSE,0,IF(AND(Mitarbeiter!$E$35&lt;&gt;"",BV$5+6&lt;Mitarbeiter!$E$35),0,IF(AND(Mitarbeiter!$F$35&lt;&gt;"",BV$5&gt;Mitarbeiter!$F$35),0,IF(Planung!BV37="",$C37,IF(ISNUMBER(Planung!BV37),Planung!BV37,IF(UPPER(Planung!BV37)="H",$C37/2,0)))))))</f>
        <v>0</v>
      </c>
      <c r="BW37" s="27">
        <f>IF($A37="",0,IF(Mitarbeiter!$G$35=FALSE,0,IF(AND(Mitarbeiter!$E$35&lt;&gt;"",BW$5+6&lt;Mitarbeiter!$E$35),0,IF(AND(Mitarbeiter!$F$35&lt;&gt;"",BW$5&gt;Mitarbeiter!$F$35),0,IF(Planung!BW37="",$C37,IF(ISNUMBER(Planung!BW37),Planung!BW37,IF(UPPER(Planung!BW37)="H",$C37/2,0)))))))</f>
        <v>0</v>
      </c>
      <c r="BX37" s="27">
        <f>IF($A37="",0,IF(Mitarbeiter!$G$35=FALSE,0,IF(AND(Mitarbeiter!$E$35&lt;&gt;"",BX$5+6&lt;Mitarbeiter!$E$35),0,IF(AND(Mitarbeiter!$F$35&lt;&gt;"",BX$5&gt;Mitarbeiter!$F$35),0,IF(Planung!BX37="",$C37,IF(ISNUMBER(Planung!BX37),Planung!BX37,IF(UPPER(Planung!BX37)="H",$C37/2,0)))))))</f>
        <v>0</v>
      </c>
      <c r="BY37" s="27">
        <f>IF($A37="",0,IF(Mitarbeiter!$G$35=FALSE,0,IF(AND(Mitarbeiter!$E$35&lt;&gt;"",BY$5+6&lt;Mitarbeiter!$E$35),0,IF(AND(Mitarbeiter!$F$35&lt;&gt;"",BY$5&gt;Mitarbeiter!$F$35),0,IF(Planung!BY37="",$C37,IF(ISNUMBER(Planung!BY37),Planung!BY37,IF(UPPER(Planung!BY37)="H",$C37/2,0)))))))</f>
        <v>0</v>
      </c>
      <c r="BZ37" s="27">
        <f>IF($A37="",0,IF(Mitarbeiter!$G$35=FALSE,0,IF(AND(Mitarbeiter!$E$35&lt;&gt;"",BZ$5+6&lt;Mitarbeiter!$E$35),0,IF(AND(Mitarbeiter!$F$35&lt;&gt;"",BZ$5&gt;Mitarbeiter!$F$35),0,IF(Planung!BZ37="",$C37,IF(ISNUMBER(Planung!BZ37),Planung!BZ37,IF(UPPER(Planung!BZ37)="H",$C37/2,0)))))))</f>
        <v>0</v>
      </c>
      <c r="CA37" s="27">
        <f>IF($A37="",0,IF(Mitarbeiter!$G$35=FALSE,0,IF(AND(Mitarbeiter!$E$35&lt;&gt;"",CA$5+6&lt;Mitarbeiter!$E$35),0,IF(AND(Mitarbeiter!$F$35&lt;&gt;"",CA$5&gt;Mitarbeiter!$F$35),0,IF(Planung!CA37="",$C37,IF(ISNUMBER(Planung!CA37),Planung!CA37,IF(UPPER(Planung!CA37)="H",$C37/2,0)))))))</f>
        <v>0</v>
      </c>
      <c r="CB37" s="27">
        <f>IF($A37="",0,IF(Mitarbeiter!$G$35=FALSE,0,IF(AND(Mitarbeiter!$E$35&lt;&gt;"",CB$5+6&lt;Mitarbeiter!$E$35),0,IF(AND(Mitarbeiter!$F$35&lt;&gt;"",CB$5&gt;Mitarbeiter!$F$35),0,IF(Planung!CB37="",$C37,IF(ISNUMBER(Planung!CB37),Planung!CB37,IF(UPPER(Planung!CB37)="H",$C37/2,0)))))))</f>
        <v>0</v>
      </c>
      <c r="CC37" s="27">
        <f>IF($A37="",0,IF(Mitarbeiter!$G$35=FALSE,0,IF(AND(Mitarbeiter!$E$35&lt;&gt;"",CC$5+6&lt;Mitarbeiter!$E$35),0,IF(AND(Mitarbeiter!$F$35&lt;&gt;"",CC$5&gt;Mitarbeiter!$F$35),0,IF(Planung!CC37="",$C37,IF(ISNUMBER(Planung!CC37),Planung!CC37,IF(UPPER(Planung!CC37)="H",$C37/2,0)))))))</f>
        <v>0</v>
      </c>
      <c r="CD37" s="27">
        <f>IF($A37="",0,IF(Mitarbeiter!$G$35=FALSE,0,IF(AND(Mitarbeiter!$E$35&lt;&gt;"",CD$5+6&lt;Mitarbeiter!$E$35),0,IF(AND(Mitarbeiter!$F$35&lt;&gt;"",CD$5&gt;Mitarbeiter!$F$35),0,IF(Planung!CD37="",$C37,IF(ISNUMBER(Planung!CD37),Planung!CD37,IF(UPPER(Planung!CD37)="H",$C37/2,0)))))))</f>
        <v>0</v>
      </c>
      <c r="CE37" s="27">
        <f>IF($A37="",0,IF(Mitarbeiter!$G$35=FALSE,0,IF(AND(Mitarbeiter!$E$35&lt;&gt;"",CE$5+6&lt;Mitarbeiter!$E$35),0,IF(AND(Mitarbeiter!$F$35&lt;&gt;"",CE$5&gt;Mitarbeiter!$F$35),0,IF(Planung!CE37="",$C37,IF(ISNUMBER(Planung!CE37),Planung!CE37,IF(UPPER(Planung!CE37)="H",$C37/2,0)))))))</f>
        <v>0</v>
      </c>
      <c r="CF37" s="27">
        <f>IF($A37="",0,IF(Mitarbeiter!$G$35=FALSE,0,IF(AND(Mitarbeiter!$E$35&lt;&gt;"",CF$5+6&lt;Mitarbeiter!$E$35),0,IF(AND(Mitarbeiter!$F$35&lt;&gt;"",CF$5&gt;Mitarbeiter!$F$35),0,IF(Planung!CF37="",$C37,IF(ISNUMBER(Planung!CF37),Planung!CF37,IF(UPPER(Planung!CF37)="H",$C37/2,0)))))))</f>
        <v>0</v>
      </c>
      <c r="CG37" s="27">
        <f>IF($A37="",0,IF(Mitarbeiter!$G$35=FALSE,0,IF(AND(Mitarbeiter!$E$35&lt;&gt;"",CG$5+6&lt;Mitarbeiter!$E$35),0,IF(AND(Mitarbeiter!$F$35&lt;&gt;"",CG$5&gt;Mitarbeiter!$F$35),0,IF(Planung!CG37="",$C37,IF(ISNUMBER(Planung!CG37),Planung!CG37,IF(UPPER(Planung!CG37)="H",$C37/2,0)))))))</f>
        <v>0</v>
      </c>
      <c r="CH37" s="27">
        <f>IF($A37="",0,IF(Mitarbeiter!$G$35=FALSE,0,IF(AND(Mitarbeiter!$E$35&lt;&gt;"",CH$5+6&lt;Mitarbeiter!$E$35),0,IF(AND(Mitarbeiter!$F$35&lt;&gt;"",CH$5&gt;Mitarbeiter!$F$35),0,IF(Planung!CH37="",$C37,IF(ISNUMBER(Planung!CH37),Planung!CH37,IF(UPPER(Planung!CH37)="H",$C37/2,0)))))))</f>
        <v>0</v>
      </c>
      <c r="CI37" s="27">
        <f>IF($A37="",0,IF(Mitarbeiter!$G$35=FALSE,0,IF(AND(Mitarbeiter!$E$35&lt;&gt;"",CI$5+6&lt;Mitarbeiter!$E$35),0,IF(AND(Mitarbeiter!$F$35&lt;&gt;"",CI$5&gt;Mitarbeiter!$F$35),0,IF(Planung!CI37="",$C37,IF(ISNUMBER(Planung!CI37),Planung!CI37,IF(UPPER(Planung!CI37)="H",$C37/2,0)))))))</f>
        <v>0</v>
      </c>
      <c r="CJ37" s="27">
        <f>IF($A37="",0,IF(Mitarbeiter!$G$35=FALSE,0,IF(AND(Mitarbeiter!$E$35&lt;&gt;"",CJ$5+6&lt;Mitarbeiter!$E$35),0,IF(AND(Mitarbeiter!$F$35&lt;&gt;"",CJ$5&gt;Mitarbeiter!$F$35),0,IF(Planung!CJ37="",$C37,IF(ISNUMBER(Planung!CJ37),Planung!CJ37,IF(UPPER(Planung!CJ37)="H",$C37/2,0)))))))</f>
        <v>0</v>
      </c>
      <c r="CK37" s="27">
        <f>IF($A37="",0,IF(Mitarbeiter!$G$35=FALSE,0,IF(AND(Mitarbeiter!$E$35&lt;&gt;"",CK$5+6&lt;Mitarbeiter!$E$35),0,IF(AND(Mitarbeiter!$F$35&lt;&gt;"",CK$5&gt;Mitarbeiter!$F$35),0,IF(Planung!CK37="",$C37,IF(ISNUMBER(Planung!CK37),Planung!CK37,IF(UPPER(Planung!CK37)="H",$C37/2,0)))))))</f>
        <v>0</v>
      </c>
      <c r="CL37" s="27">
        <f>IF($A37="",0,IF(Mitarbeiter!$G$35=FALSE,0,IF(AND(Mitarbeiter!$E$35&lt;&gt;"",CL$5+6&lt;Mitarbeiter!$E$35),0,IF(AND(Mitarbeiter!$F$35&lt;&gt;"",CL$5&gt;Mitarbeiter!$F$35),0,IF(Planung!CL37="",$C37,IF(ISNUMBER(Planung!CL37),Planung!CL37,IF(UPPER(Planung!CL37)="H",$C37/2,0)))))))</f>
        <v>0</v>
      </c>
      <c r="CM37" s="27">
        <f>IF($A37="",0,IF(Mitarbeiter!$G$35=FALSE,0,IF(AND(Mitarbeiter!$E$35&lt;&gt;"",CM$5+6&lt;Mitarbeiter!$E$35),0,IF(AND(Mitarbeiter!$F$35&lt;&gt;"",CM$5&gt;Mitarbeiter!$F$35),0,IF(Planung!CM37="",$C37,IF(ISNUMBER(Planung!CM37),Planung!CM37,IF(UPPER(Planung!CM37)="H",$C37/2,0)))))))</f>
        <v>0</v>
      </c>
      <c r="CN37" s="27">
        <f>IF($A37="",0,IF(Mitarbeiter!$G$35=FALSE,0,IF(AND(Mitarbeiter!$E$35&lt;&gt;"",CN$5+6&lt;Mitarbeiter!$E$35),0,IF(AND(Mitarbeiter!$F$35&lt;&gt;"",CN$5&gt;Mitarbeiter!$F$35),0,IF(Planung!CN37="",$C37,IF(ISNUMBER(Planung!CN37),Planung!CN37,IF(UPPER(Planung!CN37)="H",$C37/2,0)))))))</f>
        <v>0</v>
      </c>
      <c r="CO37" s="27">
        <f>IF($A37="",0,IF(Mitarbeiter!$G$35=FALSE,0,IF(AND(Mitarbeiter!$E$35&lt;&gt;"",CO$5+6&lt;Mitarbeiter!$E$35),0,IF(AND(Mitarbeiter!$F$35&lt;&gt;"",CO$5&gt;Mitarbeiter!$F$35),0,IF(Planung!CO37="",$C37,IF(ISNUMBER(Planung!CO37),Planung!CO37,IF(UPPER(Planung!CO37)="H",$C37/2,0)))))))</f>
        <v>0</v>
      </c>
      <c r="CP37" s="27">
        <f>IF($A37="",0,IF(Mitarbeiter!$G$35=FALSE,0,IF(AND(Mitarbeiter!$E$35&lt;&gt;"",CP$5+6&lt;Mitarbeiter!$E$35),0,IF(AND(Mitarbeiter!$F$35&lt;&gt;"",CP$5&gt;Mitarbeiter!$F$35),0,IF(Planung!CP37="",$C37,IF(ISNUMBER(Planung!CP37),Planung!CP37,IF(UPPER(Planung!CP37)="H",$C37/2,0)))))))</f>
        <v>0</v>
      </c>
      <c r="CQ37" s="27">
        <f>IF($A37="",0,IF(Mitarbeiter!$G$35=FALSE,0,IF(AND(Mitarbeiter!$E$35&lt;&gt;"",CQ$5+6&lt;Mitarbeiter!$E$35),0,IF(AND(Mitarbeiter!$F$35&lt;&gt;"",CQ$5&gt;Mitarbeiter!$F$35),0,IF(Planung!CQ37="",$C37,IF(ISNUMBER(Planung!CQ37),Planung!CQ37,IF(UPPER(Planung!CQ37)="H",$C37/2,0)))))))</f>
        <v>0</v>
      </c>
      <c r="CR37" s="27">
        <f>IF($A37="",0,IF(Mitarbeiter!$G$35=FALSE,0,IF(AND(Mitarbeiter!$E$35&lt;&gt;"",CR$5+6&lt;Mitarbeiter!$E$35),0,IF(AND(Mitarbeiter!$F$35&lt;&gt;"",CR$5&gt;Mitarbeiter!$F$35),0,IF(Planung!CR37="",$C37,IF(ISNUMBER(Planung!CR37),Planung!CR37,IF(UPPER(Planung!CR37)="H",$C37/2,0)))))))</f>
        <v>0</v>
      </c>
      <c r="CS37" s="27">
        <f>IF($A37="",0,IF(Mitarbeiter!$G$35=FALSE,0,IF(AND(Mitarbeiter!$E$35&lt;&gt;"",CS$5+6&lt;Mitarbeiter!$E$35),0,IF(AND(Mitarbeiter!$F$35&lt;&gt;"",CS$5&gt;Mitarbeiter!$F$35),0,IF(Planung!CS37="",$C37,IF(ISNUMBER(Planung!CS37),Planung!CS37,IF(UPPER(Planung!CS37)="H",$C37/2,0)))))))</f>
        <v>0</v>
      </c>
      <c r="CT37" s="27">
        <f>IF($A37="",0,IF(Mitarbeiter!$G$35=FALSE,0,IF(AND(Mitarbeiter!$E$35&lt;&gt;"",CT$5+6&lt;Mitarbeiter!$E$35),0,IF(AND(Mitarbeiter!$F$35&lt;&gt;"",CT$5&gt;Mitarbeiter!$F$35),0,IF(Planung!CT37="",$C37,IF(ISNUMBER(Planung!CT37),Planung!CT37,IF(UPPER(Planung!CT37)="H",$C37/2,0)))))))</f>
        <v>0</v>
      </c>
      <c r="CU37" s="27">
        <f>IF($A37="",0,IF(Mitarbeiter!$G$35=FALSE,0,IF(AND(Mitarbeiter!$E$35&lt;&gt;"",CU$5+6&lt;Mitarbeiter!$E$35),0,IF(AND(Mitarbeiter!$F$35&lt;&gt;"",CU$5&gt;Mitarbeiter!$F$35),0,IF(Planung!CU37="",$C37,IF(ISNUMBER(Planung!CU37),Planung!CU37,IF(UPPER(Planung!CU37)="H",$C37/2,0)))))))</f>
        <v>0</v>
      </c>
      <c r="CV37" s="27">
        <f>IF($A37="",0,IF(Mitarbeiter!$G$35=FALSE,0,IF(AND(Mitarbeiter!$E$35&lt;&gt;"",CV$5+6&lt;Mitarbeiter!$E$35),0,IF(AND(Mitarbeiter!$F$35&lt;&gt;"",CV$5&gt;Mitarbeiter!$F$35),0,IF(Planung!CV37="",$C37,IF(ISNUMBER(Planung!CV37),Planung!CV37,IF(UPPER(Planung!CV37)="H",$C37/2,0)))))))</f>
        <v>0</v>
      </c>
      <c r="CW37" s="27">
        <f>IF($A37="",0,IF(Mitarbeiter!$G$35=FALSE,0,IF(AND(Mitarbeiter!$E$35&lt;&gt;"",CW$5+6&lt;Mitarbeiter!$E$35),0,IF(AND(Mitarbeiter!$F$35&lt;&gt;"",CW$5&gt;Mitarbeiter!$F$35),0,IF(Planung!CW37="",$C37,IF(ISNUMBER(Planung!CW37),Planung!CW37,IF(UPPER(Planung!CW37)="H",$C37/2,0)))))))</f>
        <v>0</v>
      </c>
      <c r="CX37" s="27">
        <f>IF($A37="",0,IF(Mitarbeiter!$G$35=FALSE,0,IF(AND(Mitarbeiter!$E$35&lt;&gt;"",CX$5+6&lt;Mitarbeiter!$E$35),0,IF(AND(Mitarbeiter!$F$35&lt;&gt;"",CX$5&gt;Mitarbeiter!$F$35),0,IF(Planung!CX37="",$C37,IF(ISNUMBER(Planung!CX37),Planung!CX37,IF(UPPER(Planung!CX37)="H",$C37/2,0)))))))</f>
        <v>0</v>
      </c>
      <c r="CY37" s="27">
        <f>IF($A37="",0,IF(Mitarbeiter!$G$35=FALSE,0,IF(AND(Mitarbeiter!$E$35&lt;&gt;"",CY$5+6&lt;Mitarbeiter!$E$35),0,IF(AND(Mitarbeiter!$F$35&lt;&gt;"",CY$5&gt;Mitarbeiter!$F$35),0,IF(Planung!CY37="",$C37,IF(ISNUMBER(Planung!CY37),Planung!CY37,IF(UPPER(Planung!CY37)="H",$C37/2,0)))))))</f>
        <v>0</v>
      </c>
      <c r="CZ37" s="27">
        <f>IF($A37="",0,IF(Mitarbeiter!$G$35=FALSE,0,IF(AND(Mitarbeiter!$E$35&lt;&gt;"",CZ$5+6&lt;Mitarbeiter!$E$35),0,IF(AND(Mitarbeiter!$F$35&lt;&gt;"",CZ$5&gt;Mitarbeiter!$F$35),0,IF(Planung!CZ37="",$C37,IF(ISNUMBER(Planung!CZ37),Planung!CZ37,IF(UPPER(Planung!CZ37)="H",$C37/2,0)))))))</f>
        <v>0</v>
      </c>
      <c r="DA37" s="27">
        <f>IF($A37="",0,IF(Mitarbeiter!$G$35=FALSE,0,IF(AND(Mitarbeiter!$E$35&lt;&gt;"",DA$5+6&lt;Mitarbeiter!$E$35),0,IF(AND(Mitarbeiter!$F$35&lt;&gt;"",DA$5&gt;Mitarbeiter!$F$35),0,IF(Planung!DA37="",$C37,IF(ISNUMBER(Planung!DA37),Planung!DA37,IF(UPPER(Planung!DA37)="H",$C37/2,0)))))))</f>
        <v>0</v>
      </c>
      <c r="DB37" s="27">
        <f>IF($A37="",0,IF(Mitarbeiter!$G$35=FALSE,0,IF(AND(Mitarbeiter!$E$35&lt;&gt;"",DB$5+6&lt;Mitarbeiter!$E$35),0,IF(AND(Mitarbeiter!$F$35&lt;&gt;"",DB$5&gt;Mitarbeiter!$F$35),0,IF(Planung!DB37="",$C37,IF(ISNUMBER(Planung!DB37),Planung!DB37,IF(UPPER(Planung!DB37)="H",$C37/2,0)))))))</f>
        <v>0</v>
      </c>
      <c r="DC37" s="27">
        <f>IF($A37="",0,IF(Mitarbeiter!$G$35=FALSE,0,IF(AND(Mitarbeiter!$E$35&lt;&gt;"",DC$5+6&lt;Mitarbeiter!$E$35),0,IF(AND(Mitarbeiter!$F$35&lt;&gt;"",DC$5&gt;Mitarbeiter!$F$35),0,IF(Planung!DC37="",$C37,IF(ISNUMBER(Planung!DC37),Planung!DC37,IF(UPPER(Planung!DC37)="H",$C37/2,0)))))))</f>
        <v>0</v>
      </c>
      <c r="DD37" s="27">
        <f>IF($A37="",0,IF(Mitarbeiter!$G$35=FALSE,0,IF(AND(Mitarbeiter!$E$35&lt;&gt;"",DD$5+6&lt;Mitarbeiter!$E$35),0,IF(AND(Mitarbeiter!$F$35&lt;&gt;"",DD$5&gt;Mitarbeiter!$F$35),0,IF(Planung!DD37="",$C37,IF(ISNUMBER(Planung!DD37),Planung!DD37,IF(UPPER(Planung!DD37)="H",$C37/2,0)))))))</f>
        <v>0</v>
      </c>
      <c r="DE37" s="27">
        <f>IF($A37="",0,IF(Mitarbeiter!$G$35=FALSE,0,IF(AND(Mitarbeiter!$E$35&lt;&gt;"",DE$5+6&lt;Mitarbeiter!$E$35),0,IF(AND(Mitarbeiter!$F$35&lt;&gt;"",DE$5&gt;Mitarbeiter!$F$35),0,IF(Planung!DE37="",$C37,IF(ISNUMBER(Planung!DE37),Planung!DE37,IF(UPPER(Planung!DE37)="H",$C37/2,0)))))))</f>
        <v>0</v>
      </c>
      <c r="DF37" s="27">
        <f>IF($A37="",0,IF(Mitarbeiter!$G$35=FALSE,0,IF(AND(Mitarbeiter!$E$35&lt;&gt;"",DF$5+6&lt;Mitarbeiter!$E$35),0,IF(AND(Mitarbeiter!$F$35&lt;&gt;"",DF$5&gt;Mitarbeiter!$F$35),0,IF(Planung!DF37="",$C37,IF(ISNUMBER(Planung!DF37),Planung!DF37,IF(UPPER(Planung!DF37)="H",$C37/2,0)))))))</f>
        <v>0</v>
      </c>
      <c r="DG37" s="27">
        <f>IF($A37="",0,IF(Mitarbeiter!$G$35=FALSE,0,IF(AND(Mitarbeiter!$E$35&lt;&gt;"",DG$5+6&lt;Mitarbeiter!$E$35),0,IF(AND(Mitarbeiter!$F$35&lt;&gt;"",DG$5&gt;Mitarbeiter!$F$35),0,IF(Planung!DG37="",$C37,IF(ISNUMBER(Planung!DG37),Planung!DG37,IF(UPPER(Planung!DG37)="H",$C37/2,0)))))))</f>
        <v>0</v>
      </c>
      <c r="DH37" s="27">
        <f>IF($A37="",0,IF(Mitarbeiter!$G$35=FALSE,0,IF(AND(Mitarbeiter!$E$35&lt;&gt;"",DH$5+6&lt;Mitarbeiter!$E$35),0,IF(AND(Mitarbeiter!$F$35&lt;&gt;"",DH$5&gt;Mitarbeiter!$F$35),0,IF(Planung!DH37="",$C37,IF(ISNUMBER(Planung!DH37),Planung!DH37,IF(UPPER(Planung!DH37)="H",$C37/2,0)))))))</f>
        <v>0</v>
      </c>
      <c r="DI37" s="27">
        <f>IF($A37="",0,IF(Mitarbeiter!$G$35=FALSE,0,IF(AND(Mitarbeiter!$E$35&lt;&gt;"",DI$5+6&lt;Mitarbeiter!$E$35),0,IF(AND(Mitarbeiter!$F$35&lt;&gt;"",DI$5&gt;Mitarbeiter!$F$35),0,IF(Planung!DI37="",$C37,IF(ISNUMBER(Planung!DI37),Planung!DI37,IF(UPPER(Planung!DI37)="H",$C37/2,0)))))))</f>
        <v>0</v>
      </c>
      <c r="DJ37" s="27">
        <f>IF($A37="",0,IF(Mitarbeiter!$G$35=FALSE,0,IF(AND(Mitarbeiter!$E$35&lt;&gt;"",DJ$5+6&lt;Mitarbeiter!$E$35),0,IF(AND(Mitarbeiter!$F$35&lt;&gt;"",DJ$5&gt;Mitarbeiter!$F$35),0,IF(Planung!DJ37="",$C37,IF(ISNUMBER(Planung!DJ37),Planung!DJ37,IF(UPPER(Planung!DJ37)="H",$C37/2,0)))))))</f>
        <v>0</v>
      </c>
      <c r="DK37" s="27">
        <f>IF($A37="",0,IF(Mitarbeiter!$G$35=FALSE,0,IF(AND(Mitarbeiter!$E$35&lt;&gt;"",DK$5+6&lt;Mitarbeiter!$E$35),0,IF(AND(Mitarbeiter!$F$35&lt;&gt;"",DK$5&gt;Mitarbeiter!$F$35),0,IF(Planung!DK37="",$C37,IF(ISNUMBER(Planung!DK37),Planung!DK37,IF(UPPER(Planung!DK37)="H",$C37/2,0)))))))</f>
        <v>0</v>
      </c>
      <c r="DL37" s="27">
        <f>IF($A37="",0,IF(Mitarbeiter!$G$35=FALSE,0,IF(AND(Mitarbeiter!$E$35&lt;&gt;"",DL$5+6&lt;Mitarbeiter!$E$35),0,IF(AND(Mitarbeiter!$F$35&lt;&gt;"",DL$5&gt;Mitarbeiter!$F$35),0,IF(Planung!DL37="",$C37,IF(ISNUMBER(Planung!DL37),Planung!DL37,IF(UPPER(Planung!DL37)="H",$C37/2,0)))))))</f>
        <v>0</v>
      </c>
      <c r="DM37" s="27">
        <f>IF($A37="",0,IF(Mitarbeiter!$G$35=FALSE,0,IF(AND(Mitarbeiter!$E$35&lt;&gt;"",DM$5+6&lt;Mitarbeiter!$E$35),0,IF(AND(Mitarbeiter!$F$35&lt;&gt;"",DM$5&gt;Mitarbeiter!$F$35),0,IF(Planung!DM37="",$C37,IF(ISNUMBER(Planung!DM37),Planung!DM37,IF(UPPER(Planung!DM37)="H",$C37/2,0)))))))</f>
        <v>0</v>
      </c>
      <c r="DN37" s="27">
        <f>IF($A37="",0,IF(Mitarbeiter!$G$35=FALSE,0,IF(AND(Mitarbeiter!$E$35&lt;&gt;"",DN$5+6&lt;Mitarbeiter!$E$35),0,IF(AND(Mitarbeiter!$F$35&lt;&gt;"",DN$5&gt;Mitarbeiter!$F$35),0,IF(Planung!DN37="",$C37,IF(ISNUMBER(Planung!DN37),Planung!DN37,IF(UPPER(Planung!DN37)="H",$C37/2,0)))))))</f>
        <v>0</v>
      </c>
      <c r="DO37" s="27">
        <f>IF($A37="",0,IF(Mitarbeiter!$G$35=FALSE,0,IF(AND(Mitarbeiter!$E$35&lt;&gt;"",DO$5+6&lt;Mitarbeiter!$E$35),0,IF(AND(Mitarbeiter!$F$35&lt;&gt;"",DO$5&gt;Mitarbeiter!$F$35),0,IF(Planung!DO37="",$C37,IF(ISNUMBER(Planung!DO37),Planung!DO37,IF(UPPER(Planung!DO37)="H",$C37/2,0)))))))</f>
        <v>0</v>
      </c>
      <c r="DP37" s="27">
        <f>IF($A37="",0,IF(Mitarbeiter!$G$35=FALSE,0,IF(AND(Mitarbeiter!$E$35&lt;&gt;"",DP$5+6&lt;Mitarbeiter!$E$35),0,IF(AND(Mitarbeiter!$F$35&lt;&gt;"",DP$5&gt;Mitarbeiter!$F$35),0,IF(Planung!DP37="",$C37,IF(ISNUMBER(Planung!DP37),Planung!DP37,IF(UPPER(Planung!DP37)="H",$C37/2,0)))))))</f>
        <v>0</v>
      </c>
      <c r="DQ37" s="27">
        <f>IF($A37="",0,IF(Mitarbeiter!$G$35=FALSE,0,IF(AND(Mitarbeiter!$E$35&lt;&gt;"",DQ$5+6&lt;Mitarbeiter!$E$35),0,IF(AND(Mitarbeiter!$F$35&lt;&gt;"",DQ$5&gt;Mitarbeiter!$F$35),0,IF(Planung!DQ37="",$C37,IF(ISNUMBER(Planung!DQ37),Planung!DQ37,IF(UPPER(Planung!DQ37)="H",$C37/2,0)))))))</f>
        <v>0</v>
      </c>
      <c r="DR37" s="27">
        <f>IF($A37="",0,IF(Mitarbeiter!$G$35=FALSE,0,IF(AND(Mitarbeiter!$E$35&lt;&gt;"",DR$5+6&lt;Mitarbeiter!$E$35),0,IF(AND(Mitarbeiter!$F$35&lt;&gt;"",DR$5&gt;Mitarbeiter!$F$35),0,IF(Planung!DR37="",$C37,IF(ISNUMBER(Planung!DR37),Planung!DR37,IF(UPPER(Planung!DR37)="H",$C37/2,0)))))))</f>
        <v>0</v>
      </c>
      <c r="DS37" s="27">
        <f>IF($A37="",0,IF(Mitarbeiter!$G$35=FALSE,0,IF(AND(Mitarbeiter!$E$35&lt;&gt;"",DS$5+6&lt;Mitarbeiter!$E$35),0,IF(AND(Mitarbeiter!$F$35&lt;&gt;"",DS$5&gt;Mitarbeiter!$F$35),0,IF(Planung!DS37="",$C37,IF(ISNUMBER(Planung!DS37),Planung!DS37,IF(UPPER(Planung!DS37)="H",$C37/2,0)))))))</f>
        <v>0</v>
      </c>
      <c r="DT37" s="27">
        <f>IF($A37="",0,IF(Mitarbeiter!$G$35=FALSE,0,IF(AND(Mitarbeiter!$E$35&lt;&gt;"",DT$5+6&lt;Mitarbeiter!$E$35),0,IF(AND(Mitarbeiter!$F$35&lt;&gt;"",DT$5&gt;Mitarbeiter!$F$35),0,IF(Planung!DT37="",$C37,IF(ISNUMBER(Planung!DT37),Planung!DT37,IF(UPPER(Planung!DT37)="H",$C37/2,0)))))))</f>
        <v>0</v>
      </c>
      <c r="DU37" s="27">
        <f>IF($A37="",0,IF(Mitarbeiter!$G$35=FALSE,0,IF(AND(Mitarbeiter!$E$35&lt;&gt;"",DU$5+6&lt;Mitarbeiter!$E$35),0,IF(AND(Mitarbeiter!$F$35&lt;&gt;"",DU$5&gt;Mitarbeiter!$F$35),0,IF(Planung!DU37="",$C37,IF(ISNUMBER(Planung!DU37),Planung!DU37,IF(UPPER(Planung!DU37)="H",$C37/2,0)))))))</f>
        <v>0</v>
      </c>
      <c r="DV37" s="27">
        <f>IF($A37="",0,IF(Mitarbeiter!$G$35=FALSE,0,IF(AND(Mitarbeiter!$E$35&lt;&gt;"",DV$5+6&lt;Mitarbeiter!$E$35),0,IF(AND(Mitarbeiter!$F$35&lt;&gt;"",DV$5&gt;Mitarbeiter!$F$35),0,IF(Planung!DV37="",$C37,IF(ISNUMBER(Planung!DV37),Planung!DV37,IF(UPPER(Planung!DV37)="H",$C37/2,0)))))))</f>
        <v>0</v>
      </c>
      <c r="DW37" s="27">
        <f>IF($A37="",0,IF(Mitarbeiter!$G$35=FALSE,0,IF(AND(Mitarbeiter!$E$35&lt;&gt;"",DW$5+6&lt;Mitarbeiter!$E$35),0,IF(AND(Mitarbeiter!$F$35&lt;&gt;"",DW$5&gt;Mitarbeiter!$F$35),0,IF(Planung!DW37="",$C37,IF(ISNUMBER(Planung!DW37),Planung!DW37,IF(UPPER(Planung!DW37)="H",$C37/2,0)))))))</f>
        <v>0</v>
      </c>
      <c r="DX37" s="27">
        <f>IF($A37="",0,IF(Mitarbeiter!$G$35=FALSE,0,IF(AND(Mitarbeiter!$E$35&lt;&gt;"",DX$5+6&lt;Mitarbeiter!$E$35),0,IF(AND(Mitarbeiter!$F$35&lt;&gt;"",DX$5&gt;Mitarbeiter!$F$35),0,IF(Planung!DX37="",$C37,IF(ISNUMBER(Planung!DX37),Planung!DX37,IF(UPPER(Planung!DX37)="H",$C37/2,0)))))))</f>
        <v>0</v>
      </c>
      <c r="DY37" s="27">
        <f>IF($A37="",0,IF(Mitarbeiter!$G$35=FALSE,0,IF(AND(Mitarbeiter!$E$35&lt;&gt;"",DY$5+6&lt;Mitarbeiter!$E$35),0,IF(AND(Mitarbeiter!$F$35&lt;&gt;"",DY$5&gt;Mitarbeiter!$F$35),0,IF(Planung!DY37="",$C37,IF(ISNUMBER(Planung!DY37),Planung!DY37,IF(UPPER(Planung!DY37)="H",$C37/2,0)))))))</f>
        <v>0</v>
      </c>
      <c r="DZ37" s="27">
        <f>IF($A37="",0,IF(Mitarbeiter!$G$35=FALSE,0,IF(AND(Mitarbeiter!$E$35&lt;&gt;"",DZ$5+6&lt;Mitarbeiter!$E$35),0,IF(AND(Mitarbeiter!$F$35&lt;&gt;"",DZ$5&gt;Mitarbeiter!$F$35),0,IF(Planung!DZ37="",$C37,IF(ISNUMBER(Planung!DZ37),Planung!DZ37,IF(UPPER(Planung!DZ37)="H",$C37/2,0)))))))</f>
        <v>0</v>
      </c>
      <c r="EA37" s="27">
        <f>IF($A37="",0,IF(Mitarbeiter!$G$35=FALSE,0,IF(AND(Mitarbeiter!$E$35&lt;&gt;"",EA$5+6&lt;Mitarbeiter!$E$35),0,IF(AND(Mitarbeiter!$F$35&lt;&gt;"",EA$5&gt;Mitarbeiter!$F$35),0,IF(Planung!EA37="",$C37,IF(ISNUMBER(Planung!EA37),Planung!EA37,IF(UPPER(Planung!EA37)="H",$C37/2,0)))))))</f>
        <v>0</v>
      </c>
      <c r="EB37" s="27">
        <f>IF($A37="",0,IF(Mitarbeiter!$G$35=FALSE,0,IF(AND(Mitarbeiter!$E$35&lt;&gt;"",EB$5+6&lt;Mitarbeiter!$E$35),0,IF(AND(Mitarbeiter!$F$35&lt;&gt;"",EB$5&gt;Mitarbeiter!$F$35),0,IF(Planung!EB37="",$C37,IF(ISNUMBER(Planung!EB37),Planung!EB37,IF(UPPER(Planung!EB37)="H",$C37/2,0)))))))</f>
        <v>0</v>
      </c>
      <c r="EC37" s="27">
        <f>IF($A37="",0,IF(Mitarbeiter!$G$35=FALSE,0,IF(AND(Mitarbeiter!$E$35&lt;&gt;"",EC$5+6&lt;Mitarbeiter!$E$35),0,IF(AND(Mitarbeiter!$F$35&lt;&gt;"",EC$5&gt;Mitarbeiter!$F$35),0,IF(Planung!EC37="",$C37,IF(ISNUMBER(Planung!EC37),Planung!EC37,IF(UPPER(Planung!EC37)="H",$C37/2,0)))))))</f>
        <v>0</v>
      </c>
      <c r="ED37" s="27">
        <f>IF($A37="",0,IF(Mitarbeiter!$G$35=FALSE,0,IF(AND(Mitarbeiter!$E$35&lt;&gt;"",ED$5+6&lt;Mitarbeiter!$E$35),0,IF(AND(Mitarbeiter!$F$35&lt;&gt;"",ED$5&gt;Mitarbeiter!$F$35),0,IF(Planung!ED37="",$C37,IF(ISNUMBER(Planung!ED37),Planung!ED37,IF(UPPER(Planung!ED37)="H",$C37/2,0)))))))</f>
        <v>0</v>
      </c>
      <c r="EE37" s="27">
        <f>IF($A37="",0,IF(Mitarbeiter!$G$35=FALSE,0,IF(AND(Mitarbeiter!$E$35&lt;&gt;"",EE$5+6&lt;Mitarbeiter!$E$35),0,IF(AND(Mitarbeiter!$F$35&lt;&gt;"",EE$5&gt;Mitarbeiter!$F$35),0,IF(Planung!EE37="",$C37,IF(ISNUMBER(Planung!EE37),Planung!EE37,IF(UPPER(Planung!EE37)="H",$C37/2,0)))))))</f>
        <v>0</v>
      </c>
      <c r="EF37" s="27">
        <f>IF($A37="",0,IF(Mitarbeiter!$G$35=FALSE,0,IF(AND(Mitarbeiter!$E$35&lt;&gt;"",EF$5+6&lt;Mitarbeiter!$E$35),0,IF(AND(Mitarbeiter!$F$35&lt;&gt;"",EF$5&gt;Mitarbeiter!$F$35),0,IF(Planung!EF37="",$C37,IF(ISNUMBER(Planung!EF37),Planung!EF37,IF(UPPER(Planung!EF37)="H",$C37/2,0)))))))</f>
        <v>0</v>
      </c>
      <c r="EG37" s="27">
        <f>IF($A37="",0,IF(Mitarbeiter!$G$35=FALSE,0,IF(AND(Mitarbeiter!$E$35&lt;&gt;"",EG$5+6&lt;Mitarbeiter!$E$35),0,IF(AND(Mitarbeiter!$F$35&lt;&gt;"",EG$5&gt;Mitarbeiter!$F$35),0,IF(Planung!EG37="",$C37,IF(ISNUMBER(Planung!EG37),Planung!EG37,IF(UPPER(Planung!EG37)="H",$C37/2,0)))))))</f>
        <v>0</v>
      </c>
      <c r="EH37" s="27">
        <f>IF($A37="",0,IF(Mitarbeiter!$G$35=FALSE,0,IF(AND(Mitarbeiter!$E$35&lt;&gt;"",EH$5+6&lt;Mitarbeiter!$E$35),0,IF(AND(Mitarbeiter!$F$35&lt;&gt;"",EH$5&gt;Mitarbeiter!$F$35),0,IF(Planung!EH37="",$C37,IF(ISNUMBER(Planung!EH37),Planung!EH37,IF(UPPER(Planung!EH37)="H",$C37/2,0)))))))</f>
        <v>0</v>
      </c>
      <c r="EI37" s="27">
        <f>IF($A37="",0,IF(Mitarbeiter!$G$35=FALSE,0,IF(AND(Mitarbeiter!$E$35&lt;&gt;"",EI$5+6&lt;Mitarbeiter!$E$35),0,IF(AND(Mitarbeiter!$F$35&lt;&gt;"",EI$5&gt;Mitarbeiter!$F$35),0,IF(Planung!EI37="",$C37,IF(ISNUMBER(Planung!EI37),Planung!EI37,IF(UPPER(Planung!EI37)="H",$C37/2,0)))))))</f>
        <v>0</v>
      </c>
      <c r="EJ37" s="27">
        <f>IF($A37="",0,IF(Mitarbeiter!$G$35=FALSE,0,IF(AND(Mitarbeiter!$E$35&lt;&gt;"",EJ$5+6&lt;Mitarbeiter!$E$35),0,IF(AND(Mitarbeiter!$F$35&lt;&gt;"",EJ$5&gt;Mitarbeiter!$F$35),0,IF(Planung!EJ37="",$C37,IF(ISNUMBER(Planung!EJ37),Planung!EJ37,IF(UPPER(Planung!EJ37)="H",$C37/2,0)))))))</f>
        <v>0</v>
      </c>
      <c r="EK37" s="27">
        <f>IF($A37="",0,IF(Mitarbeiter!$G$35=FALSE,0,IF(AND(Mitarbeiter!$E$35&lt;&gt;"",EK$5+6&lt;Mitarbeiter!$E$35),0,IF(AND(Mitarbeiter!$F$35&lt;&gt;"",EK$5&gt;Mitarbeiter!$F$35),0,IF(Planung!EK37="",$C37,IF(ISNUMBER(Planung!EK37),Planung!EK37,IF(UPPER(Planung!EK37)="H",$C37/2,0)))))))</f>
        <v>0</v>
      </c>
      <c r="EL37" s="27">
        <f>IF($A37="",0,IF(Mitarbeiter!$G$35=FALSE,0,IF(AND(Mitarbeiter!$E$35&lt;&gt;"",EL$5+6&lt;Mitarbeiter!$E$35),0,IF(AND(Mitarbeiter!$F$35&lt;&gt;"",EL$5&gt;Mitarbeiter!$F$35),0,IF(Planung!EL37="",$C37,IF(ISNUMBER(Planung!EL37),Planung!EL37,IF(UPPER(Planung!EL37)="H",$C37/2,0)))))))</f>
        <v>0</v>
      </c>
      <c r="EM37" s="27">
        <f>IF($A37="",0,IF(Mitarbeiter!$G$35=FALSE,0,IF(AND(Mitarbeiter!$E$35&lt;&gt;"",EM$5+6&lt;Mitarbeiter!$E$35),0,IF(AND(Mitarbeiter!$F$35&lt;&gt;"",EM$5&gt;Mitarbeiter!$F$35),0,IF(Planung!EM37="",$C37,IF(ISNUMBER(Planung!EM37),Planung!EM37,IF(UPPER(Planung!EM37)="H",$C37/2,0)))))))</f>
        <v>0</v>
      </c>
      <c r="EN37" s="27">
        <f>IF($A37="",0,IF(Mitarbeiter!$G$35=FALSE,0,IF(AND(Mitarbeiter!$E$35&lt;&gt;"",EN$5+6&lt;Mitarbeiter!$E$35),0,IF(AND(Mitarbeiter!$F$35&lt;&gt;"",EN$5&gt;Mitarbeiter!$F$35),0,IF(Planung!EN37="",$C37,IF(ISNUMBER(Planung!EN37),Planung!EN37,IF(UPPER(Planung!EN37)="H",$C37/2,0)))))))</f>
        <v>0</v>
      </c>
      <c r="EO37" s="27">
        <f>IF($A37="",0,IF(Mitarbeiter!$G$35=FALSE,0,IF(AND(Mitarbeiter!$E$35&lt;&gt;"",EO$5+6&lt;Mitarbeiter!$E$35),0,IF(AND(Mitarbeiter!$F$35&lt;&gt;"",EO$5&gt;Mitarbeiter!$F$35),0,IF(Planung!EO37="",$C37,IF(ISNUMBER(Planung!EO37),Planung!EO37,IF(UPPER(Planung!EO37)="H",$C37/2,0)))))))</f>
        <v>0</v>
      </c>
      <c r="EP37" s="27">
        <f>IF($A37="",0,IF(Mitarbeiter!$G$35=FALSE,0,IF(AND(Mitarbeiter!$E$35&lt;&gt;"",EP$5+6&lt;Mitarbeiter!$E$35),0,IF(AND(Mitarbeiter!$F$35&lt;&gt;"",EP$5&gt;Mitarbeiter!$F$35),0,IF(Planung!EP37="",$C37,IF(ISNUMBER(Planung!EP37),Planung!EP37,IF(UPPER(Planung!EP37)="H",$C37/2,0)))))))</f>
        <v>0</v>
      </c>
      <c r="EQ37" s="27">
        <f>IF($A37="",0,IF(Mitarbeiter!$G$35=FALSE,0,IF(AND(Mitarbeiter!$E$35&lt;&gt;"",EQ$5+6&lt;Mitarbeiter!$E$35),0,IF(AND(Mitarbeiter!$F$35&lt;&gt;"",EQ$5&gt;Mitarbeiter!$F$35),0,IF(Planung!EQ37="",$C37,IF(ISNUMBER(Planung!EQ37),Planung!EQ37,IF(UPPER(Planung!EQ37)="H",$C37/2,0)))))))</f>
        <v>0</v>
      </c>
      <c r="ER37" s="27">
        <f>IF($A37="",0,IF(Mitarbeiter!$G$35=FALSE,0,IF(AND(Mitarbeiter!$E$35&lt;&gt;"",ER$5+6&lt;Mitarbeiter!$E$35),0,IF(AND(Mitarbeiter!$F$35&lt;&gt;"",ER$5&gt;Mitarbeiter!$F$35),0,IF(Planung!ER37="",$C37,IF(ISNUMBER(Planung!ER37),Planung!ER37,IF(UPPER(Planung!ER37)="H",$C37/2,0)))))))</f>
        <v>0</v>
      </c>
      <c r="ES37" s="27">
        <f>IF($A37="",0,IF(Mitarbeiter!$G$35=FALSE,0,IF(AND(Mitarbeiter!$E$35&lt;&gt;"",ES$5+6&lt;Mitarbeiter!$E$35),0,IF(AND(Mitarbeiter!$F$35&lt;&gt;"",ES$5&gt;Mitarbeiter!$F$35),0,IF(Planung!ES37="",$C37,IF(ISNUMBER(Planung!ES37),Planung!ES37,IF(UPPER(Planung!ES37)="H",$C37/2,0)))))))</f>
        <v>0</v>
      </c>
      <c r="ET37" s="27">
        <f>IF($A37="",0,IF(Mitarbeiter!$G$35=FALSE,0,IF(AND(Mitarbeiter!$E$35&lt;&gt;"",ET$5+6&lt;Mitarbeiter!$E$35),0,IF(AND(Mitarbeiter!$F$35&lt;&gt;"",ET$5&gt;Mitarbeiter!$F$35),0,IF(Planung!ET37="",$C37,IF(ISNUMBER(Planung!ET37),Planung!ET37,IF(UPPER(Planung!ET37)="H",$C37/2,0)))))))</f>
        <v>0</v>
      </c>
      <c r="EU37" s="27">
        <f>IF($A37="",0,IF(Mitarbeiter!$G$35=FALSE,0,IF(AND(Mitarbeiter!$E$35&lt;&gt;"",EU$5+6&lt;Mitarbeiter!$E$35),0,IF(AND(Mitarbeiter!$F$35&lt;&gt;"",EU$5&gt;Mitarbeiter!$F$35),0,IF(Planung!EU37="",$C37,IF(ISNUMBER(Planung!EU37),Planung!EU37,IF(UPPER(Planung!EU37)="H",$C37/2,0)))))))</f>
        <v>0</v>
      </c>
      <c r="EV37" s="27">
        <f>IF($A37="",0,IF(Mitarbeiter!$G$35=FALSE,0,IF(AND(Mitarbeiter!$E$35&lt;&gt;"",EV$5+6&lt;Mitarbeiter!$E$35),0,IF(AND(Mitarbeiter!$F$35&lt;&gt;"",EV$5&gt;Mitarbeiter!$F$35),0,IF(Planung!EV37="",$C37,IF(ISNUMBER(Planung!EV37),Planung!EV37,IF(UPPER(Planung!EV37)="H",$C37/2,0)))))))</f>
        <v>0</v>
      </c>
      <c r="EW37" s="27">
        <f>IF($A37="",0,IF(Mitarbeiter!$G$35=FALSE,0,IF(AND(Mitarbeiter!$E$35&lt;&gt;"",EW$5+6&lt;Mitarbeiter!$E$35),0,IF(AND(Mitarbeiter!$F$35&lt;&gt;"",EW$5&gt;Mitarbeiter!$F$35),0,IF(Planung!EW37="",$C37,IF(ISNUMBER(Planung!EW37),Planung!EW37,IF(UPPER(Planung!EW37)="H",$C37/2,0)))))))</f>
        <v>0</v>
      </c>
      <c r="EX37" s="27">
        <f>IF($A37="",0,IF(Mitarbeiter!$G$35=FALSE,0,IF(AND(Mitarbeiter!$E$35&lt;&gt;"",EX$5+6&lt;Mitarbeiter!$E$35),0,IF(AND(Mitarbeiter!$F$35&lt;&gt;"",EX$5&gt;Mitarbeiter!$F$35),0,IF(Planung!EX37="",$C37,IF(ISNUMBER(Planung!EX37),Planung!EX37,IF(UPPER(Planung!EX37)="H",$C37/2,0)))))))</f>
        <v>0</v>
      </c>
      <c r="EY37" s="27">
        <f>IF($A37="",0,IF(Mitarbeiter!$G$35=FALSE,0,IF(AND(Mitarbeiter!$E$35&lt;&gt;"",EY$5+6&lt;Mitarbeiter!$E$35),0,IF(AND(Mitarbeiter!$F$35&lt;&gt;"",EY$5&gt;Mitarbeiter!$F$35),0,IF(Planung!EY37="",$C37,IF(ISNUMBER(Planung!EY37),Planung!EY37,IF(UPPER(Planung!EY37)="H",$C37/2,0)))))))</f>
        <v>0</v>
      </c>
      <c r="EZ37" s="27">
        <f>IF($A37="",0,IF(Mitarbeiter!$G$35=FALSE,0,IF(AND(Mitarbeiter!$E$35&lt;&gt;"",EZ$5+6&lt;Mitarbeiter!$E$35),0,IF(AND(Mitarbeiter!$F$35&lt;&gt;"",EZ$5&gt;Mitarbeiter!$F$35),0,IF(Planung!EZ37="",$C37,IF(ISNUMBER(Planung!EZ37),Planung!EZ37,IF(UPPER(Planung!EZ37)="H",$C37/2,0)))))))</f>
        <v>0</v>
      </c>
      <c r="FA37" s="27">
        <f>IF($A37="",0,IF(Mitarbeiter!$G$35=FALSE,0,IF(AND(Mitarbeiter!$E$35&lt;&gt;"",FA$5+6&lt;Mitarbeiter!$E$35),0,IF(AND(Mitarbeiter!$F$35&lt;&gt;"",FA$5&gt;Mitarbeiter!$F$35),0,IF(Planung!FA37="",$C37,IF(ISNUMBER(Planung!FA37),Planung!FA37,IF(UPPER(Planung!FA37)="H",$C37/2,0)))))))</f>
        <v>0</v>
      </c>
      <c r="FB37" s="27">
        <f>IF($A37="",0,IF(Mitarbeiter!$G$35=FALSE,0,IF(AND(Mitarbeiter!$E$35&lt;&gt;"",FB$5+6&lt;Mitarbeiter!$E$35),0,IF(AND(Mitarbeiter!$F$35&lt;&gt;"",FB$5&gt;Mitarbeiter!$F$35),0,IF(Planung!FB37="",$C37,IF(ISNUMBER(Planung!FB37),Planung!FB37,IF(UPPER(Planung!FB37)="H",$C37/2,0)))))))</f>
        <v>0</v>
      </c>
      <c r="FC37" s="27">
        <f>IF($A37="",0,IF(Mitarbeiter!$G$35=FALSE,0,IF(AND(Mitarbeiter!$E$35&lt;&gt;"",FC$5+6&lt;Mitarbeiter!$E$35),0,IF(AND(Mitarbeiter!$F$35&lt;&gt;"",FC$5&gt;Mitarbeiter!$F$35),0,IF(Planung!FC37="",$C37,IF(ISNUMBER(Planung!FC37),Planung!FC37,IF(UPPER(Planung!FC37)="H",$C37/2,0)))))))</f>
        <v>0</v>
      </c>
      <c r="FD37" s="27">
        <f>IF($A37="",0,IF(Mitarbeiter!$G$35=FALSE,0,IF(AND(Mitarbeiter!$E$35&lt;&gt;"",FD$5+6&lt;Mitarbeiter!$E$35),0,IF(AND(Mitarbeiter!$F$35&lt;&gt;"",FD$5&gt;Mitarbeiter!$F$35),0,IF(Planung!FD37="",$C37,IF(ISNUMBER(Planung!FD37),Planung!FD37,IF(UPPER(Planung!FD37)="H",$C37/2,0)))))))</f>
        <v>0</v>
      </c>
      <c r="FE37" s="27">
        <f>IF($A37="",0,IF(Mitarbeiter!$G$35=FALSE,0,IF(AND(Mitarbeiter!$E$35&lt;&gt;"",FE$5+6&lt;Mitarbeiter!$E$35),0,IF(AND(Mitarbeiter!$F$35&lt;&gt;"",FE$5&gt;Mitarbeiter!$F$35),0,IF(Planung!FE37="",$C37,IF(ISNUMBER(Planung!FE37),Planung!FE37,IF(UPPER(Planung!FE37)="H",$C37/2,0)))))))</f>
        <v>0</v>
      </c>
      <c r="FF37" s="27">
        <f>IF($A37="",0,IF(Mitarbeiter!$G$35=FALSE,0,IF(AND(Mitarbeiter!$E$35&lt;&gt;"",FF$5+6&lt;Mitarbeiter!$E$35),0,IF(AND(Mitarbeiter!$F$35&lt;&gt;"",FF$5&gt;Mitarbeiter!$F$35),0,IF(Planung!FF37="",$C37,IF(ISNUMBER(Planung!FF37),Planung!FF37,IF(UPPER(Planung!FF37)="H",$C37/2,0)))))))</f>
        <v>0</v>
      </c>
      <c r="FG37" s="27">
        <f>IF($A37="",0,IF(Mitarbeiter!$G$35=FALSE,0,IF(AND(Mitarbeiter!$E$35&lt;&gt;"",FG$5+6&lt;Mitarbeiter!$E$35),0,IF(AND(Mitarbeiter!$F$35&lt;&gt;"",FG$5&gt;Mitarbeiter!$F$35),0,IF(Planung!FG37="",$C37,IF(ISNUMBER(Planung!FG37),Planung!FG37,IF(UPPER(Planung!FG37)="H",$C37/2,0)))))))</f>
        <v>0</v>
      </c>
      <c r="FH37" s="27">
        <f>IF($A37="",0,IF(Mitarbeiter!$G$35=FALSE,0,IF(AND(Mitarbeiter!$E$35&lt;&gt;"",FH$5+6&lt;Mitarbeiter!$E$35),0,IF(AND(Mitarbeiter!$F$35&lt;&gt;"",FH$5&gt;Mitarbeiter!$F$35),0,IF(Planung!FH37="",$C37,IF(ISNUMBER(Planung!FH37),Planung!FH37,IF(UPPER(Planung!FH37)="H",$C37/2,0)))))))</f>
        <v>0</v>
      </c>
      <c r="FI37" s="27">
        <f>IF($A37="",0,IF(Mitarbeiter!$G$35=FALSE,0,IF(AND(Mitarbeiter!$E$35&lt;&gt;"",FI$5+6&lt;Mitarbeiter!$E$35),0,IF(AND(Mitarbeiter!$F$35&lt;&gt;"",FI$5&gt;Mitarbeiter!$F$35),0,IF(Planung!FI37="",$C37,IF(ISNUMBER(Planung!FI37),Planung!FI37,IF(UPPER(Planung!FI37)="H",$C37/2,0)))))))</f>
        <v>0</v>
      </c>
      <c r="FJ37" s="27">
        <f>IF($A37="",0,IF(Mitarbeiter!$G$35=FALSE,0,IF(AND(Mitarbeiter!$E$35&lt;&gt;"",FJ$5+6&lt;Mitarbeiter!$E$35),0,IF(AND(Mitarbeiter!$F$35&lt;&gt;"",FJ$5&gt;Mitarbeiter!$F$35),0,IF(Planung!FJ37="",$C37,IF(ISNUMBER(Planung!FJ37),Planung!FJ37,IF(UPPER(Planung!FJ37)="H",$C37/2,0)))))))</f>
        <v>0</v>
      </c>
      <c r="FK37" s="27">
        <f>IF($A37="",0,IF(Mitarbeiter!$G$35=FALSE,0,IF(AND(Mitarbeiter!$E$35&lt;&gt;"",FK$5+6&lt;Mitarbeiter!$E$35),0,IF(AND(Mitarbeiter!$F$35&lt;&gt;"",FK$5&gt;Mitarbeiter!$F$35),0,IF(Planung!FK37="",$C37,IF(ISNUMBER(Planung!FK37),Planung!FK37,IF(UPPER(Planung!FK37)="H",$C37/2,0)))))))</f>
        <v>0</v>
      </c>
      <c r="FL37" s="27">
        <f>IF($A37="",0,IF(Mitarbeiter!$G$35=FALSE,0,IF(AND(Mitarbeiter!$E$35&lt;&gt;"",FL$5+6&lt;Mitarbeiter!$E$35),0,IF(AND(Mitarbeiter!$F$35&lt;&gt;"",FL$5&gt;Mitarbeiter!$F$35),0,IF(Planung!FL37="",$C37,IF(ISNUMBER(Planung!FL37),Planung!FL37,IF(UPPER(Planung!FL37)="H",$C37/2,0)))))))</f>
        <v>0</v>
      </c>
      <c r="FM37" s="27">
        <f>IF($A37="",0,IF(Mitarbeiter!$G$35=FALSE,0,IF(AND(Mitarbeiter!$E$35&lt;&gt;"",FM$5+6&lt;Mitarbeiter!$E$35),0,IF(AND(Mitarbeiter!$F$35&lt;&gt;"",FM$5&gt;Mitarbeiter!$F$35),0,IF(Planung!FM37="",$C37,IF(ISNUMBER(Planung!FM37),Planung!FM37,IF(UPPER(Planung!FM37)="H",$C37/2,0)))))))</f>
        <v>0</v>
      </c>
      <c r="FN37" s="27">
        <f>IF($A37="",0,IF(Mitarbeiter!$G$35=FALSE,0,IF(AND(Mitarbeiter!$E$35&lt;&gt;"",FN$5+6&lt;Mitarbeiter!$E$35),0,IF(AND(Mitarbeiter!$F$35&lt;&gt;"",FN$5&gt;Mitarbeiter!$F$35),0,IF(Planung!FN37="",$C37,IF(ISNUMBER(Planung!FN37),Planung!FN37,IF(UPPER(Planung!FN37)="H",$C37/2,0)))))))</f>
        <v>0</v>
      </c>
      <c r="FO37" s="27">
        <f>IF($A37="",0,IF(Mitarbeiter!$G$35=FALSE,0,IF(AND(Mitarbeiter!$E$35&lt;&gt;"",FO$5+6&lt;Mitarbeiter!$E$35),0,IF(AND(Mitarbeiter!$F$35&lt;&gt;"",FO$5&gt;Mitarbeiter!$F$35),0,IF(Planung!FO37="",$C37,IF(ISNUMBER(Planung!FO37),Planung!FO37,IF(UPPER(Planung!FO37)="H",$C37/2,0)))))))</f>
        <v>0</v>
      </c>
      <c r="FP37" s="27">
        <f>IF($A37="",0,IF(Mitarbeiter!$G$35=FALSE,0,IF(AND(Mitarbeiter!$E$35&lt;&gt;"",FP$5+6&lt;Mitarbeiter!$E$35),0,IF(AND(Mitarbeiter!$F$35&lt;&gt;"",FP$5&gt;Mitarbeiter!$F$35),0,IF(Planung!FP37="",$C37,IF(ISNUMBER(Planung!FP37),Planung!FP37,IF(UPPER(Planung!FP37)="H",$C37/2,0)))))))</f>
        <v>0</v>
      </c>
      <c r="FQ37" s="27">
        <f>IF($A37="",0,IF(Mitarbeiter!$G$35=FALSE,0,IF(AND(Mitarbeiter!$E$35&lt;&gt;"",FQ$5+6&lt;Mitarbeiter!$E$35),0,IF(AND(Mitarbeiter!$F$35&lt;&gt;"",FQ$5&gt;Mitarbeiter!$F$35),0,IF(Planung!FQ37="",$C37,IF(ISNUMBER(Planung!FQ37),Planung!FQ37,IF(UPPER(Planung!FQ37)="H",$C37/2,0)))))))</f>
        <v>0</v>
      </c>
      <c r="FR37" s="27">
        <f>IF($A37="",0,IF(Mitarbeiter!$G$35=FALSE,0,IF(AND(Mitarbeiter!$E$35&lt;&gt;"",FR$5+6&lt;Mitarbeiter!$E$35),0,IF(AND(Mitarbeiter!$F$35&lt;&gt;"",FR$5&gt;Mitarbeiter!$F$35),0,IF(Planung!FR37="",$C37,IF(ISNUMBER(Planung!FR37),Planung!FR37,IF(UPPER(Planung!FR37)="H",$C37/2,0)))))))</f>
        <v>0</v>
      </c>
      <c r="FS37" s="27">
        <f>IF($A37="",0,IF(Mitarbeiter!$G$35=FALSE,0,IF(AND(Mitarbeiter!$E$35&lt;&gt;"",FS$5+6&lt;Mitarbeiter!$E$35),0,IF(AND(Mitarbeiter!$F$35&lt;&gt;"",FS$5&gt;Mitarbeiter!$F$35),0,IF(Planung!FS37="",$C37,IF(ISNUMBER(Planung!FS37),Planung!FS37,IF(UPPER(Planung!FS37)="H",$C37/2,0)))))))</f>
        <v>0</v>
      </c>
      <c r="FT37" s="27">
        <f>IF($A37="",0,IF(Mitarbeiter!$G$35=FALSE,0,IF(AND(Mitarbeiter!$E$35&lt;&gt;"",FT$5+6&lt;Mitarbeiter!$E$35),0,IF(AND(Mitarbeiter!$F$35&lt;&gt;"",FT$5&gt;Mitarbeiter!$F$35),0,IF(Planung!FT37="",$C37,IF(ISNUMBER(Planung!FT37),Planung!FT37,IF(UPPER(Planung!FT37)="H",$C37/2,0)))))))</f>
        <v>0</v>
      </c>
      <c r="FU37" s="27">
        <f>IF($A37="",0,IF(Mitarbeiter!$G$35=FALSE,0,IF(AND(Mitarbeiter!$E$35&lt;&gt;"",FU$5+6&lt;Mitarbeiter!$E$35),0,IF(AND(Mitarbeiter!$F$35&lt;&gt;"",FU$5&gt;Mitarbeiter!$F$35),0,IF(Planung!FU37="",$C37,IF(ISNUMBER(Planung!FU37),Planung!FU37,IF(UPPER(Planung!FU37)="H",$C37/2,0)))))))</f>
        <v>0</v>
      </c>
      <c r="FV37" s="27">
        <f>IF($A37="",0,IF(Mitarbeiter!$G$35=FALSE,0,IF(AND(Mitarbeiter!$E$35&lt;&gt;"",FV$5+6&lt;Mitarbeiter!$E$35),0,IF(AND(Mitarbeiter!$F$35&lt;&gt;"",FV$5&gt;Mitarbeiter!$F$35),0,IF(Planung!FV37="",$C37,IF(ISNUMBER(Planung!FV37),Planung!FV37,IF(UPPER(Planung!FV37)="H",$C37/2,0)))))))</f>
        <v>0</v>
      </c>
      <c r="FW37" s="27">
        <f>IF($A37="",0,IF(Mitarbeiter!$G$35=FALSE,0,IF(AND(Mitarbeiter!$E$35&lt;&gt;"",FW$5+6&lt;Mitarbeiter!$E$35),0,IF(AND(Mitarbeiter!$F$35&lt;&gt;"",FW$5&gt;Mitarbeiter!$F$35),0,IF(Planung!FW37="",$C37,IF(ISNUMBER(Planung!FW37),Planung!FW37,IF(UPPER(Planung!FW37)="H",$C37/2,0)))))))</f>
        <v>0</v>
      </c>
      <c r="FX37" s="27">
        <f>IF($A37="",0,IF(Mitarbeiter!$G$35=FALSE,0,IF(AND(Mitarbeiter!$E$35&lt;&gt;"",FX$5+6&lt;Mitarbeiter!$E$35),0,IF(AND(Mitarbeiter!$F$35&lt;&gt;"",FX$5&gt;Mitarbeiter!$F$35),0,IF(Planung!FX37="",$C37,IF(ISNUMBER(Planung!FX37),Planung!FX37,IF(UPPER(Planung!FX37)="H",$C37/2,0)))))))</f>
        <v>0</v>
      </c>
      <c r="FY37" s="27">
        <f>IF($A37="",0,IF(Mitarbeiter!$G$35=FALSE,0,IF(AND(Mitarbeiter!$E$35&lt;&gt;"",FY$5+6&lt;Mitarbeiter!$E$35),0,IF(AND(Mitarbeiter!$F$35&lt;&gt;"",FY$5&gt;Mitarbeiter!$F$35),0,IF(Planung!FY37="",$C37,IF(ISNUMBER(Planung!FY37),Planung!FY37,IF(UPPER(Planung!FY37)="H",$C37/2,0)))))))</f>
        <v>0</v>
      </c>
      <c r="FZ37" s="27">
        <f>IF($A37="",0,IF(Mitarbeiter!$G$35=FALSE,0,IF(AND(Mitarbeiter!$E$35&lt;&gt;"",FZ$5+6&lt;Mitarbeiter!$E$35),0,IF(AND(Mitarbeiter!$F$35&lt;&gt;"",FZ$5&gt;Mitarbeiter!$F$35),0,IF(Planung!FZ37="",$C37,IF(ISNUMBER(Planung!FZ37),Planung!FZ37,IF(UPPER(Planung!FZ37)="H",$C37/2,0)))))))</f>
        <v>0</v>
      </c>
      <c r="GA37" s="27">
        <f>IF($A37="",0,IF(Mitarbeiter!$G$35=FALSE,0,IF(AND(Mitarbeiter!$E$35&lt;&gt;"",GA$5+6&lt;Mitarbeiter!$E$35),0,IF(AND(Mitarbeiter!$F$35&lt;&gt;"",GA$5&gt;Mitarbeiter!$F$35),0,IF(Planung!GA37="",$C37,IF(ISNUMBER(Planung!GA37),Planung!GA37,IF(UPPER(Planung!GA37)="H",$C37/2,0)))))))</f>
        <v>0</v>
      </c>
      <c r="GB37" s="27">
        <f>IF($A37="",0,IF(Mitarbeiter!$G$35=FALSE,0,IF(AND(Mitarbeiter!$E$35&lt;&gt;"",GB$5+6&lt;Mitarbeiter!$E$35),0,IF(AND(Mitarbeiter!$F$35&lt;&gt;"",GB$5&gt;Mitarbeiter!$F$35),0,IF(Planung!GB37="",$C37,IF(ISNUMBER(Planung!GB37),Planung!GB37,IF(UPPER(Planung!GB37)="H",$C37/2,0)))))))</f>
        <v>0</v>
      </c>
      <c r="GC37" s="27">
        <f>IF($A37="",0,IF(Mitarbeiter!$G$35=FALSE,0,IF(AND(Mitarbeiter!$E$35&lt;&gt;"",GC$5+6&lt;Mitarbeiter!$E$35),0,IF(AND(Mitarbeiter!$F$35&lt;&gt;"",GC$5&gt;Mitarbeiter!$F$35),0,IF(Planung!GC37="",$C37,IF(ISNUMBER(Planung!GC37),Planung!GC37,IF(UPPER(Planung!GC37)="H",$C37/2,0)))))))</f>
        <v>0</v>
      </c>
      <c r="GD37" s="27">
        <f>IF($A37="",0,IF(Mitarbeiter!$G$35=FALSE,0,IF(AND(Mitarbeiter!$E$35&lt;&gt;"",GD$5+6&lt;Mitarbeiter!$E$35),0,IF(AND(Mitarbeiter!$F$35&lt;&gt;"",GD$5&gt;Mitarbeiter!$F$35),0,IF(Planung!GD37="",$C37,IF(ISNUMBER(Planung!GD37),Planung!GD37,IF(UPPER(Planung!GD37)="H",$C37/2,0)))))))</f>
        <v>0</v>
      </c>
      <c r="GE37" s="27">
        <f>IF($A37="",0,IF(Mitarbeiter!$G$35=FALSE,0,IF(AND(Mitarbeiter!$E$35&lt;&gt;"",GE$5+6&lt;Mitarbeiter!$E$35),0,IF(AND(Mitarbeiter!$F$35&lt;&gt;"",GE$5&gt;Mitarbeiter!$F$35),0,IF(Planung!GE37="",$C37,IF(ISNUMBER(Planung!GE37),Planung!GE37,IF(UPPER(Planung!GE37)="H",$C37/2,0)))))))</f>
        <v>0</v>
      </c>
      <c r="GF37" s="27">
        <f>IF($A37="",0,IF(Mitarbeiter!$G$35=FALSE,0,IF(AND(Mitarbeiter!$E$35&lt;&gt;"",GF$5+6&lt;Mitarbeiter!$E$35),0,IF(AND(Mitarbeiter!$F$35&lt;&gt;"",GF$5&gt;Mitarbeiter!$F$35),0,IF(Planung!GF37="",$C37,IF(ISNUMBER(Planung!GF37),Planung!GF37,IF(UPPER(Planung!GF37)="H",$C37/2,0)))))))</f>
        <v>0</v>
      </c>
      <c r="GG37" s="27">
        <f>IF($A37="",0,IF(Mitarbeiter!$G$35=FALSE,0,IF(AND(Mitarbeiter!$E$35&lt;&gt;"",GG$5+6&lt;Mitarbeiter!$E$35),0,IF(AND(Mitarbeiter!$F$35&lt;&gt;"",GG$5&gt;Mitarbeiter!$F$35),0,IF(Planung!GG37="",$C37,IF(ISNUMBER(Planung!GG37),Planung!GG37,IF(UPPER(Planung!GG37)="H",$C37/2,0)))))))</f>
        <v>0</v>
      </c>
      <c r="GH37" s="27">
        <f>IF($A37="",0,IF(Mitarbeiter!$G$35=FALSE,0,IF(AND(Mitarbeiter!$E$35&lt;&gt;"",GH$5+6&lt;Mitarbeiter!$E$35),0,IF(AND(Mitarbeiter!$F$35&lt;&gt;"",GH$5&gt;Mitarbeiter!$F$35),0,IF(Planung!GH37="",$C37,IF(ISNUMBER(Planung!GH37),Planung!GH37,IF(UPPER(Planung!GH37)="H",$C37/2,0)))))))</f>
        <v>0</v>
      </c>
      <c r="GI37" s="27">
        <f>IF($A37="",0,IF(Mitarbeiter!$G$35=FALSE,0,IF(AND(Mitarbeiter!$E$35&lt;&gt;"",GI$5+6&lt;Mitarbeiter!$E$35),0,IF(AND(Mitarbeiter!$F$35&lt;&gt;"",GI$5&gt;Mitarbeiter!$F$35),0,IF(Planung!GI37="",$C37,IF(ISNUMBER(Planung!GI37),Planung!GI37,IF(UPPER(Planung!GI37)="H",$C37/2,0)))))))</f>
        <v>0</v>
      </c>
      <c r="GJ37" s="27">
        <f>IF($A37="",0,IF(Mitarbeiter!$G$35=FALSE,0,IF(AND(Mitarbeiter!$E$35&lt;&gt;"",GJ$5+6&lt;Mitarbeiter!$E$35),0,IF(AND(Mitarbeiter!$F$35&lt;&gt;"",GJ$5&gt;Mitarbeiter!$F$35),0,IF(Planung!GJ37="",$C37,IF(ISNUMBER(Planung!GJ37),Planung!GJ37,IF(UPPER(Planung!GJ37)="H",$C37/2,0)))))))</f>
        <v>0</v>
      </c>
      <c r="GK37" s="27">
        <f>IF($A37="",0,IF(Mitarbeiter!$G$35=FALSE,0,IF(AND(Mitarbeiter!$E$35&lt;&gt;"",GK$5+6&lt;Mitarbeiter!$E$35),0,IF(AND(Mitarbeiter!$F$35&lt;&gt;"",GK$5&gt;Mitarbeiter!$F$35),0,IF(Planung!GK37="",$C37,IF(ISNUMBER(Planung!GK37),Planung!GK37,IF(UPPER(Planung!GK37)="H",$C37/2,0)))))))</f>
        <v>0</v>
      </c>
      <c r="GL37" s="27">
        <f>IF($A37="",0,IF(Mitarbeiter!$G$35=FALSE,0,IF(AND(Mitarbeiter!$E$35&lt;&gt;"",GL$5+6&lt;Mitarbeiter!$E$35),0,IF(AND(Mitarbeiter!$F$35&lt;&gt;"",GL$5&gt;Mitarbeiter!$F$35),0,IF(Planung!GL37="",$C37,IF(ISNUMBER(Planung!GL37),Planung!GL37,IF(UPPER(Planung!GL37)="H",$C37/2,0)))))))</f>
        <v>0</v>
      </c>
      <c r="GM37" s="27">
        <f>IF($A37="",0,IF(Mitarbeiter!$G$35=FALSE,0,IF(AND(Mitarbeiter!$E$35&lt;&gt;"",GM$5+6&lt;Mitarbeiter!$E$35),0,IF(AND(Mitarbeiter!$F$35&lt;&gt;"",GM$5&gt;Mitarbeiter!$F$35),0,IF(Planung!GM37="",$C37,IF(ISNUMBER(Planung!GM37),Planung!GM37,IF(UPPER(Planung!GM37)="H",$C37/2,0)))))))</f>
        <v>0</v>
      </c>
      <c r="GN37" s="27">
        <f>IF($A37="",0,IF(Mitarbeiter!$G$35=FALSE,0,IF(AND(Mitarbeiter!$E$35&lt;&gt;"",GN$5+6&lt;Mitarbeiter!$E$35),0,IF(AND(Mitarbeiter!$F$35&lt;&gt;"",GN$5&gt;Mitarbeiter!$F$35),0,IF(Planung!GN37="",$C37,IF(ISNUMBER(Planung!GN37),Planung!GN37,IF(UPPER(Planung!GN37)="H",$C37/2,0)))))))</f>
        <v>0</v>
      </c>
      <c r="GO37" s="27">
        <f>IF($A37="",0,IF(Mitarbeiter!$G$35=FALSE,0,IF(AND(Mitarbeiter!$E$35&lt;&gt;"",GO$5+6&lt;Mitarbeiter!$E$35),0,IF(AND(Mitarbeiter!$F$35&lt;&gt;"",GO$5&gt;Mitarbeiter!$F$35),0,IF(Planung!GO37="",$C37,IF(ISNUMBER(Planung!GO37),Planung!GO37,IF(UPPER(Planung!GO37)="H",$C37/2,0)))))))</f>
        <v>0</v>
      </c>
      <c r="GP37" s="27">
        <f>IF($A37="",0,IF(Mitarbeiter!$G$35=FALSE,0,IF(AND(Mitarbeiter!$E$35&lt;&gt;"",GP$5+6&lt;Mitarbeiter!$E$35),0,IF(AND(Mitarbeiter!$F$35&lt;&gt;"",GP$5&gt;Mitarbeiter!$F$35),0,IF(Planung!GP37="",$C37,IF(ISNUMBER(Planung!GP37),Planung!GP37,IF(UPPER(Planung!GP37)="H",$C37/2,0)))))))</f>
        <v>0</v>
      </c>
      <c r="GQ37" s="27">
        <f>IF($A37="",0,IF(Mitarbeiter!$G$35=FALSE,0,IF(AND(Mitarbeiter!$E$35&lt;&gt;"",GQ$5+6&lt;Mitarbeiter!$E$35),0,IF(AND(Mitarbeiter!$F$35&lt;&gt;"",GQ$5&gt;Mitarbeiter!$F$35),0,IF(Planung!GQ37="",$C37,IF(ISNUMBER(Planung!GQ37),Planung!GQ37,IF(UPPER(Planung!GQ37)="H",$C37/2,0)))))))</f>
        <v>0</v>
      </c>
      <c r="GR37" s="27">
        <f>IF($A37="",0,IF(Mitarbeiter!$G$35=FALSE,0,IF(AND(Mitarbeiter!$E$35&lt;&gt;"",GR$5+6&lt;Mitarbeiter!$E$35),0,IF(AND(Mitarbeiter!$F$35&lt;&gt;"",GR$5&gt;Mitarbeiter!$F$35),0,IF(Planung!GR37="",$C37,IF(ISNUMBER(Planung!GR37),Planung!GR37,IF(UPPER(Planung!GR37)="H",$C37/2,0)))))))</f>
        <v>0</v>
      </c>
      <c r="GS37" s="27">
        <f>IF($A37="",0,IF(Mitarbeiter!$G$35=FALSE,0,IF(AND(Mitarbeiter!$E$35&lt;&gt;"",GS$5+6&lt;Mitarbeiter!$E$35),0,IF(AND(Mitarbeiter!$F$35&lt;&gt;"",GS$5&gt;Mitarbeiter!$F$35),0,IF(Planung!GS37="",$C37,IF(ISNUMBER(Planung!GS37),Planung!GS37,IF(UPPER(Planung!GS37)="H",$C37/2,0)))))))</f>
        <v>0</v>
      </c>
      <c r="GT37" s="27">
        <f>IF($A37="",0,IF(Mitarbeiter!$G$35=FALSE,0,IF(AND(Mitarbeiter!$E$35&lt;&gt;"",GT$5+6&lt;Mitarbeiter!$E$35),0,IF(AND(Mitarbeiter!$F$35&lt;&gt;"",GT$5&gt;Mitarbeiter!$F$35),0,IF(Planung!GT37="",$C37,IF(ISNUMBER(Planung!GT37),Planung!GT37,IF(UPPER(Planung!GT37)="H",$C37/2,0)))))))</f>
        <v>0</v>
      </c>
      <c r="GU37" s="27">
        <f>IF($A37="",0,IF(Mitarbeiter!$G$35=FALSE,0,IF(AND(Mitarbeiter!$E$35&lt;&gt;"",GU$5+6&lt;Mitarbeiter!$E$35),0,IF(AND(Mitarbeiter!$F$35&lt;&gt;"",GU$5&gt;Mitarbeiter!$F$35),0,IF(Planung!GU37="",$C37,IF(ISNUMBER(Planung!GU37),Planung!GU37,IF(UPPER(Planung!GU37)="H",$C37/2,0)))))))</f>
        <v>0</v>
      </c>
      <c r="GV37" s="27">
        <f>IF($A37="",0,IF(Mitarbeiter!$G$35=FALSE,0,IF(AND(Mitarbeiter!$E$35&lt;&gt;"",GV$5+6&lt;Mitarbeiter!$E$35),0,IF(AND(Mitarbeiter!$F$35&lt;&gt;"",GV$5&gt;Mitarbeiter!$F$35),0,IF(Planung!GV37="",$C37,IF(ISNUMBER(Planung!GV37),Planung!GV37,IF(UPPER(Planung!GV37)="H",$C37/2,0)))))))</f>
        <v>0</v>
      </c>
      <c r="GW37" s="27">
        <f>IF($A37="",0,IF(Mitarbeiter!$G$35=FALSE,0,IF(AND(Mitarbeiter!$E$35&lt;&gt;"",GW$5+6&lt;Mitarbeiter!$E$35),0,IF(AND(Mitarbeiter!$F$35&lt;&gt;"",GW$5&gt;Mitarbeiter!$F$35),0,IF(Planung!GW37="",$C37,IF(ISNUMBER(Planung!GW37),Planung!GW37,IF(UPPER(Planung!GW37)="H",$C37/2,0)))))))</f>
        <v>0</v>
      </c>
      <c r="GX37" s="27">
        <f>IF($A37="",0,IF(Mitarbeiter!$G$35=FALSE,0,IF(AND(Mitarbeiter!$E$35&lt;&gt;"",GX$5+6&lt;Mitarbeiter!$E$35),0,IF(AND(Mitarbeiter!$F$35&lt;&gt;"",GX$5&gt;Mitarbeiter!$F$35),0,IF(Planung!GX37="",$C37,IF(ISNUMBER(Planung!GX37),Planung!GX37,IF(UPPER(Planung!GX37)="H",$C37/2,0)))))))</f>
        <v>0</v>
      </c>
      <c r="GY37" s="27">
        <f>IF($A37="",0,IF(Mitarbeiter!$G$35=FALSE,0,IF(AND(Mitarbeiter!$E$35&lt;&gt;"",GY$5+6&lt;Mitarbeiter!$E$35),0,IF(AND(Mitarbeiter!$F$35&lt;&gt;"",GY$5&gt;Mitarbeiter!$F$35),0,IF(Planung!GY37="",$C37,IF(ISNUMBER(Planung!GY37),Planung!GY37,IF(UPPER(Planung!GY37)="H",$C37/2,0)))))))</f>
        <v>0</v>
      </c>
      <c r="GZ37" s="27">
        <f>IF($A37="",0,IF(Mitarbeiter!$G$35=FALSE,0,IF(AND(Mitarbeiter!$E$35&lt;&gt;"",GZ$5+6&lt;Mitarbeiter!$E$35),0,IF(AND(Mitarbeiter!$F$35&lt;&gt;"",GZ$5&gt;Mitarbeiter!$F$35),0,IF(Planung!GZ37="",$C37,IF(ISNUMBER(Planung!GZ37),Planung!GZ37,IF(UPPER(Planung!GZ37)="H",$C37/2,0)))))))</f>
        <v>0</v>
      </c>
      <c r="HA37" s="27">
        <f>IF($A37="",0,IF(Mitarbeiter!$G$35=FALSE,0,IF(AND(Mitarbeiter!$E$35&lt;&gt;"",HA$5+6&lt;Mitarbeiter!$E$35),0,IF(AND(Mitarbeiter!$F$35&lt;&gt;"",HA$5&gt;Mitarbeiter!$F$35),0,IF(Planung!HA37="",$C37,IF(ISNUMBER(Planung!HA37),Planung!HA37,IF(UPPER(Planung!HA37)="H",$C37/2,0)))))))</f>
        <v>0</v>
      </c>
      <c r="HB37" s="27">
        <f>IF($A37="",0,IF(Mitarbeiter!$G$35=FALSE,0,IF(AND(Mitarbeiter!$E$35&lt;&gt;"",HB$5+6&lt;Mitarbeiter!$E$35),0,IF(AND(Mitarbeiter!$F$35&lt;&gt;"",HB$5&gt;Mitarbeiter!$F$35),0,IF(Planung!HB37="",$C37,IF(ISNUMBER(Planung!HB37),Planung!HB37,IF(UPPER(Planung!HB37)="H",$C37/2,0)))))))</f>
        <v>0</v>
      </c>
      <c r="HC37" s="27">
        <f>IF($A37="",0,IF(Mitarbeiter!$G$35=FALSE,0,IF(AND(Mitarbeiter!$E$35&lt;&gt;"",HC$5+6&lt;Mitarbeiter!$E$35),0,IF(AND(Mitarbeiter!$F$35&lt;&gt;"",HC$5&gt;Mitarbeiter!$F$35),0,IF(Planung!HC37="",$C37,IF(ISNUMBER(Planung!HC37),Planung!HC37,IF(UPPER(Planung!HC37)="H",$C37/2,0)))))))</f>
        <v>0</v>
      </c>
      <c r="HD37" s="27">
        <f>IF($A37="",0,IF(Mitarbeiter!$G$35=FALSE,0,IF(AND(Mitarbeiter!$E$35&lt;&gt;"",HD$5+6&lt;Mitarbeiter!$E$35),0,IF(AND(Mitarbeiter!$F$35&lt;&gt;"",HD$5&gt;Mitarbeiter!$F$35),0,IF(Planung!HD37="",$C37,IF(ISNUMBER(Planung!HD37),Planung!HD37,IF(UPPER(Planung!HD37)="H",$C37/2,0)))))))</f>
        <v>0</v>
      </c>
      <c r="HE37" s="27">
        <f>IF($A37="",0,IF(Mitarbeiter!$G$35=FALSE,0,IF(AND(Mitarbeiter!$E$35&lt;&gt;"",HE$5+6&lt;Mitarbeiter!$E$35),0,IF(AND(Mitarbeiter!$F$35&lt;&gt;"",HE$5&gt;Mitarbeiter!$F$35),0,IF(Planung!HE37="",$C37,IF(ISNUMBER(Planung!HE37),Planung!HE37,IF(UPPER(Planung!HE37)="H",$C37/2,0)))))))</f>
        <v>0</v>
      </c>
      <c r="HF37" s="27">
        <f>IF($A37="",0,IF(Mitarbeiter!$G$35=FALSE,0,IF(AND(Mitarbeiter!$E$35&lt;&gt;"",HF$5+6&lt;Mitarbeiter!$E$35),0,IF(AND(Mitarbeiter!$F$35&lt;&gt;"",HF$5&gt;Mitarbeiter!$F$35),0,IF(Planung!HF37="",$C37,IF(ISNUMBER(Planung!HF37),Planung!HF37,IF(UPPER(Planung!HF37)="H",$C37/2,0)))))))</f>
        <v>0</v>
      </c>
      <c r="HG37" s="27">
        <f>IF($A37="",0,IF(Mitarbeiter!$G$35=FALSE,0,IF(AND(Mitarbeiter!$E$35&lt;&gt;"",HG$5+6&lt;Mitarbeiter!$E$35),0,IF(AND(Mitarbeiter!$F$35&lt;&gt;"",HG$5&gt;Mitarbeiter!$F$35),0,IF(Planung!HG37="",$C37,IF(ISNUMBER(Planung!HG37),Planung!HG37,IF(UPPER(Planung!HG37)="H",$C37/2,0)))))))</f>
        <v>0</v>
      </c>
      <c r="HH37" s="27">
        <f>IF($A37="",0,IF(Mitarbeiter!$G$35=FALSE,0,IF(AND(Mitarbeiter!$E$35&lt;&gt;"",HH$5+6&lt;Mitarbeiter!$E$35),0,IF(AND(Mitarbeiter!$F$35&lt;&gt;"",HH$5&gt;Mitarbeiter!$F$35),0,IF(Planung!HH37="",$C37,IF(ISNUMBER(Planung!HH37),Planung!HH37,IF(UPPER(Planung!HH37)="H",$C37/2,0)))))))</f>
        <v>0</v>
      </c>
      <c r="HI37" s="27">
        <f>IF($A37="",0,IF(Mitarbeiter!$G$35=FALSE,0,IF(AND(Mitarbeiter!$E$35&lt;&gt;"",HI$5+6&lt;Mitarbeiter!$E$35),0,IF(AND(Mitarbeiter!$F$35&lt;&gt;"",HI$5&gt;Mitarbeiter!$F$35),0,IF(Planung!HI37="",$C37,IF(ISNUMBER(Planung!HI37),Planung!HI37,IF(UPPER(Planung!HI37)="H",$C37/2,0)))))))</f>
        <v>0</v>
      </c>
      <c r="HJ37" s="27">
        <f>IF($A37="",0,IF(Mitarbeiter!$G$35=FALSE,0,IF(AND(Mitarbeiter!$E$35&lt;&gt;"",HJ$5+6&lt;Mitarbeiter!$E$35),0,IF(AND(Mitarbeiter!$F$35&lt;&gt;"",HJ$5&gt;Mitarbeiter!$F$35),0,IF(Planung!HJ37="",$C37,IF(ISNUMBER(Planung!HJ37),Planung!HJ37,IF(UPPER(Planung!HJ37)="H",$C37/2,0)))))))</f>
        <v>0</v>
      </c>
      <c r="HK37" s="27">
        <f>IF($A37="",0,IF(Mitarbeiter!$G$35=FALSE,0,IF(AND(Mitarbeiter!$E$35&lt;&gt;"",HK$5+6&lt;Mitarbeiter!$E$35),0,IF(AND(Mitarbeiter!$F$35&lt;&gt;"",HK$5&gt;Mitarbeiter!$F$35),0,IF(Planung!HK37="",$C37,IF(ISNUMBER(Planung!HK37),Planung!HK37,IF(UPPER(Planung!HK37)="H",$C37/2,0)))))))</f>
        <v>0</v>
      </c>
      <c r="HL37" s="27">
        <f>IF($A37="",0,IF(Mitarbeiter!$G$35=FALSE,0,IF(AND(Mitarbeiter!$E$35&lt;&gt;"",HL$5+6&lt;Mitarbeiter!$E$35),0,IF(AND(Mitarbeiter!$F$35&lt;&gt;"",HL$5&gt;Mitarbeiter!$F$35),0,IF(Planung!HL37="",$C37,IF(ISNUMBER(Planung!HL37),Planung!HL37,IF(UPPER(Planung!HL37)="H",$C37/2,0)))))))</f>
        <v>0</v>
      </c>
      <c r="HM37" s="27">
        <f>IF($A37="",0,IF(Mitarbeiter!$G$35=FALSE,0,IF(AND(Mitarbeiter!$E$35&lt;&gt;"",HM$5+6&lt;Mitarbeiter!$E$35),0,IF(AND(Mitarbeiter!$F$35&lt;&gt;"",HM$5&gt;Mitarbeiter!$F$35),0,IF(Planung!HM37="",$C37,IF(ISNUMBER(Planung!HM37),Planung!HM37,IF(UPPER(Planung!HM37)="H",$C37/2,0)))))))</f>
        <v>0</v>
      </c>
      <c r="HN37" s="27">
        <f>IF($A37="",0,IF(Mitarbeiter!$G$35=FALSE,0,IF(AND(Mitarbeiter!$E$35&lt;&gt;"",HN$5+6&lt;Mitarbeiter!$E$35),0,IF(AND(Mitarbeiter!$F$35&lt;&gt;"",HN$5&gt;Mitarbeiter!$F$35),0,IF(Planung!HN37="",$C37,IF(ISNUMBER(Planung!HN37),Planung!HN37,IF(UPPER(Planung!HN37)="H",$C37/2,0)))))))</f>
        <v>0</v>
      </c>
      <c r="HO37" s="27">
        <f>IF($A37="",0,IF(Mitarbeiter!$G$35=FALSE,0,IF(AND(Mitarbeiter!$E$35&lt;&gt;"",HO$5+6&lt;Mitarbeiter!$E$35),0,IF(AND(Mitarbeiter!$F$35&lt;&gt;"",HO$5&gt;Mitarbeiter!$F$35),0,IF(Planung!HO37="",$C37,IF(ISNUMBER(Planung!HO37),Planung!HO37,IF(UPPER(Planung!HO37)="H",$C37/2,0)))))))</f>
        <v>0</v>
      </c>
      <c r="HP37" s="27">
        <f>IF($A37="",0,IF(Mitarbeiter!$G$35=FALSE,0,IF(AND(Mitarbeiter!$E$35&lt;&gt;"",HP$5+6&lt;Mitarbeiter!$E$35),0,IF(AND(Mitarbeiter!$F$35&lt;&gt;"",HP$5&gt;Mitarbeiter!$F$35),0,IF(Planung!HP37="",$C37,IF(ISNUMBER(Planung!HP37),Planung!HP37,IF(UPPER(Planung!HP37)="H",$C37/2,0)))))))</f>
        <v>0</v>
      </c>
      <c r="HQ37" s="27">
        <f>IF($A37="",0,IF(Mitarbeiter!$G$35=FALSE,0,IF(AND(Mitarbeiter!$E$35&lt;&gt;"",HQ$5+6&lt;Mitarbeiter!$E$35),0,IF(AND(Mitarbeiter!$F$35&lt;&gt;"",HQ$5&gt;Mitarbeiter!$F$35),0,IF(Planung!HQ37="",$C37,IF(ISNUMBER(Planung!HQ37),Planung!HQ37,IF(UPPER(Planung!HQ37)="H",$C37/2,0)))))))</f>
        <v>0</v>
      </c>
      <c r="HR37" s="27">
        <f>IF($A37="",0,IF(Mitarbeiter!$G$35=FALSE,0,IF(AND(Mitarbeiter!$E$35&lt;&gt;"",HR$5+6&lt;Mitarbeiter!$E$35),0,IF(AND(Mitarbeiter!$F$35&lt;&gt;"",HR$5&gt;Mitarbeiter!$F$35),0,IF(Planung!HR37="",$C37,IF(ISNUMBER(Planung!HR37),Planung!HR37,IF(UPPER(Planung!HR37)="H",$C37/2,0)))))))</f>
        <v>0</v>
      </c>
      <c r="HS37" s="27">
        <f>IF($A37="",0,IF(Mitarbeiter!$G$35=FALSE,0,IF(AND(Mitarbeiter!$E$35&lt;&gt;"",HS$5+6&lt;Mitarbeiter!$E$35),0,IF(AND(Mitarbeiter!$F$35&lt;&gt;"",HS$5&gt;Mitarbeiter!$F$35),0,IF(Planung!HS37="",$C37,IF(ISNUMBER(Planung!HS37),Planung!HS37,IF(UPPER(Planung!HS37)="H",$C37/2,0)))))))</f>
        <v>0</v>
      </c>
      <c r="HT37" s="27">
        <f>IF($A37="",0,IF(Mitarbeiter!$G$35=FALSE,0,IF(AND(Mitarbeiter!$E$35&lt;&gt;"",HT$5+6&lt;Mitarbeiter!$E$35),0,IF(AND(Mitarbeiter!$F$35&lt;&gt;"",HT$5&gt;Mitarbeiter!$F$35),0,IF(Planung!HT37="",$C37,IF(ISNUMBER(Planung!HT37),Planung!HT37,IF(UPPER(Planung!HT37)="H",$C37/2,0)))))))</f>
        <v>0</v>
      </c>
      <c r="HU37" s="27">
        <f>IF($A37="",0,IF(Mitarbeiter!$G$35=FALSE,0,IF(AND(Mitarbeiter!$E$35&lt;&gt;"",HU$5+6&lt;Mitarbeiter!$E$35),0,IF(AND(Mitarbeiter!$F$35&lt;&gt;"",HU$5&gt;Mitarbeiter!$F$35),0,IF(Planung!HU37="",$C37,IF(ISNUMBER(Planung!HU37),Planung!HU37,IF(UPPER(Planung!HU37)="H",$C37/2,0)))))))</f>
        <v>0</v>
      </c>
      <c r="HV37" s="27">
        <f>IF($A37="",0,IF(Mitarbeiter!$G$35=FALSE,0,IF(AND(Mitarbeiter!$E$35&lt;&gt;"",HV$5+6&lt;Mitarbeiter!$E$35),0,IF(AND(Mitarbeiter!$F$35&lt;&gt;"",HV$5&gt;Mitarbeiter!$F$35),0,IF(Planung!HV37="",$C37,IF(ISNUMBER(Planung!HV37),Planung!HV37,IF(UPPER(Planung!HV37)="H",$C37/2,0)))))))</f>
        <v>0</v>
      </c>
      <c r="HW37" s="27">
        <f>IF($A37="",0,IF(Mitarbeiter!$G$35=FALSE,0,IF(AND(Mitarbeiter!$E$35&lt;&gt;"",HW$5+6&lt;Mitarbeiter!$E$35),0,IF(AND(Mitarbeiter!$F$35&lt;&gt;"",HW$5&gt;Mitarbeiter!$F$35),0,IF(Planung!HW37="",$C37,IF(ISNUMBER(Planung!HW37),Planung!HW37,IF(UPPER(Planung!HW37)="H",$C37/2,0)))))))</f>
        <v>0</v>
      </c>
      <c r="HX37" s="27">
        <f>IF($A37="",0,IF(Mitarbeiter!$G$35=FALSE,0,IF(AND(Mitarbeiter!$E$35&lt;&gt;"",HX$5+6&lt;Mitarbeiter!$E$35),0,IF(AND(Mitarbeiter!$F$35&lt;&gt;"",HX$5&gt;Mitarbeiter!$F$35),0,IF(Planung!HX37="",$C37,IF(ISNUMBER(Planung!HX37),Planung!HX37,IF(UPPER(Planung!HX37)="H",$C37/2,0)))))))</f>
        <v>0</v>
      </c>
      <c r="HY37" s="27">
        <f>IF($A37="",0,IF(Mitarbeiter!$G$35=FALSE,0,IF(AND(Mitarbeiter!$E$35&lt;&gt;"",HY$5+6&lt;Mitarbeiter!$E$35),0,IF(AND(Mitarbeiter!$F$35&lt;&gt;"",HY$5&gt;Mitarbeiter!$F$35),0,IF(Planung!HY37="",$C37,IF(ISNUMBER(Planung!HY37),Planung!HY37,IF(UPPER(Planung!HY37)="H",$C37/2,0)))))))</f>
        <v>0</v>
      </c>
      <c r="HZ37" s="27">
        <f>IF($A37="",0,IF(Mitarbeiter!$G$35=FALSE,0,IF(AND(Mitarbeiter!$E$35&lt;&gt;"",HZ$5+6&lt;Mitarbeiter!$E$35),0,IF(AND(Mitarbeiter!$F$35&lt;&gt;"",HZ$5&gt;Mitarbeiter!$F$35),0,IF(Planung!HZ37="",$C37,IF(ISNUMBER(Planung!HZ37),Planung!HZ37,IF(UPPER(Planung!HZ37)="H",$C37/2,0)))))))</f>
        <v>0</v>
      </c>
      <c r="IA37" s="27">
        <f>IF($A37="",0,IF(Mitarbeiter!$G$35=FALSE,0,IF(AND(Mitarbeiter!$E$35&lt;&gt;"",IA$5+6&lt;Mitarbeiter!$E$35),0,IF(AND(Mitarbeiter!$F$35&lt;&gt;"",IA$5&gt;Mitarbeiter!$F$35),0,IF(Planung!IA37="",$C37,IF(ISNUMBER(Planung!IA37),Planung!IA37,IF(UPPER(Planung!IA37)="H",$C37/2,0)))))))</f>
        <v>0</v>
      </c>
    </row>
    <row r="38" spans="1:235" x14ac:dyDescent="0.25">
      <c r="A38" s="7" t="str">
        <f>Planung!A38</f>
        <v/>
      </c>
      <c r="B38" s="7" t="str">
        <f>Planung!B38</f>
        <v/>
      </c>
      <c r="C38" s="27">
        <f>N(Mitarbeiter!$D$36)</f>
        <v>0</v>
      </c>
      <c r="D38" s="27">
        <f>IF($A38="",0,IF(Mitarbeiter!$G$36=FALSE,0,IF(AND(Mitarbeiter!$E$36&lt;&gt;"",D$5+6&lt;Mitarbeiter!$E$36),0,IF(AND(Mitarbeiter!$F$36&lt;&gt;"",D$5&gt;Mitarbeiter!$F$36),0,IF(Planung!D38="",$C38,IF(ISNUMBER(Planung!D38),Planung!D38,IF(UPPER(Planung!D38)="H",$C38/2,0)))))))</f>
        <v>0</v>
      </c>
      <c r="E38" s="27">
        <f>IF($A38="",0,IF(Mitarbeiter!$G$36=FALSE,0,IF(AND(Mitarbeiter!$E$36&lt;&gt;"",E$5+6&lt;Mitarbeiter!$E$36),0,IF(AND(Mitarbeiter!$F$36&lt;&gt;"",E$5&gt;Mitarbeiter!$F$36),0,IF(Planung!E38="",$C38,IF(ISNUMBER(Planung!E38),Planung!E38,IF(UPPER(Planung!E38)="H",$C38/2,0)))))))</f>
        <v>0</v>
      </c>
      <c r="F38" s="27">
        <f>IF($A38="",0,IF(Mitarbeiter!$G$36=FALSE,0,IF(AND(Mitarbeiter!$E$36&lt;&gt;"",F$5+6&lt;Mitarbeiter!$E$36),0,IF(AND(Mitarbeiter!$F$36&lt;&gt;"",F$5&gt;Mitarbeiter!$F$36),0,IF(Planung!F38="",$C38,IF(ISNUMBER(Planung!F38),Planung!F38,IF(UPPER(Planung!F38)="H",$C38/2,0)))))))</f>
        <v>0</v>
      </c>
      <c r="G38" s="27">
        <f>IF($A38="",0,IF(Mitarbeiter!$G$36=FALSE,0,IF(AND(Mitarbeiter!$E$36&lt;&gt;"",G$5+6&lt;Mitarbeiter!$E$36),0,IF(AND(Mitarbeiter!$F$36&lt;&gt;"",G$5&gt;Mitarbeiter!$F$36),0,IF(Planung!G38="",$C38,IF(ISNUMBER(Planung!G38),Planung!G38,IF(UPPER(Planung!G38)="H",$C38/2,0)))))))</f>
        <v>0</v>
      </c>
      <c r="H38" s="27">
        <f>IF($A38="",0,IF(Mitarbeiter!$G$36=FALSE,0,IF(AND(Mitarbeiter!$E$36&lt;&gt;"",H$5+6&lt;Mitarbeiter!$E$36),0,IF(AND(Mitarbeiter!$F$36&lt;&gt;"",H$5&gt;Mitarbeiter!$F$36),0,IF(Planung!H38="",$C38,IF(ISNUMBER(Planung!H38),Planung!H38,IF(UPPER(Planung!H38)="H",$C38/2,0)))))))</f>
        <v>0</v>
      </c>
      <c r="I38" s="27">
        <f>IF($A38="",0,IF(Mitarbeiter!$G$36=FALSE,0,IF(AND(Mitarbeiter!$E$36&lt;&gt;"",I$5+6&lt;Mitarbeiter!$E$36),0,IF(AND(Mitarbeiter!$F$36&lt;&gt;"",I$5&gt;Mitarbeiter!$F$36),0,IF(Planung!I38="",$C38,IF(ISNUMBER(Planung!I38),Planung!I38,IF(UPPER(Planung!I38)="H",$C38/2,0)))))))</f>
        <v>0</v>
      </c>
      <c r="J38" s="27">
        <f>IF($A38="",0,IF(Mitarbeiter!$G$36=FALSE,0,IF(AND(Mitarbeiter!$E$36&lt;&gt;"",J$5+6&lt;Mitarbeiter!$E$36),0,IF(AND(Mitarbeiter!$F$36&lt;&gt;"",J$5&gt;Mitarbeiter!$F$36),0,IF(Planung!J38="",$C38,IF(ISNUMBER(Planung!J38),Planung!J38,IF(UPPER(Planung!J38)="H",$C38/2,0)))))))</f>
        <v>0</v>
      </c>
      <c r="K38" s="27">
        <f>IF($A38="",0,IF(Mitarbeiter!$G$36=FALSE,0,IF(AND(Mitarbeiter!$E$36&lt;&gt;"",K$5+6&lt;Mitarbeiter!$E$36),0,IF(AND(Mitarbeiter!$F$36&lt;&gt;"",K$5&gt;Mitarbeiter!$F$36),0,IF(Planung!K38="",$C38,IF(ISNUMBER(Planung!K38),Planung!K38,IF(UPPER(Planung!K38)="H",$C38/2,0)))))))</f>
        <v>0</v>
      </c>
      <c r="L38" s="27">
        <f>IF($A38="",0,IF(Mitarbeiter!$G$36=FALSE,0,IF(AND(Mitarbeiter!$E$36&lt;&gt;"",L$5+6&lt;Mitarbeiter!$E$36),0,IF(AND(Mitarbeiter!$F$36&lt;&gt;"",L$5&gt;Mitarbeiter!$F$36),0,IF(Planung!L38="",$C38,IF(ISNUMBER(Planung!L38),Planung!L38,IF(UPPER(Planung!L38)="H",$C38/2,0)))))))</f>
        <v>0</v>
      </c>
      <c r="M38" s="27">
        <f>IF($A38="",0,IF(Mitarbeiter!$G$36=FALSE,0,IF(AND(Mitarbeiter!$E$36&lt;&gt;"",M$5+6&lt;Mitarbeiter!$E$36),0,IF(AND(Mitarbeiter!$F$36&lt;&gt;"",M$5&gt;Mitarbeiter!$F$36),0,IF(Planung!M38="",$C38,IF(ISNUMBER(Planung!M38),Planung!M38,IF(UPPER(Planung!M38)="H",$C38/2,0)))))))</f>
        <v>0</v>
      </c>
      <c r="N38" s="27">
        <f>IF($A38="",0,IF(Mitarbeiter!$G$36=FALSE,0,IF(AND(Mitarbeiter!$E$36&lt;&gt;"",N$5+6&lt;Mitarbeiter!$E$36),0,IF(AND(Mitarbeiter!$F$36&lt;&gt;"",N$5&gt;Mitarbeiter!$F$36),0,IF(Planung!N38="",$C38,IF(ISNUMBER(Planung!N38),Planung!N38,IF(UPPER(Planung!N38)="H",$C38/2,0)))))))</f>
        <v>0</v>
      </c>
      <c r="O38" s="27">
        <f>IF($A38="",0,IF(Mitarbeiter!$G$36=FALSE,0,IF(AND(Mitarbeiter!$E$36&lt;&gt;"",O$5+6&lt;Mitarbeiter!$E$36),0,IF(AND(Mitarbeiter!$F$36&lt;&gt;"",O$5&gt;Mitarbeiter!$F$36),0,IF(Planung!O38="",$C38,IF(ISNUMBER(Planung!O38),Planung!O38,IF(UPPER(Planung!O38)="H",$C38/2,0)))))))</f>
        <v>0</v>
      </c>
      <c r="P38" s="27">
        <f>IF($A38="",0,IF(Mitarbeiter!$G$36=FALSE,0,IF(AND(Mitarbeiter!$E$36&lt;&gt;"",P$5+6&lt;Mitarbeiter!$E$36),0,IF(AND(Mitarbeiter!$F$36&lt;&gt;"",P$5&gt;Mitarbeiter!$F$36),0,IF(Planung!P38="",$C38,IF(ISNUMBER(Planung!P38),Planung!P38,IF(UPPER(Planung!P38)="H",$C38/2,0)))))))</f>
        <v>0</v>
      </c>
      <c r="Q38" s="27">
        <f>IF($A38="",0,IF(Mitarbeiter!$G$36=FALSE,0,IF(AND(Mitarbeiter!$E$36&lt;&gt;"",Q$5+6&lt;Mitarbeiter!$E$36),0,IF(AND(Mitarbeiter!$F$36&lt;&gt;"",Q$5&gt;Mitarbeiter!$F$36),0,IF(Planung!Q38="",$C38,IF(ISNUMBER(Planung!Q38),Planung!Q38,IF(UPPER(Planung!Q38)="H",$C38/2,0)))))))</f>
        <v>0</v>
      </c>
      <c r="R38" s="27">
        <f>IF($A38="",0,IF(Mitarbeiter!$G$36=FALSE,0,IF(AND(Mitarbeiter!$E$36&lt;&gt;"",R$5+6&lt;Mitarbeiter!$E$36),0,IF(AND(Mitarbeiter!$F$36&lt;&gt;"",R$5&gt;Mitarbeiter!$F$36),0,IF(Planung!R38="",$C38,IF(ISNUMBER(Planung!R38),Planung!R38,IF(UPPER(Planung!R38)="H",$C38/2,0)))))))</f>
        <v>0</v>
      </c>
      <c r="S38" s="27">
        <f>IF($A38="",0,IF(Mitarbeiter!$G$36=FALSE,0,IF(AND(Mitarbeiter!$E$36&lt;&gt;"",S$5+6&lt;Mitarbeiter!$E$36),0,IF(AND(Mitarbeiter!$F$36&lt;&gt;"",S$5&gt;Mitarbeiter!$F$36),0,IF(Planung!S38="",$C38,IF(ISNUMBER(Planung!S38),Planung!S38,IF(UPPER(Planung!S38)="H",$C38/2,0)))))))</f>
        <v>0</v>
      </c>
      <c r="T38" s="27">
        <f>IF($A38="",0,IF(Mitarbeiter!$G$36=FALSE,0,IF(AND(Mitarbeiter!$E$36&lt;&gt;"",T$5+6&lt;Mitarbeiter!$E$36),0,IF(AND(Mitarbeiter!$F$36&lt;&gt;"",T$5&gt;Mitarbeiter!$F$36),0,IF(Planung!T38="",$C38,IF(ISNUMBER(Planung!T38),Planung!T38,IF(UPPER(Planung!T38)="H",$C38/2,0)))))))</f>
        <v>0</v>
      </c>
      <c r="U38" s="27">
        <f>IF($A38="",0,IF(Mitarbeiter!$G$36=FALSE,0,IF(AND(Mitarbeiter!$E$36&lt;&gt;"",U$5+6&lt;Mitarbeiter!$E$36),0,IF(AND(Mitarbeiter!$F$36&lt;&gt;"",U$5&gt;Mitarbeiter!$F$36),0,IF(Planung!U38="",$C38,IF(ISNUMBER(Planung!U38),Planung!U38,IF(UPPER(Planung!U38)="H",$C38/2,0)))))))</f>
        <v>0</v>
      </c>
      <c r="V38" s="27">
        <f>IF($A38="",0,IF(Mitarbeiter!$G$36=FALSE,0,IF(AND(Mitarbeiter!$E$36&lt;&gt;"",V$5+6&lt;Mitarbeiter!$E$36),0,IF(AND(Mitarbeiter!$F$36&lt;&gt;"",V$5&gt;Mitarbeiter!$F$36),0,IF(Planung!V38="",$C38,IF(ISNUMBER(Planung!V38),Planung!V38,IF(UPPER(Planung!V38)="H",$C38/2,0)))))))</f>
        <v>0</v>
      </c>
      <c r="W38" s="27">
        <f>IF($A38="",0,IF(Mitarbeiter!$G$36=FALSE,0,IF(AND(Mitarbeiter!$E$36&lt;&gt;"",W$5+6&lt;Mitarbeiter!$E$36),0,IF(AND(Mitarbeiter!$F$36&lt;&gt;"",W$5&gt;Mitarbeiter!$F$36),0,IF(Planung!W38="",$C38,IF(ISNUMBER(Planung!W38),Planung!W38,IF(UPPER(Planung!W38)="H",$C38/2,0)))))))</f>
        <v>0</v>
      </c>
      <c r="X38" s="27">
        <f>IF($A38="",0,IF(Mitarbeiter!$G$36=FALSE,0,IF(AND(Mitarbeiter!$E$36&lt;&gt;"",X$5+6&lt;Mitarbeiter!$E$36),0,IF(AND(Mitarbeiter!$F$36&lt;&gt;"",X$5&gt;Mitarbeiter!$F$36),0,IF(Planung!X38="",$C38,IF(ISNUMBER(Planung!X38),Planung!X38,IF(UPPER(Planung!X38)="H",$C38/2,0)))))))</f>
        <v>0</v>
      </c>
      <c r="Y38" s="27">
        <f>IF($A38="",0,IF(Mitarbeiter!$G$36=FALSE,0,IF(AND(Mitarbeiter!$E$36&lt;&gt;"",Y$5+6&lt;Mitarbeiter!$E$36),0,IF(AND(Mitarbeiter!$F$36&lt;&gt;"",Y$5&gt;Mitarbeiter!$F$36),0,IF(Planung!Y38="",$C38,IF(ISNUMBER(Planung!Y38),Planung!Y38,IF(UPPER(Planung!Y38)="H",$C38/2,0)))))))</f>
        <v>0</v>
      </c>
      <c r="Z38" s="27">
        <f>IF($A38="",0,IF(Mitarbeiter!$G$36=FALSE,0,IF(AND(Mitarbeiter!$E$36&lt;&gt;"",Z$5+6&lt;Mitarbeiter!$E$36),0,IF(AND(Mitarbeiter!$F$36&lt;&gt;"",Z$5&gt;Mitarbeiter!$F$36),0,IF(Planung!Z38="",$C38,IF(ISNUMBER(Planung!Z38),Planung!Z38,IF(UPPER(Planung!Z38)="H",$C38/2,0)))))))</f>
        <v>0</v>
      </c>
      <c r="AA38" s="27">
        <f>IF($A38="",0,IF(Mitarbeiter!$G$36=FALSE,0,IF(AND(Mitarbeiter!$E$36&lt;&gt;"",AA$5+6&lt;Mitarbeiter!$E$36),0,IF(AND(Mitarbeiter!$F$36&lt;&gt;"",AA$5&gt;Mitarbeiter!$F$36),0,IF(Planung!AA38="",$C38,IF(ISNUMBER(Planung!AA38),Planung!AA38,IF(UPPER(Planung!AA38)="H",$C38/2,0)))))))</f>
        <v>0</v>
      </c>
      <c r="AB38" s="27">
        <f>IF($A38="",0,IF(Mitarbeiter!$G$36=FALSE,0,IF(AND(Mitarbeiter!$E$36&lt;&gt;"",AB$5+6&lt;Mitarbeiter!$E$36),0,IF(AND(Mitarbeiter!$F$36&lt;&gt;"",AB$5&gt;Mitarbeiter!$F$36),0,IF(Planung!AB38="",$C38,IF(ISNUMBER(Planung!AB38),Planung!AB38,IF(UPPER(Planung!AB38)="H",$C38/2,0)))))))</f>
        <v>0</v>
      </c>
      <c r="AC38" s="27">
        <f>IF($A38="",0,IF(Mitarbeiter!$G$36=FALSE,0,IF(AND(Mitarbeiter!$E$36&lt;&gt;"",AC$5+6&lt;Mitarbeiter!$E$36),0,IF(AND(Mitarbeiter!$F$36&lt;&gt;"",AC$5&gt;Mitarbeiter!$F$36),0,IF(Planung!AC38="",$C38,IF(ISNUMBER(Planung!AC38),Planung!AC38,IF(UPPER(Planung!AC38)="H",$C38/2,0)))))))</f>
        <v>0</v>
      </c>
      <c r="AD38" s="27">
        <f>IF($A38="",0,IF(Mitarbeiter!$G$36=FALSE,0,IF(AND(Mitarbeiter!$E$36&lt;&gt;"",AD$5+6&lt;Mitarbeiter!$E$36),0,IF(AND(Mitarbeiter!$F$36&lt;&gt;"",AD$5&gt;Mitarbeiter!$F$36),0,IF(Planung!AD38="",$C38,IF(ISNUMBER(Planung!AD38),Planung!AD38,IF(UPPER(Planung!AD38)="H",$C38/2,0)))))))</f>
        <v>0</v>
      </c>
      <c r="AE38" s="27">
        <f>IF($A38="",0,IF(Mitarbeiter!$G$36=FALSE,0,IF(AND(Mitarbeiter!$E$36&lt;&gt;"",AE$5+6&lt;Mitarbeiter!$E$36),0,IF(AND(Mitarbeiter!$F$36&lt;&gt;"",AE$5&gt;Mitarbeiter!$F$36),0,IF(Planung!AE38="",$C38,IF(ISNUMBER(Planung!AE38),Planung!AE38,IF(UPPER(Planung!AE38)="H",$C38/2,0)))))))</f>
        <v>0</v>
      </c>
      <c r="AF38" s="27">
        <f>IF($A38="",0,IF(Mitarbeiter!$G$36=FALSE,0,IF(AND(Mitarbeiter!$E$36&lt;&gt;"",AF$5+6&lt;Mitarbeiter!$E$36),0,IF(AND(Mitarbeiter!$F$36&lt;&gt;"",AF$5&gt;Mitarbeiter!$F$36),0,IF(Planung!AF38="",$C38,IF(ISNUMBER(Planung!AF38),Planung!AF38,IF(UPPER(Planung!AF38)="H",$C38/2,0)))))))</f>
        <v>0</v>
      </c>
      <c r="AG38" s="27">
        <f>IF($A38="",0,IF(Mitarbeiter!$G$36=FALSE,0,IF(AND(Mitarbeiter!$E$36&lt;&gt;"",AG$5+6&lt;Mitarbeiter!$E$36),0,IF(AND(Mitarbeiter!$F$36&lt;&gt;"",AG$5&gt;Mitarbeiter!$F$36),0,IF(Planung!AG38="",$C38,IF(ISNUMBER(Planung!AG38),Planung!AG38,IF(UPPER(Planung!AG38)="H",$C38/2,0)))))))</f>
        <v>0</v>
      </c>
      <c r="AH38" s="27">
        <f>IF($A38="",0,IF(Mitarbeiter!$G$36=FALSE,0,IF(AND(Mitarbeiter!$E$36&lt;&gt;"",AH$5+6&lt;Mitarbeiter!$E$36),0,IF(AND(Mitarbeiter!$F$36&lt;&gt;"",AH$5&gt;Mitarbeiter!$F$36),0,IF(Planung!AH38="",$C38,IF(ISNUMBER(Planung!AH38),Planung!AH38,IF(UPPER(Planung!AH38)="H",$C38/2,0)))))))</f>
        <v>0</v>
      </c>
      <c r="AI38" s="27">
        <f>IF($A38="",0,IF(Mitarbeiter!$G$36=FALSE,0,IF(AND(Mitarbeiter!$E$36&lt;&gt;"",AI$5+6&lt;Mitarbeiter!$E$36),0,IF(AND(Mitarbeiter!$F$36&lt;&gt;"",AI$5&gt;Mitarbeiter!$F$36),0,IF(Planung!AI38="",$C38,IF(ISNUMBER(Planung!AI38),Planung!AI38,IF(UPPER(Planung!AI38)="H",$C38/2,0)))))))</f>
        <v>0</v>
      </c>
      <c r="AJ38" s="27">
        <f>IF($A38="",0,IF(Mitarbeiter!$G$36=FALSE,0,IF(AND(Mitarbeiter!$E$36&lt;&gt;"",AJ$5+6&lt;Mitarbeiter!$E$36),0,IF(AND(Mitarbeiter!$F$36&lt;&gt;"",AJ$5&gt;Mitarbeiter!$F$36),0,IF(Planung!AJ38="",$C38,IF(ISNUMBER(Planung!AJ38),Planung!AJ38,IF(UPPER(Planung!AJ38)="H",$C38/2,0)))))))</f>
        <v>0</v>
      </c>
      <c r="AK38" s="27">
        <f>IF($A38="",0,IF(Mitarbeiter!$G$36=FALSE,0,IF(AND(Mitarbeiter!$E$36&lt;&gt;"",AK$5+6&lt;Mitarbeiter!$E$36),0,IF(AND(Mitarbeiter!$F$36&lt;&gt;"",AK$5&gt;Mitarbeiter!$F$36),0,IF(Planung!AK38="",$C38,IF(ISNUMBER(Planung!AK38),Planung!AK38,IF(UPPER(Planung!AK38)="H",$C38/2,0)))))))</f>
        <v>0</v>
      </c>
      <c r="AL38" s="27">
        <f>IF($A38="",0,IF(Mitarbeiter!$G$36=FALSE,0,IF(AND(Mitarbeiter!$E$36&lt;&gt;"",AL$5+6&lt;Mitarbeiter!$E$36),0,IF(AND(Mitarbeiter!$F$36&lt;&gt;"",AL$5&gt;Mitarbeiter!$F$36),0,IF(Planung!AL38="",$C38,IF(ISNUMBER(Planung!AL38),Planung!AL38,IF(UPPER(Planung!AL38)="H",$C38/2,0)))))))</f>
        <v>0</v>
      </c>
      <c r="AM38" s="27">
        <f>IF($A38="",0,IF(Mitarbeiter!$G$36=FALSE,0,IF(AND(Mitarbeiter!$E$36&lt;&gt;"",AM$5+6&lt;Mitarbeiter!$E$36),0,IF(AND(Mitarbeiter!$F$36&lt;&gt;"",AM$5&gt;Mitarbeiter!$F$36),0,IF(Planung!AM38="",$C38,IF(ISNUMBER(Planung!AM38),Planung!AM38,IF(UPPER(Planung!AM38)="H",$C38/2,0)))))))</f>
        <v>0</v>
      </c>
      <c r="AN38" s="27">
        <f>IF($A38="",0,IF(Mitarbeiter!$G$36=FALSE,0,IF(AND(Mitarbeiter!$E$36&lt;&gt;"",AN$5+6&lt;Mitarbeiter!$E$36),0,IF(AND(Mitarbeiter!$F$36&lt;&gt;"",AN$5&gt;Mitarbeiter!$F$36),0,IF(Planung!AN38="",$C38,IF(ISNUMBER(Planung!AN38),Planung!AN38,IF(UPPER(Planung!AN38)="H",$C38/2,0)))))))</f>
        <v>0</v>
      </c>
      <c r="AO38" s="27">
        <f>IF($A38="",0,IF(Mitarbeiter!$G$36=FALSE,0,IF(AND(Mitarbeiter!$E$36&lt;&gt;"",AO$5+6&lt;Mitarbeiter!$E$36),0,IF(AND(Mitarbeiter!$F$36&lt;&gt;"",AO$5&gt;Mitarbeiter!$F$36),0,IF(Planung!AO38="",$C38,IF(ISNUMBER(Planung!AO38),Planung!AO38,IF(UPPER(Planung!AO38)="H",$C38/2,0)))))))</f>
        <v>0</v>
      </c>
      <c r="AP38" s="27">
        <f>IF($A38="",0,IF(Mitarbeiter!$G$36=FALSE,0,IF(AND(Mitarbeiter!$E$36&lt;&gt;"",AP$5+6&lt;Mitarbeiter!$E$36),0,IF(AND(Mitarbeiter!$F$36&lt;&gt;"",AP$5&gt;Mitarbeiter!$F$36),0,IF(Planung!AP38="",$C38,IF(ISNUMBER(Planung!AP38),Planung!AP38,IF(UPPER(Planung!AP38)="H",$C38/2,0)))))))</f>
        <v>0</v>
      </c>
      <c r="AQ38" s="27">
        <f>IF($A38="",0,IF(Mitarbeiter!$G$36=FALSE,0,IF(AND(Mitarbeiter!$E$36&lt;&gt;"",AQ$5+6&lt;Mitarbeiter!$E$36),0,IF(AND(Mitarbeiter!$F$36&lt;&gt;"",AQ$5&gt;Mitarbeiter!$F$36),0,IF(Planung!AQ38="",$C38,IF(ISNUMBER(Planung!AQ38),Planung!AQ38,IF(UPPER(Planung!AQ38)="H",$C38/2,0)))))))</f>
        <v>0</v>
      </c>
      <c r="AR38" s="27">
        <f>IF($A38="",0,IF(Mitarbeiter!$G$36=FALSE,0,IF(AND(Mitarbeiter!$E$36&lt;&gt;"",AR$5+6&lt;Mitarbeiter!$E$36),0,IF(AND(Mitarbeiter!$F$36&lt;&gt;"",AR$5&gt;Mitarbeiter!$F$36),0,IF(Planung!AR38="",$C38,IF(ISNUMBER(Planung!AR38),Planung!AR38,IF(UPPER(Planung!AR38)="H",$C38/2,0)))))))</f>
        <v>0</v>
      </c>
      <c r="AS38" s="27">
        <f>IF($A38="",0,IF(Mitarbeiter!$G$36=FALSE,0,IF(AND(Mitarbeiter!$E$36&lt;&gt;"",AS$5+6&lt;Mitarbeiter!$E$36),0,IF(AND(Mitarbeiter!$F$36&lt;&gt;"",AS$5&gt;Mitarbeiter!$F$36),0,IF(Planung!AS38="",$C38,IF(ISNUMBER(Planung!AS38),Planung!AS38,IF(UPPER(Planung!AS38)="H",$C38/2,0)))))))</f>
        <v>0</v>
      </c>
      <c r="AT38" s="27">
        <f>IF($A38="",0,IF(Mitarbeiter!$G$36=FALSE,0,IF(AND(Mitarbeiter!$E$36&lt;&gt;"",AT$5+6&lt;Mitarbeiter!$E$36),0,IF(AND(Mitarbeiter!$F$36&lt;&gt;"",AT$5&gt;Mitarbeiter!$F$36),0,IF(Planung!AT38="",$C38,IF(ISNUMBER(Planung!AT38),Planung!AT38,IF(UPPER(Planung!AT38)="H",$C38/2,0)))))))</f>
        <v>0</v>
      </c>
      <c r="AU38" s="27">
        <f>IF($A38="",0,IF(Mitarbeiter!$G$36=FALSE,0,IF(AND(Mitarbeiter!$E$36&lt;&gt;"",AU$5+6&lt;Mitarbeiter!$E$36),0,IF(AND(Mitarbeiter!$F$36&lt;&gt;"",AU$5&gt;Mitarbeiter!$F$36),0,IF(Planung!AU38="",$C38,IF(ISNUMBER(Planung!AU38),Planung!AU38,IF(UPPER(Planung!AU38)="H",$C38/2,0)))))))</f>
        <v>0</v>
      </c>
      <c r="AV38" s="27">
        <f>IF($A38="",0,IF(Mitarbeiter!$G$36=FALSE,0,IF(AND(Mitarbeiter!$E$36&lt;&gt;"",AV$5+6&lt;Mitarbeiter!$E$36),0,IF(AND(Mitarbeiter!$F$36&lt;&gt;"",AV$5&gt;Mitarbeiter!$F$36),0,IF(Planung!AV38="",$C38,IF(ISNUMBER(Planung!AV38),Planung!AV38,IF(UPPER(Planung!AV38)="H",$C38/2,0)))))))</f>
        <v>0</v>
      </c>
      <c r="AW38" s="27">
        <f>IF($A38="",0,IF(Mitarbeiter!$G$36=FALSE,0,IF(AND(Mitarbeiter!$E$36&lt;&gt;"",AW$5+6&lt;Mitarbeiter!$E$36),0,IF(AND(Mitarbeiter!$F$36&lt;&gt;"",AW$5&gt;Mitarbeiter!$F$36),0,IF(Planung!AW38="",$C38,IF(ISNUMBER(Planung!AW38),Planung!AW38,IF(UPPER(Planung!AW38)="H",$C38/2,0)))))))</f>
        <v>0</v>
      </c>
      <c r="AX38" s="27">
        <f>IF($A38="",0,IF(Mitarbeiter!$G$36=FALSE,0,IF(AND(Mitarbeiter!$E$36&lt;&gt;"",AX$5+6&lt;Mitarbeiter!$E$36),0,IF(AND(Mitarbeiter!$F$36&lt;&gt;"",AX$5&gt;Mitarbeiter!$F$36),0,IF(Planung!AX38="",$C38,IF(ISNUMBER(Planung!AX38),Planung!AX38,IF(UPPER(Planung!AX38)="H",$C38/2,0)))))))</f>
        <v>0</v>
      </c>
      <c r="AY38" s="27">
        <f>IF($A38="",0,IF(Mitarbeiter!$G$36=FALSE,0,IF(AND(Mitarbeiter!$E$36&lt;&gt;"",AY$5+6&lt;Mitarbeiter!$E$36),0,IF(AND(Mitarbeiter!$F$36&lt;&gt;"",AY$5&gt;Mitarbeiter!$F$36),0,IF(Planung!AY38="",$C38,IF(ISNUMBER(Planung!AY38),Planung!AY38,IF(UPPER(Planung!AY38)="H",$C38/2,0)))))))</f>
        <v>0</v>
      </c>
      <c r="AZ38" s="27">
        <f>IF($A38="",0,IF(Mitarbeiter!$G$36=FALSE,0,IF(AND(Mitarbeiter!$E$36&lt;&gt;"",AZ$5+6&lt;Mitarbeiter!$E$36),0,IF(AND(Mitarbeiter!$F$36&lt;&gt;"",AZ$5&gt;Mitarbeiter!$F$36),0,IF(Planung!AZ38="",$C38,IF(ISNUMBER(Planung!AZ38),Planung!AZ38,IF(UPPER(Planung!AZ38)="H",$C38/2,0)))))))</f>
        <v>0</v>
      </c>
      <c r="BA38" s="27">
        <f>IF($A38="",0,IF(Mitarbeiter!$G$36=FALSE,0,IF(AND(Mitarbeiter!$E$36&lt;&gt;"",BA$5+6&lt;Mitarbeiter!$E$36),0,IF(AND(Mitarbeiter!$F$36&lt;&gt;"",BA$5&gt;Mitarbeiter!$F$36),0,IF(Planung!BA38="",$C38,IF(ISNUMBER(Planung!BA38),Planung!BA38,IF(UPPER(Planung!BA38)="H",$C38/2,0)))))))</f>
        <v>0</v>
      </c>
      <c r="BB38" s="27">
        <f>IF($A38="",0,IF(Mitarbeiter!$G$36=FALSE,0,IF(AND(Mitarbeiter!$E$36&lt;&gt;"",BB$5+6&lt;Mitarbeiter!$E$36),0,IF(AND(Mitarbeiter!$F$36&lt;&gt;"",BB$5&gt;Mitarbeiter!$F$36),0,IF(Planung!BB38="",$C38,IF(ISNUMBER(Planung!BB38),Planung!BB38,IF(UPPER(Planung!BB38)="H",$C38/2,0)))))))</f>
        <v>0</v>
      </c>
      <c r="BC38" s="27">
        <f>IF($A38="",0,IF(Mitarbeiter!$G$36=FALSE,0,IF(AND(Mitarbeiter!$E$36&lt;&gt;"",BC$5+6&lt;Mitarbeiter!$E$36),0,IF(AND(Mitarbeiter!$F$36&lt;&gt;"",BC$5&gt;Mitarbeiter!$F$36),0,IF(Planung!BC38="",$C38,IF(ISNUMBER(Planung!BC38),Planung!BC38,IF(UPPER(Planung!BC38)="H",$C38/2,0)))))))</f>
        <v>0</v>
      </c>
      <c r="BD38" s="27">
        <f>IF($A38="",0,IF(Mitarbeiter!$G$36=FALSE,0,IF(AND(Mitarbeiter!$E$36&lt;&gt;"",BD$5+6&lt;Mitarbeiter!$E$36),0,IF(AND(Mitarbeiter!$F$36&lt;&gt;"",BD$5&gt;Mitarbeiter!$F$36),0,IF(Planung!BD38="",$C38,IF(ISNUMBER(Planung!BD38),Planung!BD38,IF(UPPER(Planung!BD38)="H",$C38/2,0)))))))</f>
        <v>0</v>
      </c>
      <c r="BE38" s="27">
        <f>IF($A38="",0,IF(Mitarbeiter!$G$36=FALSE,0,IF(AND(Mitarbeiter!$E$36&lt;&gt;"",BE$5+6&lt;Mitarbeiter!$E$36),0,IF(AND(Mitarbeiter!$F$36&lt;&gt;"",BE$5&gt;Mitarbeiter!$F$36),0,IF(Planung!BE38="",$C38,IF(ISNUMBER(Planung!BE38),Planung!BE38,IF(UPPER(Planung!BE38)="H",$C38/2,0)))))))</f>
        <v>0</v>
      </c>
      <c r="BF38" s="27">
        <f>IF($A38="",0,IF(Mitarbeiter!$G$36=FALSE,0,IF(AND(Mitarbeiter!$E$36&lt;&gt;"",BF$5+6&lt;Mitarbeiter!$E$36),0,IF(AND(Mitarbeiter!$F$36&lt;&gt;"",BF$5&gt;Mitarbeiter!$F$36),0,IF(Planung!BF38="",$C38,IF(ISNUMBER(Planung!BF38),Planung!BF38,IF(UPPER(Planung!BF38)="H",$C38/2,0)))))))</f>
        <v>0</v>
      </c>
      <c r="BG38" s="27">
        <f>IF($A38="",0,IF(Mitarbeiter!$G$36=FALSE,0,IF(AND(Mitarbeiter!$E$36&lt;&gt;"",BG$5+6&lt;Mitarbeiter!$E$36),0,IF(AND(Mitarbeiter!$F$36&lt;&gt;"",BG$5&gt;Mitarbeiter!$F$36),0,IF(Planung!BG38="",$C38,IF(ISNUMBER(Planung!BG38),Planung!BG38,IF(UPPER(Planung!BG38)="H",$C38/2,0)))))))</f>
        <v>0</v>
      </c>
      <c r="BH38" s="27">
        <f>IF($A38="",0,IF(Mitarbeiter!$G$36=FALSE,0,IF(AND(Mitarbeiter!$E$36&lt;&gt;"",BH$5+6&lt;Mitarbeiter!$E$36),0,IF(AND(Mitarbeiter!$F$36&lt;&gt;"",BH$5&gt;Mitarbeiter!$F$36),0,IF(Planung!BH38="",$C38,IF(ISNUMBER(Planung!BH38),Planung!BH38,IF(UPPER(Planung!BH38)="H",$C38/2,0)))))))</f>
        <v>0</v>
      </c>
      <c r="BI38" s="27">
        <f>IF($A38="",0,IF(Mitarbeiter!$G$36=FALSE,0,IF(AND(Mitarbeiter!$E$36&lt;&gt;"",BI$5+6&lt;Mitarbeiter!$E$36),0,IF(AND(Mitarbeiter!$F$36&lt;&gt;"",BI$5&gt;Mitarbeiter!$F$36),0,IF(Planung!BI38="",$C38,IF(ISNUMBER(Planung!BI38),Planung!BI38,IF(UPPER(Planung!BI38)="H",$C38/2,0)))))))</f>
        <v>0</v>
      </c>
      <c r="BJ38" s="27">
        <f>IF($A38="",0,IF(Mitarbeiter!$G$36=FALSE,0,IF(AND(Mitarbeiter!$E$36&lt;&gt;"",BJ$5+6&lt;Mitarbeiter!$E$36),0,IF(AND(Mitarbeiter!$F$36&lt;&gt;"",BJ$5&gt;Mitarbeiter!$F$36),0,IF(Planung!BJ38="",$C38,IF(ISNUMBER(Planung!BJ38),Planung!BJ38,IF(UPPER(Planung!BJ38)="H",$C38/2,0)))))))</f>
        <v>0</v>
      </c>
      <c r="BK38" s="27">
        <f>IF($A38="",0,IF(Mitarbeiter!$G$36=FALSE,0,IF(AND(Mitarbeiter!$E$36&lt;&gt;"",BK$5+6&lt;Mitarbeiter!$E$36),0,IF(AND(Mitarbeiter!$F$36&lt;&gt;"",BK$5&gt;Mitarbeiter!$F$36),0,IF(Planung!BK38="",$C38,IF(ISNUMBER(Planung!BK38),Planung!BK38,IF(UPPER(Planung!BK38)="H",$C38/2,0)))))))</f>
        <v>0</v>
      </c>
      <c r="BL38" s="27">
        <f>IF($A38="",0,IF(Mitarbeiter!$G$36=FALSE,0,IF(AND(Mitarbeiter!$E$36&lt;&gt;"",BL$5+6&lt;Mitarbeiter!$E$36),0,IF(AND(Mitarbeiter!$F$36&lt;&gt;"",BL$5&gt;Mitarbeiter!$F$36),0,IF(Planung!BL38="",$C38,IF(ISNUMBER(Planung!BL38),Planung!BL38,IF(UPPER(Planung!BL38)="H",$C38/2,0)))))))</f>
        <v>0</v>
      </c>
      <c r="BM38" s="27">
        <f>IF($A38="",0,IF(Mitarbeiter!$G$36=FALSE,0,IF(AND(Mitarbeiter!$E$36&lt;&gt;"",BM$5+6&lt;Mitarbeiter!$E$36),0,IF(AND(Mitarbeiter!$F$36&lt;&gt;"",BM$5&gt;Mitarbeiter!$F$36),0,IF(Planung!BM38="",$C38,IF(ISNUMBER(Planung!BM38),Planung!BM38,IF(UPPER(Planung!BM38)="H",$C38/2,0)))))))</f>
        <v>0</v>
      </c>
      <c r="BN38" s="27">
        <f>IF($A38="",0,IF(Mitarbeiter!$G$36=FALSE,0,IF(AND(Mitarbeiter!$E$36&lt;&gt;"",BN$5+6&lt;Mitarbeiter!$E$36),0,IF(AND(Mitarbeiter!$F$36&lt;&gt;"",BN$5&gt;Mitarbeiter!$F$36),0,IF(Planung!BN38="",$C38,IF(ISNUMBER(Planung!BN38),Planung!BN38,IF(UPPER(Planung!BN38)="H",$C38/2,0)))))))</f>
        <v>0</v>
      </c>
      <c r="BO38" s="27">
        <f>IF($A38="",0,IF(Mitarbeiter!$G$36=FALSE,0,IF(AND(Mitarbeiter!$E$36&lt;&gt;"",BO$5+6&lt;Mitarbeiter!$E$36),0,IF(AND(Mitarbeiter!$F$36&lt;&gt;"",BO$5&gt;Mitarbeiter!$F$36),0,IF(Planung!BO38="",$C38,IF(ISNUMBER(Planung!BO38),Planung!BO38,IF(UPPER(Planung!BO38)="H",$C38/2,0)))))))</f>
        <v>0</v>
      </c>
      <c r="BP38" s="27">
        <f>IF($A38="",0,IF(Mitarbeiter!$G$36=FALSE,0,IF(AND(Mitarbeiter!$E$36&lt;&gt;"",BP$5+6&lt;Mitarbeiter!$E$36),0,IF(AND(Mitarbeiter!$F$36&lt;&gt;"",BP$5&gt;Mitarbeiter!$F$36),0,IF(Planung!BP38="",$C38,IF(ISNUMBER(Planung!BP38),Planung!BP38,IF(UPPER(Planung!BP38)="H",$C38/2,0)))))))</f>
        <v>0</v>
      </c>
      <c r="BQ38" s="27">
        <f>IF($A38="",0,IF(Mitarbeiter!$G$36=FALSE,0,IF(AND(Mitarbeiter!$E$36&lt;&gt;"",BQ$5+6&lt;Mitarbeiter!$E$36),0,IF(AND(Mitarbeiter!$F$36&lt;&gt;"",BQ$5&gt;Mitarbeiter!$F$36),0,IF(Planung!BQ38="",$C38,IF(ISNUMBER(Planung!BQ38),Planung!BQ38,IF(UPPER(Planung!BQ38)="H",$C38/2,0)))))))</f>
        <v>0</v>
      </c>
      <c r="BR38" s="27">
        <f>IF($A38="",0,IF(Mitarbeiter!$G$36=FALSE,0,IF(AND(Mitarbeiter!$E$36&lt;&gt;"",BR$5+6&lt;Mitarbeiter!$E$36),0,IF(AND(Mitarbeiter!$F$36&lt;&gt;"",BR$5&gt;Mitarbeiter!$F$36),0,IF(Planung!BR38="",$C38,IF(ISNUMBER(Planung!BR38),Planung!BR38,IF(UPPER(Planung!BR38)="H",$C38/2,0)))))))</f>
        <v>0</v>
      </c>
      <c r="BS38" s="27">
        <f>IF($A38="",0,IF(Mitarbeiter!$G$36=FALSE,0,IF(AND(Mitarbeiter!$E$36&lt;&gt;"",BS$5+6&lt;Mitarbeiter!$E$36),0,IF(AND(Mitarbeiter!$F$36&lt;&gt;"",BS$5&gt;Mitarbeiter!$F$36),0,IF(Planung!BS38="",$C38,IF(ISNUMBER(Planung!BS38),Planung!BS38,IF(UPPER(Planung!BS38)="H",$C38/2,0)))))))</f>
        <v>0</v>
      </c>
      <c r="BT38" s="27">
        <f>IF($A38="",0,IF(Mitarbeiter!$G$36=FALSE,0,IF(AND(Mitarbeiter!$E$36&lt;&gt;"",BT$5+6&lt;Mitarbeiter!$E$36),0,IF(AND(Mitarbeiter!$F$36&lt;&gt;"",BT$5&gt;Mitarbeiter!$F$36),0,IF(Planung!BT38="",$C38,IF(ISNUMBER(Planung!BT38),Planung!BT38,IF(UPPER(Planung!BT38)="H",$C38/2,0)))))))</f>
        <v>0</v>
      </c>
      <c r="BU38" s="27">
        <f>IF($A38="",0,IF(Mitarbeiter!$G$36=FALSE,0,IF(AND(Mitarbeiter!$E$36&lt;&gt;"",BU$5+6&lt;Mitarbeiter!$E$36),0,IF(AND(Mitarbeiter!$F$36&lt;&gt;"",BU$5&gt;Mitarbeiter!$F$36),0,IF(Planung!BU38="",$C38,IF(ISNUMBER(Planung!BU38),Planung!BU38,IF(UPPER(Planung!BU38)="H",$C38/2,0)))))))</f>
        <v>0</v>
      </c>
      <c r="BV38" s="27">
        <f>IF($A38="",0,IF(Mitarbeiter!$G$36=FALSE,0,IF(AND(Mitarbeiter!$E$36&lt;&gt;"",BV$5+6&lt;Mitarbeiter!$E$36),0,IF(AND(Mitarbeiter!$F$36&lt;&gt;"",BV$5&gt;Mitarbeiter!$F$36),0,IF(Planung!BV38="",$C38,IF(ISNUMBER(Planung!BV38),Planung!BV38,IF(UPPER(Planung!BV38)="H",$C38/2,0)))))))</f>
        <v>0</v>
      </c>
      <c r="BW38" s="27">
        <f>IF($A38="",0,IF(Mitarbeiter!$G$36=FALSE,0,IF(AND(Mitarbeiter!$E$36&lt;&gt;"",BW$5+6&lt;Mitarbeiter!$E$36),0,IF(AND(Mitarbeiter!$F$36&lt;&gt;"",BW$5&gt;Mitarbeiter!$F$36),0,IF(Planung!BW38="",$C38,IF(ISNUMBER(Planung!BW38),Planung!BW38,IF(UPPER(Planung!BW38)="H",$C38/2,0)))))))</f>
        <v>0</v>
      </c>
      <c r="BX38" s="27">
        <f>IF($A38="",0,IF(Mitarbeiter!$G$36=FALSE,0,IF(AND(Mitarbeiter!$E$36&lt;&gt;"",BX$5+6&lt;Mitarbeiter!$E$36),0,IF(AND(Mitarbeiter!$F$36&lt;&gt;"",BX$5&gt;Mitarbeiter!$F$36),0,IF(Planung!BX38="",$C38,IF(ISNUMBER(Planung!BX38),Planung!BX38,IF(UPPER(Planung!BX38)="H",$C38/2,0)))))))</f>
        <v>0</v>
      </c>
      <c r="BY38" s="27">
        <f>IF($A38="",0,IF(Mitarbeiter!$G$36=FALSE,0,IF(AND(Mitarbeiter!$E$36&lt;&gt;"",BY$5+6&lt;Mitarbeiter!$E$36),0,IF(AND(Mitarbeiter!$F$36&lt;&gt;"",BY$5&gt;Mitarbeiter!$F$36),0,IF(Planung!BY38="",$C38,IF(ISNUMBER(Planung!BY38),Planung!BY38,IF(UPPER(Planung!BY38)="H",$C38/2,0)))))))</f>
        <v>0</v>
      </c>
      <c r="BZ38" s="27">
        <f>IF($A38="",0,IF(Mitarbeiter!$G$36=FALSE,0,IF(AND(Mitarbeiter!$E$36&lt;&gt;"",BZ$5+6&lt;Mitarbeiter!$E$36),0,IF(AND(Mitarbeiter!$F$36&lt;&gt;"",BZ$5&gt;Mitarbeiter!$F$36),0,IF(Planung!BZ38="",$C38,IF(ISNUMBER(Planung!BZ38),Planung!BZ38,IF(UPPER(Planung!BZ38)="H",$C38/2,0)))))))</f>
        <v>0</v>
      </c>
      <c r="CA38" s="27">
        <f>IF($A38="",0,IF(Mitarbeiter!$G$36=FALSE,0,IF(AND(Mitarbeiter!$E$36&lt;&gt;"",CA$5+6&lt;Mitarbeiter!$E$36),0,IF(AND(Mitarbeiter!$F$36&lt;&gt;"",CA$5&gt;Mitarbeiter!$F$36),0,IF(Planung!CA38="",$C38,IF(ISNUMBER(Planung!CA38),Planung!CA38,IF(UPPER(Planung!CA38)="H",$C38/2,0)))))))</f>
        <v>0</v>
      </c>
      <c r="CB38" s="27">
        <f>IF($A38="",0,IF(Mitarbeiter!$G$36=FALSE,0,IF(AND(Mitarbeiter!$E$36&lt;&gt;"",CB$5+6&lt;Mitarbeiter!$E$36),0,IF(AND(Mitarbeiter!$F$36&lt;&gt;"",CB$5&gt;Mitarbeiter!$F$36),0,IF(Planung!CB38="",$C38,IF(ISNUMBER(Planung!CB38),Planung!CB38,IF(UPPER(Planung!CB38)="H",$C38/2,0)))))))</f>
        <v>0</v>
      </c>
      <c r="CC38" s="27">
        <f>IF($A38="",0,IF(Mitarbeiter!$G$36=FALSE,0,IF(AND(Mitarbeiter!$E$36&lt;&gt;"",CC$5+6&lt;Mitarbeiter!$E$36),0,IF(AND(Mitarbeiter!$F$36&lt;&gt;"",CC$5&gt;Mitarbeiter!$F$36),0,IF(Planung!CC38="",$C38,IF(ISNUMBER(Planung!CC38),Planung!CC38,IF(UPPER(Planung!CC38)="H",$C38/2,0)))))))</f>
        <v>0</v>
      </c>
      <c r="CD38" s="27">
        <f>IF($A38="",0,IF(Mitarbeiter!$G$36=FALSE,0,IF(AND(Mitarbeiter!$E$36&lt;&gt;"",CD$5+6&lt;Mitarbeiter!$E$36),0,IF(AND(Mitarbeiter!$F$36&lt;&gt;"",CD$5&gt;Mitarbeiter!$F$36),0,IF(Planung!CD38="",$C38,IF(ISNUMBER(Planung!CD38),Planung!CD38,IF(UPPER(Planung!CD38)="H",$C38/2,0)))))))</f>
        <v>0</v>
      </c>
      <c r="CE38" s="27">
        <f>IF($A38="",0,IF(Mitarbeiter!$G$36=FALSE,0,IF(AND(Mitarbeiter!$E$36&lt;&gt;"",CE$5+6&lt;Mitarbeiter!$E$36),0,IF(AND(Mitarbeiter!$F$36&lt;&gt;"",CE$5&gt;Mitarbeiter!$F$36),0,IF(Planung!CE38="",$C38,IF(ISNUMBER(Planung!CE38),Planung!CE38,IF(UPPER(Planung!CE38)="H",$C38/2,0)))))))</f>
        <v>0</v>
      </c>
      <c r="CF38" s="27">
        <f>IF($A38="",0,IF(Mitarbeiter!$G$36=FALSE,0,IF(AND(Mitarbeiter!$E$36&lt;&gt;"",CF$5+6&lt;Mitarbeiter!$E$36),0,IF(AND(Mitarbeiter!$F$36&lt;&gt;"",CF$5&gt;Mitarbeiter!$F$36),0,IF(Planung!CF38="",$C38,IF(ISNUMBER(Planung!CF38),Planung!CF38,IF(UPPER(Planung!CF38)="H",$C38/2,0)))))))</f>
        <v>0</v>
      </c>
      <c r="CG38" s="27">
        <f>IF($A38="",0,IF(Mitarbeiter!$G$36=FALSE,0,IF(AND(Mitarbeiter!$E$36&lt;&gt;"",CG$5+6&lt;Mitarbeiter!$E$36),0,IF(AND(Mitarbeiter!$F$36&lt;&gt;"",CG$5&gt;Mitarbeiter!$F$36),0,IF(Planung!CG38="",$C38,IF(ISNUMBER(Planung!CG38),Planung!CG38,IF(UPPER(Planung!CG38)="H",$C38/2,0)))))))</f>
        <v>0</v>
      </c>
      <c r="CH38" s="27">
        <f>IF($A38="",0,IF(Mitarbeiter!$G$36=FALSE,0,IF(AND(Mitarbeiter!$E$36&lt;&gt;"",CH$5+6&lt;Mitarbeiter!$E$36),0,IF(AND(Mitarbeiter!$F$36&lt;&gt;"",CH$5&gt;Mitarbeiter!$F$36),0,IF(Planung!CH38="",$C38,IF(ISNUMBER(Planung!CH38),Planung!CH38,IF(UPPER(Planung!CH38)="H",$C38/2,0)))))))</f>
        <v>0</v>
      </c>
      <c r="CI38" s="27">
        <f>IF($A38="",0,IF(Mitarbeiter!$G$36=FALSE,0,IF(AND(Mitarbeiter!$E$36&lt;&gt;"",CI$5+6&lt;Mitarbeiter!$E$36),0,IF(AND(Mitarbeiter!$F$36&lt;&gt;"",CI$5&gt;Mitarbeiter!$F$36),0,IF(Planung!CI38="",$C38,IF(ISNUMBER(Planung!CI38),Planung!CI38,IF(UPPER(Planung!CI38)="H",$C38/2,0)))))))</f>
        <v>0</v>
      </c>
      <c r="CJ38" s="27">
        <f>IF($A38="",0,IF(Mitarbeiter!$G$36=FALSE,0,IF(AND(Mitarbeiter!$E$36&lt;&gt;"",CJ$5+6&lt;Mitarbeiter!$E$36),0,IF(AND(Mitarbeiter!$F$36&lt;&gt;"",CJ$5&gt;Mitarbeiter!$F$36),0,IF(Planung!CJ38="",$C38,IF(ISNUMBER(Planung!CJ38),Planung!CJ38,IF(UPPER(Planung!CJ38)="H",$C38/2,0)))))))</f>
        <v>0</v>
      </c>
      <c r="CK38" s="27">
        <f>IF($A38="",0,IF(Mitarbeiter!$G$36=FALSE,0,IF(AND(Mitarbeiter!$E$36&lt;&gt;"",CK$5+6&lt;Mitarbeiter!$E$36),0,IF(AND(Mitarbeiter!$F$36&lt;&gt;"",CK$5&gt;Mitarbeiter!$F$36),0,IF(Planung!CK38="",$C38,IF(ISNUMBER(Planung!CK38),Planung!CK38,IF(UPPER(Planung!CK38)="H",$C38/2,0)))))))</f>
        <v>0</v>
      </c>
      <c r="CL38" s="27">
        <f>IF($A38="",0,IF(Mitarbeiter!$G$36=FALSE,0,IF(AND(Mitarbeiter!$E$36&lt;&gt;"",CL$5+6&lt;Mitarbeiter!$E$36),0,IF(AND(Mitarbeiter!$F$36&lt;&gt;"",CL$5&gt;Mitarbeiter!$F$36),0,IF(Planung!CL38="",$C38,IF(ISNUMBER(Planung!CL38),Planung!CL38,IF(UPPER(Planung!CL38)="H",$C38/2,0)))))))</f>
        <v>0</v>
      </c>
      <c r="CM38" s="27">
        <f>IF($A38="",0,IF(Mitarbeiter!$G$36=FALSE,0,IF(AND(Mitarbeiter!$E$36&lt;&gt;"",CM$5+6&lt;Mitarbeiter!$E$36),0,IF(AND(Mitarbeiter!$F$36&lt;&gt;"",CM$5&gt;Mitarbeiter!$F$36),0,IF(Planung!CM38="",$C38,IF(ISNUMBER(Planung!CM38),Planung!CM38,IF(UPPER(Planung!CM38)="H",$C38/2,0)))))))</f>
        <v>0</v>
      </c>
      <c r="CN38" s="27">
        <f>IF($A38="",0,IF(Mitarbeiter!$G$36=FALSE,0,IF(AND(Mitarbeiter!$E$36&lt;&gt;"",CN$5+6&lt;Mitarbeiter!$E$36),0,IF(AND(Mitarbeiter!$F$36&lt;&gt;"",CN$5&gt;Mitarbeiter!$F$36),0,IF(Planung!CN38="",$C38,IF(ISNUMBER(Planung!CN38),Planung!CN38,IF(UPPER(Planung!CN38)="H",$C38/2,0)))))))</f>
        <v>0</v>
      </c>
      <c r="CO38" s="27">
        <f>IF($A38="",0,IF(Mitarbeiter!$G$36=FALSE,0,IF(AND(Mitarbeiter!$E$36&lt;&gt;"",CO$5+6&lt;Mitarbeiter!$E$36),0,IF(AND(Mitarbeiter!$F$36&lt;&gt;"",CO$5&gt;Mitarbeiter!$F$36),0,IF(Planung!CO38="",$C38,IF(ISNUMBER(Planung!CO38),Planung!CO38,IF(UPPER(Planung!CO38)="H",$C38/2,0)))))))</f>
        <v>0</v>
      </c>
      <c r="CP38" s="27">
        <f>IF($A38="",0,IF(Mitarbeiter!$G$36=FALSE,0,IF(AND(Mitarbeiter!$E$36&lt;&gt;"",CP$5+6&lt;Mitarbeiter!$E$36),0,IF(AND(Mitarbeiter!$F$36&lt;&gt;"",CP$5&gt;Mitarbeiter!$F$36),0,IF(Planung!CP38="",$C38,IF(ISNUMBER(Planung!CP38),Planung!CP38,IF(UPPER(Planung!CP38)="H",$C38/2,0)))))))</f>
        <v>0</v>
      </c>
      <c r="CQ38" s="27">
        <f>IF($A38="",0,IF(Mitarbeiter!$G$36=FALSE,0,IF(AND(Mitarbeiter!$E$36&lt;&gt;"",CQ$5+6&lt;Mitarbeiter!$E$36),0,IF(AND(Mitarbeiter!$F$36&lt;&gt;"",CQ$5&gt;Mitarbeiter!$F$36),0,IF(Planung!CQ38="",$C38,IF(ISNUMBER(Planung!CQ38),Planung!CQ38,IF(UPPER(Planung!CQ38)="H",$C38/2,0)))))))</f>
        <v>0</v>
      </c>
      <c r="CR38" s="27">
        <f>IF($A38="",0,IF(Mitarbeiter!$G$36=FALSE,0,IF(AND(Mitarbeiter!$E$36&lt;&gt;"",CR$5+6&lt;Mitarbeiter!$E$36),0,IF(AND(Mitarbeiter!$F$36&lt;&gt;"",CR$5&gt;Mitarbeiter!$F$36),0,IF(Planung!CR38="",$C38,IF(ISNUMBER(Planung!CR38),Planung!CR38,IF(UPPER(Planung!CR38)="H",$C38/2,0)))))))</f>
        <v>0</v>
      </c>
      <c r="CS38" s="27">
        <f>IF($A38="",0,IF(Mitarbeiter!$G$36=FALSE,0,IF(AND(Mitarbeiter!$E$36&lt;&gt;"",CS$5+6&lt;Mitarbeiter!$E$36),0,IF(AND(Mitarbeiter!$F$36&lt;&gt;"",CS$5&gt;Mitarbeiter!$F$36),0,IF(Planung!CS38="",$C38,IF(ISNUMBER(Planung!CS38),Planung!CS38,IF(UPPER(Planung!CS38)="H",$C38/2,0)))))))</f>
        <v>0</v>
      </c>
      <c r="CT38" s="27">
        <f>IF($A38="",0,IF(Mitarbeiter!$G$36=FALSE,0,IF(AND(Mitarbeiter!$E$36&lt;&gt;"",CT$5+6&lt;Mitarbeiter!$E$36),0,IF(AND(Mitarbeiter!$F$36&lt;&gt;"",CT$5&gt;Mitarbeiter!$F$36),0,IF(Planung!CT38="",$C38,IF(ISNUMBER(Planung!CT38),Planung!CT38,IF(UPPER(Planung!CT38)="H",$C38/2,0)))))))</f>
        <v>0</v>
      </c>
      <c r="CU38" s="27">
        <f>IF($A38="",0,IF(Mitarbeiter!$G$36=FALSE,0,IF(AND(Mitarbeiter!$E$36&lt;&gt;"",CU$5+6&lt;Mitarbeiter!$E$36),0,IF(AND(Mitarbeiter!$F$36&lt;&gt;"",CU$5&gt;Mitarbeiter!$F$36),0,IF(Planung!CU38="",$C38,IF(ISNUMBER(Planung!CU38),Planung!CU38,IF(UPPER(Planung!CU38)="H",$C38/2,0)))))))</f>
        <v>0</v>
      </c>
      <c r="CV38" s="27">
        <f>IF($A38="",0,IF(Mitarbeiter!$G$36=FALSE,0,IF(AND(Mitarbeiter!$E$36&lt;&gt;"",CV$5+6&lt;Mitarbeiter!$E$36),0,IF(AND(Mitarbeiter!$F$36&lt;&gt;"",CV$5&gt;Mitarbeiter!$F$36),0,IF(Planung!CV38="",$C38,IF(ISNUMBER(Planung!CV38),Planung!CV38,IF(UPPER(Planung!CV38)="H",$C38/2,0)))))))</f>
        <v>0</v>
      </c>
      <c r="CW38" s="27">
        <f>IF($A38="",0,IF(Mitarbeiter!$G$36=FALSE,0,IF(AND(Mitarbeiter!$E$36&lt;&gt;"",CW$5+6&lt;Mitarbeiter!$E$36),0,IF(AND(Mitarbeiter!$F$36&lt;&gt;"",CW$5&gt;Mitarbeiter!$F$36),0,IF(Planung!CW38="",$C38,IF(ISNUMBER(Planung!CW38),Planung!CW38,IF(UPPER(Planung!CW38)="H",$C38/2,0)))))))</f>
        <v>0</v>
      </c>
      <c r="CX38" s="27">
        <f>IF($A38="",0,IF(Mitarbeiter!$G$36=FALSE,0,IF(AND(Mitarbeiter!$E$36&lt;&gt;"",CX$5+6&lt;Mitarbeiter!$E$36),0,IF(AND(Mitarbeiter!$F$36&lt;&gt;"",CX$5&gt;Mitarbeiter!$F$36),0,IF(Planung!CX38="",$C38,IF(ISNUMBER(Planung!CX38),Planung!CX38,IF(UPPER(Planung!CX38)="H",$C38/2,0)))))))</f>
        <v>0</v>
      </c>
      <c r="CY38" s="27">
        <f>IF($A38="",0,IF(Mitarbeiter!$G$36=FALSE,0,IF(AND(Mitarbeiter!$E$36&lt;&gt;"",CY$5+6&lt;Mitarbeiter!$E$36),0,IF(AND(Mitarbeiter!$F$36&lt;&gt;"",CY$5&gt;Mitarbeiter!$F$36),0,IF(Planung!CY38="",$C38,IF(ISNUMBER(Planung!CY38),Planung!CY38,IF(UPPER(Planung!CY38)="H",$C38/2,0)))))))</f>
        <v>0</v>
      </c>
      <c r="CZ38" s="27">
        <f>IF($A38="",0,IF(Mitarbeiter!$G$36=FALSE,0,IF(AND(Mitarbeiter!$E$36&lt;&gt;"",CZ$5+6&lt;Mitarbeiter!$E$36),0,IF(AND(Mitarbeiter!$F$36&lt;&gt;"",CZ$5&gt;Mitarbeiter!$F$36),0,IF(Planung!CZ38="",$C38,IF(ISNUMBER(Planung!CZ38),Planung!CZ38,IF(UPPER(Planung!CZ38)="H",$C38/2,0)))))))</f>
        <v>0</v>
      </c>
      <c r="DA38" s="27">
        <f>IF($A38="",0,IF(Mitarbeiter!$G$36=FALSE,0,IF(AND(Mitarbeiter!$E$36&lt;&gt;"",DA$5+6&lt;Mitarbeiter!$E$36),0,IF(AND(Mitarbeiter!$F$36&lt;&gt;"",DA$5&gt;Mitarbeiter!$F$36),0,IF(Planung!DA38="",$C38,IF(ISNUMBER(Planung!DA38),Planung!DA38,IF(UPPER(Planung!DA38)="H",$C38/2,0)))))))</f>
        <v>0</v>
      </c>
      <c r="DB38" s="27">
        <f>IF($A38="",0,IF(Mitarbeiter!$G$36=FALSE,0,IF(AND(Mitarbeiter!$E$36&lt;&gt;"",DB$5+6&lt;Mitarbeiter!$E$36),0,IF(AND(Mitarbeiter!$F$36&lt;&gt;"",DB$5&gt;Mitarbeiter!$F$36),0,IF(Planung!DB38="",$C38,IF(ISNUMBER(Planung!DB38),Planung!DB38,IF(UPPER(Planung!DB38)="H",$C38/2,0)))))))</f>
        <v>0</v>
      </c>
      <c r="DC38" s="27">
        <f>IF($A38="",0,IF(Mitarbeiter!$G$36=FALSE,0,IF(AND(Mitarbeiter!$E$36&lt;&gt;"",DC$5+6&lt;Mitarbeiter!$E$36),0,IF(AND(Mitarbeiter!$F$36&lt;&gt;"",DC$5&gt;Mitarbeiter!$F$36),0,IF(Planung!DC38="",$C38,IF(ISNUMBER(Planung!DC38),Planung!DC38,IF(UPPER(Planung!DC38)="H",$C38/2,0)))))))</f>
        <v>0</v>
      </c>
      <c r="DD38" s="27">
        <f>IF($A38="",0,IF(Mitarbeiter!$G$36=FALSE,0,IF(AND(Mitarbeiter!$E$36&lt;&gt;"",DD$5+6&lt;Mitarbeiter!$E$36),0,IF(AND(Mitarbeiter!$F$36&lt;&gt;"",DD$5&gt;Mitarbeiter!$F$36),0,IF(Planung!DD38="",$C38,IF(ISNUMBER(Planung!DD38),Planung!DD38,IF(UPPER(Planung!DD38)="H",$C38/2,0)))))))</f>
        <v>0</v>
      </c>
      <c r="DE38" s="27">
        <f>IF($A38="",0,IF(Mitarbeiter!$G$36=FALSE,0,IF(AND(Mitarbeiter!$E$36&lt;&gt;"",DE$5+6&lt;Mitarbeiter!$E$36),0,IF(AND(Mitarbeiter!$F$36&lt;&gt;"",DE$5&gt;Mitarbeiter!$F$36),0,IF(Planung!DE38="",$C38,IF(ISNUMBER(Planung!DE38),Planung!DE38,IF(UPPER(Planung!DE38)="H",$C38/2,0)))))))</f>
        <v>0</v>
      </c>
      <c r="DF38" s="27">
        <f>IF($A38="",0,IF(Mitarbeiter!$G$36=FALSE,0,IF(AND(Mitarbeiter!$E$36&lt;&gt;"",DF$5+6&lt;Mitarbeiter!$E$36),0,IF(AND(Mitarbeiter!$F$36&lt;&gt;"",DF$5&gt;Mitarbeiter!$F$36),0,IF(Planung!DF38="",$C38,IF(ISNUMBER(Planung!DF38),Planung!DF38,IF(UPPER(Planung!DF38)="H",$C38/2,0)))))))</f>
        <v>0</v>
      </c>
      <c r="DG38" s="27">
        <f>IF($A38="",0,IF(Mitarbeiter!$G$36=FALSE,0,IF(AND(Mitarbeiter!$E$36&lt;&gt;"",DG$5+6&lt;Mitarbeiter!$E$36),0,IF(AND(Mitarbeiter!$F$36&lt;&gt;"",DG$5&gt;Mitarbeiter!$F$36),0,IF(Planung!DG38="",$C38,IF(ISNUMBER(Planung!DG38),Planung!DG38,IF(UPPER(Planung!DG38)="H",$C38/2,0)))))))</f>
        <v>0</v>
      </c>
      <c r="DH38" s="27">
        <f>IF($A38="",0,IF(Mitarbeiter!$G$36=FALSE,0,IF(AND(Mitarbeiter!$E$36&lt;&gt;"",DH$5+6&lt;Mitarbeiter!$E$36),0,IF(AND(Mitarbeiter!$F$36&lt;&gt;"",DH$5&gt;Mitarbeiter!$F$36),0,IF(Planung!DH38="",$C38,IF(ISNUMBER(Planung!DH38),Planung!DH38,IF(UPPER(Planung!DH38)="H",$C38/2,0)))))))</f>
        <v>0</v>
      </c>
      <c r="DI38" s="27">
        <f>IF($A38="",0,IF(Mitarbeiter!$G$36=FALSE,0,IF(AND(Mitarbeiter!$E$36&lt;&gt;"",DI$5+6&lt;Mitarbeiter!$E$36),0,IF(AND(Mitarbeiter!$F$36&lt;&gt;"",DI$5&gt;Mitarbeiter!$F$36),0,IF(Planung!DI38="",$C38,IF(ISNUMBER(Planung!DI38),Planung!DI38,IF(UPPER(Planung!DI38)="H",$C38/2,0)))))))</f>
        <v>0</v>
      </c>
      <c r="DJ38" s="27">
        <f>IF($A38="",0,IF(Mitarbeiter!$G$36=FALSE,0,IF(AND(Mitarbeiter!$E$36&lt;&gt;"",DJ$5+6&lt;Mitarbeiter!$E$36),0,IF(AND(Mitarbeiter!$F$36&lt;&gt;"",DJ$5&gt;Mitarbeiter!$F$36),0,IF(Planung!DJ38="",$C38,IF(ISNUMBER(Planung!DJ38),Planung!DJ38,IF(UPPER(Planung!DJ38)="H",$C38/2,0)))))))</f>
        <v>0</v>
      </c>
      <c r="DK38" s="27">
        <f>IF($A38="",0,IF(Mitarbeiter!$G$36=FALSE,0,IF(AND(Mitarbeiter!$E$36&lt;&gt;"",DK$5+6&lt;Mitarbeiter!$E$36),0,IF(AND(Mitarbeiter!$F$36&lt;&gt;"",DK$5&gt;Mitarbeiter!$F$36),0,IF(Planung!DK38="",$C38,IF(ISNUMBER(Planung!DK38),Planung!DK38,IF(UPPER(Planung!DK38)="H",$C38/2,0)))))))</f>
        <v>0</v>
      </c>
      <c r="DL38" s="27">
        <f>IF($A38="",0,IF(Mitarbeiter!$G$36=FALSE,0,IF(AND(Mitarbeiter!$E$36&lt;&gt;"",DL$5+6&lt;Mitarbeiter!$E$36),0,IF(AND(Mitarbeiter!$F$36&lt;&gt;"",DL$5&gt;Mitarbeiter!$F$36),0,IF(Planung!DL38="",$C38,IF(ISNUMBER(Planung!DL38),Planung!DL38,IF(UPPER(Planung!DL38)="H",$C38/2,0)))))))</f>
        <v>0</v>
      </c>
      <c r="DM38" s="27">
        <f>IF($A38="",0,IF(Mitarbeiter!$G$36=FALSE,0,IF(AND(Mitarbeiter!$E$36&lt;&gt;"",DM$5+6&lt;Mitarbeiter!$E$36),0,IF(AND(Mitarbeiter!$F$36&lt;&gt;"",DM$5&gt;Mitarbeiter!$F$36),0,IF(Planung!DM38="",$C38,IF(ISNUMBER(Planung!DM38),Planung!DM38,IF(UPPER(Planung!DM38)="H",$C38/2,0)))))))</f>
        <v>0</v>
      </c>
      <c r="DN38" s="27">
        <f>IF($A38="",0,IF(Mitarbeiter!$G$36=FALSE,0,IF(AND(Mitarbeiter!$E$36&lt;&gt;"",DN$5+6&lt;Mitarbeiter!$E$36),0,IF(AND(Mitarbeiter!$F$36&lt;&gt;"",DN$5&gt;Mitarbeiter!$F$36),0,IF(Planung!DN38="",$C38,IF(ISNUMBER(Planung!DN38),Planung!DN38,IF(UPPER(Planung!DN38)="H",$C38/2,0)))))))</f>
        <v>0</v>
      </c>
      <c r="DO38" s="27">
        <f>IF($A38="",0,IF(Mitarbeiter!$G$36=FALSE,0,IF(AND(Mitarbeiter!$E$36&lt;&gt;"",DO$5+6&lt;Mitarbeiter!$E$36),0,IF(AND(Mitarbeiter!$F$36&lt;&gt;"",DO$5&gt;Mitarbeiter!$F$36),0,IF(Planung!DO38="",$C38,IF(ISNUMBER(Planung!DO38),Planung!DO38,IF(UPPER(Planung!DO38)="H",$C38/2,0)))))))</f>
        <v>0</v>
      </c>
      <c r="DP38" s="27">
        <f>IF($A38="",0,IF(Mitarbeiter!$G$36=FALSE,0,IF(AND(Mitarbeiter!$E$36&lt;&gt;"",DP$5+6&lt;Mitarbeiter!$E$36),0,IF(AND(Mitarbeiter!$F$36&lt;&gt;"",DP$5&gt;Mitarbeiter!$F$36),0,IF(Planung!DP38="",$C38,IF(ISNUMBER(Planung!DP38),Planung!DP38,IF(UPPER(Planung!DP38)="H",$C38/2,0)))))))</f>
        <v>0</v>
      </c>
      <c r="DQ38" s="27">
        <f>IF($A38="",0,IF(Mitarbeiter!$G$36=FALSE,0,IF(AND(Mitarbeiter!$E$36&lt;&gt;"",DQ$5+6&lt;Mitarbeiter!$E$36),0,IF(AND(Mitarbeiter!$F$36&lt;&gt;"",DQ$5&gt;Mitarbeiter!$F$36),0,IF(Planung!DQ38="",$C38,IF(ISNUMBER(Planung!DQ38),Planung!DQ38,IF(UPPER(Planung!DQ38)="H",$C38/2,0)))))))</f>
        <v>0</v>
      </c>
      <c r="DR38" s="27">
        <f>IF($A38="",0,IF(Mitarbeiter!$G$36=FALSE,0,IF(AND(Mitarbeiter!$E$36&lt;&gt;"",DR$5+6&lt;Mitarbeiter!$E$36),0,IF(AND(Mitarbeiter!$F$36&lt;&gt;"",DR$5&gt;Mitarbeiter!$F$36),0,IF(Planung!DR38="",$C38,IF(ISNUMBER(Planung!DR38),Planung!DR38,IF(UPPER(Planung!DR38)="H",$C38/2,0)))))))</f>
        <v>0</v>
      </c>
      <c r="DS38" s="27">
        <f>IF($A38="",0,IF(Mitarbeiter!$G$36=FALSE,0,IF(AND(Mitarbeiter!$E$36&lt;&gt;"",DS$5+6&lt;Mitarbeiter!$E$36),0,IF(AND(Mitarbeiter!$F$36&lt;&gt;"",DS$5&gt;Mitarbeiter!$F$36),0,IF(Planung!DS38="",$C38,IF(ISNUMBER(Planung!DS38),Planung!DS38,IF(UPPER(Planung!DS38)="H",$C38/2,0)))))))</f>
        <v>0</v>
      </c>
      <c r="DT38" s="27">
        <f>IF($A38="",0,IF(Mitarbeiter!$G$36=FALSE,0,IF(AND(Mitarbeiter!$E$36&lt;&gt;"",DT$5+6&lt;Mitarbeiter!$E$36),0,IF(AND(Mitarbeiter!$F$36&lt;&gt;"",DT$5&gt;Mitarbeiter!$F$36),0,IF(Planung!DT38="",$C38,IF(ISNUMBER(Planung!DT38),Planung!DT38,IF(UPPER(Planung!DT38)="H",$C38/2,0)))))))</f>
        <v>0</v>
      </c>
      <c r="DU38" s="27">
        <f>IF($A38="",0,IF(Mitarbeiter!$G$36=FALSE,0,IF(AND(Mitarbeiter!$E$36&lt;&gt;"",DU$5+6&lt;Mitarbeiter!$E$36),0,IF(AND(Mitarbeiter!$F$36&lt;&gt;"",DU$5&gt;Mitarbeiter!$F$36),0,IF(Planung!DU38="",$C38,IF(ISNUMBER(Planung!DU38),Planung!DU38,IF(UPPER(Planung!DU38)="H",$C38/2,0)))))))</f>
        <v>0</v>
      </c>
      <c r="DV38" s="27">
        <f>IF($A38="",0,IF(Mitarbeiter!$G$36=FALSE,0,IF(AND(Mitarbeiter!$E$36&lt;&gt;"",DV$5+6&lt;Mitarbeiter!$E$36),0,IF(AND(Mitarbeiter!$F$36&lt;&gt;"",DV$5&gt;Mitarbeiter!$F$36),0,IF(Planung!DV38="",$C38,IF(ISNUMBER(Planung!DV38),Planung!DV38,IF(UPPER(Planung!DV38)="H",$C38/2,0)))))))</f>
        <v>0</v>
      </c>
      <c r="DW38" s="27">
        <f>IF($A38="",0,IF(Mitarbeiter!$G$36=FALSE,0,IF(AND(Mitarbeiter!$E$36&lt;&gt;"",DW$5+6&lt;Mitarbeiter!$E$36),0,IF(AND(Mitarbeiter!$F$36&lt;&gt;"",DW$5&gt;Mitarbeiter!$F$36),0,IF(Planung!DW38="",$C38,IF(ISNUMBER(Planung!DW38),Planung!DW38,IF(UPPER(Planung!DW38)="H",$C38/2,0)))))))</f>
        <v>0</v>
      </c>
      <c r="DX38" s="27">
        <f>IF($A38="",0,IF(Mitarbeiter!$G$36=FALSE,0,IF(AND(Mitarbeiter!$E$36&lt;&gt;"",DX$5+6&lt;Mitarbeiter!$E$36),0,IF(AND(Mitarbeiter!$F$36&lt;&gt;"",DX$5&gt;Mitarbeiter!$F$36),0,IF(Planung!DX38="",$C38,IF(ISNUMBER(Planung!DX38),Planung!DX38,IF(UPPER(Planung!DX38)="H",$C38/2,0)))))))</f>
        <v>0</v>
      </c>
      <c r="DY38" s="27">
        <f>IF($A38="",0,IF(Mitarbeiter!$G$36=FALSE,0,IF(AND(Mitarbeiter!$E$36&lt;&gt;"",DY$5+6&lt;Mitarbeiter!$E$36),0,IF(AND(Mitarbeiter!$F$36&lt;&gt;"",DY$5&gt;Mitarbeiter!$F$36),0,IF(Planung!DY38="",$C38,IF(ISNUMBER(Planung!DY38),Planung!DY38,IF(UPPER(Planung!DY38)="H",$C38/2,0)))))))</f>
        <v>0</v>
      </c>
      <c r="DZ38" s="27">
        <f>IF($A38="",0,IF(Mitarbeiter!$G$36=FALSE,0,IF(AND(Mitarbeiter!$E$36&lt;&gt;"",DZ$5+6&lt;Mitarbeiter!$E$36),0,IF(AND(Mitarbeiter!$F$36&lt;&gt;"",DZ$5&gt;Mitarbeiter!$F$36),0,IF(Planung!DZ38="",$C38,IF(ISNUMBER(Planung!DZ38),Planung!DZ38,IF(UPPER(Planung!DZ38)="H",$C38/2,0)))))))</f>
        <v>0</v>
      </c>
      <c r="EA38" s="27">
        <f>IF($A38="",0,IF(Mitarbeiter!$G$36=FALSE,0,IF(AND(Mitarbeiter!$E$36&lt;&gt;"",EA$5+6&lt;Mitarbeiter!$E$36),0,IF(AND(Mitarbeiter!$F$36&lt;&gt;"",EA$5&gt;Mitarbeiter!$F$36),0,IF(Planung!EA38="",$C38,IF(ISNUMBER(Planung!EA38),Planung!EA38,IF(UPPER(Planung!EA38)="H",$C38/2,0)))))))</f>
        <v>0</v>
      </c>
      <c r="EB38" s="27">
        <f>IF($A38="",0,IF(Mitarbeiter!$G$36=FALSE,0,IF(AND(Mitarbeiter!$E$36&lt;&gt;"",EB$5+6&lt;Mitarbeiter!$E$36),0,IF(AND(Mitarbeiter!$F$36&lt;&gt;"",EB$5&gt;Mitarbeiter!$F$36),0,IF(Planung!EB38="",$C38,IF(ISNUMBER(Planung!EB38),Planung!EB38,IF(UPPER(Planung!EB38)="H",$C38/2,0)))))))</f>
        <v>0</v>
      </c>
      <c r="EC38" s="27">
        <f>IF($A38="",0,IF(Mitarbeiter!$G$36=FALSE,0,IF(AND(Mitarbeiter!$E$36&lt;&gt;"",EC$5+6&lt;Mitarbeiter!$E$36),0,IF(AND(Mitarbeiter!$F$36&lt;&gt;"",EC$5&gt;Mitarbeiter!$F$36),0,IF(Planung!EC38="",$C38,IF(ISNUMBER(Planung!EC38),Planung!EC38,IF(UPPER(Planung!EC38)="H",$C38/2,0)))))))</f>
        <v>0</v>
      </c>
      <c r="ED38" s="27">
        <f>IF($A38="",0,IF(Mitarbeiter!$G$36=FALSE,0,IF(AND(Mitarbeiter!$E$36&lt;&gt;"",ED$5+6&lt;Mitarbeiter!$E$36),0,IF(AND(Mitarbeiter!$F$36&lt;&gt;"",ED$5&gt;Mitarbeiter!$F$36),0,IF(Planung!ED38="",$C38,IF(ISNUMBER(Planung!ED38),Planung!ED38,IF(UPPER(Planung!ED38)="H",$C38/2,0)))))))</f>
        <v>0</v>
      </c>
      <c r="EE38" s="27">
        <f>IF($A38="",0,IF(Mitarbeiter!$G$36=FALSE,0,IF(AND(Mitarbeiter!$E$36&lt;&gt;"",EE$5+6&lt;Mitarbeiter!$E$36),0,IF(AND(Mitarbeiter!$F$36&lt;&gt;"",EE$5&gt;Mitarbeiter!$F$36),0,IF(Planung!EE38="",$C38,IF(ISNUMBER(Planung!EE38),Planung!EE38,IF(UPPER(Planung!EE38)="H",$C38/2,0)))))))</f>
        <v>0</v>
      </c>
      <c r="EF38" s="27">
        <f>IF($A38="",0,IF(Mitarbeiter!$G$36=FALSE,0,IF(AND(Mitarbeiter!$E$36&lt;&gt;"",EF$5+6&lt;Mitarbeiter!$E$36),0,IF(AND(Mitarbeiter!$F$36&lt;&gt;"",EF$5&gt;Mitarbeiter!$F$36),0,IF(Planung!EF38="",$C38,IF(ISNUMBER(Planung!EF38),Planung!EF38,IF(UPPER(Planung!EF38)="H",$C38/2,0)))))))</f>
        <v>0</v>
      </c>
      <c r="EG38" s="27">
        <f>IF($A38="",0,IF(Mitarbeiter!$G$36=FALSE,0,IF(AND(Mitarbeiter!$E$36&lt;&gt;"",EG$5+6&lt;Mitarbeiter!$E$36),0,IF(AND(Mitarbeiter!$F$36&lt;&gt;"",EG$5&gt;Mitarbeiter!$F$36),0,IF(Planung!EG38="",$C38,IF(ISNUMBER(Planung!EG38),Planung!EG38,IF(UPPER(Planung!EG38)="H",$C38/2,0)))))))</f>
        <v>0</v>
      </c>
      <c r="EH38" s="27">
        <f>IF($A38="",0,IF(Mitarbeiter!$G$36=FALSE,0,IF(AND(Mitarbeiter!$E$36&lt;&gt;"",EH$5+6&lt;Mitarbeiter!$E$36),0,IF(AND(Mitarbeiter!$F$36&lt;&gt;"",EH$5&gt;Mitarbeiter!$F$36),0,IF(Planung!EH38="",$C38,IF(ISNUMBER(Planung!EH38),Planung!EH38,IF(UPPER(Planung!EH38)="H",$C38/2,0)))))))</f>
        <v>0</v>
      </c>
      <c r="EI38" s="27">
        <f>IF($A38="",0,IF(Mitarbeiter!$G$36=FALSE,0,IF(AND(Mitarbeiter!$E$36&lt;&gt;"",EI$5+6&lt;Mitarbeiter!$E$36),0,IF(AND(Mitarbeiter!$F$36&lt;&gt;"",EI$5&gt;Mitarbeiter!$F$36),0,IF(Planung!EI38="",$C38,IF(ISNUMBER(Planung!EI38),Planung!EI38,IF(UPPER(Planung!EI38)="H",$C38/2,0)))))))</f>
        <v>0</v>
      </c>
      <c r="EJ38" s="27">
        <f>IF($A38="",0,IF(Mitarbeiter!$G$36=FALSE,0,IF(AND(Mitarbeiter!$E$36&lt;&gt;"",EJ$5+6&lt;Mitarbeiter!$E$36),0,IF(AND(Mitarbeiter!$F$36&lt;&gt;"",EJ$5&gt;Mitarbeiter!$F$36),0,IF(Planung!EJ38="",$C38,IF(ISNUMBER(Planung!EJ38),Planung!EJ38,IF(UPPER(Planung!EJ38)="H",$C38/2,0)))))))</f>
        <v>0</v>
      </c>
      <c r="EK38" s="27">
        <f>IF($A38="",0,IF(Mitarbeiter!$G$36=FALSE,0,IF(AND(Mitarbeiter!$E$36&lt;&gt;"",EK$5+6&lt;Mitarbeiter!$E$36),0,IF(AND(Mitarbeiter!$F$36&lt;&gt;"",EK$5&gt;Mitarbeiter!$F$36),0,IF(Planung!EK38="",$C38,IF(ISNUMBER(Planung!EK38),Planung!EK38,IF(UPPER(Planung!EK38)="H",$C38/2,0)))))))</f>
        <v>0</v>
      </c>
      <c r="EL38" s="27">
        <f>IF($A38="",0,IF(Mitarbeiter!$G$36=FALSE,0,IF(AND(Mitarbeiter!$E$36&lt;&gt;"",EL$5+6&lt;Mitarbeiter!$E$36),0,IF(AND(Mitarbeiter!$F$36&lt;&gt;"",EL$5&gt;Mitarbeiter!$F$36),0,IF(Planung!EL38="",$C38,IF(ISNUMBER(Planung!EL38),Planung!EL38,IF(UPPER(Planung!EL38)="H",$C38/2,0)))))))</f>
        <v>0</v>
      </c>
      <c r="EM38" s="27">
        <f>IF($A38="",0,IF(Mitarbeiter!$G$36=FALSE,0,IF(AND(Mitarbeiter!$E$36&lt;&gt;"",EM$5+6&lt;Mitarbeiter!$E$36),0,IF(AND(Mitarbeiter!$F$36&lt;&gt;"",EM$5&gt;Mitarbeiter!$F$36),0,IF(Planung!EM38="",$C38,IF(ISNUMBER(Planung!EM38),Planung!EM38,IF(UPPER(Planung!EM38)="H",$C38/2,0)))))))</f>
        <v>0</v>
      </c>
      <c r="EN38" s="27">
        <f>IF($A38="",0,IF(Mitarbeiter!$G$36=FALSE,0,IF(AND(Mitarbeiter!$E$36&lt;&gt;"",EN$5+6&lt;Mitarbeiter!$E$36),0,IF(AND(Mitarbeiter!$F$36&lt;&gt;"",EN$5&gt;Mitarbeiter!$F$36),0,IF(Planung!EN38="",$C38,IF(ISNUMBER(Planung!EN38),Planung!EN38,IF(UPPER(Planung!EN38)="H",$C38/2,0)))))))</f>
        <v>0</v>
      </c>
      <c r="EO38" s="27">
        <f>IF($A38="",0,IF(Mitarbeiter!$G$36=FALSE,0,IF(AND(Mitarbeiter!$E$36&lt;&gt;"",EO$5+6&lt;Mitarbeiter!$E$36),0,IF(AND(Mitarbeiter!$F$36&lt;&gt;"",EO$5&gt;Mitarbeiter!$F$36),0,IF(Planung!EO38="",$C38,IF(ISNUMBER(Planung!EO38),Planung!EO38,IF(UPPER(Planung!EO38)="H",$C38/2,0)))))))</f>
        <v>0</v>
      </c>
      <c r="EP38" s="27">
        <f>IF($A38="",0,IF(Mitarbeiter!$G$36=FALSE,0,IF(AND(Mitarbeiter!$E$36&lt;&gt;"",EP$5+6&lt;Mitarbeiter!$E$36),0,IF(AND(Mitarbeiter!$F$36&lt;&gt;"",EP$5&gt;Mitarbeiter!$F$36),0,IF(Planung!EP38="",$C38,IF(ISNUMBER(Planung!EP38),Planung!EP38,IF(UPPER(Planung!EP38)="H",$C38/2,0)))))))</f>
        <v>0</v>
      </c>
      <c r="EQ38" s="27">
        <f>IF($A38="",0,IF(Mitarbeiter!$G$36=FALSE,0,IF(AND(Mitarbeiter!$E$36&lt;&gt;"",EQ$5+6&lt;Mitarbeiter!$E$36),0,IF(AND(Mitarbeiter!$F$36&lt;&gt;"",EQ$5&gt;Mitarbeiter!$F$36),0,IF(Planung!EQ38="",$C38,IF(ISNUMBER(Planung!EQ38),Planung!EQ38,IF(UPPER(Planung!EQ38)="H",$C38/2,0)))))))</f>
        <v>0</v>
      </c>
      <c r="ER38" s="27">
        <f>IF($A38="",0,IF(Mitarbeiter!$G$36=FALSE,0,IF(AND(Mitarbeiter!$E$36&lt;&gt;"",ER$5+6&lt;Mitarbeiter!$E$36),0,IF(AND(Mitarbeiter!$F$36&lt;&gt;"",ER$5&gt;Mitarbeiter!$F$36),0,IF(Planung!ER38="",$C38,IF(ISNUMBER(Planung!ER38),Planung!ER38,IF(UPPER(Planung!ER38)="H",$C38/2,0)))))))</f>
        <v>0</v>
      </c>
      <c r="ES38" s="27">
        <f>IF($A38="",0,IF(Mitarbeiter!$G$36=FALSE,0,IF(AND(Mitarbeiter!$E$36&lt;&gt;"",ES$5+6&lt;Mitarbeiter!$E$36),0,IF(AND(Mitarbeiter!$F$36&lt;&gt;"",ES$5&gt;Mitarbeiter!$F$36),0,IF(Planung!ES38="",$C38,IF(ISNUMBER(Planung!ES38),Planung!ES38,IF(UPPER(Planung!ES38)="H",$C38/2,0)))))))</f>
        <v>0</v>
      </c>
      <c r="ET38" s="27">
        <f>IF($A38="",0,IF(Mitarbeiter!$G$36=FALSE,0,IF(AND(Mitarbeiter!$E$36&lt;&gt;"",ET$5+6&lt;Mitarbeiter!$E$36),0,IF(AND(Mitarbeiter!$F$36&lt;&gt;"",ET$5&gt;Mitarbeiter!$F$36),0,IF(Planung!ET38="",$C38,IF(ISNUMBER(Planung!ET38),Planung!ET38,IF(UPPER(Planung!ET38)="H",$C38/2,0)))))))</f>
        <v>0</v>
      </c>
      <c r="EU38" s="27">
        <f>IF($A38="",0,IF(Mitarbeiter!$G$36=FALSE,0,IF(AND(Mitarbeiter!$E$36&lt;&gt;"",EU$5+6&lt;Mitarbeiter!$E$36),0,IF(AND(Mitarbeiter!$F$36&lt;&gt;"",EU$5&gt;Mitarbeiter!$F$36),0,IF(Planung!EU38="",$C38,IF(ISNUMBER(Planung!EU38),Planung!EU38,IF(UPPER(Planung!EU38)="H",$C38/2,0)))))))</f>
        <v>0</v>
      </c>
      <c r="EV38" s="27">
        <f>IF($A38="",0,IF(Mitarbeiter!$G$36=FALSE,0,IF(AND(Mitarbeiter!$E$36&lt;&gt;"",EV$5+6&lt;Mitarbeiter!$E$36),0,IF(AND(Mitarbeiter!$F$36&lt;&gt;"",EV$5&gt;Mitarbeiter!$F$36),0,IF(Planung!EV38="",$C38,IF(ISNUMBER(Planung!EV38),Planung!EV38,IF(UPPER(Planung!EV38)="H",$C38/2,0)))))))</f>
        <v>0</v>
      </c>
      <c r="EW38" s="27">
        <f>IF($A38="",0,IF(Mitarbeiter!$G$36=FALSE,0,IF(AND(Mitarbeiter!$E$36&lt;&gt;"",EW$5+6&lt;Mitarbeiter!$E$36),0,IF(AND(Mitarbeiter!$F$36&lt;&gt;"",EW$5&gt;Mitarbeiter!$F$36),0,IF(Planung!EW38="",$C38,IF(ISNUMBER(Planung!EW38),Planung!EW38,IF(UPPER(Planung!EW38)="H",$C38/2,0)))))))</f>
        <v>0</v>
      </c>
      <c r="EX38" s="27">
        <f>IF($A38="",0,IF(Mitarbeiter!$G$36=FALSE,0,IF(AND(Mitarbeiter!$E$36&lt;&gt;"",EX$5+6&lt;Mitarbeiter!$E$36),0,IF(AND(Mitarbeiter!$F$36&lt;&gt;"",EX$5&gt;Mitarbeiter!$F$36),0,IF(Planung!EX38="",$C38,IF(ISNUMBER(Planung!EX38),Planung!EX38,IF(UPPER(Planung!EX38)="H",$C38/2,0)))))))</f>
        <v>0</v>
      </c>
      <c r="EY38" s="27">
        <f>IF($A38="",0,IF(Mitarbeiter!$G$36=FALSE,0,IF(AND(Mitarbeiter!$E$36&lt;&gt;"",EY$5+6&lt;Mitarbeiter!$E$36),0,IF(AND(Mitarbeiter!$F$36&lt;&gt;"",EY$5&gt;Mitarbeiter!$F$36),0,IF(Planung!EY38="",$C38,IF(ISNUMBER(Planung!EY38),Planung!EY38,IF(UPPER(Planung!EY38)="H",$C38/2,0)))))))</f>
        <v>0</v>
      </c>
      <c r="EZ38" s="27">
        <f>IF($A38="",0,IF(Mitarbeiter!$G$36=FALSE,0,IF(AND(Mitarbeiter!$E$36&lt;&gt;"",EZ$5+6&lt;Mitarbeiter!$E$36),0,IF(AND(Mitarbeiter!$F$36&lt;&gt;"",EZ$5&gt;Mitarbeiter!$F$36),0,IF(Planung!EZ38="",$C38,IF(ISNUMBER(Planung!EZ38),Planung!EZ38,IF(UPPER(Planung!EZ38)="H",$C38/2,0)))))))</f>
        <v>0</v>
      </c>
      <c r="FA38" s="27">
        <f>IF($A38="",0,IF(Mitarbeiter!$G$36=FALSE,0,IF(AND(Mitarbeiter!$E$36&lt;&gt;"",FA$5+6&lt;Mitarbeiter!$E$36),0,IF(AND(Mitarbeiter!$F$36&lt;&gt;"",FA$5&gt;Mitarbeiter!$F$36),0,IF(Planung!FA38="",$C38,IF(ISNUMBER(Planung!FA38),Planung!FA38,IF(UPPER(Planung!FA38)="H",$C38/2,0)))))))</f>
        <v>0</v>
      </c>
      <c r="FB38" s="27">
        <f>IF($A38="",0,IF(Mitarbeiter!$G$36=FALSE,0,IF(AND(Mitarbeiter!$E$36&lt;&gt;"",FB$5+6&lt;Mitarbeiter!$E$36),0,IF(AND(Mitarbeiter!$F$36&lt;&gt;"",FB$5&gt;Mitarbeiter!$F$36),0,IF(Planung!FB38="",$C38,IF(ISNUMBER(Planung!FB38),Planung!FB38,IF(UPPER(Planung!FB38)="H",$C38/2,0)))))))</f>
        <v>0</v>
      </c>
      <c r="FC38" s="27">
        <f>IF($A38="",0,IF(Mitarbeiter!$G$36=FALSE,0,IF(AND(Mitarbeiter!$E$36&lt;&gt;"",FC$5+6&lt;Mitarbeiter!$E$36),0,IF(AND(Mitarbeiter!$F$36&lt;&gt;"",FC$5&gt;Mitarbeiter!$F$36),0,IF(Planung!FC38="",$C38,IF(ISNUMBER(Planung!FC38),Planung!FC38,IF(UPPER(Planung!FC38)="H",$C38/2,0)))))))</f>
        <v>0</v>
      </c>
      <c r="FD38" s="27">
        <f>IF($A38="",0,IF(Mitarbeiter!$G$36=FALSE,0,IF(AND(Mitarbeiter!$E$36&lt;&gt;"",FD$5+6&lt;Mitarbeiter!$E$36),0,IF(AND(Mitarbeiter!$F$36&lt;&gt;"",FD$5&gt;Mitarbeiter!$F$36),0,IF(Planung!FD38="",$C38,IF(ISNUMBER(Planung!FD38),Planung!FD38,IF(UPPER(Planung!FD38)="H",$C38/2,0)))))))</f>
        <v>0</v>
      </c>
      <c r="FE38" s="27">
        <f>IF($A38="",0,IF(Mitarbeiter!$G$36=FALSE,0,IF(AND(Mitarbeiter!$E$36&lt;&gt;"",FE$5+6&lt;Mitarbeiter!$E$36),0,IF(AND(Mitarbeiter!$F$36&lt;&gt;"",FE$5&gt;Mitarbeiter!$F$36),0,IF(Planung!FE38="",$C38,IF(ISNUMBER(Planung!FE38),Planung!FE38,IF(UPPER(Planung!FE38)="H",$C38/2,0)))))))</f>
        <v>0</v>
      </c>
      <c r="FF38" s="27">
        <f>IF($A38="",0,IF(Mitarbeiter!$G$36=FALSE,0,IF(AND(Mitarbeiter!$E$36&lt;&gt;"",FF$5+6&lt;Mitarbeiter!$E$36),0,IF(AND(Mitarbeiter!$F$36&lt;&gt;"",FF$5&gt;Mitarbeiter!$F$36),0,IF(Planung!FF38="",$C38,IF(ISNUMBER(Planung!FF38),Planung!FF38,IF(UPPER(Planung!FF38)="H",$C38/2,0)))))))</f>
        <v>0</v>
      </c>
      <c r="FG38" s="27">
        <f>IF($A38="",0,IF(Mitarbeiter!$G$36=FALSE,0,IF(AND(Mitarbeiter!$E$36&lt;&gt;"",FG$5+6&lt;Mitarbeiter!$E$36),0,IF(AND(Mitarbeiter!$F$36&lt;&gt;"",FG$5&gt;Mitarbeiter!$F$36),0,IF(Planung!FG38="",$C38,IF(ISNUMBER(Planung!FG38),Planung!FG38,IF(UPPER(Planung!FG38)="H",$C38/2,0)))))))</f>
        <v>0</v>
      </c>
      <c r="FH38" s="27">
        <f>IF($A38="",0,IF(Mitarbeiter!$G$36=FALSE,0,IF(AND(Mitarbeiter!$E$36&lt;&gt;"",FH$5+6&lt;Mitarbeiter!$E$36),0,IF(AND(Mitarbeiter!$F$36&lt;&gt;"",FH$5&gt;Mitarbeiter!$F$36),0,IF(Planung!FH38="",$C38,IF(ISNUMBER(Planung!FH38),Planung!FH38,IF(UPPER(Planung!FH38)="H",$C38/2,0)))))))</f>
        <v>0</v>
      </c>
      <c r="FI38" s="27">
        <f>IF($A38="",0,IF(Mitarbeiter!$G$36=FALSE,0,IF(AND(Mitarbeiter!$E$36&lt;&gt;"",FI$5+6&lt;Mitarbeiter!$E$36),0,IF(AND(Mitarbeiter!$F$36&lt;&gt;"",FI$5&gt;Mitarbeiter!$F$36),0,IF(Planung!FI38="",$C38,IF(ISNUMBER(Planung!FI38),Planung!FI38,IF(UPPER(Planung!FI38)="H",$C38/2,0)))))))</f>
        <v>0</v>
      </c>
      <c r="FJ38" s="27">
        <f>IF($A38="",0,IF(Mitarbeiter!$G$36=FALSE,0,IF(AND(Mitarbeiter!$E$36&lt;&gt;"",FJ$5+6&lt;Mitarbeiter!$E$36),0,IF(AND(Mitarbeiter!$F$36&lt;&gt;"",FJ$5&gt;Mitarbeiter!$F$36),0,IF(Planung!FJ38="",$C38,IF(ISNUMBER(Planung!FJ38),Planung!FJ38,IF(UPPER(Planung!FJ38)="H",$C38/2,0)))))))</f>
        <v>0</v>
      </c>
      <c r="FK38" s="27">
        <f>IF($A38="",0,IF(Mitarbeiter!$G$36=FALSE,0,IF(AND(Mitarbeiter!$E$36&lt;&gt;"",FK$5+6&lt;Mitarbeiter!$E$36),0,IF(AND(Mitarbeiter!$F$36&lt;&gt;"",FK$5&gt;Mitarbeiter!$F$36),0,IF(Planung!FK38="",$C38,IF(ISNUMBER(Planung!FK38),Planung!FK38,IF(UPPER(Planung!FK38)="H",$C38/2,0)))))))</f>
        <v>0</v>
      </c>
      <c r="FL38" s="27">
        <f>IF($A38="",0,IF(Mitarbeiter!$G$36=FALSE,0,IF(AND(Mitarbeiter!$E$36&lt;&gt;"",FL$5+6&lt;Mitarbeiter!$E$36),0,IF(AND(Mitarbeiter!$F$36&lt;&gt;"",FL$5&gt;Mitarbeiter!$F$36),0,IF(Planung!FL38="",$C38,IF(ISNUMBER(Planung!FL38),Planung!FL38,IF(UPPER(Planung!FL38)="H",$C38/2,0)))))))</f>
        <v>0</v>
      </c>
      <c r="FM38" s="27">
        <f>IF($A38="",0,IF(Mitarbeiter!$G$36=FALSE,0,IF(AND(Mitarbeiter!$E$36&lt;&gt;"",FM$5+6&lt;Mitarbeiter!$E$36),0,IF(AND(Mitarbeiter!$F$36&lt;&gt;"",FM$5&gt;Mitarbeiter!$F$36),0,IF(Planung!FM38="",$C38,IF(ISNUMBER(Planung!FM38),Planung!FM38,IF(UPPER(Planung!FM38)="H",$C38/2,0)))))))</f>
        <v>0</v>
      </c>
      <c r="FN38" s="27">
        <f>IF($A38="",0,IF(Mitarbeiter!$G$36=FALSE,0,IF(AND(Mitarbeiter!$E$36&lt;&gt;"",FN$5+6&lt;Mitarbeiter!$E$36),0,IF(AND(Mitarbeiter!$F$36&lt;&gt;"",FN$5&gt;Mitarbeiter!$F$36),0,IF(Planung!FN38="",$C38,IF(ISNUMBER(Planung!FN38),Planung!FN38,IF(UPPER(Planung!FN38)="H",$C38/2,0)))))))</f>
        <v>0</v>
      </c>
      <c r="FO38" s="27">
        <f>IF($A38="",0,IF(Mitarbeiter!$G$36=FALSE,0,IF(AND(Mitarbeiter!$E$36&lt;&gt;"",FO$5+6&lt;Mitarbeiter!$E$36),0,IF(AND(Mitarbeiter!$F$36&lt;&gt;"",FO$5&gt;Mitarbeiter!$F$36),0,IF(Planung!FO38="",$C38,IF(ISNUMBER(Planung!FO38),Planung!FO38,IF(UPPER(Planung!FO38)="H",$C38/2,0)))))))</f>
        <v>0</v>
      </c>
      <c r="FP38" s="27">
        <f>IF($A38="",0,IF(Mitarbeiter!$G$36=FALSE,0,IF(AND(Mitarbeiter!$E$36&lt;&gt;"",FP$5+6&lt;Mitarbeiter!$E$36),0,IF(AND(Mitarbeiter!$F$36&lt;&gt;"",FP$5&gt;Mitarbeiter!$F$36),0,IF(Planung!FP38="",$C38,IF(ISNUMBER(Planung!FP38),Planung!FP38,IF(UPPER(Planung!FP38)="H",$C38/2,0)))))))</f>
        <v>0</v>
      </c>
      <c r="FQ38" s="27">
        <f>IF($A38="",0,IF(Mitarbeiter!$G$36=FALSE,0,IF(AND(Mitarbeiter!$E$36&lt;&gt;"",FQ$5+6&lt;Mitarbeiter!$E$36),0,IF(AND(Mitarbeiter!$F$36&lt;&gt;"",FQ$5&gt;Mitarbeiter!$F$36),0,IF(Planung!FQ38="",$C38,IF(ISNUMBER(Planung!FQ38),Planung!FQ38,IF(UPPER(Planung!FQ38)="H",$C38/2,0)))))))</f>
        <v>0</v>
      </c>
      <c r="FR38" s="27">
        <f>IF($A38="",0,IF(Mitarbeiter!$G$36=FALSE,0,IF(AND(Mitarbeiter!$E$36&lt;&gt;"",FR$5+6&lt;Mitarbeiter!$E$36),0,IF(AND(Mitarbeiter!$F$36&lt;&gt;"",FR$5&gt;Mitarbeiter!$F$36),0,IF(Planung!FR38="",$C38,IF(ISNUMBER(Planung!FR38),Planung!FR38,IF(UPPER(Planung!FR38)="H",$C38/2,0)))))))</f>
        <v>0</v>
      </c>
      <c r="FS38" s="27">
        <f>IF($A38="",0,IF(Mitarbeiter!$G$36=FALSE,0,IF(AND(Mitarbeiter!$E$36&lt;&gt;"",FS$5+6&lt;Mitarbeiter!$E$36),0,IF(AND(Mitarbeiter!$F$36&lt;&gt;"",FS$5&gt;Mitarbeiter!$F$36),0,IF(Planung!FS38="",$C38,IF(ISNUMBER(Planung!FS38),Planung!FS38,IF(UPPER(Planung!FS38)="H",$C38/2,0)))))))</f>
        <v>0</v>
      </c>
      <c r="FT38" s="27">
        <f>IF($A38="",0,IF(Mitarbeiter!$G$36=FALSE,0,IF(AND(Mitarbeiter!$E$36&lt;&gt;"",FT$5+6&lt;Mitarbeiter!$E$36),0,IF(AND(Mitarbeiter!$F$36&lt;&gt;"",FT$5&gt;Mitarbeiter!$F$36),0,IF(Planung!FT38="",$C38,IF(ISNUMBER(Planung!FT38),Planung!FT38,IF(UPPER(Planung!FT38)="H",$C38/2,0)))))))</f>
        <v>0</v>
      </c>
      <c r="FU38" s="27">
        <f>IF($A38="",0,IF(Mitarbeiter!$G$36=FALSE,0,IF(AND(Mitarbeiter!$E$36&lt;&gt;"",FU$5+6&lt;Mitarbeiter!$E$36),0,IF(AND(Mitarbeiter!$F$36&lt;&gt;"",FU$5&gt;Mitarbeiter!$F$36),0,IF(Planung!FU38="",$C38,IF(ISNUMBER(Planung!FU38),Planung!FU38,IF(UPPER(Planung!FU38)="H",$C38/2,0)))))))</f>
        <v>0</v>
      </c>
      <c r="FV38" s="27">
        <f>IF($A38="",0,IF(Mitarbeiter!$G$36=FALSE,0,IF(AND(Mitarbeiter!$E$36&lt;&gt;"",FV$5+6&lt;Mitarbeiter!$E$36),0,IF(AND(Mitarbeiter!$F$36&lt;&gt;"",FV$5&gt;Mitarbeiter!$F$36),0,IF(Planung!FV38="",$C38,IF(ISNUMBER(Planung!FV38),Planung!FV38,IF(UPPER(Planung!FV38)="H",$C38/2,0)))))))</f>
        <v>0</v>
      </c>
      <c r="FW38" s="27">
        <f>IF($A38="",0,IF(Mitarbeiter!$G$36=FALSE,0,IF(AND(Mitarbeiter!$E$36&lt;&gt;"",FW$5+6&lt;Mitarbeiter!$E$36),0,IF(AND(Mitarbeiter!$F$36&lt;&gt;"",FW$5&gt;Mitarbeiter!$F$36),0,IF(Planung!FW38="",$C38,IF(ISNUMBER(Planung!FW38),Planung!FW38,IF(UPPER(Planung!FW38)="H",$C38/2,0)))))))</f>
        <v>0</v>
      </c>
      <c r="FX38" s="27">
        <f>IF($A38="",0,IF(Mitarbeiter!$G$36=FALSE,0,IF(AND(Mitarbeiter!$E$36&lt;&gt;"",FX$5+6&lt;Mitarbeiter!$E$36),0,IF(AND(Mitarbeiter!$F$36&lt;&gt;"",FX$5&gt;Mitarbeiter!$F$36),0,IF(Planung!FX38="",$C38,IF(ISNUMBER(Planung!FX38),Planung!FX38,IF(UPPER(Planung!FX38)="H",$C38/2,0)))))))</f>
        <v>0</v>
      </c>
      <c r="FY38" s="27">
        <f>IF($A38="",0,IF(Mitarbeiter!$G$36=FALSE,0,IF(AND(Mitarbeiter!$E$36&lt;&gt;"",FY$5+6&lt;Mitarbeiter!$E$36),0,IF(AND(Mitarbeiter!$F$36&lt;&gt;"",FY$5&gt;Mitarbeiter!$F$36),0,IF(Planung!FY38="",$C38,IF(ISNUMBER(Planung!FY38),Planung!FY38,IF(UPPER(Planung!FY38)="H",$C38/2,0)))))))</f>
        <v>0</v>
      </c>
      <c r="FZ38" s="27">
        <f>IF($A38="",0,IF(Mitarbeiter!$G$36=FALSE,0,IF(AND(Mitarbeiter!$E$36&lt;&gt;"",FZ$5+6&lt;Mitarbeiter!$E$36),0,IF(AND(Mitarbeiter!$F$36&lt;&gt;"",FZ$5&gt;Mitarbeiter!$F$36),0,IF(Planung!FZ38="",$C38,IF(ISNUMBER(Planung!FZ38),Planung!FZ38,IF(UPPER(Planung!FZ38)="H",$C38/2,0)))))))</f>
        <v>0</v>
      </c>
      <c r="GA38" s="27">
        <f>IF($A38="",0,IF(Mitarbeiter!$G$36=FALSE,0,IF(AND(Mitarbeiter!$E$36&lt;&gt;"",GA$5+6&lt;Mitarbeiter!$E$36),0,IF(AND(Mitarbeiter!$F$36&lt;&gt;"",GA$5&gt;Mitarbeiter!$F$36),0,IF(Planung!GA38="",$C38,IF(ISNUMBER(Planung!GA38),Planung!GA38,IF(UPPER(Planung!GA38)="H",$C38/2,0)))))))</f>
        <v>0</v>
      </c>
      <c r="GB38" s="27">
        <f>IF($A38="",0,IF(Mitarbeiter!$G$36=FALSE,0,IF(AND(Mitarbeiter!$E$36&lt;&gt;"",GB$5+6&lt;Mitarbeiter!$E$36),0,IF(AND(Mitarbeiter!$F$36&lt;&gt;"",GB$5&gt;Mitarbeiter!$F$36),0,IF(Planung!GB38="",$C38,IF(ISNUMBER(Planung!GB38),Planung!GB38,IF(UPPER(Planung!GB38)="H",$C38/2,0)))))))</f>
        <v>0</v>
      </c>
      <c r="GC38" s="27">
        <f>IF($A38="",0,IF(Mitarbeiter!$G$36=FALSE,0,IF(AND(Mitarbeiter!$E$36&lt;&gt;"",GC$5+6&lt;Mitarbeiter!$E$36),0,IF(AND(Mitarbeiter!$F$36&lt;&gt;"",GC$5&gt;Mitarbeiter!$F$36),0,IF(Planung!GC38="",$C38,IF(ISNUMBER(Planung!GC38),Planung!GC38,IF(UPPER(Planung!GC38)="H",$C38/2,0)))))))</f>
        <v>0</v>
      </c>
      <c r="GD38" s="27">
        <f>IF($A38="",0,IF(Mitarbeiter!$G$36=FALSE,0,IF(AND(Mitarbeiter!$E$36&lt;&gt;"",GD$5+6&lt;Mitarbeiter!$E$36),0,IF(AND(Mitarbeiter!$F$36&lt;&gt;"",GD$5&gt;Mitarbeiter!$F$36),0,IF(Planung!GD38="",$C38,IF(ISNUMBER(Planung!GD38),Planung!GD38,IF(UPPER(Planung!GD38)="H",$C38/2,0)))))))</f>
        <v>0</v>
      </c>
      <c r="GE38" s="27">
        <f>IF($A38="",0,IF(Mitarbeiter!$G$36=FALSE,0,IF(AND(Mitarbeiter!$E$36&lt;&gt;"",GE$5+6&lt;Mitarbeiter!$E$36),0,IF(AND(Mitarbeiter!$F$36&lt;&gt;"",GE$5&gt;Mitarbeiter!$F$36),0,IF(Planung!GE38="",$C38,IF(ISNUMBER(Planung!GE38),Planung!GE38,IF(UPPER(Planung!GE38)="H",$C38/2,0)))))))</f>
        <v>0</v>
      </c>
      <c r="GF38" s="27">
        <f>IF($A38="",0,IF(Mitarbeiter!$G$36=FALSE,0,IF(AND(Mitarbeiter!$E$36&lt;&gt;"",GF$5+6&lt;Mitarbeiter!$E$36),0,IF(AND(Mitarbeiter!$F$36&lt;&gt;"",GF$5&gt;Mitarbeiter!$F$36),0,IF(Planung!GF38="",$C38,IF(ISNUMBER(Planung!GF38),Planung!GF38,IF(UPPER(Planung!GF38)="H",$C38/2,0)))))))</f>
        <v>0</v>
      </c>
      <c r="GG38" s="27">
        <f>IF($A38="",0,IF(Mitarbeiter!$G$36=FALSE,0,IF(AND(Mitarbeiter!$E$36&lt;&gt;"",GG$5+6&lt;Mitarbeiter!$E$36),0,IF(AND(Mitarbeiter!$F$36&lt;&gt;"",GG$5&gt;Mitarbeiter!$F$36),0,IF(Planung!GG38="",$C38,IF(ISNUMBER(Planung!GG38),Planung!GG38,IF(UPPER(Planung!GG38)="H",$C38/2,0)))))))</f>
        <v>0</v>
      </c>
      <c r="GH38" s="27">
        <f>IF($A38="",0,IF(Mitarbeiter!$G$36=FALSE,0,IF(AND(Mitarbeiter!$E$36&lt;&gt;"",GH$5+6&lt;Mitarbeiter!$E$36),0,IF(AND(Mitarbeiter!$F$36&lt;&gt;"",GH$5&gt;Mitarbeiter!$F$36),0,IF(Planung!GH38="",$C38,IF(ISNUMBER(Planung!GH38),Planung!GH38,IF(UPPER(Planung!GH38)="H",$C38/2,0)))))))</f>
        <v>0</v>
      </c>
      <c r="GI38" s="27">
        <f>IF($A38="",0,IF(Mitarbeiter!$G$36=FALSE,0,IF(AND(Mitarbeiter!$E$36&lt;&gt;"",GI$5+6&lt;Mitarbeiter!$E$36),0,IF(AND(Mitarbeiter!$F$36&lt;&gt;"",GI$5&gt;Mitarbeiter!$F$36),0,IF(Planung!GI38="",$C38,IF(ISNUMBER(Planung!GI38),Planung!GI38,IF(UPPER(Planung!GI38)="H",$C38/2,0)))))))</f>
        <v>0</v>
      </c>
      <c r="GJ38" s="27">
        <f>IF($A38="",0,IF(Mitarbeiter!$G$36=FALSE,0,IF(AND(Mitarbeiter!$E$36&lt;&gt;"",GJ$5+6&lt;Mitarbeiter!$E$36),0,IF(AND(Mitarbeiter!$F$36&lt;&gt;"",GJ$5&gt;Mitarbeiter!$F$36),0,IF(Planung!GJ38="",$C38,IF(ISNUMBER(Planung!GJ38),Planung!GJ38,IF(UPPER(Planung!GJ38)="H",$C38/2,0)))))))</f>
        <v>0</v>
      </c>
      <c r="GK38" s="27">
        <f>IF($A38="",0,IF(Mitarbeiter!$G$36=FALSE,0,IF(AND(Mitarbeiter!$E$36&lt;&gt;"",GK$5+6&lt;Mitarbeiter!$E$36),0,IF(AND(Mitarbeiter!$F$36&lt;&gt;"",GK$5&gt;Mitarbeiter!$F$36),0,IF(Planung!GK38="",$C38,IF(ISNUMBER(Planung!GK38),Planung!GK38,IF(UPPER(Planung!GK38)="H",$C38/2,0)))))))</f>
        <v>0</v>
      </c>
      <c r="GL38" s="27">
        <f>IF($A38="",0,IF(Mitarbeiter!$G$36=FALSE,0,IF(AND(Mitarbeiter!$E$36&lt;&gt;"",GL$5+6&lt;Mitarbeiter!$E$36),0,IF(AND(Mitarbeiter!$F$36&lt;&gt;"",GL$5&gt;Mitarbeiter!$F$36),0,IF(Planung!GL38="",$C38,IF(ISNUMBER(Planung!GL38),Planung!GL38,IF(UPPER(Planung!GL38)="H",$C38/2,0)))))))</f>
        <v>0</v>
      </c>
      <c r="GM38" s="27">
        <f>IF($A38="",0,IF(Mitarbeiter!$G$36=FALSE,0,IF(AND(Mitarbeiter!$E$36&lt;&gt;"",GM$5+6&lt;Mitarbeiter!$E$36),0,IF(AND(Mitarbeiter!$F$36&lt;&gt;"",GM$5&gt;Mitarbeiter!$F$36),0,IF(Planung!GM38="",$C38,IF(ISNUMBER(Planung!GM38),Planung!GM38,IF(UPPER(Planung!GM38)="H",$C38/2,0)))))))</f>
        <v>0</v>
      </c>
      <c r="GN38" s="27">
        <f>IF($A38="",0,IF(Mitarbeiter!$G$36=FALSE,0,IF(AND(Mitarbeiter!$E$36&lt;&gt;"",GN$5+6&lt;Mitarbeiter!$E$36),0,IF(AND(Mitarbeiter!$F$36&lt;&gt;"",GN$5&gt;Mitarbeiter!$F$36),0,IF(Planung!GN38="",$C38,IF(ISNUMBER(Planung!GN38),Planung!GN38,IF(UPPER(Planung!GN38)="H",$C38/2,0)))))))</f>
        <v>0</v>
      </c>
      <c r="GO38" s="27">
        <f>IF($A38="",0,IF(Mitarbeiter!$G$36=FALSE,0,IF(AND(Mitarbeiter!$E$36&lt;&gt;"",GO$5+6&lt;Mitarbeiter!$E$36),0,IF(AND(Mitarbeiter!$F$36&lt;&gt;"",GO$5&gt;Mitarbeiter!$F$36),0,IF(Planung!GO38="",$C38,IF(ISNUMBER(Planung!GO38),Planung!GO38,IF(UPPER(Planung!GO38)="H",$C38/2,0)))))))</f>
        <v>0</v>
      </c>
      <c r="GP38" s="27">
        <f>IF($A38="",0,IF(Mitarbeiter!$G$36=FALSE,0,IF(AND(Mitarbeiter!$E$36&lt;&gt;"",GP$5+6&lt;Mitarbeiter!$E$36),0,IF(AND(Mitarbeiter!$F$36&lt;&gt;"",GP$5&gt;Mitarbeiter!$F$36),0,IF(Planung!GP38="",$C38,IF(ISNUMBER(Planung!GP38),Planung!GP38,IF(UPPER(Planung!GP38)="H",$C38/2,0)))))))</f>
        <v>0</v>
      </c>
      <c r="GQ38" s="27">
        <f>IF($A38="",0,IF(Mitarbeiter!$G$36=FALSE,0,IF(AND(Mitarbeiter!$E$36&lt;&gt;"",GQ$5+6&lt;Mitarbeiter!$E$36),0,IF(AND(Mitarbeiter!$F$36&lt;&gt;"",GQ$5&gt;Mitarbeiter!$F$36),0,IF(Planung!GQ38="",$C38,IF(ISNUMBER(Planung!GQ38),Planung!GQ38,IF(UPPER(Planung!GQ38)="H",$C38/2,0)))))))</f>
        <v>0</v>
      </c>
      <c r="GR38" s="27">
        <f>IF($A38="",0,IF(Mitarbeiter!$G$36=FALSE,0,IF(AND(Mitarbeiter!$E$36&lt;&gt;"",GR$5+6&lt;Mitarbeiter!$E$36),0,IF(AND(Mitarbeiter!$F$36&lt;&gt;"",GR$5&gt;Mitarbeiter!$F$36),0,IF(Planung!GR38="",$C38,IF(ISNUMBER(Planung!GR38),Planung!GR38,IF(UPPER(Planung!GR38)="H",$C38/2,0)))))))</f>
        <v>0</v>
      </c>
      <c r="GS38" s="27">
        <f>IF($A38="",0,IF(Mitarbeiter!$G$36=FALSE,0,IF(AND(Mitarbeiter!$E$36&lt;&gt;"",GS$5+6&lt;Mitarbeiter!$E$36),0,IF(AND(Mitarbeiter!$F$36&lt;&gt;"",GS$5&gt;Mitarbeiter!$F$36),0,IF(Planung!GS38="",$C38,IF(ISNUMBER(Planung!GS38),Planung!GS38,IF(UPPER(Planung!GS38)="H",$C38/2,0)))))))</f>
        <v>0</v>
      </c>
      <c r="GT38" s="27">
        <f>IF($A38="",0,IF(Mitarbeiter!$G$36=FALSE,0,IF(AND(Mitarbeiter!$E$36&lt;&gt;"",GT$5+6&lt;Mitarbeiter!$E$36),0,IF(AND(Mitarbeiter!$F$36&lt;&gt;"",GT$5&gt;Mitarbeiter!$F$36),0,IF(Planung!GT38="",$C38,IF(ISNUMBER(Planung!GT38),Planung!GT38,IF(UPPER(Planung!GT38)="H",$C38/2,0)))))))</f>
        <v>0</v>
      </c>
      <c r="GU38" s="27">
        <f>IF($A38="",0,IF(Mitarbeiter!$G$36=FALSE,0,IF(AND(Mitarbeiter!$E$36&lt;&gt;"",GU$5+6&lt;Mitarbeiter!$E$36),0,IF(AND(Mitarbeiter!$F$36&lt;&gt;"",GU$5&gt;Mitarbeiter!$F$36),0,IF(Planung!GU38="",$C38,IF(ISNUMBER(Planung!GU38),Planung!GU38,IF(UPPER(Planung!GU38)="H",$C38/2,0)))))))</f>
        <v>0</v>
      </c>
      <c r="GV38" s="27">
        <f>IF($A38="",0,IF(Mitarbeiter!$G$36=FALSE,0,IF(AND(Mitarbeiter!$E$36&lt;&gt;"",GV$5+6&lt;Mitarbeiter!$E$36),0,IF(AND(Mitarbeiter!$F$36&lt;&gt;"",GV$5&gt;Mitarbeiter!$F$36),0,IF(Planung!GV38="",$C38,IF(ISNUMBER(Planung!GV38),Planung!GV38,IF(UPPER(Planung!GV38)="H",$C38/2,0)))))))</f>
        <v>0</v>
      </c>
      <c r="GW38" s="27">
        <f>IF($A38="",0,IF(Mitarbeiter!$G$36=FALSE,0,IF(AND(Mitarbeiter!$E$36&lt;&gt;"",GW$5+6&lt;Mitarbeiter!$E$36),0,IF(AND(Mitarbeiter!$F$36&lt;&gt;"",GW$5&gt;Mitarbeiter!$F$36),0,IF(Planung!GW38="",$C38,IF(ISNUMBER(Planung!GW38),Planung!GW38,IF(UPPER(Planung!GW38)="H",$C38/2,0)))))))</f>
        <v>0</v>
      </c>
      <c r="GX38" s="27">
        <f>IF($A38="",0,IF(Mitarbeiter!$G$36=FALSE,0,IF(AND(Mitarbeiter!$E$36&lt;&gt;"",GX$5+6&lt;Mitarbeiter!$E$36),0,IF(AND(Mitarbeiter!$F$36&lt;&gt;"",GX$5&gt;Mitarbeiter!$F$36),0,IF(Planung!GX38="",$C38,IF(ISNUMBER(Planung!GX38),Planung!GX38,IF(UPPER(Planung!GX38)="H",$C38/2,0)))))))</f>
        <v>0</v>
      </c>
      <c r="GY38" s="27">
        <f>IF($A38="",0,IF(Mitarbeiter!$G$36=FALSE,0,IF(AND(Mitarbeiter!$E$36&lt;&gt;"",GY$5+6&lt;Mitarbeiter!$E$36),0,IF(AND(Mitarbeiter!$F$36&lt;&gt;"",GY$5&gt;Mitarbeiter!$F$36),0,IF(Planung!GY38="",$C38,IF(ISNUMBER(Planung!GY38),Planung!GY38,IF(UPPER(Planung!GY38)="H",$C38/2,0)))))))</f>
        <v>0</v>
      </c>
      <c r="GZ38" s="27">
        <f>IF($A38="",0,IF(Mitarbeiter!$G$36=FALSE,0,IF(AND(Mitarbeiter!$E$36&lt;&gt;"",GZ$5+6&lt;Mitarbeiter!$E$36),0,IF(AND(Mitarbeiter!$F$36&lt;&gt;"",GZ$5&gt;Mitarbeiter!$F$36),0,IF(Planung!GZ38="",$C38,IF(ISNUMBER(Planung!GZ38),Planung!GZ38,IF(UPPER(Planung!GZ38)="H",$C38/2,0)))))))</f>
        <v>0</v>
      </c>
      <c r="HA38" s="27">
        <f>IF($A38="",0,IF(Mitarbeiter!$G$36=FALSE,0,IF(AND(Mitarbeiter!$E$36&lt;&gt;"",HA$5+6&lt;Mitarbeiter!$E$36),0,IF(AND(Mitarbeiter!$F$36&lt;&gt;"",HA$5&gt;Mitarbeiter!$F$36),0,IF(Planung!HA38="",$C38,IF(ISNUMBER(Planung!HA38),Planung!HA38,IF(UPPER(Planung!HA38)="H",$C38/2,0)))))))</f>
        <v>0</v>
      </c>
      <c r="HB38" s="27">
        <f>IF($A38="",0,IF(Mitarbeiter!$G$36=FALSE,0,IF(AND(Mitarbeiter!$E$36&lt;&gt;"",HB$5+6&lt;Mitarbeiter!$E$36),0,IF(AND(Mitarbeiter!$F$36&lt;&gt;"",HB$5&gt;Mitarbeiter!$F$36),0,IF(Planung!HB38="",$C38,IF(ISNUMBER(Planung!HB38),Planung!HB38,IF(UPPER(Planung!HB38)="H",$C38/2,0)))))))</f>
        <v>0</v>
      </c>
      <c r="HC38" s="27">
        <f>IF($A38="",0,IF(Mitarbeiter!$G$36=FALSE,0,IF(AND(Mitarbeiter!$E$36&lt;&gt;"",HC$5+6&lt;Mitarbeiter!$E$36),0,IF(AND(Mitarbeiter!$F$36&lt;&gt;"",HC$5&gt;Mitarbeiter!$F$36),0,IF(Planung!HC38="",$C38,IF(ISNUMBER(Planung!HC38),Planung!HC38,IF(UPPER(Planung!HC38)="H",$C38/2,0)))))))</f>
        <v>0</v>
      </c>
      <c r="HD38" s="27">
        <f>IF($A38="",0,IF(Mitarbeiter!$G$36=FALSE,0,IF(AND(Mitarbeiter!$E$36&lt;&gt;"",HD$5+6&lt;Mitarbeiter!$E$36),0,IF(AND(Mitarbeiter!$F$36&lt;&gt;"",HD$5&gt;Mitarbeiter!$F$36),0,IF(Planung!HD38="",$C38,IF(ISNUMBER(Planung!HD38),Planung!HD38,IF(UPPER(Planung!HD38)="H",$C38/2,0)))))))</f>
        <v>0</v>
      </c>
      <c r="HE38" s="27">
        <f>IF($A38="",0,IF(Mitarbeiter!$G$36=FALSE,0,IF(AND(Mitarbeiter!$E$36&lt;&gt;"",HE$5+6&lt;Mitarbeiter!$E$36),0,IF(AND(Mitarbeiter!$F$36&lt;&gt;"",HE$5&gt;Mitarbeiter!$F$36),0,IF(Planung!HE38="",$C38,IF(ISNUMBER(Planung!HE38),Planung!HE38,IF(UPPER(Planung!HE38)="H",$C38/2,0)))))))</f>
        <v>0</v>
      </c>
      <c r="HF38" s="27">
        <f>IF($A38="",0,IF(Mitarbeiter!$G$36=FALSE,0,IF(AND(Mitarbeiter!$E$36&lt;&gt;"",HF$5+6&lt;Mitarbeiter!$E$36),0,IF(AND(Mitarbeiter!$F$36&lt;&gt;"",HF$5&gt;Mitarbeiter!$F$36),0,IF(Planung!HF38="",$C38,IF(ISNUMBER(Planung!HF38),Planung!HF38,IF(UPPER(Planung!HF38)="H",$C38/2,0)))))))</f>
        <v>0</v>
      </c>
      <c r="HG38" s="27">
        <f>IF($A38="",0,IF(Mitarbeiter!$G$36=FALSE,0,IF(AND(Mitarbeiter!$E$36&lt;&gt;"",HG$5+6&lt;Mitarbeiter!$E$36),0,IF(AND(Mitarbeiter!$F$36&lt;&gt;"",HG$5&gt;Mitarbeiter!$F$36),0,IF(Planung!HG38="",$C38,IF(ISNUMBER(Planung!HG38),Planung!HG38,IF(UPPER(Planung!HG38)="H",$C38/2,0)))))))</f>
        <v>0</v>
      </c>
      <c r="HH38" s="27">
        <f>IF($A38="",0,IF(Mitarbeiter!$G$36=FALSE,0,IF(AND(Mitarbeiter!$E$36&lt;&gt;"",HH$5+6&lt;Mitarbeiter!$E$36),0,IF(AND(Mitarbeiter!$F$36&lt;&gt;"",HH$5&gt;Mitarbeiter!$F$36),0,IF(Planung!HH38="",$C38,IF(ISNUMBER(Planung!HH38),Planung!HH38,IF(UPPER(Planung!HH38)="H",$C38/2,0)))))))</f>
        <v>0</v>
      </c>
      <c r="HI38" s="27">
        <f>IF($A38="",0,IF(Mitarbeiter!$G$36=FALSE,0,IF(AND(Mitarbeiter!$E$36&lt;&gt;"",HI$5+6&lt;Mitarbeiter!$E$36),0,IF(AND(Mitarbeiter!$F$36&lt;&gt;"",HI$5&gt;Mitarbeiter!$F$36),0,IF(Planung!HI38="",$C38,IF(ISNUMBER(Planung!HI38),Planung!HI38,IF(UPPER(Planung!HI38)="H",$C38/2,0)))))))</f>
        <v>0</v>
      </c>
      <c r="HJ38" s="27">
        <f>IF($A38="",0,IF(Mitarbeiter!$G$36=FALSE,0,IF(AND(Mitarbeiter!$E$36&lt;&gt;"",HJ$5+6&lt;Mitarbeiter!$E$36),0,IF(AND(Mitarbeiter!$F$36&lt;&gt;"",HJ$5&gt;Mitarbeiter!$F$36),0,IF(Planung!HJ38="",$C38,IF(ISNUMBER(Planung!HJ38),Planung!HJ38,IF(UPPER(Planung!HJ38)="H",$C38/2,0)))))))</f>
        <v>0</v>
      </c>
      <c r="HK38" s="27">
        <f>IF($A38="",0,IF(Mitarbeiter!$G$36=FALSE,0,IF(AND(Mitarbeiter!$E$36&lt;&gt;"",HK$5+6&lt;Mitarbeiter!$E$36),0,IF(AND(Mitarbeiter!$F$36&lt;&gt;"",HK$5&gt;Mitarbeiter!$F$36),0,IF(Planung!HK38="",$C38,IF(ISNUMBER(Planung!HK38),Planung!HK38,IF(UPPER(Planung!HK38)="H",$C38/2,0)))))))</f>
        <v>0</v>
      </c>
      <c r="HL38" s="27">
        <f>IF($A38="",0,IF(Mitarbeiter!$G$36=FALSE,0,IF(AND(Mitarbeiter!$E$36&lt;&gt;"",HL$5+6&lt;Mitarbeiter!$E$36),0,IF(AND(Mitarbeiter!$F$36&lt;&gt;"",HL$5&gt;Mitarbeiter!$F$36),0,IF(Planung!HL38="",$C38,IF(ISNUMBER(Planung!HL38),Planung!HL38,IF(UPPER(Planung!HL38)="H",$C38/2,0)))))))</f>
        <v>0</v>
      </c>
      <c r="HM38" s="27">
        <f>IF($A38="",0,IF(Mitarbeiter!$G$36=FALSE,0,IF(AND(Mitarbeiter!$E$36&lt;&gt;"",HM$5+6&lt;Mitarbeiter!$E$36),0,IF(AND(Mitarbeiter!$F$36&lt;&gt;"",HM$5&gt;Mitarbeiter!$F$36),0,IF(Planung!HM38="",$C38,IF(ISNUMBER(Planung!HM38),Planung!HM38,IF(UPPER(Planung!HM38)="H",$C38/2,0)))))))</f>
        <v>0</v>
      </c>
      <c r="HN38" s="27">
        <f>IF($A38="",0,IF(Mitarbeiter!$G$36=FALSE,0,IF(AND(Mitarbeiter!$E$36&lt;&gt;"",HN$5+6&lt;Mitarbeiter!$E$36),0,IF(AND(Mitarbeiter!$F$36&lt;&gt;"",HN$5&gt;Mitarbeiter!$F$36),0,IF(Planung!HN38="",$C38,IF(ISNUMBER(Planung!HN38),Planung!HN38,IF(UPPER(Planung!HN38)="H",$C38/2,0)))))))</f>
        <v>0</v>
      </c>
      <c r="HO38" s="27">
        <f>IF($A38="",0,IF(Mitarbeiter!$G$36=FALSE,0,IF(AND(Mitarbeiter!$E$36&lt;&gt;"",HO$5+6&lt;Mitarbeiter!$E$36),0,IF(AND(Mitarbeiter!$F$36&lt;&gt;"",HO$5&gt;Mitarbeiter!$F$36),0,IF(Planung!HO38="",$C38,IF(ISNUMBER(Planung!HO38),Planung!HO38,IF(UPPER(Planung!HO38)="H",$C38/2,0)))))))</f>
        <v>0</v>
      </c>
      <c r="HP38" s="27">
        <f>IF($A38="",0,IF(Mitarbeiter!$G$36=FALSE,0,IF(AND(Mitarbeiter!$E$36&lt;&gt;"",HP$5+6&lt;Mitarbeiter!$E$36),0,IF(AND(Mitarbeiter!$F$36&lt;&gt;"",HP$5&gt;Mitarbeiter!$F$36),0,IF(Planung!HP38="",$C38,IF(ISNUMBER(Planung!HP38),Planung!HP38,IF(UPPER(Planung!HP38)="H",$C38/2,0)))))))</f>
        <v>0</v>
      </c>
      <c r="HQ38" s="27">
        <f>IF($A38="",0,IF(Mitarbeiter!$G$36=FALSE,0,IF(AND(Mitarbeiter!$E$36&lt;&gt;"",HQ$5+6&lt;Mitarbeiter!$E$36),0,IF(AND(Mitarbeiter!$F$36&lt;&gt;"",HQ$5&gt;Mitarbeiter!$F$36),0,IF(Planung!HQ38="",$C38,IF(ISNUMBER(Planung!HQ38),Planung!HQ38,IF(UPPER(Planung!HQ38)="H",$C38/2,0)))))))</f>
        <v>0</v>
      </c>
      <c r="HR38" s="27">
        <f>IF($A38="",0,IF(Mitarbeiter!$G$36=FALSE,0,IF(AND(Mitarbeiter!$E$36&lt;&gt;"",HR$5+6&lt;Mitarbeiter!$E$36),0,IF(AND(Mitarbeiter!$F$36&lt;&gt;"",HR$5&gt;Mitarbeiter!$F$36),0,IF(Planung!HR38="",$C38,IF(ISNUMBER(Planung!HR38),Planung!HR38,IF(UPPER(Planung!HR38)="H",$C38/2,0)))))))</f>
        <v>0</v>
      </c>
      <c r="HS38" s="27">
        <f>IF($A38="",0,IF(Mitarbeiter!$G$36=FALSE,0,IF(AND(Mitarbeiter!$E$36&lt;&gt;"",HS$5+6&lt;Mitarbeiter!$E$36),0,IF(AND(Mitarbeiter!$F$36&lt;&gt;"",HS$5&gt;Mitarbeiter!$F$36),0,IF(Planung!HS38="",$C38,IF(ISNUMBER(Planung!HS38),Planung!HS38,IF(UPPER(Planung!HS38)="H",$C38/2,0)))))))</f>
        <v>0</v>
      </c>
      <c r="HT38" s="27">
        <f>IF($A38="",0,IF(Mitarbeiter!$G$36=FALSE,0,IF(AND(Mitarbeiter!$E$36&lt;&gt;"",HT$5+6&lt;Mitarbeiter!$E$36),0,IF(AND(Mitarbeiter!$F$36&lt;&gt;"",HT$5&gt;Mitarbeiter!$F$36),0,IF(Planung!HT38="",$C38,IF(ISNUMBER(Planung!HT38),Planung!HT38,IF(UPPER(Planung!HT38)="H",$C38/2,0)))))))</f>
        <v>0</v>
      </c>
      <c r="HU38" s="27">
        <f>IF($A38="",0,IF(Mitarbeiter!$G$36=FALSE,0,IF(AND(Mitarbeiter!$E$36&lt;&gt;"",HU$5+6&lt;Mitarbeiter!$E$36),0,IF(AND(Mitarbeiter!$F$36&lt;&gt;"",HU$5&gt;Mitarbeiter!$F$36),0,IF(Planung!HU38="",$C38,IF(ISNUMBER(Planung!HU38),Planung!HU38,IF(UPPER(Planung!HU38)="H",$C38/2,0)))))))</f>
        <v>0</v>
      </c>
      <c r="HV38" s="27">
        <f>IF($A38="",0,IF(Mitarbeiter!$G$36=FALSE,0,IF(AND(Mitarbeiter!$E$36&lt;&gt;"",HV$5+6&lt;Mitarbeiter!$E$36),0,IF(AND(Mitarbeiter!$F$36&lt;&gt;"",HV$5&gt;Mitarbeiter!$F$36),0,IF(Planung!HV38="",$C38,IF(ISNUMBER(Planung!HV38),Planung!HV38,IF(UPPER(Planung!HV38)="H",$C38/2,0)))))))</f>
        <v>0</v>
      </c>
      <c r="HW38" s="27">
        <f>IF($A38="",0,IF(Mitarbeiter!$G$36=FALSE,0,IF(AND(Mitarbeiter!$E$36&lt;&gt;"",HW$5+6&lt;Mitarbeiter!$E$36),0,IF(AND(Mitarbeiter!$F$36&lt;&gt;"",HW$5&gt;Mitarbeiter!$F$36),0,IF(Planung!HW38="",$C38,IF(ISNUMBER(Planung!HW38),Planung!HW38,IF(UPPER(Planung!HW38)="H",$C38/2,0)))))))</f>
        <v>0</v>
      </c>
      <c r="HX38" s="27">
        <f>IF($A38="",0,IF(Mitarbeiter!$G$36=FALSE,0,IF(AND(Mitarbeiter!$E$36&lt;&gt;"",HX$5+6&lt;Mitarbeiter!$E$36),0,IF(AND(Mitarbeiter!$F$36&lt;&gt;"",HX$5&gt;Mitarbeiter!$F$36),0,IF(Planung!HX38="",$C38,IF(ISNUMBER(Planung!HX38),Planung!HX38,IF(UPPER(Planung!HX38)="H",$C38/2,0)))))))</f>
        <v>0</v>
      </c>
      <c r="HY38" s="27">
        <f>IF($A38="",0,IF(Mitarbeiter!$G$36=FALSE,0,IF(AND(Mitarbeiter!$E$36&lt;&gt;"",HY$5+6&lt;Mitarbeiter!$E$36),0,IF(AND(Mitarbeiter!$F$36&lt;&gt;"",HY$5&gt;Mitarbeiter!$F$36),0,IF(Planung!HY38="",$C38,IF(ISNUMBER(Planung!HY38),Planung!HY38,IF(UPPER(Planung!HY38)="H",$C38/2,0)))))))</f>
        <v>0</v>
      </c>
      <c r="HZ38" s="27">
        <f>IF($A38="",0,IF(Mitarbeiter!$G$36=FALSE,0,IF(AND(Mitarbeiter!$E$36&lt;&gt;"",HZ$5+6&lt;Mitarbeiter!$E$36),0,IF(AND(Mitarbeiter!$F$36&lt;&gt;"",HZ$5&gt;Mitarbeiter!$F$36),0,IF(Planung!HZ38="",$C38,IF(ISNUMBER(Planung!HZ38),Planung!HZ38,IF(UPPER(Planung!HZ38)="H",$C38/2,0)))))))</f>
        <v>0</v>
      </c>
      <c r="IA38" s="27">
        <f>IF($A38="",0,IF(Mitarbeiter!$G$36=FALSE,0,IF(AND(Mitarbeiter!$E$36&lt;&gt;"",IA$5+6&lt;Mitarbeiter!$E$36),0,IF(AND(Mitarbeiter!$F$36&lt;&gt;"",IA$5&gt;Mitarbeiter!$F$36),0,IF(Planung!IA38="",$C38,IF(ISNUMBER(Planung!IA38),Planung!IA38,IF(UPPER(Planung!IA38)="H",$C38/2,0)))))))</f>
        <v>0</v>
      </c>
    </row>
    <row r="39" spans="1:235" x14ac:dyDescent="0.25">
      <c r="A39" s="7" t="str">
        <f>Planung!A39</f>
        <v/>
      </c>
      <c r="B39" s="7" t="str">
        <f>Planung!B39</f>
        <v/>
      </c>
      <c r="C39" s="27">
        <f>N(Mitarbeiter!$D$37)</f>
        <v>0</v>
      </c>
      <c r="D39" s="27">
        <f>IF($A39="",0,IF(Mitarbeiter!$G$37=FALSE,0,IF(AND(Mitarbeiter!$E$37&lt;&gt;"",D$5+6&lt;Mitarbeiter!$E$37),0,IF(AND(Mitarbeiter!$F$37&lt;&gt;"",D$5&gt;Mitarbeiter!$F$37),0,IF(Planung!D39="",$C39,IF(ISNUMBER(Planung!D39),Planung!D39,IF(UPPER(Planung!D39)="H",$C39/2,0)))))))</f>
        <v>0</v>
      </c>
      <c r="E39" s="27">
        <f>IF($A39="",0,IF(Mitarbeiter!$G$37=FALSE,0,IF(AND(Mitarbeiter!$E$37&lt;&gt;"",E$5+6&lt;Mitarbeiter!$E$37),0,IF(AND(Mitarbeiter!$F$37&lt;&gt;"",E$5&gt;Mitarbeiter!$F$37),0,IF(Planung!E39="",$C39,IF(ISNUMBER(Planung!E39),Planung!E39,IF(UPPER(Planung!E39)="H",$C39/2,0)))))))</f>
        <v>0</v>
      </c>
      <c r="F39" s="27">
        <f>IF($A39="",0,IF(Mitarbeiter!$G$37=FALSE,0,IF(AND(Mitarbeiter!$E$37&lt;&gt;"",F$5+6&lt;Mitarbeiter!$E$37),0,IF(AND(Mitarbeiter!$F$37&lt;&gt;"",F$5&gt;Mitarbeiter!$F$37),0,IF(Planung!F39="",$C39,IF(ISNUMBER(Planung!F39),Planung!F39,IF(UPPER(Planung!F39)="H",$C39/2,0)))))))</f>
        <v>0</v>
      </c>
      <c r="G39" s="27">
        <f>IF($A39="",0,IF(Mitarbeiter!$G$37=FALSE,0,IF(AND(Mitarbeiter!$E$37&lt;&gt;"",G$5+6&lt;Mitarbeiter!$E$37),0,IF(AND(Mitarbeiter!$F$37&lt;&gt;"",G$5&gt;Mitarbeiter!$F$37),0,IF(Planung!G39="",$C39,IF(ISNUMBER(Planung!G39),Planung!G39,IF(UPPER(Planung!G39)="H",$C39/2,0)))))))</f>
        <v>0</v>
      </c>
      <c r="H39" s="27">
        <f>IF($A39="",0,IF(Mitarbeiter!$G$37=FALSE,0,IF(AND(Mitarbeiter!$E$37&lt;&gt;"",H$5+6&lt;Mitarbeiter!$E$37),0,IF(AND(Mitarbeiter!$F$37&lt;&gt;"",H$5&gt;Mitarbeiter!$F$37),0,IF(Planung!H39="",$C39,IF(ISNUMBER(Planung!H39),Planung!H39,IF(UPPER(Planung!H39)="H",$C39/2,0)))))))</f>
        <v>0</v>
      </c>
      <c r="I39" s="27">
        <f>IF($A39="",0,IF(Mitarbeiter!$G$37=FALSE,0,IF(AND(Mitarbeiter!$E$37&lt;&gt;"",I$5+6&lt;Mitarbeiter!$E$37),0,IF(AND(Mitarbeiter!$F$37&lt;&gt;"",I$5&gt;Mitarbeiter!$F$37),0,IF(Planung!I39="",$C39,IF(ISNUMBER(Planung!I39),Planung!I39,IF(UPPER(Planung!I39)="H",$C39/2,0)))))))</f>
        <v>0</v>
      </c>
      <c r="J39" s="27">
        <f>IF($A39="",0,IF(Mitarbeiter!$G$37=FALSE,0,IF(AND(Mitarbeiter!$E$37&lt;&gt;"",J$5+6&lt;Mitarbeiter!$E$37),0,IF(AND(Mitarbeiter!$F$37&lt;&gt;"",J$5&gt;Mitarbeiter!$F$37),0,IF(Planung!J39="",$C39,IF(ISNUMBER(Planung!J39),Planung!J39,IF(UPPER(Planung!J39)="H",$C39/2,0)))))))</f>
        <v>0</v>
      </c>
      <c r="K39" s="27">
        <f>IF($A39="",0,IF(Mitarbeiter!$G$37=FALSE,0,IF(AND(Mitarbeiter!$E$37&lt;&gt;"",K$5+6&lt;Mitarbeiter!$E$37),0,IF(AND(Mitarbeiter!$F$37&lt;&gt;"",K$5&gt;Mitarbeiter!$F$37),0,IF(Planung!K39="",$C39,IF(ISNUMBER(Planung!K39),Planung!K39,IF(UPPER(Planung!K39)="H",$C39/2,0)))))))</f>
        <v>0</v>
      </c>
      <c r="L39" s="27">
        <f>IF($A39="",0,IF(Mitarbeiter!$G$37=FALSE,0,IF(AND(Mitarbeiter!$E$37&lt;&gt;"",L$5+6&lt;Mitarbeiter!$E$37),0,IF(AND(Mitarbeiter!$F$37&lt;&gt;"",L$5&gt;Mitarbeiter!$F$37),0,IF(Planung!L39="",$C39,IF(ISNUMBER(Planung!L39),Planung!L39,IF(UPPER(Planung!L39)="H",$C39/2,0)))))))</f>
        <v>0</v>
      </c>
      <c r="M39" s="27">
        <f>IF($A39="",0,IF(Mitarbeiter!$G$37=FALSE,0,IF(AND(Mitarbeiter!$E$37&lt;&gt;"",M$5+6&lt;Mitarbeiter!$E$37),0,IF(AND(Mitarbeiter!$F$37&lt;&gt;"",M$5&gt;Mitarbeiter!$F$37),0,IF(Planung!M39="",$C39,IF(ISNUMBER(Planung!M39),Planung!M39,IF(UPPER(Planung!M39)="H",$C39/2,0)))))))</f>
        <v>0</v>
      </c>
      <c r="N39" s="27">
        <f>IF($A39="",0,IF(Mitarbeiter!$G$37=FALSE,0,IF(AND(Mitarbeiter!$E$37&lt;&gt;"",N$5+6&lt;Mitarbeiter!$E$37),0,IF(AND(Mitarbeiter!$F$37&lt;&gt;"",N$5&gt;Mitarbeiter!$F$37),0,IF(Planung!N39="",$C39,IF(ISNUMBER(Planung!N39),Planung!N39,IF(UPPER(Planung!N39)="H",$C39/2,0)))))))</f>
        <v>0</v>
      </c>
      <c r="O39" s="27">
        <f>IF($A39="",0,IF(Mitarbeiter!$G$37=FALSE,0,IF(AND(Mitarbeiter!$E$37&lt;&gt;"",O$5+6&lt;Mitarbeiter!$E$37),0,IF(AND(Mitarbeiter!$F$37&lt;&gt;"",O$5&gt;Mitarbeiter!$F$37),0,IF(Planung!O39="",$C39,IF(ISNUMBER(Planung!O39),Planung!O39,IF(UPPER(Planung!O39)="H",$C39/2,0)))))))</f>
        <v>0</v>
      </c>
      <c r="P39" s="27">
        <f>IF($A39="",0,IF(Mitarbeiter!$G$37=FALSE,0,IF(AND(Mitarbeiter!$E$37&lt;&gt;"",P$5+6&lt;Mitarbeiter!$E$37),0,IF(AND(Mitarbeiter!$F$37&lt;&gt;"",P$5&gt;Mitarbeiter!$F$37),0,IF(Planung!P39="",$C39,IF(ISNUMBER(Planung!P39),Planung!P39,IF(UPPER(Planung!P39)="H",$C39/2,0)))))))</f>
        <v>0</v>
      </c>
      <c r="Q39" s="27">
        <f>IF($A39="",0,IF(Mitarbeiter!$G$37=FALSE,0,IF(AND(Mitarbeiter!$E$37&lt;&gt;"",Q$5+6&lt;Mitarbeiter!$E$37),0,IF(AND(Mitarbeiter!$F$37&lt;&gt;"",Q$5&gt;Mitarbeiter!$F$37),0,IF(Planung!Q39="",$C39,IF(ISNUMBER(Planung!Q39),Planung!Q39,IF(UPPER(Planung!Q39)="H",$C39/2,0)))))))</f>
        <v>0</v>
      </c>
      <c r="R39" s="27">
        <f>IF($A39="",0,IF(Mitarbeiter!$G$37=FALSE,0,IF(AND(Mitarbeiter!$E$37&lt;&gt;"",R$5+6&lt;Mitarbeiter!$E$37),0,IF(AND(Mitarbeiter!$F$37&lt;&gt;"",R$5&gt;Mitarbeiter!$F$37),0,IF(Planung!R39="",$C39,IF(ISNUMBER(Planung!R39),Planung!R39,IF(UPPER(Planung!R39)="H",$C39/2,0)))))))</f>
        <v>0</v>
      </c>
      <c r="S39" s="27">
        <f>IF($A39="",0,IF(Mitarbeiter!$G$37=FALSE,0,IF(AND(Mitarbeiter!$E$37&lt;&gt;"",S$5+6&lt;Mitarbeiter!$E$37),0,IF(AND(Mitarbeiter!$F$37&lt;&gt;"",S$5&gt;Mitarbeiter!$F$37),0,IF(Planung!S39="",$C39,IF(ISNUMBER(Planung!S39),Planung!S39,IF(UPPER(Planung!S39)="H",$C39/2,0)))))))</f>
        <v>0</v>
      </c>
      <c r="T39" s="27">
        <f>IF($A39="",0,IF(Mitarbeiter!$G$37=FALSE,0,IF(AND(Mitarbeiter!$E$37&lt;&gt;"",T$5+6&lt;Mitarbeiter!$E$37),0,IF(AND(Mitarbeiter!$F$37&lt;&gt;"",T$5&gt;Mitarbeiter!$F$37),0,IF(Planung!T39="",$C39,IF(ISNUMBER(Planung!T39),Planung!T39,IF(UPPER(Planung!T39)="H",$C39/2,0)))))))</f>
        <v>0</v>
      </c>
      <c r="U39" s="27">
        <f>IF($A39="",0,IF(Mitarbeiter!$G$37=FALSE,0,IF(AND(Mitarbeiter!$E$37&lt;&gt;"",U$5+6&lt;Mitarbeiter!$E$37),0,IF(AND(Mitarbeiter!$F$37&lt;&gt;"",U$5&gt;Mitarbeiter!$F$37),0,IF(Planung!U39="",$C39,IF(ISNUMBER(Planung!U39),Planung!U39,IF(UPPER(Planung!U39)="H",$C39/2,0)))))))</f>
        <v>0</v>
      </c>
      <c r="V39" s="27">
        <f>IF($A39="",0,IF(Mitarbeiter!$G$37=FALSE,0,IF(AND(Mitarbeiter!$E$37&lt;&gt;"",V$5+6&lt;Mitarbeiter!$E$37),0,IF(AND(Mitarbeiter!$F$37&lt;&gt;"",V$5&gt;Mitarbeiter!$F$37),0,IF(Planung!V39="",$C39,IF(ISNUMBER(Planung!V39),Planung!V39,IF(UPPER(Planung!V39)="H",$C39/2,0)))))))</f>
        <v>0</v>
      </c>
      <c r="W39" s="27">
        <f>IF($A39="",0,IF(Mitarbeiter!$G$37=FALSE,0,IF(AND(Mitarbeiter!$E$37&lt;&gt;"",W$5+6&lt;Mitarbeiter!$E$37),0,IF(AND(Mitarbeiter!$F$37&lt;&gt;"",W$5&gt;Mitarbeiter!$F$37),0,IF(Planung!W39="",$C39,IF(ISNUMBER(Planung!W39),Planung!W39,IF(UPPER(Planung!W39)="H",$C39/2,0)))))))</f>
        <v>0</v>
      </c>
      <c r="X39" s="27">
        <f>IF($A39="",0,IF(Mitarbeiter!$G$37=FALSE,0,IF(AND(Mitarbeiter!$E$37&lt;&gt;"",X$5+6&lt;Mitarbeiter!$E$37),0,IF(AND(Mitarbeiter!$F$37&lt;&gt;"",X$5&gt;Mitarbeiter!$F$37),0,IF(Planung!X39="",$C39,IF(ISNUMBER(Planung!X39),Planung!X39,IF(UPPER(Planung!X39)="H",$C39/2,0)))))))</f>
        <v>0</v>
      </c>
      <c r="Y39" s="27">
        <f>IF($A39="",0,IF(Mitarbeiter!$G$37=FALSE,0,IF(AND(Mitarbeiter!$E$37&lt;&gt;"",Y$5+6&lt;Mitarbeiter!$E$37),0,IF(AND(Mitarbeiter!$F$37&lt;&gt;"",Y$5&gt;Mitarbeiter!$F$37),0,IF(Planung!Y39="",$C39,IF(ISNUMBER(Planung!Y39),Planung!Y39,IF(UPPER(Planung!Y39)="H",$C39/2,0)))))))</f>
        <v>0</v>
      </c>
      <c r="Z39" s="27">
        <f>IF($A39="",0,IF(Mitarbeiter!$G$37=FALSE,0,IF(AND(Mitarbeiter!$E$37&lt;&gt;"",Z$5+6&lt;Mitarbeiter!$E$37),0,IF(AND(Mitarbeiter!$F$37&lt;&gt;"",Z$5&gt;Mitarbeiter!$F$37),0,IF(Planung!Z39="",$C39,IF(ISNUMBER(Planung!Z39),Planung!Z39,IF(UPPER(Planung!Z39)="H",$C39/2,0)))))))</f>
        <v>0</v>
      </c>
      <c r="AA39" s="27">
        <f>IF($A39="",0,IF(Mitarbeiter!$G$37=FALSE,0,IF(AND(Mitarbeiter!$E$37&lt;&gt;"",AA$5+6&lt;Mitarbeiter!$E$37),0,IF(AND(Mitarbeiter!$F$37&lt;&gt;"",AA$5&gt;Mitarbeiter!$F$37),0,IF(Planung!AA39="",$C39,IF(ISNUMBER(Planung!AA39),Planung!AA39,IF(UPPER(Planung!AA39)="H",$C39/2,0)))))))</f>
        <v>0</v>
      </c>
      <c r="AB39" s="27">
        <f>IF($A39="",0,IF(Mitarbeiter!$G$37=FALSE,0,IF(AND(Mitarbeiter!$E$37&lt;&gt;"",AB$5+6&lt;Mitarbeiter!$E$37),0,IF(AND(Mitarbeiter!$F$37&lt;&gt;"",AB$5&gt;Mitarbeiter!$F$37),0,IF(Planung!AB39="",$C39,IF(ISNUMBER(Planung!AB39),Planung!AB39,IF(UPPER(Planung!AB39)="H",$C39/2,0)))))))</f>
        <v>0</v>
      </c>
      <c r="AC39" s="27">
        <f>IF($A39="",0,IF(Mitarbeiter!$G$37=FALSE,0,IF(AND(Mitarbeiter!$E$37&lt;&gt;"",AC$5+6&lt;Mitarbeiter!$E$37),0,IF(AND(Mitarbeiter!$F$37&lt;&gt;"",AC$5&gt;Mitarbeiter!$F$37),0,IF(Planung!AC39="",$C39,IF(ISNUMBER(Planung!AC39),Planung!AC39,IF(UPPER(Planung!AC39)="H",$C39/2,0)))))))</f>
        <v>0</v>
      </c>
      <c r="AD39" s="27">
        <f>IF($A39="",0,IF(Mitarbeiter!$G$37=FALSE,0,IF(AND(Mitarbeiter!$E$37&lt;&gt;"",AD$5+6&lt;Mitarbeiter!$E$37),0,IF(AND(Mitarbeiter!$F$37&lt;&gt;"",AD$5&gt;Mitarbeiter!$F$37),0,IF(Planung!AD39="",$C39,IF(ISNUMBER(Planung!AD39),Planung!AD39,IF(UPPER(Planung!AD39)="H",$C39/2,0)))))))</f>
        <v>0</v>
      </c>
      <c r="AE39" s="27">
        <f>IF($A39="",0,IF(Mitarbeiter!$G$37=FALSE,0,IF(AND(Mitarbeiter!$E$37&lt;&gt;"",AE$5+6&lt;Mitarbeiter!$E$37),0,IF(AND(Mitarbeiter!$F$37&lt;&gt;"",AE$5&gt;Mitarbeiter!$F$37),0,IF(Planung!AE39="",$C39,IF(ISNUMBER(Planung!AE39),Planung!AE39,IF(UPPER(Planung!AE39)="H",$C39/2,0)))))))</f>
        <v>0</v>
      </c>
      <c r="AF39" s="27">
        <f>IF($A39="",0,IF(Mitarbeiter!$G$37=FALSE,0,IF(AND(Mitarbeiter!$E$37&lt;&gt;"",AF$5+6&lt;Mitarbeiter!$E$37),0,IF(AND(Mitarbeiter!$F$37&lt;&gt;"",AF$5&gt;Mitarbeiter!$F$37),0,IF(Planung!AF39="",$C39,IF(ISNUMBER(Planung!AF39),Planung!AF39,IF(UPPER(Planung!AF39)="H",$C39/2,0)))))))</f>
        <v>0</v>
      </c>
      <c r="AG39" s="27">
        <f>IF($A39="",0,IF(Mitarbeiter!$G$37=FALSE,0,IF(AND(Mitarbeiter!$E$37&lt;&gt;"",AG$5+6&lt;Mitarbeiter!$E$37),0,IF(AND(Mitarbeiter!$F$37&lt;&gt;"",AG$5&gt;Mitarbeiter!$F$37),0,IF(Planung!AG39="",$C39,IF(ISNUMBER(Planung!AG39),Planung!AG39,IF(UPPER(Planung!AG39)="H",$C39/2,0)))))))</f>
        <v>0</v>
      </c>
      <c r="AH39" s="27">
        <f>IF($A39="",0,IF(Mitarbeiter!$G$37=FALSE,0,IF(AND(Mitarbeiter!$E$37&lt;&gt;"",AH$5+6&lt;Mitarbeiter!$E$37),0,IF(AND(Mitarbeiter!$F$37&lt;&gt;"",AH$5&gt;Mitarbeiter!$F$37),0,IF(Planung!AH39="",$C39,IF(ISNUMBER(Planung!AH39),Planung!AH39,IF(UPPER(Planung!AH39)="H",$C39/2,0)))))))</f>
        <v>0</v>
      </c>
      <c r="AI39" s="27">
        <f>IF($A39="",0,IF(Mitarbeiter!$G$37=FALSE,0,IF(AND(Mitarbeiter!$E$37&lt;&gt;"",AI$5+6&lt;Mitarbeiter!$E$37),0,IF(AND(Mitarbeiter!$F$37&lt;&gt;"",AI$5&gt;Mitarbeiter!$F$37),0,IF(Planung!AI39="",$C39,IF(ISNUMBER(Planung!AI39),Planung!AI39,IF(UPPER(Planung!AI39)="H",$C39/2,0)))))))</f>
        <v>0</v>
      </c>
      <c r="AJ39" s="27">
        <f>IF($A39="",0,IF(Mitarbeiter!$G$37=FALSE,0,IF(AND(Mitarbeiter!$E$37&lt;&gt;"",AJ$5+6&lt;Mitarbeiter!$E$37),0,IF(AND(Mitarbeiter!$F$37&lt;&gt;"",AJ$5&gt;Mitarbeiter!$F$37),0,IF(Planung!AJ39="",$C39,IF(ISNUMBER(Planung!AJ39),Planung!AJ39,IF(UPPER(Planung!AJ39)="H",$C39/2,0)))))))</f>
        <v>0</v>
      </c>
      <c r="AK39" s="27">
        <f>IF($A39="",0,IF(Mitarbeiter!$G$37=FALSE,0,IF(AND(Mitarbeiter!$E$37&lt;&gt;"",AK$5+6&lt;Mitarbeiter!$E$37),0,IF(AND(Mitarbeiter!$F$37&lt;&gt;"",AK$5&gt;Mitarbeiter!$F$37),0,IF(Planung!AK39="",$C39,IF(ISNUMBER(Planung!AK39),Planung!AK39,IF(UPPER(Planung!AK39)="H",$C39/2,0)))))))</f>
        <v>0</v>
      </c>
      <c r="AL39" s="27">
        <f>IF($A39="",0,IF(Mitarbeiter!$G$37=FALSE,0,IF(AND(Mitarbeiter!$E$37&lt;&gt;"",AL$5+6&lt;Mitarbeiter!$E$37),0,IF(AND(Mitarbeiter!$F$37&lt;&gt;"",AL$5&gt;Mitarbeiter!$F$37),0,IF(Planung!AL39="",$C39,IF(ISNUMBER(Planung!AL39),Planung!AL39,IF(UPPER(Planung!AL39)="H",$C39/2,0)))))))</f>
        <v>0</v>
      </c>
      <c r="AM39" s="27">
        <f>IF($A39="",0,IF(Mitarbeiter!$G$37=FALSE,0,IF(AND(Mitarbeiter!$E$37&lt;&gt;"",AM$5+6&lt;Mitarbeiter!$E$37),0,IF(AND(Mitarbeiter!$F$37&lt;&gt;"",AM$5&gt;Mitarbeiter!$F$37),0,IF(Planung!AM39="",$C39,IF(ISNUMBER(Planung!AM39),Planung!AM39,IF(UPPER(Planung!AM39)="H",$C39/2,0)))))))</f>
        <v>0</v>
      </c>
      <c r="AN39" s="27">
        <f>IF($A39="",0,IF(Mitarbeiter!$G$37=FALSE,0,IF(AND(Mitarbeiter!$E$37&lt;&gt;"",AN$5+6&lt;Mitarbeiter!$E$37),0,IF(AND(Mitarbeiter!$F$37&lt;&gt;"",AN$5&gt;Mitarbeiter!$F$37),0,IF(Planung!AN39="",$C39,IF(ISNUMBER(Planung!AN39),Planung!AN39,IF(UPPER(Planung!AN39)="H",$C39/2,0)))))))</f>
        <v>0</v>
      </c>
      <c r="AO39" s="27">
        <f>IF($A39="",0,IF(Mitarbeiter!$G$37=FALSE,0,IF(AND(Mitarbeiter!$E$37&lt;&gt;"",AO$5+6&lt;Mitarbeiter!$E$37),0,IF(AND(Mitarbeiter!$F$37&lt;&gt;"",AO$5&gt;Mitarbeiter!$F$37),0,IF(Planung!AO39="",$C39,IF(ISNUMBER(Planung!AO39),Planung!AO39,IF(UPPER(Planung!AO39)="H",$C39/2,0)))))))</f>
        <v>0</v>
      </c>
      <c r="AP39" s="27">
        <f>IF($A39="",0,IF(Mitarbeiter!$G$37=FALSE,0,IF(AND(Mitarbeiter!$E$37&lt;&gt;"",AP$5+6&lt;Mitarbeiter!$E$37),0,IF(AND(Mitarbeiter!$F$37&lt;&gt;"",AP$5&gt;Mitarbeiter!$F$37),0,IF(Planung!AP39="",$C39,IF(ISNUMBER(Planung!AP39),Planung!AP39,IF(UPPER(Planung!AP39)="H",$C39/2,0)))))))</f>
        <v>0</v>
      </c>
      <c r="AQ39" s="27">
        <f>IF($A39="",0,IF(Mitarbeiter!$G$37=FALSE,0,IF(AND(Mitarbeiter!$E$37&lt;&gt;"",AQ$5+6&lt;Mitarbeiter!$E$37),0,IF(AND(Mitarbeiter!$F$37&lt;&gt;"",AQ$5&gt;Mitarbeiter!$F$37),0,IF(Planung!AQ39="",$C39,IF(ISNUMBER(Planung!AQ39),Planung!AQ39,IF(UPPER(Planung!AQ39)="H",$C39/2,0)))))))</f>
        <v>0</v>
      </c>
      <c r="AR39" s="27">
        <f>IF($A39="",0,IF(Mitarbeiter!$G$37=FALSE,0,IF(AND(Mitarbeiter!$E$37&lt;&gt;"",AR$5+6&lt;Mitarbeiter!$E$37),0,IF(AND(Mitarbeiter!$F$37&lt;&gt;"",AR$5&gt;Mitarbeiter!$F$37),0,IF(Planung!AR39="",$C39,IF(ISNUMBER(Planung!AR39),Planung!AR39,IF(UPPER(Planung!AR39)="H",$C39/2,0)))))))</f>
        <v>0</v>
      </c>
      <c r="AS39" s="27">
        <f>IF($A39="",0,IF(Mitarbeiter!$G$37=FALSE,0,IF(AND(Mitarbeiter!$E$37&lt;&gt;"",AS$5+6&lt;Mitarbeiter!$E$37),0,IF(AND(Mitarbeiter!$F$37&lt;&gt;"",AS$5&gt;Mitarbeiter!$F$37),0,IF(Planung!AS39="",$C39,IF(ISNUMBER(Planung!AS39),Planung!AS39,IF(UPPER(Planung!AS39)="H",$C39/2,0)))))))</f>
        <v>0</v>
      </c>
      <c r="AT39" s="27">
        <f>IF($A39="",0,IF(Mitarbeiter!$G$37=FALSE,0,IF(AND(Mitarbeiter!$E$37&lt;&gt;"",AT$5+6&lt;Mitarbeiter!$E$37),0,IF(AND(Mitarbeiter!$F$37&lt;&gt;"",AT$5&gt;Mitarbeiter!$F$37),0,IF(Planung!AT39="",$C39,IF(ISNUMBER(Planung!AT39),Planung!AT39,IF(UPPER(Planung!AT39)="H",$C39/2,0)))))))</f>
        <v>0</v>
      </c>
      <c r="AU39" s="27">
        <f>IF($A39="",0,IF(Mitarbeiter!$G$37=FALSE,0,IF(AND(Mitarbeiter!$E$37&lt;&gt;"",AU$5+6&lt;Mitarbeiter!$E$37),0,IF(AND(Mitarbeiter!$F$37&lt;&gt;"",AU$5&gt;Mitarbeiter!$F$37),0,IF(Planung!AU39="",$C39,IF(ISNUMBER(Planung!AU39),Planung!AU39,IF(UPPER(Planung!AU39)="H",$C39/2,0)))))))</f>
        <v>0</v>
      </c>
      <c r="AV39" s="27">
        <f>IF($A39="",0,IF(Mitarbeiter!$G$37=FALSE,0,IF(AND(Mitarbeiter!$E$37&lt;&gt;"",AV$5+6&lt;Mitarbeiter!$E$37),0,IF(AND(Mitarbeiter!$F$37&lt;&gt;"",AV$5&gt;Mitarbeiter!$F$37),0,IF(Planung!AV39="",$C39,IF(ISNUMBER(Planung!AV39),Planung!AV39,IF(UPPER(Planung!AV39)="H",$C39/2,0)))))))</f>
        <v>0</v>
      </c>
      <c r="AW39" s="27">
        <f>IF($A39="",0,IF(Mitarbeiter!$G$37=FALSE,0,IF(AND(Mitarbeiter!$E$37&lt;&gt;"",AW$5+6&lt;Mitarbeiter!$E$37),0,IF(AND(Mitarbeiter!$F$37&lt;&gt;"",AW$5&gt;Mitarbeiter!$F$37),0,IF(Planung!AW39="",$C39,IF(ISNUMBER(Planung!AW39),Planung!AW39,IF(UPPER(Planung!AW39)="H",$C39/2,0)))))))</f>
        <v>0</v>
      </c>
      <c r="AX39" s="27">
        <f>IF($A39="",0,IF(Mitarbeiter!$G$37=FALSE,0,IF(AND(Mitarbeiter!$E$37&lt;&gt;"",AX$5+6&lt;Mitarbeiter!$E$37),0,IF(AND(Mitarbeiter!$F$37&lt;&gt;"",AX$5&gt;Mitarbeiter!$F$37),0,IF(Planung!AX39="",$C39,IF(ISNUMBER(Planung!AX39),Planung!AX39,IF(UPPER(Planung!AX39)="H",$C39/2,0)))))))</f>
        <v>0</v>
      </c>
      <c r="AY39" s="27">
        <f>IF($A39="",0,IF(Mitarbeiter!$G$37=FALSE,0,IF(AND(Mitarbeiter!$E$37&lt;&gt;"",AY$5+6&lt;Mitarbeiter!$E$37),0,IF(AND(Mitarbeiter!$F$37&lt;&gt;"",AY$5&gt;Mitarbeiter!$F$37),0,IF(Planung!AY39="",$C39,IF(ISNUMBER(Planung!AY39),Planung!AY39,IF(UPPER(Planung!AY39)="H",$C39/2,0)))))))</f>
        <v>0</v>
      </c>
      <c r="AZ39" s="27">
        <f>IF($A39="",0,IF(Mitarbeiter!$G$37=FALSE,0,IF(AND(Mitarbeiter!$E$37&lt;&gt;"",AZ$5+6&lt;Mitarbeiter!$E$37),0,IF(AND(Mitarbeiter!$F$37&lt;&gt;"",AZ$5&gt;Mitarbeiter!$F$37),0,IF(Planung!AZ39="",$C39,IF(ISNUMBER(Planung!AZ39),Planung!AZ39,IF(UPPER(Planung!AZ39)="H",$C39/2,0)))))))</f>
        <v>0</v>
      </c>
      <c r="BA39" s="27">
        <f>IF($A39="",0,IF(Mitarbeiter!$G$37=FALSE,0,IF(AND(Mitarbeiter!$E$37&lt;&gt;"",BA$5+6&lt;Mitarbeiter!$E$37),0,IF(AND(Mitarbeiter!$F$37&lt;&gt;"",BA$5&gt;Mitarbeiter!$F$37),0,IF(Planung!BA39="",$C39,IF(ISNUMBER(Planung!BA39),Planung!BA39,IF(UPPER(Planung!BA39)="H",$C39/2,0)))))))</f>
        <v>0</v>
      </c>
      <c r="BB39" s="27">
        <f>IF($A39="",0,IF(Mitarbeiter!$G$37=FALSE,0,IF(AND(Mitarbeiter!$E$37&lt;&gt;"",BB$5+6&lt;Mitarbeiter!$E$37),0,IF(AND(Mitarbeiter!$F$37&lt;&gt;"",BB$5&gt;Mitarbeiter!$F$37),0,IF(Planung!BB39="",$C39,IF(ISNUMBER(Planung!BB39),Planung!BB39,IF(UPPER(Planung!BB39)="H",$C39/2,0)))))))</f>
        <v>0</v>
      </c>
      <c r="BC39" s="27">
        <f>IF($A39="",0,IF(Mitarbeiter!$G$37=FALSE,0,IF(AND(Mitarbeiter!$E$37&lt;&gt;"",BC$5+6&lt;Mitarbeiter!$E$37),0,IF(AND(Mitarbeiter!$F$37&lt;&gt;"",BC$5&gt;Mitarbeiter!$F$37),0,IF(Planung!BC39="",$C39,IF(ISNUMBER(Planung!BC39),Planung!BC39,IF(UPPER(Planung!BC39)="H",$C39/2,0)))))))</f>
        <v>0</v>
      </c>
      <c r="BD39" s="27">
        <f>IF($A39="",0,IF(Mitarbeiter!$G$37=FALSE,0,IF(AND(Mitarbeiter!$E$37&lt;&gt;"",BD$5+6&lt;Mitarbeiter!$E$37),0,IF(AND(Mitarbeiter!$F$37&lt;&gt;"",BD$5&gt;Mitarbeiter!$F$37),0,IF(Planung!BD39="",$C39,IF(ISNUMBER(Planung!BD39),Planung!BD39,IF(UPPER(Planung!BD39)="H",$C39/2,0)))))))</f>
        <v>0</v>
      </c>
      <c r="BE39" s="27">
        <f>IF($A39="",0,IF(Mitarbeiter!$G$37=FALSE,0,IF(AND(Mitarbeiter!$E$37&lt;&gt;"",BE$5+6&lt;Mitarbeiter!$E$37),0,IF(AND(Mitarbeiter!$F$37&lt;&gt;"",BE$5&gt;Mitarbeiter!$F$37),0,IF(Planung!BE39="",$C39,IF(ISNUMBER(Planung!BE39),Planung!BE39,IF(UPPER(Planung!BE39)="H",$C39/2,0)))))))</f>
        <v>0</v>
      </c>
      <c r="BF39" s="27">
        <f>IF($A39="",0,IF(Mitarbeiter!$G$37=FALSE,0,IF(AND(Mitarbeiter!$E$37&lt;&gt;"",BF$5+6&lt;Mitarbeiter!$E$37),0,IF(AND(Mitarbeiter!$F$37&lt;&gt;"",BF$5&gt;Mitarbeiter!$F$37),0,IF(Planung!BF39="",$C39,IF(ISNUMBER(Planung!BF39),Planung!BF39,IF(UPPER(Planung!BF39)="H",$C39/2,0)))))))</f>
        <v>0</v>
      </c>
      <c r="BG39" s="27">
        <f>IF($A39="",0,IF(Mitarbeiter!$G$37=FALSE,0,IF(AND(Mitarbeiter!$E$37&lt;&gt;"",BG$5+6&lt;Mitarbeiter!$E$37),0,IF(AND(Mitarbeiter!$F$37&lt;&gt;"",BG$5&gt;Mitarbeiter!$F$37),0,IF(Planung!BG39="",$C39,IF(ISNUMBER(Planung!BG39),Planung!BG39,IF(UPPER(Planung!BG39)="H",$C39/2,0)))))))</f>
        <v>0</v>
      </c>
      <c r="BH39" s="27">
        <f>IF($A39="",0,IF(Mitarbeiter!$G$37=FALSE,0,IF(AND(Mitarbeiter!$E$37&lt;&gt;"",BH$5+6&lt;Mitarbeiter!$E$37),0,IF(AND(Mitarbeiter!$F$37&lt;&gt;"",BH$5&gt;Mitarbeiter!$F$37),0,IF(Planung!BH39="",$C39,IF(ISNUMBER(Planung!BH39),Planung!BH39,IF(UPPER(Planung!BH39)="H",$C39/2,0)))))))</f>
        <v>0</v>
      </c>
      <c r="BI39" s="27">
        <f>IF($A39="",0,IF(Mitarbeiter!$G$37=FALSE,0,IF(AND(Mitarbeiter!$E$37&lt;&gt;"",BI$5+6&lt;Mitarbeiter!$E$37),0,IF(AND(Mitarbeiter!$F$37&lt;&gt;"",BI$5&gt;Mitarbeiter!$F$37),0,IF(Planung!BI39="",$C39,IF(ISNUMBER(Planung!BI39),Planung!BI39,IF(UPPER(Planung!BI39)="H",$C39/2,0)))))))</f>
        <v>0</v>
      </c>
      <c r="BJ39" s="27">
        <f>IF($A39="",0,IF(Mitarbeiter!$G$37=FALSE,0,IF(AND(Mitarbeiter!$E$37&lt;&gt;"",BJ$5+6&lt;Mitarbeiter!$E$37),0,IF(AND(Mitarbeiter!$F$37&lt;&gt;"",BJ$5&gt;Mitarbeiter!$F$37),0,IF(Planung!BJ39="",$C39,IF(ISNUMBER(Planung!BJ39),Planung!BJ39,IF(UPPER(Planung!BJ39)="H",$C39/2,0)))))))</f>
        <v>0</v>
      </c>
      <c r="BK39" s="27">
        <f>IF($A39="",0,IF(Mitarbeiter!$G$37=FALSE,0,IF(AND(Mitarbeiter!$E$37&lt;&gt;"",BK$5+6&lt;Mitarbeiter!$E$37),0,IF(AND(Mitarbeiter!$F$37&lt;&gt;"",BK$5&gt;Mitarbeiter!$F$37),0,IF(Planung!BK39="",$C39,IF(ISNUMBER(Planung!BK39),Planung!BK39,IF(UPPER(Planung!BK39)="H",$C39/2,0)))))))</f>
        <v>0</v>
      </c>
      <c r="BL39" s="27">
        <f>IF($A39="",0,IF(Mitarbeiter!$G$37=FALSE,0,IF(AND(Mitarbeiter!$E$37&lt;&gt;"",BL$5+6&lt;Mitarbeiter!$E$37),0,IF(AND(Mitarbeiter!$F$37&lt;&gt;"",BL$5&gt;Mitarbeiter!$F$37),0,IF(Planung!BL39="",$C39,IF(ISNUMBER(Planung!BL39),Planung!BL39,IF(UPPER(Planung!BL39)="H",$C39/2,0)))))))</f>
        <v>0</v>
      </c>
      <c r="BM39" s="27">
        <f>IF($A39="",0,IF(Mitarbeiter!$G$37=FALSE,0,IF(AND(Mitarbeiter!$E$37&lt;&gt;"",BM$5+6&lt;Mitarbeiter!$E$37),0,IF(AND(Mitarbeiter!$F$37&lt;&gt;"",BM$5&gt;Mitarbeiter!$F$37),0,IF(Planung!BM39="",$C39,IF(ISNUMBER(Planung!BM39),Planung!BM39,IF(UPPER(Planung!BM39)="H",$C39/2,0)))))))</f>
        <v>0</v>
      </c>
      <c r="BN39" s="27">
        <f>IF($A39="",0,IF(Mitarbeiter!$G$37=FALSE,0,IF(AND(Mitarbeiter!$E$37&lt;&gt;"",BN$5+6&lt;Mitarbeiter!$E$37),0,IF(AND(Mitarbeiter!$F$37&lt;&gt;"",BN$5&gt;Mitarbeiter!$F$37),0,IF(Planung!BN39="",$C39,IF(ISNUMBER(Planung!BN39),Planung!BN39,IF(UPPER(Planung!BN39)="H",$C39/2,0)))))))</f>
        <v>0</v>
      </c>
      <c r="BO39" s="27">
        <f>IF($A39="",0,IF(Mitarbeiter!$G$37=FALSE,0,IF(AND(Mitarbeiter!$E$37&lt;&gt;"",BO$5+6&lt;Mitarbeiter!$E$37),0,IF(AND(Mitarbeiter!$F$37&lt;&gt;"",BO$5&gt;Mitarbeiter!$F$37),0,IF(Planung!BO39="",$C39,IF(ISNUMBER(Planung!BO39),Planung!BO39,IF(UPPER(Planung!BO39)="H",$C39/2,0)))))))</f>
        <v>0</v>
      </c>
      <c r="BP39" s="27">
        <f>IF($A39="",0,IF(Mitarbeiter!$G$37=FALSE,0,IF(AND(Mitarbeiter!$E$37&lt;&gt;"",BP$5+6&lt;Mitarbeiter!$E$37),0,IF(AND(Mitarbeiter!$F$37&lt;&gt;"",BP$5&gt;Mitarbeiter!$F$37),0,IF(Planung!BP39="",$C39,IF(ISNUMBER(Planung!BP39),Planung!BP39,IF(UPPER(Planung!BP39)="H",$C39/2,0)))))))</f>
        <v>0</v>
      </c>
      <c r="BQ39" s="27">
        <f>IF($A39="",0,IF(Mitarbeiter!$G$37=FALSE,0,IF(AND(Mitarbeiter!$E$37&lt;&gt;"",BQ$5+6&lt;Mitarbeiter!$E$37),0,IF(AND(Mitarbeiter!$F$37&lt;&gt;"",BQ$5&gt;Mitarbeiter!$F$37),0,IF(Planung!BQ39="",$C39,IF(ISNUMBER(Planung!BQ39),Planung!BQ39,IF(UPPER(Planung!BQ39)="H",$C39/2,0)))))))</f>
        <v>0</v>
      </c>
      <c r="BR39" s="27">
        <f>IF($A39="",0,IF(Mitarbeiter!$G$37=FALSE,0,IF(AND(Mitarbeiter!$E$37&lt;&gt;"",BR$5+6&lt;Mitarbeiter!$E$37),0,IF(AND(Mitarbeiter!$F$37&lt;&gt;"",BR$5&gt;Mitarbeiter!$F$37),0,IF(Planung!BR39="",$C39,IF(ISNUMBER(Planung!BR39),Planung!BR39,IF(UPPER(Planung!BR39)="H",$C39/2,0)))))))</f>
        <v>0</v>
      </c>
      <c r="BS39" s="27">
        <f>IF($A39="",0,IF(Mitarbeiter!$G$37=FALSE,0,IF(AND(Mitarbeiter!$E$37&lt;&gt;"",BS$5+6&lt;Mitarbeiter!$E$37),0,IF(AND(Mitarbeiter!$F$37&lt;&gt;"",BS$5&gt;Mitarbeiter!$F$37),0,IF(Planung!BS39="",$C39,IF(ISNUMBER(Planung!BS39),Planung!BS39,IF(UPPER(Planung!BS39)="H",$C39/2,0)))))))</f>
        <v>0</v>
      </c>
      <c r="BT39" s="27">
        <f>IF($A39="",0,IF(Mitarbeiter!$G$37=FALSE,0,IF(AND(Mitarbeiter!$E$37&lt;&gt;"",BT$5+6&lt;Mitarbeiter!$E$37),0,IF(AND(Mitarbeiter!$F$37&lt;&gt;"",BT$5&gt;Mitarbeiter!$F$37),0,IF(Planung!BT39="",$C39,IF(ISNUMBER(Planung!BT39),Planung!BT39,IF(UPPER(Planung!BT39)="H",$C39/2,0)))))))</f>
        <v>0</v>
      </c>
      <c r="BU39" s="27">
        <f>IF($A39="",0,IF(Mitarbeiter!$G$37=FALSE,0,IF(AND(Mitarbeiter!$E$37&lt;&gt;"",BU$5+6&lt;Mitarbeiter!$E$37),0,IF(AND(Mitarbeiter!$F$37&lt;&gt;"",BU$5&gt;Mitarbeiter!$F$37),0,IF(Planung!BU39="",$C39,IF(ISNUMBER(Planung!BU39),Planung!BU39,IF(UPPER(Planung!BU39)="H",$C39/2,0)))))))</f>
        <v>0</v>
      </c>
      <c r="BV39" s="27">
        <f>IF($A39="",0,IF(Mitarbeiter!$G$37=FALSE,0,IF(AND(Mitarbeiter!$E$37&lt;&gt;"",BV$5+6&lt;Mitarbeiter!$E$37),0,IF(AND(Mitarbeiter!$F$37&lt;&gt;"",BV$5&gt;Mitarbeiter!$F$37),0,IF(Planung!BV39="",$C39,IF(ISNUMBER(Planung!BV39),Planung!BV39,IF(UPPER(Planung!BV39)="H",$C39/2,0)))))))</f>
        <v>0</v>
      </c>
      <c r="BW39" s="27">
        <f>IF($A39="",0,IF(Mitarbeiter!$G$37=FALSE,0,IF(AND(Mitarbeiter!$E$37&lt;&gt;"",BW$5+6&lt;Mitarbeiter!$E$37),0,IF(AND(Mitarbeiter!$F$37&lt;&gt;"",BW$5&gt;Mitarbeiter!$F$37),0,IF(Planung!BW39="",$C39,IF(ISNUMBER(Planung!BW39),Planung!BW39,IF(UPPER(Planung!BW39)="H",$C39/2,0)))))))</f>
        <v>0</v>
      </c>
      <c r="BX39" s="27">
        <f>IF($A39="",0,IF(Mitarbeiter!$G$37=FALSE,0,IF(AND(Mitarbeiter!$E$37&lt;&gt;"",BX$5+6&lt;Mitarbeiter!$E$37),0,IF(AND(Mitarbeiter!$F$37&lt;&gt;"",BX$5&gt;Mitarbeiter!$F$37),0,IF(Planung!BX39="",$C39,IF(ISNUMBER(Planung!BX39),Planung!BX39,IF(UPPER(Planung!BX39)="H",$C39/2,0)))))))</f>
        <v>0</v>
      </c>
      <c r="BY39" s="27">
        <f>IF($A39="",0,IF(Mitarbeiter!$G$37=FALSE,0,IF(AND(Mitarbeiter!$E$37&lt;&gt;"",BY$5+6&lt;Mitarbeiter!$E$37),0,IF(AND(Mitarbeiter!$F$37&lt;&gt;"",BY$5&gt;Mitarbeiter!$F$37),0,IF(Planung!BY39="",$C39,IF(ISNUMBER(Planung!BY39),Planung!BY39,IF(UPPER(Planung!BY39)="H",$C39/2,0)))))))</f>
        <v>0</v>
      </c>
      <c r="BZ39" s="27">
        <f>IF($A39="",0,IF(Mitarbeiter!$G$37=FALSE,0,IF(AND(Mitarbeiter!$E$37&lt;&gt;"",BZ$5+6&lt;Mitarbeiter!$E$37),0,IF(AND(Mitarbeiter!$F$37&lt;&gt;"",BZ$5&gt;Mitarbeiter!$F$37),0,IF(Planung!BZ39="",$C39,IF(ISNUMBER(Planung!BZ39),Planung!BZ39,IF(UPPER(Planung!BZ39)="H",$C39/2,0)))))))</f>
        <v>0</v>
      </c>
      <c r="CA39" s="27">
        <f>IF($A39="",0,IF(Mitarbeiter!$G$37=FALSE,0,IF(AND(Mitarbeiter!$E$37&lt;&gt;"",CA$5+6&lt;Mitarbeiter!$E$37),0,IF(AND(Mitarbeiter!$F$37&lt;&gt;"",CA$5&gt;Mitarbeiter!$F$37),0,IF(Planung!CA39="",$C39,IF(ISNUMBER(Planung!CA39),Planung!CA39,IF(UPPER(Planung!CA39)="H",$C39/2,0)))))))</f>
        <v>0</v>
      </c>
      <c r="CB39" s="27">
        <f>IF($A39="",0,IF(Mitarbeiter!$G$37=FALSE,0,IF(AND(Mitarbeiter!$E$37&lt;&gt;"",CB$5+6&lt;Mitarbeiter!$E$37),0,IF(AND(Mitarbeiter!$F$37&lt;&gt;"",CB$5&gt;Mitarbeiter!$F$37),0,IF(Planung!CB39="",$C39,IF(ISNUMBER(Planung!CB39),Planung!CB39,IF(UPPER(Planung!CB39)="H",$C39/2,0)))))))</f>
        <v>0</v>
      </c>
      <c r="CC39" s="27">
        <f>IF($A39="",0,IF(Mitarbeiter!$G$37=FALSE,0,IF(AND(Mitarbeiter!$E$37&lt;&gt;"",CC$5+6&lt;Mitarbeiter!$E$37),0,IF(AND(Mitarbeiter!$F$37&lt;&gt;"",CC$5&gt;Mitarbeiter!$F$37),0,IF(Planung!CC39="",$C39,IF(ISNUMBER(Planung!CC39),Planung!CC39,IF(UPPER(Planung!CC39)="H",$C39/2,0)))))))</f>
        <v>0</v>
      </c>
      <c r="CD39" s="27">
        <f>IF($A39="",0,IF(Mitarbeiter!$G$37=FALSE,0,IF(AND(Mitarbeiter!$E$37&lt;&gt;"",CD$5+6&lt;Mitarbeiter!$E$37),0,IF(AND(Mitarbeiter!$F$37&lt;&gt;"",CD$5&gt;Mitarbeiter!$F$37),0,IF(Planung!CD39="",$C39,IF(ISNUMBER(Planung!CD39),Planung!CD39,IF(UPPER(Planung!CD39)="H",$C39/2,0)))))))</f>
        <v>0</v>
      </c>
      <c r="CE39" s="27">
        <f>IF($A39="",0,IF(Mitarbeiter!$G$37=FALSE,0,IF(AND(Mitarbeiter!$E$37&lt;&gt;"",CE$5+6&lt;Mitarbeiter!$E$37),0,IF(AND(Mitarbeiter!$F$37&lt;&gt;"",CE$5&gt;Mitarbeiter!$F$37),0,IF(Planung!CE39="",$C39,IF(ISNUMBER(Planung!CE39),Planung!CE39,IF(UPPER(Planung!CE39)="H",$C39/2,0)))))))</f>
        <v>0</v>
      </c>
      <c r="CF39" s="27">
        <f>IF($A39="",0,IF(Mitarbeiter!$G$37=FALSE,0,IF(AND(Mitarbeiter!$E$37&lt;&gt;"",CF$5+6&lt;Mitarbeiter!$E$37),0,IF(AND(Mitarbeiter!$F$37&lt;&gt;"",CF$5&gt;Mitarbeiter!$F$37),0,IF(Planung!CF39="",$C39,IF(ISNUMBER(Planung!CF39),Planung!CF39,IF(UPPER(Planung!CF39)="H",$C39/2,0)))))))</f>
        <v>0</v>
      </c>
      <c r="CG39" s="27">
        <f>IF($A39="",0,IF(Mitarbeiter!$G$37=FALSE,0,IF(AND(Mitarbeiter!$E$37&lt;&gt;"",CG$5+6&lt;Mitarbeiter!$E$37),0,IF(AND(Mitarbeiter!$F$37&lt;&gt;"",CG$5&gt;Mitarbeiter!$F$37),0,IF(Planung!CG39="",$C39,IF(ISNUMBER(Planung!CG39),Planung!CG39,IF(UPPER(Planung!CG39)="H",$C39/2,0)))))))</f>
        <v>0</v>
      </c>
      <c r="CH39" s="27">
        <f>IF($A39="",0,IF(Mitarbeiter!$G$37=FALSE,0,IF(AND(Mitarbeiter!$E$37&lt;&gt;"",CH$5+6&lt;Mitarbeiter!$E$37),0,IF(AND(Mitarbeiter!$F$37&lt;&gt;"",CH$5&gt;Mitarbeiter!$F$37),0,IF(Planung!CH39="",$C39,IF(ISNUMBER(Planung!CH39),Planung!CH39,IF(UPPER(Planung!CH39)="H",$C39/2,0)))))))</f>
        <v>0</v>
      </c>
      <c r="CI39" s="27">
        <f>IF($A39="",0,IF(Mitarbeiter!$G$37=FALSE,0,IF(AND(Mitarbeiter!$E$37&lt;&gt;"",CI$5+6&lt;Mitarbeiter!$E$37),0,IF(AND(Mitarbeiter!$F$37&lt;&gt;"",CI$5&gt;Mitarbeiter!$F$37),0,IF(Planung!CI39="",$C39,IF(ISNUMBER(Planung!CI39),Planung!CI39,IF(UPPER(Planung!CI39)="H",$C39/2,0)))))))</f>
        <v>0</v>
      </c>
      <c r="CJ39" s="27">
        <f>IF($A39="",0,IF(Mitarbeiter!$G$37=FALSE,0,IF(AND(Mitarbeiter!$E$37&lt;&gt;"",CJ$5+6&lt;Mitarbeiter!$E$37),0,IF(AND(Mitarbeiter!$F$37&lt;&gt;"",CJ$5&gt;Mitarbeiter!$F$37),0,IF(Planung!CJ39="",$C39,IF(ISNUMBER(Planung!CJ39),Planung!CJ39,IF(UPPER(Planung!CJ39)="H",$C39/2,0)))))))</f>
        <v>0</v>
      </c>
      <c r="CK39" s="27">
        <f>IF($A39="",0,IF(Mitarbeiter!$G$37=FALSE,0,IF(AND(Mitarbeiter!$E$37&lt;&gt;"",CK$5+6&lt;Mitarbeiter!$E$37),0,IF(AND(Mitarbeiter!$F$37&lt;&gt;"",CK$5&gt;Mitarbeiter!$F$37),0,IF(Planung!CK39="",$C39,IF(ISNUMBER(Planung!CK39),Planung!CK39,IF(UPPER(Planung!CK39)="H",$C39/2,0)))))))</f>
        <v>0</v>
      </c>
      <c r="CL39" s="27">
        <f>IF($A39="",0,IF(Mitarbeiter!$G$37=FALSE,0,IF(AND(Mitarbeiter!$E$37&lt;&gt;"",CL$5+6&lt;Mitarbeiter!$E$37),0,IF(AND(Mitarbeiter!$F$37&lt;&gt;"",CL$5&gt;Mitarbeiter!$F$37),0,IF(Planung!CL39="",$C39,IF(ISNUMBER(Planung!CL39),Planung!CL39,IF(UPPER(Planung!CL39)="H",$C39/2,0)))))))</f>
        <v>0</v>
      </c>
      <c r="CM39" s="27">
        <f>IF($A39="",0,IF(Mitarbeiter!$G$37=FALSE,0,IF(AND(Mitarbeiter!$E$37&lt;&gt;"",CM$5+6&lt;Mitarbeiter!$E$37),0,IF(AND(Mitarbeiter!$F$37&lt;&gt;"",CM$5&gt;Mitarbeiter!$F$37),0,IF(Planung!CM39="",$C39,IF(ISNUMBER(Planung!CM39),Planung!CM39,IF(UPPER(Planung!CM39)="H",$C39/2,0)))))))</f>
        <v>0</v>
      </c>
      <c r="CN39" s="27">
        <f>IF($A39="",0,IF(Mitarbeiter!$G$37=FALSE,0,IF(AND(Mitarbeiter!$E$37&lt;&gt;"",CN$5+6&lt;Mitarbeiter!$E$37),0,IF(AND(Mitarbeiter!$F$37&lt;&gt;"",CN$5&gt;Mitarbeiter!$F$37),0,IF(Planung!CN39="",$C39,IF(ISNUMBER(Planung!CN39),Planung!CN39,IF(UPPER(Planung!CN39)="H",$C39/2,0)))))))</f>
        <v>0</v>
      </c>
      <c r="CO39" s="27">
        <f>IF($A39="",0,IF(Mitarbeiter!$G$37=FALSE,0,IF(AND(Mitarbeiter!$E$37&lt;&gt;"",CO$5+6&lt;Mitarbeiter!$E$37),0,IF(AND(Mitarbeiter!$F$37&lt;&gt;"",CO$5&gt;Mitarbeiter!$F$37),0,IF(Planung!CO39="",$C39,IF(ISNUMBER(Planung!CO39),Planung!CO39,IF(UPPER(Planung!CO39)="H",$C39/2,0)))))))</f>
        <v>0</v>
      </c>
      <c r="CP39" s="27">
        <f>IF($A39="",0,IF(Mitarbeiter!$G$37=FALSE,0,IF(AND(Mitarbeiter!$E$37&lt;&gt;"",CP$5+6&lt;Mitarbeiter!$E$37),0,IF(AND(Mitarbeiter!$F$37&lt;&gt;"",CP$5&gt;Mitarbeiter!$F$37),0,IF(Planung!CP39="",$C39,IF(ISNUMBER(Planung!CP39),Planung!CP39,IF(UPPER(Planung!CP39)="H",$C39/2,0)))))))</f>
        <v>0</v>
      </c>
      <c r="CQ39" s="27">
        <f>IF($A39="",0,IF(Mitarbeiter!$G$37=FALSE,0,IF(AND(Mitarbeiter!$E$37&lt;&gt;"",CQ$5+6&lt;Mitarbeiter!$E$37),0,IF(AND(Mitarbeiter!$F$37&lt;&gt;"",CQ$5&gt;Mitarbeiter!$F$37),0,IF(Planung!CQ39="",$C39,IF(ISNUMBER(Planung!CQ39),Planung!CQ39,IF(UPPER(Planung!CQ39)="H",$C39/2,0)))))))</f>
        <v>0</v>
      </c>
      <c r="CR39" s="27">
        <f>IF($A39="",0,IF(Mitarbeiter!$G$37=FALSE,0,IF(AND(Mitarbeiter!$E$37&lt;&gt;"",CR$5+6&lt;Mitarbeiter!$E$37),0,IF(AND(Mitarbeiter!$F$37&lt;&gt;"",CR$5&gt;Mitarbeiter!$F$37),0,IF(Planung!CR39="",$C39,IF(ISNUMBER(Planung!CR39),Planung!CR39,IF(UPPER(Planung!CR39)="H",$C39/2,0)))))))</f>
        <v>0</v>
      </c>
      <c r="CS39" s="27">
        <f>IF($A39="",0,IF(Mitarbeiter!$G$37=FALSE,0,IF(AND(Mitarbeiter!$E$37&lt;&gt;"",CS$5+6&lt;Mitarbeiter!$E$37),0,IF(AND(Mitarbeiter!$F$37&lt;&gt;"",CS$5&gt;Mitarbeiter!$F$37),0,IF(Planung!CS39="",$C39,IF(ISNUMBER(Planung!CS39),Planung!CS39,IF(UPPER(Planung!CS39)="H",$C39/2,0)))))))</f>
        <v>0</v>
      </c>
      <c r="CT39" s="27">
        <f>IF($A39="",0,IF(Mitarbeiter!$G$37=FALSE,0,IF(AND(Mitarbeiter!$E$37&lt;&gt;"",CT$5+6&lt;Mitarbeiter!$E$37),0,IF(AND(Mitarbeiter!$F$37&lt;&gt;"",CT$5&gt;Mitarbeiter!$F$37),0,IF(Planung!CT39="",$C39,IF(ISNUMBER(Planung!CT39),Planung!CT39,IF(UPPER(Planung!CT39)="H",$C39/2,0)))))))</f>
        <v>0</v>
      </c>
      <c r="CU39" s="27">
        <f>IF($A39="",0,IF(Mitarbeiter!$G$37=FALSE,0,IF(AND(Mitarbeiter!$E$37&lt;&gt;"",CU$5+6&lt;Mitarbeiter!$E$37),0,IF(AND(Mitarbeiter!$F$37&lt;&gt;"",CU$5&gt;Mitarbeiter!$F$37),0,IF(Planung!CU39="",$C39,IF(ISNUMBER(Planung!CU39),Planung!CU39,IF(UPPER(Planung!CU39)="H",$C39/2,0)))))))</f>
        <v>0</v>
      </c>
      <c r="CV39" s="27">
        <f>IF($A39="",0,IF(Mitarbeiter!$G$37=FALSE,0,IF(AND(Mitarbeiter!$E$37&lt;&gt;"",CV$5+6&lt;Mitarbeiter!$E$37),0,IF(AND(Mitarbeiter!$F$37&lt;&gt;"",CV$5&gt;Mitarbeiter!$F$37),0,IF(Planung!CV39="",$C39,IF(ISNUMBER(Planung!CV39),Planung!CV39,IF(UPPER(Planung!CV39)="H",$C39/2,0)))))))</f>
        <v>0</v>
      </c>
      <c r="CW39" s="27">
        <f>IF($A39="",0,IF(Mitarbeiter!$G$37=FALSE,0,IF(AND(Mitarbeiter!$E$37&lt;&gt;"",CW$5+6&lt;Mitarbeiter!$E$37),0,IF(AND(Mitarbeiter!$F$37&lt;&gt;"",CW$5&gt;Mitarbeiter!$F$37),0,IF(Planung!CW39="",$C39,IF(ISNUMBER(Planung!CW39),Planung!CW39,IF(UPPER(Planung!CW39)="H",$C39/2,0)))))))</f>
        <v>0</v>
      </c>
      <c r="CX39" s="27">
        <f>IF($A39="",0,IF(Mitarbeiter!$G$37=FALSE,0,IF(AND(Mitarbeiter!$E$37&lt;&gt;"",CX$5+6&lt;Mitarbeiter!$E$37),0,IF(AND(Mitarbeiter!$F$37&lt;&gt;"",CX$5&gt;Mitarbeiter!$F$37),0,IF(Planung!CX39="",$C39,IF(ISNUMBER(Planung!CX39),Planung!CX39,IF(UPPER(Planung!CX39)="H",$C39/2,0)))))))</f>
        <v>0</v>
      </c>
      <c r="CY39" s="27">
        <f>IF($A39="",0,IF(Mitarbeiter!$G$37=FALSE,0,IF(AND(Mitarbeiter!$E$37&lt;&gt;"",CY$5+6&lt;Mitarbeiter!$E$37),0,IF(AND(Mitarbeiter!$F$37&lt;&gt;"",CY$5&gt;Mitarbeiter!$F$37),0,IF(Planung!CY39="",$C39,IF(ISNUMBER(Planung!CY39),Planung!CY39,IF(UPPER(Planung!CY39)="H",$C39/2,0)))))))</f>
        <v>0</v>
      </c>
      <c r="CZ39" s="27">
        <f>IF($A39="",0,IF(Mitarbeiter!$G$37=FALSE,0,IF(AND(Mitarbeiter!$E$37&lt;&gt;"",CZ$5+6&lt;Mitarbeiter!$E$37),0,IF(AND(Mitarbeiter!$F$37&lt;&gt;"",CZ$5&gt;Mitarbeiter!$F$37),0,IF(Planung!CZ39="",$C39,IF(ISNUMBER(Planung!CZ39),Planung!CZ39,IF(UPPER(Planung!CZ39)="H",$C39/2,0)))))))</f>
        <v>0</v>
      </c>
      <c r="DA39" s="27">
        <f>IF($A39="",0,IF(Mitarbeiter!$G$37=FALSE,0,IF(AND(Mitarbeiter!$E$37&lt;&gt;"",DA$5+6&lt;Mitarbeiter!$E$37),0,IF(AND(Mitarbeiter!$F$37&lt;&gt;"",DA$5&gt;Mitarbeiter!$F$37),0,IF(Planung!DA39="",$C39,IF(ISNUMBER(Planung!DA39),Planung!DA39,IF(UPPER(Planung!DA39)="H",$C39/2,0)))))))</f>
        <v>0</v>
      </c>
      <c r="DB39" s="27">
        <f>IF($A39="",0,IF(Mitarbeiter!$G$37=FALSE,0,IF(AND(Mitarbeiter!$E$37&lt;&gt;"",DB$5+6&lt;Mitarbeiter!$E$37),0,IF(AND(Mitarbeiter!$F$37&lt;&gt;"",DB$5&gt;Mitarbeiter!$F$37),0,IF(Planung!DB39="",$C39,IF(ISNUMBER(Planung!DB39),Planung!DB39,IF(UPPER(Planung!DB39)="H",$C39/2,0)))))))</f>
        <v>0</v>
      </c>
      <c r="DC39" s="27">
        <f>IF($A39="",0,IF(Mitarbeiter!$G$37=FALSE,0,IF(AND(Mitarbeiter!$E$37&lt;&gt;"",DC$5+6&lt;Mitarbeiter!$E$37),0,IF(AND(Mitarbeiter!$F$37&lt;&gt;"",DC$5&gt;Mitarbeiter!$F$37),0,IF(Planung!DC39="",$C39,IF(ISNUMBER(Planung!DC39),Planung!DC39,IF(UPPER(Planung!DC39)="H",$C39/2,0)))))))</f>
        <v>0</v>
      </c>
      <c r="DD39" s="27">
        <f>IF($A39="",0,IF(Mitarbeiter!$G$37=FALSE,0,IF(AND(Mitarbeiter!$E$37&lt;&gt;"",DD$5+6&lt;Mitarbeiter!$E$37),0,IF(AND(Mitarbeiter!$F$37&lt;&gt;"",DD$5&gt;Mitarbeiter!$F$37),0,IF(Planung!DD39="",$C39,IF(ISNUMBER(Planung!DD39),Planung!DD39,IF(UPPER(Planung!DD39)="H",$C39/2,0)))))))</f>
        <v>0</v>
      </c>
      <c r="DE39" s="27">
        <f>IF($A39="",0,IF(Mitarbeiter!$G$37=FALSE,0,IF(AND(Mitarbeiter!$E$37&lt;&gt;"",DE$5+6&lt;Mitarbeiter!$E$37),0,IF(AND(Mitarbeiter!$F$37&lt;&gt;"",DE$5&gt;Mitarbeiter!$F$37),0,IF(Planung!DE39="",$C39,IF(ISNUMBER(Planung!DE39),Planung!DE39,IF(UPPER(Planung!DE39)="H",$C39/2,0)))))))</f>
        <v>0</v>
      </c>
      <c r="DF39" s="27">
        <f>IF($A39="",0,IF(Mitarbeiter!$G$37=FALSE,0,IF(AND(Mitarbeiter!$E$37&lt;&gt;"",DF$5+6&lt;Mitarbeiter!$E$37),0,IF(AND(Mitarbeiter!$F$37&lt;&gt;"",DF$5&gt;Mitarbeiter!$F$37),0,IF(Planung!DF39="",$C39,IF(ISNUMBER(Planung!DF39),Planung!DF39,IF(UPPER(Planung!DF39)="H",$C39/2,0)))))))</f>
        <v>0</v>
      </c>
      <c r="DG39" s="27">
        <f>IF($A39="",0,IF(Mitarbeiter!$G$37=FALSE,0,IF(AND(Mitarbeiter!$E$37&lt;&gt;"",DG$5+6&lt;Mitarbeiter!$E$37),0,IF(AND(Mitarbeiter!$F$37&lt;&gt;"",DG$5&gt;Mitarbeiter!$F$37),0,IF(Planung!DG39="",$C39,IF(ISNUMBER(Planung!DG39),Planung!DG39,IF(UPPER(Planung!DG39)="H",$C39/2,0)))))))</f>
        <v>0</v>
      </c>
      <c r="DH39" s="27">
        <f>IF($A39="",0,IF(Mitarbeiter!$G$37=FALSE,0,IF(AND(Mitarbeiter!$E$37&lt;&gt;"",DH$5+6&lt;Mitarbeiter!$E$37),0,IF(AND(Mitarbeiter!$F$37&lt;&gt;"",DH$5&gt;Mitarbeiter!$F$37),0,IF(Planung!DH39="",$C39,IF(ISNUMBER(Planung!DH39),Planung!DH39,IF(UPPER(Planung!DH39)="H",$C39/2,0)))))))</f>
        <v>0</v>
      </c>
      <c r="DI39" s="27">
        <f>IF($A39="",0,IF(Mitarbeiter!$G$37=FALSE,0,IF(AND(Mitarbeiter!$E$37&lt;&gt;"",DI$5+6&lt;Mitarbeiter!$E$37),0,IF(AND(Mitarbeiter!$F$37&lt;&gt;"",DI$5&gt;Mitarbeiter!$F$37),0,IF(Planung!DI39="",$C39,IF(ISNUMBER(Planung!DI39),Planung!DI39,IF(UPPER(Planung!DI39)="H",$C39/2,0)))))))</f>
        <v>0</v>
      </c>
      <c r="DJ39" s="27">
        <f>IF($A39="",0,IF(Mitarbeiter!$G$37=FALSE,0,IF(AND(Mitarbeiter!$E$37&lt;&gt;"",DJ$5+6&lt;Mitarbeiter!$E$37),0,IF(AND(Mitarbeiter!$F$37&lt;&gt;"",DJ$5&gt;Mitarbeiter!$F$37),0,IF(Planung!DJ39="",$C39,IF(ISNUMBER(Planung!DJ39),Planung!DJ39,IF(UPPER(Planung!DJ39)="H",$C39/2,0)))))))</f>
        <v>0</v>
      </c>
      <c r="DK39" s="27">
        <f>IF($A39="",0,IF(Mitarbeiter!$G$37=FALSE,0,IF(AND(Mitarbeiter!$E$37&lt;&gt;"",DK$5+6&lt;Mitarbeiter!$E$37),0,IF(AND(Mitarbeiter!$F$37&lt;&gt;"",DK$5&gt;Mitarbeiter!$F$37),0,IF(Planung!DK39="",$C39,IF(ISNUMBER(Planung!DK39),Planung!DK39,IF(UPPER(Planung!DK39)="H",$C39/2,0)))))))</f>
        <v>0</v>
      </c>
      <c r="DL39" s="27">
        <f>IF($A39="",0,IF(Mitarbeiter!$G$37=FALSE,0,IF(AND(Mitarbeiter!$E$37&lt;&gt;"",DL$5+6&lt;Mitarbeiter!$E$37),0,IF(AND(Mitarbeiter!$F$37&lt;&gt;"",DL$5&gt;Mitarbeiter!$F$37),0,IF(Planung!DL39="",$C39,IF(ISNUMBER(Planung!DL39),Planung!DL39,IF(UPPER(Planung!DL39)="H",$C39/2,0)))))))</f>
        <v>0</v>
      </c>
      <c r="DM39" s="27">
        <f>IF($A39="",0,IF(Mitarbeiter!$G$37=FALSE,0,IF(AND(Mitarbeiter!$E$37&lt;&gt;"",DM$5+6&lt;Mitarbeiter!$E$37),0,IF(AND(Mitarbeiter!$F$37&lt;&gt;"",DM$5&gt;Mitarbeiter!$F$37),0,IF(Planung!DM39="",$C39,IF(ISNUMBER(Planung!DM39),Planung!DM39,IF(UPPER(Planung!DM39)="H",$C39/2,0)))))))</f>
        <v>0</v>
      </c>
      <c r="DN39" s="27">
        <f>IF($A39="",0,IF(Mitarbeiter!$G$37=FALSE,0,IF(AND(Mitarbeiter!$E$37&lt;&gt;"",DN$5+6&lt;Mitarbeiter!$E$37),0,IF(AND(Mitarbeiter!$F$37&lt;&gt;"",DN$5&gt;Mitarbeiter!$F$37),0,IF(Planung!DN39="",$C39,IF(ISNUMBER(Planung!DN39),Planung!DN39,IF(UPPER(Planung!DN39)="H",$C39/2,0)))))))</f>
        <v>0</v>
      </c>
      <c r="DO39" s="27">
        <f>IF($A39="",0,IF(Mitarbeiter!$G$37=FALSE,0,IF(AND(Mitarbeiter!$E$37&lt;&gt;"",DO$5+6&lt;Mitarbeiter!$E$37),0,IF(AND(Mitarbeiter!$F$37&lt;&gt;"",DO$5&gt;Mitarbeiter!$F$37),0,IF(Planung!DO39="",$C39,IF(ISNUMBER(Planung!DO39),Planung!DO39,IF(UPPER(Planung!DO39)="H",$C39/2,0)))))))</f>
        <v>0</v>
      </c>
      <c r="DP39" s="27">
        <f>IF($A39="",0,IF(Mitarbeiter!$G$37=FALSE,0,IF(AND(Mitarbeiter!$E$37&lt;&gt;"",DP$5+6&lt;Mitarbeiter!$E$37),0,IF(AND(Mitarbeiter!$F$37&lt;&gt;"",DP$5&gt;Mitarbeiter!$F$37),0,IF(Planung!DP39="",$C39,IF(ISNUMBER(Planung!DP39),Planung!DP39,IF(UPPER(Planung!DP39)="H",$C39/2,0)))))))</f>
        <v>0</v>
      </c>
      <c r="DQ39" s="27">
        <f>IF($A39="",0,IF(Mitarbeiter!$G$37=FALSE,0,IF(AND(Mitarbeiter!$E$37&lt;&gt;"",DQ$5+6&lt;Mitarbeiter!$E$37),0,IF(AND(Mitarbeiter!$F$37&lt;&gt;"",DQ$5&gt;Mitarbeiter!$F$37),0,IF(Planung!DQ39="",$C39,IF(ISNUMBER(Planung!DQ39),Planung!DQ39,IF(UPPER(Planung!DQ39)="H",$C39/2,0)))))))</f>
        <v>0</v>
      </c>
      <c r="DR39" s="27">
        <f>IF($A39="",0,IF(Mitarbeiter!$G$37=FALSE,0,IF(AND(Mitarbeiter!$E$37&lt;&gt;"",DR$5+6&lt;Mitarbeiter!$E$37),0,IF(AND(Mitarbeiter!$F$37&lt;&gt;"",DR$5&gt;Mitarbeiter!$F$37),0,IF(Planung!DR39="",$C39,IF(ISNUMBER(Planung!DR39),Planung!DR39,IF(UPPER(Planung!DR39)="H",$C39/2,0)))))))</f>
        <v>0</v>
      </c>
      <c r="DS39" s="27">
        <f>IF($A39="",0,IF(Mitarbeiter!$G$37=FALSE,0,IF(AND(Mitarbeiter!$E$37&lt;&gt;"",DS$5+6&lt;Mitarbeiter!$E$37),0,IF(AND(Mitarbeiter!$F$37&lt;&gt;"",DS$5&gt;Mitarbeiter!$F$37),0,IF(Planung!DS39="",$C39,IF(ISNUMBER(Planung!DS39),Planung!DS39,IF(UPPER(Planung!DS39)="H",$C39/2,0)))))))</f>
        <v>0</v>
      </c>
      <c r="DT39" s="27">
        <f>IF($A39="",0,IF(Mitarbeiter!$G$37=FALSE,0,IF(AND(Mitarbeiter!$E$37&lt;&gt;"",DT$5+6&lt;Mitarbeiter!$E$37),0,IF(AND(Mitarbeiter!$F$37&lt;&gt;"",DT$5&gt;Mitarbeiter!$F$37),0,IF(Planung!DT39="",$C39,IF(ISNUMBER(Planung!DT39),Planung!DT39,IF(UPPER(Planung!DT39)="H",$C39/2,0)))))))</f>
        <v>0</v>
      </c>
      <c r="DU39" s="27">
        <f>IF($A39="",0,IF(Mitarbeiter!$G$37=FALSE,0,IF(AND(Mitarbeiter!$E$37&lt;&gt;"",DU$5+6&lt;Mitarbeiter!$E$37),0,IF(AND(Mitarbeiter!$F$37&lt;&gt;"",DU$5&gt;Mitarbeiter!$F$37),0,IF(Planung!DU39="",$C39,IF(ISNUMBER(Planung!DU39),Planung!DU39,IF(UPPER(Planung!DU39)="H",$C39/2,0)))))))</f>
        <v>0</v>
      </c>
      <c r="DV39" s="27">
        <f>IF($A39="",0,IF(Mitarbeiter!$G$37=FALSE,0,IF(AND(Mitarbeiter!$E$37&lt;&gt;"",DV$5+6&lt;Mitarbeiter!$E$37),0,IF(AND(Mitarbeiter!$F$37&lt;&gt;"",DV$5&gt;Mitarbeiter!$F$37),0,IF(Planung!DV39="",$C39,IF(ISNUMBER(Planung!DV39),Planung!DV39,IF(UPPER(Planung!DV39)="H",$C39/2,0)))))))</f>
        <v>0</v>
      </c>
      <c r="DW39" s="27">
        <f>IF($A39="",0,IF(Mitarbeiter!$G$37=FALSE,0,IF(AND(Mitarbeiter!$E$37&lt;&gt;"",DW$5+6&lt;Mitarbeiter!$E$37),0,IF(AND(Mitarbeiter!$F$37&lt;&gt;"",DW$5&gt;Mitarbeiter!$F$37),0,IF(Planung!DW39="",$C39,IF(ISNUMBER(Planung!DW39),Planung!DW39,IF(UPPER(Planung!DW39)="H",$C39/2,0)))))))</f>
        <v>0</v>
      </c>
      <c r="DX39" s="27">
        <f>IF($A39="",0,IF(Mitarbeiter!$G$37=FALSE,0,IF(AND(Mitarbeiter!$E$37&lt;&gt;"",DX$5+6&lt;Mitarbeiter!$E$37),0,IF(AND(Mitarbeiter!$F$37&lt;&gt;"",DX$5&gt;Mitarbeiter!$F$37),0,IF(Planung!DX39="",$C39,IF(ISNUMBER(Planung!DX39),Planung!DX39,IF(UPPER(Planung!DX39)="H",$C39/2,0)))))))</f>
        <v>0</v>
      </c>
      <c r="DY39" s="27">
        <f>IF($A39="",0,IF(Mitarbeiter!$G$37=FALSE,0,IF(AND(Mitarbeiter!$E$37&lt;&gt;"",DY$5+6&lt;Mitarbeiter!$E$37),0,IF(AND(Mitarbeiter!$F$37&lt;&gt;"",DY$5&gt;Mitarbeiter!$F$37),0,IF(Planung!DY39="",$C39,IF(ISNUMBER(Planung!DY39),Planung!DY39,IF(UPPER(Planung!DY39)="H",$C39/2,0)))))))</f>
        <v>0</v>
      </c>
      <c r="DZ39" s="27">
        <f>IF($A39="",0,IF(Mitarbeiter!$G$37=FALSE,0,IF(AND(Mitarbeiter!$E$37&lt;&gt;"",DZ$5+6&lt;Mitarbeiter!$E$37),0,IF(AND(Mitarbeiter!$F$37&lt;&gt;"",DZ$5&gt;Mitarbeiter!$F$37),0,IF(Planung!DZ39="",$C39,IF(ISNUMBER(Planung!DZ39),Planung!DZ39,IF(UPPER(Planung!DZ39)="H",$C39/2,0)))))))</f>
        <v>0</v>
      </c>
      <c r="EA39" s="27">
        <f>IF($A39="",0,IF(Mitarbeiter!$G$37=FALSE,0,IF(AND(Mitarbeiter!$E$37&lt;&gt;"",EA$5+6&lt;Mitarbeiter!$E$37),0,IF(AND(Mitarbeiter!$F$37&lt;&gt;"",EA$5&gt;Mitarbeiter!$F$37),0,IF(Planung!EA39="",$C39,IF(ISNUMBER(Planung!EA39),Planung!EA39,IF(UPPER(Planung!EA39)="H",$C39/2,0)))))))</f>
        <v>0</v>
      </c>
      <c r="EB39" s="27">
        <f>IF($A39="",0,IF(Mitarbeiter!$G$37=FALSE,0,IF(AND(Mitarbeiter!$E$37&lt;&gt;"",EB$5+6&lt;Mitarbeiter!$E$37),0,IF(AND(Mitarbeiter!$F$37&lt;&gt;"",EB$5&gt;Mitarbeiter!$F$37),0,IF(Planung!EB39="",$C39,IF(ISNUMBER(Planung!EB39),Planung!EB39,IF(UPPER(Planung!EB39)="H",$C39/2,0)))))))</f>
        <v>0</v>
      </c>
      <c r="EC39" s="27">
        <f>IF($A39="",0,IF(Mitarbeiter!$G$37=FALSE,0,IF(AND(Mitarbeiter!$E$37&lt;&gt;"",EC$5+6&lt;Mitarbeiter!$E$37),0,IF(AND(Mitarbeiter!$F$37&lt;&gt;"",EC$5&gt;Mitarbeiter!$F$37),0,IF(Planung!EC39="",$C39,IF(ISNUMBER(Planung!EC39),Planung!EC39,IF(UPPER(Planung!EC39)="H",$C39/2,0)))))))</f>
        <v>0</v>
      </c>
      <c r="ED39" s="27">
        <f>IF($A39="",0,IF(Mitarbeiter!$G$37=FALSE,0,IF(AND(Mitarbeiter!$E$37&lt;&gt;"",ED$5+6&lt;Mitarbeiter!$E$37),0,IF(AND(Mitarbeiter!$F$37&lt;&gt;"",ED$5&gt;Mitarbeiter!$F$37),0,IF(Planung!ED39="",$C39,IF(ISNUMBER(Planung!ED39),Planung!ED39,IF(UPPER(Planung!ED39)="H",$C39/2,0)))))))</f>
        <v>0</v>
      </c>
      <c r="EE39" s="27">
        <f>IF($A39="",0,IF(Mitarbeiter!$G$37=FALSE,0,IF(AND(Mitarbeiter!$E$37&lt;&gt;"",EE$5+6&lt;Mitarbeiter!$E$37),0,IF(AND(Mitarbeiter!$F$37&lt;&gt;"",EE$5&gt;Mitarbeiter!$F$37),0,IF(Planung!EE39="",$C39,IF(ISNUMBER(Planung!EE39),Planung!EE39,IF(UPPER(Planung!EE39)="H",$C39/2,0)))))))</f>
        <v>0</v>
      </c>
      <c r="EF39" s="27">
        <f>IF($A39="",0,IF(Mitarbeiter!$G$37=FALSE,0,IF(AND(Mitarbeiter!$E$37&lt;&gt;"",EF$5+6&lt;Mitarbeiter!$E$37),0,IF(AND(Mitarbeiter!$F$37&lt;&gt;"",EF$5&gt;Mitarbeiter!$F$37),0,IF(Planung!EF39="",$C39,IF(ISNUMBER(Planung!EF39),Planung!EF39,IF(UPPER(Planung!EF39)="H",$C39/2,0)))))))</f>
        <v>0</v>
      </c>
      <c r="EG39" s="27">
        <f>IF($A39="",0,IF(Mitarbeiter!$G$37=FALSE,0,IF(AND(Mitarbeiter!$E$37&lt;&gt;"",EG$5+6&lt;Mitarbeiter!$E$37),0,IF(AND(Mitarbeiter!$F$37&lt;&gt;"",EG$5&gt;Mitarbeiter!$F$37),0,IF(Planung!EG39="",$C39,IF(ISNUMBER(Planung!EG39),Planung!EG39,IF(UPPER(Planung!EG39)="H",$C39/2,0)))))))</f>
        <v>0</v>
      </c>
      <c r="EH39" s="27">
        <f>IF($A39="",0,IF(Mitarbeiter!$G$37=FALSE,0,IF(AND(Mitarbeiter!$E$37&lt;&gt;"",EH$5+6&lt;Mitarbeiter!$E$37),0,IF(AND(Mitarbeiter!$F$37&lt;&gt;"",EH$5&gt;Mitarbeiter!$F$37),0,IF(Planung!EH39="",$C39,IF(ISNUMBER(Planung!EH39),Planung!EH39,IF(UPPER(Planung!EH39)="H",$C39/2,0)))))))</f>
        <v>0</v>
      </c>
      <c r="EI39" s="27">
        <f>IF($A39="",0,IF(Mitarbeiter!$G$37=FALSE,0,IF(AND(Mitarbeiter!$E$37&lt;&gt;"",EI$5+6&lt;Mitarbeiter!$E$37),0,IF(AND(Mitarbeiter!$F$37&lt;&gt;"",EI$5&gt;Mitarbeiter!$F$37),0,IF(Planung!EI39="",$C39,IF(ISNUMBER(Planung!EI39),Planung!EI39,IF(UPPER(Planung!EI39)="H",$C39/2,0)))))))</f>
        <v>0</v>
      </c>
      <c r="EJ39" s="27">
        <f>IF($A39="",0,IF(Mitarbeiter!$G$37=FALSE,0,IF(AND(Mitarbeiter!$E$37&lt;&gt;"",EJ$5+6&lt;Mitarbeiter!$E$37),0,IF(AND(Mitarbeiter!$F$37&lt;&gt;"",EJ$5&gt;Mitarbeiter!$F$37),0,IF(Planung!EJ39="",$C39,IF(ISNUMBER(Planung!EJ39),Planung!EJ39,IF(UPPER(Planung!EJ39)="H",$C39/2,0)))))))</f>
        <v>0</v>
      </c>
      <c r="EK39" s="27">
        <f>IF($A39="",0,IF(Mitarbeiter!$G$37=FALSE,0,IF(AND(Mitarbeiter!$E$37&lt;&gt;"",EK$5+6&lt;Mitarbeiter!$E$37),0,IF(AND(Mitarbeiter!$F$37&lt;&gt;"",EK$5&gt;Mitarbeiter!$F$37),0,IF(Planung!EK39="",$C39,IF(ISNUMBER(Planung!EK39),Planung!EK39,IF(UPPER(Planung!EK39)="H",$C39/2,0)))))))</f>
        <v>0</v>
      </c>
      <c r="EL39" s="27">
        <f>IF($A39="",0,IF(Mitarbeiter!$G$37=FALSE,0,IF(AND(Mitarbeiter!$E$37&lt;&gt;"",EL$5+6&lt;Mitarbeiter!$E$37),0,IF(AND(Mitarbeiter!$F$37&lt;&gt;"",EL$5&gt;Mitarbeiter!$F$37),0,IF(Planung!EL39="",$C39,IF(ISNUMBER(Planung!EL39),Planung!EL39,IF(UPPER(Planung!EL39)="H",$C39/2,0)))))))</f>
        <v>0</v>
      </c>
      <c r="EM39" s="27">
        <f>IF($A39="",0,IF(Mitarbeiter!$G$37=FALSE,0,IF(AND(Mitarbeiter!$E$37&lt;&gt;"",EM$5+6&lt;Mitarbeiter!$E$37),0,IF(AND(Mitarbeiter!$F$37&lt;&gt;"",EM$5&gt;Mitarbeiter!$F$37),0,IF(Planung!EM39="",$C39,IF(ISNUMBER(Planung!EM39),Planung!EM39,IF(UPPER(Planung!EM39)="H",$C39/2,0)))))))</f>
        <v>0</v>
      </c>
      <c r="EN39" s="27">
        <f>IF($A39="",0,IF(Mitarbeiter!$G$37=FALSE,0,IF(AND(Mitarbeiter!$E$37&lt;&gt;"",EN$5+6&lt;Mitarbeiter!$E$37),0,IF(AND(Mitarbeiter!$F$37&lt;&gt;"",EN$5&gt;Mitarbeiter!$F$37),0,IF(Planung!EN39="",$C39,IF(ISNUMBER(Planung!EN39),Planung!EN39,IF(UPPER(Planung!EN39)="H",$C39/2,0)))))))</f>
        <v>0</v>
      </c>
      <c r="EO39" s="27">
        <f>IF($A39="",0,IF(Mitarbeiter!$G$37=FALSE,0,IF(AND(Mitarbeiter!$E$37&lt;&gt;"",EO$5+6&lt;Mitarbeiter!$E$37),0,IF(AND(Mitarbeiter!$F$37&lt;&gt;"",EO$5&gt;Mitarbeiter!$F$37),0,IF(Planung!EO39="",$C39,IF(ISNUMBER(Planung!EO39),Planung!EO39,IF(UPPER(Planung!EO39)="H",$C39/2,0)))))))</f>
        <v>0</v>
      </c>
      <c r="EP39" s="27">
        <f>IF($A39="",0,IF(Mitarbeiter!$G$37=FALSE,0,IF(AND(Mitarbeiter!$E$37&lt;&gt;"",EP$5+6&lt;Mitarbeiter!$E$37),0,IF(AND(Mitarbeiter!$F$37&lt;&gt;"",EP$5&gt;Mitarbeiter!$F$37),0,IF(Planung!EP39="",$C39,IF(ISNUMBER(Planung!EP39),Planung!EP39,IF(UPPER(Planung!EP39)="H",$C39/2,0)))))))</f>
        <v>0</v>
      </c>
      <c r="EQ39" s="27">
        <f>IF($A39="",0,IF(Mitarbeiter!$G$37=FALSE,0,IF(AND(Mitarbeiter!$E$37&lt;&gt;"",EQ$5+6&lt;Mitarbeiter!$E$37),0,IF(AND(Mitarbeiter!$F$37&lt;&gt;"",EQ$5&gt;Mitarbeiter!$F$37),0,IF(Planung!EQ39="",$C39,IF(ISNUMBER(Planung!EQ39),Planung!EQ39,IF(UPPER(Planung!EQ39)="H",$C39/2,0)))))))</f>
        <v>0</v>
      </c>
      <c r="ER39" s="27">
        <f>IF($A39="",0,IF(Mitarbeiter!$G$37=FALSE,0,IF(AND(Mitarbeiter!$E$37&lt;&gt;"",ER$5+6&lt;Mitarbeiter!$E$37),0,IF(AND(Mitarbeiter!$F$37&lt;&gt;"",ER$5&gt;Mitarbeiter!$F$37),0,IF(Planung!ER39="",$C39,IF(ISNUMBER(Planung!ER39),Planung!ER39,IF(UPPER(Planung!ER39)="H",$C39/2,0)))))))</f>
        <v>0</v>
      </c>
      <c r="ES39" s="27">
        <f>IF($A39="",0,IF(Mitarbeiter!$G$37=FALSE,0,IF(AND(Mitarbeiter!$E$37&lt;&gt;"",ES$5+6&lt;Mitarbeiter!$E$37),0,IF(AND(Mitarbeiter!$F$37&lt;&gt;"",ES$5&gt;Mitarbeiter!$F$37),0,IF(Planung!ES39="",$C39,IF(ISNUMBER(Planung!ES39),Planung!ES39,IF(UPPER(Planung!ES39)="H",$C39/2,0)))))))</f>
        <v>0</v>
      </c>
      <c r="ET39" s="27">
        <f>IF($A39="",0,IF(Mitarbeiter!$G$37=FALSE,0,IF(AND(Mitarbeiter!$E$37&lt;&gt;"",ET$5+6&lt;Mitarbeiter!$E$37),0,IF(AND(Mitarbeiter!$F$37&lt;&gt;"",ET$5&gt;Mitarbeiter!$F$37),0,IF(Planung!ET39="",$C39,IF(ISNUMBER(Planung!ET39),Planung!ET39,IF(UPPER(Planung!ET39)="H",$C39/2,0)))))))</f>
        <v>0</v>
      </c>
      <c r="EU39" s="27">
        <f>IF($A39="",0,IF(Mitarbeiter!$G$37=FALSE,0,IF(AND(Mitarbeiter!$E$37&lt;&gt;"",EU$5+6&lt;Mitarbeiter!$E$37),0,IF(AND(Mitarbeiter!$F$37&lt;&gt;"",EU$5&gt;Mitarbeiter!$F$37),0,IF(Planung!EU39="",$C39,IF(ISNUMBER(Planung!EU39),Planung!EU39,IF(UPPER(Planung!EU39)="H",$C39/2,0)))))))</f>
        <v>0</v>
      </c>
      <c r="EV39" s="27">
        <f>IF($A39="",0,IF(Mitarbeiter!$G$37=FALSE,0,IF(AND(Mitarbeiter!$E$37&lt;&gt;"",EV$5+6&lt;Mitarbeiter!$E$37),0,IF(AND(Mitarbeiter!$F$37&lt;&gt;"",EV$5&gt;Mitarbeiter!$F$37),0,IF(Planung!EV39="",$C39,IF(ISNUMBER(Planung!EV39),Planung!EV39,IF(UPPER(Planung!EV39)="H",$C39/2,0)))))))</f>
        <v>0</v>
      </c>
      <c r="EW39" s="27">
        <f>IF($A39="",0,IF(Mitarbeiter!$G$37=FALSE,0,IF(AND(Mitarbeiter!$E$37&lt;&gt;"",EW$5+6&lt;Mitarbeiter!$E$37),0,IF(AND(Mitarbeiter!$F$37&lt;&gt;"",EW$5&gt;Mitarbeiter!$F$37),0,IF(Planung!EW39="",$C39,IF(ISNUMBER(Planung!EW39),Planung!EW39,IF(UPPER(Planung!EW39)="H",$C39/2,0)))))))</f>
        <v>0</v>
      </c>
      <c r="EX39" s="27">
        <f>IF($A39="",0,IF(Mitarbeiter!$G$37=FALSE,0,IF(AND(Mitarbeiter!$E$37&lt;&gt;"",EX$5+6&lt;Mitarbeiter!$E$37),0,IF(AND(Mitarbeiter!$F$37&lt;&gt;"",EX$5&gt;Mitarbeiter!$F$37),0,IF(Planung!EX39="",$C39,IF(ISNUMBER(Planung!EX39),Planung!EX39,IF(UPPER(Planung!EX39)="H",$C39/2,0)))))))</f>
        <v>0</v>
      </c>
      <c r="EY39" s="27">
        <f>IF($A39="",0,IF(Mitarbeiter!$G$37=FALSE,0,IF(AND(Mitarbeiter!$E$37&lt;&gt;"",EY$5+6&lt;Mitarbeiter!$E$37),0,IF(AND(Mitarbeiter!$F$37&lt;&gt;"",EY$5&gt;Mitarbeiter!$F$37),0,IF(Planung!EY39="",$C39,IF(ISNUMBER(Planung!EY39),Planung!EY39,IF(UPPER(Planung!EY39)="H",$C39/2,0)))))))</f>
        <v>0</v>
      </c>
      <c r="EZ39" s="27">
        <f>IF($A39="",0,IF(Mitarbeiter!$G$37=FALSE,0,IF(AND(Mitarbeiter!$E$37&lt;&gt;"",EZ$5+6&lt;Mitarbeiter!$E$37),0,IF(AND(Mitarbeiter!$F$37&lt;&gt;"",EZ$5&gt;Mitarbeiter!$F$37),0,IF(Planung!EZ39="",$C39,IF(ISNUMBER(Planung!EZ39),Planung!EZ39,IF(UPPER(Planung!EZ39)="H",$C39/2,0)))))))</f>
        <v>0</v>
      </c>
      <c r="FA39" s="27">
        <f>IF($A39="",0,IF(Mitarbeiter!$G$37=FALSE,0,IF(AND(Mitarbeiter!$E$37&lt;&gt;"",FA$5+6&lt;Mitarbeiter!$E$37),0,IF(AND(Mitarbeiter!$F$37&lt;&gt;"",FA$5&gt;Mitarbeiter!$F$37),0,IF(Planung!FA39="",$C39,IF(ISNUMBER(Planung!FA39),Planung!FA39,IF(UPPER(Planung!FA39)="H",$C39/2,0)))))))</f>
        <v>0</v>
      </c>
      <c r="FB39" s="27">
        <f>IF($A39="",0,IF(Mitarbeiter!$G$37=FALSE,0,IF(AND(Mitarbeiter!$E$37&lt;&gt;"",FB$5+6&lt;Mitarbeiter!$E$37),0,IF(AND(Mitarbeiter!$F$37&lt;&gt;"",FB$5&gt;Mitarbeiter!$F$37),0,IF(Planung!FB39="",$C39,IF(ISNUMBER(Planung!FB39),Planung!FB39,IF(UPPER(Planung!FB39)="H",$C39/2,0)))))))</f>
        <v>0</v>
      </c>
      <c r="FC39" s="27">
        <f>IF($A39="",0,IF(Mitarbeiter!$G$37=FALSE,0,IF(AND(Mitarbeiter!$E$37&lt;&gt;"",FC$5+6&lt;Mitarbeiter!$E$37),0,IF(AND(Mitarbeiter!$F$37&lt;&gt;"",FC$5&gt;Mitarbeiter!$F$37),0,IF(Planung!FC39="",$C39,IF(ISNUMBER(Planung!FC39),Planung!FC39,IF(UPPER(Planung!FC39)="H",$C39/2,0)))))))</f>
        <v>0</v>
      </c>
      <c r="FD39" s="27">
        <f>IF($A39="",0,IF(Mitarbeiter!$G$37=FALSE,0,IF(AND(Mitarbeiter!$E$37&lt;&gt;"",FD$5+6&lt;Mitarbeiter!$E$37),0,IF(AND(Mitarbeiter!$F$37&lt;&gt;"",FD$5&gt;Mitarbeiter!$F$37),0,IF(Planung!FD39="",$C39,IF(ISNUMBER(Planung!FD39),Planung!FD39,IF(UPPER(Planung!FD39)="H",$C39/2,0)))))))</f>
        <v>0</v>
      </c>
      <c r="FE39" s="27">
        <f>IF($A39="",0,IF(Mitarbeiter!$G$37=FALSE,0,IF(AND(Mitarbeiter!$E$37&lt;&gt;"",FE$5+6&lt;Mitarbeiter!$E$37),0,IF(AND(Mitarbeiter!$F$37&lt;&gt;"",FE$5&gt;Mitarbeiter!$F$37),0,IF(Planung!FE39="",$C39,IF(ISNUMBER(Planung!FE39),Planung!FE39,IF(UPPER(Planung!FE39)="H",$C39/2,0)))))))</f>
        <v>0</v>
      </c>
      <c r="FF39" s="27">
        <f>IF($A39="",0,IF(Mitarbeiter!$G$37=FALSE,0,IF(AND(Mitarbeiter!$E$37&lt;&gt;"",FF$5+6&lt;Mitarbeiter!$E$37),0,IF(AND(Mitarbeiter!$F$37&lt;&gt;"",FF$5&gt;Mitarbeiter!$F$37),0,IF(Planung!FF39="",$C39,IF(ISNUMBER(Planung!FF39),Planung!FF39,IF(UPPER(Planung!FF39)="H",$C39/2,0)))))))</f>
        <v>0</v>
      </c>
      <c r="FG39" s="27">
        <f>IF($A39="",0,IF(Mitarbeiter!$G$37=FALSE,0,IF(AND(Mitarbeiter!$E$37&lt;&gt;"",FG$5+6&lt;Mitarbeiter!$E$37),0,IF(AND(Mitarbeiter!$F$37&lt;&gt;"",FG$5&gt;Mitarbeiter!$F$37),0,IF(Planung!FG39="",$C39,IF(ISNUMBER(Planung!FG39),Planung!FG39,IF(UPPER(Planung!FG39)="H",$C39/2,0)))))))</f>
        <v>0</v>
      </c>
      <c r="FH39" s="27">
        <f>IF($A39="",0,IF(Mitarbeiter!$G$37=FALSE,0,IF(AND(Mitarbeiter!$E$37&lt;&gt;"",FH$5+6&lt;Mitarbeiter!$E$37),0,IF(AND(Mitarbeiter!$F$37&lt;&gt;"",FH$5&gt;Mitarbeiter!$F$37),0,IF(Planung!FH39="",$C39,IF(ISNUMBER(Planung!FH39),Planung!FH39,IF(UPPER(Planung!FH39)="H",$C39/2,0)))))))</f>
        <v>0</v>
      </c>
      <c r="FI39" s="27">
        <f>IF($A39="",0,IF(Mitarbeiter!$G$37=FALSE,0,IF(AND(Mitarbeiter!$E$37&lt;&gt;"",FI$5+6&lt;Mitarbeiter!$E$37),0,IF(AND(Mitarbeiter!$F$37&lt;&gt;"",FI$5&gt;Mitarbeiter!$F$37),0,IF(Planung!FI39="",$C39,IF(ISNUMBER(Planung!FI39),Planung!FI39,IF(UPPER(Planung!FI39)="H",$C39/2,0)))))))</f>
        <v>0</v>
      </c>
      <c r="FJ39" s="27">
        <f>IF($A39="",0,IF(Mitarbeiter!$G$37=FALSE,0,IF(AND(Mitarbeiter!$E$37&lt;&gt;"",FJ$5+6&lt;Mitarbeiter!$E$37),0,IF(AND(Mitarbeiter!$F$37&lt;&gt;"",FJ$5&gt;Mitarbeiter!$F$37),0,IF(Planung!FJ39="",$C39,IF(ISNUMBER(Planung!FJ39),Planung!FJ39,IF(UPPER(Planung!FJ39)="H",$C39/2,0)))))))</f>
        <v>0</v>
      </c>
      <c r="FK39" s="27">
        <f>IF($A39="",0,IF(Mitarbeiter!$G$37=FALSE,0,IF(AND(Mitarbeiter!$E$37&lt;&gt;"",FK$5+6&lt;Mitarbeiter!$E$37),0,IF(AND(Mitarbeiter!$F$37&lt;&gt;"",FK$5&gt;Mitarbeiter!$F$37),0,IF(Planung!FK39="",$C39,IF(ISNUMBER(Planung!FK39),Planung!FK39,IF(UPPER(Planung!FK39)="H",$C39/2,0)))))))</f>
        <v>0</v>
      </c>
      <c r="FL39" s="27">
        <f>IF($A39="",0,IF(Mitarbeiter!$G$37=FALSE,0,IF(AND(Mitarbeiter!$E$37&lt;&gt;"",FL$5+6&lt;Mitarbeiter!$E$37),0,IF(AND(Mitarbeiter!$F$37&lt;&gt;"",FL$5&gt;Mitarbeiter!$F$37),0,IF(Planung!FL39="",$C39,IF(ISNUMBER(Planung!FL39),Planung!FL39,IF(UPPER(Planung!FL39)="H",$C39/2,0)))))))</f>
        <v>0</v>
      </c>
      <c r="FM39" s="27">
        <f>IF($A39="",0,IF(Mitarbeiter!$G$37=FALSE,0,IF(AND(Mitarbeiter!$E$37&lt;&gt;"",FM$5+6&lt;Mitarbeiter!$E$37),0,IF(AND(Mitarbeiter!$F$37&lt;&gt;"",FM$5&gt;Mitarbeiter!$F$37),0,IF(Planung!FM39="",$C39,IF(ISNUMBER(Planung!FM39),Planung!FM39,IF(UPPER(Planung!FM39)="H",$C39/2,0)))))))</f>
        <v>0</v>
      </c>
      <c r="FN39" s="27">
        <f>IF($A39="",0,IF(Mitarbeiter!$G$37=FALSE,0,IF(AND(Mitarbeiter!$E$37&lt;&gt;"",FN$5+6&lt;Mitarbeiter!$E$37),0,IF(AND(Mitarbeiter!$F$37&lt;&gt;"",FN$5&gt;Mitarbeiter!$F$37),0,IF(Planung!FN39="",$C39,IF(ISNUMBER(Planung!FN39),Planung!FN39,IF(UPPER(Planung!FN39)="H",$C39/2,0)))))))</f>
        <v>0</v>
      </c>
      <c r="FO39" s="27">
        <f>IF($A39="",0,IF(Mitarbeiter!$G$37=FALSE,0,IF(AND(Mitarbeiter!$E$37&lt;&gt;"",FO$5+6&lt;Mitarbeiter!$E$37),0,IF(AND(Mitarbeiter!$F$37&lt;&gt;"",FO$5&gt;Mitarbeiter!$F$37),0,IF(Planung!FO39="",$C39,IF(ISNUMBER(Planung!FO39),Planung!FO39,IF(UPPER(Planung!FO39)="H",$C39/2,0)))))))</f>
        <v>0</v>
      </c>
      <c r="FP39" s="27">
        <f>IF($A39="",0,IF(Mitarbeiter!$G$37=FALSE,0,IF(AND(Mitarbeiter!$E$37&lt;&gt;"",FP$5+6&lt;Mitarbeiter!$E$37),0,IF(AND(Mitarbeiter!$F$37&lt;&gt;"",FP$5&gt;Mitarbeiter!$F$37),0,IF(Planung!FP39="",$C39,IF(ISNUMBER(Planung!FP39),Planung!FP39,IF(UPPER(Planung!FP39)="H",$C39/2,0)))))))</f>
        <v>0</v>
      </c>
      <c r="FQ39" s="27">
        <f>IF($A39="",0,IF(Mitarbeiter!$G$37=FALSE,0,IF(AND(Mitarbeiter!$E$37&lt;&gt;"",FQ$5+6&lt;Mitarbeiter!$E$37),0,IF(AND(Mitarbeiter!$F$37&lt;&gt;"",FQ$5&gt;Mitarbeiter!$F$37),0,IF(Planung!FQ39="",$C39,IF(ISNUMBER(Planung!FQ39),Planung!FQ39,IF(UPPER(Planung!FQ39)="H",$C39/2,0)))))))</f>
        <v>0</v>
      </c>
      <c r="FR39" s="27">
        <f>IF($A39="",0,IF(Mitarbeiter!$G$37=FALSE,0,IF(AND(Mitarbeiter!$E$37&lt;&gt;"",FR$5+6&lt;Mitarbeiter!$E$37),0,IF(AND(Mitarbeiter!$F$37&lt;&gt;"",FR$5&gt;Mitarbeiter!$F$37),0,IF(Planung!FR39="",$C39,IF(ISNUMBER(Planung!FR39),Planung!FR39,IF(UPPER(Planung!FR39)="H",$C39/2,0)))))))</f>
        <v>0</v>
      </c>
      <c r="FS39" s="27">
        <f>IF($A39="",0,IF(Mitarbeiter!$G$37=FALSE,0,IF(AND(Mitarbeiter!$E$37&lt;&gt;"",FS$5+6&lt;Mitarbeiter!$E$37),0,IF(AND(Mitarbeiter!$F$37&lt;&gt;"",FS$5&gt;Mitarbeiter!$F$37),0,IF(Planung!FS39="",$C39,IF(ISNUMBER(Planung!FS39),Planung!FS39,IF(UPPER(Planung!FS39)="H",$C39/2,0)))))))</f>
        <v>0</v>
      </c>
      <c r="FT39" s="27">
        <f>IF($A39="",0,IF(Mitarbeiter!$G$37=FALSE,0,IF(AND(Mitarbeiter!$E$37&lt;&gt;"",FT$5+6&lt;Mitarbeiter!$E$37),0,IF(AND(Mitarbeiter!$F$37&lt;&gt;"",FT$5&gt;Mitarbeiter!$F$37),0,IF(Planung!FT39="",$C39,IF(ISNUMBER(Planung!FT39),Planung!FT39,IF(UPPER(Planung!FT39)="H",$C39/2,0)))))))</f>
        <v>0</v>
      </c>
      <c r="FU39" s="27">
        <f>IF($A39="",0,IF(Mitarbeiter!$G$37=FALSE,0,IF(AND(Mitarbeiter!$E$37&lt;&gt;"",FU$5+6&lt;Mitarbeiter!$E$37),0,IF(AND(Mitarbeiter!$F$37&lt;&gt;"",FU$5&gt;Mitarbeiter!$F$37),0,IF(Planung!FU39="",$C39,IF(ISNUMBER(Planung!FU39),Planung!FU39,IF(UPPER(Planung!FU39)="H",$C39/2,0)))))))</f>
        <v>0</v>
      </c>
      <c r="FV39" s="27">
        <f>IF($A39="",0,IF(Mitarbeiter!$G$37=FALSE,0,IF(AND(Mitarbeiter!$E$37&lt;&gt;"",FV$5+6&lt;Mitarbeiter!$E$37),0,IF(AND(Mitarbeiter!$F$37&lt;&gt;"",FV$5&gt;Mitarbeiter!$F$37),0,IF(Planung!FV39="",$C39,IF(ISNUMBER(Planung!FV39),Planung!FV39,IF(UPPER(Planung!FV39)="H",$C39/2,0)))))))</f>
        <v>0</v>
      </c>
      <c r="FW39" s="27">
        <f>IF($A39="",0,IF(Mitarbeiter!$G$37=FALSE,0,IF(AND(Mitarbeiter!$E$37&lt;&gt;"",FW$5+6&lt;Mitarbeiter!$E$37),0,IF(AND(Mitarbeiter!$F$37&lt;&gt;"",FW$5&gt;Mitarbeiter!$F$37),0,IF(Planung!FW39="",$C39,IF(ISNUMBER(Planung!FW39),Planung!FW39,IF(UPPER(Planung!FW39)="H",$C39/2,0)))))))</f>
        <v>0</v>
      </c>
      <c r="FX39" s="27">
        <f>IF($A39="",0,IF(Mitarbeiter!$G$37=FALSE,0,IF(AND(Mitarbeiter!$E$37&lt;&gt;"",FX$5+6&lt;Mitarbeiter!$E$37),0,IF(AND(Mitarbeiter!$F$37&lt;&gt;"",FX$5&gt;Mitarbeiter!$F$37),0,IF(Planung!FX39="",$C39,IF(ISNUMBER(Planung!FX39),Planung!FX39,IF(UPPER(Planung!FX39)="H",$C39/2,0)))))))</f>
        <v>0</v>
      </c>
      <c r="FY39" s="27">
        <f>IF($A39="",0,IF(Mitarbeiter!$G$37=FALSE,0,IF(AND(Mitarbeiter!$E$37&lt;&gt;"",FY$5+6&lt;Mitarbeiter!$E$37),0,IF(AND(Mitarbeiter!$F$37&lt;&gt;"",FY$5&gt;Mitarbeiter!$F$37),0,IF(Planung!FY39="",$C39,IF(ISNUMBER(Planung!FY39),Planung!FY39,IF(UPPER(Planung!FY39)="H",$C39/2,0)))))))</f>
        <v>0</v>
      </c>
      <c r="FZ39" s="27">
        <f>IF($A39="",0,IF(Mitarbeiter!$G$37=FALSE,0,IF(AND(Mitarbeiter!$E$37&lt;&gt;"",FZ$5+6&lt;Mitarbeiter!$E$37),0,IF(AND(Mitarbeiter!$F$37&lt;&gt;"",FZ$5&gt;Mitarbeiter!$F$37),0,IF(Planung!FZ39="",$C39,IF(ISNUMBER(Planung!FZ39),Planung!FZ39,IF(UPPER(Planung!FZ39)="H",$C39/2,0)))))))</f>
        <v>0</v>
      </c>
      <c r="GA39" s="27">
        <f>IF($A39="",0,IF(Mitarbeiter!$G$37=FALSE,0,IF(AND(Mitarbeiter!$E$37&lt;&gt;"",GA$5+6&lt;Mitarbeiter!$E$37),0,IF(AND(Mitarbeiter!$F$37&lt;&gt;"",GA$5&gt;Mitarbeiter!$F$37),0,IF(Planung!GA39="",$C39,IF(ISNUMBER(Planung!GA39),Planung!GA39,IF(UPPER(Planung!GA39)="H",$C39/2,0)))))))</f>
        <v>0</v>
      </c>
      <c r="GB39" s="27">
        <f>IF($A39="",0,IF(Mitarbeiter!$G$37=FALSE,0,IF(AND(Mitarbeiter!$E$37&lt;&gt;"",GB$5+6&lt;Mitarbeiter!$E$37),0,IF(AND(Mitarbeiter!$F$37&lt;&gt;"",GB$5&gt;Mitarbeiter!$F$37),0,IF(Planung!GB39="",$C39,IF(ISNUMBER(Planung!GB39),Planung!GB39,IF(UPPER(Planung!GB39)="H",$C39/2,0)))))))</f>
        <v>0</v>
      </c>
      <c r="GC39" s="27">
        <f>IF($A39="",0,IF(Mitarbeiter!$G$37=FALSE,0,IF(AND(Mitarbeiter!$E$37&lt;&gt;"",GC$5+6&lt;Mitarbeiter!$E$37),0,IF(AND(Mitarbeiter!$F$37&lt;&gt;"",GC$5&gt;Mitarbeiter!$F$37),0,IF(Planung!GC39="",$C39,IF(ISNUMBER(Planung!GC39),Planung!GC39,IF(UPPER(Planung!GC39)="H",$C39/2,0)))))))</f>
        <v>0</v>
      </c>
      <c r="GD39" s="27">
        <f>IF($A39="",0,IF(Mitarbeiter!$G$37=FALSE,0,IF(AND(Mitarbeiter!$E$37&lt;&gt;"",GD$5+6&lt;Mitarbeiter!$E$37),0,IF(AND(Mitarbeiter!$F$37&lt;&gt;"",GD$5&gt;Mitarbeiter!$F$37),0,IF(Planung!GD39="",$C39,IF(ISNUMBER(Planung!GD39),Planung!GD39,IF(UPPER(Planung!GD39)="H",$C39/2,0)))))))</f>
        <v>0</v>
      </c>
      <c r="GE39" s="27">
        <f>IF($A39="",0,IF(Mitarbeiter!$G$37=FALSE,0,IF(AND(Mitarbeiter!$E$37&lt;&gt;"",GE$5+6&lt;Mitarbeiter!$E$37),0,IF(AND(Mitarbeiter!$F$37&lt;&gt;"",GE$5&gt;Mitarbeiter!$F$37),0,IF(Planung!GE39="",$C39,IF(ISNUMBER(Planung!GE39),Planung!GE39,IF(UPPER(Planung!GE39)="H",$C39/2,0)))))))</f>
        <v>0</v>
      </c>
      <c r="GF39" s="27">
        <f>IF($A39="",0,IF(Mitarbeiter!$G$37=FALSE,0,IF(AND(Mitarbeiter!$E$37&lt;&gt;"",GF$5+6&lt;Mitarbeiter!$E$37),0,IF(AND(Mitarbeiter!$F$37&lt;&gt;"",GF$5&gt;Mitarbeiter!$F$37),0,IF(Planung!GF39="",$C39,IF(ISNUMBER(Planung!GF39),Planung!GF39,IF(UPPER(Planung!GF39)="H",$C39/2,0)))))))</f>
        <v>0</v>
      </c>
      <c r="GG39" s="27">
        <f>IF($A39="",0,IF(Mitarbeiter!$G$37=FALSE,0,IF(AND(Mitarbeiter!$E$37&lt;&gt;"",GG$5+6&lt;Mitarbeiter!$E$37),0,IF(AND(Mitarbeiter!$F$37&lt;&gt;"",GG$5&gt;Mitarbeiter!$F$37),0,IF(Planung!GG39="",$C39,IF(ISNUMBER(Planung!GG39),Planung!GG39,IF(UPPER(Planung!GG39)="H",$C39/2,0)))))))</f>
        <v>0</v>
      </c>
      <c r="GH39" s="27">
        <f>IF($A39="",0,IF(Mitarbeiter!$G$37=FALSE,0,IF(AND(Mitarbeiter!$E$37&lt;&gt;"",GH$5+6&lt;Mitarbeiter!$E$37),0,IF(AND(Mitarbeiter!$F$37&lt;&gt;"",GH$5&gt;Mitarbeiter!$F$37),0,IF(Planung!GH39="",$C39,IF(ISNUMBER(Planung!GH39),Planung!GH39,IF(UPPER(Planung!GH39)="H",$C39/2,0)))))))</f>
        <v>0</v>
      </c>
      <c r="GI39" s="27">
        <f>IF($A39="",0,IF(Mitarbeiter!$G$37=FALSE,0,IF(AND(Mitarbeiter!$E$37&lt;&gt;"",GI$5+6&lt;Mitarbeiter!$E$37),0,IF(AND(Mitarbeiter!$F$37&lt;&gt;"",GI$5&gt;Mitarbeiter!$F$37),0,IF(Planung!GI39="",$C39,IF(ISNUMBER(Planung!GI39),Planung!GI39,IF(UPPER(Planung!GI39)="H",$C39/2,0)))))))</f>
        <v>0</v>
      </c>
      <c r="GJ39" s="27">
        <f>IF($A39="",0,IF(Mitarbeiter!$G$37=FALSE,0,IF(AND(Mitarbeiter!$E$37&lt;&gt;"",GJ$5+6&lt;Mitarbeiter!$E$37),0,IF(AND(Mitarbeiter!$F$37&lt;&gt;"",GJ$5&gt;Mitarbeiter!$F$37),0,IF(Planung!GJ39="",$C39,IF(ISNUMBER(Planung!GJ39),Planung!GJ39,IF(UPPER(Planung!GJ39)="H",$C39/2,0)))))))</f>
        <v>0</v>
      </c>
      <c r="GK39" s="27">
        <f>IF($A39="",0,IF(Mitarbeiter!$G$37=FALSE,0,IF(AND(Mitarbeiter!$E$37&lt;&gt;"",GK$5+6&lt;Mitarbeiter!$E$37),0,IF(AND(Mitarbeiter!$F$37&lt;&gt;"",GK$5&gt;Mitarbeiter!$F$37),0,IF(Planung!GK39="",$C39,IF(ISNUMBER(Planung!GK39),Planung!GK39,IF(UPPER(Planung!GK39)="H",$C39/2,0)))))))</f>
        <v>0</v>
      </c>
      <c r="GL39" s="27">
        <f>IF($A39="",0,IF(Mitarbeiter!$G$37=FALSE,0,IF(AND(Mitarbeiter!$E$37&lt;&gt;"",GL$5+6&lt;Mitarbeiter!$E$37),0,IF(AND(Mitarbeiter!$F$37&lt;&gt;"",GL$5&gt;Mitarbeiter!$F$37),0,IF(Planung!GL39="",$C39,IF(ISNUMBER(Planung!GL39),Planung!GL39,IF(UPPER(Planung!GL39)="H",$C39/2,0)))))))</f>
        <v>0</v>
      </c>
      <c r="GM39" s="27">
        <f>IF($A39="",0,IF(Mitarbeiter!$G$37=FALSE,0,IF(AND(Mitarbeiter!$E$37&lt;&gt;"",GM$5+6&lt;Mitarbeiter!$E$37),0,IF(AND(Mitarbeiter!$F$37&lt;&gt;"",GM$5&gt;Mitarbeiter!$F$37),0,IF(Planung!GM39="",$C39,IF(ISNUMBER(Planung!GM39),Planung!GM39,IF(UPPER(Planung!GM39)="H",$C39/2,0)))))))</f>
        <v>0</v>
      </c>
      <c r="GN39" s="27">
        <f>IF($A39="",0,IF(Mitarbeiter!$G$37=FALSE,0,IF(AND(Mitarbeiter!$E$37&lt;&gt;"",GN$5+6&lt;Mitarbeiter!$E$37),0,IF(AND(Mitarbeiter!$F$37&lt;&gt;"",GN$5&gt;Mitarbeiter!$F$37),0,IF(Planung!GN39="",$C39,IF(ISNUMBER(Planung!GN39),Planung!GN39,IF(UPPER(Planung!GN39)="H",$C39/2,0)))))))</f>
        <v>0</v>
      </c>
      <c r="GO39" s="27">
        <f>IF($A39="",0,IF(Mitarbeiter!$G$37=FALSE,0,IF(AND(Mitarbeiter!$E$37&lt;&gt;"",GO$5+6&lt;Mitarbeiter!$E$37),0,IF(AND(Mitarbeiter!$F$37&lt;&gt;"",GO$5&gt;Mitarbeiter!$F$37),0,IF(Planung!GO39="",$C39,IF(ISNUMBER(Planung!GO39),Planung!GO39,IF(UPPER(Planung!GO39)="H",$C39/2,0)))))))</f>
        <v>0</v>
      </c>
      <c r="GP39" s="27">
        <f>IF($A39="",0,IF(Mitarbeiter!$G$37=FALSE,0,IF(AND(Mitarbeiter!$E$37&lt;&gt;"",GP$5+6&lt;Mitarbeiter!$E$37),0,IF(AND(Mitarbeiter!$F$37&lt;&gt;"",GP$5&gt;Mitarbeiter!$F$37),0,IF(Planung!GP39="",$C39,IF(ISNUMBER(Planung!GP39),Planung!GP39,IF(UPPER(Planung!GP39)="H",$C39/2,0)))))))</f>
        <v>0</v>
      </c>
      <c r="GQ39" s="27">
        <f>IF($A39="",0,IF(Mitarbeiter!$G$37=FALSE,0,IF(AND(Mitarbeiter!$E$37&lt;&gt;"",GQ$5+6&lt;Mitarbeiter!$E$37),0,IF(AND(Mitarbeiter!$F$37&lt;&gt;"",GQ$5&gt;Mitarbeiter!$F$37),0,IF(Planung!GQ39="",$C39,IF(ISNUMBER(Planung!GQ39),Planung!GQ39,IF(UPPER(Planung!GQ39)="H",$C39/2,0)))))))</f>
        <v>0</v>
      </c>
      <c r="GR39" s="27">
        <f>IF($A39="",0,IF(Mitarbeiter!$G$37=FALSE,0,IF(AND(Mitarbeiter!$E$37&lt;&gt;"",GR$5+6&lt;Mitarbeiter!$E$37),0,IF(AND(Mitarbeiter!$F$37&lt;&gt;"",GR$5&gt;Mitarbeiter!$F$37),0,IF(Planung!GR39="",$C39,IF(ISNUMBER(Planung!GR39),Planung!GR39,IF(UPPER(Planung!GR39)="H",$C39/2,0)))))))</f>
        <v>0</v>
      </c>
      <c r="GS39" s="27">
        <f>IF($A39="",0,IF(Mitarbeiter!$G$37=FALSE,0,IF(AND(Mitarbeiter!$E$37&lt;&gt;"",GS$5+6&lt;Mitarbeiter!$E$37),0,IF(AND(Mitarbeiter!$F$37&lt;&gt;"",GS$5&gt;Mitarbeiter!$F$37),0,IF(Planung!GS39="",$C39,IF(ISNUMBER(Planung!GS39),Planung!GS39,IF(UPPER(Planung!GS39)="H",$C39/2,0)))))))</f>
        <v>0</v>
      </c>
      <c r="GT39" s="27">
        <f>IF($A39="",0,IF(Mitarbeiter!$G$37=FALSE,0,IF(AND(Mitarbeiter!$E$37&lt;&gt;"",GT$5+6&lt;Mitarbeiter!$E$37),0,IF(AND(Mitarbeiter!$F$37&lt;&gt;"",GT$5&gt;Mitarbeiter!$F$37),0,IF(Planung!GT39="",$C39,IF(ISNUMBER(Planung!GT39),Planung!GT39,IF(UPPER(Planung!GT39)="H",$C39/2,0)))))))</f>
        <v>0</v>
      </c>
      <c r="GU39" s="27">
        <f>IF($A39="",0,IF(Mitarbeiter!$G$37=FALSE,0,IF(AND(Mitarbeiter!$E$37&lt;&gt;"",GU$5+6&lt;Mitarbeiter!$E$37),0,IF(AND(Mitarbeiter!$F$37&lt;&gt;"",GU$5&gt;Mitarbeiter!$F$37),0,IF(Planung!GU39="",$C39,IF(ISNUMBER(Planung!GU39),Planung!GU39,IF(UPPER(Planung!GU39)="H",$C39/2,0)))))))</f>
        <v>0</v>
      </c>
      <c r="GV39" s="27">
        <f>IF($A39="",0,IF(Mitarbeiter!$G$37=FALSE,0,IF(AND(Mitarbeiter!$E$37&lt;&gt;"",GV$5+6&lt;Mitarbeiter!$E$37),0,IF(AND(Mitarbeiter!$F$37&lt;&gt;"",GV$5&gt;Mitarbeiter!$F$37),0,IF(Planung!GV39="",$C39,IF(ISNUMBER(Planung!GV39),Planung!GV39,IF(UPPER(Planung!GV39)="H",$C39/2,0)))))))</f>
        <v>0</v>
      </c>
      <c r="GW39" s="27">
        <f>IF($A39="",0,IF(Mitarbeiter!$G$37=FALSE,0,IF(AND(Mitarbeiter!$E$37&lt;&gt;"",GW$5+6&lt;Mitarbeiter!$E$37),0,IF(AND(Mitarbeiter!$F$37&lt;&gt;"",GW$5&gt;Mitarbeiter!$F$37),0,IF(Planung!GW39="",$C39,IF(ISNUMBER(Planung!GW39),Planung!GW39,IF(UPPER(Planung!GW39)="H",$C39/2,0)))))))</f>
        <v>0</v>
      </c>
      <c r="GX39" s="27">
        <f>IF($A39="",0,IF(Mitarbeiter!$G$37=FALSE,0,IF(AND(Mitarbeiter!$E$37&lt;&gt;"",GX$5+6&lt;Mitarbeiter!$E$37),0,IF(AND(Mitarbeiter!$F$37&lt;&gt;"",GX$5&gt;Mitarbeiter!$F$37),0,IF(Planung!GX39="",$C39,IF(ISNUMBER(Planung!GX39),Planung!GX39,IF(UPPER(Planung!GX39)="H",$C39/2,0)))))))</f>
        <v>0</v>
      </c>
      <c r="GY39" s="27">
        <f>IF($A39="",0,IF(Mitarbeiter!$G$37=FALSE,0,IF(AND(Mitarbeiter!$E$37&lt;&gt;"",GY$5+6&lt;Mitarbeiter!$E$37),0,IF(AND(Mitarbeiter!$F$37&lt;&gt;"",GY$5&gt;Mitarbeiter!$F$37),0,IF(Planung!GY39="",$C39,IF(ISNUMBER(Planung!GY39),Planung!GY39,IF(UPPER(Planung!GY39)="H",$C39/2,0)))))))</f>
        <v>0</v>
      </c>
      <c r="GZ39" s="27">
        <f>IF($A39="",0,IF(Mitarbeiter!$G$37=FALSE,0,IF(AND(Mitarbeiter!$E$37&lt;&gt;"",GZ$5+6&lt;Mitarbeiter!$E$37),0,IF(AND(Mitarbeiter!$F$37&lt;&gt;"",GZ$5&gt;Mitarbeiter!$F$37),0,IF(Planung!GZ39="",$C39,IF(ISNUMBER(Planung!GZ39),Planung!GZ39,IF(UPPER(Planung!GZ39)="H",$C39/2,0)))))))</f>
        <v>0</v>
      </c>
      <c r="HA39" s="27">
        <f>IF($A39="",0,IF(Mitarbeiter!$G$37=FALSE,0,IF(AND(Mitarbeiter!$E$37&lt;&gt;"",HA$5+6&lt;Mitarbeiter!$E$37),0,IF(AND(Mitarbeiter!$F$37&lt;&gt;"",HA$5&gt;Mitarbeiter!$F$37),0,IF(Planung!HA39="",$C39,IF(ISNUMBER(Planung!HA39),Planung!HA39,IF(UPPER(Planung!HA39)="H",$C39/2,0)))))))</f>
        <v>0</v>
      </c>
      <c r="HB39" s="27">
        <f>IF($A39="",0,IF(Mitarbeiter!$G$37=FALSE,0,IF(AND(Mitarbeiter!$E$37&lt;&gt;"",HB$5+6&lt;Mitarbeiter!$E$37),0,IF(AND(Mitarbeiter!$F$37&lt;&gt;"",HB$5&gt;Mitarbeiter!$F$37),0,IF(Planung!HB39="",$C39,IF(ISNUMBER(Planung!HB39),Planung!HB39,IF(UPPER(Planung!HB39)="H",$C39/2,0)))))))</f>
        <v>0</v>
      </c>
      <c r="HC39" s="27">
        <f>IF($A39="",0,IF(Mitarbeiter!$G$37=FALSE,0,IF(AND(Mitarbeiter!$E$37&lt;&gt;"",HC$5+6&lt;Mitarbeiter!$E$37),0,IF(AND(Mitarbeiter!$F$37&lt;&gt;"",HC$5&gt;Mitarbeiter!$F$37),0,IF(Planung!HC39="",$C39,IF(ISNUMBER(Planung!HC39),Planung!HC39,IF(UPPER(Planung!HC39)="H",$C39/2,0)))))))</f>
        <v>0</v>
      </c>
      <c r="HD39" s="27">
        <f>IF($A39="",0,IF(Mitarbeiter!$G$37=FALSE,0,IF(AND(Mitarbeiter!$E$37&lt;&gt;"",HD$5+6&lt;Mitarbeiter!$E$37),0,IF(AND(Mitarbeiter!$F$37&lt;&gt;"",HD$5&gt;Mitarbeiter!$F$37),0,IF(Planung!HD39="",$C39,IF(ISNUMBER(Planung!HD39),Planung!HD39,IF(UPPER(Planung!HD39)="H",$C39/2,0)))))))</f>
        <v>0</v>
      </c>
      <c r="HE39" s="27">
        <f>IF($A39="",0,IF(Mitarbeiter!$G$37=FALSE,0,IF(AND(Mitarbeiter!$E$37&lt;&gt;"",HE$5+6&lt;Mitarbeiter!$E$37),0,IF(AND(Mitarbeiter!$F$37&lt;&gt;"",HE$5&gt;Mitarbeiter!$F$37),0,IF(Planung!HE39="",$C39,IF(ISNUMBER(Planung!HE39),Planung!HE39,IF(UPPER(Planung!HE39)="H",$C39/2,0)))))))</f>
        <v>0</v>
      </c>
      <c r="HF39" s="27">
        <f>IF($A39="",0,IF(Mitarbeiter!$G$37=FALSE,0,IF(AND(Mitarbeiter!$E$37&lt;&gt;"",HF$5+6&lt;Mitarbeiter!$E$37),0,IF(AND(Mitarbeiter!$F$37&lt;&gt;"",HF$5&gt;Mitarbeiter!$F$37),0,IF(Planung!HF39="",$C39,IF(ISNUMBER(Planung!HF39),Planung!HF39,IF(UPPER(Planung!HF39)="H",$C39/2,0)))))))</f>
        <v>0</v>
      </c>
      <c r="HG39" s="27">
        <f>IF($A39="",0,IF(Mitarbeiter!$G$37=FALSE,0,IF(AND(Mitarbeiter!$E$37&lt;&gt;"",HG$5+6&lt;Mitarbeiter!$E$37),0,IF(AND(Mitarbeiter!$F$37&lt;&gt;"",HG$5&gt;Mitarbeiter!$F$37),0,IF(Planung!HG39="",$C39,IF(ISNUMBER(Planung!HG39),Planung!HG39,IF(UPPER(Planung!HG39)="H",$C39/2,0)))))))</f>
        <v>0</v>
      </c>
      <c r="HH39" s="27">
        <f>IF($A39="",0,IF(Mitarbeiter!$G$37=FALSE,0,IF(AND(Mitarbeiter!$E$37&lt;&gt;"",HH$5+6&lt;Mitarbeiter!$E$37),0,IF(AND(Mitarbeiter!$F$37&lt;&gt;"",HH$5&gt;Mitarbeiter!$F$37),0,IF(Planung!HH39="",$C39,IF(ISNUMBER(Planung!HH39),Planung!HH39,IF(UPPER(Planung!HH39)="H",$C39/2,0)))))))</f>
        <v>0</v>
      </c>
      <c r="HI39" s="27">
        <f>IF($A39="",0,IF(Mitarbeiter!$G$37=FALSE,0,IF(AND(Mitarbeiter!$E$37&lt;&gt;"",HI$5+6&lt;Mitarbeiter!$E$37),0,IF(AND(Mitarbeiter!$F$37&lt;&gt;"",HI$5&gt;Mitarbeiter!$F$37),0,IF(Planung!HI39="",$C39,IF(ISNUMBER(Planung!HI39),Planung!HI39,IF(UPPER(Planung!HI39)="H",$C39/2,0)))))))</f>
        <v>0</v>
      </c>
      <c r="HJ39" s="27">
        <f>IF($A39="",0,IF(Mitarbeiter!$G$37=FALSE,0,IF(AND(Mitarbeiter!$E$37&lt;&gt;"",HJ$5+6&lt;Mitarbeiter!$E$37),0,IF(AND(Mitarbeiter!$F$37&lt;&gt;"",HJ$5&gt;Mitarbeiter!$F$37),0,IF(Planung!HJ39="",$C39,IF(ISNUMBER(Planung!HJ39),Planung!HJ39,IF(UPPER(Planung!HJ39)="H",$C39/2,0)))))))</f>
        <v>0</v>
      </c>
      <c r="HK39" s="27">
        <f>IF($A39="",0,IF(Mitarbeiter!$G$37=FALSE,0,IF(AND(Mitarbeiter!$E$37&lt;&gt;"",HK$5+6&lt;Mitarbeiter!$E$37),0,IF(AND(Mitarbeiter!$F$37&lt;&gt;"",HK$5&gt;Mitarbeiter!$F$37),0,IF(Planung!HK39="",$C39,IF(ISNUMBER(Planung!HK39),Planung!HK39,IF(UPPER(Planung!HK39)="H",$C39/2,0)))))))</f>
        <v>0</v>
      </c>
      <c r="HL39" s="27">
        <f>IF($A39="",0,IF(Mitarbeiter!$G$37=FALSE,0,IF(AND(Mitarbeiter!$E$37&lt;&gt;"",HL$5+6&lt;Mitarbeiter!$E$37),0,IF(AND(Mitarbeiter!$F$37&lt;&gt;"",HL$5&gt;Mitarbeiter!$F$37),0,IF(Planung!HL39="",$C39,IF(ISNUMBER(Planung!HL39),Planung!HL39,IF(UPPER(Planung!HL39)="H",$C39/2,0)))))))</f>
        <v>0</v>
      </c>
      <c r="HM39" s="27">
        <f>IF($A39="",0,IF(Mitarbeiter!$G$37=FALSE,0,IF(AND(Mitarbeiter!$E$37&lt;&gt;"",HM$5+6&lt;Mitarbeiter!$E$37),0,IF(AND(Mitarbeiter!$F$37&lt;&gt;"",HM$5&gt;Mitarbeiter!$F$37),0,IF(Planung!HM39="",$C39,IF(ISNUMBER(Planung!HM39),Planung!HM39,IF(UPPER(Planung!HM39)="H",$C39/2,0)))))))</f>
        <v>0</v>
      </c>
      <c r="HN39" s="27">
        <f>IF($A39="",0,IF(Mitarbeiter!$G$37=FALSE,0,IF(AND(Mitarbeiter!$E$37&lt;&gt;"",HN$5+6&lt;Mitarbeiter!$E$37),0,IF(AND(Mitarbeiter!$F$37&lt;&gt;"",HN$5&gt;Mitarbeiter!$F$37),0,IF(Planung!HN39="",$C39,IF(ISNUMBER(Planung!HN39),Planung!HN39,IF(UPPER(Planung!HN39)="H",$C39/2,0)))))))</f>
        <v>0</v>
      </c>
      <c r="HO39" s="27">
        <f>IF($A39="",0,IF(Mitarbeiter!$G$37=FALSE,0,IF(AND(Mitarbeiter!$E$37&lt;&gt;"",HO$5+6&lt;Mitarbeiter!$E$37),0,IF(AND(Mitarbeiter!$F$37&lt;&gt;"",HO$5&gt;Mitarbeiter!$F$37),0,IF(Planung!HO39="",$C39,IF(ISNUMBER(Planung!HO39),Planung!HO39,IF(UPPER(Planung!HO39)="H",$C39/2,0)))))))</f>
        <v>0</v>
      </c>
      <c r="HP39" s="27">
        <f>IF($A39="",0,IF(Mitarbeiter!$G$37=FALSE,0,IF(AND(Mitarbeiter!$E$37&lt;&gt;"",HP$5+6&lt;Mitarbeiter!$E$37),0,IF(AND(Mitarbeiter!$F$37&lt;&gt;"",HP$5&gt;Mitarbeiter!$F$37),0,IF(Planung!HP39="",$C39,IF(ISNUMBER(Planung!HP39),Planung!HP39,IF(UPPER(Planung!HP39)="H",$C39/2,0)))))))</f>
        <v>0</v>
      </c>
      <c r="HQ39" s="27">
        <f>IF($A39="",0,IF(Mitarbeiter!$G$37=FALSE,0,IF(AND(Mitarbeiter!$E$37&lt;&gt;"",HQ$5+6&lt;Mitarbeiter!$E$37),0,IF(AND(Mitarbeiter!$F$37&lt;&gt;"",HQ$5&gt;Mitarbeiter!$F$37),0,IF(Planung!HQ39="",$C39,IF(ISNUMBER(Planung!HQ39),Planung!HQ39,IF(UPPER(Planung!HQ39)="H",$C39/2,0)))))))</f>
        <v>0</v>
      </c>
      <c r="HR39" s="27">
        <f>IF($A39="",0,IF(Mitarbeiter!$G$37=FALSE,0,IF(AND(Mitarbeiter!$E$37&lt;&gt;"",HR$5+6&lt;Mitarbeiter!$E$37),0,IF(AND(Mitarbeiter!$F$37&lt;&gt;"",HR$5&gt;Mitarbeiter!$F$37),0,IF(Planung!HR39="",$C39,IF(ISNUMBER(Planung!HR39),Planung!HR39,IF(UPPER(Planung!HR39)="H",$C39/2,0)))))))</f>
        <v>0</v>
      </c>
      <c r="HS39" s="27">
        <f>IF($A39="",0,IF(Mitarbeiter!$G$37=FALSE,0,IF(AND(Mitarbeiter!$E$37&lt;&gt;"",HS$5+6&lt;Mitarbeiter!$E$37),0,IF(AND(Mitarbeiter!$F$37&lt;&gt;"",HS$5&gt;Mitarbeiter!$F$37),0,IF(Planung!HS39="",$C39,IF(ISNUMBER(Planung!HS39),Planung!HS39,IF(UPPER(Planung!HS39)="H",$C39/2,0)))))))</f>
        <v>0</v>
      </c>
      <c r="HT39" s="27">
        <f>IF($A39="",0,IF(Mitarbeiter!$G$37=FALSE,0,IF(AND(Mitarbeiter!$E$37&lt;&gt;"",HT$5+6&lt;Mitarbeiter!$E$37),0,IF(AND(Mitarbeiter!$F$37&lt;&gt;"",HT$5&gt;Mitarbeiter!$F$37),0,IF(Planung!HT39="",$C39,IF(ISNUMBER(Planung!HT39),Planung!HT39,IF(UPPER(Planung!HT39)="H",$C39/2,0)))))))</f>
        <v>0</v>
      </c>
      <c r="HU39" s="27">
        <f>IF($A39="",0,IF(Mitarbeiter!$G$37=FALSE,0,IF(AND(Mitarbeiter!$E$37&lt;&gt;"",HU$5+6&lt;Mitarbeiter!$E$37),0,IF(AND(Mitarbeiter!$F$37&lt;&gt;"",HU$5&gt;Mitarbeiter!$F$37),0,IF(Planung!HU39="",$C39,IF(ISNUMBER(Planung!HU39),Planung!HU39,IF(UPPER(Planung!HU39)="H",$C39/2,0)))))))</f>
        <v>0</v>
      </c>
      <c r="HV39" s="27">
        <f>IF($A39="",0,IF(Mitarbeiter!$G$37=FALSE,0,IF(AND(Mitarbeiter!$E$37&lt;&gt;"",HV$5+6&lt;Mitarbeiter!$E$37),0,IF(AND(Mitarbeiter!$F$37&lt;&gt;"",HV$5&gt;Mitarbeiter!$F$37),0,IF(Planung!HV39="",$C39,IF(ISNUMBER(Planung!HV39),Planung!HV39,IF(UPPER(Planung!HV39)="H",$C39/2,0)))))))</f>
        <v>0</v>
      </c>
      <c r="HW39" s="27">
        <f>IF($A39="",0,IF(Mitarbeiter!$G$37=FALSE,0,IF(AND(Mitarbeiter!$E$37&lt;&gt;"",HW$5+6&lt;Mitarbeiter!$E$37),0,IF(AND(Mitarbeiter!$F$37&lt;&gt;"",HW$5&gt;Mitarbeiter!$F$37),0,IF(Planung!HW39="",$C39,IF(ISNUMBER(Planung!HW39),Planung!HW39,IF(UPPER(Planung!HW39)="H",$C39/2,0)))))))</f>
        <v>0</v>
      </c>
      <c r="HX39" s="27">
        <f>IF($A39="",0,IF(Mitarbeiter!$G$37=FALSE,0,IF(AND(Mitarbeiter!$E$37&lt;&gt;"",HX$5+6&lt;Mitarbeiter!$E$37),0,IF(AND(Mitarbeiter!$F$37&lt;&gt;"",HX$5&gt;Mitarbeiter!$F$37),0,IF(Planung!HX39="",$C39,IF(ISNUMBER(Planung!HX39),Planung!HX39,IF(UPPER(Planung!HX39)="H",$C39/2,0)))))))</f>
        <v>0</v>
      </c>
      <c r="HY39" s="27">
        <f>IF($A39="",0,IF(Mitarbeiter!$G$37=FALSE,0,IF(AND(Mitarbeiter!$E$37&lt;&gt;"",HY$5+6&lt;Mitarbeiter!$E$37),0,IF(AND(Mitarbeiter!$F$37&lt;&gt;"",HY$5&gt;Mitarbeiter!$F$37),0,IF(Planung!HY39="",$C39,IF(ISNUMBER(Planung!HY39),Planung!HY39,IF(UPPER(Planung!HY39)="H",$C39/2,0)))))))</f>
        <v>0</v>
      </c>
      <c r="HZ39" s="27">
        <f>IF($A39="",0,IF(Mitarbeiter!$G$37=FALSE,0,IF(AND(Mitarbeiter!$E$37&lt;&gt;"",HZ$5+6&lt;Mitarbeiter!$E$37),0,IF(AND(Mitarbeiter!$F$37&lt;&gt;"",HZ$5&gt;Mitarbeiter!$F$37),0,IF(Planung!HZ39="",$C39,IF(ISNUMBER(Planung!HZ39),Planung!HZ39,IF(UPPER(Planung!HZ39)="H",$C39/2,0)))))))</f>
        <v>0</v>
      </c>
      <c r="IA39" s="27">
        <f>IF($A39="",0,IF(Mitarbeiter!$G$37=FALSE,0,IF(AND(Mitarbeiter!$E$37&lt;&gt;"",IA$5+6&lt;Mitarbeiter!$E$37),0,IF(AND(Mitarbeiter!$F$37&lt;&gt;"",IA$5&gt;Mitarbeiter!$F$37),0,IF(Planung!IA39="",$C39,IF(ISNUMBER(Planung!IA39),Planung!IA39,IF(UPPER(Planung!IA39)="H",$C39/2,0)))))))</f>
        <v>0</v>
      </c>
    </row>
    <row r="40" spans="1:235" x14ac:dyDescent="0.25">
      <c r="A40" s="7" t="str">
        <f>Planung!A40</f>
        <v/>
      </c>
      <c r="B40" s="7" t="str">
        <f>Planung!B40</f>
        <v/>
      </c>
      <c r="C40" s="27">
        <f>N(Mitarbeiter!$D$38)</f>
        <v>0</v>
      </c>
      <c r="D40" s="27">
        <f>IF($A40="",0,IF(Mitarbeiter!$G$38=FALSE,0,IF(AND(Mitarbeiter!$E$38&lt;&gt;"",D$5+6&lt;Mitarbeiter!$E$38),0,IF(AND(Mitarbeiter!$F$38&lt;&gt;"",D$5&gt;Mitarbeiter!$F$38),0,IF(Planung!D40="",$C40,IF(ISNUMBER(Planung!D40),Planung!D40,IF(UPPER(Planung!D40)="H",$C40/2,0)))))))</f>
        <v>0</v>
      </c>
      <c r="E40" s="27">
        <f>IF($A40="",0,IF(Mitarbeiter!$G$38=FALSE,0,IF(AND(Mitarbeiter!$E$38&lt;&gt;"",E$5+6&lt;Mitarbeiter!$E$38),0,IF(AND(Mitarbeiter!$F$38&lt;&gt;"",E$5&gt;Mitarbeiter!$F$38),0,IF(Planung!E40="",$C40,IF(ISNUMBER(Planung!E40),Planung!E40,IF(UPPER(Planung!E40)="H",$C40/2,0)))))))</f>
        <v>0</v>
      </c>
      <c r="F40" s="27">
        <f>IF($A40="",0,IF(Mitarbeiter!$G$38=FALSE,0,IF(AND(Mitarbeiter!$E$38&lt;&gt;"",F$5+6&lt;Mitarbeiter!$E$38),0,IF(AND(Mitarbeiter!$F$38&lt;&gt;"",F$5&gt;Mitarbeiter!$F$38),0,IF(Planung!F40="",$C40,IF(ISNUMBER(Planung!F40),Planung!F40,IF(UPPER(Planung!F40)="H",$C40/2,0)))))))</f>
        <v>0</v>
      </c>
      <c r="G40" s="27">
        <f>IF($A40="",0,IF(Mitarbeiter!$G$38=FALSE,0,IF(AND(Mitarbeiter!$E$38&lt;&gt;"",G$5+6&lt;Mitarbeiter!$E$38),0,IF(AND(Mitarbeiter!$F$38&lt;&gt;"",G$5&gt;Mitarbeiter!$F$38),0,IF(Planung!G40="",$C40,IF(ISNUMBER(Planung!G40),Planung!G40,IF(UPPER(Planung!G40)="H",$C40/2,0)))))))</f>
        <v>0</v>
      </c>
      <c r="H40" s="27">
        <f>IF($A40="",0,IF(Mitarbeiter!$G$38=FALSE,0,IF(AND(Mitarbeiter!$E$38&lt;&gt;"",H$5+6&lt;Mitarbeiter!$E$38),0,IF(AND(Mitarbeiter!$F$38&lt;&gt;"",H$5&gt;Mitarbeiter!$F$38),0,IF(Planung!H40="",$C40,IF(ISNUMBER(Planung!H40),Planung!H40,IF(UPPER(Planung!H40)="H",$C40/2,0)))))))</f>
        <v>0</v>
      </c>
      <c r="I40" s="27">
        <f>IF($A40="",0,IF(Mitarbeiter!$G$38=FALSE,0,IF(AND(Mitarbeiter!$E$38&lt;&gt;"",I$5+6&lt;Mitarbeiter!$E$38),0,IF(AND(Mitarbeiter!$F$38&lt;&gt;"",I$5&gt;Mitarbeiter!$F$38),0,IF(Planung!I40="",$C40,IF(ISNUMBER(Planung!I40),Planung!I40,IF(UPPER(Planung!I40)="H",$C40/2,0)))))))</f>
        <v>0</v>
      </c>
      <c r="J40" s="27">
        <f>IF($A40="",0,IF(Mitarbeiter!$G$38=FALSE,0,IF(AND(Mitarbeiter!$E$38&lt;&gt;"",J$5+6&lt;Mitarbeiter!$E$38),0,IF(AND(Mitarbeiter!$F$38&lt;&gt;"",J$5&gt;Mitarbeiter!$F$38),0,IF(Planung!J40="",$C40,IF(ISNUMBER(Planung!J40),Planung!J40,IF(UPPER(Planung!J40)="H",$C40/2,0)))))))</f>
        <v>0</v>
      </c>
      <c r="K40" s="27">
        <f>IF($A40="",0,IF(Mitarbeiter!$G$38=FALSE,0,IF(AND(Mitarbeiter!$E$38&lt;&gt;"",K$5+6&lt;Mitarbeiter!$E$38),0,IF(AND(Mitarbeiter!$F$38&lt;&gt;"",K$5&gt;Mitarbeiter!$F$38),0,IF(Planung!K40="",$C40,IF(ISNUMBER(Planung!K40),Planung!K40,IF(UPPER(Planung!K40)="H",$C40/2,0)))))))</f>
        <v>0</v>
      </c>
      <c r="L40" s="27">
        <f>IF($A40="",0,IF(Mitarbeiter!$G$38=FALSE,0,IF(AND(Mitarbeiter!$E$38&lt;&gt;"",L$5+6&lt;Mitarbeiter!$E$38),0,IF(AND(Mitarbeiter!$F$38&lt;&gt;"",L$5&gt;Mitarbeiter!$F$38),0,IF(Planung!L40="",$C40,IF(ISNUMBER(Planung!L40),Planung!L40,IF(UPPER(Planung!L40)="H",$C40/2,0)))))))</f>
        <v>0</v>
      </c>
      <c r="M40" s="27">
        <f>IF($A40="",0,IF(Mitarbeiter!$G$38=FALSE,0,IF(AND(Mitarbeiter!$E$38&lt;&gt;"",M$5+6&lt;Mitarbeiter!$E$38),0,IF(AND(Mitarbeiter!$F$38&lt;&gt;"",M$5&gt;Mitarbeiter!$F$38),0,IF(Planung!M40="",$C40,IF(ISNUMBER(Planung!M40),Planung!M40,IF(UPPER(Planung!M40)="H",$C40/2,0)))))))</f>
        <v>0</v>
      </c>
      <c r="N40" s="27">
        <f>IF($A40="",0,IF(Mitarbeiter!$G$38=FALSE,0,IF(AND(Mitarbeiter!$E$38&lt;&gt;"",N$5+6&lt;Mitarbeiter!$E$38),0,IF(AND(Mitarbeiter!$F$38&lt;&gt;"",N$5&gt;Mitarbeiter!$F$38),0,IF(Planung!N40="",$C40,IF(ISNUMBER(Planung!N40),Planung!N40,IF(UPPER(Planung!N40)="H",$C40/2,0)))))))</f>
        <v>0</v>
      </c>
      <c r="O40" s="27">
        <f>IF($A40="",0,IF(Mitarbeiter!$G$38=FALSE,0,IF(AND(Mitarbeiter!$E$38&lt;&gt;"",O$5+6&lt;Mitarbeiter!$E$38),0,IF(AND(Mitarbeiter!$F$38&lt;&gt;"",O$5&gt;Mitarbeiter!$F$38),0,IF(Planung!O40="",$C40,IF(ISNUMBER(Planung!O40),Planung!O40,IF(UPPER(Planung!O40)="H",$C40/2,0)))))))</f>
        <v>0</v>
      </c>
      <c r="P40" s="27">
        <f>IF($A40="",0,IF(Mitarbeiter!$G$38=FALSE,0,IF(AND(Mitarbeiter!$E$38&lt;&gt;"",P$5+6&lt;Mitarbeiter!$E$38),0,IF(AND(Mitarbeiter!$F$38&lt;&gt;"",P$5&gt;Mitarbeiter!$F$38),0,IF(Planung!P40="",$C40,IF(ISNUMBER(Planung!P40),Planung!P40,IF(UPPER(Planung!P40)="H",$C40/2,0)))))))</f>
        <v>0</v>
      </c>
      <c r="Q40" s="27">
        <f>IF($A40="",0,IF(Mitarbeiter!$G$38=FALSE,0,IF(AND(Mitarbeiter!$E$38&lt;&gt;"",Q$5+6&lt;Mitarbeiter!$E$38),0,IF(AND(Mitarbeiter!$F$38&lt;&gt;"",Q$5&gt;Mitarbeiter!$F$38),0,IF(Planung!Q40="",$C40,IF(ISNUMBER(Planung!Q40),Planung!Q40,IF(UPPER(Planung!Q40)="H",$C40/2,0)))))))</f>
        <v>0</v>
      </c>
      <c r="R40" s="27">
        <f>IF($A40="",0,IF(Mitarbeiter!$G$38=FALSE,0,IF(AND(Mitarbeiter!$E$38&lt;&gt;"",R$5+6&lt;Mitarbeiter!$E$38),0,IF(AND(Mitarbeiter!$F$38&lt;&gt;"",R$5&gt;Mitarbeiter!$F$38),0,IF(Planung!R40="",$C40,IF(ISNUMBER(Planung!R40),Planung!R40,IF(UPPER(Planung!R40)="H",$C40/2,0)))))))</f>
        <v>0</v>
      </c>
      <c r="S40" s="27">
        <f>IF($A40="",0,IF(Mitarbeiter!$G$38=FALSE,0,IF(AND(Mitarbeiter!$E$38&lt;&gt;"",S$5+6&lt;Mitarbeiter!$E$38),0,IF(AND(Mitarbeiter!$F$38&lt;&gt;"",S$5&gt;Mitarbeiter!$F$38),0,IF(Planung!S40="",$C40,IF(ISNUMBER(Planung!S40),Planung!S40,IF(UPPER(Planung!S40)="H",$C40/2,0)))))))</f>
        <v>0</v>
      </c>
      <c r="T40" s="27">
        <f>IF($A40="",0,IF(Mitarbeiter!$G$38=FALSE,0,IF(AND(Mitarbeiter!$E$38&lt;&gt;"",T$5+6&lt;Mitarbeiter!$E$38),0,IF(AND(Mitarbeiter!$F$38&lt;&gt;"",T$5&gt;Mitarbeiter!$F$38),0,IF(Planung!T40="",$C40,IF(ISNUMBER(Planung!T40),Planung!T40,IF(UPPER(Planung!T40)="H",$C40/2,0)))))))</f>
        <v>0</v>
      </c>
      <c r="U40" s="27">
        <f>IF($A40="",0,IF(Mitarbeiter!$G$38=FALSE,0,IF(AND(Mitarbeiter!$E$38&lt;&gt;"",U$5+6&lt;Mitarbeiter!$E$38),0,IF(AND(Mitarbeiter!$F$38&lt;&gt;"",U$5&gt;Mitarbeiter!$F$38),0,IF(Planung!U40="",$C40,IF(ISNUMBER(Planung!U40),Planung!U40,IF(UPPER(Planung!U40)="H",$C40/2,0)))))))</f>
        <v>0</v>
      </c>
      <c r="V40" s="27">
        <f>IF($A40="",0,IF(Mitarbeiter!$G$38=FALSE,0,IF(AND(Mitarbeiter!$E$38&lt;&gt;"",V$5+6&lt;Mitarbeiter!$E$38),0,IF(AND(Mitarbeiter!$F$38&lt;&gt;"",V$5&gt;Mitarbeiter!$F$38),0,IF(Planung!V40="",$C40,IF(ISNUMBER(Planung!V40),Planung!V40,IF(UPPER(Planung!V40)="H",$C40/2,0)))))))</f>
        <v>0</v>
      </c>
      <c r="W40" s="27">
        <f>IF($A40="",0,IF(Mitarbeiter!$G$38=FALSE,0,IF(AND(Mitarbeiter!$E$38&lt;&gt;"",W$5+6&lt;Mitarbeiter!$E$38),0,IF(AND(Mitarbeiter!$F$38&lt;&gt;"",W$5&gt;Mitarbeiter!$F$38),0,IF(Planung!W40="",$C40,IF(ISNUMBER(Planung!W40),Planung!W40,IF(UPPER(Planung!W40)="H",$C40/2,0)))))))</f>
        <v>0</v>
      </c>
      <c r="X40" s="27">
        <f>IF($A40="",0,IF(Mitarbeiter!$G$38=FALSE,0,IF(AND(Mitarbeiter!$E$38&lt;&gt;"",X$5+6&lt;Mitarbeiter!$E$38),0,IF(AND(Mitarbeiter!$F$38&lt;&gt;"",X$5&gt;Mitarbeiter!$F$38),0,IF(Planung!X40="",$C40,IF(ISNUMBER(Planung!X40),Planung!X40,IF(UPPER(Planung!X40)="H",$C40/2,0)))))))</f>
        <v>0</v>
      </c>
      <c r="Y40" s="27">
        <f>IF($A40="",0,IF(Mitarbeiter!$G$38=FALSE,0,IF(AND(Mitarbeiter!$E$38&lt;&gt;"",Y$5+6&lt;Mitarbeiter!$E$38),0,IF(AND(Mitarbeiter!$F$38&lt;&gt;"",Y$5&gt;Mitarbeiter!$F$38),0,IF(Planung!Y40="",$C40,IF(ISNUMBER(Planung!Y40),Planung!Y40,IF(UPPER(Planung!Y40)="H",$C40/2,0)))))))</f>
        <v>0</v>
      </c>
      <c r="Z40" s="27">
        <f>IF($A40="",0,IF(Mitarbeiter!$G$38=FALSE,0,IF(AND(Mitarbeiter!$E$38&lt;&gt;"",Z$5+6&lt;Mitarbeiter!$E$38),0,IF(AND(Mitarbeiter!$F$38&lt;&gt;"",Z$5&gt;Mitarbeiter!$F$38),0,IF(Planung!Z40="",$C40,IF(ISNUMBER(Planung!Z40),Planung!Z40,IF(UPPER(Planung!Z40)="H",$C40/2,0)))))))</f>
        <v>0</v>
      </c>
      <c r="AA40" s="27">
        <f>IF($A40="",0,IF(Mitarbeiter!$G$38=FALSE,0,IF(AND(Mitarbeiter!$E$38&lt;&gt;"",AA$5+6&lt;Mitarbeiter!$E$38),0,IF(AND(Mitarbeiter!$F$38&lt;&gt;"",AA$5&gt;Mitarbeiter!$F$38),0,IF(Planung!AA40="",$C40,IF(ISNUMBER(Planung!AA40),Planung!AA40,IF(UPPER(Planung!AA40)="H",$C40/2,0)))))))</f>
        <v>0</v>
      </c>
      <c r="AB40" s="27">
        <f>IF($A40="",0,IF(Mitarbeiter!$G$38=FALSE,0,IF(AND(Mitarbeiter!$E$38&lt;&gt;"",AB$5+6&lt;Mitarbeiter!$E$38),0,IF(AND(Mitarbeiter!$F$38&lt;&gt;"",AB$5&gt;Mitarbeiter!$F$38),0,IF(Planung!AB40="",$C40,IF(ISNUMBER(Planung!AB40),Planung!AB40,IF(UPPER(Planung!AB40)="H",$C40/2,0)))))))</f>
        <v>0</v>
      </c>
      <c r="AC40" s="27">
        <f>IF($A40="",0,IF(Mitarbeiter!$G$38=FALSE,0,IF(AND(Mitarbeiter!$E$38&lt;&gt;"",AC$5+6&lt;Mitarbeiter!$E$38),0,IF(AND(Mitarbeiter!$F$38&lt;&gt;"",AC$5&gt;Mitarbeiter!$F$38),0,IF(Planung!AC40="",$C40,IF(ISNUMBER(Planung!AC40),Planung!AC40,IF(UPPER(Planung!AC40)="H",$C40/2,0)))))))</f>
        <v>0</v>
      </c>
      <c r="AD40" s="27">
        <f>IF($A40="",0,IF(Mitarbeiter!$G$38=FALSE,0,IF(AND(Mitarbeiter!$E$38&lt;&gt;"",AD$5+6&lt;Mitarbeiter!$E$38),0,IF(AND(Mitarbeiter!$F$38&lt;&gt;"",AD$5&gt;Mitarbeiter!$F$38),0,IF(Planung!AD40="",$C40,IF(ISNUMBER(Planung!AD40),Planung!AD40,IF(UPPER(Planung!AD40)="H",$C40/2,0)))))))</f>
        <v>0</v>
      </c>
      <c r="AE40" s="27">
        <f>IF($A40="",0,IF(Mitarbeiter!$G$38=FALSE,0,IF(AND(Mitarbeiter!$E$38&lt;&gt;"",AE$5+6&lt;Mitarbeiter!$E$38),0,IF(AND(Mitarbeiter!$F$38&lt;&gt;"",AE$5&gt;Mitarbeiter!$F$38),0,IF(Planung!AE40="",$C40,IF(ISNUMBER(Planung!AE40),Planung!AE40,IF(UPPER(Planung!AE40)="H",$C40/2,0)))))))</f>
        <v>0</v>
      </c>
      <c r="AF40" s="27">
        <f>IF($A40="",0,IF(Mitarbeiter!$G$38=FALSE,0,IF(AND(Mitarbeiter!$E$38&lt;&gt;"",AF$5+6&lt;Mitarbeiter!$E$38),0,IF(AND(Mitarbeiter!$F$38&lt;&gt;"",AF$5&gt;Mitarbeiter!$F$38),0,IF(Planung!AF40="",$C40,IF(ISNUMBER(Planung!AF40),Planung!AF40,IF(UPPER(Planung!AF40)="H",$C40/2,0)))))))</f>
        <v>0</v>
      </c>
      <c r="AG40" s="27">
        <f>IF($A40="",0,IF(Mitarbeiter!$G$38=FALSE,0,IF(AND(Mitarbeiter!$E$38&lt;&gt;"",AG$5+6&lt;Mitarbeiter!$E$38),0,IF(AND(Mitarbeiter!$F$38&lt;&gt;"",AG$5&gt;Mitarbeiter!$F$38),0,IF(Planung!AG40="",$C40,IF(ISNUMBER(Planung!AG40),Planung!AG40,IF(UPPER(Planung!AG40)="H",$C40/2,0)))))))</f>
        <v>0</v>
      </c>
      <c r="AH40" s="27">
        <f>IF($A40="",0,IF(Mitarbeiter!$G$38=FALSE,0,IF(AND(Mitarbeiter!$E$38&lt;&gt;"",AH$5+6&lt;Mitarbeiter!$E$38),0,IF(AND(Mitarbeiter!$F$38&lt;&gt;"",AH$5&gt;Mitarbeiter!$F$38),0,IF(Planung!AH40="",$C40,IF(ISNUMBER(Planung!AH40),Planung!AH40,IF(UPPER(Planung!AH40)="H",$C40/2,0)))))))</f>
        <v>0</v>
      </c>
      <c r="AI40" s="27">
        <f>IF($A40="",0,IF(Mitarbeiter!$G$38=FALSE,0,IF(AND(Mitarbeiter!$E$38&lt;&gt;"",AI$5+6&lt;Mitarbeiter!$E$38),0,IF(AND(Mitarbeiter!$F$38&lt;&gt;"",AI$5&gt;Mitarbeiter!$F$38),0,IF(Planung!AI40="",$C40,IF(ISNUMBER(Planung!AI40),Planung!AI40,IF(UPPER(Planung!AI40)="H",$C40/2,0)))))))</f>
        <v>0</v>
      </c>
      <c r="AJ40" s="27">
        <f>IF($A40="",0,IF(Mitarbeiter!$G$38=FALSE,0,IF(AND(Mitarbeiter!$E$38&lt;&gt;"",AJ$5+6&lt;Mitarbeiter!$E$38),0,IF(AND(Mitarbeiter!$F$38&lt;&gt;"",AJ$5&gt;Mitarbeiter!$F$38),0,IF(Planung!AJ40="",$C40,IF(ISNUMBER(Planung!AJ40),Planung!AJ40,IF(UPPER(Planung!AJ40)="H",$C40/2,0)))))))</f>
        <v>0</v>
      </c>
      <c r="AK40" s="27">
        <f>IF($A40="",0,IF(Mitarbeiter!$G$38=FALSE,0,IF(AND(Mitarbeiter!$E$38&lt;&gt;"",AK$5+6&lt;Mitarbeiter!$E$38),0,IF(AND(Mitarbeiter!$F$38&lt;&gt;"",AK$5&gt;Mitarbeiter!$F$38),0,IF(Planung!AK40="",$C40,IF(ISNUMBER(Planung!AK40),Planung!AK40,IF(UPPER(Planung!AK40)="H",$C40/2,0)))))))</f>
        <v>0</v>
      </c>
      <c r="AL40" s="27">
        <f>IF($A40="",0,IF(Mitarbeiter!$G$38=FALSE,0,IF(AND(Mitarbeiter!$E$38&lt;&gt;"",AL$5+6&lt;Mitarbeiter!$E$38),0,IF(AND(Mitarbeiter!$F$38&lt;&gt;"",AL$5&gt;Mitarbeiter!$F$38),0,IF(Planung!AL40="",$C40,IF(ISNUMBER(Planung!AL40),Planung!AL40,IF(UPPER(Planung!AL40)="H",$C40/2,0)))))))</f>
        <v>0</v>
      </c>
      <c r="AM40" s="27">
        <f>IF($A40="",0,IF(Mitarbeiter!$G$38=FALSE,0,IF(AND(Mitarbeiter!$E$38&lt;&gt;"",AM$5+6&lt;Mitarbeiter!$E$38),0,IF(AND(Mitarbeiter!$F$38&lt;&gt;"",AM$5&gt;Mitarbeiter!$F$38),0,IF(Planung!AM40="",$C40,IF(ISNUMBER(Planung!AM40),Planung!AM40,IF(UPPER(Planung!AM40)="H",$C40/2,0)))))))</f>
        <v>0</v>
      </c>
      <c r="AN40" s="27">
        <f>IF($A40="",0,IF(Mitarbeiter!$G$38=FALSE,0,IF(AND(Mitarbeiter!$E$38&lt;&gt;"",AN$5+6&lt;Mitarbeiter!$E$38),0,IF(AND(Mitarbeiter!$F$38&lt;&gt;"",AN$5&gt;Mitarbeiter!$F$38),0,IF(Planung!AN40="",$C40,IF(ISNUMBER(Planung!AN40),Planung!AN40,IF(UPPER(Planung!AN40)="H",$C40/2,0)))))))</f>
        <v>0</v>
      </c>
      <c r="AO40" s="27">
        <f>IF($A40="",0,IF(Mitarbeiter!$G$38=FALSE,0,IF(AND(Mitarbeiter!$E$38&lt;&gt;"",AO$5+6&lt;Mitarbeiter!$E$38),0,IF(AND(Mitarbeiter!$F$38&lt;&gt;"",AO$5&gt;Mitarbeiter!$F$38),0,IF(Planung!AO40="",$C40,IF(ISNUMBER(Planung!AO40),Planung!AO40,IF(UPPER(Planung!AO40)="H",$C40/2,0)))))))</f>
        <v>0</v>
      </c>
      <c r="AP40" s="27">
        <f>IF($A40="",0,IF(Mitarbeiter!$G$38=FALSE,0,IF(AND(Mitarbeiter!$E$38&lt;&gt;"",AP$5+6&lt;Mitarbeiter!$E$38),0,IF(AND(Mitarbeiter!$F$38&lt;&gt;"",AP$5&gt;Mitarbeiter!$F$38),0,IF(Planung!AP40="",$C40,IF(ISNUMBER(Planung!AP40),Planung!AP40,IF(UPPER(Planung!AP40)="H",$C40/2,0)))))))</f>
        <v>0</v>
      </c>
      <c r="AQ40" s="27">
        <f>IF($A40="",0,IF(Mitarbeiter!$G$38=FALSE,0,IF(AND(Mitarbeiter!$E$38&lt;&gt;"",AQ$5+6&lt;Mitarbeiter!$E$38),0,IF(AND(Mitarbeiter!$F$38&lt;&gt;"",AQ$5&gt;Mitarbeiter!$F$38),0,IF(Planung!AQ40="",$C40,IF(ISNUMBER(Planung!AQ40),Planung!AQ40,IF(UPPER(Planung!AQ40)="H",$C40/2,0)))))))</f>
        <v>0</v>
      </c>
      <c r="AR40" s="27">
        <f>IF($A40="",0,IF(Mitarbeiter!$G$38=FALSE,0,IF(AND(Mitarbeiter!$E$38&lt;&gt;"",AR$5+6&lt;Mitarbeiter!$E$38),0,IF(AND(Mitarbeiter!$F$38&lt;&gt;"",AR$5&gt;Mitarbeiter!$F$38),0,IF(Planung!AR40="",$C40,IF(ISNUMBER(Planung!AR40),Planung!AR40,IF(UPPER(Planung!AR40)="H",$C40/2,0)))))))</f>
        <v>0</v>
      </c>
      <c r="AS40" s="27">
        <f>IF($A40="",0,IF(Mitarbeiter!$G$38=FALSE,0,IF(AND(Mitarbeiter!$E$38&lt;&gt;"",AS$5+6&lt;Mitarbeiter!$E$38),0,IF(AND(Mitarbeiter!$F$38&lt;&gt;"",AS$5&gt;Mitarbeiter!$F$38),0,IF(Planung!AS40="",$C40,IF(ISNUMBER(Planung!AS40),Planung!AS40,IF(UPPER(Planung!AS40)="H",$C40/2,0)))))))</f>
        <v>0</v>
      </c>
      <c r="AT40" s="27">
        <f>IF($A40="",0,IF(Mitarbeiter!$G$38=FALSE,0,IF(AND(Mitarbeiter!$E$38&lt;&gt;"",AT$5+6&lt;Mitarbeiter!$E$38),0,IF(AND(Mitarbeiter!$F$38&lt;&gt;"",AT$5&gt;Mitarbeiter!$F$38),0,IF(Planung!AT40="",$C40,IF(ISNUMBER(Planung!AT40),Planung!AT40,IF(UPPER(Planung!AT40)="H",$C40/2,0)))))))</f>
        <v>0</v>
      </c>
      <c r="AU40" s="27">
        <f>IF($A40="",0,IF(Mitarbeiter!$G$38=FALSE,0,IF(AND(Mitarbeiter!$E$38&lt;&gt;"",AU$5+6&lt;Mitarbeiter!$E$38),0,IF(AND(Mitarbeiter!$F$38&lt;&gt;"",AU$5&gt;Mitarbeiter!$F$38),0,IF(Planung!AU40="",$C40,IF(ISNUMBER(Planung!AU40),Planung!AU40,IF(UPPER(Planung!AU40)="H",$C40/2,0)))))))</f>
        <v>0</v>
      </c>
      <c r="AV40" s="27">
        <f>IF($A40="",0,IF(Mitarbeiter!$G$38=FALSE,0,IF(AND(Mitarbeiter!$E$38&lt;&gt;"",AV$5+6&lt;Mitarbeiter!$E$38),0,IF(AND(Mitarbeiter!$F$38&lt;&gt;"",AV$5&gt;Mitarbeiter!$F$38),0,IF(Planung!AV40="",$C40,IF(ISNUMBER(Planung!AV40),Planung!AV40,IF(UPPER(Planung!AV40)="H",$C40/2,0)))))))</f>
        <v>0</v>
      </c>
      <c r="AW40" s="27">
        <f>IF($A40="",0,IF(Mitarbeiter!$G$38=FALSE,0,IF(AND(Mitarbeiter!$E$38&lt;&gt;"",AW$5+6&lt;Mitarbeiter!$E$38),0,IF(AND(Mitarbeiter!$F$38&lt;&gt;"",AW$5&gt;Mitarbeiter!$F$38),0,IF(Planung!AW40="",$C40,IF(ISNUMBER(Planung!AW40),Planung!AW40,IF(UPPER(Planung!AW40)="H",$C40/2,0)))))))</f>
        <v>0</v>
      </c>
      <c r="AX40" s="27">
        <f>IF($A40="",0,IF(Mitarbeiter!$G$38=FALSE,0,IF(AND(Mitarbeiter!$E$38&lt;&gt;"",AX$5+6&lt;Mitarbeiter!$E$38),0,IF(AND(Mitarbeiter!$F$38&lt;&gt;"",AX$5&gt;Mitarbeiter!$F$38),0,IF(Planung!AX40="",$C40,IF(ISNUMBER(Planung!AX40),Planung!AX40,IF(UPPER(Planung!AX40)="H",$C40/2,0)))))))</f>
        <v>0</v>
      </c>
      <c r="AY40" s="27">
        <f>IF($A40="",0,IF(Mitarbeiter!$G$38=FALSE,0,IF(AND(Mitarbeiter!$E$38&lt;&gt;"",AY$5+6&lt;Mitarbeiter!$E$38),0,IF(AND(Mitarbeiter!$F$38&lt;&gt;"",AY$5&gt;Mitarbeiter!$F$38),0,IF(Planung!AY40="",$C40,IF(ISNUMBER(Planung!AY40),Planung!AY40,IF(UPPER(Planung!AY40)="H",$C40/2,0)))))))</f>
        <v>0</v>
      </c>
      <c r="AZ40" s="27">
        <f>IF($A40="",0,IF(Mitarbeiter!$G$38=FALSE,0,IF(AND(Mitarbeiter!$E$38&lt;&gt;"",AZ$5+6&lt;Mitarbeiter!$E$38),0,IF(AND(Mitarbeiter!$F$38&lt;&gt;"",AZ$5&gt;Mitarbeiter!$F$38),0,IF(Planung!AZ40="",$C40,IF(ISNUMBER(Planung!AZ40),Planung!AZ40,IF(UPPER(Planung!AZ40)="H",$C40/2,0)))))))</f>
        <v>0</v>
      </c>
      <c r="BA40" s="27">
        <f>IF($A40="",0,IF(Mitarbeiter!$G$38=FALSE,0,IF(AND(Mitarbeiter!$E$38&lt;&gt;"",BA$5+6&lt;Mitarbeiter!$E$38),0,IF(AND(Mitarbeiter!$F$38&lt;&gt;"",BA$5&gt;Mitarbeiter!$F$38),0,IF(Planung!BA40="",$C40,IF(ISNUMBER(Planung!BA40),Planung!BA40,IF(UPPER(Planung!BA40)="H",$C40/2,0)))))))</f>
        <v>0</v>
      </c>
      <c r="BB40" s="27">
        <f>IF($A40="",0,IF(Mitarbeiter!$G$38=FALSE,0,IF(AND(Mitarbeiter!$E$38&lt;&gt;"",BB$5+6&lt;Mitarbeiter!$E$38),0,IF(AND(Mitarbeiter!$F$38&lt;&gt;"",BB$5&gt;Mitarbeiter!$F$38),0,IF(Planung!BB40="",$C40,IF(ISNUMBER(Planung!BB40),Planung!BB40,IF(UPPER(Planung!BB40)="H",$C40/2,0)))))))</f>
        <v>0</v>
      </c>
      <c r="BC40" s="27">
        <f>IF($A40="",0,IF(Mitarbeiter!$G$38=FALSE,0,IF(AND(Mitarbeiter!$E$38&lt;&gt;"",BC$5+6&lt;Mitarbeiter!$E$38),0,IF(AND(Mitarbeiter!$F$38&lt;&gt;"",BC$5&gt;Mitarbeiter!$F$38),0,IF(Planung!BC40="",$C40,IF(ISNUMBER(Planung!BC40),Planung!BC40,IF(UPPER(Planung!BC40)="H",$C40/2,0)))))))</f>
        <v>0</v>
      </c>
      <c r="BD40" s="27">
        <f>IF($A40="",0,IF(Mitarbeiter!$G$38=FALSE,0,IF(AND(Mitarbeiter!$E$38&lt;&gt;"",BD$5+6&lt;Mitarbeiter!$E$38),0,IF(AND(Mitarbeiter!$F$38&lt;&gt;"",BD$5&gt;Mitarbeiter!$F$38),0,IF(Planung!BD40="",$C40,IF(ISNUMBER(Planung!BD40),Planung!BD40,IF(UPPER(Planung!BD40)="H",$C40/2,0)))))))</f>
        <v>0</v>
      </c>
      <c r="BE40" s="27">
        <f>IF($A40="",0,IF(Mitarbeiter!$G$38=FALSE,0,IF(AND(Mitarbeiter!$E$38&lt;&gt;"",BE$5+6&lt;Mitarbeiter!$E$38),0,IF(AND(Mitarbeiter!$F$38&lt;&gt;"",BE$5&gt;Mitarbeiter!$F$38),0,IF(Planung!BE40="",$C40,IF(ISNUMBER(Planung!BE40),Planung!BE40,IF(UPPER(Planung!BE40)="H",$C40/2,0)))))))</f>
        <v>0</v>
      </c>
      <c r="BF40" s="27">
        <f>IF($A40="",0,IF(Mitarbeiter!$G$38=FALSE,0,IF(AND(Mitarbeiter!$E$38&lt;&gt;"",BF$5+6&lt;Mitarbeiter!$E$38),0,IF(AND(Mitarbeiter!$F$38&lt;&gt;"",BF$5&gt;Mitarbeiter!$F$38),0,IF(Planung!BF40="",$C40,IF(ISNUMBER(Planung!BF40),Planung!BF40,IF(UPPER(Planung!BF40)="H",$C40/2,0)))))))</f>
        <v>0</v>
      </c>
      <c r="BG40" s="27">
        <f>IF($A40="",0,IF(Mitarbeiter!$G$38=FALSE,0,IF(AND(Mitarbeiter!$E$38&lt;&gt;"",BG$5+6&lt;Mitarbeiter!$E$38),0,IF(AND(Mitarbeiter!$F$38&lt;&gt;"",BG$5&gt;Mitarbeiter!$F$38),0,IF(Planung!BG40="",$C40,IF(ISNUMBER(Planung!BG40),Planung!BG40,IF(UPPER(Planung!BG40)="H",$C40/2,0)))))))</f>
        <v>0</v>
      </c>
      <c r="BH40" s="27">
        <f>IF($A40="",0,IF(Mitarbeiter!$G$38=FALSE,0,IF(AND(Mitarbeiter!$E$38&lt;&gt;"",BH$5+6&lt;Mitarbeiter!$E$38),0,IF(AND(Mitarbeiter!$F$38&lt;&gt;"",BH$5&gt;Mitarbeiter!$F$38),0,IF(Planung!BH40="",$C40,IF(ISNUMBER(Planung!BH40),Planung!BH40,IF(UPPER(Planung!BH40)="H",$C40/2,0)))))))</f>
        <v>0</v>
      </c>
      <c r="BI40" s="27">
        <f>IF($A40="",0,IF(Mitarbeiter!$G$38=FALSE,0,IF(AND(Mitarbeiter!$E$38&lt;&gt;"",BI$5+6&lt;Mitarbeiter!$E$38),0,IF(AND(Mitarbeiter!$F$38&lt;&gt;"",BI$5&gt;Mitarbeiter!$F$38),0,IF(Planung!BI40="",$C40,IF(ISNUMBER(Planung!BI40),Planung!BI40,IF(UPPER(Planung!BI40)="H",$C40/2,0)))))))</f>
        <v>0</v>
      </c>
      <c r="BJ40" s="27">
        <f>IF($A40="",0,IF(Mitarbeiter!$G$38=FALSE,0,IF(AND(Mitarbeiter!$E$38&lt;&gt;"",BJ$5+6&lt;Mitarbeiter!$E$38),0,IF(AND(Mitarbeiter!$F$38&lt;&gt;"",BJ$5&gt;Mitarbeiter!$F$38),0,IF(Planung!BJ40="",$C40,IF(ISNUMBER(Planung!BJ40),Planung!BJ40,IF(UPPER(Planung!BJ40)="H",$C40/2,0)))))))</f>
        <v>0</v>
      </c>
      <c r="BK40" s="27">
        <f>IF($A40="",0,IF(Mitarbeiter!$G$38=FALSE,0,IF(AND(Mitarbeiter!$E$38&lt;&gt;"",BK$5+6&lt;Mitarbeiter!$E$38),0,IF(AND(Mitarbeiter!$F$38&lt;&gt;"",BK$5&gt;Mitarbeiter!$F$38),0,IF(Planung!BK40="",$C40,IF(ISNUMBER(Planung!BK40),Planung!BK40,IF(UPPER(Planung!BK40)="H",$C40/2,0)))))))</f>
        <v>0</v>
      </c>
      <c r="BL40" s="27">
        <f>IF($A40="",0,IF(Mitarbeiter!$G$38=FALSE,0,IF(AND(Mitarbeiter!$E$38&lt;&gt;"",BL$5+6&lt;Mitarbeiter!$E$38),0,IF(AND(Mitarbeiter!$F$38&lt;&gt;"",BL$5&gt;Mitarbeiter!$F$38),0,IF(Planung!BL40="",$C40,IF(ISNUMBER(Planung!BL40),Planung!BL40,IF(UPPER(Planung!BL40)="H",$C40/2,0)))))))</f>
        <v>0</v>
      </c>
      <c r="BM40" s="27">
        <f>IF($A40="",0,IF(Mitarbeiter!$G$38=FALSE,0,IF(AND(Mitarbeiter!$E$38&lt;&gt;"",BM$5+6&lt;Mitarbeiter!$E$38),0,IF(AND(Mitarbeiter!$F$38&lt;&gt;"",BM$5&gt;Mitarbeiter!$F$38),0,IF(Planung!BM40="",$C40,IF(ISNUMBER(Planung!BM40),Planung!BM40,IF(UPPER(Planung!BM40)="H",$C40/2,0)))))))</f>
        <v>0</v>
      </c>
      <c r="BN40" s="27">
        <f>IF($A40="",0,IF(Mitarbeiter!$G$38=FALSE,0,IF(AND(Mitarbeiter!$E$38&lt;&gt;"",BN$5+6&lt;Mitarbeiter!$E$38),0,IF(AND(Mitarbeiter!$F$38&lt;&gt;"",BN$5&gt;Mitarbeiter!$F$38),0,IF(Planung!BN40="",$C40,IF(ISNUMBER(Planung!BN40),Planung!BN40,IF(UPPER(Planung!BN40)="H",$C40/2,0)))))))</f>
        <v>0</v>
      </c>
      <c r="BO40" s="27">
        <f>IF($A40="",0,IF(Mitarbeiter!$G$38=FALSE,0,IF(AND(Mitarbeiter!$E$38&lt;&gt;"",BO$5+6&lt;Mitarbeiter!$E$38),0,IF(AND(Mitarbeiter!$F$38&lt;&gt;"",BO$5&gt;Mitarbeiter!$F$38),0,IF(Planung!BO40="",$C40,IF(ISNUMBER(Planung!BO40),Planung!BO40,IF(UPPER(Planung!BO40)="H",$C40/2,0)))))))</f>
        <v>0</v>
      </c>
      <c r="BP40" s="27">
        <f>IF($A40="",0,IF(Mitarbeiter!$G$38=FALSE,0,IF(AND(Mitarbeiter!$E$38&lt;&gt;"",BP$5+6&lt;Mitarbeiter!$E$38),0,IF(AND(Mitarbeiter!$F$38&lt;&gt;"",BP$5&gt;Mitarbeiter!$F$38),0,IF(Planung!BP40="",$C40,IF(ISNUMBER(Planung!BP40),Planung!BP40,IF(UPPER(Planung!BP40)="H",$C40/2,0)))))))</f>
        <v>0</v>
      </c>
      <c r="BQ40" s="27">
        <f>IF($A40="",0,IF(Mitarbeiter!$G$38=FALSE,0,IF(AND(Mitarbeiter!$E$38&lt;&gt;"",BQ$5+6&lt;Mitarbeiter!$E$38),0,IF(AND(Mitarbeiter!$F$38&lt;&gt;"",BQ$5&gt;Mitarbeiter!$F$38),0,IF(Planung!BQ40="",$C40,IF(ISNUMBER(Planung!BQ40),Planung!BQ40,IF(UPPER(Planung!BQ40)="H",$C40/2,0)))))))</f>
        <v>0</v>
      </c>
      <c r="BR40" s="27">
        <f>IF($A40="",0,IF(Mitarbeiter!$G$38=FALSE,0,IF(AND(Mitarbeiter!$E$38&lt;&gt;"",BR$5+6&lt;Mitarbeiter!$E$38),0,IF(AND(Mitarbeiter!$F$38&lt;&gt;"",BR$5&gt;Mitarbeiter!$F$38),0,IF(Planung!BR40="",$C40,IF(ISNUMBER(Planung!BR40),Planung!BR40,IF(UPPER(Planung!BR40)="H",$C40/2,0)))))))</f>
        <v>0</v>
      </c>
      <c r="BS40" s="27">
        <f>IF($A40="",0,IF(Mitarbeiter!$G$38=FALSE,0,IF(AND(Mitarbeiter!$E$38&lt;&gt;"",BS$5+6&lt;Mitarbeiter!$E$38),0,IF(AND(Mitarbeiter!$F$38&lt;&gt;"",BS$5&gt;Mitarbeiter!$F$38),0,IF(Planung!BS40="",$C40,IF(ISNUMBER(Planung!BS40),Planung!BS40,IF(UPPER(Planung!BS40)="H",$C40/2,0)))))))</f>
        <v>0</v>
      </c>
      <c r="BT40" s="27">
        <f>IF($A40="",0,IF(Mitarbeiter!$G$38=FALSE,0,IF(AND(Mitarbeiter!$E$38&lt;&gt;"",BT$5+6&lt;Mitarbeiter!$E$38),0,IF(AND(Mitarbeiter!$F$38&lt;&gt;"",BT$5&gt;Mitarbeiter!$F$38),0,IF(Planung!BT40="",$C40,IF(ISNUMBER(Planung!BT40),Planung!BT40,IF(UPPER(Planung!BT40)="H",$C40/2,0)))))))</f>
        <v>0</v>
      </c>
      <c r="BU40" s="27">
        <f>IF($A40="",0,IF(Mitarbeiter!$G$38=FALSE,0,IF(AND(Mitarbeiter!$E$38&lt;&gt;"",BU$5+6&lt;Mitarbeiter!$E$38),0,IF(AND(Mitarbeiter!$F$38&lt;&gt;"",BU$5&gt;Mitarbeiter!$F$38),0,IF(Planung!BU40="",$C40,IF(ISNUMBER(Planung!BU40),Planung!BU40,IF(UPPER(Planung!BU40)="H",$C40/2,0)))))))</f>
        <v>0</v>
      </c>
      <c r="BV40" s="27">
        <f>IF($A40="",0,IF(Mitarbeiter!$G$38=FALSE,0,IF(AND(Mitarbeiter!$E$38&lt;&gt;"",BV$5+6&lt;Mitarbeiter!$E$38),0,IF(AND(Mitarbeiter!$F$38&lt;&gt;"",BV$5&gt;Mitarbeiter!$F$38),0,IF(Planung!BV40="",$C40,IF(ISNUMBER(Planung!BV40),Planung!BV40,IF(UPPER(Planung!BV40)="H",$C40/2,0)))))))</f>
        <v>0</v>
      </c>
      <c r="BW40" s="27">
        <f>IF($A40="",0,IF(Mitarbeiter!$G$38=FALSE,0,IF(AND(Mitarbeiter!$E$38&lt;&gt;"",BW$5+6&lt;Mitarbeiter!$E$38),0,IF(AND(Mitarbeiter!$F$38&lt;&gt;"",BW$5&gt;Mitarbeiter!$F$38),0,IF(Planung!BW40="",$C40,IF(ISNUMBER(Planung!BW40),Planung!BW40,IF(UPPER(Planung!BW40)="H",$C40/2,0)))))))</f>
        <v>0</v>
      </c>
      <c r="BX40" s="27">
        <f>IF($A40="",0,IF(Mitarbeiter!$G$38=FALSE,0,IF(AND(Mitarbeiter!$E$38&lt;&gt;"",BX$5+6&lt;Mitarbeiter!$E$38),0,IF(AND(Mitarbeiter!$F$38&lt;&gt;"",BX$5&gt;Mitarbeiter!$F$38),0,IF(Planung!BX40="",$C40,IF(ISNUMBER(Planung!BX40),Planung!BX40,IF(UPPER(Planung!BX40)="H",$C40/2,0)))))))</f>
        <v>0</v>
      </c>
      <c r="BY40" s="27">
        <f>IF($A40="",0,IF(Mitarbeiter!$G$38=FALSE,0,IF(AND(Mitarbeiter!$E$38&lt;&gt;"",BY$5+6&lt;Mitarbeiter!$E$38),0,IF(AND(Mitarbeiter!$F$38&lt;&gt;"",BY$5&gt;Mitarbeiter!$F$38),0,IF(Planung!BY40="",$C40,IF(ISNUMBER(Planung!BY40),Planung!BY40,IF(UPPER(Planung!BY40)="H",$C40/2,0)))))))</f>
        <v>0</v>
      </c>
      <c r="BZ40" s="27">
        <f>IF($A40="",0,IF(Mitarbeiter!$G$38=FALSE,0,IF(AND(Mitarbeiter!$E$38&lt;&gt;"",BZ$5+6&lt;Mitarbeiter!$E$38),0,IF(AND(Mitarbeiter!$F$38&lt;&gt;"",BZ$5&gt;Mitarbeiter!$F$38),0,IF(Planung!BZ40="",$C40,IF(ISNUMBER(Planung!BZ40),Planung!BZ40,IF(UPPER(Planung!BZ40)="H",$C40/2,0)))))))</f>
        <v>0</v>
      </c>
      <c r="CA40" s="27">
        <f>IF($A40="",0,IF(Mitarbeiter!$G$38=FALSE,0,IF(AND(Mitarbeiter!$E$38&lt;&gt;"",CA$5+6&lt;Mitarbeiter!$E$38),0,IF(AND(Mitarbeiter!$F$38&lt;&gt;"",CA$5&gt;Mitarbeiter!$F$38),0,IF(Planung!CA40="",$C40,IF(ISNUMBER(Planung!CA40),Planung!CA40,IF(UPPER(Planung!CA40)="H",$C40/2,0)))))))</f>
        <v>0</v>
      </c>
      <c r="CB40" s="27">
        <f>IF($A40="",0,IF(Mitarbeiter!$G$38=FALSE,0,IF(AND(Mitarbeiter!$E$38&lt;&gt;"",CB$5+6&lt;Mitarbeiter!$E$38),0,IF(AND(Mitarbeiter!$F$38&lt;&gt;"",CB$5&gt;Mitarbeiter!$F$38),0,IF(Planung!CB40="",$C40,IF(ISNUMBER(Planung!CB40),Planung!CB40,IF(UPPER(Planung!CB40)="H",$C40/2,0)))))))</f>
        <v>0</v>
      </c>
      <c r="CC40" s="27">
        <f>IF($A40="",0,IF(Mitarbeiter!$G$38=FALSE,0,IF(AND(Mitarbeiter!$E$38&lt;&gt;"",CC$5+6&lt;Mitarbeiter!$E$38),0,IF(AND(Mitarbeiter!$F$38&lt;&gt;"",CC$5&gt;Mitarbeiter!$F$38),0,IF(Planung!CC40="",$C40,IF(ISNUMBER(Planung!CC40),Planung!CC40,IF(UPPER(Planung!CC40)="H",$C40/2,0)))))))</f>
        <v>0</v>
      </c>
      <c r="CD40" s="27">
        <f>IF($A40="",0,IF(Mitarbeiter!$G$38=FALSE,0,IF(AND(Mitarbeiter!$E$38&lt;&gt;"",CD$5+6&lt;Mitarbeiter!$E$38),0,IF(AND(Mitarbeiter!$F$38&lt;&gt;"",CD$5&gt;Mitarbeiter!$F$38),0,IF(Planung!CD40="",$C40,IF(ISNUMBER(Planung!CD40),Planung!CD40,IF(UPPER(Planung!CD40)="H",$C40/2,0)))))))</f>
        <v>0</v>
      </c>
      <c r="CE40" s="27">
        <f>IF($A40="",0,IF(Mitarbeiter!$G$38=FALSE,0,IF(AND(Mitarbeiter!$E$38&lt;&gt;"",CE$5+6&lt;Mitarbeiter!$E$38),0,IF(AND(Mitarbeiter!$F$38&lt;&gt;"",CE$5&gt;Mitarbeiter!$F$38),0,IF(Planung!CE40="",$C40,IF(ISNUMBER(Planung!CE40),Planung!CE40,IF(UPPER(Planung!CE40)="H",$C40/2,0)))))))</f>
        <v>0</v>
      </c>
      <c r="CF40" s="27">
        <f>IF($A40="",0,IF(Mitarbeiter!$G$38=FALSE,0,IF(AND(Mitarbeiter!$E$38&lt;&gt;"",CF$5+6&lt;Mitarbeiter!$E$38),0,IF(AND(Mitarbeiter!$F$38&lt;&gt;"",CF$5&gt;Mitarbeiter!$F$38),0,IF(Planung!CF40="",$C40,IF(ISNUMBER(Planung!CF40),Planung!CF40,IF(UPPER(Planung!CF40)="H",$C40/2,0)))))))</f>
        <v>0</v>
      </c>
      <c r="CG40" s="27">
        <f>IF($A40="",0,IF(Mitarbeiter!$G$38=FALSE,0,IF(AND(Mitarbeiter!$E$38&lt;&gt;"",CG$5+6&lt;Mitarbeiter!$E$38),0,IF(AND(Mitarbeiter!$F$38&lt;&gt;"",CG$5&gt;Mitarbeiter!$F$38),0,IF(Planung!CG40="",$C40,IF(ISNUMBER(Planung!CG40),Planung!CG40,IF(UPPER(Planung!CG40)="H",$C40/2,0)))))))</f>
        <v>0</v>
      </c>
      <c r="CH40" s="27">
        <f>IF($A40="",0,IF(Mitarbeiter!$G$38=FALSE,0,IF(AND(Mitarbeiter!$E$38&lt;&gt;"",CH$5+6&lt;Mitarbeiter!$E$38),0,IF(AND(Mitarbeiter!$F$38&lt;&gt;"",CH$5&gt;Mitarbeiter!$F$38),0,IF(Planung!CH40="",$C40,IF(ISNUMBER(Planung!CH40),Planung!CH40,IF(UPPER(Planung!CH40)="H",$C40/2,0)))))))</f>
        <v>0</v>
      </c>
      <c r="CI40" s="27">
        <f>IF($A40="",0,IF(Mitarbeiter!$G$38=FALSE,0,IF(AND(Mitarbeiter!$E$38&lt;&gt;"",CI$5+6&lt;Mitarbeiter!$E$38),0,IF(AND(Mitarbeiter!$F$38&lt;&gt;"",CI$5&gt;Mitarbeiter!$F$38),0,IF(Planung!CI40="",$C40,IF(ISNUMBER(Planung!CI40),Planung!CI40,IF(UPPER(Planung!CI40)="H",$C40/2,0)))))))</f>
        <v>0</v>
      </c>
      <c r="CJ40" s="27">
        <f>IF($A40="",0,IF(Mitarbeiter!$G$38=FALSE,0,IF(AND(Mitarbeiter!$E$38&lt;&gt;"",CJ$5+6&lt;Mitarbeiter!$E$38),0,IF(AND(Mitarbeiter!$F$38&lt;&gt;"",CJ$5&gt;Mitarbeiter!$F$38),0,IF(Planung!CJ40="",$C40,IF(ISNUMBER(Planung!CJ40),Planung!CJ40,IF(UPPER(Planung!CJ40)="H",$C40/2,0)))))))</f>
        <v>0</v>
      </c>
      <c r="CK40" s="27">
        <f>IF($A40="",0,IF(Mitarbeiter!$G$38=FALSE,0,IF(AND(Mitarbeiter!$E$38&lt;&gt;"",CK$5+6&lt;Mitarbeiter!$E$38),0,IF(AND(Mitarbeiter!$F$38&lt;&gt;"",CK$5&gt;Mitarbeiter!$F$38),0,IF(Planung!CK40="",$C40,IF(ISNUMBER(Planung!CK40),Planung!CK40,IF(UPPER(Planung!CK40)="H",$C40/2,0)))))))</f>
        <v>0</v>
      </c>
      <c r="CL40" s="27">
        <f>IF($A40="",0,IF(Mitarbeiter!$G$38=FALSE,0,IF(AND(Mitarbeiter!$E$38&lt;&gt;"",CL$5+6&lt;Mitarbeiter!$E$38),0,IF(AND(Mitarbeiter!$F$38&lt;&gt;"",CL$5&gt;Mitarbeiter!$F$38),0,IF(Planung!CL40="",$C40,IF(ISNUMBER(Planung!CL40),Planung!CL40,IF(UPPER(Planung!CL40)="H",$C40/2,0)))))))</f>
        <v>0</v>
      </c>
      <c r="CM40" s="27">
        <f>IF($A40="",0,IF(Mitarbeiter!$G$38=FALSE,0,IF(AND(Mitarbeiter!$E$38&lt;&gt;"",CM$5+6&lt;Mitarbeiter!$E$38),0,IF(AND(Mitarbeiter!$F$38&lt;&gt;"",CM$5&gt;Mitarbeiter!$F$38),0,IF(Planung!CM40="",$C40,IF(ISNUMBER(Planung!CM40),Planung!CM40,IF(UPPER(Planung!CM40)="H",$C40/2,0)))))))</f>
        <v>0</v>
      </c>
      <c r="CN40" s="27">
        <f>IF($A40="",0,IF(Mitarbeiter!$G$38=FALSE,0,IF(AND(Mitarbeiter!$E$38&lt;&gt;"",CN$5+6&lt;Mitarbeiter!$E$38),0,IF(AND(Mitarbeiter!$F$38&lt;&gt;"",CN$5&gt;Mitarbeiter!$F$38),0,IF(Planung!CN40="",$C40,IF(ISNUMBER(Planung!CN40),Planung!CN40,IF(UPPER(Planung!CN40)="H",$C40/2,0)))))))</f>
        <v>0</v>
      </c>
      <c r="CO40" s="27">
        <f>IF($A40="",0,IF(Mitarbeiter!$G$38=FALSE,0,IF(AND(Mitarbeiter!$E$38&lt;&gt;"",CO$5+6&lt;Mitarbeiter!$E$38),0,IF(AND(Mitarbeiter!$F$38&lt;&gt;"",CO$5&gt;Mitarbeiter!$F$38),0,IF(Planung!CO40="",$C40,IF(ISNUMBER(Planung!CO40),Planung!CO40,IF(UPPER(Planung!CO40)="H",$C40/2,0)))))))</f>
        <v>0</v>
      </c>
      <c r="CP40" s="27">
        <f>IF($A40="",0,IF(Mitarbeiter!$G$38=FALSE,0,IF(AND(Mitarbeiter!$E$38&lt;&gt;"",CP$5+6&lt;Mitarbeiter!$E$38),0,IF(AND(Mitarbeiter!$F$38&lt;&gt;"",CP$5&gt;Mitarbeiter!$F$38),0,IF(Planung!CP40="",$C40,IF(ISNUMBER(Planung!CP40),Planung!CP40,IF(UPPER(Planung!CP40)="H",$C40/2,0)))))))</f>
        <v>0</v>
      </c>
      <c r="CQ40" s="27">
        <f>IF($A40="",0,IF(Mitarbeiter!$G$38=FALSE,0,IF(AND(Mitarbeiter!$E$38&lt;&gt;"",CQ$5+6&lt;Mitarbeiter!$E$38),0,IF(AND(Mitarbeiter!$F$38&lt;&gt;"",CQ$5&gt;Mitarbeiter!$F$38),0,IF(Planung!CQ40="",$C40,IF(ISNUMBER(Planung!CQ40),Planung!CQ40,IF(UPPER(Planung!CQ40)="H",$C40/2,0)))))))</f>
        <v>0</v>
      </c>
      <c r="CR40" s="27">
        <f>IF($A40="",0,IF(Mitarbeiter!$G$38=FALSE,0,IF(AND(Mitarbeiter!$E$38&lt;&gt;"",CR$5+6&lt;Mitarbeiter!$E$38),0,IF(AND(Mitarbeiter!$F$38&lt;&gt;"",CR$5&gt;Mitarbeiter!$F$38),0,IF(Planung!CR40="",$C40,IF(ISNUMBER(Planung!CR40),Planung!CR40,IF(UPPER(Planung!CR40)="H",$C40/2,0)))))))</f>
        <v>0</v>
      </c>
      <c r="CS40" s="27">
        <f>IF($A40="",0,IF(Mitarbeiter!$G$38=FALSE,0,IF(AND(Mitarbeiter!$E$38&lt;&gt;"",CS$5+6&lt;Mitarbeiter!$E$38),0,IF(AND(Mitarbeiter!$F$38&lt;&gt;"",CS$5&gt;Mitarbeiter!$F$38),0,IF(Planung!CS40="",$C40,IF(ISNUMBER(Planung!CS40),Planung!CS40,IF(UPPER(Planung!CS40)="H",$C40/2,0)))))))</f>
        <v>0</v>
      </c>
      <c r="CT40" s="27">
        <f>IF($A40="",0,IF(Mitarbeiter!$G$38=FALSE,0,IF(AND(Mitarbeiter!$E$38&lt;&gt;"",CT$5+6&lt;Mitarbeiter!$E$38),0,IF(AND(Mitarbeiter!$F$38&lt;&gt;"",CT$5&gt;Mitarbeiter!$F$38),0,IF(Planung!CT40="",$C40,IF(ISNUMBER(Planung!CT40),Planung!CT40,IF(UPPER(Planung!CT40)="H",$C40/2,0)))))))</f>
        <v>0</v>
      </c>
      <c r="CU40" s="27">
        <f>IF($A40="",0,IF(Mitarbeiter!$G$38=FALSE,0,IF(AND(Mitarbeiter!$E$38&lt;&gt;"",CU$5+6&lt;Mitarbeiter!$E$38),0,IF(AND(Mitarbeiter!$F$38&lt;&gt;"",CU$5&gt;Mitarbeiter!$F$38),0,IF(Planung!CU40="",$C40,IF(ISNUMBER(Planung!CU40),Planung!CU40,IF(UPPER(Planung!CU40)="H",$C40/2,0)))))))</f>
        <v>0</v>
      </c>
      <c r="CV40" s="27">
        <f>IF($A40="",0,IF(Mitarbeiter!$G$38=FALSE,0,IF(AND(Mitarbeiter!$E$38&lt;&gt;"",CV$5+6&lt;Mitarbeiter!$E$38),0,IF(AND(Mitarbeiter!$F$38&lt;&gt;"",CV$5&gt;Mitarbeiter!$F$38),0,IF(Planung!CV40="",$C40,IF(ISNUMBER(Planung!CV40),Planung!CV40,IF(UPPER(Planung!CV40)="H",$C40/2,0)))))))</f>
        <v>0</v>
      </c>
      <c r="CW40" s="27">
        <f>IF($A40="",0,IF(Mitarbeiter!$G$38=FALSE,0,IF(AND(Mitarbeiter!$E$38&lt;&gt;"",CW$5+6&lt;Mitarbeiter!$E$38),0,IF(AND(Mitarbeiter!$F$38&lt;&gt;"",CW$5&gt;Mitarbeiter!$F$38),0,IF(Planung!CW40="",$C40,IF(ISNUMBER(Planung!CW40),Planung!CW40,IF(UPPER(Planung!CW40)="H",$C40/2,0)))))))</f>
        <v>0</v>
      </c>
      <c r="CX40" s="27">
        <f>IF($A40="",0,IF(Mitarbeiter!$G$38=FALSE,0,IF(AND(Mitarbeiter!$E$38&lt;&gt;"",CX$5+6&lt;Mitarbeiter!$E$38),0,IF(AND(Mitarbeiter!$F$38&lt;&gt;"",CX$5&gt;Mitarbeiter!$F$38),0,IF(Planung!CX40="",$C40,IF(ISNUMBER(Planung!CX40),Planung!CX40,IF(UPPER(Planung!CX40)="H",$C40/2,0)))))))</f>
        <v>0</v>
      </c>
      <c r="CY40" s="27">
        <f>IF($A40="",0,IF(Mitarbeiter!$G$38=FALSE,0,IF(AND(Mitarbeiter!$E$38&lt;&gt;"",CY$5+6&lt;Mitarbeiter!$E$38),0,IF(AND(Mitarbeiter!$F$38&lt;&gt;"",CY$5&gt;Mitarbeiter!$F$38),0,IF(Planung!CY40="",$C40,IF(ISNUMBER(Planung!CY40),Planung!CY40,IF(UPPER(Planung!CY40)="H",$C40/2,0)))))))</f>
        <v>0</v>
      </c>
      <c r="CZ40" s="27">
        <f>IF($A40="",0,IF(Mitarbeiter!$G$38=FALSE,0,IF(AND(Mitarbeiter!$E$38&lt;&gt;"",CZ$5+6&lt;Mitarbeiter!$E$38),0,IF(AND(Mitarbeiter!$F$38&lt;&gt;"",CZ$5&gt;Mitarbeiter!$F$38),0,IF(Planung!CZ40="",$C40,IF(ISNUMBER(Planung!CZ40),Planung!CZ40,IF(UPPER(Planung!CZ40)="H",$C40/2,0)))))))</f>
        <v>0</v>
      </c>
      <c r="DA40" s="27">
        <f>IF($A40="",0,IF(Mitarbeiter!$G$38=FALSE,0,IF(AND(Mitarbeiter!$E$38&lt;&gt;"",DA$5+6&lt;Mitarbeiter!$E$38),0,IF(AND(Mitarbeiter!$F$38&lt;&gt;"",DA$5&gt;Mitarbeiter!$F$38),0,IF(Planung!DA40="",$C40,IF(ISNUMBER(Planung!DA40),Planung!DA40,IF(UPPER(Planung!DA40)="H",$C40/2,0)))))))</f>
        <v>0</v>
      </c>
      <c r="DB40" s="27">
        <f>IF($A40="",0,IF(Mitarbeiter!$G$38=FALSE,0,IF(AND(Mitarbeiter!$E$38&lt;&gt;"",DB$5+6&lt;Mitarbeiter!$E$38),0,IF(AND(Mitarbeiter!$F$38&lt;&gt;"",DB$5&gt;Mitarbeiter!$F$38),0,IF(Planung!DB40="",$C40,IF(ISNUMBER(Planung!DB40),Planung!DB40,IF(UPPER(Planung!DB40)="H",$C40/2,0)))))))</f>
        <v>0</v>
      </c>
      <c r="DC40" s="27">
        <f>IF($A40="",0,IF(Mitarbeiter!$G$38=FALSE,0,IF(AND(Mitarbeiter!$E$38&lt;&gt;"",DC$5+6&lt;Mitarbeiter!$E$38),0,IF(AND(Mitarbeiter!$F$38&lt;&gt;"",DC$5&gt;Mitarbeiter!$F$38),0,IF(Planung!DC40="",$C40,IF(ISNUMBER(Planung!DC40),Planung!DC40,IF(UPPER(Planung!DC40)="H",$C40/2,0)))))))</f>
        <v>0</v>
      </c>
      <c r="DD40" s="27">
        <f>IF($A40="",0,IF(Mitarbeiter!$G$38=FALSE,0,IF(AND(Mitarbeiter!$E$38&lt;&gt;"",DD$5+6&lt;Mitarbeiter!$E$38),0,IF(AND(Mitarbeiter!$F$38&lt;&gt;"",DD$5&gt;Mitarbeiter!$F$38),0,IF(Planung!DD40="",$C40,IF(ISNUMBER(Planung!DD40),Planung!DD40,IF(UPPER(Planung!DD40)="H",$C40/2,0)))))))</f>
        <v>0</v>
      </c>
      <c r="DE40" s="27">
        <f>IF($A40="",0,IF(Mitarbeiter!$G$38=FALSE,0,IF(AND(Mitarbeiter!$E$38&lt;&gt;"",DE$5+6&lt;Mitarbeiter!$E$38),0,IF(AND(Mitarbeiter!$F$38&lt;&gt;"",DE$5&gt;Mitarbeiter!$F$38),0,IF(Planung!DE40="",$C40,IF(ISNUMBER(Planung!DE40),Planung!DE40,IF(UPPER(Planung!DE40)="H",$C40/2,0)))))))</f>
        <v>0</v>
      </c>
      <c r="DF40" s="27">
        <f>IF($A40="",0,IF(Mitarbeiter!$G$38=FALSE,0,IF(AND(Mitarbeiter!$E$38&lt;&gt;"",DF$5+6&lt;Mitarbeiter!$E$38),0,IF(AND(Mitarbeiter!$F$38&lt;&gt;"",DF$5&gt;Mitarbeiter!$F$38),0,IF(Planung!DF40="",$C40,IF(ISNUMBER(Planung!DF40),Planung!DF40,IF(UPPER(Planung!DF40)="H",$C40/2,0)))))))</f>
        <v>0</v>
      </c>
      <c r="DG40" s="27">
        <f>IF($A40="",0,IF(Mitarbeiter!$G$38=FALSE,0,IF(AND(Mitarbeiter!$E$38&lt;&gt;"",DG$5+6&lt;Mitarbeiter!$E$38),0,IF(AND(Mitarbeiter!$F$38&lt;&gt;"",DG$5&gt;Mitarbeiter!$F$38),0,IF(Planung!DG40="",$C40,IF(ISNUMBER(Planung!DG40),Planung!DG40,IF(UPPER(Planung!DG40)="H",$C40/2,0)))))))</f>
        <v>0</v>
      </c>
      <c r="DH40" s="27">
        <f>IF($A40="",0,IF(Mitarbeiter!$G$38=FALSE,0,IF(AND(Mitarbeiter!$E$38&lt;&gt;"",DH$5+6&lt;Mitarbeiter!$E$38),0,IF(AND(Mitarbeiter!$F$38&lt;&gt;"",DH$5&gt;Mitarbeiter!$F$38),0,IF(Planung!DH40="",$C40,IF(ISNUMBER(Planung!DH40),Planung!DH40,IF(UPPER(Planung!DH40)="H",$C40/2,0)))))))</f>
        <v>0</v>
      </c>
      <c r="DI40" s="27">
        <f>IF($A40="",0,IF(Mitarbeiter!$G$38=FALSE,0,IF(AND(Mitarbeiter!$E$38&lt;&gt;"",DI$5+6&lt;Mitarbeiter!$E$38),0,IF(AND(Mitarbeiter!$F$38&lt;&gt;"",DI$5&gt;Mitarbeiter!$F$38),0,IF(Planung!DI40="",$C40,IF(ISNUMBER(Planung!DI40),Planung!DI40,IF(UPPER(Planung!DI40)="H",$C40/2,0)))))))</f>
        <v>0</v>
      </c>
      <c r="DJ40" s="27">
        <f>IF($A40="",0,IF(Mitarbeiter!$G$38=FALSE,0,IF(AND(Mitarbeiter!$E$38&lt;&gt;"",DJ$5+6&lt;Mitarbeiter!$E$38),0,IF(AND(Mitarbeiter!$F$38&lt;&gt;"",DJ$5&gt;Mitarbeiter!$F$38),0,IF(Planung!DJ40="",$C40,IF(ISNUMBER(Planung!DJ40),Planung!DJ40,IF(UPPER(Planung!DJ40)="H",$C40/2,0)))))))</f>
        <v>0</v>
      </c>
      <c r="DK40" s="27">
        <f>IF($A40="",0,IF(Mitarbeiter!$G$38=FALSE,0,IF(AND(Mitarbeiter!$E$38&lt;&gt;"",DK$5+6&lt;Mitarbeiter!$E$38),0,IF(AND(Mitarbeiter!$F$38&lt;&gt;"",DK$5&gt;Mitarbeiter!$F$38),0,IF(Planung!DK40="",$C40,IF(ISNUMBER(Planung!DK40),Planung!DK40,IF(UPPER(Planung!DK40)="H",$C40/2,0)))))))</f>
        <v>0</v>
      </c>
      <c r="DL40" s="27">
        <f>IF($A40="",0,IF(Mitarbeiter!$G$38=FALSE,0,IF(AND(Mitarbeiter!$E$38&lt;&gt;"",DL$5+6&lt;Mitarbeiter!$E$38),0,IF(AND(Mitarbeiter!$F$38&lt;&gt;"",DL$5&gt;Mitarbeiter!$F$38),0,IF(Planung!DL40="",$C40,IF(ISNUMBER(Planung!DL40),Planung!DL40,IF(UPPER(Planung!DL40)="H",$C40/2,0)))))))</f>
        <v>0</v>
      </c>
      <c r="DM40" s="27">
        <f>IF($A40="",0,IF(Mitarbeiter!$G$38=FALSE,0,IF(AND(Mitarbeiter!$E$38&lt;&gt;"",DM$5+6&lt;Mitarbeiter!$E$38),0,IF(AND(Mitarbeiter!$F$38&lt;&gt;"",DM$5&gt;Mitarbeiter!$F$38),0,IF(Planung!DM40="",$C40,IF(ISNUMBER(Planung!DM40),Planung!DM40,IF(UPPER(Planung!DM40)="H",$C40/2,0)))))))</f>
        <v>0</v>
      </c>
      <c r="DN40" s="27">
        <f>IF($A40="",0,IF(Mitarbeiter!$G$38=FALSE,0,IF(AND(Mitarbeiter!$E$38&lt;&gt;"",DN$5+6&lt;Mitarbeiter!$E$38),0,IF(AND(Mitarbeiter!$F$38&lt;&gt;"",DN$5&gt;Mitarbeiter!$F$38),0,IF(Planung!DN40="",$C40,IF(ISNUMBER(Planung!DN40),Planung!DN40,IF(UPPER(Planung!DN40)="H",$C40/2,0)))))))</f>
        <v>0</v>
      </c>
      <c r="DO40" s="27">
        <f>IF($A40="",0,IF(Mitarbeiter!$G$38=FALSE,0,IF(AND(Mitarbeiter!$E$38&lt;&gt;"",DO$5+6&lt;Mitarbeiter!$E$38),0,IF(AND(Mitarbeiter!$F$38&lt;&gt;"",DO$5&gt;Mitarbeiter!$F$38),0,IF(Planung!DO40="",$C40,IF(ISNUMBER(Planung!DO40),Planung!DO40,IF(UPPER(Planung!DO40)="H",$C40/2,0)))))))</f>
        <v>0</v>
      </c>
      <c r="DP40" s="27">
        <f>IF($A40="",0,IF(Mitarbeiter!$G$38=FALSE,0,IF(AND(Mitarbeiter!$E$38&lt;&gt;"",DP$5+6&lt;Mitarbeiter!$E$38),0,IF(AND(Mitarbeiter!$F$38&lt;&gt;"",DP$5&gt;Mitarbeiter!$F$38),0,IF(Planung!DP40="",$C40,IF(ISNUMBER(Planung!DP40),Planung!DP40,IF(UPPER(Planung!DP40)="H",$C40/2,0)))))))</f>
        <v>0</v>
      </c>
      <c r="DQ40" s="27">
        <f>IF($A40="",0,IF(Mitarbeiter!$G$38=FALSE,0,IF(AND(Mitarbeiter!$E$38&lt;&gt;"",DQ$5+6&lt;Mitarbeiter!$E$38),0,IF(AND(Mitarbeiter!$F$38&lt;&gt;"",DQ$5&gt;Mitarbeiter!$F$38),0,IF(Planung!DQ40="",$C40,IF(ISNUMBER(Planung!DQ40),Planung!DQ40,IF(UPPER(Planung!DQ40)="H",$C40/2,0)))))))</f>
        <v>0</v>
      </c>
      <c r="DR40" s="27">
        <f>IF($A40="",0,IF(Mitarbeiter!$G$38=FALSE,0,IF(AND(Mitarbeiter!$E$38&lt;&gt;"",DR$5+6&lt;Mitarbeiter!$E$38),0,IF(AND(Mitarbeiter!$F$38&lt;&gt;"",DR$5&gt;Mitarbeiter!$F$38),0,IF(Planung!DR40="",$C40,IF(ISNUMBER(Planung!DR40),Planung!DR40,IF(UPPER(Planung!DR40)="H",$C40/2,0)))))))</f>
        <v>0</v>
      </c>
      <c r="DS40" s="27">
        <f>IF($A40="",0,IF(Mitarbeiter!$G$38=FALSE,0,IF(AND(Mitarbeiter!$E$38&lt;&gt;"",DS$5+6&lt;Mitarbeiter!$E$38),0,IF(AND(Mitarbeiter!$F$38&lt;&gt;"",DS$5&gt;Mitarbeiter!$F$38),0,IF(Planung!DS40="",$C40,IF(ISNUMBER(Planung!DS40),Planung!DS40,IF(UPPER(Planung!DS40)="H",$C40/2,0)))))))</f>
        <v>0</v>
      </c>
      <c r="DT40" s="27">
        <f>IF($A40="",0,IF(Mitarbeiter!$G$38=FALSE,0,IF(AND(Mitarbeiter!$E$38&lt;&gt;"",DT$5+6&lt;Mitarbeiter!$E$38),0,IF(AND(Mitarbeiter!$F$38&lt;&gt;"",DT$5&gt;Mitarbeiter!$F$38),0,IF(Planung!DT40="",$C40,IF(ISNUMBER(Planung!DT40),Planung!DT40,IF(UPPER(Planung!DT40)="H",$C40/2,0)))))))</f>
        <v>0</v>
      </c>
      <c r="DU40" s="27">
        <f>IF($A40="",0,IF(Mitarbeiter!$G$38=FALSE,0,IF(AND(Mitarbeiter!$E$38&lt;&gt;"",DU$5+6&lt;Mitarbeiter!$E$38),0,IF(AND(Mitarbeiter!$F$38&lt;&gt;"",DU$5&gt;Mitarbeiter!$F$38),0,IF(Planung!DU40="",$C40,IF(ISNUMBER(Planung!DU40),Planung!DU40,IF(UPPER(Planung!DU40)="H",$C40/2,0)))))))</f>
        <v>0</v>
      </c>
      <c r="DV40" s="27">
        <f>IF($A40="",0,IF(Mitarbeiter!$G$38=FALSE,0,IF(AND(Mitarbeiter!$E$38&lt;&gt;"",DV$5+6&lt;Mitarbeiter!$E$38),0,IF(AND(Mitarbeiter!$F$38&lt;&gt;"",DV$5&gt;Mitarbeiter!$F$38),0,IF(Planung!DV40="",$C40,IF(ISNUMBER(Planung!DV40),Planung!DV40,IF(UPPER(Planung!DV40)="H",$C40/2,0)))))))</f>
        <v>0</v>
      </c>
      <c r="DW40" s="27">
        <f>IF($A40="",0,IF(Mitarbeiter!$G$38=FALSE,0,IF(AND(Mitarbeiter!$E$38&lt;&gt;"",DW$5+6&lt;Mitarbeiter!$E$38),0,IF(AND(Mitarbeiter!$F$38&lt;&gt;"",DW$5&gt;Mitarbeiter!$F$38),0,IF(Planung!DW40="",$C40,IF(ISNUMBER(Planung!DW40),Planung!DW40,IF(UPPER(Planung!DW40)="H",$C40/2,0)))))))</f>
        <v>0</v>
      </c>
      <c r="DX40" s="27">
        <f>IF($A40="",0,IF(Mitarbeiter!$G$38=FALSE,0,IF(AND(Mitarbeiter!$E$38&lt;&gt;"",DX$5+6&lt;Mitarbeiter!$E$38),0,IF(AND(Mitarbeiter!$F$38&lt;&gt;"",DX$5&gt;Mitarbeiter!$F$38),0,IF(Planung!DX40="",$C40,IF(ISNUMBER(Planung!DX40),Planung!DX40,IF(UPPER(Planung!DX40)="H",$C40/2,0)))))))</f>
        <v>0</v>
      </c>
      <c r="DY40" s="27">
        <f>IF($A40="",0,IF(Mitarbeiter!$G$38=FALSE,0,IF(AND(Mitarbeiter!$E$38&lt;&gt;"",DY$5+6&lt;Mitarbeiter!$E$38),0,IF(AND(Mitarbeiter!$F$38&lt;&gt;"",DY$5&gt;Mitarbeiter!$F$38),0,IF(Planung!DY40="",$C40,IF(ISNUMBER(Planung!DY40),Planung!DY40,IF(UPPER(Planung!DY40)="H",$C40/2,0)))))))</f>
        <v>0</v>
      </c>
      <c r="DZ40" s="27">
        <f>IF($A40="",0,IF(Mitarbeiter!$G$38=FALSE,0,IF(AND(Mitarbeiter!$E$38&lt;&gt;"",DZ$5+6&lt;Mitarbeiter!$E$38),0,IF(AND(Mitarbeiter!$F$38&lt;&gt;"",DZ$5&gt;Mitarbeiter!$F$38),0,IF(Planung!DZ40="",$C40,IF(ISNUMBER(Planung!DZ40),Planung!DZ40,IF(UPPER(Planung!DZ40)="H",$C40/2,0)))))))</f>
        <v>0</v>
      </c>
      <c r="EA40" s="27">
        <f>IF($A40="",0,IF(Mitarbeiter!$G$38=FALSE,0,IF(AND(Mitarbeiter!$E$38&lt;&gt;"",EA$5+6&lt;Mitarbeiter!$E$38),0,IF(AND(Mitarbeiter!$F$38&lt;&gt;"",EA$5&gt;Mitarbeiter!$F$38),0,IF(Planung!EA40="",$C40,IF(ISNUMBER(Planung!EA40),Planung!EA40,IF(UPPER(Planung!EA40)="H",$C40/2,0)))))))</f>
        <v>0</v>
      </c>
      <c r="EB40" s="27">
        <f>IF($A40="",0,IF(Mitarbeiter!$G$38=FALSE,0,IF(AND(Mitarbeiter!$E$38&lt;&gt;"",EB$5+6&lt;Mitarbeiter!$E$38),0,IF(AND(Mitarbeiter!$F$38&lt;&gt;"",EB$5&gt;Mitarbeiter!$F$38),0,IF(Planung!EB40="",$C40,IF(ISNUMBER(Planung!EB40),Planung!EB40,IF(UPPER(Planung!EB40)="H",$C40/2,0)))))))</f>
        <v>0</v>
      </c>
      <c r="EC40" s="27">
        <f>IF($A40="",0,IF(Mitarbeiter!$G$38=FALSE,0,IF(AND(Mitarbeiter!$E$38&lt;&gt;"",EC$5+6&lt;Mitarbeiter!$E$38),0,IF(AND(Mitarbeiter!$F$38&lt;&gt;"",EC$5&gt;Mitarbeiter!$F$38),0,IF(Planung!EC40="",$C40,IF(ISNUMBER(Planung!EC40),Planung!EC40,IF(UPPER(Planung!EC40)="H",$C40/2,0)))))))</f>
        <v>0</v>
      </c>
      <c r="ED40" s="27">
        <f>IF($A40="",0,IF(Mitarbeiter!$G$38=FALSE,0,IF(AND(Mitarbeiter!$E$38&lt;&gt;"",ED$5+6&lt;Mitarbeiter!$E$38),0,IF(AND(Mitarbeiter!$F$38&lt;&gt;"",ED$5&gt;Mitarbeiter!$F$38),0,IF(Planung!ED40="",$C40,IF(ISNUMBER(Planung!ED40),Planung!ED40,IF(UPPER(Planung!ED40)="H",$C40/2,0)))))))</f>
        <v>0</v>
      </c>
      <c r="EE40" s="27">
        <f>IF($A40="",0,IF(Mitarbeiter!$G$38=FALSE,0,IF(AND(Mitarbeiter!$E$38&lt;&gt;"",EE$5+6&lt;Mitarbeiter!$E$38),0,IF(AND(Mitarbeiter!$F$38&lt;&gt;"",EE$5&gt;Mitarbeiter!$F$38),0,IF(Planung!EE40="",$C40,IF(ISNUMBER(Planung!EE40),Planung!EE40,IF(UPPER(Planung!EE40)="H",$C40/2,0)))))))</f>
        <v>0</v>
      </c>
      <c r="EF40" s="27">
        <f>IF($A40="",0,IF(Mitarbeiter!$G$38=FALSE,0,IF(AND(Mitarbeiter!$E$38&lt;&gt;"",EF$5+6&lt;Mitarbeiter!$E$38),0,IF(AND(Mitarbeiter!$F$38&lt;&gt;"",EF$5&gt;Mitarbeiter!$F$38),0,IF(Planung!EF40="",$C40,IF(ISNUMBER(Planung!EF40),Planung!EF40,IF(UPPER(Planung!EF40)="H",$C40/2,0)))))))</f>
        <v>0</v>
      </c>
      <c r="EG40" s="27">
        <f>IF($A40="",0,IF(Mitarbeiter!$G$38=FALSE,0,IF(AND(Mitarbeiter!$E$38&lt;&gt;"",EG$5+6&lt;Mitarbeiter!$E$38),0,IF(AND(Mitarbeiter!$F$38&lt;&gt;"",EG$5&gt;Mitarbeiter!$F$38),0,IF(Planung!EG40="",$C40,IF(ISNUMBER(Planung!EG40),Planung!EG40,IF(UPPER(Planung!EG40)="H",$C40/2,0)))))))</f>
        <v>0</v>
      </c>
      <c r="EH40" s="27">
        <f>IF($A40="",0,IF(Mitarbeiter!$G$38=FALSE,0,IF(AND(Mitarbeiter!$E$38&lt;&gt;"",EH$5+6&lt;Mitarbeiter!$E$38),0,IF(AND(Mitarbeiter!$F$38&lt;&gt;"",EH$5&gt;Mitarbeiter!$F$38),0,IF(Planung!EH40="",$C40,IF(ISNUMBER(Planung!EH40),Planung!EH40,IF(UPPER(Planung!EH40)="H",$C40/2,0)))))))</f>
        <v>0</v>
      </c>
      <c r="EI40" s="27">
        <f>IF($A40="",0,IF(Mitarbeiter!$G$38=FALSE,0,IF(AND(Mitarbeiter!$E$38&lt;&gt;"",EI$5+6&lt;Mitarbeiter!$E$38),0,IF(AND(Mitarbeiter!$F$38&lt;&gt;"",EI$5&gt;Mitarbeiter!$F$38),0,IF(Planung!EI40="",$C40,IF(ISNUMBER(Planung!EI40),Planung!EI40,IF(UPPER(Planung!EI40)="H",$C40/2,0)))))))</f>
        <v>0</v>
      </c>
      <c r="EJ40" s="27">
        <f>IF($A40="",0,IF(Mitarbeiter!$G$38=FALSE,0,IF(AND(Mitarbeiter!$E$38&lt;&gt;"",EJ$5+6&lt;Mitarbeiter!$E$38),0,IF(AND(Mitarbeiter!$F$38&lt;&gt;"",EJ$5&gt;Mitarbeiter!$F$38),0,IF(Planung!EJ40="",$C40,IF(ISNUMBER(Planung!EJ40),Planung!EJ40,IF(UPPER(Planung!EJ40)="H",$C40/2,0)))))))</f>
        <v>0</v>
      </c>
      <c r="EK40" s="27">
        <f>IF($A40="",0,IF(Mitarbeiter!$G$38=FALSE,0,IF(AND(Mitarbeiter!$E$38&lt;&gt;"",EK$5+6&lt;Mitarbeiter!$E$38),0,IF(AND(Mitarbeiter!$F$38&lt;&gt;"",EK$5&gt;Mitarbeiter!$F$38),0,IF(Planung!EK40="",$C40,IF(ISNUMBER(Planung!EK40),Planung!EK40,IF(UPPER(Planung!EK40)="H",$C40/2,0)))))))</f>
        <v>0</v>
      </c>
      <c r="EL40" s="27">
        <f>IF($A40="",0,IF(Mitarbeiter!$G$38=FALSE,0,IF(AND(Mitarbeiter!$E$38&lt;&gt;"",EL$5+6&lt;Mitarbeiter!$E$38),0,IF(AND(Mitarbeiter!$F$38&lt;&gt;"",EL$5&gt;Mitarbeiter!$F$38),0,IF(Planung!EL40="",$C40,IF(ISNUMBER(Planung!EL40),Planung!EL40,IF(UPPER(Planung!EL40)="H",$C40/2,0)))))))</f>
        <v>0</v>
      </c>
      <c r="EM40" s="27">
        <f>IF($A40="",0,IF(Mitarbeiter!$G$38=FALSE,0,IF(AND(Mitarbeiter!$E$38&lt;&gt;"",EM$5+6&lt;Mitarbeiter!$E$38),0,IF(AND(Mitarbeiter!$F$38&lt;&gt;"",EM$5&gt;Mitarbeiter!$F$38),0,IF(Planung!EM40="",$C40,IF(ISNUMBER(Planung!EM40),Planung!EM40,IF(UPPER(Planung!EM40)="H",$C40/2,0)))))))</f>
        <v>0</v>
      </c>
      <c r="EN40" s="27">
        <f>IF($A40="",0,IF(Mitarbeiter!$G$38=FALSE,0,IF(AND(Mitarbeiter!$E$38&lt;&gt;"",EN$5+6&lt;Mitarbeiter!$E$38),0,IF(AND(Mitarbeiter!$F$38&lt;&gt;"",EN$5&gt;Mitarbeiter!$F$38),0,IF(Planung!EN40="",$C40,IF(ISNUMBER(Planung!EN40),Planung!EN40,IF(UPPER(Planung!EN40)="H",$C40/2,0)))))))</f>
        <v>0</v>
      </c>
      <c r="EO40" s="27">
        <f>IF($A40="",0,IF(Mitarbeiter!$G$38=FALSE,0,IF(AND(Mitarbeiter!$E$38&lt;&gt;"",EO$5+6&lt;Mitarbeiter!$E$38),0,IF(AND(Mitarbeiter!$F$38&lt;&gt;"",EO$5&gt;Mitarbeiter!$F$38),0,IF(Planung!EO40="",$C40,IF(ISNUMBER(Planung!EO40),Planung!EO40,IF(UPPER(Planung!EO40)="H",$C40/2,0)))))))</f>
        <v>0</v>
      </c>
      <c r="EP40" s="27">
        <f>IF($A40="",0,IF(Mitarbeiter!$G$38=FALSE,0,IF(AND(Mitarbeiter!$E$38&lt;&gt;"",EP$5+6&lt;Mitarbeiter!$E$38),0,IF(AND(Mitarbeiter!$F$38&lt;&gt;"",EP$5&gt;Mitarbeiter!$F$38),0,IF(Planung!EP40="",$C40,IF(ISNUMBER(Planung!EP40),Planung!EP40,IF(UPPER(Planung!EP40)="H",$C40/2,0)))))))</f>
        <v>0</v>
      </c>
      <c r="EQ40" s="27">
        <f>IF($A40="",0,IF(Mitarbeiter!$G$38=FALSE,0,IF(AND(Mitarbeiter!$E$38&lt;&gt;"",EQ$5+6&lt;Mitarbeiter!$E$38),0,IF(AND(Mitarbeiter!$F$38&lt;&gt;"",EQ$5&gt;Mitarbeiter!$F$38),0,IF(Planung!EQ40="",$C40,IF(ISNUMBER(Planung!EQ40),Planung!EQ40,IF(UPPER(Planung!EQ40)="H",$C40/2,0)))))))</f>
        <v>0</v>
      </c>
      <c r="ER40" s="27">
        <f>IF($A40="",0,IF(Mitarbeiter!$G$38=FALSE,0,IF(AND(Mitarbeiter!$E$38&lt;&gt;"",ER$5+6&lt;Mitarbeiter!$E$38),0,IF(AND(Mitarbeiter!$F$38&lt;&gt;"",ER$5&gt;Mitarbeiter!$F$38),0,IF(Planung!ER40="",$C40,IF(ISNUMBER(Planung!ER40),Planung!ER40,IF(UPPER(Planung!ER40)="H",$C40/2,0)))))))</f>
        <v>0</v>
      </c>
      <c r="ES40" s="27">
        <f>IF($A40="",0,IF(Mitarbeiter!$G$38=FALSE,0,IF(AND(Mitarbeiter!$E$38&lt;&gt;"",ES$5+6&lt;Mitarbeiter!$E$38),0,IF(AND(Mitarbeiter!$F$38&lt;&gt;"",ES$5&gt;Mitarbeiter!$F$38),0,IF(Planung!ES40="",$C40,IF(ISNUMBER(Planung!ES40),Planung!ES40,IF(UPPER(Planung!ES40)="H",$C40/2,0)))))))</f>
        <v>0</v>
      </c>
      <c r="ET40" s="27">
        <f>IF($A40="",0,IF(Mitarbeiter!$G$38=FALSE,0,IF(AND(Mitarbeiter!$E$38&lt;&gt;"",ET$5+6&lt;Mitarbeiter!$E$38),0,IF(AND(Mitarbeiter!$F$38&lt;&gt;"",ET$5&gt;Mitarbeiter!$F$38),0,IF(Planung!ET40="",$C40,IF(ISNUMBER(Planung!ET40),Planung!ET40,IF(UPPER(Planung!ET40)="H",$C40/2,0)))))))</f>
        <v>0</v>
      </c>
      <c r="EU40" s="27">
        <f>IF($A40="",0,IF(Mitarbeiter!$G$38=FALSE,0,IF(AND(Mitarbeiter!$E$38&lt;&gt;"",EU$5+6&lt;Mitarbeiter!$E$38),0,IF(AND(Mitarbeiter!$F$38&lt;&gt;"",EU$5&gt;Mitarbeiter!$F$38),0,IF(Planung!EU40="",$C40,IF(ISNUMBER(Planung!EU40),Planung!EU40,IF(UPPER(Planung!EU40)="H",$C40/2,0)))))))</f>
        <v>0</v>
      </c>
      <c r="EV40" s="27">
        <f>IF($A40="",0,IF(Mitarbeiter!$G$38=FALSE,0,IF(AND(Mitarbeiter!$E$38&lt;&gt;"",EV$5+6&lt;Mitarbeiter!$E$38),0,IF(AND(Mitarbeiter!$F$38&lt;&gt;"",EV$5&gt;Mitarbeiter!$F$38),0,IF(Planung!EV40="",$C40,IF(ISNUMBER(Planung!EV40),Planung!EV40,IF(UPPER(Planung!EV40)="H",$C40/2,0)))))))</f>
        <v>0</v>
      </c>
      <c r="EW40" s="27">
        <f>IF($A40="",0,IF(Mitarbeiter!$G$38=FALSE,0,IF(AND(Mitarbeiter!$E$38&lt;&gt;"",EW$5+6&lt;Mitarbeiter!$E$38),0,IF(AND(Mitarbeiter!$F$38&lt;&gt;"",EW$5&gt;Mitarbeiter!$F$38),0,IF(Planung!EW40="",$C40,IF(ISNUMBER(Planung!EW40),Planung!EW40,IF(UPPER(Planung!EW40)="H",$C40/2,0)))))))</f>
        <v>0</v>
      </c>
      <c r="EX40" s="27">
        <f>IF($A40="",0,IF(Mitarbeiter!$G$38=FALSE,0,IF(AND(Mitarbeiter!$E$38&lt;&gt;"",EX$5+6&lt;Mitarbeiter!$E$38),0,IF(AND(Mitarbeiter!$F$38&lt;&gt;"",EX$5&gt;Mitarbeiter!$F$38),0,IF(Planung!EX40="",$C40,IF(ISNUMBER(Planung!EX40),Planung!EX40,IF(UPPER(Planung!EX40)="H",$C40/2,0)))))))</f>
        <v>0</v>
      </c>
      <c r="EY40" s="27">
        <f>IF($A40="",0,IF(Mitarbeiter!$G$38=FALSE,0,IF(AND(Mitarbeiter!$E$38&lt;&gt;"",EY$5+6&lt;Mitarbeiter!$E$38),0,IF(AND(Mitarbeiter!$F$38&lt;&gt;"",EY$5&gt;Mitarbeiter!$F$38),0,IF(Planung!EY40="",$C40,IF(ISNUMBER(Planung!EY40),Planung!EY40,IF(UPPER(Planung!EY40)="H",$C40/2,0)))))))</f>
        <v>0</v>
      </c>
      <c r="EZ40" s="27">
        <f>IF($A40="",0,IF(Mitarbeiter!$G$38=FALSE,0,IF(AND(Mitarbeiter!$E$38&lt;&gt;"",EZ$5+6&lt;Mitarbeiter!$E$38),0,IF(AND(Mitarbeiter!$F$38&lt;&gt;"",EZ$5&gt;Mitarbeiter!$F$38),0,IF(Planung!EZ40="",$C40,IF(ISNUMBER(Planung!EZ40),Planung!EZ40,IF(UPPER(Planung!EZ40)="H",$C40/2,0)))))))</f>
        <v>0</v>
      </c>
      <c r="FA40" s="27">
        <f>IF($A40="",0,IF(Mitarbeiter!$G$38=FALSE,0,IF(AND(Mitarbeiter!$E$38&lt;&gt;"",FA$5+6&lt;Mitarbeiter!$E$38),0,IF(AND(Mitarbeiter!$F$38&lt;&gt;"",FA$5&gt;Mitarbeiter!$F$38),0,IF(Planung!FA40="",$C40,IF(ISNUMBER(Planung!FA40),Planung!FA40,IF(UPPER(Planung!FA40)="H",$C40/2,0)))))))</f>
        <v>0</v>
      </c>
      <c r="FB40" s="27">
        <f>IF($A40="",0,IF(Mitarbeiter!$G$38=FALSE,0,IF(AND(Mitarbeiter!$E$38&lt;&gt;"",FB$5+6&lt;Mitarbeiter!$E$38),0,IF(AND(Mitarbeiter!$F$38&lt;&gt;"",FB$5&gt;Mitarbeiter!$F$38),0,IF(Planung!FB40="",$C40,IF(ISNUMBER(Planung!FB40),Planung!FB40,IF(UPPER(Planung!FB40)="H",$C40/2,0)))))))</f>
        <v>0</v>
      </c>
      <c r="FC40" s="27">
        <f>IF($A40="",0,IF(Mitarbeiter!$G$38=FALSE,0,IF(AND(Mitarbeiter!$E$38&lt;&gt;"",FC$5+6&lt;Mitarbeiter!$E$38),0,IF(AND(Mitarbeiter!$F$38&lt;&gt;"",FC$5&gt;Mitarbeiter!$F$38),0,IF(Planung!FC40="",$C40,IF(ISNUMBER(Planung!FC40),Planung!FC40,IF(UPPER(Planung!FC40)="H",$C40/2,0)))))))</f>
        <v>0</v>
      </c>
      <c r="FD40" s="27">
        <f>IF($A40="",0,IF(Mitarbeiter!$G$38=FALSE,0,IF(AND(Mitarbeiter!$E$38&lt;&gt;"",FD$5+6&lt;Mitarbeiter!$E$38),0,IF(AND(Mitarbeiter!$F$38&lt;&gt;"",FD$5&gt;Mitarbeiter!$F$38),0,IF(Planung!FD40="",$C40,IF(ISNUMBER(Planung!FD40),Planung!FD40,IF(UPPER(Planung!FD40)="H",$C40/2,0)))))))</f>
        <v>0</v>
      </c>
      <c r="FE40" s="27">
        <f>IF($A40="",0,IF(Mitarbeiter!$G$38=FALSE,0,IF(AND(Mitarbeiter!$E$38&lt;&gt;"",FE$5+6&lt;Mitarbeiter!$E$38),0,IF(AND(Mitarbeiter!$F$38&lt;&gt;"",FE$5&gt;Mitarbeiter!$F$38),0,IF(Planung!FE40="",$C40,IF(ISNUMBER(Planung!FE40),Planung!FE40,IF(UPPER(Planung!FE40)="H",$C40/2,0)))))))</f>
        <v>0</v>
      </c>
      <c r="FF40" s="27">
        <f>IF($A40="",0,IF(Mitarbeiter!$G$38=FALSE,0,IF(AND(Mitarbeiter!$E$38&lt;&gt;"",FF$5+6&lt;Mitarbeiter!$E$38),0,IF(AND(Mitarbeiter!$F$38&lt;&gt;"",FF$5&gt;Mitarbeiter!$F$38),0,IF(Planung!FF40="",$C40,IF(ISNUMBER(Planung!FF40),Planung!FF40,IF(UPPER(Planung!FF40)="H",$C40/2,0)))))))</f>
        <v>0</v>
      </c>
      <c r="FG40" s="27">
        <f>IF($A40="",0,IF(Mitarbeiter!$G$38=FALSE,0,IF(AND(Mitarbeiter!$E$38&lt;&gt;"",FG$5+6&lt;Mitarbeiter!$E$38),0,IF(AND(Mitarbeiter!$F$38&lt;&gt;"",FG$5&gt;Mitarbeiter!$F$38),0,IF(Planung!FG40="",$C40,IF(ISNUMBER(Planung!FG40),Planung!FG40,IF(UPPER(Planung!FG40)="H",$C40/2,0)))))))</f>
        <v>0</v>
      </c>
      <c r="FH40" s="27">
        <f>IF($A40="",0,IF(Mitarbeiter!$G$38=FALSE,0,IF(AND(Mitarbeiter!$E$38&lt;&gt;"",FH$5+6&lt;Mitarbeiter!$E$38),0,IF(AND(Mitarbeiter!$F$38&lt;&gt;"",FH$5&gt;Mitarbeiter!$F$38),0,IF(Planung!FH40="",$C40,IF(ISNUMBER(Planung!FH40),Planung!FH40,IF(UPPER(Planung!FH40)="H",$C40/2,0)))))))</f>
        <v>0</v>
      </c>
      <c r="FI40" s="27">
        <f>IF($A40="",0,IF(Mitarbeiter!$G$38=FALSE,0,IF(AND(Mitarbeiter!$E$38&lt;&gt;"",FI$5+6&lt;Mitarbeiter!$E$38),0,IF(AND(Mitarbeiter!$F$38&lt;&gt;"",FI$5&gt;Mitarbeiter!$F$38),0,IF(Planung!FI40="",$C40,IF(ISNUMBER(Planung!FI40),Planung!FI40,IF(UPPER(Planung!FI40)="H",$C40/2,0)))))))</f>
        <v>0</v>
      </c>
      <c r="FJ40" s="27">
        <f>IF($A40="",0,IF(Mitarbeiter!$G$38=FALSE,0,IF(AND(Mitarbeiter!$E$38&lt;&gt;"",FJ$5+6&lt;Mitarbeiter!$E$38),0,IF(AND(Mitarbeiter!$F$38&lt;&gt;"",FJ$5&gt;Mitarbeiter!$F$38),0,IF(Planung!FJ40="",$C40,IF(ISNUMBER(Planung!FJ40),Planung!FJ40,IF(UPPER(Planung!FJ40)="H",$C40/2,0)))))))</f>
        <v>0</v>
      </c>
      <c r="FK40" s="27">
        <f>IF($A40="",0,IF(Mitarbeiter!$G$38=FALSE,0,IF(AND(Mitarbeiter!$E$38&lt;&gt;"",FK$5+6&lt;Mitarbeiter!$E$38),0,IF(AND(Mitarbeiter!$F$38&lt;&gt;"",FK$5&gt;Mitarbeiter!$F$38),0,IF(Planung!FK40="",$C40,IF(ISNUMBER(Planung!FK40),Planung!FK40,IF(UPPER(Planung!FK40)="H",$C40/2,0)))))))</f>
        <v>0</v>
      </c>
      <c r="FL40" s="27">
        <f>IF($A40="",0,IF(Mitarbeiter!$G$38=FALSE,0,IF(AND(Mitarbeiter!$E$38&lt;&gt;"",FL$5+6&lt;Mitarbeiter!$E$38),0,IF(AND(Mitarbeiter!$F$38&lt;&gt;"",FL$5&gt;Mitarbeiter!$F$38),0,IF(Planung!FL40="",$C40,IF(ISNUMBER(Planung!FL40),Planung!FL40,IF(UPPER(Planung!FL40)="H",$C40/2,0)))))))</f>
        <v>0</v>
      </c>
      <c r="FM40" s="27">
        <f>IF($A40="",0,IF(Mitarbeiter!$G$38=FALSE,0,IF(AND(Mitarbeiter!$E$38&lt;&gt;"",FM$5+6&lt;Mitarbeiter!$E$38),0,IF(AND(Mitarbeiter!$F$38&lt;&gt;"",FM$5&gt;Mitarbeiter!$F$38),0,IF(Planung!FM40="",$C40,IF(ISNUMBER(Planung!FM40),Planung!FM40,IF(UPPER(Planung!FM40)="H",$C40/2,0)))))))</f>
        <v>0</v>
      </c>
      <c r="FN40" s="27">
        <f>IF($A40="",0,IF(Mitarbeiter!$G$38=FALSE,0,IF(AND(Mitarbeiter!$E$38&lt;&gt;"",FN$5+6&lt;Mitarbeiter!$E$38),0,IF(AND(Mitarbeiter!$F$38&lt;&gt;"",FN$5&gt;Mitarbeiter!$F$38),0,IF(Planung!FN40="",$C40,IF(ISNUMBER(Planung!FN40),Planung!FN40,IF(UPPER(Planung!FN40)="H",$C40/2,0)))))))</f>
        <v>0</v>
      </c>
      <c r="FO40" s="27">
        <f>IF($A40="",0,IF(Mitarbeiter!$G$38=FALSE,0,IF(AND(Mitarbeiter!$E$38&lt;&gt;"",FO$5+6&lt;Mitarbeiter!$E$38),0,IF(AND(Mitarbeiter!$F$38&lt;&gt;"",FO$5&gt;Mitarbeiter!$F$38),0,IF(Planung!FO40="",$C40,IF(ISNUMBER(Planung!FO40),Planung!FO40,IF(UPPER(Planung!FO40)="H",$C40/2,0)))))))</f>
        <v>0</v>
      </c>
      <c r="FP40" s="27">
        <f>IF($A40="",0,IF(Mitarbeiter!$G$38=FALSE,0,IF(AND(Mitarbeiter!$E$38&lt;&gt;"",FP$5+6&lt;Mitarbeiter!$E$38),0,IF(AND(Mitarbeiter!$F$38&lt;&gt;"",FP$5&gt;Mitarbeiter!$F$38),0,IF(Planung!FP40="",$C40,IF(ISNUMBER(Planung!FP40),Planung!FP40,IF(UPPER(Planung!FP40)="H",$C40/2,0)))))))</f>
        <v>0</v>
      </c>
      <c r="FQ40" s="27">
        <f>IF($A40="",0,IF(Mitarbeiter!$G$38=FALSE,0,IF(AND(Mitarbeiter!$E$38&lt;&gt;"",FQ$5+6&lt;Mitarbeiter!$E$38),0,IF(AND(Mitarbeiter!$F$38&lt;&gt;"",FQ$5&gt;Mitarbeiter!$F$38),0,IF(Planung!FQ40="",$C40,IF(ISNUMBER(Planung!FQ40),Planung!FQ40,IF(UPPER(Planung!FQ40)="H",$C40/2,0)))))))</f>
        <v>0</v>
      </c>
      <c r="FR40" s="27">
        <f>IF($A40="",0,IF(Mitarbeiter!$G$38=FALSE,0,IF(AND(Mitarbeiter!$E$38&lt;&gt;"",FR$5+6&lt;Mitarbeiter!$E$38),0,IF(AND(Mitarbeiter!$F$38&lt;&gt;"",FR$5&gt;Mitarbeiter!$F$38),0,IF(Planung!FR40="",$C40,IF(ISNUMBER(Planung!FR40),Planung!FR40,IF(UPPER(Planung!FR40)="H",$C40/2,0)))))))</f>
        <v>0</v>
      </c>
      <c r="FS40" s="27">
        <f>IF($A40="",0,IF(Mitarbeiter!$G$38=FALSE,0,IF(AND(Mitarbeiter!$E$38&lt;&gt;"",FS$5+6&lt;Mitarbeiter!$E$38),0,IF(AND(Mitarbeiter!$F$38&lt;&gt;"",FS$5&gt;Mitarbeiter!$F$38),0,IF(Planung!FS40="",$C40,IF(ISNUMBER(Planung!FS40),Planung!FS40,IF(UPPER(Planung!FS40)="H",$C40/2,0)))))))</f>
        <v>0</v>
      </c>
      <c r="FT40" s="27">
        <f>IF($A40="",0,IF(Mitarbeiter!$G$38=FALSE,0,IF(AND(Mitarbeiter!$E$38&lt;&gt;"",FT$5+6&lt;Mitarbeiter!$E$38),0,IF(AND(Mitarbeiter!$F$38&lt;&gt;"",FT$5&gt;Mitarbeiter!$F$38),0,IF(Planung!FT40="",$C40,IF(ISNUMBER(Planung!FT40),Planung!FT40,IF(UPPER(Planung!FT40)="H",$C40/2,0)))))))</f>
        <v>0</v>
      </c>
      <c r="FU40" s="27">
        <f>IF($A40="",0,IF(Mitarbeiter!$G$38=FALSE,0,IF(AND(Mitarbeiter!$E$38&lt;&gt;"",FU$5+6&lt;Mitarbeiter!$E$38),0,IF(AND(Mitarbeiter!$F$38&lt;&gt;"",FU$5&gt;Mitarbeiter!$F$38),0,IF(Planung!FU40="",$C40,IF(ISNUMBER(Planung!FU40),Planung!FU40,IF(UPPER(Planung!FU40)="H",$C40/2,0)))))))</f>
        <v>0</v>
      </c>
      <c r="FV40" s="27">
        <f>IF($A40="",0,IF(Mitarbeiter!$G$38=FALSE,0,IF(AND(Mitarbeiter!$E$38&lt;&gt;"",FV$5+6&lt;Mitarbeiter!$E$38),0,IF(AND(Mitarbeiter!$F$38&lt;&gt;"",FV$5&gt;Mitarbeiter!$F$38),0,IF(Planung!FV40="",$C40,IF(ISNUMBER(Planung!FV40),Planung!FV40,IF(UPPER(Planung!FV40)="H",$C40/2,0)))))))</f>
        <v>0</v>
      </c>
      <c r="FW40" s="27">
        <f>IF($A40="",0,IF(Mitarbeiter!$G$38=FALSE,0,IF(AND(Mitarbeiter!$E$38&lt;&gt;"",FW$5+6&lt;Mitarbeiter!$E$38),0,IF(AND(Mitarbeiter!$F$38&lt;&gt;"",FW$5&gt;Mitarbeiter!$F$38),0,IF(Planung!FW40="",$C40,IF(ISNUMBER(Planung!FW40),Planung!FW40,IF(UPPER(Planung!FW40)="H",$C40/2,0)))))))</f>
        <v>0</v>
      </c>
      <c r="FX40" s="27">
        <f>IF($A40="",0,IF(Mitarbeiter!$G$38=FALSE,0,IF(AND(Mitarbeiter!$E$38&lt;&gt;"",FX$5+6&lt;Mitarbeiter!$E$38),0,IF(AND(Mitarbeiter!$F$38&lt;&gt;"",FX$5&gt;Mitarbeiter!$F$38),0,IF(Planung!FX40="",$C40,IF(ISNUMBER(Planung!FX40),Planung!FX40,IF(UPPER(Planung!FX40)="H",$C40/2,0)))))))</f>
        <v>0</v>
      </c>
      <c r="FY40" s="27">
        <f>IF($A40="",0,IF(Mitarbeiter!$G$38=FALSE,0,IF(AND(Mitarbeiter!$E$38&lt;&gt;"",FY$5+6&lt;Mitarbeiter!$E$38),0,IF(AND(Mitarbeiter!$F$38&lt;&gt;"",FY$5&gt;Mitarbeiter!$F$38),0,IF(Planung!FY40="",$C40,IF(ISNUMBER(Planung!FY40),Planung!FY40,IF(UPPER(Planung!FY40)="H",$C40/2,0)))))))</f>
        <v>0</v>
      </c>
      <c r="FZ40" s="27">
        <f>IF($A40="",0,IF(Mitarbeiter!$G$38=FALSE,0,IF(AND(Mitarbeiter!$E$38&lt;&gt;"",FZ$5+6&lt;Mitarbeiter!$E$38),0,IF(AND(Mitarbeiter!$F$38&lt;&gt;"",FZ$5&gt;Mitarbeiter!$F$38),0,IF(Planung!FZ40="",$C40,IF(ISNUMBER(Planung!FZ40),Planung!FZ40,IF(UPPER(Planung!FZ40)="H",$C40/2,0)))))))</f>
        <v>0</v>
      </c>
      <c r="GA40" s="27">
        <f>IF($A40="",0,IF(Mitarbeiter!$G$38=FALSE,0,IF(AND(Mitarbeiter!$E$38&lt;&gt;"",GA$5+6&lt;Mitarbeiter!$E$38),0,IF(AND(Mitarbeiter!$F$38&lt;&gt;"",GA$5&gt;Mitarbeiter!$F$38),0,IF(Planung!GA40="",$C40,IF(ISNUMBER(Planung!GA40),Planung!GA40,IF(UPPER(Planung!GA40)="H",$C40/2,0)))))))</f>
        <v>0</v>
      </c>
      <c r="GB40" s="27">
        <f>IF($A40="",0,IF(Mitarbeiter!$G$38=FALSE,0,IF(AND(Mitarbeiter!$E$38&lt;&gt;"",GB$5+6&lt;Mitarbeiter!$E$38),0,IF(AND(Mitarbeiter!$F$38&lt;&gt;"",GB$5&gt;Mitarbeiter!$F$38),0,IF(Planung!GB40="",$C40,IF(ISNUMBER(Planung!GB40),Planung!GB40,IF(UPPER(Planung!GB40)="H",$C40/2,0)))))))</f>
        <v>0</v>
      </c>
      <c r="GC40" s="27">
        <f>IF($A40="",0,IF(Mitarbeiter!$G$38=FALSE,0,IF(AND(Mitarbeiter!$E$38&lt;&gt;"",GC$5+6&lt;Mitarbeiter!$E$38),0,IF(AND(Mitarbeiter!$F$38&lt;&gt;"",GC$5&gt;Mitarbeiter!$F$38),0,IF(Planung!GC40="",$C40,IF(ISNUMBER(Planung!GC40),Planung!GC40,IF(UPPER(Planung!GC40)="H",$C40/2,0)))))))</f>
        <v>0</v>
      </c>
      <c r="GD40" s="27">
        <f>IF($A40="",0,IF(Mitarbeiter!$G$38=FALSE,0,IF(AND(Mitarbeiter!$E$38&lt;&gt;"",GD$5+6&lt;Mitarbeiter!$E$38),0,IF(AND(Mitarbeiter!$F$38&lt;&gt;"",GD$5&gt;Mitarbeiter!$F$38),0,IF(Planung!GD40="",$C40,IF(ISNUMBER(Planung!GD40),Planung!GD40,IF(UPPER(Planung!GD40)="H",$C40/2,0)))))))</f>
        <v>0</v>
      </c>
      <c r="GE40" s="27">
        <f>IF($A40="",0,IF(Mitarbeiter!$G$38=FALSE,0,IF(AND(Mitarbeiter!$E$38&lt;&gt;"",GE$5+6&lt;Mitarbeiter!$E$38),0,IF(AND(Mitarbeiter!$F$38&lt;&gt;"",GE$5&gt;Mitarbeiter!$F$38),0,IF(Planung!GE40="",$C40,IF(ISNUMBER(Planung!GE40),Planung!GE40,IF(UPPER(Planung!GE40)="H",$C40/2,0)))))))</f>
        <v>0</v>
      </c>
      <c r="GF40" s="27">
        <f>IF($A40="",0,IF(Mitarbeiter!$G$38=FALSE,0,IF(AND(Mitarbeiter!$E$38&lt;&gt;"",GF$5+6&lt;Mitarbeiter!$E$38),0,IF(AND(Mitarbeiter!$F$38&lt;&gt;"",GF$5&gt;Mitarbeiter!$F$38),0,IF(Planung!GF40="",$C40,IF(ISNUMBER(Planung!GF40),Planung!GF40,IF(UPPER(Planung!GF40)="H",$C40/2,0)))))))</f>
        <v>0</v>
      </c>
      <c r="GG40" s="27">
        <f>IF($A40="",0,IF(Mitarbeiter!$G$38=FALSE,0,IF(AND(Mitarbeiter!$E$38&lt;&gt;"",GG$5+6&lt;Mitarbeiter!$E$38),0,IF(AND(Mitarbeiter!$F$38&lt;&gt;"",GG$5&gt;Mitarbeiter!$F$38),0,IF(Planung!GG40="",$C40,IF(ISNUMBER(Planung!GG40),Planung!GG40,IF(UPPER(Planung!GG40)="H",$C40/2,0)))))))</f>
        <v>0</v>
      </c>
      <c r="GH40" s="27">
        <f>IF($A40="",0,IF(Mitarbeiter!$G$38=FALSE,0,IF(AND(Mitarbeiter!$E$38&lt;&gt;"",GH$5+6&lt;Mitarbeiter!$E$38),0,IF(AND(Mitarbeiter!$F$38&lt;&gt;"",GH$5&gt;Mitarbeiter!$F$38),0,IF(Planung!GH40="",$C40,IF(ISNUMBER(Planung!GH40),Planung!GH40,IF(UPPER(Planung!GH40)="H",$C40/2,0)))))))</f>
        <v>0</v>
      </c>
      <c r="GI40" s="27">
        <f>IF($A40="",0,IF(Mitarbeiter!$G$38=FALSE,0,IF(AND(Mitarbeiter!$E$38&lt;&gt;"",GI$5+6&lt;Mitarbeiter!$E$38),0,IF(AND(Mitarbeiter!$F$38&lt;&gt;"",GI$5&gt;Mitarbeiter!$F$38),0,IF(Planung!GI40="",$C40,IF(ISNUMBER(Planung!GI40),Planung!GI40,IF(UPPER(Planung!GI40)="H",$C40/2,0)))))))</f>
        <v>0</v>
      </c>
      <c r="GJ40" s="27">
        <f>IF($A40="",0,IF(Mitarbeiter!$G$38=FALSE,0,IF(AND(Mitarbeiter!$E$38&lt;&gt;"",GJ$5+6&lt;Mitarbeiter!$E$38),0,IF(AND(Mitarbeiter!$F$38&lt;&gt;"",GJ$5&gt;Mitarbeiter!$F$38),0,IF(Planung!GJ40="",$C40,IF(ISNUMBER(Planung!GJ40),Planung!GJ40,IF(UPPER(Planung!GJ40)="H",$C40/2,0)))))))</f>
        <v>0</v>
      </c>
      <c r="GK40" s="27">
        <f>IF($A40="",0,IF(Mitarbeiter!$G$38=FALSE,0,IF(AND(Mitarbeiter!$E$38&lt;&gt;"",GK$5+6&lt;Mitarbeiter!$E$38),0,IF(AND(Mitarbeiter!$F$38&lt;&gt;"",GK$5&gt;Mitarbeiter!$F$38),0,IF(Planung!GK40="",$C40,IF(ISNUMBER(Planung!GK40),Planung!GK40,IF(UPPER(Planung!GK40)="H",$C40/2,0)))))))</f>
        <v>0</v>
      </c>
      <c r="GL40" s="27">
        <f>IF($A40="",0,IF(Mitarbeiter!$G$38=FALSE,0,IF(AND(Mitarbeiter!$E$38&lt;&gt;"",GL$5+6&lt;Mitarbeiter!$E$38),0,IF(AND(Mitarbeiter!$F$38&lt;&gt;"",GL$5&gt;Mitarbeiter!$F$38),0,IF(Planung!GL40="",$C40,IF(ISNUMBER(Planung!GL40),Planung!GL40,IF(UPPER(Planung!GL40)="H",$C40/2,0)))))))</f>
        <v>0</v>
      </c>
      <c r="GM40" s="27">
        <f>IF($A40="",0,IF(Mitarbeiter!$G$38=FALSE,0,IF(AND(Mitarbeiter!$E$38&lt;&gt;"",GM$5+6&lt;Mitarbeiter!$E$38),0,IF(AND(Mitarbeiter!$F$38&lt;&gt;"",GM$5&gt;Mitarbeiter!$F$38),0,IF(Planung!GM40="",$C40,IF(ISNUMBER(Planung!GM40),Planung!GM40,IF(UPPER(Planung!GM40)="H",$C40/2,0)))))))</f>
        <v>0</v>
      </c>
      <c r="GN40" s="27">
        <f>IF($A40="",0,IF(Mitarbeiter!$G$38=FALSE,0,IF(AND(Mitarbeiter!$E$38&lt;&gt;"",GN$5+6&lt;Mitarbeiter!$E$38),0,IF(AND(Mitarbeiter!$F$38&lt;&gt;"",GN$5&gt;Mitarbeiter!$F$38),0,IF(Planung!GN40="",$C40,IF(ISNUMBER(Planung!GN40),Planung!GN40,IF(UPPER(Planung!GN40)="H",$C40/2,0)))))))</f>
        <v>0</v>
      </c>
      <c r="GO40" s="27">
        <f>IF($A40="",0,IF(Mitarbeiter!$G$38=FALSE,0,IF(AND(Mitarbeiter!$E$38&lt;&gt;"",GO$5+6&lt;Mitarbeiter!$E$38),0,IF(AND(Mitarbeiter!$F$38&lt;&gt;"",GO$5&gt;Mitarbeiter!$F$38),0,IF(Planung!GO40="",$C40,IF(ISNUMBER(Planung!GO40),Planung!GO40,IF(UPPER(Planung!GO40)="H",$C40/2,0)))))))</f>
        <v>0</v>
      </c>
      <c r="GP40" s="27">
        <f>IF($A40="",0,IF(Mitarbeiter!$G$38=FALSE,0,IF(AND(Mitarbeiter!$E$38&lt;&gt;"",GP$5+6&lt;Mitarbeiter!$E$38),0,IF(AND(Mitarbeiter!$F$38&lt;&gt;"",GP$5&gt;Mitarbeiter!$F$38),0,IF(Planung!GP40="",$C40,IF(ISNUMBER(Planung!GP40),Planung!GP40,IF(UPPER(Planung!GP40)="H",$C40/2,0)))))))</f>
        <v>0</v>
      </c>
      <c r="GQ40" s="27">
        <f>IF($A40="",0,IF(Mitarbeiter!$G$38=FALSE,0,IF(AND(Mitarbeiter!$E$38&lt;&gt;"",GQ$5+6&lt;Mitarbeiter!$E$38),0,IF(AND(Mitarbeiter!$F$38&lt;&gt;"",GQ$5&gt;Mitarbeiter!$F$38),0,IF(Planung!GQ40="",$C40,IF(ISNUMBER(Planung!GQ40),Planung!GQ40,IF(UPPER(Planung!GQ40)="H",$C40/2,0)))))))</f>
        <v>0</v>
      </c>
      <c r="GR40" s="27">
        <f>IF($A40="",0,IF(Mitarbeiter!$G$38=FALSE,0,IF(AND(Mitarbeiter!$E$38&lt;&gt;"",GR$5+6&lt;Mitarbeiter!$E$38),0,IF(AND(Mitarbeiter!$F$38&lt;&gt;"",GR$5&gt;Mitarbeiter!$F$38),0,IF(Planung!GR40="",$C40,IF(ISNUMBER(Planung!GR40),Planung!GR40,IF(UPPER(Planung!GR40)="H",$C40/2,0)))))))</f>
        <v>0</v>
      </c>
      <c r="GS40" s="27">
        <f>IF($A40="",0,IF(Mitarbeiter!$G$38=FALSE,0,IF(AND(Mitarbeiter!$E$38&lt;&gt;"",GS$5+6&lt;Mitarbeiter!$E$38),0,IF(AND(Mitarbeiter!$F$38&lt;&gt;"",GS$5&gt;Mitarbeiter!$F$38),0,IF(Planung!GS40="",$C40,IF(ISNUMBER(Planung!GS40),Planung!GS40,IF(UPPER(Planung!GS40)="H",$C40/2,0)))))))</f>
        <v>0</v>
      </c>
      <c r="GT40" s="27">
        <f>IF($A40="",0,IF(Mitarbeiter!$G$38=FALSE,0,IF(AND(Mitarbeiter!$E$38&lt;&gt;"",GT$5+6&lt;Mitarbeiter!$E$38),0,IF(AND(Mitarbeiter!$F$38&lt;&gt;"",GT$5&gt;Mitarbeiter!$F$38),0,IF(Planung!GT40="",$C40,IF(ISNUMBER(Planung!GT40),Planung!GT40,IF(UPPER(Planung!GT40)="H",$C40/2,0)))))))</f>
        <v>0</v>
      </c>
      <c r="GU40" s="27">
        <f>IF($A40="",0,IF(Mitarbeiter!$G$38=FALSE,0,IF(AND(Mitarbeiter!$E$38&lt;&gt;"",GU$5+6&lt;Mitarbeiter!$E$38),0,IF(AND(Mitarbeiter!$F$38&lt;&gt;"",GU$5&gt;Mitarbeiter!$F$38),0,IF(Planung!GU40="",$C40,IF(ISNUMBER(Planung!GU40),Planung!GU40,IF(UPPER(Planung!GU40)="H",$C40/2,0)))))))</f>
        <v>0</v>
      </c>
      <c r="GV40" s="27">
        <f>IF($A40="",0,IF(Mitarbeiter!$G$38=FALSE,0,IF(AND(Mitarbeiter!$E$38&lt;&gt;"",GV$5+6&lt;Mitarbeiter!$E$38),0,IF(AND(Mitarbeiter!$F$38&lt;&gt;"",GV$5&gt;Mitarbeiter!$F$38),0,IF(Planung!GV40="",$C40,IF(ISNUMBER(Planung!GV40),Planung!GV40,IF(UPPER(Planung!GV40)="H",$C40/2,0)))))))</f>
        <v>0</v>
      </c>
      <c r="GW40" s="27">
        <f>IF($A40="",0,IF(Mitarbeiter!$G$38=FALSE,0,IF(AND(Mitarbeiter!$E$38&lt;&gt;"",GW$5+6&lt;Mitarbeiter!$E$38),0,IF(AND(Mitarbeiter!$F$38&lt;&gt;"",GW$5&gt;Mitarbeiter!$F$38),0,IF(Planung!GW40="",$C40,IF(ISNUMBER(Planung!GW40),Planung!GW40,IF(UPPER(Planung!GW40)="H",$C40/2,0)))))))</f>
        <v>0</v>
      </c>
      <c r="GX40" s="27">
        <f>IF($A40="",0,IF(Mitarbeiter!$G$38=FALSE,0,IF(AND(Mitarbeiter!$E$38&lt;&gt;"",GX$5+6&lt;Mitarbeiter!$E$38),0,IF(AND(Mitarbeiter!$F$38&lt;&gt;"",GX$5&gt;Mitarbeiter!$F$38),0,IF(Planung!GX40="",$C40,IF(ISNUMBER(Planung!GX40),Planung!GX40,IF(UPPER(Planung!GX40)="H",$C40/2,0)))))))</f>
        <v>0</v>
      </c>
      <c r="GY40" s="27">
        <f>IF($A40="",0,IF(Mitarbeiter!$G$38=FALSE,0,IF(AND(Mitarbeiter!$E$38&lt;&gt;"",GY$5+6&lt;Mitarbeiter!$E$38),0,IF(AND(Mitarbeiter!$F$38&lt;&gt;"",GY$5&gt;Mitarbeiter!$F$38),0,IF(Planung!GY40="",$C40,IF(ISNUMBER(Planung!GY40),Planung!GY40,IF(UPPER(Planung!GY40)="H",$C40/2,0)))))))</f>
        <v>0</v>
      </c>
      <c r="GZ40" s="27">
        <f>IF($A40="",0,IF(Mitarbeiter!$G$38=FALSE,0,IF(AND(Mitarbeiter!$E$38&lt;&gt;"",GZ$5+6&lt;Mitarbeiter!$E$38),0,IF(AND(Mitarbeiter!$F$38&lt;&gt;"",GZ$5&gt;Mitarbeiter!$F$38),0,IF(Planung!GZ40="",$C40,IF(ISNUMBER(Planung!GZ40),Planung!GZ40,IF(UPPER(Planung!GZ40)="H",$C40/2,0)))))))</f>
        <v>0</v>
      </c>
      <c r="HA40" s="27">
        <f>IF($A40="",0,IF(Mitarbeiter!$G$38=FALSE,0,IF(AND(Mitarbeiter!$E$38&lt;&gt;"",HA$5+6&lt;Mitarbeiter!$E$38),0,IF(AND(Mitarbeiter!$F$38&lt;&gt;"",HA$5&gt;Mitarbeiter!$F$38),0,IF(Planung!HA40="",$C40,IF(ISNUMBER(Planung!HA40),Planung!HA40,IF(UPPER(Planung!HA40)="H",$C40/2,0)))))))</f>
        <v>0</v>
      </c>
      <c r="HB40" s="27">
        <f>IF($A40="",0,IF(Mitarbeiter!$G$38=FALSE,0,IF(AND(Mitarbeiter!$E$38&lt;&gt;"",HB$5+6&lt;Mitarbeiter!$E$38),0,IF(AND(Mitarbeiter!$F$38&lt;&gt;"",HB$5&gt;Mitarbeiter!$F$38),0,IF(Planung!HB40="",$C40,IF(ISNUMBER(Planung!HB40),Planung!HB40,IF(UPPER(Planung!HB40)="H",$C40/2,0)))))))</f>
        <v>0</v>
      </c>
      <c r="HC40" s="27">
        <f>IF($A40="",0,IF(Mitarbeiter!$G$38=FALSE,0,IF(AND(Mitarbeiter!$E$38&lt;&gt;"",HC$5+6&lt;Mitarbeiter!$E$38),0,IF(AND(Mitarbeiter!$F$38&lt;&gt;"",HC$5&gt;Mitarbeiter!$F$38),0,IF(Planung!HC40="",$C40,IF(ISNUMBER(Planung!HC40),Planung!HC40,IF(UPPER(Planung!HC40)="H",$C40/2,0)))))))</f>
        <v>0</v>
      </c>
      <c r="HD40" s="27">
        <f>IF($A40="",0,IF(Mitarbeiter!$G$38=FALSE,0,IF(AND(Mitarbeiter!$E$38&lt;&gt;"",HD$5+6&lt;Mitarbeiter!$E$38),0,IF(AND(Mitarbeiter!$F$38&lt;&gt;"",HD$5&gt;Mitarbeiter!$F$38),0,IF(Planung!HD40="",$C40,IF(ISNUMBER(Planung!HD40),Planung!HD40,IF(UPPER(Planung!HD40)="H",$C40/2,0)))))))</f>
        <v>0</v>
      </c>
      <c r="HE40" s="27">
        <f>IF($A40="",0,IF(Mitarbeiter!$G$38=FALSE,0,IF(AND(Mitarbeiter!$E$38&lt;&gt;"",HE$5+6&lt;Mitarbeiter!$E$38),0,IF(AND(Mitarbeiter!$F$38&lt;&gt;"",HE$5&gt;Mitarbeiter!$F$38),0,IF(Planung!HE40="",$C40,IF(ISNUMBER(Planung!HE40),Planung!HE40,IF(UPPER(Planung!HE40)="H",$C40/2,0)))))))</f>
        <v>0</v>
      </c>
      <c r="HF40" s="27">
        <f>IF($A40="",0,IF(Mitarbeiter!$G$38=FALSE,0,IF(AND(Mitarbeiter!$E$38&lt;&gt;"",HF$5+6&lt;Mitarbeiter!$E$38),0,IF(AND(Mitarbeiter!$F$38&lt;&gt;"",HF$5&gt;Mitarbeiter!$F$38),0,IF(Planung!HF40="",$C40,IF(ISNUMBER(Planung!HF40),Planung!HF40,IF(UPPER(Planung!HF40)="H",$C40/2,0)))))))</f>
        <v>0</v>
      </c>
      <c r="HG40" s="27">
        <f>IF($A40="",0,IF(Mitarbeiter!$G$38=FALSE,0,IF(AND(Mitarbeiter!$E$38&lt;&gt;"",HG$5+6&lt;Mitarbeiter!$E$38),0,IF(AND(Mitarbeiter!$F$38&lt;&gt;"",HG$5&gt;Mitarbeiter!$F$38),0,IF(Planung!HG40="",$C40,IF(ISNUMBER(Planung!HG40),Planung!HG40,IF(UPPER(Planung!HG40)="H",$C40/2,0)))))))</f>
        <v>0</v>
      </c>
      <c r="HH40" s="27">
        <f>IF($A40="",0,IF(Mitarbeiter!$G$38=FALSE,0,IF(AND(Mitarbeiter!$E$38&lt;&gt;"",HH$5+6&lt;Mitarbeiter!$E$38),0,IF(AND(Mitarbeiter!$F$38&lt;&gt;"",HH$5&gt;Mitarbeiter!$F$38),0,IF(Planung!HH40="",$C40,IF(ISNUMBER(Planung!HH40),Planung!HH40,IF(UPPER(Planung!HH40)="H",$C40/2,0)))))))</f>
        <v>0</v>
      </c>
      <c r="HI40" s="27">
        <f>IF($A40="",0,IF(Mitarbeiter!$G$38=FALSE,0,IF(AND(Mitarbeiter!$E$38&lt;&gt;"",HI$5+6&lt;Mitarbeiter!$E$38),0,IF(AND(Mitarbeiter!$F$38&lt;&gt;"",HI$5&gt;Mitarbeiter!$F$38),0,IF(Planung!HI40="",$C40,IF(ISNUMBER(Planung!HI40),Planung!HI40,IF(UPPER(Planung!HI40)="H",$C40/2,0)))))))</f>
        <v>0</v>
      </c>
      <c r="HJ40" s="27">
        <f>IF($A40="",0,IF(Mitarbeiter!$G$38=FALSE,0,IF(AND(Mitarbeiter!$E$38&lt;&gt;"",HJ$5+6&lt;Mitarbeiter!$E$38),0,IF(AND(Mitarbeiter!$F$38&lt;&gt;"",HJ$5&gt;Mitarbeiter!$F$38),0,IF(Planung!HJ40="",$C40,IF(ISNUMBER(Planung!HJ40),Planung!HJ40,IF(UPPER(Planung!HJ40)="H",$C40/2,0)))))))</f>
        <v>0</v>
      </c>
      <c r="HK40" s="27">
        <f>IF($A40="",0,IF(Mitarbeiter!$G$38=FALSE,0,IF(AND(Mitarbeiter!$E$38&lt;&gt;"",HK$5+6&lt;Mitarbeiter!$E$38),0,IF(AND(Mitarbeiter!$F$38&lt;&gt;"",HK$5&gt;Mitarbeiter!$F$38),0,IF(Planung!HK40="",$C40,IF(ISNUMBER(Planung!HK40),Planung!HK40,IF(UPPER(Planung!HK40)="H",$C40/2,0)))))))</f>
        <v>0</v>
      </c>
      <c r="HL40" s="27">
        <f>IF($A40="",0,IF(Mitarbeiter!$G$38=FALSE,0,IF(AND(Mitarbeiter!$E$38&lt;&gt;"",HL$5+6&lt;Mitarbeiter!$E$38),0,IF(AND(Mitarbeiter!$F$38&lt;&gt;"",HL$5&gt;Mitarbeiter!$F$38),0,IF(Planung!HL40="",$C40,IF(ISNUMBER(Planung!HL40),Planung!HL40,IF(UPPER(Planung!HL40)="H",$C40/2,0)))))))</f>
        <v>0</v>
      </c>
      <c r="HM40" s="27">
        <f>IF($A40="",0,IF(Mitarbeiter!$G$38=FALSE,0,IF(AND(Mitarbeiter!$E$38&lt;&gt;"",HM$5+6&lt;Mitarbeiter!$E$38),0,IF(AND(Mitarbeiter!$F$38&lt;&gt;"",HM$5&gt;Mitarbeiter!$F$38),0,IF(Planung!HM40="",$C40,IF(ISNUMBER(Planung!HM40),Planung!HM40,IF(UPPER(Planung!HM40)="H",$C40/2,0)))))))</f>
        <v>0</v>
      </c>
      <c r="HN40" s="27">
        <f>IF($A40="",0,IF(Mitarbeiter!$G$38=FALSE,0,IF(AND(Mitarbeiter!$E$38&lt;&gt;"",HN$5+6&lt;Mitarbeiter!$E$38),0,IF(AND(Mitarbeiter!$F$38&lt;&gt;"",HN$5&gt;Mitarbeiter!$F$38),0,IF(Planung!HN40="",$C40,IF(ISNUMBER(Planung!HN40),Planung!HN40,IF(UPPER(Planung!HN40)="H",$C40/2,0)))))))</f>
        <v>0</v>
      </c>
      <c r="HO40" s="27">
        <f>IF($A40="",0,IF(Mitarbeiter!$G$38=FALSE,0,IF(AND(Mitarbeiter!$E$38&lt;&gt;"",HO$5+6&lt;Mitarbeiter!$E$38),0,IF(AND(Mitarbeiter!$F$38&lt;&gt;"",HO$5&gt;Mitarbeiter!$F$38),0,IF(Planung!HO40="",$C40,IF(ISNUMBER(Planung!HO40),Planung!HO40,IF(UPPER(Planung!HO40)="H",$C40/2,0)))))))</f>
        <v>0</v>
      </c>
      <c r="HP40" s="27">
        <f>IF($A40="",0,IF(Mitarbeiter!$G$38=FALSE,0,IF(AND(Mitarbeiter!$E$38&lt;&gt;"",HP$5+6&lt;Mitarbeiter!$E$38),0,IF(AND(Mitarbeiter!$F$38&lt;&gt;"",HP$5&gt;Mitarbeiter!$F$38),0,IF(Planung!HP40="",$C40,IF(ISNUMBER(Planung!HP40),Planung!HP40,IF(UPPER(Planung!HP40)="H",$C40/2,0)))))))</f>
        <v>0</v>
      </c>
      <c r="HQ40" s="27">
        <f>IF($A40="",0,IF(Mitarbeiter!$G$38=FALSE,0,IF(AND(Mitarbeiter!$E$38&lt;&gt;"",HQ$5+6&lt;Mitarbeiter!$E$38),0,IF(AND(Mitarbeiter!$F$38&lt;&gt;"",HQ$5&gt;Mitarbeiter!$F$38),0,IF(Planung!HQ40="",$C40,IF(ISNUMBER(Planung!HQ40),Planung!HQ40,IF(UPPER(Planung!HQ40)="H",$C40/2,0)))))))</f>
        <v>0</v>
      </c>
      <c r="HR40" s="27">
        <f>IF($A40="",0,IF(Mitarbeiter!$G$38=FALSE,0,IF(AND(Mitarbeiter!$E$38&lt;&gt;"",HR$5+6&lt;Mitarbeiter!$E$38),0,IF(AND(Mitarbeiter!$F$38&lt;&gt;"",HR$5&gt;Mitarbeiter!$F$38),0,IF(Planung!HR40="",$C40,IF(ISNUMBER(Planung!HR40),Planung!HR40,IF(UPPER(Planung!HR40)="H",$C40/2,0)))))))</f>
        <v>0</v>
      </c>
      <c r="HS40" s="27">
        <f>IF($A40="",0,IF(Mitarbeiter!$G$38=FALSE,0,IF(AND(Mitarbeiter!$E$38&lt;&gt;"",HS$5+6&lt;Mitarbeiter!$E$38),0,IF(AND(Mitarbeiter!$F$38&lt;&gt;"",HS$5&gt;Mitarbeiter!$F$38),0,IF(Planung!HS40="",$C40,IF(ISNUMBER(Planung!HS40),Planung!HS40,IF(UPPER(Planung!HS40)="H",$C40/2,0)))))))</f>
        <v>0</v>
      </c>
      <c r="HT40" s="27">
        <f>IF($A40="",0,IF(Mitarbeiter!$G$38=FALSE,0,IF(AND(Mitarbeiter!$E$38&lt;&gt;"",HT$5+6&lt;Mitarbeiter!$E$38),0,IF(AND(Mitarbeiter!$F$38&lt;&gt;"",HT$5&gt;Mitarbeiter!$F$38),0,IF(Planung!HT40="",$C40,IF(ISNUMBER(Planung!HT40),Planung!HT40,IF(UPPER(Planung!HT40)="H",$C40/2,0)))))))</f>
        <v>0</v>
      </c>
      <c r="HU40" s="27">
        <f>IF($A40="",0,IF(Mitarbeiter!$G$38=FALSE,0,IF(AND(Mitarbeiter!$E$38&lt;&gt;"",HU$5+6&lt;Mitarbeiter!$E$38),0,IF(AND(Mitarbeiter!$F$38&lt;&gt;"",HU$5&gt;Mitarbeiter!$F$38),0,IF(Planung!HU40="",$C40,IF(ISNUMBER(Planung!HU40),Planung!HU40,IF(UPPER(Planung!HU40)="H",$C40/2,0)))))))</f>
        <v>0</v>
      </c>
      <c r="HV40" s="27">
        <f>IF($A40="",0,IF(Mitarbeiter!$G$38=FALSE,0,IF(AND(Mitarbeiter!$E$38&lt;&gt;"",HV$5+6&lt;Mitarbeiter!$E$38),0,IF(AND(Mitarbeiter!$F$38&lt;&gt;"",HV$5&gt;Mitarbeiter!$F$38),0,IF(Planung!HV40="",$C40,IF(ISNUMBER(Planung!HV40),Planung!HV40,IF(UPPER(Planung!HV40)="H",$C40/2,0)))))))</f>
        <v>0</v>
      </c>
      <c r="HW40" s="27">
        <f>IF($A40="",0,IF(Mitarbeiter!$G$38=FALSE,0,IF(AND(Mitarbeiter!$E$38&lt;&gt;"",HW$5+6&lt;Mitarbeiter!$E$38),0,IF(AND(Mitarbeiter!$F$38&lt;&gt;"",HW$5&gt;Mitarbeiter!$F$38),0,IF(Planung!HW40="",$C40,IF(ISNUMBER(Planung!HW40),Planung!HW40,IF(UPPER(Planung!HW40)="H",$C40/2,0)))))))</f>
        <v>0</v>
      </c>
      <c r="HX40" s="27">
        <f>IF($A40="",0,IF(Mitarbeiter!$G$38=FALSE,0,IF(AND(Mitarbeiter!$E$38&lt;&gt;"",HX$5+6&lt;Mitarbeiter!$E$38),0,IF(AND(Mitarbeiter!$F$38&lt;&gt;"",HX$5&gt;Mitarbeiter!$F$38),0,IF(Planung!HX40="",$C40,IF(ISNUMBER(Planung!HX40),Planung!HX40,IF(UPPER(Planung!HX40)="H",$C40/2,0)))))))</f>
        <v>0</v>
      </c>
      <c r="HY40" s="27">
        <f>IF($A40="",0,IF(Mitarbeiter!$G$38=FALSE,0,IF(AND(Mitarbeiter!$E$38&lt;&gt;"",HY$5+6&lt;Mitarbeiter!$E$38),0,IF(AND(Mitarbeiter!$F$38&lt;&gt;"",HY$5&gt;Mitarbeiter!$F$38),0,IF(Planung!HY40="",$C40,IF(ISNUMBER(Planung!HY40),Planung!HY40,IF(UPPER(Planung!HY40)="H",$C40/2,0)))))))</f>
        <v>0</v>
      </c>
      <c r="HZ40" s="27">
        <f>IF($A40="",0,IF(Mitarbeiter!$G$38=FALSE,0,IF(AND(Mitarbeiter!$E$38&lt;&gt;"",HZ$5+6&lt;Mitarbeiter!$E$38),0,IF(AND(Mitarbeiter!$F$38&lt;&gt;"",HZ$5&gt;Mitarbeiter!$F$38),0,IF(Planung!HZ40="",$C40,IF(ISNUMBER(Planung!HZ40),Planung!HZ40,IF(UPPER(Planung!HZ40)="H",$C40/2,0)))))))</f>
        <v>0</v>
      </c>
      <c r="IA40" s="27">
        <f>IF($A40="",0,IF(Mitarbeiter!$G$38=FALSE,0,IF(AND(Mitarbeiter!$E$38&lt;&gt;"",IA$5+6&lt;Mitarbeiter!$E$38),0,IF(AND(Mitarbeiter!$F$38&lt;&gt;"",IA$5&gt;Mitarbeiter!$F$38),0,IF(Planung!IA40="",$C40,IF(ISNUMBER(Planung!IA40),Planung!IA40,IF(UPPER(Planung!IA40)="H",$C40/2,0)))))))</f>
        <v>0</v>
      </c>
    </row>
    <row r="41" spans="1:235" x14ac:dyDescent="0.25">
      <c r="A41" s="7" t="str">
        <f>Planung!A41</f>
        <v/>
      </c>
      <c r="B41" s="7" t="str">
        <f>Planung!B41</f>
        <v/>
      </c>
      <c r="C41" s="27">
        <f>N(Mitarbeiter!$D$39)</f>
        <v>0</v>
      </c>
      <c r="D41" s="27">
        <f>IF($A41="",0,IF(Mitarbeiter!$G$39=FALSE,0,IF(AND(Mitarbeiter!$E$39&lt;&gt;"",D$5+6&lt;Mitarbeiter!$E$39),0,IF(AND(Mitarbeiter!$F$39&lt;&gt;"",D$5&gt;Mitarbeiter!$F$39),0,IF(Planung!D41="",$C41,IF(ISNUMBER(Planung!D41),Planung!D41,IF(UPPER(Planung!D41)="H",$C41/2,0)))))))</f>
        <v>0</v>
      </c>
      <c r="E41" s="27">
        <f>IF($A41="",0,IF(Mitarbeiter!$G$39=FALSE,0,IF(AND(Mitarbeiter!$E$39&lt;&gt;"",E$5+6&lt;Mitarbeiter!$E$39),0,IF(AND(Mitarbeiter!$F$39&lt;&gt;"",E$5&gt;Mitarbeiter!$F$39),0,IF(Planung!E41="",$C41,IF(ISNUMBER(Planung!E41),Planung!E41,IF(UPPER(Planung!E41)="H",$C41/2,0)))))))</f>
        <v>0</v>
      </c>
      <c r="F41" s="27">
        <f>IF($A41="",0,IF(Mitarbeiter!$G$39=FALSE,0,IF(AND(Mitarbeiter!$E$39&lt;&gt;"",F$5+6&lt;Mitarbeiter!$E$39),0,IF(AND(Mitarbeiter!$F$39&lt;&gt;"",F$5&gt;Mitarbeiter!$F$39),0,IF(Planung!F41="",$C41,IF(ISNUMBER(Planung!F41),Planung!F41,IF(UPPER(Planung!F41)="H",$C41/2,0)))))))</f>
        <v>0</v>
      </c>
      <c r="G41" s="27">
        <f>IF($A41="",0,IF(Mitarbeiter!$G$39=FALSE,0,IF(AND(Mitarbeiter!$E$39&lt;&gt;"",G$5+6&lt;Mitarbeiter!$E$39),0,IF(AND(Mitarbeiter!$F$39&lt;&gt;"",G$5&gt;Mitarbeiter!$F$39),0,IF(Planung!G41="",$C41,IF(ISNUMBER(Planung!G41),Planung!G41,IF(UPPER(Planung!G41)="H",$C41/2,0)))))))</f>
        <v>0</v>
      </c>
      <c r="H41" s="27">
        <f>IF($A41="",0,IF(Mitarbeiter!$G$39=FALSE,0,IF(AND(Mitarbeiter!$E$39&lt;&gt;"",H$5+6&lt;Mitarbeiter!$E$39),0,IF(AND(Mitarbeiter!$F$39&lt;&gt;"",H$5&gt;Mitarbeiter!$F$39),0,IF(Planung!H41="",$C41,IF(ISNUMBER(Planung!H41),Planung!H41,IF(UPPER(Planung!H41)="H",$C41/2,0)))))))</f>
        <v>0</v>
      </c>
      <c r="I41" s="27">
        <f>IF($A41="",0,IF(Mitarbeiter!$G$39=FALSE,0,IF(AND(Mitarbeiter!$E$39&lt;&gt;"",I$5+6&lt;Mitarbeiter!$E$39),0,IF(AND(Mitarbeiter!$F$39&lt;&gt;"",I$5&gt;Mitarbeiter!$F$39),0,IF(Planung!I41="",$C41,IF(ISNUMBER(Planung!I41),Planung!I41,IF(UPPER(Planung!I41)="H",$C41/2,0)))))))</f>
        <v>0</v>
      </c>
      <c r="J41" s="27">
        <f>IF($A41="",0,IF(Mitarbeiter!$G$39=FALSE,0,IF(AND(Mitarbeiter!$E$39&lt;&gt;"",J$5+6&lt;Mitarbeiter!$E$39),0,IF(AND(Mitarbeiter!$F$39&lt;&gt;"",J$5&gt;Mitarbeiter!$F$39),0,IF(Planung!J41="",$C41,IF(ISNUMBER(Planung!J41),Planung!J41,IF(UPPER(Planung!J41)="H",$C41/2,0)))))))</f>
        <v>0</v>
      </c>
      <c r="K41" s="27">
        <f>IF($A41="",0,IF(Mitarbeiter!$G$39=FALSE,0,IF(AND(Mitarbeiter!$E$39&lt;&gt;"",K$5+6&lt;Mitarbeiter!$E$39),0,IF(AND(Mitarbeiter!$F$39&lt;&gt;"",K$5&gt;Mitarbeiter!$F$39),0,IF(Planung!K41="",$C41,IF(ISNUMBER(Planung!K41),Planung!K41,IF(UPPER(Planung!K41)="H",$C41/2,0)))))))</f>
        <v>0</v>
      </c>
      <c r="L41" s="27">
        <f>IF($A41="",0,IF(Mitarbeiter!$G$39=FALSE,0,IF(AND(Mitarbeiter!$E$39&lt;&gt;"",L$5+6&lt;Mitarbeiter!$E$39),0,IF(AND(Mitarbeiter!$F$39&lt;&gt;"",L$5&gt;Mitarbeiter!$F$39),0,IF(Planung!L41="",$C41,IF(ISNUMBER(Planung!L41),Planung!L41,IF(UPPER(Planung!L41)="H",$C41/2,0)))))))</f>
        <v>0</v>
      </c>
      <c r="M41" s="27">
        <f>IF($A41="",0,IF(Mitarbeiter!$G$39=FALSE,0,IF(AND(Mitarbeiter!$E$39&lt;&gt;"",M$5+6&lt;Mitarbeiter!$E$39),0,IF(AND(Mitarbeiter!$F$39&lt;&gt;"",M$5&gt;Mitarbeiter!$F$39),0,IF(Planung!M41="",$C41,IF(ISNUMBER(Planung!M41),Planung!M41,IF(UPPER(Planung!M41)="H",$C41/2,0)))))))</f>
        <v>0</v>
      </c>
      <c r="N41" s="27">
        <f>IF($A41="",0,IF(Mitarbeiter!$G$39=FALSE,0,IF(AND(Mitarbeiter!$E$39&lt;&gt;"",N$5+6&lt;Mitarbeiter!$E$39),0,IF(AND(Mitarbeiter!$F$39&lt;&gt;"",N$5&gt;Mitarbeiter!$F$39),0,IF(Planung!N41="",$C41,IF(ISNUMBER(Planung!N41),Planung!N41,IF(UPPER(Planung!N41)="H",$C41/2,0)))))))</f>
        <v>0</v>
      </c>
      <c r="O41" s="27">
        <f>IF($A41="",0,IF(Mitarbeiter!$G$39=FALSE,0,IF(AND(Mitarbeiter!$E$39&lt;&gt;"",O$5+6&lt;Mitarbeiter!$E$39),0,IF(AND(Mitarbeiter!$F$39&lt;&gt;"",O$5&gt;Mitarbeiter!$F$39),0,IF(Planung!O41="",$C41,IF(ISNUMBER(Planung!O41),Planung!O41,IF(UPPER(Planung!O41)="H",$C41/2,0)))))))</f>
        <v>0</v>
      </c>
      <c r="P41" s="27">
        <f>IF($A41="",0,IF(Mitarbeiter!$G$39=FALSE,0,IF(AND(Mitarbeiter!$E$39&lt;&gt;"",P$5+6&lt;Mitarbeiter!$E$39),0,IF(AND(Mitarbeiter!$F$39&lt;&gt;"",P$5&gt;Mitarbeiter!$F$39),0,IF(Planung!P41="",$C41,IF(ISNUMBER(Planung!P41),Planung!P41,IF(UPPER(Planung!P41)="H",$C41/2,0)))))))</f>
        <v>0</v>
      </c>
      <c r="Q41" s="27">
        <f>IF($A41="",0,IF(Mitarbeiter!$G$39=FALSE,0,IF(AND(Mitarbeiter!$E$39&lt;&gt;"",Q$5+6&lt;Mitarbeiter!$E$39),0,IF(AND(Mitarbeiter!$F$39&lt;&gt;"",Q$5&gt;Mitarbeiter!$F$39),0,IF(Planung!Q41="",$C41,IF(ISNUMBER(Planung!Q41),Planung!Q41,IF(UPPER(Planung!Q41)="H",$C41/2,0)))))))</f>
        <v>0</v>
      </c>
      <c r="R41" s="27">
        <f>IF($A41="",0,IF(Mitarbeiter!$G$39=FALSE,0,IF(AND(Mitarbeiter!$E$39&lt;&gt;"",R$5+6&lt;Mitarbeiter!$E$39),0,IF(AND(Mitarbeiter!$F$39&lt;&gt;"",R$5&gt;Mitarbeiter!$F$39),0,IF(Planung!R41="",$C41,IF(ISNUMBER(Planung!R41),Planung!R41,IF(UPPER(Planung!R41)="H",$C41/2,0)))))))</f>
        <v>0</v>
      </c>
      <c r="S41" s="27">
        <f>IF($A41="",0,IF(Mitarbeiter!$G$39=FALSE,0,IF(AND(Mitarbeiter!$E$39&lt;&gt;"",S$5+6&lt;Mitarbeiter!$E$39),0,IF(AND(Mitarbeiter!$F$39&lt;&gt;"",S$5&gt;Mitarbeiter!$F$39),0,IF(Planung!S41="",$C41,IF(ISNUMBER(Planung!S41),Planung!S41,IF(UPPER(Planung!S41)="H",$C41/2,0)))))))</f>
        <v>0</v>
      </c>
      <c r="T41" s="27">
        <f>IF($A41="",0,IF(Mitarbeiter!$G$39=FALSE,0,IF(AND(Mitarbeiter!$E$39&lt;&gt;"",T$5+6&lt;Mitarbeiter!$E$39),0,IF(AND(Mitarbeiter!$F$39&lt;&gt;"",T$5&gt;Mitarbeiter!$F$39),0,IF(Planung!T41="",$C41,IF(ISNUMBER(Planung!T41),Planung!T41,IF(UPPER(Planung!T41)="H",$C41/2,0)))))))</f>
        <v>0</v>
      </c>
      <c r="U41" s="27">
        <f>IF($A41="",0,IF(Mitarbeiter!$G$39=FALSE,0,IF(AND(Mitarbeiter!$E$39&lt;&gt;"",U$5+6&lt;Mitarbeiter!$E$39),0,IF(AND(Mitarbeiter!$F$39&lt;&gt;"",U$5&gt;Mitarbeiter!$F$39),0,IF(Planung!U41="",$C41,IF(ISNUMBER(Planung!U41),Planung!U41,IF(UPPER(Planung!U41)="H",$C41/2,0)))))))</f>
        <v>0</v>
      </c>
      <c r="V41" s="27">
        <f>IF($A41="",0,IF(Mitarbeiter!$G$39=FALSE,0,IF(AND(Mitarbeiter!$E$39&lt;&gt;"",V$5+6&lt;Mitarbeiter!$E$39),0,IF(AND(Mitarbeiter!$F$39&lt;&gt;"",V$5&gt;Mitarbeiter!$F$39),0,IF(Planung!V41="",$C41,IF(ISNUMBER(Planung!V41),Planung!V41,IF(UPPER(Planung!V41)="H",$C41/2,0)))))))</f>
        <v>0</v>
      </c>
      <c r="W41" s="27">
        <f>IF($A41="",0,IF(Mitarbeiter!$G$39=FALSE,0,IF(AND(Mitarbeiter!$E$39&lt;&gt;"",W$5+6&lt;Mitarbeiter!$E$39),0,IF(AND(Mitarbeiter!$F$39&lt;&gt;"",W$5&gt;Mitarbeiter!$F$39),0,IF(Planung!W41="",$C41,IF(ISNUMBER(Planung!W41),Planung!W41,IF(UPPER(Planung!W41)="H",$C41/2,0)))))))</f>
        <v>0</v>
      </c>
      <c r="X41" s="27">
        <f>IF($A41="",0,IF(Mitarbeiter!$G$39=FALSE,0,IF(AND(Mitarbeiter!$E$39&lt;&gt;"",X$5+6&lt;Mitarbeiter!$E$39),0,IF(AND(Mitarbeiter!$F$39&lt;&gt;"",X$5&gt;Mitarbeiter!$F$39),0,IF(Planung!X41="",$C41,IF(ISNUMBER(Planung!X41),Planung!X41,IF(UPPER(Planung!X41)="H",$C41/2,0)))))))</f>
        <v>0</v>
      </c>
      <c r="Y41" s="27">
        <f>IF($A41="",0,IF(Mitarbeiter!$G$39=FALSE,0,IF(AND(Mitarbeiter!$E$39&lt;&gt;"",Y$5+6&lt;Mitarbeiter!$E$39),0,IF(AND(Mitarbeiter!$F$39&lt;&gt;"",Y$5&gt;Mitarbeiter!$F$39),0,IF(Planung!Y41="",$C41,IF(ISNUMBER(Planung!Y41),Planung!Y41,IF(UPPER(Planung!Y41)="H",$C41/2,0)))))))</f>
        <v>0</v>
      </c>
      <c r="Z41" s="27">
        <f>IF($A41="",0,IF(Mitarbeiter!$G$39=FALSE,0,IF(AND(Mitarbeiter!$E$39&lt;&gt;"",Z$5+6&lt;Mitarbeiter!$E$39),0,IF(AND(Mitarbeiter!$F$39&lt;&gt;"",Z$5&gt;Mitarbeiter!$F$39),0,IF(Planung!Z41="",$C41,IF(ISNUMBER(Planung!Z41),Planung!Z41,IF(UPPER(Planung!Z41)="H",$C41/2,0)))))))</f>
        <v>0</v>
      </c>
      <c r="AA41" s="27">
        <f>IF($A41="",0,IF(Mitarbeiter!$G$39=FALSE,0,IF(AND(Mitarbeiter!$E$39&lt;&gt;"",AA$5+6&lt;Mitarbeiter!$E$39),0,IF(AND(Mitarbeiter!$F$39&lt;&gt;"",AA$5&gt;Mitarbeiter!$F$39),0,IF(Planung!AA41="",$C41,IF(ISNUMBER(Planung!AA41),Planung!AA41,IF(UPPER(Planung!AA41)="H",$C41/2,0)))))))</f>
        <v>0</v>
      </c>
      <c r="AB41" s="27">
        <f>IF($A41="",0,IF(Mitarbeiter!$G$39=FALSE,0,IF(AND(Mitarbeiter!$E$39&lt;&gt;"",AB$5+6&lt;Mitarbeiter!$E$39),0,IF(AND(Mitarbeiter!$F$39&lt;&gt;"",AB$5&gt;Mitarbeiter!$F$39),0,IF(Planung!AB41="",$C41,IF(ISNUMBER(Planung!AB41),Planung!AB41,IF(UPPER(Planung!AB41)="H",$C41/2,0)))))))</f>
        <v>0</v>
      </c>
      <c r="AC41" s="27">
        <f>IF($A41="",0,IF(Mitarbeiter!$G$39=FALSE,0,IF(AND(Mitarbeiter!$E$39&lt;&gt;"",AC$5+6&lt;Mitarbeiter!$E$39),0,IF(AND(Mitarbeiter!$F$39&lt;&gt;"",AC$5&gt;Mitarbeiter!$F$39),0,IF(Planung!AC41="",$C41,IF(ISNUMBER(Planung!AC41),Planung!AC41,IF(UPPER(Planung!AC41)="H",$C41/2,0)))))))</f>
        <v>0</v>
      </c>
      <c r="AD41" s="27">
        <f>IF($A41="",0,IF(Mitarbeiter!$G$39=FALSE,0,IF(AND(Mitarbeiter!$E$39&lt;&gt;"",AD$5+6&lt;Mitarbeiter!$E$39),0,IF(AND(Mitarbeiter!$F$39&lt;&gt;"",AD$5&gt;Mitarbeiter!$F$39),0,IF(Planung!AD41="",$C41,IF(ISNUMBER(Planung!AD41),Planung!AD41,IF(UPPER(Planung!AD41)="H",$C41/2,0)))))))</f>
        <v>0</v>
      </c>
      <c r="AE41" s="27">
        <f>IF($A41="",0,IF(Mitarbeiter!$G$39=FALSE,0,IF(AND(Mitarbeiter!$E$39&lt;&gt;"",AE$5+6&lt;Mitarbeiter!$E$39),0,IF(AND(Mitarbeiter!$F$39&lt;&gt;"",AE$5&gt;Mitarbeiter!$F$39),0,IF(Planung!AE41="",$C41,IF(ISNUMBER(Planung!AE41),Planung!AE41,IF(UPPER(Planung!AE41)="H",$C41/2,0)))))))</f>
        <v>0</v>
      </c>
      <c r="AF41" s="27">
        <f>IF($A41="",0,IF(Mitarbeiter!$G$39=FALSE,0,IF(AND(Mitarbeiter!$E$39&lt;&gt;"",AF$5+6&lt;Mitarbeiter!$E$39),0,IF(AND(Mitarbeiter!$F$39&lt;&gt;"",AF$5&gt;Mitarbeiter!$F$39),0,IF(Planung!AF41="",$C41,IF(ISNUMBER(Planung!AF41),Planung!AF41,IF(UPPER(Planung!AF41)="H",$C41/2,0)))))))</f>
        <v>0</v>
      </c>
      <c r="AG41" s="27">
        <f>IF($A41="",0,IF(Mitarbeiter!$G$39=FALSE,0,IF(AND(Mitarbeiter!$E$39&lt;&gt;"",AG$5+6&lt;Mitarbeiter!$E$39),0,IF(AND(Mitarbeiter!$F$39&lt;&gt;"",AG$5&gt;Mitarbeiter!$F$39),0,IF(Planung!AG41="",$C41,IF(ISNUMBER(Planung!AG41),Planung!AG41,IF(UPPER(Planung!AG41)="H",$C41/2,0)))))))</f>
        <v>0</v>
      </c>
      <c r="AH41" s="27">
        <f>IF($A41="",0,IF(Mitarbeiter!$G$39=FALSE,0,IF(AND(Mitarbeiter!$E$39&lt;&gt;"",AH$5+6&lt;Mitarbeiter!$E$39),0,IF(AND(Mitarbeiter!$F$39&lt;&gt;"",AH$5&gt;Mitarbeiter!$F$39),0,IF(Planung!AH41="",$C41,IF(ISNUMBER(Planung!AH41),Planung!AH41,IF(UPPER(Planung!AH41)="H",$C41/2,0)))))))</f>
        <v>0</v>
      </c>
      <c r="AI41" s="27">
        <f>IF($A41="",0,IF(Mitarbeiter!$G$39=FALSE,0,IF(AND(Mitarbeiter!$E$39&lt;&gt;"",AI$5+6&lt;Mitarbeiter!$E$39),0,IF(AND(Mitarbeiter!$F$39&lt;&gt;"",AI$5&gt;Mitarbeiter!$F$39),0,IF(Planung!AI41="",$C41,IF(ISNUMBER(Planung!AI41),Planung!AI41,IF(UPPER(Planung!AI41)="H",$C41/2,0)))))))</f>
        <v>0</v>
      </c>
      <c r="AJ41" s="27">
        <f>IF($A41="",0,IF(Mitarbeiter!$G$39=FALSE,0,IF(AND(Mitarbeiter!$E$39&lt;&gt;"",AJ$5+6&lt;Mitarbeiter!$E$39),0,IF(AND(Mitarbeiter!$F$39&lt;&gt;"",AJ$5&gt;Mitarbeiter!$F$39),0,IF(Planung!AJ41="",$C41,IF(ISNUMBER(Planung!AJ41),Planung!AJ41,IF(UPPER(Planung!AJ41)="H",$C41/2,0)))))))</f>
        <v>0</v>
      </c>
      <c r="AK41" s="27">
        <f>IF($A41="",0,IF(Mitarbeiter!$G$39=FALSE,0,IF(AND(Mitarbeiter!$E$39&lt;&gt;"",AK$5+6&lt;Mitarbeiter!$E$39),0,IF(AND(Mitarbeiter!$F$39&lt;&gt;"",AK$5&gt;Mitarbeiter!$F$39),0,IF(Planung!AK41="",$C41,IF(ISNUMBER(Planung!AK41),Planung!AK41,IF(UPPER(Planung!AK41)="H",$C41/2,0)))))))</f>
        <v>0</v>
      </c>
      <c r="AL41" s="27">
        <f>IF($A41="",0,IF(Mitarbeiter!$G$39=FALSE,0,IF(AND(Mitarbeiter!$E$39&lt;&gt;"",AL$5+6&lt;Mitarbeiter!$E$39),0,IF(AND(Mitarbeiter!$F$39&lt;&gt;"",AL$5&gt;Mitarbeiter!$F$39),0,IF(Planung!AL41="",$C41,IF(ISNUMBER(Planung!AL41),Planung!AL41,IF(UPPER(Planung!AL41)="H",$C41/2,0)))))))</f>
        <v>0</v>
      </c>
      <c r="AM41" s="27">
        <f>IF($A41="",0,IF(Mitarbeiter!$G$39=FALSE,0,IF(AND(Mitarbeiter!$E$39&lt;&gt;"",AM$5+6&lt;Mitarbeiter!$E$39),0,IF(AND(Mitarbeiter!$F$39&lt;&gt;"",AM$5&gt;Mitarbeiter!$F$39),0,IF(Planung!AM41="",$C41,IF(ISNUMBER(Planung!AM41),Planung!AM41,IF(UPPER(Planung!AM41)="H",$C41/2,0)))))))</f>
        <v>0</v>
      </c>
      <c r="AN41" s="27">
        <f>IF($A41="",0,IF(Mitarbeiter!$G$39=FALSE,0,IF(AND(Mitarbeiter!$E$39&lt;&gt;"",AN$5+6&lt;Mitarbeiter!$E$39),0,IF(AND(Mitarbeiter!$F$39&lt;&gt;"",AN$5&gt;Mitarbeiter!$F$39),0,IF(Planung!AN41="",$C41,IF(ISNUMBER(Planung!AN41),Planung!AN41,IF(UPPER(Planung!AN41)="H",$C41/2,0)))))))</f>
        <v>0</v>
      </c>
      <c r="AO41" s="27">
        <f>IF($A41="",0,IF(Mitarbeiter!$G$39=FALSE,0,IF(AND(Mitarbeiter!$E$39&lt;&gt;"",AO$5+6&lt;Mitarbeiter!$E$39),0,IF(AND(Mitarbeiter!$F$39&lt;&gt;"",AO$5&gt;Mitarbeiter!$F$39),0,IF(Planung!AO41="",$C41,IF(ISNUMBER(Planung!AO41),Planung!AO41,IF(UPPER(Planung!AO41)="H",$C41/2,0)))))))</f>
        <v>0</v>
      </c>
      <c r="AP41" s="27">
        <f>IF($A41="",0,IF(Mitarbeiter!$G$39=FALSE,0,IF(AND(Mitarbeiter!$E$39&lt;&gt;"",AP$5+6&lt;Mitarbeiter!$E$39),0,IF(AND(Mitarbeiter!$F$39&lt;&gt;"",AP$5&gt;Mitarbeiter!$F$39),0,IF(Planung!AP41="",$C41,IF(ISNUMBER(Planung!AP41),Planung!AP41,IF(UPPER(Planung!AP41)="H",$C41/2,0)))))))</f>
        <v>0</v>
      </c>
      <c r="AQ41" s="27">
        <f>IF($A41="",0,IF(Mitarbeiter!$G$39=FALSE,0,IF(AND(Mitarbeiter!$E$39&lt;&gt;"",AQ$5+6&lt;Mitarbeiter!$E$39),0,IF(AND(Mitarbeiter!$F$39&lt;&gt;"",AQ$5&gt;Mitarbeiter!$F$39),0,IF(Planung!AQ41="",$C41,IF(ISNUMBER(Planung!AQ41),Planung!AQ41,IF(UPPER(Planung!AQ41)="H",$C41/2,0)))))))</f>
        <v>0</v>
      </c>
      <c r="AR41" s="27">
        <f>IF($A41="",0,IF(Mitarbeiter!$G$39=FALSE,0,IF(AND(Mitarbeiter!$E$39&lt;&gt;"",AR$5+6&lt;Mitarbeiter!$E$39),0,IF(AND(Mitarbeiter!$F$39&lt;&gt;"",AR$5&gt;Mitarbeiter!$F$39),0,IF(Planung!AR41="",$C41,IF(ISNUMBER(Planung!AR41),Planung!AR41,IF(UPPER(Planung!AR41)="H",$C41/2,0)))))))</f>
        <v>0</v>
      </c>
      <c r="AS41" s="27">
        <f>IF($A41="",0,IF(Mitarbeiter!$G$39=FALSE,0,IF(AND(Mitarbeiter!$E$39&lt;&gt;"",AS$5+6&lt;Mitarbeiter!$E$39),0,IF(AND(Mitarbeiter!$F$39&lt;&gt;"",AS$5&gt;Mitarbeiter!$F$39),0,IF(Planung!AS41="",$C41,IF(ISNUMBER(Planung!AS41),Planung!AS41,IF(UPPER(Planung!AS41)="H",$C41/2,0)))))))</f>
        <v>0</v>
      </c>
      <c r="AT41" s="27">
        <f>IF($A41="",0,IF(Mitarbeiter!$G$39=FALSE,0,IF(AND(Mitarbeiter!$E$39&lt;&gt;"",AT$5+6&lt;Mitarbeiter!$E$39),0,IF(AND(Mitarbeiter!$F$39&lt;&gt;"",AT$5&gt;Mitarbeiter!$F$39),0,IF(Planung!AT41="",$C41,IF(ISNUMBER(Planung!AT41),Planung!AT41,IF(UPPER(Planung!AT41)="H",$C41/2,0)))))))</f>
        <v>0</v>
      </c>
      <c r="AU41" s="27">
        <f>IF($A41="",0,IF(Mitarbeiter!$G$39=FALSE,0,IF(AND(Mitarbeiter!$E$39&lt;&gt;"",AU$5+6&lt;Mitarbeiter!$E$39),0,IF(AND(Mitarbeiter!$F$39&lt;&gt;"",AU$5&gt;Mitarbeiter!$F$39),0,IF(Planung!AU41="",$C41,IF(ISNUMBER(Planung!AU41),Planung!AU41,IF(UPPER(Planung!AU41)="H",$C41/2,0)))))))</f>
        <v>0</v>
      </c>
      <c r="AV41" s="27">
        <f>IF($A41="",0,IF(Mitarbeiter!$G$39=FALSE,0,IF(AND(Mitarbeiter!$E$39&lt;&gt;"",AV$5+6&lt;Mitarbeiter!$E$39),0,IF(AND(Mitarbeiter!$F$39&lt;&gt;"",AV$5&gt;Mitarbeiter!$F$39),0,IF(Planung!AV41="",$C41,IF(ISNUMBER(Planung!AV41),Planung!AV41,IF(UPPER(Planung!AV41)="H",$C41/2,0)))))))</f>
        <v>0</v>
      </c>
      <c r="AW41" s="27">
        <f>IF($A41="",0,IF(Mitarbeiter!$G$39=FALSE,0,IF(AND(Mitarbeiter!$E$39&lt;&gt;"",AW$5+6&lt;Mitarbeiter!$E$39),0,IF(AND(Mitarbeiter!$F$39&lt;&gt;"",AW$5&gt;Mitarbeiter!$F$39),0,IF(Planung!AW41="",$C41,IF(ISNUMBER(Planung!AW41),Planung!AW41,IF(UPPER(Planung!AW41)="H",$C41/2,0)))))))</f>
        <v>0</v>
      </c>
      <c r="AX41" s="27">
        <f>IF($A41="",0,IF(Mitarbeiter!$G$39=FALSE,0,IF(AND(Mitarbeiter!$E$39&lt;&gt;"",AX$5+6&lt;Mitarbeiter!$E$39),0,IF(AND(Mitarbeiter!$F$39&lt;&gt;"",AX$5&gt;Mitarbeiter!$F$39),0,IF(Planung!AX41="",$C41,IF(ISNUMBER(Planung!AX41),Planung!AX41,IF(UPPER(Planung!AX41)="H",$C41/2,0)))))))</f>
        <v>0</v>
      </c>
      <c r="AY41" s="27">
        <f>IF($A41="",0,IF(Mitarbeiter!$G$39=FALSE,0,IF(AND(Mitarbeiter!$E$39&lt;&gt;"",AY$5+6&lt;Mitarbeiter!$E$39),0,IF(AND(Mitarbeiter!$F$39&lt;&gt;"",AY$5&gt;Mitarbeiter!$F$39),0,IF(Planung!AY41="",$C41,IF(ISNUMBER(Planung!AY41),Planung!AY41,IF(UPPER(Planung!AY41)="H",$C41/2,0)))))))</f>
        <v>0</v>
      </c>
      <c r="AZ41" s="27">
        <f>IF($A41="",0,IF(Mitarbeiter!$G$39=FALSE,0,IF(AND(Mitarbeiter!$E$39&lt;&gt;"",AZ$5+6&lt;Mitarbeiter!$E$39),0,IF(AND(Mitarbeiter!$F$39&lt;&gt;"",AZ$5&gt;Mitarbeiter!$F$39),0,IF(Planung!AZ41="",$C41,IF(ISNUMBER(Planung!AZ41),Planung!AZ41,IF(UPPER(Planung!AZ41)="H",$C41/2,0)))))))</f>
        <v>0</v>
      </c>
      <c r="BA41" s="27">
        <f>IF($A41="",0,IF(Mitarbeiter!$G$39=FALSE,0,IF(AND(Mitarbeiter!$E$39&lt;&gt;"",BA$5+6&lt;Mitarbeiter!$E$39),0,IF(AND(Mitarbeiter!$F$39&lt;&gt;"",BA$5&gt;Mitarbeiter!$F$39),0,IF(Planung!BA41="",$C41,IF(ISNUMBER(Planung!BA41),Planung!BA41,IF(UPPER(Planung!BA41)="H",$C41/2,0)))))))</f>
        <v>0</v>
      </c>
      <c r="BB41" s="27">
        <f>IF($A41="",0,IF(Mitarbeiter!$G$39=FALSE,0,IF(AND(Mitarbeiter!$E$39&lt;&gt;"",BB$5+6&lt;Mitarbeiter!$E$39),0,IF(AND(Mitarbeiter!$F$39&lt;&gt;"",BB$5&gt;Mitarbeiter!$F$39),0,IF(Planung!BB41="",$C41,IF(ISNUMBER(Planung!BB41),Planung!BB41,IF(UPPER(Planung!BB41)="H",$C41/2,0)))))))</f>
        <v>0</v>
      </c>
      <c r="BC41" s="27">
        <f>IF($A41="",0,IF(Mitarbeiter!$G$39=FALSE,0,IF(AND(Mitarbeiter!$E$39&lt;&gt;"",BC$5+6&lt;Mitarbeiter!$E$39),0,IF(AND(Mitarbeiter!$F$39&lt;&gt;"",BC$5&gt;Mitarbeiter!$F$39),0,IF(Planung!BC41="",$C41,IF(ISNUMBER(Planung!BC41),Planung!BC41,IF(UPPER(Planung!BC41)="H",$C41/2,0)))))))</f>
        <v>0</v>
      </c>
      <c r="BD41" s="27">
        <f>IF($A41="",0,IF(Mitarbeiter!$G$39=FALSE,0,IF(AND(Mitarbeiter!$E$39&lt;&gt;"",BD$5+6&lt;Mitarbeiter!$E$39),0,IF(AND(Mitarbeiter!$F$39&lt;&gt;"",BD$5&gt;Mitarbeiter!$F$39),0,IF(Planung!BD41="",$C41,IF(ISNUMBER(Planung!BD41),Planung!BD41,IF(UPPER(Planung!BD41)="H",$C41/2,0)))))))</f>
        <v>0</v>
      </c>
      <c r="BE41" s="27">
        <f>IF($A41="",0,IF(Mitarbeiter!$G$39=FALSE,0,IF(AND(Mitarbeiter!$E$39&lt;&gt;"",BE$5+6&lt;Mitarbeiter!$E$39),0,IF(AND(Mitarbeiter!$F$39&lt;&gt;"",BE$5&gt;Mitarbeiter!$F$39),0,IF(Planung!BE41="",$C41,IF(ISNUMBER(Planung!BE41),Planung!BE41,IF(UPPER(Planung!BE41)="H",$C41/2,0)))))))</f>
        <v>0</v>
      </c>
      <c r="BF41" s="27">
        <f>IF($A41="",0,IF(Mitarbeiter!$G$39=FALSE,0,IF(AND(Mitarbeiter!$E$39&lt;&gt;"",BF$5+6&lt;Mitarbeiter!$E$39),0,IF(AND(Mitarbeiter!$F$39&lt;&gt;"",BF$5&gt;Mitarbeiter!$F$39),0,IF(Planung!BF41="",$C41,IF(ISNUMBER(Planung!BF41),Planung!BF41,IF(UPPER(Planung!BF41)="H",$C41/2,0)))))))</f>
        <v>0</v>
      </c>
      <c r="BG41" s="27">
        <f>IF($A41="",0,IF(Mitarbeiter!$G$39=FALSE,0,IF(AND(Mitarbeiter!$E$39&lt;&gt;"",BG$5+6&lt;Mitarbeiter!$E$39),0,IF(AND(Mitarbeiter!$F$39&lt;&gt;"",BG$5&gt;Mitarbeiter!$F$39),0,IF(Planung!BG41="",$C41,IF(ISNUMBER(Planung!BG41),Planung!BG41,IF(UPPER(Planung!BG41)="H",$C41/2,0)))))))</f>
        <v>0</v>
      </c>
      <c r="BH41" s="27">
        <f>IF($A41="",0,IF(Mitarbeiter!$G$39=FALSE,0,IF(AND(Mitarbeiter!$E$39&lt;&gt;"",BH$5+6&lt;Mitarbeiter!$E$39),0,IF(AND(Mitarbeiter!$F$39&lt;&gt;"",BH$5&gt;Mitarbeiter!$F$39),0,IF(Planung!BH41="",$C41,IF(ISNUMBER(Planung!BH41),Planung!BH41,IF(UPPER(Planung!BH41)="H",$C41/2,0)))))))</f>
        <v>0</v>
      </c>
      <c r="BI41" s="27">
        <f>IF($A41="",0,IF(Mitarbeiter!$G$39=FALSE,0,IF(AND(Mitarbeiter!$E$39&lt;&gt;"",BI$5+6&lt;Mitarbeiter!$E$39),0,IF(AND(Mitarbeiter!$F$39&lt;&gt;"",BI$5&gt;Mitarbeiter!$F$39),0,IF(Planung!BI41="",$C41,IF(ISNUMBER(Planung!BI41),Planung!BI41,IF(UPPER(Planung!BI41)="H",$C41/2,0)))))))</f>
        <v>0</v>
      </c>
      <c r="BJ41" s="27">
        <f>IF($A41="",0,IF(Mitarbeiter!$G$39=FALSE,0,IF(AND(Mitarbeiter!$E$39&lt;&gt;"",BJ$5+6&lt;Mitarbeiter!$E$39),0,IF(AND(Mitarbeiter!$F$39&lt;&gt;"",BJ$5&gt;Mitarbeiter!$F$39),0,IF(Planung!BJ41="",$C41,IF(ISNUMBER(Planung!BJ41),Planung!BJ41,IF(UPPER(Planung!BJ41)="H",$C41/2,0)))))))</f>
        <v>0</v>
      </c>
      <c r="BK41" s="27">
        <f>IF($A41="",0,IF(Mitarbeiter!$G$39=FALSE,0,IF(AND(Mitarbeiter!$E$39&lt;&gt;"",BK$5+6&lt;Mitarbeiter!$E$39),0,IF(AND(Mitarbeiter!$F$39&lt;&gt;"",BK$5&gt;Mitarbeiter!$F$39),0,IF(Planung!BK41="",$C41,IF(ISNUMBER(Planung!BK41),Planung!BK41,IF(UPPER(Planung!BK41)="H",$C41/2,0)))))))</f>
        <v>0</v>
      </c>
      <c r="BL41" s="27">
        <f>IF($A41="",0,IF(Mitarbeiter!$G$39=FALSE,0,IF(AND(Mitarbeiter!$E$39&lt;&gt;"",BL$5+6&lt;Mitarbeiter!$E$39),0,IF(AND(Mitarbeiter!$F$39&lt;&gt;"",BL$5&gt;Mitarbeiter!$F$39),0,IF(Planung!BL41="",$C41,IF(ISNUMBER(Planung!BL41),Planung!BL41,IF(UPPER(Planung!BL41)="H",$C41/2,0)))))))</f>
        <v>0</v>
      </c>
      <c r="BM41" s="27">
        <f>IF($A41="",0,IF(Mitarbeiter!$G$39=FALSE,0,IF(AND(Mitarbeiter!$E$39&lt;&gt;"",BM$5+6&lt;Mitarbeiter!$E$39),0,IF(AND(Mitarbeiter!$F$39&lt;&gt;"",BM$5&gt;Mitarbeiter!$F$39),0,IF(Planung!BM41="",$C41,IF(ISNUMBER(Planung!BM41),Planung!BM41,IF(UPPER(Planung!BM41)="H",$C41/2,0)))))))</f>
        <v>0</v>
      </c>
      <c r="BN41" s="27">
        <f>IF($A41="",0,IF(Mitarbeiter!$G$39=FALSE,0,IF(AND(Mitarbeiter!$E$39&lt;&gt;"",BN$5+6&lt;Mitarbeiter!$E$39),0,IF(AND(Mitarbeiter!$F$39&lt;&gt;"",BN$5&gt;Mitarbeiter!$F$39),0,IF(Planung!BN41="",$C41,IF(ISNUMBER(Planung!BN41),Planung!BN41,IF(UPPER(Planung!BN41)="H",$C41/2,0)))))))</f>
        <v>0</v>
      </c>
      <c r="BO41" s="27">
        <f>IF($A41="",0,IF(Mitarbeiter!$G$39=FALSE,0,IF(AND(Mitarbeiter!$E$39&lt;&gt;"",BO$5+6&lt;Mitarbeiter!$E$39),0,IF(AND(Mitarbeiter!$F$39&lt;&gt;"",BO$5&gt;Mitarbeiter!$F$39),0,IF(Planung!BO41="",$C41,IF(ISNUMBER(Planung!BO41),Planung!BO41,IF(UPPER(Planung!BO41)="H",$C41/2,0)))))))</f>
        <v>0</v>
      </c>
      <c r="BP41" s="27">
        <f>IF($A41="",0,IF(Mitarbeiter!$G$39=FALSE,0,IF(AND(Mitarbeiter!$E$39&lt;&gt;"",BP$5+6&lt;Mitarbeiter!$E$39),0,IF(AND(Mitarbeiter!$F$39&lt;&gt;"",BP$5&gt;Mitarbeiter!$F$39),0,IF(Planung!BP41="",$C41,IF(ISNUMBER(Planung!BP41),Planung!BP41,IF(UPPER(Planung!BP41)="H",$C41/2,0)))))))</f>
        <v>0</v>
      </c>
      <c r="BQ41" s="27">
        <f>IF($A41="",0,IF(Mitarbeiter!$G$39=FALSE,0,IF(AND(Mitarbeiter!$E$39&lt;&gt;"",BQ$5+6&lt;Mitarbeiter!$E$39),0,IF(AND(Mitarbeiter!$F$39&lt;&gt;"",BQ$5&gt;Mitarbeiter!$F$39),0,IF(Planung!BQ41="",$C41,IF(ISNUMBER(Planung!BQ41),Planung!BQ41,IF(UPPER(Planung!BQ41)="H",$C41/2,0)))))))</f>
        <v>0</v>
      </c>
      <c r="BR41" s="27">
        <f>IF($A41="",0,IF(Mitarbeiter!$G$39=FALSE,0,IF(AND(Mitarbeiter!$E$39&lt;&gt;"",BR$5+6&lt;Mitarbeiter!$E$39),0,IF(AND(Mitarbeiter!$F$39&lt;&gt;"",BR$5&gt;Mitarbeiter!$F$39),0,IF(Planung!BR41="",$C41,IF(ISNUMBER(Planung!BR41),Planung!BR41,IF(UPPER(Planung!BR41)="H",$C41/2,0)))))))</f>
        <v>0</v>
      </c>
      <c r="BS41" s="27">
        <f>IF($A41="",0,IF(Mitarbeiter!$G$39=FALSE,0,IF(AND(Mitarbeiter!$E$39&lt;&gt;"",BS$5+6&lt;Mitarbeiter!$E$39),0,IF(AND(Mitarbeiter!$F$39&lt;&gt;"",BS$5&gt;Mitarbeiter!$F$39),0,IF(Planung!BS41="",$C41,IF(ISNUMBER(Planung!BS41),Planung!BS41,IF(UPPER(Planung!BS41)="H",$C41/2,0)))))))</f>
        <v>0</v>
      </c>
      <c r="BT41" s="27">
        <f>IF($A41="",0,IF(Mitarbeiter!$G$39=FALSE,0,IF(AND(Mitarbeiter!$E$39&lt;&gt;"",BT$5+6&lt;Mitarbeiter!$E$39),0,IF(AND(Mitarbeiter!$F$39&lt;&gt;"",BT$5&gt;Mitarbeiter!$F$39),0,IF(Planung!BT41="",$C41,IF(ISNUMBER(Planung!BT41),Planung!BT41,IF(UPPER(Planung!BT41)="H",$C41/2,0)))))))</f>
        <v>0</v>
      </c>
      <c r="BU41" s="27">
        <f>IF($A41="",0,IF(Mitarbeiter!$G$39=FALSE,0,IF(AND(Mitarbeiter!$E$39&lt;&gt;"",BU$5+6&lt;Mitarbeiter!$E$39),0,IF(AND(Mitarbeiter!$F$39&lt;&gt;"",BU$5&gt;Mitarbeiter!$F$39),0,IF(Planung!BU41="",$C41,IF(ISNUMBER(Planung!BU41),Planung!BU41,IF(UPPER(Planung!BU41)="H",$C41/2,0)))))))</f>
        <v>0</v>
      </c>
      <c r="BV41" s="27">
        <f>IF($A41="",0,IF(Mitarbeiter!$G$39=FALSE,0,IF(AND(Mitarbeiter!$E$39&lt;&gt;"",BV$5+6&lt;Mitarbeiter!$E$39),0,IF(AND(Mitarbeiter!$F$39&lt;&gt;"",BV$5&gt;Mitarbeiter!$F$39),0,IF(Planung!BV41="",$C41,IF(ISNUMBER(Planung!BV41),Planung!BV41,IF(UPPER(Planung!BV41)="H",$C41/2,0)))))))</f>
        <v>0</v>
      </c>
      <c r="BW41" s="27">
        <f>IF($A41="",0,IF(Mitarbeiter!$G$39=FALSE,0,IF(AND(Mitarbeiter!$E$39&lt;&gt;"",BW$5+6&lt;Mitarbeiter!$E$39),0,IF(AND(Mitarbeiter!$F$39&lt;&gt;"",BW$5&gt;Mitarbeiter!$F$39),0,IF(Planung!BW41="",$C41,IF(ISNUMBER(Planung!BW41),Planung!BW41,IF(UPPER(Planung!BW41)="H",$C41/2,0)))))))</f>
        <v>0</v>
      </c>
      <c r="BX41" s="27">
        <f>IF($A41="",0,IF(Mitarbeiter!$G$39=FALSE,0,IF(AND(Mitarbeiter!$E$39&lt;&gt;"",BX$5+6&lt;Mitarbeiter!$E$39),0,IF(AND(Mitarbeiter!$F$39&lt;&gt;"",BX$5&gt;Mitarbeiter!$F$39),0,IF(Planung!BX41="",$C41,IF(ISNUMBER(Planung!BX41),Planung!BX41,IF(UPPER(Planung!BX41)="H",$C41/2,0)))))))</f>
        <v>0</v>
      </c>
      <c r="BY41" s="27">
        <f>IF($A41="",0,IF(Mitarbeiter!$G$39=FALSE,0,IF(AND(Mitarbeiter!$E$39&lt;&gt;"",BY$5+6&lt;Mitarbeiter!$E$39),0,IF(AND(Mitarbeiter!$F$39&lt;&gt;"",BY$5&gt;Mitarbeiter!$F$39),0,IF(Planung!BY41="",$C41,IF(ISNUMBER(Planung!BY41),Planung!BY41,IF(UPPER(Planung!BY41)="H",$C41/2,0)))))))</f>
        <v>0</v>
      </c>
      <c r="BZ41" s="27">
        <f>IF($A41="",0,IF(Mitarbeiter!$G$39=FALSE,0,IF(AND(Mitarbeiter!$E$39&lt;&gt;"",BZ$5+6&lt;Mitarbeiter!$E$39),0,IF(AND(Mitarbeiter!$F$39&lt;&gt;"",BZ$5&gt;Mitarbeiter!$F$39),0,IF(Planung!BZ41="",$C41,IF(ISNUMBER(Planung!BZ41),Planung!BZ41,IF(UPPER(Planung!BZ41)="H",$C41/2,0)))))))</f>
        <v>0</v>
      </c>
      <c r="CA41" s="27">
        <f>IF($A41="",0,IF(Mitarbeiter!$G$39=FALSE,0,IF(AND(Mitarbeiter!$E$39&lt;&gt;"",CA$5+6&lt;Mitarbeiter!$E$39),0,IF(AND(Mitarbeiter!$F$39&lt;&gt;"",CA$5&gt;Mitarbeiter!$F$39),0,IF(Planung!CA41="",$C41,IF(ISNUMBER(Planung!CA41),Planung!CA41,IF(UPPER(Planung!CA41)="H",$C41/2,0)))))))</f>
        <v>0</v>
      </c>
      <c r="CB41" s="27">
        <f>IF($A41="",0,IF(Mitarbeiter!$G$39=FALSE,0,IF(AND(Mitarbeiter!$E$39&lt;&gt;"",CB$5+6&lt;Mitarbeiter!$E$39),0,IF(AND(Mitarbeiter!$F$39&lt;&gt;"",CB$5&gt;Mitarbeiter!$F$39),0,IF(Planung!CB41="",$C41,IF(ISNUMBER(Planung!CB41),Planung!CB41,IF(UPPER(Planung!CB41)="H",$C41/2,0)))))))</f>
        <v>0</v>
      </c>
      <c r="CC41" s="27">
        <f>IF($A41="",0,IF(Mitarbeiter!$G$39=FALSE,0,IF(AND(Mitarbeiter!$E$39&lt;&gt;"",CC$5+6&lt;Mitarbeiter!$E$39),0,IF(AND(Mitarbeiter!$F$39&lt;&gt;"",CC$5&gt;Mitarbeiter!$F$39),0,IF(Planung!CC41="",$C41,IF(ISNUMBER(Planung!CC41),Planung!CC41,IF(UPPER(Planung!CC41)="H",$C41/2,0)))))))</f>
        <v>0</v>
      </c>
      <c r="CD41" s="27">
        <f>IF($A41="",0,IF(Mitarbeiter!$G$39=FALSE,0,IF(AND(Mitarbeiter!$E$39&lt;&gt;"",CD$5+6&lt;Mitarbeiter!$E$39),0,IF(AND(Mitarbeiter!$F$39&lt;&gt;"",CD$5&gt;Mitarbeiter!$F$39),0,IF(Planung!CD41="",$C41,IF(ISNUMBER(Planung!CD41),Planung!CD41,IF(UPPER(Planung!CD41)="H",$C41/2,0)))))))</f>
        <v>0</v>
      </c>
      <c r="CE41" s="27">
        <f>IF($A41="",0,IF(Mitarbeiter!$G$39=FALSE,0,IF(AND(Mitarbeiter!$E$39&lt;&gt;"",CE$5+6&lt;Mitarbeiter!$E$39),0,IF(AND(Mitarbeiter!$F$39&lt;&gt;"",CE$5&gt;Mitarbeiter!$F$39),0,IF(Planung!CE41="",$C41,IF(ISNUMBER(Planung!CE41),Planung!CE41,IF(UPPER(Planung!CE41)="H",$C41/2,0)))))))</f>
        <v>0</v>
      </c>
      <c r="CF41" s="27">
        <f>IF($A41="",0,IF(Mitarbeiter!$G$39=FALSE,0,IF(AND(Mitarbeiter!$E$39&lt;&gt;"",CF$5+6&lt;Mitarbeiter!$E$39),0,IF(AND(Mitarbeiter!$F$39&lt;&gt;"",CF$5&gt;Mitarbeiter!$F$39),0,IF(Planung!CF41="",$C41,IF(ISNUMBER(Planung!CF41),Planung!CF41,IF(UPPER(Planung!CF41)="H",$C41/2,0)))))))</f>
        <v>0</v>
      </c>
      <c r="CG41" s="27">
        <f>IF($A41="",0,IF(Mitarbeiter!$G$39=FALSE,0,IF(AND(Mitarbeiter!$E$39&lt;&gt;"",CG$5+6&lt;Mitarbeiter!$E$39),0,IF(AND(Mitarbeiter!$F$39&lt;&gt;"",CG$5&gt;Mitarbeiter!$F$39),0,IF(Planung!CG41="",$C41,IF(ISNUMBER(Planung!CG41),Planung!CG41,IF(UPPER(Planung!CG41)="H",$C41/2,0)))))))</f>
        <v>0</v>
      </c>
      <c r="CH41" s="27">
        <f>IF($A41="",0,IF(Mitarbeiter!$G$39=FALSE,0,IF(AND(Mitarbeiter!$E$39&lt;&gt;"",CH$5+6&lt;Mitarbeiter!$E$39),0,IF(AND(Mitarbeiter!$F$39&lt;&gt;"",CH$5&gt;Mitarbeiter!$F$39),0,IF(Planung!CH41="",$C41,IF(ISNUMBER(Planung!CH41),Planung!CH41,IF(UPPER(Planung!CH41)="H",$C41/2,0)))))))</f>
        <v>0</v>
      </c>
      <c r="CI41" s="27">
        <f>IF($A41="",0,IF(Mitarbeiter!$G$39=FALSE,0,IF(AND(Mitarbeiter!$E$39&lt;&gt;"",CI$5+6&lt;Mitarbeiter!$E$39),0,IF(AND(Mitarbeiter!$F$39&lt;&gt;"",CI$5&gt;Mitarbeiter!$F$39),0,IF(Planung!CI41="",$C41,IF(ISNUMBER(Planung!CI41),Planung!CI41,IF(UPPER(Planung!CI41)="H",$C41/2,0)))))))</f>
        <v>0</v>
      </c>
      <c r="CJ41" s="27">
        <f>IF($A41="",0,IF(Mitarbeiter!$G$39=FALSE,0,IF(AND(Mitarbeiter!$E$39&lt;&gt;"",CJ$5+6&lt;Mitarbeiter!$E$39),0,IF(AND(Mitarbeiter!$F$39&lt;&gt;"",CJ$5&gt;Mitarbeiter!$F$39),0,IF(Planung!CJ41="",$C41,IF(ISNUMBER(Planung!CJ41),Planung!CJ41,IF(UPPER(Planung!CJ41)="H",$C41/2,0)))))))</f>
        <v>0</v>
      </c>
      <c r="CK41" s="27">
        <f>IF($A41="",0,IF(Mitarbeiter!$G$39=FALSE,0,IF(AND(Mitarbeiter!$E$39&lt;&gt;"",CK$5+6&lt;Mitarbeiter!$E$39),0,IF(AND(Mitarbeiter!$F$39&lt;&gt;"",CK$5&gt;Mitarbeiter!$F$39),0,IF(Planung!CK41="",$C41,IF(ISNUMBER(Planung!CK41),Planung!CK41,IF(UPPER(Planung!CK41)="H",$C41/2,0)))))))</f>
        <v>0</v>
      </c>
      <c r="CL41" s="27">
        <f>IF($A41="",0,IF(Mitarbeiter!$G$39=FALSE,0,IF(AND(Mitarbeiter!$E$39&lt;&gt;"",CL$5+6&lt;Mitarbeiter!$E$39),0,IF(AND(Mitarbeiter!$F$39&lt;&gt;"",CL$5&gt;Mitarbeiter!$F$39),0,IF(Planung!CL41="",$C41,IF(ISNUMBER(Planung!CL41),Planung!CL41,IF(UPPER(Planung!CL41)="H",$C41/2,0)))))))</f>
        <v>0</v>
      </c>
      <c r="CM41" s="27">
        <f>IF($A41="",0,IF(Mitarbeiter!$G$39=FALSE,0,IF(AND(Mitarbeiter!$E$39&lt;&gt;"",CM$5+6&lt;Mitarbeiter!$E$39),0,IF(AND(Mitarbeiter!$F$39&lt;&gt;"",CM$5&gt;Mitarbeiter!$F$39),0,IF(Planung!CM41="",$C41,IF(ISNUMBER(Planung!CM41),Planung!CM41,IF(UPPER(Planung!CM41)="H",$C41/2,0)))))))</f>
        <v>0</v>
      </c>
      <c r="CN41" s="27">
        <f>IF($A41="",0,IF(Mitarbeiter!$G$39=FALSE,0,IF(AND(Mitarbeiter!$E$39&lt;&gt;"",CN$5+6&lt;Mitarbeiter!$E$39),0,IF(AND(Mitarbeiter!$F$39&lt;&gt;"",CN$5&gt;Mitarbeiter!$F$39),0,IF(Planung!CN41="",$C41,IF(ISNUMBER(Planung!CN41),Planung!CN41,IF(UPPER(Planung!CN41)="H",$C41/2,0)))))))</f>
        <v>0</v>
      </c>
      <c r="CO41" s="27">
        <f>IF($A41="",0,IF(Mitarbeiter!$G$39=FALSE,0,IF(AND(Mitarbeiter!$E$39&lt;&gt;"",CO$5+6&lt;Mitarbeiter!$E$39),0,IF(AND(Mitarbeiter!$F$39&lt;&gt;"",CO$5&gt;Mitarbeiter!$F$39),0,IF(Planung!CO41="",$C41,IF(ISNUMBER(Planung!CO41),Planung!CO41,IF(UPPER(Planung!CO41)="H",$C41/2,0)))))))</f>
        <v>0</v>
      </c>
      <c r="CP41" s="27">
        <f>IF($A41="",0,IF(Mitarbeiter!$G$39=FALSE,0,IF(AND(Mitarbeiter!$E$39&lt;&gt;"",CP$5+6&lt;Mitarbeiter!$E$39),0,IF(AND(Mitarbeiter!$F$39&lt;&gt;"",CP$5&gt;Mitarbeiter!$F$39),0,IF(Planung!CP41="",$C41,IF(ISNUMBER(Planung!CP41),Planung!CP41,IF(UPPER(Planung!CP41)="H",$C41/2,0)))))))</f>
        <v>0</v>
      </c>
      <c r="CQ41" s="27">
        <f>IF($A41="",0,IF(Mitarbeiter!$G$39=FALSE,0,IF(AND(Mitarbeiter!$E$39&lt;&gt;"",CQ$5+6&lt;Mitarbeiter!$E$39),0,IF(AND(Mitarbeiter!$F$39&lt;&gt;"",CQ$5&gt;Mitarbeiter!$F$39),0,IF(Planung!CQ41="",$C41,IF(ISNUMBER(Planung!CQ41),Planung!CQ41,IF(UPPER(Planung!CQ41)="H",$C41/2,0)))))))</f>
        <v>0</v>
      </c>
      <c r="CR41" s="27">
        <f>IF($A41="",0,IF(Mitarbeiter!$G$39=FALSE,0,IF(AND(Mitarbeiter!$E$39&lt;&gt;"",CR$5+6&lt;Mitarbeiter!$E$39),0,IF(AND(Mitarbeiter!$F$39&lt;&gt;"",CR$5&gt;Mitarbeiter!$F$39),0,IF(Planung!CR41="",$C41,IF(ISNUMBER(Planung!CR41),Planung!CR41,IF(UPPER(Planung!CR41)="H",$C41/2,0)))))))</f>
        <v>0</v>
      </c>
      <c r="CS41" s="27">
        <f>IF($A41="",0,IF(Mitarbeiter!$G$39=FALSE,0,IF(AND(Mitarbeiter!$E$39&lt;&gt;"",CS$5+6&lt;Mitarbeiter!$E$39),0,IF(AND(Mitarbeiter!$F$39&lt;&gt;"",CS$5&gt;Mitarbeiter!$F$39),0,IF(Planung!CS41="",$C41,IF(ISNUMBER(Planung!CS41),Planung!CS41,IF(UPPER(Planung!CS41)="H",$C41/2,0)))))))</f>
        <v>0</v>
      </c>
      <c r="CT41" s="27">
        <f>IF($A41="",0,IF(Mitarbeiter!$G$39=FALSE,0,IF(AND(Mitarbeiter!$E$39&lt;&gt;"",CT$5+6&lt;Mitarbeiter!$E$39),0,IF(AND(Mitarbeiter!$F$39&lt;&gt;"",CT$5&gt;Mitarbeiter!$F$39),0,IF(Planung!CT41="",$C41,IF(ISNUMBER(Planung!CT41),Planung!CT41,IF(UPPER(Planung!CT41)="H",$C41/2,0)))))))</f>
        <v>0</v>
      </c>
      <c r="CU41" s="27">
        <f>IF($A41="",0,IF(Mitarbeiter!$G$39=FALSE,0,IF(AND(Mitarbeiter!$E$39&lt;&gt;"",CU$5+6&lt;Mitarbeiter!$E$39),0,IF(AND(Mitarbeiter!$F$39&lt;&gt;"",CU$5&gt;Mitarbeiter!$F$39),0,IF(Planung!CU41="",$C41,IF(ISNUMBER(Planung!CU41),Planung!CU41,IF(UPPER(Planung!CU41)="H",$C41/2,0)))))))</f>
        <v>0</v>
      </c>
      <c r="CV41" s="27">
        <f>IF($A41="",0,IF(Mitarbeiter!$G$39=FALSE,0,IF(AND(Mitarbeiter!$E$39&lt;&gt;"",CV$5+6&lt;Mitarbeiter!$E$39),0,IF(AND(Mitarbeiter!$F$39&lt;&gt;"",CV$5&gt;Mitarbeiter!$F$39),0,IF(Planung!CV41="",$C41,IF(ISNUMBER(Planung!CV41),Planung!CV41,IF(UPPER(Planung!CV41)="H",$C41/2,0)))))))</f>
        <v>0</v>
      </c>
      <c r="CW41" s="27">
        <f>IF($A41="",0,IF(Mitarbeiter!$G$39=FALSE,0,IF(AND(Mitarbeiter!$E$39&lt;&gt;"",CW$5+6&lt;Mitarbeiter!$E$39),0,IF(AND(Mitarbeiter!$F$39&lt;&gt;"",CW$5&gt;Mitarbeiter!$F$39),0,IF(Planung!CW41="",$C41,IF(ISNUMBER(Planung!CW41),Planung!CW41,IF(UPPER(Planung!CW41)="H",$C41/2,0)))))))</f>
        <v>0</v>
      </c>
      <c r="CX41" s="27">
        <f>IF($A41="",0,IF(Mitarbeiter!$G$39=FALSE,0,IF(AND(Mitarbeiter!$E$39&lt;&gt;"",CX$5+6&lt;Mitarbeiter!$E$39),0,IF(AND(Mitarbeiter!$F$39&lt;&gt;"",CX$5&gt;Mitarbeiter!$F$39),0,IF(Planung!CX41="",$C41,IF(ISNUMBER(Planung!CX41),Planung!CX41,IF(UPPER(Planung!CX41)="H",$C41/2,0)))))))</f>
        <v>0</v>
      </c>
      <c r="CY41" s="27">
        <f>IF($A41="",0,IF(Mitarbeiter!$G$39=FALSE,0,IF(AND(Mitarbeiter!$E$39&lt;&gt;"",CY$5+6&lt;Mitarbeiter!$E$39),0,IF(AND(Mitarbeiter!$F$39&lt;&gt;"",CY$5&gt;Mitarbeiter!$F$39),0,IF(Planung!CY41="",$C41,IF(ISNUMBER(Planung!CY41),Planung!CY41,IF(UPPER(Planung!CY41)="H",$C41/2,0)))))))</f>
        <v>0</v>
      </c>
      <c r="CZ41" s="27">
        <f>IF($A41="",0,IF(Mitarbeiter!$G$39=FALSE,0,IF(AND(Mitarbeiter!$E$39&lt;&gt;"",CZ$5+6&lt;Mitarbeiter!$E$39),0,IF(AND(Mitarbeiter!$F$39&lt;&gt;"",CZ$5&gt;Mitarbeiter!$F$39),0,IF(Planung!CZ41="",$C41,IF(ISNUMBER(Planung!CZ41),Planung!CZ41,IF(UPPER(Planung!CZ41)="H",$C41/2,0)))))))</f>
        <v>0</v>
      </c>
      <c r="DA41" s="27">
        <f>IF($A41="",0,IF(Mitarbeiter!$G$39=FALSE,0,IF(AND(Mitarbeiter!$E$39&lt;&gt;"",DA$5+6&lt;Mitarbeiter!$E$39),0,IF(AND(Mitarbeiter!$F$39&lt;&gt;"",DA$5&gt;Mitarbeiter!$F$39),0,IF(Planung!DA41="",$C41,IF(ISNUMBER(Planung!DA41),Planung!DA41,IF(UPPER(Planung!DA41)="H",$C41/2,0)))))))</f>
        <v>0</v>
      </c>
      <c r="DB41" s="27">
        <f>IF($A41="",0,IF(Mitarbeiter!$G$39=FALSE,0,IF(AND(Mitarbeiter!$E$39&lt;&gt;"",DB$5+6&lt;Mitarbeiter!$E$39),0,IF(AND(Mitarbeiter!$F$39&lt;&gt;"",DB$5&gt;Mitarbeiter!$F$39),0,IF(Planung!DB41="",$C41,IF(ISNUMBER(Planung!DB41),Planung!DB41,IF(UPPER(Planung!DB41)="H",$C41/2,0)))))))</f>
        <v>0</v>
      </c>
      <c r="DC41" s="27">
        <f>IF($A41="",0,IF(Mitarbeiter!$G$39=FALSE,0,IF(AND(Mitarbeiter!$E$39&lt;&gt;"",DC$5+6&lt;Mitarbeiter!$E$39),0,IF(AND(Mitarbeiter!$F$39&lt;&gt;"",DC$5&gt;Mitarbeiter!$F$39),0,IF(Planung!DC41="",$C41,IF(ISNUMBER(Planung!DC41),Planung!DC41,IF(UPPER(Planung!DC41)="H",$C41/2,0)))))))</f>
        <v>0</v>
      </c>
      <c r="DD41" s="27">
        <f>IF($A41="",0,IF(Mitarbeiter!$G$39=FALSE,0,IF(AND(Mitarbeiter!$E$39&lt;&gt;"",DD$5+6&lt;Mitarbeiter!$E$39),0,IF(AND(Mitarbeiter!$F$39&lt;&gt;"",DD$5&gt;Mitarbeiter!$F$39),0,IF(Planung!DD41="",$C41,IF(ISNUMBER(Planung!DD41),Planung!DD41,IF(UPPER(Planung!DD41)="H",$C41/2,0)))))))</f>
        <v>0</v>
      </c>
      <c r="DE41" s="27">
        <f>IF($A41="",0,IF(Mitarbeiter!$G$39=FALSE,0,IF(AND(Mitarbeiter!$E$39&lt;&gt;"",DE$5+6&lt;Mitarbeiter!$E$39),0,IF(AND(Mitarbeiter!$F$39&lt;&gt;"",DE$5&gt;Mitarbeiter!$F$39),0,IF(Planung!DE41="",$C41,IF(ISNUMBER(Planung!DE41),Planung!DE41,IF(UPPER(Planung!DE41)="H",$C41/2,0)))))))</f>
        <v>0</v>
      </c>
      <c r="DF41" s="27">
        <f>IF($A41="",0,IF(Mitarbeiter!$G$39=FALSE,0,IF(AND(Mitarbeiter!$E$39&lt;&gt;"",DF$5+6&lt;Mitarbeiter!$E$39),0,IF(AND(Mitarbeiter!$F$39&lt;&gt;"",DF$5&gt;Mitarbeiter!$F$39),0,IF(Planung!DF41="",$C41,IF(ISNUMBER(Planung!DF41),Planung!DF41,IF(UPPER(Planung!DF41)="H",$C41/2,0)))))))</f>
        <v>0</v>
      </c>
      <c r="DG41" s="27">
        <f>IF($A41="",0,IF(Mitarbeiter!$G$39=FALSE,0,IF(AND(Mitarbeiter!$E$39&lt;&gt;"",DG$5+6&lt;Mitarbeiter!$E$39),0,IF(AND(Mitarbeiter!$F$39&lt;&gt;"",DG$5&gt;Mitarbeiter!$F$39),0,IF(Planung!DG41="",$C41,IF(ISNUMBER(Planung!DG41),Planung!DG41,IF(UPPER(Planung!DG41)="H",$C41/2,0)))))))</f>
        <v>0</v>
      </c>
      <c r="DH41" s="27">
        <f>IF($A41="",0,IF(Mitarbeiter!$G$39=FALSE,0,IF(AND(Mitarbeiter!$E$39&lt;&gt;"",DH$5+6&lt;Mitarbeiter!$E$39),0,IF(AND(Mitarbeiter!$F$39&lt;&gt;"",DH$5&gt;Mitarbeiter!$F$39),0,IF(Planung!DH41="",$C41,IF(ISNUMBER(Planung!DH41),Planung!DH41,IF(UPPER(Planung!DH41)="H",$C41/2,0)))))))</f>
        <v>0</v>
      </c>
      <c r="DI41" s="27">
        <f>IF($A41="",0,IF(Mitarbeiter!$G$39=FALSE,0,IF(AND(Mitarbeiter!$E$39&lt;&gt;"",DI$5+6&lt;Mitarbeiter!$E$39),0,IF(AND(Mitarbeiter!$F$39&lt;&gt;"",DI$5&gt;Mitarbeiter!$F$39),0,IF(Planung!DI41="",$C41,IF(ISNUMBER(Planung!DI41),Planung!DI41,IF(UPPER(Planung!DI41)="H",$C41/2,0)))))))</f>
        <v>0</v>
      </c>
      <c r="DJ41" s="27">
        <f>IF($A41="",0,IF(Mitarbeiter!$G$39=FALSE,0,IF(AND(Mitarbeiter!$E$39&lt;&gt;"",DJ$5+6&lt;Mitarbeiter!$E$39),0,IF(AND(Mitarbeiter!$F$39&lt;&gt;"",DJ$5&gt;Mitarbeiter!$F$39),0,IF(Planung!DJ41="",$C41,IF(ISNUMBER(Planung!DJ41),Planung!DJ41,IF(UPPER(Planung!DJ41)="H",$C41/2,0)))))))</f>
        <v>0</v>
      </c>
      <c r="DK41" s="27">
        <f>IF($A41="",0,IF(Mitarbeiter!$G$39=FALSE,0,IF(AND(Mitarbeiter!$E$39&lt;&gt;"",DK$5+6&lt;Mitarbeiter!$E$39),0,IF(AND(Mitarbeiter!$F$39&lt;&gt;"",DK$5&gt;Mitarbeiter!$F$39),0,IF(Planung!DK41="",$C41,IF(ISNUMBER(Planung!DK41),Planung!DK41,IF(UPPER(Planung!DK41)="H",$C41/2,0)))))))</f>
        <v>0</v>
      </c>
      <c r="DL41" s="27">
        <f>IF($A41="",0,IF(Mitarbeiter!$G$39=FALSE,0,IF(AND(Mitarbeiter!$E$39&lt;&gt;"",DL$5+6&lt;Mitarbeiter!$E$39),0,IF(AND(Mitarbeiter!$F$39&lt;&gt;"",DL$5&gt;Mitarbeiter!$F$39),0,IF(Planung!DL41="",$C41,IF(ISNUMBER(Planung!DL41),Planung!DL41,IF(UPPER(Planung!DL41)="H",$C41/2,0)))))))</f>
        <v>0</v>
      </c>
      <c r="DM41" s="27">
        <f>IF($A41="",0,IF(Mitarbeiter!$G$39=FALSE,0,IF(AND(Mitarbeiter!$E$39&lt;&gt;"",DM$5+6&lt;Mitarbeiter!$E$39),0,IF(AND(Mitarbeiter!$F$39&lt;&gt;"",DM$5&gt;Mitarbeiter!$F$39),0,IF(Planung!DM41="",$C41,IF(ISNUMBER(Planung!DM41),Planung!DM41,IF(UPPER(Planung!DM41)="H",$C41/2,0)))))))</f>
        <v>0</v>
      </c>
      <c r="DN41" s="27">
        <f>IF($A41="",0,IF(Mitarbeiter!$G$39=FALSE,0,IF(AND(Mitarbeiter!$E$39&lt;&gt;"",DN$5+6&lt;Mitarbeiter!$E$39),0,IF(AND(Mitarbeiter!$F$39&lt;&gt;"",DN$5&gt;Mitarbeiter!$F$39),0,IF(Planung!DN41="",$C41,IF(ISNUMBER(Planung!DN41),Planung!DN41,IF(UPPER(Planung!DN41)="H",$C41/2,0)))))))</f>
        <v>0</v>
      </c>
      <c r="DO41" s="27">
        <f>IF($A41="",0,IF(Mitarbeiter!$G$39=FALSE,0,IF(AND(Mitarbeiter!$E$39&lt;&gt;"",DO$5+6&lt;Mitarbeiter!$E$39),0,IF(AND(Mitarbeiter!$F$39&lt;&gt;"",DO$5&gt;Mitarbeiter!$F$39),0,IF(Planung!DO41="",$C41,IF(ISNUMBER(Planung!DO41),Planung!DO41,IF(UPPER(Planung!DO41)="H",$C41/2,0)))))))</f>
        <v>0</v>
      </c>
      <c r="DP41" s="27">
        <f>IF($A41="",0,IF(Mitarbeiter!$G$39=FALSE,0,IF(AND(Mitarbeiter!$E$39&lt;&gt;"",DP$5+6&lt;Mitarbeiter!$E$39),0,IF(AND(Mitarbeiter!$F$39&lt;&gt;"",DP$5&gt;Mitarbeiter!$F$39),0,IF(Planung!DP41="",$C41,IF(ISNUMBER(Planung!DP41),Planung!DP41,IF(UPPER(Planung!DP41)="H",$C41/2,0)))))))</f>
        <v>0</v>
      </c>
      <c r="DQ41" s="27">
        <f>IF($A41="",0,IF(Mitarbeiter!$G$39=FALSE,0,IF(AND(Mitarbeiter!$E$39&lt;&gt;"",DQ$5+6&lt;Mitarbeiter!$E$39),0,IF(AND(Mitarbeiter!$F$39&lt;&gt;"",DQ$5&gt;Mitarbeiter!$F$39),0,IF(Planung!DQ41="",$C41,IF(ISNUMBER(Planung!DQ41),Planung!DQ41,IF(UPPER(Planung!DQ41)="H",$C41/2,0)))))))</f>
        <v>0</v>
      </c>
      <c r="DR41" s="27">
        <f>IF($A41="",0,IF(Mitarbeiter!$G$39=FALSE,0,IF(AND(Mitarbeiter!$E$39&lt;&gt;"",DR$5+6&lt;Mitarbeiter!$E$39),0,IF(AND(Mitarbeiter!$F$39&lt;&gt;"",DR$5&gt;Mitarbeiter!$F$39),0,IF(Planung!DR41="",$C41,IF(ISNUMBER(Planung!DR41),Planung!DR41,IF(UPPER(Planung!DR41)="H",$C41/2,0)))))))</f>
        <v>0</v>
      </c>
      <c r="DS41" s="27">
        <f>IF($A41="",0,IF(Mitarbeiter!$G$39=FALSE,0,IF(AND(Mitarbeiter!$E$39&lt;&gt;"",DS$5+6&lt;Mitarbeiter!$E$39),0,IF(AND(Mitarbeiter!$F$39&lt;&gt;"",DS$5&gt;Mitarbeiter!$F$39),0,IF(Planung!DS41="",$C41,IF(ISNUMBER(Planung!DS41),Planung!DS41,IF(UPPER(Planung!DS41)="H",$C41/2,0)))))))</f>
        <v>0</v>
      </c>
      <c r="DT41" s="27">
        <f>IF($A41="",0,IF(Mitarbeiter!$G$39=FALSE,0,IF(AND(Mitarbeiter!$E$39&lt;&gt;"",DT$5+6&lt;Mitarbeiter!$E$39),0,IF(AND(Mitarbeiter!$F$39&lt;&gt;"",DT$5&gt;Mitarbeiter!$F$39),0,IF(Planung!DT41="",$C41,IF(ISNUMBER(Planung!DT41),Planung!DT41,IF(UPPER(Planung!DT41)="H",$C41/2,0)))))))</f>
        <v>0</v>
      </c>
      <c r="DU41" s="27">
        <f>IF($A41="",0,IF(Mitarbeiter!$G$39=FALSE,0,IF(AND(Mitarbeiter!$E$39&lt;&gt;"",DU$5+6&lt;Mitarbeiter!$E$39),0,IF(AND(Mitarbeiter!$F$39&lt;&gt;"",DU$5&gt;Mitarbeiter!$F$39),0,IF(Planung!DU41="",$C41,IF(ISNUMBER(Planung!DU41),Planung!DU41,IF(UPPER(Planung!DU41)="H",$C41/2,0)))))))</f>
        <v>0</v>
      </c>
      <c r="DV41" s="27">
        <f>IF($A41="",0,IF(Mitarbeiter!$G$39=FALSE,0,IF(AND(Mitarbeiter!$E$39&lt;&gt;"",DV$5+6&lt;Mitarbeiter!$E$39),0,IF(AND(Mitarbeiter!$F$39&lt;&gt;"",DV$5&gt;Mitarbeiter!$F$39),0,IF(Planung!DV41="",$C41,IF(ISNUMBER(Planung!DV41),Planung!DV41,IF(UPPER(Planung!DV41)="H",$C41/2,0)))))))</f>
        <v>0</v>
      </c>
      <c r="DW41" s="27">
        <f>IF($A41="",0,IF(Mitarbeiter!$G$39=FALSE,0,IF(AND(Mitarbeiter!$E$39&lt;&gt;"",DW$5+6&lt;Mitarbeiter!$E$39),0,IF(AND(Mitarbeiter!$F$39&lt;&gt;"",DW$5&gt;Mitarbeiter!$F$39),0,IF(Planung!DW41="",$C41,IF(ISNUMBER(Planung!DW41),Planung!DW41,IF(UPPER(Planung!DW41)="H",$C41/2,0)))))))</f>
        <v>0</v>
      </c>
      <c r="DX41" s="27">
        <f>IF($A41="",0,IF(Mitarbeiter!$G$39=FALSE,0,IF(AND(Mitarbeiter!$E$39&lt;&gt;"",DX$5+6&lt;Mitarbeiter!$E$39),0,IF(AND(Mitarbeiter!$F$39&lt;&gt;"",DX$5&gt;Mitarbeiter!$F$39),0,IF(Planung!DX41="",$C41,IF(ISNUMBER(Planung!DX41),Planung!DX41,IF(UPPER(Planung!DX41)="H",$C41/2,0)))))))</f>
        <v>0</v>
      </c>
      <c r="DY41" s="27">
        <f>IF($A41="",0,IF(Mitarbeiter!$G$39=FALSE,0,IF(AND(Mitarbeiter!$E$39&lt;&gt;"",DY$5+6&lt;Mitarbeiter!$E$39),0,IF(AND(Mitarbeiter!$F$39&lt;&gt;"",DY$5&gt;Mitarbeiter!$F$39),0,IF(Planung!DY41="",$C41,IF(ISNUMBER(Planung!DY41),Planung!DY41,IF(UPPER(Planung!DY41)="H",$C41/2,0)))))))</f>
        <v>0</v>
      </c>
      <c r="DZ41" s="27">
        <f>IF($A41="",0,IF(Mitarbeiter!$G$39=FALSE,0,IF(AND(Mitarbeiter!$E$39&lt;&gt;"",DZ$5+6&lt;Mitarbeiter!$E$39),0,IF(AND(Mitarbeiter!$F$39&lt;&gt;"",DZ$5&gt;Mitarbeiter!$F$39),0,IF(Planung!DZ41="",$C41,IF(ISNUMBER(Planung!DZ41),Planung!DZ41,IF(UPPER(Planung!DZ41)="H",$C41/2,0)))))))</f>
        <v>0</v>
      </c>
      <c r="EA41" s="27">
        <f>IF($A41="",0,IF(Mitarbeiter!$G$39=FALSE,0,IF(AND(Mitarbeiter!$E$39&lt;&gt;"",EA$5+6&lt;Mitarbeiter!$E$39),0,IF(AND(Mitarbeiter!$F$39&lt;&gt;"",EA$5&gt;Mitarbeiter!$F$39),0,IF(Planung!EA41="",$C41,IF(ISNUMBER(Planung!EA41),Planung!EA41,IF(UPPER(Planung!EA41)="H",$C41/2,0)))))))</f>
        <v>0</v>
      </c>
      <c r="EB41" s="27">
        <f>IF($A41="",0,IF(Mitarbeiter!$G$39=FALSE,0,IF(AND(Mitarbeiter!$E$39&lt;&gt;"",EB$5+6&lt;Mitarbeiter!$E$39),0,IF(AND(Mitarbeiter!$F$39&lt;&gt;"",EB$5&gt;Mitarbeiter!$F$39),0,IF(Planung!EB41="",$C41,IF(ISNUMBER(Planung!EB41),Planung!EB41,IF(UPPER(Planung!EB41)="H",$C41/2,0)))))))</f>
        <v>0</v>
      </c>
      <c r="EC41" s="27">
        <f>IF($A41="",0,IF(Mitarbeiter!$G$39=FALSE,0,IF(AND(Mitarbeiter!$E$39&lt;&gt;"",EC$5+6&lt;Mitarbeiter!$E$39),0,IF(AND(Mitarbeiter!$F$39&lt;&gt;"",EC$5&gt;Mitarbeiter!$F$39),0,IF(Planung!EC41="",$C41,IF(ISNUMBER(Planung!EC41),Planung!EC41,IF(UPPER(Planung!EC41)="H",$C41/2,0)))))))</f>
        <v>0</v>
      </c>
      <c r="ED41" s="27">
        <f>IF($A41="",0,IF(Mitarbeiter!$G$39=FALSE,0,IF(AND(Mitarbeiter!$E$39&lt;&gt;"",ED$5+6&lt;Mitarbeiter!$E$39),0,IF(AND(Mitarbeiter!$F$39&lt;&gt;"",ED$5&gt;Mitarbeiter!$F$39),0,IF(Planung!ED41="",$C41,IF(ISNUMBER(Planung!ED41),Planung!ED41,IF(UPPER(Planung!ED41)="H",$C41/2,0)))))))</f>
        <v>0</v>
      </c>
      <c r="EE41" s="27">
        <f>IF($A41="",0,IF(Mitarbeiter!$G$39=FALSE,0,IF(AND(Mitarbeiter!$E$39&lt;&gt;"",EE$5+6&lt;Mitarbeiter!$E$39),0,IF(AND(Mitarbeiter!$F$39&lt;&gt;"",EE$5&gt;Mitarbeiter!$F$39),0,IF(Planung!EE41="",$C41,IF(ISNUMBER(Planung!EE41),Planung!EE41,IF(UPPER(Planung!EE41)="H",$C41/2,0)))))))</f>
        <v>0</v>
      </c>
      <c r="EF41" s="27">
        <f>IF($A41="",0,IF(Mitarbeiter!$G$39=FALSE,0,IF(AND(Mitarbeiter!$E$39&lt;&gt;"",EF$5+6&lt;Mitarbeiter!$E$39),0,IF(AND(Mitarbeiter!$F$39&lt;&gt;"",EF$5&gt;Mitarbeiter!$F$39),0,IF(Planung!EF41="",$C41,IF(ISNUMBER(Planung!EF41),Planung!EF41,IF(UPPER(Planung!EF41)="H",$C41/2,0)))))))</f>
        <v>0</v>
      </c>
      <c r="EG41" s="27">
        <f>IF($A41="",0,IF(Mitarbeiter!$G$39=FALSE,0,IF(AND(Mitarbeiter!$E$39&lt;&gt;"",EG$5+6&lt;Mitarbeiter!$E$39),0,IF(AND(Mitarbeiter!$F$39&lt;&gt;"",EG$5&gt;Mitarbeiter!$F$39),0,IF(Planung!EG41="",$C41,IF(ISNUMBER(Planung!EG41),Planung!EG41,IF(UPPER(Planung!EG41)="H",$C41/2,0)))))))</f>
        <v>0</v>
      </c>
      <c r="EH41" s="27">
        <f>IF($A41="",0,IF(Mitarbeiter!$G$39=FALSE,0,IF(AND(Mitarbeiter!$E$39&lt;&gt;"",EH$5+6&lt;Mitarbeiter!$E$39),0,IF(AND(Mitarbeiter!$F$39&lt;&gt;"",EH$5&gt;Mitarbeiter!$F$39),0,IF(Planung!EH41="",$C41,IF(ISNUMBER(Planung!EH41),Planung!EH41,IF(UPPER(Planung!EH41)="H",$C41/2,0)))))))</f>
        <v>0</v>
      </c>
      <c r="EI41" s="27">
        <f>IF($A41="",0,IF(Mitarbeiter!$G$39=FALSE,0,IF(AND(Mitarbeiter!$E$39&lt;&gt;"",EI$5+6&lt;Mitarbeiter!$E$39),0,IF(AND(Mitarbeiter!$F$39&lt;&gt;"",EI$5&gt;Mitarbeiter!$F$39),0,IF(Planung!EI41="",$C41,IF(ISNUMBER(Planung!EI41),Planung!EI41,IF(UPPER(Planung!EI41)="H",$C41/2,0)))))))</f>
        <v>0</v>
      </c>
      <c r="EJ41" s="27">
        <f>IF($A41="",0,IF(Mitarbeiter!$G$39=FALSE,0,IF(AND(Mitarbeiter!$E$39&lt;&gt;"",EJ$5+6&lt;Mitarbeiter!$E$39),0,IF(AND(Mitarbeiter!$F$39&lt;&gt;"",EJ$5&gt;Mitarbeiter!$F$39),0,IF(Planung!EJ41="",$C41,IF(ISNUMBER(Planung!EJ41),Planung!EJ41,IF(UPPER(Planung!EJ41)="H",$C41/2,0)))))))</f>
        <v>0</v>
      </c>
      <c r="EK41" s="27">
        <f>IF($A41="",0,IF(Mitarbeiter!$G$39=FALSE,0,IF(AND(Mitarbeiter!$E$39&lt;&gt;"",EK$5+6&lt;Mitarbeiter!$E$39),0,IF(AND(Mitarbeiter!$F$39&lt;&gt;"",EK$5&gt;Mitarbeiter!$F$39),0,IF(Planung!EK41="",$C41,IF(ISNUMBER(Planung!EK41),Planung!EK41,IF(UPPER(Planung!EK41)="H",$C41/2,0)))))))</f>
        <v>0</v>
      </c>
      <c r="EL41" s="27">
        <f>IF($A41="",0,IF(Mitarbeiter!$G$39=FALSE,0,IF(AND(Mitarbeiter!$E$39&lt;&gt;"",EL$5+6&lt;Mitarbeiter!$E$39),0,IF(AND(Mitarbeiter!$F$39&lt;&gt;"",EL$5&gt;Mitarbeiter!$F$39),0,IF(Planung!EL41="",$C41,IF(ISNUMBER(Planung!EL41),Planung!EL41,IF(UPPER(Planung!EL41)="H",$C41/2,0)))))))</f>
        <v>0</v>
      </c>
      <c r="EM41" s="27">
        <f>IF($A41="",0,IF(Mitarbeiter!$G$39=FALSE,0,IF(AND(Mitarbeiter!$E$39&lt;&gt;"",EM$5+6&lt;Mitarbeiter!$E$39),0,IF(AND(Mitarbeiter!$F$39&lt;&gt;"",EM$5&gt;Mitarbeiter!$F$39),0,IF(Planung!EM41="",$C41,IF(ISNUMBER(Planung!EM41),Planung!EM41,IF(UPPER(Planung!EM41)="H",$C41/2,0)))))))</f>
        <v>0</v>
      </c>
      <c r="EN41" s="27">
        <f>IF($A41="",0,IF(Mitarbeiter!$G$39=FALSE,0,IF(AND(Mitarbeiter!$E$39&lt;&gt;"",EN$5+6&lt;Mitarbeiter!$E$39),0,IF(AND(Mitarbeiter!$F$39&lt;&gt;"",EN$5&gt;Mitarbeiter!$F$39),0,IF(Planung!EN41="",$C41,IF(ISNUMBER(Planung!EN41),Planung!EN41,IF(UPPER(Planung!EN41)="H",$C41/2,0)))))))</f>
        <v>0</v>
      </c>
      <c r="EO41" s="27">
        <f>IF($A41="",0,IF(Mitarbeiter!$G$39=FALSE,0,IF(AND(Mitarbeiter!$E$39&lt;&gt;"",EO$5+6&lt;Mitarbeiter!$E$39),0,IF(AND(Mitarbeiter!$F$39&lt;&gt;"",EO$5&gt;Mitarbeiter!$F$39),0,IF(Planung!EO41="",$C41,IF(ISNUMBER(Planung!EO41),Planung!EO41,IF(UPPER(Planung!EO41)="H",$C41/2,0)))))))</f>
        <v>0</v>
      </c>
      <c r="EP41" s="27">
        <f>IF($A41="",0,IF(Mitarbeiter!$G$39=FALSE,0,IF(AND(Mitarbeiter!$E$39&lt;&gt;"",EP$5+6&lt;Mitarbeiter!$E$39),0,IF(AND(Mitarbeiter!$F$39&lt;&gt;"",EP$5&gt;Mitarbeiter!$F$39),0,IF(Planung!EP41="",$C41,IF(ISNUMBER(Planung!EP41),Planung!EP41,IF(UPPER(Planung!EP41)="H",$C41/2,0)))))))</f>
        <v>0</v>
      </c>
      <c r="EQ41" s="27">
        <f>IF($A41="",0,IF(Mitarbeiter!$G$39=FALSE,0,IF(AND(Mitarbeiter!$E$39&lt;&gt;"",EQ$5+6&lt;Mitarbeiter!$E$39),0,IF(AND(Mitarbeiter!$F$39&lt;&gt;"",EQ$5&gt;Mitarbeiter!$F$39),0,IF(Planung!EQ41="",$C41,IF(ISNUMBER(Planung!EQ41),Planung!EQ41,IF(UPPER(Planung!EQ41)="H",$C41/2,0)))))))</f>
        <v>0</v>
      </c>
      <c r="ER41" s="27">
        <f>IF($A41="",0,IF(Mitarbeiter!$G$39=FALSE,0,IF(AND(Mitarbeiter!$E$39&lt;&gt;"",ER$5+6&lt;Mitarbeiter!$E$39),0,IF(AND(Mitarbeiter!$F$39&lt;&gt;"",ER$5&gt;Mitarbeiter!$F$39),0,IF(Planung!ER41="",$C41,IF(ISNUMBER(Planung!ER41),Planung!ER41,IF(UPPER(Planung!ER41)="H",$C41/2,0)))))))</f>
        <v>0</v>
      </c>
      <c r="ES41" s="27">
        <f>IF($A41="",0,IF(Mitarbeiter!$G$39=FALSE,0,IF(AND(Mitarbeiter!$E$39&lt;&gt;"",ES$5+6&lt;Mitarbeiter!$E$39),0,IF(AND(Mitarbeiter!$F$39&lt;&gt;"",ES$5&gt;Mitarbeiter!$F$39),0,IF(Planung!ES41="",$C41,IF(ISNUMBER(Planung!ES41),Planung!ES41,IF(UPPER(Planung!ES41)="H",$C41/2,0)))))))</f>
        <v>0</v>
      </c>
      <c r="ET41" s="27">
        <f>IF($A41="",0,IF(Mitarbeiter!$G$39=FALSE,0,IF(AND(Mitarbeiter!$E$39&lt;&gt;"",ET$5+6&lt;Mitarbeiter!$E$39),0,IF(AND(Mitarbeiter!$F$39&lt;&gt;"",ET$5&gt;Mitarbeiter!$F$39),0,IF(Planung!ET41="",$C41,IF(ISNUMBER(Planung!ET41),Planung!ET41,IF(UPPER(Planung!ET41)="H",$C41/2,0)))))))</f>
        <v>0</v>
      </c>
      <c r="EU41" s="27">
        <f>IF($A41="",0,IF(Mitarbeiter!$G$39=FALSE,0,IF(AND(Mitarbeiter!$E$39&lt;&gt;"",EU$5+6&lt;Mitarbeiter!$E$39),0,IF(AND(Mitarbeiter!$F$39&lt;&gt;"",EU$5&gt;Mitarbeiter!$F$39),0,IF(Planung!EU41="",$C41,IF(ISNUMBER(Planung!EU41),Planung!EU41,IF(UPPER(Planung!EU41)="H",$C41/2,0)))))))</f>
        <v>0</v>
      </c>
      <c r="EV41" s="27">
        <f>IF($A41="",0,IF(Mitarbeiter!$G$39=FALSE,0,IF(AND(Mitarbeiter!$E$39&lt;&gt;"",EV$5+6&lt;Mitarbeiter!$E$39),0,IF(AND(Mitarbeiter!$F$39&lt;&gt;"",EV$5&gt;Mitarbeiter!$F$39),0,IF(Planung!EV41="",$C41,IF(ISNUMBER(Planung!EV41),Planung!EV41,IF(UPPER(Planung!EV41)="H",$C41/2,0)))))))</f>
        <v>0</v>
      </c>
      <c r="EW41" s="27">
        <f>IF($A41="",0,IF(Mitarbeiter!$G$39=FALSE,0,IF(AND(Mitarbeiter!$E$39&lt;&gt;"",EW$5+6&lt;Mitarbeiter!$E$39),0,IF(AND(Mitarbeiter!$F$39&lt;&gt;"",EW$5&gt;Mitarbeiter!$F$39),0,IF(Planung!EW41="",$C41,IF(ISNUMBER(Planung!EW41),Planung!EW41,IF(UPPER(Planung!EW41)="H",$C41/2,0)))))))</f>
        <v>0</v>
      </c>
      <c r="EX41" s="27">
        <f>IF($A41="",0,IF(Mitarbeiter!$G$39=FALSE,0,IF(AND(Mitarbeiter!$E$39&lt;&gt;"",EX$5+6&lt;Mitarbeiter!$E$39),0,IF(AND(Mitarbeiter!$F$39&lt;&gt;"",EX$5&gt;Mitarbeiter!$F$39),0,IF(Planung!EX41="",$C41,IF(ISNUMBER(Planung!EX41),Planung!EX41,IF(UPPER(Planung!EX41)="H",$C41/2,0)))))))</f>
        <v>0</v>
      </c>
      <c r="EY41" s="27">
        <f>IF($A41="",0,IF(Mitarbeiter!$G$39=FALSE,0,IF(AND(Mitarbeiter!$E$39&lt;&gt;"",EY$5+6&lt;Mitarbeiter!$E$39),0,IF(AND(Mitarbeiter!$F$39&lt;&gt;"",EY$5&gt;Mitarbeiter!$F$39),0,IF(Planung!EY41="",$C41,IF(ISNUMBER(Planung!EY41),Planung!EY41,IF(UPPER(Planung!EY41)="H",$C41/2,0)))))))</f>
        <v>0</v>
      </c>
      <c r="EZ41" s="27">
        <f>IF($A41="",0,IF(Mitarbeiter!$G$39=FALSE,0,IF(AND(Mitarbeiter!$E$39&lt;&gt;"",EZ$5+6&lt;Mitarbeiter!$E$39),0,IF(AND(Mitarbeiter!$F$39&lt;&gt;"",EZ$5&gt;Mitarbeiter!$F$39),0,IF(Planung!EZ41="",$C41,IF(ISNUMBER(Planung!EZ41),Planung!EZ41,IF(UPPER(Planung!EZ41)="H",$C41/2,0)))))))</f>
        <v>0</v>
      </c>
      <c r="FA41" s="27">
        <f>IF($A41="",0,IF(Mitarbeiter!$G$39=FALSE,0,IF(AND(Mitarbeiter!$E$39&lt;&gt;"",FA$5+6&lt;Mitarbeiter!$E$39),0,IF(AND(Mitarbeiter!$F$39&lt;&gt;"",FA$5&gt;Mitarbeiter!$F$39),0,IF(Planung!FA41="",$C41,IF(ISNUMBER(Planung!FA41),Planung!FA41,IF(UPPER(Planung!FA41)="H",$C41/2,0)))))))</f>
        <v>0</v>
      </c>
      <c r="FB41" s="27">
        <f>IF($A41="",0,IF(Mitarbeiter!$G$39=FALSE,0,IF(AND(Mitarbeiter!$E$39&lt;&gt;"",FB$5+6&lt;Mitarbeiter!$E$39),0,IF(AND(Mitarbeiter!$F$39&lt;&gt;"",FB$5&gt;Mitarbeiter!$F$39),0,IF(Planung!FB41="",$C41,IF(ISNUMBER(Planung!FB41),Planung!FB41,IF(UPPER(Planung!FB41)="H",$C41/2,0)))))))</f>
        <v>0</v>
      </c>
      <c r="FC41" s="27">
        <f>IF($A41="",0,IF(Mitarbeiter!$G$39=FALSE,0,IF(AND(Mitarbeiter!$E$39&lt;&gt;"",FC$5+6&lt;Mitarbeiter!$E$39),0,IF(AND(Mitarbeiter!$F$39&lt;&gt;"",FC$5&gt;Mitarbeiter!$F$39),0,IF(Planung!FC41="",$C41,IF(ISNUMBER(Planung!FC41),Planung!FC41,IF(UPPER(Planung!FC41)="H",$C41/2,0)))))))</f>
        <v>0</v>
      </c>
      <c r="FD41" s="27">
        <f>IF($A41="",0,IF(Mitarbeiter!$G$39=FALSE,0,IF(AND(Mitarbeiter!$E$39&lt;&gt;"",FD$5+6&lt;Mitarbeiter!$E$39),0,IF(AND(Mitarbeiter!$F$39&lt;&gt;"",FD$5&gt;Mitarbeiter!$F$39),0,IF(Planung!FD41="",$C41,IF(ISNUMBER(Planung!FD41),Planung!FD41,IF(UPPER(Planung!FD41)="H",$C41/2,0)))))))</f>
        <v>0</v>
      </c>
      <c r="FE41" s="27">
        <f>IF($A41="",0,IF(Mitarbeiter!$G$39=FALSE,0,IF(AND(Mitarbeiter!$E$39&lt;&gt;"",FE$5+6&lt;Mitarbeiter!$E$39),0,IF(AND(Mitarbeiter!$F$39&lt;&gt;"",FE$5&gt;Mitarbeiter!$F$39),0,IF(Planung!FE41="",$C41,IF(ISNUMBER(Planung!FE41),Planung!FE41,IF(UPPER(Planung!FE41)="H",$C41/2,0)))))))</f>
        <v>0</v>
      </c>
      <c r="FF41" s="27">
        <f>IF($A41="",0,IF(Mitarbeiter!$G$39=FALSE,0,IF(AND(Mitarbeiter!$E$39&lt;&gt;"",FF$5+6&lt;Mitarbeiter!$E$39),0,IF(AND(Mitarbeiter!$F$39&lt;&gt;"",FF$5&gt;Mitarbeiter!$F$39),0,IF(Planung!FF41="",$C41,IF(ISNUMBER(Planung!FF41),Planung!FF41,IF(UPPER(Planung!FF41)="H",$C41/2,0)))))))</f>
        <v>0</v>
      </c>
      <c r="FG41" s="27">
        <f>IF($A41="",0,IF(Mitarbeiter!$G$39=FALSE,0,IF(AND(Mitarbeiter!$E$39&lt;&gt;"",FG$5+6&lt;Mitarbeiter!$E$39),0,IF(AND(Mitarbeiter!$F$39&lt;&gt;"",FG$5&gt;Mitarbeiter!$F$39),0,IF(Planung!FG41="",$C41,IF(ISNUMBER(Planung!FG41),Planung!FG41,IF(UPPER(Planung!FG41)="H",$C41/2,0)))))))</f>
        <v>0</v>
      </c>
      <c r="FH41" s="27">
        <f>IF($A41="",0,IF(Mitarbeiter!$G$39=FALSE,0,IF(AND(Mitarbeiter!$E$39&lt;&gt;"",FH$5+6&lt;Mitarbeiter!$E$39),0,IF(AND(Mitarbeiter!$F$39&lt;&gt;"",FH$5&gt;Mitarbeiter!$F$39),0,IF(Planung!FH41="",$C41,IF(ISNUMBER(Planung!FH41),Planung!FH41,IF(UPPER(Planung!FH41)="H",$C41/2,0)))))))</f>
        <v>0</v>
      </c>
      <c r="FI41" s="27">
        <f>IF($A41="",0,IF(Mitarbeiter!$G$39=FALSE,0,IF(AND(Mitarbeiter!$E$39&lt;&gt;"",FI$5+6&lt;Mitarbeiter!$E$39),0,IF(AND(Mitarbeiter!$F$39&lt;&gt;"",FI$5&gt;Mitarbeiter!$F$39),0,IF(Planung!FI41="",$C41,IF(ISNUMBER(Planung!FI41),Planung!FI41,IF(UPPER(Planung!FI41)="H",$C41/2,0)))))))</f>
        <v>0</v>
      </c>
      <c r="FJ41" s="27">
        <f>IF($A41="",0,IF(Mitarbeiter!$G$39=FALSE,0,IF(AND(Mitarbeiter!$E$39&lt;&gt;"",FJ$5+6&lt;Mitarbeiter!$E$39),0,IF(AND(Mitarbeiter!$F$39&lt;&gt;"",FJ$5&gt;Mitarbeiter!$F$39),0,IF(Planung!FJ41="",$C41,IF(ISNUMBER(Planung!FJ41),Planung!FJ41,IF(UPPER(Planung!FJ41)="H",$C41/2,0)))))))</f>
        <v>0</v>
      </c>
      <c r="FK41" s="27">
        <f>IF($A41="",0,IF(Mitarbeiter!$G$39=FALSE,0,IF(AND(Mitarbeiter!$E$39&lt;&gt;"",FK$5+6&lt;Mitarbeiter!$E$39),0,IF(AND(Mitarbeiter!$F$39&lt;&gt;"",FK$5&gt;Mitarbeiter!$F$39),0,IF(Planung!FK41="",$C41,IF(ISNUMBER(Planung!FK41),Planung!FK41,IF(UPPER(Planung!FK41)="H",$C41/2,0)))))))</f>
        <v>0</v>
      </c>
      <c r="FL41" s="27">
        <f>IF($A41="",0,IF(Mitarbeiter!$G$39=FALSE,0,IF(AND(Mitarbeiter!$E$39&lt;&gt;"",FL$5+6&lt;Mitarbeiter!$E$39),0,IF(AND(Mitarbeiter!$F$39&lt;&gt;"",FL$5&gt;Mitarbeiter!$F$39),0,IF(Planung!FL41="",$C41,IF(ISNUMBER(Planung!FL41),Planung!FL41,IF(UPPER(Planung!FL41)="H",$C41/2,0)))))))</f>
        <v>0</v>
      </c>
      <c r="FM41" s="27">
        <f>IF($A41="",0,IF(Mitarbeiter!$G$39=FALSE,0,IF(AND(Mitarbeiter!$E$39&lt;&gt;"",FM$5+6&lt;Mitarbeiter!$E$39),0,IF(AND(Mitarbeiter!$F$39&lt;&gt;"",FM$5&gt;Mitarbeiter!$F$39),0,IF(Planung!FM41="",$C41,IF(ISNUMBER(Planung!FM41),Planung!FM41,IF(UPPER(Planung!FM41)="H",$C41/2,0)))))))</f>
        <v>0</v>
      </c>
      <c r="FN41" s="27">
        <f>IF($A41="",0,IF(Mitarbeiter!$G$39=FALSE,0,IF(AND(Mitarbeiter!$E$39&lt;&gt;"",FN$5+6&lt;Mitarbeiter!$E$39),0,IF(AND(Mitarbeiter!$F$39&lt;&gt;"",FN$5&gt;Mitarbeiter!$F$39),0,IF(Planung!FN41="",$C41,IF(ISNUMBER(Planung!FN41),Planung!FN41,IF(UPPER(Planung!FN41)="H",$C41/2,0)))))))</f>
        <v>0</v>
      </c>
      <c r="FO41" s="27">
        <f>IF($A41="",0,IF(Mitarbeiter!$G$39=FALSE,0,IF(AND(Mitarbeiter!$E$39&lt;&gt;"",FO$5+6&lt;Mitarbeiter!$E$39),0,IF(AND(Mitarbeiter!$F$39&lt;&gt;"",FO$5&gt;Mitarbeiter!$F$39),0,IF(Planung!FO41="",$C41,IF(ISNUMBER(Planung!FO41),Planung!FO41,IF(UPPER(Planung!FO41)="H",$C41/2,0)))))))</f>
        <v>0</v>
      </c>
      <c r="FP41" s="27">
        <f>IF($A41="",0,IF(Mitarbeiter!$G$39=FALSE,0,IF(AND(Mitarbeiter!$E$39&lt;&gt;"",FP$5+6&lt;Mitarbeiter!$E$39),0,IF(AND(Mitarbeiter!$F$39&lt;&gt;"",FP$5&gt;Mitarbeiter!$F$39),0,IF(Planung!FP41="",$C41,IF(ISNUMBER(Planung!FP41),Planung!FP41,IF(UPPER(Planung!FP41)="H",$C41/2,0)))))))</f>
        <v>0</v>
      </c>
      <c r="FQ41" s="27">
        <f>IF($A41="",0,IF(Mitarbeiter!$G$39=FALSE,0,IF(AND(Mitarbeiter!$E$39&lt;&gt;"",FQ$5+6&lt;Mitarbeiter!$E$39),0,IF(AND(Mitarbeiter!$F$39&lt;&gt;"",FQ$5&gt;Mitarbeiter!$F$39),0,IF(Planung!FQ41="",$C41,IF(ISNUMBER(Planung!FQ41),Planung!FQ41,IF(UPPER(Planung!FQ41)="H",$C41/2,0)))))))</f>
        <v>0</v>
      </c>
      <c r="FR41" s="27">
        <f>IF($A41="",0,IF(Mitarbeiter!$G$39=FALSE,0,IF(AND(Mitarbeiter!$E$39&lt;&gt;"",FR$5+6&lt;Mitarbeiter!$E$39),0,IF(AND(Mitarbeiter!$F$39&lt;&gt;"",FR$5&gt;Mitarbeiter!$F$39),0,IF(Planung!FR41="",$C41,IF(ISNUMBER(Planung!FR41),Planung!FR41,IF(UPPER(Planung!FR41)="H",$C41/2,0)))))))</f>
        <v>0</v>
      </c>
      <c r="FS41" s="27">
        <f>IF($A41="",0,IF(Mitarbeiter!$G$39=FALSE,0,IF(AND(Mitarbeiter!$E$39&lt;&gt;"",FS$5+6&lt;Mitarbeiter!$E$39),0,IF(AND(Mitarbeiter!$F$39&lt;&gt;"",FS$5&gt;Mitarbeiter!$F$39),0,IF(Planung!FS41="",$C41,IF(ISNUMBER(Planung!FS41),Planung!FS41,IF(UPPER(Planung!FS41)="H",$C41/2,0)))))))</f>
        <v>0</v>
      </c>
      <c r="FT41" s="27">
        <f>IF($A41="",0,IF(Mitarbeiter!$G$39=FALSE,0,IF(AND(Mitarbeiter!$E$39&lt;&gt;"",FT$5+6&lt;Mitarbeiter!$E$39),0,IF(AND(Mitarbeiter!$F$39&lt;&gt;"",FT$5&gt;Mitarbeiter!$F$39),0,IF(Planung!FT41="",$C41,IF(ISNUMBER(Planung!FT41),Planung!FT41,IF(UPPER(Planung!FT41)="H",$C41/2,0)))))))</f>
        <v>0</v>
      </c>
      <c r="FU41" s="27">
        <f>IF($A41="",0,IF(Mitarbeiter!$G$39=FALSE,0,IF(AND(Mitarbeiter!$E$39&lt;&gt;"",FU$5+6&lt;Mitarbeiter!$E$39),0,IF(AND(Mitarbeiter!$F$39&lt;&gt;"",FU$5&gt;Mitarbeiter!$F$39),0,IF(Planung!FU41="",$C41,IF(ISNUMBER(Planung!FU41),Planung!FU41,IF(UPPER(Planung!FU41)="H",$C41/2,0)))))))</f>
        <v>0</v>
      </c>
      <c r="FV41" s="27">
        <f>IF($A41="",0,IF(Mitarbeiter!$G$39=FALSE,0,IF(AND(Mitarbeiter!$E$39&lt;&gt;"",FV$5+6&lt;Mitarbeiter!$E$39),0,IF(AND(Mitarbeiter!$F$39&lt;&gt;"",FV$5&gt;Mitarbeiter!$F$39),0,IF(Planung!FV41="",$C41,IF(ISNUMBER(Planung!FV41),Planung!FV41,IF(UPPER(Planung!FV41)="H",$C41/2,0)))))))</f>
        <v>0</v>
      </c>
      <c r="FW41" s="27">
        <f>IF($A41="",0,IF(Mitarbeiter!$G$39=FALSE,0,IF(AND(Mitarbeiter!$E$39&lt;&gt;"",FW$5+6&lt;Mitarbeiter!$E$39),0,IF(AND(Mitarbeiter!$F$39&lt;&gt;"",FW$5&gt;Mitarbeiter!$F$39),0,IF(Planung!FW41="",$C41,IF(ISNUMBER(Planung!FW41),Planung!FW41,IF(UPPER(Planung!FW41)="H",$C41/2,0)))))))</f>
        <v>0</v>
      </c>
      <c r="FX41" s="27">
        <f>IF($A41="",0,IF(Mitarbeiter!$G$39=FALSE,0,IF(AND(Mitarbeiter!$E$39&lt;&gt;"",FX$5+6&lt;Mitarbeiter!$E$39),0,IF(AND(Mitarbeiter!$F$39&lt;&gt;"",FX$5&gt;Mitarbeiter!$F$39),0,IF(Planung!FX41="",$C41,IF(ISNUMBER(Planung!FX41),Planung!FX41,IF(UPPER(Planung!FX41)="H",$C41/2,0)))))))</f>
        <v>0</v>
      </c>
      <c r="FY41" s="27">
        <f>IF($A41="",0,IF(Mitarbeiter!$G$39=FALSE,0,IF(AND(Mitarbeiter!$E$39&lt;&gt;"",FY$5+6&lt;Mitarbeiter!$E$39),0,IF(AND(Mitarbeiter!$F$39&lt;&gt;"",FY$5&gt;Mitarbeiter!$F$39),0,IF(Planung!FY41="",$C41,IF(ISNUMBER(Planung!FY41),Planung!FY41,IF(UPPER(Planung!FY41)="H",$C41/2,0)))))))</f>
        <v>0</v>
      </c>
      <c r="FZ41" s="27">
        <f>IF($A41="",0,IF(Mitarbeiter!$G$39=FALSE,0,IF(AND(Mitarbeiter!$E$39&lt;&gt;"",FZ$5+6&lt;Mitarbeiter!$E$39),0,IF(AND(Mitarbeiter!$F$39&lt;&gt;"",FZ$5&gt;Mitarbeiter!$F$39),0,IF(Planung!FZ41="",$C41,IF(ISNUMBER(Planung!FZ41),Planung!FZ41,IF(UPPER(Planung!FZ41)="H",$C41/2,0)))))))</f>
        <v>0</v>
      </c>
      <c r="GA41" s="27">
        <f>IF($A41="",0,IF(Mitarbeiter!$G$39=FALSE,0,IF(AND(Mitarbeiter!$E$39&lt;&gt;"",GA$5+6&lt;Mitarbeiter!$E$39),0,IF(AND(Mitarbeiter!$F$39&lt;&gt;"",GA$5&gt;Mitarbeiter!$F$39),0,IF(Planung!GA41="",$C41,IF(ISNUMBER(Planung!GA41),Planung!GA41,IF(UPPER(Planung!GA41)="H",$C41/2,0)))))))</f>
        <v>0</v>
      </c>
      <c r="GB41" s="27">
        <f>IF($A41="",0,IF(Mitarbeiter!$G$39=FALSE,0,IF(AND(Mitarbeiter!$E$39&lt;&gt;"",GB$5+6&lt;Mitarbeiter!$E$39),0,IF(AND(Mitarbeiter!$F$39&lt;&gt;"",GB$5&gt;Mitarbeiter!$F$39),0,IF(Planung!GB41="",$C41,IF(ISNUMBER(Planung!GB41),Planung!GB41,IF(UPPER(Planung!GB41)="H",$C41/2,0)))))))</f>
        <v>0</v>
      </c>
      <c r="GC41" s="27">
        <f>IF($A41="",0,IF(Mitarbeiter!$G$39=FALSE,0,IF(AND(Mitarbeiter!$E$39&lt;&gt;"",GC$5+6&lt;Mitarbeiter!$E$39),0,IF(AND(Mitarbeiter!$F$39&lt;&gt;"",GC$5&gt;Mitarbeiter!$F$39),0,IF(Planung!GC41="",$C41,IF(ISNUMBER(Planung!GC41),Planung!GC41,IF(UPPER(Planung!GC41)="H",$C41/2,0)))))))</f>
        <v>0</v>
      </c>
      <c r="GD41" s="27">
        <f>IF($A41="",0,IF(Mitarbeiter!$G$39=FALSE,0,IF(AND(Mitarbeiter!$E$39&lt;&gt;"",GD$5+6&lt;Mitarbeiter!$E$39),0,IF(AND(Mitarbeiter!$F$39&lt;&gt;"",GD$5&gt;Mitarbeiter!$F$39),0,IF(Planung!GD41="",$C41,IF(ISNUMBER(Planung!GD41),Planung!GD41,IF(UPPER(Planung!GD41)="H",$C41/2,0)))))))</f>
        <v>0</v>
      </c>
      <c r="GE41" s="27">
        <f>IF($A41="",0,IF(Mitarbeiter!$G$39=FALSE,0,IF(AND(Mitarbeiter!$E$39&lt;&gt;"",GE$5+6&lt;Mitarbeiter!$E$39),0,IF(AND(Mitarbeiter!$F$39&lt;&gt;"",GE$5&gt;Mitarbeiter!$F$39),0,IF(Planung!GE41="",$C41,IF(ISNUMBER(Planung!GE41),Planung!GE41,IF(UPPER(Planung!GE41)="H",$C41/2,0)))))))</f>
        <v>0</v>
      </c>
      <c r="GF41" s="27">
        <f>IF($A41="",0,IF(Mitarbeiter!$G$39=FALSE,0,IF(AND(Mitarbeiter!$E$39&lt;&gt;"",GF$5+6&lt;Mitarbeiter!$E$39),0,IF(AND(Mitarbeiter!$F$39&lt;&gt;"",GF$5&gt;Mitarbeiter!$F$39),0,IF(Planung!GF41="",$C41,IF(ISNUMBER(Planung!GF41),Planung!GF41,IF(UPPER(Planung!GF41)="H",$C41/2,0)))))))</f>
        <v>0</v>
      </c>
      <c r="GG41" s="27">
        <f>IF($A41="",0,IF(Mitarbeiter!$G$39=FALSE,0,IF(AND(Mitarbeiter!$E$39&lt;&gt;"",GG$5+6&lt;Mitarbeiter!$E$39),0,IF(AND(Mitarbeiter!$F$39&lt;&gt;"",GG$5&gt;Mitarbeiter!$F$39),0,IF(Planung!GG41="",$C41,IF(ISNUMBER(Planung!GG41),Planung!GG41,IF(UPPER(Planung!GG41)="H",$C41/2,0)))))))</f>
        <v>0</v>
      </c>
      <c r="GH41" s="27">
        <f>IF($A41="",0,IF(Mitarbeiter!$G$39=FALSE,0,IF(AND(Mitarbeiter!$E$39&lt;&gt;"",GH$5+6&lt;Mitarbeiter!$E$39),0,IF(AND(Mitarbeiter!$F$39&lt;&gt;"",GH$5&gt;Mitarbeiter!$F$39),0,IF(Planung!GH41="",$C41,IF(ISNUMBER(Planung!GH41),Planung!GH41,IF(UPPER(Planung!GH41)="H",$C41/2,0)))))))</f>
        <v>0</v>
      </c>
      <c r="GI41" s="27">
        <f>IF($A41="",0,IF(Mitarbeiter!$G$39=FALSE,0,IF(AND(Mitarbeiter!$E$39&lt;&gt;"",GI$5+6&lt;Mitarbeiter!$E$39),0,IF(AND(Mitarbeiter!$F$39&lt;&gt;"",GI$5&gt;Mitarbeiter!$F$39),0,IF(Planung!GI41="",$C41,IF(ISNUMBER(Planung!GI41),Planung!GI41,IF(UPPER(Planung!GI41)="H",$C41/2,0)))))))</f>
        <v>0</v>
      </c>
      <c r="GJ41" s="27">
        <f>IF($A41="",0,IF(Mitarbeiter!$G$39=FALSE,0,IF(AND(Mitarbeiter!$E$39&lt;&gt;"",GJ$5+6&lt;Mitarbeiter!$E$39),0,IF(AND(Mitarbeiter!$F$39&lt;&gt;"",GJ$5&gt;Mitarbeiter!$F$39),0,IF(Planung!GJ41="",$C41,IF(ISNUMBER(Planung!GJ41),Planung!GJ41,IF(UPPER(Planung!GJ41)="H",$C41/2,0)))))))</f>
        <v>0</v>
      </c>
      <c r="GK41" s="27">
        <f>IF($A41="",0,IF(Mitarbeiter!$G$39=FALSE,0,IF(AND(Mitarbeiter!$E$39&lt;&gt;"",GK$5+6&lt;Mitarbeiter!$E$39),0,IF(AND(Mitarbeiter!$F$39&lt;&gt;"",GK$5&gt;Mitarbeiter!$F$39),0,IF(Planung!GK41="",$C41,IF(ISNUMBER(Planung!GK41),Planung!GK41,IF(UPPER(Planung!GK41)="H",$C41/2,0)))))))</f>
        <v>0</v>
      </c>
      <c r="GL41" s="27">
        <f>IF($A41="",0,IF(Mitarbeiter!$G$39=FALSE,0,IF(AND(Mitarbeiter!$E$39&lt;&gt;"",GL$5+6&lt;Mitarbeiter!$E$39),0,IF(AND(Mitarbeiter!$F$39&lt;&gt;"",GL$5&gt;Mitarbeiter!$F$39),0,IF(Planung!GL41="",$C41,IF(ISNUMBER(Planung!GL41),Planung!GL41,IF(UPPER(Planung!GL41)="H",$C41/2,0)))))))</f>
        <v>0</v>
      </c>
      <c r="GM41" s="27">
        <f>IF($A41="",0,IF(Mitarbeiter!$G$39=FALSE,0,IF(AND(Mitarbeiter!$E$39&lt;&gt;"",GM$5+6&lt;Mitarbeiter!$E$39),0,IF(AND(Mitarbeiter!$F$39&lt;&gt;"",GM$5&gt;Mitarbeiter!$F$39),0,IF(Planung!GM41="",$C41,IF(ISNUMBER(Planung!GM41),Planung!GM41,IF(UPPER(Planung!GM41)="H",$C41/2,0)))))))</f>
        <v>0</v>
      </c>
      <c r="GN41" s="27">
        <f>IF($A41="",0,IF(Mitarbeiter!$G$39=FALSE,0,IF(AND(Mitarbeiter!$E$39&lt;&gt;"",GN$5+6&lt;Mitarbeiter!$E$39),0,IF(AND(Mitarbeiter!$F$39&lt;&gt;"",GN$5&gt;Mitarbeiter!$F$39),0,IF(Planung!GN41="",$C41,IF(ISNUMBER(Planung!GN41),Planung!GN41,IF(UPPER(Planung!GN41)="H",$C41/2,0)))))))</f>
        <v>0</v>
      </c>
      <c r="GO41" s="27">
        <f>IF($A41="",0,IF(Mitarbeiter!$G$39=FALSE,0,IF(AND(Mitarbeiter!$E$39&lt;&gt;"",GO$5+6&lt;Mitarbeiter!$E$39),0,IF(AND(Mitarbeiter!$F$39&lt;&gt;"",GO$5&gt;Mitarbeiter!$F$39),0,IF(Planung!GO41="",$C41,IF(ISNUMBER(Planung!GO41),Planung!GO41,IF(UPPER(Planung!GO41)="H",$C41/2,0)))))))</f>
        <v>0</v>
      </c>
      <c r="GP41" s="27">
        <f>IF($A41="",0,IF(Mitarbeiter!$G$39=FALSE,0,IF(AND(Mitarbeiter!$E$39&lt;&gt;"",GP$5+6&lt;Mitarbeiter!$E$39),0,IF(AND(Mitarbeiter!$F$39&lt;&gt;"",GP$5&gt;Mitarbeiter!$F$39),0,IF(Planung!GP41="",$C41,IF(ISNUMBER(Planung!GP41),Planung!GP41,IF(UPPER(Planung!GP41)="H",$C41/2,0)))))))</f>
        <v>0</v>
      </c>
      <c r="GQ41" s="27">
        <f>IF($A41="",0,IF(Mitarbeiter!$G$39=FALSE,0,IF(AND(Mitarbeiter!$E$39&lt;&gt;"",GQ$5+6&lt;Mitarbeiter!$E$39),0,IF(AND(Mitarbeiter!$F$39&lt;&gt;"",GQ$5&gt;Mitarbeiter!$F$39),0,IF(Planung!GQ41="",$C41,IF(ISNUMBER(Planung!GQ41),Planung!GQ41,IF(UPPER(Planung!GQ41)="H",$C41/2,0)))))))</f>
        <v>0</v>
      </c>
      <c r="GR41" s="27">
        <f>IF($A41="",0,IF(Mitarbeiter!$G$39=FALSE,0,IF(AND(Mitarbeiter!$E$39&lt;&gt;"",GR$5+6&lt;Mitarbeiter!$E$39),0,IF(AND(Mitarbeiter!$F$39&lt;&gt;"",GR$5&gt;Mitarbeiter!$F$39),0,IF(Planung!GR41="",$C41,IF(ISNUMBER(Planung!GR41),Planung!GR41,IF(UPPER(Planung!GR41)="H",$C41/2,0)))))))</f>
        <v>0</v>
      </c>
      <c r="GS41" s="27">
        <f>IF($A41="",0,IF(Mitarbeiter!$G$39=FALSE,0,IF(AND(Mitarbeiter!$E$39&lt;&gt;"",GS$5+6&lt;Mitarbeiter!$E$39),0,IF(AND(Mitarbeiter!$F$39&lt;&gt;"",GS$5&gt;Mitarbeiter!$F$39),0,IF(Planung!GS41="",$C41,IF(ISNUMBER(Planung!GS41),Planung!GS41,IF(UPPER(Planung!GS41)="H",$C41/2,0)))))))</f>
        <v>0</v>
      </c>
      <c r="GT41" s="27">
        <f>IF($A41="",0,IF(Mitarbeiter!$G$39=FALSE,0,IF(AND(Mitarbeiter!$E$39&lt;&gt;"",GT$5+6&lt;Mitarbeiter!$E$39),0,IF(AND(Mitarbeiter!$F$39&lt;&gt;"",GT$5&gt;Mitarbeiter!$F$39),0,IF(Planung!GT41="",$C41,IF(ISNUMBER(Planung!GT41),Planung!GT41,IF(UPPER(Planung!GT41)="H",$C41/2,0)))))))</f>
        <v>0</v>
      </c>
      <c r="GU41" s="27">
        <f>IF($A41="",0,IF(Mitarbeiter!$G$39=FALSE,0,IF(AND(Mitarbeiter!$E$39&lt;&gt;"",GU$5+6&lt;Mitarbeiter!$E$39),0,IF(AND(Mitarbeiter!$F$39&lt;&gt;"",GU$5&gt;Mitarbeiter!$F$39),0,IF(Planung!GU41="",$C41,IF(ISNUMBER(Planung!GU41),Planung!GU41,IF(UPPER(Planung!GU41)="H",$C41/2,0)))))))</f>
        <v>0</v>
      </c>
      <c r="GV41" s="27">
        <f>IF($A41="",0,IF(Mitarbeiter!$G$39=FALSE,0,IF(AND(Mitarbeiter!$E$39&lt;&gt;"",GV$5+6&lt;Mitarbeiter!$E$39),0,IF(AND(Mitarbeiter!$F$39&lt;&gt;"",GV$5&gt;Mitarbeiter!$F$39),0,IF(Planung!GV41="",$C41,IF(ISNUMBER(Planung!GV41),Planung!GV41,IF(UPPER(Planung!GV41)="H",$C41/2,0)))))))</f>
        <v>0</v>
      </c>
      <c r="GW41" s="27">
        <f>IF($A41="",0,IF(Mitarbeiter!$G$39=FALSE,0,IF(AND(Mitarbeiter!$E$39&lt;&gt;"",GW$5+6&lt;Mitarbeiter!$E$39),0,IF(AND(Mitarbeiter!$F$39&lt;&gt;"",GW$5&gt;Mitarbeiter!$F$39),0,IF(Planung!GW41="",$C41,IF(ISNUMBER(Planung!GW41),Planung!GW41,IF(UPPER(Planung!GW41)="H",$C41/2,0)))))))</f>
        <v>0</v>
      </c>
      <c r="GX41" s="27">
        <f>IF($A41="",0,IF(Mitarbeiter!$G$39=FALSE,0,IF(AND(Mitarbeiter!$E$39&lt;&gt;"",GX$5+6&lt;Mitarbeiter!$E$39),0,IF(AND(Mitarbeiter!$F$39&lt;&gt;"",GX$5&gt;Mitarbeiter!$F$39),0,IF(Planung!GX41="",$C41,IF(ISNUMBER(Planung!GX41),Planung!GX41,IF(UPPER(Planung!GX41)="H",$C41/2,0)))))))</f>
        <v>0</v>
      </c>
      <c r="GY41" s="27">
        <f>IF($A41="",0,IF(Mitarbeiter!$G$39=FALSE,0,IF(AND(Mitarbeiter!$E$39&lt;&gt;"",GY$5+6&lt;Mitarbeiter!$E$39),0,IF(AND(Mitarbeiter!$F$39&lt;&gt;"",GY$5&gt;Mitarbeiter!$F$39),0,IF(Planung!GY41="",$C41,IF(ISNUMBER(Planung!GY41),Planung!GY41,IF(UPPER(Planung!GY41)="H",$C41/2,0)))))))</f>
        <v>0</v>
      </c>
      <c r="GZ41" s="27">
        <f>IF($A41="",0,IF(Mitarbeiter!$G$39=FALSE,0,IF(AND(Mitarbeiter!$E$39&lt;&gt;"",GZ$5+6&lt;Mitarbeiter!$E$39),0,IF(AND(Mitarbeiter!$F$39&lt;&gt;"",GZ$5&gt;Mitarbeiter!$F$39),0,IF(Planung!GZ41="",$C41,IF(ISNUMBER(Planung!GZ41),Planung!GZ41,IF(UPPER(Planung!GZ41)="H",$C41/2,0)))))))</f>
        <v>0</v>
      </c>
      <c r="HA41" s="27">
        <f>IF($A41="",0,IF(Mitarbeiter!$G$39=FALSE,0,IF(AND(Mitarbeiter!$E$39&lt;&gt;"",HA$5+6&lt;Mitarbeiter!$E$39),0,IF(AND(Mitarbeiter!$F$39&lt;&gt;"",HA$5&gt;Mitarbeiter!$F$39),0,IF(Planung!HA41="",$C41,IF(ISNUMBER(Planung!HA41),Planung!HA41,IF(UPPER(Planung!HA41)="H",$C41/2,0)))))))</f>
        <v>0</v>
      </c>
      <c r="HB41" s="27">
        <f>IF($A41="",0,IF(Mitarbeiter!$G$39=FALSE,0,IF(AND(Mitarbeiter!$E$39&lt;&gt;"",HB$5+6&lt;Mitarbeiter!$E$39),0,IF(AND(Mitarbeiter!$F$39&lt;&gt;"",HB$5&gt;Mitarbeiter!$F$39),0,IF(Planung!HB41="",$C41,IF(ISNUMBER(Planung!HB41),Planung!HB41,IF(UPPER(Planung!HB41)="H",$C41/2,0)))))))</f>
        <v>0</v>
      </c>
      <c r="HC41" s="27">
        <f>IF($A41="",0,IF(Mitarbeiter!$G$39=FALSE,0,IF(AND(Mitarbeiter!$E$39&lt;&gt;"",HC$5+6&lt;Mitarbeiter!$E$39),0,IF(AND(Mitarbeiter!$F$39&lt;&gt;"",HC$5&gt;Mitarbeiter!$F$39),0,IF(Planung!HC41="",$C41,IF(ISNUMBER(Planung!HC41),Planung!HC41,IF(UPPER(Planung!HC41)="H",$C41/2,0)))))))</f>
        <v>0</v>
      </c>
      <c r="HD41" s="27">
        <f>IF($A41="",0,IF(Mitarbeiter!$G$39=FALSE,0,IF(AND(Mitarbeiter!$E$39&lt;&gt;"",HD$5+6&lt;Mitarbeiter!$E$39),0,IF(AND(Mitarbeiter!$F$39&lt;&gt;"",HD$5&gt;Mitarbeiter!$F$39),0,IF(Planung!HD41="",$C41,IF(ISNUMBER(Planung!HD41),Planung!HD41,IF(UPPER(Planung!HD41)="H",$C41/2,0)))))))</f>
        <v>0</v>
      </c>
      <c r="HE41" s="27">
        <f>IF($A41="",0,IF(Mitarbeiter!$G$39=FALSE,0,IF(AND(Mitarbeiter!$E$39&lt;&gt;"",HE$5+6&lt;Mitarbeiter!$E$39),0,IF(AND(Mitarbeiter!$F$39&lt;&gt;"",HE$5&gt;Mitarbeiter!$F$39),0,IF(Planung!HE41="",$C41,IF(ISNUMBER(Planung!HE41),Planung!HE41,IF(UPPER(Planung!HE41)="H",$C41/2,0)))))))</f>
        <v>0</v>
      </c>
      <c r="HF41" s="27">
        <f>IF($A41="",0,IF(Mitarbeiter!$G$39=FALSE,0,IF(AND(Mitarbeiter!$E$39&lt;&gt;"",HF$5+6&lt;Mitarbeiter!$E$39),0,IF(AND(Mitarbeiter!$F$39&lt;&gt;"",HF$5&gt;Mitarbeiter!$F$39),0,IF(Planung!HF41="",$C41,IF(ISNUMBER(Planung!HF41),Planung!HF41,IF(UPPER(Planung!HF41)="H",$C41/2,0)))))))</f>
        <v>0</v>
      </c>
      <c r="HG41" s="27">
        <f>IF($A41="",0,IF(Mitarbeiter!$G$39=FALSE,0,IF(AND(Mitarbeiter!$E$39&lt;&gt;"",HG$5+6&lt;Mitarbeiter!$E$39),0,IF(AND(Mitarbeiter!$F$39&lt;&gt;"",HG$5&gt;Mitarbeiter!$F$39),0,IF(Planung!HG41="",$C41,IF(ISNUMBER(Planung!HG41),Planung!HG41,IF(UPPER(Planung!HG41)="H",$C41/2,0)))))))</f>
        <v>0</v>
      </c>
      <c r="HH41" s="27">
        <f>IF($A41="",0,IF(Mitarbeiter!$G$39=FALSE,0,IF(AND(Mitarbeiter!$E$39&lt;&gt;"",HH$5+6&lt;Mitarbeiter!$E$39),0,IF(AND(Mitarbeiter!$F$39&lt;&gt;"",HH$5&gt;Mitarbeiter!$F$39),0,IF(Planung!HH41="",$C41,IF(ISNUMBER(Planung!HH41),Planung!HH41,IF(UPPER(Planung!HH41)="H",$C41/2,0)))))))</f>
        <v>0</v>
      </c>
      <c r="HI41" s="27">
        <f>IF($A41="",0,IF(Mitarbeiter!$G$39=FALSE,0,IF(AND(Mitarbeiter!$E$39&lt;&gt;"",HI$5+6&lt;Mitarbeiter!$E$39),0,IF(AND(Mitarbeiter!$F$39&lt;&gt;"",HI$5&gt;Mitarbeiter!$F$39),0,IF(Planung!HI41="",$C41,IF(ISNUMBER(Planung!HI41),Planung!HI41,IF(UPPER(Planung!HI41)="H",$C41/2,0)))))))</f>
        <v>0</v>
      </c>
      <c r="HJ41" s="27">
        <f>IF($A41="",0,IF(Mitarbeiter!$G$39=FALSE,0,IF(AND(Mitarbeiter!$E$39&lt;&gt;"",HJ$5+6&lt;Mitarbeiter!$E$39),0,IF(AND(Mitarbeiter!$F$39&lt;&gt;"",HJ$5&gt;Mitarbeiter!$F$39),0,IF(Planung!HJ41="",$C41,IF(ISNUMBER(Planung!HJ41),Planung!HJ41,IF(UPPER(Planung!HJ41)="H",$C41/2,0)))))))</f>
        <v>0</v>
      </c>
      <c r="HK41" s="27">
        <f>IF($A41="",0,IF(Mitarbeiter!$G$39=FALSE,0,IF(AND(Mitarbeiter!$E$39&lt;&gt;"",HK$5+6&lt;Mitarbeiter!$E$39),0,IF(AND(Mitarbeiter!$F$39&lt;&gt;"",HK$5&gt;Mitarbeiter!$F$39),0,IF(Planung!HK41="",$C41,IF(ISNUMBER(Planung!HK41),Planung!HK41,IF(UPPER(Planung!HK41)="H",$C41/2,0)))))))</f>
        <v>0</v>
      </c>
      <c r="HL41" s="27">
        <f>IF($A41="",0,IF(Mitarbeiter!$G$39=FALSE,0,IF(AND(Mitarbeiter!$E$39&lt;&gt;"",HL$5+6&lt;Mitarbeiter!$E$39),0,IF(AND(Mitarbeiter!$F$39&lt;&gt;"",HL$5&gt;Mitarbeiter!$F$39),0,IF(Planung!HL41="",$C41,IF(ISNUMBER(Planung!HL41),Planung!HL41,IF(UPPER(Planung!HL41)="H",$C41/2,0)))))))</f>
        <v>0</v>
      </c>
      <c r="HM41" s="27">
        <f>IF($A41="",0,IF(Mitarbeiter!$G$39=FALSE,0,IF(AND(Mitarbeiter!$E$39&lt;&gt;"",HM$5+6&lt;Mitarbeiter!$E$39),0,IF(AND(Mitarbeiter!$F$39&lt;&gt;"",HM$5&gt;Mitarbeiter!$F$39),0,IF(Planung!HM41="",$C41,IF(ISNUMBER(Planung!HM41),Planung!HM41,IF(UPPER(Planung!HM41)="H",$C41/2,0)))))))</f>
        <v>0</v>
      </c>
      <c r="HN41" s="27">
        <f>IF($A41="",0,IF(Mitarbeiter!$G$39=FALSE,0,IF(AND(Mitarbeiter!$E$39&lt;&gt;"",HN$5+6&lt;Mitarbeiter!$E$39),0,IF(AND(Mitarbeiter!$F$39&lt;&gt;"",HN$5&gt;Mitarbeiter!$F$39),0,IF(Planung!HN41="",$C41,IF(ISNUMBER(Planung!HN41),Planung!HN41,IF(UPPER(Planung!HN41)="H",$C41/2,0)))))))</f>
        <v>0</v>
      </c>
      <c r="HO41" s="27">
        <f>IF($A41="",0,IF(Mitarbeiter!$G$39=FALSE,0,IF(AND(Mitarbeiter!$E$39&lt;&gt;"",HO$5+6&lt;Mitarbeiter!$E$39),0,IF(AND(Mitarbeiter!$F$39&lt;&gt;"",HO$5&gt;Mitarbeiter!$F$39),0,IF(Planung!HO41="",$C41,IF(ISNUMBER(Planung!HO41),Planung!HO41,IF(UPPER(Planung!HO41)="H",$C41/2,0)))))))</f>
        <v>0</v>
      </c>
      <c r="HP41" s="27">
        <f>IF($A41="",0,IF(Mitarbeiter!$G$39=FALSE,0,IF(AND(Mitarbeiter!$E$39&lt;&gt;"",HP$5+6&lt;Mitarbeiter!$E$39),0,IF(AND(Mitarbeiter!$F$39&lt;&gt;"",HP$5&gt;Mitarbeiter!$F$39),0,IF(Planung!HP41="",$C41,IF(ISNUMBER(Planung!HP41),Planung!HP41,IF(UPPER(Planung!HP41)="H",$C41/2,0)))))))</f>
        <v>0</v>
      </c>
      <c r="HQ41" s="27">
        <f>IF($A41="",0,IF(Mitarbeiter!$G$39=FALSE,0,IF(AND(Mitarbeiter!$E$39&lt;&gt;"",HQ$5+6&lt;Mitarbeiter!$E$39),0,IF(AND(Mitarbeiter!$F$39&lt;&gt;"",HQ$5&gt;Mitarbeiter!$F$39),0,IF(Planung!HQ41="",$C41,IF(ISNUMBER(Planung!HQ41),Planung!HQ41,IF(UPPER(Planung!HQ41)="H",$C41/2,0)))))))</f>
        <v>0</v>
      </c>
      <c r="HR41" s="27">
        <f>IF($A41="",0,IF(Mitarbeiter!$G$39=FALSE,0,IF(AND(Mitarbeiter!$E$39&lt;&gt;"",HR$5+6&lt;Mitarbeiter!$E$39),0,IF(AND(Mitarbeiter!$F$39&lt;&gt;"",HR$5&gt;Mitarbeiter!$F$39),0,IF(Planung!HR41="",$C41,IF(ISNUMBER(Planung!HR41),Planung!HR41,IF(UPPER(Planung!HR41)="H",$C41/2,0)))))))</f>
        <v>0</v>
      </c>
      <c r="HS41" s="27">
        <f>IF($A41="",0,IF(Mitarbeiter!$G$39=FALSE,0,IF(AND(Mitarbeiter!$E$39&lt;&gt;"",HS$5+6&lt;Mitarbeiter!$E$39),0,IF(AND(Mitarbeiter!$F$39&lt;&gt;"",HS$5&gt;Mitarbeiter!$F$39),0,IF(Planung!HS41="",$C41,IF(ISNUMBER(Planung!HS41),Planung!HS41,IF(UPPER(Planung!HS41)="H",$C41/2,0)))))))</f>
        <v>0</v>
      </c>
      <c r="HT41" s="27">
        <f>IF($A41="",0,IF(Mitarbeiter!$G$39=FALSE,0,IF(AND(Mitarbeiter!$E$39&lt;&gt;"",HT$5+6&lt;Mitarbeiter!$E$39),0,IF(AND(Mitarbeiter!$F$39&lt;&gt;"",HT$5&gt;Mitarbeiter!$F$39),0,IF(Planung!HT41="",$C41,IF(ISNUMBER(Planung!HT41),Planung!HT41,IF(UPPER(Planung!HT41)="H",$C41/2,0)))))))</f>
        <v>0</v>
      </c>
      <c r="HU41" s="27">
        <f>IF($A41="",0,IF(Mitarbeiter!$G$39=FALSE,0,IF(AND(Mitarbeiter!$E$39&lt;&gt;"",HU$5+6&lt;Mitarbeiter!$E$39),0,IF(AND(Mitarbeiter!$F$39&lt;&gt;"",HU$5&gt;Mitarbeiter!$F$39),0,IF(Planung!HU41="",$C41,IF(ISNUMBER(Planung!HU41),Planung!HU41,IF(UPPER(Planung!HU41)="H",$C41/2,0)))))))</f>
        <v>0</v>
      </c>
      <c r="HV41" s="27">
        <f>IF($A41="",0,IF(Mitarbeiter!$G$39=FALSE,0,IF(AND(Mitarbeiter!$E$39&lt;&gt;"",HV$5+6&lt;Mitarbeiter!$E$39),0,IF(AND(Mitarbeiter!$F$39&lt;&gt;"",HV$5&gt;Mitarbeiter!$F$39),0,IF(Planung!HV41="",$C41,IF(ISNUMBER(Planung!HV41),Planung!HV41,IF(UPPER(Planung!HV41)="H",$C41/2,0)))))))</f>
        <v>0</v>
      </c>
      <c r="HW41" s="27">
        <f>IF($A41="",0,IF(Mitarbeiter!$G$39=FALSE,0,IF(AND(Mitarbeiter!$E$39&lt;&gt;"",HW$5+6&lt;Mitarbeiter!$E$39),0,IF(AND(Mitarbeiter!$F$39&lt;&gt;"",HW$5&gt;Mitarbeiter!$F$39),0,IF(Planung!HW41="",$C41,IF(ISNUMBER(Planung!HW41),Planung!HW41,IF(UPPER(Planung!HW41)="H",$C41/2,0)))))))</f>
        <v>0</v>
      </c>
      <c r="HX41" s="27">
        <f>IF($A41="",0,IF(Mitarbeiter!$G$39=FALSE,0,IF(AND(Mitarbeiter!$E$39&lt;&gt;"",HX$5+6&lt;Mitarbeiter!$E$39),0,IF(AND(Mitarbeiter!$F$39&lt;&gt;"",HX$5&gt;Mitarbeiter!$F$39),0,IF(Planung!HX41="",$C41,IF(ISNUMBER(Planung!HX41),Planung!HX41,IF(UPPER(Planung!HX41)="H",$C41/2,0)))))))</f>
        <v>0</v>
      </c>
      <c r="HY41" s="27">
        <f>IF($A41="",0,IF(Mitarbeiter!$G$39=FALSE,0,IF(AND(Mitarbeiter!$E$39&lt;&gt;"",HY$5+6&lt;Mitarbeiter!$E$39),0,IF(AND(Mitarbeiter!$F$39&lt;&gt;"",HY$5&gt;Mitarbeiter!$F$39),0,IF(Planung!HY41="",$C41,IF(ISNUMBER(Planung!HY41),Planung!HY41,IF(UPPER(Planung!HY41)="H",$C41/2,0)))))))</f>
        <v>0</v>
      </c>
      <c r="HZ41" s="27">
        <f>IF($A41="",0,IF(Mitarbeiter!$G$39=FALSE,0,IF(AND(Mitarbeiter!$E$39&lt;&gt;"",HZ$5+6&lt;Mitarbeiter!$E$39),0,IF(AND(Mitarbeiter!$F$39&lt;&gt;"",HZ$5&gt;Mitarbeiter!$F$39),0,IF(Planung!HZ41="",$C41,IF(ISNUMBER(Planung!HZ41),Planung!HZ41,IF(UPPER(Planung!HZ41)="H",$C41/2,0)))))))</f>
        <v>0</v>
      </c>
      <c r="IA41" s="27">
        <f>IF($A41="",0,IF(Mitarbeiter!$G$39=FALSE,0,IF(AND(Mitarbeiter!$E$39&lt;&gt;"",IA$5+6&lt;Mitarbeiter!$E$39),0,IF(AND(Mitarbeiter!$F$39&lt;&gt;"",IA$5&gt;Mitarbeiter!$F$39),0,IF(Planung!IA41="",$C41,IF(ISNUMBER(Planung!IA41),Planung!IA41,IF(UPPER(Planung!IA41)="H",$C41/2,0)))))))</f>
        <v>0</v>
      </c>
    </row>
    <row r="42" spans="1:235" x14ac:dyDescent="0.25">
      <c r="A42" s="7" t="str">
        <f>Planung!A42</f>
        <v/>
      </c>
      <c r="B42" s="7" t="str">
        <f>Planung!B42</f>
        <v/>
      </c>
      <c r="C42" s="27">
        <f>N(Mitarbeiter!$D$40)</f>
        <v>0</v>
      </c>
      <c r="D42" s="27">
        <f>IF($A42="",0,IF(Mitarbeiter!$G$40=FALSE,0,IF(AND(Mitarbeiter!$E$40&lt;&gt;"",D$5+6&lt;Mitarbeiter!$E$40),0,IF(AND(Mitarbeiter!$F$40&lt;&gt;"",D$5&gt;Mitarbeiter!$F$40),0,IF(Planung!D42="",$C42,IF(ISNUMBER(Planung!D42),Planung!D42,IF(UPPER(Planung!D42)="H",$C42/2,0)))))))</f>
        <v>0</v>
      </c>
      <c r="E42" s="27">
        <f>IF($A42="",0,IF(Mitarbeiter!$G$40=FALSE,0,IF(AND(Mitarbeiter!$E$40&lt;&gt;"",E$5+6&lt;Mitarbeiter!$E$40),0,IF(AND(Mitarbeiter!$F$40&lt;&gt;"",E$5&gt;Mitarbeiter!$F$40),0,IF(Planung!E42="",$C42,IF(ISNUMBER(Planung!E42),Planung!E42,IF(UPPER(Planung!E42)="H",$C42/2,0)))))))</f>
        <v>0</v>
      </c>
      <c r="F42" s="27">
        <f>IF($A42="",0,IF(Mitarbeiter!$G$40=FALSE,0,IF(AND(Mitarbeiter!$E$40&lt;&gt;"",F$5+6&lt;Mitarbeiter!$E$40),0,IF(AND(Mitarbeiter!$F$40&lt;&gt;"",F$5&gt;Mitarbeiter!$F$40),0,IF(Planung!F42="",$C42,IF(ISNUMBER(Planung!F42),Planung!F42,IF(UPPER(Planung!F42)="H",$C42/2,0)))))))</f>
        <v>0</v>
      </c>
      <c r="G42" s="27">
        <f>IF($A42="",0,IF(Mitarbeiter!$G$40=FALSE,0,IF(AND(Mitarbeiter!$E$40&lt;&gt;"",G$5+6&lt;Mitarbeiter!$E$40),0,IF(AND(Mitarbeiter!$F$40&lt;&gt;"",G$5&gt;Mitarbeiter!$F$40),0,IF(Planung!G42="",$C42,IF(ISNUMBER(Planung!G42),Planung!G42,IF(UPPER(Planung!G42)="H",$C42/2,0)))))))</f>
        <v>0</v>
      </c>
      <c r="H42" s="27">
        <f>IF($A42="",0,IF(Mitarbeiter!$G$40=FALSE,0,IF(AND(Mitarbeiter!$E$40&lt;&gt;"",H$5+6&lt;Mitarbeiter!$E$40),0,IF(AND(Mitarbeiter!$F$40&lt;&gt;"",H$5&gt;Mitarbeiter!$F$40),0,IF(Planung!H42="",$C42,IF(ISNUMBER(Planung!H42),Planung!H42,IF(UPPER(Planung!H42)="H",$C42/2,0)))))))</f>
        <v>0</v>
      </c>
      <c r="I42" s="27">
        <f>IF($A42="",0,IF(Mitarbeiter!$G$40=FALSE,0,IF(AND(Mitarbeiter!$E$40&lt;&gt;"",I$5+6&lt;Mitarbeiter!$E$40),0,IF(AND(Mitarbeiter!$F$40&lt;&gt;"",I$5&gt;Mitarbeiter!$F$40),0,IF(Planung!I42="",$C42,IF(ISNUMBER(Planung!I42),Planung!I42,IF(UPPER(Planung!I42)="H",$C42/2,0)))))))</f>
        <v>0</v>
      </c>
      <c r="J42" s="27">
        <f>IF($A42="",0,IF(Mitarbeiter!$G$40=FALSE,0,IF(AND(Mitarbeiter!$E$40&lt;&gt;"",J$5+6&lt;Mitarbeiter!$E$40),0,IF(AND(Mitarbeiter!$F$40&lt;&gt;"",J$5&gt;Mitarbeiter!$F$40),0,IF(Planung!J42="",$C42,IF(ISNUMBER(Planung!J42),Planung!J42,IF(UPPER(Planung!J42)="H",$C42/2,0)))))))</f>
        <v>0</v>
      </c>
      <c r="K42" s="27">
        <f>IF($A42="",0,IF(Mitarbeiter!$G$40=FALSE,0,IF(AND(Mitarbeiter!$E$40&lt;&gt;"",K$5+6&lt;Mitarbeiter!$E$40),0,IF(AND(Mitarbeiter!$F$40&lt;&gt;"",K$5&gt;Mitarbeiter!$F$40),0,IF(Planung!K42="",$C42,IF(ISNUMBER(Planung!K42),Planung!K42,IF(UPPER(Planung!K42)="H",$C42/2,0)))))))</f>
        <v>0</v>
      </c>
      <c r="L42" s="27">
        <f>IF($A42="",0,IF(Mitarbeiter!$G$40=FALSE,0,IF(AND(Mitarbeiter!$E$40&lt;&gt;"",L$5+6&lt;Mitarbeiter!$E$40),0,IF(AND(Mitarbeiter!$F$40&lt;&gt;"",L$5&gt;Mitarbeiter!$F$40),0,IF(Planung!L42="",$C42,IF(ISNUMBER(Planung!L42),Planung!L42,IF(UPPER(Planung!L42)="H",$C42/2,0)))))))</f>
        <v>0</v>
      </c>
      <c r="M42" s="27">
        <f>IF($A42="",0,IF(Mitarbeiter!$G$40=FALSE,0,IF(AND(Mitarbeiter!$E$40&lt;&gt;"",M$5+6&lt;Mitarbeiter!$E$40),0,IF(AND(Mitarbeiter!$F$40&lt;&gt;"",M$5&gt;Mitarbeiter!$F$40),0,IF(Planung!M42="",$C42,IF(ISNUMBER(Planung!M42),Planung!M42,IF(UPPER(Planung!M42)="H",$C42/2,0)))))))</f>
        <v>0</v>
      </c>
      <c r="N42" s="27">
        <f>IF($A42="",0,IF(Mitarbeiter!$G$40=FALSE,0,IF(AND(Mitarbeiter!$E$40&lt;&gt;"",N$5+6&lt;Mitarbeiter!$E$40),0,IF(AND(Mitarbeiter!$F$40&lt;&gt;"",N$5&gt;Mitarbeiter!$F$40),0,IF(Planung!N42="",$C42,IF(ISNUMBER(Planung!N42),Planung!N42,IF(UPPER(Planung!N42)="H",$C42/2,0)))))))</f>
        <v>0</v>
      </c>
      <c r="O42" s="27">
        <f>IF($A42="",0,IF(Mitarbeiter!$G$40=FALSE,0,IF(AND(Mitarbeiter!$E$40&lt;&gt;"",O$5+6&lt;Mitarbeiter!$E$40),0,IF(AND(Mitarbeiter!$F$40&lt;&gt;"",O$5&gt;Mitarbeiter!$F$40),0,IF(Planung!O42="",$C42,IF(ISNUMBER(Planung!O42),Planung!O42,IF(UPPER(Planung!O42)="H",$C42/2,0)))))))</f>
        <v>0</v>
      </c>
      <c r="P42" s="27">
        <f>IF($A42="",0,IF(Mitarbeiter!$G$40=FALSE,0,IF(AND(Mitarbeiter!$E$40&lt;&gt;"",P$5+6&lt;Mitarbeiter!$E$40),0,IF(AND(Mitarbeiter!$F$40&lt;&gt;"",P$5&gt;Mitarbeiter!$F$40),0,IF(Planung!P42="",$C42,IF(ISNUMBER(Planung!P42),Planung!P42,IF(UPPER(Planung!P42)="H",$C42/2,0)))))))</f>
        <v>0</v>
      </c>
      <c r="Q42" s="27">
        <f>IF($A42="",0,IF(Mitarbeiter!$G$40=FALSE,0,IF(AND(Mitarbeiter!$E$40&lt;&gt;"",Q$5+6&lt;Mitarbeiter!$E$40),0,IF(AND(Mitarbeiter!$F$40&lt;&gt;"",Q$5&gt;Mitarbeiter!$F$40),0,IF(Planung!Q42="",$C42,IF(ISNUMBER(Planung!Q42),Planung!Q42,IF(UPPER(Planung!Q42)="H",$C42/2,0)))))))</f>
        <v>0</v>
      </c>
      <c r="R42" s="27">
        <f>IF($A42="",0,IF(Mitarbeiter!$G$40=FALSE,0,IF(AND(Mitarbeiter!$E$40&lt;&gt;"",R$5+6&lt;Mitarbeiter!$E$40),0,IF(AND(Mitarbeiter!$F$40&lt;&gt;"",R$5&gt;Mitarbeiter!$F$40),0,IF(Planung!R42="",$C42,IF(ISNUMBER(Planung!R42),Planung!R42,IF(UPPER(Planung!R42)="H",$C42/2,0)))))))</f>
        <v>0</v>
      </c>
      <c r="S42" s="27">
        <f>IF($A42="",0,IF(Mitarbeiter!$G$40=FALSE,0,IF(AND(Mitarbeiter!$E$40&lt;&gt;"",S$5+6&lt;Mitarbeiter!$E$40),0,IF(AND(Mitarbeiter!$F$40&lt;&gt;"",S$5&gt;Mitarbeiter!$F$40),0,IF(Planung!S42="",$C42,IF(ISNUMBER(Planung!S42),Planung!S42,IF(UPPER(Planung!S42)="H",$C42/2,0)))))))</f>
        <v>0</v>
      </c>
      <c r="T42" s="27">
        <f>IF($A42="",0,IF(Mitarbeiter!$G$40=FALSE,0,IF(AND(Mitarbeiter!$E$40&lt;&gt;"",T$5+6&lt;Mitarbeiter!$E$40),0,IF(AND(Mitarbeiter!$F$40&lt;&gt;"",T$5&gt;Mitarbeiter!$F$40),0,IF(Planung!T42="",$C42,IF(ISNUMBER(Planung!T42),Planung!T42,IF(UPPER(Planung!T42)="H",$C42/2,0)))))))</f>
        <v>0</v>
      </c>
      <c r="U42" s="27">
        <f>IF($A42="",0,IF(Mitarbeiter!$G$40=FALSE,0,IF(AND(Mitarbeiter!$E$40&lt;&gt;"",U$5+6&lt;Mitarbeiter!$E$40),0,IF(AND(Mitarbeiter!$F$40&lt;&gt;"",U$5&gt;Mitarbeiter!$F$40),0,IF(Planung!U42="",$C42,IF(ISNUMBER(Planung!U42),Planung!U42,IF(UPPER(Planung!U42)="H",$C42/2,0)))))))</f>
        <v>0</v>
      </c>
      <c r="V42" s="27">
        <f>IF($A42="",0,IF(Mitarbeiter!$G$40=FALSE,0,IF(AND(Mitarbeiter!$E$40&lt;&gt;"",V$5+6&lt;Mitarbeiter!$E$40),0,IF(AND(Mitarbeiter!$F$40&lt;&gt;"",V$5&gt;Mitarbeiter!$F$40),0,IF(Planung!V42="",$C42,IF(ISNUMBER(Planung!V42),Planung!V42,IF(UPPER(Planung!V42)="H",$C42/2,0)))))))</f>
        <v>0</v>
      </c>
      <c r="W42" s="27">
        <f>IF($A42="",0,IF(Mitarbeiter!$G$40=FALSE,0,IF(AND(Mitarbeiter!$E$40&lt;&gt;"",W$5+6&lt;Mitarbeiter!$E$40),0,IF(AND(Mitarbeiter!$F$40&lt;&gt;"",W$5&gt;Mitarbeiter!$F$40),0,IF(Planung!W42="",$C42,IF(ISNUMBER(Planung!W42),Planung!W42,IF(UPPER(Planung!W42)="H",$C42/2,0)))))))</f>
        <v>0</v>
      </c>
      <c r="X42" s="27">
        <f>IF($A42="",0,IF(Mitarbeiter!$G$40=FALSE,0,IF(AND(Mitarbeiter!$E$40&lt;&gt;"",X$5+6&lt;Mitarbeiter!$E$40),0,IF(AND(Mitarbeiter!$F$40&lt;&gt;"",X$5&gt;Mitarbeiter!$F$40),0,IF(Planung!X42="",$C42,IF(ISNUMBER(Planung!X42),Planung!X42,IF(UPPER(Planung!X42)="H",$C42/2,0)))))))</f>
        <v>0</v>
      </c>
      <c r="Y42" s="27">
        <f>IF($A42="",0,IF(Mitarbeiter!$G$40=FALSE,0,IF(AND(Mitarbeiter!$E$40&lt;&gt;"",Y$5+6&lt;Mitarbeiter!$E$40),0,IF(AND(Mitarbeiter!$F$40&lt;&gt;"",Y$5&gt;Mitarbeiter!$F$40),0,IF(Planung!Y42="",$C42,IF(ISNUMBER(Planung!Y42),Planung!Y42,IF(UPPER(Planung!Y42)="H",$C42/2,0)))))))</f>
        <v>0</v>
      </c>
      <c r="Z42" s="27">
        <f>IF($A42="",0,IF(Mitarbeiter!$G$40=FALSE,0,IF(AND(Mitarbeiter!$E$40&lt;&gt;"",Z$5+6&lt;Mitarbeiter!$E$40),0,IF(AND(Mitarbeiter!$F$40&lt;&gt;"",Z$5&gt;Mitarbeiter!$F$40),0,IF(Planung!Z42="",$C42,IF(ISNUMBER(Planung!Z42),Planung!Z42,IF(UPPER(Planung!Z42)="H",$C42/2,0)))))))</f>
        <v>0</v>
      </c>
      <c r="AA42" s="27">
        <f>IF($A42="",0,IF(Mitarbeiter!$G$40=FALSE,0,IF(AND(Mitarbeiter!$E$40&lt;&gt;"",AA$5+6&lt;Mitarbeiter!$E$40),0,IF(AND(Mitarbeiter!$F$40&lt;&gt;"",AA$5&gt;Mitarbeiter!$F$40),0,IF(Planung!AA42="",$C42,IF(ISNUMBER(Planung!AA42),Planung!AA42,IF(UPPER(Planung!AA42)="H",$C42/2,0)))))))</f>
        <v>0</v>
      </c>
      <c r="AB42" s="27">
        <f>IF($A42="",0,IF(Mitarbeiter!$G$40=FALSE,0,IF(AND(Mitarbeiter!$E$40&lt;&gt;"",AB$5+6&lt;Mitarbeiter!$E$40),0,IF(AND(Mitarbeiter!$F$40&lt;&gt;"",AB$5&gt;Mitarbeiter!$F$40),0,IF(Planung!AB42="",$C42,IF(ISNUMBER(Planung!AB42),Planung!AB42,IF(UPPER(Planung!AB42)="H",$C42/2,0)))))))</f>
        <v>0</v>
      </c>
      <c r="AC42" s="27">
        <f>IF($A42="",0,IF(Mitarbeiter!$G$40=FALSE,0,IF(AND(Mitarbeiter!$E$40&lt;&gt;"",AC$5+6&lt;Mitarbeiter!$E$40),0,IF(AND(Mitarbeiter!$F$40&lt;&gt;"",AC$5&gt;Mitarbeiter!$F$40),0,IF(Planung!AC42="",$C42,IF(ISNUMBER(Planung!AC42),Planung!AC42,IF(UPPER(Planung!AC42)="H",$C42/2,0)))))))</f>
        <v>0</v>
      </c>
      <c r="AD42" s="27">
        <f>IF($A42="",0,IF(Mitarbeiter!$G$40=FALSE,0,IF(AND(Mitarbeiter!$E$40&lt;&gt;"",AD$5+6&lt;Mitarbeiter!$E$40),0,IF(AND(Mitarbeiter!$F$40&lt;&gt;"",AD$5&gt;Mitarbeiter!$F$40),0,IF(Planung!AD42="",$C42,IF(ISNUMBER(Planung!AD42),Planung!AD42,IF(UPPER(Planung!AD42)="H",$C42/2,0)))))))</f>
        <v>0</v>
      </c>
      <c r="AE42" s="27">
        <f>IF($A42="",0,IF(Mitarbeiter!$G$40=FALSE,0,IF(AND(Mitarbeiter!$E$40&lt;&gt;"",AE$5+6&lt;Mitarbeiter!$E$40),0,IF(AND(Mitarbeiter!$F$40&lt;&gt;"",AE$5&gt;Mitarbeiter!$F$40),0,IF(Planung!AE42="",$C42,IF(ISNUMBER(Planung!AE42),Planung!AE42,IF(UPPER(Planung!AE42)="H",$C42/2,0)))))))</f>
        <v>0</v>
      </c>
      <c r="AF42" s="27">
        <f>IF($A42="",0,IF(Mitarbeiter!$G$40=FALSE,0,IF(AND(Mitarbeiter!$E$40&lt;&gt;"",AF$5+6&lt;Mitarbeiter!$E$40),0,IF(AND(Mitarbeiter!$F$40&lt;&gt;"",AF$5&gt;Mitarbeiter!$F$40),0,IF(Planung!AF42="",$C42,IF(ISNUMBER(Planung!AF42),Planung!AF42,IF(UPPER(Planung!AF42)="H",$C42/2,0)))))))</f>
        <v>0</v>
      </c>
      <c r="AG42" s="27">
        <f>IF($A42="",0,IF(Mitarbeiter!$G$40=FALSE,0,IF(AND(Mitarbeiter!$E$40&lt;&gt;"",AG$5+6&lt;Mitarbeiter!$E$40),0,IF(AND(Mitarbeiter!$F$40&lt;&gt;"",AG$5&gt;Mitarbeiter!$F$40),0,IF(Planung!AG42="",$C42,IF(ISNUMBER(Planung!AG42),Planung!AG42,IF(UPPER(Planung!AG42)="H",$C42/2,0)))))))</f>
        <v>0</v>
      </c>
      <c r="AH42" s="27">
        <f>IF($A42="",0,IF(Mitarbeiter!$G$40=FALSE,0,IF(AND(Mitarbeiter!$E$40&lt;&gt;"",AH$5+6&lt;Mitarbeiter!$E$40),0,IF(AND(Mitarbeiter!$F$40&lt;&gt;"",AH$5&gt;Mitarbeiter!$F$40),0,IF(Planung!AH42="",$C42,IF(ISNUMBER(Planung!AH42),Planung!AH42,IF(UPPER(Planung!AH42)="H",$C42/2,0)))))))</f>
        <v>0</v>
      </c>
      <c r="AI42" s="27">
        <f>IF($A42="",0,IF(Mitarbeiter!$G$40=FALSE,0,IF(AND(Mitarbeiter!$E$40&lt;&gt;"",AI$5+6&lt;Mitarbeiter!$E$40),0,IF(AND(Mitarbeiter!$F$40&lt;&gt;"",AI$5&gt;Mitarbeiter!$F$40),0,IF(Planung!AI42="",$C42,IF(ISNUMBER(Planung!AI42),Planung!AI42,IF(UPPER(Planung!AI42)="H",$C42/2,0)))))))</f>
        <v>0</v>
      </c>
      <c r="AJ42" s="27">
        <f>IF($A42="",0,IF(Mitarbeiter!$G$40=FALSE,0,IF(AND(Mitarbeiter!$E$40&lt;&gt;"",AJ$5+6&lt;Mitarbeiter!$E$40),0,IF(AND(Mitarbeiter!$F$40&lt;&gt;"",AJ$5&gt;Mitarbeiter!$F$40),0,IF(Planung!AJ42="",$C42,IF(ISNUMBER(Planung!AJ42),Planung!AJ42,IF(UPPER(Planung!AJ42)="H",$C42/2,0)))))))</f>
        <v>0</v>
      </c>
      <c r="AK42" s="27">
        <f>IF($A42="",0,IF(Mitarbeiter!$G$40=FALSE,0,IF(AND(Mitarbeiter!$E$40&lt;&gt;"",AK$5+6&lt;Mitarbeiter!$E$40),0,IF(AND(Mitarbeiter!$F$40&lt;&gt;"",AK$5&gt;Mitarbeiter!$F$40),0,IF(Planung!AK42="",$C42,IF(ISNUMBER(Planung!AK42),Planung!AK42,IF(UPPER(Planung!AK42)="H",$C42/2,0)))))))</f>
        <v>0</v>
      </c>
      <c r="AL42" s="27">
        <f>IF($A42="",0,IF(Mitarbeiter!$G$40=FALSE,0,IF(AND(Mitarbeiter!$E$40&lt;&gt;"",AL$5+6&lt;Mitarbeiter!$E$40),0,IF(AND(Mitarbeiter!$F$40&lt;&gt;"",AL$5&gt;Mitarbeiter!$F$40),0,IF(Planung!AL42="",$C42,IF(ISNUMBER(Planung!AL42),Planung!AL42,IF(UPPER(Planung!AL42)="H",$C42/2,0)))))))</f>
        <v>0</v>
      </c>
      <c r="AM42" s="27">
        <f>IF($A42="",0,IF(Mitarbeiter!$G$40=FALSE,0,IF(AND(Mitarbeiter!$E$40&lt;&gt;"",AM$5+6&lt;Mitarbeiter!$E$40),0,IF(AND(Mitarbeiter!$F$40&lt;&gt;"",AM$5&gt;Mitarbeiter!$F$40),0,IF(Planung!AM42="",$C42,IF(ISNUMBER(Planung!AM42),Planung!AM42,IF(UPPER(Planung!AM42)="H",$C42/2,0)))))))</f>
        <v>0</v>
      </c>
      <c r="AN42" s="27">
        <f>IF($A42="",0,IF(Mitarbeiter!$G$40=FALSE,0,IF(AND(Mitarbeiter!$E$40&lt;&gt;"",AN$5+6&lt;Mitarbeiter!$E$40),0,IF(AND(Mitarbeiter!$F$40&lt;&gt;"",AN$5&gt;Mitarbeiter!$F$40),0,IF(Planung!AN42="",$C42,IF(ISNUMBER(Planung!AN42),Planung!AN42,IF(UPPER(Planung!AN42)="H",$C42/2,0)))))))</f>
        <v>0</v>
      </c>
      <c r="AO42" s="27">
        <f>IF($A42="",0,IF(Mitarbeiter!$G$40=FALSE,0,IF(AND(Mitarbeiter!$E$40&lt;&gt;"",AO$5+6&lt;Mitarbeiter!$E$40),0,IF(AND(Mitarbeiter!$F$40&lt;&gt;"",AO$5&gt;Mitarbeiter!$F$40),0,IF(Planung!AO42="",$C42,IF(ISNUMBER(Planung!AO42),Planung!AO42,IF(UPPER(Planung!AO42)="H",$C42/2,0)))))))</f>
        <v>0</v>
      </c>
      <c r="AP42" s="27">
        <f>IF($A42="",0,IF(Mitarbeiter!$G$40=FALSE,0,IF(AND(Mitarbeiter!$E$40&lt;&gt;"",AP$5+6&lt;Mitarbeiter!$E$40),0,IF(AND(Mitarbeiter!$F$40&lt;&gt;"",AP$5&gt;Mitarbeiter!$F$40),0,IF(Planung!AP42="",$C42,IF(ISNUMBER(Planung!AP42),Planung!AP42,IF(UPPER(Planung!AP42)="H",$C42/2,0)))))))</f>
        <v>0</v>
      </c>
      <c r="AQ42" s="27">
        <f>IF($A42="",0,IF(Mitarbeiter!$G$40=FALSE,0,IF(AND(Mitarbeiter!$E$40&lt;&gt;"",AQ$5+6&lt;Mitarbeiter!$E$40),0,IF(AND(Mitarbeiter!$F$40&lt;&gt;"",AQ$5&gt;Mitarbeiter!$F$40),0,IF(Planung!AQ42="",$C42,IF(ISNUMBER(Planung!AQ42),Planung!AQ42,IF(UPPER(Planung!AQ42)="H",$C42/2,0)))))))</f>
        <v>0</v>
      </c>
      <c r="AR42" s="27">
        <f>IF($A42="",0,IF(Mitarbeiter!$G$40=FALSE,0,IF(AND(Mitarbeiter!$E$40&lt;&gt;"",AR$5+6&lt;Mitarbeiter!$E$40),0,IF(AND(Mitarbeiter!$F$40&lt;&gt;"",AR$5&gt;Mitarbeiter!$F$40),0,IF(Planung!AR42="",$C42,IF(ISNUMBER(Planung!AR42),Planung!AR42,IF(UPPER(Planung!AR42)="H",$C42/2,0)))))))</f>
        <v>0</v>
      </c>
      <c r="AS42" s="27">
        <f>IF($A42="",0,IF(Mitarbeiter!$G$40=FALSE,0,IF(AND(Mitarbeiter!$E$40&lt;&gt;"",AS$5+6&lt;Mitarbeiter!$E$40),0,IF(AND(Mitarbeiter!$F$40&lt;&gt;"",AS$5&gt;Mitarbeiter!$F$40),0,IF(Planung!AS42="",$C42,IF(ISNUMBER(Planung!AS42),Planung!AS42,IF(UPPER(Planung!AS42)="H",$C42/2,0)))))))</f>
        <v>0</v>
      </c>
      <c r="AT42" s="27">
        <f>IF($A42="",0,IF(Mitarbeiter!$G$40=FALSE,0,IF(AND(Mitarbeiter!$E$40&lt;&gt;"",AT$5+6&lt;Mitarbeiter!$E$40),0,IF(AND(Mitarbeiter!$F$40&lt;&gt;"",AT$5&gt;Mitarbeiter!$F$40),0,IF(Planung!AT42="",$C42,IF(ISNUMBER(Planung!AT42),Planung!AT42,IF(UPPER(Planung!AT42)="H",$C42/2,0)))))))</f>
        <v>0</v>
      </c>
      <c r="AU42" s="27">
        <f>IF($A42="",0,IF(Mitarbeiter!$G$40=FALSE,0,IF(AND(Mitarbeiter!$E$40&lt;&gt;"",AU$5+6&lt;Mitarbeiter!$E$40),0,IF(AND(Mitarbeiter!$F$40&lt;&gt;"",AU$5&gt;Mitarbeiter!$F$40),0,IF(Planung!AU42="",$C42,IF(ISNUMBER(Planung!AU42),Planung!AU42,IF(UPPER(Planung!AU42)="H",$C42/2,0)))))))</f>
        <v>0</v>
      </c>
      <c r="AV42" s="27">
        <f>IF($A42="",0,IF(Mitarbeiter!$G$40=FALSE,0,IF(AND(Mitarbeiter!$E$40&lt;&gt;"",AV$5+6&lt;Mitarbeiter!$E$40),0,IF(AND(Mitarbeiter!$F$40&lt;&gt;"",AV$5&gt;Mitarbeiter!$F$40),0,IF(Planung!AV42="",$C42,IF(ISNUMBER(Planung!AV42),Planung!AV42,IF(UPPER(Planung!AV42)="H",$C42/2,0)))))))</f>
        <v>0</v>
      </c>
      <c r="AW42" s="27">
        <f>IF($A42="",0,IF(Mitarbeiter!$G$40=FALSE,0,IF(AND(Mitarbeiter!$E$40&lt;&gt;"",AW$5+6&lt;Mitarbeiter!$E$40),0,IF(AND(Mitarbeiter!$F$40&lt;&gt;"",AW$5&gt;Mitarbeiter!$F$40),0,IF(Planung!AW42="",$C42,IF(ISNUMBER(Planung!AW42),Planung!AW42,IF(UPPER(Planung!AW42)="H",$C42/2,0)))))))</f>
        <v>0</v>
      </c>
      <c r="AX42" s="27">
        <f>IF($A42="",0,IF(Mitarbeiter!$G$40=FALSE,0,IF(AND(Mitarbeiter!$E$40&lt;&gt;"",AX$5+6&lt;Mitarbeiter!$E$40),0,IF(AND(Mitarbeiter!$F$40&lt;&gt;"",AX$5&gt;Mitarbeiter!$F$40),0,IF(Planung!AX42="",$C42,IF(ISNUMBER(Planung!AX42),Planung!AX42,IF(UPPER(Planung!AX42)="H",$C42/2,0)))))))</f>
        <v>0</v>
      </c>
      <c r="AY42" s="27">
        <f>IF($A42="",0,IF(Mitarbeiter!$G$40=FALSE,0,IF(AND(Mitarbeiter!$E$40&lt;&gt;"",AY$5+6&lt;Mitarbeiter!$E$40),0,IF(AND(Mitarbeiter!$F$40&lt;&gt;"",AY$5&gt;Mitarbeiter!$F$40),0,IF(Planung!AY42="",$C42,IF(ISNUMBER(Planung!AY42),Planung!AY42,IF(UPPER(Planung!AY42)="H",$C42/2,0)))))))</f>
        <v>0</v>
      </c>
      <c r="AZ42" s="27">
        <f>IF($A42="",0,IF(Mitarbeiter!$G$40=FALSE,0,IF(AND(Mitarbeiter!$E$40&lt;&gt;"",AZ$5+6&lt;Mitarbeiter!$E$40),0,IF(AND(Mitarbeiter!$F$40&lt;&gt;"",AZ$5&gt;Mitarbeiter!$F$40),0,IF(Planung!AZ42="",$C42,IF(ISNUMBER(Planung!AZ42),Planung!AZ42,IF(UPPER(Planung!AZ42)="H",$C42/2,0)))))))</f>
        <v>0</v>
      </c>
      <c r="BA42" s="27">
        <f>IF($A42="",0,IF(Mitarbeiter!$G$40=FALSE,0,IF(AND(Mitarbeiter!$E$40&lt;&gt;"",BA$5+6&lt;Mitarbeiter!$E$40),0,IF(AND(Mitarbeiter!$F$40&lt;&gt;"",BA$5&gt;Mitarbeiter!$F$40),0,IF(Planung!BA42="",$C42,IF(ISNUMBER(Planung!BA42),Planung!BA42,IF(UPPER(Planung!BA42)="H",$C42/2,0)))))))</f>
        <v>0</v>
      </c>
      <c r="BB42" s="27">
        <f>IF($A42="",0,IF(Mitarbeiter!$G$40=FALSE,0,IF(AND(Mitarbeiter!$E$40&lt;&gt;"",BB$5+6&lt;Mitarbeiter!$E$40),0,IF(AND(Mitarbeiter!$F$40&lt;&gt;"",BB$5&gt;Mitarbeiter!$F$40),0,IF(Planung!BB42="",$C42,IF(ISNUMBER(Planung!BB42),Planung!BB42,IF(UPPER(Planung!BB42)="H",$C42/2,0)))))))</f>
        <v>0</v>
      </c>
      <c r="BC42" s="27">
        <f>IF($A42="",0,IF(Mitarbeiter!$G$40=FALSE,0,IF(AND(Mitarbeiter!$E$40&lt;&gt;"",BC$5+6&lt;Mitarbeiter!$E$40),0,IF(AND(Mitarbeiter!$F$40&lt;&gt;"",BC$5&gt;Mitarbeiter!$F$40),0,IF(Planung!BC42="",$C42,IF(ISNUMBER(Planung!BC42),Planung!BC42,IF(UPPER(Planung!BC42)="H",$C42/2,0)))))))</f>
        <v>0</v>
      </c>
      <c r="BD42" s="27">
        <f>IF($A42="",0,IF(Mitarbeiter!$G$40=FALSE,0,IF(AND(Mitarbeiter!$E$40&lt;&gt;"",BD$5+6&lt;Mitarbeiter!$E$40),0,IF(AND(Mitarbeiter!$F$40&lt;&gt;"",BD$5&gt;Mitarbeiter!$F$40),0,IF(Planung!BD42="",$C42,IF(ISNUMBER(Planung!BD42),Planung!BD42,IF(UPPER(Planung!BD42)="H",$C42/2,0)))))))</f>
        <v>0</v>
      </c>
      <c r="BE42" s="27">
        <f>IF($A42="",0,IF(Mitarbeiter!$G$40=FALSE,0,IF(AND(Mitarbeiter!$E$40&lt;&gt;"",BE$5+6&lt;Mitarbeiter!$E$40),0,IF(AND(Mitarbeiter!$F$40&lt;&gt;"",BE$5&gt;Mitarbeiter!$F$40),0,IF(Planung!BE42="",$C42,IF(ISNUMBER(Planung!BE42),Planung!BE42,IF(UPPER(Planung!BE42)="H",$C42/2,0)))))))</f>
        <v>0</v>
      </c>
      <c r="BF42" s="27">
        <f>IF($A42="",0,IF(Mitarbeiter!$G$40=FALSE,0,IF(AND(Mitarbeiter!$E$40&lt;&gt;"",BF$5+6&lt;Mitarbeiter!$E$40),0,IF(AND(Mitarbeiter!$F$40&lt;&gt;"",BF$5&gt;Mitarbeiter!$F$40),0,IF(Planung!BF42="",$C42,IF(ISNUMBER(Planung!BF42),Planung!BF42,IF(UPPER(Planung!BF42)="H",$C42/2,0)))))))</f>
        <v>0</v>
      </c>
      <c r="BG42" s="27">
        <f>IF($A42="",0,IF(Mitarbeiter!$G$40=FALSE,0,IF(AND(Mitarbeiter!$E$40&lt;&gt;"",BG$5+6&lt;Mitarbeiter!$E$40),0,IF(AND(Mitarbeiter!$F$40&lt;&gt;"",BG$5&gt;Mitarbeiter!$F$40),0,IF(Planung!BG42="",$C42,IF(ISNUMBER(Planung!BG42),Planung!BG42,IF(UPPER(Planung!BG42)="H",$C42/2,0)))))))</f>
        <v>0</v>
      </c>
      <c r="BH42" s="27">
        <f>IF($A42="",0,IF(Mitarbeiter!$G$40=FALSE,0,IF(AND(Mitarbeiter!$E$40&lt;&gt;"",BH$5+6&lt;Mitarbeiter!$E$40),0,IF(AND(Mitarbeiter!$F$40&lt;&gt;"",BH$5&gt;Mitarbeiter!$F$40),0,IF(Planung!BH42="",$C42,IF(ISNUMBER(Planung!BH42),Planung!BH42,IF(UPPER(Planung!BH42)="H",$C42/2,0)))))))</f>
        <v>0</v>
      </c>
      <c r="BI42" s="27">
        <f>IF($A42="",0,IF(Mitarbeiter!$G$40=FALSE,0,IF(AND(Mitarbeiter!$E$40&lt;&gt;"",BI$5+6&lt;Mitarbeiter!$E$40),0,IF(AND(Mitarbeiter!$F$40&lt;&gt;"",BI$5&gt;Mitarbeiter!$F$40),0,IF(Planung!BI42="",$C42,IF(ISNUMBER(Planung!BI42),Planung!BI42,IF(UPPER(Planung!BI42)="H",$C42/2,0)))))))</f>
        <v>0</v>
      </c>
      <c r="BJ42" s="27">
        <f>IF($A42="",0,IF(Mitarbeiter!$G$40=FALSE,0,IF(AND(Mitarbeiter!$E$40&lt;&gt;"",BJ$5+6&lt;Mitarbeiter!$E$40),0,IF(AND(Mitarbeiter!$F$40&lt;&gt;"",BJ$5&gt;Mitarbeiter!$F$40),0,IF(Planung!BJ42="",$C42,IF(ISNUMBER(Planung!BJ42),Planung!BJ42,IF(UPPER(Planung!BJ42)="H",$C42/2,0)))))))</f>
        <v>0</v>
      </c>
      <c r="BK42" s="27">
        <f>IF($A42="",0,IF(Mitarbeiter!$G$40=FALSE,0,IF(AND(Mitarbeiter!$E$40&lt;&gt;"",BK$5+6&lt;Mitarbeiter!$E$40),0,IF(AND(Mitarbeiter!$F$40&lt;&gt;"",BK$5&gt;Mitarbeiter!$F$40),0,IF(Planung!BK42="",$C42,IF(ISNUMBER(Planung!BK42),Planung!BK42,IF(UPPER(Planung!BK42)="H",$C42/2,0)))))))</f>
        <v>0</v>
      </c>
      <c r="BL42" s="27">
        <f>IF($A42="",0,IF(Mitarbeiter!$G$40=FALSE,0,IF(AND(Mitarbeiter!$E$40&lt;&gt;"",BL$5+6&lt;Mitarbeiter!$E$40),0,IF(AND(Mitarbeiter!$F$40&lt;&gt;"",BL$5&gt;Mitarbeiter!$F$40),0,IF(Planung!BL42="",$C42,IF(ISNUMBER(Planung!BL42),Planung!BL42,IF(UPPER(Planung!BL42)="H",$C42/2,0)))))))</f>
        <v>0</v>
      </c>
      <c r="BM42" s="27">
        <f>IF($A42="",0,IF(Mitarbeiter!$G$40=FALSE,0,IF(AND(Mitarbeiter!$E$40&lt;&gt;"",BM$5+6&lt;Mitarbeiter!$E$40),0,IF(AND(Mitarbeiter!$F$40&lt;&gt;"",BM$5&gt;Mitarbeiter!$F$40),0,IF(Planung!BM42="",$C42,IF(ISNUMBER(Planung!BM42),Planung!BM42,IF(UPPER(Planung!BM42)="H",$C42/2,0)))))))</f>
        <v>0</v>
      </c>
      <c r="BN42" s="27">
        <f>IF($A42="",0,IF(Mitarbeiter!$G$40=FALSE,0,IF(AND(Mitarbeiter!$E$40&lt;&gt;"",BN$5+6&lt;Mitarbeiter!$E$40),0,IF(AND(Mitarbeiter!$F$40&lt;&gt;"",BN$5&gt;Mitarbeiter!$F$40),0,IF(Planung!BN42="",$C42,IF(ISNUMBER(Planung!BN42),Planung!BN42,IF(UPPER(Planung!BN42)="H",$C42/2,0)))))))</f>
        <v>0</v>
      </c>
      <c r="BO42" s="27">
        <f>IF($A42="",0,IF(Mitarbeiter!$G$40=FALSE,0,IF(AND(Mitarbeiter!$E$40&lt;&gt;"",BO$5+6&lt;Mitarbeiter!$E$40),0,IF(AND(Mitarbeiter!$F$40&lt;&gt;"",BO$5&gt;Mitarbeiter!$F$40),0,IF(Planung!BO42="",$C42,IF(ISNUMBER(Planung!BO42),Planung!BO42,IF(UPPER(Planung!BO42)="H",$C42/2,0)))))))</f>
        <v>0</v>
      </c>
      <c r="BP42" s="27">
        <f>IF($A42="",0,IF(Mitarbeiter!$G$40=FALSE,0,IF(AND(Mitarbeiter!$E$40&lt;&gt;"",BP$5+6&lt;Mitarbeiter!$E$40),0,IF(AND(Mitarbeiter!$F$40&lt;&gt;"",BP$5&gt;Mitarbeiter!$F$40),0,IF(Planung!BP42="",$C42,IF(ISNUMBER(Planung!BP42),Planung!BP42,IF(UPPER(Planung!BP42)="H",$C42/2,0)))))))</f>
        <v>0</v>
      </c>
      <c r="BQ42" s="27">
        <f>IF($A42="",0,IF(Mitarbeiter!$G$40=FALSE,0,IF(AND(Mitarbeiter!$E$40&lt;&gt;"",BQ$5+6&lt;Mitarbeiter!$E$40),0,IF(AND(Mitarbeiter!$F$40&lt;&gt;"",BQ$5&gt;Mitarbeiter!$F$40),0,IF(Planung!BQ42="",$C42,IF(ISNUMBER(Planung!BQ42),Planung!BQ42,IF(UPPER(Planung!BQ42)="H",$C42/2,0)))))))</f>
        <v>0</v>
      </c>
      <c r="BR42" s="27">
        <f>IF($A42="",0,IF(Mitarbeiter!$G$40=FALSE,0,IF(AND(Mitarbeiter!$E$40&lt;&gt;"",BR$5+6&lt;Mitarbeiter!$E$40),0,IF(AND(Mitarbeiter!$F$40&lt;&gt;"",BR$5&gt;Mitarbeiter!$F$40),0,IF(Planung!BR42="",$C42,IF(ISNUMBER(Planung!BR42),Planung!BR42,IF(UPPER(Planung!BR42)="H",$C42/2,0)))))))</f>
        <v>0</v>
      </c>
      <c r="BS42" s="27">
        <f>IF($A42="",0,IF(Mitarbeiter!$G$40=FALSE,0,IF(AND(Mitarbeiter!$E$40&lt;&gt;"",BS$5+6&lt;Mitarbeiter!$E$40),0,IF(AND(Mitarbeiter!$F$40&lt;&gt;"",BS$5&gt;Mitarbeiter!$F$40),0,IF(Planung!BS42="",$C42,IF(ISNUMBER(Planung!BS42),Planung!BS42,IF(UPPER(Planung!BS42)="H",$C42/2,0)))))))</f>
        <v>0</v>
      </c>
      <c r="BT42" s="27">
        <f>IF($A42="",0,IF(Mitarbeiter!$G$40=FALSE,0,IF(AND(Mitarbeiter!$E$40&lt;&gt;"",BT$5+6&lt;Mitarbeiter!$E$40),0,IF(AND(Mitarbeiter!$F$40&lt;&gt;"",BT$5&gt;Mitarbeiter!$F$40),0,IF(Planung!BT42="",$C42,IF(ISNUMBER(Planung!BT42),Planung!BT42,IF(UPPER(Planung!BT42)="H",$C42/2,0)))))))</f>
        <v>0</v>
      </c>
      <c r="BU42" s="27">
        <f>IF($A42="",0,IF(Mitarbeiter!$G$40=FALSE,0,IF(AND(Mitarbeiter!$E$40&lt;&gt;"",BU$5+6&lt;Mitarbeiter!$E$40),0,IF(AND(Mitarbeiter!$F$40&lt;&gt;"",BU$5&gt;Mitarbeiter!$F$40),0,IF(Planung!BU42="",$C42,IF(ISNUMBER(Planung!BU42),Planung!BU42,IF(UPPER(Planung!BU42)="H",$C42/2,0)))))))</f>
        <v>0</v>
      </c>
      <c r="BV42" s="27">
        <f>IF($A42="",0,IF(Mitarbeiter!$G$40=FALSE,0,IF(AND(Mitarbeiter!$E$40&lt;&gt;"",BV$5+6&lt;Mitarbeiter!$E$40),0,IF(AND(Mitarbeiter!$F$40&lt;&gt;"",BV$5&gt;Mitarbeiter!$F$40),0,IF(Planung!BV42="",$C42,IF(ISNUMBER(Planung!BV42),Planung!BV42,IF(UPPER(Planung!BV42)="H",$C42/2,0)))))))</f>
        <v>0</v>
      </c>
      <c r="BW42" s="27">
        <f>IF($A42="",0,IF(Mitarbeiter!$G$40=FALSE,0,IF(AND(Mitarbeiter!$E$40&lt;&gt;"",BW$5+6&lt;Mitarbeiter!$E$40),0,IF(AND(Mitarbeiter!$F$40&lt;&gt;"",BW$5&gt;Mitarbeiter!$F$40),0,IF(Planung!BW42="",$C42,IF(ISNUMBER(Planung!BW42),Planung!BW42,IF(UPPER(Planung!BW42)="H",$C42/2,0)))))))</f>
        <v>0</v>
      </c>
      <c r="BX42" s="27">
        <f>IF($A42="",0,IF(Mitarbeiter!$G$40=FALSE,0,IF(AND(Mitarbeiter!$E$40&lt;&gt;"",BX$5+6&lt;Mitarbeiter!$E$40),0,IF(AND(Mitarbeiter!$F$40&lt;&gt;"",BX$5&gt;Mitarbeiter!$F$40),0,IF(Planung!BX42="",$C42,IF(ISNUMBER(Planung!BX42),Planung!BX42,IF(UPPER(Planung!BX42)="H",$C42/2,0)))))))</f>
        <v>0</v>
      </c>
      <c r="BY42" s="27">
        <f>IF($A42="",0,IF(Mitarbeiter!$G$40=FALSE,0,IF(AND(Mitarbeiter!$E$40&lt;&gt;"",BY$5+6&lt;Mitarbeiter!$E$40),0,IF(AND(Mitarbeiter!$F$40&lt;&gt;"",BY$5&gt;Mitarbeiter!$F$40),0,IF(Planung!BY42="",$C42,IF(ISNUMBER(Planung!BY42),Planung!BY42,IF(UPPER(Planung!BY42)="H",$C42/2,0)))))))</f>
        <v>0</v>
      </c>
      <c r="BZ42" s="27">
        <f>IF($A42="",0,IF(Mitarbeiter!$G$40=FALSE,0,IF(AND(Mitarbeiter!$E$40&lt;&gt;"",BZ$5+6&lt;Mitarbeiter!$E$40),0,IF(AND(Mitarbeiter!$F$40&lt;&gt;"",BZ$5&gt;Mitarbeiter!$F$40),0,IF(Planung!BZ42="",$C42,IF(ISNUMBER(Planung!BZ42),Planung!BZ42,IF(UPPER(Planung!BZ42)="H",$C42/2,0)))))))</f>
        <v>0</v>
      </c>
      <c r="CA42" s="27">
        <f>IF($A42="",0,IF(Mitarbeiter!$G$40=FALSE,0,IF(AND(Mitarbeiter!$E$40&lt;&gt;"",CA$5+6&lt;Mitarbeiter!$E$40),0,IF(AND(Mitarbeiter!$F$40&lt;&gt;"",CA$5&gt;Mitarbeiter!$F$40),0,IF(Planung!CA42="",$C42,IF(ISNUMBER(Planung!CA42),Planung!CA42,IF(UPPER(Planung!CA42)="H",$C42/2,0)))))))</f>
        <v>0</v>
      </c>
      <c r="CB42" s="27">
        <f>IF($A42="",0,IF(Mitarbeiter!$G$40=FALSE,0,IF(AND(Mitarbeiter!$E$40&lt;&gt;"",CB$5+6&lt;Mitarbeiter!$E$40),0,IF(AND(Mitarbeiter!$F$40&lt;&gt;"",CB$5&gt;Mitarbeiter!$F$40),0,IF(Planung!CB42="",$C42,IF(ISNUMBER(Planung!CB42),Planung!CB42,IF(UPPER(Planung!CB42)="H",$C42/2,0)))))))</f>
        <v>0</v>
      </c>
      <c r="CC42" s="27">
        <f>IF($A42="",0,IF(Mitarbeiter!$G$40=FALSE,0,IF(AND(Mitarbeiter!$E$40&lt;&gt;"",CC$5+6&lt;Mitarbeiter!$E$40),0,IF(AND(Mitarbeiter!$F$40&lt;&gt;"",CC$5&gt;Mitarbeiter!$F$40),0,IF(Planung!CC42="",$C42,IF(ISNUMBER(Planung!CC42),Planung!CC42,IF(UPPER(Planung!CC42)="H",$C42/2,0)))))))</f>
        <v>0</v>
      </c>
      <c r="CD42" s="27">
        <f>IF($A42="",0,IF(Mitarbeiter!$G$40=FALSE,0,IF(AND(Mitarbeiter!$E$40&lt;&gt;"",CD$5+6&lt;Mitarbeiter!$E$40),0,IF(AND(Mitarbeiter!$F$40&lt;&gt;"",CD$5&gt;Mitarbeiter!$F$40),0,IF(Planung!CD42="",$C42,IF(ISNUMBER(Planung!CD42),Planung!CD42,IF(UPPER(Planung!CD42)="H",$C42/2,0)))))))</f>
        <v>0</v>
      </c>
      <c r="CE42" s="27">
        <f>IF($A42="",0,IF(Mitarbeiter!$G$40=FALSE,0,IF(AND(Mitarbeiter!$E$40&lt;&gt;"",CE$5+6&lt;Mitarbeiter!$E$40),0,IF(AND(Mitarbeiter!$F$40&lt;&gt;"",CE$5&gt;Mitarbeiter!$F$40),0,IF(Planung!CE42="",$C42,IF(ISNUMBER(Planung!CE42),Planung!CE42,IF(UPPER(Planung!CE42)="H",$C42/2,0)))))))</f>
        <v>0</v>
      </c>
      <c r="CF42" s="27">
        <f>IF($A42="",0,IF(Mitarbeiter!$G$40=FALSE,0,IF(AND(Mitarbeiter!$E$40&lt;&gt;"",CF$5+6&lt;Mitarbeiter!$E$40),0,IF(AND(Mitarbeiter!$F$40&lt;&gt;"",CF$5&gt;Mitarbeiter!$F$40),0,IF(Planung!CF42="",$C42,IF(ISNUMBER(Planung!CF42),Planung!CF42,IF(UPPER(Planung!CF42)="H",$C42/2,0)))))))</f>
        <v>0</v>
      </c>
      <c r="CG42" s="27">
        <f>IF($A42="",0,IF(Mitarbeiter!$G$40=FALSE,0,IF(AND(Mitarbeiter!$E$40&lt;&gt;"",CG$5+6&lt;Mitarbeiter!$E$40),0,IF(AND(Mitarbeiter!$F$40&lt;&gt;"",CG$5&gt;Mitarbeiter!$F$40),0,IF(Planung!CG42="",$C42,IF(ISNUMBER(Planung!CG42),Planung!CG42,IF(UPPER(Planung!CG42)="H",$C42/2,0)))))))</f>
        <v>0</v>
      </c>
      <c r="CH42" s="27">
        <f>IF($A42="",0,IF(Mitarbeiter!$G$40=FALSE,0,IF(AND(Mitarbeiter!$E$40&lt;&gt;"",CH$5+6&lt;Mitarbeiter!$E$40),0,IF(AND(Mitarbeiter!$F$40&lt;&gt;"",CH$5&gt;Mitarbeiter!$F$40),0,IF(Planung!CH42="",$C42,IF(ISNUMBER(Planung!CH42),Planung!CH42,IF(UPPER(Planung!CH42)="H",$C42/2,0)))))))</f>
        <v>0</v>
      </c>
      <c r="CI42" s="27">
        <f>IF($A42="",0,IF(Mitarbeiter!$G$40=FALSE,0,IF(AND(Mitarbeiter!$E$40&lt;&gt;"",CI$5+6&lt;Mitarbeiter!$E$40),0,IF(AND(Mitarbeiter!$F$40&lt;&gt;"",CI$5&gt;Mitarbeiter!$F$40),0,IF(Planung!CI42="",$C42,IF(ISNUMBER(Planung!CI42),Planung!CI42,IF(UPPER(Planung!CI42)="H",$C42/2,0)))))))</f>
        <v>0</v>
      </c>
      <c r="CJ42" s="27">
        <f>IF($A42="",0,IF(Mitarbeiter!$G$40=FALSE,0,IF(AND(Mitarbeiter!$E$40&lt;&gt;"",CJ$5+6&lt;Mitarbeiter!$E$40),0,IF(AND(Mitarbeiter!$F$40&lt;&gt;"",CJ$5&gt;Mitarbeiter!$F$40),0,IF(Planung!CJ42="",$C42,IF(ISNUMBER(Planung!CJ42),Planung!CJ42,IF(UPPER(Planung!CJ42)="H",$C42/2,0)))))))</f>
        <v>0</v>
      </c>
      <c r="CK42" s="27">
        <f>IF($A42="",0,IF(Mitarbeiter!$G$40=FALSE,0,IF(AND(Mitarbeiter!$E$40&lt;&gt;"",CK$5+6&lt;Mitarbeiter!$E$40),0,IF(AND(Mitarbeiter!$F$40&lt;&gt;"",CK$5&gt;Mitarbeiter!$F$40),0,IF(Planung!CK42="",$C42,IF(ISNUMBER(Planung!CK42),Planung!CK42,IF(UPPER(Planung!CK42)="H",$C42/2,0)))))))</f>
        <v>0</v>
      </c>
      <c r="CL42" s="27">
        <f>IF($A42="",0,IF(Mitarbeiter!$G$40=FALSE,0,IF(AND(Mitarbeiter!$E$40&lt;&gt;"",CL$5+6&lt;Mitarbeiter!$E$40),0,IF(AND(Mitarbeiter!$F$40&lt;&gt;"",CL$5&gt;Mitarbeiter!$F$40),0,IF(Planung!CL42="",$C42,IF(ISNUMBER(Planung!CL42),Planung!CL42,IF(UPPER(Planung!CL42)="H",$C42/2,0)))))))</f>
        <v>0</v>
      </c>
      <c r="CM42" s="27">
        <f>IF($A42="",0,IF(Mitarbeiter!$G$40=FALSE,0,IF(AND(Mitarbeiter!$E$40&lt;&gt;"",CM$5+6&lt;Mitarbeiter!$E$40),0,IF(AND(Mitarbeiter!$F$40&lt;&gt;"",CM$5&gt;Mitarbeiter!$F$40),0,IF(Planung!CM42="",$C42,IF(ISNUMBER(Planung!CM42),Planung!CM42,IF(UPPER(Planung!CM42)="H",$C42/2,0)))))))</f>
        <v>0</v>
      </c>
      <c r="CN42" s="27">
        <f>IF($A42="",0,IF(Mitarbeiter!$G$40=FALSE,0,IF(AND(Mitarbeiter!$E$40&lt;&gt;"",CN$5+6&lt;Mitarbeiter!$E$40),0,IF(AND(Mitarbeiter!$F$40&lt;&gt;"",CN$5&gt;Mitarbeiter!$F$40),0,IF(Planung!CN42="",$C42,IF(ISNUMBER(Planung!CN42),Planung!CN42,IF(UPPER(Planung!CN42)="H",$C42/2,0)))))))</f>
        <v>0</v>
      </c>
      <c r="CO42" s="27">
        <f>IF($A42="",0,IF(Mitarbeiter!$G$40=FALSE,0,IF(AND(Mitarbeiter!$E$40&lt;&gt;"",CO$5+6&lt;Mitarbeiter!$E$40),0,IF(AND(Mitarbeiter!$F$40&lt;&gt;"",CO$5&gt;Mitarbeiter!$F$40),0,IF(Planung!CO42="",$C42,IF(ISNUMBER(Planung!CO42),Planung!CO42,IF(UPPER(Planung!CO42)="H",$C42/2,0)))))))</f>
        <v>0</v>
      </c>
      <c r="CP42" s="27">
        <f>IF($A42="",0,IF(Mitarbeiter!$G$40=FALSE,0,IF(AND(Mitarbeiter!$E$40&lt;&gt;"",CP$5+6&lt;Mitarbeiter!$E$40),0,IF(AND(Mitarbeiter!$F$40&lt;&gt;"",CP$5&gt;Mitarbeiter!$F$40),0,IF(Planung!CP42="",$C42,IF(ISNUMBER(Planung!CP42),Planung!CP42,IF(UPPER(Planung!CP42)="H",$C42/2,0)))))))</f>
        <v>0</v>
      </c>
      <c r="CQ42" s="27">
        <f>IF($A42="",0,IF(Mitarbeiter!$G$40=FALSE,0,IF(AND(Mitarbeiter!$E$40&lt;&gt;"",CQ$5+6&lt;Mitarbeiter!$E$40),0,IF(AND(Mitarbeiter!$F$40&lt;&gt;"",CQ$5&gt;Mitarbeiter!$F$40),0,IF(Planung!CQ42="",$C42,IF(ISNUMBER(Planung!CQ42),Planung!CQ42,IF(UPPER(Planung!CQ42)="H",$C42/2,0)))))))</f>
        <v>0</v>
      </c>
      <c r="CR42" s="27">
        <f>IF($A42="",0,IF(Mitarbeiter!$G$40=FALSE,0,IF(AND(Mitarbeiter!$E$40&lt;&gt;"",CR$5+6&lt;Mitarbeiter!$E$40),0,IF(AND(Mitarbeiter!$F$40&lt;&gt;"",CR$5&gt;Mitarbeiter!$F$40),0,IF(Planung!CR42="",$C42,IF(ISNUMBER(Planung!CR42),Planung!CR42,IF(UPPER(Planung!CR42)="H",$C42/2,0)))))))</f>
        <v>0</v>
      </c>
      <c r="CS42" s="27">
        <f>IF($A42="",0,IF(Mitarbeiter!$G$40=FALSE,0,IF(AND(Mitarbeiter!$E$40&lt;&gt;"",CS$5+6&lt;Mitarbeiter!$E$40),0,IF(AND(Mitarbeiter!$F$40&lt;&gt;"",CS$5&gt;Mitarbeiter!$F$40),0,IF(Planung!CS42="",$C42,IF(ISNUMBER(Planung!CS42),Planung!CS42,IF(UPPER(Planung!CS42)="H",$C42/2,0)))))))</f>
        <v>0</v>
      </c>
      <c r="CT42" s="27">
        <f>IF($A42="",0,IF(Mitarbeiter!$G$40=FALSE,0,IF(AND(Mitarbeiter!$E$40&lt;&gt;"",CT$5+6&lt;Mitarbeiter!$E$40),0,IF(AND(Mitarbeiter!$F$40&lt;&gt;"",CT$5&gt;Mitarbeiter!$F$40),0,IF(Planung!CT42="",$C42,IF(ISNUMBER(Planung!CT42),Planung!CT42,IF(UPPER(Planung!CT42)="H",$C42/2,0)))))))</f>
        <v>0</v>
      </c>
      <c r="CU42" s="27">
        <f>IF($A42="",0,IF(Mitarbeiter!$G$40=FALSE,0,IF(AND(Mitarbeiter!$E$40&lt;&gt;"",CU$5+6&lt;Mitarbeiter!$E$40),0,IF(AND(Mitarbeiter!$F$40&lt;&gt;"",CU$5&gt;Mitarbeiter!$F$40),0,IF(Planung!CU42="",$C42,IF(ISNUMBER(Planung!CU42),Planung!CU42,IF(UPPER(Planung!CU42)="H",$C42/2,0)))))))</f>
        <v>0</v>
      </c>
      <c r="CV42" s="27">
        <f>IF($A42="",0,IF(Mitarbeiter!$G$40=FALSE,0,IF(AND(Mitarbeiter!$E$40&lt;&gt;"",CV$5+6&lt;Mitarbeiter!$E$40),0,IF(AND(Mitarbeiter!$F$40&lt;&gt;"",CV$5&gt;Mitarbeiter!$F$40),0,IF(Planung!CV42="",$C42,IF(ISNUMBER(Planung!CV42),Planung!CV42,IF(UPPER(Planung!CV42)="H",$C42/2,0)))))))</f>
        <v>0</v>
      </c>
      <c r="CW42" s="27">
        <f>IF($A42="",0,IF(Mitarbeiter!$G$40=FALSE,0,IF(AND(Mitarbeiter!$E$40&lt;&gt;"",CW$5+6&lt;Mitarbeiter!$E$40),0,IF(AND(Mitarbeiter!$F$40&lt;&gt;"",CW$5&gt;Mitarbeiter!$F$40),0,IF(Planung!CW42="",$C42,IF(ISNUMBER(Planung!CW42),Planung!CW42,IF(UPPER(Planung!CW42)="H",$C42/2,0)))))))</f>
        <v>0</v>
      </c>
      <c r="CX42" s="27">
        <f>IF($A42="",0,IF(Mitarbeiter!$G$40=FALSE,0,IF(AND(Mitarbeiter!$E$40&lt;&gt;"",CX$5+6&lt;Mitarbeiter!$E$40),0,IF(AND(Mitarbeiter!$F$40&lt;&gt;"",CX$5&gt;Mitarbeiter!$F$40),0,IF(Planung!CX42="",$C42,IF(ISNUMBER(Planung!CX42),Planung!CX42,IF(UPPER(Planung!CX42)="H",$C42/2,0)))))))</f>
        <v>0</v>
      </c>
      <c r="CY42" s="27">
        <f>IF($A42="",0,IF(Mitarbeiter!$G$40=FALSE,0,IF(AND(Mitarbeiter!$E$40&lt;&gt;"",CY$5+6&lt;Mitarbeiter!$E$40),0,IF(AND(Mitarbeiter!$F$40&lt;&gt;"",CY$5&gt;Mitarbeiter!$F$40),0,IF(Planung!CY42="",$C42,IF(ISNUMBER(Planung!CY42),Planung!CY42,IF(UPPER(Planung!CY42)="H",$C42/2,0)))))))</f>
        <v>0</v>
      </c>
      <c r="CZ42" s="27">
        <f>IF($A42="",0,IF(Mitarbeiter!$G$40=FALSE,0,IF(AND(Mitarbeiter!$E$40&lt;&gt;"",CZ$5+6&lt;Mitarbeiter!$E$40),0,IF(AND(Mitarbeiter!$F$40&lt;&gt;"",CZ$5&gt;Mitarbeiter!$F$40),0,IF(Planung!CZ42="",$C42,IF(ISNUMBER(Planung!CZ42),Planung!CZ42,IF(UPPER(Planung!CZ42)="H",$C42/2,0)))))))</f>
        <v>0</v>
      </c>
      <c r="DA42" s="27">
        <f>IF($A42="",0,IF(Mitarbeiter!$G$40=FALSE,0,IF(AND(Mitarbeiter!$E$40&lt;&gt;"",DA$5+6&lt;Mitarbeiter!$E$40),0,IF(AND(Mitarbeiter!$F$40&lt;&gt;"",DA$5&gt;Mitarbeiter!$F$40),0,IF(Planung!DA42="",$C42,IF(ISNUMBER(Planung!DA42),Planung!DA42,IF(UPPER(Planung!DA42)="H",$C42/2,0)))))))</f>
        <v>0</v>
      </c>
      <c r="DB42" s="27">
        <f>IF($A42="",0,IF(Mitarbeiter!$G$40=FALSE,0,IF(AND(Mitarbeiter!$E$40&lt;&gt;"",DB$5+6&lt;Mitarbeiter!$E$40),0,IF(AND(Mitarbeiter!$F$40&lt;&gt;"",DB$5&gt;Mitarbeiter!$F$40),0,IF(Planung!DB42="",$C42,IF(ISNUMBER(Planung!DB42),Planung!DB42,IF(UPPER(Planung!DB42)="H",$C42/2,0)))))))</f>
        <v>0</v>
      </c>
      <c r="DC42" s="27">
        <f>IF($A42="",0,IF(Mitarbeiter!$G$40=FALSE,0,IF(AND(Mitarbeiter!$E$40&lt;&gt;"",DC$5+6&lt;Mitarbeiter!$E$40),0,IF(AND(Mitarbeiter!$F$40&lt;&gt;"",DC$5&gt;Mitarbeiter!$F$40),0,IF(Planung!DC42="",$C42,IF(ISNUMBER(Planung!DC42),Planung!DC42,IF(UPPER(Planung!DC42)="H",$C42/2,0)))))))</f>
        <v>0</v>
      </c>
      <c r="DD42" s="27">
        <f>IF($A42="",0,IF(Mitarbeiter!$G$40=FALSE,0,IF(AND(Mitarbeiter!$E$40&lt;&gt;"",DD$5+6&lt;Mitarbeiter!$E$40),0,IF(AND(Mitarbeiter!$F$40&lt;&gt;"",DD$5&gt;Mitarbeiter!$F$40),0,IF(Planung!DD42="",$C42,IF(ISNUMBER(Planung!DD42),Planung!DD42,IF(UPPER(Planung!DD42)="H",$C42/2,0)))))))</f>
        <v>0</v>
      </c>
      <c r="DE42" s="27">
        <f>IF($A42="",0,IF(Mitarbeiter!$G$40=FALSE,0,IF(AND(Mitarbeiter!$E$40&lt;&gt;"",DE$5+6&lt;Mitarbeiter!$E$40),0,IF(AND(Mitarbeiter!$F$40&lt;&gt;"",DE$5&gt;Mitarbeiter!$F$40),0,IF(Planung!DE42="",$C42,IF(ISNUMBER(Planung!DE42),Planung!DE42,IF(UPPER(Planung!DE42)="H",$C42/2,0)))))))</f>
        <v>0</v>
      </c>
      <c r="DF42" s="27">
        <f>IF($A42="",0,IF(Mitarbeiter!$G$40=FALSE,0,IF(AND(Mitarbeiter!$E$40&lt;&gt;"",DF$5+6&lt;Mitarbeiter!$E$40),0,IF(AND(Mitarbeiter!$F$40&lt;&gt;"",DF$5&gt;Mitarbeiter!$F$40),0,IF(Planung!DF42="",$C42,IF(ISNUMBER(Planung!DF42),Planung!DF42,IF(UPPER(Planung!DF42)="H",$C42/2,0)))))))</f>
        <v>0</v>
      </c>
      <c r="DG42" s="27">
        <f>IF($A42="",0,IF(Mitarbeiter!$G$40=FALSE,0,IF(AND(Mitarbeiter!$E$40&lt;&gt;"",DG$5+6&lt;Mitarbeiter!$E$40),0,IF(AND(Mitarbeiter!$F$40&lt;&gt;"",DG$5&gt;Mitarbeiter!$F$40),0,IF(Planung!DG42="",$C42,IF(ISNUMBER(Planung!DG42),Planung!DG42,IF(UPPER(Planung!DG42)="H",$C42/2,0)))))))</f>
        <v>0</v>
      </c>
      <c r="DH42" s="27">
        <f>IF($A42="",0,IF(Mitarbeiter!$G$40=FALSE,0,IF(AND(Mitarbeiter!$E$40&lt;&gt;"",DH$5+6&lt;Mitarbeiter!$E$40),0,IF(AND(Mitarbeiter!$F$40&lt;&gt;"",DH$5&gt;Mitarbeiter!$F$40),0,IF(Planung!DH42="",$C42,IF(ISNUMBER(Planung!DH42),Planung!DH42,IF(UPPER(Planung!DH42)="H",$C42/2,0)))))))</f>
        <v>0</v>
      </c>
      <c r="DI42" s="27">
        <f>IF($A42="",0,IF(Mitarbeiter!$G$40=FALSE,0,IF(AND(Mitarbeiter!$E$40&lt;&gt;"",DI$5+6&lt;Mitarbeiter!$E$40),0,IF(AND(Mitarbeiter!$F$40&lt;&gt;"",DI$5&gt;Mitarbeiter!$F$40),0,IF(Planung!DI42="",$C42,IF(ISNUMBER(Planung!DI42),Planung!DI42,IF(UPPER(Planung!DI42)="H",$C42/2,0)))))))</f>
        <v>0</v>
      </c>
      <c r="DJ42" s="27">
        <f>IF($A42="",0,IF(Mitarbeiter!$G$40=FALSE,0,IF(AND(Mitarbeiter!$E$40&lt;&gt;"",DJ$5+6&lt;Mitarbeiter!$E$40),0,IF(AND(Mitarbeiter!$F$40&lt;&gt;"",DJ$5&gt;Mitarbeiter!$F$40),0,IF(Planung!DJ42="",$C42,IF(ISNUMBER(Planung!DJ42),Planung!DJ42,IF(UPPER(Planung!DJ42)="H",$C42/2,0)))))))</f>
        <v>0</v>
      </c>
      <c r="DK42" s="27">
        <f>IF($A42="",0,IF(Mitarbeiter!$G$40=FALSE,0,IF(AND(Mitarbeiter!$E$40&lt;&gt;"",DK$5+6&lt;Mitarbeiter!$E$40),0,IF(AND(Mitarbeiter!$F$40&lt;&gt;"",DK$5&gt;Mitarbeiter!$F$40),0,IF(Planung!DK42="",$C42,IF(ISNUMBER(Planung!DK42),Planung!DK42,IF(UPPER(Planung!DK42)="H",$C42/2,0)))))))</f>
        <v>0</v>
      </c>
      <c r="DL42" s="27">
        <f>IF($A42="",0,IF(Mitarbeiter!$G$40=FALSE,0,IF(AND(Mitarbeiter!$E$40&lt;&gt;"",DL$5+6&lt;Mitarbeiter!$E$40),0,IF(AND(Mitarbeiter!$F$40&lt;&gt;"",DL$5&gt;Mitarbeiter!$F$40),0,IF(Planung!DL42="",$C42,IF(ISNUMBER(Planung!DL42),Planung!DL42,IF(UPPER(Planung!DL42)="H",$C42/2,0)))))))</f>
        <v>0</v>
      </c>
      <c r="DM42" s="27">
        <f>IF($A42="",0,IF(Mitarbeiter!$G$40=FALSE,0,IF(AND(Mitarbeiter!$E$40&lt;&gt;"",DM$5+6&lt;Mitarbeiter!$E$40),0,IF(AND(Mitarbeiter!$F$40&lt;&gt;"",DM$5&gt;Mitarbeiter!$F$40),0,IF(Planung!DM42="",$C42,IF(ISNUMBER(Planung!DM42),Planung!DM42,IF(UPPER(Planung!DM42)="H",$C42/2,0)))))))</f>
        <v>0</v>
      </c>
      <c r="DN42" s="27">
        <f>IF($A42="",0,IF(Mitarbeiter!$G$40=FALSE,0,IF(AND(Mitarbeiter!$E$40&lt;&gt;"",DN$5+6&lt;Mitarbeiter!$E$40),0,IF(AND(Mitarbeiter!$F$40&lt;&gt;"",DN$5&gt;Mitarbeiter!$F$40),0,IF(Planung!DN42="",$C42,IF(ISNUMBER(Planung!DN42),Planung!DN42,IF(UPPER(Planung!DN42)="H",$C42/2,0)))))))</f>
        <v>0</v>
      </c>
      <c r="DO42" s="27">
        <f>IF($A42="",0,IF(Mitarbeiter!$G$40=FALSE,0,IF(AND(Mitarbeiter!$E$40&lt;&gt;"",DO$5+6&lt;Mitarbeiter!$E$40),0,IF(AND(Mitarbeiter!$F$40&lt;&gt;"",DO$5&gt;Mitarbeiter!$F$40),0,IF(Planung!DO42="",$C42,IF(ISNUMBER(Planung!DO42),Planung!DO42,IF(UPPER(Planung!DO42)="H",$C42/2,0)))))))</f>
        <v>0</v>
      </c>
      <c r="DP42" s="27">
        <f>IF($A42="",0,IF(Mitarbeiter!$G$40=FALSE,0,IF(AND(Mitarbeiter!$E$40&lt;&gt;"",DP$5+6&lt;Mitarbeiter!$E$40),0,IF(AND(Mitarbeiter!$F$40&lt;&gt;"",DP$5&gt;Mitarbeiter!$F$40),0,IF(Planung!DP42="",$C42,IF(ISNUMBER(Planung!DP42),Planung!DP42,IF(UPPER(Planung!DP42)="H",$C42/2,0)))))))</f>
        <v>0</v>
      </c>
      <c r="DQ42" s="27">
        <f>IF($A42="",0,IF(Mitarbeiter!$G$40=FALSE,0,IF(AND(Mitarbeiter!$E$40&lt;&gt;"",DQ$5+6&lt;Mitarbeiter!$E$40),0,IF(AND(Mitarbeiter!$F$40&lt;&gt;"",DQ$5&gt;Mitarbeiter!$F$40),0,IF(Planung!DQ42="",$C42,IF(ISNUMBER(Planung!DQ42),Planung!DQ42,IF(UPPER(Planung!DQ42)="H",$C42/2,0)))))))</f>
        <v>0</v>
      </c>
      <c r="DR42" s="27">
        <f>IF($A42="",0,IF(Mitarbeiter!$G$40=FALSE,0,IF(AND(Mitarbeiter!$E$40&lt;&gt;"",DR$5+6&lt;Mitarbeiter!$E$40),0,IF(AND(Mitarbeiter!$F$40&lt;&gt;"",DR$5&gt;Mitarbeiter!$F$40),0,IF(Planung!DR42="",$C42,IF(ISNUMBER(Planung!DR42),Planung!DR42,IF(UPPER(Planung!DR42)="H",$C42/2,0)))))))</f>
        <v>0</v>
      </c>
      <c r="DS42" s="27">
        <f>IF($A42="",0,IF(Mitarbeiter!$G$40=FALSE,0,IF(AND(Mitarbeiter!$E$40&lt;&gt;"",DS$5+6&lt;Mitarbeiter!$E$40),0,IF(AND(Mitarbeiter!$F$40&lt;&gt;"",DS$5&gt;Mitarbeiter!$F$40),0,IF(Planung!DS42="",$C42,IF(ISNUMBER(Planung!DS42),Planung!DS42,IF(UPPER(Planung!DS42)="H",$C42/2,0)))))))</f>
        <v>0</v>
      </c>
      <c r="DT42" s="27">
        <f>IF($A42="",0,IF(Mitarbeiter!$G$40=FALSE,0,IF(AND(Mitarbeiter!$E$40&lt;&gt;"",DT$5+6&lt;Mitarbeiter!$E$40),0,IF(AND(Mitarbeiter!$F$40&lt;&gt;"",DT$5&gt;Mitarbeiter!$F$40),0,IF(Planung!DT42="",$C42,IF(ISNUMBER(Planung!DT42),Planung!DT42,IF(UPPER(Planung!DT42)="H",$C42/2,0)))))))</f>
        <v>0</v>
      </c>
      <c r="DU42" s="27">
        <f>IF($A42="",0,IF(Mitarbeiter!$G$40=FALSE,0,IF(AND(Mitarbeiter!$E$40&lt;&gt;"",DU$5+6&lt;Mitarbeiter!$E$40),0,IF(AND(Mitarbeiter!$F$40&lt;&gt;"",DU$5&gt;Mitarbeiter!$F$40),0,IF(Planung!DU42="",$C42,IF(ISNUMBER(Planung!DU42),Planung!DU42,IF(UPPER(Planung!DU42)="H",$C42/2,0)))))))</f>
        <v>0</v>
      </c>
      <c r="DV42" s="27">
        <f>IF($A42="",0,IF(Mitarbeiter!$G$40=FALSE,0,IF(AND(Mitarbeiter!$E$40&lt;&gt;"",DV$5+6&lt;Mitarbeiter!$E$40),0,IF(AND(Mitarbeiter!$F$40&lt;&gt;"",DV$5&gt;Mitarbeiter!$F$40),0,IF(Planung!DV42="",$C42,IF(ISNUMBER(Planung!DV42),Planung!DV42,IF(UPPER(Planung!DV42)="H",$C42/2,0)))))))</f>
        <v>0</v>
      </c>
      <c r="DW42" s="27">
        <f>IF($A42="",0,IF(Mitarbeiter!$G$40=FALSE,0,IF(AND(Mitarbeiter!$E$40&lt;&gt;"",DW$5+6&lt;Mitarbeiter!$E$40),0,IF(AND(Mitarbeiter!$F$40&lt;&gt;"",DW$5&gt;Mitarbeiter!$F$40),0,IF(Planung!DW42="",$C42,IF(ISNUMBER(Planung!DW42),Planung!DW42,IF(UPPER(Planung!DW42)="H",$C42/2,0)))))))</f>
        <v>0</v>
      </c>
      <c r="DX42" s="27">
        <f>IF($A42="",0,IF(Mitarbeiter!$G$40=FALSE,0,IF(AND(Mitarbeiter!$E$40&lt;&gt;"",DX$5+6&lt;Mitarbeiter!$E$40),0,IF(AND(Mitarbeiter!$F$40&lt;&gt;"",DX$5&gt;Mitarbeiter!$F$40),0,IF(Planung!DX42="",$C42,IF(ISNUMBER(Planung!DX42),Planung!DX42,IF(UPPER(Planung!DX42)="H",$C42/2,0)))))))</f>
        <v>0</v>
      </c>
      <c r="DY42" s="27">
        <f>IF($A42="",0,IF(Mitarbeiter!$G$40=FALSE,0,IF(AND(Mitarbeiter!$E$40&lt;&gt;"",DY$5+6&lt;Mitarbeiter!$E$40),0,IF(AND(Mitarbeiter!$F$40&lt;&gt;"",DY$5&gt;Mitarbeiter!$F$40),0,IF(Planung!DY42="",$C42,IF(ISNUMBER(Planung!DY42),Planung!DY42,IF(UPPER(Planung!DY42)="H",$C42/2,0)))))))</f>
        <v>0</v>
      </c>
      <c r="DZ42" s="27">
        <f>IF($A42="",0,IF(Mitarbeiter!$G$40=FALSE,0,IF(AND(Mitarbeiter!$E$40&lt;&gt;"",DZ$5+6&lt;Mitarbeiter!$E$40),0,IF(AND(Mitarbeiter!$F$40&lt;&gt;"",DZ$5&gt;Mitarbeiter!$F$40),0,IF(Planung!DZ42="",$C42,IF(ISNUMBER(Planung!DZ42),Planung!DZ42,IF(UPPER(Planung!DZ42)="H",$C42/2,0)))))))</f>
        <v>0</v>
      </c>
      <c r="EA42" s="27">
        <f>IF($A42="",0,IF(Mitarbeiter!$G$40=FALSE,0,IF(AND(Mitarbeiter!$E$40&lt;&gt;"",EA$5+6&lt;Mitarbeiter!$E$40),0,IF(AND(Mitarbeiter!$F$40&lt;&gt;"",EA$5&gt;Mitarbeiter!$F$40),0,IF(Planung!EA42="",$C42,IF(ISNUMBER(Planung!EA42),Planung!EA42,IF(UPPER(Planung!EA42)="H",$C42/2,0)))))))</f>
        <v>0</v>
      </c>
      <c r="EB42" s="27">
        <f>IF($A42="",0,IF(Mitarbeiter!$G$40=FALSE,0,IF(AND(Mitarbeiter!$E$40&lt;&gt;"",EB$5+6&lt;Mitarbeiter!$E$40),0,IF(AND(Mitarbeiter!$F$40&lt;&gt;"",EB$5&gt;Mitarbeiter!$F$40),0,IF(Planung!EB42="",$C42,IF(ISNUMBER(Planung!EB42),Planung!EB42,IF(UPPER(Planung!EB42)="H",$C42/2,0)))))))</f>
        <v>0</v>
      </c>
      <c r="EC42" s="27">
        <f>IF($A42="",0,IF(Mitarbeiter!$G$40=FALSE,0,IF(AND(Mitarbeiter!$E$40&lt;&gt;"",EC$5+6&lt;Mitarbeiter!$E$40),0,IF(AND(Mitarbeiter!$F$40&lt;&gt;"",EC$5&gt;Mitarbeiter!$F$40),0,IF(Planung!EC42="",$C42,IF(ISNUMBER(Planung!EC42),Planung!EC42,IF(UPPER(Planung!EC42)="H",$C42/2,0)))))))</f>
        <v>0</v>
      </c>
      <c r="ED42" s="27">
        <f>IF($A42="",0,IF(Mitarbeiter!$G$40=FALSE,0,IF(AND(Mitarbeiter!$E$40&lt;&gt;"",ED$5+6&lt;Mitarbeiter!$E$40),0,IF(AND(Mitarbeiter!$F$40&lt;&gt;"",ED$5&gt;Mitarbeiter!$F$40),0,IF(Planung!ED42="",$C42,IF(ISNUMBER(Planung!ED42),Planung!ED42,IF(UPPER(Planung!ED42)="H",$C42/2,0)))))))</f>
        <v>0</v>
      </c>
      <c r="EE42" s="27">
        <f>IF($A42="",0,IF(Mitarbeiter!$G$40=FALSE,0,IF(AND(Mitarbeiter!$E$40&lt;&gt;"",EE$5+6&lt;Mitarbeiter!$E$40),0,IF(AND(Mitarbeiter!$F$40&lt;&gt;"",EE$5&gt;Mitarbeiter!$F$40),0,IF(Planung!EE42="",$C42,IF(ISNUMBER(Planung!EE42),Planung!EE42,IF(UPPER(Planung!EE42)="H",$C42/2,0)))))))</f>
        <v>0</v>
      </c>
      <c r="EF42" s="27">
        <f>IF($A42="",0,IF(Mitarbeiter!$G$40=FALSE,0,IF(AND(Mitarbeiter!$E$40&lt;&gt;"",EF$5+6&lt;Mitarbeiter!$E$40),0,IF(AND(Mitarbeiter!$F$40&lt;&gt;"",EF$5&gt;Mitarbeiter!$F$40),0,IF(Planung!EF42="",$C42,IF(ISNUMBER(Planung!EF42),Planung!EF42,IF(UPPER(Planung!EF42)="H",$C42/2,0)))))))</f>
        <v>0</v>
      </c>
      <c r="EG42" s="27">
        <f>IF($A42="",0,IF(Mitarbeiter!$G$40=FALSE,0,IF(AND(Mitarbeiter!$E$40&lt;&gt;"",EG$5+6&lt;Mitarbeiter!$E$40),0,IF(AND(Mitarbeiter!$F$40&lt;&gt;"",EG$5&gt;Mitarbeiter!$F$40),0,IF(Planung!EG42="",$C42,IF(ISNUMBER(Planung!EG42),Planung!EG42,IF(UPPER(Planung!EG42)="H",$C42/2,0)))))))</f>
        <v>0</v>
      </c>
      <c r="EH42" s="27">
        <f>IF($A42="",0,IF(Mitarbeiter!$G$40=FALSE,0,IF(AND(Mitarbeiter!$E$40&lt;&gt;"",EH$5+6&lt;Mitarbeiter!$E$40),0,IF(AND(Mitarbeiter!$F$40&lt;&gt;"",EH$5&gt;Mitarbeiter!$F$40),0,IF(Planung!EH42="",$C42,IF(ISNUMBER(Planung!EH42),Planung!EH42,IF(UPPER(Planung!EH42)="H",$C42/2,0)))))))</f>
        <v>0</v>
      </c>
      <c r="EI42" s="27">
        <f>IF($A42="",0,IF(Mitarbeiter!$G$40=FALSE,0,IF(AND(Mitarbeiter!$E$40&lt;&gt;"",EI$5+6&lt;Mitarbeiter!$E$40),0,IF(AND(Mitarbeiter!$F$40&lt;&gt;"",EI$5&gt;Mitarbeiter!$F$40),0,IF(Planung!EI42="",$C42,IF(ISNUMBER(Planung!EI42),Planung!EI42,IF(UPPER(Planung!EI42)="H",$C42/2,0)))))))</f>
        <v>0</v>
      </c>
      <c r="EJ42" s="27">
        <f>IF($A42="",0,IF(Mitarbeiter!$G$40=FALSE,0,IF(AND(Mitarbeiter!$E$40&lt;&gt;"",EJ$5+6&lt;Mitarbeiter!$E$40),0,IF(AND(Mitarbeiter!$F$40&lt;&gt;"",EJ$5&gt;Mitarbeiter!$F$40),0,IF(Planung!EJ42="",$C42,IF(ISNUMBER(Planung!EJ42),Planung!EJ42,IF(UPPER(Planung!EJ42)="H",$C42/2,0)))))))</f>
        <v>0</v>
      </c>
      <c r="EK42" s="27">
        <f>IF($A42="",0,IF(Mitarbeiter!$G$40=FALSE,0,IF(AND(Mitarbeiter!$E$40&lt;&gt;"",EK$5+6&lt;Mitarbeiter!$E$40),0,IF(AND(Mitarbeiter!$F$40&lt;&gt;"",EK$5&gt;Mitarbeiter!$F$40),0,IF(Planung!EK42="",$C42,IF(ISNUMBER(Planung!EK42),Planung!EK42,IF(UPPER(Planung!EK42)="H",$C42/2,0)))))))</f>
        <v>0</v>
      </c>
      <c r="EL42" s="27">
        <f>IF($A42="",0,IF(Mitarbeiter!$G$40=FALSE,0,IF(AND(Mitarbeiter!$E$40&lt;&gt;"",EL$5+6&lt;Mitarbeiter!$E$40),0,IF(AND(Mitarbeiter!$F$40&lt;&gt;"",EL$5&gt;Mitarbeiter!$F$40),0,IF(Planung!EL42="",$C42,IF(ISNUMBER(Planung!EL42),Planung!EL42,IF(UPPER(Planung!EL42)="H",$C42/2,0)))))))</f>
        <v>0</v>
      </c>
      <c r="EM42" s="27">
        <f>IF($A42="",0,IF(Mitarbeiter!$G$40=FALSE,0,IF(AND(Mitarbeiter!$E$40&lt;&gt;"",EM$5+6&lt;Mitarbeiter!$E$40),0,IF(AND(Mitarbeiter!$F$40&lt;&gt;"",EM$5&gt;Mitarbeiter!$F$40),0,IF(Planung!EM42="",$C42,IF(ISNUMBER(Planung!EM42),Planung!EM42,IF(UPPER(Planung!EM42)="H",$C42/2,0)))))))</f>
        <v>0</v>
      </c>
      <c r="EN42" s="27">
        <f>IF($A42="",0,IF(Mitarbeiter!$G$40=FALSE,0,IF(AND(Mitarbeiter!$E$40&lt;&gt;"",EN$5+6&lt;Mitarbeiter!$E$40),0,IF(AND(Mitarbeiter!$F$40&lt;&gt;"",EN$5&gt;Mitarbeiter!$F$40),0,IF(Planung!EN42="",$C42,IF(ISNUMBER(Planung!EN42),Planung!EN42,IF(UPPER(Planung!EN42)="H",$C42/2,0)))))))</f>
        <v>0</v>
      </c>
      <c r="EO42" s="27">
        <f>IF($A42="",0,IF(Mitarbeiter!$G$40=FALSE,0,IF(AND(Mitarbeiter!$E$40&lt;&gt;"",EO$5+6&lt;Mitarbeiter!$E$40),0,IF(AND(Mitarbeiter!$F$40&lt;&gt;"",EO$5&gt;Mitarbeiter!$F$40),0,IF(Planung!EO42="",$C42,IF(ISNUMBER(Planung!EO42),Planung!EO42,IF(UPPER(Planung!EO42)="H",$C42/2,0)))))))</f>
        <v>0</v>
      </c>
      <c r="EP42" s="27">
        <f>IF($A42="",0,IF(Mitarbeiter!$G$40=FALSE,0,IF(AND(Mitarbeiter!$E$40&lt;&gt;"",EP$5+6&lt;Mitarbeiter!$E$40),0,IF(AND(Mitarbeiter!$F$40&lt;&gt;"",EP$5&gt;Mitarbeiter!$F$40),0,IF(Planung!EP42="",$C42,IF(ISNUMBER(Planung!EP42),Planung!EP42,IF(UPPER(Planung!EP42)="H",$C42/2,0)))))))</f>
        <v>0</v>
      </c>
      <c r="EQ42" s="27">
        <f>IF($A42="",0,IF(Mitarbeiter!$G$40=FALSE,0,IF(AND(Mitarbeiter!$E$40&lt;&gt;"",EQ$5+6&lt;Mitarbeiter!$E$40),0,IF(AND(Mitarbeiter!$F$40&lt;&gt;"",EQ$5&gt;Mitarbeiter!$F$40),0,IF(Planung!EQ42="",$C42,IF(ISNUMBER(Planung!EQ42),Planung!EQ42,IF(UPPER(Planung!EQ42)="H",$C42/2,0)))))))</f>
        <v>0</v>
      </c>
      <c r="ER42" s="27">
        <f>IF($A42="",0,IF(Mitarbeiter!$G$40=FALSE,0,IF(AND(Mitarbeiter!$E$40&lt;&gt;"",ER$5+6&lt;Mitarbeiter!$E$40),0,IF(AND(Mitarbeiter!$F$40&lt;&gt;"",ER$5&gt;Mitarbeiter!$F$40),0,IF(Planung!ER42="",$C42,IF(ISNUMBER(Planung!ER42),Planung!ER42,IF(UPPER(Planung!ER42)="H",$C42/2,0)))))))</f>
        <v>0</v>
      </c>
      <c r="ES42" s="27">
        <f>IF($A42="",0,IF(Mitarbeiter!$G$40=FALSE,0,IF(AND(Mitarbeiter!$E$40&lt;&gt;"",ES$5+6&lt;Mitarbeiter!$E$40),0,IF(AND(Mitarbeiter!$F$40&lt;&gt;"",ES$5&gt;Mitarbeiter!$F$40),0,IF(Planung!ES42="",$C42,IF(ISNUMBER(Planung!ES42),Planung!ES42,IF(UPPER(Planung!ES42)="H",$C42/2,0)))))))</f>
        <v>0</v>
      </c>
      <c r="ET42" s="27">
        <f>IF($A42="",0,IF(Mitarbeiter!$G$40=FALSE,0,IF(AND(Mitarbeiter!$E$40&lt;&gt;"",ET$5+6&lt;Mitarbeiter!$E$40),0,IF(AND(Mitarbeiter!$F$40&lt;&gt;"",ET$5&gt;Mitarbeiter!$F$40),0,IF(Planung!ET42="",$C42,IF(ISNUMBER(Planung!ET42),Planung!ET42,IF(UPPER(Planung!ET42)="H",$C42/2,0)))))))</f>
        <v>0</v>
      </c>
      <c r="EU42" s="27">
        <f>IF($A42="",0,IF(Mitarbeiter!$G$40=FALSE,0,IF(AND(Mitarbeiter!$E$40&lt;&gt;"",EU$5+6&lt;Mitarbeiter!$E$40),0,IF(AND(Mitarbeiter!$F$40&lt;&gt;"",EU$5&gt;Mitarbeiter!$F$40),0,IF(Planung!EU42="",$C42,IF(ISNUMBER(Planung!EU42),Planung!EU42,IF(UPPER(Planung!EU42)="H",$C42/2,0)))))))</f>
        <v>0</v>
      </c>
      <c r="EV42" s="27">
        <f>IF($A42="",0,IF(Mitarbeiter!$G$40=FALSE,0,IF(AND(Mitarbeiter!$E$40&lt;&gt;"",EV$5+6&lt;Mitarbeiter!$E$40),0,IF(AND(Mitarbeiter!$F$40&lt;&gt;"",EV$5&gt;Mitarbeiter!$F$40),0,IF(Planung!EV42="",$C42,IF(ISNUMBER(Planung!EV42),Planung!EV42,IF(UPPER(Planung!EV42)="H",$C42/2,0)))))))</f>
        <v>0</v>
      </c>
      <c r="EW42" s="27">
        <f>IF($A42="",0,IF(Mitarbeiter!$G$40=FALSE,0,IF(AND(Mitarbeiter!$E$40&lt;&gt;"",EW$5+6&lt;Mitarbeiter!$E$40),0,IF(AND(Mitarbeiter!$F$40&lt;&gt;"",EW$5&gt;Mitarbeiter!$F$40),0,IF(Planung!EW42="",$C42,IF(ISNUMBER(Planung!EW42),Planung!EW42,IF(UPPER(Planung!EW42)="H",$C42/2,0)))))))</f>
        <v>0</v>
      </c>
      <c r="EX42" s="27">
        <f>IF($A42="",0,IF(Mitarbeiter!$G$40=FALSE,0,IF(AND(Mitarbeiter!$E$40&lt;&gt;"",EX$5+6&lt;Mitarbeiter!$E$40),0,IF(AND(Mitarbeiter!$F$40&lt;&gt;"",EX$5&gt;Mitarbeiter!$F$40),0,IF(Planung!EX42="",$C42,IF(ISNUMBER(Planung!EX42),Planung!EX42,IF(UPPER(Planung!EX42)="H",$C42/2,0)))))))</f>
        <v>0</v>
      </c>
      <c r="EY42" s="27">
        <f>IF($A42="",0,IF(Mitarbeiter!$G$40=FALSE,0,IF(AND(Mitarbeiter!$E$40&lt;&gt;"",EY$5+6&lt;Mitarbeiter!$E$40),0,IF(AND(Mitarbeiter!$F$40&lt;&gt;"",EY$5&gt;Mitarbeiter!$F$40),0,IF(Planung!EY42="",$C42,IF(ISNUMBER(Planung!EY42),Planung!EY42,IF(UPPER(Planung!EY42)="H",$C42/2,0)))))))</f>
        <v>0</v>
      </c>
      <c r="EZ42" s="27">
        <f>IF($A42="",0,IF(Mitarbeiter!$G$40=FALSE,0,IF(AND(Mitarbeiter!$E$40&lt;&gt;"",EZ$5+6&lt;Mitarbeiter!$E$40),0,IF(AND(Mitarbeiter!$F$40&lt;&gt;"",EZ$5&gt;Mitarbeiter!$F$40),0,IF(Planung!EZ42="",$C42,IF(ISNUMBER(Planung!EZ42),Planung!EZ42,IF(UPPER(Planung!EZ42)="H",$C42/2,0)))))))</f>
        <v>0</v>
      </c>
      <c r="FA42" s="27">
        <f>IF($A42="",0,IF(Mitarbeiter!$G$40=FALSE,0,IF(AND(Mitarbeiter!$E$40&lt;&gt;"",FA$5+6&lt;Mitarbeiter!$E$40),0,IF(AND(Mitarbeiter!$F$40&lt;&gt;"",FA$5&gt;Mitarbeiter!$F$40),0,IF(Planung!FA42="",$C42,IF(ISNUMBER(Planung!FA42),Planung!FA42,IF(UPPER(Planung!FA42)="H",$C42/2,0)))))))</f>
        <v>0</v>
      </c>
      <c r="FB42" s="27">
        <f>IF($A42="",0,IF(Mitarbeiter!$G$40=FALSE,0,IF(AND(Mitarbeiter!$E$40&lt;&gt;"",FB$5+6&lt;Mitarbeiter!$E$40),0,IF(AND(Mitarbeiter!$F$40&lt;&gt;"",FB$5&gt;Mitarbeiter!$F$40),0,IF(Planung!FB42="",$C42,IF(ISNUMBER(Planung!FB42),Planung!FB42,IF(UPPER(Planung!FB42)="H",$C42/2,0)))))))</f>
        <v>0</v>
      </c>
      <c r="FC42" s="27">
        <f>IF($A42="",0,IF(Mitarbeiter!$G$40=FALSE,0,IF(AND(Mitarbeiter!$E$40&lt;&gt;"",FC$5+6&lt;Mitarbeiter!$E$40),0,IF(AND(Mitarbeiter!$F$40&lt;&gt;"",FC$5&gt;Mitarbeiter!$F$40),0,IF(Planung!FC42="",$C42,IF(ISNUMBER(Planung!FC42),Planung!FC42,IF(UPPER(Planung!FC42)="H",$C42/2,0)))))))</f>
        <v>0</v>
      </c>
      <c r="FD42" s="27">
        <f>IF($A42="",0,IF(Mitarbeiter!$G$40=FALSE,0,IF(AND(Mitarbeiter!$E$40&lt;&gt;"",FD$5+6&lt;Mitarbeiter!$E$40),0,IF(AND(Mitarbeiter!$F$40&lt;&gt;"",FD$5&gt;Mitarbeiter!$F$40),0,IF(Planung!FD42="",$C42,IF(ISNUMBER(Planung!FD42),Planung!FD42,IF(UPPER(Planung!FD42)="H",$C42/2,0)))))))</f>
        <v>0</v>
      </c>
      <c r="FE42" s="27">
        <f>IF($A42="",0,IF(Mitarbeiter!$G$40=FALSE,0,IF(AND(Mitarbeiter!$E$40&lt;&gt;"",FE$5+6&lt;Mitarbeiter!$E$40),0,IF(AND(Mitarbeiter!$F$40&lt;&gt;"",FE$5&gt;Mitarbeiter!$F$40),0,IF(Planung!FE42="",$C42,IF(ISNUMBER(Planung!FE42),Planung!FE42,IF(UPPER(Planung!FE42)="H",$C42/2,0)))))))</f>
        <v>0</v>
      </c>
      <c r="FF42" s="27">
        <f>IF($A42="",0,IF(Mitarbeiter!$G$40=FALSE,0,IF(AND(Mitarbeiter!$E$40&lt;&gt;"",FF$5+6&lt;Mitarbeiter!$E$40),0,IF(AND(Mitarbeiter!$F$40&lt;&gt;"",FF$5&gt;Mitarbeiter!$F$40),0,IF(Planung!FF42="",$C42,IF(ISNUMBER(Planung!FF42),Planung!FF42,IF(UPPER(Planung!FF42)="H",$C42/2,0)))))))</f>
        <v>0</v>
      </c>
      <c r="FG42" s="27">
        <f>IF($A42="",0,IF(Mitarbeiter!$G$40=FALSE,0,IF(AND(Mitarbeiter!$E$40&lt;&gt;"",FG$5+6&lt;Mitarbeiter!$E$40),0,IF(AND(Mitarbeiter!$F$40&lt;&gt;"",FG$5&gt;Mitarbeiter!$F$40),0,IF(Planung!FG42="",$C42,IF(ISNUMBER(Planung!FG42),Planung!FG42,IF(UPPER(Planung!FG42)="H",$C42/2,0)))))))</f>
        <v>0</v>
      </c>
      <c r="FH42" s="27">
        <f>IF($A42="",0,IF(Mitarbeiter!$G$40=FALSE,0,IF(AND(Mitarbeiter!$E$40&lt;&gt;"",FH$5+6&lt;Mitarbeiter!$E$40),0,IF(AND(Mitarbeiter!$F$40&lt;&gt;"",FH$5&gt;Mitarbeiter!$F$40),0,IF(Planung!FH42="",$C42,IF(ISNUMBER(Planung!FH42),Planung!FH42,IF(UPPER(Planung!FH42)="H",$C42/2,0)))))))</f>
        <v>0</v>
      </c>
      <c r="FI42" s="27">
        <f>IF($A42="",0,IF(Mitarbeiter!$G$40=FALSE,0,IF(AND(Mitarbeiter!$E$40&lt;&gt;"",FI$5+6&lt;Mitarbeiter!$E$40),0,IF(AND(Mitarbeiter!$F$40&lt;&gt;"",FI$5&gt;Mitarbeiter!$F$40),0,IF(Planung!FI42="",$C42,IF(ISNUMBER(Planung!FI42),Planung!FI42,IF(UPPER(Planung!FI42)="H",$C42/2,0)))))))</f>
        <v>0</v>
      </c>
      <c r="FJ42" s="27">
        <f>IF($A42="",0,IF(Mitarbeiter!$G$40=FALSE,0,IF(AND(Mitarbeiter!$E$40&lt;&gt;"",FJ$5+6&lt;Mitarbeiter!$E$40),0,IF(AND(Mitarbeiter!$F$40&lt;&gt;"",FJ$5&gt;Mitarbeiter!$F$40),0,IF(Planung!FJ42="",$C42,IF(ISNUMBER(Planung!FJ42),Planung!FJ42,IF(UPPER(Planung!FJ42)="H",$C42/2,0)))))))</f>
        <v>0</v>
      </c>
      <c r="FK42" s="27">
        <f>IF($A42="",0,IF(Mitarbeiter!$G$40=FALSE,0,IF(AND(Mitarbeiter!$E$40&lt;&gt;"",FK$5+6&lt;Mitarbeiter!$E$40),0,IF(AND(Mitarbeiter!$F$40&lt;&gt;"",FK$5&gt;Mitarbeiter!$F$40),0,IF(Planung!FK42="",$C42,IF(ISNUMBER(Planung!FK42),Planung!FK42,IF(UPPER(Planung!FK42)="H",$C42/2,0)))))))</f>
        <v>0</v>
      </c>
      <c r="FL42" s="27">
        <f>IF($A42="",0,IF(Mitarbeiter!$G$40=FALSE,0,IF(AND(Mitarbeiter!$E$40&lt;&gt;"",FL$5+6&lt;Mitarbeiter!$E$40),0,IF(AND(Mitarbeiter!$F$40&lt;&gt;"",FL$5&gt;Mitarbeiter!$F$40),0,IF(Planung!FL42="",$C42,IF(ISNUMBER(Planung!FL42),Planung!FL42,IF(UPPER(Planung!FL42)="H",$C42/2,0)))))))</f>
        <v>0</v>
      </c>
      <c r="FM42" s="27">
        <f>IF($A42="",0,IF(Mitarbeiter!$G$40=FALSE,0,IF(AND(Mitarbeiter!$E$40&lt;&gt;"",FM$5+6&lt;Mitarbeiter!$E$40),0,IF(AND(Mitarbeiter!$F$40&lt;&gt;"",FM$5&gt;Mitarbeiter!$F$40),0,IF(Planung!FM42="",$C42,IF(ISNUMBER(Planung!FM42),Planung!FM42,IF(UPPER(Planung!FM42)="H",$C42/2,0)))))))</f>
        <v>0</v>
      </c>
      <c r="FN42" s="27">
        <f>IF($A42="",0,IF(Mitarbeiter!$G$40=FALSE,0,IF(AND(Mitarbeiter!$E$40&lt;&gt;"",FN$5+6&lt;Mitarbeiter!$E$40),0,IF(AND(Mitarbeiter!$F$40&lt;&gt;"",FN$5&gt;Mitarbeiter!$F$40),0,IF(Planung!FN42="",$C42,IF(ISNUMBER(Planung!FN42),Planung!FN42,IF(UPPER(Planung!FN42)="H",$C42/2,0)))))))</f>
        <v>0</v>
      </c>
      <c r="FO42" s="27">
        <f>IF($A42="",0,IF(Mitarbeiter!$G$40=FALSE,0,IF(AND(Mitarbeiter!$E$40&lt;&gt;"",FO$5+6&lt;Mitarbeiter!$E$40),0,IF(AND(Mitarbeiter!$F$40&lt;&gt;"",FO$5&gt;Mitarbeiter!$F$40),0,IF(Planung!FO42="",$C42,IF(ISNUMBER(Planung!FO42),Planung!FO42,IF(UPPER(Planung!FO42)="H",$C42/2,0)))))))</f>
        <v>0</v>
      </c>
      <c r="FP42" s="27">
        <f>IF($A42="",0,IF(Mitarbeiter!$G$40=FALSE,0,IF(AND(Mitarbeiter!$E$40&lt;&gt;"",FP$5+6&lt;Mitarbeiter!$E$40),0,IF(AND(Mitarbeiter!$F$40&lt;&gt;"",FP$5&gt;Mitarbeiter!$F$40),0,IF(Planung!FP42="",$C42,IF(ISNUMBER(Planung!FP42),Planung!FP42,IF(UPPER(Planung!FP42)="H",$C42/2,0)))))))</f>
        <v>0</v>
      </c>
      <c r="FQ42" s="27">
        <f>IF($A42="",0,IF(Mitarbeiter!$G$40=FALSE,0,IF(AND(Mitarbeiter!$E$40&lt;&gt;"",FQ$5+6&lt;Mitarbeiter!$E$40),0,IF(AND(Mitarbeiter!$F$40&lt;&gt;"",FQ$5&gt;Mitarbeiter!$F$40),0,IF(Planung!FQ42="",$C42,IF(ISNUMBER(Planung!FQ42),Planung!FQ42,IF(UPPER(Planung!FQ42)="H",$C42/2,0)))))))</f>
        <v>0</v>
      </c>
      <c r="FR42" s="27">
        <f>IF($A42="",0,IF(Mitarbeiter!$G$40=FALSE,0,IF(AND(Mitarbeiter!$E$40&lt;&gt;"",FR$5+6&lt;Mitarbeiter!$E$40),0,IF(AND(Mitarbeiter!$F$40&lt;&gt;"",FR$5&gt;Mitarbeiter!$F$40),0,IF(Planung!FR42="",$C42,IF(ISNUMBER(Planung!FR42),Planung!FR42,IF(UPPER(Planung!FR42)="H",$C42/2,0)))))))</f>
        <v>0</v>
      </c>
      <c r="FS42" s="27">
        <f>IF($A42="",0,IF(Mitarbeiter!$G$40=FALSE,0,IF(AND(Mitarbeiter!$E$40&lt;&gt;"",FS$5+6&lt;Mitarbeiter!$E$40),0,IF(AND(Mitarbeiter!$F$40&lt;&gt;"",FS$5&gt;Mitarbeiter!$F$40),0,IF(Planung!FS42="",$C42,IF(ISNUMBER(Planung!FS42),Planung!FS42,IF(UPPER(Planung!FS42)="H",$C42/2,0)))))))</f>
        <v>0</v>
      </c>
      <c r="FT42" s="27">
        <f>IF($A42="",0,IF(Mitarbeiter!$G$40=FALSE,0,IF(AND(Mitarbeiter!$E$40&lt;&gt;"",FT$5+6&lt;Mitarbeiter!$E$40),0,IF(AND(Mitarbeiter!$F$40&lt;&gt;"",FT$5&gt;Mitarbeiter!$F$40),0,IF(Planung!FT42="",$C42,IF(ISNUMBER(Planung!FT42),Planung!FT42,IF(UPPER(Planung!FT42)="H",$C42/2,0)))))))</f>
        <v>0</v>
      </c>
      <c r="FU42" s="27">
        <f>IF($A42="",0,IF(Mitarbeiter!$G$40=FALSE,0,IF(AND(Mitarbeiter!$E$40&lt;&gt;"",FU$5+6&lt;Mitarbeiter!$E$40),0,IF(AND(Mitarbeiter!$F$40&lt;&gt;"",FU$5&gt;Mitarbeiter!$F$40),0,IF(Planung!FU42="",$C42,IF(ISNUMBER(Planung!FU42),Planung!FU42,IF(UPPER(Planung!FU42)="H",$C42/2,0)))))))</f>
        <v>0</v>
      </c>
      <c r="FV42" s="27">
        <f>IF($A42="",0,IF(Mitarbeiter!$G$40=FALSE,0,IF(AND(Mitarbeiter!$E$40&lt;&gt;"",FV$5+6&lt;Mitarbeiter!$E$40),0,IF(AND(Mitarbeiter!$F$40&lt;&gt;"",FV$5&gt;Mitarbeiter!$F$40),0,IF(Planung!FV42="",$C42,IF(ISNUMBER(Planung!FV42),Planung!FV42,IF(UPPER(Planung!FV42)="H",$C42/2,0)))))))</f>
        <v>0</v>
      </c>
      <c r="FW42" s="27">
        <f>IF($A42="",0,IF(Mitarbeiter!$G$40=FALSE,0,IF(AND(Mitarbeiter!$E$40&lt;&gt;"",FW$5+6&lt;Mitarbeiter!$E$40),0,IF(AND(Mitarbeiter!$F$40&lt;&gt;"",FW$5&gt;Mitarbeiter!$F$40),0,IF(Planung!FW42="",$C42,IF(ISNUMBER(Planung!FW42),Planung!FW42,IF(UPPER(Planung!FW42)="H",$C42/2,0)))))))</f>
        <v>0</v>
      </c>
      <c r="FX42" s="27">
        <f>IF($A42="",0,IF(Mitarbeiter!$G$40=FALSE,0,IF(AND(Mitarbeiter!$E$40&lt;&gt;"",FX$5+6&lt;Mitarbeiter!$E$40),0,IF(AND(Mitarbeiter!$F$40&lt;&gt;"",FX$5&gt;Mitarbeiter!$F$40),0,IF(Planung!FX42="",$C42,IF(ISNUMBER(Planung!FX42),Planung!FX42,IF(UPPER(Planung!FX42)="H",$C42/2,0)))))))</f>
        <v>0</v>
      </c>
      <c r="FY42" s="27">
        <f>IF($A42="",0,IF(Mitarbeiter!$G$40=FALSE,0,IF(AND(Mitarbeiter!$E$40&lt;&gt;"",FY$5+6&lt;Mitarbeiter!$E$40),0,IF(AND(Mitarbeiter!$F$40&lt;&gt;"",FY$5&gt;Mitarbeiter!$F$40),0,IF(Planung!FY42="",$C42,IF(ISNUMBER(Planung!FY42),Planung!FY42,IF(UPPER(Planung!FY42)="H",$C42/2,0)))))))</f>
        <v>0</v>
      </c>
      <c r="FZ42" s="27">
        <f>IF($A42="",0,IF(Mitarbeiter!$G$40=FALSE,0,IF(AND(Mitarbeiter!$E$40&lt;&gt;"",FZ$5+6&lt;Mitarbeiter!$E$40),0,IF(AND(Mitarbeiter!$F$40&lt;&gt;"",FZ$5&gt;Mitarbeiter!$F$40),0,IF(Planung!FZ42="",$C42,IF(ISNUMBER(Planung!FZ42),Planung!FZ42,IF(UPPER(Planung!FZ42)="H",$C42/2,0)))))))</f>
        <v>0</v>
      </c>
      <c r="GA42" s="27">
        <f>IF($A42="",0,IF(Mitarbeiter!$G$40=FALSE,0,IF(AND(Mitarbeiter!$E$40&lt;&gt;"",GA$5+6&lt;Mitarbeiter!$E$40),0,IF(AND(Mitarbeiter!$F$40&lt;&gt;"",GA$5&gt;Mitarbeiter!$F$40),0,IF(Planung!GA42="",$C42,IF(ISNUMBER(Planung!GA42),Planung!GA42,IF(UPPER(Planung!GA42)="H",$C42/2,0)))))))</f>
        <v>0</v>
      </c>
      <c r="GB42" s="27">
        <f>IF($A42="",0,IF(Mitarbeiter!$G$40=FALSE,0,IF(AND(Mitarbeiter!$E$40&lt;&gt;"",GB$5+6&lt;Mitarbeiter!$E$40),0,IF(AND(Mitarbeiter!$F$40&lt;&gt;"",GB$5&gt;Mitarbeiter!$F$40),0,IF(Planung!GB42="",$C42,IF(ISNUMBER(Planung!GB42),Planung!GB42,IF(UPPER(Planung!GB42)="H",$C42/2,0)))))))</f>
        <v>0</v>
      </c>
      <c r="GC42" s="27">
        <f>IF($A42="",0,IF(Mitarbeiter!$G$40=FALSE,0,IF(AND(Mitarbeiter!$E$40&lt;&gt;"",GC$5+6&lt;Mitarbeiter!$E$40),0,IF(AND(Mitarbeiter!$F$40&lt;&gt;"",GC$5&gt;Mitarbeiter!$F$40),0,IF(Planung!GC42="",$C42,IF(ISNUMBER(Planung!GC42),Planung!GC42,IF(UPPER(Planung!GC42)="H",$C42/2,0)))))))</f>
        <v>0</v>
      </c>
      <c r="GD42" s="27">
        <f>IF($A42="",0,IF(Mitarbeiter!$G$40=FALSE,0,IF(AND(Mitarbeiter!$E$40&lt;&gt;"",GD$5+6&lt;Mitarbeiter!$E$40),0,IF(AND(Mitarbeiter!$F$40&lt;&gt;"",GD$5&gt;Mitarbeiter!$F$40),0,IF(Planung!GD42="",$C42,IF(ISNUMBER(Planung!GD42),Planung!GD42,IF(UPPER(Planung!GD42)="H",$C42/2,0)))))))</f>
        <v>0</v>
      </c>
      <c r="GE42" s="27">
        <f>IF($A42="",0,IF(Mitarbeiter!$G$40=FALSE,0,IF(AND(Mitarbeiter!$E$40&lt;&gt;"",GE$5+6&lt;Mitarbeiter!$E$40),0,IF(AND(Mitarbeiter!$F$40&lt;&gt;"",GE$5&gt;Mitarbeiter!$F$40),0,IF(Planung!GE42="",$C42,IF(ISNUMBER(Planung!GE42),Planung!GE42,IF(UPPER(Planung!GE42)="H",$C42/2,0)))))))</f>
        <v>0</v>
      </c>
      <c r="GF42" s="27">
        <f>IF($A42="",0,IF(Mitarbeiter!$G$40=FALSE,0,IF(AND(Mitarbeiter!$E$40&lt;&gt;"",GF$5+6&lt;Mitarbeiter!$E$40),0,IF(AND(Mitarbeiter!$F$40&lt;&gt;"",GF$5&gt;Mitarbeiter!$F$40),0,IF(Planung!GF42="",$C42,IF(ISNUMBER(Planung!GF42),Planung!GF42,IF(UPPER(Planung!GF42)="H",$C42/2,0)))))))</f>
        <v>0</v>
      </c>
      <c r="GG42" s="27">
        <f>IF($A42="",0,IF(Mitarbeiter!$G$40=FALSE,0,IF(AND(Mitarbeiter!$E$40&lt;&gt;"",GG$5+6&lt;Mitarbeiter!$E$40),0,IF(AND(Mitarbeiter!$F$40&lt;&gt;"",GG$5&gt;Mitarbeiter!$F$40),0,IF(Planung!GG42="",$C42,IF(ISNUMBER(Planung!GG42),Planung!GG42,IF(UPPER(Planung!GG42)="H",$C42/2,0)))))))</f>
        <v>0</v>
      </c>
      <c r="GH42" s="27">
        <f>IF($A42="",0,IF(Mitarbeiter!$G$40=FALSE,0,IF(AND(Mitarbeiter!$E$40&lt;&gt;"",GH$5+6&lt;Mitarbeiter!$E$40),0,IF(AND(Mitarbeiter!$F$40&lt;&gt;"",GH$5&gt;Mitarbeiter!$F$40),0,IF(Planung!GH42="",$C42,IF(ISNUMBER(Planung!GH42),Planung!GH42,IF(UPPER(Planung!GH42)="H",$C42/2,0)))))))</f>
        <v>0</v>
      </c>
      <c r="GI42" s="27">
        <f>IF($A42="",0,IF(Mitarbeiter!$G$40=FALSE,0,IF(AND(Mitarbeiter!$E$40&lt;&gt;"",GI$5+6&lt;Mitarbeiter!$E$40),0,IF(AND(Mitarbeiter!$F$40&lt;&gt;"",GI$5&gt;Mitarbeiter!$F$40),0,IF(Planung!GI42="",$C42,IF(ISNUMBER(Planung!GI42),Planung!GI42,IF(UPPER(Planung!GI42)="H",$C42/2,0)))))))</f>
        <v>0</v>
      </c>
      <c r="GJ42" s="27">
        <f>IF($A42="",0,IF(Mitarbeiter!$G$40=FALSE,0,IF(AND(Mitarbeiter!$E$40&lt;&gt;"",GJ$5+6&lt;Mitarbeiter!$E$40),0,IF(AND(Mitarbeiter!$F$40&lt;&gt;"",GJ$5&gt;Mitarbeiter!$F$40),0,IF(Planung!GJ42="",$C42,IF(ISNUMBER(Planung!GJ42),Planung!GJ42,IF(UPPER(Planung!GJ42)="H",$C42/2,0)))))))</f>
        <v>0</v>
      </c>
      <c r="GK42" s="27">
        <f>IF($A42="",0,IF(Mitarbeiter!$G$40=FALSE,0,IF(AND(Mitarbeiter!$E$40&lt;&gt;"",GK$5+6&lt;Mitarbeiter!$E$40),0,IF(AND(Mitarbeiter!$F$40&lt;&gt;"",GK$5&gt;Mitarbeiter!$F$40),0,IF(Planung!GK42="",$C42,IF(ISNUMBER(Planung!GK42),Planung!GK42,IF(UPPER(Planung!GK42)="H",$C42/2,0)))))))</f>
        <v>0</v>
      </c>
      <c r="GL42" s="27">
        <f>IF($A42="",0,IF(Mitarbeiter!$G$40=FALSE,0,IF(AND(Mitarbeiter!$E$40&lt;&gt;"",GL$5+6&lt;Mitarbeiter!$E$40),0,IF(AND(Mitarbeiter!$F$40&lt;&gt;"",GL$5&gt;Mitarbeiter!$F$40),0,IF(Planung!GL42="",$C42,IF(ISNUMBER(Planung!GL42),Planung!GL42,IF(UPPER(Planung!GL42)="H",$C42/2,0)))))))</f>
        <v>0</v>
      </c>
      <c r="GM42" s="27">
        <f>IF($A42="",0,IF(Mitarbeiter!$G$40=FALSE,0,IF(AND(Mitarbeiter!$E$40&lt;&gt;"",GM$5+6&lt;Mitarbeiter!$E$40),0,IF(AND(Mitarbeiter!$F$40&lt;&gt;"",GM$5&gt;Mitarbeiter!$F$40),0,IF(Planung!GM42="",$C42,IF(ISNUMBER(Planung!GM42),Planung!GM42,IF(UPPER(Planung!GM42)="H",$C42/2,0)))))))</f>
        <v>0</v>
      </c>
      <c r="GN42" s="27">
        <f>IF($A42="",0,IF(Mitarbeiter!$G$40=FALSE,0,IF(AND(Mitarbeiter!$E$40&lt;&gt;"",GN$5+6&lt;Mitarbeiter!$E$40),0,IF(AND(Mitarbeiter!$F$40&lt;&gt;"",GN$5&gt;Mitarbeiter!$F$40),0,IF(Planung!GN42="",$C42,IF(ISNUMBER(Planung!GN42),Planung!GN42,IF(UPPER(Planung!GN42)="H",$C42/2,0)))))))</f>
        <v>0</v>
      </c>
      <c r="GO42" s="27">
        <f>IF($A42="",0,IF(Mitarbeiter!$G$40=FALSE,0,IF(AND(Mitarbeiter!$E$40&lt;&gt;"",GO$5+6&lt;Mitarbeiter!$E$40),0,IF(AND(Mitarbeiter!$F$40&lt;&gt;"",GO$5&gt;Mitarbeiter!$F$40),0,IF(Planung!GO42="",$C42,IF(ISNUMBER(Planung!GO42),Planung!GO42,IF(UPPER(Planung!GO42)="H",$C42/2,0)))))))</f>
        <v>0</v>
      </c>
      <c r="GP42" s="27">
        <f>IF($A42="",0,IF(Mitarbeiter!$G$40=FALSE,0,IF(AND(Mitarbeiter!$E$40&lt;&gt;"",GP$5+6&lt;Mitarbeiter!$E$40),0,IF(AND(Mitarbeiter!$F$40&lt;&gt;"",GP$5&gt;Mitarbeiter!$F$40),0,IF(Planung!GP42="",$C42,IF(ISNUMBER(Planung!GP42),Planung!GP42,IF(UPPER(Planung!GP42)="H",$C42/2,0)))))))</f>
        <v>0</v>
      </c>
      <c r="GQ42" s="27">
        <f>IF($A42="",0,IF(Mitarbeiter!$G$40=FALSE,0,IF(AND(Mitarbeiter!$E$40&lt;&gt;"",GQ$5+6&lt;Mitarbeiter!$E$40),0,IF(AND(Mitarbeiter!$F$40&lt;&gt;"",GQ$5&gt;Mitarbeiter!$F$40),0,IF(Planung!GQ42="",$C42,IF(ISNUMBER(Planung!GQ42),Planung!GQ42,IF(UPPER(Planung!GQ42)="H",$C42/2,0)))))))</f>
        <v>0</v>
      </c>
      <c r="GR42" s="27">
        <f>IF($A42="",0,IF(Mitarbeiter!$G$40=FALSE,0,IF(AND(Mitarbeiter!$E$40&lt;&gt;"",GR$5+6&lt;Mitarbeiter!$E$40),0,IF(AND(Mitarbeiter!$F$40&lt;&gt;"",GR$5&gt;Mitarbeiter!$F$40),0,IF(Planung!GR42="",$C42,IF(ISNUMBER(Planung!GR42),Planung!GR42,IF(UPPER(Planung!GR42)="H",$C42/2,0)))))))</f>
        <v>0</v>
      </c>
      <c r="GS42" s="27">
        <f>IF($A42="",0,IF(Mitarbeiter!$G$40=FALSE,0,IF(AND(Mitarbeiter!$E$40&lt;&gt;"",GS$5+6&lt;Mitarbeiter!$E$40),0,IF(AND(Mitarbeiter!$F$40&lt;&gt;"",GS$5&gt;Mitarbeiter!$F$40),0,IF(Planung!GS42="",$C42,IF(ISNUMBER(Planung!GS42),Planung!GS42,IF(UPPER(Planung!GS42)="H",$C42/2,0)))))))</f>
        <v>0</v>
      </c>
      <c r="GT42" s="27">
        <f>IF($A42="",0,IF(Mitarbeiter!$G$40=FALSE,0,IF(AND(Mitarbeiter!$E$40&lt;&gt;"",GT$5+6&lt;Mitarbeiter!$E$40),0,IF(AND(Mitarbeiter!$F$40&lt;&gt;"",GT$5&gt;Mitarbeiter!$F$40),0,IF(Planung!GT42="",$C42,IF(ISNUMBER(Planung!GT42),Planung!GT42,IF(UPPER(Planung!GT42)="H",$C42/2,0)))))))</f>
        <v>0</v>
      </c>
      <c r="GU42" s="27">
        <f>IF($A42="",0,IF(Mitarbeiter!$G$40=FALSE,0,IF(AND(Mitarbeiter!$E$40&lt;&gt;"",GU$5+6&lt;Mitarbeiter!$E$40),0,IF(AND(Mitarbeiter!$F$40&lt;&gt;"",GU$5&gt;Mitarbeiter!$F$40),0,IF(Planung!GU42="",$C42,IF(ISNUMBER(Planung!GU42),Planung!GU42,IF(UPPER(Planung!GU42)="H",$C42/2,0)))))))</f>
        <v>0</v>
      </c>
      <c r="GV42" s="27">
        <f>IF($A42="",0,IF(Mitarbeiter!$G$40=FALSE,0,IF(AND(Mitarbeiter!$E$40&lt;&gt;"",GV$5+6&lt;Mitarbeiter!$E$40),0,IF(AND(Mitarbeiter!$F$40&lt;&gt;"",GV$5&gt;Mitarbeiter!$F$40),0,IF(Planung!GV42="",$C42,IF(ISNUMBER(Planung!GV42),Planung!GV42,IF(UPPER(Planung!GV42)="H",$C42/2,0)))))))</f>
        <v>0</v>
      </c>
      <c r="GW42" s="27">
        <f>IF($A42="",0,IF(Mitarbeiter!$G$40=FALSE,0,IF(AND(Mitarbeiter!$E$40&lt;&gt;"",GW$5+6&lt;Mitarbeiter!$E$40),0,IF(AND(Mitarbeiter!$F$40&lt;&gt;"",GW$5&gt;Mitarbeiter!$F$40),0,IF(Planung!GW42="",$C42,IF(ISNUMBER(Planung!GW42),Planung!GW42,IF(UPPER(Planung!GW42)="H",$C42/2,0)))))))</f>
        <v>0</v>
      </c>
      <c r="GX42" s="27">
        <f>IF($A42="",0,IF(Mitarbeiter!$G$40=FALSE,0,IF(AND(Mitarbeiter!$E$40&lt;&gt;"",GX$5+6&lt;Mitarbeiter!$E$40),0,IF(AND(Mitarbeiter!$F$40&lt;&gt;"",GX$5&gt;Mitarbeiter!$F$40),0,IF(Planung!GX42="",$C42,IF(ISNUMBER(Planung!GX42),Planung!GX42,IF(UPPER(Planung!GX42)="H",$C42/2,0)))))))</f>
        <v>0</v>
      </c>
      <c r="GY42" s="27">
        <f>IF($A42="",0,IF(Mitarbeiter!$G$40=FALSE,0,IF(AND(Mitarbeiter!$E$40&lt;&gt;"",GY$5+6&lt;Mitarbeiter!$E$40),0,IF(AND(Mitarbeiter!$F$40&lt;&gt;"",GY$5&gt;Mitarbeiter!$F$40),0,IF(Planung!GY42="",$C42,IF(ISNUMBER(Planung!GY42),Planung!GY42,IF(UPPER(Planung!GY42)="H",$C42/2,0)))))))</f>
        <v>0</v>
      </c>
      <c r="GZ42" s="27">
        <f>IF($A42="",0,IF(Mitarbeiter!$G$40=FALSE,0,IF(AND(Mitarbeiter!$E$40&lt;&gt;"",GZ$5+6&lt;Mitarbeiter!$E$40),0,IF(AND(Mitarbeiter!$F$40&lt;&gt;"",GZ$5&gt;Mitarbeiter!$F$40),0,IF(Planung!GZ42="",$C42,IF(ISNUMBER(Planung!GZ42),Planung!GZ42,IF(UPPER(Planung!GZ42)="H",$C42/2,0)))))))</f>
        <v>0</v>
      </c>
      <c r="HA42" s="27">
        <f>IF($A42="",0,IF(Mitarbeiter!$G$40=FALSE,0,IF(AND(Mitarbeiter!$E$40&lt;&gt;"",HA$5+6&lt;Mitarbeiter!$E$40),0,IF(AND(Mitarbeiter!$F$40&lt;&gt;"",HA$5&gt;Mitarbeiter!$F$40),0,IF(Planung!HA42="",$C42,IF(ISNUMBER(Planung!HA42),Planung!HA42,IF(UPPER(Planung!HA42)="H",$C42/2,0)))))))</f>
        <v>0</v>
      </c>
      <c r="HB42" s="27">
        <f>IF($A42="",0,IF(Mitarbeiter!$G$40=FALSE,0,IF(AND(Mitarbeiter!$E$40&lt;&gt;"",HB$5+6&lt;Mitarbeiter!$E$40),0,IF(AND(Mitarbeiter!$F$40&lt;&gt;"",HB$5&gt;Mitarbeiter!$F$40),0,IF(Planung!HB42="",$C42,IF(ISNUMBER(Planung!HB42),Planung!HB42,IF(UPPER(Planung!HB42)="H",$C42/2,0)))))))</f>
        <v>0</v>
      </c>
      <c r="HC42" s="27">
        <f>IF($A42="",0,IF(Mitarbeiter!$G$40=FALSE,0,IF(AND(Mitarbeiter!$E$40&lt;&gt;"",HC$5+6&lt;Mitarbeiter!$E$40),0,IF(AND(Mitarbeiter!$F$40&lt;&gt;"",HC$5&gt;Mitarbeiter!$F$40),0,IF(Planung!HC42="",$C42,IF(ISNUMBER(Planung!HC42),Planung!HC42,IF(UPPER(Planung!HC42)="H",$C42/2,0)))))))</f>
        <v>0</v>
      </c>
      <c r="HD42" s="27">
        <f>IF($A42="",0,IF(Mitarbeiter!$G$40=FALSE,0,IF(AND(Mitarbeiter!$E$40&lt;&gt;"",HD$5+6&lt;Mitarbeiter!$E$40),0,IF(AND(Mitarbeiter!$F$40&lt;&gt;"",HD$5&gt;Mitarbeiter!$F$40),0,IF(Planung!HD42="",$C42,IF(ISNUMBER(Planung!HD42),Planung!HD42,IF(UPPER(Planung!HD42)="H",$C42/2,0)))))))</f>
        <v>0</v>
      </c>
      <c r="HE42" s="27">
        <f>IF($A42="",0,IF(Mitarbeiter!$G$40=FALSE,0,IF(AND(Mitarbeiter!$E$40&lt;&gt;"",HE$5+6&lt;Mitarbeiter!$E$40),0,IF(AND(Mitarbeiter!$F$40&lt;&gt;"",HE$5&gt;Mitarbeiter!$F$40),0,IF(Planung!HE42="",$C42,IF(ISNUMBER(Planung!HE42),Planung!HE42,IF(UPPER(Planung!HE42)="H",$C42/2,0)))))))</f>
        <v>0</v>
      </c>
      <c r="HF42" s="27">
        <f>IF($A42="",0,IF(Mitarbeiter!$G$40=FALSE,0,IF(AND(Mitarbeiter!$E$40&lt;&gt;"",HF$5+6&lt;Mitarbeiter!$E$40),0,IF(AND(Mitarbeiter!$F$40&lt;&gt;"",HF$5&gt;Mitarbeiter!$F$40),0,IF(Planung!HF42="",$C42,IF(ISNUMBER(Planung!HF42),Planung!HF42,IF(UPPER(Planung!HF42)="H",$C42/2,0)))))))</f>
        <v>0</v>
      </c>
      <c r="HG42" s="27">
        <f>IF($A42="",0,IF(Mitarbeiter!$G$40=FALSE,0,IF(AND(Mitarbeiter!$E$40&lt;&gt;"",HG$5+6&lt;Mitarbeiter!$E$40),0,IF(AND(Mitarbeiter!$F$40&lt;&gt;"",HG$5&gt;Mitarbeiter!$F$40),0,IF(Planung!HG42="",$C42,IF(ISNUMBER(Planung!HG42),Planung!HG42,IF(UPPER(Planung!HG42)="H",$C42/2,0)))))))</f>
        <v>0</v>
      </c>
      <c r="HH42" s="27">
        <f>IF($A42="",0,IF(Mitarbeiter!$G$40=FALSE,0,IF(AND(Mitarbeiter!$E$40&lt;&gt;"",HH$5+6&lt;Mitarbeiter!$E$40),0,IF(AND(Mitarbeiter!$F$40&lt;&gt;"",HH$5&gt;Mitarbeiter!$F$40),0,IF(Planung!HH42="",$C42,IF(ISNUMBER(Planung!HH42),Planung!HH42,IF(UPPER(Planung!HH42)="H",$C42/2,0)))))))</f>
        <v>0</v>
      </c>
      <c r="HI42" s="27">
        <f>IF($A42="",0,IF(Mitarbeiter!$G$40=FALSE,0,IF(AND(Mitarbeiter!$E$40&lt;&gt;"",HI$5+6&lt;Mitarbeiter!$E$40),0,IF(AND(Mitarbeiter!$F$40&lt;&gt;"",HI$5&gt;Mitarbeiter!$F$40),0,IF(Planung!HI42="",$C42,IF(ISNUMBER(Planung!HI42),Planung!HI42,IF(UPPER(Planung!HI42)="H",$C42/2,0)))))))</f>
        <v>0</v>
      </c>
      <c r="HJ42" s="27">
        <f>IF($A42="",0,IF(Mitarbeiter!$G$40=FALSE,0,IF(AND(Mitarbeiter!$E$40&lt;&gt;"",HJ$5+6&lt;Mitarbeiter!$E$40),0,IF(AND(Mitarbeiter!$F$40&lt;&gt;"",HJ$5&gt;Mitarbeiter!$F$40),0,IF(Planung!HJ42="",$C42,IF(ISNUMBER(Planung!HJ42),Planung!HJ42,IF(UPPER(Planung!HJ42)="H",$C42/2,0)))))))</f>
        <v>0</v>
      </c>
      <c r="HK42" s="27">
        <f>IF($A42="",0,IF(Mitarbeiter!$G$40=FALSE,0,IF(AND(Mitarbeiter!$E$40&lt;&gt;"",HK$5+6&lt;Mitarbeiter!$E$40),0,IF(AND(Mitarbeiter!$F$40&lt;&gt;"",HK$5&gt;Mitarbeiter!$F$40),0,IF(Planung!HK42="",$C42,IF(ISNUMBER(Planung!HK42),Planung!HK42,IF(UPPER(Planung!HK42)="H",$C42/2,0)))))))</f>
        <v>0</v>
      </c>
      <c r="HL42" s="27">
        <f>IF($A42="",0,IF(Mitarbeiter!$G$40=FALSE,0,IF(AND(Mitarbeiter!$E$40&lt;&gt;"",HL$5+6&lt;Mitarbeiter!$E$40),0,IF(AND(Mitarbeiter!$F$40&lt;&gt;"",HL$5&gt;Mitarbeiter!$F$40),0,IF(Planung!HL42="",$C42,IF(ISNUMBER(Planung!HL42),Planung!HL42,IF(UPPER(Planung!HL42)="H",$C42/2,0)))))))</f>
        <v>0</v>
      </c>
      <c r="HM42" s="27">
        <f>IF($A42="",0,IF(Mitarbeiter!$G$40=FALSE,0,IF(AND(Mitarbeiter!$E$40&lt;&gt;"",HM$5+6&lt;Mitarbeiter!$E$40),0,IF(AND(Mitarbeiter!$F$40&lt;&gt;"",HM$5&gt;Mitarbeiter!$F$40),0,IF(Planung!HM42="",$C42,IF(ISNUMBER(Planung!HM42),Planung!HM42,IF(UPPER(Planung!HM42)="H",$C42/2,0)))))))</f>
        <v>0</v>
      </c>
      <c r="HN42" s="27">
        <f>IF($A42="",0,IF(Mitarbeiter!$G$40=FALSE,0,IF(AND(Mitarbeiter!$E$40&lt;&gt;"",HN$5+6&lt;Mitarbeiter!$E$40),0,IF(AND(Mitarbeiter!$F$40&lt;&gt;"",HN$5&gt;Mitarbeiter!$F$40),0,IF(Planung!HN42="",$C42,IF(ISNUMBER(Planung!HN42),Planung!HN42,IF(UPPER(Planung!HN42)="H",$C42/2,0)))))))</f>
        <v>0</v>
      </c>
      <c r="HO42" s="27">
        <f>IF($A42="",0,IF(Mitarbeiter!$G$40=FALSE,0,IF(AND(Mitarbeiter!$E$40&lt;&gt;"",HO$5+6&lt;Mitarbeiter!$E$40),0,IF(AND(Mitarbeiter!$F$40&lt;&gt;"",HO$5&gt;Mitarbeiter!$F$40),0,IF(Planung!HO42="",$C42,IF(ISNUMBER(Planung!HO42),Planung!HO42,IF(UPPER(Planung!HO42)="H",$C42/2,0)))))))</f>
        <v>0</v>
      </c>
      <c r="HP42" s="27">
        <f>IF($A42="",0,IF(Mitarbeiter!$G$40=FALSE,0,IF(AND(Mitarbeiter!$E$40&lt;&gt;"",HP$5+6&lt;Mitarbeiter!$E$40),0,IF(AND(Mitarbeiter!$F$40&lt;&gt;"",HP$5&gt;Mitarbeiter!$F$40),0,IF(Planung!HP42="",$C42,IF(ISNUMBER(Planung!HP42),Planung!HP42,IF(UPPER(Planung!HP42)="H",$C42/2,0)))))))</f>
        <v>0</v>
      </c>
      <c r="HQ42" s="27">
        <f>IF($A42="",0,IF(Mitarbeiter!$G$40=FALSE,0,IF(AND(Mitarbeiter!$E$40&lt;&gt;"",HQ$5+6&lt;Mitarbeiter!$E$40),0,IF(AND(Mitarbeiter!$F$40&lt;&gt;"",HQ$5&gt;Mitarbeiter!$F$40),0,IF(Planung!HQ42="",$C42,IF(ISNUMBER(Planung!HQ42),Planung!HQ42,IF(UPPER(Planung!HQ42)="H",$C42/2,0)))))))</f>
        <v>0</v>
      </c>
      <c r="HR42" s="27">
        <f>IF($A42="",0,IF(Mitarbeiter!$G$40=FALSE,0,IF(AND(Mitarbeiter!$E$40&lt;&gt;"",HR$5+6&lt;Mitarbeiter!$E$40),0,IF(AND(Mitarbeiter!$F$40&lt;&gt;"",HR$5&gt;Mitarbeiter!$F$40),0,IF(Planung!HR42="",$C42,IF(ISNUMBER(Planung!HR42),Planung!HR42,IF(UPPER(Planung!HR42)="H",$C42/2,0)))))))</f>
        <v>0</v>
      </c>
      <c r="HS42" s="27">
        <f>IF($A42="",0,IF(Mitarbeiter!$G$40=FALSE,0,IF(AND(Mitarbeiter!$E$40&lt;&gt;"",HS$5+6&lt;Mitarbeiter!$E$40),0,IF(AND(Mitarbeiter!$F$40&lt;&gt;"",HS$5&gt;Mitarbeiter!$F$40),0,IF(Planung!HS42="",$C42,IF(ISNUMBER(Planung!HS42),Planung!HS42,IF(UPPER(Planung!HS42)="H",$C42/2,0)))))))</f>
        <v>0</v>
      </c>
      <c r="HT42" s="27">
        <f>IF($A42="",0,IF(Mitarbeiter!$G$40=FALSE,0,IF(AND(Mitarbeiter!$E$40&lt;&gt;"",HT$5+6&lt;Mitarbeiter!$E$40),0,IF(AND(Mitarbeiter!$F$40&lt;&gt;"",HT$5&gt;Mitarbeiter!$F$40),0,IF(Planung!HT42="",$C42,IF(ISNUMBER(Planung!HT42),Planung!HT42,IF(UPPER(Planung!HT42)="H",$C42/2,0)))))))</f>
        <v>0</v>
      </c>
      <c r="HU42" s="27">
        <f>IF($A42="",0,IF(Mitarbeiter!$G$40=FALSE,0,IF(AND(Mitarbeiter!$E$40&lt;&gt;"",HU$5+6&lt;Mitarbeiter!$E$40),0,IF(AND(Mitarbeiter!$F$40&lt;&gt;"",HU$5&gt;Mitarbeiter!$F$40),0,IF(Planung!HU42="",$C42,IF(ISNUMBER(Planung!HU42),Planung!HU42,IF(UPPER(Planung!HU42)="H",$C42/2,0)))))))</f>
        <v>0</v>
      </c>
      <c r="HV42" s="27">
        <f>IF($A42="",0,IF(Mitarbeiter!$G$40=FALSE,0,IF(AND(Mitarbeiter!$E$40&lt;&gt;"",HV$5+6&lt;Mitarbeiter!$E$40),0,IF(AND(Mitarbeiter!$F$40&lt;&gt;"",HV$5&gt;Mitarbeiter!$F$40),0,IF(Planung!HV42="",$C42,IF(ISNUMBER(Planung!HV42),Planung!HV42,IF(UPPER(Planung!HV42)="H",$C42/2,0)))))))</f>
        <v>0</v>
      </c>
      <c r="HW42" s="27">
        <f>IF($A42="",0,IF(Mitarbeiter!$G$40=FALSE,0,IF(AND(Mitarbeiter!$E$40&lt;&gt;"",HW$5+6&lt;Mitarbeiter!$E$40),0,IF(AND(Mitarbeiter!$F$40&lt;&gt;"",HW$5&gt;Mitarbeiter!$F$40),0,IF(Planung!HW42="",$C42,IF(ISNUMBER(Planung!HW42),Planung!HW42,IF(UPPER(Planung!HW42)="H",$C42/2,0)))))))</f>
        <v>0</v>
      </c>
      <c r="HX42" s="27">
        <f>IF($A42="",0,IF(Mitarbeiter!$G$40=FALSE,0,IF(AND(Mitarbeiter!$E$40&lt;&gt;"",HX$5+6&lt;Mitarbeiter!$E$40),0,IF(AND(Mitarbeiter!$F$40&lt;&gt;"",HX$5&gt;Mitarbeiter!$F$40),0,IF(Planung!HX42="",$C42,IF(ISNUMBER(Planung!HX42),Planung!HX42,IF(UPPER(Planung!HX42)="H",$C42/2,0)))))))</f>
        <v>0</v>
      </c>
      <c r="HY42" s="27">
        <f>IF($A42="",0,IF(Mitarbeiter!$G$40=FALSE,0,IF(AND(Mitarbeiter!$E$40&lt;&gt;"",HY$5+6&lt;Mitarbeiter!$E$40),0,IF(AND(Mitarbeiter!$F$40&lt;&gt;"",HY$5&gt;Mitarbeiter!$F$40),0,IF(Planung!HY42="",$C42,IF(ISNUMBER(Planung!HY42),Planung!HY42,IF(UPPER(Planung!HY42)="H",$C42/2,0)))))))</f>
        <v>0</v>
      </c>
      <c r="HZ42" s="27">
        <f>IF($A42="",0,IF(Mitarbeiter!$G$40=FALSE,0,IF(AND(Mitarbeiter!$E$40&lt;&gt;"",HZ$5+6&lt;Mitarbeiter!$E$40),0,IF(AND(Mitarbeiter!$F$40&lt;&gt;"",HZ$5&gt;Mitarbeiter!$F$40),0,IF(Planung!HZ42="",$C42,IF(ISNUMBER(Planung!HZ42),Planung!HZ42,IF(UPPER(Planung!HZ42)="H",$C42/2,0)))))))</f>
        <v>0</v>
      </c>
      <c r="IA42" s="27">
        <f>IF($A42="",0,IF(Mitarbeiter!$G$40=FALSE,0,IF(AND(Mitarbeiter!$E$40&lt;&gt;"",IA$5+6&lt;Mitarbeiter!$E$40),0,IF(AND(Mitarbeiter!$F$40&lt;&gt;"",IA$5&gt;Mitarbeiter!$F$40),0,IF(Planung!IA42="",$C42,IF(ISNUMBER(Planung!IA42),Planung!IA42,IF(UPPER(Planung!IA42)="H",$C42/2,0)))))))</f>
        <v>0</v>
      </c>
    </row>
    <row r="43" spans="1:235" x14ac:dyDescent="0.25">
      <c r="A43" s="7" t="str">
        <f>Planung!A43</f>
        <v/>
      </c>
      <c r="B43" s="7" t="str">
        <f>Planung!B43</f>
        <v/>
      </c>
      <c r="C43" s="27">
        <f>N(Mitarbeiter!$D$41)</f>
        <v>0</v>
      </c>
      <c r="D43" s="27">
        <f>IF($A43="",0,IF(Mitarbeiter!$G$41=FALSE,0,IF(AND(Mitarbeiter!$E$41&lt;&gt;"",D$5+6&lt;Mitarbeiter!$E$41),0,IF(AND(Mitarbeiter!$F$41&lt;&gt;"",D$5&gt;Mitarbeiter!$F$41),0,IF(Planung!D43="",$C43,IF(ISNUMBER(Planung!D43),Planung!D43,IF(UPPER(Planung!D43)="H",$C43/2,0)))))))</f>
        <v>0</v>
      </c>
      <c r="E43" s="27">
        <f>IF($A43="",0,IF(Mitarbeiter!$G$41=FALSE,0,IF(AND(Mitarbeiter!$E$41&lt;&gt;"",E$5+6&lt;Mitarbeiter!$E$41),0,IF(AND(Mitarbeiter!$F$41&lt;&gt;"",E$5&gt;Mitarbeiter!$F$41),0,IF(Planung!E43="",$C43,IF(ISNUMBER(Planung!E43),Planung!E43,IF(UPPER(Planung!E43)="H",$C43/2,0)))))))</f>
        <v>0</v>
      </c>
      <c r="F43" s="27">
        <f>IF($A43="",0,IF(Mitarbeiter!$G$41=FALSE,0,IF(AND(Mitarbeiter!$E$41&lt;&gt;"",F$5+6&lt;Mitarbeiter!$E$41),0,IF(AND(Mitarbeiter!$F$41&lt;&gt;"",F$5&gt;Mitarbeiter!$F$41),0,IF(Planung!F43="",$C43,IF(ISNUMBER(Planung!F43),Planung!F43,IF(UPPER(Planung!F43)="H",$C43/2,0)))))))</f>
        <v>0</v>
      </c>
      <c r="G43" s="27">
        <f>IF($A43="",0,IF(Mitarbeiter!$G$41=FALSE,0,IF(AND(Mitarbeiter!$E$41&lt;&gt;"",G$5+6&lt;Mitarbeiter!$E$41),0,IF(AND(Mitarbeiter!$F$41&lt;&gt;"",G$5&gt;Mitarbeiter!$F$41),0,IF(Planung!G43="",$C43,IF(ISNUMBER(Planung!G43),Planung!G43,IF(UPPER(Planung!G43)="H",$C43/2,0)))))))</f>
        <v>0</v>
      </c>
      <c r="H43" s="27">
        <f>IF($A43="",0,IF(Mitarbeiter!$G$41=FALSE,0,IF(AND(Mitarbeiter!$E$41&lt;&gt;"",H$5+6&lt;Mitarbeiter!$E$41),0,IF(AND(Mitarbeiter!$F$41&lt;&gt;"",H$5&gt;Mitarbeiter!$F$41),0,IF(Planung!H43="",$C43,IF(ISNUMBER(Planung!H43),Planung!H43,IF(UPPER(Planung!H43)="H",$C43/2,0)))))))</f>
        <v>0</v>
      </c>
      <c r="I43" s="27">
        <f>IF($A43="",0,IF(Mitarbeiter!$G$41=FALSE,0,IF(AND(Mitarbeiter!$E$41&lt;&gt;"",I$5+6&lt;Mitarbeiter!$E$41),0,IF(AND(Mitarbeiter!$F$41&lt;&gt;"",I$5&gt;Mitarbeiter!$F$41),0,IF(Planung!I43="",$C43,IF(ISNUMBER(Planung!I43),Planung!I43,IF(UPPER(Planung!I43)="H",$C43/2,0)))))))</f>
        <v>0</v>
      </c>
      <c r="J43" s="27">
        <f>IF($A43="",0,IF(Mitarbeiter!$G$41=FALSE,0,IF(AND(Mitarbeiter!$E$41&lt;&gt;"",J$5+6&lt;Mitarbeiter!$E$41),0,IF(AND(Mitarbeiter!$F$41&lt;&gt;"",J$5&gt;Mitarbeiter!$F$41),0,IF(Planung!J43="",$C43,IF(ISNUMBER(Planung!J43),Planung!J43,IF(UPPER(Planung!J43)="H",$C43/2,0)))))))</f>
        <v>0</v>
      </c>
      <c r="K43" s="27">
        <f>IF($A43="",0,IF(Mitarbeiter!$G$41=FALSE,0,IF(AND(Mitarbeiter!$E$41&lt;&gt;"",K$5+6&lt;Mitarbeiter!$E$41),0,IF(AND(Mitarbeiter!$F$41&lt;&gt;"",K$5&gt;Mitarbeiter!$F$41),0,IF(Planung!K43="",$C43,IF(ISNUMBER(Planung!K43),Planung!K43,IF(UPPER(Planung!K43)="H",$C43/2,0)))))))</f>
        <v>0</v>
      </c>
      <c r="L43" s="27">
        <f>IF($A43="",0,IF(Mitarbeiter!$G$41=FALSE,0,IF(AND(Mitarbeiter!$E$41&lt;&gt;"",L$5+6&lt;Mitarbeiter!$E$41),0,IF(AND(Mitarbeiter!$F$41&lt;&gt;"",L$5&gt;Mitarbeiter!$F$41),0,IF(Planung!L43="",$C43,IF(ISNUMBER(Planung!L43),Planung!L43,IF(UPPER(Planung!L43)="H",$C43/2,0)))))))</f>
        <v>0</v>
      </c>
      <c r="M43" s="27">
        <f>IF($A43="",0,IF(Mitarbeiter!$G$41=FALSE,0,IF(AND(Mitarbeiter!$E$41&lt;&gt;"",M$5+6&lt;Mitarbeiter!$E$41),0,IF(AND(Mitarbeiter!$F$41&lt;&gt;"",M$5&gt;Mitarbeiter!$F$41),0,IF(Planung!M43="",$C43,IF(ISNUMBER(Planung!M43),Planung!M43,IF(UPPER(Planung!M43)="H",$C43/2,0)))))))</f>
        <v>0</v>
      </c>
      <c r="N43" s="27">
        <f>IF($A43="",0,IF(Mitarbeiter!$G$41=FALSE,0,IF(AND(Mitarbeiter!$E$41&lt;&gt;"",N$5+6&lt;Mitarbeiter!$E$41),0,IF(AND(Mitarbeiter!$F$41&lt;&gt;"",N$5&gt;Mitarbeiter!$F$41),0,IF(Planung!N43="",$C43,IF(ISNUMBER(Planung!N43),Planung!N43,IF(UPPER(Planung!N43)="H",$C43/2,0)))))))</f>
        <v>0</v>
      </c>
      <c r="O43" s="27">
        <f>IF($A43="",0,IF(Mitarbeiter!$G$41=FALSE,0,IF(AND(Mitarbeiter!$E$41&lt;&gt;"",O$5+6&lt;Mitarbeiter!$E$41),0,IF(AND(Mitarbeiter!$F$41&lt;&gt;"",O$5&gt;Mitarbeiter!$F$41),0,IF(Planung!O43="",$C43,IF(ISNUMBER(Planung!O43),Planung!O43,IF(UPPER(Planung!O43)="H",$C43/2,0)))))))</f>
        <v>0</v>
      </c>
      <c r="P43" s="27">
        <f>IF($A43="",0,IF(Mitarbeiter!$G$41=FALSE,0,IF(AND(Mitarbeiter!$E$41&lt;&gt;"",P$5+6&lt;Mitarbeiter!$E$41),0,IF(AND(Mitarbeiter!$F$41&lt;&gt;"",P$5&gt;Mitarbeiter!$F$41),0,IF(Planung!P43="",$C43,IF(ISNUMBER(Planung!P43),Planung!P43,IF(UPPER(Planung!P43)="H",$C43/2,0)))))))</f>
        <v>0</v>
      </c>
      <c r="Q43" s="27">
        <f>IF($A43="",0,IF(Mitarbeiter!$G$41=FALSE,0,IF(AND(Mitarbeiter!$E$41&lt;&gt;"",Q$5+6&lt;Mitarbeiter!$E$41),0,IF(AND(Mitarbeiter!$F$41&lt;&gt;"",Q$5&gt;Mitarbeiter!$F$41),0,IF(Planung!Q43="",$C43,IF(ISNUMBER(Planung!Q43),Planung!Q43,IF(UPPER(Planung!Q43)="H",$C43/2,0)))))))</f>
        <v>0</v>
      </c>
      <c r="R43" s="27">
        <f>IF($A43="",0,IF(Mitarbeiter!$G$41=FALSE,0,IF(AND(Mitarbeiter!$E$41&lt;&gt;"",R$5+6&lt;Mitarbeiter!$E$41),0,IF(AND(Mitarbeiter!$F$41&lt;&gt;"",R$5&gt;Mitarbeiter!$F$41),0,IF(Planung!R43="",$C43,IF(ISNUMBER(Planung!R43),Planung!R43,IF(UPPER(Planung!R43)="H",$C43/2,0)))))))</f>
        <v>0</v>
      </c>
      <c r="S43" s="27">
        <f>IF($A43="",0,IF(Mitarbeiter!$G$41=FALSE,0,IF(AND(Mitarbeiter!$E$41&lt;&gt;"",S$5+6&lt;Mitarbeiter!$E$41),0,IF(AND(Mitarbeiter!$F$41&lt;&gt;"",S$5&gt;Mitarbeiter!$F$41),0,IF(Planung!S43="",$C43,IF(ISNUMBER(Planung!S43),Planung!S43,IF(UPPER(Planung!S43)="H",$C43/2,0)))))))</f>
        <v>0</v>
      </c>
      <c r="T43" s="27">
        <f>IF($A43="",0,IF(Mitarbeiter!$G$41=FALSE,0,IF(AND(Mitarbeiter!$E$41&lt;&gt;"",T$5+6&lt;Mitarbeiter!$E$41),0,IF(AND(Mitarbeiter!$F$41&lt;&gt;"",T$5&gt;Mitarbeiter!$F$41),0,IF(Planung!T43="",$C43,IF(ISNUMBER(Planung!T43),Planung!T43,IF(UPPER(Planung!T43)="H",$C43/2,0)))))))</f>
        <v>0</v>
      </c>
      <c r="U43" s="27">
        <f>IF($A43="",0,IF(Mitarbeiter!$G$41=FALSE,0,IF(AND(Mitarbeiter!$E$41&lt;&gt;"",U$5+6&lt;Mitarbeiter!$E$41),0,IF(AND(Mitarbeiter!$F$41&lt;&gt;"",U$5&gt;Mitarbeiter!$F$41),0,IF(Planung!U43="",$C43,IF(ISNUMBER(Planung!U43),Planung!U43,IF(UPPER(Planung!U43)="H",$C43/2,0)))))))</f>
        <v>0</v>
      </c>
      <c r="V43" s="27">
        <f>IF($A43="",0,IF(Mitarbeiter!$G$41=FALSE,0,IF(AND(Mitarbeiter!$E$41&lt;&gt;"",V$5+6&lt;Mitarbeiter!$E$41),0,IF(AND(Mitarbeiter!$F$41&lt;&gt;"",V$5&gt;Mitarbeiter!$F$41),0,IF(Planung!V43="",$C43,IF(ISNUMBER(Planung!V43),Planung!V43,IF(UPPER(Planung!V43)="H",$C43/2,0)))))))</f>
        <v>0</v>
      </c>
      <c r="W43" s="27">
        <f>IF($A43="",0,IF(Mitarbeiter!$G$41=FALSE,0,IF(AND(Mitarbeiter!$E$41&lt;&gt;"",W$5+6&lt;Mitarbeiter!$E$41),0,IF(AND(Mitarbeiter!$F$41&lt;&gt;"",W$5&gt;Mitarbeiter!$F$41),0,IF(Planung!W43="",$C43,IF(ISNUMBER(Planung!W43),Planung!W43,IF(UPPER(Planung!W43)="H",$C43/2,0)))))))</f>
        <v>0</v>
      </c>
      <c r="X43" s="27">
        <f>IF($A43="",0,IF(Mitarbeiter!$G$41=FALSE,0,IF(AND(Mitarbeiter!$E$41&lt;&gt;"",X$5+6&lt;Mitarbeiter!$E$41),0,IF(AND(Mitarbeiter!$F$41&lt;&gt;"",X$5&gt;Mitarbeiter!$F$41),0,IF(Planung!X43="",$C43,IF(ISNUMBER(Planung!X43),Planung!X43,IF(UPPER(Planung!X43)="H",$C43/2,0)))))))</f>
        <v>0</v>
      </c>
      <c r="Y43" s="27">
        <f>IF($A43="",0,IF(Mitarbeiter!$G$41=FALSE,0,IF(AND(Mitarbeiter!$E$41&lt;&gt;"",Y$5+6&lt;Mitarbeiter!$E$41),0,IF(AND(Mitarbeiter!$F$41&lt;&gt;"",Y$5&gt;Mitarbeiter!$F$41),0,IF(Planung!Y43="",$C43,IF(ISNUMBER(Planung!Y43),Planung!Y43,IF(UPPER(Planung!Y43)="H",$C43/2,0)))))))</f>
        <v>0</v>
      </c>
      <c r="Z43" s="27">
        <f>IF($A43="",0,IF(Mitarbeiter!$G$41=FALSE,0,IF(AND(Mitarbeiter!$E$41&lt;&gt;"",Z$5+6&lt;Mitarbeiter!$E$41),0,IF(AND(Mitarbeiter!$F$41&lt;&gt;"",Z$5&gt;Mitarbeiter!$F$41),0,IF(Planung!Z43="",$C43,IF(ISNUMBER(Planung!Z43),Planung!Z43,IF(UPPER(Planung!Z43)="H",$C43/2,0)))))))</f>
        <v>0</v>
      </c>
      <c r="AA43" s="27">
        <f>IF($A43="",0,IF(Mitarbeiter!$G$41=FALSE,0,IF(AND(Mitarbeiter!$E$41&lt;&gt;"",AA$5+6&lt;Mitarbeiter!$E$41),0,IF(AND(Mitarbeiter!$F$41&lt;&gt;"",AA$5&gt;Mitarbeiter!$F$41),0,IF(Planung!AA43="",$C43,IF(ISNUMBER(Planung!AA43),Planung!AA43,IF(UPPER(Planung!AA43)="H",$C43/2,0)))))))</f>
        <v>0</v>
      </c>
      <c r="AB43" s="27">
        <f>IF($A43="",0,IF(Mitarbeiter!$G$41=FALSE,0,IF(AND(Mitarbeiter!$E$41&lt;&gt;"",AB$5+6&lt;Mitarbeiter!$E$41),0,IF(AND(Mitarbeiter!$F$41&lt;&gt;"",AB$5&gt;Mitarbeiter!$F$41),0,IF(Planung!AB43="",$C43,IF(ISNUMBER(Planung!AB43),Planung!AB43,IF(UPPER(Planung!AB43)="H",$C43/2,0)))))))</f>
        <v>0</v>
      </c>
      <c r="AC43" s="27">
        <f>IF($A43="",0,IF(Mitarbeiter!$G$41=FALSE,0,IF(AND(Mitarbeiter!$E$41&lt;&gt;"",AC$5+6&lt;Mitarbeiter!$E$41),0,IF(AND(Mitarbeiter!$F$41&lt;&gt;"",AC$5&gt;Mitarbeiter!$F$41),0,IF(Planung!AC43="",$C43,IF(ISNUMBER(Planung!AC43),Planung!AC43,IF(UPPER(Planung!AC43)="H",$C43/2,0)))))))</f>
        <v>0</v>
      </c>
      <c r="AD43" s="27">
        <f>IF($A43="",0,IF(Mitarbeiter!$G$41=FALSE,0,IF(AND(Mitarbeiter!$E$41&lt;&gt;"",AD$5+6&lt;Mitarbeiter!$E$41),0,IF(AND(Mitarbeiter!$F$41&lt;&gt;"",AD$5&gt;Mitarbeiter!$F$41),0,IF(Planung!AD43="",$C43,IF(ISNUMBER(Planung!AD43),Planung!AD43,IF(UPPER(Planung!AD43)="H",$C43/2,0)))))))</f>
        <v>0</v>
      </c>
      <c r="AE43" s="27">
        <f>IF($A43="",0,IF(Mitarbeiter!$G$41=FALSE,0,IF(AND(Mitarbeiter!$E$41&lt;&gt;"",AE$5+6&lt;Mitarbeiter!$E$41),0,IF(AND(Mitarbeiter!$F$41&lt;&gt;"",AE$5&gt;Mitarbeiter!$F$41),0,IF(Planung!AE43="",$C43,IF(ISNUMBER(Planung!AE43),Planung!AE43,IF(UPPER(Planung!AE43)="H",$C43/2,0)))))))</f>
        <v>0</v>
      </c>
      <c r="AF43" s="27">
        <f>IF($A43="",0,IF(Mitarbeiter!$G$41=FALSE,0,IF(AND(Mitarbeiter!$E$41&lt;&gt;"",AF$5+6&lt;Mitarbeiter!$E$41),0,IF(AND(Mitarbeiter!$F$41&lt;&gt;"",AF$5&gt;Mitarbeiter!$F$41),0,IF(Planung!AF43="",$C43,IF(ISNUMBER(Planung!AF43),Planung!AF43,IF(UPPER(Planung!AF43)="H",$C43/2,0)))))))</f>
        <v>0</v>
      </c>
      <c r="AG43" s="27">
        <f>IF($A43="",0,IF(Mitarbeiter!$G$41=FALSE,0,IF(AND(Mitarbeiter!$E$41&lt;&gt;"",AG$5+6&lt;Mitarbeiter!$E$41),0,IF(AND(Mitarbeiter!$F$41&lt;&gt;"",AG$5&gt;Mitarbeiter!$F$41),0,IF(Planung!AG43="",$C43,IF(ISNUMBER(Planung!AG43),Planung!AG43,IF(UPPER(Planung!AG43)="H",$C43/2,0)))))))</f>
        <v>0</v>
      </c>
      <c r="AH43" s="27">
        <f>IF($A43="",0,IF(Mitarbeiter!$G$41=FALSE,0,IF(AND(Mitarbeiter!$E$41&lt;&gt;"",AH$5+6&lt;Mitarbeiter!$E$41),0,IF(AND(Mitarbeiter!$F$41&lt;&gt;"",AH$5&gt;Mitarbeiter!$F$41),0,IF(Planung!AH43="",$C43,IF(ISNUMBER(Planung!AH43),Planung!AH43,IF(UPPER(Planung!AH43)="H",$C43/2,0)))))))</f>
        <v>0</v>
      </c>
      <c r="AI43" s="27">
        <f>IF($A43="",0,IF(Mitarbeiter!$G$41=FALSE,0,IF(AND(Mitarbeiter!$E$41&lt;&gt;"",AI$5+6&lt;Mitarbeiter!$E$41),0,IF(AND(Mitarbeiter!$F$41&lt;&gt;"",AI$5&gt;Mitarbeiter!$F$41),0,IF(Planung!AI43="",$C43,IF(ISNUMBER(Planung!AI43),Planung!AI43,IF(UPPER(Planung!AI43)="H",$C43/2,0)))))))</f>
        <v>0</v>
      </c>
      <c r="AJ43" s="27">
        <f>IF($A43="",0,IF(Mitarbeiter!$G$41=FALSE,0,IF(AND(Mitarbeiter!$E$41&lt;&gt;"",AJ$5+6&lt;Mitarbeiter!$E$41),0,IF(AND(Mitarbeiter!$F$41&lt;&gt;"",AJ$5&gt;Mitarbeiter!$F$41),0,IF(Planung!AJ43="",$C43,IF(ISNUMBER(Planung!AJ43),Planung!AJ43,IF(UPPER(Planung!AJ43)="H",$C43/2,0)))))))</f>
        <v>0</v>
      </c>
      <c r="AK43" s="27">
        <f>IF($A43="",0,IF(Mitarbeiter!$G$41=FALSE,0,IF(AND(Mitarbeiter!$E$41&lt;&gt;"",AK$5+6&lt;Mitarbeiter!$E$41),0,IF(AND(Mitarbeiter!$F$41&lt;&gt;"",AK$5&gt;Mitarbeiter!$F$41),0,IF(Planung!AK43="",$C43,IF(ISNUMBER(Planung!AK43),Planung!AK43,IF(UPPER(Planung!AK43)="H",$C43/2,0)))))))</f>
        <v>0</v>
      </c>
      <c r="AL43" s="27">
        <f>IF($A43="",0,IF(Mitarbeiter!$G$41=FALSE,0,IF(AND(Mitarbeiter!$E$41&lt;&gt;"",AL$5+6&lt;Mitarbeiter!$E$41),0,IF(AND(Mitarbeiter!$F$41&lt;&gt;"",AL$5&gt;Mitarbeiter!$F$41),0,IF(Planung!AL43="",$C43,IF(ISNUMBER(Planung!AL43),Planung!AL43,IF(UPPER(Planung!AL43)="H",$C43/2,0)))))))</f>
        <v>0</v>
      </c>
      <c r="AM43" s="27">
        <f>IF($A43="",0,IF(Mitarbeiter!$G$41=FALSE,0,IF(AND(Mitarbeiter!$E$41&lt;&gt;"",AM$5+6&lt;Mitarbeiter!$E$41),0,IF(AND(Mitarbeiter!$F$41&lt;&gt;"",AM$5&gt;Mitarbeiter!$F$41),0,IF(Planung!AM43="",$C43,IF(ISNUMBER(Planung!AM43),Planung!AM43,IF(UPPER(Planung!AM43)="H",$C43/2,0)))))))</f>
        <v>0</v>
      </c>
      <c r="AN43" s="27">
        <f>IF($A43="",0,IF(Mitarbeiter!$G$41=FALSE,0,IF(AND(Mitarbeiter!$E$41&lt;&gt;"",AN$5+6&lt;Mitarbeiter!$E$41),0,IF(AND(Mitarbeiter!$F$41&lt;&gt;"",AN$5&gt;Mitarbeiter!$F$41),0,IF(Planung!AN43="",$C43,IF(ISNUMBER(Planung!AN43),Planung!AN43,IF(UPPER(Planung!AN43)="H",$C43/2,0)))))))</f>
        <v>0</v>
      </c>
      <c r="AO43" s="27">
        <f>IF($A43="",0,IF(Mitarbeiter!$G$41=FALSE,0,IF(AND(Mitarbeiter!$E$41&lt;&gt;"",AO$5+6&lt;Mitarbeiter!$E$41),0,IF(AND(Mitarbeiter!$F$41&lt;&gt;"",AO$5&gt;Mitarbeiter!$F$41),0,IF(Planung!AO43="",$C43,IF(ISNUMBER(Planung!AO43),Planung!AO43,IF(UPPER(Planung!AO43)="H",$C43/2,0)))))))</f>
        <v>0</v>
      </c>
      <c r="AP43" s="27">
        <f>IF($A43="",0,IF(Mitarbeiter!$G$41=FALSE,0,IF(AND(Mitarbeiter!$E$41&lt;&gt;"",AP$5+6&lt;Mitarbeiter!$E$41),0,IF(AND(Mitarbeiter!$F$41&lt;&gt;"",AP$5&gt;Mitarbeiter!$F$41),0,IF(Planung!AP43="",$C43,IF(ISNUMBER(Planung!AP43),Planung!AP43,IF(UPPER(Planung!AP43)="H",$C43/2,0)))))))</f>
        <v>0</v>
      </c>
      <c r="AQ43" s="27">
        <f>IF($A43="",0,IF(Mitarbeiter!$G$41=FALSE,0,IF(AND(Mitarbeiter!$E$41&lt;&gt;"",AQ$5+6&lt;Mitarbeiter!$E$41),0,IF(AND(Mitarbeiter!$F$41&lt;&gt;"",AQ$5&gt;Mitarbeiter!$F$41),0,IF(Planung!AQ43="",$C43,IF(ISNUMBER(Planung!AQ43),Planung!AQ43,IF(UPPER(Planung!AQ43)="H",$C43/2,0)))))))</f>
        <v>0</v>
      </c>
      <c r="AR43" s="27">
        <f>IF($A43="",0,IF(Mitarbeiter!$G$41=FALSE,0,IF(AND(Mitarbeiter!$E$41&lt;&gt;"",AR$5+6&lt;Mitarbeiter!$E$41),0,IF(AND(Mitarbeiter!$F$41&lt;&gt;"",AR$5&gt;Mitarbeiter!$F$41),0,IF(Planung!AR43="",$C43,IF(ISNUMBER(Planung!AR43),Planung!AR43,IF(UPPER(Planung!AR43)="H",$C43/2,0)))))))</f>
        <v>0</v>
      </c>
      <c r="AS43" s="27">
        <f>IF($A43="",0,IF(Mitarbeiter!$G$41=FALSE,0,IF(AND(Mitarbeiter!$E$41&lt;&gt;"",AS$5+6&lt;Mitarbeiter!$E$41),0,IF(AND(Mitarbeiter!$F$41&lt;&gt;"",AS$5&gt;Mitarbeiter!$F$41),0,IF(Planung!AS43="",$C43,IF(ISNUMBER(Planung!AS43),Planung!AS43,IF(UPPER(Planung!AS43)="H",$C43/2,0)))))))</f>
        <v>0</v>
      </c>
      <c r="AT43" s="27">
        <f>IF($A43="",0,IF(Mitarbeiter!$G$41=FALSE,0,IF(AND(Mitarbeiter!$E$41&lt;&gt;"",AT$5+6&lt;Mitarbeiter!$E$41),0,IF(AND(Mitarbeiter!$F$41&lt;&gt;"",AT$5&gt;Mitarbeiter!$F$41),0,IF(Planung!AT43="",$C43,IF(ISNUMBER(Planung!AT43),Planung!AT43,IF(UPPER(Planung!AT43)="H",$C43/2,0)))))))</f>
        <v>0</v>
      </c>
      <c r="AU43" s="27">
        <f>IF($A43="",0,IF(Mitarbeiter!$G$41=FALSE,0,IF(AND(Mitarbeiter!$E$41&lt;&gt;"",AU$5+6&lt;Mitarbeiter!$E$41),0,IF(AND(Mitarbeiter!$F$41&lt;&gt;"",AU$5&gt;Mitarbeiter!$F$41),0,IF(Planung!AU43="",$C43,IF(ISNUMBER(Planung!AU43),Planung!AU43,IF(UPPER(Planung!AU43)="H",$C43/2,0)))))))</f>
        <v>0</v>
      </c>
      <c r="AV43" s="27">
        <f>IF($A43="",0,IF(Mitarbeiter!$G$41=FALSE,0,IF(AND(Mitarbeiter!$E$41&lt;&gt;"",AV$5+6&lt;Mitarbeiter!$E$41),0,IF(AND(Mitarbeiter!$F$41&lt;&gt;"",AV$5&gt;Mitarbeiter!$F$41),0,IF(Planung!AV43="",$C43,IF(ISNUMBER(Planung!AV43),Planung!AV43,IF(UPPER(Planung!AV43)="H",$C43/2,0)))))))</f>
        <v>0</v>
      </c>
      <c r="AW43" s="27">
        <f>IF($A43="",0,IF(Mitarbeiter!$G$41=FALSE,0,IF(AND(Mitarbeiter!$E$41&lt;&gt;"",AW$5+6&lt;Mitarbeiter!$E$41),0,IF(AND(Mitarbeiter!$F$41&lt;&gt;"",AW$5&gt;Mitarbeiter!$F$41),0,IF(Planung!AW43="",$C43,IF(ISNUMBER(Planung!AW43),Planung!AW43,IF(UPPER(Planung!AW43)="H",$C43/2,0)))))))</f>
        <v>0</v>
      </c>
      <c r="AX43" s="27">
        <f>IF($A43="",0,IF(Mitarbeiter!$G$41=FALSE,0,IF(AND(Mitarbeiter!$E$41&lt;&gt;"",AX$5+6&lt;Mitarbeiter!$E$41),0,IF(AND(Mitarbeiter!$F$41&lt;&gt;"",AX$5&gt;Mitarbeiter!$F$41),0,IF(Planung!AX43="",$C43,IF(ISNUMBER(Planung!AX43),Planung!AX43,IF(UPPER(Planung!AX43)="H",$C43/2,0)))))))</f>
        <v>0</v>
      </c>
      <c r="AY43" s="27">
        <f>IF($A43="",0,IF(Mitarbeiter!$G$41=FALSE,0,IF(AND(Mitarbeiter!$E$41&lt;&gt;"",AY$5+6&lt;Mitarbeiter!$E$41),0,IF(AND(Mitarbeiter!$F$41&lt;&gt;"",AY$5&gt;Mitarbeiter!$F$41),0,IF(Planung!AY43="",$C43,IF(ISNUMBER(Planung!AY43),Planung!AY43,IF(UPPER(Planung!AY43)="H",$C43/2,0)))))))</f>
        <v>0</v>
      </c>
      <c r="AZ43" s="27">
        <f>IF($A43="",0,IF(Mitarbeiter!$G$41=FALSE,0,IF(AND(Mitarbeiter!$E$41&lt;&gt;"",AZ$5+6&lt;Mitarbeiter!$E$41),0,IF(AND(Mitarbeiter!$F$41&lt;&gt;"",AZ$5&gt;Mitarbeiter!$F$41),0,IF(Planung!AZ43="",$C43,IF(ISNUMBER(Planung!AZ43),Planung!AZ43,IF(UPPER(Planung!AZ43)="H",$C43/2,0)))))))</f>
        <v>0</v>
      </c>
      <c r="BA43" s="27">
        <f>IF($A43="",0,IF(Mitarbeiter!$G$41=FALSE,0,IF(AND(Mitarbeiter!$E$41&lt;&gt;"",BA$5+6&lt;Mitarbeiter!$E$41),0,IF(AND(Mitarbeiter!$F$41&lt;&gt;"",BA$5&gt;Mitarbeiter!$F$41),0,IF(Planung!BA43="",$C43,IF(ISNUMBER(Planung!BA43),Planung!BA43,IF(UPPER(Planung!BA43)="H",$C43/2,0)))))))</f>
        <v>0</v>
      </c>
      <c r="BB43" s="27">
        <f>IF($A43="",0,IF(Mitarbeiter!$G$41=FALSE,0,IF(AND(Mitarbeiter!$E$41&lt;&gt;"",BB$5+6&lt;Mitarbeiter!$E$41),0,IF(AND(Mitarbeiter!$F$41&lt;&gt;"",BB$5&gt;Mitarbeiter!$F$41),0,IF(Planung!BB43="",$C43,IF(ISNUMBER(Planung!BB43),Planung!BB43,IF(UPPER(Planung!BB43)="H",$C43/2,0)))))))</f>
        <v>0</v>
      </c>
      <c r="BC43" s="27">
        <f>IF($A43="",0,IF(Mitarbeiter!$G$41=FALSE,0,IF(AND(Mitarbeiter!$E$41&lt;&gt;"",BC$5+6&lt;Mitarbeiter!$E$41),0,IF(AND(Mitarbeiter!$F$41&lt;&gt;"",BC$5&gt;Mitarbeiter!$F$41),0,IF(Planung!BC43="",$C43,IF(ISNUMBER(Planung!BC43),Planung!BC43,IF(UPPER(Planung!BC43)="H",$C43/2,0)))))))</f>
        <v>0</v>
      </c>
      <c r="BD43" s="27">
        <f>IF($A43="",0,IF(Mitarbeiter!$G$41=FALSE,0,IF(AND(Mitarbeiter!$E$41&lt;&gt;"",BD$5+6&lt;Mitarbeiter!$E$41),0,IF(AND(Mitarbeiter!$F$41&lt;&gt;"",BD$5&gt;Mitarbeiter!$F$41),0,IF(Planung!BD43="",$C43,IF(ISNUMBER(Planung!BD43),Planung!BD43,IF(UPPER(Planung!BD43)="H",$C43/2,0)))))))</f>
        <v>0</v>
      </c>
      <c r="BE43" s="27">
        <f>IF($A43="",0,IF(Mitarbeiter!$G$41=FALSE,0,IF(AND(Mitarbeiter!$E$41&lt;&gt;"",BE$5+6&lt;Mitarbeiter!$E$41),0,IF(AND(Mitarbeiter!$F$41&lt;&gt;"",BE$5&gt;Mitarbeiter!$F$41),0,IF(Planung!BE43="",$C43,IF(ISNUMBER(Planung!BE43),Planung!BE43,IF(UPPER(Planung!BE43)="H",$C43/2,0)))))))</f>
        <v>0</v>
      </c>
      <c r="BF43" s="27">
        <f>IF($A43="",0,IF(Mitarbeiter!$G$41=FALSE,0,IF(AND(Mitarbeiter!$E$41&lt;&gt;"",BF$5+6&lt;Mitarbeiter!$E$41),0,IF(AND(Mitarbeiter!$F$41&lt;&gt;"",BF$5&gt;Mitarbeiter!$F$41),0,IF(Planung!BF43="",$C43,IF(ISNUMBER(Planung!BF43),Planung!BF43,IF(UPPER(Planung!BF43)="H",$C43/2,0)))))))</f>
        <v>0</v>
      </c>
      <c r="BG43" s="27">
        <f>IF($A43="",0,IF(Mitarbeiter!$G$41=FALSE,0,IF(AND(Mitarbeiter!$E$41&lt;&gt;"",BG$5+6&lt;Mitarbeiter!$E$41),0,IF(AND(Mitarbeiter!$F$41&lt;&gt;"",BG$5&gt;Mitarbeiter!$F$41),0,IF(Planung!BG43="",$C43,IF(ISNUMBER(Planung!BG43),Planung!BG43,IF(UPPER(Planung!BG43)="H",$C43/2,0)))))))</f>
        <v>0</v>
      </c>
      <c r="BH43" s="27">
        <f>IF($A43="",0,IF(Mitarbeiter!$G$41=FALSE,0,IF(AND(Mitarbeiter!$E$41&lt;&gt;"",BH$5+6&lt;Mitarbeiter!$E$41),0,IF(AND(Mitarbeiter!$F$41&lt;&gt;"",BH$5&gt;Mitarbeiter!$F$41),0,IF(Planung!BH43="",$C43,IF(ISNUMBER(Planung!BH43),Planung!BH43,IF(UPPER(Planung!BH43)="H",$C43/2,0)))))))</f>
        <v>0</v>
      </c>
      <c r="BI43" s="27">
        <f>IF($A43="",0,IF(Mitarbeiter!$G$41=FALSE,0,IF(AND(Mitarbeiter!$E$41&lt;&gt;"",BI$5+6&lt;Mitarbeiter!$E$41),0,IF(AND(Mitarbeiter!$F$41&lt;&gt;"",BI$5&gt;Mitarbeiter!$F$41),0,IF(Planung!BI43="",$C43,IF(ISNUMBER(Planung!BI43),Planung!BI43,IF(UPPER(Planung!BI43)="H",$C43/2,0)))))))</f>
        <v>0</v>
      </c>
      <c r="BJ43" s="27">
        <f>IF($A43="",0,IF(Mitarbeiter!$G$41=FALSE,0,IF(AND(Mitarbeiter!$E$41&lt;&gt;"",BJ$5+6&lt;Mitarbeiter!$E$41),0,IF(AND(Mitarbeiter!$F$41&lt;&gt;"",BJ$5&gt;Mitarbeiter!$F$41),0,IF(Planung!BJ43="",$C43,IF(ISNUMBER(Planung!BJ43),Planung!BJ43,IF(UPPER(Planung!BJ43)="H",$C43/2,0)))))))</f>
        <v>0</v>
      </c>
      <c r="BK43" s="27">
        <f>IF($A43="",0,IF(Mitarbeiter!$G$41=FALSE,0,IF(AND(Mitarbeiter!$E$41&lt;&gt;"",BK$5+6&lt;Mitarbeiter!$E$41),0,IF(AND(Mitarbeiter!$F$41&lt;&gt;"",BK$5&gt;Mitarbeiter!$F$41),0,IF(Planung!BK43="",$C43,IF(ISNUMBER(Planung!BK43),Planung!BK43,IF(UPPER(Planung!BK43)="H",$C43/2,0)))))))</f>
        <v>0</v>
      </c>
      <c r="BL43" s="27">
        <f>IF($A43="",0,IF(Mitarbeiter!$G$41=FALSE,0,IF(AND(Mitarbeiter!$E$41&lt;&gt;"",BL$5+6&lt;Mitarbeiter!$E$41),0,IF(AND(Mitarbeiter!$F$41&lt;&gt;"",BL$5&gt;Mitarbeiter!$F$41),0,IF(Planung!BL43="",$C43,IF(ISNUMBER(Planung!BL43),Planung!BL43,IF(UPPER(Planung!BL43)="H",$C43/2,0)))))))</f>
        <v>0</v>
      </c>
      <c r="BM43" s="27">
        <f>IF($A43="",0,IF(Mitarbeiter!$G$41=FALSE,0,IF(AND(Mitarbeiter!$E$41&lt;&gt;"",BM$5+6&lt;Mitarbeiter!$E$41),0,IF(AND(Mitarbeiter!$F$41&lt;&gt;"",BM$5&gt;Mitarbeiter!$F$41),0,IF(Planung!BM43="",$C43,IF(ISNUMBER(Planung!BM43),Planung!BM43,IF(UPPER(Planung!BM43)="H",$C43/2,0)))))))</f>
        <v>0</v>
      </c>
      <c r="BN43" s="27">
        <f>IF($A43="",0,IF(Mitarbeiter!$G$41=FALSE,0,IF(AND(Mitarbeiter!$E$41&lt;&gt;"",BN$5+6&lt;Mitarbeiter!$E$41),0,IF(AND(Mitarbeiter!$F$41&lt;&gt;"",BN$5&gt;Mitarbeiter!$F$41),0,IF(Planung!BN43="",$C43,IF(ISNUMBER(Planung!BN43),Planung!BN43,IF(UPPER(Planung!BN43)="H",$C43/2,0)))))))</f>
        <v>0</v>
      </c>
      <c r="BO43" s="27">
        <f>IF($A43="",0,IF(Mitarbeiter!$G$41=FALSE,0,IF(AND(Mitarbeiter!$E$41&lt;&gt;"",BO$5+6&lt;Mitarbeiter!$E$41),0,IF(AND(Mitarbeiter!$F$41&lt;&gt;"",BO$5&gt;Mitarbeiter!$F$41),0,IF(Planung!BO43="",$C43,IF(ISNUMBER(Planung!BO43),Planung!BO43,IF(UPPER(Planung!BO43)="H",$C43/2,0)))))))</f>
        <v>0</v>
      </c>
      <c r="BP43" s="27">
        <f>IF($A43="",0,IF(Mitarbeiter!$G$41=FALSE,0,IF(AND(Mitarbeiter!$E$41&lt;&gt;"",BP$5+6&lt;Mitarbeiter!$E$41),0,IF(AND(Mitarbeiter!$F$41&lt;&gt;"",BP$5&gt;Mitarbeiter!$F$41),0,IF(Planung!BP43="",$C43,IF(ISNUMBER(Planung!BP43),Planung!BP43,IF(UPPER(Planung!BP43)="H",$C43/2,0)))))))</f>
        <v>0</v>
      </c>
      <c r="BQ43" s="27">
        <f>IF($A43="",0,IF(Mitarbeiter!$G$41=FALSE,0,IF(AND(Mitarbeiter!$E$41&lt;&gt;"",BQ$5+6&lt;Mitarbeiter!$E$41),0,IF(AND(Mitarbeiter!$F$41&lt;&gt;"",BQ$5&gt;Mitarbeiter!$F$41),0,IF(Planung!BQ43="",$C43,IF(ISNUMBER(Planung!BQ43),Planung!BQ43,IF(UPPER(Planung!BQ43)="H",$C43/2,0)))))))</f>
        <v>0</v>
      </c>
      <c r="BR43" s="27">
        <f>IF($A43="",0,IF(Mitarbeiter!$G$41=FALSE,0,IF(AND(Mitarbeiter!$E$41&lt;&gt;"",BR$5+6&lt;Mitarbeiter!$E$41),0,IF(AND(Mitarbeiter!$F$41&lt;&gt;"",BR$5&gt;Mitarbeiter!$F$41),0,IF(Planung!BR43="",$C43,IF(ISNUMBER(Planung!BR43),Planung!BR43,IF(UPPER(Planung!BR43)="H",$C43/2,0)))))))</f>
        <v>0</v>
      </c>
      <c r="BS43" s="27">
        <f>IF($A43="",0,IF(Mitarbeiter!$G$41=FALSE,0,IF(AND(Mitarbeiter!$E$41&lt;&gt;"",BS$5+6&lt;Mitarbeiter!$E$41),0,IF(AND(Mitarbeiter!$F$41&lt;&gt;"",BS$5&gt;Mitarbeiter!$F$41),0,IF(Planung!BS43="",$C43,IF(ISNUMBER(Planung!BS43),Planung!BS43,IF(UPPER(Planung!BS43)="H",$C43/2,0)))))))</f>
        <v>0</v>
      </c>
      <c r="BT43" s="27">
        <f>IF($A43="",0,IF(Mitarbeiter!$G$41=FALSE,0,IF(AND(Mitarbeiter!$E$41&lt;&gt;"",BT$5+6&lt;Mitarbeiter!$E$41),0,IF(AND(Mitarbeiter!$F$41&lt;&gt;"",BT$5&gt;Mitarbeiter!$F$41),0,IF(Planung!BT43="",$C43,IF(ISNUMBER(Planung!BT43),Planung!BT43,IF(UPPER(Planung!BT43)="H",$C43/2,0)))))))</f>
        <v>0</v>
      </c>
      <c r="BU43" s="27">
        <f>IF($A43="",0,IF(Mitarbeiter!$G$41=FALSE,0,IF(AND(Mitarbeiter!$E$41&lt;&gt;"",BU$5+6&lt;Mitarbeiter!$E$41),0,IF(AND(Mitarbeiter!$F$41&lt;&gt;"",BU$5&gt;Mitarbeiter!$F$41),0,IF(Planung!BU43="",$C43,IF(ISNUMBER(Planung!BU43),Planung!BU43,IF(UPPER(Planung!BU43)="H",$C43/2,0)))))))</f>
        <v>0</v>
      </c>
      <c r="BV43" s="27">
        <f>IF($A43="",0,IF(Mitarbeiter!$G$41=FALSE,0,IF(AND(Mitarbeiter!$E$41&lt;&gt;"",BV$5+6&lt;Mitarbeiter!$E$41),0,IF(AND(Mitarbeiter!$F$41&lt;&gt;"",BV$5&gt;Mitarbeiter!$F$41),0,IF(Planung!BV43="",$C43,IF(ISNUMBER(Planung!BV43),Planung!BV43,IF(UPPER(Planung!BV43)="H",$C43/2,0)))))))</f>
        <v>0</v>
      </c>
      <c r="BW43" s="27">
        <f>IF($A43="",0,IF(Mitarbeiter!$G$41=FALSE,0,IF(AND(Mitarbeiter!$E$41&lt;&gt;"",BW$5+6&lt;Mitarbeiter!$E$41),0,IF(AND(Mitarbeiter!$F$41&lt;&gt;"",BW$5&gt;Mitarbeiter!$F$41),0,IF(Planung!BW43="",$C43,IF(ISNUMBER(Planung!BW43),Planung!BW43,IF(UPPER(Planung!BW43)="H",$C43/2,0)))))))</f>
        <v>0</v>
      </c>
      <c r="BX43" s="27">
        <f>IF($A43="",0,IF(Mitarbeiter!$G$41=FALSE,0,IF(AND(Mitarbeiter!$E$41&lt;&gt;"",BX$5+6&lt;Mitarbeiter!$E$41),0,IF(AND(Mitarbeiter!$F$41&lt;&gt;"",BX$5&gt;Mitarbeiter!$F$41),0,IF(Planung!BX43="",$C43,IF(ISNUMBER(Planung!BX43),Planung!BX43,IF(UPPER(Planung!BX43)="H",$C43/2,0)))))))</f>
        <v>0</v>
      </c>
      <c r="BY43" s="27">
        <f>IF($A43="",0,IF(Mitarbeiter!$G$41=FALSE,0,IF(AND(Mitarbeiter!$E$41&lt;&gt;"",BY$5+6&lt;Mitarbeiter!$E$41),0,IF(AND(Mitarbeiter!$F$41&lt;&gt;"",BY$5&gt;Mitarbeiter!$F$41),0,IF(Planung!BY43="",$C43,IF(ISNUMBER(Planung!BY43),Planung!BY43,IF(UPPER(Planung!BY43)="H",$C43/2,0)))))))</f>
        <v>0</v>
      </c>
      <c r="BZ43" s="27">
        <f>IF($A43="",0,IF(Mitarbeiter!$G$41=FALSE,0,IF(AND(Mitarbeiter!$E$41&lt;&gt;"",BZ$5+6&lt;Mitarbeiter!$E$41),0,IF(AND(Mitarbeiter!$F$41&lt;&gt;"",BZ$5&gt;Mitarbeiter!$F$41),0,IF(Planung!BZ43="",$C43,IF(ISNUMBER(Planung!BZ43),Planung!BZ43,IF(UPPER(Planung!BZ43)="H",$C43/2,0)))))))</f>
        <v>0</v>
      </c>
      <c r="CA43" s="27">
        <f>IF($A43="",0,IF(Mitarbeiter!$G$41=FALSE,0,IF(AND(Mitarbeiter!$E$41&lt;&gt;"",CA$5+6&lt;Mitarbeiter!$E$41),0,IF(AND(Mitarbeiter!$F$41&lt;&gt;"",CA$5&gt;Mitarbeiter!$F$41),0,IF(Planung!CA43="",$C43,IF(ISNUMBER(Planung!CA43),Planung!CA43,IF(UPPER(Planung!CA43)="H",$C43/2,0)))))))</f>
        <v>0</v>
      </c>
      <c r="CB43" s="27">
        <f>IF($A43="",0,IF(Mitarbeiter!$G$41=FALSE,0,IF(AND(Mitarbeiter!$E$41&lt;&gt;"",CB$5+6&lt;Mitarbeiter!$E$41),0,IF(AND(Mitarbeiter!$F$41&lt;&gt;"",CB$5&gt;Mitarbeiter!$F$41),0,IF(Planung!CB43="",$C43,IF(ISNUMBER(Planung!CB43),Planung!CB43,IF(UPPER(Planung!CB43)="H",$C43/2,0)))))))</f>
        <v>0</v>
      </c>
      <c r="CC43" s="27">
        <f>IF($A43="",0,IF(Mitarbeiter!$G$41=FALSE,0,IF(AND(Mitarbeiter!$E$41&lt;&gt;"",CC$5+6&lt;Mitarbeiter!$E$41),0,IF(AND(Mitarbeiter!$F$41&lt;&gt;"",CC$5&gt;Mitarbeiter!$F$41),0,IF(Planung!CC43="",$C43,IF(ISNUMBER(Planung!CC43),Planung!CC43,IF(UPPER(Planung!CC43)="H",$C43/2,0)))))))</f>
        <v>0</v>
      </c>
      <c r="CD43" s="27">
        <f>IF($A43="",0,IF(Mitarbeiter!$G$41=FALSE,0,IF(AND(Mitarbeiter!$E$41&lt;&gt;"",CD$5+6&lt;Mitarbeiter!$E$41),0,IF(AND(Mitarbeiter!$F$41&lt;&gt;"",CD$5&gt;Mitarbeiter!$F$41),0,IF(Planung!CD43="",$C43,IF(ISNUMBER(Planung!CD43),Planung!CD43,IF(UPPER(Planung!CD43)="H",$C43/2,0)))))))</f>
        <v>0</v>
      </c>
      <c r="CE43" s="27">
        <f>IF($A43="",0,IF(Mitarbeiter!$G$41=FALSE,0,IF(AND(Mitarbeiter!$E$41&lt;&gt;"",CE$5+6&lt;Mitarbeiter!$E$41),0,IF(AND(Mitarbeiter!$F$41&lt;&gt;"",CE$5&gt;Mitarbeiter!$F$41),0,IF(Planung!CE43="",$C43,IF(ISNUMBER(Planung!CE43),Planung!CE43,IF(UPPER(Planung!CE43)="H",$C43/2,0)))))))</f>
        <v>0</v>
      </c>
      <c r="CF43" s="27">
        <f>IF($A43="",0,IF(Mitarbeiter!$G$41=FALSE,0,IF(AND(Mitarbeiter!$E$41&lt;&gt;"",CF$5+6&lt;Mitarbeiter!$E$41),0,IF(AND(Mitarbeiter!$F$41&lt;&gt;"",CF$5&gt;Mitarbeiter!$F$41),0,IF(Planung!CF43="",$C43,IF(ISNUMBER(Planung!CF43),Planung!CF43,IF(UPPER(Planung!CF43)="H",$C43/2,0)))))))</f>
        <v>0</v>
      </c>
      <c r="CG43" s="27">
        <f>IF($A43="",0,IF(Mitarbeiter!$G$41=FALSE,0,IF(AND(Mitarbeiter!$E$41&lt;&gt;"",CG$5+6&lt;Mitarbeiter!$E$41),0,IF(AND(Mitarbeiter!$F$41&lt;&gt;"",CG$5&gt;Mitarbeiter!$F$41),0,IF(Planung!CG43="",$C43,IF(ISNUMBER(Planung!CG43),Planung!CG43,IF(UPPER(Planung!CG43)="H",$C43/2,0)))))))</f>
        <v>0</v>
      </c>
      <c r="CH43" s="27">
        <f>IF($A43="",0,IF(Mitarbeiter!$G$41=FALSE,0,IF(AND(Mitarbeiter!$E$41&lt;&gt;"",CH$5+6&lt;Mitarbeiter!$E$41),0,IF(AND(Mitarbeiter!$F$41&lt;&gt;"",CH$5&gt;Mitarbeiter!$F$41),0,IF(Planung!CH43="",$C43,IF(ISNUMBER(Planung!CH43),Planung!CH43,IF(UPPER(Planung!CH43)="H",$C43/2,0)))))))</f>
        <v>0</v>
      </c>
      <c r="CI43" s="27">
        <f>IF($A43="",0,IF(Mitarbeiter!$G$41=FALSE,0,IF(AND(Mitarbeiter!$E$41&lt;&gt;"",CI$5+6&lt;Mitarbeiter!$E$41),0,IF(AND(Mitarbeiter!$F$41&lt;&gt;"",CI$5&gt;Mitarbeiter!$F$41),0,IF(Planung!CI43="",$C43,IF(ISNUMBER(Planung!CI43),Planung!CI43,IF(UPPER(Planung!CI43)="H",$C43/2,0)))))))</f>
        <v>0</v>
      </c>
      <c r="CJ43" s="27">
        <f>IF($A43="",0,IF(Mitarbeiter!$G$41=FALSE,0,IF(AND(Mitarbeiter!$E$41&lt;&gt;"",CJ$5+6&lt;Mitarbeiter!$E$41),0,IF(AND(Mitarbeiter!$F$41&lt;&gt;"",CJ$5&gt;Mitarbeiter!$F$41),0,IF(Planung!CJ43="",$C43,IF(ISNUMBER(Planung!CJ43),Planung!CJ43,IF(UPPER(Planung!CJ43)="H",$C43/2,0)))))))</f>
        <v>0</v>
      </c>
      <c r="CK43" s="27">
        <f>IF($A43="",0,IF(Mitarbeiter!$G$41=FALSE,0,IF(AND(Mitarbeiter!$E$41&lt;&gt;"",CK$5+6&lt;Mitarbeiter!$E$41),0,IF(AND(Mitarbeiter!$F$41&lt;&gt;"",CK$5&gt;Mitarbeiter!$F$41),0,IF(Planung!CK43="",$C43,IF(ISNUMBER(Planung!CK43),Planung!CK43,IF(UPPER(Planung!CK43)="H",$C43/2,0)))))))</f>
        <v>0</v>
      </c>
      <c r="CL43" s="27">
        <f>IF($A43="",0,IF(Mitarbeiter!$G$41=FALSE,0,IF(AND(Mitarbeiter!$E$41&lt;&gt;"",CL$5+6&lt;Mitarbeiter!$E$41),0,IF(AND(Mitarbeiter!$F$41&lt;&gt;"",CL$5&gt;Mitarbeiter!$F$41),0,IF(Planung!CL43="",$C43,IF(ISNUMBER(Planung!CL43),Planung!CL43,IF(UPPER(Planung!CL43)="H",$C43/2,0)))))))</f>
        <v>0</v>
      </c>
      <c r="CM43" s="27">
        <f>IF($A43="",0,IF(Mitarbeiter!$G$41=FALSE,0,IF(AND(Mitarbeiter!$E$41&lt;&gt;"",CM$5+6&lt;Mitarbeiter!$E$41),0,IF(AND(Mitarbeiter!$F$41&lt;&gt;"",CM$5&gt;Mitarbeiter!$F$41),0,IF(Planung!CM43="",$C43,IF(ISNUMBER(Planung!CM43),Planung!CM43,IF(UPPER(Planung!CM43)="H",$C43/2,0)))))))</f>
        <v>0</v>
      </c>
      <c r="CN43" s="27">
        <f>IF($A43="",0,IF(Mitarbeiter!$G$41=FALSE,0,IF(AND(Mitarbeiter!$E$41&lt;&gt;"",CN$5+6&lt;Mitarbeiter!$E$41),0,IF(AND(Mitarbeiter!$F$41&lt;&gt;"",CN$5&gt;Mitarbeiter!$F$41),0,IF(Planung!CN43="",$C43,IF(ISNUMBER(Planung!CN43),Planung!CN43,IF(UPPER(Planung!CN43)="H",$C43/2,0)))))))</f>
        <v>0</v>
      </c>
      <c r="CO43" s="27">
        <f>IF($A43="",0,IF(Mitarbeiter!$G$41=FALSE,0,IF(AND(Mitarbeiter!$E$41&lt;&gt;"",CO$5+6&lt;Mitarbeiter!$E$41),0,IF(AND(Mitarbeiter!$F$41&lt;&gt;"",CO$5&gt;Mitarbeiter!$F$41),0,IF(Planung!CO43="",$C43,IF(ISNUMBER(Planung!CO43),Planung!CO43,IF(UPPER(Planung!CO43)="H",$C43/2,0)))))))</f>
        <v>0</v>
      </c>
      <c r="CP43" s="27">
        <f>IF($A43="",0,IF(Mitarbeiter!$G$41=FALSE,0,IF(AND(Mitarbeiter!$E$41&lt;&gt;"",CP$5+6&lt;Mitarbeiter!$E$41),0,IF(AND(Mitarbeiter!$F$41&lt;&gt;"",CP$5&gt;Mitarbeiter!$F$41),0,IF(Planung!CP43="",$C43,IF(ISNUMBER(Planung!CP43),Planung!CP43,IF(UPPER(Planung!CP43)="H",$C43/2,0)))))))</f>
        <v>0</v>
      </c>
      <c r="CQ43" s="27">
        <f>IF($A43="",0,IF(Mitarbeiter!$G$41=FALSE,0,IF(AND(Mitarbeiter!$E$41&lt;&gt;"",CQ$5+6&lt;Mitarbeiter!$E$41),0,IF(AND(Mitarbeiter!$F$41&lt;&gt;"",CQ$5&gt;Mitarbeiter!$F$41),0,IF(Planung!CQ43="",$C43,IF(ISNUMBER(Planung!CQ43),Planung!CQ43,IF(UPPER(Planung!CQ43)="H",$C43/2,0)))))))</f>
        <v>0</v>
      </c>
      <c r="CR43" s="27">
        <f>IF($A43="",0,IF(Mitarbeiter!$G$41=FALSE,0,IF(AND(Mitarbeiter!$E$41&lt;&gt;"",CR$5+6&lt;Mitarbeiter!$E$41),0,IF(AND(Mitarbeiter!$F$41&lt;&gt;"",CR$5&gt;Mitarbeiter!$F$41),0,IF(Planung!CR43="",$C43,IF(ISNUMBER(Planung!CR43),Planung!CR43,IF(UPPER(Planung!CR43)="H",$C43/2,0)))))))</f>
        <v>0</v>
      </c>
      <c r="CS43" s="27">
        <f>IF($A43="",0,IF(Mitarbeiter!$G$41=FALSE,0,IF(AND(Mitarbeiter!$E$41&lt;&gt;"",CS$5+6&lt;Mitarbeiter!$E$41),0,IF(AND(Mitarbeiter!$F$41&lt;&gt;"",CS$5&gt;Mitarbeiter!$F$41),0,IF(Planung!CS43="",$C43,IF(ISNUMBER(Planung!CS43),Planung!CS43,IF(UPPER(Planung!CS43)="H",$C43/2,0)))))))</f>
        <v>0</v>
      </c>
      <c r="CT43" s="27">
        <f>IF($A43="",0,IF(Mitarbeiter!$G$41=FALSE,0,IF(AND(Mitarbeiter!$E$41&lt;&gt;"",CT$5+6&lt;Mitarbeiter!$E$41),0,IF(AND(Mitarbeiter!$F$41&lt;&gt;"",CT$5&gt;Mitarbeiter!$F$41),0,IF(Planung!CT43="",$C43,IF(ISNUMBER(Planung!CT43),Planung!CT43,IF(UPPER(Planung!CT43)="H",$C43/2,0)))))))</f>
        <v>0</v>
      </c>
      <c r="CU43" s="27">
        <f>IF($A43="",0,IF(Mitarbeiter!$G$41=FALSE,0,IF(AND(Mitarbeiter!$E$41&lt;&gt;"",CU$5+6&lt;Mitarbeiter!$E$41),0,IF(AND(Mitarbeiter!$F$41&lt;&gt;"",CU$5&gt;Mitarbeiter!$F$41),0,IF(Planung!CU43="",$C43,IF(ISNUMBER(Planung!CU43),Planung!CU43,IF(UPPER(Planung!CU43)="H",$C43/2,0)))))))</f>
        <v>0</v>
      </c>
      <c r="CV43" s="27">
        <f>IF($A43="",0,IF(Mitarbeiter!$G$41=FALSE,0,IF(AND(Mitarbeiter!$E$41&lt;&gt;"",CV$5+6&lt;Mitarbeiter!$E$41),0,IF(AND(Mitarbeiter!$F$41&lt;&gt;"",CV$5&gt;Mitarbeiter!$F$41),0,IF(Planung!CV43="",$C43,IF(ISNUMBER(Planung!CV43),Planung!CV43,IF(UPPER(Planung!CV43)="H",$C43/2,0)))))))</f>
        <v>0</v>
      </c>
      <c r="CW43" s="27">
        <f>IF($A43="",0,IF(Mitarbeiter!$G$41=FALSE,0,IF(AND(Mitarbeiter!$E$41&lt;&gt;"",CW$5+6&lt;Mitarbeiter!$E$41),0,IF(AND(Mitarbeiter!$F$41&lt;&gt;"",CW$5&gt;Mitarbeiter!$F$41),0,IF(Planung!CW43="",$C43,IF(ISNUMBER(Planung!CW43),Planung!CW43,IF(UPPER(Planung!CW43)="H",$C43/2,0)))))))</f>
        <v>0</v>
      </c>
      <c r="CX43" s="27">
        <f>IF($A43="",0,IF(Mitarbeiter!$G$41=FALSE,0,IF(AND(Mitarbeiter!$E$41&lt;&gt;"",CX$5+6&lt;Mitarbeiter!$E$41),0,IF(AND(Mitarbeiter!$F$41&lt;&gt;"",CX$5&gt;Mitarbeiter!$F$41),0,IF(Planung!CX43="",$C43,IF(ISNUMBER(Planung!CX43),Planung!CX43,IF(UPPER(Planung!CX43)="H",$C43/2,0)))))))</f>
        <v>0</v>
      </c>
      <c r="CY43" s="27">
        <f>IF($A43="",0,IF(Mitarbeiter!$G$41=FALSE,0,IF(AND(Mitarbeiter!$E$41&lt;&gt;"",CY$5+6&lt;Mitarbeiter!$E$41),0,IF(AND(Mitarbeiter!$F$41&lt;&gt;"",CY$5&gt;Mitarbeiter!$F$41),0,IF(Planung!CY43="",$C43,IF(ISNUMBER(Planung!CY43),Planung!CY43,IF(UPPER(Planung!CY43)="H",$C43/2,0)))))))</f>
        <v>0</v>
      </c>
      <c r="CZ43" s="27">
        <f>IF($A43="",0,IF(Mitarbeiter!$G$41=FALSE,0,IF(AND(Mitarbeiter!$E$41&lt;&gt;"",CZ$5+6&lt;Mitarbeiter!$E$41),0,IF(AND(Mitarbeiter!$F$41&lt;&gt;"",CZ$5&gt;Mitarbeiter!$F$41),0,IF(Planung!CZ43="",$C43,IF(ISNUMBER(Planung!CZ43),Planung!CZ43,IF(UPPER(Planung!CZ43)="H",$C43/2,0)))))))</f>
        <v>0</v>
      </c>
      <c r="DA43" s="27">
        <f>IF($A43="",0,IF(Mitarbeiter!$G$41=FALSE,0,IF(AND(Mitarbeiter!$E$41&lt;&gt;"",DA$5+6&lt;Mitarbeiter!$E$41),0,IF(AND(Mitarbeiter!$F$41&lt;&gt;"",DA$5&gt;Mitarbeiter!$F$41),0,IF(Planung!DA43="",$C43,IF(ISNUMBER(Planung!DA43),Planung!DA43,IF(UPPER(Planung!DA43)="H",$C43/2,0)))))))</f>
        <v>0</v>
      </c>
      <c r="DB43" s="27">
        <f>IF($A43="",0,IF(Mitarbeiter!$G$41=FALSE,0,IF(AND(Mitarbeiter!$E$41&lt;&gt;"",DB$5+6&lt;Mitarbeiter!$E$41),0,IF(AND(Mitarbeiter!$F$41&lt;&gt;"",DB$5&gt;Mitarbeiter!$F$41),0,IF(Planung!DB43="",$C43,IF(ISNUMBER(Planung!DB43),Planung!DB43,IF(UPPER(Planung!DB43)="H",$C43/2,0)))))))</f>
        <v>0</v>
      </c>
      <c r="DC43" s="27">
        <f>IF($A43="",0,IF(Mitarbeiter!$G$41=FALSE,0,IF(AND(Mitarbeiter!$E$41&lt;&gt;"",DC$5+6&lt;Mitarbeiter!$E$41),0,IF(AND(Mitarbeiter!$F$41&lt;&gt;"",DC$5&gt;Mitarbeiter!$F$41),0,IF(Planung!DC43="",$C43,IF(ISNUMBER(Planung!DC43),Planung!DC43,IF(UPPER(Planung!DC43)="H",$C43/2,0)))))))</f>
        <v>0</v>
      </c>
      <c r="DD43" s="27">
        <f>IF($A43="",0,IF(Mitarbeiter!$G$41=FALSE,0,IF(AND(Mitarbeiter!$E$41&lt;&gt;"",DD$5+6&lt;Mitarbeiter!$E$41),0,IF(AND(Mitarbeiter!$F$41&lt;&gt;"",DD$5&gt;Mitarbeiter!$F$41),0,IF(Planung!DD43="",$C43,IF(ISNUMBER(Planung!DD43),Planung!DD43,IF(UPPER(Planung!DD43)="H",$C43/2,0)))))))</f>
        <v>0</v>
      </c>
      <c r="DE43" s="27">
        <f>IF($A43="",0,IF(Mitarbeiter!$G$41=FALSE,0,IF(AND(Mitarbeiter!$E$41&lt;&gt;"",DE$5+6&lt;Mitarbeiter!$E$41),0,IF(AND(Mitarbeiter!$F$41&lt;&gt;"",DE$5&gt;Mitarbeiter!$F$41),0,IF(Planung!DE43="",$C43,IF(ISNUMBER(Planung!DE43),Planung!DE43,IF(UPPER(Planung!DE43)="H",$C43/2,0)))))))</f>
        <v>0</v>
      </c>
      <c r="DF43" s="27">
        <f>IF($A43="",0,IF(Mitarbeiter!$G$41=FALSE,0,IF(AND(Mitarbeiter!$E$41&lt;&gt;"",DF$5+6&lt;Mitarbeiter!$E$41),0,IF(AND(Mitarbeiter!$F$41&lt;&gt;"",DF$5&gt;Mitarbeiter!$F$41),0,IF(Planung!DF43="",$C43,IF(ISNUMBER(Planung!DF43),Planung!DF43,IF(UPPER(Planung!DF43)="H",$C43/2,0)))))))</f>
        <v>0</v>
      </c>
      <c r="DG43" s="27">
        <f>IF($A43="",0,IF(Mitarbeiter!$G$41=FALSE,0,IF(AND(Mitarbeiter!$E$41&lt;&gt;"",DG$5+6&lt;Mitarbeiter!$E$41),0,IF(AND(Mitarbeiter!$F$41&lt;&gt;"",DG$5&gt;Mitarbeiter!$F$41),0,IF(Planung!DG43="",$C43,IF(ISNUMBER(Planung!DG43),Planung!DG43,IF(UPPER(Planung!DG43)="H",$C43/2,0)))))))</f>
        <v>0</v>
      </c>
      <c r="DH43" s="27">
        <f>IF($A43="",0,IF(Mitarbeiter!$G$41=FALSE,0,IF(AND(Mitarbeiter!$E$41&lt;&gt;"",DH$5+6&lt;Mitarbeiter!$E$41),0,IF(AND(Mitarbeiter!$F$41&lt;&gt;"",DH$5&gt;Mitarbeiter!$F$41),0,IF(Planung!DH43="",$C43,IF(ISNUMBER(Planung!DH43),Planung!DH43,IF(UPPER(Planung!DH43)="H",$C43/2,0)))))))</f>
        <v>0</v>
      </c>
      <c r="DI43" s="27">
        <f>IF($A43="",0,IF(Mitarbeiter!$G$41=FALSE,0,IF(AND(Mitarbeiter!$E$41&lt;&gt;"",DI$5+6&lt;Mitarbeiter!$E$41),0,IF(AND(Mitarbeiter!$F$41&lt;&gt;"",DI$5&gt;Mitarbeiter!$F$41),0,IF(Planung!DI43="",$C43,IF(ISNUMBER(Planung!DI43),Planung!DI43,IF(UPPER(Planung!DI43)="H",$C43/2,0)))))))</f>
        <v>0</v>
      </c>
      <c r="DJ43" s="27">
        <f>IF($A43="",0,IF(Mitarbeiter!$G$41=FALSE,0,IF(AND(Mitarbeiter!$E$41&lt;&gt;"",DJ$5+6&lt;Mitarbeiter!$E$41),0,IF(AND(Mitarbeiter!$F$41&lt;&gt;"",DJ$5&gt;Mitarbeiter!$F$41),0,IF(Planung!DJ43="",$C43,IF(ISNUMBER(Planung!DJ43),Planung!DJ43,IF(UPPER(Planung!DJ43)="H",$C43/2,0)))))))</f>
        <v>0</v>
      </c>
      <c r="DK43" s="27">
        <f>IF($A43="",0,IF(Mitarbeiter!$G$41=FALSE,0,IF(AND(Mitarbeiter!$E$41&lt;&gt;"",DK$5+6&lt;Mitarbeiter!$E$41),0,IF(AND(Mitarbeiter!$F$41&lt;&gt;"",DK$5&gt;Mitarbeiter!$F$41),0,IF(Planung!DK43="",$C43,IF(ISNUMBER(Planung!DK43),Planung!DK43,IF(UPPER(Planung!DK43)="H",$C43/2,0)))))))</f>
        <v>0</v>
      </c>
      <c r="DL43" s="27">
        <f>IF($A43="",0,IF(Mitarbeiter!$G$41=FALSE,0,IF(AND(Mitarbeiter!$E$41&lt;&gt;"",DL$5+6&lt;Mitarbeiter!$E$41),0,IF(AND(Mitarbeiter!$F$41&lt;&gt;"",DL$5&gt;Mitarbeiter!$F$41),0,IF(Planung!DL43="",$C43,IF(ISNUMBER(Planung!DL43),Planung!DL43,IF(UPPER(Planung!DL43)="H",$C43/2,0)))))))</f>
        <v>0</v>
      </c>
      <c r="DM43" s="27">
        <f>IF($A43="",0,IF(Mitarbeiter!$G$41=FALSE,0,IF(AND(Mitarbeiter!$E$41&lt;&gt;"",DM$5+6&lt;Mitarbeiter!$E$41),0,IF(AND(Mitarbeiter!$F$41&lt;&gt;"",DM$5&gt;Mitarbeiter!$F$41),0,IF(Planung!DM43="",$C43,IF(ISNUMBER(Planung!DM43),Planung!DM43,IF(UPPER(Planung!DM43)="H",$C43/2,0)))))))</f>
        <v>0</v>
      </c>
      <c r="DN43" s="27">
        <f>IF($A43="",0,IF(Mitarbeiter!$G$41=FALSE,0,IF(AND(Mitarbeiter!$E$41&lt;&gt;"",DN$5+6&lt;Mitarbeiter!$E$41),0,IF(AND(Mitarbeiter!$F$41&lt;&gt;"",DN$5&gt;Mitarbeiter!$F$41),0,IF(Planung!DN43="",$C43,IF(ISNUMBER(Planung!DN43),Planung!DN43,IF(UPPER(Planung!DN43)="H",$C43/2,0)))))))</f>
        <v>0</v>
      </c>
      <c r="DO43" s="27">
        <f>IF($A43="",0,IF(Mitarbeiter!$G$41=FALSE,0,IF(AND(Mitarbeiter!$E$41&lt;&gt;"",DO$5+6&lt;Mitarbeiter!$E$41),0,IF(AND(Mitarbeiter!$F$41&lt;&gt;"",DO$5&gt;Mitarbeiter!$F$41),0,IF(Planung!DO43="",$C43,IF(ISNUMBER(Planung!DO43),Planung!DO43,IF(UPPER(Planung!DO43)="H",$C43/2,0)))))))</f>
        <v>0</v>
      </c>
      <c r="DP43" s="27">
        <f>IF($A43="",0,IF(Mitarbeiter!$G$41=FALSE,0,IF(AND(Mitarbeiter!$E$41&lt;&gt;"",DP$5+6&lt;Mitarbeiter!$E$41),0,IF(AND(Mitarbeiter!$F$41&lt;&gt;"",DP$5&gt;Mitarbeiter!$F$41),0,IF(Planung!DP43="",$C43,IF(ISNUMBER(Planung!DP43),Planung!DP43,IF(UPPER(Planung!DP43)="H",$C43/2,0)))))))</f>
        <v>0</v>
      </c>
      <c r="DQ43" s="27">
        <f>IF($A43="",0,IF(Mitarbeiter!$G$41=FALSE,0,IF(AND(Mitarbeiter!$E$41&lt;&gt;"",DQ$5+6&lt;Mitarbeiter!$E$41),0,IF(AND(Mitarbeiter!$F$41&lt;&gt;"",DQ$5&gt;Mitarbeiter!$F$41),0,IF(Planung!DQ43="",$C43,IF(ISNUMBER(Planung!DQ43),Planung!DQ43,IF(UPPER(Planung!DQ43)="H",$C43/2,0)))))))</f>
        <v>0</v>
      </c>
      <c r="DR43" s="27">
        <f>IF($A43="",0,IF(Mitarbeiter!$G$41=FALSE,0,IF(AND(Mitarbeiter!$E$41&lt;&gt;"",DR$5+6&lt;Mitarbeiter!$E$41),0,IF(AND(Mitarbeiter!$F$41&lt;&gt;"",DR$5&gt;Mitarbeiter!$F$41),0,IF(Planung!DR43="",$C43,IF(ISNUMBER(Planung!DR43),Planung!DR43,IF(UPPER(Planung!DR43)="H",$C43/2,0)))))))</f>
        <v>0</v>
      </c>
      <c r="DS43" s="27">
        <f>IF($A43="",0,IF(Mitarbeiter!$G$41=FALSE,0,IF(AND(Mitarbeiter!$E$41&lt;&gt;"",DS$5+6&lt;Mitarbeiter!$E$41),0,IF(AND(Mitarbeiter!$F$41&lt;&gt;"",DS$5&gt;Mitarbeiter!$F$41),0,IF(Planung!DS43="",$C43,IF(ISNUMBER(Planung!DS43),Planung!DS43,IF(UPPER(Planung!DS43)="H",$C43/2,0)))))))</f>
        <v>0</v>
      </c>
      <c r="DT43" s="27">
        <f>IF($A43="",0,IF(Mitarbeiter!$G$41=FALSE,0,IF(AND(Mitarbeiter!$E$41&lt;&gt;"",DT$5+6&lt;Mitarbeiter!$E$41),0,IF(AND(Mitarbeiter!$F$41&lt;&gt;"",DT$5&gt;Mitarbeiter!$F$41),0,IF(Planung!DT43="",$C43,IF(ISNUMBER(Planung!DT43),Planung!DT43,IF(UPPER(Planung!DT43)="H",$C43/2,0)))))))</f>
        <v>0</v>
      </c>
      <c r="DU43" s="27">
        <f>IF($A43="",0,IF(Mitarbeiter!$G$41=FALSE,0,IF(AND(Mitarbeiter!$E$41&lt;&gt;"",DU$5+6&lt;Mitarbeiter!$E$41),0,IF(AND(Mitarbeiter!$F$41&lt;&gt;"",DU$5&gt;Mitarbeiter!$F$41),0,IF(Planung!DU43="",$C43,IF(ISNUMBER(Planung!DU43),Planung!DU43,IF(UPPER(Planung!DU43)="H",$C43/2,0)))))))</f>
        <v>0</v>
      </c>
      <c r="DV43" s="27">
        <f>IF($A43="",0,IF(Mitarbeiter!$G$41=FALSE,0,IF(AND(Mitarbeiter!$E$41&lt;&gt;"",DV$5+6&lt;Mitarbeiter!$E$41),0,IF(AND(Mitarbeiter!$F$41&lt;&gt;"",DV$5&gt;Mitarbeiter!$F$41),0,IF(Planung!DV43="",$C43,IF(ISNUMBER(Planung!DV43),Planung!DV43,IF(UPPER(Planung!DV43)="H",$C43/2,0)))))))</f>
        <v>0</v>
      </c>
      <c r="DW43" s="27">
        <f>IF($A43="",0,IF(Mitarbeiter!$G$41=FALSE,0,IF(AND(Mitarbeiter!$E$41&lt;&gt;"",DW$5+6&lt;Mitarbeiter!$E$41),0,IF(AND(Mitarbeiter!$F$41&lt;&gt;"",DW$5&gt;Mitarbeiter!$F$41),0,IF(Planung!DW43="",$C43,IF(ISNUMBER(Planung!DW43),Planung!DW43,IF(UPPER(Planung!DW43)="H",$C43/2,0)))))))</f>
        <v>0</v>
      </c>
      <c r="DX43" s="27">
        <f>IF($A43="",0,IF(Mitarbeiter!$G$41=FALSE,0,IF(AND(Mitarbeiter!$E$41&lt;&gt;"",DX$5+6&lt;Mitarbeiter!$E$41),0,IF(AND(Mitarbeiter!$F$41&lt;&gt;"",DX$5&gt;Mitarbeiter!$F$41),0,IF(Planung!DX43="",$C43,IF(ISNUMBER(Planung!DX43),Planung!DX43,IF(UPPER(Planung!DX43)="H",$C43/2,0)))))))</f>
        <v>0</v>
      </c>
      <c r="DY43" s="27">
        <f>IF($A43="",0,IF(Mitarbeiter!$G$41=FALSE,0,IF(AND(Mitarbeiter!$E$41&lt;&gt;"",DY$5+6&lt;Mitarbeiter!$E$41),0,IF(AND(Mitarbeiter!$F$41&lt;&gt;"",DY$5&gt;Mitarbeiter!$F$41),0,IF(Planung!DY43="",$C43,IF(ISNUMBER(Planung!DY43),Planung!DY43,IF(UPPER(Planung!DY43)="H",$C43/2,0)))))))</f>
        <v>0</v>
      </c>
      <c r="DZ43" s="27">
        <f>IF($A43="",0,IF(Mitarbeiter!$G$41=FALSE,0,IF(AND(Mitarbeiter!$E$41&lt;&gt;"",DZ$5+6&lt;Mitarbeiter!$E$41),0,IF(AND(Mitarbeiter!$F$41&lt;&gt;"",DZ$5&gt;Mitarbeiter!$F$41),0,IF(Planung!DZ43="",$C43,IF(ISNUMBER(Planung!DZ43),Planung!DZ43,IF(UPPER(Planung!DZ43)="H",$C43/2,0)))))))</f>
        <v>0</v>
      </c>
      <c r="EA43" s="27">
        <f>IF($A43="",0,IF(Mitarbeiter!$G$41=FALSE,0,IF(AND(Mitarbeiter!$E$41&lt;&gt;"",EA$5+6&lt;Mitarbeiter!$E$41),0,IF(AND(Mitarbeiter!$F$41&lt;&gt;"",EA$5&gt;Mitarbeiter!$F$41),0,IF(Planung!EA43="",$C43,IF(ISNUMBER(Planung!EA43),Planung!EA43,IF(UPPER(Planung!EA43)="H",$C43/2,0)))))))</f>
        <v>0</v>
      </c>
      <c r="EB43" s="27">
        <f>IF($A43="",0,IF(Mitarbeiter!$G$41=FALSE,0,IF(AND(Mitarbeiter!$E$41&lt;&gt;"",EB$5+6&lt;Mitarbeiter!$E$41),0,IF(AND(Mitarbeiter!$F$41&lt;&gt;"",EB$5&gt;Mitarbeiter!$F$41),0,IF(Planung!EB43="",$C43,IF(ISNUMBER(Planung!EB43),Planung!EB43,IF(UPPER(Planung!EB43)="H",$C43/2,0)))))))</f>
        <v>0</v>
      </c>
      <c r="EC43" s="27">
        <f>IF($A43="",0,IF(Mitarbeiter!$G$41=FALSE,0,IF(AND(Mitarbeiter!$E$41&lt;&gt;"",EC$5+6&lt;Mitarbeiter!$E$41),0,IF(AND(Mitarbeiter!$F$41&lt;&gt;"",EC$5&gt;Mitarbeiter!$F$41),0,IF(Planung!EC43="",$C43,IF(ISNUMBER(Planung!EC43),Planung!EC43,IF(UPPER(Planung!EC43)="H",$C43/2,0)))))))</f>
        <v>0</v>
      </c>
      <c r="ED43" s="27">
        <f>IF($A43="",0,IF(Mitarbeiter!$G$41=FALSE,0,IF(AND(Mitarbeiter!$E$41&lt;&gt;"",ED$5+6&lt;Mitarbeiter!$E$41),0,IF(AND(Mitarbeiter!$F$41&lt;&gt;"",ED$5&gt;Mitarbeiter!$F$41),0,IF(Planung!ED43="",$C43,IF(ISNUMBER(Planung!ED43),Planung!ED43,IF(UPPER(Planung!ED43)="H",$C43/2,0)))))))</f>
        <v>0</v>
      </c>
      <c r="EE43" s="27">
        <f>IF($A43="",0,IF(Mitarbeiter!$G$41=FALSE,0,IF(AND(Mitarbeiter!$E$41&lt;&gt;"",EE$5+6&lt;Mitarbeiter!$E$41),0,IF(AND(Mitarbeiter!$F$41&lt;&gt;"",EE$5&gt;Mitarbeiter!$F$41),0,IF(Planung!EE43="",$C43,IF(ISNUMBER(Planung!EE43),Planung!EE43,IF(UPPER(Planung!EE43)="H",$C43/2,0)))))))</f>
        <v>0</v>
      </c>
      <c r="EF43" s="27">
        <f>IF($A43="",0,IF(Mitarbeiter!$G$41=FALSE,0,IF(AND(Mitarbeiter!$E$41&lt;&gt;"",EF$5+6&lt;Mitarbeiter!$E$41),0,IF(AND(Mitarbeiter!$F$41&lt;&gt;"",EF$5&gt;Mitarbeiter!$F$41),0,IF(Planung!EF43="",$C43,IF(ISNUMBER(Planung!EF43),Planung!EF43,IF(UPPER(Planung!EF43)="H",$C43/2,0)))))))</f>
        <v>0</v>
      </c>
      <c r="EG43" s="27">
        <f>IF($A43="",0,IF(Mitarbeiter!$G$41=FALSE,0,IF(AND(Mitarbeiter!$E$41&lt;&gt;"",EG$5+6&lt;Mitarbeiter!$E$41),0,IF(AND(Mitarbeiter!$F$41&lt;&gt;"",EG$5&gt;Mitarbeiter!$F$41),0,IF(Planung!EG43="",$C43,IF(ISNUMBER(Planung!EG43),Planung!EG43,IF(UPPER(Planung!EG43)="H",$C43/2,0)))))))</f>
        <v>0</v>
      </c>
      <c r="EH43" s="27">
        <f>IF($A43="",0,IF(Mitarbeiter!$G$41=FALSE,0,IF(AND(Mitarbeiter!$E$41&lt;&gt;"",EH$5+6&lt;Mitarbeiter!$E$41),0,IF(AND(Mitarbeiter!$F$41&lt;&gt;"",EH$5&gt;Mitarbeiter!$F$41),0,IF(Planung!EH43="",$C43,IF(ISNUMBER(Planung!EH43),Planung!EH43,IF(UPPER(Planung!EH43)="H",$C43/2,0)))))))</f>
        <v>0</v>
      </c>
      <c r="EI43" s="27">
        <f>IF($A43="",0,IF(Mitarbeiter!$G$41=FALSE,0,IF(AND(Mitarbeiter!$E$41&lt;&gt;"",EI$5+6&lt;Mitarbeiter!$E$41),0,IF(AND(Mitarbeiter!$F$41&lt;&gt;"",EI$5&gt;Mitarbeiter!$F$41),0,IF(Planung!EI43="",$C43,IF(ISNUMBER(Planung!EI43),Planung!EI43,IF(UPPER(Planung!EI43)="H",$C43/2,0)))))))</f>
        <v>0</v>
      </c>
      <c r="EJ43" s="27">
        <f>IF($A43="",0,IF(Mitarbeiter!$G$41=FALSE,0,IF(AND(Mitarbeiter!$E$41&lt;&gt;"",EJ$5+6&lt;Mitarbeiter!$E$41),0,IF(AND(Mitarbeiter!$F$41&lt;&gt;"",EJ$5&gt;Mitarbeiter!$F$41),0,IF(Planung!EJ43="",$C43,IF(ISNUMBER(Planung!EJ43),Planung!EJ43,IF(UPPER(Planung!EJ43)="H",$C43/2,0)))))))</f>
        <v>0</v>
      </c>
      <c r="EK43" s="27">
        <f>IF($A43="",0,IF(Mitarbeiter!$G$41=FALSE,0,IF(AND(Mitarbeiter!$E$41&lt;&gt;"",EK$5+6&lt;Mitarbeiter!$E$41),0,IF(AND(Mitarbeiter!$F$41&lt;&gt;"",EK$5&gt;Mitarbeiter!$F$41),0,IF(Planung!EK43="",$C43,IF(ISNUMBER(Planung!EK43),Planung!EK43,IF(UPPER(Planung!EK43)="H",$C43/2,0)))))))</f>
        <v>0</v>
      </c>
      <c r="EL43" s="27">
        <f>IF($A43="",0,IF(Mitarbeiter!$G$41=FALSE,0,IF(AND(Mitarbeiter!$E$41&lt;&gt;"",EL$5+6&lt;Mitarbeiter!$E$41),0,IF(AND(Mitarbeiter!$F$41&lt;&gt;"",EL$5&gt;Mitarbeiter!$F$41),0,IF(Planung!EL43="",$C43,IF(ISNUMBER(Planung!EL43),Planung!EL43,IF(UPPER(Planung!EL43)="H",$C43/2,0)))))))</f>
        <v>0</v>
      </c>
      <c r="EM43" s="27">
        <f>IF($A43="",0,IF(Mitarbeiter!$G$41=FALSE,0,IF(AND(Mitarbeiter!$E$41&lt;&gt;"",EM$5+6&lt;Mitarbeiter!$E$41),0,IF(AND(Mitarbeiter!$F$41&lt;&gt;"",EM$5&gt;Mitarbeiter!$F$41),0,IF(Planung!EM43="",$C43,IF(ISNUMBER(Planung!EM43),Planung!EM43,IF(UPPER(Planung!EM43)="H",$C43/2,0)))))))</f>
        <v>0</v>
      </c>
      <c r="EN43" s="27">
        <f>IF($A43="",0,IF(Mitarbeiter!$G$41=FALSE,0,IF(AND(Mitarbeiter!$E$41&lt;&gt;"",EN$5+6&lt;Mitarbeiter!$E$41),0,IF(AND(Mitarbeiter!$F$41&lt;&gt;"",EN$5&gt;Mitarbeiter!$F$41),0,IF(Planung!EN43="",$C43,IF(ISNUMBER(Planung!EN43),Planung!EN43,IF(UPPER(Planung!EN43)="H",$C43/2,0)))))))</f>
        <v>0</v>
      </c>
      <c r="EO43" s="27">
        <f>IF($A43="",0,IF(Mitarbeiter!$G$41=FALSE,0,IF(AND(Mitarbeiter!$E$41&lt;&gt;"",EO$5+6&lt;Mitarbeiter!$E$41),0,IF(AND(Mitarbeiter!$F$41&lt;&gt;"",EO$5&gt;Mitarbeiter!$F$41),0,IF(Planung!EO43="",$C43,IF(ISNUMBER(Planung!EO43),Planung!EO43,IF(UPPER(Planung!EO43)="H",$C43/2,0)))))))</f>
        <v>0</v>
      </c>
      <c r="EP43" s="27">
        <f>IF($A43="",0,IF(Mitarbeiter!$G$41=FALSE,0,IF(AND(Mitarbeiter!$E$41&lt;&gt;"",EP$5+6&lt;Mitarbeiter!$E$41),0,IF(AND(Mitarbeiter!$F$41&lt;&gt;"",EP$5&gt;Mitarbeiter!$F$41),0,IF(Planung!EP43="",$C43,IF(ISNUMBER(Planung!EP43),Planung!EP43,IF(UPPER(Planung!EP43)="H",$C43/2,0)))))))</f>
        <v>0</v>
      </c>
      <c r="EQ43" s="27">
        <f>IF($A43="",0,IF(Mitarbeiter!$G$41=FALSE,0,IF(AND(Mitarbeiter!$E$41&lt;&gt;"",EQ$5+6&lt;Mitarbeiter!$E$41),0,IF(AND(Mitarbeiter!$F$41&lt;&gt;"",EQ$5&gt;Mitarbeiter!$F$41),0,IF(Planung!EQ43="",$C43,IF(ISNUMBER(Planung!EQ43),Planung!EQ43,IF(UPPER(Planung!EQ43)="H",$C43/2,0)))))))</f>
        <v>0</v>
      </c>
      <c r="ER43" s="27">
        <f>IF($A43="",0,IF(Mitarbeiter!$G$41=FALSE,0,IF(AND(Mitarbeiter!$E$41&lt;&gt;"",ER$5+6&lt;Mitarbeiter!$E$41),0,IF(AND(Mitarbeiter!$F$41&lt;&gt;"",ER$5&gt;Mitarbeiter!$F$41),0,IF(Planung!ER43="",$C43,IF(ISNUMBER(Planung!ER43),Planung!ER43,IF(UPPER(Planung!ER43)="H",$C43/2,0)))))))</f>
        <v>0</v>
      </c>
      <c r="ES43" s="27">
        <f>IF($A43="",0,IF(Mitarbeiter!$G$41=FALSE,0,IF(AND(Mitarbeiter!$E$41&lt;&gt;"",ES$5+6&lt;Mitarbeiter!$E$41),0,IF(AND(Mitarbeiter!$F$41&lt;&gt;"",ES$5&gt;Mitarbeiter!$F$41),0,IF(Planung!ES43="",$C43,IF(ISNUMBER(Planung!ES43),Planung!ES43,IF(UPPER(Planung!ES43)="H",$C43/2,0)))))))</f>
        <v>0</v>
      </c>
      <c r="ET43" s="27">
        <f>IF($A43="",0,IF(Mitarbeiter!$G$41=FALSE,0,IF(AND(Mitarbeiter!$E$41&lt;&gt;"",ET$5+6&lt;Mitarbeiter!$E$41),0,IF(AND(Mitarbeiter!$F$41&lt;&gt;"",ET$5&gt;Mitarbeiter!$F$41),0,IF(Planung!ET43="",$C43,IF(ISNUMBER(Planung!ET43),Planung!ET43,IF(UPPER(Planung!ET43)="H",$C43/2,0)))))))</f>
        <v>0</v>
      </c>
      <c r="EU43" s="27">
        <f>IF($A43="",0,IF(Mitarbeiter!$G$41=FALSE,0,IF(AND(Mitarbeiter!$E$41&lt;&gt;"",EU$5+6&lt;Mitarbeiter!$E$41),0,IF(AND(Mitarbeiter!$F$41&lt;&gt;"",EU$5&gt;Mitarbeiter!$F$41),0,IF(Planung!EU43="",$C43,IF(ISNUMBER(Planung!EU43),Planung!EU43,IF(UPPER(Planung!EU43)="H",$C43/2,0)))))))</f>
        <v>0</v>
      </c>
      <c r="EV43" s="27">
        <f>IF($A43="",0,IF(Mitarbeiter!$G$41=FALSE,0,IF(AND(Mitarbeiter!$E$41&lt;&gt;"",EV$5+6&lt;Mitarbeiter!$E$41),0,IF(AND(Mitarbeiter!$F$41&lt;&gt;"",EV$5&gt;Mitarbeiter!$F$41),0,IF(Planung!EV43="",$C43,IF(ISNUMBER(Planung!EV43),Planung!EV43,IF(UPPER(Planung!EV43)="H",$C43/2,0)))))))</f>
        <v>0</v>
      </c>
      <c r="EW43" s="27">
        <f>IF($A43="",0,IF(Mitarbeiter!$G$41=FALSE,0,IF(AND(Mitarbeiter!$E$41&lt;&gt;"",EW$5+6&lt;Mitarbeiter!$E$41),0,IF(AND(Mitarbeiter!$F$41&lt;&gt;"",EW$5&gt;Mitarbeiter!$F$41),0,IF(Planung!EW43="",$C43,IF(ISNUMBER(Planung!EW43),Planung!EW43,IF(UPPER(Planung!EW43)="H",$C43/2,0)))))))</f>
        <v>0</v>
      </c>
      <c r="EX43" s="27">
        <f>IF($A43="",0,IF(Mitarbeiter!$G$41=FALSE,0,IF(AND(Mitarbeiter!$E$41&lt;&gt;"",EX$5+6&lt;Mitarbeiter!$E$41),0,IF(AND(Mitarbeiter!$F$41&lt;&gt;"",EX$5&gt;Mitarbeiter!$F$41),0,IF(Planung!EX43="",$C43,IF(ISNUMBER(Planung!EX43),Planung!EX43,IF(UPPER(Planung!EX43)="H",$C43/2,0)))))))</f>
        <v>0</v>
      </c>
      <c r="EY43" s="27">
        <f>IF($A43="",0,IF(Mitarbeiter!$G$41=FALSE,0,IF(AND(Mitarbeiter!$E$41&lt;&gt;"",EY$5+6&lt;Mitarbeiter!$E$41),0,IF(AND(Mitarbeiter!$F$41&lt;&gt;"",EY$5&gt;Mitarbeiter!$F$41),0,IF(Planung!EY43="",$C43,IF(ISNUMBER(Planung!EY43),Planung!EY43,IF(UPPER(Planung!EY43)="H",$C43/2,0)))))))</f>
        <v>0</v>
      </c>
      <c r="EZ43" s="27">
        <f>IF($A43="",0,IF(Mitarbeiter!$G$41=FALSE,0,IF(AND(Mitarbeiter!$E$41&lt;&gt;"",EZ$5+6&lt;Mitarbeiter!$E$41),0,IF(AND(Mitarbeiter!$F$41&lt;&gt;"",EZ$5&gt;Mitarbeiter!$F$41),0,IF(Planung!EZ43="",$C43,IF(ISNUMBER(Planung!EZ43),Planung!EZ43,IF(UPPER(Planung!EZ43)="H",$C43/2,0)))))))</f>
        <v>0</v>
      </c>
      <c r="FA43" s="27">
        <f>IF($A43="",0,IF(Mitarbeiter!$G$41=FALSE,0,IF(AND(Mitarbeiter!$E$41&lt;&gt;"",FA$5+6&lt;Mitarbeiter!$E$41),0,IF(AND(Mitarbeiter!$F$41&lt;&gt;"",FA$5&gt;Mitarbeiter!$F$41),0,IF(Planung!FA43="",$C43,IF(ISNUMBER(Planung!FA43),Planung!FA43,IF(UPPER(Planung!FA43)="H",$C43/2,0)))))))</f>
        <v>0</v>
      </c>
      <c r="FB43" s="27">
        <f>IF($A43="",0,IF(Mitarbeiter!$G$41=FALSE,0,IF(AND(Mitarbeiter!$E$41&lt;&gt;"",FB$5+6&lt;Mitarbeiter!$E$41),0,IF(AND(Mitarbeiter!$F$41&lt;&gt;"",FB$5&gt;Mitarbeiter!$F$41),0,IF(Planung!FB43="",$C43,IF(ISNUMBER(Planung!FB43),Planung!FB43,IF(UPPER(Planung!FB43)="H",$C43/2,0)))))))</f>
        <v>0</v>
      </c>
      <c r="FC43" s="27">
        <f>IF($A43="",0,IF(Mitarbeiter!$G$41=FALSE,0,IF(AND(Mitarbeiter!$E$41&lt;&gt;"",FC$5+6&lt;Mitarbeiter!$E$41),0,IF(AND(Mitarbeiter!$F$41&lt;&gt;"",FC$5&gt;Mitarbeiter!$F$41),0,IF(Planung!FC43="",$C43,IF(ISNUMBER(Planung!FC43),Planung!FC43,IF(UPPER(Planung!FC43)="H",$C43/2,0)))))))</f>
        <v>0</v>
      </c>
      <c r="FD43" s="27">
        <f>IF($A43="",0,IF(Mitarbeiter!$G$41=FALSE,0,IF(AND(Mitarbeiter!$E$41&lt;&gt;"",FD$5+6&lt;Mitarbeiter!$E$41),0,IF(AND(Mitarbeiter!$F$41&lt;&gt;"",FD$5&gt;Mitarbeiter!$F$41),0,IF(Planung!FD43="",$C43,IF(ISNUMBER(Planung!FD43),Planung!FD43,IF(UPPER(Planung!FD43)="H",$C43/2,0)))))))</f>
        <v>0</v>
      </c>
      <c r="FE43" s="27">
        <f>IF($A43="",0,IF(Mitarbeiter!$G$41=FALSE,0,IF(AND(Mitarbeiter!$E$41&lt;&gt;"",FE$5+6&lt;Mitarbeiter!$E$41),0,IF(AND(Mitarbeiter!$F$41&lt;&gt;"",FE$5&gt;Mitarbeiter!$F$41),0,IF(Planung!FE43="",$C43,IF(ISNUMBER(Planung!FE43),Planung!FE43,IF(UPPER(Planung!FE43)="H",$C43/2,0)))))))</f>
        <v>0</v>
      </c>
      <c r="FF43" s="27">
        <f>IF($A43="",0,IF(Mitarbeiter!$G$41=FALSE,0,IF(AND(Mitarbeiter!$E$41&lt;&gt;"",FF$5+6&lt;Mitarbeiter!$E$41),0,IF(AND(Mitarbeiter!$F$41&lt;&gt;"",FF$5&gt;Mitarbeiter!$F$41),0,IF(Planung!FF43="",$C43,IF(ISNUMBER(Planung!FF43),Planung!FF43,IF(UPPER(Planung!FF43)="H",$C43/2,0)))))))</f>
        <v>0</v>
      </c>
      <c r="FG43" s="27">
        <f>IF($A43="",0,IF(Mitarbeiter!$G$41=FALSE,0,IF(AND(Mitarbeiter!$E$41&lt;&gt;"",FG$5+6&lt;Mitarbeiter!$E$41),0,IF(AND(Mitarbeiter!$F$41&lt;&gt;"",FG$5&gt;Mitarbeiter!$F$41),0,IF(Planung!FG43="",$C43,IF(ISNUMBER(Planung!FG43),Planung!FG43,IF(UPPER(Planung!FG43)="H",$C43/2,0)))))))</f>
        <v>0</v>
      </c>
      <c r="FH43" s="27">
        <f>IF($A43="",0,IF(Mitarbeiter!$G$41=FALSE,0,IF(AND(Mitarbeiter!$E$41&lt;&gt;"",FH$5+6&lt;Mitarbeiter!$E$41),0,IF(AND(Mitarbeiter!$F$41&lt;&gt;"",FH$5&gt;Mitarbeiter!$F$41),0,IF(Planung!FH43="",$C43,IF(ISNUMBER(Planung!FH43),Planung!FH43,IF(UPPER(Planung!FH43)="H",$C43/2,0)))))))</f>
        <v>0</v>
      </c>
      <c r="FI43" s="27">
        <f>IF($A43="",0,IF(Mitarbeiter!$G$41=FALSE,0,IF(AND(Mitarbeiter!$E$41&lt;&gt;"",FI$5+6&lt;Mitarbeiter!$E$41),0,IF(AND(Mitarbeiter!$F$41&lt;&gt;"",FI$5&gt;Mitarbeiter!$F$41),0,IF(Planung!FI43="",$C43,IF(ISNUMBER(Planung!FI43),Planung!FI43,IF(UPPER(Planung!FI43)="H",$C43/2,0)))))))</f>
        <v>0</v>
      </c>
      <c r="FJ43" s="27">
        <f>IF($A43="",0,IF(Mitarbeiter!$G$41=FALSE,0,IF(AND(Mitarbeiter!$E$41&lt;&gt;"",FJ$5+6&lt;Mitarbeiter!$E$41),0,IF(AND(Mitarbeiter!$F$41&lt;&gt;"",FJ$5&gt;Mitarbeiter!$F$41),0,IF(Planung!FJ43="",$C43,IF(ISNUMBER(Planung!FJ43),Planung!FJ43,IF(UPPER(Planung!FJ43)="H",$C43/2,0)))))))</f>
        <v>0</v>
      </c>
      <c r="FK43" s="27">
        <f>IF($A43="",0,IF(Mitarbeiter!$G$41=FALSE,0,IF(AND(Mitarbeiter!$E$41&lt;&gt;"",FK$5+6&lt;Mitarbeiter!$E$41),0,IF(AND(Mitarbeiter!$F$41&lt;&gt;"",FK$5&gt;Mitarbeiter!$F$41),0,IF(Planung!FK43="",$C43,IF(ISNUMBER(Planung!FK43),Planung!FK43,IF(UPPER(Planung!FK43)="H",$C43/2,0)))))))</f>
        <v>0</v>
      </c>
      <c r="FL43" s="27">
        <f>IF($A43="",0,IF(Mitarbeiter!$G$41=FALSE,0,IF(AND(Mitarbeiter!$E$41&lt;&gt;"",FL$5+6&lt;Mitarbeiter!$E$41),0,IF(AND(Mitarbeiter!$F$41&lt;&gt;"",FL$5&gt;Mitarbeiter!$F$41),0,IF(Planung!FL43="",$C43,IF(ISNUMBER(Planung!FL43),Planung!FL43,IF(UPPER(Planung!FL43)="H",$C43/2,0)))))))</f>
        <v>0</v>
      </c>
      <c r="FM43" s="27">
        <f>IF($A43="",0,IF(Mitarbeiter!$G$41=FALSE,0,IF(AND(Mitarbeiter!$E$41&lt;&gt;"",FM$5+6&lt;Mitarbeiter!$E$41),0,IF(AND(Mitarbeiter!$F$41&lt;&gt;"",FM$5&gt;Mitarbeiter!$F$41),0,IF(Planung!FM43="",$C43,IF(ISNUMBER(Planung!FM43),Planung!FM43,IF(UPPER(Planung!FM43)="H",$C43/2,0)))))))</f>
        <v>0</v>
      </c>
      <c r="FN43" s="27">
        <f>IF($A43="",0,IF(Mitarbeiter!$G$41=FALSE,0,IF(AND(Mitarbeiter!$E$41&lt;&gt;"",FN$5+6&lt;Mitarbeiter!$E$41),0,IF(AND(Mitarbeiter!$F$41&lt;&gt;"",FN$5&gt;Mitarbeiter!$F$41),0,IF(Planung!FN43="",$C43,IF(ISNUMBER(Planung!FN43),Planung!FN43,IF(UPPER(Planung!FN43)="H",$C43/2,0)))))))</f>
        <v>0</v>
      </c>
      <c r="FO43" s="27">
        <f>IF($A43="",0,IF(Mitarbeiter!$G$41=FALSE,0,IF(AND(Mitarbeiter!$E$41&lt;&gt;"",FO$5+6&lt;Mitarbeiter!$E$41),0,IF(AND(Mitarbeiter!$F$41&lt;&gt;"",FO$5&gt;Mitarbeiter!$F$41),0,IF(Planung!FO43="",$C43,IF(ISNUMBER(Planung!FO43),Planung!FO43,IF(UPPER(Planung!FO43)="H",$C43/2,0)))))))</f>
        <v>0</v>
      </c>
      <c r="FP43" s="27">
        <f>IF($A43="",0,IF(Mitarbeiter!$G$41=FALSE,0,IF(AND(Mitarbeiter!$E$41&lt;&gt;"",FP$5+6&lt;Mitarbeiter!$E$41),0,IF(AND(Mitarbeiter!$F$41&lt;&gt;"",FP$5&gt;Mitarbeiter!$F$41),0,IF(Planung!FP43="",$C43,IF(ISNUMBER(Planung!FP43),Planung!FP43,IF(UPPER(Planung!FP43)="H",$C43/2,0)))))))</f>
        <v>0</v>
      </c>
      <c r="FQ43" s="27">
        <f>IF($A43="",0,IF(Mitarbeiter!$G$41=FALSE,0,IF(AND(Mitarbeiter!$E$41&lt;&gt;"",FQ$5+6&lt;Mitarbeiter!$E$41),0,IF(AND(Mitarbeiter!$F$41&lt;&gt;"",FQ$5&gt;Mitarbeiter!$F$41),0,IF(Planung!FQ43="",$C43,IF(ISNUMBER(Planung!FQ43),Planung!FQ43,IF(UPPER(Planung!FQ43)="H",$C43/2,0)))))))</f>
        <v>0</v>
      </c>
      <c r="FR43" s="27">
        <f>IF($A43="",0,IF(Mitarbeiter!$G$41=FALSE,0,IF(AND(Mitarbeiter!$E$41&lt;&gt;"",FR$5+6&lt;Mitarbeiter!$E$41),0,IF(AND(Mitarbeiter!$F$41&lt;&gt;"",FR$5&gt;Mitarbeiter!$F$41),0,IF(Planung!FR43="",$C43,IF(ISNUMBER(Planung!FR43),Planung!FR43,IF(UPPER(Planung!FR43)="H",$C43/2,0)))))))</f>
        <v>0</v>
      </c>
      <c r="FS43" s="27">
        <f>IF($A43="",0,IF(Mitarbeiter!$G$41=FALSE,0,IF(AND(Mitarbeiter!$E$41&lt;&gt;"",FS$5+6&lt;Mitarbeiter!$E$41),0,IF(AND(Mitarbeiter!$F$41&lt;&gt;"",FS$5&gt;Mitarbeiter!$F$41),0,IF(Planung!FS43="",$C43,IF(ISNUMBER(Planung!FS43),Planung!FS43,IF(UPPER(Planung!FS43)="H",$C43/2,0)))))))</f>
        <v>0</v>
      </c>
      <c r="FT43" s="27">
        <f>IF($A43="",0,IF(Mitarbeiter!$G$41=FALSE,0,IF(AND(Mitarbeiter!$E$41&lt;&gt;"",FT$5+6&lt;Mitarbeiter!$E$41),0,IF(AND(Mitarbeiter!$F$41&lt;&gt;"",FT$5&gt;Mitarbeiter!$F$41),0,IF(Planung!FT43="",$C43,IF(ISNUMBER(Planung!FT43),Planung!FT43,IF(UPPER(Planung!FT43)="H",$C43/2,0)))))))</f>
        <v>0</v>
      </c>
      <c r="FU43" s="27">
        <f>IF($A43="",0,IF(Mitarbeiter!$G$41=FALSE,0,IF(AND(Mitarbeiter!$E$41&lt;&gt;"",FU$5+6&lt;Mitarbeiter!$E$41),0,IF(AND(Mitarbeiter!$F$41&lt;&gt;"",FU$5&gt;Mitarbeiter!$F$41),0,IF(Planung!FU43="",$C43,IF(ISNUMBER(Planung!FU43),Planung!FU43,IF(UPPER(Planung!FU43)="H",$C43/2,0)))))))</f>
        <v>0</v>
      </c>
      <c r="FV43" s="27">
        <f>IF($A43="",0,IF(Mitarbeiter!$G$41=FALSE,0,IF(AND(Mitarbeiter!$E$41&lt;&gt;"",FV$5+6&lt;Mitarbeiter!$E$41),0,IF(AND(Mitarbeiter!$F$41&lt;&gt;"",FV$5&gt;Mitarbeiter!$F$41),0,IF(Planung!FV43="",$C43,IF(ISNUMBER(Planung!FV43),Planung!FV43,IF(UPPER(Planung!FV43)="H",$C43/2,0)))))))</f>
        <v>0</v>
      </c>
      <c r="FW43" s="27">
        <f>IF($A43="",0,IF(Mitarbeiter!$G$41=FALSE,0,IF(AND(Mitarbeiter!$E$41&lt;&gt;"",FW$5+6&lt;Mitarbeiter!$E$41),0,IF(AND(Mitarbeiter!$F$41&lt;&gt;"",FW$5&gt;Mitarbeiter!$F$41),0,IF(Planung!FW43="",$C43,IF(ISNUMBER(Planung!FW43),Planung!FW43,IF(UPPER(Planung!FW43)="H",$C43/2,0)))))))</f>
        <v>0</v>
      </c>
      <c r="FX43" s="27">
        <f>IF($A43="",0,IF(Mitarbeiter!$G$41=FALSE,0,IF(AND(Mitarbeiter!$E$41&lt;&gt;"",FX$5+6&lt;Mitarbeiter!$E$41),0,IF(AND(Mitarbeiter!$F$41&lt;&gt;"",FX$5&gt;Mitarbeiter!$F$41),0,IF(Planung!FX43="",$C43,IF(ISNUMBER(Planung!FX43),Planung!FX43,IF(UPPER(Planung!FX43)="H",$C43/2,0)))))))</f>
        <v>0</v>
      </c>
      <c r="FY43" s="27">
        <f>IF($A43="",0,IF(Mitarbeiter!$G$41=FALSE,0,IF(AND(Mitarbeiter!$E$41&lt;&gt;"",FY$5+6&lt;Mitarbeiter!$E$41),0,IF(AND(Mitarbeiter!$F$41&lt;&gt;"",FY$5&gt;Mitarbeiter!$F$41),0,IF(Planung!FY43="",$C43,IF(ISNUMBER(Planung!FY43),Planung!FY43,IF(UPPER(Planung!FY43)="H",$C43/2,0)))))))</f>
        <v>0</v>
      </c>
      <c r="FZ43" s="27">
        <f>IF($A43="",0,IF(Mitarbeiter!$G$41=FALSE,0,IF(AND(Mitarbeiter!$E$41&lt;&gt;"",FZ$5+6&lt;Mitarbeiter!$E$41),0,IF(AND(Mitarbeiter!$F$41&lt;&gt;"",FZ$5&gt;Mitarbeiter!$F$41),0,IF(Planung!FZ43="",$C43,IF(ISNUMBER(Planung!FZ43),Planung!FZ43,IF(UPPER(Planung!FZ43)="H",$C43/2,0)))))))</f>
        <v>0</v>
      </c>
      <c r="GA43" s="27">
        <f>IF($A43="",0,IF(Mitarbeiter!$G$41=FALSE,0,IF(AND(Mitarbeiter!$E$41&lt;&gt;"",GA$5+6&lt;Mitarbeiter!$E$41),0,IF(AND(Mitarbeiter!$F$41&lt;&gt;"",GA$5&gt;Mitarbeiter!$F$41),0,IF(Planung!GA43="",$C43,IF(ISNUMBER(Planung!GA43),Planung!GA43,IF(UPPER(Planung!GA43)="H",$C43/2,0)))))))</f>
        <v>0</v>
      </c>
      <c r="GB43" s="27">
        <f>IF($A43="",0,IF(Mitarbeiter!$G$41=FALSE,0,IF(AND(Mitarbeiter!$E$41&lt;&gt;"",GB$5+6&lt;Mitarbeiter!$E$41),0,IF(AND(Mitarbeiter!$F$41&lt;&gt;"",GB$5&gt;Mitarbeiter!$F$41),0,IF(Planung!GB43="",$C43,IF(ISNUMBER(Planung!GB43),Planung!GB43,IF(UPPER(Planung!GB43)="H",$C43/2,0)))))))</f>
        <v>0</v>
      </c>
      <c r="GC43" s="27">
        <f>IF($A43="",0,IF(Mitarbeiter!$G$41=FALSE,0,IF(AND(Mitarbeiter!$E$41&lt;&gt;"",GC$5+6&lt;Mitarbeiter!$E$41),0,IF(AND(Mitarbeiter!$F$41&lt;&gt;"",GC$5&gt;Mitarbeiter!$F$41),0,IF(Planung!GC43="",$C43,IF(ISNUMBER(Planung!GC43),Planung!GC43,IF(UPPER(Planung!GC43)="H",$C43/2,0)))))))</f>
        <v>0</v>
      </c>
      <c r="GD43" s="27">
        <f>IF($A43="",0,IF(Mitarbeiter!$G$41=FALSE,0,IF(AND(Mitarbeiter!$E$41&lt;&gt;"",GD$5+6&lt;Mitarbeiter!$E$41),0,IF(AND(Mitarbeiter!$F$41&lt;&gt;"",GD$5&gt;Mitarbeiter!$F$41),0,IF(Planung!GD43="",$C43,IF(ISNUMBER(Planung!GD43),Planung!GD43,IF(UPPER(Planung!GD43)="H",$C43/2,0)))))))</f>
        <v>0</v>
      </c>
      <c r="GE43" s="27">
        <f>IF($A43="",0,IF(Mitarbeiter!$G$41=FALSE,0,IF(AND(Mitarbeiter!$E$41&lt;&gt;"",GE$5+6&lt;Mitarbeiter!$E$41),0,IF(AND(Mitarbeiter!$F$41&lt;&gt;"",GE$5&gt;Mitarbeiter!$F$41),0,IF(Planung!GE43="",$C43,IF(ISNUMBER(Planung!GE43),Planung!GE43,IF(UPPER(Planung!GE43)="H",$C43/2,0)))))))</f>
        <v>0</v>
      </c>
      <c r="GF43" s="27">
        <f>IF($A43="",0,IF(Mitarbeiter!$G$41=FALSE,0,IF(AND(Mitarbeiter!$E$41&lt;&gt;"",GF$5+6&lt;Mitarbeiter!$E$41),0,IF(AND(Mitarbeiter!$F$41&lt;&gt;"",GF$5&gt;Mitarbeiter!$F$41),0,IF(Planung!GF43="",$C43,IF(ISNUMBER(Planung!GF43),Planung!GF43,IF(UPPER(Planung!GF43)="H",$C43/2,0)))))))</f>
        <v>0</v>
      </c>
      <c r="GG43" s="27">
        <f>IF($A43="",0,IF(Mitarbeiter!$G$41=FALSE,0,IF(AND(Mitarbeiter!$E$41&lt;&gt;"",GG$5+6&lt;Mitarbeiter!$E$41),0,IF(AND(Mitarbeiter!$F$41&lt;&gt;"",GG$5&gt;Mitarbeiter!$F$41),0,IF(Planung!GG43="",$C43,IF(ISNUMBER(Planung!GG43),Planung!GG43,IF(UPPER(Planung!GG43)="H",$C43/2,0)))))))</f>
        <v>0</v>
      </c>
      <c r="GH43" s="27">
        <f>IF($A43="",0,IF(Mitarbeiter!$G$41=FALSE,0,IF(AND(Mitarbeiter!$E$41&lt;&gt;"",GH$5+6&lt;Mitarbeiter!$E$41),0,IF(AND(Mitarbeiter!$F$41&lt;&gt;"",GH$5&gt;Mitarbeiter!$F$41),0,IF(Planung!GH43="",$C43,IF(ISNUMBER(Planung!GH43),Planung!GH43,IF(UPPER(Planung!GH43)="H",$C43/2,0)))))))</f>
        <v>0</v>
      </c>
      <c r="GI43" s="27">
        <f>IF($A43="",0,IF(Mitarbeiter!$G$41=FALSE,0,IF(AND(Mitarbeiter!$E$41&lt;&gt;"",GI$5+6&lt;Mitarbeiter!$E$41),0,IF(AND(Mitarbeiter!$F$41&lt;&gt;"",GI$5&gt;Mitarbeiter!$F$41),0,IF(Planung!GI43="",$C43,IF(ISNUMBER(Planung!GI43),Planung!GI43,IF(UPPER(Planung!GI43)="H",$C43/2,0)))))))</f>
        <v>0</v>
      </c>
      <c r="GJ43" s="27">
        <f>IF($A43="",0,IF(Mitarbeiter!$G$41=FALSE,0,IF(AND(Mitarbeiter!$E$41&lt;&gt;"",GJ$5+6&lt;Mitarbeiter!$E$41),0,IF(AND(Mitarbeiter!$F$41&lt;&gt;"",GJ$5&gt;Mitarbeiter!$F$41),0,IF(Planung!GJ43="",$C43,IF(ISNUMBER(Planung!GJ43),Planung!GJ43,IF(UPPER(Planung!GJ43)="H",$C43/2,0)))))))</f>
        <v>0</v>
      </c>
      <c r="GK43" s="27">
        <f>IF($A43="",0,IF(Mitarbeiter!$G$41=FALSE,0,IF(AND(Mitarbeiter!$E$41&lt;&gt;"",GK$5+6&lt;Mitarbeiter!$E$41),0,IF(AND(Mitarbeiter!$F$41&lt;&gt;"",GK$5&gt;Mitarbeiter!$F$41),0,IF(Planung!GK43="",$C43,IF(ISNUMBER(Planung!GK43),Planung!GK43,IF(UPPER(Planung!GK43)="H",$C43/2,0)))))))</f>
        <v>0</v>
      </c>
      <c r="GL43" s="27">
        <f>IF($A43="",0,IF(Mitarbeiter!$G$41=FALSE,0,IF(AND(Mitarbeiter!$E$41&lt;&gt;"",GL$5+6&lt;Mitarbeiter!$E$41),0,IF(AND(Mitarbeiter!$F$41&lt;&gt;"",GL$5&gt;Mitarbeiter!$F$41),0,IF(Planung!GL43="",$C43,IF(ISNUMBER(Planung!GL43),Planung!GL43,IF(UPPER(Planung!GL43)="H",$C43/2,0)))))))</f>
        <v>0</v>
      </c>
      <c r="GM43" s="27">
        <f>IF($A43="",0,IF(Mitarbeiter!$G$41=FALSE,0,IF(AND(Mitarbeiter!$E$41&lt;&gt;"",GM$5+6&lt;Mitarbeiter!$E$41),0,IF(AND(Mitarbeiter!$F$41&lt;&gt;"",GM$5&gt;Mitarbeiter!$F$41),0,IF(Planung!GM43="",$C43,IF(ISNUMBER(Planung!GM43),Planung!GM43,IF(UPPER(Planung!GM43)="H",$C43/2,0)))))))</f>
        <v>0</v>
      </c>
      <c r="GN43" s="27">
        <f>IF($A43="",0,IF(Mitarbeiter!$G$41=FALSE,0,IF(AND(Mitarbeiter!$E$41&lt;&gt;"",GN$5+6&lt;Mitarbeiter!$E$41),0,IF(AND(Mitarbeiter!$F$41&lt;&gt;"",GN$5&gt;Mitarbeiter!$F$41),0,IF(Planung!GN43="",$C43,IF(ISNUMBER(Planung!GN43),Planung!GN43,IF(UPPER(Planung!GN43)="H",$C43/2,0)))))))</f>
        <v>0</v>
      </c>
      <c r="GO43" s="27">
        <f>IF($A43="",0,IF(Mitarbeiter!$G$41=FALSE,0,IF(AND(Mitarbeiter!$E$41&lt;&gt;"",GO$5+6&lt;Mitarbeiter!$E$41),0,IF(AND(Mitarbeiter!$F$41&lt;&gt;"",GO$5&gt;Mitarbeiter!$F$41),0,IF(Planung!GO43="",$C43,IF(ISNUMBER(Planung!GO43),Planung!GO43,IF(UPPER(Planung!GO43)="H",$C43/2,0)))))))</f>
        <v>0</v>
      </c>
      <c r="GP43" s="27">
        <f>IF($A43="",0,IF(Mitarbeiter!$G$41=FALSE,0,IF(AND(Mitarbeiter!$E$41&lt;&gt;"",GP$5+6&lt;Mitarbeiter!$E$41),0,IF(AND(Mitarbeiter!$F$41&lt;&gt;"",GP$5&gt;Mitarbeiter!$F$41),0,IF(Planung!GP43="",$C43,IF(ISNUMBER(Planung!GP43),Planung!GP43,IF(UPPER(Planung!GP43)="H",$C43/2,0)))))))</f>
        <v>0</v>
      </c>
      <c r="GQ43" s="27">
        <f>IF($A43="",0,IF(Mitarbeiter!$G$41=FALSE,0,IF(AND(Mitarbeiter!$E$41&lt;&gt;"",GQ$5+6&lt;Mitarbeiter!$E$41),0,IF(AND(Mitarbeiter!$F$41&lt;&gt;"",GQ$5&gt;Mitarbeiter!$F$41),0,IF(Planung!GQ43="",$C43,IF(ISNUMBER(Planung!GQ43),Planung!GQ43,IF(UPPER(Planung!GQ43)="H",$C43/2,0)))))))</f>
        <v>0</v>
      </c>
      <c r="GR43" s="27">
        <f>IF($A43="",0,IF(Mitarbeiter!$G$41=FALSE,0,IF(AND(Mitarbeiter!$E$41&lt;&gt;"",GR$5+6&lt;Mitarbeiter!$E$41),0,IF(AND(Mitarbeiter!$F$41&lt;&gt;"",GR$5&gt;Mitarbeiter!$F$41),0,IF(Planung!GR43="",$C43,IF(ISNUMBER(Planung!GR43),Planung!GR43,IF(UPPER(Planung!GR43)="H",$C43/2,0)))))))</f>
        <v>0</v>
      </c>
      <c r="GS43" s="27">
        <f>IF($A43="",0,IF(Mitarbeiter!$G$41=FALSE,0,IF(AND(Mitarbeiter!$E$41&lt;&gt;"",GS$5+6&lt;Mitarbeiter!$E$41),0,IF(AND(Mitarbeiter!$F$41&lt;&gt;"",GS$5&gt;Mitarbeiter!$F$41),0,IF(Planung!GS43="",$C43,IF(ISNUMBER(Planung!GS43),Planung!GS43,IF(UPPER(Planung!GS43)="H",$C43/2,0)))))))</f>
        <v>0</v>
      </c>
      <c r="GT43" s="27">
        <f>IF($A43="",0,IF(Mitarbeiter!$G$41=FALSE,0,IF(AND(Mitarbeiter!$E$41&lt;&gt;"",GT$5+6&lt;Mitarbeiter!$E$41),0,IF(AND(Mitarbeiter!$F$41&lt;&gt;"",GT$5&gt;Mitarbeiter!$F$41),0,IF(Planung!GT43="",$C43,IF(ISNUMBER(Planung!GT43),Planung!GT43,IF(UPPER(Planung!GT43)="H",$C43/2,0)))))))</f>
        <v>0</v>
      </c>
      <c r="GU43" s="27">
        <f>IF($A43="",0,IF(Mitarbeiter!$G$41=FALSE,0,IF(AND(Mitarbeiter!$E$41&lt;&gt;"",GU$5+6&lt;Mitarbeiter!$E$41),0,IF(AND(Mitarbeiter!$F$41&lt;&gt;"",GU$5&gt;Mitarbeiter!$F$41),0,IF(Planung!GU43="",$C43,IF(ISNUMBER(Planung!GU43),Planung!GU43,IF(UPPER(Planung!GU43)="H",$C43/2,0)))))))</f>
        <v>0</v>
      </c>
      <c r="GV43" s="27">
        <f>IF($A43="",0,IF(Mitarbeiter!$G$41=FALSE,0,IF(AND(Mitarbeiter!$E$41&lt;&gt;"",GV$5+6&lt;Mitarbeiter!$E$41),0,IF(AND(Mitarbeiter!$F$41&lt;&gt;"",GV$5&gt;Mitarbeiter!$F$41),0,IF(Planung!GV43="",$C43,IF(ISNUMBER(Planung!GV43),Planung!GV43,IF(UPPER(Planung!GV43)="H",$C43/2,0)))))))</f>
        <v>0</v>
      </c>
      <c r="GW43" s="27">
        <f>IF($A43="",0,IF(Mitarbeiter!$G$41=FALSE,0,IF(AND(Mitarbeiter!$E$41&lt;&gt;"",GW$5+6&lt;Mitarbeiter!$E$41),0,IF(AND(Mitarbeiter!$F$41&lt;&gt;"",GW$5&gt;Mitarbeiter!$F$41),0,IF(Planung!GW43="",$C43,IF(ISNUMBER(Planung!GW43),Planung!GW43,IF(UPPER(Planung!GW43)="H",$C43/2,0)))))))</f>
        <v>0</v>
      </c>
      <c r="GX43" s="27">
        <f>IF($A43="",0,IF(Mitarbeiter!$G$41=FALSE,0,IF(AND(Mitarbeiter!$E$41&lt;&gt;"",GX$5+6&lt;Mitarbeiter!$E$41),0,IF(AND(Mitarbeiter!$F$41&lt;&gt;"",GX$5&gt;Mitarbeiter!$F$41),0,IF(Planung!GX43="",$C43,IF(ISNUMBER(Planung!GX43),Planung!GX43,IF(UPPER(Planung!GX43)="H",$C43/2,0)))))))</f>
        <v>0</v>
      </c>
      <c r="GY43" s="27">
        <f>IF($A43="",0,IF(Mitarbeiter!$G$41=FALSE,0,IF(AND(Mitarbeiter!$E$41&lt;&gt;"",GY$5+6&lt;Mitarbeiter!$E$41),0,IF(AND(Mitarbeiter!$F$41&lt;&gt;"",GY$5&gt;Mitarbeiter!$F$41),0,IF(Planung!GY43="",$C43,IF(ISNUMBER(Planung!GY43),Planung!GY43,IF(UPPER(Planung!GY43)="H",$C43/2,0)))))))</f>
        <v>0</v>
      </c>
      <c r="GZ43" s="27">
        <f>IF($A43="",0,IF(Mitarbeiter!$G$41=FALSE,0,IF(AND(Mitarbeiter!$E$41&lt;&gt;"",GZ$5+6&lt;Mitarbeiter!$E$41),0,IF(AND(Mitarbeiter!$F$41&lt;&gt;"",GZ$5&gt;Mitarbeiter!$F$41),0,IF(Planung!GZ43="",$C43,IF(ISNUMBER(Planung!GZ43),Planung!GZ43,IF(UPPER(Planung!GZ43)="H",$C43/2,0)))))))</f>
        <v>0</v>
      </c>
      <c r="HA43" s="27">
        <f>IF($A43="",0,IF(Mitarbeiter!$G$41=FALSE,0,IF(AND(Mitarbeiter!$E$41&lt;&gt;"",HA$5+6&lt;Mitarbeiter!$E$41),0,IF(AND(Mitarbeiter!$F$41&lt;&gt;"",HA$5&gt;Mitarbeiter!$F$41),0,IF(Planung!HA43="",$C43,IF(ISNUMBER(Planung!HA43),Planung!HA43,IF(UPPER(Planung!HA43)="H",$C43/2,0)))))))</f>
        <v>0</v>
      </c>
      <c r="HB43" s="27">
        <f>IF($A43="",0,IF(Mitarbeiter!$G$41=FALSE,0,IF(AND(Mitarbeiter!$E$41&lt;&gt;"",HB$5+6&lt;Mitarbeiter!$E$41),0,IF(AND(Mitarbeiter!$F$41&lt;&gt;"",HB$5&gt;Mitarbeiter!$F$41),0,IF(Planung!HB43="",$C43,IF(ISNUMBER(Planung!HB43),Planung!HB43,IF(UPPER(Planung!HB43)="H",$C43/2,0)))))))</f>
        <v>0</v>
      </c>
      <c r="HC43" s="27">
        <f>IF($A43="",0,IF(Mitarbeiter!$G$41=FALSE,0,IF(AND(Mitarbeiter!$E$41&lt;&gt;"",HC$5+6&lt;Mitarbeiter!$E$41),0,IF(AND(Mitarbeiter!$F$41&lt;&gt;"",HC$5&gt;Mitarbeiter!$F$41),0,IF(Planung!HC43="",$C43,IF(ISNUMBER(Planung!HC43),Planung!HC43,IF(UPPER(Planung!HC43)="H",$C43/2,0)))))))</f>
        <v>0</v>
      </c>
      <c r="HD43" s="27">
        <f>IF($A43="",0,IF(Mitarbeiter!$G$41=FALSE,0,IF(AND(Mitarbeiter!$E$41&lt;&gt;"",HD$5+6&lt;Mitarbeiter!$E$41),0,IF(AND(Mitarbeiter!$F$41&lt;&gt;"",HD$5&gt;Mitarbeiter!$F$41),0,IF(Planung!HD43="",$C43,IF(ISNUMBER(Planung!HD43),Planung!HD43,IF(UPPER(Planung!HD43)="H",$C43/2,0)))))))</f>
        <v>0</v>
      </c>
      <c r="HE43" s="27">
        <f>IF($A43="",0,IF(Mitarbeiter!$G$41=FALSE,0,IF(AND(Mitarbeiter!$E$41&lt;&gt;"",HE$5+6&lt;Mitarbeiter!$E$41),0,IF(AND(Mitarbeiter!$F$41&lt;&gt;"",HE$5&gt;Mitarbeiter!$F$41),0,IF(Planung!HE43="",$C43,IF(ISNUMBER(Planung!HE43),Planung!HE43,IF(UPPER(Planung!HE43)="H",$C43/2,0)))))))</f>
        <v>0</v>
      </c>
      <c r="HF43" s="27">
        <f>IF($A43="",0,IF(Mitarbeiter!$G$41=FALSE,0,IF(AND(Mitarbeiter!$E$41&lt;&gt;"",HF$5+6&lt;Mitarbeiter!$E$41),0,IF(AND(Mitarbeiter!$F$41&lt;&gt;"",HF$5&gt;Mitarbeiter!$F$41),0,IF(Planung!HF43="",$C43,IF(ISNUMBER(Planung!HF43),Planung!HF43,IF(UPPER(Planung!HF43)="H",$C43/2,0)))))))</f>
        <v>0</v>
      </c>
      <c r="HG43" s="27">
        <f>IF($A43="",0,IF(Mitarbeiter!$G$41=FALSE,0,IF(AND(Mitarbeiter!$E$41&lt;&gt;"",HG$5+6&lt;Mitarbeiter!$E$41),0,IF(AND(Mitarbeiter!$F$41&lt;&gt;"",HG$5&gt;Mitarbeiter!$F$41),0,IF(Planung!HG43="",$C43,IF(ISNUMBER(Planung!HG43),Planung!HG43,IF(UPPER(Planung!HG43)="H",$C43/2,0)))))))</f>
        <v>0</v>
      </c>
      <c r="HH43" s="27">
        <f>IF($A43="",0,IF(Mitarbeiter!$G$41=FALSE,0,IF(AND(Mitarbeiter!$E$41&lt;&gt;"",HH$5+6&lt;Mitarbeiter!$E$41),0,IF(AND(Mitarbeiter!$F$41&lt;&gt;"",HH$5&gt;Mitarbeiter!$F$41),0,IF(Planung!HH43="",$C43,IF(ISNUMBER(Planung!HH43),Planung!HH43,IF(UPPER(Planung!HH43)="H",$C43/2,0)))))))</f>
        <v>0</v>
      </c>
      <c r="HI43" s="27">
        <f>IF($A43="",0,IF(Mitarbeiter!$G$41=FALSE,0,IF(AND(Mitarbeiter!$E$41&lt;&gt;"",HI$5+6&lt;Mitarbeiter!$E$41),0,IF(AND(Mitarbeiter!$F$41&lt;&gt;"",HI$5&gt;Mitarbeiter!$F$41),0,IF(Planung!HI43="",$C43,IF(ISNUMBER(Planung!HI43),Planung!HI43,IF(UPPER(Planung!HI43)="H",$C43/2,0)))))))</f>
        <v>0</v>
      </c>
      <c r="HJ43" s="27">
        <f>IF($A43="",0,IF(Mitarbeiter!$G$41=FALSE,0,IF(AND(Mitarbeiter!$E$41&lt;&gt;"",HJ$5+6&lt;Mitarbeiter!$E$41),0,IF(AND(Mitarbeiter!$F$41&lt;&gt;"",HJ$5&gt;Mitarbeiter!$F$41),0,IF(Planung!HJ43="",$C43,IF(ISNUMBER(Planung!HJ43),Planung!HJ43,IF(UPPER(Planung!HJ43)="H",$C43/2,0)))))))</f>
        <v>0</v>
      </c>
      <c r="HK43" s="27">
        <f>IF($A43="",0,IF(Mitarbeiter!$G$41=FALSE,0,IF(AND(Mitarbeiter!$E$41&lt;&gt;"",HK$5+6&lt;Mitarbeiter!$E$41),0,IF(AND(Mitarbeiter!$F$41&lt;&gt;"",HK$5&gt;Mitarbeiter!$F$41),0,IF(Planung!HK43="",$C43,IF(ISNUMBER(Planung!HK43),Planung!HK43,IF(UPPER(Planung!HK43)="H",$C43/2,0)))))))</f>
        <v>0</v>
      </c>
      <c r="HL43" s="27">
        <f>IF($A43="",0,IF(Mitarbeiter!$G$41=FALSE,0,IF(AND(Mitarbeiter!$E$41&lt;&gt;"",HL$5+6&lt;Mitarbeiter!$E$41),0,IF(AND(Mitarbeiter!$F$41&lt;&gt;"",HL$5&gt;Mitarbeiter!$F$41),0,IF(Planung!HL43="",$C43,IF(ISNUMBER(Planung!HL43),Planung!HL43,IF(UPPER(Planung!HL43)="H",$C43/2,0)))))))</f>
        <v>0</v>
      </c>
      <c r="HM43" s="27">
        <f>IF($A43="",0,IF(Mitarbeiter!$G$41=FALSE,0,IF(AND(Mitarbeiter!$E$41&lt;&gt;"",HM$5+6&lt;Mitarbeiter!$E$41),0,IF(AND(Mitarbeiter!$F$41&lt;&gt;"",HM$5&gt;Mitarbeiter!$F$41),0,IF(Planung!HM43="",$C43,IF(ISNUMBER(Planung!HM43),Planung!HM43,IF(UPPER(Planung!HM43)="H",$C43/2,0)))))))</f>
        <v>0</v>
      </c>
      <c r="HN43" s="27">
        <f>IF($A43="",0,IF(Mitarbeiter!$G$41=FALSE,0,IF(AND(Mitarbeiter!$E$41&lt;&gt;"",HN$5+6&lt;Mitarbeiter!$E$41),0,IF(AND(Mitarbeiter!$F$41&lt;&gt;"",HN$5&gt;Mitarbeiter!$F$41),0,IF(Planung!HN43="",$C43,IF(ISNUMBER(Planung!HN43),Planung!HN43,IF(UPPER(Planung!HN43)="H",$C43/2,0)))))))</f>
        <v>0</v>
      </c>
      <c r="HO43" s="27">
        <f>IF($A43="",0,IF(Mitarbeiter!$G$41=FALSE,0,IF(AND(Mitarbeiter!$E$41&lt;&gt;"",HO$5+6&lt;Mitarbeiter!$E$41),0,IF(AND(Mitarbeiter!$F$41&lt;&gt;"",HO$5&gt;Mitarbeiter!$F$41),0,IF(Planung!HO43="",$C43,IF(ISNUMBER(Planung!HO43),Planung!HO43,IF(UPPER(Planung!HO43)="H",$C43/2,0)))))))</f>
        <v>0</v>
      </c>
      <c r="HP43" s="27">
        <f>IF($A43="",0,IF(Mitarbeiter!$G$41=FALSE,0,IF(AND(Mitarbeiter!$E$41&lt;&gt;"",HP$5+6&lt;Mitarbeiter!$E$41),0,IF(AND(Mitarbeiter!$F$41&lt;&gt;"",HP$5&gt;Mitarbeiter!$F$41),0,IF(Planung!HP43="",$C43,IF(ISNUMBER(Planung!HP43),Planung!HP43,IF(UPPER(Planung!HP43)="H",$C43/2,0)))))))</f>
        <v>0</v>
      </c>
      <c r="HQ43" s="27">
        <f>IF($A43="",0,IF(Mitarbeiter!$G$41=FALSE,0,IF(AND(Mitarbeiter!$E$41&lt;&gt;"",HQ$5+6&lt;Mitarbeiter!$E$41),0,IF(AND(Mitarbeiter!$F$41&lt;&gt;"",HQ$5&gt;Mitarbeiter!$F$41),0,IF(Planung!HQ43="",$C43,IF(ISNUMBER(Planung!HQ43),Planung!HQ43,IF(UPPER(Planung!HQ43)="H",$C43/2,0)))))))</f>
        <v>0</v>
      </c>
      <c r="HR43" s="27">
        <f>IF($A43="",0,IF(Mitarbeiter!$G$41=FALSE,0,IF(AND(Mitarbeiter!$E$41&lt;&gt;"",HR$5+6&lt;Mitarbeiter!$E$41),0,IF(AND(Mitarbeiter!$F$41&lt;&gt;"",HR$5&gt;Mitarbeiter!$F$41),0,IF(Planung!HR43="",$C43,IF(ISNUMBER(Planung!HR43),Planung!HR43,IF(UPPER(Planung!HR43)="H",$C43/2,0)))))))</f>
        <v>0</v>
      </c>
      <c r="HS43" s="27">
        <f>IF($A43="",0,IF(Mitarbeiter!$G$41=FALSE,0,IF(AND(Mitarbeiter!$E$41&lt;&gt;"",HS$5+6&lt;Mitarbeiter!$E$41),0,IF(AND(Mitarbeiter!$F$41&lt;&gt;"",HS$5&gt;Mitarbeiter!$F$41),0,IF(Planung!HS43="",$C43,IF(ISNUMBER(Planung!HS43),Planung!HS43,IF(UPPER(Planung!HS43)="H",$C43/2,0)))))))</f>
        <v>0</v>
      </c>
      <c r="HT43" s="27">
        <f>IF($A43="",0,IF(Mitarbeiter!$G$41=FALSE,0,IF(AND(Mitarbeiter!$E$41&lt;&gt;"",HT$5+6&lt;Mitarbeiter!$E$41),0,IF(AND(Mitarbeiter!$F$41&lt;&gt;"",HT$5&gt;Mitarbeiter!$F$41),0,IF(Planung!HT43="",$C43,IF(ISNUMBER(Planung!HT43),Planung!HT43,IF(UPPER(Planung!HT43)="H",$C43/2,0)))))))</f>
        <v>0</v>
      </c>
      <c r="HU43" s="27">
        <f>IF($A43="",0,IF(Mitarbeiter!$G$41=FALSE,0,IF(AND(Mitarbeiter!$E$41&lt;&gt;"",HU$5+6&lt;Mitarbeiter!$E$41),0,IF(AND(Mitarbeiter!$F$41&lt;&gt;"",HU$5&gt;Mitarbeiter!$F$41),0,IF(Planung!HU43="",$C43,IF(ISNUMBER(Planung!HU43),Planung!HU43,IF(UPPER(Planung!HU43)="H",$C43/2,0)))))))</f>
        <v>0</v>
      </c>
      <c r="HV43" s="27">
        <f>IF($A43="",0,IF(Mitarbeiter!$G$41=FALSE,0,IF(AND(Mitarbeiter!$E$41&lt;&gt;"",HV$5+6&lt;Mitarbeiter!$E$41),0,IF(AND(Mitarbeiter!$F$41&lt;&gt;"",HV$5&gt;Mitarbeiter!$F$41),0,IF(Planung!HV43="",$C43,IF(ISNUMBER(Planung!HV43),Planung!HV43,IF(UPPER(Planung!HV43)="H",$C43/2,0)))))))</f>
        <v>0</v>
      </c>
      <c r="HW43" s="27">
        <f>IF($A43="",0,IF(Mitarbeiter!$G$41=FALSE,0,IF(AND(Mitarbeiter!$E$41&lt;&gt;"",HW$5+6&lt;Mitarbeiter!$E$41),0,IF(AND(Mitarbeiter!$F$41&lt;&gt;"",HW$5&gt;Mitarbeiter!$F$41),0,IF(Planung!HW43="",$C43,IF(ISNUMBER(Planung!HW43),Planung!HW43,IF(UPPER(Planung!HW43)="H",$C43/2,0)))))))</f>
        <v>0</v>
      </c>
      <c r="HX43" s="27">
        <f>IF($A43="",0,IF(Mitarbeiter!$G$41=FALSE,0,IF(AND(Mitarbeiter!$E$41&lt;&gt;"",HX$5+6&lt;Mitarbeiter!$E$41),0,IF(AND(Mitarbeiter!$F$41&lt;&gt;"",HX$5&gt;Mitarbeiter!$F$41),0,IF(Planung!HX43="",$C43,IF(ISNUMBER(Planung!HX43),Planung!HX43,IF(UPPER(Planung!HX43)="H",$C43/2,0)))))))</f>
        <v>0</v>
      </c>
      <c r="HY43" s="27">
        <f>IF($A43="",0,IF(Mitarbeiter!$G$41=FALSE,0,IF(AND(Mitarbeiter!$E$41&lt;&gt;"",HY$5+6&lt;Mitarbeiter!$E$41),0,IF(AND(Mitarbeiter!$F$41&lt;&gt;"",HY$5&gt;Mitarbeiter!$F$41),0,IF(Planung!HY43="",$C43,IF(ISNUMBER(Planung!HY43),Planung!HY43,IF(UPPER(Planung!HY43)="H",$C43/2,0)))))))</f>
        <v>0</v>
      </c>
      <c r="HZ43" s="27">
        <f>IF($A43="",0,IF(Mitarbeiter!$G$41=FALSE,0,IF(AND(Mitarbeiter!$E$41&lt;&gt;"",HZ$5+6&lt;Mitarbeiter!$E$41),0,IF(AND(Mitarbeiter!$F$41&lt;&gt;"",HZ$5&gt;Mitarbeiter!$F$41),0,IF(Planung!HZ43="",$C43,IF(ISNUMBER(Planung!HZ43),Planung!HZ43,IF(UPPER(Planung!HZ43)="H",$C43/2,0)))))))</f>
        <v>0</v>
      </c>
      <c r="IA43" s="27">
        <f>IF($A43="",0,IF(Mitarbeiter!$G$41=FALSE,0,IF(AND(Mitarbeiter!$E$41&lt;&gt;"",IA$5+6&lt;Mitarbeiter!$E$41),0,IF(AND(Mitarbeiter!$F$41&lt;&gt;"",IA$5&gt;Mitarbeiter!$F$41),0,IF(Planung!IA43="",$C43,IF(ISNUMBER(Planung!IA43),Planung!IA43,IF(UPPER(Planung!IA43)="H",$C43/2,0)))))))</f>
        <v>0</v>
      </c>
    </row>
    <row r="44" spans="1:235" x14ac:dyDescent="0.25">
      <c r="A44" s="7" t="str">
        <f>Planung!A44</f>
        <v/>
      </c>
      <c r="B44" s="7" t="str">
        <f>Planung!B44</f>
        <v/>
      </c>
      <c r="C44" s="27">
        <f>N(Mitarbeiter!$D$42)</f>
        <v>0</v>
      </c>
      <c r="D44" s="27">
        <f>IF($A44="",0,IF(Mitarbeiter!$G$42=FALSE,0,IF(AND(Mitarbeiter!$E$42&lt;&gt;"",D$5+6&lt;Mitarbeiter!$E$42),0,IF(AND(Mitarbeiter!$F$42&lt;&gt;"",D$5&gt;Mitarbeiter!$F$42),0,IF(Planung!D44="",$C44,IF(ISNUMBER(Planung!D44),Planung!D44,IF(UPPER(Planung!D44)="H",$C44/2,0)))))))</f>
        <v>0</v>
      </c>
      <c r="E44" s="27">
        <f>IF($A44="",0,IF(Mitarbeiter!$G$42=FALSE,0,IF(AND(Mitarbeiter!$E$42&lt;&gt;"",E$5+6&lt;Mitarbeiter!$E$42),0,IF(AND(Mitarbeiter!$F$42&lt;&gt;"",E$5&gt;Mitarbeiter!$F$42),0,IF(Planung!E44="",$C44,IF(ISNUMBER(Planung!E44),Planung!E44,IF(UPPER(Planung!E44)="H",$C44/2,0)))))))</f>
        <v>0</v>
      </c>
      <c r="F44" s="27">
        <f>IF($A44="",0,IF(Mitarbeiter!$G$42=FALSE,0,IF(AND(Mitarbeiter!$E$42&lt;&gt;"",F$5+6&lt;Mitarbeiter!$E$42),0,IF(AND(Mitarbeiter!$F$42&lt;&gt;"",F$5&gt;Mitarbeiter!$F$42),0,IF(Planung!F44="",$C44,IF(ISNUMBER(Planung!F44),Planung!F44,IF(UPPER(Planung!F44)="H",$C44/2,0)))))))</f>
        <v>0</v>
      </c>
      <c r="G44" s="27">
        <f>IF($A44="",0,IF(Mitarbeiter!$G$42=FALSE,0,IF(AND(Mitarbeiter!$E$42&lt;&gt;"",G$5+6&lt;Mitarbeiter!$E$42),0,IF(AND(Mitarbeiter!$F$42&lt;&gt;"",G$5&gt;Mitarbeiter!$F$42),0,IF(Planung!G44="",$C44,IF(ISNUMBER(Planung!G44),Planung!G44,IF(UPPER(Planung!G44)="H",$C44/2,0)))))))</f>
        <v>0</v>
      </c>
      <c r="H44" s="27">
        <f>IF($A44="",0,IF(Mitarbeiter!$G$42=FALSE,0,IF(AND(Mitarbeiter!$E$42&lt;&gt;"",H$5+6&lt;Mitarbeiter!$E$42),0,IF(AND(Mitarbeiter!$F$42&lt;&gt;"",H$5&gt;Mitarbeiter!$F$42),0,IF(Planung!H44="",$C44,IF(ISNUMBER(Planung!H44),Planung!H44,IF(UPPER(Planung!H44)="H",$C44/2,0)))))))</f>
        <v>0</v>
      </c>
      <c r="I44" s="27">
        <f>IF($A44="",0,IF(Mitarbeiter!$G$42=FALSE,0,IF(AND(Mitarbeiter!$E$42&lt;&gt;"",I$5+6&lt;Mitarbeiter!$E$42),0,IF(AND(Mitarbeiter!$F$42&lt;&gt;"",I$5&gt;Mitarbeiter!$F$42),0,IF(Planung!I44="",$C44,IF(ISNUMBER(Planung!I44),Planung!I44,IF(UPPER(Planung!I44)="H",$C44/2,0)))))))</f>
        <v>0</v>
      </c>
      <c r="J44" s="27">
        <f>IF($A44="",0,IF(Mitarbeiter!$G$42=FALSE,0,IF(AND(Mitarbeiter!$E$42&lt;&gt;"",J$5+6&lt;Mitarbeiter!$E$42),0,IF(AND(Mitarbeiter!$F$42&lt;&gt;"",J$5&gt;Mitarbeiter!$F$42),0,IF(Planung!J44="",$C44,IF(ISNUMBER(Planung!J44),Planung!J44,IF(UPPER(Planung!J44)="H",$C44/2,0)))))))</f>
        <v>0</v>
      </c>
      <c r="K44" s="27">
        <f>IF($A44="",0,IF(Mitarbeiter!$G$42=FALSE,0,IF(AND(Mitarbeiter!$E$42&lt;&gt;"",K$5+6&lt;Mitarbeiter!$E$42),0,IF(AND(Mitarbeiter!$F$42&lt;&gt;"",K$5&gt;Mitarbeiter!$F$42),0,IF(Planung!K44="",$C44,IF(ISNUMBER(Planung!K44),Planung!K44,IF(UPPER(Planung!K44)="H",$C44/2,0)))))))</f>
        <v>0</v>
      </c>
      <c r="L44" s="27">
        <f>IF($A44="",0,IF(Mitarbeiter!$G$42=FALSE,0,IF(AND(Mitarbeiter!$E$42&lt;&gt;"",L$5+6&lt;Mitarbeiter!$E$42),0,IF(AND(Mitarbeiter!$F$42&lt;&gt;"",L$5&gt;Mitarbeiter!$F$42),0,IF(Planung!L44="",$C44,IF(ISNUMBER(Planung!L44),Planung!L44,IF(UPPER(Planung!L44)="H",$C44/2,0)))))))</f>
        <v>0</v>
      </c>
      <c r="M44" s="27">
        <f>IF($A44="",0,IF(Mitarbeiter!$G$42=FALSE,0,IF(AND(Mitarbeiter!$E$42&lt;&gt;"",M$5+6&lt;Mitarbeiter!$E$42),0,IF(AND(Mitarbeiter!$F$42&lt;&gt;"",M$5&gt;Mitarbeiter!$F$42),0,IF(Planung!M44="",$C44,IF(ISNUMBER(Planung!M44),Planung!M44,IF(UPPER(Planung!M44)="H",$C44/2,0)))))))</f>
        <v>0</v>
      </c>
      <c r="N44" s="27">
        <f>IF($A44="",0,IF(Mitarbeiter!$G$42=FALSE,0,IF(AND(Mitarbeiter!$E$42&lt;&gt;"",N$5+6&lt;Mitarbeiter!$E$42),0,IF(AND(Mitarbeiter!$F$42&lt;&gt;"",N$5&gt;Mitarbeiter!$F$42),0,IF(Planung!N44="",$C44,IF(ISNUMBER(Planung!N44),Planung!N44,IF(UPPER(Planung!N44)="H",$C44/2,0)))))))</f>
        <v>0</v>
      </c>
      <c r="O44" s="27">
        <f>IF($A44="",0,IF(Mitarbeiter!$G$42=FALSE,0,IF(AND(Mitarbeiter!$E$42&lt;&gt;"",O$5+6&lt;Mitarbeiter!$E$42),0,IF(AND(Mitarbeiter!$F$42&lt;&gt;"",O$5&gt;Mitarbeiter!$F$42),0,IF(Planung!O44="",$C44,IF(ISNUMBER(Planung!O44),Planung!O44,IF(UPPER(Planung!O44)="H",$C44/2,0)))))))</f>
        <v>0</v>
      </c>
      <c r="P44" s="27">
        <f>IF($A44="",0,IF(Mitarbeiter!$G$42=FALSE,0,IF(AND(Mitarbeiter!$E$42&lt;&gt;"",P$5+6&lt;Mitarbeiter!$E$42),0,IF(AND(Mitarbeiter!$F$42&lt;&gt;"",P$5&gt;Mitarbeiter!$F$42),0,IF(Planung!P44="",$C44,IF(ISNUMBER(Planung!P44),Planung!P44,IF(UPPER(Planung!P44)="H",$C44/2,0)))))))</f>
        <v>0</v>
      </c>
      <c r="Q44" s="27">
        <f>IF($A44="",0,IF(Mitarbeiter!$G$42=FALSE,0,IF(AND(Mitarbeiter!$E$42&lt;&gt;"",Q$5+6&lt;Mitarbeiter!$E$42),0,IF(AND(Mitarbeiter!$F$42&lt;&gt;"",Q$5&gt;Mitarbeiter!$F$42),0,IF(Planung!Q44="",$C44,IF(ISNUMBER(Planung!Q44),Planung!Q44,IF(UPPER(Planung!Q44)="H",$C44/2,0)))))))</f>
        <v>0</v>
      </c>
      <c r="R44" s="27">
        <f>IF($A44="",0,IF(Mitarbeiter!$G$42=FALSE,0,IF(AND(Mitarbeiter!$E$42&lt;&gt;"",R$5+6&lt;Mitarbeiter!$E$42),0,IF(AND(Mitarbeiter!$F$42&lt;&gt;"",R$5&gt;Mitarbeiter!$F$42),0,IF(Planung!R44="",$C44,IF(ISNUMBER(Planung!R44),Planung!R44,IF(UPPER(Planung!R44)="H",$C44/2,0)))))))</f>
        <v>0</v>
      </c>
      <c r="S44" s="27">
        <f>IF($A44="",0,IF(Mitarbeiter!$G$42=FALSE,0,IF(AND(Mitarbeiter!$E$42&lt;&gt;"",S$5+6&lt;Mitarbeiter!$E$42),0,IF(AND(Mitarbeiter!$F$42&lt;&gt;"",S$5&gt;Mitarbeiter!$F$42),0,IF(Planung!S44="",$C44,IF(ISNUMBER(Planung!S44),Planung!S44,IF(UPPER(Planung!S44)="H",$C44/2,0)))))))</f>
        <v>0</v>
      </c>
      <c r="T44" s="27">
        <f>IF($A44="",0,IF(Mitarbeiter!$G$42=FALSE,0,IF(AND(Mitarbeiter!$E$42&lt;&gt;"",T$5+6&lt;Mitarbeiter!$E$42),0,IF(AND(Mitarbeiter!$F$42&lt;&gt;"",T$5&gt;Mitarbeiter!$F$42),0,IF(Planung!T44="",$C44,IF(ISNUMBER(Planung!T44),Planung!T44,IF(UPPER(Planung!T44)="H",$C44/2,0)))))))</f>
        <v>0</v>
      </c>
      <c r="U44" s="27">
        <f>IF($A44="",0,IF(Mitarbeiter!$G$42=FALSE,0,IF(AND(Mitarbeiter!$E$42&lt;&gt;"",U$5+6&lt;Mitarbeiter!$E$42),0,IF(AND(Mitarbeiter!$F$42&lt;&gt;"",U$5&gt;Mitarbeiter!$F$42),0,IF(Planung!U44="",$C44,IF(ISNUMBER(Planung!U44),Planung!U44,IF(UPPER(Planung!U44)="H",$C44/2,0)))))))</f>
        <v>0</v>
      </c>
      <c r="V44" s="27">
        <f>IF($A44="",0,IF(Mitarbeiter!$G$42=FALSE,0,IF(AND(Mitarbeiter!$E$42&lt;&gt;"",V$5+6&lt;Mitarbeiter!$E$42),0,IF(AND(Mitarbeiter!$F$42&lt;&gt;"",V$5&gt;Mitarbeiter!$F$42),0,IF(Planung!V44="",$C44,IF(ISNUMBER(Planung!V44),Planung!V44,IF(UPPER(Planung!V44)="H",$C44/2,0)))))))</f>
        <v>0</v>
      </c>
      <c r="W44" s="27">
        <f>IF($A44="",0,IF(Mitarbeiter!$G$42=FALSE,0,IF(AND(Mitarbeiter!$E$42&lt;&gt;"",W$5+6&lt;Mitarbeiter!$E$42),0,IF(AND(Mitarbeiter!$F$42&lt;&gt;"",W$5&gt;Mitarbeiter!$F$42),0,IF(Planung!W44="",$C44,IF(ISNUMBER(Planung!W44),Planung!W44,IF(UPPER(Planung!W44)="H",$C44/2,0)))))))</f>
        <v>0</v>
      </c>
      <c r="X44" s="27">
        <f>IF($A44="",0,IF(Mitarbeiter!$G$42=FALSE,0,IF(AND(Mitarbeiter!$E$42&lt;&gt;"",X$5+6&lt;Mitarbeiter!$E$42),0,IF(AND(Mitarbeiter!$F$42&lt;&gt;"",X$5&gt;Mitarbeiter!$F$42),0,IF(Planung!X44="",$C44,IF(ISNUMBER(Planung!X44),Planung!X44,IF(UPPER(Planung!X44)="H",$C44/2,0)))))))</f>
        <v>0</v>
      </c>
      <c r="Y44" s="27">
        <f>IF($A44="",0,IF(Mitarbeiter!$G$42=FALSE,0,IF(AND(Mitarbeiter!$E$42&lt;&gt;"",Y$5+6&lt;Mitarbeiter!$E$42),0,IF(AND(Mitarbeiter!$F$42&lt;&gt;"",Y$5&gt;Mitarbeiter!$F$42),0,IF(Planung!Y44="",$C44,IF(ISNUMBER(Planung!Y44),Planung!Y44,IF(UPPER(Planung!Y44)="H",$C44/2,0)))))))</f>
        <v>0</v>
      </c>
      <c r="Z44" s="27">
        <f>IF($A44="",0,IF(Mitarbeiter!$G$42=FALSE,0,IF(AND(Mitarbeiter!$E$42&lt;&gt;"",Z$5+6&lt;Mitarbeiter!$E$42),0,IF(AND(Mitarbeiter!$F$42&lt;&gt;"",Z$5&gt;Mitarbeiter!$F$42),0,IF(Planung!Z44="",$C44,IF(ISNUMBER(Planung!Z44),Planung!Z44,IF(UPPER(Planung!Z44)="H",$C44/2,0)))))))</f>
        <v>0</v>
      </c>
      <c r="AA44" s="27">
        <f>IF($A44="",0,IF(Mitarbeiter!$G$42=FALSE,0,IF(AND(Mitarbeiter!$E$42&lt;&gt;"",AA$5+6&lt;Mitarbeiter!$E$42),0,IF(AND(Mitarbeiter!$F$42&lt;&gt;"",AA$5&gt;Mitarbeiter!$F$42),0,IF(Planung!AA44="",$C44,IF(ISNUMBER(Planung!AA44),Planung!AA44,IF(UPPER(Planung!AA44)="H",$C44/2,0)))))))</f>
        <v>0</v>
      </c>
      <c r="AB44" s="27">
        <f>IF($A44="",0,IF(Mitarbeiter!$G$42=FALSE,0,IF(AND(Mitarbeiter!$E$42&lt;&gt;"",AB$5+6&lt;Mitarbeiter!$E$42),0,IF(AND(Mitarbeiter!$F$42&lt;&gt;"",AB$5&gt;Mitarbeiter!$F$42),0,IF(Planung!AB44="",$C44,IF(ISNUMBER(Planung!AB44),Planung!AB44,IF(UPPER(Planung!AB44)="H",$C44/2,0)))))))</f>
        <v>0</v>
      </c>
      <c r="AC44" s="27">
        <f>IF($A44="",0,IF(Mitarbeiter!$G$42=FALSE,0,IF(AND(Mitarbeiter!$E$42&lt;&gt;"",AC$5+6&lt;Mitarbeiter!$E$42),0,IF(AND(Mitarbeiter!$F$42&lt;&gt;"",AC$5&gt;Mitarbeiter!$F$42),0,IF(Planung!AC44="",$C44,IF(ISNUMBER(Planung!AC44),Planung!AC44,IF(UPPER(Planung!AC44)="H",$C44/2,0)))))))</f>
        <v>0</v>
      </c>
      <c r="AD44" s="27">
        <f>IF($A44="",0,IF(Mitarbeiter!$G$42=FALSE,0,IF(AND(Mitarbeiter!$E$42&lt;&gt;"",AD$5+6&lt;Mitarbeiter!$E$42),0,IF(AND(Mitarbeiter!$F$42&lt;&gt;"",AD$5&gt;Mitarbeiter!$F$42),0,IF(Planung!AD44="",$C44,IF(ISNUMBER(Planung!AD44),Planung!AD44,IF(UPPER(Planung!AD44)="H",$C44/2,0)))))))</f>
        <v>0</v>
      </c>
      <c r="AE44" s="27">
        <f>IF($A44="",0,IF(Mitarbeiter!$G$42=FALSE,0,IF(AND(Mitarbeiter!$E$42&lt;&gt;"",AE$5+6&lt;Mitarbeiter!$E$42),0,IF(AND(Mitarbeiter!$F$42&lt;&gt;"",AE$5&gt;Mitarbeiter!$F$42),0,IF(Planung!AE44="",$C44,IF(ISNUMBER(Planung!AE44),Planung!AE44,IF(UPPER(Planung!AE44)="H",$C44/2,0)))))))</f>
        <v>0</v>
      </c>
      <c r="AF44" s="27">
        <f>IF($A44="",0,IF(Mitarbeiter!$G$42=FALSE,0,IF(AND(Mitarbeiter!$E$42&lt;&gt;"",AF$5+6&lt;Mitarbeiter!$E$42),0,IF(AND(Mitarbeiter!$F$42&lt;&gt;"",AF$5&gt;Mitarbeiter!$F$42),0,IF(Planung!AF44="",$C44,IF(ISNUMBER(Planung!AF44),Planung!AF44,IF(UPPER(Planung!AF44)="H",$C44/2,0)))))))</f>
        <v>0</v>
      </c>
      <c r="AG44" s="27">
        <f>IF($A44="",0,IF(Mitarbeiter!$G$42=FALSE,0,IF(AND(Mitarbeiter!$E$42&lt;&gt;"",AG$5+6&lt;Mitarbeiter!$E$42),0,IF(AND(Mitarbeiter!$F$42&lt;&gt;"",AG$5&gt;Mitarbeiter!$F$42),0,IF(Planung!AG44="",$C44,IF(ISNUMBER(Planung!AG44),Planung!AG44,IF(UPPER(Planung!AG44)="H",$C44/2,0)))))))</f>
        <v>0</v>
      </c>
      <c r="AH44" s="27">
        <f>IF($A44="",0,IF(Mitarbeiter!$G$42=FALSE,0,IF(AND(Mitarbeiter!$E$42&lt;&gt;"",AH$5+6&lt;Mitarbeiter!$E$42),0,IF(AND(Mitarbeiter!$F$42&lt;&gt;"",AH$5&gt;Mitarbeiter!$F$42),0,IF(Planung!AH44="",$C44,IF(ISNUMBER(Planung!AH44),Planung!AH44,IF(UPPER(Planung!AH44)="H",$C44/2,0)))))))</f>
        <v>0</v>
      </c>
      <c r="AI44" s="27">
        <f>IF($A44="",0,IF(Mitarbeiter!$G$42=FALSE,0,IF(AND(Mitarbeiter!$E$42&lt;&gt;"",AI$5+6&lt;Mitarbeiter!$E$42),0,IF(AND(Mitarbeiter!$F$42&lt;&gt;"",AI$5&gt;Mitarbeiter!$F$42),0,IF(Planung!AI44="",$C44,IF(ISNUMBER(Planung!AI44),Planung!AI44,IF(UPPER(Planung!AI44)="H",$C44/2,0)))))))</f>
        <v>0</v>
      </c>
      <c r="AJ44" s="27">
        <f>IF($A44="",0,IF(Mitarbeiter!$G$42=FALSE,0,IF(AND(Mitarbeiter!$E$42&lt;&gt;"",AJ$5+6&lt;Mitarbeiter!$E$42),0,IF(AND(Mitarbeiter!$F$42&lt;&gt;"",AJ$5&gt;Mitarbeiter!$F$42),0,IF(Planung!AJ44="",$C44,IF(ISNUMBER(Planung!AJ44),Planung!AJ44,IF(UPPER(Planung!AJ44)="H",$C44/2,0)))))))</f>
        <v>0</v>
      </c>
      <c r="AK44" s="27">
        <f>IF($A44="",0,IF(Mitarbeiter!$G$42=FALSE,0,IF(AND(Mitarbeiter!$E$42&lt;&gt;"",AK$5+6&lt;Mitarbeiter!$E$42),0,IF(AND(Mitarbeiter!$F$42&lt;&gt;"",AK$5&gt;Mitarbeiter!$F$42),0,IF(Planung!AK44="",$C44,IF(ISNUMBER(Planung!AK44),Planung!AK44,IF(UPPER(Planung!AK44)="H",$C44/2,0)))))))</f>
        <v>0</v>
      </c>
      <c r="AL44" s="27">
        <f>IF($A44="",0,IF(Mitarbeiter!$G$42=FALSE,0,IF(AND(Mitarbeiter!$E$42&lt;&gt;"",AL$5+6&lt;Mitarbeiter!$E$42),0,IF(AND(Mitarbeiter!$F$42&lt;&gt;"",AL$5&gt;Mitarbeiter!$F$42),0,IF(Planung!AL44="",$C44,IF(ISNUMBER(Planung!AL44),Planung!AL44,IF(UPPER(Planung!AL44)="H",$C44/2,0)))))))</f>
        <v>0</v>
      </c>
      <c r="AM44" s="27">
        <f>IF($A44="",0,IF(Mitarbeiter!$G$42=FALSE,0,IF(AND(Mitarbeiter!$E$42&lt;&gt;"",AM$5+6&lt;Mitarbeiter!$E$42),0,IF(AND(Mitarbeiter!$F$42&lt;&gt;"",AM$5&gt;Mitarbeiter!$F$42),0,IF(Planung!AM44="",$C44,IF(ISNUMBER(Planung!AM44),Planung!AM44,IF(UPPER(Planung!AM44)="H",$C44/2,0)))))))</f>
        <v>0</v>
      </c>
      <c r="AN44" s="27">
        <f>IF($A44="",0,IF(Mitarbeiter!$G$42=FALSE,0,IF(AND(Mitarbeiter!$E$42&lt;&gt;"",AN$5+6&lt;Mitarbeiter!$E$42),0,IF(AND(Mitarbeiter!$F$42&lt;&gt;"",AN$5&gt;Mitarbeiter!$F$42),0,IF(Planung!AN44="",$C44,IF(ISNUMBER(Planung!AN44),Planung!AN44,IF(UPPER(Planung!AN44)="H",$C44/2,0)))))))</f>
        <v>0</v>
      </c>
      <c r="AO44" s="27">
        <f>IF($A44="",0,IF(Mitarbeiter!$G$42=FALSE,0,IF(AND(Mitarbeiter!$E$42&lt;&gt;"",AO$5+6&lt;Mitarbeiter!$E$42),0,IF(AND(Mitarbeiter!$F$42&lt;&gt;"",AO$5&gt;Mitarbeiter!$F$42),0,IF(Planung!AO44="",$C44,IF(ISNUMBER(Planung!AO44),Planung!AO44,IF(UPPER(Planung!AO44)="H",$C44/2,0)))))))</f>
        <v>0</v>
      </c>
      <c r="AP44" s="27">
        <f>IF($A44="",0,IF(Mitarbeiter!$G$42=FALSE,0,IF(AND(Mitarbeiter!$E$42&lt;&gt;"",AP$5+6&lt;Mitarbeiter!$E$42),0,IF(AND(Mitarbeiter!$F$42&lt;&gt;"",AP$5&gt;Mitarbeiter!$F$42),0,IF(Planung!AP44="",$C44,IF(ISNUMBER(Planung!AP44),Planung!AP44,IF(UPPER(Planung!AP44)="H",$C44/2,0)))))))</f>
        <v>0</v>
      </c>
      <c r="AQ44" s="27">
        <f>IF($A44="",0,IF(Mitarbeiter!$G$42=FALSE,0,IF(AND(Mitarbeiter!$E$42&lt;&gt;"",AQ$5+6&lt;Mitarbeiter!$E$42),0,IF(AND(Mitarbeiter!$F$42&lt;&gt;"",AQ$5&gt;Mitarbeiter!$F$42),0,IF(Planung!AQ44="",$C44,IF(ISNUMBER(Planung!AQ44),Planung!AQ44,IF(UPPER(Planung!AQ44)="H",$C44/2,0)))))))</f>
        <v>0</v>
      </c>
      <c r="AR44" s="27">
        <f>IF($A44="",0,IF(Mitarbeiter!$G$42=FALSE,0,IF(AND(Mitarbeiter!$E$42&lt;&gt;"",AR$5+6&lt;Mitarbeiter!$E$42),0,IF(AND(Mitarbeiter!$F$42&lt;&gt;"",AR$5&gt;Mitarbeiter!$F$42),0,IF(Planung!AR44="",$C44,IF(ISNUMBER(Planung!AR44),Planung!AR44,IF(UPPER(Planung!AR44)="H",$C44/2,0)))))))</f>
        <v>0</v>
      </c>
      <c r="AS44" s="27">
        <f>IF($A44="",0,IF(Mitarbeiter!$G$42=FALSE,0,IF(AND(Mitarbeiter!$E$42&lt;&gt;"",AS$5+6&lt;Mitarbeiter!$E$42),0,IF(AND(Mitarbeiter!$F$42&lt;&gt;"",AS$5&gt;Mitarbeiter!$F$42),0,IF(Planung!AS44="",$C44,IF(ISNUMBER(Planung!AS44),Planung!AS44,IF(UPPER(Planung!AS44)="H",$C44/2,0)))))))</f>
        <v>0</v>
      </c>
      <c r="AT44" s="27">
        <f>IF($A44="",0,IF(Mitarbeiter!$G$42=FALSE,0,IF(AND(Mitarbeiter!$E$42&lt;&gt;"",AT$5+6&lt;Mitarbeiter!$E$42),0,IF(AND(Mitarbeiter!$F$42&lt;&gt;"",AT$5&gt;Mitarbeiter!$F$42),0,IF(Planung!AT44="",$C44,IF(ISNUMBER(Planung!AT44),Planung!AT44,IF(UPPER(Planung!AT44)="H",$C44/2,0)))))))</f>
        <v>0</v>
      </c>
      <c r="AU44" s="27">
        <f>IF($A44="",0,IF(Mitarbeiter!$G$42=FALSE,0,IF(AND(Mitarbeiter!$E$42&lt;&gt;"",AU$5+6&lt;Mitarbeiter!$E$42),0,IF(AND(Mitarbeiter!$F$42&lt;&gt;"",AU$5&gt;Mitarbeiter!$F$42),0,IF(Planung!AU44="",$C44,IF(ISNUMBER(Planung!AU44),Planung!AU44,IF(UPPER(Planung!AU44)="H",$C44/2,0)))))))</f>
        <v>0</v>
      </c>
      <c r="AV44" s="27">
        <f>IF($A44="",0,IF(Mitarbeiter!$G$42=FALSE,0,IF(AND(Mitarbeiter!$E$42&lt;&gt;"",AV$5+6&lt;Mitarbeiter!$E$42),0,IF(AND(Mitarbeiter!$F$42&lt;&gt;"",AV$5&gt;Mitarbeiter!$F$42),0,IF(Planung!AV44="",$C44,IF(ISNUMBER(Planung!AV44),Planung!AV44,IF(UPPER(Planung!AV44)="H",$C44/2,0)))))))</f>
        <v>0</v>
      </c>
      <c r="AW44" s="27">
        <f>IF($A44="",0,IF(Mitarbeiter!$G$42=FALSE,0,IF(AND(Mitarbeiter!$E$42&lt;&gt;"",AW$5+6&lt;Mitarbeiter!$E$42),0,IF(AND(Mitarbeiter!$F$42&lt;&gt;"",AW$5&gt;Mitarbeiter!$F$42),0,IF(Planung!AW44="",$C44,IF(ISNUMBER(Planung!AW44),Planung!AW44,IF(UPPER(Planung!AW44)="H",$C44/2,0)))))))</f>
        <v>0</v>
      </c>
      <c r="AX44" s="27">
        <f>IF($A44="",0,IF(Mitarbeiter!$G$42=FALSE,0,IF(AND(Mitarbeiter!$E$42&lt;&gt;"",AX$5+6&lt;Mitarbeiter!$E$42),0,IF(AND(Mitarbeiter!$F$42&lt;&gt;"",AX$5&gt;Mitarbeiter!$F$42),0,IF(Planung!AX44="",$C44,IF(ISNUMBER(Planung!AX44),Planung!AX44,IF(UPPER(Planung!AX44)="H",$C44/2,0)))))))</f>
        <v>0</v>
      </c>
      <c r="AY44" s="27">
        <f>IF($A44="",0,IF(Mitarbeiter!$G$42=FALSE,0,IF(AND(Mitarbeiter!$E$42&lt;&gt;"",AY$5+6&lt;Mitarbeiter!$E$42),0,IF(AND(Mitarbeiter!$F$42&lt;&gt;"",AY$5&gt;Mitarbeiter!$F$42),0,IF(Planung!AY44="",$C44,IF(ISNUMBER(Planung!AY44),Planung!AY44,IF(UPPER(Planung!AY44)="H",$C44/2,0)))))))</f>
        <v>0</v>
      </c>
      <c r="AZ44" s="27">
        <f>IF($A44="",0,IF(Mitarbeiter!$G$42=FALSE,0,IF(AND(Mitarbeiter!$E$42&lt;&gt;"",AZ$5+6&lt;Mitarbeiter!$E$42),0,IF(AND(Mitarbeiter!$F$42&lt;&gt;"",AZ$5&gt;Mitarbeiter!$F$42),0,IF(Planung!AZ44="",$C44,IF(ISNUMBER(Planung!AZ44),Planung!AZ44,IF(UPPER(Planung!AZ44)="H",$C44/2,0)))))))</f>
        <v>0</v>
      </c>
      <c r="BA44" s="27">
        <f>IF($A44="",0,IF(Mitarbeiter!$G$42=FALSE,0,IF(AND(Mitarbeiter!$E$42&lt;&gt;"",BA$5+6&lt;Mitarbeiter!$E$42),0,IF(AND(Mitarbeiter!$F$42&lt;&gt;"",BA$5&gt;Mitarbeiter!$F$42),0,IF(Planung!BA44="",$C44,IF(ISNUMBER(Planung!BA44),Planung!BA44,IF(UPPER(Planung!BA44)="H",$C44/2,0)))))))</f>
        <v>0</v>
      </c>
      <c r="BB44" s="27">
        <f>IF($A44="",0,IF(Mitarbeiter!$G$42=FALSE,0,IF(AND(Mitarbeiter!$E$42&lt;&gt;"",BB$5+6&lt;Mitarbeiter!$E$42),0,IF(AND(Mitarbeiter!$F$42&lt;&gt;"",BB$5&gt;Mitarbeiter!$F$42),0,IF(Planung!BB44="",$C44,IF(ISNUMBER(Planung!BB44),Planung!BB44,IF(UPPER(Planung!BB44)="H",$C44/2,0)))))))</f>
        <v>0</v>
      </c>
      <c r="BC44" s="27">
        <f>IF($A44="",0,IF(Mitarbeiter!$G$42=FALSE,0,IF(AND(Mitarbeiter!$E$42&lt;&gt;"",BC$5+6&lt;Mitarbeiter!$E$42),0,IF(AND(Mitarbeiter!$F$42&lt;&gt;"",BC$5&gt;Mitarbeiter!$F$42),0,IF(Planung!BC44="",$C44,IF(ISNUMBER(Planung!BC44),Planung!BC44,IF(UPPER(Planung!BC44)="H",$C44/2,0)))))))</f>
        <v>0</v>
      </c>
      <c r="BD44" s="27">
        <f>IF($A44="",0,IF(Mitarbeiter!$G$42=FALSE,0,IF(AND(Mitarbeiter!$E$42&lt;&gt;"",BD$5+6&lt;Mitarbeiter!$E$42),0,IF(AND(Mitarbeiter!$F$42&lt;&gt;"",BD$5&gt;Mitarbeiter!$F$42),0,IF(Planung!BD44="",$C44,IF(ISNUMBER(Planung!BD44),Planung!BD44,IF(UPPER(Planung!BD44)="H",$C44/2,0)))))))</f>
        <v>0</v>
      </c>
      <c r="BE44" s="27">
        <f>IF($A44="",0,IF(Mitarbeiter!$G$42=FALSE,0,IF(AND(Mitarbeiter!$E$42&lt;&gt;"",BE$5+6&lt;Mitarbeiter!$E$42),0,IF(AND(Mitarbeiter!$F$42&lt;&gt;"",BE$5&gt;Mitarbeiter!$F$42),0,IF(Planung!BE44="",$C44,IF(ISNUMBER(Planung!BE44),Planung!BE44,IF(UPPER(Planung!BE44)="H",$C44/2,0)))))))</f>
        <v>0</v>
      </c>
      <c r="BF44" s="27">
        <f>IF($A44="",0,IF(Mitarbeiter!$G$42=FALSE,0,IF(AND(Mitarbeiter!$E$42&lt;&gt;"",BF$5+6&lt;Mitarbeiter!$E$42),0,IF(AND(Mitarbeiter!$F$42&lt;&gt;"",BF$5&gt;Mitarbeiter!$F$42),0,IF(Planung!BF44="",$C44,IF(ISNUMBER(Planung!BF44),Planung!BF44,IF(UPPER(Planung!BF44)="H",$C44/2,0)))))))</f>
        <v>0</v>
      </c>
      <c r="BG44" s="27">
        <f>IF($A44="",0,IF(Mitarbeiter!$G$42=FALSE,0,IF(AND(Mitarbeiter!$E$42&lt;&gt;"",BG$5+6&lt;Mitarbeiter!$E$42),0,IF(AND(Mitarbeiter!$F$42&lt;&gt;"",BG$5&gt;Mitarbeiter!$F$42),0,IF(Planung!BG44="",$C44,IF(ISNUMBER(Planung!BG44),Planung!BG44,IF(UPPER(Planung!BG44)="H",$C44/2,0)))))))</f>
        <v>0</v>
      </c>
      <c r="BH44" s="27">
        <f>IF($A44="",0,IF(Mitarbeiter!$G$42=FALSE,0,IF(AND(Mitarbeiter!$E$42&lt;&gt;"",BH$5+6&lt;Mitarbeiter!$E$42),0,IF(AND(Mitarbeiter!$F$42&lt;&gt;"",BH$5&gt;Mitarbeiter!$F$42),0,IF(Planung!BH44="",$C44,IF(ISNUMBER(Planung!BH44),Planung!BH44,IF(UPPER(Planung!BH44)="H",$C44/2,0)))))))</f>
        <v>0</v>
      </c>
      <c r="BI44" s="27">
        <f>IF($A44="",0,IF(Mitarbeiter!$G$42=FALSE,0,IF(AND(Mitarbeiter!$E$42&lt;&gt;"",BI$5+6&lt;Mitarbeiter!$E$42),0,IF(AND(Mitarbeiter!$F$42&lt;&gt;"",BI$5&gt;Mitarbeiter!$F$42),0,IF(Planung!BI44="",$C44,IF(ISNUMBER(Planung!BI44),Planung!BI44,IF(UPPER(Planung!BI44)="H",$C44/2,0)))))))</f>
        <v>0</v>
      </c>
      <c r="BJ44" s="27">
        <f>IF($A44="",0,IF(Mitarbeiter!$G$42=FALSE,0,IF(AND(Mitarbeiter!$E$42&lt;&gt;"",BJ$5+6&lt;Mitarbeiter!$E$42),0,IF(AND(Mitarbeiter!$F$42&lt;&gt;"",BJ$5&gt;Mitarbeiter!$F$42),0,IF(Planung!BJ44="",$C44,IF(ISNUMBER(Planung!BJ44),Planung!BJ44,IF(UPPER(Planung!BJ44)="H",$C44/2,0)))))))</f>
        <v>0</v>
      </c>
      <c r="BK44" s="27">
        <f>IF($A44="",0,IF(Mitarbeiter!$G$42=FALSE,0,IF(AND(Mitarbeiter!$E$42&lt;&gt;"",BK$5+6&lt;Mitarbeiter!$E$42),0,IF(AND(Mitarbeiter!$F$42&lt;&gt;"",BK$5&gt;Mitarbeiter!$F$42),0,IF(Planung!BK44="",$C44,IF(ISNUMBER(Planung!BK44),Planung!BK44,IF(UPPER(Planung!BK44)="H",$C44/2,0)))))))</f>
        <v>0</v>
      </c>
      <c r="BL44" s="27">
        <f>IF($A44="",0,IF(Mitarbeiter!$G$42=FALSE,0,IF(AND(Mitarbeiter!$E$42&lt;&gt;"",BL$5+6&lt;Mitarbeiter!$E$42),0,IF(AND(Mitarbeiter!$F$42&lt;&gt;"",BL$5&gt;Mitarbeiter!$F$42),0,IF(Planung!BL44="",$C44,IF(ISNUMBER(Planung!BL44),Planung!BL44,IF(UPPER(Planung!BL44)="H",$C44/2,0)))))))</f>
        <v>0</v>
      </c>
      <c r="BM44" s="27">
        <f>IF($A44="",0,IF(Mitarbeiter!$G$42=FALSE,0,IF(AND(Mitarbeiter!$E$42&lt;&gt;"",BM$5+6&lt;Mitarbeiter!$E$42),0,IF(AND(Mitarbeiter!$F$42&lt;&gt;"",BM$5&gt;Mitarbeiter!$F$42),0,IF(Planung!BM44="",$C44,IF(ISNUMBER(Planung!BM44),Planung!BM44,IF(UPPER(Planung!BM44)="H",$C44/2,0)))))))</f>
        <v>0</v>
      </c>
      <c r="BN44" s="27">
        <f>IF($A44="",0,IF(Mitarbeiter!$G$42=FALSE,0,IF(AND(Mitarbeiter!$E$42&lt;&gt;"",BN$5+6&lt;Mitarbeiter!$E$42),0,IF(AND(Mitarbeiter!$F$42&lt;&gt;"",BN$5&gt;Mitarbeiter!$F$42),0,IF(Planung!BN44="",$C44,IF(ISNUMBER(Planung!BN44),Planung!BN44,IF(UPPER(Planung!BN44)="H",$C44/2,0)))))))</f>
        <v>0</v>
      </c>
      <c r="BO44" s="27">
        <f>IF($A44="",0,IF(Mitarbeiter!$G$42=FALSE,0,IF(AND(Mitarbeiter!$E$42&lt;&gt;"",BO$5+6&lt;Mitarbeiter!$E$42),0,IF(AND(Mitarbeiter!$F$42&lt;&gt;"",BO$5&gt;Mitarbeiter!$F$42),0,IF(Planung!BO44="",$C44,IF(ISNUMBER(Planung!BO44),Planung!BO44,IF(UPPER(Planung!BO44)="H",$C44/2,0)))))))</f>
        <v>0</v>
      </c>
      <c r="BP44" s="27">
        <f>IF($A44="",0,IF(Mitarbeiter!$G$42=FALSE,0,IF(AND(Mitarbeiter!$E$42&lt;&gt;"",BP$5+6&lt;Mitarbeiter!$E$42),0,IF(AND(Mitarbeiter!$F$42&lt;&gt;"",BP$5&gt;Mitarbeiter!$F$42),0,IF(Planung!BP44="",$C44,IF(ISNUMBER(Planung!BP44),Planung!BP44,IF(UPPER(Planung!BP44)="H",$C44/2,0)))))))</f>
        <v>0</v>
      </c>
      <c r="BQ44" s="27">
        <f>IF($A44="",0,IF(Mitarbeiter!$G$42=FALSE,0,IF(AND(Mitarbeiter!$E$42&lt;&gt;"",BQ$5+6&lt;Mitarbeiter!$E$42),0,IF(AND(Mitarbeiter!$F$42&lt;&gt;"",BQ$5&gt;Mitarbeiter!$F$42),0,IF(Planung!BQ44="",$C44,IF(ISNUMBER(Planung!BQ44),Planung!BQ44,IF(UPPER(Planung!BQ44)="H",$C44/2,0)))))))</f>
        <v>0</v>
      </c>
      <c r="BR44" s="27">
        <f>IF($A44="",0,IF(Mitarbeiter!$G$42=FALSE,0,IF(AND(Mitarbeiter!$E$42&lt;&gt;"",BR$5+6&lt;Mitarbeiter!$E$42),0,IF(AND(Mitarbeiter!$F$42&lt;&gt;"",BR$5&gt;Mitarbeiter!$F$42),0,IF(Planung!BR44="",$C44,IF(ISNUMBER(Planung!BR44),Planung!BR44,IF(UPPER(Planung!BR44)="H",$C44/2,0)))))))</f>
        <v>0</v>
      </c>
      <c r="BS44" s="27">
        <f>IF($A44="",0,IF(Mitarbeiter!$G$42=FALSE,0,IF(AND(Mitarbeiter!$E$42&lt;&gt;"",BS$5+6&lt;Mitarbeiter!$E$42),0,IF(AND(Mitarbeiter!$F$42&lt;&gt;"",BS$5&gt;Mitarbeiter!$F$42),0,IF(Planung!BS44="",$C44,IF(ISNUMBER(Planung!BS44),Planung!BS44,IF(UPPER(Planung!BS44)="H",$C44/2,0)))))))</f>
        <v>0</v>
      </c>
      <c r="BT44" s="27">
        <f>IF($A44="",0,IF(Mitarbeiter!$G$42=FALSE,0,IF(AND(Mitarbeiter!$E$42&lt;&gt;"",BT$5+6&lt;Mitarbeiter!$E$42),0,IF(AND(Mitarbeiter!$F$42&lt;&gt;"",BT$5&gt;Mitarbeiter!$F$42),0,IF(Planung!BT44="",$C44,IF(ISNUMBER(Planung!BT44),Planung!BT44,IF(UPPER(Planung!BT44)="H",$C44/2,0)))))))</f>
        <v>0</v>
      </c>
      <c r="BU44" s="27">
        <f>IF($A44="",0,IF(Mitarbeiter!$G$42=FALSE,0,IF(AND(Mitarbeiter!$E$42&lt;&gt;"",BU$5+6&lt;Mitarbeiter!$E$42),0,IF(AND(Mitarbeiter!$F$42&lt;&gt;"",BU$5&gt;Mitarbeiter!$F$42),0,IF(Planung!BU44="",$C44,IF(ISNUMBER(Planung!BU44),Planung!BU44,IF(UPPER(Planung!BU44)="H",$C44/2,0)))))))</f>
        <v>0</v>
      </c>
      <c r="BV44" s="27">
        <f>IF($A44="",0,IF(Mitarbeiter!$G$42=FALSE,0,IF(AND(Mitarbeiter!$E$42&lt;&gt;"",BV$5+6&lt;Mitarbeiter!$E$42),0,IF(AND(Mitarbeiter!$F$42&lt;&gt;"",BV$5&gt;Mitarbeiter!$F$42),0,IF(Planung!BV44="",$C44,IF(ISNUMBER(Planung!BV44),Planung!BV44,IF(UPPER(Planung!BV44)="H",$C44/2,0)))))))</f>
        <v>0</v>
      </c>
      <c r="BW44" s="27">
        <f>IF($A44="",0,IF(Mitarbeiter!$G$42=FALSE,0,IF(AND(Mitarbeiter!$E$42&lt;&gt;"",BW$5+6&lt;Mitarbeiter!$E$42),0,IF(AND(Mitarbeiter!$F$42&lt;&gt;"",BW$5&gt;Mitarbeiter!$F$42),0,IF(Planung!BW44="",$C44,IF(ISNUMBER(Planung!BW44),Planung!BW44,IF(UPPER(Planung!BW44)="H",$C44/2,0)))))))</f>
        <v>0</v>
      </c>
      <c r="BX44" s="27">
        <f>IF($A44="",0,IF(Mitarbeiter!$G$42=FALSE,0,IF(AND(Mitarbeiter!$E$42&lt;&gt;"",BX$5+6&lt;Mitarbeiter!$E$42),0,IF(AND(Mitarbeiter!$F$42&lt;&gt;"",BX$5&gt;Mitarbeiter!$F$42),0,IF(Planung!BX44="",$C44,IF(ISNUMBER(Planung!BX44),Planung!BX44,IF(UPPER(Planung!BX44)="H",$C44/2,0)))))))</f>
        <v>0</v>
      </c>
      <c r="BY44" s="27">
        <f>IF($A44="",0,IF(Mitarbeiter!$G$42=FALSE,0,IF(AND(Mitarbeiter!$E$42&lt;&gt;"",BY$5+6&lt;Mitarbeiter!$E$42),0,IF(AND(Mitarbeiter!$F$42&lt;&gt;"",BY$5&gt;Mitarbeiter!$F$42),0,IF(Planung!BY44="",$C44,IF(ISNUMBER(Planung!BY44),Planung!BY44,IF(UPPER(Planung!BY44)="H",$C44/2,0)))))))</f>
        <v>0</v>
      </c>
      <c r="BZ44" s="27">
        <f>IF($A44="",0,IF(Mitarbeiter!$G$42=FALSE,0,IF(AND(Mitarbeiter!$E$42&lt;&gt;"",BZ$5+6&lt;Mitarbeiter!$E$42),0,IF(AND(Mitarbeiter!$F$42&lt;&gt;"",BZ$5&gt;Mitarbeiter!$F$42),0,IF(Planung!BZ44="",$C44,IF(ISNUMBER(Planung!BZ44),Planung!BZ44,IF(UPPER(Planung!BZ44)="H",$C44/2,0)))))))</f>
        <v>0</v>
      </c>
      <c r="CA44" s="27">
        <f>IF($A44="",0,IF(Mitarbeiter!$G$42=FALSE,0,IF(AND(Mitarbeiter!$E$42&lt;&gt;"",CA$5+6&lt;Mitarbeiter!$E$42),0,IF(AND(Mitarbeiter!$F$42&lt;&gt;"",CA$5&gt;Mitarbeiter!$F$42),0,IF(Planung!CA44="",$C44,IF(ISNUMBER(Planung!CA44),Planung!CA44,IF(UPPER(Planung!CA44)="H",$C44/2,0)))))))</f>
        <v>0</v>
      </c>
      <c r="CB44" s="27">
        <f>IF($A44="",0,IF(Mitarbeiter!$G$42=FALSE,0,IF(AND(Mitarbeiter!$E$42&lt;&gt;"",CB$5+6&lt;Mitarbeiter!$E$42),0,IF(AND(Mitarbeiter!$F$42&lt;&gt;"",CB$5&gt;Mitarbeiter!$F$42),0,IF(Planung!CB44="",$C44,IF(ISNUMBER(Planung!CB44),Planung!CB44,IF(UPPER(Planung!CB44)="H",$C44/2,0)))))))</f>
        <v>0</v>
      </c>
      <c r="CC44" s="27">
        <f>IF($A44="",0,IF(Mitarbeiter!$G$42=FALSE,0,IF(AND(Mitarbeiter!$E$42&lt;&gt;"",CC$5+6&lt;Mitarbeiter!$E$42),0,IF(AND(Mitarbeiter!$F$42&lt;&gt;"",CC$5&gt;Mitarbeiter!$F$42),0,IF(Planung!CC44="",$C44,IF(ISNUMBER(Planung!CC44),Planung!CC44,IF(UPPER(Planung!CC44)="H",$C44/2,0)))))))</f>
        <v>0</v>
      </c>
      <c r="CD44" s="27">
        <f>IF($A44="",0,IF(Mitarbeiter!$G$42=FALSE,0,IF(AND(Mitarbeiter!$E$42&lt;&gt;"",CD$5+6&lt;Mitarbeiter!$E$42),0,IF(AND(Mitarbeiter!$F$42&lt;&gt;"",CD$5&gt;Mitarbeiter!$F$42),0,IF(Planung!CD44="",$C44,IF(ISNUMBER(Planung!CD44),Planung!CD44,IF(UPPER(Planung!CD44)="H",$C44/2,0)))))))</f>
        <v>0</v>
      </c>
      <c r="CE44" s="27">
        <f>IF($A44="",0,IF(Mitarbeiter!$G$42=FALSE,0,IF(AND(Mitarbeiter!$E$42&lt;&gt;"",CE$5+6&lt;Mitarbeiter!$E$42),0,IF(AND(Mitarbeiter!$F$42&lt;&gt;"",CE$5&gt;Mitarbeiter!$F$42),0,IF(Planung!CE44="",$C44,IF(ISNUMBER(Planung!CE44),Planung!CE44,IF(UPPER(Planung!CE44)="H",$C44/2,0)))))))</f>
        <v>0</v>
      </c>
      <c r="CF44" s="27">
        <f>IF($A44="",0,IF(Mitarbeiter!$G$42=FALSE,0,IF(AND(Mitarbeiter!$E$42&lt;&gt;"",CF$5+6&lt;Mitarbeiter!$E$42),0,IF(AND(Mitarbeiter!$F$42&lt;&gt;"",CF$5&gt;Mitarbeiter!$F$42),0,IF(Planung!CF44="",$C44,IF(ISNUMBER(Planung!CF44),Planung!CF44,IF(UPPER(Planung!CF44)="H",$C44/2,0)))))))</f>
        <v>0</v>
      </c>
      <c r="CG44" s="27">
        <f>IF($A44="",0,IF(Mitarbeiter!$G$42=FALSE,0,IF(AND(Mitarbeiter!$E$42&lt;&gt;"",CG$5+6&lt;Mitarbeiter!$E$42),0,IF(AND(Mitarbeiter!$F$42&lt;&gt;"",CG$5&gt;Mitarbeiter!$F$42),0,IF(Planung!CG44="",$C44,IF(ISNUMBER(Planung!CG44),Planung!CG44,IF(UPPER(Planung!CG44)="H",$C44/2,0)))))))</f>
        <v>0</v>
      </c>
      <c r="CH44" s="27">
        <f>IF($A44="",0,IF(Mitarbeiter!$G$42=FALSE,0,IF(AND(Mitarbeiter!$E$42&lt;&gt;"",CH$5+6&lt;Mitarbeiter!$E$42),0,IF(AND(Mitarbeiter!$F$42&lt;&gt;"",CH$5&gt;Mitarbeiter!$F$42),0,IF(Planung!CH44="",$C44,IF(ISNUMBER(Planung!CH44),Planung!CH44,IF(UPPER(Planung!CH44)="H",$C44/2,0)))))))</f>
        <v>0</v>
      </c>
      <c r="CI44" s="27">
        <f>IF($A44="",0,IF(Mitarbeiter!$G$42=FALSE,0,IF(AND(Mitarbeiter!$E$42&lt;&gt;"",CI$5+6&lt;Mitarbeiter!$E$42),0,IF(AND(Mitarbeiter!$F$42&lt;&gt;"",CI$5&gt;Mitarbeiter!$F$42),0,IF(Planung!CI44="",$C44,IF(ISNUMBER(Planung!CI44),Planung!CI44,IF(UPPER(Planung!CI44)="H",$C44/2,0)))))))</f>
        <v>0</v>
      </c>
      <c r="CJ44" s="27">
        <f>IF($A44="",0,IF(Mitarbeiter!$G$42=FALSE,0,IF(AND(Mitarbeiter!$E$42&lt;&gt;"",CJ$5+6&lt;Mitarbeiter!$E$42),0,IF(AND(Mitarbeiter!$F$42&lt;&gt;"",CJ$5&gt;Mitarbeiter!$F$42),0,IF(Planung!CJ44="",$C44,IF(ISNUMBER(Planung!CJ44),Planung!CJ44,IF(UPPER(Planung!CJ44)="H",$C44/2,0)))))))</f>
        <v>0</v>
      </c>
      <c r="CK44" s="27">
        <f>IF($A44="",0,IF(Mitarbeiter!$G$42=FALSE,0,IF(AND(Mitarbeiter!$E$42&lt;&gt;"",CK$5+6&lt;Mitarbeiter!$E$42),0,IF(AND(Mitarbeiter!$F$42&lt;&gt;"",CK$5&gt;Mitarbeiter!$F$42),0,IF(Planung!CK44="",$C44,IF(ISNUMBER(Planung!CK44),Planung!CK44,IF(UPPER(Planung!CK44)="H",$C44/2,0)))))))</f>
        <v>0</v>
      </c>
      <c r="CL44" s="27">
        <f>IF($A44="",0,IF(Mitarbeiter!$G$42=FALSE,0,IF(AND(Mitarbeiter!$E$42&lt;&gt;"",CL$5+6&lt;Mitarbeiter!$E$42),0,IF(AND(Mitarbeiter!$F$42&lt;&gt;"",CL$5&gt;Mitarbeiter!$F$42),0,IF(Planung!CL44="",$C44,IF(ISNUMBER(Planung!CL44),Planung!CL44,IF(UPPER(Planung!CL44)="H",$C44/2,0)))))))</f>
        <v>0</v>
      </c>
      <c r="CM44" s="27">
        <f>IF($A44="",0,IF(Mitarbeiter!$G$42=FALSE,0,IF(AND(Mitarbeiter!$E$42&lt;&gt;"",CM$5+6&lt;Mitarbeiter!$E$42),0,IF(AND(Mitarbeiter!$F$42&lt;&gt;"",CM$5&gt;Mitarbeiter!$F$42),0,IF(Planung!CM44="",$C44,IF(ISNUMBER(Planung!CM44),Planung!CM44,IF(UPPER(Planung!CM44)="H",$C44/2,0)))))))</f>
        <v>0</v>
      </c>
      <c r="CN44" s="27">
        <f>IF($A44="",0,IF(Mitarbeiter!$G$42=FALSE,0,IF(AND(Mitarbeiter!$E$42&lt;&gt;"",CN$5+6&lt;Mitarbeiter!$E$42),0,IF(AND(Mitarbeiter!$F$42&lt;&gt;"",CN$5&gt;Mitarbeiter!$F$42),0,IF(Planung!CN44="",$C44,IF(ISNUMBER(Planung!CN44),Planung!CN44,IF(UPPER(Planung!CN44)="H",$C44/2,0)))))))</f>
        <v>0</v>
      </c>
      <c r="CO44" s="27">
        <f>IF($A44="",0,IF(Mitarbeiter!$G$42=FALSE,0,IF(AND(Mitarbeiter!$E$42&lt;&gt;"",CO$5+6&lt;Mitarbeiter!$E$42),0,IF(AND(Mitarbeiter!$F$42&lt;&gt;"",CO$5&gt;Mitarbeiter!$F$42),0,IF(Planung!CO44="",$C44,IF(ISNUMBER(Planung!CO44),Planung!CO44,IF(UPPER(Planung!CO44)="H",$C44/2,0)))))))</f>
        <v>0</v>
      </c>
      <c r="CP44" s="27">
        <f>IF($A44="",0,IF(Mitarbeiter!$G$42=FALSE,0,IF(AND(Mitarbeiter!$E$42&lt;&gt;"",CP$5+6&lt;Mitarbeiter!$E$42),0,IF(AND(Mitarbeiter!$F$42&lt;&gt;"",CP$5&gt;Mitarbeiter!$F$42),0,IF(Planung!CP44="",$C44,IF(ISNUMBER(Planung!CP44),Planung!CP44,IF(UPPER(Planung!CP44)="H",$C44/2,0)))))))</f>
        <v>0</v>
      </c>
      <c r="CQ44" s="27">
        <f>IF($A44="",0,IF(Mitarbeiter!$G$42=FALSE,0,IF(AND(Mitarbeiter!$E$42&lt;&gt;"",CQ$5+6&lt;Mitarbeiter!$E$42),0,IF(AND(Mitarbeiter!$F$42&lt;&gt;"",CQ$5&gt;Mitarbeiter!$F$42),0,IF(Planung!CQ44="",$C44,IF(ISNUMBER(Planung!CQ44),Planung!CQ44,IF(UPPER(Planung!CQ44)="H",$C44/2,0)))))))</f>
        <v>0</v>
      </c>
      <c r="CR44" s="27">
        <f>IF($A44="",0,IF(Mitarbeiter!$G$42=FALSE,0,IF(AND(Mitarbeiter!$E$42&lt;&gt;"",CR$5+6&lt;Mitarbeiter!$E$42),0,IF(AND(Mitarbeiter!$F$42&lt;&gt;"",CR$5&gt;Mitarbeiter!$F$42),0,IF(Planung!CR44="",$C44,IF(ISNUMBER(Planung!CR44),Planung!CR44,IF(UPPER(Planung!CR44)="H",$C44/2,0)))))))</f>
        <v>0</v>
      </c>
      <c r="CS44" s="27">
        <f>IF($A44="",0,IF(Mitarbeiter!$G$42=FALSE,0,IF(AND(Mitarbeiter!$E$42&lt;&gt;"",CS$5+6&lt;Mitarbeiter!$E$42),0,IF(AND(Mitarbeiter!$F$42&lt;&gt;"",CS$5&gt;Mitarbeiter!$F$42),0,IF(Planung!CS44="",$C44,IF(ISNUMBER(Planung!CS44),Planung!CS44,IF(UPPER(Planung!CS44)="H",$C44/2,0)))))))</f>
        <v>0</v>
      </c>
      <c r="CT44" s="27">
        <f>IF($A44="",0,IF(Mitarbeiter!$G$42=FALSE,0,IF(AND(Mitarbeiter!$E$42&lt;&gt;"",CT$5+6&lt;Mitarbeiter!$E$42),0,IF(AND(Mitarbeiter!$F$42&lt;&gt;"",CT$5&gt;Mitarbeiter!$F$42),0,IF(Planung!CT44="",$C44,IF(ISNUMBER(Planung!CT44),Planung!CT44,IF(UPPER(Planung!CT44)="H",$C44/2,0)))))))</f>
        <v>0</v>
      </c>
      <c r="CU44" s="27">
        <f>IF($A44="",0,IF(Mitarbeiter!$G$42=FALSE,0,IF(AND(Mitarbeiter!$E$42&lt;&gt;"",CU$5+6&lt;Mitarbeiter!$E$42),0,IF(AND(Mitarbeiter!$F$42&lt;&gt;"",CU$5&gt;Mitarbeiter!$F$42),0,IF(Planung!CU44="",$C44,IF(ISNUMBER(Planung!CU44),Planung!CU44,IF(UPPER(Planung!CU44)="H",$C44/2,0)))))))</f>
        <v>0</v>
      </c>
      <c r="CV44" s="27">
        <f>IF($A44="",0,IF(Mitarbeiter!$G$42=FALSE,0,IF(AND(Mitarbeiter!$E$42&lt;&gt;"",CV$5+6&lt;Mitarbeiter!$E$42),0,IF(AND(Mitarbeiter!$F$42&lt;&gt;"",CV$5&gt;Mitarbeiter!$F$42),0,IF(Planung!CV44="",$C44,IF(ISNUMBER(Planung!CV44),Planung!CV44,IF(UPPER(Planung!CV44)="H",$C44/2,0)))))))</f>
        <v>0</v>
      </c>
      <c r="CW44" s="27">
        <f>IF($A44="",0,IF(Mitarbeiter!$G$42=FALSE,0,IF(AND(Mitarbeiter!$E$42&lt;&gt;"",CW$5+6&lt;Mitarbeiter!$E$42),0,IF(AND(Mitarbeiter!$F$42&lt;&gt;"",CW$5&gt;Mitarbeiter!$F$42),0,IF(Planung!CW44="",$C44,IF(ISNUMBER(Planung!CW44),Planung!CW44,IF(UPPER(Planung!CW44)="H",$C44/2,0)))))))</f>
        <v>0</v>
      </c>
      <c r="CX44" s="27">
        <f>IF($A44="",0,IF(Mitarbeiter!$G$42=FALSE,0,IF(AND(Mitarbeiter!$E$42&lt;&gt;"",CX$5+6&lt;Mitarbeiter!$E$42),0,IF(AND(Mitarbeiter!$F$42&lt;&gt;"",CX$5&gt;Mitarbeiter!$F$42),0,IF(Planung!CX44="",$C44,IF(ISNUMBER(Planung!CX44),Planung!CX44,IF(UPPER(Planung!CX44)="H",$C44/2,0)))))))</f>
        <v>0</v>
      </c>
      <c r="CY44" s="27">
        <f>IF($A44="",0,IF(Mitarbeiter!$G$42=FALSE,0,IF(AND(Mitarbeiter!$E$42&lt;&gt;"",CY$5+6&lt;Mitarbeiter!$E$42),0,IF(AND(Mitarbeiter!$F$42&lt;&gt;"",CY$5&gt;Mitarbeiter!$F$42),0,IF(Planung!CY44="",$C44,IF(ISNUMBER(Planung!CY44),Planung!CY44,IF(UPPER(Planung!CY44)="H",$C44/2,0)))))))</f>
        <v>0</v>
      </c>
      <c r="CZ44" s="27">
        <f>IF($A44="",0,IF(Mitarbeiter!$G$42=FALSE,0,IF(AND(Mitarbeiter!$E$42&lt;&gt;"",CZ$5+6&lt;Mitarbeiter!$E$42),0,IF(AND(Mitarbeiter!$F$42&lt;&gt;"",CZ$5&gt;Mitarbeiter!$F$42),0,IF(Planung!CZ44="",$C44,IF(ISNUMBER(Planung!CZ44),Planung!CZ44,IF(UPPER(Planung!CZ44)="H",$C44/2,0)))))))</f>
        <v>0</v>
      </c>
      <c r="DA44" s="27">
        <f>IF($A44="",0,IF(Mitarbeiter!$G$42=FALSE,0,IF(AND(Mitarbeiter!$E$42&lt;&gt;"",DA$5+6&lt;Mitarbeiter!$E$42),0,IF(AND(Mitarbeiter!$F$42&lt;&gt;"",DA$5&gt;Mitarbeiter!$F$42),0,IF(Planung!DA44="",$C44,IF(ISNUMBER(Planung!DA44),Planung!DA44,IF(UPPER(Planung!DA44)="H",$C44/2,0)))))))</f>
        <v>0</v>
      </c>
      <c r="DB44" s="27">
        <f>IF($A44="",0,IF(Mitarbeiter!$G$42=FALSE,0,IF(AND(Mitarbeiter!$E$42&lt;&gt;"",DB$5+6&lt;Mitarbeiter!$E$42),0,IF(AND(Mitarbeiter!$F$42&lt;&gt;"",DB$5&gt;Mitarbeiter!$F$42),0,IF(Planung!DB44="",$C44,IF(ISNUMBER(Planung!DB44),Planung!DB44,IF(UPPER(Planung!DB44)="H",$C44/2,0)))))))</f>
        <v>0</v>
      </c>
      <c r="DC44" s="27">
        <f>IF($A44="",0,IF(Mitarbeiter!$G$42=FALSE,0,IF(AND(Mitarbeiter!$E$42&lt;&gt;"",DC$5+6&lt;Mitarbeiter!$E$42),0,IF(AND(Mitarbeiter!$F$42&lt;&gt;"",DC$5&gt;Mitarbeiter!$F$42),0,IF(Planung!DC44="",$C44,IF(ISNUMBER(Planung!DC44),Planung!DC44,IF(UPPER(Planung!DC44)="H",$C44/2,0)))))))</f>
        <v>0</v>
      </c>
      <c r="DD44" s="27">
        <f>IF($A44="",0,IF(Mitarbeiter!$G$42=FALSE,0,IF(AND(Mitarbeiter!$E$42&lt;&gt;"",DD$5+6&lt;Mitarbeiter!$E$42),0,IF(AND(Mitarbeiter!$F$42&lt;&gt;"",DD$5&gt;Mitarbeiter!$F$42),0,IF(Planung!DD44="",$C44,IF(ISNUMBER(Planung!DD44),Planung!DD44,IF(UPPER(Planung!DD44)="H",$C44/2,0)))))))</f>
        <v>0</v>
      </c>
      <c r="DE44" s="27">
        <f>IF($A44="",0,IF(Mitarbeiter!$G$42=FALSE,0,IF(AND(Mitarbeiter!$E$42&lt;&gt;"",DE$5+6&lt;Mitarbeiter!$E$42),0,IF(AND(Mitarbeiter!$F$42&lt;&gt;"",DE$5&gt;Mitarbeiter!$F$42),0,IF(Planung!DE44="",$C44,IF(ISNUMBER(Planung!DE44),Planung!DE44,IF(UPPER(Planung!DE44)="H",$C44/2,0)))))))</f>
        <v>0</v>
      </c>
      <c r="DF44" s="27">
        <f>IF($A44="",0,IF(Mitarbeiter!$G$42=FALSE,0,IF(AND(Mitarbeiter!$E$42&lt;&gt;"",DF$5+6&lt;Mitarbeiter!$E$42),0,IF(AND(Mitarbeiter!$F$42&lt;&gt;"",DF$5&gt;Mitarbeiter!$F$42),0,IF(Planung!DF44="",$C44,IF(ISNUMBER(Planung!DF44),Planung!DF44,IF(UPPER(Planung!DF44)="H",$C44/2,0)))))))</f>
        <v>0</v>
      </c>
      <c r="DG44" s="27">
        <f>IF($A44="",0,IF(Mitarbeiter!$G$42=FALSE,0,IF(AND(Mitarbeiter!$E$42&lt;&gt;"",DG$5+6&lt;Mitarbeiter!$E$42),0,IF(AND(Mitarbeiter!$F$42&lt;&gt;"",DG$5&gt;Mitarbeiter!$F$42),0,IF(Planung!DG44="",$C44,IF(ISNUMBER(Planung!DG44),Planung!DG44,IF(UPPER(Planung!DG44)="H",$C44/2,0)))))))</f>
        <v>0</v>
      </c>
      <c r="DH44" s="27">
        <f>IF($A44="",0,IF(Mitarbeiter!$G$42=FALSE,0,IF(AND(Mitarbeiter!$E$42&lt;&gt;"",DH$5+6&lt;Mitarbeiter!$E$42),0,IF(AND(Mitarbeiter!$F$42&lt;&gt;"",DH$5&gt;Mitarbeiter!$F$42),0,IF(Planung!DH44="",$C44,IF(ISNUMBER(Planung!DH44),Planung!DH44,IF(UPPER(Planung!DH44)="H",$C44/2,0)))))))</f>
        <v>0</v>
      </c>
      <c r="DI44" s="27">
        <f>IF($A44="",0,IF(Mitarbeiter!$G$42=FALSE,0,IF(AND(Mitarbeiter!$E$42&lt;&gt;"",DI$5+6&lt;Mitarbeiter!$E$42),0,IF(AND(Mitarbeiter!$F$42&lt;&gt;"",DI$5&gt;Mitarbeiter!$F$42),0,IF(Planung!DI44="",$C44,IF(ISNUMBER(Planung!DI44),Planung!DI44,IF(UPPER(Planung!DI44)="H",$C44/2,0)))))))</f>
        <v>0</v>
      </c>
      <c r="DJ44" s="27">
        <f>IF($A44="",0,IF(Mitarbeiter!$G$42=FALSE,0,IF(AND(Mitarbeiter!$E$42&lt;&gt;"",DJ$5+6&lt;Mitarbeiter!$E$42),0,IF(AND(Mitarbeiter!$F$42&lt;&gt;"",DJ$5&gt;Mitarbeiter!$F$42),0,IF(Planung!DJ44="",$C44,IF(ISNUMBER(Planung!DJ44),Planung!DJ44,IF(UPPER(Planung!DJ44)="H",$C44/2,0)))))))</f>
        <v>0</v>
      </c>
      <c r="DK44" s="27">
        <f>IF($A44="",0,IF(Mitarbeiter!$G$42=FALSE,0,IF(AND(Mitarbeiter!$E$42&lt;&gt;"",DK$5+6&lt;Mitarbeiter!$E$42),0,IF(AND(Mitarbeiter!$F$42&lt;&gt;"",DK$5&gt;Mitarbeiter!$F$42),0,IF(Planung!DK44="",$C44,IF(ISNUMBER(Planung!DK44),Planung!DK44,IF(UPPER(Planung!DK44)="H",$C44/2,0)))))))</f>
        <v>0</v>
      </c>
      <c r="DL44" s="27">
        <f>IF($A44="",0,IF(Mitarbeiter!$G$42=FALSE,0,IF(AND(Mitarbeiter!$E$42&lt;&gt;"",DL$5+6&lt;Mitarbeiter!$E$42),0,IF(AND(Mitarbeiter!$F$42&lt;&gt;"",DL$5&gt;Mitarbeiter!$F$42),0,IF(Planung!DL44="",$C44,IF(ISNUMBER(Planung!DL44),Planung!DL44,IF(UPPER(Planung!DL44)="H",$C44/2,0)))))))</f>
        <v>0</v>
      </c>
      <c r="DM44" s="27">
        <f>IF($A44="",0,IF(Mitarbeiter!$G$42=FALSE,0,IF(AND(Mitarbeiter!$E$42&lt;&gt;"",DM$5+6&lt;Mitarbeiter!$E$42),0,IF(AND(Mitarbeiter!$F$42&lt;&gt;"",DM$5&gt;Mitarbeiter!$F$42),0,IF(Planung!DM44="",$C44,IF(ISNUMBER(Planung!DM44),Planung!DM44,IF(UPPER(Planung!DM44)="H",$C44/2,0)))))))</f>
        <v>0</v>
      </c>
      <c r="DN44" s="27">
        <f>IF($A44="",0,IF(Mitarbeiter!$G$42=FALSE,0,IF(AND(Mitarbeiter!$E$42&lt;&gt;"",DN$5+6&lt;Mitarbeiter!$E$42),0,IF(AND(Mitarbeiter!$F$42&lt;&gt;"",DN$5&gt;Mitarbeiter!$F$42),0,IF(Planung!DN44="",$C44,IF(ISNUMBER(Planung!DN44),Planung!DN44,IF(UPPER(Planung!DN44)="H",$C44/2,0)))))))</f>
        <v>0</v>
      </c>
      <c r="DO44" s="27">
        <f>IF($A44="",0,IF(Mitarbeiter!$G$42=FALSE,0,IF(AND(Mitarbeiter!$E$42&lt;&gt;"",DO$5+6&lt;Mitarbeiter!$E$42),0,IF(AND(Mitarbeiter!$F$42&lt;&gt;"",DO$5&gt;Mitarbeiter!$F$42),0,IF(Planung!DO44="",$C44,IF(ISNUMBER(Planung!DO44),Planung!DO44,IF(UPPER(Planung!DO44)="H",$C44/2,0)))))))</f>
        <v>0</v>
      </c>
      <c r="DP44" s="27">
        <f>IF($A44="",0,IF(Mitarbeiter!$G$42=FALSE,0,IF(AND(Mitarbeiter!$E$42&lt;&gt;"",DP$5+6&lt;Mitarbeiter!$E$42),0,IF(AND(Mitarbeiter!$F$42&lt;&gt;"",DP$5&gt;Mitarbeiter!$F$42),0,IF(Planung!DP44="",$C44,IF(ISNUMBER(Planung!DP44),Planung!DP44,IF(UPPER(Planung!DP44)="H",$C44/2,0)))))))</f>
        <v>0</v>
      </c>
      <c r="DQ44" s="27">
        <f>IF($A44="",0,IF(Mitarbeiter!$G$42=FALSE,0,IF(AND(Mitarbeiter!$E$42&lt;&gt;"",DQ$5+6&lt;Mitarbeiter!$E$42),0,IF(AND(Mitarbeiter!$F$42&lt;&gt;"",DQ$5&gt;Mitarbeiter!$F$42),0,IF(Planung!DQ44="",$C44,IF(ISNUMBER(Planung!DQ44),Planung!DQ44,IF(UPPER(Planung!DQ44)="H",$C44/2,0)))))))</f>
        <v>0</v>
      </c>
      <c r="DR44" s="27">
        <f>IF($A44="",0,IF(Mitarbeiter!$G$42=FALSE,0,IF(AND(Mitarbeiter!$E$42&lt;&gt;"",DR$5+6&lt;Mitarbeiter!$E$42),0,IF(AND(Mitarbeiter!$F$42&lt;&gt;"",DR$5&gt;Mitarbeiter!$F$42),0,IF(Planung!DR44="",$C44,IF(ISNUMBER(Planung!DR44),Planung!DR44,IF(UPPER(Planung!DR44)="H",$C44/2,0)))))))</f>
        <v>0</v>
      </c>
      <c r="DS44" s="27">
        <f>IF($A44="",0,IF(Mitarbeiter!$G$42=FALSE,0,IF(AND(Mitarbeiter!$E$42&lt;&gt;"",DS$5+6&lt;Mitarbeiter!$E$42),0,IF(AND(Mitarbeiter!$F$42&lt;&gt;"",DS$5&gt;Mitarbeiter!$F$42),0,IF(Planung!DS44="",$C44,IF(ISNUMBER(Planung!DS44),Planung!DS44,IF(UPPER(Planung!DS44)="H",$C44/2,0)))))))</f>
        <v>0</v>
      </c>
      <c r="DT44" s="27">
        <f>IF($A44="",0,IF(Mitarbeiter!$G$42=FALSE,0,IF(AND(Mitarbeiter!$E$42&lt;&gt;"",DT$5+6&lt;Mitarbeiter!$E$42),0,IF(AND(Mitarbeiter!$F$42&lt;&gt;"",DT$5&gt;Mitarbeiter!$F$42),0,IF(Planung!DT44="",$C44,IF(ISNUMBER(Planung!DT44),Planung!DT44,IF(UPPER(Planung!DT44)="H",$C44/2,0)))))))</f>
        <v>0</v>
      </c>
      <c r="DU44" s="27">
        <f>IF($A44="",0,IF(Mitarbeiter!$G$42=FALSE,0,IF(AND(Mitarbeiter!$E$42&lt;&gt;"",DU$5+6&lt;Mitarbeiter!$E$42),0,IF(AND(Mitarbeiter!$F$42&lt;&gt;"",DU$5&gt;Mitarbeiter!$F$42),0,IF(Planung!DU44="",$C44,IF(ISNUMBER(Planung!DU44),Planung!DU44,IF(UPPER(Planung!DU44)="H",$C44/2,0)))))))</f>
        <v>0</v>
      </c>
      <c r="DV44" s="27">
        <f>IF($A44="",0,IF(Mitarbeiter!$G$42=FALSE,0,IF(AND(Mitarbeiter!$E$42&lt;&gt;"",DV$5+6&lt;Mitarbeiter!$E$42),0,IF(AND(Mitarbeiter!$F$42&lt;&gt;"",DV$5&gt;Mitarbeiter!$F$42),0,IF(Planung!DV44="",$C44,IF(ISNUMBER(Planung!DV44),Planung!DV44,IF(UPPER(Planung!DV44)="H",$C44/2,0)))))))</f>
        <v>0</v>
      </c>
      <c r="DW44" s="27">
        <f>IF($A44="",0,IF(Mitarbeiter!$G$42=FALSE,0,IF(AND(Mitarbeiter!$E$42&lt;&gt;"",DW$5+6&lt;Mitarbeiter!$E$42),0,IF(AND(Mitarbeiter!$F$42&lt;&gt;"",DW$5&gt;Mitarbeiter!$F$42),0,IF(Planung!DW44="",$C44,IF(ISNUMBER(Planung!DW44),Planung!DW44,IF(UPPER(Planung!DW44)="H",$C44/2,0)))))))</f>
        <v>0</v>
      </c>
      <c r="DX44" s="27">
        <f>IF($A44="",0,IF(Mitarbeiter!$G$42=FALSE,0,IF(AND(Mitarbeiter!$E$42&lt;&gt;"",DX$5+6&lt;Mitarbeiter!$E$42),0,IF(AND(Mitarbeiter!$F$42&lt;&gt;"",DX$5&gt;Mitarbeiter!$F$42),0,IF(Planung!DX44="",$C44,IF(ISNUMBER(Planung!DX44),Planung!DX44,IF(UPPER(Planung!DX44)="H",$C44/2,0)))))))</f>
        <v>0</v>
      </c>
      <c r="DY44" s="27">
        <f>IF($A44="",0,IF(Mitarbeiter!$G$42=FALSE,0,IF(AND(Mitarbeiter!$E$42&lt;&gt;"",DY$5+6&lt;Mitarbeiter!$E$42),0,IF(AND(Mitarbeiter!$F$42&lt;&gt;"",DY$5&gt;Mitarbeiter!$F$42),0,IF(Planung!DY44="",$C44,IF(ISNUMBER(Planung!DY44),Planung!DY44,IF(UPPER(Planung!DY44)="H",$C44/2,0)))))))</f>
        <v>0</v>
      </c>
      <c r="DZ44" s="27">
        <f>IF($A44="",0,IF(Mitarbeiter!$G$42=FALSE,0,IF(AND(Mitarbeiter!$E$42&lt;&gt;"",DZ$5+6&lt;Mitarbeiter!$E$42),0,IF(AND(Mitarbeiter!$F$42&lt;&gt;"",DZ$5&gt;Mitarbeiter!$F$42),0,IF(Planung!DZ44="",$C44,IF(ISNUMBER(Planung!DZ44),Planung!DZ44,IF(UPPER(Planung!DZ44)="H",$C44/2,0)))))))</f>
        <v>0</v>
      </c>
      <c r="EA44" s="27">
        <f>IF($A44="",0,IF(Mitarbeiter!$G$42=FALSE,0,IF(AND(Mitarbeiter!$E$42&lt;&gt;"",EA$5+6&lt;Mitarbeiter!$E$42),0,IF(AND(Mitarbeiter!$F$42&lt;&gt;"",EA$5&gt;Mitarbeiter!$F$42),0,IF(Planung!EA44="",$C44,IF(ISNUMBER(Planung!EA44),Planung!EA44,IF(UPPER(Planung!EA44)="H",$C44/2,0)))))))</f>
        <v>0</v>
      </c>
      <c r="EB44" s="27">
        <f>IF($A44="",0,IF(Mitarbeiter!$G$42=FALSE,0,IF(AND(Mitarbeiter!$E$42&lt;&gt;"",EB$5+6&lt;Mitarbeiter!$E$42),0,IF(AND(Mitarbeiter!$F$42&lt;&gt;"",EB$5&gt;Mitarbeiter!$F$42),0,IF(Planung!EB44="",$C44,IF(ISNUMBER(Planung!EB44),Planung!EB44,IF(UPPER(Planung!EB44)="H",$C44/2,0)))))))</f>
        <v>0</v>
      </c>
      <c r="EC44" s="27">
        <f>IF($A44="",0,IF(Mitarbeiter!$G$42=FALSE,0,IF(AND(Mitarbeiter!$E$42&lt;&gt;"",EC$5+6&lt;Mitarbeiter!$E$42),0,IF(AND(Mitarbeiter!$F$42&lt;&gt;"",EC$5&gt;Mitarbeiter!$F$42),0,IF(Planung!EC44="",$C44,IF(ISNUMBER(Planung!EC44),Planung!EC44,IF(UPPER(Planung!EC44)="H",$C44/2,0)))))))</f>
        <v>0</v>
      </c>
      <c r="ED44" s="27">
        <f>IF($A44="",0,IF(Mitarbeiter!$G$42=FALSE,0,IF(AND(Mitarbeiter!$E$42&lt;&gt;"",ED$5+6&lt;Mitarbeiter!$E$42),0,IF(AND(Mitarbeiter!$F$42&lt;&gt;"",ED$5&gt;Mitarbeiter!$F$42),0,IF(Planung!ED44="",$C44,IF(ISNUMBER(Planung!ED44),Planung!ED44,IF(UPPER(Planung!ED44)="H",$C44/2,0)))))))</f>
        <v>0</v>
      </c>
      <c r="EE44" s="27">
        <f>IF($A44="",0,IF(Mitarbeiter!$G$42=FALSE,0,IF(AND(Mitarbeiter!$E$42&lt;&gt;"",EE$5+6&lt;Mitarbeiter!$E$42),0,IF(AND(Mitarbeiter!$F$42&lt;&gt;"",EE$5&gt;Mitarbeiter!$F$42),0,IF(Planung!EE44="",$C44,IF(ISNUMBER(Planung!EE44),Planung!EE44,IF(UPPER(Planung!EE44)="H",$C44/2,0)))))))</f>
        <v>0</v>
      </c>
      <c r="EF44" s="27">
        <f>IF($A44="",0,IF(Mitarbeiter!$G$42=FALSE,0,IF(AND(Mitarbeiter!$E$42&lt;&gt;"",EF$5+6&lt;Mitarbeiter!$E$42),0,IF(AND(Mitarbeiter!$F$42&lt;&gt;"",EF$5&gt;Mitarbeiter!$F$42),0,IF(Planung!EF44="",$C44,IF(ISNUMBER(Planung!EF44),Planung!EF44,IF(UPPER(Planung!EF44)="H",$C44/2,0)))))))</f>
        <v>0</v>
      </c>
      <c r="EG44" s="27">
        <f>IF($A44="",0,IF(Mitarbeiter!$G$42=FALSE,0,IF(AND(Mitarbeiter!$E$42&lt;&gt;"",EG$5+6&lt;Mitarbeiter!$E$42),0,IF(AND(Mitarbeiter!$F$42&lt;&gt;"",EG$5&gt;Mitarbeiter!$F$42),0,IF(Planung!EG44="",$C44,IF(ISNUMBER(Planung!EG44),Planung!EG44,IF(UPPER(Planung!EG44)="H",$C44/2,0)))))))</f>
        <v>0</v>
      </c>
      <c r="EH44" s="27">
        <f>IF($A44="",0,IF(Mitarbeiter!$G$42=FALSE,0,IF(AND(Mitarbeiter!$E$42&lt;&gt;"",EH$5+6&lt;Mitarbeiter!$E$42),0,IF(AND(Mitarbeiter!$F$42&lt;&gt;"",EH$5&gt;Mitarbeiter!$F$42),0,IF(Planung!EH44="",$C44,IF(ISNUMBER(Planung!EH44),Planung!EH44,IF(UPPER(Planung!EH44)="H",$C44/2,0)))))))</f>
        <v>0</v>
      </c>
      <c r="EI44" s="27">
        <f>IF($A44="",0,IF(Mitarbeiter!$G$42=FALSE,0,IF(AND(Mitarbeiter!$E$42&lt;&gt;"",EI$5+6&lt;Mitarbeiter!$E$42),0,IF(AND(Mitarbeiter!$F$42&lt;&gt;"",EI$5&gt;Mitarbeiter!$F$42),0,IF(Planung!EI44="",$C44,IF(ISNUMBER(Planung!EI44),Planung!EI44,IF(UPPER(Planung!EI44)="H",$C44/2,0)))))))</f>
        <v>0</v>
      </c>
      <c r="EJ44" s="27">
        <f>IF($A44="",0,IF(Mitarbeiter!$G$42=FALSE,0,IF(AND(Mitarbeiter!$E$42&lt;&gt;"",EJ$5+6&lt;Mitarbeiter!$E$42),0,IF(AND(Mitarbeiter!$F$42&lt;&gt;"",EJ$5&gt;Mitarbeiter!$F$42),0,IF(Planung!EJ44="",$C44,IF(ISNUMBER(Planung!EJ44),Planung!EJ44,IF(UPPER(Planung!EJ44)="H",$C44/2,0)))))))</f>
        <v>0</v>
      </c>
      <c r="EK44" s="27">
        <f>IF($A44="",0,IF(Mitarbeiter!$G$42=FALSE,0,IF(AND(Mitarbeiter!$E$42&lt;&gt;"",EK$5+6&lt;Mitarbeiter!$E$42),0,IF(AND(Mitarbeiter!$F$42&lt;&gt;"",EK$5&gt;Mitarbeiter!$F$42),0,IF(Planung!EK44="",$C44,IF(ISNUMBER(Planung!EK44),Planung!EK44,IF(UPPER(Planung!EK44)="H",$C44/2,0)))))))</f>
        <v>0</v>
      </c>
      <c r="EL44" s="27">
        <f>IF($A44="",0,IF(Mitarbeiter!$G$42=FALSE,0,IF(AND(Mitarbeiter!$E$42&lt;&gt;"",EL$5+6&lt;Mitarbeiter!$E$42),0,IF(AND(Mitarbeiter!$F$42&lt;&gt;"",EL$5&gt;Mitarbeiter!$F$42),0,IF(Planung!EL44="",$C44,IF(ISNUMBER(Planung!EL44),Planung!EL44,IF(UPPER(Planung!EL44)="H",$C44/2,0)))))))</f>
        <v>0</v>
      </c>
      <c r="EM44" s="27">
        <f>IF($A44="",0,IF(Mitarbeiter!$G$42=FALSE,0,IF(AND(Mitarbeiter!$E$42&lt;&gt;"",EM$5+6&lt;Mitarbeiter!$E$42),0,IF(AND(Mitarbeiter!$F$42&lt;&gt;"",EM$5&gt;Mitarbeiter!$F$42),0,IF(Planung!EM44="",$C44,IF(ISNUMBER(Planung!EM44),Planung!EM44,IF(UPPER(Planung!EM44)="H",$C44/2,0)))))))</f>
        <v>0</v>
      </c>
      <c r="EN44" s="27">
        <f>IF($A44="",0,IF(Mitarbeiter!$G$42=FALSE,0,IF(AND(Mitarbeiter!$E$42&lt;&gt;"",EN$5+6&lt;Mitarbeiter!$E$42),0,IF(AND(Mitarbeiter!$F$42&lt;&gt;"",EN$5&gt;Mitarbeiter!$F$42),0,IF(Planung!EN44="",$C44,IF(ISNUMBER(Planung!EN44),Planung!EN44,IF(UPPER(Planung!EN44)="H",$C44/2,0)))))))</f>
        <v>0</v>
      </c>
      <c r="EO44" s="27">
        <f>IF($A44="",0,IF(Mitarbeiter!$G$42=FALSE,0,IF(AND(Mitarbeiter!$E$42&lt;&gt;"",EO$5+6&lt;Mitarbeiter!$E$42),0,IF(AND(Mitarbeiter!$F$42&lt;&gt;"",EO$5&gt;Mitarbeiter!$F$42),0,IF(Planung!EO44="",$C44,IF(ISNUMBER(Planung!EO44),Planung!EO44,IF(UPPER(Planung!EO44)="H",$C44/2,0)))))))</f>
        <v>0</v>
      </c>
      <c r="EP44" s="27">
        <f>IF($A44="",0,IF(Mitarbeiter!$G$42=FALSE,0,IF(AND(Mitarbeiter!$E$42&lt;&gt;"",EP$5+6&lt;Mitarbeiter!$E$42),0,IF(AND(Mitarbeiter!$F$42&lt;&gt;"",EP$5&gt;Mitarbeiter!$F$42),0,IF(Planung!EP44="",$C44,IF(ISNUMBER(Planung!EP44),Planung!EP44,IF(UPPER(Planung!EP44)="H",$C44/2,0)))))))</f>
        <v>0</v>
      </c>
      <c r="EQ44" s="27">
        <f>IF($A44="",0,IF(Mitarbeiter!$G$42=FALSE,0,IF(AND(Mitarbeiter!$E$42&lt;&gt;"",EQ$5+6&lt;Mitarbeiter!$E$42),0,IF(AND(Mitarbeiter!$F$42&lt;&gt;"",EQ$5&gt;Mitarbeiter!$F$42),0,IF(Planung!EQ44="",$C44,IF(ISNUMBER(Planung!EQ44),Planung!EQ44,IF(UPPER(Planung!EQ44)="H",$C44/2,0)))))))</f>
        <v>0</v>
      </c>
      <c r="ER44" s="27">
        <f>IF($A44="",0,IF(Mitarbeiter!$G$42=FALSE,0,IF(AND(Mitarbeiter!$E$42&lt;&gt;"",ER$5+6&lt;Mitarbeiter!$E$42),0,IF(AND(Mitarbeiter!$F$42&lt;&gt;"",ER$5&gt;Mitarbeiter!$F$42),0,IF(Planung!ER44="",$C44,IF(ISNUMBER(Planung!ER44),Planung!ER44,IF(UPPER(Planung!ER44)="H",$C44/2,0)))))))</f>
        <v>0</v>
      </c>
      <c r="ES44" s="27">
        <f>IF($A44="",0,IF(Mitarbeiter!$G$42=FALSE,0,IF(AND(Mitarbeiter!$E$42&lt;&gt;"",ES$5+6&lt;Mitarbeiter!$E$42),0,IF(AND(Mitarbeiter!$F$42&lt;&gt;"",ES$5&gt;Mitarbeiter!$F$42),0,IF(Planung!ES44="",$C44,IF(ISNUMBER(Planung!ES44),Planung!ES44,IF(UPPER(Planung!ES44)="H",$C44/2,0)))))))</f>
        <v>0</v>
      </c>
      <c r="ET44" s="27">
        <f>IF($A44="",0,IF(Mitarbeiter!$G$42=FALSE,0,IF(AND(Mitarbeiter!$E$42&lt;&gt;"",ET$5+6&lt;Mitarbeiter!$E$42),0,IF(AND(Mitarbeiter!$F$42&lt;&gt;"",ET$5&gt;Mitarbeiter!$F$42),0,IF(Planung!ET44="",$C44,IF(ISNUMBER(Planung!ET44),Planung!ET44,IF(UPPER(Planung!ET44)="H",$C44/2,0)))))))</f>
        <v>0</v>
      </c>
      <c r="EU44" s="27">
        <f>IF($A44="",0,IF(Mitarbeiter!$G$42=FALSE,0,IF(AND(Mitarbeiter!$E$42&lt;&gt;"",EU$5+6&lt;Mitarbeiter!$E$42),0,IF(AND(Mitarbeiter!$F$42&lt;&gt;"",EU$5&gt;Mitarbeiter!$F$42),0,IF(Planung!EU44="",$C44,IF(ISNUMBER(Planung!EU44),Planung!EU44,IF(UPPER(Planung!EU44)="H",$C44/2,0)))))))</f>
        <v>0</v>
      </c>
      <c r="EV44" s="27">
        <f>IF($A44="",0,IF(Mitarbeiter!$G$42=FALSE,0,IF(AND(Mitarbeiter!$E$42&lt;&gt;"",EV$5+6&lt;Mitarbeiter!$E$42),0,IF(AND(Mitarbeiter!$F$42&lt;&gt;"",EV$5&gt;Mitarbeiter!$F$42),0,IF(Planung!EV44="",$C44,IF(ISNUMBER(Planung!EV44),Planung!EV44,IF(UPPER(Planung!EV44)="H",$C44/2,0)))))))</f>
        <v>0</v>
      </c>
      <c r="EW44" s="27">
        <f>IF($A44="",0,IF(Mitarbeiter!$G$42=FALSE,0,IF(AND(Mitarbeiter!$E$42&lt;&gt;"",EW$5+6&lt;Mitarbeiter!$E$42),0,IF(AND(Mitarbeiter!$F$42&lt;&gt;"",EW$5&gt;Mitarbeiter!$F$42),0,IF(Planung!EW44="",$C44,IF(ISNUMBER(Planung!EW44),Planung!EW44,IF(UPPER(Planung!EW44)="H",$C44/2,0)))))))</f>
        <v>0</v>
      </c>
      <c r="EX44" s="27">
        <f>IF($A44="",0,IF(Mitarbeiter!$G$42=FALSE,0,IF(AND(Mitarbeiter!$E$42&lt;&gt;"",EX$5+6&lt;Mitarbeiter!$E$42),0,IF(AND(Mitarbeiter!$F$42&lt;&gt;"",EX$5&gt;Mitarbeiter!$F$42),0,IF(Planung!EX44="",$C44,IF(ISNUMBER(Planung!EX44),Planung!EX44,IF(UPPER(Planung!EX44)="H",$C44/2,0)))))))</f>
        <v>0</v>
      </c>
      <c r="EY44" s="27">
        <f>IF($A44="",0,IF(Mitarbeiter!$G$42=FALSE,0,IF(AND(Mitarbeiter!$E$42&lt;&gt;"",EY$5+6&lt;Mitarbeiter!$E$42),0,IF(AND(Mitarbeiter!$F$42&lt;&gt;"",EY$5&gt;Mitarbeiter!$F$42),0,IF(Planung!EY44="",$C44,IF(ISNUMBER(Planung!EY44),Planung!EY44,IF(UPPER(Planung!EY44)="H",$C44/2,0)))))))</f>
        <v>0</v>
      </c>
      <c r="EZ44" s="27">
        <f>IF($A44="",0,IF(Mitarbeiter!$G$42=FALSE,0,IF(AND(Mitarbeiter!$E$42&lt;&gt;"",EZ$5+6&lt;Mitarbeiter!$E$42),0,IF(AND(Mitarbeiter!$F$42&lt;&gt;"",EZ$5&gt;Mitarbeiter!$F$42),0,IF(Planung!EZ44="",$C44,IF(ISNUMBER(Planung!EZ44),Planung!EZ44,IF(UPPER(Planung!EZ44)="H",$C44/2,0)))))))</f>
        <v>0</v>
      </c>
      <c r="FA44" s="27">
        <f>IF($A44="",0,IF(Mitarbeiter!$G$42=FALSE,0,IF(AND(Mitarbeiter!$E$42&lt;&gt;"",FA$5+6&lt;Mitarbeiter!$E$42),0,IF(AND(Mitarbeiter!$F$42&lt;&gt;"",FA$5&gt;Mitarbeiter!$F$42),0,IF(Planung!FA44="",$C44,IF(ISNUMBER(Planung!FA44),Planung!FA44,IF(UPPER(Planung!FA44)="H",$C44/2,0)))))))</f>
        <v>0</v>
      </c>
      <c r="FB44" s="27">
        <f>IF($A44="",0,IF(Mitarbeiter!$G$42=FALSE,0,IF(AND(Mitarbeiter!$E$42&lt;&gt;"",FB$5+6&lt;Mitarbeiter!$E$42),0,IF(AND(Mitarbeiter!$F$42&lt;&gt;"",FB$5&gt;Mitarbeiter!$F$42),0,IF(Planung!FB44="",$C44,IF(ISNUMBER(Planung!FB44),Planung!FB44,IF(UPPER(Planung!FB44)="H",$C44/2,0)))))))</f>
        <v>0</v>
      </c>
      <c r="FC44" s="27">
        <f>IF($A44="",0,IF(Mitarbeiter!$G$42=FALSE,0,IF(AND(Mitarbeiter!$E$42&lt;&gt;"",FC$5+6&lt;Mitarbeiter!$E$42),0,IF(AND(Mitarbeiter!$F$42&lt;&gt;"",FC$5&gt;Mitarbeiter!$F$42),0,IF(Planung!FC44="",$C44,IF(ISNUMBER(Planung!FC44),Planung!FC44,IF(UPPER(Planung!FC44)="H",$C44/2,0)))))))</f>
        <v>0</v>
      </c>
      <c r="FD44" s="27">
        <f>IF($A44="",0,IF(Mitarbeiter!$G$42=FALSE,0,IF(AND(Mitarbeiter!$E$42&lt;&gt;"",FD$5+6&lt;Mitarbeiter!$E$42),0,IF(AND(Mitarbeiter!$F$42&lt;&gt;"",FD$5&gt;Mitarbeiter!$F$42),0,IF(Planung!FD44="",$C44,IF(ISNUMBER(Planung!FD44),Planung!FD44,IF(UPPER(Planung!FD44)="H",$C44/2,0)))))))</f>
        <v>0</v>
      </c>
      <c r="FE44" s="27">
        <f>IF($A44="",0,IF(Mitarbeiter!$G$42=FALSE,0,IF(AND(Mitarbeiter!$E$42&lt;&gt;"",FE$5+6&lt;Mitarbeiter!$E$42),0,IF(AND(Mitarbeiter!$F$42&lt;&gt;"",FE$5&gt;Mitarbeiter!$F$42),0,IF(Planung!FE44="",$C44,IF(ISNUMBER(Planung!FE44),Planung!FE44,IF(UPPER(Planung!FE44)="H",$C44/2,0)))))))</f>
        <v>0</v>
      </c>
      <c r="FF44" s="27">
        <f>IF($A44="",0,IF(Mitarbeiter!$G$42=FALSE,0,IF(AND(Mitarbeiter!$E$42&lt;&gt;"",FF$5+6&lt;Mitarbeiter!$E$42),0,IF(AND(Mitarbeiter!$F$42&lt;&gt;"",FF$5&gt;Mitarbeiter!$F$42),0,IF(Planung!FF44="",$C44,IF(ISNUMBER(Planung!FF44),Planung!FF44,IF(UPPER(Planung!FF44)="H",$C44/2,0)))))))</f>
        <v>0</v>
      </c>
      <c r="FG44" s="27">
        <f>IF($A44="",0,IF(Mitarbeiter!$G$42=FALSE,0,IF(AND(Mitarbeiter!$E$42&lt;&gt;"",FG$5+6&lt;Mitarbeiter!$E$42),0,IF(AND(Mitarbeiter!$F$42&lt;&gt;"",FG$5&gt;Mitarbeiter!$F$42),0,IF(Planung!FG44="",$C44,IF(ISNUMBER(Planung!FG44),Planung!FG44,IF(UPPER(Planung!FG44)="H",$C44/2,0)))))))</f>
        <v>0</v>
      </c>
      <c r="FH44" s="27">
        <f>IF($A44="",0,IF(Mitarbeiter!$G$42=FALSE,0,IF(AND(Mitarbeiter!$E$42&lt;&gt;"",FH$5+6&lt;Mitarbeiter!$E$42),0,IF(AND(Mitarbeiter!$F$42&lt;&gt;"",FH$5&gt;Mitarbeiter!$F$42),0,IF(Planung!FH44="",$C44,IF(ISNUMBER(Planung!FH44),Planung!FH44,IF(UPPER(Planung!FH44)="H",$C44/2,0)))))))</f>
        <v>0</v>
      </c>
      <c r="FI44" s="27">
        <f>IF($A44="",0,IF(Mitarbeiter!$G$42=FALSE,0,IF(AND(Mitarbeiter!$E$42&lt;&gt;"",FI$5+6&lt;Mitarbeiter!$E$42),0,IF(AND(Mitarbeiter!$F$42&lt;&gt;"",FI$5&gt;Mitarbeiter!$F$42),0,IF(Planung!FI44="",$C44,IF(ISNUMBER(Planung!FI44),Planung!FI44,IF(UPPER(Planung!FI44)="H",$C44/2,0)))))))</f>
        <v>0</v>
      </c>
      <c r="FJ44" s="27">
        <f>IF($A44="",0,IF(Mitarbeiter!$G$42=FALSE,0,IF(AND(Mitarbeiter!$E$42&lt;&gt;"",FJ$5+6&lt;Mitarbeiter!$E$42),0,IF(AND(Mitarbeiter!$F$42&lt;&gt;"",FJ$5&gt;Mitarbeiter!$F$42),0,IF(Planung!FJ44="",$C44,IF(ISNUMBER(Planung!FJ44),Planung!FJ44,IF(UPPER(Planung!FJ44)="H",$C44/2,0)))))))</f>
        <v>0</v>
      </c>
      <c r="FK44" s="27">
        <f>IF($A44="",0,IF(Mitarbeiter!$G$42=FALSE,0,IF(AND(Mitarbeiter!$E$42&lt;&gt;"",FK$5+6&lt;Mitarbeiter!$E$42),0,IF(AND(Mitarbeiter!$F$42&lt;&gt;"",FK$5&gt;Mitarbeiter!$F$42),0,IF(Planung!FK44="",$C44,IF(ISNUMBER(Planung!FK44),Planung!FK44,IF(UPPER(Planung!FK44)="H",$C44/2,0)))))))</f>
        <v>0</v>
      </c>
      <c r="FL44" s="27">
        <f>IF($A44="",0,IF(Mitarbeiter!$G$42=FALSE,0,IF(AND(Mitarbeiter!$E$42&lt;&gt;"",FL$5+6&lt;Mitarbeiter!$E$42),0,IF(AND(Mitarbeiter!$F$42&lt;&gt;"",FL$5&gt;Mitarbeiter!$F$42),0,IF(Planung!FL44="",$C44,IF(ISNUMBER(Planung!FL44),Planung!FL44,IF(UPPER(Planung!FL44)="H",$C44/2,0)))))))</f>
        <v>0</v>
      </c>
      <c r="FM44" s="27">
        <f>IF($A44="",0,IF(Mitarbeiter!$G$42=FALSE,0,IF(AND(Mitarbeiter!$E$42&lt;&gt;"",FM$5+6&lt;Mitarbeiter!$E$42),0,IF(AND(Mitarbeiter!$F$42&lt;&gt;"",FM$5&gt;Mitarbeiter!$F$42),0,IF(Planung!FM44="",$C44,IF(ISNUMBER(Planung!FM44),Planung!FM44,IF(UPPER(Planung!FM44)="H",$C44/2,0)))))))</f>
        <v>0</v>
      </c>
      <c r="FN44" s="27">
        <f>IF($A44="",0,IF(Mitarbeiter!$G$42=FALSE,0,IF(AND(Mitarbeiter!$E$42&lt;&gt;"",FN$5+6&lt;Mitarbeiter!$E$42),0,IF(AND(Mitarbeiter!$F$42&lt;&gt;"",FN$5&gt;Mitarbeiter!$F$42),0,IF(Planung!FN44="",$C44,IF(ISNUMBER(Planung!FN44),Planung!FN44,IF(UPPER(Planung!FN44)="H",$C44/2,0)))))))</f>
        <v>0</v>
      </c>
      <c r="FO44" s="27">
        <f>IF($A44="",0,IF(Mitarbeiter!$G$42=FALSE,0,IF(AND(Mitarbeiter!$E$42&lt;&gt;"",FO$5+6&lt;Mitarbeiter!$E$42),0,IF(AND(Mitarbeiter!$F$42&lt;&gt;"",FO$5&gt;Mitarbeiter!$F$42),0,IF(Planung!FO44="",$C44,IF(ISNUMBER(Planung!FO44),Planung!FO44,IF(UPPER(Planung!FO44)="H",$C44/2,0)))))))</f>
        <v>0</v>
      </c>
      <c r="FP44" s="27">
        <f>IF($A44="",0,IF(Mitarbeiter!$G$42=FALSE,0,IF(AND(Mitarbeiter!$E$42&lt;&gt;"",FP$5+6&lt;Mitarbeiter!$E$42),0,IF(AND(Mitarbeiter!$F$42&lt;&gt;"",FP$5&gt;Mitarbeiter!$F$42),0,IF(Planung!FP44="",$C44,IF(ISNUMBER(Planung!FP44),Planung!FP44,IF(UPPER(Planung!FP44)="H",$C44/2,0)))))))</f>
        <v>0</v>
      </c>
      <c r="FQ44" s="27">
        <f>IF($A44="",0,IF(Mitarbeiter!$G$42=FALSE,0,IF(AND(Mitarbeiter!$E$42&lt;&gt;"",FQ$5+6&lt;Mitarbeiter!$E$42),0,IF(AND(Mitarbeiter!$F$42&lt;&gt;"",FQ$5&gt;Mitarbeiter!$F$42),0,IF(Planung!FQ44="",$C44,IF(ISNUMBER(Planung!FQ44),Planung!FQ44,IF(UPPER(Planung!FQ44)="H",$C44/2,0)))))))</f>
        <v>0</v>
      </c>
      <c r="FR44" s="27">
        <f>IF($A44="",0,IF(Mitarbeiter!$G$42=FALSE,0,IF(AND(Mitarbeiter!$E$42&lt;&gt;"",FR$5+6&lt;Mitarbeiter!$E$42),0,IF(AND(Mitarbeiter!$F$42&lt;&gt;"",FR$5&gt;Mitarbeiter!$F$42),0,IF(Planung!FR44="",$C44,IF(ISNUMBER(Planung!FR44),Planung!FR44,IF(UPPER(Planung!FR44)="H",$C44/2,0)))))))</f>
        <v>0</v>
      </c>
      <c r="FS44" s="27">
        <f>IF($A44="",0,IF(Mitarbeiter!$G$42=FALSE,0,IF(AND(Mitarbeiter!$E$42&lt;&gt;"",FS$5+6&lt;Mitarbeiter!$E$42),0,IF(AND(Mitarbeiter!$F$42&lt;&gt;"",FS$5&gt;Mitarbeiter!$F$42),0,IF(Planung!FS44="",$C44,IF(ISNUMBER(Planung!FS44),Planung!FS44,IF(UPPER(Planung!FS44)="H",$C44/2,0)))))))</f>
        <v>0</v>
      </c>
      <c r="FT44" s="27">
        <f>IF($A44="",0,IF(Mitarbeiter!$G$42=FALSE,0,IF(AND(Mitarbeiter!$E$42&lt;&gt;"",FT$5+6&lt;Mitarbeiter!$E$42),0,IF(AND(Mitarbeiter!$F$42&lt;&gt;"",FT$5&gt;Mitarbeiter!$F$42),0,IF(Planung!FT44="",$C44,IF(ISNUMBER(Planung!FT44),Planung!FT44,IF(UPPER(Planung!FT44)="H",$C44/2,0)))))))</f>
        <v>0</v>
      </c>
      <c r="FU44" s="27">
        <f>IF($A44="",0,IF(Mitarbeiter!$G$42=FALSE,0,IF(AND(Mitarbeiter!$E$42&lt;&gt;"",FU$5+6&lt;Mitarbeiter!$E$42),0,IF(AND(Mitarbeiter!$F$42&lt;&gt;"",FU$5&gt;Mitarbeiter!$F$42),0,IF(Planung!FU44="",$C44,IF(ISNUMBER(Planung!FU44),Planung!FU44,IF(UPPER(Planung!FU44)="H",$C44/2,0)))))))</f>
        <v>0</v>
      </c>
      <c r="FV44" s="27">
        <f>IF($A44="",0,IF(Mitarbeiter!$G$42=FALSE,0,IF(AND(Mitarbeiter!$E$42&lt;&gt;"",FV$5+6&lt;Mitarbeiter!$E$42),0,IF(AND(Mitarbeiter!$F$42&lt;&gt;"",FV$5&gt;Mitarbeiter!$F$42),0,IF(Planung!FV44="",$C44,IF(ISNUMBER(Planung!FV44),Planung!FV44,IF(UPPER(Planung!FV44)="H",$C44/2,0)))))))</f>
        <v>0</v>
      </c>
      <c r="FW44" s="27">
        <f>IF($A44="",0,IF(Mitarbeiter!$G$42=FALSE,0,IF(AND(Mitarbeiter!$E$42&lt;&gt;"",FW$5+6&lt;Mitarbeiter!$E$42),0,IF(AND(Mitarbeiter!$F$42&lt;&gt;"",FW$5&gt;Mitarbeiter!$F$42),0,IF(Planung!FW44="",$C44,IF(ISNUMBER(Planung!FW44),Planung!FW44,IF(UPPER(Planung!FW44)="H",$C44/2,0)))))))</f>
        <v>0</v>
      </c>
      <c r="FX44" s="27">
        <f>IF($A44="",0,IF(Mitarbeiter!$G$42=FALSE,0,IF(AND(Mitarbeiter!$E$42&lt;&gt;"",FX$5+6&lt;Mitarbeiter!$E$42),0,IF(AND(Mitarbeiter!$F$42&lt;&gt;"",FX$5&gt;Mitarbeiter!$F$42),0,IF(Planung!FX44="",$C44,IF(ISNUMBER(Planung!FX44),Planung!FX44,IF(UPPER(Planung!FX44)="H",$C44/2,0)))))))</f>
        <v>0</v>
      </c>
      <c r="FY44" s="27">
        <f>IF($A44="",0,IF(Mitarbeiter!$G$42=FALSE,0,IF(AND(Mitarbeiter!$E$42&lt;&gt;"",FY$5+6&lt;Mitarbeiter!$E$42),0,IF(AND(Mitarbeiter!$F$42&lt;&gt;"",FY$5&gt;Mitarbeiter!$F$42),0,IF(Planung!FY44="",$C44,IF(ISNUMBER(Planung!FY44),Planung!FY44,IF(UPPER(Planung!FY44)="H",$C44/2,0)))))))</f>
        <v>0</v>
      </c>
      <c r="FZ44" s="27">
        <f>IF($A44="",0,IF(Mitarbeiter!$G$42=FALSE,0,IF(AND(Mitarbeiter!$E$42&lt;&gt;"",FZ$5+6&lt;Mitarbeiter!$E$42),0,IF(AND(Mitarbeiter!$F$42&lt;&gt;"",FZ$5&gt;Mitarbeiter!$F$42),0,IF(Planung!FZ44="",$C44,IF(ISNUMBER(Planung!FZ44),Planung!FZ44,IF(UPPER(Planung!FZ44)="H",$C44/2,0)))))))</f>
        <v>0</v>
      </c>
      <c r="GA44" s="27">
        <f>IF($A44="",0,IF(Mitarbeiter!$G$42=FALSE,0,IF(AND(Mitarbeiter!$E$42&lt;&gt;"",GA$5+6&lt;Mitarbeiter!$E$42),0,IF(AND(Mitarbeiter!$F$42&lt;&gt;"",GA$5&gt;Mitarbeiter!$F$42),0,IF(Planung!GA44="",$C44,IF(ISNUMBER(Planung!GA44),Planung!GA44,IF(UPPER(Planung!GA44)="H",$C44/2,0)))))))</f>
        <v>0</v>
      </c>
      <c r="GB44" s="27">
        <f>IF($A44="",0,IF(Mitarbeiter!$G$42=FALSE,0,IF(AND(Mitarbeiter!$E$42&lt;&gt;"",GB$5+6&lt;Mitarbeiter!$E$42),0,IF(AND(Mitarbeiter!$F$42&lt;&gt;"",GB$5&gt;Mitarbeiter!$F$42),0,IF(Planung!GB44="",$C44,IF(ISNUMBER(Planung!GB44),Planung!GB44,IF(UPPER(Planung!GB44)="H",$C44/2,0)))))))</f>
        <v>0</v>
      </c>
      <c r="GC44" s="27">
        <f>IF($A44="",0,IF(Mitarbeiter!$G$42=FALSE,0,IF(AND(Mitarbeiter!$E$42&lt;&gt;"",GC$5+6&lt;Mitarbeiter!$E$42),0,IF(AND(Mitarbeiter!$F$42&lt;&gt;"",GC$5&gt;Mitarbeiter!$F$42),0,IF(Planung!GC44="",$C44,IF(ISNUMBER(Planung!GC44),Planung!GC44,IF(UPPER(Planung!GC44)="H",$C44/2,0)))))))</f>
        <v>0</v>
      </c>
      <c r="GD44" s="27">
        <f>IF($A44="",0,IF(Mitarbeiter!$G$42=FALSE,0,IF(AND(Mitarbeiter!$E$42&lt;&gt;"",GD$5+6&lt;Mitarbeiter!$E$42),0,IF(AND(Mitarbeiter!$F$42&lt;&gt;"",GD$5&gt;Mitarbeiter!$F$42),0,IF(Planung!GD44="",$C44,IF(ISNUMBER(Planung!GD44),Planung!GD44,IF(UPPER(Planung!GD44)="H",$C44/2,0)))))))</f>
        <v>0</v>
      </c>
      <c r="GE44" s="27">
        <f>IF($A44="",0,IF(Mitarbeiter!$G$42=FALSE,0,IF(AND(Mitarbeiter!$E$42&lt;&gt;"",GE$5+6&lt;Mitarbeiter!$E$42),0,IF(AND(Mitarbeiter!$F$42&lt;&gt;"",GE$5&gt;Mitarbeiter!$F$42),0,IF(Planung!GE44="",$C44,IF(ISNUMBER(Planung!GE44),Planung!GE44,IF(UPPER(Planung!GE44)="H",$C44/2,0)))))))</f>
        <v>0</v>
      </c>
      <c r="GF44" s="27">
        <f>IF($A44="",0,IF(Mitarbeiter!$G$42=FALSE,0,IF(AND(Mitarbeiter!$E$42&lt;&gt;"",GF$5+6&lt;Mitarbeiter!$E$42),0,IF(AND(Mitarbeiter!$F$42&lt;&gt;"",GF$5&gt;Mitarbeiter!$F$42),0,IF(Planung!GF44="",$C44,IF(ISNUMBER(Planung!GF44),Planung!GF44,IF(UPPER(Planung!GF44)="H",$C44/2,0)))))))</f>
        <v>0</v>
      </c>
      <c r="GG44" s="27">
        <f>IF($A44="",0,IF(Mitarbeiter!$G$42=FALSE,0,IF(AND(Mitarbeiter!$E$42&lt;&gt;"",GG$5+6&lt;Mitarbeiter!$E$42),0,IF(AND(Mitarbeiter!$F$42&lt;&gt;"",GG$5&gt;Mitarbeiter!$F$42),0,IF(Planung!GG44="",$C44,IF(ISNUMBER(Planung!GG44),Planung!GG44,IF(UPPER(Planung!GG44)="H",$C44/2,0)))))))</f>
        <v>0</v>
      </c>
      <c r="GH44" s="27">
        <f>IF($A44="",0,IF(Mitarbeiter!$G$42=FALSE,0,IF(AND(Mitarbeiter!$E$42&lt;&gt;"",GH$5+6&lt;Mitarbeiter!$E$42),0,IF(AND(Mitarbeiter!$F$42&lt;&gt;"",GH$5&gt;Mitarbeiter!$F$42),0,IF(Planung!GH44="",$C44,IF(ISNUMBER(Planung!GH44),Planung!GH44,IF(UPPER(Planung!GH44)="H",$C44/2,0)))))))</f>
        <v>0</v>
      </c>
      <c r="GI44" s="27">
        <f>IF($A44="",0,IF(Mitarbeiter!$G$42=FALSE,0,IF(AND(Mitarbeiter!$E$42&lt;&gt;"",GI$5+6&lt;Mitarbeiter!$E$42),0,IF(AND(Mitarbeiter!$F$42&lt;&gt;"",GI$5&gt;Mitarbeiter!$F$42),0,IF(Planung!GI44="",$C44,IF(ISNUMBER(Planung!GI44),Planung!GI44,IF(UPPER(Planung!GI44)="H",$C44/2,0)))))))</f>
        <v>0</v>
      </c>
      <c r="GJ44" s="27">
        <f>IF($A44="",0,IF(Mitarbeiter!$G$42=FALSE,0,IF(AND(Mitarbeiter!$E$42&lt;&gt;"",GJ$5+6&lt;Mitarbeiter!$E$42),0,IF(AND(Mitarbeiter!$F$42&lt;&gt;"",GJ$5&gt;Mitarbeiter!$F$42),0,IF(Planung!GJ44="",$C44,IF(ISNUMBER(Planung!GJ44),Planung!GJ44,IF(UPPER(Planung!GJ44)="H",$C44/2,0)))))))</f>
        <v>0</v>
      </c>
      <c r="GK44" s="27">
        <f>IF($A44="",0,IF(Mitarbeiter!$G$42=FALSE,0,IF(AND(Mitarbeiter!$E$42&lt;&gt;"",GK$5+6&lt;Mitarbeiter!$E$42),0,IF(AND(Mitarbeiter!$F$42&lt;&gt;"",GK$5&gt;Mitarbeiter!$F$42),0,IF(Planung!GK44="",$C44,IF(ISNUMBER(Planung!GK44),Planung!GK44,IF(UPPER(Planung!GK44)="H",$C44/2,0)))))))</f>
        <v>0</v>
      </c>
      <c r="GL44" s="27">
        <f>IF($A44="",0,IF(Mitarbeiter!$G$42=FALSE,0,IF(AND(Mitarbeiter!$E$42&lt;&gt;"",GL$5+6&lt;Mitarbeiter!$E$42),0,IF(AND(Mitarbeiter!$F$42&lt;&gt;"",GL$5&gt;Mitarbeiter!$F$42),0,IF(Planung!GL44="",$C44,IF(ISNUMBER(Planung!GL44),Planung!GL44,IF(UPPER(Planung!GL44)="H",$C44/2,0)))))))</f>
        <v>0</v>
      </c>
      <c r="GM44" s="27">
        <f>IF($A44="",0,IF(Mitarbeiter!$G$42=FALSE,0,IF(AND(Mitarbeiter!$E$42&lt;&gt;"",GM$5+6&lt;Mitarbeiter!$E$42),0,IF(AND(Mitarbeiter!$F$42&lt;&gt;"",GM$5&gt;Mitarbeiter!$F$42),0,IF(Planung!GM44="",$C44,IF(ISNUMBER(Planung!GM44),Planung!GM44,IF(UPPER(Planung!GM44)="H",$C44/2,0)))))))</f>
        <v>0</v>
      </c>
      <c r="GN44" s="27">
        <f>IF($A44="",0,IF(Mitarbeiter!$G$42=FALSE,0,IF(AND(Mitarbeiter!$E$42&lt;&gt;"",GN$5+6&lt;Mitarbeiter!$E$42),0,IF(AND(Mitarbeiter!$F$42&lt;&gt;"",GN$5&gt;Mitarbeiter!$F$42),0,IF(Planung!GN44="",$C44,IF(ISNUMBER(Planung!GN44),Planung!GN44,IF(UPPER(Planung!GN44)="H",$C44/2,0)))))))</f>
        <v>0</v>
      </c>
      <c r="GO44" s="27">
        <f>IF($A44="",0,IF(Mitarbeiter!$G$42=FALSE,0,IF(AND(Mitarbeiter!$E$42&lt;&gt;"",GO$5+6&lt;Mitarbeiter!$E$42),0,IF(AND(Mitarbeiter!$F$42&lt;&gt;"",GO$5&gt;Mitarbeiter!$F$42),0,IF(Planung!GO44="",$C44,IF(ISNUMBER(Planung!GO44),Planung!GO44,IF(UPPER(Planung!GO44)="H",$C44/2,0)))))))</f>
        <v>0</v>
      </c>
      <c r="GP44" s="27">
        <f>IF($A44="",0,IF(Mitarbeiter!$G$42=FALSE,0,IF(AND(Mitarbeiter!$E$42&lt;&gt;"",GP$5+6&lt;Mitarbeiter!$E$42),0,IF(AND(Mitarbeiter!$F$42&lt;&gt;"",GP$5&gt;Mitarbeiter!$F$42),0,IF(Planung!GP44="",$C44,IF(ISNUMBER(Planung!GP44),Planung!GP44,IF(UPPER(Planung!GP44)="H",$C44/2,0)))))))</f>
        <v>0</v>
      </c>
      <c r="GQ44" s="27">
        <f>IF($A44="",0,IF(Mitarbeiter!$G$42=FALSE,0,IF(AND(Mitarbeiter!$E$42&lt;&gt;"",GQ$5+6&lt;Mitarbeiter!$E$42),0,IF(AND(Mitarbeiter!$F$42&lt;&gt;"",GQ$5&gt;Mitarbeiter!$F$42),0,IF(Planung!GQ44="",$C44,IF(ISNUMBER(Planung!GQ44),Planung!GQ44,IF(UPPER(Planung!GQ44)="H",$C44/2,0)))))))</f>
        <v>0</v>
      </c>
      <c r="GR44" s="27">
        <f>IF($A44="",0,IF(Mitarbeiter!$G$42=FALSE,0,IF(AND(Mitarbeiter!$E$42&lt;&gt;"",GR$5+6&lt;Mitarbeiter!$E$42),0,IF(AND(Mitarbeiter!$F$42&lt;&gt;"",GR$5&gt;Mitarbeiter!$F$42),0,IF(Planung!GR44="",$C44,IF(ISNUMBER(Planung!GR44),Planung!GR44,IF(UPPER(Planung!GR44)="H",$C44/2,0)))))))</f>
        <v>0</v>
      </c>
      <c r="GS44" s="27">
        <f>IF($A44="",0,IF(Mitarbeiter!$G$42=FALSE,0,IF(AND(Mitarbeiter!$E$42&lt;&gt;"",GS$5+6&lt;Mitarbeiter!$E$42),0,IF(AND(Mitarbeiter!$F$42&lt;&gt;"",GS$5&gt;Mitarbeiter!$F$42),0,IF(Planung!GS44="",$C44,IF(ISNUMBER(Planung!GS44),Planung!GS44,IF(UPPER(Planung!GS44)="H",$C44/2,0)))))))</f>
        <v>0</v>
      </c>
      <c r="GT44" s="27">
        <f>IF($A44="",0,IF(Mitarbeiter!$G$42=FALSE,0,IF(AND(Mitarbeiter!$E$42&lt;&gt;"",GT$5+6&lt;Mitarbeiter!$E$42),0,IF(AND(Mitarbeiter!$F$42&lt;&gt;"",GT$5&gt;Mitarbeiter!$F$42),0,IF(Planung!GT44="",$C44,IF(ISNUMBER(Planung!GT44),Planung!GT44,IF(UPPER(Planung!GT44)="H",$C44/2,0)))))))</f>
        <v>0</v>
      </c>
      <c r="GU44" s="27">
        <f>IF($A44="",0,IF(Mitarbeiter!$G$42=FALSE,0,IF(AND(Mitarbeiter!$E$42&lt;&gt;"",GU$5+6&lt;Mitarbeiter!$E$42),0,IF(AND(Mitarbeiter!$F$42&lt;&gt;"",GU$5&gt;Mitarbeiter!$F$42),0,IF(Planung!GU44="",$C44,IF(ISNUMBER(Planung!GU44),Planung!GU44,IF(UPPER(Planung!GU44)="H",$C44/2,0)))))))</f>
        <v>0</v>
      </c>
      <c r="GV44" s="27">
        <f>IF($A44="",0,IF(Mitarbeiter!$G$42=FALSE,0,IF(AND(Mitarbeiter!$E$42&lt;&gt;"",GV$5+6&lt;Mitarbeiter!$E$42),0,IF(AND(Mitarbeiter!$F$42&lt;&gt;"",GV$5&gt;Mitarbeiter!$F$42),0,IF(Planung!GV44="",$C44,IF(ISNUMBER(Planung!GV44),Planung!GV44,IF(UPPER(Planung!GV44)="H",$C44/2,0)))))))</f>
        <v>0</v>
      </c>
      <c r="GW44" s="27">
        <f>IF($A44="",0,IF(Mitarbeiter!$G$42=FALSE,0,IF(AND(Mitarbeiter!$E$42&lt;&gt;"",GW$5+6&lt;Mitarbeiter!$E$42),0,IF(AND(Mitarbeiter!$F$42&lt;&gt;"",GW$5&gt;Mitarbeiter!$F$42),0,IF(Planung!GW44="",$C44,IF(ISNUMBER(Planung!GW44),Planung!GW44,IF(UPPER(Planung!GW44)="H",$C44/2,0)))))))</f>
        <v>0</v>
      </c>
      <c r="GX44" s="27">
        <f>IF($A44="",0,IF(Mitarbeiter!$G$42=FALSE,0,IF(AND(Mitarbeiter!$E$42&lt;&gt;"",GX$5+6&lt;Mitarbeiter!$E$42),0,IF(AND(Mitarbeiter!$F$42&lt;&gt;"",GX$5&gt;Mitarbeiter!$F$42),0,IF(Planung!GX44="",$C44,IF(ISNUMBER(Planung!GX44),Planung!GX44,IF(UPPER(Planung!GX44)="H",$C44/2,0)))))))</f>
        <v>0</v>
      </c>
      <c r="GY44" s="27">
        <f>IF($A44="",0,IF(Mitarbeiter!$G$42=FALSE,0,IF(AND(Mitarbeiter!$E$42&lt;&gt;"",GY$5+6&lt;Mitarbeiter!$E$42),0,IF(AND(Mitarbeiter!$F$42&lt;&gt;"",GY$5&gt;Mitarbeiter!$F$42),0,IF(Planung!GY44="",$C44,IF(ISNUMBER(Planung!GY44),Planung!GY44,IF(UPPER(Planung!GY44)="H",$C44/2,0)))))))</f>
        <v>0</v>
      </c>
      <c r="GZ44" s="27">
        <f>IF($A44="",0,IF(Mitarbeiter!$G$42=FALSE,0,IF(AND(Mitarbeiter!$E$42&lt;&gt;"",GZ$5+6&lt;Mitarbeiter!$E$42),0,IF(AND(Mitarbeiter!$F$42&lt;&gt;"",GZ$5&gt;Mitarbeiter!$F$42),0,IF(Planung!GZ44="",$C44,IF(ISNUMBER(Planung!GZ44),Planung!GZ44,IF(UPPER(Planung!GZ44)="H",$C44/2,0)))))))</f>
        <v>0</v>
      </c>
      <c r="HA44" s="27">
        <f>IF($A44="",0,IF(Mitarbeiter!$G$42=FALSE,0,IF(AND(Mitarbeiter!$E$42&lt;&gt;"",HA$5+6&lt;Mitarbeiter!$E$42),0,IF(AND(Mitarbeiter!$F$42&lt;&gt;"",HA$5&gt;Mitarbeiter!$F$42),0,IF(Planung!HA44="",$C44,IF(ISNUMBER(Planung!HA44),Planung!HA44,IF(UPPER(Planung!HA44)="H",$C44/2,0)))))))</f>
        <v>0</v>
      </c>
      <c r="HB44" s="27">
        <f>IF($A44="",0,IF(Mitarbeiter!$G$42=FALSE,0,IF(AND(Mitarbeiter!$E$42&lt;&gt;"",HB$5+6&lt;Mitarbeiter!$E$42),0,IF(AND(Mitarbeiter!$F$42&lt;&gt;"",HB$5&gt;Mitarbeiter!$F$42),0,IF(Planung!HB44="",$C44,IF(ISNUMBER(Planung!HB44),Planung!HB44,IF(UPPER(Planung!HB44)="H",$C44/2,0)))))))</f>
        <v>0</v>
      </c>
      <c r="HC44" s="27">
        <f>IF($A44="",0,IF(Mitarbeiter!$G$42=FALSE,0,IF(AND(Mitarbeiter!$E$42&lt;&gt;"",HC$5+6&lt;Mitarbeiter!$E$42),0,IF(AND(Mitarbeiter!$F$42&lt;&gt;"",HC$5&gt;Mitarbeiter!$F$42),0,IF(Planung!HC44="",$C44,IF(ISNUMBER(Planung!HC44),Planung!HC44,IF(UPPER(Planung!HC44)="H",$C44/2,0)))))))</f>
        <v>0</v>
      </c>
      <c r="HD44" s="27">
        <f>IF($A44="",0,IF(Mitarbeiter!$G$42=FALSE,0,IF(AND(Mitarbeiter!$E$42&lt;&gt;"",HD$5+6&lt;Mitarbeiter!$E$42),0,IF(AND(Mitarbeiter!$F$42&lt;&gt;"",HD$5&gt;Mitarbeiter!$F$42),0,IF(Planung!HD44="",$C44,IF(ISNUMBER(Planung!HD44),Planung!HD44,IF(UPPER(Planung!HD44)="H",$C44/2,0)))))))</f>
        <v>0</v>
      </c>
      <c r="HE44" s="27">
        <f>IF($A44="",0,IF(Mitarbeiter!$G$42=FALSE,0,IF(AND(Mitarbeiter!$E$42&lt;&gt;"",HE$5+6&lt;Mitarbeiter!$E$42),0,IF(AND(Mitarbeiter!$F$42&lt;&gt;"",HE$5&gt;Mitarbeiter!$F$42),0,IF(Planung!HE44="",$C44,IF(ISNUMBER(Planung!HE44),Planung!HE44,IF(UPPER(Planung!HE44)="H",$C44/2,0)))))))</f>
        <v>0</v>
      </c>
      <c r="HF44" s="27">
        <f>IF($A44="",0,IF(Mitarbeiter!$G$42=FALSE,0,IF(AND(Mitarbeiter!$E$42&lt;&gt;"",HF$5+6&lt;Mitarbeiter!$E$42),0,IF(AND(Mitarbeiter!$F$42&lt;&gt;"",HF$5&gt;Mitarbeiter!$F$42),0,IF(Planung!HF44="",$C44,IF(ISNUMBER(Planung!HF44),Planung!HF44,IF(UPPER(Planung!HF44)="H",$C44/2,0)))))))</f>
        <v>0</v>
      </c>
      <c r="HG44" s="27">
        <f>IF($A44="",0,IF(Mitarbeiter!$G$42=FALSE,0,IF(AND(Mitarbeiter!$E$42&lt;&gt;"",HG$5+6&lt;Mitarbeiter!$E$42),0,IF(AND(Mitarbeiter!$F$42&lt;&gt;"",HG$5&gt;Mitarbeiter!$F$42),0,IF(Planung!HG44="",$C44,IF(ISNUMBER(Planung!HG44),Planung!HG44,IF(UPPER(Planung!HG44)="H",$C44/2,0)))))))</f>
        <v>0</v>
      </c>
      <c r="HH44" s="27">
        <f>IF($A44="",0,IF(Mitarbeiter!$G$42=FALSE,0,IF(AND(Mitarbeiter!$E$42&lt;&gt;"",HH$5+6&lt;Mitarbeiter!$E$42),0,IF(AND(Mitarbeiter!$F$42&lt;&gt;"",HH$5&gt;Mitarbeiter!$F$42),0,IF(Planung!HH44="",$C44,IF(ISNUMBER(Planung!HH44),Planung!HH44,IF(UPPER(Planung!HH44)="H",$C44/2,0)))))))</f>
        <v>0</v>
      </c>
      <c r="HI44" s="27">
        <f>IF($A44="",0,IF(Mitarbeiter!$G$42=FALSE,0,IF(AND(Mitarbeiter!$E$42&lt;&gt;"",HI$5+6&lt;Mitarbeiter!$E$42),0,IF(AND(Mitarbeiter!$F$42&lt;&gt;"",HI$5&gt;Mitarbeiter!$F$42),0,IF(Planung!HI44="",$C44,IF(ISNUMBER(Planung!HI44),Planung!HI44,IF(UPPER(Planung!HI44)="H",$C44/2,0)))))))</f>
        <v>0</v>
      </c>
      <c r="HJ44" s="27">
        <f>IF($A44="",0,IF(Mitarbeiter!$G$42=FALSE,0,IF(AND(Mitarbeiter!$E$42&lt;&gt;"",HJ$5+6&lt;Mitarbeiter!$E$42),0,IF(AND(Mitarbeiter!$F$42&lt;&gt;"",HJ$5&gt;Mitarbeiter!$F$42),0,IF(Planung!HJ44="",$C44,IF(ISNUMBER(Planung!HJ44),Planung!HJ44,IF(UPPER(Planung!HJ44)="H",$C44/2,0)))))))</f>
        <v>0</v>
      </c>
      <c r="HK44" s="27">
        <f>IF($A44="",0,IF(Mitarbeiter!$G$42=FALSE,0,IF(AND(Mitarbeiter!$E$42&lt;&gt;"",HK$5+6&lt;Mitarbeiter!$E$42),0,IF(AND(Mitarbeiter!$F$42&lt;&gt;"",HK$5&gt;Mitarbeiter!$F$42),0,IF(Planung!HK44="",$C44,IF(ISNUMBER(Planung!HK44),Planung!HK44,IF(UPPER(Planung!HK44)="H",$C44/2,0)))))))</f>
        <v>0</v>
      </c>
      <c r="HL44" s="27">
        <f>IF($A44="",0,IF(Mitarbeiter!$G$42=FALSE,0,IF(AND(Mitarbeiter!$E$42&lt;&gt;"",HL$5+6&lt;Mitarbeiter!$E$42),0,IF(AND(Mitarbeiter!$F$42&lt;&gt;"",HL$5&gt;Mitarbeiter!$F$42),0,IF(Planung!HL44="",$C44,IF(ISNUMBER(Planung!HL44),Planung!HL44,IF(UPPER(Planung!HL44)="H",$C44/2,0)))))))</f>
        <v>0</v>
      </c>
      <c r="HM44" s="27">
        <f>IF($A44="",0,IF(Mitarbeiter!$G$42=FALSE,0,IF(AND(Mitarbeiter!$E$42&lt;&gt;"",HM$5+6&lt;Mitarbeiter!$E$42),0,IF(AND(Mitarbeiter!$F$42&lt;&gt;"",HM$5&gt;Mitarbeiter!$F$42),0,IF(Planung!HM44="",$C44,IF(ISNUMBER(Planung!HM44),Planung!HM44,IF(UPPER(Planung!HM44)="H",$C44/2,0)))))))</f>
        <v>0</v>
      </c>
      <c r="HN44" s="27">
        <f>IF($A44="",0,IF(Mitarbeiter!$G$42=FALSE,0,IF(AND(Mitarbeiter!$E$42&lt;&gt;"",HN$5+6&lt;Mitarbeiter!$E$42),0,IF(AND(Mitarbeiter!$F$42&lt;&gt;"",HN$5&gt;Mitarbeiter!$F$42),0,IF(Planung!HN44="",$C44,IF(ISNUMBER(Planung!HN44),Planung!HN44,IF(UPPER(Planung!HN44)="H",$C44/2,0)))))))</f>
        <v>0</v>
      </c>
      <c r="HO44" s="27">
        <f>IF($A44="",0,IF(Mitarbeiter!$G$42=FALSE,0,IF(AND(Mitarbeiter!$E$42&lt;&gt;"",HO$5+6&lt;Mitarbeiter!$E$42),0,IF(AND(Mitarbeiter!$F$42&lt;&gt;"",HO$5&gt;Mitarbeiter!$F$42),0,IF(Planung!HO44="",$C44,IF(ISNUMBER(Planung!HO44),Planung!HO44,IF(UPPER(Planung!HO44)="H",$C44/2,0)))))))</f>
        <v>0</v>
      </c>
      <c r="HP44" s="27">
        <f>IF($A44="",0,IF(Mitarbeiter!$G$42=FALSE,0,IF(AND(Mitarbeiter!$E$42&lt;&gt;"",HP$5+6&lt;Mitarbeiter!$E$42),0,IF(AND(Mitarbeiter!$F$42&lt;&gt;"",HP$5&gt;Mitarbeiter!$F$42),0,IF(Planung!HP44="",$C44,IF(ISNUMBER(Planung!HP44),Planung!HP44,IF(UPPER(Planung!HP44)="H",$C44/2,0)))))))</f>
        <v>0</v>
      </c>
      <c r="HQ44" s="27">
        <f>IF($A44="",0,IF(Mitarbeiter!$G$42=FALSE,0,IF(AND(Mitarbeiter!$E$42&lt;&gt;"",HQ$5+6&lt;Mitarbeiter!$E$42),0,IF(AND(Mitarbeiter!$F$42&lt;&gt;"",HQ$5&gt;Mitarbeiter!$F$42),0,IF(Planung!HQ44="",$C44,IF(ISNUMBER(Planung!HQ44),Planung!HQ44,IF(UPPER(Planung!HQ44)="H",$C44/2,0)))))))</f>
        <v>0</v>
      </c>
      <c r="HR44" s="27">
        <f>IF($A44="",0,IF(Mitarbeiter!$G$42=FALSE,0,IF(AND(Mitarbeiter!$E$42&lt;&gt;"",HR$5+6&lt;Mitarbeiter!$E$42),0,IF(AND(Mitarbeiter!$F$42&lt;&gt;"",HR$5&gt;Mitarbeiter!$F$42),0,IF(Planung!HR44="",$C44,IF(ISNUMBER(Planung!HR44),Planung!HR44,IF(UPPER(Planung!HR44)="H",$C44/2,0)))))))</f>
        <v>0</v>
      </c>
      <c r="HS44" s="27">
        <f>IF($A44="",0,IF(Mitarbeiter!$G$42=FALSE,0,IF(AND(Mitarbeiter!$E$42&lt;&gt;"",HS$5+6&lt;Mitarbeiter!$E$42),0,IF(AND(Mitarbeiter!$F$42&lt;&gt;"",HS$5&gt;Mitarbeiter!$F$42),0,IF(Planung!HS44="",$C44,IF(ISNUMBER(Planung!HS44),Planung!HS44,IF(UPPER(Planung!HS44)="H",$C44/2,0)))))))</f>
        <v>0</v>
      </c>
      <c r="HT44" s="27">
        <f>IF($A44="",0,IF(Mitarbeiter!$G$42=FALSE,0,IF(AND(Mitarbeiter!$E$42&lt;&gt;"",HT$5+6&lt;Mitarbeiter!$E$42),0,IF(AND(Mitarbeiter!$F$42&lt;&gt;"",HT$5&gt;Mitarbeiter!$F$42),0,IF(Planung!HT44="",$C44,IF(ISNUMBER(Planung!HT44),Planung!HT44,IF(UPPER(Planung!HT44)="H",$C44/2,0)))))))</f>
        <v>0</v>
      </c>
      <c r="HU44" s="27">
        <f>IF($A44="",0,IF(Mitarbeiter!$G$42=FALSE,0,IF(AND(Mitarbeiter!$E$42&lt;&gt;"",HU$5+6&lt;Mitarbeiter!$E$42),0,IF(AND(Mitarbeiter!$F$42&lt;&gt;"",HU$5&gt;Mitarbeiter!$F$42),0,IF(Planung!HU44="",$C44,IF(ISNUMBER(Planung!HU44),Planung!HU44,IF(UPPER(Planung!HU44)="H",$C44/2,0)))))))</f>
        <v>0</v>
      </c>
      <c r="HV44" s="27">
        <f>IF($A44="",0,IF(Mitarbeiter!$G$42=FALSE,0,IF(AND(Mitarbeiter!$E$42&lt;&gt;"",HV$5+6&lt;Mitarbeiter!$E$42),0,IF(AND(Mitarbeiter!$F$42&lt;&gt;"",HV$5&gt;Mitarbeiter!$F$42),0,IF(Planung!HV44="",$C44,IF(ISNUMBER(Planung!HV44),Planung!HV44,IF(UPPER(Planung!HV44)="H",$C44/2,0)))))))</f>
        <v>0</v>
      </c>
      <c r="HW44" s="27">
        <f>IF($A44="",0,IF(Mitarbeiter!$G$42=FALSE,0,IF(AND(Mitarbeiter!$E$42&lt;&gt;"",HW$5+6&lt;Mitarbeiter!$E$42),0,IF(AND(Mitarbeiter!$F$42&lt;&gt;"",HW$5&gt;Mitarbeiter!$F$42),0,IF(Planung!HW44="",$C44,IF(ISNUMBER(Planung!HW44),Planung!HW44,IF(UPPER(Planung!HW44)="H",$C44/2,0)))))))</f>
        <v>0</v>
      </c>
      <c r="HX44" s="27">
        <f>IF($A44="",0,IF(Mitarbeiter!$G$42=FALSE,0,IF(AND(Mitarbeiter!$E$42&lt;&gt;"",HX$5+6&lt;Mitarbeiter!$E$42),0,IF(AND(Mitarbeiter!$F$42&lt;&gt;"",HX$5&gt;Mitarbeiter!$F$42),0,IF(Planung!HX44="",$C44,IF(ISNUMBER(Planung!HX44),Planung!HX44,IF(UPPER(Planung!HX44)="H",$C44/2,0)))))))</f>
        <v>0</v>
      </c>
      <c r="HY44" s="27">
        <f>IF($A44="",0,IF(Mitarbeiter!$G$42=FALSE,0,IF(AND(Mitarbeiter!$E$42&lt;&gt;"",HY$5+6&lt;Mitarbeiter!$E$42),0,IF(AND(Mitarbeiter!$F$42&lt;&gt;"",HY$5&gt;Mitarbeiter!$F$42),0,IF(Planung!HY44="",$C44,IF(ISNUMBER(Planung!HY44),Planung!HY44,IF(UPPER(Planung!HY44)="H",$C44/2,0)))))))</f>
        <v>0</v>
      </c>
      <c r="HZ44" s="27">
        <f>IF($A44="",0,IF(Mitarbeiter!$G$42=FALSE,0,IF(AND(Mitarbeiter!$E$42&lt;&gt;"",HZ$5+6&lt;Mitarbeiter!$E$42),0,IF(AND(Mitarbeiter!$F$42&lt;&gt;"",HZ$5&gt;Mitarbeiter!$F$42),0,IF(Planung!HZ44="",$C44,IF(ISNUMBER(Planung!HZ44),Planung!HZ44,IF(UPPER(Planung!HZ44)="H",$C44/2,0)))))))</f>
        <v>0</v>
      </c>
      <c r="IA44" s="27">
        <f>IF($A44="",0,IF(Mitarbeiter!$G$42=FALSE,0,IF(AND(Mitarbeiter!$E$42&lt;&gt;"",IA$5+6&lt;Mitarbeiter!$E$42),0,IF(AND(Mitarbeiter!$F$42&lt;&gt;"",IA$5&gt;Mitarbeiter!$F$42),0,IF(Planung!IA44="",$C44,IF(ISNUMBER(Planung!IA44),Planung!IA44,IF(UPPER(Planung!IA44)="H",$C44/2,0)))))))</f>
        <v>0</v>
      </c>
    </row>
    <row r="45" spans="1:235" x14ac:dyDescent="0.25">
      <c r="A45" s="7" t="str">
        <f>Planung!A45</f>
        <v/>
      </c>
      <c r="B45" s="7" t="str">
        <f>Planung!B45</f>
        <v/>
      </c>
      <c r="C45" s="27">
        <f>N(Mitarbeiter!$D$43)</f>
        <v>0</v>
      </c>
      <c r="D45" s="27">
        <f>IF($A45="",0,IF(Mitarbeiter!$G$43=FALSE,0,IF(AND(Mitarbeiter!$E$43&lt;&gt;"",D$5+6&lt;Mitarbeiter!$E$43),0,IF(AND(Mitarbeiter!$F$43&lt;&gt;"",D$5&gt;Mitarbeiter!$F$43),0,IF(Planung!D45="",$C45,IF(ISNUMBER(Planung!D45),Planung!D45,IF(UPPER(Planung!D45)="H",$C45/2,0)))))))</f>
        <v>0</v>
      </c>
      <c r="E45" s="27">
        <f>IF($A45="",0,IF(Mitarbeiter!$G$43=FALSE,0,IF(AND(Mitarbeiter!$E$43&lt;&gt;"",E$5+6&lt;Mitarbeiter!$E$43),0,IF(AND(Mitarbeiter!$F$43&lt;&gt;"",E$5&gt;Mitarbeiter!$F$43),0,IF(Planung!E45="",$C45,IF(ISNUMBER(Planung!E45),Planung!E45,IF(UPPER(Planung!E45)="H",$C45/2,0)))))))</f>
        <v>0</v>
      </c>
      <c r="F45" s="27">
        <f>IF($A45="",0,IF(Mitarbeiter!$G$43=FALSE,0,IF(AND(Mitarbeiter!$E$43&lt;&gt;"",F$5+6&lt;Mitarbeiter!$E$43),0,IF(AND(Mitarbeiter!$F$43&lt;&gt;"",F$5&gt;Mitarbeiter!$F$43),0,IF(Planung!F45="",$C45,IF(ISNUMBER(Planung!F45),Planung!F45,IF(UPPER(Planung!F45)="H",$C45/2,0)))))))</f>
        <v>0</v>
      </c>
      <c r="G45" s="27">
        <f>IF($A45="",0,IF(Mitarbeiter!$G$43=FALSE,0,IF(AND(Mitarbeiter!$E$43&lt;&gt;"",G$5+6&lt;Mitarbeiter!$E$43),0,IF(AND(Mitarbeiter!$F$43&lt;&gt;"",G$5&gt;Mitarbeiter!$F$43),0,IF(Planung!G45="",$C45,IF(ISNUMBER(Planung!G45),Planung!G45,IF(UPPER(Planung!G45)="H",$C45/2,0)))))))</f>
        <v>0</v>
      </c>
      <c r="H45" s="27">
        <f>IF($A45="",0,IF(Mitarbeiter!$G$43=FALSE,0,IF(AND(Mitarbeiter!$E$43&lt;&gt;"",H$5+6&lt;Mitarbeiter!$E$43),0,IF(AND(Mitarbeiter!$F$43&lt;&gt;"",H$5&gt;Mitarbeiter!$F$43),0,IF(Planung!H45="",$C45,IF(ISNUMBER(Planung!H45),Planung!H45,IF(UPPER(Planung!H45)="H",$C45/2,0)))))))</f>
        <v>0</v>
      </c>
      <c r="I45" s="27">
        <f>IF($A45="",0,IF(Mitarbeiter!$G$43=FALSE,0,IF(AND(Mitarbeiter!$E$43&lt;&gt;"",I$5+6&lt;Mitarbeiter!$E$43),0,IF(AND(Mitarbeiter!$F$43&lt;&gt;"",I$5&gt;Mitarbeiter!$F$43),0,IF(Planung!I45="",$C45,IF(ISNUMBER(Planung!I45),Planung!I45,IF(UPPER(Planung!I45)="H",$C45/2,0)))))))</f>
        <v>0</v>
      </c>
      <c r="J45" s="27">
        <f>IF($A45="",0,IF(Mitarbeiter!$G$43=FALSE,0,IF(AND(Mitarbeiter!$E$43&lt;&gt;"",J$5+6&lt;Mitarbeiter!$E$43),0,IF(AND(Mitarbeiter!$F$43&lt;&gt;"",J$5&gt;Mitarbeiter!$F$43),0,IF(Planung!J45="",$C45,IF(ISNUMBER(Planung!J45),Planung!J45,IF(UPPER(Planung!J45)="H",$C45/2,0)))))))</f>
        <v>0</v>
      </c>
      <c r="K45" s="27">
        <f>IF($A45="",0,IF(Mitarbeiter!$G$43=FALSE,0,IF(AND(Mitarbeiter!$E$43&lt;&gt;"",K$5+6&lt;Mitarbeiter!$E$43),0,IF(AND(Mitarbeiter!$F$43&lt;&gt;"",K$5&gt;Mitarbeiter!$F$43),0,IF(Planung!K45="",$C45,IF(ISNUMBER(Planung!K45),Planung!K45,IF(UPPER(Planung!K45)="H",$C45/2,0)))))))</f>
        <v>0</v>
      </c>
      <c r="L45" s="27">
        <f>IF($A45="",0,IF(Mitarbeiter!$G$43=FALSE,0,IF(AND(Mitarbeiter!$E$43&lt;&gt;"",L$5+6&lt;Mitarbeiter!$E$43),0,IF(AND(Mitarbeiter!$F$43&lt;&gt;"",L$5&gt;Mitarbeiter!$F$43),0,IF(Planung!L45="",$C45,IF(ISNUMBER(Planung!L45),Planung!L45,IF(UPPER(Planung!L45)="H",$C45/2,0)))))))</f>
        <v>0</v>
      </c>
      <c r="M45" s="27">
        <f>IF($A45="",0,IF(Mitarbeiter!$G$43=FALSE,0,IF(AND(Mitarbeiter!$E$43&lt;&gt;"",M$5+6&lt;Mitarbeiter!$E$43),0,IF(AND(Mitarbeiter!$F$43&lt;&gt;"",M$5&gt;Mitarbeiter!$F$43),0,IF(Planung!M45="",$C45,IF(ISNUMBER(Planung!M45),Planung!M45,IF(UPPER(Planung!M45)="H",$C45/2,0)))))))</f>
        <v>0</v>
      </c>
      <c r="N45" s="27">
        <f>IF($A45="",0,IF(Mitarbeiter!$G$43=FALSE,0,IF(AND(Mitarbeiter!$E$43&lt;&gt;"",N$5+6&lt;Mitarbeiter!$E$43),0,IF(AND(Mitarbeiter!$F$43&lt;&gt;"",N$5&gt;Mitarbeiter!$F$43),0,IF(Planung!N45="",$C45,IF(ISNUMBER(Planung!N45),Planung!N45,IF(UPPER(Planung!N45)="H",$C45/2,0)))))))</f>
        <v>0</v>
      </c>
      <c r="O45" s="27">
        <f>IF($A45="",0,IF(Mitarbeiter!$G$43=FALSE,0,IF(AND(Mitarbeiter!$E$43&lt;&gt;"",O$5+6&lt;Mitarbeiter!$E$43),0,IF(AND(Mitarbeiter!$F$43&lt;&gt;"",O$5&gt;Mitarbeiter!$F$43),0,IF(Planung!O45="",$C45,IF(ISNUMBER(Planung!O45),Planung!O45,IF(UPPER(Planung!O45)="H",$C45/2,0)))))))</f>
        <v>0</v>
      </c>
      <c r="P45" s="27">
        <f>IF($A45="",0,IF(Mitarbeiter!$G$43=FALSE,0,IF(AND(Mitarbeiter!$E$43&lt;&gt;"",P$5+6&lt;Mitarbeiter!$E$43),0,IF(AND(Mitarbeiter!$F$43&lt;&gt;"",P$5&gt;Mitarbeiter!$F$43),0,IF(Planung!P45="",$C45,IF(ISNUMBER(Planung!P45),Planung!P45,IF(UPPER(Planung!P45)="H",$C45/2,0)))))))</f>
        <v>0</v>
      </c>
      <c r="Q45" s="27">
        <f>IF($A45="",0,IF(Mitarbeiter!$G$43=FALSE,0,IF(AND(Mitarbeiter!$E$43&lt;&gt;"",Q$5+6&lt;Mitarbeiter!$E$43),0,IF(AND(Mitarbeiter!$F$43&lt;&gt;"",Q$5&gt;Mitarbeiter!$F$43),0,IF(Planung!Q45="",$C45,IF(ISNUMBER(Planung!Q45),Planung!Q45,IF(UPPER(Planung!Q45)="H",$C45/2,0)))))))</f>
        <v>0</v>
      </c>
      <c r="R45" s="27">
        <f>IF($A45="",0,IF(Mitarbeiter!$G$43=FALSE,0,IF(AND(Mitarbeiter!$E$43&lt;&gt;"",R$5+6&lt;Mitarbeiter!$E$43),0,IF(AND(Mitarbeiter!$F$43&lt;&gt;"",R$5&gt;Mitarbeiter!$F$43),0,IF(Planung!R45="",$C45,IF(ISNUMBER(Planung!R45),Planung!R45,IF(UPPER(Planung!R45)="H",$C45/2,0)))))))</f>
        <v>0</v>
      </c>
      <c r="S45" s="27">
        <f>IF($A45="",0,IF(Mitarbeiter!$G$43=FALSE,0,IF(AND(Mitarbeiter!$E$43&lt;&gt;"",S$5+6&lt;Mitarbeiter!$E$43),0,IF(AND(Mitarbeiter!$F$43&lt;&gt;"",S$5&gt;Mitarbeiter!$F$43),0,IF(Planung!S45="",$C45,IF(ISNUMBER(Planung!S45),Planung!S45,IF(UPPER(Planung!S45)="H",$C45/2,0)))))))</f>
        <v>0</v>
      </c>
      <c r="T45" s="27">
        <f>IF($A45="",0,IF(Mitarbeiter!$G$43=FALSE,0,IF(AND(Mitarbeiter!$E$43&lt;&gt;"",T$5+6&lt;Mitarbeiter!$E$43),0,IF(AND(Mitarbeiter!$F$43&lt;&gt;"",T$5&gt;Mitarbeiter!$F$43),0,IF(Planung!T45="",$C45,IF(ISNUMBER(Planung!T45),Planung!T45,IF(UPPER(Planung!T45)="H",$C45/2,0)))))))</f>
        <v>0</v>
      </c>
      <c r="U45" s="27">
        <f>IF($A45="",0,IF(Mitarbeiter!$G$43=FALSE,0,IF(AND(Mitarbeiter!$E$43&lt;&gt;"",U$5+6&lt;Mitarbeiter!$E$43),0,IF(AND(Mitarbeiter!$F$43&lt;&gt;"",U$5&gt;Mitarbeiter!$F$43),0,IF(Planung!U45="",$C45,IF(ISNUMBER(Planung!U45),Planung!U45,IF(UPPER(Planung!U45)="H",$C45/2,0)))))))</f>
        <v>0</v>
      </c>
      <c r="V45" s="27">
        <f>IF($A45="",0,IF(Mitarbeiter!$G$43=FALSE,0,IF(AND(Mitarbeiter!$E$43&lt;&gt;"",V$5+6&lt;Mitarbeiter!$E$43),0,IF(AND(Mitarbeiter!$F$43&lt;&gt;"",V$5&gt;Mitarbeiter!$F$43),0,IF(Planung!V45="",$C45,IF(ISNUMBER(Planung!V45),Planung!V45,IF(UPPER(Planung!V45)="H",$C45/2,0)))))))</f>
        <v>0</v>
      </c>
      <c r="W45" s="27">
        <f>IF($A45="",0,IF(Mitarbeiter!$G$43=FALSE,0,IF(AND(Mitarbeiter!$E$43&lt;&gt;"",W$5+6&lt;Mitarbeiter!$E$43),0,IF(AND(Mitarbeiter!$F$43&lt;&gt;"",W$5&gt;Mitarbeiter!$F$43),0,IF(Planung!W45="",$C45,IF(ISNUMBER(Planung!W45),Planung!W45,IF(UPPER(Planung!W45)="H",$C45/2,0)))))))</f>
        <v>0</v>
      </c>
      <c r="X45" s="27">
        <f>IF($A45="",0,IF(Mitarbeiter!$G$43=FALSE,0,IF(AND(Mitarbeiter!$E$43&lt;&gt;"",X$5+6&lt;Mitarbeiter!$E$43),0,IF(AND(Mitarbeiter!$F$43&lt;&gt;"",X$5&gt;Mitarbeiter!$F$43),0,IF(Planung!X45="",$C45,IF(ISNUMBER(Planung!X45),Planung!X45,IF(UPPER(Planung!X45)="H",$C45/2,0)))))))</f>
        <v>0</v>
      </c>
      <c r="Y45" s="27">
        <f>IF($A45="",0,IF(Mitarbeiter!$G$43=FALSE,0,IF(AND(Mitarbeiter!$E$43&lt;&gt;"",Y$5+6&lt;Mitarbeiter!$E$43),0,IF(AND(Mitarbeiter!$F$43&lt;&gt;"",Y$5&gt;Mitarbeiter!$F$43),0,IF(Planung!Y45="",$C45,IF(ISNUMBER(Planung!Y45),Planung!Y45,IF(UPPER(Planung!Y45)="H",$C45/2,0)))))))</f>
        <v>0</v>
      </c>
      <c r="Z45" s="27">
        <f>IF($A45="",0,IF(Mitarbeiter!$G$43=FALSE,0,IF(AND(Mitarbeiter!$E$43&lt;&gt;"",Z$5+6&lt;Mitarbeiter!$E$43),0,IF(AND(Mitarbeiter!$F$43&lt;&gt;"",Z$5&gt;Mitarbeiter!$F$43),0,IF(Planung!Z45="",$C45,IF(ISNUMBER(Planung!Z45),Planung!Z45,IF(UPPER(Planung!Z45)="H",$C45/2,0)))))))</f>
        <v>0</v>
      </c>
      <c r="AA45" s="27">
        <f>IF($A45="",0,IF(Mitarbeiter!$G$43=FALSE,0,IF(AND(Mitarbeiter!$E$43&lt;&gt;"",AA$5+6&lt;Mitarbeiter!$E$43),0,IF(AND(Mitarbeiter!$F$43&lt;&gt;"",AA$5&gt;Mitarbeiter!$F$43),0,IF(Planung!AA45="",$C45,IF(ISNUMBER(Planung!AA45),Planung!AA45,IF(UPPER(Planung!AA45)="H",$C45/2,0)))))))</f>
        <v>0</v>
      </c>
      <c r="AB45" s="27">
        <f>IF($A45="",0,IF(Mitarbeiter!$G$43=FALSE,0,IF(AND(Mitarbeiter!$E$43&lt;&gt;"",AB$5+6&lt;Mitarbeiter!$E$43),0,IF(AND(Mitarbeiter!$F$43&lt;&gt;"",AB$5&gt;Mitarbeiter!$F$43),0,IF(Planung!AB45="",$C45,IF(ISNUMBER(Planung!AB45),Planung!AB45,IF(UPPER(Planung!AB45)="H",$C45/2,0)))))))</f>
        <v>0</v>
      </c>
      <c r="AC45" s="27">
        <f>IF($A45="",0,IF(Mitarbeiter!$G$43=FALSE,0,IF(AND(Mitarbeiter!$E$43&lt;&gt;"",AC$5+6&lt;Mitarbeiter!$E$43),0,IF(AND(Mitarbeiter!$F$43&lt;&gt;"",AC$5&gt;Mitarbeiter!$F$43),0,IF(Planung!AC45="",$C45,IF(ISNUMBER(Planung!AC45),Planung!AC45,IF(UPPER(Planung!AC45)="H",$C45/2,0)))))))</f>
        <v>0</v>
      </c>
      <c r="AD45" s="27">
        <f>IF($A45="",0,IF(Mitarbeiter!$G$43=FALSE,0,IF(AND(Mitarbeiter!$E$43&lt;&gt;"",AD$5+6&lt;Mitarbeiter!$E$43),0,IF(AND(Mitarbeiter!$F$43&lt;&gt;"",AD$5&gt;Mitarbeiter!$F$43),0,IF(Planung!AD45="",$C45,IF(ISNUMBER(Planung!AD45),Planung!AD45,IF(UPPER(Planung!AD45)="H",$C45/2,0)))))))</f>
        <v>0</v>
      </c>
      <c r="AE45" s="27">
        <f>IF($A45="",0,IF(Mitarbeiter!$G$43=FALSE,0,IF(AND(Mitarbeiter!$E$43&lt;&gt;"",AE$5+6&lt;Mitarbeiter!$E$43),0,IF(AND(Mitarbeiter!$F$43&lt;&gt;"",AE$5&gt;Mitarbeiter!$F$43),0,IF(Planung!AE45="",$C45,IF(ISNUMBER(Planung!AE45),Planung!AE45,IF(UPPER(Planung!AE45)="H",$C45/2,0)))))))</f>
        <v>0</v>
      </c>
      <c r="AF45" s="27">
        <f>IF($A45="",0,IF(Mitarbeiter!$G$43=FALSE,0,IF(AND(Mitarbeiter!$E$43&lt;&gt;"",AF$5+6&lt;Mitarbeiter!$E$43),0,IF(AND(Mitarbeiter!$F$43&lt;&gt;"",AF$5&gt;Mitarbeiter!$F$43),0,IF(Planung!AF45="",$C45,IF(ISNUMBER(Planung!AF45),Planung!AF45,IF(UPPER(Planung!AF45)="H",$C45/2,0)))))))</f>
        <v>0</v>
      </c>
      <c r="AG45" s="27">
        <f>IF($A45="",0,IF(Mitarbeiter!$G$43=FALSE,0,IF(AND(Mitarbeiter!$E$43&lt;&gt;"",AG$5+6&lt;Mitarbeiter!$E$43),0,IF(AND(Mitarbeiter!$F$43&lt;&gt;"",AG$5&gt;Mitarbeiter!$F$43),0,IF(Planung!AG45="",$C45,IF(ISNUMBER(Planung!AG45),Planung!AG45,IF(UPPER(Planung!AG45)="H",$C45/2,0)))))))</f>
        <v>0</v>
      </c>
      <c r="AH45" s="27">
        <f>IF($A45="",0,IF(Mitarbeiter!$G$43=FALSE,0,IF(AND(Mitarbeiter!$E$43&lt;&gt;"",AH$5+6&lt;Mitarbeiter!$E$43),0,IF(AND(Mitarbeiter!$F$43&lt;&gt;"",AH$5&gt;Mitarbeiter!$F$43),0,IF(Planung!AH45="",$C45,IF(ISNUMBER(Planung!AH45),Planung!AH45,IF(UPPER(Planung!AH45)="H",$C45/2,0)))))))</f>
        <v>0</v>
      </c>
      <c r="AI45" s="27">
        <f>IF($A45="",0,IF(Mitarbeiter!$G$43=FALSE,0,IF(AND(Mitarbeiter!$E$43&lt;&gt;"",AI$5+6&lt;Mitarbeiter!$E$43),0,IF(AND(Mitarbeiter!$F$43&lt;&gt;"",AI$5&gt;Mitarbeiter!$F$43),0,IF(Planung!AI45="",$C45,IF(ISNUMBER(Planung!AI45),Planung!AI45,IF(UPPER(Planung!AI45)="H",$C45/2,0)))))))</f>
        <v>0</v>
      </c>
      <c r="AJ45" s="27">
        <f>IF($A45="",0,IF(Mitarbeiter!$G$43=FALSE,0,IF(AND(Mitarbeiter!$E$43&lt;&gt;"",AJ$5+6&lt;Mitarbeiter!$E$43),0,IF(AND(Mitarbeiter!$F$43&lt;&gt;"",AJ$5&gt;Mitarbeiter!$F$43),0,IF(Planung!AJ45="",$C45,IF(ISNUMBER(Planung!AJ45),Planung!AJ45,IF(UPPER(Planung!AJ45)="H",$C45/2,0)))))))</f>
        <v>0</v>
      </c>
      <c r="AK45" s="27">
        <f>IF($A45="",0,IF(Mitarbeiter!$G$43=FALSE,0,IF(AND(Mitarbeiter!$E$43&lt;&gt;"",AK$5+6&lt;Mitarbeiter!$E$43),0,IF(AND(Mitarbeiter!$F$43&lt;&gt;"",AK$5&gt;Mitarbeiter!$F$43),0,IF(Planung!AK45="",$C45,IF(ISNUMBER(Planung!AK45),Planung!AK45,IF(UPPER(Planung!AK45)="H",$C45/2,0)))))))</f>
        <v>0</v>
      </c>
      <c r="AL45" s="27">
        <f>IF($A45="",0,IF(Mitarbeiter!$G$43=FALSE,0,IF(AND(Mitarbeiter!$E$43&lt;&gt;"",AL$5+6&lt;Mitarbeiter!$E$43),0,IF(AND(Mitarbeiter!$F$43&lt;&gt;"",AL$5&gt;Mitarbeiter!$F$43),0,IF(Planung!AL45="",$C45,IF(ISNUMBER(Planung!AL45),Planung!AL45,IF(UPPER(Planung!AL45)="H",$C45/2,0)))))))</f>
        <v>0</v>
      </c>
      <c r="AM45" s="27">
        <f>IF($A45="",0,IF(Mitarbeiter!$G$43=FALSE,0,IF(AND(Mitarbeiter!$E$43&lt;&gt;"",AM$5+6&lt;Mitarbeiter!$E$43),0,IF(AND(Mitarbeiter!$F$43&lt;&gt;"",AM$5&gt;Mitarbeiter!$F$43),0,IF(Planung!AM45="",$C45,IF(ISNUMBER(Planung!AM45),Planung!AM45,IF(UPPER(Planung!AM45)="H",$C45/2,0)))))))</f>
        <v>0</v>
      </c>
      <c r="AN45" s="27">
        <f>IF($A45="",0,IF(Mitarbeiter!$G$43=FALSE,0,IF(AND(Mitarbeiter!$E$43&lt;&gt;"",AN$5+6&lt;Mitarbeiter!$E$43),0,IF(AND(Mitarbeiter!$F$43&lt;&gt;"",AN$5&gt;Mitarbeiter!$F$43),0,IF(Planung!AN45="",$C45,IF(ISNUMBER(Planung!AN45),Planung!AN45,IF(UPPER(Planung!AN45)="H",$C45/2,0)))))))</f>
        <v>0</v>
      </c>
      <c r="AO45" s="27">
        <f>IF($A45="",0,IF(Mitarbeiter!$G$43=FALSE,0,IF(AND(Mitarbeiter!$E$43&lt;&gt;"",AO$5+6&lt;Mitarbeiter!$E$43),0,IF(AND(Mitarbeiter!$F$43&lt;&gt;"",AO$5&gt;Mitarbeiter!$F$43),0,IF(Planung!AO45="",$C45,IF(ISNUMBER(Planung!AO45),Planung!AO45,IF(UPPER(Planung!AO45)="H",$C45/2,0)))))))</f>
        <v>0</v>
      </c>
      <c r="AP45" s="27">
        <f>IF($A45="",0,IF(Mitarbeiter!$G$43=FALSE,0,IF(AND(Mitarbeiter!$E$43&lt;&gt;"",AP$5+6&lt;Mitarbeiter!$E$43),0,IF(AND(Mitarbeiter!$F$43&lt;&gt;"",AP$5&gt;Mitarbeiter!$F$43),0,IF(Planung!AP45="",$C45,IF(ISNUMBER(Planung!AP45),Planung!AP45,IF(UPPER(Planung!AP45)="H",$C45/2,0)))))))</f>
        <v>0</v>
      </c>
      <c r="AQ45" s="27">
        <f>IF($A45="",0,IF(Mitarbeiter!$G$43=FALSE,0,IF(AND(Mitarbeiter!$E$43&lt;&gt;"",AQ$5+6&lt;Mitarbeiter!$E$43),0,IF(AND(Mitarbeiter!$F$43&lt;&gt;"",AQ$5&gt;Mitarbeiter!$F$43),0,IF(Planung!AQ45="",$C45,IF(ISNUMBER(Planung!AQ45),Planung!AQ45,IF(UPPER(Planung!AQ45)="H",$C45/2,0)))))))</f>
        <v>0</v>
      </c>
      <c r="AR45" s="27">
        <f>IF($A45="",0,IF(Mitarbeiter!$G$43=FALSE,0,IF(AND(Mitarbeiter!$E$43&lt;&gt;"",AR$5+6&lt;Mitarbeiter!$E$43),0,IF(AND(Mitarbeiter!$F$43&lt;&gt;"",AR$5&gt;Mitarbeiter!$F$43),0,IF(Planung!AR45="",$C45,IF(ISNUMBER(Planung!AR45),Planung!AR45,IF(UPPER(Planung!AR45)="H",$C45/2,0)))))))</f>
        <v>0</v>
      </c>
      <c r="AS45" s="27">
        <f>IF($A45="",0,IF(Mitarbeiter!$G$43=FALSE,0,IF(AND(Mitarbeiter!$E$43&lt;&gt;"",AS$5+6&lt;Mitarbeiter!$E$43),0,IF(AND(Mitarbeiter!$F$43&lt;&gt;"",AS$5&gt;Mitarbeiter!$F$43),0,IF(Planung!AS45="",$C45,IF(ISNUMBER(Planung!AS45),Planung!AS45,IF(UPPER(Planung!AS45)="H",$C45/2,0)))))))</f>
        <v>0</v>
      </c>
      <c r="AT45" s="27">
        <f>IF($A45="",0,IF(Mitarbeiter!$G$43=FALSE,0,IF(AND(Mitarbeiter!$E$43&lt;&gt;"",AT$5+6&lt;Mitarbeiter!$E$43),0,IF(AND(Mitarbeiter!$F$43&lt;&gt;"",AT$5&gt;Mitarbeiter!$F$43),0,IF(Planung!AT45="",$C45,IF(ISNUMBER(Planung!AT45),Planung!AT45,IF(UPPER(Planung!AT45)="H",$C45/2,0)))))))</f>
        <v>0</v>
      </c>
      <c r="AU45" s="27">
        <f>IF($A45="",0,IF(Mitarbeiter!$G$43=FALSE,0,IF(AND(Mitarbeiter!$E$43&lt;&gt;"",AU$5+6&lt;Mitarbeiter!$E$43),0,IF(AND(Mitarbeiter!$F$43&lt;&gt;"",AU$5&gt;Mitarbeiter!$F$43),0,IF(Planung!AU45="",$C45,IF(ISNUMBER(Planung!AU45),Planung!AU45,IF(UPPER(Planung!AU45)="H",$C45/2,0)))))))</f>
        <v>0</v>
      </c>
      <c r="AV45" s="27">
        <f>IF($A45="",0,IF(Mitarbeiter!$G$43=FALSE,0,IF(AND(Mitarbeiter!$E$43&lt;&gt;"",AV$5+6&lt;Mitarbeiter!$E$43),0,IF(AND(Mitarbeiter!$F$43&lt;&gt;"",AV$5&gt;Mitarbeiter!$F$43),0,IF(Planung!AV45="",$C45,IF(ISNUMBER(Planung!AV45),Planung!AV45,IF(UPPER(Planung!AV45)="H",$C45/2,0)))))))</f>
        <v>0</v>
      </c>
      <c r="AW45" s="27">
        <f>IF($A45="",0,IF(Mitarbeiter!$G$43=FALSE,0,IF(AND(Mitarbeiter!$E$43&lt;&gt;"",AW$5+6&lt;Mitarbeiter!$E$43),0,IF(AND(Mitarbeiter!$F$43&lt;&gt;"",AW$5&gt;Mitarbeiter!$F$43),0,IF(Planung!AW45="",$C45,IF(ISNUMBER(Planung!AW45),Planung!AW45,IF(UPPER(Planung!AW45)="H",$C45/2,0)))))))</f>
        <v>0</v>
      </c>
      <c r="AX45" s="27">
        <f>IF($A45="",0,IF(Mitarbeiter!$G$43=FALSE,0,IF(AND(Mitarbeiter!$E$43&lt;&gt;"",AX$5+6&lt;Mitarbeiter!$E$43),0,IF(AND(Mitarbeiter!$F$43&lt;&gt;"",AX$5&gt;Mitarbeiter!$F$43),0,IF(Planung!AX45="",$C45,IF(ISNUMBER(Planung!AX45),Planung!AX45,IF(UPPER(Planung!AX45)="H",$C45/2,0)))))))</f>
        <v>0</v>
      </c>
      <c r="AY45" s="27">
        <f>IF($A45="",0,IF(Mitarbeiter!$G$43=FALSE,0,IF(AND(Mitarbeiter!$E$43&lt;&gt;"",AY$5+6&lt;Mitarbeiter!$E$43),0,IF(AND(Mitarbeiter!$F$43&lt;&gt;"",AY$5&gt;Mitarbeiter!$F$43),0,IF(Planung!AY45="",$C45,IF(ISNUMBER(Planung!AY45),Planung!AY45,IF(UPPER(Planung!AY45)="H",$C45/2,0)))))))</f>
        <v>0</v>
      </c>
      <c r="AZ45" s="27">
        <f>IF($A45="",0,IF(Mitarbeiter!$G$43=FALSE,0,IF(AND(Mitarbeiter!$E$43&lt;&gt;"",AZ$5+6&lt;Mitarbeiter!$E$43),0,IF(AND(Mitarbeiter!$F$43&lt;&gt;"",AZ$5&gt;Mitarbeiter!$F$43),0,IF(Planung!AZ45="",$C45,IF(ISNUMBER(Planung!AZ45),Planung!AZ45,IF(UPPER(Planung!AZ45)="H",$C45/2,0)))))))</f>
        <v>0</v>
      </c>
      <c r="BA45" s="27">
        <f>IF($A45="",0,IF(Mitarbeiter!$G$43=FALSE,0,IF(AND(Mitarbeiter!$E$43&lt;&gt;"",BA$5+6&lt;Mitarbeiter!$E$43),0,IF(AND(Mitarbeiter!$F$43&lt;&gt;"",BA$5&gt;Mitarbeiter!$F$43),0,IF(Planung!BA45="",$C45,IF(ISNUMBER(Planung!BA45),Planung!BA45,IF(UPPER(Planung!BA45)="H",$C45/2,0)))))))</f>
        <v>0</v>
      </c>
      <c r="BB45" s="27">
        <f>IF($A45="",0,IF(Mitarbeiter!$G$43=FALSE,0,IF(AND(Mitarbeiter!$E$43&lt;&gt;"",BB$5+6&lt;Mitarbeiter!$E$43),0,IF(AND(Mitarbeiter!$F$43&lt;&gt;"",BB$5&gt;Mitarbeiter!$F$43),0,IF(Planung!BB45="",$C45,IF(ISNUMBER(Planung!BB45),Planung!BB45,IF(UPPER(Planung!BB45)="H",$C45/2,0)))))))</f>
        <v>0</v>
      </c>
      <c r="BC45" s="27">
        <f>IF($A45="",0,IF(Mitarbeiter!$G$43=FALSE,0,IF(AND(Mitarbeiter!$E$43&lt;&gt;"",BC$5+6&lt;Mitarbeiter!$E$43),0,IF(AND(Mitarbeiter!$F$43&lt;&gt;"",BC$5&gt;Mitarbeiter!$F$43),0,IF(Planung!BC45="",$C45,IF(ISNUMBER(Planung!BC45),Planung!BC45,IF(UPPER(Planung!BC45)="H",$C45/2,0)))))))</f>
        <v>0</v>
      </c>
      <c r="BD45" s="27">
        <f>IF($A45="",0,IF(Mitarbeiter!$G$43=FALSE,0,IF(AND(Mitarbeiter!$E$43&lt;&gt;"",BD$5+6&lt;Mitarbeiter!$E$43),0,IF(AND(Mitarbeiter!$F$43&lt;&gt;"",BD$5&gt;Mitarbeiter!$F$43),0,IF(Planung!BD45="",$C45,IF(ISNUMBER(Planung!BD45),Planung!BD45,IF(UPPER(Planung!BD45)="H",$C45/2,0)))))))</f>
        <v>0</v>
      </c>
      <c r="BE45" s="27">
        <f>IF($A45="",0,IF(Mitarbeiter!$G$43=FALSE,0,IF(AND(Mitarbeiter!$E$43&lt;&gt;"",BE$5+6&lt;Mitarbeiter!$E$43),0,IF(AND(Mitarbeiter!$F$43&lt;&gt;"",BE$5&gt;Mitarbeiter!$F$43),0,IF(Planung!BE45="",$C45,IF(ISNUMBER(Planung!BE45),Planung!BE45,IF(UPPER(Planung!BE45)="H",$C45/2,0)))))))</f>
        <v>0</v>
      </c>
      <c r="BF45" s="27">
        <f>IF($A45="",0,IF(Mitarbeiter!$G$43=FALSE,0,IF(AND(Mitarbeiter!$E$43&lt;&gt;"",BF$5+6&lt;Mitarbeiter!$E$43),0,IF(AND(Mitarbeiter!$F$43&lt;&gt;"",BF$5&gt;Mitarbeiter!$F$43),0,IF(Planung!BF45="",$C45,IF(ISNUMBER(Planung!BF45),Planung!BF45,IF(UPPER(Planung!BF45)="H",$C45/2,0)))))))</f>
        <v>0</v>
      </c>
      <c r="BG45" s="27">
        <f>IF($A45="",0,IF(Mitarbeiter!$G$43=FALSE,0,IF(AND(Mitarbeiter!$E$43&lt;&gt;"",BG$5+6&lt;Mitarbeiter!$E$43),0,IF(AND(Mitarbeiter!$F$43&lt;&gt;"",BG$5&gt;Mitarbeiter!$F$43),0,IF(Planung!BG45="",$C45,IF(ISNUMBER(Planung!BG45),Planung!BG45,IF(UPPER(Planung!BG45)="H",$C45/2,0)))))))</f>
        <v>0</v>
      </c>
      <c r="BH45" s="27">
        <f>IF($A45="",0,IF(Mitarbeiter!$G$43=FALSE,0,IF(AND(Mitarbeiter!$E$43&lt;&gt;"",BH$5+6&lt;Mitarbeiter!$E$43),0,IF(AND(Mitarbeiter!$F$43&lt;&gt;"",BH$5&gt;Mitarbeiter!$F$43),0,IF(Planung!BH45="",$C45,IF(ISNUMBER(Planung!BH45),Planung!BH45,IF(UPPER(Planung!BH45)="H",$C45/2,0)))))))</f>
        <v>0</v>
      </c>
      <c r="BI45" s="27">
        <f>IF($A45="",0,IF(Mitarbeiter!$G$43=FALSE,0,IF(AND(Mitarbeiter!$E$43&lt;&gt;"",BI$5+6&lt;Mitarbeiter!$E$43),0,IF(AND(Mitarbeiter!$F$43&lt;&gt;"",BI$5&gt;Mitarbeiter!$F$43),0,IF(Planung!BI45="",$C45,IF(ISNUMBER(Planung!BI45),Planung!BI45,IF(UPPER(Planung!BI45)="H",$C45/2,0)))))))</f>
        <v>0</v>
      </c>
      <c r="BJ45" s="27">
        <f>IF($A45="",0,IF(Mitarbeiter!$G$43=FALSE,0,IF(AND(Mitarbeiter!$E$43&lt;&gt;"",BJ$5+6&lt;Mitarbeiter!$E$43),0,IF(AND(Mitarbeiter!$F$43&lt;&gt;"",BJ$5&gt;Mitarbeiter!$F$43),0,IF(Planung!BJ45="",$C45,IF(ISNUMBER(Planung!BJ45),Planung!BJ45,IF(UPPER(Planung!BJ45)="H",$C45/2,0)))))))</f>
        <v>0</v>
      </c>
      <c r="BK45" s="27">
        <f>IF($A45="",0,IF(Mitarbeiter!$G$43=FALSE,0,IF(AND(Mitarbeiter!$E$43&lt;&gt;"",BK$5+6&lt;Mitarbeiter!$E$43),0,IF(AND(Mitarbeiter!$F$43&lt;&gt;"",BK$5&gt;Mitarbeiter!$F$43),0,IF(Planung!BK45="",$C45,IF(ISNUMBER(Planung!BK45),Planung!BK45,IF(UPPER(Planung!BK45)="H",$C45/2,0)))))))</f>
        <v>0</v>
      </c>
      <c r="BL45" s="27">
        <f>IF($A45="",0,IF(Mitarbeiter!$G$43=FALSE,0,IF(AND(Mitarbeiter!$E$43&lt;&gt;"",BL$5+6&lt;Mitarbeiter!$E$43),0,IF(AND(Mitarbeiter!$F$43&lt;&gt;"",BL$5&gt;Mitarbeiter!$F$43),0,IF(Planung!BL45="",$C45,IF(ISNUMBER(Planung!BL45),Planung!BL45,IF(UPPER(Planung!BL45)="H",$C45/2,0)))))))</f>
        <v>0</v>
      </c>
      <c r="BM45" s="27">
        <f>IF($A45="",0,IF(Mitarbeiter!$G$43=FALSE,0,IF(AND(Mitarbeiter!$E$43&lt;&gt;"",BM$5+6&lt;Mitarbeiter!$E$43),0,IF(AND(Mitarbeiter!$F$43&lt;&gt;"",BM$5&gt;Mitarbeiter!$F$43),0,IF(Planung!BM45="",$C45,IF(ISNUMBER(Planung!BM45),Planung!BM45,IF(UPPER(Planung!BM45)="H",$C45/2,0)))))))</f>
        <v>0</v>
      </c>
      <c r="BN45" s="27">
        <f>IF($A45="",0,IF(Mitarbeiter!$G$43=FALSE,0,IF(AND(Mitarbeiter!$E$43&lt;&gt;"",BN$5+6&lt;Mitarbeiter!$E$43),0,IF(AND(Mitarbeiter!$F$43&lt;&gt;"",BN$5&gt;Mitarbeiter!$F$43),0,IF(Planung!BN45="",$C45,IF(ISNUMBER(Planung!BN45),Planung!BN45,IF(UPPER(Planung!BN45)="H",$C45/2,0)))))))</f>
        <v>0</v>
      </c>
      <c r="BO45" s="27">
        <f>IF($A45="",0,IF(Mitarbeiter!$G$43=FALSE,0,IF(AND(Mitarbeiter!$E$43&lt;&gt;"",BO$5+6&lt;Mitarbeiter!$E$43),0,IF(AND(Mitarbeiter!$F$43&lt;&gt;"",BO$5&gt;Mitarbeiter!$F$43),0,IF(Planung!BO45="",$C45,IF(ISNUMBER(Planung!BO45),Planung!BO45,IF(UPPER(Planung!BO45)="H",$C45/2,0)))))))</f>
        <v>0</v>
      </c>
      <c r="BP45" s="27">
        <f>IF($A45="",0,IF(Mitarbeiter!$G$43=FALSE,0,IF(AND(Mitarbeiter!$E$43&lt;&gt;"",BP$5+6&lt;Mitarbeiter!$E$43),0,IF(AND(Mitarbeiter!$F$43&lt;&gt;"",BP$5&gt;Mitarbeiter!$F$43),0,IF(Planung!BP45="",$C45,IF(ISNUMBER(Planung!BP45),Planung!BP45,IF(UPPER(Planung!BP45)="H",$C45/2,0)))))))</f>
        <v>0</v>
      </c>
      <c r="BQ45" s="27">
        <f>IF($A45="",0,IF(Mitarbeiter!$G$43=FALSE,0,IF(AND(Mitarbeiter!$E$43&lt;&gt;"",BQ$5+6&lt;Mitarbeiter!$E$43),0,IF(AND(Mitarbeiter!$F$43&lt;&gt;"",BQ$5&gt;Mitarbeiter!$F$43),0,IF(Planung!BQ45="",$C45,IF(ISNUMBER(Planung!BQ45),Planung!BQ45,IF(UPPER(Planung!BQ45)="H",$C45/2,0)))))))</f>
        <v>0</v>
      </c>
      <c r="BR45" s="27">
        <f>IF($A45="",0,IF(Mitarbeiter!$G$43=FALSE,0,IF(AND(Mitarbeiter!$E$43&lt;&gt;"",BR$5+6&lt;Mitarbeiter!$E$43),0,IF(AND(Mitarbeiter!$F$43&lt;&gt;"",BR$5&gt;Mitarbeiter!$F$43),0,IF(Planung!BR45="",$C45,IF(ISNUMBER(Planung!BR45),Planung!BR45,IF(UPPER(Planung!BR45)="H",$C45/2,0)))))))</f>
        <v>0</v>
      </c>
      <c r="BS45" s="27">
        <f>IF($A45="",0,IF(Mitarbeiter!$G$43=FALSE,0,IF(AND(Mitarbeiter!$E$43&lt;&gt;"",BS$5+6&lt;Mitarbeiter!$E$43),0,IF(AND(Mitarbeiter!$F$43&lt;&gt;"",BS$5&gt;Mitarbeiter!$F$43),0,IF(Planung!BS45="",$C45,IF(ISNUMBER(Planung!BS45),Planung!BS45,IF(UPPER(Planung!BS45)="H",$C45/2,0)))))))</f>
        <v>0</v>
      </c>
      <c r="BT45" s="27">
        <f>IF($A45="",0,IF(Mitarbeiter!$G$43=FALSE,0,IF(AND(Mitarbeiter!$E$43&lt;&gt;"",BT$5+6&lt;Mitarbeiter!$E$43),0,IF(AND(Mitarbeiter!$F$43&lt;&gt;"",BT$5&gt;Mitarbeiter!$F$43),0,IF(Planung!BT45="",$C45,IF(ISNUMBER(Planung!BT45),Planung!BT45,IF(UPPER(Planung!BT45)="H",$C45/2,0)))))))</f>
        <v>0</v>
      </c>
      <c r="BU45" s="27">
        <f>IF($A45="",0,IF(Mitarbeiter!$G$43=FALSE,0,IF(AND(Mitarbeiter!$E$43&lt;&gt;"",BU$5+6&lt;Mitarbeiter!$E$43),0,IF(AND(Mitarbeiter!$F$43&lt;&gt;"",BU$5&gt;Mitarbeiter!$F$43),0,IF(Planung!BU45="",$C45,IF(ISNUMBER(Planung!BU45),Planung!BU45,IF(UPPER(Planung!BU45)="H",$C45/2,0)))))))</f>
        <v>0</v>
      </c>
      <c r="BV45" s="27">
        <f>IF($A45="",0,IF(Mitarbeiter!$G$43=FALSE,0,IF(AND(Mitarbeiter!$E$43&lt;&gt;"",BV$5+6&lt;Mitarbeiter!$E$43),0,IF(AND(Mitarbeiter!$F$43&lt;&gt;"",BV$5&gt;Mitarbeiter!$F$43),0,IF(Planung!BV45="",$C45,IF(ISNUMBER(Planung!BV45),Planung!BV45,IF(UPPER(Planung!BV45)="H",$C45/2,0)))))))</f>
        <v>0</v>
      </c>
      <c r="BW45" s="27">
        <f>IF($A45="",0,IF(Mitarbeiter!$G$43=FALSE,0,IF(AND(Mitarbeiter!$E$43&lt;&gt;"",BW$5+6&lt;Mitarbeiter!$E$43),0,IF(AND(Mitarbeiter!$F$43&lt;&gt;"",BW$5&gt;Mitarbeiter!$F$43),0,IF(Planung!BW45="",$C45,IF(ISNUMBER(Planung!BW45),Planung!BW45,IF(UPPER(Planung!BW45)="H",$C45/2,0)))))))</f>
        <v>0</v>
      </c>
      <c r="BX45" s="27">
        <f>IF($A45="",0,IF(Mitarbeiter!$G$43=FALSE,0,IF(AND(Mitarbeiter!$E$43&lt;&gt;"",BX$5+6&lt;Mitarbeiter!$E$43),0,IF(AND(Mitarbeiter!$F$43&lt;&gt;"",BX$5&gt;Mitarbeiter!$F$43),0,IF(Planung!BX45="",$C45,IF(ISNUMBER(Planung!BX45),Planung!BX45,IF(UPPER(Planung!BX45)="H",$C45/2,0)))))))</f>
        <v>0</v>
      </c>
      <c r="BY45" s="27">
        <f>IF($A45="",0,IF(Mitarbeiter!$G$43=FALSE,0,IF(AND(Mitarbeiter!$E$43&lt;&gt;"",BY$5+6&lt;Mitarbeiter!$E$43),0,IF(AND(Mitarbeiter!$F$43&lt;&gt;"",BY$5&gt;Mitarbeiter!$F$43),0,IF(Planung!BY45="",$C45,IF(ISNUMBER(Planung!BY45),Planung!BY45,IF(UPPER(Planung!BY45)="H",$C45/2,0)))))))</f>
        <v>0</v>
      </c>
      <c r="BZ45" s="27">
        <f>IF($A45="",0,IF(Mitarbeiter!$G$43=FALSE,0,IF(AND(Mitarbeiter!$E$43&lt;&gt;"",BZ$5+6&lt;Mitarbeiter!$E$43),0,IF(AND(Mitarbeiter!$F$43&lt;&gt;"",BZ$5&gt;Mitarbeiter!$F$43),0,IF(Planung!BZ45="",$C45,IF(ISNUMBER(Planung!BZ45),Planung!BZ45,IF(UPPER(Planung!BZ45)="H",$C45/2,0)))))))</f>
        <v>0</v>
      </c>
      <c r="CA45" s="27">
        <f>IF($A45="",0,IF(Mitarbeiter!$G$43=FALSE,0,IF(AND(Mitarbeiter!$E$43&lt;&gt;"",CA$5+6&lt;Mitarbeiter!$E$43),0,IF(AND(Mitarbeiter!$F$43&lt;&gt;"",CA$5&gt;Mitarbeiter!$F$43),0,IF(Planung!CA45="",$C45,IF(ISNUMBER(Planung!CA45),Planung!CA45,IF(UPPER(Planung!CA45)="H",$C45/2,0)))))))</f>
        <v>0</v>
      </c>
      <c r="CB45" s="27">
        <f>IF($A45="",0,IF(Mitarbeiter!$G$43=FALSE,0,IF(AND(Mitarbeiter!$E$43&lt;&gt;"",CB$5+6&lt;Mitarbeiter!$E$43),0,IF(AND(Mitarbeiter!$F$43&lt;&gt;"",CB$5&gt;Mitarbeiter!$F$43),0,IF(Planung!CB45="",$C45,IF(ISNUMBER(Planung!CB45),Planung!CB45,IF(UPPER(Planung!CB45)="H",$C45/2,0)))))))</f>
        <v>0</v>
      </c>
      <c r="CC45" s="27">
        <f>IF($A45="",0,IF(Mitarbeiter!$G$43=FALSE,0,IF(AND(Mitarbeiter!$E$43&lt;&gt;"",CC$5+6&lt;Mitarbeiter!$E$43),0,IF(AND(Mitarbeiter!$F$43&lt;&gt;"",CC$5&gt;Mitarbeiter!$F$43),0,IF(Planung!CC45="",$C45,IF(ISNUMBER(Planung!CC45),Planung!CC45,IF(UPPER(Planung!CC45)="H",$C45/2,0)))))))</f>
        <v>0</v>
      </c>
      <c r="CD45" s="27">
        <f>IF($A45="",0,IF(Mitarbeiter!$G$43=FALSE,0,IF(AND(Mitarbeiter!$E$43&lt;&gt;"",CD$5+6&lt;Mitarbeiter!$E$43),0,IF(AND(Mitarbeiter!$F$43&lt;&gt;"",CD$5&gt;Mitarbeiter!$F$43),0,IF(Planung!CD45="",$C45,IF(ISNUMBER(Planung!CD45),Planung!CD45,IF(UPPER(Planung!CD45)="H",$C45/2,0)))))))</f>
        <v>0</v>
      </c>
      <c r="CE45" s="27">
        <f>IF($A45="",0,IF(Mitarbeiter!$G$43=FALSE,0,IF(AND(Mitarbeiter!$E$43&lt;&gt;"",CE$5+6&lt;Mitarbeiter!$E$43),0,IF(AND(Mitarbeiter!$F$43&lt;&gt;"",CE$5&gt;Mitarbeiter!$F$43),0,IF(Planung!CE45="",$C45,IF(ISNUMBER(Planung!CE45),Planung!CE45,IF(UPPER(Planung!CE45)="H",$C45/2,0)))))))</f>
        <v>0</v>
      </c>
      <c r="CF45" s="27">
        <f>IF($A45="",0,IF(Mitarbeiter!$G$43=FALSE,0,IF(AND(Mitarbeiter!$E$43&lt;&gt;"",CF$5+6&lt;Mitarbeiter!$E$43),0,IF(AND(Mitarbeiter!$F$43&lt;&gt;"",CF$5&gt;Mitarbeiter!$F$43),0,IF(Planung!CF45="",$C45,IF(ISNUMBER(Planung!CF45),Planung!CF45,IF(UPPER(Planung!CF45)="H",$C45/2,0)))))))</f>
        <v>0</v>
      </c>
      <c r="CG45" s="27">
        <f>IF($A45="",0,IF(Mitarbeiter!$G$43=FALSE,0,IF(AND(Mitarbeiter!$E$43&lt;&gt;"",CG$5+6&lt;Mitarbeiter!$E$43),0,IF(AND(Mitarbeiter!$F$43&lt;&gt;"",CG$5&gt;Mitarbeiter!$F$43),0,IF(Planung!CG45="",$C45,IF(ISNUMBER(Planung!CG45),Planung!CG45,IF(UPPER(Planung!CG45)="H",$C45/2,0)))))))</f>
        <v>0</v>
      </c>
      <c r="CH45" s="27">
        <f>IF($A45="",0,IF(Mitarbeiter!$G$43=FALSE,0,IF(AND(Mitarbeiter!$E$43&lt;&gt;"",CH$5+6&lt;Mitarbeiter!$E$43),0,IF(AND(Mitarbeiter!$F$43&lt;&gt;"",CH$5&gt;Mitarbeiter!$F$43),0,IF(Planung!CH45="",$C45,IF(ISNUMBER(Planung!CH45),Planung!CH45,IF(UPPER(Planung!CH45)="H",$C45/2,0)))))))</f>
        <v>0</v>
      </c>
      <c r="CI45" s="27">
        <f>IF($A45="",0,IF(Mitarbeiter!$G$43=FALSE,0,IF(AND(Mitarbeiter!$E$43&lt;&gt;"",CI$5+6&lt;Mitarbeiter!$E$43),0,IF(AND(Mitarbeiter!$F$43&lt;&gt;"",CI$5&gt;Mitarbeiter!$F$43),0,IF(Planung!CI45="",$C45,IF(ISNUMBER(Planung!CI45),Planung!CI45,IF(UPPER(Planung!CI45)="H",$C45/2,0)))))))</f>
        <v>0</v>
      </c>
      <c r="CJ45" s="27">
        <f>IF($A45="",0,IF(Mitarbeiter!$G$43=FALSE,0,IF(AND(Mitarbeiter!$E$43&lt;&gt;"",CJ$5+6&lt;Mitarbeiter!$E$43),0,IF(AND(Mitarbeiter!$F$43&lt;&gt;"",CJ$5&gt;Mitarbeiter!$F$43),0,IF(Planung!CJ45="",$C45,IF(ISNUMBER(Planung!CJ45),Planung!CJ45,IF(UPPER(Planung!CJ45)="H",$C45/2,0)))))))</f>
        <v>0</v>
      </c>
      <c r="CK45" s="27">
        <f>IF($A45="",0,IF(Mitarbeiter!$G$43=FALSE,0,IF(AND(Mitarbeiter!$E$43&lt;&gt;"",CK$5+6&lt;Mitarbeiter!$E$43),0,IF(AND(Mitarbeiter!$F$43&lt;&gt;"",CK$5&gt;Mitarbeiter!$F$43),0,IF(Planung!CK45="",$C45,IF(ISNUMBER(Planung!CK45),Planung!CK45,IF(UPPER(Planung!CK45)="H",$C45/2,0)))))))</f>
        <v>0</v>
      </c>
      <c r="CL45" s="27">
        <f>IF($A45="",0,IF(Mitarbeiter!$G$43=FALSE,0,IF(AND(Mitarbeiter!$E$43&lt;&gt;"",CL$5+6&lt;Mitarbeiter!$E$43),0,IF(AND(Mitarbeiter!$F$43&lt;&gt;"",CL$5&gt;Mitarbeiter!$F$43),0,IF(Planung!CL45="",$C45,IF(ISNUMBER(Planung!CL45),Planung!CL45,IF(UPPER(Planung!CL45)="H",$C45/2,0)))))))</f>
        <v>0</v>
      </c>
      <c r="CM45" s="27">
        <f>IF($A45="",0,IF(Mitarbeiter!$G$43=FALSE,0,IF(AND(Mitarbeiter!$E$43&lt;&gt;"",CM$5+6&lt;Mitarbeiter!$E$43),0,IF(AND(Mitarbeiter!$F$43&lt;&gt;"",CM$5&gt;Mitarbeiter!$F$43),0,IF(Planung!CM45="",$C45,IF(ISNUMBER(Planung!CM45),Planung!CM45,IF(UPPER(Planung!CM45)="H",$C45/2,0)))))))</f>
        <v>0</v>
      </c>
      <c r="CN45" s="27">
        <f>IF($A45="",0,IF(Mitarbeiter!$G$43=FALSE,0,IF(AND(Mitarbeiter!$E$43&lt;&gt;"",CN$5+6&lt;Mitarbeiter!$E$43),0,IF(AND(Mitarbeiter!$F$43&lt;&gt;"",CN$5&gt;Mitarbeiter!$F$43),0,IF(Planung!CN45="",$C45,IF(ISNUMBER(Planung!CN45),Planung!CN45,IF(UPPER(Planung!CN45)="H",$C45/2,0)))))))</f>
        <v>0</v>
      </c>
      <c r="CO45" s="27">
        <f>IF($A45="",0,IF(Mitarbeiter!$G$43=FALSE,0,IF(AND(Mitarbeiter!$E$43&lt;&gt;"",CO$5+6&lt;Mitarbeiter!$E$43),0,IF(AND(Mitarbeiter!$F$43&lt;&gt;"",CO$5&gt;Mitarbeiter!$F$43),0,IF(Planung!CO45="",$C45,IF(ISNUMBER(Planung!CO45),Planung!CO45,IF(UPPER(Planung!CO45)="H",$C45/2,0)))))))</f>
        <v>0</v>
      </c>
      <c r="CP45" s="27">
        <f>IF($A45="",0,IF(Mitarbeiter!$G$43=FALSE,0,IF(AND(Mitarbeiter!$E$43&lt;&gt;"",CP$5+6&lt;Mitarbeiter!$E$43),0,IF(AND(Mitarbeiter!$F$43&lt;&gt;"",CP$5&gt;Mitarbeiter!$F$43),0,IF(Planung!CP45="",$C45,IF(ISNUMBER(Planung!CP45),Planung!CP45,IF(UPPER(Planung!CP45)="H",$C45/2,0)))))))</f>
        <v>0</v>
      </c>
      <c r="CQ45" s="27">
        <f>IF($A45="",0,IF(Mitarbeiter!$G$43=FALSE,0,IF(AND(Mitarbeiter!$E$43&lt;&gt;"",CQ$5+6&lt;Mitarbeiter!$E$43),0,IF(AND(Mitarbeiter!$F$43&lt;&gt;"",CQ$5&gt;Mitarbeiter!$F$43),0,IF(Planung!CQ45="",$C45,IF(ISNUMBER(Planung!CQ45),Planung!CQ45,IF(UPPER(Planung!CQ45)="H",$C45/2,0)))))))</f>
        <v>0</v>
      </c>
      <c r="CR45" s="27">
        <f>IF($A45="",0,IF(Mitarbeiter!$G$43=FALSE,0,IF(AND(Mitarbeiter!$E$43&lt;&gt;"",CR$5+6&lt;Mitarbeiter!$E$43),0,IF(AND(Mitarbeiter!$F$43&lt;&gt;"",CR$5&gt;Mitarbeiter!$F$43),0,IF(Planung!CR45="",$C45,IF(ISNUMBER(Planung!CR45),Planung!CR45,IF(UPPER(Planung!CR45)="H",$C45/2,0)))))))</f>
        <v>0</v>
      </c>
      <c r="CS45" s="27">
        <f>IF($A45="",0,IF(Mitarbeiter!$G$43=FALSE,0,IF(AND(Mitarbeiter!$E$43&lt;&gt;"",CS$5+6&lt;Mitarbeiter!$E$43),0,IF(AND(Mitarbeiter!$F$43&lt;&gt;"",CS$5&gt;Mitarbeiter!$F$43),0,IF(Planung!CS45="",$C45,IF(ISNUMBER(Planung!CS45),Planung!CS45,IF(UPPER(Planung!CS45)="H",$C45/2,0)))))))</f>
        <v>0</v>
      </c>
      <c r="CT45" s="27">
        <f>IF($A45="",0,IF(Mitarbeiter!$G$43=FALSE,0,IF(AND(Mitarbeiter!$E$43&lt;&gt;"",CT$5+6&lt;Mitarbeiter!$E$43),0,IF(AND(Mitarbeiter!$F$43&lt;&gt;"",CT$5&gt;Mitarbeiter!$F$43),0,IF(Planung!CT45="",$C45,IF(ISNUMBER(Planung!CT45),Planung!CT45,IF(UPPER(Planung!CT45)="H",$C45/2,0)))))))</f>
        <v>0</v>
      </c>
      <c r="CU45" s="27">
        <f>IF($A45="",0,IF(Mitarbeiter!$G$43=FALSE,0,IF(AND(Mitarbeiter!$E$43&lt;&gt;"",CU$5+6&lt;Mitarbeiter!$E$43),0,IF(AND(Mitarbeiter!$F$43&lt;&gt;"",CU$5&gt;Mitarbeiter!$F$43),0,IF(Planung!CU45="",$C45,IF(ISNUMBER(Planung!CU45),Planung!CU45,IF(UPPER(Planung!CU45)="H",$C45/2,0)))))))</f>
        <v>0</v>
      </c>
      <c r="CV45" s="27">
        <f>IF($A45="",0,IF(Mitarbeiter!$G$43=FALSE,0,IF(AND(Mitarbeiter!$E$43&lt;&gt;"",CV$5+6&lt;Mitarbeiter!$E$43),0,IF(AND(Mitarbeiter!$F$43&lt;&gt;"",CV$5&gt;Mitarbeiter!$F$43),0,IF(Planung!CV45="",$C45,IF(ISNUMBER(Planung!CV45),Planung!CV45,IF(UPPER(Planung!CV45)="H",$C45/2,0)))))))</f>
        <v>0</v>
      </c>
      <c r="CW45" s="27">
        <f>IF($A45="",0,IF(Mitarbeiter!$G$43=FALSE,0,IF(AND(Mitarbeiter!$E$43&lt;&gt;"",CW$5+6&lt;Mitarbeiter!$E$43),0,IF(AND(Mitarbeiter!$F$43&lt;&gt;"",CW$5&gt;Mitarbeiter!$F$43),0,IF(Planung!CW45="",$C45,IF(ISNUMBER(Planung!CW45),Planung!CW45,IF(UPPER(Planung!CW45)="H",$C45/2,0)))))))</f>
        <v>0</v>
      </c>
      <c r="CX45" s="27">
        <f>IF($A45="",0,IF(Mitarbeiter!$G$43=FALSE,0,IF(AND(Mitarbeiter!$E$43&lt;&gt;"",CX$5+6&lt;Mitarbeiter!$E$43),0,IF(AND(Mitarbeiter!$F$43&lt;&gt;"",CX$5&gt;Mitarbeiter!$F$43),0,IF(Planung!CX45="",$C45,IF(ISNUMBER(Planung!CX45),Planung!CX45,IF(UPPER(Planung!CX45)="H",$C45/2,0)))))))</f>
        <v>0</v>
      </c>
      <c r="CY45" s="27">
        <f>IF($A45="",0,IF(Mitarbeiter!$G$43=FALSE,0,IF(AND(Mitarbeiter!$E$43&lt;&gt;"",CY$5+6&lt;Mitarbeiter!$E$43),0,IF(AND(Mitarbeiter!$F$43&lt;&gt;"",CY$5&gt;Mitarbeiter!$F$43),0,IF(Planung!CY45="",$C45,IF(ISNUMBER(Planung!CY45),Planung!CY45,IF(UPPER(Planung!CY45)="H",$C45/2,0)))))))</f>
        <v>0</v>
      </c>
      <c r="CZ45" s="27">
        <f>IF($A45="",0,IF(Mitarbeiter!$G$43=FALSE,0,IF(AND(Mitarbeiter!$E$43&lt;&gt;"",CZ$5+6&lt;Mitarbeiter!$E$43),0,IF(AND(Mitarbeiter!$F$43&lt;&gt;"",CZ$5&gt;Mitarbeiter!$F$43),0,IF(Planung!CZ45="",$C45,IF(ISNUMBER(Planung!CZ45),Planung!CZ45,IF(UPPER(Planung!CZ45)="H",$C45/2,0)))))))</f>
        <v>0</v>
      </c>
      <c r="DA45" s="27">
        <f>IF($A45="",0,IF(Mitarbeiter!$G$43=FALSE,0,IF(AND(Mitarbeiter!$E$43&lt;&gt;"",DA$5+6&lt;Mitarbeiter!$E$43),0,IF(AND(Mitarbeiter!$F$43&lt;&gt;"",DA$5&gt;Mitarbeiter!$F$43),0,IF(Planung!DA45="",$C45,IF(ISNUMBER(Planung!DA45),Planung!DA45,IF(UPPER(Planung!DA45)="H",$C45/2,0)))))))</f>
        <v>0</v>
      </c>
      <c r="DB45" s="27">
        <f>IF($A45="",0,IF(Mitarbeiter!$G$43=FALSE,0,IF(AND(Mitarbeiter!$E$43&lt;&gt;"",DB$5+6&lt;Mitarbeiter!$E$43),0,IF(AND(Mitarbeiter!$F$43&lt;&gt;"",DB$5&gt;Mitarbeiter!$F$43),0,IF(Planung!DB45="",$C45,IF(ISNUMBER(Planung!DB45),Planung!DB45,IF(UPPER(Planung!DB45)="H",$C45/2,0)))))))</f>
        <v>0</v>
      </c>
      <c r="DC45" s="27">
        <f>IF($A45="",0,IF(Mitarbeiter!$G$43=FALSE,0,IF(AND(Mitarbeiter!$E$43&lt;&gt;"",DC$5+6&lt;Mitarbeiter!$E$43),0,IF(AND(Mitarbeiter!$F$43&lt;&gt;"",DC$5&gt;Mitarbeiter!$F$43),0,IF(Planung!DC45="",$C45,IF(ISNUMBER(Planung!DC45),Planung!DC45,IF(UPPER(Planung!DC45)="H",$C45/2,0)))))))</f>
        <v>0</v>
      </c>
      <c r="DD45" s="27">
        <f>IF($A45="",0,IF(Mitarbeiter!$G$43=FALSE,0,IF(AND(Mitarbeiter!$E$43&lt;&gt;"",DD$5+6&lt;Mitarbeiter!$E$43),0,IF(AND(Mitarbeiter!$F$43&lt;&gt;"",DD$5&gt;Mitarbeiter!$F$43),0,IF(Planung!DD45="",$C45,IF(ISNUMBER(Planung!DD45),Planung!DD45,IF(UPPER(Planung!DD45)="H",$C45/2,0)))))))</f>
        <v>0</v>
      </c>
      <c r="DE45" s="27">
        <f>IF($A45="",0,IF(Mitarbeiter!$G$43=FALSE,0,IF(AND(Mitarbeiter!$E$43&lt;&gt;"",DE$5+6&lt;Mitarbeiter!$E$43),0,IF(AND(Mitarbeiter!$F$43&lt;&gt;"",DE$5&gt;Mitarbeiter!$F$43),0,IF(Planung!DE45="",$C45,IF(ISNUMBER(Planung!DE45),Planung!DE45,IF(UPPER(Planung!DE45)="H",$C45/2,0)))))))</f>
        <v>0</v>
      </c>
      <c r="DF45" s="27">
        <f>IF($A45="",0,IF(Mitarbeiter!$G$43=FALSE,0,IF(AND(Mitarbeiter!$E$43&lt;&gt;"",DF$5+6&lt;Mitarbeiter!$E$43),0,IF(AND(Mitarbeiter!$F$43&lt;&gt;"",DF$5&gt;Mitarbeiter!$F$43),0,IF(Planung!DF45="",$C45,IF(ISNUMBER(Planung!DF45),Planung!DF45,IF(UPPER(Planung!DF45)="H",$C45/2,0)))))))</f>
        <v>0</v>
      </c>
      <c r="DG45" s="27">
        <f>IF($A45="",0,IF(Mitarbeiter!$G$43=FALSE,0,IF(AND(Mitarbeiter!$E$43&lt;&gt;"",DG$5+6&lt;Mitarbeiter!$E$43),0,IF(AND(Mitarbeiter!$F$43&lt;&gt;"",DG$5&gt;Mitarbeiter!$F$43),0,IF(Planung!DG45="",$C45,IF(ISNUMBER(Planung!DG45),Planung!DG45,IF(UPPER(Planung!DG45)="H",$C45/2,0)))))))</f>
        <v>0</v>
      </c>
      <c r="DH45" s="27">
        <f>IF($A45="",0,IF(Mitarbeiter!$G$43=FALSE,0,IF(AND(Mitarbeiter!$E$43&lt;&gt;"",DH$5+6&lt;Mitarbeiter!$E$43),0,IF(AND(Mitarbeiter!$F$43&lt;&gt;"",DH$5&gt;Mitarbeiter!$F$43),0,IF(Planung!DH45="",$C45,IF(ISNUMBER(Planung!DH45),Planung!DH45,IF(UPPER(Planung!DH45)="H",$C45/2,0)))))))</f>
        <v>0</v>
      </c>
      <c r="DI45" s="27">
        <f>IF($A45="",0,IF(Mitarbeiter!$G$43=FALSE,0,IF(AND(Mitarbeiter!$E$43&lt;&gt;"",DI$5+6&lt;Mitarbeiter!$E$43),0,IF(AND(Mitarbeiter!$F$43&lt;&gt;"",DI$5&gt;Mitarbeiter!$F$43),0,IF(Planung!DI45="",$C45,IF(ISNUMBER(Planung!DI45),Planung!DI45,IF(UPPER(Planung!DI45)="H",$C45/2,0)))))))</f>
        <v>0</v>
      </c>
      <c r="DJ45" s="27">
        <f>IF($A45="",0,IF(Mitarbeiter!$G$43=FALSE,0,IF(AND(Mitarbeiter!$E$43&lt;&gt;"",DJ$5+6&lt;Mitarbeiter!$E$43),0,IF(AND(Mitarbeiter!$F$43&lt;&gt;"",DJ$5&gt;Mitarbeiter!$F$43),0,IF(Planung!DJ45="",$C45,IF(ISNUMBER(Planung!DJ45),Planung!DJ45,IF(UPPER(Planung!DJ45)="H",$C45/2,0)))))))</f>
        <v>0</v>
      </c>
      <c r="DK45" s="27">
        <f>IF($A45="",0,IF(Mitarbeiter!$G$43=FALSE,0,IF(AND(Mitarbeiter!$E$43&lt;&gt;"",DK$5+6&lt;Mitarbeiter!$E$43),0,IF(AND(Mitarbeiter!$F$43&lt;&gt;"",DK$5&gt;Mitarbeiter!$F$43),0,IF(Planung!DK45="",$C45,IF(ISNUMBER(Planung!DK45),Planung!DK45,IF(UPPER(Planung!DK45)="H",$C45/2,0)))))))</f>
        <v>0</v>
      </c>
      <c r="DL45" s="27">
        <f>IF($A45="",0,IF(Mitarbeiter!$G$43=FALSE,0,IF(AND(Mitarbeiter!$E$43&lt;&gt;"",DL$5+6&lt;Mitarbeiter!$E$43),0,IF(AND(Mitarbeiter!$F$43&lt;&gt;"",DL$5&gt;Mitarbeiter!$F$43),0,IF(Planung!DL45="",$C45,IF(ISNUMBER(Planung!DL45),Planung!DL45,IF(UPPER(Planung!DL45)="H",$C45/2,0)))))))</f>
        <v>0</v>
      </c>
      <c r="DM45" s="27">
        <f>IF($A45="",0,IF(Mitarbeiter!$G$43=FALSE,0,IF(AND(Mitarbeiter!$E$43&lt;&gt;"",DM$5+6&lt;Mitarbeiter!$E$43),0,IF(AND(Mitarbeiter!$F$43&lt;&gt;"",DM$5&gt;Mitarbeiter!$F$43),0,IF(Planung!DM45="",$C45,IF(ISNUMBER(Planung!DM45),Planung!DM45,IF(UPPER(Planung!DM45)="H",$C45/2,0)))))))</f>
        <v>0</v>
      </c>
      <c r="DN45" s="27">
        <f>IF($A45="",0,IF(Mitarbeiter!$G$43=FALSE,0,IF(AND(Mitarbeiter!$E$43&lt;&gt;"",DN$5+6&lt;Mitarbeiter!$E$43),0,IF(AND(Mitarbeiter!$F$43&lt;&gt;"",DN$5&gt;Mitarbeiter!$F$43),0,IF(Planung!DN45="",$C45,IF(ISNUMBER(Planung!DN45),Planung!DN45,IF(UPPER(Planung!DN45)="H",$C45/2,0)))))))</f>
        <v>0</v>
      </c>
      <c r="DO45" s="27">
        <f>IF($A45="",0,IF(Mitarbeiter!$G$43=FALSE,0,IF(AND(Mitarbeiter!$E$43&lt;&gt;"",DO$5+6&lt;Mitarbeiter!$E$43),0,IF(AND(Mitarbeiter!$F$43&lt;&gt;"",DO$5&gt;Mitarbeiter!$F$43),0,IF(Planung!DO45="",$C45,IF(ISNUMBER(Planung!DO45),Planung!DO45,IF(UPPER(Planung!DO45)="H",$C45/2,0)))))))</f>
        <v>0</v>
      </c>
      <c r="DP45" s="27">
        <f>IF($A45="",0,IF(Mitarbeiter!$G$43=FALSE,0,IF(AND(Mitarbeiter!$E$43&lt;&gt;"",DP$5+6&lt;Mitarbeiter!$E$43),0,IF(AND(Mitarbeiter!$F$43&lt;&gt;"",DP$5&gt;Mitarbeiter!$F$43),0,IF(Planung!DP45="",$C45,IF(ISNUMBER(Planung!DP45),Planung!DP45,IF(UPPER(Planung!DP45)="H",$C45/2,0)))))))</f>
        <v>0</v>
      </c>
      <c r="DQ45" s="27">
        <f>IF($A45="",0,IF(Mitarbeiter!$G$43=FALSE,0,IF(AND(Mitarbeiter!$E$43&lt;&gt;"",DQ$5+6&lt;Mitarbeiter!$E$43),0,IF(AND(Mitarbeiter!$F$43&lt;&gt;"",DQ$5&gt;Mitarbeiter!$F$43),0,IF(Planung!DQ45="",$C45,IF(ISNUMBER(Planung!DQ45),Planung!DQ45,IF(UPPER(Planung!DQ45)="H",$C45/2,0)))))))</f>
        <v>0</v>
      </c>
      <c r="DR45" s="27">
        <f>IF($A45="",0,IF(Mitarbeiter!$G$43=FALSE,0,IF(AND(Mitarbeiter!$E$43&lt;&gt;"",DR$5+6&lt;Mitarbeiter!$E$43),0,IF(AND(Mitarbeiter!$F$43&lt;&gt;"",DR$5&gt;Mitarbeiter!$F$43),0,IF(Planung!DR45="",$C45,IF(ISNUMBER(Planung!DR45),Planung!DR45,IF(UPPER(Planung!DR45)="H",$C45/2,0)))))))</f>
        <v>0</v>
      </c>
      <c r="DS45" s="27">
        <f>IF($A45="",0,IF(Mitarbeiter!$G$43=FALSE,0,IF(AND(Mitarbeiter!$E$43&lt;&gt;"",DS$5+6&lt;Mitarbeiter!$E$43),0,IF(AND(Mitarbeiter!$F$43&lt;&gt;"",DS$5&gt;Mitarbeiter!$F$43),0,IF(Planung!DS45="",$C45,IF(ISNUMBER(Planung!DS45),Planung!DS45,IF(UPPER(Planung!DS45)="H",$C45/2,0)))))))</f>
        <v>0</v>
      </c>
      <c r="DT45" s="27">
        <f>IF($A45="",0,IF(Mitarbeiter!$G$43=FALSE,0,IF(AND(Mitarbeiter!$E$43&lt;&gt;"",DT$5+6&lt;Mitarbeiter!$E$43),0,IF(AND(Mitarbeiter!$F$43&lt;&gt;"",DT$5&gt;Mitarbeiter!$F$43),0,IF(Planung!DT45="",$C45,IF(ISNUMBER(Planung!DT45),Planung!DT45,IF(UPPER(Planung!DT45)="H",$C45/2,0)))))))</f>
        <v>0</v>
      </c>
      <c r="DU45" s="27">
        <f>IF($A45="",0,IF(Mitarbeiter!$G$43=FALSE,0,IF(AND(Mitarbeiter!$E$43&lt;&gt;"",DU$5+6&lt;Mitarbeiter!$E$43),0,IF(AND(Mitarbeiter!$F$43&lt;&gt;"",DU$5&gt;Mitarbeiter!$F$43),0,IF(Planung!DU45="",$C45,IF(ISNUMBER(Planung!DU45),Planung!DU45,IF(UPPER(Planung!DU45)="H",$C45/2,0)))))))</f>
        <v>0</v>
      </c>
      <c r="DV45" s="27">
        <f>IF($A45="",0,IF(Mitarbeiter!$G$43=FALSE,0,IF(AND(Mitarbeiter!$E$43&lt;&gt;"",DV$5+6&lt;Mitarbeiter!$E$43),0,IF(AND(Mitarbeiter!$F$43&lt;&gt;"",DV$5&gt;Mitarbeiter!$F$43),0,IF(Planung!DV45="",$C45,IF(ISNUMBER(Planung!DV45),Planung!DV45,IF(UPPER(Planung!DV45)="H",$C45/2,0)))))))</f>
        <v>0</v>
      </c>
      <c r="DW45" s="27">
        <f>IF($A45="",0,IF(Mitarbeiter!$G$43=FALSE,0,IF(AND(Mitarbeiter!$E$43&lt;&gt;"",DW$5+6&lt;Mitarbeiter!$E$43),0,IF(AND(Mitarbeiter!$F$43&lt;&gt;"",DW$5&gt;Mitarbeiter!$F$43),0,IF(Planung!DW45="",$C45,IF(ISNUMBER(Planung!DW45),Planung!DW45,IF(UPPER(Planung!DW45)="H",$C45/2,0)))))))</f>
        <v>0</v>
      </c>
      <c r="DX45" s="27">
        <f>IF($A45="",0,IF(Mitarbeiter!$G$43=FALSE,0,IF(AND(Mitarbeiter!$E$43&lt;&gt;"",DX$5+6&lt;Mitarbeiter!$E$43),0,IF(AND(Mitarbeiter!$F$43&lt;&gt;"",DX$5&gt;Mitarbeiter!$F$43),0,IF(Planung!DX45="",$C45,IF(ISNUMBER(Planung!DX45),Planung!DX45,IF(UPPER(Planung!DX45)="H",$C45/2,0)))))))</f>
        <v>0</v>
      </c>
      <c r="DY45" s="27">
        <f>IF($A45="",0,IF(Mitarbeiter!$G$43=FALSE,0,IF(AND(Mitarbeiter!$E$43&lt;&gt;"",DY$5+6&lt;Mitarbeiter!$E$43),0,IF(AND(Mitarbeiter!$F$43&lt;&gt;"",DY$5&gt;Mitarbeiter!$F$43),0,IF(Planung!DY45="",$C45,IF(ISNUMBER(Planung!DY45),Planung!DY45,IF(UPPER(Planung!DY45)="H",$C45/2,0)))))))</f>
        <v>0</v>
      </c>
      <c r="DZ45" s="27">
        <f>IF($A45="",0,IF(Mitarbeiter!$G$43=FALSE,0,IF(AND(Mitarbeiter!$E$43&lt;&gt;"",DZ$5+6&lt;Mitarbeiter!$E$43),0,IF(AND(Mitarbeiter!$F$43&lt;&gt;"",DZ$5&gt;Mitarbeiter!$F$43),0,IF(Planung!DZ45="",$C45,IF(ISNUMBER(Planung!DZ45),Planung!DZ45,IF(UPPER(Planung!DZ45)="H",$C45/2,0)))))))</f>
        <v>0</v>
      </c>
      <c r="EA45" s="27">
        <f>IF($A45="",0,IF(Mitarbeiter!$G$43=FALSE,0,IF(AND(Mitarbeiter!$E$43&lt;&gt;"",EA$5+6&lt;Mitarbeiter!$E$43),0,IF(AND(Mitarbeiter!$F$43&lt;&gt;"",EA$5&gt;Mitarbeiter!$F$43),0,IF(Planung!EA45="",$C45,IF(ISNUMBER(Planung!EA45),Planung!EA45,IF(UPPER(Planung!EA45)="H",$C45/2,0)))))))</f>
        <v>0</v>
      </c>
      <c r="EB45" s="27">
        <f>IF($A45="",0,IF(Mitarbeiter!$G$43=FALSE,0,IF(AND(Mitarbeiter!$E$43&lt;&gt;"",EB$5+6&lt;Mitarbeiter!$E$43),0,IF(AND(Mitarbeiter!$F$43&lt;&gt;"",EB$5&gt;Mitarbeiter!$F$43),0,IF(Planung!EB45="",$C45,IF(ISNUMBER(Planung!EB45),Planung!EB45,IF(UPPER(Planung!EB45)="H",$C45/2,0)))))))</f>
        <v>0</v>
      </c>
      <c r="EC45" s="27">
        <f>IF($A45="",0,IF(Mitarbeiter!$G$43=FALSE,0,IF(AND(Mitarbeiter!$E$43&lt;&gt;"",EC$5+6&lt;Mitarbeiter!$E$43),0,IF(AND(Mitarbeiter!$F$43&lt;&gt;"",EC$5&gt;Mitarbeiter!$F$43),0,IF(Planung!EC45="",$C45,IF(ISNUMBER(Planung!EC45),Planung!EC45,IF(UPPER(Planung!EC45)="H",$C45/2,0)))))))</f>
        <v>0</v>
      </c>
      <c r="ED45" s="27">
        <f>IF($A45="",0,IF(Mitarbeiter!$G$43=FALSE,0,IF(AND(Mitarbeiter!$E$43&lt;&gt;"",ED$5+6&lt;Mitarbeiter!$E$43),0,IF(AND(Mitarbeiter!$F$43&lt;&gt;"",ED$5&gt;Mitarbeiter!$F$43),0,IF(Planung!ED45="",$C45,IF(ISNUMBER(Planung!ED45),Planung!ED45,IF(UPPER(Planung!ED45)="H",$C45/2,0)))))))</f>
        <v>0</v>
      </c>
      <c r="EE45" s="27">
        <f>IF($A45="",0,IF(Mitarbeiter!$G$43=FALSE,0,IF(AND(Mitarbeiter!$E$43&lt;&gt;"",EE$5+6&lt;Mitarbeiter!$E$43),0,IF(AND(Mitarbeiter!$F$43&lt;&gt;"",EE$5&gt;Mitarbeiter!$F$43),0,IF(Planung!EE45="",$C45,IF(ISNUMBER(Planung!EE45),Planung!EE45,IF(UPPER(Planung!EE45)="H",$C45/2,0)))))))</f>
        <v>0</v>
      </c>
      <c r="EF45" s="27">
        <f>IF($A45="",0,IF(Mitarbeiter!$G$43=FALSE,0,IF(AND(Mitarbeiter!$E$43&lt;&gt;"",EF$5+6&lt;Mitarbeiter!$E$43),0,IF(AND(Mitarbeiter!$F$43&lt;&gt;"",EF$5&gt;Mitarbeiter!$F$43),0,IF(Planung!EF45="",$C45,IF(ISNUMBER(Planung!EF45),Planung!EF45,IF(UPPER(Planung!EF45)="H",$C45/2,0)))))))</f>
        <v>0</v>
      </c>
      <c r="EG45" s="27">
        <f>IF($A45="",0,IF(Mitarbeiter!$G$43=FALSE,0,IF(AND(Mitarbeiter!$E$43&lt;&gt;"",EG$5+6&lt;Mitarbeiter!$E$43),0,IF(AND(Mitarbeiter!$F$43&lt;&gt;"",EG$5&gt;Mitarbeiter!$F$43),0,IF(Planung!EG45="",$C45,IF(ISNUMBER(Planung!EG45),Planung!EG45,IF(UPPER(Planung!EG45)="H",$C45/2,0)))))))</f>
        <v>0</v>
      </c>
      <c r="EH45" s="27">
        <f>IF($A45="",0,IF(Mitarbeiter!$G$43=FALSE,0,IF(AND(Mitarbeiter!$E$43&lt;&gt;"",EH$5+6&lt;Mitarbeiter!$E$43),0,IF(AND(Mitarbeiter!$F$43&lt;&gt;"",EH$5&gt;Mitarbeiter!$F$43),0,IF(Planung!EH45="",$C45,IF(ISNUMBER(Planung!EH45),Planung!EH45,IF(UPPER(Planung!EH45)="H",$C45/2,0)))))))</f>
        <v>0</v>
      </c>
      <c r="EI45" s="27">
        <f>IF($A45="",0,IF(Mitarbeiter!$G$43=FALSE,0,IF(AND(Mitarbeiter!$E$43&lt;&gt;"",EI$5+6&lt;Mitarbeiter!$E$43),0,IF(AND(Mitarbeiter!$F$43&lt;&gt;"",EI$5&gt;Mitarbeiter!$F$43),0,IF(Planung!EI45="",$C45,IF(ISNUMBER(Planung!EI45),Planung!EI45,IF(UPPER(Planung!EI45)="H",$C45/2,0)))))))</f>
        <v>0</v>
      </c>
      <c r="EJ45" s="27">
        <f>IF($A45="",0,IF(Mitarbeiter!$G$43=FALSE,0,IF(AND(Mitarbeiter!$E$43&lt;&gt;"",EJ$5+6&lt;Mitarbeiter!$E$43),0,IF(AND(Mitarbeiter!$F$43&lt;&gt;"",EJ$5&gt;Mitarbeiter!$F$43),0,IF(Planung!EJ45="",$C45,IF(ISNUMBER(Planung!EJ45),Planung!EJ45,IF(UPPER(Planung!EJ45)="H",$C45/2,0)))))))</f>
        <v>0</v>
      </c>
      <c r="EK45" s="27">
        <f>IF($A45="",0,IF(Mitarbeiter!$G$43=FALSE,0,IF(AND(Mitarbeiter!$E$43&lt;&gt;"",EK$5+6&lt;Mitarbeiter!$E$43),0,IF(AND(Mitarbeiter!$F$43&lt;&gt;"",EK$5&gt;Mitarbeiter!$F$43),0,IF(Planung!EK45="",$C45,IF(ISNUMBER(Planung!EK45),Planung!EK45,IF(UPPER(Planung!EK45)="H",$C45/2,0)))))))</f>
        <v>0</v>
      </c>
      <c r="EL45" s="27">
        <f>IF($A45="",0,IF(Mitarbeiter!$G$43=FALSE,0,IF(AND(Mitarbeiter!$E$43&lt;&gt;"",EL$5+6&lt;Mitarbeiter!$E$43),0,IF(AND(Mitarbeiter!$F$43&lt;&gt;"",EL$5&gt;Mitarbeiter!$F$43),0,IF(Planung!EL45="",$C45,IF(ISNUMBER(Planung!EL45),Planung!EL45,IF(UPPER(Planung!EL45)="H",$C45/2,0)))))))</f>
        <v>0</v>
      </c>
      <c r="EM45" s="27">
        <f>IF($A45="",0,IF(Mitarbeiter!$G$43=FALSE,0,IF(AND(Mitarbeiter!$E$43&lt;&gt;"",EM$5+6&lt;Mitarbeiter!$E$43),0,IF(AND(Mitarbeiter!$F$43&lt;&gt;"",EM$5&gt;Mitarbeiter!$F$43),0,IF(Planung!EM45="",$C45,IF(ISNUMBER(Planung!EM45),Planung!EM45,IF(UPPER(Planung!EM45)="H",$C45/2,0)))))))</f>
        <v>0</v>
      </c>
      <c r="EN45" s="27">
        <f>IF($A45="",0,IF(Mitarbeiter!$G$43=FALSE,0,IF(AND(Mitarbeiter!$E$43&lt;&gt;"",EN$5+6&lt;Mitarbeiter!$E$43),0,IF(AND(Mitarbeiter!$F$43&lt;&gt;"",EN$5&gt;Mitarbeiter!$F$43),0,IF(Planung!EN45="",$C45,IF(ISNUMBER(Planung!EN45),Planung!EN45,IF(UPPER(Planung!EN45)="H",$C45/2,0)))))))</f>
        <v>0</v>
      </c>
      <c r="EO45" s="27">
        <f>IF($A45="",0,IF(Mitarbeiter!$G$43=FALSE,0,IF(AND(Mitarbeiter!$E$43&lt;&gt;"",EO$5+6&lt;Mitarbeiter!$E$43),0,IF(AND(Mitarbeiter!$F$43&lt;&gt;"",EO$5&gt;Mitarbeiter!$F$43),0,IF(Planung!EO45="",$C45,IF(ISNUMBER(Planung!EO45),Planung!EO45,IF(UPPER(Planung!EO45)="H",$C45/2,0)))))))</f>
        <v>0</v>
      </c>
      <c r="EP45" s="27">
        <f>IF($A45="",0,IF(Mitarbeiter!$G$43=FALSE,0,IF(AND(Mitarbeiter!$E$43&lt;&gt;"",EP$5+6&lt;Mitarbeiter!$E$43),0,IF(AND(Mitarbeiter!$F$43&lt;&gt;"",EP$5&gt;Mitarbeiter!$F$43),0,IF(Planung!EP45="",$C45,IF(ISNUMBER(Planung!EP45),Planung!EP45,IF(UPPER(Planung!EP45)="H",$C45/2,0)))))))</f>
        <v>0</v>
      </c>
      <c r="EQ45" s="27">
        <f>IF($A45="",0,IF(Mitarbeiter!$G$43=FALSE,0,IF(AND(Mitarbeiter!$E$43&lt;&gt;"",EQ$5+6&lt;Mitarbeiter!$E$43),0,IF(AND(Mitarbeiter!$F$43&lt;&gt;"",EQ$5&gt;Mitarbeiter!$F$43),0,IF(Planung!EQ45="",$C45,IF(ISNUMBER(Planung!EQ45),Planung!EQ45,IF(UPPER(Planung!EQ45)="H",$C45/2,0)))))))</f>
        <v>0</v>
      </c>
      <c r="ER45" s="27">
        <f>IF($A45="",0,IF(Mitarbeiter!$G$43=FALSE,0,IF(AND(Mitarbeiter!$E$43&lt;&gt;"",ER$5+6&lt;Mitarbeiter!$E$43),0,IF(AND(Mitarbeiter!$F$43&lt;&gt;"",ER$5&gt;Mitarbeiter!$F$43),0,IF(Planung!ER45="",$C45,IF(ISNUMBER(Planung!ER45),Planung!ER45,IF(UPPER(Planung!ER45)="H",$C45/2,0)))))))</f>
        <v>0</v>
      </c>
      <c r="ES45" s="27">
        <f>IF($A45="",0,IF(Mitarbeiter!$G$43=FALSE,0,IF(AND(Mitarbeiter!$E$43&lt;&gt;"",ES$5+6&lt;Mitarbeiter!$E$43),0,IF(AND(Mitarbeiter!$F$43&lt;&gt;"",ES$5&gt;Mitarbeiter!$F$43),0,IF(Planung!ES45="",$C45,IF(ISNUMBER(Planung!ES45),Planung!ES45,IF(UPPER(Planung!ES45)="H",$C45/2,0)))))))</f>
        <v>0</v>
      </c>
      <c r="ET45" s="27">
        <f>IF($A45="",0,IF(Mitarbeiter!$G$43=FALSE,0,IF(AND(Mitarbeiter!$E$43&lt;&gt;"",ET$5+6&lt;Mitarbeiter!$E$43),0,IF(AND(Mitarbeiter!$F$43&lt;&gt;"",ET$5&gt;Mitarbeiter!$F$43),0,IF(Planung!ET45="",$C45,IF(ISNUMBER(Planung!ET45),Planung!ET45,IF(UPPER(Planung!ET45)="H",$C45/2,0)))))))</f>
        <v>0</v>
      </c>
      <c r="EU45" s="27">
        <f>IF($A45="",0,IF(Mitarbeiter!$G$43=FALSE,0,IF(AND(Mitarbeiter!$E$43&lt;&gt;"",EU$5+6&lt;Mitarbeiter!$E$43),0,IF(AND(Mitarbeiter!$F$43&lt;&gt;"",EU$5&gt;Mitarbeiter!$F$43),0,IF(Planung!EU45="",$C45,IF(ISNUMBER(Planung!EU45),Planung!EU45,IF(UPPER(Planung!EU45)="H",$C45/2,0)))))))</f>
        <v>0</v>
      </c>
      <c r="EV45" s="27">
        <f>IF($A45="",0,IF(Mitarbeiter!$G$43=FALSE,0,IF(AND(Mitarbeiter!$E$43&lt;&gt;"",EV$5+6&lt;Mitarbeiter!$E$43),0,IF(AND(Mitarbeiter!$F$43&lt;&gt;"",EV$5&gt;Mitarbeiter!$F$43),0,IF(Planung!EV45="",$C45,IF(ISNUMBER(Planung!EV45),Planung!EV45,IF(UPPER(Planung!EV45)="H",$C45/2,0)))))))</f>
        <v>0</v>
      </c>
      <c r="EW45" s="27">
        <f>IF($A45="",0,IF(Mitarbeiter!$G$43=FALSE,0,IF(AND(Mitarbeiter!$E$43&lt;&gt;"",EW$5+6&lt;Mitarbeiter!$E$43),0,IF(AND(Mitarbeiter!$F$43&lt;&gt;"",EW$5&gt;Mitarbeiter!$F$43),0,IF(Planung!EW45="",$C45,IF(ISNUMBER(Planung!EW45),Planung!EW45,IF(UPPER(Planung!EW45)="H",$C45/2,0)))))))</f>
        <v>0</v>
      </c>
      <c r="EX45" s="27">
        <f>IF($A45="",0,IF(Mitarbeiter!$G$43=FALSE,0,IF(AND(Mitarbeiter!$E$43&lt;&gt;"",EX$5+6&lt;Mitarbeiter!$E$43),0,IF(AND(Mitarbeiter!$F$43&lt;&gt;"",EX$5&gt;Mitarbeiter!$F$43),0,IF(Planung!EX45="",$C45,IF(ISNUMBER(Planung!EX45),Planung!EX45,IF(UPPER(Planung!EX45)="H",$C45/2,0)))))))</f>
        <v>0</v>
      </c>
      <c r="EY45" s="27">
        <f>IF($A45="",0,IF(Mitarbeiter!$G$43=FALSE,0,IF(AND(Mitarbeiter!$E$43&lt;&gt;"",EY$5+6&lt;Mitarbeiter!$E$43),0,IF(AND(Mitarbeiter!$F$43&lt;&gt;"",EY$5&gt;Mitarbeiter!$F$43),0,IF(Planung!EY45="",$C45,IF(ISNUMBER(Planung!EY45),Planung!EY45,IF(UPPER(Planung!EY45)="H",$C45/2,0)))))))</f>
        <v>0</v>
      </c>
      <c r="EZ45" s="27">
        <f>IF($A45="",0,IF(Mitarbeiter!$G$43=FALSE,0,IF(AND(Mitarbeiter!$E$43&lt;&gt;"",EZ$5+6&lt;Mitarbeiter!$E$43),0,IF(AND(Mitarbeiter!$F$43&lt;&gt;"",EZ$5&gt;Mitarbeiter!$F$43),0,IF(Planung!EZ45="",$C45,IF(ISNUMBER(Planung!EZ45),Planung!EZ45,IF(UPPER(Planung!EZ45)="H",$C45/2,0)))))))</f>
        <v>0</v>
      </c>
      <c r="FA45" s="27">
        <f>IF($A45="",0,IF(Mitarbeiter!$G$43=FALSE,0,IF(AND(Mitarbeiter!$E$43&lt;&gt;"",FA$5+6&lt;Mitarbeiter!$E$43),0,IF(AND(Mitarbeiter!$F$43&lt;&gt;"",FA$5&gt;Mitarbeiter!$F$43),0,IF(Planung!FA45="",$C45,IF(ISNUMBER(Planung!FA45),Planung!FA45,IF(UPPER(Planung!FA45)="H",$C45/2,0)))))))</f>
        <v>0</v>
      </c>
      <c r="FB45" s="27">
        <f>IF($A45="",0,IF(Mitarbeiter!$G$43=FALSE,0,IF(AND(Mitarbeiter!$E$43&lt;&gt;"",FB$5+6&lt;Mitarbeiter!$E$43),0,IF(AND(Mitarbeiter!$F$43&lt;&gt;"",FB$5&gt;Mitarbeiter!$F$43),0,IF(Planung!FB45="",$C45,IF(ISNUMBER(Planung!FB45),Planung!FB45,IF(UPPER(Planung!FB45)="H",$C45/2,0)))))))</f>
        <v>0</v>
      </c>
      <c r="FC45" s="27">
        <f>IF($A45="",0,IF(Mitarbeiter!$G$43=FALSE,0,IF(AND(Mitarbeiter!$E$43&lt;&gt;"",FC$5+6&lt;Mitarbeiter!$E$43),0,IF(AND(Mitarbeiter!$F$43&lt;&gt;"",FC$5&gt;Mitarbeiter!$F$43),0,IF(Planung!FC45="",$C45,IF(ISNUMBER(Planung!FC45),Planung!FC45,IF(UPPER(Planung!FC45)="H",$C45/2,0)))))))</f>
        <v>0</v>
      </c>
      <c r="FD45" s="27">
        <f>IF($A45="",0,IF(Mitarbeiter!$G$43=FALSE,0,IF(AND(Mitarbeiter!$E$43&lt;&gt;"",FD$5+6&lt;Mitarbeiter!$E$43),0,IF(AND(Mitarbeiter!$F$43&lt;&gt;"",FD$5&gt;Mitarbeiter!$F$43),0,IF(Planung!FD45="",$C45,IF(ISNUMBER(Planung!FD45),Planung!FD45,IF(UPPER(Planung!FD45)="H",$C45/2,0)))))))</f>
        <v>0</v>
      </c>
      <c r="FE45" s="27">
        <f>IF($A45="",0,IF(Mitarbeiter!$G$43=FALSE,0,IF(AND(Mitarbeiter!$E$43&lt;&gt;"",FE$5+6&lt;Mitarbeiter!$E$43),0,IF(AND(Mitarbeiter!$F$43&lt;&gt;"",FE$5&gt;Mitarbeiter!$F$43),0,IF(Planung!FE45="",$C45,IF(ISNUMBER(Planung!FE45),Planung!FE45,IF(UPPER(Planung!FE45)="H",$C45/2,0)))))))</f>
        <v>0</v>
      </c>
      <c r="FF45" s="27">
        <f>IF($A45="",0,IF(Mitarbeiter!$G$43=FALSE,0,IF(AND(Mitarbeiter!$E$43&lt;&gt;"",FF$5+6&lt;Mitarbeiter!$E$43),0,IF(AND(Mitarbeiter!$F$43&lt;&gt;"",FF$5&gt;Mitarbeiter!$F$43),0,IF(Planung!FF45="",$C45,IF(ISNUMBER(Planung!FF45),Planung!FF45,IF(UPPER(Planung!FF45)="H",$C45/2,0)))))))</f>
        <v>0</v>
      </c>
      <c r="FG45" s="27">
        <f>IF($A45="",0,IF(Mitarbeiter!$G$43=FALSE,0,IF(AND(Mitarbeiter!$E$43&lt;&gt;"",FG$5+6&lt;Mitarbeiter!$E$43),0,IF(AND(Mitarbeiter!$F$43&lt;&gt;"",FG$5&gt;Mitarbeiter!$F$43),0,IF(Planung!FG45="",$C45,IF(ISNUMBER(Planung!FG45),Planung!FG45,IF(UPPER(Planung!FG45)="H",$C45/2,0)))))))</f>
        <v>0</v>
      </c>
      <c r="FH45" s="27">
        <f>IF($A45="",0,IF(Mitarbeiter!$G$43=FALSE,0,IF(AND(Mitarbeiter!$E$43&lt;&gt;"",FH$5+6&lt;Mitarbeiter!$E$43),0,IF(AND(Mitarbeiter!$F$43&lt;&gt;"",FH$5&gt;Mitarbeiter!$F$43),0,IF(Planung!FH45="",$C45,IF(ISNUMBER(Planung!FH45),Planung!FH45,IF(UPPER(Planung!FH45)="H",$C45/2,0)))))))</f>
        <v>0</v>
      </c>
      <c r="FI45" s="27">
        <f>IF($A45="",0,IF(Mitarbeiter!$G$43=FALSE,0,IF(AND(Mitarbeiter!$E$43&lt;&gt;"",FI$5+6&lt;Mitarbeiter!$E$43),0,IF(AND(Mitarbeiter!$F$43&lt;&gt;"",FI$5&gt;Mitarbeiter!$F$43),0,IF(Planung!FI45="",$C45,IF(ISNUMBER(Planung!FI45),Planung!FI45,IF(UPPER(Planung!FI45)="H",$C45/2,0)))))))</f>
        <v>0</v>
      </c>
      <c r="FJ45" s="27">
        <f>IF($A45="",0,IF(Mitarbeiter!$G$43=FALSE,0,IF(AND(Mitarbeiter!$E$43&lt;&gt;"",FJ$5+6&lt;Mitarbeiter!$E$43),0,IF(AND(Mitarbeiter!$F$43&lt;&gt;"",FJ$5&gt;Mitarbeiter!$F$43),0,IF(Planung!FJ45="",$C45,IF(ISNUMBER(Planung!FJ45),Planung!FJ45,IF(UPPER(Planung!FJ45)="H",$C45/2,0)))))))</f>
        <v>0</v>
      </c>
      <c r="FK45" s="27">
        <f>IF($A45="",0,IF(Mitarbeiter!$G$43=FALSE,0,IF(AND(Mitarbeiter!$E$43&lt;&gt;"",FK$5+6&lt;Mitarbeiter!$E$43),0,IF(AND(Mitarbeiter!$F$43&lt;&gt;"",FK$5&gt;Mitarbeiter!$F$43),0,IF(Planung!FK45="",$C45,IF(ISNUMBER(Planung!FK45),Planung!FK45,IF(UPPER(Planung!FK45)="H",$C45/2,0)))))))</f>
        <v>0</v>
      </c>
      <c r="FL45" s="27">
        <f>IF($A45="",0,IF(Mitarbeiter!$G$43=FALSE,0,IF(AND(Mitarbeiter!$E$43&lt;&gt;"",FL$5+6&lt;Mitarbeiter!$E$43),0,IF(AND(Mitarbeiter!$F$43&lt;&gt;"",FL$5&gt;Mitarbeiter!$F$43),0,IF(Planung!FL45="",$C45,IF(ISNUMBER(Planung!FL45),Planung!FL45,IF(UPPER(Planung!FL45)="H",$C45/2,0)))))))</f>
        <v>0</v>
      </c>
      <c r="FM45" s="27">
        <f>IF($A45="",0,IF(Mitarbeiter!$G$43=FALSE,0,IF(AND(Mitarbeiter!$E$43&lt;&gt;"",FM$5+6&lt;Mitarbeiter!$E$43),0,IF(AND(Mitarbeiter!$F$43&lt;&gt;"",FM$5&gt;Mitarbeiter!$F$43),0,IF(Planung!FM45="",$C45,IF(ISNUMBER(Planung!FM45),Planung!FM45,IF(UPPER(Planung!FM45)="H",$C45/2,0)))))))</f>
        <v>0</v>
      </c>
      <c r="FN45" s="27">
        <f>IF($A45="",0,IF(Mitarbeiter!$G$43=FALSE,0,IF(AND(Mitarbeiter!$E$43&lt;&gt;"",FN$5+6&lt;Mitarbeiter!$E$43),0,IF(AND(Mitarbeiter!$F$43&lt;&gt;"",FN$5&gt;Mitarbeiter!$F$43),0,IF(Planung!FN45="",$C45,IF(ISNUMBER(Planung!FN45),Planung!FN45,IF(UPPER(Planung!FN45)="H",$C45/2,0)))))))</f>
        <v>0</v>
      </c>
      <c r="FO45" s="27">
        <f>IF($A45="",0,IF(Mitarbeiter!$G$43=FALSE,0,IF(AND(Mitarbeiter!$E$43&lt;&gt;"",FO$5+6&lt;Mitarbeiter!$E$43),0,IF(AND(Mitarbeiter!$F$43&lt;&gt;"",FO$5&gt;Mitarbeiter!$F$43),0,IF(Planung!FO45="",$C45,IF(ISNUMBER(Planung!FO45),Planung!FO45,IF(UPPER(Planung!FO45)="H",$C45/2,0)))))))</f>
        <v>0</v>
      </c>
      <c r="FP45" s="27">
        <f>IF($A45="",0,IF(Mitarbeiter!$G$43=FALSE,0,IF(AND(Mitarbeiter!$E$43&lt;&gt;"",FP$5+6&lt;Mitarbeiter!$E$43),0,IF(AND(Mitarbeiter!$F$43&lt;&gt;"",FP$5&gt;Mitarbeiter!$F$43),0,IF(Planung!FP45="",$C45,IF(ISNUMBER(Planung!FP45),Planung!FP45,IF(UPPER(Planung!FP45)="H",$C45/2,0)))))))</f>
        <v>0</v>
      </c>
      <c r="FQ45" s="27">
        <f>IF($A45="",0,IF(Mitarbeiter!$G$43=FALSE,0,IF(AND(Mitarbeiter!$E$43&lt;&gt;"",FQ$5+6&lt;Mitarbeiter!$E$43),0,IF(AND(Mitarbeiter!$F$43&lt;&gt;"",FQ$5&gt;Mitarbeiter!$F$43),0,IF(Planung!FQ45="",$C45,IF(ISNUMBER(Planung!FQ45),Planung!FQ45,IF(UPPER(Planung!FQ45)="H",$C45/2,0)))))))</f>
        <v>0</v>
      </c>
      <c r="FR45" s="27">
        <f>IF($A45="",0,IF(Mitarbeiter!$G$43=FALSE,0,IF(AND(Mitarbeiter!$E$43&lt;&gt;"",FR$5+6&lt;Mitarbeiter!$E$43),0,IF(AND(Mitarbeiter!$F$43&lt;&gt;"",FR$5&gt;Mitarbeiter!$F$43),0,IF(Planung!FR45="",$C45,IF(ISNUMBER(Planung!FR45),Planung!FR45,IF(UPPER(Planung!FR45)="H",$C45/2,0)))))))</f>
        <v>0</v>
      </c>
      <c r="FS45" s="27">
        <f>IF($A45="",0,IF(Mitarbeiter!$G$43=FALSE,0,IF(AND(Mitarbeiter!$E$43&lt;&gt;"",FS$5+6&lt;Mitarbeiter!$E$43),0,IF(AND(Mitarbeiter!$F$43&lt;&gt;"",FS$5&gt;Mitarbeiter!$F$43),0,IF(Planung!FS45="",$C45,IF(ISNUMBER(Planung!FS45),Planung!FS45,IF(UPPER(Planung!FS45)="H",$C45/2,0)))))))</f>
        <v>0</v>
      </c>
      <c r="FT45" s="27">
        <f>IF($A45="",0,IF(Mitarbeiter!$G$43=FALSE,0,IF(AND(Mitarbeiter!$E$43&lt;&gt;"",FT$5+6&lt;Mitarbeiter!$E$43),0,IF(AND(Mitarbeiter!$F$43&lt;&gt;"",FT$5&gt;Mitarbeiter!$F$43),0,IF(Planung!FT45="",$C45,IF(ISNUMBER(Planung!FT45),Planung!FT45,IF(UPPER(Planung!FT45)="H",$C45/2,0)))))))</f>
        <v>0</v>
      </c>
      <c r="FU45" s="27">
        <f>IF($A45="",0,IF(Mitarbeiter!$G$43=FALSE,0,IF(AND(Mitarbeiter!$E$43&lt;&gt;"",FU$5+6&lt;Mitarbeiter!$E$43),0,IF(AND(Mitarbeiter!$F$43&lt;&gt;"",FU$5&gt;Mitarbeiter!$F$43),0,IF(Planung!FU45="",$C45,IF(ISNUMBER(Planung!FU45),Planung!FU45,IF(UPPER(Planung!FU45)="H",$C45/2,0)))))))</f>
        <v>0</v>
      </c>
      <c r="FV45" s="27">
        <f>IF($A45="",0,IF(Mitarbeiter!$G$43=FALSE,0,IF(AND(Mitarbeiter!$E$43&lt;&gt;"",FV$5+6&lt;Mitarbeiter!$E$43),0,IF(AND(Mitarbeiter!$F$43&lt;&gt;"",FV$5&gt;Mitarbeiter!$F$43),0,IF(Planung!FV45="",$C45,IF(ISNUMBER(Planung!FV45),Planung!FV45,IF(UPPER(Planung!FV45)="H",$C45/2,0)))))))</f>
        <v>0</v>
      </c>
      <c r="FW45" s="27">
        <f>IF($A45="",0,IF(Mitarbeiter!$G$43=FALSE,0,IF(AND(Mitarbeiter!$E$43&lt;&gt;"",FW$5+6&lt;Mitarbeiter!$E$43),0,IF(AND(Mitarbeiter!$F$43&lt;&gt;"",FW$5&gt;Mitarbeiter!$F$43),0,IF(Planung!FW45="",$C45,IF(ISNUMBER(Planung!FW45),Planung!FW45,IF(UPPER(Planung!FW45)="H",$C45/2,0)))))))</f>
        <v>0</v>
      </c>
      <c r="FX45" s="27">
        <f>IF($A45="",0,IF(Mitarbeiter!$G$43=FALSE,0,IF(AND(Mitarbeiter!$E$43&lt;&gt;"",FX$5+6&lt;Mitarbeiter!$E$43),0,IF(AND(Mitarbeiter!$F$43&lt;&gt;"",FX$5&gt;Mitarbeiter!$F$43),0,IF(Planung!FX45="",$C45,IF(ISNUMBER(Planung!FX45),Planung!FX45,IF(UPPER(Planung!FX45)="H",$C45/2,0)))))))</f>
        <v>0</v>
      </c>
      <c r="FY45" s="27">
        <f>IF($A45="",0,IF(Mitarbeiter!$G$43=FALSE,0,IF(AND(Mitarbeiter!$E$43&lt;&gt;"",FY$5+6&lt;Mitarbeiter!$E$43),0,IF(AND(Mitarbeiter!$F$43&lt;&gt;"",FY$5&gt;Mitarbeiter!$F$43),0,IF(Planung!FY45="",$C45,IF(ISNUMBER(Planung!FY45),Planung!FY45,IF(UPPER(Planung!FY45)="H",$C45/2,0)))))))</f>
        <v>0</v>
      </c>
      <c r="FZ45" s="27">
        <f>IF($A45="",0,IF(Mitarbeiter!$G$43=FALSE,0,IF(AND(Mitarbeiter!$E$43&lt;&gt;"",FZ$5+6&lt;Mitarbeiter!$E$43),0,IF(AND(Mitarbeiter!$F$43&lt;&gt;"",FZ$5&gt;Mitarbeiter!$F$43),0,IF(Planung!FZ45="",$C45,IF(ISNUMBER(Planung!FZ45),Planung!FZ45,IF(UPPER(Planung!FZ45)="H",$C45/2,0)))))))</f>
        <v>0</v>
      </c>
      <c r="GA45" s="27">
        <f>IF($A45="",0,IF(Mitarbeiter!$G$43=FALSE,0,IF(AND(Mitarbeiter!$E$43&lt;&gt;"",GA$5+6&lt;Mitarbeiter!$E$43),0,IF(AND(Mitarbeiter!$F$43&lt;&gt;"",GA$5&gt;Mitarbeiter!$F$43),0,IF(Planung!GA45="",$C45,IF(ISNUMBER(Planung!GA45),Planung!GA45,IF(UPPER(Planung!GA45)="H",$C45/2,0)))))))</f>
        <v>0</v>
      </c>
      <c r="GB45" s="27">
        <f>IF($A45="",0,IF(Mitarbeiter!$G$43=FALSE,0,IF(AND(Mitarbeiter!$E$43&lt;&gt;"",GB$5+6&lt;Mitarbeiter!$E$43),0,IF(AND(Mitarbeiter!$F$43&lt;&gt;"",GB$5&gt;Mitarbeiter!$F$43),0,IF(Planung!GB45="",$C45,IF(ISNUMBER(Planung!GB45),Planung!GB45,IF(UPPER(Planung!GB45)="H",$C45/2,0)))))))</f>
        <v>0</v>
      </c>
      <c r="GC45" s="27">
        <f>IF($A45="",0,IF(Mitarbeiter!$G$43=FALSE,0,IF(AND(Mitarbeiter!$E$43&lt;&gt;"",GC$5+6&lt;Mitarbeiter!$E$43),0,IF(AND(Mitarbeiter!$F$43&lt;&gt;"",GC$5&gt;Mitarbeiter!$F$43),0,IF(Planung!GC45="",$C45,IF(ISNUMBER(Planung!GC45),Planung!GC45,IF(UPPER(Planung!GC45)="H",$C45/2,0)))))))</f>
        <v>0</v>
      </c>
      <c r="GD45" s="27">
        <f>IF($A45="",0,IF(Mitarbeiter!$G$43=FALSE,0,IF(AND(Mitarbeiter!$E$43&lt;&gt;"",GD$5+6&lt;Mitarbeiter!$E$43),0,IF(AND(Mitarbeiter!$F$43&lt;&gt;"",GD$5&gt;Mitarbeiter!$F$43),0,IF(Planung!GD45="",$C45,IF(ISNUMBER(Planung!GD45),Planung!GD45,IF(UPPER(Planung!GD45)="H",$C45/2,0)))))))</f>
        <v>0</v>
      </c>
      <c r="GE45" s="27">
        <f>IF($A45="",0,IF(Mitarbeiter!$G$43=FALSE,0,IF(AND(Mitarbeiter!$E$43&lt;&gt;"",GE$5+6&lt;Mitarbeiter!$E$43),0,IF(AND(Mitarbeiter!$F$43&lt;&gt;"",GE$5&gt;Mitarbeiter!$F$43),0,IF(Planung!GE45="",$C45,IF(ISNUMBER(Planung!GE45),Planung!GE45,IF(UPPER(Planung!GE45)="H",$C45/2,0)))))))</f>
        <v>0</v>
      </c>
      <c r="GF45" s="27">
        <f>IF($A45="",0,IF(Mitarbeiter!$G$43=FALSE,0,IF(AND(Mitarbeiter!$E$43&lt;&gt;"",GF$5+6&lt;Mitarbeiter!$E$43),0,IF(AND(Mitarbeiter!$F$43&lt;&gt;"",GF$5&gt;Mitarbeiter!$F$43),0,IF(Planung!GF45="",$C45,IF(ISNUMBER(Planung!GF45),Planung!GF45,IF(UPPER(Planung!GF45)="H",$C45/2,0)))))))</f>
        <v>0</v>
      </c>
      <c r="GG45" s="27">
        <f>IF($A45="",0,IF(Mitarbeiter!$G$43=FALSE,0,IF(AND(Mitarbeiter!$E$43&lt;&gt;"",GG$5+6&lt;Mitarbeiter!$E$43),0,IF(AND(Mitarbeiter!$F$43&lt;&gt;"",GG$5&gt;Mitarbeiter!$F$43),0,IF(Planung!GG45="",$C45,IF(ISNUMBER(Planung!GG45),Planung!GG45,IF(UPPER(Planung!GG45)="H",$C45/2,0)))))))</f>
        <v>0</v>
      </c>
      <c r="GH45" s="27">
        <f>IF($A45="",0,IF(Mitarbeiter!$G$43=FALSE,0,IF(AND(Mitarbeiter!$E$43&lt;&gt;"",GH$5+6&lt;Mitarbeiter!$E$43),0,IF(AND(Mitarbeiter!$F$43&lt;&gt;"",GH$5&gt;Mitarbeiter!$F$43),0,IF(Planung!GH45="",$C45,IF(ISNUMBER(Planung!GH45),Planung!GH45,IF(UPPER(Planung!GH45)="H",$C45/2,0)))))))</f>
        <v>0</v>
      </c>
      <c r="GI45" s="27">
        <f>IF($A45="",0,IF(Mitarbeiter!$G$43=FALSE,0,IF(AND(Mitarbeiter!$E$43&lt;&gt;"",GI$5+6&lt;Mitarbeiter!$E$43),0,IF(AND(Mitarbeiter!$F$43&lt;&gt;"",GI$5&gt;Mitarbeiter!$F$43),0,IF(Planung!GI45="",$C45,IF(ISNUMBER(Planung!GI45),Planung!GI45,IF(UPPER(Planung!GI45)="H",$C45/2,0)))))))</f>
        <v>0</v>
      </c>
      <c r="GJ45" s="27">
        <f>IF($A45="",0,IF(Mitarbeiter!$G$43=FALSE,0,IF(AND(Mitarbeiter!$E$43&lt;&gt;"",GJ$5+6&lt;Mitarbeiter!$E$43),0,IF(AND(Mitarbeiter!$F$43&lt;&gt;"",GJ$5&gt;Mitarbeiter!$F$43),0,IF(Planung!GJ45="",$C45,IF(ISNUMBER(Planung!GJ45),Planung!GJ45,IF(UPPER(Planung!GJ45)="H",$C45/2,0)))))))</f>
        <v>0</v>
      </c>
      <c r="GK45" s="27">
        <f>IF($A45="",0,IF(Mitarbeiter!$G$43=FALSE,0,IF(AND(Mitarbeiter!$E$43&lt;&gt;"",GK$5+6&lt;Mitarbeiter!$E$43),0,IF(AND(Mitarbeiter!$F$43&lt;&gt;"",GK$5&gt;Mitarbeiter!$F$43),0,IF(Planung!GK45="",$C45,IF(ISNUMBER(Planung!GK45),Planung!GK45,IF(UPPER(Planung!GK45)="H",$C45/2,0)))))))</f>
        <v>0</v>
      </c>
      <c r="GL45" s="27">
        <f>IF($A45="",0,IF(Mitarbeiter!$G$43=FALSE,0,IF(AND(Mitarbeiter!$E$43&lt;&gt;"",GL$5+6&lt;Mitarbeiter!$E$43),0,IF(AND(Mitarbeiter!$F$43&lt;&gt;"",GL$5&gt;Mitarbeiter!$F$43),0,IF(Planung!GL45="",$C45,IF(ISNUMBER(Planung!GL45),Planung!GL45,IF(UPPER(Planung!GL45)="H",$C45/2,0)))))))</f>
        <v>0</v>
      </c>
      <c r="GM45" s="27">
        <f>IF($A45="",0,IF(Mitarbeiter!$G$43=FALSE,0,IF(AND(Mitarbeiter!$E$43&lt;&gt;"",GM$5+6&lt;Mitarbeiter!$E$43),0,IF(AND(Mitarbeiter!$F$43&lt;&gt;"",GM$5&gt;Mitarbeiter!$F$43),0,IF(Planung!GM45="",$C45,IF(ISNUMBER(Planung!GM45),Planung!GM45,IF(UPPER(Planung!GM45)="H",$C45/2,0)))))))</f>
        <v>0</v>
      </c>
      <c r="GN45" s="27">
        <f>IF($A45="",0,IF(Mitarbeiter!$G$43=FALSE,0,IF(AND(Mitarbeiter!$E$43&lt;&gt;"",GN$5+6&lt;Mitarbeiter!$E$43),0,IF(AND(Mitarbeiter!$F$43&lt;&gt;"",GN$5&gt;Mitarbeiter!$F$43),0,IF(Planung!GN45="",$C45,IF(ISNUMBER(Planung!GN45),Planung!GN45,IF(UPPER(Planung!GN45)="H",$C45/2,0)))))))</f>
        <v>0</v>
      </c>
      <c r="GO45" s="27">
        <f>IF($A45="",0,IF(Mitarbeiter!$G$43=FALSE,0,IF(AND(Mitarbeiter!$E$43&lt;&gt;"",GO$5+6&lt;Mitarbeiter!$E$43),0,IF(AND(Mitarbeiter!$F$43&lt;&gt;"",GO$5&gt;Mitarbeiter!$F$43),0,IF(Planung!GO45="",$C45,IF(ISNUMBER(Planung!GO45),Planung!GO45,IF(UPPER(Planung!GO45)="H",$C45/2,0)))))))</f>
        <v>0</v>
      </c>
      <c r="GP45" s="27">
        <f>IF($A45="",0,IF(Mitarbeiter!$G$43=FALSE,0,IF(AND(Mitarbeiter!$E$43&lt;&gt;"",GP$5+6&lt;Mitarbeiter!$E$43),0,IF(AND(Mitarbeiter!$F$43&lt;&gt;"",GP$5&gt;Mitarbeiter!$F$43),0,IF(Planung!GP45="",$C45,IF(ISNUMBER(Planung!GP45),Planung!GP45,IF(UPPER(Planung!GP45)="H",$C45/2,0)))))))</f>
        <v>0</v>
      </c>
      <c r="GQ45" s="27">
        <f>IF($A45="",0,IF(Mitarbeiter!$G$43=FALSE,0,IF(AND(Mitarbeiter!$E$43&lt;&gt;"",GQ$5+6&lt;Mitarbeiter!$E$43),0,IF(AND(Mitarbeiter!$F$43&lt;&gt;"",GQ$5&gt;Mitarbeiter!$F$43),0,IF(Planung!GQ45="",$C45,IF(ISNUMBER(Planung!GQ45),Planung!GQ45,IF(UPPER(Planung!GQ45)="H",$C45/2,0)))))))</f>
        <v>0</v>
      </c>
      <c r="GR45" s="27">
        <f>IF($A45="",0,IF(Mitarbeiter!$G$43=FALSE,0,IF(AND(Mitarbeiter!$E$43&lt;&gt;"",GR$5+6&lt;Mitarbeiter!$E$43),0,IF(AND(Mitarbeiter!$F$43&lt;&gt;"",GR$5&gt;Mitarbeiter!$F$43),0,IF(Planung!GR45="",$C45,IF(ISNUMBER(Planung!GR45),Planung!GR45,IF(UPPER(Planung!GR45)="H",$C45/2,0)))))))</f>
        <v>0</v>
      </c>
      <c r="GS45" s="27">
        <f>IF($A45="",0,IF(Mitarbeiter!$G$43=FALSE,0,IF(AND(Mitarbeiter!$E$43&lt;&gt;"",GS$5+6&lt;Mitarbeiter!$E$43),0,IF(AND(Mitarbeiter!$F$43&lt;&gt;"",GS$5&gt;Mitarbeiter!$F$43),0,IF(Planung!GS45="",$C45,IF(ISNUMBER(Planung!GS45),Planung!GS45,IF(UPPER(Planung!GS45)="H",$C45/2,0)))))))</f>
        <v>0</v>
      </c>
      <c r="GT45" s="27">
        <f>IF($A45="",0,IF(Mitarbeiter!$G$43=FALSE,0,IF(AND(Mitarbeiter!$E$43&lt;&gt;"",GT$5+6&lt;Mitarbeiter!$E$43),0,IF(AND(Mitarbeiter!$F$43&lt;&gt;"",GT$5&gt;Mitarbeiter!$F$43),0,IF(Planung!GT45="",$C45,IF(ISNUMBER(Planung!GT45),Planung!GT45,IF(UPPER(Planung!GT45)="H",$C45/2,0)))))))</f>
        <v>0</v>
      </c>
      <c r="GU45" s="27">
        <f>IF($A45="",0,IF(Mitarbeiter!$G$43=FALSE,0,IF(AND(Mitarbeiter!$E$43&lt;&gt;"",GU$5+6&lt;Mitarbeiter!$E$43),0,IF(AND(Mitarbeiter!$F$43&lt;&gt;"",GU$5&gt;Mitarbeiter!$F$43),0,IF(Planung!GU45="",$C45,IF(ISNUMBER(Planung!GU45),Planung!GU45,IF(UPPER(Planung!GU45)="H",$C45/2,0)))))))</f>
        <v>0</v>
      </c>
      <c r="GV45" s="27">
        <f>IF($A45="",0,IF(Mitarbeiter!$G$43=FALSE,0,IF(AND(Mitarbeiter!$E$43&lt;&gt;"",GV$5+6&lt;Mitarbeiter!$E$43),0,IF(AND(Mitarbeiter!$F$43&lt;&gt;"",GV$5&gt;Mitarbeiter!$F$43),0,IF(Planung!GV45="",$C45,IF(ISNUMBER(Planung!GV45),Planung!GV45,IF(UPPER(Planung!GV45)="H",$C45/2,0)))))))</f>
        <v>0</v>
      </c>
      <c r="GW45" s="27">
        <f>IF($A45="",0,IF(Mitarbeiter!$G$43=FALSE,0,IF(AND(Mitarbeiter!$E$43&lt;&gt;"",GW$5+6&lt;Mitarbeiter!$E$43),0,IF(AND(Mitarbeiter!$F$43&lt;&gt;"",GW$5&gt;Mitarbeiter!$F$43),0,IF(Planung!GW45="",$C45,IF(ISNUMBER(Planung!GW45),Planung!GW45,IF(UPPER(Planung!GW45)="H",$C45/2,0)))))))</f>
        <v>0</v>
      </c>
      <c r="GX45" s="27">
        <f>IF($A45="",0,IF(Mitarbeiter!$G$43=FALSE,0,IF(AND(Mitarbeiter!$E$43&lt;&gt;"",GX$5+6&lt;Mitarbeiter!$E$43),0,IF(AND(Mitarbeiter!$F$43&lt;&gt;"",GX$5&gt;Mitarbeiter!$F$43),0,IF(Planung!GX45="",$C45,IF(ISNUMBER(Planung!GX45),Planung!GX45,IF(UPPER(Planung!GX45)="H",$C45/2,0)))))))</f>
        <v>0</v>
      </c>
      <c r="GY45" s="27">
        <f>IF($A45="",0,IF(Mitarbeiter!$G$43=FALSE,0,IF(AND(Mitarbeiter!$E$43&lt;&gt;"",GY$5+6&lt;Mitarbeiter!$E$43),0,IF(AND(Mitarbeiter!$F$43&lt;&gt;"",GY$5&gt;Mitarbeiter!$F$43),0,IF(Planung!GY45="",$C45,IF(ISNUMBER(Planung!GY45),Planung!GY45,IF(UPPER(Planung!GY45)="H",$C45/2,0)))))))</f>
        <v>0</v>
      </c>
      <c r="GZ45" s="27">
        <f>IF($A45="",0,IF(Mitarbeiter!$G$43=FALSE,0,IF(AND(Mitarbeiter!$E$43&lt;&gt;"",GZ$5+6&lt;Mitarbeiter!$E$43),0,IF(AND(Mitarbeiter!$F$43&lt;&gt;"",GZ$5&gt;Mitarbeiter!$F$43),0,IF(Planung!GZ45="",$C45,IF(ISNUMBER(Planung!GZ45),Planung!GZ45,IF(UPPER(Planung!GZ45)="H",$C45/2,0)))))))</f>
        <v>0</v>
      </c>
      <c r="HA45" s="27">
        <f>IF($A45="",0,IF(Mitarbeiter!$G$43=FALSE,0,IF(AND(Mitarbeiter!$E$43&lt;&gt;"",HA$5+6&lt;Mitarbeiter!$E$43),0,IF(AND(Mitarbeiter!$F$43&lt;&gt;"",HA$5&gt;Mitarbeiter!$F$43),0,IF(Planung!HA45="",$C45,IF(ISNUMBER(Planung!HA45),Planung!HA45,IF(UPPER(Planung!HA45)="H",$C45/2,0)))))))</f>
        <v>0</v>
      </c>
      <c r="HB45" s="27">
        <f>IF($A45="",0,IF(Mitarbeiter!$G$43=FALSE,0,IF(AND(Mitarbeiter!$E$43&lt;&gt;"",HB$5+6&lt;Mitarbeiter!$E$43),0,IF(AND(Mitarbeiter!$F$43&lt;&gt;"",HB$5&gt;Mitarbeiter!$F$43),0,IF(Planung!HB45="",$C45,IF(ISNUMBER(Planung!HB45),Planung!HB45,IF(UPPER(Planung!HB45)="H",$C45/2,0)))))))</f>
        <v>0</v>
      </c>
      <c r="HC45" s="27">
        <f>IF($A45="",0,IF(Mitarbeiter!$G$43=FALSE,0,IF(AND(Mitarbeiter!$E$43&lt;&gt;"",HC$5+6&lt;Mitarbeiter!$E$43),0,IF(AND(Mitarbeiter!$F$43&lt;&gt;"",HC$5&gt;Mitarbeiter!$F$43),0,IF(Planung!HC45="",$C45,IF(ISNUMBER(Planung!HC45),Planung!HC45,IF(UPPER(Planung!HC45)="H",$C45/2,0)))))))</f>
        <v>0</v>
      </c>
      <c r="HD45" s="27">
        <f>IF($A45="",0,IF(Mitarbeiter!$G$43=FALSE,0,IF(AND(Mitarbeiter!$E$43&lt;&gt;"",HD$5+6&lt;Mitarbeiter!$E$43),0,IF(AND(Mitarbeiter!$F$43&lt;&gt;"",HD$5&gt;Mitarbeiter!$F$43),0,IF(Planung!HD45="",$C45,IF(ISNUMBER(Planung!HD45),Planung!HD45,IF(UPPER(Planung!HD45)="H",$C45/2,0)))))))</f>
        <v>0</v>
      </c>
      <c r="HE45" s="27">
        <f>IF($A45="",0,IF(Mitarbeiter!$G$43=FALSE,0,IF(AND(Mitarbeiter!$E$43&lt;&gt;"",HE$5+6&lt;Mitarbeiter!$E$43),0,IF(AND(Mitarbeiter!$F$43&lt;&gt;"",HE$5&gt;Mitarbeiter!$F$43),0,IF(Planung!HE45="",$C45,IF(ISNUMBER(Planung!HE45),Planung!HE45,IF(UPPER(Planung!HE45)="H",$C45/2,0)))))))</f>
        <v>0</v>
      </c>
      <c r="HF45" s="27">
        <f>IF($A45="",0,IF(Mitarbeiter!$G$43=FALSE,0,IF(AND(Mitarbeiter!$E$43&lt;&gt;"",HF$5+6&lt;Mitarbeiter!$E$43),0,IF(AND(Mitarbeiter!$F$43&lt;&gt;"",HF$5&gt;Mitarbeiter!$F$43),0,IF(Planung!HF45="",$C45,IF(ISNUMBER(Planung!HF45),Planung!HF45,IF(UPPER(Planung!HF45)="H",$C45/2,0)))))))</f>
        <v>0</v>
      </c>
      <c r="HG45" s="27">
        <f>IF($A45="",0,IF(Mitarbeiter!$G$43=FALSE,0,IF(AND(Mitarbeiter!$E$43&lt;&gt;"",HG$5+6&lt;Mitarbeiter!$E$43),0,IF(AND(Mitarbeiter!$F$43&lt;&gt;"",HG$5&gt;Mitarbeiter!$F$43),0,IF(Planung!HG45="",$C45,IF(ISNUMBER(Planung!HG45),Planung!HG45,IF(UPPER(Planung!HG45)="H",$C45/2,0)))))))</f>
        <v>0</v>
      </c>
      <c r="HH45" s="27">
        <f>IF($A45="",0,IF(Mitarbeiter!$G$43=FALSE,0,IF(AND(Mitarbeiter!$E$43&lt;&gt;"",HH$5+6&lt;Mitarbeiter!$E$43),0,IF(AND(Mitarbeiter!$F$43&lt;&gt;"",HH$5&gt;Mitarbeiter!$F$43),0,IF(Planung!HH45="",$C45,IF(ISNUMBER(Planung!HH45),Planung!HH45,IF(UPPER(Planung!HH45)="H",$C45/2,0)))))))</f>
        <v>0</v>
      </c>
      <c r="HI45" s="27">
        <f>IF($A45="",0,IF(Mitarbeiter!$G$43=FALSE,0,IF(AND(Mitarbeiter!$E$43&lt;&gt;"",HI$5+6&lt;Mitarbeiter!$E$43),0,IF(AND(Mitarbeiter!$F$43&lt;&gt;"",HI$5&gt;Mitarbeiter!$F$43),0,IF(Planung!HI45="",$C45,IF(ISNUMBER(Planung!HI45),Planung!HI45,IF(UPPER(Planung!HI45)="H",$C45/2,0)))))))</f>
        <v>0</v>
      </c>
      <c r="HJ45" s="27">
        <f>IF($A45="",0,IF(Mitarbeiter!$G$43=FALSE,0,IF(AND(Mitarbeiter!$E$43&lt;&gt;"",HJ$5+6&lt;Mitarbeiter!$E$43),0,IF(AND(Mitarbeiter!$F$43&lt;&gt;"",HJ$5&gt;Mitarbeiter!$F$43),0,IF(Planung!HJ45="",$C45,IF(ISNUMBER(Planung!HJ45),Planung!HJ45,IF(UPPER(Planung!HJ45)="H",$C45/2,0)))))))</f>
        <v>0</v>
      </c>
      <c r="HK45" s="27">
        <f>IF($A45="",0,IF(Mitarbeiter!$G$43=FALSE,0,IF(AND(Mitarbeiter!$E$43&lt;&gt;"",HK$5+6&lt;Mitarbeiter!$E$43),0,IF(AND(Mitarbeiter!$F$43&lt;&gt;"",HK$5&gt;Mitarbeiter!$F$43),0,IF(Planung!HK45="",$C45,IF(ISNUMBER(Planung!HK45),Planung!HK45,IF(UPPER(Planung!HK45)="H",$C45/2,0)))))))</f>
        <v>0</v>
      </c>
      <c r="HL45" s="27">
        <f>IF($A45="",0,IF(Mitarbeiter!$G$43=FALSE,0,IF(AND(Mitarbeiter!$E$43&lt;&gt;"",HL$5+6&lt;Mitarbeiter!$E$43),0,IF(AND(Mitarbeiter!$F$43&lt;&gt;"",HL$5&gt;Mitarbeiter!$F$43),0,IF(Planung!HL45="",$C45,IF(ISNUMBER(Planung!HL45),Planung!HL45,IF(UPPER(Planung!HL45)="H",$C45/2,0)))))))</f>
        <v>0</v>
      </c>
      <c r="HM45" s="27">
        <f>IF($A45="",0,IF(Mitarbeiter!$G$43=FALSE,0,IF(AND(Mitarbeiter!$E$43&lt;&gt;"",HM$5+6&lt;Mitarbeiter!$E$43),0,IF(AND(Mitarbeiter!$F$43&lt;&gt;"",HM$5&gt;Mitarbeiter!$F$43),0,IF(Planung!HM45="",$C45,IF(ISNUMBER(Planung!HM45),Planung!HM45,IF(UPPER(Planung!HM45)="H",$C45/2,0)))))))</f>
        <v>0</v>
      </c>
      <c r="HN45" s="27">
        <f>IF($A45="",0,IF(Mitarbeiter!$G$43=FALSE,0,IF(AND(Mitarbeiter!$E$43&lt;&gt;"",HN$5+6&lt;Mitarbeiter!$E$43),0,IF(AND(Mitarbeiter!$F$43&lt;&gt;"",HN$5&gt;Mitarbeiter!$F$43),0,IF(Planung!HN45="",$C45,IF(ISNUMBER(Planung!HN45),Planung!HN45,IF(UPPER(Planung!HN45)="H",$C45/2,0)))))))</f>
        <v>0</v>
      </c>
      <c r="HO45" s="27">
        <f>IF($A45="",0,IF(Mitarbeiter!$G$43=FALSE,0,IF(AND(Mitarbeiter!$E$43&lt;&gt;"",HO$5+6&lt;Mitarbeiter!$E$43),0,IF(AND(Mitarbeiter!$F$43&lt;&gt;"",HO$5&gt;Mitarbeiter!$F$43),0,IF(Planung!HO45="",$C45,IF(ISNUMBER(Planung!HO45),Planung!HO45,IF(UPPER(Planung!HO45)="H",$C45/2,0)))))))</f>
        <v>0</v>
      </c>
      <c r="HP45" s="27">
        <f>IF($A45="",0,IF(Mitarbeiter!$G$43=FALSE,0,IF(AND(Mitarbeiter!$E$43&lt;&gt;"",HP$5+6&lt;Mitarbeiter!$E$43),0,IF(AND(Mitarbeiter!$F$43&lt;&gt;"",HP$5&gt;Mitarbeiter!$F$43),0,IF(Planung!HP45="",$C45,IF(ISNUMBER(Planung!HP45),Planung!HP45,IF(UPPER(Planung!HP45)="H",$C45/2,0)))))))</f>
        <v>0</v>
      </c>
      <c r="HQ45" s="27">
        <f>IF($A45="",0,IF(Mitarbeiter!$G$43=FALSE,0,IF(AND(Mitarbeiter!$E$43&lt;&gt;"",HQ$5+6&lt;Mitarbeiter!$E$43),0,IF(AND(Mitarbeiter!$F$43&lt;&gt;"",HQ$5&gt;Mitarbeiter!$F$43),0,IF(Planung!HQ45="",$C45,IF(ISNUMBER(Planung!HQ45),Planung!HQ45,IF(UPPER(Planung!HQ45)="H",$C45/2,0)))))))</f>
        <v>0</v>
      </c>
      <c r="HR45" s="27">
        <f>IF($A45="",0,IF(Mitarbeiter!$G$43=FALSE,0,IF(AND(Mitarbeiter!$E$43&lt;&gt;"",HR$5+6&lt;Mitarbeiter!$E$43),0,IF(AND(Mitarbeiter!$F$43&lt;&gt;"",HR$5&gt;Mitarbeiter!$F$43),0,IF(Planung!HR45="",$C45,IF(ISNUMBER(Planung!HR45),Planung!HR45,IF(UPPER(Planung!HR45)="H",$C45/2,0)))))))</f>
        <v>0</v>
      </c>
      <c r="HS45" s="27">
        <f>IF($A45="",0,IF(Mitarbeiter!$G$43=FALSE,0,IF(AND(Mitarbeiter!$E$43&lt;&gt;"",HS$5+6&lt;Mitarbeiter!$E$43),0,IF(AND(Mitarbeiter!$F$43&lt;&gt;"",HS$5&gt;Mitarbeiter!$F$43),0,IF(Planung!HS45="",$C45,IF(ISNUMBER(Planung!HS45),Planung!HS45,IF(UPPER(Planung!HS45)="H",$C45/2,0)))))))</f>
        <v>0</v>
      </c>
      <c r="HT45" s="27">
        <f>IF($A45="",0,IF(Mitarbeiter!$G$43=FALSE,0,IF(AND(Mitarbeiter!$E$43&lt;&gt;"",HT$5+6&lt;Mitarbeiter!$E$43),0,IF(AND(Mitarbeiter!$F$43&lt;&gt;"",HT$5&gt;Mitarbeiter!$F$43),0,IF(Planung!HT45="",$C45,IF(ISNUMBER(Planung!HT45),Planung!HT45,IF(UPPER(Planung!HT45)="H",$C45/2,0)))))))</f>
        <v>0</v>
      </c>
      <c r="HU45" s="27">
        <f>IF($A45="",0,IF(Mitarbeiter!$G$43=FALSE,0,IF(AND(Mitarbeiter!$E$43&lt;&gt;"",HU$5+6&lt;Mitarbeiter!$E$43),0,IF(AND(Mitarbeiter!$F$43&lt;&gt;"",HU$5&gt;Mitarbeiter!$F$43),0,IF(Planung!HU45="",$C45,IF(ISNUMBER(Planung!HU45),Planung!HU45,IF(UPPER(Planung!HU45)="H",$C45/2,0)))))))</f>
        <v>0</v>
      </c>
      <c r="HV45" s="27">
        <f>IF($A45="",0,IF(Mitarbeiter!$G$43=FALSE,0,IF(AND(Mitarbeiter!$E$43&lt;&gt;"",HV$5+6&lt;Mitarbeiter!$E$43),0,IF(AND(Mitarbeiter!$F$43&lt;&gt;"",HV$5&gt;Mitarbeiter!$F$43),0,IF(Planung!HV45="",$C45,IF(ISNUMBER(Planung!HV45),Planung!HV45,IF(UPPER(Planung!HV45)="H",$C45/2,0)))))))</f>
        <v>0</v>
      </c>
      <c r="HW45" s="27">
        <f>IF($A45="",0,IF(Mitarbeiter!$G$43=FALSE,0,IF(AND(Mitarbeiter!$E$43&lt;&gt;"",HW$5+6&lt;Mitarbeiter!$E$43),0,IF(AND(Mitarbeiter!$F$43&lt;&gt;"",HW$5&gt;Mitarbeiter!$F$43),0,IF(Planung!HW45="",$C45,IF(ISNUMBER(Planung!HW45),Planung!HW45,IF(UPPER(Planung!HW45)="H",$C45/2,0)))))))</f>
        <v>0</v>
      </c>
      <c r="HX45" s="27">
        <f>IF($A45="",0,IF(Mitarbeiter!$G$43=FALSE,0,IF(AND(Mitarbeiter!$E$43&lt;&gt;"",HX$5+6&lt;Mitarbeiter!$E$43),0,IF(AND(Mitarbeiter!$F$43&lt;&gt;"",HX$5&gt;Mitarbeiter!$F$43),0,IF(Planung!HX45="",$C45,IF(ISNUMBER(Planung!HX45),Planung!HX45,IF(UPPER(Planung!HX45)="H",$C45/2,0)))))))</f>
        <v>0</v>
      </c>
      <c r="HY45" s="27">
        <f>IF($A45="",0,IF(Mitarbeiter!$G$43=FALSE,0,IF(AND(Mitarbeiter!$E$43&lt;&gt;"",HY$5+6&lt;Mitarbeiter!$E$43),0,IF(AND(Mitarbeiter!$F$43&lt;&gt;"",HY$5&gt;Mitarbeiter!$F$43),0,IF(Planung!HY45="",$C45,IF(ISNUMBER(Planung!HY45),Planung!HY45,IF(UPPER(Planung!HY45)="H",$C45/2,0)))))))</f>
        <v>0</v>
      </c>
      <c r="HZ45" s="27">
        <f>IF($A45="",0,IF(Mitarbeiter!$G$43=FALSE,0,IF(AND(Mitarbeiter!$E$43&lt;&gt;"",HZ$5+6&lt;Mitarbeiter!$E$43),0,IF(AND(Mitarbeiter!$F$43&lt;&gt;"",HZ$5&gt;Mitarbeiter!$F$43),0,IF(Planung!HZ45="",$C45,IF(ISNUMBER(Planung!HZ45),Planung!HZ45,IF(UPPER(Planung!HZ45)="H",$C45/2,0)))))))</f>
        <v>0</v>
      </c>
      <c r="IA45" s="27">
        <f>IF($A45="",0,IF(Mitarbeiter!$G$43=FALSE,0,IF(AND(Mitarbeiter!$E$43&lt;&gt;"",IA$5+6&lt;Mitarbeiter!$E$43),0,IF(AND(Mitarbeiter!$F$43&lt;&gt;"",IA$5&gt;Mitarbeiter!$F$43),0,IF(Planung!IA45="",$C45,IF(ISNUMBER(Planung!IA45),Planung!IA45,IF(UPPER(Planung!IA45)="H",$C45/2,0)))))))</f>
        <v>0</v>
      </c>
    </row>
    <row r="46" spans="1:235" x14ac:dyDescent="0.25">
      <c r="A46" s="7" t="str">
        <f>Planung!A46</f>
        <v/>
      </c>
      <c r="B46" s="7" t="str">
        <f>Planung!B46</f>
        <v/>
      </c>
      <c r="C46" s="27">
        <f>N(Mitarbeiter!$D$44)</f>
        <v>0</v>
      </c>
      <c r="D46" s="27">
        <f>IF($A46="",0,IF(Mitarbeiter!$G$44=FALSE,0,IF(AND(Mitarbeiter!$E$44&lt;&gt;"",D$5+6&lt;Mitarbeiter!$E$44),0,IF(AND(Mitarbeiter!$F$44&lt;&gt;"",D$5&gt;Mitarbeiter!$F$44),0,IF(Planung!D46="",$C46,IF(ISNUMBER(Planung!D46),Planung!D46,IF(UPPER(Planung!D46)="H",$C46/2,0)))))))</f>
        <v>0</v>
      </c>
      <c r="E46" s="27">
        <f>IF($A46="",0,IF(Mitarbeiter!$G$44=FALSE,0,IF(AND(Mitarbeiter!$E$44&lt;&gt;"",E$5+6&lt;Mitarbeiter!$E$44),0,IF(AND(Mitarbeiter!$F$44&lt;&gt;"",E$5&gt;Mitarbeiter!$F$44),0,IF(Planung!E46="",$C46,IF(ISNUMBER(Planung!E46),Planung!E46,IF(UPPER(Planung!E46)="H",$C46/2,0)))))))</f>
        <v>0</v>
      </c>
      <c r="F46" s="27">
        <f>IF($A46="",0,IF(Mitarbeiter!$G$44=FALSE,0,IF(AND(Mitarbeiter!$E$44&lt;&gt;"",F$5+6&lt;Mitarbeiter!$E$44),0,IF(AND(Mitarbeiter!$F$44&lt;&gt;"",F$5&gt;Mitarbeiter!$F$44),0,IF(Planung!F46="",$C46,IF(ISNUMBER(Planung!F46),Planung!F46,IF(UPPER(Planung!F46)="H",$C46/2,0)))))))</f>
        <v>0</v>
      </c>
      <c r="G46" s="27">
        <f>IF($A46="",0,IF(Mitarbeiter!$G$44=FALSE,0,IF(AND(Mitarbeiter!$E$44&lt;&gt;"",G$5+6&lt;Mitarbeiter!$E$44),0,IF(AND(Mitarbeiter!$F$44&lt;&gt;"",G$5&gt;Mitarbeiter!$F$44),0,IF(Planung!G46="",$C46,IF(ISNUMBER(Planung!G46),Planung!G46,IF(UPPER(Planung!G46)="H",$C46/2,0)))))))</f>
        <v>0</v>
      </c>
      <c r="H46" s="27">
        <f>IF($A46="",0,IF(Mitarbeiter!$G$44=FALSE,0,IF(AND(Mitarbeiter!$E$44&lt;&gt;"",H$5+6&lt;Mitarbeiter!$E$44),0,IF(AND(Mitarbeiter!$F$44&lt;&gt;"",H$5&gt;Mitarbeiter!$F$44),0,IF(Planung!H46="",$C46,IF(ISNUMBER(Planung!H46),Planung!H46,IF(UPPER(Planung!H46)="H",$C46/2,0)))))))</f>
        <v>0</v>
      </c>
      <c r="I46" s="27">
        <f>IF($A46="",0,IF(Mitarbeiter!$G$44=FALSE,0,IF(AND(Mitarbeiter!$E$44&lt;&gt;"",I$5+6&lt;Mitarbeiter!$E$44),0,IF(AND(Mitarbeiter!$F$44&lt;&gt;"",I$5&gt;Mitarbeiter!$F$44),0,IF(Planung!I46="",$C46,IF(ISNUMBER(Planung!I46),Planung!I46,IF(UPPER(Planung!I46)="H",$C46/2,0)))))))</f>
        <v>0</v>
      </c>
      <c r="J46" s="27">
        <f>IF($A46="",0,IF(Mitarbeiter!$G$44=FALSE,0,IF(AND(Mitarbeiter!$E$44&lt;&gt;"",J$5+6&lt;Mitarbeiter!$E$44),0,IF(AND(Mitarbeiter!$F$44&lt;&gt;"",J$5&gt;Mitarbeiter!$F$44),0,IF(Planung!J46="",$C46,IF(ISNUMBER(Planung!J46),Planung!J46,IF(UPPER(Planung!J46)="H",$C46/2,0)))))))</f>
        <v>0</v>
      </c>
      <c r="K46" s="27">
        <f>IF($A46="",0,IF(Mitarbeiter!$G$44=FALSE,0,IF(AND(Mitarbeiter!$E$44&lt;&gt;"",K$5+6&lt;Mitarbeiter!$E$44),0,IF(AND(Mitarbeiter!$F$44&lt;&gt;"",K$5&gt;Mitarbeiter!$F$44),0,IF(Planung!K46="",$C46,IF(ISNUMBER(Planung!K46),Planung!K46,IF(UPPER(Planung!K46)="H",$C46/2,0)))))))</f>
        <v>0</v>
      </c>
      <c r="L46" s="27">
        <f>IF($A46="",0,IF(Mitarbeiter!$G$44=FALSE,0,IF(AND(Mitarbeiter!$E$44&lt;&gt;"",L$5+6&lt;Mitarbeiter!$E$44),0,IF(AND(Mitarbeiter!$F$44&lt;&gt;"",L$5&gt;Mitarbeiter!$F$44),0,IF(Planung!L46="",$C46,IF(ISNUMBER(Planung!L46),Planung!L46,IF(UPPER(Planung!L46)="H",$C46/2,0)))))))</f>
        <v>0</v>
      </c>
      <c r="M46" s="27">
        <f>IF($A46="",0,IF(Mitarbeiter!$G$44=FALSE,0,IF(AND(Mitarbeiter!$E$44&lt;&gt;"",M$5+6&lt;Mitarbeiter!$E$44),0,IF(AND(Mitarbeiter!$F$44&lt;&gt;"",M$5&gt;Mitarbeiter!$F$44),0,IF(Planung!M46="",$C46,IF(ISNUMBER(Planung!M46),Planung!M46,IF(UPPER(Planung!M46)="H",$C46/2,0)))))))</f>
        <v>0</v>
      </c>
      <c r="N46" s="27">
        <f>IF($A46="",0,IF(Mitarbeiter!$G$44=FALSE,0,IF(AND(Mitarbeiter!$E$44&lt;&gt;"",N$5+6&lt;Mitarbeiter!$E$44),0,IF(AND(Mitarbeiter!$F$44&lt;&gt;"",N$5&gt;Mitarbeiter!$F$44),0,IF(Planung!N46="",$C46,IF(ISNUMBER(Planung!N46),Planung!N46,IF(UPPER(Planung!N46)="H",$C46/2,0)))))))</f>
        <v>0</v>
      </c>
      <c r="O46" s="27">
        <f>IF($A46="",0,IF(Mitarbeiter!$G$44=FALSE,0,IF(AND(Mitarbeiter!$E$44&lt;&gt;"",O$5+6&lt;Mitarbeiter!$E$44),0,IF(AND(Mitarbeiter!$F$44&lt;&gt;"",O$5&gt;Mitarbeiter!$F$44),0,IF(Planung!O46="",$C46,IF(ISNUMBER(Planung!O46),Planung!O46,IF(UPPER(Planung!O46)="H",$C46/2,0)))))))</f>
        <v>0</v>
      </c>
      <c r="P46" s="27">
        <f>IF($A46="",0,IF(Mitarbeiter!$G$44=FALSE,0,IF(AND(Mitarbeiter!$E$44&lt;&gt;"",P$5+6&lt;Mitarbeiter!$E$44),0,IF(AND(Mitarbeiter!$F$44&lt;&gt;"",P$5&gt;Mitarbeiter!$F$44),0,IF(Planung!P46="",$C46,IF(ISNUMBER(Planung!P46),Planung!P46,IF(UPPER(Planung!P46)="H",$C46/2,0)))))))</f>
        <v>0</v>
      </c>
      <c r="Q46" s="27">
        <f>IF($A46="",0,IF(Mitarbeiter!$G$44=FALSE,0,IF(AND(Mitarbeiter!$E$44&lt;&gt;"",Q$5+6&lt;Mitarbeiter!$E$44),0,IF(AND(Mitarbeiter!$F$44&lt;&gt;"",Q$5&gt;Mitarbeiter!$F$44),0,IF(Planung!Q46="",$C46,IF(ISNUMBER(Planung!Q46),Planung!Q46,IF(UPPER(Planung!Q46)="H",$C46/2,0)))))))</f>
        <v>0</v>
      </c>
      <c r="R46" s="27">
        <f>IF($A46="",0,IF(Mitarbeiter!$G$44=FALSE,0,IF(AND(Mitarbeiter!$E$44&lt;&gt;"",R$5+6&lt;Mitarbeiter!$E$44),0,IF(AND(Mitarbeiter!$F$44&lt;&gt;"",R$5&gt;Mitarbeiter!$F$44),0,IF(Planung!R46="",$C46,IF(ISNUMBER(Planung!R46),Planung!R46,IF(UPPER(Planung!R46)="H",$C46/2,0)))))))</f>
        <v>0</v>
      </c>
      <c r="S46" s="27">
        <f>IF($A46="",0,IF(Mitarbeiter!$G$44=FALSE,0,IF(AND(Mitarbeiter!$E$44&lt;&gt;"",S$5+6&lt;Mitarbeiter!$E$44),0,IF(AND(Mitarbeiter!$F$44&lt;&gt;"",S$5&gt;Mitarbeiter!$F$44),0,IF(Planung!S46="",$C46,IF(ISNUMBER(Planung!S46),Planung!S46,IF(UPPER(Planung!S46)="H",$C46/2,0)))))))</f>
        <v>0</v>
      </c>
      <c r="T46" s="27">
        <f>IF($A46="",0,IF(Mitarbeiter!$G$44=FALSE,0,IF(AND(Mitarbeiter!$E$44&lt;&gt;"",T$5+6&lt;Mitarbeiter!$E$44),0,IF(AND(Mitarbeiter!$F$44&lt;&gt;"",T$5&gt;Mitarbeiter!$F$44),0,IF(Planung!T46="",$C46,IF(ISNUMBER(Planung!T46),Planung!T46,IF(UPPER(Planung!T46)="H",$C46/2,0)))))))</f>
        <v>0</v>
      </c>
      <c r="U46" s="27">
        <f>IF($A46="",0,IF(Mitarbeiter!$G$44=FALSE,0,IF(AND(Mitarbeiter!$E$44&lt;&gt;"",U$5+6&lt;Mitarbeiter!$E$44),0,IF(AND(Mitarbeiter!$F$44&lt;&gt;"",U$5&gt;Mitarbeiter!$F$44),0,IF(Planung!U46="",$C46,IF(ISNUMBER(Planung!U46),Planung!U46,IF(UPPER(Planung!U46)="H",$C46/2,0)))))))</f>
        <v>0</v>
      </c>
      <c r="V46" s="27">
        <f>IF($A46="",0,IF(Mitarbeiter!$G$44=FALSE,0,IF(AND(Mitarbeiter!$E$44&lt;&gt;"",V$5+6&lt;Mitarbeiter!$E$44),0,IF(AND(Mitarbeiter!$F$44&lt;&gt;"",V$5&gt;Mitarbeiter!$F$44),0,IF(Planung!V46="",$C46,IF(ISNUMBER(Planung!V46),Planung!V46,IF(UPPER(Planung!V46)="H",$C46/2,0)))))))</f>
        <v>0</v>
      </c>
      <c r="W46" s="27">
        <f>IF($A46="",0,IF(Mitarbeiter!$G$44=FALSE,0,IF(AND(Mitarbeiter!$E$44&lt;&gt;"",W$5+6&lt;Mitarbeiter!$E$44),0,IF(AND(Mitarbeiter!$F$44&lt;&gt;"",W$5&gt;Mitarbeiter!$F$44),0,IF(Planung!W46="",$C46,IF(ISNUMBER(Planung!W46),Planung!W46,IF(UPPER(Planung!W46)="H",$C46/2,0)))))))</f>
        <v>0</v>
      </c>
      <c r="X46" s="27">
        <f>IF($A46="",0,IF(Mitarbeiter!$G$44=FALSE,0,IF(AND(Mitarbeiter!$E$44&lt;&gt;"",X$5+6&lt;Mitarbeiter!$E$44),0,IF(AND(Mitarbeiter!$F$44&lt;&gt;"",X$5&gt;Mitarbeiter!$F$44),0,IF(Planung!X46="",$C46,IF(ISNUMBER(Planung!X46),Planung!X46,IF(UPPER(Planung!X46)="H",$C46/2,0)))))))</f>
        <v>0</v>
      </c>
      <c r="Y46" s="27">
        <f>IF($A46="",0,IF(Mitarbeiter!$G$44=FALSE,0,IF(AND(Mitarbeiter!$E$44&lt;&gt;"",Y$5+6&lt;Mitarbeiter!$E$44),0,IF(AND(Mitarbeiter!$F$44&lt;&gt;"",Y$5&gt;Mitarbeiter!$F$44),0,IF(Planung!Y46="",$C46,IF(ISNUMBER(Planung!Y46),Planung!Y46,IF(UPPER(Planung!Y46)="H",$C46/2,0)))))))</f>
        <v>0</v>
      </c>
      <c r="Z46" s="27">
        <f>IF($A46="",0,IF(Mitarbeiter!$G$44=FALSE,0,IF(AND(Mitarbeiter!$E$44&lt;&gt;"",Z$5+6&lt;Mitarbeiter!$E$44),0,IF(AND(Mitarbeiter!$F$44&lt;&gt;"",Z$5&gt;Mitarbeiter!$F$44),0,IF(Planung!Z46="",$C46,IF(ISNUMBER(Planung!Z46),Planung!Z46,IF(UPPER(Planung!Z46)="H",$C46/2,0)))))))</f>
        <v>0</v>
      </c>
      <c r="AA46" s="27">
        <f>IF($A46="",0,IF(Mitarbeiter!$G$44=FALSE,0,IF(AND(Mitarbeiter!$E$44&lt;&gt;"",AA$5+6&lt;Mitarbeiter!$E$44),0,IF(AND(Mitarbeiter!$F$44&lt;&gt;"",AA$5&gt;Mitarbeiter!$F$44),0,IF(Planung!AA46="",$C46,IF(ISNUMBER(Planung!AA46),Planung!AA46,IF(UPPER(Planung!AA46)="H",$C46/2,0)))))))</f>
        <v>0</v>
      </c>
      <c r="AB46" s="27">
        <f>IF($A46="",0,IF(Mitarbeiter!$G$44=FALSE,0,IF(AND(Mitarbeiter!$E$44&lt;&gt;"",AB$5+6&lt;Mitarbeiter!$E$44),0,IF(AND(Mitarbeiter!$F$44&lt;&gt;"",AB$5&gt;Mitarbeiter!$F$44),0,IF(Planung!AB46="",$C46,IF(ISNUMBER(Planung!AB46),Planung!AB46,IF(UPPER(Planung!AB46)="H",$C46/2,0)))))))</f>
        <v>0</v>
      </c>
      <c r="AC46" s="27">
        <f>IF($A46="",0,IF(Mitarbeiter!$G$44=FALSE,0,IF(AND(Mitarbeiter!$E$44&lt;&gt;"",AC$5+6&lt;Mitarbeiter!$E$44),0,IF(AND(Mitarbeiter!$F$44&lt;&gt;"",AC$5&gt;Mitarbeiter!$F$44),0,IF(Planung!AC46="",$C46,IF(ISNUMBER(Planung!AC46),Planung!AC46,IF(UPPER(Planung!AC46)="H",$C46/2,0)))))))</f>
        <v>0</v>
      </c>
      <c r="AD46" s="27">
        <f>IF($A46="",0,IF(Mitarbeiter!$G$44=FALSE,0,IF(AND(Mitarbeiter!$E$44&lt;&gt;"",AD$5+6&lt;Mitarbeiter!$E$44),0,IF(AND(Mitarbeiter!$F$44&lt;&gt;"",AD$5&gt;Mitarbeiter!$F$44),0,IF(Planung!AD46="",$C46,IF(ISNUMBER(Planung!AD46),Planung!AD46,IF(UPPER(Planung!AD46)="H",$C46/2,0)))))))</f>
        <v>0</v>
      </c>
      <c r="AE46" s="27">
        <f>IF($A46="",0,IF(Mitarbeiter!$G$44=FALSE,0,IF(AND(Mitarbeiter!$E$44&lt;&gt;"",AE$5+6&lt;Mitarbeiter!$E$44),0,IF(AND(Mitarbeiter!$F$44&lt;&gt;"",AE$5&gt;Mitarbeiter!$F$44),0,IF(Planung!AE46="",$C46,IF(ISNUMBER(Planung!AE46),Planung!AE46,IF(UPPER(Planung!AE46)="H",$C46/2,0)))))))</f>
        <v>0</v>
      </c>
      <c r="AF46" s="27">
        <f>IF($A46="",0,IF(Mitarbeiter!$G$44=FALSE,0,IF(AND(Mitarbeiter!$E$44&lt;&gt;"",AF$5+6&lt;Mitarbeiter!$E$44),0,IF(AND(Mitarbeiter!$F$44&lt;&gt;"",AF$5&gt;Mitarbeiter!$F$44),0,IF(Planung!AF46="",$C46,IF(ISNUMBER(Planung!AF46),Planung!AF46,IF(UPPER(Planung!AF46)="H",$C46/2,0)))))))</f>
        <v>0</v>
      </c>
      <c r="AG46" s="27">
        <f>IF($A46="",0,IF(Mitarbeiter!$G$44=FALSE,0,IF(AND(Mitarbeiter!$E$44&lt;&gt;"",AG$5+6&lt;Mitarbeiter!$E$44),0,IF(AND(Mitarbeiter!$F$44&lt;&gt;"",AG$5&gt;Mitarbeiter!$F$44),0,IF(Planung!AG46="",$C46,IF(ISNUMBER(Planung!AG46),Planung!AG46,IF(UPPER(Planung!AG46)="H",$C46/2,0)))))))</f>
        <v>0</v>
      </c>
      <c r="AH46" s="27">
        <f>IF($A46="",0,IF(Mitarbeiter!$G$44=FALSE,0,IF(AND(Mitarbeiter!$E$44&lt;&gt;"",AH$5+6&lt;Mitarbeiter!$E$44),0,IF(AND(Mitarbeiter!$F$44&lt;&gt;"",AH$5&gt;Mitarbeiter!$F$44),0,IF(Planung!AH46="",$C46,IF(ISNUMBER(Planung!AH46),Planung!AH46,IF(UPPER(Planung!AH46)="H",$C46/2,0)))))))</f>
        <v>0</v>
      </c>
      <c r="AI46" s="27">
        <f>IF($A46="",0,IF(Mitarbeiter!$G$44=FALSE,0,IF(AND(Mitarbeiter!$E$44&lt;&gt;"",AI$5+6&lt;Mitarbeiter!$E$44),0,IF(AND(Mitarbeiter!$F$44&lt;&gt;"",AI$5&gt;Mitarbeiter!$F$44),0,IF(Planung!AI46="",$C46,IF(ISNUMBER(Planung!AI46),Planung!AI46,IF(UPPER(Planung!AI46)="H",$C46/2,0)))))))</f>
        <v>0</v>
      </c>
      <c r="AJ46" s="27">
        <f>IF($A46="",0,IF(Mitarbeiter!$G$44=FALSE,0,IF(AND(Mitarbeiter!$E$44&lt;&gt;"",AJ$5+6&lt;Mitarbeiter!$E$44),0,IF(AND(Mitarbeiter!$F$44&lt;&gt;"",AJ$5&gt;Mitarbeiter!$F$44),0,IF(Planung!AJ46="",$C46,IF(ISNUMBER(Planung!AJ46),Planung!AJ46,IF(UPPER(Planung!AJ46)="H",$C46/2,0)))))))</f>
        <v>0</v>
      </c>
      <c r="AK46" s="27">
        <f>IF($A46="",0,IF(Mitarbeiter!$G$44=FALSE,0,IF(AND(Mitarbeiter!$E$44&lt;&gt;"",AK$5+6&lt;Mitarbeiter!$E$44),0,IF(AND(Mitarbeiter!$F$44&lt;&gt;"",AK$5&gt;Mitarbeiter!$F$44),0,IF(Planung!AK46="",$C46,IF(ISNUMBER(Planung!AK46),Planung!AK46,IF(UPPER(Planung!AK46)="H",$C46/2,0)))))))</f>
        <v>0</v>
      </c>
      <c r="AL46" s="27">
        <f>IF($A46="",0,IF(Mitarbeiter!$G$44=FALSE,0,IF(AND(Mitarbeiter!$E$44&lt;&gt;"",AL$5+6&lt;Mitarbeiter!$E$44),0,IF(AND(Mitarbeiter!$F$44&lt;&gt;"",AL$5&gt;Mitarbeiter!$F$44),0,IF(Planung!AL46="",$C46,IF(ISNUMBER(Planung!AL46),Planung!AL46,IF(UPPER(Planung!AL46)="H",$C46/2,0)))))))</f>
        <v>0</v>
      </c>
      <c r="AM46" s="27">
        <f>IF($A46="",0,IF(Mitarbeiter!$G$44=FALSE,0,IF(AND(Mitarbeiter!$E$44&lt;&gt;"",AM$5+6&lt;Mitarbeiter!$E$44),0,IF(AND(Mitarbeiter!$F$44&lt;&gt;"",AM$5&gt;Mitarbeiter!$F$44),0,IF(Planung!AM46="",$C46,IF(ISNUMBER(Planung!AM46),Planung!AM46,IF(UPPER(Planung!AM46)="H",$C46/2,0)))))))</f>
        <v>0</v>
      </c>
      <c r="AN46" s="27">
        <f>IF($A46="",0,IF(Mitarbeiter!$G$44=FALSE,0,IF(AND(Mitarbeiter!$E$44&lt;&gt;"",AN$5+6&lt;Mitarbeiter!$E$44),0,IF(AND(Mitarbeiter!$F$44&lt;&gt;"",AN$5&gt;Mitarbeiter!$F$44),0,IF(Planung!AN46="",$C46,IF(ISNUMBER(Planung!AN46),Planung!AN46,IF(UPPER(Planung!AN46)="H",$C46/2,0)))))))</f>
        <v>0</v>
      </c>
      <c r="AO46" s="27">
        <f>IF($A46="",0,IF(Mitarbeiter!$G$44=FALSE,0,IF(AND(Mitarbeiter!$E$44&lt;&gt;"",AO$5+6&lt;Mitarbeiter!$E$44),0,IF(AND(Mitarbeiter!$F$44&lt;&gt;"",AO$5&gt;Mitarbeiter!$F$44),0,IF(Planung!AO46="",$C46,IF(ISNUMBER(Planung!AO46),Planung!AO46,IF(UPPER(Planung!AO46)="H",$C46/2,0)))))))</f>
        <v>0</v>
      </c>
      <c r="AP46" s="27">
        <f>IF($A46="",0,IF(Mitarbeiter!$G$44=FALSE,0,IF(AND(Mitarbeiter!$E$44&lt;&gt;"",AP$5+6&lt;Mitarbeiter!$E$44),0,IF(AND(Mitarbeiter!$F$44&lt;&gt;"",AP$5&gt;Mitarbeiter!$F$44),0,IF(Planung!AP46="",$C46,IF(ISNUMBER(Planung!AP46),Planung!AP46,IF(UPPER(Planung!AP46)="H",$C46/2,0)))))))</f>
        <v>0</v>
      </c>
      <c r="AQ46" s="27">
        <f>IF($A46="",0,IF(Mitarbeiter!$G$44=FALSE,0,IF(AND(Mitarbeiter!$E$44&lt;&gt;"",AQ$5+6&lt;Mitarbeiter!$E$44),0,IF(AND(Mitarbeiter!$F$44&lt;&gt;"",AQ$5&gt;Mitarbeiter!$F$44),0,IF(Planung!AQ46="",$C46,IF(ISNUMBER(Planung!AQ46),Planung!AQ46,IF(UPPER(Planung!AQ46)="H",$C46/2,0)))))))</f>
        <v>0</v>
      </c>
      <c r="AR46" s="27">
        <f>IF($A46="",0,IF(Mitarbeiter!$G$44=FALSE,0,IF(AND(Mitarbeiter!$E$44&lt;&gt;"",AR$5+6&lt;Mitarbeiter!$E$44),0,IF(AND(Mitarbeiter!$F$44&lt;&gt;"",AR$5&gt;Mitarbeiter!$F$44),0,IF(Planung!AR46="",$C46,IF(ISNUMBER(Planung!AR46),Planung!AR46,IF(UPPER(Planung!AR46)="H",$C46/2,0)))))))</f>
        <v>0</v>
      </c>
      <c r="AS46" s="27">
        <f>IF($A46="",0,IF(Mitarbeiter!$G$44=FALSE,0,IF(AND(Mitarbeiter!$E$44&lt;&gt;"",AS$5+6&lt;Mitarbeiter!$E$44),0,IF(AND(Mitarbeiter!$F$44&lt;&gt;"",AS$5&gt;Mitarbeiter!$F$44),0,IF(Planung!AS46="",$C46,IF(ISNUMBER(Planung!AS46),Planung!AS46,IF(UPPER(Planung!AS46)="H",$C46/2,0)))))))</f>
        <v>0</v>
      </c>
      <c r="AT46" s="27">
        <f>IF($A46="",0,IF(Mitarbeiter!$G$44=FALSE,0,IF(AND(Mitarbeiter!$E$44&lt;&gt;"",AT$5+6&lt;Mitarbeiter!$E$44),0,IF(AND(Mitarbeiter!$F$44&lt;&gt;"",AT$5&gt;Mitarbeiter!$F$44),0,IF(Planung!AT46="",$C46,IF(ISNUMBER(Planung!AT46),Planung!AT46,IF(UPPER(Planung!AT46)="H",$C46/2,0)))))))</f>
        <v>0</v>
      </c>
      <c r="AU46" s="27">
        <f>IF($A46="",0,IF(Mitarbeiter!$G$44=FALSE,0,IF(AND(Mitarbeiter!$E$44&lt;&gt;"",AU$5+6&lt;Mitarbeiter!$E$44),0,IF(AND(Mitarbeiter!$F$44&lt;&gt;"",AU$5&gt;Mitarbeiter!$F$44),0,IF(Planung!AU46="",$C46,IF(ISNUMBER(Planung!AU46),Planung!AU46,IF(UPPER(Planung!AU46)="H",$C46/2,0)))))))</f>
        <v>0</v>
      </c>
      <c r="AV46" s="27">
        <f>IF($A46="",0,IF(Mitarbeiter!$G$44=FALSE,0,IF(AND(Mitarbeiter!$E$44&lt;&gt;"",AV$5+6&lt;Mitarbeiter!$E$44),0,IF(AND(Mitarbeiter!$F$44&lt;&gt;"",AV$5&gt;Mitarbeiter!$F$44),0,IF(Planung!AV46="",$C46,IF(ISNUMBER(Planung!AV46),Planung!AV46,IF(UPPER(Planung!AV46)="H",$C46/2,0)))))))</f>
        <v>0</v>
      </c>
      <c r="AW46" s="27">
        <f>IF($A46="",0,IF(Mitarbeiter!$G$44=FALSE,0,IF(AND(Mitarbeiter!$E$44&lt;&gt;"",AW$5+6&lt;Mitarbeiter!$E$44),0,IF(AND(Mitarbeiter!$F$44&lt;&gt;"",AW$5&gt;Mitarbeiter!$F$44),0,IF(Planung!AW46="",$C46,IF(ISNUMBER(Planung!AW46),Planung!AW46,IF(UPPER(Planung!AW46)="H",$C46/2,0)))))))</f>
        <v>0</v>
      </c>
      <c r="AX46" s="27">
        <f>IF($A46="",0,IF(Mitarbeiter!$G$44=FALSE,0,IF(AND(Mitarbeiter!$E$44&lt;&gt;"",AX$5+6&lt;Mitarbeiter!$E$44),0,IF(AND(Mitarbeiter!$F$44&lt;&gt;"",AX$5&gt;Mitarbeiter!$F$44),0,IF(Planung!AX46="",$C46,IF(ISNUMBER(Planung!AX46),Planung!AX46,IF(UPPER(Planung!AX46)="H",$C46/2,0)))))))</f>
        <v>0</v>
      </c>
      <c r="AY46" s="27">
        <f>IF($A46="",0,IF(Mitarbeiter!$G$44=FALSE,0,IF(AND(Mitarbeiter!$E$44&lt;&gt;"",AY$5+6&lt;Mitarbeiter!$E$44),0,IF(AND(Mitarbeiter!$F$44&lt;&gt;"",AY$5&gt;Mitarbeiter!$F$44),0,IF(Planung!AY46="",$C46,IF(ISNUMBER(Planung!AY46),Planung!AY46,IF(UPPER(Planung!AY46)="H",$C46/2,0)))))))</f>
        <v>0</v>
      </c>
      <c r="AZ46" s="27">
        <f>IF($A46="",0,IF(Mitarbeiter!$G$44=FALSE,0,IF(AND(Mitarbeiter!$E$44&lt;&gt;"",AZ$5+6&lt;Mitarbeiter!$E$44),0,IF(AND(Mitarbeiter!$F$44&lt;&gt;"",AZ$5&gt;Mitarbeiter!$F$44),0,IF(Planung!AZ46="",$C46,IF(ISNUMBER(Planung!AZ46),Planung!AZ46,IF(UPPER(Planung!AZ46)="H",$C46/2,0)))))))</f>
        <v>0</v>
      </c>
      <c r="BA46" s="27">
        <f>IF($A46="",0,IF(Mitarbeiter!$G$44=FALSE,0,IF(AND(Mitarbeiter!$E$44&lt;&gt;"",BA$5+6&lt;Mitarbeiter!$E$44),0,IF(AND(Mitarbeiter!$F$44&lt;&gt;"",BA$5&gt;Mitarbeiter!$F$44),0,IF(Planung!BA46="",$C46,IF(ISNUMBER(Planung!BA46),Planung!BA46,IF(UPPER(Planung!BA46)="H",$C46/2,0)))))))</f>
        <v>0</v>
      </c>
      <c r="BB46" s="27">
        <f>IF($A46="",0,IF(Mitarbeiter!$G$44=FALSE,0,IF(AND(Mitarbeiter!$E$44&lt;&gt;"",BB$5+6&lt;Mitarbeiter!$E$44),0,IF(AND(Mitarbeiter!$F$44&lt;&gt;"",BB$5&gt;Mitarbeiter!$F$44),0,IF(Planung!BB46="",$C46,IF(ISNUMBER(Planung!BB46),Planung!BB46,IF(UPPER(Planung!BB46)="H",$C46/2,0)))))))</f>
        <v>0</v>
      </c>
      <c r="BC46" s="27">
        <f>IF($A46="",0,IF(Mitarbeiter!$G$44=FALSE,0,IF(AND(Mitarbeiter!$E$44&lt;&gt;"",BC$5+6&lt;Mitarbeiter!$E$44),0,IF(AND(Mitarbeiter!$F$44&lt;&gt;"",BC$5&gt;Mitarbeiter!$F$44),0,IF(Planung!BC46="",$C46,IF(ISNUMBER(Planung!BC46),Planung!BC46,IF(UPPER(Planung!BC46)="H",$C46/2,0)))))))</f>
        <v>0</v>
      </c>
      <c r="BD46" s="27">
        <f>IF($A46="",0,IF(Mitarbeiter!$G$44=FALSE,0,IF(AND(Mitarbeiter!$E$44&lt;&gt;"",BD$5+6&lt;Mitarbeiter!$E$44),0,IF(AND(Mitarbeiter!$F$44&lt;&gt;"",BD$5&gt;Mitarbeiter!$F$44),0,IF(Planung!BD46="",$C46,IF(ISNUMBER(Planung!BD46),Planung!BD46,IF(UPPER(Planung!BD46)="H",$C46/2,0)))))))</f>
        <v>0</v>
      </c>
      <c r="BE46" s="27">
        <f>IF($A46="",0,IF(Mitarbeiter!$G$44=FALSE,0,IF(AND(Mitarbeiter!$E$44&lt;&gt;"",BE$5+6&lt;Mitarbeiter!$E$44),0,IF(AND(Mitarbeiter!$F$44&lt;&gt;"",BE$5&gt;Mitarbeiter!$F$44),0,IF(Planung!BE46="",$C46,IF(ISNUMBER(Planung!BE46),Planung!BE46,IF(UPPER(Planung!BE46)="H",$C46/2,0)))))))</f>
        <v>0</v>
      </c>
      <c r="BF46" s="27">
        <f>IF($A46="",0,IF(Mitarbeiter!$G$44=FALSE,0,IF(AND(Mitarbeiter!$E$44&lt;&gt;"",BF$5+6&lt;Mitarbeiter!$E$44),0,IF(AND(Mitarbeiter!$F$44&lt;&gt;"",BF$5&gt;Mitarbeiter!$F$44),0,IF(Planung!BF46="",$C46,IF(ISNUMBER(Planung!BF46),Planung!BF46,IF(UPPER(Planung!BF46)="H",$C46/2,0)))))))</f>
        <v>0</v>
      </c>
      <c r="BG46" s="27">
        <f>IF($A46="",0,IF(Mitarbeiter!$G$44=FALSE,0,IF(AND(Mitarbeiter!$E$44&lt;&gt;"",BG$5+6&lt;Mitarbeiter!$E$44),0,IF(AND(Mitarbeiter!$F$44&lt;&gt;"",BG$5&gt;Mitarbeiter!$F$44),0,IF(Planung!BG46="",$C46,IF(ISNUMBER(Planung!BG46),Planung!BG46,IF(UPPER(Planung!BG46)="H",$C46/2,0)))))))</f>
        <v>0</v>
      </c>
      <c r="BH46" s="27">
        <f>IF($A46="",0,IF(Mitarbeiter!$G$44=FALSE,0,IF(AND(Mitarbeiter!$E$44&lt;&gt;"",BH$5+6&lt;Mitarbeiter!$E$44),0,IF(AND(Mitarbeiter!$F$44&lt;&gt;"",BH$5&gt;Mitarbeiter!$F$44),0,IF(Planung!BH46="",$C46,IF(ISNUMBER(Planung!BH46),Planung!BH46,IF(UPPER(Planung!BH46)="H",$C46/2,0)))))))</f>
        <v>0</v>
      </c>
      <c r="BI46" s="27">
        <f>IF($A46="",0,IF(Mitarbeiter!$G$44=FALSE,0,IF(AND(Mitarbeiter!$E$44&lt;&gt;"",BI$5+6&lt;Mitarbeiter!$E$44),0,IF(AND(Mitarbeiter!$F$44&lt;&gt;"",BI$5&gt;Mitarbeiter!$F$44),0,IF(Planung!BI46="",$C46,IF(ISNUMBER(Planung!BI46),Planung!BI46,IF(UPPER(Planung!BI46)="H",$C46/2,0)))))))</f>
        <v>0</v>
      </c>
      <c r="BJ46" s="27">
        <f>IF($A46="",0,IF(Mitarbeiter!$G$44=FALSE,0,IF(AND(Mitarbeiter!$E$44&lt;&gt;"",BJ$5+6&lt;Mitarbeiter!$E$44),0,IF(AND(Mitarbeiter!$F$44&lt;&gt;"",BJ$5&gt;Mitarbeiter!$F$44),0,IF(Planung!BJ46="",$C46,IF(ISNUMBER(Planung!BJ46),Planung!BJ46,IF(UPPER(Planung!BJ46)="H",$C46/2,0)))))))</f>
        <v>0</v>
      </c>
      <c r="BK46" s="27">
        <f>IF($A46="",0,IF(Mitarbeiter!$G$44=FALSE,0,IF(AND(Mitarbeiter!$E$44&lt;&gt;"",BK$5+6&lt;Mitarbeiter!$E$44),0,IF(AND(Mitarbeiter!$F$44&lt;&gt;"",BK$5&gt;Mitarbeiter!$F$44),0,IF(Planung!BK46="",$C46,IF(ISNUMBER(Planung!BK46),Planung!BK46,IF(UPPER(Planung!BK46)="H",$C46/2,0)))))))</f>
        <v>0</v>
      </c>
      <c r="BL46" s="27">
        <f>IF($A46="",0,IF(Mitarbeiter!$G$44=FALSE,0,IF(AND(Mitarbeiter!$E$44&lt;&gt;"",BL$5+6&lt;Mitarbeiter!$E$44),0,IF(AND(Mitarbeiter!$F$44&lt;&gt;"",BL$5&gt;Mitarbeiter!$F$44),0,IF(Planung!BL46="",$C46,IF(ISNUMBER(Planung!BL46),Planung!BL46,IF(UPPER(Planung!BL46)="H",$C46/2,0)))))))</f>
        <v>0</v>
      </c>
      <c r="BM46" s="27">
        <f>IF($A46="",0,IF(Mitarbeiter!$G$44=FALSE,0,IF(AND(Mitarbeiter!$E$44&lt;&gt;"",BM$5+6&lt;Mitarbeiter!$E$44),0,IF(AND(Mitarbeiter!$F$44&lt;&gt;"",BM$5&gt;Mitarbeiter!$F$44),0,IF(Planung!BM46="",$C46,IF(ISNUMBER(Planung!BM46),Planung!BM46,IF(UPPER(Planung!BM46)="H",$C46/2,0)))))))</f>
        <v>0</v>
      </c>
      <c r="BN46" s="27">
        <f>IF($A46="",0,IF(Mitarbeiter!$G$44=FALSE,0,IF(AND(Mitarbeiter!$E$44&lt;&gt;"",BN$5+6&lt;Mitarbeiter!$E$44),0,IF(AND(Mitarbeiter!$F$44&lt;&gt;"",BN$5&gt;Mitarbeiter!$F$44),0,IF(Planung!BN46="",$C46,IF(ISNUMBER(Planung!BN46),Planung!BN46,IF(UPPER(Planung!BN46)="H",$C46/2,0)))))))</f>
        <v>0</v>
      </c>
      <c r="BO46" s="27">
        <f>IF($A46="",0,IF(Mitarbeiter!$G$44=FALSE,0,IF(AND(Mitarbeiter!$E$44&lt;&gt;"",BO$5+6&lt;Mitarbeiter!$E$44),0,IF(AND(Mitarbeiter!$F$44&lt;&gt;"",BO$5&gt;Mitarbeiter!$F$44),0,IF(Planung!BO46="",$C46,IF(ISNUMBER(Planung!BO46),Planung!BO46,IF(UPPER(Planung!BO46)="H",$C46/2,0)))))))</f>
        <v>0</v>
      </c>
      <c r="BP46" s="27">
        <f>IF($A46="",0,IF(Mitarbeiter!$G$44=FALSE,0,IF(AND(Mitarbeiter!$E$44&lt;&gt;"",BP$5+6&lt;Mitarbeiter!$E$44),0,IF(AND(Mitarbeiter!$F$44&lt;&gt;"",BP$5&gt;Mitarbeiter!$F$44),0,IF(Planung!BP46="",$C46,IF(ISNUMBER(Planung!BP46),Planung!BP46,IF(UPPER(Planung!BP46)="H",$C46/2,0)))))))</f>
        <v>0</v>
      </c>
      <c r="BQ46" s="27">
        <f>IF($A46="",0,IF(Mitarbeiter!$G$44=FALSE,0,IF(AND(Mitarbeiter!$E$44&lt;&gt;"",BQ$5+6&lt;Mitarbeiter!$E$44),0,IF(AND(Mitarbeiter!$F$44&lt;&gt;"",BQ$5&gt;Mitarbeiter!$F$44),0,IF(Planung!BQ46="",$C46,IF(ISNUMBER(Planung!BQ46),Planung!BQ46,IF(UPPER(Planung!BQ46)="H",$C46/2,0)))))))</f>
        <v>0</v>
      </c>
      <c r="BR46" s="27">
        <f>IF($A46="",0,IF(Mitarbeiter!$G$44=FALSE,0,IF(AND(Mitarbeiter!$E$44&lt;&gt;"",BR$5+6&lt;Mitarbeiter!$E$44),0,IF(AND(Mitarbeiter!$F$44&lt;&gt;"",BR$5&gt;Mitarbeiter!$F$44),0,IF(Planung!BR46="",$C46,IF(ISNUMBER(Planung!BR46),Planung!BR46,IF(UPPER(Planung!BR46)="H",$C46/2,0)))))))</f>
        <v>0</v>
      </c>
      <c r="BS46" s="27">
        <f>IF($A46="",0,IF(Mitarbeiter!$G$44=FALSE,0,IF(AND(Mitarbeiter!$E$44&lt;&gt;"",BS$5+6&lt;Mitarbeiter!$E$44),0,IF(AND(Mitarbeiter!$F$44&lt;&gt;"",BS$5&gt;Mitarbeiter!$F$44),0,IF(Planung!BS46="",$C46,IF(ISNUMBER(Planung!BS46),Planung!BS46,IF(UPPER(Planung!BS46)="H",$C46/2,0)))))))</f>
        <v>0</v>
      </c>
      <c r="BT46" s="27">
        <f>IF($A46="",0,IF(Mitarbeiter!$G$44=FALSE,0,IF(AND(Mitarbeiter!$E$44&lt;&gt;"",BT$5+6&lt;Mitarbeiter!$E$44),0,IF(AND(Mitarbeiter!$F$44&lt;&gt;"",BT$5&gt;Mitarbeiter!$F$44),0,IF(Planung!BT46="",$C46,IF(ISNUMBER(Planung!BT46),Planung!BT46,IF(UPPER(Planung!BT46)="H",$C46/2,0)))))))</f>
        <v>0</v>
      </c>
      <c r="BU46" s="27">
        <f>IF($A46="",0,IF(Mitarbeiter!$G$44=FALSE,0,IF(AND(Mitarbeiter!$E$44&lt;&gt;"",BU$5+6&lt;Mitarbeiter!$E$44),0,IF(AND(Mitarbeiter!$F$44&lt;&gt;"",BU$5&gt;Mitarbeiter!$F$44),0,IF(Planung!BU46="",$C46,IF(ISNUMBER(Planung!BU46),Planung!BU46,IF(UPPER(Planung!BU46)="H",$C46/2,0)))))))</f>
        <v>0</v>
      </c>
      <c r="BV46" s="27">
        <f>IF($A46="",0,IF(Mitarbeiter!$G$44=FALSE,0,IF(AND(Mitarbeiter!$E$44&lt;&gt;"",BV$5+6&lt;Mitarbeiter!$E$44),0,IF(AND(Mitarbeiter!$F$44&lt;&gt;"",BV$5&gt;Mitarbeiter!$F$44),0,IF(Planung!BV46="",$C46,IF(ISNUMBER(Planung!BV46),Planung!BV46,IF(UPPER(Planung!BV46)="H",$C46/2,0)))))))</f>
        <v>0</v>
      </c>
      <c r="BW46" s="27">
        <f>IF($A46="",0,IF(Mitarbeiter!$G$44=FALSE,0,IF(AND(Mitarbeiter!$E$44&lt;&gt;"",BW$5+6&lt;Mitarbeiter!$E$44),0,IF(AND(Mitarbeiter!$F$44&lt;&gt;"",BW$5&gt;Mitarbeiter!$F$44),0,IF(Planung!BW46="",$C46,IF(ISNUMBER(Planung!BW46),Planung!BW46,IF(UPPER(Planung!BW46)="H",$C46/2,0)))))))</f>
        <v>0</v>
      </c>
      <c r="BX46" s="27">
        <f>IF($A46="",0,IF(Mitarbeiter!$G$44=FALSE,0,IF(AND(Mitarbeiter!$E$44&lt;&gt;"",BX$5+6&lt;Mitarbeiter!$E$44),0,IF(AND(Mitarbeiter!$F$44&lt;&gt;"",BX$5&gt;Mitarbeiter!$F$44),0,IF(Planung!BX46="",$C46,IF(ISNUMBER(Planung!BX46),Planung!BX46,IF(UPPER(Planung!BX46)="H",$C46/2,0)))))))</f>
        <v>0</v>
      </c>
      <c r="BY46" s="27">
        <f>IF($A46="",0,IF(Mitarbeiter!$G$44=FALSE,0,IF(AND(Mitarbeiter!$E$44&lt;&gt;"",BY$5+6&lt;Mitarbeiter!$E$44),0,IF(AND(Mitarbeiter!$F$44&lt;&gt;"",BY$5&gt;Mitarbeiter!$F$44),0,IF(Planung!BY46="",$C46,IF(ISNUMBER(Planung!BY46),Planung!BY46,IF(UPPER(Planung!BY46)="H",$C46/2,0)))))))</f>
        <v>0</v>
      </c>
      <c r="BZ46" s="27">
        <f>IF($A46="",0,IF(Mitarbeiter!$G$44=FALSE,0,IF(AND(Mitarbeiter!$E$44&lt;&gt;"",BZ$5+6&lt;Mitarbeiter!$E$44),0,IF(AND(Mitarbeiter!$F$44&lt;&gt;"",BZ$5&gt;Mitarbeiter!$F$44),0,IF(Planung!BZ46="",$C46,IF(ISNUMBER(Planung!BZ46),Planung!BZ46,IF(UPPER(Planung!BZ46)="H",$C46/2,0)))))))</f>
        <v>0</v>
      </c>
      <c r="CA46" s="27">
        <f>IF($A46="",0,IF(Mitarbeiter!$G$44=FALSE,0,IF(AND(Mitarbeiter!$E$44&lt;&gt;"",CA$5+6&lt;Mitarbeiter!$E$44),0,IF(AND(Mitarbeiter!$F$44&lt;&gt;"",CA$5&gt;Mitarbeiter!$F$44),0,IF(Planung!CA46="",$C46,IF(ISNUMBER(Planung!CA46),Planung!CA46,IF(UPPER(Planung!CA46)="H",$C46/2,0)))))))</f>
        <v>0</v>
      </c>
      <c r="CB46" s="27">
        <f>IF($A46="",0,IF(Mitarbeiter!$G$44=FALSE,0,IF(AND(Mitarbeiter!$E$44&lt;&gt;"",CB$5+6&lt;Mitarbeiter!$E$44),0,IF(AND(Mitarbeiter!$F$44&lt;&gt;"",CB$5&gt;Mitarbeiter!$F$44),0,IF(Planung!CB46="",$C46,IF(ISNUMBER(Planung!CB46),Planung!CB46,IF(UPPER(Planung!CB46)="H",$C46/2,0)))))))</f>
        <v>0</v>
      </c>
      <c r="CC46" s="27">
        <f>IF($A46="",0,IF(Mitarbeiter!$G$44=FALSE,0,IF(AND(Mitarbeiter!$E$44&lt;&gt;"",CC$5+6&lt;Mitarbeiter!$E$44),0,IF(AND(Mitarbeiter!$F$44&lt;&gt;"",CC$5&gt;Mitarbeiter!$F$44),0,IF(Planung!CC46="",$C46,IF(ISNUMBER(Planung!CC46),Planung!CC46,IF(UPPER(Planung!CC46)="H",$C46/2,0)))))))</f>
        <v>0</v>
      </c>
      <c r="CD46" s="27">
        <f>IF($A46="",0,IF(Mitarbeiter!$G$44=FALSE,0,IF(AND(Mitarbeiter!$E$44&lt;&gt;"",CD$5+6&lt;Mitarbeiter!$E$44),0,IF(AND(Mitarbeiter!$F$44&lt;&gt;"",CD$5&gt;Mitarbeiter!$F$44),0,IF(Planung!CD46="",$C46,IF(ISNUMBER(Planung!CD46),Planung!CD46,IF(UPPER(Planung!CD46)="H",$C46/2,0)))))))</f>
        <v>0</v>
      </c>
      <c r="CE46" s="27">
        <f>IF($A46="",0,IF(Mitarbeiter!$G$44=FALSE,0,IF(AND(Mitarbeiter!$E$44&lt;&gt;"",CE$5+6&lt;Mitarbeiter!$E$44),0,IF(AND(Mitarbeiter!$F$44&lt;&gt;"",CE$5&gt;Mitarbeiter!$F$44),0,IF(Planung!CE46="",$C46,IF(ISNUMBER(Planung!CE46),Planung!CE46,IF(UPPER(Planung!CE46)="H",$C46/2,0)))))))</f>
        <v>0</v>
      </c>
      <c r="CF46" s="27">
        <f>IF($A46="",0,IF(Mitarbeiter!$G$44=FALSE,0,IF(AND(Mitarbeiter!$E$44&lt;&gt;"",CF$5+6&lt;Mitarbeiter!$E$44),0,IF(AND(Mitarbeiter!$F$44&lt;&gt;"",CF$5&gt;Mitarbeiter!$F$44),0,IF(Planung!CF46="",$C46,IF(ISNUMBER(Planung!CF46),Planung!CF46,IF(UPPER(Planung!CF46)="H",$C46/2,0)))))))</f>
        <v>0</v>
      </c>
      <c r="CG46" s="27">
        <f>IF($A46="",0,IF(Mitarbeiter!$G$44=FALSE,0,IF(AND(Mitarbeiter!$E$44&lt;&gt;"",CG$5+6&lt;Mitarbeiter!$E$44),0,IF(AND(Mitarbeiter!$F$44&lt;&gt;"",CG$5&gt;Mitarbeiter!$F$44),0,IF(Planung!CG46="",$C46,IF(ISNUMBER(Planung!CG46),Planung!CG46,IF(UPPER(Planung!CG46)="H",$C46/2,0)))))))</f>
        <v>0</v>
      </c>
      <c r="CH46" s="27">
        <f>IF($A46="",0,IF(Mitarbeiter!$G$44=FALSE,0,IF(AND(Mitarbeiter!$E$44&lt;&gt;"",CH$5+6&lt;Mitarbeiter!$E$44),0,IF(AND(Mitarbeiter!$F$44&lt;&gt;"",CH$5&gt;Mitarbeiter!$F$44),0,IF(Planung!CH46="",$C46,IF(ISNUMBER(Planung!CH46),Planung!CH46,IF(UPPER(Planung!CH46)="H",$C46/2,0)))))))</f>
        <v>0</v>
      </c>
      <c r="CI46" s="27">
        <f>IF($A46="",0,IF(Mitarbeiter!$G$44=FALSE,0,IF(AND(Mitarbeiter!$E$44&lt;&gt;"",CI$5+6&lt;Mitarbeiter!$E$44),0,IF(AND(Mitarbeiter!$F$44&lt;&gt;"",CI$5&gt;Mitarbeiter!$F$44),0,IF(Planung!CI46="",$C46,IF(ISNUMBER(Planung!CI46),Planung!CI46,IF(UPPER(Planung!CI46)="H",$C46/2,0)))))))</f>
        <v>0</v>
      </c>
      <c r="CJ46" s="27">
        <f>IF($A46="",0,IF(Mitarbeiter!$G$44=FALSE,0,IF(AND(Mitarbeiter!$E$44&lt;&gt;"",CJ$5+6&lt;Mitarbeiter!$E$44),0,IF(AND(Mitarbeiter!$F$44&lt;&gt;"",CJ$5&gt;Mitarbeiter!$F$44),0,IF(Planung!CJ46="",$C46,IF(ISNUMBER(Planung!CJ46),Planung!CJ46,IF(UPPER(Planung!CJ46)="H",$C46/2,0)))))))</f>
        <v>0</v>
      </c>
      <c r="CK46" s="27">
        <f>IF($A46="",0,IF(Mitarbeiter!$G$44=FALSE,0,IF(AND(Mitarbeiter!$E$44&lt;&gt;"",CK$5+6&lt;Mitarbeiter!$E$44),0,IF(AND(Mitarbeiter!$F$44&lt;&gt;"",CK$5&gt;Mitarbeiter!$F$44),0,IF(Planung!CK46="",$C46,IF(ISNUMBER(Planung!CK46),Planung!CK46,IF(UPPER(Planung!CK46)="H",$C46/2,0)))))))</f>
        <v>0</v>
      </c>
      <c r="CL46" s="27">
        <f>IF($A46="",0,IF(Mitarbeiter!$G$44=FALSE,0,IF(AND(Mitarbeiter!$E$44&lt;&gt;"",CL$5+6&lt;Mitarbeiter!$E$44),0,IF(AND(Mitarbeiter!$F$44&lt;&gt;"",CL$5&gt;Mitarbeiter!$F$44),0,IF(Planung!CL46="",$C46,IF(ISNUMBER(Planung!CL46),Planung!CL46,IF(UPPER(Planung!CL46)="H",$C46/2,0)))))))</f>
        <v>0</v>
      </c>
      <c r="CM46" s="27">
        <f>IF($A46="",0,IF(Mitarbeiter!$G$44=FALSE,0,IF(AND(Mitarbeiter!$E$44&lt;&gt;"",CM$5+6&lt;Mitarbeiter!$E$44),0,IF(AND(Mitarbeiter!$F$44&lt;&gt;"",CM$5&gt;Mitarbeiter!$F$44),0,IF(Planung!CM46="",$C46,IF(ISNUMBER(Planung!CM46),Planung!CM46,IF(UPPER(Planung!CM46)="H",$C46/2,0)))))))</f>
        <v>0</v>
      </c>
      <c r="CN46" s="27">
        <f>IF($A46="",0,IF(Mitarbeiter!$G$44=FALSE,0,IF(AND(Mitarbeiter!$E$44&lt;&gt;"",CN$5+6&lt;Mitarbeiter!$E$44),0,IF(AND(Mitarbeiter!$F$44&lt;&gt;"",CN$5&gt;Mitarbeiter!$F$44),0,IF(Planung!CN46="",$C46,IF(ISNUMBER(Planung!CN46),Planung!CN46,IF(UPPER(Planung!CN46)="H",$C46/2,0)))))))</f>
        <v>0</v>
      </c>
      <c r="CO46" s="27">
        <f>IF($A46="",0,IF(Mitarbeiter!$G$44=FALSE,0,IF(AND(Mitarbeiter!$E$44&lt;&gt;"",CO$5+6&lt;Mitarbeiter!$E$44),0,IF(AND(Mitarbeiter!$F$44&lt;&gt;"",CO$5&gt;Mitarbeiter!$F$44),0,IF(Planung!CO46="",$C46,IF(ISNUMBER(Planung!CO46),Planung!CO46,IF(UPPER(Planung!CO46)="H",$C46/2,0)))))))</f>
        <v>0</v>
      </c>
      <c r="CP46" s="27">
        <f>IF($A46="",0,IF(Mitarbeiter!$G$44=FALSE,0,IF(AND(Mitarbeiter!$E$44&lt;&gt;"",CP$5+6&lt;Mitarbeiter!$E$44),0,IF(AND(Mitarbeiter!$F$44&lt;&gt;"",CP$5&gt;Mitarbeiter!$F$44),0,IF(Planung!CP46="",$C46,IF(ISNUMBER(Planung!CP46),Planung!CP46,IF(UPPER(Planung!CP46)="H",$C46/2,0)))))))</f>
        <v>0</v>
      </c>
      <c r="CQ46" s="27">
        <f>IF($A46="",0,IF(Mitarbeiter!$G$44=FALSE,0,IF(AND(Mitarbeiter!$E$44&lt;&gt;"",CQ$5+6&lt;Mitarbeiter!$E$44),0,IF(AND(Mitarbeiter!$F$44&lt;&gt;"",CQ$5&gt;Mitarbeiter!$F$44),0,IF(Planung!CQ46="",$C46,IF(ISNUMBER(Planung!CQ46),Planung!CQ46,IF(UPPER(Planung!CQ46)="H",$C46/2,0)))))))</f>
        <v>0</v>
      </c>
      <c r="CR46" s="27">
        <f>IF($A46="",0,IF(Mitarbeiter!$G$44=FALSE,0,IF(AND(Mitarbeiter!$E$44&lt;&gt;"",CR$5+6&lt;Mitarbeiter!$E$44),0,IF(AND(Mitarbeiter!$F$44&lt;&gt;"",CR$5&gt;Mitarbeiter!$F$44),0,IF(Planung!CR46="",$C46,IF(ISNUMBER(Planung!CR46),Planung!CR46,IF(UPPER(Planung!CR46)="H",$C46/2,0)))))))</f>
        <v>0</v>
      </c>
      <c r="CS46" s="27">
        <f>IF($A46="",0,IF(Mitarbeiter!$G$44=FALSE,0,IF(AND(Mitarbeiter!$E$44&lt;&gt;"",CS$5+6&lt;Mitarbeiter!$E$44),0,IF(AND(Mitarbeiter!$F$44&lt;&gt;"",CS$5&gt;Mitarbeiter!$F$44),0,IF(Planung!CS46="",$C46,IF(ISNUMBER(Planung!CS46),Planung!CS46,IF(UPPER(Planung!CS46)="H",$C46/2,0)))))))</f>
        <v>0</v>
      </c>
      <c r="CT46" s="27">
        <f>IF($A46="",0,IF(Mitarbeiter!$G$44=FALSE,0,IF(AND(Mitarbeiter!$E$44&lt;&gt;"",CT$5+6&lt;Mitarbeiter!$E$44),0,IF(AND(Mitarbeiter!$F$44&lt;&gt;"",CT$5&gt;Mitarbeiter!$F$44),0,IF(Planung!CT46="",$C46,IF(ISNUMBER(Planung!CT46),Planung!CT46,IF(UPPER(Planung!CT46)="H",$C46/2,0)))))))</f>
        <v>0</v>
      </c>
      <c r="CU46" s="27">
        <f>IF($A46="",0,IF(Mitarbeiter!$G$44=FALSE,0,IF(AND(Mitarbeiter!$E$44&lt;&gt;"",CU$5+6&lt;Mitarbeiter!$E$44),0,IF(AND(Mitarbeiter!$F$44&lt;&gt;"",CU$5&gt;Mitarbeiter!$F$44),0,IF(Planung!CU46="",$C46,IF(ISNUMBER(Planung!CU46),Planung!CU46,IF(UPPER(Planung!CU46)="H",$C46/2,0)))))))</f>
        <v>0</v>
      </c>
      <c r="CV46" s="27">
        <f>IF($A46="",0,IF(Mitarbeiter!$G$44=FALSE,0,IF(AND(Mitarbeiter!$E$44&lt;&gt;"",CV$5+6&lt;Mitarbeiter!$E$44),0,IF(AND(Mitarbeiter!$F$44&lt;&gt;"",CV$5&gt;Mitarbeiter!$F$44),0,IF(Planung!CV46="",$C46,IF(ISNUMBER(Planung!CV46),Planung!CV46,IF(UPPER(Planung!CV46)="H",$C46/2,0)))))))</f>
        <v>0</v>
      </c>
      <c r="CW46" s="27">
        <f>IF($A46="",0,IF(Mitarbeiter!$G$44=FALSE,0,IF(AND(Mitarbeiter!$E$44&lt;&gt;"",CW$5+6&lt;Mitarbeiter!$E$44),0,IF(AND(Mitarbeiter!$F$44&lt;&gt;"",CW$5&gt;Mitarbeiter!$F$44),0,IF(Planung!CW46="",$C46,IF(ISNUMBER(Planung!CW46),Planung!CW46,IF(UPPER(Planung!CW46)="H",$C46/2,0)))))))</f>
        <v>0</v>
      </c>
      <c r="CX46" s="27">
        <f>IF($A46="",0,IF(Mitarbeiter!$G$44=FALSE,0,IF(AND(Mitarbeiter!$E$44&lt;&gt;"",CX$5+6&lt;Mitarbeiter!$E$44),0,IF(AND(Mitarbeiter!$F$44&lt;&gt;"",CX$5&gt;Mitarbeiter!$F$44),0,IF(Planung!CX46="",$C46,IF(ISNUMBER(Planung!CX46),Planung!CX46,IF(UPPER(Planung!CX46)="H",$C46/2,0)))))))</f>
        <v>0</v>
      </c>
      <c r="CY46" s="27">
        <f>IF($A46="",0,IF(Mitarbeiter!$G$44=FALSE,0,IF(AND(Mitarbeiter!$E$44&lt;&gt;"",CY$5+6&lt;Mitarbeiter!$E$44),0,IF(AND(Mitarbeiter!$F$44&lt;&gt;"",CY$5&gt;Mitarbeiter!$F$44),0,IF(Planung!CY46="",$C46,IF(ISNUMBER(Planung!CY46),Planung!CY46,IF(UPPER(Planung!CY46)="H",$C46/2,0)))))))</f>
        <v>0</v>
      </c>
      <c r="CZ46" s="27">
        <f>IF($A46="",0,IF(Mitarbeiter!$G$44=FALSE,0,IF(AND(Mitarbeiter!$E$44&lt;&gt;"",CZ$5+6&lt;Mitarbeiter!$E$44),0,IF(AND(Mitarbeiter!$F$44&lt;&gt;"",CZ$5&gt;Mitarbeiter!$F$44),0,IF(Planung!CZ46="",$C46,IF(ISNUMBER(Planung!CZ46),Planung!CZ46,IF(UPPER(Planung!CZ46)="H",$C46/2,0)))))))</f>
        <v>0</v>
      </c>
      <c r="DA46" s="27">
        <f>IF($A46="",0,IF(Mitarbeiter!$G$44=FALSE,0,IF(AND(Mitarbeiter!$E$44&lt;&gt;"",DA$5+6&lt;Mitarbeiter!$E$44),0,IF(AND(Mitarbeiter!$F$44&lt;&gt;"",DA$5&gt;Mitarbeiter!$F$44),0,IF(Planung!DA46="",$C46,IF(ISNUMBER(Planung!DA46),Planung!DA46,IF(UPPER(Planung!DA46)="H",$C46/2,0)))))))</f>
        <v>0</v>
      </c>
      <c r="DB46" s="27">
        <f>IF($A46="",0,IF(Mitarbeiter!$G$44=FALSE,0,IF(AND(Mitarbeiter!$E$44&lt;&gt;"",DB$5+6&lt;Mitarbeiter!$E$44),0,IF(AND(Mitarbeiter!$F$44&lt;&gt;"",DB$5&gt;Mitarbeiter!$F$44),0,IF(Planung!DB46="",$C46,IF(ISNUMBER(Planung!DB46),Planung!DB46,IF(UPPER(Planung!DB46)="H",$C46/2,0)))))))</f>
        <v>0</v>
      </c>
      <c r="DC46" s="27">
        <f>IF($A46="",0,IF(Mitarbeiter!$G$44=FALSE,0,IF(AND(Mitarbeiter!$E$44&lt;&gt;"",DC$5+6&lt;Mitarbeiter!$E$44),0,IF(AND(Mitarbeiter!$F$44&lt;&gt;"",DC$5&gt;Mitarbeiter!$F$44),0,IF(Planung!DC46="",$C46,IF(ISNUMBER(Planung!DC46),Planung!DC46,IF(UPPER(Planung!DC46)="H",$C46/2,0)))))))</f>
        <v>0</v>
      </c>
      <c r="DD46" s="27">
        <f>IF($A46="",0,IF(Mitarbeiter!$G$44=FALSE,0,IF(AND(Mitarbeiter!$E$44&lt;&gt;"",DD$5+6&lt;Mitarbeiter!$E$44),0,IF(AND(Mitarbeiter!$F$44&lt;&gt;"",DD$5&gt;Mitarbeiter!$F$44),0,IF(Planung!DD46="",$C46,IF(ISNUMBER(Planung!DD46),Planung!DD46,IF(UPPER(Planung!DD46)="H",$C46/2,0)))))))</f>
        <v>0</v>
      </c>
      <c r="DE46" s="27">
        <f>IF($A46="",0,IF(Mitarbeiter!$G$44=FALSE,0,IF(AND(Mitarbeiter!$E$44&lt;&gt;"",DE$5+6&lt;Mitarbeiter!$E$44),0,IF(AND(Mitarbeiter!$F$44&lt;&gt;"",DE$5&gt;Mitarbeiter!$F$44),0,IF(Planung!DE46="",$C46,IF(ISNUMBER(Planung!DE46),Planung!DE46,IF(UPPER(Planung!DE46)="H",$C46/2,0)))))))</f>
        <v>0</v>
      </c>
      <c r="DF46" s="27">
        <f>IF($A46="",0,IF(Mitarbeiter!$G$44=FALSE,0,IF(AND(Mitarbeiter!$E$44&lt;&gt;"",DF$5+6&lt;Mitarbeiter!$E$44),0,IF(AND(Mitarbeiter!$F$44&lt;&gt;"",DF$5&gt;Mitarbeiter!$F$44),0,IF(Planung!DF46="",$C46,IF(ISNUMBER(Planung!DF46),Planung!DF46,IF(UPPER(Planung!DF46)="H",$C46/2,0)))))))</f>
        <v>0</v>
      </c>
      <c r="DG46" s="27">
        <f>IF($A46="",0,IF(Mitarbeiter!$G$44=FALSE,0,IF(AND(Mitarbeiter!$E$44&lt;&gt;"",DG$5+6&lt;Mitarbeiter!$E$44),0,IF(AND(Mitarbeiter!$F$44&lt;&gt;"",DG$5&gt;Mitarbeiter!$F$44),0,IF(Planung!DG46="",$C46,IF(ISNUMBER(Planung!DG46),Planung!DG46,IF(UPPER(Planung!DG46)="H",$C46/2,0)))))))</f>
        <v>0</v>
      </c>
      <c r="DH46" s="27">
        <f>IF($A46="",0,IF(Mitarbeiter!$G$44=FALSE,0,IF(AND(Mitarbeiter!$E$44&lt;&gt;"",DH$5+6&lt;Mitarbeiter!$E$44),0,IF(AND(Mitarbeiter!$F$44&lt;&gt;"",DH$5&gt;Mitarbeiter!$F$44),0,IF(Planung!DH46="",$C46,IF(ISNUMBER(Planung!DH46),Planung!DH46,IF(UPPER(Planung!DH46)="H",$C46/2,0)))))))</f>
        <v>0</v>
      </c>
      <c r="DI46" s="27">
        <f>IF($A46="",0,IF(Mitarbeiter!$G$44=FALSE,0,IF(AND(Mitarbeiter!$E$44&lt;&gt;"",DI$5+6&lt;Mitarbeiter!$E$44),0,IF(AND(Mitarbeiter!$F$44&lt;&gt;"",DI$5&gt;Mitarbeiter!$F$44),0,IF(Planung!DI46="",$C46,IF(ISNUMBER(Planung!DI46),Planung!DI46,IF(UPPER(Planung!DI46)="H",$C46/2,0)))))))</f>
        <v>0</v>
      </c>
      <c r="DJ46" s="27">
        <f>IF($A46="",0,IF(Mitarbeiter!$G$44=FALSE,0,IF(AND(Mitarbeiter!$E$44&lt;&gt;"",DJ$5+6&lt;Mitarbeiter!$E$44),0,IF(AND(Mitarbeiter!$F$44&lt;&gt;"",DJ$5&gt;Mitarbeiter!$F$44),0,IF(Planung!DJ46="",$C46,IF(ISNUMBER(Planung!DJ46),Planung!DJ46,IF(UPPER(Planung!DJ46)="H",$C46/2,0)))))))</f>
        <v>0</v>
      </c>
      <c r="DK46" s="27">
        <f>IF($A46="",0,IF(Mitarbeiter!$G$44=FALSE,0,IF(AND(Mitarbeiter!$E$44&lt;&gt;"",DK$5+6&lt;Mitarbeiter!$E$44),0,IF(AND(Mitarbeiter!$F$44&lt;&gt;"",DK$5&gt;Mitarbeiter!$F$44),0,IF(Planung!DK46="",$C46,IF(ISNUMBER(Planung!DK46),Planung!DK46,IF(UPPER(Planung!DK46)="H",$C46/2,0)))))))</f>
        <v>0</v>
      </c>
      <c r="DL46" s="27">
        <f>IF($A46="",0,IF(Mitarbeiter!$G$44=FALSE,0,IF(AND(Mitarbeiter!$E$44&lt;&gt;"",DL$5+6&lt;Mitarbeiter!$E$44),0,IF(AND(Mitarbeiter!$F$44&lt;&gt;"",DL$5&gt;Mitarbeiter!$F$44),0,IF(Planung!DL46="",$C46,IF(ISNUMBER(Planung!DL46),Planung!DL46,IF(UPPER(Planung!DL46)="H",$C46/2,0)))))))</f>
        <v>0</v>
      </c>
      <c r="DM46" s="27">
        <f>IF($A46="",0,IF(Mitarbeiter!$G$44=FALSE,0,IF(AND(Mitarbeiter!$E$44&lt;&gt;"",DM$5+6&lt;Mitarbeiter!$E$44),0,IF(AND(Mitarbeiter!$F$44&lt;&gt;"",DM$5&gt;Mitarbeiter!$F$44),0,IF(Planung!DM46="",$C46,IF(ISNUMBER(Planung!DM46),Planung!DM46,IF(UPPER(Planung!DM46)="H",$C46/2,0)))))))</f>
        <v>0</v>
      </c>
      <c r="DN46" s="27">
        <f>IF($A46="",0,IF(Mitarbeiter!$G$44=FALSE,0,IF(AND(Mitarbeiter!$E$44&lt;&gt;"",DN$5+6&lt;Mitarbeiter!$E$44),0,IF(AND(Mitarbeiter!$F$44&lt;&gt;"",DN$5&gt;Mitarbeiter!$F$44),0,IF(Planung!DN46="",$C46,IF(ISNUMBER(Planung!DN46),Planung!DN46,IF(UPPER(Planung!DN46)="H",$C46/2,0)))))))</f>
        <v>0</v>
      </c>
      <c r="DO46" s="27">
        <f>IF($A46="",0,IF(Mitarbeiter!$G$44=FALSE,0,IF(AND(Mitarbeiter!$E$44&lt;&gt;"",DO$5+6&lt;Mitarbeiter!$E$44),0,IF(AND(Mitarbeiter!$F$44&lt;&gt;"",DO$5&gt;Mitarbeiter!$F$44),0,IF(Planung!DO46="",$C46,IF(ISNUMBER(Planung!DO46),Planung!DO46,IF(UPPER(Planung!DO46)="H",$C46/2,0)))))))</f>
        <v>0</v>
      </c>
      <c r="DP46" s="27">
        <f>IF($A46="",0,IF(Mitarbeiter!$G$44=FALSE,0,IF(AND(Mitarbeiter!$E$44&lt;&gt;"",DP$5+6&lt;Mitarbeiter!$E$44),0,IF(AND(Mitarbeiter!$F$44&lt;&gt;"",DP$5&gt;Mitarbeiter!$F$44),0,IF(Planung!DP46="",$C46,IF(ISNUMBER(Planung!DP46),Planung!DP46,IF(UPPER(Planung!DP46)="H",$C46/2,0)))))))</f>
        <v>0</v>
      </c>
      <c r="DQ46" s="27">
        <f>IF($A46="",0,IF(Mitarbeiter!$G$44=FALSE,0,IF(AND(Mitarbeiter!$E$44&lt;&gt;"",DQ$5+6&lt;Mitarbeiter!$E$44),0,IF(AND(Mitarbeiter!$F$44&lt;&gt;"",DQ$5&gt;Mitarbeiter!$F$44),0,IF(Planung!DQ46="",$C46,IF(ISNUMBER(Planung!DQ46),Planung!DQ46,IF(UPPER(Planung!DQ46)="H",$C46/2,0)))))))</f>
        <v>0</v>
      </c>
      <c r="DR46" s="27">
        <f>IF($A46="",0,IF(Mitarbeiter!$G$44=FALSE,0,IF(AND(Mitarbeiter!$E$44&lt;&gt;"",DR$5+6&lt;Mitarbeiter!$E$44),0,IF(AND(Mitarbeiter!$F$44&lt;&gt;"",DR$5&gt;Mitarbeiter!$F$44),0,IF(Planung!DR46="",$C46,IF(ISNUMBER(Planung!DR46),Planung!DR46,IF(UPPER(Planung!DR46)="H",$C46/2,0)))))))</f>
        <v>0</v>
      </c>
      <c r="DS46" s="27">
        <f>IF($A46="",0,IF(Mitarbeiter!$G$44=FALSE,0,IF(AND(Mitarbeiter!$E$44&lt;&gt;"",DS$5+6&lt;Mitarbeiter!$E$44),0,IF(AND(Mitarbeiter!$F$44&lt;&gt;"",DS$5&gt;Mitarbeiter!$F$44),0,IF(Planung!DS46="",$C46,IF(ISNUMBER(Planung!DS46),Planung!DS46,IF(UPPER(Planung!DS46)="H",$C46/2,0)))))))</f>
        <v>0</v>
      </c>
      <c r="DT46" s="27">
        <f>IF($A46="",0,IF(Mitarbeiter!$G$44=FALSE,0,IF(AND(Mitarbeiter!$E$44&lt;&gt;"",DT$5+6&lt;Mitarbeiter!$E$44),0,IF(AND(Mitarbeiter!$F$44&lt;&gt;"",DT$5&gt;Mitarbeiter!$F$44),0,IF(Planung!DT46="",$C46,IF(ISNUMBER(Planung!DT46),Planung!DT46,IF(UPPER(Planung!DT46)="H",$C46/2,0)))))))</f>
        <v>0</v>
      </c>
      <c r="DU46" s="27">
        <f>IF($A46="",0,IF(Mitarbeiter!$G$44=FALSE,0,IF(AND(Mitarbeiter!$E$44&lt;&gt;"",DU$5+6&lt;Mitarbeiter!$E$44),0,IF(AND(Mitarbeiter!$F$44&lt;&gt;"",DU$5&gt;Mitarbeiter!$F$44),0,IF(Planung!DU46="",$C46,IF(ISNUMBER(Planung!DU46),Planung!DU46,IF(UPPER(Planung!DU46)="H",$C46/2,0)))))))</f>
        <v>0</v>
      </c>
      <c r="DV46" s="27">
        <f>IF($A46="",0,IF(Mitarbeiter!$G$44=FALSE,0,IF(AND(Mitarbeiter!$E$44&lt;&gt;"",DV$5+6&lt;Mitarbeiter!$E$44),0,IF(AND(Mitarbeiter!$F$44&lt;&gt;"",DV$5&gt;Mitarbeiter!$F$44),0,IF(Planung!DV46="",$C46,IF(ISNUMBER(Planung!DV46),Planung!DV46,IF(UPPER(Planung!DV46)="H",$C46/2,0)))))))</f>
        <v>0</v>
      </c>
      <c r="DW46" s="27">
        <f>IF($A46="",0,IF(Mitarbeiter!$G$44=FALSE,0,IF(AND(Mitarbeiter!$E$44&lt;&gt;"",DW$5+6&lt;Mitarbeiter!$E$44),0,IF(AND(Mitarbeiter!$F$44&lt;&gt;"",DW$5&gt;Mitarbeiter!$F$44),0,IF(Planung!DW46="",$C46,IF(ISNUMBER(Planung!DW46),Planung!DW46,IF(UPPER(Planung!DW46)="H",$C46/2,0)))))))</f>
        <v>0</v>
      </c>
      <c r="DX46" s="27">
        <f>IF($A46="",0,IF(Mitarbeiter!$G$44=FALSE,0,IF(AND(Mitarbeiter!$E$44&lt;&gt;"",DX$5+6&lt;Mitarbeiter!$E$44),0,IF(AND(Mitarbeiter!$F$44&lt;&gt;"",DX$5&gt;Mitarbeiter!$F$44),0,IF(Planung!DX46="",$C46,IF(ISNUMBER(Planung!DX46),Planung!DX46,IF(UPPER(Planung!DX46)="H",$C46/2,0)))))))</f>
        <v>0</v>
      </c>
      <c r="DY46" s="27">
        <f>IF($A46="",0,IF(Mitarbeiter!$G$44=FALSE,0,IF(AND(Mitarbeiter!$E$44&lt;&gt;"",DY$5+6&lt;Mitarbeiter!$E$44),0,IF(AND(Mitarbeiter!$F$44&lt;&gt;"",DY$5&gt;Mitarbeiter!$F$44),0,IF(Planung!DY46="",$C46,IF(ISNUMBER(Planung!DY46),Planung!DY46,IF(UPPER(Planung!DY46)="H",$C46/2,0)))))))</f>
        <v>0</v>
      </c>
      <c r="DZ46" s="27">
        <f>IF($A46="",0,IF(Mitarbeiter!$G$44=FALSE,0,IF(AND(Mitarbeiter!$E$44&lt;&gt;"",DZ$5+6&lt;Mitarbeiter!$E$44),0,IF(AND(Mitarbeiter!$F$44&lt;&gt;"",DZ$5&gt;Mitarbeiter!$F$44),0,IF(Planung!DZ46="",$C46,IF(ISNUMBER(Planung!DZ46),Planung!DZ46,IF(UPPER(Planung!DZ46)="H",$C46/2,0)))))))</f>
        <v>0</v>
      </c>
      <c r="EA46" s="27">
        <f>IF($A46="",0,IF(Mitarbeiter!$G$44=FALSE,0,IF(AND(Mitarbeiter!$E$44&lt;&gt;"",EA$5+6&lt;Mitarbeiter!$E$44),0,IF(AND(Mitarbeiter!$F$44&lt;&gt;"",EA$5&gt;Mitarbeiter!$F$44),0,IF(Planung!EA46="",$C46,IF(ISNUMBER(Planung!EA46),Planung!EA46,IF(UPPER(Planung!EA46)="H",$C46/2,0)))))))</f>
        <v>0</v>
      </c>
      <c r="EB46" s="27">
        <f>IF($A46="",0,IF(Mitarbeiter!$G$44=FALSE,0,IF(AND(Mitarbeiter!$E$44&lt;&gt;"",EB$5+6&lt;Mitarbeiter!$E$44),0,IF(AND(Mitarbeiter!$F$44&lt;&gt;"",EB$5&gt;Mitarbeiter!$F$44),0,IF(Planung!EB46="",$C46,IF(ISNUMBER(Planung!EB46),Planung!EB46,IF(UPPER(Planung!EB46)="H",$C46/2,0)))))))</f>
        <v>0</v>
      </c>
      <c r="EC46" s="27">
        <f>IF($A46="",0,IF(Mitarbeiter!$G$44=FALSE,0,IF(AND(Mitarbeiter!$E$44&lt;&gt;"",EC$5+6&lt;Mitarbeiter!$E$44),0,IF(AND(Mitarbeiter!$F$44&lt;&gt;"",EC$5&gt;Mitarbeiter!$F$44),0,IF(Planung!EC46="",$C46,IF(ISNUMBER(Planung!EC46),Planung!EC46,IF(UPPER(Planung!EC46)="H",$C46/2,0)))))))</f>
        <v>0</v>
      </c>
      <c r="ED46" s="27">
        <f>IF($A46="",0,IF(Mitarbeiter!$G$44=FALSE,0,IF(AND(Mitarbeiter!$E$44&lt;&gt;"",ED$5+6&lt;Mitarbeiter!$E$44),0,IF(AND(Mitarbeiter!$F$44&lt;&gt;"",ED$5&gt;Mitarbeiter!$F$44),0,IF(Planung!ED46="",$C46,IF(ISNUMBER(Planung!ED46),Planung!ED46,IF(UPPER(Planung!ED46)="H",$C46/2,0)))))))</f>
        <v>0</v>
      </c>
      <c r="EE46" s="27">
        <f>IF($A46="",0,IF(Mitarbeiter!$G$44=FALSE,0,IF(AND(Mitarbeiter!$E$44&lt;&gt;"",EE$5+6&lt;Mitarbeiter!$E$44),0,IF(AND(Mitarbeiter!$F$44&lt;&gt;"",EE$5&gt;Mitarbeiter!$F$44),0,IF(Planung!EE46="",$C46,IF(ISNUMBER(Planung!EE46),Planung!EE46,IF(UPPER(Planung!EE46)="H",$C46/2,0)))))))</f>
        <v>0</v>
      </c>
      <c r="EF46" s="27">
        <f>IF($A46="",0,IF(Mitarbeiter!$G$44=FALSE,0,IF(AND(Mitarbeiter!$E$44&lt;&gt;"",EF$5+6&lt;Mitarbeiter!$E$44),0,IF(AND(Mitarbeiter!$F$44&lt;&gt;"",EF$5&gt;Mitarbeiter!$F$44),0,IF(Planung!EF46="",$C46,IF(ISNUMBER(Planung!EF46),Planung!EF46,IF(UPPER(Planung!EF46)="H",$C46/2,0)))))))</f>
        <v>0</v>
      </c>
      <c r="EG46" s="27">
        <f>IF($A46="",0,IF(Mitarbeiter!$G$44=FALSE,0,IF(AND(Mitarbeiter!$E$44&lt;&gt;"",EG$5+6&lt;Mitarbeiter!$E$44),0,IF(AND(Mitarbeiter!$F$44&lt;&gt;"",EG$5&gt;Mitarbeiter!$F$44),0,IF(Planung!EG46="",$C46,IF(ISNUMBER(Planung!EG46),Planung!EG46,IF(UPPER(Planung!EG46)="H",$C46/2,0)))))))</f>
        <v>0</v>
      </c>
      <c r="EH46" s="27">
        <f>IF($A46="",0,IF(Mitarbeiter!$G$44=FALSE,0,IF(AND(Mitarbeiter!$E$44&lt;&gt;"",EH$5+6&lt;Mitarbeiter!$E$44),0,IF(AND(Mitarbeiter!$F$44&lt;&gt;"",EH$5&gt;Mitarbeiter!$F$44),0,IF(Planung!EH46="",$C46,IF(ISNUMBER(Planung!EH46),Planung!EH46,IF(UPPER(Planung!EH46)="H",$C46/2,0)))))))</f>
        <v>0</v>
      </c>
      <c r="EI46" s="27">
        <f>IF($A46="",0,IF(Mitarbeiter!$G$44=FALSE,0,IF(AND(Mitarbeiter!$E$44&lt;&gt;"",EI$5+6&lt;Mitarbeiter!$E$44),0,IF(AND(Mitarbeiter!$F$44&lt;&gt;"",EI$5&gt;Mitarbeiter!$F$44),0,IF(Planung!EI46="",$C46,IF(ISNUMBER(Planung!EI46),Planung!EI46,IF(UPPER(Planung!EI46)="H",$C46/2,0)))))))</f>
        <v>0</v>
      </c>
      <c r="EJ46" s="27">
        <f>IF($A46="",0,IF(Mitarbeiter!$G$44=FALSE,0,IF(AND(Mitarbeiter!$E$44&lt;&gt;"",EJ$5+6&lt;Mitarbeiter!$E$44),0,IF(AND(Mitarbeiter!$F$44&lt;&gt;"",EJ$5&gt;Mitarbeiter!$F$44),0,IF(Planung!EJ46="",$C46,IF(ISNUMBER(Planung!EJ46),Planung!EJ46,IF(UPPER(Planung!EJ46)="H",$C46/2,0)))))))</f>
        <v>0</v>
      </c>
      <c r="EK46" s="27">
        <f>IF($A46="",0,IF(Mitarbeiter!$G$44=FALSE,0,IF(AND(Mitarbeiter!$E$44&lt;&gt;"",EK$5+6&lt;Mitarbeiter!$E$44),0,IF(AND(Mitarbeiter!$F$44&lt;&gt;"",EK$5&gt;Mitarbeiter!$F$44),0,IF(Planung!EK46="",$C46,IF(ISNUMBER(Planung!EK46),Planung!EK46,IF(UPPER(Planung!EK46)="H",$C46/2,0)))))))</f>
        <v>0</v>
      </c>
      <c r="EL46" s="27">
        <f>IF($A46="",0,IF(Mitarbeiter!$G$44=FALSE,0,IF(AND(Mitarbeiter!$E$44&lt;&gt;"",EL$5+6&lt;Mitarbeiter!$E$44),0,IF(AND(Mitarbeiter!$F$44&lt;&gt;"",EL$5&gt;Mitarbeiter!$F$44),0,IF(Planung!EL46="",$C46,IF(ISNUMBER(Planung!EL46),Planung!EL46,IF(UPPER(Planung!EL46)="H",$C46/2,0)))))))</f>
        <v>0</v>
      </c>
      <c r="EM46" s="27">
        <f>IF($A46="",0,IF(Mitarbeiter!$G$44=FALSE,0,IF(AND(Mitarbeiter!$E$44&lt;&gt;"",EM$5+6&lt;Mitarbeiter!$E$44),0,IF(AND(Mitarbeiter!$F$44&lt;&gt;"",EM$5&gt;Mitarbeiter!$F$44),0,IF(Planung!EM46="",$C46,IF(ISNUMBER(Planung!EM46),Planung!EM46,IF(UPPER(Planung!EM46)="H",$C46/2,0)))))))</f>
        <v>0</v>
      </c>
      <c r="EN46" s="27">
        <f>IF($A46="",0,IF(Mitarbeiter!$G$44=FALSE,0,IF(AND(Mitarbeiter!$E$44&lt;&gt;"",EN$5+6&lt;Mitarbeiter!$E$44),0,IF(AND(Mitarbeiter!$F$44&lt;&gt;"",EN$5&gt;Mitarbeiter!$F$44),0,IF(Planung!EN46="",$C46,IF(ISNUMBER(Planung!EN46),Planung!EN46,IF(UPPER(Planung!EN46)="H",$C46/2,0)))))))</f>
        <v>0</v>
      </c>
      <c r="EO46" s="27">
        <f>IF($A46="",0,IF(Mitarbeiter!$G$44=FALSE,0,IF(AND(Mitarbeiter!$E$44&lt;&gt;"",EO$5+6&lt;Mitarbeiter!$E$44),0,IF(AND(Mitarbeiter!$F$44&lt;&gt;"",EO$5&gt;Mitarbeiter!$F$44),0,IF(Planung!EO46="",$C46,IF(ISNUMBER(Planung!EO46),Planung!EO46,IF(UPPER(Planung!EO46)="H",$C46/2,0)))))))</f>
        <v>0</v>
      </c>
      <c r="EP46" s="27">
        <f>IF($A46="",0,IF(Mitarbeiter!$G$44=FALSE,0,IF(AND(Mitarbeiter!$E$44&lt;&gt;"",EP$5+6&lt;Mitarbeiter!$E$44),0,IF(AND(Mitarbeiter!$F$44&lt;&gt;"",EP$5&gt;Mitarbeiter!$F$44),0,IF(Planung!EP46="",$C46,IF(ISNUMBER(Planung!EP46),Planung!EP46,IF(UPPER(Planung!EP46)="H",$C46/2,0)))))))</f>
        <v>0</v>
      </c>
      <c r="EQ46" s="27">
        <f>IF($A46="",0,IF(Mitarbeiter!$G$44=FALSE,0,IF(AND(Mitarbeiter!$E$44&lt;&gt;"",EQ$5+6&lt;Mitarbeiter!$E$44),0,IF(AND(Mitarbeiter!$F$44&lt;&gt;"",EQ$5&gt;Mitarbeiter!$F$44),0,IF(Planung!EQ46="",$C46,IF(ISNUMBER(Planung!EQ46),Planung!EQ46,IF(UPPER(Planung!EQ46)="H",$C46/2,0)))))))</f>
        <v>0</v>
      </c>
      <c r="ER46" s="27">
        <f>IF($A46="",0,IF(Mitarbeiter!$G$44=FALSE,0,IF(AND(Mitarbeiter!$E$44&lt;&gt;"",ER$5+6&lt;Mitarbeiter!$E$44),0,IF(AND(Mitarbeiter!$F$44&lt;&gt;"",ER$5&gt;Mitarbeiter!$F$44),0,IF(Planung!ER46="",$C46,IF(ISNUMBER(Planung!ER46),Planung!ER46,IF(UPPER(Planung!ER46)="H",$C46/2,0)))))))</f>
        <v>0</v>
      </c>
      <c r="ES46" s="27">
        <f>IF($A46="",0,IF(Mitarbeiter!$G$44=FALSE,0,IF(AND(Mitarbeiter!$E$44&lt;&gt;"",ES$5+6&lt;Mitarbeiter!$E$44),0,IF(AND(Mitarbeiter!$F$44&lt;&gt;"",ES$5&gt;Mitarbeiter!$F$44),0,IF(Planung!ES46="",$C46,IF(ISNUMBER(Planung!ES46),Planung!ES46,IF(UPPER(Planung!ES46)="H",$C46/2,0)))))))</f>
        <v>0</v>
      </c>
      <c r="ET46" s="27">
        <f>IF($A46="",0,IF(Mitarbeiter!$G$44=FALSE,0,IF(AND(Mitarbeiter!$E$44&lt;&gt;"",ET$5+6&lt;Mitarbeiter!$E$44),0,IF(AND(Mitarbeiter!$F$44&lt;&gt;"",ET$5&gt;Mitarbeiter!$F$44),0,IF(Planung!ET46="",$C46,IF(ISNUMBER(Planung!ET46),Planung!ET46,IF(UPPER(Planung!ET46)="H",$C46/2,0)))))))</f>
        <v>0</v>
      </c>
      <c r="EU46" s="27">
        <f>IF($A46="",0,IF(Mitarbeiter!$G$44=FALSE,0,IF(AND(Mitarbeiter!$E$44&lt;&gt;"",EU$5+6&lt;Mitarbeiter!$E$44),0,IF(AND(Mitarbeiter!$F$44&lt;&gt;"",EU$5&gt;Mitarbeiter!$F$44),0,IF(Planung!EU46="",$C46,IF(ISNUMBER(Planung!EU46),Planung!EU46,IF(UPPER(Planung!EU46)="H",$C46/2,0)))))))</f>
        <v>0</v>
      </c>
      <c r="EV46" s="27">
        <f>IF($A46="",0,IF(Mitarbeiter!$G$44=FALSE,0,IF(AND(Mitarbeiter!$E$44&lt;&gt;"",EV$5+6&lt;Mitarbeiter!$E$44),0,IF(AND(Mitarbeiter!$F$44&lt;&gt;"",EV$5&gt;Mitarbeiter!$F$44),0,IF(Planung!EV46="",$C46,IF(ISNUMBER(Planung!EV46),Planung!EV46,IF(UPPER(Planung!EV46)="H",$C46/2,0)))))))</f>
        <v>0</v>
      </c>
      <c r="EW46" s="27">
        <f>IF($A46="",0,IF(Mitarbeiter!$G$44=FALSE,0,IF(AND(Mitarbeiter!$E$44&lt;&gt;"",EW$5+6&lt;Mitarbeiter!$E$44),0,IF(AND(Mitarbeiter!$F$44&lt;&gt;"",EW$5&gt;Mitarbeiter!$F$44),0,IF(Planung!EW46="",$C46,IF(ISNUMBER(Planung!EW46),Planung!EW46,IF(UPPER(Planung!EW46)="H",$C46/2,0)))))))</f>
        <v>0</v>
      </c>
      <c r="EX46" s="27">
        <f>IF($A46="",0,IF(Mitarbeiter!$G$44=FALSE,0,IF(AND(Mitarbeiter!$E$44&lt;&gt;"",EX$5+6&lt;Mitarbeiter!$E$44),0,IF(AND(Mitarbeiter!$F$44&lt;&gt;"",EX$5&gt;Mitarbeiter!$F$44),0,IF(Planung!EX46="",$C46,IF(ISNUMBER(Planung!EX46),Planung!EX46,IF(UPPER(Planung!EX46)="H",$C46/2,0)))))))</f>
        <v>0</v>
      </c>
      <c r="EY46" s="27">
        <f>IF($A46="",0,IF(Mitarbeiter!$G$44=FALSE,0,IF(AND(Mitarbeiter!$E$44&lt;&gt;"",EY$5+6&lt;Mitarbeiter!$E$44),0,IF(AND(Mitarbeiter!$F$44&lt;&gt;"",EY$5&gt;Mitarbeiter!$F$44),0,IF(Planung!EY46="",$C46,IF(ISNUMBER(Planung!EY46),Planung!EY46,IF(UPPER(Planung!EY46)="H",$C46/2,0)))))))</f>
        <v>0</v>
      </c>
      <c r="EZ46" s="27">
        <f>IF($A46="",0,IF(Mitarbeiter!$G$44=FALSE,0,IF(AND(Mitarbeiter!$E$44&lt;&gt;"",EZ$5+6&lt;Mitarbeiter!$E$44),0,IF(AND(Mitarbeiter!$F$44&lt;&gt;"",EZ$5&gt;Mitarbeiter!$F$44),0,IF(Planung!EZ46="",$C46,IF(ISNUMBER(Planung!EZ46),Planung!EZ46,IF(UPPER(Planung!EZ46)="H",$C46/2,0)))))))</f>
        <v>0</v>
      </c>
      <c r="FA46" s="27">
        <f>IF($A46="",0,IF(Mitarbeiter!$G$44=FALSE,0,IF(AND(Mitarbeiter!$E$44&lt;&gt;"",FA$5+6&lt;Mitarbeiter!$E$44),0,IF(AND(Mitarbeiter!$F$44&lt;&gt;"",FA$5&gt;Mitarbeiter!$F$44),0,IF(Planung!FA46="",$C46,IF(ISNUMBER(Planung!FA46),Planung!FA46,IF(UPPER(Planung!FA46)="H",$C46/2,0)))))))</f>
        <v>0</v>
      </c>
      <c r="FB46" s="27">
        <f>IF($A46="",0,IF(Mitarbeiter!$G$44=FALSE,0,IF(AND(Mitarbeiter!$E$44&lt;&gt;"",FB$5+6&lt;Mitarbeiter!$E$44),0,IF(AND(Mitarbeiter!$F$44&lt;&gt;"",FB$5&gt;Mitarbeiter!$F$44),0,IF(Planung!FB46="",$C46,IF(ISNUMBER(Planung!FB46),Planung!FB46,IF(UPPER(Planung!FB46)="H",$C46/2,0)))))))</f>
        <v>0</v>
      </c>
      <c r="FC46" s="27">
        <f>IF($A46="",0,IF(Mitarbeiter!$G$44=FALSE,0,IF(AND(Mitarbeiter!$E$44&lt;&gt;"",FC$5+6&lt;Mitarbeiter!$E$44),0,IF(AND(Mitarbeiter!$F$44&lt;&gt;"",FC$5&gt;Mitarbeiter!$F$44),0,IF(Planung!FC46="",$C46,IF(ISNUMBER(Planung!FC46),Planung!FC46,IF(UPPER(Planung!FC46)="H",$C46/2,0)))))))</f>
        <v>0</v>
      </c>
      <c r="FD46" s="27">
        <f>IF($A46="",0,IF(Mitarbeiter!$G$44=FALSE,0,IF(AND(Mitarbeiter!$E$44&lt;&gt;"",FD$5+6&lt;Mitarbeiter!$E$44),0,IF(AND(Mitarbeiter!$F$44&lt;&gt;"",FD$5&gt;Mitarbeiter!$F$44),0,IF(Planung!FD46="",$C46,IF(ISNUMBER(Planung!FD46),Planung!FD46,IF(UPPER(Planung!FD46)="H",$C46/2,0)))))))</f>
        <v>0</v>
      </c>
      <c r="FE46" s="27">
        <f>IF($A46="",0,IF(Mitarbeiter!$G$44=FALSE,0,IF(AND(Mitarbeiter!$E$44&lt;&gt;"",FE$5+6&lt;Mitarbeiter!$E$44),0,IF(AND(Mitarbeiter!$F$44&lt;&gt;"",FE$5&gt;Mitarbeiter!$F$44),0,IF(Planung!FE46="",$C46,IF(ISNUMBER(Planung!FE46),Planung!FE46,IF(UPPER(Planung!FE46)="H",$C46/2,0)))))))</f>
        <v>0</v>
      </c>
      <c r="FF46" s="27">
        <f>IF($A46="",0,IF(Mitarbeiter!$G$44=FALSE,0,IF(AND(Mitarbeiter!$E$44&lt;&gt;"",FF$5+6&lt;Mitarbeiter!$E$44),0,IF(AND(Mitarbeiter!$F$44&lt;&gt;"",FF$5&gt;Mitarbeiter!$F$44),0,IF(Planung!FF46="",$C46,IF(ISNUMBER(Planung!FF46),Planung!FF46,IF(UPPER(Planung!FF46)="H",$C46/2,0)))))))</f>
        <v>0</v>
      </c>
      <c r="FG46" s="27">
        <f>IF($A46="",0,IF(Mitarbeiter!$G$44=FALSE,0,IF(AND(Mitarbeiter!$E$44&lt;&gt;"",FG$5+6&lt;Mitarbeiter!$E$44),0,IF(AND(Mitarbeiter!$F$44&lt;&gt;"",FG$5&gt;Mitarbeiter!$F$44),0,IF(Planung!FG46="",$C46,IF(ISNUMBER(Planung!FG46),Planung!FG46,IF(UPPER(Planung!FG46)="H",$C46/2,0)))))))</f>
        <v>0</v>
      </c>
      <c r="FH46" s="27">
        <f>IF($A46="",0,IF(Mitarbeiter!$G$44=FALSE,0,IF(AND(Mitarbeiter!$E$44&lt;&gt;"",FH$5+6&lt;Mitarbeiter!$E$44),0,IF(AND(Mitarbeiter!$F$44&lt;&gt;"",FH$5&gt;Mitarbeiter!$F$44),0,IF(Planung!FH46="",$C46,IF(ISNUMBER(Planung!FH46),Planung!FH46,IF(UPPER(Planung!FH46)="H",$C46/2,0)))))))</f>
        <v>0</v>
      </c>
      <c r="FI46" s="27">
        <f>IF($A46="",0,IF(Mitarbeiter!$G$44=FALSE,0,IF(AND(Mitarbeiter!$E$44&lt;&gt;"",FI$5+6&lt;Mitarbeiter!$E$44),0,IF(AND(Mitarbeiter!$F$44&lt;&gt;"",FI$5&gt;Mitarbeiter!$F$44),0,IF(Planung!FI46="",$C46,IF(ISNUMBER(Planung!FI46),Planung!FI46,IF(UPPER(Planung!FI46)="H",$C46/2,0)))))))</f>
        <v>0</v>
      </c>
      <c r="FJ46" s="27">
        <f>IF($A46="",0,IF(Mitarbeiter!$G$44=FALSE,0,IF(AND(Mitarbeiter!$E$44&lt;&gt;"",FJ$5+6&lt;Mitarbeiter!$E$44),0,IF(AND(Mitarbeiter!$F$44&lt;&gt;"",FJ$5&gt;Mitarbeiter!$F$44),0,IF(Planung!FJ46="",$C46,IF(ISNUMBER(Planung!FJ46),Planung!FJ46,IF(UPPER(Planung!FJ46)="H",$C46/2,0)))))))</f>
        <v>0</v>
      </c>
      <c r="FK46" s="27">
        <f>IF($A46="",0,IF(Mitarbeiter!$G$44=FALSE,0,IF(AND(Mitarbeiter!$E$44&lt;&gt;"",FK$5+6&lt;Mitarbeiter!$E$44),0,IF(AND(Mitarbeiter!$F$44&lt;&gt;"",FK$5&gt;Mitarbeiter!$F$44),0,IF(Planung!FK46="",$C46,IF(ISNUMBER(Planung!FK46),Planung!FK46,IF(UPPER(Planung!FK46)="H",$C46/2,0)))))))</f>
        <v>0</v>
      </c>
      <c r="FL46" s="27">
        <f>IF($A46="",0,IF(Mitarbeiter!$G$44=FALSE,0,IF(AND(Mitarbeiter!$E$44&lt;&gt;"",FL$5+6&lt;Mitarbeiter!$E$44),0,IF(AND(Mitarbeiter!$F$44&lt;&gt;"",FL$5&gt;Mitarbeiter!$F$44),0,IF(Planung!FL46="",$C46,IF(ISNUMBER(Planung!FL46),Planung!FL46,IF(UPPER(Planung!FL46)="H",$C46/2,0)))))))</f>
        <v>0</v>
      </c>
      <c r="FM46" s="27">
        <f>IF($A46="",0,IF(Mitarbeiter!$G$44=FALSE,0,IF(AND(Mitarbeiter!$E$44&lt;&gt;"",FM$5+6&lt;Mitarbeiter!$E$44),0,IF(AND(Mitarbeiter!$F$44&lt;&gt;"",FM$5&gt;Mitarbeiter!$F$44),0,IF(Planung!FM46="",$C46,IF(ISNUMBER(Planung!FM46),Planung!FM46,IF(UPPER(Planung!FM46)="H",$C46/2,0)))))))</f>
        <v>0</v>
      </c>
      <c r="FN46" s="27">
        <f>IF($A46="",0,IF(Mitarbeiter!$G$44=FALSE,0,IF(AND(Mitarbeiter!$E$44&lt;&gt;"",FN$5+6&lt;Mitarbeiter!$E$44),0,IF(AND(Mitarbeiter!$F$44&lt;&gt;"",FN$5&gt;Mitarbeiter!$F$44),0,IF(Planung!FN46="",$C46,IF(ISNUMBER(Planung!FN46),Planung!FN46,IF(UPPER(Planung!FN46)="H",$C46/2,0)))))))</f>
        <v>0</v>
      </c>
      <c r="FO46" s="27">
        <f>IF($A46="",0,IF(Mitarbeiter!$G$44=FALSE,0,IF(AND(Mitarbeiter!$E$44&lt;&gt;"",FO$5+6&lt;Mitarbeiter!$E$44),0,IF(AND(Mitarbeiter!$F$44&lt;&gt;"",FO$5&gt;Mitarbeiter!$F$44),0,IF(Planung!FO46="",$C46,IF(ISNUMBER(Planung!FO46),Planung!FO46,IF(UPPER(Planung!FO46)="H",$C46/2,0)))))))</f>
        <v>0</v>
      </c>
      <c r="FP46" s="27">
        <f>IF($A46="",0,IF(Mitarbeiter!$G$44=FALSE,0,IF(AND(Mitarbeiter!$E$44&lt;&gt;"",FP$5+6&lt;Mitarbeiter!$E$44),0,IF(AND(Mitarbeiter!$F$44&lt;&gt;"",FP$5&gt;Mitarbeiter!$F$44),0,IF(Planung!FP46="",$C46,IF(ISNUMBER(Planung!FP46),Planung!FP46,IF(UPPER(Planung!FP46)="H",$C46/2,0)))))))</f>
        <v>0</v>
      </c>
      <c r="FQ46" s="27">
        <f>IF($A46="",0,IF(Mitarbeiter!$G$44=FALSE,0,IF(AND(Mitarbeiter!$E$44&lt;&gt;"",FQ$5+6&lt;Mitarbeiter!$E$44),0,IF(AND(Mitarbeiter!$F$44&lt;&gt;"",FQ$5&gt;Mitarbeiter!$F$44),0,IF(Planung!FQ46="",$C46,IF(ISNUMBER(Planung!FQ46),Planung!FQ46,IF(UPPER(Planung!FQ46)="H",$C46/2,0)))))))</f>
        <v>0</v>
      </c>
      <c r="FR46" s="27">
        <f>IF($A46="",0,IF(Mitarbeiter!$G$44=FALSE,0,IF(AND(Mitarbeiter!$E$44&lt;&gt;"",FR$5+6&lt;Mitarbeiter!$E$44),0,IF(AND(Mitarbeiter!$F$44&lt;&gt;"",FR$5&gt;Mitarbeiter!$F$44),0,IF(Planung!FR46="",$C46,IF(ISNUMBER(Planung!FR46),Planung!FR46,IF(UPPER(Planung!FR46)="H",$C46/2,0)))))))</f>
        <v>0</v>
      </c>
      <c r="FS46" s="27">
        <f>IF($A46="",0,IF(Mitarbeiter!$G$44=FALSE,0,IF(AND(Mitarbeiter!$E$44&lt;&gt;"",FS$5+6&lt;Mitarbeiter!$E$44),0,IF(AND(Mitarbeiter!$F$44&lt;&gt;"",FS$5&gt;Mitarbeiter!$F$44),0,IF(Planung!FS46="",$C46,IF(ISNUMBER(Planung!FS46),Planung!FS46,IF(UPPER(Planung!FS46)="H",$C46/2,0)))))))</f>
        <v>0</v>
      </c>
      <c r="FT46" s="27">
        <f>IF($A46="",0,IF(Mitarbeiter!$G$44=FALSE,0,IF(AND(Mitarbeiter!$E$44&lt;&gt;"",FT$5+6&lt;Mitarbeiter!$E$44),0,IF(AND(Mitarbeiter!$F$44&lt;&gt;"",FT$5&gt;Mitarbeiter!$F$44),0,IF(Planung!FT46="",$C46,IF(ISNUMBER(Planung!FT46),Planung!FT46,IF(UPPER(Planung!FT46)="H",$C46/2,0)))))))</f>
        <v>0</v>
      </c>
      <c r="FU46" s="27">
        <f>IF($A46="",0,IF(Mitarbeiter!$G$44=FALSE,0,IF(AND(Mitarbeiter!$E$44&lt;&gt;"",FU$5+6&lt;Mitarbeiter!$E$44),0,IF(AND(Mitarbeiter!$F$44&lt;&gt;"",FU$5&gt;Mitarbeiter!$F$44),0,IF(Planung!FU46="",$C46,IF(ISNUMBER(Planung!FU46),Planung!FU46,IF(UPPER(Planung!FU46)="H",$C46/2,0)))))))</f>
        <v>0</v>
      </c>
      <c r="FV46" s="27">
        <f>IF($A46="",0,IF(Mitarbeiter!$G$44=FALSE,0,IF(AND(Mitarbeiter!$E$44&lt;&gt;"",FV$5+6&lt;Mitarbeiter!$E$44),0,IF(AND(Mitarbeiter!$F$44&lt;&gt;"",FV$5&gt;Mitarbeiter!$F$44),0,IF(Planung!FV46="",$C46,IF(ISNUMBER(Planung!FV46),Planung!FV46,IF(UPPER(Planung!FV46)="H",$C46/2,0)))))))</f>
        <v>0</v>
      </c>
      <c r="FW46" s="27">
        <f>IF($A46="",0,IF(Mitarbeiter!$G$44=FALSE,0,IF(AND(Mitarbeiter!$E$44&lt;&gt;"",FW$5+6&lt;Mitarbeiter!$E$44),0,IF(AND(Mitarbeiter!$F$44&lt;&gt;"",FW$5&gt;Mitarbeiter!$F$44),0,IF(Planung!FW46="",$C46,IF(ISNUMBER(Planung!FW46),Planung!FW46,IF(UPPER(Planung!FW46)="H",$C46/2,0)))))))</f>
        <v>0</v>
      </c>
      <c r="FX46" s="27">
        <f>IF($A46="",0,IF(Mitarbeiter!$G$44=FALSE,0,IF(AND(Mitarbeiter!$E$44&lt;&gt;"",FX$5+6&lt;Mitarbeiter!$E$44),0,IF(AND(Mitarbeiter!$F$44&lt;&gt;"",FX$5&gt;Mitarbeiter!$F$44),0,IF(Planung!FX46="",$C46,IF(ISNUMBER(Planung!FX46),Planung!FX46,IF(UPPER(Planung!FX46)="H",$C46/2,0)))))))</f>
        <v>0</v>
      </c>
      <c r="FY46" s="27">
        <f>IF($A46="",0,IF(Mitarbeiter!$G$44=FALSE,0,IF(AND(Mitarbeiter!$E$44&lt;&gt;"",FY$5+6&lt;Mitarbeiter!$E$44),0,IF(AND(Mitarbeiter!$F$44&lt;&gt;"",FY$5&gt;Mitarbeiter!$F$44),0,IF(Planung!FY46="",$C46,IF(ISNUMBER(Planung!FY46),Planung!FY46,IF(UPPER(Planung!FY46)="H",$C46/2,0)))))))</f>
        <v>0</v>
      </c>
      <c r="FZ46" s="27">
        <f>IF($A46="",0,IF(Mitarbeiter!$G$44=FALSE,0,IF(AND(Mitarbeiter!$E$44&lt;&gt;"",FZ$5+6&lt;Mitarbeiter!$E$44),0,IF(AND(Mitarbeiter!$F$44&lt;&gt;"",FZ$5&gt;Mitarbeiter!$F$44),0,IF(Planung!FZ46="",$C46,IF(ISNUMBER(Planung!FZ46),Planung!FZ46,IF(UPPER(Planung!FZ46)="H",$C46/2,0)))))))</f>
        <v>0</v>
      </c>
      <c r="GA46" s="27">
        <f>IF($A46="",0,IF(Mitarbeiter!$G$44=FALSE,0,IF(AND(Mitarbeiter!$E$44&lt;&gt;"",GA$5+6&lt;Mitarbeiter!$E$44),0,IF(AND(Mitarbeiter!$F$44&lt;&gt;"",GA$5&gt;Mitarbeiter!$F$44),0,IF(Planung!GA46="",$C46,IF(ISNUMBER(Planung!GA46),Planung!GA46,IF(UPPER(Planung!GA46)="H",$C46/2,0)))))))</f>
        <v>0</v>
      </c>
      <c r="GB46" s="27">
        <f>IF($A46="",0,IF(Mitarbeiter!$G$44=FALSE,0,IF(AND(Mitarbeiter!$E$44&lt;&gt;"",GB$5+6&lt;Mitarbeiter!$E$44),0,IF(AND(Mitarbeiter!$F$44&lt;&gt;"",GB$5&gt;Mitarbeiter!$F$44),0,IF(Planung!GB46="",$C46,IF(ISNUMBER(Planung!GB46),Planung!GB46,IF(UPPER(Planung!GB46)="H",$C46/2,0)))))))</f>
        <v>0</v>
      </c>
      <c r="GC46" s="27">
        <f>IF($A46="",0,IF(Mitarbeiter!$G$44=FALSE,0,IF(AND(Mitarbeiter!$E$44&lt;&gt;"",GC$5+6&lt;Mitarbeiter!$E$44),0,IF(AND(Mitarbeiter!$F$44&lt;&gt;"",GC$5&gt;Mitarbeiter!$F$44),0,IF(Planung!GC46="",$C46,IF(ISNUMBER(Planung!GC46),Planung!GC46,IF(UPPER(Planung!GC46)="H",$C46/2,0)))))))</f>
        <v>0</v>
      </c>
      <c r="GD46" s="27">
        <f>IF($A46="",0,IF(Mitarbeiter!$G$44=FALSE,0,IF(AND(Mitarbeiter!$E$44&lt;&gt;"",GD$5+6&lt;Mitarbeiter!$E$44),0,IF(AND(Mitarbeiter!$F$44&lt;&gt;"",GD$5&gt;Mitarbeiter!$F$44),0,IF(Planung!GD46="",$C46,IF(ISNUMBER(Planung!GD46),Planung!GD46,IF(UPPER(Planung!GD46)="H",$C46/2,0)))))))</f>
        <v>0</v>
      </c>
      <c r="GE46" s="27">
        <f>IF($A46="",0,IF(Mitarbeiter!$G$44=FALSE,0,IF(AND(Mitarbeiter!$E$44&lt;&gt;"",GE$5+6&lt;Mitarbeiter!$E$44),0,IF(AND(Mitarbeiter!$F$44&lt;&gt;"",GE$5&gt;Mitarbeiter!$F$44),0,IF(Planung!GE46="",$C46,IF(ISNUMBER(Planung!GE46),Planung!GE46,IF(UPPER(Planung!GE46)="H",$C46/2,0)))))))</f>
        <v>0</v>
      </c>
      <c r="GF46" s="27">
        <f>IF($A46="",0,IF(Mitarbeiter!$G$44=FALSE,0,IF(AND(Mitarbeiter!$E$44&lt;&gt;"",GF$5+6&lt;Mitarbeiter!$E$44),0,IF(AND(Mitarbeiter!$F$44&lt;&gt;"",GF$5&gt;Mitarbeiter!$F$44),0,IF(Planung!GF46="",$C46,IF(ISNUMBER(Planung!GF46),Planung!GF46,IF(UPPER(Planung!GF46)="H",$C46/2,0)))))))</f>
        <v>0</v>
      </c>
      <c r="GG46" s="27">
        <f>IF($A46="",0,IF(Mitarbeiter!$G$44=FALSE,0,IF(AND(Mitarbeiter!$E$44&lt;&gt;"",GG$5+6&lt;Mitarbeiter!$E$44),0,IF(AND(Mitarbeiter!$F$44&lt;&gt;"",GG$5&gt;Mitarbeiter!$F$44),0,IF(Planung!GG46="",$C46,IF(ISNUMBER(Planung!GG46),Planung!GG46,IF(UPPER(Planung!GG46)="H",$C46/2,0)))))))</f>
        <v>0</v>
      </c>
      <c r="GH46" s="27">
        <f>IF($A46="",0,IF(Mitarbeiter!$G$44=FALSE,0,IF(AND(Mitarbeiter!$E$44&lt;&gt;"",GH$5+6&lt;Mitarbeiter!$E$44),0,IF(AND(Mitarbeiter!$F$44&lt;&gt;"",GH$5&gt;Mitarbeiter!$F$44),0,IF(Planung!GH46="",$C46,IF(ISNUMBER(Planung!GH46),Planung!GH46,IF(UPPER(Planung!GH46)="H",$C46/2,0)))))))</f>
        <v>0</v>
      </c>
      <c r="GI46" s="27">
        <f>IF($A46="",0,IF(Mitarbeiter!$G$44=FALSE,0,IF(AND(Mitarbeiter!$E$44&lt;&gt;"",GI$5+6&lt;Mitarbeiter!$E$44),0,IF(AND(Mitarbeiter!$F$44&lt;&gt;"",GI$5&gt;Mitarbeiter!$F$44),0,IF(Planung!GI46="",$C46,IF(ISNUMBER(Planung!GI46),Planung!GI46,IF(UPPER(Planung!GI46)="H",$C46/2,0)))))))</f>
        <v>0</v>
      </c>
      <c r="GJ46" s="27">
        <f>IF($A46="",0,IF(Mitarbeiter!$G$44=FALSE,0,IF(AND(Mitarbeiter!$E$44&lt;&gt;"",GJ$5+6&lt;Mitarbeiter!$E$44),0,IF(AND(Mitarbeiter!$F$44&lt;&gt;"",GJ$5&gt;Mitarbeiter!$F$44),0,IF(Planung!GJ46="",$C46,IF(ISNUMBER(Planung!GJ46),Planung!GJ46,IF(UPPER(Planung!GJ46)="H",$C46/2,0)))))))</f>
        <v>0</v>
      </c>
      <c r="GK46" s="27">
        <f>IF($A46="",0,IF(Mitarbeiter!$G$44=FALSE,0,IF(AND(Mitarbeiter!$E$44&lt;&gt;"",GK$5+6&lt;Mitarbeiter!$E$44),0,IF(AND(Mitarbeiter!$F$44&lt;&gt;"",GK$5&gt;Mitarbeiter!$F$44),0,IF(Planung!GK46="",$C46,IF(ISNUMBER(Planung!GK46),Planung!GK46,IF(UPPER(Planung!GK46)="H",$C46/2,0)))))))</f>
        <v>0</v>
      </c>
      <c r="GL46" s="27">
        <f>IF($A46="",0,IF(Mitarbeiter!$G$44=FALSE,0,IF(AND(Mitarbeiter!$E$44&lt;&gt;"",GL$5+6&lt;Mitarbeiter!$E$44),0,IF(AND(Mitarbeiter!$F$44&lt;&gt;"",GL$5&gt;Mitarbeiter!$F$44),0,IF(Planung!GL46="",$C46,IF(ISNUMBER(Planung!GL46),Planung!GL46,IF(UPPER(Planung!GL46)="H",$C46/2,0)))))))</f>
        <v>0</v>
      </c>
      <c r="GM46" s="27">
        <f>IF($A46="",0,IF(Mitarbeiter!$G$44=FALSE,0,IF(AND(Mitarbeiter!$E$44&lt;&gt;"",GM$5+6&lt;Mitarbeiter!$E$44),0,IF(AND(Mitarbeiter!$F$44&lt;&gt;"",GM$5&gt;Mitarbeiter!$F$44),0,IF(Planung!GM46="",$C46,IF(ISNUMBER(Planung!GM46),Planung!GM46,IF(UPPER(Planung!GM46)="H",$C46/2,0)))))))</f>
        <v>0</v>
      </c>
      <c r="GN46" s="27">
        <f>IF($A46="",0,IF(Mitarbeiter!$G$44=FALSE,0,IF(AND(Mitarbeiter!$E$44&lt;&gt;"",GN$5+6&lt;Mitarbeiter!$E$44),0,IF(AND(Mitarbeiter!$F$44&lt;&gt;"",GN$5&gt;Mitarbeiter!$F$44),0,IF(Planung!GN46="",$C46,IF(ISNUMBER(Planung!GN46),Planung!GN46,IF(UPPER(Planung!GN46)="H",$C46/2,0)))))))</f>
        <v>0</v>
      </c>
      <c r="GO46" s="27">
        <f>IF($A46="",0,IF(Mitarbeiter!$G$44=FALSE,0,IF(AND(Mitarbeiter!$E$44&lt;&gt;"",GO$5+6&lt;Mitarbeiter!$E$44),0,IF(AND(Mitarbeiter!$F$44&lt;&gt;"",GO$5&gt;Mitarbeiter!$F$44),0,IF(Planung!GO46="",$C46,IF(ISNUMBER(Planung!GO46),Planung!GO46,IF(UPPER(Planung!GO46)="H",$C46/2,0)))))))</f>
        <v>0</v>
      </c>
      <c r="GP46" s="27">
        <f>IF($A46="",0,IF(Mitarbeiter!$G$44=FALSE,0,IF(AND(Mitarbeiter!$E$44&lt;&gt;"",GP$5+6&lt;Mitarbeiter!$E$44),0,IF(AND(Mitarbeiter!$F$44&lt;&gt;"",GP$5&gt;Mitarbeiter!$F$44),0,IF(Planung!GP46="",$C46,IF(ISNUMBER(Planung!GP46),Planung!GP46,IF(UPPER(Planung!GP46)="H",$C46/2,0)))))))</f>
        <v>0</v>
      </c>
      <c r="GQ46" s="27">
        <f>IF($A46="",0,IF(Mitarbeiter!$G$44=FALSE,0,IF(AND(Mitarbeiter!$E$44&lt;&gt;"",GQ$5+6&lt;Mitarbeiter!$E$44),0,IF(AND(Mitarbeiter!$F$44&lt;&gt;"",GQ$5&gt;Mitarbeiter!$F$44),0,IF(Planung!GQ46="",$C46,IF(ISNUMBER(Planung!GQ46),Planung!GQ46,IF(UPPER(Planung!GQ46)="H",$C46/2,0)))))))</f>
        <v>0</v>
      </c>
      <c r="GR46" s="27">
        <f>IF($A46="",0,IF(Mitarbeiter!$G$44=FALSE,0,IF(AND(Mitarbeiter!$E$44&lt;&gt;"",GR$5+6&lt;Mitarbeiter!$E$44),0,IF(AND(Mitarbeiter!$F$44&lt;&gt;"",GR$5&gt;Mitarbeiter!$F$44),0,IF(Planung!GR46="",$C46,IF(ISNUMBER(Planung!GR46),Planung!GR46,IF(UPPER(Planung!GR46)="H",$C46/2,0)))))))</f>
        <v>0</v>
      </c>
      <c r="GS46" s="27">
        <f>IF($A46="",0,IF(Mitarbeiter!$G$44=FALSE,0,IF(AND(Mitarbeiter!$E$44&lt;&gt;"",GS$5+6&lt;Mitarbeiter!$E$44),0,IF(AND(Mitarbeiter!$F$44&lt;&gt;"",GS$5&gt;Mitarbeiter!$F$44),0,IF(Planung!GS46="",$C46,IF(ISNUMBER(Planung!GS46),Planung!GS46,IF(UPPER(Planung!GS46)="H",$C46/2,0)))))))</f>
        <v>0</v>
      </c>
      <c r="GT46" s="27">
        <f>IF($A46="",0,IF(Mitarbeiter!$G$44=FALSE,0,IF(AND(Mitarbeiter!$E$44&lt;&gt;"",GT$5+6&lt;Mitarbeiter!$E$44),0,IF(AND(Mitarbeiter!$F$44&lt;&gt;"",GT$5&gt;Mitarbeiter!$F$44),0,IF(Planung!GT46="",$C46,IF(ISNUMBER(Planung!GT46),Planung!GT46,IF(UPPER(Planung!GT46)="H",$C46/2,0)))))))</f>
        <v>0</v>
      </c>
      <c r="GU46" s="27">
        <f>IF($A46="",0,IF(Mitarbeiter!$G$44=FALSE,0,IF(AND(Mitarbeiter!$E$44&lt;&gt;"",GU$5+6&lt;Mitarbeiter!$E$44),0,IF(AND(Mitarbeiter!$F$44&lt;&gt;"",GU$5&gt;Mitarbeiter!$F$44),0,IF(Planung!GU46="",$C46,IF(ISNUMBER(Planung!GU46),Planung!GU46,IF(UPPER(Planung!GU46)="H",$C46/2,0)))))))</f>
        <v>0</v>
      </c>
      <c r="GV46" s="27">
        <f>IF($A46="",0,IF(Mitarbeiter!$G$44=FALSE,0,IF(AND(Mitarbeiter!$E$44&lt;&gt;"",GV$5+6&lt;Mitarbeiter!$E$44),0,IF(AND(Mitarbeiter!$F$44&lt;&gt;"",GV$5&gt;Mitarbeiter!$F$44),0,IF(Planung!GV46="",$C46,IF(ISNUMBER(Planung!GV46),Planung!GV46,IF(UPPER(Planung!GV46)="H",$C46/2,0)))))))</f>
        <v>0</v>
      </c>
      <c r="GW46" s="27">
        <f>IF($A46="",0,IF(Mitarbeiter!$G$44=FALSE,0,IF(AND(Mitarbeiter!$E$44&lt;&gt;"",GW$5+6&lt;Mitarbeiter!$E$44),0,IF(AND(Mitarbeiter!$F$44&lt;&gt;"",GW$5&gt;Mitarbeiter!$F$44),0,IF(Planung!GW46="",$C46,IF(ISNUMBER(Planung!GW46),Planung!GW46,IF(UPPER(Planung!GW46)="H",$C46/2,0)))))))</f>
        <v>0</v>
      </c>
      <c r="GX46" s="27">
        <f>IF($A46="",0,IF(Mitarbeiter!$G$44=FALSE,0,IF(AND(Mitarbeiter!$E$44&lt;&gt;"",GX$5+6&lt;Mitarbeiter!$E$44),0,IF(AND(Mitarbeiter!$F$44&lt;&gt;"",GX$5&gt;Mitarbeiter!$F$44),0,IF(Planung!GX46="",$C46,IF(ISNUMBER(Planung!GX46),Planung!GX46,IF(UPPER(Planung!GX46)="H",$C46/2,0)))))))</f>
        <v>0</v>
      </c>
      <c r="GY46" s="27">
        <f>IF($A46="",0,IF(Mitarbeiter!$G$44=FALSE,0,IF(AND(Mitarbeiter!$E$44&lt;&gt;"",GY$5+6&lt;Mitarbeiter!$E$44),0,IF(AND(Mitarbeiter!$F$44&lt;&gt;"",GY$5&gt;Mitarbeiter!$F$44),0,IF(Planung!GY46="",$C46,IF(ISNUMBER(Planung!GY46),Planung!GY46,IF(UPPER(Planung!GY46)="H",$C46/2,0)))))))</f>
        <v>0</v>
      </c>
      <c r="GZ46" s="27">
        <f>IF($A46="",0,IF(Mitarbeiter!$G$44=FALSE,0,IF(AND(Mitarbeiter!$E$44&lt;&gt;"",GZ$5+6&lt;Mitarbeiter!$E$44),0,IF(AND(Mitarbeiter!$F$44&lt;&gt;"",GZ$5&gt;Mitarbeiter!$F$44),0,IF(Planung!GZ46="",$C46,IF(ISNUMBER(Planung!GZ46),Planung!GZ46,IF(UPPER(Planung!GZ46)="H",$C46/2,0)))))))</f>
        <v>0</v>
      </c>
      <c r="HA46" s="27">
        <f>IF($A46="",0,IF(Mitarbeiter!$G$44=FALSE,0,IF(AND(Mitarbeiter!$E$44&lt;&gt;"",HA$5+6&lt;Mitarbeiter!$E$44),0,IF(AND(Mitarbeiter!$F$44&lt;&gt;"",HA$5&gt;Mitarbeiter!$F$44),0,IF(Planung!HA46="",$C46,IF(ISNUMBER(Planung!HA46),Planung!HA46,IF(UPPER(Planung!HA46)="H",$C46/2,0)))))))</f>
        <v>0</v>
      </c>
      <c r="HB46" s="27">
        <f>IF($A46="",0,IF(Mitarbeiter!$G$44=FALSE,0,IF(AND(Mitarbeiter!$E$44&lt;&gt;"",HB$5+6&lt;Mitarbeiter!$E$44),0,IF(AND(Mitarbeiter!$F$44&lt;&gt;"",HB$5&gt;Mitarbeiter!$F$44),0,IF(Planung!HB46="",$C46,IF(ISNUMBER(Planung!HB46),Planung!HB46,IF(UPPER(Planung!HB46)="H",$C46/2,0)))))))</f>
        <v>0</v>
      </c>
      <c r="HC46" s="27">
        <f>IF($A46="",0,IF(Mitarbeiter!$G$44=FALSE,0,IF(AND(Mitarbeiter!$E$44&lt;&gt;"",HC$5+6&lt;Mitarbeiter!$E$44),0,IF(AND(Mitarbeiter!$F$44&lt;&gt;"",HC$5&gt;Mitarbeiter!$F$44),0,IF(Planung!HC46="",$C46,IF(ISNUMBER(Planung!HC46),Planung!HC46,IF(UPPER(Planung!HC46)="H",$C46/2,0)))))))</f>
        <v>0</v>
      </c>
      <c r="HD46" s="27">
        <f>IF($A46="",0,IF(Mitarbeiter!$G$44=FALSE,0,IF(AND(Mitarbeiter!$E$44&lt;&gt;"",HD$5+6&lt;Mitarbeiter!$E$44),0,IF(AND(Mitarbeiter!$F$44&lt;&gt;"",HD$5&gt;Mitarbeiter!$F$44),0,IF(Planung!HD46="",$C46,IF(ISNUMBER(Planung!HD46),Planung!HD46,IF(UPPER(Planung!HD46)="H",$C46/2,0)))))))</f>
        <v>0</v>
      </c>
      <c r="HE46" s="27">
        <f>IF($A46="",0,IF(Mitarbeiter!$G$44=FALSE,0,IF(AND(Mitarbeiter!$E$44&lt;&gt;"",HE$5+6&lt;Mitarbeiter!$E$44),0,IF(AND(Mitarbeiter!$F$44&lt;&gt;"",HE$5&gt;Mitarbeiter!$F$44),0,IF(Planung!HE46="",$C46,IF(ISNUMBER(Planung!HE46),Planung!HE46,IF(UPPER(Planung!HE46)="H",$C46/2,0)))))))</f>
        <v>0</v>
      </c>
      <c r="HF46" s="27">
        <f>IF($A46="",0,IF(Mitarbeiter!$G$44=FALSE,0,IF(AND(Mitarbeiter!$E$44&lt;&gt;"",HF$5+6&lt;Mitarbeiter!$E$44),0,IF(AND(Mitarbeiter!$F$44&lt;&gt;"",HF$5&gt;Mitarbeiter!$F$44),0,IF(Planung!HF46="",$C46,IF(ISNUMBER(Planung!HF46),Planung!HF46,IF(UPPER(Planung!HF46)="H",$C46/2,0)))))))</f>
        <v>0</v>
      </c>
      <c r="HG46" s="27">
        <f>IF($A46="",0,IF(Mitarbeiter!$G$44=FALSE,0,IF(AND(Mitarbeiter!$E$44&lt;&gt;"",HG$5+6&lt;Mitarbeiter!$E$44),0,IF(AND(Mitarbeiter!$F$44&lt;&gt;"",HG$5&gt;Mitarbeiter!$F$44),0,IF(Planung!HG46="",$C46,IF(ISNUMBER(Planung!HG46),Planung!HG46,IF(UPPER(Planung!HG46)="H",$C46/2,0)))))))</f>
        <v>0</v>
      </c>
      <c r="HH46" s="27">
        <f>IF($A46="",0,IF(Mitarbeiter!$G$44=FALSE,0,IF(AND(Mitarbeiter!$E$44&lt;&gt;"",HH$5+6&lt;Mitarbeiter!$E$44),0,IF(AND(Mitarbeiter!$F$44&lt;&gt;"",HH$5&gt;Mitarbeiter!$F$44),0,IF(Planung!HH46="",$C46,IF(ISNUMBER(Planung!HH46),Planung!HH46,IF(UPPER(Planung!HH46)="H",$C46/2,0)))))))</f>
        <v>0</v>
      </c>
      <c r="HI46" s="27">
        <f>IF($A46="",0,IF(Mitarbeiter!$G$44=FALSE,0,IF(AND(Mitarbeiter!$E$44&lt;&gt;"",HI$5+6&lt;Mitarbeiter!$E$44),0,IF(AND(Mitarbeiter!$F$44&lt;&gt;"",HI$5&gt;Mitarbeiter!$F$44),0,IF(Planung!HI46="",$C46,IF(ISNUMBER(Planung!HI46),Planung!HI46,IF(UPPER(Planung!HI46)="H",$C46/2,0)))))))</f>
        <v>0</v>
      </c>
      <c r="HJ46" s="27">
        <f>IF($A46="",0,IF(Mitarbeiter!$G$44=FALSE,0,IF(AND(Mitarbeiter!$E$44&lt;&gt;"",HJ$5+6&lt;Mitarbeiter!$E$44),0,IF(AND(Mitarbeiter!$F$44&lt;&gt;"",HJ$5&gt;Mitarbeiter!$F$44),0,IF(Planung!HJ46="",$C46,IF(ISNUMBER(Planung!HJ46),Planung!HJ46,IF(UPPER(Planung!HJ46)="H",$C46/2,0)))))))</f>
        <v>0</v>
      </c>
      <c r="HK46" s="27">
        <f>IF($A46="",0,IF(Mitarbeiter!$G$44=FALSE,0,IF(AND(Mitarbeiter!$E$44&lt;&gt;"",HK$5+6&lt;Mitarbeiter!$E$44),0,IF(AND(Mitarbeiter!$F$44&lt;&gt;"",HK$5&gt;Mitarbeiter!$F$44),0,IF(Planung!HK46="",$C46,IF(ISNUMBER(Planung!HK46),Planung!HK46,IF(UPPER(Planung!HK46)="H",$C46/2,0)))))))</f>
        <v>0</v>
      </c>
      <c r="HL46" s="27">
        <f>IF($A46="",0,IF(Mitarbeiter!$G$44=FALSE,0,IF(AND(Mitarbeiter!$E$44&lt;&gt;"",HL$5+6&lt;Mitarbeiter!$E$44),0,IF(AND(Mitarbeiter!$F$44&lt;&gt;"",HL$5&gt;Mitarbeiter!$F$44),0,IF(Planung!HL46="",$C46,IF(ISNUMBER(Planung!HL46),Planung!HL46,IF(UPPER(Planung!HL46)="H",$C46/2,0)))))))</f>
        <v>0</v>
      </c>
      <c r="HM46" s="27">
        <f>IF($A46="",0,IF(Mitarbeiter!$G$44=FALSE,0,IF(AND(Mitarbeiter!$E$44&lt;&gt;"",HM$5+6&lt;Mitarbeiter!$E$44),0,IF(AND(Mitarbeiter!$F$44&lt;&gt;"",HM$5&gt;Mitarbeiter!$F$44),0,IF(Planung!HM46="",$C46,IF(ISNUMBER(Planung!HM46),Planung!HM46,IF(UPPER(Planung!HM46)="H",$C46/2,0)))))))</f>
        <v>0</v>
      </c>
      <c r="HN46" s="27">
        <f>IF($A46="",0,IF(Mitarbeiter!$G$44=FALSE,0,IF(AND(Mitarbeiter!$E$44&lt;&gt;"",HN$5+6&lt;Mitarbeiter!$E$44),0,IF(AND(Mitarbeiter!$F$44&lt;&gt;"",HN$5&gt;Mitarbeiter!$F$44),0,IF(Planung!HN46="",$C46,IF(ISNUMBER(Planung!HN46),Planung!HN46,IF(UPPER(Planung!HN46)="H",$C46/2,0)))))))</f>
        <v>0</v>
      </c>
      <c r="HO46" s="27">
        <f>IF($A46="",0,IF(Mitarbeiter!$G$44=FALSE,0,IF(AND(Mitarbeiter!$E$44&lt;&gt;"",HO$5+6&lt;Mitarbeiter!$E$44),0,IF(AND(Mitarbeiter!$F$44&lt;&gt;"",HO$5&gt;Mitarbeiter!$F$44),0,IF(Planung!HO46="",$C46,IF(ISNUMBER(Planung!HO46),Planung!HO46,IF(UPPER(Planung!HO46)="H",$C46/2,0)))))))</f>
        <v>0</v>
      </c>
      <c r="HP46" s="27">
        <f>IF($A46="",0,IF(Mitarbeiter!$G$44=FALSE,0,IF(AND(Mitarbeiter!$E$44&lt;&gt;"",HP$5+6&lt;Mitarbeiter!$E$44),0,IF(AND(Mitarbeiter!$F$44&lt;&gt;"",HP$5&gt;Mitarbeiter!$F$44),0,IF(Planung!HP46="",$C46,IF(ISNUMBER(Planung!HP46),Planung!HP46,IF(UPPER(Planung!HP46)="H",$C46/2,0)))))))</f>
        <v>0</v>
      </c>
      <c r="HQ46" s="27">
        <f>IF($A46="",0,IF(Mitarbeiter!$G$44=FALSE,0,IF(AND(Mitarbeiter!$E$44&lt;&gt;"",HQ$5+6&lt;Mitarbeiter!$E$44),0,IF(AND(Mitarbeiter!$F$44&lt;&gt;"",HQ$5&gt;Mitarbeiter!$F$44),0,IF(Planung!HQ46="",$C46,IF(ISNUMBER(Planung!HQ46),Planung!HQ46,IF(UPPER(Planung!HQ46)="H",$C46/2,0)))))))</f>
        <v>0</v>
      </c>
      <c r="HR46" s="27">
        <f>IF($A46="",0,IF(Mitarbeiter!$G$44=FALSE,0,IF(AND(Mitarbeiter!$E$44&lt;&gt;"",HR$5+6&lt;Mitarbeiter!$E$44),0,IF(AND(Mitarbeiter!$F$44&lt;&gt;"",HR$5&gt;Mitarbeiter!$F$44),0,IF(Planung!HR46="",$C46,IF(ISNUMBER(Planung!HR46),Planung!HR46,IF(UPPER(Planung!HR46)="H",$C46/2,0)))))))</f>
        <v>0</v>
      </c>
      <c r="HS46" s="27">
        <f>IF($A46="",0,IF(Mitarbeiter!$G$44=FALSE,0,IF(AND(Mitarbeiter!$E$44&lt;&gt;"",HS$5+6&lt;Mitarbeiter!$E$44),0,IF(AND(Mitarbeiter!$F$44&lt;&gt;"",HS$5&gt;Mitarbeiter!$F$44),0,IF(Planung!HS46="",$C46,IF(ISNUMBER(Planung!HS46),Planung!HS46,IF(UPPER(Planung!HS46)="H",$C46/2,0)))))))</f>
        <v>0</v>
      </c>
      <c r="HT46" s="27">
        <f>IF($A46="",0,IF(Mitarbeiter!$G$44=FALSE,0,IF(AND(Mitarbeiter!$E$44&lt;&gt;"",HT$5+6&lt;Mitarbeiter!$E$44),0,IF(AND(Mitarbeiter!$F$44&lt;&gt;"",HT$5&gt;Mitarbeiter!$F$44),0,IF(Planung!HT46="",$C46,IF(ISNUMBER(Planung!HT46),Planung!HT46,IF(UPPER(Planung!HT46)="H",$C46/2,0)))))))</f>
        <v>0</v>
      </c>
      <c r="HU46" s="27">
        <f>IF($A46="",0,IF(Mitarbeiter!$G$44=FALSE,0,IF(AND(Mitarbeiter!$E$44&lt;&gt;"",HU$5+6&lt;Mitarbeiter!$E$44),0,IF(AND(Mitarbeiter!$F$44&lt;&gt;"",HU$5&gt;Mitarbeiter!$F$44),0,IF(Planung!HU46="",$C46,IF(ISNUMBER(Planung!HU46),Planung!HU46,IF(UPPER(Planung!HU46)="H",$C46/2,0)))))))</f>
        <v>0</v>
      </c>
      <c r="HV46" s="27">
        <f>IF($A46="",0,IF(Mitarbeiter!$G$44=FALSE,0,IF(AND(Mitarbeiter!$E$44&lt;&gt;"",HV$5+6&lt;Mitarbeiter!$E$44),0,IF(AND(Mitarbeiter!$F$44&lt;&gt;"",HV$5&gt;Mitarbeiter!$F$44),0,IF(Planung!HV46="",$C46,IF(ISNUMBER(Planung!HV46),Planung!HV46,IF(UPPER(Planung!HV46)="H",$C46/2,0)))))))</f>
        <v>0</v>
      </c>
      <c r="HW46" s="27">
        <f>IF($A46="",0,IF(Mitarbeiter!$G$44=FALSE,0,IF(AND(Mitarbeiter!$E$44&lt;&gt;"",HW$5+6&lt;Mitarbeiter!$E$44),0,IF(AND(Mitarbeiter!$F$44&lt;&gt;"",HW$5&gt;Mitarbeiter!$F$44),0,IF(Planung!HW46="",$C46,IF(ISNUMBER(Planung!HW46),Planung!HW46,IF(UPPER(Planung!HW46)="H",$C46/2,0)))))))</f>
        <v>0</v>
      </c>
      <c r="HX46" s="27">
        <f>IF($A46="",0,IF(Mitarbeiter!$G$44=FALSE,0,IF(AND(Mitarbeiter!$E$44&lt;&gt;"",HX$5+6&lt;Mitarbeiter!$E$44),0,IF(AND(Mitarbeiter!$F$44&lt;&gt;"",HX$5&gt;Mitarbeiter!$F$44),0,IF(Planung!HX46="",$C46,IF(ISNUMBER(Planung!HX46),Planung!HX46,IF(UPPER(Planung!HX46)="H",$C46/2,0)))))))</f>
        <v>0</v>
      </c>
      <c r="HY46" s="27">
        <f>IF($A46="",0,IF(Mitarbeiter!$G$44=FALSE,0,IF(AND(Mitarbeiter!$E$44&lt;&gt;"",HY$5+6&lt;Mitarbeiter!$E$44),0,IF(AND(Mitarbeiter!$F$44&lt;&gt;"",HY$5&gt;Mitarbeiter!$F$44),0,IF(Planung!HY46="",$C46,IF(ISNUMBER(Planung!HY46),Planung!HY46,IF(UPPER(Planung!HY46)="H",$C46/2,0)))))))</f>
        <v>0</v>
      </c>
      <c r="HZ46" s="27">
        <f>IF($A46="",0,IF(Mitarbeiter!$G$44=FALSE,0,IF(AND(Mitarbeiter!$E$44&lt;&gt;"",HZ$5+6&lt;Mitarbeiter!$E$44),0,IF(AND(Mitarbeiter!$F$44&lt;&gt;"",HZ$5&gt;Mitarbeiter!$F$44),0,IF(Planung!HZ46="",$C46,IF(ISNUMBER(Planung!HZ46),Planung!HZ46,IF(UPPER(Planung!HZ46)="H",$C46/2,0)))))))</f>
        <v>0</v>
      </c>
      <c r="IA46" s="27">
        <f>IF($A46="",0,IF(Mitarbeiter!$G$44=FALSE,0,IF(AND(Mitarbeiter!$E$44&lt;&gt;"",IA$5+6&lt;Mitarbeiter!$E$44),0,IF(AND(Mitarbeiter!$F$44&lt;&gt;"",IA$5&gt;Mitarbeiter!$F$44),0,IF(Planung!IA46="",$C46,IF(ISNUMBER(Planung!IA46),Planung!IA46,IF(UPPER(Planung!IA46)="H",$C46/2,0)))))))</f>
        <v>0</v>
      </c>
    </row>
    <row r="47" spans="1:235" x14ac:dyDescent="0.25">
      <c r="A47" s="7" t="str">
        <f>Planung!A47</f>
        <v/>
      </c>
      <c r="B47" s="7" t="str">
        <f>Planung!B47</f>
        <v/>
      </c>
      <c r="C47" s="27">
        <f>N(Mitarbeiter!$D$45)</f>
        <v>0</v>
      </c>
      <c r="D47" s="27">
        <f>IF($A47="",0,IF(Mitarbeiter!$G$45=FALSE,0,IF(AND(Mitarbeiter!$E$45&lt;&gt;"",D$5+6&lt;Mitarbeiter!$E$45),0,IF(AND(Mitarbeiter!$F$45&lt;&gt;"",D$5&gt;Mitarbeiter!$F$45),0,IF(Planung!D47="",$C47,IF(ISNUMBER(Planung!D47),Planung!D47,IF(UPPER(Planung!D47)="H",$C47/2,0)))))))</f>
        <v>0</v>
      </c>
      <c r="E47" s="27">
        <f>IF($A47="",0,IF(Mitarbeiter!$G$45=FALSE,0,IF(AND(Mitarbeiter!$E$45&lt;&gt;"",E$5+6&lt;Mitarbeiter!$E$45),0,IF(AND(Mitarbeiter!$F$45&lt;&gt;"",E$5&gt;Mitarbeiter!$F$45),0,IF(Planung!E47="",$C47,IF(ISNUMBER(Planung!E47),Planung!E47,IF(UPPER(Planung!E47)="H",$C47/2,0)))))))</f>
        <v>0</v>
      </c>
      <c r="F47" s="27">
        <f>IF($A47="",0,IF(Mitarbeiter!$G$45=FALSE,0,IF(AND(Mitarbeiter!$E$45&lt;&gt;"",F$5+6&lt;Mitarbeiter!$E$45),0,IF(AND(Mitarbeiter!$F$45&lt;&gt;"",F$5&gt;Mitarbeiter!$F$45),0,IF(Planung!F47="",$C47,IF(ISNUMBER(Planung!F47),Planung!F47,IF(UPPER(Planung!F47)="H",$C47/2,0)))))))</f>
        <v>0</v>
      </c>
      <c r="G47" s="27">
        <f>IF($A47="",0,IF(Mitarbeiter!$G$45=FALSE,0,IF(AND(Mitarbeiter!$E$45&lt;&gt;"",G$5+6&lt;Mitarbeiter!$E$45),0,IF(AND(Mitarbeiter!$F$45&lt;&gt;"",G$5&gt;Mitarbeiter!$F$45),0,IF(Planung!G47="",$C47,IF(ISNUMBER(Planung!G47),Planung!G47,IF(UPPER(Planung!G47)="H",$C47/2,0)))))))</f>
        <v>0</v>
      </c>
      <c r="H47" s="27">
        <f>IF($A47="",0,IF(Mitarbeiter!$G$45=FALSE,0,IF(AND(Mitarbeiter!$E$45&lt;&gt;"",H$5+6&lt;Mitarbeiter!$E$45),0,IF(AND(Mitarbeiter!$F$45&lt;&gt;"",H$5&gt;Mitarbeiter!$F$45),0,IF(Planung!H47="",$C47,IF(ISNUMBER(Planung!H47),Planung!H47,IF(UPPER(Planung!H47)="H",$C47/2,0)))))))</f>
        <v>0</v>
      </c>
      <c r="I47" s="27">
        <f>IF($A47="",0,IF(Mitarbeiter!$G$45=FALSE,0,IF(AND(Mitarbeiter!$E$45&lt;&gt;"",I$5+6&lt;Mitarbeiter!$E$45),0,IF(AND(Mitarbeiter!$F$45&lt;&gt;"",I$5&gt;Mitarbeiter!$F$45),0,IF(Planung!I47="",$C47,IF(ISNUMBER(Planung!I47),Planung!I47,IF(UPPER(Planung!I47)="H",$C47/2,0)))))))</f>
        <v>0</v>
      </c>
      <c r="J47" s="27">
        <f>IF($A47="",0,IF(Mitarbeiter!$G$45=FALSE,0,IF(AND(Mitarbeiter!$E$45&lt;&gt;"",J$5+6&lt;Mitarbeiter!$E$45),0,IF(AND(Mitarbeiter!$F$45&lt;&gt;"",J$5&gt;Mitarbeiter!$F$45),0,IF(Planung!J47="",$C47,IF(ISNUMBER(Planung!J47),Planung!J47,IF(UPPER(Planung!J47)="H",$C47/2,0)))))))</f>
        <v>0</v>
      </c>
      <c r="K47" s="27">
        <f>IF($A47="",0,IF(Mitarbeiter!$G$45=FALSE,0,IF(AND(Mitarbeiter!$E$45&lt;&gt;"",K$5+6&lt;Mitarbeiter!$E$45),0,IF(AND(Mitarbeiter!$F$45&lt;&gt;"",K$5&gt;Mitarbeiter!$F$45),0,IF(Planung!K47="",$C47,IF(ISNUMBER(Planung!K47),Planung!K47,IF(UPPER(Planung!K47)="H",$C47/2,0)))))))</f>
        <v>0</v>
      </c>
      <c r="L47" s="27">
        <f>IF($A47="",0,IF(Mitarbeiter!$G$45=FALSE,0,IF(AND(Mitarbeiter!$E$45&lt;&gt;"",L$5+6&lt;Mitarbeiter!$E$45),0,IF(AND(Mitarbeiter!$F$45&lt;&gt;"",L$5&gt;Mitarbeiter!$F$45),0,IF(Planung!L47="",$C47,IF(ISNUMBER(Planung!L47),Planung!L47,IF(UPPER(Planung!L47)="H",$C47/2,0)))))))</f>
        <v>0</v>
      </c>
      <c r="M47" s="27">
        <f>IF($A47="",0,IF(Mitarbeiter!$G$45=FALSE,0,IF(AND(Mitarbeiter!$E$45&lt;&gt;"",M$5+6&lt;Mitarbeiter!$E$45),0,IF(AND(Mitarbeiter!$F$45&lt;&gt;"",M$5&gt;Mitarbeiter!$F$45),0,IF(Planung!M47="",$C47,IF(ISNUMBER(Planung!M47),Planung!M47,IF(UPPER(Planung!M47)="H",$C47/2,0)))))))</f>
        <v>0</v>
      </c>
      <c r="N47" s="27">
        <f>IF($A47="",0,IF(Mitarbeiter!$G$45=FALSE,0,IF(AND(Mitarbeiter!$E$45&lt;&gt;"",N$5+6&lt;Mitarbeiter!$E$45),0,IF(AND(Mitarbeiter!$F$45&lt;&gt;"",N$5&gt;Mitarbeiter!$F$45),0,IF(Planung!N47="",$C47,IF(ISNUMBER(Planung!N47),Planung!N47,IF(UPPER(Planung!N47)="H",$C47/2,0)))))))</f>
        <v>0</v>
      </c>
      <c r="O47" s="27">
        <f>IF($A47="",0,IF(Mitarbeiter!$G$45=FALSE,0,IF(AND(Mitarbeiter!$E$45&lt;&gt;"",O$5+6&lt;Mitarbeiter!$E$45),0,IF(AND(Mitarbeiter!$F$45&lt;&gt;"",O$5&gt;Mitarbeiter!$F$45),0,IF(Planung!O47="",$C47,IF(ISNUMBER(Planung!O47),Planung!O47,IF(UPPER(Planung!O47)="H",$C47/2,0)))))))</f>
        <v>0</v>
      </c>
      <c r="P47" s="27">
        <f>IF($A47="",0,IF(Mitarbeiter!$G$45=FALSE,0,IF(AND(Mitarbeiter!$E$45&lt;&gt;"",P$5+6&lt;Mitarbeiter!$E$45),0,IF(AND(Mitarbeiter!$F$45&lt;&gt;"",P$5&gt;Mitarbeiter!$F$45),0,IF(Planung!P47="",$C47,IF(ISNUMBER(Planung!P47),Planung!P47,IF(UPPER(Planung!P47)="H",$C47/2,0)))))))</f>
        <v>0</v>
      </c>
      <c r="Q47" s="27">
        <f>IF($A47="",0,IF(Mitarbeiter!$G$45=FALSE,0,IF(AND(Mitarbeiter!$E$45&lt;&gt;"",Q$5+6&lt;Mitarbeiter!$E$45),0,IF(AND(Mitarbeiter!$F$45&lt;&gt;"",Q$5&gt;Mitarbeiter!$F$45),0,IF(Planung!Q47="",$C47,IF(ISNUMBER(Planung!Q47),Planung!Q47,IF(UPPER(Planung!Q47)="H",$C47/2,0)))))))</f>
        <v>0</v>
      </c>
      <c r="R47" s="27">
        <f>IF($A47="",0,IF(Mitarbeiter!$G$45=FALSE,0,IF(AND(Mitarbeiter!$E$45&lt;&gt;"",R$5+6&lt;Mitarbeiter!$E$45),0,IF(AND(Mitarbeiter!$F$45&lt;&gt;"",R$5&gt;Mitarbeiter!$F$45),0,IF(Planung!R47="",$C47,IF(ISNUMBER(Planung!R47),Planung!R47,IF(UPPER(Planung!R47)="H",$C47/2,0)))))))</f>
        <v>0</v>
      </c>
      <c r="S47" s="27">
        <f>IF($A47="",0,IF(Mitarbeiter!$G$45=FALSE,0,IF(AND(Mitarbeiter!$E$45&lt;&gt;"",S$5+6&lt;Mitarbeiter!$E$45),0,IF(AND(Mitarbeiter!$F$45&lt;&gt;"",S$5&gt;Mitarbeiter!$F$45),0,IF(Planung!S47="",$C47,IF(ISNUMBER(Planung!S47),Planung!S47,IF(UPPER(Planung!S47)="H",$C47/2,0)))))))</f>
        <v>0</v>
      </c>
      <c r="T47" s="27">
        <f>IF($A47="",0,IF(Mitarbeiter!$G$45=FALSE,0,IF(AND(Mitarbeiter!$E$45&lt;&gt;"",T$5+6&lt;Mitarbeiter!$E$45),0,IF(AND(Mitarbeiter!$F$45&lt;&gt;"",T$5&gt;Mitarbeiter!$F$45),0,IF(Planung!T47="",$C47,IF(ISNUMBER(Planung!T47),Planung!T47,IF(UPPER(Planung!T47)="H",$C47/2,0)))))))</f>
        <v>0</v>
      </c>
      <c r="U47" s="27">
        <f>IF($A47="",0,IF(Mitarbeiter!$G$45=FALSE,0,IF(AND(Mitarbeiter!$E$45&lt;&gt;"",U$5+6&lt;Mitarbeiter!$E$45),0,IF(AND(Mitarbeiter!$F$45&lt;&gt;"",U$5&gt;Mitarbeiter!$F$45),0,IF(Planung!U47="",$C47,IF(ISNUMBER(Planung!U47),Planung!U47,IF(UPPER(Planung!U47)="H",$C47/2,0)))))))</f>
        <v>0</v>
      </c>
      <c r="V47" s="27">
        <f>IF($A47="",0,IF(Mitarbeiter!$G$45=FALSE,0,IF(AND(Mitarbeiter!$E$45&lt;&gt;"",V$5+6&lt;Mitarbeiter!$E$45),0,IF(AND(Mitarbeiter!$F$45&lt;&gt;"",V$5&gt;Mitarbeiter!$F$45),0,IF(Planung!V47="",$C47,IF(ISNUMBER(Planung!V47),Planung!V47,IF(UPPER(Planung!V47)="H",$C47/2,0)))))))</f>
        <v>0</v>
      </c>
      <c r="W47" s="27">
        <f>IF($A47="",0,IF(Mitarbeiter!$G$45=FALSE,0,IF(AND(Mitarbeiter!$E$45&lt;&gt;"",W$5+6&lt;Mitarbeiter!$E$45),0,IF(AND(Mitarbeiter!$F$45&lt;&gt;"",W$5&gt;Mitarbeiter!$F$45),0,IF(Planung!W47="",$C47,IF(ISNUMBER(Planung!W47),Planung!W47,IF(UPPER(Planung!W47)="H",$C47/2,0)))))))</f>
        <v>0</v>
      </c>
      <c r="X47" s="27">
        <f>IF($A47="",0,IF(Mitarbeiter!$G$45=FALSE,0,IF(AND(Mitarbeiter!$E$45&lt;&gt;"",X$5+6&lt;Mitarbeiter!$E$45),0,IF(AND(Mitarbeiter!$F$45&lt;&gt;"",X$5&gt;Mitarbeiter!$F$45),0,IF(Planung!X47="",$C47,IF(ISNUMBER(Planung!X47),Planung!X47,IF(UPPER(Planung!X47)="H",$C47/2,0)))))))</f>
        <v>0</v>
      </c>
      <c r="Y47" s="27">
        <f>IF($A47="",0,IF(Mitarbeiter!$G$45=FALSE,0,IF(AND(Mitarbeiter!$E$45&lt;&gt;"",Y$5+6&lt;Mitarbeiter!$E$45),0,IF(AND(Mitarbeiter!$F$45&lt;&gt;"",Y$5&gt;Mitarbeiter!$F$45),0,IF(Planung!Y47="",$C47,IF(ISNUMBER(Planung!Y47),Planung!Y47,IF(UPPER(Planung!Y47)="H",$C47/2,0)))))))</f>
        <v>0</v>
      </c>
      <c r="Z47" s="27">
        <f>IF($A47="",0,IF(Mitarbeiter!$G$45=FALSE,0,IF(AND(Mitarbeiter!$E$45&lt;&gt;"",Z$5+6&lt;Mitarbeiter!$E$45),0,IF(AND(Mitarbeiter!$F$45&lt;&gt;"",Z$5&gt;Mitarbeiter!$F$45),0,IF(Planung!Z47="",$C47,IF(ISNUMBER(Planung!Z47),Planung!Z47,IF(UPPER(Planung!Z47)="H",$C47/2,0)))))))</f>
        <v>0</v>
      </c>
      <c r="AA47" s="27">
        <f>IF($A47="",0,IF(Mitarbeiter!$G$45=FALSE,0,IF(AND(Mitarbeiter!$E$45&lt;&gt;"",AA$5+6&lt;Mitarbeiter!$E$45),0,IF(AND(Mitarbeiter!$F$45&lt;&gt;"",AA$5&gt;Mitarbeiter!$F$45),0,IF(Planung!AA47="",$C47,IF(ISNUMBER(Planung!AA47),Planung!AA47,IF(UPPER(Planung!AA47)="H",$C47/2,0)))))))</f>
        <v>0</v>
      </c>
      <c r="AB47" s="27">
        <f>IF($A47="",0,IF(Mitarbeiter!$G$45=FALSE,0,IF(AND(Mitarbeiter!$E$45&lt;&gt;"",AB$5+6&lt;Mitarbeiter!$E$45),0,IF(AND(Mitarbeiter!$F$45&lt;&gt;"",AB$5&gt;Mitarbeiter!$F$45),0,IF(Planung!AB47="",$C47,IF(ISNUMBER(Planung!AB47),Planung!AB47,IF(UPPER(Planung!AB47)="H",$C47/2,0)))))))</f>
        <v>0</v>
      </c>
      <c r="AC47" s="27">
        <f>IF($A47="",0,IF(Mitarbeiter!$G$45=FALSE,0,IF(AND(Mitarbeiter!$E$45&lt;&gt;"",AC$5+6&lt;Mitarbeiter!$E$45),0,IF(AND(Mitarbeiter!$F$45&lt;&gt;"",AC$5&gt;Mitarbeiter!$F$45),0,IF(Planung!AC47="",$C47,IF(ISNUMBER(Planung!AC47),Planung!AC47,IF(UPPER(Planung!AC47)="H",$C47/2,0)))))))</f>
        <v>0</v>
      </c>
      <c r="AD47" s="27">
        <f>IF($A47="",0,IF(Mitarbeiter!$G$45=FALSE,0,IF(AND(Mitarbeiter!$E$45&lt;&gt;"",AD$5+6&lt;Mitarbeiter!$E$45),0,IF(AND(Mitarbeiter!$F$45&lt;&gt;"",AD$5&gt;Mitarbeiter!$F$45),0,IF(Planung!AD47="",$C47,IF(ISNUMBER(Planung!AD47),Planung!AD47,IF(UPPER(Planung!AD47)="H",$C47/2,0)))))))</f>
        <v>0</v>
      </c>
      <c r="AE47" s="27">
        <f>IF($A47="",0,IF(Mitarbeiter!$G$45=FALSE,0,IF(AND(Mitarbeiter!$E$45&lt;&gt;"",AE$5+6&lt;Mitarbeiter!$E$45),0,IF(AND(Mitarbeiter!$F$45&lt;&gt;"",AE$5&gt;Mitarbeiter!$F$45),0,IF(Planung!AE47="",$C47,IF(ISNUMBER(Planung!AE47),Planung!AE47,IF(UPPER(Planung!AE47)="H",$C47/2,0)))))))</f>
        <v>0</v>
      </c>
      <c r="AF47" s="27">
        <f>IF($A47="",0,IF(Mitarbeiter!$G$45=FALSE,0,IF(AND(Mitarbeiter!$E$45&lt;&gt;"",AF$5+6&lt;Mitarbeiter!$E$45),0,IF(AND(Mitarbeiter!$F$45&lt;&gt;"",AF$5&gt;Mitarbeiter!$F$45),0,IF(Planung!AF47="",$C47,IF(ISNUMBER(Planung!AF47),Planung!AF47,IF(UPPER(Planung!AF47)="H",$C47/2,0)))))))</f>
        <v>0</v>
      </c>
      <c r="AG47" s="27">
        <f>IF($A47="",0,IF(Mitarbeiter!$G$45=FALSE,0,IF(AND(Mitarbeiter!$E$45&lt;&gt;"",AG$5+6&lt;Mitarbeiter!$E$45),0,IF(AND(Mitarbeiter!$F$45&lt;&gt;"",AG$5&gt;Mitarbeiter!$F$45),0,IF(Planung!AG47="",$C47,IF(ISNUMBER(Planung!AG47),Planung!AG47,IF(UPPER(Planung!AG47)="H",$C47/2,0)))))))</f>
        <v>0</v>
      </c>
      <c r="AH47" s="27">
        <f>IF($A47="",0,IF(Mitarbeiter!$G$45=FALSE,0,IF(AND(Mitarbeiter!$E$45&lt;&gt;"",AH$5+6&lt;Mitarbeiter!$E$45),0,IF(AND(Mitarbeiter!$F$45&lt;&gt;"",AH$5&gt;Mitarbeiter!$F$45),0,IF(Planung!AH47="",$C47,IF(ISNUMBER(Planung!AH47),Planung!AH47,IF(UPPER(Planung!AH47)="H",$C47/2,0)))))))</f>
        <v>0</v>
      </c>
      <c r="AI47" s="27">
        <f>IF($A47="",0,IF(Mitarbeiter!$G$45=FALSE,0,IF(AND(Mitarbeiter!$E$45&lt;&gt;"",AI$5+6&lt;Mitarbeiter!$E$45),0,IF(AND(Mitarbeiter!$F$45&lt;&gt;"",AI$5&gt;Mitarbeiter!$F$45),0,IF(Planung!AI47="",$C47,IF(ISNUMBER(Planung!AI47),Planung!AI47,IF(UPPER(Planung!AI47)="H",$C47/2,0)))))))</f>
        <v>0</v>
      </c>
      <c r="AJ47" s="27">
        <f>IF($A47="",0,IF(Mitarbeiter!$G$45=FALSE,0,IF(AND(Mitarbeiter!$E$45&lt;&gt;"",AJ$5+6&lt;Mitarbeiter!$E$45),0,IF(AND(Mitarbeiter!$F$45&lt;&gt;"",AJ$5&gt;Mitarbeiter!$F$45),0,IF(Planung!AJ47="",$C47,IF(ISNUMBER(Planung!AJ47),Planung!AJ47,IF(UPPER(Planung!AJ47)="H",$C47/2,0)))))))</f>
        <v>0</v>
      </c>
      <c r="AK47" s="27">
        <f>IF($A47="",0,IF(Mitarbeiter!$G$45=FALSE,0,IF(AND(Mitarbeiter!$E$45&lt;&gt;"",AK$5+6&lt;Mitarbeiter!$E$45),0,IF(AND(Mitarbeiter!$F$45&lt;&gt;"",AK$5&gt;Mitarbeiter!$F$45),0,IF(Planung!AK47="",$C47,IF(ISNUMBER(Planung!AK47),Planung!AK47,IF(UPPER(Planung!AK47)="H",$C47/2,0)))))))</f>
        <v>0</v>
      </c>
      <c r="AL47" s="27">
        <f>IF($A47="",0,IF(Mitarbeiter!$G$45=FALSE,0,IF(AND(Mitarbeiter!$E$45&lt;&gt;"",AL$5+6&lt;Mitarbeiter!$E$45),0,IF(AND(Mitarbeiter!$F$45&lt;&gt;"",AL$5&gt;Mitarbeiter!$F$45),0,IF(Planung!AL47="",$C47,IF(ISNUMBER(Planung!AL47),Planung!AL47,IF(UPPER(Planung!AL47)="H",$C47/2,0)))))))</f>
        <v>0</v>
      </c>
      <c r="AM47" s="27">
        <f>IF($A47="",0,IF(Mitarbeiter!$G$45=FALSE,0,IF(AND(Mitarbeiter!$E$45&lt;&gt;"",AM$5+6&lt;Mitarbeiter!$E$45),0,IF(AND(Mitarbeiter!$F$45&lt;&gt;"",AM$5&gt;Mitarbeiter!$F$45),0,IF(Planung!AM47="",$C47,IF(ISNUMBER(Planung!AM47),Planung!AM47,IF(UPPER(Planung!AM47)="H",$C47/2,0)))))))</f>
        <v>0</v>
      </c>
      <c r="AN47" s="27">
        <f>IF($A47="",0,IF(Mitarbeiter!$G$45=FALSE,0,IF(AND(Mitarbeiter!$E$45&lt;&gt;"",AN$5+6&lt;Mitarbeiter!$E$45),0,IF(AND(Mitarbeiter!$F$45&lt;&gt;"",AN$5&gt;Mitarbeiter!$F$45),0,IF(Planung!AN47="",$C47,IF(ISNUMBER(Planung!AN47),Planung!AN47,IF(UPPER(Planung!AN47)="H",$C47/2,0)))))))</f>
        <v>0</v>
      </c>
      <c r="AO47" s="27">
        <f>IF($A47="",0,IF(Mitarbeiter!$G$45=FALSE,0,IF(AND(Mitarbeiter!$E$45&lt;&gt;"",AO$5+6&lt;Mitarbeiter!$E$45),0,IF(AND(Mitarbeiter!$F$45&lt;&gt;"",AO$5&gt;Mitarbeiter!$F$45),0,IF(Planung!AO47="",$C47,IF(ISNUMBER(Planung!AO47),Planung!AO47,IF(UPPER(Planung!AO47)="H",$C47/2,0)))))))</f>
        <v>0</v>
      </c>
      <c r="AP47" s="27">
        <f>IF($A47="",0,IF(Mitarbeiter!$G$45=FALSE,0,IF(AND(Mitarbeiter!$E$45&lt;&gt;"",AP$5+6&lt;Mitarbeiter!$E$45),0,IF(AND(Mitarbeiter!$F$45&lt;&gt;"",AP$5&gt;Mitarbeiter!$F$45),0,IF(Planung!AP47="",$C47,IF(ISNUMBER(Planung!AP47),Planung!AP47,IF(UPPER(Planung!AP47)="H",$C47/2,0)))))))</f>
        <v>0</v>
      </c>
      <c r="AQ47" s="27">
        <f>IF($A47="",0,IF(Mitarbeiter!$G$45=FALSE,0,IF(AND(Mitarbeiter!$E$45&lt;&gt;"",AQ$5+6&lt;Mitarbeiter!$E$45),0,IF(AND(Mitarbeiter!$F$45&lt;&gt;"",AQ$5&gt;Mitarbeiter!$F$45),0,IF(Planung!AQ47="",$C47,IF(ISNUMBER(Planung!AQ47),Planung!AQ47,IF(UPPER(Planung!AQ47)="H",$C47/2,0)))))))</f>
        <v>0</v>
      </c>
      <c r="AR47" s="27">
        <f>IF($A47="",0,IF(Mitarbeiter!$G$45=FALSE,0,IF(AND(Mitarbeiter!$E$45&lt;&gt;"",AR$5+6&lt;Mitarbeiter!$E$45),0,IF(AND(Mitarbeiter!$F$45&lt;&gt;"",AR$5&gt;Mitarbeiter!$F$45),0,IF(Planung!AR47="",$C47,IF(ISNUMBER(Planung!AR47),Planung!AR47,IF(UPPER(Planung!AR47)="H",$C47/2,0)))))))</f>
        <v>0</v>
      </c>
      <c r="AS47" s="27">
        <f>IF($A47="",0,IF(Mitarbeiter!$G$45=FALSE,0,IF(AND(Mitarbeiter!$E$45&lt;&gt;"",AS$5+6&lt;Mitarbeiter!$E$45),0,IF(AND(Mitarbeiter!$F$45&lt;&gt;"",AS$5&gt;Mitarbeiter!$F$45),0,IF(Planung!AS47="",$C47,IF(ISNUMBER(Planung!AS47),Planung!AS47,IF(UPPER(Planung!AS47)="H",$C47/2,0)))))))</f>
        <v>0</v>
      </c>
      <c r="AT47" s="27">
        <f>IF($A47="",0,IF(Mitarbeiter!$G$45=FALSE,0,IF(AND(Mitarbeiter!$E$45&lt;&gt;"",AT$5+6&lt;Mitarbeiter!$E$45),0,IF(AND(Mitarbeiter!$F$45&lt;&gt;"",AT$5&gt;Mitarbeiter!$F$45),0,IF(Planung!AT47="",$C47,IF(ISNUMBER(Planung!AT47),Planung!AT47,IF(UPPER(Planung!AT47)="H",$C47/2,0)))))))</f>
        <v>0</v>
      </c>
      <c r="AU47" s="27">
        <f>IF($A47="",0,IF(Mitarbeiter!$G$45=FALSE,0,IF(AND(Mitarbeiter!$E$45&lt;&gt;"",AU$5+6&lt;Mitarbeiter!$E$45),0,IF(AND(Mitarbeiter!$F$45&lt;&gt;"",AU$5&gt;Mitarbeiter!$F$45),0,IF(Planung!AU47="",$C47,IF(ISNUMBER(Planung!AU47),Planung!AU47,IF(UPPER(Planung!AU47)="H",$C47/2,0)))))))</f>
        <v>0</v>
      </c>
      <c r="AV47" s="27">
        <f>IF($A47="",0,IF(Mitarbeiter!$G$45=FALSE,0,IF(AND(Mitarbeiter!$E$45&lt;&gt;"",AV$5+6&lt;Mitarbeiter!$E$45),0,IF(AND(Mitarbeiter!$F$45&lt;&gt;"",AV$5&gt;Mitarbeiter!$F$45),0,IF(Planung!AV47="",$C47,IF(ISNUMBER(Planung!AV47),Planung!AV47,IF(UPPER(Planung!AV47)="H",$C47/2,0)))))))</f>
        <v>0</v>
      </c>
      <c r="AW47" s="27">
        <f>IF($A47="",0,IF(Mitarbeiter!$G$45=FALSE,0,IF(AND(Mitarbeiter!$E$45&lt;&gt;"",AW$5+6&lt;Mitarbeiter!$E$45),0,IF(AND(Mitarbeiter!$F$45&lt;&gt;"",AW$5&gt;Mitarbeiter!$F$45),0,IF(Planung!AW47="",$C47,IF(ISNUMBER(Planung!AW47),Planung!AW47,IF(UPPER(Planung!AW47)="H",$C47/2,0)))))))</f>
        <v>0</v>
      </c>
      <c r="AX47" s="27">
        <f>IF($A47="",0,IF(Mitarbeiter!$G$45=FALSE,0,IF(AND(Mitarbeiter!$E$45&lt;&gt;"",AX$5+6&lt;Mitarbeiter!$E$45),0,IF(AND(Mitarbeiter!$F$45&lt;&gt;"",AX$5&gt;Mitarbeiter!$F$45),0,IF(Planung!AX47="",$C47,IF(ISNUMBER(Planung!AX47),Planung!AX47,IF(UPPER(Planung!AX47)="H",$C47/2,0)))))))</f>
        <v>0</v>
      </c>
      <c r="AY47" s="27">
        <f>IF($A47="",0,IF(Mitarbeiter!$G$45=FALSE,0,IF(AND(Mitarbeiter!$E$45&lt;&gt;"",AY$5+6&lt;Mitarbeiter!$E$45),0,IF(AND(Mitarbeiter!$F$45&lt;&gt;"",AY$5&gt;Mitarbeiter!$F$45),0,IF(Planung!AY47="",$C47,IF(ISNUMBER(Planung!AY47),Planung!AY47,IF(UPPER(Planung!AY47)="H",$C47/2,0)))))))</f>
        <v>0</v>
      </c>
      <c r="AZ47" s="27">
        <f>IF($A47="",0,IF(Mitarbeiter!$G$45=FALSE,0,IF(AND(Mitarbeiter!$E$45&lt;&gt;"",AZ$5+6&lt;Mitarbeiter!$E$45),0,IF(AND(Mitarbeiter!$F$45&lt;&gt;"",AZ$5&gt;Mitarbeiter!$F$45),0,IF(Planung!AZ47="",$C47,IF(ISNUMBER(Planung!AZ47),Planung!AZ47,IF(UPPER(Planung!AZ47)="H",$C47/2,0)))))))</f>
        <v>0</v>
      </c>
      <c r="BA47" s="27">
        <f>IF($A47="",0,IF(Mitarbeiter!$G$45=FALSE,0,IF(AND(Mitarbeiter!$E$45&lt;&gt;"",BA$5+6&lt;Mitarbeiter!$E$45),0,IF(AND(Mitarbeiter!$F$45&lt;&gt;"",BA$5&gt;Mitarbeiter!$F$45),0,IF(Planung!BA47="",$C47,IF(ISNUMBER(Planung!BA47),Planung!BA47,IF(UPPER(Planung!BA47)="H",$C47/2,0)))))))</f>
        <v>0</v>
      </c>
      <c r="BB47" s="27">
        <f>IF($A47="",0,IF(Mitarbeiter!$G$45=FALSE,0,IF(AND(Mitarbeiter!$E$45&lt;&gt;"",BB$5+6&lt;Mitarbeiter!$E$45),0,IF(AND(Mitarbeiter!$F$45&lt;&gt;"",BB$5&gt;Mitarbeiter!$F$45),0,IF(Planung!BB47="",$C47,IF(ISNUMBER(Planung!BB47),Planung!BB47,IF(UPPER(Planung!BB47)="H",$C47/2,0)))))))</f>
        <v>0</v>
      </c>
      <c r="BC47" s="27">
        <f>IF($A47="",0,IF(Mitarbeiter!$G$45=FALSE,0,IF(AND(Mitarbeiter!$E$45&lt;&gt;"",BC$5+6&lt;Mitarbeiter!$E$45),0,IF(AND(Mitarbeiter!$F$45&lt;&gt;"",BC$5&gt;Mitarbeiter!$F$45),0,IF(Planung!BC47="",$C47,IF(ISNUMBER(Planung!BC47),Planung!BC47,IF(UPPER(Planung!BC47)="H",$C47/2,0)))))))</f>
        <v>0</v>
      </c>
      <c r="BD47" s="27">
        <f>IF($A47="",0,IF(Mitarbeiter!$G$45=FALSE,0,IF(AND(Mitarbeiter!$E$45&lt;&gt;"",BD$5+6&lt;Mitarbeiter!$E$45),0,IF(AND(Mitarbeiter!$F$45&lt;&gt;"",BD$5&gt;Mitarbeiter!$F$45),0,IF(Planung!BD47="",$C47,IF(ISNUMBER(Planung!BD47),Planung!BD47,IF(UPPER(Planung!BD47)="H",$C47/2,0)))))))</f>
        <v>0</v>
      </c>
      <c r="BE47" s="27">
        <f>IF($A47="",0,IF(Mitarbeiter!$G$45=FALSE,0,IF(AND(Mitarbeiter!$E$45&lt;&gt;"",BE$5+6&lt;Mitarbeiter!$E$45),0,IF(AND(Mitarbeiter!$F$45&lt;&gt;"",BE$5&gt;Mitarbeiter!$F$45),0,IF(Planung!BE47="",$C47,IF(ISNUMBER(Planung!BE47),Planung!BE47,IF(UPPER(Planung!BE47)="H",$C47/2,0)))))))</f>
        <v>0</v>
      </c>
      <c r="BF47" s="27">
        <f>IF($A47="",0,IF(Mitarbeiter!$G$45=FALSE,0,IF(AND(Mitarbeiter!$E$45&lt;&gt;"",BF$5+6&lt;Mitarbeiter!$E$45),0,IF(AND(Mitarbeiter!$F$45&lt;&gt;"",BF$5&gt;Mitarbeiter!$F$45),0,IF(Planung!BF47="",$C47,IF(ISNUMBER(Planung!BF47),Planung!BF47,IF(UPPER(Planung!BF47)="H",$C47/2,0)))))))</f>
        <v>0</v>
      </c>
      <c r="BG47" s="27">
        <f>IF($A47="",0,IF(Mitarbeiter!$G$45=FALSE,0,IF(AND(Mitarbeiter!$E$45&lt;&gt;"",BG$5+6&lt;Mitarbeiter!$E$45),0,IF(AND(Mitarbeiter!$F$45&lt;&gt;"",BG$5&gt;Mitarbeiter!$F$45),0,IF(Planung!BG47="",$C47,IF(ISNUMBER(Planung!BG47),Planung!BG47,IF(UPPER(Planung!BG47)="H",$C47/2,0)))))))</f>
        <v>0</v>
      </c>
      <c r="BH47" s="27">
        <f>IF($A47="",0,IF(Mitarbeiter!$G$45=FALSE,0,IF(AND(Mitarbeiter!$E$45&lt;&gt;"",BH$5+6&lt;Mitarbeiter!$E$45),0,IF(AND(Mitarbeiter!$F$45&lt;&gt;"",BH$5&gt;Mitarbeiter!$F$45),0,IF(Planung!BH47="",$C47,IF(ISNUMBER(Planung!BH47),Planung!BH47,IF(UPPER(Planung!BH47)="H",$C47/2,0)))))))</f>
        <v>0</v>
      </c>
      <c r="BI47" s="27">
        <f>IF($A47="",0,IF(Mitarbeiter!$G$45=FALSE,0,IF(AND(Mitarbeiter!$E$45&lt;&gt;"",BI$5+6&lt;Mitarbeiter!$E$45),0,IF(AND(Mitarbeiter!$F$45&lt;&gt;"",BI$5&gt;Mitarbeiter!$F$45),0,IF(Planung!BI47="",$C47,IF(ISNUMBER(Planung!BI47),Planung!BI47,IF(UPPER(Planung!BI47)="H",$C47/2,0)))))))</f>
        <v>0</v>
      </c>
      <c r="BJ47" s="27">
        <f>IF($A47="",0,IF(Mitarbeiter!$G$45=FALSE,0,IF(AND(Mitarbeiter!$E$45&lt;&gt;"",BJ$5+6&lt;Mitarbeiter!$E$45),0,IF(AND(Mitarbeiter!$F$45&lt;&gt;"",BJ$5&gt;Mitarbeiter!$F$45),0,IF(Planung!BJ47="",$C47,IF(ISNUMBER(Planung!BJ47),Planung!BJ47,IF(UPPER(Planung!BJ47)="H",$C47/2,0)))))))</f>
        <v>0</v>
      </c>
      <c r="BK47" s="27">
        <f>IF($A47="",0,IF(Mitarbeiter!$G$45=FALSE,0,IF(AND(Mitarbeiter!$E$45&lt;&gt;"",BK$5+6&lt;Mitarbeiter!$E$45),0,IF(AND(Mitarbeiter!$F$45&lt;&gt;"",BK$5&gt;Mitarbeiter!$F$45),0,IF(Planung!BK47="",$C47,IF(ISNUMBER(Planung!BK47),Planung!BK47,IF(UPPER(Planung!BK47)="H",$C47/2,0)))))))</f>
        <v>0</v>
      </c>
      <c r="BL47" s="27">
        <f>IF($A47="",0,IF(Mitarbeiter!$G$45=FALSE,0,IF(AND(Mitarbeiter!$E$45&lt;&gt;"",BL$5+6&lt;Mitarbeiter!$E$45),0,IF(AND(Mitarbeiter!$F$45&lt;&gt;"",BL$5&gt;Mitarbeiter!$F$45),0,IF(Planung!BL47="",$C47,IF(ISNUMBER(Planung!BL47),Planung!BL47,IF(UPPER(Planung!BL47)="H",$C47/2,0)))))))</f>
        <v>0</v>
      </c>
      <c r="BM47" s="27">
        <f>IF($A47="",0,IF(Mitarbeiter!$G$45=FALSE,0,IF(AND(Mitarbeiter!$E$45&lt;&gt;"",BM$5+6&lt;Mitarbeiter!$E$45),0,IF(AND(Mitarbeiter!$F$45&lt;&gt;"",BM$5&gt;Mitarbeiter!$F$45),0,IF(Planung!BM47="",$C47,IF(ISNUMBER(Planung!BM47),Planung!BM47,IF(UPPER(Planung!BM47)="H",$C47/2,0)))))))</f>
        <v>0</v>
      </c>
      <c r="BN47" s="27">
        <f>IF($A47="",0,IF(Mitarbeiter!$G$45=FALSE,0,IF(AND(Mitarbeiter!$E$45&lt;&gt;"",BN$5+6&lt;Mitarbeiter!$E$45),0,IF(AND(Mitarbeiter!$F$45&lt;&gt;"",BN$5&gt;Mitarbeiter!$F$45),0,IF(Planung!BN47="",$C47,IF(ISNUMBER(Planung!BN47),Planung!BN47,IF(UPPER(Planung!BN47)="H",$C47/2,0)))))))</f>
        <v>0</v>
      </c>
      <c r="BO47" s="27">
        <f>IF($A47="",0,IF(Mitarbeiter!$G$45=FALSE,0,IF(AND(Mitarbeiter!$E$45&lt;&gt;"",BO$5+6&lt;Mitarbeiter!$E$45),0,IF(AND(Mitarbeiter!$F$45&lt;&gt;"",BO$5&gt;Mitarbeiter!$F$45),0,IF(Planung!BO47="",$C47,IF(ISNUMBER(Planung!BO47),Planung!BO47,IF(UPPER(Planung!BO47)="H",$C47/2,0)))))))</f>
        <v>0</v>
      </c>
      <c r="BP47" s="27">
        <f>IF($A47="",0,IF(Mitarbeiter!$G$45=FALSE,0,IF(AND(Mitarbeiter!$E$45&lt;&gt;"",BP$5+6&lt;Mitarbeiter!$E$45),0,IF(AND(Mitarbeiter!$F$45&lt;&gt;"",BP$5&gt;Mitarbeiter!$F$45),0,IF(Planung!BP47="",$C47,IF(ISNUMBER(Planung!BP47),Planung!BP47,IF(UPPER(Planung!BP47)="H",$C47/2,0)))))))</f>
        <v>0</v>
      </c>
      <c r="BQ47" s="27">
        <f>IF($A47="",0,IF(Mitarbeiter!$G$45=FALSE,0,IF(AND(Mitarbeiter!$E$45&lt;&gt;"",BQ$5+6&lt;Mitarbeiter!$E$45),0,IF(AND(Mitarbeiter!$F$45&lt;&gt;"",BQ$5&gt;Mitarbeiter!$F$45),0,IF(Planung!BQ47="",$C47,IF(ISNUMBER(Planung!BQ47),Planung!BQ47,IF(UPPER(Planung!BQ47)="H",$C47/2,0)))))))</f>
        <v>0</v>
      </c>
      <c r="BR47" s="27">
        <f>IF($A47="",0,IF(Mitarbeiter!$G$45=FALSE,0,IF(AND(Mitarbeiter!$E$45&lt;&gt;"",BR$5+6&lt;Mitarbeiter!$E$45),0,IF(AND(Mitarbeiter!$F$45&lt;&gt;"",BR$5&gt;Mitarbeiter!$F$45),0,IF(Planung!BR47="",$C47,IF(ISNUMBER(Planung!BR47),Planung!BR47,IF(UPPER(Planung!BR47)="H",$C47/2,0)))))))</f>
        <v>0</v>
      </c>
      <c r="BS47" s="27">
        <f>IF($A47="",0,IF(Mitarbeiter!$G$45=FALSE,0,IF(AND(Mitarbeiter!$E$45&lt;&gt;"",BS$5+6&lt;Mitarbeiter!$E$45),0,IF(AND(Mitarbeiter!$F$45&lt;&gt;"",BS$5&gt;Mitarbeiter!$F$45),0,IF(Planung!BS47="",$C47,IF(ISNUMBER(Planung!BS47),Planung!BS47,IF(UPPER(Planung!BS47)="H",$C47/2,0)))))))</f>
        <v>0</v>
      </c>
      <c r="BT47" s="27">
        <f>IF($A47="",0,IF(Mitarbeiter!$G$45=FALSE,0,IF(AND(Mitarbeiter!$E$45&lt;&gt;"",BT$5+6&lt;Mitarbeiter!$E$45),0,IF(AND(Mitarbeiter!$F$45&lt;&gt;"",BT$5&gt;Mitarbeiter!$F$45),0,IF(Planung!BT47="",$C47,IF(ISNUMBER(Planung!BT47),Planung!BT47,IF(UPPER(Planung!BT47)="H",$C47/2,0)))))))</f>
        <v>0</v>
      </c>
      <c r="BU47" s="27">
        <f>IF($A47="",0,IF(Mitarbeiter!$G$45=FALSE,0,IF(AND(Mitarbeiter!$E$45&lt;&gt;"",BU$5+6&lt;Mitarbeiter!$E$45),0,IF(AND(Mitarbeiter!$F$45&lt;&gt;"",BU$5&gt;Mitarbeiter!$F$45),0,IF(Planung!BU47="",$C47,IF(ISNUMBER(Planung!BU47),Planung!BU47,IF(UPPER(Planung!BU47)="H",$C47/2,0)))))))</f>
        <v>0</v>
      </c>
      <c r="BV47" s="27">
        <f>IF($A47="",0,IF(Mitarbeiter!$G$45=FALSE,0,IF(AND(Mitarbeiter!$E$45&lt;&gt;"",BV$5+6&lt;Mitarbeiter!$E$45),0,IF(AND(Mitarbeiter!$F$45&lt;&gt;"",BV$5&gt;Mitarbeiter!$F$45),0,IF(Planung!BV47="",$C47,IF(ISNUMBER(Planung!BV47),Planung!BV47,IF(UPPER(Planung!BV47)="H",$C47/2,0)))))))</f>
        <v>0</v>
      </c>
      <c r="BW47" s="27">
        <f>IF($A47="",0,IF(Mitarbeiter!$G$45=FALSE,0,IF(AND(Mitarbeiter!$E$45&lt;&gt;"",BW$5+6&lt;Mitarbeiter!$E$45),0,IF(AND(Mitarbeiter!$F$45&lt;&gt;"",BW$5&gt;Mitarbeiter!$F$45),0,IF(Planung!BW47="",$C47,IF(ISNUMBER(Planung!BW47),Planung!BW47,IF(UPPER(Planung!BW47)="H",$C47/2,0)))))))</f>
        <v>0</v>
      </c>
      <c r="BX47" s="27">
        <f>IF($A47="",0,IF(Mitarbeiter!$G$45=FALSE,0,IF(AND(Mitarbeiter!$E$45&lt;&gt;"",BX$5+6&lt;Mitarbeiter!$E$45),0,IF(AND(Mitarbeiter!$F$45&lt;&gt;"",BX$5&gt;Mitarbeiter!$F$45),0,IF(Planung!BX47="",$C47,IF(ISNUMBER(Planung!BX47),Planung!BX47,IF(UPPER(Planung!BX47)="H",$C47/2,0)))))))</f>
        <v>0</v>
      </c>
      <c r="BY47" s="27">
        <f>IF($A47="",0,IF(Mitarbeiter!$G$45=FALSE,0,IF(AND(Mitarbeiter!$E$45&lt;&gt;"",BY$5+6&lt;Mitarbeiter!$E$45),0,IF(AND(Mitarbeiter!$F$45&lt;&gt;"",BY$5&gt;Mitarbeiter!$F$45),0,IF(Planung!BY47="",$C47,IF(ISNUMBER(Planung!BY47),Planung!BY47,IF(UPPER(Planung!BY47)="H",$C47/2,0)))))))</f>
        <v>0</v>
      </c>
      <c r="BZ47" s="27">
        <f>IF($A47="",0,IF(Mitarbeiter!$G$45=FALSE,0,IF(AND(Mitarbeiter!$E$45&lt;&gt;"",BZ$5+6&lt;Mitarbeiter!$E$45),0,IF(AND(Mitarbeiter!$F$45&lt;&gt;"",BZ$5&gt;Mitarbeiter!$F$45),0,IF(Planung!BZ47="",$C47,IF(ISNUMBER(Planung!BZ47),Planung!BZ47,IF(UPPER(Planung!BZ47)="H",$C47/2,0)))))))</f>
        <v>0</v>
      </c>
      <c r="CA47" s="27">
        <f>IF($A47="",0,IF(Mitarbeiter!$G$45=FALSE,0,IF(AND(Mitarbeiter!$E$45&lt;&gt;"",CA$5+6&lt;Mitarbeiter!$E$45),0,IF(AND(Mitarbeiter!$F$45&lt;&gt;"",CA$5&gt;Mitarbeiter!$F$45),0,IF(Planung!CA47="",$C47,IF(ISNUMBER(Planung!CA47),Planung!CA47,IF(UPPER(Planung!CA47)="H",$C47/2,0)))))))</f>
        <v>0</v>
      </c>
      <c r="CB47" s="27">
        <f>IF($A47="",0,IF(Mitarbeiter!$G$45=FALSE,0,IF(AND(Mitarbeiter!$E$45&lt;&gt;"",CB$5+6&lt;Mitarbeiter!$E$45),0,IF(AND(Mitarbeiter!$F$45&lt;&gt;"",CB$5&gt;Mitarbeiter!$F$45),0,IF(Planung!CB47="",$C47,IF(ISNUMBER(Planung!CB47),Planung!CB47,IF(UPPER(Planung!CB47)="H",$C47/2,0)))))))</f>
        <v>0</v>
      </c>
      <c r="CC47" s="27">
        <f>IF($A47="",0,IF(Mitarbeiter!$G$45=FALSE,0,IF(AND(Mitarbeiter!$E$45&lt;&gt;"",CC$5+6&lt;Mitarbeiter!$E$45),0,IF(AND(Mitarbeiter!$F$45&lt;&gt;"",CC$5&gt;Mitarbeiter!$F$45),0,IF(Planung!CC47="",$C47,IF(ISNUMBER(Planung!CC47),Planung!CC47,IF(UPPER(Planung!CC47)="H",$C47/2,0)))))))</f>
        <v>0</v>
      </c>
      <c r="CD47" s="27">
        <f>IF($A47="",0,IF(Mitarbeiter!$G$45=FALSE,0,IF(AND(Mitarbeiter!$E$45&lt;&gt;"",CD$5+6&lt;Mitarbeiter!$E$45),0,IF(AND(Mitarbeiter!$F$45&lt;&gt;"",CD$5&gt;Mitarbeiter!$F$45),0,IF(Planung!CD47="",$C47,IF(ISNUMBER(Planung!CD47),Planung!CD47,IF(UPPER(Planung!CD47)="H",$C47/2,0)))))))</f>
        <v>0</v>
      </c>
      <c r="CE47" s="27">
        <f>IF($A47="",0,IF(Mitarbeiter!$G$45=FALSE,0,IF(AND(Mitarbeiter!$E$45&lt;&gt;"",CE$5+6&lt;Mitarbeiter!$E$45),0,IF(AND(Mitarbeiter!$F$45&lt;&gt;"",CE$5&gt;Mitarbeiter!$F$45),0,IF(Planung!CE47="",$C47,IF(ISNUMBER(Planung!CE47),Planung!CE47,IF(UPPER(Planung!CE47)="H",$C47/2,0)))))))</f>
        <v>0</v>
      </c>
      <c r="CF47" s="27">
        <f>IF($A47="",0,IF(Mitarbeiter!$G$45=FALSE,0,IF(AND(Mitarbeiter!$E$45&lt;&gt;"",CF$5+6&lt;Mitarbeiter!$E$45),0,IF(AND(Mitarbeiter!$F$45&lt;&gt;"",CF$5&gt;Mitarbeiter!$F$45),0,IF(Planung!CF47="",$C47,IF(ISNUMBER(Planung!CF47),Planung!CF47,IF(UPPER(Planung!CF47)="H",$C47/2,0)))))))</f>
        <v>0</v>
      </c>
      <c r="CG47" s="27">
        <f>IF($A47="",0,IF(Mitarbeiter!$G$45=FALSE,0,IF(AND(Mitarbeiter!$E$45&lt;&gt;"",CG$5+6&lt;Mitarbeiter!$E$45),0,IF(AND(Mitarbeiter!$F$45&lt;&gt;"",CG$5&gt;Mitarbeiter!$F$45),0,IF(Planung!CG47="",$C47,IF(ISNUMBER(Planung!CG47),Planung!CG47,IF(UPPER(Planung!CG47)="H",$C47/2,0)))))))</f>
        <v>0</v>
      </c>
      <c r="CH47" s="27">
        <f>IF($A47="",0,IF(Mitarbeiter!$G$45=FALSE,0,IF(AND(Mitarbeiter!$E$45&lt;&gt;"",CH$5+6&lt;Mitarbeiter!$E$45),0,IF(AND(Mitarbeiter!$F$45&lt;&gt;"",CH$5&gt;Mitarbeiter!$F$45),0,IF(Planung!CH47="",$C47,IF(ISNUMBER(Planung!CH47),Planung!CH47,IF(UPPER(Planung!CH47)="H",$C47/2,0)))))))</f>
        <v>0</v>
      </c>
      <c r="CI47" s="27">
        <f>IF($A47="",0,IF(Mitarbeiter!$G$45=FALSE,0,IF(AND(Mitarbeiter!$E$45&lt;&gt;"",CI$5+6&lt;Mitarbeiter!$E$45),0,IF(AND(Mitarbeiter!$F$45&lt;&gt;"",CI$5&gt;Mitarbeiter!$F$45),0,IF(Planung!CI47="",$C47,IF(ISNUMBER(Planung!CI47),Planung!CI47,IF(UPPER(Planung!CI47)="H",$C47/2,0)))))))</f>
        <v>0</v>
      </c>
      <c r="CJ47" s="27">
        <f>IF($A47="",0,IF(Mitarbeiter!$G$45=FALSE,0,IF(AND(Mitarbeiter!$E$45&lt;&gt;"",CJ$5+6&lt;Mitarbeiter!$E$45),0,IF(AND(Mitarbeiter!$F$45&lt;&gt;"",CJ$5&gt;Mitarbeiter!$F$45),0,IF(Planung!CJ47="",$C47,IF(ISNUMBER(Planung!CJ47),Planung!CJ47,IF(UPPER(Planung!CJ47)="H",$C47/2,0)))))))</f>
        <v>0</v>
      </c>
      <c r="CK47" s="27">
        <f>IF($A47="",0,IF(Mitarbeiter!$G$45=FALSE,0,IF(AND(Mitarbeiter!$E$45&lt;&gt;"",CK$5+6&lt;Mitarbeiter!$E$45),0,IF(AND(Mitarbeiter!$F$45&lt;&gt;"",CK$5&gt;Mitarbeiter!$F$45),0,IF(Planung!CK47="",$C47,IF(ISNUMBER(Planung!CK47),Planung!CK47,IF(UPPER(Planung!CK47)="H",$C47/2,0)))))))</f>
        <v>0</v>
      </c>
      <c r="CL47" s="27">
        <f>IF($A47="",0,IF(Mitarbeiter!$G$45=FALSE,0,IF(AND(Mitarbeiter!$E$45&lt;&gt;"",CL$5+6&lt;Mitarbeiter!$E$45),0,IF(AND(Mitarbeiter!$F$45&lt;&gt;"",CL$5&gt;Mitarbeiter!$F$45),0,IF(Planung!CL47="",$C47,IF(ISNUMBER(Planung!CL47),Planung!CL47,IF(UPPER(Planung!CL47)="H",$C47/2,0)))))))</f>
        <v>0</v>
      </c>
      <c r="CM47" s="27">
        <f>IF($A47="",0,IF(Mitarbeiter!$G$45=FALSE,0,IF(AND(Mitarbeiter!$E$45&lt;&gt;"",CM$5+6&lt;Mitarbeiter!$E$45),0,IF(AND(Mitarbeiter!$F$45&lt;&gt;"",CM$5&gt;Mitarbeiter!$F$45),0,IF(Planung!CM47="",$C47,IF(ISNUMBER(Planung!CM47),Planung!CM47,IF(UPPER(Planung!CM47)="H",$C47/2,0)))))))</f>
        <v>0</v>
      </c>
      <c r="CN47" s="27">
        <f>IF($A47="",0,IF(Mitarbeiter!$G$45=FALSE,0,IF(AND(Mitarbeiter!$E$45&lt;&gt;"",CN$5+6&lt;Mitarbeiter!$E$45),0,IF(AND(Mitarbeiter!$F$45&lt;&gt;"",CN$5&gt;Mitarbeiter!$F$45),0,IF(Planung!CN47="",$C47,IF(ISNUMBER(Planung!CN47),Planung!CN47,IF(UPPER(Planung!CN47)="H",$C47/2,0)))))))</f>
        <v>0</v>
      </c>
      <c r="CO47" s="27">
        <f>IF($A47="",0,IF(Mitarbeiter!$G$45=FALSE,0,IF(AND(Mitarbeiter!$E$45&lt;&gt;"",CO$5+6&lt;Mitarbeiter!$E$45),0,IF(AND(Mitarbeiter!$F$45&lt;&gt;"",CO$5&gt;Mitarbeiter!$F$45),0,IF(Planung!CO47="",$C47,IF(ISNUMBER(Planung!CO47),Planung!CO47,IF(UPPER(Planung!CO47)="H",$C47/2,0)))))))</f>
        <v>0</v>
      </c>
      <c r="CP47" s="27">
        <f>IF($A47="",0,IF(Mitarbeiter!$G$45=FALSE,0,IF(AND(Mitarbeiter!$E$45&lt;&gt;"",CP$5+6&lt;Mitarbeiter!$E$45),0,IF(AND(Mitarbeiter!$F$45&lt;&gt;"",CP$5&gt;Mitarbeiter!$F$45),0,IF(Planung!CP47="",$C47,IF(ISNUMBER(Planung!CP47),Planung!CP47,IF(UPPER(Planung!CP47)="H",$C47/2,0)))))))</f>
        <v>0</v>
      </c>
      <c r="CQ47" s="27">
        <f>IF($A47="",0,IF(Mitarbeiter!$G$45=FALSE,0,IF(AND(Mitarbeiter!$E$45&lt;&gt;"",CQ$5+6&lt;Mitarbeiter!$E$45),0,IF(AND(Mitarbeiter!$F$45&lt;&gt;"",CQ$5&gt;Mitarbeiter!$F$45),0,IF(Planung!CQ47="",$C47,IF(ISNUMBER(Planung!CQ47),Planung!CQ47,IF(UPPER(Planung!CQ47)="H",$C47/2,0)))))))</f>
        <v>0</v>
      </c>
      <c r="CR47" s="27">
        <f>IF($A47="",0,IF(Mitarbeiter!$G$45=FALSE,0,IF(AND(Mitarbeiter!$E$45&lt;&gt;"",CR$5+6&lt;Mitarbeiter!$E$45),0,IF(AND(Mitarbeiter!$F$45&lt;&gt;"",CR$5&gt;Mitarbeiter!$F$45),0,IF(Planung!CR47="",$C47,IF(ISNUMBER(Planung!CR47),Planung!CR47,IF(UPPER(Planung!CR47)="H",$C47/2,0)))))))</f>
        <v>0</v>
      </c>
      <c r="CS47" s="27">
        <f>IF($A47="",0,IF(Mitarbeiter!$G$45=FALSE,0,IF(AND(Mitarbeiter!$E$45&lt;&gt;"",CS$5+6&lt;Mitarbeiter!$E$45),0,IF(AND(Mitarbeiter!$F$45&lt;&gt;"",CS$5&gt;Mitarbeiter!$F$45),0,IF(Planung!CS47="",$C47,IF(ISNUMBER(Planung!CS47),Planung!CS47,IF(UPPER(Planung!CS47)="H",$C47/2,0)))))))</f>
        <v>0</v>
      </c>
      <c r="CT47" s="27">
        <f>IF($A47="",0,IF(Mitarbeiter!$G$45=FALSE,0,IF(AND(Mitarbeiter!$E$45&lt;&gt;"",CT$5+6&lt;Mitarbeiter!$E$45),0,IF(AND(Mitarbeiter!$F$45&lt;&gt;"",CT$5&gt;Mitarbeiter!$F$45),0,IF(Planung!CT47="",$C47,IF(ISNUMBER(Planung!CT47),Planung!CT47,IF(UPPER(Planung!CT47)="H",$C47/2,0)))))))</f>
        <v>0</v>
      </c>
      <c r="CU47" s="27">
        <f>IF($A47="",0,IF(Mitarbeiter!$G$45=FALSE,0,IF(AND(Mitarbeiter!$E$45&lt;&gt;"",CU$5+6&lt;Mitarbeiter!$E$45),0,IF(AND(Mitarbeiter!$F$45&lt;&gt;"",CU$5&gt;Mitarbeiter!$F$45),0,IF(Planung!CU47="",$C47,IF(ISNUMBER(Planung!CU47),Planung!CU47,IF(UPPER(Planung!CU47)="H",$C47/2,0)))))))</f>
        <v>0</v>
      </c>
      <c r="CV47" s="27">
        <f>IF($A47="",0,IF(Mitarbeiter!$G$45=FALSE,0,IF(AND(Mitarbeiter!$E$45&lt;&gt;"",CV$5+6&lt;Mitarbeiter!$E$45),0,IF(AND(Mitarbeiter!$F$45&lt;&gt;"",CV$5&gt;Mitarbeiter!$F$45),0,IF(Planung!CV47="",$C47,IF(ISNUMBER(Planung!CV47),Planung!CV47,IF(UPPER(Planung!CV47)="H",$C47/2,0)))))))</f>
        <v>0</v>
      </c>
      <c r="CW47" s="27">
        <f>IF($A47="",0,IF(Mitarbeiter!$G$45=FALSE,0,IF(AND(Mitarbeiter!$E$45&lt;&gt;"",CW$5+6&lt;Mitarbeiter!$E$45),0,IF(AND(Mitarbeiter!$F$45&lt;&gt;"",CW$5&gt;Mitarbeiter!$F$45),0,IF(Planung!CW47="",$C47,IF(ISNUMBER(Planung!CW47),Planung!CW47,IF(UPPER(Planung!CW47)="H",$C47/2,0)))))))</f>
        <v>0</v>
      </c>
      <c r="CX47" s="27">
        <f>IF($A47="",0,IF(Mitarbeiter!$G$45=FALSE,0,IF(AND(Mitarbeiter!$E$45&lt;&gt;"",CX$5+6&lt;Mitarbeiter!$E$45),0,IF(AND(Mitarbeiter!$F$45&lt;&gt;"",CX$5&gt;Mitarbeiter!$F$45),0,IF(Planung!CX47="",$C47,IF(ISNUMBER(Planung!CX47),Planung!CX47,IF(UPPER(Planung!CX47)="H",$C47/2,0)))))))</f>
        <v>0</v>
      </c>
      <c r="CY47" s="27">
        <f>IF($A47="",0,IF(Mitarbeiter!$G$45=FALSE,0,IF(AND(Mitarbeiter!$E$45&lt;&gt;"",CY$5+6&lt;Mitarbeiter!$E$45),0,IF(AND(Mitarbeiter!$F$45&lt;&gt;"",CY$5&gt;Mitarbeiter!$F$45),0,IF(Planung!CY47="",$C47,IF(ISNUMBER(Planung!CY47),Planung!CY47,IF(UPPER(Planung!CY47)="H",$C47/2,0)))))))</f>
        <v>0</v>
      </c>
      <c r="CZ47" s="27">
        <f>IF($A47="",0,IF(Mitarbeiter!$G$45=FALSE,0,IF(AND(Mitarbeiter!$E$45&lt;&gt;"",CZ$5+6&lt;Mitarbeiter!$E$45),0,IF(AND(Mitarbeiter!$F$45&lt;&gt;"",CZ$5&gt;Mitarbeiter!$F$45),0,IF(Planung!CZ47="",$C47,IF(ISNUMBER(Planung!CZ47),Planung!CZ47,IF(UPPER(Planung!CZ47)="H",$C47/2,0)))))))</f>
        <v>0</v>
      </c>
      <c r="DA47" s="27">
        <f>IF($A47="",0,IF(Mitarbeiter!$G$45=FALSE,0,IF(AND(Mitarbeiter!$E$45&lt;&gt;"",DA$5+6&lt;Mitarbeiter!$E$45),0,IF(AND(Mitarbeiter!$F$45&lt;&gt;"",DA$5&gt;Mitarbeiter!$F$45),0,IF(Planung!DA47="",$C47,IF(ISNUMBER(Planung!DA47),Planung!DA47,IF(UPPER(Planung!DA47)="H",$C47/2,0)))))))</f>
        <v>0</v>
      </c>
      <c r="DB47" s="27">
        <f>IF($A47="",0,IF(Mitarbeiter!$G$45=FALSE,0,IF(AND(Mitarbeiter!$E$45&lt;&gt;"",DB$5+6&lt;Mitarbeiter!$E$45),0,IF(AND(Mitarbeiter!$F$45&lt;&gt;"",DB$5&gt;Mitarbeiter!$F$45),0,IF(Planung!DB47="",$C47,IF(ISNUMBER(Planung!DB47),Planung!DB47,IF(UPPER(Planung!DB47)="H",$C47/2,0)))))))</f>
        <v>0</v>
      </c>
      <c r="DC47" s="27">
        <f>IF($A47="",0,IF(Mitarbeiter!$G$45=FALSE,0,IF(AND(Mitarbeiter!$E$45&lt;&gt;"",DC$5+6&lt;Mitarbeiter!$E$45),0,IF(AND(Mitarbeiter!$F$45&lt;&gt;"",DC$5&gt;Mitarbeiter!$F$45),0,IF(Planung!DC47="",$C47,IF(ISNUMBER(Planung!DC47),Planung!DC47,IF(UPPER(Planung!DC47)="H",$C47/2,0)))))))</f>
        <v>0</v>
      </c>
      <c r="DD47" s="27">
        <f>IF($A47="",0,IF(Mitarbeiter!$G$45=FALSE,0,IF(AND(Mitarbeiter!$E$45&lt;&gt;"",DD$5+6&lt;Mitarbeiter!$E$45),0,IF(AND(Mitarbeiter!$F$45&lt;&gt;"",DD$5&gt;Mitarbeiter!$F$45),0,IF(Planung!DD47="",$C47,IF(ISNUMBER(Planung!DD47),Planung!DD47,IF(UPPER(Planung!DD47)="H",$C47/2,0)))))))</f>
        <v>0</v>
      </c>
      <c r="DE47" s="27">
        <f>IF($A47="",0,IF(Mitarbeiter!$G$45=FALSE,0,IF(AND(Mitarbeiter!$E$45&lt;&gt;"",DE$5+6&lt;Mitarbeiter!$E$45),0,IF(AND(Mitarbeiter!$F$45&lt;&gt;"",DE$5&gt;Mitarbeiter!$F$45),0,IF(Planung!DE47="",$C47,IF(ISNUMBER(Planung!DE47),Planung!DE47,IF(UPPER(Planung!DE47)="H",$C47/2,0)))))))</f>
        <v>0</v>
      </c>
      <c r="DF47" s="27">
        <f>IF($A47="",0,IF(Mitarbeiter!$G$45=FALSE,0,IF(AND(Mitarbeiter!$E$45&lt;&gt;"",DF$5+6&lt;Mitarbeiter!$E$45),0,IF(AND(Mitarbeiter!$F$45&lt;&gt;"",DF$5&gt;Mitarbeiter!$F$45),0,IF(Planung!DF47="",$C47,IF(ISNUMBER(Planung!DF47),Planung!DF47,IF(UPPER(Planung!DF47)="H",$C47/2,0)))))))</f>
        <v>0</v>
      </c>
      <c r="DG47" s="27">
        <f>IF($A47="",0,IF(Mitarbeiter!$G$45=FALSE,0,IF(AND(Mitarbeiter!$E$45&lt;&gt;"",DG$5+6&lt;Mitarbeiter!$E$45),0,IF(AND(Mitarbeiter!$F$45&lt;&gt;"",DG$5&gt;Mitarbeiter!$F$45),0,IF(Planung!DG47="",$C47,IF(ISNUMBER(Planung!DG47),Planung!DG47,IF(UPPER(Planung!DG47)="H",$C47/2,0)))))))</f>
        <v>0</v>
      </c>
      <c r="DH47" s="27">
        <f>IF($A47="",0,IF(Mitarbeiter!$G$45=FALSE,0,IF(AND(Mitarbeiter!$E$45&lt;&gt;"",DH$5+6&lt;Mitarbeiter!$E$45),0,IF(AND(Mitarbeiter!$F$45&lt;&gt;"",DH$5&gt;Mitarbeiter!$F$45),0,IF(Planung!DH47="",$C47,IF(ISNUMBER(Planung!DH47),Planung!DH47,IF(UPPER(Planung!DH47)="H",$C47/2,0)))))))</f>
        <v>0</v>
      </c>
      <c r="DI47" s="27">
        <f>IF($A47="",0,IF(Mitarbeiter!$G$45=FALSE,0,IF(AND(Mitarbeiter!$E$45&lt;&gt;"",DI$5+6&lt;Mitarbeiter!$E$45),0,IF(AND(Mitarbeiter!$F$45&lt;&gt;"",DI$5&gt;Mitarbeiter!$F$45),0,IF(Planung!DI47="",$C47,IF(ISNUMBER(Planung!DI47),Planung!DI47,IF(UPPER(Planung!DI47)="H",$C47/2,0)))))))</f>
        <v>0</v>
      </c>
      <c r="DJ47" s="27">
        <f>IF($A47="",0,IF(Mitarbeiter!$G$45=FALSE,0,IF(AND(Mitarbeiter!$E$45&lt;&gt;"",DJ$5+6&lt;Mitarbeiter!$E$45),0,IF(AND(Mitarbeiter!$F$45&lt;&gt;"",DJ$5&gt;Mitarbeiter!$F$45),0,IF(Planung!DJ47="",$C47,IF(ISNUMBER(Planung!DJ47),Planung!DJ47,IF(UPPER(Planung!DJ47)="H",$C47/2,0)))))))</f>
        <v>0</v>
      </c>
      <c r="DK47" s="27">
        <f>IF($A47="",0,IF(Mitarbeiter!$G$45=FALSE,0,IF(AND(Mitarbeiter!$E$45&lt;&gt;"",DK$5+6&lt;Mitarbeiter!$E$45),0,IF(AND(Mitarbeiter!$F$45&lt;&gt;"",DK$5&gt;Mitarbeiter!$F$45),0,IF(Planung!DK47="",$C47,IF(ISNUMBER(Planung!DK47),Planung!DK47,IF(UPPER(Planung!DK47)="H",$C47/2,0)))))))</f>
        <v>0</v>
      </c>
      <c r="DL47" s="27">
        <f>IF($A47="",0,IF(Mitarbeiter!$G$45=FALSE,0,IF(AND(Mitarbeiter!$E$45&lt;&gt;"",DL$5+6&lt;Mitarbeiter!$E$45),0,IF(AND(Mitarbeiter!$F$45&lt;&gt;"",DL$5&gt;Mitarbeiter!$F$45),0,IF(Planung!DL47="",$C47,IF(ISNUMBER(Planung!DL47),Planung!DL47,IF(UPPER(Planung!DL47)="H",$C47/2,0)))))))</f>
        <v>0</v>
      </c>
      <c r="DM47" s="27">
        <f>IF($A47="",0,IF(Mitarbeiter!$G$45=FALSE,0,IF(AND(Mitarbeiter!$E$45&lt;&gt;"",DM$5+6&lt;Mitarbeiter!$E$45),0,IF(AND(Mitarbeiter!$F$45&lt;&gt;"",DM$5&gt;Mitarbeiter!$F$45),0,IF(Planung!DM47="",$C47,IF(ISNUMBER(Planung!DM47),Planung!DM47,IF(UPPER(Planung!DM47)="H",$C47/2,0)))))))</f>
        <v>0</v>
      </c>
      <c r="DN47" s="27">
        <f>IF($A47="",0,IF(Mitarbeiter!$G$45=FALSE,0,IF(AND(Mitarbeiter!$E$45&lt;&gt;"",DN$5+6&lt;Mitarbeiter!$E$45),0,IF(AND(Mitarbeiter!$F$45&lt;&gt;"",DN$5&gt;Mitarbeiter!$F$45),0,IF(Planung!DN47="",$C47,IF(ISNUMBER(Planung!DN47),Planung!DN47,IF(UPPER(Planung!DN47)="H",$C47/2,0)))))))</f>
        <v>0</v>
      </c>
      <c r="DO47" s="27">
        <f>IF($A47="",0,IF(Mitarbeiter!$G$45=FALSE,0,IF(AND(Mitarbeiter!$E$45&lt;&gt;"",DO$5+6&lt;Mitarbeiter!$E$45),0,IF(AND(Mitarbeiter!$F$45&lt;&gt;"",DO$5&gt;Mitarbeiter!$F$45),0,IF(Planung!DO47="",$C47,IF(ISNUMBER(Planung!DO47),Planung!DO47,IF(UPPER(Planung!DO47)="H",$C47/2,0)))))))</f>
        <v>0</v>
      </c>
      <c r="DP47" s="27">
        <f>IF($A47="",0,IF(Mitarbeiter!$G$45=FALSE,0,IF(AND(Mitarbeiter!$E$45&lt;&gt;"",DP$5+6&lt;Mitarbeiter!$E$45),0,IF(AND(Mitarbeiter!$F$45&lt;&gt;"",DP$5&gt;Mitarbeiter!$F$45),0,IF(Planung!DP47="",$C47,IF(ISNUMBER(Planung!DP47),Planung!DP47,IF(UPPER(Planung!DP47)="H",$C47/2,0)))))))</f>
        <v>0</v>
      </c>
      <c r="DQ47" s="27">
        <f>IF($A47="",0,IF(Mitarbeiter!$G$45=FALSE,0,IF(AND(Mitarbeiter!$E$45&lt;&gt;"",DQ$5+6&lt;Mitarbeiter!$E$45),0,IF(AND(Mitarbeiter!$F$45&lt;&gt;"",DQ$5&gt;Mitarbeiter!$F$45),0,IF(Planung!DQ47="",$C47,IF(ISNUMBER(Planung!DQ47),Planung!DQ47,IF(UPPER(Planung!DQ47)="H",$C47/2,0)))))))</f>
        <v>0</v>
      </c>
      <c r="DR47" s="27">
        <f>IF($A47="",0,IF(Mitarbeiter!$G$45=FALSE,0,IF(AND(Mitarbeiter!$E$45&lt;&gt;"",DR$5+6&lt;Mitarbeiter!$E$45),0,IF(AND(Mitarbeiter!$F$45&lt;&gt;"",DR$5&gt;Mitarbeiter!$F$45),0,IF(Planung!DR47="",$C47,IF(ISNUMBER(Planung!DR47),Planung!DR47,IF(UPPER(Planung!DR47)="H",$C47/2,0)))))))</f>
        <v>0</v>
      </c>
      <c r="DS47" s="27">
        <f>IF($A47="",0,IF(Mitarbeiter!$G$45=FALSE,0,IF(AND(Mitarbeiter!$E$45&lt;&gt;"",DS$5+6&lt;Mitarbeiter!$E$45),0,IF(AND(Mitarbeiter!$F$45&lt;&gt;"",DS$5&gt;Mitarbeiter!$F$45),0,IF(Planung!DS47="",$C47,IF(ISNUMBER(Planung!DS47),Planung!DS47,IF(UPPER(Planung!DS47)="H",$C47/2,0)))))))</f>
        <v>0</v>
      </c>
      <c r="DT47" s="27">
        <f>IF($A47="",0,IF(Mitarbeiter!$G$45=FALSE,0,IF(AND(Mitarbeiter!$E$45&lt;&gt;"",DT$5+6&lt;Mitarbeiter!$E$45),0,IF(AND(Mitarbeiter!$F$45&lt;&gt;"",DT$5&gt;Mitarbeiter!$F$45),0,IF(Planung!DT47="",$C47,IF(ISNUMBER(Planung!DT47),Planung!DT47,IF(UPPER(Planung!DT47)="H",$C47/2,0)))))))</f>
        <v>0</v>
      </c>
      <c r="DU47" s="27">
        <f>IF($A47="",0,IF(Mitarbeiter!$G$45=FALSE,0,IF(AND(Mitarbeiter!$E$45&lt;&gt;"",DU$5+6&lt;Mitarbeiter!$E$45),0,IF(AND(Mitarbeiter!$F$45&lt;&gt;"",DU$5&gt;Mitarbeiter!$F$45),0,IF(Planung!DU47="",$C47,IF(ISNUMBER(Planung!DU47),Planung!DU47,IF(UPPER(Planung!DU47)="H",$C47/2,0)))))))</f>
        <v>0</v>
      </c>
      <c r="DV47" s="27">
        <f>IF($A47="",0,IF(Mitarbeiter!$G$45=FALSE,0,IF(AND(Mitarbeiter!$E$45&lt;&gt;"",DV$5+6&lt;Mitarbeiter!$E$45),0,IF(AND(Mitarbeiter!$F$45&lt;&gt;"",DV$5&gt;Mitarbeiter!$F$45),0,IF(Planung!DV47="",$C47,IF(ISNUMBER(Planung!DV47),Planung!DV47,IF(UPPER(Planung!DV47)="H",$C47/2,0)))))))</f>
        <v>0</v>
      </c>
      <c r="DW47" s="27">
        <f>IF($A47="",0,IF(Mitarbeiter!$G$45=FALSE,0,IF(AND(Mitarbeiter!$E$45&lt;&gt;"",DW$5+6&lt;Mitarbeiter!$E$45),0,IF(AND(Mitarbeiter!$F$45&lt;&gt;"",DW$5&gt;Mitarbeiter!$F$45),0,IF(Planung!DW47="",$C47,IF(ISNUMBER(Planung!DW47),Planung!DW47,IF(UPPER(Planung!DW47)="H",$C47/2,0)))))))</f>
        <v>0</v>
      </c>
      <c r="DX47" s="27">
        <f>IF($A47="",0,IF(Mitarbeiter!$G$45=FALSE,0,IF(AND(Mitarbeiter!$E$45&lt;&gt;"",DX$5+6&lt;Mitarbeiter!$E$45),0,IF(AND(Mitarbeiter!$F$45&lt;&gt;"",DX$5&gt;Mitarbeiter!$F$45),0,IF(Planung!DX47="",$C47,IF(ISNUMBER(Planung!DX47),Planung!DX47,IF(UPPER(Planung!DX47)="H",$C47/2,0)))))))</f>
        <v>0</v>
      </c>
      <c r="DY47" s="27">
        <f>IF($A47="",0,IF(Mitarbeiter!$G$45=FALSE,0,IF(AND(Mitarbeiter!$E$45&lt;&gt;"",DY$5+6&lt;Mitarbeiter!$E$45),0,IF(AND(Mitarbeiter!$F$45&lt;&gt;"",DY$5&gt;Mitarbeiter!$F$45),0,IF(Planung!DY47="",$C47,IF(ISNUMBER(Planung!DY47),Planung!DY47,IF(UPPER(Planung!DY47)="H",$C47/2,0)))))))</f>
        <v>0</v>
      </c>
      <c r="DZ47" s="27">
        <f>IF($A47="",0,IF(Mitarbeiter!$G$45=FALSE,0,IF(AND(Mitarbeiter!$E$45&lt;&gt;"",DZ$5+6&lt;Mitarbeiter!$E$45),0,IF(AND(Mitarbeiter!$F$45&lt;&gt;"",DZ$5&gt;Mitarbeiter!$F$45),0,IF(Planung!DZ47="",$C47,IF(ISNUMBER(Planung!DZ47),Planung!DZ47,IF(UPPER(Planung!DZ47)="H",$C47/2,0)))))))</f>
        <v>0</v>
      </c>
      <c r="EA47" s="27">
        <f>IF($A47="",0,IF(Mitarbeiter!$G$45=FALSE,0,IF(AND(Mitarbeiter!$E$45&lt;&gt;"",EA$5+6&lt;Mitarbeiter!$E$45),0,IF(AND(Mitarbeiter!$F$45&lt;&gt;"",EA$5&gt;Mitarbeiter!$F$45),0,IF(Planung!EA47="",$C47,IF(ISNUMBER(Planung!EA47),Planung!EA47,IF(UPPER(Planung!EA47)="H",$C47/2,0)))))))</f>
        <v>0</v>
      </c>
      <c r="EB47" s="27">
        <f>IF($A47="",0,IF(Mitarbeiter!$G$45=FALSE,0,IF(AND(Mitarbeiter!$E$45&lt;&gt;"",EB$5+6&lt;Mitarbeiter!$E$45),0,IF(AND(Mitarbeiter!$F$45&lt;&gt;"",EB$5&gt;Mitarbeiter!$F$45),0,IF(Planung!EB47="",$C47,IF(ISNUMBER(Planung!EB47),Planung!EB47,IF(UPPER(Planung!EB47)="H",$C47/2,0)))))))</f>
        <v>0</v>
      </c>
      <c r="EC47" s="27">
        <f>IF($A47="",0,IF(Mitarbeiter!$G$45=FALSE,0,IF(AND(Mitarbeiter!$E$45&lt;&gt;"",EC$5+6&lt;Mitarbeiter!$E$45),0,IF(AND(Mitarbeiter!$F$45&lt;&gt;"",EC$5&gt;Mitarbeiter!$F$45),0,IF(Planung!EC47="",$C47,IF(ISNUMBER(Planung!EC47),Planung!EC47,IF(UPPER(Planung!EC47)="H",$C47/2,0)))))))</f>
        <v>0</v>
      </c>
      <c r="ED47" s="27">
        <f>IF($A47="",0,IF(Mitarbeiter!$G$45=FALSE,0,IF(AND(Mitarbeiter!$E$45&lt;&gt;"",ED$5+6&lt;Mitarbeiter!$E$45),0,IF(AND(Mitarbeiter!$F$45&lt;&gt;"",ED$5&gt;Mitarbeiter!$F$45),0,IF(Planung!ED47="",$C47,IF(ISNUMBER(Planung!ED47),Planung!ED47,IF(UPPER(Planung!ED47)="H",$C47/2,0)))))))</f>
        <v>0</v>
      </c>
      <c r="EE47" s="27">
        <f>IF($A47="",0,IF(Mitarbeiter!$G$45=FALSE,0,IF(AND(Mitarbeiter!$E$45&lt;&gt;"",EE$5+6&lt;Mitarbeiter!$E$45),0,IF(AND(Mitarbeiter!$F$45&lt;&gt;"",EE$5&gt;Mitarbeiter!$F$45),0,IF(Planung!EE47="",$C47,IF(ISNUMBER(Planung!EE47),Planung!EE47,IF(UPPER(Planung!EE47)="H",$C47/2,0)))))))</f>
        <v>0</v>
      </c>
      <c r="EF47" s="27">
        <f>IF($A47="",0,IF(Mitarbeiter!$G$45=FALSE,0,IF(AND(Mitarbeiter!$E$45&lt;&gt;"",EF$5+6&lt;Mitarbeiter!$E$45),0,IF(AND(Mitarbeiter!$F$45&lt;&gt;"",EF$5&gt;Mitarbeiter!$F$45),0,IF(Planung!EF47="",$C47,IF(ISNUMBER(Planung!EF47),Planung!EF47,IF(UPPER(Planung!EF47)="H",$C47/2,0)))))))</f>
        <v>0</v>
      </c>
      <c r="EG47" s="27">
        <f>IF($A47="",0,IF(Mitarbeiter!$G$45=FALSE,0,IF(AND(Mitarbeiter!$E$45&lt;&gt;"",EG$5+6&lt;Mitarbeiter!$E$45),0,IF(AND(Mitarbeiter!$F$45&lt;&gt;"",EG$5&gt;Mitarbeiter!$F$45),0,IF(Planung!EG47="",$C47,IF(ISNUMBER(Planung!EG47),Planung!EG47,IF(UPPER(Planung!EG47)="H",$C47/2,0)))))))</f>
        <v>0</v>
      </c>
      <c r="EH47" s="27">
        <f>IF($A47="",0,IF(Mitarbeiter!$G$45=FALSE,0,IF(AND(Mitarbeiter!$E$45&lt;&gt;"",EH$5+6&lt;Mitarbeiter!$E$45),0,IF(AND(Mitarbeiter!$F$45&lt;&gt;"",EH$5&gt;Mitarbeiter!$F$45),0,IF(Planung!EH47="",$C47,IF(ISNUMBER(Planung!EH47),Planung!EH47,IF(UPPER(Planung!EH47)="H",$C47/2,0)))))))</f>
        <v>0</v>
      </c>
      <c r="EI47" s="27">
        <f>IF($A47="",0,IF(Mitarbeiter!$G$45=FALSE,0,IF(AND(Mitarbeiter!$E$45&lt;&gt;"",EI$5+6&lt;Mitarbeiter!$E$45),0,IF(AND(Mitarbeiter!$F$45&lt;&gt;"",EI$5&gt;Mitarbeiter!$F$45),0,IF(Planung!EI47="",$C47,IF(ISNUMBER(Planung!EI47),Planung!EI47,IF(UPPER(Planung!EI47)="H",$C47/2,0)))))))</f>
        <v>0</v>
      </c>
      <c r="EJ47" s="27">
        <f>IF($A47="",0,IF(Mitarbeiter!$G$45=FALSE,0,IF(AND(Mitarbeiter!$E$45&lt;&gt;"",EJ$5+6&lt;Mitarbeiter!$E$45),0,IF(AND(Mitarbeiter!$F$45&lt;&gt;"",EJ$5&gt;Mitarbeiter!$F$45),0,IF(Planung!EJ47="",$C47,IF(ISNUMBER(Planung!EJ47),Planung!EJ47,IF(UPPER(Planung!EJ47)="H",$C47/2,0)))))))</f>
        <v>0</v>
      </c>
      <c r="EK47" s="27">
        <f>IF($A47="",0,IF(Mitarbeiter!$G$45=FALSE,0,IF(AND(Mitarbeiter!$E$45&lt;&gt;"",EK$5+6&lt;Mitarbeiter!$E$45),0,IF(AND(Mitarbeiter!$F$45&lt;&gt;"",EK$5&gt;Mitarbeiter!$F$45),0,IF(Planung!EK47="",$C47,IF(ISNUMBER(Planung!EK47),Planung!EK47,IF(UPPER(Planung!EK47)="H",$C47/2,0)))))))</f>
        <v>0</v>
      </c>
      <c r="EL47" s="27">
        <f>IF($A47="",0,IF(Mitarbeiter!$G$45=FALSE,0,IF(AND(Mitarbeiter!$E$45&lt;&gt;"",EL$5+6&lt;Mitarbeiter!$E$45),0,IF(AND(Mitarbeiter!$F$45&lt;&gt;"",EL$5&gt;Mitarbeiter!$F$45),0,IF(Planung!EL47="",$C47,IF(ISNUMBER(Planung!EL47),Planung!EL47,IF(UPPER(Planung!EL47)="H",$C47/2,0)))))))</f>
        <v>0</v>
      </c>
      <c r="EM47" s="27">
        <f>IF($A47="",0,IF(Mitarbeiter!$G$45=FALSE,0,IF(AND(Mitarbeiter!$E$45&lt;&gt;"",EM$5+6&lt;Mitarbeiter!$E$45),0,IF(AND(Mitarbeiter!$F$45&lt;&gt;"",EM$5&gt;Mitarbeiter!$F$45),0,IF(Planung!EM47="",$C47,IF(ISNUMBER(Planung!EM47),Planung!EM47,IF(UPPER(Planung!EM47)="H",$C47/2,0)))))))</f>
        <v>0</v>
      </c>
      <c r="EN47" s="27">
        <f>IF($A47="",0,IF(Mitarbeiter!$G$45=FALSE,0,IF(AND(Mitarbeiter!$E$45&lt;&gt;"",EN$5+6&lt;Mitarbeiter!$E$45),0,IF(AND(Mitarbeiter!$F$45&lt;&gt;"",EN$5&gt;Mitarbeiter!$F$45),0,IF(Planung!EN47="",$C47,IF(ISNUMBER(Planung!EN47),Planung!EN47,IF(UPPER(Planung!EN47)="H",$C47/2,0)))))))</f>
        <v>0</v>
      </c>
      <c r="EO47" s="27">
        <f>IF($A47="",0,IF(Mitarbeiter!$G$45=FALSE,0,IF(AND(Mitarbeiter!$E$45&lt;&gt;"",EO$5+6&lt;Mitarbeiter!$E$45),0,IF(AND(Mitarbeiter!$F$45&lt;&gt;"",EO$5&gt;Mitarbeiter!$F$45),0,IF(Planung!EO47="",$C47,IF(ISNUMBER(Planung!EO47),Planung!EO47,IF(UPPER(Planung!EO47)="H",$C47/2,0)))))))</f>
        <v>0</v>
      </c>
      <c r="EP47" s="27">
        <f>IF($A47="",0,IF(Mitarbeiter!$G$45=FALSE,0,IF(AND(Mitarbeiter!$E$45&lt;&gt;"",EP$5+6&lt;Mitarbeiter!$E$45),0,IF(AND(Mitarbeiter!$F$45&lt;&gt;"",EP$5&gt;Mitarbeiter!$F$45),0,IF(Planung!EP47="",$C47,IF(ISNUMBER(Planung!EP47),Planung!EP47,IF(UPPER(Planung!EP47)="H",$C47/2,0)))))))</f>
        <v>0</v>
      </c>
      <c r="EQ47" s="27">
        <f>IF($A47="",0,IF(Mitarbeiter!$G$45=FALSE,0,IF(AND(Mitarbeiter!$E$45&lt;&gt;"",EQ$5+6&lt;Mitarbeiter!$E$45),0,IF(AND(Mitarbeiter!$F$45&lt;&gt;"",EQ$5&gt;Mitarbeiter!$F$45),0,IF(Planung!EQ47="",$C47,IF(ISNUMBER(Planung!EQ47),Planung!EQ47,IF(UPPER(Planung!EQ47)="H",$C47/2,0)))))))</f>
        <v>0</v>
      </c>
      <c r="ER47" s="27">
        <f>IF($A47="",0,IF(Mitarbeiter!$G$45=FALSE,0,IF(AND(Mitarbeiter!$E$45&lt;&gt;"",ER$5+6&lt;Mitarbeiter!$E$45),0,IF(AND(Mitarbeiter!$F$45&lt;&gt;"",ER$5&gt;Mitarbeiter!$F$45),0,IF(Planung!ER47="",$C47,IF(ISNUMBER(Planung!ER47),Planung!ER47,IF(UPPER(Planung!ER47)="H",$C47/2,0)))))))</f>
        <v>0</v>
      </c>
      <c r="ES47" s="27">
        <f>IF($A47="",0,IF(Mitarbeiter!$G$45=FALSE,0,IF(AND(Mitarbeiter!$E$45&lt;&gt;"",ES$5+6&lt;Mitarbeiter!$E$45),0,IF(AND(Mitarbeiter!$F$45&lt;&gt;"",ES$5&gt;Mitarbeiter!$F$45),0,IF(Planung!ES47="",$C47,IF(ISNUMBER(Planung!ES47),Planung!ES47,IF(UPPER(Planung!ES47)="H",$C47/2,0)))))))</f>
        <v>0</v>
      </c>
      <c r="ET47" s="27">
        <f>IF($A47="",0,IF(Mitarbeiter!$G$45=FALSE,0,IF(AND(Mitarbeiter!$E$45&lt;&gt;"",ET$5+6&lt;Mitarbeiter!$E$45),0,IF(AND(Mitarbeiter!$F$45&lt;&gt;"",ET$5&gt;Mitarbeiter!$F$45),0,IF(Planung!ET47="",$C47,IF(ISNUMBER(Planung!ET47),Planung!ET47,IF(UPPER(Planung!ET47)="H",$C47/2,0)))))))</f>
        <v>0</v>
      </c>
      <c r="EU47" s="27">
        <f>IF($A47="",0,IF(Mitarbeiter!$G$45=FALSE,0,IF(AND(Mitarbeiter!$E$45&lt;&gt;"",EU$5+6&lt;Mitarbeiter!$E$45),0,IF(AND(Mitarbeiter!$F$45&lt;&gt;"",EU$5&gt;Mitarbeiter!$F$45),0,IF(Planung!EU47="",$C47,IF(ISNUMBER(Planung!EU47),Planung!EU47,IF(UPPER(Planung!EU47)="H",$C47/2,0)))))))</f>
        <v>0</v>
      </c>
      <c r="EV47" s="27">
        <f>IF($A47="",0,IF(Mitarbeiter!$G$45=FALSE,0,IF(AND(Mitarbeiter!$E$45&lt;&gt;"",EV$5+6&lt;Mitarbeiter!$E$45),0,IF(AND(Mitarbeiter!$F$45&lt;&gt;"",EV$5&gt;Mitarbeiter!$F$45),0,IF(Planung!EV47="",$C47,IF(ISNUMBER(Planung!EV47),Planung!EV47,IF(UPPER(Planung!EV47)="H",$C47/2,0)))))))</f>
        <v>0</v>
      </c>
      <c r="EW47" s="27">
        <f>IF($A47="",0,IF(Mitarbeiter!$G$45=FALSE,0,IF(AND(Mitarbeiter!$E$45&lt;&gt;"",EW$5+6&lt;Mitarbeiter!$E$45),0,IF(AND(Mitarbeiter!$F$45&lt;&gt;"",EW$5&gt;Mitarbeiter!$F$45),0,IF(Planung!EW47="",$C47,IF(ISNUMBER(Planung!EW47),Planung!EW47,IF(UPPER(Planung!EW47)="H",$C47/2,0)))))))</f>
        <v>0</v>
      </c>
      <c r="EX47" s="27">
        <f>IF($A47="",0,IF(Mitarbeiter!$G$45=FALSE,0,IF(AND(Mitarbeiter!$E$45&lt;&gt;"",EX$5+6&lt;Mitarbeiter!$E$45),0,IF(AND(Mitarbeiter!$F$45&lt;&gt;"",EX$5&gt;Mitarbeiter!$F$45),0,IF(Planung!EX47="",$C47,IF(ISNUMBER(Planung!EX47),Planung!EX47,IF(UPPER(Planung!EX47)="H",$C47/2,0)))))))</f>
        <v>0</v>
      </c>
      <c r="EY47" s="27">
        <f>IF($A47="",0,IF(Mitarbeiter!$G$45=FALSE,0,IF(AND(Mitarbeiter!$E$45&lt;&gt;"",EY$5+6&lt;Mitarbeiter!$E$45),0,IF(AND(Mitarbeiter!$F$45&lt;&gt;"",EY$5&gt;Mitarbeiter!$F$45),0,IF(Planung!EY47="",$C47,IF(ISNUMBER(Planung!EY47),Planung!EY47,IF(UPPER(Planung!EY47)="H",$C47/2,0)))))))</f>
        <v>0</v>
      </c>
      <c r="EZ47" s="27">
        <f>IF($A47="",0,IF(Mitarbeiter!$G$45=FALSE,0,IF(AND(Mitarbeiter!$E$45&lt;&gt;"",EZ$5+6&lt;Mitarbeiter!$E$45),0,IF(AND(Mitarbeiter!$F$45&lt;&gt;"",EZ$5&gt;Mitarbeiter!$F$45),0,IF(Planung!EZ47="",$C47,IF(ISNUMBER(Planung!EZ47),Planung!EZ47,IF(UPPER(Planung!EZ47)="H",$C47/2,0)))))))</f>
        <v>0</v>
      </c>
      <c r="FA47" s="27">
        <f>IF($A47="",0,IF(Mitarbeiter!$G$45=FALSE,0,IF(AND(Mitarbeiter!$E$45&lt;&gt;"",FA$5+6&lt;Mitarbeiter!$E$45),0,IF(AND(Mitarbeiter!$F$45&lt;&gt;"",FA$5&gt;Mitarbeiter!$F$45),0,IF(Planung!FA47="",$C47,IF(ISNUMBER(Planung!FA47),Planung!FA47,IF(UPPER(Planung!FA47)="H",$C47/2,0)))))))</f>
        <v>0</v>
      </c>
      <c r="FB47" s="27">
        <f>IF($A47="",0,IF(Mitarbeiter!$G$45=FALSE,0,IF(AND(Mitarbeiter!$E$45&lt;&gt;"",FB$5+6&lt;Mitarbeiter!$E$45),0,IF(AND(Mitarbeiter!$F$45&lt;&gt;"",FB$5&gt;Mitarbeiter!$F$45),0,IF(Planung!FB47="",$C47,IF(ISNUMBER(Planung!FB47),Planung!FB47,IF(UPPER(Planung!FB47)="H",$C47/2,0)))))))</f>
        <v>0</v>
      </c>
      <c r="FC47" s="27">
        <f>IF($A47="",0,IF(Mitarbeiter!$G$45=FALSE,0,IF(AND(Mitarbeiter!$E$45&lt;&gt;"",FC$5+6&lt;Mitarbeiter!$E$45),0,IF(AND(Mitarbeiter!$F$45&lt;&gt;"",FC$5&gt;Mitarbeiter!$F$45),0,IF(Planung!FC47="",$C47,IF(ISNUMBER(Planung!FC47),Planung!FC47,IF(UPPER(Planung!FC47)="H",$C47/2,0)))))))</f>
        <v>0</v>
      </c>
      <c r="FD47" s="27">
        <f>IF($A47="",0,IF(Mitarbeiter!$G$45=FALSE,0,IF(AND(Mitarbeiter!$E$45&lt;&gt;"",FD$5+6&lt;Mitarbeiter!$E$45),0,IF(AND(Mitarbeiter!$F$45&lt;&gt;"",FD$5&gt;Mitarbeiter!$F$45),0,IF(Planung!FD47="",$C47,IF(ISNUMBER(Planung!FD47),Planung!FD47,IF(UPPER(Planung!FD47)="H",$C47/2,0)))))))</f>
        <v>0</v>
      </c>
      <c r="FE47" s="27">
        <f>IF($A47="",0,IF(Mitarbeiter!$G$45=FALSE,0,IF(AND(Mitarbeiter!$E$45&lt;&gt;"",FE$5+6&lt;Mitarbeiter!$E$45),0,IF(AND(Mitarbeiter!$F$45&lt;&gt;"",FE$5&gt;Mitarbeiter!$F$45),0,IF(Planung!FE47="",$C47,IF(ISNUMBER(Planung!FE47),Planung!FE47,IF(UPPER(Planung!FE47)="H",$C47/2,0)))))))</f>
        <v>0</v>
      </c>
      <c r="FF47" s="27">
        <f>IF($A47="",0,IF(Mitarbeiter!$G$45=FALSE,0,IF(AND(Mitarbeiter!$E$45&lt;&gt;"",FF$5+6&lt;Mitarbeiter!$E$45),0,IF(AND(Mitarbeiter!$F$45&lt;&gt;"",FF$5&gt;Mitarbeiter!$F$45),0,IF(Planung!FF47="",$C47,IF(ISNUMBER(Planung!FF47),Planung!FF47,IF(UPPER(Planung!FF47)="H",$C47/2,0)))))))</f>
        <v>0</v>
      </c>
      <c r="FG47" s="27">
        <f>IF($A47="",0,IF(Mitarbeiter!$G$45=FALSE,0,IF(AND(Mitarbeiter!$E$45&lt;&gt;"",FG$5+6&lt;Mitarbeiter!$E$45),0,IF(AND(Mitarbeiter!$F$45&lt;&gt;"",FG$5&gt;Mitarbeiter!$F$45),0,IF(Planung!FG47="",$C47,IF(ISNUMBER(Planung!FG47),Planung!FG47,IF(UPPER(Planung!FG47)="H",$C47/2,0)))))))</f>
        <v>0</v>
      </c>
      <c r="FH47" s="27">
        <f>IF($A47="",0,IF(Mitarbeiter!$G$45=FALSE,0,IF(AND(Mitarbeiter!$E$45&lt;&gt;"",FH$5+6&lt;Mitarbeiter!$E$45),0,IF(AND(Mitarbeiter!$F$45&lt;&gt;"",FH$5&gt;Mitarbeiter!$F$45),0,IF(Planung!FH47="",$C47,IF(ISNUMBER(Planung!FH47),Planung!FH47,IF(UPPER(Planung!FH47)="H",$C47/2,0)))))))</f>
        <v>0</v>
      </c>
      <c r="FI47" s="27">
        <f>IF($A47="",0,IF(Mitarbeiter!$G$45=FALSE,0,IF(AND(Mitarbeiter!$E$45&lt;&gt;"",FI$5+6&lt;Mitarbeiter!$E$45),0,IF(AND(Mitarbeiter!$F$45&lt;&gt;"",FI$5&gt;Mitarbeiter!$F$45),0,IF(Planung!FI47="",$C47,IF(ISNUMBER(Planung!FI47),Planung!FI47,IF(UPPER(Planung!FI47)="H",$C47/2,0)))))))</f>
        <v>0</v>
      </c>
      <c r="FJ47" s="27">
        <f>IF($A47="",0,IF(Mitarbeiter!$G$45=FALSE,0,IF(AND(Mitarbeiter!$E$45&lt;&gt;"",FJ$5+6&lt;Mitarbeiter!$E$45),0,IF(AND(Mitarbeiter!$F$45&lt;&gt;"",FJ$5&gt;Mitarbeiter!$F$45),0,IF(Planung!FJ47="",$C47,IF(ISNUMBER(Planung!FJ47),Planung!FJ47,IF(UPPER(Planung!FJ47)="H",$C47/2,0)))))))</f>
        <v>0</v>
      </c>
      <c r="FK47" s="27">
        <f>IF($A47="",0,IF(Mitarbeiter!$G$45=FALSE,0,IF(AND(Mitarbeiter!$E$45&lt;&gt;"",FK$5+6&lt;Mitarbeiter!$E$45),0,IF(AND(Mitarbeiter!$F$45&lt;&gt;"",FK$5&gt;Mitarbeiter!$F$45),0,IF(Planung!FK47="",$C47,IF(ISNUMBER(Planung!FK47),Planung!FK47,IF(UPPER(Planung!FK47)="H",$C47/2,0)))))))</f>
        <v>0</v>
      </c>
      <c r="FL47" s="27">
        <f>IF($A47="",0,IF(Mitarbeiter!$G$45=FALSE,0,IF(AND(Mitarbeiter!$E$45&lt;&gt;"",FL$5+6&lt;Mitarbeiter!$E$45),0,IF(AND(Mitarbeiter!$F$45&lt;&gt;"",FL$5&gt;Mitarbeiter!$F$45),0,IF(Planung!FL47="",$C47,IF(ISNUMBER(Planung!FL47),Planung!FL47,IF(UPPER(Planung!FL47)="H",$C47/2,0)))))))</f>
        <v>0</v>
      </c>
      <c r="FM47" s="27">
        <f>IF($A47="",0,IF(Mitarbeiter!$G$45=FALSE,0,IF(AND(Mitarbeiter!$E$45&lt;&gt;"",FM$5+6&lt;Mitarbeiter!$E$45),0,IF(AND(Mitarbeiter!$F$45&lt;&gt;"",FM$5&gt;Mitarbeiter!$F$45),0,IF(Planung!FM47="",$C47,IF(ISNUMBER(Planung!FM47),Planung!FM47,IF(UPPER(Planung!FM47)="H",$C47/2,0)))))))</f>
        <v>0</v>
      </c>
      <c r="FN47" s="27">
        <f>IF($A47="",0,IF(Mitarbeiter!$G$45=FALSE,0,IF(AND(Mitarbeiter!$E$45&lt;&gt;"",FN$5+6&lt;Mitarbeiter!$E$45),0,IF(AND(Mitarbeiter!$F$45&lt;&gt;"",FN$5&gt;Mitarbeiter!$F$45),0,IF(Planung!FN47="",$C47,IF(ISNUMBER(Planung!FN47),Planung!FN47,IF(UPPER(Planung!FN47)="H",$C47/2,0)))))))</f>
        <v>0</v>
      </c>
      <c r="FO47" s="27">
        <f>IF($A47="",0,IF(Mitarbeiter!$G$45=FALSE,0,IF(AND(Mitarbeiter!$E$45&lt;&gt;"",FO$5+6&lt;Mitarbeiter!$E$45),0,IF(AND(Mitarbeiter!$F$45&lt;&gt;"",FO$5&gt;Mitarbeiter!$F$45),0,IF(Planung!FO47="",$C47,IF(ISNUMBER(Planung!FO47),Planung!FO47,IF(UPPER(Planung!FO47)="H",$C47/2,0)))))))</f>
        <v>0</v>
      </c>
      <c r="FP47" s="27">
        <f>IF($A47="",0,IF(Mitarbeiter!$G$45=FALSE,0,IF(AND(Mitarbeiter!$E$45&lt;&gt;"",FP$5+6&lt;Mitarbeiter!$E$45),0,IF(AND(Mitarbeiter!$F$45&lt;&gt;"",FP$5&gt;Mitarbeiter!$F$45),0,IF(Planung!FP47="",$C47,IF(ISNUMBER(Planung!FP47),Planung!FP47,IF(UPPER(Planung!FP47)="H",$C47/2,0)))))))</f>
        <v>0</v>
      </c>
      <c r="FQ47" s="27">
        <f>IF($A47="",0,IF(Mitarbeiter!$G$45=FALSE,0,IF(AND(Mitarbeiter!$E$45&lt;&gt;"",FQ$5+6&lt;Mitarbeiter!$E$45),0,IF(AND(Mitarbeiter!$F$45&lt;&gt;"",FQ$5&gt;Mitarbeiter!$F$45),0,IF(Planung!FQ47="",$C47,IF(ISNUMBER(Planung!FQ47),Planung!FQ47,IF(UPPER(Planung!FQ47)="H",$C47/2,0)))))))</f>
        <v>0</v>
      </c>
      <c r="FR47" s="27">
        <f>IF($A47="",0,IF(Mitarbeiter!$G$45=FALSE,0,IF(AND(Mitarbeiter!$E$45&lt;&gt;"",FR$5+6&lt;Mitarbeiter!$E$45),0,IF(AND(Mitarbeiter!$F$45&lt;&gt;"",FR$5&gt;Mitarbeiter!$F$45),0,IF(Planung!FR47="",$C47,IF(ISNUMBER(Planung!FR47),Planung!FR47,IF(UPPER(Planung!FR47)="H",$C47/2,0)))))))</f>
        <v>0</v>
      </c>
      <c r="FS47" s="27">
        <f>IF($A47="",0,IF(Mitarbeiter!$G$45=FALSE,0,IF(AND(Mitarbeiter!$E$45&lt;&gt;"",FS$5+6&lt;Mitarbeiter!$E$45),0,IF(AND(Mitarbeiter!$F$45&lt;&gt;"",FS$5&gt;Mitarbeiter!$F$45),0,IF(Planung!FS47="",$C47,IF(ISNUMBER(Planung!FS47),Planung!FS47,IF(UPPER(Planung!FS47)="H",$C47/2,0)))))))</f>
        <v>0</v>
      </c>
      <c r="FT47" s="27">
        <f>IF($A47="",0,IF(Mitarbeiter!$G$45=FALSE,0,IF(AND(Mitarbeiter!$E$45&lt;&gt;"",FT$5+6&lt;Mitarbeiter!$E$45),0,IF(AND(Mitarbeiter!$F$45&lt;&gt;"",FT$5&gt;Mitarbeiter!$F$45),0,IF(Planung!FT47="",$C47,IF(ISNUMBER(Planung!FT47),Planung!FT47,IF(UPPER(Planung!FT47)="H",$C47/2,0)))))))</f>
        <v>0</v>
      </c>
      <c r="FU47" s="27">
        <f>IF($A47="",0,IF(Mitarbeiter!$G$45=FALSE,0,IF(AND(Mitarbeiter!$E$45&lt;&gt;"",FU$5+6&lt;Mitarbeiter!$E$45),0,IF(AND(Mitarbeiter!$F$45&lt;&gt;"",FU$5&gt;Mitarbeiter!$F$45),0,IF(Planung!FU47="",$C47,IF(ISNUMBER(Planung!FU47),Planung!FU47,IF(UPPER(Planung!FU47)="H",$C47/2,0)))))))</f>
        <v>0</v>
      </c>
      <c r="FV47" s="27">
        <f>IF($A47="",0,IF(Mitarbeiter!$G$45=FALSE,0,IF(AND(Mitarbeiter!$E$45&lt;&gt;"",FV$5+6&lt;Mitarbeiter!$E$45),0,IF(AND(Mitarbeiter!$F$45&lt;&gt;"",FV$5&gt;Mitarbeiter!$F$45),0,IF(Planung!FV47="",$C47,IF(ISNUMBER(Planung!FV47),Planung!FV47,IF(UPPER(Planung!FV47)="H",$C47/2,0)))))))</f>
        <v>0</v>
      </c>
      <c r="FW47" s="27">
        <f>IF($A47="",0,IF(Mitarbeiter!$G$45=FALSE,0,IF(AND(Mitarbeiter!$E$45&lt;&gt;"",FW$5+6&lt;Mitarbeiter!$E$45),0,IF(AND(Mitarbeiter!$F$45&lt;&gt;"",FW$5&gt;Mitarbeiter!$F$45),0,IF(Planung!FW47="",$C47,IF(ISNUMBER(Planung!FW47),Planung!FW47,IF(UPPER(Planung!FW47)="H",$C47/2,0)))))))</f>
        <v>0</v>
      </c>
      <c r="FX47" s="27">
        <f>IF($A47="",0,IF(Mitarbeiter!$G$45=FALSE,0,IF(AND(Mitarbeiter!$E$45&lt;&gt;"",FX$5+6&lt;Mitarbeiter!$E$45),0,IF(AND(Mitarbeiter!$F$45&lt;&gt;"",FX$5&gt;Mitarbeiter!$F$45),0,IF(Planung!FX47="",$C47,IF(ISNUMBER(Planung!FX47),Planung!FX47,IF(UPPER(Planung!FX47)="H",$C47/2,0)))))))</f>
        <v>0</v>
      </c>
      <c r="FY47" s="27">
        <f>IF($A47="",0,IF(Mitarbeiter!$G$45=FALSE,0,IF(AND(Mitarbeiter!$E$45&lt;&gt;"",FY$5+6&lt;Mitarbeiter!$E$45),0,IF(AND(Mitarbeiter!$F$45&lt;&gt;"",FY$5&gt;Mitarbeiter!$F$45),0,IF(Planung!FY47="",$C47,IF(ISNUMBER(Planung!FY47),Planung!FY47,IF(UPPER(Planung!FY47)="H",$C47/2,0)))))))</f>
        <v>0</v>
      </c>
      <c r="FZ47" s="27">
        <f>IF($A47="",0,IF(Mitarbeiter!$G$45=FALSE,0,IF(AND(Mitarbeiter!$E$45&lt;&gt;"",FZ$5+6&lt;Mitarbeiter!$E$45),0,IF(AND(Mitarbeiter!$F$45&lt;&gt;"",FZ$5&gt;Mitarbeiter!$F$45),0,IF(Planung!FZ47="",$C47,IF(ISNUMBER(Planung!FZ47),Planung!FZ47,IF(UPPER(Planung!FZ47)="H",$C47/2,0)))))))</f>
        <v>0</v>
      </c>
      <c r="GA47" s="27">
        <f>IF($A47="",0,IF(Mitarbeiter!$G$45=FALSE,0,IF(AND(Mitarbeiter!$E$45&lt;&gt;"",GA$5+6&lt;Mitarbeiter!$E$45),0,IF(AND(Mitarbeiter!$F$45&lt;&gt;"",GA$5&gt;Mitarbeiter!$F$45),0,IF(Planung!GA47="",$C47,IF(ISNUMBER(Planung!GA47),Planung!GA47,IF(UPPER(Planung!GA47)="H",$C47/2,0)))))))</f>
        <v>0</v>
      </c>
      <c r="GB47" s="27">
        <f>IF($A47="",0,IF(Mitarbeiter!$G$45=FALSE,0,IF(AND(Mitarbeiter!$E$45&lt;&gt;"",GB$5+6&lt;Mitarbeiter!$E$45),0,IF(AND(Mitarbeiter!$F$45&lt;&gt;"",GB$5&gt;Mitarbeiter!$F$45),0,IF(Planung!GB47="",$C47,IF(ISNUMBER(Planung!GB47),Planung!GB47,IF(UPPER(Planung!GB47)="H",$C47/2,0)))))))</f>
        <v>0</v>
      </c>
      <c r="GC47" s="27">
        <f>IF($A47="",0,IF(Mitarbeiter!$G$45=FALSE,0,IF(AND(Mitarbeiter!$E$45&lt;&gt;"",GC$5+6&lt;Mitarbeiter!$E$45),0,IF(AND(Mitarbeiter!$F$45&lt;&gt;"",GC$5&gt;Mitarbeiter!$F$45),0,IF(Planung!GC47="",$C47,IF(ISNUMBER(Planung!GC47),Planung!GC47,IF(UPPER(Planung!GC47)="H",$C47/2,0)))))))</f>
        <v>0</v>
      </c>
      <c r="GD47" s="27">
        <f>IF($A47="",0,IF(Mitarbeiter!$G$45=FALSE,0,IF(AND(Mitarbeiter!$E$45&lt;&gt;"",GD$5+6&lt;Mitarbeiter!$E$45),0,IF(AND(Mitarbeiter!$F$45&lt;&gt;"",GD$5&gt;Mitarbeiter!$F$45),0,IF(Planung!GD47="",$C47,IF(ISNUMBER(Planung!GD47),Planung!GD47,IF(UPPER(Planung!GD47)="H",$C47/2,0)))))))</f>
        <v>0</v>
      </c>
      <c r="GE47" s="27">
        <f>IF($A47="",0,IF(Mitarbeiter!$G$45=FALSE,0,IF(AND(Mitarbeiter!$E$45&lt;&gt;"",GE$5+6&lt;Mitarbeiter!$E$45),0,IF(AND(Mitarbeiter!$F$45&lt;&gt;"",GE$5&gt;Mitarbeiter!$F$45),0,IF(Planung!GE47="",$C47,IF(ISNUMBER(Planung!GE47),Planung!GE47,IF(UPPER(Planung!GE47)="H",$C47/2,0)))))))</f>
        <v>0</v>
      </c>
      <c r="GF47" s="27">
        <f>IF($A47="",0,IF(Mitarbeiter!$G$45=FALSE,0,IF(AND(Mitarbeiter!$E$45&lt;&gt;"",GF$5+6&lt;Mitarbeiter!$E$45),0,IF(AND(Mitarbeiter!$F$45&lt;&gt;"",GF$5&gt;Mitarbeiter!$F$45),0,IF(Planung!GF47="",$C47,IF(ISNUMBER(Planung!GF47),Planung!GF47,IF(UPPER(Planung!GF47)="H",$C47/2,0)))))))</f>
        <v>0</v>
      </c>
      <c r="GG47" s="27">
        <f>IF($A47="",0,IF(Mitarbeiter!$G$45=FALSE,0,IF(AND(Mitarbeiter!$E$45&lt;&gt;"",GG$5+6&lt;Mitarbeiter!$E$45),0,IF(AND(Mitarbeiter!$F$45&lt;&gt;"",GG$5&gt;Mitarbeiter!$F$45),0,IF(Planung!GG47="",$C47,IF(ISNUMBER(Planung!GG47),Planung!GG47,IF(UPPER(Planung!GG47)="H",$C47/2,0)))))))</f>
        <v>0</v>
      </c>
      <c r="GH47" s="27">
        <f>IF($A47="",0,IF(Mitarbeiter!$G$45=FALSE,0,IF(AND(Mitarbeiter!$E$45&lt;&gt;"",GH$5+6&lt;Mitarbeiter!$E$45),0,IF(AND(Mitarbeiter!$F$45&lt;&gt;"",GH$5&gt;Mitarbeiter!$F$45),0,IF(Planung!GH47="",$C47,IF(ISNUMBER(Planung!GH47),Planung!GH47,IF(UPPER(Planung!GH47)="H",$C47/2,0)))))))</f>
        <v>0</v>
      </c>
      <c r="GI47" s="27">
        <f>IF($A47="",0,IF(Mitarbeiter!$G$45=FALSE,0,IF(AND(Mitarbeiter!$E$45&lt;&gt;"",GI$5+6&lt;Mitarbeiter!$E$45),0,IF(AND(Mitarbeiter!$F$45&lt;&gt;"",GI$5&gt;Mitarbeiter!$F$45),0,IF(Planung!GI47="",$C47,IF(ISNUMBER(Planung!GI47),Planung!GI47,IF(UPPER(Planung!GI47)="H",$C47/2,0)))))))</f>
        <v>0</v>
      </c>
      <c r="GJ47" s="27">
        <f>IF($A47="",0,IF(Mitarbeiter!$G$45=FALSE,0,IF(AND(Mitarbeiter!$E$45&lt;&gt;"",GJ$5+6&lt;Mitarbeiter!$E$45),0,IF(AND(Mitarbeiter!$F$45&lt;&gt;"",GJ$5&gt;Mitarbeiter!$F$45),0,IF(Planung!GJ47="",$C47,IF(ISNUMBER(Planung!GJ47),Planung!GJ47,IF(UPPER(Planung!GJ47)="H",$C47/2,0)))))))</f>
        <v>0</v>
      </c>
      <c r="GK47" s="27">
        <f>IF($A47="",0,IF(Mitarbeiter!$G$45=FALSE,0,IF(AND(Mitarbeiter!$E$45&lt;&gt;"",GK$5+6&lt;Mitarbeiter!$E$45),0,IF(AND(Mitarbeiter!$F$45&lt;&gt;"",GK$5&gt;Mitarbeiter!$F$45),0,IF(Planung!GK47="",$C47,IF(ISNUMBER(Planung!GK47),Planung!GK47,IF(UPPER(Planung!GK47)="H",$C47/2,0)))))))</f>
        <v>0</v>
      </c>
      <c r="GL47" s="27">
        <f>IF($A47="",0,IF(Mitarbeiter!$G$45=FALSE,0,IF(AND(Mitarbeiter!$E$45&lt;&gt;"",GL$5+6&lt;Mitarbeiter!$E$45),0,IF(AND(Mitarbeiter!$F$45&lt;&gt;"",GL$5&gt;Mitarbeiter!$F$45),0,IF(Planung!GL47="",$C47,IF(ISNUMBER(Planung!GL47),Planung!GL47,IF(UPPER(Planung!GL47)="H",$C47/2,0)))))))</f>
        <v>0</v>
      </c>
      <c r="GM47" s="27">
        <f>IF($A47="",0,IF(Mitarbeiter!$G$45=FALSE,0,IF(AND(Mitarbeiter!$E$45&lt;&gt;"",GM$5+6&lt;Mitarbeiter!$E$45),0,IF(AND(Mitarbeiter!$F$45&lt;&gt;"",GM$5&gt;Mitarbeiter!$F$45),0,IF(Planung!GM47="",$C47,IF(ISNUMBER(Planung!GM47),Planung!GM47,IF(UPPER(Planung!GM47)="H",$C47/2,0)))))))</f>
        <v>0</v>
      </c>
      <c r="GN47" s="27">
        <f>IF($A47="",0,IF(Mitarbeiter!$G$45=FALSE,0,IF(AND(Mitarbeiter!$E$45&lt;&gt;"",GN$5+6&lt;Mitarbeiter!$E$45),0,IF(AND(Mitarbeiter!$F$45&lt;&gt;"",GN$5&gt;Mitarbeiter!$F$45),0,IF(Planung!GN47="",$C47,IF(ISNUMBER(Planung!GN47),Planung!GN47,IF(UPPER(Planung!GN47)="H",$C47/2,0)))))))</f>
        <v>0</v>
      </c>
      <c r="GO47" s="27">
        <f>IF($A47="",0,IF(Mitarbeiter!$G$45=FALSE,0,IF(AND(Mitarbeiter!$E$45&lt;&gt;"",GO$5+6&lt;Mitarbeiter!$E$45),0,IF(AND(Mitarbeiter!$F$45&lt;&gt;"",GO$5&gt;Mitarbeiter!$F$45),0,IF(Planung!GO47="",$C47,IF(ISNUMBER(Planung!GO47),Planung!GO47,IF(UPPER(Planung!GO47)="H",$C47/2,0)))))))</f>
        <v>0</v>
      </c>
      <c r="GP47" s="27">
        <f>IF($A47="",0,IF(Mitarbeiter!$G$45=FALSE,0,IF(AND(Mitarbeiter!$E$45&lt;&gt;"",GP$5+6&lt;Mitarbeiter!$E$45),0,IF(AND(Mitarbeiter!$F$45&lt;&gt;"",GP$5&gt;Mitarbeiter!$F$45),0,IF(Planung!GP47="",$C47,IF(ISNUMBER(Planung!GP47),Planung!GP47,IF(UPPER(Planung!GP47)="H",$C47/2,0)))))))</f>
        <v>0</v>
      </c>
      <c r="GQ47" s="27">
        <f>IF($A47="",0,IF(Mitarbeiter!$G$45=FALSE,0,IF(AND(Mitarbeiter!$E$45&lt;&gt;"",GQ$5+6&lt;Mitarbeiter!$E$45),0,IF(AND(Mitarbeiter!$F$45&lt;&gt;"",GQ$5&gt;Mitarbeiter!$F$45),0,IF(Planung!GQ47="",$C47,IF(ISNUMBER(Planung!GQ47),Planung!GQ47,IF(UPPER(Planung!GQ47)="H",$C47/2,0)))))))</f>
        <v>0</v>
      </c>
      <c r="GR47" s="27">
        <f>IF($A47="",0,IF(Mitarbeiter!$G$45=FALSE,0,IF(AND(Mitarbeiter!$E$45&lt;&gt;"",GR$5+6&lt;Mitarbeiter!$E$45),0,IF(AND(Mitarbeiter!$F$45&lt;&gt;"",GR$5&gt;Mitarbeiter!$F$45),0,IF(Planung!GR47="",$C47,IF(ISNUMBER(Planung!GR47),Planung!GR47,IF(UPPER(Planung!GR47)="H",$C47/2,0)))))))</f>
        <v>0</v>
      </c>
      <c r="GS47" s="27">
        <f>IF($A47="",0,IF(Mitarbeiter!$G$45=FALSE,0,IF(AND(Mitarbeiter!$E$45&lt;&gt;"",GS$5+6&lt;Mitarbeiter!$E$45),0,IF(AND(Mitarbeiter!$F$45&lt;&gt;"",GS$5&gt;Mitarbeiter!$F$45),0,IF(Planung!GS47="",$C47,IF(ISNUMBER(Planung!GS47),Planung!GS47,IF(UPPER(Planung!GS47)="H",$C47/2,0)))))))</f>
        <v>0</v>
      </c>
      <c r="GT47" s="27">
        <f>IF($A47="",0,IF(Mitarbeiter!$G$45=FALSE,0,IF(AND(Mitarbeiter!$E$45&lt;&gt;"",GT$5+6&lt;Mitarbeiter!$E$45),0,IF(AND(Mitarbeiter!$F$45&lt;&gt;"",GT$5&gt;Mitarbeiter!$F$45),0,IF(Planung!GT47="",$C47,IF(ISNUMBER(Planung!GT47),Planung!GT47,IF(UPPER(Planung!GT47)="H",$C47/2,0)))))))</f>
        <v>0</v>
      </c>
      <c r="GU47" s="27">
        <f>IF($A47="",0,IF(Mitarbeiter!$G$45=FALSE,0,IF(AND(Mitarbeiter!$E$45&lt;&gt;"",GU$5+6&lt;Mitarbeiter!$E$45),0,IF(AND(Mitarbeiter!$F$45&lt;&gt;"",GU$5&gt;Mitarbeiter!$F$45),0,IF(Planung!GU47="",$C47,IF(ISNUMBER(Planung!GU47),Planung!GU47,IF(UPPER(Planung!GU47)="H",$C47/2,0)))))))</f>
        <v>0</v>
      </c>
      <c r="GV47" s="27">
        <f>IF($A47="",0,IF(Mitarbeiter!$G$45=FALSE,0,IF(AND(Mitarbeiter!$E$45&lt;&gt;"",GV$5+6&lt;Mitarbeiter!$E$45),0,IF(AND(Mitarbeiter!$F$45&lt;&gt;"",GV$5&gt;Mitarbeiter!$F$45),0,IF(Planung!GV47="",$C47,IF(ISNUMBER(Planung!GV47),Planung!GV47,IF(UPPER(Planung!GV47)="H",$C47/2,0)))))))</f>
        <v>0</v>
      </c>
      <c r="GW47" s="27">
        <f>IF($A47="",0,IF(Mitarbeiter!$G$45=FALSE,0,IF(AND(Mitarbeiter!$E$45&lt;&gt;"",GW$5+6&lt;Mitarbeiter!$E$45),0,IF(AND(Mitarbeiter!$F$45&lt;&gt;"",GW$5&gt;Mitarbeiter!$F$45),0,IF(Planung!GW47="",$C47,IF(ISNUMBER(Planung!GW47),Planung!GW47,IF(UPPER(Planung!GW47)="H",$C47/2,0)))))))</f>
        <v>0</v>
      </c>
      <c r="GX47" s="27">
        <f>IF($A47="",0,IF(Mitarbeiter!$G$45=FALSE,0,IF(AND(Mitarbeiter!$E$45&lt;&gt;"",GX$5+6&lt;Mitarbeiter!$E$45),0,IF(AND(Mitarbeiter!$F$45&lt;&gt;"",GX$5&gt;Mitarbeiter!$F$45),0,IF(Planung!GX47="",$C47,IF(ISNUMBER(Planung!GX47),Planung!GX47,IF(UPPER(Planung!GX47)="H",$C47/2,0)))))))</f>
        <v>0</v>
      </c>
      <c r="GY47" s="27">
        <f>IF($A47="",0,IF(Mitarbeiter!$G$45=FALSE,0,IF(AND(Mitarbeiter!$E$45&lt;&gt;"",GY$5+6&lt;Mitarbeiter!$E$45),0,IF(AND(Mitarbeiter!$F$45&lt;&gt;"",GY$5&gt;Mitarbeiter!$F$45),0,IF(Planung!GY47="",$C47,IF(ISNUMBER(Planung!GY47),Planung!GY47,IF(UPPER(Planung!GY47)="H",$C47/2,0)))))))</f>
        <v>0</v>
      </c>
      <c r="GZ47" s="27">
        <f>IF($A47="",0,IF(Mitarbeiter!$G$45=FALSE,0,IF(AND(Mitarbeiter!$E$45&lt;&gt;"",GZ$5+6&lt;Mitarbeiter!$E$45),0,IF(AND(Mitarbeiter!$F$45&lt;&gt;"",GZ$5&gt;Mitarbeiter!$F$45),0,IF(Planung!GZ47="",$C47,IF(ISNUMBER(Planung!GZ47),Planung!GZ47,IF(UPPER(Planung!GZ47)="H",$C47/2,0)))))))</f>
        <v>0</v>
      </c>
      <c r="HA47" s="27">
        <f>IF($A47="",0,IF(Mitarbeiter!$G$45=FALSE,0,IF(AND(Mitarbeiter!$E$45&lt;&gt;"",HA$5+6&lt;Mitarbeiter!$E$45),0,IF(AND(Mitarbeiter!$F$45&lt;&gt;"",HA$5&gt;Mitarbeiter!$F$45),0,IF(Planung!HA47="",$C47,IF(ISNUMBER(Planung!HA47),Planung!HA47,IF(UPPER(Planung!HA47)="H",$C47/2,0)))))))</f>
        <v>0</v>
      </c>
      <c r="HB47" s="27">
        <f>IF($A47="",0,IF(Mitarbeiter!$G$45=FALSE,0,IF(AND(Mitarbeiter!$E$45&lt;&gt;"",HB$5+6&lt;Mitarbeiter!$E$45),0,IF(AND(Mitarbeiter!$F$45&lt;&gt;"",HB$5&gt;Mitarbeiter!$F$45),0,IF(Planung!HB47="",$C47,IF(ISNUMBER(Planung!HB47),Planung!HB47,IF(UPPER(Planung!HB47)="H",$C47/2,0)))))))</f>
        <v>0</v>
      </c>
      <c r="HC47" s="27">
        <f>IF($A47="",0,IF(Mitarbeiter!$G$45=FALSE,0,IF(AND(Mitarbeiter!$E$45&lt;&gt;"",HC$5+6&lt;Mitarbeiter!$E$45),0,IF(AND(Mitarbeiter!$F$45&lt;&gt;"",HC$5&gt;Mitarbeiter!$F$45),0,IF(Planung!HC47="",$C47,IF(ISNUMBER(Planung!HC47),Planung!HC47,IF(UPPER(Planung!HC47)="H",$C47/2,0)))))))</f>
        <v>0</v>
      </c>
      <c r="HD47" s="27">
        <f>IF($A47="",0,IF(Mitarbeiter!$G$45=FALSE,0,IF(AND(Mitarbeiter!$E$45&lt;&gt;"",HD$5+6&lt;Mitarbeiter!$E$45),0,IF(AND(Mitarbeiter!$F$45&lt;&gt;"",HD$5&gt;Mitarbeiter!$F$45),0,IF(Planung!HD47="",$C47,IF(ISNUMBER(Planung!HD47),Planung!HD47,IF(UPPER(Planung!HD47)="H",$C47/2,0)))))))</f>
        <v>0</v>
      </c>
      <c r="HE47" s="27">
        <f>IF($A47="",0,IF(Mitarbeiter!$G$45=FALSE,0,IF(AND(Mitarbeiter!$E$45&lt;&gt;"",HE$5+6&lt;Mitarbeiter!$E$45),0,IF(AND(Mitarbeiter!$F$45&lt;&gt;"",HE$5&gt;Mitarbeiter!$F$45),0,IF(Planung!HE47="",$C47,IF(ISNUMBER(Planung!HE47),Planung!HE47,IF(UPPER(Planung!HE47)="H",$C47/2,0)))))))</f>
        <v>0</v>
      </c>
      <c r="HF47" s="27">
        <f>IF($A47="",0,IF(Mitarbeiter!$G$45=FALSE,0,IF(AND(Mitarbeiter!$E$45&lt;&gt;"",HF$5+6&lt;Mitarbeiter!$E$45),0,IF(AND(Mitarbeiter!$F$45&lt;&gt;"",HF$5&gt;Mitarbeiter!$F$45),0,IF(Planung!HF47="",$C47,IF(ISNUMBER(Planung!HF47),Planung!HF47,IF(UPPER(Planung!HF47)="H",$C47/2,0)))))))</f>
        <v>0</v>
      </c>
      <c r="HG47" s="27">
        <f>IF($A47="",0,IF(Mitarbeiter!$G$45=FALSE,0,IF(AND(Mitarbeiter!$E$45&lt;&gt;"",HG$5+6&lt;Mitarbeiter!$E$45),0,IF(AND(Mitarbeiter!$F$45&lt;&gt;"",HG$5&gt;Mitarbeiter!$F$45),0,IF(Planung!HG47="",$C47,IF(ISNUMBER(Planung!HG47),Planung!HG47,IF(UPPER(Planung!HG47)="H",$C47/2,0)))))))</f>
        <v>0</v>
      </c>
      <c r="HH47" s="27">
        <f>IF($A47="",0,IF(Mitarbeiter!$G$45=FALSE,0,IF(AND(Mitarbeiter!$E$45&lt;&gt;"",HH$5+6&lt;Mitarbeiter!$E$45),0,IF(AND(Mitarbeiter!$F$45&lt;&gt;"",HH$5&gt;Mitarbeiter!$F$45),0,IF(Planung!HH47="",$C47,IF(ISNUMBER(Planung!HH47),Planung!HH47,IF(UPPER(Planung!HH47)="H",$C47/2,0)))))))</f>
        <v>0</v>
      </c>
      <c r="HI47" s="27">
        <f>IF($A47="",0,IF(Mitarbeiter!$G$45=FALSE,0,IF(AND(Mitarbeiter!$E$45&lt;&gt;"",HI$5+6&lt;Mitarbeiter!$E$45),0,IF(AND(Mitarbeiter!$F$45&lt;&gt;"",HI$5&gt;Mitarbeiter!$F$45),0,IF(Planung!HI47="",$C47,IF(ISNUMBER(Planung!HI47),Planung!HI47,IF(UPPER(Planung!HI47)="H",$C47/2,0)))))))</f>
        <v>0</v>
      </c>
      <c r="HJ47" s="27">
        <f>IF($A47="",0,IF(Mitarbeiter!$G$45=FALSE,0,IF(AND(Mitarbeiter!$E$45&lt;&gt;"",HJ$5+6&lt;Mitarbeiter!$E$45),0,IF(AND(Mitarbeiter!$F$45&lt;&gt;"",HJ$5&gt;Mitarbeiter!$F$45),0,IF(Planung!HJ47="",$C47,IF(ISNUMBER(Planung!HJ47),Planung!HJ47,IF(UPPER(Planung!HJ47)="H",$C47/2,0)))))))</f>
        <v>0</v>
      </c>
      <c r="HK47" s="27">
        <f>IF($A47="",0,IF(Mitarbeiter!$G$45=FALSE,0,IF(AND(Mitarbeiter!$E$45&lt;&gt;"",HK$5+6&lt;Mitarbeiter!$E$45),0,IF(AND(Mitarbeiter!$F$45&lt;&gt;"",HK$5&gt;Mitarbeiter!$F$45),0,IF(Planung!HK47="",$C47,IF(ISNUMBER(Planung!HK47),Planung!HK47,IF(UPPER(Planung!HK47)="H",$C47/2,0)))))))</f>
        <v>0</v>
      </c>
      <c r="HL47" s="27">
        <f>IF($A47="",0,IF(Mitarbeiter!$G$45=FALSE,0,IF(AND(Mitarbeiter!$E$45&lt;&gt;"",HL$5+6&lt;Mitarbeiter!$E$45),0,IF(AND(Mitarbeiter!$F$45&lt;&gt;"",HL$5&gt;Mitarbeiter!$F$45),0,IF(Planung!HL47="",$C47,IF(ISNUMBER(Planung!HL47),Planung!HL47,IF(UPPER(Planung!HL47)="H",$C47/2,0)))))))</f>
        <v>0</v>
      </c>
      <c r="HM47" s="27">
        <f>IF($A47="",0,IF(Mitarbeiter!$G$45=FALSE,0,IF(AND(Mitarbeiter!$E$45&lt;&gt;"",HM$5+6&lt;Mitarbeiter!$E$45),0,IF(AND(Mitarbeiter!$F$45&lt;&gt;"",HM$5&gt;Mitarbeiter!$F$45),0,IF(Planung!HM47="",$C47,IF(ISNUMBER(Planung!HM47),Planung!HM47,IF(UPPER(Planung!HM47)="H",$C47/2,0)))))))</f>
        <v>0</v>
      </c>
      <c r="HN47" s="27">
        <f>IF($A47="",0,IF(Mitarbeiter!$G$45=FALSE,0,IF(AND(Mitarbeiter!$E$45&lt;&gt;"",HN$5+6&lt;Mitarbeiter!$E$45),0,IF(AND(Mitarbeiter!$F$45&lt;&gt;"",HN$5&gt;Mitarbeiter!$F$45),0,IF(Planung!HN47="",$C47,IF(ISNUMBER(Planung!HN47),Planung!HN47,IF(UPPER(Planung!HN47)="H",$C47/2,0)))))))</f>
        <v>0</v>
      </c>
      <c r="HO47" s="27">
        <f>IF($A47="",0,IF(Mitarbeiter!$G$45=FALSE,0,IF(AND(Mitarbeiter!$E$45&lt;&gt;"",HO$5+6&lt;Mitarbeiter!$E$45),0,IF(AND(Mitarbeiter!$F$45&lt;&gt;"",HO$5&gt;Mitarbeiter!$F$45),0,IF(Planung!HO47="",$C47,IF(ISNUMBER(Planung!HO47),Planung!HO47,IF(UPPER(Planung!HO47)="H",$C47/2,0)))))))</f>
        <v>0</v>
      </c>
      <c r="HP47" s="27">
        <f>IF($A47="",0,IF(Mitarbeiter!$G$45=FALSE,0,IF(AND(Mitarbeiter!$E$45&lt;&gt;"",HP$5+6&lt;Mitarbeiter!$E$45),0,IF(AND(Mitarbeiter!$F$45&lt;&gt;"",HP$5&gt;Mitarbeiter!$F$45),0,IF(Planung!HP47="",$C47,IF(ISNUMBER(Planung!HP47),Planung!HP47,IF(UPPER(Planung!HP47)="H",$C47/2,0)))))))</f>
        <v>0</v>
      </c>
      <c r="HQ47" s="27">
        <f>IF($A47="",0,IF(Mitarbeiter!$G$45=FALSE,0,IF(AND(Mitarbeiter!$E$45&lt;&gt;"",HQ$5+6&lt;Mitarbeiter!$E$45),0,IF(AND(Mitarbeiter!$F$45&lt;&gt;"",HQ$5&gt;Mitarbeiter!$F$45),0,IF(Planung!HQ47="",$C47,IF(ISNUMBER(Planung!HQ47),Planung!HQ47,IF(UPPER(Planung!HQ47)="H",$C47/2,0)))))))</f>
        <v>0</v>
      </c>
      <c r="HR47" s="27">
        <f>IF($A47="",0,IF(Mitarbeiter!$G$45=FALSE,0,IF(AND(Mitarbeiter!$E$45&lt;&gt;"",HR$5+6&lt;Mitarbeiter!$E$45),0,IF(AND(Mitarbeiter!$F$45&lt;&gt;"",HR$5&gt;Mitarbeiter!$F$45),0,IF(Planung!HR47="",$C47,IF(ISNUMBER(Planung!HR47),Planung!HR47,IF(UPPER(Planung!HR47)="H",$C47/2,0)))))))</f>
        <v>0</v>
      </c>
      <c r="HS47" s="27">
        <f>IF($A47="",0,IF(Mitarbeiter!$G$45=FALSE,0,IF(AND(Mitarbeiter!$E$45&lt;&gt;"",HS$5+6&lt;Mitarbeiter!$E$45),0,IF(AND(Mitarbeiter!$F$45&lt;&gt;"",HS$5&gt;Mitarbeiter!$F$45),0,IF(Planung!HS47="",$C47,IF(ISNUMBER(Planung!HS47),Planung!HS47,IF(UPPER(Planung!HS47)="H",$C47/2,0)))))))</f>
        <v>0</v>
      </c>
      <c r="HT47" s="27">
        <f>IF($A47="",0,IF(Mitarbeiter!$G$45=FALSE,0,IF(AND(Mitarbeiter!$E$45&lt;&gt;"",HT$5+6&lt;Mitarbeiter!$E$45),0,IF(AND(Mitarbeiter!$F$45&lt;&gt;"",HT$5&gt;Mitarbeiter!$F$45),0,IF(Planung!HT47="",$C47,IF(ISNUMBER(Planung!HT47),Planung!HT47,IF(UPPER(Planung!HT47)="H",$C47/2,0)))))))</f>
        <v>0</v>
      </c>
      <c r="HU47" s="27">
        <f>IF($A47="",0,IF(Mitarbeiter!$G$45=FALSE,0,IF(AND(Mitarbeiter!$E$45&lt;&gt;"",HU$5+6&lt;Mitarbeiter!$E$45),0,IF(AND(Mitarbeiter!$F$45&lt;&gt;"",HU$5&gt;Mitarbeiter!$F$45),0,IF(Planung!HU47="",$C47,IF(ISNUMBER(Planung!HU47),Planung!HU47,IF(UPPER(Planung!HU47)="H",$C47/2,0)))))))</f>
        <v>0</v>
      </c>
      <c r="HV47" s="27">
        <f>IF($A47="",0,IF(Mitarbeiter!$G$45=FALSE,0,IF(AND(Mitarbeiter!$E$45&lt;&gt;"",HV$5+6&lt;Mitarbeiter!$E$45),0,IF(AND(Mitarbeiter!$F$45&lt;&gt;"",HV$5&gt;Mitarbeiter!$F$45),0,IF(Planung!HV47="",$C47,IF(ISNUMBER(Planung!HV47),Planung!HV47,IF(UPPER(Planung!HV47)="H",$C47/2,0)))))))</f>
        <v>0</v>
      </c>
      <c r="HW47" s="27">
        <f>IF($A47="",0,IF(Mitarbeiter!$G$45=FALSE,0,IF(AND(Mitarbeiter!$E$45&lt;&gt;"",HW$5+6&lt;Mitarbeiter!$E$45),0,IF(AND(Mitarbeiter!$F$45&lt;&gt;"",HW$5&gt;Mitarbeiter!$F$45),0,IF(Planung!HW47="",$C47,IF(ISNUMBER(Planung!HW47),Planung!HW47,IF(UPPER(Planung!HW47)="H",$C47/2,0)))))))</f>
        <v>0</v>
      </c>
      <c r="HX47" s="27">
        <f>IF($A47="",0,IF(Mitarbeiter!$G$45=FALSE,0,IF(AND(Mitarbeiter!$E$45&lt;&gt;"",HX$5+6&lt;Mitarbeiter!$E$45),0,IF(AND(Mitarbeiter!$F$45&lt;&gt;"",HX$5&gt;Mitarbeiter!$F$45),0,IF(Planung!HX47="",$C47,IF(ISNUMBER(Planung!HX47),Planung!HX47,IF(UPPER(Planung!HX47)="H",$C47/2,0)))))))</f>
        <v>0</v>
      </c>
      <c r="HY47" s="27">
        <f>IF($A47="",0,IF(Mitarbeiter!$G$45=FALSE,0,IF(AND(Mitarbeiter!$E$45&lt;&gt;"",HY$5+6&lt;Mitarbeiter!$E$45),0,IF(AND(Mitarbeiter!$F$45&lt;&gt;"",HY$5&gt;Mitarbeiter!$F$45),0,IF(Planung!HY47="",$C47,IF(ISNUMBER(Planung!HY47),Planung!HY47,IF(UPPER(Planung!HY47)="H",$C47/2,0)))))))</f>
        <v>0</v>
      </c>
      <c r="HZ47" s="27">
        <f>IF($A47="",0,IF(Mitarbeiter!$G$45=FALSE,0,IF(AND(Mitarbeiter!$E$45&lt;&gt;"",HZ$5+6&lt;Mitarbeiter!$E$45),0,IF(AND(Mitarbeiter!$F$45&lt;&gt;"",HZ$5&gt;Mitarbeiter!$F$45),0,IF(Planung!HZ47="",$C47,IF(ISNUMBER(Planung!HZ47),Planung!HZ47,IF(UPPER(Planung!HZ47)="H",$C47/2,0)))))))</f>
        <v>0</v>
      </c>
      <c r="IA47" s="27">
        <f>IF($A47="",0,IF(Mitarbeiter!$G$45=FALSE,0,IF(AND(Mitarbeiter!$E$45&lt;&gt;"",IA$5+6&lt;Mitarbeiter!$E$45),0,IF(AND(Mitarbeiter!$F$45&lt;&gt;"",IA$5&gt;Mitarbeiter!$F$45),0,IF(Planung!IA47="",$C47,IF(ISNUMBER(Planung!IA47),Planung!IA47,IF(UPPER(Planung!IA47)="H",$C47/2,0)))))))</f>
        <v>0</v>
      </c>
    </row>
    <row r="48" spans="1:235" x14ac:dyDescent="0.25">
      <c r="A48" s="7" t="str">
        <f>Planung!A48</f>
        <v/>
      </c>
      <c r="B48" s="7" t="str">
        <f>Planung!B48</f>
        <v/>
      </c>
      <c r="C48" s="27">
        <f>N(Mitarbeiter!$D$46)</f>
        <v>0</v>
      </c>
      <c r="D48" s="27">
        <f>IF($A48="",0,IF(Mitarbeiter!$G$46=FALSE,0,IF(AND(Mitarbeiter!$E$46&lt;&gt;"",D$5+6&lt;Mitarbeiter!$E$46),0,IF(AND(Mitarbeiter!$F$46&lt;&gt;"",D$5&gt;Mitarbeiter!$F$46),0,IF(Planung!D48="",$C48,IF(ISNUMBER(Planung!D48),Planung!D48,IF(UPPER(Planung!D48)="H",$C48/2,0)))))))</f>
        <v>0</v>
      </c>
      <c r="E48" s="27">
        <f>IF($A48="",0,IF(Mitarbeiter!$G$46=FALSE,0,IF(AND(Mitarbeiter!$E$46&lt;&gt;"",E$5+6&lt;Mitarbeiter!$E$46),0,IF(AND(Mitarbeiter!$F$46&lt;&gt;"",E$5&gt;Mitarbeiter!$F$46),0,IF(Planung!E48="",$C48,IF(ISNUMBER(Planung!E48),Planung!E48,IF(UPPER(Planung!E48)="H",$C48/2,0)))))))</f>
        <v>0</v>
      </c>
      <c r="F48" s="27">
        <f>IF($A48="",0,IF(Mitarbeiter!$G$46=FALSE,0,IF(AND(Mitarbeiter!$E$46&lt;&gt;"",F$5+6&lt;Mitarbeiter!$E$46),0,IF(AND(Mitarbeiter!$F$46&lt;&gt;"",F$5&gt;Mitarbeiter!$F$46),0,IF(Planung!F48="",$C48,IF(ISNUMBER(Planung!F48),Planung!F48,IF(UPPER(Planung!F48)="H",$C48/2,0)))))))</f>
        <v>0</v>
      </c>
      <c r="G48" s="27">
        <f>IF($A48="",0,IF(Mitarbeiter!$G$46=FALSE,0,IF(AND(Mitarbeiter!$E$46&lt;&gt;"",G$5+6&lt;Mitarbeiter!$E$46),0,IF(AND(Mitarbeiter!$F$46&lt;&gt;"",G$5&gt;Mitarbeiter!$F$46),0,IF(Planung!G48="",$C48,IF(ISNUMBER(Planung!G48),Planung!G48,IF(UPPER(Planung!G48)="H",$C48/2,0)))))))</f>
        <v>0</v>
      </c>
      <c r="H48" s="27">
        <f>IF($A48="",0,IF(Mitarbeiter!$G$46=FALSE,0,IF(AND(Mitarbeiter!$E$46&lt;&gt;"",H$5+6&lt;Mitarbeiter!$E$46),0,IF(AND(Mitarbeiter!$F$46&lt;&gt;"",H$5&gt;Mitarbeiter!$F$46),0,IF(Planung!H48="",$C48,IF(ISNUMBER(Planung!H48),Planung!H48,IF(UPPER(Planung!H48)="H",$C48/2,0)))))))</f>
        <v>0</v>
      </c>
      <c r="I48" s="27">
        <f>IF($A48="",0,IF(Mitarbeiter!$G$46=FALSE,0,IF(AND(Mitarbeiter!$E$46&lt;&gt;"",I$5+6&lt;Mitarbeiter!$E$46),0,IF(AND(Mitarbeiter!$F$46&lt;&gt;"",I$5&gt;Mitarbeiter!$F$46),0,IF(Planung!I48="",$C48,IF(ISNUMBER(Planung!I48),Planung!I48,IF(UPPER(Planung!I48)="H",$C48/2,0)))))))</f>
        <v>0</v>
      </c>
      <c r="J48" s="27">
        <f>IF($A48="",0,IF(Mitarbeiter!$G$46=FALSE,0,IF(AND(Mitarbeiter!$E$46&lt;&gt;"",J$5+6&lt;Mitarbeiter!$E$46),0,IF(AND(Mitarbeiter!$F$46&lt;&gt;"",J$5&gt;Mitarbeiter!$F$46),0,IF(Planung!J48="",$C48,IF(ISNUMBER(Planung!J48),Planung!J48,IF(UPPER(Planung!J48)="H",$C48/2,0)))))))</f>
        <v>0</v>
      </c>
      <c r="K48" s="27">
        <f>IF($A48="",0,IF(Mitarbeiter!$G$46=FALSE,0,IF(AND(Mitarbeiter!$E$46&lt;&gt;"",K$5+6&lt;Mitarbeiter!$E$46),0,IF(AND(Mitarbeiter!$F$46&lt;&gt;"",K$5&gt;Mitarbeiter!$F$46),0,IF(Planung!K48="",$C48,IF(ISNUMBER(Planung!K48),Planung!K48,IF(UPPER(Planung!K48)="H",$C48/2,0)))))))</f>
        <v>0</v>
      </c>
      <c r="L48" s="27">
        <f>IF($A48="",0,IF(Mitarbeiter!$G$46=FALSE,0,IF(AND(Mitarbeiter!$E$46&lt;&gt;"",L$5+6&lt;Mitarbeiter!$E$46),0,IF(AND(Mitarbeiter!$F$46&lt;&gt;"",L$5&gt;Mitarbeiter!$F$46),0,IF(Planung!L48="",$C48,IF(ISNUMBER(Planung!L48),Planung!L48,IF(UPPER(Planung!L48)="H",$C48/2,0)))))))</f>
        <v>0</v>
      </c>
      <c r="M48" s="27">
        <f>IF($A48="",0,IF(Mitarbeiter!$G$46=FALSE,0,IF(AND(Mitarbeiter!$E$46&lt;&gt;"",M$5+6&lt;Mitarbeiter!$E$46),0,IF(AND(Mitarbeiter!$F$46&lt;&gt;"",M$5&gt;Mitarbeiter!$F$46),0,IF(Planung!M48="",$C48,IF(ISNUMBER(Planung!M48),Planung!M48,IF(UPPER(Planung!M48)="H",$C48/2,0)))))))</f>
        <v>0</v>
      </c>
      <c r="N48" s="27">
        <f>IF($A48="",0,IF(Mitarbeiter!$G$46=FALSE,0,IF(AND(Mitarbeiter!$E$46&lt;&gt;"",N$5+6&lt;Mitarbeiter!$E$46),0,IF(AND(Mitarbeiter!$F$46&lt;&gt;"",N$5&gt;Mitarbeiter!$F$46),0,IF(Planung!N48="",$C48,IF(ISNUMBER(Planung!N48),Planung!N48,IF(UPPER(Planung!N48)="H",$C48/2,0)))))))</f>
        <v>0</v>
      </c>
      <c r="O48" s="27">
        <f>IF($A48="",0,IF(Mitarbeiter!$G$46=FALSE,0,IF(AND(Mitarbeiter!$E$46&lt;&gt;"",O$5+6&lt;Mitarbeiter!$E$46),0,IF(AND(Mitarbeiter!$F$46&lt;&gt;"",O$5&gt;Mitarbeiter!$F$46),0,IF(Planung!O48="",$C48,IF(ISNUMBER(Planung!O48),Planung!O48,IF(UPPER(Planung!O48)="H",$C48/2,0)))))))</f>
        <v>0</v>
      </c>
      <c r="P48" s="27">
        <f>IF($A48="",0,IF(Mitarbeiter!$G$46=FALSE,0,IF(AND(Mitarbeiter!$E$46&lt;&gt;"",P$5+6&lt;Mitarbeiter!$E$46),0,IF(AND(Mitarbeiter!$F$46&lt;&gt;"",P$5&gt;Mitarbeiter!$F$46),0,IF(Planung!P48="",$C48,IF(ISNUMBER(Planung!P48),Planung!P48,IF(UPPER(Planung!P48)="H",$C48/2,0)))))))</f>
        <v>0</v>
      </c>
      <c r="Q48" s="27">
        <f>IF($A48="",0,IF(Mitarbeiter!$G$46=FALSE,0,IF(AND(Mitarbeiter!$E$46&lt;&gt;"",Q$5+6&lt;Mitarbeiter!$E$46),0,IF(AND(Mitarbeiter!$F$46&lt;&gt;"",Q$5&gt;Mitarbeiter!$F$46),0,IF(Planung!Q48="",$C48,IF(ISNUMBER(Planung!Q48),Planung!Q48,IF(UPPER(Planung!Q48)="H",$C48/2,0)))))))</f>
        <v>0</v>
      </c>
      <c r="R48" s="27">
        <f>IF($A48="",0,IF(Mitarbeiter!$G$46=FALSE,0,IF(AND(Mitarbeiter!$E$46&lt;&gt;"",R$5+6&lt;Mitarbeiter!$E$46),0,IF(AND(Mitarbeiter!$F$46&lt;&gt;"",R$5&gt;Mitarbeiter!$F$46),0,IF(Planung!R48="",$C48,IF(ISNUMBER(Planung!R48),Planung!R48,IF(UPPER(Planung!R48)="H",$C48/2,0)))))))</f>
        <v>0</v>
      </c>
      <c r="S48" s="27">
        <f>IF($A48="",0,IF(Mitarbeiter!$G$46=FALSE,0,IF(AND(Mitarbeiter!$E$46&lt;&gt;"",S$5+6&lt;Mitarbeiter!$E$46),0,IF(AND(Mitarbeiter!$F$46&lt;&gt;"",S$5&gt;Mitarbeiter!$F$46),0,IF(Planung!S48="",$C48,IF(ISNUMBER(Planung!S48),Planung!S48,IF(UPPER(Planung!S48)="H",$C48/2,0)))))))</f>
        <v>0</v>
      </c>
      <c r="T48" s="27">
        <f>IF($A48="",0,IF(Mitarbeiter!$G$46=FALSE,0,IF(AND(Mitarbeiter!$E$46&lt;&gt;"",T$5+6&lt;Mitarbeiter!$E$46),0,IF(AND(Mitarbeiter!$F$46&lt;&gt;"",T$5&gt;Mitarbeiter!$F$46),0,IF(Planung!T48="",$C48,IF(ISNUMBER(Planung!T48),Planung!T48,IF(UPPER(Planung!T48)="H",$C48/2,0)))))))</f>
        <v>0</v>
      </c>
      <c r="U48" s="27">
        <f>IF($A48="",0,IF(Mitarbeiter!$G$46=FALSE,0,IF(AND(Mitarbeiter!$E$46&lt;&gt;"",U$5+6&lt;Mitarbeiter!$E$46),0,IF(AND(Mitarbeiter!$F$46&lt;&gt;"",U$5&gt;Mitarbeiter!$F$46),0,IF(Planung!U48="",$C48,IF(ISNUMBER(Planung!U48),Planung!U48,IF(UPPER(Planung!U48)="H",$C48/2,0)))))))</f>
        <v>0</v>
      </c>
      <c r="V48" s="27">
        <f>IF($A48="",0,IF(Mitarbeiter!$G$46=FALSE,0,IF(AND(Mitarbeiter!$E$46&lt;&gt;"",V$5+6&lt;Mitarbeiter!$E$46),0,IF(AND(Mitarbeiter!$F$46&lt;&gt;"",V$5&gt;Mitarbeiter!$F$46),0,IF(Planung!V48="",$C48,IF(ISNUMBER(Planung!V48),Planung!V48,IF(UPPER(Planung!V48)="H",$C48/2,0)))))))</f>
        <v>0</v>
      </c>
      <c r="W48" s="27">
        <f>IF($A48="",0,IF(Mitarbeiter!$G$46=FALSE,0,IF(AND(Mitarbeiter!$E$46&lt;&gt;"",W$5+6&lt;Mitarbeiter!$E$46),0,IF(AND(Mitarbeiter!$F$46&lt;&gt;"",W$5&gt;Mitarbeiter!$F$46),0,IF(Planung!W48="",$C48,IF(ISNUMBER(Planung!W48),Planung!W48,IF(UPPER(Planung!W48)="H",$C48/2,0)))))))</f>
        <v>0</v>
      </c>
      <c r="X48" s="27">
        <f>IF($A48="",0,IF(Mitarbeiter!$G$46=FALSE,0,IF(AND(Mitarbeiter!$E$46&lt;&gt;"",X$5+6&lt;Mitarbeiter!$E$46),0,IF(AND(Mitarbeiter!$F$46&lt;&gt;"",X$5&gt;Mitarbeiter!$F$46),0,IF(Planung!X48="",$C48,IF(ISNUMBER(Planung!X48),Planung!X48,IF(UPPER(Planung!X48)="H",$C48/2,0)))))))</f>
        <v>0</v>
      </c>
      <c r="Y48" s="27">
        <f>IF($A48="",0,IF(Mitarbeiter!$G$46=FALSE,0,IF(AND(Mitarbeiter!$E$46&lt;&gt;"",Y$5+6&lt;Mitarbeiter!$E$46),0,IF(AND(Mitarbeiter!$F$46&lt;&gt;"",Y$5&gt;Mitarbeiter!$F$46),0,IF(Planung!Y48="",$C48,IF(ISNUMBER(Planung!Y48),Planung!Y48,IF(UPPER(Planung!Y48)="H",$C48/2,0)))))))</f>
        <v>0</v>
      </c>
      <c r="Z48" s="27">
        <f>IF($A48="",0,IF(Mitarbeiter!$G$46=FALSE,0,IF(AND(Mitarbeiter!$E$46&lt;&gt;"",Z$5+6&lt;Mitarbeiter!$E$46),0,IF(AND(Mitarbeiter!$F$46&lt;&gt;"",Z$5&gt;Mitarbeiter!$F$46),0,IF(Planung!Z48="",$C48,IF(ISNUMBER(Planung!Z48),Planung!Z48,IF(UPPER(Planung!Z48)="H",$C48/2,0)))))))</f>
        <v>0</v>
      </c>
      <c r="AA48" s="27">
        <f>IF($A48="",0,IF(Mitarbeiter!$G$46=FALSE,0,IF(AND(Mitarbeiter!$E$46&lt;&gt;"",AA$5+6&lt;Mitarbeiter!$E$46),0,IF(AND(Mitarbeiter!$F$46&lt;&gt;"",AA$5&gt;Mitarbeiter!$F$46),0,IF(Planung!AA48="",$C48,IF(ISNUMBER(Planung!AA48),Planung!AA48,IF(UPPER(Planung!AA48)="H",$C48/2,0)))))))</f>
        <v>0</v>
      </c>
      <c r="AB48" s="27">
        <f>IF($A48="",0,IF(Mitarbeiter!$G$46=FALSE,0,IF(AND(Mitarbeiter!$E$46&lt;&gt;"",AB$5+6&lt;Mitarbeiter!$E$46),0,IF(AND(Mitarbeiter!$F$46&lt;&gt;"",AB$5&gt;Mitarbeiter!$F$46),0,IF(Planung!AB48="",$C48,IF(ISNUMBER(Planung!AB48),Planung!AB48,IF(UPPER(Planung!AB48)="H",$C48/2,0)))))))</f>
        <v>0</v>
      </c>
      <c r="AC48" s="27">
        <f>IF($A48="",0,IF(Mitarbeiter!$G$46=FALSE,0,IF(AND(Mitarbeiter!$E$46&lt;&gt;"",AC$5+6&lt;Mitarbeiter!$E$46),0,IF(AND(Mitarbeiter!$F$46&lt;&gt;"",AC$5&gt;Mitarbeiter!$F$46),0,IF(Planung!AC48="",$C48,IF(ISNUMBER(Planung!AC48),Planung!AC48,IF(UPPER(Planung!AC48)="H",$C48/2,0)))))))</f>
        <v>0</v>
      </c>
      <c r="AD48" s="27">
        <f>IF($A48="",0,IF(Mitarbeiter!$G$46=FALSE,0,IF(AND(Mitarbeiter!$E$46&lt;&gt;"",AD$5+6&lt;Mitarbeiter!$E$46),0,IF(AND(Mitarbeiter!$F$46&lt;&gt;"",AD$5&gt;Mitarbeiter!$F$46),0,IF(Planung!AD48="",$C48,IF(ISNUMBER(Planung!AD48),Planung!AD48,IF(UPPER(Planung!AD48)="H",$C48/2,0)))))))</f>
        <v>0</v>
      </c>
      <c r="AE48" s="27">
        <f>IF($A48="",0,IF(Mitarbeiter!$G$46=FALSE,0,IF(AND(Mitarbeiter!$E$46&lt;&gt;"",AE$5+6&lt;Mitarbeiter!$E$46),0,IF(AND(Mitarbeiter!$F$46&lt;&gt;"",AE$5&gt;Mitarbeiter!$F$46),0,IF(Planung!AE48="",$C48,IF(ISNUMBER(Planung!AE48),Planung!AE48,IF(UPPER(Planung!AE48)="H",$C48/2,0)))))))</f>
        <v>0</v>
      </c>
      <c r="AF48" s="27">
        <f>IF($A48="",0,IF(Mitarbeiter!$G$46=FALSE,0,IF(AND(Mitarbeiter!$E$46&lt;&gt;"",AF$5+6&lt;Mitarbeiter!$E$46),0,IF(AND(Mitarbeiter!$F$46&lt;&gt;"",AF$5&gt;Mitarbeiter!$F$46),0,IF(Planung!AF48="",$C48,IF(ISNUMBER(Planung!AF48),Planung!AF48,IF(UPPER(Planung!AF48)="H",$C48/2,0)))))))</f>
        <v>0</v>
      </c>
      <c r="AG48" s="27">
        <f>IF($A48="",0,IF(Mitarbeiter!$G$46=FALSE,0,IF(AND(Mitarbeiter!$E$46&lt;&gt;"",AG$5+6&lt;Mitarbeiter!$E$46),0,IF(AND(Mitarbeiter!$F$46&lt;&gt;"",AG$5&gt;Mitarbeiter!$F$46),0,IF(Planung!AG48="",$C48,IF(ISNUMBER(Planung!AG48),Planung!AG48,IF(UPPER(Planung!AG48)="H",$C48/2,0)))))))</f>
        <v>0</v>
      </c>
      <c r="AH48" s="27">
        <f>IF($A48="",0,IF(Mitarbeiter!$G$46=FALSE,0,IF(AND(Mitarbeiter!$E$46&lt;&gt;"",AH$5+6&lt;Mitarbeiter!$E$46),0,IF(AND(Mitarbeiter!$F$46&lt;&gt;"",AH$5&gt;Mitarbeiter!$F$46),0,IF(Planung!AH48="",$C48,IF(ISNUMBER(Planung!AH48),Planung!AH48,IF(UPPER(Planung!AH48)="H",$C48/2,0)))))))</f>
        <v>0</v>
      </c>
      <c r="AI48" s="27">
        <f>IF($A48="",0,IF(Mitarbeiter!$G$46=FALSE,0,IF(AND(Mitarbeiter!$E$46&lt;&gt;"",AI$5+6&lt;Mitarbeiter!$E$46),0,IF(AND(Mitarbeiter!$F$46&lt;&gt;"",AI$5&gt;Mitarbeiter!$F$46),0,IF(Planung!AI48="",$C48,IF(ISNUMBER(Planung!AI48),Planung!AI48,IF(UPPER(Planung!AI48)="H",$C48/2,0)))))))</f>
        <v>0</v>
      </c>
      <c r="AJ48" s="27">
        <f>IF($A48="",0,IF(Mitarbeiter!$G$46=FALSE,0,IF(AND(Mitarbeiter!$E$46&lt;&gt;"",AJ$5+6&lt;Mitarbeiter!$E$46),0,IF(AND(Mitarbeiter!$F$46&lt;&gt;"",AJ$5&gt;Mitarbeiter!$F$46),0,IF(Planung!AJ48="",$C48,IF(ISNUMBER(Planung!AJ48),Planung!AJ48,IF(UPPER(Planung!AJ48)="H",$C48/2,0)))))))</f>
        <v>0</v>
      </c>
      <c r="AK48" s="27">
        <f>IF($A48="",0,IF(Mitarbeiter!$G$46=FALSE,0,IF(AND(Mitarbeiter!$E$46&lt;&gt;"",AK$5+6&lt;Mitarbeiter!$E$46),0,IF(AND(Mitarbeiter!$F$46&lt;&gt;"",AK$5&gt;Mitarbeiter!$F$46),0,IF(Planung!AK48="",$C48,IF(ISNUMBER(Planung!AK48),Planung!AK48,IF(UPPER(Planung!AK48)="H",$C48/2,0)))))))</f>
        <v>0</v>
      </c>
      <c r="AL48" s="27">
        <f>IF($A48="",0,IF(Mitarbeiter!$G$46=FALSE,0,IF(AND(Mitarbeiter!$E$46&lt;&gt;"",AL$5+6&lt;Mitarbeiter!$E$46),0,IF(AND(Mitarbeiter!$F$46&lt;&gt;"",AL$5&gt;Mitarbeiter!$F$46),0,IF(Planung!AL48="",$C48,IF(ISNUMBER(Planung!AL48),Planung!AL48,IF(UPPER(Planung!AL48)="H",$C48/2,0)))))))</f>
        <v>0</v>
      </c>
      <c r="AM48" s="27">
        <f>IF($A48="",0,IF(Mitarbeiter!$G$46=FALSE,0,IF(AND(Mitarbeiter!$E$46&lt;&gt;"",AM$5+6&lt;Mitarbeiter!$E$46),0,IF(AND(Mitarbeiter!$F$46&lt;&gt;"",AM$5&gt;Mitarbeiter!$F$46),0,IF(Planung!AM48="",$C48,IF(ISNUMBER(Planung!AM48),Planung!AM48,IF(UPPER(Planung!AM48)="H",$C48/2,0)))))))</f>
        <v>0</v>
      </c>
      <c r="AN48" s="27">
        <f>IF($A48="",0,IF(Mitarbeiter!$G$46=FALSE,0,IF(AND(Mitarbeiter!$E$46&lt;&gt;"",AN$5+6&lt;Mitarbeiter!$E$46),0,IF(AND(Mitarbeiter!$F$46&lt;&gt;"",AN$5&gt;Mitarbeiter!$F$46),0,IF(Planung!AN48="",$C48,IF(ISNUMBER(Planung!AN48),Planung!AN48,IF(UPPER(Planung!AN48)="H",$C48/2,0)))))))</f>
        <v>0</v>
      </c>
      <c r="AO48" s="27">
        <f>IF($A48="",0,IF(Mitarbeiter!$G$46=FALSE,0,IF(AND(Mitarbeiter!$E$46&lt;&gt;"",AO$5+6&lt;Mitarbeiter!$E$46),0,IF(AND(Mitarbeiter!$F$46&lt;&gt;"",AO$5&gt;Mitarbeiter!$F$46),0,IF(Planung!AO48="",$C48,IF(ISNUMBER(Planung!AO48),Planung!AO48,IF(UPPER(Planung!AO48)="H",$C48/2,0)))))))</f>
        <v>0</v>
      </c>
      <c r="AP48" s="27">
        <f>IF($A48="",0,IF(Mitarbeiter!$G$46=FALSE,0,IF(AND(Mitarbeiter!$E$46&lt;&gt;"",AP$5+6&lt;Mitarbeiter!$E$46),0,IF(AND(Mitarbeiter!$F$46&lt;&gt;"",AP$5&gt;Mitarbeiter!$F$46),0,IF(Planung!AP48="",$C48,IF(ISNUMBER(Planung!AP48),Planung!AP48,IF(UPPER(Planung!AP48)="H",$C48/2,0)))))))</f>
        <v>0</v>
      </c>
      <c r="AQ48" s="27">
        <f>IF($A48="",0,IF(Mitarbeiter!$G$46=FALSE,0,IF(AND(Mitarbeiter!$E$46&lt;&gt;"",AQ$5+6&lt;Mitarbeiter!$E$46),0,IF(AND(Mitarbeiter!$F$46&lt;&gt;"",AQ$5&gt;Mitarbeiter!$F$46),0,IF(Planung!AQ48="",$C48,IF(ISNUMBER(Planung!AQ48),Planung!AQ48,IF(UPPER(Planung!AQ48)="H",$C48/2,0)))))))</f>
        <v>0</v>
      </c>
      <c r="AR48" s="27">
        <f>IF($A48="",0,IF(Mitarbeiter!$G$46=FALSE,0,IF(AND(Mitarbeiter!$E$46&lt;&gt;"",AR$5+6&lt;Mitarbeiter!$E$46),0,IF(AND(Mitarbeiter!$F$46&lt;&gt;"",AR$5&gt;Mitarbeiter!$F$46),0,IF(Planung!AR48="",$C48,IF(ISNUMBER(Planung!AR48),Planung!AR48,IF(UPPER(Planung!AR48)="H",$C48/2,0)))))))</f>
        <v>0</v>
      </c>
      <c r="AS48" s="27">
        <f>IF($A48="",0,IF(Mitarbeiter!$G$46=FALSE,0,IF(AND(Mitarbeiter!$E$46&lt;&gt;"",AS$5+6&lt;Mitarbeiter!$E$46),0,IF(AND(Mitarbeiter!$F$46&lt;&gt;"",AS$5&gt;Mitarbeiter!$F$46),0,IF(Planung!AS48="",$C48,IF(ISNUMBER(Planung!AS48),Planung!AS48,IF(UPPER(Planung!AS48)="H",$C48/2,0)))))))</f>
        <v>0</v>
      </c>
      <c r="AT48" s="27">
        <f>IF($A48="",0,IF(Mitarbeiter!$G$46=FALSE,0,IF(AND(Mitarbeiter!$E$46&lt;&gt;"",AT$5+6&lt;Mitarbeiter!$E$46),0,IF(AND(Mitarbeiter!$F$46&lt;&gt;"",AT$5&gt;Mitarbeiter!$F$46),0,IF(Planung!AT48="",$C48,IF(ISNUMBER(Planung!AT48),Planung!AT48,IF(UPPER(Planung!AT48)="H",$C48/2,0)))))))</f>
        <v>0</v>
      </c>
      <c r="AU48" s="27">
        <f>IF($A48="",0,IF(Mitarbeiter!$G$46=FALSE,0,IF(AND(Mitarbeiter!$E$46&lt;&gt;"",AU$5+6&lt;Mitarbeiter!$E$46),0,IF(AND(Mitarbeiter!$F$46&lt;&gt;"",AU$5&gt;Mitarbeiter!$F$46),0,IF(Planung!AU48="",$C48,IF(ISNUMBER(Planung!AU48),Planung!AU48,IF(UPPER(Planung!AU48)="H",$C48/2,0)))))))</f>
        <v>0</v>
      </c>
      <c r="AV48" s="27">
        <f>IF($A48="",0,IF(Mitarbeiter!$G$46=FALSE,0,IF(AND(Mitarbeiter!$E$46&lt;&gt;"",AV$5+6&lt;Mitarbeiter!$E$46),0,IF(AND(Mitarbeiter!$F$46&lt;&gt;"",AV$5&gt;Mitarbeiter!$F$46),0,IF(Planung!AV48="",$C48,IF(ISNUMBER(Planung!AV48),Planung!AV48,IF(UPPER(Planung!AV48)="H",$C48/2,0)))))))</f>
        <v>0</v>
      </c>
      <c r="AW48" s="27">
        <f>IF($A48="",0,IF(Mitarbeiter!$G$46=FALSE,0,IF(AND(Mitarbeiter!$E$46&lt;&gt;"",AW$5+6&lt;Mitarbeiter!$E$46),0,IF(AND(Mitarbeiter!$F$46&lt;&gt;"",AW$5&gt;Mitarbeiter!$F$46),0,IF(Planung!AW48="",$C48,IF(ISNUMBER(Planung!AW48),Planung!AW48,IF(UPPER(Planung!AW48)="H",$C48/2,0)))))))</f>
        <v>0</v>
      </c>
      <c r="AX48" s="27">
        <f>IF($A48="",0,IF(Mitarbeiter!$G$46=FALSE,0,IF(AND(Mitarbeiter!$E$46&lt;&gt;"",AX$5+6&lt;Mitarbeiter!$E$46),0,IF(AND(Mitarbeiter!$F$46&lt;&gt;"",AX$5&gt;Mitarbeiter!$F$46),0,IF(Planung!AX48="",$C48,IF(ISNUMBER(Planung!AX48),Planung!AX48,IF(UPPER(Planung!AX48)="H",$C48/2,0)))))))</f>
        <v>0</v>
      </c>
      <c r="AY48" s="27">
        <f>IF($A48="",0,IF(Mitarbeiter!$G$46=FALSE,0,IF(AND(Mitarbeiter!$E$46&lt;&gt;"",AY$5+6&lt;Mitarbeiter!$E$46),0,IF(AND(Mitarbeiter!$F$46&lt;&gt;"",AY$5&gt;Mitarbeiter!$F$46),0,IF(Planung!AY48="",$C48,IF(ISNUMBER(Planung!AY48),Planung!AY48,IF(UPPER(Planung!AY48)="H",$C48/2,0)))))))</f>
        <v>0</v>
      </c>
      <c r="AZ48" s="27">
        <f>IF($A48="",0,IF(Mitarbeiter!$G$46=FALSE,0,IF(AND(Mitarbeiter!$E$46&lt;&gt;"",AZ$5+6&lt;Mitarbeiter!$E$46),0,IF(AND(Mitarbeiter!$F$46&lt;&gt;"",AZ$5&gt;Mitarbeiter!$F$46),0,IF(Planung!AZ48="",$C48,IF(ISNUMBER(Planung!AZ48),Planung!AZ48,IF(UPPER(Planung!AZ48)="H",$C48/2,0)))))))</f>
        <v>0</v>
      </c>
      <c r="BA48" s="27">
        <f>IF($A48="",0,IF(Mitarbeiter!$G$46=FALSE,0,IF(AND(Mitarbeiter!$E$46&lt;&gt;"",BA$5+6&lt;Mitarbeiter!$E$46),0,IF(AND(Mitarbeiter!$F$46&lt;&gt;"",BA$5&gt;Mitarbeiter!$F$46),0,IF(Planung!BA48="",$C48,IF(ISNUMBER(Planung!BA48),Planung!BA48,IF(UPPER(Planung!BA48)="H",$C48/2,0)))))))</f>
        <v>0</v>
      </c>
      <c r="BB48" s="27">
        <f>IF($A48="",0,IF(Mitarbeiter!$G$46=FALSE,0,IF(AND(Mitarbeiter!$E$46&lt;&gt;"",BB$5+6&lt;Mitarbeiter!$E$46),0,IF(AND(Mitarbeiter!$F$46&lt;&gt;"",BB$5&gt;Mitarbeiter!$F$46),0,IF(Planung!BB48="",$C48,IF(ISNUMBER(Planung!BB48),Planung!BB48,IF(UPPER(Planung!BB48)="H",$C48/2,0)))))))</f>
        <v>0</v>
      </c>
      <c r="BC48" s="27">
        <f>IF($A48="",0,IF(Mitarbeiter!$G$46=FALSE,0,IF(AND(Mitarbeiter!$E$46&lt;&gt;"",BC$5+6&lt;Mitarbeiter!$E$46),0,IF(AND(Mitarbeiter!$F$46&lt;&gt;"",BC$5&gt;Mitarbeiter!$F$46),0,IF(Planung!BC48="",$C48,IF(ISNUMBER(Planung!BC48),Planung!BC48,IF(UPPER(Planung!BC48)="H",$C48/2,0)))))))</f>
        <v>0</v>
      </c>
      <c r="BD48" s="27">
        <f>IF($A48="",0,IF(Mitarbeiter!$G$46=FALSE,0,IF(AND(Mitarbeiter!$E$46&lt;&gt;"",BD$5+6&lt;Mitarbeiter!$E$46),0,IF(AND(Mitarbeiter!$F$46&lt;&gt;"",BD$5&gt;Mitarbeiter!$F$46),0,IF(Planung!BD48="",$C48,IF(ISNUMBER(Planung!BD48),Planung!BD48,IF(UPPER(Planung!BD48)="H",$C48/2,0)))))))</f>
        <v>0</v>
      </c>
      <c r="BE48" s="27">
        <f>IF($A48="",0,IF(Mitarbeiter!$G$46=FALSE,0,IF(AND(Mitarbeiter!$E$46&lt;&gt;"",BE$5+6&lt;Mitarbeiter!$E$46),0,IF(AND(Mitarbeiter!$F$46&lt;&gt;"",BE$5&gt;Mitarbeiter!$F$46),0,IF(Planung!BE48="",$C48,IF(ISNUMBER(Planung!BE48),Planung!BE48,IF(UPPER(Planung!BE48)="H",$C48/2,0)))))))</f>
        <v>0</v>
      </c>
      <c r="BF48" s="27">
        <f>IF($A48="",0,IF(Mitarbeiter!$G$46=FALSE,0,IF(AND(Mitarbeiter!$E$46&lt;&gt;"",BF$5+6&lt;Mitarbeiter!$E$46),0,IF(AND(Mitarbeiter!$F$46&lt;&gt;"",BF$5&gt;Mitarbeiter!$F$46),0,IF(Planung!BF48="",$C48,IF(ISNUMBER(Planung!BF48),Planung!BF48,IF(UPPER(Planung!BF48)="H",$C48/2,0)))))))</f>
        <v>0</v>
      </c>
      <c r="BG48" s="27">
        <f>IF($A48="",0,IF(Mitarbeiter!$G$46=FALSE,0,IF(AND(Mitarbeiter!$E$46&lt;&gt;"",BG$5+6&lt;Mitarbeiter!$E$46),0,IF(AND(Mitarbeiter!$F$46&lt;&gt;"",BG$5&gt;Mitarbeiter!$F$46),0,IF(Planung!BG48="",$C48,IF(ISNUMBER(Planung!BG48),Planung!BG48,IF(UPPER(Planung!BG48)="H",$C48/2,0)))))))</f>
        <v>0</v>
      </c>
      <c r="BH48" s="27">
        <f>IF($A48="",0,IF(Mitarbeiter!$G$46=FALSE,0,IF(AND(Mitarbeiter!$E$46&lt;&gt;"",BH$5+6&lt;Mitarbeiter!$E$46),0,IF(AND(Mitarbeiter!$F$46&lt;&gt;"",BH$5&gt;Mitarbeiter!$F$46),0,IF(Planung!BH48="",$C48,IF(ISNUMBER(Planung!BH48),Planung!BH48,IF(UPPER(Planung!BH48)="H",$C48/2,0)))))))</f>
        <v>0</v>
      </c>
      <c r="BI48" s="27">
        <f>IF($A48="",0,IF(Mitarbeiter!$G$46=FALSE,0,IF(AND(Mitarbeiter!$E$46&lt;&gt;"",BI$5+6&lt;Mitarbeiter!$E$46),0,IF(AND(Mitarbeiter!$F$46&lt;&gt;"",BI$5&gt;Mitarbeiter!$F$46),0,IF(Planung!BI48="",$C48,IF(ISNUMBER(Planung!BI48),Planung!BI48,IF(UPPER(Planung!BI48)="H",$C48/2,0)))))))</f>
        <v>0</v>
      </c>
      <c r="BJ48" s="27">
        <f>IF($A48="",0,IF(Mitarbeiter!$G$46=FALSE,0,IF(AND(Mitarbeiter!$E$46&lt;&gt;"",BJ$5+6&lt;Mitarbeiter!$E$46),0,IF(AND(Mitarbeiter!$F$46&lt;&gt;"",BJ$5&gt;Mitarbeiter!$F$46),0,IF(Planung!BJ48="",$C48,IF(ISNUMBER(Planung!BJ48),Planung!BJ48,IF(UPPER(Planung!BJ48)="H",$C48/2,0)))))))</f>
        <v>0</v>
      </c>
      <c r="BK48" s="27">
        <f>IF($A48="",0,IF(Mitarbeiter!$G$46=FALSE,0,IF(AND(Mitarbeiter!$E$46&lt;&gt;"",BK$5+6&lt;Mitarbeiter!$E$46),0,IF(AND(Mitarbeiter!$F$46&lt;&gt;"",BK$5&gt;Mitarbeiter!$F$46),0,IF(Planung!BK48="",$C48,IF(ISNUMBER(Planung!BK48),Planung!BK48,IF(UPPER(Planung!BK48)="H",$C48/2,0)))))))</f>
        <v>0</v>
      </c>
      <c r="BL48" s="27">
        <f>IF($A48="",0,IF(Mitarbeiter!$G$46=FALSE,0,IF(AND(Mitarbeiter!$E$46&lt;&gt;"",BL$5+6&lt;Mitarbeiter!$E$46),0,IF(AND(Mitarbeiter!$F$46&lt;&gt;"",BL$5&gt;Mitarbeiter!$F$46),0,IF(Planung!BL48="",$C48,IF(ISNUMBER(Planung!BL48),Planung!BL48,IF(UPPER(Planung!BL48)="H",$C48/2,0)))))))</f>
        <v>0</v>
      </c>
      <c r="BM48" s="27">
        <f>IF($A48="",0,IF(Mitarbeiter!$G$46=FALSE,0,IF(AND(Mitarbeiter!$E$46&lt;&gt;"",BM$5+6&lt;Mitarbeiter!$E$46),0,IF(AND(Mitarbeiter!$F$46&lt;&gt;"",BM$5&gt;Mitarbeiter!$F$46),0,IF(Planung!BM48="",$C48,IF(ISNUMBER(Planung!BM48),Planung!BM48,IF(UPPER(Planung!BM48)="H",$C48/2,0)))))))</f>
        <v>0</v>
      </c>
      <c r="BN48" s="27">
        <f>IF($A48="",0,IF(Mitarbeiter!$G$46=FALSE,0,IF(AND(Mitarbeiter!$E$46&lt;&gt;"",BN$5+6&lt;Mitarbeiter!$E$46),0,IF(AND(Mitarbeiter!$F$46&lt;&gt;"",BN$5&gt;Mitarbeiter!$F$46),0,IF(Planung!BN48="",$C48,IF(ISNUMBER(Planung!BN48),Planung!BN48,IF(UPPER(Planung!BN48)="H",$C48/2,0)))))))</f>
        <v>0</v>
      </c>
      <c r="BO48" s="27">
        <f>IF($A48="",0,IF(Mitarbeiter!$G$46=FALSE,0,IF(AND(Mitarbeiter!$E$46&lt;&gt;"",BO$5+6&lt;Mitarbeiter!$E$46),0,IF(AND(Mitarbeiter!$F$46&lt;&gt;"",BO$5&gt;Mitarbeiter!$F$46),0,IF(Planung!BO48="",$C48,IF(ISNUMBER(Planung!BO48),Planung!BO48,IF(UPPER(Planung!BO48)="H",$C48/2,0)))))))</f>
        <v>0</v>
      </c>
      <c r="BP48" s="27">
        <f>IF($A48="",0,IF(Mitarbeiter!$G$46=FALSE,0,IF(AND(Mitarbeiter!$E$46&lt;&gt;"",BP$5+6&lt;Mitarbeiter!$E$46),0,IF(AND(Mitarbeiter!$F$46&lt;&gt;"",BP$5&gt;Mitarbeiter!$F$46),0,IF(Planung!BP48="",$C48,IF(ISNUMBER(Planung!BP48),Planung!BP48,IF(UPPER(Planung!BP48)="H",$C48/2,0)))))))</f>
        <v>0</v>
      </c>
      <c r="BQ48" s="27">
        <f>IF($A48="",0,IF(Mitarbeiter!$G$46=FALSE,0,IF(AND(Mitarbeiter!$E$46&lt;&gt;"",BQ$5+6&lt;Mitarbeiter!$E$46),0,IF(AND(Mitarbeiter!$F$46&lt;&gt;"",BQ$5&gt;Mitarbeiter!$F$46),0,IF(Planung!BQ48="",$C48,IF(ISNUMBER(Planung!BQ48),Planung!BQ48,IF(UPPER(Planung!BQ48)="H",$C48/2,0)))))))</f>
        <v>0</v>
      </c>
      <c r="BR48" s="27">
        <f>IF($A48="",0,IF(Mitarbeiter!$G$46=FALSE,0,IF(AND(Mitarbeiter!$E$46&lt;&gt;"",BR$5+6&lt;Mitarbeiter!$E$46),0,IF(AND(Mitarbeiter!$F$46&lt;&gt;"",BR$5&gt;Mitarbeiter!$F$46),0,IF(Planung!BR48="",$C48,IF(ISNUMBER(Planung!BR48),Planung!BR48,IF(UPPER(Planung!BR48)="H",$C48/2,0)))))))</f>
        <v>0</v>
      </c>
      <c r="BS48" s="27">
        <f>IF($A48="",0,IF(Mitarbeiter!$G$46=FALSE,0,IF(AND(Mitarbeiter!$E$46&lt;&gt;"",BS$5+6&lt;Mitarbeiter!$E$46),0,IF(AND(Mitarbeiter!$F$46&lt;&gt;"",BS$5&gt;Mitarbeiter!$F$46),0,IF(Planung!BS48="",$C48,IF(ISNUMBER(Planung!BS48),Planung!BS48,IF(UPPER(Planung!BS48)="H",$C48/2,0)))))))</f>
        <v>0</v>
      </c>
      <c r="BT48" s="27">
        <f>IF($A48="",0,IF(Mitarbeiter!$G$46=FALSE,0,IF(AND(Mitarbeiter!$E$46&lt;&gt;"",BT$5+6&lt;Mitarbeiter!$E$46),0,IF(AND(Mitarbeiter!$F$46&lt;&gt;"",BT$5&gt;Mitarbeiter!$F$46),0,IF(Planung!BT48="",$C48,IF(ISNUMBER(Planung!BT48),Planung!BT48,IF(UPPER(Planung!BT48)="H",$C48/2,0)))))))</f>
        <v>0</v>
      </c>
      <c r="BU48" s="27">
        <f>IF($A48="",0,IF(Mitarbeiter!$G$46=FALSE,0,IF(AND(Mitarbeiter!$E$46&lt;&gt;"",BU$5+6&lt;Mitarbeiter!$E$46),0,IF(AND(Mitarbeiter!$F$46&lt;&gt;"",BU$5&gt;Mitarbeiter!$F$46),0,IF(Planung!BU48="",$C48,IF(ISNUMBER(Planung!BU48),Planung!BU48,IF(UPPER(Planung!BU48)="H",$C48/2,0)))))))</f>
        <v>0</v>
      </c>
      <c r="BV48" s="27">
        <f>IF($A48="",0,IF(Mitarbeiter!$G$46=FALSE,0,IF(AND(Mitarbeiter!$E$46&lt;&gt;"",BV$5+6&lt;Mitarbeiter!$E$46),0,IF(AND(Mitarbeiter!$F$46&lt;&gt;"",BV$5&gt;Mitarbeiter!$F$46),0,IF(Planung!BV48="",$C48,IF(ISNUMBER(Planung!BV48),Planung!BV48,IF(UPPER(Planung!BV48)="H",$C48/2,0)))))))</f>
        <v>0</v>
      </c>
      <c r="BW48" s="27">
        <f>IF($A48="",0,IF(Mitarbeiter!$G$46=FALSE,0,IF(AND(Mitarbeiter!$E$46&lt;&gt;"",BW$5+6&lt;Mitarbeiter!$E$46),0,IF(AND(Mitarbeiter!$F$46&lt;&gt;"",BW$5&gt;Mitarbeiter!$F$46),0,IF(Planung!BW48="",$C48,IF(ISNUMBER(Planung!BW48),Planung!BW48,IF(UPPER(Planung!BW48)="H",$C48/2,0)))))))</f>
        <v>0</v>
      </c>
      <c r="BX48" s="27">
        <f>IF($A48="",0,IF(Mitarbeiter!$G$46=FALSE,0,IF(AND(Mitarbeiter!$E$46&lt;&gt;"",BX$5+6&lt;Mitarbeiter!$E$46),0,IF(AND(Mitarbeiter!$F$46&lt;&gt;"",BX$5&gt;Mitarbeiter!$F$46),0,IF(Planung!BX48="",$C48,IF(ISNUMBER(Planung!BX48),Planung!BX48,IF(UPPER(Planung!BX48)="H",$C48/2,0)))))))</f>
        <v>0</v>
      </c>
      <c r="BY48" s="27">
        <f>IF($A48="",0,IF(Mitarbeiter!$G$46=FALSE,0,IF(AND(Mitarbeiter!$E$46&lt;&gt;"",BY$5+6&lt;Mitarbeiter!$E$46),0,IF(AND(Mitarbeiter!$F$46&lt;&gt;"",BY$5&gt;Mitarbeiter!$F$46),0,IF(Planung!BY48="",$C48,IF(ISNUMBER(Planung!BY48),Planung!BY48,IF(UPPER(Planung!BY48)="H",$C48/2,0)))))))</f>
        <v>0</v>
      </c>
      <c r="BZ48" s="27">
        <f>IF($A48="",0,IF(Mitarbeiter!$G$46=FALSE,0,IF(AND(Mitarbeiter!$E$46&lt;&gt;"",BZ$5+6&lt;Mitarbeiter!$E$46),0,IF(AND(Mitarbeiter!$F$46&lt;&gt;"",BZ$5&gt;Mitarbeiter!$F$46),0,IF(Planung!BZ48="",$C48,IF(ISNUMBER(Planung!BZ48),Planung!BZ48,IF(UPPER(Planung!BZ48)="H",$C48/2,0)))))))</f>
        <v>0</v>
      </c>
      <c r="CA48" s="27">
        <f>IF($A48="",0,IF(Mitarbeiter!$G$46=FALSE,0,IF(AND(Mitarbeiter!$E$46&lt;&gt;"",CA$5+6&lt;Mitarbeiter!$E$46),0,IF(AND(Mitarbeiter!$F$46&lt;&gt;"",CA$5&gt;Mitarbeiter!$F$46),0,IF(Planung!CA48="",$C48,IF(ISNUMBER(Planung!CA48),Planung!CA48,IF(UPPER(Planung!CA48)="H",$C48/2,0)))))))</f>
        <v>0</v>
      </c>
      <c r="CB48" s="27">
        <f>IF($A48="",0,IF(Mitarbeiter!$G$46=FALSE,0,IF(AND(Mitarbeiter!$E$46&lt;&gt;"",CB$5+6&lt;Mitarbeiter!$E$46),0,IF(AND(Mitarbeiter!$F$46&lt;&gt;"",CB$5&gt;Mitarbeiter!$F$46),0,IF(Planung!CB48="",$C48,IF(ISNUMBER(Planung!CB48),Planung!CB48,IF(UPPER(Planung!CB48)="H",$C48/2,0)))))))</f>
        <v>0</v>
      </c>
      <c r="CC48" s="27">
        <f>IF($A48="",0,IF(Mitarbeiter!$G$46=FALSE,0,IF(AND(Mitarbeiter!$E$46&lt;&gt;"",CC$5+6&lt;Mitarbeiter!$E$46),0,IF(AND(Mitarbeiter!$F$46&lt;&gt;"",CC$5&gt;Mitarbeiter!$F$46),0,IF(Planung!CC48="",$C48,IF(ISNUMBER(Planung!CC48),Planung!CC48,IF(UPPER(Planung!CC48)="H",$C48/2,0)))))))</f>
        <v>0</v>
      </c>
      <c r="CD48" s="27">
        <f>IF($A48="",0,IF(Mitarbeiter!$G$46=FALSE,0,IF(AND(Mitarbeiter!$E$46&lt;&gt;"",CD$5+6&lt;Mitarbeiter!$E$46),0,IF(AND(Mitarbeiter!$F$46&lt;&gt;"",CD$5&gt;Mitarbeiter!$F$46),0,IF(Planung!CD48="",$C48,IF(ISNUMBER(Planung!CD48),Planung!CD48,IF(UPPER(Planung!CD48)="H",$C48/2,0)))))))</f>
        <v>0</v>
      </c>
      <c r="CE48" s="27">
        <f>IF($A48="",0,IF(Mitarbeiter!$G$46=FALSE,0,IF(AND(Mitarbeiter!$E$46&lt;&gt;"",CE$5+6&lt;Mitarbeiter!$E$46),0,IF(AND(Mitarbeiter!$F$46&lt;&gt;"",CE$5&gt;Mitarbeiter!$F$46),0,IF(Planung!CE48="",$C48,IF(ISNUMBER(Planung!CE48),Planung!CE48,IF(UPPER(Planung!CE48)="H",$C48/2,0)))))))</f>
        <v>0</v>
      </c>
      <c r="CF48" s="27">
        <f>IF($A48="",0,IF(Mitarbeiter!$G$46=FALSE,0,IF(AND(Mitarbeiter!$E$46&lt;&gt;"",CF$5+6&lt;Mitarbeiter!$E$46),0,IF(AND(Mitarbeiter!$F$46&lt;&gt;"",CF$5&gt;Mitarbeiter!$F$46),0,IF(Planung!CF48="",$C48,IF(ISNUMBER(Planung!CF48),Planung!CF48,IF(UPPER(Planung!CF48)="H",$C48/2,0)))))))</f>
        <v>0</v>
      </c>
      <c r="CG48" s="27">
        <f>IF($A48="",0,IF(Mitarbeiter!$G$46=FALSE,0,IF(AND(Mitarbeiter!$E$46&lt;&gt;"",CG$5+6&lt;Mitarbeiter!$E$46),0,IF(AND(Mitarbeiter!$F$46&lt;&gt;"",CG$5&gt;Mitarbeiter!$F$46),0,IF(Planung!CG48="",$C48,IF(ISNUMBER(Planung!CG48),Planung!CG48,IF(UPPER(Planung!CG48)="H",$C48/2,0)))))))</f>
        <v>0</v>
      </c>
      <c r="CH48" s="27">
        <f>IF($A48="",0,IF(Mitarbeiter!$G$46=FALSE,0,IF(AND(Mitarbeiter!$E$46&lt;&gt;"",CH$5+6&lt;Mitarbeiter!$E$46),0,IF(AND(Mitarbeiter!$F$46&lt;&gt;"",CH$5&gt;Mitarbeiter!$F$46),0,IF(Planung!CH48="",$C48,IF(ISNUMBER(Planung!CH48),Planung!CH48,IF(UPPER(Planung!CH48)="H",$C48/2,0)))))))</f>
        <v>0</v>
      </c>
      <c r="CI48" s="27">
        <f>IF($A48="",0,IF(Mitarbeiter!$G$46=FALSE,0,IF(AND(Mitarbeiter!$E$46&lt;&gt;"",CI$5+6&lt;Mitarbeiter!$E$46),0,IF(AND(Mitarbeiter!$F$46&lt;&gt;"",CI$5&gt;Mitarbeiter!$F$46),0,IF(Planung!CI48="",$C48,IF(ISNUMBER(Planung!CI48),Planung!CI48,IF(UPPER(Planung!CI48)="H",$C48/2,0)))))))</f>
        <v>0</v>
      </c>
      <c r="CJ48" s="27">
        <f>IF($A48="",0,IF(Mitarbeiter!$G$46=FALSE,0,IF(AND(Mitarbeiter!$E$46&lt;&gt;"",CJ$5+6&lt;Mitarbeiter!$E$46),0,IF(AND(Mitarbeiter!$F$46&lt;&gt;"",CJ$5&gt;Mitarbeiter!$F$46),0,IF(Planung!CJ48="",$C48,IF(ISNUMBER(Planung!CJ48),Planung!CJ48,IF(UPPER(Planung!CJ48)="H",$C48/2,0)))))))</f>
        <v>0</v>
      </c>
      <c r="CK48" s="27">
        <f>IF($A48="",0,IF(Mitarbeiter!$G$46=FALSE,0,IF(AND(Mitarbeiter!$E$46&lt;&gt;"",CK$5+6&lt;Mitarbeiter!$E$46),0,IF(AND(Mitarbeiter!$F$46&lt;&gt;"",CK$5&gt;Mitarbeiter!$F$46),0,IF(Planung!CK48="",$C48,IF(ISNUMBER(Planung!CK48),Planung!CK48,IF(UPPER(Planung!CK48)="H",$C48/2,0)))))))</f>
        <v>0</v>
      </c>
      <c r="CL48" s="27">
        <f>IF($A48="",0,IF(Mitarbeiter!$G$46=FALSE,0,IF(AND(Mitarbeiter!$E$46&lt;&gt;"",CL$5+6&lt;Mitarbeiter!$E$46),0,IF(AND(Mitarbeiter!$F$46&lt;&gt;"",CL$5&gt;Mitarbeiter!$F$46),0,IF(Planung!CL48="",$C48,IF(ISNUMBER(Planung!CL48),Planung!CL48,IF(UPPER(Planung!CL48)="H",$C48/2,0)))))))</f>
        <v>0</v>
      </c>
      <c r="CM48" s="27">
        <f>IF($A48="",0,IF(Mitarbeiter!$G$46=FALSE,0,IF(AND(Mitarbeiter!$E$46&lt;&gt;"",CM$5+6&lt;Mitarbeiter!$E$46),0,IF(AND(Mitarbeiter!$F$46&lt;&gt;"",CM$5&gt;Mitarbeiter!$F$46),0,IF(Planung!CM48="",$C48,IF(ISNUMBER(Planung!CM48),Planung!CM48,IF(UPPER(Planung!CM48)="H",$C48/2,0)))))))</f>
        <v>0</v>
      </c>
      <c r="CN48" s="27">
        <f>IF($A48="",0,IF(Mitarbeiter!$G$46=FALSE,0,IF(AND(Mitarbeiter!$E$46&lt;&gt;"",CN$5+6&lt;Mitarbeiter!$E$46),0,IF(AND(Mitarbeiter!$F$46&lt;&gt;"",CN$5&gt;Mitarbeiter!$F$46),0,IF(Planung!CN48="",$C48,IF(ISNUMBER(Planung!CN48),Planung!CN48,IF(UPPER(Planung!CN48)="H",$C48/2,0)))))))</f>
        <v>0</v>
      </c>
      <c r="CO48" s="27">
        <f>IF($A48="",0,IF(Mitarbeiter!$G$46=FALSE,0,IF(AND(Mitarbeiter!$E$46&lt;&gt;"",CO$5+6&lt;Mitarbeiter!$E$46),0,IF(AND(Mitarbeiter!$F$46&lt;&gt;"",CO$5&gt;Mitarbeiter!$F$46),0,IF(Planung!CO48="",$C48,IF(ISNUMBER(Planung!CO48),Planung!CO48,IF(UPPER(Planung!CO48)="H",$C48/2,0)))))))</f>
        <v>0</v>
      </c>
      <c r="CP48" s="27">
        <f>IF($A48="",0,IF(Mitarbeiter!$G$46=FALSE,0,IF(AND(Mitarbeiter!$E$46&lt;&gt;"",CP$5+6&lt;Mitarbeiter!$E$46),0,IF(AND(Mitarbeiter!$F$46&lt;&gt;"",CP$5&gt;Mitarbeiter!$F$46),0,IF(Planung!CP48="",$C48,IF(ISNUMBER(Planung!CP48),Planung!CP48,IF(UPPER(Planung!CP48)="H",$C48/2,0)))))))</f>
        <v>0</v>
      </c>
      <c r="CQ48" s="27">
        <f>IF($A48="",0,IF(Mitarbeiter!$G$46=FALSE,0,IF(AND(Mitarbeiter!$E$46&lt;&gt;"",CQ$5+6&lt;Mitarbeiter!$E$46),0,IF(AND(Mitarbeiter!$F$46&lt;&gt;"",CQ$5&gt;Mitarbeiter!$F$46),0,IF(Planung!CQ48="",$C48,IF(ISNUMBER(Planung!CQ48),Planung!CQ48,IF(UPPER(Planung!CQ48)="H",$C48/2,0)))))))</f>
        <v>0</v>
      </c>
      <c r="CR48" s="27">
        <f>IF($A48="",0,IF(Mitarbeiter!$G$46=FALSE,0,IF(AND(Mitarbeiter!$E$46&lt;&gt;"",CR$5+6&lt;Mitarbeiter!$E$46),0,IF(AND(Mitarbeiter!$F$46&lt;&gt;"",CR$5&gt;Mitarbeiter!$F$46),0,IF(Planung!CR48="",$C48,IF(ISNUMBER(Planung!CR48),Planung!CR48,IF(UPPER(Planung!CR48)="H",$C48/2,0)))))))</f>
        <v>0</v>
      </c>
      <c r="CS48" s="27">
        <f>IF($A48="",0,IF(Mitarbeiter!$G$46=FALSE,0,IF(AND(Mitarbeiter!$E$46&lt;&gt;"",CS$5+6&lt;Mitarbeiter!$E$46),0,IF(AND(Mitarbeiter!$F$46&lt;&gt;"",CS$5&gt;Mitarbeiter!$F$46),0,IF(Planung!CS48="",$C48,IF(ISNUMBER(Planung!CS48),Planung!CS48,IF(UPPER(Planung!CS48)="H",$C48/2,0)))))))</f>
        <v>0</v>
      </c>
      <c r="CT48" s="27">
        <f>IF($A48="",0,IF(Mitarbeiter!$G$46=FALSE,0,IF(AND(Mitarbeiter!$E$46&lt;&gt;"",CT$5+6&lt;Mitarbeiter!$E$46),0,IF(AND(Mitarbeiter!$F$46&lt;&gt;"",CT$5&gt;Mitarbeiter!$F$46),0,IF(Planung!CT48="",$C48,IF(ISNUMBER(Planung!CT48),Planung!CT48,IF(UPPER(Planung!CT48)="H",$C48/2,0)))))))</f>
        <v>0</v>
      </c>
      <c r="CU48" s="27">
        <f>IF($A48="",0,IF(Mitarbeiter!$G$46=FALSE,0,IF(AND(Mitarbeiter!$E$46&lt;&gt;"",CU$5+6&lt;Mitarbeiter!$E$46),0,IF(AND(Mitarbeiter!$F$46&lt;&gt;"",CU$5&gt;Mitarbeiter!$F$46),0,IF(Planung!CU48="",$C48,IF(ISNUMBER(Planung!CU48),Planung!CU48,IF(UPPER(Planung!CU48)="H",$C48/2,0)))))))</f>
        <v>0</v>
      </c>
      <c r="CV48" s="27">
        <f>IF($A48="",0,IF(Mitarbeiter!$G$46=FALSE,0,IF(AND(Mitarbeiter!$E$46&lt;&gt;"",CV$5+6&lt;Mitarbeiter!$E$46),0,IF(AND(Mitarbeiter!$F$46&lt;&gt;"",CV$5&gt;Mitarbeiter!$F$46),0,IF(Planung!CV48="",$C48,IF(ISNUMBER(Planung!CV48),Planung!CV48,IF(UPPER(Planung!CV48)="H",$C48/2,0)))))))</f>
        <v>0</v>
      </c>
      <c r="CW48" s="27">
        <f>IF($A48="",0,IF(Mitarbeiter!$G$46=FALSE,0,IF(AND(Mitarbeiter!$E$46&lt;&gt;"",CW$5+6&lt;Mitarbeiter!$E$46),0,IF(AND(Mitarbeiter!$F$46&lt;&gt;"",CW$5&gt;Mitarbeiter!$F$46),0,IF(Planung!CW48="",$C48,IF(ISNUMBER(Planung!CW48),Planung!CW48,IF(UPPER(Planung!CW48)="H",$C48/2,0)))))))</f>
        <v>0</v>
      </c>
      <c r="CX48" s="27">
        <f>IF($A48="",0,IF(Mitarbeiter!$G$46=FALSE,0,IF(AND(Mitarbeiter!$E$46&lt;&gt;"",CX$5+6&lt;Mitarbeiter!$E$46),0,IF(AND(Mitarbeiter!$F$46&lt;&gt;"",CX$5&gt;Mitarbeiter!$F$46),0,IF(Planung!CX48="",$C48,IF(ISNUMBER(Planung!CX48),Planung!CX48,IF(UPPER(Planung!CX48)="H",$C48/2,0)))))))</f>
        <v>0</v>
      </c>
      <c r="CY48" s="27">
        <f>IF($A48="",0,IF(Mitarbeiter!$G$46=FALSE,0,IF(AND(Mitarbeiter!$E$46&lt;&gt;"",CY$5+6&lt;Mitarbeiter!$E$46),0,IF(AND(Mitarbeiter!$F$46&lt;&gt;"",CY$5&gt;Mitarbeiter!$F$46),0,IF(Planung!CY48="",$C48,IF(ISNUMBER(Planung!CY48),Planung!CY48,IF(UPPER(Planung!CY48)="H",$C48/2,0)))))))</f>
        <v>0</v>
      </c>
      <c r="CZ48" s="27">
        <f>IF($A48="",0,IF(Mitarbeiter!$G$46=FALSE,0,IF(AND(Mitarbeiter!$E$46&lt;&gt;"",CZ$5+6&lt;Mitarbeiter!$E$46),0,IF(AND(Mitarbeiter!$F$46&lt;&gt;"",CZ$5&gt;Mitarbeiter!$F$46),0,IF(Planung!CZ48="",$C48,IF(ISNUMBER(Planung!CZ48),Planung!CZ48,IF(UPPER(Planung!CZ48)="H",$C48/2,0)))))))</f>
        <v>0</v>
      </c>
      <c r="DA48" s="27">
        <f>IF($A48="",0,IF(Mitarbeiter!$G$46=FALSE,0,IF(AND(Mitarbeiter!$E$46&lt;&gt;"",DA$5+6&lt;Mitarbeiter!$E$46),0,IF(AND(Mitarbeiter!$F$46&lt;&gt;"",DA$5&gt;Mitarbeiter!$F$46),0,IF(Planung!DA48="",$C48,IF(ISNUMBER(Planung!DA48),Planung!DA48,IF(UPPER(Planung!DA48)="H",$C48/2,0)))))))</f>
        <v>0</v>
      </c>
      <c r="DB48" s="27">
        <f>IF($A48="",0,IF(Mitarbeiter!$G$46=FALSE,0,IF(AND(Mitarbeiter!$E$46&lt;&gt;"",DB$5+6&lt;Mitarbeiter!$E$46),0,IF(AND(Mitarbeiter!$F$46&lt;&gt;"",DB$5&gt;Mitarbeiter!$F$46),0,IF(Planung!DB48="",$C48,IF(ISNUMBER(Planung!DB48),Planung!DB48,IF(UPPER(Planung!DB48)="H",$C48/2,0)))))))</f>
        <v>0</v>
      </c>
      <c r="DC48" s="27">
        <f>IF($A48="",0,IF(Mitarbeiter!$G$46=FALSE,0,IF(AND(Mitarbeiter!$E$46&lt;&gt;"",DC$5+6&lt;Mitarbeiter!$E$46),0,IF(AND(Mitarbeiter!$F$46&lt;&gt;"",DC$5&gt;Mitarbeiter!$F$46),0,IF(Planung!DC48="",$C48,IF(ISNUMBER(Planung!DC48),Planung!DC48,IF(UPPER(Planung!DC48)="H",$C48/2,0)))))))</f>
        <v>0</v>
      </c>
      <c r="DD48" s="27">
        <f>IF($A48="",0,IF(Mitarbeiter!$G$46=FALSE,0,IF(AND(Mitarbeiter!$E$46&lt;&gt;"",DD$5+6&lt;Mitarbeiter!$E$46),0,IF(AND(Mitarbeiter!$F$46&lt;&gt;"",DD$5&gt;Mitarbeiter!$F$46),0,IF(Planung!DD48="",$C48,IF(ISNUMBER(Planung!DD48),Planung!DD48,IF(UPPER(Planung!DD48)="H",$C48/2,0)))))))</f>
        <v>0</v>
      </c>
      <c r="DE48" s="27">
        <f>IF($A48="",0,IF(Mitarbeiter!$G$46=FALSE,0,IF(AND(Mitarbeiter!$E$46&lt;&gt;"",DE$5+6&lt;Mitarbeiter!$E$46),0,IF(AND(Mitarbeiter!$F$46&lt;&gt;"",DE$5&gt;Mitarbeiter!$F$46),0,IF(Planung!DE48="",$C48,IF(ISNUMBER(Planung!DE48),Planung!DE48,IF(UPPER(Planung!DE48)="H",$C48/2,0)))))))</f>
        <v>0</v>
      </c>
      <c r="DF48" s="27">
        <f>IF($A48="",0,IF(Mitarbeiter!$G$46=FALSE,0,IF(AND(Mitarbeiter!$E$46&lt;&gt;"",DF$5+6&lt;Mitarbeiter!$E$46),0,IF(AND(Mitarbeiter!$F$46&lt;&gt;"",DF$5&gt;Mitarbeiter!$F$46),0,IF(Planung!DF48="",$C48,IF(ISNUMBER(Planung!DF48),Planung!DF48,IF(UPPER(Planung!DF48)="H",$C48/2,0)))))))</f>
        <v>0</v>
      </c>
      <c r="DG48" s="27">
        <f>IF($A48="",0,IF(Mitarbeiter!$G$46=FALSE,0,IF(AND(Mitarbeiter!$E$46&lt;&gt;"",DG$5+6&lt;Mitarbeiter!$E$46),0,IF(AND(Mitarbeiter!$F$46&lt;&gt;"",DG$5&gt;Mitarbeiter!$F$46),0,IF(Planung!DG48="",$C48,IF(ISNUMBER(Planung!DG48),Planung!DG48,IF(UPPER(Planung!DG48)="H",$C48/2,0)))))))</f>
        <v>0</v>
      </c>
      <c r="DH48" s="27">
        <f>IF($A48="",0,IF(Mitarbeiter!$G$46=FALSE,0,IF(AND(Mitarbeiter!$E$46&lt;&gt;"",DH$5+6&lt;Mitarbeiter!$E$46),0,IF(AND(Mitarbeiter!$F$46&lt;&gt;"",DH$5&gt;Mitarbeiter!$F$46),0,IF(Planung!DH48="",$C48,IF(ISNUMBER(Planung!DH48),Planung!DH48,IF(UPPER(Planung!DH48)="H",$C48/2,0)))))))</f>
        <v>0</v>
      </c>
      <c r="DI48" s="27">
        <f>IF($A48="",0,IF(Mitarbeiter!$G$46=FALSE,0,IF(AND(Mitarbeiter!$E$46&lt;&gt;"",DI$5+6&lt;Mitarbeiter!$E$46),0,IF(AND(Mitarbeiter!$F$46&lt;&gt;"",DI$5&gt;Mitarbeiter!$F$46),0,IF(Planung!DI48="",$C48,IF(ISNUMBER(Planung!DI48),Planung!DI48,IF(UPPER(Planung!DI48)="H",$C48/2,0)))))))</f>
        <v>0</v>
      </c>
      <c r="DJ48" s="27">
        <f>IF($A48="",0,IF(Mitarbeiter!$G$46=FALSE,0,IF(AND(Mitarbeiter!$E$46&lt;&gt;"",DJ$5+6&lt;Mitarbeiter!$E$46),0,IF(AND(Mitarbeiter!$F$46&lt;&gt;"",DJ$5&gt;Mitarbeiter!$F$46),0,IF(Planung!DJ48="",$C48,IF(ISNUMBER(Planung!DJ48),Planung!DJ48,IF(UPPER(Planung!DJ48)="H",$C48/2,0)))))))</f>
        <v>0</v>
      </c>
      <c r="DK48" s="27">
        <f>IF($A48="",0,IF(Mitarbeiter!$G$46=FALSE,0,IF(AND(Mitarbeiter!$E$46&lt;&gt;"",DK$5+6&lt;Mitarbeiter!$E$46),0,IF(AND(Mitarbeiter!$F$46&lt;&gt;"",DK$5&gt;Mitarbeiter!$F$46),0,IF(Planung!DK48="",$C48,IF(ISNUMBER(Planung!DK48),Planung!DK48,IF(UPPER(Planung!DK48)="H",$C48/2,0)))))))</f>
        <v>0</v>
      </c>
      <c r="DL48" s="27">
        <f>IF($A48="",0,IF(Mitarbeiter!$G$46=FALSE,0,IF(AND(Mitarbeiter!$E$46&lt;&gt;"",DL$5+6&lt;Mitarbeiter!$E$46),0,IF(AND(Mitarbeiter!$F$46&lt;&gt;"",DL$5&gt;Mitarbeiter!$F$46),0,IF(Planung!DL48="",$C48,IF(ISNUMBER(Planung!DL48),Planung!DL48,IF(UPPER(Planung!DL48)="H",$C48/2,0)))))))</f>
        <v>0</v>
      </c>
      <c r="DM48" s="27">
        <f>IF($A48="",0,IF(Mitarbeiter!$G$46=FALSE,0,IF(AND(Mitarbeiter!$E$46&lt;&gt;"",DM$5+6&lt;Mitarbeiter!$E$46),0,IF(AND(Mitarbeiter!$F$46&lt;&gt;"",DM$5&gt;Mitarbeiter!$F$46),0,IF(Planung!DM48="",$C48,IF(ISNUMBER(Planung!DM48),Planung!DM48,IF(UPPER(Planung!DM48)="H",$C48/2,0)))))))</f>
        <v>0</v>
      </c>
      <c r="DN48" s="27">
        <f>IF($A48="",0,IF(Mitarbeiter!$G$46=FALSE,0,IF(AND(Mitarbeiter!$E$46&lt;&gt;"",DN$5+6&lt;Mitarbeiter!$E$46),0,IF(AND(Mitarbeiter!$F$46&lt;&gt;"",DN$5&gt;Mitarbeiter!$F$46),0,IF(Planung!DN48="",$C48,IF(ISNUMBER(Planung!DN48),Planung!DN48,IF(UPPER(Planung!DN48)="H",$C48/2,0)))))))</f>
        <v>0</v>
      </c>
      <c r="DO48" s="27">
        <f>IF($A48="",0,IF(Mitarbeiter!$G$46=FALSE,0,IF(AND(Mitarbeiter!$E$46&lt;&gt;"",DO$5+6&lt;Mitarbeiter!$E$46),0,IF(AND(Mitarbeiter!$F$46&lt;&gt;"",DO$5&gt;Mitarbeiter!$F$46),0,IF(Planung!DO48="",$C48,IF(ISNUMBER(Planung!DO48),Planung!DO48,IF(UPPER(Planung!DO48)="H",$C48/2,0)))))))</f>
        <v>0</v>
      </c>
      <c r="DP48" s="27">
        <f>IF($A48="",0,IF(Mitarbeiter!$G$46=FALSE,0,IF(AND(Mitarbeiter!$E$46&lt;&gt;"",DP$5+6&lt;Mitarbeiter!$E$46),0,IF(AND(Mitarbeiter!$F$46&lt;&gt;"",DP$5&gt;Mitarbeiter!$F$46),0,IF(Planung!DP48="",$C48,IF(ISNUMBER(Planung!DP48),Planung!DP48,IF(UPPER(Planung!DP48)="H",$C48/2,0)))))))</f>
        <v>0</v>
      </c>
      <c r="DQ48" s="27">
        <f>IF($A48="",0,IF(Mitarbeiter!$G$46=FALSE,0,IF(AND(Mitarbeiter!$E$46&lt;&gt;"",DQ$5+6&lt;Mitarbeiter!$E$46),0,IF(AND(Mitarbeiter!$F$46&lt;&gt;"",DQ$5&gt;Mitarbeiter!$F$46),0,IF(Planung!DQ48="",$C48,IF(ISNUMBER(Planung!DQ48),Planung!DQ48,IF(UPPER(Planung!DQ48)="H",$C48/2,0)))))))</f>
        <v>0</v>
      </c>
      <c r="DR48" s="27">
        <f>IF($A48="",0,IF(Mitarbeiter!$G$46=FALSE,0,IF(AND(Mitarbeiter!$E$46&lt;&gt;"",DR$5+6&lt;Mitarbeiter!$E$46),0,IF(AND(Mitarbeiter!$F$46&lt;&gt;"",DR$5&gt;Mitarbeiter!$F$46),0,IF(Planung!DR48="",$C48,IF(ISNUMBER(Planung!DR48),Planung!DR48,IF(UPPER(Planung!DR48)="H",$C48/2,0)))))))</f>
        <v>0</v>
      </c>
      <c r="DS48" s="27">
        <f>IF($A48="",0,IF(Mitarbeiter!$G$46=FALSE,0,IF(AND(Mitarbeiter!$E$46&lt;&gt;"",DS$5+6&lt;Mitarbeiter!$E$46),0,IF(AND(Mitarbeiter!$F$46&lt;&gt;"",DS$5&gt;Mitarbeiter!$F$46),0,IF(Planung!DS48="",$C48,IF(ISNUMBER(Planung!DS48),Planung!DS48,IF(UPPER(Planung!DS48)="H",$C48/2,0)))))))</f>
        <v>0</v>
      </c>
      <c r="DT48" s="27">
        <f>IF($A48="",0,IF(Mitarbeiter!$G$46=FALSE,0,IF(AND(Mitarbeiter!$E$46&lt;&gt;"",DT$5+6&lt;Mitarbeiter!$E$46),0,IF(AND(Mitarbeiter!$F$46&lt;&gt;"",DT$5&gt;Mitarbeiter!$F$46),0,IF(Planung!DT48="",$C48,IF(ISNUMBER(Planung!DT48),Planung!DT48,IF(UPPER(Planung!DT48)="H",$C48/2,0)))))))</f>
        <v>0</v>
      </c>
      <c r="DU48" s="27">
        <f>IF($A48="",0,IF(Mitarbeiter!$G$46=FALSE,0,IF(AND(Mitarbeiter!$E$46&lt;&gt;"",DU$5+6&lt;Mitarbeiter!$E$46),0,IF(AND(Mitarbeiter!$F$46&lt;&gt;"",DU$5&gt;Mitarbeiter!$F$46),0,IF(Planung!DU48="",$C48,IF(ISNUMBER(Planung!DU48),Planung!DU48,IF(UPPER(Planung!DU48)="H",$C48/2,0)))))))</f>
        <v>0</v>
      </c>
      <c r="DV48" s="27">
        <f>IF($A48="",0,IF(Mitarbeiter!$G$46=FALSE,0,IF(AND(Mitarbeiter!$E$46&lt;&gt;"",DV$5+6&lt;Mitarbeiter!$E$46),0,IF(AND(Mitarbeiter!$F$46&lt;&gt;"",DV$5&gt;Mitarbeiter!$F$46),0,IF(Planung!DV48="",$C48,IF(ISNUMBER(Planung!DV48),Planung!DV48,IF(UPPER(Planung!DV48)="H",$C48/2,0)))))))</f>
        <v>0</v>
      </c>
      <c r="DW48" s="27">
        <f>IF($A48="",0,IF(Mitarbeiter!$G$46=FALSE,0,IF(AND(Mitarbeiter!$E$46&lt;&gt;"",DW$5+6&lt;Mitarbeiter!$E$46),0,IF(AND(Mitarbeiter!$F$46&lt;&gt;"",DW$5&gt;Mitarbeiter!$F$46),0,IF(Planung!DW48="",$C48,IF(ISNUMBER(Planung!DW48),Planung!DW48,IF(UPPER(Planung!DW48)="H",$C48/2,0)))))))</f>
        <v>0</v>
      </c>
      <c r="DX48" s="27">
        <f>IF($A48="",0,IF(Mitarbeiter!$G$46=FALSE,0,IF(AND(Mitarbeiter!$E$46&lt;&gt;"",DX$5+6&lt;Mitarbeiter!$E$46),0,IF(AND(Mitarbeiter!$F$46&lt;&gt;"",DX$5&gt;Mitarbeiter!$F$46),0,IF(Planung!DX48="",$C48,IF(ISNUMBER(Planung!DX48),Planung!DX48,IF(UPPER(Planung!DX48)="H",$C48/2,0)))))))</f>
        <v>0</v>
      </c>
      <c r="DY48" s="27">
        <f>IF($A48="",0,IF(Mitarbeiter!$G$46=FALSE,0,IF(AND(Mitarbeiter!$E$46&lt;&gt;"",DY$5+6&lt;Mitarbeiter!$E$46),0,IF(AND(Mitarbeiter!$F$46&lt;&gt;"",DY$5&gt;Mitarbeiter!$F$46),0,IF(Planung!DY48="",$C48,IF(ISNUMBER(Planung!DY48),Planung!DY48,IF(UPPER(Planung!DY48)="H",$C48/2,0)))))))</f>
        <v>0</v>
      </c>
      <c r="DZ48" s="27">
        <f>IF($A48="",0,IF(Mitarbeiter!$G$46=FALSE,0,IF(AND(Mitarbeiter!$E$46&lt;&gt;"",DZ$5+6&lt;Mitarbeiter!$E$46),0,IF(AND(Mitarbeiter!$F$46&lt;&gt;"",DZ$5&gt;Mitarbeiter!$F$46),0,IF(Planung!DZ48="",$C48,IF(ISNUMBER(Planung!DZ48),Planung!DZ48,IF(UPPER(Planung!DZ48)="H",$C48/2,0)))))))</f>
        <v>0</v>
      </c>
      <c r="EA48" s="27">
        <f>IF($A48="",0,IF(Mitarbeiter!$G$46=FALSE,0,IF(AND(Mitarbeiter!$E$46&lt;&gt;"",EA$5+6&lt;Mitarbeiter!$E$46),0,IF(AND(Mitarbeiter!$F$46&lt;&gt;"",EA$5&gt;Mitarbeiter!$F$46),0,IF(Planung!EA48="",$C48,IF(ISNUMBER(Planung!EA48),Planung!EA48,IF(UPPER(Planung!EA48)="H",$C48/2,0)))))))</f>
        <v>0</v>
      </c>
      <c r="EB48" s="27">
        <f>IF($A48="",0,IF(Mitarbeiter!$G$46=FALSE,0,IF(AND(Mitarbeiter!$E$46&lt;&gt;"",EB$5+6&lt;Mitarbeiter!$E$46),0,IF(AND(Mitarbeiter!$F$46&lt;&gt;"",EB$5&gt;Mitarbeiter!$F$46),0,IF(Planung!EB48="",$C48,IF(ISNUMBER(Planung!EB48),Planung!EB48,IF(UPPER(Planung!EB48)="H",$C48/2,0)))))))</f>
        <v>0</v>
      </c>
      <c r="EC48" s="27">
        <f>IF($A48="",0,IF(Mitarbeiter!$G$46=FALSE,0,IF(AND(Mitarbeiter!$E$46&lt;&gt;"",EC$5+6&lt;Mitarbeiter!$E$46),0,IF(AND(Mitarbeiter!$F$46&lt;&gt;"",EC$5&gt;Mitarbeiter!$F$46),0,IF(Planung!EC48="",$C48,IF(ISNUMBER(Planung!EC48),Planung!EC48,IF(UPPER(Planung!EC48)="H",$C48/2,0)))))))</f>
        <v>0</v>
      </c>
      <c r="ED48" s="27">
        <f>IF($A48="",0,IF(Mitarbeiter!$G$46=FALSE,0,IF(AND(Mitarbeiter!$E$46&lt;&gt;"",ED$5+6&lt;Mitarbeiter!$E$46),0,IF(AND(Mitarbeiter!$F$46&lt;&gt;"",ED$5&gt;Mitarbeiter!$F$46),0,IF(Planung!ED48="",$C48,IF(ISNUMBER(Planung!ED48),Planung!ED48,IF(UPPER(Planung!ED48)="H",$C48/2,0)))))))</f>
        <v>0</v>
      </c>
      <c r="EE48" s="27">
        <f>IF($A48="",0,IF(Mitarbeiter!$G$46=FALSE,0,IF(AND(Mitarbeiter!$E$46&lt;&gt;"",EE$5+6&lt;Mitarbeiter!$E$46),0,IF(AND(Mitarbeiter!$F$46&lt;&gt;"",EE$5&gt;Mitarbeiter!$F$46),0,IF(Planung!EE48="",$C48,IF(ISNUMBER(Planung!EE48),Planung!EE48,IF(UPPER(Planung!EE48)="H",$C48/2,0)))))))</f>
        <v>0</v>
      </c>
      <c r="EF48" s="27">
        <f>IF($A48="",0,IF(Mitarbeiter!$G$46=FALSE,0,IF(AND(Mitarbeiter!$E$46&lt;&gt;"",EF$5+6&lt;Mitarbeiter!$E$46),0,IF(AND(Mitarbeiter!$F$46&lt;&gt;"",EF$5&gt;Mitarbeiter!$F$46),0,IF(Planung!EF48="",$C48,IF(ISNUMBER(Planung!EF48),Planung!EF48,IF(UPPER(Planung!EF48)="H",$C48/2,0)))))))</f>
        <v>0</v>
      </c>
      <c r="EG48" s="27">
        <f>IF($A48="",0,IF(Mitarbeiter!$G$46=FALSE,0,IF(AND(Mitarbeiter!$E$46&lt;&gt;"",EG$5+6&lt;Mitarbeiter!$E$46),0,IF(AND(Mitarbeiter!$F$46&lt;&gt;"",EG$5&gt;Mitarbeiter!$F$46),0,IF(Planung!EG48="",$C48,IF(ISNUMBER(Planung!EG48),Planung!EG48,IF(UPPER(Planung!EG48)="H",$C48/2,0)))))))</f>
        <v>0</v>
      </c>
      <c r="EH48" s="27">
        <f>IF($A48="",0,IF(Mitarbeiter!$G$46=FALSE,0,IF(AND(Mitarbeiter!$E$46&lt;&gt;"",EH$5+6&lt;Mitarbeiter!$E$46),0,IF(AND(Mitarbeiter!$F$46&lt;&gt;"",EH$5&gt;Mitarbeiter!$F$46),0,IF(Planung!EH48="",$C48,IF(ISNUMBER(Planung!EH48),Planung!EH48,IF(UPPER(Planung!EH48)="H",$C48/2,0)))))))</f>
        <v>0</v>
      </c>
      <c r="EI48" s="27">
        <f>IF($A48="",0,IF(Mitarbeiter!$G$46=FALSE,0,IF(AND(Mitarbeiter!$E$46&lt;&gt;"",EI$5+6&lt;Mitarbeiter!$E$46),0,IF(AND(Mitarbeiter!$F$46&lt;&gt;"",EI$5&gt;Mitarbeiter!$F$46),0,IF(Planung!EI48="",$C48,IF(ISNUMBER(Planung!EI48),Planung!EI48,IF(UPPER(Planung!EI48)="H",$C48/2,0)))))))</f>
        <v>0</v>
      </c>
      <c r="EJ48" s="27">
        <f>IF($A48="",0,IF(Mitarbeiter!$G$46=FALSE,0,IF(AND(Mitarbeiter!$E$46&lt;&gt;"",EJ$5+6&lt;Mitarbeiter!$E$46),0,IF(AND(Mitarbeiter!$F$46&lt;&gt;"",EJ$5&gt;Mitarbeiter!$F$46),0,IF(Planung!EJ48="",$C48,IF(ISNUMBER(Planung!EJ48),Planung!EJ48,IF(UPPER(Planung!EJ48)="H",$C48/2,0)))))))</f>
        <v>0</v>
      </c>
      <c r="EK48" s="27">
        <f>IF($A48="",0,IF(Mitarbeiter!$G$46=FALSE,0,IF(AND(Mitarbeiter!$E$46&lt;&gt;"",EK$5+6&lt;Mitarbeiter!$E$46),0,IF(AND(Mitarbeiter!$F$46&lt;&gt;"",EK$5&gt;Mitarbeiter!$F$46),0,IF(Planung!EK48="",$C48,IF(ISNUMBER(Planung!EK48),Planung!EK48,IF(UPPER(Planung!EK48)="H",$C48/2,0)))))))</f>
        <v>0</v>
      </c>
      <c r="EL48" s="27">
        <f>IF($A48="",0,IF(Mitarbeiter!$G$46=FALSE,0,IF(AND(Mitarbeiter!$E$46&lt;&gt;"",EL$5+6&lt;Mitarbeiter!$E$46),0,IF(AND(Mitarbeiter!$F$46&lt;&gt;"",EL$5&gt;Mitarbeiter!$F$46),0,IF(Planung!EL48="",$C48,IF(ISNUMBER(Planung!EL48),Planung!EL48,IF(UPPER(Planung!EL48)="H",$C48/2,0)))))))</f>
        <v>0</v>
      </c>
      <c r="EM48" s="27">
        <f>IF($A48="",0,IF(Mitarbeiter!$G$46=FALSE,0,IF(AND(Mitarbeiter!$E$46&lt;&gt;"",EM$5+6&lt;Mitarbeiter!$E$46),0,IF(AND(Mitarbeiter!$F$46&lt;&gt;"",EM$5&gt;Mitarbeiter!$F$46),0,IF(Planung!EM48="",$C48,IF(ISNUMBER(Planung!EM48),Planung!EM48,IF(UPPER(Planung!EM48)="H",$C48/2,0)))))))</f>
        <v>0</v>
      </c>
      <c r="EN48" s="27">
        <f>IF($A48="",0,IF(Mitarbeiter!$G$46=FALSE,0,IF(AND(Mitarbeiter!$E$46&lt;&gt;"",EN$5+6&lt;Mitarbeiter!$E$46),0,IF(AND(Mitarbeiter!$F$46&lt;&gt;"",EN$5&gt;Mitarbeiter!$F$46),0,IF(Planung!EN48="",$C48,IF(ISNUMBER(Planung!EN48),Planung!EN48,IF(UPPER(Planung!EN48)="H",$C48/2,0)))))))</f>
        <v>0</v>
      </c>
      <c r="EO48" s="27">
        <f>IF($A48="",0,IF(Mitarbeiter!$G$46=FALSE,0,IF(AND(Mitarbeiter!$E$46&lt;&gt;"",EO$5+6&lt;Mitarbeiter!$E$46),0,IF(AND(Mitarbeiter!$F$46&lt;&gt;"",EO$5&gt;Mitarbeiter!$F$46),0,IF(Planung!EO48="",$C48,IF(ISNUMBER(Planung!EO48),Planung!EO48,IF(UPPER(Planung!EO48)="H",$C48/2,0)))))))</f>
        <v>0</v>
      </c>
      <c r="EP48" s="27">
        <f>IF($A48="",0,IF(Mitarbeiter!$G$46=FALSE,0,IF(AND(Mitarbeiter!$E$46&lt;&gt;"",EP$5+6&lt;Mitarbeiter!$E$46),0,IF(AND(Mitarbeiter!$F$46&lt;&gt;"",EP$5&gt;Mitarbeiter!$F$46),0,IF(Planung!EP48="",$C48,IF(ISNUMBER(Planung!EP48),Planung!EP48,IF(UPPER(Planung!EP48)="H",$C48/2,0)))))))</f>
        <v>0</v>
      </c>
      <c r="EQ48" s="27">
        <f>IF($A48="",0,IF(Mitarbeiter!$G$46=FALSE,0,IF(AND(Mitarbeiter!$E$46&lt;&gt;"",EQ$5+6&lt;Mitarbeiter!$E$46),0,IF(AND(Mitarbeiter!$F$46&lt;&gt;"",EQ$5&gt;Mitarbeiter!$F$46),0,IF(Planung!EQ48="",$C48,IF(ISNUMBER(Planung!EQ48),Planung!EQ48,IF(UPPER(Planung!EQ48)="H",$C48/2,0)))))))</f>
        <v>0</v>
      </c>
      <c r="ER48" s="27">
        <f>IF($A48="",0,IF(Mitarbeiter!$G$46=FALSE,0,IF(AND(Mitarbeiter!$E$46&lt;&gt;"",ER$5+6&lt;Mitarbeiter!$E$46),0,IF(AND(Mitarbeiter!$F$46&lt;&gt;"",ER$5&gt;Mitarbeiter!$F$46),0,IF(Planung!ER48="",$C48,IF(ISNUMBER(Planung!ER48),Planung!ER48,IF(UPPER(Planung!ER48)="H",$C48/2,0)))))))</f>
        <v>0</v>
      </c>
      <c r="ES48" s="27">
        <f>IF($A48="",0,IF(Mitarbeiter!$G$46=FALSE,0,IF(AND(Mitarbeiter!$E$46&lt;&gt;"",ES$5+6&lt;Mitarbeiter!$E$46),0,IF(AND(Mitarbeiter!$F$46&lt;&gt;"",ES$5&gt;Mitarbeiter!$F$46),0,IF(Planung!ES48="",$C48,IF(ISNUMBER(Planung!ES48),Planung!ES48,IF(UPPER(Planung!ES48)="H",$C48/2,0)))))))</f>
        <v>0</v>
      </c>
      <c r="ET48" s="27">
        <f>IF($A48="",0,IF(Mitarbeiter!$G$46=FALSE,0,IF(AND(Mitarbeiter!$E$46&lt;&gt;"",ET$5+6&lt;Mitarbeiter!$E$46),0,IF(AND(Mitarbeiter!$F$46&lt;&gt;"",ET$5&gt;Mitarbeiter!$F$46),0,IF(Planung!ET48="",$C48,IF(ISNUMBER(Planung!ET48),Planung!ET48,IF(UPPER(Planung!ET48)="H",$C48/2,0)))))))</f>
        <v>0</v>
      </c>
      <c r="EU48" s="27">
        <f>IF($A48="",0,IF(Mitarbeiter!$G$46=FALSE,0,IF(AND(Mitarbeiter!$E$46&lt;&gt;"",EU$5+6&lt;Mitarbeiter!$E$46),0,IF(AND(Mitarbeiter!$F$46&lt;&gt;"",EU$5&gt;Mitarbeiter!$F$46),0,IF(Planung!EU48="",$C48,IF(ISNUMBER(Planung!EU48),Planung!EU48,IF(UPPER(Planung!EU48)="H",$C48/2,0)))))))</f>
        <v>0</v>
      </c>
      <c r="EV48" s="27">
        <f>IF($A48="",0,IF(Mitarbeiter!$G$46=FALSE,0,IF(AND(Mitarbeiter!$E$46&lt;&gt;"",EV$5+6&lt;Mitarbeiter!$E$46),0,IF(AND(Mitarbeiter!$F$46&lt;&gt;"",EV$5&gt;Mitarbeiter!$F$46),0,IF(Planung!EV48="",$C48,IF(ISNUMBER(Planung!EV48),Planung!EV48,IF(UPPER(Planung!EV48)="H",$C48/2,0)))))))</f>
        <v>0</v>
      </c>
      <c r="EW48" s="27">
        <f>IF($A48="",0,IF(Mitarbeiter!$G$46=FALSE,0,IF(AND(Mitarbeiter!$E$46&lt;&gt;"",EW$5+6&lt;Mitarbeiter!$E$46),0,IF(AND(Mitarbeiter!$F$46&lt;&gt;"",EW$5&gt;Mitarbeiter!$F$46),0,IF(Planung!EW48="",$C48,IF(ISNUMBER(Planung!EW48),Planung!EW48,IF(UPPER(Planung!EW48)="H",$C48/2,0)))))))</f>
        <v>0</v>
      </c>
      <c r="EX48" s="27">
        <f>IF($A48="",0,IF(Mitarbeiter!$G$46=FALSE,0,IF(AND(Mitarbeiter!$E$46&lt;&gt;"",EX$5+6&lt;Mitarbeiter!$E$46),0,IF(AND(Mitarbeiter!$F$46&lt;&gt;"",EX$5&gt;Mitarbeiter!$F$46),0,IF(Planung!EX48="",$C48,IF(ISNUMBER(Planung!EX48),Planung!EX48,IF(UPPER(Planung!EX48)="H",$C48/2,0)))))))</f>
        <v>0</v>
      </c>
      <c r="EY48" s="27">
        <f>IF($A48="",0,IF(Mitarbeiter!$G$46=FALSE,0,IF(AND(Mitarbeiter!$E$46&lt;&gt;"",EY$5+6&lt;Mitarbeiter!$E$46),0,IF(AND(Mitarbeiter!$F$46&lt;&gt;"",EY$5&gt;Mitarbeiter!$F$46),0,IF(Planung!EY48="",$C48,IF(ISNUMBER(Planung!EY48),Planung!EY48,IF(UPPER(Planung!EY48)="H",$C48/2,0)))))))</f>
        <v>0</v>
      </c>
      <c r="EZ48" s="27">
        <f>IF($A48="",0,IF(Mitarbeiter!$G$46=FALSE,0,IF(AND(Mitarbeiter!$E$46&lt;&gt;"",EZ$5+6&lt;Mitarbeiter!$E$46),0,IF(AND(Mitarbeiter!$F$46&lt;&gt;"",EZ$5&gt;Mitarbeiter!$F$46),0,IF(Planung!EZ48="",$C48,IF(ISNUMBER(Planung!EZ48),Planung!EZ48,IF(UPPER(Planung!EZ48)="H",$C48/2,0)))))))</f>
        <v>0</v>
      </c>
      <c r="FA48" s="27">
        <f>IF($A48="",0,IF(Mitarbeiter!$G$46=FALSE,0,IF(AND(Mitarbeiter!$E$46&lt;&gt;"",FA$5+6&lt;Mitarbeiter!$E$46),0,IF(AND(Mitarbeiter!$F$46&lt;&gt;"",FA$5&gt;Mitarbeiter!$F$46),0,IF(Planung!FA48="",$C48,IF(ISNUMBER(Planung!FA48),Planung!FA48,IF(UPPER(Planung!FA48)="H",$C48/2,0)))))))</f>
        <v>0</v>
      </c>
      <c r="FB48" s="27">
        <f>IF($A48="",0,IF(Mitarbeiter!$G$46=FALSE,0,IF(AND(Mitarbeiter!$E$46&lt;&gt;"",FB$5+6&lt;Mitarbeiter!$E$46),0,IF(AND(Mitarbeiter!$F$46&lt;&gt;"",FB$5&gt;Mitarbeiter!$F$46),0,IF(Planung!FB48="",$C48,IF(ISNUMBER(Planung!FB48),Planung!FB48,IF(UPPER(Planung!FB48)="H",$C48/2,0)))))))</f>
        <v>0</v>
      </c>
      <c r="FC48" s="27">
        <f>IF($A48="",0,IF(Mitarbeiter!$G$46=FALSE,0,IF(AND(Mitarbeiter!$E$46&lt;&gt;"",FC$5+6&lt;Mitarbeiter!$E$46),0,IF(AND(Mitarbeiter!$F$46&lt;&gt;"",FC$5&gt;Mitarbeiter!$F$46),0,IF(Planung!FC48="",$C48,IF(ISNUMBER(Planung!FC48),Planung!FC48,IF(UPPER(Planung!FC48)="H",$C48/2,0)))))))</f>
        <v>0</v>
      </c>
      <c r="FD48" s="27">
        <f>IF($A48="",0,IF(Mitarbeiter!$G$46=FALSE,0,IF(AND(Mitarbeiter!$E$46&lt;&gt;"",FD$5+6&lt;Mitarbeiter!$E$46),0,IF(AND(Mitarbeiter!$F$46&lt;&gt;"",FD$5&gt;Mitarbeiter!$F$46),0,IF(Planung!FD48="",$C48,IF(ISNUMBER(Planung!FD48),Planung!FD48,IF(UPPER(Planung!FD48)="H",$C48/2,0)))))))</f>
        <v>0</v>
      </c>
      <c r="FE48" s="27">
        <f>IF($A48="",0,IF(Mitarbeiter!$G$46=FALSE,0,IF(AND(Mitarbeiter!$E$46&lt;&gt;"",FE$5+6&lt;Mitarbeiter!$E$46),0,IF(AND(Mitarbeiter!$F$46&lt;&gt;"",FE$5&gt;Mitarbeiter!$F$46),0,IF(Planung!FE48="",$C48,IF(ISNUMBER(Planung!FE48),Planung!FE48,IF(UPPER(Planung!FE48)="H",$C48/2,0)))))))</f>
        <v>0</v>
      </c>
      <c r="FF48" s="27">
        <f>IF($A48="",0,IF(Mitarbeiter!$G$46=FALSE,0,IF(AND(Mitarbeiter!$E$46&lt;&gt;"",FF$5+6&lt;Mitarbeiter!$E$46),0,IF(AND(Mitarbeiter!$F$46&lt;&gt;"",FF$5&gt;Mitarbeiter!$F$46),0,IF(Planung!FF48="",$C48,IF(ISNUMBER(Planung!FF48),Planung!FF48,IF(UPPER(Planung!FF48)="H",$C48/2,0)))))))</f>
        <v>0</v>
      </c>
      <c r="FG48" s="27">
        <f>IF($A48="",0,IF(Mitarbeiter!$G$46=FALSE,0,IF(AND(Mitarbeiter!$E$46&lt;&gt;"",FG$5+6&lt;Mitarbeiter!$E$46),0,IF(AND(Mitarbeiter!$F$46&lt;&gt;"",FG$5&gt;Mitarbeiter!$F$46),0,IF(Planung!FG48="",$C48,IF(ISNUMBER(Planung!FG48),Planung!FG48,IF(UPPER(Planung!FG48)="H",$C48/2,0)))))))</f>
        <v>0</v>
      </c>
      <c r="FH48" s="27">
        <f>IF($A48="",0,IF(Mitarbeiter!$G$46=FALSE,0,IF(AND(Mitarbeiter!$E$46&lt;&gt;"",FH$5+6&lt;Mitarbeiter!$E$46),0,IF(AND(Mitarbeiter!$F$46&lt;&gt;"",FH$5&gt;Mitarbeiter!$F$46),0,IF(Planung!FH48="",$C48,IF(ISNUMBER(Planung!FH48),Planung!FH48,IF(UPPER(Planung!FH48)="H",$C48/2,0)))))))</f>
        <v>0</v>
      </c>
      <c r="FI48" s="27">
        <f>IF($A48="",0,IF(Mitarbeiter!$G$46=FALSE,0,IF(AND(Mitarbeiter!$E$46&lt;&gt;"",FI$5+6&lt;Mitarbeiter!$E$46),0,IF(AND(Mitarbeiter!$F$46&lt;&gt;"",FI$5&gt;Mitarbeiter!$F$46),0,IF(Planung!FI48="",$C48,IF(ISNUMBER(Planung!FI48),Planung!FI48,IF(UPPER(Planung!FI48)="H",$C48/2,0)))))))</f>
        <v>0</v>
      </c>
      <c r="FJ48" s="27">
        <f>IF($A48="",0,IF(Mitarbeiter!$G$46=FALSE,0,IF(AND(Mitarbeiter!$E$46&lt;&gt;"",FJ$5+6&lt;Mitarbeiter!$E$46),0,IF(AND(Mitarbeiter!$F$46&lt;&gt;"",FJ$5&gt;Mitarbeiter!$F$46),0,IF(Planung!FJ48="",$C48,IF(ISNUMBER(Planung!FJ48),Planung!FJ48,IF(UPPER(Planung!FJ48)="H",$C48/2,0)))))))</f>
        <v>0</v>
      </c>
      <c r="FK48" s="27">
        <f>IF($A48="",0,IF(Mitarbeiter!$G$46=FALSE,0,IF(AND(Mitarbeiter!$E$46&lt;&gt;"",FK$5+6&lt;Mitarbeiter!$E$46),0,IF(AND(Mitarbeiter!$F$46&lt;&gt;"",FK$5&gt;Mitarbeiter!$F$46),0,IF(Planung!FK48="",$C48,IF(ISNUMBER(Planung!FK48),Planung!FK48,IF(UPPER(Planung!FK48)="H",$C48/2,0)))))))</f>
        <v>0</v>
      </c>
      <c r="FL48" s="27">
        <f>IF($A48="",0,IF(Mitarbeiter!$G$46=FALSE,0,IF(AND(Mitarbeiter!$E$46&lt;&gt;"",FL$5+6&lt;Mitarbeiter!$E$46),0,IF(AND(Mitarbeiter!$F$46&lt;&gt;"",FL$5&gt;Mitarbeiter!$F$46),0,IF(Planung!FL48="",$C48,IF(ISNUMBER(Planung!FL48),Planung!FL48,IF(UPPER(Planung!FL48)="H",$C48/2,0)))))))</f>
        <v>0</v>
      </c>
      <c r="FM48" s="27">
        <f>IF($A48="",0,IF(Mitarbeiter!$G$46=FALSE,0,IF(AND(Mitarbeiter!$E$46&lt;&gt;"",FM$5+6&lt;Mitarbeiter!$E$46),0,IF(AND(Mitarbeiter!$F$46&lt;&gt;"",FM$5&gt;Mitarbeiter!$F$46),0,IF(Planung!FM48="",$C48,IF(ISNUMBER(Planung!FM48),Planung!FM48,IF(UPPER(Planung!FM48)="H",$C48/2,0)))))))</f>
        <v>0</v>
      </c>
      <c r="FN48" s="27">
        <f>IF($A48="",0,IF(Mitarbeiter!$G$46=FALSE,0,IF(AND(Mitarbeiter!$E$46&lt;&gt;"",FN$5+6&lt;Mitarbeiter!$E$46),0,IF(AND(Mitarbeiter!$F$46&lt;&gt;"",FN$5&gt;Mitarbeiter!$F$46),0,IF(Planung!FN48="",$C48,IF(ISNUMBER(Planung!FN48),Planung!FN48,IF(UPPER(Planung!FN48)="H",$C48/2,0)))))))</f>
        <v>0</v>
      </c>
      <c r="FO48" s="27">
        <f>IF($A48="",0,IF(Mitarbeiter!$G$46=FALSE,0,IF(AND(Mitarbeiter!$E$46&lt;&gt;"",FO$5+6&lt;Mitarbeiter!$E$46),0,IF(AND(Mitarbeiter!$F$46&lt;&gt;"",FO$5&gt;Mitarbeiter!$F$46),0,IF(Planung!FO48="",$C48,IF(ISNUMBER(Planung!FO48),Planung!FO48,IF(UPPER(Planung!FO48)="H",$C48/2,0)))))))</f>
        <v>0</v>
      </c>
      <c r="FP48" s="27">
        <f>IF($A48="",0,IF(Mitarbeiter!$G$46=FALSE,0,IF(AND(Mitarbeiter!$E$46&lt;&gt;"",FP$5+6&lt;Mitarbeiter!$E$46),0,IF(AND(Mitarbeiter!$F$46&lt;&gt;"",FP$5&gt;Mitarbeiter!$F$46),0,IF(Planung!FP48="",$C48,IF(ISNUMBER(Planung!FP48),Planung!FP48,IF(UPPER(Planung!FP48)="H",$C48/2,0)))))))</f>
        <v>0</v>
      </c>
      <c r="FQ48" s="27">
        <f>IF($A48="",0,IF(Mitarbeiter!$G$46=FALSE,0,IF(AND(Mitarbeiter!$E$46&lt;&gt;"",FQ$5+6&lt;Mitarbeiter!$E$46),0,IF(AND(Mitarbeiter!$F$46&lt;&gt;"",FQ$5&gt;Mitarbeiter!$F$46),0,IF(Planung!FQ48="",$C48,IF(ISNUMBER(Planung!FQ48),Planung!FQ48,IF(UPPER(Planung!FQ48)="H",$C48/2,0)))))))</f>
        <v>0</v>
      </c>
      <c r="FR48" s="27">
        <f>IF($A48="",0,IF(Mitarbeiter!$G$46=FALSE,0,IF(AND(Mitarbeiter!$E$46&lt;&gt;"",FR$5+6&lt;Mitarbeiter!$E$46),0,IF(AND(Mitarbeiter!$F$46&lt;&gt;"",FR$5&gt;Mitarbeiter!$F$46),0,IF(Planung!FR48="",$C48,IF(ISNUMBER(Planung!FR48),Planung!FR48,IF(UPPER(Planung!FR48)="H",$C48/2,0)))))))</f>
        <v>0</v>
      </c>
      <c r="FS48" s="27">
        <f>IF($A48="",0,IF(Mitarbeiter!$G$46=FALSE,0,IF(AND(Mitarbeiter!$E$46&lt;&gt;"",FS$5+6&lt;Mitarbeiter!$E$46),0,IF(AND(Mitarbeiter!$F$46&lt;&gt;"",FS$5&gt;Mitarbeiter!$F$46),0,IF(Planung!FS48="",$C48,IF(ISNUMBER(Planung!FS48),Planung!FS48,IF(UPPER(Planung!FS48)="H",$C48/2,0)))))))</f>
        <v>0</v>
      </c>
      <c r="FT48" s="27">
        <f>IF($A48="",0,IF(Mitarbeiter!$G$46=FALSE,0,IF(AND(Mitarbeiter!$E$46&lt;&gt;"",FT$5+6&lt;Mitarbeiter!$E$46),0,IF(AND(Mitarbeiter!$F$46&lt;&gt;"",FT$5&gt;Mitarbeiter!$F$46),0,IF(Planung!FT48="",$C48,IF(ISNUMBER(Planung!FT48),Planung!FT48,IF(UPPER(Planung!FT48)="H",$C48/2,0)))))))</f>
        <v>0</v>
      </c>
      <c r="FU48" s="27">
        <f>IF($A48="",0,IF(Mitarbeiter!$G$46=FALSE,0,IF(AND(Mitarbeiter!$E$46&lt;&gt;"",FU$5+6&lt;Mitarbeiter!$E$46),0,IF(AND(Mitarbeiter!$F$46&lt;&gt;"",FU$5&gt;Mitarbeiter!$F$46),0,IF(Planung!FU48="",$C48,IF(ISNUMBER(Planung!FU48),Planung!FU48,IF(UPPER(Planung!FU48)="H",$C48/2,0)))))))</f>
        <v>0</v>
      </c>
      <c r="FV48" s="27">
        <f>IF($A48="",0,IF(Mitarbeiter!$G$46=FALSE,0,IF(AND(Mitarbeiter!$E$46&lt;&gt;"",FV$5+6&lt;Mitarbeiter!$E$46),0,IF(AND(Mitarbeiter!$F$46&lt;&gt;"",FV$5&gt;Mitarbeiter!$F$46),0,IF(Planung!FV48="",$C48,IF(ISNUMBER(Planung!FV48),Planung!FV48,IF(UPPER(Planung!FV48)="H",$C48/2,0)))))))</f>
        <v>0</v>
      </c>
      <c r="FW48" s="27">
        <f>IF($A48="",0,IF(Mitarbeiter!$G$46=FALSE,0,IF(AND(Mitarbeiter!$E$46&lt;&gt;"",FW$5+6&lt;Mitarbeiter!$E$46),0,IF(AND(Mitarbeiter!$F$46&lt;&gt;"",FW$5&gt;Mitarbeiter!$F$46),0,IF(Planung!FW48="",$C48,IF(ISNUMBER(Planung!FW48),Planung!FW48,IF(UPPER(Planung!FW48)="H",$C48/2,0)))))))</f>
        <v>0</v>
      </c>
      <c r="FX48" s="27">
        <f>IF($A48="",0,IF(Mitarbeiter!$G$46=FALSE,0,IF(AND(Mitarbeiter!$E$46&lt;&gt;"",FX$5+6&lt;Mitarbeiter!$E$46),0,IF(AND(Mitarbeiter!$F$46&lt;&gt;"",FX$5&gt;Mitarbeiter!$F$46),0,IF(Planung!FX48="",$C48,IF(ISNUMBER(Planung!FX48),Planung!FX48,IF(UPPER(Planung!FX48)="H",$C48/2,0)))))))</f>
        <v>0</v>
      </c>
      <c r="FY48" s="27">
        <f>IF($A48="",0,IF(Mitarbeiter!$G$46=FALSE,0,IF(AND(Mitarbeiter!$E$46&lt;&gt;"",FY$5+6&lt;Mitarbeiter!$E$46),0,IF(AND(Mitarbeiter!$F$46&lt;&gt;"",FY$5&gt;Mitarbeiter!$F$46),0,IF(Planung!FY48="",$C48,IF(ISNUMBER(Planung!FY48),Planung!FY48,IF(UPPER(Planung!FY48)="H",$C48/2,0)))))))</f>
        <v>0</v>
      </c>
      <c r="FZ48" s="27">
        <f>IF($A48="",0,IF(Mitarbeiter!$G$46=FALSE,0,IF(AND(Mitarbeiter!$E$46&lt;&gt;"",FZ$5+6&lt;Mitarbeiter!$E$46),0,IF(AND(Mitarbeiter!$F$46&lt;&gt;"",FZ$5&gt;Mitarbeiter!$F$46),0,IF(Planung!FZ48="",$C48,IF(ISNUMBER(Planung!FZ48),Planung!FZ48,IF(UPPER(Planung!FZ48)="H",$C48/2,0)))))))</f>
        <v>0</v>
      </c>
      <c r="GA48" s="27">
        <f>IF($A48="",0,IF(Mitarbeiter!$G$46=FALSE,0,IF(AND(Mitarbeiter!$E$46&lt;&gt;"",GA$5+6&lt;Mitarbeiter!$E$46),0,IF(AND(Mitarbeiter!$F$46&lt;&gt;"",GA$5&gt;Mitarbeiter!$F$46),0,IF(Planung!GA48="",$C48,IF(ISNUMBER(Planung!GA48),Planung!GA48,IF(UPPER(Planung!GA48)="H",$C48/2,0)))))))</f>
        <v>0</v>
      </c>
      <c r="GB48" s="27">
        <f>IF($A48="",0,IF(Mitarbeiter!$G$46=FALSE,0,IF(AND(Mitarbeiter!$E$46&lt;&gt;"",GB$5+6&lt;Mitarbeiter!$E$46),0,IF(AND(Mitarbeiter!$F$46&lt;&gt;"",GB$5&gt;Mitarbeiter!$F$46),0,IF(Planung!GB48="",$C48,IF(ISNUMBER(Planung!GB48),Planung!GB48,IF(UPPER(Planung!GB48)="H",$C48/2,0)))))))</f>
        <v>0</v>
      </c>
      <c r="GC48" s="27">
        <f>IF($A48="",0,IF(Mitarbeiter!$G$46=FALSE,0,IF(AND(Mitarbeiter!$E$46&lt;&gt;"",GC$5+6&lt;Mitarbeiter!$E$46),0,IF(AND(Mitarbeiter!$F$46&lt;&gt;"",GC$5&gt;Mitarbeiter!$F$46),0,IF(Planung!GC48="",$C48,IF(ISNUMBER(Planung!GC48),Planung!GC48,IF(UPPER(Planung!GC48)="H",$C48/2,0)))))))</f>
        <v>0</v>
      </c>
      <c r="GD48" s="27">
        <f>IF($A48="",0,IF(Mitarbeiter!$G$46=FALSE,0,IF(AND(Mitarbeiter!$E$46&lt;&gt;"",GD$5+6&lt;Mitarbeiter!$E$46),0,IF(AND(Mitarbeiter!$F$46&lt;&gt;"",GD$5&gt;Mitarbeiter!$F$46),0,IF(Planung!GD48="",$C48,IF(ISNUMBER(Planung!GD48),Planung!GD48,IF(UPPER(Planung!GD48)="H",$C48/2,0)))))))</f>
        <v>0</v>
      </c>
      <c r="GE48" s="27">
        <f>IF($A48="",0,IF(Mitarbeiter!$G$46=FALSE,0,IF(AND(Mitarbeiter!$E$46&lt;&gt;"",GE$5+6&lt;Mitarbeiter!$E$46),0,IF(AND(Mitarbeiter!$F$46&lt;&gt;"",GE$5&gt;Mitarbeiter!$F$46),0,IF(Planung!GE48="",$C48,IF(ISNUMBER(Planung!GE48),Planung!GE48,IF(UPPER(Planung!GE48)="H",$C48/2,0)))))))</f>
        <v>0</v>
      </c>
      <c r="GF48" s="27">
        <f>IF($A48="",0,IF(Mitarbeiter!$G$46=FALSE,0,IF(AND(Mitarbeiter!$E$46&lt;&gt;"",GF$5+6&lt;Mitarbeiter!$E$46),0,IF(AND(Mitarbeiter!$F$46&lt;&gt;"",GF$5&gt;Mitarbeiter!$F$46),0,IF(Planung!GF48="",$C48,IF(ISNUMBER(Planung!GF48),Planung!GF48,IF(UPPER(Planung!GF48)="H",$C48/2,0)))))))</f>
        <v>0</v>
      </c>
      <c r="GG48" s="27">
        <f>IF($A48="",0,IF(Mitarbeiter!$G$46=FALSE,0,IF(AND(Mitarbeiter!$E$46&lt;&gt;"",GG$5+6&lt;Mitarbeiter!$E$46),0,IF(AND(Mitarbeiter!$F$46&lt;&gt;"",GG$5&gt;Mitarbeiter!$F$46),0,IF(Planung!GG48="",$C48,IF(ISNUMBER(Planung!GG48),Planung!GG48,IF(UPPER(Planung!GG48)="H",$C48/2,0)))))))</f>
        <v>0</v>
      </c>
      <c r="GH48" s="27">
        <f>IF($A48="",0,IF(Mitarbeiter!$G$46=FALSE,0,IF(AND(Mitarbeiter!$E$46&lt;&gt;"",GH$5+6&lt;Mitarbeiter!$E$46),0,IF(AND(Mitarbeiter!$F$46&lt;&gt;"",GH$5&gt;Mitarbeiter!$F$46),0,IF(Planung!GH48="",$C48,IF(ISNUMBER(Planung!GH48),Planung!GH48,IF(UPPER(Planung!GH48)="H",$C48/2,0)))))))</f>
        <v>0</v>
      </c>
      <c r="GI48" s="27">
        <f>IF($A48="",0,IF(Mitarbeiter!$G$46=FALSE,0,IF(AND(Mitarbeiter!$E$46&lt;&gt;"",GI$5+6&lt;Mitarbeiter!$E$46),0,IF(AND(Mitarbeiter!$F$46&lt;&gt;"",GI$5&gt;Mitarbeiter!$F$46),0,IF(Planung!GI48="",$C48,IF(ISNUMBER(Planung!GI48),Planung!GI48,IF(UPPER(Planung!GI48)="H",$C48/2,0)))))))</f>
        <v>0</v>
      </c>
      <c r="GJ48" s="27">
        <f>IF($A48="",0,IF(Mitarbeiter!$G$46=FALSE,0,IF(AND(Mitarbeiter!$E$46&lt;&gt;"",GJ$5+6&lt;Mitarbeiter!$E$46),0,IF(AND(Mitarbeiter!$F$46&lt;&gt;"",GJ$5&gt;Mitarbeiter!$F$46),0,IF(Planung!GJ48="",$C48,IF(ISNUMBER(Planung!GJ48),Planung!GJ48,IF(UPPER(Planung!GJ48)="H",$C48/2,0)))))))</f>
        <v>0</v>
      </c>
      <c r="GK48" s="27">
        <f>IF($A48="",0,IF(Mitarbeiter!$G$46=FALSE,0,IF(AND(Mitarbeiter!$E$46&lt;&gt;"",GK$5+6&lt;Mitarbeiter!$E$46),0,IF(AND(Mitarbeiter!$F$46&lt;&gt;"",GK$5&gt;Mitarbeiter!$F$46),0,IF(Planung!GK48="",$C48,IF(ISNUMBER(Planung!GK48),Planung!GK48,IF(UPPER(Planung!GK48)="H",$C48/2,0)))))))</f>
        <v>0</v>
      </c>
      <c r="GL48" s="27">
        <f>IF($A48="",0,IF(Mitarbeiter!$G$46=FALSE,0,IF(AND(Mitarbeiter!$E$46&lt;&gt;"",GL$5+6&lt;Mitarbeiter!$E$46),0,IF(AND(Mitarbeiter!$F$46&lt;&gt;"",GL$5&gt;Mitarbeiter!$F$46),0,IF(Planung!GL48="",$C48,IF(ISNUMBER(Planung!GL48),Planung!GL48,IF(UPPER(Planung!GL48)="H",$C48/2,0)))))))</f>
        <v>0</v>
      </c>
      <c r="GM48" s="27">
        <f>IF($A48="",0,IF(Mitarbeiter!$G$46=FALSE,0,IF(AND(Mitarbeiter!$E$46&lt;&gt;"",GM$5+6&lt;Mitarbeiter!$E$46),0,IF(AND(Mitarbeiter!$F$46&lt;&gt;"",GM$5&gt;Mitarbeiter!$F$46),0,IF(Planung!GM48="",$C48,IF(ISNUMBER(Planung!GM48),Planung!GM48,IF(UPPER(Planung!GM48)="H",$C48/2,0)))))))</f>
        <v>0</v>
      </c>
      <c r="GN48" s="27">
        <f>IF($A48="",0,IF(Mitarbeiter!$G$46=FALSE,0,IF(AND(Mitarbeiter!$E$46&lt;&gt;"",GN$5+6&lt;Mitarbeiter!$E$46),0,IF(AND(Mitarbeiter!$F$46&lt;&gt;"",GN$5&gt;Mitarbeiter!$F$46),0,IF(Planung!GN48="",$C48,IF(ISNUMBER(Planung!GN48),Planung!GN48,IF(UPPER(Planung!GN48)="H",$C48/2,0)))))))</f>
        <v>0</v>
      </c>
      <c r="GO48" s="27">
        <f>IF($A48="",0,IF(Mitarbeiter!$G$46=FALSE,0,IF(AND(Mitarbeiter!$E$46&lt;&gt;"",GO$5+6&lt;Mitarbeiter!$E$46),0,IF(AND(Mitarbeiter!$F$46&lt;&gt;"",GO$5&gt;Mitarbeiter!$F$46),0,IF(Planung!GO48="",$C48,IF(ISNUMBER(Planung!GO48),Planung!GO48,IF(UPPER(Planung!GO48)="H",$C48/2,0)))))))</f>
        <v>0</v>
      </c>
      <c r="GP48" s="27">
        <f>IF($A48="",0,IF(Mitarbeiter!$G$46=FALSE,0,IF(AND(Mitarbeiter!$E$46&lt;&gt;"",GP$5+6&lt;Mitarbeiter!$E$46),0,IF(AND(Mitarbeiter!$F$46&lt;&gt;"",GP$5&gt;Mitarbeiter!$F$46),0,IF(Planung!GP48="",$C48,IF(ISNUMBER(Planung!GP48),Planung!GP48,IF(UPPER(Planung!GP48)="H",$C48/2,0)))))))</f>
        <v>0</v>
      </c>
      <c r="GQ48" s="27">
        <f>IF($A48="",0,IF(Mitarbeiter!$G$46=FALSE,0,IF(AND(Mitarbeiter!$E$46&lt;&gt;"",GQ$5+6&lt;Mitarbeiter!$E$46),0,IF(AND(Mitarbeiter!$F$46&lt;&gt;"",GQ$5&gt;Mitarbeiter!$F$46),0,IF(Planung!GQ48="",$C48,IF(ISNUMBER(Planung!GQ48),Planung!GQ48,IF(UPPER(Planung!GQ48)="H",$C48/2,0)))))))</f>
        <v>0</v>
      </c>
      <c r="GR48" s="27">
        <f>IF($A48="",0,IF(Mitarbeiter!$G$46=FALSE,0,IF(AND(Mitarbeiter!$E$46&lt;&gt;"",GR$5+6&lt;Mitarbeiter!$E$46),0,IF(AND(Mitarbeiter!$F$46&lt;&gt;"",GR$5&gt;Mitarbeiter!$F$46),0,IF(Planung!GR48="",$C48,IF(ISNUMBER(Planung!GR48),Planung!GR48,IF(UPPER(Planung!GR48)="H",$C48/2,0)))))))</f>
        <v>0</v>
      </c>
      <c r="GS48" s="27">
        <f>IF($A48="",0,IF(Mitarbeiter!$G$46=FALSE,0,IF(AND(Mitarbeiter!$E$46&lt;&gt;"",GS$5+6&lt;Mitarbeiter!$E$46),0,IF(AND(Mitarbeiter!$F$46&lt;&gt;"",GS$5&gt;Mitarbeiter!$F$46),0,IF(Planung!GS48="",$C48,IF(ISNUMBER(Planung!GS48),Planung!GS48,IF(UPPER(Planung!GS48)="H",$C48/2,0)))))))</f>
        <v>0</v>
      </c>
      <c r="GT48" s="27">
        <f>IF($A48="",0,IF(Mitarbeiter!$G$46=FALSE,0,IF(AND(Mitarbeiter!$E$46&lt;&gt;"",GT$5+6&lt;Mitarbeiter!$E$46),0,IF(AND(Mitarbeiter!$F$46&lt;&gt;"",GT$5&gt;Mitarbeiter!$F$46),0,IF(Planung!GT48="",$C48,IF(ISNUMBER(Planung!GT48),Planung!GT48,IF(UPPER(Planung!GT48)="H",$C48/2,0)))))))</f>
        <v>0</v>
      </c>
      <c r="GU48" s="27">
        <f>IF($A48="",0,IF(Mitarbeiter!$G$46=FALSE,0,IF(AND(Mitarbeiter!$E$46&lt;&gt;"",GU$5+6&lt;Mitarbeiter!$E$46),0,IF(AND(Mitarbeiter!$F$46&lt;&gt;"",GU$5&gt;Mitarbeiter!$F$46),0,IF(Planung!GU48="",$C48,IF(ISNUMBER(Planung!GU48),Planung!GU48,IF(UPPER(Planung!GU48)="H",$C48/2,0)))))))</f>
        <v>0</v>
      </c>
      <c r="GV48" s="27">
        <f>IF($A48="",0,IF(Mitarbeiter!$G$46=FALSE,0,IF(AND(Mitarbeiter!$E$46&lt;&gt;"",GV$5+6&lt;Mitarbeiter!$E$46),0,IF(AND(Mitarbeiter!$F$46&lt;&gt;"",GV$5&gt;Mitarbeiter!$F$46),0,IF(Planung!GV48="",$C48,IF(ISNUMBER(Planung!GV48),Planung!GV48,IF(UPPER(Planung!GV48)="H",$C48/2,0)))))))</f>
        <v>0</v>
      </c>
      <c r="GW48" s="27">
        <f>IF($A48="",0,IF(Mitarbeiter!$G$46=FALSE,0,IF(AND(Mitarbeiter!$E$46&lt;&gt;"",GW$5+6&lt;Mitarbeiter!$E$46),0,IF(AND(Mitarbeiter!$F$46&lt;&gt;"",GW$5&gt;Mitarbeiter!$F$46),0,IF(Planung!GW48="",$C48,IF(ISNUMBER(Planung!GW48),Planung!GW48,IF(UPPER(Planung!GW48)="H",$C48/2,0)))))))</f>
        <v>0</v>
      </c>
      <c r="GX48" s="27">
        <f>IF($A48="",0,IF(Mitarbeiter!$G$46=FALSE,0,IF(AND(Mitarbeiter!$E$46&lt;&gt;"",GX$5+6&lt;Mitarbeiter!$E$46),0,IF(AND(Mitarbeiter!$F$46&lt;&gt;"",GX$5&gt;Mitarbeiter!$F$46),0,IF(Planung!GX48="",$C48,IF(ISNUMBER(Planung!GX48),Planung!GX48,IF(UPPER(Planung!GX48)="H",$C48/2,0)))))))</f>
        <v>0</v>
      </c>
      <c r="GY48" s="27">
        <f>IF($A48="",0,IF(Mitarbeiter!$G$46=FALSE,0,IF(AND(Mitarbeiter!$E$46&lt;&gt;"",GY$5+6&lt;Mitarbeiter!$E$46),0,IF(AND(Mitarbeiter!$F$46&lt;&gt;"",GY$5&gt;Mitarbeiter!$F$46),0,IF(Planung!GY48="",$C48,IF(ISNUMBER(Planung!GY48),Planung!GY48,IF(UPPER(Planung!GY48)="H",$C48/2,0)))))))</f>
        <v>0</v>
      </c>
      <c r="GZ48" s="27">
        <f>IF($A48="",0,IF(Mitarbeiter!$G$46=FALSE,0,IF(AND(Mitarbeiter!$E$46&lt;&gt;"",GZ$5+6&lt;Mitarbeiter!$E$46),0,IF(AND(Mitarbeiter!$F$46&lt;&gt;"",GZ$5&gt;Mitarbeiter!$F$46),0,IF(Planung!GZ48="",$C48,IF(ISNUMBER(Planung!GZ48),Planung!GZ48,IF(UPPER(Planung!GZ48)="H",$C48/2,0)))))))</f>
        <v>0</v>
      </c>
      <c r="HA48" s="27">
        <f>IF($A48="",0,IF(Mitarbeiter!$G$46=FALSE,0,IF(AND(Mitarbeiter!$E$46&lt;&gt;"",HA$5+6&lt;Mitarbeiter!$E$46),0,IF(AND(Mitarbeiter!$F$46&lt;&gt;"",HA$5&gt;Mitarbeiter!$F$46),0,IF(Planung!HA48="",$C48,IF(ISNUMBER(Planung!HA48),Planung!HA48,IF(UPPER(Planung!HA48)="H",$C48/2,0)))))))</f>
        <v>0</v>
      </c>
      <c r="HB48" s="27">
        <f>IF($A48="",0,IF(Mitarbeiter!$G$46=FALSE,0,IF(AND(Mitarbeiter!$E$46&lt;&gt;"",HB$5+6&lt;Mitarbeiter!$E$46),0,IF(AND(Mitarbeiter!$F$46&lt;&gt;"",HB$5&gt;Mitarbeiter!$F$46),0,IF(Planung!HB48="",$C48,IF(ISNUMBER(Planung!HB48),Planung!HB48,IF(UPPER(Planung!HB48)="H",$C48/2,0)))))))</f>
        <v>0</v>
      </c>
      <c r="HC48" s="27">
        <f>IF($A48="",0,IF(Mitarbeiter!$G$46=FALSE,0,IF(AND(Mitarbeiter!$E$46&lt;&gt;"",HC$5+6&lt;Mitarbeiter!$E$46),0,IF(AND(Mitarbeiter!$F$46&lt;&gt;"",HC$5&gt;Mitarbeiter!$F$46),0,IF(Planung!HC48="",$C48,IF(ISNUMBER(Planung!HC48),Planung!HC48,IF(UPPER(Planung!HC48)="H",$C48/2,0)))))))</f>
        <v>0</v>
      </c>
      <c r="HD48" s="27">
        <f>IF($A48="",0,IF(Mitarbeiter!$G$46=FALSE,0,IF(AND(Mitarbeiter!$E$46&lt;&gt;"",HD$5+6&lt;Mitarbeiter!$E$46),0,IF(AND(Mitarbeiter!$F$46&lt;&gt;"",HD$5&gt;Mitarbeiter!$F$46),0,IF(Planung!HD48="",$C48,IF(ISNUMBER(Planung!HD48),Planung!HD48,IF(UPPER(Planung!HD48)="H",$C48/2,0)))))))</f>
        <v>0</v>
      </c>
      <c r="HE48" s="27">
        <f>IF($A48="",0,IF(Mitarbeiter!$G$46=FALSE,0,IF(AND(Mitarbeiter!$E$46&lt;&gt;"",HE$5+6&lt;Mitarbeiter!$E$46),0,IF(AND(Mitarbeiter!$F$46&lt;&gt;"",HE$5&gt;Mitarbeiter!$F$46),0,IF(Planung!HE48="",$C48,IF(ISNUMBER(Planung!HE48),Planung!HE48,IF(UPPER(Planung!HE48)="H",$C48/2,0)))))))</f>
        <v>0</v>
      </c>
      <c r="HF48" s="27">
        <f>IF($A48="",0,IF(Mitarbeiter!$G$46=FALSE,0,IF(AND(Mitarbeiter!$E$46&lt;&gt;"",HF$5+6&lt;Mitarbeiter!$E$46),0,IF(AND(Mitarbeiter!$F$46&lt;&gt;"",HF$5&gt;Mitarbeiter!$F$46),0,IF(Planung!HF48="",$C48,IF(ISNUMBER(Planung!HF48),Planung!HF48,IF(UPPER(Planung!HF48)="H",$C48/2,0)))))))</f>
        <v>0</v>
      </c>
      <c r="HG48" s="27">
        <f>IF($A48="",0,IF(Mitarbeiter!$G$46=FALSE,0,IF(AND(Mitarbeiter!$E$46&lt;&gt;"",HG$5+6&lt;Mitarbeiter!$E$46),0,IF(AND(Mitarbeiter!$F$46&lt;&gt;"",HG$5&gt;Mitarbeiter!$F$46),0,IF(Planung!HG48="",$C48,IF(ISNUMBER(Planung!HG48),Planung!HG48,IF(UPPER(Planung!HG48)="H",$C48/2,0)))))))</f>
        <v>0</v>
      </c>
      <c r="HH48" s="27">
        <f>IF($A48="",0,IF(Mitarbeiter!$G$46=FALSE,0,IF(AND(Mitarbeiter!$E$46&lt;&gt;"",HH$5+6&lt;Mitarbeiter!$E$46),0,IF(AND(Mitarbeiter!$F$46&lt;&gt;"",HH$5&gt;Mitarbeiter!$F$46),0,IF(Planung!HH48="",$C48,IF(ISNUMBER(Planung!HH48),Planung!HH48,IF(UPPER(Planung!HH48)="H",$C48/2,0)))))))</f>
        <v>0</v>
      </c>
      <c r="HI48" s="27">
        <f>IF($A48="",0,IF(Mitarbeiter!$G$46=FALSE,0,IF(AND(Mitarbeiter!$E$46&lt;&gt;"",HI$5+6&lt;Mitarbeiter!$E$46),0,IF(AND(Mitarbeiter!$F$46&lt;&gt;"",HI$5&gt;Mitarbeiter!$F$46),0,IF(Planung!HI48="",$C48,IF(ISNUMBER(Planung!HI48),Planung!HI48,IF(UPPER(Planung!HI48)="H",$C48/2,0)))))))</f>
        <v>0</v>
      </c>
      <c r="HJ48" s="27">
        <f>IF($A48="",0,IF(Mitarbeiter!$G$46=FALSE,0,IF(AND(Mitarbeiter!$E$46&lt;&gt;"",HJ$5+6&lt;Mitarbeiter!$E$46),0,IF(AND(Mitarbeiter!$F$46&lt;&gt;"",HJ$5&gt;Mitarbeiter!$F$46),0,IF(Planung!HJ48="",$C48,IF(ISNUMBER(Planung!HJ48),Planung!HJ48,IF(UPPER(Planung!HJ48)="H",$C48/2,0)))))))</f>
        <v>0</v>
      </c>
      <c r="HK48" s="27">
        <f>IF($A48="",0,IF(Mitarbeiter!$G$46=FALSE,0,IF(AND(Mitarbeiter!$E$46&lt;&gt;"",HK$5+6&lt;Mitarbeiter!$E$46),0,IF(AND(Mitarbeiter!$F$46&lt;&gt;"",HK$5&gt;Mitarbeiter!$F$46),0,IF(Planung!HK48="",$C48,IF(ISNUMBER(Planung!HK48),Planung!HK48,IF(UPPER(Planung!HK48)="H",$C48/2,0)))))))</f>
        <v>0</v>
      </c>
      <c r="HL48" s="27">
        <f>IF($A48="",0,IF(Mitarbeiter!$G$46=FALSE,0,IF(AND(Mitarbeiter!$E$46&lt;&gt;"",HL$5+6&lt;Mitarbeiter!$E$46),0,IF(AND(Mitarbeiter!$F$46&lt;&gt;"",HL$5&gt;Mitarbeiter!$F$46),0,IF(Planung!HL48="",$C48,IF(ISNUMBER(Planung!HL48),Planung!HL48,IF(UPPER(Planung!HL48)="H",$C48/2,0)))))))</f>
        <v>0</v>
      </c>
      <c r="HM48" s="27">
        <f>IF($A48="",0,IF(Mitarbeiter!$G$46=FALSE,0,IF(AND(Mitarbeiter!$E$46&lt;&gt;"",HM$5+6&lt;Mitarbeiter!$E$46),0,IF(AND(Mitarbeiter!$F$46&lt;&gt;"",HM$5&gt;Mitarbeiter!$F$46),0,IF(Planung!HM48="",$C48,IF(ISNUMBER(Planung!HM48),Planung!HM48,IF(UPPER(Planung!HM48)="H",$C48/2,0)))))))</f>
        <v>0</v>
      </c>
      <c r="HN48" s="27">
        <f>IF($A48="",0,IF(Mitarbeiter!$G$46=FALSE,0,IF(AND(Mitarbeiter!$E$46&lt;&gt;"",HN$5+6&lt;Mitarbeiter!$E$46),0,IF(AND(Mitarbeiter!$F$46&lt;&gt;"",HN$5&gt;Mitarbeiter!$F$46),0,IF(Planung!HN48="",$C48,IF(ISNUMBER(Planung!HN48),Planung!HN48,IF(UPPER(Planung!HN48)="H",$C48/2,0)))))))</f>
        <v>0</v>
      </c>
      <c r="HO48" s="27">
        <f>IF($A48="",0,IF(Mitarbeiter!$G$46=FALSE,0,IF(AND(Mitarbeiter!$E$46&lt;&gt;"",HO$5+6&lt;Mitarbeiter!$E$46),0,IF(AND(Mitarbeiter!$F$46&lt;&gt;"",HO$5&gt;Mitarbeiter!$F$46),0,IF(Planung!HO48="",$C48,IF(ISNUMBER(Planung!HO48),Planung!HO48,IF(UPPER(Planung!HO48)="H",$C48/2,0)))))))</f>
        <v>0</v>
      </c>
      <c r="HP48" s="27">
        <f>IF($A48="",0,IF(Mitarbeiter!$G$46=FALSE,0,IF(AND(Mitarbeiter!$E$46&lt;&gt;"",HP$5+6&lt;Mitarbeiter!$E$46),0,IF(AND(Mitarbeiter!$F$46&lt;&gt;"",HP$5&gt;Mitarbeiter!$F$46),0,IF(Planung!HP48="",$C48,IF(ISNUMBER(Planung!HP48),Planung!HP48,IF(UPPER(Planung!HP48)="H",$C48/2,0)))))))</f>
        <v>0</v>
      </c>
      <c r="HQ48" s="27">
        <f>IF($A48="",0,IF(Mitarbeiter!$G$46=FALSE,0,IF(AND(Mitarbeiter!$E$46&lt;&gt;"",HQ$5+6&lt;Mitarbeiter!$E$46),0,IF(AND(Mitarbeiter!$F$46&lt;&gt;"",HQ$5&gt;Mitarbeiter!$F$46),0,IF(Planung!HQ48="",$C48,IF(ISNUMBER(Planung!HQ48),Planung!HQ48,IF(UPPER(Planung!HQ48)="H",$C48/2,0)))))))</f>
        <v>0</v>
      </c>
      <c r="HR48" s="27">
        <f>IF($A48="",0,IF(Mitarbeiter!$G$46=FALSE,0,IF(AND(Mitarbeiter!$E$46&lt;&gt;"",HR$5+6&lt;Mitarbeiter!$E$46),0,IF(AND(Mitarbeiter!$F$46&lt;&gt;"",HR$5&gt;Mitarbeiter!$F$46),0,IF(Planung!HR48="",$C48,IF(ISNUMBER(Planung!HR48),Planung!HR48,IF(UPPER(Planung!HR48)="H",$C48/2,0)))))))</f>
        <v>0</v>
      </c>
      <c r="HS48" s="27">
        <f>IF($A48="",0,IF(Mitarbeiter!$G$46=FALSE,0,IF(AND(Mitarbeiter!$E$46&lt;&gt;"",HS$5+6&lt;Mitarbeiter!$E$46),0,IF(AND(Mitarbeiter!$F$46&lt;&gt;"",HS$5&gt;Mitarbeiter!$F$46),0,IF(Planung!HS48="",$C48,IF(ISNUMBER(Planung!HS48),Planung!HS48,IF(UPPER(Planung!HS48)="H",$C48/2,0)))))))</f>
        <v>0</v>
      </c>
      <c r="HT48" s="27">
        <f>IF($A48="",0,IF(Mitarbeiter!$G$46=FALSE,0,IF(AND(Mitarbeiter!$E$46&lt;&gt;"",HT$5+6&lt;Mitarbeiter!$E$46),0,IF(AND(Mitarbeiter!$F$46&lt;&gt;"",HT$5&gt;Mitarbeiter!$F$46),0,IF(Planung!HT48="",$C48,IF(ISNUMBER(Planung!HT48),Planung!HT48,IF(UPPER(Planung!HT48)="H",$C48/2,0)))))))</f>
        <v>0</v>
      </c>
      <c r="HU48" s="27">
        <f>IF($A48="",0,IF(Mitarbeiter!$G$46=FALSE,0,IF(AND(Mitarbeiter!$E$46&lt;&gt;"",HU$5+6&lt;Mitarbeiter!$E$46),0,IF(AND(Mitarbeiter!$F$46&lt;&gt;"",HU$5&gt;Mitarbeiter!$F$46),0,IF(Planung!HU48="",$C48,IF(ISNUMBER(Planung!HU48),Planung!HU48,IF(UPPER(Planung!HU48)="H",$C48/2,0)))))))</f>
        <v>0</v>
      </c>
      <c r="HV48" s="27">
        <f>IF($A48="",0,IF(Mitarbeiter!$G$46=FALSE,0,IF(AND(Mitarbeiter!$E$46&lt;&gt;"",HV$5+6&lt;Mitarbeiter!$E$46),0,IF(AND(Mitarbeiter!$F$46&lt;&gt;"",HV$5&gt;Mitarbeiter!$F$46),0,IF(Planung!HV48="",$C48,IF(ISNUMBER(Planung!HV48),Planung!HV48,IF(UPPER(Planung!HV48)="H",$C48/2,0)))))))</f>
        <v>0</v>
      </c>
      <c r="HW48" s="27">
        <f>IF($A48="",0,IF(Mitarbeiter!$G$46=FALSE,0,IF(AND(Mitarbeiter!$E$46&lt;&gt;"",HW$5+6&lt;Mitarbeiter!$E$46),0,IF(AND(Mitarbeiter!$F$46&lt;&gt;"",HW$5&gt;Mitarbeiter!$F$46),0,IF(Planung!HW48="",$C48,IF(ISNUMBER(Planung!HW48),Planung!HW48,IF(UPPER(Planung!HW48)="H",$C48/2,0)))))))</f>
        <v>0</v>
      </c>
      <c r="HX48" s="27">
        <f>IF($A48="",0,IF(Mitarbeiter!$G$46=FALSE,0,IF(AND(Mitarbeiter!$E$46&lt;&gt;"",HX$5+6&lt;Mitarbeiter!$E$46),0,IF(AND(Mitarbeiter!$F$46&lt;&gt;"",HX$5&gt;Mitarbeiter!$F$46),0,IF(Planung!HX48="",$C48,IF(ISNUMBER(Planung!HX48),Planung!HX48,IF(UPPER(Planung!HX48)="H",$C48/2,0)))))))</f>
        <v>0</v>
      </c>
      <c r="HY48" s="27">
        <f>IF($A48="",0,IF(Mitarbeiter!$G$46=FALSE,0,IF(AND(Mitarbeiter!$E$46&lt;&gt;"",HY$5+6&lt;Mitarbeiter!$E$46),0,IF(AND(Mitarbeiter!$F$46&lt;&gt;"",HY$5&gt;Mitarbeiter!$F$46),0,IF(Planung!HY48="",$C48,IF(ISNUMBER(Planung!HY48),Planung!HY48,IF(UPPER(Planung!HY48)="H",$C48/2,0)))))))</f>
        <v>0</v>
      </c>
      <c r="HZ48" s="27">
        <f>IF($A48="",0,IF(Mitarbeiter!$G$46=FALSE,0,IF(AND(Mitarbeiter!$E$46&lt;&gt;"",HZ$5+6&lt;Mitarbeiter!$E$46),0,IF(AND(Mitarbeiter!$F$46&lt;&gt;"",HZ$5&gt;Mitarbeiter!$F$46),0,IF(Planung!HZ48="",$C48,IF(ISNUMBER(Planung!HZ48),Planung!HZ48,IF(UPPER(Planung!HZ48)="H",$C48/2,0)))))))</f>
        <v>0</v>
      </c>
      <c r="IA48" s="27">
        <f>IF($A48="",0,IF(Mitarbeiter!$G$46=FALSE,0,IF(AND(Mitarbeiter!$E$46&lt;&gt;"",IA$5+6&lt;Mitarbeiter!$E$46),0,IF(AND(Mitarbeiter!$F$46&lt;&gt;"",IA$5&gt;Mitarbeiter!$F$46),0,IF(Planung!IA48="",$C48,IF(ISNUMBER(Planung!IA48),Planung!IA48,IF(UPPER(Planung!IA48)="H",$C48/2,0)))))))</f>
        <v>0</v>
      </c>
    </row>
    <row r="49" spans="1:235" x14ac:dyDescent="0.25">
      <c r="A49" s="7" t="str">
        <f>Planung!A49</f>
        <v/>
      </c>
      <c r="B49" s="7" t="str">
        <f>Planung!B49</f>
        <v/>
      </c>
      <c r="C49" s="27">
        <f>N(Mitarbeiter!$D$47)</f>
        <v>0</v>
      </c>
      <c r="D49" s="27">
        <f>IF($A49="",0,IF(Mitarbeiter!$G$47=FALSE,0,IF(AND(Mitarbeiter!$E$47&lt;&gt;"",D$5+6&lt;Mitarbeiter!$E$47),0,IF(AND(Mitarbeiter!$F$47&lt;&gt;"",D$5&gt;Mitarbeiter!$F$47),0,IF(Planung!D49="",$C49,IF(ISNUMBER(Planung!D49),Planung!D49,IF(UPPER(Planung!D49)="H",$C49/2,0)))))))</f>
        <v>0</v>
      </c>
      <c r="E49" s="27">
        <f>IF($A49="",0,IF(Mitarbeiter!$G$47=FALSE,0,IF(AND(Mitarbeiter!$E$47&lt;&gt;"",E$5+6&lt;Mitarbeiter!$E$47),0,IF(AND(Mitarbeiter!$F$47&lt;&gt;"",E$5&gt;Mitarbeiter!$F$47),0,IF(Planung!E49="",$C49,IF(ISNUMBER(Planung!E49),Planung!E49,IF(UPPER(Planung!E49)="H",$C49/2,0)))))))</f>
        <v>0</v>
      </c>
      <c r="F49" s="27">
        <f>IF($A49="",0,IF(Mitarbeiter!$G$47=FALSE,0,IF(AND(Mitarbeiter!$E$47&lt;&gt;"",F$5+6&lt;Mitarbeiter!$E$47),0,IF(AND(Mitarbeiter!$F$47&lt;&gt;"",F$5&gt;Mitarbeiter!$F$47),0,IF(Planung!F49="",$C49,IF(ISNUMBER(Planung!F49),Planung!F49,IF(UPPER(Planung!F49)="H",$C49/2,0)))))))</f>
        <v>0</v>
      </c>
      <c r="G49" s="27">
        <f>IF($A49="",0,IF(Mitarbeiter!$G$47=FALSE,0,IF(AND(Mitarbeiter!$E$47&lt;&gt;"",G$5+6&lt;Mitarbeiter!$E$47),0,IF(AND(Mitarbeiter!$F$47&lt;&gt;"",G$5&gt;Mitarbeiter!$F$47),0,IF(Planung!G49="",$C49,IF(ISNUMBER(Planung!G49),Planung!G49,IF(UPPER(Planung!G49)="H",$C49/2,0)))))))</f>
        <v>0</v>
      </c>
      <c r="H49" s="27">
        <f>IF($A49="",0,IF(Mitarbeiter!$G$47=FALSE,0,IF(AND(Mitarbeiter!$E$47&lt;&gt;"",H$5+6&lt;Mitarbeiter!$E$47),0,IF(AND(Mitarbeiter!$F$47&lt;&gt;"",H$5&gt;Mitarbeiter!$F$47),0,IF(Planung!H49="",$C49,IF(ISNUMBER(Planung!H49),Planung!H49,IF(UPPER(Planung!H49)="H",$C49/2,0)))))))</f>
        <v>0</v>
      </c>
      <c r="I49" s="27">
        <f>IF($A49="",0,IF(Mitarbeiter!$G$47=FALSE,0,IF(AND(Mitarbeiter!$E$47&lt;&gt;"",I$5+6&lt;Mitarbeiter!$E$47),0,IF(AND(Mitarbeiter!$F$47&lt;&gt;"",I$5&gt;Mitarbeiter!$F$47),0,IF(Planung!I49="",$C49,IF(ISNUMBER(Planung!I49),Planung!I49,IF(UPPER(Planung!I49)="H",$C49/2,0)))))))</f>
        <v>0</v>
      </c>
      <c r="J49" s="27">
        <f>IF($A49="",0,IF(Mitarbeiter!$G$47=FALSE,0,IF(AND(Mitarbeiter!$E$47&lt;&gt;"",J$5+6&lt;Mitarbeiter!$E$47),0,IF(AND(Mitarbeiter!$F$47&lt;&gt;"",J$5&gt;Mitarbeiter!$F$47),0,IF(Planung!J49="",$C49,IF(ISNUMBER(Planung!J49),Planung!J49,IF(UPPER(Planung!J49)="H",$C49/2,0)))))))</f>
        <v>0</v>
      </c>
      <c r="K49" s="27">
        <f>IF($A49="",0,IF(Mitarbeiter!$G$47=FALSE,0,IF(AND(Mitarbeiter!$E$47&lt;&gt;"",K$5+6&lt;Mitarbeiter!$E$47),0,IF(AND(Mitarbeiter!$F$47&lt;&gt;"",K$5&gt;Mitarbeiter!$F$47),0,IF(Planung!K49="",$C49,IF(ISNUMBER(Planung!K49),Planung!K49,IF(UPPER(Planung!K49)="H",$C49/2,0)))))))</f>
        <v>0</v>
      </c>
      <c r="L49" s="27">
        <f>IF($A49="",0,IF(Mitarbeiter!$G$47=FALSE,0,IF(AND(Mitarbeiter!$E$47&lt;&gt;"",L$5+6&lt;Mitarbeiter!$E$47),0,IF(AND(Mitarbeiter!$F$47&lt;&gt;"",L$5&gt;Mitarbeiter!$F$47),0,IF(Planung!L49="",$C49,IF(ISNUMBER(Planung!L49),Planung!L49,IF(UPPER(Planung!L49)="H",$C49/2,0)))))))</f>
        <v>0</v>
      </c>
      <c r="M49" s="27">
        <f>IF($A49="",0,IF(Mitarbeiter!$G$47=FALSE,0,IF(AND(Mitarbeiter!$E$47&lt;&gt;"",M$5+6&lt;Mitarbeiter!$E$47),0,IF(AND(Mitarbeiter!$F$47&lt;&gt;"",M$5&gt;Mitarbeiter!$F$47),0,IF(Planung!M49="",$C49,IF(ISNUMBER(Planung!M49),Planung!M49,IF(UPPER(Planung!M49)="H",$C49/2,0)))))))</f>
        <v>0</v>
      </c>
      <c r="N49" s="27">
        <f>IF($A49="",0,IF(Mitarbeiter!$G$47=FALSE,0,IF(AND(Mitarbeiter!$E$47&lt;&gt;"",N$5+6&lt;Mitarbeiter!$E$47),0,IF(AND(Mitarbeiter!$F$47&lt;&gt;"",N$5&gt;Mitarbeiter!$F$47),0,IF(Planung!N49="",$C49,IF(ISNUMBER(Planung!N49),Planung!N49,IF(UPPER(Planung!N49)="H",$C49/2,0)))))))</f>
        <v>0</v>
      </c>
      <c r="O49" s="27">
        <f>IF($A49="",0,IF(Mitarbeiter!$G$47=FALSE,0,IF(AND(Mitarbeiter!$E$47&lt;&gt;"",O$5+6&lt;Mitarbeiter!$E$47),0,IF(AND(Mitarbeiter!$F$47&lt;&gt;"",O$5&gt;Mitarbeiter!$F$47),0,IF(Planung!O49="",$C49,IF(ISNUMBER(Planung!O49),Planung!O49,IF(UPPER(Planung!O49)="H",$C49/2,0)))))))</f>
        <v>0</v>
      </c>
      <c r="P49" s="27">
        <f>IF($A49="",0,IF(Mitarbeiter!$G$47=FALSE,0,IF(AND(Mitarbeiter!$E$47&lt;&gt;"",P$5+6&lt;Mitarbeiter!$E$47),0,IF(AND(Mitarbeiter!$F$47&lt;&gt;"",P$5&gt;Mitarbeiter!$F$47),0,IF(Planung!P49="",$C49,IF(ISNUMBER(Planung!P49),Planung!P49,IF(UPPER(Planung!P49)="H",$C49/2,0)))))))</f>
        <v>0</v>
      </c>
      <c r="Q49" s="27">
        <f>IF($A49="",0,IF(Mitarbeiter!$G$47=FALSE,0,IF(AND(Mitarbeiter!$E$47&lt;&gt;"",Q$5+6&lt;Mitarbeiter!$E$47),0,IF(AND(Mitarbeiter!$F$47&lt;&gt;"",Q$5&gt;Mitarbeiter!$F$47),0,IF(Planung!Q49="",$C49,IF(ISNUMBER(Planung!Q49),Planung!Q49,IF(UPPER(Planung!Q49)="H",$C49/2,0)))))))</f>
        <v>0</v>
      </c>
      <c r="R49" s="27">
        <f>IF($A49="",0,IF(Mitarbeiter!$G$47=FALSE,0,IF(AND(Mitarbeiter!$E$47&lt;&gt;"",R$5+6&lt;Mitarbeiter!$E$47),0,IF(AND(Mitarbeiter!$F$47&lt;&gt;"",R$5&gt;Mitarbeiter!$F$47),0,IF(Planung!R49="",$C49,IF(ISNUMBER(Planung!R49),Planung!R49,IF(UPPER(Planung!R49)="H",$C49/2,0)))))))</f>
        <v>0</v>
      </c>
      <c r="S49" s="27">
        <f>IF($A49="",0,IF(Mitarbeiter!$G$47=FALSE,0,IF(AND(Mitarbeiter!$E$47&lt;&gt;"",S$5+6&lt;Mitarbeiter!$E$47),0,IF(AND(Mitarbeiter!$F$47&lt;&gt;"",S$5&gt;Mitarbeiter!$F$47),0,IF(Planung!S49="",$C49,IF(ISNUMBER(Planung!S49),Planung!S49,IF(UPPER(Planung!S49)="H",$C49/2,0)))))))</f>
        <v>0</v>
      </c>
      <c r="T49" s="27">
        <f>IF($A49="",0,IF(Mitarbeiter!$G$47=FALSE,0,IF(AND(Mitarbeiter!$E$47&lt;&gt;"",T$5+6&lt;Mitarbeiter!$E$47),0,IF(AND(Mitarbeiter!$F$47&lt;&gt;"",T$5&gt;Mitarbeiter!$F$47),0,IF(Planung!T49="",$C49,IF(ISNUMBER(Planung!T49),Planung!T49,IF(UPPER(Planung!T49)="H",$C49/2,0)))))))</f>
        <v>0</v>
      </c>
      <c r="U49" s="27">
        <f>IF($A49="",0,IF(Mitarbeiter!$G$47=FALSE,0,IF(AND(Mitarbeiter!$E$47&lt;&gt;"",U$5+6&lt;Mitarbeiter!$E$47),0,IF(AND(Mitarbeiter!$F$47&lt;&gt;"",U$5&gt;Mitarbeiter!$F$47),0,IF(Planung!U49="",$C49,IF(ISNUMBER(Planung!U49),Planung!U49,IF(UPPER(Planung!U49)="H",$C49/2,0)))))))</f>
        <v>0</v>
      </c>
      <c r="V49" s="27">
        <f>IF($A49="",0,IF(Mitarbeiter!$G$47=FALSE,0,IF(AND(Mitarbeiter!$E$47&lt;&gt;"",V$5+6&lt;Mitarbeiter!$E$47),0,IF(AND(Mitarbeiter!$F$47&lt;&gt;"",V$5&gt;Mitarbeiter!$F$47),0,IF(Planung!V49="",$C49,IF(ISNUMBER(Planung!V49),Planung!V49,IF(UPPER(Planung!V49)="H",$C49/2,0)))))))</f>
        <v>0</v>
      </c>
      <c r="W49" s="27">
        <f>IF($A49="",0,IF(Mitarbeiter!$G$47=FALSE,0,IF(AND(Mitarbeiter!$E$47&lt;&gt;"",W$5+6&lt;Mitarbeiter!$E$47),0,IF(AND(Mitarbeiter!$F$47&lt;&gt;"",W$5&gt;Mitarbeiter!$F$47),0,IF(Planung!W49="",$C49,IF(ISNUMBER(Planung!W49),Planung!W49,IF(UPPER(Planung!W49)="H",$C49/2,0)))))))</f>
        <v>0</v>
      </c>
      <c r="X49" s="27">
        <f>IF($A49="",0,IF(Mitarbeiter!$G$47=FALSE,0,IF(AND(Mitarbeiter!$E$47&lt;&gt;"",X$5+6&lt;Mitarbeiter!$E$47),0,IF(AND(Mitarbeiter!$F$47&lt;&gt;"",X$5&gt;Mitarbeiter!$F$47),0,IF(Planung!X49="",$C49,IF(ISNUMBER(Planung!X49),Planung!X49,IF(UPPER(Planung!X49)="H",$C49/2,0)))))))</f>
        <v>0</v>
      </c>
      <c r="Y49" s="27">
        <f>IF($A49="",0,IF(Mitarbeiter!$G$47=FALSE,0,IF(AND(Mitarbeiter!$E$47&lt;&gt;"",Y$5+6&lt;Mitarbeiter!$E$47),0,IF(AND(Mitarbeiter!$F$47&lt;&gt;"",Y$5&gt;Mitarbeiter!$F$47),0,IF(Planung!Y49="",$C49,IF(ISNUMBER(Planung!Y49),Planung!Y49,IF(UPPER(Planung!Y49)="H",$C49/2,0)))))))</f>
        <v>0</v>
      </c>
      <c r="Z49" s="27">
        <f>IF($A49="",0,IF(Mitarbeiter!$G$47=FALSE,0,IF(AND(Mitarbeiter!$E$47&lt;&gt;"",Z$5+6&lt;Mitarbeiter!$E$47),0,IF(AND(Mitarbeiter!$F$47&lt;&gt;"",Z$5&gt;Mitarbeiter!$F$47),0,IF(Planung!Z49="",$C49,IF(ISNUMBER(Planung!Z49),Planung!Z49,IF(UPPER(Planung!Z49)="H",$C49/2,0)))))))</f>
        <v>0</v>
      </c>
      <c r="AA49" s="27">
        <f>IF($A49="",0,IF(Mitarbeiter!$G$47=FALSE,0,IF(AND(Mitarbeiter!$E$47&lt;&gt;"",AA$5+6&lt;Mitarbeiter!$E$47),0,IF(AND(Mitarbeiter!$F$47&lt;&gt;"",AA$5&gt;Mitarbeiter!$F$47),0,IF(Planung!AA49="",$C49,IF(ISNUMBER(Planung!AA49),Planung!AA49,IF(UPPER(Planung!AA49)="H",$C49/2,0)))))))</f>
        <v>0</v>
      </c>
      <c r="AB49" s="27">
        <f>IF($A49="",0,IF(Mitarbeiter!$G$47=FALSE,0,IF(AND(Mitarbeiter!$E$47&lt;&gt;"",AB$5+6&lt;Mitarbeiter!$E$47),0,IF(AND(Mitarbeiter!$F$47&lt;&gt;"",AB$5&gt;Mitarbeiter!$F$47),0,IF(Planung!AB49="",$C49,IF(ISNUMBER(Planung!AB49),Planung!AB49,IF(UPPER(Planung!AB49)="H",$C49/2,0)))))))</f>
        <v>0</v>
      </c>
      <c r="AC49" s="27">
        <f>IF($A49="",0,IF(Mitarbeiter!$G$47=FALSE,0,IF(AND(Mitarbeiter!$E$47&lt;&gt;"",AC$5+6&lt;Mitarbeiter!$E$47),0,IF(AND(Mitarbeiter!$F$47&lt;&gt;"",AC$5&gt;Mitarbeiter!$F$47),0,IF(Planung!AC49="",$C49,IF(ISNUMBER(Planung!AC49),Planung!AC49,IF(UPPER(Planung!AC49)="H",$C49/2,0)))))))</f>
        <v>0</v>
      </c>
      <c r="AD49" s="27">
        <f>IF($A49="",0,IF(Mitarbeiter!$G$47=FALSE,0,IF(AND(Mitarbeiter!$E$47&lt;&gt;"",AD$5+6&lt;Mitarbeiter!$E$47),0,IF(AND(Mitarbeiter!$F$47&lt;&gt;"",AD$5&gt;Mitarbeiter!$F$47),0,IF(Planung!AD49="",$C49,IF(ISNUMBER(Planung!AD49),Planung!AD49,IF(UPPER(Planung!AD49)="H",$C49/2,0)))))))</f>
        <v>0</v>
      </c>
      <c r="AE49" s="27">
        <f>IF($A49="",0,IF(Mitarbeiter!$G$47=FALSE,0,IF(AND(Mitarbeiter!$E$47&lt;&gt;"",AE$5+6&lt;Mitarbeiter!$E$47),0,IF(AND(Mitarbeiter!$F$47&lt;&gt;"",AE$5&gt;Mitarbeiter!$F$47),0,IF(Planung!AE49="",$C49,IF(ISNUMBER(Planung!AE49),Planung!AE49,IF(UPPER(Planung!AE49)="H",$C49/2,0)))))))</f>
        <v>0</v>
      </c>
      <c r="AF49" s="27">
        <f>IF($A49="",0,IF(Mitarbeiter!$G$47=FALSE,0,IF(AND(Mitarbeiter!$E$47&lt;&gt;"",AF$5+6&lt;Mitarbeiter!$E$47),0,IF(AND(Mitarbeiter!$F$47&lt;&gt;"",AF$5&gt;Mitarbeiter!$F$47),0,IF(Planung!AF49="",$C49,IF(ISNUMBER(Planung!AF49),Planung!AF49,IF(UPPER(Planung!AF49)="H",$C49/2,0)))))))</f>
        <v>0</v>
      </c>
      <c r="AG49" s="27">
        <f>IF($A49="",0,IF(Mitarbeiter!$G$47=FALSE,0,IF(AND(Mitarbeiter!$E$47&lt;&gt;"",AG$5+6&lt;Mitarbeiter!$E$47),0,IF(AND(Mitarbeiter!$F$47&lt;&gt;"",AG$5&gt;Mitarbeiter!$F$47),0,IF(Planung!AG49="",$C49,IF(ISNUMBER(Planung!AG49),Planung!AG49,IF(UPPER(Planung!AG49)="H",$C49/2,0)))))))</f>
        <v>0</v>
      </c>
      <c r="AH49" s="27">
        <f>IF($A49="",0,IF(Mitarbeiter!$G$47=FALSE,0,IF(AND(Mitarbeiter!$E$47&lt;&gt;"",AH$5+6&lt;Mitarbeiter!$E$47),0,IF(AND(Mitarbeiter!$F$47&lt;&gt;"",AH$5&gt;Mitarbeiter!$F$47),0,IF(Planung!AH49="",$C49,IF(ISNUMBER(Planung!AH49),Planung!AH49,IF(UPPER(Planung!AH49)="H",$C49/2,0)))))))</f>
        <v>0</v>
      </c>
      <c r="AI49" s="27">
        <f>IF($A49="",0,IF(Mitarbeiter!$G$47=FALSE,0,IF(AND(Mitarbeiter!$E$47&lt;&gt;"",AI$5+6&lt;Mitarbeiter!$E$47),0,IF(AND(Mitarbeiter!$F$47&lt;&gt;"",AI$5&gt;Mitarbeiter!$F$47),0,IF(Planung!AI49="",$C49,IF(ISNUMBER(Planung!AI49),Planung!AI49,IF(UPPER(Planung!AI49)="H",$C49/2,0)))))))</f>
        <v>0</v>
      </c>
      <c r="AJ49" s="27">
        <f>IF($A49="",0,IF(Mitarbeiter!$G$47=FALSE,0,IF(AND(Mitarbeiter!$E$47&lt;&gt;"",AJ$5+6&lt;Mitarbeiter!$E$47),0,IF(AND(Mitarbeiter!$F$47&lt;&gt;"",AJ$5&gt;Mitarbeiter!$F$47),0,IF(Planung!AJ49="",$C49,IF(ISNUMBER(Planung!AJ49),Planung!AJ49,IF(UPPER(Planung!AJ49)="H",$C49/2,0)))))))</f>
        <v>0</v>
      </c>
      <c r="AK49" s="27">
        <f>IF($A49="",0,IF(Mitarbeiter!$G$47=FALSE,0,IF(AND(Mitarbeiter!$E$47&lt;&gt;"",AK$5+6&lt;Mitarbeiter!$E$47),0,IF(AND(Mitarbeiter!$F$47&lt;&gt;"",AK$5&gt;Mitarbeiter!$F$47),0,IF(Planung!AK49="",$C49,IF(ISNUMBER(Planung!AK49),Planung!AK49,IF(UPPER(Planung!AK49)="H",$C49/2,0)))))))</f>
        <v>0</v>
      </c>
      <c r="AL49" s="27">
        <f>IF($A49="",0,IF(Mitarbeiter!$G$47=FALSE,0,IF(AND(Mitarbeiter!$E$47&lt;&gt;"",AL$5+6&lt;Mitarbeiter!$E$47),0,IF(AND(Mitarbeiter!$F$47&lt;&gt;"",AL$5&gt;Mitarbeiter!$F$47),0,IF(Planung!AL49="",$C49,IF(ISNUMBER(Planung!AL49),Planung!AL49,IF(UPPER(Planung!AL49)="H",$C49/2,0)))))))</f>
        <v>0</v>
      </c>
      <c r="AM49" s="27">
        <f>IF($A49="",0,IF(Mitarbeiter!$G$47=FALSE,0,IF(AND(Mitarbeiter!$E$47&lt;&gt;"",AM$5+6&lt;Mitarbeiter!$E$47),0,IF(AND(Mitarbeiter!$F$47&lt;&gt;"",AM$5&gt;Mitarbeiter!$F$47),0,IF(Planung!AM49="",$C49,IF(ISNUMBER(Planung!AM49),Planung!AM49,IF(UPPER(Planung!AM49)="H",$C49/2,0)))))))</f>
        <v>0</v>
      </c>
      <c r="AN49" s="27">
        <f>IF($A49="",0,IF(Mitarbeiter!$G$47=FALSE,0,IF(AND(Mitarbeiter!$E$47&lt;&gt;"",AN$5+6&lt;Mitarbeiter!$E$47),0,IF(AND(Mitarbeiter!$F$47&lt;&gt;"",AN$5&gt;Mitarbeiter!$F$47),0,IF(Planung!AN49="",$C49,IF(ISNUMBER(Planung!AN49),Planung!AN49,IF(UPPER(Planung!AN49)="H",$C49/2,0)))))))</f>
        <v>0</v>
      </c>
      <c r="AO49" s="27">
        <f>IF($A49="",0,IF(Mitarbeiter!$G$47=FALSE,0,IF(AND(Mitarbeiter!$E$47&lt;&gt;"",AO$5+6&lt;Mitarbeiter!$E$47),0,IF(AND(Mitarbeiter!$F$47&lt;&gt;"",AO$5&gt;Mitarbeiter!$F$47),0,IF(Planung!AO49="",$C49,IF(ISNUMBER(Planung!AO49),Planung!AO49,IF(UPPER(Planung!AO49)="H",$C49/2,0)))))))</f>
        <v>0</v>
      </c>
      <c r="AP49" s="27">
        <f>IF($A49="",0,IF(Mitarbeiter!$G$47=FALSE,0,IF(AND(Mitarbeiter!$E$47&lt;&gt;"",AP$5+6&lt;Mitarbeiter!$E$47),0,IF(AND(Mitarbeiter!$F$47&lt;&gt;"",AP$5&gt;Mitarbeiter!$F$47),0,IF(Planung!AP49="",$C49,IF(ISNUMBER(Planung!AP49),Planung!AP49,IF(UPPER(Planung!AP49)="H",$C49/2,0)))))))</f>
        <v>0</v>
      </c>
      <c r="AQ49" s="27">
        <f>IF($A49="",0,IF(Mitarbeiter!$G$47=FALSE,0,IF(AND(Mitarbeiter!$E$47&lt;&gt;"",AQ$5+6&lt;Mitarbeiter!$E$47),0,IF(AND(Mitarbeiter!$F$47&lt;&gt;"",AQ$5&gt;Mitarbeiter!$F$47),0,IF(Planung!AQ49="",$C49,IF(ISNUMBER(Planung!AQ49),Planung!AQ49,IF(UPPER(Planung!AQ49)="H",$C49/2,0)))))))</f>
        <v>0</v>
      </c>
      <c r="AR49" s="27">
        <f>IF($A49="",0,IF(Mitarbeiter!$G$47=FALSE,0,IF(AND(Mitarbeiter!$E$47&lt;&gt;"",AR$5+6&lt;Mitarbeiter!$E$47),0,IF(AND(Mitarbeiter!$F$47&lt;&gt;"",AR$5&gt;Mitarbeiter!$F$47),0,IF(Planung!AR49="",$C49,IF(ISNUMBER(Planung!AR49),Planung!AR49,IF(UPPER(Planung!AR49)="H",$C49/2,0)))))))</f>
        <v>0</v>
      </c>
      <c r="AS49" s="27">
        <f>IF($A49="",0,IF(Mitarbeiter!$G$47=FALSE,0,IF(AND(Mitarbeiter!$E$47&lt;&gt;"",AS$5+6&lt;Mitarbeiter!$E$47),0,IF(AND(Mitarbeiter!$F$47&lt;&gt;"",AS$5&gt;Mitarbeiter!$F$47),0,IF(Planung!AS49="",$C49,IF(ISNUMBER(Planung!AS49),Planung!AS49,IF(UPPER(Planung!AS49)="H",$C49/2,0)))))))</f>
        <v>0</v>
      </c>
      <c r="AT49" s="27">
        <f>IF($A49="",0,IF(Mitarbeiter!$G$47=FALSE,0,IF(AND(Mitarbeiter!$E$47&lt;&gt;"",AT$5+6&lt;Mitarbeiter!$E$47),0,IF(AND(Mitarbeiter!$F$47&lt;&gt;"",AT$5&gt;Mitarbeiter!$F$47),0,IF(Planung!AT49="",$C49,IF(ISNUMBER(Planung!AT49),Planung!AT49,IF(UPPER(Planung!AT49)="H",$C49/2,0)))))))</f>
        <v>0</v>
      </c>
      <c r="AU49" s="27">
        <f>IF($A49="",0,IF(Mitarbeiter!$G$47=FALSE,0,IF(AND(Mitarbeiter!$E$47&lt;&gt;"",AU$5+6&lt;Mitarbeiter!$E$47),0,IF(AND(Mitarbeiter!$F$47&lt;&gt;"",AU$5&gt;Mitarbeiter!$F$47),0,IF(Planung!AU49="",$C49,IF(ISNUMBER(Planung!AU49),Planung!AU49,IF(UPPER(Planung!AU49)="H",$C49/2,0)))))))</f>
        <v>0</v>
      </c>
      <c r="AV49" s="27">
        <f>IF($A49="",0,IF(Mitarbeiter!$G$47=FALSE,0,IF(AND(Mitarbeiter!$E$47&lt;&gt;"",AV$5+6&lt;Mitarbeiter!$E$47),0,IF(AND(Mitarbeiter!$F$47&lt;&gt;"",AV$5&gt;Mitarbeiter!$F$47),0,IF(Planung!AV49="",$C49,IF(ISNUMBER(Planung!AV49),Planung!AV49,IF(UPPER(Planung!AV49)="H",$C49/2,0)))))))</f>
        <v>0</v>
      </c>
      <c r="AW49" s="27">
        <f>IF($A49="",0,IF(Mitarbeiter!$G$47=FALSE,0,IF(AND(Mitarbeiter!$E$47&lt;&gt;"",AW$5+6&lt;Mitarbeiter!$E$47),0,IF(AND(Mitarbeiter!$F$47&lt;&gt;"",AW$5&gt;Mitarbeiter!$F$47),0,IF(Planung!AW49="",$C49,IF(ISNUMBER(Planung!AW49),Planung!AW49,IF(UPPER(Planung!AW49)="H",$C49/2,0)))))))</f>
        <v>0</v>
      </c>
      <c r="AX49" s="27">
        <f>IF($A49="",0,IF(Mitarbeiter!$G$47=FALSE,0,IF(AND(Mitarbeiter!$E$47&lt;&gt;"",AX$5+6&lt;Mitarbeiter!$E$47),0,IF(AND(Mitarbeiter!$F$47&lt;&gt;"",AX$5&gt;Mitarbeiter!$F$47),0,IF(Planung!AX49="",$C49,IF(ISNUMBER(Planung!AX49),Planung!AX49,IF(UPPER(Planung!AX49)="H",$C49/2,0)))))))</f>
        <v>0</v>
      </c>
      <c r="AY49" s="27">
        <f>IF($A49="",0,IF(Mitarbeiter!$G$47=FALSE,0,IF(AND(Mitarbeiter!$E$47&lt;&gt;"",AY$5+6&lt;Mitarbeiter!$E$47),0,IF(AND(Mitarbeiter!$F$47&lt;&gt;"",AY$5&gt;Mitarbeiter!$F$47),0,IF(Planung!AY49="",$C49,IF(ISNUMBER(Planung!AY49),Planung!AY49,IF(UPPER(Planung!AY49)="H",$C49/2,0)))))))</f>
        <v>0</v>
      </c>
      <c r="AZ49" s="27">
        <f>IF($A49="",0,IF(Mitarbeiter!$G$47=FALSE,0,IF(AND(Mitarbeiter!$E$47&lt;&gt;"",AZ$5+6&lt;Mitarbeiter!$E$47),0,IF(AND(Mitarbeiter!$F$47&lt;&gt;"",AZ$5&gt;Mitarbeiter!$F$47),0,IF(Planung!AZ49="",$C49,IF(ISNUMBER(Planung!AZ49),Planung!AZ49,IF(UPPER(Planung!AZ49)="H",$C49/2,0)))))))</f>
        <v>0</v>
      </c>
      <c r="BA49" s="27">
        <f>IF($A49="",0,IF(Mitarbeiter!$G$47=FALSE,0,IF(AND(Mitarbeiter!$E$47&lt;&gt;"",BA$5+6&lt;Mitarbeiter!$E$47),0,IF(AND(Mitarbeiter!$F$47&lt;&gt;"",BA$5&gt;Mitarbeiter!$F$47),0,IF(Planung!BA49="",$C49,IF(ISNUMBER(Planung!BA49),Planung!BA49,IF(UPPER(Planung!BA49)="H",$C49/2,0)))))))</f>
        <v>0</v>
      </c>
      <c r="BB49" s="27">
        <f>IF($A49="",0,IF(Mitarbeiter!$G$47=FALSE,0,IF(AND(Mitarbeiter!$E$47&lt;&gt;"",BB$5+6&lt;Mitarbeiter!$E$47),0,IF(AND(Mitarbeiter!$F$47&lt;&gt;"",BB$5&gt;Mitarbeiter!$F$47),0,IF(Planung!BB49="",$C49,IF(ISNUMBER(Planung!BB49),Planung!BB49,IF(UPPER(Planung!BB49)="H",$C49/2,0)))))))</f>
        <v>0</v>
      </c>
      <c r="BC49" s="27">
        <f>IF($A49="",0,IF(Mitarbeiter!$G$47=FALSE,0,IF(AND(Mitarbeiter!$E$47&lt;&gt;"",BC$5+6&lt;Mitarbeiter!$E$47),0,IF(AND(Mitarbeiter!$F$47&lt;&gt;"",BC$5&gt;Mitarbeiter!$F$47),0,IF(Planung!BC49="",$C49,IF(ISNUMBER(Planung!BC49),Planung!BC49,IF(UPPER(Planung!BC49)="H",$C49/2,0)))))))</f>
        <v>0</v>
      </c>
      <c r="BD49" s="27">
        <f>IF($A49="",0,IF(Mitarbeiter!$G$47=FALSE,0,IF(AND(Mitarbeiter!$E$47&lt;&gt;"",BD$5+6&lt;Mitarbeiter!$E$47),0,IF(AND(Mitarbeiter!$F$47&lt;&gt;"",BD$5&gt;Mitarbeiter!$F$47),0,IF(Planung!BD49="",$C49,IF(ISNUMBER(Planung!BD49),Planung!BD49,IF(UPPER(Planung!BD49)="H",$C49/2,0)))))))</f>
        <v>0</v>
      </c>
      <c r="BE49" s="27">
        <f>IF($A49="",0,IF(Mitarbeiter!$G$47=FALSE,0,IF(AND(Mitarbeiter!$E$47&lt;&gt;"",BE$5+6&lt;Mitarbeiter!$E$47),0,IF(AND(Mitarbeiter!$F$47&lt;&gt;"",BE$5&gt;Mitarbeiter!$F$47),0,IF(Planung!BE49="",$C49,IF(ISNUMBER(Planung!BE49),Planung!BE49,IF(UPPER(Planung!BE49)="H",$C49/2,0)))))))</f>
        <v>0</v>
      </c>
      <c r="BF49" s="27">
        <f>IF($A49="",0,IF(Mitarbeiter!$G$47=FALSE,0,IF(AND(Mitarbeiter!$E$47&lt;&gt;"",BF$5+6&lt;Mitarbeiter!$E$47),0,IF(AND(Mitarbeiter!$F$47&lt;&gt;"",BF$5&gt;Mitarbeiter!$F$47),0,IF(Planung!BF49="",$C49,IF(ISNUMBER(Planung!BF49),Planung!BF49,IF(UPPER(Planung!BF49)="H",$C49/2,0)))))))</f>
        <v>0</v>
      </c>
      <c r="BG49" s="27">
        <f>IF($A49="",0,IF(Mitarbeiter!$G$47=FALSE,0,IF(AND(Mitarbeiter!$E$47&lt;&gt;"",BG$5+6&lt;Mitarbeiter!$E$47),0,IF(AND(Mitarbeiter!$F$47&lt;&gt;"",BG$5&gt;Mitarbeiter!$F$47),0,IF(Planung!BG49="",$C49,IF(ISNUMBER(Planung!BG49),Planung!BG49,IF(UPPER(Planung!BG49)="H",$C49/2,0)))))))</f>
        <v>0</v>
      </c>
      <c r="BH49" s="27">
        <f>IF($A49="",0,IF(Mitarbeiter!$G$47=FALSE,0,IF(AND(Mitarbeiter!$E$47&lt;&gt;"",BH$5+6&lt;Mitarbeiter!$E$47),0,IF(AND(Mitarbeiter!$F$47&lt;&gt;"",BH$5&gt;Mitarbeiter!$F$47),0,IF(Planung!BH49="",$C49,IF(ISNUMBER(Planung!BH49),Planung!BH49,IF(UPPER(Planung!BH49)="H",$C49/2,0)))))))</f>
        <v>0</v>
      </c>
      <c r="BI49" s="27">
        <f>IF($A49="",0,IF(Mitarbeiter!$G$47=FALSE,0,IF(AND(Mitarbeiter!$E$47&lt;&gt;"",BI$5+6&lt;Mitarbeiter!$E$47),0,IF(AND(Mitarbeiter!$F$47&lt;&gt;"",BI$5&gt;Mitarbeiter!$F$47),0,IF(Planung!BI49="",$C49,IF(ISNUMBER(Planung!BI49),Planung!BI49,IF(UPPER(Planung!BI49)="H",$C49/2,0)))))))</f>
        <v>0</v>
      </c>
      <c r="BJ49" s="27">
        <f>IF($A49="",0,IF(Mitarbeiter!$G$47=FALSE,0,IF(AND(Mitarbeiter!$E$47&lt;&gt;"",BJ$5+6&lt;Mitarbeiter!$E$47),0,IF(AND(Mitarbeiter!$F$47&lt;&gt;"",BJ$5&gt;Mitarbeiter!$F$47),0,IF(Planung!BJ49="",$C49,IF(ISNUMBER(Planung!BJ49),Planung!BJ49,IF(UPPER(Planung!BJ49)="H",$C49/2,0)))))))</f>
        <v>0</v>
      </c>
      <c r="BK49" s="27">
        <f>IF($A49="",0,IF(Mitarbeiter!$G$47=FALSE,0,IF(AND(Mitarbeiter!$E$47&lt;&gt;"",BK$5+6&lt;Mitarbeiter!$E$47),0,IF(AND(Mitarbeiter!$F$47&lt;&gt;"",BK$5&gt;Mitarbeiter!$F$47),0,IF(Planung!BK49="",$C49,IF(ISNUMBER(Planung!BK49),Planung!BK49,IF(UPPER(Planung!BK49)="H",$C49/2,0)))))))</f>
        <v>0</v>
      </c>
      <c r="BL49" s="27">
        <f>IF($A49="",0,IF(Mitarbeiter!$G$47=FALSE,0,IF(AND(Mitarbeiter!$E$47&lt;&gt;"",BL$5+6&lt;Mitarbeiter!$E$47),0,IF(AND(Mitarbeiter!$F$47&lt;&gt;"",BL$5&gt;Mitarbeiter!$F$47),0,IF(Planung!BL49="",$C49,IF(ISNUMBER(Planung!BL49),Planung!BL49,IF(UPPER(Planung!BL49)="H",$C49/2,0)))))))</f>
        <v>0</v>
      </c>
      <c r="BM49" s="27">
        <f>IF($A49="",0,IF(Mitarbeiter!$G$47=FALSE,0,IF(AND(Mitarbeiter!$E$47&lt;&gt;"",BM$5+6&lt;Mitarbeiter!$E$47),0,IF(AND(Mitarbeiter!$F$47&lt;&gt;"",BM$5&gt;Mitarbeiter!$F$47),0,IF(Planung!BM49="",$C49,IF(ISNUMBER(Planung!BM49),Planung!BM49,IF(UPPER(Planung!BM49)="H",$C49/2,0)))))))</f>
        <v>0</v>
      </c>
      <c r="BN49" s="27">
        <f>IF($A49="",0,IF(Mitarbeiter!$G$47=FALSE,0,IF(AND(Mitarbeiter!$E$47&lt;&gt;"",BN$5+6&lt;Mitarbeiter!$E$47),0,IF(AND(Mitarbeiter!$F$47&lt;&gt;"",BN$5&gt;Mitarbeiter!$F$47),0,IF(Planung!BN49="",$C49,IF(ISNUMBER(Planung!BN49),Planung!BN49,IF(UPPER(Planung!BN49)="H",$C49/2,0)))))))</f>
        <v>0</v>
      </c>
      <c r="BO49" s="27">
        <f>IF($A49="",0,IF(Mitarbeiter!$G$47=FALSE,0,IF(AND(Mitarbeiter!$E$47&lt;&gt;"",BO$5+6&lt;Mitarbeiter!$E$47),0,IF(AND(Mitarbeiter!$F$47&lt;&gt;"",BO$5&gt;Mitarbeiter!$F$47),0,IF(Planung!BO49="",$C49,IF(ISNUMBER(Planung!BO49),Planung!BO49,IF(UPPER(Planung!BO49)="H",$C49/2,0)))))))</f>
        <v>0</v>
      </c>
      <c r="BP49" s="27">
        <f>IF($A49="",0,IF(Mitarbeiter!$G$47=FALSE,0,IF(AND(Mitarbeiter!$E$47&lt;&gt;"",BP$5+6&lt;Mitarbeiter!$E$47),0,IF(AND(Mitarbeiter!$F$47&lt;&gt;"",BP$5&gt;Mitarbeiter!$F$47),0,IF(Planung!BP49="",$C49,IF(ISNUMBER(Planung!BP49),Planung!BP49,IF(UPPER(Planung!BP49)="H",$C49/2,0)))))))</f>
        <v>0</v>
      </c>
      <c r="BQ49" s="27">
        <f>IF($A49="",0,IF(Mitarbeiter!$G$47=FALSE,0,IF(AND(Mitarbeiter!$E$47&lt;&gt;"",BQ$5+6&lt;Mitarbeiter!$E$47),0,IF(AND(Mitarbeiter!$F$47&lt;&gt;"",BQ$5&gt;Mitarbeiter!$F$47),0,IF(Planung!BQ49="",$C49,IF(ISNUMBER(Planung!BQ49),Planung!BQ49,IF(UPPER(Planung!BQ49)="H",$C49/2,0)))))))</f>
        <v>0</v>
      </c>
      <c r="BR49" s="27">
        <f>IF($A49="",0,IF(Mitarbeiter!$G$47=FALSE,0,IF(AND(Mitarbeiter!$E$47&lt;&gt;"",BR$5+6&lt;Mitarbeiter!$E$47),0,IF(AND(Mitarbeiter!$F$47&lt;&gt;"",BR$5&gt;Mitarbeiter!$F$47),0,IF(Planung!BR49="",$C49,IF(ISNUMBER(Planung!BR49),Planung!BR49,IF(UPPER(Planung!BR49)="H",$C49/2,0)))))))</f>
        <v>0</v>
      </c>
      <c r="BS49" s="27">
        <f>IF($A49="",0,IF(Mitarbeiter!$G$47=FALSE,0,IF(AND(Mitarbeiter!$E$47&lt;&gt;"",BS$5+6&lt;Mitarbeiter!$E$47),0,IF(AND(Mitarbeiter!$F$47&lt;&gt;"",BS$5&gt;Mitarbeiter!$F$47),0,IF(Planung!BS49="",$C49,IF(ISNUMBER(Planung!BS49),Planung!BS49,IF(UPPER(Planung!BS49)="H",$C49/2,0)))))))</f>
        <v>0</v>
      </c>
      <c r="BT49" s="27">
        <f>IF($A49="",0,IF(Mitarbeiter!$G$47=FALSE,0,IF(AND(Mitarbeiter!$E$47&lt;&gt;"",BT$5+6&lt;Mitarbeiter!$E$47),0,IF(AND(Mitarbeiter!$F$47&lt;&gt;"",BT$5&gt;Mitarbeiter!$F$47),0,IF(Planung!BT49="",$C49,IF(ISNUMBER(Planung!BT49),Planung!BT49,IF(UPPER(Planung!BT49)="H",$C49/2,0)))))))</f>
        <v>0</v>
      </c>
      <c r="BU49" s="27">
        <f>IF($A49="",0,IF(Mitarbeiter!$G$47=FALSE,0,IF(AND(Mitarbeiter!$E$47&lt;&gt;"",BU$5+6&lt;Mitarbeiter!$E$47),0,IF(AND(Mitarbeiter!$F$47&lt;&gt;"",BU$5&gt;Mitarbeiter!$F$47),0,IF(Planung!BU49="",$C49,IF(ISNUMBER(Planung!BU49),Planung!BU49,IF(UPPER(Planung!BU49)="H",$C49/2,0)))))))</f>
        <v>0</v>
      </c>
      <c r="BV49" s="27">
        <f>IF($A49="",0,IF(Mitarbeiter!$G$47=FALSE,0,IF(AND(Mitarbeiter!$E$47&lt;&gt;"",BV$5+6&lt;Mitarbeiter!$E$47),0,IF(AND(Mitarbeiter!$F$47&lt;&gt;"",BV$5&gt;Mitarbeiter!$F$47),0,IF(Planung!BV49="",$C49,IF(ISNUMBER(Planung!BV49),Planung!BV49,IF(UPPER(Planung!BV49)="H",$C49/2,0)))))))</f>
        <v>0</v>
      </c>
      <c r="BW49" s="27">
        <f>IF($A49="",0,IF(Mitarbeiter!$G$47=FALSE,0,IF(AND(Mitarbeiter!$E$47&lt;&gt;"",BW$5+6&lt;Mitarbeiter!$E$47),0,IF(AND(Mitarbeiter!$F$47&lt;&gt;"",BW$5&gt;Mitarbeiter!$F$47),0,IF(Planung!BW49="",$C49,IF(ISNUMBER(Planung!BW49),Planung!BW49,IF(UPPER(Planung!BW49)="H",$C49/2,0)))))))</f>
        <v>0</v>
      </c>
      <c r="BX49" s="27">
        <f>IF($A49="",0,IF(Mitarbeiter!$G$47=FALSE,0,IF(AND(Mitarbeiter!$E$47&lt;&gt;"",BX$5+6&lt;Mitarbeiter!$E$47),0,IF(AND(Mitarbeiter!$F$47&lt;&gt;"",BX$5&gt;Mitarbeiter!$F$47),0,IF(Planung!BX49="",$C49,IF(ISNUMBER(Planung!BX49),Planung!BX49,IF(UPPER(Planung!BX49)="H",$C49/2,0)))))))</f>
        <v>0</v>
      </c>
      <c r="BY49" s="27">
        <f>IF($A49="",0,IF(Mitarbeiter!$G$47=FALSE,0,IF(AND(Mitarbeiter!$E$47&lt;&gt;"",BY$5+6&lt;Mitarbeiter!$E$47),0,IF(AND(Mitarbeiter!$F$47&lt;&gt;"",BY$5&gt;Mitarbeiter!$F$47),0,IF(Planung!BY49="",$C49,IF(ISNUMBER(Planung!BY49),Planung!BY49,IF(UPPER(Planung!BY49)="H",$C49/2,0)))))))</f>
        <v>0</v>
      </c>
      <c r="BZ49" s="27">
        <f>IF($A49="",0,IF(Mitarbeiter!$G$47=FALSE,0,IF(AND(Mitarbeiter!$E$47&lt;&gt;"",BZ$5+6&lt;Mitarbeiter!$E$47),0,IF(AND(Mitarbeiter!$F$47&lt;&gt;"",BZ$5&gt;Mitarbeiter!$F$47),0,IF(Planung!BZ49="",$C49,IF(ISNUMBER(Planung!BZ49),Planung!BZ49,IF(UPPER(Planung!BZ49)="H",$C49/2,0)))))))</f>
        <v>0</v>
      </c>
      <c r="CA49" s="27">
        <f>IF($A49="",0,IF(Mitarbeiter!$G$47=FALSE,0,IF(AND(Mitarbeiter!$E$47&lt;&gt;"",CA$5+6&lt;Mitarbeiter!$E$47),0,IF(AND(Mitarbeiter!$F$47&lt;&gt;"",CA$5&gt;Mitarbeiter!$F$47),0,IF(Planung!CA49="",$C49,IF(ISNUMBER(Planung!CA49),Planung!CA49,IF(UPPER(Planung!CA49)="H",$C49/2,0)))))))</f>
        <v>0</v>
      </c>
      <c r="CB49" s="27">
        <f>IF($A49="",0,IF(Mitarbeiter!$G$47=FALSE,0,IF(AND(Mitarbeiter!$E$47&lt;&gt;"",CB$5+6&lt;Mitarbeiter!$E$47),0,IF(AND(Mitarbeiter!$F$47&lt;&gt;"",CB$5&gt;Mitarbeiter!$F$47),0,IF(Planung!CB49="",$C49,IF(ISNUMBER(Planung!CB49),Planung!CB49,IF(UPPER(Planung!CB49)="H",$C49/2,0)))))))</f>
        <v>0</v>
      </c>
      <c r="CC49" s="27">
        <f>IF($A49="",0,IF(Mitarbeiter!$G$47=FALSE,0,IF(AND(Mitarbeiter!$E$47&lt;&gt;"",CC$5+6&lt;Mitarbeiter!$E$47),0,IF(AND(Mitarbeiter!$F$47&lt;&gt;"",CC$5&gt;Mitarbeiter!$F$47),0,IF(Planung!CC49="",$C49,IF(ISNUMBER(Planung!CC49),Planung!CC49,IF(UPPER(Planung!CC49)="H",$C49/2,0)))))))</f>
        <v>0</v>
      </c>
      <c r="CD49" s="27">
        <f>IF($A49="",0,IF(Mitarbeiter!$G$47=FALSE,0,IF(AND(Mitarbeiter!$E$47&lt;&gt;"",CD$5+6&lt;Mitarbeiter!$E$47),0,IF(AND(Mitarbeiter!$F$47&lt;&gt;"",CD$5&gt;Mitarbeiter!$F$47),0,IF(Planung!CD49="",$C49,IF(ISNUMBER(Planung!CD49),Planung!CD49,IF(UPPER(Planung!CD49)="H",$C49/2,0)))))))</f>
        <v>0</v>
      </c>
      <c r="CE49" s="27">
        <f>IF($A49="",0,IF(Mitarbeiter!$G$47=FALSE,0,IF(AND(Mitarbeiter!$E$47&lt;&gt;"",CE$5+6&lt;Mitarbeiter!$E$47),0,IF(AND(Mitarbeiter!$F$47&lt;&gt;"",CE$5&gt;Mitarbeiter!$F$47),0,IF(Planung!CE49="",$C49,IF(ISNUMBER(Planung!CE49),Planung!CE49,IF(UPPER(Planung!CE49)="H",$C49/2,0)))))))</f>
        <v>0</v>
      </c>
      <c r="CF49" s="27">
        <f>IF($A49="",0,IF(Mitarbeiter!$G$47=FALSE,0,IF(AND(Mitarbeiter!$E$47&lt;&gt;"",CF$5+6&lt;Mitarbeiter!$E$47),0,IF(AND(Mitarbeiter!$F$47&lt;&gt;"",CF$5&gt;Mitarbeiter!$F$47),0,IF(Planung!CF49="",$C49,IF(ISNUMBER(Planung!CF49),Planung!CF49,IF(UPPER(Planung!CF49)="H",$C49/2,0)))))))</f>
        <v>0</v>
      </c>
      <c r="CG49" s="27">
        <f>IF($A49="",0,IF(Mitarbeiter!$G$47=FALSE,0,IF(AND(Mitarbeiter!$E$47&lt;&gt;"",CG$5+6&lt;Mitarbeiter!$E$47),0,IF(AND(Mitarbeiter!$F$47&lt;&gt;"",CG$5&gt;Mitarbeiter!$F$47),0,IF(Planung!CG49="",$C49,IF(ISNUMBER(Planung!CG49),Planung!CG49,IF(UPPER(Planung!CG49)="H",$C49/2,0)))))))</f>
        <v>0</v>
      </c>
      <c r="CH49" s="27">
        <f>IF($A49="",0,IF(Mitarbeiter!$G$47=FALSE,0,IF(AND(Mitarbeiter!$E$47&lt;&gt;"",CH$5+6&lt;Mitarbeiter!$E$47),0,IF(AND(Mitarbeiter!$F$47&lt;&gt;"",CH$5&gt;Mitarbeiter!$F$47),0,IF(Planung!CH49="",$C49,IF(ISNUMBER(Planung!CH49),Planung!CH49,IF(UPPER(Planung!CH49)="H",$C49/2,0)))))))</f>
        <v>0</v>
      </c>
      <c r="CI49" s="27">
        <f>IF($A49="",0,IF(Mitarbeiter!$G$47=FALSE,0,IF(AND(Mitarbeiter!$E$47&lt;&gt;"",CI$5+6&lt;Mitarbeiter!$E$47),0,IF(AND(Mitarbeiter!$F$47&lt;&gt;"",CI$5&gt;Mitarbeiter!$F$47),0,IF(Planung!CI49="",$C49,IF(ISNUMBER(Planung!CI49),Planung!CI49,IF(UPPER(Planung!CI49)="H",$C49/2,0)))))))</f>
        <v>0</v>
      </c>
      <c r="CJ49" s="27">
        <f>IF($A49="",0,IF(Mitarbeiter!$G$47=FALSE,0,IF(AND(Mitarbeiter!$E$47&lt;&gt;"",CJ$5+6&lt;Mitarbeiter!$E$47),0,IF(AND(Mitarbeiter!$F$47&lt;&gt;"",CJ$5&gt;Mitarbeiter!$F$47),0,IF(Planung!CJ49="",$C49,IF(ISNUMBER(Planung!CJ49),Planung!CJ49,IF(UPPER(Planung!CJ49)="H",$C49/2,0)))))))</f>
        <v>0</v>
      </c>
      <c r="CK49" s="27">
        <f>IF($A49="",0,IF(Mitarbeiter!$G$47=FALSE,0,IF(AND(Mitarbeiter!$E$47&lt;&gt;"",CK$5+6&lt;Mitarbeiter!$E$47),0,IF(AND(Mitarbeiter!$F$47&lt;&gt;"",CK$5&gt;Mitarbeiter!$F$47),0,IF(Planung!CK49="",$C49,IF(ISNUMBER(Planung!CK49),Planung!CK49,IF(UPPER(Planung!CK49)="H",$C49/2,0)))))))</f>
        <v>0</v>
      </c>
      <c r="CL49" s="27">
        <f>IF($A49="",0,IF(Mitarbeiter!$G$47=FALSE,0,IF(AND(Mitarbeiter!$E$47&lt;&gt;"",CL$5+6&lt;Mitarbeiter!$E$47),0,IF(AND(Mitarbeiter!$F$47&lt;&gt;"",CL$5&gt;Mitarbeiter!$F$47),0,IF(Planung!CL49="",$C49,IF(ISNUMBER(Planung!CL49),Planung!CL49,IF(UPPER(Planung!CL49)="H",$C49/2,0)))))))</f>
        <v>0</v>
      </c>
      <c r="CM49" s="27">
        <f>IF($A49="",0,IF(Mitarbeiter!$G$47=FALSE,0,IF(AND(Mitarbeiter!$E$47&lt;&gt;"",CM$5+6&lt;Mitarbeiter!$E$47),0,IF(AND(Mitarbeiter!$F$47&lt;&gt;"",CM$5&gt;Mitarbeiter!$F$47),0,IF(Planung!CM49="",$C49,IF(ISNUMBER(Planung!CM49),Planung!CM49,IF(UPPER(Planung!CM49)="H",$C49/2,0)))))))</f>
        <v>0</v>
      </c>
      <c r="CN49" s="27">
        <f>IF($A49="",0,IF(Mitarbeiter!$G$47=FALSE,0,IF(AND(Mitarbeiter!$E$47&lt;&gt;"",CN$5+6&lt;Mitarbeiter!$E$47),0,IF(AND(Mitarbeiter!$F$47&lt;&gt;"",CN$5&gt;Mitarbeiter!$F$47),0,IF(Planung!CN49="",$C49,IF(ISNUMBER(Planung!CN49),Planung!CN49,IF(UPPER(Planung!CN49)="H",$C49/2,0)))))))</f>
        <v>0</v>
      </c>
      <c r="CO49" s="27">
        <f>IF($A49="",0,IF(Mitarbeiter!$G$47=FALSE,0,IF(AND(Mitarbeiter!$E$47&lt;&gt;"",CO$5+6&lt;Mitarbeiter!$E$47),0,IF(AND(Mitarbeiter!$F$47&lt;&gt;"",CO$5&gt;Mitarbeiter!$F$47),0,IF(Planung!CO49="",$C49,IF(ISNUMBER(Planung!CO49),Planung!CO49,IF(UPPER(Planung!CO49)="H",$C49/2,0)))))))</f>
        <v>0</v>
      </c>
      <c r="CP49" s="27">
        <f>IF($A49="",0,IF(Mitarbeiter!$G$47=FALSE,0,IF(AND(Mitarbeiter!$E$47&lt;&gt;"",CP$5+6&lt;Mitarbeiter!$E$47),0,IF(AND(Mitarbeiter!$F$47&lt;&gt;"",CP$5&gt;Mitarbeiter!$F$47),0,IF(Planung!CP49="",$C49,IF(ISNUMBER(Planung!CP49),Planung!CP49,IF(UPPER(Planung!CP49)="H",$C49/2,0)))))))</f>
        <v>0</v>
      </c>
      <c r="CQ49" s="27">
        <f>IF($A49="",0,IF(Mitarbeiter!$G$47=FALSE,0,IF(AND(Mitarbeiter!$E$47&lt;&gt;"",CQ$5+6&lt;Mitarbeiter!$E$47),0,IF(AND(Mitarbeiter!$F$47&lt;&gt;"",CQ$5&gt;Mitarbeiter!$F$47),0,IF(Planung!CQ49="",$C49,IF(ISNUMBER(Planung!CQ49),Planung!CQ49,IF(UPPER(Planung!CQ49)="H",$C49/2,0)))))))</f>
        <v>0</v>
      </c>
      <c r="CR49" s="27">
        <f>IF($A49="",0,IF(Mitarbeiter!$G$47=FALSE,0,IF(AND(Mitarbeiter!$E$47&lt;&gt;"",CR$5+6&lt;Mitarbeiter!$E$47),0,IF(AND(Mitarbeiter!$F$47&lt;&gt;"",CR$5&gt;Mitarbeiter!$F$47),0,IF(Planung!CR49="",$C49,IF(ISNUMBER(Planung!CR49),Planung!CR49,IF(UPPER(Planung!CR49)="H",$C49/2,0)))))))</f>
        <v>0</v>
      </c>
      <c r="CS49" s="27">
        <f>IF($A49="",0,IF(Mitarbeiter!$G$47=FALSE,0,IF(AND(Mitarbeiter!$E$47&lt;&gt;"",CS$5+6&lt;Mitarbeiter!$E$47),0,IF(AND(Mitarbeiter!$F$47&lt;&gt;"",CS$5&gt;Mitarbeiter!$F$47),0,IF(Planung!CS49="",$C49,IF(ISNUMBER(Planung!CS49),Planung!CS49,IF(UPPER(Planung!CS49)="H",$C49/2,0)))))))</f>
        <v>0</v>
      </c>
      <c r="CT49" s="27">
        <f>IF($A49="",0,IF(Mitarbeiter!$G$47=FALSE,0,IF(AND(Mitarbeiter!$E$47&lt;&gt;"",CT$5+6&lt;Mitarbeiter!$E$47),0,IF(AND(Mitarbeiter!$F$47&lt;&gt;"",CT$5&gt;Mitarbeiter!$F$47),0,IF(Planung!CT49="",$C49,IF(ISNUMBER(Planung!CT49),Planung!CT49,IF(UPPER(Planung!CT49)="H",$C49/2,0)))))))</f>
        <v>0</v>
      </c>
      <c r="CU49" s="27">
        <f>IF($A49="",0,IF(Mitarbeiter!$G$47=FALSE,0,IF(AND(Mitarbeiter!$E$47&lt;&gt;"",CU$5+6&lt;Mitarbeiter!$E$47),0,IF(AND(Mitarbeiter!$F$47&lt;&gt;"",CU$5&gt;Mitarbeiter!$F$47),0,IF(Planung!CU49="",$C49,IF(ISNUMBER(Planung!CU49),Planung!CU49,IF(UPPER(Planung!CU49)="H",$C49/2,0)))))))</f>
        <v>0</v>
      </c>
      <c r="CV49" s="27">
        <f>IF($A49="",0,IF(Mitarbeiter!$G$47=FALSE,0,IF(AND(Mitarbeiter!$E$47&lt;&gt;"",CV$5+6&lt;Mitarbeiter!$E$47),0,IF(AND(Mitarbeiter!$F$47&lt;&gt;"",CV$5&gt;Mitarbeiter!$F$47),0,IF(Planung!CV49="",$C49,IF(ISNUMBER(Planung!CV49),Planung!CV49,IF(UPPER(Planung!CV49)="H",$C49/2,0)))))))</f>
        <v>0</v>
      </c>
      <c r="CW49" s="27">
        <f>IF($A49="",0,IF(Mitarbeiter!$G$47=FALSE,0,IF(AND(Mitarbeiter!$E$47&lt;&gt;"",CW$5+6&lt;Mitarbeiter!$E$47),0,IF(AND(Mitarbeiter!$F$47&lt;&gt;"",CW$5&gt;Mitarbeiter!$F$47),0,IF(Planung!CW49="",$C49,IF(ISNUMBER(Planung!CW49),Planung!CW49,IF(UPPER(Planung!CW49)="H",$C49/2,0)))))))</f>
        <v>0</v>
      </c>
      <c r="CX49" s="27">
        <f>IF($A49="",0,IF(Mitarbeiter!$G$47=FALSE,0,IF(AND(Mitarbeiter!$E$47&lt;&gt;"",CX$5+6&lt;Mitarbeiter!$E$47),0,IF(AND(Mitarbeiter!$F$47&lt;&gt;"",CX$5&gt;Mitarbeiter!$F$47),0,IF(Planung!CX49="",$C49,IF(ISNUMBER(Planung!CX49),Planung!CX49,IF(UPPER(Planung!CX49)="H",$C49/2,0)))))))</f>
        <v>0</v>
      </c>
      <c r="CY49" s="27">
        <f>IF($A49="",0,IF(Mitarbeiter!$G$47=FALSE,0,IF(AND(Mitarbeiter!$E$47&lt;&gt;"",CY$5+6&lt;Mitarbeiter!$E$47),0,IF(AND(Mitarbeiter!$F$47&lt;&gt;"",CY$5&gt;Mitarbeiter!$F$47),0,IF(Planung!CY49="",$C49,IF(ISNUMBER(Planung!CY49),Planung!CY49,IF(UPPER(Planung!CY49)="H",$C49/2,0)))))))</f>
        <v>0</v>
      </c>
      <c r="CZ49" s="27">
        <f>IF($A49="",0,IF(Mitarbeiter!$G$47=FALSE,0,IF(AND(Mitarbeiter!$E$47&lt;&gt;"",CZ$5+6&lt;Mitarbeiter!$E$47),0,IF(AND(Mitarbeiter!$F$47&lt;&gt;"",CZ$5&gt;Mitarbeiter!$F$47),0,IF(Planung!CZ49="",$C49,IF(ISNUMBER(Planung!CZ49),Planung!CZ49,IF(UPPER(Planung!CZ49)="H",$C49/2,0)))))))</f>
        <v>0</v>
      </c>
      <c r="DA49" s="27">
        <f>IF($A49="",0,IF(Mitarbeiter!$G$47=FALSE,0,IF(AND(Mitarbeiter!$E$47&lt;&gt;"",DA$5+6&lt;Mitarbeiter!$E$47),0,IF(AND(Mitarbeiter!$F$47&lt;&gt;"",DA$5&gt;Mitarbeiter!$F$47),0,IF(Planung!DA49="",$C49,IF(ISNUMBER(Planung!DA49),Planung!DA49,IF(UPPER(Planung!DA49)="H",$C49/2,0)))))))</f>
        <v>0</v>
      </c>
      <c r="DB49" s="27">
        <f>IF($A49="",0,IF(Mitarbeiter!$G$47=FALSE,0,IF(AND(Mitarbeiter!$E$47&lt;&gt;"",DB$5+6&lt;Mitarbeiter!$E$47),0,IF(AND(Mitarbeiter!$F$47&lt;&gt;"",DB$5&gt;Mitarbeiter!$F$47),0,IF(Planung!DB49="",$C49,IF(ISNUMBER(Planung!DB49),Planung!DB49,IF(UPPER(Planung!DB49)="H",$C49/2,0)))))))</f>
        <v>0</v>
      </c>
      <c r="DC49" s="27">
        <f>IF($A49="",0,IF(Mitarbeiter!$G$47=FALSE,0,IF(AND(Mitarbeiter!$E$47&lt;&gt;"",DC$5+6&lt;Mitarbeiter!$E$47),0,IF(AND(Mitarbeiter!$F$47&lt;&gt;"",DC$5&gt;Mitarbeiter!$F$47),0,IF(Planung!DC49="",$C49,IF(ISNUMBER(Planung!DC49),Planung!DC49,IF(UPPER(Planung!DC49)="H",$C49/2,0)))))))</f>
        <v>0</v>
      </c>
      <c r="DD49" s="27">
        <f>IF($A49="",0,IF(Mitarbeiter!$G$47=FALSE,0,IF(AND(Mitarbeiter!$E$47&lt;&gt;"",DD$5+6&lt;Mitarbeiter!$E$47),0,IF(AND(Mitarbeiter!$F$47&lt;&gt;"",DD$5&gt;Mitarbeiter!$F$47),0,IF(Planung!DD49="",$C49,IF(ISNUMBER(Planung!DD49),Planung!DD49,IF(UPPER(Planung!DD49)="H",$C49/2,0)))))))</f>
        <v>0</v>
      </c>
      <c r="DE49" s="27">
        <f>IF($A49="",0,IF(Mitarbeiter!$G$47=FALSE,0,IF(AND(Mitarbeiter!$E$47&lt;&gt;"",DE$5+6&lt;Mitarbeiter!$E$47),0,IF(AND(Mitarbeiter!$F$47&lt;&gt;"",DE$5&gt;Mitarbeiter!$F$47),0,IF(Planung!DE49="",$C49,IF(ISNUMBER(Planung!DE49),Planung!DE49,IF(UPPER(Planung!DE49)="H",$C49/2,0)))))))</f>
        <v>0</v>
      </c>
      <c r="DF49" s="27">
        <f>IF($A49="",0,IF(Mitarbeiter!$G$47=FALSE,0,IF(AND(Mitarbeiter!$E$47&lt;&gt;"",DF$5+6&lt;Mitarbeiter!$E$47),0,IF(AND(Mitarbeiter!$F$47&lt;&gt;"",DF$5&gt;Mitarbeiter!$F$47),0,IF(Planung!DF49="",$C49,IF(ISNUMBER(Planung!DF49),Planung!DF49,IF(UPPER(Planung!DF49)="H",$C49/2,0)))))))</f>
        <v>0</v>
      </c>
      <c r="DG49" s="27">
        <f>IF($A49="",0,IF(Mitarbeiter!$G$47=FALSE,0,IF(AND(Mitarbeiter!$E$47&lt;&gt;"",DG$5+6&lt;Mitarbeiter!$E$47),0,IF(AND(Mitarbeiter!$F$47&lt;&gt;"",DG$5&gt;Mitarbeiter!$F$47),0,IF(Planung!DG49="",$C49,IF(ISNUMBER(Planung!DG49),Planung!DG49,IF(UPPER(Planung!DG49)="H",$C49/2,0)))))))</f>
        <v>0</v>
      </c>
      <c r="DH49" s="27">
        <f>IF($A49="",0,IF(Mitarbeiter!$G$47=FALSE,0,IF(AND(Mitarbeiter!$E$47&lt;&gt;"",DH$5+6&lt;Mitarbeiter!$E$47),0,IF(AND(Mitarbeiter!$F$47&lt;&gt;"",DH$5&gt;Mitarbeiter!$F$47),0,IF(Planung!DH49="",$C49,IF(ISNUMBER(Planung!DH49),Planung!DH49,IF(UPPER(Planung!DH49)="H",$C49/2,0)))))))</f>
        <v>0</v>
      </c>
      <c r="DI49" s="27">
        <f>IF($A49="",0,IF(Mitarbeiter!$G$47=FALSE,0,IF(AND(Mitarbeiter!$E$47&lt;&gt;"",DI$5+6&lt;Mitarbeiter!$E$47),0,IF(AND(Mitarbeiter!$F$47&lt;&gt;"",DI$5&gt;Mitarbeiter!$F$47),0,IF(Planung!DI49="",$C49,IF(ISNUMBER(Planung!DI49),Planung!DI49,IF(UPPER(Planung!DI49)="H",$C49/2,0)))))))</f>
        <v>0</v>
      </c>
      <c r="DJ49" s="27">
        <f>IF($A49="",0,IF(Mitarbeiter!$G$47=FALSE,0,IF(AND(Mitarbeiter!$E$47&lt;&gt;"",DJ$5+6&lt;Mitarbeiter!$E$47),0,IF(AND(Mitarbeiter!$F$47&lt;&gt;"",DJ$5&gt;Mitarbeiter!$F$47),0,IF(Planung!DJ49="",$C49,IF(ISNUMBER(Planung!DJ49),Planung!DJ49,IF(UPPER(Planung!DJ49)="H",$C49/2,0)))))))</f>
        <v>0</v>
      </c>
      <c r="DK49" s="27">
        <f>IF($A49="",0,IF(Mitarbeiter!$G$47=FALSE,0,IF(AND(Mitarbeiter!$E$47&lt;&gt;"",DK$5+6&lt;Mitarbeiter!$E$47),0,IF(AND(Mitarbeiter!$F$47&lt;&gt;"",DK$5&gt;Mitarbeiter!$F$47),0,IF(Planung!DK49="",$C49,IF(ISNUMBER(Planung!DK49),Planung!DK49,IF(UPPER(Planung!DK49)="H",$C49/2,0)))))))</f>
        <v>0</v>
      </c>
      <c r="DL49" s="27">
        <f>IF($A49="",0,IF(Mitarbeiter!$G$47=FALSE,0,IF(AND(Mitarbeiter!$E$47&lt;&gt;"",DL$5+6&lt;Mitarbeiter!$E$47),0,IF(AND(Mitarbeiter!$F$47&lt;&gt;"",DL$5&gt;Mitarbeiter!$F$47),0,IF(Planung!DL49="",$C49,IF(ISNUMBER(Planung!DL49),Planung!DL49,IF(UPPER(Planung!DL49)="H",$C49/2,0)))))))</f>
        <v>0</v>
      </c>
      <c r="DM49" s="27">
        <f>IF($A49="",0,IF(Mitarbeiter!$G$47=FALSE,0,IF(AND(Mitarbeiter!$E$47&lt;&gt;"",DM$5+6&lt;Mitarbeiter!$E$47),0,IF(AND(Mitarbeiter!$F$47&lt;&gt;"",DM$5&gt;Mitarbeiter!$F$47),0,IF(Planung!DM49="",$C49,IF(ISNUMBER(Planung!DM49),Planung!DM49,IF(UPPER(Planung!DM49)="H",$C49/2,0)))))))</f>
        <v>0</v>
      </c>
      <c r="DN49" s="27">
        <f>IF($A49="",0,IF(Mitarbeiter!$G$47=FALSE,0,IF(AND(Mitarbeiter!$E$47&lt;&gt;"",DN$5+6&lt;Mitarbeiter!$E$47),0,IF(AND(Mitarbeiter!$F$47&lt;&gt;"",DN$5&gt;Mitarbeiter!$F$47),0,IF(Planung!DN49="",$C49,IF(ISNUMBER(Planung!DN49),Planung!DN49,IF(UPPER(Planung!DN49)="H",$C49/2,0)))))))</f>
        <v>0</v>
      </c>
      <c r="DO49" s="27">
        <f>IF($A49="",0,IF(Mitarbeiter!$G$47=FALSE,0,IF(AND(Mitarbeiter!$E$47&lt;&gt;"",DO$5+6&lt;Mitarbeiter!$E$47),0,IF(AND(Mitarbeiter!$F$47&lt;&gt;"",DO$5&gt;Mitarbeiter!$F$47),0,IF(Planung!DO49="",$C49,IF(ISNUMBER(Planung!DO49),Planung!DO49,IF(UPPER(Planung!DO49)="H",$C49/2,0)))))))</f>
        <v>0</v>
      </c>
      <c r="DP49" s="27">
        <f>IF($A49="",0,IF(Mitarbeiter!$G$47=FALSE,0,IF(AND(Mitarbeiter!$E$47&lt;&gt;"",DP$5+6&lt;Mitarbeiter!$E$47),0,IF(AND(Mitarbeiter!$F$47&lt;&gt;"",DP$5&gt;Mitarbeiter!$F$47),0,IF(Planung!DP49="",$C49,IF(ISNUMBER(Planung!DP49),Planung!DP49,IF(UPPER(Planung!DP49)="H",$C49/2,0)))))))</f>
        <v>0</v>
      </c>
      <c r="DQ49" s="27">
        <f>IF($A49="",0,IF(Mitarbeiter!$G$47=FALSE,0,IF(AND(Mitarbeiter!$E$47&lt;&gt;"",DQ$5+6&lt;Mitarbeiter!$E$47),0,IF(AND(Mitarbeiter!$F$47&lt;&gt;"",DQ$5&gt;Mitarbeiter!$F$47),0,IF(Planung!DQ49="",$C49,IF(ISNUMBER(Planung!DQ49),Planung!DQ49,IF(UPPER(Planung!DQ49)="H",$C49/2,0)))))))</f>
        <v>0</v>
      </c>
      <c r="DR49" s="27">
        <f>IF($A49="",0,IF(Mitarbeiter!$G$47=FALSE,0,IF(AND(Mitarbeiter!$E$47&lt;&gt;"",DR$5+6&lt;Mitarbeiter!$E$47),0,IF(AND(Mitarbeiter!$F$47&lt;&gt;"",DR$5&gt;Mitarbeiter!$F$47),0,IF(Planung!DR49="",$C49,IF(ISNUMBER(Planung!DR49),Planung!DR49,IF(UPPER(Planung!DR49)="H",$C49/2,0)))))))</f>
        <v>0</v>
      </c>
      <c r="DS49" s="27">
        <f>IF($A49="",0,IF(Mitarbeiter!$G$47=FALSE,0,IF(AND(Mitarbeiter!$E$47&lt;&gt;"",DS$5+6&lt;Mitarbeiter!$E$47),0,IF(AND(Mitarbeiter!$F$47&lt;&gt;"",DS$5&gt;Mitarbeiter!$F$47),0,IF(Planung!DS49="",$C49,IF(ISNUMBER(Planung!DS49),Planung!DS49,IF(UPPER(Planung!DS49)="H",$C49/2,0)))))))</f>
        <v>0</v>
      </c>
      <c r="DT49" s="27">
        <f>IF($A49="",0,IF(Mitarbeiter!$G$47=FALSE,0,IF(AND(Mitarbeiter!$E$47&lt;&gt;"",DT$5+6&lt;Mitarbeiter!$E$47),0,IF(AND(Mitarbeiter!$F$47&lt;&gt;"",DT$5&gt;Mitarbeiter!$F$47),0,IF(Planung!DT49="",$C49,IF(ISNUMBER(Planung!DT49),Planung!DT49,IF(UPPER(Planung!DT49)="H",$C49/2,0)))))))</f>
        <v>0</v>
      </c>
      <c r="DU49" s="27">
        <f>IF($A49="",0,IF(Mitarbeiter!$G$47=FALSE,0,IF(AND(Mitarbeiter!$E$47&lt;&gt;"",DU$5+6&lt;Mitarbeiter!$E$47),0,IF(AND(Mitarbeiter!$F$47&lt;&gt;"",DU$5&gt;Mitarbeiter!$F$47),0,IF(Planung!DU49="",$C49,IF(ISNUMBER(Planung!DU49),Planung!DU49,IF(UPPER(Planung!DU49)="H",$C49/2,0)))))))</f>
        <v>0</v>
      </c>
      <c r="DV49" s="27">
        <f>IF($A49="",0,IF(Mitarbeiter!$G$47=FALSE,0,IF(AND(Mitarbeiter!$E$47&lt;&gt;"",DV$5+6&lt;Mitarbeiter!$E$47),0,IF(AND(Mitarbeiter!$F$47&lt;&gt;"",DV$5&gt;Mitarbeiter!$F$47),0,IF(Planung!DV49="",$C49,IF(ISNUMBER(Planung!DV49),Planung!DV49,IF(UPPER(Planung!DV49)="H",$C49/2,0)))))))</f>
        <v>0</v>
      </c>
      <c r="DW49" s="27">
        <f>IF($A49="",0,IF(Mitarbeiter!$G$47=FALSE,0,IF(AND(Mitarbeiter!$E$47&lt;&gt;"",DW$5+6&lt;Mitarbeiter!$E$47),0,IF(AND(Mitarbeiter!$F$47&lt;&gt;"",DW$5&gt;Mitarbeiter!$F$47),0,IF(Planung!DW49="",$C49,IF(ISNUMBER(Planung!DW49),Planung!DW49,IF(UPPER(Planung!DW49)="H",$C49/2,0)))))))</f>
        <v>0</v>
      </c>
      <c r="DX49" s="27">
        <f>IF($A49="",0,IF(Mitarbeiter!$G$47=FALSE,0,IF(AND(Mitarbeiter!$E$47&lt;&gt;"",DX$5+6&lt;Mitarbeiter!$E$47),0,IF(AND(Mitarbeiter!$F$47&lt;&gt;"",DX$5&gt;Mitarbeiter!$F$47),0,IF(Planung!DX49="",$C49,IF(ISNUMBER(Planung!DX49),Planung!DX49,IF(UPPER(Planung!DX49)="H",$C49/2,0)))))))</f>
        <v>0</v>
      </c>
      <c r="DY49" s="27">
        <f>IF($A49="",0,IF(Mitarbeiter!$G$47=FALSE,0,IF(AND(Mitarbeiter!$E$47&lt;&gt;"",DY$5+6&lt;Mitarbeiter!$E$47),0,IF(AND(Mitarbeiter!$F$47&lt;&gt;"",DY$5&gt;Mitarbeiter!$F$47),0,IF(Planung!DY49="",$C49,IF(ISNUMBER(Planung!DY49),Planung!DY49,IF(UPPER(Planung!DY49)="H",$C49/2,0)))))))</f>
        <v>0</v>
      </c>
      <c r="DZ49" s="27">
        <f>IF($A49="",0,IF(Mitarbeiter!$G$47=FALSE,0,IF(AND(Mitarbeiter!$E$47&lt;&gt;"",DZ$5+6&lt;Mitarbeiter!$E$47),0,IF(AND(Mitarbeiter!$F$47&lt;&gt;"",DZ$5&gt;Mitarbeiter!$F$47),0,IF(Planung!DZ49="",$C49,IF(ISNUMBER(Planung!DZ49),Planung!DZ49,IF(UPPER(Planung!DZ49)="H",$C49/2,0)))))))</f>
        <v>0</v>
      </c>
      <c r="EA49" s="27">
        <f>IF($A49="",0,IF(Mitarbeiter!$G$47=FALSE,0,IF(AND(Mitarbeiter!$E$47&lt;&gt;"",EA$5+6&lt;Mitarbeiter!$E$47),0,IF(AND(Mitarbeiter!$F$47&lt;&gt;"",EA$5&gt;Mitarbeiter!$F$47),0,IF(Planung!EA49="",$C49,IF(ISNUMBER(Planung!EA49),Planung!EA49,IF(UPPER(Planung!EA49)="H",$C49/2,0)))))))</f>
        <v>0</v>
      </c>
      <c r="EB49" s="27">
        <f>IF($A49="",0,IF(Mitarbeiter!$G$47=FALSE,0,IF(AND(Mitarbeiter!$E$47&lt;&gt;"",EB$5+6&lt;Mitarbeiter!$E$47),0,IF(AND(Mitarbeiter!$F$47&lt;&gt;"",EB$5&gt;Mitarbeiter!$F$47),0,IF(Planung!EB49="",$C49,IF(ISNUMBER(Planung!EB49),Planung!EB49,IF(UPPER(Planung!EB49)="H",$C49/2,0)))))))</f>
        <v>0</v>
      </c>
      <c r="EC49" s="27">
        <f>IF($A49="",0,IF(Mitarbeiter!$G$47=FALSE,0,IF(AND(Mitarbeiter!$E$47&lt;&gt;"",EC$5+6&lt;Mitarbeiter!$E$47),0,IF(AND(Mitarbeiter!$F$47&lt;&gt;"",EC$5&gt;Mitarbeiter!$F$47),0,IF(Planung!EC49="",$C49,IF(ISNUMBER(Planung!EC49),Planung!EC49,IF(UPPER(Planung!EC49)="H",$C49/2,0)))))))</f>
        <v>0</v>
      </c>
      <c r="ED49" s="27">
        <f>IF($A49="",0,IF(Mitarbeiter!$G$47=FALSE,0,IF(AND(Mitarbeiter!$E$47&lt;&gt;"",ED$5+6&lt;Mitarbeiter!$E$47),0,IF(AND(Mitarbeiter!$F$47&lt;&gt;"",ED$5&gt;Mitarbeiter!$F$47),0,IF(Planung!ED49="",$C49,IF(ISNUMBER(Planung!ED49),Planung!ED49,IF(UPPER(Planung!ED49)="H",$C49/2,0)))))))</f>
        <v>0</v>
      </c>
      <c r="EE49" s="27">
        <f>IF($A49="",0,IF(Mitarbeiter!$G$47=FALSE,0,IF(AND(Mitarbeiter!$E$47&lt;&gt;"",EE$5+6&lt;Mitarbeiter!$E$47),0,IF(AND(Mitarbeiter!$F$47&lt;&gt;"",EE$5&gt;Mitarbeiter!$F$47),0,IF(Planung!EE49="",$C49,IF(ISNUMBER(Planung!EE49),Planung!EE49,IF(UPPER(Planung!EE49)="H",$C49/2,0)))))))</f>
        <v>0</v>
      </c>
      <c r="EF49" s="27">
        <f>IF($A49="",0,IF(Mitarbeiter!$G$47=FALSE,0,IF(AND(Mitarbeiter!$E$47&lt;&gt;"",EF$5+6&lt;Mitarbeiter!$E$47),0,IF(AND(Mitarbeiter!$F$47&lt;&gt;"",EF$5&gt;Mitarbeiter!$F$47),0,IF(Planung!EF49="",$C49,IF(ISNUMBER(Planung!EF49),Planung!EF49,IF(UPPER(Planung!EF49)="H",$C49/2,0)))))))</f>
        <v>0</v>
      </c>
      <c r="EG49" s="27">
        <f>IF($A49="",0,IF(Mitarbeiter!$G$47=FALSE,0,IF(AND(Mitarbeiter!$E$47&lt;&gt;"",EG$5+6&lt;Mitarbeiter!$E$47),0,IF(AND(Mitarbeiter!$F$47&lt;&gt;"",EG$5&gt;Mitarbeiter!$F$47),0,IF(Planung!EG49="",$C49,IF(ISNUMBER(Planung!EG49),Planung!EG49,IF(UPPER(Planung!EG49)="H",$C49/2,0)))))))</f>
        <v>0</v>
      </c>
      <c r="EH49" s="27">
        <f>IF($A49="",0,IF(Mitarbeiter!$G$47=FALSE,0,IF(AND(Mitarbeiter!$E$47&lt;&gt;"",EH$5+6&lt;Mitarbeiter!$E$47),0,IF(AND(Mitarbeiter!$F$47&lt;&gt;"",EH$5&gt;Mitarbeiter!$F$47),0,IF(Planung!EH49="",$C49,IF(ISNUMBER(Planung!EH49),Planung!EH49,IF(UPPER(Planung!EH49)="H",$C49/2,0)))))))</f>
        <v>0</v>
      </c>
      <c r="EI49" s="27">
        <f>IF($A49="",0,IF(Mitarbeiter!$G$47=FALSE,0,IF(AND(Mitarbeiter!$E$47&lt;&gt;"",EI$5+6&lt;Mitarbeiter!$E$47),0,IF(AND(Mitarbeiter!$F$47&lt;&gt;"",EI$5&gt;Mitarbeiter!$F$47),0,IF(Planung!EI49="",$C49,IF(ISNUMBER(Planung!EI49),Planung!EI49,IF(UPPER(Planung!EI49)="H",$C49/2,0)))))))</f>
        <v>0</v>
      </c>
      <c r="EJ49" s="27">
        <f>IF($A49="",0,IF(Mitarbeiter!$G$47=FALSE,0,IF(AND(Mitarbeiter!$E$47&lt;&gt;"",EJ$5+6&lt;Mitarbeiter!$E$47),0,IF(AND(Mitarbeiter!$F$47&lt;&gt;"",EJ$5&gt;Mitarbeiter!$F$47),0,IF(Planung!EJ49="",$C49,IF(ISNUMBER(Planung!EJ49),Planung!EJ49,IF(UPPER(Planung!EJ49)="H",$C49/2,0)))))))</f>
        <v>0</v>
      </c>
      <c r="EK49" s="27">
        <f>IF($A49="",0,IF(Mitarbeiter!$G$47=FALSE,0,IF(AND(Mitarbeiter!$E$47&lt;&gt;"",EK$5+6&lt;Mitarbeiter!$E$47),0,IF(AND(Mitarbeiter!$F$47&lt;&gt;"",EK$5&gt;Mitarbeiter!$F$47),0,IF(Planung!EK49="",$C49,IF(ISNUMBER(Planung!EK49),Planung!EK49,IF(UPPER(Planung!EK49)="H",$C49/2,0)))))))</f>
        <v>0</v>
      </c>
      <c r="EL49" s="27">
        <f>IF($A49="",0,IF(Mitarbeiter!$G$47=FALSE,0,IF(AND(Mitarbeiter!$E$47&lt;&gt;"",EL$5+6&lt;Mitarbeiter!$E$47),0,IF(AND(Mitarbeiter!$F$47&lt;&gt;"",EL$5&gt;Mitarbeiter!$F$47),0,IF(Planung!EL49="",$C49,IF(ISNUMBER(Planung!EL49),Planung!EL49,IF(UPPER(Planung!EL49)="H",$C49/2,0)))))))</f>
        <v>0</v>
      </c>
      <c r="EM49" s="27">
        <f>IF($A49="",0,IF(Mitarbeiter!$G$47=FALSE,0,IF(AND(Mitarbeiter!$E$47&lt;&gt;"",EM$5+6&lt;Mitarbeiter!$E$47),0,IF(AND(Mitarbeiter!$F$47&lt;&gt;"",EM$5&gt;Mitarbeiter!$F$47),0,IF(Planung!EM49="",$C49,IF(ISNUMBER(Planung!EM49),Planung!EM49,IF(UPPER(Planung!EM49)="H",$C49/2,0)))))))</f>
        <v>0</v>
      </c>
      <c r="EN49" s="27">
        <f>IF($A49="",0,IF(Mitarbeiter!$G$47=FALSE,0,IF(AND(Mitarbeiter!$E$47&lt;&gt;"",EN$5+6&lt;Mitarbeiter!$E$47),0,IF(AND(Mitarbeiter!$F$47&lt;&gt;"",EN$5&gt;Mitarbeiter!$F$47),0,IF(Planung!EN49="",$C49,IF(ISNUMBER(Planung!EN49),Planung!EN49,IF(UPPER(Planung!EN49)="H",$C49/2,0)))))))</f>
        <v>0</v>
      </c>
      <c r="EO49" s="27">
        <f>IF($A49="",0,IF(Mitarbeiter!$G$47=FALSE,0,IF(AND(Mitarbeiter!$E$47&lt;&gt;"",EO$5+6&lt;Mitarbeiter!$E$47),0,IF(AND(Mitarbeiter!$F$47&lt;&gt;"",EO$5&gt;Mitarbeiter!$F$47),0,IF(Planung!EO49="",$C49,IF(ISNUMBER(Planung!EO49),Planung!EO49,IF(UPPER(Planung!EO49)="H",$C49/2,0)))))))</f>
        <v>0</v>
      </c>
      <c r="EP49" s="27">
        <f>IF($A49="",0,IF(Mitarbeiter!$G$47=FALSE,0,IF(AND(Mitarbeiter!$E$47&lt;&gt;"",EP$5+6&lt;Mitarbeiter!$E$47),0,IF(AND(Mitarbeiter!$F$47&lt;&gt;"",EP$5&gt;Mitarbeiter!$F$47),0,IF(Planung!EP49="",$C49,IF(ISNUMBER(Planung!EP49),Planung!EP49,IF(UPPER(Planung!EP49)="H",$C49/2,0)))))))</f>
        <v>0</v>
      </c>
      <c r="EQ49" s="27">
        <f>IF($A49="",0,IF(Mitarbeiter!$G$47=FALSE,0,IF(AND(Mitarbeiter!$E$47&lt;&gt;"",EQ$5+6&lt;Mitarbeiter!$E$47),0,IF(AND(Mitarbeiter!$F$47&lt;&gt;"",EQ$5&gt;Mitarbeiter!$F$47),0,IF(Planung!EQ49="",$C49,IF(ISNUMBER(Planung!EQ49),Planung!EQ49,IF(UPPER(Planung!EQ49)="H",$C49/2,0)))))))</f>
        <v>0</v>
      </c>
      <c r="ER49" s="27">
        <f>IF($A49="",0,IF(Mitarbeiter!$G$47=FALSE,0,IF(AND(Mitarbeiter!$E$47&lt;&gt;"",ER$5+6&lt;Mitarbeiter!$E$47),0,IF(AND(Mitarbeiter!$F$47&lt;&gt;"",ER$5&gt;Mitarbeiter!$F$47),0,IF(Planung!ER49="",$C49,IF(ISNUMBER(Planung!ER49),Planung!ER49,IF(UPPER(Planung!ER49)="H",$C49/2,0)))))))</f>
        <v>0</v>
      </c>
      <c r="ES49" s="27">
        <f>IF($A49="",0,IF(Mitarbeiter!$G$47=FALSE,0,IF(AND(Mitarbeiter!$E$47&lt;&gt;"",ES$5+6&lt;Mitarbeiter!$E$47),0,IF(AND(Mitarbeiter!$F$47&lt;&gt;"",ES$5&gt;Mitarbeiter!$F$47),0,IF(Planung!ES49="",$C49,IF(ISNUMBER(Planung!ES49),Planung!ES49,IF(UPPER(Planung!ES49)="H",$C49/2,0)))))))</f>
        <v>0</v>
      </c>
      <c r="ET49" s="27">
        <f>IF($A49="",0,IF(Mitarbeiter!$G$47=FALSE,0,IF(AND(Mitarbeiter!$E$47&lt;&gt;"",ET$5+6&lt;Mitarbeiter!$E$47),0,IF(AND(Mitarbeiter!$F$47&lt;&gt;"",ET$5&gt;Mitarbeiter!$F$47),0,IF(Planung!ET49="",$C49,IF(ISNUMBER(Planung!ET49),Planung!ET49,IF(UPPER(Planung!ET49)="H",$C49/2,0)))))))</f>
        <v>0</v>
      </c>
      <c r="EU49" s="27">
        <f>IF($A49="",0,IF(Mitarbeiter!$G$47=FALSE,0,IF(AND(Mitarbeiter!$E$47&lt;&gt;"",EU$5+6&lt;Mitarbeiter!$E$47),0,IF(AND(Mitarbeiter!$F$47&lt;&gt;"",EU$5&gt;Mitarbeiter!$F$47),0,IF(Planung!EU49="",$C49,IF(ISNUMBER(Planung!EU49),Planung!EU49,IF(UPPER(Planung!EU49)="H",$C49/2,0)))))))</f>
        <v>0</v>
      </c>
      <c r="EV49" s="27">
        <f>IF($A49="",0,IF(Mitarbeiter!$G$47=FALSE,0,IF(AND(Mitarbeiter!$E$47&lt;&gt;"",EV$5+6&lt;Mitarbeiter!$E$47),0,IF(AND(Mitarbeiter!$F$47&lt;&gt;"",EV$5&gt;Mitarbeiter!$F$47),0,IF(Planung!EV49="",$C49,IF(ISNUMBER(Planung!EV49),Planung!EV49,IF(UPPER(Planung!EV49)="H",$C49/2,0)))))))</f>
        <v>0</v>
      </c>
      <c r="EW49" s="27">
        <f>IF($A49="",0,IF(Mitarbeiter!$G$47=FALSE,0,IF(AND(Mitarbeiter!$E$47&lt;&gt;"",EW$5+6&lt;Mitarbeiter!$E$47),0,IF(AND(Mitarbeiter!$F$47&lt;&gt;"",EW$5&gt;Mitarbeiter!$F$47),0,IF(Planung!EW49="",$C49,IF(ISNUMBER(Planung!EW49),Planung!EW49,IF(UPPER(Planung!EW49)="H",$C49/2,0)))))))</f>
        <v>0</v>
      </c>
      <c r="EX49" s="27">
        <f>IF($A49="",0,IF(Mitarbeiter!$G$47=FALSE,0,IF(AND(Mitarbeiter!$E$47&lt;&gt;"",EX$5+6&lt;Mitarbeiter!$E$47),0,IF(AND(Mitarbeiter!$F$47&lt;&gt;"",EX$5&gt;Mitarbeiter!$F$47),0,IF(Planung!EX49="",$C49,IF(ISNUMBER(Planung!EX49),Planung!EX49,IF(UPPER(Planung!EX49)="H",$C49/2,0)))))))</f>
        <v>0</v>
      </c>
      <c r="EY49" s="27">
        <f>IF($A49="",0,IF(Mitarbeiter!$G$47=FALSE,0,IF(AND(Mitarbeiter!$E$47&lt;&gt;"",EY$5+6&lt;Mitarbeiter!$E$47),0,IF(AND(Mitarbeiter!$F$47&lt;&gt;"",EY$5&gt;Mitarbeiter!$F$47),0,IF(Planung!EY49="",$C49,IF(ISNUMBER(Planung!EY49),Planung!EY49,IF(UPPER(Planung!EY49)="H",$C49/2,0)))))))</f>
        <v>0</v>
      </c>
      <c r="EZ49" s="27">
        <f>IF($A49="",0,IF(Mitarbeiter!$G$47=FALSE,0,IF(AND(Mitarbeiter!$E$47&lt;&gt;"",EZ$5+6&lt;Mitarbeiter!$E$47),0,IF(AND(Mitarbeiter!$F$47&lt;&gt;"",EZ$5&gt;Mitarbeiter!$F$47),0,IF(Planung!EZ49="",$C49,IF(ISNUMBER(Planung!EZ49),Planung!EZ49,IF(UPPER(Planung!EZ49)="H",$C49/2,0)))))))</f>
        <v>0</v>
      </c>
      <c r="FA49" s="27">
        <f>IF($A49="",0,IF(Mitarbeiter!$G$47=FALSE,0,IF(AND(Mitarbeiter!$E$47&lt;&gt;"",FA$5+6&lt;Mitarbeiter!$E$47),0,IF(AND(Mitarbeiter!$F$47&lt;&gt;"",FA$5&gt;Mitarbeiter!$F$47),0,IF(Planung!FA49="",$C49,IF(ISNUMBER(Planung!FA49),Planung!FA49,IF(UPPER(Planung!FA49)="H",$C49/2,0)))))))</f>
        <v>0</v>
      </c>
      <c r="FB49" s="27">
        <f>IF($A49="",0,IF(Mitarbeiter!$G$47=FALSE,0,IF(AND(Mitarbeiter!$E$47&lt;&gt;"",FB$5+6&lt;Mitarbeiter!$E$47),0,IF(AND(Mitarbeiter!$F$47&lt;&gt;"",FB$5&gt;Mitarbeiter!$F$47),0,IF(Planung!FB49="",$C49,IF(ISNUMBER(Planung!FB49),Planung!FB49,IF(UPPER(Planung!FB49)="H",$C49/2,0)))))))</f>
        <v>0</v>
      </c>
      <c r="FC49" s="27">
        <f>IF($A49="",0,IF(Mitarbeiter!$G$47=FALSE,0,IF(AND(Mitarbeiter!$E$47&lt;&gt;"",FC$5+6&lt;Mitarbeiter!$E$47),0,IF(AND(Mitarbeiter!$F$47&lt;&gt;"",FC$5&gt;Mitarbeiter!$F$47),0,IF(Planung!FC49="",$C49,IF(ISNUMBER(Planung!FC49),Planung!FC49,IF(UPPER(Planung!FC49)="H",$C49/2,0)))))))</f>
        <v>0</v>
      </c>
      <c r="FD49" s="27">
        <f>IF($A49="",0,IF(Mitarbeiter!$G$47=FALSE,0,IF(AND(Mitarbeiter!$E$47&lt;&gt;"",FD$5+6&lt;Mitarbeiter!$E$47),0,IF(AND(Mitarbeiter!$F$47&lt;&gt;"",FD$5&gt;Mitarbeiter!$F$47),0,IF(Planung!FD49="",$C49,IF(ISNUMBER(Planung!FD49),Planung!FD49,IF(UPPER(Planung!FD49)="H",$C49/2,0)))))))</f>
        <v>0</v>
      </c>
      <c r="FE49" s="27">
        <f>IF($A49="",0,IF(Mitarbeiter!$G$47=FALSE,0,IF(AND(Mitarbeiter!$E$47&lt;&gt;"",FE$5+6&lt;Mitarbeiter!$E$47),0,IF(AND(Mitarbeiter!$F$47&lt;&gt;"",FE$5&gt;Mitarbeiter!$F$47),0,IF(Planung!FE49="",$C49,IF(ISNUMBER(Planung!FE49),Planung!FE49,IF(UPPER(Planung!FE49)="H",$C49/2,0)))))))</f>
        <v>0</v>
      </c>
      <c r="FF49" s="27">
        <f>IF($A49="",0,IF(Mitarbeiter!$G$47=FALSE,0,IF(AND(Mitarbeiter!$E$47&lt;&gt;"",FF$5+6&lt;Mitarbeiter!$E$47),0,IF(AND(Mitarbeiter!$F$47&lt;&gt;"",FF$5&gt;Mitarbeiter!$F$47),0,IF(Planung!FF49="",$C49,IF(ISNUMBER(Planung!FF49),Planung!FF49,IF(UPPER(Planung!FF49)="H",$C49/2,0)))))))</f>
        <v>0</v>
      </c>
      <c r="FG49" s="27">
        <f>IF($A49="",0,IF(Mitarbeiter!$G$47=FALSE,0,IF(AND(Mitarbeiter!$E$47&lt;&gt;"",FG$5+6&lt;Mitarbeiter!$E$47),0,IF(AND(Mitarbeiter!$F$47&lt;&gt;"",FG$5&gt;Mitarbeiter!$F$47),0,IF(Planung!FG49="",$C49,IF(ISNUMBER(Planung!FG49),Planung!FG49,IF(UPPER(Planung!FG49)="H",$C49/2,0)))))))</f>
        <v>0</v>
      </c>
      <c r="FH49" s="27">
        <f>IF($A49="",0,IF(Mitarbeiter!$G$47=FALSE,0,IF(AND(Mitarbeiter!$E$47&lt;&gt;"",FH$5+6&lt;Mitarbeiter!$E$47),0,IF(AND(Mitarbeiter!$F$47&lt;&gt;"",FH$5&gt;Mitarbeiter!$F$47),0,IF(Planung!FH49="",$C49,IF(ISNUMBER(Planung!FH49),Planung!FH49,IF(UPPER(Planung!FH49)="H",$C49/2,0)))))))</f>
        <v>0</v>
      </c>
      <c r="FI49" s="27">
        <f>IF($A49="",0,IF(Mitarbeiter!$G$47=FALSE,0,IF(AND(Mitarbeiter!$E$47&lt;&gt;"",FI$5+6&lt;Mitarbeiter!$E$47),0,IF(AND(Mitarbeiter!$F$47&lt;&gt;"",FI$5&gt;Mitarbeiter!$F$47),0,IF(Planung!FI49="",$C49,IF(ISNUMBER(Planung!FI49),Planung!FI49,IF(UPPER(Planung!FI49)="H",$C49/2,0)))))))</f>
        <v>0</v>
      </c>
      <c r="FJ49" s="27">
        <f>IF($A49="",0,IF(Mitarbeiter!$G$47=FALSE,0,IF(AND(Mitarbeiter!$E$47&lt;&gt;"",FJ$5+6&lt;Mitarbeiter!$E$47),0,IF(AND(Mitarbeiter!$F$47&lt;&gt;"",FJ$5&gt;Mitarbeiter!$F$47),0,IF(Planung!FJ49="",$C49,IF(ISNUMBER(Planung!FJ49),Planung!FJ49,IF(UPPER(Planung!FJ49)="H",$C49/2,0)))))))</f>
        <v>0</v>
      </c>
      <c r="FK49" s="27">
        <f>IF($A49="",0,IF(Mitarbeiter!$G$47=FALSE,0,IF(AND(Mitarbeiter!$E$47&lt;&gt;"",FK$5+6&lt;Mitarbeiter!$E$47),0,IF(AND(Mitarbeiter!$F$47&lt;&gt;"",FK$5&gt;Mitarbeiter!$F$47),0,IF(Planung!FK49="",$C49,IF(ISNUMBER(Planung!FK49),Planung!FK49,IF(UPPER(Planung!FK49)="H",$C49/2,0)))))))</f>
        <v>0</v>
      </c>
      <c r="FL49" s="27">
        <f>IF($A49="",0,IF(Mitarbeiter!$G$47=FALSE,0,IF(AND(Mitarbeiter!$E$47&lt;&gt;"",FL$5+6&lt;Mitarbeiter!$E$47),0,IF(AND(Mitarbeiter!$F$47&lt;&gt;"",FL$5&gt;Mitarbeiter!$F$47),0,IF(Planung!FL49="",$C49,IF(ISNUMBER(Planung!FL49),Planung!FL49,IF(UPPER(Planung!FL49)="H",$C49/2,0)))))))</f>
        <v>0</v>
      </c>
      <c r="FM49" s="27">
        <f>IF($A49="",0,IF(Mitarbeiter!$G$47=FALSE,0,IF(AND(Mitarbeiter!$E$47&lt;&gt;"",FM$5+6&lt;Mitarbeiter!$E$47),0,IF(AND(Mitarbeiter!$F$47&lt;&gt;"",FM$5&gt;Mitarbeiter!$F$47),0,IF(Planung!FM49="",$C49,IF(ISNUMBER(Planung!FM49),Planung!FM49,IF(UPPER(Planung!FM49)="H",$C49/2,0)))))))</f>
        <v>0</v>
      </c>
      <c r="FN49" s="27">
        <f>IF($A49="",0,IF(Mitarbeiter!$G$47=FALSE,0,IF(AND(Mitarbeiter!$E$47&lt;&gt;"",FN$5+6&lt;Mitarbeiter!$E$47),0,IF(AND(Mitarbeiter!$F$47&lt;&gt;"",FN$5&gt;Mitarbeiter!$F$47),0,IF(Planung!FN49="",$C49,IF(ISNUMBER(Planung!FN49),Planung!FN49,IF(UPPER(Planung!FN49)="H",$C49/2,0)))))))</f>
        <v>0</v>
      </c>
      <c r="FO49" s="27">
        <f>IF($A49="",0,IF(Mitarbeiter!$G$47=FALSE,0,IF(AND(Mitarbeiter!$E$47&lt;&gt;"",FO$5+6&lt;Mitarbeiter!$E$47),0,IF(AND(Mitarbeiter!$F$47&lt;&gt;"",FO$5&gt;Mitarbeiter!$F$47),0,IF(Planung!FO49="",$C49,IF(ISNUMBER(Planung!FO49),Planung!FO49,IF(UPPER(Planung!FO49)="H",$C49/2,0)))))))</f>
        <v>0</v>
      </c>
      <c r="FP49" s="27">
        <f>IF($A49="",0,IF(Mitarbeiter!$G$47=FALSE,0,IF(AND(Mitarbeiter!$E$47&lt;&gt;"",FP$5+6&lt;Mitarbeiter!$E$47),0,IF(AND(Mitarbeiter!$F$47&lt;&gt;"",FP$5&gt;Mitarbeiter!$F$47),0,IF(Planung!FP49="",$C49,IF(ISNUMBER(Planung!FP49),Planung!FP49,IF(UPPER(Planung!FP49)="H",$C49/2,0)))))))</f>
        <v>0</v>
      </c>
      <c r="FQ49" s="27">
        <f>IF($A49="",0,IF(Mitarbeiter!$G$47=FALSE,0,IF(AND(Mitarbeiter!$E$47&lt;&gt;"",FQ$5+6&lt;Mitarbeiter!$E$47),0,IF(AND(Mitarbeiter!$F$47&lt;&gt;"",FQ$5&gt;Mitarbeiter!$F$47),0,IF(Planung!FQ49="",$C49,IF(ISNUMBER(Planung!FQ49),Planung!FQ49,IF(UPPER(Planung!FQ49)="H",$C49/2,0)))))))</f>
        <v>0</v>
      </c>
      <c r="FR49" s="27">
        <f>IF($A49="",0,IF(Mitarbeiter!$G$47=FALSE,0,IF(AND(Mitarbeiter!$E$47&lt;&gt;"",FR$5+6&lt;Mitarbeiter!$E$47),0,IF(AND(Mitarbeiter!$F$47&lt;&gt;"",FR$5&gt;Mitarbeiter!$F$47),0,IF(Planung!FR49="",$C49,IF(ISNUMBER(Planung!FR49),Planung!FR49,IF(UPPER(Planung!FR49)="H",$C49/2,0)))))))</f>
        <v>0</v>
      </c>
      <c r="FS49" s="27">
        <f>IF($A49="",0,IF(Mitarbeiter!$G$47=FALSE,0,IF(AND(Mitarbeiter!$E$47&lt;&gt;"",FS$5+6&lt;Mitarbeiter!$E$47),0,IF(AND(Mitarbeiter!$F$47&lt;&gt;"",FS$5&gt;Mitarbeiter!$F$47),0,IF(Planung!FS49="",$C49,IF(ISNUMBER(Planung!FS49),Planung!FS49,IF(UPPER(Planung!FS49)="H",$C49/2,0)))))))</f>
        <v>0</v>
      </c>
      <c r="FT49" s="27">
        <f>IF($A49="",0,IF(Mitarbeiter!$G$47=FALSE,0,IF(AND(Mitarbeiter!$E$47&lt;&gt;"",FT$5+6&lt;Mitarbeiter!$E$47),0,IF(AND(Mitarbeiter!$F$47&lt;&gt;"",FT$5&gt;Mitarbeiter!$F$47),0,IF(Planung!FT49="",$C49,IF(ISNUMBER(Planung!FT49),Planung!FT49,IF(UPPER(Planung!FT49)="H",$C49/2,0)))))))</f>
        <v>0</v>
      </c>
      <c r="FU49" s="27">
        <f>IF($A49="",0,IF(Mitarbeiter!$G$47=FALSE,0,IF(AND(Mitarbeiter!$E$47&lt;&gt;"",FU$5+6&lt;Mitarbeiter!$E$47),0,IF(AND(Mitarbeiter!$F$47&lt;&gt;"",FU$5&gt;Mitarbeiter!$F$47),0,IF(Planung!FU49="",$C49,IF(ISNUMBER(Planung!FU49),Planung!FU49,IF(UPPER(Planung!FU49)="H",$C49/2,0)))))))</f>
        <v>0</v>
      </c>
      <c r="FV49" s="27">
        <f>IF($A49="",0,IF(Mitarbeiter!$G$47=FALSE,0,IF(AND(Mitarbeiter!$E$47&lt;&gt;"",FV$5+6&lt;Mitarbeiter!$E$47),0,IF(AND(Mitarbeiter!$F$47&lt;&gt;"",FV$5&gt;Mitarbeiter!$F$47),0,IF(Planung!FV49="",$C49,IF(ISNUMBER(Planung!FV49),Planung!FV49,IF(UPPER(Planung!FV49)="H",$C49/2,0)))))))</f>
        <v>0</v>
      </c>
      <c r="FW49" s="27">
        <f>IF($A49="",0,IF(Mitarbeiter!$G$47=FALSE,0,IF(AND(Mitarbeiter!$E$47&lt;&gt;"",FW$5+6&lt;Mitarbeiter!$E$47),0,IF(AND(Mitarbeiter!$F$47&lt;&gt;"",FW$5&gt;Mitarbeiter!$F$47),0,IF(Planung!FW49="",$C49,IF(ISNUMBER(Planung!FW49),Planung!FW49,IF(UPPER(Planung!FW49)="H",$C49/2,0)))))))</f>
        <v>0</v>
      </c>
      <c r="FX49" s="27">
        <f>IF($A49="",0,IF(Mitarbeiter!$G$47=FALSE,0,IF(AND(Mitarbeiter!$E$47&lt;&gt;"",FX$5+6&lt;Mitarbeiter!$E$47),0,IF(AND(Mitarbeiter!$F$47&lt;&gt;"",FX$5&gt;Mitarbeiter!$F$47),0,IF(Planung!FX49="",$C49,IF(ISNUMBER(Planung!FX49),Planung!FX49,IF(UPPER(Planung!FX49)="H",$C49/2,0)))))))</f>
        <v>0</v>
      </c>
      <c r="FY49" s="27">
        <f>IF($A49="",0,IF(Mitarbeiter!$G$47=FALSE,0,IF(AND(Mitarbeiter!$E$47&lt;&gt;"",FY$5+6&lt;Mitarbeiter!$E$47),0,IF(AND(Mitarbeiter!$F$47&lt;&gt;"",FY$5&gt;Mitarbeiter!$F$47),0,IF(Planung!FY49="",$C49,IF(ISNUMBER(Planung!FY49),Planung!FY49,IF(UPPER(Planung!FY49)="H",$C49/2,0)))))))</f>
        <v>0</v>
      </c>
      <c r="FZ49" s="27">
        <f>IF($A49="",0,IF(Mitarbeiter!$G$47=FALSE,0,IF(AND(Mitarbeiter!$E$47&lt;&gt;"",FZ$5+6&lt;Mitarbeiter!$E$47),0,IF(AND(Mitarbeiter!$F$47&lt;&gt;"",FZ$5&gt;Mitarbeiter!$F$47),0,IF(Planung!FZ49="",$C49,IF(ISNUMBER(Planung!FZ49),Planung!FZ49,IF(UPPER(Planung!FZ49)="H",$C49/2,0)))))))</f>
        <v>0</v>
      </c>
      <c r="GA49" s="27">
        <f>IF($A49="",0,IF(Mitarbeiter!$G$47=FALSE,0,IF(AND(Mitarbeiter!$E$47&lt;&gt;"",GA$5+6&lt;Mitarbeiter!$E$47),0,IF(AND(Mitarbeiter!$F$47&lt;&gt;"",GA$5&gt;Mitarbeiter!$F$47),0,IF(Planung!GA49="",$C49,IF(ISNUMBER(Planung!GA49),Planung!GA49,IF(UPPER(Planung!GA49)="H",$C49/2,0)))))))</f>
        <v>0</v>
      </c>
      <c r="GB49" s="27">
        <f>IF($A49="",0,IF(Mitarbeiter!$G$47=FALSE,0,IF(AND(Mitarbeiter!$E$47&lt;&gt;"",GB$5+6&lt;Mitarbeiter!$E$47),0,IF(AND(Mitarbeiter!$F$47&lt;&gt;"",GB$5&gt;Mitarbeiter!$F$47),0,IF(Planung!GB49="",$C49,IF(ISNUMBER(Planung!GB49),Planung!GB49,IF(UPPER(Planung!GB49)="H",$C49/2,0)))))))</f>
        <v>0</v>
      </c>
      <c r="GC49" s="27">
        <f>IF($A49="",0,IF(Mitarbeiter!$G$47=FALSE,0,IF(AND(Mitarbeiter!$E$47&lt;&gt;"",GC$5+6&lt;Mitarbeiter!$E$47),0,IF(AND(Mitarbeiter!$F$47&lt;&gt;"",GC$5&gt;Mitarbeiter!$F$47),0,IF(Planung!GC49="",$C49,IF(ISNUMBER(Planung!GC49),Planung!GC49,IF(UPPER(Planung!GC49)="H",$C49/2,0)))))))</f>
        <v>0</v>
      </c>
      <c r="GD49" s="27">
        <f>IF($A49="",0,IF(Mitarbeiter!$G$47=FALSE,0,IF(AND(Mitarbeiter!$E$47&lt;&gt;"",GD$5+6&lt;Mitarbeiter!$E$47),0,IF(AND(Mitarbeiter!$F$47&lt;&gt;"",GD$5&gt;Mitarbeiter!$F$47),0,IF(Planung!GD49="",$C49,IF(ISNUMBER(Planung!GD49),Planung!GD49,IF(UPPER(Planung!GD49)="H",$C49/2,0)))))))</f>
        <v>0</v>
      </c>
      <c r="GE49" s="27">
        <f>IF($A49="",0,IF(Mitarbeiter!$G$47=FALSE,0,IF(AND(Mitarbeiter!$E$47&lt;&gt;"",GE$5+6&lt;Mitarbeiter!$E$47),0,IF(AND(Mitarbeiter!$F$47&lt;&gt;"",GE$5&gt;Mitarbeiter!$F$47),0,IF(Planung!GE49="",$C49,IF(ISNUMBER(Planung!GE49),Planung!GE49,IF(UPPER(Planung!GE49)="H",$C49/2,0)))))))</f>
        <v>0</v>
      </c>
      <c r="GF49" s="27">
        <f>IF($A49="",0,IF(Mitarbeiter!$G$47=FALSE,0,IF(AND(Mitarbeiter!$E$47&lt;&gt;"",GF$5+6&lt;Mitarbeiter!$E$47),0,IF(AND(Mitarbeiter!$F$47&lt;&gt;"",GF$5&gt;Mitarbeiter!$F$47),0,IF(Planung!GF49="",$C49,IF(ISNUMBER(Planung!GF49),Planung!GF49,IF(UPPER(Planung!GF49)="H",$C49/2,0)))))))</f>
        <v>0</v>
      </c>
      <c r="GG49" s="27">
        <f>IF($A49="",0,IF(Mitarbeiter!$G$47=FALSE,0,IF(AND(Mitarbeiter!$E$47&lt;&gt;"",GG$5+6&lt;Mitarbeiter!$E$47),0,IF(AND(Mitarbeiter!$F$47&lt;&gt;"",GG$5&gt;Mitarbeiter!$F$47),0,IF(Planung!GG49="",$C49,IF(ISNUMBER(Planung!GG49),Planung!GG49,IF(UPPER(Planung!GG49)="H",$C49/2,0)))))))</f>
        <v>0</v>
      </c>
      <c r="GH49" s="27">
        <f>IF($A49="",0,IF(Mitarbeiter!$G$47=FALSE,0,IF(AND(Mitarbeiter!$E$47&lt;&gt;"",GH$5+6&lt;Mitarbeiter!$E$47),0,IF(AND(Mitarbeiter!$F$47&lt;&gt;"",GH$5&gt;Mitarbeiter!$F$47),0,IF(Planung!GH49="",$C49,IF(ISNUMBER(Planung!GH49),Planung!GH49,IF(UPPER(Planung!GH49)="H",$C49/2,0)))))))</f>
        <v>0</v>
      </c>
      <c r="GI49" s="27">
        <f>IF($A49="",0,IF(Mitarbeiter!$G$47=FALSE,0,IF(AND(Mitarbeiter!$E$47&lt;&gt;"",GI$5+6&lt;Mitarbeiter!$E$47),0,IF(AND(Mitarbeiter!$F$47&lt;&gt;"",GI$5&gt;Mitarbeiter!$F$47),0,IF(Planung!GI49="",$C49,IF(ISNUMBER(Planung!GI49),Planung!GI49,IF(UPPER(Planung!GI49)="H",$C49/2,0)))))))</f>
        <v>0</v>
      </c>
      <c r="GJ49" s="27">
        <f>IF($A49="",0,IF(Mitarbeiter!$G$47=FALSE,0,IF(AND(Mitarbeiter!$E$47&lt;&gt;"",GJ$5+6&lt;Mitarbeiter!$E$47),0,IF(AND(Mitarbeiter!$F$47&lt;&gt;"",GJ$5&gt;Mitarbeiter!$F$47),0,IF(Planung!GJ49="",$C49,IF(ISNUMBER(Planung!GJ49),Planung!GJ49,IF(UPPER(Planung!GJ49)="H",$C49/2,0)))))))</f>
        <v>0</v>
      </c>
      <c r="GK49" s="27">
        <f>IF($A49="",0,IF(Mitarbeiter!$G$47=FALSE,0,IF(AND(Mitarbeiter!$E$47&lt;&gt;"",GK$5+6&lt;Mitarbeiter!$E$47),0,IF(AND(Mitarbeiter!$F$47&lt;&gt;"",GK$5&gt;Mitarbeiter!$F$47),0,IF(Planung!GK49="",$C49,IF(ISNUMBER(Planung!GK49),Planung!GK49,IF(UPPER(Planung!GK49)="H",$C49/2,0)))))))</f>
        <v>0</v>
      </c>
      <c r="GL49" s="27">
        <f>IF($A49="",0,IF(Mitarbeiter!$G$47=FALSE,0,IF(AND(Mitarbeiter!$E$47&lt;&gt;"",GL$5+6&lt;Mitarbeiter!$E$47),0,IF(AND(Mitarbeiter!$F$47&lt;&gt;"",GL$5&gt;Mitarbeiter!$F$47),0,IF(Planung!GL49="",$C49,IF(ISNUMBER(Planung!GL49),Planung!GL49,IF(UPPER(Planung!GL49)="H",$C49/2,0)))))))</f>
        <v>0</v>
      </c>
      <c r="GM49" s="27">
        <f>IF($A49="",0,IF(Mitarbeiter!$G$47=FALSE,0,IF(AND(Mitarbeiter!$E$47&lt;&gt;"",GM$5+6&lt;Mitarbeiter!$E$47),0,IF(AND(Mitarbeiter!$F$47&lt;&gt;"",GM$5&gt;Mitarbeiter!$F$47),0,IF(Planung!GM49="",$C49,IF(ISNUMBER(Planung!GM49),Planung!GM49,IF(UPPER(Planung!GM49)="H",$C49/2,0)))))))</f>
        <v>0</v>
      </c>
      <c r="GN49" s="27">
        <f>IF($A49="",0,IF(Mitarbeiter!$G$47=FALSE,0,IF(AND(Mitarbeiter!$E$47&lt;&gt;"",GN$5+6&lt;Mitarbeiter!$E$47),0,IF(AND(Mitarbeiter!$F$47&lt;&gt;"",GN$5&gt;Mitarbeiter!$F$47),0,IF(Planung!GN49="",$C49,IF(ISNUMBER(Planung!GN49),Planung!GN49,IF(UPPER(Planung!GN49)="H",$C49/2,0)))))))</f>
        <v>0</v>
      </c>
      <c r="GO49" s="27">
        <f>IF($A49="",0,IF(Mitarbeiter!$G$47=FALSE,0,IF(AND(Mitarbeiter!$E$47&lt;&gt;"",GO$5+6&lt;Mitarbeiter!$E$47),0,IF(AND(Mitarbeiter!$F$47&lt;&gt;"",GO$5&gt;Mitarbeiter!$F$47),0,IF(Planung!GO49="",$C49,IF(ISNUMBER(Planung!GO49),Planung!GO49,IF(UPPER(Planung!GO49)="H",$C49/2,0)))))))</f>
        <v>0</v>
      </c>
      <c r="GP49" s="27">
        <f>IF($A49="",0,IF(Mitarbeiter!$G$47=FALSE,0,IF(AND(Mitarbeiter!$E$47&lt;&gt;"",GP$5+6&lt;Mitarbeiter!$E$47),0,IF(AND(Mitarbeiter!$F$47&lt;&gt;"",GP$5&gt;Mitarbeiter!$F$47),0,IF(Planung!GP49="",$C49,IF(ISNUMBER(Planung!GP49),Planung!GP49,IF(UPPER(Planung!GP49)="H",$C49/2,0)))))))</f>
        <v>0</v>
      </c>
      <c r="GQ49" s="27">
        <f>IF($A49="",0,IF(Mitarbeiter!$G$47=FALSE,0,IF(AND(Mitarbeiter!$E$47&lt;&gt;"",GQ$5+6&lt;Mitarbeiter!$E$47),0,IF(AND(Mitarbeiter!$F$47&lt;&gt;"",GQ$5&gt;Mitarbeiter!$F$47),0,IF(Planung!GQ49="",$C49,IF(ISNUMBER(Planung!GQ49),Planung!GQ49,IF(UPPER(Planung!GQ49)="H",$C49/2,0)))))))</f>
        <v>0</v>
      </c>
      <c r="GR49" s="27">
        <f>IF($A49="",0,IF(Mitarbeiter!$G$47=FALSE,0,IF(AND(Mitarbeiter!$E$47&lt;&gt;"",GR$5+6&lt;Mitarbeiter!$E$47),0,IF(AND(Mitarbeiter!$F$47&lt;&gt;"",GR$5&gt;Mitarbeiter!$F$47),0,IF(Planung!GR49="",$C49,IF(ISNUMBER(Planung!GR49),Planung!GR49,IF(UPPER(Planung!GR49)="H",$C49/2,0)))))))</f>
        <v>0</v>
      </c>
      <c r="GS49" s="27">
        <f>IF($A49="",0,IF(Mitarbeiter!$G$47=FALSE,0,IF(AND(Mitarbeiter!$E$47&lt;&gt;"",GS$5+6&lt;Mitarbeiter!$E$47),0,IF(AND(Mitarbeiter!$F$47&lt;&gt;"",GS$5&gt;Mitarbeiter!$F$47),0,IF(Planung!GS49="",$C49,IF(ISNUMBER(Planung!GS49),Planung!GS49,IF(UPPER(Planung!GS49)="H",$C49/2,0)))))))</f>
        <v>0</v>
      </c>
      <c r="GT49" s="27">
        <f>IF($A49="",0,IF(Mitarbeiter!$G$47=FALSE,0,IF(AND(Mitarbeiter!$E$47&lt;&gt;"",GT$5+6&lt;Mitarbeiter!$E$47),0,IF(AND(Mitarbeiter!$F$47&lt;&gt;"",GT$5&gt;Mitarbeiter!$F$47),0,IF(Planung!GT49="",$C49,IF(ISNUMBER(Planung!GT49),Planung!GT49,IF(UPPER(Planung!GT49)="H",$C49/2,0)))))))</f>
        <v>0</v>
      </c>
      <c r="GU49" s="27">
        <f>IF($A49="",0,IF(Mitarbeiter!$G$47=FALSE,0,IF(AND(Mitarbeiter!$E$47&lt;&gt;"",GU$5+6&lt;Mitarbeiter!$E$47),0,IF(AND(Mitarbeiter!$F$47&lt;&gt;"",GU$5&gt;Mitarbeiter!$F$47),0,IF(Planung!GU49="",$C49,IF(ISNUMBER(Planung!GU49),Planung!GU49,IF(UPPER(Planung!GU49)="H",$C49/2,0)))))))</f>
        <v>0</v>
      </c>
      <c r="GV49" s="27">
        <f>IF($A49="",0,IF(Mitarbeiter!$G$47=FALSE,0,IF(AND(Mitarbeiter!$E$47&lt;&gt;"",GV$5+6&lt;Mitarbeiter!$E$47),0,IF(AND(Mitarbeiter!$F$47&lt;&gt;"",GV$5&gt;Mitarbeiter!$F$47),0,IF(Planung!GV49="",$C49,IF(ISNUMBER(Planung!GV49),Planung!GV49,IF(UPPER(Planung!GV49)="H",$C49/2,0)))))))</f>
        <v>0</v>
      </c>
      <c r="GW49" s="27">
        <f>IF($A49="",0,IF(Mitarbeiter!$G$47=FALSE,0,IF(AND(Mitarbeiter!$E$47&lt;&gt;"",GW$5+6&lt;Mitarbeiter!$E$47),0,IF(AND(Mitarbeiter!$F$47&lt;&gt;"",GW$5&gt;Mitarbeiter!$F$47),0,IF(Planung!GW49="",$C49,IF(ISNUMBER(Planung!GW49),Planung!GW49,IF(UPPER(Planung!GW49)="H",$C49/2,0)))))))</f>
        <v>0</v>
      </c>
      <c r="GX49" s="27">
        <f>IF($A49="",0,IF(Mitarbeiter!$G$47=FALSE,0,IF(AND(Mitarbeiter!$E$47&lt;&gt;"",GX$5+6&lt;Mitarbeiter!$E$47),0,IF(AND(Mitarbeiter!$F$47&lt;&gt;"",GX$5&gt;Mitarbeiter!$F$47),0,IF(Planung!GX49="",$C49,IF(ISNUMBER(Planung!GX49),Planung!GX49,IF(UPPER(Planung!GX49)="H",$C49/2,0)))))))</f>
        <v>0</v>
      </c>
      <c r="GY49" s="27">
        <f>IF($A49="",0,IF(Mitarbeiter!$G$47=FALSE,0,IF(AND(Mitarbeiter!$E$47&lt;&gt;"",GY$5+6&lt;Mitarbeiter!$E$47),0,IF(AND(Mitarbeiter!$F$47&lt;&gt;"",GY$5&gt;Mitarbeiter!$F$47),0,IF(Planung!GY49="",$C49,IF(ISNUMBER(Planung!GY49),Planung!GY49,IF(UPPER(Planung!GY49)="H",$C49/2,0)))))))</f>
        <v>0</v>
      </c>
      <c r="GZ49" s="27">
        <f>IF($A49="",0,IF(Mitarbeiter!$G$47=FALSE,0,IF(AND(Mitarbeiter!$E$47&lt;&gt;"",GZ$5+6&lt;Mitarbeiter!$E$47),0,IF(AND(Mitarbeiter!$F$47&lt;&gt;"",GZ$5&gt;Mitarbeiter!$F$47),0,IF(Planung!GZ49="",$C49,IF(ISNUMBER(Planung!GZ49),Planung!GZ49,IF(UPPER(Planung!GZ49)="H",$C49/2,0)))))))</f>
        <v>0</v>
      </c>
      <c r="HA49" s="27">
        <f>IF($A49="",0,IF(Mitarbeiter!$G$47=FALSE,0,IF(AND(Mitarbeiter!$E$47&lt;&gt;"",HA$5+6&lt;Mitarbeiter!$E$47),0,IF(AND(Mitarbeiter!$F$47&lt;&gt;"",HA$5&gt;Mitarbeiter!$F$47),0,IF(Planung!HA49="",$C49,IF(ISNUMBER(Planung!HA49),Planung!HA49,IF(UPPER(Planung!HA49)="H",$C49/2,0)))))))</f>
        <v>0</v>
      </c>
      <c r="HB49" s="27">
        <f>IF($A49="",0,IF(Mitarbeiter!$G$47=FALSE,0,IF(AND(Mitarbeiter!$E$47&lt;&gt;"",HB$5+6&lt;Mitarbeiter!$E$47),0,IF(AND(Mitarbeiter!$F$47&lt;&gt;"",HB$5&gt;Mitarbeiter!$F$47),0,IF(Planung!HB49="",$C49,IF(ISNUMBER(Planung!HB49),Planung!HB49,IF(UPPER(Planung!HB49)="H",$C49/2,0)))))))</f>
        <v>0</v>
      </c>
      <c r="HC49" s="27">
        <f>IF($A49="",0,IF(Mitarbeiter!$G$47=FALSE,0,IF(AND(Mitarbeiter!$E$47&lt;&gt;"",HC$5+6&lt;Mitarbeiter!$E$47),0,IF(AND(Mitarbeiter!$F$47&lt;&gt;"",HC$5&gt;Mitarbeiter!$F$47),0,IF(Planung!HC49="",$C49,IF(ISNUMBER(Planung!HC49),Planung!HC49,IF(UPPER(Planung!HC49)="H",$C49/2,0)))))))</f>
        <v>0</v>
      </c>
      <c r="HD49" s="27">
        <f>IF($A49="",0,IF(Mitarbeiter!$G$47=FALSE,0,IF(AND(Mitarbeiter!$E$47&lt;&gt;"",HD$5+6&lt;Mitarbeiter!$E$47),0,IF(AND(Mitarbeiter!$F$47&lt;&gt;"",HD$5&gt;Mitarbeiter!$F$47),0,IF(Planung!HD49="",$C49,IF(ISNUMBER(Planung!HD49),Planung!HD49,IF(UPPER(Planung!HD49)="H",$C49/2,0)))))))</f>
        <v>0</v>
      </c>
      <c r="HE49" s="27">
        <f>IF($A49="",0,IF(Mitarbeiter!$G$47=FALSE,0,IF(AND(Mitarbeiter!$E$47&lt;&gt;"",HE$5+6&lt;Mitarbeiter!$E$47),0,IF(AND(Mitarbeiter!$F$47&lt;&gt;"",HE$5&gt;Mitarbeiter!$F$47),0,IF(Planung!HE49="",$C49,IF(ISNUMBER(Planung!HE49),Planung!HE49,IF(UPPER(Planung!HE49)="H",$C49/2,0)))))))</f>
        <v>0</v>
      </c>
      <c r="HF49" s="27">
        <f>IF($A49="",0,IF(Mitarbeiter!$G$47=FALSE,0,IF(AND(Mitarbeiter!$E$47&lt;&gt;"",HF$5+6&lt;Mitarbeiter!$E$47),0,IF(AND(Mitarbeiter!$F$47&lt;&gt;"",HF$5&gt;Mitarbeiter!$F$47),0,IF(Planung!HF49="",$C49,IF(ISNUMBER(Planung!HF49),Planung!HF49,IF(UPPER(Planung!HF49)="H",$C49/2,0)))))))</f>
        <v>0</v>
      </c>
      <c r="HG49" s="27">
        <f>IF($A49="",0,IF(Mitarbeiter!$G$47=FALSE,0,IF(AND(Mitarbeiter!$E$47&lt;&gt;"",HG$5+6&lt;Mitarbeiter!$E$47),0,IF(AND(Mitarbeiter!$F$47&lt;&gt;"",HG$5&gt;Mitarbeiter!$F$47),0,IF(Planung!HG49="",$C49,IF(ISNUMBER(Planung!HG49),Planung!HG49,IF(UPPER(Planung!HG49)="H",$C49/2,0)))))))</f>
        <v>0</v>
      </c>
      <c r="HH49" s="27">
        <f>IF($A49="",0,IF(Mitarbeiter!$G$47=FALSE,0,IF(AND(Mitarbeiter!$E$47&lt;&gt;"",HH$5+6&lt;Mitarbeiter!$E$47),0,IF(AND(Mitarbeiter!$F$47&lt;&gt;"",HH$5&gt;Mitarbeiter!$F$47),0,IF(Planung!HH49="",$C49,IF(ISNUMBER(Planung!HH49),Planung!HH49,IF(UPPER(Planung!HH49)="H",$C49/2,0)))))))</f>
        <v>0</v>
      </c>
      <c r="HI49" s="27">
        <f>IF($A49="",0,IF(Mitarbeiter!$G$47=FALSE,0,IF(AND(Mitarbeiter!$E$47&lt;&gt;"",HI$5+6&lt;Mitarbeiter!$E$47),0,IF(AND(Mitarbeiter!$F$47&lt;&gt;"",HI$5&gt;Mitarbeiter!$F$47),0,IF(Planung!HI49="",$C49,IF(ISNUMBER(Planung!HI49),Planung!HI49,IF(UPPER(Planung!HI49)="H",$C49/2,0)))))))</f>
        <v>0</v>
      </c>
      <c r="HJ49" s="27">
        <f>IF($A49="",0,IF(Mitarbeiter!$G$47=FALSE,0,IF(AND(Mitarbeiter!$E$47&lt;&gt;"",HJ$5+6&lt;Mitarbeiter!$E$47),0,IF(AND(Mitarbeiter!$F$47&lt;&gt;"",HJ$5&gt;Mitarbeiter!$F$47),0,IF(Planung!HJ49="",$C49,IF(ISNUMBER(Planung!HJ49),Planung!HJ49,IF(UPPER(Planung!HJ49)="H",$C49/2,0)))))))</f>
        <v>0</v>
      </c>
      <c r="HK49" s="27">
        <f>IF($A49="",0,IF(Mitarbeiter!$G$47=FALSE,0,IF(AND(Mitarbeiter!$E$47&lt;&gt;"",HK$5+6&lt;Mitarbeiter!$E$47),0,IF(AND(Mitarbeiter!$F$47&lt;&gt;"",HK$5&gt;Mitarbeiter!$F$47),0,IF(Planung!HK49="",$C49,IF(ISNUMBER(Planung!HK49),Planung!HK49,IF(UPPER(Planung!HK49)="H",$C49/2,0)))))))</f>
        <v>0</v>
      </c>
      <c r="HL49" s="27">
        <f>IF($A49="",0,IF(Mitarbeiter!$G$47=FALSE,0,IF(AND(Mitarbeiter!$E$47&lt;&gt;"",HL$5+6&lt;Mitarbeiter!$E$47),0,IF(AND(Mitarbeiter!$F$47&lt;&gt;"",HL$5&gt;Mitarbeiter!$F$47),0,IF(Planung!HL49="",$C49,IF(ISNUMBER(Planung!HL49),Planung!HL49,IF(UPPER(Planung!HL49)="H",$C49/2,0)))))))</f>
        <v>0</v>
      </c>
      <c r="HM49" s="27">
        <f>IF($A49="",0,IF(Mitarbeiter!$G$47=FALSE,0,IF(AND(Mitarbeiter!$E$47&lt;&gt;"",HM$5+6&lt;Mitarbeiter!$E$47),0,IF(AND(Mitarbeiter!$F$47&lt;&gt;"",HM$5&gt;Mitarbeiter!$F$47),0,IF(Planung!HM49="",$C49,IF(ISNUMBER(Planung!HM49),Planung!HM49,IF(UPPER(Planung!HM49)="H",$C49/2,0)))))))</f>
        <v>0</v>
      </c>
      <c r="HN49" s="27">
        <f>IF($A49="",0,IF(Mitarbeiter!$G$47=FALSE,0,IF(AND(Mitarbeiter!$E$47&lt;&gt;"",HN$5+6&lt;Mitarbeiter!$E$47),0,IF(AND(Mitarbeiter!$F$47&lt;&gt;"",HN$5&gt;Mitarbeiter!$F$47),0,IF(Planung!HN49="",$C49,IF(ISNUMBER(Planung!HN49),Planung!HN49,IF(UPPER(Planung!HN49)="H",$C49/2,0)))))))</f>
        <v>0</v>
      </c>
      <c r="HO49" s="27">
        <f>IF($A49="",0,IF(Mitarbeiter!$G$47=FALSE,0,IF(AND(Mitarbeiter!$E$47&lt;&gt;"",HO$5+6&lt;Mitarbeiter!$E$47),0,IF(AND(Mitarbeiter!$F$47&lt;&gt;"",HO$5&gt;Mitarbeiter!$F$47),0,IF(Planung!HO49="",$C49,IF(ISNUMBER(Planung!HO49),Planung!HO49,IF(UPPER(Planung!HO49)="H",$C49/2,0)))))))</f>
        <v>0</v>
      </c>
      <c r="HP49" s="27">
        <f>IF($A49="",0,IF(Mitarbeiter!$G$47=FALSE,0,IF(AND(Mitarbeiter!$E$47&lt;&gt;"",HP$5+6&lt;Mitarbeiter!$E$47),0,IF(AND(Mitarbeiter!$F$47&lt;&gt;"",HP$5&gt;Mitarbeiter!$F$47),0,IF(Planung!HP49="",$C49,IF(ISNUMBER(Planung!HP49),Planung!HP49,IF(UPPER(Planung!HP49)="H",$C49/2,0)))))))</f>
        <v>0</v>
      </c>
      <c r="HQ49" s="27">
        <f>IF($A49="",0,IF(Mitarbeiter!$G$47=FALSE,0,IF(AND(Mitarbeiter!$E$47&lt;&gt;"",HQ$5+6&lt;Mitarbeiter!$E$47),0,IF(AND(Mitarbeiter!$F$47&lt;&gt;"",HQ$5&gt;Mitarbeiter!$F$47),0,IF(Planung!HQ49="",$C49,IF(ISNUMBER(Planung!HQ49),Planung!HQ49,IF(UPPER(Planung!HQ49)="H",$C49/2,0)))))))</f>
        <v>0</v>
      </c>
      <c r="HR49" s="27">
        <f>IF($A49="",0,IF(Mitarbeiter!$G$47=FALSE,0,IF(AND(Mitarbeiter!$E$47&lt;&gt;"",HR$5+6&lt;Mitarbeiter!$E$47),0,IF(AND(Mitarbeiter!$F$47&lt;&gt;"",HR$5&gt;Mitarbeiter!$F$47),0,IF(Planung!HR49="",$C49,IF(ISNUMBER(Planung!HR49),Planung!HR49,IF(UPPER(Planung!HR49)="H",$C49/2,0)))))))</f>
        <v>0</v>
      </c>
      <c r="HS49" s="27">
        <f>IF($A49="",0,IF(Mitarbeiter!$G$47=FALSE,0,IF(AND(Mitarbeiter!$E$47&lt;&gt;"",HS$5+6&lt;Mitarbeiter!$E$47),0,IF(AND(Mitarbeiter!$F$47&lt;&gt;"",HS$5&gt;Mitarbeiter!$F$47),0,IF(Planung!HS49="",$C49,IF(ISNUMBER(Planung!HS49),Planung!HS49,IF(UPPER(Planung!HS49)="H",$C49/2,0)))))))</f>
        <v>0</v>
      </c>
      <c r="HT49" s="27">
        <f>IF($A49="",0,IF(Mitarbeiter!$G$47=FALSE,0,IF(AND(Mitarbeiter!$E$47&lt;&gt;"",HT$5+6&lt;Mitarbeiter!$E$47),0,IF(AND(Mitarbeiter!$F$47&lt;&gt;"",HT$5&gt;Mitarbeiter!$F$47),0,IF(Planung!HT49="",$C49,IF(ISNUMBER(Planung!HT49),Planung!HT49,IF(UPPER(Planung!HT49)="H",$C49/2,0)))))))</f>
        <v>0</v>
      </c>
      <c r="HU49" s="27">
        <f>IF($A49="",0,IF(Mitarbeiter!$G$47=FALSE,0,IF(AND(Mitarbeiter!$E$47&lt;&gt;"",HU$5+6&lt;Mitarbeiter!$E$47),0,IF(AND(Mitarbeiter!$F$47&lt;&gt;"",HU$5&gt;Mitarbeiter!$F$47),0,IF(Planung!HU49="",$C49,IF(ISNUMBER(Planung!HU49),Planung!HU49,IF(UPPER(Planung!HU49)="H",$C49/2,0)))))))</f>
        <v>0</v>
      </c>
      <c r="HV49" s="27">
        <f>IF($A49="",0,IF(Mitarbeiter!$G$47=FALSE,0,IF(AND(Mitarbeiter!$E$47&lt;&gt;"",HV$5+6&lt;Mitarbeiter!$E$47),0,IF(AND(Mitarbeiter!$F$47&lt;&gt;"",HV$5&gt;Mitarbeiter!$F$47),0,IF(Planung!HV49="",$C49,IF(ISNUMBER(Planung!HV49),Planung!HV49,IF(UPPER(Planung!HV49)="H",$C49/2,0)))))))</f>
        <v>0</v>
      </c>
      <c r="HW49" s="27">
        <f>IF($A49="",0,IF(Mitarbeiter!$G$47=FALSE,0,IF(AND(Mitarbeiter!$E$47&lt;&gt;"",HW$5+6&lt;Mitarbeiter!$E$47),0,IF(AND(Mitarbeiter!$F$47&lt;&gt;"",HW$5&gt;Mitarbeiter!$F$47),0,IF(Planung!HW49="",$C49,IF(ISNUMBER(Planung!HW49),Planung!HW49,IF(UPPER(Planung!HW49)="H",$C49/2,0)))))))</f>
        <v>0</v>
      </c>
      <c r="HX49" s="27">
        <f>IF($A49="",0,IF(Mitarbeiter!$G$47=FALSE,0,IF(AND(Mitarbeiter!$E$47&lt;&gt;"",HX$5+6&lt;Mitarbeiter!$E$47),0,IF(AND(Mitarbeiter!$F$47&lt;&gt;"",HX$5&gt;Mitarbeiter!$F$47),0,IF(Planung!HX49="",$C49,IF(ISNUMBER(Planung!HX49),Planung!HX49,IF(UPPER(Planung!HX49)="H",$C49/2,0)))))))</f>
        <v>0</v>
      </c>
      <c r="HY49" s="27">
        <f>IF($A49="",0,IF(Mitarbeiter!$G$47=FALSE,0,IF(AND(Mitarbeiter!$E$47&lt;&gt;"",HY$5+6&lt;Mitarbeiter!$E$47),0,IF(AND(Mitarbeiter!$F$47&lt;&gt;"",HY$5&gt;Mitarbeiter!$F$47),0,IF(Planung!HY49="",$C49,IF(ISNUMBER(Planung!HY49),Planung!HY49,IF(UPPER(Planung!HY49)="H",$C49/2,0)))))))</f>
        <v>0</v>
      </c>
      <c r="HZ49" s="27">
        <f>IF($A49="",0,IF(Mitarbeiter!$G$47=FALSE,0,IF(AND(Mitarbeiter!$E$47&lt;&gt;"",HZ$5+6&lt;Mitarbeiter!$E$47),0,IF(AND(Mitarbeiter!$F$47&lt;&gt;"",HZ$5&gt;Mitarbeiter!$F$47),0,IF(Planung!HZ49="",$C49,IF(ISNUMBER(Planung!HZ49),Planung!HZ49,IF(UPPER(Planung!HZ49)="H",$C49/2,0)))))))</f>
        <v>0</v>
      </c>
      <c r="IA49" s="27">
        <f>IF($A49="",0,IF(Mitarbeiter!$G$47=FALSE,0,IF(AND(Mitarbeiter!$E$47&lt;&gt;"",IA$5+6&lt;Mitarbeiter!$E$47),0,IF(AND(Mitarbeiter!$F$47&lt;&gt;"",IA$5&gt;Mitarbeiter!$F$47),0,IF(Planung!IA49="",$C49,IF(ISNUMBER(Planung!IA49),Planung!IA49,IF(UPPER(Planung!IA49)="H",$C49/2,0)))))))</f>
        <v>0</v>
      </c>
    </row>
    <row r="50" spans="1:235" x14ac:dyDescent="0.25">
      <c r="A50" s="7" t="str">
        <f>Planung!A50</f>
        <v/>
      </c>
      <c r="B50" s="7" t="str">
        <f>Planung!B50</f>
        <v/>
      </c>
      <c r="C50" s="27">
        <f>N(Mitarbeiter!$D$48)</f>
        <v>0</v>
      </c>
      <c r="D50" s="27">
        <f>IF($A50="",0,IF(Mitarbeiter!$G$48=FALSE,0,IF(AND(Mitarbeiter!$E$48&lt;&gt;"",D$5+6&lt;Mitarbeiter!$E$48),0,IF(AND(Mitarbeiter!$F$48&lt;&gt;"",D$5&gt;Mitarbeiter!$F$48),0,IF(Planung!D50="",$C50,IF(ISNUMBER(Planung!D50),Planung!D50,IF(UPPER(Planung!D50)="H",$C50/2,0)))))))</f>
        <v>0</v>
      </c>
      <c r="E50" s="27">
        <f>IF($A50="",0,IF(Mitarbeiter!$G$48=FALSE,0,IF(AND(Mitarbeiter!$E$48&lt;&gt;"",E$5+6&lt;Mitarbeiter!$E$48),0,IF(AND(Mitarbeiter!$F$48&lt;&gt;"",E$5&gt;Mitarbeiter!$F$48),0,IF(Planung!E50="",$C50,IF(ISNUMBER(Planung!E50),Planung!E50,IF(UPPER(Planung!E50)="H",$C50/2,0)))))))</f>
        <v>0</v>
      </c>
      <c r="F50" s="27">
        <f>IF($A50="",0,IF(Mitarbeiter!$G$48=FALSE,0,IF(AND(Mitarbeiter!$E$48&lt;&gt;"",F$5+6&lt;Mitarbeiter!$E$48),0,IF(AND(Mitarbeiter!$F$48&lt;&gt;"",F$5&gt;Mitarbeiter!$F$48),0,IF(Planung!F50="",$C50,IF(ISNUMBER(Planung!F50),Planung!F50,IF(UPPER(Planung!F50)="H",$C50/2,0)))))))</f>
        <v>0</v>
      </c>
      <c r="G50" s="27">
        <f>IF($A50="",0,IF(Mitarbeiter!$G$48=FALSE,0,IF(AND(Mitarbeiter!$E$48&lt;&gt;"",G$5+6&lt;Mitarbeiter!$E$48),0,IF(AND(Mitarbeiter!$F$48&lt;&gt;"",G$5&gt;Mitarbeiter!$F$48),0,IF(Planung!G50="",$C50,IF(ISNUMBER(Planung!G50),Planung!G50,IF(UPPER(Planung!G50)="H",$C50/2,0)))))))</f>
        <v>0</v>
      </c>
      <c r="H50" s="27">
        <f>IF($A50="",0,IF(Mitarbeiter!$G$48=FALSE,0,IF(AND(Mitarbeiter!$E$48&lt;&gt;"",H$5+6&lt;Mitarbeiter!$E$48),0,IF(AND(Mitarbeiter!$F$48&lt;&gt;"",H$5&gt;Mitarbeiter!$F$48),0,IF(Planung!H50="",$C50,IF(ISNUMBER(Planung!H50),Planung!H50,IF(UPPER(Planung!H50)="H",$C50/2,0)))))))</f>
        <v>0</v>
      </c>
      <c r="I50" s="27">
        <f>IF($A50="",0,IF(Mitarbeiter!$G$48=FALSE,0,IF(AND(Mitarbeiter!$E$48&lt;&gt;"",I$5+6&lt;Mitarbeiter!$E$48),0,IF(AND(Mitarbeiter!$F$48&lt;&gt;"",I$5&gt;Mitarbeiter!$F$48),0,IF(Planung!I50="",$C50,IF(ISNUMBER(Planung!I50),Planung!I50,IF(UPPER(Planung!I50)="H",$C50/2,0)))))))</f>
        <v>0</v>
      </c>
      <c r="J50" s="27">
        <f>IF($A50="",0,IF(Mitarbeiter!$G$48=FALSE,0,IF(AND(Mitarbeiter!$E$48&lt;&gt;"",J$5+6&lt;Mitarbeiter!$E$48),0,IF(AND(Mitarbeiter!$F$48&lt;&gt;"",J$5&gt;Mitarbeiter!$F$48),0,IF(Planung!J50="",$C50,IF(ISNUMBER(Planung!J50),Planung!J50,IF(UPPER(Planung!J50)="H",$C50/2,0)))))))</f>
        <v>0</v>
      </c>
      <c r="K50" s="27">
        <f>IF($A50="",0,IF(Mitarbeiter!$G$48=FALSE,0,IF(AND(Mitarbeiter!$E$48&lt;&gt;"",K$5+6&lt;Mitarbeiter!$E$48),0,IF(AND(Mitarbeiter!$F$48&lt;&gt;"",K$5&gt;Mitarbeiter!$F$48),0,IF(Planung!K50="",$C50,IF(ISNUMBER(Planung!K50),Planung!K50,IF(UPPER(Planung!K50)="H",$C50/2,0)))))))</f>
        <v>0</v>
      </c>
      <c r="L50" s="27">
        <f>IF($A50="",0,IF(Mitarbeiter!$G$48=FALSE,0,IF(AND(Mitarbeiter!$E$48&lt;&gt;"",L$5+6&lt;Mitarbeiter!$E$48),0,IF(AND(Mitarbeiter!$F$48&lt;&gt;"",L$5&gt;Mitarbeiter!$F$48),0,IF(Planung!L50="",$C50,IF(ISNUMBER(Planung!L50),Planung!L50,IF(UPPER(Planung!L50)="H",$C50/2,0)))))))</f>
        <v>0</v>
      </c>
      <c r="M50" s="27">
        <f>IF($A50="",0,IF(Mitarbeiter!$G$48=FALSE,0,IF(AND(Mitarbeiter!$E$48&lt;&gt;"",M$5+6&lt;Mitarbeiter!$E$48),0,IF(AND(Mitarbeiter!$F$48&lt;&gt;"",M$5&gt;Mitarbeiter!$F$48),0,IF(Planung!M50="",$C50,IF(ISNUMBER(Planung!M50),Planung!M50,IF(UPPER(Planung!M50)="H",$C50/2,0)))))))</f>
        <v>0</v>
      </c>
      <c r="N50" s="27">
        <f>IF($A50="",0,IF(Mitarbeiter!$G$48=FALSE,0,IF(AND(Mitarbeiter!$E$48&lt;&gt;"",N$5+6&lt;Mitarbeiter!$E$48),0,IF(AND(Mitarbeiter!$F$48&lt;&gt;"",N$5&gt;Mitarbeiter!$F$48),0,IF(Planung!N50="",$C50,IF(ISNUMBER(Planung!N50),Planung!N50,IF(UPPER(Planung!N50)="H",$C50/2,0)))))))</f>
        <v>0</v>
      </c>
      <c r="O50" s="27">
        <f>IF($A50="",0,IF(Mitarbeiter!$G$48=FALSE,0,IF(AND(Mitarbeiter!$E$48&lt;&gt;"",O$5+6&lt;Mitarbeiter!$E$48),0,IF(AND(Mitarbeiter!$F$48&lt;&gt;"",O$5&gt;Mitarbeiter!$F$48),0,IF(Planung!O50="",$C50,IF(ISNUMBER(Planung!O50),Planung!O50,IF(UPPER(Planung!O50)="H",$C50/2,0)))))))</f>
        <v>0</v>
      </c>
      <c r="P50" s="27">
        <f>IF($A50="",0,IF(Mitarbeiter!$G$48=FALSE,0,IF(AND(Mitarbeiter!$E$48&lt;&gt;"",P$5+6&lt;Mitarbeiter!$E$48),0,IF(AND(Mitarbeiter!$F$48&lt;&gt;"",P$5&gt;Mitarbeiter!$F$48),0,IF(Planung!P50="",$C50,IF(ISNUMBER(Planung!P50),Planung!P50,IF(UPPER(Planung!P50)="H",$C50/2,0)))))))</f>
        <v>0</v>
      </c>
      <c r="Q50" s="27">
        <f>IF($A50="",0,IF(Mitarbeiter!$G$48=FALSE,0,IF(AND(Mitarbeiter!$E$48&lt;&gt;"",Q$5+6&lt;Mitarbeiter!$E$48),0,IF(AND(Mitarbeiter!$F$48&lt;&gt;"",Q$5&gt;Mitarbeiter!$F$48),0,IF(Planung!Q50="",$C50,IF(ISNUMBER(Planung!Q50),Planung!Q50,IF(UPPER(Planung!Q50)="H",$C50/2,0)))))))</f>
        <v>0</v>
      </c>
      <c r="R50" s="27">
        <f>IF($A50="",0,IF(Mitarbeiter!$G$48=FALSE,0,IF(AND(Mitarbeiter!$E$48&lt;&gt;"",R$5+6&lt;Mitarbeiter!$E$48),0,IF(AND(Mitarbeiter!$F$48&lt;&gt;"",R$5&gt;Mitarbeiter!$F$48),0,IF(Planung!R50="",$C50,IF(ISNUMBER(Planung!R50),Planung!R50,IF(UPPER(Planung!R50)="H",$C50/2,0)))))))</f>
        <v>0</v>
      </c>
      <c r="S50" s="27">
        <f>IF($A50="",0,IF(Mitarbeiter!$G$48=FALSE,0,IF(AND(Mitarbeiter!$E$48&lt;&gt;"",S$5+6&lt;Mitarbeiter!$E$48),0,IF(AND(Mitarbeiter!$F$48&lt;&gt;"",S$5&gt;Mitarbeiter!$F$48),0,IF(Planung!S50="",$C50,IF(ISNUMBER(Planung!S50),Planung!S50,IF(UPPER(Planung!S50)="H",$C50/2,0)))))))</f>
        <v>0</v>
      </c>
      <c r="T50" s="27">
        <f>IF($A50="",0,IF(Mitarbeiter!$G$48=FALSE,0,IF(AND(Mitarbeiter!$E$48&lt;&gt;"",T$5+6&lt;Mitarbeiter!$E$48),0,IF(AND(Mitarbeiter!$F$48&lt;&gt;"",T$5&gt;Mitarbeiter!$F$48),0,IF(Planung!T50="",$C50,IF(ISNUMBER(Planung!T50),Planung!T50,IF(UPPER(Planung!T50)="H",$C50/2,0)))))))</f>
        <v>0</v>
      </c>
      <c r="U50" s="27">
        <f>IF($A50="",0,IF(Mitarbeiter!$G$48=FALSE,0,IF(AND(Mitarbeiter!$E$48&lt;&gt;"",U$5+6&lt;Mitarbeiter!$E$48),0,IF(AND(Mitarbeiter!$F$48&lt;&gt;"",U$5&gt;Mitarbeiter!$F$48),0,IF(Planung!U50="",$C50,IF(ISNUMBER(Planung!U50),Planung!U50,IF(UPPER(Planung!U50)="H",$C50/2,0)))))))</f>
        <v>0</v>
      </c>
      <c r="V50" s="27">
        <f>IF($A50="",0,IF(Mitarbeiter!$G$48=FALSE,0,IF(AND(Mitarbeiter!$E$48&lt;&gt;"",V$5+6&lt;Mitarbeiter!$E$48),0,IF(AND(Mitarbeiter!$F$48&lt;&gt;"",V$5&gt;Mitarbeiter!$F$48),0,IF(Planung!V50="",$C50,IF(ISNUMBER(Planung!V50),Planung!V50,IF(UPPER(Planung!V50)="H",$C50/2,0)))))))</f>
        <v>0</v>
      </c>
      <c r="W50" s="27">
        <f>IF($A50="",0,IF(Mitarbeiter!$G$48=FALSE,0,IF(AND(Mitarbeiter!$E$48&lt;&gt;"",W$5+6&lt;Mitarbeiter!$E$48),0,IF(AND(Mitarbeiter!$F$48&lt;&gt;"",W$5&gt;Mitarbeiter!$F$48),0,IF(Planung!W50="",$C50,IF(ISNUMBER(Planung!W50),Planung!W50,IF(UPPER(Planung!W50)="H",$C50/2,0)))))))</f>
        <v>0</v>
      </c>
      <c r="X50" s="27">
        <f>IF($A50="",0,IF(Mitarbeiter!$G$48=FALSE,0,IF(AND(Mitarbeiter!$E$48&lt;&gt;"",X$5+6&lt;Mitarbeiter!$E$48),0,IF(AND(Mitarbeiter!$F$48&lt;&gt;"",X$5&gt;Mitarbeiter!$F$48),0,IF(Planung!X50="",$C50,IF(ISNUMBER(Planung!X50),Planung!X50,IF(UPPER(Planung!X50)="H",$C50/2,0)))))))</f>
        <v>0</v>
      </c>
      <c r="Y50" s="27">
        <f>IF($A50="",0,IF(Mitarbeiter!$G$48=FALSE,0,IF(AND(Mitarbeiter!$E$48&lt;&gt;"",Y$5+6&lt;Mitarbeiter!$E$48),0,IF(AND(Mitarbeiter!$F$48&lt;&gt;"",Y$5&gt;Mitarbeiter!$F$48),0,IF(Planung!Y50="",$C50,IF(ISNUMBER(Planung!Y50),Planung!Y50,IF(UPPER(Planung!Y50)="H",$C50/2,0)))))))</f>
        <v>0</v>
      </c>
      <c r="Z50" s="27">
        <f>IF($A50="",0,IF(Mitarbeiter!$G$48=FALSE,0,IF(AND(Mitarbeiter!$E$48&lt;&gt;"",Z$5+6&lt;Mitarbeiter!$E$48),0,IF(AND(Mitarbeiter!$F$48&lt;&gt;"",Z$5&gt;Mitarbeiter!$F$48),0,IF(Planung!Z50="",$C50,IF(ISNUMBER(Planung!Z50),Planung!Z50,IF(UPPER(Planung!Z50)="H",$C50/2,0)))))))</f>
        <v>0</v>
      </c>
      <c r="AA50" s="27">
        <f>IF($A50="",0,IF(Mitarbeiter!$G$48=FALSE,0,IF(AND(Mitarbeiter!$E$48&lt;&gt;"",AA$5+6&lt;Mitarbeiter!$E$48),0,IF(AND(Mitarbeiter!$F$48&lt;&gt;"",AA$5&gt;Mitarbeiter!$F$48),0,IF(Planung!AA50="",$C50,IF(ISNUMBER(Planung!AA50),Planung!AA50,IF(UPPER(Planung!AA50)="H",$C50/2,0)))))))</f>
        <v>0</v>
      </c>
      <c r="AB50" s="27">
        <f>IF($A50="",0,IF(Mitarbeiter!$G$48=FALSE,0,IF(AND(Mitarbeiter!$E$48&lt;&gt;"",AB$5+6&lt;Mitarbeiter!$E$48),0,IF(AND(Mitarbeiter!$F$48&lt;&gt;"",AB$5&gt;Mitarbeiter!$F$48),0,IF(Planung!AB50="",$C50,IF(ISNUMBER(Planung!AB50),Planung!AB50,IF(UPPER(Planung!AB50)="H",$C50/2,0)))))))</f>
        <v>0</v>
      </c>
      <c r="AC50" s="27">
        <f>IF($A50="",0,IF(Mitarbeiter!$G$48=FALSE,0,IF(AND(Mitarbeiter!$E$48&lt;&gt;"",AC$5+6&lt;Mitarbeiter!$E$48),0,IF(AND(Mitarbeiter!$F$48&lt;&gt;"",AC$5&gt;Mitarbeiter!$F$48),0,IF(Planung!AC50="",$C50,IF(ISNUMBER(Planung!AC50),Planung!AC50,IF(UPPER(Planung!AC50)="H",$C50/2,0)))))))</f>
        <v>0</v>
      </c>
      <c r="AD50" s="27">
        <f>IF($A50="",0,IF(Mitarbeiter!$G$48=FALSE,0,IF(AND(Mitarbeiter!$E$48&lt;&gt;"",AD$5+6&lt;Mitarbeiter!$E$48),0,IF(AND(Mitarbeiter!$F$48&lt;&gt;"",AD$5&gt;Mitarbeiter!$F$48),0,IF(Planung!AD50="",$C50,IF(ISNUMBER(Planung!AD50),Planung!AD50,IF(UPPER(Planung!AD50)="H",$C50/2,0)))))))</f>
        <v>0</v>
      </c>
      <c r="AE50" s="27">
        <f>IF($A50="",0,IF(Mitarbeiter!$G$48=FALSE,0,IF(AND(Mitarbeiter!$E$48&lt;&gt;"",AE$5+6&lt;Mitarbeiter!$E$48),0,IF(AND(Mitarbeiter!$F$48&lt;&gt;"",AE$5&gt;Mitarbeiter!$F$48),0,IF(Planung!AE50="",$C50,IF(ISNUMBER(Planung!AE50),Planung!AE50,IF(UPPER(Planung!AE50)="H",$C50/2,0)))))))</f>
        <v>0</v>
      </c>
      <c r="AF50" s="27">
        <f>IF($A50="",0,IF(Mitarbeiter!$G$48=FALSE,0,IF(AND(Mitarbeiter!$E$48&lt;&gt;"",AF$5+6&lt;Mitarbeiter!$E$48),0,IF(AND(Mitarbeiter!$F$48&lt;&gt;"",AF$5&gt;Mitarbeiter!$F$48),0,IF(Planung!AF50="",$C50,IF(ISNUMBER(Planung!AF50),Planung!AF50,IF(UPPER(Planung!AF50)="H",$C50/2,0)))))))</f>
        <v>0</v>
      </c>
      <c r="AG50" s="27">
        <f>IF($A50="",0,IF(Mitarbeiter!$G$48=FALSE,0,IF(AND(Mitarbeiter!$E$48&lt;&gt;"",AG$5+6&lt;Mitarbeiter!$E$48),0,IF(AND(Mitarbeiter!$F$48&lt;&gt;"",AG$5&gt;Mitarbeiter!$F$48),0,IF(Planung!AG50="",$C50,IF(ISNUMBER(Planung!AG50),Planung!AG50,IF(UPPER(Planung!AG50)="H",$C50/2,0)))))))</f>
        <v>0</v>
      </c>
      <c r="AH50" s="27">
        <f>IF($A50="",0,IF(Mitarbeiter!$G$48=FALSE,0,IF(AND(Mitarbeiter!$E$48&lt;&gt;"",AH$5+6&lt;Mitarbeiter!$E$48),0,IF(AND(Mitarbeiter!$F$48&lt;&gt;"",AH$5&gt;Mitarbeiter!$F$48),0,IF(Planung!AH50="",$C50,IF(ISNUMBER(Planung!AH50),Planung!AH50,IF(UPPER(Planung!AH50)="H",$C50/2,0)))))))</f>
        <v>0</v>
      </c>
      <c r="AI50" s="27">
        <f>IF($A50="",0,IF(Mitarbeiter!$G$48=FALSE,0,IF(AND(Mitarbeiter!$E$48&lt;&gt;"",AI$5+6&lt;Mitarbeiter!$E$48),0,IF(AND(Mitarbeiter!$F$48&lt;&gt;"",AI$5&gt;Mitarbeiter!$F$48),0,IF(Planung!AI50="",$C50,IF(ISNUMBER(Planung!AI50),Planung!AI50,IF(UPPER(Planung!AI50)="H",$C50/2,0)))))))</f>
        <v>0</v>
      </c>
      <c r="AJ50" s="27">
        <f>IF($A50="",0,IF(Mitarbeiter!$G$48=FALSE,0,IF(AND(Mitarbeiter!$E$48&lt;&gt;"",AJ$5+6&lt;Mitarbeiter!$E$48),0,IF(AND(Mitarbeiter!$F$48&lt;&gt;"",AJ$5&gt;Mitarbeiter!$F$48),0,IF(Planung!AJ50="",$C50,IF(ISNUMBER(Planung!AJ50),Planung!AJ50,IF(UPPER(Planung!AJ50)="H",$C50/2,0)))))))</f>
        <v>0</v>
      </c>
      <c r="AK50" s="27">
        <f>IF($A50="",0,IF(Mitarbeiter!$G$48=FALSE,0,IF(AND(Mitarbeiter!$E$48&lt;&gt;"",AK$5+6&lt;Mitarbeiter!$E$48),0,IF(AND(Mitarbeiter!$F$48&lt;&gt;"",AK$5&gt;Mitarbeiter!$F$48),0,IF(Planung!AK50="",$C50,IF(ISNUMBER(Planung!AK50),Planung!AK50,IF(UPPER(Planung!AK50)="H",$C50/2,0)))))))</f>
        <v>0</v>
      </c>
      <c r="AL50" s="27">
        <f>IF($A50="",0,IF(Mitarbeiter!$G$48=FALSE,0,IF(AND(Mitarbeiter!$E$48&lt;&gt;"",AL$5+6&lt;Mitarbeiter!$E$48),0,IF(AND(Mitarbeiter!$F$48&lt;&gt;"",AL$5&gt;Mitarbeiter!$F$48),0,IF(Planung!AL50="",$C50,IF(ISNUMBER(Planung!AL50),Planung!AL50,IF(UPPER(Planung!AL50)="H",$C50/2,0)))))))</f>
        <v>0</v>
      </c>
      <c r="AM50" s="27">
        <f>IF($A50="",0,IF(Mitarbeiter!$G$48=FALSE,0,IF(AND(Mitarbeiter!$E$48&lt;&gt;"",AM$5+6&lt;Mitarbeiter!$E$48),0,IF(AND(Mitarbeiter!$F$48&lt;&gt;"",AM$5&gt;Mitarbeiter!$F$48),0,IF(Planung!AM50="",$C50,IF(ISNUMBER(Planung!AM50),Planung!AM50,IF(UPPER(Planung!AM50)="H",$C50/2,0)))))))</f>
        <v>0</v>
      </c>
      <c r="AN50" s="27">
        <f>IF($A50="",0,IF(Mitarbeiter!$G$48=FALSE,0,IF(AND(Mitarbeiter!$E$48&lt;&gt;"",AN$5+6&lt;Mitarbeiter!$E$48),0,IF(AND(Mitarbeiter!$F$48&lt;&gt;"",AN$5&gt;Mitarbeiter!$F$48),0,IF(Planung!AN50="",$C50,IF(ISNUMBER(Planung!AN50),Planung!AN50,IF(UPPER(Planung!AN50)="H",$C50/2,0)))))))</f>
        <v>0</v>
      </c>
      <c r="AO50" s="27">
        <f>IF($A50="",0,IF(Mitarbeiter!$G$48=FALSE,0,IF(AND(Mitarbeiter!$E$48&lt;&gt;"",AO$5+6&lt;Mitarbeiter!$E$48),0,IF(AND(Mitarbeiter!$F$48&lt;&gt;"",AO$5&gt;Mitarbeiter!$F$48),0,IF(Planung!AO50="",$C50,IF(ISNUMBER(Planung!AO50),Planung!AO50,IF(UPPER(Planung!AO50)="H",$C50/2,0)))))))</f>
        <v>0</v>
      </c>
      <c r="AP50" s="27">
        <f>IF($A50="",0,IF(Mitarbeiter!$G$48=FALSE,0,IF(AND(Mitarbeiter!$E$48&lt;&gt;"",AP$5+6&lt;Mitarbeiter!$E$48),0,IF(AND(Mitarbeiter!$F$48&lt;&gt;"",AP$5&gt;Mitarbeiter!$F$48),0,IF(Planung!AP50="",$C50,IF(ISNUMBER(Planung!AP50),Planung!AP50,IF(UPPER(Planung!AP50)="H",$C50/2,0)))))))</f>
        <v>0</v>
      </c>
      <c r="AQ50" s="27">
        <f>IF($A50="",0,IF(Mitarbeiter!$G$48=FALSE,0,IF(AND(Mitarbeiter!$E$48&lt;&gt;"",AQ$5+6&lt;Mitarbeiter!$E$48),0,IF(AND(Mitarbeiter!$F$48&lt;&gt;"",AQ$5&gt;Mitarbeiter!$F$48),0,IF(Planung!AQ50="",$C50,IF(ISNUMBER(Planung!AQ50),Planung!AQ50,IF(UPPER(Planung!AQ50)="H",$C50/2,0)))))))</f>
        <v>0</v>
      </c>
      <c r="AR50" s="27">
        <f>IF($A50="",0,IF(Mitarbeiter!$G$48=FALSE,0,IF(AND(Mitarbeiter!$E$48&lt;&gt;"",AR$5+6&lt;Mitarbeiter!$E$48),0,IF(AND(Mitarbeiter!$F$48&lt;&gt;"",AR$5&gt;Mitarbeiter!$F$48),0,IF(Planung!AR50="",$C50,IF(ISNUMBER(Planung!AR50),Planung!AR50,IF(UPPER(Planung!AR50)="H",$C50/2,0)))))))</f>
        <v>0</v>
      </c>
      <c r="AS50" s="27">
        <f>IF($A50="",0,IF(Mitarbeiter!$G$48=FALSE,0,IF(AND(Mitarbeiter!$E$48&lt;&gt;"",AS$5+6&lt;Mitarbeiter!$E$48),0,IF(AND(Mitarbeiter!$F$48&lt;&gt;"",AS$5&gt;Mitarbeiter!$F$48),0,IF(Planung!AS50="",$C50,IF(ISNUMBER(Planung!AS50),Planung!AS50,IF(UPPER(Planung!AS50)="H",$C50/2,0)))))))</f>
        <v>0</v>
      </c>
      <c r="AT50" s="27">
        <f>IF($A50="",0,IF(Mitarbeiter!$G$48=FALSE,0,IF(AND(Mitarbeiter!$E$48&lt;&gt;"",AT$5+6&lt;Mitarbeiter!$E$48),0,IF(AND(Mitarbeiter!$F$48&lt;&gt;"",AT$5&gt;Mitarbeiter!$F$48),0,IF(Planung!AT50="",$C50,IF(ISNUMBER(Planung!AT50),Planung!AT50,IF(UPPER(Planung!AT50)="H",$C50/2,0)))))))</f>
        <v>0</v>
      </c>
      <c r="AU50" s="27">
        <f>IF($A50="",0,IF(Mitarbeiter!$G$48=FALSE,0,IF(AND(Mitarbeiter!$E$48&lt;&gt;"",AU$5+6&lt;Mitarbeiter!$E$48),0,IF(AND(Mitarbeiter!$F$48&lt;&gt;"",AU$5&gt;Mitarbeiter!$F$48),0,IF(Planung!AU50="",$C50,IF(ISNUMBER(Planung!AU50),Planung!AU50,IF(UPPER(Planung!AU50)="H",$C50/2,0)))))))</f>
        <v>0</v>
      </c>
      <c r="AV50" s="27">
        <f>IF($A50="",0,IF(Mitarbeiter!$G$48=FALSE,0,IF(AND(Mitarbeiter!$E$48&lt;&gt;"",AV$5+6&lt;Mitarbeiter!$E$48),0,IF(AND(Mitarbeiter!$F$48&lt;&gt;"",AV$5&gt;Mitarbeiter!$F$48),0,IF(Planung!AV50="",$C50,IF(ISNUMBER(Planung!AV50),Planung!AV50,IF(UPPER(Planung!AV50)="H",$C50/2,0)))))))</f>
        <v>0</v>
      </c>
      <c r="AW50" s="27">
        <f>IF($A50="",0,IF(Mitarbeiter!$G$48=FALSE,0,IF(AND(Mitarbeiter!$E$48&lt;&gt;"",AW$5+6&lt;Mitarbeiter!$E$48),0,IF(AND(Mitarbeiter!$F$48&lt;&gt;"",AW$5&gt;Mitarbeiter!$F$48),0,IF(Planung!AW50="",$C50,IF(ISNUMBER(Planung!AW50),Planung!AW50,IF(UPPER(Planung!AW50)="H",$C50/2,0)))))))</f>
        <v>0</v>
      </c>
      <c r="AX50" s="27">
        <f>IF($A50="",0,IF(Mitarbeiter!$G$48=FALSE,0,IF(AND(Mitarbeiter!$E$48&lt;&gt;"",AX$5+6&lt;Mitarbeiter!$E$48),0,IF(AND(Mitarbeiter!$F$48&lt;&gt;"",AX$5&gt;Mitarbeiter!$F$48),0,IF(Planung!AX50="",$C50,IF(ISNUMBER(Planung!AX50),Planung!AX50,IF(UPPER(Planung!AX50)="H",$C50/2,0)))))))</f>
        <v>0</v>
      </c>
      <c r="AY50" s="27">
        <f>IF($A50="",0,IF(Mitarbeiter!$G$48=FALSE,0,IF(AND(Mitarbeiter!$E$48&lt;&gt;"",AY$5+6&lt;Mitarbeiter!$E$48),0,IF(AND(Mitarbeiter!$F$48&lt;&gt;"",AY$5&gt;Mitarbeiter!$F$48),0,IF(Planung!AY50="",$C50,IF(ISNUMBER(Planung!AY50),Planung!AY50,IF(UPPER(Planung!AY50)="H",$C50/2,0)))))))</f>
        <v>0</v>
      </c>
      <c r="AZ50" s="27">
        <f>IF($A50="",0,IF(Mitarbeiter!$G$48=FALSE,0,IF(AND(Mitarbeiter!$E$48&lt;&gt;"",AZ$5+6&lt;Mitarbeiter!$E$48),0,IF(AND(Mitarbeiter!$F$48&lt;&gt;"",AZ$5&gt;Mitarbeiter!$F$48),0,IF(Planung!AZ50="",$C50,IF(ISNUMBER(Planung!AZ50),Planung!AZ50,IF(UPPER(Planung!AZ50)="H",$C50/2,0)))))))</f>
        <v>0</v>
      </c>
      <c r="BA50" s="27">
        <f>IF($A50="",0,IF(Mitarbeiter!$G$48=FALSE,0,IF(AND(Mitarbeiter!$E$48&lt;&gt;"",BA$5+6&lt;Mitarbeiter!$E$48),0,IF(AND(Mitarbeiter!$F$48&lt;&gt;"",BA$5&gt;Mitarbeiter!$F$48),0,IF(Planung!BA50="",$C50,IF(ISNUMBER(Planung!BA50),Planung!BA50,IF(UPPER(Planung!BA50)="H",$C50/2,0)))))))</f>
        <v>0</v>
      </c>
      <c r="BB50" s="27">
        <f>IF($A50="",0,IF(Mitarbeiter!$G$48=FALSE,0,IF(AND(Mitarbeiter!$E$48&lt;&gt;"",BB$5+6&lt;Mitarbeiter!$E$48),0,IF(AND(Mitarbeiter!$F$48&lt;&gt;"",BB$5&gt;Mitarbeiter!$F$48),0,IF(Planung!BB50="",$C50,IF(ISNUMBER(Planung!BB50),Planung!BB50,IF(UPPER(Planung!BB50)="H",$C50/2,0)))))))</f>
        <v>0</v>
      </c>
      <c r="BC50" s="27">
        <f>IF($A50="",0,IF(Mitarbeiter!$G$48=FALSE,0,IF(AND(Mitarbeiter!$E$48&lt;&gt;"",BC$5+6&lt;Mitarbeiter!$E$48),0,IF(AND(Mitarbeiter!$F$48&lt;&gt;"",BC$5&gt;Mitarbeiter!$F$48),0,IF(Planung!BC50="",$C50,IF(ISNUMBER(Planung!BC50),Planung!BC50,IF(UPPER(Planung!BC50)="H",$C50/2,0)))))))</f>
        <v>0</v>
      </c>
      <c r="BD50" s="27">
        <f>IF($A50="",0,IF(Mitarbeiter!$G$48=FALSE,0,IF(AND(Mitarbeiter!$E$48&lt;&gt;"",BD$5+6&lt;Mitarbeiter!$E$48),0,IF(AND(Mitarbeiter!$F$48&lt;&gt;"",BD$5&gt;Mitarbeiter!$F$48),0,IF(Planung!BD50="",$C50,IF(ISNUMBER(Planung!BD50),Planung!BD50,IF(UPPER(Planung!BD50)="H",$C50/2,0)))))))</f>
        <v>0</v>
      </c>
      <c r="BE50" s="27">
        <f>IF($A50="",0,IF(Mitarbeiter!$G$48=FALSE,0,IF(AND(Mitarbeiter!$E$48&lt;&gt;"",BE$5+6&lt;Mitarbeiter!$E$48),0,IF(AND(Mitarbeiter!$F$48&lt;&gt;"",BE$5&gt;Mitarbeiter!$F$48),0,IF(Planung!BE50="",$C50,IF(ISNUMBER(Planung!BE50),Planung!BE50,IF(UPPER(Planung!BE50)="H",$C50/2,0)))))))</f>
        <v>0</v>
      </c>
      <c r="BF50" s="27">
        <f>IF($A50="",0,IF(Mitarbeiter!$G$48=FALSE,0,IF(AND(Mitarbeiter!$E$48&lt;&gt;"",BF$5+6&lt;Mitarbeiter!$E$48),0,IF(AND(Mitarbeiter!$F$48&lt;&gt;"",BF$5&gt;Mitarbeiter!$F$48),0,IF(Planung!BF50="",$C50,IF(ISNUMBER(Planung!BF50),Planung!BF50,IF(UPPER(Planung!BF50)="H",$C50/2,0)))))))</f>
        <v>0</v>
      </c>
      <c r="BG50" s="27">
        <f>IF($A50="",0,IF(Mitarbeiter!$G$48=FALSE,0,IF(AND(Mitarbeiter!$E$48&lt;&gt;"",BG$5+6&lt;Mitarbeiter!$E$48),0,IF(AND(Mitarbeiter!$F$48&lt;&gt;"",BG$5&gt;Mitarbeiter!$F$48),0,IF(Planung!BG50="",$C50,IF(ISNUMBER(Planung!BG50),Planung!BG50,IF(UPPER(Planung!BG50)="H",$C50/2,0)))))))</f>
        <v>0</v>
      </c>
      <c r="BH50" s="27">
        <f>IF($A50="",0,IF(Mitarbeiter!$G$48=FALSE,0,IF(AND(Mitarbeiter!$E$48&lt;&gt;"",BH$5+6&lt;Mitarbeiter!$E$48),0,IF(AND(Mitarbeiter!$F$48&lt;&gt;"",BH$5&gt;Mitarbeiter!$F$48),0,IF(Planung!BH50="",$C50,IF(ISNUMBER(Planung!BH50),Planung!BH50,IF(UPPER(Planung!BH50)="H",$C50/2,0)))))))</f>
        <v>0</v>
      </c>
      <c r="BI50" s="27">
        <f>IF($A50="",0,IF(Mitarbeiter!$G$48=FALSE,0,IF(AND(Mitarbeiter!$E$48&lt;&gt;"",BI$5+6&lt;Mitarbeiter!$E$48),0,IF(AND(Mitarbeiter!$F$48&lt;&gt;"",BI$5&gt;Mitarbeiter!$F$48),0,IF(Planung!BI50="",$C50,IF(ISNUMBER(Planung!BI50),Planung!BI50,IF(UPPER(Planung!BI50)="H",$C50/2,0)))))))</f>
        <v>0</v>
      </c>
      <c r="BJ50" s="27">
        <f>IF($A50="",0,IF(Mitarbeiter!$G$48=FALSE,0,IF(AND(Mitarbeiter!$E$48&lt;&gt;"",BJ$5+6&lt;Mitarbeiter!$E$48),0,IF(AND(Mitarbeiter!$F$48&lt;&gt;"",BJ$5&gt;Mitarbeiter!$F$48),0,IF(Planung!BJ50="",$C50,IF(ISNUMBER(Planung!BJ50),Planung!BJ50,IF(UPPER(Planung!BJ50)="H",$C50/2,0)))))))</f>
        <v>0</v>
      </c>
      <c r="BK50" s="27">
        <f>IF($A50="",0,IF(Mitarbeiter!$G$48=FALSE,0,IF(AND(Mitarbeiter!$E$48&lt;&gt;"",BK$5+6&lt;Mitarbeiter!$E$48),0,IF(AND(Mitarbeiter!$F$48&lt;&gt;"",BK$5&gt;Mitarbeiter!$F$48),0,IF(Planung!BK50="",$C50,IF(ISNUMBER(Planung!BK50),Planung!BK50,IF(UPPER(Planung!BK50)="H",$C50/2,0)))))))</f>
        <v>0</v>
      </c>
      <c r="BL50" s="27">
        <f>IF($A50="",0,IF(Mitarbeiter!$G$48=FALSE,0,IF(AND(Mitarbeiter!$E$48&lt;&gt;"",BL$5+6&lt;Mitarbeiter!$E$48),0,IF(AND(Mitarbeiter!$F$48&lt;&gt;"",BL$5&gt;Mitarbeiter!$F$48),0,IF(Planung!BL50="",$C50,IF(ISNUMBER(Planung!BL50),Planung!BL50,IF(UPPER(Planung!BL50)="H",$C50/2,0)))))))</f>
        <v>0</v>
      </c>
      <c r="BM50" s="27">
        <f>IF($A50="",0,IF(Mitarbeiter!$G$48=FALSE,0,IF(AND(Mitarbeiter!$E$48&lt;&gt;"",BM$5+6&lt;Mitarbeiter!$E$48),0,IF(AND(Mitarbeiter!$F$48&lt;&gt;"",BM$5&gt;Mitarbeiter!$F$48),0,IF(Planung!BM50="",$C50,IF(ISNUMBER(Planung!BM50),Planung!BM50,IF(UPPER(Planung!BM50)="H",$C50/2,0)))))))</f>
        <v>0</v>
      </c>
      <c r="BN50" s="27">
        <f>IF($A50="",0,IF(Mitarbeiter!$G$48=FALSE,0,IF(AND(Mitarbeiter!$E$48&lt;&gt;"",BN$5+6&lt;Mitarbeiter!$E$48),0,IF(AND(Mitarbeiter!$F$48&lt;&gt;"",BN$5&gt;Mitarbeiter!$F$48),0,IF(Planung!BN50="",$C50,IF(ISNUMBER(Planung!BN50),Planung!BN50,IF(UPPER(Planung!BN50)="H",$C50/2,0)))))))</f>
        <v>0</v>
      </c>
      <c r="BO50" s="27">
        <f>IF($A50="",0,IF(Mitarbeiter!$G$48=FALSE,0,IF(AND(Mitarbeiter!$E$48&lt;&gt;"",BO$5+6&lt;Mitarbeiter!$E$48),0,IF(AND(Mitarbeiter!$F$48&lt;&gt;"",BO$5&gt;Mitarbeiter!$F$48),0,IF(Planung!BO50="",$C50,IF(ISNUMBER(Planung!BO50),Planung!BO50,IF(UPPER(Planung!BO50)="H",$C50/2,0)))))))</f>
        <v>0</v>
      </c>
      <c r="BP50" s="27">
        <f>IF($A50="",0,IF(Mitarbeiter!$G$48=FALSE,0,IF(AND(Mitarbeiter!$E$48&lt;&gt;"",BP$5+6&lt;Mitarbeiter!$E$48),0,IF(AND(Mitarbeiter!$F$48&lt;&gt;"",BP$5&gt;Mitarbeiter!$F$48),0,IF(Planung!BP50="",$C50,IF(ISNUMBER(Planung!BP50),Planung!BP50,IF(UPPER(Planung!BP50)="H",$C50/2,0)))))))</f>
        <v>0</v>
      </c>
      <c r="BQ50" s="27">
        <f>IF($A50="",0,IF(Mitarbeiter!$G$48=FALSE,0,IF(AND(Mitarbeiter!$E$48&lt;&gt;"",BQ$5+6&lt;Mitarbeiter!$E$48),0,IF(AND(Mitarbeiter!$F$48&lt;&gt;"",BQ$5&gt;Mitarbeiter!$F$48),0,IF(Planung!BQ50="",$C50,IF(ISNUMBER(Planung!BQ50),Planung!BQ50,IF(UPPER(Planung!BQ50)="H",$C50/2,0)))))))</f>
        <v>0</v>
      </c>
      <c r="BR50" s="27">
        <f>IF($A50="",0,IF(Mitarbeiter!$G$48=FALSE,0,IF(AND(Mitarbeiter!$E$48&lt;&gt;"",BR$5+6&lt;Mitarbeiter!$E$48),0,IF(AND(Mitarbeiter!$F$48&lt;&gt;"",BR$5&gt;Mitarbeiter!$F$48),0,IF(Planung!BR50="",$C50,IF(ISNUMBER(Planung!BR50),Planung!BR50,IF(UPPER(Planung!BR50)="H",$C50/2,0)))))))</f>
        <v>0</v>
      </c>
      <c r="BS50" s="27">
        <f>IF($A50="",0,IF(Mitarbeiter!$G$48=FALSE,0,IF(AND(Mitarbeiter!$E$48&lt;&gt;"",BS$5+6&lt;Mitarbeiter!$E$48),0,IF(AND(Mitarbeiter!$F$48&lt;&gt;"",BS$5&gt;Mitarbeiter!$F$48),0,IF(Planung!BS50="",$C50,IF(ISNUMBER(Planung!BS50),Planung!BS50,IF(UPPER(Planung!BS50)="H",$C50/2,0)))))))</f>
        <v>0</v>
      </c>
      <c r="BT50" s="27">
        <f>IF($A50="",0,IF(Mitarbeiter!$G$48=FALSE,0,IF(AND(Mitarbeiter!$E$48&lt;&gt;"",BT$5+6&lt;Mitarbeiter!$E$48),0,IF(AND(Mitarbeiter!$F$48&lt;&gt;"",BT$5&gt;Mitarbeiter!$F$48),0,IF(Planung!BT50="",$C50,IF(ISNUMBER(Planung!BT50),Planung!BT50,IF(UPPER(Planung!BT50)="H",$C50/2,0)))))))</f>
        <v>0</v>
      </c>
      <c r="BU50" s="27">
        <f>IF($A50="",0,IF(Mitarbeiter!$G$48=FALSE,0,IF(AND(Mitarbeiter!$E$48&lt;&gt;"",BU$5+6&lt;Mitarbeiter!$E$48),0,IF(AND(Mitarbeiter!$F$48&lt;&gt;"",BU$5&gt;Mitarbeiter!$F$48),0,IF(Planung!BU50="",$C50,IF(ISNUMBER(Planung!BU50),Planung!BU50,IF(UPPER(Planung!BU50)="H",$C50/2,0)))))))</f>
        <v>0</v>
      </c>
      <c r="BV50" s="27">
        <f>IF($A50="",0,IF(Mitarbeiter!$G$48=FALSE,0,IF(AND(Mitarbeiter!$E$48&lt;&gt;"",BV$5+6&lt;Mitarbeiter!$E$48),0,IF(AND(Mitarbeiter!$F$48&lt;&gt;"",BV$5&gt;Mitarbeiter!$F$48),0,IF(Planung!BV50="",$C50,IF(ISNUMBER(Planung!BV50),Planung!BV50,IF(UPPER(Planung!BV50)="H",$C50/2,0)))))))</f>
        <v>0</v>
      </c>
      <c r="BW50" s="27">
        <f>IF($A50="",0,IF(Mitarbeiter!$G$48=FALSE,0,IF(AND(Mitarbeiter!$E$48&lt;&gt;"",BW$5+6&lt;Mitarbeiter!$E$48),0,IF(AND(Mitarbeiter!$F$48&lt;&gt;"",BW$5&gt;Mitarbeiter!$F$48),0,IF(Planung!BW50="",$C50,IF(ISNUMBER(Planung!BW50),Planung!BW50,IF(UPPER(Planung!BW50)="H",$C50/2,0)))))))</f>
        <v>0</v>
      </c>
      <c r="BX50" s="27">
        <f>IF($A50="",0,IF(Mitarbeiter!$G$48=FALSE,0,IF(AND(Mitarbeiter!$E$48&lt;&gt;"",BX$5+6&lt;Mitarbeiter!$E$48),0,IF(AND(Mitarbeiter!$F$48&lt;&gt;"",BX$5&gt;Mitarbeiter!$F$48),0,IF(Planung!BX50="",$C50,IF(ISNUMBER(Planung!BX50),Planung!BX50,IF(UPPER(Planung!BX50)="H",$C50/2,0)))))))</f>
        <v>0</v>
      </c>
      <c r="BY50" s="27">
        <f>IF($A50="",0,IF(Mitarbeiter!$G$48=FALSE,0,IF(AND(Mitarbeiter!$E$48&lt;&gt;"",BY$5+6&lt;Mitarbeiter!$E$48),0,IF(AND(Mitarbeiter!$F$48&lt;&gt;"",BY$5&gt;Mitarbeiter!$F$48),0,IF(Planung!BY50="",$C50,IF(ISNUMBER(Planung!BY50),Planung!BY50,IF(UPPER(Planung!BY50)="H",$C50/2,0)))))))</f>
        <v>0</v>
      </c>
      <c r="BZ50" s="27">
        <f>IF($A50="",0,IF(Mitarbeiter!$G$48=FALSE,0,IF(AND(Mitarbeiter!$E$48&lt;&gt;"",BZ$5+6&lt;Mitarbeiter!$E$48),0,IF(AND(Mitarbeiter!$F$48&lt;&gt;"",BZ$5&gt;Mitarbeiter!$F$48),0,IF(Planung!BZ50="",$C50,IF(ISNUMBER(Planung!BZ50),Planung!BZ50,IF(UPPER(Planung!BZ50)="H",$C50/2,0)))))))</f>
        <v>0</v>
      </c>
      <c r="CA50" s="27">
        <f>IF($A50="",0,IF(Mitarbeiter!$G$48=FALSE,0,IF(AND(Mitarbeiter!$E$48&lt;&gt;"",CA$5+6&lt;Mitarbeiter!$E$48),0,IF(AND(Mitarbeiter!$F$48&lt;&gt;"",CA$5&gt;Mitarbeiter!$F$48),0,IF(Planung!CA50="",$C50,IF(ISNUMBER(Planung!CA50),Planung!CA50,IF(UPPER(Planung!CA50)="H",$C50/2,0)))))))</f>
        <v>0</v>
      </c>
      <c r="CB50" s="27">
        <f>IF($A50="",0,IF(Mitarbeiter!$G$48=FALSE,0,IF(AND(Mitarbeiter!$E$48&lt;&gt;"",CB$5+6&lt;Mitarbeiter!$E$48),0,IF(AND(Mitarbeiter!$F$48&lt;&gt;"",CB$5&gt;Mitarbeiter!$F$48),0,IF(Planung!CB50="",$C50,IF(ISNUMBER(Planung!CB50),Planung!CB50,IF(UPPER(Planung!CB50)="H",$C50/2,0)))))))</f>
        <v>0</v>
      </c>
      <c r="CC50" s="27">
        <f>IF($A50="",0,IF(Mitarbeiter!$G$48=FALSE,0,IF(AND(Mitarbeiter!$E$48&lt;&gt;"",CC$5+6&lt;Mitarbeiter!$E$48),0,IF(AND(Mitarbeiter!$F$48&lt;&gt;"",CC$5&gt;Mitarbeiter!$F$48),0,IF(Planung!CC50="",$C50,IF(ISNUMBER(Planung!CC50),Planung!CC50,IF(UPPER(Planung!CC50)="H",$C50/2,0)))))))</f>
        <v>0</v>
      </c>
      <c r="CD50" s="27">
        <f>IF($A50="",0,IF(Mitarbeiter!$G$48=FALSE,0,IF(AND(Mitarbeiter!$E$48&lt;&gt;"",CD$5+6&lt;Mitarbeiter!$E$48),0,IF(AND(Mitarbeiter!$F$48&lt;&gt;"",CD$5&gt;Mitarbeiter!$F$48),0,IF(Planung!CD50="",$C50,IF(ISNUMBER(Planung!CD50),Planung!CD50,IF(UPPER(Planung!CD50)="H",$C50/2,0)))))))</f>
        <v>0</v>
      </c>
      <c r="CE50" s="27">
        <f>IF($A50="",0,IF(Mitarbeiter!$G$48=FALSE,0,IF(AND(Mitarbeiter!$E$48&lt;&gt;"",CE$5+6&lt;Mitarbeiter!$E$48),0,IF(AND(Mitarbeiter!$F$48&lt;&gt;"",CE$5&gt;Mitarbeiter!$F$48),0,IF(Planung!CE50="",$C50,IF(ISNUMBER(Planung!CE50),Planung!CE50,IF(UPPER(Planung!CE50)="H",$C50/2,0)))))))</f>
        <v>0</v>
      </c>
      <c r="CF50" s="27">
        <f>IF($A50="",0,IF(Mitarbeiter!$G$48=FALSE,0,IF(AND(Mitarbeiter!$E$48&lt;&gt;"",CF$5+6&lt;Mitarbeiter!$E$48),0,IF(AND(Mitarbeiter!$F$48&lt;&gt;"",CF$5&gt;Mitarbeiter!$F$48),0,IF(Planung!CF50="",$C50,IF(ISNUMBER(Planung!CF50),Planung!CF50,IF(UPPER(Planung!CF50)="H",$C50/2,0)))))))</f>
        <v>0</v>
      </c>
      <c r="CG50" s="27">
        <f>IF($A50="",0,IF(Mitarbeiter!$G$48=FALSE,0,IF(AND(Mitarbeiter!$E$48&lt;&gt;"",CG$5+6&lt;Mitarbeiter!$E$48),0,IF(AND(Mitarbeiter!$F$48&lt;&gt;"",CG$5&gt;Mitarbeiter!$F$48),0,IF(Planung!CG50="",$C50,IF(ISNUMBER(Planung!CG50),Planung!CG50,IF(UPPER(Planung!CG50)="H",$C50/2,0)))))))</f>
        <v>0</v>
      </c>
      <c r="CH50" s="27">
        <f>IF($A50="",0,IF(Mitarbeiter!$G$48=FALSE,0,IF(AND(Mitarbeiter!$E$48&lt;&gt;"",CH$5+6&lt;Mitarbeiter!$E$48),0,IF(AND(Mitarbeiter!$F$48&lt;&gt;"",CH$5&gt;Mitarbeiter!$F$48),0,IF(Planung!CH50="",$C50,IF(ISNUMBER(Planung!CH50),Planung!CH50,IF(UPPER(Planung!CH50)="H",$C50/2,0)))))))</f>
        <v>0</v>
      </c>
      <c r="CI50" s="27">
        <f>IF($A50="",0,IF(Mitarbeiter!$G$48=FALSE,0,IF(AND(Mitarbeiter!$E$48&lt;&gt;"",CI$5+6&lt;Mitarbeiter!$E$48),0,IF(AND(Mitarbeiter!$F$48&lt;&gt;"",CI$5&gt;Mitarbeiter!$F$48),0,IF(Planung!CI50="",$C50,IF(ISNUMBER(Planung!CI50),Planung!CI50,IF(UPPER(Planung!CI50)="H",$C50/2,0)))))))</f>
        <v>0</v>
      </c>
      <c r="CJ50" s="27">
        <f>IF($A50="",0,IF(Mitarbeiter!$G$48=FALSE,0,IF(AND(Mitarbeiter!$E$48&lt;&gt;"",CJ$5+6&lt;Mitarbeiter!$E$48),0,IF(AND(Mitarbeiter!$F$48&lt;&gt;"",CJ$5&gt;Mitarbeiter!$F$48),0,IF(Planung!CJ50="",$C50,IF(ISNUMBER(Planung!CJ50),Planung!CJ50,IF(UPPER(Planung!CJ50)="H",$C50/2,0)))))))</f>
        <v>0</v>
      </c>
      <c r="CK50" s="27">
        <f>IF($A50="",0,IF(Mitarbeiter!$G$48=FALSE,0,IF(AND(Mitarbeiter!$E$48&lt;&gt;"",CK$5+6&lt;Mitarbeiter!$E$48),0,IF(AND(Mitarbeiter!$F$48&lt;&gt;"",CK$5&gt;Mitarbeiter!$F$48),0,IF(Planung!CK50="",$C50,IF(ISNUMBER(Planung!CK50),Planung!CK50,IF(UPPER(Planung!CK50)="H",$C50/2,0)))))))</f>
        <v>0</v>
      </c>
      <c r="CL50" s="27">
        <f>IF($A50="",0,IF(Mitarbeiter!$G$48=FALSE,0,IF(AND(Mitarbeiter!$E$48&lt;&gt;"",CL$5+6&lt;Mitarbeiter!$E$48),0,IF(AND(Mitarbeiter!$F$48&lt;&gt;"",CL$5&gt;Mitarbeiter!$F$48),0,IF(Planung!CL50="",$C50,IF(ISNUMBER(Planung!CL50),Planung!CL50,IF(UPPER(Planung!CL50)="H",$C50/2,0)))))))</f>
        <v>0</v>
      </c>
      <c r="CM50" s="27">
        <f>IF($A50="",0,IF(Mitarbeiter!$G$48=FALSE,0,IF(AND(Mitarbeiter!$E$48&lt;&gt;"",CM$5+6&lt;Mitarbeiter!$E$48),0,IF(AND(Mitarbeiter!$F$48&lt;&gt;"",CM$5&gt;Mitarbeiter!$F$48),0,IF(Planung!CM50="",$C50,IF(ISNUMBER(Planung!CM50),Planung!CM50,IF(UPPER(Planung!CM50)="H",$C50/2,0)))))))</f>
        <v>0</v>
      </c>
      <c r="CN50" s="27">
        <f>IF($A50="",0,IF(Mitarbeiter!$G$48=FALSE,0,IF(AND(Mitarbeiter!$E$48&lt;&gt;"",CN$5+6&lt;Mitarbeiter!$E$48),0,IF(AND(Mitarbeiter!$F$48&lt;&gt;"",CN$5&gt;Mitarbeiter!$F$48),0,IF(Planung!CN50="",$C50,IF(ISNUMBER(Planung!CN50),Planung!CN50,IF(UPPER(Planung!CN50)="H",$C50/2,0)))))))</f>
        <v>0</v>
      </c>
      <c r="CO50" s="27">
        <f>IF($A50="",0,IF(Mitarbeiter!$G$48=FALSE,0,IF(AND(Mitarbeiter!$E$48&lt;&gt;"",CO$5+6&lt;Mitarbeiter!$E$48),0,IF(AND(Mitarbeiter!$F$48&lt;&gt;"",CO$5&gt;Mitarbeiter!$F$48),0,IF(Planung!CO50="",$C50,IF(ISNUMBER(Planung!CO50),Planung!CO50,IF(UPPER(Planung!CO50)="H",$C50/2,0)))))))</f>
        <v>0</v>
      </c>
      <c r="CP50" s="27">
        <f>IF($A50="",0,IF(Mitarbeiter!$G$48=FALSE,0,IF(AND(Mitarbeiter!$E$48&lt;&gt;"",CP$5+6&lt;Mitarbeiter!$E$48),0,IF(AND(Mitarbeiter!$F$48&lt;&gt;"",CP$5&gt;Mitarbeiter!$F$48),0,IF(Planung!CP50="",$C50,IF(ISNUMBER(Planung!CP50),Planung!CP50,IF(UPPER(Planung!CP50)="H",$C50/2,0)))))))</f>
        <v>0</v>
      </c>
      <c r="CQ50" s="27">
        <f>IF($A50="",0,IF(Mitarbeiter!$G$48=FALSE,0,IF(AND(Mitarbeiter!$E$48&lt;&gt;"",CQ$5+6&lt;Mitarbeiter!$E$48),0,IF(AND(Mitarbeiter!$F$48&lt;&gt;"",CQ$5&gt;Mitarbeiter!$F$48),0,IF(Planung!CQ50="",$C50,IF(ISNUMBER(Planung!CQ50),Planung!CQ50,IF(UPPER(Planung!CQ50)="H",$C50/2,0)))))))</f>
        <v>0</v>
      </c>
      <c r="CR50" s="27">
        <f>IF($A50="",0,IF(Mitarbeiter!$G$48=FALSE,0,IF(AND(Mitarbeiter!$E$48&lt;&gt;"",CR$5+6&lt;Mitarbeiter!$E$48),0,IF(AND(Mitarbeiter!$F$48&lt;&gt;"",CR$5&gt;Mitarbeiter!$F$48),0,IF(Planung!CR50="",$C50,IF(ISNUMBER(Planung!CR50),Planung!CR50,IF(UPPER(Planung!CR50)="H",$C50/2,0)))))))</f>
        <v>0</v>
      </c>
      <c r="CS50" s="27">
        <f>IF($A50="",0,IF(Mitarbeiter!$G$48=FALSE,0,IF(AND(Mitarbeiter!$E$48&lt;&gt;"",CS$5+6&lt;Mitarbeiter!$E$48),0,IF(AND(Mitarbeiter!$F$48&lt;&gt;"",CS$5&gt;Mitarbeiter!$F$48),0,IF(Planung!CS50="",$C50,IF(ISNUMBER(Planung!CS50),Planung!CS50,IF(UPPER(Planung!CS50)="H",$C50/2,0)))))))</f>
        <v>0</v>
      </c>
      <c r="CT50" s="27">
        <f>IF($A50="",0,IF(Mitarbeiter!$G$48=FALSE,0,IF(AND(Mitarbeiter!$E$48&lt;&gt;"",CT$5+6&lt;Mitarbeiter!$E$48),0,IF(AND(Mitarbeiter!$F$48&lt;&gt;"",CT$5&gt;Mitarbeiter!$F$48),0,IF(Planung!CT50="",$C50,IF(ISNUMBER(Planung!CT50),Planung!CT50,IF(UPPER(Planung!CT50)="H",$C50/2,0)))))))</f>
        <v>0</v>
      </c>
      <c r="CU50" s="27">
        <f>IF($A50="",0,IF(Mitarbeiter!$G$48=FALSE,0,IF(AND(Mitarbeiter!$E$48&lt;&gt;"",CU$5+6&lt;Mitarbeiter!$E$48),0,IF(AND(Mitarbeiter!$F$48&lt;&gt;"",CU$5&gt;Mitarbeiter!$F$48),0,IF(Planung!CU50="",$C50,IF(ISNUMBER(Planung!CU50),Planung!CU50,IF(UPPER(Planung!CU50)="H",$C50/2,0)))))))</f>
        <v>0</v>
      </c>
      <c r="CV50" s="27">
        <f>IF($A50="",0,IF(Mitarbeiter!$G$48=FALSE,0,IF(AND(Mitarbeiter!$E$48&lt;&gt;"",CV$5+6&lt;Mitarbeiter!$E$48),0,IF(AND(Mitarbeiter!$F$48&lt;&gt;"",CV$5&gt;Mitarbeiter!$F$48),0,IF(Planung!CV50="",$C50,IF(ISNUMBER(Planung!CV50),Planung!CV50,IF(UPPER(Planung!CV50)="H",$C50/2,0)))))))</f>
        <v>0</v>
      </c>
      <c r="CW50" s="27">
        <f>IF($A50="",0,IF(Mitarbeiter!$G$48=FALSE,0,IF(AND(Mitarbeiter!$E$48&lt;&gt;"",CW$5+6&lt;Mitarbeiter!$E$48),0,IF(AND(Mitarbeiter!$F$48&lt;&gt;"",CW$5&gt;Mitarbeiter!$F$48),0,IF(Planung!CW50="",$C50,IF(ISNUMBER(Planung!CW50),Planung!CW50,IF(UPPER(Planung!CW50)="H",$C50/2,0)))))))</f>
        <v>0</v>
      </c>
      <c r="CX50" s="27">
        <f>IF($A50="",0,IF(Mitarbeiter!$G$48=FALSE,0,IF(AND(Mitarbeiter!$E$48&lt;&gt;"",CX$5+6&lt;Mitarbeiter!$E$48),0,IF(AND(Mitarbeiter!$F$48&lt;&gt;"",CX$5&gt;Mitarbeiter!$F$48),0,IF(Planung!CX50="",$C50,IF(ISNUMBER(Planung!CX50),Planung!CX50,IF(UPPER(Planung!CX50)="H",$C50/2,0)))))))</f>
        <v>0</v>
      </c>
      <c r="CY50" s="27">
        <f>IF($A50="",0,IF(Mitarbeiter!$G$48=FALSE,0,IF(AND(Mitarbeiter!$E$48&lt;&gt;"",CY$5+6&lt;Mitarbeiter!$E$48),0,IF(AND(Mitarbeiter!$F$48&lt;&gt;"",CY$5&gt;Mitarbeiter!$F$48),0,IF(Planung!CY50="",$C50,IF(ISNUMBER(Planung!CY50),Planung!CY50,IF(UPPER(Planung!CY50)="H",$C50/2,0)))))))</f>
        <v>0</v>
      </c>
      <c r="CZ50" s="27">
        <f>IF($A50="",0,IF(Mitarbeiter!$G$48=FALSE,0,IF(AND(Mitarbeiter!$E$48&lt;&gt;"",CZ$5+6&lt;Mitarbeiter!$E$48),0,IF(AND(Mitarbeiter!$F$48&lt;&gt;"",CZ$5&gt;Mitarbeiter!$F$48),0,IF(Planung!CZ50="",$C50,IF(ISNUMBER(Planung!CZ50),Planung!CZ50,IF(UPPER(Planung!CZ50)="H",$C50/2,0)))))))</f>
        <v>0</v>
      </c>
      <c r="DA50" s="27">
        <f>IF($A50="",0,IF(Mitarbeiter!$G$48=FALSE,0,IF(AND(Mitarbeiter!$E$48&lt;&gt;"",DA$5+6&lt;Mitarbeiter!$E$48),0,IF(AND(Mitarbeiter!$F$48&lt;&gt;"",DA$5&gt;Mitarbeiter!$F$48),0,IF(Planung!DA50="",$C50,IF(ISNUMBER(Planung!DA50),Planung!DA50,IF(UPPER(Planung!DA50)="H",$C50/2,0)))))))</f>
        <v>0</v>
      </c>
      <c r="DB50" s="27">
        <f>IF($A50="",0,IF(Mitarbeiter!$G$48=FALSE,0,IF(AND(Mitarbeiter!$E$48&lt;&gt;"",DB$5+6&lt;Mitarbeiter!$E$48),0,IF(AND(Mitarbeiter!$F$48&lt;&gt;"",DB$5&gt;Mitarbeiter!$F$48),0,IF(Planung!DB50="",$C50,IF(ISNUMBER(Planung!DB50),Planung!DB50,IF(UPPER(Planung!DB50)="H",$C50/2,0)))))))</f>
        <v>0</v>
      </c>
      <c r="DC50" s="27">
        <f>IF($A50="",0,IF(Mitarbeiter!$G$48=FALSE,0,IF(AND(Mitarbeiter!$E$48&lt;&gt;"",DC$5+6&lt;Mitarbeiter!$E$48),0,IF(AND(Mitarbeiter!$F$48&lt;&gt;"",DC$5&gt;Mitarbeiter!$F$48),0,IF(Planung!DC50="",$C50,IF(ISNUMBER(Planung!DC50),Planung!DC50,IF(UPPER(Planung!DC50)="H",$C50/2,0)))))))</f>
        <v>0</v>
      </c>
      <c r="DD50" s="27">
        <f>IF($A50="",0,IF(Mitarbeiter!$G$48=FALSE,0,IF(AND(Mitarbeiter!$E$48&lt;&gt;"",DD$5+6&lt;Mitarbeiter!$E$48),0,IF(AND(Mitarbeiter!$F$48&lt;&gt;"",DD$5&gt;Mitarbeiter!$F$48),0,IF(Planung!DD50="",$C50,IF(ISNUMBER(Planung!DD50),Planung!DD50,IF(UPPER(Planung!DD50)="H",$C50/2,0)))))))</f>
        <v>0</v>
      </c>
      <c r="DE50" s="27">
        <f>IF($A50="",0,IF(Mitarbeiter!$G$48=FALSE,0,IF(AND(Mitarbeiter!$E$48&lt;&gt;"",DE$5+6&lt;Mitarbeiter!$E$48),0,IF(AND(Mitarbeiter!$F$48&lt;&gt;"",DE$5&gt;Mitarbeiter!$F$48),0,IF(Planung!DE50="",$C50,IF(ISNUMBER(Planung!DE50),Planung!DE50,IF(UPPER(Planung!DE50)="H",$C50/2,0)))))))</f>
        <v>0</v>
      </c>
      <c r="DF50" s="27">
        <f>IF($A50="",0,IF(Mitarbeiter!$G$48=FALSE,0,IF(AND(Mitarbeiter!$E$48&lt;&gt;"",DF$5+6&lt;Mitarbeiter!$E$48),0,IF(AND(Mitarbeiter!$F$48&lt;&gt;"",DF$5&gt;Mitarbeiter!$F$48),0,IF(Planung!DF50="",$C50,IF(ISNUMBER(Planung!DF50),Planung!DF50,IF(UPPER(Planung!DF50)="H",$C50/2,0)))))))</f>
        <v>0</v>
      </c>
      <c r="DG50" s="27">
        <f>IF($A50="",0,IF(Mitarbeiter!$G$48=FALSE,0,IF(AND(Mitarbeiter!$E$48&lt;&gt;"",DG$5+6&lt;Mitarbeiter!$E$48),0,IF(AND(Mitarbeiter!$F$48&lt;&gt;"",DG$5&gt;Mitarbeiter!$F$48),0,IF(Planung!DG50="",$C50,IF(ISNUMBER(Planung!DG50),Planung!DG50,IF(UPPER(Planung!DG50)="H",$C50/2,0)))))))</f>
        <v>0</v>
      </c>
      <c r="DH50" s="27">
        <f>IF($A50="",0,IF(Mitarbeiter!$G$48=FALSE,0,IF(AND(Mitarbeiter!$E$48&lt;&gt;"",DH$5+6&lt;Mitarbeiter!$E$48),0,IF(AND(Mitarbeiter!$F$48&lt;&gt;"",DH$5&gt;Mitarbeiter!$F$48),0,IF(Planung!DH50="",$C50,IF(ISNUMBER(Planung!DH50),Planung!DH50,IF(UPPER(Planung!DH50)="H",$C50/2,0)))))))</f>
        <v>0</v>
      </c>
      <c r="DI50" s="27">
        <f>IF($A50="",0,IF(Mitarbeiter!$G$48=FALSE,0,IF(AND(Mitarbeiter!$E$48&lt;&gt;"",DI$5+6&lt;Mitarbeiter!$E$48),0,IF(AND(Mitarbeiter!$F$48&lt;&gt;"",DI$5&gt;Mitarbeiter!$F$48),0,IF(Planung!DI50="",$C50,IF(ISNUMBER(Planung!DI50),Planung!DI50,IF(UPPER(Planung!DI50)="H",$C50/2,0)))))))</f>
        <v>0</v>
      </c>
      <c r="DJ50" s="27">
        <f>IF($A50="",0,IF(Mitarbeiter!$G$48=FALSE,0,IF(AND(Mitarbeiter!$E$48&lt;&gt;"",DJ$5+6&lt;Mitarbeiter!$E$48),0,IF(AND(Mitarbeiter!$F$48&lt;&gt;"",DJ$5&gt;Mitarbeiter!$F$48),0,IF(Planung!DJ50="",$C50,IF(ISNUMBER(Planung!DJ50),Planung!DJ50,IF(UPPER(Planung!DJ50)="H",$C50/2,0)))))))</f>
        <v>0</v>
      </c>
      <c r="DK50" s="27">
        <f>IF($A50="",0,IF(Mitarbeiter!$G$48=FALSE,0,IF(AND(Mitarbeiter!$E$48&lt;&gt;"",DK$5+6&lt;Mitarbeiter!$E$48),0,IF(AND(Mitarbeiter!$F$48&lt;&gt;"",DK$5&gt;Mitarbeiter!$F$48),0,IF(Planung!DK50="",$C50,IF(ISNUMBER(Planung!DK50),Planung!DK50,IF(UPPER(Planung!DK50)="H",$C50/2,0)))))))</f>
        <v>0</v>
      </c>
      <c r="DL50" s="27">
        <f>IF($A50="",0,IF(Mitarbeiter!$G$48=FALSE,0,IF(AND(Mitarbeiter!$E$48&lt;&gt;"",DL$5+6&lt;Mitarbeiter!$E$48),0,IF(AND(Mitarbeiter!$F$48&lt;&gt;"",DL$5&gt;Mitarbeiter!$F$48),0,IF(Planung!DL50="",$C50,IF(ISNUMBER(Planung!DL50),Planung!DL50,IF(UPPER(Planung!DL50)="H",$C50/2,0)))))))</f>
        <v>0</v>
      </c>
      <c r="DM50" s="27">
        <f>IF($A50="",0,IF(Mitarbeiter!$G$48=FALSE,0,IF(AND(Mitarbeiter!$E$48&lt;&gt;"",DM$5+6&lt;Mitarbeiter!$E$48),0,IF(AND(Mitarbeiter!$F$48&lt;&gt;"",DM$5&gt;Mitarbeiter!$F$48),0,IF(Planung!DM50="",$C50,IF(ISNUMBER(Planung!DM50),Planung!DM50,IF(UPPER(Planung!DM50)="H",$C50/2,0)))))))</f>
        <v>0</v>
      </c>
      <c r="DN50" s="27">
        <f>IF($A50="",0,IF(Mitarbeiter!$G$48=FALSE,0,IF(AND(Mitarbeiter!$E$48&lt;&gt;"",DN$5+6&lt;Mitarbeiter!$E$48),0,IF(AND(Mitarbeiter!$F$48&lt;&gt;"",DN$5&gt;Mitarbeiter!$F$48),0,IF(Planung!DN50="",$C50,IF(ISNUMBER(Planung!DN50),Planung!DN50,IF(UPPER(Planung!DN50)="H",$C50/2,0)))))))</f>
        <v>0</v>
      </c>
      <c r="DO50" s="27">
        <f>IF($A50="",0,IF(Mitarbeiter!$G$48=FALSE,0,IF(AND(Mitarbeiter!$E$48&lt;&gt;"",DO$5+6&lt;Mitarbeiter!$E$48),0,IF(AND(Mitarbeiter!$F$48&lt;&gt;"",DO$5&gt;Mitarbeiter!$F$48),0,IF(Planung!DO50="",$C50,IF(ISNUMBER(Planung!DO50),Planung!DO50,IF(UPPER(Planung!DO50)="H",$C50/2,0)))))))</f>
        <v>0</v>
      </c>
      <c r="DP50" s="27">
        <f>IF($A50="",0,IF(Mitarbeiter!$G$48=FALSE,0,IF(AND(Mitarbeiter!$E$48&lt;&gt;"",DP$5+6&lt;Mitarbeiter!$E$48),0,IF(AND(Mitarbeiter!$F$48&lt;&gt;"",DP$5&gt;Mitarbeiter!$F$48),0,IF(Planung!DP50="",$C50,IF(ISNUMBER(Planung!DP50),Planung!DP50,IF(UPPER(Planung!DP50)="H",$C50/2,0)))))))</f>
        <v>0</v>
      </c>
      <c r="DQ50" s="27">
        <f>IF($A50="",0,IF(Mitarbeiter!$G$48=FALSE,0,IF(AND(Mitarbeiter!$E$48&lt;&gt;"",DQ$5+6&lt;Mitarbeiter!$E$48),0,IF(AND(Mitarbeiter!$F$48&lt;&gt;"",DQ$5&gt;Mitarbeiter!$F$48),0,IF(Planung!DQ50="",$C50,IF(ISNUMBER(Planung!DQ50),Planung!DQ50,IF(UPPER(Planung!DQ50)="H",$C50/2,0)))))))</f>
        <v>0</v>
      </c>
      <c r="DR50" s="27">
        <f>IF($A50="",0,IF(Mitarbeiter!$G$48=FALSE,0,IF(AND(Mitarbeiter!$E$48&lt;&gt;"",DR$5+6&lt;Mitarbeiter!$E$48),0,IF(AND(Mitarbeiter!$F$48&lt;&gt;"",DR$5&gt;Mitarbeiter!$F$48),0,IF(Planung!DR50="",$C50,IF(ISNUMBER(Planung!DR50),Planung!DR50,IF(UPPER(Planung!DR50)="H",$C50/2,0)))))))</f>
        <v>0</v>
      </c>
      <c r="DS50" s="27">
        <f>IF($A50="",0,IF(Mitarbeiter!$G$48=FALSE,0,IF(AND(Mitarbeiter!$E$48&lt;&gt;"",DS$5+6&lt;Mitarbeiter!$E$48),0,IF(AND(Mitarbeiter!$F$48&lt;&gt;"",DS$5&gt;Mitarbeiter!$F$48),0,IF(Planung!DS50="",$C50,IF(ISNUMBER(Planung!DS50),Planung!DS50,IF(UPPER(Planung!DS50)="H",$C50/2,0)))))))</f>
        <v>0</v>
      </c>
      <c r="DT50" s="27">
        <f>IF($A50="",0,IF(Mitarbeiter!$G$48=FALSE,0,IF(AND(Mitarbeiter!$E$48&lt;&gt;"",DT$5+6&lt;Mitarbeiter!$E$48),0,IF(AND(Mitarbeiter!$F$48&lt;&gt;"",DT$5&gt;Mitarbeiter!$F$48),0,IF(Planung!DT50="",$C50,IF(ISNUMBER(Planung!DT50),Planung!DT50,IF(UPPER(Planung!DT50)="H",$C50/2,0)))))))</f>
        <v>0</v>
      </c>
      <c r="DU50" s="27">
        <f>IF($A50="",0,IF(Mitarbeiter!$G$48=FALSE,0,IF(AND(Mitarbeiter!$E$48&lt;&gt;"",DU$5+6&lt;Mitarbeiter!$E$48),0,IF(AND(Mitarbeiter!$F$48&lt;&gt;"",DU$5&gt;Mitarbeiter!$F$48),0,IF(Planung!DU50="",$C50,IF(ISNUMBER(Planung!DU50),Planung!DU50,IF(UPPER(Planung!DU50)="H",$C50/2,0)))))))</f>
        <v>0</v>
      </c>
      <c r="DV50" s="27">
        <f>IF($A50="",0,IF(Mitarbeiter!$G$48=FALSE,0,IF(AND(Mitarbeiter!$E$48&lt;&gt;"",DV$5+6&lt;Mitarbeiter!$E$48),0,IF(AND(Mitarbeiter!$F$48&lt;&gt;"",DV$5&gt;Mitarbeiter!$F$48),0,IF(Planung!DV50="",$C50,IF(ISNUMBER(Planung!DV50),Planung!DV50,IF(UPPER(Planung!DV50)="H",$C50/2,0)))))))</f>
        <v>0</v>
      </c>
      <c r="DW50" s="27">
        <f>IF($A50="",0,IF(Mitarbeiter!$G$48=FALSE,0,IF(AND(Mitarbeiter!$E$48&lt;&gt;"",DW$5+6&lt;Mitarbeiter!$E$48),0,IF(AND(Mitarbeiter!$F$48&lt;&gt;"",DW$5&gt;Mitarbeiter!$F$48),0,IF(Planung!DW50="",$C50,IF(ISNUMBER(Planung!DW50),Planung!DW50,IF(UPPER(Planung!DW50)="H",$C50/2,0)))))))</f>
        <v>0</v>
      </c>
      <c r="DX50" s="27">
        <f>IF($A50="",0,IF(Mitarbeiter!$G$48=FALSE,0,IF(AND(Mitarbeiter!$E$48&lt;&gt;"",DX$5+6&lt;Mitarbeiter!$E$48),0,IF(AND(Mitarbeiter!$F$48&lt;&gt;"",DX$5&gt;Mitarbeiter!$F$48),0,IF(Planung!DX50="",$C50,IF(ISNUMBER(Planung!DX50),Planung!DX50,IF(UPPER(Planung!DX50)="H",$C50/2,0)))))))</f>
        <v>0</v>
      </c>
      <c r="DY50" s="27">
        <f>IF($A50="",0,IF(Mitarbeiter!$G$48=FALSE,0,IF(AND(Mitarbeiter!$E$48&lt;&gt;"",DY$5+6&lt;Mitarbeiter!$E$48),0,IF(AND(Mitarbeiter!$F$48&lt;&gt;"",DY$5&gt;Mitarbeiter!$F$48),0,IF(Planung!DY50="",$C50,IF(ISNUMBER(Planung!DY50),Planung!DY50,IF(UPPER(Planung!DY50)="H",$C50/2,0)))))))</f>
        <v>0</v>
      </c>
      <c r="DZ50" s="27">
        <f>IF($A50="",0,IF(Mitarbeiter!$G$48=FALSE,0,IF(AND(Mitarbeiter!$E$48&lt;&gt;"",DZ$5+6&lt;Mitarbeiter!$E$48),0,IF(AND(Mitarbeiter!$F$48&lt;&gt;"",DZ$5&gt;Mitarbeiter!$F$48),0,IF(Planung!DZ50="",$C50,IF(ISNUMBER(Planung!DZ50),Planung!DZ50,IF(UPPER(Planung!DZ50)="H",$C50/2,0)))))))</f>
        <v>0</v>
      </c>
      <c r="EA50" s="27">
        <f>IF($A50="",0,IF(Mitarbeiter!$G$48=FALSE,0,IF(AND(Mitarbeiter!$E$48&lt;&gt;"",EA$5+6&lt;Mitarbeiter!$E$48),0,IF(AND(Mitarbeiter!$F$48&lt;&gt;"",EA$5&gt;Mitarbeiter!$F$48),0,IF(Planung!EA50="",$C50,IF(ISNUMBER(Planung!EA50),Planung!EA50,IF(UPPER(Planung!EA50)="H",$C50/2,0)))))))</f>
        <v>0</v>
      </c>
      <c r="EB50" s="27">
        <f>IF($A50="",0,IF(Mitarbeiter!$G$48=FALSE,0,IF(AND(Mitarbeiter!$E$48&lt;&gt;"",EB$5+6&lt;Mitarbeiter!$E$48),0,IF(AND(Mitarbeiter!$F$48&lt;&gt;"",EB$5&gt;Mitarbeiter!$F$48),0,IF(Planung!EB50="",$C50,IF(ISNUMBER(Planung!EB50),Planung!EB50,IF(UPPER(Planung!EB50)="H",$C50/2,0)))))))</f>
        <v>0</v>
      </c>
      <c r="EC50" s="27">
        <f>IF($A50="",0,IF(Mitarbeiter!$G$48=FALSE,0,IF(AND(Mitarbeiter!$E$48&lt;&gt;"",EC$5+6&lt;Mitarbeiter!$E$48),0,IF(AND(Mitarbeiter!$F$48&lt;&gt;"",EC$5&gt;Mitarbeiter!$F$48),0,IF(Planung!EC50="",$C50,IF(ISNUMBER(Planung!EC50),Planung!EC50,IF(UPPER(Planung!EC50)="H",$C50/2,0)))))))</f>
        <v>0</v>
      </c>
      <c r="ED50" s="27">
        <f>IF($A50="",0,IF(Mitarbeiter!$G$48=FALSE,0,IF(AND(Mitarbeiter!$E$48&lt;&gt;"",ED$5+6&lt;Mitarbeiter!$E$48),0,IF(AND(Mitarbeiter!$F$48&lt;&gt;"",ED$5&gt;Mitarbeiter!$F$48),0,IF(Planung!ED50="",$C50,IF(ISNUMBER(Planung!ED50),Planung!ED50,IF(UPPER(Planung!ED50)="H",$C50/2,0)))))))</f>
        <v>0</v>
      </c>
      <c r="EE50" s="27">
        <f>IF($A50="",0,IF(Mitarbeiter!$G$48=FALSE,0,IF(AND(Mitarbeiter!$E$48&lt;&gt;"",EE$5+6&lt;Mitarbeiter!$E$48),0,IF(AND(Mitarbeiter!$F$48&lt;&gt;"",EE$5&gt;Mitarbeiter!$F$48),0,IF(Planung!EE50="",$C50,IF(ISNUMBER(Planung!EE50),Planung!EE50,IF(UPPER(Planung!EE50)="H",$C50/2,0)))))))</f>
        <v>0</v>
      </c>
      <c r="EF50" s="27">
        <f>IF($A50="",0,IF(Mitarbeiter!$G$48=FALSE,0,IF(AND(Mitarbeiter!$E$48&lt;&gt;"",EF$5+6&lt;Mitarbeiter!$E$48),0,IF(AND(Mitarbeiter!$F$48&lt;&gt;"",EF$5&gt;Mitarbeiter!$F$48),0,IF(Planung!EF50="",$C50,IF(ISNUMBER(Planung!EF50),Planung!EF50,IF(UPPER(Planung!EF50)="H",$C50/2,0)))))))</f>
        <v>0</v>
      </c>
      <c r="EG50" s="27">
        <f>IF($A50="",0,IF(Mitarbeiter!$G$48=FALSE,0,IF(AND(Mitarbeiter!$E$48&lt;&gt;"",EG$5+6&lt;Mitarbeiter!$E$48),0,IF(AND(Mitarbeiter!$F$48&lt;&gt;"",EG$5&gt;Mitarbeiter!$F$48),0,IF(Planung!EG50="",$C50,IF(ISNUMBER(Planung!EG50),Planung!EG50,IF(UPPER(Planung!EG50)="H",$C50/2,0)))))))</f>
        <v>0</v>
      </c>
      <c r="EH50" s="27">
        <f>IF($A50="",0,IF(Mitarbeiter!$G$48=FALSE,0,IF(AND(Mitarbeiter!$E$48&lt;&gt;"",EH$5+6&lt;Mitarbeiter!$E$48),0,IF(AND(Mitarbeiter!$F$48&lt;&gt;"",EH$5&gt;Mitarbeiter!$F$48),0,IF(Planung!EH50="",$C50,IF(ISNUMBER(Planung!EH50),Planung!EH50,IF(UPPER(Planung!EH50)="H",$C50/2,0)))))))</f>
        <v>0</v>
      </c>
      <c r="EI50" s="27">
        <f>IF($A50="",0,IF(Mitarbeiter!$G$48=FALSE,0,IF(AND(Mitarbeiter!$E$48&lt;&gt;"",EI$5+6&lt;Mitarbeiter!$E$48),0,IF(AND(Mitarbeiter!$F$48&lt;&gt;"",EI$5&gt;Mitarbeiter!$F$48),0,IF(Planung!EI50="",$C50,IF(ISNUMBER(Planung!EI50),Planung!EI50,IF(UPPER(Planung!EI50)="H",$C50/2,0)))))))</f>
        <v>0</v>
      </c>
      <c r="EJ50" s="27">
        <f>IF($A50="",0,IF(Mitarbeiter!$G$48=FALSE,0,IF(AND(Mitarbeiter!$E$48&lt;&gt;"",EJ$5+6&lt;Mitarbeiter!$E$48),0,IF(AND(Mitarbeiter!$F$48&lt;&gt;"",EJ$5&gt;Mitarbeiter!$F$48),0,IF(Planung!EJ50="",$C50,IF(ISNUMBER(Planung!EJ50),Planung!EJ50,IF(UPPER(Planung!EJ50)="H",$C50/2,0)))))))</f>
        <v>0</v>
      </c>
      <c r="EK50" s="27">
        <f>IF($A50="",0,IF(Mitarbeiter!$G$48=FALSE,0,IF(AND(Mitarbeiter!$E$48&lt;&gt;"",EK$5+6&lt;Mitarbeiter!$E$48),0,IF(AND(Mitarbeiter!$F$48&lt;&gt;"",EK$5&gt;Mitarbeiter!$F$48),0,IF(Planung!EK50="",$C50,IF(ISNUMBER(Planung!EK50),Planung!EK50,IF(UPPER(Planung!EK50)="H",$C50/2,0)))))))</f>
        <v>0</v>
      </c>
      <c r="EL50" s="27">
        <f>IF($A50="",0,IF(Mitarbeiter!$G$48=FALSE,0,IF(AND(Mitarbeiter!$E$48&lt;&gt;"",EL$5+6&lt;Mitarbeiter!$E$48),0,IF(AND(Mitarbeiter!$F$48&lt;&gt;"",EL$5&gt;Mitarbeiter!$F$48),0,IF(Planung!EL50="",$C50,IF(ISNUMBER(Planung!EL50),Planung!EL50,IF(UPPER(Planung!EL50)="H",$C50/2,0)))))))</f>
        <v>0</v>
      </c>
      <c r="EM50" s="27">
        <f>IF($A50="",0,IF(Mitarbeiter!$G$48=FALSE,0,IF(AND(Mitarbeiter!$E$48&lt;&gt;"",EM$5+6&lt;Mitarbeiter!$E$48),0,IF(AND(Mitarbeiter!$F$48&lt;&gt;"",EM$5&gt;Mitarbeiter!$F$48),0,IF(Planung!EM50="",$C50,IF(ISNUMBER(Planung!EM50),Planung!EM50,IF(UPPER(Planung!EM50)="H",$C50/2,0)))))))</f>
        <v>0</v>
      </c>
      <c r="EN50" s="27">
        <f>IF($A50="",0,IF(Mitarbeiter!$G$48=FALSE,0,IF(AND(Mitarbeiter!$E$48&lt;&gt;"",EN$5+6&lt;Mitarbeiter!$E$48),0,IF(AND(Mitarbeiter!$F$48&lt;&gt;"",EN$5&gt;Mitarbeiter!$F$48),0,IF(Planung!EN50="",$C50,IF(ISNUMBER(Planung!EN50),Planung!EN50,IF(UPPER(Planung!EN50)="H",$C50/2,0)))))))</f>
        <v>0</v>
      </c>
      <c r="EO50" s="27">
        <f>IF($A50="",0,IF(Mitarbeiter!$G$48=FALSE,0,IF(AND(Mitarbeiter!$E$48&lt;&gt;"",EO$5+6&lt;Mitarbeiter!$E$48),0,IF(AND(Mitarbeiter!$F$48&lt;&gt;"",EO$5&gt;Mitarbeiter!$F$48),0,IF(Planung!EO50="",$C50,IF(ISNUMBER(Planung!EO50),Planung!EO50,IF(UPPER(Planung!EO50)="H",$C50/2,0)))))))</f>
        <v>0</v>
      </c>
      <c r="EP50" s="27">
        <f>IF($A50="",0,IF(Mitarbeiter!$G$48=FALSE,0,IF(AND(Mitarbeiter!$E$48&lt;&gt;"",EP$5+6&lt;Mitarbeiter!$E$48),0,IF(AND(Mitarbeiter!$F$48&lt;&gt;"",EP$5&gt;Mitarbeiter!$F$48),0,IF(Planung!EP50="",$C50,IF(ISNUMBER(Planung!EP50),Planung!EP50,IF(UPPER(Planung!EP50)="H",$C50/2,0)))))))</f>
        <v>0</v>
      </c>
      <c r="EQ50" s="27">
        <f>IF($A50="",0,IF(Mitarbeiter!$G$48=FALSE,0,IF(AND(Mitarbeiter!$E$48&lt;&gt;"",EQ$5+6&lt;Mitarbeiter!$E$48),0,IF(AND(Mitarbeiter!$F$48&lt;&gt;"",EQ$5&gt;Mitarbeiter!$F$48),0,IF(Planung!EQ50="",$C50,IF(ISNUMBER(Planung!EQ50),Planung!EQ50,IF(UPPER(Planung!EQ50)="H",$C50/2,0)))))))</f>
        <v>0</v>
      </c>
      <c r="ER50" s="27">
        <f>IF($A50="",0,IF(Mitarbeiter!$G$48=FALSE,0,IF(AND(Mitarbeiter!$E$48&lt;&gt;"",ER$5+6&lt;Mitarbeiter!$E$48),0,IF(AND(Mitarbeiter!$F$48&lt;&gt;"",ER$5&gt;Mitarbeiter!$F$48),0,IF(Planung!ER50="",$C50,IF(ISNUMBER(Planung!ER50),Planung!ER50,IF(UPPER(Planung!ER50)="H",$C50/2,0)))))))</f>
        <v>0</v>
      </c>
      <c r="ES50" s="27">
        <f>IF($A50="",0,IF(Mitarbeiter!$G$48=FALSE,0,IF(AND(Mitarbeiter!$E$48&lt;&gt;"",ES$5+6&lt;Mitarbeiter!$E$48),0,IF(AND(Mitarbeiter!$F$48&lt;&gt;"",ES$5&gt;Mitarbeiter!$F$48),0,IF(Planung!ES50="",$C50,IF(ISNUMBER(Planung!ES50),Planung!ES50,IF(UPPER(Planung!ES50)="H",$C50/2,0)))))))</f>
        <v>0</v>
      </c>
      <c r="ET50" s="27">
        <f>IF($A50="",0,IF(Mitarbeiter!$G$48=FALSE,0,IF(AND(Mitarbeiter!$E$48&lt;&gt;"",ET$5+6&lt;Mitarbeiter!$E$48),0,IF(AND(Mitarbeiter!$F$48&lt;&gt;"",ET$5&gt;Mitarbeiter!$F$48),0,IF(Planung!ET50="",$C50,IF(ISNUMBER(Planung!ET50),Planung!ET50,IF(UPPER(Planung!ET50)="H",$C50/2,0)))))))</f>
        <v>0</v>
      </c>
      <c r="EU50" s="27">
        <f>IF($A50="",0,IF(Mitarbeiter!$G$48=FALSE,0,IF(AND(Mitarbeiter!$E$48&lt;&gt;"",EU$5+6&lt;Mitarbeiter!$E$48),0,IF(AND(Mitarbeiter!$F$48&lt;&gt;"",EU$5&gt;Mitarbeiter!$F$48),0,IF(Planung!EU50="",$C50,IF(ISNUMBER(Planung!EU50),Planung!EU50,IF(UPPER(Planung!EU50)="H",$C50/2,0)))))))</f>
        <v>0</v>
      </c>
      <c r="EV50" s="27">
        <f>IF($A50="",0,IF(Mitarbeiter!$G$48=FALSE,0,IF(AND(Mitarbeiter!$E$48&lt;&gt;"",EV$5+6&lt;Mitarbeiter!$E$48),0,IF(AND(Mitarbeiter!$F$48&lt;&gt;"",EV$5&gt;Mitarbeiter!$F$48),0,IF(Planung!EV50="",$C50,IF(ISNUMBER(Planung!EV50),Planung!EV50,IF(UPPER(Planung!EV50)="H",$C50/2,0)))))))</f>
        <v>0</v>
      </c>
      <c r="EW50" s="27">
        <f>IF($A50="",0,IF(Mitarbeiter!$G$48=FALSE,0,IF(AND(Mitarbeiter!$E$48&lt;&gt;"",EW$5+6&lt;Mitarbeiter!$E$48),0,IF(AND(Mitarbeiter!$F$48&lt;&gt;"",EW$5&gt;Mitarbeiter!$F$48),0,IF(Planung!EW50="",$C50,IF(ISNUMBER(Planung!EW50),Planung!EW50,IF(UPPER(Planung!EW50)="H",$C50/2,0)))))))</f>
        <v>0</v>
      </c>
      <c r="EX50" s="27">
        <f>IF($A50="",0,IF(Mitarbeiter!$G$48=FALSE,0,IF(AND(Mitarbeiter!$E$48&lt;&gt;"",EX$5+6&lt;Mitarbeiter!$E$48),0,IF(AND(Mitarbeiter!$F$48&lt;&gt;"",EX$5&gt;Mitarbeiter!$F$48),0,IF(Planung!EX50="",$C50,IF(ISNUMBER(Planung!EX50),Planung!EX50,IF(UPPER(Planung!EX50)="H",$C50/2,0)))))))</f>
        <v>0</v>
      </c>
      <c r="EY50" s="27">
        <f>IF($A50="",0,IF(Mitarbeiter!$G$48=FALSE,0,IF(AND(Mitarbeiter!$E$48&lt;&gt;"",EY$5+6&lt;Mitarbeiter!$E$48),0,IF(AND(Mitarbeiter!$F$48&lt;&gt;"",EY$5&gt;Mitarbeiter!$F$48),0,IF(Planung!EY50="",$C50,IF(ISNUMBER(Planung!EY50),Planung!EY50,IF(UPPER(Planung!EY50)="H",$C50/2,0)))))))</f>
        <v>0</v>
      </c>
      <c r="EZ50" s="27">
        <f>IF($A50="",0,IF(Mitarbeiter!$G$48=FALSE,0,IF(AND(Mitarbeiter!$E$48&lt;&gt;"",EZ$5+6&lt;Mitarbeiter!$E$48),0,IF(AND(Mitarbeiter!$F$48&lt;&gt;"",EZ$5&gt;Mitarbeiter!$F$48),0,IF(Planung!EZ50="",$C50,IF(ISNUMBER(Planung!EZ50),Planung!EZ50,IF(UPPER(Planung!EZ50)="H",$C50/2,0)))))))</f>
        <v>0</v>
      </c>
      <c r="FA50" s="27">
        <f>IF($A50="",0,IF(Mitarbeiter!$G$48=FALSE,0,IF(AND(Mitarbeiter!$E$48&lt;&gt;"",FA$5+6&lt;Mitarbeiter!$E$48),0,IF(AND(Mitarbeiter!$F$48&lt;&gt;"",FA$5&gt;Mitarbeiter!$F$48),0,IF(Planung!FA50="",$C50,IF(ISNUMBER(Planung!FA50),Planung!FA50,IF(UPPER(Planung!FA50)="H",$C50/2,0)))))))</f>
        <v>0</v>
      </c>
      <c r="FB50" s="27">
        <f>IF($A50="",0,IF(Mitarbeiter!$G$48=FALSE,0,IF(AND(Mitarbeiter!$E$48&lt;&gt;"",FB$5+6&lt;Mitarbeiter!$E$48),0,IF(AND(Mitarbeiter!$F$48&lt;&gt;"",FB$5&gt;Mitarbeiter!$F$48),0,IF(Planung!FB50="",$C50,IF(ISNUMBER(Planung!FB50),Planung!FB50,IF(UPPER(Planung!FB50)="H",$C50/2,0)))))))</f>
        <v>0</v>
      </c>
      <c r="FC50" s="27">
        <f>IF($A50="",0,IF(Mitarbeiter!$G$48=FALSE,0,IF(AND(Mitarbeiter!$E$48&lt;&gt;"",FC$5+6&lt;Mitarbeiter!$E$48),0,IF(AND(Mitarbeiter!$F$48&lt;&gt;"",FC$5&gt;Mitarbeiter!$F$48),0,IF(Planung!FC50="",$C50,IF(ISNUMBER(Planung!FC50),Planung!FC50,IF(UPPER(Planung!FC50)="H",$C50/2,0)))))))</f>
        <v>0</v>
      </c>
      <c r="FD50" s="27">
        <f>IF($A50="",0,IF(Mitarbeiter!$G$48=FALSE,0,IF(AND(Mitarbeiter!$E$48&lt;&gt;"",FD$5+6&lt;Mitarbeiter!$E$48),0,IF(AND(Mitarbeiter!$F$48&lt;&gt;"",FD$5&gt;Mitarbeiter!$F$48),0,IF(Planung!FD50="",$C50,IF(ISNUMBER(Planung!FD50),Planung!FD50,IF(UPPER(Planung!FD50)="H",$C50/2,0)))))))</f>
        <v>0</v>
      </c>
      <c r="FE50" s="27">
        <f>IF($A50="",0,IF(Mitarbeiter!$G$48=FALSE,0,IF(AND(Mitarbeiter!$E$48&lt;&gt;"",FE$5+6&lt;Mitarbeiter!$E$48),0,IF(AND(Mitarbeiter!$F$48&lt;&gt;"",FE$5&gt;Mitarbeiter!$F$48),0,IF(Planung!FE50="",$C50,IF(ISNUMBER(Planung!FE50),Planung!FE50,IF(UPPER(Planung!FE50)="H",$C50/2,0)))))))</f>
        <v>0</v>
      </c>
      <c r="FF50" s="27">
        <f>IF($A50="",0,IF(Mitarbeiter!$G$48=FALSE,0,IF(AND(Mitarbeiter!$E$48&lt;&gt;"",FF$5+6&lt;Mitarbeiter!$E$48),0,IF(AND(Mitarbeiter!$F$48&lt;&gt;"",FF$5&gt;Mitarbeiter!$F$48),0,IF(Planung!FF50="",$C50,IF(ISNUMBER(Planung!FF50),Planung!FF50,IF(UPPER(Planung!FF50)="H",$C50/2,0)))))))</f>
        <v>0</v>
      </c>
      <c r="FG50" s="27">
        <f>IF($A50="",0,IF(Mitarbeiter!$G$48=FALSE,0,IF(AND(Mitarbeiter!$E$48&lt;&gt;"",FG$5+6&lt;Mitarbeiter!$E$48),0,IF(AND(Mitarbeiter!$F$48&lt;&gt;"",FG$5&gt;Mitarbeiter!$F$48),0,IF(Planung!FG50="",$C50,IF(ISNUMBER(Planung!FG50),Planung!FG50,IF(UPPER(Planung!FG50)="H",$C50/2,0)))))))</f>
        <v>0</v>
      </c>
      <c r="FH50" s="27">
        <f>IF($A50="",0,IF(Mitarbeiter!$G$48=FALSE,0,IF(AND(Mitarbeiter!$E$48&lt;&gt;"",FH$5+6&lt;Mitarbeiter!$E$48),0,IF(AND(Mitarbeiter!$F$48&lt;&gt;"",FH$5&gt;Mitarbeiter!$F$48),0,IF(Planung!FH50="",$C50,IF(ISNUMBER(Planung!FH50),Planung!FH50,IF(UPPER(Planung!FH50)="H",$C50/2,0)))))))</f>
        <v>0</v>
      </c>
      <c r="FI50" s="27">
        <f>IF($A50="",0,IF(Mitarbeiter!$G$48=FALSE,0,IF(AND(Mitarbeiter!$E$48&lt;&gt;"",FI$5+6&lt;Mitarbeiter!$E$48),0,IF(AND(Mitarbeiter!$F$48&lt;&gt;"",FI$5&gt;Mitarbeiter!$F$48),0,IF(Planung!FI50="",$C50,IF(ISNUMBER(Planung!FI50),Planung!FI50,IF(UPPER(Planung!FI50)="H",$C50/2,0)))))))</f>
        <v>0</v>
      </c>
      <c r="FJ50" s="27">
        <f>IF($A50="",0,IF(Mitarbeiter!$G$48=FALSE,0,IF(AND(Mitarbeiter!$E$48&lt;&gt;"",FJ$5+6&lt;Mitarbeiter!$E$48),0,IF(AND(Mitarbeiter!$F$48&lt;&gt;"",FJ$5&gt;Mitarbeiter!$F$48),0,IF(Planung!FJ50="",$C50,IF(ISNUMBER(Planung!FJ50),Planung!FJ50,IF(UPPER(Planung!FJ50)="H",$C50/2,0)))))))</f>
        <v>0</v>
      </c>
      <c r="FK50" s="27">
        <f>IF($A50="",0,IF(Mitarbeiter!$G$48=FALSE,0,IF(AND(Mitarbeiter!$E$48&lt;&gt;"",FK$5+6&lt;Mitarbeiter!$E$48),0,IF(AND(Mitarbeiter!$F$48&lt;&gt;"",FK$5&gt;Mitarbeiter!$F$48),0,IF(Planung!FK50="",$C50,IF(ISNUMBER(Planung!FK50),Planung!FK50,IF(UPPER(Planung!FK50)="H",$C50/2,0)))))))</f>
        <v>0</v>
      </c>
      <c r="FL50" s="27">
        <f>IF($A50="",0,IF(Mitarbeiter!$G$48=FALSE,0,IF(AND(Mitarbeiter!$E$48&lt;&gt;"",FL$5+6&lt;Mitarbeiter!$E$48),0,IF(AND(Mitarbeiter!$F$48&lt;&gt;"",FL$5&gt;Mitarbeiter!$F$48),0,IF(Planung!FL50="",$C50,IF(ISNUMBER(Planung!FL50),Planung!FL50,IF(UPPER(Planung!FL50)="H",$C50/2,0)))))))</f>
        <v>0</v>
      </c>
      <c r="FM50" s="27">
        <f>IF($A50="",0,IF(Mitarbeiter!$G$48=FALSE,0,IF(AND(Mitarbeiter!$E$48&lt;&gt;"",FM$5+6&lt;Mitarbeiter!$E$48),0,IF(AND(Mitarbeiter!$F$48&lt;&gt;"",FM$5&gt;Mitarbeiter!$F$48),0,IF(Planung!FM50="",$C50,IF(ISNUMBER(Planung!FM50),Planung!FM50,IF(UPPER(Planung!FM50)="H",$C50/2,0)))))))</f>
        <v>0</v>
      </c>
      <c r="FN50" s="27">
        <f>IF($A50="",0,IF(Mitarbeiter!$G$48=FALSE,0,IF(AND(Mitarbeiter!$E$48&lt;&gt;"",FN$5+6&lt;Mitarbeiter!$E$48),0,IF(AND(Mitarbeiter!$F$48&lt;&gt;"",FN$5&gt;Mitarbeiter!$F$48),0,IF(Planung!FN50="",$C50,IF(ISNUMBER(Planung!FN50),Planung!FN50,IF(UPPER(Planung!FN50)="H",$C50/2,0)))))))</f>
        <v>0</v>
      </c>
      <c r="FO50" s="27">
        <f>IF($A50="",0,IF(Mitarbeiter!$G$48=FALSE,0,IF(AND(Mitarbeiter!$E$48&lt;&gt;"",FO$5+6&lt;Mitarbeiter!$E$48),0,IF(AND(Mitarbeiter!$F$48&lt;&gt;"",FO$5&gt;Mitarbeiter!$F$48),0,IF(Planung!FO50="",$C50,IF(ISNUMBER(Planung!FO50),Planung!FO50,IF(UPPER(Planung!FO50)="H",$C50/2,0)))))))</f>
        <v>0</v>
      </c>
      <c r="FP50" s="27">
        <f>IF($A50="",0,IF(Mitarbeiter!$G$48=FALSE,0,IF(AND(Mitarbeiter!$E$48&lt;&gt;"",FP$5+6&lt;Mitarbeiter!$E$48),0,IF(AND(Mitarbeiter!$F$48&lt;&gt;"",FP$5&gt;Mitarbeiter!$F$48),0,IF(Planung!FP50="",$C50,IF(ISNUMBER(Planung!FP50),Planung!FP50,IF(UPPER(Planung!FP50)="H",$C50/2,0)))))))</f>
        <v>0</v>
      </c>
      <c r="FQ50" s="27">
        <f>IF($A50="",0,IF(Mitarbeiter!$G$48=FALSE,0,IF(AND(Mitarbeiter!$E$48&lt;&gt;"",FQ$5+6&lt;Mitarbeiter!$E$48),0,IF(AND(Mitarbeiter!$F$48&lt;&gt;"",FQ$5&gt;Mitarbeiter!$F$48),0,IF(Planung!FQ50="",$C50,IF(ISNUMBER(Planung!FQ50),Planung!FQ50,IF(UPPER(Planung!FQ50)="H",$C50/2,0)))))))</f>
        <v>0</v>
      </c>
      <c r="FR50" s="27">
        <f>IF($A50="",0,IF(Mitarbeiter!$G$48=FALSE,0,IF(AND(Mitarbeiter!$E$48&lt;&gt;"",FR$5+6&lt;Mitarbeiter!$E$48),0,IF(AND(Mitarbeiter!$F$48&lt;&gt;"",FR$5&gt;Mitarbeiter!$F$48),0,IF(Planung!FR50="",$C50,IF(ISNUMBER(Planung!FR50),Planung!FR50,IF(UPPER(Planung!FR50)="H",$C50/2,0)))))))</f>
        <v>0</v>
      </c>
      <c r="FS50" s="27">
        <f>IF($A50="",0,IF(Mitarbeiter!$G$48=FALSE,0,IF(AND(Mitarbeiter!$E$48&lt;&gt;"",FS$5+6&lt;Mitarbeiter!$E$48),0,IF(AND(Mitarbeiter!$F$48&lt;&gt;"",FS$5&gt;Mitarbeiter!$F$48),0,IF(Planung!FS50="",$C50,IF(ISNUMBER(Planung!FS50),Planung!FS50,IF(UPPER(Planung!FS50)="H",$C50/2,0)))))))</f>
        <v>0</v>
      </c>
      <c r="FT50" s="27">
        <f>IF($A50="",0,IF(Mitarbeiter!$G$48=FALSE,0,IF(AND(Mitarbeiter!$E$48&lt;&gt;"",FT$5+6&lt;Mitarbeiter!$E$48),0,IF(AND(Mitarbeiter!$F$48&lt;&gt;"",FT$5&gt;Mitarbeiter!$F$48),0,IF(Planung!FT50="",$C50,IF(ISNUMBER(Planung!FT50),Planung!FT50,IF(UPPER(Planung!FT50)="H",$C50/2,0)))))))</f>
        <v>0</v>
      </c>
      <c r="FU50" s="27">
        <f>IF($A50="",0,IF(Mitarbeiter!$G$48=FALSE,0,IF(AND(Mitarbeiter!$E$48&lt;&gt;"",FU$5+6&lt;Mitarbeiter!$E$48),0,IF(AND(Mitarbeiter!$F$48&lt;&gt;"",FU$5&gt;Mitarbeiter!$F$48),0,IF(Planung!FU50="",$C50,IF(ISNUMBER(Planung!FU50),Planung!FU50,IF(UPPER(Planung!FU50)="H",$C50/2,0)))))))</f>
        <v>0</v>
      </c>
      <c r="FV50" s="27">
        <f>IF($A50="",0,IF(Mitarbeiter!$G$48=FALSE,0,IF(AND(Mitarbeiter!$E$48&lt;&gt;"",FV$5+6&lt;Mitarbeiter!$E$48),0,IF(AND(Mitarbeiter!$F$48&lt;&gt;"",FV$5&gt;Mitarbeiter!$F$48),0,IF(Planung!FV50="",$C50,IF(ISNUMBER(Planung!FV50),Planung!FV50,IF(UPPER(Planung!FV50)="H",$C50/2,0)))))))</f>
        <v>0</v>
      </c>
      <c r="FW50" s="27">
        <f>IF($A50="",0,IF(Mitarbeiter!$G$48=FALSE,0,IF(AND(Mitarbeiter!$E$48&lt;&gt;"",FW$5+6&lt;Mitarbeiter!$E$48),0,IF(AND(Mitarbeiter!$F$48&lt;&gt;"",FW$5&gt;Mitarbeiter!$F$48),0,IF(Planung!FW50="",$C50,IF(ISNUMBER(Planung!FW50),Planung!FW50,IF(UPPER(Planung!FW50)="H",$C50/2,0)))))))</f>
        <v>0</v>
      </c>
      <c r="FX50" s="27">
        <f>IF($A50="",0,IF(Mitarbeiter!$G$48=FALSE,0,IF(AND(Mitarbeiter!$E$48&lt;&gt;"",FX$5+6&lt;Mitarbeiter!$E$48),0,IF(AND(Mitarbeiter!$F$48&lt;&gt;"",FX$5&gt;Mitarbeiter!$F$48),0,IF(Planung!FX50="",$C50,IF(ISNUMBER(Planung!FX50),Planung!FX50,IF(UPPER(Planung!FX50)="H",$C50/2,0)))))))</f>
        <v>0</v>
      </c>
      <c r="FY50" s="27">
        <f>IF($A50="",0,IF(Mitarbeiter!$G$48=FALSE,0,IF(AND(Mitarbeiter!$E$48&lt;&gt;"",FY$5+6&lt;Mitarbeiter!$E$48),0,IF(AND(Mitarbeiter!$F$48&lt;&gt;"",FY$5&gt;Mitarbeiter!$F$48),0,IF(Planung!FY50="",$C50,IF(ISNUMBER(Planung!FY50),Planung!FY50,IF(UPPER(Planung!FY50)="H",$C50/2,0)))))))</f>
        <v>0</v>
      </c>
      <c r="FZ50" s="27">
        <f>IF($A50="",0,IF(Mitarbeiter!$G$48=FALSE,0,IF(AND(Mitarbeiter!$E$48&lt;&gt;"",FZ$5+6&lt;Mitarbeiter!$E$48),0,IF(AND(Mitarbeiter!$F$48&lt;&gt;"",FZ$5&gt;Mitarbeiter!$F$48),0,IF(Planung!FZ50="",$C50,IF(ISNUMBER(Planung!FZ50),Planung!FZ50,IF(UPPER(Planung!FZ50)="H",$C50/2,0)))))))</f>
        <v>0</v>
      </c>
      <c r="GA50" s="27">
        <f>IF($A50="",0,IF(Mitarbeiter!$G$48=FALSE,0,IF(AND(Mitarbeiter!$E$48&lt;&gt;"",GA$5+6&lt;Mitarbeiter!$E$48),0,IF(AND(Mitarbeiter!$F$48&lt;&gt;"",GA$5&gt;Mitarbeiter!$F$48),0,IF(Planung!GA50="",$C50,IF(ISNUMBER(Planung!GA50),Planung!GA50,IF(UPPER(Planung!GA50)="H",$C50/2,0)))))))</f>
        <v>0</v>
      </c>
      <c r="GB50" s="27">
        <f>IF($A50="",0,IF(Mitarbeiter!$G$48=FALSE,0,IF(AND(Mitarbeiter!$E$48&lt;&gt;"",GB$5+6&lt;Mitarbeiter!$E$48),0,IF(AND(Mitarbeiter!$F$48&lt;&gt;"",GB$5&gt;Mitarbeiter!$F$48),0,IF(Planung!GB50="",$C50,IF(ISNUMBER(Planung!GB50),Planung!GB50,IF(UPPER(Planung!GB50)="H",$C50/2,0)))))))</f>
        <v>0</v>
      </c>
      <c r="GC50" s="27">
        <f>IF($A50="",0,IF(Mitarbeiter!$G$48=FALSE,0,IF(AND(Mitarbeiter!$E$48&lt;&gt;"",GC$5+6&lt;Mitarbeiter!$E$48),0,IF(AND(Mitarbeiter!$F$48&lt;&gt;"",GC$5&gt;Mitarbeiter!$F$48),0,IF(Planung!GC50="",$C50,IF(ISNUMBER(Planung!GC50),Planung!GC50,IF(UPPER(Planung!GC50)="H",$C50/2,0)))))))</f>
        <v>0</v>
      </c>
      <c r="GD50" s="27">
        <f>IF($A50="",0,IF(Mitarbeiter!$G$48=FALSE,0,IF(AND(Mitarbeiter!$E$48&lt;&gt;"",GD$5+6&lt;Mitarbeiter!$E$48),0,IF(AND(Mitarbeiter!$F$48&lt;&gt;"",GD$5&gt;Mitarbeiter!$F$48),0,IF(Planung!GD50="",$C50,IF(ISNUMBER(Planung!GD50),Planung!GD50,IF(UPPER(Planung!GD50)="H",$C50/2,0)))))))</f>
        <v>0</v>
      </c>
      <c r="GE50" s="27">
        <f>IF($A50="",0,IF(Mitarbeiter!$G$48=FALSE,0,IF(AND(Mitarbeiter!$E$48&lt;&gt;"",GE$5+6&lt;Mitarbeiter!$E$48),0,IF(AND(Mitarbeiter!$F$48&lt;&gt;"",GE$5&gt;Mitarbeiter!$F$48),0,IF(Planung!GE50="",$C50,IF(ISNUMBER(Planung!GE50),Planung!GE50,IF(UPPER(Planung!GE50)="H",$C50/2,0)))))))</f>
        <v>0</v>
      </c>
      <c r="GF50" s="27">
        <f>IF($A50="",0,IF(Mitarbeiter!$G$48=FALSE,0,IF(AND(Mitarbeiter!$E$48&lt;&gt;"",GF$5+6&lt;Mitarbeiter!$E$48),0,IF(AND(Mitarbeiter!$F$48&lt;&gt;"",GF$5&gt;Mitarbeiter!$F$48),0,IF(Planung!GF50="",$C50,IF(ISNUMBER(Planung!GF50),Planung!GF50,IF(UPPER(Planung!GF50)="H",$C50/2,0)))))))</f>
        <v>0</v>
      </c>
      <c r="GG50" s="27">
        <f>IF($A50="",0,IF(Mitarbeiter!$G$48=FALSE,0,IF(AND(Mitarbeiter!$E$48&lt;&gt;"",GG$5+6&lt;Mitarbeiter!$E$48),0,IF(AND(Mitarbeiter!$F$48&lt;&gt;"",GG$5&gt;Mitarbeiter!$F$48),0,IF(Planung!GG50="",$C50,IF(ISNUMBER(Planung!GG50),Planung!GG50,IF(UPPER(Planung!GG50)="H",$C50/2,0)))))))</f>
        <v>0</v>
      </c>
      <c r="GH50" s="27">
        <f>IF($A50="",0,IF(Mitarbeiter!$G$48=FALSE,0,IF(AND(Mitarbeiter!$E$48&lt;&gt;"",GH$5+6&lt;Mitarbeiter!$E$48),0,IF(AND(Mitarbeiter!$F$48&lt;&gt;"",GH$5&gt;Mitarbeiter!$F$48),0,IF(Planung!GH50="",$C50,IF(ISNUMBER(Planung!GH50),Planung!GH50,IF(UPPER(Planung!GH50)="H",$C50/2,0)))))))</f>
        <v>0</v>
      </c>
      <c r="GI50" s="27">
        <f>IF($A50="",0,IF(Mitarbeiter!$G$48=FALSE,0,IF(AND(Mitarbeiter!$E$48&lt;&gt;"",GI$5+6&lt;Mitarbeiter!$E$48),0,IF(AND(Mitarbeiter!$F$48&lt;&gt;"",GI$5&gt;Mitarbeiter!$F$48),0,IF(Planung!GI50="",$C50,IF(ISNUMBER(Planung!GI50),Planung!GI50,IF(UPPER(Planung!GI50)="H",$C50/2,0)))))))</f>
        <v>0</v>
      </c>
      <c r="GJ50" s="27">
        <f>IF($A50="",0,IF(Mitarbeiter!$G$48=FALSE,0,IF(AND(Mitarbeiter!$E$48&lt;&gt;"",GJ$5+6&lt;Mitarbeiter!$E$48),0,IF(AND(Mitarbeiter!$F$48&lt;&gt;"",GJ$5&gt;Mitarbeiter!$F$48),0,IF(Planung!GJ50="",$C50,IF(ISNUMBER(Planung!GJ50),Planung!GJ50,IF(UPPER(Planung!GJ50)="H",$C50/2,0)))))))</f>
        <v>0</v>
      </c>
      <c r="GK50" s="27">
        <f>IF($A50="",0,IF(Mitarbeiter!$G$48=FALSE,0,IF(AND(Mitarbeiter!$E$48&lt;&gt;"",GK$5+6&lt;Mitarbeiter!$E$48),0,IF(AND(Mitarbeiter!$F$48&lt;&gt;"",GK$5&gt;Mitarbeiter!$F$48),0,IF(Planung!GK50="",$C50,IF(ISNUMBER(Planung!GK50),Planung!GK50,IF(UPPER(Planung!GK50)="H",$C50/2,0)))))))</f>
        <v>0</v>
      </c>
      <c r="GL50" s="27">
        <f>IF($A50="",0,IF(Mitarbeiter!$G$48=FALSE,0,IF(AND(Mitarbeiter!$E$48&lt;&gt;"",GL$5+6&lt;Mitarbeiter!$E$48),0,IF(AND(Mitarbeiter!$F$48&lt;&gt;"",GL$5&gt;Mitarbeiter!$F$48),0,IF(Planung!GL50="",$C50,IF(ISNUMBER(Planung!GL50),Planung!GL50,IF(UPPER(Planung!GL50)="H",$C50/2,0)))))))</f>
        <v>0</v>
      </c>
      <c r="GM50" s="27">
        <f>IF($A50="",0,IF(Mitarbeiter!$G$48=FALSE,0,IF(AND(Mitarbeiter!$E$48&lt;&gt;"",GM$5+6&lt;Mitarbeiter!$E$48),0,IF(AND(Mitarbeiter!$F$48&lt;&gt;"",GM$5&gt;Mitarbeiter!$F$48),0,IF(Planung!GM50="",$C50,IF(ISNUMBER(Planung!GM50),Planung!GM50,IF(UPPER(Planung!GM50)="H",$C50/2,0)))))))</f>
        <v>0</v>
      </c>
      <c r="GN50" s="27">
        <f>IF($A50="",0,IF(Mitarbeiter!$G$48=FALSE,0,IF(AND(Mitarbeiter!$E$48&lt;&gt;"",GN$5+6&lt;Mitarbeiter!$E$48),0,IF(AND(Mitarbeiter!$F$48&lt;&gt;"",GN$5&gt;Mitarbeiter!$F$48),0,IF(Planung!GN50="",$C50,IF(ISNUMBER(Planung!GN50),Planung!GN50,IF(UPPER(Planung!GN50)="H",$C50/2,0)))))))</f>
        <v>0</v>
      </c>
      <c r="GO50" s="27">
        <f>IF($A50="",0,IF(Mitarbeiter!$G$48=FALSE,0,IF(AND(Mitarbeiter!$E$48&lt;&gt;"",GO$5+6&lt;Mitarbeiter!$E$48),0,IF(AND(Mitarbeiter!$F$48&lt;&gt;"",GO$5&gt;Mitarbeiter!$F$48),0,IF(Planung!GO50="",$C50,IF(ISNUMBER(Planung!GO50),Planung!GO50,IF(UPPER(Planung!GO50)="H",$C50/2,0)))))))</f>
        <v>0</v>
      </c>
      <c r="GP50" s="27">
        <f>IF($A50="",0,IF(Mitarbeiter!$G$48=FALSE,0,IF(AND(Mitarbeiter!$E$48&lt;&gt;"",GP$5+6&lt;Mitarbeiter!$E$48),0,IF(AND(Mitarbeiter!$F$48&lt;&gt;"",GP$5&gt;Mitarbeiter!$F$48),0,IF(Planung!GP50="",$C50,IF(ISNUMBER(Planung!GP50),Planung!GP50,IF(UPPER(Planung!GP50)="H",$C50/2,0)))))))</f>
        <v>0</v>
      </c>
      <c r="GQ50" s="27">
        <f>IF($A50="",0,IF(Mitarbeiter!$G$48=FALSE,0,IF(AND(Mitarbeiter!$E$48&lt;&gt;"",GQ$5+6&lt;Mitarbeiter!$E$48),0,IF(AND(Mitarbeiter!$F$48&lt;&gt;"",GQ$5&gt;Mitarbeiter!$F$48),0,IF(Planung!GQ50="",$C50,IF(ISNUMBER(Planung!GQ50),Planung!GQ50,IF(UPPER(Planung!GQ50)="H",$C50/2,0)))))))</f>
        <v>0</v>
      </c>
      <c r="GR50" s="27">
        <f>IF($A50="",0,IF(Mitarbeiter!$G$48=FALSE,0,IF(AND(Mitarbeiter!$E$48&lt;&gt;"",GR$5+6&lt;Mitarbeiter!$E$48),0,IF(AND(Mitarbeiter!$F$48&lt;&gt;"",GR$5&gt;Mitarbeiter!$F$48),0,IF(Planung!GR50="",$C50,IF(ISNUMBER(Planung!GR50),Planung!GR50,IF(UPPER(Planung!GR50)="H",$C50/2,0)))))))</f>
        <v>0</v>
      </c>
      <c r="GS50" s="27">
        <f>IF($A50="",0,IF(Mitarbeiter!$G$48=FALSE,0,IF(AND(Mitarbeiter!$E$48&lt;&gt;"",GS$5+6&lt;Mitarbeiter!$E$48),0,IF(AND(Mitarbeiter!$F$48&lt;&gt;"",GS$5&gt;Mitarbeiter!$F$48),0,IF(Planung!GS50="",$C50,IF(ISNUMBER(Planung!GS50),Planung!GS50,IF(UPPER(Planung!GS50)="H",$C50/2,0)))))))</f>
        <v>0</v>
      </c>
      <c r="GT50" s="27">
        <f>IF($A50="",0,IF(Mitarbeiter!$G$48=FALSE,0,IF(AND(Mitarbeiter!$E$48&lt;&gt;"",GT$5+6&lt;Mitarbeiter!$E$48),0,IF(AND(Mitarbeiter!$F$48&lt;&gt;"",GT$5&gt;Mitarbeiter!$F$48),0,IF(Planung!GT50="",$C50,IF(ISNUMBER(Planung!GT50),Planung!GT50,IF(UPPER(Planung!GT50)="H",$C50/2,0)))))))</f>
        <v>0</v>
      </c>
      <c r="GU50" s="27">
        <f>IF($A50="",0,IF(Mitarbeiter!$G$48=FALSE,0,IF(AND(Mitarbeiter!$E$48&lt;&gt;"",GU$5+6&lt;Mitarbeiter!$E$48),0,IF(AND(Mitarbeiter!$F$48&lt;&gt;"",GU$5&gt;Mitarbeiter!$F$48),0,IF(Planung!GU50="",$C50,IF(ISNUMBER(Planung!GU50),Planung!GU50,IF(UPPER(Planung!GU50)="H",$C50/2,0)))))))</f>
        <v>0</v>
      </c>
      <c r="GV50" s="27">
        <f>IF($A50="",0,IF(Mitarbeiter!$G$48=FALSE,0,IF(AND(Mitarbeiter!$E$48&lt;&gt;"",GV$5+6&lt;Mitarbeiter!$E$48),0,IF(AND(Mitarbeiter!$F$48&lt;&gt;"",GV$5&gt;Mitarbeiter!$F$48),0,IF(Planung!GV50="",$C50,IF(ISNUMBER(Planung!GV50),Planung!GV50,IF(UPPER(Planung!GV50)="H",$C50/2,0)))))))</f>
        <v>0</v>
      </c>
      <c r="GW50" s="27">
        <f>IF($A50="",0,IF(Mitarbeiter!$G$48=FALSE,0,IF(AND(Mitarbeiter!$E$48&lt;&gt;"",GW$5+6&lt;Mitarbeiter!$E$48),0,IF(AND(Mitarbeiter!$F$48&lt;&gt;"",GW$5&gt;Mitarbeiter!$F$48),0,IF(Planung!GW50="",$C50,IF(ISNUMBER(Planung!GW50),Planung!GW50,IF(UPPER(Planung!GW50)="H",$C50/2,0)))))))</f>
        <v>0</v>
      </c>
      <c r="GX50" s="27">
        <f>IF($A50="",0,IF(Mitarbeiter!$G$48=FALSE,0,IF(AND(Mitarbeiter!$E$48&lt;&gt;"",GX$5+6&lt;Mitarbeiter!$E$48),0,IF(AND(Mitarbeiter!$F$48&lt;&gt;"",GX$5&gt;Mitarbeiter!$F$48),0,IF(Planung!GX50="",$C50,IF(ISNUMBER(Planung!GX50),Planung!GX50,IF(UPPER(Planung!GX50)="H",$C50/2,0)))))))</f>
        <v>0</v>
      </c>
      <c r="GY50" s="27">
        <f>IF($A50="",0,IF(Mitarbeiter!$G$48=FALSE,0,IF(AND(Mitarbeiter!$E$48&lt;&gt;"",GY$5+6&lt;Mitarbeiter!$E$48),0,IF(AND(Mitarbeiter!$F$48&lt;&gt;"",GY$5&gt;Mitarbeiter!$F$48),0,IF(Planung!GY50="",$C50,IF(ISNUMBER(Planung!GY50),Planung!GY50,IF(UPPER(Planung!GY50)="H",$C50/2,0)))))))</f>
        <v>0</v>
      </c>
      <c r="GZ50" s="27">
        <f>IF($A50="",0,IF(Mitarbeiter!$G$48=FALSE,0,IF(AND(Mitarbeiter!$E$48&lt;&gt;"",GZ$5+6&lt;Mitarbeiter!$E$48),0,IF(AND(Mitarbeiter!$F$48&lt;&gt;"",GZ$5&gt;Mitarbeiter!$F$48),0,IF(Planung!GZ50="",$C50,IF(ISNUMBER(Planung!GZ50),Planung!GZ50,IF(UPPER(Planung!GZ50)="H",$C50/2,0)))))))</f>
        <v>0</v>
      </c>
      <c r="HA50" s="27">
        <f>IF($A50="",0,IF(Mitarbeiter!$G$48=FALSE,0,IF(AND(Mitarbeiter!$E$48&lt;&gt;"",HA$5+6&lt;Mitarbeiter!$E$48),0,IF(AND(Mitarbeiter!$F$48&lt;&gt;"",HA$5&gt;Mitarbeiter!$F$48),0,IF(Planung!HA50="",$C50,IF(ISNUMBER(Planung!HA50),Planung!HA50,IF(UPPER(Planung!HA50)="H",$C50/2,0)))))))</f>
        <v>0</v>
      </c>
      <c r="HB50" s="27">
        <f>IF($A50="",0,IF(Mitarbeiter!$G$48=FALSE,0,IF(AND(Mitarbeiter!$E$48&lt;&gt;"",HB$5+6&lt;Mitarbeiter!$E$48),0,IF(AND(Mitarbeiter!$F$48&lt;&gt;"",HB$5&gt;Mitarbeiter!$F$48),0,IF(Planung!HB50="",$C50,IF(ISNUMBER(Planung!HB50),Planung!HB50,IF(UPPER(Planung!HB50)="H",$C50/2,0)))))))</f>
        <v>0</v>
      </c>
      <c r="HC50" s="27">
        <f>IF($A50="",0,IF(Mitarbeiter!$G$48=FALSE,0,IF(AND(Mitarbeiter!$E$48&lt;&gt;"",HC$5+6&lt;Mitarbeiter!$E$48),0,IF(AND(Mitarbeiter!$F$48&lt;&gt;"",HC$5&gt;Mitarbeiter!$F$48),0,IF(Planung!HC50="",$C50,IF(ISNUMBER(Planung!HC50),Planung!HC50,IF(UPPER(Planung!HC50)="H",$C50/2,0)))))))</f>
        <v>0</v>
      </c>
      <c r="HD50" s="27">
        <f>IF($A50="",0,IF(Mitarbeiter!$G$48=FALSE,0,IF(AND(Mitarbeiter!$E$48&lt;&gt;"",HD$5+6&lt;Mitarbeiter!$E$48),0,IF(AND(Mitarbeiter!$F$48&lt;&gt;"",HD$5&gt;Mitarbeiter!$F$48),0,IF(Planung!HD50="",$C50,IF(ISNUMBER(Planung!HD50),Planung!HD50,IF(UPPER(Planung!HD50)="H",$C50/2,0)))))))</f>
        <v>0</v>
      </c>
      <c r="HE50" s="27">
        <f>IF($A50="",0,IF(Mitarbeiter!$G$48=FALSE,0,IF(AND(Mitarbeiter!$E$48&lt;&gt;"",HE$5+6&lt;Mitarbeiter!$E$48),0,IF(AND(Mitarbeiter!$F$48&lt;&gt;"",HE$5&gt;Mitarbeiter!$F$48),0,IF(Planung!HE50="",$C50,IF(ISNUMBER(Planung!HE50),Planung!HE50,IF(UPPER(Planung!HE50)="H",$C50/2,0)))))))</f>
        <v>0</v>
      </c>
      <c r="HF50" s="27">
        <f>IF($A50="",0,IF(Mitarbeiter!$G$48=FALSE,0,IF(AND(Mitarbeiter!$E$48&lt;&gt;"",HF$5+6&lt;Mitarbeiter!$E$48),0,IF(AND(Mitarbeiter!$F$48&lt;&gt;"",HF$5&gt;Mitarbeiter!$F$48),0,IF(Planung!HF50="",$C50,IF(ISNUMBER(Planung!HF50),Planung!HF50,IF(UPPER(Planung!HF50)="H",$C50/2,0)))))))</f>
        <v>0</v>
      </c>
      <c r="HG50" s="27">
        <f>IF($A50="",0,IF(Mitarbeiter!$G$48=FALSE,0,IF(AND(Mitarbeiter!$E$48&lt;&gt;"",HG$5+6&lt;Mitarbeiter!$E$48),0,IF(AND(Mitarbeiter!$F$48&lt;&gt;"",HG$5&gt;Mitarbeiter!$F$48),0,IF(Planung!HG50="",$C50,IF(ISNUMBER(Planung!HG50),Planung!HG50,IF(UPPER(Planung!HG50)="H",$C50/2,0)))))))</f>
        <v>0</v>
      </c>
      <c r="HH50" s="27">
        <f>IF($A50="",0,IF(Mitarbeiter!$G$48=FALSE,0,IF(AND(Mitarbeiter!$E$48&lt;&gt;"",HH$5+6&lt;Mitarbeiter!$E$48),0,IF(AND(Mitarbeiter!$F$48&lt;&gt;"",HH$5&gt;Mitarbeiter!$F$48),0,IF(Planung!HH50="",$C50,IF(ISNUMBER(Planung!HH50),Planung!HH50,IF(UPPER(Planung!HH50)="H",$C50/2,0)))))))</f>
        <v>0</v>
      </c>
      <c r="HI50" s="27">
        <f>IF($A50="",0,IF(Mitarbeiter!$G$48=FALSE,0,IF(AND(Mitarbeiter!$E$48&lt;&gt;"",HI$5+6&lt;Mitarbeiter!$E$48),0,IF(AND(Mitarbeiter!$F$48&lt;&gt;"",HI$5&gt;Mitarbeiter!$F$48),0,IF(Planung!HI50="",$C50,IF(ISNUMBER(Planung!HI50),Planung!HI50,IF(UPPER(Planung!HI50)="H",$C50/2,0)))))))</f>
        <v>0</v>
      </c>
      <c r="HJ50" s="27">
        <f>IF($A50="",0,IF(Mitarbeiter!$G$48=FALSE,0,IF(AND(Mitarbeiter!$E$48&lt;&gt;"",HJ$5+6&lt;Mitarbeiter!$E$48),0,IF(AND(Mitarbeiter!$F$48&lt;&gt;"",HJ$5&gt;Mitarbeiter!$F$48),0,IF(Planung!HJ50="",$C50,IF(ISNUMBER(Planung!HJ50),Planung!HJ50,IF(UPPER(Planung!HJ50)="H",$C50/2,0)))))))</f>
        <v>0</v>
      </c>
      <c r="HK50" s="27">
        <f>IF($A50="",0,IF(Mitarbeiter!$G$48=FALSE,0,IF(AND(Mitarbeiter!$E$48&lt;&gt;"",HK$5+6&lt;Mitarbeiter!$E$48),0,IF(AND(Mitarbeiter!$F$48&lt;&gt;"",HK$5&gt;Mitarbeiter!$F$48),0,IF(Planung!HK50="",$C50,IF(ISNUMBER(Planung!HK50),Planung!HK50,IF(UPPER(Planung!HK50)="H",$C50/2,0)))))))</f>
        <v>0</v>
      </c>
      <c r="HL50" s="27">
        <f>IF($A50="",0,IF(Mitarbeiter!$G$48=FALSE,0,IF(AND(Mitarbeiter!$E$48&lt;&gt;"",HL$5+6&lt;Mitarbeiter!$E$48),0,IF(AND(Mitarbeiter!$F$48&lt;&gt;"",HL$5&gt;Mitarbeiter!$F$48),0,IF(Planung!HL50="",$C50,IF(ISNUMBER(Planung!HL50),Planung!HL50,IF(UPPER(Planung!HL50)="H",$C50/2,0)))))))</f>
        <v>0</v>
      </c>
      <c r="HM50" s="27">
        <f>IF($A50="",0,IF(Mitarbeiter!$G$48=FALSE,0,IF(AND(Mitarbeiter!$E$48&lt;&gt;"",HM$5+6&lt;Mitarbeiter!$E$48),0,IF(AND(Mitarbeiter!$F$48&lt;&gt;"",HM$5&gt;Mitarbeiter!$F$48),0,IF(Planung!HM50="",$C50,IF(ISNUMBER(Planung!HM50),Planung!HM50,IF(UPPER(Planung!HM50)="H",$C50/2,0)))))))</f>
        <v>0</v>
      </c>
      <c r="HN50" s="27">
        <f>IF($A50="",0,IF(Mitarbeiter!$G$48=FALSE,0,IF(AND(Mitarbeiter!$E$48&lt;&gt;"",HN$5+6&lt;Mitarbeiter!$E$48),0,IF(AND(Mitarbeiter!$F$48&lt;&gt;"",HN$5&gt;Mitarbeiter!$F$48),0,IF(Planung!HN50="",$C50,IF(ISNUMBER(Planung!HN50),Planung!HN50,IF(UPPER(Planung!HN50)="H",$C50/2,0)))))))</f>
        <v>0</v>
      </c>
      <c r="HO50" s="27">
        <f>IF($A50="",0,IF(Mitarbeiter!$G$48=FALSE,0,IF(AND(Mitarbeiter!$E$48&lt;&gt;"",HO$5+6&lt;Mitarbeiter!$E$48),0,IF(AND(Mitarbeiter!$F$48&lt;&gt;"",HO$5&gt;Mitarbeiter!$F$48),0,IF(Planung!HO50="",$C50,IF(ISNUMBER(Planung!HO50),Planung!HO50,IF(UPPER(Planung!HO50)="H",$C50/2,0)))))))</f>
        <v>0</v>
      </c>
      <c r="HP50" s="27">
        <f>IF($A50="",0,IF(Mitarbeiter!$G$48=FALSE,0,IF(AND(Mitarbeiter!$E$48&lt;&gt;"",HP$5+6&lt;Mitarbeiter!$E$48),0,IF(AND(Mitarbeiter!$F$48&lt;&gt;"",HP$5&gt;Mitarbeiter!$F$48),0,IF(Planung!HP50="",$C50,IF(ISNUMBER(Planung!HP50),Planung!HP50,IF(UPPER(Planung!HP50)="H",$C50/2,0)))))))</f>
        <v>0</v>
      </c>
      <c r="HQ50" s="27">
        <f>IF($A50="",0,IF(Mitarbeiter!$G$48=FALSE,0,IF(AND(Mitarbeiter!$E$48&lt;&gt;"",HQ$5+6&lt;Mitarbeiter!$E$48),0,IF(AND(Mitarbeiter!$F$48&lt;&gt;"",HQ$5&gt;Mitarbeiter!$F$48),0,IF(Planung!HQ50="",$C50,IF(ISNUMBER(Planung!HQ50),Planung!HQ50,IF(UPPER(Planung!HQ50)="H",$C50/2,0)))))))</f>
        <v>0</v>
      </c>
      <c r="HR50" s="27">
        <f>IF($A50="",0,IF(Mitarbeiter!$G$48=FALSE,0,IF(AND(Mitarbeiter!$E$48&lt;&gt;"",HR$5+6&lt;Mitarbeiter!$E$48),0,IF(AND(Mitarbeiter!$F$48&lt;&gt;"",HR$5&gt;Mitarbeiter!$F$48),0,IF(Planung!HR50="",$C50,IF(ISNUMBER(Planung!HR50),Planung!HR50,IF(UPPER(Planung!HR50)="H",$C50/2,0)))))))</f>
        <v>0</v>
      </c>
      <c r="HS50" s="27">
        <f>IF($A50="",0,IF(Mitarbeiter!$G$48=FALSE,0,IF(AND(Mitarbeiter!$E$48&lt;&gt;"",HS$5+6&lt;Mitarbeiter!$E$48),0,IF(AND(Mitarbeiter!$F$48&lt;&gt;"",HS$5&gt;Mitarbeiter!$F$48),0,IF(Planung!HS50="",$C50,IF(ISNUMBER(Planung!HS50),Planung!HS50,IF(UPPER(Planung!HS50)="H",$C50/2,0)))))))</f>
        <v>0</v>
      </c>
      <c r="HT50" s="27">
        <f>IF($A50="",0,IF(Mitarbeiter!$G$48=FALSE,0,IF(AND(Mitarbeiter!$E$48&lt;&gt;"",HT$5+6&lt;Mitarbeiter!$E$48),0,IF(AND(Mitarbeiter!$F$48&lt;&gt;"",HT$5&gt;Mitarbeiter!$F$48),0,IF(Planung!HT50="",$C50,IF(ISNUMBER(Planung!HT50),Planung!HT50,IF(UPPER(Planung!HT50)="H",$C50/2,0)))))))</f>
        <v>0</v>
      </c>
      <c r="HU50" s="27">
        <f>IF($A50="",0,IF(Mitarbeiter!$G$48=FALSE,0,IF(AND(Mitarbeiter!$E$48&lt;&gt;"",HU$5+6&lt;Mitarbeiter!$E$48),0,IF(AND(Mitarbeiter!$F$48&lt;&gt;"",HU$5&gt;Mitarbeiter!$F$48),0,IF(Planung!HU50="",$C50,IF(ISNUMBER(Planung!HU50),Planung!HU50,IF(UPPER(Planung!HU50)="H",$C50/2,0)))))))</f>
        <v>0</v>
      </c>
      <c r="HV50" s="27">
        <f>IF($A50="",0,IF(Mitarbeiter!$G$48=FALSE,0,IF(AND(Mitarbeiter!$E$48&lt;&gt;"",HV$5+6&lt;Mitarbeiter!$E$48),0,IF(AND(Mitarbeiter!$F$48&lt;&gt;"",HV$5&gt;Mitarbeiter!$F$48),0,IF(Planung!HV50="",$C50,IF(ISNUMBER(Planung!HV50),Planung!HV50,IF(UPPER(Planung!HV50)="H",$C50/2,0)))))))</f>
        <v>0</v>
      </c>
      <c r="HW50" s="27">
        <f>IF($A50="",0,IF(Mitarbeiter!$G$48=FALSE,0,IF(AND(Mitarbeiter!$E$48&lt;&gt;"",HW$5+6&lt;Mitarbeiter!$E$48),0,IF(AND(Mitarbeiter!$F$48&lt;&gt;"",HW$5&gt;Mitarbeiter!$F$48),0,IF(Planung!HW50="",$C50,IF(ISNUMBER(Planung!HW50),Planung!HW50,IF(UPPER(Planung!HW50)="H",$C50/2,0)))))))</f>
        <v>0</v>
      </c>
      <c r="HX50" s="27">
        <f>IF($A50="",0,IF(Mitarbeiter!$G$48=FALSE,0,IF(AND(Mitarbeiter!$E$48&lt;&gt;"",HX$5+6&lt;Mitarbeiter!$E$48),0,IF(AND(Mitarbeiter!$F$48&lt;&gt;"",HX$5&gt;Mitarbeiter!$F$48),0,IF(Planung!HX50="",$C50,IF(ISNUMBER(Planung!HX50),Planung!HX50,IF(UPPER(Planung!HX50)="H",$C50/2,0)))))))</f>
        <v>0</v>
      </c>
      <c r="HY50" s="27">
        <f>IF($A50="",0,IF(Mitarbeiter!$G$48=FALSE,0,IF(AND(Mitarbeiter!$E$48&lt;&gt;"",HY$5+6&lt;Mitarbeiter!$E$48),0,IF(AND(Mitarbeiter!$F$48&lt;&gt;"",HY$5&gt;Mitarbeiter!$F$48),0,IF(Planung!HY50="",$C50,IF(ISNUMBER(Planung!HY50),Planung!HY50,IF(UPPER(Planung!HY50)="H",$C50/2,0)))))))</f>
        <v>0</v>
      </c>
      <c r="HZ50" s="27">
        <f>IF($A50="",0,IF(Mitarbeiter!$G$48=FALSE,0,IF(AND(Mitarbeiter!$E$48&lt;&gt;"",HZ$5+6&lt;Mitarbeiter!$E$48),0,IF(AND(Mitarbeiter!$F$48&lt;&gt;"",HZ$5&gt;Mitarbeiter!$F$48),0,IF(Planung!HZ50="",$C50,IF(ISNUMBER(Planung!HZ50),Planung!HZ50,IF(UPPER(Planung!HZ50)="H",$C50/2,0)))))))</f>
        <v>0</v>
      </c>
      <c r="IA50" s="27">
        <f>IF($A50="",0,IF(Mitarbeiter!$G$48=FALSE,0,IF(AND(Mitarbeiter!$E$48&lt;&gt;"",IA$5+6&lt;Mitarbeiter!$E$48),0,IF(AND(Mitarbeiter!$F$48&lt;&gt;"",IA$5&gt;Mitarbeiter!$F$48),0,IF(Planung!IA50="",$C50,IF(ISNUMBER(Planung!IA50),Planung!IA50,IF(UPPER(Planung!IA50)="H",$C50/2,0)))))))</f>
        <v>0</v>
      </c>
    </row>
    <row r="51" spans="1:235" x14ac:dyDescent="0.25">
      <c r="A51" s="7" t="str">
        <f>Planung!A51</f>
        <v/>
      </c>
      <c r="B51" s="7" t="str">
        <f>Planung!B51</f>
        <v/>
      </c>
      <c r="C51" s="27">
        <f>N(Mitarbeiter!$D$49)</f>
        <v>0</v>
      </c>
      <c r="D51" s="27">
        <f>IF($A51="",0,IF(Mitarbeiter!$G$49=FALSE,0,IF(AND(Mitarbeiter!$E$49&lt;&gt;"",D$5+6&lt;Mitarbeiter!$E$49),0,IF(AND(Mitarbeiter!$F$49&lt;&gt;"",D$5&gt;Mitarbeiter!$F$49),0,IF(Planung!D51="",$C51,IF(ISNUMBER(Planung!D51),Planung!D51,IF(UPPER(Planung!D51)="H",$C51/2,0)))))))</f>
        <v>0</v>
      </c>
      <c r="E51" s="27">
        <f>IF($A51="",0,IF(Mitarbeiter!$G$49=FALSE,0,IF(AND(Mitarbeiter!$E$49&lt;&gt;"",E$5+6&lt;Mitarbeiter!$E$49),0,IF(AND(Mitarbeiter!$F$49&lt;&gt;"",E$5&gt;Mitarbeiter!$F$49),0,IF(Planung!E51="",$C51,IF(ISNUMBER(Planung!E51),Planung!E51,IF(UPPER(Planung!E51)="H",$C51/2,0)))))))</f>
        <v>0</v>
      </c>
      <c r="F51" s="27">
        <f>IF($A51="",0,IF(Mitarbeiter!$G$49=FALSE,0,IF(AND(Mitarbeiter!$E$49&lt;&gt;"",F$5+6&lt;Mitarbeiter!$E$49),0,IF(AND(Mitarbeiter!$F$49&lt;&gt;"",F$5&gt;Mitarbeiter!$F$49),0,IF(Planung!F51="",$C51,IF(ISNUMBER(Planung!F51),Planung!F51,IF(UPPER(Planung!F51)="H",$C51/2,0)))))))</f>
        <v>0</v>
      </c>
      <c r="G51" s="27">
        <f>IF($A51="",0,IF(Mitarbeiter!$G$49=FALSE,0,IF(AND(Mitarbeiter!$E$49&lt;&gt;"",G$5+6&lt;Mitarbeiter!$E$49),0,IF(AND(Mitarbeiter!$F$49&lt;&gt;"",G$5&gt;Mitarbeiter!$F$49),0,IF(Planung!G51="",$C51,IF(ISNUMBER(Planung!G51),Planung!G51,IF(UPPER(Planung!G51)="H",$C51/2,0)))))))</f>
        <v>0</v>
      </c>
      <c r="H51" s="27">
        <f>IF($A51="",0,IF(Mitarbeiter!$G$49=FALSE,0,IF(AND(Mitarbeiter!$E$49&lt;&gt;"",H$5+6&lt;Mitarbeiter!$E$49),0,IF(AND(Mitarbeiter!$F$49&lt;&gt;"",H$5&gt;Mitarbeiter!$F$49),0,IF(Planung!H51="",$C51,IF(ISNUMBER(Planung!H51),Planung!H51,IF(UPPER(Planung!H51)="H",$C51/2,0)))))))</f>
        <v>0</v>
      </c>
      <c r="I51" s="27">
        <f>IF($A51="",0,IF(Mitarbeiter!$G$49=FALSE,0,IF(AND(Mitarbeiter!$E$49&lt;&gt;"",I$5+6&lt;Mitarbeiter!$E$49),0,IF(AND(Mitarbeiter!$F$49&lt;&gt;"",I$5&gt;Mitarbeiter!$F$49),0,IF(Planung!I51="",$C51,IF(ISNUMBER(Planung!I51),Planung!I51,IF(UPPER(Planung!I51)="H",$C51/2,0)))))))</f>
        <v>0</v>
      </c>
      <c r="J51" s="27">
        <f>IF($A51="",0,IF(Mitarbeiter!$G$49=FALSE,0,IF(AND(Mitarbeiter!$E$49&lt;&gt;"",J$5+6&lt;Mitarbeiter!$E$49),0,IF(AND(Mitarbeiter!$F$49&lt;&gt;"",J$5&gt;Mitarbeiter!$F$49),0,IF(Planung!J51="",$C51,IF(ISNUMBER(Planung!J51),Planung!J51,IF(UPPER(Planung!J51)="H",$C51/2,0)))))))</f>
        <v>0</v>
      </c>
      <c r="K51" s="27">
        <f>IF($A51="",0,IF(Mitarbeiter!$G$49=FALSE,0,IF(AND(Mitarbeiter!$E$49&lt;&gt;"",K$5+6&lt;Mitarbeiter!$E$49),0,IF(AND(Mitarbeiter!$F$49&lt;&gt;"",K$5&gt;Mitarbeiter!$F$49),0,IF(Planung!K51="",$C51,IF(ISNUMBER(Planung!K51),Planung!K51,IF(UPPER(Planung!K51)="H",$C51/2,0)))))))</f>
        <v>0</v>
      </c>
      <c r="L51" s="27">
        <f>IF($A51="",0,IF(Mitarbeiter!$G$49=FALSE,0,IF(AND(Mitarbeiter!$E$49&lt;&gt;"",L$5+6&lt;Mitarbeiter!$E$49),0,IF(AND(Mitarbeiter!$F$49&lt;&gt;"",L$5&gt;Mitarbeiter!$F$49),0,IF(Planung!L51="",$C51,IF(ISNUMBER(Planung!L51),Planung!L51,IF(UPPER(Planung!L51)="H",$C51/2,0)))))))</f>
        <v>0</v>
      </c>
      <c r="M51" s="27">
        <f>IF($A51="",0,IF(Mitarbeiter!$G$49=FALSE,0,IF(AND(Mitarbeiter!$E$49&lt;&gt;"",M$5+6&lt;Mitarbeiter!$E$49),0,IF(AND(Mitarbeiter!$F$49&lt;&gt;"",M$5&gt;Mitarbeiter!$F$49),0,IF(Planung!M51="",$C51,IF(ISNUMBER(Planung!M51),Planung!M51,IF(UPPER(Planung!M51)="H",$C51/2,0)))))))</f>
        <v>0</v>
      </c>
      <c r="N51" s="27">
        <f>IF($A51="",0,IF(Mitarbeiter!$G$49=FALSE,0,IF(AND(Mitarbeiter!$E$49&lt;&gt;"",N$5+6&lt;Mitarbeiter!$E$49),0,IF(AND(Mitarbeiter!$F$49&lt;&gt;"",N$5&gt;Mitarbeiter!$F$49),0,IF(Planung!N51="",$C51,IF(ISNUMBER(Planung!N51),Planung!N51,IF(UPPER(Planung!N51)="H",$C51/2,0)))))))</f>
        <v>0</v>
      </c>
      <c r="O51" s="27">
        <f>IF($A51="",0,IF(Mitarbeiter!$G$49=FALSE,0,IF(AND(Mitarbeiter!$E$49&lt;&gt;"",O$5+6&lt;Mitarbeiter!$E$49),0,IF(AND(Mitarbeiter!$F$49&lt;&gt;"",O$5&gt;Mitarbeiter!$F$49),0,IF(Planung!O51="",$C51,IF(ISNUMBER(Planung!O51),Planung!O51,IF(UPPER(Planung!O51)="H",$C51/2,0)))))))</f>
        <v>0</v>
      </c>
      <c r="P51" s="27">
        <f>IF($A51="",0,IF(Mitarbeiter!$G$49=FALSE,0,IF(AND(Mitarbeiter!$E$49&lt;&gt;"",P$5+6&lt;Mitarbeiter!$E$49),0,IF(AND(Mitarbeiter!$F$49&lt;&gt;"",P$5&gt;Mitarbeiter!$F$49),0,IF(Planung!P51="",$C51,IF(ISNUMBER(Planung!P51),Planung!P51,IF(UPPER(Planung!P51)="H",$C51/2,0)))))))</f>
        <v>0</v>
      </c>
      <c r="Q51" s="27">
        <f>IF($A51="",0,IF(Mitarbeiter!$G$49=FALSE,0,IF(AND(Mitarbeiter!$E$49&lt;&gt;"",Q$5+6&lt;Mitarbeiter!$E$49),0,IF(AND(Mitarbeiter!$F$49&lt;&gt;"",Q$5&gt;Mitarbeiter!$F$49),0,IF(Planung!Q51="",$C51,IF(ISNUMBER(Planung!Q51),Planung!Q51,IF(UPPER(Planung!Q51)="H",$C51/2,0)))))))</f>
        <v>0</v>
      </c>
      <c r="R51" s="27">
        <f>IF($A51="",0,IF(Mitarbeiter!$G$49=FALSE,0,IF(AND(Mitarbeiter!$E$49&lt;&gt;"",R$5+6&lt;Mitarbeiter!$E$49),0,IF(AND(Mitarbeiter!$F$49&lt;&gt;"",R$5&gt;Mitarbeiter!$F$49),0,IF(Planung!R51="",$C51,IF(ISNUMBER(Planung!R51),Planung!R51,IF(UPPER(Planung!R51)="H",$C51/2,0)))))))</f>
        <v>0</v>
      </c>
      <c r="S51" s="27">
        <f>IF($A51="",0,IF(Mitarbeiter!$G$49=FALSE,0,IF(AND(Mitarbeiter!$E$49&lt;&gt;"",S$5+6&lt;Mitarbeiter!$E$49),0,IF(AND(Mitarbeiter!$F$49&lt;&gt;"",S$5&gt;Mitarbeiter!$F$49),0,IF(Planung!S51="",$C51,IF(ISNUMBER(Planung!S51),Planung!S51,IF(UPPER(Planung!S51)="H",$C51/2,0)))))))</f>
        <v>0</v>
      </c>
      <c r="T51" s="27">
        <f>IF($A51="",0,IF(Mitarbeiter!$G$49=FALSE,0,IF(AND(Mitarbeiter!$E$49&lt;&gt;"",T$5+6&lt;Mitarbeiter!$E$49),0,IF(AND(Mitarbeiter!$F$49&lt;&gt;"",T$5&gt;Mitarbeiter!$F$49),0,IF(Planung!T51="",$C51,IF(ISNUMBER(Planung!T51),Planung!T51,IF(UPPER(Planung!T51)="H",$C51/2,0)))))))</f>
        <v>0</v>
      </c>
      <c r="U51" s="27">
        <f>IF($A51="",0,IF(Mitarbeiter!$G$49=FALSE,0,IF(AND(Mitarbeiter!$E$49&lt;&gt;"",U$5+6&lt;Mitarbeiter!$E$49),0,IF(AND(Mitarbeiter!$F$49&lt;&gt;"",U$5&gt;Mitarbeiter!$F$49),0,IF(Planung!U51="",$C51,IF(ISNUMBER(Planung!U51),Planung!U51,IF(UPPER(Planung!U51)="H",$C51/2,0)))))))</f>
        <v>0</v>
      </c>
      <c r="V51" s="27">
        <f>IF($A51="",0,IF(Mitarbeiter!$G$49=FALSE,0,IF(AND(Mitarbeiter!$E$49&lt;&gt;"",V$5+6&lt;Mitarbeiter!$E$49),0,IF(AND(Mitarbeiter!$F$49&lt;&gt;"",V$5&gt;Mitarbeiter!$F$49),0,IF(Planung!V51="",$C51,IF(ISNUMBER(Planung!V51),Planung!V51,IF(UPPER(Planung!V51)="H",$C51/2,0)))))))</f>
        <v>0</v>
      </c>
      <c r="W51" s="27">
        <f>IF($A51="",0,IF(Mitarbeiter!$G$49=FALSE,0,IF(AND(Mitarbeiter!$E$49&lt;&gt;"",W$5+6&lt;Mitarbeiter!$E$49),0,IF(AND(Mitarbeiter!$F$49&lt;&gt;"",W$5&gt;Mitarbeiter!$F$49),0,IF(Planung!W51="",$C51,IF(ISNUMBER(Planung!W51),Planung!W51,IF(UPPER(Planung!W51)="H",$C51/2,0)))))))</f>
        <v>0</v>
      </c>
      <c r="X51" s="27">
        <f>IF($A51="",0,IF(Mitarbeiter!$G$49=FALSE,0,IF(AND(Mitarbeiter!$E$49&lt;&gt;"",X$5+6&lt;Mitarbeiter!$E$49),0,IF(AND(Mitarbeiter!$F$49&lt;&gt;"",X$5&gt;Mitarbeiter!$F$49),0,IF(Planung!X51="",$C51,IF(ISNUMBER(Planung!X51),Planung!X51,IF(UPPER(Planung!X51)="H",$C51/2,0)))))))</f>
        <v>0</v>
      </c>
      <c r="Y51" s="27">
        <f>IF($A51="",0,IF(Mitarbeiter!$G$49=FALSE,0,IF(AND(Mitarbeiter!$E$49&lt;&gt;"",Y$5+6&lt;Mitarbeiter!$E$49),0,IF(AND(Mitarbeiter!$F$49&lt;&gt;"",Y$5&gt;Mitarbeiter!$F$49),0,IF(Planung!Y51="",$C51,IF(ISNUMBER(Planung!Y51),Planung!Y51,IF(UPPER(Planung!Y51)="H",$C51/2,0)))))))</f>
        <v>0</v>
      </c>
      <c r="Z51" s="27">
        <f>IF($A51="",0,IF(Mitarbeiter!$G$49=FALSE,0,IF(AND(Mitarbeiter!$E$49&lt;&gt;"",Z$5+6&lt;Mitarbeiter!$E$49),0,IF(AND(Mitarbeiter!$F$49&lt;&gt;"",Z$5&gt;Mitarbeiter!$F$49),0,IF(Planung!Z51="",$C51,IF(ISNUMBER(Planung!Z51),Planung!Z51,IF(UPPER(Planung!Z51)="H",$C51/2,0)))))))</f>
        <v>0</v>
      </c>
      <c r="AA51" s="27">
        <f>IF($A51="",0,IF(Mitarbeiter!$G$49=FALSE,0,IF(AND(Mitarbeiter!$E$49&lt;&gt;"",AA$5+6&lt;Mitarbeiter!$E$49),0,IF(AND(Mitarbeiter!$F$49&lt;&gt;"",AA$5&gt;Mitarbeiter!$F$49),0,IF(Planung!AA51="",$C51,IF(ISNUMBER(Planung!AA51),Planung!AA51,IF(UPPER(Planung!AA51)="H",$C51/2,0)))))))</f>
        <v>0</v>
      </c>
      <c r="AB51" s="27">
        <f>IF($A51="",0,IF(Mitarbeiter!$G$49=FALSE,0,IF(AND(Mitarbeiter!$E$49&lt;&gt;"",AB$5+6&lt;Mitarbeiter!$E$49),0,IF(AND(Mitarbeiter!$F$49&lt;&gt;"",AB$5&gt;Mitarbeiter!$F$49),0,IF(Planung!AB51="",$C51,IF(ISNUMBER(Planung!AB51),Planung!AB51,IF(UPPER(Planung!AB51)="H",$C51/2,0)))))))</f>
        <v>0</v>
      </c>
      <c r="AC51" s="27">
        <f>IF($A51="",0,IF(Mitarbeiter!$G$49=FALSE,0,IF(AND(Mitarbeiter!$E$49&lt;&gt;"",AC$5+6&lt;Mitarbeiter!$E$49),0,IF(AND(Mitarbeiter!$F$49&lt;&gt;"",AC$5&gt;Mitarbeiter!$F$49),0,IF(Planung!AC51="",$C51,IF(ISNUMBER(Planung!AC51),Planung!AC51,IF(UPPER(Planung!AC51)="H",$C51/2,0)))))))</f>
        <v>0</v>
      </c>
      <c r="AD51" s="27">
        <f>IF($A51="",0,IF(Mitarbeiter!$G$49=FALSE,0,IF(AND(Mitarbeiter!$E$49&lt;&gt;"",AD$5+6&lt;Mitarbeiter!$E$49),0,IF(AND(Mitarbeiter!$F$49&lt;&gt;"",AD$5&gt;Mitarbeiter!$F$49),0,IF(Planung!AD51="",$C51,IF(ISNUMBER(Planung!AD51),Planung!AD51,IF(UPPER(Planung!AD51)="H",$C51/2,0)))))))</f>
        <v>0</v>
      </c>
      <c r="AE51" s="27">
        <f>IF($A51="",0,IF(Mitarbeiter!$G$49=FALSE,0,IF(AND(Mitarbeiter!$E$49&lt;&gt;"",AE$5+6&lt;Mitarbeiter!$E$49),0,IF(AND(Mitarbeiter!$F$49&lt;&gt;"",AE$5&gt;Mitarbeiter!$F$49),0,IF(Planung!AE51="",$C51,IF(ISNUMBER(Planung!AE51),Planung!AE51,IF(UPPER(Planung!AE51)="H",$C51/2,0)))))))</f>
        <v>0</v>
      </c>
      <c r="AF51" s="27">
        <f>IF($A51="",0,IF(Mitarbeiter!$G$49=FALSE,0,IF(AND(Mitarbeiter!$E$49&lt;&gt;"",AF$5+6&lt;Mitarbeiter!$E$49),0,IF(AND(Mitarbeiter!$F$49&lt;&gt;"",AF$5&gt;Mitarbeiter!$F$49),0,IF(Planung!AF51="",$C51,IF(ISNUMBER(Planung!AF51),Planung!AF51,IF(UPPER(Planung!AF51)="H",$C51/2,0)))))))</f>
        <v>0</v>
      </c>
      <c r="AG51" s="27">
        <f>IF($A51="",0,IF(Mitarbeiter!$G$49=FALSE,0,IF(AND(Mitarbeiter!$E$49&lt;&gt;"",AG$5+6&lt;Mitarbeiter!$E$49),0,IF(AND(Mitarbeiter!$F$49&lt;&gt;"",AG$5&gt;Mitarbeiter!$F$49),0,IF(Planung!AG51="",$C51,IF(ISNUMBER(Planung!AG51),Planung!AG51,IF(UPPER(Planung!AG51)="H",$C51/2,0)))))))</f>
        <v>0</v>
      </c>
      <c r="AH51" s="27">
        <f>IF($A51="",0,IF(Mitarbeiter!$G$49=FALSE,0,IF(AND(Mitarbeiter!$E$49&lt;&gt;"",AH$5+6&lt;Mitarbeiter!$E$49),0,IF(AND(Mitarbeiter!$F$49&lt;&gt;"",AH$5&gt;Mitarbeiter!$F$49),0,IF(Planung!AH51="",$C51,IF(ISNUMBER(Planung!AH51),Planung!AH51,IF(UPPER(Planung!AH51)="H",$C51/2,0)))))))</f>
        <v>0</v>
      </c>
      <c r="AI51" s="27">
        <f>IF($A51="",0,IF(Mitarbeiter!$G$49=FALSE,0,IF(AND(Mitarbeiter!$E$49&lt;&gt;"",AI$5+6&lt;Mitarbeiter!$E$49),0,IF(AND(Mitarbeiter!$F$49&lt;&gt;"",AI$5&gt;Mitarbeiter!$F$49),0,IF(Planung!AI51="",$C51,IF(ISNUMBER(Planung!AI51),Planung!AI51,IF(UPPER(Planung!AI51)="H",$C51/2,0)))))))</f>
        <v>0</v>
      </c>
      <c r="AJ51" s="27">
        <f>IF($A51="",0,IF(Mitarbeiter!$G$49=FALSE,0,IF(AND(Mitarbeiter!$E$49&lt;&gt;"",AJ$5+6&lt;Mitarbeiter!$E$49),0,IF(AND(Mitarbeiter!$F$49&lt;&gt;"",AJ$5&gt;Mitarbeiter!$F$49),0,IF(Planung!AJ51="",$C51,IF(ISNUMBER(Planung!AJ51),Planung!AJ51,IF(UPPER(Planung!AJ51)="H",$C51/2,0)))))))</f>
        <v>0</v>
      </c>
      <c r="AK51" s="27">
        <f>IF($A51="",0,IF(Mitarbeiter!$G$49=FALSE,0,IF(AND(Mitarbeiter!$E$49&lt;&gt;"",AK$5+6&lt;Mitarbeiter!$E$49),0,IF(AND(Mitarbeiter!$F$49&lt;&gt;"",AK$5&gt;Mitarbeiter!$F$49),0,IF(Planung!AK51="",$C51,IF(ISNUMBER(Planung!AK51),Planung!AK51,IF(UPPER(Planung!AK51)="H",$C51/2,0)))))))</f>
        <v>0</v>
      </c>
      <c r="AL51" s="27">
        <f>IF($A51="",0,IF(Mitarbeiter!$G$49=FALSE,0,IF(AND(Mitarbeiter!$E$49&lt;&gt;"",AL$5+6&lt;Mitarbeiter!$E$49),0,IF(AND(Mitarbeiter!$F$49&lt;&gt;"",AL$5&gt;Mitarbeiter!$F$49),0,IF(Planung!AL51="",$C51,IF(ISNUMBER(Planung!AL51),Planung!AL51,IF(UPPER(Planung!AL51)="H",$C51/2,0)))))))</f>
        <v>0</v>
      </c>
      <c r="AM51" s="27">
        <f>IF($A51="",0,IF(Mitarbeiter!$G$49=FALSE,0,IF(AND(Mitarbeiter!$E$49&lt;&gt;"",AM$5+6&lt;Mitarbeiter!$E$49),0,IF(AND(Mitarbeiter!$F$49&lt;&gt;"",AM$5&gt;Mitarbeiter!$F$49),0,IF(Planung!AM51="",$C51,IF(ISNUMBER(Planung!AM51),Planung!AM51,IF(UPPER(Planung!AM51)="H",$C51/2,0)))))))</f>
        <v>0</v>
      </c>
      <c r="AN51" s="27">
        <f>IF($A51="",0,IF(Mitarbeiter!$G$49=FALSE,0,IF(AND(Mitarbeiter!$E$49&lt;&gt;"",AN$5+6&lt;Mitarbeiter!$E$49),0,IF(AND(Mitarbeiter!$F$49&lt;&gt;"",AN$5&gt;Mitarbeiter!$F$49),0,IF(Planung!AN51="",$C51,IF(ISNUMBER(Planung!AN51),Planung!AN51,IF(UPPER(Planung!AN51)="H",$C51/2,0)))))))</f>
        <v>0</v>
      </c>
      <c r="AO51" s="27">
        <f>IF($A51="",0,IF(Mitarbeiter!$G$49=FALSE,0,IF(AND(Mitarbeiter!$E$49&lt;&gt;"",AO$5+6&lt;Mitarbeiter!$E$49),0,IF(AND(Mitarbeiter!$F$49&lt;&gt;"",AO$5&gt;Mitarbeiter!$F$49),0,IF(Planung!AO51="",$C51,IF(ISNUMBER(Planung!AO51),Planung!AO51,IF(UPPER(Planung!AO51)="H",$C51/2,0)))))))</f>
        <v>0</v>
      </c>
      <c r="AP51" s="27">
        <f>IF($A51="",0,IF(Mitarbeiter!$G$49=FALSE,0,IF(AND(Mitarbeiter!$E$49&lt;&gt;"",AP$5+6&lt;Mitarbeiter!$E$49),0,IF(AND(Mitarbeiter!$F$49&lt;&gt;"",AP$5&gt;Mitarbeiter!$F$49),0,IF(Planung!AP51="",$C51,IF(ISNUMBER(Planung!AP51),Planung!AP51,IF(UPPER(Planung!AP51)="H",$C51/2,0)))))))</f>
        <v>0</v>
      </c>
      <c r="AQ51" s="27">
        <f>IF($A51="",0,IF(Mitarbeiter!$G$49=FALSE,0,IF(AND(Mitarbeiter!$E$49&lt;&gt;"",AQ$5+6&lt;Mitarbeiter!$E$49),0,IF(AND(Mitarbeiter!$F$49&lt;&gt;"",AQ$5&gt;Mitarbeiter!$F$49),0,IF(Planung!AQ51="",$C51,IF(ISNUMBER(Planung!AQ51),Planung!AQ51,IF(UPPER(Planung!AQ51)="H",$C51/2,0)))))))</f>
        <v>0</v>
      </c>
      <c r="AR51" s="27">
        <f>IF($A51="",0,IF(Mitarbeiter!$G$49=FALSE,0,IF(AND(Mitarbeiter!$E$49&lt;&gt;"",AR$5+6&lt;Mitarbeiter!$E$49),0,IF(AND(Mitarbeiter!$F$49&lt;&gt;"",AR$5&gt;Mitarbeiter!$F$49),0,IF(Planung!AR51="",$C51,IF(ISNUMBER(Planung!AR51),Planung!AR51,IF(UPPER(Planung!AR51)="H",$C51/2,0)))))))</f>
        <v>0</v>
      </c>
      <c r="AS51" s="27">
        <f>IF($A51="",0,IF(Mitarbeiter!$G$49=FALSE,0,IF(AND(Mitarbeiter!$E$49&lt;&gt;"",AS$5+6&lt;Mitarbeiter!$E$49),0,IF(AND(Mitarbeiter!$F$49&lt;&gt;"",AS$5&gt;Mitarbeiter!$F$49),0,IF(Planung!AS51="",$C51,IF(ISNUMBER(Planung!AS51),Planung!AS51,IF(UPPER(Planung!AS51)="H",$C51/2,0)))))))</f>
        <v>0</v>
      </c>
      <c r="AT51" s="27">
        <f>IF($A51="",0,IF(Mitarbeiter!$G$49=FALSE,0,IF(AND(Mitarbeiter!$E$49&lt;&gt;"",AT$5+6&lt;Mitarbeiter!$E$49),0,IF(AND(Mitarbeiter!$F$49&lt;&gt;"",AT$5&gt;Mitarbeiter!$F$49),0,IF(Planung!AT51="",$C51,IF(ISNUMBER(Planung!AT51),Planung!AT51,IF(UPPER(Planung!AT51)="H",$C51/2,0)))))))</f>
        <v>0</v>
      </c>
      <c r="AU51" s="27">
        <f>IF($A51="",0,IF(Mitarbeiter!$G$49=FALSE,0,IF(AND(Mitarbeiter!$E$49&lt;&gt;"",AU$5+6&lt;Mitarbeiter!$E$49),0,IF(AND(Mitarbeiter!$F$49&lt;&gt;"",AU$5&gt;Mitarbeiter!$F$49),0,IF(Planung!AU51="",$C51,IF(ISNUMBER(Planung!AU51),Planung!AU51,IF(UPPER(Planung!AU51)="H",$C51/2,0)))))))</f>
        <v>0</v>
      </c>
      <c r="AV51" s="27">
        <f>IF($A51="",0,IF(Mitarbeiter!$G$49=FALSE,0,IF(AND(Mitarbeiter!$E$49&lt;&gt;"",AV$5+6&lt;Mitarbeiter!$E$49),0,IF(AND(Mitarbeiter!$F$49&lt;&gt;"",AV$5&gt;Mitarbeiter!$F$49),0,IF(Planung!AV51="",$C51,IF(ISNUMBER(Planung!AV51),Planung!AV51,IF(UPPER(Planung!AV51)="H",$C51/2,0)))))))</f>
        <v>0</v>
      </c>
      <c r="AW51" s="27">
        <f>IF($A51="",0,IF(Mitarbeiter!$G$49=FALSE,0,IF(AND(Mitarbeiter!$E$49&lt;&gt;"",AW$5+6&lt;Mitarbeiter!$E$49),0,IF(AND(Mitarbeiter!$F$49&lt;&gt;"",AW$5&gt;Mitarbeiter!$F$49),0,IF(Planung!AW51="",$C51,IF(ISNUMBER(Planung!AW51),Planung!AW51,IF(UPPER(Planung!AW51)="H",$C51/2,0)))))))</f>
        <v>0</v>
      </c>
      <c r="AX51" s="27">
        <f>IF($A51="",0,IF(Mitarbeiter!$G$49=FALSE,0,IF(AND(Mitarbeiter!$E$49&lt;&gt;"",AX$5+6&lt;Mitarbeiter!$E$49),0,IF(AND(Mitarbeiter!$F$49&lt;&gt;"",AX$5&gt;Mitarbeiter!$F$49),0,IF(Planung!AX51="",$C51,IF(ISNUMBER(Planung!AX51),Planung!AX51,IF(UPPER(Planung!AX51)="H",$C51/2,0)))))))</f>
        <v>0</v>
      </c>
      <c r="AY51" s="27">
        <f>IF($A51="",0,IF(Mitarbeiter!$G$49=FALSE,0,IF(AND(Mitarbeiter!$E$49&lt;&gt;"",AY$5+6&lt;Mitarbeiter!$E$49),0,IF(AND(Mitarbeiter!$F$49&lt;&gt;"",AY$5&gt;Mitarbeiter!$F$49),0,IF(Planung!AY51="",$C51,IF(ISNUMBER(Planung!AY51),Planung!AY51,IF(UPPER(Planung!AY51)="H",$C51/2,0)))))))</f>
        <v>0</v>
      </c>
      <c r="AZ51" s="27">
        <f>IF($A51="",0,IF(Mitarbeiter!$G$49=FALSE,0,IF(AND(Mitarbeiter!$E$49&lt;&gt;"",AZ$5+6&lt;Mitarbeiter!$E$49),0,IF(AND(Mitarbeiter!$F$49&lt;&gt;"",AZ$5&gt;Mitarbeiter!$F$49),0,IF(Planung!AZ51="",$C51,IF(ISNUMBER(Planung!AZ51),Planung!AZ51,IF(UPPER(Planung!AZ51)="H",$C51/2,0)))))))</f>
        <v>0</v>
      </c>
      <c r="BA51" s="27">
        <f>IF($A51="",0,IF(Mitarbeiter!$G$49=FALSE,0,IF(AND(Mitarbeiter!$E$49&lt;&gt;"",BA$5+6&lt;Mitarbeiter!$E$49),0,IF(AND(Mitarbeiter!$F$49&lt;&gt;"",BA$5&gt;Mitarbeiter!$F$49),0,IF(Planung!BA51="",$C51,IF(ISNUMBER(Planung!BA51),Planung!BA51,IF(UPPER(Planung!BA51)="H",$C51/2,0)))))))</f>
        <v>0</v>
      </c>
      <c r="BB51" s="27">
        <f>IF($A51="",0,IF(Mitarbeiter!$G$49=FALSE,0,IF(AND(Mitarbeiter!$E$49&lt;&gt;"",BB$5+6&lt;Mitarbeiter!$E$49),0,IF(AND(Mitarbeiter!$F$49&lt;&gt;"",BB$5&gt;Mitarbeiter!$F$49),0,IF(Planung!BB51="",$C51,IF(ISNUMBER(Planung!BB51),Planung!BB51,IF(UPPER(Planung!BB51)="H",$C51/2,0)))))))</f>
        <v>0</v>
      </c>
      <c r="BC51" s="27">
        <f>IF($A51="",0,IF(Mitarbeiter!$G$49=FALSE,0,IF(AND(Mitarbeiter!$E$49&lt;&gt;"",BC$5+6&lt;Mitarbeiter!$E$49),0,IF(AND(Mitarbeiter!$F$49&lt;&gt;"",BC$5&gt;Mitarbeiter!$F$49),0,IF(Planung!BC51="",$C51,IF(ISNUMBER(Planung!BC51),Planung!BC51,IF(UPPER(Planung!BC51)="H",$C51/2,0)))))))</f>
        <v>0</v>
      </c>
      <c r="BD51" s="27">
        <f>IF($A51="",0,IF(Mitarbeiter!$G$49=FALSE,0,IF(AND(Mitarbeiter!$E$49&lt;&gt;"",BD$5+6&lt;Mitarbeiter!$E$49),0,IF(AND(Mitarbeiter!$F$49&lt;&gt;"",BD$5&gt;Mitarbeiter!$F$49),0,IF(Planung!BD51="",$C51,IF(ISNUMBER(Planung!BD51),Planung!BD51,IF(UPPER(Planung!BD51)="H",$C51/2,0)))))))</f>
        <v>0</v>
      </c>
      <c r="BE51" s="27">
        <f>IF($A51="",0,IF(Mitarbeiter!$G$49=FALSE,0,IF(AND(Mitarbeiter!$E$49&lt;&gt;"",BE$5+6&lt;Mitarbeiter!$E$49),0,IF(AND(Mitarbeiter!$F$49&lt;&gt;"",BE$5&gt;Mitarbeiter!$F$49),0,IF(Planung!BE51="",$C51,IF(ISNUMBER(Planung!BE51),Planung!BE51,IF(UPPER(Planung!BE51)="H",$C51/2,0)))))))</f>
        <v>0</v>
      </c>
      <c r="BF51" s="27">
        <f>IF($A51="",0,IF(Mitarbeiter!$G$49=FALSE,0,IF(AND(Mitarbeiter!$E$49&lt;&gt;"",BF$5+6&lt;Mitarbeiter!$E$49),0,IF(AND(Mitarbeiter!$F$49&lt;&gt;"",BF$5&gt;Mitarbeiter!$F$49),0,IF(Planung!BF51="",$C51,IF(ISNUMBER(Planung!BF51),Planung!BF51,IF(UPPER(Planung!BF51)="H",$C51/2,0)))))))</f>
        <v>0</v>
      </c>
      <c r="BG51" s="27">
        <f>IF($A51="",0,IF(Mitarbeiter!$G$49=FALSE,0,IF(AND(Mitarbeiter!$E$49&lt;&gt;"",BG$5+6&lt;Mitarbeiter!$E$49),0,IF(AND(Mitarbeiter!$F$49&lt;&gt;"",BG$5&gt;Mitarbeiter!$F$49),0,IF(Planung!BG51="",$C51,IF(ISNUMBER(Planung!BG51),Planung!BG51,IF(UPPER(Planung!BG51)="H",$C51/2,0)))))))</f>
        <v>0</v>
      </c>
      <c r="BH51" s="27">
        <f>IF($A51="",0,IF(Mitarbeiter!$G$49=FALSE,0,IF(AND(Mitarbeiter!$E$49&lt;&gt;"",BH$5+6&lt;Mitarbeiter!$E$49),0,IF(AND(Mitarbeiter!$F$49&lt;&gt;"",BH$5&gt;Mitarbeiter!$F$49),0,IF(Planung!BH51="",$C51,IF(ISNUMBER(Planung!BH51),Planung!BH51,IF(UPPER(Planung!BH51)="H",$C51/2,0)))))))</f>
        <v>0</v>
      </c>
      <c r="BI51" s="27">
        <f>IF($A51="",0,IF(Mitarbeiter!$G$49=FALSE,0,IF(AND(Mitarbeiter!$E$49&lt;&gt;"",BI$5+6&lt;Mitarbeiter!$E$49),0,IF(AND(Mitarbeiter!$F$49&lt;&gt;"",BI$5&gt;Mitarbeiter!$F$49),0,IF(Planung!BI51="",$C51,IF(ISNUMBER(Planung!BI51),Planung!BI51,IF(UPPER(Planung!BI51)="H",$C51/2,0)))))))</f>
        <v>0</v>
      </c>
      <c r="BJ51" s="27">
        <f>IF($A51="",0,IF(Mitarbeiter!$G$49=FALSE,0,IF(AND(Mitarbeiter!$E$49&lt;&gt;"",BJ$5+6&lt;Mitarbeiter!$E$49),0,IF(AND(Mitarbeiter!$F$49&lt;&gt;"",BJ$5&gt;Mitarbeiter!$F$49),0,IF(Planung!BJ51="",$C51,IF(ISNUMBER(Planung!BJ51),Planung!BJ51,IF(UPPER(Planung!BJ51)="H",$C51/2,0)))))))</f>
        <v>0</v>
      </c>
      <c r="BK51" s="27">
        <f>IF($A51="",0,IF(Mitarbeiter!$G$49=FALSE,0,IF(AND(Mitarbeiter!$E$49&lt;&gt;"",BK$5+6&lt;Mitarbeiter!$E$49),0,IF(AND(Mitarbeiter!$F$49&lt;&gt;"",BK$5&gt;Mitarbeiter!$F$49),0,IF(Planung!BK51="",$C51,IF(ISNUMBER(Planung!BK51),Planung!BK51,IF(UPPER(Planung!BK51)="H",$C51/2,0)))))))</f>
        <v>0</v>
      </c>
      <c r="BL51" s="27">
        <f>IF($A51="",0,IF(Mitarbeiter!$G$49=FALSE,0,IF(AND(Mitarbeiter!$E$49&lt;&gt;"",BL$5+6&lt;Mitarbeiter!$E$49),0,IF(AND(Mitarbeiter!$F$49&lt;&gt;"",BL$5&gt;Mitarbeiter!$F$49),0,IF(Planung!BL51="",$C51,IF(ISNUMBER(Planung!BL51),Planung!BL51,IF(UPPER(Planung!BL51)="H",$C51/2,0)))))))</f>
        <v>0</v>
      </c>
      <c r="BM51" s="27">
        <f>IF($A51="",0,IF(Mitarbeiter!$G$49=FALSE,0,IF(AND(Mitarbeiter!$E$49&lt;&gt;"",BM$5+6&lt;Mitarbeiter!$E$49),0,IF(AND(Mitarbeiter!$F$49&lt;&gt;"",BM$5&gt;Mitarbeiter!$F$49),0,IF(Planung!BM51="",$C51,IF(ISNUMBER(Planung!BM51),Planung!BM51,IF(UPPER(Planung!BM51)="H",$C51/2,0)))))))</f>
        <v>0</v>
      </c>
      <c r="BN51" s="27">
        <f>IF($A51="",0,IF(Mitarbeiter!$G$49=FALSE,0,IF(AND(Mitarbeiter!$E$49&lt;&gt;"",BN$5+6&lt;Mitarbeiter!$E$49),0,IF(AND(Mitarbeiter!$F$49&lt;&gt;"",BN$5&gt;Mitarbeiter!$F$49),0,IF(Planung!BN51="",$C51,IF(ISNUMBER(Planung!BN51),Planung!BN51,IF(UPPER(Planung!BN51)="H",$C51/2,0)))))))</f>
        <v>0</v>
      </c>
      <c r="BO51" s="27">
        <f>IF($A51="",0,IF(Mitarbeiter!$G$49=FALSE,0,IF(AND(Mitarbeiter!$E$49&lt;&gt;"",BO$5+6&lt;Mitarbeiter!$E$49),0,IF(AND(Mitarbeiter!$F$49&lt;&gt;"",BO$5&gt;Mitarbeiter!$F$49),0,IF(Planung!BO51="",$C51,IF(ISNUMBER(Planung!BO51),Planung!BO51,IF(UPPER(Planung!BO51)="H",$C51/2,0)))))))</f>
        <v>0</v>
      </c>
      <c r="BP51" s="27">
        <f>IF($A51="",0,IF(Mitarbeiter!$G$49=FALSE,0,IF(AND(Mitarbeiter!$E$49&lt;&gt;"",BP$5+6&lt;Mitarbeiter!$E$49),0,IF(AND(Mitarbeiter!$F$49&lt;&gt;"",BP$5&gt;Mitarbeiter!$F$49),0,IF(Planung!BP51="",$C51,IF(ISNUMBER(Planung!BP51),Planung!BP51,IF(UPPER(Planung!BP51)="H",$C51/2,0)))))))</f>
        <v>0</v>
      </c>
      <c r="BQ51" s="27">
        <f>IF($A51="",0,IF(Mitarbeiter!$G$49=FALSE,0,IF(AND(Mitarbeiter!$E$49&lt;&gt;"",BQ$5+6&lt;Mitarbeiter!$E$49),0,IF(AND(Mitarbeiter!$F$49&lt;&gt;"",BQ$5&gt;Mitarbeiter!$F$49),0,IF(Planung!BQ51="",$C51,IF(ISNUMBER(Planung!BQ51),Planung!BQ51,IF(UPPER(Planung!BQ51)="H",$C51/2,0)))))))</f>
        <v>0</v>
      </c>
      <c r="BR51" s="27">
        <f>IF($A51="",0,IF(Mitarbeiter!$G$49=FALSE,0,IF(AND(Mitarbeiter!$E$49&lt;&gt;"",BR$5+6&lt;Mitarbeiter!$E$49),0,IF(AND(Mitarbeiter!$F$49&lt;&gt;"",BR$5&gt;Mitarbeiter!$F$49),0,IF(Planung!BR51="",$C51,IF(ISNUMBER(Planung!BR51),Planung!BR51,IF(UPPER(Planung!BR51)="H",$C51/2,0)))))))</f>
        <v>0</v>
      </c>
      <c r="BS51" s="27">
        <f>IF($A51="",0,IF(Mitarbeiter!$G$49=FALSE,0,IF(AND(Mitarbeiter!$E$49&lt;&gt;"",BS$5+6&lt;Mitarbeiter!$E$49),0,IF(AND(Mitarbeiter!$F$49&lt;&gt;"",BS$5&gt;Mitarbeiter!$F$49),0,IF(Planung!BS51="",$C51,IF(ISNUMBER(Planung!BS51),Planung!BS51,IF(UPPER(Planung!BS51)="H",$C51/2,0)))))))</f>
        <v>0</v>
      </c>
      <c r="BT51" s="27">
        <f>IF($A51="",0,IF(Mitarbeiter!$G$49=FALSE,0,IF(AND(Mitarbeiter!$E$49&lt;&gt;"",BT$5+6&lt;Mitarbeiter!$E$49),0,IF(AND(Mitarbeiter!$F$49&lt;&gt;"",BT$5&gt;Mitarbeiter!$F$49),0,IF(Planung!BT51="",$C51,IF(ISNUMBER(Planung!BT51),Planung!BT51,IF(UPPER(Planung!BT51)="H",$C51/2,0)))))))</f>
        <v>0</v>
      </c>
      <c r="BU51" s="27">
        <f>IF($A51="",0,IF(Mitarbeiter!$G$49=FALSE,0,IF(AND(Mitarbeiter!$E$49&lt;&gt;"",BU$5+6&lt;Mitarbeiter!$E$49),0,IF(AND(Mitarbeiter!$F$49&lt;&gt;"",BU$5&gt;Mitarbeiter!$F$49),0,IF(Planung!BU51="",$C51,IF(ISNUMBER(Planung!BU51),Planung!BU51,IF(UPPER(Planung!BU51)="H",$C51/2,0)))))))</f>
        <v>0</v>
      </c>
      <c r="BV51" s="27">
        <f>IF($A51="",0,IF(Mitarbeiter!$G$49=FALSE,0,IF(AND(Mitarbeiter!$E$49&lt;&gt;"",BV$5+6&lt;Mitarbeiter!$E$49),0,IF(AND(Mitarbeiter!$F$49&lt;&gt;"",BV$5&gt;Mitarbeiter!$F$49),0,IF(Planung!BV51="",$C51,IF(ISNUMBER(Planung!BV51),Planung!BV51,IF(UPPER(Planung!BV51)="H",$C51/2,0)))))))</f>
        <v>0</v>
      </c>
      <c r="BW51" s="27">
        <f>IF($A51="",0,IF(Mitarbeiter!$G$49=FALSE,0,IF(AND(Mitarbeiter!$E$49&lt;&gt;"",BW$5+6&lt;Mitarbeiter!$E$49),0,IF(AND(Mitarbeiter!$F$49&lt;&gt;"",BW$5&gt;Mitarbeiter!$F$49),0,IF(Planung!BW51="",$C51,IF(ISNUMBER(Planung!BW51),Planung!BW51,IF(UPPER(Planung!BW51)="H",$C51/2,0)))))))</f>
        <v>0</v>
      </c>
      <c r="BX51" s="27">
        <f>IF($A51="",0,IF(Mitarbeiter!$G$49=FALSE,0,IF(AND(Mitarbeiter!$E$49&lt;&gt;"",BX$5+6&lt;Mitarbeiter!$E$49),0,IF(AND(Mitarbeiter!$F$49&lt;&gt;"",BX$5&gt;Mitarbeiter!$F$49),0,IF(Planung!BX51="",$C51,IF(ISNUMBER(Planung!BX51),Planung!BX51,IF(UPPER(Planung!BX51)="H",$C51/2,0)))))))</f>
        <v>0</v>
      </c>
      <c r="BY51" s="27">
        <f>IF($A51="",0,IF(Mitarbeiter!$G$49=FALSE,0,IF(AND(Mitarbeiter!$E$49&lt;&gt;"",BY$5+6&lt;Mitarbeiter!$E$49),0,IF(AND(Mitarbeiter!$F$49&lt;&gt;"",BY$5&gt;Mitarbeiter!$F$49),0,IF(Planung!BY51="",$C51,IF(ISNUMBER(Planung!BY51),Planung!BY51,IF(UPPER(Planung!BY51)="H",$C51/2,0)))))))</f>
        <v>0</v>
      </c>
      <c r="BZ51" s="27">
        <f>IF($A51="",0,IF(Mitarbeiter!$G$49=FALSE,0,IF(AND(Mitarbeiter!$E$49&lt;&gt;"",BZ$5+6&lt;Mitarbeiter!$E$49),0,IF(AND(Mitarbeiter!$F$49&lt;&gt;"",BZ$5&gt;Mitarbeiter!$F$49),0,IF(Planung!BZ51="",$C51,IF(ISNUMBER(Planung!BZ51),Planung!BZ51,IF(UPPER(Planung!BZ51)="H",$C51/2,0)))))))</f>
        <v>0</v>
      </c>
      <c r="CA51" s="27">
        <f>IF($A51="",0,IF(Mitarbeiter!$G$49=FALSE,0,IF(AND(Mitarbeiter!$E$49&lt;&gt;"",CA$5+6&lt;Mitarbeiter!$E$49),0,IF(AND(Mitarbeiter!$F$49&lt;&gt;"",CA$5&gt;Mitarbeiter!$F$49),0,IF(Planung!CA51="",$C51,IF(ISNUMBER(Planung!CA51),Planung!CA51,IF(UPPER(Planung!CA51)="H",$C51/2,0)))))))</f>
        <v>0</v>
      </c>
      <c r="CB51" s="27">
        <f>IF($A51="",0,IF(Mitarbeiter!$G$49=FALSE,0,IF(AND(Mitarbeiter!$E$49&lt;&gt;"",CB$5+6&lt;Mitarbeiter!$E$49),0,IF(AND(Mitarbeiter!$F$49&lt;&gt;"",CB$5&gt;Mitarbeiter!$F$49),0,IF(Planung!CB51="",$C51,IF(ISNUMBER(Planung!CB51),Planung!CB51,IF(UPPER(Planung!CB51)="H",$C51/2,0)))))))</f>
        <v>0</v>
      </c>
      <c r="CC51" s="27">
        <f>IF($A51="",0,IF(Mitarbeiter!$G$49=FALSE,0,IF(AND(Mitarbeiter!$E$49&lt;&gt;"",CC$5+6&lt;Mitarbeiter!$E$49),0,IF(AND(Mitarbeiter!$F$49&lt;&gt;"",CC$5&gt;Mitarbeiter!$F$49),0,IF(Planung!CC51="",$C51,IF(ISNUMBER(Planung!CC51),Planung!CC51,IF(UPPER(Planung!CC51)="H",$C51/2,0)))))))</f>
        <v>0</v>
      </c>
      <c r="CD51" s="27">
        <f>IF($A51="",0,IF(Mitarbeiter!$G$49=FALSE,0,IF(AND(Mitarbeiter!$E$49&lt;&gt;"",CD$5+6&lt;Mitarbeiter!$E$49),0,IF(AND(Mitarbeiter!$F$49&lt;&gt;"",CD$5&gt;Mitarbeiter!$F$49),0,IF(Planung!CD51="",$C51,IF(ISNUMBER(Planung!CD51),Planung!CD51,IF(UPPER(Planung!CD51)="H",$C51/2,0)))))))</f>
        <v>0</v>
      </c>
      <c r="CE51" s="27">
        <f>IF($A51="",0,IF(Mitarbeiter!$G$49=FALSE,0,IF(AND(Mitarbeiter!$E$49&lt;&gt;"",CE$5+6&lt;Mitarbeiter!$E$49),0,IF(AND(Mitarbeiter!$F$49&lt;&gt;"",CE$5&gt;Mitarbeiter!$F$49),0,IF(Planung!CE51="",$C51,IF(ISNUMBER(Planung!CE51),Planung!CE51,IF(UPPER(Planung!CE51)="H",$C51/2,0)))))))</f>
        <v>0</v>
      </c>
      <c r="CF51" s="27">
        <f>IF($A51="",0,IF(Mitarbeiter!$G$49=FALSE,0,IF(AND(Mitarbeiter!$E$49&lt;&gt;"",CF$5+6&lt;Mitarbeiter!$E$49),0,IF(AND(Mitarbeiter!$F$49&lt;&gt;"",CF$5&gt;Mitarbeiter!$F$49),0,IF(Planung!CF51="",$C51,IF(ISNUMBER(Planung!CF51),Planung!CF51,IF(UPPER(Planung!CF51)="H",$C51/2,0)))))))</f>
        <v>0</v>
      </c>
      <c r="CG51" s="27">
        <f>IF($A51="",0,IF(Mitarbeiter!$G$49=FALSE,0,IF(AND(Mitarbeiter!$E$49&lt;&gt;"",CG$5+6&lt;Mitarbeiter!$E$49),0,IF(AND(Mitarbeiter!$F$49&lt;&gt;"",CG$5&gt;Mitarbeiter!$F$49),0,IF(Planung!CG51="",$C51,IF(ISNUMBER(Planung!CG51),Planung!CG51,IF(UPPER(Planung!CG51)="H",$C51/2,0)))))))</f>
        <v>0</v>
      </c>
      <c r="CH51" s="27">
        <f>IF($A51="",0,IF(Mitarbeiter!$G$49=FALSE,0,IF(AND(Mitarbeiter!$E$49&lt;&gt;"",CH$5+6&lt;Mitarbeiter!$E$49),0,IF(AND(Mitarbeiter!$F$49&lt;&gt;"",CH$5&gt;Mitarbeiter!$F$49),0,IF(Planung!CH51="",$C51,IF(ISNUMBER(Planung!CH51),Planung!CH51,IF(UPPER(Planung!CH51)="H",$C51/2,0)))))))</f>
        <v>0</v>
      </c>
      <c r="CI51" s="27">
        <f>IF($A51="",0,IF(Mitarbeiter!$G$49=FALSE,0,IF(AND(Mitarbeiter!$E$49&lt;&gt;"",CI$5+6&lt;Mitarbeiter!$E$49),0,IF(AND(Mitarbeiter!$F$49&lt;&gt;"",CI$5&gt;Mitarbeiter!$F$49),0,IF(Planung!CI51="",$C51,IF(ISNUMBER(Planung!CI51),Planung!CI51,IF(UPPER(Planung!CI51)="H",$C51/2,0)))))))</f>
        <v>0</v>
      </c>
      <c r="CJ51" s="27">
        <f>IF($A51="",0,IF(Mitarbeiter!$G$49=FALSE,0,IF(AND(Mitarbeiter!$E$49&lt;&gt;"",CJ$5+6&lt;Mitarbeiter!$E$49),0,IF(AND(Mitarbeiter!$F$49&lt;&gt;"",CJ$5&gt;Mitarbeiter!$F$49),0,IF(Planung!CJ51="",$C51,IF(ISNUMBER(Planung!CJ51),Planung!CJ51,IF(UPPER(Planung!CJ51)="H",$C51/2,0)))))))</f>
        <v>0</v>
      </c>
      <c r="CK51" s="27">
        <f>IF($A51="",0,IF(Mitarbeiter!$G$49=FALSE,0,IF(AND(Mitarbeiter!$E$49&lt;&gt;"",CK$5+6&lt;Mitarbeiter!$E$49),0,IF(AND(Mitarbeiter!$F$49&lt;&gt;"",CK$5&gt;Mitarbeiter!$F$49),0,IF(Planung!CK51="",$C51,IF(ISNUMBER(Planung!CK51),Planung!CK51,IF(UPPER(Planung!CK51)="H",$C51/2,0)))))))</f>
        <v>0</v>
      </c>
      <c r="CL51" s="27">
        <f>IF($A51="",0,IF(Mitarbeiter!$G$49=FALSE,0,IF(AND(Mitarbeiter!$E$49&lt;&gt;"",CL$5+6&lt;Mitarbeiter!$E$49),0,IF(AND(Mitarbeiter!$F$49&lt;&gt;"",CL$5&gt;Mitarbeiter!$F$49),0,IF(Planung!CL51="",$C51,IF(ISNUMBER(Planung!CL51),Planung!CL51,IF(UPPER(Planung!CL51)="H",$C51/2,0)))))))</f>
        <v>0</v>
      </c>
      <c r="CM51" s="27">
        <f>IF($A51="",0,IF(Mitarbeiter!$G$49=FALSE,0,IF(AND(Mitarbeiter!$E$49&lt;&gt;"",CM$5+6&lt;Mitarbeiter!$E$49),0,IF(AND(Mitarbeiter!$F$49&lt;&gt;"",CM$5&gt;Mitarbeiter!$F$49),0,IF(Planung!CM51="",$C51,IF(ISNUMBER(Planung!CM51),Planung!CM51,IF(UPPER(Planung!CM51)="H",$C51/2,0)))))))</f>
        <v>0</v>
      </c>
      <c r="CN51" s="27">
        <f>IF($A51="",0,IF(Mitarbeiter!$G$49=FALSE,0,IF(AND(Mitarbeiter!$E$49&lt;&gt;"",CN$5+6&lt;Mitarbeiter!$E$49),0,IF(AND(Mitarbeiter!$F$49&lt;&gt;"",CN$5&gt;Mitarbeiter!$F$49),0,IF(Planung!CN51="",$C51,IF(ISNUMBER(Planung!CN51),Planung!CN51,IF(UPPER(Planung!CN51)="H",$C51/2,0)))))))</f>
        <v>0</v>
      </c>
      <c r="CO51" s="27">
        <f>IF($A51="",0,IF(Mitarbeiter!$G$49=FALSE,0,IF(AND(Mitarbeiter!$E$49&lt;&gt;"",CO$5+6&lt;Mitarbeiter!$E$49),0,IF(AND(Mitarbeiter!$F$49&lt;&gt;"",CO$5&gt;Mitarbeiter!$F$49),0,IF(Planung!CO51="",$C51,IF(ISNUMBER(Planung!CO51),Planung!CO51,IF(UPPER(Planung!CO51)="H",$C51/2,0)))))))</f>
        <v>0</v>
      </c>
      <c r="CP51" s="27">
        <f>IF($A51="",0,IF(Mitarbeiter!$G$49=FALSE,0,IF(AND(Mitarbeiter!$E$49&lt;&gt;"",CP$5+6&lt;Mitarbeiter!$E$49),0,IF(AND(Mitarbeiter!$F$49&lt;&gt;"",CP$5&gt;Mitarbeiter!$F$49),0,IF(Planung!CP51="",$C51,IF(ISNUMBER(Planung!CP51),Planung!CP51,IF(UPPER(Planung!CP51)="H",$C51/2,0)))))))</f>
        <v>0</v>
      </c>
      <c r="CQ51" s="27">
        <f>IF($A51="",0,IF(Mitarbeiter!$G$49=FALSE,0,IF(AND(Mitarbeiter!$E$49&lt;&gt;"",CQ$5+6&lt;Mitarbeiter!$E$49),0,IF(AND(Mitarbeiter!$F$49&lt;&gt;"",CQ$5&gt;Mitarbeiter!$F$49),0,IF(Planung!CQ51="",$C51,IF(ISNUMBER(Planung!CQ51),Planung!CQ51,IF(UPPER(Planung!CQ51)="H",$C51/2,0)))))))</f>
        <v>0</v>
      </c>
      <c r="CR51" s="27">
        <f>IF($A51="",0,IF(Mitarbeiter!$G$49=FALSE,0,IF(AND(Mitarbeiter!$E$49&lt;&gt;"",CR$5+6&lt;Mitarbeiter!$E$49),0,IF(AND(Mitarbeiter!$F$49&lt;&gt;"",CR$5&gt;Mitarbeiter!$F$49),0,IF(Planung!CR51="",$C51,IF(ISNUMBER(Planung!CR51),Planung!CR51,IF(UPPER(Planung!CR51)="H",$C51/2,0)))))))</f>
        <v>0</v>
      </c>
      <c r="CS51" s="27">
        <f>IF($A51="",0,IF(Mitarbeiter!$G$49=FALSE,0,IF(AND(Mitarbeiter!$E$49&lt;&gt;"",CS$5+6&lt;Mitarbeiter!$E$49),0,IF(AND(Mitarbeiter!$F$49&lt;&gt;"",CS$5&gt;Mitarbeiter!$F$49),0,IF(Planung!CS51="",$C51,IF(ISNUMBER(Planung!CS51),Planung!CS51,IF(UPPER(Planung!CS51)="H",$C51/2,0)))))))</f>
        <v>0</v>
      </c>
      <c r="CT51" s="27">
        <f>IF($A51="",0,IF(Mitarbeiter!$G$49=FALSE,0,IF(AND(Mitarbeiter!$E$49&lt;&gt;"",CT$5+6&lt;Mitarbeiter!$E$49),0,IF(AND(Mitarbeiter!$F$49&lt;&gt;"",CT$5&gt;Mitarbeiter!$F$49),0,IF(Planung!CT51="",$C51,IF(ISNUMBER(Planung!CT51),Planung!CT51,IF(UPPER(Planung!CT51)="H",$C51/2,0)))))))</f>
        <v>0</v>
      </c>
      <c r="CU51" s="27">
        <f>IF($A51="",0,IF(Mitarbeiter!$G$49=FALSE,0,IF(AND(Mitarbeiter!$E$49&lt;&gt;"",CU$5+6&lt;Mitarbeiter!$E$49),0,IF(AND(Mitarbeiter!$F$49&lt;&gt;"",CU$5&gt;Mitarbeiter!$F$49),0,IF(Planung!CU51="",$C51,IF(ISNUMBER(Planung!CU51),Planung!CU51,IF(UPPER(Planung!CU51)="H",$C51/2,0)))))))</f>
        <v>0</v>
      </c>
      <c r="CV51" s="27">
        <f>IF($A51="",0,IF(Mitarbeiter!$G$49=FALSE,0,IF(AND(Mitarbeiter!$E$49&lt;&gt;"",CV$5+6&lt;Mitarbeiter!$E$49),0,IF(AND(Mitarbeiter!$F$49&lt;&gt;"",CV$5&gt;Mitarbeiter!$F$49),0,IF(Planung!CV51="",$C51,IF(ISNUMBER(Planung!CV51),Planung!CV51,IF(UPPER(Planung!CV51)="H",$C51/2,0)))))))</f>
        <v>0</v>
      </c>
      <c r="CW51" s="27">
        <f>IF($A51="",0,IF(Mitarbeiter!$G$49=FALSE,0,IF(AND(Mitarbeiter!$E$49&lt;&gt;"",CW$5+6&lt;Mitarbeiter!$E$49),0,IF(AND(Mitarbeiter!$F$49&lt;&gt;"",CW$5&gt;Mitarbeiter!$F$49),0,IF(Planung!CW51="",$C51,IF(ISNUMBER(Planung!CW51),Planung!CW51,IF(UPPER(Planung!CW51)="H",$C51/2,0)))))))</f>
        <v>0</v>
      </c>
      <c r="CX51" s="27">
        <f>IF($A51="",0,IF(Mitarbeiter!$G$49=FALSE,0,IF(AND(Mitarbeiter!$E$49&lt;&gt;"",CX$5+6&lt;Mitarbeiter!$E$49),0,IF(AND(Mitarbeiter!$F$49&lt;&gt;"",CX$5&gt;Mitarbeiter!$F$49),0,IF(Planung!CX51="",$C51,IF(ISNUMBER(Planung!CX51),Planung!CX51,IF(UPPER(Planung!CX51)="H",$C51/2,0)))))))</f>
        <v>0</v>
      </c>
      <c r="CY51" s="27">
        <f>IF($A51="",0,IF(Mitarbeiter!$G$49=FALSE,0,IF(AND(Mitarbeiter!$E$49&lt;&gt;"",CY$5+6&lt;Mitarbeiter!$E$49),0,IF(AND(Mitarbeiter!$F$49&lt;&gt;"",CY$5&gt;Mitarbeiter!$F$49),0,IF(Planung!CY51="",$C51,IF(ISNUMBER(Planung!CY51),Planung!CY51,IF(UPPER(Planung!CY51)="H",$C51/2,0)))))))</f>
        <v>0</v>
      </c>
      <c r="CZ51" s="27">
        <f>IF($A51="",0,IF(Mitarbeiter!$G$49=FALSE,0,IF(AND(Mitarbeiter!$E$49&lt;&gt;"",CZ$5+6&lt;Mitarbeiter!$E$49),0,IF(AND(Mitarbeiter!$F$49&lt;&gt;"",CZ$5&gt;Mitarbeiter!$F$49),0,IF(Planung!CZ51="",$C51,IF(ISNUMBER(Planung!CZ51),Planung!CZ51,IF(UPPER(Planung!CZ51)="H",$C51/2,0)))))))</f>
        <v>0</v>
      </c>
      <c r="DA51" s="27">
        <f>IF($A51="",0,IF(Mitarbeiter!$G$49=FALSE,0,IF(AND(Mitarbeiter!$E$49&lt;&gt;"",DA$5+6&lt;Mitarbeiter!$E$49),0,IF(AND(Mitarbeiter!$F$49&lt;&gt;"",DA$5&gt;Mitarbeiter!$F$49),0,IF(Planung!DA51="",$C51,IF(ISNUMBER(Planung!DA51),Planung!DA51,IF(UPPER(Planung!DA51)="H",$C51/2,0)))))))</f>
        <v>0</v>
      </c>
      <c r="DB51" s="27">
        <f>IF($A51="",0,IF(Mitarbeiter!$G$49=FALSE,0,IF(AND(Mitarbeiter!$E$49&lt;&gt;"",DB$5+6&lt;Mitarbeiter!$E$49),0,IF(AND(Mitarbeiter!$F$49&lt;&gt;"",DB$5&gt;Mitarbeiter!$F$49),0,IF(Planung!DB51="",$C51,IF(ISNUMBER(Planung!DB51),Planung!DB51,IF(UPPER(Planung!DB51)="H",$C51/2,0)))))))</f>
        <v>0</v>
      </c>
      <c r="DC51" s="27">
        <f>IF($A51="",0,IF(Mitarbeiter!$G$49=FALSE,0,IF(AND(Mitarbeiter!$E$49&lt;&gt;"",DC$5+6&lt;Mitarbeiter!$E$49),0,IF(AND(Mitarbeiter!$F$49&lt;&gt;"",DC$5&gt;Mitarbeiter!$F$49),0,IF(Planung!DC51="",$C51,IF(ISNUMBER(Planung!DC51),Planung!DC51,IF(UPPER(Planung!DC51)="H",$C51/2,0)))))))</f>
        <v>0</v>
      </c>
      <c r="DD51" s="27">
        <f>IF($A51="",0,IF(Mitarbeiter!$G$49=FALSE,0,IF(AND(Mitarbeiter!$E$49&lt;&gt;"",DD$5+6&lt;Mitarbeiter!$E$49),0,IF(AND(Mitarbeiter!$F$49&lt;&gt;"",DD$5&gt;Mitarbeiter!$F$49),0,IF(Planung!DD51="",$C51,IF(ISNUMBER(Planung!DD51),Planung!DD51,IF(UPPER(Planung!DD51)="H",$C51/2,0)))))))</f>
        <v>0</v>
      </c>
      <c r="DE51" s="27">
        <f>IF($A51="",0,IF(Mitarbeiter!$G$49=FALSE,0,IF(AND(Mitarbeiter!$E$49&lt;&gt;"",DE$5+6&lt;Mitarbeiter!$E$49),0,IF(AND(Mitarbeiter!$F$49&lt;&gt;"",DE$5&gt;Mitarbeiter!$F$49),0,IF(Planung!DE51="",$C51,IF(ISNUMBER(Planung!DE51),Planung!DE51,IF(UPPER(Planung!DE51)="H",$C51/2,0)))))))</f>
        <v>0</v>
      </c>
      <c r="DF51" s="27">
        <f>IF($A51="",0,IF(Mitarbeiter!$G$49=FALSE,0,IF(AND(Mitarbeiter!$E$49&lt;&gt;"",DF$5+6&lt;Mitarbeiter!$E$49),0,IF(AND(Mitarbeiter!$F$49&lt;&gt;"",DF$5&gt;Mitarbeiter!$F$49),0,IF(Planung!DF51="",$C51,IF(ISNUMBER(Planung!DF51),Planung!DF51,IF(UPPER(Planung!DF51)="H",$C51/2,0)))))))</f>
        <v>0</v>
      </c>
      <c r="DG51" s="27">
        <f>IF($A51="",0,IF(Mitarbeiter!$G$49=FALSE,0,IF(AND(Mitarbeiter!$E$49&lt;&gt;"",DG$5+6&lt;Mitarbeiter!$E$49),0,IF(AND(Mitarbeiter!$F$49&lt;&gt;"",DG$5&gt;Mitarbeiter!$F$49),0,IF(Planung!DG51="",$C51,IF(ISNUMBER(Planung!DG51),Planung!DG51,IF(UPPER(Planung!DG51)="H",$C51/2,0)))))))</f>
        <v>0</v>
      </c>
      <c r="DH51" s="27">
        <f>IF($A51="",0,IF(Mitarbeiter!$G$49=FALSE,0,IF(AND(Mitarbeiter!$E$49&lt;&gt;"",DH$5+6&lt;Mitarbeiter!$E$49),0,IF(AND(Mitarbeiter!$F$49&lt;&gt;"",DH$5&gt;Mitarbeiter!$F$49),0,IF(Planung!DH51="",$C51,IF(ISNUMBER(Planung!DH51),Planung!DH51,IF(UPPER(Planung!DH51)="H",$C51/2,0)))))))</f>
        <v>0</v>
      </c>
      <c r="DI51" s="27">
        <f>IF($A51="",0,IF(Mitarbeiter!$G$49=FALSE,0,IF(AND(Mitarbeiter!$E$49&lt;&gt;"",DI$5+6&lt;Mitarbeiter!$E$49),0,IF(AND(Mitarbeiter!$F$49&lt;&gt;"",DI$5&gt;Mitarbeiter!$F$49),0,IF(Planung!DI51="",$C51,IF(ISNUMBER(Planung!DI51),Planung!DI51,IF(UPPER(Planung!DI51)="H",$C51/2,0)))))))</f>
        <v>0</v>
      </c>
      <c r="DJ51" s="27">
        <f>IF($A51="",0,IF(Mitarbeiter!$G$49=FALSE,0,IF(AND(Mitarbeiter!$E$49&lt;&gt;"",DJ$5+6&lt;Mitarbeiter!$E$49),0,IF(AND(Mitarbeiter!$F$49&lt;&gt;"",DJ$5&gt;Mitarbeiter!$F$49),0,IF(Planung!DJ51="",$C51,IF(ISNUMBER(Planung!DJ51),Planung!DJ51,IF(UPPER(Planung!DJ51)="H",$C51/2,0)))))))</f>
        <v>0</v>
      </c>
      <c r="DK51" s="27">
        <f>IF($A51="",0,IF(Mitarbeiter!$G$49=FALSE,0,IF(AND(Mitarbeiter!$E$49&lt;&gt;"",DK$5+6&lt;Mitarbeiter!$E$49),0,IF(AND(Mitarbeiter!$F$49&lt;&gt;"",DK$5&gt;Mitarbeiter!$F$49),0,IF(Planung!DK51="",$C51,IF(ISNUMBER(Planung!DK51),Planung!DK51,IF(UPPER(Planung!DK51)="H",$C51/2,0)))))))</f>
        <v>0</v>
      </c>
      <c r="DL51" s="27">
        <f>IF($A51="",0,IF(Mitarbeiter!$G$49=FALSE,0,IF(AND(Mitarbeiter!$E$49&lt;&gt;"",DL$5+6&lt;Mitarbeiter!$E$49),0,IF(AND(Mitarbeiter!$F$49&lt;&gt;"",DL$5&gt;Mitarbeiter!$F$49),0,IF(Planung!DL51="",$C51,IF(ISNUMBER(Planung!DL51),Planung!DL51,IF(UPPER(Planung!DL51)="H",$C51/2,0)))))))</f>
        <v>0</v>
      </c>
      <c r="DM51" s="27">
        <f>IF($A51="",0,IF(Mitarbeiter!$G$49=FALSE,0,IF(AND(Mitarbeiter!$E$49&lt;&gt;"",DM$5+6&lt;Mitarbeiter!$E$49),0,IF(AND(Mitarbeiter!$F$49&lt;&gt;"",DM$5&gt;Mitarbeiter!$F$49),0,IF(Planung!DM51="",$C51,IF(ISNUMBER(Planung!DM51),Planung!DM51,IF(UPPER(Planung!DM51)="H",$C51/2,0)))))))</f>
        <v>0</v>
      </c>
      <c r="DN51" s="27">
        <f>IF($A51="",0,IF(Mitarbeiter!$G$49=FALSE,0,IF(AND(Mitarbeiter!$E$49&lt;&gt;"",DN$5+6&lt;Mitarbeiter!$E$49),0,IF(AND(Mitarbeiter!$F$49&lt;&gt;"",DN$5&gt;Mitarbeiter!$F$49),0,IF(Planung!DN51="",$C51,IF(ISNUMBER(Planung!DN51),Planung!DN51,IF(UPPER(Planung!DN51)="H",$C51/2,0)))))))</f>
        <v>0</v>
      </c>
      <c r="DO51" s="27">
        <f>IF($A51="",0,IF(Mitarbeiter!$G$49=FALSE,0,IF(AND(Mitarbeiter!$E$49&lt;&gt;"",DO$5+6&lt;Mitarbeiter!$E$49),0,IF(AND(Mitarbeiter!$F$49&lt;&gt;"",DO$5&gt;Mitarbeiter!$F$49),0,IF(Planung!DO51="",$C51,IF(ISNUMBER(Planung!DO51),Planung!DO51,IF(UPPER(Planung!DO51)="H",$C51/2,0)))))))</f>
        <v>0</v>
      </c>
      <c r="DP51" s="27">
        <f>IF($A51="",0,IF(Mitarbeiter!$G$49=FALSE,0,IF(AND(Mitarbeiter!$E$49&lt;&gt;"",DP$5+6&lt;Mitarbeiter!$E$49),0,IF(AND(Mitarbeiter!$F$49&lt;&gt;"",DP$5&gt;Mitarbeiter!$F$49),0,IF(Planung!DP51="",$C51,IF(ISNUMBER(Planung!DP51),Planung!DP51,IF(UPPER(Planung!DP51)="H",$C51/2,0)))))))</f>
        <v>0</v>
      </c>
      <c r="DQ51" s="27">
        <f>IF($A51="",0,IF(Mitarbeiter!$G$49=FALSE,0,IF(AND(Mitarbeiter!$E$49&lt;&gt;"",DQ$5+6&lt;Mitarbeiter!$E$49),0,IF(AND(Mitarbeiter!$F$49&lt;&gt;"",DQ$5&gt;Mitarbeiter!$F$49),0,IF(Planung!DQ51="",$C51,IF(ISNUMBER(Planung!DQ51),Planung!DQ51,IF(UPPER(Planung!DQ51)="H",$C51/2,0)))))))</f>
        <v>0</v>
      </c>
      <c r="DR51" s="27">
        <f>IF($A51="",0,IF(Mitarbeiter!$G$49=FALSE,0,IF(AND(Mitarbeiter!$E$49&lt;&gt;"",DR$5+6&lt;Mitarbeiter!$E$49),0,IF(AND(Mitarbeiter!$F$49&lt;&gt;"",DR$5&gt;Mitarbeiter!$F$49),0,IF(Planung!DR51="",$C51,IF(ISNUMBER(Planung!DR51),Planung!DR51,IF(UPPER(Planung!DR51)="H",$C51/2,0)))))))</f>
        <v>0</v>
      </c>
      <c r="DS51" s="27">
        <f>IF($A51="",0,IF(Mitarbeiter!$G$49=FALSE,0,IF(AND(Mitarbeiter!$E$49&lt;&gt;"",DS$5+6&lt;Mitarbeiter!$E$49),0,IF(AND(Mitarbeiter!$F$49&lt;&gt;"",DS$5&gt;Mitarbeiter!$F$49),0,IF(Planung!DS51="",$C51,IF(ISNUMBER(Planung!DS51),Planung!DS51,IF(UPPER(Planung!DS51)="H",$C51/2,0)))))))</f>
        <v>0</v>
      </c>
      <c r="DT51" s="27">
        <f>IF($A51="",0,IF(Mitarbeiter!$G$49=FALSE,0,IF(AND(Mitarbeiter!$E$49&lt;&gt;"",DT$5+6&lt;Mitarbeiter!$E$49),0,IF(AND(Mitarbeiter!$F$49&lt;&gt;"",DT$5&gt;Mitarbeiter!$F$49),0,IF(Planung!DT51="",$C51,IF(ISNUMBER(Planung!DT51),Planung!DT51,IF(UPPER(Planung!DT51)="H",$C51/2,0)))))))</f>
        <v>0</v>
      </c>
      <c r="DU51" s="27">
        <f>IF($A51="",0,IF(Mitarbeiter!$G$49=FALSE,0,IF(AND(Mitarbeiter!$E$49&lt;&gt;"",DU$5+6&lt;Mitarbeiter!$E$49),0,IF(AND(Mitarbeiter!$F$49&lt;&gt;"",DU$5&gt;Mitarbeiter!$F$49),0,IF(Planung!DU51="",$C51,IF(ISNUMBER(Planung!DU51),Planung!DU51,IF(UPPER(Planung!DU51)="H",$C51/2,0)))))))</f>
        <v>0</v>
      </c>
      <c r="DV51" s="27">
        <f>IF($A51="",0,IF(Mitarbeiter!$G$49=FALSE,0,IF(AND(Mitarbeiter!$E$49&lt;&gt;"",DV$5+6&lt;Mitarbeiter!$E$49),0,IF(AND(Mitarbeiter!$F$49&lt;&gt;"",DV$5&gt;Mitarbeiter!$F$49),0,IF(Planung!DV51="",$C51,IF(ISNUMBER(Planung!DV51),Planung!DV51,IF(UPPER(Planung!DV51)="H",$C51/2,0)))))))</f>
        <v>0</v>
      </c>
      <c r="DW51" s="27">
        <f>IF($A51="",0,IF(Mitarbeiter!$G$49=FALSE,0,IF(AND(Mitarbeiter!$E$49&lt;&gt;"",DW$5+6&lt;Mitarbeiter!$E$49),0,IF(AND(Mitarbeiter!$F$49&lt;&gt;"",DW$5&gt;Mitarbeiter!$F$49),0,IF(Planung!DW51="",$C51,IF(ISNUMBER(Planung!DW51),Planung!DW51,IF(UPPER(Planung!DW51)="H",$C51/2,0)))))))</f>
        <v>0</v>
      </c>
      <c r="DX51" s="27">
        <f>IF($A51="",0,IF(Mitarbeiter!$G$49=FALSE,0,IF(AND(Mitarbeiter!$E$49&lt;&gt;"",DX$5+6&lt;Mitarbeiter!$E$49),0,IF(AND(Mitarbeiter!$F$49&lt;&gt;"",DX$5&gt;Mitarbeiter!$F$49),0,IF(Planung!DX51="",$C51,IF(ISNUMBER(Planung!DX51),Planung!DX51,IF(UPPER(Planung!DX51)="H",$C51/2,0)))))))</f>
        <v>0</v>
      </c>
      <c r="DY51" s="27">
        <f>IF($A51="",0,IF(Mitarbeiter!$G$49=FALSE,0,IF(AND(Mitarbeiter!$E$49&lt;&gt;"",DY$5+6&lt;Mitarbeiter!$E$49),0,IF(AND(Mitarbeiter!$F$49&lt;&gt;"",DY$5&gt;Mitarbeiter!$F$49),0,IF(Planung!DY51="",$C51,IF(ISNUMBER(Planung!DY51),Planung!DY51,IF(UPPER(Planung!DY51)="H",$C51/2,0)))))))</f>
        <v>0</v>
      </c>
      <c r="DZ51" s="27">
        <f>IF($A51="",0,IF(Mitarbeiter!$G$49=FALSE,0,IF(AND(Mitarbeiter!$E$49&lt;&gt;"",DZ$5+6&lt;Mitarbeiter!$E$49),0,IF(AND(Mitarbeiter!$F$49&lt;&gt;"",DZ$5&gt;Mitarbeiter!$F$49),0,IF(Planung!DZ51="",$C51,IF(ISNUMBER(Planung!DZ51),Planung!DZ51,IF(UPPER(Planung!DZ51)="H",$C51/2,0)))))))</f>
        <v>0</v>
      </c>
      <c r="EA51" s="27">
        <f>IF($A51="",0,IF(Mitarbeiter!$G$49=FALSE,0,IF(AND(Mitarbeiter!$E$49&lt;&gt;"",EA$5+6&lt;Mitarbeiter!$E$49),0,IF(AND(Mitarbeiter!$F$49&lt;&gt;"",EA$5&gt;Mitarbeiter!$F$49),0,IF(Planung!EA51="",$C51,IF(ISNUMBER(Planung!EA51),Planung!EA51,IF(UPPER(Planung!EA51)="H",$C51/2,0)))))))</f>
        <v>0</v>
      </c>
      <c r="EB51" s="27">
        <f>IF($A51="",0,IF(Mitarbeiter!$G$49=FALSE,0,IF(AND(Mitarbeiter!$E$49&lt;&gt;"",EB$5+6&lt;Mitarbeiter!$E$49),0,IF(AND(Mitarbeiter!$F$49&lt;&gt;"",EB$5&gt;Mitarbeiter!$F$49),0,IF(Planung!EB51="",$C51,IF(ISNUMBER(Planung!EB51),Planung!EB51,IF(UPPER(Planung!EB51)="H",$C51/2,0)))))))</f>
        <v>0</v>
      </c>
      <c r="EC51" s="27">
        <f>IF($A51="",0,IF(Mitarbeiter!$G$49=FALSE,0,IF(AND(Mitarbeiter!$E$49&lt;&gt;"",EC$5+6&lt;Mitarbeiter!$E$49),0,IF(AND(Mitarbeiter!$F$49&lt;&gt;"",EC$5&gt;Mitarbeiter!$F$49),0,IF(Planung!EC51="",$C51,IF(ISNUMBER(Planung!EC51),Planung!EC51,IF(UPPER(Planung!EC51)="H",$C51/2,0)))))))</f>
        <v>0</v>
      </c>
      <c r="ED51" s="27">
        <f>IF($A51="",0,IF(Mitarbeiter!$G$49=FALSE,0,IF(AND(Mitarbeiter!$E$49&lt;&gt;"",ED$5+6&lt;Mitarbeiter!$E$49),0,IF(AND(Mitarbeiter!$F$49&lt;&gt;"",ED$5&gt;Mitarbeiter!$F$49),0,IF(Planung!ED51="",$C51,IF(ISNUMBER(Planung!ED51),Planung!ED51,IF(UPPER(Planung!ED51)="H",$C51/2,0)))))))</f>
        <v>0</v>
      </c>
      <c r="EE51" s="27">
        <f>IF($A51="",0,IF(Mitarbeiter!$G$49=FALSE,0,IF(AND(Mitarbeiter!$E$49&lt;&gt;"",EE$5+6&lt;Mitarbeiter!$E$49),0,IF(AND(Mitarbeiter!$F$49&lt;&gt;"",EE$5&gt;Mitarbeiter!$F$49),0,IF(Planung!EE51="",$C51,IF(ISNUMBER(Planung!EE51),Planung!EE51,IF(UPPER(Planung!EE51)="H",$C51/2,0)))))))</f>
        <v>0</v>
      </c>
      <c r="EF51" s="27">
        <f>IF($A51="",0,IF(Mitarbeiter!$G$49=FALSE,0,IF(AND(Mitarbeiter!$E$49&lt;&gt;"",EF$5+6&lt;Mitarbeiter!$E$49),0,IF(AND(Mitarbeiter!$F$49&lt;&gt;"",EF$5&gt;Mitarbeiter!$F$49),0,IF(Planung!EF51="",$C51,IF(ISNUMBER(Planung!EF51),Planung!EF51,IF(UPPER(Planung!EF51)="H",$C51/2,0)))))))</f>
        <v>0</v>
      </c>
      <c r="EG51" s="27">
        <f>IF($A51="",0,IF(Mitarbeiter!$G$49=FALSE,0,IF(AND(Mitarbeiter!$E$49&lt;&gt;"",EG$5+6&lt;Mitarbeiter!$E$49),0,IF(AND(Mitarbeiter!$F$49&lt;&gt;"",EG$5&gt;Mitarbeiter!$F$49),0,IF(Planung!EG51="",$C51,IF(ISNUMBER(Planung!EG51),Planung!EG51,IF(UPPER(Planung!EG51)="H",$C51/2,0)))))))</f>
        <v>0</v>
      </c>
      <c r="EH51" s="27">
        <f>IF($A51="",0,IF(Mitarbeiter!$G$49=FALSE,0,IF(AND(Mitarbeiter!$E$49&lt;&gt;"",EH$5+6&lt;Mitarbeiter!$E$49),0,IF(AND(Mitarbeiter!$F$49&lt;&gt;"",EH$5&gt;Mitarbeiter!$F$49),0,IF(Planung!EH51="",$C51,IF(ISNUMBER(Planung!EH51),Planung!EH51,IF(UPPER(Planung!EH51)="H",$C51/2,0)))))))</f>
        <v>0</v>
      </c>
      <c r="EI51" s="27">
        <f>IF($A51="",0,IF(Mitarbeiter!$G$49=FALSE,0,IF(AND(Mitarbeiter!$E$49&lt;&gt;"",EI$5+6&lt;Mitarbeiter!$E$49),0,IF(AND(Mitarbeiter!$F$49&lt;&gt;"",EI$5&gt;Mitarbeiter!$F$49),0,IF(Planung!EI51="",$C51,IF(ISNUMBER(Planung!EI51),Planung!EI51,IF(UPPER(Planung!EI51)="H",$C51/2,0)))))))</f>
        <v>0</v>
      </c>
      <c r="EJ51" s="27">
        <f>IF($A51="",0,IF(Mitarbeiter!$G$49=FALSE,0,IF(AND(Mitarbeiter!$E$49&lt;&gt;"",EJ$5+6&lt;Mitarbeiter!$E$49),0,IF(AND(Mitarbeiter!$F$49&lt;&gt;"",EJ$5&gt;Mitarbeiter!$F$49),0,IF(Planung!EJ51="",$C51,IF(ISNUMBER(Planung!EJ51),Planung!EJ51,IF(UPPER(Planung!EJ51)="H",$C51/2,0)))))))</f>
        <v>0</v>
      </c>
      <c r="EK51" s="27">
        <f>IF($A51="",0,IF(Mitarbeiter!$G$49=FALSE,0,IF(AND(Mitarbeiter!$E$49&lt;&gt;"",EK$5+6&lt;Mitarbeiter!$E$49),0,IF(AND(Mitarbeiter!$F$49&lt;&gt;"",EK$5&gt;Mitarbeiter!$F$49),0,IF(Planung!EK51="",$C51,IF(ISNUMBER(Planung!EK51),Planung!EK51,IF(UPPER(Planung!EK51)="H",$C51/2,0)))))))</f>
        <v>0</v>
      </c>
      <c r="EL51" s="27">
        <f>IF($A51="",0,IF(Mitarbeiter!$G$49=FALSE,0,IF(AND(Mitarbeiter!$E$49&lt;&gt;"",EL$5+6&lt;Mitarbeiter!$E$49),0,IF(AND(Mitarbeiter!$F$49&lt;&gt;"",EL$5&gt;Mitarbeiter!$F$49),0,IF(Planung!EL51="",$C51,IF(ISNUMBER(Planung!EL51),Planung!EL51,IF(UPPER(Planung!EL51)="H",$C51/2,0)))))))</f>
        <v>0</v>
      </c>
      <c r="EM51" s="27">
        <f>IF($A51="",0,IF(Mitarbeiter!$G$49=FALSE,0,IF(AND(Mitarbeiter!$E$49&lt;&gt;"",EM$5+6&lt;Mitarbeiter!$E$49),0,IF(AND(Mitarbeiter!$F$49&lt;&gt;"",EM$5&gt;Mitarbeiter!$F$49),0,IF(Planung!EM51="",$C51,IF(ISNUMBER(Planung!EM51),Planung!EM51,IF(UPPER(Planung!EM51)="H",$C51/2,0)))))))</f>
        <v>0</v>
      </c>
      <c r="EN51" s="27">
        <f>IF($A51="",0,IF(Mitarbeiter!$G$49=FALSE,0,IF(AND(Mitarbeiter!$E$49&lt;&gt;"",EN$5+6&lt;Mitarbeiter!$E$49),0,IF(AND(Mitarbeiter!$F$49&lt;&gt;"",EN$5&gt;Mitarbeiter!$F$49),0,IF(Planung!EN51="",$C51,IF(ISNUMBER(Planung!EN51),Planung!EN51,IF(UPPER(Planung!EN51)="H",$C51/2,0)))))))</f>
        <v>0</v>
      </c>
      <c r="EO51" s="27">
        <f>IF($A51="",0,IF(Mitarbeiter!$G$49=FALSE,0,IF(AND(Mitarbeiter!$E$49&lt;&gt;"",EO$5+6&lt;Mitarbeiter!$E$49),0,IF(AND(Mitarbeiter!$F$49&lt;&gt;"",EO$5&gt;Mitarbeiter!$F$49),0,IF(Planung!EO51="",$C51,IF(ISNUMBER(Planung!EO51),Planung!EO51,IF(UPPER(Planung!EO51)="H",$C51/2,0)))))))</f>
        <v>0</v>
      </c>
      <c r="EP51" s="27">
        <f>IF($A51="",0,IF(Mitarbeiter!$G$49=FALSE,0,IF(AND(Mitarbeiter!$E$49&lt;&gt;"",EP$5+6&lt;Mitarbeiter!$E$49),0,IF(AND(Mitarbeiter!$F$49&lt;&gt;"",EP$5&gt;Mitarbeiter!$F$49),0,IF(Planung!EP51="",$C51,IF(ISNUMBER(Planung!EP51),Planung!EP51,IF(UPPER(Planung!EP51)="H",$C51/2,0)))))))</f>
        <v>0</v>
      </c>
      <c r="EQ51" s="27">
        <f>IF($A51="",0,IF(Mitarbeiter!$G$49=FALSE,0,IF(AND(Mitarbeiter!$E$49&lt;&gt;"",EQ$5+6&lt;Mitarbeiter!$E$49),0,IF(AND(Mitarbeiter!$F$49&lt;&gt;"",EQ$5&gt;Mitarbeiter!$F$49),0,IF(Planung!EQ51="",$C51,IF(ISNUMBER(Planung!EQ51),Planung!EQ51,IF(UPPER(Planung!EQ51)="H",$C51/2,0)))))))</f>
        <v>0</v>
      </c>
      <c r="ER51" s="27">
        <f>IF($A51="",0,IF(Mitarbeiter!$G$49=FALSE,0,IF(AND(Mitarbeiter!$E$49&lt;&gt;"",ER$5+6&lt;Mitarbeiter!$E$49),0,IF(AND(Mitarbeiter!$F$49&lt;&gt;"",ER$5&gt;Mitarbeiter!$F$49),0,IF(Planung!ER51="",$C51,IF(ISNUMBER(Planung!ER51),Planung!ER51,IF(UPPER(Planung!ER51)="H",$C51/2,0)))))))</f>
        <v>0</v>
      </c>
      <c r="ES51" s="27">
        <f>IF($A51="",0,IF(Mitarbeiter!$G$49=FALSE,0,IF(AND(Mitarbeiter!$E$49&lt;&gt;"",ES$5+6&lt;Mitarbeiter!$E$49),0,IF(AND(Mitarbeiter!$F$49&lt;&gt;"",ES$5&gt;Mitarbeiter!$F$49),0,IF(Planung!ES51="",$C51,IF(ISNUMBER(Planung!ES51),Planung!ES51,IF(UPPER(Planung!ES51)="H",$C51/2,0)))))))</f>
        <v>0</v>
      </c>
      <c r="ET51" s="27">
        <f>IF($A51="",0,IF(Mitarbeiter!$G$49=FALSE,0,IF(AND(Mitarbeiter!$E$49&lt;&gt;"",ET$5+6&lt;Mitarbeiter!$E$49),0,IF(AND(Mitarbeiter!$F$49&lt;&gt;"",ET$5&gt;Mitarbeiter!$F$49),0,IF(Planung!ET51="",$C51,IF(ISNUMBER(Planung!ET51),Planung!ET51,IF(UPPER(Planung!ET51)="H",$C51/2,0)))))))</f>
        <v>0</v>
      </c>
      <c r="EU51" s="27">
        <f>IF($A51="",0,IF(Mitarbeiter!$G$49=FALSE,0,IF(AND(Mitarbeiter!$E$49&lt;&gt;"",EU$5+6&lt;Mitarbeiter!$E$49),0,IF(AND(Mitarbeiter!$F$49&lt;&gt;"",EU$5&gt;Mitarbeiter!$F$49),0,IF(Planung!EU51="",$C51,IF(ISNUMBER(Planung!EU51),Planung!EU51,IF(UPPER(Planung!EU51)="H",$C51/2,0)))))))</f>
        <v>0</v>
      </c>
      <c r="EV51" s="27">
        <f>IF($A51="",0,IF(Mitarbeiter!$G$49=FALSE,0,IF(AND(Mitarbeiter!$E$49&lt;&gt;"",EV$5+6&lt;Mitarbeiter!$E$49),0,IF(AND(Mitarbeiter!$F$49&lt;&gt;"",EV$5&gt;Mitarbeiter!$F$49),0,IF(Planung!EV51="",$C51,IF(ISNUMBER(Planung!EV51),Planung!EV51,IF(UPPER(Planung!EV51)="H",$C51/2,0)))))))</f>
        <v>0</v>
      </c>
      <c r="EW51" s="27">
        <f>IF($A51="",0,IF(Mitarbeiter!$G$49=FALSE,0,IF(AND(Mitarbeiter!$E$49&lt;&gt;"",EW$5+6&lt;Mitarbeiter!$E$49),0,IF(AND(Mitarbeiter!$F$49&lt;&gt;"",EW$5&gt;Mitarbeiter!$F$49),0,IF(Planung!EW51="",$C51,IF(ISNUMBER(Planung!EW51),Planung!EW51,IF(UPPER(Planung!EW51)="H",$C51/2,0)))))))</f>
        <v>0</v>
      </c>
      <c r="EX51" s="27">
        <f>IF($A51="",0,IF(Mitarbeiter!$G$49=FALSE,0,IF(AND(Mitarbeiter!$E$49&lt;&gt;"",EX$5+6&lt;Mitarbeiter!$E$49),0,IF(AND(Mitarbeiter!$F$49&lt;&gt;"",EX$5&gt;Mitarbeiter!$F$49),0,IF(Planung!EX51="",$C51,IF(ISNUMBER(Planung!EX51),Planung!EX51,IF(UPPER(Planung!EX51)="H",$C51/2,0)))))))</f>
        <v>0</v>
      </c>
      <c r="EY51" s="27">
        <f>IF($A51="",0,IF(Mitarbeiter!$G$49=FALSE,0,IF(AND(Mitarbeiter!$E$49&lt;&gt;"",EY$5+6&lt;Mitarbeiter!$E$49),0,IF(AND(Mitarbeiter!$F$49&lt;&gt;"",EY$5&gt;Mitarbeiter!$F$49),0,IF(Planung!EY51="",$C51,IF(ISNUMBER(Planung!EY51),Planung!EY51,IF(UPPER(Planung!EY51)="H",$C51/2,0)))))))</f>
        <v>0</v>
      </c>
      <c r="EZ51" s="27">
        <f>IF($A51="",0,IF(Mitarbeiter!$G$49=FALSE,0,IF(AND(Mitarbeiter!$E$49&lt;&gt;"",EZ$5+6&lt;Mitarbeiter!$E$49),0,IF(AND(Mitarbeiter!$F$49&lt;&gt;"",EZ$5&gt;Mitarbeiter!$F$49),0,IF(Planung!EZ51="",$C51,IF(ISNUMBER(Planung!EZ51),Planung!EZ51,IF(UPPER(Planung!EZ51)="H",$C51/2,0)))))))</f>
        <v>0</v>
      </c>
      <c r="FA51" s="27">
        <f>IF($A51="",0,IF(Mitarbeiter!$G$49=FALSE,0,IF(AND(Mitarbeiter!$E$49&lt;&gt;"",FA$5+6&lt;Mitarbeiter!$E$49),0,IF(AND(Mitarbeiter!$F$49&lt;&gt;"",FA$5&gt;Mitarbeiter!$F$49),0,IF(Planung!FA51="",$C51,IF(ISNUMBER(Planung!FA51),Planung!FA51,IF(UPPER(Planung!FA51)="H",$C51/2,0)))))))</f>
        <v>0</v>
      </c>
      <c r="FB51" s="27">
        <f>IF($A51="",0,IF(Mitarbeiter!$G$49=FALSE,0,IF(AND(Mitarbeiter!$E$49&lt;&gt;"",FB$5+6&lt;Mitarbeiter!$E$49),0,IF(AND(Mitarbeiter!$F$49&lt;&gt;"",FB$5&gt;Mitarbeiter!$F$49),0,IF(Planung!FB51="",$C51,IF(ISNUMBER(Planung!FB51),Planung!FB51,IF(UPPER(Planung!FB51)="H",$C51/2,0)))))))</f>
        <v>0</v>
      </c>
      <c r="FC51" s="27">
        <f>IF($A51="",0,IF(Mitarbeiter!$G$49=FALSE,0,IF(AND(Mitarbeiter!$E$49&lt;&gt;"",FC$5+6&lt;Mitarbeiter!$E$49),0,IF(AND(Mitarbeiter!$F$49&lt;&gt;"",FC$5&gt;Mitarbeiter!$F$49),0,IF(Planung!FC51="",$C51,IF(ISNUMBER(Planung!FC51),Planung!FC51,IF(UPPER(Planung!FC51)="H",$C51/2,0)))))))</f>
        <v>0</v>
      </c>
      <c r="FD51" s="27">
        <f>IF($A51="",0,IF(Mitarbeiter!$G$49=FALSE,0,IF(AND(Mitarbeiter!$E$49&lt;&gt;"",FD$5+6&lt;Mitarbeiter!$E$49),0,IF(AND(Mitarbeiter!$F$49&lt;&gt;"",FD$5&gt;Mitarbeiter!$F$49),0,IF(Planung!FD51="",$C51,IF(ISNUMBER(Planung!FD51),Planung!FD51,IF(UPPER(Planung!FD51)="H",$C51/2,0)))))))</f>
        <v>0</v>
      </c>
      <c r="FE51" s="27">
        <f>IF($A51="",0,IF(Mitarbeiter!$G$49=FALSE,0,IF(AND(Mitarbeiter!$E$49&lt;&gt;"",FE$5+6&lt;Mitarbeiter!$E$49),0,IF(AND(Mitarbeiter!$F$49&lt;&gt;"",FE$5&gt;Mitarbeiter!$F$49),0,IF(Planung!FE51="",$C51,IF(ISNUMBER(Planung!FE51),Planung!FE51,IF(UPPER(Planung!FE51)="H",$C51/2,0)))))))</f>
        <v>0</v>
      </c>
      <c r="FF51" s="27">
        <f>IF($A51="",0,IF(Mitarbeiter!$G$49=FALSE,0,IF(AND(Mitarbeiter!$E$49&lt;&gt;"",FF$5+6&lt;Mitarbeiter!$E$49),0,IF(AND(Mitarbeiter!$F$49&lt;&gt;"",FF$5&gt;Mitarbeiter!$F$49),0,IF(Planung!FF51="",$C51,IF(ISNUMBER(Planung!FF51),Planung!FF51,IF(UPPER(Planung!FF51)="H",$C51/2,0)))))))</f>
        <v>0</v>
      </c>
      <c r="FG51" s="27">
        <f>IF($A51="",0,IF(Mitarbeiter!$G$49=FALSE,0,IF(AND(Mitarbeiter!$E$49&lt;&gt;"",FG$5+6&lt;Mitarbeiter!$E$49),0,IF(AND(Mitarbeiter!$F$49&lt;&gt;"",FG$5&gt;Mitarbeiter!$F$49),0,IF(Planung!FG51="",$C51,IF(ISNUMBER(Planung!FG51),Planung!FG51,IF(UPPER(Planung!FG51)="H",$C51/2,0)))))))</f>
        <v>0</v>
      </c>
      <c r="FH51" s="27">
        <f>IF($A51="",0,IF(Mitarbeiter!$G$49=FALSE,0,IF(AND(Mitarbeiter!$E$49&lt;&gt;"",FH$5+6&lt;Mitarbeiter!$E$49),0,IF(AND(Mitarbeiter!$F$49&lt;&gt;"",FH$5&gt;Mitarbeiter!$F$49),0,IF(Planung!FH51="",$C51,IF(ISNUMBER(Planung!FH51),Planung!FH51,IF(UPPER(Planung!FH51)="H",$C51/2,0)))))))</f>
        <v>0</v>
      </c>
      <c r="FI51" s="27">
        <f>IF($A51="",0,IF(Mitarbeiter!$G$49=FALSE,0,IF(AND(Mitarbeiter!$E$49&lt;&gt;"",FI$5+6&lt;Mitarbeiter!$E$49),0,IF(AND(Mitarbeiter!$F$49&lt;&gt;"",FI$5&gt;Mitarbeiter!$F$49),0,IF(Planung!FI51="",$C51,IF(ISNUMBER(Planung!FI51),Planung!FI51,IF(UPPER(Planung!FI51)="H",$C51/2,0)))))))</f>
        <v>0</v>
      </c>
      <c r="FJ51" s="27">
        <f>IF($A51="",0,IF(Mitarbeiter!$G$49=FALSE,0,IF(AND(Mitarbeiter!$E$49&lt;&gt;"",FJ$5+6&lt;Mitarbeiter!$E$49),0,IF(AND(Mitarbeiter!$F$49&lt;&gt;"",FJ$5&gt;Mitarbeiter!$F$49),0,IF(Planung!FJ51="",$C51,IF(ISNUMBER(Planung!FJ51),Planung!FJ51,IF(UPPER(Planung!FJ51)="H",$C51/2,0)))))))</f>
        <v>0</v>
      </c>
      <c r="FK51" s="27">
        <f>IF($A51="",0,IF(Mitarbeiter!$G$49=FALSE,0,IF(AND(Mitarbeiter!$E$49&lt;&gt;"",FK$5+6&lt;Mitarbeiter!$E$49),0,IF(AND(Mitarbeiter!$F$49&lt;&gt;"",FK$5&gt;Mitarbeiter!$F$49),0,IF(Planung!FK51="",$C51,IF(ISNUMBER(Planung!FK51),Planung!FK51,IF(UPPER(Planung!FK51)="H",$C51/2,0)))))))</f>
        <v>0</v>
      </c>
      <c r="FL51" s="27">
        <f>IF($A51="",0,IF(Mitarbeiter!$G$49=FALSE,0,IF(AND(Mitarbeiter!$E$49&lt;&gt;"",FL$5+6&lt;Mitarbeiter!$E$49),0,IF(AND(Mitarbeiter!$F$49&lt;&gt;"",FL$5&gt;Mitarbeiter!$F$49),0,IF(Planung!FL51="",$C51,IF(ISNUMBER(Planung!FL51),Planung!FL51,IF(UPPER(Planung!FL51)="H",$C51/2,0)))))))</f>
        <v>0</v>
      </c>
      <c r="FM51" s="27">
        <f>IF($A51="",0,IF(Mitarbeiter!$G$49=FALSE,0,IF(AND(Mitarbeiter!$E$49&lt;&gt;"",FM$5+6&lt;Mitarbeiter!$E$49),0,IF(AND(Mitarbeiter!$F$49&lt;&gt;"",FM$5&gt;Mitarbeiter!$F$49),0,IF(Planung!FM51="",$C51,IF(ISNUMBER(Planung!FM51),Planung!FM51,IF(UPPER(Planung!FM51)="H",$C51/2,0)))))))</f>
        <v>0</v>
      </c>
      <c r="FN51" s="27">
        <f>IF($A51="",0,IF(Mitarbeiter!$G$49=FALSE,0,IF(AND(Mitarbeiter!$E$49&lt;&gt;"",FN$5+6&lt;Mitarbeiter!$E$49),0,IF(AND(Mitarbeiter!$F$49&lt;&gt;"",FN$5&gt;Mitarbeiter!$F$49),0,IF(Planung!FN51="",$C51,IF(ISNUMBER(Planung!FN51),Planung!FN51,IF(UPPER(Planung!FN51)="H",$C51/2,0)))))))</f>
        <v>0</v>
      </c>
      <c r="FO51" s="27">
        <f>IF($A51="",0,IF(Mitarbeiter!$G$49=FALSE,0,IF(AND(Mitarbeiter!$E$49&lt;&gt;"",FO$5+6&lt;Mitarbeiter!$E$49),0,IF(AND(Mitarbeiter!$F$49&lt;&gt;"",FO$5&gt;Mitarbeiter!$F$49),0,IF(Planung!FO51="",$C51,IF(ISNUMBER(Planung!FO51),Planung!FO51,IF(UPPER(Planung!FO51)="H",$C51/2,0)))))))</f>
        <v>0</v>
      </c>
      <c r="FP51" s="27">
        <f>IF($A51="",0,IF(Mitarbeiter!$G$49=FALSE,0,IF(AND(Mitarbeiter!$E$49&lt;&gt;"",FP$5+6&lt;Mitarbeiter!$E$49),0,IF(AND(Mitarbeiter!$F$49&lt;&gt;"",FP$5&gt;Mitarbeiter!$F$49),0,IF(Planung!FP51="",$C51,IF(ISNUMBER(Planung!FP51),Planung!FP51,IF(UPPER(Planung!FP51)="H",$C51/2,0)))))))</f>
        <v>0</v>
      </c>
      <c r="FQ51" s="27">
        <f>IF($A51="",0,IF(Mitarbeiter!$G$49=FALSE,0,IF(AND(Mitarbeiter!$E$49&lt;&gt;"",FQ$5+6&lt;Mitarbeiter!$E$49),0,IF(AND(Mitarbeiter!$F$49&lt;&gt;"",FQ$5&gt;Mitarbeiter!$F$49),0,IF(Planung!FQ51="",$C51,IF(ISNUMBER(Planung!FQ51),Planung!FQ51,IF(UPPER(Planung!FQ51)="H",$C51/2,0)))))))</f>
        <v>0</v>
      </c>
      <c r="FR51" s="27">
        <f>IF($A51="",0,IF(Mitarbeiter!$G$49=FALSE,0,IF(AND(Mitarbeiter!$E$49&lt;&gt;"",FR$5+6&lt;Mitarbeiter!$E$49),0,IF(AND(Mitarbeiter!$F$49&lt;&gt;"",FR$5&gt;Mitarbeiter!$F$49),0,IF(Planung!FR51="",$C51,IF(ISNUMBER(Planung!FR51),Planung!FR51,IF(UPPER(Planung!FR51)="H",$C51/2,0)))))))</f>
        <v>0</v>
      </c>
      <c r="FS51" s="27">
        <f>IF($A51="",0,IF(Mitarbeiter!$G$49=FALSE,0,IF(AND(Mitarbeiter!$E$49&lt;&gt;"",FS$5+6&lt;Mitarbeiter!$E$49),0,IF(AND(Mitarbeiter!$F$49&lt;&gt;"",FS$5&gt;Mitarbeiter!$F$49),0,IF(Planung!FS51="",$C51,IF(ISNUMBER(Planung!FS51),Planung!FS51,IF(UPPER(Planung!FS51)="H",$C51/2,0)))))))</f>
        <v>0</v>
      </c>
      <c r="FT51" s="27">
        <f>IF($A51="",0,IF(Mitarbeiter!$G$49=FALSE,0,IF(AND(Mitarbeiter!$E$49&lt;&gt;"",FT$5+6&lt;Mitarbeiter!$E$49),0,IF(AND(Mitarbeiter!$F$49&lt;&gt;"",FT$5&gt;Mitarbeiter!$F$49),0,IF(Planung!FT51="",$C51,IF(ISNUMBER(Planung!FT51),Planung!FT51,IF(UPPER(Planung!FT51)="H",$C51/2,0)))))))</f>
        <v>0</v>
      </c>
      <c r="FU51" s="27">
        <f>IF($A51="",0,IF(Mitarbeiter!$G$49=FALSE,0,IF(AND(Mitarbeiter!$E$49&lt;&gt;"",FU$5+6&lt;Mitarbeiter!$E$49),0,IF(AND(Mitarbeiter!$F$49&lt;&gt;"",FU$5&gt;Mitarbeiter!$F$49),0,IF(Planung!FU51="",$C51,IF(ISNUMBER(Planung!FU51),Planung!FU51,IF(UPPER(Planung!FU51)="H",$C51/2,0)))))))</f>
        <v>0</v>
      </c>
      <c r="FV51" s="27">
        <f>IF($A51="",0,IF(Mitarbeiter!$G$49=FALSE,0,IF(AND(Mitarbeiter!$E$49&lt;&gt;"",FV$5+6&lt;Mitarbeiter!$E$49),0,IF(AND(Mitarbeiter!$F$49&lt;&gt;"",FV$5&gt;Mitarbeiter!$F$49),0,IF(Planung!FV51="",$C51,IF(ISNUMBER(Planung!FV51),Planung!FV51,IF(UPPER(Planung!FV51)="H",$C51/2,0)))))))</f>
        <v>0</v>
      </c>
      <c r="FW51" s="27">
        <f>IF($A51="",0,IF(Mitarbeiter!$G$49=FALSE,0,IF(AND(Mitarbeiter!$E$49&lt;&gt;"",FW$5+6&lt;Mitarbeiter!$E$49),0,IF(AND(Mitarbeiter!$F$49&lt;&gt;"",FW$5&gt;Mitarbeiter!$F$49),0,IF(Planung!FW51="",$C51,IF(ISNUMBER(Planung!FW51),Planung!FW51,IF(UPPER(Planung!FW51)="H",$C51/2,0)))))))</f>
        <v>0</v>
      </c>
      <c r="FX51" s="27">
        <f>IF($A51="",0,IF(Mitarbeiter!$G$49=FALSE,0,IF(AND(Mitarbeiter!$E$49&lt;&gt;"",FX$5+6&lt;Mitarbeiter!$E$49),0,IF(AND(Mitarbeiter!$F$49&lt;&gt;"",FX$5&gt;Mitarbeiter!$F$49),0,IF(Planung!FX51="",$C51,IF(ISNUMBER(Planung!FX51),Planung!FX51,IF(UPPER(Planung!FX51)="H",$C51/2,0)))))))</f>
        <v>0</v>
      </c>
      <c r="FY51" s="27">
        <f>IF($A51="",0,IF(Mitarbeiter!$G$49=FALSE,0,IF(AND(Mitarbeiter!$E$49&lt;&gt;"",FY$5+6&lt;Mitarbeiter!$E$49),0,IF(AND(Mitarbeiter!$F$49&lt;&gt;"",FY$5&gt;Mitarbeiter!$F$49),0,IF(Planung!FY51="",$C51,IF(ISNUMBER(Planung!FY51),Planung!FY51,IF(UPPER(Planung!FY51)="H",$C51/2,0)))))))</f>
        <v>0</v>
      </c>
      <c r="FZ51" s="27">
        <f>IF($A51="",0,IF(Mitarbeiter!$G$49=FALSE,0,IF(AND(Mitarbeiter!$E$49&lt;&gt;"",FZ$5+6&lt;Mitarbeiter!$E$49),0,IF(AND(Mitarbeiter!$F$49&lt;&gt;"",FZ$5&gt;Mitarbeiter!$F$49),0,IF(Planung!FZ51="",$C51,IF(ISNUMBER(Planung!FZ51),Planung!FZ51,IF(UPPER(Planung!FZ51)="H",$C51/2,0)))))))</f>
        <v>0</v>
      </c>
      <c r="GA51" s="27">
        <f>IF($A51="",0,IF(Mitarbeiter!$G$49=FALSE,0,IF(AND(Mitarbeiter!$E$49&lt;&gt;"",GA$5+6&lt;Mitarbeiter!$E$49),0,IF(AND(Mitarbeiter!$F$49&lt;&gt;"",GA$5&gt;Mitarbeiter!$F$49),0,IF(Planung!GA51="",$C51,IF(ISNUMBER(Planung!GA51),Planung!GA51,IF(UPPER(Planung!GA51)="H",$C51/2,0)))))))</f>
        <v>0</v>
      </c>
      <c r="GB51" s="27">
        <f>IF($A51="",0,IF(Mitarbeiter!$G$49=FALSE,0,IF(AND(Mitarbeiter!$E$49&lt;&gt;"",GB$5+6&lt;Mitarbeiter!$E$49),0,IF(AND(Mitarbeiter!$F$49&lt;&gt;"",GB$5&gt;Mitarbeiter!$F$49),0,IF(Planung!GB51="",$C51,IF(ISNUMBER(Planung!GB51),Planung!GB51,IF(UPPER(Planung!GB51)="H",$C51/2,0)))))))</f>
        <v>0</v>
      </c>
      <c r="GC51" s="27">
        <f>IF($A51="",0,IF(Mitarbeiter!$G$49=FALSE,0,IF(AND(Mitarbeiter!$E$49&lt;&gt;"",GC$5+6&lt;Mitarbeiter!$E$49),0,IF(AND(Mitarbeiter!$F$49&lt;&gt;"",GC$5&gt;Mitarbeiter!$F$49),0,IF(Planung!GC51="",$C51,IF(ISNUMBER(Planung!GC51),Planung!GC51,IF(UPPER(Planung!GC51)="H",$C51/2,0)))))))</f>
        <v>0</v>
      </c>
      <c r="GD51" s="27">
        <f>IF($A51="",0,IF(Mitarbeiter!$G$49=FALSE,0,IF(AND(Mitarbeiter!$E$49&lt;&gt;"",GD$5+6&lt;Mitarbeiter!$E$49),0,IF(AND(Mitarbeiter!$F$49&lt;&gt;"",GD$5&gt;Mitarbeiter!$F$49),0,IF(Planung!GD51="",$C51,IF(ISNUMBER(Planung!GD51),Planung!GD51,IF(UPPER(Planung!GD51)="H",$C51/2,0)))))))</f>
        <v>0</v>
      </c>
      <c r="GE51" s="27">
        <f>IF($A51="",0,IF(Mitarbeiter!$G$49=FALSE,0,IF(AND(Mitarbeiter!$E$49&lt;&gt;"",GE$5+6&lt;Mitarbeiter!$E$49),0,IF(AND(Mitarbeiter!$F$49&lt;&gt;"",GE$5&gt;Mitarbeiter!$F$49),0,IF(Planung!GE51="",$C51,IF(ISNUMBER(Planung!GE51),Planung!GE51,IF(UPPER(Planung!GE51)="H",$C51/2,0)))))))</f>
        <v>0</v>
      </c>
      <c r="GF51" s="27">
        <f>IF($A51="",0,IF(Mitarbeiter!$G$49=FALSE,0,IF(AND(Mitarbeiter!$E$49&lt;&gt;"",GF$5+6&lt;Mitarbeiter!$E$49),0,IF(AND(Mitarbeiter!$F$49&lt;&gt;"",GF$5&gt;Mitarbeiter!$F$49),0,IF(Planung!GF51="",$C51,IF(ISNUMBER(Planung!GF51),Planung!GF51,IF(UPPER(Planung!GF51)="H",$C51/2,0)))))))</f>
        <v>0</v>
      </c>
      <c r="GG51" s="27">
        <f>IF($A51="",0,IF(Mitarbeiter!$G$49=FALSE,0,IF(AND(Mitarbeiter!$E$49&lt;&gt;"",GG$5+6&lt;Mitarbeiter!$E$49),0,IF(AND(Mitarbeiter!$F$49&lt;&gt;"",GG$5&gt;Mitarbeiter!$F$49),0,IF(Planung!GG51="",$C51,IF(ISNUMBER(Planung!GG51),Planung!GG51,IF(UPPER(Planung!GG51)="H",$C51/2,0)))))))</f>
        <v>0</v>
      </c>
      <c r="GH51" s="27">
        <f>IF($A51="",0,IF(Mitarbeiter!$G$49=FALSE,0,IF(AND(Mitarbeiter!$E$49&lt;&gt;"",GH$5+6&lt;Mitarbeiter!$E$49),0,IF(AND(Mitarbeiter!$F$49&lt;&gt;"",GH$5&gt;Mitarbeiter!$F$49),0,IF(Planung!GH51="",$C51,IF(ISNUMBER(Planung!GH51),Planung!GH51,IF(UPPER(Planung!GH51)="H",$C51/2,0)))))))</f>
        <v>0</v>
      </c>
      <c r="GI51" s="27">
        <f>IF($A51="",0,IF(Mitarbeiter!$G$49=FALSE,0,IF(AND(Mitarbeiter!$E$49&lt;&gt;"",GI$5+6&lt;Mitarbeiter!$E$49),0,IF(AND(Mitarbeiter!$F$49&lt;&gt;"",GI$5&gt;Mitarbeiter!$F$49),0,IF(Planung!GI51="",$C51,IF(ISNUMBER(Planung!GI51),Planung!GI51,IF(UPPER(Planung!GI51)="H",$C51/2,0)))))))</f>
        <v>0</v>
      </c>
      <c r="GJ51" s="27">
        <f>IF($A51="",0,IF(Mitarbeiter!$G$49=FALSE,0,IF(AND(Mitarbeiter!$E$49&lt;&gt;"",GJ$5+6&lt;Mitarbeiter!$E$49),0,IF(AND(Mitarbeiter!$F$49&lt;&gt;"",GJ$5&gt;Mitarbeiter!$F$49),0,IF(Planung!GJ51="",$C51,IF(ISNUMBER(Planung!GJ51),Planung!GJ51,IF(UPPER(Planung!GJ51)="H",$C51/2,0)))))))</f>
        <v>0</v>
      </c>
      <c r="GK51" s="27">
        <f>IF($A51="",0,IF(Mitarbeiter!$G$49=FALSE,0,IF(AND(Mitarbeiter!$E$49&lt;&gt;"",GK$5+6&lt;Mitarbeiter!$E$49),0,IF(AND(Mitarbeiter!$F$49&lt;&gt;"",GK$5&gt;Mitarbeiter!$F$49),0,IF(Planung!GK51="",$C51,IF(ISNUMBER(Planung!GK51),Planung!GK51,IF(UPPER(Planung!GK51)="H",$C51/2,0)))))))</f>
        <v>0</v>
      </c>
      <c r="GL51" s="27">
        <f>IF($A51="",0,IF(Mitarbeiter!$G$49=FALSE,0,IF(AND(Mitarbeiter!$E$49&lt;&gt;"",GL$5+6&lt;Mitarbeiter!$E$49),0,IF(AND(Mitarbeiter!$F$49&lt;&gt;"",GL$5&gt;Mitarbeiter!$F$49),0,IF(Planung!GL51="",$C51,IF(ISNUMBER(Planung!GL51),Planung!GL51,IF(UPPER(Planung!GL51)="H",$C51/2,0)))))))</f>
        <v>0</v>
      </c>
      <c r="GM51" s="27">
        <f>IF($A51="",0,IF(Mitarbeiter!$G$49=FALSE,0,IF(AND(Mitarbeiter!$E$49&lt;&gt;"",GM$5+6&lt;Mitarbeiter!$E$49),0,IF(AND(Mitarbeiter!$F$49&lt;&gt;"",GM$5&gt;Mitarbeiter!$F$49),0,IF(Planung!GM51="",$C51,IF(ISNUMBER(Planung!GM51),Planung!GM51,IF(UPPER(Planung!GM51)="H",$C51/2,0)))))))</f>
        <v>0</v>
      </c>
      <c r="GN51" s="27">
        <f>IF($A51="",0,IF(Mitarbeiter!$G$49=FALSE,0,IF(AND(Mitarbeiter!$E$49&lt;&gt;"",GN$5+6&lt;Mitarbeiter!$E$49),0,IF(AND(Mitarbeiter!$F$49&lt;&gt;"",GN$5&gt;Mitarbeiter!$F$49),0,IF(Planung!GN51="",$C51,IF(ISNUMBER(Planung!GN51),Planung!GN51,IF(UPPER(Planung!GN51)="H",$C51/2,0)))))))</f>
        <v>0</v>
      </c>
      <c r="GO51" s="27">
        <f>IF($A51="",0,IF(Mitarbeiter!$G$49=FALSE,0,IF(AND(Mitarbeiter!$E$49&lt;&gt;"",GO$5+6&lt;Mitarbeiter!$E$49),0,IF(AND(Mitarbeiter!$F$49&lt;&gt;"",GO$5&gt;Mitarbeiter!$F$49),0,IF(Planung!GO51="",$C51,IF(ISNUMBER(Planung!GO51),Planung!GO51,IF(UPPER(Planung!GO51)="H",$C51/2,0)))))))</f>
        <v>0</v>
      </c>
      <c r="GP51" s="27">
        <f>IF($A51="",0,IF(Mitarbeiter!$G$49=FALSE,0,IF(AND(Mitarbeiter!$E$49&lt;&gt;"",GP$5+6&lt;Mitarbeiter!$E$49),0,IF(AND(Mitarbeiter!$F$49&lt;&gt;"",GP$5&gt;Mitarbeiter!$F$49),0,IF(Planung!GP51="",$C51,IF(ISNUMBER(Planung!GP51),Planung!GP51,IF(UPPER(Planung!GP51)="H",$C51/2,0)))))))</f>
        <v>0</v>
      </c>
      <c r="GQ51" s="27">
        <f>IF($A51="",0,IF(Mitarbeiter!$G$49=FALSE,0,IF(AND(Mitarbeiter!$E$49&lt;&gt;"",GQ$5+6&lt;Mitarbeiter!$E$49),0,IF(AND(Mitarbeiter!$F$49&lt;&gt;"",GQ$5&gt;Mitarbeiter!$F$49),0,IF(Planung!GQ51="",$C51,IF(ISNUMBER(Planung!GQ51),Planung!GQ51,IF(UPPER(Planung!GQ51)="H",$C51/2,0)))))))</f>
        <v>0</v>
      </c>
      <c r="GR51" s="27">
        <f>IF($A51="",0,IF(Mitarbeiter!$G$49=FALSE,0,IF(AND(Mitarbeiter!$E$49&lt;&gt;"",GR$5+6&lt;Mitarbeiter!$E$49),0,IF(AND(Mitarbeiter!$F$49&lt;&gt;"",GR$5&gt;Mitarbeiter!$F$49),0,IF(Planung!GR51="",$C51,IF(ISNUMBER(Planung!GR51),Planung!GR51,IF(UPPER(Planung!GR51)="H",$C51/2,0)))))))</f>
        <v>0</v>
      </c>
      <c r="GS51" s="27">
        <f>IF($A51="",0,IF(Mitarbeiter!$G$49=FALSE,0,IF(AND(Mitarbeiter!$E$49&lt;&gt;"",GS$5+6&lt;Mitarbeiter!$E$49),0,IF(AND(Mitarbeiter!$F$49&lt;&gt;"",GS$5&gt;Mitarbeiter!$F$49),0,IF(Planung!GS51="",$C51,IF(ISNUMBER(Planung!GS51),Planung!GS51,IF(UPPER(Planung!GS51)="H",$C51/2,0)))))))</f>
        <v>0</v>
      </c>
      <c r="GT51" s="27">
        <f>IF($A51="",0,IF(Mitarbeiter!$G$49=FALSE,0,IF(AND(Mitarbeiter!$E$49&lt;&gt;"",GT$5+6&lt;Mitarbeiter!$E$49),0,IF(AND(Mitarbeiter!$F$49&lt;&gt;"",GT$5&gt;Mitarbeiter!$F$49),0,IF(Planung!GT51="",$C51,IF(ISNUMBER(Planung!GT51),Planung!GT51,IF(UPPER(Planung!GT51)="H",$C51/2,0)))))))</f>
        <v>0</v>
      </c>
      <c r="GU51" s="27">
        <f>IF($A51="",0,IF(Mitarbeiter!$G$49=FALSE,0,IF(AND(Mitarbeiter!$E$49&lt;&gt;"",GU$5+6&lt;Mitarbeiter!$E$49),0,IF(AND(Mitarbeiter!$F$49&lt;&gt;"",GU$5&gt;Mitarbeiter!$F$49),0,IF(Planung!GU51="",$C51,IF(ISNUMBER(Planung!GU51),Planung!GU51,IF(UPPER(Planung!GU51)="H",$C51/2,0)))))))</f>
        <v>0</v>
      </c>
      <c r="GV51" s="27">
        <f>IF($A51="",0,IF(Mitarbeiter!$G$49=FALSE,0,IF(AND(Mitarbeiter!$E$49&lt;&gt;"",GV$5+6&lt;Mitarbeiter!$E$49),0,IF(AND(Mitarbeiter!$F$49&lt;&gt;"",GV$5&gt;Mitarbeiter!$F$49),0,IF(Planung!GV51="",$C51,IF(ISNUMBER(Planung!GV51),Planung!GV51,IF(UPPER(Planung!GV51)="H",$C51/2,0)))))))</f>
        <v>0</v>
      </c>
      <c r="GW51" s="27">
        <f>IF($A51="",0,IF(Mitarbeiter!$G$49=FALSE,0,IF(AND(Mitarbeiter!$E$49&lt;&gt;"",GW$5+6&lt;Mitarbeiter!$E$49),0,IF(AND(Mitarbeiter!$F$49&lt;&gt;"",GW$5&gt;Mitarbeiter!$F$49),0,IF(Planung!GW51="",$C51,IF(ISNUMBER(Planung!GW51),Planung!GW51,IF(UPPER(Planung!GW51)="H",$C51/2,0)))))))</f>
        <v>0</v>
      </c>
      <c r="GX51" s="27">
        <f>IF($A51="",0,IF(Mitarbeiter!$G$49=FALSE,0,IF(AND(Mitarbeiter!$E$49&lt;&gt;"",GX$5+6&lt;Mitarbeiter!$E$49),0,IF(AND(Mitarbeiter!$F$49&lt;&gt;"",GX$5&gt;Mitarbeiter!$F$49),0,IF(Planung!GX51="",$C51,IF(ISNUMBER(Planung!GX51),Planung!GX51,IF(UPPER(Planung!GX51)="H",$C51/2,0)))))))</f>
        <v>0</v>
      </c>
      <c r="GY51" s="27">
        <f>IF($A51="",0,IF(Mitarbeiter!$G$49=FALSE,0,IF(AND(Mitarbeiter!$E$49&lt;&gt;"",GY$5+6&lt;Mitarbeiter!$E$49),0,IF(AND(Mitarbeiter!$F$49&lt;&gt;"",GY$5&gt;Mitarbeiter!$F$49),0,IF(Planung!GY51="",$C51,IF(ISNUMBER(Planung!GY51),Planung!GY51,IF(UPPER(Planung!GY51)="H",$C51/2,0)))))))</f>
        <v>0</v>
      </c>
      <c r="GZ51" s="27">
        <f>IF($A51="",0,IF(Mitarbeiter!$G$49=FALSE,0,IF(AND(Mitarbeiter!$E$49&lt;&gt;"",GZ$5+6&lt;Mitarbeiter!$E$49),0,IF(AND(Mitarbeiter!$F$49&lt;&gt;"",GZ$5&gt;Mitarbeiter!$F$49),0,IF(Planung!GZ51="",$C51,IF(ISNUMBER(Planung!GZ51),Planung!GZ51,IF(UPPER(Planung!GZ51)="H",$C51/2,0)))))))</f>
        <v>0</v>
      </c>
      <c r="HA51" s="27">
        <f>IF($A51="",0,IF(Mitarbeiter!$G$49=FALSE,0,IF(AND(Mitarbeiter!$E$49&lt;&gt;"",HA$5+6&lt;Mitarbeiter!$E$49),0,IF(AND(Mitarbeiter!$F$49&lt;&gt;"",HA$5&gt;Mitarbeiter!$F$49),0,IF(Planung!HA51="",$C51,IF(ISNUMBER(Planung!HA51),Planung!HA51,IF(UPPER(Planung!HA51)="H",$C51/2,0)))))))</f>
        <v>0</v>
      </c>
      <c r="HB51" s="27">
        <f>IF($A51="",0,IF(Mitarbeiter!$G$49=FALSE,0,IF(AND(Mitarbeiter!$E$49&lt;&gt;"",HB$5+6&lt;Mitarbeiter!$E$49),0,IF(AND(Mitarbeiter!$F$49&lt;&gt;"",HB$5&gt;Mitarbeiter!$F$49),0,IF(Planung!HB51="",$C51,IF(ISNUMBER(Planung!HB51),Planung!HB51,IF(UPPER(Planung!HB51)="H",$C51/2,0)))))))</f>
        <v>0</v>
      </c>
      <c r="HC51" s="27">
        <f>IF($A51="",0,IF(Mitarbeiter!$G$49=FALSE,0,IF(AND(Mitarbeiter!$E$49&lt;&gt;"",HC$5+6&lt;Mitarbeiter!$E$49),0,IF(AND(Mitarbeiter!$F$49&lt;&gt;"",HC$5&gt;Mitarbeiter!$F$49),0,IF(Planung!HC51="",$C51,IF(ISNUMBER(Planung!HC51),Planung!HC51,IF(UPPER(Planung!HC51)="H",$C51/2,0)))))))</f>
        <v>0</v>
      </c>
      <c r="HD51" s="27">
        <f>IF($A51="",0,IF(Mitarbeiter!$G$49=FALSE,0,IF(AND(Mitarbeiter!$E$49&lt;&gt;"",HD$5+6&lt;Mitarbeiter!$E$49),0,IF(AND(Mitarbeiter!$F$49&lt;&gt;"",HD$5&gt;Mitarbeiter!$F$49),0,IF(Planung!HD51="",$C51,IF(ISNUMBER(Planung!HD51),Planung!HD51,IF(UPPER(Planung!HD51)="H",$C51/2,0)))))))</f>
        <v>0</v>
      </c>
      <c r="HE51" s="27">
        <f>IF($A51="",0,IF(Mitarbeiter!$G$49=FALSE,0,IF(AND(Mitarbeiter!$E$49&lt;&gt;"",HE$5+6&lt;Mitarbeiter!$E$49),0,IF(AND(Mitarbeiter!$F$49&lt;&gt;"",HE$5&gt;Mitarbeiter!$F$49),0,IF(Planung!HE51="",$C51,IF(ISNUMBER(Planung!HE51),Planung!HE51,IF(UPPER(Planung!HE51)="H",$C51/2,0)))))))</f>
        <v>0</v>
      </c>
      <c r="HF51" s="27">
        <f>IF($A51="",0,IF(Mitarbeiter!$G$49=FALSE,0,IF(AND(Mitarbeiter!$E$49&lt;&gt;"",HF$5+6&lt;Mitarbeiter!$E$49),0,IF(AND(Mitarbeiter!$F$49&lt;&gt;"",HF$5&gt;Mitarbeiter!$F$49),0,IF(Planung!HF51="",$C51,IF(ISNUMBER(Planung!HF51),Planung!HF51,IF(UPPER(Planung!HF51)="H",$C51/2,0)))))))</f>
        <v>0</v>
      </c>
      <c r="HG51" s="27">
        <f>IF($A51="",0,IF(Mitarbeiter!$G$49=FALSE,0,IF(AND(Mitarbeiter!$E$49&lt;&gt;"",HG$5+6&lt;Mitarbeiter!$E$49),0,IF(AND(Mitarbeiter!$F$49&lt;&gt;"",HG$5&gt;Mitarbeiter!$F$49),0,IF(Planung!HG51="",$C51,IF(ISNUMBER(Planung!HG51),Planung!HG51,IF(UPPER(Planung!HG51)="H",$C51/2,0)))))))</f>
        <v>0</v>
      </c>
      <c r="HH51" s="27">
        <f>IF($A51="",0,IF(Mitarbeiter!$G$49=FALSE,0,IF(AND(Mitarbeiter!$E$49&lt;&gt;"",HH$5+6&lt;Mitarbeiter!$E$49),0,IF(AND(Mitarbeiter!$F$49&lt;&gt;"",HH$5&gt;Mitarbeiter!$F$49),0,IF(Planung!HH51="",$C51,IF(ISNUMBER(Planung!HH51),Planung!HH51,IF(UPPER(Planung!HH51)="H",$C51/2,0)))))))</f>
        <v>0</v>
      </c>
      <c r="HI51" s="27">
        <f>IF($A51="",0,IF(Mitarbeiter!$G$49=FALSE,0,IF(AND(Mitarbeiter!$E$49&lt;&gt;"",HI$5+6&lt;Mitarbeiter!$E$49),0,IF(AND(Mitarbeiter!$F$49&lt;&gt;"",HI$5&gt;Mitarbeiter!$F$49),0,IF(Planung!HI51="",$C51,IF(ISNUMBER(Planung!HI51),Planung!HI51,IF(UPPER(Planung!HI51)="H",$C51/2,0)))))))</f>
        <v>0</v>
      </c>
      <c r="HJ51" s="27">
        <f>IF($A51="",0,IF(Mitarbeiter!$G$49=FALSE,0,IF(AND(Mitarbeiter!$E$49&lt;&gt;"",HJ$5+6&lt;Mitarbeiter!$E$49),0,IF(AND(Mitarbeiter!$F$49&lt;&gt;"",HJ$5&gt;Mitarbeiter!$F$49),0,IF(Planung!HJ51="",$C51,IF(ISNUMBER(Planung!HJ51),Planung!HJ51,IF(UPPER(Planung!HJ51)="H",$C51/2,0)))))))</f>
        <v>0</v>
      </c>
      <c r="HK51" s="27">
        <f>IF($A51="",0,IF(Mitarbeiter!$G$49=FALSE,0,IF(AND(Mitarbeiter!$E$49&lt;&gt;"",HK$5+6&lt;Mitarbeiter!$E$49),0,IF(AND(Mitarbeiter!$F$49&lt;&gt;"",HK$5&gt;Mitarbeiter!$F$49),0,IF(Planung!HK51="",$C51,IF(ISNUMBER(Planung!HK51),Planung!HK51,IF(UPPER(Planung!HK51)="H",$C51/2,0)))))))</f>
        <v>0</v>
      </c>
      <c r="HL51" s="27">
        <f>IF($A51="",0,IF(Mitarbeiter!$G$49=FALSE,0,IF(AND(Mitarbeiter!$E$49&lt;&gt;"",HL$5+6&lt;Mitarbeiter!$E$49),0,IF(AND(Mitarbeiter!$F$49&lt;&gt;"",HL$5&gt;Mitarbeiter!$F$49),0,IF(Planung!HL51="",$C51,IF(ISNUMBER(Planung!HL51),Planung!HL51,IF(UPPER(Planung!HL51)="H",$C51/2,0)))))))</f>
        <v>0</v>
      </c>
      <c r="HM51" s="27">
        <f>IF($A51="",0,IF(Mitarbeiter!$G$49=FALSE,0,IF(AND(Mitarbeiter!$E$49&lt;&gt;"",HM$5+6&lt;Mitarbeiter!$E$49),0,IF(AND(Mitarbeiter!$F$49&lt;&gt;"",HM$5&gt;Mitarbeiter!$F$49),0,IF(Planung!HM51="",$C51,IF(ISNUMBER(Planung!HM51),Planung!HM51,IF(UPPER(Planung!HM51)="H",$C51/2,0)))))))</f>
        <v>0</v>
      </c>
      <c r="HN51" s="27">
        <f>IF($A51="",0,IF(Mitarbeiter!$G$49=FALSE,0,IF(AND(Mitarbeiter!$E$49&lt;&gt;"",HN$5+6&lt;Mitarbeiter!$E$49),0,IF(AND(Mitarbeiter!$F$49&lt;&gt;"",HN$5&gt;Mitarbeiter!$F$49),0,IF(Planung!HN51="",$C51,IF(ISNUMBER(Planung!HN51),Planung!HN51,IF(UPPER(Planung!HN51)="H",$C51/2,0)))))))</f>
        <v>0</v>
      </c>
      <c r="HO51" s="27">
        <f>IF($A51="",0,IF(Mitarbeiter!$G$49=FALSE,0,IF(AND(Mitarbeiter!$E$49&lt;&gt;"",HO$5+6&lt;Mitarbeiter!$E$49),0,IF(AND(Mitarbeiter!$F$49&lt;&gt;"",HO$5&gt;Mitarbeiter!$F$49),0,IF(Planung!HO51="",$C51,IF(ISNUMBER(Planung!HO51),Planung!HO51,IF(UPPER(Planung!HO51)="H",$C51/2,0)))))))</f>
        <v>0</v>
      </c>
      <c r="HP51" s="27">
        <f>IF($A51="",0,IF(Mitarbeiter!$G$49=FALSE,0,IF(AND(Mitarbeiter!$E$49&lt;&gt;"",HP$5+6&lt;Mitarbeiter!$E$49),0,IF(AND(Mitarbeiter!$F$49&lt;&gt;"",HP$5&gt;Mitarbeiter!$F$49),0,IF(Planung!HP51="",$C51,IF(ISNUMBER(Planung!HP51),Planung!HP51,IF(UPPER(Planung!HP51)="H",$C51/2,0)))))))</f>
        <v>0</v>
      </c>
      <c r="HQ51" s="27">
        <f>IF($A51="",0,IF(Mitarbeiter!$G$49=FALSE,0,IF(AND(Mitarbeiter!$E$49&lt;&gt;"",HQ$5+6&lt;Mitarbeiter!$E$49),0,IF(AND(Mitarbeiter!$F$49&lt;&gt;"",HQ$5&gt;Mitarbeiter!$F$49),0,IF(Planung!HQ51="",$C51,IF(ISNUMBER(Planung!HQ51),Planung!HQ51,IF(UPPER(Planung!HQ51)="H",$C51/2,0)))))))</f>
        <v>0</v>
      </c>
      <c r="HR51" s="27">
        <f>IF($A51="",0,IF(Mitarbeiter!$G$49=FALSE,0,IF(AND(Mitarbeiter!$E$49&lt;&gt;"",HR$5+6&lt;Mitarbeiter!$E$49),0,IF(AND(Mitarbeiter!$F$49&lt;&gt;"",HR$5&gt;Mitarbeiter!$F$49),0,IF(Planung!HR51="",$C51,IF(ISNUMBER(Planung!HR51),Planung!HR51,IF(UPPER(Planung!HR51)="H",$C51/2,0)))))))</f>
        <v>0</v>
      </c>
      <c r="HS51" s="27">
        <f>IF($A51="",0,IF(Mitarbeiter!$G$49=FALSE,0,IF(AND(Mitarbeiter!$E$49&lt;&gt;"",HS$5+6&lt;Mitarbeiter!$E$49),0,IF(AND(Mitarbeiter!$F$49&lt;&gt;"",HS$5&gt;Mitarbeiter!$F$49),0,IF(Planung!HS51="",$C51,IF(ISNUMBER(Planung!HS51),Planung!HS51,IF(UPPER(Planung!HS51)="H",$C51/2,0)))))))</f>
        <v>0</v>
      </c>
      <c r="HT51" s="27">
        <f>IF($A51="",0,IF(Mitarbeiter!$G$49=FALSE,0,IF(AND(Mitarbeiter!$E$49&lt;&gt;"",HT$5+6&lt;Mitarbeiter!$E$49),0,IF(AND(Mitarbeiter!$F$49&lt;&gt;"",HT$5&gt;Mitarbeiter!$F$49),0,IF(Planung!HT51="",$C51,IF(ISNUMBER(Planung!HT51),Planung!HT51,IF(UPPER(Planung!HT51)="H",$C51/2,0)))))))</f>
        <v>0</v>
      </c>
      <c r="HU51" s="27">
        <f>IF($A51="",0,IF(Mitarbeiter!$G$49=FALSE,0,IF(AND(Mitarbeiter!$E$49&lt;&gt;"",HU$5+6&lt;Mitarbeiter!$E$49),0,IF(AND(Mitarbeiter!$F$49&lt;&gt;"",HU$5&gt;Mitarbeiter!$F$49),0,IF(Planung!HU51="",$C51,IF(ISNUMBER(Planung!HU51),Planung!HU51,IF(UPPER(Planung!HU51)="H",$C51/2,0)))))))</f>
        <v>0</v>
      </c>
      <c r="HV51" s="27">
        <f>IF($A51="",0,IF(Mitarbeiter!$G$49=FALSE,0,IF(AND(Mitarbeiter!$E$49&lt;&gt;"",HV$5+6&lt;Mitarbeiter!$E$49),0,IF(AND(Mitarbeiter!$F$49&lt;&gt;"",HV$5&gt;Mitarbeiter!$F$49),0,IF(Planung!HV51="",$C51,IF(ISNUMBER(Planung!HV51),Planung!HV51,IF(UPPER(Planung!HV51)="H",$C51/2,0)))))))</f>
        <v>0</v>
      </c>
      <c r="HW51" s="27">
        <f>IF($A51="",0,IF(Mitarbeiter!$G$49=FALSE,0,IF(AND(Mitarbeiter!$E$49&lt;&gt;"",HW$5+6&lt;Mitarbeiter!$E$49),0,IF(AND(Mitarbeiter!$F$49&lt;&gt;"",HW$5&gt;Mitarbeiter!$F$49),0,IF(Planung!HW51="",$C51,IF(ISNUMBER(Planung!HW51),Planung!HW51,IF(UPPER(Planung!HW51)="H",$C51/2,0)))))))</f>
        <v>0</v>
      </c>
      <c r="HX51" s="27">
        <f>IF($A51="",0,IF(Mitarbeiter!$G$49=FALSE,0,IF(AND(Mitarbeiter!$E$49&lt;&gt;"",HX$5+6&lt;Mitarbeiter!$E$49),0,IF(AND(Mitarbeiter!$F$49&lt;&gt;"",HX$5&gt;Mitarbeiter!$F$49),0,IF(Planung!HX51="",$C51,IF(ISNUMBER(Planung!HX51),Planung!HX51,IF(UPPER(Planung!HX51)="H",$C51/2,0)))))))</f>
        <v>0</v>
      </c>
      <c r="HY51" s="27">
        <f>IF($A51="",0,IF(Mitarbeiter!$G$49=FALSE,0,IF(AND(Mitarbeiter!$E$49&lt;&gt;"",HY$5+6&lt;Mitarbeiter!$E$49),0,IF(AND(Mitarbeiter!$F$49&lt;&gt;"",HY$5&gt;Mitarbeiter!$F$49),0,IF(Planung!HY51="",$C51,IF(ISNUMBER(Planung!HY51),Planung!HY51,IF(UPPER(Planung!HY51)="H",$C51/2,0)))))))</f>
        <v>0</v>
      </c>
      <c r="HZ51" s="27">
        <f>IF($A51="",0,IF(Mitarbeiter!$G$49=FALSE,0,IF(AND(Mitarbeiter!$E$49&lt;&gt;"",HZ$5+6&lt;Mitarbeiter!$E$49),0,IF(AND(Mitarbeiter!$F$49&lt;&gt;"",HZ$5&gt;Mitarbeiter!$F$49),0,IF(Planung!HZ51="",$C51,IF(ISNUMBER(Planung!HZ51),Planung!HZ51,IF(UPPER(Planung!HZ51)="H",$C51/2,0)))))))</f>
        <v>0</v>
      </c>
      <c r="IA51" s="27">
        <f>IF($A51="",0,IF(Mitarbeiter!$G$49=FALSE,0,IF(AND(Mitarbeiter!$E$49&lt;&gt;"",IA$5+6&lt;Mitarbeiter!$E$49),0,IF(AND(Mitarbeiter!$F$49&lt;&gt;"",IA$5&gt;Mitarbeiter!$F$49),0,IF(Planung!IA51="",$C51,IF(ISNUMBER(Planung!IA51),Planung!IA51,IF(UPPER(Planung!IA51)="H",$C51/2,0)))))))</f>
        <v>0</v>
      </c>
    </row>
    <row r="52" spans="1:235" x14ac:dyDescent="0.25">
      <c r="A52" s="7" t="str">
        <f>Planung!A52</f>
        <v/>
      </c>
      <c r="B52" s="7" t="str">
        <f>Planung!B52</f>
        <v/>
      </c>
      <c r="C52" s="27">
        <f>N(Mitarbeiter!$D$50)</f>
        <v>0</v>
      </c>
      <c r="D52" s="27">
        <f>IF($A52="",0,IF(Mitarbeiter!$G$50=FALSE,0,IF(AND(Mitarbeiter!$E$50&lt;&gt;"",D$5+6&lt;Mitarbeiter!$E$50),0,IF(AND(Mitarbeiter!$F$50&lt;&gt;"",D$5&gt;Mitarbeiter!$F$50),0,IF(Planung!D52="",$C52,IF(ISNUMBER(Planung!D52),Planung!D52,IF(UPPER(Planung!D52)="H",$C52/2,0)))))))</f>
        <v>0</v>
      </c>
      <c r="E52" s="27">
        <f>IF($A52="",0,IF(Mitarbeiter!$G$50=FALSE,0,IF(AND(Mitarbeiter!$E$50&lt;&gt;"",E$5+6&lt;Mitarbeiter!$E$50),0,IF(AND(Mitarbeiter!$F$50&lt;&gt;"",E$5&gt;Mitarbeiter!$F$50),0,IF(Planung!E52="",$C52,IF(ISNUMBER(Planung!E52),Planung!E52,IF(UPPER(Planung!E52)="H",$C52/2,0)))))))</f>
        <v>0</v>
      </c>
      <c r="F52" s="27">
        <f>IF($A52="",0,IF(Mitarbeiter!$G$50=FALSE,0,IF(AND(Mitarbeiter!$E$50&lt;&gt;"",F$5+6&lt;Mitarbeiter!$E$50),0,IF(AND(Mitarbeiter!$F$50&lt;&gt;"",F$5&gt;Mitarbeiter!$F$50),0,IF(Planung!F52="",$C52,IF(ISNUMBER(Planung!F52),Planung!F52,IF(UPPER(Planung!F52)="H",$C52/2,0)))))))</f>
        <v>0</v>
      </c>
      <c r="G52" s="27">
        <f>IF($A52="",0,IF(Mitarbeiter!$G$50=FALSE,0,IF(AND(Mitarbeiter!$E$50&lt;&gt;"",G$5+6&lt;Mitarbeiter!$E$50),0,IF(AND(Mitarbeiter!$F$50&lt;&gt;"",G$5&gt;Mitarbeiter!$F$50),0,IF(Planung!G52="",$C52,IF(ISNUMBER(Planung!G52),Planung!G52,IF(UPPER(Planung!G52)="H",$C52/2,0)))))))</f>
        <v>0</v>
      </c>
      <c r="H52" s="27">
        <f>IF($A52="",0,IF(Mitarbeiter!$G$50=FALSE,0,IF(AND(Mitarbeiter!$E$50&lt;&gt;"",H$5+6&lt;Mitarbeiter!$E$50),0,IF(AND(Mitarbeiter!$F$50&lt;&gt;"",H$5&gt;Mitarbeiter!$F$50),0,IF(Planung!H52="",$C52,IF(ISNUMBER(Planung!H52),Planung!H52,IF(UPPER(Planung!H52)="H",$C52/2,0)))))))</f>
        <v>0</v>
      </c>
      <c r="I52" s="27">
        <f>IF($A52="",0,IF(Mitarbeiter!$G$50=FALSE,0,IF(AND(Mitarbeiter!$E$50&lt;&gt;"",I$5+6&lt;Mitarbeiter!$E$50),0,IF(AND(Mitarbeiter!$F$50&lt;&gt;"",I$5&gt;Mitarbeiter!$F$50),0,IF(Planung!I52="",$C52,IF(ISNUMBER(Planung!I52),Planung!I52,IF(UPPER(Planung!I52)="H",$C52/2,0)))))))</f>
        <v>0</v>
      </c>
      <c r="J52" s="27">
        <f>IF($A52="",0,IF(Mitarbeiter!$G$50=FALSE,0,IF(AND(Mitarbeiter!$E$50&lt;&gt;"",J$5+6&lt;Mitarbeiter!$E$50),0,IF(AND(Mitarbeiter!$F$50&lt;&gt;"",J$5&gt;Mitarbeiter!$F$50),0,IF(Planung!J52="",$C52,IF(ISNUMBER(Planung!J52),Planung!J52,IF(UPPER(Planung!J52)="H",$C52/2,0)))))))</f>
        <v>0</v>
      </c>
      <c r="K52" s="27">
        <f>IF($A52="",0,IF(Mitarbeiter!$G$50=FALSE,0,IF(AND(Mitarbeiter!$E$50&lt;&gt;"",K$5+6&lt;Mitarbeiter!$E$50),0,IF(AND(Mitarbeiter!$F$50&lt;&gt;"",K$5&gt;Mitarbeiter!$F$50),0,IF(Planung!K52="",$C52,IF(ISNUMBER(Planung!K52),Planung!K52,IF(UPPER(Planung!K52)="H",$C52/2,0)))))))</f>
        <v>0</v>
      </c>
      <c r="L52" s="27">
        <f>IF($A52="",0,IF(Mitarbeiter!$G$50=FALSE,0,IF(AND(Mitarbeiter!$E$50&lt;&gt;"",L$5+6&lt;Mitarbeiter!$E$50),0,IF(AND(Mitarbeiter!$F$50&lt;&gt;"",L$5&gt;Mitarbeiter!$F$50),0,IF(Planung!L52="",$C52,IF(ISNUMBER(Planung!L52),Planung!L52,IF(UPPER(Planung!L52)="H",$C52/2,0)))))))</f>
        <v>0</v>
      </c>
      <c r="M52" s="27">
        <f>IF($A52="",0,IF(Mitarbeiter!$G$50=FALSE,0,IF(AND(Mitarbeiter!$E$50&lt;&gt;"",M$5+6&lt;Mitarbeiter!$E$50),0,IF(AND(Mitarbeiter!$F$50&lt;&gt;"",M$5&gt;Mitarbeiter!$F$50),0,IF(Planung!M52="",$C52,IF(ISNUMBER(Planung!M52),Planung!M52,IF(UPPER(Planung!M52)="H",$C52/2,0)))))))</f>
        <v>0</v>
      </c>
      <c r="N52" s="27">
        <f>IF($A52="",0,IF(Mitarbeiter!$G$50=FALSE,0,IF(AND(Mitarbeiter!$E$50&lt;&gt;"",N$5+6&lt;Mitarbeiter!$E$50),0,IF(AND(Mitarbeiter!$F$50&lt;&gt;"",N$5&gt;Mitarbeiter!$F$50),0,IF(Planung!N52="",$C52,IF(ISNUMBER(Planung!N52),Planung!N52,IF(UPPER(Planung!N52)="H",$C52/2,0)))))))</f>
        <v>0</v>
      </c>
      <c r="O52" s="27">
        <f>IF($A52="",0,IF(Mitarbeiter!$G$50=FALSE,0,IF(AND(Mitarbeiter!$E$50&lt;&gt;"",O$5+6&lt;Mitarbeiter!$E$50),0,IF(AND(Mitarbeiter!$F$50&lt;&gt;"",O$5&gt;Mitarbeiter!$F$50),0,IF(Planung!O52="",$C52,IF(ISNUMBER(Planung!O52),Planung!O52,IF(UPPER(Planung!O52)="H",$C52/2,0)))))))</f>
        <v>0</v>
      </c>
      <c r="P52" s="27">
        <f>IF($A52="",0,IF(Mitarbeiter!$G$50=FALSE,0,IF(AND(Mitarbeiter!$E$50&lt;&gt;"",P$5+6&lt;Mitarbeiter!$E$50),0,IF(AND(Mitarbeiter!$F$50&lt;&gt;"",P$5&gt;Mitarbeiter!$F$50),0,IF(Planung!P52="",$C52,IF(ISNUMBER(Planung!P52),Planung!P52,IF(UPPER(Planung!P52)="H",$C52/2,0)))))))</f>
        <v>0</v>
      </c>
      <c r="Q52" s="27">
        <f>IF($A52="",0,IF(Mitarbeiter!$G$50=FALSE,0,IF(AND(Mitarbeiter!$E$50&lt;&gt;"",Q$5+6&lt;Mitarbeiter!$E$50),0,IF(AND(Mitarbeiter!$F$50&lt;&gt;"",Q$5&gt;Mitarbeiter!$F$50),0,IF(Planung!Q52="",$C52,IF(ISNUMBER(Planung!Q52),Planung!Q52,IF(UPPER(Planung!Q52)="H",$C52/2,0)))))))</f>
        <v>0</v>
      </c>
      <c r="R52" s="27">
        <f>IF($A52="",0,IF(Mitarbeiter!$G$50=FALSE,0,IF(AND(Mitarbeiter!$E$50&lt;&gt;"",R$5+6&lt;Mitarbeiter!$E$50),0,IF(AND(Mitarbeiter!$F$50&lt;&gt;"",R$5&gt;Mitarbeiter!$F$50),0,IF(Planung!R52="",$C52,IF(ISNUMBER(Planung!R52),Planung!R52,IF(UPPER(Planung!R52)="H",$C52/2,0)))))))</f>
        <v>0</v>
      </c>
      <c r="S52" s="27">
        <f>IF($A52="",0,IF(Mitarbeiter!$G$50=FALSE,0,IF(AND(Mitarbeiter!$E$50&lt;&gt;"",S$5+6&lt;Mitarbeiter!$E$50),0,IF(AND(Mitarbeiter!$F$50&lt;&gt;"",S$5&gt;Mitarbeiter!$F$50),0,IF(Planung!S52="",$C52,IF(ISNUMBER(Planung!S52),Planung!S52,IF(UPPER(Planung!S52)="H",$C52/2,0)))))))</f>
        <v>0</v>
      </c>
      <c r="T52" s="27">
        <f>IF($A52="",0,IF(Mitarbeiter!$G$50=FALSE,0,IF(AND(Mitarbeiter!$E$50&lt;&gt;"",T$5+6&lt;Mitarbeiter!$E$50),0,IF(AND(Mitarbeiter!$F$50&lt;&gt;"",T$5&gt;Mitarbeiter!$F$50),0,IF(Planung!T52="",$C52,IF(ISNUMBER(Planung!T52),Planung!T52,IF(UPPER(Planung!T52)="H",$C52/2,0)))))))</f>
        <v>0</v>
      </c>
      <c r="U52" s="27">
        <f>IF($A52="",0,IF(Mitarbeiter!$G$50=FALSE,0,IF(AND(Mitarbeiter!$E$50&lt;&gt;"",U$5+6&lt;Mitarbeiter!$E$50),0,IF(AND(Mitarbeiter!$F$50&lt;&gt;"",U$5&gt;Mitarbeiter!$F$50),0,IF(Planung!U52="",$C52,IF(ISNUMBER(Planung!U52),Planung!U52,IF(UPPER(Planung!U52)="H",$C52/2,0)))))))</f>
        <v>0</v>
      </c>
      <c r="V52" s="27">
        <f>IF($A52="",0,IF(Mitarbeiter!$G$50=FALSE,0,IF(AND(Mitarbeiter!$E$50&lt;&gt;"",V$5+6&lt;Mitarbeiter!$E$50),0,IF(AND(Mitarbeiter!$F$50&lt;&gt;"",V$5&gt;Mitarbeiter!$F$50),0,IF(Planung!V52="",$C52,IF(ISNUMBER(Planung!V52),Planung!V52,IF(UPPER(Planung!V52)="H",$C52/2,0)))))))</f>
        <v>0</v>
      </c>
      <c r="W52" s="27">
        <f>IF($A52="",0,IF(Mitarbeiter!$G$50=FALSE,0,IF(AND(Mitarbeiter!$E$50&lt;&gt;"",W$5+6&lt;Mitarbeiter!$E$50),0,IF(AND(Mitarbeiter!$F$50&lt;&gt;"",W$5&gt;Mitarbeiter!$F$50),0,IF(Planung!W52="",$C52,IF(ISNUMBER(Planung!W52),Planung!W52,IF(UPPER(Planung!W52)="H",$C52/2,0)))))))</f>
        <v>0</v>
      </c>
      <c r="X52" s="27">
        <f>IF($A52="",0,IF(Mitarbeiter!$G$50=FALSE,0,IF(AND(Mitarbeiter!$E$50&lt;&gt;"",X$5+6&lt;Mitarbeiter!$E$50),0,IF(AND(Mitarbeiter!$F$50&lt;&gt;"",X$5&gt;Mitarbeiter!$F$50),0,IF(Planung!X52="",$C52,IF(ISNUMBER(Planung!X52),Planung!X52,IF(UPPER(Planung!X52)="H",$C52/2,0)))))))</f>
        <v>0</v>
      </c>
      <c r="Y52" s="27">
        <f>IF($A52="",0,IF(Mitarbeiter!$G$50=FALSE,0,IF(AND(Mitarbeiter!$E$50&lt;&gt;"",Y$5+6&lt;Mitarbeiter!$E$50),0,IF(AND(Mitarbeiter!$F$50&lt;&gt;"",Y$5&gt;Mitarbeiter!$F$50),0,IF(Planung!Y52="",$C52,IF(ISNUMBER(Planung!Y52),Planung!Y52,IF(UPPER(Planung!Y52)="H",$C52/2,0)))))))</f>
        <v>0</v>
      </c>
      <c r="Z52" s="27">
        <f>IF($A52="",0,IF(Mitarbeiter!$G$50=FALSE,0,IF(AND(Mitarbeiter!$E$50&lt;&gt;"",Z$5+6&lt;Mitarbeiter!$E$50),0,IF(AND(Mitarbeiter!$F$50&lt;&gt;"",Z$5&gt;Mitarbeiter!$F$50),0,IF(Planung!Z52="",$C52,IF(ISNUMBER(Planung!Z52),Planung!Z52,IF(UPPER(Planung!Z52)="H",$C52/2,0)))))))</f>
        <v>0</v>
      </c>
      <c r="AA52" s="27">
        <f>IF($A52="",0,IF(Mitarbeiter!$G$50=FALSE,0,IF(AND(Mitarbeiter!$E$50&lt;&gt;"",AA$5+6&lt;Mitarbeiter!$E$50),0,IF(AND(Mitarbeiter!$F$50&lt;&gt;"",AA$5&gt;Mitarbeiter!$F$50),0,IF(Planung!AA52="",$C52,IF(ISNUMBER(Planung!AA52),Planung!AA52,IF(UPPER(Planung!AA52)="H",$C52/2,0)))))))</f>
        <v>0</v>
      </c>
      <c r="AB52" s="27">
        <f>IF($A52="",0,IF(Mitarbeiter!$G$50=FALSE,0,IF(AND(Mitarbeiter!$E$50&lt;&gt;"",AB$5+6&lt;Mitarbeiter!$E$50),0,IF(AND(Mitarbeiter!$F$50&lt;&gt;"",AB$5&gt;Mitarbeiter!$F$50),0,IF(Planung!AB52="",$C52,IF(ISNUMBER(Planung!AB52),Planung!AB52,IF(UPPER(Planung!AB52)="H",$C52/2,0)))))))</f>
        <v>0</v>
      </c>
      <c r="AC52" s="27">
        <f>IF($A52="",0,IF(Mitarbeiter!$G$50=FALSE,0,IF(AND(Mitarbeiter!$E$50&lt;&gt;"",AC$5+6&lt;Mitarbeiter!$E$50),0,IF(AND(Mitarbeiter!$F$50&lt;&gt;"",AC$5&gt;Mitarbeiter!$F$50),0,IF(Planung!AC52="",$C52,IF(ISNUMBER(Planung!AC52),Planung!AC52,IF(UPPER(Planung!AC52)="H",$C52/2,0)))))))</f>
        <v>0</v>
      </c>
      <c r="AD52" s="27">
        <f>IF($A52="",0,IF(Mitarbeiter!$G$50=FALSE,0,IF(AND(Mitarbeiter!$E$50&lt;&gt;"",AD$5+6&lt;Mitarbeiter!$E$50),0,IF(AND(Mitarbeiter!$F$50&lt;&gt;"",AD$5&gt;Mitarbeiter!$F$50),0,IF(Planung!AD52="",$C52,IF(ISNUMBER(Planung!AD52),Planung!AD52,IF(UPPER(Planung!AD52)="H",$C52/2,0)))))))</f>
        <v>0</v>
      </c>
      <c r="AE52" s="27">
        <f>IF($A52="",0,IF(Mitarbeiter!$G$50=FALSE,0,IF(AND(Mitarbeiter!$E$50&lt;&gt;"",AE$5+6&lt;Mitarbeiter!$E$50),0,IF(AND(Mitarbeiter!$F$50&lt;&gt;"",AE$5&gt;Mitarbeiter!$F$50),0,IF(Planung!AE52="",$C52,IF(ISNUMBER(Planung!AE52),Planung!AE52,IF(UPPER(Planung!AE52)="H",$C52/2,0)))))))</f>
        <v>0</v>
      </c>
      <c r="AF52" s="27">
        <f>IF($A52="",0,IF(Mitarbeiter!$G$50=FALSE,0,IF(AND(Mitarbeiter!$E$50&lt;&gt;"",AF$5+6&lt;Mitarbeiter!$E$50),0,IF(AND(Mitarbeiter!$F$50&lt;&gt;"",AF$5&gt;Mitarbeiter!$F$50),0,IF(Planung!AF52="",$C52,IF(ISNUMBER(Planung!AF52),Planung!AF52,IF(UPPER(Planung!AF52)="H",$C52/2,0)))))))</f>
        <v>0</v>
      </c>
      <c r="AG52" s="27">
        <f>IF($A52="",0,IF(Mitarbeiter!$G$50=FALSE,0,IF(AND(Mitarbeiter!$E$50&lt;&gt;"",AG$5+6&lt;Mitarbeiter!$E$50),0,IF(AND(Mitarbeiter!$F$50&lt;&gt;"",AG$5&gt;Mitarbeiter!$F$50),0,IF(Planung!AG52="",$C52,IF(ISNUMBER(Planung!AG52),Planung!AG52,IF(UPPER(Planung!AG52)="H",$C52/2,0)))))))</f>
        <v>0</v>
      </c>
      <c r="AH52" s="27">
        <f>IF($A52="",0,IF(Mitarbeiter!$G$50=FALSE,0,IF(AND(Mitarbeiter!$E$50&lt;&gt;"",AH$5+6&lt;Mitarbeiter!$E$50),0,IF(AND(Mitarbeiter!$F$50&lt;&gt;"",AH$5&gt;Mitarbeiter!$F$50),0,IF(Planung!AH52="",$C52,IF(ISNUMBER(Planung!AH52),Planung!AH52,IF(UPPER(Planung!AH52)="H",$C52/2,0)))))))</f>
        <v>0</v>
      </c>
      <c r="AI52" s="27">
        <f>IF($A52="",0,IF(Mitarbeiter!$G$50=FALSE,0,IF(AND(Mitarbeiter!$E$50&lt;&gt;"",AI$5+6&lt;Mitarbeiter!$E$50),0,IF(AND(Mitarbeiter!$F$50&lt;&gt;"",AI$5&gt;Mitarbeiter!$F$50),0,IF(Planung!AI52="",$C52,IF(ISNUMBER(Planung!AI52),Planung!AI52,IF(UPPER(Planung!AI52)="H",$C52/2,0)))))))</f>
        <v>0</v>
      </c>
      <c r="AJ52" s="27">
        <f>IF($A52="",0,IF(Mitarbeiter!$G$50=FALSE,0,IF(AND(Mitarbeiter!$E$50&lt;&gt;"",AJ$5+6&lt;Mitarbeiter!$E$50),0,IF(AND(Mitarbeiter!$F$50&lt;&gt;"",AJ$5&gt;Mitarbeiter!$F$50),0,IF(Planung!AJ52="",$C52,IF(ISNUMBER(Planung!AJ52),Planung!AJ52,IF(UPPER(Planung!AJ52)="H",$C52/2,0)))))))</f>
        <v>0</v>
      </c>
      <c r="AK52" s="27">
        <f>IF($A52="",0,IF(Mitarbeiter!$G$50=FALSE,0,IF(AND(Mitarbeiter!$E$50&lt;&gt;"",AK$5+6&lt;Mitarbeiter!$E$50),0,IF(AND(Mitarbeiter!$F$50&lt;&gt;"",AK$5&gt;Mitarbeiter!$F$50),0,IF(Planung!AK52="",$C52,IF(ISNUMBER(Planung!AK52),Planung!AK52,IF(UPPER(Planung!AK52)="H",$C52/2,0)))))))</f>
        <v>0</v>
      </c>
      <c r="AL52" s="27">
        <f>IF($A52="",0,IF(Mitarbeiter!$G$50=FALSE,0,IF(AND(Mitarbeiter!$E$50&lt;&gt;"",AL$5+6&lt;Mitarbeiter!$E$50),0,IF(AND(Mitarbeiter!$F$50&lt;&gt;"",AL$5&gt;Mitarbeiter!$F$50),0,IF(Planung!AL52="",$C52,IF(ISNUMBER(Planung!AL52),Planung!AL52,IF(UPPER(Planung!AL52)="H",$C52/2,0)))))))</f>
        <v>0</v>
      </c>
      <c r="AM52" s="27">
        <f>IF($A52="",0,IF(Mitarbeiter!$G$50=FALSE,0,IF(AND(Mitarbeiter!$E$50&lt;&gt;"",AM$5+6&lt;Mitarbeiter!$E$50),0,IF(AND(Mitarbeiter!$F$50&lt;&gt;"",AM$5&gt;Mitarbeiter!$F$50),0,IF(Planung!AM52="",$C52,IF(ISNUMBER(Planung!AM52),Planung!AM52,IF(UPPER(Planung!AM52)="H",$C52/2,0)))))))</f>
        <v>0</v>
      </c>
      <c r="AN52" s="27">
        <f>IF($A52="",0,IF(Mitarbeiter!$G$50=FALSE,0,IF(AND(Mitarbeiter!$E$50&lt;&gt;"",AN$5+6&lt;Mitarbeiter!$E$50),0,IF(AND(Mitarbeiter!$F$50&lt;&gt;"",AN$5&gt;Mitarbeiter!$F$50),0,IF(Planung!AN52="",$C52,IF(ISNUMBER(Planung!AN52),Planung!AN52,IF(UPPER(Planung!AN52)="H",$C52/2,0)))))))</f>
        <v>0</v>
      </c>
      <c r="AO52" s="27">
        <f>IF($A52="",0,IF(Mitarbeiter!$G$50=FALSE,0,IF(AND(Mitarbeiter!$E$50&lt;&gt;"",AO$5+6&lt;Mitarbeiter!$E$50),0,IF(AND(Mitarbeiter!$F$50&lt;&gt;"",AO$5&gt;Mitarbeiter!$F$50),0,IF(Planung!AO52="",$C52,IF(ISNUMBER(Planung!AO52),Planung!AO52,IF(UPPER(Planung!AO52)="H",$C52/2,0)))))))</f>
        <v>0</v>
      </c>
      <c r="AP52" s="27">
        <f>IF($A52="",0,IF(Mitarbeiter!$G$50=FALSE,0,IF(AND(Mitarbeiter!$E$50&lt;&gt;"",AP$5+6&lt;Mitarbeiter!$E$50),0,IF(AND(Mitarbeiter!$F$50&lt;&gt;"",AP$5&gt;Mitarbeiter!$F$50),0,IF(Planung!AP52="",$C52,IF(ISNUMBER(Planung!AP52),Planung!AP52,IF(UPPER(Planung!AP52)="H",$C52/2,0)))))))</f>
        <v>0</v>
      </c>
      <c r="AQ52" s="27">
        <f>IF($A52="",0,IF(Mitarbeiter!$G$50=FALSE,0,IF(AND(Mitarbeiter!$E$50&lt;&gt;"",AQ$5+6&lt;Mitarbeiter!$E$50),0,IF(AND(Mitarbeiter!$F$50&lt;&gt;"",AQ$5&gt;Mitarbeiter!$F$50),0,IF(Planung!AQ52="",$C52,IF(ISNUMBER(Planung!AQ52),Planung!AQ52,IF(UPPER(Planung!AQ52)="H",$C52/2,0)))))))</f>
        <v>0</v>
      </c>
      <c r="AR52" s="27">
        <f>IF($A52="",0,IF(Mitarbeiter!$G$50=FALSE,0,IF(AND(Mitarbeiter!$E$50&lt;&gt;"",AR$5+6&lt;Mitarbeiter!$E$50),0,IF(AND(Mitarbeiter!$F$50&lt;&gt;"",AR$5&gt;Mitarbeiter!$F$50),0,IF(Planung!AR52="",$C52,IF(ISNUMBER(Planung!AR52),Planung!AR52,IF(UPPER(Planung!AR52)="H",$C52/2,0)))))))</f>
        <v>0</v>
      </c>
      <c r="AS52" s="27">
        <f>IF($A52="",0,IF(Mitarbeiter!$G$50=FALSE,0,IF(AND(Mitarbeiter!$E$50&lt;&gt;"",AS$5+6&lt;Mitarbeiter!$E$50),0,IF(AND(Mitarbeiter!$F$50&lt;&gt;"",AS$5&gt;Mitarbeiter!$F$50),0,IF(Planung!AS52="",$C52,IF(ISNUMBER(Planung!AS52),Planung!AS52,IF(UPPER(Planung!AS52)="H",$C52/2,0)))))))</f>
        <v>0</v>
      </c>
      <c r="AT52" s="27">
        <f>IF($A52="",0,IF(Mitarbeiter!$G$50=FALSE,0,IF(AND(Mitarbeiter!$E$50&lt;&gt;"",AT$5+6&lt;Mitarbeiter!$E$50),0,IF(AND(Mitarbeiter!$F$50&lt;&gt;"",AT$5&gt;Mitarbeiter!$F$50),0,IF(Planung!AT52="",$C52,IF(ISNUMBER(Planung!AT52),Planung!AT52,IF(UPPER(Planung!AT52)="H",$C52/2,0)))))))</f>
        <v>0</v>
      </c>
      <c r="AU52" s="27">
        <f>IF($A52="",0,IF(Mitarbeiter!$G$50=FALSE,0,IF(AND(Mitarbeiter!$E$50&lt;&gt;"",AU$5+6&lt;Mitarbeiter!$E$50),0,IF(AND(Mitarbeiter!$F$50&lt;&gt;"",AU$5&gt;Mitarbeiter!$F$50),0,IF(Planung!AU52="",$C52,IF(ISNUMBER(Planung!AU52),Planung!AU52,IF(UPPER(Planung!AU52)="H",$C52/2,0)))))))</f>
        <v>0</v>
      </c>
      <c r="AV52" s="27">
        <f>IF($A52="",0,IF(Mitarbeiter!$G$50=FALSE,0,IF(AND(Mitarbeiter!$E$50&lt;&gt;"",AV$5+6&lt;Mitarbeiter!$E$50),0,IF(AND(Mitarbeiter!$F$50&lt;&gt;"",AV$5&gt;Mitarbeiter!$F$50),0,IF(Planung!AV52="",$C52,IF(ISNUMBER(Planung!AV52),Planung!AV52,IF(UPPER(Planung!AV52)="H",$C52/2,0)))))))</f>
        <v>0</v>
      </c>
      <c r="AW52" s="27">
        <f>IF($A52="",0,IF(Mitarbeiter!$G$50=FALSE,0,IF(AND(Mitarbeiter!$E$50&lt;&gt;"",AW$5+6&lt;Mitarbeiter!$E$50),0,IF(AND(Mitarbeiter!$F$50&lt;&gt;"",AW$5&gt;Mitarbeiter!$F$50),0,IF(Planung!AW52="",$C52,IF(ISNUMBER(Planung!AW52),Planung!AW52,IF(UPPER(Planung!AW52)="H",$C52/2,0)))))))</f>
        <v>0</v>
      </c>
      <c r="AX52" s="27">
        <f>IF($A52="",0,IF(Mitarbeiter!$G$50=FALSE,0,IF(AND(Mitarbeiter!$E$50&lt;&gt;"",AX$5+6&lt;Mitarbeiter!$E$50),0,IF(AND(Mitarbeiter!$F$50&lt;&gt;"",AX$5&gt;Mitarbeiter!$F$50),0,IF(Planung!AX52="",$C52,IF(ISNUMBER(Planung!AX52),Planung!AX52,IF(UPPER(Planung!AX52)="H",$C52/2,0)))))))</f>
        <v>0</v>
      </c>
      <c r="AY52" s="27">
        <f>IF($A52="",0,IF(Mitarbeiter!$G$50=FALSE,0,IF(AND(Mitarbeiter!$E$50&lt;&gt;"",AY$5+6&lt;Mitarbeiter!$E$50),0,IF(AND(Mitarbeiter!$F$50&lt;&gt;"",AY$5&gt;Mitarbeiter!$F$50),0,IF(Planung!AY52="",$C52,IF(ISNUMBER(Planung!AY52),Planung!AY52,IF(UPPER(Planung!AY52)="H",$C52/2,0)))))))</f>
        <v>0</v>
      </c>
      <c r="AZ52" s="27">
        <f>IF($A52="",0,IF(Mitarbeiter!$G$50=FALSE,0,IF(AND(Mitarbeiter!$E$50&lt;&gt;"",AZ$5+6&lt;Mitarbeiter!$E$50),0,IF(AND(Mitarbeiter!$F$50&lt;&gt;"",AZ$5&gt;Mitarbeiter!$F$50),0,IF(Planung!AZ52="",$C52,IF(ISNUMBER(Planung!AZ52),Planung!AZ52,IF(UPPER(Planung!AZ52)="H",$C52/2,0)))))))</f>
        <v>0</v>
      </c>
      <c r="BA52" s="27">
        <f>IF($A52="",0,IF(Mitarbeiter!$G$50=FALSE,0,IF(AND(Mitarbeiter!$E$50&lt;&gt;"",BA$5+6&lt;Mitarbeiter!$E$50),0,IF(AND(Mitarbeiter!$F$50&lt;&gt;"",BA$5&gt;Mitarbeiter!$F$50),0,IF(Planung!BA52="",$C52,IF(ISNUMBER(Planung!BA52),Planung!BA52,IF(UPPER(Planung!BA52)="H",$C52/2,0)))))))</f>
        <v>0</v>
      </c>
      <c r="BB52" s="27">
        <f>IF($A52="",0,IF(Mitarbeiter!$G$50=FALSE,0,IF(AND(Mitarbeiter!$E$50&lt;&gt;"",BB$5+6&lt;Mitarbeiter!$E$50),0,IF(AND(Mitarbeiter!$F$50&lt;&gt;"",BB$5&gt;Mitarbeiter!$F$50),0,IF(Planung!BB52="",$C52,IF(ISNUMBER(Planung!BB52),Planung!BB52,IF(UPPER(Planung!BB52)="H",$C52/2,0)))))))</f>
        <v>0</v>
      </c>
      <c r="BC52" s="27">
        <f>IF($A52="",0,IF(Mitarbeiter!$G$50=FALSE,0,IF(AND(Mitarbeiter!$E$50&lt;&gt;"",BC$5+6&lt;Mitarbeiter!$E$50),0,IF(AND(Mitarbeiter!$F$50&lt;&gt;"",BC$5&gt;Mitarbeiter!$F$50),0,IF(Planung!BC52="",$C52,IF(ISNUMBER(Planung!BC52),Planung!BC52,IF(UPPER(Planung!BC52)="H",$C52/2,0)))))))</f>
        <v>0</v>
      </c>
      <c r="BD52" s="27">
        <f>IF($A52="",0,IF(Mitarbeiter!$G$50=FALSE,0,IF(AND(Mitarbeiter!$E$50&lt;&gt;"",BD$5+6&lt;Mitarbeiter!$E$50),0,IF(AND(Mitarbeiter!$F$50&lt;&gt;"",BD$5&gt;Mitarbeiter!$F$50),0,IF(Planung!BD52="",$C52,IF(ISNUMBER(Planung!BD52),Planung!BD52,IF(UPPER(Planung!BD52)="H",$C52/2,0)))))))</f>
        <v>0</v>
      </c>
      <c r="BE52" s="27">
        <f>IF($A52="",0,IF(Mitarbeiter!$G$50=FALSE,0,IF(AND(Mitarbeiter!$E$50&lt;&gt;"",BE$5+6&lt;Mitarbeiter!$E$50),0,IF(AND(Mitarbeiter!$F$50&lt;&gt;"",BE$5&gt;Mitarbeiter!$F$50),0,IF(Planung!BE52="",$C52,IF(ISNUMBER(Planung!BE52),Planung!BE52,IF(UPPER(Planung!BE52)="H",$C52/2,0)))))))</f>
        <v>0</v>
      </c>
      <c r="BF52" s="27">
        <f>IF($A52="",0,IF(Mitarbeiter!$G$50=FALSE,0,IF(AND(Mitarbeiter!$E$50&lt;&gt;"",BF$5+6&lt;Mitarbeiter!$E$50),0,IF(AND(Mitarbeiter!$F$50&lt;&gt;"",BF$5&gt;Mitarbeiter!$F$50),0,IF(Planung!BF52="",$C52,IF(ISNUMBER(Planung!BF52),Planung!BF52,IF(UPPER(Planung!BF52)="H",$C52/2,0)))))))</f>
        <v>0</v>
      </c>
      <c r="BG52" s="27">
        <f>IF($A52="",0,IF(Mitarbeiter!$G$50=FALSE,0,IF(AND(Mitarbeiter!$E$50&lt;&gt;"",BG$5+6&lt;Mitarbeiter!$E$50),0,IF(AND(Mitarbeiter!$F$50&lt;&gt;"",BG$5&gt;Mitarbeiter!$F$50),0,IF(Planung!BG52="",$C52,IF(ISNUMBER(Planung!BG52),Planung!BG52,IF(UPPER(Planung!BG52)="H",$C52/2,0)))))))</f>
        <v>0</v>
      </c>
      <c r="BH52" s="27">
        <f>IF($A52="",0,IF(Mitarbeiter!$G$50=FALSE,0,IF(AND(Mitarbeiter!$E$50&lt;&gt;"",BH$5+6&lt;Mitarbeiter!$E$50),0,IF(AND(Mitarbeiter!$F$50&lt;&gt;"",BH$5&gt;Mitarbeiter!$F$50),0,IF(Planung!BH52="",$C52,IF(ISNUMBER(Planung!BH52),Planung!BH52,IF(UPPER(Planung!BH52)="H",$C52/2,0)))))))</f>
        <v>0</v>
      </c>
      <c r="BI52" s="27">
        <f>IF($A52="",0,IF(Mitarbeiter!$G$50=FALSE,0,IF(AND(Mitarbeiter!$E$50&lt;&gt;"",BI$5+6&lt;Mitarbeiter!$E$50),0,IF(AND(Mitarbeiter!$F$50&lt;&gt;"",BI$5&gt;Mitarbeiter!$F$50),0,IF(Planung!BI52="",$C52,IF(ISNUMBER(Planung!BI52),Planung!BI52,IF(UPPER(Planung!BI52)="H",$C52/2,0)))))))</f>
        <v>0</v>
      </c>
      <c r="BJ52" s="27">
        <f>IF($A52="",0,IF(Mitarbeiter!$G$50=FALSE,0,IF(AND(Mitarbeiter!$E$50&lt;&gt;"",BJ$5+6&lt;Mitarbeiter!$E$50),0,IF(AND(Mitarbeiter!$F$50&lt;&gt;"",BJ$5&gt;Mitarbeiter!$F$50),0,IF(Planung!BJ52="",$C52,IF(ISNUMBER(Planung!BJ52),Planung!BJ52,IF(UPPER(Planung!BJ52)="H",$C52/2,0)))))))</f>
        <v>0</v>
      </c>
      <c r="BK52" s="27">
        <f>IF($A52="",0,IF(Mitarbeiter!$G$50=FALSE,0,IF(AND(Mitarbeiter!$E$50&lt;&gt;"",BK$5+6&lt;Mitarbeiter!$E$50),0,IF(AND(Mitarbeiter!$F$50&lt;&gt;"",BK$5&gt;Mitarbeiter!$F$50),0,IF(Planung!BK52="",$C52,IF(ISNUMBER(Planung!BK52),Planung!BK52,IF(UPPER(Planung!BK52)="H",$C52/2,0)))))))</f>
        <v>0</v>
      </c>
      <c r="BL52" s="27">
        <f>IF($A52="",0,IF(Mitarbeiter!$G$50=FALSE,0,IF(AND(Mitarbeiter!$E$50&lt;&gt;"",BL$5+6&lt;Mitarbeiter!$E$50),0,IF(AND(Mitarbeiter!$F$50&lt;&gt;"",BL$5&gt;Mitarbeiter!$F$50),0,IF(Planung!BL52="",$C52,IF(ISNUMBER(Planung!BL52),Planung!BL52,IF(UPPER(Planung!BL52)="H",$C52/2,0)))))))</f>
        <v>0</v>
      </c>
      <c r="BM52" s="27">
        <f>IF($A52="",0,IF(Mitarbeiter!$G$50=FALSE,0,IF(AND(Mitarbeiter!$E$50&lt;&gt;"",BM$5+6&lt;Mitarbeiter!$E$50),0,IF(AND(Mitarbeiter!$F$50&lt;&gt;"",BM$5&gt;Mitarbeiter!$F$50),0,IF(Planung!BM52="",$C52,IF(ISNUMBER(Planung!BM52),Planung!BM52,IF(UPPER(Planung!BM52)="H",$C52/2,0)))))))</f>
        <v>0</v>
      </c>
      <c r="BN52" s="27">
        <f>IF($A52="",0,IF(Mitarbeiter!$G$50=FALSE,0,IF(AND(Mitarbeiter!$E$50&lt;&gt;"",BN$5+6&lt;Mitarbeiter!$E$50),0,IF(AND(Mitarbeiter!$F$50&lt;&gt;"",BN$5&gt;Mitarbeiter!$F$50),0,IF(Planung!BN52="",$C52,IF(ISNUMBER(Planung!BN52),Planung!BN52,IF(UPPER(Planung!BN52)="H",$C52/2,0)))))))</f>
        <v>0</v>
      </c>
      <c r="BO52" s="27">
        <f>IF($A52="",0,IF(Mitarbeiter!$G$50=FALSE,0,IF(AND(Mitarbeiter!$E$50&lt;&gt;"",BO$5+6&lt;Mitarbeiter!$E$50),0,IF(AND(Mitarbeiter!$F$50&lt;&gt;"",BO$5&gt;Mitarbeiter!$F$50),0,IF(Planung!BO52="",$C52,IF(ISNUMBER(Planung!BO52),Planung!BO52,IF(UPPER(Planung!BO52)="H",$C52/2,0)))))))</f>
        <v>0</v>
      </c>
      <c r="BP52" s="27">
        <f>IF($A52="",0,IF(Mitarbeiter!$G$50=FALSE,0,IF(AND(Mitarbeiter!$E$50&lt;&gt;"",BP$5+6&lt;Mitarbeiter!$E$50),0,IF(AND(Mitarbeiter!$F$50&lt;&gt;"",BP$5&gt;Mitarbeiter!$F$50),0,IF(Planung!BP52="",$C52,IF(ISNUMBER(Planung!BP52),Planung!BP52,IF(UPPER(Planung!BP52)="H",$C52/2,0)))))))</f>
        <v>0</v>
      </c>
      <c r="BQ52" s="27">
        <f>IF($A52="",0,IF(Mitarbeiter!$G$50=FALSE,0,IF(AND(Mitarbeiter!$E$50&lt;&gt;"",BQ$5+6&lt;Mitarbeiter!$E$50),0,IF(AND(Mitarbeiter!$F$50&lt;&gt;"",BQ$5&gt;Mitarbeiter!$F$50),0,IF(Planung!BQ52="",$C52,IF(ISNUMBER(Planung!BQ52),Planung!BQ52,IF(UPPER(Planung!BQ52)="H",$C52/2,0)))))))</f>
        <v>0</v>
      </c>
      <c r="BR52" s="27">
        <f>IF($A52="",0,IF(Mitarbeiter!$G$50=FALSE,0,IF(AND(Mitarbeiter!$E$50&lt;&gt;"",BR$5+6&lt;Mitarbeiter!$E$50),0,IF(AND(Mitarbeiter!$F$50&lt;&gt;"",BR$5&gt;Mitarbeiter!$F$50),0,IF(Planung!BR52="",$C52,IF(ISNUMBER(Planung!BR52),Planung!BR52,IF(UPPER(Planung!BR52)="H",$C52/2,0)))))))</f>
        <v>0</v>
      </c>
      <c r="BS52" s="27">
        <f>IF($A52="",0,IF(Mitarbeiter!$G$50=FALSE,0,IF(AND(Mitarbeiter!$E$50&lt;&gt;"",BS$5+6&lt;Mitarbeiter!$E$50),0,IF(AND(Mitarbeiter!$F$50&lt;&gt;"",BS$5&gt;Mitarbeiter!$F$50),0,IF(Planung!BS52="",$C52,IF(ISNUMBER(Planung!BS52),Planung!BS52,IF(UPPER(Planung!BS52)="H",$C52/2,0)))))))</f>
        <v>0</v>
      </c>
      <c r="BT52" s="27">
        <f>IF($A52="",0,IF(Mitarbeiter!$G$50=FALSE,0,IF(AND(Mitarbeiter!$E$50&lt;&gt;"",BT$5+6&lt;Mitarbeiter!$E$50),0,IF(AND(Mitarbeiter!$F$50&lt;&gt;"",BT$5&gt;Mitarbeiter!$F$50),0,IF(Planung!BT52="",$C52,IF(ISNUMBER(Planung!BT52),Planung!BT52,IF(UPPER(Planung!BT52)="H",$C52/2,0)))))))</f>
        <v>0</v>
      </c>
      <c r="BU52" s="27">
        <f>IF($A52="",0,IF(Mitarbeiter!$G$50=FALSE,0,IF(AND(Mitarbeiter!$E$50&lt;&gt;"",BU$5+6&lt;Mitarbeiter!$E$50),0,IF(AND(Mitarbeiter!$F$50&lt;&gt;"",BU$5&gt;Mitarbeiter!$F$50),0,IF(Planung!BU52="",$C52,IF(ISNUMBER(Planung!BU52),Planung!BU52,IF(UPPER(Planung!BU52)="H",$C52/2,0)))))))</f>
        <v>0</v>
      </c>
      <c r="BV52" s="27">
        <f>IF($A52="",0,IF(Mitarbeiter!$G$50=FALSE,0,IF(AND(Mitarbeiter!$E$50&lt;&gt;"",BV$5+6&lt;Mitarbeiter!$E$50),0,IF(AND(Mitarbeiter!$F$50&lt;&gt;"",BV$5&gt;Mitarbeiter!$F$50),0,IF(Planung!BV52="",$C52,IF(ISNUMBER(Planung!BV52),Planung!BV52,IF(UPPER(Planung!BV52)="H",$C52/2,0)))))))</f>
        <v>0</v>
      </c>
      <c r="BW52" s="27">
        <f>IF($A52="",0,IF(Mitarbeiter!$G$50=FALSE,0,IF(AND(Mitarbeiter!$E$50&lt;&gt;"",BW$5+6&lt;Mitarbeiter!$E$50),0,IF(AND(Mitarbeiter!$F$50&lt;&gt;"",BW$5&gt;Mitarbeiter!$F$50),0,IF(Planung!BW52="",$C52,IF(ISNUMBER(Planung!BW52),Planung!BW52,IF(UPPER(Planung!BW52)="H",$C52/2,0)))))))</f>
        <v>0</v>
      </c>
      <c r="BX52" s="27">
        <f>IF($A52="",0,IF(Mitarbeiter!$G$50=FALSE,0,IF(AND(Mitarbeiter!$E$50&lt;&gt;"",BX$5+6&lt;Mitarbeiter!$E$50),0,IF(AND(Mitarbeiter!$F$50&lt;&gt;"",BX$5&gt;Mitarbeiter!$F$50),0,IF(Planung!BX52="",$C52,IF(ISNUMBER(Planung!BX52),Planung!BX52,IF(UPPER(Planung!BX52)="H",$C52/2,0)))))))</f>
        <v>0</v>
      </c>
      <c r="BY52" s="27">
        <f>IF($A52="",0,IF(Mitarbeiter!$G$50=FALSE,0,IF(AND(Mitarbeiter!$E$50&lt;&gt;"",BY$5+6&lt;Mitarbeiter!$E$50),0,IF(AND(Mitarbeiter!$F$50&lt;&gt;"",BY$5&gt;Mitarbeiter!$F$50),0,IF(Planung!BY52="",$C52,IF(ISNUMBER(Planung!BY52),Planung!BY52,IF(UPPER(Planung!BY52)="H",$C52/2,0)))))))</f>
        <v>0</v>
      </c>
      <c r="BZ52" s="27">
        <f>IF($A52="",0,IF(Mitarbeiter!$G$50=FALSE,0,IF(AND(Mitarbeiter!$E$50&lt;&gt;"",BZ$5+6&lt;Mitarbeiter!$E$50),0,IF(AND(Mitarbeiter!$F$50&lt;&gt;"",BZ$5&gt;Mitarbeiter!$F$50),0,IF(Planung!BZ52="",$C52,IF(ISNUMBER(Planung!BZ52),Planung!BZ52,IF(UPPER(Planung!BZ52)="H",$C52/2,0)))))))</f>
        <v>0</v>
      </c>
      <c r="CA52" s="27">
        <f>IF($A52="",0,IF(Mitarbeiter!$G$50=FALSE,0,IF(AND(Mitarbeiter!$E$50&lt;&gt;"",CA$5+6&lt;Mitarbeiter!$E$50),0,IF(AND(Mitarbeiter!$F$50&lt;&gt;"",CA$5&gt;Mitarbeiter!$F$50),0,IF(Planung!CA52="",$C52,IF(ISNUMBER(Planung!CA52),Planung!CA52,IF(UPPER(Planung!CA52)="H",$C52/2,0)))))))</f>
        <v>0</v>
      </c>
      <c r="CB52" s="27">
        <f>IF($A52="",0,IF(Mitarbeiter!$G$50=FALSE,0,IF(AND(Mitarbeiter!$E$50&lt;&gt;"",CB$5+6&lt;Mitarbeiter!$E$50),0,IF(AND(Mitarbeiter!$F$50&lt;&gt;"",CB$5&gt;Mitarbeiter!$F$50),0,IF(Planung!CB52="",$C52,IF(ISNUMBER(Planung!CB52),Planung!CB52,IF(UPPER(Planung!CB52)="H",$C52/2,0)))))))</f>
        <v>0</v>
      </c>
      <c r="CC52" s="27">
        <f>IF($A52="",0,IF(Mitarbeiter!$G$50=FALSE,0,IF(AND(Mitarbeiter!$E$50&lt;&gt;"",CC$5+6&lt;Mitarbeiter!$E$50),0,IF(AND(Mitarbeiter!$F$50&lt;&gt;"",CC$5&gt;Mitarbeiter!$F$50),0,IF(Planung!CC52="",$C52,IF(ISNUMBER(Planung!CC52),Planung!CC52,IF(UPPER(Planung!CC52)="H",$C52/2,0)))))))</f>
        <v>0</v>
      </c>
      <c r="CD52" s="27">
        <f>IF($A52="",0,IF(Mitarbeiter!$G$50=FALSE,0,IF(AND(Mitarbeiter!$E$50&lt;&gt;"",CD$5+6&lt;Mitarbeiter!$E$50),0,IF(AND(Mitarbeiter!$F$50&lt;&gt;"",CD$5&gt;Mitarbeiter!$F$50),0,IF(Planung!CD52="",$C52,IF(ISNUMBER(Planung!CD52),Planung!CD52,IF(UPPER(Planung!CD52)="H",$C52/2,0)))))))</f>
        <v>0</v>
      </c>
      <c r="CE52" s="27">
        <f>IF($A52="",0,IF(Mitarbeiter!$G$50=FALSE,0,IF(AND(Mitarbeiter!$E$50&lt;&gt;"",CE$5+6&lt;Mitarbeiter!$E$50),0,IF(AND(Mitarbeiter!$F$50&lt;&gt;"",CE$5&gt;Mitarbeiter!$F$50),0,IF(Planung!CE52="",$C52,IF(ISNUMBER(Planung!CE52),Planung!CE52,IF(UPPER(Planung!CE52)="H",$C52/2,0)))))))</f>
        <v>0</v>
      </c>
      <c r="CF52" s="27">
        <f>IF($A52="",0,IF(Mitarbeiter!$G$50=FALSE,0,IF(AND(Mitarbeiter!$E$50&lt;&gt;"",CF$5+6&lt;Mitarbeiter!$E$50),0,IF(AND(Mitarbeiter!$F$50&lt;&gt;"",CF$5&gt;Mitarbeiter!$F$50),0,IF(Planung!CF52="",$C52,IF(ISNUMBER(Planung!CF52),Planung!CF52,IF(UPPER(Planung!CF52)="H",$C52/2,0)))))))</f>
        <v>0</v>
      </c>
      <c r="CG52" s="27">
        <f>IF($A52="",0,IF(Mitarbeiter!$G$50=FALSE,0,IF(AND(Mitarbeiter!$E$50&lt;&gt;"",CG$5+6&lt;Mitarbeiter!$E$50),0,IF(AND(Mitarbeiter!$F$50&lt;&gt;"",CG$5&gt;Mitarbeiter!$F$50),0,IF(Planung!CG52="",$C52,IF(ISNUMBER(Planung!CG52),Planung!CG52,IF(UPPER(Planung!CG52)="H",$C52/2,0)))))))</f>
        <v>0</v>
      </c>
      <c r="CH52" s="27">
        <f>IF($A52="",0,IF(Mitarbeiter!$G$50=FALSE,0,IF(AND(Mitarbeiter!$E$50&lt;&gt;"",CH$5+6&lt;Mitarbeiter!$E$50),0,IF(AND(Mitarbeiter!$F$50&lt;&gt;"",CH$5&gt;Mitarbeiter!$F$50),0,IF(Planung!CH52="",$C52,IF(ISNUMBER(Planung!CH52),Planung!CH52,IF(UPPER(Planung!CH52)="H",$C52/2,0)))))))</f>
        <v>0</v>
      </c>
      <c r="CI52" s="27">
        <f>IF($A52="",0,IF(Mitarbeiter!$G$50=FALSE,0,IF(AND(Mitarbeiter!$E$50&lt;&gt;"",CI$5+6&lt;Mitarbeiter!$E$50),0,IF(AND(Mitarbeiter!$F$50&lt;&gt;"",CI$5&gt;Mitarbeiter!$F$50),0,IF(Planung!CI52="",$C52,IF(ISNUMBER(Planung!CI52),Planung!CI52,IF(UPPER(Planung!CI52)="H",$C52/2,0)))))))</f>
        <v>0</v>
      </c>
      <c r="CJ52" s="27">
        <f>IF($A52="",0,IF(Mitarbeiter!$G$50=FALSE,0,IF(AND(Mitarbeiter!$E$50&lt;&gt;"",CJ$5+6&lt;Mitarbeiter!$E$50),0,IF(AND(Mitarbeiter!$F$50&lt;&gt;"",CJ$5&gt;Mitarbeiter!$F$50),0,IF(Planung!CJ52="",$C52,IF(ISNUMBER(Planung!CJ52),Planung!CJ52,IF(UPPER(Planung!CJ52)="H",$C52/2,0)))))))</f>
        <v>0</v>
      </c>
      <c r="CK52" s="27">
        <f>IF($A52="",0,IF(Mitarbeiter!$G$50=FALSE,0,IF(AND(Mitarbeiter!$E$50&lt;&gt;"",CK$5+6&lt;Mitarbeiter!$E$50),0,IF(AND(Mitarbeiter!$F$50&lt;&gt;"",CK$5&gt;Mitarbeiter!$F$50),0,IF(Planung!CK52="",$C52,IF(ISNUMBER(Planung!CK52),Planung!CK52,IF(UPPER(Planung!CK52)="H",$C52/2,0)))))))</f>
        <v>0</v>
      </c>
      <c r="CL52" s="27">
        <f>IF($A52="",0,IF(Mitarbeiter!$G$50=FALSE,0,IF(AND(Mitarbeiter!$E$50&lt;&gt;"",CL$5+6&lt;Mitarbeiter!$E$50),0,IF(AND(Mitarbeiter!$F$50&lt;&gt;"",CL$5&gt;Mitarbeiter!$F$50),0,IF(Planung!CL52="",$C52,IF(ISNUMBER(Planung!CL52),Planung!CL52,IF(UPPER(Planung!CL52)="H",$C52/2,0)))))))</f>
        <v>0</v>
      </c>
      <c r="CM52" s="27">
        <f>IF($A52="",0,IF(Mitarbeiter!$G$50=FALSE,0,IF(AND(Mitarbeiter!$E$50&lt;&gt;"",CM$5+6&lt;Mitarbeiter!$E$50),0,IF(AND(Mitarbeiter!$F$50&lt;&gt;"",CM$5&gt;Mitarbeiter!$F$50),0,IF(Planung!CM52="",$C52,IF(ISNUMBER(Planung!CM52),Planung!CM52,IF(UPPER(Planung!CM52)="H",$C52/2,0)))))))</f>
        <v>0</v>
      </c>
      <c r="CN52" s="27">
        <f>IF($A52="",0,IF(Mitarbeiter!$G$50=FALSE,0,IF(AND(Mitarbeiter!$E$50&lt;&gt;"",CN$5+6&lt;Mitarbeiter!$E$50),0,IF(AND(Mitarbeiter!$F$50&lt;&gt;"",CN$5&gt;Mitarbeiter!$F$50),0,IF(Planung!CN52="",$C52,IF(ISNUMBER(Planung!CN52),Planung!CN52,IF(UPPER(Planung!CN52)="H",$C52/2,0)))))))</f>
        <v>0</v>
      </c>
      <c r="CO52" s="27">
        <f>IF($A52="",0,IF(Mitarbeiter!$G$50=FALSE,0,IF(AND(Mitarbeiter!$E$50&lt;&gt;"",CO$5+6&lt;Mitarbeiter!$E$50),0,IF(AND(Mitarbeiter!$F$50&lt;&gt;"",CO$5&gt;Mitarbeiter!$F$50),0,IF(Planung!CO52="",$C52,IF(ISNUMBER(Planung!CO52),Planung!CO52,IF(UPPER(Planung!CO52)="H",$C52/2,0)))))))</f>
        <v>0</v>
      </c>
      <c r="CP52" s="27">
        <f>IF($A52="",0,IF(Mitarbeiter!$G$50=FALSE,0,IF(AND(Mitarbeiter!$E$50&lt;&gt;"",CP$5+6&lt;Mitarbeiter!$E$50),0,IF(AND(Mitarbeiter!$F$50&lt;&gt;"",CP$5&gt;Mitarbeiter!$F$50),0,IF(Planung!CP52="",$C52,IF(ISNUMBER(Planung!CP52),Planung!CP52,IF(UPPER(Planung!CP52)="H",$C52/2,0)))))))</f>
        <v>0</v>
      </c>
      <c r="CQ52" s="27">
        <f>IF($A52="",0,IF(Mitarbeiter!$G$50=FALSE,0,IF(AND(Mitarbeiter!$E$50&lt;&gt;"",CQ$5+6&lt;Mitarbeiter!$E$50),0,IF(AND(Mitarbeiter!$F$50&lt;&gt;"",CQ$5&gt;Mitarbeiter!$F$50),0,IF(Planung!CQ52="",$C52,IF(ISNUMBER(Planung!CQ52),Planung!CQ52,IF(UPPER(Planung!CQ52)="H",$C52/2,0)))))))</f>
        <v>0</v>
      </c>
      <c r="CR52" s="27">
        <f>IF($A52="",0,IF(Mitarbeiter!$G$50=FALSE,0,IF(AND(Mitarbeiter!$E$50&lt;&gt;"",CR$5+6&lt;Mitarbeiter!$E$50),0,IF(AND(Mitarbeiter!$F$50&lt;&gt;"",CR$5&gt;Mitarbeiter!$F$50),0,IF(Planung!CR52="",$C52,IF(ISNUMBER(Planung!CR52),Planung!CR52,IF(UPPER(Planung!CR52)="H",$C52/2,0)))))))</f>
        <v>0</v>
      </c>
      <c r="CS52" s="27">
        <f>IF($A52="",0,IF(Mitarbeiter!$G$50=FALSE,0,IF(AND(Mitarbeiter!$E$50&lt;&gt;"",CS$5+6&lt;Mitarbeiter!$E$50),0,IF(AND(Mitarbeiter!$F$50&lt;&gt;"",CS$5&gt;Mitarbeiter!$F$50),0,IF(Planung!CS52="",$C52,IF(ISNUMBER(Planung!CS52),Planung!CS52,IF(UPPER(Planung!CS52)="H",$C52/2,0)))))))</f>
        <v>0</v>
      </c>
      <c r="CT52" s="27">
        <f>IF($A52="",0,IF(Mitarbeiter!$G$50=FALSE,0,IF(AND(Mitarbeiter!$E$50&lt;&gt;"",CT$5+6&lt;Mitarbeiter!$E$50),0,IF(AND(Mitarbeiter!$F$50&lt;&gt;"",CT$5&gt;Mitarbeiter!$F$50),0,IF(Planung!CT52="",$C52,IF(ISNUMBER(Planung!CT52),Planung!CT52,IF(UPPER(Planung!CT52)="H",$C52/2,0)))))))</f>
        <v>0</v>
      </c>
      <c r="CU52" s="27">
        <f>IF($A52="",0,IF(Mitarbeiter!$G$50=FALSE,0,IF(AND(Mitarbeiter!$E$50&lt;&gt;"",CU$5+6&lt;Mitarbeiter!$E$50),0,IF(AND(Mitarbeiter!$F$50&lt;&gt;"",CU$5&gt;Mitarbeiter!$F$50),0,IF(Planung!CU52="",$C52,IF(ISNUMBER(Planung!CU52),Planung!CU52,IF(UPPER(Planung!CU52)="H",$C52/2,0)))))))</f>
        <v>0</v>
      </c>
      <c r="CV52" s="27">
        <f>IF($A52="",0,IF(Mitarbeiter!$G$50=FALSE,0,IF(AND(Mitarbeiter!$E$50&lt;&gt;"",CV$5+6&lt;Mitarbeiter!$E$50),0,IF(AND(Mitarbeiter!$F$50&lt;&gt;"",CV$5&gt;Mitarbeiter!$F$50),0,IF(Planung!CV52="",$C52,IF(ISNUMBER(Planung!CV52),Planung!CV52,IF(UPPER(Planung!CV52)="H",$C52/2,0)))))))</f>
        <v>0</v>
      </c>
      <c r="CW52" s="27">
        <f>IF($A52="",0,IF(Mitarbeiter!$G$50=FALSE,0,IF(AND(Mitarbeiter!$E$50&lt;&gt;"",CW$5+6&lt;Mitarbeiter!$E$50),0,IF(AND(Mitarbeiter!$F$50&lt;&gt;"",CW$5&gt;Mitarbeiter!$F$50),0,IF(Planung!CW52="",$C52,IF(ISNUMBER(Planung!CW52),Planung!CW52,IF(UPPER(Planung!CW52)="H",$C52/2,0)))))))</f>
        <v>0</v>
      </c>
      <c r="CX52" s="27">
        <f>IF($A52="",0,IF(Mitarbeiter!$G$50=FALSE,0,IF(AND(Mitarbeiter!$E$50&lt;&gt;"",CX$5+6&lt;Mitarbeiter!$E$50),0,IF(AND(Mitarbeiter!$F$50&lt;&gt;"",CX$5&gt;Mitarbeiter!$F$50),0,IF(Planung!CX52="",$C52,IF(ISNUMBER(Planung!CX52),Planung!CX52,IF(UPPER(Planung!CX52)="H",$C52/2,0)))))))</f>
        <v>0</v>
      </c>
      <c r="CY52" s="27">
        <f>IF($A52="",0,IF(Mitarbeiter!$G$50=FALSE,0,IF(AND(Mitarbeiter!$E$50&lt;&gt;"",CY$5+6&lt;Mitarbeiter!$E$50),0,IF(AND(Mitarbeiter!$F$50&lt;&gt;"",CY$5&gt;Mitarbeiter!$F$50),0,IF(Planung!CY52="",$C52,IF(ISNUMBER(Planung!CY52),Planung!CY52,IF(UPPER(Planung!CY52)="H",$C52/2,0)))))))</f>
        <v>0</v>
      </c>
      <c r="CZ52" s="27">
        <f>IF($A52="",0,IF(Mitarbeiter!$G$50=FALSE,0,IF(AND(Mitarbeiter!$E$50&lt;&gt;"",CZ$5+6&lt;Mitarbeiter!$E$50),0,IF(AND(Mitarbeiter!$F$50&lt;&gt;"",CZ$5&gt;Mitarbeiter!$F$50),0,IF(Planung!CZ52="",$C52,IF(ISNUMBER(Planung!CZ52),Planung!CZ52,IF(UPPER(Planung!CZ52)="H",$C52/2,0)))))))</f>
        <v>0</v>
      </c>
      <c r="DA52" s="27">
        <f>IF($A52="",0,IF(Mitarbeiter!$G$50=FALSE,0,IF(AND(Mitarbeiter!$E$50&lt;&gt;"",DA$5+6&lt;Mitarbeiter!$E$50),0,IF(AND(Mitarbeiter!$F$50&lt;&gt;"",DA$5&gt;Mitarbeiter!$F$50),0,IF(Planung!DA52="",$C52,IF(ISNUMBER(Planung!DA52),Planung!DA52,IF(UPPER(Planung!DA52)="H",$C52/2,0)))))))</f>
        <v>0</v>
      </c>
      <c r="DB52" s="27">
        <f>IF($A52="",0,IF(Mitarbeiter!$G$50=FALSE,0,IF(AND(Mitarbeiter!$E$50&lt;&gt;"",DB$5+6&lt;Mitarbeiter!$E$50),0,IF(AND(Mitarbeiter!$F$50&lt;&gt;"",DB$5&gt;Mitarbeiter!$F$50),0,IF(Planung!DB52="",$C52,IF(ISNUMBER(Planung!DB52),Planung!DB52,IF(UPPER(Planung!DB52)="H",$C52/2,0)))))))</f>
        <v>0</v>
      </c>
      <c r="DC52" s="27">
        <f>IF($A52="",0,IF(Mitarbeiter!$G$50=FALSE,0,IF(AND(Mitarbeiter!$E$50&lt;&gt;"",DC$5+6&lt;Mitarbeiter!$E$50),0,IF(AND(Mitarbeiter!$F$50&lt;&gt;"",DC$5&gt;Mitarbeiter!$F$50),0,IF(Planung!DC52="",$C52,IF(ISNUMBER(Planung!DC52),Planung!DC52,IF(UPPER(Planung!DC52)="H",$C52/2,0)))))))</f>
        <v>0</v>
      </c>
      <c r="DD52" s="27">
        <f>IF($A52="",0,IF(Mitarbeiter!$G$50=FALSE,0,IF(AND(Mitarbeiter!$E$50&lt;&gt;"",DD$5+6&lt;Mitarbeiter!$E$50),0,IF(AND(Mitarbeiter!$F$50&lt;&gt;"",DD$5&gt;Mitarbeiter!$F$50),0,IF(Planung!DD52="",$C52,IF(ISNUMBER(Planung!DD52),Planung!DD52,IF(UPPER(Planung!DD52)="H",$C52/2,0)))))))</f>
        <v>0</v>
      </c>
      <c r="DE52" s="27">
        <f>IF($A52="",0,IF(Mitarbeiter!$G$50=FALSE,0,IF(AND(Mitarbeiter!$E$50&lt;&gt;"",DE$5+6&lt;Mitarbeiter!$E$50),0,IF(AND(Mitarbeiter!$F$50&lt;&gt;"",DE$5&gt;Mitarbeiter!$F$50),0,IF(Planung!DE52="",$C52,IF(ISNUMBER(Planung!DE52),Planung!DE52,IF(UPPER(Planung!DE52)="H",$C52/2,0)))))))</f>
        <v>0</v>
      </c>
      <c r="DF52" s="27">
        <f>IF($A52="",0,IF(Mitarbeiter!$G$50=FALSE,0,IF(AND(Mitarbeiter!$E$50&lt;&gt;"",DF$5+6&lt;Mitarbeiter!$E$50),0,IF(AND(Mitarbeiter!$F$50&lt;&gt;"",DF$5&gt;Mitarbeiter!$F$50),0,IF(Planung!DF52="",$C52,IF(ISNUMBER(Planung!DF52),Planung!DF52,IF(UPPER(Planung!DF52)="H",$C52/2,0)))))))</f>
        <v>0</v>
      </c>
      <c r="DG52" s="27">
        <f>IF($A52="",0,IF(Mitarbeiter!$G$50=FALSE,0,IF(AND(Mitarbeiter!$E$50&lt;&gt;"",DG$5+6&lt;Mitarbeiter!$E$50),0,IF(AND(Mitarbeiter!$F$50&lt;&gt;"",DG$5&gt;Mitarbeiter!$F$50),0,IF(Planung!DG52="",$C52,IF(ISNUMBER(Planung!DG52),Planung!DG52,IF(UPPER(Planung!DG52)="H",$C52/2,0)))))))</f>
        <v>0</v>
      </c>
      <c r="DH52" s="27">
        <f>IF($A52="",0,IF(Mitarbeiter!$G$50=FALSE,0,IF(AND(Mitarbeiter!$E$50&lt;&gt;"",DH$5+6&lt;Mitarbeiter!$E$50),0,IF(AND(Mitarbeiter!$F$50&lt;&gt;"",DH$5&gt;Mitarbeiter!$F$50),0,IF(Planung!DH52="",$C52,IF(ISNUMBER(Planung!DH52),Planung!DH52,IF(UPPER(Planung!DH52)="H",$C52/2,0)))))))</f>
        <v>0</v>
      </c>
      <c r="DI52" s="27">
        <f>IF($A52="",0,IF(Mitarbeiter!$G$50=FALSE,0,IF(AND(Mitarbeiter!$E$50&lt;&gt;"",DI$5+6&lt;Mitarbeiter!$E$50),0,IF(AND(Mitarbeiter!$F$50&lt;&gt;"",DI$5&gt;Mitarbeiter!$F$50),0,IF(Planung!DI52="",$C52,IF(ISNUMBER(Planung!DI52),Planung!DI52,IF(UPPER(Planung!DI52)="H",$C52/2,0)))))))</f>
        <v>0</v>
      </c>
      <c r="DJ52" s="27">
        <f>IF($A52="",0,IF(Mitarbeiter!$G$50=FALSE,0,IF(AND(Mitarbeiter!$E$50&lt;&gt;"",DJ$5+6&lt;Mitarbeiter!$E$50),0,IF(AND(Mitarbeiter!$F$50&lt;&gt;"",DJ$5&gt;Mitarbeiter!$F$50),0,IF(Planung!DJ52="",$C52,IF(ISNUMBER(Planung!DJ52),Planung!DJ52,IF(UPPER(Planung!DJ52)="H",$C52/2,0)))))))</f>
        <v>0</v>
      </c>
      <c r="DK52" s="27">
        <f>IF($A52="",0,IF(Mitarbeiter!$G$50=FALSE,0,IF(AND(Mitarbeiter!$E$50&lt;&gt;"",DK$5+6&lt;Mitarbeiter!$E$50),0,IF(AND(Mitarbeiter!$F$50&lt;&gt;"",DK$5&gt;Mitarbeiter!$F$50),0,IF(Planung!DK52="",$C52,IF(ISNUMBER(Planung!DK52),Planung!DK52,IF(UPPER(Planung!DK52)="H",$C52/2,0)))))))</f>
        <v>0</v>
      </c>
      <c r="DL52" s="27">
        <f>IF($A52="",0,IF(Mitarbeiter!$G$50=FALSE,0,IF(AND(Mitarbeiter!$E$50&lt;&gt;"",DL$5+6&lt;Mitarbeiter!$E$50),0,IF(AND(Mitarbeiter!$F$50&lt;&gt;"",DL$5&gt;Mitarbeiter!$F$50),0,IF(Planung!DL52="",$C52,IF(ISNUMBER(Planung!DL52),Planung!DL52,IF(UPPER(Planung!DL52)="H",$C52/2,0)))))))</f>
        <v>0</v>
      </c>
      <c r="DM52" s="27">
        <f>IF($A52="",0,IF(Mitarbeiter!$G$50=FALSE,0,IF(AND(Mitarbeiter!$E$50&lt;&gt;"",DM$5+6&lt;Mitarbeiter!$E$50),0,IF(AND(Mitarbeiter!$F$50&lt;&gt;"",DM$5&gt;Mitarbeiter!$F$50),0,IF(Planung!DM52="",$C52,IF(ISNUMBER(Planung!DM52),Planung!DM52,IF(UPPER(Planung!DM52)="H",$C52/2,0)))))))</f>
        <v>0</v>
      </c>
      <c r="DN52" s="27">
        <f>IF($A52="",0,IF(Mitarbeiter!$G$50=FALSE,0,IF(AND(Mitarbeiter!$E$50&lt;&gt;"",DN$5+6&lt;Mitarbeiter!$E$50),0,IF(AND(Mitarbeiter!$F$50&lt;&gt;"",DN$5&gt;Mitarbeiter!$F$50),0,IF(Planung!DN52="",$C52,IF(ISNUMBER(Planung!DN52),Planung!DN52,IF(UPPER(Planung!DN52)="H",$C52/2,0)))))))</f>
        <v>0</v>
      </c>
      <c r="DO52" s="27">
        <f>IF($A52="",0,IF(Mitarbeiter!$G$50=FALSE,0,IF(AND(Mitarbeiter!$E$50&lt;&gt;"",DO$5+6&lt;Mitarbeiter!$E$50),0,IF(AND(Mitarbeiter!$F$50&lt;&gt;"",DO$5&gt;Mitarbeiter!$F$50),0,IF(Planung!DO52="",$C52,IF(ISNUMBER(Planung!DO52),Planung!DO52,IF(UPPER(Planung!DO52)="H",$C52/2,0)))))))</f>
        <v>0</v>
      </c>
      <c r="DP52" s="27">
        <f>IF($A52="",0,IF(Mitarbeiter!$G$50=FALSE,0,IF(AND(Mitarbeiter!$E$50&lt;&gt;"",DP$5+6&lt;Mitarbeiter!$E$50),0,IF(AND(Mitarbeiter!$F$50&lt;&gt;"",DP$5&gt;Mitarbeiter!$F$50),0,IF(Planung!DP52="",$C52,IF(ISNUMBER(Planung!DP52),Planung!DP52,IF(UPPER(Planung!DP52)="H",$C52/2,0)))))))</f>
        <v>0</v>
      </c>
      <c r="DQ52" s="27">
        <f>IF($A52="",0,IF(Mitarbeiter!$G$50=FALSE,0,IF(AND(Mitarbeiter!$E$50&lt;&gt;"",DQ$5+6&lt;Mitarbeiter!$E$50),0,IF(AND(Mitarbeiter!$F$50&lt;&gt;"",DQ$5&gt;Mitarbeiter!$F$50),0,IF(Planung!DQ52="",$C52,IF(ISNUMBER(Planung!DQ52),Planung!DQ52,IF(UPPER(Planung!DQ52)="H",$C52/2,0)))))))</f>
        <v>0</v>
      </c>
      <c r="DR52" s="27">
        <f>IF($A52="",0,IF(Mitarbeiter!$G$50=FALSE,0,IF(AND(Mitarbeiter!$E$50&lt;&gt;"",DR$5+6&lt;Mitarbeiter!$E$50),0,IF(AND(Mitarbeiter!$F$50&lt;&gt;"",DR$5&gt;Mitarbeiter!$F$50),0,IF(Planung!DR52="",$C52,IF(ISNUMBER(Planung!DR52),Planung!DR52,IF(UPPER(Planung!DR52)="H",$C52/2,0)))))))</f>
        <v>0</v>
      </c>
      <c r="DS52" s="27">
        <f>IF($A52="",0,IF(Mitarbeiter!$G$50=FALSE,0,IF(AND(Mitarbeiter!$E$50&lt;&gt;"",DS$5+6&lt;Mitarbeiter!$E$50),0,IF(AND(Mitarbeiter!$F$50&lt;&gt;"",DS$5&gt;Mitarbeiter!$F$50),0,IF(Planung!DS52="",$C52,IF(ISNUMBER(Planung!DS52),Planung!DS52,IF(UPPER(Planung!DS52)="H",$C52/2,0)))))))</f>
        <v>0</v>
      </c>
      <c r="DT52" s="27">
        <f>IF($A52="",0,IF(Mitarbeiter!$G$50=FALSE,0,IF(AND(Mitarbeiter!$E$50&lt;&gt;"",DT$5+6&lt;Mitarbeiter!$E$50),0,IF(AND(Mitarbeiter!$F$50&lt;&gt;"",DT$5&gt;Mitarbeiter!$F$50),0,IF(Planung!DT52="",$C52,IF(ISNUMBER(Planung!DT52),Planung!DT52,IF(UPPER(Planung!DT52)="H",$C52/2,0)))))))</f>
        <v>0</v>
      </c>
      <c r="DU52" s="27">
        <f>IF($A52="",0,IF(Mitarbeiter!$G$50=FALSE,0,IF(AND(Mitarbeiter!$E$50&lt;&gt;"",DU$5+6&lt;Mitarbeiter!$E$50),0,IF(AND(Mitarbeiter!$F$50&lt;&gt;"",DU$5&gt;Mitarbeiter!$F$50),0,IF(Planung!DU52="",$C52,IF(ISNUMBER(Planung!DU52),Planung!DU52,IF(UPPER(Planung!DU52)="H",$C52/2,0)))))))</f>
        <v>0</v>
      </c>
      <c r="DV52" s="27">
        <f>IF($A52="",0,IF(Mitarbeiter!$G$50=FALSE,0,IF(AND(Mitarbeiter!$E$50&lt;&gt;"",DV$5+6&lt;Mitarbeiter!$E$50),0,IF(AND(Mitarbeiter!$F$50&lt;&gt;"",DV$5&gt;Mitarbeiter!$F$50),0,IF(Planung!DV52="",$C52,IF(ISNUMBER(Planung!DV52),Planung!DV52,IF(UPPER(Planung!DV52)="H",$C52/2,0)))))))</f>
        <v>0</v>
      </c>
      <c r="DW52" s="27">
        <f>IF($A52="",0,IF(Mitarbeiter!$G$50=FALSE,0,IF(AND(Mitarbeiter!$E$50&lt;&gt;"",DW$5+6&lt;Mitarbeiter!$E$50),0,IF(AND(Mitarbeiter!$F$50&lt;&gt;"",DW$5&gt;Mitarbeiter!$F$50),0,IF(Planung!DW52="",$C52,IF(ISNUMBER(Planung!DW52),Planung!DW52,IF(UPPER(Planung!DW52)="H",$C52/2,0)))))))</f>
        <v>0</v>
      </c>
      <c r="DX52" s="27">
        <f>IF($A52="",0,IF(Mitarbeiter!$G$50=FALSE,0,IF(AND(Mitarbeiter!$E$50&lt;&gt;"",DX$5+6&lt;Mitarbeiter!$E$50),0,IF(AND(Mitarbeiter!$F$50&lt;&gt;"",DX$5&gt;Mitarbeiter!$F$50),0,IF(Planung!DX52="",$C52,IF(ISNUMBER(Planung!DX52),Planung!DX52,IF(UPPER(Planung!DX52)="H",$C52/2,0)))))))</f>
        <v>0</v>
      </c>
      <c r="DY52" s="27">
        <f>IF($A52="",0,IF(Mitarbeiter!$G$50=FALSE,0,IF(AND(Mitarbeiter!$E$50&lt;&gt;"",DY$5+6&lt;Mitarbeiter!$E$50),0,IF(AND(Mitarbeiter!$F$50&lt;&gt;"",DY$5&gt;Mitarbeiter!$F$50),0,IF(Planung!DY52="",$C52,IF(ISNUMBER(Planung!DY52),Planung!DY52,IF(UPPER(Planung!DY52)="H",$C52/2,0)))))))</f>
        <v>0</v>
      </c>
      <c r="DZ52" s="27">
        <f>IF($A52="",0,IF(Mitarbeiter!$G$50=FALSE,0,IF(AND(Mitarbeiter!$E$50&lt;&gt;"",DZ$5+6&lt;Mitarbeiter!$E$50),0,IF(AND(Mitarbeiter!$F$50&lt;&gt;"",DZ$5&gt;Mitarbeiter!$F$50),0,IF(Planung!DZ52="",$C52,IF(ISNUMBER(Planung!DZ52),Planung!DZ52,IF(UPPER(Planung!DZ52)="H",$C52/2,0)))))))</f>
        <v>0</v>
      </c>
      <c r="EA52" s="27">
        <f>IF($A52="",0,IF(Mitarbeiter!$G$50=FALSE,0,IF(AND(Mitarbeiter!$E$50&lt;&gt;"",EA$5+6&lt;Mitarbeiter!$E$50),0,IF(AND(Mitarbeiter!$F$50&lt;&gt;"",EA$5&gt;Mitarbeiter!$F$50),0,IF(Planung!EA52="",$C52,IF(ISNUMBER(Planung!EA52),Planung!EA52,IF(UPPER(Planung!EA52)="H",$C52/2,0)))))))</f>
        <v>0</v>
      </c>
      <c r="EB52" s="27">
        <f>IF($A52="",0,IF(Mitarbeiter!$G$50=FALSE,0,IF(AND(Mitarbeiter!$E$50&lt;&gt;"",EB$5+6&lt;Mitarbeiter!$E$50),0,IF(AND(Mitarbeiter!$F$50&lt;&gt;"",EB$5&gt;Mitarbeiter!$F$50),0,IF(Planung!EB52="",$C52,IF(ISNUMBER(Planung!EB52),Planung!EB52,IF(UPPER(Planung!EB52)="H",$C52/2,0)))))))</f>
        <v>0</v>
      </c>
      <c r="EC52" s="27">
        <f>IF($A52="",0,IF(Mitarbeiter!$G$50=FALSE,0,IF(AND(Mitarbeiter!$E$50&lt;&gt;"",EC$5+6&lt;Mitarbeiter!$E$50),0,IF(AND(Mitarbeiter!$F$50&lt;&gt;"",EC$5&gt;Mitarbeiter!$F$50),0,IF(Planung!EC52="",$C52,IF(ISNUMBER(Planung!EC52),Planung!EC52,IF(UPPER(Planung!EC52)="H",$C52/2,0)))))))</f>
        <v>0</v>
      </c>
      <c r="ED52" s="27">
        <f>IF($A52="",0,IF(Mitarbeiter!$G$50=FALSE,0,IF(AND(Mitarbeiter!$E$50&lt;&gt;"",ED$5+6&lt;Mitarbeiter!$E$50),0,IF(AND(Mitarbeiter!$F$50&lt;&gt;"",ED$5&gt;Mitarbeiter!$F$50),0,IF(Planung!ED52="",$C52,IF(ISNUMBER(Planung!ED52),Planung!ED52,IF(UPPER(Planung!ED52)="H",$C52/2,0)))))))</f>
        <v>0</v>
      </c>
      <c r="EE52" s="27">
        <f>IF($A52="",0,IF(Mitarbeiter!$G$50=FALSE,0,IF(AND(Mitarbeiter!$E$50&lt;&gt;"",EE$5+6&lt;Mitarbeiter!$E$50),0,IF(AND(Mitarbeiter!$F$50&lt;&gt;"",EE$5&gt;Mitarbeiter!$F$50),0,IF(Planung!EE52="",$C52,IF(ISNUMBER(Planung!EE52),Planung!EE52,IF(UPPER(Planung!EE52)="H",$C52/2,0)))))))</f>
        <v>0</v>
      </c>
      <c r="EF52" s="27">
        <f>IF($A52="",0,IF(Mitarbeiter!$G$50=FALSE,0,IF(AND(Mitarbeiter!$E$50&lt;&gt;"",EF$5+6&lt;Mitarbeiter!$E$50),0,IF(AND(Mitarbeiter!$F$50&lt;&gt;"",EF$5&gt;Mitarbeiter!$F$50),0,IF(Planung!EF52="",$C52,IF(ISNUMBER(Planung!EF52),Planung!EF52,IF(UPPER(Planung!EF52)="H",$C52/2,0)))))))</f>
        <v>0</v>
      </c>
      <c r="EG52" s="27">
        <f>IF($A52="",0,IF(Mitarbeiter!$G$50=FALSE,0,IF(AND(Mitarbeiter!$E$50&lt;&gt;"",EG$5+6&lt;Mitarbeiter!$E$50),0,IF(AND(Mitarbeiter!$F$50&lt;&gt;"",EG$5&gt;Mitarbeiter!$F$50),0,IF(Planung!EG52="",$C52,IF(ISNUMBER(Planung!EG52),Planung!EG52,IF(UPPER(Planung!EG52)="H",$C52/2,0)))))))</f>
        <v>0</v>
      </c>
      <c r="EH52" s="27">
        <f>IF($A52="",0,IF(Mitarbeiter!$G$50=FALSE,0,IF(AND(Mitarbeiter!$E$50&lt;&gt;"",EH$5+6&lt;Mitarbeiter!$E$50),0,IF(AND(Mitarbeiter!$F$50&lt;&gt;"",EH$5&gt;Mitarbeiter!$F$50),0,IF(Planung!EH52="",$C52,IF(ISNUMBER(Planung!EH52),Planung!EH52,IF(UPPER(Planung!EH52)="H",$C52/2,0)))))))</f>
        <v>0</v>
      </c>
      <c r="EI52" s="27">
        <f>IF($A52="",0,IF(Mitarbeiter!$G$50=FALSE,0,IF(AND(Mitarbeiter!$E$50&lt;&gt;"",EI$5+6&lt;Mitarbeiter!$E$50),0,IF(AND(Mitarbeiter!$F$50&lt;&gt;"",EI$5&gt;Mitarbeiter!$F$50),0,IF(Planung!EI52="",$C52,IF(ISNUMBER(Planung!EI52),Planung!EI52,IF(UPPER(Planung!EI52)="H",$C52/2,0)))))))</f>
        <v>0</v>
      </c>
      <c r="EJ52" s="27">
        <f>IF($A52="",0,IF(Mitarbeiter!$G$50=FALSE,0,IF(AND(Mitarbeiter!$E$50&lt;&gt;"",EJ$5+6&lt;Mitarbeiter!$E$50),0,IF(AND(Mitarbeiter!$F$50&lt;&gt;"",EJ$5&gt;Mitarbeiter!$F$50),0,IF(Planung!EJ52="",$C52,IF(ISNUMBER(Planung!EJ52),Planung!EJ52,IF(UPPER(Planung!EJ52)="H",$C52/2,0)))))))</f>
        <v>0</v>
      </c>
      <c r="EK52" s="27">
        <f>IF($A52="",0,IF(Mitarbeiter!$G$50=FALSE,0,IF(AND(Mitarbeiter!$E$50&lt;&gt;"",EK$5+6&lt;Mitarbeiter!$E$50),0,IF(AND(Mitarbeiter!$F$50&lt;&gt;"",EK$5&gt;Mitarbeiter!$F$50),0,IF(Planung!EK52="",$C52,IF(ISNUMBER(Planung!EK52),Planung!EK52,IF(UPPER(Planung!EK52)="H",$C52/2,0)))))))</f>
        <v>0</v>
      </c>
      <c r="EL52" s="27">
        <f>IF($A52="",0,IF(Mitarbeiter!$G$50=FALSE,0,IF(AND(Mitarbeiter!$E$50&lt;&gt;"",EL$5+6&lt;Mitarbeiter!$E$50),0,IF(AND(Mitarbeiter!$F$50&lt;&gt;"",EL$5&gt;Mitarbeiter!$F$50),0,IF(Planung!EL52="",$C52,IF(ISNUMBER(Planung!EL52),Planung!EL52,IF(UPPER(Planung!EL52)="H",$C52/2,0)))))))</f>
        <v>0</v>
      </c>
      <c r="EM52" s="27">
        <f>IF($A52="",0,IF(Mitarbeiter!$G$50=FALSE,0,IF(AND(Mitarbeiter!$E$50&lt;&gt;"",EM$5+6&lt;Mitarbeiter!$E$50),0,IF(AND(Mitarbeiter!$F$50&lt;&gt;"",EM$5&gt;Mitarbeiter!$F$50),0,IF(Planung!EM52="",$C52,IF(ISNUMBER(Planung!EM52),Planung!EM52,IF(UPPER(Planung!EM52)="H",$C52/2,0)))))))</f>
        <v>0</v>
      </c>
      <c r="EN52" s="27">
        <f>IF($A52="",0,IF(Mitarbeiter!$G$50=FALSE,0,IF(AND(Mitarbeiter!$E$50&lt;&gt;"",EN$5+6&lt;Mitarbeiter!$E$50),0,IF(AND(Mitarbeiter!$F$50&lt;&gt;"",EN$5&gt;Mitarbeiter!$F$50),0,IF(Planung!EN52="",$C52,IF(ISNUMBER(Planung!EN52),Planung!EN52,IF(UPPER(Planung!EN52)="H",$C52/2,0)))))))</f>
        <v>0</v>
      </c>
      <c r="EO52" s="27">
        <f>IF($A52="",0,IF(Mitarbeiter!$G$50=FALSE,0,IF(AND(Mitarbeiter!$E$50&lt;&gt;"",EO$5+6&lt;Mitarbeiter!$E$50),0,IF(AND(Mitarbeiter!$F$50&lt;&gt;"",EO$5&gt;Mitarbeiter!$F$50),0,IF(Planung!EO52="",$C52,IF(ISNUMBER(Planung!EO52),Planung!EO52,IF(UPPER(Planung!EO52)="H",$C52/2,0)))))))</f>
        <v>0</v>
      </c>
      <c r="EP52" s="27">
        <f>IF($A52="",0,IF(Mitarbeiter!$G$50=FALSE,0,IF(AND(Mitarbeiter!$E$50&lt;&gt;"",EP$5+6&lt;Mitarbeiter!$E$50),0,IF(AND(Mitarbeiter!$F$50&lt;&gt;"",EP$5&gt;Mitarbeiter!$F$50),0,IF(Planung!EP52="",$C52,IF(ISNUMBER(Planung!EP52),Planung!EP52,IF(UPPER(Planung!EP52)="H",$C52/2,0)))))))</f>
        <v>0</v>
      </c>
      <c r="EQ52" s="27">
        <f>IF($A52="",0,IF(Mitarbeiter!$G$50=FALSE,0,IF(AND(Mitarbeiter!$E$50&lt;&gt;"",EQ$5+6&lt;Mitarbeiter!$E$50),0,IF(AND(Mitarbeiter!$F$50&lt;&gt;"",EQ$5&gt;Mitarbeiter!$F$50),0,IF(Planung!EQ52="",$C52,IF(ISNUMBER(Planung!EQ52),Planung!EQ52,IF(UPPER(Planung!EQ52)="H",$C52/2,0)))))))</f>
        <v>0</v>
      </c>
      <c r="ER52" s="27">
        <f>IF($A52="",0,IF(Mitarbeiter!$G$50=FALSE,0,IF(AND(Mitarbeiter!$E$50&lt;&gt;"",ER$5+6&lt;Mitarbeiter!$E$50),0,IF(AND(Mitarbeiter!$F$50&lt;&gt;"",ER$5&gt;Mitarbeiter!$F$50),0,IF(Planung!ER52="",$C52,IF(ISNUMBER(Planung!ER52),Planung!ER52,IF(UPPER(Planung!ER52)="H",$C52/2,0)))))))</f>
        <v>0</v>
      </c>
      <c r="ES52" s="27">
        <f>IF($A52="",0,IF(Mitarbeiter!$G$50=FALSE,0,IF(AND(Mitarbeiter!$E$50&lt;&gt;"",ES$5+6&lt;Mitarbeiter!$E$50),0,IF(AND(Mitarbeiter!$F$50&lt;&gt;"",ES$5&gt;Mitarbeiter!$F$50),0,IF(Planung!ES52="",$C52,IF(ISNUMBER(Planung!ES52),Planung!ES52,IF(UPPER(Planung!ES52)="H",$C52/2,0)))))))</f>
        <v>0</v>
      </c>
      <c r="ET52" s="27">
        <f>IF($A52="",0,IF(Mitarbeiter!$G$50=FALSE,0,IF(AND(Mitarbeiter!$E$50&lt;&gt;"",ET$5+6&lt;Mitarbeiter!$E$50),0,IF(AND(Mitarbeiter!$F$50&lt;&gt;"",ET$5&gt;Mitarbeiter!$F$50),0,IF(Planung!ET52="",$C52,IF(ISNUMBER(Planung!ET52),Planung!ET52,IF(UPPER(Planung!ET52)="H",$C52/2,0)))))))</f>
        <v>0</v>
      </c>
      <c r="EU52" s="27">
        <f>IF($A52="",0,IF(Mitarbeiter!$G$50=FALSE,0,IF(AND(Mitarbeiter!$E$50&lt;&gt;"",EU$5+6&lt;Mitarbeiter!$E$50),0,IF(AND(Mitarbeiter!$F$50&lt;&gt;"",EU$5&gt;Mitarbeiter!$F$50),0,IF(Planung!EU52="",$C52,IF(ISNUMBER(Planung!EU52),Planung!EU52,IF(UPPER(Planung!EU52)="H",$C52/2,0)))))))</f>
        <v>0</v>
      </c>
      <c r="EV52" s="27">
        <f>IF($A52="",0,IF(Mitarbeiter!$G$50=FALSE,0,IF(AND(Mitarbeiter!$E$50&lt;&gt;"",EV$5+6&lt;Mitarbeiter!$E$50),0,IF(AND(Mitarbeiter!$F$50&lt;&gt;"",EV$5&gt;Mitarbeiter!$F$50),0,IF(Planung!EV52="",$C52,IF(ISNUMBER(Planung!EV52),Planung!EV52,IF(UPPER(Planung!EV52)="H",$C52/2,0)))))))</f>
        <v>0</v>
      </c>
      <c r="EW52" s="27">
        <f>IF($A52="",0,IF(Mitarbeiter!$G$50=FALSE,0,IF(AND(Mitarbeiter!$E$50&lt;&gt;"",EW$5+6&lt;Mitarbeiter!$E$50),0,IF(AND(Mitarbeiter!$F$50&lt;&gt;"",EW$5&gt;Mitarbeiter!$F$50),0,IF(Planung!EW52="",$C52,IF(ISNUMBER(Planung!EW52),Planung!EW52,IF(UPPER(Planung!EW52)="H",$C52/2,0)))))))</f>
        <v>0</v>
      </c>
      <c r="EX52" s="27">
        <f>IF($A52="",0,IF(Mitarbeiter!$G$50=FALSE,0,IF(AND(Mitarbeiter!$E$50&lt;&gt;"",EX$5+6&lt;Mitarbeiter!$E$50),0,IF(AND(Mitarbeiter!$F$50&lt;&gt;"",EX$5&gt;Mitarbeiter!$F$50),0,IF(Planung!EX52="",$C52,IF(ISNUMBER(Planung!EX52),Planung!EX52,IF(UPPER(Planung!EX52)="H",$C52/2,0)))))))</f>
        <v>0</v>
      </c>
      <c r="EY52" s="27">
        <f>IF($A52="",0,IF(Mitarbeiter!$G$50=FALSE,0,IF(AND(Mitarbeiter!$E$50&lt;&gt;"",EY$5+6&lt;Mitarbeiter!$E$50),0,IF(AND(Mitarbeiter!$F$50&lt;&gt;"",EY$5&gt;Mitarbeiter!$F$50),0,IF(Planung!EY52="",$C52,IF(ISNUMBER(Planung!EY52),Planung!EY52,IF(UPPER(Planung!EY52)="H",$C52/2,0)))))))</f>
        <v>0</v>
      </c>
      <c r="EZ52" s="27">
        <f>IF($A52="",0,IF(Mitarbeiter!$G$50=FALSE,0,IF(AND(Mitarbeiter!$E$50&lt;&gt;"",EZ$5+6&lt;Mitarbeiter!$E$50),0,IF(AND(Mitarbeiter!$F$50&lt;&gt;"",EZ$5&gt;Mitarbeiter!$F$50),0,IF(Planung!EZ52="",$C52,IF(ISNUMBER(Planung!EZ52),Planung!EZ52,IF(UPPER(Planung!EZ52)="H",$C52/2,0)))))))</f>
        <v>0</v>
      </c>
      <c r="FA52" s="27">
        <f>IF($A52="",0,IF(Mitarbeiter!$G$50=FALSE,0,IF(AND(Mitarbeiter!$E$50&lt;&gt;"",FA$5+6&lt;Mitarbeiter!$E$50),0,IF(AND(Mitarbeiter!$F$50&lt;&gt;"",FA$5&gt;Mitarbeiter!$F$50),0,IF(Planung!FA52="",$C52,IF(ISNUMBER(Planung!FA52),Planung!FA52,IF(UPPER(Planung!FA52)="H",$C52/2,0)))))))</f>
        <v>0</v>
      </c>
      <c r="FB52" s="27">
        <f>IF($A52="",0,IF(Mitarbeiter!$G$50=FALSE,0,IF(AND(Mitarbeiter!$E$50&lt;&gt;"",FB$5+6&lt;Mitarbeiter!$E$50),0,IF(AND(Mitarbeiter!$F$50&lt;&gt;"",FB$5&gt;Mitarbeiter!$F$50),0,IF(Planung!FB52="",$C52,IF(ISNUMBER(Planung!FB52),Planung!FB52,IF(UPPER(Planung!FB52)="H",$C52/2,0)))))))</f>
        <v>0</v>
      </c>
      <c r="FC52" s="27">
        <f>IF($A52="",0,IF(Mitarbeiter!$G$50=FALSE,0,IF(AND(Mitarbeiter!$E$50&lt;&gt;"",FC$5+6&lt;Mitarbeiter!$E$50),0,IF(AND(Mitarbeiter!$F$50&lt;&gt;"",FC$5&gt;Mitarbeiter!$F$50),0,IF(Planung!FC52="",$C52,IF(ISNUMBER(Planung!FC52),Planung!FC52,IF(UPPER(Planung!FC52)="H",$C52/2,0)))))))</f>
        <v>0</v>
      </c>
      <c r="FD52" s="27">
        <f>IF($A52="",0,IF(Mitarbeiter!$G$50=FALSE,0,IF(AND(Mitarbeiter!$E$50&lt;&gt;"",FD$5+6&lt;Mitarbeiter!$E$50),0,IF(AND(Mitarbeiter!$F$50&lt;&gt;"",FD$5&gt;Mitarbeiter!$F$50),0,IF(Planung!FD52="",$C52,IF(ISNUMBER(Planung!FD52),Planung!FD52,IF(UPPER(Planung!FD52)="H",$C52/2,0)))))))</f>
        <v>0</v>
      </c>
      <c r="FE52" s="27">
        <f>IF($A52="",0,IF(Mitarbeiter!$G$50=FALSE,0,IF(AND(Mitarbeiter!$E$50&lt;&gt;"",FE$5+6&lt;Mitarbeiter!$E$50),0,IF(AND(Mitarbeiter!$F$50&lt;&gt;"",FE$5&gt;Mitarbeiter!$F$50),0,IF(Planung!FE52="",$C52,IF(ISNUMBER(Planung!FE52),Planung!FE52,IF(UPPER(Planung!FE52)="H",$C52/2,0)))))))</f>
        <v>0</v>
      </c>
      <c r="FF52" s="27">
        <f>IF($A52="",0,IF(Mitarbeiter!$G$50=FALSE,0,IF(AND(Mitarbeiter!$E$50&lt;&gt;"",FF$5+6&lt;Mitarbeiter!$E$50),0,IF(AND(Mitarbeiter!$F$50&lt;&gt;"",FF$5&gt;Mitarbeiter!$F$50),0,IF(Planung!FF52="",$C52,IF(ISNUMBER(Planung!FF52),Planung!FF52,IF(UPPER(Planung!FF52)="H",$C52/2,0)))))))</f>
        <v>0</v>
      </c>
      <c r="FG52" s="27">
        <f>IF($A52="",0,IF(Mitarbeiter!$G$50=FALSE,0,IF(AND(Mitarbeiter!$E$50&lt;&gt;"",FG$5+6&lt;Mitarbeiter!$E$50),0,IF(AND(Mitarbeiter!$F$50&lt;&gt;"",FG$5&gt;Mitarbeiter!$F$50),0,IF(Planung!FG52="",$C52,IF(ISNUMBER(Planung!FG52),Planung!FG52,IF(UPPER(Planung!FG52)="H",$C52/2,0)))))))</f>
        <v>0</v>
      </c>
      <c r="FH52" s="27">
        <f>IF($A52="",0,IF(Mitarbeiter!$G$50=FALSE,0,IF(AND(Mitarbeiter!$E$50&lt;&gt;"",FH$5+6&lt;Mitarbeiter!$E$50),0,IF(AND(Mitarbeiter!$F$50&lt;&gt;"",FH$5&gt;Mitarbeiter!$F$50),0,IF(Planung!FH52="",$C52,IF(ISNUMBER(Planung!FH52),Planung!FH52,IF(UPPER(Planung!FH52)="H",$C52/2,0)))))))</f>
        <v>0</v>
      </c>
      <c r="FI52" s="27">
        <f>IF($A52="",0,IF(Mitarbeiter!$G$50=FALSE,0,IF(AND(Mitarbeiter!$E$50&lt;&gt;"",FI$5+6&lt;Mitarbeiter!$E$50),0,IF(AND(Mitarbeiter!$F$50&lt;&gt;"",FI$5&gt;Mitarbeiter!$F$50),0,IF(Planung!FI52="",$C52,IF(ISNUMBER(Planung!FI52),Planung!FI52,IF(UPPER(Planung!FI52)="H",$C52/2,0)))))))</f>
        <v>0</v>
      </c>
      <c r="FJ52" s="27">
        <f>IF($A52="",0,IF(Mitarbeiter!$G$50=FALSE,0,IF(AND(Mitarbeiter!$E$50&lt;&gt;"",FJ$5+6&lt;Mitarbeiter!$E$50),0,IF(AND(Mitarbeiter!$F$50&lt;&gt;"",FJ$5&gt;Mitarbeiter!$F$50),0,IF(Planung!FJ52="",$C52,IF(ISNUMBER(Planung!FJ52),Planung!FJ52,IF(UPPER(Planung!FJ52)="H",$C52/2,0)))))))</f>
        <v>0</v>
      </c>
      <c r="FK52" s="27">
        <f>IF($A52="",0,IF(Mitarbeiter!$G$50=FALSE,0,IF(AND(Mitarbeiter!$E$50&lt;&gt;"",FK$5+6&lt;Mitarbeiter!$E$50),0,IF(AND(Mitarbeiter!$F$50&lt;&gt;"",FK$5&gt;Mitarbeiter!$F$50),0,IF(Planung!FK52="",$C52,IF(ISNUMBER(Planung!FK52),Planung!FK52,IF(UPPER(Planung!FK52)="H",$C52/2,0)))))))</f>
        <v>0</v>
      </c>
      <c r="FL52" s="27">
        <f>IF($A52="",0,IF(Mitarbeiter!$G$50=FALSE,0,IF(AND(Mitarbeiter!$E$50&lt;&gt;"",FL$5+6&lt;Mitarbeiter!$E$50),0,IF(AND(Mitarbeiter!$F$50&lt;&gt;"",FL$5&gt;Mitarbeiter!$F$50),0,IF(Planung!FL52="",$C52,IF(ISNUMBER(Planung!FL52),Planung!FL52,IF(UPPER(Planung!FL52)="H",$C52/2,0)))))))</f>
        <v>0</v>
      </c>
      <c r="FM52" s="27">
        <f>IF($A52="",0,IF(Mitarbeiter!$G$50=FALSE,0,IF(AND(Mitarbeiter!$E$50&lt;&gt;"",FM$5+6&lt;Mitarbeiter!$E$50),0,IF(AND(Mitarbeiter!$F$50&lt;&gt;"",FM$5&gt;Mitarbeiter!$F$50),0,IF(Planung!FM52="",$C52,IF(ISNUMBER(Planung!FM52),Planung!FM52,IF(UPPER(Planung!FM52)="H",$C52/2,0)))))))</f>
        <v>0</v>
      </c>
      <c r="FN52" s="27">
        <f>IF($A52="",0,IF(Mitarbeiter!$G$50=FALSE,0,IF(AND(Mitarbeiter!$E$50&lt;&gt;"",FN$5+6&lt;Mitarbeiter!$E$50),0,IF(AND(Mitarbeiter!$F$50&lt;&gt;"",FN$5&gt;Mitarbeiter!$F$50),0,IF(Planung!FN52="",$C52,IF(ISNUMBER(Planung!FN52),Planung!FN52,IF(UPPER(Planung!FN52)="H",$C52/2,0)))))))</f>
        <v>0</v>
      </c>
      <c r="FO52" s="27">
        <f>IF($A52="",0,IF(Mitarbeiter!$G$50=FALSE,0,IF(AND(Mitarbeiter!$E$50&lt;&gt;"",FO$5+6&lt;Mitarbeiter!$E$50),0,IF(AND(Mitarbeiter!$F$50&lt;&gt;"",FO$5&gt;Mitarbeiter!$F$50),0,IF(Planung!FO52="",$C52,IF(ISNUMBER(Planung!FO52),Planung!FO52,IF(UPPER(Planung!FO52)="H",$C52/2,0)))))))</f>
        <v>0</v>
      </c>
      <c r="FP52" s="27">
        <f>IF($A52="",0,IF(Mitarbeiter!$G$50=FALSE,0,IF(AND(Mitarbeiter!$E$50&lt;&gt;"",FP$5+6&lt;Mitarbeiter!$E$50),0,IF(AND(Mitarbeiter!$F$50&lt;&gt;"",FP$5&gt;Mitarbeiter!$F$50),0,IF(Planung!FP52="",$C52,IF(ISNUMBER(Planung!FP52),Planung!FP52,IF(UPPER(Planung!FP52)="H",$C52/2,0)))))))</f>
        <v>0</v>
      </c>
      <c r="FQ52" s="27">
        <f>IF($A52="",0,IF(Mitarbeiter!$G$50=FALSE,0,IF(AND(Mitarbeiter!$E$50&lt;&gt;"",FQ$5+6&lt;Mitarbeiter!$E$50),0,IF(AND(Mitarbeiter!$F$50&lt;&gt;"",FQ$5&gt;Mitarbeiter!$F$50),0,IF(Planung!FQ52="",$C52,IF(ISNUMBER(Planung!FQ52),Planung!FQ52,IF(UPPER(Planung!FQ52)="H",$C52/2,0)))))))</f>
        <v>0</v>
      </c>
      <c r="FR52" s="27">
        <f>IF($A52="",0,IF(Mitarbeiter!$G$50=FALSE,0,IF(AND(Mitarbeiter!$E$50&lt;&gt;"",FR$5+6&lt;Mitarbeiter!$E$50),0,IF(AND(Mitarbeiter!$F$50&lt;&gt;"",FR$5&gt;Mitarbeiter!$F$50),0,IF(Planung!FR52="",$C52,IF(ISNUMBER(Planung!FR52),Planung!FR52,IF(UPPER(Planung!FR52)="H",$C52/2,0)))))))</f>
        <v>0</v>
      </c>
      <c r="FS52" s="27">
        <f>IF($A52="",0,IF(Mitarbeiter!$G$50=FALSE,0,IF(AND(Mitarbeiter!$E$50&lt;&gt;"",FS$5+6&lt;Mitarbeiter!$E$50),0,IF(AND(Mitarbeiter!$F$50&lt;&gt;"",FS$5&gt;Mitarbeiter!$F$50),0,IF(Planung!FS52="",$C52,IF(ISNUMBER(Planung!FS52),Planung!FS52,IF(UPPER(Planung!FS52)="H",$C52/2,0)))))))</f>
        <v>0</v>
      </c>
      <c r="FT52" s="27">
        <f>IF($A52="",0,IF(Mitarbeiter!$G$50=FALSE,0,IF(AND(Mitarbeiter!$E$50&lt;&gt;"",FT$5+6&lt;Mitarbeiter!$E$50),0,IF(AND(Mitarbeiter!$F$50&lt;&gt;"",FT$5&gt;Mitarbeiter!$F$50),0,IF(Planung!FT52="",$C52,IF(ISNUMBER(Planung!FT52),Planung!FT52,IF(UPPER(Planung!FT52)="H",$C52/2,0)))))))</f>
        <v>0</v>
      </c>
      <c r="FU52" s="27">
        <f>IF($A52="",0,IF(Mitarbeiter!$G$50=FALSE,0,IF(AND(Mitarbeiter!$E$50&lt;&gt;"",FU$5+6&lt;Mitarbeiter!$E$50),0,IF(AND(Mitarbeiter!$F$50&lt;&gt;"",FU$5&gt;Mitarbeiter!$F$50),0,IF(Planung!FU52="",$C52,IF(ISNUMBER(Planung!FU52),Planung!FU52,IF(UPPER(Planung!FU52)="H",$C52/2,0)))))))</f>
        <v>0</v>
      </c>
      <c r="FV52" s="27">
        <f>IF($A52="",0,IF(Mitarbeiter!$G$50=FALSE,0,IF(AND(Mitarbeiter!$E$50&lt;&gt;"",FV$5+6&lt;Mitarbeiter!$E$50),0,IF(AND(Mitarbeiter!$F$50&lt;&gt;"",FV$5&gt;Mitarbeiter!$F$50),0,IF(Planung!FV52="",$C52,IF(ISNUMBER(Planung!FV52),Planung!FV52,IF(UPPER(Planung!FV52)="H",$C52/2,0)))))))</f>
        <v>0</v>
      </c>
      <c r="FW52" s="27">
        <f>IF($A52="",0,IF(Mitarbeiter!$G$50=FALSE,0,IF(AND(Mitarbeiter!$E$50&lt;&gt;"",FW$5+6&lt;Mitarbeiter!$E$50),0,IF(AND(Mitarbeiter!$F$50&lt;&gt;"",FW$5&gt;Mitarbeiter!$F$50),0,IF(Planung!FW52="",$C52,IF(ISNUMBER(Planung!FW52),Planung!FW52,IF(UPPER(Planung!FW52)="H",$C52/2,0)))))))</f>
        <v>0</v>
      </c>
      <c r="FX52" s="27">
        <f>IF($A52="",0,IF(Mitarbeiter!$G$50=FALSE,0,IF(AND(Mitarbeiter!$E$50&lt;&gt;"",FX$5+6&lt;Mitarbeiter!$E$50),0,IF(AND(Mitarbeiter!$F$50&lt;&gt;"",FX$5&gt;Mitarbeiter!$F$50),0,IF(Planung!FX52="",$C52,IF(ISNUMBER(Planung!FX52),Planung!FX52,IF(UPPER(Planung!FX52)="H",$C52/2,0)))))))</f>
        <v>0</v>
      </c>
      <c r="FY52" s="27">
        <f>IF($A52="",0,IF(Mitarbeiter!$G$50=FALSE,0,IF(AND(Mitarbeiter!$E$50&lt;&gt;"",FY$5+6&lt;Mitarbeiter!$E$50),0,IF(AND(Mitarbeiter!$F$50&lt;&gt;"",FY$5&gt;Mitarbeiter!$F$50),0,IF(Planung!FY52="",$C52,IF(ISNUMBER(Planung!FY52),Planung!FY52,IF(UPPER(Planung!FY52)="H",$C52/2,0)))))))</f>
        <v>0</v>
      </c>
      <c r="FZ52" s="27">
        <f>IF($A52="",0,IF(Mitarbeiter!$G$50=FALSE,0,IF(AND(Mitarbeiter!$E$50&lt;&gt;"",FZ$5+6&lt;Mitarbeiter!$E$50),0,IF(AND(Mitarbeiter!$F$50&lt;&gt;"",FZ$5&gt;Mitarbeiter!$F$50),0,IF(Planung!FZ52="",$C52,IF(ISNUMBER(Planung!FZ52),Planung!FZ52,IF(UPPER(Planung!FZ52)="H",$C52/2,0)))))))</f>
        <v>0</v>
      </c>
      <c r="GA52" s="27">
        <f>IF($A52="",0,IF(Mitarbeiter!$G$50=FALSE,0,IF(AND(Mitarbeiter!$E$50&lt;&gt;"",GA$5+6&lt;Mitarbeiter!$E$50),0,IF(AND(Mitarbeiter!$F$50&lt;&gt;"",GA$5&gt;Mitarbeiter!$F$50),0,IF(Planung!GA52="",$C52,IF(ISNUMBER(Planung!GA52),Planung!GA52,IF(UPPER(Planung!GA52)="H",$C52/2,0)))))))</f>
        <v>0</v>
      </c>
      <c r="GB52" s="27">
        <f>IF($A52="",0,IF(Mitarbeiter!$G$50=FALSE,0,IF(AND(Mitarbeiter!$E$50&lt;&gt;"",GB$5+6&lt;Mitarbeiter!$E$50),0,IF(AND(Mitarbeiter!$F$50&lt;&gt;"",GB$5&gt;Mitarbeiter!$F$50),0,IF(Planung!GB52="",$C52,IF(ISNUMBER(Planung!GB52),Planung!GB52,IF(UPPER(Planung!GB52)="H",$C52/2,0)))))))</f>
        <v>0</v>
      </c>
      <c r="GC52" s="27">
        <f>IF($A52="",0,IF(Mitarbeiter!$G$50=FALSE,0,IF(AND(Mitarbeiter!$E$50&lt;&gt;"",GC$5+6&lt;Mitarbeiter!$E$50),0,IF(AND(Mitarbeiter!$F$50&lt;&gt;"",GC$5&gt;Mitarbeiter!$F$50),0,IF(Planung!GC52="",$C52,IF(ISNUMBER(Planung!GC52),Planung!GC52,IF(UPPER(Planung!GC52)="H",$C52/2,0)))))))</f>
        <v>0</v>
      </c>
      <c r="GD52" s="27">
        <f>IF($A52="",0,IF(Mitarbeiter!$G$50=FALSE,0,IF(AND(Mitarbeiter!$E$50&lt;&gt;"",GD$5+6&lt;Mitarbeiter!$E$50),0,IF(AND(Mitarbeiter!$F$50&lt;&gt;"",GD$5&gt;Mitarbeiter!$F$50),0,IF(Planung!GD52="",$C52,IF(ISNUMBER(Planung!GD52),Planung!GD52,IF(UPPER(Planung!GD52)="H",$C52/2,0)))))))</f>
        <v>0</v>
      </c>
      <c r="GE52" s="27">
        <f>IF($A52="",0,IF(Mitarbeiter!$G$50=FALSE,0,IF(AND(Mitarbeiter!$E$50&lt;&gt;"",GE$5+6&lt;Mitarbeiter!$E$50),0,IF(AND(Mitarbeiter!$F$50&lt;&gt;"",GE$5&gt;Mitarbeiter!$F$50),0,IF(Planung!GE52="",$C52,IF(ISNUMBER(Planung!GE52),Planung!GE52,IF(UPPER(Planung!GE52)="H",$C52/2,0)))))))</f>
        <v>0</v>
      </c>
      <c r="GF52" s="27">
        <f>IF($A52="",0,IF(Mitarbeiter!$G$50=FALSE,0,IF(AND(Mitarbeiter!$E$50&lt;&gt;"",GF$5+6&lt;Mitarbeiter!$E$50),0,IF(AND(Mitarbeiter!$F$50&lt;&gt;"",GF$5&gt;Mitarbeiter!$F$50),0,IF(Planung!GF52="",$C52,IF(ISNUMBER(Planung!GF52),Planung!GF52,IF(UPPER(Planung!GF52)="H",$C52/2,0)))))))</f>
        <v>0</v>
      </c>
      <c r="GG52" s="27">
        <f>IF($A52="",0,IF(Mitarbeiter!$G$50=FALSE,0,IF(AND(Mitarbeiter!$E$50&lt;&gt;"",GG$5+6&lt;Mitarbeiter!$E$50),0,IF(AND(Mitarbeiter!$F$50&lt;&gt;"",GG$5&gt;Mitarbeiter!$F$50),0,IF(Planung!GG52="",$C52,IF(ISNUMBER(Planung!GG52),Planung!GG52,IF(UPPER(Planung!GG52)="H",$C52/2,0)))))))</f>
        <v>0</v>
      </c>
      <c r="GH52" s="27">
        <f>IF($A52="",0,IF(Mitarbeiter!$G$50=FALSE,0,IF(AND(Mitarbeiter!$E$50&lt;&gt;"",GH$5+6&lt;Mitarbeiter!$E$50),0,IF(AND(Mitarbeiter!$F$50&lt;&gt;"",GH$5&gt;Mitarbeiter!$F$50),0,IF(Planung!GH52="",$C52,IF(ISNUMBER(Planung!GH52),Planung!GH52,IF(UPPER(Planung!GH52)="H",$C52/2,0)))))))</f>
        <v>0</v>
      </c>
      <c r="GI52" s="27">
        <f>IF($A52="",0,IF(Mitarbeiter!$G$50=FALSE,0,IF(AND(Mitarbeiter!$E$50&lt;&gt;"",GI$5+6&lt;Mitarbeiter!$E$50),0,IF(AND(Mitarbeiter!$F$50&lt;&gt;"",GI$5&gt;Mitarbeiter!$F$50),0,IF(Planung!GI52="",$C52,IF(ISNUMBER(Planung!GI52),Planung!GI52,IF(UPPER(Planung!GI52)="H",$C52/2,0)))))))</f>
        <v>0</v>
      </c>
      <c r="GJ52" s="27">
        <f>IF($A52="",0,IF(Mitarbeiter!$G$50=FALSE,0,IF(AND(Mitarbeiter!$E$50&lt;&gt;"",GJ$5+6&lt;Mitarbeiter!$E$50),0,IF(AND(Mitarbeiter!$F$50&lt;&gt;"",GJ$5&gt;Mitarbeiter!$F$50),0,IF(Planung!GJ52="",$C52,IF(ISNUMBER(Planung!GJ52),Planung!GJ52,IF(UPPER(Planung!GJ52)="H",$C52/2,0)))))))</f>
        <v>0</v>
      </c>
      <c r="GK52" s="27">
        <f>IF($A52="",0,IF(Mitarbeiter!$G$50=FALSE,0,IF(AND(Mitarbeiter!$E$50&lt;&gt;"",GK$5+6&lt;Mitarbeiter!$E$50),0,IF(AND(Mitarbeiter!$F$50&lt;&gt;"",GK$5&gt;Mitarbeiter!$F$50),0,IF(Planung!GK52="",$C52,IF(ISNUMBER(Planung!GK52),Planung!GK52,IF(UPPER(Planung!GK52)="H",$C52/2,0)))))))</f>
        <v>0</v>
      </c>
      <c r="GL52" s="27">
        <f>IF($A52="",0,IF(Mitarbeiter!$G$50=FALSE,0,IF(AND(Mitarbeiter!$E$50&lt;&gt;"",GL$5+6&lt;Mitarbeiter!$E$50),0,IF(AND(Mitarbeiter!$F$50&lt;&gt;"",GL$5&gt;Mitarbeiter!$F$50),0,IF(Planung!GL52="",$C52,IF(ISNUMBER(Planung!GL52),Planung!GL52,IF(UPPER(Planung!GL52)="H",$C52/2,0)))))))</f>
        <v>0</v>
      </c>
      <c r="GM52" s="27">
        <f>IF($A52="",0,IF(Mitarbeiter!$G$50=FALSE,0,IF(AND(Mitarbeiter!$E$50&lt;&gt;"",GM$5+6&lt;Mitarbeiter!$E$50),0,IF(AND(Mitarbeiter!$F$50&lt;&gt;"",GM$5&gt;Mitarbeiter!$F$50),0,IF(Planung!GM52="",$C52,IF(ISNUMBER(Planung!GM52),Planung!GM52,IF(UPPER(Planung!GM52)="H",$C52/2,0)))))))</f>
        <v>0</v>
      </c>
      <c r="GN52" s="27">
        <f>IF($A52="",0,IF(Mitarbeiter!$G$50=FALSE,0,IF(AND(Mitarbeiter!$E$50&lt;&gt;"",GN$5+6&lt;Mitarbeiter!$E$50),0,IF(AND(Mitarbeiter!$F$50&lt;&gt;"",GN$5&gt;Mitarbeiter!$F$50),0,IF(Planung!GN52="",$C52,IF(ISNUMBER(Planung!GN52),Planung!GN52,IF(UPPER(Planung!GN52)="H",$C52/2,0)))))))</f>
        <v>0</v>
      </c>
      <c r="GO52" s="27">
        <f>IF($A52="",0,IF(Mitarbeiter!$G$50=FALSE,0,IF(AND(Mitarbeiter!$E$50&lt;&gt;"",GO$5+6&lt;Mitarbeiter!$E$50),0,IF(AND(Mitarbeiter!$F$50&lt;&gt;"",GO$5&gt;Mitarbeiter!$F$50),0,IF(Planung!GO52="",$C52,IF(ISNUMBER(Planung!GO52),Planung!GO52,IF(UPPER(Planung!GO52)="H",$C52/2,0)))))))</f>
        <v>0</v>
      </c>
      <c r="GP52" s="27">
        <f>IF($A52="",0,IF(Mitarbeiter!$G$50=FALSE,0,IF(AND(Mitarbeiter!$E$50&lt;&gt;"",GP$5+6&lt;Mitarbeiter!$E$50),0,IF(AND(Mitarbeiter!$F$50&lt;&gt;"",GP$5&gt;Mitarbeiter!$F$50),0,IF(Planung!GP52="",$C52,IF(ISNUMBER(Planung!GP52),Planung!GP52,IF(UPPER(Planung!GP52)="H",$C52/2,0)))))))</f>
        <v>0</v>
      </c>
      <c r="GQ52" s="27">
        <f>IF($A52="",0,IF(Mitarbeiter!$G$50=FALSE,0,IF(AND(Mitarbeiter!$E$50&lt;&gt;"",GQ$5+6&lt;Mitarbeiter!$E$50),0,IF(AND(Mitarbeiter!$F$50&lt;&gt;"",GQ$5&gt;Mitarbeiter!$F$50),0,IF(Planung!GQ52="",$C52,IF(ISNUMBER(Planung!GQ52),Planung!GQ52,IF(UPPER(Planung!GQ52)="H",$C52/2,0)))))))</f>
        <v>0</v>
      </c>
      <c r="GR52" s="27">
        <f>IF($A52="",0,IF(Mitarbeiter!$G$50=FALSE,0,IF(AND(Mitarbeiter!$E$50&lt;&gt;"",GR$5+6&lt;Mitarbeiter!$E$50),0,IF(AND(Mitarbeiter!$F$50&lt;&gt;"",GR$5&gt;Mitarbeiter!$F$50),0,IF(Planung!GR52="",$C52,IF(ISNUMBER(Planung!GR52),Planung!GR52,IF(UPPER(Planung!GR52)="H",$C52/2,0)))))))</f>
        <v>0</v>
      </c>
      <c r="GS52" s="27">
        <f>IF($A52="",0,IF(Mitarbeiter!$G$50=FALSE,0,IF(AND(Mitarbeiter!$E$50&lt;&gt;"",GS$5+6&lt;Mitarbeiter!$E$50),0,IF(AND(Mitarbeiter!$F$50&lt;&gt;"",GS$5&gt;Mitarbeiter!$F$50),0,IF(Planung!GS52="",$C52,IF(ISNUMBER(Planung!GS52),Planung!GS52,IF(UPPER(Planung!GS52)="H",$C52/2,0)))))))</f>
        <v>0</v>
      </c>
      <c r="GT52" s="27">
        <f>IF($A52="",0,IF(Mitarbeiter!$G$50=FALSE,0,IF(AND(Mitarbeiter!$E$50&lt;&gt;"",GT$5+6&lt;Mitarbeiter!$E$50),0,IF(AND(Mitarbeiter!$F$50&lt;&gt;"",GT$5&gt;Mitarbeiter!$F$50),0,IF(Planung!GT52="",$C52,IF(ISNUMBER(Planung!GT52),Planung!GT52,IF(UPPER(Planung!GT52)="H",$C52/2,0)))))))</f>
        <v>0</v>
      </c>
      <c r="GU52" s="27">
        <f>IF($A52="",0,IF(Mitarbeiter!$G$50=FALSE,0,IF(AND(Mitarbeiter!$E$50&lt;&gt;"",GU$5+6&lt;Mitarbeiter!$E$50),0,IF(AND(Mitarbeiter!$F$50&lt;&gt;"",GU$5&gt;Mitarbeiter!$F$50),0,IF(Planung!GU52="",$C52,IF(ISNUMBER(Planung!GU52),Planung!GU52,IF(UPPER(Planung!GU52)="H",$C52/2,0)))))))</f>
        <v>0</v>
      </c>
      <c r="GV52" s="27">
        <f>IF($A52="",0,IF(Mitarbeiter!$G$50=FALSE,0,IF(AND(Mitarbeiter!$E$50&lt;&gt;"",GV$5+6&lt;Mitarbeiter!$E$50),0,IF(AND(Mitarbeiter!$F$50&lt;&gt;"",GV$5&gt;Mitarbeiter!$F$50),0,IF(Planung!GV52="",$C52,IF(ISNUMBER(Planung!GV52),Planung!GV52,IF(UPPER(Planung!GV52)="H",$C52/2,0)))))))</f>
        <v>0</v>
      </c>
      <c r="GW52" s="27">
        <f>IF($A52="",0,IF(Mitarbeiter!$G$50=FALSE,0,IF(AND(Mitarbeiter!$E$50&lt;&gt;"",GW$5+6&lt;Mitarbeiter!$E$50),0,IF(AND(Mitarbeiter!$F$50&lt;&gt;"",GW$5&gt;Mitarbeiter!$F$50),0,IF(Planung!GW52="",$C52,IF(ISNUMBER(Planung!GW52),Planung!GW52,IF(UPPER(Planung!GW52)="H",$C52/2,0)))))))</f>
        <v>0</v>
      </c>
      <c r="GX52" s="27">
        <f>IF($A52="",0,IF(Mitarbeiter!$G$50=FALSE,0,IF(AND(Mitarbeiter!$E$50&lt;&gt;"",GX$5+6&lt;Mitarbeiter!$E$50),0,IF(AND(Mitarbeiter!$F$50&lt;&gt;"",GX$5&gt;Mitarbeiter!$F$50),0,IF(Planung!GX52="",$C52,IF(ISNUMBER(Planung!GX52),Planung!GX52,IF(UPPER(Planung!GX52)="H",$C52/2,0)))))))</f>
        <v>0</v>
      </c>
      <c r="GY52" s="27">
        <f>IF($A52="",0,IF(Mitarbeiter!$G$50=FALSE,0,IF(AND(Mitarbeiter!$E$50&lt;&gt;"",GY$5+6&lt;Mitarbeiter!$E$50),0,IF(AND(Mitarbeiter!$F$50&lt;&gt;"",GY$5&gt;Mitarbeiter!$F$50),0,IF(Planung!GY52="",$C52,IF(ISNUMBER(Planung!GY52),Planung!GY52,IF(UPPER(Planung!GY52)="H",$C52/2,0)))))))</f>
        <v>0</v>
      </c>
      <c r="GZ52" s="27">
        <f>IF($A52="",0,IF(Mitarbeiter!$G$50=FALSE,0,IF(AND(Mitarbeiter!$E$50&lt;&gt;"",GZ$5+6&lt;Mitarbeiter!$E$50),0,IF(AND(Mitarbeiter!$F$50&lt;&gt;"",GZ$5&gt;Mitarbeiter!$F$50),0,IF(Planung!GZ52="",$C52,IF(ISNUMBER(Planung!GZ52),Planung!GZ52,IF(UPPER(Planung!GZ52)="H",$C52/2,0)))))))</f>
        <v>0</v>
      </c>
      <c r="HA52" s="27">
        <f>IF($A52="",0,IF(Mitarbeiter!$G$50=FALSE,0,IF(AND(Mitarbeiter!$E$50&lt;&gt;"",HA$5+6&lt;Mitarbeiter!$E$50),0,IF(AND(Mitarbeiter!$F$50&lt;&gt;"",HA$5&gt;Mitarbeiter!$F$50),0,IF(Planung!HA52="",$C52,IF(ISNUMBER(Planung!HA52),Planung!HA52,IF(UPPER(Planung!HA52)="H",$C52/2,0)))))))</f>
        <v>0</v>
      </c>
      <c r="HB52" s="27">
        <f>IF($A52="",0,IF(Mitarbeiter!$G$50=FALSE,0,IF(AND(Mitarbeiter!$E$50&lt;&gt;"",HB$5+6&lt;Mitarbeiter!$E$50),0,IF(AND(Mitarbeiter!$F$50&lt;&gt;"",HB$5&gt;Mitarbeiter!$F$50),0,IF(Planung!HB52="",$C52,IF(ISNUMBER(Planung!HB52),Planung!HB52,IF(UPPER(Planung!HB52)="H",$C52/2,0)))))))</f>
        <v>0</v>
      </c>
      <c r="HC52" s="27">
        <f>IF($A52="",0,IF(Mitarbeiter!$G$50=FALSE,0,IF(AND(Mitarbeiter!$E$50&lt;&gt;"",HC$5+6&lt;Mitarbeiter!$E$50),0,IF(AND(Mitarbeiter!$F$50&lt;&gt;"",HC$5&gt;Mitarbeiter!$F$50),0,IF(Planung!HC52="",$C52,IF(ISNUMBER(Planung!HC52),Planung!HC52,IF(UPPER(Planung!HC52)="H",$C52/2,0)))))))</f>
        <v>0</v>
      </c>
      <c r="HD52" s="27">
        <f>IF($A52="",0,IF(Mitarbeiter!$G$50=FALSE,0,IF(AND(Mitarbeiter!$E$50&lt;&gt;"",HD$5+6&lt;Mitarbeiter!$E$50),0,IF(AND(Mitarbeiter!$F$50&lt;&gt;"",HD$5&gt;Mitarbeiter!$F$50),0,IF(Planung!HD52="",$C52,IF(ISNUMBER(Planung!HD52),Planung!HD52,IF(UPPER(Planung!HD52)="H",$C52/2,0)))))))</f>
        <v>0</v>
      </c>
      <c r="HE52" s="27">
        <f>IF($A52="",0,IF(Mitarbeiter!$G$50=FALSE,0,IF(AND(Mitarbeiter!$E$50&lt;&gt;"",HE$5+6&lt;Mitarbeiter!$E$50),0,IF(AND(Mitarbeiter!$F$50&lt;&gt;"",HE$5&gt;Mitarbeiter!$F$50),0,IF(Planung!HE52="",$C52,IF(ISNUMBER(Planung!HE52),Planung!HE52,IF(UPPER(Planung!HE52)="H",$C52/2,0)))))))</f>
        <v>0</v>
      </c>
      <c r="HF52" s="27">
        <f>IF($A52="",0,IF(Mitarbeiter!$G$50=FALSE,0,IF(AND(Mitarbeiter!$E$50&lt;&gt;"",HF$5+6&lt;Mitarbeiter!$E$50),0,IF(AND(Mitarbeiter!$F$50&lt;&gt;"",HF$5&gt;Mitarbeiter!$F$50),0,IF(Planung!HF52="",$C52,IF(ISNUMBER(Planung!HF52),Planung!HF52,IF(UPPER(Planung!HF52)="H",$C52/2,0)))))))</f>
        <v>0</v>
      </c>
      <c r="HG52" s="27">
        <f>IF($A52="",0,IF(Mitarbeiter!$G$50=FALSE,0,IF(AND(Mitarbeiter!$E$50&lt;&gt;"",HG$5+6&lt;Mitarbeiter!$E$50),0,IF(AND(Mitarbeiter!$F$50&lt;&gt;"",HG$5&gt;Mitarbeiter!$F$50),0,IF(Planung!HG52="",$C52,IF(ISNUMBER(Planung!HG52),Planung!HG52,IF(UPPER(Planung!HG52)="H",$C52/2,0)))))))</f>
        <v>0</v>
      </c>
      <c r="HH52" s="27">
        <f>IF($A52="",0,IF(Mitarbeiter!$G$50=FALSE,0,IF(AND(Mitarbeiter!$E$50&lt;&gt;"",HH$5+6&lt;Mitarbeiter!$E$50),0,IF(AND(Mitarbeiter!$F$50&lt;&gt;"",HH$5&gt;Mitarbeiter!$F$50),0,IF(Planung!HH52="",$C52,IF(ISNUMBER(Planung!HH52),Planung!HH52,IF(UPPER(Planung!HH52)="H",$C52/2,0)))))))</f>
        <v>0</v>
      </c>
      <c r="HI52" s="27">
        <f>IF($A52="",0,IF(Mitarbeiter!$G$50=FALSE,0,IF(AND(Mitarbeiter!$E$50&lt;&gt;"",HI$5+6&lt;Mitarbeiter!$E$50),0,IF(AND(Mitarbeiter!$F$50&lt;&gt;"",HI$5&gt;Mitarbeiter!$F$50),0,IF(Planung!HI52="",$C52,IF(ISNUMBER(Planung!HI52),Planung!HI52,IF(UPPER(Planung!HI52)="H",$C52/2,0)))))))</f>
        <v>0</v>
      </c>
      <c r="HJ52" s="27">
        <f>IF($A52="",0,IF(Mitarbeiter!$G$50=FALSE,0,IF(AND(Mitarbeiter!$E$50&lt;&gt;"",HJ$5+6&lt;Mitarbeiter!$E$50),0,IF(AND(Mitarbeiter!$F$50&lt;&gt;"",HJ$5&gt;Mitarbeiter!$F$50),0,IF(Planung!HJ52="",$C52,IF(ISNUMBER(Planung!HJ52),Planung!HJ52,IF(UPPER(Planung!HJ52)="H",$C52/2,0)))))))</f>
        <v>0</v>
      </c>
      <c r="HK52" s="27">
        <f>IF($A52="",0,IF(Mitarbeiter!$G$50=FALSE,0,IF(AND(Mitarbeiter!$E$50&lt;&gt;"",HK$5+6&lt;Mitarbeiter!$E$50),0,IF(AND(Mitarbeiter!$F$50&lt;&gt;"",HK$5&gt;Mitarbeiter!$F$50),0,IF(Planung!HK52="",$C52,IF(ISNUMBER(Planung!HK52),Planung!HK52,IF(UPPER(Planung!HK52)="H",$C52/2,0)))))))</f>
        <v>0</v>
      </c>
      <c r="HL52" s="27">
        <f>IF($A52="",0,IF(Mitarbeiter!$G$50=FALSE,0,IF(AND(Mitarbeiter!$E$50&lt;&gt;"",HL$5+6&lt;Mitarbeiter!$E$50),0,IF(AND(Mitarbeiter!$F$50&lt;&gt;"",HL$5&gt;Mitarbeiter!$F$50),0,IF(Planung!HL52="",$C52,IF(ISNUMBER(Planung!HL52),Planung!HL52,IF(UPPER(Planung!HL52)="H",$C52/2,0)))))))</f>
        <v>0</v>
      </c>
      <c r="HM52" s="27">
        <f>IF($A52="",0,IF(Mitarbeiter!$G$50=FALSE,0,IF(AND(Mitarbeiter!$E$50&lt;&gt;"",HM$5+6&lt;Mitarbeiter!$E$50),0,IF(AND(Mitarbeiter!$F$50&lt;&gt;"",HM$5&gt;Mitarbeiter!$F$50),0,IF(Planung!HM52="",$C52,IF(ISNUMBER(Planung!HM52),Planung!HM52,IF(UPPER(Planung!HM52)="H",$C52/2,0)))))))</f>
        <v>0</v>
      </c>
      <c r="HN52" s="27">
        <f>IF($A52="",0,IF(Mitarbeiter!$G$50=FALSE,0,IF(AND(Mitarbeiter!$E$50&lt;&gt;"",HN$5+6&lt;Mitarbeiter!$E$50),0,IF(AND(Mitarbeiter!$F$50&lt;&gt;"",HN$5&gt;Mitarbeiter!$F$50),0,IF(Planung!HN52="",$C52,IF(ISNUMBER(Planung!HN52),Planung!HN52,IF(UPPER(Planung!HN52)="H",$C52/2,0)))))))</f>
        <v>0</v>
      </c>
      <c r="HO52" s="27">
        <f>IF($A52="",0,IF(Mitarbeiter!$G$50=FALSE,0,IF(AND(Mitarbeiter!$E$50&lt;&gt;"",HO$5+6&lt;Mitarbeiter!$E$50),0,IF(AND(Mitarbeiter!$F$50&lt;&gt;"",HO$5&gt;Mitarbeiter!$F$50),0,IF(Planung!HO52="",$C52,IF(ISNUMBER(Planung!HO52),Planung!HO52,IF(UPPER(Planung!HO52)="H",$C52/2,0)))))))</f>
        <v>0</v>
      </c>
      <c r="HP52" s="27">
        <f>IF($A52="",0,IF(Mitarbeiter!$G$50=FALSE,0,IF(AND(Mitarbeiter!$E$50&lt;&gt;"",HP$5+6&lt;Mitarbeiter!$E$50),0,IF(AND(Mitarbeiter!$F$50&lt;&gt;"",HP$5&gt;Mitarbeiter!$F$50),0,IF(Planung!HP52="",$C52,IF(ISNUMBER(Planung!HP52),Planung!HP52,IF(UPPER(Planung!HP52)="H",$C52/2,0)))))))</f>
        <v>0</v>
      </c>
      <c r="HQ52" s="27">
        <f>IF($A52="",0,IF(Mitarbeiter!$G$50=FALSE,0,IF(AND(Mitarbeiter!$E$50&lt;&gt;"",HQ$5+6&lt;Mitarbeiter!$E$50),0,IF(AND(Mitarbeiter!$F$50&lt;&gt;"",HQ$5&gt;Mitarbeiter!$F$50),0,IF(Planung!HQ52="",$C52,IF(ISNUMBER(Planung!HQ52),Planung!HQ52,IF(UPPER(Planung!HQ52)="H",$C52/2,0)))))))</f>
        <v>0</v>
      </c>
      <c r="HR52" s="27">
        <f>IF($A52="",0,IF(Mitarbeiter!$G$50=FALSE,0,IF(AND(Mitarbeiter!$E$50&lt;&gt;"",HR$5+6&lt;Mitarbeiter!$E$50),0,IF(AND(Mitarbeiter!$F$50&lt;&gt;"",HR$5&gt;Mitarbeiter!$F$50),0,IF(Planung!HR52="",$C52,IF(ISNUMBER(Planung!HR52),Planung!HR52,IF(UPPER(Planung!HR52)="H",$C52/2,0)))))))</f>
        <v>0</v>
      </c>
      <c r="HS52" s="27">
        <f>IF($A52="",0,IF(Mitarbeiter!$G$50=FALSE,0,IF(AND(Mitarbeiter!$E$50&lt;&gt;"",HS$5+6&lt;Mitarbeiter!$E$50),0,IF(AND(Mitarbeiter!$F$50&lt;&gt;"",HS$5&gt;Mitarbeiter!$F$50),0,IF(Planung!HS52="",$C52,IF(ISNUMBER(Planung!HS52),Planung!HS52,IF(UPPER(Planung!HS52)="H",$C52/2,0)))))))</f>
        <v>0</v>
      </c>
      <c r="HT52" s="27">
        <f>IF($A52="",0,IF(Mitarbeiter!$G$50=FALSE,0,IF(AND(Mitarbeiter!$E$50&lt;&gt;"",HT$5+6&lt;Mitarbeiter!$E$50),0,IF(AND(Mitarbeiter!$F$50&lt;&gt;"",HT$5&gt;Mitarbeiter!$F$50),0,IF(Planung!HT52="",$C52,IF(ISNUMBER(Planung!HT52),Planung!HT52,IF(UPPER(Planung!HT52)="H",$C52/2,0)))))))</f>
        <v>0</v>
      </c>
      <c r="HU52" s="27">
        <f>IF($A52="",0,IF(Mitarbeiter!$G$50=FALSE,0,IF(AND(Mitarbeiter!$E$50&lt;&gt;"",HU$5+6&lt;Mitarbeiter!$E$50),0,IF(AND(Mitarbeiter!$F$50&lt;&gt;"",HU$5&gt;Mitarbeiter!$F$50),0,IF(Planung!HU52="",$C52,IF(ISNUMBER(Planung!HU52),Planung!HU52,IF(UPPER(Planung!HU52)="H",$C52/2,0)))))))</f>
        <v>0</v>
      </c>
      <c r="HV52" s="27">
        <f>IF($A52="",0,IF(Mitarbeiter!$G$50=FALSE,0,IF(AND(Mitarbeiter!$E$50&lt;&gt;"",HV$5+6&lt;Mitarbeiter!$E$50),0,IF(AND(Mitarbeiter!$F$50&lt;&gt;"",HV$5&gt;Mitarbeiter!$F$50),0,IF(Planung!HV52="",$C52,IF(ISNUMBER(Planung!HV52),Planung!HV52,IF(UPPER(Planung!HV52)="H",$C52/2,0)))))))</f>
        <v>0</v>
      </c>
      <c r="HW52" s="27">
        <f>IF($A52="",0,IF(Mitarbeiter!$G$50=FALSE,0,IF(AND(Mitarbeiter!$E$50&lt;&gt;"",HW$5+6&lt;Mitarbeiter!$E$50),0,IF(AND(Mitarbeiter!$F$50&lt;&gt;"",HW$5&gt;Mitarbeiter!$F$50),0,IF(Planung!HW52="",$C52,IF(ISNUMBER(Planung!HW52),Planung!HW52,IF(UPPER(Planung!HW52)="H",$C52/2,0)))))))</f>
        <v>0</v>
      </c>
      <c r="HX52" s="27">
        <f>IF($A52="",0,IF(Mitarbeiter!$G$50=FALSE,0,IF(AND(Mitarbeiter!$E$50&lt;&gt;"",HX$5+6&lt;Mitarbeiter!$E$50),0,IF(AND(Mitarbeiter!$F$50&lt;&gt;"",HX$5&gt;Mitarbeiter!$F$50),0,IF(Planung!HX52="",$C52,IF(ISNUMBER(Planung!HX52),Planung!HX52,IF(UPPER(Planung!HX52)="H",$C52/2,0)))))))</f>
        <v>0</v>
      </c>
      <c r="HY52" s="27">
        <f>IF($A52="",0,IF(Mitarbeiter!$G$50=FALSE,0,IF(AND(Mitarbeiter!$E$50&lt;&gt;"",HY$5+6&lt;Mitarbeiter!$E$50),0,IF(AND(Mitarbeiter!$F$50&lt;&gt;"",HY$5&gt;Mitarbeiter!$F$50),0,IF(Planung!HY52="",$C52,IF(ISNUMBER(Planung!HY52),Planung!HY52,IF(UPPER(Planung!HY52)="H",$C52/2,0)))))))</f>
        <v>0</v>
      </c>
      <c r="HZ52" s="27">
        <f>IF($A52="",0,IF(Mitarbeiter!$G$50=FALSE,0,IF(AND(Mitarbeiter!$E$50&lt;&gt;"",HZ$5+6&lt;Mitarbeiter!$E$50),0,IF(AND(Mitarbeiter!$F$50&lt;&gt;"",HZ$5&gt;Mitarbeiter!$F$50),0,IF(Planung!HZ52="",$C52,IF(ISNUMBER(Planung!HZ52),Planung!HZ52,IF(UPPER(Planung!HZ52)="H",$C52/2,0)))))))</f>
        <v>0</v>
      </c>
      <c r="IA52" s="27">
        <f>IF($A52="",0,IF(Mitarbeiter!$G$50=FALSE,0,IF(AND(Mitarbeiter!$E$50&lt;&gt;"",IA$5+6&lt;Mitarbeiter!$E$50),0,IF(AND(Mitarbeiter!$F$50&lt;&gt;"",IA$5&gt;Mitarbeiter!$F$50),0,IF(Planung!IA52="",$C52,IF(ISNUMBER(Planung!IA52),Planung!IA52,IF(UPPER(Planung!IA52)="H",$C52/2,0)))))))</f>
        <v>0</v>
      </c>
    </row>
    <row r="53" spans="1:235" x14ac:dyDescent="0.25">
      <c r="A53" s="7" t="str">
        <f>Planung!A53</f>
        <v/>
      </c>
      <c r="B53" s="7" t="str">
        <f>Planung!B53</f>
        <v/>
      </c>
      <c r="C53" s="27">
        <f>N(Mitarbeiter!$D$51)</f>
        <v>0</v>
      </c>
      <c r="D53" s="27">
        <f>IF($A53="",0,IF(Mitarbeiter!$G$51=FALSE,0,IF(AND(Mitarbeiter!$E$51&lt;&gt;"",D$5+6&lt;Mitarbeiter!$E$51),0,IF(AND(Mitarbeiter!$F$51&lt;&gt;"",D$5&gt;Mitarbeiter!$F$51),0,IF(Planung!D53="",$C53,IF(ISNUMBER(Planung!D53),Planung!D53,IF(UPPER(Planung!D53)="H",$C53/2,0)))))))</f>
        <v>0</v>
      </c>
      <c r="E53" s="27">
        <f>IF($A53="",0,IF(Mitarbeiter!$G$51=FALSE,0,IF(AND(Mitarbeiter!$E$51&lt;&gt;"",E$5+6&lt;Mitarbeiter!$E$51),0,IF(AND(Mitarbeiter!$F$51&lt;&gt;"",E$5&gt;Mitarbeiter!$F$51),0,IF(Planung!E53="",$C53,IF(ISNUMBER(Planung!E53),Planung!E53,IF(UPPER(Planung!E53)="H",$C53/2,0)))))))</f>
        <v>0</v>
      </c>
      <c r="F53" s="27">
        <f>IF($A53="",0,IF(Mitarbeiter!$G$51=FALSE,0,IF(AND(Mitarbeiter!$E$51&lt;&gt;"",F$5+6&lt;Mitarbeiter!$E$51),0,IF(AND(Mitarbeiter!$F$51&lt;&gt;"",F$5&gt;Mitarbeiter!$F$51),0,IF(Planung!F53="",$C53,IF(ISNUMBER(Planung!F53),Planung!F53,IF(UPPER(Planung!F53)="H",$C53/2,0)))))))</f>
        <v>0</v>
      </c>
      <c r="G53" s="27">
        <f>IF($A53="",0,IF(Mitarbeiter!$G$51=FALSE,0,IF(AND(Mitarbeiter!$E$51&lt;&gt;"",G$5+6&lt;Mitarbeiter!$E$51),0,IF(AND(Mitarbeiter!$F$51&lt;&gt;"",G$5&gt;Mitarbeiter!$F$51),0,IF(Planung!G53="",$C53,IF(ISNUMBER(Planung!G53),Planung!G53,IF(UPPER(Planung!G53)="H",$C53/2,0)))))))</f>
        <v>0</v>
      </c>
      <c r="H53" s="27">
        <f>IF($A53="",0,IF(Mitarbeiter!$G$51=FALSE,0,IF(AND(Mitarbeiter!$E$51&lt;&gt;"",H$5+6&lt;Mitarbeiter!$E$51),0,IF(AND(Mitarbeiter!$F$51&lt;&gt;"",H$5&gt;Mitarbeiter!$F$51),0,IF(Planung!H53="",$C53,IF(ISNUMBER(Planung!H53),Planung!H53,IF(UPPER(Planung!H53)="H",$C53/2,0)))))))</f>
        <v>0</v>
      </c>
      <c r="I53" s="27">
        <f>IF($A53="",0,IF(Mitarbeiter!$G$51=FALSE,0,IF(AND(Mitarbeiter!$E$51&lt;&gt;"",I$5+6&lt;Mitarbeiter!$E$51),0,IF(AND(Mitarbeiter!$F$51&lt;&gt;"",I$5&gt;Mitarbeiter!$F$51),0,IF(Planung!I53="",$C53,IF(ISNUMBER(Planung!I53),Planung!I53,IF(UPPER(Planung!I53)="H",$C53/2,0)))))))</f>
        <v>0</v>
      </c>
      <c r="J53" s="27">
        <f>IF($A53="",0,IF(Mitarbeiter!$G$51=FALSE,0,IF(AND(Mitarbeiter!$E$51&lt;&gt;"",J$5+6&lt;Mitarbeiter!$E$51),0,IF(AND(Mitarbeiter!$F$51&lt;&gt;"",J$5&gt;Mitarbeiter!$F$51),0,IF(Planung!J53="",$C53,IF(ISNUMBER(Planung!J53),Planung!J53,IF(UPPER(Planung!J53)="H",$C53/2,0)))))))</f>
        <v>0</v>
      </c>
      <c r="K53" s="27">
        <f>IF($A53="",0,IF(Mitarbeiter!$G$51=FALSE,0,IF(AND(Mitarbeiter!$E$51&lt;&gt;"",K$5+6&lt;Mitarbeiter!$E$51),0,IF(AND(Mitarbeiter!$F$51&lt;&gt;"",K$5&gt;Mitarbeiter!$F$51),0,IF(Planung!K53="",$C53,IF(ISNUMBER(Planung!K53),Planung!K53,IF(UPPER(Planung!K53)="H",$C53/2,0)))))))</f>
        <v>0</v>
      </c>
      <c r="L53" s="27">
        <f>IF($A53="",0,IF(Mitarbeiter!$G$51=FALSE,0,IF(AND(Mitarbeiter!$E$51&lt;&gt;"",L$5+6&lt;Mitarbeiter!$E$51),0,IF(AND(Mitarbeiter!$F$51&lt;&gt;"",L$5&gt;Mitarbeiter!$F$51),0,IF(Planung!L53="",$C53,IF(ISNUMBER(Planung!L53),Planung!L53,IF(UPPER(Planung!L53)="H",$C53/2,0)))))))</f>
        <v>0</v>
      </c>
      <c r="M53" s="27">
        <f>IF($A53="",0,IF(Mitarbeiter!$G$51=FALSE,0,IF(AND(Mitarbeiter!$E$51&lt;&gt;"",M$5+6&lt;Mitarbeiter!$E$51),0,IF(AND(Mitarbeiter!$F$51&lt;&gt;"",M$5&gt;Mitarbeiter!$F$51),0,IF(Planung!M53="",$C53,IF(ISNUMBER(Planung!M53),Planung!M53,IF(UPPER(Planung!M53)="H",$C53/2,0)))))))</f>
        <v>0</v>
      </c>
      <c r="N53" s="27">
        <f>IF($A53="",0,IF(Mitarbeiter!$G$51=FALSE,0,IF(AND(Mitarbeiter!$E$51&lt;&gt;"",N$5+6&lt;Mitarbeiter!$E$51),0,IF(AND(Mitarbeiter!$F$51&lt;&gt;"",N$5&gt;Mitarbeiter!$F$51),0,IF(Planung!N53="",$C53,IF(ISNUMBER(Planung!N53),Planung!N53,IF(UPPER(Planung!N53)="H",$C53/2,0)))))))</f>
        <v>0</v>
      </c>
      <c r="O53" s="27">
        <f>IF($A53="",0,IF(Mitarbeiter!$G$51=FALSE,0,IF(AND(Mitarbeiter!$E$51&lt;&gt;"",O$5+6&lt;Mitarbeiter!$E$51),0,IF(AND(Mitarbeiter!$F$51&lt;&gt;"",O$5&gt;Mitarbeiter!$F$51),0,IF(Planung!O53="",$C53,IF(ISNUMBER(Planung!O53),Planung!O53,IF(UPPER(Planung!O53)="H",$C53/2,0)))))))</f>
        <v>0</v>
      </c>
      <c r="P53" s="27">
        <f>IF($A53="",0,IF(Mitarbeiter!$G$51=FALSE,0,IF(AND(Mitarbeiter!$E$51&lt;&gt;"",P$5+6&lt;Mitarbeiter!$E$51),0,IF(AND(Mitarbeiter!$F$51&lt;&gt;"",P$5&gt;Mitarbeiter!$F$51),0,IF(Planung!P53="",$C53,IF(ISNUMBER(Planung!P53),Planung!P53,IF(UPPER(Planung!P53)="H",$C53/2,0)))))))</f>
        <v>0</v>
      </c>
      <c r="Q53" s="27">
        <f>IF($A53="",0,IF(Mitarbeiter!$G$51=FALSE,0,IF(AND(Mitarbeiter!$E$51&lt;&gt;"",Q$5+6&lt;Mitarbeiter!$E$51),0,IF(AND(Mitarbeiter!$F$51&lt;&gt;"",Q$5&gt;Mitarbeiter!$F$51),0,IF(Planung!Q53="",$C53,IF(ISNUMBER(Planung!Q53),Planung!Q53,IF(UPPER(Planung!Q53)="H",$C53/2,0)))))))</f>
        <v>0</v>
      </c>
      <c r="R53" s="27">
        <f>IF($A53="",0,IF(Mitarbeiter!$G$51=FALSE,0,IF(AND(Mitarbeiter!$E$51&lt;&gt;"",R$5+6&lt;Mitarbeiter!$E$51),0,IF(AND(Mitarbeiter!$F$51&lt;&gt;"",R$5&gt;Mitarbeiter!$F$51),0,IF(Planung!R53="",$C53,IF(ISNUMBER(Planung!R53),Planung!R53,IF(UPPER(Planung!R53)="H",$C53/2,0)))))))</f>
        <v>0</v>
      </c>
      <c r="S53" s="27">
        <f>IF($A53="",0,IF(Mitarbeiter!$G$51=FALSE,0,IF(AND(Mitarbeiter!$E$51&lt;&gt;"",S$5+6&lt;Mitarbeiter!$E$51),0,IF(AND(Mitarbeiter!$F$51&lt;&gt;"",S$5&gt;Mitarbeiter!$F$51),0,IF(Planung!S53="",$C53,IF(ISNUMBER(Planung!S53),Planung!S53,IF(UPPER(Planung!S53)="H",$C53/2,0)))))))</f>
        <v>0</v>
      </c>
      <c r="T53" s="27">
        <f>IF($A53="",0,IF(Mitarbeiter!$G$51=FALSE,0,IF(AND(Mitarbeiter!$E$51&lt;&gt;"",T$5+6&lt;Mitarbeiter!$E$51),0,IF(AND(Mitarbeiter!$F$51&lt;&gt;"",T$5&gt;Mitarbeiter!$F$51),0,IF(Planung!T53="",$C53,IF(ISNUMBER(Planung!T53),Planung!T53,IF(UPPER(Planung!T53)="H",$C53/2,0)))))))</f>
        <v>0</v>
      </c>
      <c r="U53" s="27">
        <f>IF($A53="",0,IF(Mitarbeiter!$G$51=FALSE,0,IF(AND(Mitarbeiter!$E$51&lt;&gt;"",U$5+6&lt;Mitarbeiter!$E$51),0,IF(AND(Mitarbeiter!$F$51&lt;&gt;"",U$5&gt;Mitarbeiter!$F$51),0,IF(Planung!U53="",$C53,IF(ISNUMBER(Planung!U53),Planung!U53,IF(UPPER(Planung!U53)="H",$C53/2,0)))))))</f>
        <v>0</v>
      </c>
      <c r="V53" s="27">
        <f>IF($A53="",0,IF(Mitarbeiter!$G$51=FALSE,0,IF(AND(Mitarbeiter!$E$51&lt;&gt;"",V$5+6&lt;Mitarbeiter!$E$51),0,IF(AND(Mitarbeiter!$F$51&lt;&gt;"",V$5&gt;Mitarbeiter!$F$51),0,IF(Planung!V53="",$C53,IF(ISNUMBER(Planung!V53),Planung!V53,IF(UPPER(Planung!V53)="H",$C53/2,0)))))))</f>
        <v>0</v>
      </c>
      <c r="W53" s="27">
        <f>IF($A53="",0,IF(Mitarbeiter!$G$51=FALSE,0,IF(AND(Mitarbeiter!$E$51&lt;&gt;"",W$5+6&lt;Mitarbeiter!$E$51),0,IF(AND(Mitarbeiter!$F$51&lt;&gt;"",W$5&gt;Mitarbeiter!$F$51),0,IF(Planung!W53="",$C53,IF(ISNUMBER(Planung!W53),Planung!W53,IF(UPPER(Planung!W53)="H",$C53/2,0)))))))</f>
        <v>0</v>
      </c>
      <c r="X53" s="27">
        <f>IF($A53="",0,IF(Mitarbeiter!$G$51=FALSE,0,IF(AND(Mitarbeiter!$E$51&lt;&gt;"",X$5+6&lt;Mitarbeiter!$E$51),0,IF(AND(Mitarbeiter!$F$51&lt;&gt;"",X$5&gt;Mitarbeiter!$F$51),0,IF(Planung!X53="",$C53,IF(ISNUMBER(Planung!X53),Planung!X53,IF(UPPER(Planung!X53)="H",$C53/2,0)))))))</f>
        <v>0</v>
      </c>
      <c r="Y53" s="27">
        <f>IF($A53="",0,IF(Mitarbeiter!$G$51=FALSE,0,IF(AND(Mitarbeiter!$E$51&lt;&gt;"",Y$5+6&lt;Mitarbeiter!$E$51),0,IF(AND(Mitarbeiter!$F$51&lt;&gt;"",Y$5&gt;Mitarbeiter!$F$51),0,IF(Planung!Y53="",$C53,IF(ISNUMBER(Planung!Y53),Planung!Y53,IF(UPPER(Planung!Y53)="H",$C53/2,0)))))))</f>
        <v>0</v>
      </c>
      <c r="Z53" s="27">
        <f>IF($A53="",0,IF(Mitarbeiter!$G$51=FALSE,0,IF(AND(Mitarbeiter!$E$51&lt;&gt;"",Z$5+6&lt;Mitarbeiter!$E$51),0,IF(AND(Mitarbeiter!$F$51&lt;&gt;"",Z$5&gt;Mitarbeiter!$F$51),0,IF(Planung!Z53="",$C53,IF(ISNUMBER(Planung!Z53),Planung!Z53,IF(UPPER(Planung!Z53)="H",$C53/2,0)))))))</f>
        <v>0</v>
      </c>
      <c r="AA53" s="27">
        <f>IF($A53="",0,IF(Mitarbeiter!$G$51=FALSE,0,IF(AND(Mitarbeiter!$E$51&lt;&gt;"",AA$5+6&lt;Mitarbeiter!$E$51),0,IF(AND(Mitarbeiter!$F$51&lt;&gt;"",AA$5&gt;Mitarbeiter!$F$51),0,IF(Planung!AA53="",$C53,IF(ISNUMBER(Planung!AA53),Planung!AA53,IF(UPPER(Planung!AA53)="H",$C53/2,0)))))))</f>
        <v>0</v>
      </c>
      <c r="AB53" s="27">
        <f>IF($A53="",0,IF(Mitarbeiter!$G$51=FALSE,0,IF(AND(Mitarbeiter!$E$51&lt;&gt;"",AB$5+6&lt;Mitarbeiter!$E$51),0,IF(AND(Mitarbeiter!$F$51&lt;&gt;"",AB$5&gt;Mitarbeiter!$F$51),0,IF(Planung!AB53="",$C53,IF(ISNUMBER(Planung!AB53),Planung!AB53,IF(UPPER(Planung!AB53)="H",$C53/2,0)))))))</f>
        <v>0</v>
      </c>
      <c r="AC53" s="27">
        <f>IF($A53="",0,IF(Mitarbeiter!$G$51=FALSE,0,IF(AND(Mitarbeiter!$E$51&lt;&gt;"",AC$5+6&lt;Mitarbeiter!$E$51),0,IF(AND(Mitarbeiter!$F$51&lt;&gt;"",AC$5&gt;Mitarbeiter!$F$51),0,IF(Planung!AC53="",$C53,IF(ISNUMBER(Planung!AC53),Planung!AC53,IF(UPPER(Planung!AC53)="H",$C53/2,0)))))))</f>
        <v>0</v>
      </c>
      <c r="AD53" s="27">
        <f>IF($A53="",0,IF(Mitarbeiter!$G$51=FALSE,0,IF(AND(Mitarbeiter!$E$51&lt;&gt;"",AD$5+6&lt;Mitarbeiter!$E$51),0,IF(AND(Mitarbeiter!$F$51&lt;&gt;"",AD$5&gt;Mitarbeiter!$F$51),0,IF(Planung!AD53="",$C53,IF(ISNUMBER(Planung!AD53),Planung!AD53,IF(UPPER(Planung!AD53)="H",$C53/2,0)))))))</f>
        <v>0</v>
      </c>
      <c r="AE53" s="27">
        <f>IF($A53="",0,IF(Mitarbeiter!$G$51=FALSE,0,IF(AND(Mitarbeiter!$E$51&lt;&gt;"",AE$5+6&lt;Mitarbeiter!$E$51),0,IF(AND(Mitarbeiter!$F$51&lt;&gt;"",AE$5&gt;Mitarbeiter!$F$51),0,IF(Planung!AE53="",$C53,IF(ISNUMBER(Planung!AE53),Planung!AE53,IF(UPPER(Planung!AE53)="H",$C53/2,0)))))))</f>
        <v>0</v>
      </c>
      <c r="AF53" s="27">
        <f>IF($A53="",0,IF(Mitarbeiter!$G$51=FALSE,0,IF(AND(Mitarbeiter!$E$51&lt;&gt;"",AF$5+6&lt;Mitarbeiter!$E$51),0,IF(AND(Mitarbeiter!$F$51&lt;&gt;"",AF$5&gt;Mitarbeiter!$F$51),0,IF(Planung!AF53="",$C53,IF(ISNUMBER(Planung!AF53),Planung!AF53,IF(UPPER(Planung!AF53)="H",$C53/2,0)))))))</f>
        <v>0</v>
      </c>
      <c r="AG53" s="27">
        <f>IF($A53="",0,IF(Mitarbeiter!$G$51=FALSE,0,IF(AND(Mitarbeiter!$E$51&lt;&gt;"",AG$5+6&lt;Mitarbeiter!$E$51),0,IF(AND(Mitarbeiter!$F$51&lt;&gt;"",AG$5&gt;Mitarbeiter!$F$51),0,IF(Planung!AG53="",$C53,IF(ISNUMBER(Planung!AG53),Planung!AG53,IF(UPPER(Planung!AG53)="H",$C53/2,0)))))))</f>
        <v>0</v>
      </c>
      <c r="AH53" s="27">
        <f>IF($A53="",0,IF(Mitarbeiter!$G$51=FALSE,0,IF(AND(Mitarbeiter!$E$51&lt;&gt;"",AH$5+6&lt;Mitarbeiter!$E$51),0,IF(AND(Mitarbeiter!$F$51&lt;&gt;"",AH$5&gt;Mitarbeiter!$F$51),0,IF(Planung!AH53="",$C53,IF(ISNUMBER(Planung!AH53),Planung!AH53,IF(UPPER(Planung!AH53)="H",$C53/2,0)))))))</f>
        <v>0</v>
      </c>
      <c r="AI53" s="27">
        <f>IF($A53="",0,IF(Mitarbeiter!$G$51=FALSE,0,IF(AND(Mitarbeiter!$E$51&lt;&gt;"",AI$5+6&lt;Mitarbeiter!$E$51),0,IF(AND(Mitarbeiter!$F$51&lt;&gt;"",AI$5&gt;Mitarbeiter!$F$51),0,IF(Planung!AI53="",$C53,IF(ISNUMBER(Planung!AI53),Planung!AI53,IF(UPPER(Planung!AI53)="H",$C53/2,0)))))))</f>
        <v>0</v>
      </c>
      <c r="AJ53" s="27">
        <f>IF($A53="",0,IF(Mitarbeiter!$G$51=FALSE,0,IF(AND(Mitarbeiter!$E$51&lt;&gt;"",AJ$5+6&lt;Mitarbeiter!$E$51),0,IF(AND(Mitarbeiter!$F$51&lt;&gt;"",AJ$5&gt;Mitarbeiter!$F$51),0,IF(Planung!AJ53="",$C53,IF(ISNUMBER(Planung!AJ53),Planung!AJ53,IF(UPPER(Planung!AJ53)="H",$C53/2,0)))))))</f>
        <v>0</v>
      </c>
      <c r="AK53" s="27">
        <f>IF($A53="",0,IF(Mitarbeiter!$G$51=FALSE,0,IF(AND(Mitarbeiter!$E$51&lt;&gt;"",AK$5+6&lt;Mitarbeiter!$E$51),0,IF(AND(Mitarbeiter!$F$51&lt;&gt;"",AK$5&gt;Mitarbeiter!$F$51),0,IF(Planung!AK53="",$C53,IF(ISNUMBER(Planung!AK53),Planung!AK53,IF(UPPER(Planung!AK53)="H",$C53/2,0)))))))</f>
        <v>0</v>
      </c>
      <c r="AL53" s="27">
        <f>IF($A53="",0,IF(Mitarbeiter!$G$51=FALSE,0,IF(AND(Mitarbeiter!$E$51&lt;&gt;"",AL$5+6&lt;Mitarbeiter!$E$51),0,IF(AND(Mitarbeiter!$F$51&lt;&gt;"",AL$5&gt;Mitarbeiter!$F$51),0,IF(Planung!AL53="",$C53,IF(ISNUMBER(Planung!AL53),Planung!AL53,IF(UPPER(Planung!AL53)="H",$C53/2,0)))))))</f>
        <v>0</v>
      </c>
      <c r="AM53" s="27">
        <f>IF($A53="",0,IF(Mitarbeiter!$G$51=FALSE,0,IF(AND(Mitarbeiter!$E$51&lt;&gt;"",AM$5+6&lt;Mitarbeiter!$E$51),0,IF(AND(Mitarbeiter!$F$51&lt;&gt;"",AM$5&gt;Mitarbeiter!$F$51),0,IF(Planung!AM53="",$C53,IF(ISNUMBER(Planung!AM53),Planung!AM53,IF(UPPER(Planung!AM53)="H",$C53/2,0)))))))</f>
        <v>0</v>
      </c>
      <c r="AN53" s="27">
        <f>IF($A53="",0,IF(Mitarbeiter!$G$51=FALSE,0,IF(AND(Mitarbeiter!$E$51&lt;&gt;"",AN$5+6&lt;Mitarbeiter!$E$51),0,IF(AND(Mitarbeiter!$F$51&lt;&gt;"",AN$5&gt;Mitarbeiter!$F$51),0,IF(Planung!AN53="",$C53,IF(ISNUMBER(Planung!AN53),Planung!AN53,IF(UPPER(Planung!AN53)="H",$C53/2,0)))))))</f>
        <v>0</v>
      </c>
      <c r="AO53" s="27">
        <f>IF($A53="",0,IF(Mitarbeiter!$G$51=FALSE,0,IF(AND(Mitarbeiter!$E$51&lt;&gt;"",AO$5+6&lt;Mitarbeiter!$E$51),0,IF(AND(Mitarbeiter!$F$51&lt;&gt;"",AO$5&gt;Mitarbeiter!$F$51),0,IF(Planung!AO53="",$C53,IF(ISNUMBER(Planung!AO53),Planung!AO53,IF(UPPER(Planung!AO53)="H",$C53/2,0)))))))</f>
        <v>0</v>
      </c>
      <c r="AP53" s="27">
        <f>IF($A53="",0,IF(Mitarbeiter!$G$51=FALSE,0,IF(AND(Mitarbeiter!$E$51&lt;&gt;"",AP$5+6&lt;Mitarbeiter!$E$51),0,IF(AND(Mitarbeiter!$F$51&lt;&gt;"",AP$5&gt;Mitarbeiter!$F$51),0,IF(Planung!AP53="",$C53,IF(ISNUMBER(Planung!AP53),Planung!AP53,IF(UPPER(Planung!AP53)="H",$C53/2,0)))))))</f>
        <v>0</v>
      </c>
      <c r="AQ53" s="27">
        <f>IF($A53="",0,IF(Mitarbeiter!$G$51=FALSE,0,IF(AND(Mitarbeiter!$E$51&lt;&gt;"",AQ$5+6&lt;Mitarbeiter!$E$51),0,IF(AND(Mitarbeiter!$F$51&lt;&gt;"",AQ$5&gt;Mitarbeiter!$F$51),0,IF(Planung!AQ53="",$C53,IF(ISNUMBER(Planung!AQ53),Planung!AQ53,IF(UPPER(Planung!AQ53)="H",$C53/2,0)))))))</f>
        <v>0</v>
      </c>
      <c r="AR53" s="27">
        <f>IF($A53="",0,IF(Mitarbeiter!$G$51=FALSE,0,IF(AND(Mitarbeiter!$E$51&lt;&gt;"",AR$5+6&lt;Mitarbeiter!$E$51),0,IF(AND(Mitarbeiter!$F$51&lt;&gt;"",AR$5&gt;Mitarbeiter!$F$51),0,IF(Planung!AR53="",$C53,IF(ISNUMBER(Planung!AR53),Planung!AR53,IF(UPPER(Planung!AR53)="H",$C53/2,0)))))))</f>
        <v>0</v>
      </c>
      <c r="AS53" s="27">
        <f>IF($A53="",0,IF(Mitarbeiter!$G$51=FALSE,0,IF(AND(Mitarbeiter!$E$51&lt;&gt;"",AS$5+6&lt;Mitarbeiter!$E$51),0,IF(AND(Mitarbeiter!$F$51&lt;&gt;"",AS$5&gt;Mitarbeiter!$F$51),0,IF(Planung!AS53="",$C53,IF(ISNUMBER(Planung!AS53),Planung!AS53,IF(UPPER(Planung!AS53)="H",$C53/2,0)))))))</f>
        <v>0</v>
      </c>
      <c r="AT53" s="27">
        <f>IF($A53="",0,IF(Mitarbeiter!$G$51=FALSE,0,IF(AND(Mitarbeiter!$E$51&lt;&gt;"",AT$5+6&lt;Mitarbeiter!$E$51),0,IF(AND(Mitarbeiter!$F$51&lt;&gt;"",AT$5&gt;Mitarbeiter!$F$51),0,IF(Planung!AT53="",$C53,IF(ISNUMBER(Planung!AT53),Planung!AT53,IF(UPPER(Planung!AT53)="H",$C53/2,0)))))))</f>
        <v>0</v>
      </c>
      <c r="AU53" s="27">
        <f>IF($A53="",0,IF(Mitarbeiter!$G$51=FALSE,0,IF(AND(Mitarbeiter!$E$51&lt;&gt;"",AU$5+6&lt;Mitarbeiter!$E$51),0,IF(AND(Mitarbeiter!$F$51&lt;&gt;"",AU$5&gt;Mitarbeiter!$F$51),0,IF(Planung!AU53="",$C53,IF(ISNUMBER(Planung!AU53),Planung!AU53,IF(UPPER(Planung!AU53)="H",$C53/2,0)))))))</f>
        <v>0</v>
      </c>
      <c r="AV53" s="27">
        <f>IF($A53="",0,IF(Mitarbeiter!$G$51=FALSE,0,IF(AND(Mitarbeiter!$E$51&lt;&gt;"",AV$5+6&lt;Mitarbeiter!$E$51),0,IF(AND(Mitarbeiter!$F$51&lt;&gt;"",AV$5&gt;Mitarbeiter!$F$51),0,IF(Planung!AV53="",$C53,IF(ISNUMBER(Planung!AV53),Planung!AV53,IF(UPPER(Planung!AV53)="H",$C53/2,0)))))))</f>
        <v>0</v>
      </c>
      <c r="AW53" s="27">
        <f>IF($A53="",0,IF(Mitarbeiter!$G$51=FALSE,0,IF(AND(Mitarbeiter!$E$51&lt;&gt;"",AW$5+6&lt;Mitarbeiter!$E$51),0,IF(AND(Mitarbeiter!$F$51&lt;&gt;"",AW$5&gt;Mitarbeiter!$F$51),0,IF(Planung!AW53="",$C53,IF(ISNUMBER(Planung!AW53),Planung!AW53,IF(UPPER(Planung!AW53)="H",$C53/2,0)))))))</f>
        <v>0</v>
      </c>
      <c r="AX53" s="27">
        <f>IF($A53="",0,IF(Mitarbeiter!$G$51=FALSE,0,IF(AND(Mitarbeiter!$E$51&lt;&gt;"",AX$5+6&lt;Mitarbeiter!$E$51),0,IF(AND(Mitarbeiter!$F$51&lt;&gt;"",AX$5&gt;Mitarbeiter!$F$51),0,IF(Planung!AX53="",$C53,IF(ISNUMBER(Planung!AX53),Planung!AX53,IF(UPPER(Planung!AX53)="H",$C53/2,0)))))))</f>
        <v>0</v>
      </c>
      <c r="AY53" s="27">
        <f>IF($A53="",0,IF(Mitarbeiter!$G$51=FALSE,0,IF(AND(Mitarbeiter!$E$51&lt;&gt;"",AY$5+6&lt;Mitarbeiter!$E$51),0,IF(AND(Mitarbeiter!$F$51&lt;&gt;"",AY$5&gt;Mitarbeiter!$F$51),0,IF(Planung!AY53="",$C53,IF(ISNUMBER(Planung!AY53),Planung!AY53,IF(UPPER(Planung!AY53)="H",$C53/2,0)))))))</f>
        <v>0</v>
      </c>
      <c r="AZ53" s="27">
        <f>IF($A53="",0,IF(Mitarbeiter!$G$51=FALSE,0,IF(AND(Mitarbeiter!$E$51&lt;&gt;"",AZ$5+6&lt;Mitarbeiter!$E$51),0,IF(AND(Mitarbeiter!$F$51&lt;&gt;"",AZ$5&gt;Mitarbeiter!$F$51),0,IF(Planung!AZ53="",$C53,IF(ISNUMBER(Planung!AZ53),Planung!AZ53,IF(UPPER(Planung!AZ53)="H",$C53/2,0)))))))</f>
        <v>0</v>
      </c>
      <c r="BA53" s="27">
        <f>IF($A53="",0,IF(Mitarbeiter!$G$51=FALSE,0,IF(AND(Mitarbeiter!$E$51&lt;&gt;"",BA$5+6&lt;Mitarbeiter!$E$51),0,IF(AND(Mitarbeiter!$F$51&lt;&gt;"",BA$5&gt;Mitarbeiter!$F$51),0,IF(Planung!BA53="",$C53,IF(ISNUMBER(Planung!BA53),Planung!BA53,IF(UPPER(Planung!BA53)="H",$C53/2,0)))))))</f>
        <v>0</v>
      </c>
      <c r="BB53" s="27">
        <f>IF($A53="",0,IF(Mitarbeiter!$G$51=FALSE,0,IF(AND(Mitarbeiter!$E$51&lt;&gt;"",BB$5+6&lt;Mitarbeiter!$E$51),0,IF(AND(Mitarbeiter!$F$51&lt;&gt;"",BB$5&gt;Mitarbeiter!$F$51),0,IF(Planung!BB53="",$C53,IF(ISNUMBER(Planung!BB53),Planung!BB53,IF(UPPER(Planung!BB53)="H",$C53/2,0)))))))</f>
        <v>0</v>
      </c>
      <c r="BC53" s="27">
        <f>IF($A53="",0,IF(Mitarbeiter!$G$51=FALSE,0,IF(AND(Mitarbeiter!$E$51&lt;&gt;"",BC$5+6&lt;Mitarbeiter!$E$51),0,IF(AND(Mitarbeiter!$F$51&lt;&gt;"",BC$5&gt;Mitarbeiter!$F$51),0,IF(Planung!BC53="",$C53,IF(ISNUMBER(Planung!BC53),Planung!BC53,IF(UPPER(Planung!BC53)="H",$C53/2,0)))))))</f>
        <v>0</v>
      </c>
      <c r="BD53" s="27">
        <f>IF($A53="",0,IF(Mitarbeiter!$G$51=FALSE,0,IF(AND(Mitarbeiter!$E$51&lt;&gt;"",BD$5+6&lt;Mitarbeiter!$E$51),0,IF(AND(Mitarbeiter!$F$51&lt;&gt;"",BD$5&gt;Mitarbeiter!$F$51),0,IF(Planung!BD53="",$C53,IF(ISNUMBER(Planung!BD53),Planung!BD53,IF(UPPER(Planung!BD53)="H",$C53/2,0)))))))</f>
        <v>0</v>
      </c>
      <c r="BE53" s="27">
        <f>IF($A53="",0,IF(Mitarbeiter!$G$51=FALSE,0,IF(AND(Mitarbeiter!$E$51&lt;&gt;"",BE$5+6&lt;Mitarbeiter!$E$51),0,IF(AND(Mitarbeiter!$F$51&lt;&gt;"",BE$5&gt;Mitarbeiter!$F$51),0,IF(Planung!BE53="",$C53,IF(ISNUMBER(Planung!BE53),Planung!BE53,IF(UPPER(Planung!BE53)="H",$C53/2,0)))))))</f>
        <v>0</v>
      </c>
      <c r="BF53" s="27">
        <f>IF($A53="",0,IF(Mitarbeiter!$G$51=FALSE,0,IF(AND(Mitarbeiter!$E$51&lt;&gt;"",BF$5+6&lt;Mitarbeiter!$E$51),0,IF(AND(Mitarbeiter!$F$51&lt;&gt;"",BF$5&gt;Mitarbeiter!$F$51),0,IF(Planung!BF53="",$C53,IF(ISNUMBER(Planung!BF53),Planung!BF53,IF(UPPER(Planung!BF53)="H",$C53/2,0)))))))</f>
        <v>0</v>
      </c>
      <c r="BG53" s="27">
        <f>IF($A53="",0,IF(Mitarbeiter!$G$51=FALSE,0,IF(AND(Mitarbeiter!$E$51&lt;&gt;"",BG$5+6&lt;Mitarbeiter!$E$51),0,IF(AND(Mitarbeiter!$F$51&lt;&gt;"",BG$5&gt;Mitarbeiter!$F$51),0,IF(Planung!BG53="",$C53,IF(ISNUMBER(Planung!BG53),Planung!BG53,IF(UPPER(Planung!BG53)="H",$C53/2,0)))))))</f>
        <v>0</v>
      </c>
      <c r="BH53" s="27">
        <f>IF($A53="",0,IF(Mitarbeiter!$G$51=FALSE,0,IF(AND(Mitarbeiter!$E$51&lt;&gt;"",BH$5+6&lt;Mitarbeiter!$E$51),0,IF(AND(Mitarbeiter!$F$51&lt;&gt;"",BH$5&gt;Mitarbeiter!$F$51),0,IF(Planung!BH53="",$C53,IF(ISNUMBER(Planung!BH53),Planung!BH53,IF(UPPER(Planung!BH53)="H",$C53/2,0)))))))</f>
        <v>0</v>
      </c>
      <c r="BI53" s="27">
        <f>IF($A53="",0,IF(Mitarbeiter!$G$51=FALSE,0,IF(AND(Mitarbeiter!$E$51&lt;&gt;"",BI$5+6&lt;Mitarbeiter!$E$51),0,IF(AND(Mitarbeiter!$F$51&lt;&gt;"",BI$5&gt;Mitarbeiter!$F$51),0,IF(Planung!BI53="",$C53,IF(ISNUMBER(Planung!BI53),Planung!BI53,IF(UPPER(Planung!BI53)="H",$C53/2,0)))))))</f>
        <v>0</v>
      </c>
      <c r="BJ53" s="27">
        <f>IF($A53="",0,IF(Mitarbeiter!$G$51=FALSE,0,IF(AND(Mitarbeiter!$E$51&lt;&gt;"",BJ$5+6&lt;Mitarbeiter!$E$51),0,IF(AND(Mitarbeiter!$F$51&lt;&gt;"",BJ$5&gt;Mitarbeiter!$F$51),0,IF(Planung!BJ53="",$C53,IF(ISNUMBER(Planung!BJ53),Planung!BJ53,IF(UPPER(Planung!BJ53)="H",$C53/2,0)))))))</f>
        <v>0</v>
      </c>
      <c r="BK53" s="27">
        <f>IF($A53="",0,IF(Mitarbeiter!$G$51=FALSE,0,IF(AND(Mitarbeiter!$E$51&lt;&gt;"",BK$5+6&lt;Mitarbeiter!$E$51),0,IF(AND(Mitarbeiter!$F$51&lt;&gt;"",BK$5&gt;Mitarbeiter!$F$51),0,IF(Planung!BK53="",$C53,IF(ISNUMBER(Planung!BK53),Planung!BK53,IF(UPPER(Planung!BK53)="H",$C53/2,0)))))))</f>
        <v>0</v>
      </c>
      <c r="BL53" s="27">
        <f>IF($A53="",0,IF(Mitarbeiter!$G$51=FALSE,0,IF(AND(Mitarbeiter!$E$51&lt;&gt;"",BL$5+6&lt;Mitarbeiter!$E$51),0,IF(AND(Mitarbeiter!$F$51&lt;&gt;"",BL$5&gt;Mitarbeiter!$F$51),0,IF(Planung!BL53="",$C53,IF(ISNUMBER(Planung!BL53),Planung!BL53,IF(UPPER(Planung!BL53)="H",$C53/2,0)))))))</f>
        <v>0</v>
      </c>
      <c r="BM53" s="27">
        <f>IF($A53="",0,IF(Mitarbeiter!$G$51=FALSE,0,IF(AND(Mitarbeiter!$E$51&lt;&gt;"",BM$5+6&lt;Mitarbeiter!$E$51),0,IF(AND(Mitarbeiter!$F$51&lt;&gt;"",BM$5&gt;Mitarbeiter!$F$51),0,IF(Planung!BM53="",$C53,IF(ISNUMBER(Planung!BM53),Planung!BM53,IF(UPPER(Planung!BM53)="H",$C53/2,0)))))))</f>
        <v>0</v>
      </c>
      <c r="BN53" s="27">
        <f>IF($A53="",0,IF(Mitarbeiter!$G$51=FALSE,0,IF(AND(Mitarbeiter!$E$51&lt;&gt;"",BN$5+6&lt;Mitarbeiter!$E$51),0,IF(AND(Mitarbeiter!$F$51&lt;&gt;"",BN$5&gt;Mitarbeiter!$F$51),0,IF(Planung!BN53="",$C53,IF(ISNUMBER(Planung!BN53),Planung!BN53,IF(UPPER(Planung!BN53)="H",$C53/2,0)))))))</f>
        <v>0</v>
      </c>
      <c r="BO53" s="27">
        <f>IF($A53="",0,IF(Mitarbeiter!$G$51=FALSE,0,IF(AND(Mitarbeiter!$E$51&lt;&gt;"",BO$5+6&lt;Mitarbeiter!$E$51),0,IF(AND(Mitarbeiter!$F$51&lt;&gt;"",BO$5&gt;Mitarbeiter!$F$51),0,IF(Planung!BO53="",$C53,IF(ISNUMBER(Planung!BO53),Planung!BO53,IF(UPPER(Planung!BO53)="H",$C53/2,0)))))))</f>
        <v>0</v>
      </c>
      <c r="BP53" s="27">
        <f>IF($A53="",0,IF(Mitarbeiter!$G$51=FALSE,0,IF(AND(Mitarbeiter!$E$51&lt;&gt;"",BP$5+6&lt;Mitarbeiter!$E$51),0,IF(AND(Mitarbeiter!$F$51&lt;&gt;"",BP$5&gt;Mitarbeiter!$F$51),0,IF(Planung!BP53="",$C53,IF(ISNUMBER(Planung!BP53),Planung!BP53,IF(UPPER(Planung!BP53)="H",$C53/2,0)))))))</f>
        <v>0</v>
      </c>
      <c r="BQ53" s="27">
        <f>IF($A53="",0,IF(Mitarbeiter!$G$51=FALSE,0,IF(AND(Mitarbeiter!$E$51&lt;&gt;"",BQ$5+6&lt;Mitarbeiter!$E$51),0,IF(AND(Mitarbeiter!$F$51&lt;&gt;"",BQ$5&gt;Mitarbeiter!$F$51),0,IF(Planung!BQ53="",$C53,IF(ISNUMBER(Planung!BQ53),Planung!BQ53,IF(UPPER(Planung!BQ53)="H",$C53/2,0)))))))</f>
        <v>0</v>
      </c>
      <c r="BR53" s="27">
        <f>IF($A53="",0,IF(Mitarbeiter!$G$51=FALSE,0,IF(AND(Mitarbeiter!$E$51&lt;&gt;"",BR$5+6&lt;Mitarbeiter!$E$51),0,IF(AND(Mitarbeiter!$F$51&lt;&gt;"",BR$5&gt;Mitarbeiter!$F$51),0,IF(Planung!BR53="",$C53,IF(ISNUMBER(Planung!BR53),Planung!BR53,IF(UPPER(Planung!BR53)="H",$C53/2,0)))))))</f>
        <v>0</v>
      </c>
      <c r="BS53" s="27">
        <f>IF($A53="",0,IF(Mitarbeiter!$G$51=FALSE,0,IF(AND(Mitarbeiter!$E$51&lt;&gt;"",BS$5+6&lt;Mitarbeiter!$E$51),0,IF(AND(Mitarbeiter!$F$51&lt;&gt;"",BS$5&gt;Mitarbeiter!$F$51),0,IF(Planung!BS53="",$C53,IF(ISNUMBER(Planung!BS53),Planung!BS53,IF(UPPER(Planung!BS53)="H",$C53/2,0)))))))</f>
        <v>0</v>
      </c>
      <c r="BT53" s="27">
        <f>IF($A53="",0,IF(Mitarbeiter!$G$51=FALSE,0,IF(AND(Mitarbeiter!$E$51&lt;&gt;"",BT$5+6&lt;Mitarbeiter!$E$51),0,IF(AND(Mitarbeiter!$F$51&lt;&gt;"",BT$5&gt;Mitarbeiter!$F$51),0,IF(Planung!BT53="",$C53,IF(ISNUMBER(Planung!BT53),Planung!BT53,IF(UPPER(Planung!BT53)="H",$C53/2,0)))))))</f>
        <v>0</v>
      </c>
      <c r="BU53" s="27">
        <f>IF($A53="",0,IF(Mitarbeiter!$G$51=FALSE,0,IF(AND(Mitarbeiter!$E$51&lt;&gt;"",BU$5+6&lt;Mitarbeiter!$E$51),0,IF(AND(Mitarbeiter!$F$51&lt;&gt;"",BU$5&gt;Mitarbeiter!$F$51),0,IF(Planung!BU53="",$C53,IF(ISNUMBER(Planung!BU53),Planung!BU53,IF(UPPER(Planung!BU53)="H",$C53/2,0)))))))</f>
        <v>0</v>
      </c>
      <c r="BV53" s="27">
        <f>IF($A53="",0,IF(Mitarbeiter!$G$51=FALSE,0,IF(AND(Mitarbeiter!$E$51&lt;&gt;"",BV$5+6&lt;Mitarbeiter!$E$51),0,IF(AND(Mitarbeiter!$F$51&lt;&gt;"",BV$5&gt;Mitarbeiter!$F$51),0,IF(Planung!BV53="",$C53,IF(ISNUMBER(Planung!BV53),Planung!BV53,IF(UPPER(Planung!BV53)="H",$C53/2,0)))))))</f>
        <v>0</v>
      </c>
      <c r="BW53" s="27">
        <f>IF($A53="",0,IF(Mitarbeiter!$G$51=FALSE,0,IF(AND(Mitarbeiter!$E$51&lt;&gt;"",BW$5+6&lt;Mitarbeiter!$E$51),0,IF(AND(Mitarbeiter!$F$51&lt;&gt;"",BW$5&gt;Mitarbeiter!$F$51),0,IF(Planung!BW53="",$C53,IF(ISNUMBER(Planung!BW53),Planung!BW53,IF(UPPER(Planung!BW53)="H",$C53/2,0)))))))</f>
        <v>0</v>
      </c>
      <c r="BX53" s="27">
        <f>IF($A53="",0,IF(Mitarbeiter!$G$51=FALSE,0,IF(AND(Mitarbeiter!$E$51&lt;&gt;"",BX$5+6&lt;Mitarbeiter!$E$51),0,IF(AND(Mitarbeiter!$F$51&lt;&gt;"",BX$5&gt;Mitarbeiter!$F$51),0,IF(Planung!BX53="",$C53,IF(ISNUMBER(Planung!BX53),Planung!BX53,IF(UPPER(Planung!BX53)="H",$C53/2,0)))))))</f>
        <v>0</v>
      </c>
      <c r="BY53" s="27">
        <f>IF($A53="",0,IF(Mitarbeiter!$G$51=FALSE,0,IF(AND(Mitarbeiter!$E$51&lt;&gt;"",BY$5+6&lt;Mitarbeiter!$E$51),0,IF(AND(Mitarbeiter!$F$51&lt;&gt;"",BY$5&gt;Mitarbeiter!$F$51),0,IF(Planung!BY53="",$C53,IF(ISNUMBER(Planung!BY53),Planung!BY53,IF(UPPER(Planung!BY53)="H",$C53/2,0)))))))</f>
        <v>0</v>
      </c>
      <c r="BZ53" s="27">
        <f>IF($A53="",0,IF(Mitarbeiter!$G$51=FALSE,0,IF(AND(Mitarbeiter!$E$51&lt;&gt;"",BZ$5+6&lt;Mitarbeiter!$E$51),0,IF(AND(Mitarbeiter!$F$51&lt;&gt;"",BZ$5&gt;Mitarbeiter!$F$51),0,IF(Planung!BZ53="",$C53,IF(ISNUMBER(Planung!BZ53),Planung!BZ53,IF(UPPER(Planung!BZ53)="H",$C53/2,0)))))))</f>
        <v>0</v>
      </c>
      <c r="CA53" s="27">
        <f>IF($A53="",0,IF(Mitarbeiter!$G$51=FALSE,0,IF(AND(Mitarbeiter!$E$51&lt;&gt;"",CA$5+6&lt;Mitarbeiter!$E$51),0,IF(AND(Mitarbeiter!$F$51&lt;&gt;"",CA$5&gt;Mitarbeiter!$F$51),0,IF(Planung!CA53="",$C53,IF(ISNUMBER(Planung!CA53),Planung!CA53,IF(UPPER(Planung!CA53)="H",$C53/2,0)))))))</f>
        <v>0</v>
      </c>
      <c r="CB53" s="27">
        <f>IF($A53="",0,IF(Mitarbeiter!$G$51=FALSE,0,IF(AND(Mitarbeiter!$E$51&lt;&gt;"",CB$5+6&lt;Mitarbeiter!$E$51),0,IF(AND(Mitarbeiter!$F$51&lt;&gt;"",CB$5&gt;Mitarbeiter!$F$51),0,IF(Planung!CB53="",$C53,IF(ISNUMBER(Planung!CB53),Planung!CB53,IF(UPPER(Planung!CB53)="H",$C53/2,0)))))))</f>
        <v>0</v>
      </c>
      <c r="CC53" s="27">
        <f>IF($A53="",0,IF(Mitarbeiter!$G$51=FALSE,0,IF(AND(Mitarbeiter!$E$51&lt;&gt;"",CC$5+6&lt;Mitarbeiter!$E$51),0,IF(AND(Mitarbeiter!$F$51&lt;&gt;"",CC$5&gt;Mitarbeiter!$F$51),0,IF(Planung!CC53="",$C53,IF(ISNUMBER(Planung!CC53),Planung!CC53,IF(UPPER(Planung!CC53)="H",$C53/2,0)))))))</f>
        <v>0</v>
      </c>
      <c r="CD53" s="27">
        <f>IF($A53="",0,IF(Mitarbeiter!$G$51=FALSE,0,IF(AND(Mitarbeiter!$E$51&lt;&gt;"",CD$5+6&lt;Mitarbeiter!$E$51),0,IF(AND(Mitarbeiter!$F$51&lt;&gt;"",CD$5&gt;Mitarbeiter!$F$51),0,IF(Planung!CD53="",$C53,IF(ISNUMBER(Planung!CD53),Planung!CD53,IF(UPPER(Planung!CD53)="H",$C53/2,0)))))))</f>
        <v>0</v>
      </c>
      <c r="CE53" s="27">
        <f>IF($A53="",0,IF(Mitarbeiter!$G$51=FALSE,0,IF(AND(Mitarbeiter!$E$51&lt;&gt;"",CE$5+6&lt;Mitarbeiter!$E$51),0,IF(AND(Mitarbeiter!$F$51&lt;&gt;"",CE$5&gt;Mitarbeiter!$F$51),0,IF(Planung!CE53="",$C53,IF(ISNUMBER(Planung!CE53),Planung!CE53,IF(UPPER(Planung!CE53)="H",$C53/2,0)))))))</f>
        <v>0</v>
      </c>
      <c r="CF53" s="27">
        <f>IF($A53="",0,IF(Mitarbeiter!$G$51=FALSE,0,IF(AND(Mitarbeiter!$E$51&lt;&gt;"",CF$5+6&lt;Mitarbeiter!$E$51),0,IF(AND(Mitarbeiter!$F$51&lt;&gt;"",CF$5&gt;Mitarbeiter!$F$51),0,IF(Planung!CF53="",$C53,IF(ISNUMBER(Planung!CF53),Planung!CF53,IF(UPPER(Planung!CF53)="H",$C53/2,0)))))))</f>
        <v>0</v>
      </c>
      <c r="CG53" s="27">
        <f>IF($A53="",0,IF(Mitarbeiter!$G$51=FALSE,0,IF(AND(Mitarbeiter!$E$51&lt;&gt;"",CG$5+6&lt;Mitarbeiter!$E$51),0,IF(AND(Mitarbeiter!$F$51&lt;&gt;"",CG$5&gt;Mitarbeiter!$F$51),0,IF(Planung!CG53="",$C53,IF(ISNUMBER(Planung!CG53),Planung!CG53,IF(UPPER(Planung!CG53)="H",$C53/2,0)))))))</f>
        <v>0</v>
      </c>
      <c r="CH53" s="27">
        <f>IF($A53="",0,IF(Mitarbeiter!$G$51=FALSE,0,IF(AND(Mitarbeiter!$E$51&lt;&gt;"",CH$5+6&lt;Mitarbeiter!$E$51),0,IF(AND(Mitarbeiter!$F$51&lt;&gt;"",CH$5&gt;Mitarbeiter!$F$51),0,IF(Planung!CH53="",$C53,IF(ISNUMBER(Planung!CH53),Planung!CH53,IF(UPPER(Planung!CH53)="H",$C53/2,0)))))))</f>
        <v>0</v>
      </c>
      <c r="CI53" s="27">
        <f>IF($A53="",0,IF(Mitarbeiter!$G$51=FALSE,0,IF(AND(Mitarbeiter!$E$51&lt;&gt;"",CI$5+6&lt;Mitarbeiter!$E$51),0,IF(AND(Mitarbeiter!$F$51&lt;&gt;"",CI$5&gt;Mitarbeiter!$F$51),0,IF(Planung!CI53="",$C53,IF(ISNUMBER(Planung!CI53),Planung!CI53,IF(UPPER(Planung!CI53)="H",$C53/2,0)))))))</f>
        <v>0</v>
      </c>
      <c r="CJ53" s="27">
        <f>IF($A53="",0,IF(Mitarbeiter!$G$51=FALSE,0,IF(AND(Mitarbeiter!$E$51&lt;&gt;"",CJ$5+6&lt;Mitarbeiter!$E$51),0,IF(AND(Mitarbeiter!$F$51&lt;&gt;"",CJ$5&gt;Mitarbeiter!$F$51),0,IF(Planung!CJ53="",$C53,IF(ISNUMBER(Planung!CJ53),Planung!CJ53,IF(UPPER(Planung!CJ53)="H",$C53/2,0)))))))</f>
        <v>0</v>
      </c>
      <c r="CK53" s="27">
        <f>IF($A53="",0,IF(Mitarbeiter!$G$51=FALSE,0,IF(AND(Mitarbeiter!$E$51&lt;&gt;"",CK$5+6&lt;Mitarbeiter!$E$51),0,IF(AND(Mitarbeiter!$F$51&lt;&gt;"",CK$5&gt;Mitarbeiter!$F$51),0,IF(Planung!CK53="",$C53,IF(ISNUMBER(Planung!CK53),Planung!CK53,IF(UPPER(Planung!CK53)="H",$C53/2,0)))))))</f>
        <v>0</v>
      </c>
      <c r="CL53" s="27">
        <f>IF($A53="",0,IF(Mitarbeiter!$G$51=FALSE,0,IF(AND(Mitarbeiter!$E$51&lt;&gt;"",CL$5+6&lt;Mitarbeiter!$E$51),0,IF(AND(Mitarbeiter!$F$51&lt;&gt;"",CL$5&gt;Mitarbeiter!$F$51),0,IF(Planung!CL53="",$C53,IF(ISNUMBER(Planung!CL53),Planung!CL53,IF(UPPER(Planung!CL53)="H",$C53/2,0)))))))</f>
        <v>0</v>
      </c>
      <c r="CM53" s="27">
        <f>IF($A53="",0,IF(Mitarbeiter!$G$51=FALSE,0,IF(AND(Mitarbeiter!$E$51&lt;&gt;"",CM$5+6&lt;Mitarbeiter!$E$51),0,IF(AND(Mitarbeiter!$F$51&lt;&gt;"",CM$5&gt;Mitarbeiter!$F$51),0,IF(Planung!CM53="",$C53,IF(ISNUMBER(Planung!CM53),Planung!CM53,IF(UPPER(Planung!CM53)="H",$C53/2,0)))))))</f>
        <v>0</v>
      </c>
      <c r="CN53" s="27">
        <f>IF($A53="",0,IF(Mitarbeiter!$G$51=FALSE,0,IF(AND(Mitarbeiter!$E$51&lt;&gt;"",CN$5+6&lt;Mitarbeiter!$E$51),0,IF(AND(Mitarbeiter!$F$51&lt;&gt;"",CN$5&gt;Mitarbeiter!$F$51),0,IF(Planung!CN53="",$C53,IF(ISNUMBER(Planung!CN53),Planung!CN53,IF(UPPER(Planung!CN53)="H",$C53/2,0)))))))</f>
        <v>0</v>
      </c>
      <c r="CO53" s="27">
        <f>IF($A53="",0,IF(Mitarbeiter!$G$51=FALSE,0,IF(AND(Mitarbeiter!$E$51&lt;&gt;"",CO$5+6&lt;Mitarbeiter!$E$51),0,IF(AND(Mitarbeiter!$F$51&lt;&gt;"",CO$5&gt;Mitarbeiter!$F$51),0,IF(Planung!CO53="",$C53,IF(ISNUMBER(Planung!CO53),Planung!CO53,IF(UPPER(Planung!CO53)="H",$C53/2,0)))))))</f>
        <v>0</v>
      </c>
      <c r="CP53" s="27">
        <f>IF($A53="",0,IF(Mitarbeiter!$G$51=FALSE,0,IF(AND(Mitarbeiter!$E$51&lt;&gt;"",CP$5+6&lt;Mitarbeiter!$E$51),0,IF(AND(Mitarbeiter!$F$51&lt;&gt;"",CP$5&gt;Mitarbeiter!$F$51),0,IF(Planung!CP53="",$C53,IF(ISNUMBER(Planung!CP53),Planung!CP53,IF(UPPER(Planung!CP53)="H",$C53/2,0)))))))</f>
        <v>0</v>
      </c>
      <c r="CQ53" s="27">
        <f>IF($A53="",0,IF(Mitarbeiter!$G$51=FALSE,0,IF(AND(Mitarbeiter!$E$51&lt;&gt;"",CQ$5+6&lt;Mitarbeiter!$E$51),0,IF(AND(Mitarbeiter!$F$51&lt;&gt;"",CQ$5&gt;Mitarbeiter!$F$51),0,IF(Planung!CQ53="",$C53,IF(ISNUMBER(Planung!CQ53),Planung!CQ53,IF(UPPER(Planung!CQ53)="H",$C53/2,0)))))))</f>
        <v>0</v>
      </c>
      <c r="CR53" s="27">
        <f>IF($A53="",0,IF(Mitarbeiter!$G$51=FALSE,0,IF(AND(Mitarbeiter!$E$51&lt;&gt;"",CR$5+6&lt;Mitarbeiter!$E$51),0,IF(AND(Mitarbeiter!$F$51&lt;&gt;"",CR$5&gt;Mitarbeiter!$F$51),0,IF(Planung!CR53="",$C53,IF(ISNUMBER(Planung!CR53),Planung!CR53,IF(UPPER(Planung!CR53)="H",$C53/2,0)))))))</f>
        <v>0</v>
      </c>
      <c r="CS53" s="27">
        <f>IF($A53="",0,IF(Mitarbeiter!$G$51=FALSE,0,IF(AND(Mitarbeiter!$E$51&lt;&gt;"",CS$5+6&lt;Mitarbeiter!$E$51),0,IF(AND(Mitarbeiter!$F$51&lt;&gt;"",CS$5&gt;Mitarbeiter!$F$51),0,IF(Planung!CS53="",$C53,IF(ISNUMBER(Planung!CS53),Planung!CS53,IF(UPPER(Planung!CS53)="H",$C53/2,0)))))))</f>
        <v>0</v>
      </c>
      <c r="CT53" s="27">
        <f>IF($A53="",0,IF(Mitarbeiter!$G$51=FALSE,0,IF(AND(Mitarbeiter!$E$51&lt;&gt;"",CT$5+6&lt;Mitarbeiter!$E$51),0,IF(AND(Mitarbeiter!$F$51&lt;&gt;"",CT$5&gt;Mitarbeiter!$F$51),0,IF(Planung!CT53="",$C53,IF(ISNUMBER(Planung!CT53),Planung!CT53,IF(UPPER(Planung!CT53)="H",$C53/2,0)))))))</f>
        <v>0</v>
      </c>
      <c r="CU53" s="27">
        <f>IF($A53="",0,IF(Mitarbeiter!$G$51=FALSE,0,IF(AND(Mitarbeiter!$E$51&lt;&gt;"",CU$5+6&lt;Mitarbeiter!$E$51),0,IF(AND(Mitarbeiter!$F$51&lt;&gt;"",CU$5&gt;Mitarbeiter!$F$51),0,IF(Planung!CU53="",$C53,IF(ISNUMBER(Planung!CU53),Planung!CU53,IF(UPPER(Planung!CU53)="H",$C53/2,0)))))))</f>
        <v>0</v>
      </c>
      <c r="CV53" s="27">
        <f>IF($A53="",0,IF(Mitarbeiter!$G$51=FALSE,0,IF(AND(Mitarbeiter!$E$51&lt;&gt;"",CV$5+6&lt;Mitarbeiter!$E$51),0,IF(AND(Mitarbeiter!$F$51&lt;&gt;"",CV$5&gt;Mitarbeiter!$F$51),0,IF(Planung!CV53="",$C53,IF(ISNUMBER(Planung!CV53),Planung!CV53,IF(UPPER(Planung!CV53)="H",$C53/2,0)))))))</f>
        <v>0</v>
      </c>
      <c r="CW53" s="27">
        <f>IF($A53="",0,IF(Mitarbeiter!$G$51=FALSE,0,IF(AND(Mitarbeiter!$E$51&lt;&gt;"",CW$5+6&lt;Mitarbeiter!$E$51),0,IF(AND(Mitarbeiter!$F$51&lt;&gt;"",CW$5&gt;Mitarbeiter!$F$51),0,IF(Planung!CW53="",$C53,IF(ISNUMBER(Planung!CW53),Planung!CW53,IF(UPPER(Planung!CW53)="H",$C53/2,0)))))))</f>
        <v>0</v>
      </c>
      <c r="CX53" s="27">
        <f>IF($A53="",0,IF(Mitarbeiter!$G$51=FALSE,0,IF(AND(Mitarbeiter!$E$51&lt;&gt;"",CX$5+6&lt;Mitarbeiter!$E$51),0,IF(AND(Mitarbeiter!$F$51&lt;&gt;"",CX$5&gt;Mitarbeiter!$F$51),0,IF(Planung!CX53="",$C53,IF(ISNUMBER(Planung!CX53),Planung!CX53,IF(UPPER(Planung!CX53)="H",$C53/2,0)))))))</f>
        <v>0</v>
      </c>
      <c r="CY53" s="27">
        <f>IF($A53="",0,IF(Mitarbeiter!$G$51=FALSE,0,IF(AND(Mitarbeiter!$E$51&lt;&gt;"",CY$5+6&lt;Mitarbeiter!$E$51),0,IF(AND(Mitarbeiter!$F$51&lt;&gt;"",CY$5&gt;Mitarbeiter!$F$51),0,IF(Planung!CY53="",$C53,IF(ISNUMBER(Planung!CY53),Planung!CY53,IF(UPPER(Planung!CY53)="H",$C53/2,0)))))))</f>
        <v>0</v>
      </c>
      <c r="CZ53" s="27">
        <f>IF($A53="",0,IF(Mitarbeiter!$G$51=FALSE,0,IF(AND(Mitarbeiter!$E$51&lt;&gt;"",CZ$5+6&lt;Mitarbeiter!$E$51),0,IF(AND(Mitarbeiter!$F$51&lt;&gt;"",CZ$5&gt;Mitarbeiter!$F$51),0,IF(Planung!CZ53="",$C53,IF(ISNUMBER(Planung!CZ53),Planung!CZ53,IF(UPPER(Planung!CZ53)="H",$C53/2,0)))))))</f>
        <v>0</v>
      </c>
      <c r="DA53" s="27">
        <f>IF($A53="",0,IF(Mitarbeiter!$G$51=FALSE,0,IF(AND(Mitarbeiter!$E$51&lt;&gt;"",DA$5+6&lt;Mitarbeiter!$E$51),0,IF(AND(Mitarbeiter!$F$51&lt;&gt;"",DA$5&gt;Mitarbeiter!$F$51),0,IF(Planung!DA53="",$C53,IF(ISNUMBER(Planung!DA53),Planung!DA53,IF(UPPER(Planung!DA53)="H",$C53/2,0)))))))</f>
        <v>0</v>
      </c>
      <c r="DB53" s="27">
        <f>IF($A53="",0,IF(Mitarbeiter!$G$51=FALSE,0,IF(AND(Mitarbeiter!$E$51&lt;&gt;"",DB$5+6&lt;Mitarbeiter!$E$51),0,IF(AND(Mitarbeiter!$F$51&lt;&gt;"",DB$5&gt;Mitarbeiter!$F$51),0,IF(Planung!DB53="",$C53,IF(ISNUMBER(Planung!DB53),Planung!DB53,IF(UPPER(Planung!DB53)="H",$C53/2,0)))))))</f>
        <v>0</v>
      </c>
      <c r="DC53" s="27">
        <f>IF($A53="",0,IF(Mitarbeiter!$G$51=FALSE,0,IF(AND(Mitarbeiter!$E$51&lt;&gt;"",DC$5+6&lt;Mitarbeiter!$E$51),0,IF(AND(Mitarbeiter!$F$51&lt;&gt;"",DC$5&gt;Mitarbeiter!$F$51),0,IF(Planung!DC53="",$C53,IF(ISNUMBER(Planung!DC53),Planung!DC53,IF(UPPER(Planung!DC53)="H",$C53/2,0)))))))</f>
        <v>0</v>
      </c>
      <c r="DD53" s="27">
        <f>IF($A53="",0,IF(Mitarbeiter!$G$51=FALSE,0,IF(AND(Mitarbeiter!$E$51&lt;&gt;"",DD$5+6&lt;Mitarbeiter!$E$51),0,IF(AND(Mitarbeiter!$F$51&lt;&gt;"",DD$5&gt;Mitarbeiter!$F$51),0,IF(Planung!DD53="",$C53,IF(ISNUMBER(Planung!DD53),Planung!DD53,IF(UPPER(Planung!DD53)="H",$C53/2,0)))))))</f>
        <v>0</v>
      </c>
      <c r="DE53" s="27">
        <f>IF($A53="",0,IF(Mitarbeiter!$G$51=FALSE,0,IF(AND(Mitarbeiter!$E$51&lt;&gt;"",DE$5+6&lt;Mitarbeiter!$E$51),0,IF(AND(Mitarbeiter!$F$51&lt;&gt;"",DE$5&gt;Mitarbeiter!$F$51),0,IF(Planung!DE53="",$C53,IF(ISNUMBER(Planung!DE53),Planung!DE53,IF(UPPER(Planung!DE53)="H",$C53/2,0)))))))</f>
        <v>0</v>
      </c>
      <c r="DF53" s="27">
        <f>IF($A53="",0,IF(Mitarbeiter!$G$51=FALSE,0,IF(AND(Mitarbeiter!$E$51&lt;&gt;"",DF$5+6&lt;Mitarbeiter!$E$51),0,IF(AND(Mitarbeiter!$F$51&lt;&gt;"",DF$5&gt;Mitarbeiter!$F$51),0,IF(Planung!DF53="",$C53,IF(ISNUMBER(Planung!DF53),Planung!DF53,IF(UPPER(Planung!DF53)="H",$C53/2,0)))))))</f>
        <v>0</v>
      </c>
      <c r="DG53" s="27">
        <f>IF($A53="",0,IF(Mitarbeiter!$G$51=FALSE,0,IF(AND(Mitarbeiter!$E$51&lt;&gt;"",DG$5+6&lt;Mitarbeiter!$E$51),0,IF(AND(Mitarbeiter!$F$51&lt;&gt;"",DG$5&gt;Mitarbeiter!$F$51),0,IF(Planung!DG53="",$C53,IF(ISNUMBER(Planung!DG53),Planung!DG53,IF(UPPER(Planung!DG53)="H",$C53/2,0)))))))</f>
        <v>0</v>
      </c>
      <c r="DH53" s="27">
        <f>IF($A53="",0,IF(Mitarbeiter!$G$51=FALSE,0,IF(AND(Mitarbeiter!$E$51&lt;&gt;"",DH$5+6&lt;Mitarbeiter!$E$51),0,IF(AND(Mitarbeiter!$F$51&lt;&gt;"",DH$5&gt;Mitarbeiter!$F$51),0,IF(Planung!DH53="",$C53,IF(ISNUMBER(Planung!DH53),Planung!DH53,IF(UPPER(Planung!DH53)="H",$C53/2,0)))))))</f>
        <v>0</v>
      </c>
      <c r="DI53" s="27">
        <f>IF($A53="",0,IF(Mitarbeiter!$G$51=FALSE,0,IF(AND(Mitarbeiter!$E$51&lt;&gt;"",DI$5+6&lt;Mitarbeiter!$E$51),0,IF(AND(Mitarbeiter!$F$51&lt;&gt;"",DI$5&gt;Mitarbeiter!$F$51),0,IF(Planung!DI53="",$C53,IF(ISNUMBER(Planung!DI53),Planung!DI53,IF(UPPER(Planung!DI53)="H",$C53/2,0)))))))</f>
        <v>0</v>
      </c>
      <c r="DJ53" s="27">
        <f>IF($A53="",0,IF(Mitarbeiter!$G$51=FALSE,0,IF(AND(Mitarbeiter!$E$51&lt;&gt;"",DJ$5+6&lt;Mitarbeiter!$E$51),0,IF(AND(Mitarbeiter!$F$51&lt;&gt;"",DJ$5&gt;Mitarbeiter!$F$51),0,IF(Planung!DJ53="",$C53,IF(ISNUMBER(Planung!DJ53),Planung!DJ53,IF(UPPER(Planung!DJ53)="H",$C53/2,0)))))))</f>
        <v>0</v>
      </c>
      <c r="DK53" s="27">
        <f>IF($A53="",0,IF(Mitarbeiter!$G$51=FALSE,0,IF(AND(Mitarbeiter!$E$51&lt;&gt;"",DK$5+6&lt;Mitarbeiter!$E$51),0,IF(AND(Mitarbeiter!$F$51&lt;&gt;"",DK$5&gt;Mitarbeiter!$F$51),0,IF(Planung!DK53="",$C53,IF(ISNUMBER(Planung!DK53),Planung!DK53,IF(UPPER(Planung!DK53)="H",$C53/2,0)))))))</f>
        <v>0</v>
      </c>
      <c r="DL53" s="27">
        <f>IF($A53="",0,IF(Mitarbeiter!$G$51=FALSE,0,IF(AND(Mitarbeiter!$E$51&lt;&gt;"",DL$5+6&lt;Mitarbeiter!$E$51),0,IF(AND(Mitarbeiter!$F$51&lt;&gt;"",DL$5&gt;Mitarbeiter!$F$51),0,IF(Planung!DL53="",$C53,IF(ISNUMBER(Planung!DL53),Planung!DL53,IF(UPPER(Planung!DL53)="H",$C53/2,0)))))))</f>
        <v>0</v>
      </c>
      <c r="DM53" s="27">
        <f>IF($A53="",0,IF(Mitarbeiter!$G$51=FALSE,0,IF(AND(Mitarbeiter!$E$51&lt;&gt;"",DM$5+6&lt;Mitarbeiter!$E$51),0,IF(AND(Mitarbeiter!$F$51&lt;&gt;"",DM$5&gt;Mitarbeiter!$F$51),0,IF(Planung!DM53="",$C53,IF(ISNUMBER(Planung!DM53),Planung!DM53,IF(UPPER(Planung!DM53)="H",$C53/2,0)))))))</f>
        <v>0</v>
      </c>
      <c r="DN53" s="27">
        <f>IF($A53="",0,IF(Mitarbeiter!$G$51=FALSE,0,IF(AND(Mitarbeiter!$E$51&lt;&gt;"",DN$5+6&lt;Mitarbeiter!$E$51),0,IF(AND(Mitarbeiter!$F$51&lt;&gt;"",DN$5&gt;Mitarbeiter!$F$51),0,IF(Planung!DN53="",$C53,IF(ISNUMBER(Planung!DN53),Planung!DN53,IF(UPPER(Planung!DN53)="H",$C53/2,0)))))))</f>
        <v>0</v>
      </c>
      <c r="DO53" s="27">
        <f>IF($A53="",0,IF(Mitarbeiter!$G$51=FALSE,0,IF(AND(Mitarbeiter!$E$51&lt;&gt;"",DO$5+6&lt;Mitarbeiter!$E$51),0,IF(AND(Mitarbeiter!$F$51&lt;&gt;"",DO$5&gt;Mitarbeiter!$F$51),0,IF(Planung!DO53="",$C53,IF(ISNUMBER(Planung!DO53),Planung!DO53,IF(UPPER(Planung!DO53)="H",$C53/2,0)))))))</f>
        <v>0</v>
      </c>
      <c r="DP53" s="27">
        <f>IF($A53="",0,IF(Mitarbeiter!$G$51=FALSE,0,IF(AND(Mitarbeiter!$E$51&lt;&gt;"",DP$5+6&lt;Mitarbeiter!$E$51),0,IF(AND(Mitarbeiter!$F$51&lt;&gt;"",DP$5&gt;Mitarbeiter!$F$51),0,IF(Planung!DP53="",$C53,IF(ISNUMBER(Planung!DP53),Planung!DP53,IF(UPPER(Planung!DP53)="H",$C53/2,0)))))))</f>
        <v>0</v>
      </c>
      <c r="DQ53" s="27">
        <f>IF($A53="",0,IF(Mitarbeiter!$G$51=FALSE,0,IF(AND(Mitarbeiter!$E$51&lt;&gt;"",DQ$5+6&lt;Mitarbeiter!$E$51),0,IF(AND(Mitarbeiter!$F$51&lt;&gt;"",DQ$5&gt;Mitarbeiter!$F$51),0,IF(Planung!DQ53="",$C53,IF(ISNUMBER(Planung!DQ53),Planung!DQ53,IF(UPPER(Planung!DQ53)="H",$C53/2,0)))))))</f>
        <v>0</v>
      </c>
      <c r="DR53" s="27">
        <f>IF($A53="",0,IF(Mitarbeiter!$G$51=FALSE,0,IF(AND(Mitarbeiter!$E$51&lt;&gt;"",DR$5+6&lt;Mitarbeiter!$E$51),0,IF(AND(Mitarbeiter!$F$51&lt;&gt;"",DR$5&gt;Mitarbeiter!$F$51),0,IF(Planung!DR53="",$C53,IF(ISNUMBER(Planung!DR53),Planung!DR53,IF(UPPER(Planung!DR53)="H",$C53/2,0)))))))</f>
        <v>0</v>
      </c>
      <c r="DS53" s="27">
        <f>IF($A53="",0,IF(Mitarbeiter!$G$51=FALSE,0,IF(AND(Mitarbeiter!$E$51&lt;&gt;"",DS$5+6&lt;Mitarbeiter!$E$51),0,IF(AND(Mitarbeiter!$F$51&lt;&gt;"",DS$5&gt;Mitarbeiter!$F$51),0,IF(Planung!DS53="",$C53,IF(ISNUMBER(Planung!DS53),Planung!DS53,IF(UPPER(Planung!DS53)="H",$C53/2,0)))))))</f>
        <v>0</v>
      </c>
      <c r="DT53" s="27">
        <f>IF($A53="",0,IF(Mitarbeiter!$G$51=FALSE,0,IF(AND(Mitarbeiter!$E$51&lt;&gt;"",DT$5+6&lt;Mitarbeiter!$E$51),0,IF(AND(Mitarbeiter!$F$51&lt;&gt;"",DT$5&gt;Mitarbeiter!$F$51),0,IF(Planung!DT53="",$C53,IF(ISNUMBER(Planung!DT53),Planung!DT53,IF(UPPER(Planung!DT53)="H",$C53/2,0)))))))</f>
        <v>0</v>
      </c>
      <c r="DU53" s="27">
        <f>IF($A53="",0,IF(Mitarbeiter!$G$51=FALSE,0,IF(AND(Mitarbeiter!$E$51&lt;&gt;"",DU$5+6&lt;Mitarbeiter!$E$51),0,IF(AND(Mitarbeiter!$F$51&lt;&gt;"",DU$5&gt;Mitarbeiter!$F$51),0,IF(Planung!DU53="",$C53,IF(ISNUMBER(Planung!DU53),Planung!DU53,IF(UPPER(Planung!DU53)="H",$C53/2,0)))))))</f>
        <v>0</v>
      </c>
      <c r="DV53" s="27">
        <f>IF($A53="",0,IF(Mitarbeiter!$G$51=FALSE,0,IF(AND(Mitarbeiter!$E$51&lt;&gt;"",DV$5+6&lt;Mitarbeiter!$E$51),0,IF(AND(Mitarbeiter!$F$51&lt;&gt;"",DV$5&gt;Mitarbeiter!$F$51),0,IF(Planung!DV53="",$C53,IF(ISNUMBER(Planung!DV53),Planung!DV53,IF(UPPER(Planung!DV53)="H",$C53/2,0)))))))</f>
        <v>0</v>
      </c>
      <c r="DW53" s="27">
        <f>IF($A53="",0,IF(Mitarbeiter!$G$51=FALSE,0,IF(AND(Mitarbeiter!$E$51&lt;&gt;"",DW$5+6&lt;Mitarbeiter!$E$51),0,IF(AND(Mitarbeiter!$F$51&lt;&gt;"",DW$5&gt;Mitarbeiter!$F$51),0,IF(Planung!DW53="",$C53,IF(ISNUMBER(Planung!DW53),Planung!DW53,IF(UPPER(Planung!DW53)="H",$C53/2,0)))))))</f>
        <v>0</v>
      </c>
      <c r="DX53" s="27">
        <f>IF($A53="",0,IF(Mitarbeiter!$G$51=FALSE,0,IF(AND(Mitarbeiter!$E$51&lt;&gt;"",DX$5+6&lt;Mitarbeiter!$E$51),0,IF(AND(Mitarbeiter!$F$51&lt;&gt;"",DX$5&gt;Mitarbeiter!$F$51),0,IF(Planung!DX53="",$C53,IF(ISNUMBER(Planung!DX53),Planung!DX53,IF(UPPER(Planung!DX53)="H",$C53/2,0)))))))</f>
        <v>0</v>
      </c>
      <c r="DY53" s="27">
        <f>IF($A53="",0,IF(Mitarbeiter!$G$51=FALSE,0,IF(AND(Mitarbeiter!$E$51&lt;&gt;"",DY$5+6&lt;Mitarbeiter!$E$51),0,IF(AND(Mitarbeiter!$F$51&lt;&gt;"",DY$5&gt;Mitarbeiter!$F$51),0,IF(Planung!DY53="",$C53,IF(ISNUMBER(Planung!DY53),Planung!DY53,IF(UPPER(Planung!DY53)="H",$C53/2,0)))))))</f>
        <v>0</v>
      </c>
      <c r="DZ53" s="27">
        <f>IF($A53="",0,IF(Mitarbeiter!$G$51=FALSE,0,IF(AND(Mitarbeiter!$E$51&lt;&gt;"",DZ$5+6&lt;Mitarbeiter!$E$51),0,IF(AND(Mitarbeiter!$F$51&lt;&gt;"",DZ$5&gt;Mitarbeiter!$F$51),0,IF(Planung!DZ53="",$C53,IF(ISNUMBER(Planung!DZ53),Planung!DZ53,IF(UPPER(Planung!DZ53)="H",$C53/2,0)))))))</f>
        <v>0</v>
      </c>
      <c r="EA53" s="27">
        <f>IF($A53="",0,IF(Mitarbeiter!$G$51=FALSE,0,IF(AND(Mitarbeiter!$E$51&lt;&gt;"",EA$5+6&lt;Mitarbeiter!$E$51),0,IF(AND(Mitarbeiter!$F$51&lt;&gt;"",EA$5&gt;Mitarbeiter!$F$51),0,IF(Planung!EA53="",$C53,IF(ISNUMBER(Planung!EA53),Planung!EA53,IF(UPPER(Planung!EA53)="H",$C53/2,0)))))))</f>
        <v>0</v>
      </c>
      <c r="EB53" s="27">
        <f>IF($A53="",0,IF(Mitarbeiter!$G$51=FALSE,0,IF(AND(Mitarbeiter!$E$51&lt;&gt;"",EB$5+6&lt;Mitarbeiter!$E$51),0,IF(AND(Mitarbeiter!$F$51&lt;&gt;"",EB$5&gt;Mitarbeiter!$F$51),0,IF(Planung!EB53="",$C53,IF(ISNUMBER(Planung!EB53),Planung!EB53,IF(UPPER(Planung!EB53)="H",$C53/2,0)))))))</f>
        <v>0</v>
      </c>
      <c r="EC53" s="27">
        <f>IF($A53="",0,IF(Mitarbeiter!$G$51=FALSE,0,IF(AND(Mitarbeiter!$E$51&lt;&gt;"",EC$5+6&lt;Mitarbeiter!$E$51),0,IF(AND(Mitarbeiter!$F$51&lt;&gt;"",EC$5&gt;Mitarbeiter!$F$51),0,IF(Planung!EC53="",$C53,IF(ISNUMBER(Planung!EC53),Planung!EC53,IF(UPPER(Planung!EC53)="H",$C53/2,0)))))))</f>
        <v>0</v>
      </c>
      <c r="ED53" s="27">
        <f>IF($A53="",0,IF(Mitarbeiter!$G$51=FALSE,0,IF(AND(Mitarbeiter!$E$51&lt;&gt;"",ED$5+6&lt;Mitarbeiter!$E$51),0,IF(AND(Mitarbeiter!$F$51&lt;&gt;"",ED$5&gt;Mitarbeiter!$F$51),0,IF(Planung!ED53="",$C53,IF(ISNUMBER(Planung!ED53),Planung!ED53,IF(UPPER(Planung!ED53)="H",$C53/2,0)))))))</f>
        <v>0</v>
      </c>
      <c r="EE53" s="27">
        <f>IF($A53="",0,IF(Mitarbeiter!$G$51=FALSE,0,IF(AND(Mitarbeiter!$E$51&lt;&gt;"",EE$5+6&lt;Mitarbeiter!$E$51),0,IF(AND(Mitarbeiter!$F$51&lt;&gt;"",EE$5&gt;Mitarbeiter!$F$51),0,IF(Planung!EE53="",$C53,IF(ISNUMBER(Planung!EE53),Planung!EE53,IF(UPPER(Planung!EE53)="H",$C53/2,0)))))))</f>
        <v>0</v>
      </c>
      <c r="EF53" s="27">
        <f>IF($A53="",0,IF(Mitarbeiter!$G$51=FALSE,0,IF(AND(Mitarbeiter!$E$51&lt;&gt;"",EF$5+6&lt;Mitarbeiter!$E$51),0,IF(AND(Mitarbeiter!$F$51&lt;&gt;"",EF$5&gt;Mitarbeiter!$F$51),0,IF(Planung!EF53="",$C53,IF(ISNUMBER(Planung!EF53),Planung!EF53,IF(UPPER(Planung!EF53)="H",$C53/2,0)))))))</f>
        <v>0</v>
      </c>
      <c r="EG53" s="27">
        <f>IF($A53="",0,IF(Mitarbeiter!$G$51=FALSE,0,IF(AND(Mitarbeiter!$E$51&lt;&gt;"",EG$5+6&lt;Mitarbeiter!$E$51),0,IF(AND(Mitarbeiter!$F$51&lt;&gt;"",EG$5&gt;Mitarbeiter!$F$51),0,IF(Planung!EG53="",$C53,IF(ISNUMBER(Planung!EG53),Planung!EG53,IF(UPPER(Planung!EG53)="H",$C53/2,0)))))))</f>
        <v>0</v>
      </c>
      <c r="EH53" s="27">
        <f>IF($A53="",0,IF(Mitarbeiter!$G$51=FALSE,0,IF(AND(Mitarbeiter!$E$51&lt;&gt;"",EH$5+6&lt;Mitarbeiter!$E$51),0,IF(AND(Mitarbeiter!$F$51&lt;&gt;"",EH$5&gt;Mitarbeiter!$F$51),0,IF(Planung!EH53="",$C53,IF(ISNUMBER(Planung!EH53),Planung!EH53,IF(UPPER(Planung!EH53)="H",$C53/2,0)))))))</f>
        <v>0</v>
      </c>
      <c r="EI53" s="27">
        <f>IF($A53="",0,IF(Mitarbeiter!$G$51=FALSE,0,IF(AND(Mitarbeiter!$E$51&lt;&gt;"",EI$5+6&lt;Mitarbeiter!$E$51),0,IF(AND(Mitarbeiter!$F$51&lt;&gt;"",EI$5&gt;Mitarbeiter!$F$51),0,IF(Planung!EI53="",$C53,IF(ISNUMBER(Planung!EI53),Planung!EI53,IF(UPPER(Planung!EI53)="H",$C53/2,0)))))))</f>
        <v>0</v>
      </c>
      <c r="EJ53" s="27">
        <f>IF($A53="",0,IF(Mitarbeiter!$G$51=FALSE,0,IF(AND(Mitarbeiter!$E$51&lt;&gt;"",EJ$5+6&lt;Mitarbeiter!$E$51),0,IF(AND(Mitarbeiter!$F$51&lt;&gt;"",EJ$5&gt;Mitarbeiter!$F$51),0,IF(Planung!EJ53="",$C53,IF(ISNUMBER(Planung!EJ53),Planung!EJ53,IF(UPPER(Planung!EJ53)="H",$C53/2,0)))))))</f>
        <v>0</v>
      </c>
      <c r="EK53" s="27">
        <f>IF($A53="",0,IF(Mitarbeiter!$G$51=FALSE,0,IF(AND(Mitarbeiter!$E$51&lt;&gt;"",EK$5+6&lt;Mitarbeiter!$E$51),0,IF(AND(Mitarbeiter!$F$51&lt;&gt;"",EK$5&gt;Mitarbeiter!$F$51),0,IF(Planung!EK53="",$C53,IF(ISNUMBER(Planung!EK53),Planung!EK53,IF(UPPER(Planung!EK53)="H",$C53/2,0)))))))</f>
        <v>0</v>
      </c>
      <c r="EL53" s="27">
        <f>IF($A53="",0,IF(Mitarbeiter!$G$51=FALSE,0,IF(AND(Mitarbeiter!$E$51&lt;&gt;"",EL$5+6&lt;Mitarbeiter!$E$51),0,IF(AND(Mitarbeiter!$F$51&lt;&gt;"",EL$5&gt;Mitarbeiter!$F$51),0,IF(Planung!EL53="",$C53,IF(ISNUMBER(Planung!EL53),Planung!EL53,IF(UPPER(Planung!EL53)="H",$C53/2,0)))))))</f>
        <v>0</v>
      </c>
      <c r="EM53" s="27">
        <f>IF($A53="",0,IF(Mitarbeiter!$G$51=FALSE,0,IF(AND(Mitarbeiter!$E$51&lt;&gt;"",EM$5+6&lt;Mitarbeiter!$E$51),0,IF(AND(Mitarbeiter!$F$51&lt;&gt;"",EM$5&gt;Mitarbeiter!$F$51),0,IF(Planung!EM53="",$C53,IF(ISNUMBER(Planung!EM53),Planung!EM53,IF(UPPER(Planung!EM53)="H",$C53/2,0)))))))</f>
        <v>0</v>
      </c>
      <c r="EN53" s="27">
        <f>IF($A53="",0,IF(Mitarbeiter!$G$51=FALSE,0,IF(AND(Mitarbeiter!$E$51&lt;&gt;"",EN$5+6&lt;Mitarbeiter!$E$51),0,IF(AND(Mitarbeiter!$F$51&lt;&gt;"",EN$5&gt;Mitarbeiter!$F$51),0,IF(Planung!EN53="",$C53,IF(ISNUMBER(Planung!EN53),Planung!EN53,IF(UPPER(Planung!EN53)="H",$C53/2,0)))))))</f>
        <v>0</v>
      </c>
      <c r="EO53" s="27">
        <f>IF($A53="",0,IF(Mitarbeiter!$G$51=FALSE,0,IF(AND(Mitarbeiter!$E$51&lt;&gt;"",EO$5+6&lt;Mitarbeiter!$E$51),0,IF(AND(Mitarbeiter!$F$51&lt;&gt;"",EO$5&gt;Mitarbeiter!$F$51),0,IF(Planung!EO53="",$C53,IF(ISNUMBER(Planung!EO53),Planung!EO53,IF(UPPER(Planung!EO53)="H",$C53/2,0)))))))</f>
        <v>0</v>
      </c>
      <c r="EP53" s="27">
        <f>IF($A53="",0,IF(Mitarbeiter!$G$51=FALSE,0,IF(AND(Mitarbeiter!$E$51&lt;&gt;"",EP$5+6&lt;Mitarbeiter!$E$51),0,IF(AND(Mitarbeiter!$F$51&lt;&gt;"",EP$5&gt;Mitarbeiter!$F$51),0,IF(Planung!EP53="",$C53,IF(ISNUMBER(Planung!EP53),Planung!EP53,IF(UPPER(Planung!EP53)="H",$C53/2,0)))))))</f>
        <v>0</v>
      </c>
      <c r="EQ53" s="27">
        <f>IF($A53="",0,IF(Mitarbeiter!$G$51=FALSE,0,IF(AND(Mitarbeiter!$E$51&lt;&gt;"",EQ$5+6&lt;Mitarbeiter!$E$51),0,IF(AND(Mitarbeiter!$F$51&lt;&gt;"",EQ$5&gt;Mitarbeiter!$F$51),0,IF(Planung!EQ53="",$C53,IF(ISNUMBER(Planung!EQ53),Planung!EQ53,IF(UPPER(Planung!EQ53)="H",$C53/2,0)))))))</f>
        <v>0</v>
      </c>
      <c r="ER53" s="27">
        <f>IF($A53="",0,IF(Mitarbeiter!$G$51=FALSE,0,IF(AND(Mitarbeiter!$E$51&lt;&gt;"",ER$5+6&lt;Mitarbeiter!$E$51),0,IF(AND(Mitarbeiter!$F$51&lt;&gt;"",ER$5&gt;Mitarbeiter!$F$51),0,IF(Planung!ER53="",$C53,IF(ISNUMBER(Planung!ER53),Planung!ER53,IF(UPPER(Planung!ER53)="H",$C53/2,0)))))))</f>
        <v>0</v>
      </c>
      <c r="ES53" s="27">
        <f>IF($A53="",0,IF(Mitarbeiter!$G$51=FALSE,0,IF(AND(Mitarbeiter!$E$51&lt;&gt;"",ES$5+6&lt;Mitarbeiter!$E$51),0,IF(AND(Mitarbeiter!$F$51&lt;&gt;"",ES$5&gt;Mitarbeiter!$F$51),0,IF(Planung!ES53="",$C53,IF(ISNUMBER(Planung!ES53),Planung!ES53,IF(UPPER(Planung!ES53)="H",$C53/2,0)))))))</f>
        <v>0</v>
      </c>
      <c r="ET53" s="27">
        <f>IF($A53="",0,IF(Mitarbeiter!$G$51=FALSE,0,IF(AND(Mitarbeiter!$E$51&lt;&gt;"",ET$5+6&lt;Mitarbeiter!$E$51),0,IF(AND(Mitarbeiter!$F$51&lt;&gt;"",ET$5&gt;Mitarbeiter!$F$51),0,IF(Planung!ET53="",$C53,IF(ISNUMBER(Planung!ET53),Planung!ET53,IF(UPPER(Planung!ET53)="H",$C53/2,0)))))))</f>
        <v>0</v>
      </c>
      <c r="EU53" s="27">
        <f>IF($A53="",0,IF(Mitarbeiter!$G$51=FALSE,0,IF(AND(Mitarbeiter!$E$51&lt;&gt;"",EU$5+6&lt;Mitarbeiter!$E$51),0,IF(AND(Mitarbeiter!$F$51&lt;&gt;"",EU$5&gt;Mitarbeiter!$F$51),0,IF(Planung!EU53="",$C53,IF(ISNUMBER(Planung!EU53),Planung!EU53,IF(UPPER(Planung!EU53)="H",$C53/2,0)))))))</f>
        <v>0</v>
      </c>
      <c r="EV53" s="27">
        <f>IF($A53="",0,IF(Mitarbeiter!$G$51=FALSE,0,IF(AND(Mitarbeiter!$E$51&lt;&gt;"",EV$5+6&lt;Mitarbeiter!$E$51),0,IF(AND(Mitarbeiter!$F$51&lt;&gt;"",EV$5&gt;Mitarbeiter!$F$51),0,IF(Planung!EV53="",$C53,IF(ISNUMBER(Planung!EV53),Planung!EV53,IF(UPPER(Planung!EV53)="H",$C53/2,0)))))))</f>
        <v>0</v>
      </c>
      <c r="EW53" s="27">
        <f>IF($A53="",0,IF(Mitarbeiter!$G$51=FALSE,0,IF(AND(Mitarbeiter!$E$51&lt;&gt;"",EW$5+6&lt;Mitarbeiter!$E$51),0,IF(AND(Mitarbeiter!$F$51&lt;&gt;"",EW$5&gt;Mitarbeiter!$F$51),0,IF(Planung!EW53="",$C53,IF(ISNUMBER(Planung!EW53),Planung!EW53,IF(UPPER(Planung!EW53)="H",$C53/2,0)))))))</f>
        <v>0</v>
      </c>
      <c r="EX53" s="27">
        <f>IF($A53="",0,IF(Mitarbeiter!$G$51=FALSE,0,IF(AND(Mitarbeiter!$E$51&lt;&gt;"",EX$5+6&lt;Mitarbeiter!$E$51),0,IF(AND(Mitarbeiter!$F$51&lt;&gt;"",EX$5&gt;Mitarbeiter!$F$51),0,IF(Planung!EX53="",$C53,IF(ISNUMBER(Planung!EX53),Planung!EX53,IF(UPPER(Planung!EX53)="H",$C53/2,0)))))))</f>
        <v>0</v>
      </c>
      <c r="EY53" s="27">
        <f>IF($A53="",0,IF(Mitarbeiter!$G$51=FALSE,0,IF(AND(Mitarbeiter!$E$51&lt;&gt;"",EY$5+6&lt;Mitarbeiter!$E$51),0,IF(AND(Mitarbeiter!$F$51&lt;&gt;"",EY$5&gt;Mitarbeiter!$F$51),0,IF(Planung!EY53="",$C53,IF(ISNUMBER(Planung!EY53),Planung!EY53,IF(UPPER(Planung!EY53)="H",$C53/2,0)))))))</f>
        <v>0</v>
      </c>
      <c r="EZ53" s="27">
        <f>IF($A53="",0,IF(Mitarbeiter!$G$51=FALSE,0,IF(AND(Mitarbeiter!$E$51&lt;&gt;"",EZ$5+6&lt;Mitarbeiter!$E$51),0,IF(AND(Mitarbeiter!$F$51&lt;&gt;"",EZ$5&gt;Mitarbeiter!$F$51),0,IF(Planung!EZ53="",$C53,IF(ISNUMBER(Planung!EZ53),Planung!EZ53,IF(UPPER(Planung!EZ53)="H",$C53/2,0)))))))</f>
        <v>0</v>
      </c>
      <c r="FA53" s="27">
        <f>IF($A53="",0,IF(Mitarbeiter!$G$51=FALSE,0,IF(AND(Mitarbeiter!$E$51&lt;&gt;"",FA$5+6&lt;Mitarbeiter!$E$51),0,IF(AND(Mitarbeiter!$F$51&lt;&gt;"",FA$5&gt;Mitarbeiter!$F$51),0,IF(Planung!FA53="",$C53,IF(ISNUMBER(Planung!FA53),Planung!FA53,IF(UPPER(Planung!FA53)="H",$C53/2,0)))))))</f>
        <v>0</v>
      </c>
      <c r="FB53" s="27">
        <f>IF($A53="",0,IF(Mitarbeiter!$G$51=FALSE,0,IF(AND(Mitarbeiter!$E$51&lt;&gt;"",FB$5+6&lt;Mitarbeiter!$E$51),0,IF(AND(Mitarbeiter!$F$51&lt;&gt;"",FB$5&gt;Mitarbeiter!$F$51),0,IF(Planung!FB53="",$C53,IF(ISNUMBER(Planung!FB53),Planung!FB53,IF(UPPER(Planung!FB53)="H",$C53/2,0)))))))</f>
        <v>0</v>
      </c>
      <c r="FC53" s="27">
        <f>IF($A53="",0,IF(Mitarbeiter!$G$51=FALSE,0,IF(AND(Mitarbeiter!$E$51&lt;&gt;"",FC$5+6&lt;Mitarbeiter!$E$51),0,IF(AND(Mitarbeiter!$F$51&lt;&gt;"",FC$5&gt;Mitarbeiter!$F$51),0,IF(Planung!FC53="",$C53,IF(ISNUMBER(Planung!FC53),Planung!FC53,IF(UPPER(Planung!FC53)="H",$C53/2,0)))))))</f>
        <v>0</v>
      </c>
      <c r="FD53" s="27">
        <f>IF($A53="",0,IF(Mitarbeiter!$G$51=FALSE,0,IF(AND(Mitarbeiter!$E$51&lt;&gt;"",FD$5+6&lt;Mitarbeiter!$E$51),0,IF(AND(Mitarbeiter!$F$51&lt;&gt;"",FD$5&gt;Mitarbeiter!$F$51),0,IF(Planung!FD53="",$C53,IF(ISNUMBER(Planung!FD53),Planung!FD53,IF(UPPER(Planung!FD53)="H",$C53/2,0)))))))</f>
        <v>0</v>
      </c>
      <c r="FE53" s="27">
        <f>IF($A53="",0,IF(Mitarbeiter!$G$51=FALSE,0,IF(AND(Mitarbeiter!$E$51&lt;&gt;"",FE$5+6&lt;Mitarbeiter!$E$51),0,IF(AND(Mitarbeiter!$F$51&lt;&gt;"",FE$5&gt;Mitarbeiter!$F$51),0,IF(Planung!FE53="",$C53,IF(ISNUMBER(Planung!FE53),Planung!FE53,IF(UPPER(Planung!FE53)="H",$C53/2,0)))))))</f>
        <v>0</v>
      </c>
      <c r="FF53" s="27">
        <f>IF($A53="",0,IF(Mitarbeiter!$G$51=FALSE,0,IF(AND(Mitarbeiter!$E$51&lt;&gt;"",FF$5+6&lt;Mitarbeiter!$E$51),0,IF(AND(Mitarbeiter!$F$51&lt;&gt;"",FF$5&gt;Mitarbeiter!$F$51),0,IF(Planung!FF53="",$C53,IF(ISNUMBER(Planung!FF53),Planung!FF53,IF(UPPER(Planung!FF53)="H",$C53/2,0)))))))</f>
        <v>0</v>
      </c>
      <c r="FG53" s="27">
        <f>IF($A53="",0,IF(Mitarbeiter!$G$51=FALSE,0,IF(AND(Mitarbeiter!$E$51&lt;&gt;"",FG$5+6&lt;Mitarbeiter!$E$51),0,IF(AND(Mitarbeiter!$F$51&lt;&gt;"",FG$5&gt;Mitarbeiter!$F$51),0,IF(Planung!FG53="",$C53,IF(ISNUMBER(Planung!FG53),Planung!FG53,IF(UPPER(Planung!FG53)="H",$C53/2,0)))))))</f>
        <v>0</v>
      </c>
      <c r="FH53" s="27">
        <f>IF($A53="",0,IF(Mitarbeiter!$G$51=FALSE,0,IF(AND(Mitarbeiter!$E$51&lt;&gt;"",FH$5+6&lt;Mitarbeiter!$E$51),0,IF(AND(Mitarbeiter!$F$51&lt;&gt;"",FH$5&gt;Mitarbeiter!$F$51),0,IF(Planung!FH53="",$C53,IF(ISNUMBER(Planung!FH53),Planung!FH53,IF(UPPER(Planung!FH53)="H",$C53/2,0)))))))</f>
        <v>0</v>
      </c>
      <c r="FI53" s="27">
        <f>IF($A53="",0,IF(Mitarbeiter!$G$51=FALSE,0,IF(AND(Mitarbeiter!$E$51&lt;&gt;"",FI$5+6&lt;Mitarbeiter!$E$51),0,IF(AND(Mitarbeiter!$F$51&lt;&gt;"",FI$5&gt;Mitarbeiter!$F$51),0,IF(Planung!FI53="",$C53,IF(ISNUMBER(Planung!FI53),Planung!FI53,IF(UPPER(Planung!FI53)="H",$C53/2,0)))))))</f>
        <v>0</v>
      </c>
      <c r="FJ53" s="27">
        <f>IF($A53="",0,IF(Mitarbeiter!$G$51=FALSE,0,IF(AND(Mitarbeiter!$E$51&lt;&gt;"",FJ$5+6&lt;Mitarbeiter!$E$51),0,IF(AND(Mitarbeiter!$F$51&lt;&gt;"",FJ$5&gt;Mitarbeiter!$F$51),0,IF(Planung!FJ53="",$C53,IF(ISNUMBER(Planung!FJ53),Planung!FJ53,IF(UPPER(Planung!FJ53)="H",$C53/2,0)))))))</f>
        <v>0</v>
      </c>
      <c r="FK53" s="27">
        <f>IF($A53="",0,IF(Mitarbeiter!$G$51=FALSE,0,IF(AND(Mitarbeiter!$E$51&lt;&gt;"",FK$5+6&lt;Mitarbeiter!$E$51),0,IF(AND(Mitarbeiter!$F$51&lt;&gt;"",FK$5&gt;Mitarbeiter!$F$51),0,IF(Planung!FK53="",$C53,IF(ISNUMBER(Planung!FK53),Planung!FK53,IF(UPPER(Planung!FK53)="H",$C53/2,0)))))))</f>
        <v>0</v>
      </c>
      <c r="FL53" s="27">
        <f>IF($A53="",0,IF(Mitarbeiter!$G$51=FALSE,0,IF(AND(Mitarbeiter!$E$51&lt;&gt;"",FL$5+6&lt;Mitarbeiter!$E$51),0,IF(AND(Mitarbeiter!$F$51&lt;&gt;"",FL$5&gt;Mitarbeiter!$F$51),0,IF(Planung!FL53="",$C53,IF(ISNUMBER(Planung!FL53),Planung!FL53,IF(UPPER(Planung!FL53)="H",$C53/2,0)))))))</f>
        <v>0</v>
      </c>
      <c r="FM53" s="27">
        <f>IF($A53="",0,IF(Mitarbeiter!$G$51=FALSE,0,IF(AND(Mitarbeiter!$E$51&lt;&gt;"",FM$5+6&lt;Mitarbeiter!$E$51),0,IF(AND(Mitarbeiter!$F$51&lt;&gt;"",FM$5&gt;Mitarbeiter!$F$51),0,IF(Planung!FM53="",$C53,IF(ISNUMBER(Planung!FM53),Planung!FM53,IF(UPPER(Planung!FM53)="H",$C53/2,0)))))))</f>
        <v>0</v>
      </c>
      <c r="FN53" s="27">
        <f>IF($A53="",0,IF(Mitarbeiter!$G$51=FALSE,0,IF(AND(Mitarbeiter!$E$51&lt;&gt;"",FN$5+6&lt;Mitarbeiter!$E$51),0,IF(AND(Mitarbeiter!$F$51&lt;&gt;"",FN$5&gt;Mitarbeiter!$F$51),0,IF(Planung!FN53="",$C53,IF(ISNUMBER(Planung!FN53),Planung!FN53,IF(UPPER(Planung!FN53)="H",$C53/2,0)))))))</f>
        <v>0</v>
      </c>
      <c r="FO53" s="27">
        <f>IF($A53="",0,IF(Mitarbeiter!$G$51=FALSE,0,IF(AND(Mitarbeiter!$E$51&lt;&gt;"",FO$5+6&lt;Mitarbeiter!$E$51),0,IF(AND(Mitarbeiter!$F$51&lt;&gt;"",FO$5&gt;Mitarbeiter!$F$51),0,IF(Planung!FO53="",$C53,IF(ISNUMBER(Planung!FO53),Planung!FO53,IF(UPPER(Planung!FO53)="H",$C53/2,0)))))))</f>
        <v>0</v>
      </c>
      <c r="FP53" s="27">
        <f>IF($A53="",0,IF(Mitarbeiter!$G$51=FALSE,0,IF(AND(Mitarbeiter!$E$51&lt;&gt;"",FP$5+6&lt;Mitarbeiter!$E$51),0,IF(AND(Mitarbeiter!$F$51&lt;&gt;"",FP$5&gt;Mitarbeiter!$F$51),0,IF(Planung!FP53="",$C53,IF(ISNUMBER(Planung!FP53),Planung!FP53,IF(UPPER(Planung!FP53)="H",$C53/2,0)))))))</f>
        <v>0</v>
      </c>
      <c r="FQ53" s="27">
        <f>IF($A53="",0,IF(Mitarbeiter!$G$51=FALSE,0,IF(AND(Mitarbeiter!$E$51&lt;&gt;"",FQ$5+6&lt;Mitarbeiter!$E$51),0,IF(AND(Mitarbeiter!$F$51&lt;&gt;"",FQ$5&gt;Mitarbeiter!$F$51),0,IF(Planung!FQ53="",$C53,IF(ISNUMBER(Planung!FQ53),Planung!FQ53,IF(UPPER(Planung!FQ53)="H",$C53/2,0)))))))</f>
        <v>0</v>
      </c>
      <c r="FR53" s="27">
        <f>IF($A53="",0,IF(Mitarbeiter!$G$51=FALSE,0,IF(AND(Mitarbeiter!$E$51&lt;&gt;"",FR$5+6&lt;Mitarbeiter!$E$51),0,IF(AND(Mitarbeiter!$F$51&lt;&gt;"",FR$5&gt;Mitarbeiter!$F$51),0,IF(Planung!FR53="",$C53,IF(ISNUMBER(Planung!FR53),Planung!FR53,IF(UPPER(Planung!FR53)="H",$C53/2,0)))))))</f>
        <v>0</v>
      </c>
      <c r="FS53" s="27">
        <f>IF($A53="",0,IF(Mitarbeiter!$G$51=FALSE,0,IF(AND(Mitarbeiter!$E$51&lt;&gt;"",FS$5+6&lt;Mitarbeiter!$E$51),0,IF(AND(Mitarbeiter!$F$51&lt;&gt;"",FS$5&gt;Mitarbeiter!$F$51),0,IF(Planung!FS53="",$C53,IF(ISNUMBER(Planung!FS53),Planung!FS53,IF(UPPER(Planung!FS53)="H",$C53/2,0)))))))</f>
        <v>0</v>
      </c>
      <c r="FT53" s="27">
        <f>IF($A53="",0,IF(Mitarbeiter!$G$51=FALSE,0,IF(AND(Mitarbeiter!$E$51&lt;&gt;"",FT$5+6&lt;Mitarbeiter!$E$51),0,IF(AND(Mitarbeiter!$F$51&lt;&gt;"",FT$5&gt;Mitarbeiter!$F$51),0,IF(Planung!FT53="",$C53,IF(ISNUMBER(Planung!FT53),Planung!FT53,IF(UPPER(Planung!FT53)="H",$C53/2,0)))))))</f>
        <v>0</v>
      </c>
      <c r="FU53" s="27">
        <f>IF($A53="",0,IF(Mitarbeiter!$G$51=FALSE,0,IF(AND(Mitarbeiter!$E$51&lt;&gt;"",FU$5+6&lt;Mitarbeiter!$E$51),0,IF(AND(Mitarbeiter!$F$51&lt;&gt;"",FU$5&gt;Mitarbeiter!$F$51),0,IF(Planung!FU53="",$C53,IF(ISNUMBER(Planung!FU53),Planung!FU53,IF(UPPER(Planung!FU53)="H",$C53/2,0)))))))</f>
        <v>0</v>
      </c>
      <c r="FV53" s="27">
        <f>IF($A53="",0,IF(Mitarbeiter!$G$51=FALSE,0,IF(AND(Mitarbeiter!$E$51&lt;&gt;"",FV$5+6&lt;Mitarbeiter!$E$51),0,IF(AND(Mitarbeiter!$F$51&lt;&gt;"",FV$5&gt;Mitarbeiter!$F$51),0,IF(Planung!FV53="",$C53,IF(ISNUMBER(Planung!FV53),Planung!FV53,IF(UPPER(Planung!FV53)="H",$C53/2,0)))))))</f>
        <v>0</v>
      </c>
      <c r="FW53" s="27">
        <f>IF($A53="",0,IF(Mitarbeiter!$G$51=FALSE,0,IF(AND(Mitarbeiter!$E$51&lt;&gt;"",FW$5+6&lt;Mitarbeiter!$E$51),0,IF(AND(Mitarbeiter!$F$51&lt;&gt;"",FW$5&gt;Mitarbeiter!$F$51),0,IF(Planung!FW53="",$C53,IF(ISNUMBER(Planung!FW53),Planung!FW53,IF(UPPER(Planung!FW53)="H",$C53/2,0)))))))</f>
        <v>0</v>
      </c>
      <c r="FX53" s="27">
        <f>IF($A53="",0,IF(Mitarbeiter!$G$51=FALSE,0,IF(AND(Mitarbeiter!$E$51&lt;&gt;"",FX$5+6&lt;Mitarbeiter!$E$51),0,IF(AND(Mitarbeiter!$F$51&lt;&gt;"",FX$5&gt;Mitarbeiter!$F$51),0,IF(Planung!FX53="",$C53,IF(ISNUMBER(Planung!FX53),Planung!FX53,IF(UPPER(Planung!FX53)="H",$C53/2,0)))))))</f>
        <v>0</v>
      </c>
      <c r="FY53" s="27">
        <f>IF($A53="",0,IF(Mitarbeiter!$G$51=FALSE,0,IF(AND(Mitarbeiter!$E$51&lt;&gt;"",FY$5+6&lt;Mitarbeiter!$E$51),0,IF(AND(Mitarbeiter!$F$51&lt;&gt;"",FY$5&gt;Mitarbeiter!$F$51),0,IF(Planung!FY53="",$C53,IF(ISNUMBER(Planung!FY53),Planung!FY53,IF(UPPER(Planung!FY53)="H",$C53/2,0)))))))</f>
        <v>0</v>
      </c>
      <c r="FZ53" s="27">
        <f>IF($A53="",0,IF(Mitarbeiter!$G$51=FALSE,0,IF(AND(Mitarbeiter!$E$51&lt;&gt;"",FZ$5+6&lt;Mitarbeiter!$E$51),0,IF(AND(Mitarbeiter!$F$51&lt;&gt;"",FZ$5&gt;Mitarbeiter!$F$51),0,IF(Planung!FZ53="",$C53,IF(ISNUMBER(Planung!FZ53),Planung!FZ53,IF(UPPER(Planung!FZ53)="H",$C53/2,0)))))))</f>
        <v>0</v>
      </c>
      <c r="GA53" s="27">
        <f>IF($A53="",0,IF(Mitarbeiter!$G$51=FALSE,0,IF(AND(Mitarbeiter!$E$51&lt;&gt;"",GA$5+6&lt;Mitarbeiter!$E$51),0,IF(AND(Mitarbeiter!$F$51&lt;&gt;"",GA$5&gt;Mitarbeiter!$F$51),0,IF(Planung!GA53="",$C53,IF(ISNUMBER(Planung!GA53),Planung!GA53,IF(UPPER(Planung!GA53)="H",$C53/2,0)))))))</f>
        <v>0</v>
      </c>
      <c r="GB53" s="27">
        <f>IF($A53="",0,IF(Mitarbeiter!$G$51=FALSE,0,IF(AND(Mitarbeiter!$E$51&lt;&gt;"",GB$5+6&lt;Mitarbeiter!$E$51),0,IF(AND(Mitarbeiter!$F$51&lt;&gt;"",GB$5&gt;Mitarbeiter!$F$51),0,IF(Planung!GB53="",$C53,IF(ISNUMBER(Planung!GB53),Planung!GB53,IF(UPPER(Planung!GB53)="H",$C53/2,0)))))))</f>
        <v>0</v>
      </c>
      <c r="GC53" s="27">
        <f>IF($A53="",0,IF(Mitarbeiter!$G$51=FALSE,0,IF(AND(Mitarbeiter!$E$51&lt;&gt;"",GC$5+6&lt;Mitarbeiter!$E$51),0,IF(AND(Mitarbeiter!$F$51&lt;&gt;"",GC$5&gt;Mitarbeiter!$F$51),0,IF(Planung!GC53="",$C53,IF(ISNUMBER(Planung!GC53),Planung!GC53,IF(UPPER(Planung!GC53)="H",$C53/2,0)))))))</f>
        <v>0</v>
      </c>
      <c r="GD53" s="27">
        <f>IF($A53="",0,IF(Mitarbeiter!$G$51=FALSE,0,IF(AND(Mitarbeiter!$E$51&lt;&gt;"",GD$5+6&lt;Mitarbeiter!$E$51),0,IF(AND(Mitarbeiter!$F$51&lt;&gt;"",GD$5&gt;Mitarbeiter!$F$51),0,IF(Planung!GD53="",$C53,IF(ISNUMBER(Planung!GD53),Planung!GD53,IF(UPPER(Planung!GD53)="H",$C53/2,0)))))))</f>
        <v>0</v>
      </c>
      <c r="GE53" s="27">
        <f>IF($A53="",0,IF(Mitarbeiter!$G$51=FALSE,0,IF(AND(Mitarbeiter!$E$51&lt;&gt;"",GE$5+6&lt;Mitarbeiter!$E$51),0,IF(AND(Mitarbeiter!$F$51&lt;&gt;"",GE$5&gt;Mitarbeiter!$F$51),0,IF(Planung!GE53="",$C53,IF(ISNUMBER(Planung!GE53),Planung!GE53,IF(UPPER(Planung!GE53)="H",$C53/2,0)))))))</f>
        <v>0</v>
      </c>
      <c r="GF53" s="27">
        <f>IF($A53="",0,IF(Mitarbeiter!$G$51=FALSE,0,IF(AND(Mitarbeiter!$E$51&lt;&gt;"",GF$5+6&lt;Mitarbeiter!$E$51),0,IF(AND(Mitarbeiter!$F$51&lt;&gt;"",GF$5&gt;Mitarbeiter!$F$51),0,IF(Planung!GF53="",$C53,IF(ISNUMBER(Planung!GF53),Planung!GF53,IF(UPPER(Planung!GF53)="H",$C53/2,0)))))))</f>
        <v>0</v>
      </c>
      <c r="GG53" s="27">
        <f>IF($A53="",0,IF(Mitarbeiter!$G$51=FALSE,0,IF(AND(Mitarbeiter!$E$51&lt;&gt;"",GG$5+6&lt;Mitarbeiter!$E$51),0,IF(AND(Mitarbeiter!$F$51&lt;&gt;"",GG$5&gt;Mitarbeiter!$F$51),0,IF(Planung!GG53="",$C53,IF(ISNUMBER(Planung!GG53),Planung!GG53,IF(UPPER(Planung!GG53)="H",$C53/2,0)))))))</f>
        <v>0</v>
      </c>
      <c r="GH53" s="27">
        <f>IF($A53="",0,IF(Mitarbeiter!$G$51=FALSE,0,IF(AND(Mitarbeiter!$E$51&lt;&gt;"",GH$5+6&lt;Mitarbeiter!$E$51),0,IF(AND(Mitarbeiter!$F$51&lt;&gt;"",GH$5&gt;Mitarbeiter!$F$51),0,IF(Planung!GH53="",$C53,IF(ISNUMBER(Planung!GH53),Planung!GH53,IF(UPPER(Planung!GH53)="H",$C53/2,0)))))))</f>
        <v>0</v>
      </c>
      <c r="GI53" s="27">
        <f>IF($A53="",0,IF(Mitarbeiter!$G$51=FALSE,0,IF(AND(Mitarbeiter!$E$51&lt;&gt;"",GI$5+6&lt;Mitarbeiter!$E$51),0,IF(AND(Mitarbeiter!$F$51&lt;&gt;"",GI$5&gt;Mitarbeiter!$F$51),0,IF(Planung!GI53="",$C53,IF(ISNUMBER(Planung!GI53),Planung!GI53,IF(UPPER(Planung!GI53)="H",$C53/2,0)))))))</f>
        <v>0</v>
      </c>
      <c r="GJ53" s="27">
        <f>IF($A53="",0,IF(Mitarbeiter!$G$51=FALSE,0,IF(AND(Mitarbeiter!$E$51&lt;&gt;"",GJ$5+6&lt;Mitarbeiter!$E$51),0,IF(AND(Mitarbeiter!$F$51&lt;&gt;"",GJ$5&gt;Mitarbeiter!$F$51),0,IF(Planung!GJ53="",$C53,IF(ISNUMBER(Planung!GJ53),Planung!GJ53,IF(UPPER(Planung!GJ53)="H",$C53/2,0)))))))</f>
        <v>0</v>
      </c>
      <c r="GK53" s="27">
        <f>IF($A53="",0,IF(Mitarbeiter!$G$51=FALSE,0,IF(AND(Mitarbeiter!$E$51&lt;&gt;"",GK$5+6&lt;Mitarbeiter!$E$51),0,IF(AND(Mitarbeiter!$F$51&lt;&gt;"",GK$5&gt;Mitarbeiter!$F$51),0,IF(Planung!GK53="",$C53,IF(ISNUMBER(Planung!GK53),Planung!GK53,IF(UPPER(Planung!GK53)="H",$C53/2,0)))))))</f>
        <v>0</v>
      </c>
      <c r="GL53" s="27">
        <f>IF($A53="",0,IF(Mitarbeiter!$G$51=FALSE,0,IF(AND(Mitarbeiter!$E$51&lt;&gt;"",GL$5+6&lt;Mitarbeiter!$E$51),0,IF(AND(Mitarbeiter!$F$51&lt;&gt;"",GL$5&gt;Mitarbeiter!$F$51),0,IF(Planung!GL53="",$C53,IF(ISNUMBER(Planung!GL53),Planung!GL53,IF(UPPER(Planung!GL53)="H",$C53/2,0)))))))</f>
        <v>0</v>
      </c>
      <c r="GM53" s="27">
        <f>IF($A53="",0,IF(Mitarbeiter!$G$51=FALSE,0,IF(AND(Mitarbeiter!$E$51&lt;&gt;"",GM$5+6&lt;Mitarbeiter!$E$51),0,IF(AND(Mitarbeiter!$F$51&lt;&gt;"",GM$5&gt;Mitarbeiter!$F$51),0,IF(Planung!GM53="",$C53,IF(ISNUMBER(Planung!GM53),Planung!GM53,IF(UPPER(Planung!GM53)="H",$C53/2,0)))))))</f>
        <v>0</v>
      </c>
      <c r="GN53" s="27">
        <f>IF($A53="",0,IF(Mitarbeiter!$G$51=FALSE,0,IF(AND(Mitarbeiter!$E$51&lt;&gt;"",GN$5+6&lt;Mitarbeiter!$E$51),0,IF(AND(Mitarbeiter!$F$51&lt;&gt;"",GN$5&gt;Mitarbeiter!$F$51),0,IF(Planung!GN53="",$C53,IF(ISNUMBER(Planung!GN53),Planung!GN53,IF(UPPER(Planung!GN53)="H",$C53/2,0)))))))</f>
        <v>0</v>
      </c>
      <c r="GO53" s="27">
        <f>IF($A53="",0,IF(Mitarbeiter!$G$51=FALSE,0,IF(AND(Mitarbeiter!$E$51&lt;&gt;"",GO$5+6&lt;Mitarbeiter!$E$51),0,IF(AND(Mitarbeiter!$F$51&lt;&gt;"",GO$5&gt;Mitarbeiter!$F$51),0,IF(Planung!GO53="",$C53,IF(ISNUMBER(Planung!GO53),Planung!GO53,IF(UPPER(Planung!GO53)="H",$C53/2,0)))))))</f>
        <v>0</v>
      </c>
      <c r="GP53" s="27">
        <f>IF($A53="",0,IF(Mitarbeiter!$G$51=FALSE,0,IF(AND(Mitarbeiter!$E$51&lt;&gt;"",GP$5+6&lt;Mitarbeiter!$E$51),0,IF(AND(Mitarbeiter!$F$51&lt;&gt;"",GP$5&gt;Mitarbeiter!$F$51),0,IF(Planung!GP53="",$C53,IF(ISNUMBER(Planung!GP53),Planung!GP53,IF(UPPER(Planung!GP53)="H",$C53/2,0)))))))</f>
        <v>0</v>
      </c>
      <c r="GQ53" s="27">
        <f>IF($A53="",0,IF(Mitarbeiter!$G$51=FALSE,0,IF(AND(Mitarbeiter!$E$51&lt;&gt;"",GQ$5+6&lt;Mitarbeiter!$E$51),0,IF(AND(Mitarbeiter!$F$51&lt;&gt;"",GQ$5&gt;Mitarbeiter!$F$51),0,IF(Planung!GQ53="",$C53,IF(ISNUMBER(Planung!GQ53),Planung!GQ53,IF(UPPER(Planung!GQ53)="H",$C53/2,0)))))))</f>
        <v>0</v>
      </c>
      <c r="GR53" s="27">
        <f>IF($A53="",0,IF(Mitarbeiter!$G$51=FALSE,0,IF(AND(Mitarbeiter!$E$51&lt;&gt;"",GR$5+6&lt;Mitarbeiter!$E$51),0,IF(AND(Mitarbeiter!$F$51&lt;&gt;"",GR$5&gt;Mitarbeiter!$F$51),0,IF(Planung!GR53="",$C53,IF(ISNUMBER(Planung!GR53),Planung!GR53,IF(UPPER(Planung!GR53)="H",$C53/2,0)))))))</f>
        <v>0</v>
      </c>
      <c r="GS53" s="27">
        <f>IF($A53="",0,IF(Mitarbeiter!$G$51=FALSE,0,IF(AND(Mitarbeiter!$E$51&lt;&gt;"",GS$5+6&lt;Mitarbeiter!$E$51),0,IF(AND(Mitarbeiter!$F$51&lt;&gt;"",GS$5&gt;Mitarbeiter!$F$51),0,IF(Planung!GS53="",$C53,IF(ISNUMBER(Planung!GS53),Planung!GS53,IF(UPPER(Planung!GS53)="H",$C53/2,0)))))))</f>
        <v>0</v>
      </c>
      <c r="GT53" s="27">
        <f>IF($A53="",0,IF(Mitarbeiter!$G$51=FALSE,0,IF(AND(Mitarbeiter!$E$51&lt;&gt;"",GT$5+6&lt;Mitarbeiter!$E$51),0,IF(AND(Mitarbeiter!$F$51&lt;&gt;"",GT$5&gt;Mitarbeiter!$F$51),0,IF(Planung!GT53="",$C53,IF(ISNUMBER(Planung!GT53),Planung!GT53,IF(UPPER(Planung!GT53)="H",$C53/2,0)))))))</f>
        <v>0</v>
      </c>
      <c r="GU53" s="27">
        <f>IF($A53="",0,IF(Mitarbeiter!$G$51=FALSE,0,IF(AND(Mitarbeiter!$E$51&lt;&gt;"",GU$5+6&lt;Mitarbeiter!$E$51),0,IF(AND(Mitarbeiter!$F$51&lt;&gt;"",GU$5&gt;Mitarbeiter!$F$51),0,IF(Planung!GU53="",$C53,IF(ISNUMBER(Planung!GU53),Planung!GU53,IF(UPPER(Planung!GU53)="H",$C53/2,0)))))))</f>
        <v>0</v>
      </c>
      <c r="GV53" s="27">
        <f>IF($A53="",0,IF(Mitarbeiter!$G$51=FALSE,0,IF(AND(Mitarbeiter!$E$51&lt;&gt;"",GV$5+6&lt;Mitarbeiter!$E$51),0,IF(AND(Mitarbeiter!$F$51&lt;&gt;"",GV$5&gt;Mitarbeiter!$F$51),0,IF(Planung!GV53="",$C53,IF(ISNUMBER(Planung!GV53),Planung!GV53,IF(UPPER(Planung!GV53)="H",$C53/2,0)))))))</f>
        <v>0</v>
      </c>
      <c r="GW53" s="27">
        <f>IF($A53="",0,IF(Mitarbeiter!$G$51=FALSE,0,IF(AND(Mitarbeiter!$E$51&lt;&gt;"",GW$5+6&lt;Mitarbeiter!$E$51),0,IF(AND(Mitarbeiter!$F$51&lt;&gt;"",GW$5&gt;Mitarbeiter!$F$51),0,IF(Planung!GW53="",$C53,IF(ISNUMBER(Planung!GW53),Planung!GW53,IF(UPPER(Planung!GW53)="H",$C53/2,0)))))))</f>
        <v>0</v>
      </c>
      <c r="GX53" s="27">
        <f>IF($A53="",0,IF(Mitarbeiter!$G$51=FALSE,0,IF(AND(Mitarbeiter!$E$51&lt;&gt;"",GX$5+6&lt;Mitarbeiter!$E$51),0,IF(AND(Mitarbeiter!$F$51&lt;&gt;"",GX$5&gt;Mitarbeiter!$F$51),0,IF(Planung!GX53="",$C53,IF(ISNUMBER(Planung!GX53),Planung!GX53,IF(UPPER(Planung!GX53)="H",$C53/2,0)))))))</f>
        <v>0</v>
      </c>
      <c r="GY53" s="27">
        <f>IF($A53="",0,IF(Mitarbeiter!$G$51=FALSE,0,IF(AND(Mitarbeiter!$E$51&lt;&gt;"",GY$5+6&lt;Mitarbeiter!$E$51),0,IF(AND(Mitarbeiter!$F$51&lt;&gt;"",GY$5&gt;Mitarbeiter!$F$51),0,IF(Planung!GY53="",$C53,IF(ISNUMBER(Planung!GY53),Planung!GY53,IF(UPPER(Planung!GY53)="H",$C53/2,0)))))))</f>
        <v>0</v>
      </c>
      <c r="GZ53" s="27">
        <f>IF($A53="",0,IF(Mitarbeiter!$G$51=FALSE,0,IF(AND(Mitarbeiter!$E$51&lt;&gt;"",GZ$5+6&lt;Mitarbeiter!$E$51),0,IF(AND(Mitarbeiter!$F$51&lt;&gt;"",GZ$5&gt;Mitarbeiter!$F$51),0,IF(Planung!GZ53="",$C53,IF(ISNUMBER(Planung!GZ53),Planung!GZ53,IF(UPPER(Planung!GZ53)="H",$C53/2,0)))))))</f>
        <v>0</v>
      </c>
      <c r="HA53" s="27">
        <f>IF($A53="",0,IF(Mitarbeiter!$G$51=FALSE,0,IF(AND(Mitarbeiter!$E$51&lt;&gt;"",HA$5+6&lt;Mitarbeiter!$E$51),0,IF(AND(Mitarbeiter!$F$51&lt;&gt;"",HA$5&gt;Mitarbeiter!$F$51),0,IF(Planung!HA53="",$C53,IF(ISNUMBER(Planung!HA53),Planung!HA53,IF(UPPER(Planung!HA53)="H",$C53/2,0)))))))</f>
        <v>0</v>
      </c>
      <c r="HB53" s="27">
        <f>IF($A53="",0,IF(Mitarbeiter!$G$51=FALSE,0,IF(AND(Mitarbeiter!$E$51&lt;&gt;"",HB$5+6&lt;Mitarbeiter!$E$51),0,IF(AND(Mitarbeiter!$F$51&lt;&gt;"",HB$5&gt;Mitarbeiter!$F$51),0,IF(Planung!HB53="",$C53,IF(ISNUMBER(Planung!HB53),Planung!HB53,IF(UPPER(Planung!HB53)="H",$C53/2,0)))))))</f>
        <v>0</v>
      </c>
      <c r="HC53" s="27">
        <f>IF($A53="",0,IF(Mitarbeiter!$G$51=FALSE,0,IF(AND(Mitarbeiter!$E$51&lt;&gt;"",HC$5+6&lt;Mitarbeiter!$E$51),0,IF(AND(Mitarbeiter!$F$51&lt;&gt;"",HC$5&gt;Mitarbeiter!$F$51),0,IF(Planung!HC53="",$C53,IF(ISNUMBER(Planung!HC53),Planung!HC53,IF(UPPER(Planung!HC53)="H",$C53/2,0)))))))</f>
        <v>0</v>
      </c>
      <c r="HD53" s="27">
        <f>IF($A53="",0,IF(Mitarbeiter!$G$51=FALSE,0,IF(AND(Mitarbeiter!$E$51&lt;&gt;"",HD$5+6&lt;Mitarbeiter!$E$51),0,IF(AND(Mitarbeiter!$F$51&lt;&gt;"",HD$5&gt;Mitarbeiter!$F$51),0,IF(Planung!HD53="",$C53,IF(ISNUMBER(Planung!HD53),Planung!HD53,IF(UPPER(Planung!HD53)="H",$C53/2,0)))))))</f>
        <v>0</v>
      </c>
      <c r="HE53" s="27">
        <f>IF($A53="",0,IF(Mitarbeiter!$G$51=FALSE,0,IF(AND(Mitarbeiter!$E$51&lt;&gt;"",HE$5+6&lt;Mitarbeiter!$E$51),0,IF(AND(Mitarbeiter!$F$51&lt;&gt;"",HE$5&gt;Mitarbeiter!$F$51),0,IF(Planung!HE53="",$C53,IF(ISNUMBER(Planung!HE53),Planung!HE53,IF(UPPER(Planung!HE53)="H",$C53/2,0)))))))</f>
        <v>0</v>
      </c>
      <c r="HF53" s="27">
        <f>IF($A53="",0,IF(Mitarbeiter!$G$51=FALSE,0,IF(AND(Mitarbeiter!$E$51&lt;&gt;"",HF$5+6&lt;Mitarbeiter!$E$51),0,IF(AND(Mitarbeiter!$F$51&lt;&gt;"",HF$5&gt;Mitarbeiter!$F$51),0,IF(Planung!HF53="",$C53,IF(ISNUMBER(Planung!HF53),Planung!HF53,IF(UPPER(Planung!HF53)="H",$C53/2,0)))))))</f>
        <v>0</v>
      </c>
      <c r="HG53" s="27">
        <f>IF($A53="",0,IF(Mitarbeiter!$G$51=FALSE,0,IF(AND(Mitarbeiter!$E$51&lt;&gt;"",HG$5+6&lt;Mitarbeiter!$E$51),0,IF(AND(Mitarbeiter!$F$51&lt;&gt;"",HG$5&gt;Mitarbeiter!$F$51),0,IF(Planung!HG53="",$C53,IF(ISNUMBER(Planung!HG53),Planung!HG53,IF(UPPER(Planung!HG53)="H",$C53/2,0)))))))</f>
        <v>0</v>
      </c>
      <c r="HH53" s="27">
        <f>IF($A53="",0,IF(Mitarbeiter!$G$51=FALSE,0,IF(AND(Mitarbeiter!$E$51&lt;&gt;"",HH$5+6&lt;Mitarbeiter!$E$51),0,IF(AND(Mitarbeiter!$F$51&lt;&gt;"",HH$5&gt;Mitarbeiter!$F$51),0,IF(Planung!HH53="",$C53,IF(ISNUMBER(Planung!HH53),Planung!HH53,IF(UPPER(Planung!HH53)="H",$C53/2,0)))))))</f>
        <v>0</v>
      </c>
      <c r="HI53" s="27">
        <f>IF($A53="",0,IF(Mitarbeiter!$G$51=FALSE,0,IF(AND(Mitarbeiter!$E$51&lt;&gt;"",HI$5+6&lt;Mitarbeiter!$E$51),0,IF(AND(Mitarbeiter!$F$51&lt;&gt;"",HI$5&gt;Mitarbeiter!$F$51),0,IF(Planung!HI53="",$C53,IF(ISNUMBER(Planung!HI53),Planung!HI53,IF(UPPER(Planung!HI53)="H",$C53/2,0)))))))</f>
        <v>0</v>
      </c>
      <c r="HJ53" s="27">
        <f>IF($A53="",0,IF(Mitarbeiter!$G$51=FALSE,0,IF(AND(Mitarbeiter!$E$51&lt;&gt;"",HJ$5+6&lt;Mitarbeiter!$E$51),0,IF(AND(Mitarbeiter!$F$51&lt;&gt;"",HJ$5&gt;Mitarbeiter!$F$51),0,IF(Planung!HJ53="",$C53,IF(ISNUMBER(Planung!HJ53),Planung!HJ53,IF(UPPER(Planung!HJ53)="H",$C53/2,0)))))))</f>
        <v>0</v>
      </c>
      <c r="HK53" s="27">
        <f>IF($A53="",0,IF(Mitarbeiter!$G$51=FALSE,0,IF(AND(Mitarbeiter!$E$51&lt;&gt;"",HK$5+6&lt;Mitarbeiter!$E$51),0,IF(AND(Mitarbeiter!$F$51&lt;&gt;"",HK$5&gt;Mitarbeiter!$F$51),0,IF(Planung!HK53="",$C53,IF(ISNUMBER(Planung!HK53),Planung!HK53,IF(UPPER(Planung!HK53)="H",$C53/2,0)))))))</f>
        <v>0</v>
      </c>
      <c r="HL53" s="27">
        <f>IF($A53="",0,IF(Mitarbeiter!$G$51=FALSE,0,IF(AND(Mitarbeiter!$E$51&lt;&gt;"",HL$5+6&lt;Mitarbeiter!$E$51),0,IF(AND(Mitarbeiter!$F$51&lt;&gt;"",HL$5&gt;Mitarbeiter!$F$51),0,IF(Planung!HL53="",$C53,IF(ISNUMBER(Planung!HL53),Planung!HL53,IF(UPPER(Planung!HL53)="H",$C53/2,0)))))))</f>
        <v>0</v>
      </c>
      <c r="HM53" s="27">
        <f>IF($A53="",0,IF(Mitarbeiter!$G$51=FALSE,0,IF(AND(Mitarbeiter!$E$51&lt;&gt;"",HM$5+6&lt;Mitarbeiter!$E$51),0,IF(AND(Mitarbeiter!$F$51&lt;&gt;"",HM$5&gt;Mitarbeiter!$F$51),0,IF(Planung!HM53="",$C53,IF(ISNUMBER(Planung!HM53),Planung!HM53,IF(UPPER(Planung!HM53)="H",$C53/2,0)))))))</f>
        <v>0</v>
      </c>
      <c r="HN53" s="27">
        <f>IF($A53="",0,IF(Mitarbeiter!$G$51=FALSE,0,IF(AND(Mitarbeiter!$E$51&lt;&gt;"",HN$5+6&lt;Mitarbeiter!$E$51),0,IF(AND(Mitarbeiter!$F$51&lt;&gt;"",HN$5&gt;Mitarbeiter!$F$51),0,IF(Planung!HN53="",$C53,IF(ISNUMBER(Planung!HN53),Planung!HN53,IF(UPPER(Planung!HN53)="H",$C53/2,0)))))))</f>
        <v>0</v>
      </c>
      <c r="HO53" s="27">
        <f>IF($A53="",0,IF(Mitarbeiter!$G$51=FALSE,0,IF(AND(Mitarbeiter!$E$51&lt;&gt;"",HO$5+6&lt;Mitarbeiter!$E$51),0,IF(AND(Mitarbeiter!$F$51&lt;&gt;"",HO$5&gt;Mitarbeiter!$F$51),0,IF(Planung!HO53="",$C53,IF(ISNUMBER(Planung!HO53),Planung!HO53,IF(UPPER(Planung!HO53)="H",$C53/2,0)))))))</f>
        <v>0</v>
      </c>
      <c r="HP53" s="27">
        <f>IF($A53="",0,IF(Mitarbeiter!$G$51=FALSE,0,IF(AND(Mitarbeiter!$E$51&lt;&gt;"",HP$5+6&lt;Mitarbeiter!$E$51),0,IF(AND(Mitarbeiter!$F$51&lt;&gt;"",HP$5&gt;Mitarbeiter!$F$51),0,IF(Planung!HP53="",$C53,IF(ISNUMBER(Planung!HP53),Planung!HP53,IF(UPPER(Planung!HP53)="H",$C53/2,0)))))))</f>
        <v>0</v>
      </c>
      <c r="HQ53" s="27">
        <f>IF($A53="",0,IF(Mitarbeiter!$G$51=FALSE,0,IF(AND(Mitarbeiter!$E$51&lt;&gt;"",HQ$5+6&lt;Mitarbeiter!$E$51),0,IF(AND(Mitarbeiter!$F$51&lt;&gt;"",HQ$5&gt;Mitarbeiter!$F$51),0,IF(Planung!HQ53="",$C53,IF(ISNUMBER(Planung!HQ53),Planung!HQ53,IF(UPPER(Planung!HQ53)="H",$C53/2,0)))))))</f>
        <v>0</v>
      </c>
      <c r="HR53" s="27">
        <f>IF($A53="",0,IF(Mitarbeiter!$G$51=FALSE,0,IF(AND(Mitarbeiter!$E$51&lt;&gt;"",HR$5+6&lt;Mitarbeiter!$E$51),0,IF(AND(Mitarbeiter!$F$51&lt;&gt;"",HR$5&gt;Mitarbeiter!$F$51),0,IF(Planung!HR53="",$C53,IF(ISNUMBER(Planung!HR53),Planung!HR53,IF(UPPER(Planung!HR53)="H",$C53/2,0)))))))</f>
        <v>0</v>
      </c>
      <c r="HS53" s="27">
        <f>IF($A53="",0,IF(Mitarbeiter!$G$51=FALSE,0,IF(AND(Mitarbeiter!$E$51&lt;&gt;"",HS$5+6&lt;Mitarbeiter!$E$51),0,IF(AND(Mitarbeiter!$F$51&lt;&gt;"",HS$5&gt;Mitarbeiter!$F$51),0,IF(Planung!HS53="",$C53,IF(ISNUMBER(Planung!HS53),Planung!HS53,IF(UPPER(Planung!HS53)="H",$C53/2,0)))))))</f>
        <v>0</v>
      </c>
      <c r="HT53" s="27">
        <f>IF($A53="",0,IF(Mitarbeiter!$G$51=FALSE,0,IF(AND(Mitarbeiter!$E$51&lt;&gt;"",HT$5+6&lt;Mitarbeiter!$E$51),0,IF(AND(Mitarbeiter!$F$51&lt;&gt;"",HT$5&gt;Mitarbeiter!$F$51),0,IF(Planung!HT53="",$C53,IF(ISNUMBER(Planung!HT53),Planung!HT53,IF(UPPER(Planung!HT53)="H",$C53/2,0)))))))</f>
        <v>0</v>
      </c>
      <c r="HU53" s="27">
        <f>IF($A53="",0,IF(Mitarbeiter!$G$51=FALSE,0,IF(AND(Mitarbeiter!$E$51&lt;&gt;"",HU$5+6&lt;Mitarbeiter!$E$51),0,IF(AND(Mitarbeiter!$F$51&lt;&gt;"",HU$5&gt;Mitarbeiter!$F$51),0,IF(Planung!HU53="",$C53,IF(ISNUMBER(Planung!HU53),Planung!HU53,IF(UPPER(Planung!HU53)="H",$C53/2,0)))))))</f>
        <v>0</v>
      </c>
      <c r="HV53" s="27">
        <f>IF($A53="",0,IF(Mitarbeiter!$G$51=FALSE,0,IF(AND(Mitarbeiter!$E$51&lt;&gt;"",HV$5+6&lt;Mitarbeiter!$E$51),0,IF(AND(Mitarbeiter!$F$51&lt;&gt;"",HV$5&gt;Mitarbeiter!$F$51),0,IF(Planung!HV53="",$C53,IF(ISNUMBER(Planung!HV53),Planung!HV53,IF(UPPER(Planung!HV53)="H",$C53/2,0)))))))</f>
        <v>0</v>
      </c>
      <c r="HW53" s="27">
        <f>IF($A53="",0,IF(Mitarbeiter!$G$51=FALSE,0,IF(AND(Mitarbeiter!$E$51&lt;&gt;"",HW$5+6&lt;Mitarbeiter!$E$51),0,IF(AND(Mitarbeiter!$F$51&lt;&gt;"",HW$5&gt;Mitarbeiter!$F$51),0,IF(Planung!HW53="",$C53,IF(ISNUMBER(Planung!HW53),Planung!HW53,IF(UPPER(Planung!HW53)="H",$C53/2,0)))))))</f>
        <v>0</v>
      </c>
      <c r="HX53" s="27">
        <f>IF($A53="",0,IF(Mitarbeiter!$G$51=FALSE,0,IF(AND(Mitarbeiter!$E$51&lt;&gt;"",HX$5+6&lt;Mitarbeiter!$E$51),0,IF(AND(Mitarbeiter!$F$51&lt;&gt;"",HX$5&gt;Mitarbeiter!$F$51),0,IF(Planung!HX53="",$C53,IF(ISNUMBER(Planung!HX53),Planung!HX53,IF(UPPER(Planung!HX53)="H",$C53/2,0)))))))</f>
        <v>0</v>
      </c>
      <c r="HY53" s="27">
        <f>IF($A53="",0,IF(Mitarbeiter!$G$51=FALSE,0,IF(AND(Mitarbeiter!$E$51&lt;&gt;"",HY$5+6&lt;Mitarbeiter!$E$51),0,IF(AND(Mitarbeiter!$F$51&lt;&gt;"",HY$5&gt;Mitarbeiter!$F$51),0,IF(Planung!HY53="",$C53,IF(ISNUMBER(Planung!HY53),Planung!HY53,IF(UPPER(Planung!HY53)="H",$C53/2,0)))))))</f>
        <v>0</v>
      </c>
      <c r="HZ53" s="27">
        <f>IF($A53="",0,IF(Mitarbeiter!$G$51=FALSE,0,IF(AND(Mitarbeiter!$E$51&lt;&gt;"",HZ$5+6&lt;Mitarbeiter!$E$51),0,IF(AND(Mitarbeiter!$F$51&lt;&gt;"",HZ$5&gt;Mitarbeiter!$F$51),0,IF(Planung!HZ53="",$C53,IF(ISNUMBER(Planung!HZ53),Planung!HZ53,IF(UPPER(Planung!HZ53)="H",$C53/2,0)))))))</f>
        <v>0</v>
      </c>
      <c r="IA53" s="27">
        <f>IF($A53="",0,IF(Mitarbeiter!$G$51=FALSE,0,IF(AND(Mitarbeiter!$E$51&lt;&gt;"",IA$5+6&lt;Mitarbeiter!$E$51),0,IF(AND(Mitarbeiter!$F$51&lt;&gt;"",IA$5&gt;Mitarbeiter!$F$51),0,IF(Planung!IA53="",$C53,IF(ISNUMBER(Planung!IA53),Planung!IA53,IF(UPPER(Planung!IA53)="H",$C53/2,0)))))))</f>
        <v>0</v>
      </c>
    </row>
    <row r="54" spans="1:235" x14ac:dyDescent="0.25">
      <c r="A54" s="7" t="str">
        <f>Planung!A54</f>
        <v/>
      </c>
      <c r="B54" s="7" t="str">
        <f>Planung!B54</f>
        <v/>
      </c>
      <c r="C54" s="27">
        <f>N(Mitarbeiter!$D$52)</f>
        <v>0</v>
      </c>
      <c r="D54" s="27">
        <f>IF($A54="",0,IF(Mitarbeiter!$G$52=FALSE,0,IF(AND(Mitarbeiter!$E$52&lt;&gt;"",D$5+6&lt;Mitarbeiter!$E$52),0,IF(AND(Mitarbeiter!$F$52&lt;&gt;"",D$5&gt;Mitarbeiter!$F$52),0,IF(Planung!D54="",$C54,IF(ISNUMBER(Planung!D54),Planung!D54,IF(UPPER(Planung!D54)="H",$C54/2,0)))))))</f>
        <v>0</v>
      </c>
      <c r="E54" s="27">
        <f>IF($A54="",0,IF(Mitarbeiter!$G$52=FALSE,0,IF(AND(Mitarbeiter!$E$52&lt;&gt;"",E$5+6&lt;Mitarbeiter!$E$52),0,IF(AND(Mitarbeiter!$F$52&lt;&gt;"",E$5&gt;Mitarbeiter!$F$52),0,IF(Planung!E54="",$C54,IF(ISNUMBER(Planung!E54),Planung!E54,IF(UPPER(Planung!E54)="H",$C54/2,0)))))))</f>
        <v>0</v>
      </c>
      <c r="F54" s="27">
        <f>IF($A54="",0,IF(Mitarbeiter!$G$52=FALSE,0,IF(AND(Mitarbeiter!$E$52&lt;&gt;"",F$5+6&lt;Mitarbeiter!$E$52),0,IF(AND(Mitarbeiter!$F$52&lt;&gt;"",F$5&gt;Mitarbeiter!$F$52),0,IF(Planung!F54="",$C54,IF(ISNUMBER(Planung!F54),Planung!F54,IF(UPPER(Planung!F54)="H",$C54/2,0)))))))</f>
        <v>0</v>
      </c>
      <c r="G54" s="27">
        <f>IF($A54="",0,IF(Mitarbeiter!$G$52=FALSE,0,IF(AND(Mitarbeiter!$E$52&lt;&gt;"",G$5+6&lt;Mitarbeiter!$E$52),0,IF(AND(Mitarbeiter!$F$52&lt;&gt;"",G$5&gt;Mitarbeiter!$F$52),0,IF(Planung!G54="",$C54,IF(ISNUMBER(Planung!G54),Planung!G54,IF(UPPER(Planung!G54)="H",$C54/2,0)))))))</f>
        <v>0</v>
      </c>
      <c r="H54" s="27">
        <f>IF($A54="",0,IF(Mitarbeiter!$G$52=FALSE,0,IF(AND(Mitarbeiter!$E$52&lt;&gt;"",H$5+6&lt;Mitarbeiter!$E$52),0,IF(AND(Mitarbeiter!$F$52&lt;&gt;"",H$5&gt;Mitarbeiter!$F$52),0,IF(Planung!H54="",$C54,IF(ISNUMBER(Planung!H54),Planung!H54,IF(UPPER(Planung!H54)="H",$C54/2,0)))))))</f>
        <v>0</v>
      </c>
      <c r="I54" s="27">
        <f>IF($A54="",0,IF(Mitarbeiter!$G$52=FALSE,0,IF(AND(Mitarbeiter!$E$52&lt;&gt;"",I$5+6&lt;Mitarbeiter!$E$52),0,IF(AND(Mitarbeiter!$F$52&lt;&gt;"",I$5&gt;Mitarbeiter!$F$52),0,IF(Planung!I54="",$C54,IF(ISNUMBER(Planung!I54),Planung!I54,IF(UPPER(Planung!I54)="H",$C54/2,0)))))))</f>
        <v>0</v>
      </c>
      <c r="J54" s="27">
        <f>IF($A54="",0,IF(Mitarbeiter!$G$52=FALSE,0,IF(AND(Mitarbeiter!$E$52&lt;&gt;"",J$5+6&lt;Mitarbeiter!$E$52),0,IF(AND(Mitarbeiter!$F$52&lt;&gt;"",J$5&gt;Mitarbeiter!$F$52),0,IF(Planung!J54="",$C54,IF(ISNUMBER(Planung!J54),Planung!J54,IF(UPPER(Planung!J54)="H",$C54/2,0)))))))</f>
        <v>0</v>
      </c>
      <c r="K54" s="27">
        <f>IF($A54="",0,IF(Mitarbeiter!$G$52=FALSE,0,IF(AND(Mitarbeiter!$E$52&lt;&gt;"",K$5+6&lt;Mitarbeiter!$E$52),0,IF(AND(Mitarbeiter!$F$52&lt;&gt;"",K$5&gt;Mitarbeiter!$F$52),0,IF(Planung!K54="",$C54,IF(ISNUMBER(Planung!K54),Planung!K54,IF(UPPER(Planung!K54)="H",$C54/2,0)))))))</f>
        <v>0</v>
      </c>
      <c r="L54" s="27">
        <f>IF($A54="",0,IF(Mitarbeiter!$G$52=FALSE,0,IF(AND(Mitarbeiter!$E$52&lt;&gt;"",L$5+6&lt;Mitarbeiter!$E$52),0,IF(AND(Mitarbeiter!$F$52&lt;&gt;"",L$5&gt;Mitarbeiter!$F$52),0,IF(Planung!L54="",$C54,IF(ISNUMBER(Planung!L54),Planung!L54,IF(UPPER(Planung!L54)="H",$C54/2,0)))))))</f>
        <v>0</v>
      </c>
      <c r="M54" s="27">
        <f>IF($A54="",0,IF(Mitarbeiter!$G$52=FALSE,0,IF(AND(Mitarbeiter!$E$52&lt;&gt;"",M$5+6&lt;Mitarbeiter!$E$52),0,IF(AND(Mitarbeiter!$F$52&lt;&gt;"",M$5&gt;Mitarbeiter!$F$52),0,IF(Planung!M54="",$C54,IF(ISNUMBER(Planung!M54),Planung!M54,IF(UPPER(Planung!M54)="H",$C54/2,0)))))))</f>
        <v>0</v>
      </c>
      <c r="N54" s="27">
        <f>IF($A54="",0,IF(Mitarbeiter!$G$52=FALSE,0,IF(AND(Mitarbeiter!$E$52&lt;&gt;"",N$5+6&lt;Mitarbeiter!$E$52),0,IF(AND(Mitarbeiter!$F$52&lt;&gt;"",N$5&gt;Mitarbeiter!$F$52),0,IF(Planung!N54="",$C54,IF(ISNUMBER(Planung!N54),Planung!N54,IF(UPPER(Planung!N54)="H",$C54/2,0)))))))</f>
        <v>0</v>
      </c>
      <c r="O54" s="27">
        <f>IF($A54="",0,IF(Mitarbeiter!$G$52=FALSE,0,IF(AND(Mitarbeiter!$E$52&lt;&gt;"",O$5+6&lt;Mitarbeiter!$E$52),0,IF(AND(Mitarbeiter!$F$52&lt;&gt;"",O$5&gt;Mitarbeiter!$F$52),0,IF(Planung!O54="",$C54,IF(ISNUMBER(Planung!O54),Planung!O54,IF(UPPER(Planung!O54)="H",$C54/2,0)))))))</f>
        <v>0</v>
      </c>
      <c r="P54" s="27">
        <f>IF($A54="",0,IF(Mitarbeiter!$G$52=FALSE,0,IF(AND(Mitarbeiter!$E$52&lt;&gt;"",P$5+6&lt;Mitarbeiter!$E$52),0,IF(AND(Mitarbeiter!$F$52&lt;&gt;"",P$5&gt;Mitarbeiter!$F$52),0,IF(Planung!P54="",$C54,IF(ISNUMBER(Planung!P54),Planung!P54,IF(UPPER(Planung!P54)="H",$C54/2,0)))))))</f>
        <v>0</v>
      </c>
      <c r="Q54" s="27">
        <f>IF($A54="",0,IF(Mitarbeiter!$G$52=FALSE,0,IF(AND(Mitarbeiter!$E$52&lt;&gt;"",Q$5+6&lt;Mitarbeiter!$E$52),0,IF(AND(Mitarbeiter!$F$52&lt;&gt;"",Q$5&gt;Mitarbeiter!$F$52),0,IF(Planung!Q54="",$C54,IF(ISNUMBER(Planung!Q54),Planung!Q54,IF(UPPER(Planung!Q54)="H",$C54/2,0)))))))</f>
        <v>0</v>
      </c>
      <c r="R54" s="27">
        <f>IF($A54="",0,IF(Mitarbeiter!$G$52=FALSE,0,IF(AND(Mitarbeiter!$E$52&lt;&gt;"",R$5+6&lt;Mitarbeiter!$E$52),0,IF(AND(Mitarbeiter!$F$52&lt;&gt;"",R$5&gt;Mitarbeiter!$F$52),0,IF(Planung!R54="",$C54,IF(ISNUMBER(Planung!R54),Planung!R54,IF(UPPER(Planung!R54)="H",$C54/2,0)))))))</f>
        <v>0</v>
      </c>
      <c r="S54" s="27">
        <f>IF($A54="",0,IF(Mitarbeiter!$G$52=FALSE,0,IF(AND(Mitarbeiter!$E$52&lt;&gt;"",S$5+6&lt;Mitarbeiter!$E$52),0,IF(AND(Mitarbeiter!$F$52&lt;&gt;"",S$5&gt;Mitarbeiter!$F$52),0,IF(Planung!S54="",$C54,IF(ISNUMBER(Planung!S54),Planung!S54,IF(UPPER(Planung!S54)="H",$C54/2,0)))))))</f>
        <v>0</v>
      </c>
      <c r="T54" s="27">
        <f>IF($A54="",0,IF(Mitarbeiter!$G$52=FALSE,0,IF(AND(Mitarbeiter!$E$52&lt;&gt;"",T$5+6&lt;Mitarbeiter!$E$52),0,IF(AND(Mitarbeiter!$F$52&lt;&gt;"",T$5&gt;Mitarbeiter!$F$52),0,IF(Planung!T54="",$C54,IF(ISNUMBER(Planung!T54),Planung!T54,IF(UPPER(Planung!T54)="H",$C54/2,0)))))))</f>
        <v>0</v>
      </c>
      <c r="U54" s="27">
        <f>IF($A54="",0,IF(Mitarbeiter!$G$52=FALSE,0,IF(AND(Mitarbeiter!$E$52&lt;&gt;"",U$5+6&lt;Mitarbeiter!$E$52),0,IF(AND(Mitarbeiter!$F$52&lt;&gt;"",U$5&gt;Mitarbeiter!$F$52),0,IF(Planung!U54="",$C54,IF(ISNUMBER(Planung!U54),Planung!U54,IF(UPPER(Planung!U54)="H",$C54/2,0)))))))</f>
        <v>0</v>
      </c>
      <c r="V54" s="27">
        <f>IF($A54="",0,IF(Mitarbeiter!$G$52=FALSE,0,IF(AND(Mitarbeiter!$E$52&lt;&gt;"",V$5+6&lt;Mitarbeiter!$E$52),0,IF(AND(Mitarbeiter!$F$52&lt;&gt;"",V$5&gt;Mitarbeiter!$F$52),0,IF(Planung!V54="",$C54,IF(ISNUMBER(Planung!V54),Planung!V54,IF(UPPER(Planung!V54)="H",$C54/2,0)))))))</f>
        <v>0</v>
      </c>
      <c r="W54" s="27">
        <f>IF($A54="",0,IF(Mitarbeiter!$G$52=FALSE,0,IF(AND(Mitarbeiter!$E$52&lt;&gt;"",W$5+6&lt;Mitarbeiter!$E$52),0,IF(AND(Mitarbeiter!$F$52&lt;&gt;"",W$5&gt;Mitarbeiter!$F$52),0,IF(Planung!W54="",$C54,IF(ISNUMBER(Planung!W54),Planung!W54,IF(UPPER(Planung!W54)="H",$C54/2,0)))))))</f>
        <v>0</v>
      </c>
      <c r="X54" s="27">
        <f>IF($A54="",0,IF(Mitarbeiter!$G$52=FALSE,0,IF(AND(Mitarbeiter!$E$52&lt;&gt;"",X$5+6&lt;Mitarbeiter!$E$52),0,IF(AND(Mitarbeiter!$F$52&lt;&gt;"",X$5&gt;Mitarbeiter!$F$52),0,IF(Planung!X54="",$C54,IF(ISNUMBER(Planung!X54),Planung!X54,IF(UPPER(Planung!X54)="H",$C54/2,0)))))))</f>
        <v>0</v>
      </c>
      <c r="Y54" s="27">
        <f>IF($A54="",0,IF(Mitarbeiter!$G$52=FALSE,0,IF(AND(Mitarbeiter!$E$52&lt;&gt;"",Y$5+6&lt;Mitarbeiter!$E$52),0,IF(AND(Mitarbeiter!$F$52&lt;&gt;"",Y$5&gt;Mitarbeiter!$F$52),0,IF(Planung!Y54="",$C54,IF(ISNUMBER(Planung!Y54),Planung!Y54,IF(UPPER(Planung!Y54)="H",$C54/2,0)))))))</f>
        <v>0</v>
      </c>
      <c r="Z54" s="27">
        <f>IF($A54="",0,IF(Mitarbeiter!$G$52=FALSE,0,IF(AND(Mitarbeiter!$E$52&lt;&gt;"",Z$5+6&lt;Mitarbeiter!$E$52),0,IF(AND(Mitarbeiter!$F$52&lt;&gt;"",Z$5&gt;Mitarbeiter!$F$52),0,IF(Planung!Z54="",$C54,IF(ISNUMBER(Planung!Z54),Planung!Z54,IF(UPPER(Planung!Z54)="H",$C54/2,0)))))))</f>
        <v>0</v>
      </c>
      <c r="AA54" s="27">
        <f>IF($A54="",0,IF(Mitarbeiter!$G$52=FALSE,0,IF(AND(Mitarbeiter!$E$52&lt;&gt;"",AA$5+6&lt;Mitarbeiter!$E$52),0,IF(AND(Mitarbeiter!$F$52&lt;&gt;"",AA$5&gt;Mitarbeiter!$F$52),0,IF(Planung!AA54="",$C54,IF(ISNUMBER(Planung!AA54),Planung!AA54,IF(UPPER(Planung!AA54)="H",$C54/2,0)))))))</f>
        <v>0</v>
      </c>
      <c r="AB54" s="27">
        <f>IF($A54="",0,IF(Mitarbeiter!$G$52=FALSE,0,IF(AND(Mitarbeiter!$E$52&lt;&gt;"",AB$5+6&lt;Mitarbeiter!$E$52),0,IF(AND(Mitarbeiter!$F$52&lt;&gt;"",AB$5&gt;Mitarbeiter!$F$52),0,IF(Planung!AB54="",$C54,IF(ISNUMBER(Planung!AB54),Planung!AB54,IF(UPPER(Planung!AB54)="H",$C54/2,0)))))))</f>
        <v>0</v>
      </c>
      <c r="AC54" s="27">
        <f>IF($A54="",0,IF(Mitarbeiter!$G$52=FALSE,0,IF(AND(Mitarbeiter!$E$52&lt;&gt;"",AC$5+6&lt;Mitarbeiter!$E$52),0,IF(AND(Mitarbeiter!$F$52&lt;&gt;"",AC$5&gt;Mitarbeiter!$F$52),0,IF(Planung!AC54="",$C54,IF(ISNUMBER(Planung!AC54),Planung!AC54,IF(UPPER(Planung!AC54)="H",$C54/2,0)))))))</f>
        <v>0</v>
      </c>
      <c r="AD54" s="27">
        <f>IF($A54="",0,IF(Mitarbeiter!$G$52=FALSE,0,IF(AND(Mitarbeiter!$E$52&lt;&gt;"",AD$5+6&lt;Mitarbeiter!$E$52),0,IF(AND(Mitarbeiter!$F$52&lt;&gt;"",AD$5&gt;Mitarbeiter!$F$52),0,IF(Planung!AD54="",$C54,IF(ISNUMBER(Planung!AD54),Planung!AD54,IF(UPPER(Planung!AD54)="H",$C54/2,0)))))))</f>
        <v>0</v>
      </c>
      <c r="AE54" s="27">
        <f>IF($A54="",0,IF(Mitarbeiter!$G$52=FALSE,0,IF(AND(Mitarbeiter!$E$52&lt;&gt;"",AE$5+6&lt;Mitarbeiter!$E$52),0,IF(AND(Mitarbeiter!$F$52&lt;&gt;"",AE$5&gt;Mitarbeiter!$F$52),0,IF(Planung!AE54="",$C54,IF(ISNUMBER(Planung!AE54),Planung!AE54,IF(UPPER(Planung!AE54)="H",$C54/2,0)))))))</f>
        <v>0</v>
      </c>
      <c r="AF54" s="27">
        <f>IF($A54="",0,IF(Mitarbeiter!$G$52=FALSE,0,IF(AND(Mitarbeiter!$E$52&lt;&gt;"",AF$5+6&lt;Mitarbeiter!$E$52),0,IF(AND(Mitarbeiter!$F$52&lt;&gt;"",AF$5&gt;Mitarbeiter!$F$52),0,IF(Planung!AF54="",$C54,IF(ISNUMBER(Planung!AF54),Planung!AF54,IF(UPPER(Planung!AF54)="H",$C54/2,0)))))))</f>
        <v>0</v>
      </c>
      <c r="AG54" s="27">
        <f>IF($A54="",0,IF(Mitarbeiter!$G$52=FALSE,0,IF(AND(Mitarbeiter!$E$52&lt;&gt;"",AG$5+6&lt;Mitarbeiter!$E$52),0,IF(AND(Mitarbeiter!$F$52&lt;&gt;"",AG$5&gt;Mitarbeiter!$F$52),0,IF(Planung!AG54="",$C54,IF(ISNUMBER(Planung!AG54),Planung!AG54,IF(UPPER(Planung!AG54)="H",$C54/2,0)))))))</f>
        <v>0</v>
      </c>
      <c r="AH54" s="27">
        <f>IF($A54="",0,IF(Mitarbeiter!$G$52=FALSE,0,IF(AND(Mitarbeiter!$E$52&lt;&gt;"",AH$5+6&lt;Mitarbeiter!$E$52),0,IF(AND(Mitarbeiter!$F$52&lt;&gt;"",AH$5&gt;Mitarbeiter!$F$52),0,IF(Planung!AH54="",$C54,IF(ISNUMBER(Planung!AH54),Planung!AH54,IF(UPPER(Planung!AH54)="H",$C54/2,0)))))))</f>
        <v>0</v>
      </c>
      <c r="AI54" s="27">
        <f>IF($A54="",0,IF(Mitarbeiter!$G$52=FALSE,0,IF(AND(Mitarbeiter!$E$52&lt;&gt;"",AI$5+6&lt;Mitarbeiter!$E$52),0,IF(AND(Mitarbeiter!$F$52&lt;&gt;"",AI$5&gt;Mitarbeiter!$F$52),0,IF(Planung!AI54="",$C54,IF(ISNUMBER(Planung!AI54),Planung!AI54,IF(UPPER(Planung!AI54)="H",$C54/2,0)))))))</f>
        <v>0</v>
      </c>
      <c r="AJ54" s="27">
        <f>IF($A54="",0,IF(Mitarbeiter!$G$52=FALSE,0,IF(AND(Mitarbeiter!$E$52&lt;&gt;"",AJ$5+6&lt;Mitarbeiter!$E$52),0,IF(AND(Mitarbeiter!$F$52&lt;&gt;"",AJ$5&gt;Mitarbeiter!$F$52),0,IF(Planung!AJ54="",$C54,IF(ISNUMBER(Planung!AJ54),Planung!AJ54,IF(UPPER(Planung!AJ54)="H",$C54/2,0)))))))</f>
        <v>0</v>
      </c>
      <c r="AK54" s="27">
        <f>IF($A54="",0,IF(Mitarbeiter!$G$52=FALSE,0,IF(AND(Mitarbeiter!$E$52&lt;&gt;"",AK$5+6&lt;Mitarbeiter!$E$52),0,IF(AND(Mitarbeiter!$F$52&lt;&gt;"",AK$5&gt;Mitarbeiter!$F$52),0,IF(Planung!AK54="",$C54,IF(ISNUMBER(Planung!AK54),Planung!AK54,IF(UPPER(Planung!AK54)="H",$C54/2,0)))))))</f>
        <v>0</v>
      </c>
      <c r="AL54" s="27">
        <f>IF($A54="",0,IF(Mitarbeiter!$G$52=FALSE,0,IF(AND(Mitarbeiter!$E$52&lt;&gt;"",AL$5+6&lt;Mitarbeiter!$E$52),0,IF(AND(Mitarbeiter!$F$52&lt;&gt;"",AL$5&gt;Mitarbeiter!$F$52),0,IF(Planung!AL54="",$C54,IF(ISNUMBER(Planung!AL54),Planung!AL54,IF(UPPER(Planung!AL54)="H",$C54/2,0)))))))</f>
        <v>0</v>
      </c>
      <c r="AM54" s="27">
        <f>IF($A54="",0,IF(Mitarbeiter!$G$52=FALSE,0,IF(AND(Mitarbeiter!$E$52&lt;&gt;"",AM$5+6&lt;Mitarbeiter!$E$52),0,IF(AND(Mitarbeiter!$F$52&lt;&gt;"",AM$5&gt;Mitarbeiter!$F$52),0,IF(Planung!AM54="",$C54,IF(ISNUMBER(Planung!AM54),Planung!AM54,IF(UPPER(Planung!AM54)="H",$C54/2,0)))))))</f>
        <v>0</v>
      </c>
      <c r="AN54" s="27">
        <f>IF($A54="",0,IF(Mitarbeiter!$G$52=FALSE,0,IF(AND(Mitarbeiter!$E$52&lt;&gt;"",AN$5+6&lt;Mitarbeiter!$E$52),0,IF(AND(Mitarbeiter!$F$52&lt;&gt;"",AN$5&gt;Mitarbeiter!$F$52),0,IF(Planung!AN54="",$C54,IF(ISNUMBER(Planung!AN54),Planung!AN54,IF(UPPER(Planung!AN54)="H",$C54/2,0)))))))</f>
        <v>0</v>
      </c>
      <c r="AO54" s="27">
        <f>IF($A54="",0,IF(Mitarbeiter!$G$52=FALSE,0,IF(AND(Mitarbeiter!$E$52&lt;&gt;"",AO$5+6&lt;Mitarbeiter!$E$52),0,IF(AND(Mitarbeiter!$F$52&lt;&gt;"",AO$5&gt;Mitarbeiter!$F$52),0,IF(Planung!AO54="",$C54,IF(ISNUMBER(Planung!AO54),Planung!AO54,IF(UPPER(Planung!AO54)="H",$C54/2,0)))))))</f>
        <v>0</v>
      </c>
      <c r="AP54" s="27">
        <f>IF($A54="",0,IF(Mitarbeiter!$G$52=FALSE,0,IF(AND(Mitarbeiter!$E$52&lt;&gt;"",AP$5+6&lt;Mitarbeiter!$E$52),0,IF(AND(Mitarbeiter!$F$52&lt;&gt;"",AP$5&gt;Mitarbeiter!$F$52),0,IF(Planung!AP54="",$C54,IF(ISNUMBER(Planung!AP54),Planung!AP54,IF(UPPER(Planung!AP54)="H",$C54/2,0)))))))</f>
        <v>0</v>
      </c>
      <c r="AQ54" s="27">
        <f>IF($A54="",0,IF(Mitarbeiter!$G$52=FALSE,0,IF(AND(Mitarbeiter!$E$52&lt;&gt;"",AQ$5+6&lt;Mitarbeiter!$E$52),0,IF(AND(Mitarbeiter!$F$52&lt;&gt;"",AQ$5&gt;Mitarbeiter!$F$52),0,IF(Planung!AQ54="",$C54,IF(ISNUMBER(Planung!AQ54),Planung!AQ54,IF(UPPER(Planung!AQ54)="H",$C54/2,0)))))))</f>
        <v>0</v>
      </c>
      <c r="AR54" s="27">
        <f>IF($A54="",0,IF(Mitarbeiter!$G$52=FALSE,0,IF(AND(Mitarbeiter!$E$52&lt;&gt;"",AR$5+6&lt;Mitarbeiter!$E$52),0,IF(AND(Mitarbeiter!$F$52&lt;&gt;"",AR$5&gt;Mitarbeiter!$F$52),0,IF(Planung!AR54="",$C54,IF(ISNUMBER(Planung!AR54),Planung!AR54,IF(UPPER(Planung!AR54)="H",$C54/2,0)))))))</f>
        <v>0</v>
      </c>
      <c r="AS54" s="27">
        <f>IF($A54="",0,IF(Mitarbeiter!$G$52=FALSE,0,IF(AND(Mitarbeiter!$E$52&lt;&gt;"",AS$5+6&lt;Mitarbeiter!$E$52),0,IF(AND(Mitarbeiter!$F$52&lt;&gt;"",AS$5&gt;Mitarbeiter!$F$52),0,IF(Planung!AS54="",$C54,IF(ISNUMBER(Planung!AS54),Planung!AS54,IF(UPPER(Planung!AS54)="H",$C54/2,0)))))))</f>
        <v>0</v>
      </c>
      <c r="AT54" s="27">
        <f>IF($A54="",0,IF(Mitarbeiter!$G$52=FALSE,0,IF(AND(Mitarbeiter!$E$52&lt;&gt;"",AT$5+6&lt;Mitarbeiter!$E$52),0,IF(AND(Mitarbeiter!$F$52&lt;&gt;"",AT$5&gt;Mitarbeiter!$F$52),0,IF(Planung!AT54="",$C54,IF(ISNUMBER(Planung!AT54),Planung!AT54,IF(UPPER(Planung!AT54)="H",$C54/2,0)))))))</f>
        <v>0</v>
      </c>
      <c r="AU54" s="27">
        <f>IF($A54="",0,IF(Mitarbeiter!$G$52=FALSE,0,IF(AND(Mitarbeiter!$E$52&lt;&gt;"",AU$5+6&lt;Mitarbeiter!$E$52),0,IF(AND(Mitarbeiter!$F$52&lt;&gt;"",AU$5&gt;Mitarbeiter!$F$52),0,IF(Planung!AU54="",$C54,IF(ISNUMBER(Planung!AU54),Planung!AU54,IF(UPPER(Planung!AU54)="H",$C54/2,0)))))))</f>
        <v>0</v>
      </c>
      <c r="AV54" s="27">
        <f>IF($A54="",0,IF(Mitarbeiter!$G$52=FALSE,0,IF(AND(Mitarbeiter!$E$52&lt;&gt;"",AV$5+6&lt;Mitarbeiter!$E$52),0,IF(AND(Mitarbeiter!$F$52&lt;&gt;"",AV$5&gt;Mitarbeiter!$F$52),0,IF(Planung!AV54="",$C54,IF(ISNUMBER(Planung!AV54),Planung!AV54,IF(UPPER(Planung!AV54)="H",$C54/2,0)))))))</f>
        <v>0</v>
      </c>
      <c r="AW54" s="27">
        <f>IF($A54="",0,IF(Mitarbeiter!$G$52=FALSE,0,IF(AND(Mitarbeiter!$E$52&lt;&gt;"",AW$5+6&lt;Mitarbeiter!$E$52),0,IF(AND(Mitarbeiter!$F$52&lt;&gt;"",AW$5&gt;Mitarbeiter!$F$52),0,IF(Planung!AW54="",$C54,IF(ISNUMBER(Planung!AW54),Planung!AW54,IF(UPPER(Planung!AW54)="H",$C54/2,0)))))))</f>
        <v>0</v>
      </c>
      <c r="AX54" s="27">
        <f>IF($A54="",0,IF(Mitarbeiter!$G$52=FALSE,0,IF(AND(Mitarbeiter!$E$52&lt;&gt;"",AX$5+6&lt;Mitarbeiter!$E$52),0,IF(AND(Mitarbeiter!$F$52&lt;&gt;"",AX$5&gt;Mitarbeiter!$F$52),0,IF(Planung!AX54="",$C54,IF(ISNUMBER(Planung!AX54),Planung!AX54,IF(UPPER(Planung!AX54)="H",$C54/2,0)))))))</f>
        <v>0</v>
      </c>
      <c r="AY54" s="27">
        <f>IF($A54="",0,IF(Mitarbeiter!$G$52=FALSE,0,IF(AND(Mitarbeiter!$E$52&lt;&gt;"",AY$5+6&lt;Mitarbeiter!$E$52),0,IF(AND(Mitarbeiter!$F$52&lt;&gt;"",AY$5&gt;Mitarbeiter!$F$52),0,IF(Planung!AY54="",$C54,IF(ISNUMBER(Planung!AY54),Planung!AY54,IF(UPPER(Planung!AY54)="H",$C54/2,0)))))))</f>
        <v>0</v>
      </c>
      <c r="AZ54" s="27">
        <f>IF($A54="",0,IF(Mitarbeiter!$G$52=FALSE,0,IF(AND(Mitarbeiter!$E$52&lt;&gt;"",AZ$5+6&lt;Mitarbeiter!$E$52),0,IF(AND(Mitarbeiter!$F$52&lt;&gt;"",AZ$5&gt;Mitarbeiter!$F$52),0,IF(Planung!AZ54="",$C54,IF(ISNUMBER(Planung!AZ54),Planung!AZ54,IF(UPPER(Planung!AZ54)="H",$C54/2,0)))))))</f>
        <v>0</v>
      </c>
      <c r="BA54" s="27">
        <f>IF($A54="",0,IF(Mitarbeiter!$G$52=FALSE,0,IF(AND(Mitarbeiter!$E$52&lt;&gt;"",BA$5+6&lt;Mitarbeiter!$E$52),0,IF(AND(Mitarbeiter!$F$52&lt;&gt;"",BA$5&gt;Mitarbeiter!$F$52),0,IF(Planung!BA54="",$C54,IF(ISNUMBER(Planung!BA54),Planung!BA54,IF(UPPER(Planung!BA54)="H",$C54/2,0)))))))</f>
        <v>0</v>
      </c>
      <c r="BB54" s="27">
        <f>IF($A54="",0,IF(Mitarbeiter!$G$52=FALSE,0,IF(AND(Mitarbeiter!$E$52&lt;&gt;"",BB$5+6&lt;Mitarbeiter!$E$52),0,IF(AND(Mitarbeiter!$F$52&lt;&gt;"",BB$5&gt;Mitarbeiter!$F$52),0,IF(Planung!BB54="",$C54,IF(ISNUMBER(Planung!BB54),Planung!BB54,IF(UPPER(Planung!BB54)="H",$C54/2,0)))))))</f>
        <v>0</v>
      </c>
      <c r="BC54" s="27">
        <f>IF($A54="",0,IF(Mitarbeiter!$G$52=FALSE,0,IF(AND(Mitarbeiter!$E$52&lt;&gt;"",BC$5+6&lt;Mitarbeiter!$E$52),0,IF(AND(Mitarbeiter!$F$52&lt;&gt;"",BC$5&gt;Mitarbeiter!$F$52),0,IF(Planung!BC54="",$C54,IF(ISNUMBER(Planung!BC54),Planung!BC54,IF(UPPER(Planung!BC54)="H",$C54/2,0)))))))</f>
        <v>0</v>
      </c>
      <c r="BD54" s="27">
        <f>IF($A54="",0,IF(Mitarbeiter!$G$52=FALSE,0,IF(AND(Mitarbeiter!$E$52&lt;&gt;"",BD$5+6&lt;Mitarbeiter!$E$52),0,IF(AND(Mitarbeiter!$F$52&lt;&gt;"",BD$5&gt;Mitarbeiter!$F$52),0,IF(Planung!BD54="",$C54,IF(ISNUMBER(Planung!BD54),Planung!BD54,IF(UPPER(Planung!BD54)="H",$C54/2,0)))))))</f>
        <v>0</v>
      </c>
      <c r="BE54" s="27">
        <f>IF($A54="",0,IF(Mitarbeiter!$G$52=FALSE,0,IF(AND(Mitarbeiter!$E$52&lt;&gt;"",BE$5+6&lt;Mitarbeiter!$E$52),0,IF(AND(Mitarbeiter!$F$52&lt;&gt;"",BE$5&gt;Mitarbeiter!$F$52),0,IF(Planung!BE54="",$C54,IF(ISNUMBER(Planung!BE54),Planung!BE54,IF(UPPER(Planung!BE54)="H",$C54/2,0)))))))</f>
        <v>0</v>
      </c>
      <c r="BF54" s="27">
        <f>IF($A54="",0,IF(Mitarbeiter!$G$52=FALSE,0,IF(AND(Mitarbeiter!$E$52&lt;&gt;"",BF$5+6&lt;Mitarbeiter!$E$52),0,IF(AND(Mitarbeiter!$F$52&lt;&gt;"",BF$5&gt;Mitarbeiter!$F$52),0,IF(Planung!BF54="",$C54,IF(ISNUMBER(Planung!BF54),Planung!BF54,IF(UPPER(Planung!BF54)="H",$C54/2,0)))))))</f>
        <v>0</v>
      </c>
      <c r="BG54" s="27">
        <f>IF($A54="",0,IF(Mitarbeiter!$G$52=FALSE,0,IF(AND(Mitarbeiter!$E$52&lt;&gt;"",BG$5+6&lt;Mitarbeiter!$E$52),0,IF(AND(Mitarbeiter!$F$52&lt;&gt;"",BG$5&gt;Mitarbeiter!$F$52),0,IF(Planung!BG54="",$C54,IF(ISNUMBER(Planung!BG54),Planung!BG54,IF(UPPER(Planung!BG54)="H",$C54/2,0)))))))</f>
        <v>0</v>
      </c>
      <c r="BH54" s="27">
        <f>IF($A54="",0,IF(Mitarbeiter!$G$52=FALSE,0,IF(AND(Mitarbeiter!$E$52&lt;&gt;"",BH$5+6&lt;Mitarbeiter!$E$52),0,IF(AND(Mitarbeiter!$F$52&lt;&gt;"",BH$5&gt;Mitarbeiter!$F$52),0,IF(Planung!BH54="",$C54,IF(ISNUMBER(Planung!BH54),Planung!BH54,IF(UPPER(Planung!BH54)="H",$C54/2,0)))))))</f>
        <v>0</v>
      </c>
      <c r="BI54" s="27">
        <f>IF($A54="",0,IF(Mitarbeiter!$G$52=FALSE,0,IF(AND(Mitarbeiter!$E$52&lt;&gt;"",BI$5+6&lt;Mitarbeiter!$E$52),0,IF(AND(Mitarbeiter!$F$52&lt;&gt;"",BI$5&gt;Mitarbeiter!$F$52),0,IF(Planung!BI54="",$C54,IF(ISNUMBER(Planung!BI54),Planung!BI54,IF(UPPER(Planung!BI54)="H",$C54/2,0)))))))</f>
        <v>0</v>
      </c>
      <c r="BJ54" s="27">
        <f>IF($A54="",0,IF(Mitarbeiter!$G$52=FALSE,0,IF(AND(Mitarbeiter!$E$52&lt;&gt;"",BJ$5+6&lt;Mitarbeiter!$E$52),0,IF(AND(Mitarbeiter!$F$52&lt;&gt;"",BJ$5&gt;Mitarbeiter!$F$52),0,IF(Planung!BJ54="",$C54,IF(ISNUMBER(Planung!BJ54),Planung!BJ54,IF(UPPER(Planung!BJ54)="H",$C54/2,0)))))))</f>
        <v>0</v>
      </c>
      <c r="BK54" s="27">
        <f>IF($A54="",0,IF(Mitarbeiter!$G$52=FALSE,0,IF(AND(Mitarbeiter!$E$52&lt;&gt;"",BK$5+6&lt;Mitarbeiter!$E$52),0,IF(AND(Mitarbeiter!$F$52&lt;&gt;"",BK$5&gt;Mitarbeiter!$F$52),0,IF(Planung!BK54="",$C54,IF(ISNUMBER(Planung!BK54),Planung!BK54,IF(UPPER(Planung!BK54)="H",$C54/2,0)))))))</f>
        <v>0</v>
      </c>
      <c r="BL54" s="27">
        <f>IF($A54="",0,IF(Mitarbeiter!$G$52=FALSE,0,IF(AND(Mitarbeiter!$E$52&lt;&gt;"",BL$5+6&lt;Mitarbeiter!$E$52),0,IF(AND(Mitarbeiter!$F$52&lt;&gt;"",BL$5&gt;Mitarbeiter!$F$52),0,IF(Planung!BL54="",$C54,IF(ISNUMBER(Planung!BL54),Planung!BL54,IF(UPPER(Planung!BL54)="H",$C54/2,0)))))))</f>
        <v>0</v>
      </c>
      <c r="BM54" s="27">
        <f>IF($A54="",0,IF(Mitarbeiter!$G$52=FALSE,0,IF(AND(Mitarbeiter!$E$52&lt;&gt;"",BM$5+6&lt;Mitarbeiter!$E$52),0,IF(AND(Mitarbeiter!$F$52&lt;&gt;"",BM$5&gt;Mitarbeiter!$F$52),0,IF(Planung!BM54="",$C54,IF(ISNUMBER(Planung!BM54),Planung!BM54,IF(UPPER(Planung!BM54)="H",$C54/2,0)))))))</f>
        <v>0</v>
      </c>
      <c r="BN54" s="27">
        <f>IF($A54="",0,IF(Mitarbeiter!$G$52=FALSE,0,IF(AND(Mitarbeiter!$E$52&lt;&gt;"",BN$5+6&lt;Mitarbeiter!$E$52),0,IF(AND(Mitarbeiter!$F$52&lt;&gt;"",BN$5&gt;Mitarbeiter!$F$52),0,IF(Planung!BN54="",$C54,IF(ISNUMBER(Planung!BN54),Planung!BN54,IF(UPPER(Planung!BN54)="H",$C54/2,0)))))))</f>
        <v>0</v>
      </c>
      <c r="BO54" s="27">
        <f>IF($A54="",0,IF(Mitarbeiter!$G$52=FALSE,0,IF(AND(Mitarbeiter!$E$52&lt;&gt;"",BO$5+6&lt;Mitarbeiter!$E$52),0,IF(AND(Mitarbeiter!$F$52&lt;&gt;"",BO$5&gt;Mitarbeiter!$F$52),0,IF(Planung!BO54="",$C54,IF(ISNUMBER(Planung!BO54),Planung!BO54,IF(UPPER(Planung!BO54)="H",$C54/2,0)))))))</f>
        <v>0</v>
      </c>
      <c r="BP54" s="27">
        <f>IF($A54="",0,IF(Mitarbeiter!$G$52=FALSE,0,IF(AND(Mitarbeiter!$E$52&lt;&gt;"",BP$5+6&lt;Mitarbeiter!$E$52),0,IF(AND(Mitarbeiter!$F$52&lt;&gt;"",BP$5&gt;Mitarbeiter!$F$52),0,IF(Planung!BP54="",$C54,IF(ISNUMBER(Planung!BP54),Planung!BP54,IF(UPPER(Planung!BP54)="H",$C54/2,0)))))))</f>
        <v>0</v>
      </c>
      <c r="BQ54" s="27">
        <f>IF($A54="",0,IF(Mitarbeiter!$G$52=FALSE,0,IF(AND(Mitarbeiter!$E$52&lt;&gt;"",BQ$5+6&lt;Mitarbeiter!$E$52),0,IF(AND(Mitarbeiter!$F$52&lt;&gt;"",BQ$5&gt;Mitarbeiter!$F$52),0,IF(Planung!BQ54="",$C54,IF(ISNUMBER(Planung!BQ54),Planung!BQ54,IF(UPPER(Planung!BQ54)="H",$C54/2,0)))))))</f>
        <v>0</v>
      </c>
      <c r="BR54" s="27">
        <f>IF($A54="",0,IF(Mitarbeiter!$G$52=FALSE,0,IF(AND(Mitarbeiter!$E$52&lt;&gt;"",BR$5+6&lt;Mitarbeiter!$E$52),0,IF(AND(Mitarbeiter!$F$52&lt;&gt;"",BR$5&gt;Mitarbeiter!$F$52),0,IF(Planung!BR54="",$C54,IF(ISNUMBER(Planung!BR54),Planung!BR54,IF(UPPER(Planung!BR54)="H",$C54/2,0)))))))</f>
        <v>0</v>
      </c>
      <c r="BS54" s="27">
        <f>IF($A54="",0,IF(Mitarbeiter!$G$52=FALSE,0,IF(AND(Mitarbeiter!$E$52&lt;&gt;"",BS$5+6&lt;Mitarbeiter!$E$52),0,IF(AND(Mitarbeiter!$F$52&lt;&gt;"",BS$5&gt;Mitarbeiter!$F$52),0,IF(Planung!BS54="",$C54,IF(ISNUMBER(Planung!BS54),Planung!BS54,IF(UPPER(Planung!BS54)="H",$C54/2,0)))))))</f>
        <v>0</v>
      </c>
      <c r="BT54" s="27">
        <f>IF($A54="",0,IF(Mitarbeiter!$G$52=FALSE,0,IF(AND(Mitarbeiter!$E$52&lt;&gt;"",BT$5+6&lt;Mitarbeiter!$E$52),0,IF(AND(Mitarbeiter!$F$52&lt;&gt;"",BT$5&gt;Mitarbeiter!$F$52),0,IF(Planung!BT54="",$C54,IF(ISNUMBER(Planung!BT54),Planung!BT54,IF(UPPER(Planung!BT54)="H",$C54/2,0)))))))</f>
        <v>0</v>
      </c>
      <c r="BU54" s="27">
        <f>IF($A54="",0,IF(Mitarbeiter!$G$52=FALSE,0,IF(AND(Mitarbeiter!$E$52&lt;&gt;"",BU$5+6&lt;Mitarbeiter!$E$52),0,IF(AND(Mitarbeiter!$F$52&lt;&gt;"",BU$5&gt;Mitarbeiter!$F$52),0,IF(Planung!BU54="",$C54,IF(ISNUMBER(Planung!BU54),Planung!BU54,IF(UPPER(Planung!BU54)="H",$C54/2,0)))))))</f>
        <v>0</v>
      </c>
      <c r="BV54" s="27">
        <f>IF($A54="",0,IF(Mitarbeiter!$G$52=FALSE,0,IF(AND(Mitarbeiter!$E$52&lt;&gt;"",BV$5+6&lt;Mitarbeiter!$E$52),0,IF(AND(Mitarbeiter!$F$52&lt;&gt;"",BV$5&gt;Mitarbeiter!$F$52),0,IF(Planung!BV54="",$C54,IF(ISNUMBER(Planung!BV54),Planung!BV54,IF(UPPER(Planung!BV54)="H",$C54/2,0)))))))</f>
        <v>0</v>
      </c>
      <c r="BW54" s="27">
        <f>IF($A54="",0,IF(Mitarbeiter!$G$52=FALSE,0,IF(AND(Mitarbeiter!$E$52&lt;&gt;"",BW$5+6&lt;Mitarbeiter!$E$52),0,IF(AND(Mitarbeiter!$F$52&lt;&gt;"",BW$5&gt;Mitarbeiter!$F$52),0,IF(Planung!BW54="",$C54,IF(ISNUMBER(Planung!BW54),Planung!BW54,IF(UPPER(Planung!BW54)="H",$C54/2,0)))))))</f>
        <v>0</v>
      </c>
      <c r="BX54" s="27">
        <f>IF($A54="",0,IF(Mitarbeiter!$G$52=FALSE,0,IF(AND(Mitarbeiter!$E$52&lt;&gt;"",BX$5+6&lt;Mitarbeiter!$E$52),0,IF(AND(Mitarbeiter!$F$52&lt;&gt;"",BX$5&gt;Mitarbeiter!$F$52),0,IF(Planung!BX54="",$C54,IF(ISNUMBER(Planung!BX54),Planung!BX54,IF(UPPER(Planung!BX54)="H",$C54/2,0)))))))</f>
        <v>0</v>
      </c>
      <c r="BY54" s="27">
        <f>IF($A54="",0,IF(Mitarbeiter!$G$52=FALSE,0,IF(AND(Mitarbeiter!$E$52&lt;&gt;"",BY$5+6&lt;Mitarbeiter!$E$52),0,IF(AND(Mitarbeiter!$F$52&lt;&gt;"",BY$5&gt;Mitarbeiter!$F$52),0,IF(Planung!BY54="",$C54,IF(ISNUMBER(Planung!BY54),Planung!BY54,IF(UPPER(Planung!BY54)="H",$C54/2,0)))))))</f>
        <v>0</v>
      </c>
      <c r="BZ54" s="27">
        <f>IF($A54="",0,IF(Mitarbeiter!$G$52=FALSE,0,IF(AND(Mitarbeiter!$E$52&lt;&gt;"",BZ$5+6&lt;Mitarbeiter!$E$52),0,IF(AND(Mitarbeiter!$F$52&lt;&gt;"",BZ$5&gt;Mitarbeiter!$F$52),0,IF(Planung!BZ54="",$C54,IF(ISNUMBER(Planung!BZ54),Planung!BZ54,IF(UPPER(Planung!BZ54)="H",$C54/2,0)))))))</f>
        <v>0</v>
      </c>
      <c r="CA54" s="27">
        <f>IF($A54="",0,IF(Mitarbeiter!$G$52=FALSE,0,IF(AND(Mitarbeiter!$E$52&lt;&gt;"",CA$5+6&lt;Mitarbeiter!$E$52),0,IF(AND(Mitarbeiter!$F$52&lt;&gt;"",CA$5&gt;Mitarbeiter!$F$52),0,IF(Planung!CA54="",$C54,IF(ISNUMBER(Planung!CA54),Planung!CA54,IF(UPPER(Planung!CA54)="H",$C54/2,0)))))))</f>
        <v>0</v>
      </c>
      <c r="CB54" s="27">
        <f>IF($A54="",0,IF(Mitarbeiter!$G$52=FALSE,0,IF(AND(Mitarbeiter!$E$52&lt;&gt;"",CB$5+6&lt;Mitarbeiter!$E$52),0,IF(AND(Mitarbeiter!$F$52&lt;&gt;"",CB$5&gt;Mitarbeiter!$F$52),0,IF(Planung!CB54="",$C54,IF(ISNUMBER(Planung!CB54),Planung!CB54,IF(UPPER(Planung!CB54)="H",$C54/2,0)))))))</f>
        <v>0</v>
      </c>
      <c r="CC54" s="27">
        <f>IF($A54="",0,IF(Mitarbeiter!$G$52=FALSE,0,IF(AND(Mitarbeiter!$E$52&lt;&gt;"",CC$5+6&lt;Mitarbeiter!$E$52),0,IF(AND(Mitarbeiter!$F$52&lt;&gt;"",CC$5&gt;Mitarbeiter!$F$52),0,IF(Planung!CC54="",$C54,IF(ISNUMBER(Planung!CC54),Planung!CC54,IF(UPPER(Planung!CC54)="H",$C54/2,0)))))))</f>
        <v>0</v>
      </c>
      <c r="CD54" s="27">
        <f>IF($A54="",0,IF(Mitarbeiter!$G$52=FALSE,0,IF(AND(Mitarbeiter!$E$52&lt;&gt;"",CD$5+6&lt;Mitarbeiter!$E$52),0,IF(AND(Mitarbeiter!$F$52&lt;&gt;"",CD$5&gt;Mitarbeiter!$F$52),0,IF(Planung!CD54="",$C54,IF(ISNUMBER(Planung!CD54),Planung!CD54,IF(UPPER(Planung!CD54)="H",$C54/2,0)))))))</f>
        <v>0</v>
      </c>
      <c r="CE54" s="27">
        <f>IF($A54="",0,IF(Mitarbeiter!$G$52=FALSE,0,IF(AND(Mitarbeiter!$E$52&lt;&gt;"",CE$5+6&lt;Mitarbeiter!$E$52),0,IF(AND(Mitarbeiter!$F$52&lt;&gt;"",CE$5&gt;Mitarbeiter!$F$52),0,IF(Planung!CE54="",$C54,IF(ISNUMBER(Planung!CE54),Planung!CE54,IF(UPPER(Planung!CE54)="H",$C54/2,0)))))))</f>
        <v>0</v>
      </c>
      <c r="CF54" s="27">
        <f>IF($A54="",0,IF(Mitarbeiter!$G$52=FALSE,0,IF(AND(Mitarbeiter!$E$52&lt;&gt;"",CF$5+6&lt;Mitarbeiter!$E$52),0,IF(AND(Mitarbeiter!$F$52&lt;&gt;"",CF$5&gt;Mitarbeiter!$F$52),0,IF(Planung!CF54="",$C54,IF(ISNUMBER(Planung!CF54),Planung!CF54,IF(UPPER(Planung!CF54)="H",$C54/2,0)))))))</f>
        <v>0</v>
      </c>
      <c r="CG54" s="27">
        <f>IF($A54="",0,IF(Mitarbeiter!$G$52=FALSE,0,IF(AND(Mitarbeiter!$E$52&lt;&gt;"",CG$5+6&lt;Mitarbeiter!$E$52),0,IF(AND(Mitarbeiter!$F$52&lt;&gt;"",CG$5&gt;Mitarbeiter!$F$52),0,IF(Planung!CG54="",$C54,IF(ISNUMBER(Planung!CG54),Planung!CG54,IF(UPPER(Planung!CG54)="H",$C54/2,0)))))))</f>
        <v>0</v>
      </c>
      <c r="CH54" s="27">
        <f>IF($A54="",0,IF(Mitarbeiter!$G$52=FALSE,0,IF(AND(Mitarbeiter!$E$52&lt;&gt;"",CH$5+6&lt;Mitarbeiter!$E$52),0,IF(AND(Mitarbeiter!$F$52&lt;&gt;"",CH$5&gt;Mitarbeiter!$F$52),0,IF(Planung!CH54="",$C54,IF(ISNUMBER(Planung!CH54),Planung!CH54,IF(UPPER(Planung!CH54)="H",$C54/2,0)))))))</f>
        <v>0</v>
      </c>
      <c r="CI54" s="27">
        <f>IF($A54="",0,IF(Mitarbeiter!$G$52=FALSE,0,IF(AND(Mitarbeiter!$E$52&lt;&gt;"",CI$5+6&lt;Mitarbeiter!$E$52),0,IF(AND(Mitarbeiter!$F$52&lt;&gt;"",CI$5&gt;Mitarbeiter!$F$52),0,IF(Planung!CI54="",$C54,IF(ISNUMBER(Planung!CI54),Planung!CI54,IF(UPPER(Planung!CI54)="H",$C54/2,0)))))))</f>
        <v>0</v>
      </c>
      <c r="CJ54" s="27">
        <f>IF($A54="",0,IF(Mitarbeiter!$G$52=FALSE,0,IF(AND(Mitarbeiter!$E$52&lt;&gt;"",CJ$5+6&lt;Mitarbeiter!$E$52),0,IF(AND(Mitarbeiter!$F$52&lt;&gt;"",CJ$5&gt;Mitarbeiter!$F$52),0,IF(Planung!CJ54="",$C54,IF(ISNUMBER(Planung!CJ54),Planung!CJ54,IF(UPPER(Planung!CJ54)="H",$C54/2,0)))))))</f>
        <v>0</v>
      </c>
      <c r="CK54" s="27">
        <f>IF($A54="",0,IF(Mitarbeiter!$G$52=FALSE,0,IF(AND(Mitarbeiter!$E$52&lt;&gt;"",CK$5+6&lt;Mitarbeiter!$E$52),0,IF(AND(Mitarbeiter!$F$52&lt;&gt;"",CK$5&gt;Mitarbeiter!$F$52),0,IF(Planung!CK54="",$C54,IF(ISNUMBER(Planung!CK54),Planung!CK54,IF(UPPER(Planung!CK54)="H",$C54/2,0)))))))</f>
        <v>0</v>
      </c>
      <c r="CL54" s="27">
        <f>IF($A54="",0,IF(Mitarbeiter!$G$52=FALSE,0,IF(AND(Mitarbeiter!$E$52&lt;&gt;"",CL$5+6&lt;Mitarbeiter!$E$52),0,IF(AND(Mitarbeiter!$F$52&lt;&gt;"",CL$5&gt;Mitarbeiter!$F$52),0,IF(Planung!CL54="",$C54,IF(ISNUMBER(Planung!CL54),Planung!CL54,IF(UPPER(Planung!CL54)="H",$C54/2,0)))))))</f>
        <v>0</v>
      </c>
      <c r="CM54" s="27">
        <f>IF($A54="",0,IF(Mitarbeiter!$G$52=FALSE,0,IF(AND(Mitarbeiter!$E$52&lt;&gt;"",CM$5+6&lt;Mitarbeiter!$E$52),0,IF(AND(Mitarbeiter!$F$52&lt;&gt;"",CM$5&gt;Mitarbeiter!$F$52),0,IF(Planung!CM54="",$C54,IF(ISNUMBER(Planung!CM54),Planung!CM54,IF(UPPER(Planung!CM54)="H",$C54/2,0)))))))</f>
        <v>0</v>
      </c>
      <c r="CN54" s="27">
        <f>IF($A54="",0,IF(Mitarbeiter!$G$52=FALSE,0,IF(AND(Mitarbeiter!$E$52&lt;&gt;"",CN$5+6&lt;Mitarbeiter!$E$52),0,IF(AND(Mitarbeiter!$F$52&lt;&gt;"",CN$5&gt;Mitarbeiter!$F$52),0,IF(Planung!CN54="",$C54,IF(ISNUMBER(Planung!CN54),Planung!CN54,IF(UPPER(Planung!CN54)="H",$C54/2,0)))))))</f>
        <v>0</v>
      </c>
      <c r="CO54" s="27">
        <f>IF($A54="",0,IF(Mitarbeiter!$G$52=FALSE,0,IF(AND(Mitarbeiter!$E$52&lt;&gt;"",CO$5+6&lt;Mitarbeiter!$E$52),0,IF(AND(Mitarbeiter!$F$52&lt;&gt;"",CO$5&gt;Mitarbeiter!$F$52),0,IF(Planung!CO54="",$C54,IF(ISNUMBER(Planung!CO54),Planung!CO54,IF(UPPER(Planung!CO54)="H",$C54/2,0)))))))</f>
        <v>0</v>
      </c>
      <c r="CP54" s="27">
        <f>IF($A54="",0,IF(Mitarbeiter!$G$52=FALSE,0,IF(AND(Mitarbeiter!$E$52&lt;&gt;"",CP$5+6&lt;Mitarbeiter!$E$52),0,IF(AND(Mitarbeiter!$F$52&lt;&gt;"",CP$5&gt;Mitarbeiter!$F$52),0,IF(Planung!CP54="",$C54,IF(ISNUMBER(Planung!CP54),Planung!CP54,IF(UPPER(Planung!CP54)="H",$C54/2,0)))))))</f>
        <v>0</v>
      </c>
      <c r="CQ54" s="27">
        <f>IF($A54="",0,IF(Mitarbeiter!$G$52=FALSE,0,IF(AND(Mitarbeiter!$E$52&lt;&gt;"",CQ$5+6&lt;Mitarbeiter!$E$52),0,IF(AND(Mitarbeiter!$F$52&lt;&gt;"",CQ$5&gt;Mitarbeiter!$F$52),0,IF(Planung!CQ54="",$C54,IF(ISNUMBER(Planung!CQ54),Planung!CQ54,IF(UPPER(Planung!CQ54)="H",$C54/2,0)))))))</f>
        <v>0</v>
      </c>
      <c r="CR54" s="27">
        <f>IF($A54="",0,IF(Mitarbeiter!$G$52=FALSE,0,IF(AND(Mitarbeiter!$E$52&lt;&gt;"",CR$5+6&lt;Mitarbeiter!$E$52),0,IF(AND(Mitarbeiter!$F$52&lt;&gt;"",CR$5&gt;Mitarbeiter!$F$52),0,IF(Planung!CR54="",$C54,IF(ISNUMBER(Planung!CR54),Planung!CR54,IF(UPPER(Planung!CR54)="H",$C54/2,0)))))))</f>
        <v>0</v>
      </c>
      <c r="CS54" s="27">
        <f>IF($A54="",0,IF(Mitarbeiter!$G$52=FALSE,0,IF(AND(Mitarbeiter!$E$52&lt;&gt;"",CS$5+6&lt;Mitarbeiter!$E$52),0,IF(AND(Mitarbeiter!$F$52&lt;&gt;"",CS$5&gt;Mitarbeiter!$F$52),0,IF(Planung!CS54="",$C54,IF(ISNUMBER(Planung!CS54),Planung!CS54,IF(UPPER(Planung!CS54)="H",$C54/2,0)))))))</f>
        <v>0</v>
      </c>
      <c r="CT54" s="27">
        <f>IF($A54="",0,IF(Mitarbeiter!$G$52=FALSE,0,IF(AND(Mitarbeiter!$E$52&lt;&gt;"",CT$5+6&lt;Mitarbeiter!$E$52),0,IF(AND(Mitarbeiter!$F$52&lt;&gt;"",CT$5&gt;Mitarbeiter!$F$52),0,IF(Planung!CT54="",$C54,IF(ISNUMBER(Planung!CT54),Planung!CT54,IF(UPPER(Planung!CT54)="H",$C54/2,0)))))))</f>
        <v>0</v>
      </c>
      <c r="CU54" s="27">
        <f>IF($A54="",0,IF(Mitarbeiter!$G$52=FALSE,0,IF(AND(Mitarbeiter!$E$52&lt;&gt;"",CU$5+6&lt;Mitarbeiter!$E$52),0,IF(AND(Mitarbeiter!$F$52&lt;&gt;"",CU$5&gt;Mitarbeiter!$F$52),0,IF(Planung!CU54="",$C54,IF(ISNUMBER(Planung!CU54),Planung!CU54,IF(UPPER(Planung!CU54)="H",$C54/2,0)))))))</f>
        <v>0</v>
      </c>
      <c r="CV54" s="27">
        <f>IF($A54="",0,IF(Mitarbeiter!$G$52=FALSE,0,IF(AND(Mitarbeiter!$E$52&lt;&gt;"",CV$5+6&lt;Mitarbeiter!$E$52),0,IF(AND(Mitarbeiter!$F$52&lt;&gt;"",CV$5&gt;Mitarbeiter!$F$52),0,IF(Planung!CV54="",$C54,IF(ISNUMBER(Planung!CV54),Planung!CV54,IF(UPPER(Planung!CV54)="H",$C54/2,0)))))))</f>
        <v>0</v>
      </c>
      <c r="CW54" s="27">
        <f>IF($A54="",0,IF(Mitarbeiter!$G$52=FALSE,0,IF(AND(Mitarbeiter!$E$52&lt;&gt;"",CW$5+6&lt;Mitarbeiter!$E$52),0,IF(AND(Mitarbeiter!$F$52&lt;&gt;"",CW$5&gt;Mitarbeiter!$F$52),0,IF(Planung!CW54="",$C54,IF(ISNUMBER(Planung!CW54),Planung!CW54,IF(UPPER(Planung!CW54)="H",$C54/2,0)))))))</f>
        <v>0</v>
      </c>
      <c r="CX54" s="27">
        <f>IF($A54="",0,IF(Mitarbeiter!$G$52=FALSE,0,IF(AND(Mitarbeiter!$E$52&lt;&gt;"",CX$5+6&lt;Mitarbeiter!$E$52),0,IF(AND(Mitarbeiter!$F$52&lt;&gt;"",CX$5&gt;Mitarbeiter!$F$52),0,IF(Planung!CX54="",$C54,IF(ISNUMBER(Planung!CX54),Planung!CX54,IF(UPPER(Planung!CX54)="H",$C54/2,0)))))))</f>
        <v>0</v>
      </c>
      <c r="CY54" s="27">
        <f>IF($A54="",0,IF(Mitarbeiter!$G$52=FALSE,0,IF(AND(Mitarbeiter!$E$52&lt;&gt;"",CY$5+6&lt;Mitarbeiter!$E$52),0,IF(AND(Mitarbeiter!$F$52&lt;&gt;"",CY$5&gt;Mitarbeiter!$F$52),0,IF(Planung!CY54="",$C54,IF(ISNUMBER(Planung!CY54),Planung!CY54,IF(UPPER(Planung!CY54)="H",$C54/2,0)))))))</f>
        <v>0</v>
      </c>
      <c r="CZ54" s="27">
        <f>IF($A54="",0,IF(Mitarbeiter!$G$52=FALSE,0,IF(AND(Mitarbeiter!$E$52&lt;&gt;"",CZ$5+6&lt;Mitarbeiter!$E$52),0,IF(AND(Mitarbeiter!$F$52&lt;&gt;"",CZ$5&gt;Mitarbeiter!$F$52),0,IF(Planung!CZ54="",$C54,IF(ISNUMBER(Planung!CZ54),Planung!CZ54,IF(UPPER(Planung!CZ54)="H",$C54/2,0)))))))</f>
        <v>0</v>
      </c>
      <c r="DA54" s="27">
        <f>IF($A54="",0,IF(Mitarbeiter!$G$52=FALSE,0,IF(AND(Mitarbeiter!$E$52&lt;&gt;"",DA$5+6&lt;Mitarbeiter!$E$52),0,IF(AND(Mitarbeiter!$F$52&lt;&gt;"",DA$5&gt;Mitarbeiter!$F$52),0,IF(Planung!DA54="",$C54,IF(ISNUMBER(Planung!DA54),Planung!DA54,IF(UPPER(Planung!DA54)="H",$C54/2,0)))))))</f>
        <v>0</v>
      </c>
      <c r="DB54" s="27">
        <f>IF($A54="",0,IF(Mitarbeiter!$G$52=FALSE,0,IF(AND(Mitarbeiter!$E$52&lt;&gt;"",DB$5+6&lt;Mitarbeiter!$E$52),0,IF(AND(Mitarbeiter!$F$52&lt;&gt;"",DB$5&gt;Mitarbeiter!$F$52),0,IF(Planung!DB54="",$C54,IF(ISNUMBER(Planung!DB54),Planung!DB54,IF(UPPER(Planung!DB54)="H",$C54/2,0)))))))</f>
        <v>0</v>
      </c>
      <c r="DC54" s="27">
        <f>IF($A54="",0,IF(Mitarbeiter!$G$52=FALSE,0,IF(AND(Mitarbeiter!$E$52&lt;&gt;"",DC$5+6&lt;Mitarbeiter!$E$52),0,IF(AND(Mitarbeiter!$F$52&lt;&gt;"",DC$5&gt;Mitarbeiter!$F$52),0,IF(Planung!DC54="",$C54,IF(ISNUMBER(Planung!DC54),Planung!DC54,IF(UPPER(Planung!DC54)="H",$C54/2,0)))))))</f>
        <v>0</v>
      </c>
      <c r="DD54" s="27">
        <f>IF($A54="",0,IF(Mitarbeiter!$G$52=FALSE,0,IF(AND(Mitarbeiter!$E$52&lt;&gt;"",DD$5+6&lt;Mitarbeiter!$E$52),0,IF(AND(Mitarbeiter!$F$52&lt;&gt;"",DD$5&gt;Mitarbeiter!$F$52),0,IF(Planung!DD54="",$C54,IF(ISNUMBER(Planung!DD54),Planung!DD54,IF(UPPER(Planung!DD54)="H",$C54/2,0)))))))</f>
        <v>0</v>
      </c>
      <c r="DE54" s="27">
        <f>IF($A54="",0,IF(Mitarbeiter!$G$52=FALSE,0,IF(AND(Mitarbeiter!$E$52&lt;&gt;"",DE$5+6&lt;Mitarbeiter!$E$52),0,IF(AND(Mitarbeiter!$F$52&lt;&gt;"",DE$5&gt;Mitarbeiter!$F$52),0,IF(Planung!DE54="",$C54,IF(ISNUMBER(Planung!DE54),Planung!DE54,IF(UPPER(Planung!DE54)="H",$C54/2,0)))))))</f>
        <v>0</v>
      </c>
      <c r="DF54" s="27">
        <f>IF($A54="",0,IF(Mitarbeiter!$G$52=FALSE,0,IF(AND(Mitarbeiter!$E$52&lt;&gt;"",DF$5+6&lt;Mitarbeiter!$E$52),0,IF(AND(Mitarbeiter!$F$52&lt;&gt;"",DF$5&gt;Mitarbeiter!$F$52),0,IF(Planung!DF54="",$C54,IF(ISNUMBER(Planung!DF54),Planung!DF54,IF(UPPER(Planung!DF54)="H",$C54/2,0)))))))</f>
        <v>0</v>
      </c>
      <c r="DG54" s="27">
        <f>IF($A54="",0,IF(Mitarbeiter!$G$52=FALSE,0,IF(AND(Mitarbeiter!$E$52&lt;&gt;"",DG$5+6&lt;Mitarbeiter!$E$52),0,IF(AND(Mitarbeiter!$F$52&lt;&gt;"",DG$5&gt;Mitarbeiter!$F$52),0,IF(Planung!DG54="",$C54,IF(ISNUMBER(Planung!DG54),Planung!DG54,IF(UPPER(Planung!DG54)="H",$C54/2,0)))))))</f>
        <v>0</v>
      </c>
      <c r="DH54" s="27">
        <f>IF($A54="",0,IF(Mitarbeiter!$G$52=FALSE,0,IF(AND(Mitarbeiter!$E$52&lt;&gt;"",DH$5+6&lt;Mitarbeiter!$E$52),0,IF(AND(Mitarbeiter!$F$52&lt;&gt;"",DH$5&gt;Mitarbeiter!$F$52),0,IF(Planung!DH54="",$C54,IF(ISNUMBER(Planung!DH54),Planung!DH54,IF(UPPER(Planung!DH54)="H",$C54/2,0)))))))</f>
        <v>0</v>
      </c>
      <c r="DI54" s="27">
        <f>IF($A54="",0,IF(Mitarbeiter!$G$52=FALSE,0,IF(AND(Mitarbeiter!$E$52&lt;&gt;"",DI$5+6&lt;Mitarbeiter!$E$52),0,IF(AND(Mitarbeiter!$F$52&lt;&gt;"",DI$5&gt;Mitarbeiter!$F$52),0,IF(Planung!DI54="",$C54,IF(ISNUMBER(Planung!DI54),Planung!DI54,IF(UPPER(Planung!DI54)="H",$C54/2,0)))))))</f>
        <v>0</v>
      </c>
      <c r="DJ54" s="27">
        <f>IF($A54="",0,IF(Mitarbeiter!$G$52=FALSE,0,IF(AND(Mitarbeiter!$E$52&lt;&gt;"",DJ$5+6&lt;Mitarbeiter!$E$52),0,IF(AND(Mitarbeiter!$F$52&lt;&gt;"",DJ$5&gt;Mitarbeiter!$F$52),0,IF(Planung!DJ54="",$C54,IF(ISNUMBER(Planung!DJ54),Planung!DJ54,IF(UPPER(Planung!DJ54)="H",$C54/2,0)))))))</f>
        <v>0</v>
      </c>
      <c r="DK54" s="27">
        <f>IF($A54="",0,IF(Mitarbeiter!$G$52=FALSE,0,IF(AND(Mitarbeiter!$E$52&lt;&gt;"",DK$5+6&lt;Mitarbeiter!$E$52),0,IF(AND(Mitarbeiter!$F$52&lt;&gt;"",DK$5&gt;Mitarbeiter!$F$52),0,IF(Planung!DK54="",$C54,IF(ISNUMBER(Planung!DK54),Planung!DK54,IF(UPPER(Planung!DK54)="H",$C54/2,0)))))))</f>
        <v>0</v>
      </c>
      <c r="DL54" s="27">
        <f>IF($A54="",0,IF(Mitarbeiter!$G$52=FALSE,0,IF(AND(Mitarbeiter!$E$52&lt;&gt;"",DL$5+6&lt;Mitarbeiter!$E$52),0,IF(AND(Mitarbeiter!$F$52&lt;&gt;"",DL$5&gt;Mitarbeiter!$F$52),0,IF(Planung!DL54="",$C54,IF(ISNUMBER(Planung!DL54),Planung!DL54,IF(UPPER(Planung!DL54)="H",$C54/2,0)))))))</f>
        <v>0</v>
      </c>
      <c r="DM54" s="27">
        <f>IF($A54="",0,IF(Mitarbeiter!$G$52=FALSE,0,IF(AND(Mitarbeiter!$E$52&lt;&gt;"",DM$5+6&lt;Mitarbeiter!$E$52),0,IF(AND(Mitarbeiter!$F$52&lt;&gt;"",DM$5&gt;Mitarbeiter!$F$52),0,IF(Planung!DM54="",$C54,IF(ISNUMBER(Planung!DM54),Planung!DM54,IF(UPPER(Planung!DM54)="H",$C54/2,0)))))))</f>
        <v>0</v>
      </c>
      <c r="DN54" s="27">
        <f>IF($A54="",0,IF(Mitarbeiter!$G$52=FALSE,0,IF(AND(Mitarbeiter!$E$52&lt;&gt;"",DN$5+6&lt;Mitarbeiter!$E$52),0,IF(AND(Mitarbeiter!$F$52&lt;&gt;"",DN$5&gt;Mitarbeiter!$F$52),0,IF(Planung!DN54="",$C54,IF(ISNUMBER(Planung!DN54),Planung!DN54,IF(UPPER(Planung!DN54)="H",$C54/2,0)))))))</f>
        <v>0</v>
      </c>
      <c r="DO54" s="27">
        <f>IF($A54="",0,IF(Mitarbeiter!$G$52=FALSE,0,IF(AND(Mitarbeiter!$E$52&lt;&gt;"",DO$5+6&lt;Mitarbeiter!$E$52),0,IF(AND(Mitarbeiter!$F$52&lt;&gt;"",DO$5&gt;Mitarbeiter!$F$52),0,IF(Planung!DO54="",$C54,IF(ISNUMBER(Planung!DO54),Planung!DO54,IF(UPPER(Planung!DO54)="H",$C54/2,0)))))))</f>
        <v>0</v>
      </c>
      <c r="DP54" s="27">
        <f>IF($A54="",0,IF(Mitarbeiter!$G$52=FALSE,0,IF(AND(Mitarbeiter!$E$52&lt;&gt;"",DP$5+6&lt;Mitarbeiter!$E$52),0,IF(AND(Mitarbeiter!$F$52&lt;&gt;"",DP$5&gt;Mitarbeiter!$F$52),0,IF(Planung!DP54="",$C54,IF(ISNUMBER(Planung!DP54),Planung!DP54,IF(UPPER(Planung!DP54)="H",$C54/2,0)))))))</f>
        <v>0</v>
      </c>
      <c r="DQ54" s="27">
        <f>IF($A54="",0,IF(Mitarbeiter!$G$52=FALSE,0,IF(AND(Mitarbeiter!$E$52&lt;&gt;"",DQ$5+6&lt;Mitarbeiter!$E$52),0,IF(AND(Mitarbeiter!$F$52&lt;&gt;"",DQ$5&gt;Mitarbeiter!$F$52),0,IF(Planung!DQ54="",$C54,IF(ISNUMBER(Planung!DQ54),Planung!DQ54,IF(UPPER(Planung!DQ54)="H",$C54/2,0)))))))</f>
        <v>0</v>
      </c>
      <c r="DR54" s="27">
        <f>IF($A54="",0,IF(Mitarbeiter!$G$52=FALSE,0,IF(AND(Mitarbeiter!$E$52&lt;&gt;"",DR$5+6&lt;Mitarbeiter!$E$52),0,IF(AND(Mitarbeiter!$F$52&lt;&gt;"",DR$5&gt;Mitarbeiter!$F$52),0,IF(Planung!DR54="",$C54,IF(ISNUMBER(Planung!DR54),Planung!DR54,IF(UPPER(Planung!DR54)="H",$C54/2,0)))))))</f>
        <v>0</v>
      </c>
      <c r="DS54" s="27">
        <f>IF($A54="",0,IF(Mitarbeiter!$G$52=FALSE,0,IF(AND(Mitarbeiter!$E$52&lt;&gt;"",DS$5+6&lt;Mitarbeiter!$E$52),0,IF(AND(Mitarbeiter!$F$52&lt;&gt;"",DS$5&gt;Mitarbeiter!$F$52),0,IF(Planung!DS54="",$C54,IF(ISNUMBER(Planung!DS54),Planung!DS54,IF(UPPER(Planung!DS54)="H",$C54/2,0)))))))</f>
        <v>0</v>
      </c>
      <c r="DT54" s="27">
        <f>IF($A54="",0,IF(Mitarbeiter!$G$52=FALSE,0,IF(AND(Mitarbeiter!$E$52&lt;&gt;"",DT$5+6&lt;Mitarbeiter!$E$52),0,IF(AND(Mitarbeiter!$F$52&lt;&gt;"",DT$5&gt;Mitarbeiter!$F$52),0,IF(Planung!DT54="",$C54,IF(ISNUMBER(Planung!DT54),Planung!DT54,IF(UPPER(Planung!DT54)="H",$C54/2,0)))))))</f>
        <v>0</v>
      </c>
      <c r="DU54" s="27">
        <f>IF($A54="",0,IF(Mitarbeiter!$G$52=FALSE,0,IF(AND(Mitarbeiter!$E$52&lt;&gt;"",DU$5+6&lt;Mitarbeiter!$E$52),0,IF(AND(Mitarbeiter!$F$52&lt;&gt;"",DU$5&gt;Mitarbeiter!$F$52),0,IF(Planung!DU54="",$C54,IF(ISNUMBER(Planung!DU54),Planung!DU54,IF(UPPER(Planung!DU54)="H",$C54/2,0)))))))</f>
        <v>0</v>
      </c>
      <c r="DV54" s="27">
        <f>IF($A54="",0,IF(Mitarbeiter!$G$52=FALSE,0,IF(AND(Mitarbeiter!$E$52&lt;&gt;"",DV$5+6&lt;Mitarbeiter!$E$52),0,IF(AND(Mitarbeiter!$F$52&lt;&gt;"",DV$5&gt;Mitarbeiter!$F$52),0,IF(Planung!DV54="",$C54,IF(ISNUMBER(Planung!DV54),Planung!DV54,IF(UPPER(Planung!DV54)="H",$C54/2,0)))))))</f>
        <v>0</v>
      </c>
      <c r="DW54" s="27">
        <f>IF($A54="",0,IF(Mitarbeiter!$G$52=FALSE,0,IF(AND(Mitarbeiter!$E$52&lt;&gt;"",DW$5+6&lt;Mitarbeiter!$E$52),0,IF(AND(Mitarbeiter!$F$52&lt;&gt;"",DW$5&gt;Mitarbeiter!$F$52),0,IF(Planung!DW54="",$C54,IF(ISNUMBER(Planung!DW54),Planung!DW54,IF(UPPER(Planung!DW54)="H",$C54/2,0)))))))</f>
        <v>0</v>
      </c>
      <c r="DX54" s="27">
        <f>IF($A54="",0,IF(Mitarbeiter!$G$52=FALSE,0,IF(AND(Mitarbeiter!$E$52&lt;&gt;"",DX$5+6&lt;Mitarbeiter!$E$52),0,IF(AND(Mitarbeiter!$F$52&lt;&gt;"",DX$5&gt;Mitarbeiter!$F$52),0,IF(Planung!DX54="",$C54,IF(ISNUMBER(Planung!DX54),Planung!DX54,IF(UPPER(Planung!DX54)="H",$C54/2,0)))))))</f>
        <v>0</v>
      </c>
      <c r="DY54" s="27">
        <f>IF($A54="",0,IF(Mitarbeiter!$G$52=FALSE,0,IF(AND(Mitarbeiter!$E$52&lt;&gt;"",DY$5+6&lt;Mitarbeiter!$E$52),0,IF(AND(Mitarbeiter!$F$52&lt;&gt;"",DY$5&gt;Mitarbeiter!$F$52),0,IF(Planung!DY54="",$C54,IF(ISNUMBER(Planung!DY54),Planung!DY54,IF(UPPER(Planung!DY54)="H",$C54/2,0)))))))</f>
        <v>0</v>
      </c>
      <c r="DZ54" s="27">
        <f>IF($A54="",0,IF(Mitarbeiter!$G$52=FALSE,0,IF(AND(Mitarbeiter!$E$52&lt;&gt;"",DZ$5+6&lt;Mitarbeiter!$E$52),0,IF(AND(Mitarbeiter!$F$52&lt;&gt;"",DZ$5&gt;Mitarbeiter!$F$52),0,IF(Planung!DZ54="",$C54,IF(ISNUMBER(Planung!DZ54),Planung!DZ54,IF(UPPER(Planung!DZ54)="H",$C54/2,0)))))))</f>
        <v>0</v>
      </c>
      <c r="EA54" s="27">
        <f>IF($A54="",0,IF(Mitarbeiter!$G$52=FALSE,0,IF(AND(Mitarbeiter!$E$52&lt;&gt;"",EA$5+6&lt;Mitarbeiter!$E$52),0,IF(AND(Mitarbeiter!$F$52&lt;&gt;"",EA$5&gt;Mitarbeiter!$F$52),0,IF(Planung!EA54="",$C54,IF(ISNUMBER(Planung!EA54),Planung!EA54,IF(UPPER(Planung!EA54)="H",$C54/2,0)))))))</f>
        <v>0</v>
      </c>
      <c r="EB54" s="27">
        <f>IF($A54="",0,IF(Mitarbeiter!$G$52=FALSE,0,IF(AND(Mitarbeiter!$E$52&lt;&gt;"",EB$5+6&lt;Mitarbeiter!$E$52),0,IF(AND(Mitarbeiter!$F$52&lt;&gt;"",EB$5&gt;Mitarbeiter!$F$52),0,IF(Planung!EB54="",$C54,IF(ISNUMBER(Planung!EB54),Planung!EB54,IF(UPPER(Planung!EB54)="H",$C54/2,0)))))))</f>
        <v>0</v>
      </c>
      <c r="EC54" s="27">
        <f>IF($A54="",0,IF(Mitarbeiter!$G$52=FALSE,0,IF(AND(Mitarbeiter!$E$52&lt;&gt;"",EC$5+6&lt;Mitarbeiter!$E$52),0,IF(AND(Mitarbeiter!$F$52&lt;&gt;"",EC$5&gt;Mitarbeiter!$F$52),0,IF(Planung!EC54="",$C54,IF(ISNUMBER(Planung!EC54),Planung!EC54,IF(UPPER(Planung!EC54)="H",$C54/2,0)))))))</f>
        <v>0</v>
      </c>
      <c r="ED54" s="27">
        <f>IF($A54="",0,IF(Mitarbeiter!$G$52=FALSE,0,IF(AND(Mitarbeiter!$E$52&lt;&gt;"",ED$5+6&lt;Mitarbeiter!$E$52),0,IF(AND(Mitarbeiter!$F$52&lt;&gt;"",ED$5&gt;Mitarbeiter!$F$52),0,IF(Planung!ED54="",$C54,IF(ISNUMBER(Planung!ED54),Planung!ED54,IF(UPPER(Planung!ED54)="H",$C54/2,0)))))))</f>
        <v>0</v>
      </c>
      <c r="EE54" s="27">
        <f>IF($A54="",0,IF(Mitarbeiter!$G$52=FALSE,0,IF(AND(Mitarbeiter!$E$52&lt;&gt;"",EE$5+6&lt;Mitarbeiter!$E$52),0,IF(AND(Mitarbeiter!$F$52&lt;&gt;"",EE$5&gt;Mitarbeiter!$F$52),0,IF(Planung!EE54="",$C54,IF(ISNUMBER(Planung!EE54),Planung!EE54,IF(UPPER(Planung!EE54)="H",$C54/2,0)))))))</f>
        <v>0</v>
      </c>
      <c r="EF54" s="27">
        <f>IF($A54="",0,IF(Mitarbeiter!$G$52=FALSE,0,IF(AND(Mitarbeiter!$E$52&lt;&gt;"",EF$5+6&lt;Mitarbeiter!$E$52),0,IF(AND(Mitarbeiter!$F$52&lt;&gt;"",EF$5&gt;Mitarbeiter!$F$52),0,IF(Planung!EF54="",$C54,IF(ISNUMBER(Planung!EF54),Planung!EF54,IF(UPPER(Planung!EF54)="H",$C54/2,0)))))))</f>
        <v>0</v>
      </c>
      <c r="EG54" s="27">
        <f>IF($A54="",0,IF(Mitarbeiter!$G$52=FALSE,0,IF(AND(Mitarbeiter!$E$52&lt;&gt;"",EG$5+6&lt;Mitarbeiter!$E$52),0,IF(AND(Mitarbeiter!$F$52&lt;&gt;"",EG$5&gt;Mitarbeiter!$F$52),0,IF(Planung!EG54="",$C54,IF(ISNUMBER(Planung!EG54),Planung!EG54,IF(UPPER(Planung!EG54)="H",$C54/2,0)))))))</f>
        <v>0</v>
      </c>
      <c r="EH54" s="27">
        <f>IF($A54="",0,IF(Mitarbeiter!$G$52=FALSE,0,IF(AND(Mitarbeiter!$E$52&lt;&gt;"",EH$5+6&lt;Mitarbeiter!$E$52),0,IF(AND(Mitarbeiter!$F$52&lt;&gt;"",EH$5&gt;Mitarbeiter!$F$52),0,IF(Planung!EH54="",$C54,IF(ISNUMBER(Planung!EH54),Planung!EH54,IF(UPPER(Planung!EH54)="H",$C54/2,0)))))))</f>
        <v>0</v>
      </c>
      <c r="EI54" s="27">
        <f>IF($A54="",0,IF(Mitarbeiter!$G$52=FALSE,0,IF(AND(Mitarbeiter!$E$52&lt;&gt;"",EI$5+6&lt;Mitarbeiter!$E$52),0,IF(AND(Mitarbeiter!$F$52&lt;&gt;"",EI$5&gt;Mitarbeiter!$F$52),0,IF(Planung!EI54="",$C54,IF(ISNUMBER(Planung!EI54),Planung!EI54,IF(UPPER(Planung!EI54)="H",$C54/2,0)))))))</f>
        <v>0</v>
      </c>
      <c r="EJ54" s="27">
        <f>IF($A54="",0,IF(Mitarbeiter!$G$52=FALSE,0,IF(AND(Mitarbeiter!$E$52&lt;&gt;"",EJ$5+6&lt;Mitarbeiter!$E$52),0,IF(AND(Mitarbeiter!$F$52&lt;&gt;"",EJ$5&gt;Mitarbeiter!$F$52),0,IF(Planung!EJ54="",$C54,IF(ISNUMBER(Planung!EJ54),Planung!EJ54,IF(UPPER(Planung!EJ54)="H",$C54/2,0)))))))</f>
        <v>0</v>
      </c>
      <c r="EK54" s="27">
        <f>IF($A54="",0,IF(Mitarbeiter!$G$52=FALSE,0,IF(AND(Mitarbeiter!$E$52&lt;&gt;"",EK$5+6&lt;Mitarbeiter!$E$52),0,IF(AND(Mitarbeiter!$F$52&lt;&gt;"",EK$5&gt;Mitarbeiter!$F$52),0,IF(Planung!EK54="",$C54,IF(ISNUMBER(Planung!EK54),Planung!EK54,IF(UPPER(Planung!EK54)="H",$C54/2,0)))))))</f>
        <v>0</v>
      </c>
      <c r="EL54" s="27">
        <f>IF($A54="",0,IF(Mitarbeiter!$G$52=FALSE,0,IF(AND(Mitarbeiter!$E$52&lt;&gt;"",EL$5+6&lt;Mitarbeiter!$E$52),0,IF(AND(Mitarbeiter!$F$52&lt;&gt;"",EL$5&gt;Mitarbeiter!$F$52),0,IF(Planung!EL54="",$C54,IF(ISNUMBER(Planung!EL54),Planung!EL54,IF(UPPER(Planung!EL54)="H",$C54/2,0)))))))</f>
        <v>0</v>
      </c>
      <c r="EM54" s="27">
        <f>IF($A54="",0,IF(Mitarbeiter!$G$52=FALSE,0,IF(AND(Mitarbeiter!$E$52&lt;&gt;"",EM$5+6&lt;Mitarbeiter!$E$52),0,IF(AND(Mitarbeiter!$F$52&lt;&gt;"",EM$5&gt;Mitarbeiter!$F$52),0,IF(Planung!EM54="",$C54,IF(ISNUMBER(Planung!EM54),Planung!EM54,IF(UPPER(Planung!EM54)="H",$C54/2,0)))))))</f>
        <v>0</v>
      </c>
      <c r="EN54" s="27">
        <f>IF($A54="",0,IF(Mitarbeiter!$G$52=FALSE,0,IF(AND(Mitarbeiter!$E$52&lt;&gt;"",EN$5+6&lt;Mitarbeiter!$E$52),0,IF(AND(Mitarbeiter!$F$52&lt;&gt;"",EN$5&gt;Mitarbeiter!$F$52),0,IF(Planung!EN54="",$C54,IF(ISNUMBER(Planung!EN54),Planung!EN54,IF(UPPER(Planung!EN54)="H",$C54/2,0)))))))</f>
        <v>0</v>
      </c>
      <c r="EO54" s="27">
        <f>IF($A54="",0,IF(Mitarbeiter!$G$52=FALSE,0,IF(AND(Mitarbeiter!$E$52&lt;&gt;"",EO$5+6&lt;Mitarbeiter!$E$52),0,IF(AND(Mitarbeiter!$F$52&lt;&gt;"",EO$5&gt;Mitarbeiter!$F$52),0,IF(Planung!EO54="",$C54,IF(ISNUMBER(Planung!EO54),Planung!EO54,IF(UPPER(Planung!EO54)="H",$C54/2,0)))))))</f>
        <v>0</v>
      </c>
      <c r="EP54" s="27">
        <f>IF($A54="",0,IF(Mitarbeiter!$G$52=FALSE,0,IF(AND(Mitarbeiter!$E$52&lt;&gt;"",EP$5+6&lt;Mitarbeiter!$E$52),0,IF(AND(Mitarbeiter!$F$52&lt;&gt;"",EP$5&gt;Mitarbeiter!$F$52),0,IF(Planung!EP54="",$C54,IF(ISNUMBER(Planung!EP54),Planung!EP54,IF(UPPER(Planung!EP54)="H",$C54/2,0)))))))</f>
        <v>0</v>
      </c>
      <c r="EQ54" s="27">
        <f>IF($A54="",0,IF(Mitarbeiter!$G$52=FALSE,0,IF(AND(Mitarbeiter!$E$52&lt;&gt;"",EQ$5+6&lt;Mitarbeiter!$E$52),0,IF(AND(Mitarbeiter!$F$52&lt;&gt;"",EQ$5&gt;Mitarbeiter!$F$52),0,IF(Planung!EQ54="",$C54,IF(ISNUMBER(Planung!EQ54),Planung!EQ54,IF(UPPER(Planung!EQ54)="H",$C54/2,0)))))))</f>
        <v>0</v>
      </c>
      <c r="ER54" s="27">
        <f>IF($A54="",0,IF(Mitarbeiter!$G$52=FALSE,0,IF(AND(Mitarbeiter!$E$52&lt;&gt;"",ER$5+6&lt;Mitarbeiter!$E$52),0,IF(AND(Mitarbeiter!$F$52&lt;&gt;"",ER$5&gt;Mitarbeiter!$F$52),0,IF(Planung!ER54="",$C54,IF(ISNUMBER(Planung!ER54),Planung!ER54,IF(UPPER(Planung!ER54)="H",$C54/2,0)))))))</f>
        <v>0</v>
      </c>
      <c r="ES54" s="27">
        <f>IF($A54="",0,IF(Mitarbeiter!$G$52=FALSE,0,IF(AND(Mitarbeiter!$E$52&lt;&gt;"",ES$5+6&lt;Mitarbeiter!$E$52),0,IF(AND(Mitarbeiter!$F$52&lt;&gt;"",ES$5&gt;Mitarbeiter!$F$52),0,IF(Planung!ES54="",$C54,IF(ISNUMBER(Planung!ES54),Planung!ES54,IF(UPPER(Planung!ES54)="H",$C54/2,0)))))))</f>
        <v>0</v>
      </c>
      <c r="ET54" s="27">
        <f>IF($A54="",0,IF(Mitarbeiter!$G$52=FALSE,0,IF(AND(Mitarbeiter!$E$52&lt;&gt;"",ET$5+6&lt;Mitarbeiter!$E$52),0,IF(AND(Mitarbeiter!$F$52&lt;&gt;"",ET$5&gt;Mitarbeiter!$F$52),0,IF(Planung!ET54="",$C54,IF(ISNUMBER(Planung!ET54),Planung!ET54,IF(UPPER(Planung!ET54)="H",$C54/2,0)))))))</f>
        <v>0</v>
      </c>
      <c r="EU54" s="27">
        <f>IF($A54="",0,IF(Mitarbeiter!$G$52=FALSE,0,IF(AND(Mitarbeiter!$E$52&lt;&gt;"",EU$5+6&lt;Mitarbeiter!$E$52),0,IF(AND(Mitarbeiter!$F$52&lt;&gt;"",EU$5&gt;Mitarbeiter!$F$52),0,IF(Planung!EU54="",$C54,IF(ISNUMBER(Planung!EU54),Planung!EU54,IF(UPPER(Planung!EU54)="H",$C54/2,0)))))))</f>
        <v>0</v>
      </c>
      <c r="EV54" s="27">
        <f>IF($A54="",0,IF(Mitarbeiter!$G$52=FALSE,0,IF(AND(Mitarbeiter!$E$52&lt;&gt;"",EV$5+6&lt;Mitarbeiter!$E$52),0,IF(AND(Mitarbeiter!$F$52&lt;&gt;"",EV$5&gt;Mitarbeiter!$F$52),0,IF(Planung!EV54="",$C54,IF(ISNUMBER(Planung!EV54),Planung!EV54,IF(UPPER(Planung!EV54)="H",$C54/2,0)))))))</f>
        <v>0</v>
      </c>
      <c r="EW54" s="27">
        <f>IF($A54="",0,IF(Mitarbeiter!$G$52=FALSE,0,IF(AND(Mitarbeiter!$E$52&lt;&gt;"",EW$5+6&lt;Mitarbeiter!$E$52),0,IF(AND(Mitarbeiter!$F$52&lt;&gt;"",EW$5&gt;Mitarbeiter!$F$52),0,IF(Planung!EW54="",$C54,IF(ISNUMBER(Planung!EW54),Planung!EW54,IF(UPPER(Planung!EW54)="H",$C54/2,0)))))))</f>
        <v>0</v>
      </c>
      <c r="EX54" s="27">
        <f>IF($A54="",0,IF(Mitarbeiter!$G$52=FALSE,0,IF(AND(Mitarbeiter!$E$52&lt;&gt;"",EX$5+6&lt;Mitarbeiter!$E$52),0,IF(AND(Mitarbeiter!$F$52&lt;&gt;"",EX$5&gt;Mitarbeiter!$F$52),0,IF(Planung!EX54="",$C54,IF(ISNUMBER(Planung!EX54),Planung!EX54,IF(UPPER(Planung!EX54)="H",$C54/2,0)))))))</f>
        <v>0</v>
      </c>
      <c r="EY54" s="27">
        <f>IF($A54="",0,IF(Mitarbeiter!$G$52=FALSE,0,IF(AND(Mitarbeiter!$E$52&lt;&gt;"",EY$5+6&lt;Mitarbeiter!$E$52),0,IF(AND(Mitarbeiter!$F$52&lt;&gt;"",EY$5&gt;Mitarbeiter!$F$52),0,IF(Planung!EY54="",$C54,IF(ISNUMBER(Planung!EY54),Planung!EY54,IF(UPPER(Planung!EY54)="H",$C54/2,0)))))))</f>
        <v>0</v>
      </c>
      <c r="EZ54" s="27">
        <f>IF($A54="",0,IF(Mitarbeiter!$G$52=FALSE,0,IF(AND(Mitarbeiter!$E$52&lt;&gt;"",EZ$5+6&lt;Mitarbeiter!$E$52),0,IF(AND(Mitarbeiter!$F$52&lt;&gt;"",EZ$5&gt;Mitarbeiter!$F$52),0,IF(Planung!EZ54="",$C54,IF(ISNUMBER(Planung!EZ54),Planung!EZ54,IF(UPPER(Planung!EZ54)="H",$C54/2,0)))))))</f>
        <v>0</v>
      </c>
      <c r="FA54" s="27">
        <f>IF($A54="",0,IF(Mitarbeiter!$G$52=FALSE,0,IF(AND(Mitarbeiter!$E$52&lt;&gt;"",FA$5+6&lt;Mitarbeiter!$E$52),0,IF(AND(Mitarbeiter!$F$52&lt;&gt;"",FA$5&gt;Mitarbeiter!$F$52),0,IF(Planung!FA54="",$C54,IF(ISNUMBER(Planung!FA54),Planung!FA54,IF(UPPER(Planung!FA54)="H",$C54/2,0)))))))</f>
        <v>0</v>
      </c>
      <c r="FB54" s="27">
        <f>IF($A54="",0,IF(Mitarbeiter!$G$52=FALSE,0,IF(AND(Mitarbeiter!$E$52&lt;&gt;"",FB$5+6&lt;Mitarbeiter!$E$52),0,IF(AND(Mitarbeiter!$F$52&lt;&gt;"",FB$5&gt;Mitarbeiter!$F$52),0,IF(Planung!FB54="",$C54,IF(ISNUMBER(Planung!FB54),Planung!FB54,IF(UPPER(Planung!FB54)="H",$C54/2,0)))))))</f>
        <v>0</v>
      </c>
      <c r="FC54" s="27">
        <f>IF($A54="",0,IF(Mitarbeiter!$G$52=FALSE,0,IF(AND(Mitarbeiter!$E$52&lt;&gt;"",FC$5+6&lt;Mitarbeiter!$E$52),0,IF(AND(Mitarbeiter!$F$52&lt;&gt;"",FC$5&gt;Mitarbeiter!$F$52),0,IF(Planung!FC54="",$C54,IF(ISNUMBER(Planung!FC54),Planung!FC54,IF(UPPER(Planung!FC54)="H",$C54/2,0)))))))</f>
        <v>0</v>
      </c>
      <c r="FD54" s="27">
        <f>IF($A54="",0,IF(Mitarbeiter!$G$52=FALSE,0,IF(AND(Mitarbeiter!$E$52&lt;&gt;"",FD$5+6&lt;Mitarbeiter!$E$52),0,IF(AND(Mitarbeiter!$F$52&lt;&gt;"",FD$5&gt;Mitarbeiter!$F$52),0,IF(Planung!FD54="",$C54,IF(ISNUMBER(Planung!FD54),Planung!FD54,IF(UPPER(Planung!FD54)="H",$C54/2,0)))))))</f>
        <v>0</v>
      </c>
      <c r="FE54" s="27">
        <f>IF($A54="",0,IF(Mitarbeiter!$G$52=FALSE,0,IF(AND(Mitarbeiter!$E$52&lt;&gt;"",FE$5+6&lt;Mitarbeiter!$E$52),0,IF(AND(Mitarbeiter!$F$52&lt;&gt;"",FE$5&gt;Mitarbeiter!$F$52),0,IF(Planung!FE54="",$C54,IF(ISNUMBER(Planung!FE54),Planung!FE54,IF(UPPER(Planung!FE54)="H",$C54/2,0)))))))</f>
        <v>0</v>
      </c>
      <c r="FF54" s="27">
        <f>IF($A54="",0,IF(Mitarbeiter!$G$52=FALSE,0,IF(AND(Mitarbeiter!$E$52&lt;&gt;"",FF$5+6&lt;Mitarbeiter!$E$52),0,IF(AND(Mitarbeiter!$F$52&lt;&gt;"",FF$5&gt;Mitarbeiter!$F$52),0,IF(Planung!FF54="",$C54,IF(ISNUMBER(Planung!FF54),Planung!FF54,IF(UPPER(Planung!FF54)="H",$C54/2,0)))))))</f>
        <v>0</v>
      </c>
      <c r="FG54" s="27">
        <f>IF($A54="",0,IF(Mitarbeiter!$G$52=FALSE,0,IF(AND(Mitarbeiter!$E$52&lt;&gt;"",FG$5+6&lt;Mitarbeiter!$E$52),0,IF(AND(Mitarbeiter!$F$52&lt;&gt;"",FG$5&gt;Mitarbeiter!$F$52),0,IF(Planung!FG54="",$C54,IF(ISNUMBER(Planung!FG54),Planung!FG54,IF(UPPER(Planung!FG54)="H",$C54/2,0)))))))</f>
        <v>0</v>
      </c>
      <c r="FH54" s="27">
        <f>IF($A54="",0,IF(Mitarbeiter!$G$52=FALSE,0,IF(AND(Mitarbeiter!$E$52&lt;&gt;"",FH$5+6&lt;Mitarbeiter!$E$52),0,IF(AND(Mitarbeiter!$F$52&lt;&gt;"",FH$5&gt;Mitarbeiter!$F$52),0,IF(Planung!FH54="",$C54,IF(ISNUMBER(Planung!FH54),Planung!FH54,IF(UPPER(Planung!FH54)="H",$C54/2,0)))))))</f>
        <v>0</v>
      </c>
      <c r="FI54" s="27">
        <f>IF($A54="",0,IF(Mitarbeiter!$G$52=FALSE,0,IF(AND(Mitarbeiter!$E$52&lt;&gt;"",FI$5+6&lt;Mitarbeiter!$E$52),0,IF(AND(Mitarbeiter!$F$52&lt;&gt;"",FI$5&gt;Mitarbeiter!$F$52),0,IF(Planung!FI54="",$C54,IF(ISNUMBER(Planung!FI54),Planung!FI54,IF(UPPER(Planung!FI54)="H",$C54/2,0)))))))</f>
        <v>0</v>
      </c>
      <c r="FJ54" s="27">
        <f>IF($A54="",0,IF(Mitarbeiter!$G$52=FALSE,0,IF(AND(Mitarbeiter!$E$52&lt;&gt;"",FJ$5+6&lt;Mitarbeiter!$E$52),0,IF(AND(Mitarbeiter!$F$52&lt;&gt;"",FJ$5&gt;Mitarbeiter!$F$52),0,IF(Planung!FJ54="",$C54,IF(ISNUMBER(Planung!FJ54),Planung!FJ54,IF(UPPER(Planung!FJ54)="H",$C54/2,0)))))))</f>
        <v>0</v>
      </c>
      <c r="FK54" s="27">
        <f>IF($A54="",0,IF(Mitarbeiter!$G$52=FALSE,0,IF(AND(Mitarbeiter!$E$52&lt;&gt;"",FK$5+6&lt;Mitarbeiter!$E$52),0,IF(AND(Mitarbeiter!$F$52&lt;&gt;"",FK$5&gt;Mitarbeiter!$F$52),0,IF(Planung!FK54="",$C54,IF(ISNUMBER(Planung!FK54),Planung!FK54,IF(UPPER(Planung!FK54)="H",$C54/2,0)))))))</f>
        <v>0</v>
      </c>
      <c r="FL54" s="27">
        <f>IF($A54="",0,IF(Mitarbeiter!$G$52=FALSE,0,IF(AND(Mitarbeiter!$E$52&lt;&gt;"",FL$5+6&lt;Mitarbeiter!$E$52),0,IF(AND(Mitarbeiter!$F$52&lt;&gt;"",FL$5&gt;Mitarbeiter!$F$52),0,IF(Planung!FL54="",$C54,IF(ISNUMBER(Planung!FL54),Planung!FL54,IF(UPPER(Planung!FL54)="H",$C54/2,0)))))))</f>
        <v>0</v>
      </c>
      <c r="FM54" s="27">
        <f>IF($A54="",0,IF(Mitarbeiter!$G$52=FALSE,0,IF(AND(Mitarbeiter!$E$52&lt;&gt;"",FM$5+6&lt;Mitarbeiter!$E$52),0,IF(AND(Mitarbeiter!$F$52&lt;&gt;"",FM$5&gt;Mitarbeiter!$F$52),0,IF(Planung!FM54="",$C54,IF(ISNUMBER(Planung!FM54),Planung!FM54,IF(UPPER(Planung!FM54)="H",$C54/2,0)))))))</f>
        <v>0</v>
      </c>
      <c r="FN54" s="27">
        <f>IF($A54="",0,IF(Mitarbeiter!$G$52=FALSE,0,IF(AND(Mitarbeiter!$E$52&lt;&gt;"",FN$5+6&lt;Mitarbeiter!$E$52),0,IF(AND(Mitarbeiter!$F$52&lt;&gt;"",FN$5&gt;Mitarbeiter!$F$52),0,IF(Planung!FN54="",$C54,IF(ISNUMBER(Planung!FN54),Planung!FN54,IF(UPPER(Planung!FN54)="H",$C54/2,0)))))))</f>
        <v>0</v>
      </c>
      <c r="FO54" s="27">
        <f>IF($A54="",0,IF(Mitarbeiter!$G$52=FALSE,0,IF(AND(Mitarbeiter!$E$52&lt;&gt;"",FO$5+6&lt;Mitarbeiter!$E$52),0,IF(AND(Mitarbeiter!$F$52&lt;&gt;"",FO$5&gt;Mitarbeiter!$F$52),0,IF(Planung!FO54="",$C54,IF(ISNUMBER(Planung!FO54),Planung!FO54,IF(UPPER(Planung!FO54)="H",$C54/2,0)))))))</f>
        <v>0</v>
      </c>
      <c r="FP54" s="27">
        <f>IF($A54="",0,IF(Mitarbeiter!$G$52=FALSE,0,IF(AND(Mitarbeiter!$E$52&lt;&gt;"",FP$5+6&lt;Mitarbeiter!$E$52),0,IF(AND(Mitarbeiter!$F$52&lt;&gt;"",FP$5&gt;Mitarbeiter!$F$52),0,IF(Planung!FP54="",$C54,IF(ISNUMBER(Planung!FP54),Planung!FP54,IF(UPPER(Planung!FP54)="H",$C54/2,0)))))))</f>
        <v>0</v>
      </c>
      <c r="FQ54" s="27">
        <f>IF($A54="",0,IF(Mitarbeiter!$G$52=FALSE,0,IF(AND(Mitarbeiter!$E$52&lt;&gt;"",FQ$5+6&lt;Mitarbeiter!$E$52),0,IF(AND(Mitarbeiter!$F$52&lt;&gt;"",FQ$5&gt;Mitarbeiter!$F$52),0,IF(Planung!FQ54="",$C54,IF(ISNUMBER(Planung!FQ54),Planung!FQ54,IF(UPPER(Planung!FQ54)="H",$C54/2,0)))))))</f>
        <v>0</v>
      </c>
      <c r="FR54" s="27">
        <f>IF($A54="",0,IF(Mitarbeiter!$G$52=FALSE,0,IF(AND(Mitarbeiter!$E$52&lt;&gt;"",FR$5+6&lt;Mitarbeiter!$E$52),0,IF(AND(Mitarbeiter!$F$52&lt;&gt;"",FR$5&gt;Mitarbeiter!$F$52),0,IF(Planung!FR54="",$C54,IF(ISNUMBER(Planung!FR54),Planung!FR54,IF(UPPER(Planung!FR54)="H",$C54/2,0)))))))</f>
        <v>0</v>
      </c>
      <c r="FS54" s="27">
        <f>IF($A54="",0,IF(Mitarbeiter!$G$52=FALSE,0,IF(AND(Mitarbeiter!$E$52&lt;&gt;"",FS$5+6&lt;Mitarbeiter!$E$52),0,IF(AND(Mitarbeiter!$F$52&lt;&gt;"",FS$5&gt;Mitarbeiter!$F$52),0,IF(Planung!FS54="",$C54,IF(ISNUMBER(Planung!FS54),Planung!FS54,IF(UPPER(Planung!FS54)="H",$C54/2,0)))))))</f>
        <v>0</v>
      </c>
      <c r="FT54" s="27">
        <f>IF($A54="",0,IF(Mitarbeiter!$G$52=FALSE,0,IF(AND(Mitarbeiter!$E$52&lt;&gt;"",FT$5+6&lt;Mitarbeiter!$E$52),0,IF(AND(Mitarbeiter!$F$52&lt;&gt;"",FT$5&gt;Mitarbeiter!$F$52),0,IF(Planung!FT54="",$C54,IF(ISNUMBER(Planung!FT54),Planung!FT54,IF(UPPER(Planung!FT54)="H",$C54/2,0)))))))</f>
        <v>0</v>
      </c>
      <c r="FU54" s="27">
        <f>IF($A54="",0,IF(Mitarbeiter!$G$52=FALSE,0,IF(AND(Mitarbeiter!$E$52&lt;&gt;"",FU$5+6&lt;Mitarbeiter!$E$52),0,IF(AND(Mitarbeiter!$F$52&lt;&gt;"",FU$5&gt;Mitarbeiter!$F$52),0,IF(Planung!FU54="",$C54,IF(ISNUMBER(Planung!FU54),Planung!FU54,IF(UPPER(Planung!FU54)="H",$C54/2,0)))))))</f>
        <v>0</v>
      </c>
      <c r="FV54" s="27">
        <f>IF($A54="",0,IF(Mitarbeiter!$G$52=FALSE,0,IF(AND(Mitarbeiter!$E$52&lt;&gt;"",FV$5+6&lt;Mitarbeiter!$E$52),0,IF(AND(Mitarbeiter!$F$52&lt;&gt;"",FV$5&gt;Mitarbeiter!$F$52),0,IF(Planung!FV54="",$C54,IF(ISNUMBER(Planung!FV54),Planung!FV54,IF(UPPER(Planung!FV54)="H",$C54/2,0)))))))</f>
        <v>0</v>
      </c>
      <c r="FW54" s="27">
        <f>IF($A54="",0,IF(Mitarbeiter!$G$52=FALSE,0,IF(AND(Mitarbeiter!$E$52&lt;&gt;"",FW$5+6&lt;Mitarbeiter!$E$52),0,IF(AND(Mitarbeiter!$F$52&lt;&gt;"",FW$5&gt;Mitarbeiter!$F$52),0,IF(Planung!FW54="",$C54,IF(ISNUMBER(Planung!FW54),Planung!FW54,IF(UPPER(Planung!FW54)="H",$C54/2,0)))))))</f>
        <v>0</v>
      </c>
      <c r="FX54" s="27">
        <f>IF($A54="",0,IF(Mitarbeiter!$G$52=FALSE,0,IF(AND(Mitarbeiter!$E$52&lt;&gt;"",FX$5+6&lt;Mitarbeiter!$E$52),0,IF(AND(Mitarbeiter!$F$52&lt;&gt;"",FX$5&gt;Mitarbeiter!$F$52),0,IF(Planung!FX54="",$C54,IF(ISNUMBER(Planung!FX54),Planung!FX54,IF(UPPER(Planung!FX54)="H",$C54/2,0)))))))</f>
        <v>0</v>
      </c>
      <c r="FY54" s="27">
        <f>IF($A54="",0,IF(Mitarbeiter!$G$52=FALSE,0,IF(AND(Mitarbeiter!$E$52&lt;&gt;"",FY$5+6&lt;Mitarbeiter!$E$52),0,IF(AND(Mitarbeiter!$F$52&lt;&gt;"",FY$5&gt;Mitarbeiter!$F$52),0,IF(Planung!FY54="",$C54,IF(ISNUMBER(Planung!FY54),Planung!FY54,IF(UPPER(Planung!FY54)="H",$C54/2,0)))))))</f>
        <v>0</v>
      </c>
      <c r="FZ54" s="27">
        <f>IF($A54="",0,IF(Mitarbeiter!$G$52=FALSE,0,IF(AND(Mitarbeiter!$E$52&lt;&gt;"",FZ$5+6&lt;Mitarbeiter!$E$52),0,IF(AND(Mitarbeiter!$F$52&lt;&gt;"",FZ$5&gt;Mitarbeiter!$F$52),0,IF(Planung!FZ54="",$C54,IF(ISNUMBER(Planung!FZ54),Planung!FZ54,IF(UPPER(Planung!FZ54)="H",$C54/2,0)))))))</f>
        <v>0</v>
      </c>
      <c r="GA54" s="27">
        <f>IF($A54="",0,IF(Mitarbeiter!$G$52=FALSE,0,IF(AND(Mitarbeiter!$E$52&lt;&gt;"",GA$5+6&lt;Mitarbeiter!$E$52),0,IF(AND(Mitarbeiter!$F$52&lt;&gt;"",GA$5&gt;Mitarbeiter!$F$52),0,IF(Planung!GA54="",$C54,IF(ISNUMBER(Planung!GA54),Planung!GA54,IF(UPPER(Planung!GA54)="H",$C54/2,0)))))))</f>
        <v>0</v>
      </c>
      <c r="GB54" s="27">
        <f>IF($A54="",0,IF(Mitarbeiter!$G$52=FALSE,0,IF(AND(Mitarbeiter!$E$52&lt;&gt;"",GB$5+6&lt;Mitarbeiter!$E$52),0,IF(AND(Mitarbeiter!$F$52&lt;&gt;"",GB$5&gt;Mitarbeiter!$F$52),0,IF(Planung!GB54="",$C54,IF(ISNUMBER(Planung!GB54),Planung!GB54,IF(UPPER(Planung!GB54)="H",$C54/2,0)))))))</f>
        <v>0</v>
      </c>
      <c r="GC54" s="27">
        <f>IF($A54="",0,IF(Mitarbeiter!$G$52=FALSE,0,IF(AND(Mitarbeiter!$E$52&lt;&gt;"",GC$5+6&lt;Mitarbeiter!$E$52),0,IF(AND(Mitarbeiter!$F$52&lt;&gt;"",GC$5&gt;Mitarbeiter!$F$52),0,IF(Planung!GC54="",$C54,IF(ISNUMBER(Planung!GC54),Planung!GC54,IF(UPPER(Planung!GC54)="H",$C54/2,0)))))))</f>
        <v>0</v>
      </c>
      <c r="GD54" s="27">
        <f>IF($A54="",0,IF(Mitarbeiter!$G$52=FALSE,0,IF(AND(Mitarbeiter!$E$52&lt;&gt;"",GD$5+6&lt;Mitarbeiter!$E$52),0,IF(AND(Mitarbeiter!$F$52&lt;&gt;"",GD$5&gt;Mitarbeiter!$F$52),0,IF(Planung!GD54="",$C54,IF(ISNUMBER(Planung!GD54),Planung!GD54,IF(UPPER(Planung!GD54)="H",$C54/2,0)))))))</f>
        <v>0</v>
      </c>
      <c r="GE54" s="27">
        <f>IF($A54="",0,IF(Mitarbeiter!$G$52=FALSE,0,IF(AND(Mitarbeiter!$E$52&lt;&gt;"",GE$5+6&lt;Mitarbeiter!$E$52),0,IF(AND(Mitarbeiter!$F$52&lt;&gt;"",GE$5&gt;Mitarbeiter!$F$52),0,IF(Planung!GE54="",$C54,IF(ISNUMBER(Planung!GE54),Planung!GE54,IF(UPPER(Planung!GE54)="H",$C54/2,0)))))))</f>
        <v>0</v>
      </c>
      <c r="GF54" s="27">
        <f>IF($A54="",0,IF(Mitarbeiter!$G$52=FALSE,0,IF(AND(Mitarbeiter!$E$52&lt;&gt;"",GF$5+6&lt;Mitarbeiter!$E$52),0,IF(AND(Mitarbeiter!$F$52&lt;&gt;"",GF$5&gt;Mitarbeiter!$F$52),0,IF(Planung!GF54="",$C54,IF(ISNUMBER(Planung!GF54),Planung!GF54,IF(UPPER(Planung!GF54)="H",$C54/2,0)))))))</f>
        <v>0</v>
      </c>
      <c r="GG54" s="27">
        <f>IF($A54="",0,IF(Mitarbeiter!$G$52=FALSE,0,IF(AND(Mitarbeiter!$E$52&lt;&gt;"",GG$5+6&lt;Mitarbeiter!$E$52),0,IF(AND(Mitarbeiter!$F$52&lt;&gt;"",GG$5&gt;Mitarbeiter!$F$52),0,IF(Planung!GG54="",$C54,IF(ISNUMBER(Planung!GG54),Planung!GG54,IF(UPPER(Planung!GG54)="H",$C54/2,0)))))))</f>
        <v>0</v>
      </c>
      <c r="GH54" s="27">
        <f>IF($A54="",0,IF(Mitarbeiter!$G$52=FALSE,0,IF(AND(Mitarbeiter!$E$52&lt;&gt;"",GH$5+6&lt;Mitarbeiter!$E$52),0,IF(AND(Mitarbeiter!$F$52&lt;&gt;"",GH$5&gt;Mitarbeiter!$F$52),0,IF(Planung!GH54="",$C54,IF(ISNUMBER(Planung!GH54),Planung!GH54,IF(UPPER(Planung!GH54)="H",$C54/2,0)))))))</f>
        <v>0</v>
      </c>
      <c r="GI54" s="27">
        <f>IF($A54="",0,IF(Mitarbeiter!$G$52=FALSE,0,IF(AND(Mitarbeiter!$E$52&lt;&gt;"",GI$5+6&lt;Mitarbeiter!$E$52),0,IF(AND(Mitarbeiter!$F$52&lt;&gt;"",GI$5&gt;Mitarbeiter!$F$52),0,IF(Planung!GI54="",$C54,IF(ISNUMBER(Planung!GI54),Planung!GI54,IF(UPPER(Planung!GI54)="H",$C54/2,0)))))))</f>
        <v>0</v>
      </c>
      <c r="GJ54" s="27">
        <f>IF($A54="",0,IF(Mitarbeiter!$G$52=FALSE,0,IF(AND(Mitarbeiter!$E$52&lt;&gt;"",GJ$5+6&lt;Mitarbeiter!$E$52),0,IF(AND(Mitarbeiter!$F$52&lt;&gt;"",GJ$5&gt;Mitarbeiter!$F$52),0,IF(Planung!GJ54="",$C54,IF(ISNUMBER(Planung!GJ54),Planung!GJ54,IF(UPPER(Planung!GJ54)="H",$C54/2,0)))))))</f>
        <v>0</v>
      </c>
      <c r="GK54" s="27">
        <f>IF($A54="",0,IF(Mitarbeiter!$G$52=FALSE,0,IF(AND(Mitarbeiter!$E$52&lt;&gt;"",GK$5+6&lt;Mitarbeiter!$E$52),0,IF(AND(Mitarbeiter!$F$52&lt;&gt;"",GK$5&gt;Mitarbeiter!$F$52),0,IF(Planung!GK54="",$C54,IF(ISNUMBER(Planung!GK54),Planung!GK54,IF(UPPER(Planung!GK54)="H",$C54/2,0)))))))</f>
        <v>0</v>
      </c>
      <c r="GL54" s="27">
        <f>IF($A54="",0,IF(Mitarbeiter!$G$52=FALSE,0,IF(AND(Mitarbeiter!$E$52&lt;&gt;"",GL$5+6&lt;Mitarbeiter!$E$52),0,IF(AND(Mitarbeiter!$F$52&lt;&gt;"",GL$5&gt;Mitarbeiter!$F$52),0,IF(Planung!GL54="",$C54,IF(ISNUMBER(Planung!GL54),Planung!GL54,IF(UPPER(Planung!GL54)="H",$C54/2,0)))))))</f>
        <v>0</v>
      </c>
      <c r="GM54" s="27">
        <f>IF($A54="",0,IF(Mitarbeiter!$G$52=FALSE,0,IF(AND(Mitarbeiter!$E$52&lt;&gt;"",GM$5+6&lt;Mitarbeiter!$E$52),0,IF(AND(Mitarbeiter!$F$52&lt;&gt;"",GM$5&gt;Mitarbeiter!$F$52),0,IF(Planung!GM54="",$C54,IF(ISNUMBER(Planung!GM54),Planung!GM54,IF(UPPER(Planung!GM54)="H",$C54/2,0)))))))</f>
        <v>0</v>
      </c>
      <c r="GN54" s="27">
        <f>IF($A54="",0,IF(Mitarbeiter!$G$52=FALSE,0,IF(AND(Mitarbeiter!$E$52&lt;&gt;"",GN$5+6&lt;Mitarbeiter!$E$52),0,IF(AND(Mitarbeiter!$F$52&lt;&gt;"",GN$5&gt;Mitarbeiter!$F$52),0,IF(Planung!GN54="",$C54,IF(ISNUMBER(Planung!GN54),Planung!GN54,IF(UPPER(Planung!GN54)="H",$C54/2,0)))))))</f>
        <v>0</v>
      </c>
      <c r="GO54" s="27">
        <f>IF($A54="",0,IF(Mitarbeiter!$G$52=FALSE,0,IF(AND(Mitarbeiter!$E$52&lt;&gt;"",GO$5+6&lt;Mitarbeiter!$E$52),0,IF(AND(Mitarbeiter!$F$52&lt;&gt;"",GO$5&gt;Mitarbeiter!$F$52),0,IF(Planung!GO54="",$C54,IF(ISNUMBER(Planung!GO54),Planung!GO54,IF(UPPER(Planung!GO54)="H",$C54/2,0)))))))</f>
        <v>0</v>
      </c>
      <c r="GP54" s="27">
        <f>IF($A54="",0,IF(Mitarbeiter!$G$52=FALSE,0,IF(AND(Mitarbeiter!$E$52&lt;&gt;"",GP$5+6&lt;Mitarbeiter!$E$52),0,IF(AND(Mitarbeiter!$F$52&lt;&gt;"",GP$5&gt;Mitarbeiter!$F$52),0,IF(Planung!GP54="",$C54,IF(ISNUMBER(Planung!GP54),Planung!GP54,IF(UPPER(Planung!GP54)="H",$C54/2,0)))))))</f>
        <v>0</v>
      </c>
      <c r="GQ54" s="27">
        <f>IF($A54="",0,IF(Mitarbeiter!$G$52=FALSE,0,IF(AND(Mitarbeiter!$E$52&lt;&gt;"",GQ$5+6&lt;Mitarbeiter!$E$52),0,IF(AND(Mitarbeiter!$F$52&lt;&gt;"",GQ$5&gt;Mitarbeiter!$F$52),0,IF(Planung!GQ54="",$C54,IF(ISNUMBER(Planung!GQ54),Planung!GQ54,IF(UPPER(Planung!GQ54)="H",$C54/2,0)))))))</f>
        <v>0</v>
      </c>
      <c r="GR54" s="27">
        <f>IF($A54="",0,IF(Mitarbeiter!$G$52=FALSE,0,IF(AND(Mitarbeiter!$E$52&lt;&gt;"",GR$5+6&lt;Mitarbeiter!$E$52),0,IF(AND(Mitarbeiter!$F$52&lt;&gt;"",GR$5&gt;Mitarbeiter!$F$52),0,IF(Planung!GR54="",$C54,IF(ISNUMBER(Planung!GR54),Planung!GR54,IF(UPPER(Planung!GR54)="H",$C54/2,0)))))))</f>
        <v>0</v>
      </c>
      <c r="GS54" s="27">
        <f>IF($A54="",0,IF(Mitarbeiter!$G$52=FALSE,0,IF(AND(Mitarbeiter!$E$52&lt;&gt;"",GS$5+6&lt;Mitarbeiter!$E$52),0,IF(AND(Mitarbeiter!$F$52&lt;&gt;"",GS$5&gt;Mitarbeiter!$F$52),0,IF(Planung!GS54="",$C54,IF(ISNUMBER(Planung!GS54),Planung!GS54,IF(UPPER(Planung!GS54)="H",$C54/2,0)))))))</f>
        <v>0</v>
      </c>
      <c r="GT54" s="27">
        <f>IF($A54="",0,IF(Mitarbeiter!$G$52=FALSE,0,IF(AND(Mitarbeiter!$E$52&lt;&gt;"",GT$5+6&lt;Mitarbeiter!$E$52),0,IF(AND(Mitarbeiter!$F$52&lt;&gt;"",GT$5&gt;Mitarbeiter!$F$52),0,IF(Planung!GT54="",$C54,IF(ISNUMBER(Planung!GT54),Planung!GT54,IF(UPPER(Planung!GT54)="H",$C54/2,0)))))))</f>
        <v>0</v>
      </c>
      <c r="GU54" s="27">
        <f>IF($A54="",0,IF(Mitarbeiter!$G$52=FALSE,0,IF(AND(Mitarbeiter!$E$52&lt;&gt;"",GU$5+6&lt;Mitarbeiter!$E$52),0,IF(AND(Mitarbeiter!$F$52&lt;&gt;"",GU$5&gt;Mitarbeiter!$F$52),0,IF(Planung!GU54="",$C54,IF(ISNUMBER(Planung!GU54),Planung!GU54,IF(UPPER(Planung!GU54)="H",$C54/2,0)))))))</f>
        <v>0</v>
      </c>
      <c r="GV54" s="27">
        <f>IF($A54="",0,IF(Mitarbeiter!$G$52=FALSE,0,IF(AND(Mitarbeiter!$E$52&lt;&gt;"",GV$5+6&lt;Mitarbeiter!$E$52),0,IF(AND(Mitarbeiter!$F$52&lt;&gt;"",GV$5&gt;Mitarbeiter!$F$52),0,IF(Planung!GV54="",$C54,IF(ISNUMBER(Planung!GV54),Planung!GV54,IF(UPPER(Planung!GV54)="H",$C54/2,0)))))))</f>
        <v>0</v>
      </c>
      <c r="GW54" s="27">
        <f>IF($A54="",0,IF(Mitarbeiter!$G$52=FALSE,0,IF(AND(Mitarbeiter!$E$52&lt;&gt;"",GW$5+6&lt;Mitarbeiter!$E$52),0,IF(AND(Mitarbeiter!$F$52&lt;&gt;"",GW$5&gt;Mitarbeiter!$F$52),0,IF(Planung!GW54="",$C54,IF(ISNUMBER(Planung!GW54),Planung!GW54,IF(UPPER(Planung!GW54)="H",$C54/2,0)))))))</f>
        <v>0</v>
      </c>
      <c r="GX54" s="27">
        <f>IF($A54="",0,IF(Mitarbeiter!$G$52=FALSE,0,IF(AND(Mitarbeiter!$E$52&lt;&gt;"",GX$5+6&lt;Mitarbeiter!$E$52),0,IF(AND(Mitarbeiter!$F$52&lt;&gt;"",GX$5&gt;Mitarbeiter!$F$52),0,IF(Planung!GX54="",$C54,IF(ISNUMBER(Planung!GX54),Planung!GX54,IF(UPPER(Planung!GX54)="H",$C54/2,0)))))))</f>
        <v>0</v>
      </c>
      <c r="GY54" s="27">
        <f>IF($A54="",0,IF(Mitarbeiter!$G$52=FALSE,0,IF(AND(Mitarbeiter!$E$52&lt;&gt;"",GY$5+6&lt;Mitarbeiter!$E$52),0,IF(AND(Mitarbeiter!$F$52&lt;&gt;"",GY$5&gt;Mitarbeiter!$F$52),0,IF(Planung!GY54="",$C54,IF(ISNUMBER(Planung!GY54),Planung!GY54,IF(UPPER(Planung!GY54)="H",$C54/2,0)))))))</f>
        <v>0</v>
      </c>
      <c r="GZ54" s="27">
        <f>IF($A54="",0,IF(Mitarbeiter!$G$52=FALSE,0,IF(AND(Mitarbeiter!$E$52&lt;&gt;"",GZ$5+6&lt;Mitarbeiter!$E$52),0,IF(AND(Mitarbeiter!$F$52&lt;&gt;"",GZ$5&gt;Mitarbeiter!$F$52),0,IF(Planung!GZ54="",$C54,IF(ISNUMBER(Planung!GZ54),Planung!GZ54,IF(UPPER(Planung!GZ54)="H",$C54/2,0)))))))</f>
        <v>0</v>
      </c>
      <c r="HA54" s="27">
        <f>IF($A54="",0,IF(Mitarbeiter!$G$52=FALSE,0,IF(AND(Mitarbeiter!$E$52&lt;&gt;"",HA$5+6&lt;Mitarbeiter!$E$52),0,IF(AND(Mitarbeiter!$F$52&lt;&gt;"",HA$5&gt;Mitarbeiter!$F$52),0,IF(Planung!HA54="",$C54,IF(ISNUMBER(Planung!HA54),Planung!HA54,IF(UPPER(Planung!HA54)="H",$C54/2,0)))))))</f>
        <v>0</v>
      </c>
      <c r="HB54" s="27">
        <f>IF($A54="",0,IF(Mitarbeiter!$G$52=FALSE,0,IF(AND(Mitarbeiter!$E$52&lt;&gt;"",HB$5+6&lt;Mitarbeiter!$E$52),0,IF(AND(Mitarbeiter!$F$52&lt;&gt;"",HB$5&gt;Mitarbeiter!$F$52),0,IF(Planung!HB54="",$C54,IF(ISNUMBER(Planung!HB54),Planung!HB54,IF(UPPER(Planung!HB54)="H",$C54/2,0)))))))</f>
        <v>0</v>
      </c>
      <c r="HC54" s="27">
        <f>IF($A54="",0,IF(Mitarbeiter!$G$52=FALSE,0,IF(AND(Mitarbeiter!$E$52&lt;&gt;"",HC$5+6&lt;Mitarbeiter!$E$52),0,IF(AND(Mitarbeiter!$F$52&lt;&gt;"",HC$5&gt;Mitarbeiter!$F$52),0,IF(Planung!HC54="",$C54,IF(ISNUMBER(Planung!HC54),Planung!HC54,IF(UPPER(Planung!HC54)="H",$C54/2,0)))))))</f>
        <v>0</v>
      </c>
      <c r="HD54" s="27">
        <f>IF($A54="",0,IF(Mitarbeiter!$G$52=FALSE,0,IF(AND(Mitarbeiter!$E$52&lt;&gt;"",HD$5+6&lt;Mitarbeiter!$E$52),0,IF(AND(Mitarbeiter!$F$52&lt;&gt;"",HD$5&gt;Mitarbeiter!$F$52),0,IF(Planung!HD54="",$C54,IF(ISNUMBER(Planung!HD54),Planung!HD54,IF(UPPER(Planung!HD54)="H",$C54/2,0)))))))</f>
        <v>0</v>
      </c>
      <c r="HE54" s="27">
        <f>IF($A54="",0,IF(Mitarbeiter!$G$52=FALSE,0,IF(AND(Mitarbeiter!$E$52&lt;&gt;"",HE$5+6&lt;Mitarbeiter!$E$52),0,IF(AND(Mitarbeiter!$F$52&lt;&gt;"",HE$5&gt;Mitarbeiter!$F$52),0,IF(Planung!HE54="",$C54,IF(ISNUMBER(Planung!HE54),Planung!HE54,IF(UPPER(Planung!HE54)="H",$C54/2,0)))))))</f>
        <v>0</v>
      </c>
      <c r="HF54" s="27">
        <f>IF($A54="",0,IF(Mitarbeiter!$G$52=FALSE,0,IF(AND(Mitarbeiter!$E$52&lt;&gt;"",HF$5+6&lt;Mitarbeiter!$E$52),0,IF(AND(Mitarbeiter!$F$52&lt;&gt;"",HF$5&gt;Mitarbeiter!$F$52),0,IF(Planung!HF54="",$C54,IF(ISNUMBER(Planung!HF54),Planung!HF54,IF(UPPER(Planung!HF54)="H",$C54/2,0)))))))</f>
        <v>0</v>
      </c>
      <c r="HG54" s="27">
        <f>IF($A54="",0,IF(Mitarbeiter!$G$52=FALSE,0,IF(AND(Mitarbeiter!$E$52&lt;&gt;"",HG$5+6&lt;Mitarbeiter!$E$52),0,IF(AND(Mitarbeiter!$F$52&lt;&gt;"",HG$5&gt;Mitarbeiter!$F$52),0,IF(Planung!HG54="",$C54,IF(ISNUMBER(Planung!HG54),Planung!HG54,IF(UPPER(Planung!HG54)="H",$C54/2,0)))))))</f>
        <v>0</v>
      </c>
      <c r="HH54" s="27">
        <f>IF($A54="",0,IF(Mitarbeiter!$G$52=FALSE,0,IF(AND(Mitarbeiter!$E$52&lt;&gt;"",HH$5+6&lt;Mitarbeiter!$E$52),0,IF(AND(Mitarbeiter!$F$52&lt;&gt;"",HH$5&gt;Mitarbeiter!$F$52),0,IF(Planung!HH54="",$C54,IF(ISNUMBER(Planung!HH54),Planung!HH54,IF(UPPER(Planung!HH54)="H",$C54/2,0)))))))</f>
        <v>0</v>
      </c>
      <c r="HI54" s="27">
        <f>IF($A54="",0,IF(Mitarbeiter!$G$52=FALSE,0,IF(AND(Mitarbeiter!$E$52&lt;&gt;"",HI$5+6&lt;Mitarbeiter!$E$52),0,IF(AND(Mitarbeiter!$F$52&lt;&gt;"",HI$5&gt;Mitarbeiter!$F$52),0,IF(Planung!HI54="",$C54,IF(ISNUMBER(Planung!HI54),Planung!HI54,IF(UPPER(Planung!HI54)="H",$C54/2,0)))))))</f>
        <v>0</v>
      </c>
      <c r="HJ54" s="27">
        <f>IF($A54="",0,IF(Mitarbeiter!$G$52=FALSE,0,IF(AND(Mitarbeiter!$E$52&lt;&gt;"",HJ$5+6&lt;Mitarbeiter!$E$52),0,IF(AND(Mitarbeiter!$F$52&lt;&gt;"",HJ$5&gt;Mitarbeiter!$F$52),0,IF(Planung!HJ54="",$C54,IF(ISNUMBER(Planung!HJ54),Planung!HJ54,IF(UPPER(Planung!HJ54)="H",$C54/2,0)))))))</f>
        <v>0</v>
      </c>
      <c r="HK54" s="27">
        <f>IF($A54="",0,IF(Mitarbeiter!$G$52=FALSE,0,IF(AND(Mitarbeiter!$E$52&lt;&gt;"",HK$5+6&lt;Mitarbeiter!$E$52),0,IF(AND(Mitarbeiter!$F$52&lt;&gt;"",HK$5&gt;Mitarbeiter!$F$52),0,IF(Planung!HK54="",$C54,IF(ISNUMBER(Planung!HK54),Planung!HK54,IF(UPPER(Planung!HK54)="H",$C54/2,0)))))))</f>
        <v>0</v>
      </c>
      <c r="HL54" s="27">
        <f>IF($A54="",0,IF(Mitarbeiter!$G$52=FALSE,0,IF(AND(Mitarbeiter!$E$52&lt;&gt;"",HL$5+6&lt;Mitarbeiter!$E$52),0,IF(AND(Mitarbeiter!$F$52&lt;&gt;"",HL$5&gt;Mitarbeiter!$F$52),0,IF(Planung!HL54="",$C54,IF(ISNUMBER(Planung!HL54),Planung!HL54,IF(UPPER(Planung!HL54)="H",$C54/2,0)))))))</f>
        <v>0</v>
      </c>
      <c r="HM54" s="27">
        <f>IF($A54="",0,IF(Mitarbeiter!$G$52=FALSE,0,IF(AND(Mitarbeiter!$E$52&lt;&gt;"",HM$5+6&lt;Mitarbeiter!$E$52),0,IF(AND(Mitarbeiter!$F$52&lt;&gt;"",HM$5&gt;Mitarbeiter!$F$52),0,IF(Planung!HM54="",$C54,IF(ISNUMBER(Planung!HM54),Planung!HM54,IF(UPPER(Planung!HM54)="H",$C54/2,0)))))))</f>
        <v>0</v>
      </c>
      <c r="HN54" s="27">
        <f>IF($A54="",0,IF(Mitarbeiter!$G$52=FALSE,0,IF(AND(Mitarbeiter!$E$52&lt;&gt;"",HN$5+6&lt;Mitarbeiter!$E$52),0,IF(AND(Mitarbeiter!$F$52&lt;&gt;"",HN$5&gt;Mitarbeiter!$F$52),0,IF(Planung!HN54="",$C54,IF(ISNUMBER(Planung!HN54),Planung!HN54,IF(UPPER(Planung!HN54)="H",$C54/2,0)))))))</f>
        <v>0</v>
      </c>
      <c r="HO54" s="27">
        <f>IF($A54="",0,IF(Mitarbeiter!$G$52=FALSE,0,IF(AND(Mitarbeiter!$E$52&lt;&gt;"",HO$5+6&lt;Mitarbeiter!$E$52),0,IF(AND(Mitarbeiter!$F$52&lt;&gt;"",HO$5&gt;Mitarbeiter!$F$52),0,IF(Planung!HO54="",$C54,IF(ISNUMBER(Planung!HO54),Planung!HO54,IF(UPPER(Planung!HO54)="H",$C54/2,0)))))))</f>
        <v>0</v>
      </c>
      <c r="HP54" s="27">
        <f>IF($A54="",0,IF(Mitarbeiter!$G$52=FALSE,0,IF(AND(Mitarbeiter!$E$52&lt;&gt;"",HP$5+6&lt;Mitarbeiter!$E$52),0,IF(AND(Mitarbeiter!$F$52&lt;&gt;"",HP$5&gt;Mitarbeiter!$F$52),0,IF(Planung!HP54="",$C54,IF(ISNUMBER(Planung!HP54),Planung!HP54,IF(UPPER(Planung!HP54)="H",$C54/2,0)))))))</f>
        <v>0</v>
      </c>
      <c r="HQ54" s="27">
        <f>IF($A54="",0,IF(Mitarbeiter!$G$52=FALSE,0,IF(AND(Mitarbeiter!$E$52&lt;&gt;"",HQ$5+6&lt;Mitarbeiter!$E$52),0,IF(AND(Mitarbeiter!$F$52&lt;&gt;"",HQ$5&gt;Mitarbeiter!$F$52),0,IF(Planung!HQ54="",$C54,IF(ISNUMBER(Planung!HQ54),Planung!HQ54,IF(UPPER(Planung!HQ54)="H",$C54/2,0)))))))</f>
        <v>0</v>
      </c>
      <c r="HR54" s="27">
        <f>IF($A54="",0,IF(Mitarbeiter!$G$52=FALSE,0,IF(AND(Mitarbeiter!$E$52&lt;&gt;"",HR$5+6&lt;Mitarbeiter!$E$52),0,IF(AND(Mitarbeiter!$F$52&lt;&gt;"",HR$5&gt;Mitarbeiter!$F$52),0,IF(Planung!HR54="",$C54,IF(ISNUMBER(Planung!HR54),Planung!HR54,IF(UPPER(Planung!HR54)="H",$C54/2,0)))))))</f>
        <v>0</v>
      </c>
      <c r="HS54" s="27">
        <f>IF($A54="",0,IF(Mitarbeiter!$G$52=FALSE,0,IF(AND(Mitarbeiter!$E$52&lt;&gt;"",HS$5+6&lt;Mitarbeiter!$E$52),0,IF(AND(Mitarbeiter!$F$52&lt;&gt;"",HS$5&gt;Mitarbeiter!$F$52),0,IF(Planung!HS54="",$C54,IF(ISNUMBER(Planung!HS54),Planung!HS54,IF(UPPER(Planung!HS54)="H",$C54/2,0)))))))</f>
        <v>0</v>
      </c>
      <c r="HT54" s="27">
        <f>IF($A54="",0,IF(Mitarbeiter!$G$52=FALSE,0,IF(AND(Mitarbeiter!$E$52&lt;&gt;"",HT$5+6&lt;Mitarbeiter!$E$52),0,IF(AND(Mitarbeiter!$F$52&lt;&gt;"",HT$5&gt;Mitarbeiter!$F$52),0,IF(Planung!HT54="",$C54,IF(ISNUMBER(Planung!HT54),Planung!HT54,IF(UPPER(Planung!HT54)="H",$C54/2,0)))))))</f>
        <v>0</v>
      </c>
      <c r="HU54" s="27">
        <f>IF($A54="",0,IF(Mitarbeiter!$G$52=FALSE,0,IF(AND(Mitarbeiter!$E$52&lt;&gt;"",HU$5+6&lt;Mitarbeiter!$E$52),0,IF(AND(Mitarbeiter!$F$52&lt;&gt;"",HU$5&gt;Mitarbeiter!$F$52),0,IF(Planung!HU54="",$C54,IF(ISNUMBER(Planung!HU54),Planung!HU54,IF(UPPER(Planung!HU54)="H",$C54/2,0)))))))</f>
        <v>0</v>
      </c>
      <c r="HV54" s="27">
        <f>IF($A54="",0,IF(Mitarbeiter!$G$52=FALSE,0,IF(AND(Mitarbeiter!$E$52&lt;&gt;"",HV$5+6&lt;Mitarbeiter!$E$52),0,IF(AND(Mitarbeiter!$F$52&lt;&gt;"",HV$5&gt;Mitarbeiter!$F$52),0,IF(Planung!HV54="",$C54,IF(ISNUMBER(Planung!HV54),Planung!HV54,IF(UPPER(Planung!HV54)="H",$C54/2,0)))))))</f>
        <v>0</v>
      </c>
      <c r="HW54" s="27">
        <f>IF($A54="",0,IF(Mitarbeiter!$G$52=FALSE,0,IF(AND(Mitarbeiter!$E$52&lt;&gt;"",HW$5+6&lt;Mitarbeiter!$E$52),0,IF(AND(Mitarbeiter!$F$52&lt;&gt;"",HW$5&gt;Mitarbeiter!$F$52),0,IF(Planung!HW54="",$C54,IF(ISNUMBER(Planung!HW54),Planung!HW54,IF(UPPER(Planung!HW54)="H",$C54/2,0)))))))</f>
        <v>0</v>
      </c>
      <c r="HX54" s="27">
        <f>IF($A54="",0,IF(Mitarbeiter!$G$52=FALSE,0,IF(AND(Mitarbeiter!$E$52&lt;&gt;"",HX$5+6&lt;Mitarbeiter!$E$52),0,IF(AND(Mitarbeiter!$F$52&lt;&gt;"",HX$5&gt;Mitarbeiter!$F$52),0,IF(Planung!HX54="",$C54,IF(ISNUMBER(Planung!HX54),Planung!HX54,IF(UPPER(Planung!HX54)="H",$C54/2,0)))))))</f>
        <v>0</v>
      </c>
      <c r="HY54" s="27">
        <f>IF($A54="",0,IF(Mitarbeiter!$G$52=FALSE,0,IF(AND(Mitarbeiter!$E$52&lt;&gt;"",HY$5+6&lt;Mitarbeiter!$E$52),0,IF(AND(Mitarbeiter!$F$52&lt;&gt;"",HY$5&gt;Mitarbeiter!$F$52),0,IF(Planung!HY54="",$C54,IF(ISNUMBER(Planung!HY54),Planung!HY54,IF(UPPER(Planung!HY54)="H",$C54/2,0)))))))</f>
        <v>0</v>
      </c>
      <c r="HZ54" s="27">
        <f>IF($A54="",0,IF(Mitarbeiter!$G$52=FALSE,0,IF(AND(Mitarbeiter!$E$52&lt;&gt;"",HZ$5+6&lt;Mitarbeiter!$E$52),0,IF(AND(Mitarbeiter!$F$52&lt;&gt;"",HZ$5&gt;Mitarbeiter!$F$52),0,IF(Planung!HZ54="",$C54,IF(ISNUMBER(Planung!HZ54),Planung!HZ54,IF(UPPER(Planung!HZ54)="H",$C54/2,0)))))))</f>
        <v>0</v>
      </c>
      <c r="IA54" s="27">
        <f>IF($A54="",0,IF(Mitarbeiter!$G$52=FALSE,0,IF(AND(Mitarbeiter!$E$52&lt;&gt;"",IA$5+6&lt;Mitarbeiter!$E$52),0,IF(AND(Mitarbeiter!$F$52&lt;&gt;"",IA$5&gt;Mitarbeiter!$F$52),0,IF(Planung!IA54="",$C54,IF(ISNUMBER(Planung!IA54),Planung!IA54,IF(UPPER(Planung!IA54)="H",$C54/2,0)))))))</f>
        <v>0</v>
      </c>
    </row>
    <row r="55" spans="1:235" x14ac:dyDescent="0.25">
      <c r="A55" s="7" t="str">
        <f>Planung!A55</f>
        <v/>
      </c>
      <c r="B55" s="7" t="str">
        <f>Planung!B55</f>
        <v/>
      </c>
      <c r="C55" s="27">
        <f>N(Mitarbeiter!$D$53)</f>
        <v>0</v>
      </c>
      <c r="D55" s="27">
        <f>IF($A55="",0,IF(Mitarbeiter!$G$53=FALSE,0,IF(AND(Mitarbeiter!$E$53&lt;&gt;"",D$5+6&lt;Mitarbeiter!$E$53),0,IF(AND(Mitarbeiter!$F$53&lt;&gt;"",D$5&gt;Mitarbeiter!$F$53),0,IF(Planung!D55="",$C55,IF(ISNUMBER(Planung!D55),Planung!D55,IF(UPPER(Planung!D55)="H",$C55/2,0)))))))</f>
        <v>0</v>
      </c>
      <c r="E55" s="27">
        <f>IF($A55="",0,IF(Mitarbeiter!$G$53=FALSE,0,IF(AND(Mitarbeiter!$E$53&lt;&gt;"",E$5+6&lt;Mitarbeiter!$E$53),0,IF(AND(Mitarbeiter!$F$53&lt;&gt;"",E$5&gt;Mitarbeiter!$F$53),0,IF(Planung!E55="",$C55,IF(ISNUMBER(Planung!E55),Planung!E55,IF(UPPER(Planung!E55)="H",$C55/2,0)))))))</f>
        <v>0</v>
      </c>
      <c r="F55" s="27">
        <f>IF($A55="",0,IF(Mitarbeiter!$G$53=FALSE,0,IF(AND(Mitarbeiter!$E$53&lt;&gt;"",F$5+6&lt;Mitarbeiter!$E$53),0,IF(AND(Mitarbeiter!$F$53&lt;&gt;"",F$5&gt;Mitarbeiter!$F$53),0,IF(Planung!F55="",$C55,IF(ISNUMBER(Planung!F55),Planung!F55,IF(UPPER(Planung!F55)="H",$C55/2,0)))))))</f>
        <v>0</v>
      </c>
      <c r="G55" s="27">
        <f>IF($A55="",0,IF(Mitarbeiter!$G$53=FALSE,0,IF(AND(Mitarbeiter!$E$53&lt;&gt;"",G$5+6&lt;Mitarbeiter!$E$53),0,IF(AND(Mitarbeiter!$F$53&lt;&gt;"",G$5&gt;Mitarbeiter!$F$53),0,IF(Planung!G55="",$C55,IF(ISNUMBER(Planung!G55),Planung!G55,IF(UPPER(Planung!G55)="H",$C55/2,0)))))))</f>
        <v>0</v>
      </c>
      <c r="H55" s="27">
        <f>IF($A55="",0,IF(Mitarbeiter!$G$53=FALSE,0,IF(AND(Mitarbeiter!$E$53&lt;&gt;"",H$5+6&lt;Mitarbeiter!$E$53),0,IF(AND(Mitarbeiter!$F$53&lt;&gt;"",H$5&gt;Mitarbeiter!$F$53),0,IF(Planung!H55="",$C55,IF(ISNUMBER(Planung!H55),Planung!H55,IF(UPPER(Planung!H55)="H",$C55/2,0)))))))</f>
        <v>0</v>
      </c>
      <c r="I55" s="27">
        <f>IF($A55="",0,IF(Mitarbeiter!$G$53=FALSE,0,IF(AND(Mitarbeiter!$E$53&lt;&gt;"",I$5+6&lt;Mitarbeiter!$E$53),0,IF(AND(Mitarbeiter!$F$53&lt;&gt;"",I$5&gt;Mitarbeiter!$F$53),0,IF(Planung!I55="",$C55,IF(ISNUMBER(Planung!I55),Planung!I55,IF(UPPER(Planung!I55)="H",$C55/2,0)))))))</f>
        <v>0</v>
      </c>
      <c r="J55" s="27">
        <f>IF($A55="",0,IF(Mitarbeiter!$G$53=FALSE,0,IF(AND(Mitarbeiter!$E$53&lt;&gt;"",J$5+6&lt;Mitarbeiter!$E$53),0,IF(AND(Mitarbeiter!$F$53&lt;&gt;"",J$5&gt;Mitarbeiter!$F$53),0,IF(Planung!J55="",$C55,IF(ISNUMBER(Planung!J55),Planung!J55,IF(UPPER(Planung!J55)="H",$C55/2,0)))))))</f>
        <v>0</v>
      </c>
      <c r="K55" s="27">
        <f>IF($A55="",0,IF(Mitarbeiter!$G$53=FALSE,0,IF(AND(Mitarbeiter!$E$53&lt;&gt;"",K$5+6&lt;Mitarbeiter!$E$53),0,IF(AND(Mitarbeiter!$F$53&lt;&gt;"",K$5&gt;Mitarbeiter!$F$53),0,IF(Planung!K55="",$C55,IF(ISNUMBER(Planung!K55),Planung!K55,IF(UPPER(Planung!K55)="H",$C55/2,0)))))))</f>
        <v>0</v>
      </c>
      <c r="L55" s="27">
        <f>IF($A55="",0,IF(Mitarbeiter!$G$53=FALSE,0,IF(AND(Mitarbeiter!$E$53&lt;&gt;"",L$5+6&lt;Mitarbeiter!$E$53),0,IF(AND(Mitarbeiter!$F$53&lt;&gt;"",L$5&gt;Mitarbeiter!$F$53),0,IF(Planung!L55="",$C55,IF(ISNUMBER(Planung!L55),Planung!L55,IF(UPPER(Planung!L55)="H",$C55/2,0)))))))</f>
        <v>0</v>
      </c>
      <c r="M55" s="27">
        <f>IF($A55="",0,IF(Mitarbeiter!$G$53=FALSE,0,IF(AND(Mitarbeiter!$E$53&lt;&gt;"",M$5+6&lt;Mitarbeiter!$E$53),0,IF(AND(Mitarbeiter!$F$53&lt;&gt;"",M$5&gt;Mitarbeiter!$F$53),0,IF(Planung!M55="",$C55,IF(ISNUMBER(Planung!M55),Planung!M55,IF(UPPER(Planung!M55)="H",$C55/2,0)))))))</f>
        <v>0</v>
      </c>
      <c r="N55" s="27">
        <f>IF($A55="",0,IF(Mitarbeiter!$G$53=FALSE,0,IF(AND(Mitarbeiter!$E$53&lt;&gt;"",N$5+6&lt;Mitarbeiter!$E$53),0,IF(AND(Mitarbeiter!$F$53&lt;&gt;"",N$5&gt;Mitarbeiter!$F$53),0,IF(Planung!N55="",$C55,IF(ISNUMBER(Planung!N55),Planung!N55,IF(UPPER(Planung!N55)="H",$C55/2,0)))))))</f>
        <v>0</v>
      </c>
      <c r="O55" s="27">
        <f>IF($A55="",0,IF(Mitarbeiter!$G$53=FALSE,0,IF(AND(Mitarbeiter!$E$53&lt;&gt;"",O$5+6&lt;Mitarbeiter!$E$53),0,IF(AND(Mitarbeiter!$F$53&lt;&gt;"",O$5&gt;Mitarbeiter!$F$53),0,IF(Planung!O55="",$C55,IF(ISNUMBER(Planung!O55),Planung!O55,IF(UPPER(Planung!O55)="H",$C55/2,0)))))))</f>
        <v>0</v>
      </c>
      <c r="P55" s="27">
        <f>IF($A55="",0,IF(Mitarbeiter!$G$53=FALSE,0,IF(AND(Mitarbeiter!$E$53&lt;&gt;"",P$5+6&lt;Mitarbeiter!$E$53),0,IF(AND(Mitarbeiter!$F$53&lt;&gt;"",P$5&gt;Mitarbeiter!$F$53),0,IF(Planung!P55="",$C55,IF(ISNUMBER(Planung!P55),Planung!P55,IF(UPPER(Planung!P55)="H",$C55/2,0)))))))</f>
        <v>0</v>
      </c>
      <c r="Q55" s="27">
        <f>IF($A55="",0,IF(Mitarbeiter!$G$53=FALSE,0,IF(AND(Mitarbeiter!$E$53&lt;&gt;"",Q$5+6&lt;Mitarbeiter!$E$53),0,IF(AND(Mitarbeiter!$F$53&lt;&gt;"",Q$5&gt;Mitarbeiter!$F$53),0,IF(Planung!Q55="",$C55,IF(ISNUMBER(Planung!Q55),Planung!Q55,IF(UPPER(Planung!Q55)="H",$C55/2,0)))))))</f>
        <v>0</v>
      </c>
      <c r="R55" s="27">
        <f>IF($A55="",0,IF(Mitarbeiter!$G$53=FALSE,0,IF(AND(Mitarbeiter!$E$53&lt;&gt;"",R$5+6&lt;Mitarbeiter!$E$53),0,IF(AND(Mitarbeiter!$F$53&lt;&gt;"",R$5&gt;Mitarbeiter!$F$53),0,IF(Planung!R55="",$C55,IF(ISNUMBER(Planung!R55),Planung!R55,IF(UPPER(Planung!R55)="H",$C55/2,0)))))))</f>
        <v>0</v>
      </c>
      <c r="S55" s="27">
        <f>IF($A55="",0,IF(Mitarbeiter!$G$53=FALSE,0,IF(AND(Mitarbeiter!$E$53&lt;&gt;"",S$5+6&lt;Mitarbeiter!$E$53),0,IF(AND(Mitarbeiter!$F$53&lt;&gt;"",S$5&gt;Mitarbeiter!$F$53),0,IF(Planung!S55="",$C55,IF(ISNUMBER(Planung!S55),Planung!S55,IF(UPPER(Planung!S55)="H",$C55/2,0)))))))</f>
        <v>0</v>
      </c>
      <c r="T55" s="27">
        <f>IF($A55="",0,IF(Mitarbeiter!$G$53=FALSE,0,IF(AND(Mitarbeiter!$E$53&lt;&gt;"",T$5+6&lt;Mitarbeiter!$E$53),0,IF(AND(Mitarbeiter!$F$53&lt;&gt;"",T$5&gt;Mitarbeiter!$F$53),0,IF(Planung!T55="",$C55,IF(ISNUMBER(Planung!T55),Planung!T55,IF(UPPER(Planung!T55)="H",$C55/2,0)))))))</f>
        <v>0</v>
      </c>
      <c r="U55" s="27">
        <f>IF($A55="",0,IF(Mitarbeiter!$G$53=FALSE,0,IF(AND(Mitarbeiter!$E$53&lt;&gt;"",U$5+6&lt;Mitarbeiter!$E$53),0,IF(AND(Mitarbeiter!$F$53&lt;&gt;"",U$5&gt;Mitarbeiter!$F$53),0,IF(Planung!U55="",$C55,IF(ISNUMBER(Planung!U55),Planung!U55,IF(UPPER(Planung!U55)="H",$C55/2,0)))))))</f>
        <v>0</v>
      </c>
      <c r="V55" s="27">
        <f>IF($A55="",0,IF(Mitarbeiter!$G$53=FALSE,0,IF(AND(Mitarbeiter!$E$53&lt;&gt;"",V$5+6&lt;Mitarbeiter!$E$53),0,IF(AND(Mitarbeiter!$F$53&lt;&gt;"",V$5&gt;Mitarbeiter!$F$53),0,IF(Planung!V55="",$C55,IF(ISNUMBER(Planung!V55),Planung!V55,IF(UPPER(Planung!V55)="H",$C55/2,0)))))))</f>
        <v>0</v>
      </c>
      <c r="W55" s="27">
        <f>IF($A55="",0,IF(Mitarbeiter!$G$53=FALSE,0,IF(AND(Mitarbeiter!$E$53&lt;&gt;"",W$5+6&lt;Mitarbeiter!$E$53),0,IF(AND(Mitarbeiter!$F$53&lt;&gt;"",W$5&gt;Mitarbeiter!$F$53),0,IF(Planung!W55="",$C55,IF(ISNUMBER(Planung!W55),Planung!W55,IF(UPPER(Planung!W55)="H",$C55/2,0)))))))</f>
        <v>0</v>
      </c>
      <c r="X55" s="27">
        <f>IF($A55="",0,IF(Mitarbeiter!$G$53=FALSE,0,IF(AND(Mitarbeiter!$E$53&lt;&gt;"",X$5+6&lt;Mitarbeiter!$E$53),0,IF(AND(Mitarbeiter!$F$53&lt;&gt;"",X$5&gt;Mitarbeiter!$F$53),0,IF(Planung!X55="",$C55,IF(ISNUMBER(Planung!X55),Planung!X55,IF(UPPER(Planung!X55)="H",$C55/2,0)))))))</f>
        <v>0</v>
      </c>
      <c r="Y55" s="27">
        <f>IF($A55="",0,IF(Mitarbeiter!$G$53=FALSE,0,IF(AND(Mitarbeiter!$E$53&lt;&gt;"",Y$5+6&lt;Mitarbeiter!$E$53),0,IF(AND(Mitarbeiter!$F$53&lt;&gt;"",Y$5&gt;Mitarbeiter!$F$53),0,IF(Planung!Y55="",$C55,IF(ISNUMBER(Planung!Y55),Planung!Y55,IF(UPPER(Planung!Y55)="H",$C55/2,0)))))))</f>
        <v>0</v>
      </c>
      <c r="Z55" s="27">
        <f>IF($A55="",0,IF(Mitarbeiter!$G$53=FALSE,0,IF(AND(Mitarbeiter!$E$53&lt;&gt;"",Z$5+6&lt;Mitarbeiter!$E$53),0,IF(AND(Mitarbeiter!$F$53&lt;&gt;"",Z$5&gt;Mitarbeiter!$F$53),0,IF(Planung!Z55="",$C55,IF(ISNUMBER(Planung!Z55),Planung!Z55,IF(UPPER(Planung!Z55)="H",$C55/2,0)))))))</f>
        <v>0</v>
      </c>
      <c r="AA55" s="27">
        <f>IF($A55="",0,IF(Mitarbeiter!$G$53=FALSE,0,IF(AND(Mitarbeiter!$E$53&lt;&gt;"",AA$5+6&lt;Mitarbeiter!$E$53),0,IF(AND(Mitarbeiter!$F$53&lt;&gt;"",AA$5&gt;Mitarbeiter!$F$53),0,IF(Planung!AA55="",$C55,IF(ISNUMBER(Planung!AA55),Planung!AA55,IF(UPPER(Planung!AA55)="H",$C55/2,0)))))))</f>
        <v>0</v>
      </c>
      <c r="AB55" s="27">
        <f>IF($A55="",0,IF(Mitarbeiter!$G$53=FALSE,0,IF(AND(Mitarbeiter!$E$53&lt;&gt;"",AB$5+6&lt;Mitarbeiter!$E$53),0,IF(AND(Mitarbeiter!$F$53&lt;&gt;"",AB$5&gt;Mitarbeiter!$F$53),0,IF(Planung!AB55="",$C55,IF(ISNUMBER(Planung!AB55),Planung!AB55,IF(UPPER(Planung!AB55)="H",$C55/2,0)))))))</f>
        <v>0</v>
      </c>
      <c r="AC55" s="27">
        <f>IF($A55="",0,IF(Mitarbeiter!$G$53=FALSE,0,IF(AND(Mitarbeiter!$E$53&lt;&gt;"",AC$5+6&lt;Mitarbeiter!$E$53),0,IF(AND(Mitarbeiter!$F$53&lt;&gt;"",AC$5&gt;Mitarbeiter!$F$53),0,IF(Planung!AC55="",$C55,IF(ISNUMBER(Planung!AC55),Planung!AC55,IF(UPPER(Planung!AC55)="H",$C55/2,0)))))))</f>
        <v>0</v>
      </c>
      <c r="AD55" s="27">
        <f>IF($A55="",0,IF(Mitarbeiter!$G$53=FALSE,0,IF(AND(Mitarbeiter!$E$53&lt;&gt;"",AD$5+6&lt;Mitarbeiter!$E$53),0,IF(AND(Mitarbeiter!$F$53&lt;&gt;"",AD$5&gt;Mitarbeiter!$F$53),0,IF(Planung!AD55="",$C55,IF(ISNUMBER(Planung!AD55),Planung!AD55,IF(UPPER(Planung!AD55)="H",$C55/2,0)))))))</f>
        <v>0</v>
      </c>
      <c r="AE55" s="27">
        <f>IF($A55="",0,IF(Mitarbeiter!$G$53=FALSE,0,IF(AND(Mitarbeiter!$E$53&lt;&gt;"",AE$5+6&lt;Mitarbeiter!$E$53),0,IF(AND(Mitarbeiter!$F$53&lt;&gt;"",AE$5&gt;Mitarbeiter!$F$53),0,IF(Planung!AE55="",$C55,IF(ISNUMBER(Planung!AE55),Planung!AE55,IF(UPPER(Planung!AE55)="H",$C55/2,0)))))))</f>
        <v>0</v>
      </c>
      <c r="AF55" s="27">
        <f>IF($A55="",0,IF(Mitarbeiter!$G$53=FALSE,0,IF(AND(Mitarbeiter!$E$53&lt;&gt;"",AF$5+6&lt;Mitarbeiter!$E$53),0,IF(AND(Mitarbeiter!$F$53&lt;&gt;"",AF$5&gt;Mitarbeiter!$F$53),0,IF(Planung!AF55="",$C55,IF(ISNUMBER(Planung!AF55),Planung!AF55,IF(UPPER(Planung!AF55)="H",$C55/2,0)))))))</f>
        <v>0</v>
      </c>
      <c r="AG55" s="27">
        <f>IF($A55="",0,IF(Mitarbeiter!$G$53=FALSE,0,IF(AND(Mitarbeiter!$E$53&lt;&gt;"",AG$5+6&lt;Mitarbeiter!$E$53),0,IF(AND(Mitarbeiter!$F$53&lt;&gt;"",AG$5&gt;Mitarbeiter!$F$53),0,IF(Planung!AG55="",$C55,IF(ISNUMBER(Planung!AG55),Planung!AG55,IF(UPPER(Planung!AG55)="H",$C55/2,0)))))))</f>
        <v>0</v>
      </c>
      <c r="AH55" s="27">
        <f>IF($A55="",0,IF(Mitarbeiter!$G$53=FALSE,0,IF(AND(Mitarbeiter!$E$53&lt;&gt;"",AH$5+6&lt;Mitarbeiter!$E$53),0,IF(AND(Mitarbeiter!$F$53&lt;&gt;"",AH$5&gt;Mitarbeiter!$F$53),0,IF(Planung!AH55="",$C55,IF(ISNUMBER(Planung!AH55),Planung!AH55,IF(UPPER(Planung!AH55)="H",$C55/2,0)))))))</f>
        <v>0</v>
      </c>
      <c r="AI55" s="27">
        <f>IF($A55="",0,IF(Mitarbeiter!$G$53=FALSE,0,IF(AND(Mitarbeiter!$E$53&lt;&gt;"",AI$5+6&lt;Mitarbeiter!$E$53),0,IF(AND(Mitarbeiter!$F$53&lt;&gt;"",AI$5&gt;Mitarbeiter!$F$53),0,IF(Planung!AI55="",$C55,IF(ISNUMBER(Planung!AI55),Planung!AI55,IF(UPPER(Planung!AI55)="H",$C55/2,0)))))))</f>
        <v>0</v>
      </c>
      <c r="AJ55" s="27">
        <f>IF($A55="",0,IF(Mitarbeiter!$G$53=FALSE,0,IF(AND(Mitarbeiter!$E$53&lt;&gt;"",AJ$5+6&lt;Mitarbeiter!$E$53),0,IF(AND(Mitarbeiter!$F$53&lt;&gt;"",AJ$5&gt;Mitarbeiter!$F$53),0,IF(Planung!AJ55="",$C55,IF(ISNUMBER(Planung!AJ55),Planung!AJ55,IF(UPPER(Planung!AJ55)="H",$C55/2,0)))))))</f>
        <v>0</v>
      </c>
      <c r="AK55" s="27">
        <f>IF($A55="",0,IF(Mitarbeiter!$G$53=FALSE,0,IF(AND(Mitarbeiter!$E$53&lt;&gt;"",AK$5+6&lt;Mitarbeiter!$E$53),0,IF(AND(Mitarbeiter!$F$53&lt;&gt;"",AK$5&gt;Mitarbeiter!$F$53),0,IF(Planung!AK55="",$C55,IF(ISNUMBER(Planung!AK55),Planung!AK55,IF(UPPER(Planung!AK55)="H",$C55/2,0)))))))</f>
        <v>0</v>
      </c>
      <c r="AL55" s="27">
        <f>IF($A55="",0,IF(Mitarbeiter!$G$53=FALSE,0,IF(AND(Mitarbeiter!$E$53&lt;&gt;"",AL$5+6&lt;Mitarbeiter!$E$53),0,IF(AND(Mitarbeiter!$F$53&lt;&gt;"",AL$5&gt;Mitarbeiter!$F$53),0,IF(Planung!AL55="",$C55,IF(ISNUMBER(Planung!AL55),Planung!AL55,IF(UPPER(Planung!AL55)="H",$C55/2,0)))))))</f>
        <v>0</v>
      </c>
      <c r="AM55" s="27">
        <f>IF($A55="",0,IF(Mitarbeiter!$G$53=FALSE,0,IF(AND(Mitarbeiter!$E$53&lt;&gt;"",AM$5+6&lt;Mitarbeiter!$E$53),0,IF(AND(Mitarbeiter!$F$53&lt;&gt;"",AM$5&gt;Mitarbeiter!$F$53),0,IF(Planung!AM55="",$C55,IF(ISNUMBER(Planung!AM55),Planung!AM55,IF(UPPER(Planung!AM55)="H",$C55/2,0)))))))</f>
        <v>0</v>
      </c>
      <c r="AN55" s="27">
        <f>IF($A55="",0,IF(Mitarbeiter!$G$53=FALSE,0,IF(AND(Mitarbeiter!$E$53&lt;&gt;"",AN$5+6&lt;Mitarbeiter!$E$53),0,IF(AND(Mitarbeiter!$F$53&lt;&gt;"",AN$5&gt;Mitarbeiter!$F$53),0,IF(Planung!AN55="",$C55,IF(ISNUMBER(Planung!AN55),Planung!AN55,IF(UPPER(Planung!AN55)="H",$C55/2,0)))))))</f>
        <v>0</v>
      </c>
      <c r="AO55" s="27">
        <f>IF($A55="",0,IF(Mitarbeiter!$G$53=FALSE,0,IF(AND(Mitarbeiter!$E$53&lt;&gt;"",AO$5+6&lt;Mitarbeiter!$E$53),0,IF(AND(Mitarbeiter!$F$53&lt;&gt;"",AO$5&gt;Mitarbeiter!$F$53),0,IF(Planung!AO55="",$C55,IF(ISNUMBER(Planung!AO55),Planung!AO55,IF(UPPER(Planung!AO55)="H",$C55/2,0)))))))</f>
        <v>0</v>
      </c>
      <c r="AP55" s="27">
        <f>IF($A55="",0,IF(Mitarbeiter!$G$53=FALSE,0,IF(AND(Mitarbeiter!$E$53&lt;&gt;"",AP$5+6&lt;Mitarbeiter!$E$53),0,IF(AND(Mitarbeiter!$F$53&lt;&gt;"",AP$5&gt;Mitarbeiter!$F$53),0,IF(Planung!AP55="",$C55,IF(ISNUMBER(Planung!AP55),Planung!AP55,IF(UPPER(Planung!AP55)="H",$C55/2,0)))))))</f>
        <v>0</v>
      </c>
      <c r="AQ55" s="27">
        <f>IF($A55="",0,IF(Mitarbeiter!$G$53=FALSE,0,IF(AND(Mitarbeiter!$E$53&lt;&gt;"",AQ$5+6&lt;Mitarbeiter!$E$53),0,IF(AND(Mitarbeiter!$F$53&lt;&gt;"",AQ$5&gt;Mitarbeiter!$F$53),0,IF(Planung!AQ55="",$C55,IF(ISNUMBER(Planung!AQ55),Planung!AQ55,IF(UPPER(Planung!AQ55)="H",$C55/2,0)))))))</f>
        <v>0</v>
      </c>
      <c r="AR55" s="27">
        <f>IF($A55="",0,IF(Mitarbeiter!$G$53=FALSE,0,IF(AND(Mitarbeiter!$E$53&lt;&gt;"",AR$5+6&lt;Mitarbeiter!$E$53),0,IF(AND(Mitarbeiter!$F$53&lt;&gt;"",AR$5&gt;Mitarbeiter!$F$53),0,IF(Planung!AR55="",$C55,IF(ISNUMBER(Planung!AR55),Planung!AR55,IF(UPPER(Planung!AR55)="H",$C55/2,0)))))))</f>
        <v>0</v>
      </c>
      <c r="AS55" s="27">
        <f>IF($A55="",0,IF(Mitarbeiter!$G$53=FALSE,0,IF(AND(Mitarbeiter!$E$53&lt;&gt;"",AS$5+6&lt;Mitarbeiter!$E$53),0,IF(AND(Mitarbeiter!$F$53&lt;&gt;"",AS$5&gt;Mitarbeiter!$F$53),0,IF(Planung!AS55="",$C55,IF(ISNUMBER(Planung!AS55),Planung!AS55,IF(UPPER(Planung!AS55)="H",$C55/2,0)))))))</f>
        <v>0</v>
      </c>
      <c r="AT55" s="27">
        <f>IF($A55="",0,IF(Mitarbeiter!$G$53=FALSE,0,IF(AND(Mitarbeiter!$E$53&lt;&gt;"",AT$5+6&lt;Mitarbeiter!$E$53),0,IF(AND(Mitarbeiter!$F$53&lt;&gt;"",AT$5&gt;Mitarbeiter!$F$53),0,IF(Planung!AT55="",$C55,IF(ISNUMBER(Planung!AT55),Planung!AT55,IF(UPPER(Planung!AT55)="H",$C55/2,0)))))))</f>
        <v>0</v>
      </c>
      <c r="AU55" s="27">
        <f>IF($A55="",0,IF(Mitarbeiter!$G$53=FALSE,0,IF(AND(Mitarbeiter!$E$53&lt;&gt;"",AU$5+6&lt;Mitarbeiter!$E$53),0,IF(AND(Mitarbeiter!$F$53&lt;&gt;"",AU$5&gt;Mitarbeiter!$F$53),0,IF(Planung!AU55="",$C55,IF(ISNUMBER(Planung!AU55),Planung!AU55,IF(UPPER(Planung!AU55)="H",$C55/2,0)))))))</f>
        <v>0</v>
      </c>
      <c r="AV55" s="27">
        <f>IF($A55="",0,IF(Mitarbeiter!$G$53=FALSE,0,IF(AND(Mitarbeiter!$E$53&lt;&gt;"",AV$5+6&lt;Mitarbeiter!$E$53),0,IF(AND(Mitarbeiter!$F$53&lt;&gt;"",AV$5&gt;Mitarbeiter!$F$53),0,IF(Planung!AV55="",$C55,IF(ISNUMBER(Planung!AV55),Planung!AV55,IF(UPPER(Planung!AV55)="H",$C55/2,0)))))))</f>
        <v>0</v>
      </c>
      <c r="AW55" s="27">
        <f>IF($A55="",0,IF(Mitarbeiter!$G$53=FALSE,0,IF(AND(Mitarbeiter!$E$53&lt;&gt;"",AW$5+6&lt;Mitarbeiter!$E$53),0,IF(AND(Mitarbeiter!$F$53&lt;&gt;"",AW$5&gt;Mitarbeiter!$F$53),0,IF(Planung!AW55="",$C55,IF(ISNUMBER(Planung!AW55),Planung!AW55,IF(UPPER(Planung!AW55)="H",$C55/2,0)))))))</f>
        <v>0</v>
      </c>
      <c r="AX55" s="27">
        <f>IF($A55="",0,IF(Mitarbeiter!$G$53=FALSE,0,IF(AND(Mitarbeiter!$E$53&lt;&gt;"",AX$5+6&lt;Mitarbeiter!$E$53),0,IF(AND(Mitarbeiter!$F$53&lt;&gt;"",AX$5&gt;Mitarbeiter!$F$53),0,IF(Planung!AX55="",$C55,IF(ISNUMBER(Planung!AX55),Planung!AX55,IF(UPPER(Planung!AX55)="H",$C55/2,0)))))))</f>
        <v>0</v>
      </c>
      <c r="AY55" s="27">
        <f>IF($A55="",0,IF(Mitarbeiter!$G$53=FALSE,0,IF(AND(Mitarbeiter!$E$53&lt;&gt;"",AY$5+6&lt;Mitarbeiter!$E$53),0,IF(AND(Mitarbeiter!$F$53&lt;&gt;"",AY$5&gt;Mitarbeiter!$F$53),0,IF(Planung!AY55="",$C55,IF(ISNUMBER(Planung!AY55),Planung!AY55,IF(UPPER(Planung!AY55)="H",$C55/2,0)))))))</f>
        <v>0</v>
      </c>
      <c r="AZ55" s="27">
        <f>IF($A55="",0,IF(Mitarbeiter!$G$53=FALSE,0,IF(AND(Mitarbeiter!$E$53&lt;&gt;"",AZ$5+6&lt;Mitarbeiter!$E$53),0,IF(AND(Mitarbeiter!$F$53&lt;&gt;"",AZ$5&gt;Mitarbeiter!$F$53),0,IF(Planung!AZ55="",$C55,IF(ISNUMBER(Planung!AZ55),Planung!AZ55,IF(UPPER(Planung!AZ55)="H",$C55/2,0)))))))</f>
        <v>0</v>
      </c>
      <c r="BA55" s="27">
        <f>IF($A55="",0,IF(Mitarbeiter!$G$53=FALSE,0,IF(AND(Mitarbeiter!$E$53&lt;&gt;"",BA$5+6&lt;Mitarbeiter!$E$53),0,IF(AND(Mitarbeiter!$F$53&lt;&gt;"",BA$5&gt;Mitarbeiter!$F$53),0,IF(Planung!BA55="",$C55,IF(ISNUMBER(Planung!BA55),Planung!BA55,IF(UPPER(Planung!BA55)="H",$C55/2,0)))))))</f>
        <v>0</v>
      </c>
      <c r="BB55" s="27">
        <f>IF($A55="",0,IF(Mitarbeiter!$G$53=FALSE,0,IF(AND(Mitarbeiter!$E$53&lt;&gt;"",BB$5+6&lt;Mitarbeiter!$E$53),0,IF(AND(Mitarbeiter!$F$53&lt;&gt;"",BB$5&gt;Mitarbeiter!$F$53),0,IF(Planung!BB55="",$C55,IF(ISNUMBER(Planung!BB55),Planung!BB55,IF(UPPER(Planung!BB55)="H",$C55/2,0)))))))</f>
        <v>0</v>
      </c>
      <c r="BC55" s="27">
        <f>IF($A55="",0,IF(Mitarbeiter!$G$53=FALSE,0,IF(AND(Mitarbeiter!$E$53&lt;&gt;"",BC$5+6&lt;Mitarbeiter!$E$53),0,IF(AND(Mitarbeiter!$F$53&lt;&gt;"",BC$5&gt;Mitarbeiter!$F$53),0,IF(Planung!BC55="",$C55,IF(ISNUMBER(Planung!BC55),Planung!BC55,IF(UPPER(Planung!BC55)="H",$C55/2,0)))))))</f>
        <v>0</v>
      </c>
      <c r="BD55" s="27">
        <f>IF($A55="",0,IF(Mitarbeiter!$G$53=FALSE,0,IF(AND(Mitarbeiter!$E$53&lt;&gt;"",BD$5+6&lt;Mitarbeiter!$E$53),0,IF(AND(Mitarbeiter!$F$53&lt;&gt;"",BD$5&gt;Mitarbeiter!$F$53),0,IF(Planung!BD55="",$C55,IF(ISNUMBER(Planung!BD55),Planung!BD55,IF(UPPER(Planung!BD55)="H",$C55/2,0)))))))</f>
        <v>0</v>
      </c>
      <c r="BE55" s="27">
        <f>IF($A55="",0,IF(Mitarbeiter!$G$53=FALSE,0,IF(AND(Mitarbeiter!$E$53&lt;&gt;"",BE$5+6&lt;Mitarbeiter!$E$53),0,IF(AND(Mitarbeiter!$F$53&lt;&gt;"",BE$5&gt;Mitarbeiter!$F$53),0,IF(Planung!BE55="",$C55,IF(ISNUMBER(Planung!BE55),Planung!BE55,IF(UPPER(Planung!BE55)="H",$C55/2,0)))))))</f>
        <v>0</v>
      </c>
      <c r="BF55" s="27">
        <f>IF($A55="",0,IF(Mitarbeiter!$G$53=FALSE,0,IF(AND(Mitarbeiter!$E$53&lt;&gt;"",BF$5+6&lt;Mitarbeiter!$E$53),0,IF(AND(Mitarbeiter!$F$53&lt;&gt;"",BF$5&gt;Mitarbeiter!$F$53),0,IF(Planung!BF55="",$C55,IF(ISNUMBER(Planung!BF55),Planung!BF55,IF(UPPER(Planung!BF55)="H",$C55/2,0)))))))</f>
        <v>0</v>
      </c>
      <c r="BG55" s="27">
        <f>IF($A55="",0,IF(Mitarbeiter!$G$53=FALSE,0,IF(AND(Mitarbeiter!$E$53&lt;&gt;"",BG$5+6&lt;Mitarbeiter!$E$53),0,IF(AND(Mitarbeiter!$F$53&lt;&gt;"",BG$5&gt;Mitarbeiter!$F$53),0,IF(Planung!BG55="",$C55,IF(ISNUMBER(Planung!BG55),Planung!BG55,IF(UPPER(Planung!BG55)="H",$C55/2,0)))))))</f>
        <v>0</v>
      </c>
      <c r="BH55" s="27">
        <f>IF($A55="",0,IF(Mitarbeiter!$G$53=FALSE,0,IF(AND(Mitarbeiter!$E$53&lt;&gt;"",BH$5+6&lt;Mitarbeiter!$E$53),0,IF(AND(Mitarbeiter!$F$53&lt;&gt;"",BH$5&gt;Mitarbeiter!$F$53),0,IF(Planung!BH55="",$C55,IF(ISNUMBER(Planung!BH55),Planung!BH55,IF(UPPER(Planung!BH55)="H",$C55/2,0)))))))</f>
        <v>0</v>
      </c>
      <c r="BI55" s="27">
        <f>IF($A55="",0,IF(Mitarbeiter!$G$53=FALSE,0,IF(AND(Mitarbeiter!$E$53&lt;&gt;"",BI$5+6&lt;Mitarbeiter!$E$53),0,IF(AND(Mitarbeiter!$F$53&lt;&gt;"",BI$5&gt;Mitarbeiter!$F$53),0,IF(Planung!BI55="",$C55,IF(ISNUMBER(Planung!BI55),Planung!BI55,IF(UPPER(Planung!BI55)="H",$C55/2,0)))))))</f>
        <v>0</v>
      </c>
      <c r="BJ55" s="27">
        <f>IF($A55="",0,IF(Mitarbeiter!$G$53=FALSE,0,IF(AND(Mitarbeiter!$E$53&lt;&gt;"",BJ$5+6&lt;Mitarbeiter!$E$53),0,IF(AND(Mitarbeiter!$F$53&lt;&gt;"",BJ$5&gt;Mitarbeiter!$F$53),0,IF(Planung!BJ55="",$C55,IF(ISNUMBER(Planung!BJ55),Planung!BJ55,IF(UPPER(Planung!BJ55)="H",$C55/2,0)))))))</f>
        <v>0</v>
      </c>
      <c r="BK55" s="27">
        <f>IF($A55="",0,IF(Mitarbeiter!$G$53=FALSE,0,IF(AND(Mitarbeiter!$E$53&lt;&gt;"",BK$5+6&lt;Mitarbeiter!$E$53),0,IF(AND(Mitarbeiter!$F$53&lt;&gt;"",BK$5&gt;Mitarbeiter!$F$53),0,IF(Planung!BK55="",$C55,IF(ISNUMBER(Planung!BK55),Planung!BK55,IF(UPPER(Planung!BK55)="H",$C55/2,0)))))))</f>
        <v>0</v>
      </c>
      <c r="BL55" s="27">
        <f>IF($A55="",0,IF(Mitarbeiter!$G$53=FALSE,0,IF(AND(Mitarbeiter!$E$53&lt;&gt;"",BL$5+6&lt;Mitarbeiter!$E$53),0,IF(AND(Mitarbeiter!$F$53&lt;&gt;"",BL$5&gt;Mitarbeiter!$F$53),0,IF(Planung!BL55="",$C55,IF(ISNUMBER(Planung!BL55),Planung!BL55,IF(UPPER(Planung!BL55)="H",$C55/2,0)))))))</f>
        <v>0</v>
      </c>
      <c r="BM55" s="27">
        <f>IF($A55="",0,IF(Mitarbeiter!$G$53=FALSE,0,IF(AND(Mitarbeiter!$E$53&lt;&gt;"",BM$5+6&lt;Mitarbeiter!$E$53),0,IF(AND(Mitarbeiter!$F$53&lt;&gt;"",BM$5&gt;Mitarbeiter!$F$53),0,IF(Planung!BM55="",$C55,IF(ISNUMBER(Planung!BM55),Planung!BM55,IF(UPPER(Planung!BM55)="H",$C55/2,0)))))))</f>
        <v>0</v>
      </c>
      <c r="BN55" s="27">
        <f>IF($A55="",0,IF(Mitarbeiter!$G$53=FALSE,0,IF(AND(Mitarbeiter!$E$53&lt;&gt;"",BN$5+6&lt;Mitarbeiter!$E$53),0,IF(AND(Mitarbeiter!$F$53&lt;&gt;"",BN$5&gt;Mitarbeiter!$F$53),0,IF(Planung!BN55="",$C55,IF(ISNUMBER(Planung!BN55),Planung!BN55,IF(UPPER(Planung!BN55)="H",$C55/2,0)))))))</f>
        <v>0</v>
      </c>
      <c r="BO55" s="27">
        <f>IF($A55="",0,IF(Mitarbeiter!$G$53=FALSE,0,IF(AND(Mitarbeiter!$E$53&lt;&gt;"",BO$5+6&lt;Mitarbeiter!$E$53),0,IF(AND(Mitarbeiter!$F$53&lt;&gt;"",BO$5&gt;Mitarbeiter!$F$53),0,IF(Planung!BO55="",$C55,IF(ISNUMBER(Planung!BO55),Planung!BO55,IF(UPPER(Planung!BO55)="H",$C55/2,0)))))))</f>
        <v>0</v>
      </c>
      <c r="BP55" s="27">
        <f>IF($A55="",0,IF(Mitarbeiter!$G$53=FALSE,0,IF(AND(Mitarbeiter!$E$53&lt;&gt;"",BP$5+6&lt;Mitarbeiter!$E$53),0,IF(AND(Mitarbeiter!$F$53&lt;&gt;"",BP$5&gt;Mitarbeiter!$F$53),0,IF(Planung!BP55="",$C55,IF(ISNUMBER(Planung!BP55),Planung!BP55,IF(UPPER(Planung!BP55)="H",$C55/2,0)))))))</f>
        <v>0</v>
      </c>
      <c r="BQ55" s="27">
        <f>IF($A55="",0,IF(Mitarbeiter!$G$53=FALSE,0,IF(AND(Mitarbeiter!$E$53&lt;&gt;"",BQ$5+6&lt;Mitarbeiter!$E$53),0,IF(AND(Mitarbeiter!$F$53&lt;&gt;"",BQ$5&gt;Mitarbeiter!$F$53),0,IF(Planung!BQ55="",$C55,IF(ISNUMBER(Planung!BQ55),Planung!BQ55,IF(UPPER(Planung!BQ55)="H",$C55/2,0)))))))</f>
        <v>0</v>
      </c>
      <c r="BR55" s="27">
        <f>IF($A55="",0,IF(Mitarbeiter!$G$53=FALSE,0,IF(AND(Mitarbeiter!$E$53&lt;&gt;"",BR$5+6&lt;Mitarbeiter!$E$53),0,IF(AND(Mitarbeiter!$F$53&lt;&gt;"",BR$5&gt;Mitarbeiter!$F$53),0,IF(Planung!BR55="",$C55,IF(ISNUMBER(Planung!BR55),Planung!BR55,IF(UPPER(Planung!BR55)="H",$C55/2,0)))))))</f>
        <v>0</v>
      </c>
      <c r="BS55" s="27">
        <f>IF($A55="",0,IF(Mitarbeiter!$G$53=FALSE,0,IF(AND(Mitarbeiter!$E$53&lt;&gt;"",BS$5+6&lt;Mitarbeiter!$E$53),0,IF(AND(Mitarbeiter!$F$53&lt;&gt;"",BS$5&gt;Mitarbeiter!$F$53),0,IF(Planung!BS55="",$C55,IF(ISNUMBER(Planung!BS55),Planung!BS55,IF(UPPER(Planung!BS55)="H",$C55/2,0)))))))</f>
        <v>0</v>
      </c>
      <c r="BT55" s="27">
        <f>IF($A55="",0,IF(Mitarbeiter!$G$53=FALSE,0,IF(AND(Mitarbeiter!$E$53&lt;&gt;"",BT$5+6&lt;Mitarbeiter!$E$53),0,IF(AND(Mitarbeiter!$F$53&lt;&gt;"",BT$5&gt;Mitarbeiter!$F$53),0,IF(Planung!BT55="",$C55,IF(ISNUMBER(Planung!BT55),Planung!BT55,IF(UPPER(Planung!BT55)="H",$C55/2,0)))))))</f>
        <v>0</v>
      </c>
      <c r="BU55" s="27">
        <f>IF($A55="",0,IF(Mitarbeiter!$G$53=FALSE,0,IF(AND(Mitarbeiter!$E$53&lt;&gt;"",BU$5+6&lt;Mitarbeiter!$E$53),0,IF(AND(Mitarbeiter!$F$53&lt;&gt;"",BU$5&gt;Mitarbeiter!$F$53),0,IF(Planung!BU55="",$C55,IF(ISNUMBER(Planung!BU55),Planung!BU55,IF(UPPER(Planung!BU55)="H",$C55/2,0)))))))</f>
        <v>0</v>
      </c>
      <c r="BV55" s="27">
        <f>IF($A55="",0,IF(Mitarbeiter!$G$53=FALSE,0,IF(AND(Mitarbeiter!$E$53&lt;&gt;"",BV$5+6&lt;Mitarbeiter!$E$53),0,IF(AND(Mitarbeiter!$F$53&lt;&gt;"",BV$5&gt;Mitarbeiter!$F$53),0,IF(Planung!BV55="",$C55,IF(ISNUMBER(Planung!BV55),Planung!BV55,IF(UPPER(Planung!BV55)="H",$C55/2,0)))))))</f>
        <v>0</v>
      </c>
      <c r="BW55" s="27">
        <f>IF($A55="",0,IF(Mitarbeiter!$G$53=FALSE,0,IF(AND(Mitarbeiter!$E$53&lt;&gt;"",BW$5+6&lt;Mitarbeiter!$E$53),0,IF(AND(Mitarbeiter!$F$53&lt;&gt;"",BW$5&gt;Mitarbeiter!$F$53),0,IF(Planung!BW55="",$C55,IF(ISNUMBER(Planung!BW55),Planung!BW55,IF(UPPER(Planung!BW55)="H",$C55/2,0)))))))</f>
        <v>0</v>
      </c>
      <c r="BX55" s="27">
        <f>IF($A55="",0,IF(Mitarbeiter!$G$53=FALSE,0,IF(AND(Mitarbeiter!$E$53&lt;&gt;"",BX$5+6&lt;Mitarbeiter!$E$53),0,IF(AND(Mitarbeiter!$F$53&lt;&gt;"",BX$5&gt;Mitarbeiter!$F$53),0,IF(Planung!BX55="",$C55,IF(ISNUMBER(Planung!BX55),Planung!BX55,IF(UPPER(Planung!BX55)="H",$C55/2,0)))))))</f>
        <v>0</v>
      </c>
      <c r="BY55" s="27">
        <f>IF($A55="",0,IF(Mitarbeiter!$G$53=FALSE,0,IF(AND(Mitarbeiter!$E$53&lt;&gt;"",BY$5+6&lt;Mitarbeiter!$E$53),0,IF(AND(Mitarbeiter!$F$53&lt;&gt;"",BY$5&gt;Mitarbeiter!$F$53),0,IF(Planung!BY55="",$C55,IF(ISNUMBER(Planung!BY55),Planung!BY55,IF(UPPER(Planung!BY55)="H",$C55/2,0)))))))</f>
        <v>0</v>
      </c>
      <c r="BZ55" s="27">
        <f>IF($A55="",0,IF(Mitarbeiter!$G$53=FALSE,0,IF(AND(Mitarbeiter!$E$53&lt;&gt;"",BZ$5+6&lt;Mitarbeiter!$E$53),0,IF(AND(Mitarbeiter!$F$53&lt;&gt;"",BZ$5&gt;Mitarbeiter!$F$53),0,IF(Planung!BZ55="",$C55,IF(ISNUMBER(Planung!BZ55),Planung!BZ55,IF(UPPER(Planung!BZ55)="H",$C55/2,0)))))))</f>
        <v>0</v>
      </c>
      <c r="CA55" s="27">
        <f>IF($A55="",0,IF(Mitarbeiter!$G$53=FALSE,0,IF(AND(Mitarbeiter!$E$53&lt;&gt;"",CA$5+6&lt;Mitarbeiter!$E$53),0,IF(AND(Mitarbeiter!$F$53&lt;&gt;"",CA$5&gt;Mitarbeiter!$F$53),0,IF(Planung!CA55="",$C55,IF(ISNUMBER(Planung!CA55),Planung!CA55,IF(UPPER(Planung!CA55)="H",$C55/2,0)))))))</f>
        <v>0</v>
      </c>
      <c r="CB55" s="27">
        <f>IF($A55="",0,IF(Mitarbeiter!$G$53=FALSE,0,IF(AND(Mitarbeiter!$E$53&lt;&gt;"",CB$5+6&lt;Mitarbeiter!$E$53),0,IF(AND(Mitarbeiter!$F$53&lt;&gt;"",CB$5&gt;Mitarbeiter!$F$53),0,IF(Planung!CB55="",$C55,IF(ISNUMBER(Planung!CB55),Planung!CB55,IF(UPPER(Planung!CB55)="H",$C55/2,0)))))))</f>
        <v>0</v>
      </c>
      <c r="CC55" s="27">
        <f>IF($A55="",0,IF(Mitarbeiter!$G$53=FALSE,0,IF(AND(Mitarbeiter!$E$53&lt;&gt;"",CC$5+6&lt;Mitarbeiter!$E$53),0,IF(AND(Mitarbeiter!$F$53&lt;&gt;"",CC$5&gt;Mitarbeiter!$F$53),0,IF(Planung!CC55="",$C55,IF(ISNUMBER(Planung!CC55),Planung!CC55,IF(UPPER(Planung!CC55)="H",$C55/2,0)))))))</f>
        <v>0</v>
      </c>
      <c r="CD55" s="27">
        <f>IF($A55="",0,IF(Mitarbeiter!$G$53=FALSE,0,IF(AND(Mitarbeiter!$E$53&lt;&gt;"",CD$5+6&lt;Mitarbeiter!$E$53),0,IF(AND(Mitarbeiter!$F$53&lt;&gt;"",CD$5&gt;Mitarbeiter!$F$53),0,IF(Planung!CD55="",$C55,IF(ISNUMBER(Planung!CD55),Planung!CD55,IF(UPPER(Planung!CD55)="H",$C55/2,0)))))))</f>
        <v>0</v>
      </c>
      <c r="CE55" s="27">
        <f>IF($A55="",0,IF(Mitarbeiter!$G$53=FALSE,0,IF(AND(Mitarbeiter!$E$53&lt;&gt;"",CE$5+6&lt;Mitarbeiter!$E$53),0,IF(AND(Mitarbeiter!$F$53&lt;&gt;"",CE$5&gt;Mitarbeiter!$F$53),0,IF(Planung!CE55="",$C55,IF(ISNUMBER(Planung!CE55),Planung!CE55,IF(UPPER(Planung!CE55)="H",$C55/2,0)))))))</f>
        <v>0</v>
      </c>
      <c r="CF55" s="27">
        <f>IF($A55="",0,IF(Mitarbeiter!$G$53=FALSE,0,IF(AND(Mitarbeiter!$E$53&lt;&gt;"",CF$5+6&lt;Mitarbeiter!$E$53),0,IF(AND(Mitarbeiter!$F$53&lt;&gt;"",CF$5&gt;Mitarbeiter!$F$53),0,IF(Planung!CF55="",$C55,IF(ISNUMBER(Planung!CF55),Planung!CF55,IF(UPPER(Planung!CF55)="H",$C55/2,0)))))))</f>
        <v>0</v>
      </c>
      <c r="CG55" s="27">
        <f>IF($A55="",0,IF(Mitarbeiter!$G$53=FALSE,0,IF(AND(Mitarbeiter!$E$53&lt;&gt;"",CG$5+6&lt;Mitarbeiter!$E$53),0,IF(AND(Mitarbeiter!$F$53&lt;&gt;"",CG$5&gt;Mitarbeiter!$F$53),0,IF(Planung!CG55="",$C55,IF(ISNUMBER(Planung!CG55),Planung!CG55,IF(UPPER(Planung!CG55)="H",$C55/2,0)))))))</f>
        <v>0</v>
      </c>
      <c r="CH55" s="27">
        <f>IF($A55="",0,IF(Mitarbeiter!$G$53=FALSE,0,IF(AND(Mitarbeiter!$E$53&lt;&gt;"",CH$5+6&lt;Mitarbeiter!$E$53),0,IF(AND(Mitarbeiter!$F$53&lt;&gt;"",CH$5&gt;Mitarbeiter!$F$53),0,IF(Planung!CH55="",$C55,IF(ISNUMBER(Planung!CH55),Planung!CH55,IF(UPPER(Planung!CH55)="H",$C55/2,0)))))))</f>
        <v>0</v>
      </c>
      <c r="CI55" s="27">
        <f>IF($A55="",0,IF(Mitarbeiter!$G$53=FALSE,0,IF(AND(Mitarbeiter!$E$53&lt;&gt;"",CI$5+6&lt;Mitarbeiter!$E$53),0,IF(AND(Mitarbeiter!$F$53&lt;&gt;"",CI$5&gt;Mitarbeiter!$F$53),0,IF(Planung!CI55="",$C55,IF(ISNUMBER(Planung!CI55),Planung!CI55,IF(UPPER(Planung!CI55)="H",$C55/2,0)))))))</f>
        <v>0</v>
      </c>
      <c r="CJ55" s="27">
        <f>IF($A55="",0,IF(Mitarbeiter!$G$53=FALSE,0,IF(AND(Mitarbeiter!$E$53&lt;&gt;"",CJ$5+6&lt;Mitarbeiter!$E$53),0,IF(AND(Mitarbeiter!$F$53&lt;&gt;"",CJ$5&gt;Mitarbeiter!$F$53),0,IF(Planung!CJ55="",$C55,IF(ISNUMBER(Planung!CJ55),Planung!CJ55,IF(UPPER(Planung!CJ55)="H",$C55/2,0)))))))</f>
        <v>0</v>
      </c>
      <c r="CK55" s="27">
        <f>IF($A55="",0,IF(Mitarbeiter!$G$53=FALSE,0,IF(AND(Mitarbeiter!$E$53&lt;&gt;"",CK$5+6&lt;Mitarbeiter!$E$53),0,IF(AND(Mitarbeiter!$F$53&lt;&gt;"",CK$5&gt;Mitarbeiter!$F$53),0,IF(Planung!CK55="",$C55,IF(ISNUMBER(Planung!CK55),Planung!CK55,IF(UPPER(Planung!CK55)="H",$C55/2,0)))))))</f>
        <v>0</v>
      </c>
      <c r="CL55" s="27">
        <f>IF($A55="",0,IF(Mitarbeiter!$G$53=FALSE,0,IF(AND(Mitarbeiter!$E$53&lt;&gt;"",CL$5+6&lt;Mitarbeiter!$E$53),0,IF(AND(Mitarbeiter!$F$53&lt;&gt;"",CL$5&gt;Mitarbeiter!$F$53),0,IF(Planung!CL55="",$C55,IF(ISNUMBER(Planung!CL55),Planung!CL55,IF(UPPER(Planung!CL55)="H",$C55/2,0)))))))</f>
        <v>0</v>
      </c>
      <c r="CM55" s="27">
        <f>IF($A55="",0,IF(Mitarbeiter!$G$53=FALSE,0,IF(AND(Mitarbeiter!$E$53&lt;&gt;"",CM$5+6&lt;Mitarbeiter!$E$53),0,IF(AND(Mitarbeiter!$F$53&lt;&gt;"",CM$5&gt;Mitarbeiter!$F$53),0,IF(Planung!CM55="",$C55,IF(ISNUMBER(Planung!CM55),Planung!CM55,IF(UPPER(Planung!CM55)="H",$C55/2,0)))))))</f>
        <v>0</v>
      </c>
      <c r="CN55" s="27">
        <f>IF($A55="",0,IF(Mitarbeiter!$G$53=FALSE,0,IF(AND(Mitarbeiter!$E$53&lt;&gt;"",CN$5+6&lt;Mitarbeiter!$E$53),0,IF(AND(Mitarbeiter!$F$53&lt;&gt;"",CN$5&gt;Mitarbeiter!$F$53),0,IF(Planung!CN55="",$C55,IF(ISNUMBER(Planung!CN55),Planung!CN55,IF(UPPER(Planung!CN55)="H",$C55/2,0)))))))</f>
        <v>0</v>
      </c>
      <c r="CO55" s="27">
        <f>IF($A55="",0,IF(Mitarbeiter!$G$53=FALSE,0,IF(AND(Mitarbeiter!$E$53&lt;&gt;"",CO$5+6&lt;Mitarbeiter!$E$53),0,IF(AND(Mitarbeiter!$F$53&lt;&gt;"",CO$5&gt;Mitarbeiter!$F$53),0,IF(Planung!CO55="",$C55,IF(ISNUMBER(Planung!CO55),Planung!CO55,IF(UPPER(Planung!CO55)="H",$C55/2,0)))))))</f>
        <v>0</v>
      </c>
      <c r="CP55" s="27">
        <f>IF($A55="",0,IF(Mitarbeiter!$G$53=FALSE,0,IF(AND(Mitarbeiter!$E$53&lt;&gt;"",CP$5+6&lt;Mitarbeiter!$E$53),0,IF(AND(Mitarbeiter!$F$53&lt;&gt;"",CP$5&gt;Mitarbeiter!$F$53),0,IF(Planung!CP55="",$C55,IF(ISNUMBER(Planung!CP55),Planung!CP55,IF(UPPER(Planung!CP55)="H",$C55/2,0)))))))</f>
        <v>0</v>
      </c>
      <c r="CQ55" s="27">
        <f>IF($A55="",0,IF(Mitarbeiter!$G$53=FALSE,0,IF(AND(Mitarbeiter!$E$53&lt;&gt;"",CQ$5+6&lt;Mitarbeiter!$E$53),0,IF(AND(Mitarbeiter!$F$53&lt;&gt;"",CQ$5&gt;Mitarbeiter!$F$53),0,IF(Planung!CQ55="",$C55,IF(ISNUMBER(Planung!CQ55),Planung!CQ55,IF(UPPER(Planung!CQ55)="H",$C55/2,0)))))))</f>
        <v>0</v>
      </c>
      <c r="CR55" s="27">
        <f>IF($A55="",0,IF(Mitarbeiter!$G$53=FALSE,0,IF(AND(Mitarbeiter!$E$53&lt;&gt;"",CR$5+6&lt;Mitarbeiter!$E$53),0,IF(AND(Mitarbeiter!$F$53&lt;&gt;"",CR$5&gt;Mitarbeiter!$F$53),0,IF(Planung!CR55="",$C55,IF(ISNUMBER(Planung!CR55),Planung!CR55,IF(UPPER(Planung!CR55)="H",$C55/2,0)))))))</f>
        <v>0</v>
      </c>
      <c r="CS55" s="27">
        <f>IF($A55="",0,IF(Mitarbeiter!$G$53=FALSE,0,IF(AND(Mitarbeiter!$E$53&lt;&gt;"",CS$5+6&lt;Mitarbeiter!$E$53),0,IF(AND(Mitarbeiter!$F$53&lt;&gt;"",CS$5&gt;Mitarbeiter!$F$53),0,IF(Planung!CS55="",$C55,IF(ISNUMBER(Planung!CS55),Planung!CS55,IF(UPPER(Planung!CS55)="H",$C55/2,0)))))))</f>
        <v>0</v>
      </c>
      <c r="CT55" s="27">
        <f>IF($A55="",0,IF(Mitarbeiter!$G$53=FALSE,0,IF(AND(Mitarbeiter!$E$53&lt;&gt;"",CT$5+6&lt;Mitarbeiter!$E$53),0,IF(AND(Mitarbeiter!$F$53&lt;&gt;"",CT$5&gt;Mitarbeiter!$F$53),0,IF(Planung!CT55="",$C55,IF(ISNUMBER(Planung!CT55),Planung!CT55,IF(UPPER(Planung!CT55)="H",$C55/2,0)))))))</f>
        <v>0</v>
      </c>
      <c r="CU55" s="27">
        <f>IF($A55="",0,IF(Mitarbeiter!$G$53=FALSE,0,IF(AND(Mitarbeiter!$E$53&lt;&gt;"",CU$5+6&lt;Mitarbeiter!$E$53),0,IF(AND(Mitarbeiter!$F$53&lt;&gt;"",CU$5&gt;Mitarbeiter!$F$53),0,IF(Planung!CU55="",$C55,IF(ISNUMBER(Planung!CU55),Planung!CU55,IF(UPPER(Planung!CU55)="H",$C55/2,0)))))))</f>
        <v>0</v>
      </c>
      <c r="CV55" s="27">
        <f>IF($A55="",0,IF(Mitarbeiter!$G$53=FALSE,0,IF(AND(Mitarbeiter!$E$53&lt;&gt;"",CV$5+6&lt;Mitarbeiter!$E$53),0,IF(AND(Mitarbeiter!$F$53&lt;&gt;"",CV$5&gt;Mitarbeiter!$F$53),0,IF(Planung!CV55="",$C55,IF(ISNUMBER(Planung!CV55),Planung!CV55,IF(UPPER(Planung!CV55)="H",$C55/2,0)))))))</f>
        <v>0</v>
      </c>
      <c r="CW55" s="27">
        <f>IF($A55="",0,IF(Mitarbeiter!$G$53=FALSE,0,IF(AND(Mitarbeiter!$E$53&lt;&gt;"",CW$5+6&lt;Mitarbeiter!$E$53),0,IF(AND(Mitarbeiter!$F$53&lt;&gt;"",CW$5&gt;Mitarbeiter!$F$53),0,IF(Planung!CW55="",$C55,IF(ISNUMBER(Planung!CW55),Planung!CW55,IF(UPPER(Planung!CW55)="H",$C55/2,0)))))))</f>
        <v>0</v>
      </c>
      <c r="CX55" s="27">
        <f>IF($A55="",0,IF(Mitarbeiter!$G$53=FALSE,0,IF(AND(Mitarbeiter!$E$53&lt;&gt;"",CX$5+6&lt;Mitarbeiter!$E$53),0,IF(AND(Mitarbeiter!$F$53&lt;&gt;"",CX$5&gt;Mitarbeiter!$F$53),0,IF(Planung!CX55="",$C55,IF(ISNUMBER(Planung!CX55),Planung!CX55,IF(UPPER(Planung!CX55)="H",$C55/2,0)))))))</f>
        <v>0</v>
      </c>
      <c r="CY55" s="27">
        <f>IF($A55="",0,IF(Mitarbeiter!$G$53=FALSE,0,IF(AND(Mitarbeiter!$E$53&lt;&gt;"",CY$5+6&lt;Mitarbeiter!$E$53),0,IF(AND(Mitarbeiter!$F$53&lt;&gt;"",CY$5&gt;Mitarbeiter!$F$53),0,IF(Planung!CY55="",$C55,IF(ISNUMBER(Planung!CY55),Planung!CY55,IF(UPPER(Planung!CY55)="H",$C55/2,0)))))))</f>
        <v>0</v>
      </c>
      <c r="CZ55" s="27">
        <f>IF($A55="",0,IF(Mitarbeiter!$G$53=FALSE,0,IF(AND(Mitarbeiter!$E$53&lt;&gt;"",CZ$5+6&lt;Mitarbeiter!$E$53),0,IF(AND(Mitarbeiter!$F$53&lt;&gt;"",CZ$5&gt;Mitarbeiter!$F$53),0,IF(Planung!CZ55="",$C55,IF(ISNUMBER(Planung!CZ55),Planung!CZ55,IF(UPPER(Planung!CZ55)="H",$C55/2,0)))))))</f>
        <v>0</v>
      </c>
      <c r="DA55" s="27">
        <f>IF($A55="",0,IF(Mitarbeiter!$G$53=FALSE,0,IF(AND(Mitarbeiter!$E$53&lt;&gt;"",DA$5+6&lt;Mitarbeiter!$E$53),0,IF(AND(Mitarbeiter!$F$53&lt;&gt;"",DA$5&gt;Mitarbeiter!$F$53),0,IF(Planung!DA55="",$C55,IF(ISNUMBER(Planung!DA55),Planung!DA55,IF(UPPER(Planung!DA55)="H",$C55/2,0)))))))</f>
        <v>0</v>
      </c>
      <c r="DB55" s="27">
        <f>IF($A55="",0,IF(Mitarbeiter!$G$53=FALSE,0,IF(AND(Mitarbeiter!$E$53&lt;&gt;"",DB$5+6&lt;Mitarbeiter!$E$53),0,IF(AND(Mitarbeiter!$F$53&lt;&gt;"",DB$5&gt;Mitarbeiter!$F$53),0,IF(Planung!DB55="",$C55,IF(ISNUMBER(Planung!DB55),Planung!DB55,IF(UPPER(Planung!DB55)="H",$C55/2,0)))))))</f>
        <v>0</v>
      </c>
      <c r="DC55" s="27">
        <f>IF($A55="",0,IF(Mitarbeiter!$G$53=FALSE,0,IF(AND(Mitarbeiter!$E$53&lt;&gt;"",DC$5+6&lt;Mitarbeiter!$E$53),0,IF(AND(Mitarbeiter!$F$53&lt;&gt;"",DC$5&gt;Mitarbeiter!$F$53),0,IF(Planung!DC55="",$C55,IF(ISNUMBER(Planung!DC55),Planung!DC55,IF(UPPER(Planung!DC55)="H",$C55/2,0)))))))</f>
        <v>0</v>
      </c>
      <c r="DD55" s="27">
        <f>IF($A55="",0,IF(Mitarbeiter!$G$53=FALSE,0,IF(AND(Mitarbeiter!$E$53&lt;&gt;"",DD$5+6&lt;Mitarbeiter!$E$53),0,IF(AND(Mitarbeiter!$F$53&lt;&gt;"",DD$5&gt;Mitarbeiter!$F$53),0,IF(Planung!DD55="",$C55,IF(ISNUMBER(Planung!DD55),Planung!DD55,IF(UPPER(Planung!DD55)="H",$C55/2,0)))))))</f>
        <v>0</v>
      </c>
      <c r="DE55" s="27">
        <f>IF($A55="",0,IF(Mitarbeiter!$G$53=FALSE,0,IF(AND(Mitarbeiter!$E$53&lt;&gt;"",DE$5+6&lt;Mitarbeiter!$E$53),0,IF(AND(Mitarbeiter!$F$53&lt;&gt;"",DE$5&gt;Mitarbeiter!$F$53),0,IF(Planung!DE55="",$C55,IF(ISNUMBER(Planung!DE55),Planung!DE55,IF(UPPER(Planung!DE55)="H",$C55/2,0)))))))</f>
        <v>0</v>
      </c>
      <c r="DF55" s="27">
        <f>IF($A55="",0,IF(Mitarbeiter!$G$53=FALSE,0,IF(AND(Mitarbeiter!$E$53&lt;&gt;"",DF$5+6&lt;Mitarbeiter!$E$53),0,IF(AND(Mitarbeiter!$F$53&lt;&gt;"",DF$5&gt;Mitarbeiter!$F$53),0,IF(Planung!DF55="",$C55,IF(ISNUMBER(Planung!DF55),Planung!DF55,IF(UPPER(Planung!DF55)="H",$C55/2,0)))))))</f>
        <v>0</v>
      </c>
      <c r="DG55" s="27">
        <f>IF($A55="",0,IF(Mitarbeiter!$G$53=FALSE,0,IF(AND(Mitarbeiter!$E$53&lt;&gt;"",DG$5+6&lt;Mitarbeiter!$E$53),0,IF(AND(Mitarbeiter!$F$53&lt;&gt;"",DG$5&gt;Mitarbeiter!$F$53),0,IF(Planung!DG55="",$C55,IF(ISNUMBER(Planung!DG55),Planung!DG55,IF(UPPER(Planung!DG55)="H",$C55/2,0)))))))</f>
        <v>0</v>
      </c>
      <c r="DH55" s="27">
        <f>IF($A55="",0,IF(Mitarbeiter!$G$53=FALSE,0,IF(AND(Mitarbeiter!$E$53&lt;&gt;"",DH$5+6&lt;Mitarbeiter!$E$53),0,IF(AND(Mitarbeiter!$F$53&lt;&gt;"",DH$5&gt;Mitarbeiter!$F$53),0,IF(Planung!DH55="",$C55,IF(ISNUMBER(Planung!DH55),Planung!DH55,IF(UPPER(Planung!DH55)="H",$C55/2,0)))))))</f>
        <v>0</v>
      </c>
      <c r="DI55" s="27">
        <f>IF($A55="",0,IF(Mitarbeiter!$G$53=FALSE,0,IF(AND(Mitarbeiter!$E$53&lt;&gt;"",DI$5+6&lt;Mitarbeiter!$E$53),0,IF(AND(Mitarbeiter!$F$53&lt;&gt;"",DI$5&gt;Mitarbeiter!$F$53),0,IF(Planung!DI55="",$C55,IF(ISNUMBER(Planung!DI55),Planung!DI55,IF(UPPER(Planung!DI55)="H",$C55/2,0)))))))</f>
        <v>0</v>
      </c>
      <c r="DJ55" s="27">
        <f>IF($A55="",0,IF(Mitarbeiter!$G$53=FALSE,0,IF(AND(Mitarbeiter!$E$53&lt;&gt;"",DJ$5+6&lt;Mitarbeiter!$E$53),0,IF(AND(Mitarbeiter!$F$53&lt;&gt;"",DJ$5&gt;Mitarbeiter!$F$53),0,IF(Planung!DJ55="",$C55,IF(ISNUMBER(Planung!DJ55),Planung!DJ55,IF(UPPER(Planung!DJ55)="H",$C55/2,0)))))))</f>
        <v>0</v>
      </c>
      <c r="DK55" s="27">
        <f>IF($A55="",0,IF(Mitarbeiter!$G$53=FALSE,0,IF(AND(Mitarbeiter!$E$53&lt;&gt;"",DK$5+6&lt;Mitarbeiter!$E$53),0,IF(AND(Mitarbeiter!$F$53&lt;&gt;"",DK$5&gt;Mitarbeiter!$F$53),0,IF(Planung!DK55="",$C55,IF(ISNUMBER(Planung!DK55),Planung!DK55,IF(UPPER(Planung!DK55)="H",$C55/2,0)))))))</f>
        <v>0</v>
      </c>
      <c r="DL55" s="27">
        <f>IF($A55="",0,IF(Mitarbeiter!$G$53=FALSE,0,IF(AND(Mitarbeiter!$E$53&lt;&gt;"",DL$5+6&lt;Mitarbeiter!$E$53),0,IF(AND(Mitarbeiter!$F$53&lt;&gt;"",DL$5&gt;Mitarbeiter!$F$53),0,IF(Planung!DL55="",$C55,IF(ISNUMBER(Planung!DL55),Planung!DL55,IF(UPPER(Planung!DL55)="H",$C55/2,0)))))))</f>
        <v>0</v>
      </c>
      <c r="DM55" s="27">
        <f>IF($A55="",0,IF(Mitarbeiter!$G$53=FALSE,0,IF(AND(Mitarbeiter!$E$53&lt;&gt;"",DM$5+6&lt;Mitarbeiter!$E$53),0,IF(AND(Mitarbeiter!$F$53&lt;&gt;"",DM$5&gt;Mitarbeiter!$F$53),0,IF(Planung!DM55="",$C55,IF(ISNUMBER(Planung!DM55),Planung!DM55,IF(UPPER(Planung!DM55)="H",$C55/2,0)))))))</f>
        <v>0</v>
      </c>
      <c r="DN55" s="27">
        <f>IF($A55="",0,IF(Mitarbeiter!$G$53=FALSE,0,IF(AND(Mitarbeiter!$E$53&lt;&gt;"",DN$5+6&lt;Mitarbeiter!$E$53),0,IF(AND(Mitarbeiter!$F$53&lt;&gt;"",DN$5&gt;Mitarbeiter!$F$53),0,IF(Planung!DN55="",$C55,IF(ISNUMBER(Planung!DN55),Planung!DN55,IF(UPPER(Planung!DN55)="H",$C55/2,0)))))))</f>
        <v>0</v>
      </c>
      <c r="DO55" s="27">
        <f>IF($A55="",0,IF(Mitarbeiter!$G$53=FALSE,0,IF(AND(Mitarbeiter!$E$53&lt;&gt;"",DO$5+6&lt;Mitarbeiter!$E$53),0,IF(AND(Mitarbeiter!$F$53&lt;&gt;"",DO$5&gt;Mitarbeiter!$F$53),0,IF(Planung!DO55="",$C55,IF(ISNUMBER(Planung!DO55),Planung!DO55,IF(UPPER(Planung!DO55)="H",$C55/2,0)))))))</f>
        <v>0</v>
      </c>
      <c r="DP55" s="27">
        <f>IF($A55="",0,IF(Mitarbeiter!$G$53=FALSE,0,IF(AND(Mitarbeiter!$E$53&lt;&gt;"",DP$5+6&lt;Mitarbeiter!$E$53),0,IF(AND(Mitarbeiter!$F$53&lt;&gt;"",DP$5&gt;Mitarbeiter!$F$53),0,IF(Planung!DP55="",$C55,IF(ISNUMBER(Planung!DP55),Planung!DP55,IF(UPPER(Planung!DP55)="H",$C55/2,0)))))))</f>
        <v>0</v>
      </c>
      <c r="DQ55" s="27">
        <f>IF($A55="",0,IF(Mitarbeiter!$G$53=FALSE,0,IF(AND(Mitarbeiter!$E$53&lt;&gt;"",DQ$5+6&lt;Mitarbeiter!$E$53),0,IF(AND(Mitarbeiter!$F$53&lt;&gt;"",DQ$5&gt;Mitarbeiter!$F$53),0,IF(Planung!DQ55="",$C55,IF(ISNUMBER(Planung!DQ55),Planung!DQ55,IF(UPPER(Planung!DQ55)="H",$C55/2,0)))))))</f>
        <v>0</v>
      </c>
      <c r="DR55" s="27">
        <f>IF($A55="",0,IF(Mitarbeiter!$G$53=FALSE,0,IF(AND(Mitarbeiter!$E$53&lt;&gt;"",DR$5+6&lt;Mitarbeiter!$E$53),0,IF(AND(Mitarbeiter!$F$53&lt;&gt;"",DR$5&gt;Mitarbeiter!$F$53),0,IF(Planung!DR55="",$C55,IF(ISNUMBER(Planung!DR55),Planung!DR55,IF(UPPER(Planung!DR55)="H",$C55/2,0)))))))</f>
        <v>0</v>
      </c>
      <c r="DS55" s="27">
        <f>IF($A55="",0,IF(Mitarbeiter!$G$53=FALSE,0,IF(AND(Mitarbeiter!$E$53&lt;&gt;"",DS$5+6&lt;Mitarbeiter!$E$53),0,IF(AND(Mitarbeiter!$F$53&lt;&gt;"",DS$5&gt;Mitarbeiter!$F$53),0,IF(Planung!DS55="",$C55,IF(ISNUMBER(Planung!DS55),Planung!DS55,IF(UPPER(Planung!DS55)="H",$C55/2,0)))))))</f>
        <v>0</v>
      </c>
      <c r="DT55" s="27">
        <f>IF($A55="",0,IF(Mitarbeiter!$G$53=FALSE,0,IF(AND(Mitarbeiter!$E$53&lt;&gt;"",DT$5+6&lt;Mitarbeiter!$E$53),0,IF(AND(Mitarbeiter!$F$53&lt;&gt;"",DT$5&gt;Mitarbeiter!$F$53),0,IF(Planung!DT55="",$C55,IF(ISNUMBER(Planung!DT55),Planung!DT55,IF(UPPER(Planung!DT55)="H",$C55/2,0)))))))</f>
        <v>0</v>
      </c>
      <c r="DU55" s="27">
        <f>IF($A55="",0,IF(Mitarbeiter!$G$53=FALSE,0,IF(AND(Mitarbeiter!$E$53&lt;&gt;"",DU$5+6&lt;Mitarbeiter!$E$53),0,IF(AND(Mitarbeiter!$F$53&lt;&gt;"",DU$5&gt;Mitarbeiter!$F$53),0,IF(Planung!DU55="",$C55,IF(ISNUMBER(Planung!DU55),Planung!DU55,IF(UPPER(Planung!DU55)="H",$C55/2,0)))))))</f>
        <v>0</v>
      </c>
      <c r="DV55" s="27">
        <f>IF($A55="",0,IF(Mitarbeiter!$G$53=FALSE,0,IF(AND(Mitarbeiter!$E$53&lt;&gt;"",DV$5+6&lt;Mitarbeiter!$E$53),0,IF(AND(Mitarbeiter!$F$53&lt;&gt;"",DV$5&gt;Mitarbeiter!$F$53),0,IF(Planung!DV55="",$C55,IF(ISNUMBER(Planung!DV55),Planung!DV55,IF(UPPER(Planung!DV55)="H",$C55/2,0)))))))</f>
        <v>0</v>
      </c>
      <c r="DW55" s="27">
        <f>IF($A55="",0,IF(Mitarbeiter!$G$53=FALSE,0,IF(AND(Mitarbeiter!$E$53&lt;&gt;"",DW$5+6&lt;Mitarbeiter!$E$53),0,IF(AND(Mitarbeiter!$F$53&lt;&gt;"",DW$5&gt;Mitarbeiter!$F$53),0,IF(Planung!DW55="",$C55,IF(ISNUMBER(Planung!DW55),Planung!DW55,IF(UPPER(Planung!DW55)="H",$C55/2,0)))))))</f>
        <v>0</v>
      </c>
      <c r="DX55" s="27">
        <f>IF($A55="",0,IF(Mitarbeiter!$G$53=FALSE,0,IF(AND(Mitarbeiter!$E$53&lt;&gt;"",DX$5+6&lt;Mitarbeiter!$E$53),0,IF(AND(Mitarbeiter!$F$53&lt;&gt;"",DX$5&gt;Mitarbeiter!$F$53),0,IF(Planung!DX55="",$C55,IF(ISNUMBER(Planung!DX55),Planung!DX55,IF(UPPER(Planung!DX55)="H",$C55/2,0)))))))</f>
        <v>0</v>
      </c>
      <c r="DY55" s="27">
        <f>IF($A55="",0,IF(Mitarbeiter!$G$53=FALSE,0,IF(AND(Mitarbeiter!$E$53&lt;&gt;"",DY$5+6&lt;Mitarbeiter!$E$53),0,IF(AND(Mitarbeiter!$F$53&lt;&gt;"",DY$5&gt;Mitarbeiter!$F$53),0,IF(Planung!DY55="",$C55,IF(ISNUMBER(Planung!DY55),Planung!DY55,IF(UPPER(Planung!DY55)="H",$C55/2,0)))))))</f>
        <v>0</v>
      </c>
      <c r="DZ55" s="27">
        <f>IF($A55="",0,IF(Mitarbeiter!$G$53=FALSE,0,IF(AND(Mitarbeiter!$E$53&lt;&gt;"",DZ$5+6&lt;Mitarbeiter!$E$53),0,IF(AND(Mitarbeiter!$F$53&lt;&gt;"",DZ$5&gt;Mitarbeiter!$F$53),0,IF(Planung!DZ55="",$C55,IF(ISNUMBER(Planung!DZ55),Planung!DZ55,IF(UPPER(Planung!DZ55)="H",$C55/2,0)))))))</f>
        <v>0</v>
      </c>
      <c r="EA55" s="27">
        <f>IF($A55="",0,IF(Mitarbeiter!$G$53=FALSE,0,IF(AND(Mitarbeiter!$E$53&lt;&gt;"",EA$5+6&lt;Mitarbeiter!$E$53),0,IF(AND(Mitarbeiter!$F$53&lt;&gt;"",EA$5&gt;Mitarbeiter!$F$53),0,IF(Planung!EA55="",$C55,IF(ISNUMBER(Planung!EA55),Planung!EA55,IF(UPPER(Planung!EA55)="H",$C55/2,0)))))))</f>
        <v>0</v>
      </c>
      <c r="EB55" s="27">
        <f>IF($A55="",0,IF(Mitarbeiter!$G$53=FALSE,0,IF(AND(Mitarbeiter!$E$53&lt;&gt;"",EB$5+6&lt;Mitarbeiter!$E$53),0,IF(AND(Mitarbeiter!$F$53&lt;&gt;"",EB$5&gt;Mitarbeiter!$F$53),0,IF(Planung!EB55="",$C55,IF(ISNUMBER(Planung!EB55),Planung!EB55,IF(UPPER(Planung!EB55)="H",$C55/2,0)))))))</f>
        <v>0</v>
      </c>
      <c r="EC55" s="27">
        <f>IF($A55="",0,IF(Mitarbeiter!$G$53=FALSE,0,IF(AND(Mitarbeiter!$E$53&lt;&gt;"",EC$5+6&lt;Mitarbeiter!$E$53),0,IF(AND(Mitarbeiter!$F$53&lt;&gt;"",EC$5&gt;Mitarbeiter!$F$53),0,IF(Planung!EC55="",$C55,IF(ISNUMBER(Planung!EC55),Planung!EC55,IF(UPPER(Planung!EC55)="H",$C55/2,0)))))))</f>
        <v>0</v>
      </c>
      <c r="ED55" s="27">
        <f>IF($A55="",0,IF(Mitarbeiter!$G$53=FALSE,0,IF(AND(Mitarbeiter!$E$53&lt;&gt;"",ED$5+6&lt;Mitarbeiter!$E$53),0,IF(AND(Mitarbeiter!$F$53&lt;&gt;"",ED$5&gt;Mitarbeiter!$F$53),0,IF(Planung!ED55="",$C55,IF(ISNUMBER(Planung!ED55),Planung!ED55,IF(UPPER(Planung!ED55)="H",$C55/2,0)))))))</f>
        <v>0</v>
      </c>
      <c r="EE55" s="27">
        <f>IF($A55="",0,IF(Mitarbeiter!$G$53=FALSE,0,IF(AND(Mitarbeiter!$E$53&lt;&gt;"",EE$5+6&lt;Mitarbeiter!$E$53),0,IF(AND(Mitarbeiter!$F$53&lt;&gt;"",EE$5&gt;Mitarbeiter!$F$53),0,IF(Planung!EE55="",$C55,IF(ISNUMBER(Planung!EE55),Planung!EE55,IF(UPPER(Planung!EE55)="H",$C55/2,0)))))))</f>
        <v>0</v>
      </c>
      <c r="EF55" s="27">
        <f>IF($A55="",0,IF(Mitarbeiter!$G$53=FALSE,0,IF(AND(Mitarbeiter!$E$53&lt;&gt;"",EF$5+6&lt;Mitarbeiter!$E$53),0,IF(AND(Mitarbeiter!$F$53&lt;&gt;"",EF$5&gt;Mitarbeiter!$F$53),0,IF(Planung!EF55="",$C55,IF(ISNUMBER(Planung!EF55),Planung!EF55,IF(UPPER(Planung!EF55)="H",$C55/2,0)))))))</f>
        <v>0</v>
      </c>
      <c r="EG55" s="27">
        <f>IF($A55="",0,IF(Mitarbeiter!$G$53=FALSE,0,IF(AND(Mitarbeiter!$E$53&lt;&gt;"",EG$5+6&lt;Mitarbeiter!$E$53),0,IF(AND(Mitarbeiter!$F$53&lt;&gt;"",EG$5&gt;Mitarbeiter!$F$53),0,IF(Planung!EG55="",$C55,IF(ISNUMBER(Planung!EG55),Planung!EG55,IF(UPPER(Planung!EG55)="H",$C55/2,0)))))))</f>
        <v>0</v>
      </c>
      <c r="EH55" s="27">
        <f>IF($A55="",0,IF(Mitarbeiter!$G$53=FALSE,0,IF(AND(Mitarbeiter!$E$53&lt;&gt;"",EH$5+6&lt;Mitarbeiter!$E$53),0,IF(AND(Mitarbeiter!$F$53&lt;&gt;"",EH$5&gt;Mitarbeiter!$F$53),0,IF(Planung!EH55="",$C55,IF(ISNUMBER(Planung!EH55),Planung!EH55,IF(UPPER(Planung!EH55)="H",$C55/2,0)))))))</f>
        <v>0</v>
      </c>
      <c r="EI55" s="27">
        <f>IF($A55="",0,IF(Mitarbeiter!$G$53=FALSE,0,IF(AND(Mitarbeiter!$E$53&lt;&gt;"",EI$5+6&lt;Mitarbeiter!$E$53),0,IF(AND(Mitarbeiter!$F$53&lt;&gt;"",EI$5&gt;Mitarbeiter!$F$53),0,IF(Planung!EI55="",$C55,IF(ISNUMBER(Planung!EI55),Planung!EI55,IF(UPPER(Planung!EI55)="H",$C55/2,0)))))))</f>
        <v>0</v>
      </c>
      <c r="EJ55" s="27">
        <f>IF($A55="",0,IF(Mitarbeiter!$G$53=FALSE,0,IF(AND(Mitarbeiter!$E$53&lt;&gt;"",EJ$5+6&lt;Mitarbeiter!$E$53),0,IF(AND(Mitarbeiter!$F$53&lt;&gt;"",EJ$5&gt;Mitarbeiter!$F$53),0,IF(Planung!EJ55="",$C55,IF(ISNUMBER(Planung!EJ55),Planung!EJ55,IF(UPPER(Planung!EJ55)="H",$C55/2,0)))))))</f>
        <v>0</v>
      </c>
      <c r="EK55" s="27">
        <f>IF($A55="",0,IF(Mitarbeiter!$G$53=FALSE,0,IF(AND(Mitarbeiter!$E$53&lt;&gt;"",EK$5+6&lt;Mitarbeiter!$E$53),0,IF(AND(Mitarbeiter!$F$53&lt;&gt;"",EK$5&gt;Mitarbeiter!$F$53),0,IF(Planung!EK55="",$C55,IF(ISNUMBER(Planung!EK55),Planung!EK55,IF(UPPER(Planung!EK55)="H",$C55/2,0)))))))</f>
        <v>0</v>
      </c>
      <c r="EL55" s="27">
        <f>IF($A55="",0,IF(Mitarbeiter!$G$53=FALSE,0,IF(AND(Mitarbeiter!$E$53&lt;&gt;"",EL$5+6&lt;Mitarbeiter!$E$53),0,IF(AND(Mitarbeiter!$F$53&lt;&gt;"",EL$5&gt;Mitarbeiter!$F$53),0,IF(Planung!EL55="",$C55,IF(ISNUMBER(Planung!EL55),Planung!EL55,IF(UPPER(Planung!EL55)="H",$C55/2,0)))))))</f>
        <v>0</v>
      </c>
      <c r="EM55" s="27">
        <f>IF($A55="",0,IF(Mitarbeiter!$G$53=FALSE,0,IF(AND(Mitarbeiter!$E$53&lt;&gt;"",EM$5+6&lt;Mitarbeiter!$E$53),0,IF(AND(Mitarbeiter!$F$53&lt;&gt;"",EM$5&gt;Mitarbeiter!$F$53),0,IF(Planung!EM55="",$C55,IF(ISNUMBER(Planung!EM55),Planung!EM55,IF(UPPER(Planung!EM55)="H",$C55/2,0)))))))</f>
        <v>0</v>
      </c>
      <c r="EN55" s="27">
        <f>IF($A55="",0,IF(Mitarbeiter!$G$53=FALSE,0,IF(AND(Mitarbeiter!$E$53&lt;&gt;"",EN$5+6&lt;Mitarbeiter!$E$53),0,IF(AND(Mitarbeiter!$F$53&lt;&gt;"",EN$5&gt;Mitarbeiter!$F$53),0,IF(Planung!EN55="",$C55,IF(ISNUMBER(Planung!EN55),Planung!EN55,IF(UPPER(Planung!EN55)="H",$C55/2,0)))))))</f>
        <v>0</v>
      </c>
      <c r="EO55" s="27">
        <f>IF($A55="",0,IF(Mitarbeiter!$G$53=FALSE,0,IF(AND(Mitarbeiter!$E$53&lt;&gt;"",EO$5+6&lt;Mitarbeiter!$E$53),0,IF(AND(Mitarbeiter!$F$53&lt;&gt;"",EO$5&gt;Mitarbeiter!$F$53),0,IF(Planung!EO55="",$C55,IF(ISNUMBER(Planung!EO55),Planung!EO55,IF(UPPER(Planung!EO55)="H",$C55/2,0)))))))</f>
        <v>0</v>
      </c>
      <c r="EP55" s="27">
        <f>IF($A55="",0,IF(Mitarbeiter!$G$53=FALSE,0,IF(AND(Mitarbeiter!$E$53&lt;&gt;"",EP$5+6&lt;Mitarbeiter!$E$53),0,IF(AND(Mitarbeiter!$F$53&lt;&gt;"",EP$5&gt;Mitarbeiter!$F$53),0,IF(Planung!EP55="",$C55,IF(ISNUMBER(Planung!EP55),Planung!EP55,IF(UPPER(Planung!EP55)="H",$C55/2,0)))))))</f>
        <v>0</v>
      </c>
      <c r="EQ55" s="27">
        <f>IF($A55="",0,IF(Mitarbeiter!$G$53=FALSE,0,IF(AND(Mitarbeiter!$E$53&lt;&gt;"",EQ$5+6&lt;Mitarbeiter!$E$53),0,IF(AND(Mitarbeiter!$F$53&lt;&gt;"",EQ$5&gt;Mitarbeiter!$F$53),0,IF(Planung!EQ55="",$C55,IF(ISNUMBER(Planung!EQ55),Planung!EQ55,IF(UPPER(Planung!EQ55)="H",$C55/2,0)))))))</f>
        <v>0</v>
      </c>
      <c r="ER55" s="27">
        <f>IF($A55="",0,IF(Mitarbeiter!$G$53=FALSE,0,IF(AND(Mitarbeiter!$E$53&lt;&gt;"",ER$5+6&lt;Mitarbeiter!$E$53),0,IF(AND(Mitarbeiter!$F$53&lt;&gt;"",ER$5&gt;Mitarbeiter!$F$53),0,IF(Planung!ER55="",$C55,IF(ISNUMBER(Planung!ER55),Planung!ER55,IF(UPPER(Planung!ER55)="H",$C55/2,0)))))))</f>
        <v>0</v>
      </c>
      <c r="ES55" s="27">
        <f>IF($A55="",0,IF(Mitarbeiter!$G$53=FALSE,0,IF(AND(Mitarbeiter!$E$53&lt;&gt;"",ES$5+6&lt;Mitarbeiter!$E$53),0,IF(AND(Mitarbeiter!$F$53&lt;&gt;"",ES$5&gt;Mitarbeiter!$F$53),0,IF(Planung!ES55="",$C55,IF(ISNUMBER(Planung!ES55),Planung!ES55,IF(UPPER(Planung!ES55)="H",$C55/2,0)))))))</f>
        <v>0</v>
      </c>
      <c r="ET55" s="27">
        <f>IF($A55="",0,IF(Mitarbeiter!$G$53=FALSE,0,IF(AND(Mitarbeiter!$E$53&lt;&gt;"",ET$5+6&lt;Mitarbeiter!$E$53),0,IF(AND(Mitarbeiter!$F$53&lt;&gt;"",ET$5&gt;Mitarbeiter!$F$53),0,IF(Planung!ET55="",$C55,IF(ISNUMBER(Planung!ET55),Planung!ET55,IF(UPPER(Planung!ET55)="H",$C55/2,0)))))))</f>
        <v>0</v>
      </c>
      <c r="EU55" s="27">
        <f>IF($A55="",0,IF(Mitarbeiter!$G$53=FALSE,0,IF(AND(Mitarbeiter!$E$53&lt;&gt;"",EU$5+6&lt;Mitarbeiter!$E$53),0,IF(AND(Mitarbeiter!$F$53&lt;&gt;"",EU$5&gt;Mitarbeiter!$F$53),0,IF(Planung!EU55="",$C55,IF(ISNUMBER(Planung!EU55),Planung!EU55,IF(UPPER(Planung!EU55)="H",$C55/2,0)))))))</f>
        <v>0</v>
      </c>
      <c r="EV55" s="27">
        <f>IF($A55="",0,IF(Mitarbeiter!$G$53=FALSE,0,IF(AND(Mitarbeiter!$E$53&lt;&gt;"",EV$5+6&lt;Mitarbeiter!$E$53),0,IF(AND(Mitarbeiter!$F$53&lt;&gt;"",EV$5&gt;Mitarbeiter!$F$53),0,IF(Planung!EV55="",$C55,IF(ISNUMBER(Planung!EV55),Planung!EV55,IF(UPPER(Planung!EV55)="H",$C55/2,0)))))))</f>
        <v>0</v>
      </c>
      <c r="EW55" s="27">
        <f>IF($A55="",0,IF(Mitarbeiter!$G$53=FALSE,0,IF(AND(Mitarbeiter!$E$53&lt;&gt;"",EW$5+6&lt;Mitarbeiter!$E$53),0,IF(AND(Mitarbeiter!$F$53&lt;&gt;"",EW$5&gt;Mitarbeiter!$F$53),0,IF(Planung!EW55="",$C55,IF(ISNUMBER(Planung!EW55),Planung!EW55,IF(UPPER(Planung!EW55)="H",$C55/2,0)))))))</f>
        <v>0</v>
      </c>
      <c r="EX55" s="27">
        <f>IF($A55="",0,IF(Mitarbeiter!$G$53=FALSE,0,IF(AND(Mitarbeiter!$E$53&lt;&gt;"",EX$5+6&lt;Mitarbeiter!$E$53),0,IF(AND(Mitarbeiter!$F$53&lt;&gt;"",EX$5&gt;Mitarbeiter!$F$53),0,IF(Planung!EX55="",$C55,IF(ISNUMBER(Planung!EX55),Planung!EX55,IF(UPPER(Planung!EX55)="H",$C55/2,0)))))))</f>
        <v>0</v>
      </c>
      <c r="EY55" s="27">
        <f>IF($A55="",0,IF(Mitarbeiter!$G$53=FALSE,0,IF(AND(Mitarbeiter!$E$53&lt;&gt;"",EY$5+6&lt;Mitarbeiter!$E$53),0,IF(AND(Mitarbeiter!$F$53&lt;&gt;"",EY$5&gt;Mitarbeiter!$F$53),0,IF(Planung!EY55="",$C55,IF(ISNUMBER(Planung!EY55),Planung!EY55,IF(UPPER(Planung!EY55)="H",$C55/2,0)))))))</f>
        <v>0</v>
      </c>
      <c r="EZ55" s="27">
        <f>IF($A55="",0,IF(Mitarbeiter!$G$53=FALSE,0,IF(AND(Mitarbeiter!$E$53&lt;&gt;"",EZ$5+6&lt;Mitarbeiter!$E$53),0,IF(AND(Mitarbeiter!$F$53&lt;&gt;"",EZ$5&gt;Mitarbeiter!$F$53),0,IF(Planung!EZ55="",$C55,IF(ISNUMBER(Planung!EZ55),Planung!EZ55,IF(UPPER(Planung!EZ55)="H",$C55/2,0)))))))</f>
        <v>0</v>
      </c>
      <c r="FA55" s="27">
        <f>IF($A55="",0,IF(Mitarbeiter!$G$53=FALSE,0,IF(AND(Mitarbeiter!$E$53&lt;&gt;"",FA$5+6&lt;Mitarbeiter!$E$53),0,IF(AND(Mitarbeiter!$F$53&lt;&gt;"",FA$5&gt;Mitarbeiter!$F$53),0,IF(Planung!FA55="",$C55,IF(ISNUMBER(Planung!FA55),Planung!FA55,IF(UPPER(Planung!FA55)="H",$C55/2,0)))))))</f>
        <v>0</v>
      </c>
      <c r="FB55" s="27">
        <f>IF($A55="",0,IF(Mitarbeiter!$G$53=FALSE,0,IF(AND(Mitarbeiter!$E$53&lt;&gt;"",FB$5+6&lt;Mitarbeiter!$E$53),0,IF(AND(Mitarbeiter!$F$53&lt;&gt;"",FB$5&gt;Mitarbeiter!$F$53),0,IF(Planung!FB55="",$C55,IF(ISNUMBER(Planung!FB55),Planung!FB55,IF(UPPER(Planung!FB55)="H",$C55/2,0)))))))</f>
        <v>0</v>
      </c>
      <c r="FC55" s="27">
        <f>IF($A55="",0,IF(Mitarbeiter!$G$53=FALSE,0,IF(AND(Mitarbeiter!$E$53&lt;&gt;"",FC$5+6&lt;Mitarbeiter!$E$53),0,IF(AND(Mitarbeiter!$F$53&lt;&gt;"",FC$5&gt;Mitarbeiter!$F$53),0,IF(Planung!FC55="",$C55,IF(ISNUMBER(Planung!FC55),Planung!FC55,IF(UPPER(Planung!FC55)="H",$C55/2,0)))))))</f>
        <v>0</v>
      </c>
      <c r="FD55" s="27">
        <f>IF($A55="",0,IF(Mitarbeiter!$G$53=FALSE,0,IF(AND(Mitarbeiter!$E$53&lt;&gt;"",FD$5+6&lt;Mitarbeiter!$E$53),0,IF(AND(Mitarbeiter!$F$53&lt;&gt;"",FD$5&gt;Mitarbeiter!$F$53),0,IF(Planung!FD55="",$C55,IF(ISNUMBER(Planung!FD55),Planung!FD55,IF(UPPER(Planung!FD55)="H",$C55/2,0)))))))</f>
        <v>0</v>
      </c>
      <c r="FE55" s="27">
        <f>IF($A55="",0,IF(Mitarbeiter!$G$53=FALSE,0,IF(AND(Mitarbeiter!$E$53&lt;&gt;"",FE$5+6&lt;Mitarbeiter!$E$53),0,IF(AND(Mitarbeiter!$F$53&lt;&gt;"",FE$5&gt;Mitarbeiter!$F$53),0,IF(Planung!FE55="",$C55,IF(ISNUMBER(Planung!FE55),Planung!FE55,IF(UPPER(Planung!FE55)="H",$C55/2,0)))))))</f>
        <v>0</v>
      </c>
      <c r="FF55" s="27">
        <f>IF($A55="",0,IF(Mitarbeiter!$G$53=FALSE,0,IF(AND(Mitarbeiter!$E$53&lt;&gt;"",FF$5+6&lt;Mitarbeiter!$E$53),0,IF(AND(Mitarbeiter!$F$53&lt;&gt;"",FF$5&gt;Mitarbeiter!$F$53),0,IF(Planung!FF55="",$C55,IF(ISNUMBER(Planung!FF55),Planung!FF55,IF(UPPER(Planung!FF55)="H",$C55/2,0)))))))</f>
        <v>0</v>
      </c>
      <c r="FG55" s="27">
        <f>IF($A55="",0,IF(Mitarbeiter!$G$53=FALSE,0,IF(AND(Mitarbeiter!$E$53&lt;&gt;"",FG$5+6&lt;Mitarbeiter!$E$53),0,IF(AND(Mitarbeiter!$F$53&lt;&gt;"",FG$5&gt;Mitarbeiter!$F$53),0,IF(Planung!FG55="",$C55,IF(ISNUMBER(Planung!FG55),Planung!FG55,IF(UPPER(Planung!FG55)="H",$C55/2,0)))))))</f>
        <v>0</v>
      </c>
      <c r="FH55" s="27">
        <f>IF($A55="",0,IF(Mitarbeiter!$G$53=FALSE,0,IF(AND(Mitarbeiter!$E$53&lt;&gt;"",FH$5+6&lt;Mitarbeiter!$E$53),0,IF(AND(Mitarbeiter!$F$53&lt;&gt;"",FH$5&gt;Mitarbeiter!$F$53),0,IF(Planung!FH55="",$C55,IF(ISNUMBER(Planung!FH55),Planung!FH55,IF(UPPER(Planung!FH55)="H",$C55/2,0)))))))</f>
        <v>0</v>
      </c>
      <c r="FI55" s="27">
        <f>IF($A55="",0,IF(Mitarbeiter!$G$53=FALSE,0,IF(AND(Mitarbeiter!$E$53&lt;&gt;"",FI$5+6&lt;Mitarbeiter!$E$53),0,IF(AND(Mitarbeiter!$F$53&lt;&gt;"",FI$5&gt;Mitarbeiter!$F$53),0,IF(Planung!FI55="",$C55,IF(ISNUMBER(Planung!FI55),Planung!FI55,IF(UPPER(Planung!FI55)="H",$C55/2,0)))))))</f>
        <v>0</v>
      </c>
      <c r="FJ55" s="27">
        <f>IF($A55="",0,IF(Mitarbeiter!$G$53=FALSE,0,IF(AND(Mitarbeiter!$E$53&lt;&gt;"",FJ$5+6&lt;Mitarbeiter!$E$53),0,IF(AND(Mitarbeiter!$F$53&lt;&gt;"",FJ$5&gt;Mitarbeiter!$F$53),0,IF(Planung!FJ55="",$C55,IF(ISNUMBER(Planung!FJ55),Planung!FJ55,IF(UPPER(Planung!FJ55)="H",$C55/2,0)))))))</f>
        <v>0</v>
      </c>
      <c r="FK55" s="27">
        <f>IF($A55="",0,IF(Mitarbeiter!$G$53=FALSE,0,IF(AND(Mitarbeiter!$E$53&lt;&gt;"",FK$5+6&lt;Mitarbeiter!$E$53),0,IF(AND(Mitarbeiter!$F$53&lt;&gt;"",FK$5&gt;Mitarbeiter!$F$53),0,IF(Planung!FK55="",$C55,IF(ISNUMBER(Planung!FK55),Planung!FK55,IF(UPPER(Planung!FK55)="H",$C55/2,0)))))))</f>
        <v>0</v>
      </c>
      <c r="FL55" s="27">
        <f>IF($A55="",0,IF(Mitarbeiter!$G$53=FALSE,0,IF(AND(Mitarbeiter!$E$53&lt;&gt;"",FL$5+6&lt;Mitarbeiter!$E$53),0,IF(AND(Mitarbeiter!$F$53&lt;&gt;"",FL$5&gt;Mitarbeiter!$F$53),0,IF(Planung!FL55="",$C55,IF(ISNUMBER(Planung!FL55),Planung!FL55,IF(UPPER(Planung!FL55)="H",$C55/2,0)))))))</f>
        <v>0</v>
      </c>
      <c r="FM55" s="27">
        <f>IF($A55="",0,IF(Mitarbeiter!$G$53=FALSE,0,IF(AND(Mitarbeiter!$E$53&lt;&gt;"",FM$5+6&lt;Mitarbeiter!$E$53),0,IF(AND(Mitarbeiter!$F$53&lt;&gt;"",FM$5&gt;Mitarbeiter!$F$53),0,IF(Planung!FM55="",$C55,IF(ISNUMBER(Planung!FM55),Planung!FM55,IF(UPPER(Planung!FM55)="H",$C55/2,0)))))))</f>
        <v>0</v>
      </c>
      <c r="FN55" s="27">
        <f>IF($A55="",0,IF(Mitarbeiter!$G$53=FALSE,0,IF(AND(Mitarbeiter!$E$53&lt;&gt;"",FN$5+6&lt;Mitarbeiter!$E$53),0,IF(AND(Mitarbeiter!$F$53&lt;&gt;"",FN$5&gt;Mitarbeiter!$F$53),0,IF(Planung!FN55="",$C55,IF(ISNUMBER(Planung!FN55),Planung!FN55,IF(UPPER(Planung!FN55)="H",$C55/2,0)))))))</f>
        <v>0</v>
      </c>
      <c r="FO55" s="27">
        <f>IF($A55="",0,IF(Mitarbeiter!$G$53=FALSE,0,IF(AND(Mitarbeiter!$E$53&lt;&gt;"",FO$5+6&lt;Mitarbeiter!$E$53),0,IF(AND(Mitarbeiter!$F$53&lt;&gt;"",FO$5&gt;Mitarbeiter!$F$53),0,IF(Planung!FO55="",$C55,IF(ISNUMBER(Planung!FO55),Planung!FO55,IF(UPPER(Planung!FO55)="H",$C55/2,0)))))))</f>
        <v>0</v>
      </c>
      <c r="FP55" s="27">
        <f>IF($A55="",0,IF(Mitarbeiter!$G$53=FALSE,0,IF(AND(Mitarbeiter!$E$53&lt;&gt;"",FP$5+6&lt;Mitarbeiter!$E$53),0,IF(AND(Mitarbeiter!$F$53&lt;&gt;"",FP$5&gt;Mitarbeiter!$F$53),0,IF(Planung!FP55="",$C55,IF(ISNUMBER(Planung!FP55),Planung!FP55,IF(UPPER(Planung!FP55)="H",$C55/2,0)))))))</f>
        <v>0</v>
      </c>
      <c r="FQ55" s="27">
        <f>IF($A55="",0,IF(Mitarbeiter!$G$53=FALSE,0,IF(AND(Mitarbeiter!$E$53&lt;&gt;"",FQ$5+6&lt;Mitarbeiter!$E$53),0,IF(AND(Mitarbeiter!$F$53&lt;&gt;"",FQ$5&gt;Mitarbeiter!$F$53),0,IF(Planung!FQ55="",$C55,IF(ISNUMBER(Planung!FQ55),Planung!FQ55,IF(UPPER(Planung!FQ55)="H",$C55/2,0)))))))</f>
        <v>0</v>
      </c>
      <c r="FR55" s="27">
        <f>IF($A55="",0,IF(Mitarbeiter!$G$53=FALSE,0,IF(AND(Mitarbeiter!$E$53&lt;&gt;"",FR$5+6&lt;Mitarbeiter!$E$53),0,IF(AND(Mitarbeiter!$F$53&lt;&gt;"",FR$5&gt;Mitarbeiter!$F$53),0,IF(Planung!FR55="",$C55,IF(ISNUMBER(Planung!FR55),Planung!FR55,IF(UPPER(Planung!FR55)="H",$C55/2,0)))))))</f>
        <v>0</v>
      </c>
      <c r="FS55" s="27">
        <f>IF($A55="",0,IF(Mitarbeiter!$G$53=FALSE,0,IF(AND(Mitarbeiter!$E$53&lt;&gt;"",FS$5+6&lt;Mitarbeiter!$E$53),0,IF(AND(Mitarbeiter!$F$53&lt;&gt;"",FS$5&gt;Mitarbeiter!$F$53),0,IF(Planung!FS55="",$C55,IF(ISNUMBER(Planung!FS55),Planung!FS55,IF(UPPER(Planung!FS55)="H",$C55/2,0)))))))</f>
        <v>0</v>
      </c>
      <c r="FT55" s="27">
        <f>IF($A55="",0,IF(Mitarbeiter!$G$53=FALSE,0,IF(AND(Mitarbeiter!$E$53&lt;&gt;"",FT$5+6&lt;Mitarbeiter!$E$53),0,IF(AND(Mitarbeiter!$F$53&lt;&gt;"",FT$5&gt;Mitarbeiter!$F$53),0,IF(Planung!FT55="",$C55,IF(ISNUMBER(Planung!FT55),Planung!FT55,IF(UPPER(Planung!FT55)="H",$C55/2,0)))))))</f>
        <v>0</v>
      </c>
      <c r="FU55" s="27">
        <f>IF($A55="",0,IF(Mitarbeiter!$G$53=FALSE,0,IF(AND(Mitarbeiter!$E$53&lt;&gt;"",FU$5+6&lt;Mitarbeiter!$E$53),0,IF(AND(Mitarbeiter!$F$53&lt;&gt;"",FU$5&gt;Mitarbeiter!$F$53),0,IF(Planung!FU55="",$C55,IF(ISNUMBER(Planung!FU55),Planung!FU55,IF(UPPER(Planung!FU55)="H",$C55/2,0)))))))</f>
        <v>0</v>
      </c>
      <c r="FV55" s="27">
        <f>IF($A55="",0,IF(Mitarbeiter!$G$53=FALSE,0,IF(AND(Mitarbeiter!$E$53&lt;&gt;"",FV$5+6&lt;Mitarbeiter!$E$53),0,IF(AND(Mitarbeiter!$F$53&lt;&gt;"",FV$5&gt;Mitarbeiter!$F$53),0,IF(Planung!FV55="",$C55,IF(ISNUMBER(Planung!FV55),Planung!FV55,IF(UPPER(Planung!FV55)="H",$C55/2,0)))))))</f>
        <v>0</v>
      </c>
      <c r="FW55" s="27">
        <f>IF($A55="",0,IF(Mitarbeiter!$G$53=FALSE,0,IF(AND(Mitarbeiter!$E$53&lt;&gt;"",FW$5+6&lt;Mitarbeiter!$E$53),0,IF(AND(Mitarbeiter!$F$53&lt;&gt;"",FW$5&gt;Mitarbeiter!$F$53),0,IF(Planung!FW55="",$C55,IF(ISNUMBER(Planung!FW55),Planung!FW55,IF(UPPER(Planung!FW55)="H",$C55/2,0)))))))</f>
        <v>0</v>
      </c>
      <c r="FX55" s="27">
        <f>IF($A55="",0,IF(Mitarbeiter!$G$53=FALSE,0,IF(AND(Mitarbeiter!$E$53&lt;&gt;"",FX$5+6&lt;Mitarbeiter!$E$53),0,IF(AND(Mitarbeiter!$F$53&lt;&gt;"",FX$5&gt;Mitarbeiter!$F$53),0,IF(Planung!FX55="",$C55,IF(ISNUMBER(Planung!FX55),Planung!FX55,IF(UPPER(Planung!FX55)="H",$C55/2,0)))))))</f>
        <v>0</v>
      </c>
      <c r="FY55" s="27">
        <f>IF($A55="",0,IF(Mitarbeiter!$G$53=FALSE,0,IF(AND(Mitarbeiter!$E$53&lt;&gt;"",FY$5+6&lt;Mitarbeiter!$E$53),0,IF(AND(Mitarbeiter!$F$53&lt;&gt;"",FY$5&gt;Mitarbeiter!$F$53),0,IF(Planung!FY55="",$C55,IF(ISNUMBER(Planung!FY55),Planung!FY55,IF(UPPER(Planung!FY55)="H",$C55/2,0)))))))</f>
        <v>0</v>
      </c>
      <c r="FZ55" s="27">
        <f>IF($A55="",0,IF(Mitarbeiter!$G$53=FALSE,0,IF(AND(Mitarbeiter!$E$53&lt;&gt;"",FZ$5+6&lt;Mitarbeiter!$E$53),0,IF(AND(Mitarbeiter!$F$53&lt;&gt;"",FZ$5&gt;Mitarbeiter!$F$53),0,IF(Planung!FZ55="",$C55,IF(ISNUMBER(Planung!FZ55),Planung!FZ55,IF(UPPER(Planung!FZ55)="H",$C55/2,0)))))))</f>
        <v>0</v>
      </c>
      <c r="GA55" s="27">
        <f>IF($A55="",0,IF(Mitarbeiter!$G$53=FALSE,0,IF(AND(Mitarbeiter!$E$53&lt;&gt;"",GA$5+6&lt;Mitarbeiter!$E$53),0,IF(AND(Mitarbeiter!$F$53&lt;&gt;"",GA$5&gt;Mitarbeiter!$F$53),0,IF(Planung!GA55="",$C55,IF(ISNUMBER(Planung!GA55),Planung!GA55,IF(UPPER(Planung!GA55)="H",$C55/2,0)))))))</f>
        <v>0</v>
      </c>
      <c r="GB55" s="27">
        <f>IF($A55="",0,IF(Mitarbeiter!$G$53=FALSE,0,IF(AND(Mitarbeiter!$E$53&lt;&gt;"",GB$5+6&lt;Mitarbeiter!$E$53),0,IF(AND(Mitarbeiter!$F$53&lt;&gt;"",GB$5&gt;Mitarbeiter!$F$53),0,IF(Planung!GB55="",$C55,IF(ISNUMBER(Planung!GB55),Planung!GB55,IF(UPPER(Planung!GB55)="H",$C55/2,0)))))))</f>
        <v>0</v>
      </c>
      <c r="GC55" s="27">
        <f>IF($A55="",0,IF(Mitarbeiter!$G$53=FALSE,0,IF(AND(Mitarbeiter!$E$53&lt;&gt;"",GC$5+6&lt;Mitarbeiter!$E$53),0,IF(AND(Mitarbeiter!$F$53&lt;&gt;"",GC$5&gt;Mitarbeiter!$F$53),0,IF(Planung!GC55="",$C55,IF(ISNUMBER(Planung!GC55),Planung!GC55,IF(UPPER(Planung!GC55)="H",$C55/2,0)))))))</f>
        <v>0</v>
      </c>
      <c r="GD55" s="27">
        <f>IF($A55="",0,IF(Mitarbeiter!$G$53=FALSE,0,IF(AND(Mitarbeiter!$E$53&lt;&gt;"",GD$5+6&lt;Mitarbeiter!$E$53),0,IF(AND(Mitarbeiter!$F$53&lt;&gt;"",GD$5&gt;Mitarbeiter!$F$53),0,IF(Planung!GD55="",$C55,IF(ISNUMBER(Planung!GD55),Planung!GD55,IF(UPPER(Planung!GD55)="H",$C55/2,0)))))))</f>
        <v>0</v>
      </c>
      <c r="GE55" s="27">
        <f>IF($A55="",0,IF(Mitarbeiter!$G$53=FALSE,0,IF(AND(Mitarbeiter!$E$53&lt;&gt;"",GE$5+6&lt;Mitarbeiter!$E$53),0,IF(AND(Mitarbeiter!$F$53&lt;&gt;"",GE$5&gt;Mitarbeiter!$F$53),0,IF(Planung!GE55="",$C55,IF(ISNUMBER(Planung!GE55),Planung!GE55,IF(UPPER(Planung!GE55)="H",$C55/2,0)))))))</f>
        <v>0</v>
      </c>
      <c r="GF55" s="27">
        <f>IF($A55="",0,IF(Mitarbeiter!$G$53=FALSE,0,IF(AND(Mitarbeiter!$E$53&lt;&gt;"",GF$5+6&lt;Mitarbeiter!$E$53),0,IF(AND(Mitarbeiter!$F$53&lt;&gt;"",GF$5&gt;Mitarbeiter!$F$53),0,IF(Planung!GF55="",$C55,IF(ISNUMBER(Planung!GF55),Planung!GF55,IF(UPPER(Planung!GF55)="H",$C55/2,0)))))))</f>
        <v>0</v>
      </c>
      <c r="GG55" s="27">
        <f>IF($A55="",0,IF(Mitarbeiter!$G$53=FALSE,0,IF(AND(Mitarbeiter!$E$53&lt;&gt;"",GG$5+6&lt;Mitarbeiter!$E$53),0,IF(AND(Mitarbeiter!$F$53&lt;&gt;"",GG$5&gt;Mitarbeiter!$F$53),0,IF(Planung!GG55="",$C55,IF(ISNUMBER(Planung!GG55),Planung!GG55,IF(UPPER(Planung!GG55)="H",$C55/2,0)))))))</f>
        <v>0</v>
      </c>
      <c r="GH55" s="27">
        <f>IF($A55="",0,IF(Mitarbeiter!$G$53=FALSE,0,IF(AND(Mitarbeiter!$E$53&lt;&gt;"",GH$5+6&lt;Mitarbeiter!$E$53),0,IF(AND(Mitarbeiter!$F$53&lt;&gt;"",GH$5&gt;Mitarbeiter!$F$53),0,IF(Planung!GH55="",$C55,IF(ISNUMBER(Planung!GH55),Planung!GH55,IF(UPPER(Planung!GH55)="H",$C55/2,0)))))))</f>
        <v>0</v>
      </c>
      <c r="GI55" s="27">
        <f>IF($A55="",0,IF(Mitarbeiter!$G$53=FALSE,0,IF(AND(Mitarbeiter!$E$53&lt;&gt;"",GI$5+6&lt;Mitarbeiter!$E$53),0,IF(AND(Mitarbeiter!$F$53&lt;&gt;"",GI$5&gt;Mitarbeiter!$F$53),0,IF(Planung!GI55="",$C55,IF(ISNUMBER(Planung!GI55),Planung!GI55,IF(UPPER(Planung!GI55)="H",$C55/2,0)))))))</f>
        <v>0</v>
      </c>
      <c r="GJ55" s="27">
        <f>IF($A55="",0,IF(Mitarbeiter!$G$53=FALSE,0,IF(AND(Mitarbeiter!$E$53&lt;&gt;"",GJ$5+6&lt;Mitarbeiter!$E$53),0,IF(AND(Mitarbeiter!$F$53&lt;&gt;"",GJ$5&gt;Mitarbeiter!$F$53),0,IF(Planung!GJ55="",$C55,IF(ISNUMBER(Planung!GJ55),Planung!GJ55,IF(UPPER(Planung!GJ55)="H",$C55/2,0)))))))</f>
        <v>0</v>
      </c>
      <c r="GK55" s="27">
        <f>IF($A55="",0,IF(Mitarbeiter!$G$53=FALSE,0,IF(AND(Mitarbeiter!$E$53&lt;&gt;"",GK$5+6&lt;Mitarbeiter!$E$53),0,IF(AND(Mitarbeiter!$F$53&lt;&gt;"",GK$5&gt;Mitarbeiter!$F$53),0,IF(Planung!GK55="",$C55,IF(ISNUMBER(Planung!GK55),Planung!GK55,IF(UPPER(Planung!GK55)="H",$C55/2,0)))))))</f>
        <v>0</v>
      </c>
      <c r="GL55" s="27">
        <f>IF($A55="",0,IF(Mitarbeiter!$G$53=FALSE,0,IF(AND(Mitarbeiter!$E$53&lt;&gt;"",GL$5+6&lt;Mitarbeiter!$E$53),0,IF(AND(Mitarbeiter!$F$53&lt;&gt;"",GL$5&gt;Mitarbeiter!$F$53),0,IF(Planung!GL55="",$C55,IF(ISNUMBER(Planung!GL55),Planung!GL55,IF(UPPER(Planung!GL55)="H",$C55/2,0)))))))</f>
        <v>0</v>
      </c>
      <c r="GM55" s="27">
        <f>IF($A55="",0,IF(Mitarbeiter!$G$53=FALSE,0,IF(AND(Mitarbeiter!$E$53&lt;&gt;"",GM$5+6&lt;Mitarbeiter!$E$53),0,IF(AND(Mitarbeiter!$F$53&lt;&gt;"",GM$5&gt;Mitarbeiter!$F$53),0,IF(Planung!GM55="",$C55,IF(ISNUMBER(Planung!GM55),Planung!GM55,IF(UPPER(Planung!GM55)="H",$C55/2,0)))))))</f>
        <v>0</v>
      </c>
      <c r="GN55" s="27">
        <f>IF($A55="",0,IF(Mitarbeiter!$G$53=FALSE,0,IF(AND(Mitarbeiter!$E$53&lt;&gt;"",GN$5+6&lt;Mitarbeiter!$E$53),0,IF(AND(Mitarbeiter!$F$53&lt;&gt;"",GN$5&gt;Mitarbeiter!$F$53),0,IF(Planung!GN55="",$C55,IF(ISNUMBER(Planung!GN55),Planung!GN55,IF(UPPER(Planung!GN55)="H",$C55/2,0)))))))</f>
        <v>0</v>
      </c>
      <c r="GO55" s="27">
        <f>IF($A55="",0,IF(Mitarbeiter!$G$53=FALSE,0,IF(AND(Mitarbeiter!$E$53&lt;&gt;"",GO$5+6&lt;Mitarbeiter!$E$53),0,IF(AND(Mitarbeiter!$F$53&lt;&gt;"",GO$5&gt;Mitarbeiter!$F$53),0,IF(Planung!GO55="",$C55,IF(ISNUMBER(Planung!GO55),Planung!GO55,IF(UPPER(Planung!GO55)="H",$C55/2,0)))))))</f>
        <v>0</v>
      </c>
      <c r="GP55" s="27">
        <f>IF($A55="",0,IF(Mitarbeiter!$G$53=FALSE,0,IF(AND(Mitarbeiter!$E$53&lt;&gt;"",GP$5+6&lt;Mitarbeiter!$E$53),0,IF(AND(Mitarbeiter!$F$53&lt;&gt;"",GP$5&gt;Mitarbeiter!$F$53),0,IF(Planung!GP55="",$C55,IF(ISNUMBER(Planung!GP55),Planung!GP55,IF(UPPER(Planung!GP55)="H",$C55/2,0)))))))</f>
        <v>0</v>
      </c>
      <c r="GQ55" s="27">
        <f>IF($A55="",0,IF(Mitarbeiter!$G$53=FALSE,0,IF(AND(Mitarbeiter!$E$53&lt;&gt;"",GQ$5+6&lt;Mitarbeiter!$E$53),0,IF(AND(Mitarbeiter!$F$53&lt;&gt;"",GQ$5&gt;Mitarbeiter!$F$53),0,IF(Planung!GQ55="",$C55,IF(ISNUMBER(Planung!GQ55),Planung!GQ55,IF(UPPER(Planung!GQ55)="H",$C55/2,0)))))))</f>
        <v>0</v>
      </c>
      <c r="GR55" s="27">
        <f>IF($A55="",0,IF(Mitarbeiter!$G$53=FALSE,0,IF(AND(Mitarbeiter!$E$53&lt;&gt;"",GR$5+6&lt;Mitarbeiter!$E$53),0,IF(AND(Mitarbeiter!$F$53&lt;&gt;"",GR$5&gt;Mitarbeiter!$F$53),0,IF(Planung!GR55="",$C55,IF(ISNUMBER(Planung!GR55),Planung!GR55,IF(UPPER(Planung!GR55)="H",$C55/2,0)))))))</f>
        <v>0</v>
      </c>
      <c r="GS55" s="27">
        <f>IF($A55="",0,IF(Mitarbeiter!$G$53=FALSE,0,IF(AND(Mitarbeiter!$E$53&lt;&gt;"",GS$5+6&lt;Mitarbeiter!$E$53),0,IF(AND(Mitarbeiter!$F$53&lt;&gt;"",GS$5&gt;Mitarbeiter!$F$53),0,IF(Planung!GS55="",$C55,IF(ISNUMBER(Planung!GS55),Planung!GS55,IF(UPPER(Planung!GS55)="H",$C55/2,0)))))))</f>
        <v>0</v>
      </c>
      <c r="GT55" s="27">
        <f>IF($A55="",0,IF(Mitarbeiter!$G$53=FALSE,0,IF(AND(Mitarbeiter!$E$53&lt;&gt;"",GT$5+6&lt;Mitarbeiter!$E$53),0,IF(AND(Mitarbeiter!$F$53&lt;&gt;"",GT$5&gt;Mitarbeiter!$F$53),0,IF(Planung!GT55="",$C55,IF(ISNUMBER(Planung!GT55),Planung!GT55,IF(UPPER(Planung!GT55)="H",$C55/2,0)))))))</f>
        <v>0</v>
      </c>
      <c r="GU55" s="27">
        <f>IF($A55="",0,IF(Mitarbeiter!$G$53=FALSE,0,IF(AND(Mitarbeiter!$E$53&lt;&gt;"",GU$5+6&lt;Mitarbeiter!$E$53),0,IF(AND(Mitarbeiter!$F$53&lt;&gt;"",GU$5&gt;Mitarbeiter!$F$53),0,IF(Planung!GU55="",$C55,IF(ISNUMBER(Planung!GU55),Planung!GU55,IF(UPPER(Planung!GU55)="H",$C55/2,0)))))))</f>
        <v>0</v>
      </c>
      <c r="GV55" s="27">
        <f>IF($A55="",0,IF(Mitarbeiter!$G$53=FALSE,0,IF(AND(Mitarbeiter!$E$53&lt;&gt;"",GV$5+6&lt;Mitarbeiter!$E$53),0,IF(AND(Mitarbeiter!$F$53&lt;&gt;"",GV$5&gt;Mitarbeiter!$F$53),0,IF(Planung!GV55="",$C55,IF(ISNUMBER(Planung!GV55),Planung!GV55,IF(UPPER(Planung!GV55)="H",$C55/2,0)))))))</f>
        <v>0</v>
      </c>
      <c r="GW55" s="27">
        <f>IF($A55="",0,IF(Mitarbeiter!$G$53=FALSE,0,IF(AND(Mitarbeiter!$E$53&lt;&gt;"",GW$5+6&lt;Mitarbeiter!$E$53),0,IF(AND(Mitarbeiter!$F$53&lt;&gt;"",GW$5&gt;Mitarbeiter!$F$53),0,IF(Planung!GW55="",$C55,IF(ISNUMBER(Planung!GW55),Planung!GW55,IF(UPPER(Planung!GW55)="H",$C55/2,0)))))))</f>
        <v>0</v>
      </c>
      <c r="GX55" s="27">
        <f>IF($A55="",0,IF(Mitarbeiter!$G$53=FALSE,0,IF(AND(Mitarbeiter!$E$53&lt;&gt;"",GX$5+6&lt;Mitarbeiter!$E$53),0,IF(AND(Mitarbeiter!$F$53&lt;&gt;"",GX$5&gt;Mitarbeiter!$F$53),0,IF(Planung!GX55="",$C55,IF(ISNUMBER(Planung!GX55),Planung!GX55,IF(UPPER(Planung!GX55)="H",$C55/2,0)))))))</f>
        <v>0</v>
      </c>
      <c r="GY55" s="27">
        <f>IF($A55="",0,IF(Mitarbeiter!$G$53=FALSE,0,IF(AND(Mitarbeiter!$E$53&lt;&gt;"",GY$5+6&lt;Mitarbeiter!$E$53),0,IF(AND(Mitarbeiter!$F$53&lt;&gt;"",GY$5&gt;Mitarbeiter!$F$53),0,IF(Planung!GY55="",$C55,IF(ISNUMBER(Planung!GY55),Planung!GY55,IF(UPPER(Planung!GY55)="H",$C55/2,0)))))))</f>
        <v>0</v>
      </c>
      <c r="GZ55" s="27">
        <f>IF($A55="",0,IF(Mitarbeiter!$G$53=FALSE,0,IF(AND(Mitarbeiter!$E$53&lt;&gt;"",GZ$5+6&lt;Mitarbeiter!$E$53),0,IF(AND(Mitarbeiter!$F$53&lt;&gt;"",GZ$5&gt;Mitarbeiter!$F$53),0,IF(Planung!GZ55="",$C55,IF(ISNUMBER(Planung!GZ55),Planung!GZ55,IF(UPPER(Planung!GZ55)="H",$C55/2,0)))))))</f>
        <v>0</v>
      </c>
      <c r="HA55" s="27">
        <f>IF($A55="",0,IF(Mitarbeiter!$G$53=FALSE,0,IF(AND(Mitarbeiter!$E$53&lt;&gt;"",HA$5+6&lt;Mitarbeiter!$E$53),0,IF(AND(Mitarbeiter!$F$53&lt;&gt;"",HA$5&gt;Mitarbeiter!$F$53),0,IF(Planung!HA55="",$C55,IF(ISNUMBER(Planung!HA55),Planung!HA55,IF(UPPER(Planung!HA55)="H",$C55/2,0)))))))</f>
        <v>0</v>
      </c>
      <c r="HB55" s="27">
        <f>IF($A55="",0,IF(Mitarbeiter!$G$53=FALSE,0,IF(AND(Mitarbeiter!$E$53&lt;&gt;"",HB$5+6&lt;Mitarbeiter!$E$53),0,IF(AND(Mitarbeiter!$F$53&lt;&gt;"",HB$5&gt;Mitarbeiter!$F$53),0,IF(Planung!HB55="",$C55,IF(ISNUMBER(Planung!HB55),Planung!HB55,IF(UPPER(Planung!HB55)="H",$C55/2,0)))))))</f>
        <v>0</v>
      </c>
      <c r="HC55" s="27">
        <f>IF($A55="",0,IF(Mitarbeiter!$G$53=FALSE,0,IF(AND(Mitarbeiter!$E$53&lt;&gt;"",HC$5+6&lt;Mitarbeiter!$E$53),0,IF(AND(Mitarbeiter!$F$53&lt;&gt;"",HC$5&gt;Mitarbeiter!$F$53),0,IF(Planung!HC55="",$C55,IF(ISNUMBER(Planung!HC55),Planung!HC55,IF(UPPER(Planung!HC55)="H",$C55/2,0)))))))</f>
        <v>0</v>
      </c>
      <c r="HD55" s="27">
        <f>IF($A55="",0,IF(Mitarbeiter!$G$53=FALSE,0,IF(AND(Mitarbeiter!$E$53&lt;&gt;"",HD$5+6&lt;Mitarbeiter!$E$53),0,IF(AND(Mitarbeiter!$F$53&lt;&gt;"",HD$5&gt;Mitarbeiter!$F$53),0,IF(Planung!HD55="",$C55,IF(ISNUMBER(Planung!HD55),Planung!HD55,IF(UPPER(Planung!HD55)="H",$C55/2,0)))))))</f>
        <v>0</v>
      </c>
      <c r="HE55" s="27">
        <f>IF($A55="",0,IF(Mitarbeiter!$G$53=FALSE,0,IF(AND(Mitarbeiter!$E$53&lt;&gt;"",HE$5+6&lt;Mitarbeiter!$E$53),0,IF(AND(Mitarbeiter!$F$53&lt;&gt;"",HE$5&gt;Mitarbeiter!$F$53),0,IF(Planung!HE55="",$C55,IF(ISNUMBER(Planung!HE55),Planung!HE55,IF(UPPER(Planung!HE55)="H",$C55/2,0)))))))</f>
        <v>0</v>
      </c>
      <c r="HF55" s="27">
        <f>IF($A55="",0,IF(Mitarbeiter!$G$53=FALSE,0,IF(AND(Mitarbeiter!$E$53&lt;&gt;"",HF$5+6&lt;Mitarbeiter!$E$53),0,IF(AND(Mitarbeiter!$F$53&lt;&gt;"",HF$5&gt;Mitarbeiter!$F$53),0,IF(Planung!HF55="",$C55,IF(ISNUMBER(Planung!HF55),Planung!HF55,IF(UPPER(Planung!HF55)="H",$C55/2,0)))))))</f>
        <v>0</v>
      </c>
      <c r="HG55" s="27">
        <f>IF($A55="",0,IF(Mitarbeiter!$G$53=FALSE,0,IF(AND(Mitarbeiter!$E$53&lt;&gt;"",HG$5+6&lt;Mitarbeiter!$E$53),0,IF(AND(Mitarbeiter!$F$53&lt;&gt;"",HG$5&gt;Mitarbeiter!$F$53),0,IF(Planung!HG55="",$C55,IF(ISNUMBER(Planung!HG55),Planung!HG55,IF(UPPER(Planung!HG55)="H",$C55/2,0)))))))</f>
        <v>0</v>
      </c>
      <c r="HH55" s="27">
        <f>IF($A55="",0,IF(Mitarbeiter!$G$53=FALSE,0,IF(AND(Mitarbeiter!$E$53&lt;&gt;"",HH$5+6&lt;Mitarbeiter!$E$53),0,IF(AND(Mitarbeiter!$F$53&lt;&gt;"",HH$5&gt;Mitarbeiter!$F$53),0,IF(Planung!HH55="",$C55,IF(ISNUMBER(Planung!HH55),Planung!HH55,IF(UPPER(Planung!HH55)="H",$C55/2,0)))))))</f>
        <v>0</v>
      </c>
      <c r="HI55" s="27">
        <f>IF($A55="",0,IF(Mitarbeiter!$G$53=FALSE,0,IF(AND(Mitarbeiter!$E$53&lt;&gt;"",HI$5+6&lt;Mitarbeiter!$E$53),0,IF(AND(Mitarbeiter!$F$53&lt;&gt;"",HI$5&gt;Mitarbeiter!$F$53),0,IF(Planung!HI55="",$C55,IF(ISNUMBER(Planung!HI55),Planung!HI55,IF(UPPER(Planung!HI55)="H",$C55/2,0)))))))</f>
        <v>0</v>
      </c>
      <c r="HJ55" s="27">
        <f>IF($A55="",0,IF(Mitarbeiter!$G$53=FALSE,0,IF(AND(Mitarbeiter!$E$53&lt;&gt;"",HJ$5+6&lt;Mitarbeiter!$E$53),0,IF(AND(Mitarbeiter!$F$53&lt;&gt;"",HJ$5&gt;Mitarbeiter!$F$53),0,IF(Planung!HJ55="",$C55,IF(ISNUMBER(Planung!HJ55),Planung!HJ55,IF(UPPER(Planung!HJ55)="H",$C55/2,0)))))))</f>
        <v>0</v>
      </c>
      <c r="HK55" s="27">
        <f>IF($A55="",0,IF(Mitarbeiter!$G$53=FALSE,0,IF(AND(Mitarbeiter!$E$53&lt;&gt;"",HK$5+6&lt;Mitarbeiter!$E$53),0,IF(AND(Mitarbeiter!$F$53&lt;&gt;"",HK$5&gt;Mitarbeiter!$F$53),0,IF(Planung!HK55="",$C55,IF(ISNUMBER(Planung!HK55),Planung!HK55,IF(UPPER(Planung!HK55)="H",$C55/2,0)))))))</f>
        <v>0</v>
      </c>
      <c r="HL55" s="27">
        <f>IF($A55="",0,IF(Mitarbeiter!$G$53=FALSE,0,IF(AND(Mitarbeiter!$E$53&lt;&gt;"",HL$5+6&lt;Mitarbeiter!$E$53),0,IF(AND(Mitarbeiter!$F$53&lt;&gt;"",HL$5&gt;Mitarbeiter!$F$53),0,IF(Planung!HL55="",$C55,IF(ISNUMBER(Planung!HL55),Planung!HL55,IF(UPPER(Planung!HL55)="H",$C55/2,0)))))))</f>
        <v>0</v>
      </c>
      <c r="HM55" s="27">
        <f>IF($A55="",0,IF(Mitarbeiter!$G$53=FALSE,0,IF(AND(Mitarbeiter!$E$53&lt;&gt;"",HM$5+6&lt;Mitarbeiter!$E$53),0,IF(AND(Mitarbeiter!$F$53&lt;&gt;"",HM$5&gt;Mitarbeiter!$F$53),0,IF(Planung!HM55="",$C55,IF(ISNUMBER(Planung!HM55),Planung!HM55,IF(UPPER(Planung!HM55)="H",$C55/2,0)))))))</f>
        <v>0</v>
      </c>
      <c r="HN55" s="27">
        <f>IF($A55="",0,IF(Mitarbeiter!$G$53=FALSE,0,IF(AND(Mitarbeiter!$E$53&lt;&gt;"",HN$5+6&lt;Mitarbeiter!$E$53),0,IF(AND(Mitarbeiter!$F$53&lt;&gt;"",HN$5&gt;Mitarbeiter!$F$53),0,IF(Planung!HN55="",$C55,IF(ISNUMBER(Planung!HN55),Planung!HN55,IF(UPPER(Planung!HN55)="H",$C55/2,0)))))))</f>
        <v>0</v>
      </c>
      <c r="HO55" s="27">
        <f>IF($A55="",0,IF(Mitarbeiter!$G$53=FALSE,0,IF(AND(Mitarbeiter!$E$53&lt;&gt;"",HO$5+6&lt;Mitarbeiter!$E$53),0,IF(AND(Mitarbeiter!$F$53&lt;&gt;"",HO$5&gt;Mitarbeiter!$F$53),0,IF(Planung!HO55="",$C55,IF(ISNUMBER(Planung!HO55),Planung!HO55,IF(UPPER(Planung!HO55)="H",$C55/2,0)))))))</f>
        <v>0</v>
      </c>
      <c r="HP55" s="27">
        <f>IF($A55="",0,IF(Mitarbeiter!$G$53=FALSE,0,IF(AND(Mitarbeiter!$E$53&lt;&gt;"",HP$5+6&lt;Mitarbeiter!$E$53),0,IF(AND(Mitarbeiter!$F$53&lt;&gt;"",HP$5&gt;Mitarbeiter!$F$53),0,IF(Planung!HP55="",$C55,IF(ISNUMBER(Planung!HP55),Planung!HP55,IF(UPPER(Planung!HP55)="H",$C55/2,0)))))))</f>
        <v>0</v>
      </c>
      <c r="HQ55" s="27">
        <f>IF($A55="",0,IF(Mitarbeiter!$G$53=FALSE,0,IF(AND(Mitarbeiter!$E$53&lt;&gt;"",HQ$5+6&lt;Mitarbeiter!$E$53),0,IF(AND(Mitarbeiter!$F$53&lt;&gt;"",HQ$5&gt;Mitarbeiter!$F$53),0,IF(Planung!HQ55="",$C55,IF(ISNUMBER(Planung!HQ55),Planung!HQ55,IF(UPPER(Planung!HQ55)="H",$C55/2,0)))))))</f>
        <v>0</v>
      </c>
      <c r="HR55" s="27">
        <f>IF($A55="",0,IF(Mitarbeiter!$G$53=FALSE,0,IF(AND(Mitarbeiter!$E$53&lt;&gt;"",HR$5+6&lt;Mitarbeiter!$E$53),0,IF(AND(Mitarbeiter!$F$53&lt;&gt;"",HR$5&gt;Mitarbeiter!$F$53),0,IF(Planung!HR55="",$C55,IF(ISNUMBER(Planung!HR55),Planung!HR55,IF(UPPER(Planung!HR55)="H",$C55/2,0)))))))</f>
        <v>0</v>
      </c>
      <c r="HS55" s="27">
        <f>IF($A55="",0,IF(Mitarbeiter!$G$53=FALSE,0,IF(AND(Mitarbeiter!$E$53&lt;&gt;"",HS$5+6&lt;Mitarbeiter!$E$53),0,IF(AND(Mitarbeiter!$F$53&lt;&gt;"",HS$5&gt;Mitarbeiter!$F$53),0,IF(Planung!HS55="",$C55,IF(ISNUMBER(Planung!HS55),Planung!HS55,IF(UPPER(Planung!HS55)="H",$C55/2,0)))))))</f>
        <v>0</v>
      </c>
      <c r="HT55" s="27">
        <f>IF($A55="",0,IF(Mitarbeiter!$G$53=FALSE,0,IF(AND(Mitarbeiter!$E$53&lt;&gt;"",HT$5+6&lt;Mitarbeiter!$E$53),0,IF(AND(Mitarbeiter!$F$53&lt;&gt;"",HT$5&gt;Mitarbeiter!$F$53),0,IF(Planung!HT55="",$C55,IF(ISNUMBER(Planung!HT55),Planung!HT55,IF(UPPER(Planung!HT55)="H",$C55/2,0)))))))</f>
        <v>0</v>
      </c>
      <c r="HU55" s="27">
        <f>IF($A55="",0,IF(Mitarbeiter!$G$53=FALSE,0,IF(AND(Mitarbeiter!$E$53&lt;&gt;"",HU$5+6&lt;Mitarbeiter!$E$53),0,IF(AND(Mitarbeiter!$F$53&lt;&gt;"",HU$5&gt;Mitarbeiter!$F$53),0,IF(Planung!HU55="",$C55,IF(ISNUMBER(Planung!HU55),Planung!HU55,IF(UPPER(Planung!HU55)="H",$C55/2,0)))))))</f>
        <v>0</v>
      </c>
      <c r="HV55" s="27">
        <f>IF($A55="",0,IF(Mitarbeiter!$G$53=FALSE,0,IF(AND(Mitarbeiter!$E$53&lt;&gt;"",HV$5+6&lt;Mitarbeiter!$E$53),0,IF(AND(Mitarbeiter!$F$53&lt;&gt;"",HV$5&gt;Mitarbeiter!$F$53),0,IF(Planung!HV55="",$C55,IF(ISNUMBER(Planung!HV55),Planung!HV55,IF(UPPER(Planung!HV55)="H",$C55/2,0)))))))</f>
        <v>0</v>
      </c>
      <c r="HW55" s="27">
        <f>IF($A55="",0,IF(Mitarbeiter!$G$53=FALSE,0,IF(AND(Mitarbeiter!$E$53&lt;&gt;"",HW$5+6&lt;Mitarbeiter!$E$53),0,IF(AND(Mitarbeiter!$F$53&lt;&gt;"",HW$5&gt;Mitarbeiter!$F$53),0,IF(Planung!HW55="",$C55,IF(ISNUMBER(Planung!HW55),Planung!HW55,IF(UPPER(Planung!HW55)="H",$C55/2,0)))))))</f>
        <v>0</v>
      </c>
      <c r="HX55" s="27">
        <f>IF($A55="",0,IF(Mitarbeiter!$G$53=FALSE,0,IF(AND(Mitarbeiter!$E$53&lt;&gt;"",HX$5+6&lt;Mitarbeiter!$E$53),0,IF(AND(Mitarbeiter!$F$53&lt;&gt;"",HX$5&gt;Mitarbeiter!$F$53),0,IF(Planung!HX55="",$C55,IF(ISNUMBER(Planung!HX55),Planung!HX55,IF(UPPER(Planung!HX55)="H",$C55/2,0)))))))</f>
        <v>0</v>
      </c>
      <c r="HY55" s="27">
        <f>IF($A55="",0,IF(Mitarbeiter!$G$53=FALSE,0,IF(AND(Mitarbeiter!$E$53&lt;&gt;"",HY$5+6&lt;Mitarbeiter!$E$53),0,IF(AND(Mitarbeiter!$F$53&lt;&gt;"",HY$5&gt;Mitarbeiter!$F$53),0,IF(Planung!HY55="",$C55,IF(ISNUMBER(Planung!HY55),Planung!HY55,IF(UPPER(Planung!HY55)="H",$C55/2,0)))))))</f>
        <v>0</v>
      </c>
      <c r="HZ55" s="27">
        <f>IF($A55="",0,IF(Mitarbeiter!$G$53=FALSE,0,IF(AND(Mitarbeiter!$E$53&lt;&gt;"",HZ$5+6&lt;Mitarbeiter!$E$53),0,IF(AND(Mitarbeiter!$F$53&lt;&gt;"",HZ$5&gt;Mitarbeiter!$F$53),0,IF(Planung!HZ55="",$C55,IF(ISNUMBER(Planung!HZ55),Planung!HZ55,IF(UPPER(Planung!HZ55)="H",$C55/2,0)))))))</f>
        <v>0</v>
      </c>
      <c r="IA55" s="27">
        <f>IF($A55="",0,IF(Mitarbeiter!$G$53=FALSE,0,IF(AND(Mitarbeiter!$E$53&lt;&gt;"",IA$5+6&lt;Mitarbeiter!$E$53),0,IF(AND(Mitarbeiter!$F$53&lt;&gt;"",IA$5&gt;Mitarbeiter!$F$53),0,IF(Planung!IA55="",$C55,IF(ISNUMBER(Planung!IA55),Planung!IA55,IF(UPPER(Planung!IA55)="H",$C55/2,0)))))))</f>
        <v>0</v>
      </c>
    </row>
    <row r="56" spans="1:235" x14ac:dyDescent="0.25">
      <c r="A56" s="7" t="str">
        <f>Planung!A56</f>
        <v/>
      </c>
      <c r="B56" s="7" t="str">
        <f>Planung!B56</f>
        <v/>
      </c>
      <c r="C56" s="27">
        <f>N(Mitarbeiter!$D$54)</f>
        <v>0</v>
      </c>
      <c r="D56" s="27">
        <f>IF($A56="",0,IF(Mitarbeiter!$G$54=FALSE,0,IF(AND(Mitarbeiter!$E$54&lt;&gt;"",D$5+6&lt;Mitarbeiter!$E$54),0,IF(AND(Mitarbeiter!$F$54&lt;&gt;"",D$5&gt;Mitarbeiter!$F$54),0,IF(Planung!D56="",$C56,IF(ISNUMBER(Planung!D56),Planung!D56,IF(UPPER(Planung!D56)="H",$C56/2,0)))))))</f>
        <v>0</v>
      </c>
      <c r="E56" s="27">
        <f>IF($A56="",0,IF(Mitarbeiter!$G$54=FALSE,0,IF(AND(Mitarbeiter!$E$54&lt;&gt;"",E$5+6&lt;Mitarbeiter!$E$54),0,IF(AND(Mitarbeiter!$F$54&lt;&gt;"",E$5&gt;Mitarbeiter!$F$54),0,IF(Planung!E56="",$C56,IF(ISNUMBER(Planung!E56),Planung!E56,IF(UPPER(Planung!E56)="H",$C56/2,0)))))))</f>
        <v>0</v>
      </c>
      <c r="F56" s="27">
        <f>IF($A56="",0,IF(Mitarbeiter!$G$54=FALSE,0,IF(AND(Mitarbeiter!$E$54&lt;&gt;"",F$5+6&lt;Mitarbeiter!$E$54),0,IF(AND(Mitarbeiter!$F$54&lt;&gt;"",F$5&gt;Mitarbeiter!$F$54),0,IF(Planung!F56="",$C56,IF(ISNUMBER(Planung!F56),Planung!F56,IF(UPPER(Planung!F56)="H",$C56/2,0)))))))</f>
        <v>0</v>
      </c>
      <c r="G56" s="27">
        <f>IF($A56="",0,IF(Mitarbeiter!$G$54=FALSE,0,IF(AND(Mitarbeiter!$E$54&lt;&gt;"",G$5+6&lt;Mitarbeiter!$E$54),0,IF(AND(Mitarbeiter!$F$54&lt;&gt;"",G$5&gt;Mitarbeiter!$F$54),0,IF(Planung!G56="",$C56,IF(ISNUMBER(Planung!G56),Planung!G56,IF(UPPER(Planung!G56)="H",$C56/2,0)))))))</f>
        <v>0</v>
      </c>
      <c r="H56" s="27">
        <f>IF($A56="",0,IF(Mitarbeiter!$G$54=FALSE,0,IF(AND(Mitarbeiter!$E$54&lt;&gt;"",H$5+6&lt;Mitarbeiter!$E$54),0,IF(AND(Mitarbeiter!$F$54&lt;&gt;"",H$5&gt;Mitarbeiter!$F$54),0,IF(Planung!H56="",$C56,IF(ISNUMBER(Planung!H56),Planung!H56,IF(UPPER(Planung!H56)="H",$C56/2,0)))))))</f>
        <v>0</v>
      </c>
      <c r="I56" s="27">
        <f>IF($A56="",0,IF(Mitarbeiter!$G$54=FALSE,0,IF(AND(Mitarbeiter!$E$54&lt;&gt;"",I$5+6&lt;Mitarbeiter!$E$54),0,IF(AND(Mitarbeiter!$F$54&lt;&gt;"",I$5&gt;Mitarbeiter!$F$54),0,IF(Planung!I56="",$C56,IF(ISNUMBER(Planung!I56),Planung!I56,IF(UPPER(Planung!I56)="H",$C56/2,0)))))))</f>
        <v>0</v>
      </c>
      <c r="J56" s="27">
        <f>IF($A56="",0,IF(Mitarbeiter!$G$54=FALSE,0,IF(AND(Mitarbeiter!$E$54&lt;&gt;"",J$5+6&lt;Mitarbeiter!$E$54),0,IF(AND(Mitarbeiter!$F$54&lt;&gt;"",J$5&gt;Mitarbeiter!$F$54),0,IF(Planung!J56="",$C56,IF(ISNUMBER(Planung!J56),Planung!J56,IF(UPPER(Planung!J56)="H",$C56/2,0)))))))</f>
        <v>0</v>
      </c>
      <c r="K56" s="27">
        <f>IF($A56="",0,IF(Mitarbeiter!$G$54=FALSE,0,IF(AND(Mitarbeiter!$E$54&lt;&gt;"",K$5+6&lt;Mitarbeiter!$E$54),0,IF(AND(Mitarbeiter!$F$54&lt;&gt;"",K$5&gt;Mitarbeiter!$F$54),0,IF(Planung!K56="",$C56,IF(ISNUMBER(Planung!K56),Planung!K56,IF(UPPER(Planung!K56)="H",$C56/2,0)))))))</f>
        <v>0</v>
      </c>
      <c r="L56" s="27">
        <f>IF($A56="",0,IF(Mitarbeiter!$G$54=FALSE,0,IF(AND(Mitarbeiter!$E$54&lt;&gt;"",L$5+6&lt;Mitarbeiter!$E$54),0,IF(AND(Mitarbeiter!$F$54&lt;&gt;"",L$5&gt;Mitarbeiter!$F$54),0,IF(Planung!L56="",$C56,IF(ISNUMBER(Planung!L56),Planung!L56,IF(UPPER(Planung!L56)="H",$C56/2,0)))))))</f>
        <v>0</v>
      </c>
      <c r="M56" s="27">
        <f>IF($A56="",0,IF(Mitarbeiter!$G$54=FALSE,0,IF(AND(Mitarbeiter!$E$54&lt;&gt;"",M$5+6&lt;Mitarbeiter!$E$54),0,IF(AND(Mitarbeiter!$F$54&lt;&gt;"",M$5&gt;Mitarbeiter!$F$54),0,IF(Planung!M56="",$C56,IF(ISNUMBER(Planung!M56),Planung!M56,IF(UPPER(Planung!M56)="H",$C56/2,0)))))))</f>
        <v>0</v>
      </c>
      <c r="N56" s="27">
        <f>IF($A56="",0,IF(Mitarbeiter!$G$54=FALSE,0,IF(AND(Mitarbeiter!$E$54&lt;&gt;"",N$5+6&lt;Mitarbeiter!$E$54),0,IF(AND(Mitarbeiter!$F$54&lt;&gt;"",N$5&gt;Mitarbeiter!$F$54),0,IF(Planung!N56="",$C56,IF(ISNUMBER(Planung!N56),Planung!N56,IF(UPPER(Planung!N56)="H",$C56/2,0)))))))</f>
        <v>0</v>
      </c>
      <c r="O56" s="27">
        <f>IF($A56="",0,IF(Mitarbeiter!$G$54=FALSE,0,IF(AND(Mitarbeiter!$E$54&lt;&gt;"",O$5+6&lt;Mitarbeiter!$E$54),0,IF(AND(Mitarbeiter!$F$54&lt;&gt;"",O$5&gt;Mitarbeiter!$F$54),0,IF(Planung!O56="",$C56,IF(ISNUMBER(Planung!O56),Planung!O56,IF(UPPER(Planung!O56)="H",$C56/2,0)))))))</f>
        <v>0</v>
      </c>
      <c r="P56" s="27">
        <f>IF($A56="",0,IF(Mitarbeiter!$G$54=FALSE,0,IF(AND(Mitarbeiter!$E$54&lt;&gt;"",P$5+6&lt;Mitarbeiter!$E$54),0,IF(AND(Mitarbeiter!$F$54&lt;&gt;"",P$5&gt;Mitarbeiter!$F$54),0,IF(Planung!P56="",$C56,IF(ISNUMBER(Planung!P56),Planung!P56,IF(UPPER(Planung!P56)="H",$C56/2,0)))))))</f>
        <v>0</v>
      </c>
      <c r="Q56" s="27">
        <f>IF($A56="",0,IF(Mitarbeiter!$G$54=FALSE,0,IF(AND(Mitarbeiter!$E$54&lt;&gt;"",Q$5+6&lt;Mitarbeiter!$E$54),0,IF(AND(Mitarbeiter!$F$54&lt;&gt;"",Q$5&gt;Mitarbeiter!$F$54),0,IF(Planung!Q56="",$C56,IF(ISNUMBER(Planung!Q56),Planung!Q56,IF(UPPER(Planung!Q56)="H",$C56/2,0)))))))</f>
        <v>0</v>
      </c>
      <c r="R56" s="27">
        <f>IF($A56="",0,IF(Mitarbeiter!$G$54=FALSE,0,IF(AND(Mitarbeiter!$E$54&lt;&gt;"",R$5+6&lt;Mitarbeiter!$E$54),0,IF(AND(Mitarbeiter!$F$54&lt;&gt;"",R$5&gt;Mitarbeiter!$F$54),0,IF(Planung!R56="",$C56,IF(ISNUMBER(Planung!R56),Planung!R56,IF(UPPER(Planung!R56)="H",$C56/2,0)))))))</f>
        <v>0</v>
      </c>
      <c r="S56" s="27">
        <f>IF($A56="",0,IF(Mitarbeiter!$G$54=FALSE,0,IF(AND(Mitarbeiter!$E$54&lt;&gt;"",S$5+6&lt;Mitarbeiter!$E$54),0,IF(AND(Mitarbeiter!$F$54&lt;&gt;"",S$5&gt;Mitarbeiter!$F$54),0,IF(Planung!S56="",$C56,IF(ISNUMBER(Planung!S56),Planung!S56,IF(UPPER(Planung!S56)="H",$C56/2,0)))))))</f>
        <v>0</v>
      </c>
      <c r="T56" s="27">
        <f>IF($A56="",0,IF(Mitarbeiter!$G$54=FALSE,0,IF(AND(Mitarbeiter!$E$54&lt;&gt;"",T$5+6&lt;Mitarbeiter!$E$54),0,IF(AND(Mitarbeiter!$F$54&lt;&gt;"",T$5&gt;Mitarbeiter!$F$54),0,IF(Planung!T56="",$C56,IF(ISNUMBER(Planung!T56),Planung!T56,IF(UPPER(Planung!T56)="H",$C56/2,0)))))))</f>
        <v>0</v>
      </c>
      <c r="U56" s="27">
        <f>IF($A56="",0,IF(Mitarbeiter!$G$54=FALSE,0,IF(AND(Mitarbeiter!$E$54&lt;&gt;"",U$5+6&lt;Mitarbeiter!$E$54),0,IF(AND(Mitarbeiter!$F$54&lt;&gt;"",U$5&gt;Mitarbeiter!$F$54),0,IF(Planung!U56="",$C56,IF(ISNUMBER(Planung!U56),Planung!U56,IF(UPPER(Planung!U56)="H",$C56/2,0)))))))</f>
        <v>0</v>
      </c>
      <c r="V56" s="27">
        <f>IF($A56="",0,IF(Mitarbeiter!$G$54=FALSE,0,IF(AND(Mitarbeiter!$E$54&lt;&gt;"",V$5+6&lt;Mitarbeiter!$E$54),0,IF(AND(Mitarbeiter!$F$54&lt;&gt;"",V$5&gt;Mitarbeiter!$F$54),0,IF(Planung!V56="",$C56,IF(ISNUMBER(Planung!V56),Planung!V56,IF(UPPER(Planung!V56)="H",$C56/2,0)))))))</f>
        <v>0</v>
      </c>
      <c r="W56" s="27">
        <f>IF($A56="",0,IF(Mitarbeiter!$G$54=FALSE,0,IF(AND(Mitarbeiter!$E$54&lt;&gt;"",W$5+6&lt;Mitarbeiter!$E$54),0,IF(AND(Mitarbeiter!$F$54&lt;&gt;"",W$5&gt;Mitarbeiter!$F$54),0,IF(Planung!W56="",$C56,IF(ISNUMBER(Planung!W56),Planung!W56,IF(UPPER(Planung!W56)="H",$C56/2,0)))))))</f>
        <v>0</v>
      </c>
      <c r="X56" s="27">
        <f>IF($A56="",0,IF(Mitarbeiter!$G$54=FALSE,0,IF(AND(Mitarbeiter!$E$54&lt;&gt;"",X$5+6&lt;Mitarbeiter!$E$54),0,IF(AND(Mitarbeiter!$F$54&lt;&gt;"",X$5&gt;Mitarbeiter!$F$54),0,IF(Planung!X56="",$C56,IF(ISNUMBER(Planung!X56),Planung!X56,IF(UPPER(Planung!X56)="H",$C56/2,0)))))))</f>
        <v>0</v>
      </c>
      <c r="Y56" s="27">
        <f>IF($A56="",0,IF(Mitarbeiter!$G$54=FALSE,0,IF(AND(Mitarbeiter!$E$54&lt;&gt;"",Y$5+6&lt;Mitarbeiter!$E$54),0,IF(AND(Mitarbeiter!$F$54&lt;&gt;"",Y$5&gt;Mitarbeiter!$F$54),0,IF(Planung!Y56="",$C56,IF(ISNUMBER(Planung!Y56),Planung!Y56,IF(UPPER(Planung!Y56)="H",$C56/2,0)))))))</f>
        <v>0</v>
      </c>
      <c r="Z56" s="27">
        <f>IF($A56="",0,IF(Mitarbeiter!$G$54=FALSE,0,IF(AND(Mitarbeiter!$E$54&lt;&gt;"",Z$5+6&lt;Mitarbeiter!$E$54),0,IF(AND(Mitarbeiter!$F$54&lt;&gt;"",Z$5&gt;Mitarbeiter!$F$54),0,IF(Planung!Z56="",$C56,IF(ISNUMBER(Planung!Z56),Planung!Z56,IF(UPPER(Planung!Z56)="H",$C56/2,0)))))))</f>
        <v>0</v>
      </c>
      <c r="AA56" s="27">
        <f>IF($A56="",0,IF(Mitarbeiter!$G$54=FALSE,0,IF(AND(Mitarbeiter!$E$54&lt;&gt;"",AA$5+6&lt;Mitarbeiter!$E$54),0,IF(AND(Mitarbeiter!$F$54&lt;&gt;"",AA$5&gt;Mitarbeiter!$F$54),0,IF(Planung!AA56="",$C56,IF(ISNUMBER(Planung!AA56),Planung!AA56,IF(UPPER(Planung!AA56)="H",$C56/2,0)))))))</f>
        <v>0</v>
      </c>
      <c r="AB56" s="27">
        <f>IF($A56="",0,IF(Mitarbeiter!$G$54=FALSE,0,IF(AND(Mitarbeiter!$E$54&lt;&gt;"",AB$5+6&lt;Mitarbeiter!$E$54),0,IF(AND(Mitarbeiter!$F$54&lt;&gt;"",AB$5&gt;Mitarbeiter!$F$54),0,IF(Planung!AB56="",$C56,IF(ISNUMBER(Planung!AB56),Planung!AB56,IF(UPPER(Planung!AB56)="H",$C56/2,0)))))))</f>
        <v>0</v>
      </c>
      <c r="AC56" s="27">
        <f>IF($A56="",0,IF(Mitarbeiter!$G$54=FALSE,0,IF(AND(Mitarbeiter!$E$54&lt;&gt;"",AC$5+6&lt;Mitarbeiter!$E$54),0,IF(AND(Mitarbeiter!$F$54&lt;&gt;"",AC$5&gt;Mitarbeiter!$F$54),0,IF(Planung!AC56="",$C56,IF(ISNUMBER(Planung!AC56),Planung!AC56,IF(UPPER(Planung!AC56)="H",$C56/2,0)))))))</f>
        <v>0</v>
      </c>
      <c r="AD56" s="27">
        <f>IF($A56="",0,IF(Mitarbeiter!$G$54=FALSE,0,IF(AND(Mitarbeiter!$E$54&lt;&gt;"",AD$5+6&lt;Mitarbeiter!$E$54),0,IF(AND(Mitarbeiter!$F$54&lt;&gt;"",AD$5&gt;Mitarbeiter!$F$54),0,IF(Planung!AD56="",$C56,IF(ISNUMBER(Planung!AD56),Planung!AD56,IF(UPPER(Planung!AD56)="H",$C56/2,0)))))))</f>
        <v>0</v>
      </c>
      <c r="AE56" s="27">
        <f>IF($A56="",0,IF(Mitarbeiter!$G$54=FALSE,0,IF(AND(Mitarbeiter!$E$54&lt;&gt;"",AE$5+6&lt;Mitarbeiter!$E$54),0,IF(AND(Mitarbeiter!$F$54&lt;&gt;"",AE$5&gt;Mitarbeiter!$F$54),0,IF(Planung!AE56="",$C56,IF(ISNUMBER(Planung!AE56),Planung!AE56,IF(UPPER(Planung!AE56)="H",$C56/2,0)))))))</f>
        <v>0</v>
      </c>
      <c r="AF56" s="27">
        <f>IF($A56="",0,IF(Mitarbeiter!$G$54=FALSE,0,IF(AND(Mitarbeiter!$E$54&lt;&gt;"",AF$5+6&lt;Mitarbeiter!$E$54),0,IF(AND(Mitarbeiter!$F$54&lt;&gt;"",AF$5&gt;Mitarbeiter!$F$54),0,IF(Planung!AF56="",$C56,IF(ISNUMBER(Planung!AF56),Planung!AF56,IF(UPPER(Planung!AF56)="H",$C56/2,0)))))))</f>
        <v>0</v>
      </c>
      <c r="AG56" s="27">
        <f>IF($A56="",0,IF(Mitarbeiter!$G$54=FALSE,0,IF(AND(Mitarbeiter!$E$54&lt;&gt;"",AG$5+6&lt;Mitarbeiter!$E$54),0,IF(AND(Mitarbeiter!$F$54&lt;&gt;"",AG$5&gt;Mitarbeiter!$F$54),0,IF(Planung!AG56="",$C56,IF(ISNUMBER(Planung!AG56),Planung!AG56,IF(UPPER(Planung!AG56)="H",$C56/2,0)))))))</f>
        <v>0</v>
      </c>
      <c r="AH56" s="27">
        <f>IF($A56="",0,IF(Mitarbeiter!$G$54=FALSE,0,IF(AND(Mitarbeiter!$E$54&lt;&gt;"",AH$5+6&lt;Mitarbeiter!$E$54),0,IF(AND(Mitarbeiter!$F$54&lt;&gt;"",AH$5&gt;Mitarbeiter!$F$54),0,IF(Planung!AH56="",$C56,IF(ISNUMBER(Planung!AH56),Planung!AH56,IF(UPPER(Planung!AH56)="H",$C56/2,0)))))))</f>
        <v>0</v>
      </c>
      <c r="AI56" s="27">
        <f>IF($A56="",0,IF(Mitarbeiter!$G$54=FALSE,0,IF(AND(Mitarbeiter!$E$54&lt;&gt;"",AI$5+6&lt;Mitarbeiter!$E$54),0,IF(AND(Mitarbeiter!$F$54&lt;&gt;"",AI$5&gt;Mitarbeiter!$F$54),0,IF(Planung!AI56="",$C56,IF(ISNUMBER(Planung!AI56),Planung!AI56,IF(UPPER(Planung!AI56)="H",$C56/2,0)))))))</f>
        <v>0</v>
      </c>
      <c r="AJ56" s="27">
        <f>IF($A56="",0,IF(Mitarbeiter!$G$54=FALSE,0,IF(AND(Mitarbeiter!$E$54&lt;&gt;"",AJ$5+6&lt;Mitarbeiter!$E$54),0,IF(AND(Mitarbeiter!$F$54&lt;&gt;"",AJ$5&gt;Mitarbeiter!$F$54),0,IF(Planung!AJ56="",$C56,IF(ISNUMBER(Planung!AJ56),Planung!AJ56,IF(UPPER(Planung!AJ56)="H",$C56/2,0)))))))</f>
        <v>0</v>
      </c>
      <c r="AK56" s="27">
        <f>IF($A56="",0,IF(Mitarbeiter!$G$54=FALSE,0,IF(AND(Mitarbeiter!$E$54&lt;&gt;"",AK$5+6&lt;Mitarbeiter!$E$54),0,IF(AND(Mitarbeiter!$F$54&lt;&gt;"",AK$5&gt;Mitarbeiter!$F$54),0,IF(Planung!AK56="",$C56,IF(ISNUMBER(Planung!AK56),Planung!AK56,IF(UPPER(Planung!AK56)="H",$C56/2,0)))))))</f>
        <v>0</v>
      </c>
      <c r="AL56" s="27">
        <f>IF($A56="",0,IF(Mitarbeiter!$G$54=FALSE,0,IF(AND(Mitarbeiter!$E$54&lt;&gt;"",AL$5+6&lt;Mitarbeiter!$E$54),0,IF(AND(Mitarbeiter!$F$54&lt;&gt;"",AL$5&gt;Mitarbeiter!$F$54),0,IF(Planung!AL56="",$C56,IF(ISNUMBER(Planung!AL56),Planung!AL56,IF(UPPER(Planung!AL56)="H",$C56/2,0)))))))</f>
        <v>0</v>
      </c>
      <c r="AM56" s="27">
        <f>IF($A56="",0,IF(Mitarbeiter!$G$54=FALSE,0,IF(AND(Mitarbeiter!$E$54&lt;&gt;"",AM$5+6&lt;Mitarbeiter!$E$54),0,IF(AND(Mitarbeiter!$F$54&lt;&gt;"",AM$5&gt;Mitarbeiter!$F$54),0,IF(Planung!AM56="",$C56,IF(ISNUMBER(Planung!AM56),Planung!AM56,IF(UPPER(Planung!AM56)="H",$C56/2,0)))))))</f>
        <v>0</v>
      </c>
      <c r="AN56" s="27">
        <f>IF($A56="",0,IF(Mitarbeiter!$G$54=FALSE,0,IF(AND(Mitarbeiter!$E$54&lt;&gt;"",AN$5+6&lt;Mitarbeiter!$E$54),0,IF(AND(Mitarbeiter!$F$54&lt;&gt;"",AN$5&gt;Mitarbeiter!$F$54),0,IF(Planung!AN56="",$C56,IF(ISNUMBER(Planung!AN56),Planung!AN56,IF(UPPER(Planung!AN56)="H",$C56/2,0)))))))</f>
        <v>0</v>
      </c>
      <c r="AO56" s="27">
        <f>IF($A56="",0,IF(Mitarbeiter!$G$54=FALSE,0,IF(AND(Mitarbeiter!$E$54&lt;&gt;"",AO$5+6&lt;Mitarbeiter!$E$54),0,IF(AND(Mitarbeiter!$F$54&lt;&gt;"",AO$5&gt;Mitarbeiter!$F$54),0,IF(Planung!AO56="",$C56,IF(ISNUMBER(Planung!AO56),Planung!AO56,IF(UPPER(Planung!AO56)="H",$C56/2,0)))))))</f>
        <v>0</v>
      </c>
      <c r="AP56" s="27">
        <f>IF($A56="",0,IF(Mitarbeiter!$G$54=FALSE,0,IF(AND(Mitarbeiter!$E$54&lt;&gt;"",AP$5+6&lt;Mitarbeiter!$E$54),0,IF(AND(Mitarbeiter!$F$54&lt;&gt;"",AP$5&gt;Mitarbeiter!$F$54),0,IF(Planung!AP56="",$C56,IF(ISNUMBER(Planung!AP56),Planung!AP56,IF(UPPER(Planung!AP56)="H",$C56/2,0)))))))</f>
        <v>0</v>
      </c>
      <c r="AQ56" s="27">
        <f>IF($A56="",0,IF(Mitarbeiter!$G$54=FALSE,0,IF(AND(Mitarbeiter!$E$54&lt;&gt;"",AQ$5+6&lt;Mitarbeiter!$E$54),0,IF(AND(Mitarbeiter!$F$54&lt;&gt;"",AQ$5&gt;Mitarbeiter!$F$54),0,IF(Planung!AQ56="",$C56,IF(ISNUMBER(Planung!AQ56),Planung!AQ56,IF(UPPER(Planung!AQ56)="H",$C56/2,0)))))))</f>
        <v>0</v>
      </c>
      <c r="AR56" s="27">
        <f>IF($A56="",0,IF(Mitarbeiter!$G$54=FALSE,0,IF(AND(Mitarbeiter!$E$54&lt;&gt;"",AR$5+6&lt;Mitarbeiter!$E$54),0,IF(AND(Mitarbeiter!$F$54&lt;&gt;"",AR$5&gt;Mitarbeiter!$F$54),0,IF(Planung!AR56="",$C56,IF(ISNUMBER(Planung!AR56),Planung!AR56,IF(UPPER(Planung!AR56)="H",$C56/2,0)))))))</f>
        <v>0</v>
      </c>
      <c r="AS56" s="27">
        <f>IF($A56="",0,IF(Mitarbeiter!$G$54=FALSE,0,IF(AND(Mitarbeiter!$E$54&lt;&gt;"",AS$5+6&lt;Mitarbeiter!$E$54),0,IF(AND(Mitarbeiter!$F$54&lt;&gt;"",AS$5&gt;Mitarbeiter!$F$54),0,IF(Planung!AS56="",$C56,IF(ISNUMBER(Planung!AS56),Planung!AS56,IF(UPPER(Planung!AS56)="H",$C56/2,0)))))))</f>
        <v>0</v>
      </c>
      <c r="AT56" s="27">
        <f>IF($A56="",0,IF(Mitarbeiter!$G$54=FALSE,0,IF(AND(Mitarbeiter!$E$54&lt;&gt;"",AT$5+6&lt;Mitarbeiter!$E$54),0,IF(AND(Mitarbeiter!$F$54&lt;&gt;"",AT$5&gt;Mitarbeiter!$F$54),0,IF(Planung!AT56="",$C56,IF(ISNUMBER(Planung!AT56),Planung!AT56,IF(UPPER(Planung!AT56)="H",$C56/2,0)))))))</f>
        <v>0</v>
      </c>
      <c r="AU56" s="27">
        <f>IF($A56="",0,IF(Mitarbeiter!$G$54=FALSE,0,IF(AND(Mitarbeiter!$E$54&lt;&gt;"",AU$5+6&lt;Mitarbeiter!$E$54),0,IF(AND(Mitarbeiter!$F$54&lt;&gt;"",AU$5&gt;Mitarbeiter!$F$54),0,IF(Planung!AU56="",$C56,IF(ISNUMBER(Planung!AU56),Planung!AU56,IF(UPPER(Planung!AU56)="H",$C56/2,0)))))))</f>
        <v>0</v>
      </c>
      <c r="AV56" s="27">
        <f>IF($A56="",0,IF(Mitarbeiter!$G$54=FALSE,0,IF(AND(Mitarbeiter!$E$54&lt;&gt;"",AV$5+6&lt;Mitarbeiter!$E$54),0,IF(AND(Mitarbeiter!$F$54&lt;&gt;"",AV$5&gt;Mitarbeiter!$F$54),0,IF(Planung!AV56="",$C56,IF(ISNUMBER(Planung!AV56),Planung!AV56,IF(UPPER(Planung!AV56)="H",$C56/2,0)))))))</f>
        <v>0</v>
      </c>
      <c r="AW56" s="27">
        <f>IF($A56="",0,IF(Mitarbeiter!$G$54=FALSE,0,IF(AND(Mitarbeiter!$E$54&lt;&gt;"",AW$5+6&lt;Mitarbeiter!$E$54),0,IF(AND(Mitarbeiter!$F$54&lt;&gt;"",AW$5&gt;Mitarbeiter!$F$54),0,IF(Planung!AW56="",$C56,IF(ISNUMBER(Planung!AW56),Planung!AW56,IF(UPPER(Planung!AW56)="H",$C56/2,0)))))))</f>
        <v>0</v>
      </c>
      <c r="AX56" s="27">
        <f>IF($A56="",0,IF(Mitarbeiter!$G$54=FALSE,0,IF(AND(Mitarbeiter!$E$54&lt;&gt;"",AX$5+6&lt;Mitarbeiter!$E$54),0,IF(AND(Mitarbeiter!$F$54&lt;&gt;"",AX$5&gt;Mitarbeiter!$F$54),0,IF(Planung!AX56="",$C56,IF(ISNUMBER(Planung!AX56),Planung!AX56,IF(UPPER(Planung!AX56)="H",$C56/2,0)))))))</f>
        <v>0</v>
      </c>
      <c r="AY56" s="27">
        <f>IF($A56="",0,IF(Mitarbeiter!$G$54=FALSE,0,IF(AND(Mitarbeiter!$E$54&lt;&gt;"",AY$5+6&lt;Mitarbeiter!$E$54),0,IF(AND(Mitarbeiter!$F$54&lt;&gt;"",AY$5&gt;Mitarbeiter!$F$54),0,IF(Planung!AY56="",$C56,IF(ISNUMBER(Planung!AY56),Planung!AY56,IF(UPPER(Planung!AY56)="H",$C56/2,0)))))))</f>
        <v>0</v>
      </c>
      <c r="AZ56" s="27">
        <f>IF($A56="",0,IF(Mitarbeiter!$G$54=FALSE,0,IF(AND(Mitarbeiter!$E$54&lt;&gt;"",AZ$5+6&lt;Mitarbeiter!$E$54),0,IF(AND(Mitarbeiter!$F$54&lt;&gt;"",AZ$5&gt;Mitarbeiter!$F$54),0,IF(Planung!AZ56="",$C56,IF(ISNUMBER(Planung!AZ56),Planung!AZ56,IF(UPPER(Planung!AZ56)="H",$C56/2,0)))))))</f>
        <v>0</v>
      </c>
      <c r="BA56" s="27">
        <f>IF($A56="",0,IF(Mitarbeiter!$G$54=FALSE,0,IF(AND(Mitarbeiter!$E$54&lt;&gt;"",BA$5+6&lt;Mitarbeiter!$E$54),0,IF(AND(Mitarbeiter!$F$54&lt;&gt;"",BA$5&gt;Mitarbeiter!$F$54),0,IF(Planung!BA56="",$C56,IF(ISNUMBER(Planung!BA56),Planung!BA56,IF(UPPER(Planung!BA56)="H",$C56/2,0)))))))</f>
        <v>0</v>
      </c>
      <c r="BB56" s="27">
        <f>IF($A56="",0,IF(Mitarbeiter!$G$54=FALSE,0,IF(AND(Mitarbeiter!$E$54&lt;&gt;"",BB$5+6&lt;Mitarbeiter!$E$54),0,IF(AND(Mitarbeiter!$F$54&lt;&gt;"",BB$5&gt;Mitarbeiter!$F$54),0,IF(Planung!BB56="",$C56,IF(ISNUMBER(Planung!BB56),Planung!BB56,IF(UPPER(Planung!BB56)="H",$C56/2,0)))))))</f>
        <v>0</v>
      </c>
      <c r="BC56" s="27">
        <f>IF($A56="",0,IF(Mitarbeiter!$G$54=FALSE,0,IF(AND(Mitarbeiter!$E$54&lt;&gt;"",BC$5+6&lt;Mitarbeiter!$E$54),0,IF(AND(Mitarbeiter!$F$54&lt;&gt;"",BC$5&gt;Mitarbeiter!$F$54),0,IF(Planung!BC56="",$C56,IF(ISNUMBER(Planung!BC56),Planung!BC56,IF(UPPER(Planung!BC56)="H",$C56/2,0)))))))</f>
        <v>0</v>
      </c>
      <c r="BD56" s="27">
        <f>IF($A56="",0,IF(Mitarbeiter!$G$54=FALSE,0,IF(AND(Mitarbeiter!$E$54&lt;&gt;"",BD$5+6&lt;Mitarbeiter!$E$54),0,IF(AND(Mitarbeiter!$F$54&lt;&gt;"",BD$5&gt;Mitarbeiter!$F$54),0,IF(Planung!BD56="",$C56,IF(ISNUMBER(Planung!BD56),Planung!BD56,IF(UPPER(Planung!BD56)="H",$C56/2,0)))))))</f>
        <v>0</v>
      </c>
      <c r="BE56" s="27">
        <f>IF($A56="",0,IF(Mitarbeiter!$G$54=FALSE,0,IF(AND(Mitarbeiter!$E$54&lt;&gt;"",BE$5+6&lt;Mitarbeiter!$E$54),0,IF(AND(Mitarbeiter!$F$54&lt;&gt;"",BE$5&gt;Mitarbeiter!$F$54),0,IF(Planung!BE56="",$C56,IF(ISNUMBER(Planung!BE56),Planung!BE56,IF(UPPER(Planung!BE56)="H",$C56/2,0)))))))</f>
        <v>0</v>
      </c>
      <c r="BF56" s="27">
        <f>IF($A56="",0,IF(Mitarbeiter!$G$54=FALSE,0,IF(AND(Mitarbeiter!$E$54&lt;&gt;"",BF$5+6&lt;Mitarbeiter!$E$54),0,IF(AND(Mitarbeiter!$F$54&lt;&gt;"",BF$5&gt;Mitarbeiter!$F$54),0,IF(Planung!BF56="",$C56,IF(ISNUMBER(Planung!BF56),Planung!BF56,IF(UPPER(Planung!BF56)="H",$C56/2,0)))))))</f>
        <v>0</v>
      </c>
      <c r="BG56" s="27">
        <f>IF($A56="",0,IF(Mitarbeiter!$G$54=FALSE,0,IF(AND(Mitarbeiter!$E$54&lt;&gt;"",BG$5+6&lt;Mitarbeiter!$E$54),0,IF(AND(Mitarbeiter!$F$54&lt;&gt;"",BG$5&gt;Mitarbeiter!$F$54),0,IF(Planung!BG56="",$C56,IF(ISNUMBER(Planung!BG56),Planung!BG56,IF(UPPER(Planung!BG56)="H",$C56/2,0)))))))</f>
        <v>0</v>
      </c>
      <c r="BH56" s="27">
        <f>IF($A56="",0,IF(Mitarbeiter!$G$54=FALSE,0,IF(AND(Mitarbeiter!$E$54&lt;&gt;"",BH$5+6&lt;Mitarbeiter!$E$54),0,IF(AND(Mitarbeiter!$F$54&lt;&gt;"",BH$5&gt;Mitarbeiter!$F$54),0,IF(Planung!BH56="",$C56,IF(ISNUMBER(Planung!BH56),Planung!BH56,IF(UPPER(Planung!BH56)="H",$C56/2,0)))))))</f>
        <v>0</v>
      </c>
      <c r="BI56" s="27">
        <f>IF($A56="",0,IF(Mitarbeiter!$G$54=FALSE,0,IF(AND(Mitarbeiter!$E$54&lt;&gt;"",BI$5+6&lt;Mitarbeiter!$E$54),0,IF(AND(Mitarbeiter!$F$54&lt;&gt;"",BI$5&gt;Mitarbeiter!$F$54),0,IF(Planung!BI56="",$C56,IF(ISNUMBER(Planung!BI56),Planung!BI56,IF(UPPER(Planung!BI56)="H",$C56/2,0)))))))</f>
        <v>0</v>
      </c>
      <c r="BJ56" s="27">
        <f>IF($A56="",0,IF(Mitarbeiter!$G$54=FALSE,0,IF(AND(Mitarbeiter!$E$54&lt;&gt;"",BJ$5+6&lt;Mitarbeiter!$E$54),0,IF(AND(Mitarbeiter!$F$54&lt;&gt;"",BJ$5&gt;Mitarbeiter!$F$54),0,IF(Planung!BJ56="",$C56,IF(ISNUMBER(Planung!BJ56),Planung!BJ56,IF(UPPER(Planung!BJ56)="H",$C56/2,0)))))))</f>
        <v>0</v>
      </c>
      <c r="BK56" s="27">
        <f>IF($A56="",0,IF(Mitarbeiter!$G$54=FALSE,0,IF(AND(Mitarbeiter!$E$54&lt;&gt;"",BK$5+6&lt;Mitarbeiter!$E$54),0,IF(AND(Mitarbeiter!$F$54&lt;&gt;"",BK$5&gt;Mitarbeiter!$F$54),0,IF(Planung!BK56="",$C56,IF(ISNUMBER(Planung!BK56),Planung!BK56,IF(UPPER(Planung!BK56)="H",$C56/2,0)))))))</f>
        <v>0</v>
      </c>
      <c r="BL56" s="27">
        <f>IF($A56="",0,IF(Mitarbeiter!$G$54=FALSE,0,IF(AND(Mitarbeiter!$E$54&lt;&gt;"",BL$5+6&lt;Mitarbeiter!$E$54),0,IF(AND(Mitarbeiter!$F$54&lt;&gt;"",BL$5&gt;Mitarbeiter!$F$54),0,IF(Planung!BL56="",$C56,IF(ISNUMBER(Planung!BL56),Planung!BL56,IF(UPPER(Planung!BL56)="H",$C56/2,0)))))))</f>
        <v>0</v>
      </c>
      <c r="BM56" s="27">
        <f>IF($A56="",0,IF(Mitarbeiter!$G$54=FALSE,0,IF(AND(Mitarbeiter!$E$54&lt;&gt;"",BM$5+6&lt;Mitarbeiter!$E$54),0,IF(AND(Mitarbeiter!$F$54&lt;&gt;"",BM$5&gt;Mitarbeiter!$F$54),0,IF(Planung!BM56="",$C56,IF(ISNUMBER(Planung!BM56),Planung!BM56,IF(UPPER(Planung!BM56)="H",$C56/2,0)))))))</f>
        <v>0</v>
      </c>
      <c r="BN56" s="27">
        <f>IF($A56="",0,IF(Mitarbeiter!$G$54=FALSE,0,IF(AND(Mitarbeiter!$E$54&lt;&gt;"",BN$5+6&lt;Mitarbeiter!$E$54),0,IF(AND(Mitarbeiter!$F$54&lt;&gt;"",BN$5&gt;Mitarbeiter!$F$54),0,IF(Planung!BN56="",$C56,IF(ISNUMBER(Planung!BN56),Planung!BN56,IF(UPPER(Planung!BN56)="H",$C56/2,0)))))))</f>
        <v>0</v>
      </c>
      <c r="BO56" s="27">
        <f>IF($A56="",0,IF(Mitarbeiter!$G$54=FALSE,0,IF(AND(Mitarbeiter!$E$54&lt;&gt;"",BO$5+6&lt;Mitarbeiter!$E$54),0,IF(AND(Mitarbeiter!$F$54&lt;&gt;"",BO$5&gt;Mitarbeiter!$F$54),0,IF(Planung!BO56="",$C56,IF(ISNUMBER(Planung!BO56),Planung!BO56,IF(UPPER(Planung!BO56)="H",$C56/2,0)))))))</f>
        <v>0</v>
      </c>
      <c r="BP56" s="27">
        <f>IF($A56="",0,IF(Mitarbeiter!$G$54=FALSE,0,IF(AND(Mitarbeiter!$E$54&lt;&gt;"",BP$5+6&lt;Mitarbeiter!$E$54),0,IF(AND(Mitarbeiter!$F$54&lt;&gt;"",BP$5&gt;Mitarbeiter!$F$54),0,IF(Planung!BP56="",$C56,IF(ISNUMBER(Planung!BP56),Planung!BP56,IF(UPPER(Planung!BP56)="H",$C56/2,0)))))))</f>
        <v>0</v>
      </c>
      <c r="BQ56" s="27">
        <f>IF($A56="",0,IF(Mitarbeiter!$G$54=FALSE,0,IF(AND(Mitarbeiter!$E$54&lt;&gt;"",BQ$5+6&lt;Mitarbeiter!$E$54),0,IF(AND(Mitarbeiter!$F$54&lt;&gt;"",BQ$5&gt;Mitarbeiter!$F$54),0,IF(Planung!BQ56="",$C56,IF(ISNUMBER(Planung!BQ56),Planung!BQ56,IF(UPPER(Planung!BQ56)="H",$C56/2,0)))))))</f>
        <v>0</v>
      </c>
      <c r="BR56" s="27">
        <f>IF($A56="",0,IF(Mitarbeiter!$G$54=FALSE,0,IF(AND(Mitarbeiter!$E$54&lt;&gt;"",BR$5+6&lt;Mitarbeiter!$E$54),0,IF(AND(Mitarbeiter!$F$54&lt;&gt;"",BR$5&gt;Mitarbeiter!$F$54),0,IF(Planung!BR56="",$C56,IF(ISNUMBER(Planung!BR56),Planung!BR56,IF(UPPER(Planung!BR56)="H",$C56/2,0)))))))</f>
        <v>0</v>
      </c>
      <c r="BS56" s="27">
        <f>IF($A56="",0,IF(Mitarbeiter!$G$54=FALSE,0,IF(AND(Mitarbeiter!$E$54&lt;&gt;"",BS$5+6&lt;Mitarbeiter!$E$54),0,IF(AND(Mitarbeiter!$F$54&lt;&gt;"",BS$5&gt;Mitarbeiter!$F$54),0,IF(Planung!BS56="",$C56,IF(ISNUMBER(Planung!BS56),Planung!BS56,IF(UPPER(Planung!BS56)="H",$C56/2,0)))))))</f>
        <v>0</v>
      </c>
      <c r="BT56" s="27">
        <f>IF($A56="",0,IF(Mitarbeiter!$G$54=FALSE,0,IF(AND(Mitarbeiter!$E$54&lt;&gt;"",BT$5+6&lt;Mitarbeiter!$E$54),0,IF(AND(Mitarbeiter!$F$54&lt;&gt;"",BT$5&gt;Mitarbeiter!$F$54),0,IF(Planung!BT56="",$C56,IF(ISNUMBER(Planung!BT56),Planung!BT56,IF(UPPER(Planung!BT56)="H",$C56/2,0)))))))</f>
        <v>0</v>
      </c>
      <c r="BU56" s="27">
        <f>IF($A56="",0,IF(Mitarbeiter!$G$54=FALSE,0,IF(AND(Mitarbeiter!$E$54&lt;&gt;"",BU$5+6&lt;Mitarbeiter!$E$54),0,IF(AND(Mitarbeiter!$F$54&lt;&gt;"",BU$5&gt;Mitarbeiter!$F$54),0,IF(Planung!BU56="",$C56,IF(ISNUMBER(Planung!BU56),Planung!BU56,IF(UPPER(Planung!BU56)="H",$C56/2,0)))))))</f>
        <v>0</v>
      </c>
      <c r="BV56" s="27">
        <f>IF($A56="",0,IF(Mitarbeiter!$G$54=FALSE,0,IF(AND(Mitarbeiter!$E$54&lt;&gt;"",BV$5+6&lt;Mitarbeiter!$E$54),0,IF(AND(Mitarbeiter!$F$54&lt;&gt;"",BV$5&gt;Mitarbeiter!$F$54),0,IF(Planung!BV56="",$C56,IF(ISNUMBER(Planung!BV56),Planung!BV56,IF(UPPER(Planung!BV56)="H",$C56/2,0)))))))</f>
        <v>0</v>
      </c>
      <c r="BW56" s="27">
        <f>IF($A56="",0,IF(Mitarbeiter!$G$54=FALSE,0,IF(AND(Mitarbeiter!$E$54&lt;&gt;"",BW$5+6&lt;Mitarbeiter!$E$54),0,IF(AND(Mitarbeiter!$F$54&lt;&gt;"",BW$5&gt;Mitarbeiter!$F$54),0,IF(Planung!BW56="",$C56,IF(ISNUMBER(Planung!BW56),Planung!BW56,IF(UPPER(Planung!BW56)="H",$C56/2,0)))))))</f>
        <v>0</v>
      </c>
      <c r="BX56" s="27">
        <f>IF($A56="",0,IF(Mitarbeiter!$G$54=FALSE,0,IF(AND(Mitarbeiter!$E$54&lt;&gt;"",BX$5+6&lt;Mitarbeiter!$E$54),0,IF(AND(Mitarbeiter!$F$54&lt;&gt;"",BX$5&gt;Mitarbeiter!$F$54),0,IF(Planung!BX56="",$C56,IF(ISNUMBER(Planung!BX56),Planung!BX56,IF(UPPER(Planung!BX56)="H",$C56/2,0)))))))</f>
        <v>0</v>
      </c>
      <c r="BY56" s="27">
        <f>IF($A56="",0,IF(Mitarbeiter!$G$54=FALSE,0,IF(AND(Mitarbeiter!$E$54&lt;&gt;"",BY$5+6&lt;Mitarbeiter!$E$54),0,IF(AND(Mitarbeiter!$F$54&lt;&gt;"",BY$5&gt;Mitarbeiter!$F$54),0,IF(Planung!BY56="",$C56,IF(ISNUMBER(Planung!BY56),Planung!BY56,IF(UPPER(Planung!BY56)="H",$C56/2,0)))))))</f>
        <v>0</v>
      </c>
      <c r="BZ56" s="27">
        <f>IF($A56="",0,IF(Mitarbeiter!$G$54=FALSE,0,IF(AND(Mitarbeiter!$E$54&lt;&gt;"",BZ$5+6&lt;Mitarbeiter!$E$54),0,IF(AND(Mitarbeiter!$F$54&lt;&gt;"",BZ$5&gt;Mitarbeiter!$F$54),0,IF(Planung!BZ56="",$C56,IF(ISNUMBER(Planung!BZ56),Planung!BZ56,IF(UPPER(Planung!BZ56)="H",$C56/2,0)))))))</f>
        <v>0</v>
      </c>
      <c r="CA56" s="27">
        <f>IF($A56="",0,IF(Mitarbeiter!$G$54=FALSE,0,IF(AND(Mitarbeiter!$E$54&lt;&gt;"",CA$5+6&lt;Mitarbeiter!$E$54),0,IF(AND(Mitarbeiter!$F$54&lt;&gt;"",CA$5&gt;Mitarbeiter!$F$54),0,IF(Planung!CA56="",$C56,IF(ISNUMBER(Planung!CA56),Planung!CA56,IF(UPPER(Planung!CA56)="H",$C56/2,0)))))))</f>
        <v>0</v>
      </c>
      <c r="CB56" s="27">
        <f>IF($A56="",0,IF(Mitarbeiter!$G$54=FALSE,0,IF(AND(Mitarbeiter!$E$54&lt;&gt;"",CB$5+6&lt;Mitarbeiter!$E$54),0,IF(AND(Mitarbeiter!$F$54&lt;&gt;"",CB$5&gt;Mitarbeiter!$F$54),0,IF(Planung!CB56="",$C56,IF(ISNUMBER(Planung!CB56),Planung!CB56,IF(UPPER(Planung!CB56)="H",$C56/2,0)))))))</f>
        <v>0</v>
      </c>
      <c r="CC56" s="27">
        <f>IF($A56="",0,IF(Mitarbeiter!$G$54=FALSE,0,IF(AND(Mitarbeiter!$E$54&lt;&gt;"",CC$5+6&lt;Mitarbeiter!$E$54),0,IF(AND(Mitarbeiter!$F$54&lt;&gt;"",CC$5&gt;Mitarbeiter!$F$54),0,IF(Planung!CC56="",$C56,IF(ISNUMBER(Planung!CC56),Planung!CC56,IF(UPPER(Planung!CC56)="H",$C56/2,0)))))))</f>
        <v>0</v>
      </c>
      <c r="CD56" s="27">
        <f>IF($A56="",0,IF(Mitarbeiter!$G$54=FALSE,0,IF(AND(Mitarbeiter!$E$54&lt;&gt;"",CD$5+6&lt;Mitarbeiter!$E$54),0,IF(AND(Mitarbeiter!$F$54&lt;&gt;"",CD$5&gt;Mitarbeiter!$F$54),0,IF(Planung!CD56="",$C56,IF(ISNUMBER(Planung!CD56),Planung!CD56,IF(UPPER(Planung!CD56)="H",$C56/2,0)))))))</f>
        <v>0</v>
      </c>
      <c r="CE56" s="27">
        <f>IF($A56="",0,IF(Mitarbeiter!$G$54=FALSE,0,IF(AND(Mitarbeiter!$E$54&lt;&gt;"",CE$5+6&lt;Mitarbeiter!$E$54),0,IF(AND(Mitarbeiter!$F$54&lt;&gt;"",CE$5&gt;Mitarbeiter!$F$54),0,IF(Planung!CE56="",$C56,IF(ISNUMBER(Planung!CE56),Planung!CE56,IF(UPPER(Planung!CE56)="H",$C56/2,0)))))))</f>
        <v>0</v>
      </c>
      <c r="CF56" s="27">
        <f>IF($A56="",0,IF(Mitarbeiter!$G$54=FALSE,0,IF(AND(Mitarbeiter!$E$54&lt;&gt;"",CF$5+6&lt;Mitarbeiter!$E$54),0,IF(AND(Mitarbeiter!$F$54&lt;&gt;"",CF$5&gt;Mitarbeiter!$F$54),0,IF(Planung!CF56="",$C56,IF(ISNUMBER(Planung!CF56),Planung!CF56,IF(UPPER(Planung!CF56)="H",$C56/2,0)))))))</f>
        <v>0</v>
      </c>
      <c r="CG56" s="27">
        <f>IF($A56="",0,IF(Mitarbeiter!$G$54=FALSE,0,IF(AND(Mitarbeiter!$E$54&lt;&gt;"",CG$5+6&lt;Mitarbeiter!$E$54),0,IF(AND(Mitarbeiter!$F$54&lt;&gt;"",CG$5&gt;Mitarbeiter!$F$54),0,IF(Planung!CG56="",$C56,IF(ISNUMBER(Planung!CG56),Planung!CG56,IF(UPPER(Planung!CG56)="H",$C56/2,0)))))))</f>
        <v>0</v>
      </c>
      <c r="CH56" s="27">
        <f>IF($A56="",0,IF(Mitarbeiter!$G$54=FALSE,0,IF(AND(Mitarbeiter!$E$54&lt;&gt;"",CH$5+6&lt;Mitarbeiter!$E$54),0,IF(AND(Mitarbeiter!$F$54&lt;&gt;"",CH$5&gt;Mitarbeiter!$F$54),0,IF(Planung!CH56="",$C56,IF(ISNUMBER(Planung!CH56),Planung!CH56,IF(UPPER(Planung!CH56)="H",$C56/2,0)))))))</f>
        <v>0</v>
      </c>
      <c r="CI56" s="27">
        <f>IF($A56="",0,IF(Mitarbeiter!$G$54=FALSE,0,IF(AND(Mitarbeiter!$E$54&lt;&gt;"",CI$5+6&lt;Mitarbeiter!$E$54),0,IF(AND(Mitarbeiter!$F$54&lt;&gt;"",CI$5&gt;Mitarbeiter!$F$54),0,IF(Planung!CI56="",$C56,IF(ISNUMBER(Planung!CI56),Planung!CI56,IF(UPPER(Planung!CI56)="H",$C56/2,0)))))))</f>
        <v>0</v>
      </c>
      <c r="CJ56" s="27">
        <f>IF($A56="",0,IF(Mitarbeiter!$G$54=FALSE,0,IF(AND(Mitarbeiter!$E$54&lt;&gt;"",CJ$5+6&lt;Mitarbeiter!$E$54),0,IF(AND(Mitarbeiter!$F$54&lt;&gt;"",CJ$5&gt;Mitarbeiter!$F$54),0,IF(Planung!CJ56="",$C56,IF(ISNUMBER(Planung!CJ56),Planung!CJ56,IF(UPPER(Planung!CJ56)="H",$C56/2,0)))))))</f>
        <v>0</v>
      </c>
      <c r="CK56" s="27">
        <f>IF($A56="",0,IF(Mitarbeiter!$G$54=FALSE,0,IF(AND(Mitarbeiter!$E$54&lt;&gt;"",CK$5+6&lt;Mitarbeiter!$E$54),0,IF(AND(Mitarbeiter!$F$54&lt;&gt;"",CK$5&gt;Mitarbeiter!$F$54),0,IF(Planung!CK56="",$C56,IF(ISNUMBER(Planung!CK56),Planung!CK56,IF(UPPER(Planung!CK56)="H",$C56/2,0)))))))</f>
        <v>0</v>
      </c>
      <c r="CL56" s="27">
        <f>IF($A56="",0,IF(Mitarbeiter!$G$54=FALSE,0,IF(AND(Mitarbeiter!$E$54&lt;&gt;"",CL$5+6&lt;Mitarbeiter!$E$54),0,IF(AND(Mitarbeiter!$F$54&lt;&gt;"",CL$5&gt;Mitarbeiter!$F$54),0,IF(Planung!CL56="",$C56,IF(ISNUMBER(Planung!CL56),Planung!CL56,IF(UPPER(Planung!CL56)="H",$C56/2,0)))))))</f>
        <v>0</v>
      </c>
      <c r="CM56" s="27">
        <f>IF($A56="",0,IF(Mitarbeiter!$G$54=FALSE,0,IF(AND(Mitarbeiter!$E$54&lt;&gt;"",CM$5+6&lt;Mitarbeiter!$E$54),0,IF(AND(Mitarbeiter!$F$54&lt;&gt;"",CM$5&gt;Mitarbeiter!$F$54),0,IF(Planung!CM56="",$C56,IF(ISNUMBER(Planung!CM56),Planung!CM56,IF(UPPER(Planung!CM56)="H",$C56/2,0)))))))</f>
        <v>0</v>
      </c>
      <c r="CN56" s="27">
        <f>IF($A56="",0,IF(Mitarbeiter!$G$54=FALSE,0,IF(AND(Mitarbeiter!$E$54&lt;&gt;"",CN$5+6&lt;Mitarbeiter!$E$54),0,IF(AND(Mitarbeiter!$F$54&lt;&gt;"",CN$5&gt;Mitarbeiter!$F$54),0,IF(Planung!CN56="",$C56,IF(ISNUMBER(Planung!CN56),Planung!CN56,IF(UPPER(Planung!CN56)="H",$C56/2,0)))))))</f>
        <v>0</v>
      </c>
      <c r="CO56" s="27">
        <f>IF($A56="",0,IF(Mitarbeiter!$G$54=FALSE,0,IF(AND(Mitarbeiter!$E$54&lt;&gt;"",CO$5+6&lt;Mitarbeiter!$E$54),0,IF(AND(Mitarbeiter!$F$54&lt;&gt;"",CO$5&gt;Mitarbeiter!$F$54),0,IF(Planung!CO56="",$C56,IF(ISNUMBER(Planung!CO56),Planung!CO56,IF(UPPER(Planung!CO56)="H",$C56/2,0)))))))</f>
        <v>0</v>
      </c>
      <c r="CP56" s="27">
        <f>IF($A56="",0,IF(Mitarbeiter!$G$54=FALSE,0,IF(AND(Mitarbeiter!$E$54&lt;&gt;"",CP$5+6&lt;Mitarbeiter!$E$54),0,IF(AND(Mitarbeiter!$F$54&lt;&gt;"",CP$5&gt;Mitarbeiter!$F$54),0,IF(Planung!CP56="",$C56,IF(ISNUMBER(Planung!CP56),Planung!CP56,IF(UPPER(Planung!CP56)="H",$C56/2,0)))))))</f>
        <v>0</v>
      </c>
      <c r="CQ56" s="27">
        <f>IF($A56="",0,IF(Mitarbeiter!$G$54=FALSE,0,IF(AND(Mitarbeiter!$E$54&lt;&gt;"",CQ$5+6&lt;Mitarbeiter!$E$54),0,IF(AND(Mitarbeiter!$F$54&lt;&gt;"",CQ$5&gt;Mitarbeiter!$F$54),0,IF(Planung!CQ56="",$C56,IF(ISNUMBER(Planung!CQ56),Planung!CQ56,IF(UPPER(Planung!CQ56)="H",$C56/2,0)))))))</f>
        <v>0</v>
      </c>
      <c r="CR56" s="27">
        <f>IF($A56="",0,IF(Mitarbeiter!$G$54=FALSE,0,IF(AND(Mitarbeiter!$E$54&lt;&gt;"",CR$5+6&lt;Mitarbeiter!$E$54),0,IF(AND(Mitarbeiter!$F$54&lt;&gt;"",CR$5&gt;Mitarbeiter!$F$54),0,IF(Planung!CR56="",$C56,IF(ISNUMBER(Planung!CR56),Planung!CR56,IF(UPPER(Planung!CR56)="H",$C56/2,0)))))))</f>
        <v>0</v>
      </c>
      <c r="CS56" s="27">
        <f>IF($A56="",0,IF(Mitarbeiter!$G$54=FALSE,0,IF(AND(Mitarbeiter!$E$54&lt;&gt;"",CS$5+6&lt;Mitarbeiter!$E$54),0,IF(AND(Mitarbeiter!$F$54&lt;&gt;"",CS$5&gt;Mitarbeiter!$F$54),0,IF(Planung!CS56="",$C56,IF(ISNUMBER(Planung!CS56),Planung!CS56,IF(UPPER(Planung!CS56)="H",$C56/2,0)))))))</f>
        <v>0</v>
      </c>
      <c r="CT56" s="27">
        <f>IF($A56="",0,IF(Mitarbeiter!$G$54=FALSE,0,IF(AND(Mitarbeiter!$E$54&lt;&gt;"",CT$5+6&lt;Mitarbeiter!$E$54),0,IF(AND(Mitarbeiter!$F$54&lt;&gt;"",CT$5&gt;Mitarbeiter!$F$54),0,IF(Planung!CT56="",$C56,IF(ISNUMBER(Planung!CT56),Planung!CT56,IF(UPPER(Planung!CT56)="H",$C56/2,0)))))))</f>
        <v>0</v>
      </c>
      <c r="CU56" s="27">
        <f>IF($A56="",0,IF(Mitarbeiter!$G$54=FALSE,0,IF(AND(Mitarbeiter!$E$54&lt;&gt;"",CU$5+6&lt;Mitarbeiter!$E$54),0,IF(AND(Mitarbeiter!$F$54&lt;&gt;"",CU$5&gt;Mitarbeiter!$F$54),0,IF(Planung!CU56="",$C56,IF(ISNUMBER(Planung!CU56),Planung!CU56,IF(UPPER(Planung!CU56)="H",$C56/2,0)))))))</f>
        <v>0</v>
      </c>
      <c r="CV56" s="27">
        <f>IF($A56="",0,IF(Mitarbeiter!$G$54=FALSE,0,IF(AND(Mitarbeiter!$E$54&lt;&gt;"",CV$5+6&lt;Mitarbeiter!$E$54),0,IF(AND(Mitarbeiter!$F$54&lt;&gt;"",CV$5&gt;Mitarbeiter!$F$54),0,IF(Planung!CV56="",$C56,IF(ISNUMBER(Planung!CV56),Planung!CV56,IF(UPPER(Planung!CV56)="H",$C56/2,0)))))))</f>
        <v>0</v>
      </c>
      <c r="CW56" s="27">
        <f>IF($A56="",0,IF(Mitarbeiter!$G$54=FALSE,0,IF(AND(Mitarbeiter!$E$54&lt;&gt;"",CW$5+6&lt;Mitarbeiter!$E$54),0,IF(AND(Mitarbeiter!$F$54&lt;&gt;"",CW$5&gt;Mitarbeiter!$F$54),0,IF(Planung!CW56="",$C56,IF(ISNUMBER(Planung!CW56),Planung!CW56,IF(UPPER(Planung!CW56)="H",$C56/2,0)))))))</f>
        <v>0</v>
      </c>
      <c r="CX56" s="27">
        <f>IF($A56="",0,IF(Mitarbeiter!$G$54=FALSE,0,IF(AND(Mitarbeiter!$E$54&lt;&gt;"",CX$5+6&lt;Mitarbeiter!$E$54),0,IF(AND(Mitarbeiter!$F$54&lt;&gt;"",CX$5&gt;Mitarbeiter!$F$54),0,IF(Planung!CX56="",$C56,IF(ISNUMBER(Planung!CX56),Planung!CX56,IF(UPPER(Planung!CX56)="H",$C56/2,0)))))))</f>
        <v>0</v>
      </c>
      <c r="CY56" s="27">
        <f>IF($A56="",0,IF(Mitarbeiter!$G$54=FALSE,0,IF(AND(Mitarbeiter!$E$54&lt;&gt;"",CY$5+6&lt;Mitarbeiter!$E$54),0,IF(AND(Mitarbeiter!$F$54&lt;&gt;"",CY$5&gt;Mitarbeiter!$F$54),0,IF(Planung!CY56="",$C56,IF(ISNUMBER(Planung!CY56),Planung!CY56,IF(UPPER(Planung!CY56)="H",$C56/2,0)))))))</f>
        <v>0</v>
      </c>
      <c r="CZ56" s="27">
        <f>IF($A56="",0,IF(Mitarbeiter!$G$54=FALSE,0,IF(AND(Mitarbeiter!$E$54&lt;&gt;"",CZ$5+6&lt;Mitarbeiter!$E$54),0,IF(AND(Mitarbeiter!$F$54&lt;&gt;"",CZ$5&gt;Mitarbeiter!$F$54),0,IF(Planung!CZ56="",$C56,IF(ISNUMBER(Planung!CZ56),Planung!CZ56,IF(UPPER(Planung!CZ56)="H",$C56/2,0)))))))</f>
        <v>0</v>
      </c>
      <c r="DA56" s="27">
        <f>IF($A56="",0,IF(Mitarbeiter!$G$54=FALSE,0,IF(AND(Mitarbeiter!$E$54&lt;&gt;"",DA$5+6&lt;Mitarbeiter!$E$54),0,IF(AND(Mitarbeiter!$F$54&lt;&gt;"",DA$5&gt;Mitarbeiter!$F$54),0,IF(Planung!DA56="",$C56,IF(ISNUMBER(Planung!DA56),Planung!DA56,IF(UPPER(Planung!DA56)="H",$C56/2,0)))))))</f>
        <v>0</v>
      </c>
      <c r="DB56" s="27">
        <f>IF($A56="",0,IF(Mitarbeiter!$G$54=FALSE,0,IF(AND(Mitarbeiter!$E$54&lt;&gt;"",DB$5+6&lt;Mitarbeiter!$E$54),0,IF(AND(Mitarbeiter!$F$54&lt;&gt;"",DB$5&gt;Mitarbeiter!$F$54),0,IF(Planung!DB56="",$C56,IF(ISNUMBER(Planung!DB56),Planung!DB56,IF(UPPER(Planung!DB56)="H",$C56/2,0)))))))</f>
        <v>0</v>
      </c>
      <c r="DC56" s="27">
        <f>IF($A56="",0,IF(Mitarbeiter!$G$54=FALSE,0,IF(AND(Mitarbeiter!$E$54&lt;&gt;"",DC$5+6&lt;Mitarbeiter!$E$54),0,IF(AND(Mitarbeiter!$F$54&lt;&gt;"",DC$5&gt;Mitarbeiter!$F$54),0,IF(Planung!DC56="",$C56,IF(ISNUMBER(Planung!DC56),Planung!DC56,IF(UPPER(Planung!DC56)="H",$C56/2,0)))))))</f>
        <v>0</v>
      </c>
      <c r="DD56" s="27">
        <f>IF($A56="",0,IF(Mitarbeiter!$G$54=FALSE,0,IF(AND(Mitarbeiter!$E$54&lt;&gt;"",DD$5+6&lt;Mitarbeiter!$E$54),0,IF(AND(Mitarbeiter!$F$54&lt;&gt;"",DD$5&gt;Mitarbeiter!$F$54),0,IF(Planung!DD56="",$C56,IF(ISNUMBER(Planung!DD56),Planung!DD56,IF(UPPER(Planung!DD56)="H",$C56/2,0)))))))</f>
        <v>0</v>
      </c>
      <c r="DE56" s="27">
        <f>IF($A56="",0,IF(Mitarbeiter!$G$54=FALSE,0,IF(AND(Mitarbeiter!$E$54&lt;&gt;"",DE$5+6&lt;Mitarbeiter!$E$54),0,IF(AND(Mitarbeiter!$F$54&lt;&gt;"",DE$5&gt;Mitarbeiter!$F$54),0,IF(Planung!DE56="",$C56,IF(ISNUMBER(Planung!DE56),Planung!DE56,IF(UPPER(Planung!DE56)="H",$C56/2,0)))))))</f>
        <v>0</v>
      </c>
      <c r="DF56" s="27">
        <f>IF($A56="",0,IF(Mitarbeiter!$G$54=FALSE,0,IF(AND(Mitarbeiter!$E$54&lt;&gt;"",DF$5+6&lt;Mitarbeiter!$E$54),0,IF(AND(Mitarbeiter!$F$54&lt;&gt;"",DF$5&gt;Mitarbeiter!$F$54),0,IF(Planung!DF56="",$C56,IF(ISNUMBER(Planung!DF56),Planung!DF56,IF(UPPER(Planung!DF56)="H",$C56/2,0)))))))</f>
        <v>0</v>
      </c>
      <c r="DG56" s="27">
        <f>IF($A56="",0,IF(Mitarbeiter!$G$54=FALSE,0,IF(AND(Mitarbeiter!$E$54&lt;&gt;"",DG$5+6&lt;Mitarbeiter!$E$54),0,IF(AND(Mitarbeiter!$F$54&lt;&gt;"",DG$5&gt;Mitarbeiter!$F$54),0,IF(Planung!DG56="",$C56,IF(ISNUMBER(Planung!DG56),Planung!DG56,IF(UPPER(Planung!DG56)="H",$C56/2,0)))))))</f>
        <v>0</v>
      </c>
      <c r="DH56" s="27">
        <f>IF($A56="",0,IF(Mitarbeiter!$G$54=FALSE,0,IF(AND(Mitarbeiter!$E$54&lt;&gt;"",DH$5+6&lt;Mitarbeiter!$E$54),0,IF(AND(Mitarbeiter!$F$54&lt;&gt;"",DH$5&gt;Mitarbeiter!$F$54),0,IF(Planung!DH56="",$C56,IF(ISNUMBER(Planung!DH56),Planung!DH56,IF(UPPER(Planung!DH56)="H",$C56/2,0)))))))</f>
        <v>0</v>
      </c>
      <c r="DI56" s="27">
        <f>IF($A56="",0,IF(Mitarbeiter!$G$54=FALSE,0,IF(AND(Mitarbeiter!$E$54&lt;&gt;"",DI$5+6&lt;Mitarbeiter!$E$54),0,IF(AND(Mitarbeiter!$F$54&lt;&gt;"",DI$5&gt;Mitarbeiter!$F$54),0,IF(Planung!DI56="",$C56,IF(ISNUMBER(Planung!DI56),Planung!DI56,IF(UPPER(Planung!DI56)="H",$C56/2,0)))))))</f>
        <v>0</v>
      </c>
      <c r="DJ56" s="27">
        <f>IF($A56="",0,IF(Mitarbeiter!$G$54=FALSE,0,IF(AND(Mitarbeiter!$E$54&lt;&gt;"",DJ$5+6&lt;Mitarbeiter!$E$54),0,IF(AND(Mitarbeiter!$F$54&lt;&gt;"",DJ$5&gt;Mitarbeiter!$F$54),0,IF(Planung!DJ56="",$C56,IF(ISNUMBER(Planung!DJ56),Planung!DJ56,IF(UPPER(Planung!DJ56)="H",$C56/2,0)))))))</f>
        <v>0</v>
      </c>
      <c r="DK56" s="27">
        <f>IF($A56="",0,IF(Mitarbeiter!$G$54=FALSE,0,IF(AND(Mitarbeiter!$E$54&lt;&gt;"",DK$5+6&lt;Mitarbeiter!$E$54),0,IF(AND(Mitarbeiter!$F$54&lt;&gt;"",DK$5&gt;Mitarbeiter!$F$54),0,IF(Planung!DK56="",$C56,IF(ISNUMBER(Planung!DK56),Planung!DK56,IF(UPPER(Planung!DK56)="H",$C56/2,0)))))))</f>
        <v>0</v>
      </c>
      <c r="DL56" s="27">
        <f>IF($A56="",0,IF(Mitarbeiter!$G$54=FALSE,0,IF(AND(Mitarbeiter!$E$54&lt;&gt;"",DL$5+6&lt;Mitarbeiter!$E$54),0,IF(AND(Mitarbeiter!$F$54&lt;&gt;"",DL$5&gt;Mitarbeiter!$F$54),0,IF(Planung!DL56="",$C56,IF(ISNUMBER(Planung!DL56),Planung!DL56,IF(UPPER(Planung!DL56)="H",$C56/2,0)))))))</f>
        <v>0</v>
      </c>
      <c r="DM56" s="27">
        <f>IF($A56="",0,IF(Mitarbeiter!$G$54=FALSE,0,IF(AND(Mitarbeiter!$E$54&lt;&gt;"",DM$5+6&lt;Mitarbeiter!$E$54),0,IF(AND(Mitarbeiter!$F$54&lt;&gt;"",DM$5&gt;Mitarbeiter!$F$54),0,IF(Planung!DM56="",$C56,IF(ISNUMBER(Planung!DM56),Planung!DM56,IF(UPPER(Planung!DM56)="H",$C56/2,0)))))))</f>
        <v>0</v>
      </c>
      <c r="DN56" s="27">
        <f>IF($A56="",0,IF(Mitarbeiter!$G$54=FALSE,0,IF(AND(Mitarbeiter!$E$54&lt;&gt;"",DN$5+6&lt;Mitarbeiter!$E$54),0,IF(AND(Mitarbeiter!$F$54&lt;&gt;"",DN$5&gt;Mitarbeiter!$F$54),0,IF(Planung!DN56="",$C56,IF(ISNUMBER(Planung!DN56),Planung!DN56,IF(UPPER(Planung!DN56)="H",$C56/2,0)))))))</f>
        <v>0</v>
      </c>
      <c r="DO56" s="27">
        <f>IF($A56="",0,IF(Mitarbeiter!$G$54=FALSE,0,IF(AND(Mitarbeiter!$E$54&lt;&gt;"",DO$5+6&lt;Mitarbeiter!$E$54),0,IF(AND(Mitarbeiter!$F$54&lt;&gt;"",DO$5&gt;Mitarbeiter!$F$54),0,IF(Planung!DO56="",$C56,IF(ISNUMBER(Planung!DO56),Planung!DO56,IF(UPPER(Planung!DO56)="H",$C56/2,0)))))))</f>
        <v>0</v>
      </c>
      <c r="DP56" s="27">
        <f>IF($A56="",0,IF(Mitarbeiter!$G$54=FALSE,0,IF(AND(Mitarbeiter!$E$54&lt;&gt;"",DP$5+6&lt;Mitarbeiter!$E$54),0,IF(AND(Mitarbeiter!$F$54&lt;&gt;"",DP$5&gt;Mitarbeiter!$F$54),0,IF(Planung!DP56="",$C56,IF(ISNUMBER(Planung!DP56),Planung!DP56,IF(UPPER(Planung!DP56)="H",$C56/2,0)))))))</f>
        <v>0</v>
      </c>
      <c r="DQ56" s="27">
        <f>IF($A56="",0,IF(Mitarbeiter!$G$54=FALSE,0,IF(AND(Mitarbeiter!$E$54&lt;&gt;"",DQ$5+6&lt;Mitarbeiter!$E$54),0,IF(AND(Mitarbeiter!$F$54&lt;&gt;"",DQ$5&gt;Mitarbeiter!$F$54),0,IF(Planung!DQ56="",$C56,IF(ISNUMBER(Planung!DQ56),Planung!DQ56,IF(UPPER(Planung!DQ56)="H",$C56/2,0)))))))</f>
        <v>0</v>
      </c>
      <c r="DR56" s="27">
        <f>IF($A56="",0,IF(Mitarbeiter!$G$54=FALSE,0,IF(AND(Mitarbeiter!$E$54&lt;&gt;"",DR$5+6&lt;Mitarbeiter!$E$54),0,IF(AND(Mitarbeiter!$F$54&lt;&gt;"",DR$5&gt;Mitarbeiter!$F$54),0,IF(Planung!DR56="",$C56,IF(ISNUMBER(Planung!DR56),Planung!DR56,IF(UPPER(Planung!DR56)="H",$C56/2,0)))))))</f>
        <v>0</v>
      </c>
      <c r="DS56" s="27">
        <f>IF($A56="",0,IF(Mitarbeiter!$G$54=FALSE,0,IF(AND(Mitarbeiter!$E$54&lt;&gt;"",DS$5+6&lt;Mitarbeiter!$E$54),0,IF(AND(Mitarbeiter!$F$54&lt;&gt;"",DS$5&gt;Mitarbeiter!$F$54),0,IF(Planung!DS56="",$C56,IF(ISNUMBER(Planung!DS56),Planung!DS56,IF(UPPER(Planung!DS56)="H",$C56/2,0)))))))</f>
        <v>0</v>
      </c>
      <c r="DT56" s="27">
        <f>IF($A56="",0,IF(Mitarbeiter!$G$54=FALSE,0,IF(AND(Mitarbeiter!$E$54&lt;&gt;"",DT$5+6&lt;Mitarbeiter!$E$54),0,IF(AND(Mitarbeiter!$F$54&lt;&gt;"",DT$5&gt;Mitarbeiter!$F$54),0,IF(Planung!DT56="",$C56,IF(ISNUMBER(Planung!DT56),Planung!DT56,IF(UPPER(Planung!DT56)="H",$C56/2,0)))))))</f>
        <v>0</v>
      </c>
      <c r="DU56" s="27">
        <f>IF($A56="",0,IF(Mitarbeiter!$G$54=FALSE,0,IF(AND(Mitarbeiter!$E$54&lt;&gt;"",DU$5+6&lt;Mitarbeiter!$E$54),0,IF(AND(Mitarbeiter!$F$54&lt;&gt;"",DU$5&gt;Mitarbeiter!$F$54),0,IF(Planung!DU56="",$C56,IF(ISNUMBER(Planung!DU56),Planung!DU56,IF(UPPER(Planung!DU56)="H",$C56/2,0)))))))</f>
        <v>0</v>
      </c>
      <c r="DV56" s="27">
        <f>IF($A56="",0,IF(Mitarbeiter!$G$54=FALSE,0,IF(AND(Mitarbeiter!$E$54&lt;&gt;"",DV$5+6&lt;Mitarbeiter!$E$54),0,IF(AND(Mitarbeiter!$F$54&lt;&gt;"",DV$5&gt;Mitarbeiter!$F$54),0,IF(Planung!DV56="",$C56,IF(ISNUMBER(Planung!DV56),Planung!DV56,IF(UPPER(Planung!DV56)="H",$C56/2,0)))))))</f>
        <v>0</v>
      </c>
      <c r="DW56" s="27">
        <f>IF($A56="",0,IF(Mitarbeiter!$G$54=FALSE,0,IF(AND(Mitarbeiter!$E$54&lt;&gt;"",DW$5+6&lt;Mitarbeiter!$E$54),0,IF(AND(Mitarbeiter!$F$54&lt;&gt;"",DW$5&gt;Mitarbeiter!$F$54),0,IF(Planung!DW56="",$C56,IF(ISNUMBER(Planung!DW56),Planung!DW56,IF(UPPER(Planung!DW56)="H",$C56/2,0)))))))</f>
        <v>0</v>
      </c>
      <c r="DX56" s="27">
        <f>IF($A56="",0,IF(Mitarbeiter!$G$54=FALSE,0,IF(AND(Mitarbeiter!$E$54&lt;&gt;"",DX$5+6&lt;Mitarbeiter!$E$54),0,IF(AND(Mitarbeiter!$F$54&lt;&gt;"",DX$5&gt;Mitarbeiter!$F$54),0,IF(Planung!DX56="",$C56,IF(ISNUMBER(Planung!DX56),Planung!DX56,IF(UPPER(Planung!DX56)="H",$C56/2,0)))))))</f>
        <v>0</v>
      </c>
      <c r="DY56" s="27">
        <f>IF($A56="",0,IF(Mitarbeiter!$G$54=FALSE,0,IF(AND(Mitarbeiter!$E$54&lt;&gt;"",DY$5+6&lt;Mitarbeiter!$E$54),0,IF(AND(Mitarbeiter!$F$54&lt;&gt;"",DY$5&gt;Mitarbeiter!$F$54),0,IF(Planung!DY56="",$C56,IF(ISNUMBER(Planung!DY56),Planung!DY56,IF(UPPER(Planung!DY56)="H",$C56/2,0)))))))</f>
        <v>0</v>
      </c>
      <c r="DZ56" s="27">
        <f>IF($A56="",0,IF(Mitarbeiter!$G$54=FALSE,0,IF(AND(Mitarbeiter!$E$54&lt;&gt;"",DZ$5+6&lt;Mitarbeiter!$E$54),0,IF(AND(Mitarbeiter!$F$54&lt;&gt;"",DZ$5&gt;Mitarbeiter!$F$54),0,IF(Planung!DZ56="",$C56,IF(ISNUMBER(Planung!DZ56),Planung!DZ56,IF(UPPER(Planung!DZ56)="H",$C56/2,0)))))))</f>
        <v>0</v>
      </c>
      <c r="EA56" s="27">
        <f>IF($A56="",0,IF(Mitarbeiter!$G$54=FALSE,0,IF(AND(Mitarbeiter!$E$54&lt;&gt;"",EA$5+6&lt;Mitarbeiter!$E$54),0,IF(AND(Mitarbeiter!$F$54&lt;&gt;"",EA$5&gt;Mitarbeiter!$F$54),0,IF(Planung!EA56="",$C56,IF(ISNUMBER(Planung!EA56),Planung!EA56,IF(UPPER(Planung!EA56)="H",$C56/2,0)))))))</f>
        <v>0</v>
      </c>
      <c r="EB56" s="27">
        <f>IF($A56="",0,IF(Mitarbeiter!$G$54=FALSE,0,IF(AND(Mitarbeiter!$E$54&lt;&gt;"",EB$5+6&lt;Mitarbeiter!$E$54),0,IF(AND(Mitarbeiter!$F$54&lt;&gt;"",EB$5&gt;Mitarbeiter!$F$54),0,IF(Planung!EB56="",$C56,IF(ISNUMBER(Planung!EB56),Planung!EB56,IF(UPPER(Planung!EB56)="H",$C56/2,0)))))))</f>
        <v>0</v>
      </c>
      <c r="EC56" s="27">
        <f>IF($A56="",0,IF(Mitarbeiter!$G$54=FALSE,0,IF(AND(Mitarbeiter!$E$54&lt;&gt;"",EC$5+6&lt;Mitarbeiter!$E$54),0,IF(AND(Mitarbeiter!$F$54&lt;&gt;"",EC$5&gt;Mitarbeiter!$F$54),0,IF(Planung!EC56="",$C56,IF(ISNUMBER(Planung!EC56),Planung!EC56,IF(UPPER(Planung!EC56)="H",$C56/2,0)))))))</f>
        <v>0</v>
      </c>
      <c r="ED56" s="27">
        <f>IF($A56="",0,IF(Mitarbeiter!$G$54=FALSE,0,IF(AND(Mitarbeiter!$E$54&lt;&gt;"",ED$5+6&lt;Mitarbeiter!$E$54),0,IF(AND(Mitarbeiter!$F$54&lt;&gt;"",ED$5&gt;Mitarbeiter!$F$54),0,IF(Planung!ED56="",$C56,IF(ISNUMBER(Planung!ED56),Planung!ED56,IF(UPPER(Planung!ED56)="H",$C56/2,0)))))))</f>
        <v>0</v>
      </c>
      <c r="EE56" s="27">
        <f>IF($A56="",0,IF(Mitarbeiter!$G$54=FALSE,0,IF(AND(Mitarbeiter!$E$54&lt;&gt;"",EE$5+6&lt;Mitarbeiter!$E$54),0,IF(AND(Mitarbeiter!$F$54&lt;&gt;"",EE$5&gt;Mitarbeiter!$F$54),0,IF(Planung!EE56="",$C56,IF(ISNUMBER(Planung!EE56),Planung!EE56,IF(UPPER(Planung!EE56)="H",$C56/2,0)))))))</f>
        <v>0</v>
      </c>
      <c r="EF56" s="27">
        <f>IF($A56="",0,IF(Mitarbeiter!$G$54=FALSE,0,IF(AND(Mitarbeiter!$E$54&lt;&gt;"",EF$5+6&lt;Mitarbeiter!$E$54),0,IF(AND(Mitarbeiter!$F$54&lt;&gt;"",EF$5&gt;Mitarbeiter!$F$54),0,IF(Planung!EF56="",$C56,IF(ISNUMBER(Planung!EF56),Planung!EF56,IF(UPPER(Planung!EF56)="H",$C56/2,0)))))))</f>
        <v>0</v>
      </c>
      <c r="EG56" s="27">
        <f>IF($A56="",0,IF(Mitarbeiter!$G$54=FALSE,0,IF(AND(Mitarbeiter!$E$54&lt;&gt;"",EG$5+6&lt;Mitarbeiter!$E$54),0,IF(AND(Mitarbeiter!$F$54&lt;&gt;"",EG$5&gt;Mitarbeiter!$F$54),0,IF(Planung!EG56="",$C56,IF(ISNUMBER(Planung!EG56),Planung!EG56,IF(UPPER(Planung!EG56)="H",$C56/2,0)))))))</f>
        <v>0</v>
      </c>
      <c r="EH56" s="27">
        <f>IF($A56="",0,IF(Mitarbeiter!$G$54=FALSE,0,IF(AND(Mitarbeiter!$E$54&lt;&gt;"",EH$5+6&lt;Mitarbeiter!$E$54),0,IF(AND(Mitarbeiter!$F$54&lt;&gt;"",EH$5&gt;Mitarbeiter!$F$54),0,IF(Planung!EH56="",$C56,IF(ISNUMBER(Planung!EH56),Planung!EH56,IF(UPPER(Planung!EH56)="H",$C56/2,0)))))))</f>
        <v>0</v>
      </c>
      <c r="EI56" s="27">
        <f>IF($A56="",0,IF(Mitarbeiter!$G$54=FALSE,0,IF(AND(Mitarbeiter!$E$54&lt;&gt;"",EI$5+6&lt;Mitarbeiter!$E$54),0,IF(AND(Mitarbeiter!$F$54&lt;&gt;"",EI$5&gt;Mitarbeiter!$F$54),0,IF(Planung!EI56="",$C56,IF(ISNUMBER(Planung!EI56),Planung!EI56,IF(UPPER(Planung!EI56)="H",$C56/2,0)))))))</f>
        <v>0</v>
      </c>
      <c r="EJ56" s="27">
        <f>IF($A56="",0,IF(Mitarbeiter!$G$54=FALSE,0,IF(AND(Mitarbeiter!$E$54&lt;&gt;"",EJ$5+6&lt;Mitarbeiter!$E$54),0,IF(AND(Mitarbeiter!$F$54&lt;&gt;"",EJ$5&gt;Mitarbeiter!$F$54),0,IF(Planung!EJ56="",$C56,IF(ISNUMBER(Planung!EJ56),Planung!EJ56,IF(UPPER(Planung!EJ56)="H",$C56/2,0)))))))</f>
        <v>0</v>
      </c>
      <c r="EK56" s="27">
        <f>IF($A56="",0,IF(Mitarbeiter!$G$54=FALSE,0,IF(AND(Mitarbeiter!$E$54&lt;&gt;"",EK$5+6&lt;Mitarbeiter!$E$54),0,IF(AND(Mitarbeiter!$F$54&lt;&gt;"",EK$5&gt;Mitarbeiter!$F$54),0,IF(Planung!EK56="",$C56,IF(ISNUMBER(Planung!EK56),Planung!EK56,IF(UPPER(Planung!EK56)="H",$C56/2,0)))))))</f>
        <v>0</v>
      </c>
      <c r="EL56" s="27">
        <f>IF($A56="",0,IF(Mitarbeiter!$G$54=FALSE,0,IF(AND(Mitarbeiter!$E$54&lt;&gt;"",EL$5+6&lt;Mitarbeiter!$E$54),0,IF(AND(Mitarbeiter!$F$54&lt;&gt;"",EL$5&gt;Mitarbeiter!$F$54),0,IF(Planung!EL56="",$C56,IF(ISNUMBER(Planung!EL56),Planung!EL56,IF(UPPER(Planung!EL56)="H",$C56/2,0)))))))</f>
        <v>0</v>
      </c>
      <c r="EM56" s="27">
        <f>IF($A56="",0,IF(Mitarbeiter!$G$54=FALSE,0,IF(AND(Mitarbeiter!$E$54&lt;&gt;"",EM$5+6&lt;Mitarbeiter!$E$54),0,IF(AND(Mitarbeiter!$F$54&lt;&gt;"",EM$5&gt;Mitarbeiter!$F$54),0,IF(Planung!EM56="",$C56,IF(ISNUMBER(Planung!EM56),Planung!EM56,IF(UPPER(Planung!EM56)="H",$C56/2,0)))))))</f>
        <v>0</v>
      </c>
      <c r="EN56" s="27">
        <f>IF($A56="",0,IF(Mitarbeiter!$G$54=FALSE,0,IF(AND(Mitarbeiter!$E$54&lt;&gt;"",EN$5+6&lt;Mitarbeiter!$E$54),0,IF(AND(Mitarbeiter!$F$54&lt;&gt;"",EN$5&gt;Mitarbeiter!$F$54),0,IF(Planung!EN56="",$C56,IF(ISNUMBER(Planung!EN56),Planung!EN56,IF(UPPER(Planung!EN56)="H",$C56/2,0)))))))</f>
        <v>0</v>
      </c>
      <c r="EO56" s="27">
        <f>IF($A56="",0,IF(Mitarbeiter!$G$54=FALSE,0,IF(AND(Mitarbeiter!$E$54&lt;&gt;"",EO$5+6&lt;Mitarbeiter!$E$54),0,IF(AND(Mitarbeiter!$F$54&lt;&gt;"",EO$5&gt;Mitarbeiter!$F$54),0,IF(Planung!EO56="",$C56,IF(ISNUMBER(Planung!EO56),Planung!EO56,IF(UPPER(Planung!EO56)="H",$C56/2,0)))))))</f>
        <v>0</v>
      </c>
      <c r="EP56" s="27">
        <f>IF($A56="",0,IF(Mitarbeiter!$G$54=FALSE,0,IF(AND(Mitarbeiter!$E$54&lt;&gt;"",EP$5+6&lt;Mitarbeiter!$E$54),0,IF(AND(Mitarbeiter!$F$54&lt;&gt;"",EP$5&gt;Mitarbeiter!$F$54),0,IF(Planung!EP56="",$C56,IF(ISNUMBER(Planung!EP56),Planung!EP56,IF(UPPER(Planung!EP56)="H",$C56/2,0)))))))</f>
        <v>0</v>
      </c>
      <c r="EQ56" s="27">
        <f>IF($A56="",0,IF(Mitarbeiter!$G$54=FALSE,0,IF(AND(Mitarbeiter!$E$54&lt;&gt;"",EQ$5+6&lt;Mitarbeiter!$E$54),0,IF(AND(Mitarbeiter!$F$54&lt;&gt;"",EQ$5&gt;Mitarbeiter!$F$54),0,IF(Planung!EQ56="",$C56,IF(ISNUMBER(Planung!EQ56),Planung!EQ56,IF(UPPER(Planung!EQ56)="H",$C56/2,0)))))))</f>
        <v>0</v>
      </c>
      <c r="ER56" s="27">
        <f>IF($A56="",0,IF(Mitarbeiter!$G$54=FALSE,0,IF(AND(Mitarbeiter!$E$54&lt;&gt;"",ER$5+6&lt;Mitarbeiter!$E$54),0,IF(AND(Mitarbeiter!$F$54&lt;&gt;"",ER$5&gt;Mitarbeiter!$F$54),0,IF(Planung!ER56="",$C56,IF(ISNUMBER(Planung!ER56),Planung!ER56,IF(UPPER(Planung!ER56)="H",$C56/2,0)))))))</f>
        <v>0</v>
      </c>
      <c r="ES56" s="27">
        <f>IF($A56="",0,IF(Mitarbeiter!$G$54=FALSE,0,IF(AND(Mitarbeiter!$E$54&lt;&gt;"",ES$5+6&lt;Mitarbeiter!$E$54),0,IF(AND(Mitarbeiter!$F$54&lt;&gt;"",ES$5&gt;Mitarbeiter!$F$54),0,IF(Planung!ES56="",$C56,IF(ISNUMBER(Planung!ES56),Planung!ES56,IF(UPPER(Planung!ES56)="H",$C56/2,0)))))))</f>
        <v>0</v>
      </c>
      <c r="ET56" s="27">
        <f>IF($A56="",0,IF(Mitarbeiter!$G$54=FALSE,0,IF(AND(Mitarbeiter!$E$54&lt;&gt;"",ET$5+6&lt;Mitarbeiter!$E$54),0,IF(AND(Mitarbeiter!$F$54&lt;&gt;"",ET$5&gt;Mitarbeiter!$F$54),0,IF(Planung!ET56="",$C56,IF(ISNUMBER(Planung!ET56),Planung!ET56,IF(UPPER(Planung!ET56)="H",$C56/2,0)))))))</f>
        <v>0</v>
      </c>
      <c r="EU56" s="27">
        <f>IF($A56="",0,IF(Mitarbeiter!$G$54=FALSE,0,IF(AND(Mitarbeiter!$E$54&lt;&gt;"",EU$5+6&lt;Mitarbeiter!$E$54),0,IF(AND(Mitarbeiter!$F$54&lt;&gt;"",EU$5&gt;Mitarbeiter!$F$54),0,IF(Planung!EU56="",$C56,IF(ISNUMBER(Planung!EU56),Planung!EU56,IF(UPPER(Planung!EU56)="H",$C56/2,0)))))))</f>
        <v>0</v>
      </c>
      <c r="EV56" s="27">
        <f>IF($A56="",0,IF(Mitarbeiter!$G$54=FALSE,0,IF(AND(Mitarbeiter!$E$54&lt;&gt;"",EV$5+6&lt;Mitarbeiter!$E$54),0,IF(AND(Mitarbeiter!$F$54&lt;&gt;"",EV$5&gt;Mitarbeiter!$F$54),0,IF(Planung!EV56="",$C56,IF(ISNUMBER(Planung!EV56),Planung!EV56,IF(UPPER(Planung!EV56)="H",$C56/2,0)))))))</f>
        <v>0</v>
      </c>
      <c r="EW56" s="27">
        <f>IF($A56="",0,IF(Mitarbeiter!$G$54=FALSE,0,IF(AND(Mitarbeiter!$E$54&lt;&gt;"",EW$5+6&lt;Mitarbeiter!$E$54),0,IF(AND(Mitarbeiter!$F$54&lt;&gt;"",EW$5&gt;Mitarbeiter!$F$54),0,IF(Planung!EW56="",$C56,IF(ISNUMBER(Planung!EW56),Planung!EW56,IF(UPPER(Planung!EW56)="H",$C56/2,0)))))))</f>
        <v>0</v>
      </c>
      <c r="EX56" s="27">
        <f>IF($A56="",0,IF(Mitarbeiter!$G$54=FALSE,0,IF(AND(Mitarbeiter!$E$54&lt;&gt;"",EX$5+6&lt;Mitarbeiter!$E$54),0,IF(AND(Mitarbeiter!$F$54&lt;&gt;"",EX$5&gt;Mitarbeiter!$F$54),0,IF(Planung!EX56="",$C56,IF(ISNUMBER(Planung!EX56),Planung!EX56,IF(UPPER(Planung!EX56)="H",$C56/2,0)))))))</f>
        <v>0</v>
      </c>
      <c r="EY56" s="27">
        <f>IF($A56="",0,IF(Mitarbeiter!$G$54=FALSE,0,IF(AND(Mitarbeiter!$E$54&lt;&gt;"",EY$5+6&lt;Mitarbeiter!$E$54),0,IF(AND(Mitarbeiter!$F$54&lt;&gt;"",EY$5&gt;Mitarbeiter!$F$54),0,IF(Planung!EY56="",$C56,IF(ISNUMBER(Planung!EY56),Planung!EY56,IF(UPPER(Planung!EY56)="H",$C56/2,0)))))))</f>
        <v>0</v>
      </c>
      <c r="EZ56" s="27">
        <f>IF($A56="",0,IF(Mitarbeiter!$G$54=FALSE,0,IF(AND(Mitarbeiter!$E$54&lt;&gt;"",EZ$5+6&lt;Mitarbeiter!$E$54),0,IF(AND(Mitarbeiter!$F$54&lt;&gt;"",EZ$5&gt;Mitarbeiter!$F$54),0,IF(Planung!EZ56="",$C56,IF(ISNUMBER(Planung!EZ56),Planung!EZ56,IF(UPPER(Planung!EZ56)="H",$C56/2,0)))))))</f>
        <v>0</v>
      </c>
      <c r="FA56" s="27">
        <f>IF($A56="",0,IF(Mitarbeiter!$G$54=FALSE,0,IF(AND(Mitarbeiter!$E$54&lt;&gt;"",FA$5+6&lt;Mitarbeiter!$E$54),0,IF(AND(Mitarbeiter!$F$54&lt;&gt;"",FA$5&gt;Mitarbeiter!$F$54),0,IF(Planung!FA56="",$C56,IF(ISNUMBER(Planung!FA56),Planung!FA56,IF(UPPER(Planung!FA56)="H",$C56/2,0)))))))</f>
        <v>0</v>
      </c>
      <c r="FB56" s="27">
        <f>IF($A56="",0,IF(Mitarbeiter!$G$54=FALSE,0,IF(AND(Mitarbeiter!$E$54&lt;&gt;"",FB$5+6&lt;Mitarbeiter!$E$54),0,IF(AND(Mitarbeiter!$F$54&lt;&gt;"",FB$5&gt;Mitarbeiter!$F$54),0,IF(Planung!FB56="",$C56,IF(ISNUMBER(Planung!FB56),Planung!FB56,IF(UPPER(Planung!FB56)="H",$C56/2,0)))))))</f>
        <v>0</v>
      </c>
      <c r="FC56" s="27">
        <f>IF($A56="",0,IF(Mitarbeiter!$G$54=FALSE,0,IF(AND(Mitarbeiter!$E$54&lt;&gt;"",FC$5+6&lt;Mitarbeiter!$E$54),0,IF(AND(Mitarbeiter!$F$54&lt;&gt;"",FC$5&gt;Mitarbeiter!$F$54),0,IF(Planung!FC56="",$C56,IF(ISNUMBER(Planung!FC56),Planung!FC56,IF(UPPER(Planung!FC56)="H",$C56/2,0)))))))</f>
        <v>0</v>
      </c>
      <c r="FD56" s="27">
        <f>IF($A56="",0,IF(Mitarbeiter!$G$54=FALSE,0,IF(AND(Mitarbeiter!$E$54&lt;&gt;"",FD$5+6&lt;Mitarbeiter!$E$54),0,IF(AND(Mitarbeiter!$F$54&lt;&gt;"",FD$5&gt;Mitarbeiter!$F$54),0,IF(Planung!FD56="",$C56,IF(ISNUMBER(Planung!FD56),Planung!FD56,IF(UPPER(Planung!FD56)="H",$C56/2,0)))))))</f>
        <v>0</v>
      </c>
      <c r="FE56" s="27">
        <f>IF($A56="",0,IF(Mitarbeiter!$G$54=FALSE,0,IF(AND(Mitarbeiter!$E$54&lt;&gt;"",FE$5+6&lt;Mitarbeiter!$E$54),0,IF(AND(Mitarbeiter!$F$54&lt;&gt;"",FE$5&gt;Mitarbeiter!$F$54),0,IF(Planung!FE56="",$C56,IF(ISNUMBER(Planung!FE56),Planung!FE56,IF(UPPER(Planung!FE56)="H",$C56/2,0)))))))</f>
        <v>0</v>
      </c>
      <c r="FF56" s="27">
        <f>IF($A56="",0,IF(Mitarbeiter!$G$54=FALSE,0,IF(AND(Mitarbeiter!$E$54&lt;&gt;"",FF$5+6&lt;Mitarbeiter!$E$54),0,IF(AND(Mitarbeiter!$F$54&lt;&gt;"",FF$5&gt;Mitarbeiter!$F$54),0,IF(Planung!FF56="",$C56,IF(ISNUMBER(Planung!FF56),Planung!FF56,IF(UPPER(Planung!FF56)="H",$C56/2,0)))))))</f>
        <v>0</v>
      </c>
      <c r="FG56" s="27">
        <f>IF($A56="",0,IF(Mitarbeiter!$G$54=FALSE,0,IF(AND(Mitarbeiter!$E$54&lt;&gt;"",FG$5+6&lt;Mitarbeiter!$E$54),0,IF(AND(Mitarbeiter!$F$54&lt;&gt;"",FG$5&gt;Mitarbeiter!$F$54),0,IF(Planung!FG56="",$C56,IF(ISNUMBER(Planung!FG56),Planung!FG56,IF(UPPER(Planung!FG56)="H",$C56/2,0)))))))</f>
        <v>0</v>
      </c>
      <c r="FH56" s="27">
        <f>IF($A56="",0,IF(Mitarbeiter!$G$54=FALSE,0,IF(AND(Mitarbeiter!$E$54&lt;&gt;"",FH$5+6&lt;Mitarbeiter!$E$54),0,IF(AND(Mitarbeiter!$F$54&lt;&gt;"",FH$5&gt;Mitarbeiter!$F$54),0,IF(Planung!FH56="",$C56,IF(ISNUMBER(Planung!FH56),Planung!FH56,IF(UPPER(Planung!FH56)="H",$C56/2,0)))))))</f>
        <v>0</v>
      </c>
      <c r="FI56" s="27">
        <f>IF($A56="",0,IF(Mitarbeiter!$G$54=FALSE,0,IF(AND(Mitarbeiter!$E$54&lt;&gt;"",FI$5+6&lt;Mitarbeiter!$E$54),0,IF(AND(Mitarbeiter!$F$54&lt;&gt;"",FI$5&gt;Mitarbeiter!$F$54),0,IF(Planung!FI56="",$C56,IF(ISNUMBER(Planung!FI56),Planung!FI56,IF(UPPER(Planung!FI56)="H",$C56/2,0)))))))</f>
        <v>0</v>
      </c>
      <c r="FJ56" s="27">
        <f>IF($A56="",0,IF(Mitarbeiter!$G$54=FALSE,0,IF(AND(Mitarbeiter!$E$54&lt;&gt;"",FJ$5+6&lt;Mitarbeiter!$E$54),0,IF(AND(Mitarbeiter!$F$54&lt;&gt;"",FJ$5&gt;Mitarbeiter!$F$54),0,IF(Planung!FJ56="",$C56,IF(ISNUMBER(Planung!FJ56),Planung!FJ56,IF(UPPER(Planung!FJ56)="H",$C56/2,0)))))))</f>
        <v>0</v>
      </c>
      <c r="FK56" s="27">
        <f>IF($A56="",0,IF(Mitarbeiter!$G$54=FALSE,0,IF(AND(Mitarbeiter!$E$54&lt;&gt;"",FK$5+6&lt;Mitarbeiter!$E$54),0,IF(AND(Mitarbeiter!$F$54&lt;&gt;"",FK$5&gt;Mitarbeiter!$F$54),0,IF(Planung!FK56="",$C56,IF(ISNUMBER(Planung!FK56),Planung!FK56,IF(UPPER(Planung!FK56)="H",$C56/2,0)))))))</f>
        <v>0</v>
      </c>
      <c r="FL56" s="27">
        <f>IF($A56="",0,IF(Mitarbeiter!$G$54=FALSE,0,IF(AND(Mitarbeiter!$E$54&lt;&gt;"",FL$5+6&lt;Mitarbeiter!$E$54),0,IF(AND(Mitarbeiter!$F$54&lt;&gt;"",FL$5&gt;Mitarbeiter!$F$54),0,IF(Planung!FL56="",$C56,IF(ISNUMBER(Planung!FL56),Planung!FL56,IF(UPPER(Planung!FL56)="H",$C56/2,0)))))))</f>
        <v>0</v>
      </c>
      <c r="FM56" s="27">
        <f>IF($A56="",0,IF(Mitarbeiter!$G$54=FALSE,0,IF(AND(Mitarbeiter!$E$54&lt;&gt;"",FM$5+6&lt;Mitarbeiter!$E$54),0,IF(AND(Mitarbeiter!$F$54&lt;&gt;"",FM$5&gt;Mitarbeiter!$F$54),0,IF(Planung!FM56="",$C56,IF(ISNUMBER(Planung!FM56),Planung!FM56,IF(UPPER(Planung!FM56)="H",$C56/2,0)))))))</f>
        <v>0</v>
      </c>
      <c r="FN56" s="27">
        <f>IF($A56="",0,IF(Mitarbeiter!$G$54=FALSE,0,IF(AND(Mitarbeiter!$E$54&lt;&gt;"",FN$5+6&lt;Mitarbeiter!$E$54),0,IF(AND(Mitarbeiter!$F$54&lt;&gt;"",FN$5&gt;Mitarbeiter!$F$54),0,IF(Planung!FN56="",$C56,IF(ISNUMBER(Planung!FN56),Planung!FN56,IF(UPPER(Planung!FN56)="H",$C56/2,0)))))))</f>
        <v>0</v>
      </c>
      <c r="FO56" s="27">
        <f>IF($A56="",0,IF(Mitarbeiter!$G$54=FALSE,0,IF(AND(Mitarbeiter!$E$54&lt;&gt;"",FO$5+6&lt;Mitarbeiter!$E$54),0,IF(AND(Mitarbeiter!$F$54&lt;&gt;"",FO$5&gt;Mitarbeiter!$F$54),0,IF(Planung!FO56="",$C56,IF(ISNUMBER(Planung!FO56),Planung!FO56,IF(UPPER(Planung!FO56)="H",$C56/2,0)))))))</f>
        <v>0</v>
      </c>
      <c r="FP56" s="27">
        <f>IF($A56="",0,IF(Mitarbeiter!$G$54=FALSE,0,IF(AND(Mitarbeiter!$E$54&lt;&gt;"",FP$5+6&lt;Mitarbeiter!$E$54),0,IF(AND(Mitarbeiter!$F$54&lt;&gt;"",FP$5&gt;Mitarbeiter!$F$54),0,IF(Planung!FP56="",$C56,IF(ISNUMBER(Planung!FP56),Planung!FP56,IF(UPPER(Planung!FP56)="H",$C56/2,0)))))))</f>
        <v>0</v>
      </c>
      <c r="FQ56" s="27">
        <f>IF($A56="",0,IF(Mitarbeiter!$G$54=FALSE,0,IF(AND(Mitarbeiter!$E$54&lt;&gt;"",FQ$5+6&lt;Mitarbeiter!$E$54),0,IF(AND(Mitarbeiter!$F$54&lt;&gt;"",FQ$5&gt;Mitarbeiter!$F$54),0,IF(Planung!FQ56="",$C56,IF(ISNUMBER(Planung!FQ56),Planung!FQ56,IF(UPPER(Planung!FQ56)="H",$C56/2,0)))))))</f>
        <v>0</v>
      </c>
      <c r="FR56" s="27">
        <f>IF($A56="",0,IF(Mitarbeiter!$G$54=FALSE,0,IF(AND(Mitarbeiter!$E$54&lt;&gt;"",FR$5+6&lt;Mitarbeiter!$E$54),0,IF(AND(Mitarbeiter!$F$54&lt;&gt;"",FR$5&gt;Mitarbeiter!$F$54),0,IF(Planung!FR56="",$C56,IF(ISNUMBER(Planung!FR56),Planung!FR56,IF(UPPER(Planung!FR56)="H",$C56/2,0)))))))</f>
        <v>0</v>
      </c>
      <c r="FS56" s="27">
        <f>IF($A56="",0,IF(Mitarbeiter!$G$54=FALSE,0,IF(AND(Mitarbeiter!$E$54&lt;&gt;"",FS$5+6&lt;Mitarbeiter!$E$54),0,IF(AND(Mitarbeiter!$F$54&lt;&gt;"",FS$5&gt;Mitarbeiter!$F$54),0,IF(Planung!FS56="",$C56,IF(ISNUMBER(Planung!FS56),Planung!FS56,IF(UPPER(Planung!FS56)="H",$C56/2,0)))))))</f>
        <v>0</v>
      </c>
      <c r="FT56" s="27">
        <f>IF($A56="",0,IF(Mitarbeiter!$G$54=FALSE,0,IF(AND(Mitarbeiter!$E$54&lt;&gt;"",FT$5+6&lt;Mitarbeiter!$E$54),0,IF(AND(Mitarbeiter!$F$54&lt;&gt;"",FT$5&gt;Mitarbeiter!$F$54),0,IF(Planung!FT56="",$C56,IF(ISNUMBER(Planung!FT56),Planung!FT56,IF(UPPER(Planung!FT56)="H",$C56/2,0)))))))</f>
        <v>0</v>
      </c>
      <c r="FU56" s="27">
        <f>IF($A56="",0,IF(Mitarbeiter!$G$54=FALSE,0,IF(AND(Mitarbeiter!$E$54&lt;&gt;"",FU$5+6&lt;Mitarbeiter!$E$54),0,IF(AND(Mitarbeiter!$F$54&lt;&gt;"",FU$5&gt;Mitarbeiter!$F$54),0,IF(Planung!FU56="",$C56,IF(ISNUMBER(Planung!FU56),Planung!FU56,IF(UPPER(Planung!FU56)="H",$C56/2,0)))))))</f>
        <v>0</v>
      </c>
      <c r="FV56" s="27">
        <f>IF($A56="",0,IF(Mitarbeiter!$G$54=FALSE,0,IF(AND(Mitarbeiter!$E$54&lt;&gt;"",FV$5+6&lt;Mitarbeiter!$E$54),0,IF(AND(Mitarbeiter!$F$54&lt;&gt;"",FV$5&gt;Mitarbeiter!$F$54),0,IF(Planung!FV56="",$C56,IF(ISNUMBER(Planung!FV56),Planung!FV56,IF(UPPER(Planung!FV56)="H",$C56/2,0)))))))</f>
        <v>0</v>
      </c>
      <c r="FW56" s="27">
        <f>IF($A56="",0,IF(Mitarbeiter!$G$54=FALSE,0,IF(AND(Mitarbeiter!$E$54&lt;&gt;"",FW$5+6&lt;Mitarbeiter!$E$54),0,IF(AND(Mitarbeiter!$F$54&lt;&gt;"",FW$5&gt;Mitarbeiter!$F$54),0,IF(Planung!FW56="",$C56,IF(ISNUMBER(Planung!FW56),Planung!FW56,IF(UPPER(Planung!FW56)="H",$C56/2,0)))))))</f>
        <v>0</v>
      </c>
      <c r="FX56" s="27">
        <f>IF($A56="",0,IF(Mitarbeiter!$G$54=FALSE,0,IF(AND(Mitarbeiter!$E$54&lt;&gt;"",FX$5+6&lt;Mitarbeiter!$E$54),0,IF(AND(Mitarbeiter!$F$54&lt;&gt;"",FX$5&gt;Mitarbeiter!$F$54),0,IF(Planung!FX56="",$C56,IF(ISNUMBER(Planung!FX56),Planung!FX56,IF(UPPER(Planung!FX56)="H",$C56/2,0)))))))</f>
        <v>0</v>
      </c>
      <c r="FY56" s="27">
        <f>IF($A56="",0,IF(Mitarbeiter!$G$54=FALSE,0,IF(AND(Mitarbeiter!$E$54&lt;&gt;"",FY$5+6&lt;Mitarbeiter!$E$54),0,IF(AND(Mitarbeiter!$F$54&lt;&gt;"",FY$5&gt;Mitarbeiter!$F$54),0,IF(Planung!FY56="",$C56,IF(ISNUMBER(Planung!FY56),Planung!FY56,IF(UPPER(Planung!FY56)="H",$C56/2,0)))))))</f>
        <v>0</v>
      </c>
      <c r="FZ56" s="27">
        <f>IF($A56="",0,IF(Mitarbeiter!$G$54=FALSE,0,IF(AND(Mitarbeiter!$E$54&lt;&gt;"",FZ$5+6&lt;Mitarbeiter!$E$54),0,IF(AND(Mitarbeiter!$F$54&lt;&gt;"",FZ$5&gt;Mitarbeiter!$F$54),0,IF(Planung!FZ56="",$C56,IF(ISNUMBER(Planung!FZ56),Planung!FZ56,IF(UPPER(Planung!FZ56)="H",$C56/2,0)))))))</f>
        <v>0</v>
      </c>
      <c r="GA56" s="27">
        <f>IF($A56="",0,IF(Mitarbeiter!$G$54=FALSE,0,IF(AND(Mitarbeiter!$E$54&lt;&gt;"",GA$5+6&lt;Mitarbeiter!$E$54),0,IF(AND(Mitarbeiter!$F$54&lt;&gt;"",GA$5&gt;Mitarbeiter!$F$54),0,IF(Planung!GA56="",$C56,IF(ISNUMBER(Planung!GA56),Planung!GA56,IF(UPPER(Planung!GA56)="H",$C56/2,0)))))))</f>
        <v>0</v>
      </c>
      <c r="GB56" s="27">
        <f>IF($A56="",0,IF(Mitarbeiter!$G$54=FALSE,0,IF(AND(Mitarbeiter!$E$54&lt;&gt;"",GB$5+6&lt;Mitarbeiter!$E$54),0,IF(AND(Mitarbeiter!$F$54&lt;&gt;"",GB$5&gt;Mitarbeiter!$F$54),0,IF(Planung!GB56="",$C56,IF(ISNUMBER(Planung!GB56),Planung!GB56,IF(UPPER(Planung!GB56)="H",$C56/2,0)))))))</f>
        <v>0</v>
      </c>
      <c r="GC56" s="27">
        <f>IF($A56="",0,IF(Mitarbeiter!$G$54=FALSE,0,IF(AND(Mitarbeiter!$E$54&lt;&gt;"",GC$5+6&lt;Mitarbeiter!$E$54),0,IF(AND(Mitarbeiter!$F$54&lt;&gt;"",GC$5&gt;Mitarbeiter!$F$54),0,IF(Planung!GC56="",$C56,IF(ISNUMBER(Planung!GC56),Planung!GC56,IF(UPPER(Planung!GC56)="H",$C56/2,0)))))))</f>
        <v>0</v>
      </c>
      <c r="GD56" s="27">
        <f>IF($A56="",0,IF(Mitarbeiter!$G$54=FALSE,0,IF(AND(Mitarbeiter!$E$54&lt;&gt;"",GD$5+6&lt;Mitarbeiter!$E$54),0,IF(AND(Mitarbeiter!$F$54&lt;&gt;"",GD$5&gt;Mitarbeiter!$F$54),0,IF(Planung!GD56="",$C56,IF(ISNUMBER(Planung!GD56),Planung!GD56,IF(UPPER(Planung!GD56)="H",$C56/2,0)))))))</f>
        <v>0</v>
      </c>
      <c r="GE56" s="27">
        <f>IF($A56="",0,IF(Mitarbeiter!$G$54=FALSE,0,IF(AND(Mitarbeiter!$E$54&lt;&gt;"",GE$5+6&lt;Mitarbeiter!$E$54),0,IF(AND(Mitarbeiter!$F$54&lt;&gt;"",GE$5&gt;Mitarbeiter!$F$54),0,IF(Planung!GE56="",$C56,IF(ISNUMBER(Planung!GE56),Planung!GE56,IF(UPPER(Planung!GE56)="H",$C56/2,0)))))))</f>
        <v>0</v>
      </c>
      <c r="GF56" s="27">
        <f>IF($A56="",0,IF(Mitarbeiter!$G$54=FALSE,0,IF(AND(Mitarbeiter!$E$54&lt;&gt;"",GF$5+6&lt;Mitarbeiter!$E$54),0,IF(AND(Mitarbeiter!$F$54&lt;&gt;"",GF$5&gt;Mitarbeiter!$F$54),0,IF(Planung!GF56="",$C56,IF(ISNUMBER(Planung!GF56),Planung!GF56,IF(UPPER(Planung!GF56)="H",$C56/2,0)))))))</f>
        <v>0</v>
      </c>
      <c r="GG56" s="27">
        <f>IF($A56="",0,IF(Mitarbeiter!$G$54=FALSE,0,IF(AND(Mitarbeiter!$E$54&lt;&gt;"",GG$5+6&lt;Mitarbeiter!$E$54),0,IF(AND(Mitarbeiter!$F$54&lt;&gt;"",GG$5&gt;Mitarbeiter!$F$54),0,IF(Planung!GG56="",$C56,IF(ISNUMBER(Planung!GG56),Planung!GG56,IF(UPPER(Planung!GG56)="H",$C56/2,0)))))))</f>
        <v>0</v>
      </c>
      <c r="GH56" s="27">
        <f>IF($A56="",0,IF(Mitarbeiter!$G$54=FALSE,0,IF(AND(Mitarbeiter!$E$54&lt;&gt;"",GH$5+6&lt;Mitarbeiter!$E$54),0,IF(AND(Mitarbeiter!$F$54&lt;&gt;"",GH$5&gt;Mitarbeiter!$F$54),0,IF(Planung!GH56="",$C56,IF(ISNUMBER(Planung!GH56),Planung!GH56,IF(UPPER(Planung!GH56)="H",$C56/2,0)))))))</f>
        <v>0</v>
      </c>
      <c r="GI56" s="27">
        <f>IF($A56="",0,IF(Mitarbeiter!$G$54=FALSE,0,IF(AND(Mitarbeiter!$E$54&lt;&gt;"",GI$5+6&lt;Mitarbeiter!$E$54),0,IF(AND(Mitarbeiter!$F$54&lt;&gt;"",GI$5&gt;Mitarbeiter!$F$54),0,IF(Planung!GI56="",$C56,IF(ISNUMBER(Planung!GI56),Planung!GI56,IF(UPPER(Planung!GI56)="H",$C56/2,0)))))))</f>
        <v>0</v>
      </c>
      <c r="GJ56" s="27">
        <f>IF($A56="",0,IF(Mitarbeiter!$G$54=FALSE,0,IF(AND(Mitarbeiter!$E$54&lt;&gt;"",GJ$5+6&lt;Mitarbeiter!$E$54),0,IF(AND(Mitarbeiter!$F$54&lt;&gt;"",GJ$5&gt;Mitarbeiter!$F$54),0,IF(Planung!GJ56="",$C56,IF(ISNUMBER(Planung!GJ56),Planung!GJ56,IF(UPPER(Planung!GJ56)="H",$C56/2,0)))))))</f>
        <v>0</v>
      </c>
      <c r="GK56" s="27">
        <f>IF($A56="",0,IF(Mitarbeiter!$G$54=FALSE,0,IF(AND(Mitarbeiter!$E$54&lt;&gt;"",GK$5+6&lt;Mitarbeiter!$E$54),0,IF(AND(Mitarbeiter!$F$54&lt;&gt;"",GK$5&gt;Mitarbeiter!$F$54),0,IF(Planung!GK56="",$C56,IF(ISNUMBER(Planung!GK56),Planung!GK56,IF(UPPER(Planung!GK56)="H",$C56/2,0)))))))</f>
        <v>0</v>
      </c>
      <c r="GL56" s="27">
        <f>IF($A56="",0,IF(Mitarbeiter!$G$54=FALSE,0,IF(AND(Mitarbeiter!$E$54&lt;&gt;"",GL$5+6&lt;Mitarbeiter!$E$54),0,IF(AND(Mitarbeiter!$F$54&lt;&gt;"",GL$5&gt;Mitarbeiter!$F$54),0,IF(Planung!GL56="",$C56,IF(ISNUMBER(Planung!GL56),Planung!GL56,IF(UPPER(Planung!GL56)="H",$C56/2,0)))))))</f>
        <v>0</v>
      </c>
      <c r="GM56" s="27">
        <f>IF($A56="",0,IF(Mitarbeiter!$G$54=FALSE,0,IF(AND(Mitarbeiter!$E$54&lt;&gt;"",GM$5+6&lt;Mitarbeiter!$E$54),0,IF(AND(Mitarbeiter!$F$54&lt;&gt;"",GM$5&gt;Mitarbeiter!$F$54),0,IF(Planung!GM56="",$C56,IF(ISNUMBER(Planung!GM56),Planung!GM56,IF(UPPER(Planung!GM56)="H",$C56/2,0)))))))</f>
        <v>0</v>
      </c>
      <c r="GN56" s="27">
        <f>IF($A56="",0,IF(Mitarbeiter!$G$54=FALSE,0,IF(AND(Mitarbeiter!$E$54&lt;&gt;"",GN$5+6&lt;Mitarbeiter!$E$54),0,IF(AND(Mitarbeiter!$F$54&lt;&gt;"",GN$5&gt;Mitarbeiter!$F$54),0,IF(Planung!GN56="",$C56,IF(ISNUMBER(Planung!GN56),Planung!GN56,IF(UPPER(Planung!GN56)="H",$C56/2,0)))))))</f>
        <v>0</v>
      </c>
      <c r="GO56" s="27">
        <f>IF($A56="",0,IF(Mitarbeiter!$G$54=FALSE,0,IF(AND(Mitarbeiter!$E$54&lt;&gt;"",GO$5+6&lt;Mitarbeiter!$E$54),0,IF(AND(Mitarbeiter!$F$54&lt;&gt;"",GO$5&gt;Mitarbeiter!$F$54),0,IF(Planung!GO56="",$C56,IF(ISNUMBER(Planung!GO56),Planung!GO56,IF(UPPER(Planung!GO56)="H",$C56/2,0)))))))</f>
        <v>0</v>
      </c>
      <c r="GP56" s="27">
        <f>IF($A56="",0,IF(Mitarbeiter!$G$54=FALSE,0,IF(AND(Mitarbeiter!$E$54&lt;&gt;"",GP$5+6&lt;Mitarbeiter!$E$54),0,IF(AND(Mitarbeiter!$F$54&lt;&gt;"",GP$5&gt;Mitarbeiter!$F$54),0,IF(Planung!GP56="",$C56,IF(ISNUMBER(Planung!GP56),Planung!GP56,IF(UPPER(Planung!GP56)="H",$C56/2,0)))))))</f>
        <v>0</v>
      </c>
      <c r="GQ56" s="27">
        <f>IF($A56="",0,IF(Mitarbeiter!$G$54=FALSE,0,IF(AND(Mitarbeiter!$E$54&lt;&gt;"",GQ$5+6&lt;Mitarbeiter!$E$54),0,IF(AND(Mitarbeiter!$F$54&lt;&gt;"",GQ$5&gt;Mitarbeiter!$F$54),0,IF(Planung!GQ56="",$C56,IF(ISNUMBER(Planung!GQ56),Planung!GQ56,IF(UPPER(Planung!GQ56)="H",$C56/2,0)))))))</f>
        <v>0</v>
      </c>
      <c r="GR56" s="27">
        <f>IF($A56="",0,IF(Mitarbeiter!$G$54=FALSE,0,IF(AND(Mitarbeiter!$E$54&lt;&gt;"",GR$5+6&lt;Mitarbeiter!$E$54),0,IF(AND(Mitarbeiter!$F$54&lt;&gt;"",GR$5&gt;Mitarbeiter!$F$54),0,IF(Planung!GR56="",$C56,IF(ISNUMBER(Planung!GR56),Planung!GR56,IF(UPPER(Planung!GR56)="H",$C56/2,0)))))))</f>
        <v>0</v>
      </c>
      <c r="GS56" s="27">
        <f>IF($A56="",0,IF(Mitarbeiter!$G$54=FALSE,0,IF(AND(Mitarbeiter!$E$54&lt;&gt;"",GS$5+6&lt;Mitarbeiter!$E$54),0,IF(AND(Mitarbeiter!$F$54&lt;&gt;"",GS$5&gt;Mitarbeiter!$F$54),0,IF(Planung!GS56="",$C56,IF(ISNUMBER(Planung!GS56),Planung!GS56,IF(UPPER(Planung!GS56)="H",$C56/2,0)))))))</f>
        <v>0</v>
      </c>
      <c r="GT56" s="27">
        <f>IF($A56="",0,IF(Mitarbeiter!$G$54=FALSE,0,IF(AND(Mitarbeiter!$E$54&lt;&gt;"",GT$5+6&lt;Mitarbeiter!$E$54),0,IF(AND(Mitarbeiter!$F$54&lt;&gt;"",GT$5&gt;Mitarbeiter!$F$54),0,IF(Planung!GT56="",$C56,IF(ISNUMBER(Planung!GT56),Planung!GT56,IF(UPPER(Planung!GT56)="H",$C56/2,0)))))))</f>
        <v>0</v>
      </c>
      <c r="GU56" s="27">
        <f>IF($A56="",0,IF(Mitarbeiter!$G$54=FALSE,0,IF(AND(Mitarbeiter!$E$54&lt;&gt;"",GU$5+6&lt;Mitarbeiter!$E$54),0,IF(AND(Mitarbeiter!$F$54&lt;&gt;"",GU$5&gt;Mitarbeiter!$F$54),0,IF(Planung!GU56="",$C56,IF(ISNUMBER(Planung!GU56),Planung!GU56,IF(UPPER(Planung!GU56)="H",$C56/2,0)))))))</f>
        <v>0</v>
      </c>
      <c r="GV56" s="27">
        <f>IF($A56="",0,IF(Mitarbeiter!$G$54=FALSE,0,IF(AND(Mitarbeiter!$E$54&lt;&gt;"",GV$5+6&lt;Mitarbeiter!$E$54),0,IF(AND(Mitarbeiter!$F$54&lt;&gt;"",GV$5&gt;Mitarbeiter!$F$54),0,IF(Planung!GV56="",$C56,IF(ISNUMBER(Planung!GV56),Planung!GV56,IF(UPPER(Planung!GV56)="H",$C56/2,0)))))))</f>
        <v>0</v>
      </c>
      <c r="GW56" s="27">
        <f>IF($A56="",0,IF(Mitarbeiter!$G$54=FALSE,0,IF(AND(Mitarbeiter!$E$54&lt;&gt;"",GW$5+6&lt;Mitarbeiter!$E$54),0,IF(AND(Mitarbeiter!$F$54&lt;&gt;"",GW$5&gt;Mitarbeiter!$F$54),0,IF(Planung!GW56="",$C56,IF(ISNUMBER(Planung!GW56),Planung!GW56,IF(UPPER(Planung!GW56)="H",$C56/2,0)))))))</f>
        <v>0</v>
      </c>
      <c r="GX56" s="27">
        <f>IF($A56="",0,IF(Mitarbeiter!$G$54=FALSE,0,IF(AND(Mitarbeiter!$E$54&lt;&gt;"",GX$5+6&lt;Mitarbeiter!$E$54),0,IF(AND(Mitarbeiter!$F$54&lt;&gt;"",GX$5&gt;Mitarbeiter!$F$54),0,IF(Planung!GX56="",$C56,IF(ISNUMBER(Planung!GX56),Planung!GX56,IF(UPPER(Planung!GX56)="H",$C56/2,0)))))))</f>
        <v>0</v>
      </c>
      <c r="GY56" s="27">
        <f>IF($A56="",0,IF(Mitarbeiter!$G$54=FALSE,0,IF(AND(Mitarbeiter!$E$54&lt;&gt;"",GY$5+6&lt;Mitarbeiter!$E$54),0,IF(AND(Mitarbeiter!$F$54&lt;&gt;"",GY$5&gt;Mitarbeiter!$F$54),0,IF(Planung!GY56="",$C56,IF(ISNUMBER(Planung!GY56),Planung!GY56,IF(UPPER(Planung!GY56)="H",$C56/2,0)))))))</f>
        <v>0</v>
      </c>
      <c r="GZ56" s="27">
        <f>IF($A56="",0,IF(Mitarbeiter!$G$54=FALSE,0,IF(AND(Mitarbeiter!$E$54&lt;&gt;"",GZ$5+6&lt;Mitarbeiter!$E$54),0,IF(AND(Mitarbeiter!$F$54&lt;&gt;"",GZ$5&gt;Mitarbeiter!$F$54),0,IF(Planung!GZ56="",$C56,IF(ISNUMBER(Planung!GZ56),Planung!GZ56,IF(UPPER(Planung!GZ56)="H",$C56/2,0)))))))</f>
        <v>0</v>
      </c>
      <c r="HA56" s="27">
        <f>IF($A56="",0,IF(Mitarbeiter!$G$54=FALSE,0,IF(AND(Mitarbeiter!$E$54&lt;&gt;"",HA$5+6&lt;Mitarbeiter!$E$54),0,IF(AND(Mitarbeiter!$F$54&lt;&gt;"",HA$5&gt;Mitarbeiter!$F$54),0,IF(Planung!HA56="",$C56,IF(ISNUMBER(Planung!HA56),Planung!HA56,IF(UPPER(Planung!HA56)="H",$C56/2,0)))))))</f>
        <v>0</v>
      </c>
      <c r="HB56" s="27">
        <f>IF($A56="",0,IF(Mitarbeiter!$G$54=FALSE,0,IF(AND(Mitarbeiter!$E$54&lt;&gt;"",HB$5+6&lt;Mitarbeiter!$E$54),0,IF(AND(Mitarbeiter!$F$54&lt;&gt;"",HB$5&gt;Mitarbeiter!$F$54),0,IF(Planung!HB56="",$C56,IF(ISNUMBER(Planung!HB56),Planung!HB56,IF(UPPER(Planung!HB56)="H",$C56/2,0)))))))</f>
        <v>0</v>
      </c>
      <c r="HC56" s="27">
        <f>IF($A56="",0,IF(Mitarbeiter!$G$54=FALSE,0,IF(AND(Mitarbeiter!$E$54&lt;&gt;"",HC$5+6&lt;Mitarbeiter!$E$54),0,IF(AND(Mitarbeiter!$F$54&lt;&gt;"",HC$5&gt;Mitarbeiter!$F$54),0,IF(Planung!HC56="",$C56,IF(ISNUMBER(Planung!HC56),Planung!HC56,IF(UPPER(Planung!HC56)="H",$C56/2,0)))))))</f>
        <v>0</v>
      </c>
      <c r="HD56" s="27">
        <f>IF($A56="",0,IF(Mitarbeiter!$G$54=FALSE,0,IF(AND(Mitarbeiter!$E$54&lt;&gt;"",HD$5+6&lt;Mitarbeiter!$E$54),0,IF(AND(Mitarbeiter!$F$54&lt;&gt;"",HD$5&gt;Mitarbeiter!$F$54),0,IF(Planung!HD56="",$C56,IF(ISNUMBER(Planung!HD56),Planung!HD56,IF(UPPER(Planung!HD56)="H",$C56/2,0)))))))</f>
        <v>0</v>
      </c>
      <c r="HE56" s="27">
        <f>IF($A56="",0,IF(Mitarbeiter!$G$54=FALSE,0,IF(AND(Mitarbeiter!$E$54&lt;&gt;"",HE$5+6&lt;Mitarbeiter!$E$54),0,IF(AND(Mitarbeiter!$F$54&lt;&gt;"",HE$5&gt;Mitarbeiter!$F$54),0,IF(Planung!HE56="",$C56,IF(ISNUMBER(Planung!HE56),Planung!HE56,IF(UPPER(Planung!HE56)="H",$C56/2,0)))))))</f>
        <v>0</v>
      </c>
      <c r="HF56" s="27">
        <f>IF($A56="",0,IF(Mitarbeiter!$G$54=FALSE,0,IF(AND(Mitarbeiter!$E$54&lt;&gt;"",HF$5+6&lt;Mitarbeiter!$E$54),0,IF(AND(Mitarbeiter!$F$54&lt;&gt;"",HF$5&gt;Mitarbeiter!$F$54),0,IF(Planung!HF56="",$C56,IF(ISNUMBER(Planung!HF56),Planung!HF56,IF(UPPER(Planung!HF56)="H",$C56/2,0)))))))</f>
        <v>0</v>
      </c>
      <c r="HG56" s="27">
        <f>IF($A56="",0,IF(Mitarbeiter!$G$54=FALSE,0,IF(AND(Mitarbeiter!$E$54&lt;&gt;"",HG$5+6&lt;Mitarbeiter!$E$54),0,IF(AND(Mitarbeiter!$F$54&lt;&gt;"",HG$5&gt;Mitarbeiter!$F$54),0,IF(Planung!HG56="",$C56,IF(ISNUMBER(Planung!HG56),Planung!HG56,IF(UPPER(Planung!HG56)="H",$C56/2,0)))))))</f>
        <v>0</v>
      </c>
      <c r="HH56" s="27">
        <f>IF($A56="",0,IF(Mitarbeiter!$G$54=FALSE,0,IF(AND(Mitarbeiter!$E$54&lt;&gt;"",HH$5+6&lt;Mitarbeiter!$E$54),0,IF(AND(Mitarbeiter!$F$54&lt;&gt;"",HH$5&gt;Mitarbeiter!$F$54),0,IF(Planung!HH56="",$C56,IF(ISNUMBER(Planung!HH56),Planung!HH56,IF(UPPER(Planung!HH56)="H",$C56/2,0)))))))</f>
        <v>0</v>
      </c>
      <c r="HI56" s="27">
        <f>IF($A56="",0,IF(Mitarbeiter!$G$54=FALSE,0,IF(AND(Mitarbeiter!$E$54&lt;&gt;"",HI$5+6&lt;Mitarbeiter!$E$54),0,IF(AND(Mitarbeiter!$F$54&lt;&gt;"",HI$5&gt;Mitarbeiter!$F$54),0,IF(Planung!HI56="",$C56,IF(ISNUMBER(Planung!HI56),Planung!HI56,IF(UPPER(Planung!HI56)="H",$C56/2,0)))))))</f>
        <v>0</v>
      </c>
      <c r="HJ56" s="27">
        <f>IF($A56="",0,IF(Mitarbeiter!$G$54=FALSE,0,IF(AND(Mitarbeiter!$E$54&lt;&gt;"",HJ$5+6&lt;Mitarbeiter!$E$54),0,IF(AND(Mitarbeiter!$F$54&lt;&gt;"",HJ$5&gt;Mitarbeiter!$F$54),0,IF(Planung!HJ56="",$C56,IF(ISNUMBER(Planung!HJ56),Planung!HJ56,IF(UPPER(Planung!HJ56)="H",$C56/2,0)))))))</f>
        <v>0</v>
      </c>
      <c r="HK56" s="27">
        <f>IF($A56="",0,IF(Mitarbeiter!$G$54=FALSE,0,IF(AND(Mitarbeiter!$E$54&lt;&gt;"",HK$5+6&lt;Mitarbeiter!$E$54),0,IF(AND(Mitarbeiter!$F$54&lt;&gt;"",HK$5&gt;Mitarbeiter!$F$54),0,IF(Planung!HK56="",$C56,IF(ISNUMBER(Planung!HK56),Planung!HK56,IF(UPPER(Planung!HK56)="H",$C56/2,0)))))))</f>
        <v>0</v>
      </c>
      <c r="HL56" s="27">
        <f>IF($A56="",0,IF(Mitarbeiter!$G$54=FALSE,0,IF(AND(Mitarbeiter!$E$54&lt;&gt;"",HL$5+6&lt;Mitarbeiter!$E$54),0,IF(AND(Mitarbeiter!$F$54&lt;&gt;"",HL$5&gt;Mitarbeiter!$F$54),0,IF(Planung!HL56="",$C56,IF(ISNUMBER(Planung!HL56),Planung!HL56,IF(UPPER(Planung!HL56)="H",$C56/2,0)))))))</f>
        <v>0</v>
      </c>
      <c r="HM56" s="27">
        <f>IF($A56="",0,IF(Mitarbeiter!$G$54=FALSE,0,IF(AND(Mitarbeiter!$E$54&lt;&gt;"",HM$5+6&lt;Mitarbeiter!$E$54),0,IF(AND(Mitarbeiter!$F$54&lt;&gt;"",HM$5&gt;Mitarbeiter!$F$54),0,IF(Planung!HM56="",$C56,IF(ISNUMBER(Planung!HM56),Planung!HM56,IF(UPPER(Planung!HM56)="H",$C56/2,0)))))))</f>
        <v>0</v>
      </c>
      <c r="HN56" s="27">
        <f>IF($A56="",0,IF(Mitarbeiter!$G$54=FALSE,0,IF(AND(Mitarbeiter!$E$54&lt;&gt;"",HN$5+6&lt;Mitarbeiter!$E$54),0,IF(AND(Mitarbeiter!$F$54&lt;&gt;"",HN$5&gt;Mitarbeiter!$F$54),0,IF(Planung!HN56="",$C56,IF(ISNUMBER(Planung!HN56),Planung!HN56,IF(UPPER(Planung!HN56)="H",$C56/2,0)))))))</f>
        <v>0</v>
      </c>
      <c r="HO56" s="27">
        <f>IF($A56="",0,IF(Mitarbeiter!$G$54=FALSE,0,IF(AND(Mitarbeiter!$E$54&lt;&gt;"",HO$5+6&lt;Mitarbeiter!$E$54),0,IF(AND(Mitarbeiter!$F$54&lt;&gt;"",HO$5&gt;Mitarbeiter!$F$54),0,IF(Planung!HO56="",$C56,IF(ISNUMBER(Planung!HO56),Planung!HO56,IF(UPPER(Planung!HO56)="H",$C56/2,0)))))))</f>
        <v>0</v>
      </c>
      <c r="HP56" s="27">
        <f>IF($A56="",0,IF(Mitarbeiter!$G$54=FALSE,0,IF(AND(Mitarbeiter!$E$54&lt;&gt;"",HP$5+6&lt;Mitarbeiter!$E$54),0,IF(AND(Mitarbeiter!$F$54&lt;&gt;"",HP$5&gt;Mitarbeiter!$F$54),0,IF(Planung!HP56="",$C56,IF(ISNUMBER(Planung!HP56),Planung!HP56,IF(UPPER(Planung!HP56)="H",$C56/2,0)))))))</f>
        <v>0</v>
      </c>
      <c r="HQ56" s="27">
        <f>IF($A56="",0,IF(Mitarbeiter!$G$54=FALSE,0,IF(AND(Mitarbeiter!$E$54&lt;&gt;"",HQ$5+6&lt;Mitarbeiter!$E$54),0,IF(AND(Mitarbeiter!$F$54&lt;&gt;"",HQ$5&gt;Mitarbeiter!$F$54),0,IF(Planung!HQ56="",$C56,IF(ISNUMBER(Planung!HQ56),Planung!HQ56,IF(UPPER(Planung!HQ56)="H",$C56/2,0)))))))</f>
        <v>0</v>
      </c>
      <c r="HR56" s="27">
        <f>IF($A56="",0,IF(Mitarbeiter!$G$54=FALSE,0,IF(AND(Mitarbeiter!$E$54&lt;&gt;"",HR$5+6&lt;Mitarbeiter!$E$54),0,IF(AND(Mitarbeiter!$F$54&lt;&gt;"",HR$5&gt;Mitarbeiter!$F$54),0,IF(Planung!HR56="",$C56,IF(ISNUMBER(Planung!HR56),Planung!HR56,IF(UPPER(Planung!HR56)="H",$C56/2,0)))))))</f>
        <v>0</v>
      </c>
      <c r="HS56" s="27">
        <f>IF($A56="",0,IF(Mitarbeiter!$G$54=FALSE,0,IF(AND(Mitarbeiter!$E$54&lt;&gt;"",HS$5+6&lt;Mitarbeiter!$E$54),0,IF(AND(Mitarbeiter!$F$54&lt;&gt;"",HS$5&gt;Mitarbeiter!$F$54),0,IF(Planung!HS56="",$C56,IF(ISNUMBER(Planung!HS56),Planung!HS56,IF(UPPER(Planung!HS56)="H",$C56/2,0)))))))</f>
        <v>0</v>
      </c>
      <c r="HT56" s="27">
        <f>IF($A56="",0,IF(Mitarbeiter!$G$54=FALSE,0,IF(AND(Mitarbeiter!$E$54&lt;&gt;"",HT$5+6&lt;Mitarbeiter!$E$54),0,IF(AND(Mitarbeiter!$F$54&lt;&gt;"",HT$5&gt;Mitarbeiter!$F$54),0,IF(Planung!HT56="",$C56,IF(ISNUMBER(Planung!HT56),Planung!HT56,IF(UPPER(Planung!HT56)="H",$C56/2,0)))))))</f>
        <v>0</v>
      </c>
      <c r="HU56" s="27">
        <f>IF($A56="",0,IF(Mitarbeiter!$G$54=FALSE,0,IF(AND(Mitarbeiter!$E$54&lt;&gt;"",HU$5+6&lt;Mitarbeiter!$E$54),0,IF(AND(Mitarbeiter!$F$54&lt;&gt;"",HU$5&gt;Mitarbeiter!$F$54),0,IF(Planung!HU56="",$C56,IF(ISNUMBER(Planung!HU56),Planung!HU56,IF(UPPER(Planung!HU56)="H",$C56/2,0)))))))</f>
        <v>0</v>
      </c>
      <c r="HV56" s="27">
        <f>IF($A56="",0,IF(Mitarbeiter!$G$54=FALSE,0,IF(AND(Mitarbeiter!$E$54&lt;&gt;"",HV$5+6&lt;Mitarbeiter!$E$54),0,IF(AND(Mitarbeiter!$F$54&lt;&gt;"",HV$5&gt;Mitarbeiter!$F$54),0,IF(Planung!HV56="",$C56,IF(ISNUMBER(Planung!HV56),Planung!HV56,IF(UPPER(Planung!HV56)="H",$C56/2,0)))))))</f>
        <v>0</v>
      </c>
      <c r="HW56" s="27">
        <f>IF($A56="",0,IF(Mitarbeiter!$G$54=FALSE,0,IF(AND(Mitarbeiter!$E$54&lt;&gt;"",HW$5+6&lt;Mitarbeiter!$E$54),0,IF(AND(Mitarbeiter!$F$54&lt;&gt;"",HW$5&gt;Mitarbeiter!$F$54),0,IF(Planung!HW56="",$C56,IF(ISNUMBER(Planung!HW56),Planung!HW56,IF(UPPER(Planung!HW56)="H",$C56/2,0)))))))</f>
        <v>0</v>
      </c>
      <c r="HX56" s="27">
        <f>IF($A56="",0,IF(Mitarbeiter!$G$54=FALSE,0,IF(AND(Mitarbeiter!$E$54&lt;&gt;"",HX$5+6&lt;Mitarbeiter!$E$54),0,IF(AND(Mitarbeiter!$F$54&lt;&gt;"",HX$5&gt;Mitarbeiter!$F$54),0,IF(Planung!HX56="",$C56,IF(ISNUMBER(Planung!HX56),Planung!HX56,IF(UPPER(Planung!HX56)="H",$C56/2,0)))))))</f>
        <v>0</v>
      </c>
      <c r="HY56" s="27">
        <f>IF($A56="",0,IF(Mitarbeiter!$G$54=FALSE,0,IF(AND(Mitarbeiter!$E$54&lt;&gt;"",HY$5+6&lt;Mitarbeiter!$E$54),0,IF(AND(Mitarbeiter!$F$54&lt;&gt;"",HY$5&gt;Mitarbeiter!$F$54),0,IF(Planung!HY56="",$C56,IF(ISNUMBER(Planung!HY56),Planung!HY56,IF(UPPER(Planung!HY56)="H",$C56/2,0)))))))</f>
        <v>0</v>
      </c>
      <c r="HZ56" s="27">
        <f>IF($A56="",0,IF(Mitarbeiter!$G$54=FALSE,0,IF(AND(Mitarbeiter!$E$54&lt;&gt;"",HZ$5+6&lt;Mitarbeiter!$E$54),0,IF(AND(Mitarbeiter!$F$54&lt;&gt;"",HZ$5&gt;Mitarbeiter!$F$54),0,IF(Planung!HZ56="",$C56,IF(ISNUMBER(Planung!HZ56),Planung!HZ56,IF(UPPER(Planung!HZ56)="H",$C56/2,0)))))))</f>
        <v>0</v>
      </c>
      <c r="IA56" s="27">
        <f>IF($A56="",0,IF(Mitarbeiter!$G$54=FALSE,0,IF(AND(Mitarbeiter!$E$54&lt;&gt;"",IA$5+6&lt;Mitarbeiter!$E$54),0,IF(AND(Mitarbeiter!$F$54&lt;&gt;"",IA$5&gt;Mitarbeiter!$F$54),0,IF(Planung!IA56="",$C56,IF(ISNUMBER(Planung!IA56),Planung!IA56,IF(UPPER(Planung!IA56)="H",$C56/2,0)))))))</f>
        <v>0</v>
      </c>
    </row>
    <row r="57" spans="1:235" x14ac:dyDescent="0.25">
      <c r="A57" s="7" t="str">
        <f>Planung!A57</f>
        <v/>
      </c>
      <c r="B57" s="7" t="str">
        <f>Planung!B57</f>
        <v/>
      </c>
      <c r="C57" s="27">
        <f>N(Mitarbeiter!$D$55)</f>
        <v>0</v>
      </c>
      <c r="D57" s="27">
        <f>IF($A57="",0,IF(Mitarbeiter!$G$55=FALSE,0,IF(AND(Mitarbeiter!$E$55&lt;&gt;"",D$5+6&lt;Mitarbeiter!$E$55),0,IF(AND(Mitarbeiter!$F$55&lt;&gt;"",D$5&gt;Mitarbeiter!$F$55),0,IF(Planung!D57="",$C57,IF(ISNUMBER(Planung!D57),Planung!D57,IF(UPPER(Planung!D57)="H",$C57/2,0)))))))</f>
        <v>0</v>
      </c>
      <c r="E57" s="27">
        <f>IF($A57="",0,IF(Mitarbeiter!$G$55=FALSE,0,IF(AND(Mitarbeiter!$E$55&lt;&gt;"",E$5+6&lt;Mitarbeiter!$E$55),0,IF(AND(Mitarbeiter!$F$55&lt;&gt;"",E$5&gt;Mitarbeiter!$F$55),0,IF(Planung!E57="",$C57,IF(ISNUMBER(Planung!E57),Planung!E57,IF(UPPER(Planung!E57)="H",$C57/2,0)))))))</f>
        <v>0</v>
      </c>
      <c r="F57" s="27">
        <f>IF($A57="",0,IF(Mitarbeiter!$G$55=FALSE,0,IF(AND(Mitarbeiter!$E$55&lt;&gt;"",F$5+6&lt;Mitarbeiter!$E$55),0,IF(AND(Mitarbeiter!$F$55&lt;&gt;"",F$5&gt;Mitarbeiter!$F$55),0,IF(Planung!F57="",$C57,IF(ISNUMBER(Planung!F57),Planung!F57,IF(UPPER(Planung!F57)="H",$C57/2,0)))))))</f>
        <v>0</v>
      </c>
      <c r="G57" s="27">
        <f>IF($A57="",0,IF(Mitarbeiter!$G$55=FALSE,0,IF(AND(Mitarbeiter!$E$55&lt;&gt;"",G$5+6&lt;Mitarbeiter!$E$55),0,IF(AND(Mitarbeiter!$F$55&lt;&gt;"",G$5&gt;Mitarbeiter!$F$55),0,IF(Planung!G57="",$C57,IF(ISNUMBER(Planung!G57),Planung!G57,IF(UPPER(Planung!G57)="H",$C57/2,0)))))))</f>
        <v>0</v>
      </c>
      <c r="H57" s="27">
        <f>IF($A57="",0,IF(Mitarbeiter!$G$55=FALSE,0,IF(AND(Mitarbeiter!$E$55&lt;&gt;"",H$5+6&lt;Mitarbeiter!$E$55),0,IF(AND(Mitarbeiter!$F$55&lt;&gt;"",H$5&gt;Mitarbeiter!$F$55),0,IF(Planung!H57="",$C57,IF(ISNUMBER(Planung!H57),Planung!H57,IF(UPPER(Planung!H57)="H",$C57/2,0)))))))</f>
        <v>0</v>
      </c>
      <c r="I57" s="27">
        <f>IF($A57="",0,IF(Mitarbeiter!$G$55=FALSE,0,IF(AND(Mitarbeiter!$E$55&lt;&gt;"",I$5+6&lt;Mitarbeiter!$E$55),0,IF(AND(Mitarbeiter!$F$55&lt;&gt;"",I$5&gt;Mitarbeiter!$F$55),0,IF(Planung!I57="",$C57,IF(ISNUMBER(Planung!I57),Planung!I57,IF(UPPER(Planung!I57)="H",$C57/2,0)))))))</f>
        <v>0</v>
      </c>
      <c r="J57" s="27">
        <f>IF($A57="",0,IF(Mitarbeiter!$G$55=FALSE,0,IF(AND(Mitarbeiter!$E$55&lt;&gt;"",J$5+6&lt;Mitarbeiter!$E$55),0,IF(AND(Mitarbeiter!$F$55&lt;&gt;"",J$5&gt;Mitarbeiter!$F$55),0,IF(Planung!J57="",$C57,IF(ISNUMBER(Planung!J57),Planung!J57,IF(UPPER(Planung!J57)="H",$C57/2,0)))))))</f>
        <v>0</v>
      </c>
      <c r="K57" s="27">
        <f>IF($A57="",0,IF(Mitarbeiter!$G$55=FALSE,0,IF(AND(Mitarbeiter!$E$55&lt;&gt;"",K$5+6&lt;Mitarbeiter!$E$55),0,IF(AND(Mitarbeiter!$F$55&lt;&gt;"",K$5&gt;Mitarbeiter!$F$55),0,IF(Planung!K57="",$C57,IF(ISNUMBER(Planung!K57),Planung!K57,IF(UPPER(Planung!K57)="H",$C57/2,0)))))))</f>
        <v>0</v>
      </c>
      <c r="L57" s="27">
        <f>IF($A57="",0,IF(Mitarbeiter!$G$55=FALSE,0,IF(AND(Mitarbeiter!$E$55&lt;&gt;"",L$5+6&lt;Mitarbeiter!$E$55),0,IF(AND(Mitarbeiter!$F$55&lt;&gt;"",L$5&gt;Mitarbeiter!$F$55),0,IF(Planung!L57="",$C57,IF(ISNUMBER(Planung!L57),Planung!L57,IF(UPPER(Planung!L57)="H",$C57/2,0)))))))</f>
        <v>0</v>
      </c>
      <c r="M57" s="27">
        <f>IF($A57="",0,IF(Mitarbeiter!$G$55=FALSE,0,IF(AND(Mitarbeiter!$E$55&lt;&gt;"",M$5+6&lt;Mitarbeiter!$E$55),0,IF(AND(Mitarbeiter!$F$55&lt;&gt;"",M$5&gt;Mitarbeiter!$F$55),0,IF(Planung!M57="",$C57,IF(ISNUMBER(Planung!M57),Planung!M57,IF(UPPER(Planung!M57)="H",$C57/2,0)))))))</f>
        <v>0</v>
      </c>
      <c r="N57" s="27">
        <f>IF($A57="",0,IF(Mitarbeiter!$G$55=FALSE,0,IF(AND(Mitarbeiter!$E$55&lt;&gt;"",N$5+6&lt;Mitarbeiter!$E$55),0,IF(AND(Mitarbeiter!$F$55&lt;&gt;"",N$5&gt;Mitarbeiter!$F$55),0,IF(Planung!N57="",$C57,IF(ISNUMBER(Planung!N57),Planung!N57,IF(UPPER(Planung!N57)="H",$C57/2,0)))))))</f>
        <v>0</v>
      </c>
      <c r="O57" s="27">
        <f>IF($A57="",0,IF(Mitarbeiter!$G$55=FALSE,0,IF(AND(Mitarbeiter!$E$55&lt;&gt;"",O$5+6&lt;Mitarbeiter!$E$55),0,IF(AND(Mitarbeiter!$F$55&lt;&gt;"",O$5&gt;Mitarbeiter!$F$55),0,IF(Planung!O57="",$C57,IF(ISNUMBER(Planung!O57),Planung!O57,IF(UPPER(Planung!O57)="H",$C57/2,0)))))))</f>
        <v>0</v>
      </c>
      <c r="P57" s="27">
        <f>IF($A57="",0,IF(Mitarbeiter!$G$55=FALSE,0,IF(AND(Mitarbeiter!$E$55&lt;&gt;"",P$5+6&lt;Mitarbeiter!$E$55),0,IF(AND(Mitarbeiter!$F$55&lt;&gt;"",P$5&gt;Mitarbeiter!$F$55),0,IF(Planung!P57="",$C57,IF(ISNUMBER(Planung!P57),Planung!P57,IF(UPPER(Planung!P57)="H",$C57/2,0)))))))</f>
        <v>0</v>
      </c>
      <c r="Q57" s="27">
        <f>IF($A57="",0,IF(Mitarbeiter!$G$55=FALSE,0,IF(AND(Mitarbeiter!$E$55&lt;&gt;"",Q$5+6&lt;Mitarbeiter!$E$55),0,IF(AND(Mitarbeiter!$F$55&lt;&gt;"",Q$5&gt;Mitarbeiter!$F$55),0,IF(Planung!Q57="",$C57,IF(ISNUMBER(Planung!Q57),Planung!Q57,IF(UPPER(Planung!Q57)="H",$C57/2,0)))))))</f>
        <v>0</v>
      </c>
      <c r="R57" s="27">
        <f>IF($A57="",0,IF(Mitarbeiter!$G$55=FALSE,0,IF(AND(Mitarbeiter!$E$55&lt;&gt;"",R$5+6&lt;Mitarbeiter!$E$55),0,IF(AND(Mitarbeiter!$F$55&lt;&gt;"",R$5&gt;Mitarbeiter!$F$55),0,IF(Planung!R57="",$C57,IF(ISNUMBER(Planung!R57),Planung!R57,IF(UPPER(Planung!R57)="H",$C57/2,0)))))))</f>
        <v>0</v>
      </c>
      <c r="S57" s="27">
        <f>IF($A57="",0,IF(Mitarbeiter!$G$55=FALSE,0,IF(AND(Mitarbeiter!$E$55&lt;&gt;"",S$5+6&lt;Mitarbeiter!$E$55),0,IF(AND(Mitarbeiter!$F$55&lt;&gt;"",S$5&gt;Mitarbeiter!$F$55),0,IF(Planung!S57="",$C57,IF(ISNUMBER(Planung!S57),Planung!S57,IF(UPPER(Planung!S57)="H",$C57/2,0)))))))</f>
        <v>0</v>
      </c>
      <c r="T57" s="27">
        <f>IF($A57="",0,IF(Mitarbeiter!$G$55=FALSE,0,IF(AND(Mitarbeiter!$E$55&lt;&gt;"",T$5+6&lt;Mitarbeiter!$E$55),0,IF(AND(Mitarbeiter!$F$55&lt;&gt;"",T$5&gt;Mitarbeiter!$F$55),0,IF(Planung!T57="",$C57,IF(ISNUMBER(Planung!T57),Planung!T57,IF(UPPER(Planung!T57)="H",$C57/2,0)))))))</f>
        <v>0</v>
      </c>
      <c r="U57" s="27">
        <f>IF($A57="",0,IF(Mitarbeiter!$G$55=FALSE,0,IF(AND(Mitarbeiter!$E$55&lt;&gt;"",U$5+6&lt;Mitarbeiter!$E$55),0,IF(AND(Mitarbeiter!$F$55&lt;&gt;"",U$5&gt;Mitarbeiter!$F$55),0,IF(Planung!U57="",$C57,IF(ISNUMBER(Planung!U57),Planung!U57,IF(UPPER(Planung!U57)="H",$C57/2,0)))))))</f>
        <v>0</v>
      </c>
      <c r="V57" s="27">
        <f>IF($A57="",0,IF(Mitarbeiter!$G$55=FALSE,0,IF(AND(Mitarbeiter!$E$55&lt;&gt;"",V$5+6&lt;Mitarbeiter!$E$55),0,IF(AND(Mitarbeiter!$F$55&lt;&gt;"",V$5&gt;Mitarbeiter!$F$55),0,IF(Planung!V57="",$C57,IF(ISNUMBER(Planung!V57),Planung!V57,IF(UPPER(Planung!V57)="H",$C57/2,0)))))))</f>
        <v>0</v>
      </c>
      <c r="W57" s="27">
        <f>IF($A57="",0,IF(Mitarbeiter!$G$55=FALSE,0,IF(AND(Mitarbeiter!$E$55&lt;&gt;"",W$5+6&lt;Mitarbeiter!$E$55),0,IF(AND(Mitarbeiter!$F$55&lt;&gt;"",W$5&gt;Mitarbeiter!$F$55),0,IF(Planung!W57="",$C57,IF(ISNUMBER(Planung!W57),Planung!W57,IF(UPPER(Planung!W57)="H",$C57/2,0)))))))</f>
        <v>0</v>
      </c>
      <c r="X57" s="27">
        <f>IF($A57="",0,IF(Mitarbeiter!$G$55=FALSE,0,IF(AND(Mitarbeiter!$E$55&lt;&gt;"",X$5+6&lt;Mitarbeiter!$E$55),0,IF(AND(Mitarbeiter!$F$55&lt;&gt;"",X$5&gt;Mitarbeiter!$F$55),0,IF(Planung!X57="",$C57,IF(ISNUMBER(Planung!X57),Planung!X57,IF(UPPER(Planung!X57)="H",$C57/2,0)))))))</f>
        <v>0</v>
      </c>
      <c r="Y57" s="27">
        <f>IF($A57="",0,IF(Mitarbeiter!$G$55=FALSE,0,IF(AND(Mitarbeiter!$E$55&lt;&gt;"",Y$5+6&lt;Mitarbeiter!$E$55),0,IF(AND(Mitarbeiter!$F$55&lt;&gt;"",Y$5&gt;Mitarbeiter!$F$55),0,IF(Planung!Y57="",$C57,IF(ISNUMBER(Planung!Y57),Planung!Y57,IF(UPPER(Planung!Y57)="H",$C57/2,0)))))))</f>
        <v>0</v>
      </c>
      <c r="Z57" s="27">
        <f>IF($A57="",0,IF(Mitarbeiter!$G$55=FALSE,0,IF(AND(Mitarbeiter!$E$55&lt;&gt;"",Z$5+6&lt;Mitarbeiter!$E$55),0,IF(AND(Mitarbeiter!$F$55&lt;&gt;"",Z$5&gt;Mitarbeiter!$F$55),0,IF(Planung!Z57="",$C57,IF(ISNUMBER(Planung!Z57),Planung!Z57,IF(UPPER(Planung!Z57)="H",$C57/2,0)))))))</f>
        <v>0</v>
      </c>
      <c r="AA57" s="27">
        <f>IF($A57="",0,IF(Mitarbeiter!$G$55=FALSE,0,IF(AND(Mitarbeiter!$E$55&lt;&gt;"",AA$5+6&lt;Mitarbeiter!$E$55),0,IF(AND(Mitarbeiter!$F$55&lt;&gt;"",AA$5&gt;Mitarbeiter!$F$55),0,IF(Planung!AA57="",$C57,IF(ISNUMBER(Planung!AA57),Planung!AA57,IF(UPPER(Planung!AA57)="H",$C57/2,0)))))))</f>
        <v>0</v>
      </c>
      <c r="AB57" s="27">
        <f>IF($A57="",0,IF(Mitarbeiter!$G$55=FALSE,0,IF(AND(Mitarbeiter!$E$55&lt;&gt;"",AB$5+6&lt;Mitarbeiter!$E$55),0,IF(AND(Mitarbeiter!$F$55&lt;&gt;"",AB$5&gt;Mitarbeiter!$F$55),0,IF(Planung!AB57="",$C57,IF(ISNUMBER(Planung!AB57),Planung!AB57,IF(UPPER(Planung!AB57)="H",$C57/2,0)))))))</f>
        <v>0</v>
      </c>
      <c r="AC57" s="27">
        <f>IF($A57="",0,IF(Mitarbeiter!$G$55=FALSE,0,IF(AND(Mitarbeiter!$E$55&lt;&gt;"",AC$5+6&lt;Mitarbeiter!$E$55),0,IF(AND(Mitarbeiter!$F$55&lt;&gt;"",AC$5&gt;Mitarbeiter!$F$55),0,IF(Planung!AC57="",$C57,IF(ISNUMBER(Planung!AC57),Planung!AC57,IF(UPPER(Planung!AC57)="H",$C57/2,0)))))))</f>
        <v>0</v>
      </c>
      <c r="AD57" s="27">
        <f>IF($A57="",0,IF(Mitarbeiter!$G$55=FALSE,0,IF(AND(Mitarbeiter!$E$55&lt;&gt;"",AD$5+6&lt;Mitarbeiter!$E$55),0,IF(AND(Mitarbeiter!$F$55&lt;&gt;"",AD$5&gt;Mitarbeiter!$F$55),0,IF(Planung!AD57="",$C57,IF(ISNUMBER(Planung!AD57),Planung!AD57,IF(UPPER(Planung!AD57)="H",$C57/2,0)))))))</f>
        <v>0</v>
      </c>
      <c r="AE57" s="27">
        <f>IF($A57="",0,IF(Mitarbeiter!$G$55=FALSE,0,IF(AND(Mitarbeiter!$E$55&lt;&gt;"",AE$5+6&lt;Mitarbeiter!$E$55),0,IF(AND(Mitarbeiter!$F$55&lt;&gt;"",AE$5&gt;Mitarbeiter!$F$55),0,IF(Planung!AE57="",$C57,IF(ISNUMBER(Planung!AE57),Planung!AE57,IF(UPPER(Planung!AE57)="H",$C57/2,0)))))))</f>
        <v>0</v>
      </c>
      <c r="AF57" s="27">
        <f>IF($A57="",0,IF(Mitarbeiter!$G$55=FALSE,0,IF(AND(Mitarbeiter!$E$55&lt;&gt;"",AF$5+6&lt;Mitarbeiter!$E$55),0,IF(AND(Mitarbeiter!$F$55&lt;&gt;"",AF$5&gt;Mitarbeiter!$F$55),0,IF(Planung!AF57="",$C57,IF(ISNUMBER(Planung!AF57),Planung!AF57,IF(UPPER(Planung!AF57)="H",$C57/2,0)))))))</f>
        <v>0</v>
      </c>
      <c r="AG57" s="27">
        <f>IF($A57="",0,IF(Mitarbeiter!$G$55=FALSE,0,IF(AND(Mitarbeiter!$E$55&lt;&gt;"",AG$5+6&lt;Mitarbeiter!$E$55),0,IF(AND(Mitarbeiter!$F$55&lt;&gt;"",AG$5&gt;Mitarbeiter!$F$55),0,IF(Planung!AG57="",$C57,IF(ISNUMBER(Planung!AG57),Planung!AG57,IF(UPPER(Planung!AG57)="H",$C57/2,0)))))))</f>
        <v>0</v>
      </c>
      <c r="AH57" s="27">
        <f>IF($A57="",0,IF(Mitarbeiter!$G$55=FALSE,0,IF(AND(Mitarbeiter!$E$55&lt;&gt;"",AH$5+6&lt;Mitarbeiter!$E$55),0,IF(AND(Mitarbeiter!$F$55&lt;&gt;"",AH$5&gt;Mitarbeiter!$F$55),0,IF(Planung!AH57="",$C57,IF(ISNUMBER(Planung!AH57),Planung!AH57,IF(UPPER(Planung!AH57)="H",$C57/2,0)))))))</f>
        <v>0</v>
      </c>
      <c r="AI57" s="27">
        <f>IF($A57="",0,IF(Mitarbeiter!$G$55=FALSE,0,IF(AND(Mitarbeiter!$E$55&lt;&gt;"",AI$5+6&lt;Mitarbeiter!$E$55),0,IF(AND(Mitarbeiter!$F$55&lt;&gt;"",AI$5&gt;Mitarbeiter!$F$55),0,IF(Planung!AI57="",$C57,IF(ISNUMBER(Planung!AI57),Planung!AI57,IF(UPPER(Planung!AI57)="H",$C57/2,0)))))))</f>
        <v>0</v>
      </c>
      <c r="AJ57" s="27">
        <f>IF($A57="",0,IF(Mitarbeiter!$G$55=FALSE,0,IF(AND(Mitarbeiter!$E$55&lt;&gt;"",AJ$5+6&lt;Mitarbeiter!$E$55),0,IF(AND(Mitarbeiter!$F$55&lt;&gt;"",AJ$5&gt;Mitarbeiter!$F$55),0,IF(Planung!AJ57="",$C57,IF(ISNUMBER(Planung!AJ57),Planung!AJ57,IF(UPPER(Planung!AJ57)="H",$C57/2,0)))))))</f>
        <v>0</v>
      </c>
      <c r="AK57" s="27">
        <f>IF($A57="",0,IF(Mitarbeiter!$G$55=FALSE,0,IF(AND(Mitarbeiter!$E$55&lt;&gt;"",AK$5+6&lt;Mitarbeiter!$E$55),0,IF(AND(Mitarbeiter!$F$55&lt;&gt;"",AK$5&gt;Mitarbeiter!$F$55),0,IF(Planung!AK57="",$C57,IF(ISNUMBER(Planung!AK57),Planung!AK57,IF(UPPER(Planung!AK57)="H",$C57/2,0)))))))</f>
        <v>0</v>
      </c>
      <c r="AL57" s="27">
        <f>IF($A57="",0,IF(Mitarbeiter!$G$55=FALSE,0,IF(AND(Mitarbeiter!$E$55&lt;&gt;"",AL$5+6&lt;Mitarbeiter!$E$55),0,IF(AND(Mitarbeiter!$F$55&lt;&gt;"",AL$5&gt;Mitarbeiter!$F$55),0,IF(Planung!AL57="",$C57,IF(ISNUMBER(Planung!AL57),Planung!AL57,IF(UPPER(Planung!AL57)="H",$C57/2,0)))))))</f>
        <v>0</v>
      </c>
      <c r="AM57" s="27">
        <f>IF($A57="",0,IF(Mitarbeiter!$G$55=FALSE,0,IF(AND(Mitarbeiter!$E$55&lt;&gt;"",AM$5+6&lt;Mitarbeiter!$E$55),0,IF(AND(Mitarbeiter!$F$55&lt;&gt;"",AM$5&gt;Mitarbeiter!$F$55),0,IF(Planung!AM57="",$C57,IF(ISNUMBER(Planung!AM57),Planung!AM57,IF(UPPER(Planung!AM57)="H",$C57/2,0)))))))</f>
        <v>0</v>
      </c>
      <c r="AN57" s="27">
        <f>IF($A57="",0,IF(Mitarbeiter!$G$55=FALSE,0,IF(AND(Mitarbeiter!$E$55&lt;&gt;"",AN$5+6&lt;Mitarbeiter!$E$55),0,IF(AND(Mitarbeiter!$F$55&lt;&gt;"",AN$5&gt;Mitarbeiter!$F$55),0,IF(Planung!AN57="",$C57,IF(ISNUMBER(Planung!AN57),Planung!AN57,IF(UPPER(Planung!AN57)="H",$C57/2,0)))))))</f>
        <v>0</v>
      </c>
      <c r="AO57" s="27">
        <f>IF($A57="",0,IF(Mitarbeiter!$G$55=FALSE,0,IF(AND(Mitarbeiter!$E$55&lt;&gt;"",AO$5+6&lt;Mitarbeiter!$E$55),0,IF(AND(Mitarbeiter!$F$55&lt;&gt;"",AO$5&gt;Mitarbeiter!$F$55),0,IF(Planung!AO57="",$C57,IF(ISNUMBER(Planung!AO57),Planung!AO57,IF(UPPER(Planung!AO57)="H",$C57/2,0)))))))</f>
        <v>0</v>
      </c>
      <c r="AP57" s="27">
        <f>IF($A57="",0,IF(Mitarbeiter!$G$55=FALSE,0,IF(AND(Mitarbeiter!$E$55&lt;&gt;"",AP$5+6&lt;Mitarbeiter!$E$55),0,IF(AND(Mitarbeiter!$F$55&lt;&gt;"",AP$5&gt;Mitarbeiter!$F$55),0,IF(Planung!AP57="",$C57,IF(ISNUMBER(Planung!AP57),Planung!AP57,IF(UPPER(Planung!AP57)="H",$C57/2,0)))))))</f>
        <v>0</v>
      </c>
      <c r="AQ57" s="27">
        <f>IF($A57="",0,IF(Mitarbeiter!$G$55=FALSE,0,IF(AND(Mitarbeiter!$E$55&lt;&gt;"",AQ$5+6&lt;Mitarbeiter!$E$55),0,IF(AND(Mitarbeiter!$F$55&lt;&gt;"",AQ$5&gt;Mitarbeiter!$F$55),0,IF(Planung!AQ57="",$C57,IF(ISNUMBER(Planung!AQ57),Planung!AQ57,IF(UPPER(Planung!AQ57)="H",$C57/2,0)))))))</f>
        <v>0</v>
      </c>
      <c r="AR57" s="27">
        <f>IF($A57="",0,IF(Mitarbeiter!$G$55=FALSE,0,IF(AND(Mitarbeiter!$E$55&lt;&gt;"",AR$5+6&lt;Mitarbeiter!$E$55),0,IF(AND(Mitarbeiter!$F$55&lt;&gt;"",AR$5&gt;Mitarbeiter!$F$55),0,IF(Planung!AR57="",$C57,IF(ISNUMBER(Planung!AR57),Planung!AR57,IF(UPPER(Planung!AR57)="H",$C57/2,0)))))))</f>
        <v>0</v>
      </c>
      <c r="AS57" s="27">
        <f>IF($A57="",0,IF(Mitarbeiter!$G$55=FALSE,0,IF(AND(Mitarbeiter!$E$55&lt;&gt;"",AS$5+6&lt;Mitarbeiter!$E$55),0,IF(AND(Mitarbeiter!$F$55&lt;&gt;"",AS$5&gt;Mitarbeiter!$F$55),0,IF(Planung!AS57="",$C57,IF(ISNUMBER(Planung!AS57),Planung!AS57,IF(UPPER(Planung!AS57)="H",$C57/2,0)))))))</f>
        <v>0</v>
      </c>
      <c r="AT57" s="27">
        <f>IF($A57="",0,IF(Mitarbeiter!$G$55=FALSE,0,IF(AND(Mitarbeiter!$E$55&lt;&gt;"",AT$5+6&lt;Mitarbeiter!$E$55),0,IF(AND(Mitarbeiter!$F$55&lt;&gt;"",AT$5&gt;Mitarbeiter!$F$55),0,IF(Planung!AT57="",$C57,IF(ISNUMBER(Planung!AT57),Planung!AT57,IF(UPPER(Planung!AT57)="H",$C57/2,0)))))))</f>
        <v>0</v>
      </c>
      <c r="AU57" s="27">
        <f>IF($A57="",0,IF(Mitarbeiter!$G$55=FALSE,0,IF(AND(Mitarbeiter!$E$55&lt;&gt;"",AU$5+6&lt;Mitarbeiter!$E$55),0,IF(AND(Mitarbeiter!$F$55&lt;&gt;"",AU$5&gt;Mitarbeiter!$F$55),0,IF(Planung!AU57="",$C57,IF(ISNUMBER(Planung!AU57),Planung!AU57,IF(UPPER(Planung!AU57)="H",$C57/2,0)))))))</f>
        <v>0</v>
      </c>
      <c r="AV57" s="27">
        <f>IF($A57="",0,IF(Mitarbeiter!$G$55=FALSE,0,IF(AND(Mitarbeiter!$E$55&lt;&gt;"",AV$5+6&lt;Mitarbeiter!$E$55),0,IF(AND(Mitarbeiter!$F$55&lt;&gt;"",AV$5&gt;Mitarbeiter!$F$55),0,IF(Planung!AV57="",$C57,IF(ISNUMBER(Planung!AV57),Planung!AV57,IF(UPPER(Planung!AV57)="H",$C57/2,0)))))))</f>
        <v>0</v>
      </c>
      <c r="AW57" s="27">
        <f>IF($A57="",0,IF(Mitarbeiter!$G$55=FALSE,0,IF(AND(Mitarbeiter!$E$55&lt;&gt;"",AW$5+6&lt;Mitarbeiter!$E$55),0,IF(AND(Mitarbeiter!$F$55&lt;&gt;"",AW$5&gt;Mitarbeiter!$F$55),0,IF(Planung!AW57="",$C57,IF(ISNUMBER(Planung!AW57),Planung!AW57,IF(UPPER(Planung!AW57)="H",$C57/2,0)))))))</f>
        <v>0</v>
      </c>
      <c r="AX57" s="27">
        <f>IF($A57="",0,IF(Mitarbeiter!$G$55=FALSE,0,IF(AND(Mitarbeiter!$E$55&lt;&gt;"",AX$5+6&lt;Mitarbeiter!$E$55),0,IF(AND(Mitarbeiter!$F$55&lt;&gt;"",AX$5&gt;Mitarbeiter!$F$55),0,IF(Planung!AX57="",$C57,IF(ISNUMBER(Planung!AX57),Planung!AX57,IF(UPPER(Planung!AX57)="H",$C57/2,0)))))))</f>
        <v>0</v>
      </c>
      <c r="AY57" s="27">
        <f>IF($A57="",0,IF(Mitarbeiter!$G$55=FALSE,0,IF(AND(Mitarbeiter!$E$55&lt;&gt;"",AY$5+6&lt;Mitarbeiter!$E$55),0,IF(AND(Mitarbeiter!$F$55&lt;&gt;"",AY$5&gt;Mitarbeiter!$F$55),0,IF(Planung!AY57="",$C57,IF(ISNUMBER(Planung!AY57),Planung!AY57,IF(UPPER(Planung!AY57)="H",$C57/2,0)))))))</f>
        <v>0</v>
      </c>
      <c r="AZ57" s="27">
        <f>IF($A57="",0,IF(Mitarbeiter!$G$55=FALSE,0,IF(AND(Mitarbeiter!$E$55&lt;&gt;"",AZ$5+6&lt;Mitarbeiter!$E$55),0,IF(AND(Mitarbeiter!$F$55&lt;&gt;"",AZ$5&gt;Mitarbeiter!$F$55),0,IF(Planung!AZ57="",$C57,IF(ISNUMBER(Planung!AZ57),Planung!AZ57,IF(UPPER(Planung!AZ57)="H",$C57/2,0)))))))</f>
        <v>0</v>
      </c>
      <c r="BA57" s="27">
        <f>IF($A57="",0,IF(Mitarbeiter!$G$55=FALSE,0,IF(AND(Mitarbeiter!$E$55&lt;&gt;"",BA$5+6&lt;Mitarbeiter!$E$55),0,IF(AND(Mitarbeiter!$F$55&lt;&gt;"",BA$5&gt;Mitarbeiter!$F$55),0,IF(Planung!BA57="",$C57,IF(ISNUMBER(Planung!BA57),Planung!BA57,IF(UPPER(Planung!BA57)="H",$C57/2,0)))))))</f>
        <v>0</v>
      </c>
      <c r="BB57" s="27">
        <f>IF($A57="",0,IF(Mitarbeiter!$G$55=FALSE,0,IF(AND(Mitarbeiter!$E$55&lt;&gt;"",BB$5+6&lt;Mitarbeiter!$E$55),0,IF(AND(Mitarbeiter!$F$55&lt;&gt;"",BB$5&gt;Mitarbeiter!$F$55),0,IF(Planung!BB57="",$C57,IF(ISNUMBER(Planung!BB57),Planung!BB57,IF(UPPER(Planung!BB57)="H",$C57/2,0)))))))</f>
        <v>0</v>
      </c>
      <c r="BC57" s="27">
        <f>IF($A57="",0,IF(Mitarbeiter!$G$55=FALSE,0,IF(AND(Mitarbeiter!$E$55&lt;&gt;"",BC$5+6&lt;Mitarbeiter!$E$55),0,IF(AND(Mitarbeiter!$F$55&lt;&gt;"",BC$5&gt;Mitarbeiter!$F$55),0,IF(Planung!BC57="",$C57,IF(ISNUMBER(Planung!BC57),Planung!BC57,IF(UPPER(Planung!BC57)="H",$C57/2,0)))))))</f>
        <v>0</v>
      </c>
      <c r="BD57" s="27">
        <f>IF($A57="",0,IF(Mitarbeiter!$G$55=FALSE,0,IF(AND(Mitarbeiter!$E$55&lt;&gt;"",BD$5+6&lt;Mitarbeiter!$E$55),0,IF(AND(Mitarbeiter!$F$55&lt;&gt;"",BD$5&gt;Mitarbeiter!$F$55),0,IF(Planung!BD57="",$C57,IF(ISNUMBER(Planung!BD57),Planung!BD57,IF(UPPER(Planung!BD57)="H",$C57/2,0)))))))</f>
        <v>0</v>
      </c>
      <c r="BE57" s="27">
        <f>IF($A57="",0,IF(Mitarbeiter!$G$55=FALSE,0,IF(AND(Mitarbeiter!$E$55&lt;&gt;"",BE$5+6&lt;Mitarbeiter!$E$55),0,IF(AND(Mitarbeiter!$F$55&lt;&gt;"",BE$5&gt;Mitarbeiter!$F$55),0,IF(Planung!BE57="",$C57,IF(ISNUMBER(Planung!BE57),Planung!BE57,IF(UPPER(Planung!BE57)="H",$C57/2,0)))))))</f>
        <v>0</v>
      </c>
      <c r="BF57" s="27">
        <f>IF($A57="",0,IF(Mitarbeiter!$G$55=FALSE,0,IF(AND(Mitarbeiter!$E$55&lt;&gt;"",BF$5+6&lt;Mitarbeiter!$E$55),0,IF(AND(Mitarbeiter!$F$55&lt;&gt;"",BF$5&gt;Mitarbeiter!$F$55),0,IF(Planung!BF57="",$C57,IF(ISNUMBER(Planung!BF57),Planung!BF57,IF(UPPER(Planung!BF57)="H",$C57/2,0)))))))</f>
        <v>0</v>
      </c>
      <c r="BG57" s="27">
        <f>IF($A57="",0,IF(Mitarbeiter!$G$55=FALSE,0,IF(AND(Mitarbeiter!$E$55&lt;&gt;"",BG$5+6&lt;Mitarbeiter!$E$55),0,IF(AND(Mitarbeiter!$F$55&lt;&gt;"",BG$5&gt;Mitarbeiter!$F$55),0,IF(Planung!BG57="",$C57,IF(ISNUMBER(Planung!BG57),Planung!BG57,IF(UPPER(Planung!BG57)="H",$C57/2,0)))))))</f>
        <v>0</v>
      </c>
      <c r="BH57" s="27">
        <f>IF($A57="",0,IF(Mitarbeiter!$G$55=FALSE,0,IF(AND(Mitarbeiter!$E$55&lt;&gt;"",BH$5+6&lt;Mitarbeiter!$E$55),0,IF(AND(Mitarbeiter!$F$55&lt;&gt;"",BH$5&gt;Mitarbeiter!$F$55),0,IF(Planung!BH57="",$C57,IF(ISNUMBER(Planung!BH57),Planung!BH57,IF(UPPER(Planung!BH57)="H",$C57/2,0)))))))</f>
        <v>0</v>
      </c>
      <c r="BI57" s="27">
        <f>IF($A57="",0,IF(Mitarbeiter!$G$55=FALSE,0,IF(AND(Mitarbeiter!$E$55&lt;&gt;"",BI$5+6&lt;Mitarbeiter!$E$55),0,IF(AND(Mitarbeiter!$F$55&lt;&gt;"",BI$5&gt;Mitarbeiter!$F$55),0,IF(Planung!BI57="",$C57,IF(ISNUMBER(Planung!BI57),Planung!BI57,IF(UPPER(Planung!BI57)="H",$C57/2,0)))))))</f>
        <v>0</v>
      </c>
      <c r="BJ57" s="27">
        <f>IF($A57="",0,IF(Mitarbeiter!$G$55=FALSE,0,IF(AND(Mitarbeiter!$E$55&lt;&gt;"",BJ$5+6&lt;Mitarbeiter!$E$55),0,IF(AND(Mitarbeiter!$F$55&lt;&gt;"",BJ$5&gt;Mitarbeiter!$F$55),0,IF(Planung!BJ57="",$C57,IF(ISNUMBER(Planung!BJ57),Planung!BJ57,IF(UPPER(Planung!BJ57)="H",$C57/2,0)))))))</f>
        <v>0</v>
      </c>
      <c r="BK57" s="27">
        <f>IF($A57="",0,IF(Mitarbeiter!$G$55=FALSE,0,IF(AND(Mitarbeiter!$E$55&lt;&gt;"",BK$5+6&lt;Mitarbeiter!$E$55),0,IF(AND(Mitarbeiter!$F$55&lt;&gt;"",BK$5&gt;Mitarbeiter!$F$55),0,IF(Planung!BK57="",$C57,IF(ISNUMBER(Planung!BK57),Planung!BK57,IF(UPPER(Planung!BK57)="H",$C57/2,0)))))))</f>
        <v>0</v>
      </c>
      <c r="BL57" s="27">
        <f>IF($A57="",0,IF(Mitarbeiter!$G$55=FALSE,0,IF(AND(Mitarbeiter!$E$55&lt;&gt;"",BL$5+6&lt;Mitarbeiter!$E$55),0,IF(AND(Mitarbeiter!$F$55&lt;&gt;"",BL$5&gt;Mitarbeiter!$F$55),0,IF(Planung!BL57="",$C57,IF(ISNUMBER(Planung!BL57),Planung!BL57,IF(UPPER(Planung!BL57)="H",$C57/2,0)))))))</f>
        <v>0</v>
      </c>
      <c r="BM57" s="27">
        <f>IF($A57="",0,IF(Mitarbeiter!$G$55=FALSE,0,IF(AND(Mitarbeiter!$E$55&lt;&gt;"",BM$5+6&lt;Mitarbeiter!$E$55),0,IF(AND(Mitarbeiter!$F$55&lt;&gt;"",BM$5&gt;Mitarbeiter!$F$55),0,IF(Planung!BM57="",$C57,IF(ISNUMBER(Planung!BM57),Planung!BM57,IF(UPPER(Planung!BM57)="H",$C57/2,0)))))))</f>
        <v>0</v>
      </c>
      <c r="BN57" s="27">
        <f>IF($A57="",0,IF(Mitarbeiter!$G$55=FALSE,0,IF(AND(Mitarbeiter!$E$55&lt;&gt;"",BN$5+6&lt;Mitarbeiter!$E$55),0,IF(AND(Mitarbeiter!$F$55&lt;&gt;"",BN$5&gt;Mitarbeiter!$F$55),0,IF(Planung!BN57="",$C57,IF(ISNUMBER(Planung!BN57),Planung!BN57,IF(UPPER(Planung!BN57)="H",$C57/2,0)))))))</f>
        <v>0</v>
      </c>
      <c r="BO57" s="27">
        <f>IF($A57="",0,IF(Mitarbeiter!$G$55=FALSE,0,IF(AND(Mitarbeiter!$E$55&lt;&gt;"",BO$5+6&lt;Mitarbeiter!$E$55),0,IF(AND(Mitarbeiter!$F$55&lt;&gt;"",BO$5&gt;Mitarbeiter!$F$55),0,IF(Planung!BO57="",$C57,IF(ISNUMBER(Planung!BO57),Planung!BO57,IF(UPPER(Planung!BO57)="H",$C57/2,0)))))))</f>
        <v>0</v>
      </c>
      <c r="BP57" s="27">
        <f>IF($A57="",0,IF(Mitarbeiter!$G$55=FALSE,0,IF(AND(Mitarbeiter!$E$55&lt;&gt;"",BP$5+6&lt;Mitarbeiter!$E$55),0,IF(AND(Mitarbeiter!$F$55&lt;&gt;"",BP$5&gt;Mitarbeiter!$F$55),0,IF(Planung!BP57="",$C57,IF(ISNUMBER(Planung!BP57),Planung!BP57,IF(UPPER(Planung!BP57)="H",$C57/2,0)))))))</f>
        <v>0</v>
      </c>
      <c r="BQ57" s="27">
        <f>IF($A57="",0,IF(Mitarbeiter!$G$55=FALSE,0,IF(AND(Mitarbeiter!$E$55&lt;&gt;"",BQ$5+6&lt;Mitarbeiter!$E$55),0,IF(AND(Mitarbeiter!$F$55&lt;&gt;"",BQ$5&gt;Mitarbeiter!$F$55),0,IF(Planung!BQ57="",$C57,IF(ISNUMBER(Planung!BQ57),Planung!BQ57,IF(UPPER(Planung!BQ57)="H",$C57/2,0)))))))</f>
        <v>0</v>
      </c>
      <c r="BR57" s="27">
        <f>IF($A57="",0,IF(Mitarbeiter!$G$55=FALSE,0,IF(AND(Mitarbeiter!$E$55&lt;&gt;"",BR$5+6&lt;Mitarbeiter!$E$55),0,IF(AND(Mitarbeiter!$F$55&lt;&gt;"",BR$5&gt;Mitarbeiter!$F$55),0,IF(Planung!BR57="",$C57,IF(ISNUMBER(Planung!BR57),Planung!BR57,IF(UPPER(Planung!BR57)="H",$C57/2,0)))))))</f>
        <v>0</v>
      </c>
      <c r="BS57" s="27">
        <f>IF($A57="",0,IF(Mitarbeiter!$G$55=FALSE,0,IF(AND(Mitarbeiter!$E$55&lt;&gt;"",BS$5+6&lt;Mitarbeiter!$E$55),0,IF(AND(Mitarbeiter!$F$55&lt;&gt;"",BS$5&gt;Mitarbeiter!$F$55),0,IF(Planung!BS57="",$C57,IF(ISNUMBER(Planung!BS57),Planung!BS57,IF(UPPER(Planung!BS57)="H",$C57/2,0)))))))</f>
        <v>0</v>
      </c>
      <c r="BT57" s="27">
        <f>IF($A57="",0,IF(Mitarbeiter!$G$55=FALSE,0,IF(AND(Mitarbeiter!$E$55&lt;&gt;"",BT$5+6&lt;Mitarbeiter!$E$55),0,IF(AND(Mitarbeiter!$F$55&lt;&gt;"",BT$5&gt;Mitarbeiter!$F$55),0,IF(Planung!BT57="",$C57,IF(ISNUMBER(Planung!BT57),Planung!BT57,IF(UPPER(Planung!BT57)="H",$C57/2,0)))))))</f>
        <v>0</v>
      </c>
      <c r="BU57" s="27">
        <f>IF($A57="",0,IF(Mitarbeiter!$G$55=FALSE,0,IF(AND(Mitarbeiter!$E$55&lt;&gt;"",BU$5+6&lt;Mitarbeiter!$E$55),0,IF(AND(Mitarbeiter!$F$55&lt;&gt;"",BU$5&gt;Mitarbeiter!$F$55),0,IF(Planung!BU57="",$C57,IF(ISNUMBER(Planung!BU57),Planung!BU57,IF(UPPER(Planung!BU57)="H",$C57/2,0)))))))</f>
        <v>0</v>
      </c>
      <c r="BV57" s="27">
        <f>IF($A57="",0,IF(Mitarbeiter!$G$55=FALSE,0,IF(AND(Mitarbeiter!$E$55&lt;&gt;"",BV$5+6&lt;Mitarbeiter!$E$55),0,IF(AND(Mitarbeiter!$F$55&lt;&gt;"",BV$5&gt;Mitarbeiter!$F$55),0,IF(Planung!BV57="",$C57,IF(ISNUMBER(Planung!BV57),Planung!BV57,IF(UPPER(Planung!BV57)="H",$C57/2,0)))))))</f>
        <v>0</v>
      </c>
      <c r="BW57" s="27">
        <f>IF($A57="",0,IF(Mitarbeiter!$G$55=FALSE,0,IF(AND(Mitarbeiter!$E$55&lt;&gt;"",BW$5+6&lt;Mitarbeiter!$E$55),0,IF(AND(Mitarbeiter!$F$55&lt;&gt;"",BW$5&gt;Mitarbeiter!$F$55),0,IF(Planung!BW57="",$C57,IF(ISNUMBER(Planung!BW57),Planung!BW57,IF(UPPER(Planung!BW57)="H",$C57/2,0)))))))</f>
        <v>0</v>
      </c>
      <c r="BX57" s="27">
        <f>IF($A57="",0,IF(Mitarbeiter!$G$55=FALSE,0,IF(AND(Mitarbeiter!$E$55&lt;&gt;"",BX$5+6&lt;Mitarbeiter!$E$55),0,IF(AND(Mitarbeiter!$F$55&lt;&gt;"",BX$5&gt;Mitarbeiter!$F$55),0,IF(Planung!BX57="",$C57,IF(ISNUMBER(Planung!BX57),Planung!BX57,IF(UPPER(Planung!BX57)="H",$C57/2,0)))))))</f>
        <v>0</v>
      </c>
      <c r="BY57" s="27">
        <f>IF($A57="",0,IF(Mitarbeiter!$G$55=FALSE,0,IF(AND(Mitarbeiter!$E$55&lt;&gt;"",BY$5+6&lt;Mitarbeiter!$E$55),0,IF(AND(Mitarbeiter!$F$55&lt;&gt;"",BY$5&gt;Mitarbeiter!$F$55),0,IF(Planung!BY57="",$C57,IF(ISNUMBER(Planung!BY57),Planung!BY57,IF(UPPER(Planung!BY57)="H",$C57/2,0)))))))</f>
        <v>0</v>
      </c>
      <c r="BZ57" s="27">
        <f>IF($A57="",0,IF(Mitarbeiter!$G$55=FALSE,0,IF(AND(Mitarbeiter!$E$55&lt;&gt;"",BZ$5+6&lt;Mitarbeiter!$E$55),0,IF(AND(Mitarbeiter!$F$55&lt;&gt;"",BZ$5&gt;Mitarbeiter!$F$55),0,IF(Planung!BZ57="",$C57,IF(ISNUMBER(Planung!BZ57),Planung!BZ57,IF(UPPER(Planung!BZ57)="H",$C57/2,0)))))))</f>
        <v>0</v>
      </c>
      <c r="CA57" s="27">
        <f>IF($A57="",0,IF(Mitarbeiter!$G$55=FALSE,0,IF(AND(Mitarbeiter!$E$55&lt;&gt;"",CA$5+6&lt;Mitarbeiter!$E$55),0,IF(AND(Mitarbeiter!$F$55&lt;&gt;"",CA$5&gt;Mitarbeiter!$F$55),0,IF(Planung!CA57="",$C57,IF(ISNUMBER(Planung!CA57),Planung!CA57,IF(UPPER(Planung!CA57)="H",$C57/2,0)))))))</f>
        <v>0</v>
      </c>
      <c r="CB57" s="27">
        <f>IF($A57="",0,IF(Mitarbeiter!$G$55=FALSE,0,IF(AND(Mitarbeiter!$E$55&lt;&gt;"",CB$5+6&lt;Mitarbeiter!$E$55),0,IF(AND(Mitarbeiter!$F$55&lt;&gt;"",CB$5&gt;Mitarbeiter!$F$55),0,IF(Planung!CB57="",$C57,IF(ISNUMBER(Planung!CB57),Planung!CB57,IF(UPPER(Planung!CB57)="H",$C57/2,0)))))))</f>
        <v>0</v>
      </c>
      <c r="CC57" s="27">
        <f>IF($A57="",0,IF(Mitarbeiter!$G$55=FALSE,0,IF(AND(Mitarbeiter!$E$55&lt;&gt;"",CC$5+6&lt;Mitarbeiter!$E$55),0,IF(AND(Mitarbeiter!$F$55&lt;&gt;"",CC$5&gt;Mitarbeiter!$F$55),0,IF(Planung!CC57="",$C57,IF(ISNUMBER(Planung!CC57),Planung!CC57,IF(UPPER(Planung!CC57)="H",$C57/2,0)))))))</f>
        <v>0</v>
      </c>
      <c r="CD57" s="27">
        <f>IF($A57="",0,IF(Mitarbeiter!$G$55=FALSE,0,IF(AND(Mitarbeiter!$E$55&lt;&gt;"",CD$5+6&lt;Mitarbeiter!$E$55),0,IF(AND(Mitarbeiter!$F$55&lt;&gt;"",CD$5&gt;Mitarbeiter!$F$55),0,IF(Planung!CD57="",$C57,IF(ISNUMBER(Planung!CD57),Planung!CD57,IF(UPPER(Planung!CD57)="H",$C57/2,0)))))))</f>
        <v>0</v>
      </c>
      <c r="CE57" s="27">
        <f>IF($A57="",0,IF(Mitarbeiter!$G$55=FALSE,0,IF(AND(Mitarbeiter!$E$55&lt;&gt;"",CE$5+6&lt;Mitarbeiter!$E$55),0,IF(AND(Mitarbeiter!$F$55&lt;&gt;"",CE$5&gt;Mitarbeiter!$F$55),0,IF(Planung!CE57="",$C57,IF(ISNUMBER(Planung!CE57),Planung!CE57,IF(UPPER(Planung!CE57)="H",$C57/2,0)))))))</f>
        <v>0</v>
      </c>
      <c r="CF57" s="27">
        <f>IF($A57="",0,IF(Mitarbeiter!$G$55=FALSE,0,IF(AND(Mitarbeiter!$E$55&lt;&gt;"",CF$5+6&lt;Mitarbeiter!$E$55),0,IF(AND(Mitarbeiter!$F$55&lt;&gt;"",CF$5&gt;Mitarbeiter!$F$55),0,IF(Planung!CF57="",$C57,IF(ISNUMBER(Planung!CF57),Planung!CF57,IF(UPPER(Planung!CF57)="H",$C57/2,0)))))))</f>
        <v>0</v>
      </c>
      <c r="CG57" s="27">
        <f>IF($A57="",0,IF(Mitarbeiter!$G$55=FALSE,0,IF(AND(Mitarbeiter!$E$55&lt;&gt;"",CG$5+6&lt;Mitarbeiter!$E$55),0,IF(AND(Mitarbeiter!$F$55&lt;&gt;"",CG$5&gt;Mitarbeiter!$F$55),0,IF(Planung!CG57="",$C57,IF(ISNUMBER(Planung!CG57),Planung!CG57,IF(UPPER(Planung!CG57)="H",$C57/2,0)))))))</f>
        <v>0</v>
      </c>
      <c r="CH57" s="27">
        <f>IF($A57="",0,IF(Mitarbeiter!$G$55=FALSE,0,IF(AND(Mitarbeiter!$E$55&lt;&gt;"",CH$5+6&lt;Mitarbeiter!$E$55),0,IF(AND(Mitarbeiter!$F$55&lt;&gt;"",CH$5&gt;Mitarbeiter!$F$55),0,IF(Planung!CH57="",$C57,IF(ISNUMBER(Planung!CH57),Planung!CH57,IF(UPPER(Planung!CH57)="H",$C57/2,0)))))))</f>
        <v>0</v>
      </c>
      <c r="CI57" s="27">
        <f>IF($A57="",0,IF(Mitarbeiter!$G$55=FALSE,0,IF(AND(Mitarbeiter!$E$55&lt;&gt;"",CI$5+6&lt;Mitarbeiter!$E$55),0,IF(AND(Mitarbeiter!$F$55&lt;&gt;"",CI$5&gt;Mitarbeiter!$F$55),0,IF(Planung!CI57="",$C57,IF(ISNUMBER(Planung!CI57),Planung!CI57,IF(UPPER(Planung!CI57)="H",$C57/2,0)))))))</f>
        <v>0</v>
      </c>
      <c r="CJ57" s="27">
        <f>IF($A57="",0,IF(Mitarbeiter!$G$55=FALSE,0,IF(AND(Mitarbeiter!$E$55&lt;&gt;"",CJ$5+6&lt;Mitarbeiter!$E$55),0,IF(AND(Mitarbeiter!$F$55&lt;&gt;"",CJ$5&gt;Mitarbeiter!$F$55),0,IF(Planung!CJ57="",$C57,IF(ISNUMBER(Planung!CJ57),Planung!CJ57,IF(UPPER(Planung!CJ57)="H",$C57/2,0)))))))</f>
        <v>0</v>
      </c>
      <c r="CK57" s="27">
        <f>IF($A57="",0,IF(Mitarbeiter!$G$55=FALSE,0,IF(AND(Mitarbeiter!$E$55&lt;&gt;"",CK$5+6&lt;Mitarbeiter!$E$55),0,IF(AND(Mitarbeiter!$F$55&lt;&gt;"",CK$5&gt;Mitarbeiter!$F$55),0,IF(Planung!CK57="",$C57,IF(ISNUMBER(Planung!CK57),Planung!CK57,IF(UPPER(Planung!CK57)="H",$C57/2,0)))))))</f>
        <v>0</v>
      </c>
      <c r="CL57" s="27">
        <f>IF($A57="",0,IF(Mitarbeiter!$G$55=FALSE,0,IF(AND(Mitarbeiter!$E$55&lt;&gt;"",CL$5+6&lt;Mitarbeiter!$E$55),0,IF(AND(Mitarbeiter!$F$55&lt;&gt;"",CL$5&gt;Mitarbeiter!$F$55),0,IF(Planung!CL57="",$C57,IF(ISNUMBER(Planung!CL57),Planung!CL57,IF(UPPER(Planung!CL57)="H",$C57/2,0)))))))</f>
        <v>0</v>
      </c>
      <c r="CM57" s="27">
        <f>IF($A57="",0,IF(Mitarbeiter!$G$55=FALSE,0,IF(AND(Mitarbeiter!$E$55&lt;&gt;"",CM$5+6&lt;Mitarbeiter!$E$55),0,IF(AND(Mitarbeiter!$F$55&lt;&gt;"",CM$5&gt;Mitarbeiter!$F$55),0,IF(Planung!CM57="",$C57,IF(ISNUMBER(Planung!CM57),Planung!CM57,IF(UPPER(Planung!CM57)="H",$C57/2,0)))))))</f>
        <v>0</v>
      </c>
      <c r="CN57" s="27">
        <f>IF($A57="",0,IF(Mitarbeiter!$G$55=FALSE,0,IF(AND(Mitarbeiter!$E$55&lt;&gt;"",CN$5+6&lt;Mitarbeiter!$E$55),0,IF(AND(Mitarbeiter!$F$55&lt;&gt;"",CN$5&gt;Mitarbeiter!$F$55),0,IF(Planung!CN57="",$C57,IF(ISNUMBER(Planung!CN57),Planung!CN57,IF(UPPER(Planung!CN57)="H",$C57/2,0)))))))</f>
        <v>0</v>
      </c>
      <c r="CO57" s="27">
        <f>IF($A57="",0,IF(Mitarbeiter!$G$55=FALSE,0,IF(AND(Mitarbeiter!$E$55&lt;&gt;"",CO$5+6&lt;Mitarbeiter!$E$55),0,IF(AND(Mitarbeiter!$F$55&lt;&gt;"",CO$5&gt;Mitarbeiter!$F$55),0,IF(Planung!CO57="",$C57,IF(ISNUMBER(Planung!CO57),Planung!CO57,IF(UPPER(Planung!CO57)="H",$C57/2,0)))))))</f>
        <v>0</v>
      </c>
      <c r="CP57" s="27">
        <f>IF($A57="",0,IF(Mitarbeiter!$G$55=FALSE,0,IF(AND(Mitarbeiter!$E$55&lt;&gt;"",CP$5+6&lt;Mitarbeiter!$E$55),0,IF(AND(Mitarbeiter!$F$55&lt;&gt;"",CP$5&gt;Mitarbeiter!$F$55),0,IF(Planung!CP57="",$C57,IF(ISNUMBER(Planung!CP57),Planung!CP57,IF(UPPER(Planung!CP57)="H",$C57/2,0)))))))</f>
        <v>0</v>
      </c>
      <c r="CQ57" s="27">
        <f>IF($A57="",0,IF(Mitarbeiter!$G$55=FALSE,0,IF(AND(Mitarbeiter!$E$55&lt;&gt;"",CQ$5+6&lt;Mitarbeiter!$E$55),0,IF(AND(Mitarbeiter!$F$55&lt;&gt;"",CQ$5&gt;Mitarbeiter!$F$55),0,IF(Planung!CQ57="",$C57,IF(ISNUMBER(Planung!CQ57),Planung!CQ57,IF(UPPER(Planung!CQ57)="H",$C57/2,0)))))))</f>
        <v>0</v>
      </c>
      <c r="CR57" s="27">
        <f>IF($A57="",0,IF(Mitarbeiter!$G$55=FALSE,0,IF(AND(Mitarbeiter!$E$55&lt;&gt;"",CR$5+6&lt;Mitarbeiter!$E$55),0,IF(AND(Mitarbeiter!$F$55&lt;&gt;"",CR$5&gt;Mitarbeiter!$F$55),0,IF(Planung!CR57="",$C57,IF(ISNUMBER(Planung!CR57),Planung!CR57,IF(UPPER(Planung!CR57)="H",$C57/2,0)))))))</f>
        <v>0</v>
      </c>
      <c r="CS57" s="27">
        <f>IF($A57="",0,IF(Mitarbeiter!$G$55=FALSE,0,IF(AND(Mitarbeiter!$E$55&lt;&gt;"",CS$5+6&lt;Mitarbeiter!$E$55),0,IF(AND(Mitarbeiter!$F$55&lt;&gt;"",CS$5&gt;Mitarbeiter!$F$55),0,IF(Planung!CS57="",$C57,IF(ISNUMBER(Planung!CS57),Planung!CS57,IF(UPPER(Planung!CS57)="H",$C57/2,0)))))))</f>
        <v>0</v>
      </c>
      <c r="CT57" s="27">
        <f>IF($A57="",0,IF(Mitarbeiter!$G$55=FALSE,0,IF(AND(Mitarbeiter!$E$55&lt;&gt;"",CT$5+6&lt;Mitarbeiter!$E$55),0,IF(AND(Mitarbeiter!$F$55&lt;&gt;"",CT$5&gt;Mitarbeiter!$F$55),0,IF(Planung!CT57="",$C57,IF(ISNUMBER(Planung!CT57),Planung!CT57,IF(UPPER(Planung!CT57)="H",$C57/2,0)))))))</f>
        <v>0</v>
      </c>
      <c r="CU57" s="27">
        <f>IF($A57="",0,IF(Mitarbeiter!$G$55=FALSE,0,IF(AND(Mitarbeiter!$E$55&lt;&gt;"",CU$5+6&lt;Mitarbeiter!$E$55),0,IF(AND(Mitarbeiter!$F$55&lt;&gt;"",CU$5&gt;Mitarbeiter!$F$55),0,IF(Planung!CU57="",$C57,IF(ISNUMBER(Planung!CU57),Planung!CU57,IF(UPPER(Planung!CU57)="H",$C57/2,0)))))))</f>
        <v>0</v>
      </c>
      <c r="CV57" s="27">
        <f>IF($A57="",0,IF(Mitarbeiter!$G$55=FALSE,0,IF(AND(Mitarbeiter!$E$55&lt;&gt;"",CV$5+6&lt;Mitarbeiter!$E$55),0,IF(AND(Mitarbeiter!$F$55&lt;&gt;"",CV$5&gt;Mitarbeiter!$F$55),0,IF(Planung!CV57="",$C57,IF(ISNUMBER(Planung!CV57),Planung!CV57,IF(UPPER(Planung!CV57)="H",$C57/2,0)))))))</f>
        <v>0</v>
      </c>
      <c r="CW57" s="27">
        <f>IF($A57="",0,IF(Mitarbeiter!$G$55=FALSE,0,IF(AND(Mitarbeiter!$E$55&lt;&gt;"",CW$5+6&lt;Mitarbeiter!$E$55),0,IF(AND(Mitarbeiter!$F$55&lt;&gt;"",CW$5&gt;Mitarbeiter!$F$55),0,IF(Planung!CW57="",$C57,IF(ISNUMBER(Planung!CW57),Planung!CW57,IF(UPPER(Planung!CW57)="H",$C57/2,0)))))))</f>
        <v>0</v>
      </c>
      <c r="CX57" s="27">
        <f>IF($A57="",0,IF(Mitarbeiter!$G$55=FALSE,0,IF(AND(Mitarbeiter!$E$55&lt;&gt;"",CX$5+6&lt;Mitarbeiter!$E$55),0,IF(AND(Mitarbeiter!$F$55&lt;&gt;"",CX$5&gt;Mitarbeiter!$F$55),0,IF(Planung!CX57="",$C57,IF(ISNUMBER(Planung!CX57),Planung!CX57,IF(UPPER(Planung!CX57)="H",$C57/2,0)))))))</f>
        <v>0</v>
      </c>
      <c r="CY57" s="27">
        <f>IF($A57="",0,IF(Mitarbeiter!$G$55=FALSE,0,IF(AND(Mitarbeiter!$E$55&lt;&gt;"",CY$5+6&lt;Mitarbeiter!$E$55),0,IF(AND(Mitarbeiter!$F$55&lt;&gt;"",CY$5&gt;Mitarbeiter!$F$55),0,IF(Planung!CY57="",$C57,IF(ISNUMBER(Planung!CY57),Planung!CY57,IF(UPPER(Planung!CY57)="H",$C57/2,0)))))))</f>
        <v>0</v>
      </c>
      <c r="CZ57" s="27">
        <f>IF($A57="",0,IF(Mitarbeiter!$G$55=FALSE,0,IF(AND(Mitarbeiter!$E$55&lt;&gt;"",CZ$5+6&lt;Mitarbeiter!$E$55),0,IF(AND(Mitarbeiter!$F$55&lt;&gt;"",CZ$5&gt;Mitarbeiter!$F$55),0,IF(Planung!CZ57="",$C57,IF(ISNUMBER(Planung!CZ57),Planung!CZ57,IF(UPPER(Planung!CZ57)="H",$C57/2,0)))))))</f>
        <v>0</v>
      </c>
      <c r="DA57" s="27">
        <f>IF($A57="",0,IF(Mitarbeiter!$G$55=FALSE,0,IF(AND(Mitarbeiter!$E$55&lt;&gt;"",DA$5+6&lt;Mitarbeiter!$E$55),0,IF(AND(Mitarbeiter!$F$55&lt;&gt;"",DA$5&gt;Mitarbeiter!$F$55),0,IF(Planung!DA57="",$C57,IF(ISNUMBER(Planung!DA57),Planung!DA57,IF(UPPER(Planung!DA57)="H",$C57/2,0)))))))</f>
        <v>0</v>
      </c>
      <c r="DB57" s="27">
        <f>IF($A57="",0,IF(Mitarbeiter!$G$55=FALSE,0,IF(AND(Mitarbeiter!$E$55&lt;&gt;"",DB$5+6&lt;Mitarbeiter!$E$55),0,IF(AND(Mitarbeiter!$F$55&lt;&gt;"",DB$5&gt;Mitarbeiter!$F$55),0,IF(Planung!DB57="",$C57,IF(ISNUMBER(Planung!DB57),Planung!DB57,IF(UPPER(Planung!DB57)="H",$C57/2,0)))))))</f>
        <v>0</v>
      </c>
      <c r="DC57" s="27">
        <f>IF($A57="",0,IF(Mitarbeiter!$G$55=FALSE,0,IF(AND(Mitarbeiter!$E$55&lt;&gt;"",DC$5+6&lt;Mitarbeiter!$E$55),0,IF(AND(Mitarbeiter!$F$55&lt;&gt;"",DC$5&gt;Mitarbeiter!$F$55),0,IF(Planung!DC57="",$C57,IF(ISNUMBER(Planung!DC57),Planung!DC57,IF(UPPER(Planung!DC57)="H",$C57/2,0)))))))</f>
        <v>0</v>
      </c>
      <c r="DD57" s="27">
        <f>IF($A57="",0,IF(Mitarbeiter!$G$55=FALSE,0,IF(AND(Mitarbeiter!$E$55&lt;&gt;"",DD$5+6&lt;Mitarbeiter!$E$55),0,IF(AND(Mitarbeiter!$F$55&lt;&gt;"",DD$5&gt;Mitarbeiter!$F$55),0,IF(Planung!DD57="",$C57,IF(ISNUMBER(Planung!DD57),Planung!DD57,IF(UPPER(Planung!DD57)="H",$C57/2,0)))))))</f>
        <v>0</v>
      </c>
      <c r="DE57" s="27">
        <f>IF($A57="",0,IF(Mitarbeiter!$G$55=FALSE,0,IF(AND(Mitarbeiter!$E$55&lt;&gt;"",DE$5+6&lt;Mitarbeiter!$E$55),0,IF(AND(Mitarbeiter!$F$55&lt;&gt;"",DE$5&gt;Mitarbeiter!$F$55),0,IF(Planung!DE57="",$C57,IF(ISNUMBER(Planung!DE57),Planung!DE57,IF(UPPER(Planung!DE57)="H",$C57/2,0)))))))</f>
        <v>0</v>
      </c>
      <c r="DF57" s="27">
        <f>IF($A57="",0,IF(Mitarbeiter!$G$55=FALSE,0,IF(AND(Mitarbeiter!$E$55&lt;&gt;"",DF$5+6&lt;Mitarbeiter!$E$55),0,IF(AND(Mitarbeiter!$F$55&lt;&gt;"",DF$5&gt;Mitarbeiter!$F$55),0,IF(Planung!DF57="",$C57,IF(ISNUMBER(Planung!DF57),Planung!DF57,IF(UPPER(Planung!DF57)="H",$C57/2,0)))))))</f>
        <v>0</v>
      </c>
      <c r="DG57" s="27">
        <f>IF($A57="",0,IF(Mitarbeiter!$G$55=FALSE,0,IF(AND(Mitarbeiter!$E$55&lt;&gt;"",DG$5+6&lt;Mitarbeiter!$E$55),0,IF(AND(Mitarbeiter!$F$55&lt;&gt;"",DG$5&gt;Mitarbeiter!$F$55),0,IF(Planung!DG57="",$C57,IF(ISNUMBER(Planung!DG57),Planung!DG57,IF(UPPER(Planung!DG57)="H",$C57/2,0)))))))</f>
        <v>0</v>
      </c>
      <c r="DH57" s="27">
        <f>IF($A57="",0,IF(Mitarbeiter!$G$55=FALSE,0,IF(AND(Mitarbeiter!$E$55&lt;&gt;"",DH$5+6&lt;Mitarbeiter!$E$55),0,IF(AND(Mitarbeiter!$F$55&lt;&gt;"",DH$5&gt;Mitarbeiter!$F$55),0,IF(Planung!DH57="",$C57,IF(ISNUMBER(Planung!DH57),Planung!DH57,IF(UPPER(Planung!DH57)="H",$C57/2,0)))))))</f>
        <v>0</v>
      </c>
      <c r="DI57" s="27">
        <f>IF($A57="",0,IF(Mitarbeiter!$G$55=FALSE,0,IF(AND(Mitarbeiter!$E$55&lt;&gt;"",DI$5+6&lt;Mitarbeiter!$E$55),0,IF(AND(Mitarbeiter!$F$55&lt;&gt;"",DI$5&gt;Mitarbeiter!$F$55),0,IF(Planung!DI57="",$C57,IF(ISNUMBER(Planung!DI57),Planung!DI57,IF(UPPER(Planung!DI57)="H",$C57/2,0)))))))</f>
        <v>0</v>
      </c>
      <c r="DJ57" s="27">
        <f>IF($A57="",0,IF(Mitarbeiter!$G$55=FALSE,0,IF(AND(Mitarbeiter!$E$55&lt;&gt;"",DJ$5+6&lt;Mitarbeiter!$E$55),0,IF(AND(Mitarbeiter!$F$55&lt;&gt;"",DJ$5&gt;Mitarbeiter!$F$55),0,IF(Planung!DJ57="",$C57,IF(ISNUMBER(Planung!DJ57),Planung!DJ57,IF(UPPER(Planung!DJ57)="H",$C57/2,0)))))))</f>
        <v>0</v>
      </c>
      <c r="DK57" s="27">
        <f>IF($A57="",0,IF(Mitarbeiter!$G$55=FALSE,0,IF(AND(Mitarbeiter!$E$55&lt;&gt;"",DK$5+6&lt;Mitarbeiter!$E$55),0,IF(AND(Mitarbeiter!$F$55&lt;&gt;"",DK$5&gt;Mitarbeiter!$F$55),0,IF(Planung!DK57="",$C57,IF(ISNUMBER(Planung!DK57),Planung!DK57,IF(UPPER(Planung!DK57)="H",$C57/2,0)))))))</f>
        <v>0</v>
      </c>
      <c r="DL57" s="27">
        <f>IF($A57="",0,IF(Mitarbeiter!$G$55=FALSE,0,IF(AND(Mitarbeiter!$E$55&lt;&gt;"",DL$5+6&lt;Mitarbeiter!$E$55),0,IF(AND(Mitarbeiter!$F$55&lt;&gt;"",DL$5&gt;Mitarbeiter!$F$55),0,IF(Planung!DL57="",$C57,IF(ISNUMBER(Planung!DL57),Planung!DL57,IF(UPPER(Planung!DL57)="H",$C57/2,0)))))))</f>
        <v>0</v>
      </c>
      <c r="DM57" s="27">
        <f>IF($A57="",0,IF(Mitarbeiter!$G$55=FALSE,0,IF(AND(Mitarbeiter!$E$55&lt;&gt;"",DM$5+6&lt;Mitarbeiter!$E$55),0,IF(AND(Mitarbeiter!$F$55&lt;&gt;"",DM$5&gt;Mitarbeiter!$F$55),0,IF(Planung!DM57="",$C57,IF(ISNUMBER(Planung!DM57),Planung!DM57,IF(UPPER(Planung!DM57)="H",$C57/2,0)))))))</f>
        <v>0</v>
      </c>
      <c r="DN57" s="27">
        <f>IF($A57="",0,IF(Mitarbeiter!$G$55=FALSE,0,IF(AND(Mitarbeiter!$E$55&lt;&gt;"",DN$5+6&lt;Mitarbeiter!$E$55),0,IF(AND(Mitarbeiter!$F$55&lt;&gt;"",DN$5&gt;Mitarbeiter!$F$55),0,IF(Planung!DN57="",$C57,IF(ISNUMBER(Planung!DN57),Planung!DN57,IF(UPPER(Planung!DN57)="H",$C57/2,0)))))))</f>
        <v>0</v>
      </c>
      <c r="DO57" s="27">
        <f>IF($A57="",0,IF(Mitarbeiter!$G$55=FALSE,0,IF(AND(Mitarbeiter!$E$55&lt;&gt;"",DO$5+6&lt;Mitarbeiter!$E$55),0,IF(AND(Mitarbeiter!$F$55&lt;&gt;"",DO$5&gt;Mitarbeiter!$F$55),0,IF(Planung!DO57="",$C57,IF(ISNUMBER(Planung!DO57),Planung!DO57,IF(UPPER(Planung!DO57)="H",$C57/2,0)))))))</f>
        <v>0</v>
      </c>
      <c r="DP57" s="27">
        <f>IF($A57="",0,IF(Mitarbeiter!$G$55=FALSE,0,IF(AND(Mitarbeiter!$E$55&lt;&gt;"",DP$5+6&lt;Mitarbeiter!$E$55),0,IF(AND(Mitarbeiter!$F$55&lt;&gt;"",DP$5&gt;Mitarbeiter!$F$55),0,IF(Planung!DP57="",$C57,IF(ISNUMBER(Planung!DP57),Planung!DP57,IF(UPPER(Planung!DP57)="H",$C57/2,0)))))))</f>
        <v>0</v>
      </c>
      <c r="DQ57" s="27">
        <f>IF($A57="",0,IF(Mitarbeiter!$G$55=FALSE,0,IF(AND(Mitarbeiter!$E$55&lt;&gt;"",DQ$5+6&lt;Mitarbeiter!$E$55),0,IF(AND(Mitarbeiter!$F$55&lt;&gt;"",DQ$5&gt;Mitarbeiter!$F$55),0,IF(Planung!DQ57="",$C57,IF(ISNUMBER(Planung!DQ57),Planung!DQ57,IF(UPPER(Planung!DQ57)="H",$C57/2,0)))))))</f>
        <v>0</v>
      </c>
      <c r="DR57" s="27">
        <f>IF($A57="",0,IF(Mitarbeiter!$G$55=FALSE,0,IF(AND(Mitarbeiter!$E$55&lt;&gt;"",DR$5+6&lt;Mitarbeiter!$E$55),0,IF(AND(Mitarbeiter!$F$55&lt;&gt;"",DR$5&gt;Mitarbeiter!$F$55),0,IF(Planung!DR57="",$C57,IF(ISNUMBER(Planung!DR57),Planung!DR57,IF(UPPER(Planung!DR57)="H",$C57/2,0)))))))</f>
        <v>0</v>
      </c>
      <c r="DS57" s="27">
        <f>IF($A57="",0,IF(Mitarbeiter!$G$55=FALSE,0,IF(AND(Mitarbeiter!$E$55&lt;&gt;"",DS$5+6&lt;Mitarbeiter!$E$55),0,IF(AND(Mitarbeiter!$F$55&lt;&gt;"",DS$5&gt;Mitarbeiter!$F$55),0,IF(Planung!DS57="",$C57,IF(ISNUMBER(Planung!DS57),Planung!DS57,IF(UPPER(Planung!DS57)="H",$C57/2,0)))))))</f>
        <v>0</v>
      </c>
      <c r="DT57" s="27">
        <f>IF($A57="",0,IF(Mitarbeiter!$G$55=FALSE,0,IF(AND(Mitarbeiter!$E$55&lt;&gt;"",DT$5+6&lt;Mitarbeiter!$E$55),0,IF(AND(Mitarbeiter!$F$55&lt;&gt;"",DT$5&gt;Mitarbeiter!$F$55),0,IF(Planung!DT57="",$C57,IF(ISNUMBER(Planung!DT57),Planung!DT57,IF(UPPER(Planung!DT57)="H",$C57/2,0)))))))</f>
        <v>0</v>
      </c>
      <c r="DU57" s="27">
        <f>IF($A57="",0,IF(Mitarbeiter!$G$55=FALSE,0,IF(AND(Mitarbeiter!$E$55&lt;&gt;"",DU$5+6&lt;Mitarbeiter!$E$55),0,IF(AND(Mitarbeiter!$F$55&lt;&gt;"",DU$5&gt;Mitarbeiter!$F$55),0,IF(Planung!DU57="",$C57,IF(ISNUMBER(Planung!DU57),Planung!DU57,IF(UPPER(Planung!DU57)="H",$C57/2,0)))))))</f>
        <v>0</v>
      </c>
      <c r="DV57" s="27">
        <f>IF($A57="",0,IF(Mitarbeiter!$G$55=FALSE,0,IF(AND(Mitarbeiter!$E$55&lt;&gt;"",DV$5+6&lt;Mitarbeiter!$E$55),0,IF(AND(Mitarbeiter!$F$55&lt;&gt;"",DV$5&gt;Mitarbeiter!$F$55),0,IF(Planung!DV57="",$C57,IF(ISNUMBER(Planung!DV57),Planung!DV57,IF(UPPER(Planung!DV57)="H",$C57/2,0)))))))</f>
        <v>0</v>
      </c>
      <c r="DW57" s="27">
        <f>IF($A57="",0,IF(Mitarbeiter!$G$55=FALSE,0,IF(AND(Mitarbeiter!$E$55&lt;&gt;"",DW$5+6&lt;Mitarbeiter!$E$55),0,IF(AND(Mitarbeiter!$F$55&lt;&gt;"",DW$5&gt;Mitarbeiter!$F$55),0,IF(Planung!DW57="",$C57,IF(ISNUMBER(Planung!DW57),Planung!DW57,IF(UPPER(Planung!DW57)="H",$C57/2,0)))))))</f>
        <v>0</v>
      </c>
      <c r="DX57" s="27">
        <f>IF($A57="",0,IF(Mitarbeiter!$G$55=FALSE,0,IF(AND(Mitarbeiter!$E$55&lt;&gt;"",DX$5+6&lt;Mitarbeiter!$E$55),0,IF(AND(Mitarbeiter!$F$55&lt;&gt;"",DX$5&gt;Mitarbeiter!$F$55),0,IF(Planung!DX57="",$C57,IF(ISNUMBER(Planung!DX57),Planung!DX57,IF(UPPER(Planung!DX57)="H",$C57/2,0)))))))</f>
        <v>0</v>
      </c>
      <c r="DY57" s="27">
        <f>IF($A57="",0,IF(Mitarbeiter!$G$55=FALSE,0,IF(AND(Mitarbeiter!$E$55&lt;&gt;"",DY$5+6&lt;Mitarbeiter!$E$55),0,IF(AND(Mitarbeiter!$F$55&lt;&gt;"",DY$5&gt;Mitarbeiter!$F$55),0,IF(Planung!DY57="",$C57,IF(ISNUMBER(Planung!DY57),Planung!DY57,IF(UPPER(Planung!DY57)="H",$C57/2,0)))))))</f>
        <v>0</v>
      </c>
      <c r="DZ57" s="27">
        <f>IF($A57="",0,IF(Mitarbeiter!$G$55=FALSE,0,IF(AND(Mitarbeiter!$E$55&lt;&gt;"",DZ$5+6&lt;Mitarbeiter!$E$55),0,IF(AND(Mitarbeiter!$F$55&lt;&gt;"",DZ$5&gt;Mitarbeiter!$F$55),0,IF(Planung!DZ57="",$C57,IF(ISNUMBER(Planung!DZ57),Planung!DZ57,IF(UPPER(Planung!DZ57)="H",$C57/2,0)))))))</f>
        <v>0</v>
      </c>
      <c r="EA57" s="27">
        <f>IF($A57="",0,IF(Mitarbeiter!$G$55=FALSE,0,IF(AND(Mitarbeiter!$E$55&lt;&gt;"",EA$5+6&lt;Mitarbeiter!$E$55),0,IF(AND(Mitarbeiter!$F$55&lt;&gt;"",EA$5&gt;Mitarbeiter!$F$55),0,IF(Planung!EA57="",$C57,IF(ISNUMBER(Planung!EA57),Planung!EA57,IF(UPPER(Planung!EA57)="H",$C57/2,0)))))))</f>
        <v>0</v>
      </c>
      <c r="EB57" s="27">
        <f>IF($A57="",0,IF(Mitarbeiter!$G$55=FALSE,0,IF(AND(Mitarbeiter!$E$55&lt;&gt;"",EB$5+6&lt;Mitarbeiter!$E$55),0,IF(AND(Mitarbeiter!$F$55&lt;&gt;"",EB$5&gt;Mitarbeiter!$F$55),0,IF(Planung!EB57="",$C57,IF(ISNUMBER(Planung!EB57),Planung!EB57,IF(UPPER(Planung!EB57)="H",$C57/2,0)))))))</f>
        <v>0</v>
      </c>
      <c r="EC57" s="27">
        <f>IF($A57="",0,IF(Mitarbeiter!$G$55=FALSE,0,IF(AND(Mitarbeiter!$E$55&lt;&gt;"",EC$5+6&lt;Mitarbeiter!$E$55),0,IF(AND(Mitarbeiter!$F$55&lt;&gt;"",EC$5&gt;Mitarbeiter!$F$55),0,IF(Planung!EC57="",$C57,IF(ISNUMBER(Planung!EC57),Planung!EC57,IF(UPPER(Planung!EC57)="H",$C57/2,0)))))))</f>
        <v>0</v>
      </c>
      <c r="ED57" s="27">
        <f>IF($A57="",0,IF(Mitarbeiter!$G$55=FALSE,0,IF(AND(Mitarbeiter!$E$55&lt;&gt;"",ED$5+6&lt;Mitarbeiter!$E$55),0,IF(AND(Mitarbeiter!$F$55&lt;&gt;"",ED$5&gt;Mitarbeiter!$F$55),0,IF(Planung!ED57="",$C57,IF(ISNUMBER(Planung!ED57),Planung!ED57,IF(UPPER(Planung!ED57)="H",$C57/2,0)))))))</f>
        <v>0</v>
      </c>
      <c r="EE57" s="27">
        <f>IF($A57="",0,IF(Mitarbeiter!$G$55=FALSE,0,IF(AND(Mitarbeiter!$E$55&lt;&gt;"",EE$5+6&lt;Mitarbeiter!$E$55),0,IF(AND(Mitarbeiter!$F$55&lt;&gt;"",EE$5&gt;Mitarbeiter!$F$55),0,IF(Planung!EE57="",$C57,IF(ISNUMBER(Planung!EE57),Planung!EE57,IF(UPPER(Planung!EE57)="H",$C57/2,0)))))))</f>
        <v>0</v>
      </c>
      <c r="EF57" s="27">
        <f>IF($A57="",0,IF(Mitarbeiter!$G$55=FALSE,0,IF(AND(Mitarbeiter!$E$55&lt;&gt;"",EF$5+6&lt;Mitarbeiter!$E$55),0,IF(AND(Mitarbeiter!$F$55&lt;&gt;"",EF$5&gt;Mitarbeiter!$F$55),0,IF(Planung!EF57="",$C57,IF(ISNUMBER(Planung!EF57),Planung!EF57,IF(UPPER(Planung!EF57)="H",$C57/2,0)))))))</f>
        <v>0</v>
      </c>
      <c r="EG57" s="27">
        <f>IF($A57="",0,IF(Mitarbeiter!$G$55=FALSE,0,IF(AND(Mitarbeiter!$E$55&lt;&gt;"",EG$5+6&lt;Mitarbeiter!$E$55),0,IF(AND(Mitarbeiter!$F$55&lt;&gt;"",EG$5&gt;Mitarbeiter!$F$55),0,IF(Planung!EG57="",$C57,IF(ISNUMBER(Planung!EG57),Planung!EG57,IF(UPPER(Planung!EG57)="H",$C57/2,0)))))))</f>
        <v>0</v>
      </c>
      <c r="EH57" s="27">
        <f>IF($A57="",0,IF(Mitarbeiter!$G$55=FALSE,0,IF(AND(Mitarbeiter!$E$55&lt;&gt;"",EH$5+6&lt;Mitarbeiter!$E$55),0,IF(AND(Mitarbeiter!$F$55&lt;&gt;"",EH$5&gt;Mitarbeiter!$F$55),0,IF(Planung!EH57="",$C57,IF(ISNUMBER(Planung!EH57),Planung!EH57,IF(UPPER(Planung!EH57)="H",$C57/2,0)))))))</f>
        <v>0</v>
      </c>
      <c r="EI57" s="27">
        <f>IF($A57="",0,IF(Mitarbeiter!$G$55=FALSE,0,IF(AND(Mitarbeiter!$E$55&lt;&gt;"",EI$5+6&lt;Mitarbeiter!$E$55),0,IF(AND(Mitarbeiter!$F$55&lt;&gt;"",EI$5&gt;Mitarbeiter!$F$55),0,IF(Planung!EI57="",$C57,IF(ISNUMBER(Planung!EI57),Planung!EI57,IF(UPPER(Planung!EI57)="H",$C57/2,0)))))))</f>
        <v>0</v>
      </c>
      <c r="EJ57" s="27">
        <f>IF($A57="",0,IF(Mitarbeiter!$G$55=FALSE,0,IF(AND(Mitarbeiter!$E$55&lt;&gt;"",EJ$5+6&lt;Mitarbeiter!$E$55),0,IF(AND(Mitarbeiter!$F$55&lt;&gt;"",EJ$5&gt;Mitarbeiter!$F$55),0,IF(Planung!EJ57="",$C57,IF(ISNUMBER(Planung!EJ57),Planung!EJ57,IF(UPPER(Planung!EJ57)="H",$C57/2,0)))))))</f>
        <v>0</v>
      </c>
      <c r="EK57" s="27">
        <f>IF($A57="",0,IF(Mitarbeiter!$G$55=FALSE,0,IF(AND(Mitarbeiter!$E$55&lt;&gt;"",EK$5+6&lt;Mitarbeiter!$E$55),0,IF(AND(Mitarbeiter!$F$55&lt;&gt;"",EK$5&gt;Mitarbeiter!$F$55),0,IF(Planung!EK57="",$C57,IF(ISNUMBER(Planung!EK57),Planung!EK57,IF(UPPER(Planung!EK57)="H",$C57/2,0)))))))</f>
        <v>0</v>
      </c>
      <c r="EL57" s="27">
        <f>IF($A57="",0,IF(Mitarbeiter!$G$55=FALSE,0,IF(AND(Mitarbeiter!$E$55&lt;&gt;"",EL$5+6&lt;Mitarbeiter!$E$55),0,IF(AND(Mitarbeiter!$F$55&lt;&gt;"",EL$5&gt;Mitarbeiter!$F$55),0,IF(Planung!EL57="",$C57,IF(ISNUMBER(Planung!EL57),Planung!EL57,IF(UPPER(Planung!EL57)="H",$C57/2,0)))))))</f>
        <v>0</v>
      </c>
      <c r="EM57" s="27">
        <f>IF($A57="",0,IF(Mitarbeiter!$G$55=FALSE,0,IF(AND(Mitarbeiter!$E$55&lt;&gt;"",EM$5+6&lt;Mitarbeiter!$E$55),0,IF(AND(Mitarbeiter!$F$55&lt;&gt;"",EM$5&gt;Mitarbeiter!$F$55),0,IF(Planung!EM57="",$C57,IF(ISNUMBER(Planung!EM57),Planung!EM57,IF(UPPER(Planung!EM57)="H",$C57/2,0)))))))</f>
        <v>0</v>
      </c>
      <c r="EN57" s="27">
        <f>IF($A57="",0,IF(Mitarbeiter!$G$55=FALSE,0,IF(AND(Mitarbeiter!$E$55&lt;&gt;"",EN$5+6&lt;Mitarbeiter!$E$55),0,IF(AND(Mitarbeiter!$F$55&lt;&gt;"",EN$5&gt;Mitarbeiter!$F$55),0,IF(Planung!EN57="",$C57,IF(ISNUMBER(Planung!EN57),Planung!EN57,IF(UPPER(Planung!EN57)="H",$C57/2,0)))))))</f>
        <v>0</v>
      </c>
      <c r="EO57" s="27">
        <f>IF($A57="",0,IF(Mitarbeiter!$G$55=FALSE,0,IF(AND(Mitarbeiter!$E$55&lt;&gt;"",EO$5+6&lt;Mitarbeiter!$E$55),0,IF(AND(Mitarbeiter!$F$55&lt;&gt;"",EO$5&gt;Mitarbeiter!$F$55),0,IF(Planung!EO57="",$C57,IF(ISNUMBER(Planung!EO57),Planung!EO57,IF(UPPER(Planung!EO57)="H",$C57/2,0)))))))</f>
        <v>0</v>
      </c>
      <c r="EP57" s="27">
        <f>IF($A57="",0,IF(Mitarbeiter!$G$55=FALSE,0,IF(AND(Mitarbeiter!$E$55&lt;&gt;"",EP$5+6&lt;Mitarbeiter!$E$55),0,IF(AND(Mitarbeiter!$F$55&lt;&gt;"",EP$5&gt;Mitarbeiter!$F$55),0,IF(Planung!EP57="",$C57,IF(ISNUMBER(Planung!EP57),Planung!EP57,IF(UPPER(Planung!EP57)="H",$C57/2,0)))))))</f>
        <v>0</v>
      </c>
      <c r="EQ57" s="27">
        <f>IF($A57="",0,IF(Mitarbeiter!$G$55=FALSE,0,IF(AND(Mitarbeiter!$E$55&lt;&gt;"",EQ$5+6&lt;Mitarbeiter!$E$55),0,IF(AND(Mitarbeiter!$F$55&lt;&gt;"",EQ$5&gt;Mitarbeiter!$F$55),0,IF(Planung!EQ57="",$C57,IF(ISNUMBER(Planung!EQ57),Planung!EQ57,IF(UPPER(Planung!EQ57)="H",$C57/2,0)))))))</f>
        <v>0</v>
      </c>
      <c r="ER57" s="27">
        <f>IF($A57="",0,IF(Mitarbeiter!$G$55=FALSE,0,IF(AND(Mitarbeiter!$E$55&lt;&gt;"",ER$5+6&lt;Mitarbeiter!$E$55),0,IF(AND(Mitarbeiter!$F$55&lt;&gt;"",ER$5&gt;Mitarbeiter!$F$55),0,IF(Planung!ER57="",$C57,IF(ISNUMBER(Planung!ER57),Planung!ER57,IF(UPPER(Planung!ER57)="H",$C57/2,0)))))))</f>
        <v>0</v>
      </c>
      <c r="ES57" s="27">
        <f>IF($A57="",0,IF(Mitarbeiter!$G$55=FALSE,0,IF(AND(Mitarbeiter!$E$55&lt;&gt;"",ES$5+6&lt;Mitarbeiter!$E$55),0,IF(AND(Mitarbeiter!$F$55&lt;&gt;"",ES$5&gt;Mitarbeiter!$F$55),0,IF(Planung!ES57="",$C57,IF(ISNUMBER(Planung!ES57),Planung!ES57,IF(UPPER(Planung!ES57)="H",$C57/2,0)))))))</f>
        <v>0</v>
      </c>
      <c r="ET57" s="27">
        <f>IF($A57="",0,IF(Mitarbeiter!$G$55=FALSE,0,IF(AND(Mitarbeiter!$E$55&lt;&gt;"",ET$5+6&lt;Mitarbeiter!$E$55),0,IF(AND(Mitarbeiter!$F$55&lt;&gt;"",ET$5&gt;Mitarbeiter!$F$55),0,IF(Planung!ET57="",$C57,IF(ISNUMBER(Planung!ET57),Planung!ET57,IF(UPPER(Planung!ET57)="H",$C57/2,0)))))))</f>
        <v>0</v>
      </c>
      <c r="EU57" s="27">
        <f>IF($A57="",0,IF(Mitarbeiter!$G$55=FALSE,0,IF(AND(Mitarbeiter!$E$55&lt;&gt;"",EU$5+6&lt;Mitarbeiter!$E$55),0,IF(AND(Mitarbeiter!$F$55&lt;&gt;"",EU$5&gt;Mitarbeiter!$F$55),0,IF(Planung!EU57="",$C57,IF(ISNUMBER(Planung!EU57),Planung!EU57,IF(UPPER(Planung!EU57)="H",$C57/2,0)))))))</f>
        <v>0</v>
      </c>
      <c r="EV57" s="27">
        <f>IF($A57="",0,IF(Mitarbeiter!$G$55=FALSE,0,IF(AND(Mitarbeiter!$E$55&lt;&gt;"",EV$5+6&lt;Mitarbeiter!$E$55),0,IF(AND(Mitarbeiter!$F$55&lt;&gt;"",EV$5&gt;Mitarbeiter!$F$55),0,IF(Planung!EV57="",$C57,IF(ISNUMBER(Planung!EV57),Planung!EV57,IF(UPPER(Planung!EV57)="H",$C57/2,0)))))))</f>
        <v>0</v>
      </c>
      <c r="EW57" s="27">
        <f>IF($A57="",0,IF(Mitarbeiter!$G$55=FALSE,0,IF(AND(Mitarbeiter!$E$55&lt;&gt;"",EW$5+6&lt;Mitarbeiter!$E$55),0,IF(AND(Mitarbeiter!$F$55&lt;&gt;"",EW$5&gt;Mitarbeiter!$F$55),0,IF(Planung!EW57="",$C57,IF(ISNUMBER(Planung!EW57),Planung!EW57,IF(UPPER(Planung!EW57)="H",$C57/2,0)))))))</f>
        <v>0</v>
      </c>
      <c r="EX57" s="27">
        <f>IF($A57="",0,IF(Mitarbeiter!$G$55=FALSE,0,IF(AND(Mitarbeiter!$E$55&lt;&gt;"",EX$5+6&lt;Mitarbeiter!$E$55),0,IF(AND(Mitarbeiter!$F$55&lt;&gt;"",EX$5&gt;Mitarbeiter!$F$55),0,IF(Planung!EX57="",$C57,IF(ISNUMBER(Planung!EX57),Planung!EX57,IF(UPPER(Planung!EX57)="H",$C57/2,0)))))))</f>
        <v>0</v>
      </c>
      <c r="EY57" s="27">
        <f>IF($A57="",0,IF(Mitarbeiter!$G$55=FALSE,0,IF(AND(Mitarbeiter!$E$55&lt;&gt;"",EY$5+6&lt;Mitarbeiter!$E$55),0,IF(AND(Mitarbeiter!$F$55&lt;&gt;"",EY$5&gt;Mitarbeiter!$F$55),0,IF(Planung!EY57="",$C57,IF(ISNUMBER(Planung!EY57),Planung!EY57,IF(UPPER(Planung!EY57)="H",$C57/2,0)))))))</f>
        <v>0</v>
      </c>
      <c r="EZ57" s="27">
        <f>IF($A57="",0,IF(Mitarbeiter!$G$55=FALSE,0,IF(AND(Mitarbeiter!$E$55&lt;&gt;"",EZ$5+6&lt;Mitarbeiter!$E$55),0,IF(AND(Mitarbeiter!$F$55&lt;&gt;"",EZ$5&gt;Mitarbeiter!$F$55),0,IF(Planung!EZ57="",$C57,IF(ISNUMBER(Planung!EZ57),Planung!EZ57,IF(UPPER(Planung!EZ57)="H",$C57/2,0)))))))</f>
        <v>0</v>
      </c>
      <c r="FA57" s="27">
        <f>IF($A57="",0,IF(Mitarbeiter!$G$55=FALSE,0,IF(AND(Mitarbeiter!$E$55&lt;&gt;"",FA$5+6&lt;Mitarbeiter!$E$55),0,IF(AND(Mitarbeiter!$F$55&lt;&gt;"",FA$5&gt;Mitarbeiter!$F$55),0,IF(Planung!FA57="",$C57,IF(ISNUMBER(Planung!FA57),Planung!FA57,IF(UPPER(Planung!FA57)="H",$C57/2,0)))))))</f>
        <v>0</v>
      </c>
      <c r="FB57" s="27">
        <f>IF($A57="",0,IF(Mitarbeiter!$G$55=FALSE,0,IF(AND(Mitarbeiter!$E$55&lt;&gt;"",FB$5+6&lt;Mitarbeiter!$E$55),0,IF(AND(Mitarbeiter!$F$55&lt;&gt;"",FB$5&gt;Mitarbeiter!$F$55),0,IF(Planung!FB57="",$C57,IF(ISNUMBER(Planung!FB57),Planung!FB57,IF(UPPER(Planung!FB57)="H",$C57/2,0)))))))</f>
        <v>0</v>
      </c>
      <c r="FC57" s="27">
        <f>IF($A57="",0,IF(Mitarbeiter!$G$55=FALSE,0,IF(AND(Mitarbeiter!$E$55&lt;&gt;"",FC$5+6&lt;Mitarbeiter!$E$55),0,IF(AND(Mitarbeiter!$F$55&lt;&gt;"",FC$5&gt;Mitarbeiter!$F$55),0,IF(Planung!FC57="",$C57,IF(ISNUMBER(Planung!FC57),Planung!FC57,IF(UPPER(Planung!FC57)="H",$C57/2,0)))))))</f>
        <v>0</v>
      </c>
      <c r="FD57" s="27">
        <f>IF($A57="",0,IF(Mitarbeiter!$G$55=FALSE,0,IF(AND(Mitarbeiter!$E$55&lt;&gt;"",FD$5+6&lt;Mitarbeiter!$E$55),0,IF(AND(Mitarbeiter!$F$55&lt;&gt;"",FD$5&gt;Mitarbeiter!$F$55),0,IF(Planung!FD57="",$C57,IF(ISNUMBER(Planung!FD57),Planung!FD57,IF(UPPER(Planung!FD57)="H",$C57/2,0)))))))</f>
        <v>0</v>
      </c>
      <c r="FE57" s="27">
        <f>IF($A57="",0,IF(Mitarbeiter!$G$55=FALSE,0,IF(AND(Mitarbeiter!$E$55&lt;&gt;"",FE$5+6&lt;Mitarbeiter!$E$55),0,IF(AND(Mitarbeiter!$F$55&lt;&gt;"",FE$5&gt;Mitarbeiter!$F$55),0,IF(Planung!FE57="",$C57,IF(ISNUMBER(Planung!FE57),Planung!FE57,IF(UPPER(Planung!FE57)="H",$C57/2,0)))))))</f>
        <v>0</v>
      </c>
      <c r="FF57" s="27">
        <f>IF($A57="",0,IF(Mitarbeiter!$G$55=FALSE,0,IF(AND(Mitarbeiter!$E$55&lt;&gt;"",FF$5+6&lt;Mitarbeiter!$E$55),0,IF(AND(Mitarbeiter!$F$55&lt;&gt;"",FF$5&gt;Mitarbeiter!$F$55),0,IF(Planung!FF57="",$C57,IF(ISNUMBER(Planung!FF57),Planung!FF57,IF(UPPER(Planung!FF57)="H",$C57/2,0)))))))</f>
        <v>0</v>
      </c>
      <c r="FG57" s="27">
        <f>IF($A57="",0,IF(Mitarbeiter!$G$55=FALSE,0,IF(AND(Mitarbeiter!$E$55&lt;&gt;"",FG$5+6&lt;Mitarbeiter!$E$55),0,IF(AND(Mitarbeiter!$F$55&lt;&gt;"",FG$5&gt;Mitarbeiter!$F$55),0,IF(Planung!FG57="",$C57,IF(ISNUMBER(Planung!FG57),Planung!FG57,IF(UPPER(Planung!FG57)="H",$C57/2,0)))))))</f>
        <v>0</v>
      </c>
      <c r="FH57" s="27">
        <f>IF($A57="",0,IF(Mitarbeiter!$G$55=FALSE,0,IF(AND(Mitarbeiter!$E$55&lt;&gt;"",FH$5+6&lt;Mitarbeiter!$E$55),0,IF(AND(Mitarbeiter!$F$55&lt;&gt;"",FH$5&gt;Mitarbeiter!$F$55),0,IF(Planung!FH57="",$C57,IF(ISNUMBER(Planung!FH57),Planung!FH57,IF(UPPER(Planung!FH57)="H",$C57/2,0)))))))</f>
        <v>0</v>
      </c>
      <c r="FI57" s="27">
        <f>IF($A57="",0,IF(Mitarbeiter!$G$55=FALSE,0,IF(AND(Mitarbeiter!$E$55&lt;&gt;"",FI$5+6&lt;Mitarbeiter!$E$55),0,IF(AND(Mitarbeiter!$F$55&lt;&gt;"",FI$5&gt;Mitarbeiter!$F$55),0,IF(Planung!FI57="",$C57,IF(ISNUMBER(Planung!FI57),Planung!FI57,IF(UPPER(Planung!FI57)="H",$C57/2,0)))))))</f>
        <v>0</v>
      </c>
      <c r="FJ57" s="27">
        <f>IF($A57="",0,IF(Mitarbeiter!$G$55=FALSE,0,IF(AND(Mitarbeiter!$E$55&lt;&gt;"",FJ$5+6&lt;Mitarbeiter!$E$55),0,IF(AND(Mitarbeiter!$F$55&lt;&gt;"",FJ$5&gt;Mitarbeiter!$F$55),0,IF(Planung!FJ57="",$C57,IF(ISNUMBER(Planung!FJ57),Planung!FJ57,IF(UPPER(Planung!FJ57)="H",$C57/2,0)))))))</f>
        <v>0</v>
      </c>
      <c r="FK57" s="27">
        <f>IF($A57="",0,IF(Mitarbeiter!$G$55=FALSE,0,IF(AND(Mitarbeiter!$E$55&lt;&gt;"",FK$5+6&lt;Mitarbeiter!$E$55),0,IF(AND(Mitarbeiter!$F$55&lt;&gt;"",FK$5&gt;Mitarbeiter!$F$55),0,IF(Planung!FK57="",$C57,IF(ISNUMBER(Planung!FK57),Planung!FK57,IF(UPPER(Planung!FK57)="H",$C57/2,0)))))))</f>
        <v>0</v>
      </c>
      <c r="FL57" s="27">
        <f>IF($A57="",0,IF(Mitarbeiter!$G$55=FALSE,0,IF(AND(Mitarbeiter!$E$55&lt;&gt;"",FL$5+6&lt;Mitarbeiter!$E$55),0,IF(AND(Mitarbeiter!$F$55&lt;&gt;"",FL$5&gt;Mitarbeiter!$F$55),0,IF(Planung!FL57="",$C57,IF(ISNUMBER(Planung!FL57),Planung!FL57,IF(UPPER(Planung!FL57)="H",$C57/2,0)))))))</f>
        <v>0</v>
      </c>
      <c r="FM57" s="27">
        <f>IF($A57="",0,IF(Mitarbeiter!$G$55=FALSE,0,IF(AND(Mitarbeiter!$E$55&lt;&gt;"",FM$5+6&lt;Mitarbeiter!$E$55),0,IF(AND(Mitarbeiter!$F$55&lt;&gt;"",FM$5&gt;Mitarbeiter!$F$55),0,IF(Planung!FM57="",$C57,IF(ISNUMBER(Planung!FM57),Planung!FM57,IF(UPPER(Planung!FM57)="H",$C57/2,0)))))))</f>
        <v>0</v>
      </c>
      <c r="FN57" s="27">
        <f>IF($A57="",0,IF(Mitarbeiter!$G$55=FALSE,0,IF(AND(Mitarbeiter!$E$55&lt;&gt;"",FN$5+6&lt;Mitarbeiter!$E$55),0,IF(AND(Mitarbeiter!$F$55&lt;&gt;"",FN$5&gt;Mitarbeiter!$F$55),0,IF(Planung!FN57="",$C57,IF(ISNUMBER(Planung!FN57),Planung!FN57,IF(UPPER(Planung!FN57)="H",$C57/2,0)))))))</f>
        <v>0</v>
      </c>
      <c r="FO57" s="27">
        <f>IF($A57="",0,IF(Mitarbeiter!$G$55=FALSE,0,IF(AND(Mitarbeiter!$E$55&lt;&gt;"",FO$5+6&lt;Mitarbeiter!$E$55),0,IF(AND(Mitarbeiter!$F$55&lt;&gt;"",FO$5&gt;Mitarbeiter!$F$55),0,IF(Planung!FO57="",$C57,IF(ISNUMBER(Planung!FO57),Planung!FO57,IF(UPPER(Planung!FO57)="H",$C57/2,0)))))))</f>
        <v>0</v>
      </c>
      <c r="FP57" s="27">
        <f>IF($A57="",0,IF(Mitarbeiter!$G$55=FALSE,0,IF(AND(Mitarbeiter!$E$55&lt;&gt;"",FP$5+6&lt;Mitarbeiter!$E$55),0,IF(AND(Mitarbeiter!$F$55&lt;&gt;"",FP$5&gt;Mitarbeiter!$F$55),0,IF(Planung!FP57="",$C57,IF(ISNUMBER(Planung!FP57),Planung!FP57,IF(UPPER(Planung!FP57)="H",$C57/2,0)))))))</f>
        <v>0</v>
      </c>
      <c r="FQ57" s="27">
        <f>IF($A57="",0,IF(Mitarbeiter!$G$55=FALSE,0,IF(AND(Mitarbeiter!$E$55&lt;&gt;"",FQ$5+6&lt;Mitarbeiter!$E$55),0,IF(AND(Mitarbeiter!$F$55&lt;&gt;"",FQ$5&gt;Mitarbeiter!$F$55),0,IF(Planung!FQ57="",$C57,IF(ISNUMBER(Planung!FQ57),Planung!FQ57,IF(UPPER(Planung!FQ57)="H",$C57/2,0)))))))</f>
        <v>0</v>
      </c>
      <c r="FR57" s="27">
        <f>IF($A57="",0,IF(Mitarbeiter!$G$55=FALSE,0,IF(AND(Mitarbeiter!$E$55&lt;&gt;"",FR$5+6&lt;Mitarbeiter!$E$55),0,IF(AND(Mitarbeiter!$F$55&lt;&gt;"",FR$5&gt;Mitarbeiter!$F$55),0,IF(Planung!FR57="",$C57,IF(ISNUMBER(Planung!FR57),Planung!FR57,IF(UPPER(Planung!FR57)="H",$C57/2,0)))))))</f>
        <v>0</v>
      </c>
      <c r="FS57" s="27">
        <f>IF($A57="",0,IF(Mitarbeiter!$G$55=FALSE,0,IF(AND(Mitarbeiter!$E$55&lt;&gt;"",FS$5+6&lt;Mitarbeiter!$E$55),0,IF(AND(Mitarbeiter!$F$55&lt;&gt;"",FS$5&gt;Mitarbeiter!$F$55),0,IF(Planung!FS57="",$C57,IF(ISNUMBER(Planung!FS57),Planung!FS57,IF(UPPER(Planung!FS57)="H",$C57/2,0)))))))</f>
        <v>0</v>
      </c>
      <c r="FT57" s="27">
        <f>IF($A57="",0,IF(Mitarbeiter!$G$55=FALSE,0,IF(AND(Mitarbeiter!$E$55&lt;&gt;"",FT$5+6&lt;Mitarbeiter!$E$55),0,IF(AND(Mitarbeiter!$F$55&lt;&gt;"",FT$5&gt;Mitarbeiter!$F$55),0,IF(Planung!FT57="",$C57,IF(ISNUMBER(Planung!FT57),Planung!FT57,IF(UPPER(Planung!FT57)="H",$C57/2,0)))))))</f>
        <v>0</v>
      </c>
      <c r="FU57" s="27">
        <f>IF($A57="",0,IF(Mitarbeiter!$G$55=FALSE,0,IF(AND(Mitarbeiter!$E$55&lt;&gt;"",FU$5+6&lt;Mitarbeiter!$E$55),0,IF(AND(Mitarbeiter!$F$55&lt;&gt;"",FU$5&gt;Mitarbeiter!$F$55),0,IF(Planung!FU57="",$C57,IF(ISNUMBER(Planung!FU57),Planung!FU57,IF(UPPER(Planung!FU57)="H",$C57/2,0)))))))</f>
        <v>0</v>
      </c>
      <c r="FV57" s="27">
        <f>IF($A57="",0,IF(Mitarbeiter!$G$55=FALSE,0,IF(AND(Mitarbeiter!$E$55&lt;&gt;"",FV$5+6&lt;Mitarbeiter!$E$55),0,IF(AND(Mitarbeiter!$F$55&lt;&gt;"",FV$5&gt;Mitarbeiter!$F$55),0,IF(Planung!FV57="",$C57,IF(ISNUMBER(Planung!FV57),Planung!FV57,IF(UPPER(Planung!FV57)="H",$C57/2,0)))))))</f>
        <v>0</v>
      </c>
      <c r="FW57" s="27">
        <f>IF($A57="",0,IF(Mitarbeiter!$G$55=FALSE,0,IF(AND(Mitarbeiter!$E$55&lt;&gt;"",FW$5+6&lt;Mitarbeiter!$E$55),0,IF(AND(Mitarbeiter!$F$55&lt;&gt;"",FW$5&gt;Mitarbeiter!$F$55),0,IF(Planung!FW57="",$C57,IF(ISNUMBER(Planung!FW57),Planung!FW57,IF(UPPER(Planung!FW57)="H",$C57/2,0)))))))</f>
        <v>0</v>
      </c>
      <c r="FX57" s="27">
        <f>IF($A57="",0,IF(Mitarbeiter!$G$55=FALSE,0,IF(AND(Mitarbeiter!$E$55&lt;&gt;"",FX$5+6&lt;Mitarbeiter!$E$55),0,IF(AND(Mitarbeiter!$F$55&lt;&gt;"",FX$5&gt;Mitarbeiter!$F$55),0,IF(Planung!FX57="",$C57,IF(ISNUMBER(Planung!FX57),Planung!FX57,IF(UPPER(Planung!FX57)="H",$C57/2,0)))))))</f>
        <v>0</v>
      </c>
      <c r="FY57" s="27">
        <f>IF($A57="",0,IF(Mitarbeiter!$G$55=FALSE,0,IF(AND(Mitarbeiter!$E$55&lt;&gt;"",FY$5+6&lt;Mitarbeiter!$E$55),0,IF(AND(Mitarbeiter!$F$55&lt;&gt;"",FY$5&gt;Mitarbeiter!$F$55),0,IF(Planung!FY57="",$C57,IF(ISNUMBER(Planung!FY57),Planung!FY57,IF(UPPER(Planung!FY57)="H",$C57/2,0)))))))</f>
        <v>0</v>
      </c>
      <c r="FZ57" s="27">
        <f>IF($A57="",0,IF(Mitarbeiter!$G$55=FALSE,0,IF(AND(Mitarbeiter!$E$55&lt;&gt;"",FZ$5+6&lt;Mitarbeiter!$E$55),0,IF(AND(Mitarbeiter!$F$55&lt;&gt;"",FZ$5&gt;Mitarbeiter!$F$55),0,IF(Planung!FZ57="",$C57,IF(ISNUMBER(Planung!FZ57),Planung!FZ57,IF(UPPER(Planung!FZ57)="H",$C57/2,0)))))))</f>
        <v>0</v>
      </c>
      <c r="GA57" s="27">
        <f>IF($A57="",0,IF(Mitarbeiter!$G$55=FALSE,0,IF(AND(Mitarbeiter!$E$55&lt;&gt;"",GA$5+6&lt;Mitarbeiter!$E$55),0,IF(AND(Mitarbeiter!$F$55&lt;&gt;"",GA$5&gt;Mitarbeiter!$F$55),0,IF(Planung!GA57="",$C57,IF(ISNUMBER(Planung!GA57),Planung!GA57,IF(UPPER(Planung!GA57)="H",$C57/2,0)))))))</f>
        <v>0</v>
      </c>
      <c r="GB57" s="27">
        <f>IF($A57="",0,IF(Mitarbeiter!$G$55=FALSE,0,IF(AND(Mitarbeiter!$E$55&lt;&gt;"",GB$5+6&lt;Mitarbeiter!$E$55),0,IF(AND(Mitarbeiter!$F$55&lt;&gt;"",GB$5&gt;Mitarbeiter!$F$55),0,IF(Planung!GB57="",$C57,IF(ISNUMBER(Planung!GB57),Planung!GB57,IF(UPPER(Planung!GB57)="H",$C57/2,0)))))))</f>
        <v>0</v>
      </c>
      <c r="GC57" s="27">
        <f>IF($A57="",0,IF(Mitarbeiter!$G$55=FALSE,0,IF(AND(Mitarbeiter!$E$55&lt;&gt;"",GC$5+6&lt;Mitarbeiter!$E$55),0,IF(AND(Mitarbeiter!$F$55&lt;&gt;"",GC$5&gt;Mitarbeiter!$F$55),0,IF(Planung!GC57="",$C57,IF(ISNUMBER(Planung!GC57),Planung!GC57,IF(UPPER(Planung!GC57)="H",$C57/2,0)))))))</f>
        <v>0</v>
      </c>
      <c r="GD57" s="27">
        <f>IF($A57="",0,IF(Mitarbeiter!$G$55=FALSE,0,IF(AND(Mitarbeiter!$E$55&lt;&gt;"",GD$5+6&lt;Mitarbeiter!$E$55),0,IF(AND(Mitarbeiter!$F$55&lt;&gt;"",GD$5&gt;Mitarbeiter!$F$55),0,IF(Planung!GD57="",$C57,IF(ISNUMBER(Planung!GD57),Planung!GD57,IF(UPPER(Planung!GD57)="H",$C57/2,0)))))))</f>
        <v>0</v>
      </c>
      <c r="GE57" s="27">
        <f>IF($A57="",0,IF(Mitarbeiter!$G$55=FALSE,0,IF(AND(Mitarbeiter!$E$55&lt;&gt;"",GE$5+6&lt;Mitarbeiter!$E$55),0,IF(AND(Mitarbeiter!$F$55&lt;&gt;"",GE$5&gt;Mitarbeiter!$F$55),0,IF(Planung!GE57="",$C57,IF(ISNUMBER(Planung!GE57),Planung!GE57,IF(UPPER(Planung!GE57)="H",$C57/2,0)))))))</f>
        <v>0</v>
      </c>
      <c r="GF57" s="27">
        <f>IF($A57="",0,IF(Mitarbeiter!$G$55=FALSE,0,IF(AND(Mitarbeiter!$E$55&lt;&gt;"",GF$5+6&lt;Mitarbeiter!$E$55),0,IF(AND(Mitarbeiter!$F$55&lt;&gt;"",GF$5&gt;Mitarbeiter!$F$55),0,IF(Planung!GF57="",$C57,IF(ISNUMBER(Planung!GF57),Planung!GF57,IF(UPPER(Planung!GF57)="H",$C57/2,0)))))))</f>
        <v>0</v>
      </c>
      <c r="GG57" s="27">
        <f>IF($A57="",0,IF(Mitarbeiter!$G$55=FALSE,0,IF(AND(Mitarbeiter!$E$55&lt;&gt;"",GG$5+6&lt;Mitarbeiter!$E$55),0,IF(AND(Mitarbeiter!$F$55&lt;&gt;"",GG$5&gt;Mitarbeiter!$F$55),0,IF(Planung!GG57="",$C57,IF(ISNUMBER(Planung!GG57),Planung!GG57,IF(UPPER(Planung!GG57)="H",$C57/2,0)))))))</f>
        <v>0</v>
      </c>
      <c r="GH57" s="27">
        <f>IF($A57="",0,IF(Mitarbeiter!$G$55=FALSE,0,IF(AND(Mitarbeiter!$E$55&lt;&gt;"",GH$5+6&lt;Mitarbeiter!$E$55),0,IF(AND(Mitarbeiter!$F$55&lt;&gt;"",GH$5&gt;Mitarbeiter!$F$55),0,IF(Planung!GH57="",$C57,IF(ISNUMBER(Planung!GH57),Planung!GH57,IF(UPPER(Planung!GH57)="H",$C57/2,0)))))))</f>
        <v>0</v>
      </c>
      <c r="GI57" s="27">
        <f>IF($A57="",0,IF(Mitarbeiter!$G$55=FALSE,0,IF(AND(Mitarbeiter!$E$55&lt;&gt;"",GI$5+6&lt;Mitarbeiter!$E$55),0,IF(AND(Mitarbeiter!$F$55&lt;&gt;"",GI$5&gt;Mitarbeiter!$F$55),0,IF(Planung!GI57="",$C57,IF(ISNUMBER(Planung!GI57),Planung!GI57,IF(UPPER(Planung!GI57)="H",$C57/2,0)))))))</f>
        <v>0</v>
      </c>
      <c r="GJ57" s="27">
        <f>IF($A57="",0,IF(Mitarbeiter!$G$55=FALSE,0,IF(AND(Mitarbeiter!$E$55&lt;&gt;"",GJ$5+6&lt;Mitarbeiter!$E$55),0,IF(AND(Mitarbeiter!$F$55&lt;&gt;"",GJ$5&gt;Mitarbeiter!$F$55),0,IF(Planung!GJ57="",$C57,IF(ISNUMBER(Planung!GJ57),Planung!GJ57,IF(UPPER(Planung!GJ57)="H",$C57/2,0)))))))</f>
        <v>0</v>
      </c>
      <c r="GK57" s="27">
        <f>IF($A57="",0,IF(Mitarbeiter!$G$55=FALSE,0,IF(AND(Mitarbeiter!$E$55&lt;&gt;"",GK$5+6&lt;Mitarbeiter!$E$55),0,IF(AND(Mitarbeiter!$F$55&lt;&gt;"",GK$5&gt;Mitarbeiter!$F$55),0,IF(Planung!GK57="",$C57,IF(ISNUMBER(Planung!GK57),Planung!GK57,IF(UPPER(Planung!GK57)="H",$C57/2,0)))))))</f>
        <v>0</v>
      </c>
      <c r="GL57" s="27">
        <f>IF($A57="",0,IF(Mitarbeiter!$G$55=FALSE,0,IF(AND(Mitarbeiter!$E$55&lt;&gt;"",GL$5+6&lt;Mitarbeiter!$E$55),0,IF(AND(Mitarbeiter!$F$55&lt;&gt;"",GL$5&gt;Mitarbeiter!$F$55),0,IF(Planung!GL57="",$C57,IF(ISNUMBER(Planung!GL57),Planung!GL57,IF(UPPER(Planung!GL57)="H",$C57/2,0)))))))</f>
        <v>0</v>
      </c>
      <c r="GM57" s="27">
        <f>IF($A57="",0,IF(Mitarbeiter!$G$55=FALSE,0,IF(AND(Mitarbeiter!$E$55&lt;&gt;"",GM$5+6&lt;Mitarbeiter!$E$55),0,IF(AND(Mitarbeiter!$F$55&lt;&gt;"",GM$5&gt;Mitarbeiter!$F$55),0,IF(Planung!GM57="",$C57,IF(ISNUMBER(Planung!GM57),Planung!GM57,IF(UPPER(Planung!GM57)="H",$C57/2,0)))))))</f>
        <v>0</v>
      </c>
      <c r="GN57" s="27">
        <f>IF($A57="",0,IF(Mitarbeiter!$G$55=FALSE,0,IF(AND(Mitarbeiter!$E$55&lt;&gt;"",GN$5+6&lt;Mitarbeiter!$E$55),0,IF(AND(Mitarbeiter!$F$55&lt;&gt;"",GN$5&gt;Mitarbeiter!$F$55),0,IF(Planung!GN57="",$C57,IF(ISNUMBER(Planung!GN57),Planung!GN57,IF(UPPER(Planung!GN57)="H",$C57/2,0)))))))</f>
        <v>0</v>
      </c>
      <c r="GO57" s="27">
        <f>IF($A57="",0,IF(Mitarbeiter!$G$55=FALSE,0,IF(AND(Mitarbeiter!$E$55&lt;&gt;"",GO$5+6&lt;Mitarbeiter!$E$55),0,IF(AND(Mitarbeiter!$F$55&lt;&gt;"",GO$5&gt;Mitarbeiter!$F$55),0,IF(Planung!GO57="",$C57,IF(ISNUMBER(Planung!GO57),Planung!GO57,IF(UPPER(Planung!GO57)="H",$C57/2,0)))))))</f>
        <v>0</v>
      </c>
      <c r="GP57" s="27">
        <f>IF($A57="",0,IF(Mitarbeiter!$G$55=FALSE,0,IF(AND(Mitarbeiter!$E$55&lt;&gt;"",GP$5+6&lt;Mitarbeiter!$E$55),0,IF(AND(Mitarbeiter!$F$55&lt;&gt;"",GP$5&gt;Mitarbeiter!$F$55),0,IF(Planung!GP57="",$C57,IF(ISNUMBER(Planung!GP57),Planung!GP57,IF(UPPER(Planung!GP57)="H",$C57/2,0)))))))</f>
        <v>0</v>
      </c>
      <c r="GQ57" s="27">
        <f>IF($A57="",0,IF(Mitarbeiter!$G$55=FALSE,0,IF(AND(Mitarbeiter!$E$55&lt;&gt;"",GQ$5+6&lt;Mitarbeiter!$E$55),0,IF(AND(Mitarbeiter!$F$55&lt;&gt;"",GQ$5&gt;Mitarbeiter!$F$55),0,IF(Planung!GQ57="",$C57,IF(ISNUMBER(Planung!GQ57),Planung!GQ57,IF(UPPER(Planung!GQ57)="H",$C57/2,0)))))))</f>
        <v>0</v>
      </c>
      <c r="GR57" s="27">
        <f>IF($A57="",0,IF(Mitarbeiter!$G$55=FALSE,0,IF(AND(Mitarbeiter!$E$55&lt;&gt;"",GR$5+6&lt;Mitarbeiter!$E$55),0,IF(AND(Mitarbeiter!$F$55&lt;&gt;"",GR$5&gt;Mitarbeiter!$F$55),0,IF(Planung!GR57="",$C57,IF(ISNUMBER(Planung!GR57),Planung!GR57,IF(UPPER(Planung!GR57)="H",$C57/2,0)))))))</f>
        <v>0</v>
      </c>
      <c r="GS57" s="27">
        <f>IF($A57="",0,IF(Mitarbeiter!$G$55=FALSE,0,IF(AND(Mitarbeiter!$E$55&lt;&gt;"",GS$5+6&lt;Mitarbeiter!$E$55),0,IF(AND(Mitarbeiter!$F$55&lt;&gt;"",GS$5&gt;Mitarbeiter!$F$55),0,IF(Planung!GS57="",$C57,IF(ISNUMBER(Planung!GS57),Planung!GS57,IF(UPPER(Planung!GS57)="H",$C57/2,0)))))))</f>
        <v>0</v>
      </c>
      <c r="GT57" s="27">
        <f>IF($A57="",0,IF(Mitarbeiter!$G$55=FALSE,0,IF(AND(Mitarbeiter!$E$55&lt;&gt;"",GT$5+6&lt;Mitarbeiter!$E$55),0,IF(AND(Mitarbeiter!$F$55&lt;&gt;"",GT$5&gt;Mitarbeiter!$F$55),0,IF(Planung!GT57="",$C57,IF(ISNUMBER(Planung!GT57),Planung!GT57,IF(UPPER(Planung!GT57)="H",$C57/2,0)))))))</f>
        <v>0</v>
      </c>
      <c r="GU57" s="27">
        <f>IF($A57="",0,IF(Mitarbeiter!$G$55=FALSE,0,IF(AND(Mitarbeiter!$E$55&lt;&gt;"",GU$5+6&lt;Mitarbeiter!$E$55),0,IF(AND(Mitarbeiter!$F$55&lt;&gt;"",GU$5&gt;Mitarbeiter!$F$55),0,IF(Planung!GU57="",$C57,IF(ISNUMBER(Planung!GU57),Planung!GU57,IF(UPPER(Planung!GU57)="H",$C57/2,0)))))))</f>
        <v>0</v>
      </c>
      <c r="GV57" s="27">
        <f>IF($A57="",0,IF(Mitarbeiter!$G$55=FALSE,0,IF(AND(Mitarbeiter!$E$55&lt;&gt;"",GV$5+6&lt;Mitarbeiter!$E$55),0,IF(AND(Mitarbeiter!$F$55&lt;&gt;"",GV$5&gt;Mitarbeiter!$F$55),0,IF(Planung!GV57="",$C57,IF(ISNUMBER(Planung!GV57),Planung!GV57,IF(UPPER(Planung!GV57)="H",$C57/2,0)))))))</f>
        <v>0</v>
      </c>
      <c r="GW57" s="27">
        <f>IF($A57="",0,IF(Mitarbeiter!$G$55=FALSE,0,IF(AND(Mitarbeiter!$E$55&lt;&gt;"",GW$5+6&lt;Mitarbeiter!$E$55),0,IF(AND(Mitarbeiter!$F$55&lt;&gt;"",GW$5&gt;Mitarbeiter!$F$55),0,IF(Planung!GW57="",$C57,IF(ISNUMBER(Planung!GW57),Planung!GW57,IF(UPPER(Planung!GW57)="H",$C57/2,0)))))))</f>
        <v>0</v>
      </c>
      <c r="GX57" s="27">
        <f>IF($A57="",0,IF(Mitarbeiter!$G$55=FALSE,0,IF(AND(Mitarbeiter!$E$55&lt;&gt;"",GX$5+6&lt;Mitarbeiter!$E$55),0,IF(AND(Mitarbeiter!$F$55&lt;&gt;"",GX$5&gt;Mitarbeiter!$F$55),0,IF(Planung!GX57="",$C57,IF(ISNUMBER(Planung!GX57),Planung!GX57,IF(UPPER(Planung!GX57)="H",$C57/2,0)))))))</f>
        <v>0</v>
      </c>
      <c r="GY57" s="27">
        <f>IF($A57="",0,IF(Mitarbeiter!$G$55=FALSE,0,IF(AND(Mitarbeiter!$E$55&lt;&gt;"",GY$5+6&lt;Mitarbeiter!$E$55),0,IF(AND(Mitarbeiter!$F$55&lt;&gt;"",GY$5&gt;Mitarbeiter!$F$55),0,IF(Planung!GY57="",$C57,IF(ISNUMBER(Planung!GY57),Planung!GY57,IF(UPPER(Planung!GY57)="H",$C57/2,0)))))))</f>
        <v>0</v>
      </c>
      <c r="GZ57" s="27">
        <f>IF($A57="",0,IF(Mitarbeiter!$G$55=FALSE,0,IF(AND(Mitarbeiter!$E$55&lt;&gt;"",GZ$5+6&lt;Mitarbeiter!$E$55),0,IF(AND(Mitarbeiter!$F$55&lt;&gt;"",GZ$5&gt;Mitarbeiter!$F$55),0,IF(Planung!GZ57="",$C57,IF(ISNUMBER(Planung!GZ57),Planung!GZ57,IF(UPPER(Planung!GZ57)="H",$C57/2,0)))))))</f>
        <v>0</v>
      </c>
      <c r="HA57" s="27">
        <f>IF($A57="",0,IF(Mitarbeiter!$G$55=FALSE,0,IF(AND(Mitarbeiter!$E$55&lt;&gt;"",HA$5+6&lt;Mitarbeiter!$E$55),0,IF(AND(Mitarbeiter!$F$55&lt;&gt;"",HA$5&gt;Mitarbeiter!$F$55),0,IF(Planung!HA57="",$C57,IF(ISNUMBER(Planung!HA57),Planung!HA57,IF(UPPER(Planung!HA57)="H",$C57/2,0)))))))</f>
        <v>0</v>
      </c>
      <c r="HB57" s="27">
        <f>IF($A57="",0,IF(Mitarbeiter!$G$55=FALSE,0,IF(AND(Mitarbeiter!$E$55&lt;&gt;"",HB$5+6&lt;Mitarbeiter!$E$55),0,IF(AND(Mitarbeiter!$F$55&lt;&gt;"",HB$5&gt;Mitarbeiter!$F$55),0,IF(Planung!HB57="",$C57,IF(ISNUMBER(Planung!HB57),Planung!HB57,IF(UPPER(Planung!HB57)="H",$C57/2,0)))))))</f>
        <v>0</v>
      </c>
      <c r="HC57" s="27">
        <f>IF($A57="",0,IF(Mitarbeiter!$G$55=FALSE,0,IF(AND(Mitarbeiter!$E$55&lt;&gt;"",HC$5+6&lt;Mitarbeiter!$E$55),0,IF(AND(Mitarbeiter!$F$55&lt;&gt;"",HC$5&gt;Mitarbeiter!$F$55),0,IF(Planung!HC57="",$C57,IF(ISNUMBER(Planung!HC57),Planung!HC57,IF(UPPER(Planung!HC57)="H",$C57/2,0)))))))</f>
        <v>0</v>
      </c>
      <c r="HD57" s="27">
        <f>IF($A57="",0,IF(Mitarbeiter!$G$55=FALSE,0,IF(AND(Mitarbeiter!$E$55&lt;&gt;"",HD$5+6&lt;Mitarbeiter!$E$55),0,IF(AND(Mitarbeiter!$F$55&lt;&gt;"",HD$5&gt;Mitarbeiter!$F$55),0,IF(Planung!HD57="",$C57,IF(ISNUMBER(Planung!HD57),Planung!HD57,IF(UPPER(Planung!HD57)="H",$C57/2,0)))))))</f>
        <v>0</v>
      </c>
      <c r="HE57" s="27">
        <f>IF($A57="",0,IF(Mitarbeiter!$G$55=FALSE,0,IF(AND(Mitarbeiter!$E$55&lt;&gt;"",HE$5+6&lt;Mitarbeiter!$E$55),0,IF(AND(Mitarbeiter!$F$55&lt;&gt;"",HE$5&gt;Mitarbeiter!$F$55),0,IF(Planung!HE57="",$C57,IF(ISNUMBER(Planung!HE57),Planung!HE57,IF(UPPER(Planung!HE57)="H",$C57/2,0)))))))</f>
        <v>0</v>
      </c>
      <c r="HF57" s="27">
        <f>IF($A57="",0,IF(Mitarbeiter!$G$55=FALSE,0,IF(AND(Mitarbeiter!$E$55&lt;&gt;"",HF$5+6&lt;Mitarbeiter!$E$55),0,IF(AND(Mitarbeiter!$F$55&lt;&gt;"",HF$5&gt;Mitarbeiter!$F$55),0,IF(Planung!HF57="",$C57,IF(ISNUMBER(Planung!HF57),Planung!HF57,IF(UPPER(Planung!HF57)="H",$C57/2,0)))))))</f>
        <v>0</v>
      </c>
      <c r="HG57" s="27">
        <f>IF($A57="",0,IF(Mitarbeiter!$G$55=FALSE,0,IF(AND(Mitarbeiter!$E$55&lt;&gt;"",HG$5+6&lt;Mitarbeiter!$E$55),0,IF(AND(Mitarbeiter!$F$55&lt;&gt;"",HG$5&gt;Mitarbeiter!$F$55),0,IF(Planung!HG57="",$C57,IF(ISNUMBER(Planung!HG57),Planung!HG57,IF(UPPER(Planung!HG57)="H",$C57/2,0)))))))</f>
        <v>0</v>
      </c>
      <c r="HH57" s="27">
        <f>IF($A57="",0,IF(Mitarbeiter!$G$55=FALSE,0,IF(AND(Mitarbeiter!$E$55&lt;&gt;"",HH$5+6&lt;Mitarbeiter!$E$55),0,IF(AND(Mitarbeiter!$F$55&lt;&gt;"",HH$5&gt;Mitarbeiter!$F$55),0,IF(Planung!HH57="",$C57,IF(ISNUMBER(Planung!HH57),Planung!HH57,IF(UPPER(Planung!HH57)="H",$C57/2,0)))))))</f>
        <v>0</v>
      </c>
      <c r="HI57" s="27">
        <f>IF($A57="",0,IF(Mitarbeiter!$G$55=FALSE,0,IF(AND(Mitarbeiter!$E$55&lt;&gt;"",HI$5+6&lt;Mitarbeiter!$E$55),0,IF(AND(Mitarbeiter!$F$55&lt;&gt;"",HI$5&gt;Mitarbeiter!$F$55),0,IF(Planung!HI57="",$C57,IF(ISNUMBER(Planung!HI57),Planung!HI57,IF(UPPER(Planung!HI57)="H",$C57/2,0)))))))</f>
        <v>0</v>
      </c>
      <c r="HJ57" s="27">
        <f>IF($A57="",0,IF(Mitarbeiter!$G$55=FALSE,0,IF(AND(Mitarbeiter!$E$55&lt;&gt;"",HJ$5+6&lt;Mitarbeiter!$E$55),0,IF(AND(Mitarbeiter!$F$55&lt;&gt;"",HJ$5&gt;Mitarbeiter!$F$55),0,IF(Planung!HJ57="",$C57,IF(ISNUMBER(Planung!HJ57),Planung!HJ57,IF(UPPER(Planung!HJ57)="H",$C57/2,0)))))))</f>
        <v>0</v>
      </c>
      <c r="HK57" s="27">
        <f>IF($A57="",0,IF(Mitarbeiter!$G$55=FALSE,0,IF(AND(Mitarbeiter!$E$55&lt;&gt;"",HK$5+6&lt;Mitarbeiter!$E$55),0,IF(AND(Mitarbeiter!$F$55&lt;&gt;"",HK$5&gt;Mitarbeiter!$F$55),0,IF(Planung!HK57="",$C57,IF(ISNUMBER(Planung!HK57),Planung!HK57,IF(UPPER(Planung!HK57)="H",$C57/2,0)))))))</f>
        <v>0</v>
      </c>
      <c r="HL57" s="27">
        <f>IF($A57="",0,IF(Mitarbeiter!$G$55=FALSE,0,IF(AND(Mitarbeiter!$E$55&lt;&gt;"",HL$5+6&lt;Mitarbeiter!$E$55),0,IF(AND(Mitarbeiter!$F$55&lt;&gt;"",HL$5&gt;Mitarbeiter!$F$55),0,IF(Planung!HL57="",$C57,IF(ISNUMBER(Planung!HL57),Planung!HL57,IF(UPPER(Planung!HL57)="H",$C57/2,0)))))))</f>
        <v>0</v>
      </c>
      <c r="HM57" s="27">
        <f>IF($A57="",0,IF(Mitarbeiter!$G$55=FALSE,0,IF(AND(Mitarbeiter!$E$55&lt;&gt;"",HM$5+6&lt;Mitarbeiter!$E$55),0,IF(AND(Mitarbeiter!$F$55&lt;&gt;"",HM$5&gt;Mitarbeiter!$F$55),0,IF(Planung!HM57="",$C57,IF(ISNUMBER(Planung!HM57),Planung!HM57,IF(UPPER(Planung!HM57)="H",$C57/2,0)))))))</f>
        <v>0</v>
      </c>
      <c r="HN57" s="27">
        <f>IF($A57="",0,IF(Mitarbeiter!$G$55=FALSE,0,IF(AND(Mitarbeiter!$E$55&lt;&gt;"",HN$5+6&lt;Mitarbeiter!$E$55),0,IF(AND(Mitarbeiter!$F$55&lt;&gt;"",HN$5&gt;Mitarbeiter!$F$55),0,IF(Planung!HN57="",$C57,IF(ISNUMBER(Planung!HN57),Planung!HN57,IF(UPPER(Planung!HN57)="H",$C57/2,0)))))))</f>
        <v>0</v>
      </c>
      <c r="HO57" s="27">
        <f>IF($A57="",0,IF(Mitarbeiter!$G$55=FALSE,0,IF(AND(Mitarbeiter!$E$55&lt;&gt;"",HO$5+6&lt;Mitarbeiter!$E$55),0,IF(AND(Mitarbeiter!$F$55&lt;&gt;"",HO$5&gt;Mitarbeiter!$F$55),0,IF(Planung!HO57="",$C57,IF(ISNUMBER(Planung!HO57),Planung!HO57,IF(UPPER(Planung!HO57)="H",$C57/2,0)))))))</f>
        <v>0</v>
      </c>
      <c r="HP57" s="27">
        <f>IF($A57="",0,IF(Mitarbeiter!$G$55=FALSE,0,IF(AND(Mitarbeiter!$E$55&lt;&gt;"",HP$5+6&lt;Mitarbeiter!$E$55),0,IF(AND(Mitarbeiter!$F$55&lt;&gt;"",HP$5&gt;Mitarbeiter!$F$55),0,IF(Planung!HP57="",$C57,IF(ISNUMBER(Planung!HP57),Planung!HP57,IF(UPPER(Planung!HP57)="H",$C57/2,0)))))))</f>
        <v>0</v>
      </c>
      <c r="HQ57" s="27">
        <f>IF($A57="",0,IF(Mitarbeiter!$G$55=FALSE,0,IF(AND(Mitarbeiter!$E$55&lt;&gt;"",HQ$5+6&lt;Mitarbeiter!$E$55),0,IF(AND(Mitarbeiter!$F$55&lt;&gt;"",HQ$5&gt;Mitarbeiter!$F$55),0,IF(Planung!HQ57="",$C57,IF(ISNUMBER(Planung!HQ57),Planung!HQ57,IF(UPPER(Planung!HQ57)="H",$C57/2,0)))))))</f>
        <v>0</v>
      </c>
      <c r="HR57" s="27">
        <f>IF($A57="",0,IF(Mitarbeiter!$G$55=FALSE,0,IF(AND(Mitarbeiter!$E$55&lt;&gt;"",HR$5+6&lt;Mitarbeiter!$E$55),0,IF(AND(Mitarbeiter!$F$55&lt;&gt;"",HR$5&gt;Mitarbeiter!$F$55),0,IF(Planung!HR57="",$C57,IF(ISNUMBER(Planung!HR57),Planung!HR57,IF(UPPER(Planung!HR57)="H",$C57/2,0)))))))</f>
        <v>0</v>
      </c>
      <c r="HS57" s="27">
        <f>IF($A57="",0,IF(Mitarbeiter!$G$55=FALSE,0,IF(AND(Mitarbeiter!$E$55&lt;&gt;"",HS$5+6&lt;Mitarbeiter!$E$55),0,IF(AND(Mitarbeiter!$F$55&lt;&gt;"",HS$5&gt;Mitarbeiter!$F$55),0,IF(Planung!HS57="",$C57,IF(ISNUMBER(Planung!HS57),Planung!HS57,IF(UPPER(Planung!HS57)="H",$C57/2,0)))))))</f>
        <v>0</v>
      </c>
      <c r="HT57" s="27">
        <f>IF($A57="",0,IF(Mitarbeiter!$G$55=FALSE,0,IF(AND(Mitarbeiter!$E$55&lt;&gt;"",HT$5+6&lt;Mitarbeiter!$E$55),0,IF(AND(Mitarbeiter!$F$55&lt;&gt;"",HT$5&gt;Mitarbeiter!$F$55),0,IF(Planung!HT57="",$C57,IF(ISNUMBER(Planung!HT57),Planung!HT57,IF(UPPER(Planung!HT57)="H",$C57/2,0)))))))</f>
        <v>0</v>
      </c>
      <c r="HU57" s="27">
        <f>IF($A57="",0,IF(Mitarbeiter!$G$55=FALSE,0,IF(AND(Mitarbeiter!$E$55&lt;&gt;"",HU$5+6&lt;Mitarbeiter!$E$55),0,IF(AND(Mitarbeiter!$F$55&lt;&gt;"",HU$5&gt;Mitarbeiter!$F$55),0,IF(Planung!HU57="",$C57,IF(ISNUMBER(Planung!HU57),Planung!HU57,IF(UPPER(Planung!HU57)="H",$C57/2,0)))))))</f>
        <v>0</v>
      </c>
      <c r="HV57" s="27">
        <f>IF($A57="",0,IF(Mitarbeiter!$G$55=FALSE,0,IF(AND(Mitarbeiter!$E$55&lt;&gt;"",HV$5+6&lt;Mitarbeiter!$E$55),0,IF(AND(Mitarbeiter!$F$55&lt;&gt;"",HV$5&gt;Mitarbeiter!$F$55),0,IF(Planung!HV57="",$C57,IF(ISNUMBER(Planung!HV57),Planung!HV57,IF(UPPER(Planung!HV57)="H",$C57/2,0)))))))</f>
        <v>0</v>
      </c>
      <c r="HW57" s="27">
        <f>IF($A57="",0,IF(Mitarbeiter!$G$55=FALSE,0,IF(AND(Mitarbeiter!$E$55&lt;&gt;"",HW$5+6&lt;Mitarbeiter!$E$55),0,IF(AND(Mitarbeiter!$F$55&lt;&gt;"",HW$5&gt;Mitarbeiter!$F$55),0,IF(Planung!HW57="",$C57,IF(ISNUMBER(Planung!HW57),Planung!HW57,IF(UPPER(Planung!HW57)="H",$C57/2,0)))))))</f>
        <v>0</v>
      </c>
      <c r="HX57" s="27">
        <f>IF($A57="",0,IF(Mitarbeiter!$G$55=FALSE,0,IF(AND(Mitarbeiter!$E$55&lt;&gt;"",HX$5+6&lt;Mitarbeiter!$E$55),0,IF(AND(Mitarbeiter!$F$55&lt;&gt;"",HX$5&gt;Mitarbeiter!$F$55),0,IF(Planung!HX57="",$C57,IF(ISNUMBER(Planung!HX57),Planung!HX57,IF(UPPER(Planung!HX57)="H",$C57/2,0)))))))</f>
        <v>0</v>
      </c>
      <c r="HY57" s="27">
        <f>IF($A57="",0,IF(Mitarbeiter!$G$55=FALSE,0,IF(AND(Mitarbeiter!$E$55&lt;&gt;"",HY$5+6&lt;Mitarbeiter!$E$55),0,IF(AND(Mitarbeiter!$F$55&lt;&gt;"",HY$5&gt;Mitarbeiter!$F$55),0,IF(Planung!HY57="",$C57,IF(ISNUMBER(Planung!HY57),Planung!HY57,IF(UPPER(Planung!HY57)="H",$C57/2,0)))))))</f>
        <v>0</v>
      </c>
      <c r="HZ57" s="27">
        <f>IF($A57="",0,IF(Mitarbeiter!$G$55=FALSE,0,IF(AND(Mitarbeiter!$E$55&lt;&gt;"",HZ$5+6&lt;Mitarbeiter!$E$55),0,IF(AND(Mitarbeiter!$F$55&lt;&gt;"",HZ$5&gt;Mitarbeiter!$F$55),0,IF(Planung!HZ57="",$C57,IF(ISNUMBER(Planung!HZ57),Planung!HZ57,IF(UPPER(Planung!HZ57)="H",$C57/2,0)))))))</f>
        <v>0</v>
      </c>
      <c r="IA57" s="27">
        <f>IF($A57="",0,IF(Mitarbeiter!$G$55=FALSE,0,IF(AND(Mitarbeiter!$E$55&lt;&gt;"",IA$5+6&lt;Mitarbeiter!$E$55),0,IF(AND(Mitarbeiter!$F$55&lt;&gt;"",IA$5&gt;Mitarbeiter!$F$55),0,IF(Planung!IA57="",$C57,IF(ISNUMBER(Planung!IA57),Planung!IA57,IF(UPPER(Planung!IA57)="H",$C57/2,0)))))))</f>
        <v>0</v>
      </c>
    </row>
    <row r="58" spans="1:235" x14ac:dyDescent="0.25">
      <c r="A58" s="7" t="str">
        <f>Planung!A58</f>
        <v/>
      </c>
      <c r="B58" s="7" t="str">
        <f>Planung!B58</f>
        <v/>
      </c>
      <c r="C58" s="27">
        <f>N(Mitarbeiter!$D$56)</f>
        <v>0</v>
      </c>
      <c r="D58" s="27">
        <f>IF($A58="",0,IF(Mitarbeiter!$G$56=FALSE,0,IF(AND(Mitarbeiter!$E$56&lt;&gt;"",D$5+6&lt;Mitarbeiter!$E$56),0,IF(AND(Mitarbeiter!$F$56&lt;&gt;"",D$5&gt;Mitarbeiter!$F$56),0,IF(Planung!D58="",$C58,IF(ISNUMBER(Planung!D58),Planung!D58,IF(UPPER(Planung!D58)="H",$C58/2,0)))))))</f>
        <v>0</v>
      </c>
      <c r="E58" s="27">
        <f>IF($A58="",0,IF(Mitarbeiter!$G$56=FALSE,0,IF(AND(Mitarbeiter!$E$56&lt;&gt;"",E$5+6&lt;Mitarbeiter!$E$56),0,IF(AND(Mitarbeiter!$F$56&lt;&gt;"",E$5&gt;Mitarbeiter!$F$56),0,IF(Planung!E58="",$C58,IF(ISNUMBER(Planung!E58),Planung!E58,IF(UPPER(Planung!E58)="H",$C58/2,0)))))))</f>
        <v>0</v>
      </c>
      <c r="F58" s="27">
        <f>IF($A58="",0,IF(Mitarbeiter!$G$56=FALSE,0,IF(AND(Mitarbeiter!$E$56&lt;&gt;"",F$5+6&lt;Mitarbeiter!$E$56),0,IF(AND(Mitarbeiter!$F$56&lt;&gt;"",F$5&gt;Mitarbeiter!$F$56),0,IF(Planung!F58="",$C58,IF(ISNUMBER(Planung!F58),Planung!F58,IF(UPPER(Planung!F58)="H",$C58/2,0)))))))</f>
        <v>0</v>
      </c>
      <c r="G58" s="27">
        <f>IF($A58="",0,IF(Mitarbeiter!$G$56=FALSE,0,IF(AND(Mitarbeiter!$E$56&lt;&gt;"",G$5+6&lt;Mitarbeiter!$E$56),0,IF(AND(Mitarbeiter!$F$56&lt;&gt;"",G$5&gt;Mitarbeiter!$F$56),0,IF(Planung!G58="",$C58,IF(ISNUMBER(Planung!G58),Planung!G58,IF(UPPER(Planung!G58)="H",$C58/2,0)))))))</f>
        <v>0</v>
      </c>
      <c r="H58" s="27">
        <f>IF($A58="",0,IF(Mitarbeiter!$G$56=FALSE,0,IF(AND(Mitarbeiter!$E$56&lt;&gt;"",H$5+6&lt;Mitarbeiter!$E$56),0,IF(AND(Mitarbeiter!$F$56&lt;&gt;"",H$5&gt;Mitarbeiter!$F$56),0,IF(Planung!H58="",$C58,IF(ISNUMBER(Planung!H58),Planung!H58,IF(UPPER(Planung!H58)="H",$C58/2,0)))))))</f>
        <v>0</v>
      </c>
      <c r="I58" s="27">
        <f>IF($A58="",0,IF(Mitarbeiter!$G$56=FALSE,0,IF(AND(Mitarbeiter!$E$56&lt;&gt;"",I$5+6&lt;Mitarbeiter!$E$56),0,IF(AND(Mitarbeiter!$F$56&lt;&gt;"",I$5&gt;Mitarbeiter!$F$56),0,IF(Planung!I58="",$C58,IF(ISNUMBER(Planung!I58),Planung!I58,IF(UPPER(Planung!I58)="H",$C58/2,0)))))))</f>
        <v>0</v>
      </c>
      <c r="J58" s="27">
        <f>IF($A58="",0,IF(Mitarbeiter!$G$56=FALSE,0,IF(AND(Mitarbeiter!$E$56&lt;&gt;"",J$5+6&lt;Mitarbeiter!$E$56),0,IF(AND(Mitarbeiter!$F$56&lt;&gt;"",J$5&gt;Mitarbeiter!$F$56),0,IF(Planung!J58="",$C58,IF(ISNUMBER(Planung!J58),Planung!J58,IF(UPPER(Planung!J58)="H",$C58/2,0)))))))</f>
        <v>0</v>
      </c>
      <c r="K58" s="27">
        <f>IF($A58="",0,IF(Mitarbeiter!$G$56=FALSE,0,IF(AND(Mitarbeiter!$E$56&lt;&gt;"",K$5+6&lt;Mitarbeiter!$E$56),0,IF(AND(Mitarbeiter!$F$56&lt;&gt;"",K$5&gt;Mitarbeiter!$F$56),0,IF(Planung!K58="",$C58,IF(ISNUMBER(Planung!K58),Planung!K58,IF(UPPER(Planung!K58)="H",$C58/2,0)))))))</f>
        <v>0</v>
      </c>
      <c r="L58" s="27">
        <f>IF($A58="",0,IF(Mitarbeiter!$G$56=FALSE,0,IF(AND(Mitarbeiter!$E$56&lt;&gt;"",L$5+6&lt;Mitarbeiter!$E$56),0,IF(AND(Mitarbeiter!$F$56&lt;&gt;"",L$5&gt;Mitarbeiter!$F$56),0,IF(Planung!L58="",$C58,IF(ISNUMBER(Planung!L58),Planung!L58,IF(UPPER(Planung!L58)="H",$C58/2,0)))))))</f>
        <v>0</v>
      </c>
      <c r="M58" s="27">
        <f>IF($A58="",0,IF(Mitarbeiter!$G$56=FALSE,0,IF(AND(Mitarbeiter!$E$56&lt;&gt;"",M$5+6&lt;Mitarbeiter!$E$56),0,IF(AND(Mitarbeiter!$F$56&lt;&gt;"",M$5&gt;Mitarbeiter!$F$56),0,IF(Planung!M58="",$C58,IF(ISNUMBER(Planung!M58),Planung!M58,IF(UPPER(Planung!M58)="H",$C58/2,0)))))))</f>
        <v>0</v>
      </c>
      <c r="N58" s="27">
        <f>IF($A58="",0,IF(Mitarbeiter!$G$56=FALSE,0,IF(AND(Mitarbeiter!$E$56&lt;&gt;"",N$5+6&lt;Mitarbeiter!$E$56),0,IF(AND(Mitarbeiter!$F$56&lt;&gt;"",N$5&gt;Mitarbeiter!$F$56),0,IF(Planung!N58="",$C58,IF(ISNUMBER(Planung!N58),Planung!N58,IF(UPPER(Planung!N58)="H",$C58/2,0)))))))</f>
        <v>0</v>
      </c>
      <c r="O58" s="27">
        <f>IF($A58="",0,IF(Mitarbeiter!$G$56=FALSE,0,IF(AND(Mitarbeiter!$E$56&lt;&gt;"",O$5+6&lt;Mitarbeiter!$E$56),0,IF(AND(Mitarbeiter!$F$56&lt;&gt;"",O$5&gt;Mitarbeiter!$F$56),0,IF(Planung!O58="",$C58,IF(ISNUMBER(Planung!O58),Planung!O58,IF(UPPER(Planung!O58)="H",$C58/2,0)))))))</f>
        <v>0</v>
      </c>
      <c r="P58" s="27">
        <f>IF($A58="",0,IF(Mitarbeiter!$G$56=FALSE,0,IF(AND(Mitarbeiter!$E$56&lt;&gt;"",P$5+6&lt;Mitarbeiter!$E$56),0,IF(AND(Mitarbeiter!$F$56&lt;&gt;"",P$5&gt;Mitarbeiter!$F$56),0,IF(Planung!P58="",$C58,IF(ISNUMBER(Planung!P58),Planung!P58,IF(UPPER(Planung!P58)="H",$C58/2,0)))))))</f>
        <v>0</v>
      </c>
      <c r="Q58" s="27">
        <f>IF($A58="",0,IF(Mitarbeiter!$G$56=FALSE,0,IF(AND(Mitarbeiter!$E$56&lt;&gt;"",Q$5+6&lt;Mitarbeiter!$E$56),0,IF(AND(Mitarbeiter!$F$56&lt;&gt;"",Q$5&gt;Mitarbeiter!$F$56),0,IF(Planung!Q58="",$C58,IF(ISNUMBER(Planung!Q58),Planung!Q58,IF(UPPER(Planung!Q58)="H",$C58/2,0)))))))</f>
        <v>0</v>
      </c>
      <c r="R58" s="27">
        <f>IF($A58="",0,IF(Mitarbeiter!$G$56=FALSE,0,IF(AND(Mitarbeiter!$E$56&lt;&gt;"",R$5+6&lt;Mitarbeiter!$E$56),0,IF(AND(Mitarbeiter!$F$56&lt;&gt;"",R$5&gt;Mitarbeiter!$F$56),0,IF(Planung!R58="",$C58,IF(ISNUMBER(Planung!R58),Planung!R58,IF(UPPER(Planung!R58)="H",$C58/2,0)))))))</f>
        <v>0</v>
      </c>
      <c r="S58" s="27">
        <f>IF($A58="",0,IF(Mitarbeiter!$G$56=FALSE,0,IF(AND(Mitarbeiter!$E$56&lt;&gt;"",S$5+6&lt;Mitarbeiter!$E$56),0,IF(AND(Mitarbeiter!$F$56&lt;&gt;"",S$5&gt;Mitarbeiter!$F$56),0,IF(Planung!S58="",$C58,IF(ISNUMBER(Planung!S58),Planung!S58,IF(UPPER(Planung!S58)="H",$C58/2,0)))))))</f>
        <v>0</v>
      </c>
      <c r="T58" s="27">
        <f>IF($A58="",0,IF(Mitarbeiter!$G$56=FALSE,0,IF(AND(Mitarbeiter!$E$56&lt;&gt;"",T$5+6&lt;Mitarbeiter!$E$56),0,IF(AND(Mitarbeiter!$F$56&lt;&gt;"",T$5&gt;Mitarbeiter!$F$56),0,IF(Planung!T58="",$C58,IF(ISNUMBER(Planung!T58),Planung!T58,IF(UPPER(Planung!T58)="H",$C58/2,0)))))))</f>
        <v>0</v>
      </c>
      <c r="U58" s="27">
        <f>IF($A58="",0,IF(Mitarbeiter!$G$56=FALSE,0,IF(AND(Mitarbeiter!$E$56&lt;&gt;"",U$5+6&lt;Mitarbeiter!$E$56),0,IF(AND(Mitarbeiter!$F$56&lt;&gt;"",U$5&gt;Mitarbeiter!$F$56),0,IF(Planung!U58="",$C58,IF(ISNUMBER(Planung!U58),Planung!U58,IF(UPPER(Planung!U58)="H",$C58/2,0)))))))</f>
        <v>0</v>
      </c>
      <c r="V58" s="27">
        <f>IF($A58="",0,IF(Mitarbeiter!$G$56=FALSE,0,IF(AND(Mitarbeiter!$E$56&lt;&gt;"",V$5+6&lt;Mitarbeiter!$E$56),0,IF(AND(Mitarbeiter!$F$56&lt;&gt;"",V$5&gt;Mitarbeiter!$F$56),0,IF(Planung!V58="",$C58,IF(ISNUMBER(Planung!V58),Planung!V58,IF(UPPER(Planung!V58)="H",$C58/2,0)))))))</f>
        <v>0</v>
      </c>
      <c r="W58" s="27">
        <f>IF($A58="",0,IF(Mitarbeiter!$G$56=FALSE,0,IF(AND(Mitarbeiter!$E$56&lt;&gt;"",W$5+6&lt;Mitarbeiter!$E$56),0,IF(AND(Mitarbeiter!$F$56&lt;&gt;"",W$5&gt;Mitarbeiter!$F$56),0,IF(Planung!W58="",$C58,IF(ISNUMBER(Planung!W58),Planung!W58,IF(UPPER(Planung!W58)="H",$C58/2,0)))))))</f>
        <v>0</v>
      </c>
      <c r="X58" s="27">
        <f>IF($A58="",0,IF(Mitarbeiter!$G$56=FALSE,0,IF(AND(Mitarbeiter!$E$56&lt;&gt;"",X$5+6&lt;Mitarbeiter!$E$56),0,IF(AND(Mitarbeiter!$F$56&lt;&gt;"",X$5&gt;Mitarbeiter!$F$56),0,IF(Planung!X58="",$C58,IF(ISNUMBER(Planung!X58),Planung!X58,IF(UPPER(Planung!X58)="H",$C58/2,0)))))))</f>
        <v>0</v>
      </c>
      <c r="Y58" s="27">
        <f>IF($A58="",0,IF(Mitarbeiter!$G$56=FALSE,0,IF(AND(Mitarbeiter!$E$56&lt;&gt;"",Y$5+6&lt;Mitarbeiter!$E$56),0,IF(AND(Mitarbeiter!$F$56&lt;&gt;"",Y$5&gt;Mitarbeiter!$F$56),0,IF(Planung!Y58="",$C58,IF(ISNUMBER(Planung!Y58),Planung!Y58,IF(UPPER(Planung!Y58)="H",$C58/2,0)))))))</f>
        <v>0</v>
      </c>
      <c r="Z58" s="27">
        <f>IF($A58="",0,IF(Mitarbeiter!$G$56=FALSE,0,IF(AND(Mitarbeiter!$E$56&lt;&gt;"",Z$5+6&lt;Mitarbeiter!$E$56),0,IF(AND(Mitarbeiter!$F$56&lt;&gt;"",Z$5&gt;Mitarbeiter!$F$56),0,IF(Planung!Z58="",$C58,IF(ISNUMBER(Planung!Z58),Planung!Z58,IF(UPPER(Planung!Z58)="H",$C58/2,0)))))))</f>
        <v>0</v>
      </c>
      <c r="AA58" s="27">
        <f>IF($A58="",0,IF(Mitarbeiter!$G$56=FALSE,0,IF(AND(Mitarbeiter!$E$56&lt;&gt;"",AA$5+6&lt;Mitarbeiter!$E$56),0,IF(AND(Mitarbeiter!$F$56&lt;&gt;"",AA$5&gt;Mitarbeiter!$F$56),0,IF(Planung!AA58="",$C58,IF(ISNUMBER(Planung!AA58),Planung!AA58,IF(UPPER(Planung!AA58)="H",$C58/2,0)))))))</f>
        <v>0</v>
      </c>
      <c r="AB58" s="27">
        <f>IF($A58="",0,IF(Mitarbeiter!$G$56=FALSE,0,IF(AND(Mitarbeiter!$E$56&lt;&gt;"",AB$5+6&lt;Mitarbeiter!$E$56),0,IF(AND(Mitarbeiter!$F$56&lt;&gt;"",AB$5&gt;Mitarbeiter!$F$56),0,IF(Planung!AB58="",$C58,IF(ISNUMBER(Planung!AB58),Planung!AB58,IF(UPPER(Planung!AB58)="H",$C58/2,0)))))))</f>
        <v>0</v>
      </c>
      <c r="AC58" s="27">
        <f>IF($A58="",0,IF(Mitarbeiter!$G$56=FALSE,0,IF(AND(Mitarbeiter!$E$56&lt;&gt;"",AC$5+6&lt;Mitarbeiter!$E$56),0,IF(AND(Mitarbeiter!$F$56&lt;&gt;"",AC$5&gt;Mitarbeiter!$F$56),0,IF(Planung!AC58="",$C58,IF(ISNUMBER(Planung!AC58),Planung!AC58,IF(UPPER(Planung!AC58)="H",$C58/2,0)))))))</f>
        <v>0</v>
      </c>
      <c r="AD58" s="27">
        <f>IF($A58="",0,IF(Mitarbeiter!$G$56=FALSE,0,IF(AND(Mitarbeiter!$E$56&lt;&gt;"",AD$5+6&lt;Mitarbeiter!$E$56),0,IF(AND(Mitarbeiter!$F$56&lt;&gt;"",AD$5&gt;Mitarbeiter!$F$56),0,IF(Planung!AD58="",$C58,IF(ISNUMBER(Planung!AD58),Planung!AD58,IF(UPPER(Planung!AD58)="H",$C58/2,0)))))))</f>
        <v>0</v>
      </c>
      <c r="AE58" s="27">
        <f>IF($A58="",0,IF(Mitarbeiter!$G$56=FALSE,0,IF(AND(Mitarbeiter!$E$56&lt;&gt;"",AE$5+6&lt;Mitarbeiter!$E$56),0,IF(AND(Mitarbeiter!$F$56&lt;&gt;"",AE$5&gt;Mitarbeiter!$F$56),0,IF(Planung!AE58="",$C58,IF(ISNUMBER(Planung!AE58),Planung!AE58,IF(UPPER(Planung!AE58)="H",$C58/2,0)))))))</f>
        <v>0</v>
      </c>
      <c r="AF58" s="27">
        <f>IF($A58="",0,IF(Mitarbeiter!$G$56=FALSE,0,IF(AND(Mitarbeiter!$E$56&lt;&gt;"",AF$5+6&lt;Mitarbeiter!$E$56),0,IF(AND(Mitarbeiter!$F$56&lt;&gt;"",AF$5&gt;Mitarbeiter!$F$56),0,IF(Planung!AF58="",$C58,IF(ISNUMBER(Planung!AF58),Planung!AF58,IF(UPPER(Planung!AF58)="H",$C58/2,0)))))))</f>
        <v>0</v>
      </c>
      <c r="AG58" s="27">
        <f>IF($A58="",0,IF(Mitarbeiter!$G$56=FALSE,0,IF(AND(Mitarbeiter!$E$56&lt;&gt;"",AG$5+6&lt;Mitarbeiter!$E$56),0,IF(AND(Mitarbeiter!$F$56&lt;&gt;"",AG$5&gt;Mitarbeiter!$F$56),0,IF(Planung!AG58="",$C58,IF(ISNUMBER(Planung!AG58),Planung!AG58,IF(UPPER(Planung!AG58)="H",$C58/2,0)))))))</f>
        <v>0</v>
      </c>
      <c r="AH58" s="27">
        <f>IF($A58="",0,IF(Mitarbeiter!$G$56=FALSE,0,IF(AND(Mitarbeiter!$E$56&lt;&gt;"",AH$5+6&lt;Mitarbeiter!$E$56),0,IF(AND(Mitarbeiter!$F$56&lt;&gt;"",AH$5&gt;Mitarbeiter!$F$56),0,IF(Planung!AH58="",$C58,IF(ISNUMBER(Planung!AH58),Planung!AH58,IF(UPPER(Planung!AH58)="H",$C58/2,0)))))))</f>
        <v>0</v>
      </c>
      <c r="AI58" s="27">
        <f>IF($A58="",0,IF(Mitarbeiter!$G$56=FALSE,0,IF(AND(Mitarbeiter!$E$56&lt;&gt;"",AI$5+6&lt;Mitarbeiter!$E$56),0,IF(AND(Mitarbeiter!$F$56&lt;&gt;"",AI$5&gt;Mitarbeiter!$F$56),0,IF(Planung!AI58="",$C58,IF(ISNUMBER(Planung!AI58),Planung!AI58,IF(UPPER(Planung!AI58)="H",$C58/2,0)))))))</f>
        <v>0</v>
      </c>
      <c r="AJ58" s="27">
        <f>IF($A58="",0,IF(Mitarbeiter!$G$56=FALSE,0,IF(AND(Mitarbeiter!$E$56&lt;&gt;"",AJ$5+6&lt;Mitarbeiter!$E$56),0,IF(AND(Mitarbeiter!$F$56&lt;&gt;"",AJ$5&gt;Mitarbeiter!$F$56),0,IF(Planung!AJ58="",$C58,IF(ISNUMBER(Planung!AJ58),Planung!AJ58,IF(UPPER(Planung!AJ58)="H",$C58/2,0)))))))</f>
        <v>0</v>
      </c>
      <c r="AK58" s="27">
        <f>IF($A58="",0,IF(Mitarbeiter!$G$56=FALSE,0,IF(AND(Mitarbeiter!$E$56&lt;&gt;"",AK$5+6&lt;Mitarbeiter!$E$56),0,IF(AND(Mitarbeiter!$F$56&lt;&gt;"",AK$5&gt;Mitarbeiter!$F$56),0,IF(Planung!AK58="",$C58,IF(ISNUMBER(Planung!AK58),Planung!AK58,IF(UPPER(Planung!AK58)="H",$C58/2,0)))))))</f>
        <v>0</v>
      </c>
      <c r="AL58" s="27">
        <f>IF($A58="",0,IF(Mitarbeiter!$G$56=FALSE,0,IF(AND(Mitarbeiter!$E$56&lt;&gt;"",AL$5+6&lt;Mitarbeiter!$E$56),0,IF(AND(Mitarbeiter!$F$56&lt;&gt;"",AL$5&gt;Mitarbeiter!$F$56),0,IF(Planung!AL58="",$C58,IF(ISNUMBER(Planung!AL58),Planung!AL58,IF(UPPER(Planung!AL58)="H",$C58/2,0)))))))</f>
        <v>0</v>
      </c>
      <c r="AM58" s="27">
        <f>IF($A58="",0,IF(Mitarbeiter!$G$56=FALSE,0,IF(AND(Mitarbeiter!$E$56&lt;&gt;"",AM$5+6&lt;Mitarbeiter!$E$56),0,IF(AND(Mitarbeiter!$F$56&lt;&gt;"",AM$5&gt;Mitarbeiter!$F$56),0,IF(Planung!AM58="",$C58,IF(ISNUMBER(Planung!AM58),Planung!AM58,IF(UPPER(Planung!AM58)="H",$C58/2,0)))))))</f>
        <v>0</v>
      </c>
      <c r="AN58" s="27">
        <f>IF($A58="",0,IF(Mitarbeiter!$G$56=FALSE,0,IF(AND(Mitarbeiter!$E$56&lt;&gt;"",AN$5+6&lt;Mitarbeiter!$E$56),0,IF(AND(Mitarbeiter!$F$56&lt;&gt;"",AN$5&gt;Mitarbeiter!$F$56),0,IF(Planung!AN58="",$C58,IF(ISNUMBER(Planung!AN58),Planung!AN58,IF(UPPER(Planung!AN58)="H",$C58/2,0)))))))</f>
        <v>0</v>
      </c>
      <c r="AO58" s="27">
        <f>IF($A58="",0,IF(Mitarbeiter!$G$56=FALSE,0,IF(AND(Mitarbeiter!$E$56&lt;&gt;"",AO$5+6&lt;Mitarbeiter!$E$56),0,IF(AND(Mitarbeiter!$F$56&lt;&gt;"",AO$5&gt;Mitarbeiter!$F$56),0,IF(Planung!AO58="",$C58,IF(ISNUMBER(Planung!AO58),Planung!AO58,IF(UPPER(Planung!AO58)="H",$C58/2,0)))))))</f>
        <v>0</v>
      </c>
      <c r="AP58" s="27">
        <f>IF($A58="",0,IF(Mitarbeiter!$G$56=FALSE,0,IF(AND(Mitarbeiter!$E$56&lt;&gt;"",AP$5+6&lt;Mitarbeiter!$E$56),0,IF(AND(Mitarbeiter!$F$56&lt;&gt;"",AP$5&gt;Mitarbeiter!$F$56),0,IF(Planung!AP58="",$C58,IF(ISNUMBER(Planung!AP58),Planung!AP58,IF(UPPER(Planung!AP58)="H",$C58/2,0)))))))</f>
        <v>0</v>
      </c>
      <c r="AQ58" s="27">
        <f>IF($A58="",0,IF(Mitarbeiter!$G$56=FALSE,0,IF(AND(Mitarbeiter!$E$56&lt;&gt;"",AQ$5+6&lt;Mitarbeiter!$E$56),0,IF(AND(Mitarbeiter!$F$56&lt;&gt;"",AQ$5&gt;Mitarbeiter!$F$56),0,IF(Planung!AQ58="",$C58,IF(ISNUMBER(Planung!AQ58),Planung!AQ58,IF(UPPER(Planung!AQ58)="H",$C58/2,0)))))))</f>
        <v>0</v>
      </c>
      <c r="AR58" s="27">
        <f>IF($A58="",0,IF(Mitarbeiter!$G$56=FALSE,0,IF(AND(Mitarbeiter!$E$56&lt;&gt;"",AR$5+6&lt;Mitarbeiter!$E$56),0,IF(AND(Mitarbeiter!$F$56&lt;&gt;"",AR$5&gt;Mitarbeiter!$F$56),0,IF(Planung!AR58="",$C58,IF(ISNUMBER(Planung!AR58),Planung!AR58,IF(UPPER(Planung!AR58)="H",$C58/2,0)))))))</f>
        <v>0</v>
      </c>
      <c r="AS58" s="27">
        <f>IF($A58="",0,IF(Mitarbeiter!$G$56=FALSE,0,IF(AND(Mitarbeiter!$E$56&lt;&gt;"",AS$5+6&lt;Mitarbeiter!$E$56),0,IF(AND(Mitarbeiter!$F$56&lt;&gt;"",AS$5&gt;Mitarbeiter!$F$56),0,IF(Planung!AS58="",$C58,IF(ISNUMBER(Planung!AS58),Planung!AS58,IF(UPPER(Planung!AS58)="H",$C58/2,0)))))))</f>
        <v>0</v>
      </c>
      <c r="AT58" s="27">
        <f>IF($A58="",0,IF(Mitarbeiter!$G$56=FALSE,0,IF(AND(Mitarbeiter!$E$56&lt;&gt;"",AT$5+6&lt;Mitarbeiter!$E$56),0,IF(AND(Mitarbeiter!$F$56&lt;&gt;"",AT$5&gt;Mitarbeiter!$F$56),0,IF(Planung!AT58="",$C58,IF(ISNUMBER(Planung!AT58),Planung!AT58,IF(UPPER(Planung!AT58)="H",$C58/2,0)))))))</f>
        <v>0</v>
      </c>
      <c r="AU58" s="27">
        <f>IF($A58="",0,IF(Mitarbeiter!$G$56=FALSE,0,IF(AND(Mitarbeiter!$E$56&lt;&gt;"",AU$5+6&lt;Mitarbeiter!$E$56),0,IF(AND(Mitarbeiter!$F$56&lt;&gt;"",AU$5&gt;Mitarbeiter!$F$56),0,IF(Planung!AU58="",$C58,IF(ISNUMBER(Planung!AU58),Planung!AU58,IF(UPPER(Planung!AU58)="H",$C58/2,0)))))))</f>
        <v>0</v>
      </c>
      <c r="AV58" s="27">
        <f>IF($A58="",0,IF(Mitarbeiter!$G$56=FALSE,0,IF(AND(Mitarbeiter!$E$56&lt;&gt;"",AV$5+6&lt;Mitarbeiter!$E$56),0,IF(AND(Mitarbeiter!$F$56&lt;&gt;"",AV$5&gt;Mitarbeiter!$F$56),0,IF(Planung!AV58="",$C58,IF(ISNUMBER(Planung!AV58),Planung!AV58,IF(UPPER(Planung!AV58)="H",$C58/2,0)))))))</f>
        <v>0</v>
      </c>
      <c r="AW58" s="27">
        <f>IF($A58="",0,IF(Mitarbeiter!$G$56=FALSE,0,IF(AND(Mitarbeiter!$E$56&lt;&gt;"",AW$5+6&lt;Mitarbeiter!$E$56),0,IF(AND(Mitarbeiter!$F$56&lt;&gt;"",AW$5&gt;Mitarbeiter!$F$56),0,IF(Planung!AW58="",$C58,IF(ISNUMBER(Planung!AW58),Planung!AW58,IF(UPPER(Planung!AW58)="H",$C58/2,0)))))))</f>
        <v>0</v>
      </c>
      <c r="AX58" s="27">
        <f>IF($A58="",0,IF(Mitarbeiter!$G$56=FALSE,0,IF(AND(Mitarbeiter!$E$56&lt;&gt;"",AX$5+6&lt;Mitarbeiter!$E$56),0,IF(AND(Mitarbeiter!$F$56&lt;&gt;"",AX$5&gt;Mitarbeiter!$F$56),0,IF(Planung!AX58="",$C58,IF(ISNUMBER(Planung!AX58),Planung!AX58,IF(UPPER(Planung!AX58)="H",$C58/2,0)))))))</f>
        <v>0</v>
      </c>
      <c r="AY58" s="27">
        <f>IF($A58="",0,IF(Mitarbeiter!$G$56=FALSE,0,IF(AND(Mitarbeiter!$E$56&lt;&gt;"",AY$5+6&lt;Mitarbeiter!$E$56),0,IF(AND(Mitarbeiter!$F$56&lt;&gt;"",AY$5&gt;Mitarbeiter!$F$56),0,IF(Planung!AY58="",$C58,IF(ISNUMBER(Planung!AY58),Planung!AY58,IF(UPPER(Planung!AY58)="H",$C58/2,0)))))))</f>
        <v>0</v>
      </c>
      <c r="AZ58" s="27">
        <f>IF($A58="",0,IF(Mitarbeiter!$G$56=FALSE,0,IF(AND(Mitarbeiter!$E$56&lt;&gt;"",AZ$5+6&lt;Mitarbeiter!$E$56),0,IF(AND(Mitarbeiter!$F$56&lt;&gt;"",AZ$5&gt;Mitarbeiter!$F$56),0,IF(Planung!AZ58="",$C58,IF(ISNUMBER(Planung!AZ58),Planung!AZ58,IF(UPPER(Planung!AZ58)="H",$C58/2,0)))))))</f>
        <v>0</v>
      </c>
      <c r="BA58" s="27">
        <f>IF($A58="",0,IF(Mitarbeiter!$G$56=FALSE,0,IF(AND(Mitarbeiter!$E$56&lt;&gt;"",BA$5+6&lt;Mitarbeiter!$E$56),0,IF(AND(Mitarbeiter!$F$56&lt;&gt;"",BA$5&gt;Mitarbeiter!$F$56),0,IF(Planung!BA58="",$C58,IF(ISNUMBER(Planung!BA58),Planung!BA58,IF(UPPER(Planung!BA58)="H",$C58/2,0)))))))</f>
        <v>0</v>
      </c>
      <c r="BB58" s="27">
        <f>IF($A58="",0,IF(Mitarbeiter!$G$56=FALSE,0,IF(AND(Mitarbeiter!$E$56&lt;&gt;"",BB$5+6&lt;Mitarbeiter!$E$56),0,IF(AND(Mitarbeiter!$F$56&lt;&gt;"",BB$5&gt;Mitarbeiter!$F$56),0,IF(Planung!BB58="",$C58,IF(ISNUMBER(Planung!BB58),Planung!BB58,IF(UPPER(Planung!BB58)="H",$C58/2,0)))))))</f>
        <v>0</v>
      </c>
      <c r="BC58" s="27">
        <f>IF($A58="",0,IF(Mitarbeiter!$G$56=FALSE,0,IF(AND(Mitarbeiter!$E$56&lt;&gt;"",BC$5+6&lt;Mitarbeiter!$E$56),0,IF(AND(Mitarbeiter!$F$56&lt;&gt;"",BC$5&gt;Mitarbeiter!$F$56),0,IF(Planung!BC58="",$C58,IF(ISNUMBER(Planung!BC58),Planung!BC58,IF(UPPER(Planung!BC58)="H",$C58/2,0)))))))</f>
        <v>0</v>
      </c>
      <c r="BD58" s="27">
        <f>IF($A58="",0,IF(Mitarbeiter!$G$56=FALSE,0,IF(AND(Mitarbeiter!$E$56&lt;&gt;"",BD$5+6&lt;Mitarbeiter!$E$56),0,IF(AND(Mitarbeiter!$F$56&lt;&gt;"",BD$5&gt;Mitarbeiter!$F$56),0,IF(Planung!BD58="",$C58,IF(ISNUMBER(Planung!BD58),Planung!BD58,IF(UPPER(Planung!BD58)="H",$C58/2,0)))))))</f>
        <v>0</v>
      </c>
      <c r="BE58" s="27">
        <f>IF($A58="",0,IF(Mitarbeiter!$G$56=FALSE,0,IF(AND(Mitarbeiter!$E$56&lt;&gt;"",BE$5+6&lt;Mitarbeiter!$E$56),0,IF(AND(Mitarbeiter!$F$56&lt;&gt;"",BE$5&gt;Mitarbeiter!$F$56),0,IF(Planung!BE58="",$C58,IF(ISNUMBER(Planung!BE58),Planung!BE58,IF(UPPER(Planung!BE58)="H",$C58/2,0)))))))</f>
        <v>0</v>
      </c>
      <c r="BF58" s="27">
        <f>IF($A58="",0,IF(Mitarbeiter!$G$56=FALSE,0,IF(AND(Mitarbeiter!$E$56&lt;&gt;"",BF$5+6&lt;Mitarbeiter!$E$56),0,IF(AND(Mitarbeiter!$F$56&lt;&gt;"",BF$5&gt;Mitarbeiter!$F$56),0,IF(Planung!BF58="",$C58,IF(ISNUMBER(Planung!BF58),Planung!BF58,IF(UPPER(Planung!BF58)="H",$C58/2,0)))))))</f>
        <v>0</v>
      </c>
      <c r="BG58" s="27">
        <f>IF($A58="",0,IF(Mitarbeiter!$G$56=FALSE,0,IF(AND(Mitarbeiter!$E$56&lt;&gt;"",BG$5+6&lt;Mitarbeiter!$E$56),0,IF(AND(Mitarbeiter!$F$56&lt;&gt;"",BG$5&gt;Mitarbeiter!$F$56),0,IF(Planung!BG58="",$C58,IF(ISNUMBER(Planung!BG58),Planung!BG58,IF(UPPER(Planung!BG58)="H",$C58/2,0)))))))</f>
        <v>0</v>
      </c>
      <c r="BH58" s="27">
        <f>IF($A58="",0,IF(Mitarbeiter!$G$56=FALSE,0,IF(AND(Mitarbeiter!$E$56&lt;&gt;"",BH$5+6&lt;Mitarbeiter!$E$56),0,IF(AND(Mitarbeiter!$F$56&lt;&gt;"",BH$5&gt;Mitarbeiter!$F$56),0,IF(Planung!BH58="",$C58,IF(ISNUMBER(Planung!BH58),Planung!BH58,IF(UPPER(Planung!BH58)="H",$C58/2,0)))))))</f>
        <v>0</v>
      </c>
      <c r="BI58" s="27">
        <f>IF($A58="",0,IF(Mitarbeiter!$G$56=FALSE,0,IF(AND(Mitarbeiter!$E$56&lt;&gt;"",BI$5+6&lt;Mitarbeiter!$E$56),0,IF(AND(Mitarbeiter!$F$56&lt;&gt;"",BI$5&gt;Mitarbeiter!$F$56),0,IF(Planung!BI58="",$C58,IF(ISNUMBER(Planung!BI58),Planung!BI58,IF(UPPER(Planung!BI58)="H",$C58/2,0)))))))</f>
        <v>0</v>
      </c>
      <c r="BJ58" s="27">
        <f>IF($A58="",0,IF(Mitarbeiter!$G$56=FALSE,0,IF(AND(Mitarbeiter!$E$56&lt;&gt;"",BJ$5+6&lt;Mitarbeiter!$E$56),0,IF(AND(Mitarbeiter!$F$56&lt;&gt;"",BJ$5&gt;Mitarbeiter!$F$56),0,IF(Planung!BJ58="",$C58,IF(ISNUMBER(Planung!BJ58),Planung!BJ58,IF(UPPER(Planung!BJ58)="H",$C58/2,0)))))))</f>
        <v>0</v>
      </c>
      <c r="BK58" s="27">
        <f>IF($A58="",0,IF(Mitarbeiter!$G$56=FALSE,0,IF(AND(Mitarbeiter!$E$56&lt;&gt;"",BK$5+6&lt;Mitarbeiter!$E$56),0,IF(AND(Mitarbeiter!$F$56&lt;&gt;"",BK$5&gt;Mitarbeiter!$F$56),0,IF(Planung!BK58="",$C58,IF(ISNUMBER(Planung!BK58),Planung!BK58,IF(UPPER(Planung!BK58)="H",$C58/2,0)))))))</f>
        <v>0</v>
      </c>
      <c r="BL58" s="27">
        <f>IF($A58="",0,IF(Mitarbeiter!$G$56=FALSE,0,IF(AND(Mitarbeiter!$E$56&lt;&gt;"",BL$5+6&lt;Mitarbeiter!$E$56),0,IF(AND(Mitarbeiter!$F$56&lt;&gt;"",BL$5&gt;Mitarbeiter!$F$56),0,IF(Planung!BL58="",$C58,IF(ISNUMBER(Planung!BL58),Planung!BL58,IF(UPPER(Planung!BL58)="H",$C58/2,0)))))))</f>
        <v>0</v>
      </c>
      <c r="BM58" s="27">
        <f>IF($A58="",0,IF(Mitarbeiter!$G$56=FALSE,0,IF(AND(Mitarbeiter!$E$56&lt;&gt;"",BM$5+6&lt;Mitarbeiter!$E$56),0,IF(AND(Mitarbeiter!$F$56&lt;&gt;"",BM$5&gt;Mitarbeiter!$F$56),0,IF(Planung!BM58="",$C58,IF(ISNUMBER(Planung!BM58),Planung!BM58,IF(UPPER(Planung!BM58)="H",$C58/2,0)))))))</f>
        <v>0</v>
      </c>
      <c r="BN58" s="27">
        <f>IF($A58="",0,IF(Mitarbeiter!$G$56=FALSE,0,IF(AND(Mitarbeiter!$E$56&lt;&gt;"",BN$5+6&lt;Mitarbeiter!$E$56),0,IF(AND(Mitarbeiter!$F$56&lt;&gt;"",BN$5&gt;Mitarbeiter!$F$56),0,IF(Planung!BN58="",$C58,IF(ISNUMBER(Planung!BN58),Planung!BN58,IF(UPPER(Planung!BN58)="H",$C58/2,0)))))))</f>
        <v>0</v>
      </c>
      <c r="BO58" s="27">
        <f>IF($A58="",0,IF(Mitarbeiter!$G$56=FALSE,0,IF(AND(Mitarbeiter!$E$56&lt;&gt;"",BO$5+6&lt;Mitarbeiter!$E$56),0,IF(AND(Mitarbeiter!$F$56&lt;&gt;"",BO$5&gt;Mitarbeiter!$F$56),0,IF(Planung!BO58="",$C58,IF(ISNUMBER(Planung!BO58),Planung!BO58,IF(UPPER(Planung!BO58)="H",$C58/2,0)))))))</f>
        <v>0</v>
      </c>
      <c r="BP58" s="27">
        <f>IF($A58="",0,IF(Mitarbeiter!$G$56=FALSE,0,IF(AND(Mitarbeiter!$E$56&lt;&gt;"",BP$5+6&lt;Mitarbeiter!$E$56),0,IF(AND(Mitarbeiter!$F$56&lt;&gt;"",BP$5&gt;Mitarbeiter!$F$56),0,IF(Planung!BP58="",$C58,IF(ISNUMBER(Planung!BP58),Planung!BP58,IF(UPPER(Planung!BP58)="H",$C58/2,0)))))))</f>
        <v>0</v>
      </c>
      <c r="BQ58" s="27">
        <f>IF($A58="",0,IF(Mitarbeiter!$G$56=FALSE,0,IF(AND(Mitarbeiter!$E$56&lt;&gt;"",BQ$5+6&lt;Mitarbeiter!$E$56),0,IF(AND(Mitarbeiter!$F$56&lt;&gt;"",BQ$5&gt;Mitarbeiter!$F$56),0,IF(Planung!BQ58="",$C58,IF(ISNUMBER(Planung!BQ58),Planung!BQ58,IF(UPPER(Planung!BQ58)="H",$C58/2,0)))))))</f>
        <v>0</v>
      </c>
      <c r="BR58" s="27">
        <f>IF($A58="",0,IF(Mitarbeiter!$G$56=FALSE,0,IF(AND(Mitarbeiter!$E$56&lt;&gt;"",BR$5+6&lt;Mitarbeiter!$E$56),0,IF(AND(Mitarbeiter!$F$56&lt;&gt;"",BR$5&gt;Mitarbeiter!$F$56),0,IF(Planung!BR58="",$C58,IF(ISNUMBER(Planung!BR58),Planung!BR58,IF(UPPER(Planung!BR58)="H",$C58/2,0)))))))</f>
        <v>0</v>
      </c>
      <c r="BS58" s="27">
        <f>IF($A58="",0,IF(Mitarbeiter!$G$56=FALSE,0,IF(AND(Mitarbeiter!$E$56&lt;&gt;"",BS$5+6&lt;Mitarbeiter!$E$56),0,IF(AND(Mitarbeiter!$F$56&lt;&gt;"",BS$5&gt;Mitarbeiter!$F$56),0,IF(Planung!BS58="",$C58,IF(ISNUMBER(Planung!BS58),Planung!BS58,IF(UPPER(Planung!BS58)="H",$C58/2,0)))))))</f>
        <v>0</v>
      </c>
      <c r="BT58" s="27">
        <f>IF($A58="",0,IF(Mitarbeiter!$G$56=FALSE,0,IF(AND(Mitarbeiter!$E$56&lt;&gt;"",BT$5+6&lt;Mitarbeiter!$E$56),0,IF(AND(Mitarbeiter!$F$56&lt;&gt;"",BT$5&gt;Mitarbeiter!$F$56),0,IF(Planung!BT58="",$C58,IF(ISNUMBER(Planung!BT58),Planung!BT58,IF(UPPER(Planung!BT58)="H",$C58/2,0)))))))</f>
        <v>0</v>
      </c>
      <c r="BU58" s="27">
        <f>IF($A58="",0,IF(Mitarbeiter!$G$56=FALSE,0,IF(AND(Mitarbeiter!$E$56&lt;&gt;"",BU$5+6&lt;Mitarbeiter!$E$56),0,IF(AND(Mitarbeiter!$F$56&lt;&gt;"",BU$5&gt;Mitarbeiter!$F$56),0,IF(Planung!BU58="",$C58,IF(ISNUMBER(Planung!BU58),Planung!BU58,IF(UPPER(Planung!BU58)="H",$C58/2,0)))))))</f>
        <v>0</v>
      </c>
      <c r="BV58" s="27">
        <f>IF($A58="",0,IF(Mitarbeiter!$G$56=FALSE,0,IF(AND(Mitarbeiter!$E$56&lt;&gt;"",BV$5+6&lt;Mitarbeiter!$E$56),0,IF(AND(Mitarbeiter!$F$56&lt;&gt;"",BV$5&gt;Mitarbeiter!$F$56),0,IF(Planung!BV58="",$C58,IF(ISNUMBER(Planung!BV58),Planung!BV58,IF(UPPER(Planung!BV58)="H",$C58/2,0)))))))</f>
        <v>0</v>
      </c>
      <c r="BW58" s="27">
        <f>IF($A58="",0,IF(Mitarbeiter!$G$56=FALSE,0,IF(AND(Mitarbeiter!$E$56&lt;&gt;"",BW$5+6&lt;Mitarbeiter!$E$56),0,IF(AND(Mitarbeiter!$F$56&lt;&gt;"",BW$5&gt;Mitarbeiter!$F$56),0,IF(Planung!BW58="",$C58,IF(ISNUMBER(Planung!BW58),Planung!BW58,IF(UPPER(Planung!BW58)="H",$C58/2,0)))))))</f>
        <v>0</v>
      </c>
      <c r="BX58" s="27">
        <f>IF($A58="",0,IF(Mitarbeiter!$G$56=FALSE,0,IF(AND(Mitarbeiter!$E$56&lt;&gt;"",BX$5+6&lt;Mitarbeiter!$E$56),0,IF(AND(Mitarbeiter!$F$56&lt;&gt;"",BX$5&gt;Mitarbeiter!$F$56),0,IF(Planung!BX58="",$C58,IF(ISNUMBER(Planung!BX58),Planung!BX58,IF(UPPER(Planung!BX58)="H",$C58/2,0)))))))</f>
        <v>0</v>
      </c>
      <c r="BY58" s="27">
        <f>IF($A58="",0,IF(Mitarbeiter!$G$56=FALSE,0,IF(AND(Mitarbeiter!$E$56&lt;&gt;"",BY$5+6&lt;Mitarbeiter!$E$56),0,IF(AND(Mitarbeiter!$F$56&lt;&gt;"",BY$5&gt;Mitarbeiter!$F$56),0,IF(Planung!BY58="",$C58,IF(ISNUMBER(Planung!BY58),Planung!BY58,IF(UPPER(Planung!BY58)="H",$C58/2,0)))))))</f>
        <v>0</v>
      </c>
      <c r="BZ58" s="27">
        <f>IF($A58="",0,IF(Mitarbeiter!$G$56=FALSE,0,IF(AND(Mitarbeiter!$E$56&lt;&gt;"",BZ$5+6&lt;Mitarbeiter!$E$56),0,IF(AND(Mitarbeiter!$F$56&lt;&gt;"",BZ$5&gt;Mitarbeiter!$F$56),0,IF(Planung!BZ58="",$C58,IF(ISNUMBER(Planung!BZ58),Planung!BZ58,IF(UPPER(Planung!BZ58)="H",$C58/2,0)))))))</f>
        <v>0</v>
      </c>
      <c r="CA58" s="27">
        <f>IF($A58="",0,IF(Mitarbeiter!$G$56=FALSE,0,IF(AND(Mitarbeiter!$E$56&lt;&gt;"",CA$5+6&lt;Mitarbeiter!$E$56),0,IF(AND(Mitarbeiter!$F$56&lt;&gt;"",CA$5&gt;Mitarbeiter!$F$56),0,IF(Planung!CA58="",$C58,IF(ISNUMBER(Planung!CA58),Planung!CA58,IF(UPPER(Planung!CA58)="H",$C58/2,0)))))))</f>
        <v>0</v>
      </c>
      <c r="CB58" s="27">
        <f>IF($A58="",0,IF(Mitarbeiter!$G$56=FALSE,0,IF(AND(Mitarbeiter!$E$56&lt;&gt;"",CB$5+6&lt;Mitarbeiter!$E$56),0,IF(AND(Mitarbeiter!$F$56&lt;&gt;"",CB$5&gt;Mitarbeiter!$F$56),0,IF(Planung!CB58="",$C58,IF(ISNUMBER(Planung!CB58),Planung!CB58,IF(UPPER(Planung!CB58)="H",$C58/2,0)))))))</f>
        <v>0</v>
      </c>
      <c r="CC58" s="27">
        <f>IF($A58="",0,IF(Mitarbeiter!$G$56=FALSE,0,IF(AND(Mitarbeiter!$E$56&lt;&gt;"",CC$5+6&lt;Mitarbeiter!$E$56),0,IF(AND(Mitarbeiter!$F$56&lt;&gt;"",CC$5&gt;Mitarbeiter!$F$56),0,IF(Planung!CC58="",$C58,IF(ISNUMBER(Planung!CC58),Planung!CC58,IF(UPPER(Planung!CC58)="H",$C58/2,0)))))))</f>
        <v>0</v>
      </c>
      <c r="CD58" s="27">
        <f>IF($A58="",0,IF(Mitarbeiter!$G$56=FALSE,0,IF(AND(Mitarbeiter!$E$56&lt;&gt;"",CD$5+6&lt;Mitarbeiter!$E$56),0,IF(AND(Mitarbeiter!$F$56&lt;&gt;"",CD$5&gt;Mitarbeiter!$F$56),0,IF(Planung!CD58="",$C58,IF(ISNUMBER(Planung!CD58),Planung!CD58,IF(UPPER(Planung!CD58)="H",$C58/2,0)))))))</f>
        <v>0</v>
      </c>
      <c r="CE58" s="27">
        <f>IF($A58="",0,IF(Mitarbeiter!$G$56=FALSE,0,IF(AND(Mitarbeiter!$E$56&lt;&gt;"",CE$5+6&lt;Mitarbeiter!$E$56),0,IF(AND(Mitarbeiter!$F$56&lt;&gt;"",CE$5&gt;Mitarbeiter!$F$56),0,IF(Planung!CE58="",$C58,IF(ISNUMBER(Planung!CE58),Planung!CE58,IF(UPPER(Planung!CE58)="H",$C58/2,0)))))))</f>
        <v>0</v>
      </c>
      <c r="CF58" s="27">
        <f>IF($A58="",0,IF(Mitarbeiter!$G$56=FALSE,0,IF(AND(Mitarbeiter!$E$56&lt;&gt;"",CF$5+6&lt;Mitarbeiter!$E$56),0,IF(AND(Mitarbeiter!$F$56&lt;&gt;"",CF$5&gt;Mitarbeiter!$F$56),0,IF(Planung!CF58="",$C58,IF(ISNUMBER(Planung!CF58),Planung!CF58,IF(UPPER(Planung!CF58)="H",$C58/2,0)))))))</f>
        <v>0</v>
      </c>
      <c r="CG58" s="27">
        <f>IF($A58="",0,IF(Mitarbeiter!$G$56=FALSE,0,IF(AND(Mitarbeiter!$E$56&lt;&gt;"",CG$5+6&lt;Mitarbeiter!$E$56),0,IF(AND(Mitarbeiter!$F$56&lt;&gt;"",CG$5&gt;Mitarbeiter!$F$56),0,IF(Planung!CG58="",$C58,IF(ISNUMBER(Planung!CG58),Planung!CG58,IF(UPPER(Planung!CG58)="H",$C58/2,0)))))))</f>
        <v>0</v>
      </c>
      <c r="CH58" s="27">
        <f>IF($A58="",0,IF(Mitarbeiter!$G$56=FALSE,0,IF(AND(Mitarbeiter!$E$56&lt;&gt;"",CH$5+6&lt;Mitarbeiter!$E$56),0,IF(AND(Mitarbeiter!$F$56&lt;&gt;"",CH$5&gt;Mitarbeiter!$F$56),0,IF(Planung!CH58="",$C58,IF(ISNUMBER(Planung!CH58),Planung!CH58,IF(UPPER(Planung!CH58)="H",$C58/2,0)))))))</f>
        <v>0</v>
      </c>
      <c r="CI58" s="27">
        <f>IF($A58="",0,IF(Mitarbeiter!$G$56=FALSE,0,IF(AND(Mitarbeiter!$E$56&lt;&gt;"",CI$5+6&lt;Mitarbeiter!$E$56),0,IF(AND(Mitarbeiter!$F$56&lt;&gt;"",CI$5&gt;Mitarbeiter!$F$56),0,IF(Planung!CI58="",$C58,IF(ISNUMBER(Planung!CI58),Planung!CI58,IF(UPPER(Planung!CI58)="H",$C58/2,0)))))))</f>
        <v>0</v>
      </c>
      <c r="CJ58" s="27">
        <f>IF($A58="",0,IF(Mitarbeiter!$G$56=FALSE,0,IF(AND(Mitarbeiter!$E$56&lt;&gt;"",CJ$5+6&lt;Mitarbeiter!$E$56),0,IF(AND(Mitarbeiter!$F$56&lt;&gt;"",CJ$5&gt;Mitarbeiter!$F$56),0,IF(Planung!CJ58="",$C58,IF(ISNUMBER(Planung!CJ58),Planung!CJ58,IF(UPPER(Planung!CJ58)="H",$C58/2,0)))))))</f>
        <v>0</v>
      </c>
      <c r="CK58" s="27">
        <f>IF($A58="",0,IF(Mitarbeiter!$G$56=FALSE,0,IF(AND(Mitarbeiter!$E$56&lt;&gt;"",CK$5+6&lt;Mitarbeiter!$E$56),0,IF(AND(Mitarbeiter!$F$56&lt;&gt;"",CK$5&gt;Mitarbeiter!$F$56),0,IF(Planung!CK58="",$C58,IF(ISNUMBER(Planung!CK58),Planung!CK58,IF(UPPER(Planung!CK58)="H",$C58/2,0)))))))</f>
        <v>0</v>
      </c>
      <c r="CL58" s="27">
        <f>IF($A58="",0,IF(Mitarbeiter!$G$56=FALSE,0,IF(AND(Mitarbeiter!$E$56&lt;&gt;"",CL$5+6&lt;Mitarbeiter!$E$56),0,IF(AND(Mitarbeiter!$F$56&lt;&gt;"",CL$5&gt;Mitarbeiter!$F$56),0,IF(Planung!CL58="",$C58,IF(ISNUMBER(Planung!CL58),Planung!CL58,IF(UPPER(Planung!CL58)="H",$C58/2,0)))))))</f>
        <v>0</v>
      </c>
      <c r="CM58" s="27">
        <f>IF($A58="",0,IF(Mitarbeiter!$G$56=FALSE,0,IF(AND(Mitarbeiter!$E$56&lt;&gt;"",CM$5+6&lt;Mitarbeiter!$E$56),0,IF(AND(Mitarbeiter!$F$56&lt;&gt;"",CM$5&gt;Mitarbeiter!$F$56),0,IF(Planung!CM58="",$C58,IF(ISNUMBER(Planung!CM58),Planung!CM58,IF(UPPER(Planung!CM58)="H",$C58/2,0)))))))</f>
        <v>0</v>
      </c>
      <c r="CN58" s="27">
        <f>IF($A58="",0,IF(Mitarbeiter!$G$56=FALSE,0,IF(AND(Mitarbeiter!$E$56&lt;&gt;"",CN$5+6&lt;Mitarbeiter!$E$56),0,IF(AND(Mitarbeiter!$F$56&lt;&gt;"",CN$5&gt;Mitarbeiter!$F$56),0,IF(Planung!CN58="",$C58,IF(ISNUMBER(Planung!CN58),Planung!CN58,IF(UPPER(Planung!CN58)="H",$C58/2,0)))))))</f>
        <v>0</v>
      </c>
      <c r="CO58" s="27">
        <f>IF($A58="",0,IF(Mitarbeiter!$G$56=FALSE,0,IF(AND(Mitarbeiter!$E$56&lt;&gt;"",CO$5+6&lt;Mitarbeiter!$E$56),0,IF(AND(Mitarbeiter!$F$56&lt;&gt;"",CO$5&gt;Mitarbeiter!$F$56),0,IF(Planung!CO58="",$C58,IF(ISNUMBER(Planung!CO58),Planung!CO58,IF(UPPER(Planung!CO58)="H",$C58/2,0)))))))</f>
        <v>0</v>
      </c>
      <c r="CP58" s="27">
        <f>IF($A58="",0,IF(Mitarbeiter!$G$56=FALSE,0,IF(AND(Mitarbeiter!$E$56&lt;&gt;"",CP$5+6&lt;Mitarbeiter!$E$56),0,IF(AND(Mitarbeiter!$F$56&lt;&gt;"",CP$5&gt;Mitarbeiter!$F$56),0,IF(Planung!CP58="",$C58,IF(ISNUMBER(Planung!CP58),Planung!CP58,IF(UPPER(Planung!CP58)="H",$C58/2,0)))))))</f>
        <v>0</v>
      </c>
      <c r="CQ58" s="27">
        <f>IF($A58="",0,IF(Mitarbeiter!$G$56=FALSE,0,IF(AND(Mitarbeiter!$E$56&lt;&gt;"",CQ$5+6&lt;Mitarbeiter!$E$56),0,IF(AND(Mitarbeiter!$F$56&lt;&gt;"",CQ$5&gt;Mitarbeiter!$F$56),0,IF(Planung!CQ58="",$C58,IF(ISNUMBER(Planung!CQ58),Planung!CQ58,IF(UPPER(Planung!CQ58)="H",$C58/2,0)))))))</f>
        <v>0</v>
      </c>
      <c r="CR58" s="27">
        <f>IF($A58="",0,IF(Mitarbeiter!$G$56=FALSE,0,IF(AND(Mitarbeiter!$E$56&lt;&gt;"",CR$5+6&lt;Mitarbeiter!$E$56),0,IF(AND(Mitarbeiter!$F$56&lt;&gt;"",CR$5&gt;Mitarbeiter!$F$56),0,IF(Planung!CR58="",$C58,IF(ISNUMBER(Planung!CR58),Planung!CR58,IF(UPPER(Planung!CR58)="H",$C58/2,0)))))))</f>
        <v>0</v>
      </c>
      <c r="CS58" s="27">
        <f>IF($A58="",0,IF(Mitarbeiter!$G$56=FALSE,0,IF(AND(Mitarbeiter!$E$56&lt;&gt;"",CS$5+6&lt;Mitarbeiter!$E$56),0,IF(AND(Mitarbeiter!$F$56&lt;&gt;"",CS$5&gt;Mitarbeiter!$F$56),0,IF(Planung!CS58="",$C58,IF(ISNUMBER(Planung!CS58),Planung!CS58,IF(UPPER(Planung!CS58)="H",$C58/2,0)))))))</f>
        <v>0</v>
      </c>
      <c r="CT58" s="27">
        <f>IF($A58="",0,IF(Mitarbeiter!$G$56=FALSE,0,IF(AND(Mitarbeiter!$E$56&lt;&gt;"",CT$5+6&lt;Mitarbeiter!$E$56),0,IF(AND(Mitarbeiter!$F$56&lt;&gt;"",CT$5&gt;Mitarbeiter!$F$56),0,IF(Planung!CT58="",$C58,IF(ISNUMBER(Planung!CT58),Planung!CT58,IF(UPPER(Planung!CT58)="H",$C58/2,0)))))))</f>
        <v>0</v>
      </c>
      <c r="CU58" s="27">
        <f>IF($A58="",0,IF(Mitarbeiter!$G$56=FALSE,0,IF(AND(Mitarbeiter!$E$56&lt;&gt;"",CU$5+6&lt;Mitarbeiter!$E$56),0,IF(AND(Mitarbeiter!$F$56&lt;&gt;"",CU$5&gt;Mitarbeiter!$F$56),0,IF(Planung!CU58="",$C58,IF(ISNUMBER(Planung!CU58),Planung!CU58,IF(UPPER(Planung!CU58)="H",$C58/2,0)))))))</f>
        <v>0</v>
      </c>
      <c r="CV58" s="27">
        <f>IF($A58="",0,IF(Mitarbeiter!$G$56=FALSE,0,IF(AND(Mitarbeiter!$E$56&lt;&gt;"",CV$5+6&lt;Mitarbeiter!$E$56),0,IF(AND(Mitarbeiter!$F$56&lt;&gt;"",CV$5&gt;Mitarbeiter!$F$56),0,IF(Planung!CV58="",$C58,IF(ISNUMBER(Planung!CV58),Planung!CV58,IF(UPPER(Planung!CV58)="H",$C58/2,0)))))))</f>
        <v>0</v>
      </c>
      <c r="CW58" s="27">
        <f>IF($A58="",0,IF(Mitarbeiter!$G$56=FALSE,0,IF(AND(Mitarbeiter!$E$56&lt;&gt;"",CW$5+6&lt;Mitarbeiter!$E$56),0,IF(AND(Mitarbeiter!$F$56&lt;&gt;"",CW$5&gt;Mitarbeiter!$F$56),0,IF(Planung!CW58="",$C58,IF(ISNUMBER(Planung!CW58),Planung!CW58,IF(UPPER(Planung!CW58)="H",$C58/2,0)))))))</f>
        <v>0</v>
      </c>
      <c r="CX58" s="27">
        <f>IF($A58="",0,IF(Mitarbeiter!$G$56=FALSE,0,IF(AND(Mitarbeiter!$E$56&lt;&gt;"",CX$5+6&lt;Mitarbeiter!$E$56),0,IF(AND(Mitarbeiter!$F$56&lt;&gt;"",CX$5&gt;Mitarbeiter!$F$56),0,IF(Planung!CX58="",$C58,IF(ISNUMBER(Planung!CX58),Planung!CX58,IF(UPPER(Planung!CX58)="H",$C58/2,0)))))))</f>
        <v>0</v>
      </c>
      <c r="CY58" s="27">
        <f>IF($A58="",0,IF(Mitarbeiter!$G$56=FALSE,0,IF(AND(Mitarbeiter!$E$56&lt;&gt;"",CY$5+6&lt;Mitarbeiter!$E$56),0,IF(AND(Mitarbeiter!$F$56&lt;&gt;"",CY$5&gt;Mitarbeiter!$F$56),0,IF(Planung!CY58="",$C58,IF(ISNUMBER(Planung!CY58),Planung!CY58,IF(UPPER(Planung!CY58)="H",$C58/2,0)))))))</f>
        <v>0</v>
      </c>
      <c r="CZ58" s="27">
        <f>IF($A58="",0,IF(Mitarbeiter!$G$56=FALSE,0,IF(AND(Mitarbeiter!$E$56&lt;&gt;"",CZ$5+6&lt;Mitarbeiter!$E$56),0,IF(AND(Mitarbeiter!$F$56&lt;&gt;"",CZ$5&gt;Mitarbeiter!$F$56),0,IF(Planung!CZ58="",$C58,IF(ISNUMBER(Planung!CZ58),Planung!CZ58,IF(UPPER(Planung!CZ58)="H",$C58/2,0)))))))</f>
        <v>0</v>
      </c>
      <c r="DA58" s="27">
        <f>IF($A58="",0,IF(Mitarbeiter!$G$56=FALSE,0,IF(AND(Mitarbeiter!$E$56&lt;&gt;"",DA$5+6&lt;Mitarbeiter!$E$56),0,IF(AND(Mitarbeiter!$F$56&lt;&gt;"",DA$5&gt;Mitarbeiter!$F$56),0,IF(Planung!DA58="",$C58,IF(ISNUMBER(Planung!DA58),Planung!DA58,IF(UPPER(Planung!DA58)="H",$C58/2,0)))))))</f>
        <v>0</v>
      </c>
      <c r="DB58" s="27">
        <f>IF($A58="",0,IF(Mitarbeiter!$G$56=FALSE,0,IF(AND(Mitarbeiter!$E$56&lt;&gt;"",DB$5+6&lt;Mitarbeiter!$E$56),0,IF(AND(Mitarbeiter!$F$56&lt;&gt;"",DB$5&gt;Mitarbeiter!$F$56),0,IF(Planung!DB58="",$C58,IF(ISNUMBER(Planung!DB58),Planung!DB58,IF(UPPER(Planung!DB58)="H",$C58/2,0)))))))</f>
        <v>0</v>
      </c>
      <c r="DC58" s="27">
        <f>IF($A58="",0,IF(Mitarbeiter!$G$56=FALSE,0,IF(AND(Mitarbeiter!$E$56&lt;&gt;"",DC$5+6&lt;Mitarbeiter!$E$56),0,IF(AND(Mitarbeiter!$F$56&lt;&gt;"",DC$5&gt;Mitarbeiter!$F$56),0,IF(Planung!DC58="",$C58,IF(ISNUMBER(Planung!DC58),Planung!DC58,IF(UPPER(Planung!DC58)="H",$C58/2,0)))))))</f>
        <v>0</v>
      </c>
      <c r="DD58" s="27">
        <f>IF($A58="",0,IF(Mitarbeiter!$G$56=FALSE,0,IF(AND(Mitarbeiter!$E$56&lt;&gt;"",DD$5+6&lt;Mitarbeiter!$E$56),0,IF(AND(Mitarbeiter!$F$56&lt;&gt;"",DD$5&gt;Mitarbeiter!$F$56),0,IF(Planung!DD58="",$C58,IF(ISNUMBER(Planung!DD58),Planung!DD58,IF(UPPER(Planung!DD58)="H",$C58/2,0)))))))</f>
        <v>0</v>
      </c>
      <c r="DE58" s="27">
        <f>IF($A58="",0,IF(Mitarbeiter!$G$56=FALSE,0,IF(AND(Mitarbeiter!$E$56&lt;&gt;"",DE$5+6&lt;Mitarbeiter!$E$56),0,IF(AND(Mitarbeiter!$F$56&lt;&gt;"",DE$5&gt;Mitarbeiter!$F$56),0,IF(Planung!DE58="",$C58,IF(ISNUMBER(Planung!DE58),Planung!DE58,IF(UPPER(Planung!DE58)="H",$C58/2,0)))))))</f>
        <v>0</v>
      </c>
      <c r="DF58" s="27">
        <f>IF($A58="",0,IF(Mitarbeiter!$G$56=FALSE,0,IF(AND(Mitarbeiter!$E$56&lt;&gt;"",DF$5+6&lt;Mitarbeiter!$E$56),0,IF(AND(Mitarbeiter!$F$56&lt;&gt;"",DF$5&gt;Mitarbeiter!$F$56),0,IF(Planung!DF58="",$C58,IF(ISNUMBER(Planung!DF58),Planung!DF58,IF(UPPER(Planung!DF58)="H",$C58/2,0)))))))</f>
        <v>0</v>
      </c>
      <c r="DG58" s="27">
        <f>IF($A58="",0,IF(Mitarbeiter!$G$56=FALSE,0,IF(AND(Mitarbeiter!$E$56&lt;&gt;"",DG$5+6&lt;Mitarbeiter!$E$56),0,IF(AND(Mitarbeiter!$F$56&lt;&gt;"",DG$5&gt;Mitarbeiter!$F$56),0,IF(Planung!DG58="",$C58,IF(ISNUMBER(Planung!DG58),Planung!DG58,IF(UPPER(Planung!DG58)="H",$C58/2,0)))))))</f>
        <v>0</v>
      </c>
      <c r="DH58" s="27">
        <f>IF($A58="",0,IF(Mitarbeiter!$G$56=FALSE,0,IF(AND(Mitarbeiter!$E$56&lt;&gt;"",DH$5+6&lt;Mitarbeiter!$E$56),0,IF(AND(Mitarbeiter!$F$56&lt;&gt;"",DH$5&gt;Mitarbeiter!$F$56),0,IF(Planung!DH58="",$C58,IF(ISNUMBER(Planung!DH58),Planung!DH58,IF(UPPER(Planung!DH58)="H",$C58/2,0)))))))</f>
        <v>0</v>
      </c>
      <c r="DI58" s="27">
        <f>IF($A58="",0,IF(Mitarbeiter!$G$56=FALSE,0,IF(AND(Mitarbeiter!$E$56&lt;&gt;"",DI$5+6&lt;Mitarbeiter!$E$56),0,IF(AND(Mitarbeiter!$F$56&lt;&gt;"",DI$5&gt;Mitarbeiter!$F$56),0,IF(Planung!DI58="",$C58,IF(ISNUMBER(Planung!DI58),Planung!DI58,IF(UPPER(Planung!DI58)="H",$C58/2,0)))))))</f>
        <v>0</v>
      </c>
      <c r="DJ58" s="27">
        <f>IF($A58="",0,IF(Mitarbeiter!$G$56=FALSE,0,IF(AND(Mitarbeiter!$E$56&lt;&gt;"",DJ$5+6&lt;Mitarbeiter!$E$56),0,IF(AND(Mitarbeiter!$F$56&lt;&gt;"",DJ$5&gt;Mitarbeiter!$F$56),0,IF(Planung!DJ58="",$C58,IF(ISNUMBER(Planung!DJ58),Planung!DJ58,IF(UPPER(Planung!DJ58)="H",$C58/2,0)))))))</f>
        <v>0</v>
      </c>
      <c r="DK58" s="27">
        <f>IF($A58="",0,IF(Mitarbeiter!$G$56=FALSE,0,IF(AND(Mitarbeiter!$E$56&lt;&gt;"",DK$5+6&lt;Mitarbeiter!$E$56),0,IF(AND(Mitarbeiter!$F$56&lt;&gt;"",DK$5&gt;Mitarbeiter!$F$56),0,IF(Planung!DK58="",$C58,IF(ISNUMBER(Planung!DK58),Planung!DK58,IF(UPPER(Planung!DK58)="H",$C58/2,0)))))))</f>
        <v>0</v>
      </c>
      <c r="DL58" s="27">
        <f>IF($A58="",0,IF(Mitarbeiter!$G$56=FALSE,0,IF(AND(Mitarbeiter!$E$56&lt;&gt;"",DL$5+6&lt;Mitarbeiter!$E$56),0,IF(AND(Mitarbeiter!$F$56&lt;&gt;"",DL$5&gt;Mitarbeiter!$F$56),0,IF(Planung!DL58="",$C58,IF(ISNUMBER(Planung!DL58),Planung!DL58,IF(UPPER(Planung!DL58)="H",$C58/2,0)))))))</f>
        <v>0</v>
      </c>
      <c r="DM58" s="27">
        <f>IF($A58="",0,IF(Mitarbeiter!$G$56=FALSE,0,IF(AND(Mitarbeiter!$E$56&lt;&gt;"",DM$5+6&lt;Mitarbeiter!$E$56),0,IF(AND(Mitarbeiter!$F$56&lt;&gt;"",DM$5&gt;Mitarbeiter!$F$56),0,IF(Planung!DM58="",$C58,IF(ISNUMBER(Planung!DM58),Planung!DM58,IF(UPPER(Planung!DM58)="H",$C58/2,0)))))))</f>
        <v>0</v>
      </c>
      <c r="DN58" s="27">
        <f>IF($A58="",0,IF(Mitarbeiter!$G$56=FALSE,0,IF(AND(Mitarbeiter!$E$56&lt;&gt;"",DN$5+6&lt;Mitarbeiter!$E$56),0,IF(AND(Mitarbeiter!$F$56&lt;&gt;"",DN$5&gt;Mitarbeiter!$F$56),0,IF(Planung!DN58="",$C58,IF(ISNUMBER(Planung!DN58),Planung!DN58,IF(UPPER(Planung!DN58)="H",$C58/2,0)))))))</f>
        <v>0</v>
      </c>
      <c r="DO58" s="27">
        <f>IF($A58="",0,IF(Mitarbeiter!$G$56=FALSE,0,IF(AND(Mitarbeiter!$E$56&lt;&gt;"",DO$5+6&lt;Mitarbeiter!$E$56),0,IF(AND(Mitarbeiter!$F$56&lt;&gt;"",DO$5&gt;Mitarbeiter!$F$56),0,IF(Planung!DO58="",$C58,IF(ISNUMBER(Planung!DO58),Planung!DO58,IF(UPPER(Planung!DO58)="H",$C58/2,0)))))))</f>
        <v>0</v>
      </c>
      <c r="DP58" s="27">
        <f>IF($A58="",0,IF(Mitarbeiter!$G$56=FALSE,0,IF(AND(Mitarbeiter!$E$56&lt;&gt;"",DP$5+6&lt;Mitarbeiter!$E$56),0,IF(AND(Mitarbeiter!$F$56&lt;&gt;"",DP$5&gt;Mitarbeiter!$F$56),0,IF(Planung!DP58="",$C58,IF(ISNUMBER(Planung!DP58),Planung!DP58,IF(UPPER(Planung!DP58)="H",$C58/2,0)))))))</f>
        <v>0</v>
      </c>
      <c r="DQ58" s="27">
        <f>IF($A58="",0,IF(Mitarbeiter!$G$56=FALSE,0,IF(AND(Mitarbeiter!$E$56&lt;&gt;"",DQ$5+6&lt;Mitarbeiter!$E$56),0,IF(AND(Mitarbeiter!$F$56&lt;&gt;"",DQ$5&gt;Mitarbeiter!$F$56),0,IF(Planung!DQ58="",$C58,IF(ISNUMBER(Planung!DQ58),Planung!DQ58,IF(UPPER(Planung!DQ58)="H",$C58/2,0)))))))</f>
        <v>0</v>
      </c>
      <c r="DR58" s="27">
        <f>IF($A58="",0,IF(Mitarbeiter!$G$56=FALSE,0,IF(AND(Mitarbeiter!$E$56&lt;&gt;"",DR$5+6&lt;Mitarbeiter!$E$56),0,IF(AND(Mitarbeiter!$F$56&lt;&gt;"",DR$5&gt;Mitarbeiter!$F$56),0,IF(Planung!DR58="",$C58,IF(ISNUMBER(Planung!DR58),Planung!DR58,IF(UPPER(Planung!DR58)="H",$C58/2,0)))))))</f>
        <v>0</v>
      </c>
      <c r="DS58" s="27">
        <f>IF($A58="",0,IF(Mitarbeiter!$G$56=FALSE,0,IF(AND(Mitarbeiter!$E$56&lt;&gt;"",DS$5+6&lt;Mitarbeiter!$E$56),0,IF(AND(Mitarbeiter!$F$56&lt;&gt;"",DS$5&gt;Mitarbeiter!$F$56),0,IF(Planung!DS58="",$C58,IF(ISNUMBER(Planung!DS58),Planung!DS58,IF(UPPER(Planung!DS58)="H",$C58/2,0)))))))</f>
        <v>0</v>
      </c>
      <c r="DT58" s="27">
        <f>IF($A58="",0,IF(Mitarbeiter!$G$56=FALSE,0,IF(AND(Mitarbeiter!$E$56&lt;&gt;"",DT$5+6&lt;Mitarbeiter!$E$56),0,IF(AND(Mitarbeiter!$F$56&lt;&gt;"",DT$5&gt;Mitarbeiter!$F$56),0,IF(Planung!DT58="",$C58,IF(ISNUMBER(Planung!DT58),Planung!DT58,IF(UPPER(Planung!DT58)="H",$C58/2,0)))))))</f>
        <v>0</v>
      </c>
      <c r="DU58" s="27">
        <f>IF($A58="",0,IF(Mitarbeiter!$G$56=FALSE,0,IF(AND(Mitarbeiter!$E$56&lt;&gt;"",DU$5+6&lt;Mitarbeiter!$E$56),0,IF(AND(Mitarbeiter!$F$56&lt;&gt;"",DU$5&gt;Mitarbeiter!$F$56),0,IF(Planung!DU58="",$C58,IF(ISNUMBER(Planung!DU58),Planung!DU58,IF(UPPER(Planung!DU58)="H",$C58/2,0)))))))</f>
        <v>0</v>
      </c>
      <c r="DV58" s="27">
        <f>IF($A58="",0,IF(Mitarbeiter!$G$56=FALSE,0,IF(AND(Mitarbeiter!$E$56&lt;&gt;"",DV$5+6&lt;Mitarbeiter!$E$56),0,IF(AND(Mitarbeiter!$F$56&lt;&gt;"",DV$5&gt;Mitarbeiter!$F$56),0,IF(Planung!DV58="",$C58,IF(ISNUMBER(Planung!DV58),Planung!DV58,IF(UPPER(Planung!DV58)="H",$C58/2,0)))))))</f>
        <v>0</v>
      </c>
      <c r="DW58" s="27">
        <f>IF($A58="",0,IF(Mitarbeiter!$G$56=FALSE,0,IF(AND(Mitarbeiter!$E$56&lt;&gt;"",DW$5+6&lt;Mitarbeiter!$E$56),0,IF(AND(Mitarbeiter!$F$56&lt;&gt;"",DW$5&gt;Mitarbeiter!$F$56),0,IF(Planung!DW58="",$C58,IF(ISNUMBER(Planung!DW58),Planung!DW58,IF(UPPER(Planung!DW58)="H",$C58/2,0)))))))</f>
        <v>0</v>
      </c>
      <c r="DX58" s="27">
        <f>IF($A58="",0,IF(Mitarbeiter!$G$56=FALSE,0,IF(AND(Mitarbeiter!$E$56&lt;&gt;"",DX$5+6&lt;Mitarbeiter!$E$56),0,IF(AND(Mitarbeiter!$F$56&lt;&gt;"",DX$5&gt;Mitarbeiter!$F$56),0,IF(Planung!DX58="",$C58,IF(ISNUMBER(Planung!DX58),Planung!DX58,IF(UPPER(Planung!DX58)="H",$C58/2,0)))))))</f>
        <v>0</v>
      </c>
      <c r="DY58" s="27">
        <f>IF($A58="",0,IF(Mitarbeiter!$G$56=FALSE,0,IF(AND(Mitarbeiter!$E$56&lt;&gt;"",DY$5+6&lt;Mitarbeiter!$E$56),0,IF(AND(Mitarbeiter!$F$56&lt;&gt;"",DY$5&gt;Mitarbeiter!$F$56),0,IF(Planung!DY58="",$C58,IF(ISNUMBER(Planung!DY58),Planung!DY58,IF(UPPER(Planung!DY58)="H",$C58/2,0)))))))</f>
        <v>0</v>
      </c>
      <c r="DZ58" s="27">
        <f>IF($A58="",0,IF(Mitarbeiter!$G$56=FALSE,0,IF(AND(Mitarbeiter!$E$56&lt;&gt;"",DZ$5+6&lt;Mitarbeiter!$E$56),0,IF(AND(Mitarbeiter!$F$56&lt;&gt;"",DZ$5&gt;Mitarbeiter!$F$56),0,IF(Planung!DZ58="",$C58,IF(ISNUMBER(Planung!DZ58),Planung!DZ58,IF(UPPER(Planung!DZ58)="H",$C58/2,0)))))))</f>
        <v>0</v>
      </c>
      <c r="EA58" s="27">
        <f>IF($A58="",0,IF(Mitarbeiter!$G$56=FALSE,0,IF(AND(Mitarbeiter!$E$56&lt;&gt;"",EA$5+6&lt;Mitarbeiter!$E$56),0,IF(AND(Mitarbeiter!$F$56&lt;&gt;"",EA$5&gt;Mitarbeiter!$F$56),0,IF(Planung!EA58="",$C58,IF(ISNUMBER(Planung!EA58),Planung!EA58,IF(UPPER(Planung!EA58)="H",$C58/2,0)))))))</f>
        <v>0</v>
      </c>
      <c r="EB58" s="27">
        <f>IF($A58="",0,IF(Mitarbeiter!$G$56=FALSE,0,IF(AND(Mitarbeiter!$E$56&lt;&gt;"",EB$5+6&lt;Mitarbeiter!$E$56),0,IF(AND(Mitarbeiter!$F$56&lt;&gt;"",EB$5&gt;Mitarbeiter!$F$56),0,IF(Planung!EB58="",$C58,IF(ISNUMBER(Planung!EB58),Planung!EB58,IF(UPPER(Planung!EB58)="H",$C58/2,0)))))))</f>
        <v>0</v>
      </c>
      <c r="EC58" s="27">
        <f>IF($A58="",0,IF(Mitarbeiter!$G$56=FALSE,0,IF(AND(Mitarbeiter!$E$56&lt;&gt;"",EC$5+6&lt;Mitarbeiter!$E$56),0,IF(AND(Mitarbeiter!$F$56&lt;&gt;"",EC$5&gt;Mitarbeiter!$F$56),0,IF(Planung!EC58="",$C58,IF(ISNUMBER(Planung!EC58),Planung!EC58,IF(UPPER(Planung!EC58)="H",$C58/2,0)))))))</f>
        <v>0</v>
      </c>
      <c r="ED58" s="27">
        <f>IF($A58="",0,IF(Mitarbeiter!$G$56=FALSE,0,IF(AND(Mitarbeiter!$E$56&lt;&gt;"",ED$5+6&lt;Mitarbeiter!$E$56),0,IF(AND(Mitarbeiter!$F$56&lt;&gt;"",ED$5&gt;Mitarbeiter!$F$56),0,IF(Planung!ED58="",$C58,IF(ISNUMBER(Planung!ED58),Planung!ED58,IF(UPPER(Planung!ED58)="H",$C58/2,0)))))))</f>
        <v>0</v>
      </c>
      <c r="EE58" s="27">
        <f>IF($A58="",0,IF(Mitarbeiter!$G$56=FALSE,0,IF(AND(Mitarbeiter!$E$56&lt;&gt;"",EE$5+6&lt;Mitarbeiter!$E$56),0,IF(AND(Mitarbeiter!$F$56&lt;&gt;"",EE$5&gt;Mitarbeiter!$F$56),0,IF(Planung!EE58="",$C58,IF(ISNUMBER(Planung!EE58),Planung!EE58,IF(UPPER(Planung!EE58)="H",$C58/2,0)))))))</f>
        <v>0</v>
      </c>
      <c r="EF58" s="27">
        <f>IF($A58="",0,IF(Mitarbeiter!$G$56=FALSE,0,IF(AND(Mitarbeiter!$E$56&lt;&gt;"",EF$5+6&lt;Mitarbeiter!$E$56),0,IF(AND(Mitarbeiter!$F$56&lt;&gt;"",EF$5&gt;Mitarbeiter!$F$56),0,IF(Planung!EF58="",$C58,IF(ISNUMBER(Planung!EF58),Planung!EF58,IF(UPPER(Planung!EF58)="H",$C58/2,0)))))))</f>
        <v>0</v>
      </c>
      <c r="EG58" s="27">
        <f>IF($A58="",0,IF(Mitarbeiter!$G$56=FALSE,0,IF(AND(Mitarbeiter!$E$56&lt;&gt;"",EG$5+6&lt;Mitarbeiter!$E$56),0,IF(AND(Mitarbeiter!$F$56&lt;&gt;"",EG$5&gt;Mitarbeiter!$F$56),0,IF(Planung!EG58="",$C58,IF(ISNUMBER(Planung!EG58),Planung!EG58,IF(UPPER(Planung!EG58)="H",$C58/2,0)))))))</f>
        <v>0</v>
      </c>
      <c r="EH58" s="27">
        <f>IF($A58="",0,IF(Mitarbeiter!$G$56=FALSE,0,IF(AND(Mitarbeiter!$E$56&lt;&gt;"",EH$5+6&lt;Mitarbeiter!$E$56),0,IF(AND(Mitarbeiter!$F$56&lt;&gt;"",EH$5&gt;Mitarbeiter!$F$56),0,IF(Planung!EH58="",$C58,IF(ISNUMBER(Planung!EH58),Planung!EH58,IF(UPPER(Planung!EH58)="H",$C58/2,0)))))))</f>
        <v>0</v>
      </c>
      <c r="EI58" s="27">
        <f>IF($A58="",0,IF(Mitarbeiter!$G$56=FALSE,0,IF(AND(Mitarbeiter!$E$56&lt;&gt;"",EI$5+6&lt;Mitarbeiter!$E$56),0,IF(AND(Mitarbeiter!$F$56&lt;&gt;"",EI$5&gt;Mitarbeiter!$F$56),0,IF(Planung!EI58="",$C58,IF(ISNUMBER(Planung!EI58),Planung!EI58,IF(UPPER(Planung!EI58)="H",$C58/2,0)))))))</f>
        <v>0</v>
      </c>
      <c r="EJ58" s="27">
        <f>IF($A58="",0,IF(Mitarbeiter!$G$56=FALSE,0,IF(AND(Mitarbeiter!$E$56&lt;&gt;"",EJ$5+6&lt;Mitarbeiter!$E$56),0,IF(AND(Mitarbeiter!$F$56&lt;&gt;"",EJ$5&gt;Mitarbeiter!$F$56),0,IF(Planung!EJ58="",$C58,IF(ISNUMBER(Planung!EJ58),Planung!EJ58,IF(UPPER(Planung!EJ58)="H",$C58/2,0)))))))</f>
        <v>0</v>
      </c>
      <c r="EK58" s="27">
        <f>IF($A58="",0,IF(Mitarbeiter!$G$56=FALSE,0,IF(AND(Mitarbeiter!$E$56&lt;&gt;"",EK$5+6&lt;Mitarbeiter!$E$56),0,IF(AND(Mitarbeiter!$F$56&lt;&gt;"",EK$5&gt;Mitarbeiter!$F$56),0,IF(Planung!EK58="",$C58,IF(ISNUMBER(Planung!EK58),Planung!EK58,IF(UPPER(Planung!EK58)="H",$C58/2,0)))))))</f>
        <v>0</v>
      </c>
      <c r="EL58" s="27">
        <f>IF($A58="",0,IF(Mitarbeiter!$G$56=FALSE,0,IF(AND(Mitarbeiter!$E$56&lt;&gt;"",EL$5+6&lt;Mitarbeiter!$E$56),0,IF(AND(Mitarbeiter!$F$56&lt;&gt;"",EL$5&gt;Mitarbeiter!$F$56),0,IF(Planung!EL58="",$C58,IF(ISNUMBER(Planung!EL58),Planung!EL58,IF(UPPER(Planung!EL58)="H",$C58/2,0)))))))</f>
        <v>0</v>
      </c>
      <c r="EM58" s="27">
        <f>IF($A58="",0,IF(Mitarbeiter!$G$56=FALSE,0,IF(AND(Mitarbeiter!$E$56&lt;&gt;"",EM$5+6&lt;Mitarbeiter!$E$56),0,IF(AND(Mitarbeiter!$F$56&lt;&gt;"",EM$5&gt;Mitarbeiter!$F$56),0,IF(Planung!EM58="",$C58,IF(ISNUMBER(Planung!EM58),Planung!EM58,IF(UPPER(Planung!EM58)="H",$C58/2,0)))))))</f>
        <v>0</v>
      </c>
      <c r="EN58" s="27">
        <f>IF($A58="",0,IF(Mitarbeiter!$G$56=FALSE,0,IF(AND(Mitarbeiter!$E$56&lt;&gt;"",EN$5+6&lt;Mitarbeiter!$E$56),0,IF(AND(Mitarbeiter!$F$56&lt;&gt;"",EN$5&gt;Mitarbeiter!$F$56),0,IF(Planung!EN58="",$C58,IF(ISNUMBER(Planung!EN58),Planung!EN58,IF(UPPER(Planung!EN58)="H",$C58/2,0)))))))</f>
        <v>0</v>
      </c>
      <c r="EO58" s="27">
        <f>IF($A58="",0,IF(Mitarbeiter!$G$56=FALSE,0,IF(AND(Mitarbeiter!$E$56&lt;&gt;"",EO$5+6&lt;Mitarbeiter!$E$56),0,IF(AND(Mitarbeiter!$F$56&lt;&gt;"",EO$5&gt;Mitarbeiter!$F$56),0,IF(Planung!EO58="",$C58,IF(ISNUMBER(Planung!EO58),Planung!EO58,IF(UPPER(Planung!EO58)="H",$C58/2,0)))))))</f>
        <v>0</v>
      </c>
      <c r="EP58" s="27">
        <f>IF($A58="",0,IF(Mitarbeiter!$G$56=FALSE,0,IF(AND(Mitarbeiter!$E$56&lt;&gt;"",EP$5+6&lt;Mitarbeiter!$E$56),0,IF(AND(Mitarbeiter!$F$56&lt;&gt;"",EP$5&gt;Mitarbeiter!$F$56),0,IF(Planung!EP58="",$C58,IF(ISNUMBER(Planung!EP58),Planung!EP58,IF(UPPER(Planung!EP58)="H",$C58/2,0)))))))</f>
        <v>0</v>
      </c>
      <c r="EQ58" s="27">
        <f>IF($A58="",0,IF(Mitarbeiter!$G$56=FALSE,0,IF(AND(Mitarbeiter!$E$56&lt;&gt;"",EQ$5+6&lt;Mitarbeiter!$E$56),0,IF(AND(Mitarbeiter!$F$56&lt;&gt;"",EQ$5&gt;Mitarbeiter!$F$56),0,IF(Planung!EQ58="",$C58,IF(ISNUMBER(Planung!EQ58),Planung!EQ58,IF(UPPER(Planung!EQ58)="H",$C58/2,0)))))))</f>
        <v>0</v>
      </c>
      <c r="ER58" s="27">
        <f>IF($A58="",0,IF(Mitarbeiter!$G$56=FALSE,0,IF(AND(Mitarbeiter!$E$56&lt;&gt;"",ER$5+6&lt;Mitarbeiter!$E$56),0,IF(AND(Mitarbeiter!$F$56&lt;&gt;"",ER$5&gt;Mitarbeiter!$F$56),0,IF(Planung!ER58="",$C58,IF(ISNUMBER(Planung!ER58),Planung!ER58,IF(UPPER(Planung!ER58)="H",$C58/2,0)))))))</f>
        <v>0</v>
      </c>
      <c r="ES58" s="27">
        <f>IF($A58="",0,IF(Mitarbeiter!$G$56=FALSE,0,IF(AND(Mitarbeiter!$E$56&lt;&gt;"",ES$5+6&lt;Mitarbeiter!$E$56),0,IF(AND(Mitarbeiter!$F$56&lt;&gt;"",ES$5&gt;Mitarbeiter!$F$56),0,IF(Planung!ES58="",$C58,IF(ISNUMBER(Planung!ES58),Planung!ES58,IF(UPPER(Planung!ES58)="H",$C58/2,0)))))))</f>
        <v>0</v>
      </c>
      <c r="ET58" s="27">
        <f>IF($A58="",0,IF(Mitarbeiter!$G$56=FALSE,0,IF(AND(Mitarbeiter!$E$56&lt;&gt;"",ET$5+6&lt;Mitarbeiter!$E$56),0,IF(AND(Mitarbeiter!$F$56&lt;&gt;"",ET$5&gt;Mitarbeiter!$F$56),0,IF(Planung!ET58="",$C58,IF(ISNUMBER(Planung!ET58),Planung!ET58,IF(UPPER(Planung!ET58)="H",$C58/2,0)))))))</f>
        <v>0</v>
      </c>
      <c r="EU58" s="27">
        <f>IF($A58="",0,IF(Mitarbeiter!$G$56=FALSE,0,IF(AND(Mitarbeiter!$E$56&lt;&gt;"",EU$5+6&lt;Mitarbeiter!$E$56),0,IF(AND(Mitarbeiter!$F$56&lt;&gt;"",EU$5&gt;Mitarbeiter!$F$56),0,IF(Planung!EU58="",$C58,IF(ISNUMBER(Planung!EU58),Planung!EU58,IF(UPPER(Planung!EU58)="H",$C58/2,0)))))))</f>
        <v>0</v>
      </c>
      <c r="EV58" s="27">
        <f>IF($A58="",0,IF(Mitarbeiter!$G$56=FALSE,0,IF(AND(Mitarbeiter!$E$56&lt;&gt;"",EV$5+6&lt;Mitarbeiter!$E$56),0,IF(AND(Mitarbeiter!$F$56&lt;&gt;"",EV$5&gt;Mitarbeiter!$F$56),0,IF(Planung!EV58="",$C58,IF(ISNUMBER(Planung!EV58),Planung!EV58,IF(UPPER(Planung!EV58)="H",$C58/2,0)))))))</f>
        <v>0</v>
      </c>
      <c r="EW58" s="27">
        <f>IF($A58="",0,IF(Mitarbeiter!$G$56=FALSE,0,IF(AND(Mitarbeiter!$E$56&lt;&gt;"",EW$5+6&lt;Mitarbeiter!$E$56),0,IF(AND(Mitarbeiter!$F$56&lt;&gt;"",EW$5&gt;Mitarbeiter!$F$56),0,IF(Planung!EW58="",$C58,IF(ISNUMBER(Planung!EW58),Planung!EW58,IF(UPPER(Planung!EW58)="H",$C58/2,0)))))))</f>
        <v>0</v>
      </c>
      <c r="EX58" s="27">
        <f>IF($A58="",0,IF(Mitarbeiter!$G$56=FALSE,0,IF(AND(Mitarbeiter!$E$56&lt;&gt;"",EX$5+6&lt;Mitarbeiter!$E$56),0,IF(AND(Mitarbeiter!$F$56&lt;&gt;"",EX$5&gt;Mitarbeiter!$F$56),0,IF(Planung!EX58="",$C58,IF(ISNUMBER(Planung!EX58),Planung!EX58,IF(UPPER(Planung!EX58)="H",$C58/2,0)))))))</f>
        <v>0</v>
      </c>
      <c r="EY58" s="27">
        <f>IF($A58="",0,IF(Mitarbeiter!$G$56=FALSE,0,IF(AND(Mitarbeiter!$E$56&lt;&gt;"",EY$5+6&lt;Mitarbeiter!$E$56),0,IF(AND(Mitarbeiter!$F$56&lt;&gt;"",EY$5&gt;Mitarbeiter!$F$56),0,IF(Planung!EY58="",$C58,IF(ISNUMBER(Planung!EY58),Planung!EY58,IF(UPPER(Planung!EY58)="H",$C58/2,0)))))))</f>
        <v>0</v>
      </c>
      <c r="EZ58" s="27">
        <f>IF($A58="",0,IF(Mitarbeiter!$G$56=FALSE,0,IF(AND(Mitarbeiter!$E$56&lt;&gt;"",EZ$5+6&lt;Mitarbeiter!$E$56),0,IF(AND(Mitarbeiter!$F$56&lt;&gt;"",EZ$5&gt;Mitarbeiter!$F$56),0,IF(Planung!EZ58="",$C58,IF(ISNUMBER(Planung!EZ58),Planung!EZ58,IF(UPPER(Planung!EZ58)="H",$C58/2,0)))))))</f>
        <v>0</v>
      </c>
      <c r="FA58" s="27">
        <f>IF($A58="",0,IF(Mitarbeiter!$G$56=FALSE,0,IF(AND(Mitarbeiter!$E$56&lt;&gt;"",FA$5+6&lt;Mitarbeiter!$E$56),0,IF(AND(Mitarbeiter!$F$56&lt;&gt;"",FA$5&gt;Mitarbeiter!$F$56),0,IF(Planung!FA58="",$C58,IF(ISNUMBER(Planung!FA58),Planung!FA58,IF(UPPER(Planung!FA58)="H",$C58/2,0)))))))</f>
        <v>0</v>
      </c>
      <c r="FB58" s="27">
        <f>IF($A58="",0,IF(Mitarbeiter!$G$56=FALSE,0,IF(AND(Mitarbeiter!$E$56&lt;&gt;"",FB$5+6&lt;Mitarbeiter!$E$56),0,IF(AND(Mitarbeiter!$F$56&lt;&gt;"",FB$5&gt;Mitarbeiter!$F$56),0,IF(Planung!FB58="",$C58,IF(ISNUMBER(Planung!FB58),Planung!FB58,IF(UPPER(Planung!FB58)="H",$C58/2,0)))))))</f>
        <v>0</v>
      </c>
      <c r="FC58" s="27">
        <f>IF($A58="",0,IF(Mitarbeiter!$G$56=FALSE,0,IF(AND(Mitarbeiter!$E$56&lt;&gt;"",FC$5+6&lt;Mitarbeiter!$E$56),0,IF(AND(Mitarbeiter!$F$56&lt;&gt;"",FC$5&gt;Mitarbeiter!$F$56),0,IF(Planung!FC58="",$C58,IF(ISNUMBER(Planung!FC58),Planung!FC58,IF(UPPER(Planung!FC58)="H",$C58/2,0)))))))</f>
        <v>0</v>
      </c>
      <c r="FD58" s="27">
        <f>IF($A58="",0,IF(Mitarbeiter!$G$56=FALSE,0,IF(AND(Mitarbeiter!$E$56&lt;&gt;"",FD$5+6&lt;Mitarbeiter!$E$56),0,IF(AND(Mitarbeiter!$F$56&lt;&gt;"",FD$5&gt;Mitarbeiter!$F$56),0,IF(Planung!FD58="",$C58,IF(ISNUMBER(Planung!FD58),Planung!FD58,IF(UPPER(Planung!FD58)="H",$C58/2,0)))))))</f>
        <v>0</v>
      </c>
      <c r="FE58" s="27">
        <f>IF($A58="",0,IF(Mitarbeiter!$G$56=FALSE,0,IF(AND(Mitarbeiter!$E$56&lt;&gt;"",FE$5+6&lt;Mitarbeiter!$E$56),0,IF(AND(Mitarbeiter!$F$56&lt;&gt;"",FE$5&gt;Mitarbeiter!$F$56),0,IF(Planung!FE58="",$C58,IF(ISNUMBER(Planung!FE58),Planung!FE58,IF(UPPER(Planung!FE58)="H",$C58/2,0)))))))</f>
        <v>0</v>
      </c>
      <c r="FF58" s="27">
        <f>IF($A58="",0,IF(Mitarbeiter!$G$56=FALSE,0,IF(AND(Mitarbeiter!$E$56&lt;&gt;"",FF$5+6&lt;Mitarbeiter!$E$56),0,IF(AND(Mitarbeiter!$F$56&lt;&gt;"",FF$5&gt;Mitarbeiter!$F$56),0,IF(Planung!FF58="",$C58,IF(ISNUMBER(Planung!FF58),Planung!FF58,IF(UPPER(Planung!FF58)="H",$C58/2,0)))))))</f>
        <v>0</v>
      </c>
      <c r="FG58" s="27">
        <f>IF($A58="",0,IF(Mitarbeiter!$G$56=FALSE,0,IF(AND(Mitarbeiter!$E$56&lt;&gt;"",FG$5+6&lt;Mitarbeiter!$E$56),0,IF(AND(Mitarbeiter!$F$56&lt;&gt;"",FG$5&gt;Mitarbeiter!$F$56),0,IF(Planung!FG58="",$C58,IF(ISNUMBER(Planung!FG58),Planung!FG58,IF(UPPER(Planung!FG58)="H",$C58/2,0)))))))</f>
        <v>0</v>
      </c>
      <c r="FH58" s="27">
        <f>IF($A58="",0,IF(Mitarbeiter!$G$56=FALSE,0,IF(AND(Mitarbeiter!$E$56&lt;&gt;"",FH$5+6&lt;Mitarbeiter!$E$56),0,IF(AND(Mitarbeiter!$F$56&lt;&gt;"",FH$5&gt;Mitarbeiter!$F$56),0,IF(Planung!FH58="",$C58,IF(ISNUMBER(Planung!FH58),Planung!FH58,IF(UPPER(Planung!FH58)="H",$C58/2,0)))))))</f>
        <v>0</v>
      </c>
      <c r="FI58" s="27">
        <f>IF($A58="",0,IF(Mitarbeiter!$G$56=FALSE,0,IF(AND(Mitarbeiter!$E$56&lt;&gt;"",FI$5+6&lt;Mitarbeiter!$E$56),0,IF(AND(Mitarbeiter!$F$56&lt;&gt;"",FI$5&gt;Mitarbeiter!$F$56),0,IF(Planung!FI58="",$C58,IF(ISNUMBER(Planung!FI58),Planung!FI58,IF(UPPER(Planung!FI58)="H",$C58/2,0)))))))</f>
        <v>0</v>
      </c>
      <c r="FJ58" s="27">
        <f>IF($A58="",0,IF(Mitarbeiter!$G$56=FALSE,0,IF(AND(Mitarbeiter!$E$56&lt;&gt;"",FJ$5+6&lt;Mitarbeiter!$E$56),0,IF(AND(Mitarbeiter!$F$56&lt;&gt;"",FJ$5&gt;Mitarbeiter!$F$56),0,IF(Planung!FJ58="",$C58,IF(ISNUMBER(Planung!FJ58),Planung!FJ58,IF(UPPER(Planung!FJ58)="H",$C58/2,0)))))))</f>
        <v>0</v>
      </c>
      <c r="FK58" s="27">
        <f>IF($A58="",0,IF(Mitarbeiter!$G$56=FALSE,0,IF(AND(Mitarbeiter!$E$56&lt;&gt;"",FK$5+6&lt;Mitarbeiter!$E$56),0,IF(AND(Mitarbeiter!$F$56&lt;&gt;"",FK$5&gt;Mitarbeiter!$F$56),0,IF(Planung!FK58="",$C58,IF(ISNUMBER(Planung!FK58),Planung!FK58,IF(UPPER(Planung!FK58)="H",$C58/2,0)))))))</f>
        <v>0</v>
      </c>
      <c r="FL58" s="27">
        <f>IF($A58="",0,IF(Mitarbeiter!$G$56=FALSE,0,IF(AND(Mitarbeiter!$E$56&lt;&gt;"",FL$5+6&lt;Mitarbeiter!$E$56),0,IF(AND(Mitarbeiter!$F$56&lt;&gt;"",FL$5&gt;Mitarbeiter!$F$56),0,IF(Planung!FL58="",$C58,IF(ISNUMBER(Planung!FL58),Planung!FL58,IF(UPPER(Planung!FL58)="H",$C58/2,0)))))))</f>
        <v>0</v>
      </c>
      <c r="FM58" s="27">
        <f>IF($A58="",0,IF(Mitarbeiter!$G$56=FALSE,0,IF(AND(Mitarbeiter!$E$56&lt;&gt;"",FM$5+6&lt;Mitarbeiter!$E$56),0,IF(AND(Mitarbeiter!$F$56&lt;&gt;"",FM$5&gt;Mitarbeiter!$F$56),0,IF(Planung!FM58="",$C58,IF(ISNUMBER(Planung!FM58),Planung!FM58,IF(UPPER(Planung!FM58)="H",$C58/2,0)))))))</f>
        <v>0</v>
      </c>
      <c r="FN58" s="27">
        <f>IF($A58="",0,IF(Mitarbeiter!$G$56=FALSE,0,IF(AND(Mitarbeiter!$E$56&lt;&gt;"",FN$5+6&lt;Mitarbeiter!$E$56),0,IF(AND(Mitarbeiter!$F$56&lt;&gt;"",FN$5&gt;Mitarbeiter!$F$56),0,IF(Planung!FN58="",$C58,IF(ISNUMBER(Planung!FN58),Planung!FN58,IF(UPPER(Planung!FN58)="H",$C58/2,0)))))))</f>
        <v>0</v>
      </c>
      <c r="FO58" s="27">
        <f>IF($A58="",0,IF(Mitarbeiter!$G$56=FALSE,0,IF(AND(Mitarbeiter!$E$56&lt;&gt;"",FO$5+6&lt;Mitarbeiter!$E$56),0,IF(AND(Mitarbeiter!$F$56&lt;&gt;"",FO$5&gt;Mitarbeiter!$F$56),0,IF(Planung!FO58="",$C58,IF(ISNUMBER(Planung!FO58),Planung!FO58,IF(UPPER(Planung!FO58)="H",$C58/2,0)))))))</f>
        <v>0</v>
      </c>
      <c r="FP58" s="27">
        <f>IF($A58="",0,IF(Mitarbeiter!$G$56=FALSE,0,IF(AND(Mitarbeiter!$E$56&lt;&gt;"",FP$5+6&lt;Mitarbeiter!$E$56),0,IF(AND(Mitarbeiter!$F$56&lt;&gt;"",FP$5&gt;Mitarbeiter!$F$56),0,IF(Planung!FP58="",$C58,IF(ISNUMBER(Planung!FP58),Planung!FP58,IF(UPPER(Planung!FP58)="H",$C58/2,0)))))))</f>
        <v>0</v>
      </c>
      <c r="FQ58" s="27">
        <f>IF($A58="",0,IF(Mitarbeiter!$G$56=FALSE,0,IF(AND(Mitarbeiter!$E$56&lt;&gt;"",FQ$5+6&lt;Mitarbeiter!$E$56),0,IF(AND(Mitarbeiter!$F$56&lt;&gt;"",FQ$5&gt;Mitarbeiter!$F$56),0,IF(Planung!FQ58="",$C58,IF(ISNUMBER(Planung!FQ58),Planung!FQ58,IF(UPPER(Planung!FQ58)="H",$C58/2,0)))))))</f>
        <v>0</v>
      </c>
      <c r="FR58" s="27">
        <f>IF($A58="",0,IF(Mitarbeiter!$G$56=FALSE,0,IF(AND(Mitarbeiter!$E$56&lt;&gt;"",FR$5+6&lt;Mitarbeiter!$E$56),0,IF(AND(Mitarbeiter!$F$56&lt;&gt;"",FR$5&gt;Mitarbeiter!$F$56),0,IF(Planung!FR58="",$C58,IF(ISNUMBER(Planung!FR58),Planung!FR58,IF(UPPER(Planung!FR58)="H",$C58/2,0)))))))</f>
        <v>0</v>
      </c>
      <c r="FS58" s="27">
        <f>IF($A58="",0,IF(Mitarbeiter!$G$56=FALSE,0,IF(AND(Mitarbeiter!$E$56&lt;&gt;"",FS$5+6&lt;Mitarbeiter!$E$56),0,IF(AND(Mitarbeiter!$F$56&lt;&gt;"",FS$5&gt;Mitarbeiter!$F$56),0,IF(Planung!FS58="",$C58,IF(ISNUMBER(Planung!FS58),Planung!FS58,IF(UPPER(Planung!FS58)="H",$C58/2,0)))))))</f>
        <v>0</v>
      </c>
      <c r="FT58" s="27">
        <f>IF($A58="",0,IF(Mitarbeiter!$G$56=FALSE,0,IF(AND(Mitarbeiter!$E$56&lt;&gt;"",FT$5+6&lt;Mitarbeiter!$E$56),0,IF(AND(Mitarbeiter!$F$56&lt;&gt;"",FT$5&gt;Mitarbeiter!$F$56),0,IF(Planung!FT58="",$C58,IF(ISNUMBER(Planung!FT58),Planung!FT58,IF(UPPER(Planung!FT58)="H",$C58/2,0)))))))</f>
        <v>0</v>
      </c>
      <c r="FU58" s="27">
        <f>IF($A58="",0,IF(Mitarbeiter!$G$56=FALSE,0,IF(AND(Mitarbeiter!$E$56&lt;&gt;"",FU$5+6&lt;Mitarbeiter!$E$56),0,IF(AND(Mitarbeiter!$F$56&lt;&gt;"",FU$5&gt;Mitarbeiter!$F$56),0,IF(Planung!FU58="",$C58,IF(ISNUMBER(Planung!FU58),Planung!FU58,IF(UPPER(Planung!FU58)="H",$C58/2,0)))))))</f>
        <v>0</v>
      </c>
      <c r="FV58" s="27">
        <f>IF($A58="",0,IF(Mitarbeiter!$G$56=FALSE,0,IF(AND(Mitarbeiter!$E$56&lt;&gt;"",FV$5+6&lt;Mitarbeiter!$E$56),0,IF(AND(Mitarbeiter!$F$56&lt;&gt;"",FV$5&gt;Mitarbeiter!$F$56),0,IF(Planung!FV58="",$C58,IF(ISNUMBER(Planung!FV58),Planung!FV58,IF(UPPER(Planung!FV58)="H",$C58/2,0)))))))</f>
        <v>0</v>
      </c>
      <c r="FW58" s="27">
        <f>IF($A58="",0,IF(Mitarbeiter!$G$56=FALSE,0,IF(AND(Mitarbeiter!$E$56&lt;&gt;"",FW$5+6&lt;Mitarbeiter!$E$56),0,IF(AND(Mitarbeiter!$F$56&lt;&gt;"",FW$5&gt;Mitarbeiter!$F$56),0,IF(Planung!FW58="",$C58,IF(ISNUMBER(Planung!FW58),Planung!FW58,IF(UPPER(Planung!FW58)="H",$C58/2,0)))))))</f>
        <v>0</v>
      </c>
      <c r="FX58" s="27">
        <f>IF($A58="",0,IF(Mitarbeiter!$G$56=FALSE,0,IF(AND(Mitarbeiter!$E$56&lt;&gt;"",FX$5+6&lt;Mitarbeiter!$E$56),0,IF(AND(Mitarbeiter!$F$56&lt;&gt;"",FX$5&gt;Mitarbeiter!$F$56),0,IF(Planung!FX58="",$C58,IF(ISNUMBER(Planung!FX58),Planung!FX58,IF(UPPER(Planung!FX58)="H",$C58/2,0)))))))</f>
        <v>0</v>
      </c>
      <c r="FY58" s="27">
        <f>IF($A58="",0,IF(Mitarbeiter!$G$56=FALSE,0,IF(AND(Mitarbeiter!$E$56&lt;&gt;"",FY$5+6&lt;Mitarbeiter!$E$56),0,IF(AND(Mitarbeiter!$F$56&lt;&gt;"",FY$5&gt;Mitarbeiter!$F$56),0,IF(Planung!FY58="",$C58,IF(ISNUMBER(Planung!FY58),Planung!FY58,IF(UPPER(Planung!FY58)="H",$C58/2,0)))))))</f>
        <v>0</v>
      </c>
      <c r="FZ58" s="27">
        <f>IF($A58="",0,IF(Mitarbeiter!$G$56=FALSE,0,IF(AND(Mitarbeiter!$E$56&lt;&gt;"",FZ$5+6&lt;Mitarbeiter!$E$56),0,IF(AND(Mitarbeiter!$F$56&lt;&gt;"",FZ$5&gt;Mitarbeiter!$F$56),0,IF(Planung!FZ58="",$C58,IF(ISNUMBER(Planung!FZ58),Planung!FZ58,IF(UPPER(Planung!FZ58)="H",$C58/2,0)))))))</f>
        <v>0</v>
      </c>
      <c r="GA58" s="27">
        <f>IF($A58="",0,IF(Mitarbeiter!$G$56=FALSE,0,IF(AND(Mitarbeiter!$E$56&lt;&gt;"",GA$5+6&lt;Mitarbeiter!$E$56),0,IF(AND(Mitarbeiter!$F$56&lt;&gt;"",GA$5&gt;Mitarbeiter!$F$56),0,IF(Planung!GA58="",$C58,IF(ISNUMBER(Planung!GA58),Planung!GA58,IF(UPPER(Planung!GA58)="H",$C58/2,0)))))))</f>
        <v>0</v>
      </c>
      <c r="GB58" s="27">
        <f>IF($A58="",0,IF(Mitarbeiter!$G$56=FALSE,0,IF(AND(Mitarbeiter!$E$56&lt;&gt;"",GB$5+6&lt;Mitarbeiter!$E$56),0,IF(AND(Mitarbeiter!$F$56&lt;&gt;"",GB$5&gt;Mitarbeiter!$F$56),0,IF(Planung!GB58="",$C58,IF(ISNUMBER(Planung!GB58),Planung!GB58,IF(UPPER(Planung!GB58)="H",$C58/2,0)))))))</f>
        <v>0</v>
      </c>
      <c r="GC58" s="27">
        <f>IF($A58="",0,IF(Mitarbeiter!$G$56=FALSE,0,IF(AND(Mitarbeiter!$E$56&lt;&gt;"",GC$5+6&lt;Mitarbeiter!$E$56),0,IF(AND(Mitarbeiter!$F$56&lt;&gt;"",GC$5&gt;Mitarbeiter!$F$56),0,IF(Planung!GC58="",$C58,IF(ISNUMBER(Planung!GC58),Planung!GC58,IF(UPPER(Planung!GC58)="H",$C58/2,0)))))))</f>
        <v>0</v>
      </c>
      <c r="GD58" s="27">
        <f>IF($A58="",0,IF(Mitarbeiter!$G$56=FALSE,0,IF(AND(Mitarbeiter!$E$56&lt;&gt;"",GD$5+6&lt;Mitarbeiter!$E$56),0,IF(AND(Mitarbeiter!$F$56&lt;&gt;"",GD$5&gt;Mitarbeiter!$F$56),0,IF(Planung!GD58="",$C58,IF(ISNUMBER(Planung!GD58),Planung!GD58,IF(UPPER(Planung!GD58)="H",$C58/2,0)))))))</f>
        <v>0</v>
      </c>
      <c r="GE58" s="27">
        <f>IF($A58="",0,IF(Mitarbeiter!$G$56=FALSE,0,IF(AND(Mitarbeiter!$E$56&lt;&gt;"",GE$5+6&lt;Mitarbeiter!$E$56),0,IF(AND(Mitarbeiter!$F$56&lt;&gt;"",GE$5&gt;Mitarbeiter!$F$56),0,IF(Planung!GE58="",$C58,IF(ISNUMBER(Planung!GE58),Planung!GE58,IF(UPPER(Planung!GE58)="H",$C58/2,0)))))))</f>
        <v>0</v>
      </c>
      <c r="GF58" s="27">
        <f>IF($A58="",0,IF(Mitarbeiter!$G$56=FALSE,0,IF(AND(Mitarbeiter!$E$56&lt;&gt;"",GF$5+6&lt;Mitarbeiter!$E$56),0,IF(AND(Mitarbeiter!$F$56&lt;&gt;"",GF$5&gt;Mitarbeiter!$F$56),0,IF(Planung!GF58="",$C58,IF(ISNUMBER(Planung!GF58),Planung!GF58,IF(UPPER(Planung!GF58)="H",$C58/2,0)))))))</f>
        <v>0</v>
      </c>
      <c r="GG58" s="27">
        <f>IF($A58="",0,IF(Mitarbeiter!$G$56=FALSE,0,IF(AND(Mitarbeiter!$E$56&lt;&gt;"",GG$5+6&lt;Mitarbeiter!$E$56),0,IF(AND(Mitarbeiter!$F$56&lt;&gt;"",GG$5&gt;Mitarbeiter!$F$56),0,IF(Planung!GG58="",$C58,IF(ISNUMBER(Planung!GG58),Planung!GG58,IF(UPPER(Planung!GG58)="H",$C58/2,0)))))))</f>
        <v>0</v>
      </c>
      <c r="GH58" s="27">
        <f>IF($A58="",0,IF(Mitarbeiter!$G$56=FALSE,0,IF(AND(Mitarbeiter!$E$56&lt;&gt;"",GH$5+6&lt;Mitarbeiter!$E$56),0,IF(AND(Mitarbeiter!$F$56&lt;&gt;"",GH$5&gt;Mitarbeiter!$F$56),0,IF(Planung!GH58="",$C58,IF(ISNUMBER(Planung!GH58),Planung!GH58,IF(UPPER(Planung!GH58)="H",$C58/2,0)))))))</f>
        <v>0</v>
      </c>
      <c r="GI58" s="27">
        <f>IF($A58="",0,IF(Mitarbeiter!$G$56=FALSE,0,IF(AND(Mitarbeiter!$E$56&lt;&gt;"",GI$5+6&lt;Mitarbeiter!$E$56),0,IF(AND(Mitarbeiter!$F$56&lt;&gt;"",GI$5&gt;Mitarbeiter!$F$56),0,IF(Planung!GI58="",$C58,IF(ISNUMBER(Planung!GI58),Planung!GI58,IF(UPPER(Planung!GI58)="H",$C58/2,0)))))))</f>
        <v>0</v>
      </c>
      <c r="GJ58" s="27">
        <f>IF($A58="",0,IF(Mitarbeiter!$G$56=FALSE,0,IF(AND(Mitarbeiter!$E$56&lt;&gt;"",GJ$5+6&lt;Mitarbeiter!$E$56),0,IF(AND(Mitarbeiter!$F$56&lt;&gt;"",GJ$5&gt;Mitarbeiter!$F$56),0,IF(Planung!GJ58="",$C58,IF(ISNUMBER(Planung!GJ58),Planung!GJ58,IF(UPPER(Planung!GJ58)="H",$C58/2,0)))))))</f>
        <v>0</v>
      </c>
      <c r="GK58" s="27">
        <f>IF($A58="",0,IF(Mitarbeiter!$G$56=FALSE,0,IF(AND(Mitarbeiter!$E$56&lt;&gt;"",GK$5+6&lt;Mitarbeiter!$E$56),0,IF(AND(Mitarbeiter!$F$56&lt;&gt;"",GK$5&gt;Mitarbeiter!$F$56),0,IF(Planung!GK58="",$C58,IF(ISNUMBER(Planung!GK58),Planung!GK58,IF(UPPER(Planung!GK58)="H",$C58/2,0)))))))</f>
        <v>0</v>
      </c>
      <c r="GL58" s="27">
        <f>IF($A58="",0,IF(Mitarbeiter!$G$56=FALSE,0,IF(AND(Mitarbeiter!$E$56&lt;&gt;"",GL$5+6&lt;Mitarbeiter!$E$56),0,IF(AND(Mitarbeiter!$F$56&lt;&gt;"",GL$5&gt;Mitarbeiter!$F$56),0,IF(Planung!GL58="",$C58,IF(ISNUMBER(Planung!GL58),Planung!GL58,IF(UPPER(Planung!GL58)="H",$C58/2,0)))))))</f>
        <v>0</v>
      </c>
      <c r="GM58" s="27">
        <f>IF($A58="",0,IF(Mitarbeiter!$G$56=FALSE,0,IF(AND(Mitarbeiter!$E$56&lt;&gt;"",GM$5+6&lt;Mitarbeiter!$E$56),0,IF(AND(Mitarbeiter!$F$56&lt;&gt;"",GM$5&gt;Mitarbeiter!$F$56),0,IF(Planung!GM58="",$C58,IF(ISNUMBER(Planung!GM58),Planung!GM58,IF(UPPER(Planung!GM58)="H",$C58/2,0)))))))</f>
        <v>0</v>
      </c>
      <c r="GN58" s="27">
        <f>IF($A58="",0,IF(Mitarbeiter!$G$56=FALSE,0,IF(AND(Mitarbeiter!$E$56&lt;&gt;"",GN$5+6&lt;Mitarbeiter!$E$56),0,IF(AND(Mitarbeiter!$F$56&lt;&gt;"",GN$5&gt;Mitarbeiter!$F$56),0,IF(Planung!GN58="",$C58,IF(ISNUMBER(Planung!GN58),Planung!GN58,IF(UPPER(Planung!GN58)="H",$C58/2,0)))))))</f>
        <v>0</v>
      </c>
      <c r="GO58" s="27">
        <f>IF($A58="",0,IF(Mitarbeiter!$G$56=FALSE,0,IF(AND(Mitarbeiter!$E$56&lt;&gt;"",GO$5+6&lt;Mitarbeiter!$E$56),0,IF(AND(Mitarbeiter!$F$56&lt;&gt;"",GO$5&gt;Mitarbeiter!$F$56),0,IF(Planung!GO58="",$C58,IF(ISNUMBER(Planung!GO58),Planung!GO58,IF(UPPER(Planung!GO58)="H",$C58/2,0)))))))</f>
        <v>0</v>
      </c>
      <c r="GP58" s="27">
        <f>IF($A58="",0,IF(Mitarbeiter!$G$56=FALSE,0,IF(AND(Mitarbeiter!$E$56&lt;&gt;"",GP$5+6&lt;Mitarbeiter!$E$56),0,IF(AND(Mitarbeiter!$F$56&lt;&gt;"",GP$5&gt;Mitarbeiter!$F$56),0,IF(Planung!GP58="",$C58,IF(ISNUMBER(Planung!GP58),Planung!GP58,IF(UPPER(Planung!GP58)="H",$C58/2,0)))))))</f>
        <v>0</v>
      </c>
      <c r="GQ58" s="27">
        <f>IF($A58="",0,IF(Mitarbeiter!$G$56=FALSE,0,IF(AND(Mitarbeiter!$E$56&lt;&gt;"",GQ$5+6&lt;Mitarbeiter!$E$56),0,IF(AND(Mitarbeiter!$F$56&lt;&gt;"",GQ$5&gt;Mitarbeiter!$F$56),0,IF(Planung!GQ58="",$C58,IF(ISNUMBER(Planung!GQ58),Planung!GQ58,IF(UPPER(Planung!GQ58)="H",$C58/2,0)))))))</f>
        <v>0</v>
      </c>
      <c r="GR58" s="27">
        <f>IF($A58="",0,IF(Mitarbeiter!$G$56=FALSE,0,IF(AND(Mitarbeiter!$E$56&lt;&gt;"",GR$5+6&lt;Mitarbeiter!$E$56),0,IF(AND(Mitarbeiter!$F$56&lt;&gt;"",GR$5&gt;Mitarbeiter!$F$56),0,IF(Planung!GR58="",$C58,IF(ISNUMBER(Planung!GR58),Planung!GR58,IF(UPPER(Planung!GR58)="H",$C58/2,0)))))))</f>
        <v>0</v>
      </c>
      <c r="GS58" s="27">
        <f>IF($A58="",0,IF(Mitarbeiter!$G$56=FALSE,0,IF(AND(Mitarbeiter!$E$56&lt;&gt;"",GS$5+6&lt;Mitarbeiter!$E$56),0,IF(AND(Mitarbeiter!$F$56&lt;&gt;"",GS$5&gt;Mitarbeiter!$F$56),0,IF(Planung!GS58="",$C58,IF(ISNUMBER(Planung!GS58),Planung!GS58,IF(UPPER(Planung!GS58)="H",$C58/2,0)))))))</f>
        <v>0</v>
      </c>
      <c r="GT58" s="27">
        <f>IF($A58="",0,IF(Mitarbeiter!$G$56=FALSE,0,IF(AND(Mitarbeiter!$E$56&lt;&gt;"",GT$5+6&lt;Mitarbeiter!$E$56),0,IF(AND(Mitarbeiter!$F$56&lt;&gt;"",GT$5&gt;Mitarbeiter!$F$56),0,IF(Planung!GT58="",$C58,IF(ISNUMBER(Planung!GT58),Planung!GT58,IF(UPPER(Planung!GT58)="H",$C58/2,0)))))))</f>
        <v>0</v>
      </c>
      <c r="GU58" s="27">
        <f>IF($A58="",0,IF(Mitarbeiter!$G$56=FALSE,0,IF(AND(Mitarbeiter!$E$56&lt;&gt;"",GU$5+6&lt;Mitarbeiter!$E$56),0,IF(AND(Mitarbeiter!$F$56&lt;&gt;"",GU$5&gt;Mitarbeiter!$F$56),0,IF(Planung!GU58="",$C58,IF(ISNUMBER(Planung!GU58),Planung!GU58,IF(UPPER(Planung!GU58)="H",$C58/2,0)))))))</f>
        <v>0</v>
      </c>
      <c r="GV58" s="27">
        <f>IF($A58="",0,IF(Mitarbeiter!$G$56=FALSE,0,IF(AND(Mitarbeiter!$E$56&lt;&gt;"",GV$5+6&lt;Mitarbeiter!$E$56),0,IF(AND(Mitarbeiter!$F$56&lt;&gt;"",GV$5&gt;Mitarbeiter!$F$56),0,IF(Planung!GV58="",$C58,IF(ISNUMBER(Planung!GV58),Planung!GV58,IF(UPPER(Planung!GV58)="H",$C58/2,0)))))))</f>
        <v>0</v>
      </c>
      <c r="GW58" s="27">
        <f>IF($A58="",0,IF(Mitarbeiter!$G$56=FALSE,0,IF(AND(Mitarbeiter!$E$56&lt;&gt;"",GW$5+6&lt;Mitarbeiter!$E$56),0,IF(AND(Mitarbeiter!$F$56&lt;&gt;"",GW$5&gt;Mitarbeiter!$F$56),0,IF(Planung!GW58="",$C58,IF(ISNUMBER(Planung!GW58),Planung!GW58,IF(UPPER(Planung!GW58)="H",$C58/2,0)))))))</f>
        <v>0</v>
      </c>
      <c r="GX58" s="27">
        <f>IF($A58="",0,IF(Mitarbeiter!$G$56=FALSE,0,IF(AND(Mitarbeiter!$E$56&lt;&gt;"",GX$5+6&lt;Mitarbeiter!$E$56),0,IF(AND(Mitarbeiter!$F$56&lt;&gt;"",GX$5&gt;Mitarbeiter!$F$56),0,IF(Planung!GX58="",$C58,IF(ISNUMBER(Planung!GX58),Planung!GX58,IF(UPPER(Planung!GX58)="H",$C58/2,0)))))))</f>
        <v>0</v>
      </c>
      <c r="GY58" s="27">
        <f>IF($A58="",0,IF(Mitarbeiter!$G$56=FALSE,0,IF(AND(Mitarbeiter!$E$56&lt;&gt;"",GY$5+6&lt;Mitarbeiter!$E$56),0,IF(AND(Mitarbeiter!$F$56&lt;&gt;"",GY$5&gt;Mitarbeiter!$F$56),0,IF(Planung!GY58="",$C58,IF(ISNUMBER(Planung!GY58),Planung!GY58,IF(UPPER(Planung!GY58)="H",$C58/2,0)))))))</f>
        <v>0</v>
      </c>
      <c r="GZ58" s="27">
        <f>IF($A58="",0,IF(Mitarbeiter!$G$56=FALSE,0,IF(AND(Mitarbeiter!$E$56&lt;&gt;"",GZ$5+6&lt;Mitarbeiter!$E$56),0,IF(AND(Mitarbeiter!$F$56&lt;&gt;"",GZ$5&gt;Mitarbeiter!$F$56),0,IF(Planung!GZ58="",$C58,IF(ISNUMBER(Planung!GZ58),Planung!GZ58,IF(UPPER(Planung!GZ58)="H",$C58/2,0)))))))</f>
        <v>0</v>
      </c>
      <c r="HA58" s="27">
        <f>IF($A58="",0,IF(Mitarbeiter!$G$56=FALSE,0,IF(AND(Mitarbeiter!$E$56&lt;&gt;"",HA$5+6&lt;Mitarbeiter!$E$56),0,IF(AND(Mitarbeiter!$F$56&lt;&gt;"",HA$5&gt;Mitarbeiter!$F$56),0,IF(Planung!HA58="",$C58,IF(ISNUMBER(Planung!HA58),Planung!HA58,IF(UPPER(Planung!HA58)="H",$C58/2,0)))))))</f>
        <v>0</v>
      </c>
      <c r="HB58" s="27">
        <f>IF($A58="",0,IF(Mitarbeiter!$G$56=FALSE,0,IF(AND(Mitarbeiter!$E$56&lt;&gt;"",HB$5+6&lt;Mitarbeiter!$E$56),0,IF(AND(Mitarbeiter!$F$56&lt;&gt;"",HB$5&gt;Mitarbeiter!$F$56),0,IF(Planung!HB58="",$C58,IF(ISNUMBER(Planung!HB58),Planung!HB58,IF(UPPER(Planung!HB58)="H",$C58/2,0)))))))</f>
        <v>0</v>
      </c>
      <c r="HC58" s="27">
        <f>IF($A58="",0,IF(Mitarbeiter!$G$56=FALSE,0,IF(AND(Mitarbeiter!$E$56&lt;&gt;"",HC$5+6&lt;Mitarbeiter!$E$56),0,IF(AND(Mitarbeiter!$F$56&lt;&gt;"",HC$5&gt;Mitarbeiter!$F$56),0,IF(Planung!HC58="",$C58,IF(ISNUMBER(Planung!HC58),Planung!HC58,IF(UPPER(Planung!HC58)="H",$C58/2,0)))))))</f>
        <v>0</v>
      </c>
      <c r="HD58" s="27">
        <f>IF($A58="",0,IF(Mitarbeiter!$G$56=FALSE,0,IF(AND(Mitarbeiter!$E$56&lt;&gt;"",HD$5+6&lt;Mitarbeiter!$E$56),0,IF(AND(Mitarbeiter!$F$56&lt;&gt;"",HD$5&gt;Mitarbeiter!$F$56),0,IF(Planung!HD58="",$C58,IF(ISNUMBER(Planung!HD58),Planung!HD58,IF(UPPER(Planung!HD58)="H",$C58/2,0)))))))</f>
        <v>0</v>
      </c>
      <c r="HE58" s="27">
        <f>IF($A58="",0,IF(Mitarbeiter!$G$56=FALSE,0,IF(AND(Mitarbeiter!$E$56&lt;&gt;"",HE$5+6&lt;Mitarbeiter!$E$56),0,IF(AND(Mitarbeiter!$F$56&lt;&gt;"",HE$5&gt;Mitarbeiter!$F$56),0,IF(Planung!HE58="",$C58,IF(ISNUMBER(Planung!HE58),Planung!HE58,IF(UPPER(Planung!HE58)="H",$C58/2,0)))))))</f>
        <v>0</v>
      </c>
      <c r="HF58" s="27">
        <f>IF($A58="",0,IF(Mitarbeiter!$G$56=FALSE,0,IF(AND(Mitarbeiter!$E$56&lt;&gt;"",HF$5+6&lt;Mitarbeiter!$E$56),0,IF(AND(Mitarbeiter!$F$56&lt;&gt;"",HF$5&gt;Mitarbeiter!$F$56),0,IF(Planung!HF58="",$C58,IF(ISNUMBER(Planung!HF58),Planung!HF58,IF(UPPER(Planung!HF58)="H",$C58/2,0)))))))</f>
        <v>0</v>
      </c>
      <c r="HG58" s="27">
        <f>IF($A58="",0,IF(Mitarbeiter!$G$56=FALSE,0,IF(AND(Mitarbeiter!$E$56&lt;&gt;"",HG$5+6&lt;Mitarbeiter!$E$56),0,IF(AND(Mitarbeiter!$F$56&lt;&gt;"",HG$5&gt;Mitarbeiter!$F$56),0,IF(Planung!HG58="",$C58,IF(ISNUMBER(Planung!HG58),Planung!HG58,IF(UPPER(Planung!HG58)="H",$C58/2,0)))))))</f>
        <v>0</v>
      </c>
      <c r="HH58" s="27">
        <f>IF($A58="",0,IF(Mitarbeiter!$G$56=FALSE,0,IF(AND(Mitarbeiter!$E$56&lt;&gt;"",HH$5+6&lt;Mitarbeiter!$E$56),0,IF(AND(Mitarbeiter!$F$56&lt;&gt;"",HH$5&gt;Mitarbeiter!$F$56),0,IF(Planung!HH58="",$C58,IF(ISNUMBER(Planung!HH58),Planung!HH58,IF(UPPER(Planung!HH58)="H",$C58/2,0)))))))</f>
        <v>0</v>
      </c>
      <c r="HI58" s="27">
        <f>IF($A58="",0,IF(Mitarbeiter!$G$56=FALSE,0,IF(AND(Mitarbeiter!$E$56&lt;&gt;"",HI$5+6&lt;Mitarbeiter!$E$56),0,IF(AND(Mitarbeiter!$F$56&lt;&gt;"",HI$5&gt;Mitarbeiter!$F$56),0,IF(Planung!HI58="",$C58,IF(ISNUMBER(Planung!HI58),Planung!HI58,IF(UPPER(Planung!HI58)="H",$C58/2,0)))))))</f>
        <v>0</v>
      </c>
      <c r="HJ58" s="27">
        <f>IF($A58="",0,IF(Mitarbeiter!$G$56=FALSE,0,IF(AND(Mitarbeiter!$E$56&lt;&gt;"",HJ$5+6&lt;Mitarbeiter!$E$56),0,IF(AND(Mitarbeiter!$F$56&lt;&gt;"",HJ$5&gt;Mitarbeiter!$F$56),0,IF(Planung!HJ58="",$C58,IF(ISNUMBER(Planung!HJ58),Planung!HJ58,IF(UPPER(Planung!HJ58)="H",$C58/2,0)))))))</f>
        <v>0</v>
      </c>
      <c r="HK58" s="27">
        <f>IF($A58="",0,IF(Mitarbeiter!$G$56=FALSE,0,IF(AND(Mitarbeiter!$E$56&lt;&gt;"",HK$5+6&lt;Mitarbeiter!$E$56),0,IF(AND(Mitarbeiter!$F$56&lt;&gt;"",HK$5&gt;Mitarbeiter!$F$56),0,IF(Planung!HK58="",$C58,IF(ISNUMBER(Planung!HK58),Planung!HK58,IF(UPPER(Planung!HK58)="H",$C58/2,0)))))))</f>
        <v>0</v>
      </c>
      <c r="HL58" s="27">
        <f>IF($A58="",0,IF(Mitarbeiter!$G$56=FALSE,0,IF(AND(Mitarbeiter!$E$56&lt;&gt;"",HL$5+6&lt;Mitarbeiter!$E$56),0,IF(AND(Mitarbeiter!$F$56&lt;&gt;"",HL$5&gt;Mitarbeiter!$F$56),0,IF(Planung!HL58="",$C58,IF(ISNUMBER(Planung!HL58),Planung!HL58,IF(UPPER(Planung!HL58)="H",$C58/2,0)))))))</f>
        <v>0</v>
      </c>
      <c r="HM58" s="27">
        <f>IF($A58="",0,IF(Mitarbeiter!$G$56=FALSE,0,IF(AND(Mitarbeiter!$E$56&lt;&gt;"",HM$5+6&lt;Mitarbeiter!$E$56),0,IF(AND(Mitarbeiter!$F$56&lt;&gt;"",HM$5&gt;Mitarbeiter!$F$56),0,IF(Planung!HM58="",$C58,IF(ISNUMBER(Planung!HM58),Planung!HM58,IF(UPPER(Planung!HM58)="H",$C58/2,0)))))))</f>
        <v>0</v>
      </c>
      <c r="HN58" s="27">
        <f>IF($A58="",0,IF(Mitarbeiter!$G$56=FALSE,0,IF(AND(Mitarbeiter!$E$56&lt;&gt;"",HN$5+6&lt;Mitarbeiter!$E$56),0,IF(AND(Mitarbeiter!$F$56&lt;&gt;"",HN$5&gt;Mitarbeiter!$F$56),0,IF(Planung!HN58="",$C58,IF(ISNUMBER(Planung!HN58),Planung!HN58,IF(UPPER(Planung!HN58)="H",$C58/2,0)))))))</f>
        <v>0</v>
      </c>
      <c r="HO58" s="27">
        <f>IF($A58="",0,IF(Mitarbeiter!$G$56=FALSE,0,IF(AND(Mitarbeiter!$E$56&lt;&gt;"",HO$5+6&lt;Mitarbeiter!$E$56),0,IF(AND(Mitarbeiter!$F$56&lt;&gt;"",HO$5&gt;Mitarbeiter!$F$56),0,IF(Planung!HO58="",$C58,IF(ISNUMBER(Planung!HO58),Planung!HO58,IF(UPPER(Planung!HO58)="H",$C58/2,0)))))))</f>
        <v>0</v>
      </c>
      <c r="HP58" s="27">
        <f>IF($A58="",0,IF(Mitarbeiter!$G$56=FALSE,0,IF(AND(Mitarbeiter!$E$56&lt;&gt;"",HP$5+6&lt;Mitarbeiter!$E$56),0,IF(AND(Mitarbeiter!$F$56&lt;&gt;"",HP$5&gt;Mitarbeiter!$F$56),0,IF(Planung!HP58="",$C58,IF(ISNUMBER(Planung!HP58),Planung!HP58,IF(UPPER(Planung!HP58)="H",$C58/2,0)))))))</f>
        <v>0</v>
      </c>
      <c r="HQ58" s="27">
        <f>IF($A58="",0,IF(Mitarbeiter!$G$56=FALSE,0,IF(AND(Mitarbeiter!$E$56&lt;&gt;"",HQ$5+6&lt;Mitarbeiter!$E$56),0,IF(AND(Mitarbeiter!$F$56&lt;&gt;"",HQ$5&gt;Mitarbeiter!$F$56),0,IF(Planung!HQ58="",$C58,IF(ISNUMBER(Planung!HQ58),Planung!HQ58,IF(UPPER(Planung!HQ58)="H",$C58/2,0)))))))</f>
        <v>0</v>
      </c>
      <c r="HR58" s="27">
        <f>IF($A58="",0,IF(Mitarbeiter!$G$56=FALSE,0,IF(AND(Mitarbeiter!$E$56&lt;&gt;"",HR$5+6&lt;Mitarbeiter!$E$56),0,IF(AND(Mitarbeiter!$F$56&lt;&gt;"",HR$5&gt;Mitarbeiter!$F$56),0,IF(Planung!HR58="",$C58,IF(ISNUMBER(Planung!HR58),Planung!HR58,IF(UPPER(Planung!HR58)="H",$C58/2,0)))))))</f>
        <v>0</v>
      </c>
      <c r="HS58" s="27">
        <f>IF($A58="",0,IF(Mitarbeiter!$G$56=FALSE,0,IF(AND(Mitarbeiter!$E$56&lt;&gt;"",HS$5+6&lt;Mitarbeiter!$E$56),0,IF(AND(Mitarbeiter!$F$56&lt;&gt;"",HS$5&gt;Mitarbeiter!$F$56),0,IF(Planung!HS58="",$C58,IF(ISNUMBER(Planung!HS58),Planung!HS58,IF(UPPER(Planung!HS58)="H",$C58/2,0)))))))</f>
        <v>0</v>
      </c>
      <c r="HT58" s="27">
        <f>IF($A58="",0,IF(Mitarbeiter!$G$56=FALSE,0,IF(AND(Mitarbeiter!$E$56&lt;&gt;"",HT$5+6&lt;Mitarbeiter!$E$56),0,IF(AND(Mitarbeiter!$F$56&lt;&gt;"",HT$5&gt;Mitarbeiter!$F$56),0,IF(Planung!HT58="",$C58,IF(ISNUMBER(Planung!HT58),Planung!HT58,IF(UPPER(Planung!HT58)="H",$C58/2,0)))))))</f>
        <v>0</v>
      </c>
      <c r="HU58" s="27">
        <f>IF($A58="",0,IF(Mitarbeiter!$G$56=FALSE,0,IF(AND(Mitarbeiter!$E$56&lt;&gt;"",HU$5+6&lt;Mitarbeiter!$E$56),0,IF(AND(Mitarbeiter!$F$56&lt;&gt;"",HU$5&gt;Mitarbeiter!$F$56),0,IF(Planung!HU58="",$C58,IF(ISNUMBER(Planung!HU58),Planung!HU58,IF(UPPER(Planung!HU58)="H",$C58/2,0)))))))</f>
        <v>0</v>
      </c>
      <c r="HV58" s="27">
        <f>IF($A58="",0,IF(Mitarbeiter!$G$56=FALSE,0,IF(AND(Mitarbeiter!$E$56&lt;&gt;"",HV$5+6&lt;Mitarbeiter!$E$56),0,IF(AND(Mitarbeiter!$F$56&lt;&gt;"",HV$5&gt;Mitarbeiter!$F$56),0,IF(Planung!HV58="",$C58,IF(ISNUMBER(Planung!HV58),Planung!HV58,IF(UPPER(Planung!HV58)="H",$C58/2,0)))))))</f>
        <v>0</v>
      </c>
      <c r="HW58" s="27">
        <f>IF($A58="",0,IF(Mitarbeiter!$G$56=FALSE,0,IF(AND(Mitarbeiter!$E$56&lt;&gt;"",HW$5+6&lt;Mitarbeiter!$E$56),0,IF(AND(Mitarbeiter!$F$56&lt;&gt;"",HW$5&gt;Mitarbeiter!$F$56),0,IF(Planung!HW58="",$C58,IF(ISNUMBER(Planung!HW58),Planung!HW58,IF(UPPER(Planung!HW58)="H",$C58/2,0)))))))</f>
        <v>0</v>
      </c>
      <c r="HX58" s="27">
        <f>IF($A58="",0,IF(Mitarbeiter!$G$56=FALSE,0,IF(AND(Mitarbeiter!$E$56&lt;&gt;"",HX$5+6&lt;Mitarbeiter!$E$56),0,IF(AND(Mitarbeiter!$F$56&lt;&gt;"",HX$5&gt;Mitarbeiter!$F$56),0,IF(Planung!HX58="",$C58,IF(ISNUMBER(Planung!HX58),Planung!HX58,IF(UPPER(Planung!HX58)="H",$C58/2,0)))))))</f>
        <v>0</v>
      </c>
      <c r="HY58" s="27">
        <f>IF($A58="",0,IF(Mitarbeiter!$G$56=FALSE,0,IF(AND(Mitarbeiter!$E$56&lt;&gt;"",HY$5+6&lt;Mitarbeiter!$E$56),0,IF(AND(Mitarbeiter!$F$56&lt;&gt;"",HY$5&gt;Mitarbeiter!$F$56),0,IF(Planung!HY58="",$C58,IF(ISNUMBER(Planung!HY58),Planung!HY58,IF(UPPER(Planung!HY58)="H",$C58/2,0)))))))</f>
        <v>0</v>
      </c>
      <c r="HZ58" s="27">
        <f>IF($A58="",0,IF(Mitarbeiter!$G$56=FALSE,0,IF(AND(Mitarbeiter!$E$56&lt;&gt;"",HZ$5+6&lt;Mitarbeiter!$E$56),0,IF(AND(Mitarbeiter!$F$56&lt;&gt;"",HZ$5&gt;Mitarbeiter!$F$56),0,IF(Planung!HZ58="",$C58,IF(ISNUMBER(Planung!HZ58),Planung!HZ58,IF(UPPER(Planung!HZ58)="H",$C58/2,0)))))))</f>
        <v>0</v>
      </c>
      <c r="IA58" s="27">
        <f>IF($A58="",0,IF(Mitarbeiter!$G$56=FALSE,0,IF(AND(Mitarbeiter!$E$56&lt;&gt;"",IA$5+6&lt;Mitarbeiter!$E$56),0,IF(AND(Mitarbeiter!$F$56&lt;&gt;"",IA$5&gt;Mitarbeiter!$F$56),0,IF(Planung!IA58="",$C58,IF(ISNUMBER(Planung!IA58),Planung!IA58,IF(UPPER(Planung!IA58)="H",$C58/2,0)))))))</f>
        <v>0</v>
      </c>
    </row>
    <row r="59" spans="1:235" x14ac:dyDescent="0.25">
      <c r="A59" s="7" t="str">
        <f>Planung!A59</f>
        <v/>
      </c>
      <c r="B59" s="7" t="str">
        <f>Planung!B59</f>
        <v/>
      </c>
      <c r="C59" s="27">
        <f>N(Mitarbeiter!$D$57)</f>
        <v>0</v>
      </c>
      <c r="D59" s="27">
        <f>IF($A59="",0,IF(Mitarbeiter!$G$57=FALSE,0,IF(AND(Mitarbeiter!$E$57&lt;&gt;"",D$5+6&lt;Mitarbeiter!$E$57),0,IF(AND(Mitarbeiter!$F$57&lt;&gt;"",D$5&gt;Mitarbeiter!$F$57),0,IF(Planung!D59="",$C59,IF(ISNUMBER(Planung!D59),Planung!D59,IF(UPPER(Planung!D59)="H",$C59/2,0)))))))</f>
        <v>0</v>
      </c>
      <c r="E59" s="27">
        <f>IF($A59="",0,IF(Mitarbeiter!$G$57=FALSE,0,IF(AND(Mitarbeiter!$E$57&lt;&gt;"",E$5+6&lt;Mitarbeiter!$E$57),0,IF(AND(Mitarbeiter!$F$57&lt;&gt;"",E$5&gt;Mitarbeiter!$F$57),0,IF(Planung!E59="",$C59,IF(ISNUMBER(Planung!E59),Planung!E59,IF(UPPER(Planung!E59)="H",$C59/2,0)))))))</f>
        <v>0</v>
      </c>
      <c r="F59" s="27">
        <f>IF($A59="",0,IF(Mitarbeiter!$G$57=FALSE,0,IF(AND(Mitarbeiter!$E$57&lt;&gt;"",F$5+6&lt;Mitarbeiter!$E$57),0,IF(AND(Mitarbeiter!$F$57&lt;&gt;"",F$5&gt;Mitarbeiter!$F$57),0,IF(Planung!F59="",$C59,IF(ISNUMBER(Planung!F59),Planung!F59,IF(UPPER(Planung!F59)="H",$C59/2,0)))))))</f>
        <v>0</v>
      </c>
      <c r="G59" s="27">
        <f>IF($A59="",0,IF(Mitarbeiter!$G$57=FALSE,0,IF(AND(Mitarbeiter!$E$57&lt;&gt;"",G$5+6&lt;Mitarbeiter!$E$57),0,IF(AND(Mitarbeiter!$F$57&lt;&gt;"",G$5&gt;Mitarbeiter!$F$57),0,IF(Planung!G59="",$C59,IF(ISNUMBER(Planung!G59),Planung!G59,IF(UPPER(Planung!G59)="H",$C59/2,0)))))))</f>
        <v>0</v>
      </c>
      <c r="H59" s="27">
        <f>IF($A59="",0,IF(Mitarbeiter!$G$57=FALSE,0,IF(AND(Mitarbeiter!$E$57&lt;&gt;"",H$5+6&lt;Mitarbeiter!$E$57),0,IF(AND(Mitarbeiter!$F$57&lt;&gt;"",H$5&gt;Mitarbeiter!$F$57),0,IF(Planung!H59="",$C59,IF(ISNUMBER(Planung!H59),Planung!H59,IF(UPPER(Planung!H59)="H",$C59/2,0)))))))</f>
        <v>0</v>
      </c>
      <c r="I59" s="27">
        <f>IF($A59="",0,IF(Mitarbeiter!$G$57=FALSE,0,IF(AND(Mitarbeiter!$E$57&lt;&gt;"",I$5+6&lt;Mitarbeiter!$E$57),0,IF(AND(Mitarbeiter!$F$57&lt;&gt;"",I$5&gt;Mitarbeiter!$F$57),0,IF(Planung!I59="",$C59,IF(ISNUMBER(Planung!I59),Planung!I59,IF(UPPER(Planung!I59)="H",$C59/2,0)))))))</f>
        <v>0</v>
      </c>
      <c r="J59" s="27">
        <f>IF($A59="",0,IF(Mitarbeiter!$G$57=FALSE,0,IF(AND(Mitarbeiter!$E$57&lt;&gt;"",J$5+6&lt;Mitarbeiter!$E$57),0,IF(AND(Mitarbeiter!$F$57&lt;&gt;"",J$5&gt;Mitarbeiter!$F$57),0,IF(Planung!J59="",$C59,IF(ISNUMBER(Planung!J59),Planung!J59,IF(UPPER(Planung!J59)="H",$C59/2,0)))))))</f>
        <v>0</v>
      </c>
      <c r="K59" s="27">
        <f>IF($A59="",0,IF(Mitarbeiter!$G$57=FALSE,0,IF(AND(Mitarbeiter!$E$57&lt;&gt;"",K$5+6&lt;Mitarbeiter!$E$57),0,IF(AND(Mitarbeiter!$F$57&lt;&gt;"",K$5&gt;Mitarbeiter!$F$57),0,IF(Planung!K59="",$C59,IF(ISNUMBER(Planung!K59),Planung!K59,IF(UPPER(Planung!K59)="H",$C59/2,0)))))))</f>
        <v>0</v>
      </c>
      <c r="L59" s="27">
        <f>IF($A59="",0,IF(Mitarbeiter!$G$57=FALSE,0,IF(AND(Mitarbeiter!$E$57&lt;&gt;"",L$5+6&lt;Mitarbeiter!$E$57),0,IF(AND(Mitarbeiter!$F$57&lt;&gt;"",L$5&gt;Mitarbeiter!$F$57),0,IF(Planung!L59="",$C59,IF(ISNUMBER(Planung!L59),Planung!L59,IF(UPPER(Planung!L59)="H",$C59/2,0)))))))</f>
        <v>0</v>
      </c>
      <c r="M59" s="27">
        <f>IF($A59="",0,IF(Mitarbeiter!$G$57=FALSE,0,IF(AND(Mitarbeiter!$E$57&lt;&gt;"",M$5+6&lt;Mitarbeiter!$E$57),0,IF(AND(Mitarbeiter!$F$57&lt;&gt;"",M$5&gt;Mitarbeiter!$F$57),0,IF(Planung!M59="",$C59,IF(ISNUMBER(Planung!M59),Planung!M59,IF(UPPER(Planung!M59)="H",$C59/2,0)))))))</f>
        <v>0</v>
      </c>
      <c r="N59" s="27">
        <f>IF($A59="",0,IF(Mitarbeiter!$G$57=FALSE,0,IF(AND(Mitarbeiter!$E$57&lt;&gt;"",N$5+6&lt;Mitarbeiter!$E$57),0,IF(AND(Mitarbeiter!$F$57&lt;&gt;"",N$5&gt;Mitarbeiter!$F$57),0,IF(Planung!N59="",$C59,IF(ISNUMBER(Planung!N59),Planung!N59,IF(UPPER(Planung!N59)="H",$C59/2,0)))))))</f>
        <v>0</v>
      </c>
      <c r="O59" s="27">
        <f>IF($A59="",0,IF(Mitarbeiter!$G$57=FALSE,0,IF(AND(Mitarbeiter!$E$57&lt;&gt;"",O$5+6&lt;Mitarbeiter!$E$57),0,IF(AND(Mitarbeiter!$F$57&lt;&gt;"",O$5&gt;Mitarbeiter!$F$57),0,IF(Planung!O59="",$C59,IF(ISNUMBER(Planung!O59),Planung!O59,IF(UPPER(Planung!O59)="H",$C59/2,0)))))))</f>
        <v>0</v>
      </c>
      <c r="P59" s="27">
        <f>IF($A59="",0,IF(Mitarbeiter!$G$57=FALSE,0,IF(AND(Mitarbeiter!$E$57&lt;&gt;"",P$5+6&lt;Mitarbeiter!$E$57),0,IF(AND(Mitarbeiter!$F$57&lt;&gt;"",P$5&gt;Mitarbeiter!$F$57),0,IF(Planung!P59="",$C59,IF(ISNUMBER(Planung!P59),Planung!P59,IF(UPPER(Planung!P59)="H",$C59/2,0)))))))</f>
        <v>0</v>
      </c>
      <c r="Q59" s="27">
        <f>IF($A59="",0,IF(Mitarbeiter!$G$57=FALSE,0,IF(AND(Mitarbeiter!$E$57&lt;&gt;"",Q$5+6&lt;Mitarbeiter!$E$57),0,IF(AND(Mitarbeiter!$F$57&lt;&gt;"",Q$5&gt;Mitarbeiter!$F$57),0,IF(Planung!Q59="",$C59,IF(ISNUMBER(Planung!Q59),Planung!Q59,IF(UPPER(Planung!Q59)="H",$C59/2,0)))))))</f>
        <v>0</v>
      </c>
      <c r="R59" s="27">
        <f>IF($A59="",0,IF(Mitarbeiter!$G$57=FALSE,0,IF(AND(Mitarbeiter!$E$57&lt;&gt;"",R$5+6&lt;Mitarbeiter!$E$57),0,IF(AND(Mitarbeiter!$F$57&lt;&gt;"",R$5&gt;Mitarbeiter!$F$57),0,IF(Planung!R59="",$C59,IF(ISNUMBER(Planung!R59),Planung!R59,IF(UPPER(Planung!R59)="H",$C59/2,0)))))))</f>
        <v>0</v>
      </c>
      <c r="S59" s="27">
        <f>IF($A59="",0,IF(Mitarbeiter!$G$57=FALSE,0,IF(AND(Mitarbeiter!$E$57&lt;&gt;"",S$5+6&lt;Mitarbeiter!$E$57),0,IF(AND(Mitarbeiter!$F$57&lt;&gt;"",S$5&gt;Mitarbeiter!$F$57),0,IF(Planung!S59="",$C59,IF(ISNUMBER(Planung!S59),Planung!S59,IF(UPPER(Planung!S59)="H",$C59/2,0)))))))</f>
        <v>0</v>
      </c>
      <c r="T59" s="27">
        <f>IF($A59="",0,IF(Mitarbeiter!$G$57=FALSE,0,IF(AND(Mitarbeiter!$E$57&lt;&gt;"",T$5+6&lt;Mitarbeiter!$E$57),0,IF(AND(Mitarbeiter!$F$57&lt;&gt;"",T$5&gt;Mitarbeiter!$F$57),0,IF(Planung!T59="",$C59,IF(ISNUMBER(Planung!T59),Planung!T59,IF(UPPER(Planung!T59)="H",$C59/2,0)))))))</f>
        <v>0</v>
      </c>
      <c r="U59" s="27">
        <f>IF($A59="",0,IF(Mitarbeiter!$G$57=FALSE,0,IF(AND(Mitarbeiter!$E$57&lt;&gt;"",U$5+6&lt;Mitarbeiter!$E$57),0,IF(AND(Mitarbeiter!$F$57&lt;&gt;"",U$5&gt;Mitarbeiter!$F$57),0,IF(Planung!U59="",$C59,IF(ISNUMBER(Planung!U59),Planung!U59,IF(UPPER(Planung!U59)="H",$C59/2,0)))))))</f>
        <v>0</v>
      </c>
      <c r="V59" s="27">
        <f>IF($A59="",0,IF(Mitarbeiter!$G$57=FALSE,0,IF(AND(Mitarbeiter!$E$57&lt;&gt;"",V$5+6&lt;Mitarbeiter!$E$57),0,IF(AND(Mitarbeiter!$F$57&lt;&gt;"",V$5&gt;Mitarbeiter!$F$57),0,IF(Planung!V59="",$C59,IF(ISNUMBER(Planung!V59),Planung!V59,IF(UPPER(Planung!V59)="H",$C59/2,0)))))))</f>
        <v>0</v>
      </c>
      <c r="W59" s="27">
        <f>IF($A59="",0,IF(Mitarbeiter!$G$57=FALSE,0,IF(AND(Mitarbeiter!$E$57&lt;&gt;"",W$5+6&lt;Mitarbeiter!$E$57),0,IF(AND(Mitarbeiter!$F$57&lt;&gt;"",W$5&gt;Mitarbeiter!$F$57),0,IF(Planung!W59="",$C59,IF(ISNUMBER(Planung!W59),Planung!W59,IF(UPPER(Planung!W59)="H",$C59/2,0)))))))</f>
        <v>0</v>
      </c>
      <c r="X59" s="27">
        <f>IF($A59="",0,IF(Mitarbeiter!$G$57=FALSE,0,IF(AND(Mitarbeiter!$E$57&lt;&gt;"",X$5+6&lt;Mitarbeiter!$E$57),0,IF(AND(Mitarbeiter!$F$57&lt;&gt;"",X$5&gt;Mitarbeiter!$F$57),0,IF(Planung!X59="",$C59,IF(ISNUMBER(Planung!X59),Planung!X59,IF(UPPER(Planung!X59)="H",$C59/2,0)))))))</f>
        <v>0</v>
      </c>
      <c r="Y59" s="27">
        <f>IF($A59="",0,IF(Mitarbeiter!$G$57=FALSE,0,IF(AND(Mitarbeiter!$E$57&lt;&gt;"",Y$5+6&lt;Mitarbeiter!$E$57),0,IF(AND(Mitarbeiter!$F$57&lt;&gt;"",Y$5&gt;Mitarbeiter!$F$57),0,IF(Planung!Y59="",$C59,IF(ISNUMBER(Planung!Y59),Planung!Y59,IF(UPPER(Planung!Y59)="H",$C59/2,0)))))))</f>
        <v>0</v>
      </c>
      <c r="Z59" s="27">
        <f>IF($A59="",0,IF(Mitarbeiter!$G$57=FALSE,0,IF(AND(Mitarbeiter!$E$57&lt;&gt;"",Z$5+6&lt;Mitarbeiter!$E$57),0,IF(AND(Mitarbeiter!$F$57&lt;&gt;"",Z$5&gt;Mitarbeiter!$F$57),0,IF(Planung!Z59="",$C59,IF(ISNUMBER(Planung!Z59),Planung!Z59,IF(UPPER(Planung!Z59)="H",$C59/2,0)))))))</f>
        <v>0</v>
      </c>
      <c r="AA59" s="27">
        <f>IF($A59="",0,IF(Mitarbeiter!$G$57=FALSE,0,IF(AND(Mitarbeiter!$E$57&lt;&gt;"",AA$5+6&lt;Mitarbeiter!$E$57),0,IF(AND(Mitarbeiter!$F$57&lt;&gt;"",AA$5&gt;Mitarbeiter!$F$57),0,IF(Planung!AA59="",$C59,IF(ISNUMBER(Planung!AA59),Planung!AA59,IF(UPPER(Planung!AA59)="H",$C59/2,0)))))))</f>
        <v>0</v>
      </c>
      <c r="AB59" s="27">
        <f>IF($A59="",0,IF(Mitarbeiter!$G$57=FALSE,0,IF(AND(Mitarbeiter!$E$57&lt;&gt;"",AB$5+6&lt;Mitarbeiter!$E$57),0,IF(AND(Mitarbeiter!$F$57&lt;&gt;"",AB$5&gt;Mitarbeiter!$F$57),0,IF(Planung!AB59="",$C59,IF(ISNUMBER(Planung!AB59),Planung!AB59,IF(UPPER(Planung!AB59)="H",$C59/2,0)))))))</f>
        <v>0</v>
      </c>
      <c r="AC59" s="27">
        <f>IF($A59="",0,IF(Mitarbeiter!$G$57=FALSE,0,IF(AND(Mitarbeiter!$E$57&lt;&gt;"",AC$5+6&lt;Mitarbeiter!$E$57),0,IF(AND(Mitarbeiter!$F$57&lt;&gt;"",AC$5&gt;Mitarbeiter!$F$57),0,IF(Planung!AC59="",$C59,IF(ISNUMBER(Planung!AC59),Planung!AC59,IF(UPPER(Planung!AC59)="H",$C59/2,0)))))))</f>
        <v>0</v>
      </c>
      <c r="AD59" s="27">
        <f>IF($A59="",0,IF(Mitarbeiter!$G$57=FALSE,0,IF(AND(Mitarbeiter!$E$57&lt;&gt;"",AD$5+6&lt;Mitarbeiter!$E$57),0,IF(AND(Mitarbeiter!$F$57&lt;&gt;"",AD$5&gt;Mitarbeiter!$F$57),0,IF(Planung!AD59="",$C59,IF(ISNUMBER(Planung!AD59),Planung!AD59,IF(UPPER(Planung!AD59)="H",$C59/2,0)))))))</f>
        <v>0</v>
      </c>
      <c r="AE59" s="27">
        <f>IF($A59="",0,IF(Mitarbeiter!$G$57=FALSE,0,IF(AND(Mitarbeiter!$E$57&lt;&gt;"",AE$5+6&lt;Mitarbeiter!$E$57),0,IF(AND(Mitarbeiter!$F$57&lt;&gt;"",AE$5&gt;Mitarbeiter!$F$57),0,IF(Planung!AE59="",$C59,IF(ISNUMBER(Planung!AE59),Planung!AE59,IF(UPPER(Planung!AE59)="H",$C59/2,0)))))))</f>
        <v>0</v>
      </c>
      <c r="AF59" s="27">
        <f>IF($A59="",0,IF(Mitarbeiter!$G$57=FALSE,0,IF(AND(Mitarbeiter!$E$57&lt;&gt;"",AF$5+6&lt;Mitarbeiter!$E$57),0,IF(AND(Mitarbeiter!$F$57&lt;&gt;"",AF$5&gt;Mitarbeiter!$F$57),0,IF(Planung!AF59="",$C59,IF(ISNUMBER(Planung!AF59),Planung!AF59,IF(UPPER(Planung!AF59)="H",$C59/2,0)))))))</f>
        <v>0</v>
      </c>
      <c r="AG59" s="27">
        <f>IF($A59="",0,IF(Mitarbeiter!$G$57=FALSE,0,IF(AND(Mitarbeiter!$E$57&lt;&gt;"",AG$5+6&lt;Mitarbeiter!$E$57),0,IF(AND(Mitarbeiter!$F$57&lt;&gt;"",AG$5&gt;Mitarbeiter!$F$57),0,IF(Planung!AG59="",$C59,IF(ISNUMBER(Planung!AG59),Planung!AG59,IF(UPPER(Planung!AG59)="H",$C59/2,0)))))))</f>
        <v>0</v>
      </c>
      <c r="AH59" s="27">
        <f>IF($A59="",0,IF(Mitarbeiter!$G$57=FALSE,0,IF(AND(Mitarbeiter!$E$57&lt;&gt;"",AH$5+6&lt;Mitarbeiter!$E$57),0,IF(AND(Mitarbeiter!$F$57&lt;&gt;"",AH$5&gt;Mitarbeiter!$F$57),0,IF(Planung!AH59="",$C59,IF(ISNUMBER(Planung!AH59),Planung!AH59,IF(UPPER(Planung!AH59)="H",$C59/2,0)))))))</f>
        <v>0</v>
      </c>
      <c r="AI59" s="27">
        <f>IF($A59="",0,IF(Mitarbeiter!$G$57=FALSE,0,IF(AND(Mitarbeiter!$E$57&lt;&gt;"",AI$5+6&lt;Mitarbeiter!$E$57),0,IF(AND(Mitarbeiter!$F$57&lt;&gt;"",AI$5&gt;Mitarbeiter!$F$57),0,IF(Planung!AI59="",$C59,IF(ISNUMBER(Planung!AI59),Planung!AI59,IF(UPPER(Planung!AI59)="H",$C59/2,0)))))))</f>
        <v>0</v>
      </c>
      <c r="AJ59" s="27">
        <f>IF($A59="",0,IF(Mitarbeiter!$G$57=FALSE,0,IF(AND(Mitarbeiter!$E$57&lt;&gt;"",AJ$5+6&lt;Mitarbeiter!$E$57),0,IF(AND(Mitarbeiter!$F$57&lt;&gt;"",AJ$5&gt;Mitarbeiter!$F$57),0,IF(Planung!AJ59="",$C59,IF(ISNUMBER(Planung!AJ59),Planung!AJ59,IF(UPPER(Planung!AJ59)="H",$C59/2,0)))))))</f>
        <v>0</v>
      </c>
      <c r="AK59" s="27">
        <f>IF($A59="",0,IF(Mitarbeiter!$G$57=FALSE,0,IF(AND(Mitarbeiter!$E$57&lt;&gt;"",AK$5+6&lt;Mitarbeiter!$E$57),0,IF(AND(Mitarbeiter!$F$57&lt;&gt;"",AK$5&gt;Mitarbeiter!$F$57),0,IF(Planung!AK59="",$C59,IF(ISNUMBER(Planung!AK59),Planung!AK59,IF(UPPER(Planung!AK59)="H",$C59/2,0)))))))</f>
        <v>0</v>
      </c>
      <c r="AL59" s="27">
        <f>IF($A59="",0,IF(Mitarbeiter!$G$57=FALSE,0,IF(AND(Mitarbeiter!$E$57&lt;&gt;"",AL$5+6&lt;Mitarbeiter!$E$57),0,IF(AND(Mitarbeiter!$F$57&lt;&gt;"",AL$5&gt;Mitarbeiter!$F$57),0,IF(Planung!AL59="",$C59,IF(ISNUMBER(Planung!AL59),Planung!AL59,IF(UPPER(Planung!AL59)="H",$C59/2,0)))))))</f>
        <v>0</v>
      </c>
      <c r="AM59" s="27">
        <f>IF($A59="",0,IF(Mitarbeiter!$G$57=FALSE,0,IF(AND(Mitarbeiter!$E$57&lt;&gt;"",AM$5+6&lt;Mitarbeiter!$E$57),0,IF(AND(Mitarbeiter!$F$57&lt;&gt;"",AM$5&gt;Mitarbeiter!$F$57),0,IF(Planung!AM59="",$C59,IF(ISNUMBER(Planung!AM59),Planung!AM59,IF(UPPER(Planung!AM59)="H",$C59/2,0)))))))</f>
        <v>0</v>
      </c>
      <c r="AN59" s="27">
        <f>IF($A59="",0,IF(Mitarbeiter!$G$57=FALSE,0,IF(AND(Mitarbeiter!$E$57&lt;&gt;"",AN$5+6&lt;Mitarbeiter!$E$57),0,IF(AND(Mitarbeiter!$F$57&lt;&gt;"",AN$5&gt;Mitarbeiter!$F$57),0,IF(Planung!AN59="",$C59,IF(ISNUMBER(Planung!AN59),Planung!AN59,IF(UPPER(Planung!AN59)="H",$C59/2,0)))))))</f>
        <v>0</v>
      </c>
      <c r="AO59" s="27">
        <f>IF($A59="",0,IF(Mitarbeiter!$G$57=FALSE,0,IF(AND(Mitarbeiter!$E$57&lt;&gt;"",AO$5+6&lt;Mitarbeiter!$E$57),0,IF(AND(Mitarbeiter!$F$57&lt;&gt;"",AO$5&gt;Mitarbeiter!$F$57),0,IF(Planung!AO59="",$C59,IF(ISNUMBER(Planung!AO59),Planung!AO59,IF(UPPER(Planung!AO59)="H",$C59/2,0)))))))</f>
        <v>0</v>
      </c>
      <c r="AP59" s="27">
        <f>IF($A59="",0,IF(Mitarbeiter!$G$57=FALSE,0,IF(AND(Mitarbeiter!$E$57&lt;&gt;"",AP$5+6&lt;Mitarbeiter!$E$57),0,IF(AND(Mitarbeiter!$F$57&lt;&gt;"",AP$5&gt;Mitarbeiter!$F$57),0,IF(Planung!AP59="",$C59,IF(ISNUMBER(Planung!AP59),Planung!AP59,IF(UPPER(Planung!AP59)="H",$C59/2,0)))))))</f>
        <v>0</v>
      </c>
      <c r="AQ59" s="27">
        <f>IF($A59="",0,IF(Mitarbeiter!$G$57=FALSE,0,IF(AND(Mitarbeiter!$E$57&lt;&gt;"",AQ$5+6&lt;Mitarbeiter!$E$57),0,IF(AND(Mitarbeiter!$F$57&lt;&gt;"",AQ$5&gt;Mitarbeiter!$F$57),0,IF(Planung!AQ59="",$C59,IF(ISNUMBER(Planung!AQ59),Planung!AQ59,IF(UPPER(Planung!AQ59)="H",$C59/2,0)))))))</f>
        <v>0</v>
      </c>
      <c r="AR59" s="27">
        <f>IF($A59="",0,IF(Mitarbeiter!$G$57=FALSE,0,IF(AND(Mitarbeiter!$E$57&lt;&gt;"",AR$5+6&lt;Mitarbeiter!$E$57),0,IF(AND(Mitarbeiter!$F$57&lt;&gt;"",AR$5&gt;Mitarbeiter!$F$57),0,IF(Planung!AR59="",$C59,IF(ISNUMBER(Planung!AR59),Planung!AR59,IF(UPPER(Planung!AR59)="H",$C59/2,0)))))))</f>
        <v>0</v>
      </c>
      <c r="AS59" s="27">
        <f>IF($A59="",0,IF(Mitarbeiter!$G$57=FALSE,0,IF(AND(Mitarbeiter!$E$57&lt;&gt;"",AS$5+6&lt;Mitarbeiter!$E$57),0,IF(AND(Mitarbeiter!$F$57&lt;&gt;"",AS$5&gt;Mitarbeiter!$F$57),0,IF(Planung!AS59="",$C59,IF(ISNUMBER(Planung!AS59),Planung!AS59,IF(UPPER(Planung!AS59)="H",$C59/2,0)))))))</f>
        <v>0</v>
      </c>
      <c r="AT59" s="27">
        <f>IF($A59="",0,IF(Mitarbeiter!$G$57=FALSE,0,IF(AND(Mitarbeiter!$E$57&lt;&gt;"",AT$5+6&lt;Mitarbeiter!$E$57),0,IF(AND(Mitarbeiter!$F$57&lt;&gt;"",AT$5&gt;Mitarbeiter!$F$57),0,IF(Planung!AT59="",$C59,IF(ISNUMBER(Planung!AT59),Planung!AT59,IF(UPPER(Planung!AT59)="H",$C59/2,0)))))))</f>
        <v>0</v>
      </c>
      <c r="AU59" s="27">
        <f>IF($A59="",0,IF(Mitarbeiter!$G$57=FALSE,0,IF(AND(Mitarbeiter!$E$57&lt;&gt;"",AU$5+6&lt;Mitarbeiter!$E$57),0,IF(AND(Mitarbeiter!$F$57&lt;&gt;"",AU$5&gt;Mitarbeiter!$F$57),0,IF(Planung!AU59="",$C59,IF(ISNUMBER(Planung!AU59),Planung!AU59,IF(UPPER(Planung!AU59)="H",$C59/2,0)))))))</f>
        <v>0</v>
      </c>
      <c r="AV59" s="27">
        <f>IF($A59="",0,IF(Mitarbeiter!$G$57=FALSE,0,IF(AND(Mitarbeiter!$E$57&lt;&gt;"",AV$5+6&lt;Mitarbeiter!$E$57),0,IF(AND(Mitarbeiter!$F$57&lt;&gt;"",AV$5&gt;Mitarbeiter!$F$57),0,IF(Planung!AV59="",$C59,IF(ISNUMBER(Planung!AV59),Planung!AV59,IF(UPPER(Planung!AV59)="H",$C59/2,0)))))))</f>
        <v>0</v>
      </c>
      <c r="AW59" s="27">
        <f>IF($A59="",0,IF(Mitarbeiter!$G$57=FALSE,0,IF(AND(Mitarbeiter!$E$57&lt;&gt;"",AW$5+6&lt;Mitarbeiter!$E$57),0,IF(AND(Mitarbeiter!$F$57&lt;&gt;"",AW$5&gt;Mitarbeiter!$F$57),0,IF(Planung!AW59="",$C59,IF(ISNUMBER(Planung!AW59),Planung!AW59,IF(UPPER(Planung!AW59)="H",$C59/2,0)))))))</f>
        <v>0</v>
      </c>
      <c r="AX59" s="27">
        <f>IF($A59="",0,IF(Mitarbeiter!$G$57=FALSE,0,IF(AND(Mitarbeiter!$E$57&lt;&gt;"",AX$5+6&lt;Mitarbeiter!$E$57),0,IF(AND(Mitarbeiter!$F$57&lt;&gt;"",AX$5&gt;Mitarbeiter!$F$57),0,IF(Planung!AX59="",$C59,IF(ISNUMBER(Planung!AX59),Planung!AX59,IF(UPPER(Planung!AX59)="H",$C59/2,0)))))))</f>
        <v>0</v>
      </c>
      <c r="AY59" s="27">
        <f>IF($A59="",0,IF(Mitarbeiter!$G$57=FALSE,0,IF(AND(Mitarbeiter!$E$57&lt;&gt;"",AY$5+6&lt;Mitarbeiter!$E$57),0,IF(AND(Mitarbeiter!$F$57&lt;&gt;"",AY$5&gt;Mitarbeiter!$F$57),0,IF(Planung!AY59="",$C59,IF(ISNUMBER(Planung!AY59),Planung!AY59,IF(UPPER(Planung!AY59)="H",$C59/2,0)))))))</f>
        <v>0</v>
      </c>
      <c r="AZ59" s="27">
        <f>IF($A59="",0,IF(Mitarbeiter!$G$57=FALSE,0,IF(AND(Mitarbeiter!$E$57&lt;&gt;"",AZ$5+6&lt;Mitarbeiter!$E$57),0,IF(AND(Mitarbeiter!$F$57&lt;&gt;"",AZ$5&gt;Mitarbeiter!$F$57),0,IF(Planung!AZ59="",$C59,IF(ISNUMBER(Planung!AZ59),Planung!AZ59,IF(UPPER(Planung!AZ59)="H",$C59/2,0)))))))</f>
        <v>0</v>
      </c>
      <c r="BA59" s="27">
        <f>IF($A59="",0,IF(Mitarbeiter!$G$57=FALSE,0,IF(AND(Mitarbeiter!$E$57&lt;&gt;"",BA$5+6&lt;Mitarbeiter!$E$57),0,IF(AND(Mitarbeiter!$F$57&lt;&gt;"",BA$5&gt;Mitarbeiter!$F$57),0,IF(Planung!BA59="",$C59,IF(ISNUMBER(Planung!BA59),Planung!BA59,IF(UPPER(Planung!BA59)="H",$C59/2,0)))))))</f>
        <v>0</v>
      </c>
      <c r="BB59" s="27">
        <f>IF($A59="",0,IF(Mitarbeiter!$G$57=FALSE,0,IF(AND(Mitarbeiter!$E$57&lt;&gt;"",BB$5+6&lt;Mitarbeiter!$E$57),0,IF(AND(Mitarbeiter!$F$57&lt;&gt;"",BB$5&gt;Mitarbeiter!$F$57),0,IF(Planung!BB59="",$C59,IF(ISNUMBER(Planung!BB59),Planung!BB59,IF(UPPER(Planung!BB59)="H",$C59/2,0)))))))</f>
        <v>0</v>
      </c>
      <c r="BC59" s="27">
        <f>IF($A59="",0,IF(Mitarbeiter!$G$57=FALSE,0,IF(AND(Mitarbeiter!$E$57&lt;&gt;"",BC$5+6&lt;Mitarbeiter!$E$57),0,IF(AND(Mitarbeiter!$F$57&lt;&gt;"",BC$5&gt;Mitarbeiter!$F$57),0,IF(Planung!BC59="",$C59,IF(ISNUMBER(Planung!BC59),Planung!BC59,IF(UPPER(Planung!BC59)="H",$C59/2,0)))))))</f>
        <v>0</v>
      </c>
      <c r="BD59" s="27">
        <f>IF($A59="",0,IF(Mitarbeiter!$G$57=FALSE,0,IF(AND(Mitarbeiter!$E$57&lt;&gt;"",BD$5+6&lt;Mitarbeiter!$E$57),0,IF(AND(Mitarbeiter!$F$57&lt;&gt;"",BD$5&gt;Mitarbeiter!$F$57),0,IF(Planung!BD59="",$C59,IF(ISNUMBER(Planung!BD59),Planung!BD59,IF(UPPER(Planung!BD59)="H",$C59/2,0)))))))</f>
        <v>0</v>
      </c>
      <c r="BE59" s="27">
        <f>IF($A59="",0,IF(Mitarbeiter!$G$57=FALSE,0,IF(AND(Mitarbeiter!$E$57&lt;&gt;"",BE$5+6&lt;Mitarbeiter!$E$57),0,IF(AND(Mitarbeiter!$F$57&lt;&gt;"",BE$5&gt;Mitarbeiter!$F$57),0,IF(Planung!BE59="",$C59,IF(ISNUMBER(Planung!BE59),Planung!BE59,IF(UPPER(Planung!BE59)="H",$C59/2,0)))))))</f>
        <v>0</v>
      </c>
      <c r="BF59" s="27">
        <f>IF($A59="",0,IF(Mitarbeiter!$G$57=FALSE,0,IF(AND(Mitarbeiter!$E$57&lt;&gt;"",BF$5+6&lt;Mitarbeiter!$E$57),0,IF(AND(Mitarbeiter!$F$57&lt;&gt;"",BF$5&gt;Mitarbeiter!$F$57),0,IF(Planung!BF59="",$C59,IF(ISNUMBER(Planung!BF59),Planung!BF59,IF(UPPER(Planung!BF59)="H",$C59/2,0)))))))</f>
        <v>0</v>
      </c>
      <c r="BG59" s="27">
        <f>IF($A59="",0,IF(Mitarbeiter!$G$57=FALSE,0,IF(AND(Mitarbeiter!$E$57&lt;&gt;"",BG$5+6&lt;Mitarbeiter!$E$57),0,IF(AND(Mitarbeiter!$F$57&lt;&gt;"",BG$5&gt;Mitarbeiter!$F$57),0,IF(Planung!BG59="",$C59,IF(ISNUMBER(Planung!BG59),Planung!BG59,IF(UPPER(Planung!BG59)="H",$C59/2,0)))))))</f>
        <v>0</v>
      </c>
      <c r="BH59" s="27">
        <f>IF($A59="",0,IF(Mitarbeiter!$G$57=FALSE,0,IF(AND(Mitarbeiter!$E$57&lt;&gt;"",BH$5+6&lt;Mitarbeiter!$E$57),0,IF(AND(Mitarbeiter!$F$57&lt;&gt;"",BH$5&gt;Mitarbeiter!$F$57),0,IF(Planung!BH59="",$C59,IF(ISNUMBER(Planung!BH59),Planung!BH59,IF(UPPER(Planung!BH59)="H",$C59/2,0)))))))</f>
        <v>0</v>
      </c>
      <c r="BI59" s="27">
        <f>IF($A59="",0,IF(Mitarbeiter!$G$57=FALSE,0,IF(AND(Mitarbeiter!$E$57&lt;&gt;"",BI$5+6&lt;Mitarbeiter!$E$57),0,IF(AND(Mitarbeiter!$F$57&lt;&gt;"",BI$5&gt;Mitarbeiter!$F$57),0,IF(Planung!BI59="",$C59,IF(ISNUMBER(Planung!BI59),Planung!BI59,IF(UPPER(Planung!BI59)="H",$C59/2,0)))))))</f>
        <v>0</v>
      </c>
      <c r="BJ59" s="27">
        <f>IF($A59="",0,IF(Mitarbeiter!$G$57=FALSE,0,IF(AND(Mitarbeiter!$E$57&lt;&gt;"",BJ$5+6&lt;Mitarbeiter!$E$57),0,IF(AND(Mitarbeiter!$F$57&lt;&gt;"",BJ$5&gt;Mitarbeiter!$F$57),0,IF(Planung!BJ59="",$C59,IF(ISNUMBER(Planung!BJ59),Planung!BJ59,IF(UPPER(Planung!BJ59)="H",$C59/2,0)))))))</f>
        <v>0</v>
      </c>
      <c r="BK59" s="27">
        <f>IF($A59="",0,IF(Mitarbeiter!$G$57=FALSE,0,IF(AND(Mitarbeiter!$E$57&lt;&gt;"",BK$5+6&lt;Mitarbeiter!$E$57),0,IF(AND(Mitarbeiter!$F$57&lt;&gt;"",BK$5&gt;Mitarbeiter!$F$57),0,IF(Planung!BK59="",$C59,IF(ISNUMBER(Planung!BK59),Planung!BK59,IF(UPPER(Planung!BK59)="H",$C59/2,0)))))))</f>
        <v>0</v>
      </c>
      <c r="BL59" s="27">
        <f>IF($A59="",0,IF(Mitarbeiter!$G$57=FALSE,0,IF(AND(Mitarbeiter!$E$57&lt;&gt;"",BL$5+6&lt;Mitarbeiter!$E$57),0,IF(AND(Mitarbeiter!$F$57&lt;&gt;"",BL$5&gt;Mitarbeiter!$F$57),0,IF(Planung!BL59="",$C59,IF(ISNUMBER(Planung!BL59),Planung!BL59,IF(UPPER(Planung!BL59)="H",$C59/2,0)))))))</f>
        <v>0</v>
      </c>
      <c r="BM59" s="27">
        <f>IF($A59="",0,IF(Mitarbeiter!$G$57=FALSE,0,IF(AND(Mitarbeiter!$E$57&lt;&gt;"",BM$5+6&lt;Mitarbeiter!$E$57),0,IF(AND(Mitarbeiter!$F$57&lt;&gt;"",BM$5&gt;Mitarbeiter!$F$57),0,IF(Planung!BM59="",$C59,IF(ISNUMBER(Planung!BM59),Planung!BM59,IF(UPPER(Planung!BM59)="H",$C59/2,0)))))))</f>
        <v>0</v>
      </c>
      <c r="BN59" s="27">
        <f>IF($A59="",0,IF(Mitarbeiter!$G$57=FALSE,0,IF(AND(Mitarbeiter!$E$57&lt;&gt;"",BN$5+6&lt;Mitarbeiter!$E$57),0,IF(AND(Mitarbeiter!$F$57&lt;&gt;"",BN$5&gt;Mitarbeiter!$F$57),0,IF(Planung!BN59="",$C59,IF(ISNUMBER(Planung!BN59),Planung!BN59,IF(UPPER(Planung!BN59)="H",$C59/2,0)))))))</f>
        <v>0</v>
      </c>
      <c r="BO59" s="27">
        <f>IF($A59="",0,IF(Mitarbeiter!$G$57=FALSE,0,IF(AND(Mitarbeiter!$E$57&lt;&gt;"",BO$5+6&lt;Mitarbeiter!$E$57),0,IF(AND(Mitarbeiter!$F$57&lt;&gt;"",BO$5&gt;Mitarbeiter!$F$57),0,IF(Planung!BO59="",$C59,IF(ISNUMBER(Planung!BO59),Planung!BO59,IF(UPPER(Planung!BO59)="H",$C59/2,0)))))))</f>
        <v>0</v>
      </c>
      <c r="BP59" s="27">
        <f>IF($A59="",0,IF(Mitarbeiter!$G$57=FALSE,0,IF(AND(Mitarbeiter!$E$57&lt;&gt;"",BP$5+6&lt;Mitarbeiter!$E$57),0,IF(AND(Mitarbeiter!$F$57&lt;&gt;"",BP$5&gt;Mitarbeiter!$F$57),0,IF(Planung!BP59="",$C59,IF(ISNUMBER(Planung!BP59),Planung!BP59,IF(UPPER(Planung!BP59)="H",$C59/2,0)))))))</f>
        <v>0</v>
      </c>
      <c r="BQ59" s="27">
        <f>IF($A59="",0,IF(Mitarbeiter!$G$57=FALSE,0,IF(AND(Mitarbeiter!$E$57&lt;&gt;"",BQ$5+6&lt;Mitarbeiter!$E$57),0,IF(AND(Mitarbeiter!$F$57&lt;&gt;"",BQ$5&gt;Mitarbeiter!$F$57),0,IF(Planung!BQ59="",$C59,IF(ISNUMBER(Planung!BQ59),Planung!BQ59,IF(UPPER(Planung!BQ59)="H",$C59/2,0)))))))</f>
        <v>0</v>
      </c>
      <c r="BR59" s="27">
        <f>IF($A59="",0,IF(Mitarbeiter!$G$57=FALSE,0,IF(AND(Mitarbeiter!$E$57&lt;&gt;"",BR$5+6&lt;Mitarbeiter!$E$57),0,IF(AND(Mitarbeiter!$F$57&lt;&gt;"",BR$5&gt;Mitarbeiter!$F$57),0,IF(Planung!BR59="",$C59,IF(ISNUMBER(Planung!BR59),Planung!BR59,IF(UPPER(Planung!BR59)="H",$C59/2,0)))))))</f>
        <v>0</v>
      </c>
      <c r="BS59" s="27">
        <f>IF($A59="",0,IF(Mitarbeiter!$G$57=FALSE,0,IF(AND(Mitarbeiter!$E$57&lt;&gt;"",BS$5+6&lt;Mitarbeiter!$E$57),0,IF(AND(Mitarbeiter!$F$57&lt;&gt;"",BS$5&gt;Mitarbeiter!$F$57),0,IF(Planung!BS59="",$C59,IF(ISNUMBER(Planung!BS59),Planung!BS59,IF(UPPER(Planung!BS59)="H",$C59/2,0)))))))</f>
        <v>0</v>
      </c>
      <c r="BT59" s="27">
        <f>IF($A59="",0,IF(Mitarbeiter!$G$57=FALSE,0,IF(AND(Mitarbeiter!$E$57&lt;&gt;"",BT$5+6&lt;Mitarbeiter!$E$57),0,IF(AND(Mitarbeiter!$F$57&lt;&gt;"",BT$5&gt;Mitarbeiter!$F$57),0,IF(Planung!BT59="",$C59,IF(ISNUMBER(Planung!BT59),Planung!BT59,IF(UPPER(Planung!BT59)="H",$C59/2,0)))))))</f>
        <v>0</v>
      </c>
      <c r="BU59" s="27">
        <f>IF($A59="",0,IF(Mitarbeiter!$G$57=FALSE,0,IF(AND(Mitarbeiter!$E$57&lt;&gt;"",BU$5+6&lt;Mitarbeiter!$E$57),0,IF(AND(Mitarbeiter!$F$57&lt;&gt;"",BU$5&gt;Mitarbeiter!$F$57),0,IF(Planung!BU59="",$C59,IF(ISNUMBER(Planung!BU59),Planung!BU59,IF(UPPER(Planung!BU59)="H",$C59/2,0)))))))</f>
        <v>0</v>
      </c>
      <c r="BV59" s="27">
        <f>IF($A59="",0,IF(Mitarbeiter!$G$57=FALSE,0,IF(AND(Mitarbeiter!$E$57&lt;&gt;"",BV$5+6&lt;Mitarbeiter!$E$57),0,IF(AND(Mitarbeiter!$F$57&lt;&gt;"",BV$5&gt;Mitarbeiter!$F$57),0,IF(Planung!BV59="",$C59,IF(ISNUMBER(Planung!BV59),Planung!BV59,IF(UPPER(Planung!BV59)="H",$C59/2,0)))))))</f>
        <v>0</v>
      </c>
      <c r="BW59" s="27">
        <f>IF($A59="",0,IF(Mitarbeiter!$G$57=FALSE,0,IF(AND(Mitarbeiter!$E$57&lt;&gt;"",BW$5+6&lt;Mitarbeiter!$E$57),0,IF(AND(Mitarbeiter!$F$57&lt;&gt;"",BW$5&gt;Mitarbeiter!$F$57),0,IF(Planung!BW59="",$C59,IF(ISNUMBER(Planung!BW59),Planung!BW59,IF(UPPER(Planung!BW59)="H",$C59/2,0)))))))</f>
        <v>0</v>
      </c>
      <c r="BX59" s="27">
        <f>IF($A59="",0,IF(Mitarbeiter!$G$57=FALSE,0,IF(AND(Mitarbeiter!$E$57&lt;&gt;"",BX$5+6&lt;Mitarbeiter!$E$57),0,IF(AND(Mitarbeiter!$F$57&lt;&gt;"",BX$5&gt;Mitarbeiter!$F$57),0,IF(Planung!BX59="",$C59,IF(ISNUMBER(Planung!BX59),Planung!BX59,IF(UPPER(Planung!BX59)="H",$C59/2,0)))))))</f>
        <v>0</v>
      </c>
      <c r="BY59" s="27">
        <f>IF($A59="",0,IF(Mitarbeiter!$G$57=FALSE,0,IF(AND(Mitarbeiter!$E$57&lt;&gt;"",BY$5+6&lt;Mitarbeiter!$E$57),0,IF(AND(Mitarbeiter!$F$57&lt;&gt;"",BY$5&gt;Mitarbeiter!$F$57),0,IF(Planung!BY59="",$C59,IF(ISNUMBER(Planung!BY59),Planung!BY59,IF(UPPER(Planung!BY59)="H",$C59/2,0)))))))</f>
        <v>0</v>
      </c>
      <c r="BZ59" s="27">
        <f>IF($A59="",0,IF(Mitarbeiter!$G$57=FALSE,0,IF(AND(Mitarbeiter!$E$57&lt;&gt;"",BZ$5+6&lt;Mitarbeiter!$E$57),0,IF(AND(Mitarbeiter!$F$57&lt;&gt;"",BZ$5&gt;Mitarbeiter!$F$57),0,IF(Planung!BZ59="",$C59,IF(ISNUMBER(Planung!BZ59),Planung!BZ59,IF(UPPER(Planung!BZ59)="H",$C59/2,0)))))))</f>
        <v>0</v>
      </c>
      <c r="CA59" s="27">
        <f>IF($A59="",0,IF(Mitarbeiter!$G$57=FALSE,0,IF(AND(Mitarbeiter!$E$57&lt;&gt;"",CA$5+6&lt;Mitarbeiter!$E$57),0,IF(AND(Mitarbeiter!$F$57&lt;&gt;"",CA$5&gt;Mitarbeiter!$F$57),0,IF(Planung!CA59="",$C59,IF(ISNUMBER(Planung!CA59),Planung!CA59,IF(UPPER(Planung!CA59)="H",$C59/2,0)))))))</f>
        <v>0</v>
      </c>
      <c r="CB59" s="27">
        <f>IF($A59="",0,IF(Mitarbeiter!$G$57=FALSE,0,IF(AND(Mitarbeiter!$E$57&lt;&gt;"",CB$5+6&lt;Mitarbeiter!$E$57),0,IF(AND(Mitarbeiter!$F$57&lt;&gt;"",CB$5&gt;Mitarbeiter!$F$57),0,IF(Planung!CB59="",$C59,IF(ISNUMBER(Planung!CB59),Planung!CB59,IF(UPPER(Planung!CB59)="H",$C59/2,0)))))))</f>
        <v>0</v>
      </c>
      <c r="CC59" s="27">
        <f>IF($A59="",0,IF(Mitarbeiter!$G$57=FALSE,0,IF(AND(Mitarbeiter!$E$57&lt;&gt;"",CC$5+6&lt;Mitarbeiter!$E$57),0,IF(AND(Mitarbeiter!$F$57&lt;&gt;"",CC$5&gt;Mitarbeiter!$F$57),0,IF(Planung!CC59="",$C59,IF(ISNUMBER(Planung!CC59),Planung!CC59,IF(UPPER(Planung!CC59)="H",$C59/2,0)))))))</f>
        <v>0</v>
      </c>
      <c r="CD59" s="27">
        <f>IF($A59="",0,IF(Mitarbeiter!$G$57=FALSE,0,IF(AND(Mitarbeiter!$E$57&lt;&gt;"",CD$5+6&lt;Mitarbeiter!$E$57),0,IF(AND(Mitarbeiter!$F$57&lt;&gt;"",CD$5&gt;Mitarbeiter!$F$57),0,IF(Planung!CD59="",$C59,IF(ISNUMBER(Planung!CD59),Planung!CD59,IF(UPPER(Planung!CD59)="H",$C59/2,0)))))))</f>
        <v>0</v>
      </c>
      <c r="CE59" s="27">
        <f>IF($A59="",0,IF(Mitarbeiter!$G$57=FALSE,0,IF(AND(Mitarbeiter!$E$57&lt;&gt;"",CE$5+6&lt;Mitarbeiter!$E$57),0,IF(AND(Mitarbeiter!$F$57&lt;&gt;"",CE$5&gt;Mitarbeiter!$F$57),0,IF(Planung!CE59="",$C59,IF(ISNUMBER(Planung!CE59),Planung!CE59,IF(UPPER(Planung!CE59)="H",$C59/2,0)))))))</f>
        <v>0</v>
      </c>
      <c r="CF59" s="27">
        <f>IF($A59="",0,IF(Mitarbeiter!$G$57=FALSE,0,IF(AND(Mitarbeiter!$E$57&lt;&gt;"",CF$5+6&lt;Mitarbeiter!$E$57),0,IF(AND(Mitarbeiter!$F$57&lt;&gt;"",CF$5&gt;Mitarbeiter!$F$57),0,IF(Planung!CF59="",$C59,IF(ISNUMBER(Planung!CF59),Planung!CF59,IF(UPPER(Planung!CF59)="H",$C59/2,0)))))))</f>
        <v>0</v>
      </c>
      <c r="CG59" s="27">
        <f>IF($A59="",0,IF(Mitarbeiter!$G$57=FALSE,0,IF(AND(Mitarbeiter!$E$57&lt;&gt;"",CG$5+6&lt;Mitarbeiter!$E$57),0,IF(AND(Mitarbeiter!$F$57&lt;&gt;"",CG$5&gt;Mitarbeiter!$F$57),0,IF(Planung!CG59="",$C59,IF(ISNUMBER(Planung!CG59),Planung!CG59,IF(UPPER(Planung!CG59)="H",$C59/2,0)))))))</f>
        <v>0</v>
      </c>
      <c r="CH59" s="27">
        <f>IF($A59="",0,IF(Mitarbeiter!$G$57=FALSE,0,IF(AND(Mitarbeiter!$E$57&lt;&gt;"",CH$5+6&lt;Mitarbeiter!$E$57),0,IF(AND(Mitarbeiter!$F$57&lt;&gt;"",CH$5&gt;Mitarbeiter!$F$57),0,IF(Planung!CH59="",$C59,IF(ISNUMBER(Planung!CH59),Planung!CH59,IF(UPPER(Planung!CH59)="H",$C59/2,0)))))))</f>
        <v>0</v>
      </c>
      <c r="CI59" s="27">
        <f>IF($A59="",0,IF(Mitarbeiter!$G$57=FALSE,0,IF(AND(Mitarbeiter!$E$57&lt;&gt;"",CI$5+6&lt;Mitarbeiter!$E$57),0,IF(AND(Mitarbeiter!$F$57&lt;&gt;"",CI$5&gt;Mitarbeiter!$F$57),0,IF(Planung!CI59="",$C59,IF(ISNUMBER(Planung!CI59),Planung!CI59,IF(UPPER(Planung!CI59)="H",$C59/2,0)))))))</f>
        <v>0</v>
      </c>
      <c r="CJ59" s="27">
        <f>IF($A59="",0,IF(Mitarbeiter!$G$57=FALSE,0,IF(AND(Mitarbeiter!$E$57&lt;&gt;"",CJ$5+6&lt;Mitarbeiter!$E$57),0,IF(AND(Mitarbeiter!$F$57&lt;&gt;"",CJ$5&gt;Mitarbeiter!$F$57),0,IF(Planung!CJ59="",$C59,IF(ISNUMBER(Planung!CJ59),Planung!CJ59,IF(UPPER(Planung!CJ59)="H",$C59/2,0)))))))</f>
        <v>0</v>
      </c>
      <c r="CK59" s="27">
        <f>IF($A59="",0,IF(Mitarbeiter!$G$57=FALSE,0,IF(AND(Mitarbeiter!$E$57&lt;&gt;"",CK$5+6&lt;Mitarbeiter!$E$57),0,IF(AND(Mitarbeiter!$F$57&lt;&gt;"",CK$5&gt;Mitarbeiter!$F$57),0,IF(Planung!CK59="",$C59,IF(ISNUMBER(Planung!CK59),Planung!CK59,IF(UPPER(Planung!CK59)="H",$C59/2,0)))))))</f>
        <v>0</v>
      </c>
      <c r="CL59" s="27">
        <f>IF($A59="",0,IF(Mitarbeiter!$G$57=FALSE,0,IF(AND(Mitarbeiter!$E$57&lt;&gt;"",CL$5+6&lt;Mitarbeiter!$E$57),0,IF(AND(Mitarbeiter!$F$57&lt;&gt;"",CL$5&gt;Mitarbeiter!$F$57),0,IF(Planung!CL59="",$C59,IF(ISNUMBER(Planung!CL59),Planung!CL59,IF(UPPER(Planung!CL59)="H",$C59/2,0)))))))</f>
        <v>0</v>
      </c>
      <c r="CM59" s="27">
        <f>IF($A59="",0,IF(Mitarbeiter!$G$57=FALSE,0,IF(AND(Mitarbeiter!$E$57&lt;&gt;"",CM$5+6&lt;Mitarbeiter!$E$57),0,IF(AND(Mitarbeiter!$F$57&lt;&gt;"",CM$5&gt;Mitarbeiter!$F$57),0,IF(Planung!CM59="",$C59,IF(ISNUMBER(Planung!CM59),Planung!CM59,IF(UPPER(Planung!CM59)="H",$C59/2,0)))))))</f>
        <v>0</v>
      </c>
      <c r="CN59" s="27">
        <f>IF($A59="",0,IF(Mitarbeiter!$G$57=FALSE,0,IF(AND(Mitarbeiter!$E$57&lt;&gt;"",CN$5+6&lt;Mitarbeiter!$E$57),0,IF(AND(Mitarbeiter!$F$57&lt;&gt;"",CN$5&gt;Mitarbeiter!$F$57),0,IF(Planung!CN59="",$C59,IF(ISNUMBER(Planung!CN59),Planung!CN59,IF(UPPER(Planung!CN59)="H",$C59/2,0)))))))</f>
        <v>0</v>
      </c>
      <c r="CO59" s="27">
        <f>IF($A59="",0,IF(Mitarbeiter!$G$57=FALSE,0,IF(AND(Mitarbeiter!$E$57&lt;&gt;"",CO$5+6&lt;Mitarbeiter!$E$57),0,IF(AND(Mitarbeiter!$F$57&lt;&gt;"",CO$5&gt;Mitarbeiter!$F$57),0,IF(Planung!CO59="",$C59,IF(ISNUMBER(Planung!CO59),Planung!CO59,IF(UPPER(Planung!CO59)="H",$C59/2,0)))))))</f>
        <v>0</v>
      </c>
      <c r="CP59" s="27">
        <f>IF($A59="",0,IF(Mitarbeiter!$G$57=FALSE,0,IF(AND(Mitarbeiter!$E$57&lt;&gt;"",CP$5+6&lt;Mitarbeiter!$E$57),0,IF(AND(Mitarbeiter!$F$57&lt;&gt;"",CP$5&gt;Mitarbeiter!$F$57),0,IF(Planung!CP59="",$C59,IF(ISNUMBER(Planung!CP59),Planung!CP59,IF(UPPER(Planung!CP59)="H",$C59/2,0)))))))</f>
        <v>0</v>
      </c>
      <c r="CQ59" s="27">
        <f>IF($A59="",0,IF(Mitarbeiter!$G$57=FALSE,0,IF(AND(Mitarbeiter!$E$57&lt;&gt;"",CQ$5+6&lt;Mitarbeiter!$E$57),0,IF(AND(Mitarbeiter!$F$57&lt;&gt;"",CQ$5&gt;Mitarbeiter!$F$57),0,IF(Planung!CQ59="",$C59,IF(ISNUMBER(Planung!CQ59),Planung!CQ59,IF(UPPER(Planung!CQ59)="H",$C59/2,0)))))))</f>
        <v>0</v>
      </c>
      <c r="CR59" s="27">
        <f>IF($A59="",0,IF(Mitarbeiter!$G$57=FALSE,0,IF(AND(Mitarbeiter!$E$57&lt;&gt;"",CR$5+6&lt;Mitarbeiter!$E$57),0,IF(AND(Mitarbeiter!$F$57&lt;&gt;"",CR$5&gt;Mitarbeiter!$F$57),0,IF(Planung!CR59="",$C59,IF(ISNUMBER(Planung!CR59),Planung!CR59,IF(UPPER(Planung!CR59)="H",$C59/2,0)))))))</f>
        <v>0</v>
      </c>
      <c r="CS59" s="27">
        <f>IF($A59="",0,IF(Mitarbeiter!$G$57=FALSE,0,IF(AND(Mitarbeiter!$E$57&lt;&gt;"",CS$5+6&lt;Mitarbeiter!$E$57),0,IF(AND(Mitarbeiter!$F$57&lt;&gt;"",CS$5&gt;Mitarbeiter!$F$57),0,IF(Planung!CS59="",$C59,IF(ISNUMBER(Planung!CS59),Planung!CS59,IF(UPPER(Planung!CS59)="H",$C59/2,0)))))))</f>
        <v>0</v>
      </c>
      <c r="CT59" s="27">
        <f>IF($A59="",0,IF(Mitarbeiter!$G$57=FALSE,0,IF(AND(Mitarbeiter!$E$57&lt;&gt;"",CT$5+6&lt;Mitarbeiter!$E$57),0,IF(AND(Mitarbeiter!$F$57&lt;&gt;"",CT$5&gt;Mitarbeiter!$F$57),0,IF(Planung!CT59="",$C59,IF(ISNUMBER(Planung!CT59),Planung!CT59,IF(UPPER(Planung!CT59)="H",$C59/2,0)))))))</f>
        <v>0</v>
      </c>
      <c r="CU59" s="27">
        <f>IF($A59="",0,IF(Mitarbeiter!$G$57=FALSE,0,IF(AND(Mitarbeiter!$E$57&lt;&gt;"",CU$5+6&lt;Mitarbeiter!$E$57),0,IF(AND(Mitarbeiter!$F$57&lt;&gt;"",CU$5&gt;Mitarbeiter!$F$57),0,IF(Planung!CU59="",$C59,IF(ISNUMBER(Planung!CU59),Planung!CU59,IF(UPPER(Planung!CU59)="H",$C59/2,0)))))))</f>
        <v>0</v>
      </c>
      <c r="CV59" s="27">
        <f>IF($A59="",0,IF(Mitarbeiter!$G$57=FALSE,0,IF(AND(Mitarbeiter!$E$57&lt;&gt;"",CV$5+6&lt;Mitarbeiter!$E$57),0,IF(AND(Mitarbeiter!$F$57&lt;&gt;"",CV$5&gt;Mitarbeiter!$F$57),0,IF(Planung!CV59="",$C59,IF(ISNUMBER(Planung!CV59),Planung!CV59,IF(UPPER(Planung!CV59)="H",$C59/2,0)))))))</f>
        <v>0</v>
      </c>
      <c r="CW59" s="27">
        <f>IF($A59="",0,IF(Mitarbeiter!$G$57=FALSE,0,IF(AND(Mitarbeiter!$E$57&lt;&gt;"",CW$5+6&lt;Mitarbeiter!$E$57),0,IF(AND(Mitarbeiter!$F$57&lt;&gt;"",CW$5&gt;Mitarbeiter!$F$57),0,IF(Planung!CW59="",$C59,IF(ISNUMBER(Planung!CW59),Planung!CW59,IF(UPPER(Planung!CW59)="H",$C59/2,0)))))))</f>
        <v>0</v>
      </c>
      <c r="CX59" s="27">
        <f>IF($A59="",0,IF(Mitarbeiter!$G$57=FALSE,0,IF(AND(Mitarbeiter!$E$57&lt;&gt;"",CX$5+6&lt;Mitarbeiter!$E$57),0,IF(AND(Mitarbeiter!$F$57&lt;&gt;"",CX$5&gt;Mitarbeiter!$F$57),0,IF(Planung!CX59="",$C59,IF(ISNUMBER(Planung!CX59),Planung!CX59,IF(UPPER(Planung!CX59)="H",$C59/2,0)))))))</f>
        <v>0</v>
      </c>
      <c r="CY59" s="27">
        <f>IF($A59="",0,IF(Mitarbeiter!$G$57=FALSE,0,IF(AND(Mitarbeiter!$E$57&lt;&gt;"",CY$5+6&lt;Mitarbeiter!$E$57),0,IF(AND(Mitarbeiter!$F$57&lt;&gt;"",CY$5&gt;Mitarbeiter!$F$57),0,IF(Planung!CY59="",$C59,IF(ISNUMBER(Planung!CY59),Planung!CY59,IF(UPPER(Planung!CY59)="H",$C59/2,0)))))))</f>
        <v>0</v>
      </c>
      <c r="CZ59" s="27">
        <f>IF($A59="",0,IF(Mitarbeiter!$G$57=FALSE,0,IF(AND(Mitarbeiter!$E$57&lt;&gt;"",CZ$5+6&lt;Mitarbeiter!$E$57),0,IF(AND(Mitarbeiter!$F$57&lt;&gt;"",CZ$5&gt;Mitarbeiter!$F$57),0,IF(Planung!CZ59="",$C59,IF(ISNUMBER(Planung!CZ59),Planung!CZ59,IF(UPPER(Planung!CZ59)="H",$C59/2,0)))))))</f>
        <v>0</v>
      </c>
      <c r="DA59" s="27">
        <f>IF($A59="",0,IF(Mitarbeiter!$G$57=FALSE,0,IF(AND(Mitarbeiter!$E$57&lt;&gt;"",DA$5+6&lt;Mitarbeiter!$E$57),0,IF(AND(Mitarbeiter!$F$57&lt;&gt;"",DA$5&gt;Mitarbeiter!$F$57),0,IF(Planung!DA59="",$C59,IF(ISNUMBER(Planung!DA59),Planung!DA59,IF(UPPER(Planung!DA59)="H",$C59/2,0)))))))</f>
        <v>0</v>
      </c>
      <c r="DB59" s="27">
        <f>IF($A59="",0,IF(Mitarbeiter!$G$57=FALSE,0,IF(AND(Mitarbeiter!$E$57&lt;&gt;"",DB$5+6&lt;Mitarbeiter!$E$57),0,IF(AND(Mitarbeiter!$F$57&lt;&gt;"",DB$5&gt;Mitarbeiter!$F$57),0,IF(Planung!DB59="",$C59,IF(ISNUMBER(Planung!DB59),Planung!DB59,IF(UPPER(Planung!DB59)="H",$C59/2,0)))))))</f>
        <v>0</v>
      </c>
      <c r="DC59" s="27">
        <f>IF($A59="",0,IF(Mitarbeiter!$G$57=FALSE,0,IF(AND(Mitarbeiter!$E$57&lt;&gt;"",DC$5+6&lt;Mitarbeiter!$E$57),0,IF(AND(Mitarbeiter!$F$57&lt;&gt;"",DC$5&gt;Mitarbeiter!$F$57),0,IF(Planung!DC59="",$C59,IF(ISNUMBER(Planung!DC59),Planung!DC59,IF(UPPER(Planung!DC59)="H",$C59/2,0)))))))</f>
        <v>0</v>
      </c>
      <c r="DD59" s="27">
        <f>IF($A59="",0,IF(Mitarbeiter!$G$57=FALSE,0,IF(AND(Mitarbeiter!$E$57&lt;&gt;"",DD$5+6&lt;Mitarbeiter!$E$57),0,IF(AND(Mitarbeiter!$F$57&lt;&gt;"",DD$5&gt;Mitarbeiter!$F$57),0,IF(Planung!DD59="",$C59,IF(ISNUMBER(Planung!DD59),Planung!DD59,IF(UPPER(Planung!DD59)="H",$C59/2,0)))))))</f>
        <v>0</v>
      </c>
      <c r="DE59" s="27">
        <f>IF($A59="",0,IF(Mitarbeiter!$G$57=FALSE,0,IF(AND(Mitarbeiter!$E$57&lt;&gt;"",DE$5+6&lt;Mitarbeiter!$E$57),0,IF(AND(Mitarbeiter!$F$57&lt;&gt;"",DE$5&gt;Mitarbeiter!$F$57),0,IF(Planung!DE59="",$C59,IF(ISNUMBER(Planung!DE59),Planung!DE59,IF(UPPER(Planung!DE59)="H",$C59/2,0)))))))</f>
        <v>0</v>
      </c>
      <c r="DF59" s="27">
        <f>IF($A59="",0,IF(Mitarbeiter!$G$57=FALSE,0,IF(AND(Mitarbeiter!$E$57&lt;&gt;"",DF$5+6&lt;Mitarbeiter!$E$57),0,IF(AND(Mitarbeiter!$F$57&lt;&gt;"",DF$5&gt;Mitarbeiter!$F$57),0,IF(Planung!DF59="",$C59,IF(ISNUMBER(Planung!DF59),Planung!DF59,IF(UPPER(Planung!DF59)="H",$C59/2,0)))))))</f>
        <v>0</v>
      </c>
      <c r="DG59" s="27">
        <f>IF($A59="",0,IF(Mitarbeiter!$G$57=FALSE,0,IF(AND(Mitarbeiter!$E$57&lt;&gt;"",DG$5+6&lt;Mitarbeiter!$E$57),0,IF(AND(Mitarbeiter!$F$57&lt;&gt;"",DG$5&gt;Mitarbeiter!$F$57),0,IF(Planung!DG59="",$C59,IF(ISNUMBER(Planung!DG59),Planung!DG59,IF(UPPER(Planung!DG59)="H",$C59/2,0)))))))</f>
        <v>0</v>
      </c>
      <c r="DH59" s="27">
        <f>IF($A59="",0,IF(Mitarbeiter!$G$57=FALSE,0,IF(AND(Mitarbeiter!$E$57&lt;&gt;"",DH$5+6&lt;Mitarbeiter!$E$57),0,IF(AND(Mitarbeiter!$F$57&lt;&gt;"",DH$5&gt;Mitarbeiter!$F$57),0,IF(Planung!DH59="",$C59,IF(ISNUMBER(Planung!DH59),Planung!DH59,IF(UPPER(Planung!DH59)="H",$C59/2,0)))))))</f>
        <v>0</v>
      </c>
      <c r="DI59" s="27">
        <f>IF($A59="",0,IF(Mitarbeiter!$G$57=FALSE,0,IF(AND(Mitarbeiter!$E$57&lt;&gt;"",DI$5+6&lt;Mitarbeiter!$E$57),0,IF(AND(Mitarbeiter!$F$57&lt;&gt;"",DI$5&gt;Mitarbeiter!$F$57),0,IF(Planung!DI59="",$C59,IF(ISNUMBER(Planung!DI59),Planung!DI59,IF(UPPER(Planung!DI59)="H",$C59/2,0)))))))</f>
        <v>0</v>
      </c>
      <c r="DJ59" s="27">
        <f>IF($A59="",0,IF(Mitarbeiter!$G$57=FALSE,0,IF(AND(Mitarbeiter!$E$57&lt;&gt;"",DJ$5+6&lt;Mitarbeiter!$E$57),0,IF(AND(Mitarbeiter!$F$57&lt;&gt;"",DJ$5&gt;Mitarbeiter!$F$57),0,IF(Planung!DJ59="",$C59,IF(ISNUMBER(Planung!DJ59),Planung!DJ59,IF(UPPER(Planung!DJ59)="H",$C59/2,0)))))))</f>
        <v>0</v>
      </c>
      <c r="DK59" s="27">
        <f>IF($A59="",0,IF(Mitarbeiter!$G$57=FALSE,0,IF(AND(Mitarbeiter!$E$57&lt;&gt;"",DK$5+6&lt;Mitarbeiter!$E$57),0,IF(AND(Mitarbeiter!$F$57&lt;&gt;"",DK$5&gt;Mitarbeiter!$F$57),0,IF(Planung!DK59="",$C59,IF(ISNUMBER(Planung!DK59),Planung!DK59,IF(UPPER(Planung!DK59)="H",$C59/2,0)))))))</f>
        <v>0</v>
      </c>
      <c r="DL59" s="27">
        <f>IF($A59="",0,IF(Mitarbeiter!$G$57=FALSE,0,IF(AND(Mitarbeiter!$E$57&lt;&gt;"",DL$5+6&lt;Mitarbeiter!$E$57),0,IF(AND(Mitarbeiter!$F$57&lt;&gt;"",DL$5&gt;Mitarbeiter!$F$57),0,IF(Planung!DL59="",$C59,IF(ISNUMBER(Planung!DL59),Planung!DL59,IF(UPPER(Planung!DL59)="H",$C59/2,0)))))))</f>
        <v>0</v>
      </c>
      <c r="DM59" s="27">
        <f>IF($A59="",0,IF(Mitarbeiter!$G$57=FALSE,0,IF(AND(Mitarbeiter!$E$57&lt;&gt;"",DM$5+6&lt;Mitarbeiter!$E$57),0,IF(AND(Mitarbeiter!$F$57&lt;&gt;"",DM$5&gt;Mitarbeiter!$F$57),0,IF(Planung!DM59="",$C59,IF(ISNUMBER(Planung!DM59),Planung!DM59,IF(UPPER(Planung!DM59)="H",$C59/2,0)))))))</f>
        <v>0</v>
      </c>
      <c r="DN59" s="27">
        <f>IF($A59="",0,IF(Mitarbeiter!$G$57=FALSE,0,IF(AND(Mitarbeiter!$E$57&lt;&gt;"",DN$5+6&lt;Mitarbeiter!$E$57),0,IF(AND(Mitarbeiter!$F$57&lt;&gt;"",DN$5&gt;Mitarbeiter!$F$57),0,IF(Planung!DN59="",$C59,IF(ISNUMBER(Planung!DN59),Planung!DN59,IF(UPPER(Planung!DN59)="H",$C59/2,0)))))))</f>
        <v>0</v>
      </c>
      <c r="DO59" s="27">
        <f>IF($A59="",0,IF(Mitarbeiter!$G$57=FALSE,0,IF(AND(Mitarbeiter!$E$57&lt;&gt;"",DO$5+6&lt;Mitarbeiter!$E$57),0,IF(AND(Mitarbeiter!$F$57&lt;&gt;"",DO$5&gt;Mitarbeiter!$F$57),0,IF(Planung!DO59="",$C59,IF(ISNUMBER(Planung!DO59),Planung!DO59,IF(UPPER(Planung!DO59)="H",$C59/2,0)))))))</f>
        <v>0</v>
      </c>
      <c r="DP59" s="27">
        <f>IF($A59="",0,IF(Mitarbeiter!$G$57=FALSE,0,IF(AND(Mitarbeiter!$E$57&lt;&gt;"",DP$5+6&lt;Mitarbeiter!$E$57),0,IF(AND(Mitarbeiter!$F$57&lt;&gt;"",DP$5&gt;Mitarbeiter!$F$57),0,IF(Planung!DP59="",$C59,IF(ISNUMBER(Planung!DP59),Planung!DP59,IF(UPPER(Planung!DP59)="H",$C59/2,0)))))))</f>
        <v>0</v>
      </c>
      <c r="DQ59" s="27">
        <f>IF($A59="",0,IF(Mitarbeiter!$G$57=FALSE,0,IF(AND(Mitarbeiter!$E$57&lt;&gt;"",DQ$5+6&lt;Mitarbeiter!$E$57),0,IF(AND(Mitarbeiter!$F$57&lt;&gt;"",DQ$5&gt;Mitarbeiter!$F$57),0,IF(Planung!DQ59="",$C59,IF(ISNUMBER(Planung!DQ59),Planung!DQ59,IF(UPPER(Planung!DQ59)="H",$C59/2,0)))))))</f>
        <v>0</v>
      </c>
      <c r="DR59" s="27">
        <f>IF($A59="",0,IF(Mitarbeiter!$G$57=FALSE,0,IF(AND(Mitarbeiter!$E$57&lt;&gt;"",DR$5+6&lt;Mitarbeiter!$E$57),0,IF(AND(Mitarbeiter!$F$57&lt;&gt;"",DR$5&gt;Mitarbeiter!$F$57),0,IF(Planung!DR59="",$C59,IF(ISNUMBER(Planung!DR59),Planung!DR59,IF(UPPER(Planung!DR59)="H",$C59/2,0)))))))</f>
        <v>0</v>
      </c>
      <c r="DS59" s="27">
        <f>IF($A59="",0,IF(Mitarbeiter!$G$57=FALSE,0,IF(AND(Mitarbeiter!$E$57&lt;&gt;"",DS$5+6&lt;Mitarbeiter!$E$57),0,IF(AND(Mitarbeiter!$F$57&lt;&gt;"",DS$5&gt;Mitarbeiter!$F$57),0,IF(Planung!DS59="",$C59,IF(ISNUMBER(Planung!DS59),Planung!DS59,IF(UPPER(Planung!DS59)="H",$C59/2,0)))))))</f>
        <v>0</v>
      </c>
      <c r="DT59" s="27">
        <f>IF($A59="",0,IF(Mitarbeiter!$G$57=FALSE,0,IF(AND(Mitarbeiter!$E$57&lt;&gt;"",DT$5+6&lt;Mitarbeiter!$E$57),0,IF(AND(Mitarbeiter!$F$57&lt;&gt;"",DT$5&gt;Mitarbeiter!$F$57),0,IF(Planung!DT59="",$C59,IF(ISNUMBER(Planung!DT59),Planung!DT59,IF(UPPER(Planung!DT59)="H",$C59/2,0)))))))</f>
        <v>0</v>
      </c>
      <c r="DU59" s="27">
        <f>IF($A59="",0,IF(Mitarbeiter!$G$57=FALSE,0,IF(AND(Mitarbeiter!$E$57&lt;&gt;"",DU$5+6&lt;Mitarbeiter!$E$57),0,IF(AND(Mitarbeiter!$F$57&lt;&gt;"",DU$5&gt;Mitarbeiter!$F$57),0,IF(Planung!DU59="",$C59,IF(ISNUMBER(Planung!DU59),Planung!DU59,IF(UPPER(Planung!DU59)="H",$C59/2,0)))))))</f>
        <v>0</v>
      </c>
      <c r="DV59" s="27">
        <f>IF($A59="",0,IF(Mitarbeiter!$G$57=FALSE,0,IF(AND(Mitarbeiter!$E$57&lt;&gt;"",DV$5+6&lt;Mitarbeiter!$E$57),0,IF(AND(Mitarbeiter!$F$57&lt;&gt;"",DV$5&gt;Mitarbeiter!$F$57),0,IF(Planung!DV59="",$C59,IF(ISNUMBER(Planung!DV59),Planung!DV59,IF(UPPER(Planung!DV59)="H",$C59/2,0)))))))</f>
        <v>0</v>
      </c>
      <c r="DW59" s="27">
        <f>IF($A59="",0,IF(Mitarbeiter!$G$57=FALSE,0,IF(AND(Mitarbeiter!$E$57&lt;&gt;"",DW$5+6&lt;Mitarbeiter!$E$57),0,IF(AND(Mitarbeiter!$F$57&lt;&gt;"",DW$5&gt;Mitarbeiter!$F$57),0,IF(Planung!DW59="",$C59,IF(ISNUMBER(Planung!DW59),Planung!DW59,IF(UPPER(Planung!DW59)="H",$C59/2,0)))))))</f>
        <v>0</v>
      </c>
      <c r="DX59" s="27">
        <f>IF($A59="",0,IF(Mitarbeiter!$G$57=FALSE,0,IF(AND(Mitarbeiter!$E$57&lt;&gt;"",DX$5+6&lt;Mitarbeiter!$E$57),0,IF(AND(Mitarbeiter!$F$57&lt;&gt;"",DX$5&gt;Mitarbeiter!$F$57),0,IF(Planung!DX59="",$C59,IF(ISNUMBER(Planung!DX59),Planung!DX59,IF(UPPER(Planung!DX59)="H",$C59/2,0)))))))</f>
        <v>0</v>
      </c>
      <c r="DY59" s="27">
        <f>IF($A59="",0,IF(Mitarbeiter!$G$57=FALSE,0,IF(AND(Mitarbeiter!$E$57&lt;&gt;"",DY$5+6&lt;Mitarbeiter!$E$57),0,IF(AND(Mitarbeiter!$F$57&lt;&gt;"",DY$5&gt;Mitarbeiter!$F$57),0,IF(Planung!DY59="",$C59,IF(ISNUMBER(Planung!DY59),Planung!DY59,IF(UPPER(Planung!DY59)="H",$C59/2,0)))))))</f>
        <v>0</v>
      </c>
      <c r="DZ59" s="27">
        <f>IF($A59="",0,IF(Mitarbeiter!$G$57=FALSE,0,IF(AND(Mitarbeiter!$E$57&lt;&gt;"",DZ$5+6&lt;Mitarbeiter!$E$57),0,IF(AND(Mitarbeiter!$F$57&lt;&gt;"",DZ$5&gt;Mitarbeiter!$F$57),0,IF(Planung!DZ59="",$C59,IF(ISNUMBER(Planung!DZ59),Planung!DZ59,IF(UPPER(Planung!DZ59)="H",$C59/2,0)))))))</f>
        <v>0</v>
      </c>
      <c r="EA59" s="27">
        <f>IF($A59="",0,IF(Mitarbeiter!$G$57=FALSE,0,IF(AND(Mitarbeiter!$E$57&lt;&gt;"",EA$5+6&lt;Mitarbeiter!$E$57),0,IF(AND(Mitarbeiter!$F$57&lt;&gt;"",EA$5&gt;Mitarbeiter!$F$57),0,IF(Planung!EA59="",$C59,IF(ISNUMBER(Planung!EA59),Planung!EA59,IF(UPPER(Planung!EA59)="H",$C59/2,0)))))))</f>
        <v>0</v>
      </c>
      <c r="EB59" s="27">
        <f>IF($A59="",0,IF(Mitarbeiter!$G$57=FALSE,0,IF(AND(Mitarbeiter!$E$57&lt;&gt;"",EB$5+6&lt;Mitarbeiter!$E$57),0,IF(AND(Mitarbeiter!$F$57&lt;&gt;"",EB$5&gt;Mitarbeiter!$F$57),0,IF(Planung!EB59="",$C59,IF(ISNUMBER(Planung!EB59),Planung!EB59,IF(UPPER(Planung!EB59)="H",$C59/2,0)))))))</f>
        <v>0</v>
      </c>
      <c r="EC59" s="27">
        <f>IF($A59="",0,IF(Mitarbeiter!$G$57=FALSE,0,IF(AND(Mitarbeiter!$E$57&lt;&gt;"",EC$5+6&lt;Mitarbeiter!$E$57),0,IF(AND(Mitarbeiter!$F$57&lt;&gt;"",EC$5&gt;Mitarbeiter!$F$57),0,IF(Planung!EC59="",$C59,IF(ISNUMBER(Planung!EC59),Planung!EC59,IF(UPPER(Planung!EC59)="H",$C59/2,0)))))))</f>
        <v>0</v>
      </c>
      <c r="ED59" s="27">
        <f>IF($A59="",0,IF(Mitarbeiter!$G$57=FALSE,0,IF(AND(Mitarbeiter!$E$57&lt;&gt;"",ED$5+6&lt;Mitarbeiter!$E$57),0,IF(AND(Mitarbeiter!$F$57&lt;&gt;"",ED$5&gt;Mitarbeiter!$F$57),0,IF(Planung!ED59="",$C59,IF(ISNUMBER(Planung!ED59),Planung!ED59,IF(UPPER(Planung!ED59)="H",$C59/2,0)))))))</f>
        <v>0</v>
      </c>
      <c r="EE59" s="27">
        <f>IF($A59="",0,IF(Mitarbeiter!$G$57=FALSE,0,IF(AND(Mitarbeiter!$E$57&lt;&gt;"",EE$5+6&lt;Mitarbeiter!$E$57),0,IF(AND(Mitarbeiter!$F$57&lt;&gt;"",EE$5&gt;Mitarbeiter!$F$57),0,IF(Planung!EE59="",$C59,IF(ISNUMBER(Planung!EE59),Planung!EE59,IF(UPPER(Planung!EE59)="H",$C59/2,0)))))))</f>
        <v>0</v>
      </c>
      <c r="EF59" s="27">
        <f>IF($A59="",0,IF(Mitarbeiter!$G$57=FALSE,0,IF(AND(Mitarbeiter!$E$57&lt;&gt;"",EF$5+6&lt;Mitarbeiter!$E$57),0,IF(AND(Mitarbeiter!$F$57&lt;&gt;"",EF$5&gt;Mitarbeiter!$F$57),0,IF(Planung!EF59="",$C59,IF(ISNUMBER(Planung!EF59),Planung!EF59,IF(UPPER(Planung!EF59)="H",$C59/2,0)))))))</f>
        <v>0</v>
      </c>
      <c r="EG59" s="27">
        <f>IF($A59="",0,IF(Mitarbeiter!$G$57=FALSE,0,IF(AND(Mitarbeiter!$E$57&lt;&gt;"",EG$5+6&lt;Mitarbeiter!$E$57),0,IF(AND(Mitarbeiter!$F$57&lt;&gt;"",EG$5&gt;Mitarbeiter!$F$57),0,IF(Planung!EG59="",$C59,IF(ISNUMBER(Planung!EG59),Planung!EG59,IF(UPPER(Planung!EG59)="H",$C59/2,0)))))))</f>
        <v>0</v>
      </c>
      <c r="EH59" s="27">
        <f>IF($A59="",0,IF(Mitarbeiter!$G$57=FALSE,0,IF(AND(Mitarbeiter!$E$57&lt;&gt;"",EH$5+6&lt;Mitarbeiter!$E$57),0,IF(AND(Mitarbeiter!$F$57&lt;&gt;"",EH$5&gt;Mitarbeiter!$F$57),0,IF(Planung!EH59="",$C59,IF(ISNUMBER(Planung!EH59),Planung!EH59,IF(UPPER(Planung!EH59)="H",$C59/2,0)))))))</f>
        <v>0</v>
      </c>
      <c r="EI59" s="27">
        <f>IF($A59="",0,IF(Mitarbeiter!$G$57=FALSE,0,IF(AND(Mitarbeiter!$E$57&lt;&gt;"",EI$5+6&lt;Mitarbeiter!$E$57),0,IF(AND(Mitarbeiter!$F$57&lt;&gt;"",EI$5&gt;Mitarbeiter!$F$57),0,IF(Planung!EI59="",$C59,IF(ISNUMBER(Planung!EI59),Planung!EI59,IF(UPPER(Planung!EI59)="H",$C59/2,0)))))))</f>
        <v>0</v>
      </c>
      <c r="EJ59" s="27">
        <f>IF($A59="",0,IF(Mitarbeiter!$G$57=FALSE,0,IF(AND(Mitarbeiter!$E$57&lt;&gt;"",EJ$5+6&lt;Mitarbeiter!$E$57),0,IF(AND(Mitarbeiter!$F$57&lt;&gt;"",EJ$5&gt;Mitarbeiter!$F$57),0,IF(Planung!EJ59="",$C59,IF(ISNUMBER(Planung!EJ59),Planung!EJ59,IF(UPPER(Planung!EJ59)="H",$C59/2,0)))))))</f>
        <v>0</v>
      </c>
      <c r="EK59" s="27">
        <f>IF($A59="",0,IF(Mitarbeiter!$G$57=FALSE,0,IF(AND(Mitarbeiter!$E$57&lt;&gt;"",EK$5+6&lt;Mitarbeiter!$E$57),0,IF(AND(Mitarbeiter!$F$57&lt;&gt;"",EK$5&gt;Mitarbeiter!$F$57),0,IF(Planung!EK59="",$C59,IF(ISNUMBER(Planung!EK59),Planung!EK59,IF(UPPER(Planung!EK59)="H",$C59/2,0)))))))</f>
        <v>0</v>
      </c>
      <c r="EL59" s="27">
        <f>IF($A59="",0,IF(Mitarbeiter!$G$57=FALSE,0,IF(AND(Mitarbeiter!$E$57&lt;&gt;"",EL$5+6&lt;Mitarbeiter!$E$57),0,IF(AND(Mitarbeiter!$F$57&lt;&gt;"",EL$5&gt;Mitarbeiter!$F$57),0,IF(Planung!EL59="",$C59,IF(ISNUMBER(Planung!EL59),Planung!EL59,IF(UPPER(Planung!EL59)="H",$C59/2,0)))))))</f>
        <v>0</v>
      </c>
      <c r="EM59" s="27">
        <f>IF($A59="",0,IF(Mitarbeiter!$G$57=FALSE,0,IF(AND(Mitarbeiter!$E$57&lt;&gt;"",EM$5+6&lt;Mitarbeiter!$E$57),0,IF(AND(Mitarbeiter!$F$57&lt;&gt;"",EM$5&gt;Mitarbeiter!$F$57),0,IF(Planung!EM59="",$C59,IF(ISNUMBER(Planung!EM59),Planung!EM59,IF(UPPER(Planung!EM59)="H",$C59/2,0)))))))</f>
        <v>0</v>
      </c>
      <c r="EN59" s="27">
        <f>IF($A59="",0,IF(Mitarbeiter!$G$57=FALSE,0,IF(AND(Mitarbeiter!$E$57&lt;&gt;"",EN$5+6&lt;Mitarbeiter!$E$57),0,IF(AND(Mitarbeiter!$F$57&lt;&gt;"",EN$5&gt;Mitarbeiter!$F$57),0,IF(Planung!EN59="",$C59,IF(ISNUMBER(Planung!EN59),Planung!EN59,IF(UPPER(Planung!EN59)="H",$C59/2,0)))))))</f>
        <v>0</v>
      </c>
      <c r="EO59" s="27">
        <f>IF($A59="",0,IF(Mitarbeiter!$G$57=FALSE,0,IF(AND(Mitarbeiter!$E$57&lt;&gt;"",EO$5+6&lt;Mitarbeiter!$E$57),0,IF(AND(Mitarbeiter!$F$57&lt;&gt;"",EO$5&gt;Mitarbeiter!$F$57),0,IF(Planung!EO59="",$C59,IF(ISNUMBER(Planung!EO59),Planung!EO59,IF(UPPER(Planung!EO59)="H",$C59/2,0)))))))</f>
        <v>0</v>
      </c>
      <c r="EP59" s="27">
        <f>IF($A59="",0,IF(Mitarbeiter!$G$57=FALSE,0,IF(AND(Mitarbeiter!$E$57&lt;&gt;"",EP$5+6&lt;Mitarbeiter!$E$57),0,IF(AND(Mitarbeiter!$F$57&lt;&gt;"",EP$5&gt;Mitarbeiter!$F$57),0,IF(Planung!EP59="",$C59,IF(ISNUMBER(Planung!EP59),Planung!EP59,IF(UPPER(Planung!EP59)="H",$C59/2,0)))))))</f>
        <v>0</v>
      </c>
      <c r="EQ59" s="27">
        <f>IF($A59="",0,IF(Mitarbeiter!$G$57=FALSE,0,IF(AND(Mitarbeiter!$E$57&lt;&gt;"",EQ$5+6&lt;Mitarbeiter!$E$57),0,IF(AND(Mitarbeiter!$F$57&lt;&gt;"",EQ$5&gt;Mitarbeiter!$F$57),0,IF(Planung!EQ59="",$C59,IF(ISNUMBER(Planung!EQ59),Planung!EQ59,IF(UPPER(Planung!EQ59)="H",$C59/2,0)))))))</f>
        <v>0</v>
      </c>
      <c r="ER59" s="27">
        <f>IF($A59="",0,IF(Mitarbeiter!$G$57=FALSE,0,IF(AND(Mitarbeiter!$E$57&lt;&gt;"",ER$5+6&lt;Mitarbeiter!$E$57),0,IF(AND(Mitarbeiter!$F$57&lt;&gt;"",ER$5&gt;Mitarbeiter!$F$57),0,IF(Planung!ER59="",$C59,IF(ISNUMBER(Planung!ER59),Planung!ER59,IF(UPPER(Planung!ER59)="H",$C59/2,0)))))))</f>
        <v>0</v>
      </c>
      <c r="ES59" s="27">
        <f>IF($A59="",0,IF(Mitarbeiter!$G$57=FALSE,0,IF(AND(Mitarbeiter!$E$57&lt;&gt;"",ES$5+6&lt;Mitarbeiter!$E$57),0,IF(AND(Mitarbeiter!$F$57&lt;&gt;"",ES$5&gt;Mitarbeiter!$F$57),0,IF(Planung!ES59="",$C59,IF(ISNUMBER(Planung!ES59),Planung!ES59,IF(UPPER(Planung!ES59)="H",$C59/2,0)))))))</f>
        <v>0</v>
      </c>
      <c r="ET59" s="27">
        <f>IF($A59="",0,IF(Mitarbeiter!$G$57=FALSE,0,IF(AND(Mitarbeiter!$E$57&lt;&gt;"",ET$5+6&lt;Mitarbeiter!$E$57),0,IF(AND(Mitarbeiter!$F$57&lt;&gt;"",ET$5&gt;Mitarbeiter!$F$57),0,IF(Planung!ET59="",$C59,IF(ISNUMBER(Planung!ET59),Planung!ET59,IF(UPPER(Planung!ET59)="H",$C59/2,0)))))))</f>
        <v>0</v>
      </c>
      <c r="EU59" s="27">
        <f>IF($A59="",0,IF(Mitarbeiter!$G$57=FALSE,0,IF(AND(Mitarbeiter!$E$57&lt;&gt;"",EU$5+6&lt;Mitarbeiter!$E$57),0,IF(AND(Mitarbeiter!$F$57&lt;&gt;"",EU$5&gt;Mitarbeiter!$F$57),0,IF(Planung!EU59="",$C59,IF(ISNUMBER(Planung!EU59),Planung!EU59,IF(UPPER(Planung!EU59)="H",$C59/2,0)))))))</f>
        <v>0</v>
      </c>
      <c r="EV59" s="27">
        <f>IF($A59="",0,IF(Mitarbeiter!$G$57=FALSE,0,IF(AND(Mitarbeiter!$E$57&lt;&gt;"",EV$5+6&lt;Mitarbeiter!$E$57),0,IF(AND(Mitarbeiter!$F$57&lt;&gt;"",EV$5&gt;Mitarbeiter!$F$57),0,IF(Planung!EV59="",$C59,IF(ISNUMBER(Planung!EV59),Planung!EV59,IF(UPPER(Planung!EV59)="H",$C59/2,0)))))))</f>
        <v>0</v>
      </c>
      <c r="EW59" s="27">
        <f>IF($A59="",0,IF(Mitarbeiter!$G$57=FALSE,0,IF(AND(Mitarbeiter!$E$57&lt;&gt;"",EW$5+6&lt;Mitarbeiter!$E$57),0,IF(AND(Mitarbeiter!$F$57&lt;&gt;"",EW$5&gt;Mitarbeiter!$F$57),0,IF(Planung!EW59="",$C59,IF(ISNUMBER(Planung!EW59),Planung!EW59,IF(UPPER(Planung!EW59)="H",$C59/2,0)))))))</f>
        <v>0</v>
      </c>
      <c r="EX59" s="27">
        <f>IF($A59="",0,IF(Mitarbeiter!$G$57=FALSE,0,IF(AND(Mitarbeiter!$E$57&lt;&gt;"",EX$5+6&lt;Mitarbeiter!$E$57),0,IF(AND(Mitarbeiter!$F$57&lt;&gt;"",EX$5&gt;Mitarbeiter!$F$57),0,IF(Planung!EX59="",$C59,IF(ISNUMBER(Planung!EX59),Planung!EX59,IF(UPPER(Planung!EX59)="H",$C59/2,0)))))))</f>
        <v>0</v>
      </c>
      <c r="EY59" s="27">
        <f>IF($A59="",0,IF(Mitarbeiter!$G$57=FALSE,0,IF(AND(Mitarbeiter!$E$57&lt;&gt;"",EY$5+6&lt;Mitarbeiter!$E$57),0,IF(AND(Mitarbeiter!$F$57&lt;&gt;"",EY$5&gt;Mitarbeiter!$F$57),0,IF(Planung!EY59="",$C59,IF(ISNUMBER(Planung!EY59),Planung!EY59,IF(UPPER(Planung!EY59)="H",$C59/2,0)))))))</f>
        <v>0</v>
      </c>
      <c r="EZ59" s="27">
        <f>IF($A59="",0,IF(Mitarbeiter!$G$57=FALSE,0,IF(AND(Mitarbeiter!$E$57&lt;&gt;"",EZ$5+6&lt;Mitarbeiter!$E$57),0,IF(AND(Mitarbeiter!$F$57&lt;&gt;"",EZ$5&gt;Mitarbeiter!$F$57),0,IF(Planung!EZ59="",$C59,IF(ISNUMBER(Planung!EZ59),Planung!EZ59,IF(UPPER(Planung!EZ59)="H",$C59/2,0)))))))</f>
        <v>0</v>
      </c>
      <c r="FA59" s="27">
        <f>IF($A59="",0,IF(Mitarbeiter!$G$57=FALSE,0,IF(AND(Mitarbeiter!$E$57&lt;&gt;"",FA$5+6&lt;Mitarbeiter!$E$57),0,IF(AND(Mitarbeiter!$F$57&lt;&gt;"",FA$5&gt;Mitarbeiter!$F$57),0,IF(Planung!FA59="",$C59,IF(ISNUMBER(Planung!FA59),Planung!FA59,IF(UPPER(Planung!FA59)="H",$C59/2,0)))))))</f>
        <v>0</v>
      </c>
      <c r="FB59" s="27">
        <f>IF($A59="",0,IF(Mitarbeiter!$G$57=FALSE,0,IF(AND(Mitarbeiter!$E$57&lt;&gt;"",FB$5+6&lt;Mitarbeiter!$E$57),0,IF(AND(Mitarbeiter!$F$57&lt;&gt;"",FB$5&gt;Mitarbeiter!$F$57),0,IF(Planung!FB59="",$C59,IF(ISNUMBER(Planung!FB59),Planung!FB59,IF(UPPER(Planung!FB59)="H",$C59/2,0)))))))</f>
        <v>0</v>
      </c>
      <c r="FC59" s="27">
        <f>IF($A59="",0,IF(Mitarbeiter!$G$57=FALSE,0,IF(AND(Mitarbeiter!$E$57&lt;&gt;"",FC$5+6&lt;Mitarbeiter!$E$57),0,IF(AND(Mitarbeiter!$F$57&lt;&gt;"",FC$5&gt;Mitarbeiter!$F$57),0,IF(Planung!FC59="",$C59,IF(ISNUMBER(Planung!FC59),Planung!FC59,IF(UPPER(Planung!FC59)="H",$C59/2,0)))))))</f>
        <v>0</v>
      </c>
      <c r="FD59" s="27">
        <f>IF($A59="",0,IF(Mitarbeiter!$G$57=FALSE,0,IF(AND(Mitarbeiter!$E$57&lt;&gt;"",FD$5+6&lt;Mitarbeiter!$E$57),0,IF(AND(Mitarbeiter!$F$57&lt;&gt;"",FD$5&gt;Mitarbeiter!$F$57),0,IF(Planung!FD59="",$C59,IF(ISNUMBER(Planung!FD59),Planung!FD59,IF(UPPER(Planung!FD59)="H",$C59/2,0)))))))</f>
        <v>0</v>
      </c>
      <c r="FE59" s="27">
        <f>IF($A59="",0,IF(Mitarbeiter!$G$57=FALSE,0,IF(AND(Mitarbeiter!$E$57&lt;&gt;"",FE$5+6&lt;Mitarbeiter!$E$57),0,IF(AND(Mitarbeiter!$F$57&lt;&gt;"",FE$5&gt;Mitarbeiter!$F$57),0,IF(Planung!FE59="",$C59,IF(ISNUMBER(Planung!FE59),Planung!FE59,IF(UPPER(Planung!FE59)="H",$C59/2,0)))))))</f>
        <v>0</v>
      </c>
      <c r="FF59" s="27">
        <f>IF($A59="",0,IF(Mitarbeiter!$G$57=FALSE,0,IF(AND(Mitarbeiter!$E$57&lt;&gt;"",FF$5+6&lt;Mitarbeiter!$E$57),0,IF(AND(Mitarbeiter!$F$57&lt;&gt;"",FF$5&gt;Mitarbeiter!$F$57),0,IF(Planung!FF59="",$C59,IF(ISNUMBER(Planung!FF59),Planung!FF59,IF(UPPER(Planung!FF59)="H",$C59/2,0)))))))</f>
        <v>0</v>
      </c>
      <c r="FG59" s="27">
        <f>IF($A59="",0,IF(Mitarbeiter!$G$57=FALSE,0,IF(AND(Mitarbeiter!$E$57&lt;&gt;"",FG$5+6&lt;Mitarbeiter!$E$57),0,IF(AND(Mitarbeiter!$F$57&lt;&gt;"",FG$5&gt;Mitarbeiter!$F$57),0,IF(Planung!FG59="",$C59,IF(ISNUMBER(Planung!FG59),Planung!FG59,IF(UPPER(Planung!FG59)="H",$C59/2,0)))))))</f>
        <v>0</v>
      </c>
      <c r="FH59" s="27">
        <f>IF($A59="",0,IF(Mitarbeiter!$G$57=FALSE,0,IF(AND(Mitarbeiter!$E$57&lt;&gt;"",FH$5+6&lt;Mitarbeiter!$E$57),0,IF(AND(Mitarbeiter!$F$57&lt;&gt;"",FH$5&gt;Mitarbeiter!$F$57),0,IF(Planung!FH59="",$C59,IF(ISNUMBER(Planung!FH59),Planung!FH59,IF(UPPER(Planung!FH59)="H",$C59/2,0)))))))</f>
        <v>0</v>
      </c>
      <c r="FI59" s="27">
        <f>IF($A59="",0,IF(Mitarbeiter!$G$57=FALSE,0,IF(AND(Mitarbeiter!$E$57&lt;&gt;"",FI$5+6&lt;Mitarbeiter!$E$57),0,IF(AND(Mitarbeiter!$F$57&lt;&gt;"",FI$5&gt;Mitarbeiter!$F$57),0,IF(Planung!FI59="",$C59,IF(ISNUMBER(Planung!FI59),Planung!FI59,IF(UPPER(Planung!FI59)="H",$C59/2,0)))))))</f>
        <v>0</v>
      </c>
      <c r="FJ59" s="27">
        <f>IF($A59="",0,IF(Mitarbeiter!$G$57=FALSE,0,IF(AND(Mitarbeiter!$E$57&lt;&gt;"",FJ$5+6&lt;Mitarbeiter!$E$57),0,IF(AND(Mitarbeiter!$F$57&lt;&gt;"",FJ$5&gt;Mitarbeiter!$F$57),0,IF(Planung!FJ59="",$C59,IF(ISNUMBER(Planung!FJ59),Planung!FJ59,IF(UPPER(Planung!FJ59)="H",$C59/2,0)))))))</f>
        <v>0</v>
      </c>
      <c r="FK59" s="27">
        <f>IF($A59="",0,IF(Mitarbeiter!$G$57=FALSE,0,IF(AND(Mitarbeiter!$E$57&lt;&gt;"",FK$5+6&lt;Mitarbeiter!$E$57),0,IF(AND(Mitarbeiter!$F$57&lt;&gt;"",FK$5&gt;Mitarbeiter!$F$57),0,IF(Planung!FK59="",$C59,IF(ISNUMBER(Planung!FK59),Planung!FK59,IF(UPPER(Planung!FK59)="H",$C59/2,0)))))))</f>
        <v>0</v>
      </c>
      <c r="FL59" s="27">
        <f>IF($A59="",0,IF(Mitarbeiter!$G$57=FALSE,0,IF(AND(Mitarbeiter!$E$57&lt;&gt;"",FL$5+6&lt;Mitarbeiter!$E$57),0,IF(AND(Mitarbeiter!$F$57&lt;&gt;"",FL$5&gt;Mitarbeiter!$F$57),0,IF(Planung!FL59="",$C59,IF(ISNUMBER(Planung!FL59),Planung!FL59,IF(UPPER(Planung!FL59)="H",$C59/2,0)))))))</f>
        <v>0</v>
      </c>
      <c r="FM59" s="27">
        <f>IF($A59="",0,IF(Mitarbeiter!$G$57=FALSE,0,IF(AND(Mitarbeiter!$E$57&lt;&gt;"",FM$5+6&lt;Mitarbeiter!$E$57),0,IF(AND(Mitarbeiter!$F$57&lt;&gt;"",FM$5&gt;Mitarbeiter!$F$57),0,IF(Planung!FM59="",$C59,IF(ISNUMBER(Planung!FM59),Planung!FM59,IF(UPPER(Planung!FM59)="H",$C59/2,0)))))))</f>
        <v>0</v>
      </c>
      <c r="FN59" s="27">
        <f>IF($A59="",0,IF(Mitarbeiter!$G$57=FALSE,0,IF(AND(Mitarbeiter!$E$57&lt;&gt;"",FN$5+6&lt;Mitarbeiter!$E$57),0,IF(AND(Mitarbeiter!$F$57&lt;&gt;"",FN$5&gt;Mitarbeiter!$F$57),0,IF(Planung!FN59="",$C59,IF(ISNUMBER(Planung!FN59),Planung!FN59,IF(UPPER(Planung!FN59)="H",$C59/2,0)))))))</f>
        <v>0</v>
      </c>
      <c r="FO59" s="27">
        <f>IF($A59="",0,IF(Mitarbeiter!$G$57=FALSE,0,IF(AND(Mitarbeiter!$E$57&lt;&gt;"",FO$5+6&lt;Mitarbeiter!$E$57),0,IF(AND(Mitarbeiter!$F$57&lt;&gt;"",FO$5&gt;Mitarbeiter!$F$57),0,IF(Planung!FO59="",$C59,IF(ISNUMBER(Planung!FO59),Planung!FO59,IF(UPPER(Planung!FO59)="H",$C59/2,0)))))))</f>
        <v>0</v>
      </c>
      <c r="FP59" s="27">
        <f>IF($A59="",0,IF(Mitarbeiter!$G$57=FALSE,0,IF(AND(Mitarbeiter!$E$57&lt;&gt;"",FP$5+6&lt;Mitarbeiter!$E$57),0,IF(AND(Mitarbeiter!$F$57&lt;&gt;"",FP$5&gt;Mitarbeiter!$F$57),0,IF(Planung!FP59="",$C59,IF(ISNUMBER(Planung!FP59),Planung!FP59,IF(UPPER(Planung!FP59)="H",$C59/2,0)))))))</f>
        <v>0</v>
      </c>
      <c r="FQ59" s="27">
        <f>IF($A59="",0,IF(Mitarbeiter!$G$57=FALSE,0,IF(AND(Mitarbeiter!$E$57&lt;&gt;"",FQ$5+6&lt;Mitarbeiter!$E$57),0,IF(AND(Mitarbeiter!$F$57&lt;&gt;"",FQ$5&gt;Mitarbeiter!$F$57),0,IF(Planung!FQ59="",$C59,IF(ISNUMBER(Planung!FQ59),Planung!FQ59,IF(UPPER(Planung!FQ59)="H",$C59/2,0)))))))</f>
        <v>0</v>
      </c>
      <c r="FR59" s="27">
        <f>IF($A59="",0,IF(Mitarbeiter!$G$57=FALSE,0,IF(AND(Mitarbeiter!$E$57&lt;&gt;"",FR$5+6&lt;Mitarbeiter!$E$57),0,IF(AND(Mitarbeiter!$F$57&lt;&gt;"",FR$5&gt;Mitarbeiter!$F$57),0,IF(Planung!FR59="",$C59,IF(ISNUMBER(Planung!FR59),Planung!FR59,IF(UPPER(Planung!FR59)="H",$C59/2,0)))))))</f>
        <v>0</v>
      </c>
      <c r="FS59" s="27">
        <f>IF($A59="",0,IF(Mitarbeiter!$G$57=FALSE,0,IF(AND(Mitarbeiter!$E$57&lt;&gt;"",FS$5+6&lt;Mitarbeiter!$E$57),0,IF(AND(Mitarbeiter!$F$57&lt;&gt;"",FS$5&gt;Mitarbeiter!$F$57),0,IF(Planung!FS59="",$C59,IF(ISNUMBER(Planung!FS59),Planung!FS59,IF(UPPER(Planung!FS59)="H",$C59/2,0)))))))</f>
        <v>0</v>
      </c>
      <c r="FT59" s="27">
        <f>IF($A59="",0,IF(Mitarbeiter!$G$57=FALSE,0,IF(AND(Mitarbeiter!$E$57&lt;&gt;"",FT$5+6&lt;Mitarbeiter!$E$57),0,IF(AND(Mitarbeiter!$F$57&lt;&gt;"",FT$5&gt;Mitarbeiter!$F$57),0,IF(Planung!FT59="",$C59,IF(ISNUMBER(Planung!FT59),Planung!FT59,IF(UPPER(Planung!FT59)="H",$C59/2,0)))))))</f>
        <v>0</v>
      </c>
      <c r="FU59" s="27">
        <f>IF($A59="",0,IF(Mitarbeiter!$G$57=FALSE,0,IF(AND(Mitarbeiter!$E$57&lt;&gt;"",FU$5+6&lt;Mitarbeiter!$E$57),0,IF(AND(Mitarbeiter!$F$57&lt;&gt;"",FU$5&gt;Mitarbeiter!$F$57),0,IF(Planung!FU59="",$C59,IF(ISNUMBER(Planung!FU59),Planung!FU59,IF(UPPER(Planung!FU59)="H",$C59/2,0)))))))</f>
        <v>0</v>
      </c>
      <c r="FV59" s="27">
        <f>IF($A59="",0,IF(Mitarbeiter!$G$57=FALSE,0,IF(AND(Mitarbeiter!$E$57&lt;&gt;"",FV$5+6&lt;Mitarbeiter!$E$57),0,IF(AND(Mitarbeiter!$F$57&lt;&gt;"",FV$5&gt;Mitarbeiter!$F$57),0,IF(Planung!FV59="",$C59,IF(ISNUMBER(Planung!FV59),Planung!FV59,IF(UPPER(Planung!FV59)="H",$C59/2,0)))))))</f>
        <v>0</v>
      </c>
      <c r="FW59" s="27">
        <f>IF($A59="",0,IF(Mitarbeiter!$G$57=FALSE,0,IF(AND(Mitarbeiter!$E$57&lt;&gt;"",FW$5+6&lt;Mitarbeiter!$E$57),0,IF(AND(Mitarbeiter!$F$57&lt;&gt;"",FW$5&gt;Mitarbeiter!$F$57),0,IF(Planung!FW59="",$C59,IF(ISNUMBER(Planung!FW59),Planung!FW59,IF(UPPER(Planung!FW59)="H",$C59/2,0)))))))</f>
        <v>0</v>
      </c>
      <c r="FX59" s="27">
        <f>IF($A59="",0,IF(Mitarbeiter!$G$57=FALSE,0,IF(AND(Mitarbeiter!$E$57&lt;&gt;"",FX$5+6&lt;Mitarbeiter!$E$57),0,IF(AND(Mitarbeiter!$F$57&lt;&gt;"",FX$5&gt;Mitarbeiter!$F$57),0,IF(Planung!FX59="",$C59,IF(ISNUMBER(Planung!FX59),Planung!FX59,IF(UPPER(Planung!FX59)="H",$C59/2,0)))))))</f>
        <v>0</v>
      </c>
      <c r="FY59" s="27">
        <f>IF($A59="",0,IF(Mitarbeiter!$G$57=FALSE,0,IF(AND(Mitarbeiter!$E$57&lt;&gt;"",FY$5+6&lt;Mitarbeiter!$E$57),0,IF(AND(Mitarbeiter!$F$57&lt;&gt;"",FY$5&gt;Mitarbeiter!$F$57),0,IF(Planung!FY59="",$C59,IF(ISNUMBER(Planung!FY59),Planung!FY59,IF(UPPER(Planung!FY59)="H",$C59/2,0)))))))</f>
        <v>0</v>
      </c>
      <c r="FZ59" s="27">
        <f>IF($A59="",0,IF(Mitarbeiter!$G$57=FALSE,0,IF(AND(Mitarbeiter!$E$57&lt;&gt;"",FZ$5+6&lt;Mitarbeiter!$E$57),0,IF(AND(Mitarbeiter!$F$57&lt;&gt;"",FZ$5&gt;Mitarbeiter!$F$57),0,IF(Planung!FZ59="",$C59,IF(ISNUMBER(Planung!FZ59),Planung!FZ59,IF(UPPER(Planung!FZ59)="H",$C59/2,0)))))))</f>
        <v>0</v>
      </c>
      <c r="GA59" s="27">
        <f>IF($A59="",0,IF(Mitarbeiter!$G$57=FALSE,0,IF(AND(Mitarbeiter!$E$57&lt;&gt;"",GA$5+6&lt;Mitarbeiter!$E$57),0,IF(AND(Mitarbeiter!$F$57&lt;&gt;"",GA$5&gt;Mitarbeiter!$F$57),0,IF(Planung!GA59="",$C59,IF(ISNUMBER(Planung!GA59),Planung!GA59,IF(UPPER(Planung!GA59)="H",$C59/2,0)))))))</f>
        <v>0</v>
      </c>
      <c r="GB59" s="27">
        <f>IF($A59="",0,IF(Mitarbeiter!$G$57=FALSE,0,IF(AND(Mitarbeiter!$E$57&lt;&gt;"",GB$5+6&lt;Mitarbeiter!$E$57),0,IF(AND(Mitarbeiter!$F$57&lt;&gt;"",GB$5&gt;Mitarbeiter!$F$57),0,IF(Planung!GB59="",$C59,IF(ISNUMBER(Planung!GB59),Planung!GB59,IF(UPPER(Planung!GB59)="H",$C59/2,0)))))))</f>
        <v>0</v>
      </c>
      <c r="GC59" s="27">
        <f>IF($A59="",0,IF(Mitarbeiter!$G$57=FALSE,0,IF(AND(Mitarbeiter!$E$57&lt;&gt;"",GC$5+6&lt;Mitarbeiter!$E$57),0,IF(AND(Mitarbeiter!$F$57&lt;&gt;"",GC$5&gt;Mitarbeiter!$F$57),0,IF(Planung!GC59="",$C59,IF(ISNUMBER(Planung!GC59),Planung!GC59,IF(UPPER(Planung!GC59)="H",$C59/2,0)))))))</f>
        <v>0</v>
      </c>
      <c r="GD59" s="27">
        <f>IF($A59="",0,IF(Mitarbeiter!$G$57=FALSE,0,IF(AND(Mitarbeiter!$E$57&lt;&gt;"",GD$5+6&lt;Mitarbeiter!$E$57),0,IF(AND(Mitarbeiter!$F$57&lt;&gt;"",GD$5&gt;Mitarbeiter!$F$57),0,IF(Planung!GD59="",$C59,IF(ISNUMBER(Planung!GD59),Planung!GD59,IF(UPPER(Planung!GD59)="H",$C59/2,0)))))))</f>
        <v>0</v>
      </c>
      <c r="GE59" s="27">
        <f>IF($A59="",0,IF(Mitarbeiter!$G$57=FALSE,0,IF(AND(Mitarbeiter!$E$57&lt;&gt;"",GE$5+6&lt;Mitarbeiter!$E$57),0,IF(AND(Mitarbeiter!$F$57&lt;&gt;"",GE$5&gt;Mitarbeiter!$F$57),0,IF(Planung!GE59="",$C59,IF(ISNUMBER(Planung!GE59),Planung!GE59,IF(UPPER(Planung!GE59)="H",$C59/2,0)))))))</f>
        <v>0</v>
      </c>
      <c r="GF59" s="27">
        <f>IF($A59="",0,IF(Mitarbeiter!$G$57=FALSE,0,IF(AND(Mitarbeiter!$E$57&lt;&gt;"",GF$5+6&lt;Mitarbeiter!$E$57),0,IF(AND(Mitarbeiter!$F$57&lt;&gt;"",GF$5&gt;Mitarbeiter!$F$57),0,IF(Planung!GF59="",$C59,IF(ISNUMBER(Planung!GF59),Planung!GF59,IF(UPPER(Planung!GF59)="H",$C59/2,0)))))))</f>
        <v>0</v>
      </c>
      <c r="GG59" s="27">
        <f>IF($A59="",0,IF(Mitarbeiter!$G$57=FALSE,0,IF(AND(Mitarbeiter!$E$57&lt;&gt;"",GG$5+6&lt;Mitarbeiter!$E$57),0,IF(AND(Mitarbeiter!$F$57&lt;&gt;"",GG$5&gt;Mitarbeiter!$F$57),0,IF(Planung!GG59="",$C59,IF(ISNUMBER(Planung!GG59),Planung!GG59,IF(UPPER(Planung!GG59)="H",$C59/2,0)))))))</f>
        <v>0</v>
      </c>
      <c r="GH59" s="27">
        <f>IF($A59="",0,IF(Mitarbeiter!$G$57=FALSE,0,IF(AND(Mitarbeiter!$E$57&lt;&gt;"",GH$5+6&lt;Mitarbeiter!$E$57),0,IF(AND(Mitarbeiter!$F$57&lt;&gt;"",GH$5&gt;Mitarbeiter!$F$57),0,IF(Planung!GH59="",$C59,IF(ISNUMBER(Planung!GH59),Planung!GH59,IF(UPPER(Planung!GH59)="H",$C59/2,0)))))))</f>
        <v>0</v>
      </c>
      <c r="GI59" s="27">
        <f>IF($A59="",0,IF(Mitarbeiter!$G$57=FALSE,0,IF(AND(Mitarbeiter!$E$57&lt;&gt;"",GI$5+6&lt;Mitarbeiter!$E$57),0,IF(AND(Mitarbeiter!$F$57&lt;&gt;"",GI$5&gt;Mitarbeiter!$F$57),0,IF(Planung!GI59="",$C59,IF(ISNUMBER(Planung!GI59),Planung!GI59,IF(UPPER(Planung!GI59)="H",$C59/2,0)))))))</f>
        <v>0</v>
      </c>
      <c r="GJ59" s="27">
        <f>IF($A59="",0,IF(Mitarbeiter!$G$57=FALSE,0,IF(AND(Mitarbeiter!$E$57&lt;&gt;"",GJ$5+6&lt;Mitarbeiter!$E$57),0,IF(AND(Mitarbeiter!$F$57&lt;&gt;"",GJ$5&gt;Mitarbeiter!$F$57),0,IF(Planung!GJ59="",$C59,IF(ISNUMBER(Planung!GJ59),Planung!GJ59,IF(UPPER(Planung!GJ59)="H",$C59/2,0)))))))</f>
        <v>0</v>
      </c>
      <c r="GK59" s="27">
        <f>IF($A59="",0,IF(Mitarbeiter!$G$57=FALSE,0,IF(AND(Mitarbeiter!$E$57&lt;&gt;"",GK$5+6&lt;Mitarbeiter!$E$57),0,IF(AND(Mitarbeiter!$F$57&lt;&gt;"",GK$5&gt;Mitarbeiter!$F$57),0,IF(Planung!GK59="",$C59,IF(ISNUMBER(Planung!GK59),Planung!GK59,IF(UPPER(Planung!GK59)="H",$C59/2,0)))))))</f>
        <v>0</v>
      </c>
      <c r="GL59" s="27">
        <f>IF($A59="",0,IF(Mitarbeiter!$G$57=FALSE,0,IF(AND(Mitarbeiter!$E$57&lt;&gt;"",GL$5+6&lt;Mitarbeiter!$E$57),0,IF(AND(Mitarbeiter!$F$57&lt;&gt;"",GL$5&gt;Mitarbeiter!$F$57),0,IF(Planung!GL59="",$C59,IF(ISNUMBER(Planung!GL59),Planung!GL59,IF(UPPER(Planung!GL59)="H",$C59/2,0)))))))</f>
        <v>0</v>
      </c>
      <c r="GM59" s="27">
        <f>IF($A59="",0,IF(Mitarbeiter!$G$57=FALSE,0,IF(AND(Mitarbeiter!$E$57&lt;&gt;"",GM$5+6&lt;Mitarbeiter!$E$57),0,IF(AND(Mitarbeiter!$F$57&lt;&gt;"",GM$5&gt;Mitarbeiter!$F$57),0,IF(Planung!GM59="",$C59,IF(ISNUMBER(Planung!GM59),Planung!GM59,IF(UPPER(Planung!GM59)="H",$C59/2,0)))))))</f>
        <v>0</v>
      </c>
      <c r="GN59" s="27">
        <f>IF($A59="",0,IF(Mitarbeiter!$G$57=FALSE,0,IF(AND(Mitarbeiter!$E$57&lt;&gt;"",GN$5+6&lt;Mitarbeiter!$E$57),0,IF(AND(Mitarbeiter!$F$57&lt;&gt;"",GN$5&gt;Mitarbeiter!$F$57),0,IF(Planung!GN59="",$C59,IF(ISNUMBER(Planung!GN59),Planung!GN59,IF(UPPER(Planung!GN59)="H",$C59/2,0)))))))</f>
        <v>0</v>
      </c>
      <c r="GO59" s="27">
        <f>IF($A59="",0,IF(Mitarbeiter!$G$57=FALSE,0,IF(AND(Mitarbeiter!$E$57&lt;&gt;"",GO$5+6&lt;Mitarbeiter!$E$57),0,IF(AND(Mitarbeiter!$F$57&lt;&gt;"",GO$5&gt;Mitarbeiter!$F$57),0,IF(Planung!GO59="",$C59,IF(ISNUMBER(Planung!GO59),Planung!GO59,IF(UPPER(Planung!GO59)="H",$C59/2,0)))))))</f>
        <v>0</v>
      </c>
      <c r="GP59" s="27">
        <f>IF($A59="",0,IF(Mitarbeiter!$G$57=FALSE,0,IF(AND(Mitarbeiter!$E$57&lt;&gt;"",GP$5+6&lt;Mitarbeiter!$E$57),0,IF(AND(Mitarbeiter!$F$57&lt;&gt;"",GP$5&gt;Mitarbeiter!$F$57),0,IF(Planung!GP59="",$C59,IF(ISNUMBER(Planung!GP59),Planung!GP59,IF(UPPER(Planung!GP59)="H",$C59/2,0)))))))</f>
        <v>0</v>
      </c>
      <c r="GQ59" s="27">
        <f>IF($A59="",0,IF(Mitarbeiter!$G$57=FALSE,0,IF(AND(Mitarbeiter!$E$57&lt;&gt;"",GQ$5+6&lt;Mitarbeiter!$E$57),0,IF(AND(Mitarbeiter!$F$57&lt;&gt;"",GQ$5&gt;Mitarbeiter!$F$57),0,IF(Planung!GQ59="",$C59,IF(ISNUMBER(Planung!GQ59),Planung!GQ59,IF(UPPER(Planung!GQ59)="H",$C59/2,0)))))))</f>
        <v>0</v>
      </c>
      <c r="GR59" s="27">
        <f>IF($A59="",0,IF(Mitarbeiter!$G$57=FALSE,0,IF(AND(Mitarbeiter!$E$57&lt;&gt;"",GR$5+6&lt;Mitarbeiter!$E$57),0,IF(AND(Mitarbeiter!$F$57&lt;&gt;"",GR$5&gt;Mitarbeiter!$F$57),0,IF(Planung!GR59="",$C59,IF(ISNUMBER(Planung!GR59),Planung!GR59,IF(UPPER(Planung!GR59)="H",$C59/2,0)))))))</f>
        <v>0</v>
      </c>
      <c r="GS59" s="27">
        <f>IF($A59="",0,IF(Mitarbeiter!$G$57=FALSE,0,IF(AND(Mitarbeiter!$E$57&lt;&gt;"",GS$5+6&lt;Mitarbeiter!$E$57),0,IF(AND(Mitarbeiter!$F$57&lt;&gt;"",GS$5&gt;Mitarbeiter!$F$57),0,IF(Planung!GS59="",$C59,IF(ISNUMBER(Planung!GS59),Planung!GS59,IF(UPPER(Planung!GS59)="H",$C59/2,0)))))))</f>
        <v>0</v>
      </c>
      <c r="GT59" s="27">
        <f>IF($A59="",0,IF(Mitarbeiter!$G$57=FALSE,0,IF(AND(Mitarbeiter!$E$57&lt;&gt;"",GT$5+6&lt;Mitarbeiter!$E$57),0,IF(AND(Mitarbeiter!$F$57&lt;&gt;"",GT$5&gt;Mitarbeiter!$F$57),0,IF(Planung!GT59="",$C59,IF(ISNUMBER(Planung!GT59),Planung!GT59,IF(UPPER(Planung!GT59)="H",$C59/2,0)))))))</f>
        <v>0</v>
      </c>
      <c r="GU59" s="27">
        <f>IF($A59="",0,IF(Mitarbeiter!$G$57=FALSE,0,IF(AND(Mitarbeiter!$E$57&lt;&gt;"",GU$5+6&lt;Mitarbeiter!$E$57),0,IF(AND(Mitarbeiter!$F$57&lt;&gt;"",GU$5&gt;Mitarbeiter!$F$57),0,IF(Planung!GU59="",$C59,IF(ISNUMBER(Planung!GU59),Planung!GU59,IF(UPPER(Planung!GU59)="H",$C59/2,0)))))))</f>
        <v>0</v>
      </c>
      <c r="GV59" s="27">
        <f>IF($A59="",0,IF(Mitarbeiter!$G$57=FALSE,0,IF(AND(Mitarbeiter!$E$57&lt;&gt;"",GV$5+6&lt;Mitarbeiter!$E$57),0,IF(AND(Mitarbeiter!$F$57&lt;&gt;"",GV$5&gt;Mitarbeiter!$F$57),0,IF(Planung!GV59="",$C59,IF(ISNUMBER(Planung!GV59),Planung!GV59,IF(UPPER(Planung!GV59)="H",$C59/2,0)))))))</f>
        <v>0</v>
      </c>
      <c r="GW59" s="27">
        <f>IF($A59="",0,IF(Mitarbeiter!$G$57=FALSE,0,IF(AND(Mitarbeiter!$E$57&lt;&gt;"",GW$5+6&lt;Mitarbeiter!$E$57),0,IF(AND(Mitarbeiter!$F$57&lt;&gt;"",GW$5&gt;Mitarbeiter!$F$57),0,IF(Planung!GW59="",$C59,IF(ISNUMBER(Planung!GW59),Planung!GW59,IF(UPPER(Planung!GW59)="H",$C59/2,0)))))))</f>
        <v>0</v>
      </c>
      <c r="GX59" s="27">
        <f>IF($A59="",0,IF(Mitarbeiter!$G$57=FALSE,0,IF(AND(Mitarbeiter!$E$57&lt;&gt;"",GX$5+6&lt;Mitarbeiter!$E$57),0,IF(AND(Mitarbeiter!$F$57&lt;&gt;"",GX$5&gt;Mitarbeiter!$F$57),0,IF(Planung!GX59="",$C59,IF(ISNUMBER(Planung!GX59),Planung!GX59,IF(UPPER(Planung!GX59)="H",$C59/2,0)))))))</f>
        <v>0</v>
      </c>
      <c r="GY59" s="27">
        <f>IF($A59="",0,IF(Mitarbeiter!$G$57=FALSE,0,IF(AND(Mitarbeiter!$E$57&lt;&gt;"",GY$5+6&lt;Mitarbeiter!$E$57),0,IF(AND(Mitarbeiter!$F$57&lt;&gt;"",GY$5&gt;Mitarbeiter!$F$57),0,IF(Planung!GY59="",$C59,IF(ISNUMBER(Planung!GY59),Planung!GY59,IF(UPPER(Planung!GY59)="H",$C59/2,0)))))))</f>
        <v>0</v>
      </c>
      <c r="GZ59" s="27">
        <f>IF($A59="",0,IF(Mitarbeiter!$G$57=FALSE,0,IF(AND(Mitarbeiter!$E$57&lt;&gt;"",GZ$5+6&lt;Mitarbeiter!$E$57),0,IF(AND(Mitarbeiter!$F$57&lt;&gt;"",GZ$5&gt;Mitarbeiter!$F$57),0,IF(Planung!GZ59="",$C59,IF(ISNUMBER(Planung!GZ59),Planung!GZ59,IF(UPPER(Planung!GZ59)="H",$C59/2,0)))))))</f>
        <v>0</v>
      </c>
      <c r="HA59" s="27">
        <f>IF($A59="",0,IF(Mitarbeiter!$G$57=FALSE,0,IF(AND(Mitarbeiter!$E$57&lt;&gt;"",HA$5+6&lt;Mitarbeiter!$E$57),0,IF(AND(Mitarbeiter!$F$57&lt;&gt;"",HA$5&gt;Mitarbeiter!$F$57),0,IF(Planung!HA59="",$C59,IF(ISNUMBER(Planung!HA59),Planung!HA59,IF(UPPER(Planung!HA59)="H",$C59/2,0)))))))</f>
        <v>0</v>
      </c>
      <c r="HB59" s="27">
        <f>IF($A59="",0,IF(Mitarbeiter!$G$57=FALSE,0,IF(AND(Mitarbeiter!$E$57&lt;&gt;"",HB$5+6&lt;Mitarbeiter!$E$57),0,IF(AND(Mitarbeiter!$F$57&lt;&gt;"",HB$5&gt;Mitarbeiter!$F$57),0,IF(Planung!HB59="",$C59,IF(ISNUMBER(Planung!HB59),Planung!HB59,IF(UPPER(Planung!HB59)="H",$C59/2,0)))))))</f>
        <v>0</v>
      </c>
      <c r="HC59" s="27">
        <f>IF($A59="",0,IF(Mitarbeiter!$G$57=FALSE,0,IF(AND(Mitarbeiter!$E$57&lt;&gt;"",HC$5+6&lt;Mitarbeiter!$E$57),0,IF(AND(Mitarbeiter!$F$57&lt;&gt;"",HC$5&gt;Mitarbeiter!$F$57),0,IF(Planung!HC59="",$C59,IF(ISNUMBER(Planung!HC59),Planung!HC59,IF(UPPER(Planung!HC59)="H",$C59/2,0)))))))</f>
        <v>0</v>
      </c>
      <c r="HD59" s="27">
        <f>IF($A59="",0,IF(Mitarbeiter!$G$57=FALSE,0,IF(AND(Mitarbeiter!$E$57&lt;&gt;"",HD$5+6&lt;Mitarbeiter!$E$57),0,IF(AND(Mitarbeiter!$F$57&lt;&gt;"",HD$5&gt;Mitarbeiter!$F$57),0,IF(Planung!HD59="",$C59,IF(ISNUMBER(Planung!HD59),Planung!HD59,IF(UPPER(Planung!HD59)="H",$C59/2,0)))))))</f>
        <v>0</v>
      </c>
      <c r="HE59" s="27">
        <f>IF($A59="",0,IF(Mitarbeiter!$G$57=FALSE,0,IF(AND(Mitarbeiter!$E$57&lt;&gt;"",HE$5+6&lt;Mitarbeiter!$E$57),0,IF(AND(Mitarbeiter!$F$57&lt;&gt;"",HE$5&gt;Mitarbeiter!$F$57),0,IF(Planung!HE59="",$C59,IF(ISNUMBER(Planung!HE59),Planung!HE59,IF(UPPER(Planung!HE59)="H",$C59/2,0)))))))</f>
        <v>0</v>
      </c>
      <c r="HF59" s="27">
        <f>IF($A59="",0,IF(Mitarbeiter!$G$57=FALSE,0,IF(AND(Mitarbeiter!$E$57&lt;&gt;"",HF$5+6&lt;Mitarbeiter!$E$57),0,IF(AND(Mitarbeiter!$F$57&lt;&gt;"",HF$5&gt;Mitarbeiter!$F$57),0,IF(Planung!HF59="",$C59,IF(ISNUMBER(Planung!HF59),Planung!HF59,IF(UPPER(Planung!HF59)="H",$C59/2,0)))))))</f>
        <v>0</v>
      </c>
      <c r="HG59" s="27">
        <f>IF($A59="",0,IF(Mitarbeiter!$G$57=FALSE,0,IF(AND(Mitarbeiter!$E$57&lt;&gt;"",HG$5+6&lt;Mitarbeiter!$E$57),0,IF(AND(Mitarbeiter!$F$57&lt;&gt;"",HG$5&gt;Mitarbeiter!$F$57),0,IF(Planung!HG59="",$C59,IF(ISNUMBER(Planung!HG59),Planung!HG59,IF(UPPER(Planung!HG59)="H",$C59/2,0)))))))</f>
        <v>0</v>
      </c>
      <c r="HH59" s="27">
        <f>IF($A59="",0,IF(Mitarbeiter!$G$57=FALSE,0,IF(AND(Mitarbeiter!$E$57&lt;&gt;"",HH$5+6&lt;Mitarbeiter!$E$57),0,IF(AND(Mitarbeiter!$F$57&lt;&gt;"",HH$5&gt;Mitarbeiter!$F$57),0,IF(Planung!HH59="",$C59,IF(ISNUMBER(Planung!HH59),Planung!HH59,IF(UPPER(Planung!HH59)="H",$C59/2,0)))))))</f>
        <v>0</v>
      </c>
      <c r="HI59" s="27">
        <f>IF($A59="",0,IF(Mitarbeiter!$G$57=FALSE,0,IF(AND(Mitarbeiter!$E$57&lt;&gt;"",HI$5+6&lt;Mitarbeiter!$E$57),0,IF(AND(Mitarbeiter!$F$57&lt;&gt;"",HI$5&gt;Mitarbeiter!$F$57),0,IF(Planung!HI59="",$C59,IF(ISNUMBER(Planung!HI59),Planung!HI59,IF(UPPER(Planung!HI59)="H",$C59/2,0)))))))</f>
        <v>0</v>
      </c>
      <c r="HJ59" s="27">
        <f>IF($A59="",0,IF(Mitarbeiter!$G$57=FALSE,0,IF(AND(Mitarbeiter!$E$57&lt;&gt;"",HJ$5+6&lt;Mitarbeiter!$E$57),0,IF(AND(Mitarbeiter!$F$57&lt;&gt;"",HJ$5&gt;Mitarbeiter!$F$57),0,IF(Planung!HJ59="",$C59,IF(ISNUMBER(Planung!HJ59),Planung!HJ59,IF(UPPER(Planung!HJ59)="H",$C59/2,0)))))))</f>
        <v>0</v>
      </c>
      <c r="HK59" s="27">
        <f>IF($A59="",0,IF(Mitarbeiter!$G$57=FALSE,0,IF(AND(Mitarbeiter!$E$57&lt;&gt;"",HK$5+6&lt;Mitarbeiter!$E$57),0,IF(AND(Mitarbeiter!$F$57&lt;&gt;"",HK$5&gt;Mitarbeiter!$F$57),0,IF(Planung!HK59="",$C59,IF(ISNUMBER(Planung!HK59),Planung!HK59,IF(UPPER(Planung!HK59)="H",$C59/2,0)))))))</f>
        <v>0</v>
      </c>
      <c r="HL59" s="27">
        <f>IF($A59="",0,IF(Mitarbeiter!$G$57=FALSE,0,IF(AND(Mitarbeiter!$E$57&lt;&gt;"",HL$5+6&lt;Mitarbeiter!$E$57),0,IF(AND(Mitarbeiter!$F$57&lt;&gt;"",HL$5&gt;Mitarbeiter!$F$57),0,IF(Planung!HL59="",$C59,IF(ISNUMBER(Planung!HL59),Planung!HL59,IF(UPPER(Planung!HL59)="H",$C59/2,0)))))))</f>
        <v>0</v>
      </c>
      <c r="HM59" s="27">
        <f>IF($A59="",0,IF(Mitarbeiter!$G$57=FALSE,0,IF(AND(Mitarbeiter!$E$57&lt;&gt;"",HM$5+6&lt;Mitarbeiter!$E$57),0,IF(AND(Mitarbeiter!$F$57&lt;&gt;"",HM$5&gt;Mitarbeiter!$F$57),0,IF(Planung!HM59="",$C59,IF(ISNUMBER(Planung!HM59),Planung!HM59,IF(UPPER(Planung!HM59)="H",$C59/2,0)))))))</f>
        <v>0</v>
      </c>
      <c r="HN59" s="27">
        <f>IF($A59="",0,IF(Mitarbeiter!$G$57=FALSE,0,IF(AND(Mitarbeiter!$E$57&lt;&gt;"",HN$5+6&lt;Mitarbeiter!$E$57),0,IF(AND(Mitarbeiter!$F$57&lt;&gt;"",HN$5&gt;Mitarbeiter!$F$57),0,IF(Planung!HN59="",$C59,IF(ISNUMBER(Planung!HN59),Planung!HN59,IF(UPPER(Planung!HN59)="H",$C59/2,0)))))))</f>
        <v>0</v>
      </c>
      <c r="HO59" s="27">
        <f>IF($A59="",0,IF(Mitarbeiter!$G$57=FALSE,0,IF(AND(Mitarbeiter!$E$57&lt;&gt;"",HO$5+6&lt;Mitarbeiter!$E$57),0,IF(AND(Mitarbeiter!$F$57&lt;&gt;"",HO$5&gt;Mitarbeiter!$F$57),0,IF(Planung!HO59="",$C59,IF(ISNUMBER(Planung!HO59),Planung!HO59,IF(UPPER(Planung!HO59)="H",$C59/2,0)))))))</f>
        <v>0</v>
      </c>
      <c r="HP59" s="27">
        <f>IF($A59="",0,IF(Mitarbeiter!$G$57=FALSE,0,IF(AND(Mitarbeiter!$E$57&lt;&gt;"",HP$5+6&lt;Mitarbeiter!$E$57),0,IF(AND(Mitarbeiter!$F$57&lt;&gt;"",HP$5&gt;Mitarbeiter!$F$57),0,IF(Planung!HP59="",$C59,IF(ISNUMBER(Planung!HP59),Planung!HP59,IF(UPPER(Planung!HP59)="H",$C59/2,0)))))))</f>
        <v>0</v>
      </c>
      <c r="HQ59" s="27">
        <f>IF($A59="",0,IF(Mitarbeiter!$G$57=FALSE,0,IF(AND(Mitarbeiter!$E$57&lt;&gt;"",HQ$5+6&lt;Mitarbeiter!$E$57),0,IF(AND(Mitarbeiter!$F$57&lt;&gt;"",HQ$5&gt;Mitarbeiter!$F$57),0,IF(Planung!HQ59="",$C59,IF(ISNUMBER(Planung!HQ59),Planung!HQ59,IF(UPPER(Planung!HQ59)="H",$C59/2,0)))))))</f>
        <v>0</v>
      </c>
      <c r="HR59" s="27">
        <f>IF($A59="",0,IF(Mitarbeiter!$G$57=FALSE,0,IF(AND(Mitarbeiter!$E$57&lt;&gt;"",HR$5+6&lt;Mitarbeiter!$E$57),0,IF(AND(Mitarbeiter!$F$57&lt;&gt;"",HR$5&gt;Mitarbeiter!$F$57),0,IF(Planung!HR59="",$C59,IF(ISNUMBER(Planung!HR59),Planung!HR59,IF(UPPER(Planung!HR59)="H",$C59/2,0)))))))</f>
        <v>0</v>
      </c>
      <c r="HS59" s="27">
        <f>IF($A59="",0,IF(Mitarbeiter!$G$57=FALSE,0,IF(AND(Mitarbeiter!$E$57&lt;&gt;"",HS$5+6&lt;Mitarbeiter!$E$57),0,IF(AND(Mitarbeiter!$F$57&lt;&gt;"",HS$5&gt;Mitarbeiter!$F$57),0,IF(Planung!HS59="",$C59,IF(ISNUMBER(Planung!HS59),Planung!HS59,IF(UPPER(Planung!HS59)="H",$C59/2,0)))))))</f>
        <v>0</v>
      </c>
      <c r="HT59" s="27">
        <f>IF($A59="",0,IF(Mitarbeiter!$G$57=FALSE,0,IF(AND(Mitarbeiter!$E$57&lt;&gt;"",HT$5+6&lt;Mitarbeiter!$E$57),0,IF(AND(Mitarbeiter!$F$57&lt;&gt;"",HT$5&gt;Mitarbeiter!$F$57),0,IF(Planung!HT59="",$C59,IF(ISNUMBER(Planung!HT59),Planung!HT59,IF(UPPER(Planung!HT59)="H",$C59/2,0)))))))</f>
        <v>0</v>
      </c>
      <c r="HU59" s="27">
        <f>IF($A59="",0,IF(Mitarbeiter!$G$57=FALSE,0,IF(AND(Mitarbeiter!$E$57&lt;&gt;"",HU$5+6&lt;Mitarbeiter!$E$57),0,IF(AND(Mitarbeiter!$F$57&lt;&gt;"",HU$5&gt;Mitarbeiter!$F$57),0,IF(Planung!HU59="",$C59,IF(ISNUMBER(Planung!HU59),Planung!HU59,IF(UPPER(Planung!HU59)="H",$C59/2,0)))))))</f>
        <v>0</v>
      </c>
      <c r="HV59" s="27">
        <f>IF($A59="",0,IF(Mitarbeiter!$G$57=FALSE,0,IF(AND(Mitarbeiter!$E$57&lt;&gt;"",HV$5+6&lt;Mitarbeiter!$E$57),0,IF(AND(Mitarbeiter!$F$57&lt;&gt;"",HV$5&gt;Mitarbeiter!$F$57),0,IF(Planung!HV59="",$C59,IF(ISNUMBER(Planung!HV59),Planung!HV59,IF(UPPER(Planung!HV59)="H",$C59/2,0)))))))</f>
        <v>0</v>
      </c>
      <c r="HW59" s="27">
        <f>IF($A59="",0,IF(Mitarbeiter!$G$57=FALSE,0,IF(AND(Mitarbeiter!$E$57&lt;&gt;"",HW$5+6&lt;Mitarbeiter!$E$57),0,IF(AND(Mitarbeiter!$F$57&lt;&gt;"",HW$5&gt;Mitarbeiter!$F$57),0,IF(Planung!HW59="",$C59,IF(ISNUMBER(Planung!HW59),Planung!HW59,IF(UPPER(Planung!HW59)="H",$C59/2,0)))))))</f>
        <v>0</v>
      </c>
      <c r="HX59" s="27">
        <f>IF($A59="",0,IF(Mitarbeiter!$G$57=FALSE,0,IF(AND(Mitarbeiter!$E$57&lt;&gt;"",HX$5+6&lt;Mitarbeiter!$E$57),0,IF(AND(Mitarbeiter!$F$57&lt;&gt;"",HX$5&gt;Mitarbeiter!$F$57),0,IF(Planung!HX59="",$C59,IF(ISNUMBER(Planung!HX59),Planung!HX59,IF(UPPER(Planung!HX59)="H",$C59/2,0)))))))</f>
        <v>0</v>
      </c>
      <c r="HY59" s="27">
        <f>IF($A59="",0,IF(Mitarbeiter!$G$57=FALSE,0,IF(AND(Mitarbeiter!$E$57&lt;&gt;"",HY$5+6&lt;Mitarbeiter!$E$57),0,IF(AND(Mitarbeiter!$F$57&lt;&gt;"",HY$5&gt;Mitarbeiter!$F$57),0,IF(Planung!HY59="",$C59,IF(ISNUMBER(Planung!HY59),Planung!HY59,IF(UPPER(Planung!HY59)="H",$C59/2,0)))))))</f>
        <v>0</v>
      </c>
      <c r="HZ59" s="27">
        <f>IF($A59="",0,IF(Mitarbeiter!$G$57=FALSE,0,IF(AND(Mitarbeiter!$E$57&lt;&gt;"",HZ$5+6&lt;Mitarbeiter!$E$57),0,IF(AND(Mitarbeiter!$F$57&lt;&gt;"",HZ$5&gt;Mitarbeiter!$F$57),0,IF(Planung!HZ59="",$C59,IF(ISNUMBER(Planung!HZ59),Planung!HZ59,IF(UPPER(Planung!HZ59)="H",$C59/2,0)))))))</f>
        <v>0</v>
      </c>
      <c r="IA59" s="27">
        <f>IF($A59="",0,IF(Mitarbeiter!$G$57=FALSE,0,IF(AND(Mitarbeiter!$E$57&lt;&gt;"",IA$5+6&lt;Mitarbeiter!$E$57),0,IF(AND(Mitarbeiter!$F$57&lt;&gt;"",IA$5&gt;Mitarbeiter!$F$57),0,IF(Planung!IA59="",$C59,IF(ISNUMBER(Planung!IA59),Planung!IA59,IF(UPPER(Planung!IA59)="H",$C59/2,0)))))))</f>
        <v>0</v>
      </c>
    </row>
    <row r="60" spans="1:235" x14ac:dyDescent="0.25">
      <c r="A60" s="7" t="str">
        <f>Planung!A60</f>
        <v/>
      </c>
      <c r="B60" s="7" t="str">
        <f>Planung!B60</f>
        <v/>
      </c>
      <c r="C60" s="27">
        <f>N(Mitarbeiter!$D$58)</f>
        <v>0</v>
      </c>
      <c r="D60" s="27">
        <f>IF($A60="",0,IF(Mitarbeiter!$G$58=FALSE,0,IF(AND(Mitarbeiter!$E$58&lt;&gt;"",D$5+6&lt;Mitarbeiter!$E$58),0,IF(AND(Mitarbeiter!$F$58&lt;&gt;"",D$5&gt;Mitarbeiter!$F$58),0,IF(Planung!D60="",$C60,IF(ISNUMBER(Planung!D60),Planung!D60,IF(UPPER(Planung!D60)="H",$C60/2,0)))))))</f>
        <v>0</v>
      </c>
      <c r="E60" s="27">
        <f>IF($A60="",0,IF(Mitarbeiter!$G$58=FALSE,0,IF(AND(Mitarbeiter!$E$58&lt;&gt;"",E$5+6&lt;Mitarbeiter!$E$58),0,IF(AND(Mitarbeiter!$F$58&lt;&gt;"",E$5&gt;Mitarbeiter!$F$58),0,IF(Planung!E60="",$C60,IF(ISNUMBER(Planung!E60),Planung!E60,IF(UPPER(Planung!E60)="H",$C60/2,0)))))))</f>
        <v>0</v>
      </c>
      <c r="F60" s="27">
        <f>IF($A60="",0,IF(Mitarbeiter!$G$58=FALSE,0,IF(AND(Mitarbeiter!$E$58&lt;&gt;"",F$5+6&lt;Mitarbeiter!$E$58),0,IF(AND(Mitarbeiter!$F$58&lt;&gt;"",F$5&gt;Mitarbeiter!$F$58),0,IF(Planung!F60="",$C60,IF(ISNUMBER(Planung!F60),Planung!F60,IF(UPPER(Planung!F60)="H",$C60/2,0)))))))</f>
        <v>0</v>
      </c>
      <c r="G60" s="27">
        <f>IF($A60="",0,IF(Mitarbeiter!$G$58=FALSE,0,IF(AND(Mitarbeiter!$E$58&lt;&gt;"",G$5+6&lt;Mitarbeiter!$E$58),0,IF(AND(Mitarbeiter!$F$58&lt;&gt;"",G$5&gt;Mitarbeiter!$F$58),0,IF(Planung!G60="",$C60,IF(ISNUMBER(Planung!G60),Planung!G60,IF(UPPER(Planung!G60)="H",$C60/2,0)))))))</f>
        <v>0</v>
      </c>
      <c r="H60" s="27">
        <f>IF($A60="",0,IF(Mitarbeiter!$G$58=FALSE,0,IF(AND(Mitarbeiter!$E$58&lt;&gt;"",H$5+6&lt;Mitarbeiter!$E$58),0,IF(AND(Mitarbeiter!$F$58&lt;&gt;"",H$5&gt;Mitarbeiter!$F$58),0,IF(Planung!H60="",$C60,IF(ISNUMBER(Planung!H60),Planung!H60,IF(UPPER(Planung!H60)="H",$C60/2,0)))))))</f>
        <v>0</v>
      </c>
      <c r="I60" s="27">
        <f>IF($A60="",0,IF(Mitarbeiter!$G$58=FALSE,0,IF(AND(Mitarbeiter!$E$58&lt;&gt;"",I$5+6&lt;Mitarbeiter!$E$58),0,IF(AND(Mitarbeiter!$F$58&lt;&gt;"",I$5&gt;Mitarbeiter!$F$58),0,IF(Planung!I60="",$C60,IF(ISNUMBER(Planung!I60),Planung!I60,IF(UPPER(Planung!I60)="H",$C60/2,0)))))))</f>
        <v>0</v>
      </c>
      <c r="J60" s="27">
        <f>IF($A60="",0,IF(Mitarbeiter!$G$58=FALSE,0,IF(AND(Mitarbeiter!$E$58&lt;&gt;"",J$5+6&lt;Mitarbeiter!$E$58),0,IF(AND(Mitarbeiter!$F$58&lt;&gt;"",J$5&gt;Mitarbeiter!$F$58),0,IF(Planung!J60="",$C60,IF(ISNUMBER(Planung!J60),Planung!J60,IF(UPPER(Planung!J60)="H",$C60/2,0)))))))</f>
        <v>0</v>
      </c>
      <c r="K60" s="27">
        <f>IF($A60="",0,IF(Mitarbeiter!$G$58=FALSE,0,IF(AND(Mitarbeiter!$E$58&lt;&gt;"",K$5+6&lt;Mitarbeiter!$E$58),0,IF(AND(Mitarbeiter!$F$58&lt;&gt;"",K$5&gt;Mitarbeiter!$F$58),0,IF(Planung!K60="",$C60,IF(ISNUMBER(Planung!K60),Planung!K60,IF(UPPER(Planung!K60)="H",$C60/2,0)))))))</f>
        <v>0</v>
      </c>
      <c r="L60" s="27">
        <f>IF($A60="",0,IF(Mitarbeiter!$G$58=FALSE,0,IF(AND(Mitarbeiter!$E$58&lt;&gt;"",L$5+6&lt;Mitarbeiter!$E$58),0,IF(AND(Mitarbeiter!$F$58&lt;&gt;"",L$5&gt;Mitarbeiter!$F$58),0,IF(Planung!L60="",$C60,IF(ISNUMBER(Planung!L60),Planung!L60,IF(UPPER(Planung!L60)="H",$C60/2,0)))))))</f>
        <v>0</v>
      </c>
      <c r="M60" s="27">
        <f>IF($A60="",0,IF(Mitarbeiter!$G$58=FALSE,0,IF(AND(Mitarbeiter!$E$58&lt;&gt;"",M$5+6&lt;Mitarbeiter!$E$58),0,IF(AND(Mitarbeiter!$F$58&lt;&gt;"",M$5&gt;Mitarbeiter!$F$58),0,IF(Planung!M60="",$C60,IF(ISNUMBER(Planung!M60),Planung!M60,IF(UPPER(Planung!M60)="H",$C60/2,0)))))))</f>
        <v>0</v>
      </c>
      <c r="N60" s="27">
        <f>IF($A60="",0,IF(Mitarbeiter!$G$58=FALSE,0,IF(AND(Mitarbeiter!$E$58&lt;&gt;"",N$5+6&lt;Mitarbeiter!$E$58),0,IF(AND(Mitarbeiter!$F$58&lt;&gt;"",N$5&gt;Mitarbeiter!$F$58),0,IF(Planung!N60="",$C60,IF(ISNUMBER(Planung!N60),Planung!N60,IF(UPPER(Planung!N60)="H",$C60/2,0)))))))</f>
        <v>0</v>
      </c>
      <c r="O60" s="27">
        <f>IF($A60="",0,IF(Mitarbeiter!$G$58=FALSE,0,IF(AND(Mitarbeiter!$E$58&lt;&gt;"",O$5+6&lt;Mitarbeiter!$E$58),0,IF(AND(Mitarbeiter!$F$58&lt;&gt;"",O$5&gt;Mitarbeiter!$F$58),0,IF(Planung!O60="",$C60,IF(ISNUMBER(Planung!O60),Planung!O60,IF(UPPER(Planung!O60)="H",$C60/2,0)))))))</f>
        <v>0</v>
      </c>
      <c r="P60" s="27">
        <f>IF($A60="",0,IF(Mitarbeiter!$G$58=FALSE,0,IF(AND(Mitarbeiter!$E$58&lt;&gt;"",P$5+6&lt;Mitarbeiter!$E$58),0,IF(AND(Mitarbeiter!$F$58&lt;&gt;"",P$5&gt;Mitarbeiter!$F$58),0,IF(Planung!P60="",$C60,IF(ISNUMBER(Planung!P60),Planung!P60,IF(UPPER(Planung!P60)="H",$C60/2,0)))))))</f>
        <v>0</v>
      </c>
      <c r="Q60" s="27">
        <f>IF($A60="",0,IF(Mitarbeiter!$G$58=FALSE,0,IF(AND(Mitarbeiter!$E$58&lt;&gt;"",Q$5+6&lt;Mitarbeiter!$E$58),0,IF(AND(Mitarbeiter!$F$58&lt;&gt;"",Q$5&gt;Mitarbeiter!$F$58),0,IF(Planung!Q60="",$C60,IF(ISNUMBER(Planung!Q60),Planung!Q60,IF(UPPER(Planung!Q60)="H",$C60/2,0)))))))</f>
        <v>0</v>
      </c>
      <c r="R60" s="27">
        <f>IF($A60="",0,IF(Mitarbeiter!$G$58=FALSE,0,IF(AND(Mitarbeiter!$E$58&lt;&gt;"",R$5+6&lt;Mitarbeiter!$E$58),0,IF(AND(Mitarbeiter!$F$58&lt;&gt;"",R$5&gt;Mitarbeiter!$F$58),0,IF(Planung!R60="",$C60,IF(ISNUMBER(Planung!R60),Planung!R60,IF(UPPER(Planung!R60)="H",$C60/2,0)))))))</f>
        <v>0</v>
      </c>
      <c r="S60" s="27">
        <f>IF($A60="",0,IF(Mitarbeiter!$G$58=FALSE,0,IF(AND(Mitarbeiter!$E$58&lt;&gt;"",S$5+6&lt;Mitarbeiter!$E$58),0,IF(AND(Mitarbeiter!$F$58&lt;&gt;"",S$5&gt;Mitarbeiter!$F$58),0,IF(Planung!S60="",$C60,IF(ISNUMBER(Planung!S60),Planung!S60,IF(UPPER(Planung!S60)="H",$C60/2,0)))))))</f>
        <v>0</v>
      </c>
      <c r="T60" s="27">
        <f>IF($A60="",0,IF(Mitarbeiter!$G$58=FALSE,0,IF(AND(Mitarbeiter!$E$58&lt;&gt;"",T$5+6&lt;Mitarbeiter!$E$58),0,IF(AND(Mitarbeiter!$F$58&lt;&gt;"",T$5&gt;Mitarbeiter!$F$58),0,IF(Planung!T60="",$C60,IF(ISNUMBER(Planung!T60),Planung!T60,IF(UPPER(Planung!T60)="H",$C60/2,0)))))))</f>
        <v>0</v>
      </c>
      <c r="U60" s="27">
        <f>IF($A60="",0,IF(Mitarbeiter!$G$58=FALSE,0,IF(AND(Mitarbeiter!$E$58&lt;&gt;"",U$5+6&lt;Mitarbeiter!$E$58),0,IF(AND(Mitarbeiter!$F$58&lt;&gt;"",U$5&gt;Mitarbeiter!$F$58),0,IF(Planung!U60="",$C60,IF(ISNUMBER(Planung!U60),Planung!U60,IF(UPPER(Planung!U60)="H",$C60/2,0)))))))</f>
        <v>0</v>
      </c>
      <c r="V60" s="27">
        <f>IF($A60="",0,IF(Mitarbeiter!$G$58=FALSE,0,IF(AND(Mitarbeiter!$E$58&lt;&gt;"",V$5+6&lt;Mitarbeiter!$E$58),0,IF(AND(Mitarbeiter!$F$58&lt;&gt;"",V$5&gt;Mitarbeiter!$F$58),0,IF(Planung!V60="",$C60,IF(ISNUMBER(Planung!V60),Planung!V60,IF(UPPER(Planung!V60)="H",$C60/2,0)))))))</f>
        <v>0</v>
      </c>
      <c r="W60" s="27">
        <f>IF($A60="",0,IF(Mitarbeiter!$G$58=FALSE,0,IF(AND(Mitarbeiter!$E$58&lt;&gt;"",W$5+6&lt;Mitarbeiter!$E$58),0,IF(AND(Mitarbeiter!$F$58&lt;&gt;"",W$5&gt;Mitarbeiter!$F$58),0,IF(Planung!W60="",$C60,IF(ISNUMBER(Planung!W60),Planung!W60,IF(UPPER(Planung!W60)="H",$C60/2,0)))))))</f>
        <v>0</v>
      </c>
      <c r="X60" s="27">
        <f>IF($A60="",0,IF(Mitarbeiter!$G$58=FALSE,0,IF(AND(Mitarbeiter!$E$58&lt;&gt;"",X$5+6&lt;Mitarbeiter!$E$58),0,IF(AND(Mitarbeiter!$F$58&lt;&gt;"",X$5&gt;Mitarbeiter!$F$58),0,IF(Planung!X60="",$C60,IF(ISNUMBER(Planung!X60),Planung!X60,IF(UPPER(Planung!X60)="H",$C60/2,0)))))))</f>
        <v>0</v>
      </c>
      <c r="Y60" s="27">
        <f>IF($A60="",0,IF(Mitarbeiter!$G$58=FALSE,0,IF(AND(Mitarbeiter!$E$58&lt;&gt;"",Y$5+6&lt;Mitarbeiter!$E$58),0,IF(AND(Mitarbeiter!$F$58&lt;&gt;"",Y$5&gt;Mitarbeiter!$F$58),0,IF(Planung!Y60="",$C60,IF(ISNUMBER(Planung!Y60),Planung!Y60,IF(UPPER(Planung!Y60)="H",$C60/2,0)))))))</f>
        <v>0</v>
      </c>
      <c r="Z60" s="27">
        <f>IF($A60="",0,IF(Mitarbeiter!$G$58=FALSE,0,IF(AND(Mitarbeiter!$E$58&lt;&gt;"",Z$5+6&lt;Mitarbeiter!$E$58),0,IF(AND(Mitarbeiter!$F$58&lt;&gt;"",Z$5&gt;Mitarbeiter!$F$58),0,IF(Planung!Z60="",$C60,IF(ISNUMBER(Planung!Z60),Planung!Z60,IF(UPPER(Planung!Z60)="H",$C60/2,0)))))))</f>
        <v>0</v>
      </c>
      <c r="AA60" s="27">
        <f>IF($A60="",0,IF(Mitarbeiter!$G$58=FALSE,0,IF(AND(Mitarbeiter!$E$58&lt;&gt;"",AA$5+6&lt;Mitarbeiter!$E$58),0,IF(AND(Mitarbeiter!$F$58&lt;&gt;"",AA$5&gt;Mitarbeiter!$F$58),0,IF(Planung!AA60="",$C60,IF(ISNUMBER(Planung!AA60),Planung!AA60,IF(UPPER(Planung!AA60)="H",$C60/2,0)))))))</f>
        <v>0</v>
      </c>
      <c r="AB60" s="27">
        <f>IF($A60="",0,IF(Mitarbeiter!$G$58=FALSE,0,IF(AND(Mitarbeiter!$E$58&lt;&gt;"",AB$5+6&lt;Mitarbeiter!$E$58),0,IF(AND(Mitarbeiter!$F$58&lt;&gt;"",AB$5&gt;Mitarbeiter!$F$58),0,IF(Planung!AB60="",$C60,IF(ISNUMBER(Planung!AB60),Planung!AB60,IF(UPPER(Planung!AB60)="H",$C60/2,0)))))))</f>
        <v>0</v>
      </c>
      <c r="AC60" s="27">
        <f>IF($A60="",0,IF(Mitarbeiter!$G$58=FALSE,0,IF(AND(Mitarbeiter!$E$58&lt;&gt;"",AC$5+6&lt;Mitarbeiter!$E$58),0,IF(AND(Mitarbeiter!$F$58&lt;&gt;"",AC$5&gt;Mitarbeiter!$F$58),0,IF(Planung!AC60="",$C60,IF(ISNUMBER(Planung!AC60),Planung!AC60,IF(UPPER(Planung!AC60)="H",$C60/2,0)))))))</f>
        <v>0</v>
      </c>
      <c r="AD60" s="27">
        <f>IF($A60="",0,IF(Mitarbeiter!$G$58=FALSE,0,IF(AND(Mitarbeiter!$E$58&lt;&gt;"",AD$5+6&lt;Mitarbeiter!$E$58),0,IF(AND(Mitarbeiter!$F$58&lt;&gt;"",AD$5&gt;Mitarbeiter!$F$58),0,IF(Planung!AD60="",$C60,IF(ISNUMBER(Planung!AD60),Planung!AD60,IF(UPPER(Planung!AD60)="H",$C60/2,0)))))))</f>
        <v>0</v>
      </c>
      <c r="AE60" s="27">
        <f>IF($A60="",0,IF(Mitarbeiter!$G$58=FALSE,0,IF(AND(Mitarbeiter!$E$58&lt;&gt;"",AE$5+6&lt;Mitarbeiter!$E$58),0,IF(AND(Mitarbeiter!$F$58&lt;&gt;"",AE$5&gt;Mitarbeiter!$F$58),0,IF(Planung!AE60="",$C60,IF(ISNUMBER(Planung!AE60),Planung!AE60,IF(UPPER(Planung!AE60)="H",$C60/2,0)))))))</f>
        <v>0</v>
      </c>
      <c r="AF60" s="27">
        <f>IF($A60="",0,IF(Mitarbeiter!$G$58=FALSE,0,IF(AND(Mitarbeiter!$E$58&lt;&gt;"",AF$5+6&lt;Mitarbeiter!$E$58),0,IF(AND(Mitarbeiter!$F$58&lt;&gt;"",AF$5&gt;Mitarbeiter!$F$58),0,IF(Planung!AF60="",$C60,IF(ISNUMBER(Planung!AF60),Planung!AF60,IF(UPPER(Planung!AF60)="H",$C60/2,0)))))))</f>
        <v>0</v>
      </c>
      <c r="AG60" s="27">
        <f>IF($A60="",0,IF(Mitarbeiter!$G$58=FALSE,0,IF(AND(Mitarbeiter!$E$58&lt;&gt;"",AG$5+6&lt;Mitarbeiter!$E$58),0,IF(AND(Mitarbeiter!$F$58&lt;&gt;"",AG$5&gt;Mitarbeiter!$F$58),0,IF(Planung!AG60="",$C60,IF(ISNUMBER(Planung!AG60),Planung!AG60,IF(UPPER(Planung!AG60)="H",$C60/2,0)))))))</f>
        <v>0</v>
      </c>
      <c r="AH60" s="27">
        <f>IF($A60="",0,IF(Mitarbeiter!$G$58=FALSE,0,IF(AND(Mitarbeiter!$E$58&lt;&gt;"",AH$5+6&lt;Mitarbeiter!$E$58),0,IF(AND(Mitarbeiter!$F$58&lt;&gt;"",AH$5&gt;Mitarbeiter!$F$58),0,IF(Planung!AH60="",$C60,IF(ISNUMBER(Planung!AH60),Planung!AH60,IF(UPPER(Planung!AH60)="H",$C60/2,0)))))))</f>
        <v>0</v>
      </c>
      <c r="AI60" s="27">
        <f>IF($A60="",0,IF(Mitarbeiter!$G$58=FALSE,0,IF(AND(Mitarbeiter!$E$58&lt;&gt;"",AI$5+6&lt;Mitarbeiter!$E$58),0,IF(AND(Mitarbeiter!$F$58&lt;&gt;"",AI$5&gt;Mitarbeiter!$F$58),0,IF(Planung!AI60="",$C60,IF(ISNUMBER(Planung!AI60),Planung!AI60,IF(UPPER(Planung!AI60)="H",$C60/2,0)))))))</f>
        <v>0</v>
      </c>
      <c r="AJ60" s="27">
        <f>IF($A60="",0,IF(Mitarbeiter!$G$58=FALSE,0,IF(AND(Mitarbeiter!$E$58&lt;&gt;"",AJ$5+6&lt;Mitarbeiter!$E$58),0,IF(AND(Mitarbeiter!$F$58&lt;&gt;"",AJ$5&gt;Mitarbeiter!$F$58),0,IF(Planung!AJ60="",$C60,IF(ISNUMBER(Planung!AJ60),Planung!AJ60,IF(UPPER(Planung!AJ60)="H",$C60/2,0)))))))</f>
        <v>0</v>
      </c>
      <c r="AK60" s="27">
        <f>IF($A60="",0,IF(Mitarbeiter!$G$58=FALSE,0,IF(AND(Mitarbeiter!$E$58&lt;&gt;"",AK$5+6&lt;Mitarbeiter!$E$58),0,IF(AND(Mitarbeiter!$F$58&lt;&gt;"",AK$5&gt;Mitarbeiter!$F$58),0,IF(Planung!AK60="",$C60,IF(ISNUMBER(Planung!AK60),Planung!AK60,IF(UPPER(Planung!AK60)="H",$C60/2,0)))))))</f>
        <v>0</v>
      </c>
      <c r="AL60" s="27">
        <f>IF($A60="",0,IF(Mitarbeiter!$G$58=FALSE,0,IF(AND(Mitarbeiter!$E$58&lt;&gt;"",AL$5+6&lt;Mitarbeiter!$E$58),0,IF(AND(Mitarbeiter!$F$58&lt;&gt;"",AL$5&gt;Mitarbeiter!$F$58),0,IF(Planung!AL60="",$C60,IF(ISNUMBER(Planung!AL60),Planung!AL60,IF(UPPER(Planung!AL60)="H",$C60/2,0)))))))</f>
        <v>0</v>
      </c>
      <c r="AM60" s="27">
        <f>IF($A60="",0,IF(Mitarbeiter!$G$58=FALSE,0,IF(AND(Mitarbeiter!$E$58&lt;&gt;"",AM$5+6&lt;Mitarbeiter!$E$58),0,IF(AND(Mitarbeiter!$F$58&lt;&gt;"",AM$5&gt;Mitarbeiter!$F$58),0,IF(Planung!AM60="",$C60,IF(ISNUMBER(Planung!AM60),Planung!AM60,IF(UPPER(Planung!AM60)="H",$C60/2,0)))))))</f>
        <v>0</v>
      </c>
      <c r="AN60" s="27">
        <f>IF($A60="",0,IF(Mitarbeiter!$G$58=FALSE,0,IF(AND(Mitarbeiter!$E$58&lt;&gt;"",AN$5+6&lt;Mitarbeiter!$E$58),0,IF(AND(Mitarbeiter!$F$58&lt;&gt;"",AN$5&gt;Mitarbeiter!$F$58),0,IF(Planung!AN60="",$C60,IF(ISNUMBER(Planung!AN60),Planung!AN60,IF(UPPER(Planung!AN60)="H",$C60/2,0)))))))</f>
        <v>0</v>
      </c>
      <c r="AO60" s="27">
        <f>IF($A60="",0,IF(Mitarbeiter!$G$58=FALSE,0,IF(AND(Mitarbeiter!$E$58&lt;&gt;"",AO$5+6&lt;Mitarbeiter!$E$58),0,IF(AND(Mitarbeiter!$F$58&lt;&gt;"",AO$5&gt;Mitarbeiter!$F$58),0,IF(Planung!AO60="",$C60,IF(ISNUMBER(Planung!AO60),Planung!AO60,IF(UPPER(Planung!AO60)="H",$C60/2,0)))))))</f>
        <v>0</v>
      </c>
      <c r="AP60" s="27">
        <f>IF($A60="",0,IF(Mitarbeiter!$G$58=FALSE,0,IF(AND(Mitarbeiter!$E$58&lt;&gt;"",AP$5+6&lt;Mitarbeiter!$E$58),0,IF(AND(Mitarbeiter!$F$58&lt;&gt;"",AP$5&gt;Mitarbeiter!$F$58),0,IF(Planung!AP60="",$C60,IF(ISNUMBER(Planung!AP60),Planung!AP60,IF(UPPER(Planung!AP60)="H",$C60/2,0)))))))</f>
        <v>0</v>
      </c>
      <c r="AQ60" s="27">
        <f>IF($A60="",0,IF(Mitarbeiter!$G$58=FALSE,0,IF(AND(Mitarbeiter!$E$58&lt;&gt;"",AQ$5+6&lt;Mitarbeiter!$E$58),0,IF(AND(Mitarbeiter!$F$58&lt;&gt;"",AQ$5&gt;Mitarbeiter!$F$58),0,IF(Planung!AQ60="",$C60,IF(ISNUMBER(Planung!AQ60),Planung!AQ60,IF(UPPER(Planung!AQ60)="H",$C60/2,0)))))))</f>
        <v>0</v>
      </c>
      <c r="AR60" s="27">
        <f>IF($A60="",0,IF(Mitarbeiter!$G$58=FALSE,0,IF(AND(Mitarbeiter!$E$58&lt;&gt;"",AR$5+6&lt;Mitarbeiter!$E$58),0,IF(AND(Mitarbeiter!$F$58&lt;&gt;"",AR$5&gt;Mitarbeiter!$F$58),0,IF(Planung!AR60="",$C60,IF(ISNUMBER(Planung!AR60),Planung!AR60,IF(UPPER(Planung!AR60)="H",$C60/2,0)))))))</f>
        <v>0</v>
      </c>
      <c r="AS60" s="27">
        <f>IF($A60="",0,IF(Mitarbeiter!$G$58=FALSE,0,IF(AND(Mitarbeiter!$E$58&lt;&gt;"",AS$5+6&lt;Mitarbeiter!$E$58),0,IF(AND(Mitarbeiter!$F$58&lt;&gt;"",AS$5&gt;Mitarbeiter!$F$58),0,IF(Planung!AS60="",$C60,IF(ISNUMBER(Planung!AS60),Planung!AS60,IF(UPPER(Planung!AS60)="H",$C60/2,0)))))))</f>
        <v>0</v>
      </c>
      <c r="AT60" s="27">
        <f>IF($A60="",0,IF(Mitarbeiter!$G$58=FALSE,0,IF(AND(Mitarbeiter!$E$58&lt;&gt;"",AT$5+6&lt;Mitarbeiter!$E$58),0,IF(AND(Mitarbeiter!$F$58&lt;&gt;"",AT$5&gt;Mitarbeiter!$F$58),0,IF(Planung!AT60="",$C60,IF(ISNUMBER(Planung!AT60),Planung!AT60,IF(UPPER(Planung!AT60)="H",$C60/2,0)))))))</f>
        <v>0</v>
      </c>
      <c r="AU60" s="27">
        <f>IF($A60="",0,IF(Mitarbeiter!$G$58=FALSE,0,IF(AND(Mitarbeiter!$E$58&lt;&gt;"",AU$5+6&lt;Mitarbeiter!$E$58),0,IF(AND(Mitarbeiter!$F$58&lt;&gt;"",AU$5&gt;Mitarbeiter!$F$58),0,IF(Planung!AU60="",$C60,IF(ISNUMBER(Planung!AU60),Planung!AU60,IF(UPPER(Planung!AU60)="H",$C60/2,0)))))))</f>
        <v>0</v>
      </c>
      <c r="AV60" s="27">
        <f>IF($A60="",0,IF(Mitarbeiter!$G$58=FALSE,0,IF(AND(Mitarbeiter!$E$58&lt;&gt;"",AV$5+6&lt;Mitarbeiter!$E$58),0,IF(AND(Mitarbeiter!$F$58&lt;&gt;"",AV$5&gt;Mitarbeiter!$F$58),0,IF(Planung!AV60="",$C60,IF(ISNUMBER(Planung!AV60),Planung!AV60,IF(UPPER(Planung!AV60)="H",$C60/2,0)))))))</f>
        <v>0</v>
      </c>
      <c r="AW60" s="27">
        <f>IF($A60="",0,IF(Mitarbeiter!$G$58=FALSE,0,IF(AND(Mitarbeiter!$E$58&lt;&gt;"",AW$5+6&lt;Mitarbeiter!$E$58),0,IF(AND(Mitarbeiter!$F$58&lt;&gt;"",AW$5&gt;Mitarbeiter!$F$58),0,IF(Planung!AW60="",$C60,IF(ISNUMBER(Planung!AW60),Planung!AW60,IF(UPPER(Planung!AW60)="H",$C60/2,0)))))))</f>
        <v>0</v>
      </c>
      <c r="AX60" s="27">
        <f>IF($A60="",0,IF(Mitarbeiter!$G$58=FALSE,0,IF(AND(Mitarbeiter!$E$58&lt;&gt;"",AX$5+6&lt;Mitarbeiter!$E$58),0,IF(AND(Mitarbeiter!$F$58&lt;&gt;"",AX$5&gt;Mitarbeiter!$F$58),0,IF(Planung!AX60="",$C60,IF(ISNUMBER(Planung!AX60),Planung!AX60,IF(UPPER(Planung!AX60)="H",$C60/2,0)))))))</f>
        <v>0</v>
      </c>
      <c r="AY60" s="27">
        <f>IF($A60="",0,IF(Mitarbeiter!$G$58=FALSE,0,IF(AND(Mitarbeiter!$E$58&lt;&gt;"",AY$5+6&lt;Mitarbeiter!$E$58),0,IF(AND(Mitarbeiter!$F$58&lt;&gt;"",AY$5&gt;Mitarbeiter!$F$58),0,IF(Planung!AY60="",$C60,IF(ISNUMBER(Planung!AY60),Planung!AY60,IF(UPPER(Planung!AY60)="H",$C60/2,0)))))))</f>
        <v>0</v>
      </c>
      <c r="AZ60" s="27">
        <f>IF($A60="",0,IF(Mitarbeiter!$G$58=FALSE,0,IF(AND(Mitarbeiter!$E$58&lt;&gt;"",AZ$5+6&lt;Mitarbeiter!$E$58),0,IF(AND(Mitarbeiter!$F$58&lt;&gt;"",AZ$5&gt;Mitarbeiter!$F$58),0,IF(Planung!AZ60="",$C60,IF(ISNUMBER(Planung!AZ60),Planung!AZ60,IF(UPPER(Planung!AZ60)="H",$C60/2,0)))))))</f>
        <v>0</v>
      </c>
      <c r="BA60" s="27">
        <f>IF($A60="",0,IF(Mitarbeiter!$G$58=FALSE,0,IF(AND(Mitarbeiter!$E$58&lt;&gt;"",BA$5+6&lt;Mitarbeiter!$E$58),0,IF(AND(Mitarbeiter!$F$58&lt;&gt;"",BA$5&gt;Mitarbeiter!$F$58),0,IF(Planung!BA60="",$C60,IF(ISNUMBER(Planung!BA60),Planung!BA60,IF(UPPER(Planung!BA60)="H",$C60/2,0)))))))</f>
        <v>0</v>
      </c>
      <c r="BB60" s="27">
        <f>IF($A60="",0,IF(Mitarbeiter!$G$58=FALSE,0,IF(AND(Mitarbeiter!$E$58&lt;&gt;"",BB$5+6&lt;Mitarbeiter!$E$58),0,IF(AND(Mitarbeiter!$F$58&lt;&gt;"",BB$5&gt;Mitarbeiter!$F$58),0,IF(Planung!BB60="",$C60,IF(ISNUMBER(Planung!BB60),Planung!BB60,IF(UPPER(Planung!BB60)="H",$C60/2,0)))))))</f>
        <v>0</v>
      </c>
      <c r="BC60" s="27">
        <f>IF($A60="",0,IF(Mitarbeiter!$G$58=FALSE,0,IF(AND(Mitarbeiter!$E$58&lt;&gt;"",BC$5+6&lt;Mitarbeiter!$E$58),0,IF(AND(Mitarbeiter!$F$58&lt;&gt;"",BC$5&gt;Mitarbeiter!$F$58),0,IF(Planung!BC60="",$C60,IF(ISNUMBER(Planung!BC60),Planung!BC60,IF(UPPER(Planung!BC60)="H",$C60/2,0)))))))</f>
        <v>0</v>
      </c>
      <c r="BD60" s="27">
        <f>IF($A60="",0,IF(Mitarbeiter!$G$58=FALSE,0,IF(AND(Mitarbeiter!$E$58&lt;&gt;"",BD$5+6&lt;Mitarbeiter!$E$58),0,IF(AND(Mitarbeiter!$F$58&lt;&gt;"",BD$5&gt;Mitarbeiter!$F$58),0,IF(Planung!BD60="",$C60,IF(ISNUMBER(Planung!BD60),Planung!BD60,IF(UPPER(Planung!BD60)="H",$C60/2,0)))))))</f>
        <v>0</v>
      </c>
      <c r="BE60" s="27">
        <f>IF($A60="",0,IF(Mitarbeiter!$G$58=FALSE,0,IF(AND(Mitarbeiter!$E$58&lt;&gt;"",BE$5+6&lt;Mitarbeiter!$E$58),0,IF(AND(Mitarbeiter!$F$58&lt;&gt;"",BE$5&gt;Mitarbeiter!$F$58),0,IF(Planung!BE60="",$C60,IF(ISNUMBER(Planung!BE60),Planung!BE60,IF(UPPER(Planung!BE60)="H",$C60/2,0)))))))</f>
        <v>0</v>
      </c>
      <c r="BF60" s="27">
        <f>IF($A60="",0,IF(Mitarbeiter!$G$58=FALSE,0,IF(AND(Mitarbeiter!$E$58&lt;&gt;"",BF$5+6&lt;Mitarbeiter!$E$58),0,IF(AND(Mitarbeiter!$F$58&lt;&gt;"",BF$5&gt;Mitarbeiter!$F$58),0,IF(Planung!BF60="",$C60,IF(ISNUMBER(Planung!BF60),Planung!BF60,IF(UPPER(Planung!BF60)="H",$C60/2,0)))))))</f>
        <v>0</v>
      </c>
      <c r="BG60" s="27">
        <f>IF($A60="",0,IF(Mitarbeiter!$G$58=FALSE,0,IF(AND(Mitarbeiter!$E$58&lt;&gt;"",BG$5+6&lt;Mitarbeiter!$E$58),0,IF(AND(Mitarbeiter!$F$58&lt;&gt;"",BG$5&gt;Mitarbeiter!$F$58),0,IF(Planung!BG60="",$C60,IF(ISNUMBER(Planung!BG60),Planung!BG60,IF(UPPER(Planung!BG60)="H",$C60/2,0)))))))</f>
        <v>0</v>
      </c>
      <c r="BH60" s="27">
        <f>IF($A60="",0,IF(Mitarbeiter!$G$58=FALSE,0,IF(AND(Mitarbeiter!$E$58&lt;&gt;"",BH$5+6&lt;Mitarbeiter!$E$58),0,IF(AND(Mitarbeiter!$F$58&lt;&gt;"",BH$5&gt;Mitarbeiter!$F$58),0,IF(Planung!BH60="",$C60,IF(ISNUMBER(Planung!BH60),Planung!BH60,IF(UPPER(Planung!BH60)="H",$C60/2,0)))))))</f>
        <v>0</v>
      </c>
      <c r="BI60" s="27">
        <f>IF($A60="",0,IF(Mitarbeiter!$G$58=FALSE,0,IF(AND(Mitarbeiter!$E$58&lt;&gt;"",BI$5+6&lt;Mitarbeiter!$E$58),0,IF(AND(Mitarbeiter!$F$58&lt;&gt;"",BI$5&gt;Mitarbeiter!$F$58),0,IF(Planung!BI60="",$C60,IF(ISNUMBER(Planung!BI60),Planung!BI60,IF(UPPER(Planung!BI60)="H",$C60/2,0)))))))</f>
        <v>0</v>
      </c>
      <c r="BJ60" s="27">
        <f>IF($A60="",0,IF(Mitarbeiter!$G$58=FALSE,0,IF(AND(Mitarbeiter!$E$58&lt;&gt;"",BJ$5+6&lt;Mitarbeiter!$E$58),0,IF(AND(Mitarbeiter!$F$58&lt;&gt;"",BJ$5&gt;Mitarbeiter!$F$58),0,IF(Planung!BJ60="",$C60,IF(ISNUMBER(Planung!BJ60),Planung!BJ60,IF(UPPER(Planung!BJ60)="H",$C60/2,0)))))))</f>
        <v>0</v>
      </c>
      <c r="BK60" s="27">
        <f>IF($A60="",0,IF(Mitarbeiter!$G$58=FALSE,0,IF(AND(Mitarbeiter!$E$58&lt;&gt;"",BK$5+6&lt;Mitarbeiter!$E$58),0,IF(AND(Mitarbeiter!$F$58&lt;&gt;"",BK$5&gt;Mitarbeiter!$F$58),0,IF(Planung!BK60="",$C60,IF(ISNUMBER(Planung!BK60),Planung!BK60,IF(UPPER(Planung!BK60)="H",$C60/2,0)))))))</f>
        <v>0</v>
      </c>
      <c r="BL60" s="27">
        <f>IF($A60="",0,IF(Mitarbeiter!$G$58=FALSE,0,IF(AND(Mitarbeiter!$E$58&lt;&gt;"",BL$5+6&lt;Mitarbeiter!$E$58),0,IF(AND(Mitarbeiter!$F$58&lt;&gt;"",BL$5&gt;Mitarbeiter!$F$58),0,IF(Planung!BL60="",$C60,IF(ISNUMBER(Planung!BL60),Planung!BL60,IF(UPPER(Planung!BL60)="H",$C60/2,0)))))))</f>
        <v>0</v>
      </c>
      <c r="BM60" s="27">
        <f>IF($A60="",0,IF(Mitarbeiter!$G$58=FALSE,0,IF(AND(Mitarbeiter!$E$58&lt;&gt;"",BM$5+6&lt;Mitarbeiter!$E$58),0,IF(AND(Mitarbeiter!$F$58&lt;&gt;"",BM$5&gt;Mitarbeiter!$F$58),0,IF(Planung!BM60="",$C60,IF(ISNUMBER(Planung!BM60),Planung!BM60,IF(UPPER(Planung!BM60)="H",$C60/2,0)))))))</f>
        <v>0</v>
      </c>
      <c r="BN60" s="27">
        <f>IF($A60="",0,IF(Mitarbeiter!$G$58=FALSE,0,IF(AND(Mitarbeiter!$E$58&lt;&gt;"",BN$5+6&lt;Mitarbeiter!$E$58),0,IF(AND(Mitarbeiter!$F$58&lt;&gt;"",BN$5&gt;Mitarbeiter!$F$58),0,IF(Planung!BN60="",$C60,IF(ISNUMBER(Planung!BN60),Planung!BN60,IF(UPPER(Planung!BN60)="H",$C60/2,0)))))))</f>
        <v>0</v>
      </c>
      <c r="BO60" s="27">
        <f>IF($A60="",0,IF(Mitarbeiter!$G$58=FALSE,0,IF(AND(Mitarbeiter!$E$58&lt;&gt;"",BO$5+6&lt;Mitarbeiter!$E$58),0,IF(AND(Mitarbeiter!$F$58&lt;&gt;"",BO$5&gt;Mitarbeiter!$F$58),0,IF(Planung!BO60="",$C60,IF(ISNUMBER(Planung!BO60),Planung!BO60,IF(UPPER(Planung!BO60)="H",$C60/2,0)))))))</f>
        <v>0</v>
      </c>
      <c r="BP60" s="27">
        <f>IF($A60="",0,IF(Mitarbeiter!$G$58=FALSE,0,IF(AND(Mitarbeiter!$E$58&lt;&gt;"",BP$5+6&lt;Mitarbeiter!$E$58),0,IF(AND(Mitarbeiter!$F$58&lt;&gt;"",BP$5&gt;Mitarbeiter!$F$58),0,IF(Planung!BP60="",$C60,IF(ISNUMBER(Planung!BP60),Planung!BP60,IF(UPPER(Planung!BP60)="H",$C60/2,0)))))))</f>
        <v>0</v>
      </c>
      <c r="BQ60" s="27">
        <f>IF($A60="",0,IF(Mitarbeiter!$G$58=FALSE,0,IF(AND(Mitarbeiter!$E$58&lt;&gt;"",BQ$5+6&lt;Mitarbeiter!$E$58),0,IF(AND(Mitarbeiter!$F$58&lt;&gt;"",BQ$5&gt;Mitarbeiter!$F$58),0,IF(Planung!BQ60="",$C60,IF(ISNUMBER(Planung!BQ60),Planung!BQ60,IF(UPPER(Planung!BQ60)="H",$C60/2,0)))))))</f>
        <v>0</v>
      </c>
      <c r="BR60" s="27">
        <f>IF($A60="",0,IF(Mitarbeiter!$G$58=FALSE,0,IF(AND(Mitarbeiter!$E$58&lt;&gt;"",BR$5+6&lt;Mitarbeiter!$E$58),0,IF(AND(Mitarbeiter!$F$58&lt;&gt;"",BR$5&gt;Mitarbeiter!$F$58),0,IF(Planung!BR60="",$C60,IF(ISNUMBER(Planung!BR60),Planung!BR60,IF(UPPER(Planung!BR60)="H",$C60/2,0)))))))</f>
        <v>0</v>
      </c>
      <c r="BS60" s="27">
        <f>IF($A60="",0,IF(Mitarbeiter!$G$58=FALSE,0,IF(AND(Mitarbeiter!$E$58&lt;&gt;"",BS$5+6&lt;Mitarbeiter!$E$58),0,IF(AND(Mitarbeiter!$F$58&lt;&gt;"",BS$5&gt;Mitarbeiter!$F$58),0,IF(Planung!BS60="",$C60,IF(ISNUMBER(Planung!BS60),Planung!BS60,IF(UPPER(Planung!BS60)="H",$C60/2,0)))))))</f>
        <v>0</v>
      </c>
      <c r="BT60" s="27">
        <f>IF($A60="",0,IF(Mitarbeiter!$G$58=FALSE,0,IF(AND(Mitarbeiter!$E$58&lt;&gt;"",BT$5+6&lt;Mitarbeiter!$E$58),0,IF(AND(Mitarbeiter!$F$58&lt;&gt;"",BT$5&gt;Mitarbeiter!$F$58),0,IF(Planung!BT60="",$C60,IF(ISNUMBER(Planung!BT60),Planung!BT60,IF(UPPER(Planung!BT60)="H",$C60/2,0)))))))</f>
        <v>0</v>
      </c>
      <c r="BU60" s="27">
        <f>IF($A60="",0,IF(Mitarbeiter!$G$58=FALSE,0,IF(AND(Mitarbeiter!$E$58&lt;&gt;"",BU$5+6&lt;Mitarbeiter!$E$58),0,IF(AND(Mitarbeiter!$F$58&lt;&gt;"",BU$5&gt;Mitarbeiter!$F$58),0,IF(Planung!BU60="",$C60,IF(ISNUMBER(Planung!BU60),Planung!BU60,IF(UPPER(Planung!BU60)="H",$C60/2,0)))))))</f>
        <v>0</v>
      </c>
      <c r="BV60" s="27">
        <f>IF($A60="",0,IF(Mitarbeiter!$G$58=FALSE,0,IF(AND(Mitarbeiter!$E$58&lt;&gt;"",BV$5+6&lt;Mitarbeiter!$E$58),0,IF(AND(Mitarbeiter!$F$58&lt;&gt;"",BV$5&gt;Mitarbeiter!$F$58),0,IF(Planung!BV60="",$C60,IF(ISNUMBER(Planung!BV60),Planung!BV60,IF(UPPER(Planung!BV60)="H",$C60/2,0)))))))</f>
        <v>0</v>
      </c>
      <c r="BW60" s="27">
        <f>IF($A60="",0,IF(Mitarbeiter!$G$58=FALSE,0,IF(AND(Mitarbeiter!$E$58&lt;&gt;"",BW$5+6&lt;Mitarbeiter!$E$58),0,IF(AND(Mitarbeiter!$F$58&lt;&gt;"",BW$5&gt;Mitarbeiter!$F$58),0,IF(Planung!BW60="",$C60,IF(ISNUMBER(Planung!BW60),Planung!BW60,IF(UPPER(Planung!BW60)="H",$C60/2,0)))))))</f>
        <v>0</v>
      </c>
      <c r="BX60" s="27">
        <f>IF($A60="",0,IF(Mitarbeiter!$G$58=FALSE,0,IF(AND(Mitarbeiter!$E$58&lt;&gt;"",BX$5+6&lt;Mitarbeiter!$E$58),0,IF(AND(Mitarbeiter!$F$58&lt;&gt;"",BX$5&gt;Mitarbeiter!$F$58),0,IF(Planung!BX60="",$C60,IF(ISNUMBER(Planung!BX60),Planung!BX60,IF(UPPER(Planung!BX60)="H",$C60/2,0)))))))</f>
        <v>0</v>
      </c>
      <c r="BY60" s="27">
        <f>IF($A60="",0,IF(Mitarbeiter!$G$58=FALSE,0,IF(AND(Mitarbeiter!$E$58&lt;&gt;"",BY$5+6&lt;Mitarbeiter!$E$58),0,IF(AND(Mitarbeiter!$F$58&lt;&gt;"",BY$5&gt;Mitarbeiter!$F$58),0,IF(Planung!BY60="",$C60,IF(ISNUMBER(Planung!BY60),Planung!BY60,IF(UPPER(Planung!BY60)="H",$C60/2,0)))))))</f>
        <v>0</v>
      </c>
      <c r="BZ60" s="27">
        <f>IF($A60="",0,IF(Mitarbeiter!$G$58=FALSE,0,IF(AND(Mitarbeiter!$E$58&lt;&gt;"",BZ$5+6&lt;Mitarbeiter!$E$58),0,IF(AND(Mitarbeiter!$F$58&lt;&gt;"",BZ$5&gt;Mitarbeiter!$F$58),0,IF(Planung!BZ60="",$C60,IF(ISNUMBER(Planung!BZ60),Planung!BZ60,IF(UPPER(Planung!BZ60)="H",$C60/2,0)))))))</f>
        <v>0</v>
      </c>
      <c r="CA60" s="27">
        <f>IF($A60="",0,IF(Mitarbeiter!$G$58=FALSE,0,IF(AND(Mitarbeiter!$E$58&lt;&gt;"",CA$5+6&lt;Mitarbeiter!$E$58),0,IF(AND(Mitarbeiter!$F$58&lt;&gt;"",CA$5&gt;Mitarbeiter!$F$58),0,IF(Planung!CA60="",$C60,IF(ISNUMBER(Planung!CA60),Planung!CA60,IF(UPPER(Planung!CA60)="H",$C60/2,0)))))))</f>
        <v>0</v>
      </c>
      <c r="CB60" s="27">
        <f>IF($A60="",0,IF(Mitarbeiter!$G$58=FALSE,0,IF(AND(Mitarbeiter!$E$58&lt;&gt;"",CB$5+6&lt;Mitarbeiter!$E$58),0,IF(AND(Mitarbeiter!$F$58&lt;&gt;"",CB$5&gt;Mitarbeiter!$F$58),0,IF(Planung!CB60="",$C60,IF(ISNUMBER(Planung!CB60),Planung!CB60,IF(UPPER(Planung!CB60)="H",$C60/2,0)))))))</f>
        <v>0</v>
      </c>
      <c r="CC60" s="27">
        <f>IF($A60="",0,IF(Mitarbeiter!$G$58=FALSE,0,IF(AND(Mitarbeiter!$E$58&lt;&gt;"",CC$5+6&lt;Mitarbeiter!$E$58),0,IF(AND(Mitarbeiter!$F$58&lt;&gt;"",CC$5&gt;Mitarbeiter!$F$58),0,IF(Planung!CC60="",$C60,IF(ISNUMBER(Planung!CC60),Planung!CC60,IF(UPPER(Planung!CC60)="H",$C60/2,0)))))))</f>
        <v>0</v>
      </c>
      <c r="CD60" s="27">
        <f>IF($A60="",0,IF(Mitarbeiter!$G$58=FALSE,0,IF(AND(Mitarbeiter!$E$58&lt;&gt;"",CD$5+6&lt;Mitarbeiter!$E$58),0,IF(AND(Mitarbeiter!$F$58&lt;&gt;"",CD$5&gt;Mitarbeiter!$F$58),0,IF(Planung!CD60="",$C60,IF(ISNUMBER(Planung!CD60),Planung!CD60,IF(UPPER(Planung!CD60)="H",$C60/2,0)))))))</f>
        <v>0</v>
      </c>
      <c r="CE60" s="27">
        <f>IF($A60="",0,IF(Mitarbeiter!$G$58=FALSE,0,IF(AND(Mitarbeiter!$E$58&lt;&gt;"",CE$5+6&lt;Mitarbeiter!$E$58),0,IF(AND(Mitarbeiter!$F$58&lt;&gt;"",CE$5&gt;Mitarbeiter!$F$58),0,IF(Planung!CE60="",$C60,IF(ISNUMBER(Planung!CE60),Planung!CE60,IF(UPPER(Planung!CE60)="H",$C60/2,0)))))))</f>
        <v>0</v>
      </c>
      <c r="CF60" s="27">
        <f>IF($A60="",0,IF(Mitarbeiter!$G$58=FALSE,0,IF(AND(Mitarbeiter!$E$58&lt;&gt;"",CF$5+6&lt;Mitarbeiter!$E$58),0,IF(AND(Mitarbeiter!$F$58&lt;&gt;"",CF$5&gt;Mitarbeiter!$F$58),0,IF(Planung!CF60="",$C60,IF(ISNUMBER(Planung!CF60),Planung!CF60,IF(UPPER(Planung!CF60)="H",$C60/2,0)))))))</f>
        <v>0</v>
      </c>
      <c r="CG60" s="27">
        <f>IF($A60="",0,IF(Mitarbeiter!$G$58=FALSE,0,IF(AND(Mitarbeiter!$E$58&lt;&gt;"",CG$5+6&lt;Mitarbeiter!$E$58),0,IF(AND(Mitarbeiter!$F$58&lt;&gt;"",CG$5&gt;Mitarbeiter!$F$58),0,IF(Planung!CG60="",$C60,IF(ISNUMBER(Planung!CG60),Planung!CG60,IF(UPPER(Planung!CG60)="H",$C60/2,0)))))))</f>
        <v>0</v>
      </c>
      <c r="CH60" s="27">
        <f>IF($A60="",0,IF(Mitarbeiter!$G$58=FALSE,0,IF(AND(Mitarbeiter!$E$58&lt;&gt;"",CH$5+6&lt;Mitarbeiter!$E$58),0,IF(AND(Mitarbeiter!$F$58&lt;&gt;"",CH$5&gt;Mitarbeiter!$F$58),0,IF(Planung!CH60="",$C60,IF(ISNUMBER(Planung!CH60),Planung!CH60,IF(UPPER(Planung!CH60)="H",$C60/2,0)))))))</f>
        <v>0</v>
      </c>
      <c r="CI60" s="27">
        <f>IF($A60="",0,IF(Mitarbeiter!$G$58=FALSE,0,IF(AND(Mitarbeiter!$E$58&lt;&gt;"",CI$5+6&lt;Mitarbeiter!$E$58),0,IF(AND(Mitarbeiter!$F$58&lt;&gt;"",CI$5&gt;Mitarbeiter!$F$58),0,IF(Planung!CI60="",$C60,IF(ISNUMBER(Planung!CI60),Planung!CI60,IF(UPPER(Planung!CI60)="H",$C60/2,0)))))))</f>
        <v>0</v>
      </c>
      <c r="CJ60" s="27">
        <f>IF($A60="",0,IF(Mitarbeiter!$G$58=FALSE,0,IF(AND(Mitarbeiter!$E$58&lt;&gt;"",CJ$5+6&lt;Mitarbeiter!$E$58),0,IF(AND(Mitarbeiter!$F$58&lt;&gt;"",CJ$5&gt;Mitarbeiter!$F$58),0,IF(Planung!CJ60="",$C60,IF(ISNUMBER(Planung!CJ60),Planung!CJ60,IF(UPPER(Planung!CJ60)="H",$C60/2,0)))))))</f>
        <v>0</v>
      </c>
      <c r="CK60" s="27">
        <f>IF($A60="",0,IF(Mitarbeiter!$G$58=FALSE,0,IF(AND(Mitarbeiter!$E$58&lt;&gt;"",CK$5+6&lt;Mitarbeiter!$E$58),0,IF(AND(Mitarbeiter!$F$58&lt;&gt;"",CK$5&gt;Mitarbeiter!$F$58),0,IF(Planung!CK60="",$C60,IF(ISNUMBER(Planung!CK60),Planung!CK60,IF(UPPER(Planung!CK60)="H",$C60/2,0)))))))</f>
        <v>0</v>
      </c>
      <c r="CL60" s="27">
        <f>IF($A60="",0,IF(Mitarbeiter!$G$58=FALSE,0,IF(AND(Mitarbeiter!$E$58&lt;&gt;"",CL$5+6&lt;Mitarbeiter!$E$58),0,IF(AND(Mitarbeiter!$F$58&lt;&gt;"",CL$5&gt;Mitarbeiter!$F$58),0,IF(Planung!CL60="",$C60,IF(ISNUMBER(Planung!CL60),Planung!CL60,IF(UPPER(Planung!CL60)="H",$C60/2,0)))))))</f>
        <v>0</v>
      </c>
      <c r="CM60" s="27">
        <f>IF($A60="",0,IF(Mitarbeiter!$G$58=FALSE,0,IF(AND(Mitarbeiter!$E$58&lt;&gt;"",CM$5+6&lt;Mitarbeiter!$E$58),0,IF(AND(Mitarbeiter!$F$58&lt;&gt;"",CM$5&gt;Mitarbeiter!$F$58),0,IF(Planung!CM60="",$C60,IF(ISNUMBER(Planung!CM60),Planung!CM60,IF(UPPER(Planung!CM60)="H",$C60/2,0)))))))</f>
        <v>0</v>
      </c>
      <c r="CN60" s="27">
        <f>IF($A60="",0,IF(Mitarbeiter!$G$58=FALSE,0,IF(AND(Mitarbeiter!$E$58&lt;&gt;"",CN$5+6&lt;Mitarbeiter!$E$58),0,IF(AND(Mitarbeiter!$F$58&lt;&gt;"",CN$5&gt;Mitarbeiter!$F$58),0,IF(Planung!CN60="",$C60,IF(ISNUMBER(Planung!CN60),Planung!CN60,IF(UPPER(Planung!CN60)="H",$C60/2,0)))))))</f>
        <v>0</v>
      </c>
      <c r="CO60" s="27">
        <f>IF($A60="",0,IF(Mitarbeiter!$G$58=FALSE,0,IF(AND(Mitarbeiter!$E$58&lt;&gt;"",CO$5+6&lt;Mitarbeiter!$E$58),0,IF(AND(Mitarbeiter!$F$58&lt;&gt;"",CO$5&gt;Mitarbeiter!$F$58),0,IF(Planung!CO60="",$C60,IF(ISNUMBER(Planung!CO60),Planung!CO60,IF(UPPER(Planung!CO60)="H",$C60/2,0)))))))</f>
        <v>0</v>
      </c>
      <c r="CP60" s="27">
        <f>IF($A60="",0,IF(Mitarbeiter!$G$58=FALSE,0,IF(AND(Mitarbeiter!$E$58&lt;&gt;"",CP$5+6&lt;Mitarbeiter!$E$58),0,IF(AND(Mitarbeiter!$F$58&lt;&gt;"",CP$5&gt;Mitarbeiter!$F$58),0,IF(Planung!CP60="",$C60,IF(ISNUMBER(Planung!CP60),Planung!CP60,IF(UPPER(Planung!CP60)="H",$C60/2,0)))))))</f>
        <v>0</v>
      </c>
      <c r="CQ60" s="27">
        <f>IF($A60="",0,IF(Mitarbeiter!$G$58=FALSE,0,IF(AND(Mitarbeiter!$E$58&lt;&gt;"",CQ$5+6&lt;Mitarbeiter!$E$58),0,IF(AND(Mitarbeiter!$F$58&lt;&gt;"",CQ$5&gt;Mitarbeiter!$F$58),0,IF(Planung!CQ60="",$C60,IF(ISNUMBER(Planung!CQ60),Planung!CQ60,IF(UPPER(Planung!CQ60)="H",$C60/2,0)))))))</f>
        <v>0</v>
      </c>
      <c r="CR60" s="27">
        <f>IF($A60="",0,IF(Mitarbeiter!$G$58=FALSE,0,IF(AND(Mitarbeiter!$E$58&lt;&gt;"",CR$5+6&lt;Mitarbeiter!$E$58),0,IF(AND(Mitarbeiter!$F$58&lt;&gt;"",CR$5&gt;Mitarbeiter!$F$58),0,IF(Planung!CR60="",$C60,IF(ISNUMBER(Planung!CR60),Planung!CR60,IF(UPPER(Planung!CR60)="H",$C60/2,0)))))))</f>
        <v>0</v>
      </c>
      <c r="CS60" s="27">
        <f>IF($A60="",0,IF(Mitarbeiter!$G$58=FALSE,0,IF(AND(Mitarbeiter!$E$58&lt;&gt;"",CS$5+6&lt;Mitarbeiter!$E$58),0,IF(AND(Mitarbeiter!$F$58&lt;&gt;"",CS$5&gt;Mitarbeiter!$F$58),0,IF(Planung!CS60="",$C60,IF(ISNUMBER(Planung!CS60),Planung!CS60,IF(UPPER(Planung!CS60)="H",$C60/2,0)))))))</f>
        <v>0</v>
      </c>
      <c r="CT60" s="27">
        <f>IF($A60="",0,IF(Mitarbeiter!$G$58=FALSE,0,IF(AND(Mitarbeiter!$E$58&lt;&gt;"",CT$5+6&lt;Mitarbeiter!$E$58),0,IF(AND(Mitarbeiter!$F$58&lt;&gt;"",CT$5&gt;Mitarbeiter!$F$58),0,IF(Planung!CT60="",$C60,IF(ISNUMBER(Planung!CT60),Planung!CT60,IF(UPPER(Planung!CT60)="H",$C60/2,0)))))))</f>
        <v>0</v>
      </c>
      <c r="CU60" s="27">
        <f>IF($A60="",0,IF(Mitarbeiter!$G$58=FALSE,0,IF(AND(Mitarbeiter!$E$58&lt;&gt;"",CU$5+6&lt;Mitarbeiter!$E$58),0,IF(AND(Mitarbeiter!$F$58&lt;&gt;"",CU$5&gt;Mitarbeiter!$F$58),0,IF(Planung!CU60="",$C60,IF(ISNUMBER(Planung!CU60),Planung!CU60,IF(UPPER(Planung!CU60)="H",$C60/2,0)))))))</f>
        <v>0</v>
      </c>
      <c r="CV60" s="27">
        <f>IF($A60="",0,IF(Mitarbeiter!$G$58=FALSE,0,IF(AND(Mitarbeiter!$E$58&lt;&gt;"",CV$5+6&lt;Mitarbeiter!$E$58),0,IF(AND(Mitarbeiter!$F$58&lt;&gt;"",CV$5&gt;Mitarbeiter!$F$58),0,IF(Planung!CV60="",$C60,IF(ISNUMBER(Planung!CV60),Planung!CV60,IF(UPPER(Planung!CV60)="H",$C60/2,0)))))))</f>
        <v>0</v>
      </c>
      <c r="CW60" s="27">
        <f>IF($A60="",0,IF(Mitarbeiter!$G$58=FALSE,0,IF(AND(Mitarbeiter!$E$58&lt;&gt;"",CW$5+6&lt;Mitarbeiter!$E$58),0,IF(AND(Mitarbeiter!$F$58&lt;&gt;"",CW$5&gt;Mitarbeiter!$F$58),0,IF(Planung!CW60="",$C60,IF(ISNUMBER(Planung!CW60),Planung!CW60,IF(UPPER(Planung!CW60)="H",$C60/2,0)))))))</f>
        <v>0</v>
      </c>
      <c r="CX60" s="27">
        <f>IF($A60="",0,IF(Mitarbeiter!$G$58=FALSE,0,IF(AND(Mitarbeiter!$E$58&lt;&gt;"",CX$5+6&lt;Mitarbeiter!$E$58),0,IF(AND(Mitarbeiter!$F$58&lt;&gt;"",CX$5&gt;Mitarbeiter!$F$58),0,IF(Planung!CX60="",$C60,IF(ISNUMBER(Planung!CX60),Planung!CX60,IF(UPPER(Planung!CX60)="H",$C60/2,0)))))))</f>
        <v>0</v>
      </c>
      <c r="CY60" s="27">
        <f>IF($A60="",0,IF(Mitarbeiter!$G$58=FALSE,0,IF(AND(Mitarbeiter!$E$58&lt;&gt;"",CY$5+6&lt;Mitarbeiter!$E$58),0,IF(AND(Mitarbeiter!$F$58&lt;&gt;"",CY$5&gt;Mitarbeiter!$F$58),0,IF(Planung!CY60="",$C60,IF(ISNUMBER(Planung!CY60),Planung!CY60,IF(UPPER(Planung!CY60)="H",$C60/2,0)))))))</f>
        <v>0</v>
      </c>
      <c r="CZ60" s="27">
        <f>IF($A60="",0,IF(Mitarbeiter!$G$58=FALSE,0,IF(AND(Mitarbeiter!$E$58&lt;&gt;"",CZ$5+6&lt;Mitarbeiter!$E$58),0,IF(AND(Mitarbeiter!$F$58&lt;&gt;"",CZ$5&gt;Mitarbeiter!$F$58),0,IF(Planung!CZ60="",$C60,IF(ISNUMBER(Planung!CZ60),Planung!CZ60,IF(UPPER(Planung!CZ60)="H",$C60/2,0)))))))</f>
        <v>0</v>
      </c>
      <c r="DA60" s="27">
        <f>IF($A60="",0,IF(Mitarbeiter!$G$58=FALSE,0,IF(AND(Mitarbeiter!$E$58&lt;&gt;"",DA$5+6&lt;Mitarbeiter!$E$58),0,IF(AND(Mitarbeiter!$F$58&lt;&gt;"",DA$5&gt;Mitarbeiter!$F$58),0,IF(Planung!DA60="",$C60,IF(ISNUMBER(Planung!DA60),Planung!DA60,IF(UPPER(Planung!DA60)="H",$C60/2,0)))))))</f>
        <v>0</v>
      </c>
      <c r="DB60" s="27">
        <f>IF($A60="",0,IF(Mitarbeiter!$G$58=FALSE,0,IF(AND(Mitarbeiter!$E$58&lt;&gt;"",DB$5+6&lt;Mitarbeiter!$E$58),0,IF(AND(Mitarbeiter!$F$58&lt;&gt;"",DB$5&gt;Mitarbeiter!$F$58),0,IF(Planung!DB60="",$C60,IF(ISNUMBER(Planung!DB60),Planung!DB60,IF(UPPER(Planung!DB60)="H",$C60/2,0)))))))</f>
        <v>0</v>
      </c>
      <c r="DC60" s="27">
        <f>IF($A60="",0,IF(Mitarbeiter!$G$58=FALSE,0,IF(AND(Mitarbeiter!$E$58&lt;&gt;"",DC$5+6&lt;Mitarbeiter!$E$58),0,IF(AND(Mitarbeiter!$F$58&lt;&gt;"",DC$5&gt;Mitarbeiter!$F$58),0,IF(Planung!DC60="",$C60,IF(ISNUMBER(Planung!DC60),Planung!DC60,IF(UPPER(Planung!DC60)="H",$C60/2,0)))))))</f>
        <v>0</v>
      </c>
      <c r="DD60" s="27">
        <f>IF($A60="",0,IF(Mitarbeiter!$G$58=FALSE,0,IF(AND(Mitarbeiter!$E$58&lt;&gt;"",DD$5+6&lt;Mitarbeiter!$E$58),0,IF(AND(Mitarbeiter!$F$58&lt;&gt;"",DD$5&gt;Mitarbeiter!$F$58),0,IF(Planung!DD60="",$C60,IF(ISNUMBER(Planung!DD60),Planung!DD60,IF(UPPER(Planung!DD60)="H",$C60/2,0)))))))</f>
        <v>0</v>
      </c>
      <c r="DE60" s="27">
        <f>IF($A60="",0,IF(Mitarbeiter!$G$58=FALSE,0,IF(AND(Mitarbeiter!$E$58&lt;&gt;"",DE$5+6&lt;Mitarbeiter!$E$58),0,IF(AND(Mitarbeiter!$F$58&lt;&gt;"",DE$5&gt;Mitarbeiter!$F$58),0,IF(Planung!DE60="",$C60,IF(ISNUMBER(Planung!DE60),Planung!DE60,IF(UPPER(Planung!DE60)="H",$C60/2,0)))))))</f>
        <v>0</v>
      </c>
      <c r="DF60" s="27">
        <f>IF($A60="",0,IF(Mitarbeiter!$G$58=FALSE,0,IF(AND(Mitarbeiter!$E$58&lt;&gt;"",DF$5+6&lt;Mitarbeiter!$E$58),0,IF(AND(Mitarbeiter!$F$58&lt;&gt;"",DF$5&gt;Mitarbeiter!$F$58),0,IF(Planung!DF60="",$C60,IF(ISNUMBER(Planung!DF60),Planung!DF60,IF(UPPER(Planung!DF60)="H",$C60/2,0)))))))</f>
        <v>0</v>
      </c>
      <c r="DG60" s="27">
        <f>IF($A60="",0,IF(Mitarbeiter!$G$58=FALSE,0,IF(AND(Mitarbeiter!$E$58&lt;&gt;"",DG$5+6&lt;Mitarbeiter!$E$58),0,IF(AND(Mitarbeiter!$F$58&lt;&gt;"",DG$5&gt;Mitarbeiter!$F$58),0,IF(Planung!DG60="",$C60,IF(ISNUMBER(Planung!DG60),Planung!DG60,IF(UPPER(Planung!DG60)="H",$C60/2,0)))))))</f>
        <v>0</v>
      </c>
      <c r="DH60" s="27">
        <f>IF($A60="",0,IF(Mitarbeiter!$G$58=FALSE,0,IF(AND(Mitarbeiter!$E$58&lt;&gt;"",DH$5+6&lt;Mitarbeiter!$E$58),0,IF(AND(Mitarbeiter!$F$58&lt;&gt;"",DH$5&gt;Mitarbeiter!$F$58),0,IF(Planung!DH60="",$C60,IF(ISNUMBER(Planung!DH60),Planung!DH60,IF(UPPER(Planung!DH60)="H",$C60/2,0)))))))</f>
        <v>0</v>
      </c>
      <c r="DI60" s="27">
        <f>IF($A60="",0,IF(Mitarbeiter!$G$58=FALSE,0,IF(AND(Mitarbeiter!$E$58&lt;&gt;"",DI$5+6&lt;Mitarbeiter!$E$58),0,IF(AND(Mitarbeiter!$F$58&lt;&gt;"",DI$5&gt;Mitarbeiter!$F$58),0,IF(Planung!DI60="",$C60,IF(ISNUMBER(Planung!DI60),Planung!DI60,IF(UPPER(Planung!DI60)="H",$C60/2,0)))))))</f>
        <v>0</v>
      </c>
      <c r="DJ60" s="27">
        <f>IF($A60="",0,IF(Mitarbeiter!$G$58=FALSE,0,IF(AND(Mitarbeiter!$E$58&lt;&gt;"",DJ$5+6&lt;Mitarbeiter!$E$58),0,IF(AND(Mitarbeiter!$F$58&lt;&gt;"",DJ$5&gt;Mitarbeiter!$F$58),0,IF(Planung!DJ60="",$C60,IF(ISNUMBER(Planung!DJ60),Planung!DJ60,IF(UPPER(Planung!DJ60)="H",$C60/2,0)))))))</f>
        <v>0</v>
      </c>
      <c r="DK60" s="27">
        <f>IF($A60="",0,IF(Mitarbeiter!$G$58=FALSE,0,IF(AND(Mitarbeiter!$E$58&lt;&gt;"",DK$5+6&lt;Mitarbeiter!$E$58),0,IF(AND(Mitarbeiter!$F$58&lt;&gt;"",DK$5&gt;Mitarbeiter!$F$58),0,IF(Planung!DK60="",$C60,IF(ISNUMBER(Planung!DK60),Planung!DK60,IF(UPPER(Planung!DK60)="H",$C60/2,0)))))))</f>
        <v>0</v>
      </c>
      <c r="DL60" s="27">
        <f>IF($A60="",0,IF(Mitarbeiter!$G$58=FALSE,0,IF(AND(Mitarbeiter!$E$58&lt;&gt;"",DL$5+6&lt;Mitarbeiter!$E$58),0,IF(AND(Mitarbeiter!$F$58&lt;&gt;"",DL$5&gt;Mitarbeiter!$F$58),0,IF(Planung!DL60="",$C60,IF(ISNUMBER(Planung!DL60),Planung!DL60,IF(UPPER(Planung!DL60)="H",$C60/2,0)))))))</f>
        <v>0</v>
      </c>
      <c r="DM60" s="27">
        <f>IF($A60="",0,IF(Mitarbeiter!$G$58=FALSE,0,IF(AND(Mitarbeiter!$E$58&lt;&gt;"",DM$5+6&lt;Mitarbeiter!$E$58),0,IF(AND(Mitarbeiter!$F$58&lt;&gt;"",DM$5&gt;Mitarbeiter!$F$58),0,IF(Planung!DM60="",$C60,IF(ISNUMBER(Planung!DM60),Planung!DM60,IF(UPPER(Planung!DM60)="H",$C60/2,0)))))))</f>
        <v>0</v>
      </c>
      <c r="DN60" s="27">
        <f>IF($A60="",0,IF(Mitarbeiter!$G$58=FALSE,0,IF(AND(Mitarbeiter!$E$58&lt;&gt;"",DN$5+6&lt;Mitarbeiter!$E$58),0,IF(AND(Mitarbeiter!$F$58&lt;&gt;"",DN$5&gt;Mitarbeiter!$F$58),0,IF(Planung!DN60="",$C60,IF(ISNUMBER(Planung!DN60),Planung!DN60,IF(UPPER(Planung!DN60)="H",$C60/2,0)))))))</f>
        <v>0</v>
      </c>
      <c r="DO60" s="27">
        <f>IF($A60="",0,IF(Mitarbeiter!$G$58=FALSE,0,IF(AND(Mitarbeiter!$E$58&lt;&gt;"",DO$5+6&lt;Mitarbeiter!$E$58),0,IF(AND(Mitarbeiter!$F$58&lt;&gt;"",DO$5&gt;Mitarbeiter!$F$58),0,IF(Planung!DO60="",$C60,IF(ISNUMBER(Planung!DO60),Planung!DO60,IF(UPPER(Planung!DO60)="H",$C60/2,0)))))))</f>
        <v>0</v>
      </c>
      <c r="DP60" s="27">
        <f>IF($A60="",0,IF(Mitarbeiter!$G$58=FALSE,0,IF(AND(Mitarbeiter!$E$58&lt;&gt;"",DP$5+6&lt;Mitarbeiter!$E$58),0,IF(AND(Mitarbeiter!$F$58&lt;&gt;"",DP$5&gt;Mitarbeiter!$F$58),0,IF(Planung!DP60="",$C60,IF(ISNUMBER(Planung!DP60),Planung!DP60,IF(UPPER(Planung!DP60)="H",$C60/2,0)))))))</f>
        <v>0</v>
      </c>
      <c r="DQ60" s="27">
        <f>IF($A60="",0,IF(Mitarbeiter!$G$58=FALSE,0,IF(AND(Mitarbeiter!$E$58&lt;&gt;"",DQ$5+6&lt;Mitarbeiter!$E$58),0,IF(AND(Mitarbeiter!$F$58&lt;&gt;"",DQ$5&gt;Mitarbeiter!$F$58),0,IF(Planung!DQ60="",$C60,IF(ISNUMBER(Planung!DQ60),Planung!DQ60,IF(UPPER(Planung!DQ60)="H",$C60/2,0)))))))</f>
        <v>0</v>
      </c>
      <c r="DR60" s="27">
        <f>IF($A60="",0,IF(Mitarbeiter!$G$58=FALSE,0,IF(AND(Mitarbeiter!$E$58&lt;&gt;"",DR$5+6&lt;Mitarbeiter!$E$58),0,IF(AND(Mitarbeiter!$F$58&lt;&gt;"",DR$5&gt;Mitarbeiter!$F$58),0,IF(Planung!DR60="",$C60,IF(ISNUMBER(Planung!DR60),Planung!DR60,IF(UPPER(Planung!DR60)="H",$C60/2,0)))))))</f>
        <v>0</v>
      </c>
      <c r="DS60" s="27">
        <f>IF($A60="",0,IF(Mitarbeiter!$G$58=FALSE,0,IF(AND(Mitarbeiter!$E$58&lt;&gt;"",DS$5+6&lt;Mitarbeiter!$E$58),0,IF(AND(Mitarbeiter!$F$58&lt;&gt;"",DS$5&gt;Mitarbeiter!$F$58),0,IF(Planung!DS60="",$C60,IF(ISNUMBER(Planung!DS60),Planung!DS60,IF(UPPER(Planung!DS60)="H",$C60/2,0)))))))</f>
        <v>0</v>
      </c>
      <c r="DT60" s="27">
        <f>IF($A60="",0,IF(Mitarbeiter!$G$58=FALSE,0,IF(AND(Mitarbeiter!$E$58&lt;&gt;"",DT$5+6&lt;Mitarbeiter!$E$58),0,IF(AND(Mitarbeiter!$F$58&lt;&gt;"",DT$5&gt;Mitarbeiter!$F$58),0,IF(Planung!DT60="",$C60,IF(ISNUMBER(Planung!DT60),Planung!DT60,IF(UPPER(Planung!DT60)="H",$C60/2,0)))))))</f>
        <v>0</v>
      </c>
      <c r="DU60" s="27">
        <f>IF($A60="",0,IF(Mitarbeiter!$G$58=FALSE,0,IF(AND(Mitarbeiter!$E$58&lt;&gt;"",DU$5+6&lt;Mitarbeiter!$E$58),0,IF(AND(Mitarbeiter!$F$58&lt;&gt;"",DU$5&gt;Mitarbeiter!$F$58),0,IF(Planung!DU60="",$C60,IF(ISNUMBER(Planung!DU60),Planung!DU60,IF(UPPER(Planung!DU60)="H",$C60/2,0)))))))</f>
        <v>0</v>
      </c>
      <c r="DV60" s="27">
        <f>IF($A60="",0,IF(Mitarbeiter!$G$58=FALSE,0,IF(AND(Mitarbeiter!$E$58&lt;&gt;"",DV$5+6&lt;Mitarbeiter!$E$58),0,IF(AND(Mitarbeiter!$F$58&lt;&gt;"",DV$5&gt;Mitarbeiter!$F$58),0,IF(Planung!DV60="",$C60,IF(ISNUMBER(Planung!DV60),Planung!DV60,IF(UPPER(Planung!DV60)="H",$C60/2,0)))))))</f>
        <v>0</v>
      </c>
      <c r="DW60" s="27">
        <f>IF($A60="",0,IF(Mitarbeiter!$G$58=FALSE,0,IF(AND(Mitarbeiter!$E$58&lt;&gt;"",DW$5+6&lt;Mitarbeiter!$E$58),0,IF(AND(Mitarbeiter!$F$58&lt;&gt;"",DW$5&gt;Mitarbeiter!$F$58),0,IF(Planung!DW60="",$C60,IF(ISNUMBER(Planung!DW60),Planung!DW60,IF(UPPER(Planung!DW60)="H",$C60/2,0)))))))</f>
        <v>0</v>
      </c>
      <c r="DX60" s="27">
        <f>IF($A60="",0,IF(Mitarbeiter!$G$58=FALSE,0,IF(AND(Mitarbeiter!$E$58&lt;&gt;"",DX$5+6&lt;Mitarbeiter!$E$58),0,IF(AND(Mitarbeiter!$F$58&lt;&gt;"",DX$5&gt;Mitarbeiter!$F$58),0,IF(Planung!DX60="",$C60,IF(ISNUMBER(Planung!DX60),Planung!DX60,IF(UPPER(Planung!DX60)="H",$C60/2,0)))))))</f>
        <v>0</v>
      </c>
      <c r="DY60" s="27">
        <f>IF($A60="",0,IF(Mitarbeiter!$G$58=FALSE,0,IF(AND(Mitarbeiter!$E$58&lt;&gt;"",DY$5+6&lt;Mitarbeiter!$E$58),0,IF(AND(Mitarbeiter!$F$58&lt;&gt;"",DY$5&gt;Mitarbeiter!$F$58),0,IF(Planung!DY60="",$C60,IF(ISNUMBER(Planung!DY60),Planung!DY60,IF(UPPER(Planung!DY60)="H",$C60/2,0)))))))</f>
        <v>0</v>
      </c>
      <c r="DZ60" s="27">
        <f>IF($A60="",0,IF(Mitarbeiter!$G$58=FALSE,0,IF(AND(Mitarbeiter!$E$58&lt;&gt;"",DZ$5+6&lt;Mitarbeiter!$E$58),0,IF(AND(Mitarbeiter!$F$58&lt;&gt;"",DZ$5&gt;Mitarbeiter!$F$58),0,IF(Planung!DZ60="",$C60,IF(ISNUMBER(Planung!DZ60),Planung!DZ60,IF(UPPER(Planung!DZ60)="H",$C60/2,0)))))))</f>
        <v>0</v>
      </c>
      <c r="EA60" s="27">
        <f>IF($A60="",0,IF(Mitarbeiter!$G$58=FALSE,0,IF(AND(Mitarbeiter!$E$58&lt;&gt;"",EA$5+6&lt;Mitarbeiter!$E$58),0,IF(AND(Mitarbeiter!$F$58&lt;&gt;"",EA$5&gt;Mitarbeiter!$F$58),0,IF(Planung!EA60="",$C60,IF(ISNUMBER(Planung!EA60),Planung!EA60,IF(UPPER(Planung!EA60)="H",$C60/2,0)))))))</f>
        <v>0</v>
      </c>
      <c r="EB60" s="27">
        <f>IF($A60="",0,IF(Mitarbeiter!$G$58=FALSE,0,IF(AND(Mitarbeiter!$E$58&lt;&gt;"",EB$5+6&lt;Mitarbeiter!$E$58),0,IF(AND(Mitarbeiter!$F$58&lt;&gt;"",EB$5&gt;Mitarbeiter!$F$58),0,IF(Planung!EB60="",$C60,IF(ISNUMBER(Planung!EB60),Planung!EB60,IF(UPPER(Planung!EB60)="H",$C60/2,0)))))))</f>
        <v>0</v>
      </c>
      <c r="EC60" s="27">
        <f>IF($A60="",0,IF(Mitarbeiter!$G$58=FALSE,0,IF(AND(Mitarbeiter!$E$58&lt;&gt;"",EC$5+6&lt;Mitarbeiter!$E$58),0,IF(AND(Mitarbeiter!$F$58&lt;&gt;"",EC$5&gt;Mitarbeiter!$F$58),0,IF(Planung!EC60="",$C60,IF(ISNUMBER(Planung!EC60),Planung!EC60,IF(UPPER(Planung!EC60)="H",$C60/2,0)))))))</f>
        <v>0</v>
      </c>
      <c r="ED60" s="27">
        <f>IF($A60="",0,IF(Mitarbeiter!$G$58=FALSE,0,IF(AND(Mitarbeiter!$E$58&lt;&gt;"",ED$5+6&lt;Mitarbeiter!$E$58),0,IF(AND(Mitarbeiter!$F$58&lt;&gt;"",ED$5&gt;Mitarbeiter!$F$58),0,IF(Planung!ED60="",$C60,IF(ISNUMBER(Planung!ED60),Planung!ED60,IF(UPPER(Planung!ED60)="H",$C60/2,0)))))))</f>
        <v>0</v>
      </c>
      <c r="EE60" s="27">
        <f>IF($A60="",0,IF(Mitarbeiter!$G$58=FALSE,0,IF(AND(Mitarbeiter!$E$58&lt;&gt;"",EE$5+6&lt;Mitarbeiter!$E$58),0,IF(AND(Mitarbeiter!$F$58&lt;&gt;"",EE$5&gt;Mitarbeiter!$F$58),0,IF(Planung!EE60="",$C60,IF(ISNUMBER(Planung!EE60),Planung!EE60,IF(UPPER(Planung!EE60)="H",$C60/2,0)))))))</f>
        <v>0</v>
      </c>
      <c r="EF60" s="27">
        <f>IF($A60="",0,IF(Mitarbeiter!$G$58=FALSE,0,IF(AND(Mitarbeiter!$E$58&lt;&gt;"",EF$5+6&lt;Mitarbeiter!$E$58),0,IF(AND(Mitarbeiter!$F$58&lt;&gt;"",EF$5&gt;Mitarbeiter!$F$58),0,IF(Planung!EF60="",$C60,IF(ISNUMBER(Planung!EF60),Planung!EF60,IF(UPPER(Planung!EF60)="H",$C60/2,0)))))))</f>
        <v>0</v>
      </c>
      <c r="EG60" s="27">
        <f>IF($A60="",0,IF(Mitarbeiter!$G$58=FALSE,0,IF(AND(Mitarbeiter!$E$58&lt;&gt;"",EG$5+6&lt;Mitarbeiter!$E$58),0,IF(AND(Mitarbeiter!$F$58&lt;&gt;"",EG$5&gt;Mitarbeiter!$F$58),0,IF(Planung!EG60="",$C60,IF(ISNUMBER(Planung!EG60),Planung!EG60,IF(UPPER(Planung!EG60)="H",$C60/2,0)))))))</f>
        <v>0</v>
      </c>
      <c r="EH60" s="27">
        <f>IF($A60="",0,IF(Mitarbeiter!$G$58=FALSE,0,IF(AND(Mitarbeiter!$E$58&lt;&gt;"",EH$5+6&lt;Mitarbeiter!$E$58),0,IF(AND(Mitarbeiter!$F$58&lt;&gt;"",EH$5&gt;Mitarbeiter!$F$58),0,IF(Planung!EH60="",$C60,IF(ISNUMBER(Planung!EH60),Planung!EH60,IF(UPPER(Planung!EH60)="H",$C60/2,0)))))))</f>
        <v>0</v>
      </c>
      <c r="EI60" s="27">
        <f>IF($A60="",0,IF(Mitarbeiter!$G$58=FALSE,0,IF(AND(Mitarbeiter!$E$58&lt;&gt;"",EI$5+6&lt;Mitarbeiter!$E$58),0,IF(AND(Mitarbeiter!$F$58&lt;&gt;"",EI$5&gt;Mitarbeiter!$F$58),0,IF(Planung!EI60="",$C60,IF(ISNUMBER(Planung!EI60),Planung!EI60,IF(UPPER(Planung!EI60)="H",$C60/2,0)))))))</f>
        <v>0</v>
      </c>
      <c r="EJ60" s="27">
        <f>IF($A60="",0,IF(Mitarbeiter!$G$58=FALSE,0,IF(AND(Mitarbeiter!$E$58&lt;&gt;"",EJ$5+6&lt;Mitarbeiter!$E$58),0,IF(AND(Mitarbeiter!$F$58&lt;&gt;"",EJ$5&gt;Mitarbeiter!$F$58),0,IF(Planung!EJ60="",$C60,IF(ISNUMBER(Planung!EJ60),Planung!EJ60,IF(UPPER(Planung!EJ60)="H",$C60/2,0)))))))</f>
        <v>0</v>
      </c>
      <c r="EK60" s="27">
        <f>IF($A60="",0,IF(Mitarbeiter!$G$58=FALSE,0,IF(AND(Mitarbeiter!$E$58&lt;&gt;"",EK$5+6&lt;Mitarbeiter!$E$58),0,IF(AND(Mitarbeiter!$F$58&lt;&gt;"",EK$5&gt;Mitarbeiter!$F$58),0,IF(Planung!EK60="",$C60,IF(ISNUMBER(Planung!EK60),Planung!EK60,IF(UPPER(Planung!EK60)="H",$C60/2,0)))))))</f>
        <v>0</v>
      </c>
      <c r="EL60" s="27">
        <f>IF($A60="",0,IF(Mitarbeiter!$G$58=FALSE,0,IF(AND(Mitarbeiter!$E$58&lt;&gt;"",EL$5+6&lt;Mitarbeiter!$E$58),0,IF(AND(Mitarbeiter!$F$58&lt;&gt;"",EL$5&gt;Mitarbeiter!$F$58),0,IF(Planung!EL60="",$C60,IF(ISNUMBER(Planung!EL60),Planung!EL60,IF(UPPER(Planung!EL60)="H",$C60/2,0)))))))</f>
        <v>0</v>
      </c>
      <c r="EM60" s="27">
        <f>IF($A60="",0,IF(Mitarbeiter!$G$58=FALSE,0,IF(AND(Mitarbeiter!$E$58&lt;&gt;"",EM$5+6&lt;Mitarbeiter!$E$58),0,IF(AND(Mitarbeiter!$F$58&lt;&gt;"",EM$5&gt;Mitarbeiter!$F$58),0,IF(Planung!EM60="",$C60,IF(ISNUMBER(Planung!EM60),Planung!EM60,IF(UPPER(Planung!EM60)="H",$C60/2,0)))))))</f>
        <v>0</v>
      </c>
      <c r="EN60" s="27">
        <f>IF($A60="",0,IF(Mitarbeiter!$G$58=FALSE,0,IF(AND(Mitarbeiter!$E$58&lt;&gt;"",EN$5+6&lt;Mitarbeiter!$E$58),0,IF(AND(Mitarbeiter!$F$58&lt;&gt;"",EN$5&gt;Mitarbeiter!$F$58),0,IF(Planung!EN60="",$C60,IF(ISNUMBER(Planung!EN60),Planung!EN60,IF(UPPER(Planung!EN60)="H",$C60/2,0)))))))</f>
        <v>0</v>
      </c>
      <c r="EO60" s="27">
        <f>IF($A60="",0,IF(Mitarbeiter!$G$58=FALSE,0,IF(AND(Mitarbeiter!$E$58&lt;&gt;"",EO$5+6&lt;Mitarbeiter!$E$58),0,IF(AND(Mitarbeiter!$F$58&lt;&gt;"",EO$5&gt;Mitarbeiter!$F$58),0,IF(Planung!EO60="",$C60,IF(ISNUMBER(Planung!EO60),Planung!EO60,IF(UPPER(Planung!EO60)="H",$C60/2,0)))))))</f>
        <v>0</v>
      </c>
      <c r="EP60" s="27">
        <f>IF($A60="",0,IF(Mitarbeiter!$G$58=FALSE,0,IF(AND(Mitarbeiter!$E$58&lt;&gt;"",EP$5+6&lt;Mitarbeiter!$E$58),0,IF(AND(Mitarbeiter!$F$58&lt;&gt;"",EP$5&gt;Mitarbeiter!$F$58),0,IF(Planung!EP60="",$C60,IF(ISNUMBER(Planung!EP60),Planung!EP60,IF(UPPER(Planung!EP60)="H",$C60/2,0)))))))</f>
        <v>0</v>
      </c>
      <c r="EQ60" s="27">
        <f>IF($A60="",0,IF(Mitarbeiter!$G$58=FALSE,0,IF(AND(Mitarbeiter!$E$58&lt;&gt;"",EQ$5+6&lt;Mitarbeiter!$E$58),0,IF(AND(Mitarbeiter!$F$58&lt;&gt;"",EQ$5&gt;Mitarbeiter!$F$58),0,IF(Planung!EQ60="",$C60,IF(ISNUMBER(Planung!EQ60),Planung!EQ60,IF(UPPER(Planung!EQ60)="H",$C60/2,0)))))))</f>
        <v>0</v>
      </c>
      <c r="ER60" s="27">
        <f>IF($A60="",0,IF(Mitarbeiter!$G$58=FALSE,0,IF(AND(Mitarbeiter!$E$58&lt;&gt;"",ER$5+6&lt;Mitarbeiter!$E$58),0,IF(AND(Mitarbeiter!$F$58&lt;&gt;"",ER$5&gt;Mitarbeiter!$F$58),0,IF(Planung!ER60="",$C60,IF(ISNUMBER(Planung!ER60),Planung!ER60,IF(UPPER(Planung!ER60)="H",$C60/2,0)))))))</f>
        <v>0</v>
      </c>
      <c r="ES60" s="27">
        <f>IF($A60="",0,IF(Mitarbeiter!$G$58=FALSE,0,IF(AND(Mitarbeiter!$E$58&lt;&gt;"",ES$5+6&lt;Mitarbeiter!$E$58),0,IF(AND(Mitarbeiter!$F$58&lt;&gt;"",ES$5&gt;Mitarbeiter!$F$58),0,IF(Planung!ES60="",$C60,IF(ISNUMBER(Planung!ES60),Planung!ES60,IF(UPPER(Planung!ES60)="H",$C60/2,0)))))))</f>
        <v>0</v>
      </c>
      <c r="ET60" s="27">
        <f>IF($A60="",0,IF(Mitarbeiter!$G$58=FALSE,0,IF(AND(Mitarbeiter!$E$58&lt;&gt;"",ET$5+6&lt;Mitarbeiter!$E$58),0,IF(AND(Mitarbeiter!$F$58&lt;&gt;"",ET$5&gt;Mitarbeiter!$F$58),0,IF(Planung!ET60="",$C60,IF(ISNUMBER(Planung!ET60),Planung!ET60,IF(UPPER(Planung!ET60)="H",$C60/2,0)))))))</f>
        <v>0</v>
      </c>
      <c r="EU60" s="27">
        <f>IF($A60="",0,IF(Mitarbeiter!$G$58=FALSE,0,IF(AND(Mitarbeiter!$E$58&lt;&gt;"",EU$5+6&lt;Mitarbeiter!$E$58),0,IF(AND(Mitarbeiter!$F$58&lt;&gt;"",EU$5&gt;Mitarbeiter!$F$58),0,IF(Planung!EU60="",$C60,IF(ISNUMBER(Planung!EU60),Planung!EU60,IF(UPPER(Planung!EU60)="H",$C60/2,0)))))))</f>
        <v>0</v>
      </c>
      <c r="EV60" s="27">
        <f>IF($A60="",0,IF(Mitarbeiter!$G$58=FALSE,0,IF(AND(Mitarbeiter!$E$58&lt;&gt;"",EV$5+6&lt;Mitarbeiter!$E$58),0,IF(AND(Mitarbeiter!$F$58&lt;&gt;"",EV$5&gt;Mitarbeiter!$F$58),0,IF(Planung!EV60="",$C60,IF(ISNUMBER(Planung!EV60),Planung!EV60,IF(UPPER(Planung!EV60)="H",$C60/2,0)))))))</f>
        <v>0</v>
      </c>
      <c r="EW60" s="27">
        <f>IF($A60="",0,IF(Mitarbeiter!$G$58=FALSE,0,IF(AND(Mitarbeiter!$E$58&lt;&gt;"",EW$5+6&lt;Mitarbeiter!$E$58),0,IF(AND(Mitarbeiter!$F$58&lt;&gt;"",EW$5&gt;Mitarbeiter!$F$58),0,IF(Planung!EW60="",$C60,IF(ISNUMBER(Planung!EW60),Planung!EW60,IF(UPPER(Planung!EW60)="H",$C60/2,0)))))))</f>
        <v>0</v>
      </c>
      <c r="EX60" s="27">
        <f>IF($A60="",0,IF(Mitarbeiter!$G$58=FALSE,0,IF(AND(Mitarbeiter!$E$58&lt;&gt;"",EX$5+6&lt;Mitarbeiter!$E$58),0,IF(AND(Mitarbeiter!$F$58&lt;&gt;"",EX$5&gt;Mitarbeiter!$F$58),0,IF(Planung!EX60="",$C60,IF(ISNUMBER(Planung!EX60),Planung!EX60,IF(UPPER(Planung!EX60)="H",$C60/2,0)))))))</f>
        <v>0</v>
      </c>
      <c r="EY60" s="27">
        <f>IF($A60="",0,IF(Mitarbeiter!$G$58=FALSE,0,IF(AND(Mitarbeiter!$E$58&lt;&gt;"",EY$5+6&lt;Mitarbeiter!$E$58),0,IF(AND(Mitarbeiter!$F$58&lt;&gt;"",EY$5&gt;Mitarbeiter!$F$58),0,IF(Planung!EY60="",$C60,IF(ISNUMBER(Planung!EY60),Planung!EY60,IF(UPPER(Planung!EY60)="H",$C60/2,0)))))))</f>
        <v>0</v>
      </c>
      <c r="EZ60" s="27">
        <f>IF($A60="",0,IF(Mitarbeiter!$G$58=FALSE,0,IF(AND(Mitarbeiter!$E$58&lt;&gt;"",EZ$5+6&lt;Mitarbeiter!$E$58),0,IF(AND(Mitarbeiter!$F$58&lt;&gt;"",EZ$5&gt;Mitarbeiter!$F$58),0,IF(Planung!EZ60="",$C60,IF(ISNUMBER(Planung!EZ60),Planung!EZ60,IF(UPPER(Planung!EZ60)="H",$C60/2,0)))))))</f>
        <v>0</v>
      </c>
      <c r="FA60" s="27">
        <f>IF($A60="",0,IF(Mitarbeiter!$G$58=FALSE,0,IF(AND(Mitarbeiter!$E$58&lt;&gt;"",FA$5+6&lt;Mitarbeiter!$E$58),0,IF(AND(Mitarbeiter!$F$58&lt;&gt;"",FA$5&gt;Mitarbeiter!$F$58),0,IF(Planung!FA60="",$C60,IF(ISNUMBER(Planung!FA60),Planung!FA60,IF(UPPER(Planung!FA60)="H",$C60/2,0)))))))</f>
        <v>0</v>
      </c>
      <c r="FB60" s="27">
        <f>IF($A60="",0,IF(Mitarbeiter!$G$58=FALSE,0,IF(AND(Mitarbeiter!$E$58&lt;&gt;"",FB$5+6&lt;Mitarbeiter!$E$58),0,IF(AND(Mitarbeiter!$F$58&lt;&gt;"",FB$5&gt;Mitarbeiter!$F$58),0,IF(Planung!FB60="",$C60,IF(ISNUMBER(Planung!FB60),Planung!FB60,IF(UPPER(Planung!FB60)="H",$C60/2,0)))))))</f>
        <v>0</v>
      </c>
      <c r="FC60" s="27">
        <f>IF($A60="",0,IF(Mitarbeiter!$G$58=FALSE,0,IF(AND(Mitarbeiter!$E$58&lt;&gt;"",FC$5+6&lt;Mitarbeiter!$E$58),0,IF(AND(Mitarbeiter!$F$58&lt;&gt;"",FC$5&gt;Mitarbeiter!$F$58),0,IF(Planung!FC60="",$C60,IF(ISNUMBER(Planung!FC60),Planung!FC60,IF(UPPER(Planung!FC60)="H",$C60/2,0)))))))</f>
        <v>0</v>
      </c>
      <c r="FD60" s="27">
        <f>IF($A60="",0,IF(Mitarbeiter!$G$58=FALSE,0,IF(AND(Mitarbeiter!$E$58&lt;&gt;"",FD$5+6&lt;Mitarbeiter!$E$58),0,IF(AND(Mitarbeiter!$F$58&lt;&gt;"",FD$5&gt;Mitarbeiter!$F$58),0,IF(Planung!FD60="",$C60,IF(ISNUMBER(Planung!FD60),Planung!FD60,IF(UPPER(Planung!FD60)="H",$C60/2,0)))))))</f>
        <v>0</v>
      </c>
      <c r="FE60" s="27">
        <f>IF($A60="",0,IF(Mitarbeiter!$G$58=FALSE,0,IF(AND(Mitarbeiter!$E$58&lt;&gt;"",FE$5+6&lt;Mitarbeiter!$E$58),0,IF(AND(Mitarbeiter!$F$58&lt;&gt;"",FE$5&gt;Mitarbeiter!$F$58),0,IF(Planung!FE60="",$C60,IF(ISNUMBER(Planung!FE60),Planung!FE60,IF(UPPER(Planung!FE60)="H",$C60/2,0)))))))</f>
        <v>0</v>
      </c>
      <c r="FF60" s="27">
        <f>IF($A60="",0,IF(Mitarbeiter!$G$58=FALSE,0,IF(AND(Mitarbeiter!$E$58&lt;&gt;"",FF$5+6&lt;Mitarbeiter!$E$58),0,IF(AND(Mitarbeiter!$F$58&lt;&gt;"",FF$5&gt;Mitarbeiter!$F$58),0,IF(Planung!FF60="",$C60,IF(ISNUMBER(Planung!FF60),Planung!FF60,IF(UPPER(Planung!FF60)="H",$C60/2,0)))))))</f>
        <v>0</v>
      </c>
      <c r="FG60" s="27">
        <f>IF($A60="",0,IF(Mitarbeiter!$G$58=FALSE,0,IF(AND(Mitarbeiter!$E$58&lt;&gt;"",FG$5+6&lt;Mitarbeiter!$E$58),0,IF(AND(Mitarbeiter!$F$58&lt;&gt;"",FG$5&gt;Mitarbeiter!$F$58),0,IF(Planung!FG60="",$C60,IF(ISNUMBER(Planung!FG60),Planung!FG60,IF(UPPER(Planung!FG60)="H",$C60/2,0)))))))</f>
        <v>0</v>
      </c>
      <c r="FH60" s="27">
        <f>IF($A60="",0,IF(Mitarbeiter!$G$58=FALSE,0,IF(AND(Mitarbeiter!$E$58&lt;&gt;"",FH$5+6&lt;Mitarbeiter!$E$58),0,IF(AND(Mitarbeiter!$F$58&lt;&gt;"",FH$5&gt;Mitarbeiter!$F$58),0,IF(Planung!FH60="",$C60,IF(ISNUMBER(Planung!FH60),Planung!FH60,IF(UPPER(Planung!FH60)="H",$C60/2,0)))))))</f>
        <v>0</v>
      </c>
      <c r="FI60" s="27">
        <f>IF($A60="",0,IF(Mitarbeiter!$G$58=FALSE,0,IF(AND(Mitarbeiter!$E$58&lt;&gt;"",FI$5+6&lt;Mitarbeiter!$E$58),0,IF(AND(Mitarbeiter!$F$58&lt;&gt;"",FI$5&gt;Mitarbeiter!$F$58),0,IF(Planung!FI60="",$C60,IF(ISNUMBER(Planung!FI60),Planung!FI60,IF(UPPER(Planung!FI60)="H",$C60/2,0)))))))</f>
        <v>0</v>
      </c>
      <c r="FJ60" s="27">
        <f>IF($A60="",0,IF(Mitarbeiter!$G$58=FALSE,0,IF(AND(Mitarbeiter!$E$58&lt;&gt;"",FJ$5+6&lt;Mitarbeiter!$E$58),0,IF(AND(Mitarbeiter!$F$58&lt;&gt;"",FJ$5&gt;Mitarbeiter!$F$58),0,IF(Planung!FJ60="",$C60,IF(ISNUMBER(Planung!FJ60),Planung!FJ60,IF(UPPER(Planung!FJ60)="H",$C60/2,0)))))))</f>
        <v>0</v>
      </c>
      <c r="FK60" s="27">
        <f>IF($A60="",0,IF(Mitarbeiter!$G$58=FALSE,0,IF(AND(Mitarbeiter!$E$58&lt;&gt;"",FK$5+6&lt;Mitarbeiter!$E$58),0,IF(AND(Mitarbeiter!$F$58&lt;&gt;"",FK$5&gt;Mitarbeiter!$F$58),0,IF(Planung!FK60="",$C60,IF(ISNUMBER(Planung!FK60),Planung!FK60,IF(UPPER(Planung!FK60)="H",$C60/2,0)))))))</f>
        <v>0</v>
      </c>
      <c r="FL60" s="27">
        <f>IF($A60="",0,IF(Mitarbeiter!$G$58=FALSE,0,IF(AND(Mitarbeiter!$E$58&lt;&gt;"",FL$5+6&lt;Mitarbeiter!$E$58),0,IF(AND(Mitarbeiter!$F$58&lt;&gt;"",FL$5&gt;Mitarbeiter!$F$58),0,IF(Planung!FL60="",$C60,IF(ISNUMBER(Planung!FL60),Planung!FL60,IF(UPPER(Planung!FL60)="H",$C60/2,0)))))))</f>
        <v>0</v>
      </c>
      <c r="FM60" s="27">
        <f>IF($A60="",0,IF(Mitarbeiter!$G$58=FALSE,0,IF(AND(Mitarbeiter!$E$58&lt;&gt;"",FM$5+6&lt;Mitarbeiter!$E$58),0,IF(AND(Mitarbeiter!$F$58&lt;&gt;"",FM$5&gt;Mitarbeiter!$F$58),0,IF(Planung!FM60="",$C60,IF(ISNUMBER(Planung!FM60),Planung!FM60,IF(UPPER(Planung!FM60)="H",$C60/2,0)))))))</f>
        <v>0</v>
      </c>
      <c r="FN60" s="27">
        <f>IF($A60="",0,IF(Mitarbeiter!$G$58=FALSE,0,IF(AND(Mitarbeiter!$E$58&lt;&gt;"",FN$5+6&lt;Mitarbeiter!$E$58),0,IF(AND(Mitarbeiter!$F$58&lt;&gt;"",FN$5&gt;Mitarbeiter!$F$58),0,IF(Planung!FN60="",$C60,IF(ISNUMBER(Planung!FN60),Planung!FN60,IF(UPPER(Planung!FN60)="H",$C60/2,0)))))))</f>
        <v>0</v>
      </c>
      <c r="FO60" s="27">
        <f>IF($A60="",0,IF(Mitarbeiter!$G$58=FALSE,0,IF(AND(Mitarbeiter!$E$58&lt;&gt;"",FO$5+6&lt;Mitarbeiter!$E$58),0,IF(AND(Mitarbeiter!$F$58&lt;&gt;"",FO$5&gt;Mitarbeiter!$F$58),0,IF(Planung!FO60="",$C60,IF(ISNUMBER(Planung!FO60),Planung!FO60,IF(UPPER(Planung!FO60)="H",$C60/2,0)))))))</f>
        <v>0</v>
      </c>
      <c r="FP60" s="27">
        <f>IF($A60="",0,IF(Mitarbeiter!$G$58=FALSE,0,IF(AND(Mitarbeiter!$E$58&lt;&gt;"",FP$5+6&lt;Mitarbeiter!$E$58),0,IF(AND(Mitarbeiter!$F$58&lt;&gt;"",FP$5&gt;Mitarbeiter!$F$58),0,IF(Planung!FP60="",$C60,IF(ISNUMBER(Planung!FP60),Planung!FP60,IF(UPPER(Planung!FP60)="H",$C60/2,0)))))))</f>
        <v>0</v>
      </c>
      <c r="FQ60" s="27">
        <f>IF($A60="",0,IF(Mitarbeiter!$G$58=FALSE,0,IF(AND(Mitarbeiter!$E$58&lt;&gt;"",FQ$5+6&lt;Mitarbeiter!$E$58),0,IF(AND(Mitarbeiter!$F$58&lt;&gt;"",FQ$5&gt;Mitarbeiter!$F$58),0,IF(Planung!FQ60="",$C60,IF(ISNUMBER(Planung!FQ60),Planung!FQ60,IF(UPPER(Planung!FQ60)="H",$C60/2,0)))))))</f>
        <v>0</v>
      </c>
      <c r="FR60" s="27">
        <f>IF($A60="",0,IF(Mitarbeiter!$G$58=FALSE,0,IF(AND(Mitarbeiter!$E$58&lt;&gt;"",FR$5+6&lt;Mitarbeiter!$E$58),0,IF(AND(Mitarbeiter!$F$58&lt;&gt;"",FR$5&gt;Mitarbeiter!$F$58),0,IF(Planung!FR60="",$C60,IF(ISNUMBER(Planung!FR60),Planung!FR60,IF(UPPER(Planung!FR60)="H",$C60/2,0)))))))</f>
        <v>0</v>
      </c>
      <c r="FS60" s="27">
        <f>IF($A60="",0,IF(Mitarbeiter!$G$58=FALSE,0,IF(AND(Mitarbeiter!$E$58&lt;&gt;"",FS$5+6&lt;Mitarbeiter!$E$58),0,IF(AND(Mitarbeiter!$F$58&lt;&gt;"",FS$5&gt;Mitarbeiter!$F$58),0,IF(Planung!FS60="",$C60,IF(ISNUMBER(Planung!FS60),Planung!FS60,IF(UPPER(Planung!FS60)="H",$C60/2,0)))))))</f>
        <v>0</v>
      </c>
      <c r="FT60" s="27">
        <f>IF($A60="",0,IF(Mitarbeiter!$G$58=FALSE,0,IF(AND(Mitarbeiter!$E$58&lt;&gt;"",FT$5+6&lt;Mitarbeiter!$E$58),0,IF(AND(Mitarbeiter!$F$58&lt;&gt;"",FT$5&gt;Mitarbeiter!$F$58),0,IF(Planung!FT60="",$C60,IF(ISNUMBER(Planung!FT60),Planung!FT60,IF(UPPER(Planung!FT60)="H",$C60/2,0)))))))</f>
        <v>0</v>
      </c>
      <c r="FU60" s="27">
        <f>IF($A60="",0,IF(Mitarbeiter!$G$58=FALSE,0,IF(AND(Mitarbeiter!$E$58&lt;&gt;"",FU$5+6&lt;Mitarbeiter!$E$58),0,IF(AND(Mitarbeiter!$F$58&lt;&gt;"",FU$5&gt;Mitarbeiter!$F$58),0,IF(Planung!FU60="",$C60,IF(ISNUMBER(Planung!FU60),Planung!FU60,IF(UPPER(Planung!FU60)="H",$C60/2,0)))))))</f>
        <v>0</v>
      </c>
      <c r="FV60" s="27">
        <f>IF($A60="",0,IF(Mitarbeiter!$G$58=FALSE,0,IF(AND(Mitarbeiter!$E$58&lt;&gt;"",FV$5+6&lt;Mitarbeiter!$E$58),0,IF(AND(Mitarbeiter!$F$58&lt;&gt;"",FV$5&gt;Mitarbeiter!$F$58),0,IF(Planung!FV60="",$C60,IF(ISNUMBER(Planung!FV60),Planung!FV60,IF(UPPER(Planung!FV60)="H",$C60/2,0)))))))</f>
        <v>0</v>
      </c>
      <c r="FW60" s="27">
        <f>IF($A60="",0,IF(Mitarbeiter!$G$58=FALSE,0,IF(AND(Mitarbeiter!$E$58&lt;&gt;"",FW$5+6&lt;Mitarbeiter!$E$58),0,IF(AND(Mitarbeiter!$F$58&lt;&gt;"",FW$5&gt;Mitarbeiter!$F$58),0,IF(Planung!FW60="",$C60,IF(ISNUMBER(Planung!FW60),Planung!FW60,IF(UPPER(Planung!FW60)="H",$C60/2,0)))))))</f>
        <v>0</v>
      </c>
      <c r="FX60" s="27">
        <f>IF($A60="",0,IF(Mitarbeiter!$G$58=FALSE,0,IF(AND(Mitarbeiter!$E$58&lt;&gt;"",FX$5+6&lt;Mitarbeiter!$E$58),0,IF(AND(Mitarbeiter!$F$58&lt;&gt;"",FX$5&gt;Mitarbeiter!$F$58),0,IF(Planung!FX60="",$C60,IF(ISNUMBER(Planung!FX60),Planung!FX60,IF(UPPER(Planung!FX60)="H",$C60/2,0)))))))</f>
        <v>0</v>
      </c>
      <c r="FY60" s="27">
        <f>IF($A60="",0,IF(Mitarbeiter!$G$58=FALSE,0,IF(AND(Mitarbeiter!$E$58&lt;&gt;"",FY$5+6&lt;Mitarbeiter!$E$58),0,IF(AND(Mitarbeiter!$F$58&lt;&gt;"",FY$5&gt;Mitarbeiter!$F$58),0,IF(Planung!FY60="",$C60,IF(ISNUMBER(Planung!FY60),Planung!FY60,IF(UPPER(Planung!FY60)="H",$C60/2,0)))))))</f>
        <v>0</v>
      </c>
      <c r="FZ60" s="27">
        <f>IF($A60="",0,IF(Mitarbeiter!$G$58=FALSE,0,IF(AND(Mitarbeiter!$E$58&lt;&gt;"",FZ$5+6&lt;Mitarbeiter!$E$58),0,IF(AND(Mitarbeiter!$F$58&lt;&gt;"",FZ$5&gt;Mitarbeiter!$F$58),0,IF(Planung!FZ60="",$C60,IF(ISNUMBER(Planung!FZ60),Planung!FZ60,IF(UPPER(Planung!FZ60)="H",$C60/2,0)))))))</f>
        <v>0</v>
      </c>
      <c r="GA60" s="27">
        <f>IF($A60="",0,IF(Mitarbeiter!$G$58=FALSE,0,IF(AND(Mitarbeiter!$E$58&lt;&gt;"",GA$5+6&lt;Mitarbeiter!$E$58),0,IF(AND(Mitarbeiter!$F$58&lt;&gt;"",GA$5&gt;Mitarbeiter!$F$58),0,IF(Planung!GA60="",$C60,IF(ISNUMBER(Planung!GA60),Planung!GA60,IF(UPPER(Planung!GA60)="H",$C60/2,0)))))))</f>
        <v>0</v>
      </c>
      <c r="GB60" s="27">
        <f>IF($A60="",0,IF(Mitarbeiter!$G$58=FALSE,0,IF(AND(Mitarbeiter!$E$58&lt;&gt;"",GB$5+6&lt;Mitarbeiter!$E$58),0,IF(AND(Mitarbeiter!$F$58&lt;&gt;"",GB$5&gt;Mitarbeiter!$F$58),0,IF(Planung!GB60="",$C60,IF(ISNUMBER(Planung!GB60),Planung!GB60,IF(UPPER(Planung!GB60)="H",$C60/2,0)))))))</f>
        <v>0</v>
      </c>
      <c r="GC60" s="27">
        <f>IF($A60="",0,IF(Mitarbeiter!$G$58=FALSE,0,IF(AND(Mitarbeiter!$E$58&lt;&gt;"",GC$5+6&lt;Mitarbeiter!$E$58),0,IF(AND(Mitarbeiter!$F$58&lt;&gt;"",GC$5&gt;Mitarbeiter!$F$58),0,IF(Planung!GC60="",$C60,IF(ISNUMBER(Planung!GC60),Planung!GC60,IF(UPPER(Planung!GC60)="H",$C60/2,0)))))))</f>
        <v>0</v>
      </c>
      <c r="GD60" s="27">
        <f>IF($A60="",0,IF(Mitarbeiter!$G$58=FALSE,0,IF(AND(Mitarbeiter!$E$58&lt;&gt;"",GD$5+6&lt;Mitarbeiter!$E$58),0,IF(AND(Mitarbeiter!$F$58&lt;&gt;"",GD$5&gt;Mitarbeiter!$F$58),0,IF(Planung!GD60="",$C60,IF(ISNUMBER(Planung!GD60),Planung!GD60,IF(UPPER(Planung!GD60)="H",$C60/2,0)))))))</f>
        <v>0</v>
      </c>
      <c r="GE60" s="27">
        <f>IF($A60="",0,IF(Mitarbeiter!$G$58=FALSE,0,IF(AND(Mitarbeiter!$E$58&lt;&gt;"",GE$5+6&lt;Mitarbeiter!$E$58),0,IF(AND(Mitarbeiter!$F$58&lt;&gt;"",GE$5&gt;Mitarbeiter!$F$58),0,IF(Planung!GE60="",$C60,IF(ISNUMBER(Planung!GE60),Planung!GE60,IF(UPPER(Planung!GE60)="H",$C60/2,0)))))))</f>
        <v>0</v>
      </c>
      <c r="GF60" s="27">
        <f>IF($A60="",0,IF(Mitarbeiter!$G$58=FALSE,0,IF(AND(Mitarbeiter!$E$58&lt;&gt;"",GF$5+6&lt;Mitarbeiter!$E$58),0,IF(AND(Mitarbeiter!$F$58&lt;&gt;"",GF$5&gt;Mitarbeiter!$F$58),0,IF(Planung!GF60="",$C60,IF(ISNUMBER(Planung!GF60),Planung!GF60,IF(UPPER(Planung!GF60)="H",$C60/2,0)))))))</f>
        <v>0</v>
      </c>
      <c r="GG60" s="27">
        <f>IF($A60="",0,IF(Mitarbeiter!$G$58=FALSE,0,IF(AND(Mitarbeiter!$E$58&lt;&gt;"",GG$5+6&lt;Mitarbeiter!$E$58),0,IF(AND(Mitarbeiter!$F$58&lt;&gt;"",GG$5&gt;Mitarbeiter!$F$58),0,IF(Planung!GG60="",$C60,IF(ISNUMBER(Planung!GG60),Planung!GG60,IF(UPPER(Planung!GG60)="H",$C60/2,0)))))))</f>
        <v>0</v>
      </c>
      <c r="GH60" s="27">
        <f>IF($A60="",0,IF(Mitarbeiter!$G$58=FALSE,0,IF(AND(Mitarbeiter!$E$58&lt;&gt;"",GH$5+6&lt;Mitarbeiter!$E$58),0,IF(AND(Mitarbeiter!$F$58&lt;&gt;"",GH$5&gt;Mitarbeiter!$F$58),0,IF(Planung!GH60="",$C60,IF(ISNUMBER(Planung!GH60),Planung!GH60,IF(UPPER(Planung!GH60)="H",$C60/2,0)))))))</f>
        <v>0</v>
      </c>
      <c r="GI60" s="27">
        <f>IF($A60="",0,IF(Mitarbeiter!$G$58=FALSE,0,IF(AND(Mitarbeiter!$E$58&lt;&gt;"",GI$5+6&lt;Mitarbeiter!$E$58),0,IF(AND(Mitarbeiter!$F$58&lt;&gt;"",GI$5&gt;Mitarbeiter!$F$58),0,IF(Planung!GI60="",$C60,IF(ISNUMBER(Planung!GI60),Planung!GI60,IF(UPPER(Planung!GI60)="H",$C60/2,0)))))))</f>
        <v>0</v>
      </c>
      <c r="GJ60" s="27">
        <f>IF($A60="",0,IF(Mitarbeiter!$G$58=FALSE,0,IF(AND(Mitarbeiter!$E$58&lt;&gt;"",GJ$5+6&lt;Mitarbeiter!$E$58),0,IF(AND(Mitarbeiter!$F$58&lt;&gt;"",GJ$5&gt;Mitarbeiter!$F$58),0,IF(Planung!GJ60="",$C60,IF(ISNUMBER(Planung!GJ60),Planung!GJ60,IF(UPPER(Planung!GJ60)="H",$C60/2,0)))))))</f>
        <v>0</v>
      </c>
      <c r="GK60" s="27">
        <f>IF($A60="",0,IF(Mitarbeiter!$G$58=FALSE,0,IF(AND(Mitarbeiter!$E$58&lt;&gt;"",GK$5+6&lt;Mitarbeiter!$E$58),0,IF(AND(Mitarbeiter!$F$58&lt;&gt;"",GK$5&gt;Mitarbeiter!$F$58),0,IF(Planung!GK60="",$C60,IF(ISNUMBER(Planung!GK60),Planung!GK60,IF(UPPER(Planung!GK60)="H",$C60/2,0)))))))</f>
        <v>0</v>
      </c>
      <c r="GL60" s="27">
        <f>IF($A60="",0,IF(Mitarbeiter!$G$58=FALSE,0,IF(AND(Mitarbeiter!$E$58&lt;&gt;"",GL$5+6&lt;Mitarbeiter!$E$58),0,IF(AND(Mitarbeiter!$F$58&lt;&gt;"",GL$5&gt;Mitarbeiter!$F$58),0,IF(Planung!GL60="",$C60,IF(ISNUMBER(Planung!GL60),Planung!GL60,IF(UPPER(Planung!GL60)="H",$C60/2,0)))))))</f>
        <v>0</v>
      </c>
      <c r="GM60" s="27">
        <f>IF($A60="",0,IF(Mitarbeiter!$G$58=FALSE,0,IF(AND(Mitarbeiter!$E$58&lt;&gt;"",GM$5+6&lt;Mitarbeiter!$E$58),0,IF(AND(Mitarbeiter!$F$58&lt;&gt;"",GM$5&gt;Mitarbeiter!$F$58),0,IF(Planung!GM60="",$C60,IF(ISNUMBER(Planung!GM60),Planung!GM60,IF(UPPER(Planung!GM60)="H",$C60/2,0)))))))</f>
        <v>0</v>
      </c>
      <c r="GN60" s="27">
        <f>IF($A60="",0,IF(Mitarbeiter!$G$58=FALSE,0,IF(AND(Mitarbeiter!$E$58&lt;&gt;"",GN$5+6&lt;Mitarbeiter!$E$58),0,IF(AND(Mitarbeiter!$F$58&lt;&gt;"",GN$5&gt;Mitarbeiter!$F$58),0,IF(Planung!GN60="",$C60,IF(ISNUMBER(Planung!GN60),Planung!GN60,IF(UPPER(Planung!GN60)="H",$C60/2,0)))))))</f>
        <v>0</v>
      </c>
      <c r="GO60" s="27">
        <f>IF($A60="",0,IF(Mitarbeiter!$G$58=FALSE,0,IF(AND(Mitarbeiter!$E$58&lt;&gt;"",GO$5+6&lt;Mitarbeiter!$E$58),0,IF(AND(Mitarbeiter!$F$58&lt;&gt;"",GO$5&gt;Mitarbeiter!$F$58),0,IF(Planung!GO60="",$C60,IF(ISNUMBER(Planung!GO60),Planung!GO60,IF(UPPER(Planung!GO60)="H",$C60/2,0)))))))</f>
        <v>0</v>
      </c>
      <c r="GP60" s="27">
        <f>IF($A60="",0,IF(Mitarbeiter!$G$58=FALSE,0,IF(AND(Mitarbeiter!$E$58&lt;&gt;"",GP$5+6&lt;Mitarbeiter!$E$58),0,IF(AND(Mitarbeiter!$F$58&lt;&gt;"",GP$5&gt;Mitarbeiter!$F$58),0,IF(Planung!GP60="",$C60,IF(ISNUMBER(Planung!GP60),Planung!GP60,IF(UPPER(Planung!GP60)="H",$C60/2,0)))))))</f>
        <v>0</v>
      </c>
      <c r="GQ60" s="27">
        <f>IF($A60="",0,IF(Mitarbeiter!$G$58=FALSE,0,IF(AND(Mitarbeiter!$E$58&lt;&gt;"",GQ$5+6&lt;Mitarbeiter!$E$58),0,IF(AND(Mitarbeiter!$F$58&lt;&gt;"",GQ$5&gt;Mitarbeiter!$F$58),0,IF(Planung!GQ60="",$C60,IF(ISNUMBER(Planung!GQ60),Planung!GQ60,IF(UPPER(Planung!GQ60)="H",$C60/2,0)))))))</f>
        <v>0</v>
      </c>
      <c r="GR60" s="27">
        <f>IF($A60="",0,IF(Mitarbeiter!$G$58=FALSE,0,IF(AND(Mitarbeiter!$E$58&lt;&gt;"",GR$5+6&lt;Mitarbeiter!$E$58),0,IF(AND(Mitarbeiter!$F$58&lt;&gt;"",GR$5&gt;Mitarbeiter!$F$58),0,IF(Planung!GR60="",$C60,IF(ISNUMBER(Planung!GR60),Planung!GR60,IF(UPPER(Planung!GR60)="H",$C60/2,0)))))))</f>
        <v>0</v>
      </c>
      <c r="GS60" s="27">
        <f>IF($A60="",0,IF(Mitarbeiter!$G$58=FALSE,0,IF(AND(Mitarbeiter!$E$58&lt;&gt;"",GS$5+6&lt;Mitarbeiter!$E$58),0,IF(AND(Mitarbeiter!$F$58&lt;&gt;"",GS$5&gt;Mitarbeiter!$F$58),0,IF(Planung!GS60="",$C60,IF(ISNUMBER(Planung!GS60),Planung!GS60,IF(UPPER(Planung!GS60)="H",$C60/2,0)))))))</f>
        <v>0</v>
      </c>
      <c r="GT60" s="27">
        <f>IF($A60="",0,IF(Mitarbeiter!$G$58=FALSE,0,IF(AND(Mitarbeiter!$E$58&lt;&gt;"",GT$5+6&lt;Mitarbeiter!$E$58),0,IF(AND(Mitarbeiter!$F$58&lt;&gt;"",GT$5&gt;Mitarbeiter!$F$58),0,IF(Planung!GT60="",$C60,IF(ISNUMBER(Planung!GT60),Planung!GT60,IF(UPPER(Planung!GT60)="H",$C60/2,0)))))))</f>
        <v>0</v>
      </c>
      <c r="GU60" s="27">
        <f>IF($A60="",0,IF(Mitarbeiter!$G$58=FALSE,0,IF(AND(Mitarbeiter!$E$58&lt;&gt;"",GU$5+6&lt;Mitarbeiter!$E$58),0,IF(AND(Mitarbeiter!$F$58&lt;&gt;"",GU$5&gt;Mitarbeiter!$F$58),0,IF(Planung!GU60="",$C60,IF(ISNUMBER(Planung!GU60),Planung!GU60,IF(UPPER(Planung!GU60)="H",$C60/2,0)))))))</f>
        <v>0</v>
      </c>
      <c r="GV60" s="27">
        <f>IF($A60="",0,IF(Mitarbeiter!$G$58=FALSE,0,IF(AND(Mitarbeiter!$E$58&lt;&gt;"",GV$5+6&lt;Mitarbeiter!$E$58),0,IF(AND(Mitarbeiter!$F$58&lt;&gt;"",GV$5&gt;Mitarbeiter!$F$58),0,IF(Planung!GV60="",$C60,IF(ISNUMBER(Planung!GV60),Planung!GV60,IF(UPPER(Planung!GV60)="H",$C60/2,0)))))))</f>
        <v>0</v>
      </c>
      <c r="GW60" s="27">
        <f>IF($A60="",0,IF(Mitarbeiter!$G$58=FALSE,0,IF(AND(Mitarbeiter!$E$58&lt;&gt;"",GW$5+6&lt;Mitarbeiter!$E$58),0,IF(AND(Mitarbeiter!$F$58&lt;&gt;"",GW$5&gt;Mitarbeiter!$F$58),0,IF(Planung!GW60="",$C60,IF(ISNUMBER(Planung!GW60),Planung!GW60,IF(UPPER(Planung!GW60)="H",$C60/2,0)))))))</f>
        <v>0</v>
      </c>
      <c r="GX60" s="27">
        <f>IF($A60="",0,IF(Mitarbeiter!$G$58=FALSE,0,IF(AND(Mitarbeiter!$E$58&lt;&gt;"",GX$5+6&lt;Mitarbeiter!$E$58),0,IF(AND(Mitarbeiter!$F$58&lt;&gt;"",GX$5&gt;Mitarbeiter!$F$58),0,IF(Planung!GX60="",$C60,IF(ISNUMBER(Planung!GX60),Planung!GX60,IF(UPPER(Planung!GX60)="H",$C60/2,0)))))))</f>
        <v>0</v>
      </c>
      <c r="GY60" s="27">
        <f>IF($A60="",0,IF(Mitarbeiter!$G$58=FALSE,0,IF(AND(Mitarbeiter!$E$58&lt;&gt;"",GY$5+6&lt;Mitarbeiter!$E$58),0,IF(AND(Mitarbeiter!$F$58&lt;&gt;"",GY$5&gt;Mitarbeiter!$F$58),0,IF(Planung!GY60="",$C60,IF(ISNUMBER(Planung!GY60),Planung!GY60,IF(UPPER(Planung!GY60)="H",$C60/2,0)))))))</f>
        <v>0</v>
      </c>
      <c r="GZ60" s="27">
        <f>IF($A60="",0,IF(Mitarbeiter!$G$58=FALSE,0,IF(AND(Mitarbeiter!$E$58&lt;&gt;"",GZ$5+6&lt;Mitarbeiter!$E$58),0,IF(AND(Mitarbeiter!$F$58&lt;&gt;"",GZ$5&gt;Mitarbeiter!$F$58),0,IF(Planung!GZ60="",$C60,IF(ISNUMBER(Planung!GZ60),Planung!GZ60,IF(UPPER(Planung!GZ60)="H",$C60/2,0)))))))</f>
        <v>0</v>
      </c>
      <c r="HA60" s="27">
        <f>IF($A60="",0,IF(Mitarbeiter!$G$58=FALSE,0,IF(AND(Mitarbeiter!$E$58&lt;&gt;"",HA$5+6&lt;Mitarbeiter!$E$58),0,IF(AND(Mitarbeiter!$F$58&lt;&gt;"",HA$5&gt;Mitarbeiter!$F$58),0,IF(Planung!HA60="",$C60,IF(ISNUMBER(Planung!HA60),Planung!HA60,IF(UPPER(Planung!HA60)="H",$C60/2,0)))))))</f>
        <v>0</v>
      </c>
      <c r="HB60" s="27">
        <f>IF($A60="",0,IF(Mitarbeiter!$G$58=FALSE,0,IF(AND(Mitarbeiter!$E$58&lt;&gt;"",HB$5+6&lt;Mitarbeiter!$E$58),0,IF(AND(Mitarbeiter!$F$58&lt;&gt;"",HB$5&gt;Mitarbeiter!$F$58),0,IF(Planung!HB60="",$C60,IF(ISNUMBER(Planung!HB60),Planung!HB60,IF(UPPER(Planung!HB60)="H",$C60/2,0)))))))</f>
        <v>0</v>
      </c>
      <c r="HC60" s="27">
        <f>IF($A60="",0,IF(Mitarbeiter!$G$58=FALSE,0,IF(AND(Mitarbeiter!$E$58&lt;&gt;"",HC$5+6&lt;Mitarbeiter!$E$58),0,IF(AND(Mitarbeiter!$F$58&lt;&gt;"",HC$5&gt;Mitarbeiter!$F$58),0,IF(Planung!HC60="",$C60,IF(ISNUMBER(Planung!HC60),Planung!HC60,IF(UPPER(Planung!HC60)="H",$C60/2,0)))))))</f>
        <v>0</v>
      </c>
      <c r="HD60" s="27">
        <f>IF($A60="",0,IF(Mitarbeiter!$G$58=FALSE,0,IF(AND(Mitarbeiter!$E$58&lt;&gt;"",HD$5+6&lt;Mitarbeiter!$E$58),0,IF(AND(Mitarbeiter!$F$58&lt;&gt;"",HD$5&gt;Mitarbeiter!$F$58),0,IF(Planung!HD60="",$C60,IF(ISNUMBER(Planung!HD60),Planung!HD60,IF(UPPER(Planung!HD60)="H",$C60/2,0)))))))</f>
        <v>0</v>
      </c>
      <c r="HE60" s="27">
        <f>IF($A60="",0,IF(Mitarbeiter!$G$58=FALSE,0,IF(AND(Mitarbeiter!$E$58&lt;&gt;"",HE$5+6&lt;Mitarbeiter!$E$58),0,IF(AND(Mitarbeiter!$F$58&lt;&gt;"",HE$5&gt;Mitarbeiter!$F$58),0,IF(Planung!HE60="",$C60,IF(ISNUMBER(Planung!HE60),Planung!HE60,IF(UPPER(Planung!HE60)="H",$C60/2,0)))))))</f>
        <v>0</v>
      </c>
      <c r="HF60" s="27">
        <f>IF($A60="",0,IF(Mitarbeiter!$G$58=FALSE,0,IF(AND(Mitarbeiter!$E$58&lt;&gt;"",HF$5+6&lt;Mitarbeiter!$E$58),0,IF(AND(Mitarbeiter!$F$58&lt;&gt;"",HF$5&gt;Mitarbeiter!$F$58),0,IF(Planung!HF60="",$C60,IF(ISNUMBER(Planung!HF60),Planung!HF60,IF(UPPER(Planung!HF60)="H",$C60/2,0)))))))</f>
        <v>0</v>
      </c>
      <c r="HG60" s="27">
        <f>IF($A60="",0,IF(Mitarbeiter!$G$58=FALSE,0,IF(AND(Mitarbeiter!$E$58&lt;&gt;"",HG$5+6&lt;Mitarbeiter!$E$58),0,IF(AND(Mitarbeiter!$F$58&lt;&gt;"",HG$5&gt;Mitarbeiter!$F$58),0,IF(Planung!HG60="",$C60,IF(ISNUMBER(Planung!HG60),Planung!HG60,IF(UPPER(Planung!HG60)="H",$C60/2,0)))))))</f>
        <v>0</v>
      </c>
      <c r="HH60" s="27">
        <f>IF($A60="",0,IF(Mitarbeiter!$G$58=FALSE,0,IF(AND(Mitarbeiter!$E$58&lt;&gt;"",HH$5+6&lt;Mitarbeiter!$E$58),0,IF(AND(Mitarbeiter!$F$58&lt;&gt;"",HH$5&gt;Mitarbeiter!$F$58),0,IF(Planung!HH60="",$C60,IF(ISNUMBER(Planung!HH60),Planung!HH60,IF(UPPER(Planung!HH60)="H",$C60/2,0)))))))</f>
        <v>0</v>
      </c>
      <c r="HI60" s="27">
        <f>IF($A60="",0,IF(Mitarbeiter!$G$58=FALSE,0,IF(AND(Mitarbeiter!$E$58&lt;&gt;"",HI$5+6&lt;Mitarbeiter!$E$58),0,IF(AND(Mitarbeiter!$F$58&lt;&gt;"",HI$5&gt;Mitarbeiter!$F$58),0,IF(Planung!HI60="",$C60,IF(ISNUMBER(Planung!HI60),Planung!HI60,IF(UPPER(Planung!HI60)="H",$C60/2,0)))))))</f>
        <v>0</v>
      </c>
      <c r="HJ60" s="27">
        <f>IF($A60="",0,IF(Mitarbeiter!$G$58=FALSE,0,IF(AND(Mitarbeiter!$E$58&lt;&gt;"",HJ$5+6&lt;Mitarbeiter!$E$58),0,IF(AND(Mitarbeiter!$F$58&lt;&gt;"",HJ$5&gt;Mitarbeiter!$F$58),0,IF(Planung!HJ60="",$C60,IF(ISNUMBER(Planung!HJ60),Planung!HJ60,IF(UPPER(Planung!HJ60)="H",$C60/2,0)))))))</f>
        <v>0</v>
      </c>
      <c r="HK60" s="27">
        <f>IF($A60="",0,IF(Mitarbeiter!$G$58=FALSE,0,IF(AND(Mitarbeiter!$E$58&lt;&gt;"",HK$5+6&lt;Mitarbeiter!$E$58),0,IF(AND(Mitarbeiter!$F$58&lt;&gt;"",HK$5&gt;Mitarbeiter!$F$58),0,IF(Planung!HK60="",$C60,IF(ISNUMBER(Planung!HK60),Planung!HK60,IF(UPPER(Planung!HK60)="H",$C60/2,0)))))))</f>
        <v>0</v>
      </c>
      <c r="HL60" s="27">
        <f>IF($A60="",0,IF(Mitarbeiter!$G$58=FALSE,0,IF(AND(Mitarbeiter!$E$58&lt;&gt;"",HL$5+6&lt;Mitarbeiter!$E$58),0,IF(AND(Mitarbeiter!$F$58&lt;&gt;"",HL$5&gt;Mitarbeiter!$F$58),0,IF(Planung!HL60="",$C60,IF(ISNUMBER(Planung!HL60),Planung!HL60,IF(UPPER(Planung!HL60)="H",$C60/2,0)))))))</f>
        <v>0</v>
      </c>
      <c r="HM60" s="27">
        <f>IF($A60="",0,IF(Mitarbeiter!$G$58=FALSE,0,IF(AND(Mitarbeiter!$E$58&lt;&gt;"",HM$5+6&lt;Mitarbeiter!$E$58),0,IF(AND(Mitarbeiter!$F$58&lt;&gt;"",HM$5&gt;Mitarbeiter!$F$58),0,IF(Planung!HM60="",$C60,IF(ISNUMBER(Planung!HM60),Planung!HM60,IF(UPPER(Planung!HM60)="H",$C60/2,0)))))))</f>
        <v>0</v>
      </c>
      <c r="HN60" s="27">
        <f>IF($A60="",0,IF(Mitarbeiter!$G$58=FALSE,0,IF(AND(Mitarbeiter!$E$58&lt;&gt;"",HN$5+6&lt;Mitarbeiter!$E$58),0,IF(AND(Mitarbeiter!$F$58&lt;&gt;"",HN$5&gt;Mitarbeiter!$F$58),0,IF(Planung!HN60="",$C60,IF(ISNUMBER(Planung!HN60),Planung!HN60,IF(UPPER(Planung!HN60)="H",$C60/2,0)))))))</f>
        <v>0</v>
      </c>
      <c r="HO60" s="27">
        <f>IF($A60="",0,IF(Mitarbeiter!$G$58=FALSE,0,IF(AND(Mitarbeiter!$E$58&lt;&gt;"",HO$5+6&lt;Mitarbeiter!$E$58),0,IF(AND(Mitarbeiter!$F$58&lt;&gt;"",HO$5&gt;Mitarbeiter!$F$58),0,IF(Planung!HO60="",$C60,IF(ISNUMBER(Planung!HO60),Planung!HO60,IF(UPPER(Planung!HO60)="H",$C60/2,0)))))))</f>
        <v>0</v>
      </c>
      <c r="HP60" s="27">
        <f>IF($A60="",0,IF(Mitarbeiter!$G$58=FALSE,0,IF(AND(Mitarbeiter!$E$58&lt;&gt;"",HP$5+6&lt;Mitarbeiter!$E$58),0,IF(AND(Mitarbeiter!$F$58&lt;&gt;"",HP$5&gt;Mitarbeiter!$F$58),0,IF(Planung!HP60="",$C60,IF(ISNUMBER(Planung!HP60),Planung!HP60,IF(UPPER(Planung!HP60)="H",$C60/2,0)))))))</f>
        <v>0</v>
      </c>
      <c r="HQ60" s="27">
        <f>IF($A60="",0,IF(Mitarbeiter!$G$58=FALSE,0,IF(AND(Mitarbeiter!$E$58&lt;&gt;"",HQ$5+6&lt;Mitarbeiter!$E$58),0,IF(AND(Mitarbeiter!$F$58&lt;&gt;"",HQ$5&gt;Mitarbeiter!$F$58),0,IF(Planung!HQ60="",$C60,IF(ISNUMBER(Planung!HQ60),Planung!HQ60,IF(UPPER(Planung!HQ60)="H",$C60/2,0)))))))</f>
        <v>0</v>
      </c>
      <c r="HR60" s="27">
        <f>IF($A60="",0,IF(Mitarbeiter!$G$58=FALSE,0,IF(AND(Mitarbeiter!$E$58&lt;&gt;"",HR$5+6&lt;Mitarbeiter!$E$58),0,IF(AND(Mitarbeiter!$F$58&lt;&gt;"",HR$5&gt;Mitarbeiter!$F$58),0,IF(Planung!HR60="",$C60,IF(ISNUMBER(Planung!HR60),Planung!HR60,IF(UPPER(Planung!HR60)="H",$C60/2,0)))))))</f>
        <v>0</v>
      </c>
      <c r="HS60" s="27">
        <f>IF($A60="",0,IF(Mitarbeiter!$G$58=FALSE,0,IF(AND(Mitarbeiter!$E$58&lt;&gt;"",HS$5+6&lt;Mitarbeiter!$E$58),0,IF(AND(Mitarbeiter!$F$58&lt;&gt;"",HS$5&gt;Mitarbeiter!$F$58),0,IF(Planung!HS60="",$C60,IF(ISNUMBER(Planung!HS60),Planung!HS60,IF(UPPER(Planung!HS60)="H",$C60/2,0)))))))</f>
        <v>0</v>
      </c>
      <c r="HT60" s="27">
        <f>IF($A60="",0,IF(Mitarbeiter!$G$58=FALSE,0,IF(AND(Mitarbeiter!$E$58&lt;&gt;"",HT$5+6&lt;Mitarbeiter!$E$58),0,IF(AND(Mitarbeiter!$F$58&lt;&gt;"",HT$5&gt;Mitarbeiter!$F$58),0,IF(Planung!HT60="",$C60,IF(ISNUMBER(Planung!HT60),Planung!HT60,IF(UPPER(Planung!HT60)="H",$C60/2,0)))))))</f>
        <v>0</v>
      </c>
      <c r="HU60" s="27">
        <f>IF($A60="",0,IF(Mitarbeiter!$G$58=FALSE,0,IF(AND(Mitarbeiter!$E$58&lt;&gt;"",HU$5+6&lt;Mitarbeiter!$E$58),0,IF(AND(Mitarbeiter!$F$58&lt;&gt;"",HU$5&gt;Mitarbeiter!$F$58),0,IF(Planung!HU60="",$C60,IF(ISNUMBER(Planung!HU60),Planung!HU60,IF(UPPER(Planung!HU60)="H",$C60/2,0)))))))</f>
        <v>0</v>
      </c>
      <c r="HV60" s="27">
        <f>IF($A60="",0,IF(Mitarbeiter!$G$58=FALSE,0,IF(AND(Mitarbeiter!$E$58&lt;&gt;"",HV$5+6&lt;Mitarbeiter!$E$58),0,IF(AND(Mitarbeiter!$F$58&lt;&gt;"",HV$5&gt;Mitarbeiter!$F$58),0,IF(Planung!HV60="",$C60,IF(ISNUMBER(Planung!HV60),Planung!HV60,IF(UPPER(Planung!HV60)="H",$C60/2,0)))))))</f>
        <v>0</v>
      </c>
      <c r="HW60" s="27">
        <f>IF($A60="",0,IF(Mitarbeiter!$G$58=FALSE,0,IF(AND(Mitarbeiter!$E$58&lt;&gt;"",HW$5+6&lt;Mitarbeiter!$E$58),0,IF(AND(Mitarbeiter!$F$58&lt;&gt;"",HW$5&gt;Mitarbeiter!$F$58),0,IF(Planung!HW60="",$C60,IF(ISNUMBER(Planung!HW60),Planung!HW60,IF(UPPER(Planung!HW60)="H",$C60/2,0)))))))</f>
        <v>0</v>
      </c>
      <c r="HX60" s="27">
        <f>IF($A60="",0,IF(Mitarbeiter!$G$58=FALSE,0,IF(AND(Mitarbeiter!$E$58&lt;&gt;"",HX$5+6&lt;Mitarbeiter!$E$58),0,IF(AND(Mitarbeiter!$F$58&lt;&gt;"",HX$5&gt;Mitarbeiter!$F$58),0,IF(Planung!HX60="",$C60,IF(ISNUMBER(Planung!HX60),Planung!HX60,IF(UPPER(Planung!HX60)="H",$C60/2,0)))))))</f>
        <v>0</v>
      </c>
      <c r="HY60" s="27">
        <f>IF($A60="",0,IF(Mitarbeiter!$G$58=FALSE,0,IF(AND(Mitarbeiter!$E$58&lt;&gt;"",HY$5+6&lt;Mitarbeiter!$E$58),0,IF(AND(Mitarbeiter!$F$58&lt;&gt;"",HY$5&gt;Mitarbeiter!$F$58),0,IF(Planung!HY60="",$C60,IF(ISNUMBER(Planung!HY60),Planung!HY60,IF(UPPER(Planung!HY60)="H",$C60/2,0)))))))</f>
        <v>0</v>
      </c>
      <c r="HZ60" s="27">
        <f>IF($A60="",0,IF(Mitarbeiter!$G$58=FALSE,0,IF(AND(Mitarbeiter!$E$58&lt;&gt;"",HZ$5+6&lt;Mitarbeiter!$E$58),0,IF(AND(Mitarbeiter!$F$58&lt;&gt;"",HZ$5&gt;Mitarbeiter!$F$58),0,IF(Planung!HZ60="",$C60,IF(ISNUMBER(Planung!HZ60),Planung!HZ60,IF(UPPER(Planung!HZ60)="H",$C60/2,0)))))))</f>
        <v>0</v>
      </c>
      <c r="IA60" s="27">
        <f>IF($A60="",0,IF(Mitarbeiter!$G$58=FALSE,0,IF(AND(Mitarbeiter!$E$58&lt;&gt;"",IA$5+6&lt;Mitarbeiter!$E$58),0,IF(AND(Mitarbeiter!$F$58&lt;&gt;"",IA$5&gt;Mitarbeiter!$F$58),0,IF(Planung!IA60="",$C60,IF(ISNUMBER(Planung!IA60),Planung!IA60,IF(UPPER(Planung!IA60)="H",$C60/2,0)))))))</f>
        <v>0</v>
      </c>
    </row>
    <row r="61" spans="1:235" x14ac:dyDescent="0.25">
      <c r="A61" s="7" t="str">
        <f>Planung!A61</f>
        <v/>
      </c>
      <c r="B61" s="7" t="str">
        <f>Planung!B61</f>
        <v/>
      </c>
      <c r="C61" s="27">
        <f>N(Mitarbeiter!$D$59)</f>
        <v>0</v>
      </c>
      <c r="D61" s="27">
        <f>IF($A61="",0,IF(Mitarbeiter!$G$59=FALSE,0,IF(AND(Mitarbeiter!$E$59&lt;&gt;"",D$5+6&lt;Mitarbeiter!$E$59),0,IF(AND(Mitarbeiter!$F$59&lt;&gt;"",D$5&gt;Mitarbeiter!$F$59),0,IF(Planung!D61="",$C61,IF(ISNUMBER(Planung!D61),Planung!D61,IF(UPPER(Planung!D61)="H",$C61/2,0)))))))</f>
        <v>0</v>
      </c>
      <c r="E61" s="27">
        <f>IF($A61="",0,IF(Mitarbeiter!$G$59=FALSE,0,IF(AND(Mitarbeiter!$E$59&lt;&gt;"",E$5+6&lt;Mitarbeiter!$E$59),0,IF(AND(Mitarbeiter!$F$59&lt;&gt;"",E$5&gt;Mitarbeiter!$F$59),0,IF(Planung!E61="",$C61,IF(ISNUMBER(Planung!E61),Planung!E61,IF(UPPER(Planung!E61)="H",$C61/2,0)))))))</f>
        <v>0</v>
      </c>
      <c r="F61" s="27">
        <f>IF($A61="",0,IF(Mitarbeiter!$G$59=FALSE,0,IF(AND(Mitarbeiter!$E$59&lt;&gt;"",F$5+6&lt;Mitarbeiter!$E$59),0,IF(AND(Mitarbeiter!$F$59&lt;&gt;"",F$5&gt;Mitarbeiter!$F$59),0,IF(Planung!F61="",$C61,IF(ISNUMBER(Planung!F61),Planung!F61,IF(UPPER(Planung!F61)="H",$C61/2,0)))))))</f>
        <v>0</v>
      </c>
      <c r="G61" s="27">
        <f>IF($A61="",0,IF(Mitarbeiter!$G$59=FALSE,0,IF(AND(Mitarbeiter!$E$59&lt;&gt;"",G$5+6&lt;Mitarbeiter!$E$59),0,IF(AND(Mitarbeiter!$F$59&lt;&gt;"",G$5&gt;Mitarbeiter!$F$59),0,IF(Planung!G61="",$C61,IF(ISNUMBER(Planung!G61),Planung!G61,IF(UPPER(Planung!G61)="H",$C61/2,0)))))))</f>
        <v>0</v>
      </c>
      <c r="H61" s="27">
        <f>IF($A61="",0,IF(Mitarbeiter!$G$59=FALSE,0,IF(AND(Mitarbeiter!$E$59&lt;&gt;"",H$5+6&lt;Mitarbeiter!$E$59),0,IF(AND(Mitarbeiter!$F$59&lt;&gt;"",H$5&gt;Mitarbeiter!$F$59),0,IF(Planung!H61="",$C61,IF(ISNUMBER(Planung!H61),Planung!H61,IF(UPPER(Planung!H61)="H",$C61/2,0)))))))</f>
        <v>0</v>
      </c>
      <c r="I61" s="27">
        <f>IF($A61="",0,IF(Mitarbeiter!$G$59=FALSE,0,IF(AND(Mitarbeiter!$E$59&lt;&gt;"",I$5+6&lt;Mitarbeiter!$E$59),0,IF(AND(Mitarbeiter!$F$59&lt;&gt;"",I$5&gt;Mitarbeiter!$F$59),0,IF(Planung!I61="",$C61,IF(ISNUMBER(Planung!I61),Planung!I61,IF(UPPER(Planung!I61)="H",$C61/2,0)))))))</f>
        <v>0</v>
      </c>
      <c r="J61" s="27">
        <f>IF($A61="",0,IF(Mitarbeiter!$G$59=FALSE,0,IF(AND(Mitarbeiter!$E$59&lt;&gt;"",J$5+6&lt;Mitarbeiter!$E$59),0,IF(AND(Mitarbeiter!$F$59&lt;&gt;"",J$5&gt;Mitarbeiter!$F$59),0,IF(Planung!J61="",$C61,IF(ISNUMBER(Planung!J61),Planung!J61,IF(UPPER(Planung!J61)="H",$C61/2,0)))))))</f>
        <v>0</v>
      </c>
      <c r="K61" s="27">
        <f>IF($A61="",0,IF(Mitarbeiter!$G$59=FALSE,0,IF(AND(Mitarbeiter!$E$59&lt;&gt;"",K$5+6&lt;Mitarbeiter!$E$59),0,IF(AND(Mitarbeiter!$F$59&lt;&gt;"",K$5&gt;Mitarbeiter!$F$59),0,IF(Planung!K61="",$C61,IF(ISNUMBER(Planung!K61),Planung!K61,IF(UPPER(Planung!K61)="H",$C61/2,0)))))))</f>
        <v>0</v>
      </c>
      <c r="L61" s="27">
        <f>IF($A61="",0,IF(Mitarbeiter!$G$59=FALSE,0,IF(AND(Mitarbeiter!$E$59&lt;&gt;"",L$5+6&lt;Mitarbeiter!$E$59),0,IF(AND(Mitarbeiter!$F$59&lt;&gt;"",L$5&gt;Mitarbeiter!$F$59),0,IF(Planung!L61="",$C61,IF(ISNUMBER(Planung!L61),Planung!L61,IF(UPPER(Planung!L61)="H",$C61/2,0)))))))</f>
        <v>0</v>
      </c>
      <c r="M61" s="27">
        <f>IF($A61="",0,IF(Mitarbeiter!$G$59=FALSE,0,IF(AND(Mitarbeiter!$E$59&lt;&gt;"",M$5+6&lt;Mitarbeiter!$E$59),0,IF(AND(Mitarbeiter!$F$59&lt;&gt;"",M$5&gt;Mitarbeiter!$F$59),0,IF(Planung!M61="",$C61,IF(ISNUMBER(Planung!M61),Planung!M61,IF(UPPER(Planung!M61)="H",$C61/2,0)))))))</f>
        <v>0</v>
      </c>
      <c r="N61" s="27">
        <f>IF($A61="",0,IF(Mitarbeiter!$G$59=FALSE,0,IF(AND(Mitarbeiter!$E$59&lt;&gt;"",N$5+6&lt;Mitarbeiter!$E$59),0,IF(AND(Mitarbeiter!$F$59&lt;&gt;"",N$5&gt;Mitarbeiter!$F$59),0,IF(Planung!N61="",$C61,IF(ISNUMBER(Planung!N61),Planung!N61,IF(UPPER(Planung!N61)="H",$C61/2,0)))))))</f>
        <v>0</v>
      </c>
      <c r="O61" s="27">
        <f>IF($A61="",0,IF(Mitarbeiter!$G$59=FALSE,0,IF(AND(Mitarbeiter!$E$59&lt;&gt;"",O$5+6&lt;Mitarbeiter!$E$59),0,IF(AND(Mitarbeiter!$F$59&lt;&gt;"",O$5&gt;Mitarbeiter!$F$59),0,IF(Planung!O61="",$C61,IF(ISNUMBER(Planung!O61),Planung!O61,IF(UPPER(Planung!O61)="H",$C61/2,0)))))))</f>
        <v>0</v>
      </c>
      <c r="P61" s="27">
        <f>IF($A61="",0,IF(Mitarbeiter!$G$59=FALSE,0,IF(AND(Mitarbeiter!$E$59&lt;&gt;"",P$5+6&lt;Mitarbeiter!$E$59),0,IF(AND(Mitarbeiter!$F$59&lt;&gt;"",P$5&gt;Mitarbeiter!$F$59),0,IF(Planung!P61="",$C61,IF(ISNUMBER(Planung!P61),Planung!P61,IF(UPPER(Planung!P61)="H",$C61/2,0)))))))</f>
        <v>0</v>
      </c>
      <c r="Q61" s="27">
        <f>IF($A61="",0,IF(Mitarbeiter!$G$59=FALSE,0,IF(AND(Mitarbeiter!$E$59&lt;&gt;"",Q$5+6&lt;Mitarbeiter!$E$59),0,IF(AND(Mitarbeiter!$F$59&lt;&gt;"",Q$5&gt;Mitarbeiter!$F$59),0,IF(Planung!Q61="",$C61,IF(ISNUMBER(Planung!Q61),Planung!Q61,IF(UPPER(Planung!Q61)="H",$C61/2,0)))))))</f>
        <v>0</v>
      </c>
      <c r="R61" s="27">
        <f>IF($A61="",0,IF(Mitarbeiter!$G$59=FALSE,0,IF(AND(Mitarbeiter!$E$59&lt;&gt;"",R$5+6&lt;Mitarbeiter!$E$59),0,IF(AND(Mitarbeiter!$F$59&lt;&gt;"",R$5&gt;Mitarbeiter!$F$59),0,IF(Planung!R61="",$C61,IF(ISNUMBER(Planung!R61),Planung!R61,IF(UPPER(Planung!R61)="H",$C61/2,0)))))))</f>
        <v>0</v>
      </c>
      <c r="S61" s="27">
        <f>IF($A61="",0,IF(Mitarbeiter!$G$59=FALSE,0,IF(AND(Mitarbeiter!$E$59&lt;&gt;"",S$5+6&lt;Mitarbeiter!$E$59),0,IF(AND(Mitarbeiter!$F$59&lt;&gt;"",S$5&gt;Mitarbeiter!$F$59),0,IF(Planung!S61="",$C61,IF(ISNUMBER(Planung!S61),Planung!S61,IF(UPPER(Planung!S61)="H",$C61/2,0)))))))</f>
        <v>0</v>
      </c>
      <c r="T61" s="27">
        <f>IF($A61="",0,IF(Mitarbeiter!$G$59=FALSE,0,IF(AND(Mitarbeiter!$E$59&lt;&gt;"",T$5+6&lt;Mitarbeiter!$E$59),0,IF(AND(Mitarbeiter!$F$59&lt;&gt;"",T$5&gt;Mitarbeiter!$F$59),0,IF(Planung!T61="",$C61,IF(ISNUMBER(Planung!T61),Planung!T61,IF(UPPER(Planung!T61)="H",$C61/2,0)))))))</f>
        <v>0</v>
      </c>
      <c r="U61" s="27">
        <f>IF($A61="",0,IF(Mitarbeiter!$G$59=FALSE,0,IF(AND(Mitarbeiter!$E$59&lt;&gt;"",U$5+6&lt;Mitarbeiter!$E$59),0,IF(AND(Mitarbeiter!$F$59&lt;&gt;"",U$5&gt;Mitarbeiter!$F$59),0,IF(Planung!U61="",$C61,IF(ISNUMBER(Planung!U61),Planung!U61,IF(UPPER(Planung!U61)="H",$C61/2,0)))))))</f>
        <v>0</v>
      </c>
      <c r="V61" s="27">
        <f>IF($A61="",0,IF(Mitarbeiter!$G$59=FALSE,0,IF(AND(Mitarbeiter!$E$59&lt;&gt;"",V$5+6&lt;Mitarbeiter!$E$59),0,IF(AND(Mitarbeiter!$F$59&lt;&gt;"",V$5&gt;Mitarbeiter!$F$59),0,IF(Planung!V61="",$C61,IF(ISNUMBER(Planung!V61),Planung!V61,IF(UPPER(Planung!V61)="H",$C61/2,0)))))))</f>
        <v>0</v>
      </c>
      <c r="W61" s="27">
        <f>IF($A61="",0,IF(Mitarbeiter!$G$59=FALSE,0,IF(AND(Mitarbeiter!$E$59&lt;&gt;"",W$5+6&lt;Mitarbeiter!$E$59),0,IF(AND(Mitarbeiter!$F$59&lt;&gt;"",W$5&gt;Mitarbeiter!$F$59),0,IF(Planung!W61="",$C61,IF(ISNUMBER(Planung!W61),Planung!W61,IF(UPPER(Planung!W61)="H",$C61/2,0)))))))</f>
        <v>0</v>
      </c>
      <c r="X61" s="27">
        <f>IF($A61="",0,IF(Mitarbeiter!$G$59=FALSE,0,IF(AND(Mitarbeiter!$E$59&lt;&gt;"",X$5+6&lt;Mitarbeiter!$E$59),0,IF(AND(Mitarbeiter!$F$59&lt;&gt;"",X$5&gt;Mitarbeiter!$F$59),0,IF(Planung!X61="",$C61,IF(ISNUMBER(Planung!X61),Planung!X61,IF(UPPER(Planung!X61)="H",$C61/2,0)))))))</f>
        <v>0</v>
      </c>
      <c r="Y61" s="27">
        <f>IF($A61="",0,IF(Mitarbeiter!$G$59=FALSE,0,IF(AND(Mitarbeiter!$E$59&lt;&gt;"",Y$5+6&lt;Mitarbeiter!$E$59),0,IF(AND(Mitarbeiter!$F$59&lt;&gt;"",Y$5&gt;Mitarbeiter!$F$59),0,IF(Planung!Y61="",$C61,IF(ISNUMBER(Planung!Y61),Planung!Y61,IF(UPPER(Planung!Y61)="H",$C61/2,0)))))))</f>
        <v>0</v>
      </c>
      <c r="Z61" s="27">
        <f>IF($A61="",0,IF(Mitarbeiter!$G$59=FALSE,0,IF(AND(Mitarbeiter!$E$59&lt;&gt;"",Z$5+6&lt;Mitarbeiter!$E$59),0,IF(AND(Mitarbeiter!$F$59&lt;&gt;"",Z$5&gt;Mitarbeiter!$F$59),0,IF(Planung!Z61="",$C61,IF(ISNUMBER(Planung!Z61),Planung!Z61,IF(UPPER(Planung!Z61)="H",$C61/2,0)))))))</f>
        <v>0</v>
      </c>
      <c r="AA61" s="27">
        <f>IF($A61="",0,IF(Mitarbeiter!$G$59=FALSE,0,IF(AND(Mitarbeiter!$E$59&lt;&gt;"",AA$5+6&lt;Mitarbeiter!$E$59),0,IF(AND(Mitarbeiter!$F$59&lt;&gt;"",AA$5&gt;Mitarbeiter!$F$59),0,IF(Planung!AA61="",$C61,IF(ISNUMBER(Planung!AA61),Planung!AA61,IF(UPPER(Planung!AA61)="H",$C61/2,0)))))))</f>
        <v>0</v>
      </c>
      <c r="AB61" s="27">
        <f>IF($A61="",0,IF(Mitarbeiter!$G$59=FALSE,0,IF(AND(Mitarbeiter!$E$59&lt;&gt;"",AB$5+6&lt;Mitarbeiter!$E$59),0,IF(AND(Mitarbeiter!$F$59&lt;&gt;"",AB$5&gt;Mitarbeiter!$F$59),0,IF(Planung!AB61="",$C61,IF(ISNUMBER(Planung!AB61),Planung!AB61,IF(UPPER(Planung!AB61)="H",$C61/2,0)))))))</f>
        <v>0</v>
      </c>
      <c r="AC61" s="27">
        <f>IF($A61="",0,IF(Mitarbeiter!$G$59=FALSE,0,IF(AND(Mitarbeiter!$E$59&lt;&gt;"",AC$5+6&lt;Mitarbeiter!$E$59),0,IF(AND(Mitarbeiter!$F$59&lt;&gt;"",AC$5&gt;Mitarbeiter!$F$59),0,IF(Planung!AC61="",$C61,IF(ISNUMBER(Planung!AC61),Planung!AC61,IF(UPPER(Planung!AC61)="H",$C61/2,0)))))))</f>
        <v>0</v>
      </c>
      <c r="AD61" s="27">
        <f>IF($A61="",0,IF(Mitarbeiter!$G$59=FALSE,0,IF(AND(Mitarbeiter!$E$59&lt;&gt;"",AD$5+6&lt;Mitarbeiter!$E$59),0,IF(AND(Mitarbeiter!$F$59&lt;&gt;"",AD$5&gt;Mitarbeiter!$F$59),0,IF(Planung!AD61="",$C61,IF(ISNUMBER(Planung!AD61),Planung!AD61,IF(UPPER(Planung!AD61)="H",$C61/2,0)))))))</f>
        <v>0</v>
      </c>
      <c r="AE61" s="27">
        <f>IF($A61="",0,IF(Mitarbeiter!$G$59=FALSE,0,IF(AND(Mitarbeiter!$E$59&lt;&gt;"",AE$5+6&lt;Mitarbeiter!$E$59),0,IF(AND(Mitarbeiter!$F$59&lt;&gt;"",AE$5&gt;Mitarbeiter!$F$59),0,IF(Planung!AE61="",$C61,IF(ISNUMBER(Planung!AE61),Planung!AE61,IF(UPPER(Planung!AE61)="H",$C61/2,0)))))))</f>
        <v>0</v>
      </c>
      <c r="AF61" s="27">
        <f>IF($A61="",0,IF(Mitarbeiter!$G$59=FALSE,0,IF(AND(Mitarbeiter!$E$59&lt;&gt;"",AF$5+6&lt;Mitarbeiter!$E$59),0,IF(AND(Mitarbeiter!$F$59&lt;&gt;"",AF$5&gt;Mitarbeiter!$F$59),0,IF(Planung!AF61="",$C61,IF(ISNUMBER(Planung!AF61),Planung!AF61,IF(UPPER(Planung!AF61)="H",$C61/2,0)))))))</f>
        <v>0</v>
      </c>
      <c r="AG61" s="27">
        <f>IF($A61="",0,IF(Mitarbeiter!$G$59=FALSE,0,IF(AND(Mitarbeiter!$E$59&lt;&gt;"",AG$5+6&lt;Mitarbeiter!$E$59),0,IF(AND(Mitarbeiter!$F$59&lt;&gt;"",AG$5&gt;Mitarbeiter!$F$59),0,IF(Planung!AG61="",$C61,IF(ISNUMBER(Planung!AG61),Planung!AG61,IF(UPPER(Planung!AG61)="H",$C61/2,0)))))))</f>
        <v>0</v>
      </c>
      <c r="AH61" s="27">
        <f>IF($A61="",0,IF(Mitarbeiter!$G$59=FALSE,0,IF(AND(Mitarbeiter!$E$59&lt;&gt;"",AH$5+6&lt;Mitarbeiter!$E$59),0,IF(AND(Mitarbeiter!$F$59&lt;&gt;"",AH$5&gt;Mitarbeiter!$F$59),0,IF(Planung!AH61="",$C61,IF(ISNUMBER(Planung!AH61),Planung!AH61,IF(UPPER(Planung!AH61)="H",$C61/2,0)))))))</f>
        <v>0</v>
      </c>
      <c r="AI61" s="27">
        <f>IF($A61="",0,IF(Mitarbeiter!$G$59=FALSE,0,IF(AND(Mitarbeiter!$E$59&lt;&gt;"",AI$5+6&lt;Mitarbeiter!$E$59),0,IF(AND(Mitarbeiter!$F$59&lt;&gt;"",AI$5&gt;Mitarbeiter!$F$59),0,IF(Planung!AI61="",$C61,IF(ISNUMBER(Planung!AI61),Planung!AI61,IF(UPPER(Planung!AI61)="H",$C61/2,0)))))))</f>
        <v>0</v>
      </c>
      <c r="AJ61" s="27">
        <f>IF($A61="",0,IF(Mitarbeiter!$G$59=FALSE,0,IF(AND(Mitarbeiter!$E$59&lt;&gt;"",AJ$5+6&lt;Mitarbeiter!$E$59),0,IF(AND(Mitarbeiter!$F$59&lt;&gt;"",AJ$5&gt;Mitarbeiter!$F$59),0,IF(Planung!AJ61="",$C61,IF(ISNUMBER(Planung!AJ61),Planung!AJ61,IF(UPPER(Planung!AJ61)="H",$C61/2,0)))))))</f>
        <v>0</v>
      </c>
      <c r="AK61" s="27">
        <f>IF($A61="",0,IF(Mitarbeiter!$G$59=FALSE,0,IF(AND(Mitarbeiter!$E$59&lt;&gt;"",AK$5+6&lt;Mitarbeiter!$E$59),0,IF(AND(Mitarbeiter!$F$59&lt;&gt;"",AK$5&gt;Mitarbeiter!$F$59),0,IF(Planung!AK61="",$C61,IF(ISNUMBER(Planung!AK61),Planung!AK61,IF(UPPER(Planung!AK61)="H",$C61/2,0)))))))</f>
        <v>0</v>
      </c>
      <c r="AL61" s="27">
        <f>IF($A61="",0,IF(Mitarbeiter!$G$59=FALSE,0,IF(AND(Mitarbeiter!$E$59&lt;&gt;"",AL$5+6&lt;Mitarbeiter!$E$59),0,IF(AND(Mitarbeiter!$F$59&lt;&gt;"",AL$5&gt;Mitarbeiter!$F$59),0,IF(Planung!AL61="",$C61,IF(ISNUMBER(Planung!AL61),Planung!AL61,IF(UPPER(Planung!AL61)="H",$C61/2,0)))))))</f>
        <v>0</v>
      </c>
      <c r="AM61" s="27">
        <f>IF($A61="",0,IF(Mitarbeiter!$G$59=FALSE,0,IF(AND(Mitarbeiter!$E$59&lt;&gt;"",AM$5+6&lt;Mitarbeiter!$E$59),0,IF(AND(Mitarbeiter!$F$59&lt;&gt;"",AM$5&gt;Mitarbeiter!$F$59),0,IF(Planung!AM61="",$C61,IF(ISNUMBER(Planung!AM61),Planung!AM61,IF(UPPER(Planung!AM61)="H",$C61/2,0)))))))</f>
        <v>0</v>
      </c>
      <c r="AN61" s="27">
        <f>IF($A61="",0,IF(Mitarbeiter!$G$59=FALSE,0,IF(AND(Mitarbeiter!$E$59&lt;&gt;"",AN$5+6&lt;Mitarbeiter!$E$59),0,IF(AND(Mitarbeiter!$F$59&lt;&gt;"",AN$5&gt;Mitarbeiter!$F$59),0,IF(Planung!AN61="",$C61,IF(ISNUMBER(Planung!AN61),Planung!AN61,IF(UPPER(Planung!AN61)="H",$C61/2,0)))))))</f>
        <v>0</v>
      </c>
      <c r="AO61" s="27">
        <f>IF($A61="",0,IF(Mitarbeiter!$G$59=FALSE,0,IF(AND(Mitarbeiter!$E$59&lt;&gt;"",AO$5+6&lt;Mitarbeiter!$E$59),0,IF(AND(Mitarbeiter!$F$59&lt;&gt;"",AO$5&gt;Mitarbeiter!$F$59),0,IF(Planung!AO61="",$C61,IF(ISNUMBER(Planung!AO61),Planung!AO61,IF(UPPER(Planung!AO61)="H",$C61/2,0)))))))</f>
        <v>0</v>
      </c>
      <c r="AP61" s="27">
        <f>IF($A61="",0,IF(Mitarbeiter!$G$59=FALSE,0,IF(AND(Mitarbeiter!$E$59&lt;&gt;"",AP$5+6&lt;Mitarbeiter!$E$59),0,IF(AND(Mitarbeiter!$F$59&lt;&gt;"",AP$5&gt;Mitarbeiter!$F$59),0,IF(Planung!AP61="",$C61,IF(ISNUMBER(Planung!AP61),Planung!AP61,IF(UPPER(Planung!AP61)="H",$C61/2,0)))))))</f>
        <v>0</v>
      </c>
      <c r="AQ61" s="27">
        <f>IF($A61="",0,IF(Mitarbeiter!$G$59=FALSE,0,IF(AND(Mitarbeiter!$E$59&lt;&gt;"",AQ$5+6&lt;Mitarbeiter!$E$59),0,IF(AND(Mitarbeiter!$F$59&lt;&gt;"",AQ$5&gt;Mitarbeiter!$F$59),0,IF(Planung!AQ61="",$C61,IF(ISNUMBER(Planung!AQ61),Planung!AQ61,IF(UPPER(Planung!AQ61)="H",$C61/2,0)))))))</f>
        <v>0</v>
      </c>
      <c r="AR61" s="27">
        <f>IF($A61="",0,IF(Mitarbeiter!$G$59=FALSE,0,IF(AND(Mitarbeiter!$E$59&lt;&gt;"",AR$5+6&lt;Mitarbeiter!$E$59),0,IF(AND(Mitarbeiter!$F$59&lt;&gt;"",AR$5&gt;Mitarbeiter!$F$59),0,IF(Planung!AR61="",$C61,IF(ISNUMBER(Planung!AR61),Planung!AR61,IF(UPPER(Planung!AR61)="H",$C61/2,0)))))))</f>
        <v>0</v>
      </c>
      <c r="AS61" s="27">
        <f>IF($A61="",0,IF(Mitarbeiter!$G$59=FALSE,0,IF(AND(Mitarbeiter!$E$59&lt;&gt;"",AS$5+6&lt;Mitarbeiter!$E$59),0,IF(AND(Mitarbeiter!$F$59&lt;&gt;"",AS$5&gt;Mitarbeiter!$F$59),0,IF(Planung!AS61="",$C61,IF(ISNUMBER(Planung!AS61),Planung!AS61,IF(UPPER(Planung!AS61)="H",$C61/2,0)))))))</f>
        <v>0</v>
      </c>
      <c r="AT61" s="27">
        <f>IF($A61="",0,IF(Mitarbeiter!$G$59=FALSE,0,IF(AND(Mitarbeiter!$E$59&lt;&gt;"",AT$5+6&lt;Mitarbeiter!$E$59),0,IF(AND(Mitarbeiter!$F$59&lt;&gt;"",AT$5&gt;Mitarbeiter!$F$59),0,IF(Planung!AT61="",$C61,IF(ISNUMBER(Planung!AT61),Planung!AT61,IF(UPPER(Planung!AT61)="H",$C61/2,0)))))))</f>
        <v>0</v>
      </c>
      <c r="AU61" s="27">
        <f>IF($A61="",0,IF(Mitarbeiter!$G$59=FALSE,0,IF(AND(Mitarbeiter!$E$59&lt;&gt;"",AU$5+6&lt;Mitarbeiter!$E$59),0,IF(AND(Mitarbeiter!$F$59&lt;&gt;"",AU$5&gt;Mitarbeiter!$F$59),0,IF(Planung!AU61="",$C61,IF(ISNUMBER(Planung!AU61),Planung!AU61,IF(UPPER(Planung!AU61)="H",$C61/2,0)))))))</f>
        <v>0</v>
      </c>
      <c r="AV61" s="27">
        <f>IF($A61="",0,IF(Mitarbeiter!$G$59=FALSE,0,IF(AND(Mitarbeiter!$E$59&lt;&gt;"",AV$5+6&lt;Mitarbeiter!$E$59),0,IF(AND(Mitarbeiter!$F$59&lt;&gt;"",AV$5&gt;Mitarbeiter!$F$59),0,IF(Planung!AV61="",$C61,IF(ISNUMBER(Planung!AV61),Planung!AV61,IF(UPPER(Planung!AV61)="H",$C61/2,0)))))))</f>
        <v>0</v>
      </c>
      <c r="AW61" s="27">
        <f>IF($A61="",0,IF(Mitarbeiter!$G$59=FALSE,0,IF(AND(Mitarbeiter!$E$59&lt;&gt;"",AW$5+6&lt;Mitarbeiter!$E$59),0,IF(AND(Mitarbeiter!$F$59&lt;&gt;"",AW$5&gt;Mitarbeiter!$F$59),0,IF(Planung!AW61="",$C61,IF(ISNUMBER(Planung!AW61),Planung!AW61,IF(UPPER(Planung!AW61)="H",$C61/2,0)))))))</f>
        <v>0</v>
      </c>
      <c r="AX61" s="27">
        <f>IF($A61="",0,IF(Mitarbeiter!$G$59=FALSE,0,IF(AND(Mitarbeiter!$E$59&lt;&gt;"",AX$5+6&lt;Mitarbeiter!$E$59),0,IF(AND(Mitarbeiter!$F$59&lt;&gt;"",AX$5&gt;Mitarbeiter!$F$59),0,IF(Planung!AX61="",$C61,IF(ISNUMBER(Planung!AX61),Planung!AX61,IF(UPPER(Planung!AX61)="H",$C61/2,0)))))))</f>
        <v>0</v>
      </c>
      <c r="AY61" s="27">
        <f>IF($A61="",0,IF(Mitarbeiter!$G$59=FALSE,0,IF(AND(Mitarbeiter!$E$59&lt;&gt;"",AY$5+6&lt;Mitarbeiter!$E$59),0,IF(AND(Mitarbeiter!$F$59&lt;&gt;"",AY$5&gt;Mitarbeiter!$F$59),0,IF(Planung!AY61="",$C61,IF(ISNUMBER(Planung!AY61),Planung!AY61,IF(UPPER(Planung!AY61)="H",$C61/2,0)))))))</f>
        <v>0</v>
      </c>
      <c r="AZ61" s="27">
        <f>IF($A61="",0,IF(Mitarbeiter!$G$59=FALSE,0,IF(AND(Mitarbeiter!$E$59&lt;&gt;"",AZ$5+6&lt;Mitarbeiter!$E$59),0,IF(AND(Mitarbeiter!$F$59&lt;&gt;"",AZ$5&gt;Mitarbeiter!$F$59),0,IF(Planung!AZ61="",$C61,IF(ISNUMBER(Planung!AZ61),Planung!AZ61,IF(UPPER(Planung!AZ61)="H",$C61/2,0)))))))</f>
        <v>0</v>
      </c>
      <c r="BA61" s="27">
        <f>IF($A61="",0,IF(Mitarbeiter!$G$59=FALSE,0,IF(AND(Mitarbeiter!$E$59&lt;&gt;"",BA$5+6&lt;Mitarbeiter!$E$59),0,IF(AND(Mitarbeiter!$F$59&lt;&gt;"",BA$5&gt;Mitarbeiter!$F$59),0,IF(Planung!BA61="",$C61,IF(ISNUMBER(Planung!BA61),Planung!BA61,IF(UPPER(Planung!BA61)="H",$C61/2,0)))))))</f>
        <v>0</v>
      </c>
      <c r="BB61" s="27">
        <f>IF($A61="",0,IF(Mitarbeiter!$G$59=FALSE,0,IF(AND(Mitarbeiter!$E$59&lt;&gt;"",BB$5+6&lt;Mitarbeiter!$E$59),0,IF(AND(Mitarbeiter!$F$59&lt;&gt;"",BB$5&gt;Mitarbeiter!$F$59),0,IF(Planung!BB61="",$C61,IF(ISNUMBER(Planung!BB61),Planung!BB61,IF(UPPER(Planung!BB61)="H",$C61/2,0)))))))</f>
        <v>0</v>
      </c>
      <c r="BC61" s="27">
        <f>IF($A61="",0,IF(Mitarbeiter!$G$59=FALSE,0,IF(AND(Mitarbeiter!$E$59&lt;&gt;"",BC$5+6&lt;Mitarbeiter!$E$59),0,IF(AND(Mitarbeiter!$F$59&lt;&gt;"",BC$5&gt;Mitarbeiter!$F$59),0,IF(Planung!BC61="",$C61,IF(ISNUMBER(Planung!BC61),Planung!BC61,IF(UPPER(Planung!BC61)="H",$C61/2,0)))))))</f>
        <v>0</v>
      </c>
      <c r="BD61" s="27">
        <f>IF($A61="",0,IF(Mitarbeiter!$G$59=FALSE,0,IF(AND(Mitarbeiter!$E$59&lt;&gt;"",BD$5+6&lt;Mitarbeiter!$E$59),0,IF(AND(Mitarbeiter!$F$59&lt;&gt;"",BD$5&gt;Mitarbeiter!$F$59),0,IF(Planung!BD61="",$C61,IF(ISNUMBER(Planung!BD61),Planung!BD61,IF(UPPER(Planung!BD61)="H",$C61/2,0)))))))</f>
        <v>0</v>
      </c>
      <c r="BE61" s="27">
        <f>IF($A61="",0,IF(Mitarbeiter!$G$59=FALSE,0,IF(AND(Mitarbeiter!$E$59&lt;&gt;"",BE$5+6&lt;Mitarbeiter!$E$59),0,IF(AND(Mitarbeiter!$F$59&lt;&gt;"",BE$5&gt;Mitarbeiter!$F$59),0,IF(Planung!BE61="",$C61,IF(ISNUMBER(Planung!BE61),Planung!BE61,IF(UPPER(Planung!BE61)="H",$C61/2,0)))))))</f>
        <v>0</v>
      </c>
      <c r="BF61" s="27">
        <f>IF($A61="",0,IF(Mitarbeiter!$G$59=FALSE,0,IF(AND(Mitarbeiter!$E$59&lt;&gt;"",BF$5+6&lt;Mitarbeiter!$E$59),0,IF(AND(Mitarbeiter!$F$59&lt;&gt;"",BF$5&gt;Mitarbeiter!$F$59),0,IF(Planung!BF61="",$C61,IF(ISNUMBER(Planung!BF61),Planung!BF61,IF(UPPER(Planung!BF61)="H",$C61/2,0)))))))</f>
        <v>0</v>
      </c>
      <c r="BG61" s="27">
        <f>IF($A61="",0,IF(Mitarbeiter!$G$59=FALSE,0,IF(AND(Mitarbeiter!$E$59&lt;&gt;"",BG$5+6&lt;Mitarbeiter!$E$59),0,IF(AND(Mitarbeiter!$F$59&lt;&gt;"",BG$5&gt;Mitarbeiter!$F$59),0,IF(Planung!BG61="",$C61,IF(ISNUMBER(Planung!BG61),Planung!BG61,IF(UPPER(Planung!BG61)="H",$C61/2,0)))))))</f>
        <v>0</v>
      </c>
      <c r="BH61" s="27">
        <f>IF($A61="",0,IF(Mitarbeiter!$G$59=FALSE,0,IF(AND(Mitarbeiter!$E$59&lt;&gt;"",BH$5+6&lt;Mitarbeiter!$E$59),0,IF(AND(Mitarbeiter!$F$59&lt;&gt;"",BH$5&gt;Mitarbeiter!$F$59),0,IF(Planung!BH61="",$C61,IF(ISNUMBER(Planung!BH61),Planung!BH61,IF(UPPER(Planung!BH61)="H",$C61/2,0)))))))</f>
        <v>0</v>
      </c>
      <c r="BI61" s="27">
        <f>IF($A61="",0,IF(Mitarbeiter!$G$59=FALSE,0,IF(AND(Mitarbeiter!$E$59&lt;&gt;"",BI$5+6&lt;Mitarbeiter!$E$59),0,IF(AND(Mitarbeiter!$F$59&lt;&gt;"",BI$5&gt;Mitarbeiter!$F$59),0,IF(Planung!BI61="",$C61,IF(ISNUMBER(Planung!BI61),Planung!BI61,IF(UPPER(Planung!BI61)="H",$C61/2,0)))))))</f>
        <v>0</v>
      </c>
      <c r="BJ61" s="27">
        <f>IF($A61="",0,IF(Mitarbeiter!$G$59=FALSE,0,IF(AND(Mitarbeiter!$E$59&lt;&gt;"",BJ$5+6&lt;Mitarbeiter!$E$59),0,IF(AND(Mitarbeiter!$F$59&lt;&gt;"",BJ$5&gt;Mitarbeiter!$F$59),0,IF(Planung!BJ61="",$C61,IF(ISNUMBER(Planung!BJ61),Planung!BJ61,IF(UPPER(Planung!BJ61)="H",$C61/2,0)))))))</f>
        <v>0</v>
      </c>
      <c r="BK61" s="27">
        <f>IF($A61="",0,IF(Mitarbeiter!$G$59=FALSE,0,IF(AND(Mitarbeiter!$E$59&lt;&gt;"",BK$5+6&lt;Mitarbeiter!$E$59),0,IF(AND(Mitarbeiter!$F$59&lt;&gt;"",BK$5&gt;Mitarbeiter!$F$59),0,IF(Planung!BK61="",$C61,IF(ISNUMBER(Planung!BK61),Planung!BK61,IF(UPPER(Planung!BK61)="H",$C61/2,0)))))))</f>
        <v>0</v>
      </c>
      <c r="BL61" s="27">
        <f>IF($A61="",0,IF(Mitarbeiter!$G$59=FALSE,0,IF(AND(Mitarbeiter!$E$59&lt;&gt;"",BL$5+6&lt;Mitarbeiter!$E$59),0,IF(AND(Mitarbeiter!$F$59&lt;&gt;"",BL$5&gt;Mitarbeiter!$F$59),0,IF(Planung!BL61="",$C61,IF(ISNUMBER(Planung!BL61),Planung!BL61,IF(UPPER(Planung!BL61)="H",$C61/2,0)))))))</f>
        <v>0</v>
      </c>
      <c r="BM61" s="27">
        <f>IF($A61="",0,IF(Mitarbeiter!$G$59=FALSE,0,IF(AND(Mitarbeiter!$E$59&lt;&gt;"",BM$5+6&lt;Mitarbeiter!$E$59),0,IF(AND(Mitarbeiter!$F$59&lt;&gt;"",BM$5&gt;Mitarbeiter!$F$59),0,IF(Planung!BM61="",$C61,IF(ISNUMBER(Planung!BM61),Planung!BM61,IF(UPPER(Planung!BM61)="H",$C61/2,0)))))))</f>
        <v>0</v>
      </c>
      <c r="BN61" s="27">
        <f>IF($A61="",0,IF(Mitarbeiter!$G$59=FALSE,0,IF(AND(Mitarbeiter!$E$59&lt;&gt;"",BN$5+6&lt;Mitarbeiter!$E$59),0,IF(AND(Mitarbeiter!$F$59&lt;&gt;"",BN$5&gt;Mitarbeiter!$F$59),0,IF(Planung!BN61="",$C61,IF(ISNUMBER(Planung!BN61),Planung!BN61,IF(UPPER(Planung!BN61)="H",$C61/2,0)))))))</f>
        <v>0</v>
      </c>
      <c r="BO61" s="27">
        <f>IF($A61="",0,IF(Mitarbeiter!$G$59=FALSE,0,IF(AND(Mitarbeiter!$E$59&lt;&gt;"",BO$5+6&lt;Mitarbeiter!$E$59),0,IF(AND(Mitarbeiter!$F$59&lt;&gt;"",BO$5&gt;Mitarbeiter!$F$59),0,IF(Planung!BO61="",$C61,IF(ISNUMBER(Planung!BO61),Planung!BO61,IF(UPPER(Planung!BO61)="H",$C61/2,0)))))))</f>
        <v>0</v>
      </c>
      <c r="BP61" s="27">
        <f>IF($A61="",0,IF(Mitarbeiter!$G$59=FALSE,0,IF(AND(Mitarbeiter!$E$59&lt;&gt;"",BP$5+6&lt;Mitarbeiter!$E$59),0,IF(AND(Mitarbeiter!$F$59&lt;&gt;"",BP$5&gt;Mitarbeiter!$F$59),0,IF(Planung!BP61="",$C61,IF(ISNUMBER(Planung!BP61),Planung!BP61,IF(UPPER(Planung!BP61)="H",$C61/2,0)))))))</f>
        <v>0</v>
      </c>
      <c r="BQ61" s="27">
        <f>IF($A61="",0,IF(Mitarbeiter!$G$59=FALSE,0,IF(AND(Mitarbeiter!$E$59&lt;&gt;"",BQ$5+6&lt;Mitarbeiter!$E$59),0,IF(AND(Mitarbeiter!$F$59&lt;&gt;"",BQ$5&gt;Mitarbeiter!$F$59),0,IF(Planung!BQ61="",$C61,IF(ISNUMBER(Planung!BQ61),Planung!BQ61,IF(UPPER(Planung!BQ61)="H",$C61/2,0)))))))</f>
        <v>0</v>
      </c>
      <c r="BR61" s="27">
        <f>IF($A61="",0,IF(Mitarbeiter!$G$59=FALSE,0,IF(AND(Mitarbeiter!$E$59&lt;&gt;"",BR$5+6&lt;Mitarbeiter!$E$59),0,IF(AND(Mitarbeiter!$F$59&lt;&gt;"",BR$5&gt;Mitarbeiter!$F$59),0,IF(Planung!BR61="",$C61,IF(ISNUMBER(Planung!BR61),Planung!BR61,IF(UPPER(Planung!BR61)="H",$C61/2,0)))))))</f>
        <v>0</v>
      </c>
      <c r="BS61" s="27">
        <f>IF($A61="",0,IF(Mitarbeiter!$G$59=FALSE,0,IF(AND(Mitarbeiter!$E$59&lt;&gt;"",BS$5+6&lt;Mitarbeiter!$E$59),0,IF(AND(Mitarbeiter!$F$59&lt;&gt;"",BS$5&gt;Mitarbeiter!$F$59),0,IF(Planung!BS61="",$C61,IF(ISNUMBER(Planung!BS61),Planung!BS61,IF(UPPER(Planung!BS61)="H",$C61/2,0)))))))</f>
        <v>0</v>
      </c>
      <c r="BT61" s="27">
        <f>IF($A61="",0,IF(Mitarbeiter!$G$59=FALSE,0,IF(AND(Mitarbeiter!$E$59&lt;&gt;"",BT$5+6&lt;Mitarbeiter!$E$59),0,IF(AND(Mitarbeiter!$F$59&lt;&gt;"",BT$5&gt;Mitarbeiter!$F$59),0,IF(Planung!BT61="",$C61,IF(ISNUMBER(Planung!BT61),Planung!BT61,IF(UPPER(Planung!BT61)="H",$C61/2,0)))))))</f>
        <v>0</v>
      </c>
      <c r="BU61" s="27">
        <f>IF($A61="",0,IF(Mitarbeiter!$G$59=FALSE,0,IF(AND(Mitarbeiter!$E$59&lt;&gt;"",BU$5+6&lt;Mitarbeiter!$E$59),0,IF(AND(Mitarbeiter!$F$59&lt;&gt;"",BU$5&gt;Mitarbeiter!$F$59),0,IF(Planung!BU61="",$C61,IF(ISNUMBER(Planung!BU61),Planung!BU61,IF(UPPER(Planung!BU61)="H",$C61/2,0)))))))</f>
        <v>0</v>
      </c>
      <c r="BV61" s="27">
        <f>IF($A61="",0,IF(Mitarbeiter!$G$59=FALSE,0,IF(AND(Mitarbeiter!$E$59&lt;&gt;"",BV$5+6&lt;Mitarbeiter!$E$59),0,IF(AND(Mitarbeiter!$F$59&lt;&gt;"",BV$5&gt;Mitarbeiter!$F$59),0,IF(Planung!BV61="",$C61,IF(ISNUMBER(Planung!BV61),Planung!BV61,IF(UPPER(Planung!BV61)="H",$C61/2,0)))))))</f>
        <v>0</v>
      </c>
      <c r="BW61" s="27">
        <f>IF($A61="",0,IF(Mitarbeiter!$G$59=FALSE,0,IF(AND(Mitarbeiter!$E$59&lt;&gt;"",BW$5+6&lt;Mitarbeiter!$E$59),0,IF(AND(Mitarbeiter!$F$59&lt;&gt;"",BW$5&gt;Mitarbeiter!$F$59),0,IF(Planung!BW61="",$C61,IF(ISNUMBER(Planung!BW61),Planung!BW61,IF(UPPER(Planung!BW61)="H",$C61/2,0)))))))</f>
        <v>0</v>
      </c>
      <c r="BX61" s="27">
        <f>IF($A61="",0,IF(Mitarbeiter!$G$59=FALSE,0,IF(AND(Mitarbeiter!$E$59&lt;&gt;"",BX$5+6&lt;Mitarbeiter!$E$59),0,IF(AND(Mitarbeiter!$F$59&lt;&gt;"",BX$5&gt;Mitarbeiter!$F$59),0,IF(Planung!BX61="",$C61,IF(ISNUMBER(Planung!BX61),Planung!BX61,IF(UPPER(Planung!BX61)="H",$C61/2,0)))))))</f>
        <v>0</v>
      </c>
      <c r="BY61" s="27">
        <f>IF($A61="",0,IF(Mitarbeiter!$G$59=FALSE,0,IF(AND(Mitarbeiter!$E$59&lt;&gt;"",BY$5+6&lt;Mitarbeiter!$E$59),0,IF(AND(Mitarbeiter!$F$59&lt;&gt;"",BY$5&gt;Mitarbeiter!$F$59),0,IF(Planung!BY61="",$C61,IF(ISNUMBER(Planung!BY61),Planung!BY61,IF(UPPER(Planung!BY61)="H",$C61/2,0)))))))</f>
        <v>0</v>
      </c>
      <c r="BZ61" s="27">
        <f>IF($A61="",0,IF(Mitarbeiter!$G$59=FALSE,0,IF(AND(Mitarbeiter!$E$59&lt;&gt;"",BZ$5+6&lt;Mitarbeiter!$E$59),0,IF(AND(Mitarbeiter!$F$59&lt;&gt;"",BZ$5&gt;Mitarbeiter!$F$59),0,IF(Planung!BZ61="",$C61,IF(ISNUMBER(Planung!BZ61),Planung!BZ61,IF(UPPER(Planung!BZ61)="H",$C61/2,0)))))))</f>
        <v>0</v>
      </c>
      <c r="CA61" s="27">
        <f>IF($A61="",0,IF(Mitarbeiter!$G$59=FALSE,0,IF(AND(Mitarbeiter!$E$59&lt;&gt;"",CA$5+6&lt;Mitarbeiter!$E$59),0,IF(AND(Mitarbeiter!$F$59&lt;&gt;"",CA$5&gt;Mitarbeiter!$F$59),0,IF(Planung!CA61="",$C61,IF(ISNUMBER(Planung!CA61),Planung!CA61,IF(UPPER(Planung!CA61)="H",$C61/2,0)))))))</f>
        <v>0</v>
      </c>
      <c r="CB61" s="27">
        <f>IF($A61="",0,IF(Mitarbeiter!$G$59=FALSE,0,IF(AND(Mitarbeiter!$E$59&lt;&gt;"",CB$5+6&lt;Mitarbeiter!$E$59),0,IF(AND(Mitarbeiter!$F$59&lt;&gt;"",CB$5&gt;Mitarbeiter!$F$59),0,IF(Planung!CB61="",$C61,IF(ISNUMBER(Planung!CB61),Planung!CB61,IF(UPPER(Planung!CB61)="H",$C61/2,0)))))))</f>
        <v>0</v>
      </c>
      <c r="CC61" s="27">
        <f>IF($A61="",0,IF(Mitarbeiter!$G$59=FALSE,0,IF(AND(Mitarbeiter!$E$59&lt;&gt;"",CC$5+6&lt;Mitarbeiter!$E$59),0,IF(AND(Mitarbeiter!$F$59&lt;&gt;"",CC$5&gt;Mitarbeiter!$F$59),0,IF(Planung!CC61="",$C61,IF(ISNUMBER(Planung!CC61),Planung!CC61,IF(UPPER(Planung!CC61)="H",$C61/2,0)))))))</f>
        <v>0</v>
      </c>
      <c r="CD61" s="27">
        <f>IF($A61="",0,IF(Mitarbeiter!$G$59=FALSE,0,IF(AND(Mitarbeiter!$E$59&lt;&gt;"",CD$5+6&lt;Mitarbeiter!$E$59),0,IF(AND(Mitarbeiter!$F$59&lt;&gt;"",CD$5&gt;Mitarbeiter!$F$59),0,IF(Planung!CD61="",$C61,IF(ISNUMBER(Planung!CD61),Planung!CD61,IF(UPPER(Planung!CD61)="H",$C61/2,0)))))))</f>
        <v>0</v>
      </c>
      <c r="CE61" s="27">
        <f>IF($A61="",0,IF(Mitarbeiter!$G$59=FALSE,0,IF(AND(Mitarbeiter!$E$59&lt;&gt;"",CE$5+6&lt;Mitarbeiter!$E$59),0,IF(AND(Mitarbeiter!$F$59&lt;&gt;"",CE$5&gt;Mitarbeiter!$F$59),0,IF(Planung!CE61="",$C61,IF(ISNUMBER(Planung!CE61),Planung!CE61,IF(UPPER(Planung!CE61)="H",$C61/2,0)))))))</f>
        <v>0</v>
      </c>
      <c r="CF61" s="27">
        <f>IF($A61="",0,IF(Mitarbeiter!$G$59=FALSE,0,IF(AND(Mitarbeiter!$E$59&lt;&gt;"",CF$5+6&lt;Mitarbeiter!$E$59),0,IF(AND(Mitarbeiter!$F$59&lt;&gt;"",CF$5&gt;Mitarbeiter!$F$59),0,IF(Planung!CF61="",$C61,IF(ISNUMBER(Planung!CF61),Planung!CF61,IF(UPPER(Planung!CF61)="H",$C61/2,0)))))))</f>
        <v>0</v>
      </c>
      <c r="CG61" s="27">
        <f>IF($A61="",0,IF(Mitarbeiter!$G$59=FALSE,0,IF(AND(Mitarbeiter!$E$59&lt;&gt;"",CG$5+6&lt;Mitarbeiter!$E$59),0,IF(AND(Mitarbeiter!$F$59&lt;&gt;"",CG$5&gt;Mitarbeiter!$F$59),0,IF(Planung!CG61="",$C61,IF(ISNUMBER(Planung!CG61),Planung!CG61,IF(UPPER(Planung!CG61)="H",$C61/2,0)))))))</f>
        <v>0</v>
      </c>
      <c r="CH61" s="27">
        <f>IF($A61="",0,IF(Mitarbeiter!$G$59=FALSE,0,IF(AND(Mitarbeiter!$E$59&lt;&gt;"",CH$5+6&lt;Mitarbeiter!$E$59),0,IF(AND(Mitarbeiter!$F$59&lt;&gt;"",CH$5&gt;Mitarbeiter!$F$59),0,IF(Planung!CH61="",$C61,IF(ISNUMBER(Planung!CH61),Planung!CH61,IF(UPPER(Planung!CH61)="H",$C61/2,0)))))))</f>
        <v>0</v>
      </c>
      <c r="CI61" s="27">
        <f>IF($A61="",0,IF(Mitarbeiter!$G$59=FALSE,0,IF(AND(Mitarbeiter!$E$59&lt;&gt;"",CI$5+6&lt;Mitarbeiter!$E$59),0,IF(AND(Mitarbeiter!$F$59&lt;&gt;"",CI$5&gt;Mitarbeiter!$F$59),0,IF(Planung!CI61="",$C61,IF(ISNUMBER(Planung!CI61),Planung!CI61,IF(UPPER(Planung!CI61)="H",$C61/2,0)))))))</f>
        <v>0</v>
      </c>
      <c r="CJ61" s="27">
        <f>IF($A61="",0,IF(Mitarbeiter!$G$59=FALSE,0,IF(AND(Mitarbeiter!$E$59&lt;&gt;"",CJ$5+6&lt;Mitarbeiter!$E$59),0,IF(AND(Mitarbeiter!$F$59&lt;&gt;"",CJ$5&gt;Mitarbeiter!$F$59),0,IF(Planung!CJ61="",$C61,IF(ISNUMBER(Planung!CJ61),Planung!CJ61,IF(UPPER(Planung!CJ61)="H",$C61/2,0)))))))</f>
        <v>0</v>
      </c>
      <c r="CK61" s="27">
        <f>IF($A61="",0,IF(Mitarbeiter!$G$59=FALSE,0,IF(AND(Mitarbeiter!$E$59&lt;&gt;"",CK$5+6&lt;Mitarbeiter!$E$59),0,IF(AND(Mitarbeiter!$F$59&lt;&gt;"",CK$5&gt;Mitarbeiter!$F$59),0,IF(Planung!CK61="",$C61,IF(ISNUMBER(Planung!CK61),Planung!CK61,IF(UPPER(Planung!CK61)="H",$C61/2,0)))))))</f>
        <v>0</v>
      </c>
      <c r="CL61" s="27">
        <f>IF($A61="",0,IF(Mitarbeiter!$G$59=FALSE,0,IF(AND(Mitarbeiter!$E$59&lt;&gt;"",CL$5+6&lt;Mitarbeiter!$E$59),0,IF(AND(Mitarbeiter!$F$59&lt;&gt;"",CL$5&gt;Mitarbeiter!$F$59),0,IF(Planung!CL61="",$C61,IF(ISNUMBER(Planung!CL61),Planung!CL61,IF(UPPER(Planung!CL61)="H",$C61/2,0)))))))</f>
        <v>0</v>
      </c>
      <c r="CM61" s="27">
        <f>IF($A61="",0,IF(Mitarbeiter!$G$59=FALSE,0,IF(AND(Mitarbeiter!$E$59&lt;&gt;"",CM$5+6&lt;Mitarbeiter!$E$59),0,IF(AND(Mitarbeiter!$F$59&lt;&gt;"",CM$5&gt;Mitarbeiter!$F$59),0,IF(Planung!CM61="",$C61,IF(ISNUMBER(Planung!CM61),Planung!CM61,IF(UPPER(Planung!CM61)="H",$C61/2,0)))))))</f>
        <v>0</v>
      </c>
      <c r="CN61" s="27">
        <f>IF($A61="",0,IF(Mitarbeiter!$G$59=FALSE,0,IF(AND(Mitarbeiter!$E$59&lt;&gt;"",CN$5+6&lt;Mitarbeiter!$E$59),0,IF(AND(Mitarbeiter!$F$59&lt;&gt;"",CN$5&gt;Mitarbeiter!$F$59),0,IF(Planung!CN61="",$C61,IF(ISNUMBER(Planung!CN61),Planung!CN61,IF(UPPER(Planung!CN61)="H",$C61/2,0)))))))</f>
        <v>0</v>
      </c>
      <c r="CO61" s="27">
        <f>IF($A61="",0,IF(Mitarbeiter!$G$59=FALSE,0,IF(AND(Mitarbeiter!$E$59&lt;&gt;"",CO$5+6&lt;Mitarbeiter!$E$59),0,IF(AND(Mitarbeiter!$F$59&lt;&gt;"",CO$5&gt;Mitarbeiter!$F$59),0,IF(Planung!CO61="",$C61,IF(ISNUMBER(Planung!CO61),Planung!CO61,IF(UPPER(Planung!CO61)="H",$C61/2,0)))))))</f>
        <v>0</v>
      </c>
      <c r="CP61" s="27">
        <f>IF($A61="",0,IF(Mitarbeiter!$G$59=FALSE,0,IF(AND(Mitarbeiter!$E$59&lt;&gt;"",CP$5+6&lt;Mitarbeiter!$E$59),0,IF(AND(Mitarbeiter!$F$59&lt;&gt;"",CP$5&gt;Mitarbeiter!$F$59),0,IF(Planung!CP61="",$C61,IF(ISNUMBER(Planung!CP61),Planung!CP61,IF(UPPER(Planung!CP61)="H",$C61/2,0)))))))</f>
        <v>0</v>
      </c>
      <c r="CQ61" s="27">
        <f>IF($A61="",0,IF(Mitarbeiter!$G$59=FALSE,0,IF(AND(Mitarbeiter!$E$59&lt;&gt;"",CQ$5+6&lt;Mitarbeiter!$E$59),0,IF(AND(Mitarbeiter!$F$59&lt;&gt;"",CQ$5&gt;Mitarbeiter!$F$59),0,IF(Planung!CQ61="",$C61,IF(ISNUMBER(Planung!CQ61),Planung!CQ61,IF(UPPER(Planung!CQ61)="H",$C61/2,0)))))))</f>
        <v>0</v>
      </c>
      <c r="CR61" s="27">
        <f>IF($A61="",0,IF(Mitarbeiter!$G$59=FALSE,0,IF(AND(Mitarbeiter!$E$59&lt;&gt;"",CR$5+6&lt;Mitarbeiter!$E$59),0,IF(AND(Mitarbeiter!$F$59&lt;&gt;"",CR$5&gt;Mitarbeiter!$F$59),0,IF(Planung!CR61="",$C61,IF(ISNUMBER(Planung!CR61),Planung!CR61,IF(UPPER(Planung!CR61)="H",$C61/2,0)))))))</f>
        <v>0</v>
      </c>
      <c r="CS61" s="27">
        <f>IF($A61="",0,IF(Mitarbeiter!$G$59=FALSE,0,IF(AND(Mitarbeiter!$E$59&lt;&gt;"",CS$5+6&lt;Mitarbeiter!$E$59),0,IF(AND(Mitarbeiter!$F$59&lt;&gt;"",CS$5&gt;Mitarbeiter!$F$59),0,IF(Planung!CS61="",$C61,IF(ISNUMBER(Planung!CS61),Planung!CS61,IF(UPPER(Planung!CS61)="H",$C61/2,0)))))))</f>
        <v>0</v>
      </c>
      <c r="CT61" s="27">
        <f>IF($A61="",0,IF(Mitarbeiter!$G$59=FALSE,0,IF(AND(Mitarbeiter!$E$59&lt;&gt;"",CT$5+6&lt;Mitarbeiter!$E$59),0,IF(AND(Mitarbeiter!$F$59&lt;&gt;"",CT$5&gt;Mitarbeiter!$F$59),0,IF(Planung!CT61="",$C61,IF(ISNUMBER(Planung!CT61),Planung!CT61,IF(UPPER(Planung!CT61)="H",$C61/2,0)))))))</f>
        <v>0</v>
      </c>
      <c r="CU61" s="27">
        <f>IF($A61="",0,IF(Mitarbeiter!$G$59=FALSE,0,IF(AND(Mitarbeiter!$E$59&lt;&gt;"",CU$5+6&lt;Mitarbeiter!$E$59),0,IF(AND(Mitarbeiter!$F$59&lt;&gt;"",CU$5&gt;Mitarbeiter!$F$59),0,IF(Planung!CU61="",$C61,IF(ISNUMBER(Planung!CU61),Planung!CU61,IF(UPPER(Planung!CU61)="H",$C61/2,0)))))))</f>
        <v>0</v>
      </c>
      <c r="CV61" s="27">
        <f>IF($A61="",0,IF(Mitarbeiter!$G$59=FALSE,0,IF(AND(Mitarbeiter!$E$59&lt;&gt;"",CV$5+6&lt;Mitarbeiter!$E$59),0,IF(AND(Mitarbeiter!$F$59&lt;&gt;"",CV$5&gt;Mitarbeiter!$F$59),0,IF(Planung!CV61="",$C61,IF(ISNUMBER(Planung!CV61),Planung!CV61,IF(UPPER(Planung!CV61)="H",$C61/2,0)))))))</f>
        <v>0</v>
      </c>
      <c r="CW61" s="27">
        <f>IF($A61="",0,IF(Mitarbeiter!$G$59=FALSE,0,IF(AND(Mitarbeiter!$E$59&lt;&gt;"",CW$5+6&lt;Mitarbeiter!$E$59),0,IF(AND(Mitarbeiter!$F$59&lt;&gt;"",CW$5&gt;Mitarbeiter!$F$59),0,IF(Planung!CW61="",$C61,IF(ISNUMBER(Planung!CW61),Planung!CW61,IF(UPPER(Planung!CW61)="H",$C61/2,0)))))))</f>
        <v>0</v>
      </c>
      <c r="CX61" s="27">
        <f>IF($A61="",0,IF(Mitarbeiter!$G$59=FALSE,0,IF(AND(Mitarbeiter!$E$59&lt;&gt;"",CX$5+6&lt;Mitarbeiter!$E$59),0,IF(AND(Mitarbeiter!$F$59&lt;&gt;"",CX$5&gt;Mitarbeiter!$F$59),0,IF(Planung!CX61="",$C61,IF(ISNUMBER(Planung!CX61),Planung!CX61,IF(UPPER(Planung!CX61)="H",$C61/2,0)))))))</f>
        <v>0</v>
      </c>
      <c r="CY61" s="27">
        <f>IF($A61="",0,IF(Mitarbeiter!$G$59=FALSE,0,IF(AND(Mitarbeiter!$E$59&lt;&gt;"",CY$5+6&lt;Mitarbeiter!$E$59),0,IF(AND(Mitarbeiter!$F$59&lt;&gt;"",CY$5&gt;Mitarbeiter!$F$59),0,IF(Planung!CY61="",$C61,IF(ISNUMBER(Planung!CY61),Planung!CY61,IF(UPPER(Planung!CY61)="H",$C61/2,0)))))))</f>
        <v>0</v>
      </c>
      <c r="CZ61" s="27">
        <f>IF($A61="",0,IF(Mitarbeiter!$G$59=FALSE,0,IF(AND(Mitarbeiter!$E$59&lt;&gt;"",CZ$5+6&lt;Mitarbeiter!$E$59),0,IF(AND(Mitarbeiter!$F$59&lt;&gt;"",CZ$5&gt;Mitarbeiter!$F$59),0,IF(Planung!CZ61="",$C61,IF(ISNUMBER(Planung!CZ61),Planung!CZ61,IF(UPPER(Planung!CZ61)="H",$C61/2,0)))))))</f>
        <v>0</v>
      </c>
      <c r="DA61" s="27">
        <f>IF($A61="",0,IF(Mitarbeiter!$G$59=FALSE,0,IF(AND(Mitarbeiter!$E$59&lt;&gt;"",DA$5+6&lt;Mitarbeiter!$E$59),0,IF(AND(Mitarbeiter!$F$59&lt;&gt;"",DA$5&gt;Mitarbeiter!$F$59),0,IF(Planung!DA61="",$C61,IF(ISNUMBER(Planung!DA61),Planung!DA61,IF(UPPER(Planung!DA61)="H",$C61/2,0)))))))</f>
        <v>0</v>
      </c>
      <c r="DB61" s="27">
        <f>IF($A61="",0,IF(Mitarbeiter!$G$59=FALSE,0,IF(AND(Mitarbeiter!$E$59&lt;&gt;"",DB$5+6&lt;Mitarbeiter!$E$59),0,IF(AND(Mitarbeiter!$F$59&lt;&gt;"",DB$5&gt;Mitarbeiter!$F$59),0,IF(Planung!DB61="",$C61,IF(ISNUMBER(Planung!DB61),Planung!DB61,IF(UPPER(Planung!DB61)="H",$C61/2,0)))))))</f>
        <v>0</v>
      </c>
      <c r="DC61" s="27">
        <f>IF($A61="",0,IF(Mitarbeiter!$G$59=FALSE,0,IF(AND(Mitarbeiter!$E$59&lt;&gt;"",DC$5+6&lt;Mitarbeiter!$E$59),0,IF(AND(Mitarbeiter!$F$59&lt;&gt;"",DC$5&gt;Mitarbeiter!$F$59),0,IF(Planung!DC61="",$C61,IF(ISNUMBER(Planung!DC61),Planung!DC61,IF(UPPER(Planung!DC61)="H",$C61/2,0)))))))</f>
        <v>0</v>
      </c>
      <c r="DD61" s="27">
        <f>IF($A61="",0,IF(Mitarbeiter!$G$59=FALSE,0,IF(AND(Mitarbeiter!$E$59&lt;&gt;"",DD$5+6&lt;Mitarbeiter!$E$59),0,IF(AND(Mitarbeiter!$F$59&lt;&gt;"",DD$5&gt;Mitarbeiter!$F$59),0,IF(Planung!DD61="",$C61,IF(ISNUMBER(Planung!DD61),Planung!DD61,IF(UPPER(Planung!DD61)="H",$C61/2,0)))))))</f>
        <v>0</v>
      </c>
      <c r="DE61" s="27">
        <f>IF($A61="",0,IF(Mitarbeiter!$G$59=FALSE,0,IF(AND(Mitarbeiter!$E$59&lt;&gt;"",DE$5+6&lt;Mitarbeiter!$E$59),0,IF(AND(Mitarbeiter!$F$59&lt;&gt;"",DE$5&gt;Mitarbeiter!$F$59),0,IF(Planung!DE61="",$C61,IF(ISNUMBER(Planung!DE61),Planung!DE61,IF(UPPER(Planung!DE61)="H",$C61/2,0)))))))</f>
        <v>0</v>
      </c>
      <c r="DF61" s="27">
        <f>IF($A61="",0,IF(Mitarbeiter!$G$59=FALSE,0,IF(AND(Mitarbeiter!$E$59&lt;&gt;"",DF$5+6&lt;Mitarbeiter!$E$59),0,IF(AND(Mitarbeiter!$F$59&lt;&gt;"",DF$5&gt;Mitarbeiter!$F$59),0,IF(Planung!DF61="",$C61,IF(ISNUMBER(Planung!DF61),Planung!DF61,IF(UPPER(Planung!DF61)="H",$C61/2,0)))))))</f>
        <v>0</v>
      </c>
      <c r="DG61" s="27">
        <f>IF($A61="",0,IF(Mitarbeiter!$G$59=FALSE,0,IF(AND(Mitarbeiter!$E$59&lt;&gt;"",DG$5+6&lt;Mitarbeiter!$E$59),0,IF(AND(Mitarbeiter!$F$59&lt;&gt;"",DG$5&gt;Mitarbeiter!$F$59),0,IF(Planung!DG61="",$C61,IF(ISNUMBER(Planung!DG61),Planung!DG61,IF(UPPER(Planung!DG61)="H",$C61/2,0)))))))</f>
        <v>0</v>
      </c>
      <c r="DH61" s="27">
        <f>IF($A61="",0,IF(Mitarbeiter!$G$59=FALSE,0,IF(AND(Mitarbeiter!$E$59&lt;&gt;"",DH$5+6&lt;Mitarbeiter!$E$59),0,IF(AND(Mitarbeiter!$F$59&lt;&gt;"",DH$5&gt;Mitarbeiter!$F$59),0,IF(Planung!DH61="",$C61,IF(ISNUMBER(Planung!DH61),Planung!DH61,IF(UPPER(Planung!DH61)="H",$C61/2,0)))))))</f>
        <v>0</v>
      </c>
      <c r="DI61" s="27">
        <f>IF($A61="",0,IF(Mitarbeiter!$G$59=FALSE,0,IF(AND(Mitarbeiter!$E$59&lt;&gt;"",DI$5+6&lt;Mitarbeiter!$E$59),0,IF(AND(Mitarbeiter!$F$59&lt;&gt;"",DI$5&gt;Mitarbeiter!$F$59),0,IF(Planung!DI61="",$C61,IF(ISNUMBER(Planung!DI61),Planung!DI61,IF(UPPER(Planung!DI61)="H",$C61/2,0)))))))</f>
        <v>0</v>
      </c>
      <c r="DJ61" s="27">
        <f>IF($A61="",0,IF(Mitarbeiter!$G$59=FALSE,0,IF(AND(Mitarbeiter!$E$59&lt;&gt;"",DJ$5+6&lt;Mitarbeiter!$E$59),0,IF(AND(Mitarbeiter!$F$59&lt;&gt;"",DJ$5&gt;Mitarbeiter!$F$59),0,IF(Planung!DJ61="",$C61,IF(ISNUMBER(Planung!DJ61),Planung!DJ61,IF(UPPER(Planung!DJ61)="H",$C61/2,0)))))))</f>
        <v>0</v>
      </c>
      <c r="DK61" s="27">
        <f>IF($A61="",0,IF(Mitarbeiter!$G$59=FALSE,0,IF(AND(Mitarbeiter!$E$59&lt;&gt;"",DK$5+6&lt;Mitarbeiter!$E$59),0,IF(AND(Mitarbeiter!$F$59&lt;&gt;"",DK$5&gt;Mitarbeiter!$F$59),0,IF(Planung!DK61="",$C61,IF(ISNUMBER(Planung!DK61),Planung!DK61,IF(UPPER(Planung!DK61)="H",$C61/2,0)))))))</f>
        <v>0</v>
      </c>
      <c r="DL61" s="27">
        <f>IF($A61="",0,IF(Mitarbeiter!$G$59=FALSE,0,IF(AND(Mitarbeiter!$E$59&lt;&gt;"",DL$5+6&lt;Mitarbeiter!$E$59),0,IF(AND(Mitarbeiter!$F$59&lt;&gt;"",DL$5&gt;Mitarbeiter!$F$59),0,IF(Planung!DL61="",$C61,IF(ISNUMBER(Planung!DL61),Planung!DL61,IF(UPPER(Planung!DL61)="H",$C61/2,0)))))))</f>
        <v>0</v>
      </c>
      <c r="DM61" s="27">
        <f>IF($A61="",0,IF(Mitarbeiter!$G$59=FALSE,0,IF(AND(Mitarbeiter!$E$59&lt;&gt;"",DM$5+6&lt;Mitarbeiter!$E$59),0,IF(AND(Mitarbeiter!$F$59&lt;&gt;"",DM$5&gt;Mitarbeiter!$F$59),0,IF(Planung!DM61="",$C61,IF(ISNUMBER(Planung!DM61),Planung!DM61,IF(UPPER(Planung!DM61)="H",$C61/2,0)))))))</f>
        <v>0</v>
      </c>
      <c r="DN61" s="27">
        <f>IF($A61="",0,IF(Mitarbeiter!$G$59=FALSE,0,IF(AND(Mitarbeiter!$E$59&lt;&gt;"",DN$5+6&lt;Mitarbeiter!$E$59),0,IF(AND(Mitarbeiter!$F$59&lt;&gt;"",DN$5&gt;Mitarbeiter!$F$59),0,IF(Planung!DN61="",$C61,IF(ISNUMBER(Planung!DN61),Planung!DN61,IF(UPPER(Planung!DN61)="H",$C61/2,0)))))))</f>
        <v>0</v>
      </c>
      <c r="DO61" s="27">
        <f>IF($A61="",0,IF(Mitarbeiter!$G$59=FALSE,0,IF(AND(Mitarbeiter!$E$59&lt;&gt;"",DO$5+6&lt;Mitarbeiter!$E$59),0,IF(AND(Mitarbeiter!$F$59&lt;&gt;"",DO$5&gt;Mitarbeiter!$F$59),0,IF(Planung!DO61="",$C61,IF(ISNUMBER(Planung!DO61),Planung!DO61,IF(UPPER(Planung!DO61)="H",$C61/2,0)))))))</f>
        <v>0</v>
      </c>
      <c r="DP61" s="27">
        <f>IF($A61="",0,IF(Mitarbeiter!$G$59=FALSE,0,IF(AND(Mitarbeiter!$E$59&lt;&gt;"",DP$5+6&lt;Mitarbeiter!$E$59),0,IF(AND(Mitarbeiter!$F$59&lt;&gt;"",DP$5&gt;Mitarbeiter!$F$59),0,IF(Planung!DP61="",$C61,IF(ISNUMBER(Planung!DP61),Planung!DP61,IF(UPPER(Planung!DP61)="H",$C61/2,0)))))))</f>
        <v>0</v>
      </c>
      <c r="DQ61" s="27">
        <f>IF($A61="",0,IF(Mitarbeiter!$G$59=FALSE,0,IF(AND(Mitarbeiter!$E$59&lt;&gt;"",DQ$5+6&lt;Mitarbeiter!$E$59),0,IF(AND(Mitarbeiter!$F$59&lt;&gt;"",DQ$5&gt;Mitarbeiter!$F$59),0,IF(Planung!DQ61="",$C61,IF(ISNUMBER(Planung!DQ61),Planung!DQ61,IF(UPPER(Planung!DQ61)="H",$C61/2,0)))))))</f>
        <v>0</v>
      </c>
      <c r="DR61" s="27">
        <f>IF($A61="",0,IF(Mitarbeiter!$G$59=FALSE,0,IF(AND(Mitarbeiter!$E$59&lt;&gt;"",DR$5+6&lt;Mitarbeiter!$E$59),0,IF(AND(Mitarbeiter!$F$59&lt;&gt;"",DR$5&gt;Mitarbeiter!$F$59),0,IF(Planung!DR61="",$C61,IF(ISNUMBER(Planung!DR61),Planung!DR61,IF(UPPER(Planung!DR61)="H",$C61/2,0)))))))</f>
        <v>0</v>
      </c>
      <c r="DS61" s="27">
        <f>IF($A61="",0,IF(Mitarbeiter!$G$59=FALSE,0,IF(AND(Mitarbeiter!$E$59&lt;&gt;"",DS$5+6&lt;Mitarbeiter!$E$59),0,IF(AND(Mitarbeiter!$F$59&lt;&gt;"",DS$5&gt;Mitarbeiter!$F$59),0,IF(Planung!DS61="",$C61,IF(ISNUMBER(Planung!DS61),Planung!DS61,IF(UPPER(Planung!DS61)="H",$C61/2,0)))))))</f>
        <v>0</v>
      </c>
      <c r="DT61" s="27">
        <f>IF($A61="",0,IF(Mitarbeiter!$G$59=FALSE,0,IF(AND(Mitarbeiter!$E$59&lt;&gt;"",DT$5+6&lt;Mitarbeiter!$E$59),0,IF(AND(Mitarbeiter!$F$59&lt;&gt;"",DT$5&gt;Mitarbeiter!$F$59),0,IF(Planung!DT61="",$C61,IF(ISNUMBER(Planung!DT61),Planung!DT61,IF(UPPER(Planung!DT61)="H",$C61/2,0)))))))</f>
        <v>0</v>
      </c>
      <c r="DU61" s="27">
        <f>IF($A61="",0,IF(Mitarbeiter!$G$59=FALSE,0,IF(AND(Mitarbeiter!$E$59&lt;&gt;"",DU$5+6&lt;Mitarbeiter!$E$59),0,IF(AND(Mitarbeiter!$F$59&lt;&gt;"",DU$5&gt;Mitarbeiter!$F$59),0,IF(Planung!DU61="",$C61,IF(ISNUMBER(Planung!DU61),Planung!DU61,IF(UPPER(Planung!DU61)="H",$C61/2,0)))))))</f>
        <v>0</v>
      </c>
      <c r="DV61" s="27">
        <f>IF($A61="",0,IF(Mitarbeiter!$G$59=FALSE,0,IF(AND(Mitarbeiter!$E$59&lt;&gt;"",DV$5+6&lt;Mitarbeiter!$E$59),0,IF(AND(Mitarbeiter!$F$59&lt;&gt;"",DV$5&gt;Mitarbeiter!$F$59),0,IF(Planung!DV61="",$C61,IF(ISNUMBER(Planung!DV61),Planung!DV61,IF(UPPER(Planung!DV61)="H",$C61/2,0)))))))</f>
        <v>0</v>
      </c>
      <c r="DW61" s="27">
        <f>IF($A61="",0,IF(Mitarbeiter!$G$59=FALSE,0,IF(AND(Mitarbeiter!$E$59&lt;&gt;"",DW$5+6&lt;Mitarbeiter!$E$59),0,IF(AND(Mitarbeiter!$F$59&lt;&gt;"",DW$5&gt;Mitarbeiter!$F$59),0,IF(Planung!DW61="",$C61,IF(ISNUMBER(Planung!DW61),Planung!DW61,IF(UPPER(Planung!DW61)="H",$C61/2,0)))))))</f>
        <v>0</v>
      </c>
      <c r="DX61" s="27">
        <f>IF($A61="",0,IF(Mitarbeiter!$G$59=FALSE,0,IF(AND(Mitarbeiter!$E$59&lt;&gt;"",DX$5+6&lt;Mitarbeiter!$E$59),0,IF(AND(Mitarbeiter!$F$59&lt;&gt;"",DX$5&gt;Mitarbeiter!$F$59),0,IF(Planung!DX61="",$C61,IF(ISNUMBER(Planung!DX61),Planung!DX61,IF(UPPER(Planung!DX61)="H",$C61/2,0)))))))</f>
        <v>0</v>
      </c>
      <c r="DY61" s="27">
        <f>IF($A61="",0,IF(Mitarbeiter!$G$59=FALSE,0,IF(AND(Mitarbeiter!$E$59&lt;&gt;"",DY$5+6&lt;Mitarbeiter!$E$59),0,IF(AND(Mitarbeiter!$F$59&lt;&gt;"",DY$5&gt;Mitarbeiter!$F$59),0,IF(Planung!DY61="",$C61,IF(ISNUMBER(Planung!DY61),Planung!DY61,IF(UPPER(Planung!DY61)="H",$C61/2,0)))))))</f>
        <v>0</v>
      </c>
      <c r="DZ61" s="27">
        <f>IF($A61="",0,IF(Mitarbeiter!$G$59=FALSE,0,IF(AND(Mitarbeiter!$E$59&lt;&gt;"",DZ$5+6&lt;Mitarbeiter!$E$59),0,IF(AND(Mitarbeiter!$F$59&lt;&gt;"",DZ$5&gt;Mitarbeiter!$F$59),0,IF(Planung!DZ61="",$C61,IF(ISNUMBER(Planung!DZ61),Planung!DZ61,IF(UPPER(Planung!DZ61)="H",$C61/2,0)))))))</f>
        <v>0</v>
      </c>
      <c r="EA61" s="27">
        <f>IF($A61="",0,IF(Mitarbeiter!$G$59=FALSE,0,IF(AND(Mitarbeiter!$E$59&lt;&gt;"",EA$5+6&lt;Mitarbeiter!$E$59),0,IF(AND(Mitarbeiter!$F$59&lt;&gt;"",EA$5&gt;Mitarbeiter!$F$59),0,IF(Planung!EA61="",$C61,IF(ISNUMBER(Planung!EA61),Planung!EA61,IF(UPPER(Planung!EA61)="H",$C61/2,0)))))))</f>
        <v>0</v>
      </c>
      <c r="EB61" s="27">
        <f>IF($A61="",0,IF(Mitarbeiter!$G$59=FALSE,0,IF(AND(Mitarbeiter!$E$59&lt;&gt;"",EB$5+6&lt;Mitarbeiter!$E$59),0,IF(AND(Mitarbeiter!$F$59&lt;&gt;"",EB$5&gt;Mitarbeiter!$F$59),0,IF(Planung!EB61="",$C61,IF(ISNUMBER(Planung!EB61),Planung!EB61,IF(UPPER(Planung!EB61)="H",$C61/2,0)))))))</f>
        <v>0</v>
      </c>
      <c r="EC61" s="27">
        <f>IF($A61="",0,IF(Mitarbeiter!$G$59=FALSE,0,IF(AND(Mitarbeiter!$E$59&lt;&gt;"",EC$5+6&lt;Mitarbeiter!$E$59),0,IF(AND(Mitarbeiter!$F$59&lt;&gt;"",EC$5&gt;Mitarbeiter!$F$59),0,IF(Planung!EC61="",$C61,IF(ISNUMBER(Planung!EC61),Planung!EC61,IF(UPPER(Planung!EC61)="H",$C61/2,0)))))))</f>
        <v>0</v>
      </c>
      <c r="ED61" s="27">
        <f>IF($A61="",0,IF(Mitarbeiter!$G$59=FALSE,0,IF(AND(Mitarbeiter!$E$59&lt;&gt;"",ED$5+6&lt;Mitarbeiter!$E$59),0,IF(AND(Mitarbeiter!$F$59&lt;&gt;"",ED$5&gt;Mitarbeiter!$F$59),0,IF(Planung!ED61="",$C61,IF(ISNUMBER(Planung!ED61),Planung!ED61,IF(UPPER(Planung!ED61)="H",$C61/2,0)))))))</f>
        <v>0</v>
      </c>
      <c r="EE61" s="27">
        <f>IF($A61="",0,IF(Mitarbeiter!$G$59=FALSE,0,IF(AND(Mitarbeiter!$E$59&lt;&gt;"",EE$5+6&lt;Mitarbeiter!$E$59),0,IF(AND(Mitarbeiter!$F$59&lt;&gt;"",EE$5&gt;Mitarbeiter!$F$59),0,IF(Planung!EE61="",$C61,IF(ISNUMBER(Planung!EE61),Planung!EE61,IF(UPPER(Planung!EE61)="H",$C61/2,0)))))))</f>
        <v>0</v>
      </c>
      <c r="EF61" s="27">
        <f>IF($A61="",0,IF(Mitarbeiter!$G$59=FALSE,0,IF(AND(Mitarbeiter!$E$59&lt;&gt;"",EF$5+6&lt;Mitarbeiter!$E$59),0,IF(AND(Mitarbeiter!$F$59&lt;&gt;"",EF$5&gt;Mitarbeiter!$F$59),0,IF(Planung!EF61="",$C61,IF(ISNUMBER(Planung!EF61),Planung!EF61,IF(UPPER(Planung!EF61)="H",$C61/2,0)))))))</f>
        <v>0</v>
      </c>
      <c r="EG61" s="27">
        <f>IF($A61="",0,IF(Mitarbeiter!$G$59=FALSE,0,IF(AND(Mitarbeiter!$E$59&lt;&gt;"",EG$5+6&lt;Mitarbeiter!$E$59),0,IF(AND(Mitarbeiter!$F$59&lt;&gt;"",EG$5&gt;Mitarbeiter!$F$59),0,IF(Planung!EG61="",$C61,IF(ISNUMBER(Planung!EG61),Planung!EG61,IF(UPPER(Planung!EG61)="H",$C61/2,0)))))))</f>
        <v>0</v>
      </c>
      <c r="EH61" s="27">
        <f>IF($A61="",0,IF(Mitarbeiter!$G$59=FALSE,0,IF(AND(Mitarbeiter!$E$59&lt;&gt;"",EH$5+6&lt;Mitarbeiter!$E$59),0,IF(AND(Mitarbeiter!$F$59&lt;&gt;"",EH$5&gt;Mitarbeiter!$F$59),0,IF(Planung!EH61="",$C61,IF(ISNUMBER(Planung!EH61),Planung!EH61,IF(UPPER(Planung!EH61)="H",$C61/2,0)))))))</f>
        <v>0</v>
      </c>
      <c r="EI61" s="27">
        <f>IF($A61="",0,IF(Mitarbeiter!$G$59=FALSE,0,IF(AND(Mitarbeiter!$E$59&lt;&gt;"",EI$5+6&lt;Mitarbeiter!$E$59),0,IF(AND(Mitarbeiter!$F$59&lt;&gt;"",EI$5&gt;Mitarbeiter!$F$59),0,IF(Planung!EI61="",$C61,IF(ISNUMBER(Planung!EI61),Planung!EI61,IF(UPPER(Planung!EI61)="H",$C61/2,0)))))))</f>
        <v>0</v>
      </c>
      <c r="EJ61" s="27">
        <f>IF($A61="",0,IF(Mitarbeiter!$G$59=FALSE,0,IF(AND(Mitarbeiter!$E$59&lt;&gt;"",EJ$5+6&lt;Mitarbeiter!$E$59),0,IF(AND(Mitarbeiter!$F$59&lt;&gt;"",EJ$5&gt;Mitarbeiter!$F$59),0,IF(Planung!EJ61="",$C61,IF(ISNUMBER(Planung!EJ61),Planung!EJ61,IF(UPPER(Planung!EJ61)="H",$C61/2,0)))))))</f>
        <v>0</v>
      </c>
      <c r="EK61" s="27">
        <f>IF($A61="",0,IF(Mitarbeiter!$G$59=FALSE,0,IF(AND(Mitarbeiter!$E$59&lt;&gt;"",EK$5+6&lt;Mitarbeiter!$E$59),0,IF(AND(Mitarbeiter!$F$59&lt;&gt;"",EK$5&gt;Mitarbeiter!$F$59),0,IF(Planung!EK61="",$C61,IF(ISNUMBER(Planung!EK61),Planung!EK61,IF(UPPER(Planung!EK61)="H",$C61/2,0)))))))</f>
        <v>0</v>
      </c>
      <c r="EL61" s="27">
        <f>IF($A61="",0,IF(Mitarbeiter!$G$59=FALSE,0,IF(AND(Mitarbeiter!$E$59&lt;&gt;"",EL$5+6&lt;Mitarbeiter!$E$59),0,IF(AND(Mitarbeiter!$F$59&lt;&gt;"",EL$5&gt;Mitarbeiter!$F$59),0,IF(Planung!EL61="",$C61,IF(ISNUMBER(Planung!EL61),Planung!EL61,IF(UPPER(Planung!EL61)="H",$C61/2,0)))))))</f>
        <v>0</v>
      </c>
      <c r="EM61" s="27">
        <f>IF($A61="",0,IF(Mitarbeiter!$G$59=FALSE,0,IF(AND(Mitarbeiter!$E$59&lt;&gt;"",EM$5+6&lt;Mitarbeiter!$E$59),0,IF(AND(Mitarbeiter!$F$59&lt;&gt;"",EM$5&gt;Mitarbeiter!$F$59),0,IF(Planung!EM61="",$C61,IF(ISNUMBER(Planung!EM61),Planung!EM61,IF(UPPER(Planung!EM61)="H",$C61/2,0)))))))</f>
        <v>0</v>
      </c>
      <c r="EN61" s="27">
        <f>IF($A61="",0,IF(Mitarbeiter!$G$59=FALSE,0,IF(AND(Mitarbeiter!$E$59&lt;&gt;"",EN$5+6&lt;Mitarbeiter!$E$59),0,IF(AND(Mitarbeiter!$F$59&lt;&gt;"",EN$5&gt;Mitarbeiter!$F$59),0,IF(Planung!EN61="",$C61,IF(ISNUMBER(Planung!EN61),Planung!EN61,IF(UPPER(Planung!EN61)="H",$C61/2,0)))))))</f>
        <v>0</v>
      </c>
      <c r="EO61" s="27">
        <f>IF($A61="",0,IF(Mitarbeiter!$G$59=FALSE,0,IF(AND(Mitarbeiter!$E$59&lt;&gt;"",EO$5+6&lt;Mitarbeiter!$E$59),0,IF(AND(Mitarbeiter!$F$59&lt;&gt;"",EO$5&gt;Mitarbeiter!$F$59),0,IF(Planung!EO61="",$C61,IF(ISNUMBER(Planung!EO61),Planung!EO61,IF(UPPER(Planung!EO61)="H",$C61/2,0)))))))</f>
        <v>0</v>
      </c>
      <c r="EP61" s="27">
        <f>IF($A61="",0,IF(Mitarbeiter!$G$59=FALSE,0,IF(AND(Mitarbeiter!$E$59&lt;&gt;"",EP$5+6&lt;Mitarbeiter!$E$59),0,IF(AND(Mitarbeiter!$F$59&lt;&gt;"",EP$5&gt;Mitarbeiter!$F$59),0,IF(Planung!EP61="",$C61,IF(ISNUMBER(Planung!EP61),Planung!EP61,IF(UPPER(Planung!EP61)="H",$C61/2,0)))))))</f>
        <v>0</v>
      </c>
      <c r="EQ61" s="27">
        <f>IF($A61="",0,IF(Mitarbeiter!$G$59=FALSE,0,IF(AND(Mitarbeiter!$E$59&lt;&gt;"",EQ$5+6&lt;Mitarbeiter!$E$59),0,IF(AND(Mitarbeiter!$F$59&lt;&gt;"",EQ$5&gt;Mitarbeiter!$F$59),0,IF(Planung!EQ61="",$C61,IF(ISNUMBER(Planung!EQ61),Planung!EQ61,IF(UPPER(Planung!EQ61)="H",$C61/2,0)))))))</f>
        <v>0</v>
      </c>
      <c r="ER61" s="27">
        <f>IF($A61="",0,IF(Mitarbeiter!$G$59=FALSE,0,IF(AND(Mitarbeiter!$E$59&lt;&gt;"",ER$5+6&lt;Mitarbeiter!$E$59),0,IF(AND(Mitarbeiter!$F$59&lt;&gt;"",ER$5&gt;Mitarbeiter!$F$59),0,IF(Planung!ER61="",$C61,IF(ISNUMBER(Planung!ER61),Planung!ER61,IF(UPPER(Planung!ER61)="H",$C61/2,0)))))))</f>
        <v>0</v>
      </c>
      <c r="ES61" s="27">
        <f>IF($A61="",0,IF(Mitarbeiter!$G$59=FALSE,0,IF(AND(Mitarbeiter!$E$59&lt;&gt;"",ES$5+6&lt;Mitarbeiter!$E$59),0,IF(AND(Mitarbeiter!$F$59&lt;&gt;"",ES$5&gt;Mitarbeiter!$F$59),0,IF(Planung!ES61="",$C61,IF(ISNUMBER(Planung!ES61),Planung!ES61,IF(UPPER(Planung!ES61)="H",$C61/2,0)))))))</f>
        <v>0</v>
      </c>
      <c r="ET61" s="27">
        <f>IF($A61="",0,IF(Mitarbeiter!$G$59=FALSE,0,IF(AND(Mitarbeiter!$E$59&lt;&gt;"",ET$5+6&lt;Mitarbeiter!$E$59),0,IF(AND(Mitarbeiter!$F$59&lt;&gt;"",ET$5&gt;Mitarbeiter!$F$59),0,IF(Planung!ET61="",$C61,IF(ISNUMBER(Planung!ET61),Planung!ET61,IF(UPPER(Planung!ET61)="H",$C61/2,0)))))))</f>
        <v>0</v>
      </c>
      <c r="EU61" s="27">
        <f>IF($A61="",0,IF(Mitarbeiter!$G$59=FALSE,0,IF(AND(Mitarbeiter!$E$59&lt;&gt;"",EU$5+6&lt;Mitarbeiter!$E$59),0,IF(AND(Mitarbeiter!$F$59&lt;&gt;"",EU$5&gt;Mitarbeiter!$F$59),0,IF(Planung!EU61="",$C61,IF(ISNUMBER(Planung!EU61),Planung!EU61,IF(UPPER(Planung!EU61)="H",$C61/2,0)))))))</f>
        <v>0</v>
      </c>
      <c r="EV61" s="27">
        <f>IF($A61="",0,IF(Mitarbeiter!$G$59=FALSE,0,IF(AND(Mitarbeiter!$E$59&lt;&gt;"",EV$5+6&lt;Mitarbeiter!$E$59),0,IF(AND(Mitarbeiter!$F$59&lt;&gt;"",EV$5&gt;Mitarbeiter!$F$59),0,IF(Planung!EV61="",$C61,IF(ISNUMBER(Planung!EV61),Planung!EV61,IF(UPPER(Planung!EV61)="H",$C61/2,0)))))))</f>
        <v>0</v>
      </c>
      <c r="EW61" s="27">
        <f>IF($A61="",0,IF(Mitarbeiter!$G$59=FALSE,0,IF(AND(Mitarbeiter!$E$59&lt;&gt;"",EW$5+6&lt;Mitarbeiter!$E$59),0,IF(AND(Mitarbeiter!$F$59&lt;&gt;"",EW$5&gt;Mitarbeiter!$F$59),0,IF(Planung!EW61="",$C61,IF(ISNUMBER(Planung!EW61),Planung!EW61,IF(UPPER(Planung!EW61)="H",$C61/2,0)))))))</f>
        <v>0</v>
      </c>
      <c r="EX61" s="27">
        <f>IF($A61="",0,IF(Mitarbeiter!$G$59=FALSE,0,IF(AND(Mitarbeiter!$E$59&lt;&gt;"",EX$5+6&lt;Mitarbeiter!$E$59),0,IF(AND(Mitarbeiter!$F$59&lt;&gt;"",EX$5&gt;Mitarbeiter!$F$59),0,IF(Planung!EX61="",$C61,IF(ISNUMBER(Planung!EX61),Planung!EX61,IF(UPPER(Planung!EX61)="H",$C61/2,0)))))))</f>
        <v>0</v>
      </c>
      <c r="EY61" s="27">
        <f>IF($A61="",0,IF(Mitarbeiter!$G$59=FALSE,0,IF(AND(Mitarbeiter!$E$59&lt;&gt;"",EY$5+6&lt;Mitarbeiter!$E$59),0,IF(AND(Mitarbeiter!$F$59&lt;&gt;"",EY$5&gt;Mitarbeiter!$F$59),0,IF(Planung!EY61="",$C61,IF(ISNUMBER(Planung!EY61),Planung!EY61,IF(UPPER(Planung!EY61)="H",$C61/2,0)))))))</f>
        <v>0</v>
      </c>
      <c r="EZ61" s="27">
        <f>IF($A61="",0,IF(Mitarbeiter!$G$59=FALSE,0,IF(AND(Mitarbeiter!$E$59&lt;&gt;"",EZ$5+6&lt;Mitarbeiter!$E$59),0,IF(AND(Mitarbeiter!$F$59&lt;&gt;"",EZ$5&gt;Mitarbeiter!$F$59),0,IF(Planung!EZ61="",$C61,IF(ISNUMBER(Planung!EZ61),Planung!EZ61,IF(UPPER(Planung!EZ61)="H",$C61/2,0)))))))</f>
        <v>0</v>
      </c>
      <c r="FA61" s="27">
        <f>IF($A61="",0,IF(Mitarbeiter!$G$59=FALSE,0,IF(AND(Mitarbeiter!$E$59&lt;&gt;"",FA$5+6&lt;Mitarbeiter!$E$59),0,IF(AND(Mitarbeiter!$F$59&lt;&gt;"",FA$5&gt;Mitarbeiter!$F$59),0,IF(Planung!FA61="",$C61,IF(ISNUMBER(Planung!FA61),Planung!FA61,IF(UPPER(Planung!FA61)="H",$C61/2,0)))))))</f>
        <v>0</v>
      </c>
      <c r="FB61" s="27">
        <f>IF($A61="",0,IF(Mitarbeiter!$G$59=FALSE,0,IF(AND(Mitarbeiter!$E$59&lt;&gt;"",FB$5+6&lt;Mitarbeiter!$E$59),0,IF(AND(Mitarbeiter!$F$59&lt;&gt;"",FB$5&gt;Mitarbeiter!$F$59),0,IF(Planung!FB61="",$C61,IF(ISNUMBER(Planung!FB61),Planung!FB61,IF(UPPER(Planung!FB61)="H",$C61/2,0)))))))</f>
        <v>0</v>
      </c>
      <c r="FC61" s="27">
        <f>IF($A61="",0,IF(Mitarbeiter!$G$59=FALSE,0,IF(AND(Mitarbeiter!$E$59&lt;&gt;"",FC$5+6&lt;Mitarbeiter!$E$59),0,IF(AND(Mitarbeiter!$F$59&lt;&gt;"",FC$5&gt;Mitarbeiter!$F$59),0,IF(Planung!FC61="",$C61,IF(ISNUMBER(Planung!FC61),Planung!FC61,IF(UPPER(Planung!FC61)="H",$C61/2,0)))))))</f>
        <v>0</v>
      </c>
      <c r="FD61" s="27">
        <f>IF($A61="",0,IF(Mitarbeiter!$G$59=FALSE,0,IF(AND(Mitarbeiter!$E$59&lt;&gt;"",FD$5+6&lt;Mitarbeiter!$E$59),0,IF(AND(Mitarbeiter!$F$59&lt;&gt;"",FD$5&gt;Mitarbeiter!$F$59),0,IF(Planung!FD61="",$C61,IF(ISNUMBER(Planung!FD61),Planung!FD61,IF(UPPER(Planung!FD61)="H",$C61/2,0)))))))</f>
        <v>0</v>
      </c>
      <c r="FE61" s="27">
        <f>IF($A61="",0,IF(Mitarbeiter!$G$59=FALSE,0,IF(AND(Mitarbeiter!$E$59&lt;&gt;"",FE$5+6&lt;Mitarbeiter!$E$59),0,IF(AND(Mitarbeiter!$F$59&lt;&gt;"",FE$5&gt;Mitarbeiter!$F$59),0,IF(Planung!FE61="",$C61,IF(ISNUMBER(Planung!FE61),Planung!FE61,IF(UPPER(Planung!FE61)="H",$C61/2,0)))))))</f>
        <v>0</v>
      </c>
      <c r="FF61" s="27">
        <f>IF($A61="",0,IF(Mitarbeiter!$G$59=FALSE,0,IF(AND(Mitarbeiter!$E$59&lt;&gt;"",FF$5+6&lt;Mitarbeiter!$E$59),0,IF(AND(Mitarbeiter!$F$59&lt;&gt;"",FF$5&gt;Mitarbeiter!$F$59),0,IF(Planung!FF61="",$C61,IF(ISNUMBER(Planung!FF61),Planung!FF61,IF(UPPER(Planung!FF61)="H",$C61/2,0)))))))</f>
        <v>0</v>
      </c>
      <c r="FG61" s="27">
        <f>IF($A61="",0,IF(Mitarbeiter!$G$59=FALSE,0,IF(AND(Mitarbeiter!$E$59&lt;&gt;"",FG$5+6&lt;Mitarbeiter!$E$59),0,IF(AND(Mitarbeiter!$F$59&lt;&gt;"",FG$5&gt;Mitarbeiter!$F$59),0,IF(Planung!FG61="",$C61,IF(ISNUMBER(Planung!FG61),Planung!FG61,IF(UPPER(Planung!FG61)="H",$C61/2,0)))))))</f>
        <v>0</v>
      </c>
      <c r="FH61" s="27">
        <f>IF($A61="",0,IF(Mitarbeiter!$G$59=FALSE,0,IF(AND(Mitarbeiter!$E$59&lt;&gt;"",FH$5+6&lt;Mitarbeiter!$E$59),0,IF(AND(Mitarbeiter!$F$59&lt;&gt;"",FH$5&gt;Mitarbeiter!$F$59),0,IF(Planung!FH61="",$C61,IF(ISNUMBER(Planung!FH61),Planung!FH61,IF(UPPER(Planung!FH61)="H",$C61/2,0)))))))</f>
        <v>0</v>
      </c>
      <c r="FI61" s="27">
        <f>IF($A61="",0,IF(Mitarbeiter!$G$59=FALSE,0,IF(AND(Mitarbeiter!$E$59&lt;&gt;"",FI$5+6&lt;Mitarbeiter!$E$59),0,IF(AND(Mitarbeiter!$F$59&lt;&gt;"",FI$5&gt;Mitarbeiter!$F$59),0,IF(Planung!FI61="",$C61,IF(ISNUMBER(Planung!FI61),Planung!FI61,IF(UPPER(Planung!FI61)="H",$C61/2,0)))))))</f>
        <v>0</v>
      </c>
      <c r="FJ61" s="27">
        <f>IF($A61="",0,IF(Mitarbeiter!$G$59=FALSE,0,IF(AND(Mitarbeiter!$E$59&lt;&gt;"",FJ$5+6&lt;Mitarbeiter!$E$59),0,IF(AND(Mitarbeiter!$F$59&lt;&gt;"",FJ$5&gt;Mitarbeiter!$F$59),0,IF(Planung!FJ61="",$C61,IF(ISNUMBER(Planung!FJ61),Planung!FJ61,IF(UPPER(Planung!FJ61)="H",$C61/2,0)))))))</f>
        <v>0</v>
      </c>
      <c r="FK61" s="27">
        <f>IF($A61="",0,IF(Mitarbeiter!$G$59=FALSE,0,IF(AND(Mitarbeiter!$E$59&lt;&gt;"",FK$5+6&lt;Mitarbeiter!$E$59),0,IF(AND(Mitarbeiter!$F$59&lt;&gt;"",FK$5&gt;Mitarbeiter!$F$59),0,IF(Planung!FK61="",$C61,IF(ISNUMBER(Planung!FK61),Planung!FK61,IF(UPPER(Planung!FK61)="H",$C61/2,0)))))))</f>
        <v>0</v>
      </c>
      <c r="FL61" s="27">
        <f>IF($A61="",0,IF(Mitarbeiter!$G$59=FALSE,0,IF(AND(Mitarbeiter!$E$59&lt;&gt;"",FL$5+6&lt;Mitarbeiter!$E$59),0,IF(AND(Mitarbeiter!$F$59&lt;&gt;"",FL$5&gt;Mitarbeiter!$F$59),0,IF(Planung!FL61="",$C61,IF(ISNUMBER(Planung!FL61),Planung!FL61,IF(UPPER(Planung!FL61)="H",$C61/2,0)))))))</f>
        <v>0</v>
      </c>
      <c r="FM61" s="27">
        <f>IF($A61="",0,IF(Mitarbeiter!$G$59=FALSE,0,IF(AND(Mitarbeiter!$E$59&lt;&gt;"",FM$5+6&lt;Mitarbeiter!$E$59),0,IF(AND(Mitarbeiter!$F$59&lt;&gt;"",FM$5&gt;Mitarbeiter!$F$59),0,IF(Planung!FM61="",$C61,IF(ISNUMBER(Planung!FM61),Planung!FM61,IF(UPPER(Planung!FM61)="H",$C61/2,0)))))))</f>
        <v>0</v>
      </c>
      <c r="FN61" s="27">
        <f>IF($A61="",0,IF(Mitarbeiter!$G$59=FALSE,0,IF(AND(Mitarbeiter!$E$59&lt;&gt;"",FN$5+6&lt;Mitarbeiter!$E$59),0,IF(AND(Mitarbeiter!$F$59&lt;&gt;"",FN$5&gt;Mitarbeiter!$F$59),0,IF(Planung!FN61="",$C61,IF(ISNUMBER(Planung!FN61),Planung!FN61,IF(UPPER(Planung!FN61)="H",$C61/2,0)))))))</f>
        <v>0</v>
      </c>
      <c r="FO61" s="27">
        <f>IF($A61="",0,IF(Mitarbeiter!$G$59=FALSE,0,IF(AND(Mitarbeiter!$E$59&lt;&gt;"",FO$5+6&lt;Mitarbeiter!$E$59),0,IF(AND(Mitarbeiter!$F$59&lt;&gt;"",FO$5&gt;Mitarbeiter!$F$59),0,IF(Planung!FO61="",$C61,IF(ISNUMBER(Planung!FO61),Planung!FO61,IF(UPPER(Planung!FO61)="H",$C61/2,0)))))))</f>
        <v>0</v>
      </c>
      <c r="FP61" s="27">
        <f>IF($A61="",0,IF(Mitarbeiter!$G$59=FALSE,0,IF(AND(Mitarbeiter!$E$59&lt;&gt;"",FP$5+6&lt;Mitarbeiter!$E$59),0,IF(AND(Mitarbeiter!$F$59&lt;&gt;"",FP$5&gt;Mitarbeiter!$F$59),0,IF(Planung!FP61="",$C61,IF(ISNUMBER(Planung!FP61),Planung!FP61,IF(UPPER(Planung!FP61)="H",$C61/2,0)))))))</f>
        <v>0</v>
      </c>
      <c r="FQ61" s="27">
        <f>IF($A61="",0,IF(Mitarbeiter!$G$59=FALSE,0,IF(AND(Mitarbeiter!$E$59&lt;&gt;"",FQ$5+6&lt;Mitarbeiter!$E$59),0,IF(AND(Mitarbeiter!$F$59&lt;&gt;"",FQ$5&gt;Mitarbeiter!$F$59),0,IF(Planung!FQ61="",$C61,IF(ISNUMBER(Planung!FQ61),Planung!FQ61,IF(UPPER(Planung!FQ61)="H",$C61/2,0)))))))</f>
        <v>0</v>
      </c>
      <c r="FR61" s="27">
        <f>IF($A61="",0,IF(Mitarbeiter!$G$59=FALSE,0,IF(AND(Mitarbeiter!$E$59&lt;&gt;"",FR$5+6&lt;Mitarbeiter!$E$59),0,IF(AND(Mitarbeiter!$F$59&lt;&gt;"",FR$5&gt;Mitarbeiter!$F$59),0,IF(Planung!FR61="",$C61,IF(ISNUMBER(Planung!FR61),Planung!FR61,IF(UPPER(Planung!FR61)="H",$C61/2,0)))))))</f>
        <v>0</v>
      </c>
      <c r="FS61" s="27">
        <f>IF($A61="",0,IF(Mitarbeiter!$G$59=FALSE,0,IF(AND(Mitarbeiter!$E$59&lt;&gt;"",FS$5+6&lt;Mitarbeiter!$E$59),0,IF(AND(Mitarbeiter!$F$59&lt;&gt;"",FS$5&gt;Mitarbeiter!$F$59),0,IF(Planung!FS61="",$C61,IF(ISNUMBER(Planung!FS61),Planung!FS61,IF(UPPER(Planung!FS61)="H",$C61/2,0)))))))</f>
        <v>0</v>
      </c>
      <c r="FT61" s="27">
        <f>IF($A61="",0,IF(Mitarbeiter!$G$59=FALSE,0,IF(AND(Mitarbeiter!$E$59&lt;&gt;"",FT$5+6&lt;Mitarbeiter!$E$59),0,IF(AND(Mitarbeiter!$F$59&lt;&gt;"",FT$5&gt;Mitarbeiter!$F$59),0,IF(Planung!FT61="",$C61,IF(ISNUMBER(Planung!FT61),Planung!FT61,IF(UPPER(Planung!FT61)="H",$C61/2,0)))))))</f>
        <v>0</v>
      </c>
      <c r="FU61" s="27">
        <f>IF($A61="",0,IF(Mitarbeiter!$G$59=FALSE,0,IF(AND(Mitarbeiter!$E$59&lt;&gt;"",FU$5+6&lt;Mitarbeiter!$E$59),0,IF(AND(Mitarbeiter!$F$59&lt;&gt;"",FU$5&gt;Mitarbeiter!$F$59),0,IF(Planung!FU61="",$C61,IF(ISNUMBER(Planung!FU61),Planung!FU61,IF(UPPER(Planung!FU61)="H",$C61/2,0)))))))</f>
        <v>0</v>
      </c>
      <c r="FV61" s="27">
        <f>IF($A61="",0,IF(Mitarbeiter!$G$59=FALSE,0,IF(AND(Mitarbeiter!$E$59&lt;&gt;"",FV$5+6&lt;Mitarbeiter!$E$59),0,IF(AND(Mitarbeiter!$F$59&lt;&gt;"",FV$5&gt;Mitarbeiter!$F$59),0,IF(Planung!FV61="",$C61,IF(ISNUMBER(Planung!FV61),Planung!FV61,IF(UPPER(Planung!FV61)="H",$C61/2,0)))))))</f>
        <v>0</v>
      </c>
      <c r="FW61" s="27">
        <f>IF($A61="",0,IF(Mitarbeiter!$G$59=FALSE,0,IF(AND(Mitarbeiter!$E$59&lt;&gt;"",FW$5+6&lt;Mitarbeiter!$E$59),0,IF(AND(Mitarbeiter!$F$59&lt;&gt;"",FW$5&gt;Mitarbeiter!$F$59),0,IF(Planung!FW61="",$C61,IF(ISNUMBER(Planung!FW61),Planung!FW61,IF(UPPER(Planung!FW61)="H",$C61/2,0)))))))</f>
        <v>0</v>
      </c>
      <c r="FX61" s="27">
        <f>IF($A61="",0,IF(Mitarbeiter!$G$59=FALSE,0,IF(AND(Mitarbeiter!$E$59&lt;&gt;"",FX$5+6&lt;Mitarbeiter!$E$59),0,IF(AND(Mitarbeiter!$F$59&lt;&gt;"",FX$5&gt;Mitarbeiter!$F$59),0,IF(Planung!FX61="",$C61,IF(ISNUMBER(Planung!FX61),Planung!FX61,IF(UPPER(Planung!FX61)="H",$C61/2,0)))))))</f>
        <v>0</v>
      </c>
      <c r="FY61" s="27">
        <f>IF($A61="",0,IF(Mitarbeiter!$G$59=FALSE,0,IF(AND(Mitarbeiter!$E$59&lt;&gt;"",FY$5+6&lt;Mitarbeiter!$E$59),0,IF(AND(Mitarbeiter!$F$59&lt;&gt;"",FY$5&gt;Mitarbeiter!$F$59),0,IF(Planung!FY61="",$C61,IF(ISNUMBER(Planung!FY61),Planung!FY61,IF(UPPER(Planung!FY61)="H",$C61/2,0)))))))</f>
        <v>0</v>
      </c>
      <c r="FZ61" s="27">
        <f>IF($A61="",0,IF(Mitarbeiter!$G$59=FALSE,0,IF(AND(Mitarbeiter!$E$59&lt;&gt;"",FZ$5+6&lt;Mitarbeiter!$E$59),0,IF(AND(Mitarbeiter!$F$59&lt;&gt;"",FZ$5&gt;Mitarbeiter!$F$59),0,IF(Planung!FZ61="",$C61,IF(ISNUMBER(Planung!FZ61),Planung!FZ61,IF(UPPER(Planung!FZ61)="H",$C61/2,0)))))))</f>
        <v>0</v>
      </c>
      <c r="GA61" s="27">
        <f>IF($A61="",0,IF(Mitarbeiter!$G$59=FALSE,0,IF(AND(Mitarbeiter!$E$59&lt;&gt;"",GA$5+6&lt;Mitarbeiter!$E$59),0,IF(AND(Mitarbeiter!$F$59&lt;&gt;"",GA$5&gt;Mitarbeiter!$F$59),0,IF(Planung!GA61="",$C61,IF(ISNUMBER(Planung!GA61),Planung!GA61,IF(UPPER(Planung!GA61)="H",$C61/2,0)))))))</f>
        <v>0</v>
      </c>
      <c r="GB61" s="27">
        <f>IF($A61="",0,IF(Mitarbeiter!$G$59=FALSE,0,IF(AND(Mitarbeiter!$E$59&lt;&gt;"",GB$5+6&lt;Mitarbeiter!$E$59),0,IF(AND(Mitarbeiter!$F$59&lt;&gt;"",GB$5&gt;Mitarbeiter!$F$59),0,IF(Planung!GB61="",$C61,IF(ISNUMBER(Planung!GB61),Planung!GB61,IF(UPPER(Planung!GB61)="H",$C61/2,0)))))))</f>
        <v>0</v>
      </c>
      <c r="GC61" s="27">
        <f>IF($A61="",0,IF(Mitarbeiter!$G$59=FALSE,0,IF(AND(Mitarbeiter!$E$59&lt;&gt;"",GC$5+6&lt;Mitarbeiter!$E$59),0,IF(AND(Mitarbeiter!$F$59&lt;&gt;"",GC$5&gt;Mitarbeiter!$F$59),0,IF(Planung!GC61="",$C61,IF(ISNUMBER(Planung!GC61),Planung!GC61,IF(UPPER(Planung!GC61)="H",$C61/2,0)))))))</f>
        <v>0</v>
      </c>
      <c r="GD61" s="27">
        <f>IF($A61="",0,IF(Mitarbeiter!$G$59=FALSE,0,IF(AND(Mitarbeiter!$E$59&lt;&gt;"",GD$5+6&lt;Mitarbeiter!$E$59),0,IF(AND(Mitarbeiter!$F$59&lt;&gt;"",GD$5&gt;Mitarbeiter!$F$59),0,IF(Planung!GD61="",$C61,IF(ISNUMBER(Planung!GD61),Planung!GD61,IF(UPPER(Planung!GD61)="H",$C61/2,0)))))))</f>
        <v>0</v>
      </c>
      <c r="GE61" s="27">
        <f>IF($A61="",0,IF(Mitarbeiter!$G$59=FALSE,0,IF(AND(Mitarbeiter!$E$59&lt;&gt;"",GE$5+6&lt;Mitarbeiter!$E$59),0,IF(AND(Mitarbeiter!$F$59&lt;&gt;"",GE$5&gt;Mitarbeiter!$F$59),0,IF(Planung!GE61="",$C61,IF(ISNUMBER(Planung!GE61),Planung!GE61,IF(UPPER(Planung!GE61)="H",$C61/2,0)))))))</f>
        <v>0</v>
      </c>
      <c r="GF61" s="27">
        <f>IF($A61="",0,IF(Mitarbeiter!$G$59=FALSE,0,IF(AND(Mitarbeiter!$E$59&lt;&gt;"",GF$5+6&lt;Mitarbeiter!$E$59),0,IF(AND(Mitarbeiter!$F$59&lt;&gt;"",GF$5&gt;Mitarbeiter!$F$59),0,IF(Planung!GF61="",$C61,IF(ISNUMBER(Planung!GF61),Planung!GF61,IF(UPPER(Planung!GF61)="H",$C61/2,0)))))))</f>
        <v>0</v>
      </c>
      <c r="GG61" s="27">
        <f>IF($A61="",0,IF(Mitarbeiter!$G$59=FALSE,0,IF(AND(Mitarbeiter!$E$59&lt;&gt;"",GG$5+6&lt;Mitarbeiter!$E$59),0,IF(AND(Mitarbeiter!$F$59&lt;&gt;"",GG$5&gt;Mitarbeiter!$F$59),0,IF(Planung!GG61="",$C61,IF(ISNUMBER(Planung!GG61),Planung!GG61,IF(UPPER(Planung!GG61)="H",$C61/2,0)))))))</f>
        <v>0</v>
      </c>
      <c r="GH61" s="27">
        <f>IF($A61="",0,IF(Mitarbeiter!$G$59=FALSE,0,IF(AND(Mitarbeiter!$E$59&lt;&gt;"",GH$5+6&lt;Mitarbeiter!$E$59),0,IF(AND(Mitarbeiter!$F$59&lt;&gt;"",GH$5&gt;Mitarbeiter!$F$59),0,IF(Planung!GH61="",$C61,IF(ISNUMBER(Planung!GH61),Planung!GH61,IF(UPPER(Planung!GH61)="H",$C61/2,0)))))))</f>
        <v>0</v>
      </c>
      <c r="GI61" s="27">
        <f>IF($A61="",0,IF(Mitarbeiter!$G$59=FALSE,0,IF(AND(Mitarbeiter!$E$59&lt;&gt;"",GI$5+6&lt;Mitarbeiter!$E$59),0,IF(AND(Mitarbeiter!$F$59&lt;&gt;"",GI$5&gt;Mitarbeiter!$F$59),0,IF(Planung!GI61="",$C61,IF(ISNUMBER(Planung!GI61),Planung!GI61,IF(UPPER(Planung!GI61)="H",$C61/2,0)))))))</f>
        <v>0</v>
      </c>
      <c r="GJ61" s="27">
        <f>IF($A61="",0,IF(Mitarbeiter!$G$59=FALSE,0,IF(AND(Mitarbeiter!$E$59&lt;&gt;"",GJ$5+6&lt;Mitarbeiter!$E$59),0,IF(AND(Mitarbeiter!$F$59&lt;&gt;"",GJ$5&gt;Mitarbeiter!$F$59),0,IF(Planung!GJ61="",$C61,IF(ISNUMBER(Planung!GJ61),Planung!GJ61,IF(UPPER(Planung!GJ61)="H",$C61/2,0)))))))</f>
        <v>0</v>
      </c>
      <c r="GK61" s="27">
        <f>IF($A61="",0,IF(Mitarbeiter!$G$59=FALSE,0,IF(AND(Mitarbeiter!$E$59&lt;&gt;"",GK$5+6&lt;Mitarbeiter!$E$59),0,IF(AND(Mitarbeiter!$F$59&lt;&gt;"",GK$5&gt;Mitarbeiter!$F$59),0,IF(Planung!GK61="",$C61,IF(ISNUMBER(Planung!GK61),Planung!GK61,IF(UPPER(Planung!GK61)="H",$C61/2,0)))))))</f>
        <v>0</v>
      </c>
      <c r="GL61" s="27">
        <f>IF($A61="",0,IF(Mitarbeiter!$G$59=FALSE,0,IF(AND(Mitarbeiter!$E$59&lt;&gt;"",GL$5+6&lt;Mitarbeiter!$E$59),0,IF(AND(Mitarbeiter!$F$59&lt;&gt;"",GL$5&gt;Mitarbeiter!$F$59),0,IF(Planung!GL61="",$C61,IF(ISNUMBER(Planung!GL61),Planung!GL61,IF(UPPER(Planung!GL61)="H",$C61/2,0)))))))</f>
        <v>0</v>
      </c>
      <c r="GM61" s="27">
        <f>IF($A61="",0,IF(Mitarbeiter!$G$59=FALSE,0,IF(AND(Mitarbeiter!$E$59&lt;&gt;"",GM$5+6&lt;Mitarbeiter!$E$59),0,IF(AND(Mitarbeiter!$F$59&lt;&gt;"",GM$5&gt;Mitarbeiter!$F$59),0,IF(Planung!GM61="",$C61,IF(ISNUMBER(Planung!GM61),Planung!GM61,IF(UPPER(Planung!GM61)="H",$C61/2,0)))))))</f>
        <v>0</v>
      </c>
      <c r="GN61" s="27">
        <f>IF($A61="",0,IF(Mitarbeiter!$G$59=FALSE,0,IF(AND(Mitarbeiter!$E$59&lt;&gt;"",GN$5+6&lt;Mitarbeiter!$E$59),0,IF(AND(Mitarbeiter!$F$59&lt;&gt;"",GN$5&gt;Mitarbeiter!$F$59),0,IF(Planung!GN61="",$C61,IF(ISNUMBER(Planung!GN61),Planung!GN61,IF(UPPER(Planung!GN61)="H",$C61/2,0)))))))</f>
        <v>0</v>
      </c>
      <c r="GO61" s="27">
        <f>IF($A61="",0,IF(Mitarbeiter!$G$59=FALSE,0,IF(AND(Mitarbeiter!$E$59&lt;&gt;"",GO$5+6&lt;Mitarbeiter!$E$59),0,IF(AND(Mitarbeiter!$F$59&lt;&gt;"",GO$5&gt;Mitarbeiter!$F$59),0,IF(Planung!GO61="",$C61,IF(ISNUMBER(Planung!GO61),Planung!GO61,IF(UPPER(Planung!GO61)="H",$C61/2,0)))))))</f>
        <v>0</v>
      </c>
      <c r="GP61" s="27">
        <f>IF($A61="",0,IF(Mitarbeiter!$G$59=FALSE,0,IF(AND(Mitarbeiter!$E$59&lt;&gt;"",GP$5+6&lt;Mitarbeiter!$E$59),0,IF(AND(Mitarbeiter!$F$59&lt;&gt;"",GP$5&gt;Mitarbeiter!$F$59),0,IF(Planung!GP61="",$C61,IF(ISNUMBER(Planung!GP61),Planung!GP61,IF(UPPER(Planung!GP61)="H",$C61/2,0)))))))</f>
        <v>0</v>
      </c>
      <c r="GQ61" s="27">
        <f>IF($A61="",0,IF(Mitarbeiter!$G$59=FALSE,0,IF(AND(Mitarbeiter!$E$59&lt;&gt;"",GQ$5+6&lt;Mitarbeiter!$E$59),0,IF(AND(Mitarbeiter!$F$59&lt;&gt;"",GQ$5&gt;Mitarbeiter!$F$59),0,IF(Planung!GQ61="",$C61,IF(ISNUMBER(Planung!GQ61),Planung!GQ61,IF(UPPER(Planung!GQ61)="H",$C61/2,0)))))))</f>
        <v>0</v>
      </c>
      <c r="GR61" s="27">
        <f>IF($A61="",0,IF(Mitarbeiter!$G$59=FALSE,0,IF(AND(Mitarbeiter!$E$59&lt;&gt;"",GR$5+6&lt;Mitarbeiter!$E$59),0,IF(AND(Mitarbeiter!$F$59&lt;&gt;"",GR$5&gt;Mitarbeiter!$F$59),0,IF(Planung!GR61="",$C61,IF(ISNUMBER(Planung!GR61),Planung!GR61,IF(UPPER(Planung!GR61)="H",$C61/2,0)))))))</f>
        <v>0</v>
      </c>
      <c r="GS61" s="27">
        <f>IF($A61="",0,IF(Mitarbeiter!$G$59=FALSE,0,IF(AND(Mitarbeiter!$E$59&lt;&gt;"",GS$5+6&lt;Mitarbeiter!$E$59),0,IF(AND(Mitarbeiter!$F$59&lt;&gt;"",GS$5&gt;Mitarbeiter!$F$59),0,IF(Planung!GS61="",$C61,IF(ISNUMBER(Planung!GS61),Planung!GS61,IF(UPPER(Planung!GS61)="H",$C61/2,0)))))))</f>
        <v>0</v>
      </c>
      <c r="GT61" s="27">
        <f>IF($A61="",0,IF(Mitarbeiter!$G$59=FALSE,0,IF(AND(Mitarbeiter!$E$59&lt;&gt;"",GT$5+6&lt;Mitarbeiter!$E$59),0,IF(AND(Mitarbeiter!$F$59&lt;&gt;"",GT$5&gt;Mitarbeiter!$F$59),0,IF(Planung!GT61="",$C61,IF(ISNUMBER(Planung!GT61),Planung!GT61,IF(UPPER(Planung!GT61)="H",$C61/2,0)))))))</f>
        <v>0</v>
      </c>
      <c r="GU61" s="27">
        <f>IF($A61="",0,IF(Mitarbeiter!$G$59=FALSE,0,IF(AND(Mitarbeiter!$E$59&lt;&gt;"",GU$5+6&lt;Mitarbeiter!$E$59),0,IF(AND(Mitarbeiter!$F$59&lt;&gt;"",GU$5&gt;Mitarbeiter!$F$59),0,IF(Planung!GU61="",$C61,IF(ISNUMBER(Planung!GU61),Planung!GU61,IF(UPPER(Planung!GU61)="H",$C61/2,0)))))))</f>
        <v>0</v>
      </c>
      <c r="GV61" s="27">
        <f>IF($A61="",0,IF(Mitarbeiter!$G$59=FALSE,0,IF(AND(Mitarbeiter!$E$59&lt;&gt;"",GV$5+6&lt;Mitarbeiter!$E$59),0,IF(AND(Mitarbeiter!$F$59&lt;&gt;"",GV$5&gt;Mitarbeiter!$F$59),0,IF(Planung!GV61="",$C61,IF(ISNUMBER(Planung!GV61),Planung!GV61,IF(UPPER(Planung!GV61)="H",$C61/2,0)))))))</f>
        <v>0</v>
      </c>
      <c r="GW61" s="27">
        <f>IF($A61="",0,IF(Mitarbeiter!$G$59=FALSE,0,IF(AND(Mitarbeiter!$E$59&lt;&gt;"",GW$5+6&lt;Mitarbeiter!$E$59),0,IF(AND(Mitarbeiter!$F$59&lt;&gt;"",GW$5&gt;Mitarbeiter!$F$59),0,IF(Planung!GW61="",$C61,IF(ISNUMBER(Planung!GW61),Planung!GW61,IF(UPPER(Planung!GW61)="H",$C61/2,0)))))))</f>
        <v>0</v>
      </c>
      <c r="GX61" s="27">
        <f>IF($A61="",0,IF(Mitarbeiter!$G$59=FALSE,0,IF(AND(Mitarbeiter!$E$59&lt;&gt;"",GX$5+6&lt;Mitarbeiter!$E$59),0,IF(AND(Mitarbeiter!$F$59&lt;&gt;"",GX$5&gt;Mitarbeiter!$F$59),0,IF(Planung!GX61="",$C61,IF(ISNUMBER(Planung!GX61),Planung!GX61,IF(UPPER(Planung!GX61)="H",$C61/2,0)))))))</f>
        <v>0</v>
      </c>
      <c r="GY61" s="27">
        <f>IF($A61="",0,IF(Mitarbeiter!$G$59=FALSE,0,IF(AND(Mitarbeiter!$E$59&lt;&gt;"",GY$5+6&lt;Mitarbeiter!$E$59),0,IF(AND(Mitarbeiter!$F$59&lt;&gt;"",GY$5&gt;Mitarbeiter!$F$59),0,IF(Planung!GY61="",$C61,IF(ISNUMBER(Planung!GY61),Planung!GY61,IF(UPPER(Planung!GY61)="H",$C61/2,0)))))))</f>
        <v>0</v>
      </c>
      <c r="GZ61" s="27">
        <f>IF($A61="",0,IF(Mitarbeiter!$G$59=FALSE,0,IF(AND(Mitarbeiter!$E$59&lt;&gt;"",GZ$5+6&lt;Mitarbeiter!$E$59),0,IF(AND(Mitarbeiter!$F$59&lt;&gt;"",GZ$5&gt;Mitarbeiter!$F$59),0,IF(Planung!GZ61="",$C61,IF(ISNUMBER(Planung!GZ61),Planung!GZ61,IF(UPPER(Planung!GZ61)="H",$C61/2,0)))))))</f>
        <v>0</v>
      </c>
      <c r="HA61" s="27">
        <f>IF($A61="",0,IF(Mitarbeiter!$G$59=FALSE,0,IF(AND(Mitarbeiter!$E$59&lt;&gt;"",HA$5+6&lt;Mitarbeiter!$E$59),0,IF(AND(Mitarbeiter!$F$59&lt;&gt;"",HA$5&gt;Mitarbeiter!$F$59),0,IF(Planung!HA61="",$C61,IF(ISNUMBER(Planung!HA61),Planung!HA61,IF(UPPER(Planung!HA61)="H",$C61/2,0)))))))</f>
        <v>0</v>
      </c>
      <c r="HB61" s="27">
        <f>IF($A61="",0,IF(Mitarbeiter!$G$59=FALSE,0,IF(AND(Mitarbeiter!$E$59&lt;&gt;"",HB$5+6&lt;Mitarbeiter!$E$59),0,IF(AND(Mitarbeiter!$F$59&lt;&gt;"",HB$5&gt;Mitarbeiter!$F$59),0,IF(Planung!HB61="",$C61,IF(ISNUMBER(Planung!HB61),Planung!HB61,IF(UPPER(Planung!HB61)="H",$C61/2,0)))))))</f>
        <v>0</v>
      </c>
      <c r="HC61" s="27">
        <f>IF($A61="",0,IF(Mitarbeiter!$G$59=FALSE,0,IF(AND(Mitarbeiter!$E$59&lt;&gt;"",HC$5+6&lt;Mitarbeiter!$E$59),0,IF(AND(Mitarbeiter!$F$59&lt;&gt;"",HC$5&gt;Mitarbeiter!$F$59),0,IF(Planung!HC61="",$C61,IF(ISNUMBER(Planung!HC61),Planung!HC61,IF(UPPER(Planung!HC61)="H",$C61/2,0)))))))</f>
        <v>0</v>
      </c>
      <c r="HD61" s="27">
        <f>IF($A61="",0,IF(Mitarbeiter!$G$59=FALSE,0,IF(AND(Mitarbeiter!$E$59&lt;&gt;"",HD$5+6&lt;Mitarbeiter!$E$59),0,IF(AND(Mitarbeiter!$F$59&lt;&gt;"",HD$5&gt;Mitarbeiter!$F$59),0,IF(Planung!HD61="",$C61,IF(ISNUMBER(Planung!HD61),Planung!HD61,IF(UPPER(Planung!HD61)="H",$C61/2,0)))))))</f>
        <v>0</v>
      </c>
      <c r="HE61" s="27">
        <f>IF($A61="",0,IF(Mitarbeiter!$G$59=FALSE,0,IF(AND(Mitarbeiter!$E$59&lt;&gt;"",HE$5+6&lt;Mitarbeiter!$E$59),0,IF(AND(Mitarbeiter!$F$59&lt;&gt;"",HE$5&gt;Mitarbeiter!$F$59),0,IF(Planung!HE61="",$C61,IF(ISNUMBER(Planung!HE61),Planung!HE61,IF(UPPER(Planung!HE61)="H",$C61/2,0)))))))</f>
        <v>0</v>
      </c>
      <c r="HF61" s="27">
        <f>IF($A61="",0,IF(Mitarbeiter!$G$59=FALSE,0,IF(AND(Mitarbeiter!$E$59&lt;&gt;"",HF$5+6&lt;Mitarbeiter!$E$59),0,IF(AND(Mitarbeiter!$F$59&lt;&gt;"",HF$5&gt;Mitarbeiter!$F$59),0,IF(Planung!HF61="",$C61,IF(ISNUMBER(Planung!HF61),Planung!HF61,IF(UPPER(Planung!HF61)="H",$C61/2,0)))))))</f>
        <v>0</v>
      </c>
      <c r="HG61" s="27">
        <f>IF($A61="",0,IF(Mitarbeiter!$G$59=FALSE,0,IF(AND(Mitarbeiter!$E$59&lt;&gt;"",HG$5+6&lt;Mitarbeiter!$E$59),0,IF(AND(Mitarbeiter!$F$59&lt;&gt;"",HG$5&gt;Mitarbeiter!$F$59),0,IF(Planung!HG61="",$C61,IF(ISNUMBER(Planung!HG61),Planung!HG61,IF(UPPER(Planung!HG61)="H",$C61/2,0)))))))</f>
        <v>0</v>
      </c>
      <c r="HH61" s="27">
        <f>IF($A61="",0,IF(Mitarbeiter!$G$59=FALSE,0,IF(AND(Mitarbeiter!$E$59&lt;&gt;"",HH$5+6&lt;Mitarbeiter!$E$59),0,IF(AND(Mitarbeiter!$F$59&lt;&gt;"",HH$5&gt;Mitarbeiter!$F$59),0,IF(Planung!HH61="",$C61,IF(ISNUMBER(Planung!HH61),Planung!HH61,IF(UPPER(Planung!HH61)="H",$C61/2,0)))))))</f>
        <v>0</v>
      </c>
      <c r="HI61" s="27">
        <f>IF($A61="",0,IF(Mitarbeiter!$G$59=FALSE,0,IF(AND(Mitarbeiter!$E$59&lt;&gt;"",HI$5+6&lt;Mitarbeiter!$E$59),0,IF(AND(Mitarbeiter!$F$59&lt;&gt;"",HI$5&gt;Mitarbeiter!$F$59),0,IF(Planung!HI61="",$C61,IF(ISNUMBER(Planung!HI61),Planung!HI61,IF(UPPER(Planung!HI61)="H",$C61/2,0)))))))</f>
        <v>0</v>
      </c>
      <c r="HJ61" s="27">
        <f>IF($A61="",0,IF(Mitarbeiter!$G$59=FALSE,0,IF(AND(Mitarbeiter!$E$59&lt;&gt;"",HJ$5+6&lt;Mitarbeiter!$E$59),0,IF(AND(Mitarbeiter!$F$59&lt;&gt;"",HJ$5&gt;Mitarbeiter!$F$59),0,IF(Planung!HJ61="",$C61,IF(ISNUMBER(Planung!HJ61),Planung!HJ61,IF(UPPER(Planung!HJ61)="H",$C61/2,0)))))))</f>
        <v>0</v>
      </c>
      <c r="HK61" s="27">
        <f>IF($A61="",0,IF(Mitarbeiter!$G$59=FALSE,0,IF(AND(Mitarbeiter!$E$59&lt;&gt;"",HK$5+6&lt;Mitarbeiter!$E$59),0,IF(AND(Mitarbeiter!$F$59&lt;&gt;"",HK$5&gt;Mitarbeiter!$F$59),0,IF(Planung!HK61="",$C61,IF(ISNUMBER(Planung!HK61),Planung!HK61,IF(UPPER(Planung!HK61)="H",$C61/2,0)))))))</f>
        <v>0</v>
      </c>
      <c r="HL61" s="27">
        <f>IF($A61="",0,IF(Mitarbeiter!$G$59=FALSE,0,IF(AND(Mitarbeiter!$E$59&lt;&gt;"",HL$5+6&lt;Mitarbeiter!$E$59),0,IF(AND(Mitarbeiter!$F$59&lt;&gt;"",HL$5&gt;Mitarbeiter!$F$59),0,IF(Planung!HL61="",$C61,IF(ISNUMBER(Planung!HL61),Planung!HL61,IF(UPPER(Planung!HL61)="H",$C61/2,0)))))))</f>
        <v>0</v>
      </c>
      <c r="HM61" s="27">
        <f>IF($A61="",0,IF(Mitarbeiter!$G$59=FALSE,0,IF(AND(Mitarbeiter!$E$59&lt;&gt;"",HM$5+6&lt;Mitarbeiter!$E$59),0,IF(AND(Mitarbeiter!$F$59&lt;&gt;"",HM$5&gt;Mitarbeiter!$F$59),0,IF(Planung!HM61="",$C61,IF(ISNUMBER(Planung!HM61),Planung!HM61,IF(UPPER(Planung!HM61)="H",$C61/2,0)))))))</f>
        <v>0</v>
      </c>
      <c r="HN61" s="27">
        <f>IF($A61="",0,IF(Mitarbeiter!$G$59=FALSE,0,IF(AND(Mitarbeiter!$E$59&lt;&gt;"",HN$5+6&lt;Mitarbeiter!$E$59),0,IF(AND(Mitarbeiter!$F$59&lt;&gt;"",HN$5&gt;Mitarbeiter!$F$59),0,IF(Planung!HN61="",$C61,IF(ISNUMBER(Planung!HN61),Planung!HN61,IF(UPPER(Planung!HN61)="H",$C61/2,0)))))))</f>
        <v>0</v>
      </c>
      <c r="HO61" s="27">
        <f>IF($A61="",0,IF(Mitarbeiter!$G$59=FALSE,0,IF(AND(Mitarbeiter!$E$59&lt;&gt;"",HO$5+6&lt;Mitarbeiter!$E$59),0,IF(AND(Mitarbeiter!$F$59&lt;&gt;"",HO$5&gt;Mitarbeiter!$F$59),0,IF(Planung!HO61="",$C61,IF(ISNUMBER(Planung!HO61),Planung!HO61,IF(UPPER(Planung!HO61)="H",$C61/2,0)))))))</f>
        <v>0</v>
      </c>
      <c r="HP61" s="27">
        <f>IF($A61="",0,IF(Mitarbeiter!$G$59=FALSE,0,IF(AND(Mitarbeiter!$E$59&lt;&gt;"",HP$5+6&lt;Mitarbeiter!$E$59),0,IF(AND(Mitarbeiter!$F$59&lt;&gt;"",HP$5&gt;Mitarbeiter!$F$59),0,IF(Planung!HP61="",$C61,IF(ISNUMBER(Planung!HP61),Planung!HP61,IF(UPPER(Planung!HP61)="H",$C61/2,0)))))))</f>
        <v>0</v>
      </c>
      <c r="HQ61" s="27">
        <f>IF($A61="",0,IF(Mitarbeiter!$G$59=FALSE,0,IF(AND(Mitarbeiter!$E$59&lt;&gt;"",HQ$5+6&lt;Mitarbeiter!$E$59),0,IF(AND(Mitarbeiter!$F$59&lt;&gt;"",HQ$5&gt;Mitarbeiter!$F$59),0,IF(Planung!HQ61="",$C61,IF(ISNUMBER(Planung!HQ61),Planung!HQ61,IF(UPPER(Planung!HQ61)="H",$C61/2,0)))))))</f>
        <v>0</v>
      </c>
      <c r="HR61" s="27">
        <f>IF($A61="",0,IF(Mitarbeiter!$G$59=FALSE,0,IF(AND(Mitarbeiter!$E$59&lt;&gt;"",HR$5+6&lt;Mitarbeiter!$E$59),0,IF(AND(Mitarbeiter!$F$59&lt;&gt;"",HR$5&gt;Mitarbeiter!$F$59),0,IF(Planung!HR61="",$C61,IF(ISNUMBER(Planung!HR61),Planung!HR61,IF(UPPER(Planung!HR61)="H",$C61/2,0)))))))</f>
        <v>0</v>
      </c>
      <c r="HS61" s="27">
        <f>IF($A61="",0,IF(Mitarbeiter!$G$59=FALSE,0,IF(AND(Mitarbeiter!$E$59&lt;&gt;"",HS$5+6&lt;Mitarbeiter!$E$59),0,IF(AND(Mitarbeiter!$F$59&lt;&gt;"",HS$5&gt;Mitarbeiter!$F$59),0,IF(Planung!HS61="",$C61,IF(ISNUMBER(Planung!HS61),Planung!HS61,IF(UPPER(Planung!HS61)="H",$C61/2,0)))))))</f>
        <v>0</v>
      </c>
      <c r="HT61" s="27">
        <f>IF($A61="",0,IF(Mitarbeiter!$G$59=FALSE,0,IF(AND(Mitarbeiter!$E$59&lt;&gt;"",HT$5+6&lt;Mitarbeiter!$E$59),0,IF(AND(Mitarbeiter!$F$59&lt;&gt;"",HT$5&gt;Mitarbeiter!$F$59),0,IF(Planung!HT61="",$C61,IF(ISNUMBER(Planung!HT61),Planung!HT61,IF(UPPER(Planung!HT61)="H",$C61/2,0)))))))</f>
        <v>0</v>
      </c>
      <c r="HU61" s="27">
        <f>IF($A61="",0,IF(Mitarbeiter!$G$59=FALSE,0,IF(AND(Mitarbeiter!$E$59&lt;&gt;"",HU$5+6&lt;Mitarbeiter!$E$59),0,IF(AND(Mitarbeiter!$F$59&lt;&gt;"",HU$5&gt;Mitarbeiter!$F$59),0,IF(Planung!HU61="",$C61,IF(ISNUMBER(Planung!HU61),Planung!HU61,IF(UPPER(Planung!HU61)="H",$C61/2,0)))))))</f>
        <v>0</v>
      </c>
      <c r="HV61" s="27">
        <f>IF($A61="",0,IF(Mitarbeiter!$G$59=FALSE,0,IF(AND(Mitarbeiter!$E$59&lt;&gt;"",HV$5+6&lt;Mitarbeiter!$E$59),0,IF(AND(Mitarbeiter!$F$59&lt;&gt;"",HV$5&gt;Mitarbeiter!$F$59),0,IF(Planung!HV61="",$C61,IF(ISNUMBER(Planung!HV61),Planung!HV61,IF(UPPER(Planung!HV61)="H",$C61/2,0)))))))</f>
        <v>0</v>
      </c>
      <c r="HW61" s="27">
        <f>IF($A61="",0,IF(Mitarbeiter!$G$59=FALSE,0,IF(AND(Mitarbeiter!$E$59&lt;&gt;"",HW$5+6&lt;Mitarbeiter!$E$59),0,IF(AND(Mitarbeiter!$F$59&lt;&gt;"",HW$5&gt;Mitarbeiter!$F$59),0,IF(Planung!HW61="",$C61,IF(ISNUMBER(Planung!HW61),Planung!HW61,IF(UPPER(Planung!HW61)="H",$C61/2,0)))))))</f>
        <v>0</v>
      </c>
      <c r="HX61" s="27">
        <f>IF($A61="",0,IF(Mitarbeiter!$G$59=FALSE,0,IF(AND(Mitarbeiter!$E$59&lt;&gt;"",HX$5+6&lt;Mitarbeiter!$E$59),0,IF(AND(Mitarbeiter!$F$59&lt;&gt;"",HX$5&gt;Mitarbeiter!$F$59),0,IF(Planung!HX61="",$C61,IF(ISNUMBER(Planung!HX61),Planung!HX61,IF(UPPER(Planung!HX61)="H",$C61/2,0)))))))</f>
        <v>0</v>
      </c>
      <c r="HY61" s="27">
        <f>IF($A61="",0,IF(Mitarbeiter!$G$59=FALSE,0,IF(AND(Mitarbeiter!$E$59&lt;&gt;"",HY$5+6&lt;Mitarbeiter!$E$59),0,IF(AND(Mitarbeiter!$F$59&lt;&gt;"",HY$5&gt;Mitarbeiter!$F$59),0,IF(Planung!HY61="",$C61,IF(ISNUMBER(Planung!HY61),Planung!HY61,IF(UPPER(Planung!HY61)="H",$C61/2,0)))))))</f>
        <v>0</v>
      </c>
      <c r="HZ61" s="27">
        <f>IF($A61="",0,IF(Mitarbeiter!$G$59=FALSE,0,IF(AND(Mitarbeiter!$E$59&lt;&gt;"",HZ$5+6&lt;Mitarbeiter!$E$59),0,IF(AND(Mitarbeiter!$F$59&lt;&gt;"",HZ$5&gt;Mitarbeiter!$F$59),0,IF(Planung!HZ61="",$C61,IF(ISNUMBER(Planung!HZ61),Planung!HZ61,IF(UPPER(Planung!HZ61)="H",$C61/2,0)))))))</f>
        <v>0</v>
      </c>
      <c r="IA61" s="27">
        <f>IF($A61="",0,IF(Mitarbeiter!$G$59=FALSE,0,IF(AND(Mitarbeiter!$E$59&lt;&gt;"",IA$5+6&lt;Mitarbeiter!$E$59),0,IF(AND(Mitarbeiter!$F$59&lt;&gt;"",IA$5&gt;Mitarbeiter!$F$59),0,IF(Planung!IA61="",$C61,IF(ISNUMBER(Planung!IA61),Planung!IA61,IF(UPPER(Planung!IA61)="H",$C61/2,0)))))))</f>
        <v>0</v>
      </c>
    </row>
    <row r="62" spans="1:235" x14ac:dyDescent="0.25">
      <c r="A62" s="7" t="str">
        <f>Planung!A62</f>
        <v/>
      </c>
      <c r="B62" s="7" t="str">
        <f>Planung!B62</f>
        <v/>
      </c>
      <c r="C62" s="27">
        <f>N(Mitarbeiter!$D$60)</f>
        <v>0</v>
      </c>
      <c r="D62" s="27">
        <f>IF($A62="",0,IF(Mitarbeiter!$G$60=FALSE,0,IF(AND(Mitarbeiter!$E$60&lt;&gt;"",D$5+6&lt;Mitarbeiter!$E$60),0,IF(AND(Mitarbeiter!$F$60&lt;&gt;"",D$5&gt;Mitarbeiter!$F$60),0,IF(Planung!D62="",$C62,IF(ISNUMBER(Planung!D62),Planung!D62,IF(UPPER(Planung!D62)="H",$C62/2,0)))))))</f>
        <v>0</v>
      </c>
      <c r="E62" s="27">
        <f>IF($A62="",0,IF(Mitarbeiter!$G$60=FALSE,0,IF(AND(Mitarbeiter!$E$60&lt;&gt;"",E$5+6&lt;Mitarbeiter!$E$60),0,IF(AND(Mitarbeiter!$F$60&lt;&gt;"",E$5&gt;Mitarbeiter!$F$60),0,IF(Planung!E62="",$C62,IF(ISNUMBER(Planung!E62),Planung!E62,IF(UPPER(Planung!E62)="H",$C62/2,0)))))))</f>
        <v>0</v>
      </c>
      <c r="F62" s="27">
        <f>IF($A62="",0,IF(Mitarbeiter!$G$60=FALSE,0,IF(AND(Mitarbeiter!$E$60&lt;&gt;"",F$5+6&lt;Mitarbeiter!$E$60),0,IF(AND(Mitarbeiter!$F$60&lt;&gt;"",F$5&gt;Mitarbeiter!$F$60),0,IF(Planung!F62="",$C62,IF(ISNUMBER(Planung!F62),Planung!F62,IF(UPPER(Planung!F62)="H",$C62/2,0)))))))</f>
        <v>0</v>
      </c>
      <c r="G62" s="27">
        <f>IF($A62="",0,IF(Mitarbeiter!$G$60=FALSE,0,IF(AND(Mitarbeiter!$E$60&lt;&gt;"",G$5+6&lt;Mitarbeiter!$E$60),0,IF(AND(Mitarbeiter!$F$60&lt;&gt;"",G$5&gt;Mitarbeiter!$F$60),0,IF(Planung!G62="",$C62,IF(ISNUMBER(Planung!G62),Planung!G62,IF(UPPER(Planung!G62)="H",$C62/2,0)))))))</f>
        <v>0</v>
      </c>
      <c r="H62" s="27">
        <f>IF($A62="",0,IF(Mitarbeiter!$G$60=FALSE,0,IF(AND(Mitarbeiter!$E$60&lt;&gt;"",H$5+6&lt;Mitarbeiter!$E$60),0,IF(AND(Mitarbeiter!$F$60&lt;&gt;"",H$5&gt;Mitarbeiter!$F$60),0,IF(Planung!H62="",$C62,IF(ISNUMBER(Planung!H62),Planung!H62,IF(UPPER(Planung!H62)="H",$C62/2,0)))))))</f>
        <v>0</v>
      </c>
      <c r="I62" s="27">
        <f>IF($A62="",0,IF(Mitarbeiter!$G$60=FALSE,0,IF(AND(Mitarbeiter!$E$60&lt;&gt;"",I$5+6&lt;Mitarbeiter!$E$60),0,IF(AND(Mitarbeiter!$F$60&lt;&gt;"",I$5&gt;Mitarbeiter!$F$60),0,IF(Planung!I62="",$C62,IF(ISNUMBER(Planung!I62),Planung!I62,IF(UPPER(Planung!I62)="H",$C62/2,0)))))))</f>
        <v>0</v>
      </c>
      <c r="J62" s="27">
        <f>IF($A62="",0,IF(Mitarbeiter!$G$60=FALSE,0,IF(AND(Mitarbeiter!$E$60&lt;&gt;"",J$5+6&lt;Mitarbeiter!$E$60),0,IF(AND(Mitarbeiter!$F$60&lt;&gt;"",J$5&gt;Mitarbeiter!$F$60),0,IF(Planung!J62="",$C62,IF(ISNUMBER(Planung!J62),Planung!J62,IF(UPPER(Planung!J62)="H",$C62/2,0)))))))</f>
        <v>0</v>
      </c>
      <c r="K62" s="27">
        <f>IF($A62="",0,IF(Mitarbeiter!$G$60=FALSE,0,IF(AND(Mitarbeiter!$E$60&lt;&gt;"",K$5+6&lt;Mitarbeiter!$E$60),0,IF(AND(Mitarbeiter!$F$60&lt;&gt;"",K$5&gt;Mitarbeiter!$F$60),0,IF(Planung!K62="",$C62,IF(ISNUMBER(Planung!K62),Planung!K62,IF(UPPER(Planung!K62)="H",$C62/2,0)))))))</f>
        <v>0</v>
      </c>
      <c r="L62" s="27">
        <f>IF($A62="",0,IF(Mitarbeiter!$G$60=FALSE,0,IF(AND(Mitarbeiter!$E$60&lt;&gt;"",L$5+6&lt;Mitarbeiter!$E$60),0,IF(AND(Mitarbeiter!$F$60&lt;&gt;"",L$5&gt;Mitarbeiter!$F$60),0,IF(Planung!L62="",$C62,IF(ISNUMBER(Planung!L62),Planung!L62,IF(UPPER(Planung!L62)="H",$C62/2,0)))))))</f>
        <v>0</v>
      </c>
      <c r="M62" s="27">
        <f>IF($A62="",0,IF(Mitarbeiter!$G$60=FALSE,0,IF(AND(Mitarbeiter!$E$60&lt;&gt;"",M$5+6&lt;Mitarbeiter!$E$60),0,IF(AND(Mitarbeiter!$F$60&lt;&gt;"",M$5&gt;Mitarbeiter!$F$60),0,IF(Planung!M62="",$C62,IF(ISNUMBER(Planung!M62),Planung!M62,IF(UPPER(Planung!M62)="H",$C62/2,0)))))))</f>
        <v>0</v>
      </c>
      <c r="N62" s="27">
        <f>IF($A62="",0,IF(Mitarbeiter!$G$60=FALSE,0,IF(AND(Mitarbeiter!$E$60&lt;&gt;"",N$5+6&lt;Mitarbeiter!$E$60),0,IF(AND(Mitarbeiter!$F$60&lt;&gt;"",N$5&gt;Mitarbeiter!$F$60),0,IF(Planung!N62="",$C62,IF(ISNUMBER(Planung!N62),Planung!N62,IF(UPPER(Planung!N62)="H",$C62/2,0)))))))</f>
        <v>0</v>
      </c>
      <c r="O62" s="27">
        <f>IF($A62="",0,IF(Mitarbeiter!$G$60=FALSE,0,IF(AND(Mitarbeiter!$E$60&lt;&gt;"",O$5+6&lt;Mitarbeiter!$E$60),0,IF(AND(Mitarbeiter!$F$60&lt;&gt;"",O$5&gt;Mitarbeiter!$F$60),0,IF(Planung!O62="",$C62,IF(ISNUMBER(Planung!O62),Planung!O62,IF(UPPER(Planung!O62)="H",$C62/2,0)))))))</f>
        <v>0</v>
      </c>
      <c r="P62" s="27">
        <f>IF($A62="",0,IF(Mitarbeiter!$G$60=FALSE,0,IF(AND(Mitarbeiter!$E$60&lt;&gt;"",P$5+6&lt;Mitarbeiter!$E$60),0,IF(AND(Mitarbeiter!$F$60&lt;&gt;"",P$5&gt;Mitarbeiter!$F$60),0,IF(Planung!P62="",$C62,IF(ISNUMBER(Planung!P62),Planung!P62,IF(UPPER(Planung!P62)="H",$C62/2,0)))))))</f>
        <v>0</v>
      </c>
      <c r="Q62" s="27">
        <f>IF($A62="",0,IF(Mitarbeiter!$G$60=FALSE,0,IF(AND(Mitarbeiter!$E$60&lt;&gt;"",Q$5+6&lt;Mitarbeiter!$E$60),0,IF(AND(Mitarbeiter!$F$60&lt;&gt;"",Q$5&gt;Mitarbeiter!$F$60),0,IF(Planung!Q62="",$C62,IF(ISNUMBER(Planung!Q62),Planung!Q62,IF(UPPER(Planung!Q62)="H",$C62/2,0)))))))</f>
        <v>0</v>
      </c>
      <c r="R62" s="27">
        <f>IF($A62="",0,IF(Mitarbeiter!$G$60=FALSE,0,IF(AND(Mitarbeiter!$E$60&lt;&gt;"",R$5+6&lt;Mitarbeiter!$E$60),0,IF(AND(Mitarbeiter!$F$60&lt;&gt;"",R$5&gt;Mitarbeiter!$F$60),0,IF(Planung!R62="",$C62,IF(ISNUMBER(Planung!R62),Planung!R62,IF(UPPER(Planung!R62)="H",$C62/2,0)))))))</f>
        <v>0</v>
      </c>
      <c r="S62" s="27">
        <f>IF($A62="",0,IF(Mitarbeiter!$G$60=FALSE,0,IF(AND(Mitarbeiter!$E$60&lt;&gt;"",S$5+6&lt;Mitarbeiter!$E$60),0,IF(AND(Mitarbeiter!$F$60&lt;&gt;"",S$5&gt;Mitarbeiter!$F$60),0,IF(Planung!S62="",$C62,IF(ISNUMBER(Planung!S62),Planung!S62,IF(UPPER(Planung!S62)="H",$C62/2,0)))))))</f>
        <v>0</v>
      </c>
      <c r="T62" s="27">
        <f>IF($A62="",0,IF(Mitarbeiter!$G$60=FALSE,0,IF(AND(Mitarbeiter!$E$60&lt;&gt;"",T$5+6&lt;Mitarbeiter!$E$60),0,IF(AND(Mitarbeiter!$F$60&lt;&gt;"",T$5&gt;Mitarbeiter!$F$60),0,IF(Planung!T62="",$C62,IF(ISNUMBER(Planung!T62),Planung!T62,IF(UPPER(Planung!T62)="H",$C62/2,0)))))))</f>
        <v>0</v>
      </c>
      <c r="U62" s="27">
        <f>IF($A62="",0,IF(Mitarbeiter!$G$60=FALSE,0,IF(AND(Mitarbeiter!$E$60&lt;&gt;"",U$5+6&lt;Mitarbeiter!$E$60),0,IF(AND(Mitarbeiter!$F$60&lt;&gt;"",U$5&gt;Mitarbeiter!$F$60),0,IF(Planung!U62="",$C62,IF(ISNUMBER(Planung!U62),Planung!U62,IF(UPPER(Planung!U62)="H",$C62/2,0)))))))</f>
        <v>0</v>
      </c>
      <c r="V62" s="27">
        <f>IF($A62="",0,IF(Mitarbeiter!$G$60=FALSE,0,IF(AND(Mitarbeiter!$E$60&lt;&gt;"",V$5+6&lt;Mitarbeiter!$E$60),0,IF(AND(Mitarbeiter!$F$60&lt;&gt;"",V$5&gt;Mitarbeiter!$F$60),0,IF(Planung!V62="",$C62,IF(ISNUMBER(Planung!V62),Planung!V62,IF(UPPER(Planung!V62)="H",$C62/2,0)))))))</f>
        <v>0</v>
      </c>
      <c r="W62" s="27">
        <f>IF($A62="",0,IF(Mitarbeiter!$G$60=FALSE,0,IF(AND(Mitarbeiter!$E$60&lt;&gt;"",W$5+6&lt;Mitarbeiter!$E$60),0,IF(AND(Mitarbeiter!$F$60&lt;&gt;"",W$5&gt;Mitarbeiter!$F$60),0,IF(Planung!W62="",$C62,IF(ISNUMBER(Planung!W62),Planung!W62,IF(UPPER(Planung!W62)="H",$C62/2,0)))))))</f>
        <v>0</v>
      </c>
      <c r="X62" s="27">
        <f>IF($A62="",0,IF(Mitarbeiter!$G$60=FALSE,0,IF(AND(Mitarbeiter!$E$60&lt;&gt;"",X$5+6&lt;Mitarbeiter!$E$60),0,IF(AND(Mitarbeiter!$F$60&lt;&gt;"",X$5&gt;Mitarbeiter!$F$60),0,IF(Planung!X62="",$C62,IF(ISNUMBER(Planung!X62),Planung!X62,IF(UPPER(Planung!X62)="H",$C62/2,0)))))))</f>
        <v>0</v>
      </c>
      <c r="Y62" s="27">
        <f>IF($A62="",0,IF(Mitarbeiter!$G$60=FALSE,0,IF(AND(Mitarbeiter!$E$60&lt;&gt;"",Y$5+6&lt;Mitarbeiter!$E$60),0,IF(AND(Mitarbeiter!$F$60&lt;&gt;"",Y$5&gt;Mitarbeiter!$F$60),0,IF(Planung!Y62="",$C62,IF(ISNUMBER(Planung!Y62),Planung!Y62,IF(UPPER(Planung!Y62)="H",$C62/2,0)))))))</f>
        <v>0</v>
      </c>
      <c r="Z62" s="27">
        <f>IF($A62="",0,IF(Mitarbeiter!$G$60=FALSE,0,IF(AND(Mitarbeiter!$E$60&lt;&gt;"",Z$5+6&lt;Mitarbeiter!$E$60),0,IF(AND(Mitarbeiter!$F$60&lt;&gt;"",Z$5&gt;Mitarbeiter!$F$60),0,IF(Planung!Z62="",$C62,IF(ISNUMBER(Planung!Z62),Planung!Z62,IF(UPPER(Planung!Z62)="H",$C62/2,0)))))))</f>
        <v>0</v>
      </c>
      <c r="AA62" s="27">
        <f>IF($A62="",0,IF(Mitarbeiter!$G$60=FALSE,0,IF(AND(Mitarbeiter!$E$60&lt;&gt;"",AA$5+6&lt;Mitarbeiter!$E$60),0,IF(AND(Mitarbeiter!$F$60&lt;&gt;"",AA$5&gt;Mitarbeiter!$F$60),0,IF(Planung!AA62="",$C62,IF(ISNUMBER(Planung!AA62),Planung!AA62,IF(UPPER(Planung!AA62)="H",$C62/2,0)))))))</f>
        <v>0</v>
      </c>
      <c r="AB62" s="27">
        <f>IF($A62="",0,IF(Mitarbeiter!$G$60=FALSE,0,IF(AND(Mitarbeiter!$E$60&lt;&gt;"",AB$5+6&lt;Mitarbeiter!$E$60),0,IF(AND(Mitarbeiter!$F$60&lt;&gt;"",AB$5&gt;Mitarbeiter!$F$60),0,IF(Planung!AB62="",$C62,IF(ISNUMBER(Planung!AB62),Planung!AB62,IF(UPPER(Planung!AB62)="H",$C62/2,0)))))))</f>
        <v>0</v>
      </c>
      <c r="AC62" s="27">
        <f>IF($A62="",0,IF(Mitarbeiter!$G$60=FALSE,0,IF(AND(Mitarbeiter!$E$60&lt;&gt;"",AC$5+6&lt;Mitarbeiter!$E$60),0,IF(AND(Mitarbeiter!$F$60&lt;&gt;"",AC$5&gt;Mitarbeiter!$F$60),0,IF(Planung!AC62="",$C62,IF(ISNUMBER(Planung!AC62),Planung!AC62,IF(UPPER(Planung!AC62)="H",$C62/2,0)))))))</f>
        <v>0</v>
      </c>
      <c r="AD62" s="27">
        <f>IF($A62="",0,IF(Mitarbeiter!$G$60=FALSE,0,IF(AND(Mitarbeiter!$E$60&lt;&gt;"",AD$5+6&lt;Mitarbeiter!$E$60),0,IF(AND(Mitarbeiter!$F$60&lt;&gt;"",AD$5&gt;Mitarbeiter!$F$60),0,IF(Planung!AD62="",$C62,IF(ISNUMBER(Planung!AD62),Planung!AD62,IF(UPPER(Planung!AD62)="H",$C62/2,0)))))))</f>
        <v>0</v>
      </c>
      <c r="AE62" s="27">
        <f>IF($A62="",0,IF(Mitarbeiter!$G$60=FALSE,0,IF(AND(Mitarbeiter!$E$60&lt;&gt;"",AE$5+6&lt;Mitarbeiter!$E$60),0,IF(AND(Mitarbeiter!$F$60&lt;&gt;"",AE$5&gt;Mitarbeiter!$F$60),0,IF(Planung!AE62="",$C62,IF(ISNUMBER(Planung!AE62),Planung!AE62,IF(UPPER(Planung!AE62)="H",$C62/2,0)))))))</f>
        <v>0</v>
      </c>
      <c r="AF62" s="27">
        <f>IF($A62="",0,IF(Mitarbeiter!$G$60=FALSE,0,IF(AND(Mitarbeiter!$E$60&lt;&gt;"",AF$5+6&lt;Mitarbeiter!$E$60),0,IF(AND(Mitarbeiter!$F$60&lt;&gt;"",AF$5&gt;Mitarbeiter!$F$60),0,IF(Planung!AF62="",$C62,IF(ISNUMBER(Planung!AF62),Planung!AF62,IF(UPPER(Planung!AF62)="H",$C62/2,0)))))))</f>
        <v>0</v>
      </c>
      <c r="AG62" s="27">
        <f>IF($A62="",0,IF(Mitarbeiter!$G$60=FALSE,0,IF(AND(Mitarbeiter!$E$60&lt;&gt;"",AG$5+6&lt;Mitarbeiter!$E$60),0,IF(AND(Mitarbeiter!$F$60&lt;&gt;"",AG$5&gt;Mitarbeiter!$F$60),0,IF(Planung!AG62="",$C62,IF(ISNUMBER(Planung!AG62),Planung!AG62,IF(UPPER(Planung!AG62)="H",$C62/2,0)))))))</f>
        <v>0</v>
      </c>
      <c r="AH62" s="27">
        <f>IF($A62="",0,IF(Mitarbeiter!$G$60=FALSE,0,IF(AND(Mitarbeiter!$E$60&lt;&gt;"",AH$5+6&lt;Mitarbeiter!$E$60),0,IF(AND(Mitarbeiter!$F$60&lt;&gt;"",AH$5&gt;Mitarbeiter!$F$60),0,IF(Planung!AH62="",$C62,IF(ISNUMBER(Planung!AH62),Planung!AH62,IF(UPPER(Planung!AH62)="H",$C62/2,0)))))))</f>
        <v>0</v>
      </c>
      <c r="AI62" s="27">
        <f>IF($A62="",0,IF(Mitarbeiter!$G$60=FALSE,0,IF(AND(Mitarbeiter!$E$60&lt;&gt;"",AI$5+6&lt;Mitarbeiter!$E$60),0,IF(AND(Mitarbeiter!$F$60&lt;&gt;"",AI$5&gt;Mitarbeiter!$F$60),0,IF(Planung!AI62="",$C62,IF(ISNUMBER(Planung!AI62),Planung!AI62,IF(UPPER(Planung!AI62)="H",$C62/2,0)))))))</f>
        <v>0</v>
      </c>
      <c r="AJ62" s="27">
        <f>IF($A62="",0,IF(Mitarbeiter!$G$60=FALSE,0,IF(AND(Mitarbeiter!$E$60&lt;&gt;"",AJ$5+6&lt;Mitarbeiter!$E$60),0,IF(AND(Mitarbeiter!$F$60&lt;&gt;"",AJ$5&gt;Mitarbeiter!$F$60),0,IF(Planung!AJ62="",$C62,IF(ISNUMBER(Planung!AJ62),Planung!AJ62,IF(UPPER(Planung!AJ62)="H",$C62/2,0)))))))</f>
        <v>0</v>
      </c>
      <c r="AK62" s="27">
        <f>IF($A62="",0,IF(Mitarbeiter!$G$60=FALSE,0,IF(AND(Mitarbeiter!$E$60&lt;&gt;"",AK$5+6&lt;Mitarbeiter!$E$60),0,IF(AND(Mitarbeiter!$F$60&lt;&gt;"",AK$5&gt;Mitarbeiter!$F$60),0,IF(Planung!AK62="",$C62,IF(ISNUMBER(Planung!AK62),Planung!AK62,IF(UPPER(Planung!AK62)="H",$C62/2,0)))))))</f>
        <v>0</v>
      </c>
      <c r="AL62" s="27">
        <f>IF($A62="",0,IF(Mitarbeiter!$G$60=FALSE,0,IF(AND(Mitarbeiter!$E$60&lt;&gt;"",AL$5+6&lt;Mitarbeiter!$E$60),0,IF(AND(Mitarbeiter!$F$60&lt;&gt;"",AL$5&gt;Mitarbeiter!$F$60),0,IF(Planung!AL62="",$C62,IF(ISNUMBER(Planung!AL62),Planung!AL62,IF(UPPER(Planung!AL62)="H",$C62/2,0)))))))</f>
        <v>0</v>
      </c>
      <c r="AM62" s="27">
        <f>IF($A62="",0,IF(Mitarbeiter!$G$60=FALSE,0,IF(AND(Mitarbeiter!$E$60&lt;&gt;"",AM$5+6&lt;Mitarbeiter!$E$60),0,IF(AND(Mitarbeiter!$F$60&lt;&gt;"",AM$5&gt;Mitarbeiter!$F$60),0,IF(Planung!AM62="",$C62,IF(ISNUMBER(Planung!AM62),Planung!AM62,IF(UPPER(Planung!AM62)="H",$C62/2,0)))))))</f>
        <v>0</v>
      </c>
      <c r="AN62" s="27">
        <f>IF($A62="",0,IF(Mitarbeiter!$G$60=FALSE,0,IF(AND(Mitarbeiter!$E$60&lt;&gt;"",AN$5+6&lt;Mitarbeiter!$E$60),0,IF(AND(Mitarbeiter!$F$60&lt;&gt;"",AN$5&gt;Mitarbeiter!$F$60),0,IF(Planung!AN62="",$C62,IF(ISNUMBER(Planung!AN62),Planung!AN62,IF(UPPER(Planung!AN62)="H",$C62/2,0)))))))</f>
        <v>0</v>
      </c>
      <c r="AO62" s="27">
        <f>IF($A62="",0,IF(Mitarbeiter!$G$60=FALSE,0,IF(AND(Mitarbeiter!$E$60&lt;&gt;"",AO$5+6&lt;Mitarbeiter!$E$60),0,IF(AND(Mitarbeiter!$F$60&lt;&gt;"",AO$5&gt;Mitarbeiter!$F$60),0,IF(Planung!AO62="",$C62,IF(ISNUMBER(Planung!AO62),Planung!AO62,IF(UPPER(Planung!AO62)="H",$C62/2,0)))))))</f>
        <v>0</v>
      </c>
      <c r="AP62" s="27">
        <f>IF($A62="",0,IF(Mitarbeiter!$G$60=FALSE,0,IF(AND(Mitarbeiter!$E$60&lt;&gt;"",AP$5+6&lt;Mitarbeiter!$E$60),0,IF(AND(Mitarbeiter!$F$60&lt;&gt;"",AP$5&gt;Mitarbeiter!$F$60),0,IF(Planung!AP62="",$C62,IF(ISNUMBER(Planung!AP62),Planung!AP62,IF(UPPER(Planung!AP62)="H",$C62/2,0)))))))</f>
        <v>0</v>
      </c>
      <c r="AQ62" s="27">
        <f>IF($A62="",0,IF(Mitarbeiter!$G$60=FALSE,0,IF(AND(Mitarbeiter!$E$60&lt;&gt;"",AQ$5+6&lt;Mitarbeiter!$E$60),0,IF(AND(Mitarbeiter!$F$60&lt;&gt;"",AQ$5&gt;Mitarbeiter!$F$60),0,IF(Planung!AQ62="",$C62,IF(ISNUMBER(Planung!AQ62),Planung!AQ62,IF(UPPER(Planung!AQ62)="H",$C62/2,0)))))))</f>
        <v>0</v>
      </c>
      <c r="AR62" s="27">
        <f>IF($A62="",0,IF(Mitarbeiter!$G$60=FALSE,0,IF(AND(Mitarbeiter!$E$60&lt;&gt;"",AR$5+6&lt;Mitarbeiter!$E$60),0,IF(AND(Mitarbeiter!$F$60&lt;&gt;"",AR$5&gt;Mitarbeiter!$F$60),0,IF(Planung!AR62="",$C62,IF(ISNUMBER(Planung!AR62),Planung!AR62,IF(UPPER(Planung!AR62)="H",$C62/2,0)))))))</f>
        <v>0</v>
      </c>
      <c r="AS62" s="27">
        <f>IF($A62="",0,IF(Mitarbeiter!$G$60=FALSE,0,IF(AND(Mitarbeiter!$E$60&lt;&gt;"",AS$5+6&lt;Mitarbeiter!$E$60),0,IF(AND(Mitarbeiter!$F$60&lt;&gt;"",AS$5&gt;Mitarbeiter!$F$60),0,IF(Planung!AS62="",$C62,IF(ISNUMBER(Planung!AS62),Planung!AS62,IF(UPPER(Planung!AS62)="H",$C62/2,0)))))))</f>
        <v>0</v>
      </c>
      <c r="AT62" s="27">
        <f>IF($A62="",0,IF(Mitarbeiter!$G$60=FALSE,0,IF(AND(Mitarbeiter!$E$60&lt;&gt;"",AT$5+6&lt;Mitarbeiter!$E$60),0,IF(AND(Mitarbeiter!$F$60&lt;&gt;"",AT$5&gt;Mitarbeiter!$F$60),0,IF(Planung!AT62="",$C62,IF(ISNUMBER(Planung!AT62),Planung!AT62,IF(UPPER(Planung!AT62)="H",$C62/2,0)))))))</f>
        <v>0</v>
      </c>
      <c r="AU62" s="27">
        <f>IF($A62="",0,IF(Mitarbeiter!$G$60=FALSE,0,IF(AND(Mitarbeiter!$E$60&lt;&gt;"",AU$5+6&lt;Mitarbeiter!$E$60),0,IF(AND(Mitarbeiter!$F$60&lt;&gt;"",AU$5&gt;Mitarbeiter!$F$60),0,IF(Planung!AU62="",$C62,IF(ISNUMBER(Planung!AU62),Planung!AU62,IF(UPPER(Planung!AU62)="H",$C62/2,0)))))))</f>
        <v>0</v>
      </c>
      <c r="AV62" s="27">
        <f>IF($A62="",0,IF(Mitarbeiter!$G$60=FALSE,0,IF(AND(Mitarbeiter!$E$60&lt;&gt;"",AV$5+6&lt;Mitarbeiter!$E$60),0,IF(AND(Mitarbeiter!$F$60&lt;&gt;"",AV$5&gt;Mitarbeiter!$F$60),0,IF(Planung!AV62="",$C62,IF(ISNUMBER(Planung!AV62),Planung!AV62,IF(UPPER(Planung!AV62)="H",$C62/2,0)))))))</f>
        <v>0</v>
      </c>
      <c r="AW62" s="27">
        <f>IF($A62="",0,IF(Mitarbeiter!$G$60=FALSE,0,IF(AND(Mitarbeiter!$E$60&lt;&gt;"",AW$5+6&lt;Mitarbeiter!$E$60),0,IF(AND(Mitarbeiter!$F$60&lt;&gt;"",AW$5&gt;Mitarbeiter!$F$60),0,IF(Planung!AW62="",$C62,IF(ISNUMBER(Planung!AW62),Planung!AW62,IF(UPPER(Planung!AW62)="H",$C62/2,0)))))))</f>
        <v>0</v>
      </c>
      <c r="AX62" s="27">
        <f>IF($A62="",0,IF(Mitarbeiter!$G$60=FALSE,0,IF(AND(Mitarbeiter!$E$60&lt;&gt;"",AX$5+6&lt;Mitarbeiter!$E$60),0,IF(AND(Mitarbeiter!$F$60&lt;&gt;"",AX$5&gt;Mitarbeiter!$F$60),0,IF(Planung!AX62="",$C62,IF(ISNUMBER(Planung!AX62),Planung!AX62,IF(UPPER(Planung!AX62)="H",$C62/2,0)))))))</f>
        <v>0</v>
      </c>
      <c r="AY62" s="27">
        <f>IF($A62="",0,IF(Mitarbeiter!$G$60=FALSE,0,IF(AND(Mitarbeiter!$E$60&lt;&gt;"",AY$5+6&lt;Mitarbeiter!$E$60),0,IF(AND(Mitarbeiter!$F$60&lt;&gt;"",AY$5&gt;Mitarbeiter!$F$60),0,IF(Planung!AY62="",$C62,IF(ISNUMBER(Planung!AY62),Planung!AY62,IF(UPPER(Planung!AY62)="H",$C62/2,0)))))))</f>
        <v>0</v>
      </c>
      <c r="AZ62" s="27">
        <f>IF($A62="",0,IF(Mitarbeiter!$G$60=FALSE,0,IF(AND(Mitarbeiter!$E$60&lt;&gt;"",AZ$5+6&lt;Mitarbeiter!$E$60),0,IF(AND(Mitarbeiter!$F$60&lt;&gt;"",AZ$5&gt;Mitarbeiter!$F$60),0,IF(Planung!AZ62="",$C62,IF(ISNUMBER(Planung!AZ62),Planung!AZ62,IF(UPPER(Planung!AZ62)="H",$C62/2,0)))))))</f>
        <v>0</v>
      </c>
      <c r="BA62" s="27">
        <f>IF($A62="",0,IF(Mitarbeiter!$G$60=FALSE,0,IF(AND(Mitarbeiter!$E$60&lt;&gt;"",BA$5+6&lt;Mitarbeiter!$E$60),0,IF(AND(Mitarbeiter!$F$60&lt;&gt;"",BA$5&gt;Mitarbeiter!$F$60),0,IF(Planung!BA62="",$C62,IF(ISNUMBER(Planung!BA62),Planung!BA62,IF(UPPER(Planung!BA62)="H",$C62/2,0)))))))</f>
        <v>0</v>
      </c>
      <c r="BB62" s="27">
        <f>IF($A62="",0,IF(Mitarbeiter!$G$60=FALSE,0,IF(AND(Mitarbeiter!$E$60&lt;&gt;"",BB$5+6&lt;Mitarbeiter!$E$60),0,IF(AND(Mitarbeiter!$F$60&lt;&gt;"",BB$5&gt;Mitarbeiter!$F$60),0,IF(Planung!BB62="",$C62,IF(ISNUMBER(Planung!BB62),Planung!BB62,IF(UPPER(Planung!BB62)="H",$C62/2,0)))))))</f>
        <v>0</v>
      </c>
      <c r="BC62" s="27">
        <f>IF($A62="",0,IF(Mitarbeiter!$G$60=FALSE,0,IF(AND(Mitarbeiter!$E$60&lt;&gt;"",BC$5+6&lt;Mitarbeiter!$E$60),0,IF(AND(Mitarbeiter!$F$60&lt;&gt;"",BC$5&gt;Mitarbeiter!$F$60),0,IF(Planung!BC62="",$C62,IF(ISNUMBER(Planung!BC62),Planung!BC62,IF(UPPER(Planung!BC62)="H",$C62/2,0)))))))</f>
        <v>0</v>
      </c>
      <c r="BD62" s="27">
        <f>IF($A62="",0,IF(Mitarbeiter!$G$60=FALSE,0,IF(AND(Mitarbeiter!$E$60&lt;&gt;"",BD$5+6&lt;Mitarbeiter!$E$60),0,IF(AND(Mitarbeiter!$F$60&lt;&gt;"",BD$5&gt;Mitarbeiter!$F$60),0,IF(Planung!BD62="",$C62,IF(ISNUMBER(Planung!BD62),Planung!BD62,IF(UPPER(Planung!BD62)="H",$C62/2,0)))))))</f>
        <v>0</v>
      </c>
      <c r="BE62" s="27">
        <f>IF($A62="",0,IF(Mitarbeiter!$G$60=FALSE,0,IF(AND(Mitarbeiter!$E$60&lt;&gt;"",BE$5+6&lt;Mitarbeiter!$E$60),0,IF(AND(Mitarbeiter!$F$60&lt;&gt;"",BE$5&gt;Mitarbeiter!$F$60),0,IF(Planung!BE62="",$C62,IF(ISNUMBER(Planung!BE62),Planung!BE62,IF(UPPER(Planung!BE62)="H",$C62/2,0)))))))</f>
        <v>0</v>
      </c>
      <c r="BF62" s="27">
        <f>IF($A62="",0,IF(Mitarbeiter!$G$60=FALSE,0,IF(AND(Mitarbeiter!$E$60&lt;&gt;"",BF$5+6&lt;Mitarbeiter!$E$60),0,IF(AND(Mitarbeiter!$F$60&lt;&gt;"",BF$5&gt;Mitarbeiter!$F$60),0,IF(Planung!BF62="",$C62,IF(ISNUMBER(Planung!BF62),Planung!BF62,IF(UPPER(Planung!BF62)="H",$C62/2,0)))))))</f>
        <v>0</v>
      </c>
      <c r="BG62" s="27">
        <f>IF($A62="",0,IF(Mitarbeiter!$G$60=FALSE,0,IF(AND(Mitarbeiter!$E$60&lt;&gt;"",BG$5+6&lt;Mitarbeiter!$E$60),0,IF(AND(Mitarbeiter!$F$60&lt;&gt;"",BG$5&gt;Mitarbeiter!$F$60),0,IF(Planung!BG62="",$C62,IF(ISNUMBER(Planung!BG62),Planung!BG62,IF(UPPER(Planung!BG62)="H",$C62/2,0)))))))</f>
        <v>0</v>
      </c>
      <c r="BH62" s="27">
        <f>IF($A62="",0,IF(Mitarbeiter!$G$60=FALSE,0,IF(AND(Mitarbeiter!$E$60&lt;&gt;"",BH$5+6&lt;Mitarbeiter!$E$60),0,IF(AND(Mitarbeiter!$F$60&lt;&gt;"",BH$5&gt;Mitarbeiter!$F$60),0,IF(Planung!BH62="",$C62,IF(ISNUMBER(Planung!BH62),Planung!BH62,IF(UPPER(Planung!BH62)="H",$C62/2,0)))))))</f>
        <v>0</v>
      </c>
      <c r="BI62" s="27">
        <f>IF($A62="",0,IF(Mitarbeiter!$G$60=FALSE,0,IF(AND(Mitarbeiter!$E$60&lt;&gt;"",BI$5+6&lt;Mitarbeiter!$E$60),0,IF(AND(Mitarbeiter!$F$60&lt;&gt;"",BI$5&gt;Mitarbeiter!$F$60),0,IF(Planung!BI62="",$C62,IF(ISNUMBER(Planung!BI62),Planung!BI62,IF(UPPER(Planung!BI62)="H",$C62/2,0)))))))</f>
        <v>0</v>
      </c>
      <c r="BJ62" s="27">
        <f>IF($A62="",0,IF(Mitarbeiter!$G$60=FALSE,0,IF(AND(Mitarbeiter!$E$60&lt;&gt;"",BJ$5+6&lt;Mitarbeiter!$E$60),0,IF(AND(Mitarbeiter!$F$60&lt;&gt;"",BJ$5&gt;Mitarbeiter!$F$60),0,IF(Planung!BJ62="",$C62,IF(ISNUMBER(Planung!BJ62),Planung!BJ62,IF(UPPER(Planung!BJ62)="H",$C62/2,0)))))))</f>
        <v>0</v>
      </c>
      <c r="BK62" s="27">
        <f>IF($A62="",0,IF(Mitarbeiter!$G$60=FALSE,0,IF(AND(Mitarbeiter!$E$60&lt;&gt;"",BK$5+6&lt;Mitarbeiter!$E$60),0,IF(AND(Mitarbeiter!$F$60&lt;&gt;"",BK$5&gt;Mitarbeiter!$F$60),0,IF(Planung!BK62="",$C62,IF(ISNUMBER(Planung!BK62),Planung!BK62,IF(UPPER(Planung!BK62)="H",$C62/2,0)))))))</f>
        <v>0</v>
      </c>
      <c r="BL62" s="27">
        <f>IF($A62="",0,IF(Mitarbeiter!$G$60=FALSE,0,IF(AND(Mitarbeiter!$E$60&lt;&gt;"",BL$5+6&lt;Mitarbeiter!$E$60),0,IF(AND(Mitarbeiter!$F$60&lt;&gt;"",BL$5&gt;Mitarbeiter!$F$60),0,IF(Planung!BL62="",$C62,IF(ISNUMBER(Planung!BL62),Planung!BL62,IF(UPPER(Planung!BL62)="H",$C62/2,0)))))))</f>
        <v>0</v>
      </c>
      <c r="BM62" s="27">
        <f>IF($A62="",0,IF(Mitarbeiter!$G$60=FALSE,0,IF(AND(Mitarbeiter!$E$60&lt;&gt;"",BM$5+6&lt;Mitarbeiter!$E$60),0,IF(AND(Mitarbeiter!$F$60&lt;&gt;"",BM$5&gt;Mitarbeiter!$F$60),0,IF(Planung!BM62="",$C62,IF(ISNUMBER(Planung!BM62),Planung!BM62,IF(UPPER(Planung!BM62)="H",$C62/2,0)))))))</f>
        <v>0</v>
      </c>
      <c r="BN62" s="27">
        <f>IF($A62="",0,IF(Mitarbeiter!$G$60=FALSE,0,IF(AND(Mitarbeiter!$E$60&lt;&gt;"",BN$5+6&lt;Mitarbeiter!$E$60),0,IF(AND(Mitarbeiter!$F$60&lt;&gt;"",BN$5&gt;Mitarbeiter!$F$60),0,IF(Planung!BN62="",$C62,IF(ISNUMBER(Planung!BN62),Planung!BN62,IF(UPPER(Planung!BN62)="H",$C62/2,0)))))))</f>
        <v>0</v>
      </c>
      <c r="BO62" s="27">
        <f>IF($A62="",0,IF(Mitarbeiter!$G$60=FALSE,0,IF(AND(Mitarbeiter!$E$60&lt;&gt;"",BO$5+6&lt;Mitarbeiter!$E$60),0,IF(AND(Mitarbeiter!$F$60&lt;&gt;"",BO$5&gt;Mitarbeiter!$F$60),0,IF(Planung!BO62="",$C62,IF(ISNUMBER(Planung!BO62),Planung!BO62,IF(UPPER(Planung!BO62)="H",$C62/2,0)))))))</f>
        <v>0</v>
      </c>
      <c r="BP62" s="27">
        <f>IF($A62="",0,IF(Mitarbeiter!$G$60=FALSE,0,IF(AND(Mitarbeiter!$E$60&lt;&gt;"",BP$5+6&lt;Mitarbeiter!$E$60),0,IF(AND(Mitarbeiter!$F$60&lt;&gt;"",BP$5&gt;Mitarbeiter!$F$60),0,IF(Planung!BP62="",$C62,IF(ISNUMBER(Planung!BP62),Planung!BP62,IF(UPPER(Planung!BP62)="H",$C62/2,0)))))))</f>
        <v>0</v>
      </c>
      <c r="BQ62" s="27">
        <f>IF($A62="",0,IF(Mitarbeiter!$G$60=FALSE,0,IF(AND(Mitarbeiter!$E$60&lt;&gt;"",BQ$5+6&lt;Mitarbeiter!$E$60),0,IF(AND(Mitarbeiter!$F$60&lt;&gt;"",BQ$5&gt;Mitarbeiter!$F$60),0,IF(Planung!BQ62="",$C62,IF(ISNUMBER(Planung!BQ62),Planung!BQ62,IF(UPPER(Planung!BQ62)="H",$C62/2,0)))))))</f>
        <v>0</v>
      </c>
      <c r="BR62" s="27">
        <f>IF($A62="",0,IF(Mitarbeiter!$G$60=FALSE,0,IF(AND(Mitarbeiter!$E$60&lt;&gt;"",BR$5+6&lt;Mitarbeiter!$E$60),0,IF(AND(Mitarbeiter!$F$60&lt;&gt;"",BR$5&gt;Mitarbeiter!$F$60),0,IF(Planung!BR62="",$C62,IF(ISNUMBER(Planung!BR62),Planung!BR62,IF(UPPER(Planung!BR62)="H",$C62/2,0)))))))</f>
        <v>0</v>
      </c>
      <c r="BS62" s="27">
        <f>IF($A62="",0,IF(Mitarbeiter!$G$60=FALSE,0,IF(AND(Mitarbeiter!$E$60&lt;&gt;"",BS$5+6&lt;Mitarbeiter!$E$60),0,IF(AND(Mitarbeiter!$F$60&lt;&gt;"",BS$5&gt;Mitarbeiter!$F$60),0,IF(Planung!BS62="",$C62,IF(ISNUMBER(Planung!BS62),Planung!BS62,IF(UPPER(Planung!BS62)="H",$C62/2,0)))))))</f>
        <v>0</v>
      </c>
      <c r="BT62" s="27">
        <f>IF($A62="",0,IF(Mitarbeiter!$G$60=FALSE,0,IF(AND(Mitarbeiter!$E$60&lt;&gt;"",BT$5+6&lt;Mitarbeiter!$E$60),0,IF(AND(Mitarbeiter!$F$60&lt;&gt;"",BT$5&gt;Mitarbeiter!$F$60),0,IF(Planung!BT62="",$C62,IF(ISNUMBER(Planung!BT62),Planung!BT62,IF(UPPER(Planung!BT62)="H",$C62/2,0)))))))</f>
        <v>0</v>
      </c>
      <c r="BU62" s="27">
        <f>IF($A62="",0,IF(Mitarbeiter!$G$60=FALSE,0,IF(AND(Mitarbeiter!$E$60&lt;&gt;"",BU$5+6&lt;Mitarbeiter!$E$60),0,IF(AND(Mitarbeiter!$F$60&lt;&gt;"",BU$5&gt;Mitarbeiter!$F$60),0,IF(Planung!BU62="",$C62,IF(ISNUMBER(Planung!BU62),Planung!BU62,IF(UPPER(Planung!BU62)="H",$C62/2,0)))))))</f>
        <v>0</v>
      </c>
      <c r="BV62" s="27">
        <f>IF($A62="",0,IF(Mitarbeiter!$G$60=FALSE,0,IF(AND(Mitarbeiter!$E$60&lt;&gt;"",BV$5+6&lt;Mitarbeiter!$E$60),0,IF(AND(Mitarbeiter!$F$60&lt;&gt;"",BV$5&gt;Mitarbeiter!$F$60),0,IF(Planung!BV62="",$C62,IF(ISNUMBER(Planung!BV62),Planung!BV62,IF(UPPER(Planung!BV62)="H",$C62/2,0)))))))</f>
        <v>0</v>
      </c>
      <c r="BW62" s="27">
        <f>IF($A62="",0,IF(Mitarbeiter!$G$60=FALSE,0,IF(AND(Mitarbeiter!$E$60&lt;&gt;"",BW$5+6&lt;Mitarbeiter!$E$60),0,IF(AND(Mitarbeiter!$F$60&lt;&gt;"",BW$5&gt;Mitarbeiter!$F$60),0,IF(Planung!BW62="",$C62,IF(ISNUMBER(Planung!BW62),Planung!BW62,IF(UPPER(Planung!BW62)="H",$C62/2,0)))))))</f>
        <v>0</v>
      </c>
      <c r="BX62" s="27">
        <f>IF($A62="",0,IF(Mitarbeiter!$G$60=FALSE,0,IF(AND(Mitarbeiter!$E$60&lt;&gt;"",BX$5+6&lt;Mitarbeiter!$E$60),0,IF(AND(Mitarbeiter!$F$60&lt;&gt;"",BX$5&gt;Mitarbeiter!$F$60),0,IF(Planung!BX62="",$C62,IF(ISNUMBER(Planung!BX62),Planung!BX62,IF(UPPER(Planung!BX62)="H",$C62/2,0)))))))</f>
        <v>0</v>
      </c>
      <c r="BY62" s="27">
        <f>IF($A62="",0,IF(Mitarbeiter!$G$60=FALSE,0,IF(AND(Mitarbeiter!$E$60&lt;&gt;"",BY$5+6&lt;Mitarbeiter!$E$60),0,IF(AND(Mitarbeiter!$F$60&lt;&gt;"",BY$5&gt;Mitarbeiter!$F$60),0,IF(Planung!BY62="",$C62,IF(ISNUMBER(Planung!BY62),Planung!BY62,IF(UPPER(Planung!BY62)="H",$C62/2,0)))))))</f>
        <v>0</v>
      </c>
      <c r="BZ62" s="27">
        <f>IF($A62="",0,IF(Mitarbeiter!$G$60=FALSE,0,IF(AND(Mitarbeiter!$E$60&lt;&gt;"",BZ$5+6&lt;Mitarbeiter!$E$60),0,IF(AND(Mitarbeiter!$F$60&lt;&gt;"",BZ$5&gt;Mitarbeiter!$F$60),0,IF(Planung!BZ62="",$C62,IF(ISNUMBER(Planung!BZ62),Planung!BZ62,IF(UPPER(Planung!BZ62)="H",$C62/2,0)))))))</f>
        <v>0</v>
      </c>
      <c r="CA62" s="27">
        <f>IF($A62="",0,IF(Mitarbeiter!$G$60=FALSE,0,IF(AND(Mitarbeiter!$E$60&lt;&gt;"",CA$5+6&lt;Mitarbeiter!$E$60),0,IF(AND(Mitarbeiter!$F$60&lt;&gt;"",CA$5&gt;Mitarbeiter!$F$60),0,IF(Planung!CA62="",$C62,IF(ISNUMBER(Planung!CA62),Planung!CA62,IF(UPPER(Planung!CA62)="H",$C62/2,0)))))))</f>
        <v>0</v>
      </c>
      <c r="CB62" s="27">
        <f>IF($A62="",0,IF(Mitarbeiter!$G$60=FALSE,0,IF(AND(Mitarbeiter!$E$60&lt;&gt;"",CB$5+6&lt;Mitarbeiter!$E$60),0,IF(AND(Mitarbeiter!$F$60&lt;&gt;"",CB$5&gt;Mitarbeiter!$F$60),0,IF(Planung!CB62="",$C62,IF(ISNUMBER(Planung!CB62),Planung!CB62,IF(UPPER(Planung!CB62)="H",$C62/2,0)))))))</f>
        <v>0</v>
      </c>
      <c r="CC62" s="27">
        <f>IF($A62="",0,IF(Mitarbeiter!$G$60=FALSE,0,IF(AND(Mitarbeiter!$E$60&lt;&gt;"",CC$5+6&lt;Mitarbeiter!$E$60),0,IF(AND(Mitarbeiter!$F$60&lt;&gt;"",CC$5&gt;Mitarbeiter!$F$60),0,IF(Planung!CC62="",$C62,IF(ISNUMBER(Planung!CC62),Planung!CC62,IF(UPPER(Planung!CC62)="H",$C62/2,0)))))))</f>
        <v>0</v>
      </c>
      <c r="CD62" s="27">
        <f>IF($A62="",0,IF(Mitarbeiter!$G$60=FALSE,0,IF(AND(Mitarbeiter!$E$60&lt;&gt;"",CD$5+6&lt;Mitarbeiter!$E$60),0,IF(AND(Mitarbeiter!$F$60&lt;&gt;"",CD$5&gt;Mitarbeiter!$F$60),0,IF(Planung!CD62="",$C62,IF(ISNUMBER(Planung!CD62),Planung!CD62,IF(UPPER(Planung!CD62)="H",$C62/2,0)))))))</f>
        <v>0</v>
      </c>
      <c r="CE62" s="27">
        <f>IF($A62="",0,IF(Mitarbeiter!$G$60=FALSE,0,IF(AND(Mitarbeiter!$E$60&lt;&gt;"",CE$5+6&lt;Mitarbeiter!$E$60),0,IF(AND(Mitarbeiter!$F$60&lt;&gt;"",CE$5&gt;Mitarbeiter!$F$60),0,IF(Planung!CE62="",$C62,IF(ISNUMBER(Planung!CE62),Planung!CE62,IF(UPPER(Planung!CE62)="H",$C62/2,0)))))))</f>
        <v>0</v>
      </c>
      <c r="CF62" s="27">
        <f>IF($A62="",0,IF(Mitarbeiter!$G$60=FALSE,0,IF(AND(Mitarbeiter!$E$60&lt;&gt;"",CF$5+6&lt;Mitarbeiter!$E$60),0,IF(AND(Mitarbeiter!$F$60&lt;&gt;"",CF$5&gt;Mitarbeiter!$F$60),0,IF(Planung!CF62="",$C62,IF(ISNUMBER(Planung!CF62),Planung!CF62,IF(UPPER(Planung!CF62)="H",$C62/2,0)))))))</f>
        <v>0</v>
      </c>
      <c r="CG62" s="27">
        <f>IF($A62="",0,IF(Mitarbeiter!$G$60=FALSE,0,IF(AND(Mitarbeiter!$E$60&lt;&gt;"",CG$5+6&lt;Mitarbeiter!$E$60),0,IF(AND(Mitarbeiter!$F$60&lt;&gt;"",CG$5&gt;Mitarbeiter!$F$60),0,IF(Planung!CG62="",$C62,IF(ISNUMBER(Planung!CG62),Planung!CG62,IF(UPPER(Planung!CG62)="H",$C62/2,0)))))))</f>
        <v>0</v>
      </c>
      <c r="CH62" s="27">
        <f>IF($A62="",0,IF(Mitarbeiter!$G$60=FALSE,0,IF(AND(Mitarbeiter!$E$60&lt;&gt;"",CH$5+6&lt;Mitarbeiter!$E$60),0,IF(AND(Mitarbeiter!$F$60&lt;&gt;"",CH$5&gt;Mitarbeiter!$F$60),0,IF(Planung!CH62="",$C62,IF(ISNUMBER(Planung!CH62),Planung!CH62,IF(UPPER(Planung!CH62)="H",$C62/2,0)))))))</f>
        <v>0</v>
      </c>
      <c r="CI62" s="27">
        <f>IF($A62="",0,IF(Mitarbeiter!$G$60=FALSE,0,IF(AND(Mitarbeiter!$E$60&lt;&gt;"",CI$5+6&lt;Mitarbeiter!$E$60),0,IF(AND(Mitarbeiter!$F$60&lt;&gt;"",CI$5&gt;Mitarbeiter!$F$60),0,IF(Planung!CI62="",$C62,IF(ISNUMBER(Planung!CI62),Planung!CI62,IF(UPPER(Planung!CI62)="H",$C62/2,0)))))))</f>
        <v>0</v>
      </c>
      <c r="CJ62" s="27">
        <f>IF($A62="",0,IF(Mitarbeiter!$G$60=FALSE,0,IF(AND(Mitarbeiter!$E$60&lt;&gt;"",CJ$5+6&lt;Mitarbeiter!$E$60),0,IF(AND(Mitarbeiter!$F$60&lt;&gt;"",CJ$5&gt;Mitarbeiter!$F$60),0,IF(Planung!CJ62="",$C62,IF(ISNUMBER(Planung!CJ62),Planung!CJ62,IF(UPPER(Planung!CJ62)="H",$C62/2,0)))))))</f>
        <v>0</v>
      </c>
      <c r="CK62" s="27">
        <f>IF($A62="",0,IF(Mitarbeiter!$G$60=FALSE,0,IF(AND(Mitarbeiter!$E$60&lt;&gt;"",CK$5+6&lt;Mitarbeiter!$E$60),0,IF(AND(Mitarbeiter!$F$60&lt;&gt;"",CK$5&gt;Mitarbeiter!$F$60),0,IF(Planung!CK62="",$C62,IF(ISNUMBER(Planung!CK62),Planung!CK62,IF(UPPER(Planung!CK62)="H",$C62/2,0)))))))</f>
        <v>0</v>
      </c>
      <c r="CL62" s="27">
        <f>IF($A62="",0,IF(Mitarbeiter!$G$60=FALSE,0,IF(AND(Mitarbeiter!$E$60&lt;&gt;"",CL$5+6&lt;Mitarbeiter!$E$60),0,IF(AND(Mitarbeiter!$F$60&lt;&gt;"",CL$5&gt;Mitarbeiter!$F$60),0,IF(Planung!CL62="",$C62,IF(ISNUMBER(Planung!CL62),Planung!CL62,IF(UPPER(Planung!CL62)="H",$C62/2,0)))))))</f>
        <v>0</v>
      </c>
      <c r="CM62" s="27">
        <f>IF($A62="",0,IF(Mitarbeiter!$G$60=FALSE,0,IF(AND(Mitarbeiter!$E$60&lt;&gt;"",CM$5+6&lt;Mitarbeiter!$E$60),0,IF(AND(Mitarbeiter!$F$60&lt;&gt;"",CM$5&gt;Mitarbeiter!$F$60),0,IF(Planung!CM62="",$C62,IF(ISNUMBER(Planung!CM62),Planung!CM62,IF(UPPER(Planung!CM62)="H",$C62/2,0)))))))</f>
        <v>0</v>
      </c>
      <c r="CN62" s="27">
        <f>IF($A62="",0,IF(Mitarbeiter!$G$60=FALSE,0,IF(AND(Mitarbeiter!$E$60&lt;&gt;"",CN$5+6&lt;Mitarbeiter!$E$60),0,IF(AND(Mitarbeiter!$F$60&lt;&gt;"",CN$5&gt;Mitarbeiter!$F$60),0,IF(Planung!CN62="",$C62,IF(ISNUMBER(Planung!CN62),Planung!CN62,IF(UPPER(Planung!CN62)="H",$C62/2,0)))))))</f>
        <v>0</v>
      </c>
      <c r="CO62" s="27">
        <f>IF($A62="",0,IF(Mitarbeiter!$G$60=FALSE,0,IF(AND(Mitarbeiter!$E$60&lt;&gt;"",CO$5+6&lt;Mitarbeiter!$E$60),0,IF(AND(Mitarbeiter!$F$60&lt;&gt;"",CO$5&gt;Mitarbeiter!$F$60),0,IF(Planung!CO62="",$C62,IF(ISNUMBER(Planung!CO62),Planung!CO62,IF(UPPER(Planung!CO62)="H",$C62/2,0)))))))</f>
        <v>0</v>
      </c>
      <c r="CP62" s="27">
        <f>IF($A62="",0,IF(Mitarbeiter!$G$60=FALSE,0,IF(AND(Mitarbeiter!$E$60&lt;&gt;"",CP$5+6&lt;Mitarbeiter!$E$60),0,IF(AND(Mitarbeiter!$F$60&lt;&gt;"",CP$5&gt;Mitarbeiter!$F$60),0,IF(Planung!CP62="",$C62,IF(ISNUMBER(Planung!CP62),Planung!CP62,IF(UPPER(Planung!CP62)="H",$C62/2,0)))))))</f>
        <v>0</v>
      </c>
      <c r="CQ62" s="27">
        <f>IF($A62="",0,IF(Mitarbeiter!$G$60=FALSE,0,IF(AND(Mitarbeiter!$E$60&lt;&gt;"",CQ$5+6&lt;Mitarbeiter!$E$60),0,IF(AND(Mitarbeiter!$F$60&lt;&gt;"",CQ$5&gt;Mitarbeiter!$F$60),0,IF(Planung!CQ62="",$C62,IF(ISNUMBER(Planung!CQ62),Planung!CQ62,IF(UPPER(Planung!CQ62)="H",$C62/2,0)))))))</f>
        <v>0</v>
      </c>
      <c r="CR62" s="27">
        <f>IF($A62="",0,IF(Mitarbeiter!$G$60=FALSE,0,IF(AND(Mitarbeiter!$E$60&lt;&gt;"",CR$5+6&lt;Mitarbeiter!$E$60),0,IF(AND(Mitarbeiter!$F$60&lt;&gt;"",CR$5&gt;Mitarbeiter!$F$60),0,IF(Planung!CR62="",$C62,IF(ISNUMBER(Planung!CR62),Planung!CR62,IF(UPPER(Planung!CR62)="H",$C62/2,0)))))))</f>
        <v>0</v>
      </c>
      <c r="CS62" s="27">
        <f>IF($A62="",0,IF(Mitarbeiter!$G$60=FALSE,0,IF(AND(Mitarbeiter!$E$60&lt;&gt;"",CS$5+6&lt;Mitarbeiter!$E$60),0,IF(AND(Mitarbeiter!$F$60&lt;&gt;"",CS$5&gt;Mitarbeiter!$F$60),0,IF(Planung!CS62="",$C62,IF(ISNUMBER(Planung!CS62),Planung!CS62,IF(UPPER(Planung!CS62)="H",$C62/2,0)))))))</f>
        <v>0</v>
      </c>
      <c r="CT62" s="27">
        <f>IF($A62="",0,IF(Mitarbeiter!$G$60=FALSE,0,IF(AND(Mitarbeiter!$E$60&lt;&gt;"",CT$5+6&lt;Mitarbeiter!$E$60),0,IF(AND(Mitarbeiter!$F$60&lt;&gt;"",CT$5&gt;Mitarbeiter!$F$60),0,IF(Planung!CT62="",$C62,IF(ISNUMBER(Planung!CT62),Planung!CT62,IF(UPPER(Planung!CT62)="H",$C62/2,0)))))))</f>
        <v>0</v>
      </c>
      <c r="CU62" s="27">
        <f>IF($A62="",0,IF(Mitarbeiter!$G$60=FALSE,0,IF(AND(Mitarbeiter!$E$60&lt;&gt;"",CU$5+6&lt;Mitarbeiter!$E$60),0,IF(AND(Mitarbeiter!$F$60&lt;&gt;"",CU$5&gt;Mitarbeiter!$F$60),0,IF(Planung!CU62="",$C62,IF(ISNUMBER(Planung!CU62),Planung!CU62,IF(UPPER(Planung!CU62)="H",$C62/2,0)))))))</f>
        <v>0</v>
      </c>
      <c r="CV62" s="27">
        <f>IF($A62="",0,IF(Mitarbeiter!$G$60=FALSE,0,IF(AND(Mitarbeiter!$E$60&lt;&gt;"",CV$5+6&lt;Mitarbeiter!$E$60),0,IF(AND(Mitarbeiter!$F$60&lt;&gt;"",CV$5&gt;Mitarbeiter!$F$60),0,IF(Planung!CV62="",$C62,IF(ISNUMBER(Planung!CV62),Planung!CV62,IF(UPPER(Planung!CV62)="H",$C62/2,0)))))))</f>
        <v>0</v>
      </c>
      <c r="CW62" s="27">
        <f>IF($A62="",0,IF(Mitarbeiter!$G$60=FALSE,0,IF(AND(Mitarbeiter!$E$60&lt;&gt;"",CW$5+6&lt;Mitarbeiter!$E$60),0,IF(AND(Mitarbeiter!$F$60&lt;&gt;"",CW$5&gt;Mitarbeiter!$F$60),0,IF(Planung!CW62="",$C62,IF(ISNUMBER(Planung!CW62),Planung!CW62,IF(UPPER(Planung!CW62)="H",$C62/2,0)))))))</f>
        <v>0</v>
      </c>
      <c r="CX62" s="27">
        <f>IF($A62="",0,IF(Mitarbeiter!$G$60=FALSE,0,IF(AND(Mitarbeiter!$E$60&lt;&gt;"",CX$5+6&lt;Mitarbeiter!$E$60),0,IF(AND(Mitarbeiter!$F$60&lt;&gt;"",CX$5&gt;Mitarbeiter!$F$60),0,IF(Planung!CX62="",$C62,IF(ISNUMBER(Planung!CX62),Planung!CX62,IF(UPPER(Planung!CX62)="H",$C62/2,0)))))))</f>
        <v>0</v>
      </c>
      <c r="CY62" s="27">
        <f>IF($A62="",0,IF(Mitarbeiter!$G$60=FALSE,0,IF(AND(Mitarbeiter!$E$60&lt;&gt;"",CY$5+6&lt;Mitarbeiter!$E$60),0,IF(AND(Mitarbeiter!$F$60&lt;&gt;"",CY$5&gt;Mitarbeiter!$F$60),0,IF(Planung!CY62="",$C62,IF(ISNUMBER(Planung!CY62),Planung!CY62,IF(UPPER(Planung!CY62)="H",$C62/2,0)))))))</f>
        <v>0</v>
      </c>
      <c r="CZ62" s="27">
        <f>IF($A62="",0,IF(Mitarbeiter!$G$60=FALSE,0,IF(AND(Mitarbeiter!$E$60&lt;&gt;"",CZ$5+6&lt;Mitarbeiter!$E$60),0,IF(AND(Mitarbeiter!$F$60&lt;&gt;"",CZ$5&gt;Mitarbeiter!$F$60),0,IF(Planung!CZ62="",$C62,IF(ISNUMBER(Planung!CZ62),Planung!CZ62,IF(UPPER(Planung!CZ62)="H",$C62/2,0)))))))</f>
        <v>0</v>
      </c>
      <c r="DA62" s="27">
        <f>IF($A62="",0,IF(Mitarbeiter!$G$60=FALSE,0,IF(AND(Mitarbeiter!$E$60&lt;&gt;"",DA$5+6&lt;Mitarbeiter!$E$60),0,IF(AND(Mitarbeiter!$F$60&lt;&gt;"",DA$5&gt;Mitarbeiter!$F$60),0,IF(Planung!DA62="",$C62,IF(ISNUMBER(Planung!DA62),Planung!DA62,IF(UPPER(Planung!DA62)="H",$C62/2,0)))))))</f>
        <v>0</v>
      </c>
      <c r="DB62" s="27">
        <f>IF($A62="",0,IF(Mitarbeiter!$G$60=FALSE,0,IF(AND(Mitarbeiter!$E$60&lt;&gt;"",DB$5+6&lt;Mitarbeiter!$E$60),0,IF(AND(Mitarbeiter!$F$60&lt;&gt;"",DB$5&gt;Mitarbeiter!$F$60),0,IF(Planung!DB62="",$C62,IF(ISNUMBER(Planung!DB62),Planung!DB62,IF(UPPER(Planung!DB62)="H",$C62/2,0)))))))</f>
        <v>0</v>
      </c>
      <c r="DC62" s="27">
        <f>IF($A62="",0,IF(Mitarbeiter!$G$60=FALSE,0,IF(AND(Mitarbeiter!$E$60&lt;&gt;"",DC$5+6&lt;Mitarbeiter!$E$60),0,IF(AND(Mitarbeiter!$F$60&lt;&gt;"",DC$5&gt;Mitarbeiter!$F$60),0,IF(Planung!DC62="",$C62,IF(ISNUMBER(Planung!DC62),Planung!DC62,IF(UPPER(Planung!DC62)="H",$C62/2,0)))))))</f>
        <v>0</v>
      </c>
      <c r="DD62" s="27">
        <f>IF($A62="",0,IF(Mitarbeiter!$G$60=FALSE,0,IF(AND(Mitarbeiter!$E$60&lt;&gt;"",DD$5+6&lt;Mitarbeiter!$E$60),0,IF(AND(Mitarbeiter!$F$60&lt;&gt;"",DD$5&gt;Mitarbeiter!$F$60),0,IF(Planung!DD62="",$C62,IF(ISNUMBER(Planung!DD62),Planung!DD62,IF(UPPER(Planung!DD62)="H",$C62/2,0)))))))</f>
        <v>0</v>
      </c>
      <c r="DE62" s="27">
        <f>IF($A62="",0,IF(Mitarbeiter!$G$60=FALSE,0,IF(AND(Mitarbeiter!$E$60&lt;&gt;"",DE$5+6&lt;Mitarbeiter!$E$60),0,IF(AND(Mitarbeiter!$F$60&lt;&gt;"",DE$5&gt;Mitarbeiter!$F$60),0,IF(Planung!DE62="",$C62,IF(ISNUMBER(Planung!DE62),Planung!DE62,IF(UPPER(Planung!DE62)="H",$C62/2,0)))))))</f>
        <v>0</v>
      </c>
      <c r="DF62" s="27">
        <f>IF($A62="",0,IF(Mitarbeiter!$G$60=FALSE,0,IF(AND(Mitarbeiter!$E$60&lt;&gt;"",DF$5+6&lt;Mitarbeiter!$E$60),0,IF(AND(Mitarbeiter!$F$60&lt;&gt;"",DF$5&gt;Mitarbeiter!$F$60),0,IF(Planung!DF62="",$C62,IF(ISNUMBER(Planung!DF62),Planung!DF62,IF(UPPER(Planung!DF62)="H",$C62/2,0)))))))</f>
        <v>0</v>
      </c>
      <c r="DG62" s="27">
        <f>IF($A62="",0,IF(Mitarbeiter!$G$60=FALSE,0,IF(AND(Mitarbeiter!$E$60&lt;&gt;"",DG$5+6&lt;Mitarbeiter!$E$60),0,IF(AND(Mitarbeiter!$F$60&lt;&gt;"",DG$5&gt;Mitarbeiter!$F$60),0,IF(Planung!DG62="",$C62,IF(ISNUMBER(Planung!DG62),Planung!DG62,IF(UPPER(Planung!DG62)="H",$C62/2,0)))))))</f>
        <v>0</v>
      </c>
      <c r="DH62" s="27">
        <f>IF($A62="",0,IF(Mitarbeiter!$G$60=FALSE,0,IF(AND(Mitarbeiter!$E$60&lt;&gt;"",DH$5+6&lt;Mitarbeiter!$E$60),0,IF(AND(Mitarbeiter!$F$60&lt;&gt;"",DH$5&gt;Mitarbeiter!$F$60),0,IF(Planung!DH62="",$C62,IF(ISNUMBER(Planung!DH62),Planung!DH62,IF(UPPER(Planung!DH62)="H",$C62/2,0)))))))</f>
        <v>0</v>
      </c>
      <c r="DI62" s="27">
        <f>IF($A62="",0,IF(Mitarbeiter!$G$60=FALSE,0,IF(AND(Mitarbeiter!$E$60&lt;&gt;"",DI$5+6&lt;Mitarbeiter!$E$60),0,IF(AND(Mitarbeiter!$F$60&lt;&gt;"",DI$5&gt;Mitarbeiter!$F$60),0,IF(Planung!DI62="",$C62,IF(ISNUMBER(Planung!DI62),Planung!DI62,IF(UPPER(Planung!DI62)="H",$C62/2,0)))))))</f>
        <v>0</v>
      </c>
      <c r="DJ62" s="27">
        <f>IF($A62="",0,IF(Mitarbeiter!$G$60=FALSE,0,IF(AND(Mitarbeiter!$E$60&lt;&gt;"",DJ$5+6&lt;Mitarbeiter!$E$60),0,IF(AND(Mitarbeiter!$F$60&lt;&gt;"",DJ$5&gt;Mitarbeiter!$F$60),0,IF(Planung!DJ62="",$C62,IF(ISNUMBER(Planung!DJ62),Planung!DJ62,IF(UPPER(Planung!DJ62)="H",$C62/2,0)))))))</f>
        <v>0</v>
      </c>
      <c r="DK62" s="27">
        <f>IF($A62="",0,IF(Mitarbeiter!$G$60=FALSE,0,IF(AND(Mitarbeiter!$E$60&lt;&gt;"",DK$5+6&lt;Mitarbeiter!$E$60),0,IF(AND(Mitarbeiter!$F$60&lt;&gt;"",DK$5&gt;Mitarbeiter!$F$60),0,IF(Planung!DK62="",$C62,IF(ISNUMBER(Planung!DK62),Planung!DK62,IF(UPPER(Planung!DK62)="H",$C62/2,0)))))))</f>
        <v>0</v>
      </c>
      <c r="DL62" s="27">
        <f>IF($A62="",0,IF(Mitarbeiter!$G$60=FALSE,0,IF(AND(Mitarbeiter!$E$60&lt;&gt;"",DL$5+6&lt;Mitarbeiter!$E$60),0,IF(AND(Mitarbeiter!$F$60&lt;&gt;"",DL$5&gt;Mitarbeiter!$F$60),0,IF(Planung!DL62="",$C62,IF(ISNUMBER(Planung!DL62),Planung!DL62,IF(UPPER(Planung!DL62)="H",$C62/2,0)))))))</f>
        <v>0</v>
      </c>
      <c r="DM62" s="27">
        <f>IF($A62="",0,IF(Mitarbeiter!$G$60=FALSE,0,IF(AND(Mitarbeiter!$E$60&lt;&gt;"",DM$5+6&lt;Mitarbeiter!$E$60),0,IF(AND(Mitarbeiter!$F$60&lt;&gt;"",DM$5&gt;Mitarbeiter!$F$60),0,IF(Planung!DM62="",$C62,IF(ISNUMBER(Planung!DM62),Planung!DM62,IF(UPPER(Planung!DM62)="H",$C62/2,0)))))))</f>
        <v>0</v>
      </c>
      <c r="DN62" s="27">
        <f>IF($A62="",0,IF(Mitarbeiter!$G$60=FALSE,0,IF(AND(Mitarbeiter!$E$60&lt;&gt;"",DN$5+6&lt;Mitarbeiter!$E$60),0,IF(AND(Mitarbeiter!$F$60&lt;&gt;"",DN$5&gt;Mitarbeiter!$F$60),0,IF(Planung!DN62="",$C62,IF(ISNUMBER(Planung!DN62),Planung!DN62,IF(UPPER(Planung!DN62)="H",$C62/2,0)))))))</f>
        <v>0</v>
      </c>
      <c r="DO62" s="27">
        <f>IF($A62="",0,IF(Mitarbeiter!$G$60=FALSE,0,IF(AND(Mitarbeiter!$E$60&lt;&gt;"",DO$5+6&lt;Mitarbeiter!$E$60),0,IF(AND(Mitarbeiter!$F$60&lt;&gt;"",DO$5&gt;Mitarbeiter!$F$60),0,IF(Planung!DO62="",$C62,IF(ISNUMBER(Planung!DO62),Planung!DO62,IF(UPPER(Planung!DO62)="H",$C62/2,0)))))))</f>
        <v>0</v>
      </c>
      <c r="DP62" s="27">
        <f>IF($A62="",0,IF(Mitarbeiter!$G$60=FALSE,0,IF(AND(Mitarbeiter!$E$60&lt;&gt;"",DP$5+6&lt;Mitarbeiter!$E$60),0,IF(AND(Mitarbeiter!$F$60&lt;&gt;"",DP$5&gt;Mitarbeiter!$F$60),0,IF(Planung!DP62="",$C62,IF(ISNUMBER(Planung!DP62),Planung!DP62,IF(UPPER(Planung!DP62)="H",$C62/2,0)))))))</f>
        <v>0</v>
      </c>
      <c r="DQ62" s="27">
        <f>IF($A62="",0,IF(Mitarbeiter!$G$60=FALSE,0,IF(AND(Mitarbeiter!$E$60&lt;&gt;"",DQ$5+6&lt;Mitarbeiter!$E$60),0,IF(AND(Mitarbeiter!$F$60&lt;&gt;"",DQ$5&gt;Mitarbeiter!$F$60),0,IF(Planung!DQ62="",$C62,IF(ISNUMBER(Planung!DQ62),Planung!DQ62,IF(UPPER(Planung!DQ62)="H",$C62/2,0)))))))</f>
        <v>0</v>
      </c>
      <c r="DR62" s="27">
        <f>IF($A62="",0,IF(Mitarbeiter!$G$60=FALSE,0,IF(AND(Mitarbeiter!$E$60&lt;&gt;"",DR$5+6&lt;Mitarbeiter!$E$60),0,IF(AND(Mitarbeiter!$F$60&lt;&gt;"",DR$5&gt;Mitarbeiter!$F$60),0,IF(Planung!DR62="",$C62,IF(ISNUMBER(Planung!DR62),Planung!DR62,IF(UPPER(Planung!DR62)="H",$C62/2,0)))))))</f>
        <v>0</v>
      </c>
      <c r="DS62" s="27">
        <f>IF($A62="",0,IF(Mitarbeiter!$G$60=FALSE,0,IF(AND(Mitarbeiter!$E$60&lt;&gt;"",DS$5+6&lt;Mitarbeiter!$E$60),0,IF(AND(Mitarbeiter!$F$60&lt;&gt;"",DS$5&gt;Mitarbeiter!$F$60),0,IF(Planung!DS62="",$C62,IF(ISNUMBER(Planung!DS62),Planung!DS62,IF(UPPER(Planung!DS62)="H",$C62/2,0)))))))</f>
        <v>0</v>
      </c>
      <c r="DT62" s="27">
        <f>IF($A62="",0,IF(Mitarbeiter!$G$60=FALSE,0,IF(AND(Mitarbeiter!$E$60&lt;&gt;"",DT$5+6&lt;Mitarbeiter!$E$60),0,IF(AND(Mitarbeiter!$F$60&lt;&gt;"",DT$5&gt;Mitarbeiter!$F$60),0,IF(Planung!DT62="",$C62,IF(ISNUMBER(Planung!DT62),Planung!DT62,IF(UPPER(Planung!DT62)="H",$C62/2,0)))))))</f>
        <v>0</v>
      </c>
      <c r="DU62" s="27">
        <f>IF($A62="",0,IF(Mitarbeiter!$G$60=FALSE,0,IF(AND(Mitarbeiter!$E$60&lt;&gt;"",DU$5+6&lt;Mitarbeiter!$E$60),0,IF(AND(Mitarbeiter!$F$60&lt;&gt;"",DU$5&gt;Mitarbeiter!$F$60),0,IF(Planung!DU62="",$C62,IF(ISNUMBER(Planung!DU62),Planung!DU62,IF(UPPER(Planung!DU62)="H",$C62/2,0)))))))</f>
        <v>0</v>
      </c>
      <c r="DV62" s="27">
        <f>IF($A62="",0,IF(Mitarbeiter!$G$60=FALSE,0,IF(AND(Mitarbeiter!$E$60&lt;&gt;"",DV$5+6&lt;Mitarbeiter!$E$60),0,IF(AND(Mitarbeiter!$F$60&lt;&gt;"",DV$5&gt;Mitarbeiter!$F$60),0,IF(Planung!DV62="",$C62,IF(ISNUMBER(Planung!DV62),Planung!DV62,IF(UPPER(Planung!DV62)="H",$C62/2,0)))))))</f>
        <v>0</v>
      </c>
      <c r="DW62" s="27">
        <f>IF($A62="",0,IF(Mitarbeiter!$G$60=FALSE,0,IF(AND(Mitarbeiter!$E$60&lt;&gt;"",DW$5+6&lt;Mitarbeiter!$E$60),0,IF(AND(Mitarbeiter!$F$60&lt;&gt;"",DW$5&gt;Mitarbeiter!$F$60),0,IF(Planung!DW62="",$C62,IF(ISNUMBER(Planung!DW62),Planung!DW62,IF(UPPER(Planung!DW62)="H",$C62/2,0)))))))</f>
        <v>0</v>
      </c>
      <c r="DX62" s="27">
        <f>IF($A62="",0,IF(Mitarbeiter!$G$60=FALSE,0,IF(AND(Mitarbeiter!$E$60&lt;&gt;"",DX$5+6&lt;Mitarbeiter!$E$60),0,IF(AND(Mitarbeiter!$F$60&lt;&gt;"",DX$5&gt;Mitarbeiter!$F$60),0,IF(Planung!DX62="",$C62,IF(ISNUMBER(Planung!DX62),Planung!DX62,IF(UPPER(Planung!DX62)="H",$C62/2,0)))))))</f>
        <v>0</v>
      </c>
      <c r="DY62" s="27">
        <f>IF($A62="",0,IF(Mitarbeiter!$G$60=FALSE,0,IF(AND(Mitarbeiter!$E$60&lt;&gt;"",DY$5+6&lt;Mitarbeiter!$E$60),0,IF(AND(Mitarbeiter!$F$60&lt;&gt;"",DY$5&gt;Mitarbeiter!$F$60),0,IF(Planung!DY62="",$C62,IF(ISNUMBER(Planung!DY62),Planung!DY62,IF(UPPER(Planung!DY62)="H",$C62/2,0)))))))</f>
        <v>0</v>
      </c>
      <c r="DZ62" s="27">
        <f>IF($A62="",0,IF(Mitarbeiter!$G$60=FALSE,0,IF(AND(Mitarbeiter!$E$60&lt;&gt;"",DZ$5+6&lt;Mitarbeiter!$E$60),0,IF(AND(Mitarbeiter!$F$60&lt;&gt;"",DZ$5&gt;Mitarbeiter!$F$60),0,IF(Planung!DZ62="",$C62,IF(ISNUMBER(Planung!DZ62),Planung!DZ62,IF(UPPER(Planung!DZ62)="H",$C62/2,0)))))))</f>
        <v>0</v>
      </c>
      <c r="EA62" s="27">
        <f>IF($A62="",0,IF(Mitarbeiter!$G$60=FALSE,0,IF(AND(Mitarbeiter!$E$60&lt;&gt;"",EA$5+6&lt;Mitarbeiter!$E$60),0,IF(AND(Mitarbeiter!$F$60&lt;&gt;"",EA$5&gt;Mitarbeiter!$F$60),0,IF(Planung!EA62="",$C62,IF(ISNUMBER(Planung!EA62),Planung!EA62,IF(UPPER(Planung!EA62)="H",$C62/2,0)))))))</f>
        <v>0</v>
      </c>
      <c r="EB62" s="27">
        <f>IF($A62="",0,IF(Mitarbeiter!$G$60=FALSE,0,IF(AND(Mitarbeiter!$E$60&lt;&gt;"",EB$5+6&lt;Mitarbeiter!$E$60),0,IF(AND(Mitarbeiter!$F$60&lt;&gt;"",EB$5&gt;Mitarbeiter!$F$60),0,IF(Planung!EB62="",$C62,IF(ISNUMBER(Planung!EB62),Planung!EB62,IF(UPPER(Planung!EB62)="H",$C62/2,0)))))))</f>
        <v>0</v>
      </c>
      <c r="EC62" s="27">
        <f>IF($A62="",0,IF(Mitarbeiter!$G$60=FALSE,0,IF(AND(Mitarbeiter!$E$60&lt;&gt;"",EC$5+6&lt;Mitarbeiter!$E$60),0,IF(AND(Mitarbeiter!$F$60&lt;&gt;"",EC$5&gt;Mitarbeiter!$F$60),0,IF(Planung!EC62="",$C62,IF(ISNUMBER(Planung!EC62),Planung!EC62,IF(UPPER(Planung!EC62)="H",$C62/2,0)))))))</f>
        <v>0</v>
      </c>
      <c r="ED62" s="27">
        <f>IF($A62="",0,IF(Mitarbeiter!$G$60=FALSE,0,IF(AND(Mitarbeiter!$E$60&lt;&gt;"",ED$5+6&lt;Mitarbeiter!$E$60),0,IF(AND(Mitarbeiter!$F$60&lt;&gt;"",ED$5&gt;Mitarbeiter!$F$60),0,IF(Planung!ED62="",$C62,IF(ISNUMBER(Planung!ED62),Planung!ED62,IF(UPPER(Planung!ED62)="H",$C62/2,0)))))))</f>
        <v>0</v>
      </c>
      <c r="EE62" s="27">
        <f>IF($A62="",0,IF(Mitarbeiter!$G$60=FALSE,0,IF(AND(Mitarbeiter!$E$60&lt;&gt;"",EE$5+6&lt;Mitarbeiter!$E$60),0,IF(AND(Mitarbeiter!$F$60&lt;&gt;"",EE$5&gt;Mitarbeiter!$F$60),0,IF(Planung!EE62="",$C62,IF(ISNUMBER(Planung!EE62),Planung!EE62,IF(UPPER(Planung!EE62)="H",$C62/2,0)))))))</f>
        <v>0</v>
      </c>
      <c r="EF62" s="27">
        <f>IF($A62="",0,IF(Mitarbeiter!$G$60=FALSE,0,IF(AND(Mitarbeiter!$E$60&lt;&gt;"",EF$5+6&lt;Mitarbeiter!$E$60),0,IF(AND(Mitarbeiter!$F$60&lt;&gt;"",EF$5&gt;Mitarbeiter!$F$60),0,IF(Planung!EF62="",$C62,IF(ISNUMBER(Planung!EF62),Planung!EF62,IF(UPPER(Planung!EF62)="H",$C62/2,0)))))))</f>
        <v>0</v>
      </c>
      <c r="EG62" s="27">
        <f>IF($A62="",0,IF(Mitarbeiter!$G$60=FALSE,0,IF(AND(Mitarbeiter!$E$60&lt;&gt;"",EG$5+6&lt;Mitarbeiter!$E$60),0,IF(AND(Mitarbeiter!$F$60&lt;&gt;"",EG$5&gt;Mitarbeiter!$F$60),0,IF(Planung!EG62="",$C62,IF(ISNUMBER(Planung!EG62),Planung!EG62,IF(UPPER(Planung!EG62)="H",$C62/2,0)))))))</f>
        <v>0</v>
      </c>
      <c r="EH62" s="27">
        <f>IF($A62="",0,IF(Mitarbeiter!$G$60=FALSE,0,IF(AND(Mitarbeiter!$E$60&lt;&gt;"",EH$5+6&lt;Mitarbeiter!$E$60),0,IF(AND(Mitarbeiter!$F$60&lt;&gt;"",EH$5&gt;Mitarbeiter!$F$60),0,IF(Planung!EH62="",$C62,IF(ISNUMBER(Planung!EH62),Planung!EH62,IF(UPPER(Planung!EH62)="H",$C62/2,0)))))))</f>
        <v>0</v>
      </c>
      <c r="EI62" s="27">
        <f>IF($A62="",0,IF(Mitarbeiter!$G$60=FALSE,0,IF(AND(Mitarbeiter!$E$60&lt;&gt;"",EI$5+6&lt;Mitarbeiter!$E$60),0,IF(AND(Mitarbeiter!$F$60&lt;&gt;"",EI$5&gt;Mitarbeiter!$F$60),0,IF(Planung!EI62="",$C62,IF(ISNUMBER(Planung!EI62),Planung!EI62,IF(UPPER(Planung!EI62)="H",$C62/2,0)))))))</f>
        <v>0</v>
      </c>
      <c r="EJ62" s="27">
        <f>IF($A62="",0,IF(Mitarbeiter!$G$60=FALSE,0,IF(AND(Mitarbeiter!$E$60&lt;&gt;"",EJ$5+6&lt;Mitarbeiter!$E$60),0,IF(AND(Mitarbeiter!$F$60&lt;&gt;"",EJ$5&gt;Mitarbeiter!$F$60),0,IF(Planung!EJ62="",$C62,IF(ISNUMBER(Planung!EJ62),Planung!EJ62,IF(UPPER(Planung!EJ62)="H",$C62/2,0)))))))</f>
        <v>0</v>
      </c>
      <c r="EK62" s="27">
        <f>IF($A62="",0,IF(Mitarbeiter!$G$60=FALSE,0,IF(AND(Mitarbeiter!$E$60&lt;&gt;"",EK$5+6&lt;Mitarbeiter!$E$60),0,IF(AND(Mitarbeiter!$F$60&lt;&gt;"",EK$5&gt;Mitarbeiter!$F$60),0,IF(Planung!EK62="",$C62,IF(ISNUMBER(Planung!EK62),Planung!EK62,IF(UPPER(Planung!EK62)="H",$C62/2,0)))))))</f>
        <v>0</v>
      </c>
      <c r="EL62" s="27">
        <f>IF($A62="",0,IF(Mitarbeiter!$G$60=FALSE,0,IF(AND(Mitarbeiter!$E$60&lt;&gt;"",EL$5+6&lt;Mitarbeiter!$E$60),0,IF(AND(Mitarbeiter!$F$60&lt;&gt;"",EL$5&gt;Mitarbeiter!$F$60),0,IF(Planung!EL62="",$C62,IF(ISNUMBER(Planung!EL62),Planung!EL62,IF(UPPER(Planung!EL62)="H",$C62/2,0)))))))</f>
        <v>0</v>
      </c>
      <c r="EM62" s="27">
        <f>IF($A62="",0,IF(Mitarbeiter!$G$60=FALSE,0,IF(AND(Mitarbeiter!$E$60&lt;&gt;"",EM$5+6&lt;Mitarbeiter!$E$60),0,IF(AND(Mitarbeiter!$F$60&lt;&gt;"",EM$5&gt;Mitarbeiter!$F$60),0,IF(Planung!EM62="",$C62,IF(ISNUMBER(Planung!EM62),Planung!EM62,IF(UPPER(Planung!EM62)="H",$C62/2,0)))))))</f>
        <v>0</v>
      </c>
      <c r="EN62" s="27">
        <f>IF($A62="",0,IF(Mitarbeiter!$G$60=FALSE,0,IF(AND(Mitarbeiter!$E$60&lt;&gt;"",EN$5+6&lt;Mitarbeiter!$E$60),0,IF(AND(Mitarbeiter!$F$60&lt;&gt;"",EN$5&gt;Mitarbeiter!$F$60),0,IF(Planung!EN62="",$C62,IF(ISNUMBER(Planung!EN62),Planung!EN62,IF(UPPER(Planung!EN62)="H",$C62/2,0)))))))</f>
        <v>0</v>
      </c>
      <c r="EO62" s="27">
        <f>IF($A62="",0,IF(Mitarbeiter!$G$60=FALSE,0,IF(AND(Mitarbeiter!$E$60&lt;&gt;"",EO$5+6&lt;Mitarbeiter!$E$60),0,IF(AND(Mitarbeiter!$F$60&lt;&gt;"",EO$5&gt;Mitarbeiter!$F$60),0,IF(Planung!EO62="",$C62,IF(ISNUMBER(Planung!EO62),Planung!EO62,IF(UPPER(Planung!EO62)="H",$C62/2,0)))))))</f>
        <v>0</v>
      </c>
      <c r="EP62" s="27">
        <f>IF($A62="",0,IF(Mitarbeiter!$G$60=FALSE,0,IF(AND(Mitarbeiter!$E$60&lt;&gt;"",EP$5+6&lt;Mitarbeiter!$E$60),0,IF(AND(Mitarbeiter!$F$60&lt;&gt;"",EP$5&gt;Mitarbeiter!$F$60),0,IF(Planung!EP62="",$C62,IF(ISNUMBER(Planung!EP62),Planung!EP62,IF(UPPER(Planung!EP62)="H",$C62/2,0)))))))</f>
        <v>0</v>
      </c>
      <c r="EQ62" s="27">
        <f>IF($A62="",0,IF(Mitarbeiter!$G$60=FALSE,0,IF(AND(Mitarbeiter!$E$60&lt;&gt;"",EQ$5+6&lt;Mitarbeiter!$E$60),0,IF(AND(Mitarbeiter!$F$60&lt;&gt;"",EQ$5&gt;Mitarbeiter!$F$60),0,IF(Planung!EQ62="",$C62,IF(ISNUMBER(Planung!EQ62),Planung!EQ62,IF(UPPER(Planung!EQ62)="H",$C62/2,0)))))))</f>
        <v>0</v>
      </c>
      <c r="ER62" s="27">
        <f>IF($A62="",0,IF(Mitarbeiter!$G$60=FALSE,0,IF(AND(Mitarbeiter!$E$60&lt;&gt;"",ER$5+6&lt;Mitarbeiter!$E$60),0,IF(AND(Mitarbeiter!$F$60&lt;&gt;"",ER$5&gt;Mitarbeiter!$F$60),0,IF(Planung!ER62="",$C62,IF(ISNUMBER(Planung!ER62),Planung!ER62,IF(UPPER(Planung!ER62)="H",$C62/2,0)))))))</f>
        <v>0</v>
      </c>
      <c r="ES62" s="27">
        <f>IF($A62="",0,IF(Mitarbeiter!$G$60=FALSE,0,IF(AND(Mitarbeiter!$E$60&lt;&gt;"",ES$5+6&lt;Mitarbeiter!$E$60),0,IF(AND(Mitarbeiter!$F$60&lt;&gt;"",ES$5&gt;Mitarbeiter!$F$60),0,IF(Planung!ES62="",$C62,IF(ISNUMBER(Planung!ES62),Planung!ES62,IF(UPPER(Planung!ES62)="H",$C62/2,0)))))))</f>
        <v>0</v>
      </c>
      <c r="ET62" s="27">
        <f>IF($A62="",0,IF(Mitarbeiter!$G$60=FALSE,0,IF(AND(Mitarbeiter!$E$60&lt;&gt;"",ET$5+6&lt;Mitarbeiter!$E$60),0,IF(AND(Mitarbeiter!$F$60&lt;&gt;"",ET$5&gt;Mitarbeiter!$F$60),0,IF(Planung!ET62="",$C62,IF(ISNUMBER(Planung!ET62),Planung!ET62,IF(UPPER(Planung!ET62)="H",$C62/2,0)))))))</f>
        <v>0</v>
      </c>
      <c r="EU62" s="27">
        <f>IF($A62="",0,IF(Mitarbeiter!$G$60=FALSE,0,IF(AND(Mitarbeiter!$E$60&lt;&gt;"",EU$5+6&lt;Mitarbeiter!$E$60),0,IF(AND(Mitarbeiter!$F$60&lt;&gt;"",EU$5&gt;Mitarbeiter!$F$60),0,IF(Planung!EU62="",$C62,IF(ISNUMBER(Planung!EU62),Planung!EU62,IF(UPPER(Planung!EU62)="H",$C62/2,0)))))))</f>
        <v>0</v>
      </c>
      <c r="EV62" s="27">
        <f>IF($A62="",0,IF(Mitarbeiter!$G$60=FALSE,0,IF(AND(Mitarbeiter!$E$60&lt;&gt;"",EV$5+6&lt;Mitarbeiter!$E$60),0,IF(AND(Mitarbeiter!$F$60&lt;&gt;"",EV$5&gt;Mitarbeiter!$F$60),0,IF(Planung!EV62="",$C62,IF(ISNUMBER(Planung!EV62),Planung!EV62,IF(UPPER(Planung!EV62)="H",$C62/2,0)))))))</f>
        <v>0</v>
      </c>
      <c r="EW62" s="27">
        <f>IF($A62="",0,IF(Mitarbeiter!$G$60=FALSE,0,IF(AND(Mitarbeiter!$E$60&lt;&gt;"",EW$5+6&lt;Mitarbeiter!$E$60),0,IF(AND(Mitarbeiter!$F$60&lt;&gt;"",EW$5&gt;Mitarbeiter!$F$60),0,IF(Planung!EW62="",$C62,IF(ISNUMBER(Planung!EW62),Planung!EW62,IF(UPPER(Planung!EW62)="H",$C62/2,0)))))))</f>
        <v>0</v>
      </c>
      <c r="EX62" s="27">
        <f>IF($A62="",0,IF(Mitarbeiter!$G$60=FALSE,0,IF(AND(Mitarbeiter!$E$60&lt;&gt;"",EX$5+6&lt;Mitarbeiter!$E$60),0,IF(AND(Mitarbeiter!$F$60&lt;&gt;"",EX$5&gt;Mitarbeiter!$F$60),0,IF(Planung!EX62="",$C62,IF(ISNUMBER(Planung!EX62),Planung!EX62,IF(UPPER(Planung!EX62)="H",$C62/2,0)))))))</f>
        <v>0</v>
      </c>
      <c r="EY62" s="27">
        <f>IF($A62="",0,IF(Mitarbeiter!$G$60=FALSE,0,IF(AND(Mitarbeiter!$E$60&lt;&gt;"",EY$5+6&lt;Mitarbeiter!$E$60),0,IF(AND(Mitarbeiter!$F$60&lt;&gt;"",EY$5&gt;Mitarbeiter!$F$60),0,IF(Planung!EY62="",$C62,IF(ISNUMBER(Planung!EY62),Planung!EY62,IF(UPPER(Planung!EY62)="H",$C62/2,0)))))))</f>
        <v>0</v>
      </c>
      <c r="EZ62" s="27">
        <f>IF($A62="",0,IF(Mitarbeiter!$G$60=FALSE,0,IF(AND(Mitarbeiter!$E$60&lt;&gt;"",EZ$5+6&lt;Mitarbeiter!$E$60),0,IF(AND(Mitarbeiter!$F$60&lt;&gt;"",EZ$5&gt;Mitarbeiter!$F$60),0,IF(Planung!EZ62="",$C62,IF(ISNUMBER(Planung!EZ62),Planung!EZ62,IF(UPPER(Planung!EZ62)="H",$C62/2,0)))))))</f>
        <v>0</v>
      </c>
      <c r="FA62" s="27">
        <f>IF($A62="",0,IF(Mitarbeiter!$G$60=FALSE,0,IF(AND(Mitarbeiter!$E$60&lt;&gt;"",FA$5+6&lt;Mitarbeiter!$E$60),0,IF(AND(Mitarbeiter!$F$60&lt;&gt;"",FA$5&gt;Mitarbeiter!$F$60),0,IF(Planung!FA62="",$C62,IF(ISNUMBER(Planung!FA62),Planung!FA62,IF(UPPER(Planung!FA62)="H",$C62/2,0)))))))</f>
        <v>0</v>
      </c>
      <c r="FB62" s="27">
        <f>IF($A62="",0,IF(Mitarbeiter!$G$60=FALSE,0,IF(AND(Mitarbeiter!$E$60&lt;&gt;"",FB$5+6&lt;Mitarbeiter!$E$60),0,IF(AND(Mitarbeiter!$F$60&lt;&gt;"",FB$5&gt;Mitarbeiter!$F$60),0,IF(Planung!FB62="",$C62,IF(ISNUMBER(Planung!FB62),Planung!FB62,IF(UPPER(Planung!FB62)="H",$C62/2,0)))))))</f>
        <v>0</v>
      </c>
      <c r="FC62" s="27">
        <f>IF($A62="",0,IF(Mitarbeiter!$G$60=FALSE,0,IF(AND(Mitarbeiter!$E$60&lt;&gt;"",FC$5+6&lt;Mitarbeiter!$E$60),0,IF(AND(Mitarbeiter!$F$60&lt;&gt;"",FC$5&gt;Mitarbeiter!$F$60),0,IF(Planung!FC62="",$C62,IF(ISNUMBER(Planung!FC62),Planung!FC62,IF(UPPER(Planung!FC62)="H",$C62/2,0)))))))</f>
        <v>0</v>
      </c>
      <c r="FD62" s="27">
        <f>IF($A62="",0,IF(Mitarbeiter!$G$60=FALSE,0,IF(AND(Mitarbeiter!$E$60&lt;&gt;"",FD$5+6&lt;Mitarbeiter!$E$60),0,IF(AND(Mitarbeiter!$F$60&lt;&gt;"",FD$5&gt;Mitarbeiter!$F$60),0,IF(Planung!FD62="",$C62,IF(ISNUMBER(Planung!FD62),Planung!FD62,IF(UPPER(Planung!FD62)="H",$C62/2,0)))))))</f>
        <v>0</v>
      </c>
      <c r="FE62" s="27">
        <f>IF($A62="",0,IF(Mitarbeiter!$G$60=FALSE,0,IF(AND(Mitarbeiter!$E$60&lt;&gt;"",FE$5+6&lt;Mitarbeiter!$E$60),0,IF(AND(Mitarbeiter!$F$60&lt;&gt;"",FE$5&gt;Mitarbeiter!$F$60),0,IF(Planung!FE62="",$C62,IF(ISNUMBER(Planung!FE62),Planung!FE62,IF(UPPER(Planung!FE62)="H",$C62/2,0)))))))</f>
        <v>0</v>
      </c>
      <c r="FF62" s="27">
        <f>IF($A62="",0,IF(Mitarbeiter!$G$60=FALSE,0,IF(AND(Mitarbeiter!$E$60&lt;&gt;"",FF$5+6&lt;Mitarbeiter!$E$60),0,IF(AND(Mitarbeiter!$F$60&lt;&gt;"",FF$5&gt;Mitarbeiter!$F$60),0,IF(Planung!FF62="",$C62,IF(ISNUMBER(Planung!FF62),Planung!FF62,IF(UPPER(Planung!FF62)="H",$C62/2,0)))))))</f>
        <v>0</v>
      </c>
      <c r="FG62" s="27">
        <f>IF($A62="",0,IF(Mitarbeiter!$G$60=FALSE,0,IF(AND(Mitarbeiter!$E$60&lt;&gt;"",FG$5+6&lt;Mitarbeiter!$E$60),0,IF(AND(Mitarbeiter!$F$60&lt;&gt;"",FG$5&gt;Mitarbeiter!$F$60),0,IF(Planung!FG62="",$C62,IF(ISNUMBER(Planung!FG62),Planung!FG62,IF(UPPER(Planung!FG62)="H",$C62/2,0)))))))</f>
        <v>0</v>
      </c>
      <c r="FH62" s="27">
        <f>IF($A62="",0,IF(Mitarbeiter!$G$60=FALSE,0,IF(AND(Mitarbeiter!$E$60&lt;&gt;"",FH$5+6&lt;Mitarbeiter!$E$60),0,IF(AND(Mitarbeiter!$F$60&lt;&gt;"",FH$5&gt;Mitarbeiter!$F$60),0,IF(Planung!FH62="",$C62,IF(ISNUMBER(Planung!FH62),Planung!FH62,IF(UPPER(Planung!FH62)="H",$C62/2,0)))))))</f>
        <v>0</v>
      </c>
      <c r="FI62" s="27">
        <f>IF($A62="",0,IF(Mitarbeiter!$G$60=FALSE,0,IF(AND(Mitarbeiter!$E$60&lt;&gt;"",FI$5+6&lt;Mitarbeiter!$E$60),0,IF(AND(Mitarbeiter!$F$60&lt;&gt;"",FI$5&gt;Mitarbeiter!$F$60),0,IF(Planung!FI62="",$C62,IF(ISNUMBER(Planung!FI62),Planung!FI62,IF(UPPER(Planung!FI62)="H",$C62/2,0)))))))</f>
        <v>0</v>
      </c>
      <c r="FJ62" s="27">
        <f>IF($A62="",0,IF(Mitarbeiter!$G$60=FALSE,0,IF(AND(Mitarbeiter!$E$60&lt;&gt;"",FJ$5+6&lt;Mitarbeiter!$E$60),0,IF(AND(Mitarbeiter!$F$60&lt;&gt;"",FJ$5&gt;Mitarbeiter!$F$60),0,IF(Planung!FJ62="",$C62,IF(ISNUMBER(Planung!FJ62),Planung!FJ62,IF(UPPER(Planung!FJ62)="H",$C62/2,0)))))))</f>
        <v>0</v>
      </c>
      <c r="FK62" s="27">
        <f>IF($A62="",0,IF(Mitarbeiter!$G$60=FALSE,0,IF(AND(Mitarbeiter!$E$60&lt;&gt;"",FK$5+6&lt;Mitarbeiter!$E$60),0,IF(AND(Mitarbeiter!$F$60&lt;&gt;"",FK$5&gt;Mitarbeiter!$F$60),0,IF(Planung!FK62="",$C62,IF(ISNUMBER(Planung!FK62),Planung!FK62,IF(UPPER(Planung!FK62)="H",$C62/2,0)))))))</f>
        <v>0</v>
      </c>
      <c r="FL62" s="27">
        <f>IF($A62="",0,IF(Mitarbeiter!$G$60=FALSE,0,IF(AND(Mitarbeiter!$E$60&lt;&gt;"",FL$5+6&lt;Mitarbeiter!$E$60),0,IF(AND(Mitarbeiter!$F$60&lt;&gt;"",FL$5&gt;Mitarbeiter!$F$60),0,IF(Planung!FL62="",$C62,IF(ISNUMBER(Planung!FL62),Planung!FL62,IF(UPPER(Planung!FL62)="H",$C62/2,0)))))))</f>
        <v>0</v>
      </c>
      <c r="FM62" s="27">
        <f>IF($A62="",0,IF(Mitarbeiter!$G$60=FALSE,0,IF(AND(Mitarbeiter!$E$60&lt;&gt;"",FM$5+6&lt;Mitarbeiter!$E$60),0,IF(AND(Mitarbeiter!$F$60&lt;&gt;"",FM$5&gt;Mitarbeiter!$F$60),0,IF(Planung!FM62="",$C62,IF(ISNUMBER(Planung!FM62),Planung!FM62,IF(UPPER(Planung!FM62)="H",$C62/2,0)))))))</f>
        <v>0</v>
      </c>
      <c r="FN62" s="27">
        <f>IF($A62="",0,IF(Mitarbeiter!$G$60=FALSE,0,IF(AND(Mitarbeiter!$E$60&lt;&gt;"",FN$5+6&lt;Mitarbeiter!$E$60),0,IF(AND(Mitarbeiter!$F$60&lt;&gt;"",FN$5&gt;Mitarbeiter!$F$60),0,IF(Planung!FN62="",$C62,IF(ISNUMBER(Planung!FN62),Planung!FN62,IF(UPPER(Planung!FN62)="H",$C62/2,0)))))))</f>
        <v>0</v>
      </c>
      <c r="FO62" s="27">
        <f>IF($A62="",0,IF(Mitarbeiter!$G$60=FALSE,0,IF(AND(Mitarbeiter!$E$60&lt;&gt;"",FO$5+6&lt;Mitarbeiter!$E$60),0,IF(AND(Mitarbeiter!$F$60&lt;&gt;"",FO$5&gt;Mitarbeiter!$F$60),0,IF(Planung!FO62="",$C62,IF(ISNUMBER(Planung!FO62),Planung!FO62,IF(UPPER(Planung!FO62)="H",$C62/2,0)))))))</f>
        <v>0</v>
      </c>
      <c r="FP62" s="27">
        <f>IF($A62="",0,IF(Mitarbeiter!$G$60=FALSE,0,IF(AND(Mitarbeiter!$E$60&lt;&gt;"",FP$5+6&lt;Mitarbeiter!$E$60),0,IF(AND(Mitarbeiter!$F$60&lt;&gt;"",FP$5&gt;Mitarbeiter!$F$60),0,IF(Planung!FP62="",$C62,IF(ISNUMBER(Planung!FP62),Planung!FP62,IF(UPPER(Planung!FP62)="H",$C62/2,0)))))))</f>
        <v>0</v>
      </c>
      <c r="FQ62" s="27">
        <f>IF($A62="",0,IF(Mitarbeiter!$G$60=FALSE,0,IF(AND(Mitarbeiter!$E$60&lt;&gt;"",FQ$5+6&lt;Mitarbeiter!$E$60),0,IF(AND(Mitarbeiter!$F$60&lt;&gt;"",FQ$5&gt;Mitarbeiter!$F$60),0,IF(Planung!FQ62="",$C62,IF(ISNUMBER(Planung!FQ62),Planung!FQ62,IF(UPPER(Planung!FQ62)="H",$C62/2,0)))))))</f>
        <v>0</v>
      </c>
      <c r="FR62" s="27">
        <f>IF($A62="",0,IF(Mitarbeiter!$G$60=FALSE,0,IF(AND(Mitarbeiter!$E$60&lt;&gt;"",FR$5+6&lt;Mitarbeiter!$E$60),0,IF(AND(Mitarbeiter!$F$60&lt;&gt;"",FR$5&gt;Mitarbeiter!$F$60),0,IF(Planung!FR62="",$C62,IF(ISNUMBER(Planung!FR62),Planung!FR62,IF(UPPER(Planung!FR62)="H",$C62/2,0)))))))</f>
        <v>0</v>
      </c>
      <c r="FS62" s="27">
        <f>IF($A62="",0,IF(Mitarbeiter!$G$60=FALSE,0,IF(AND(Mitarbeiter!$E$60&lt;&gt;"",FS$5+6&lt;Mitarbeiter!$E$60),0,IF(AND(Mitarbeiter!$F$60&lt;&gt;"",FS$5&gt;Mitarbeiter!$F$60),0,IF(Planung!FS62="",$C62,IF(ISNUMBER(Planung!FS62),Planung!FS62,IF(UPPER(Planung!FS62)="H",$C62/2,0)))))))</f>
        <v>0</v>
      </c>
      <c r="FT62" s="27">
        <f>IF($A62="",0,IF(Mitarbeiter!$G$60=FALSE,0,IF(AND(Mitarbeiter!$E$60&lt;&gt;"",FT$5+6&lt;Mitarbeiter!$E$60),0,IF(AND(Mitarbeiter!$F$60&lt;&gt;"",FT$5&gt;Mitarbeiter!$F$60),0,IF(Planung!FT62="",$C62,IF(ISNUMBER(Planung!FT62),Planung!FT62,IF(UPPER(Planung!FT62)="H",$C62/2,0)))))))</f>
        <v>0</v>
      </c>
      <c r="FU62" s="27">
        <f>IF($A62="",0,IF(Mitarbeiter!$G$60=FALSE,0,IF(AND(Mitarbeiter!$E$60&lt;&gt;"",FU$5+6&lt;Mitarbeiter!$E$60),0,IF(AND(Mitarbeiter!$F$60&lt;&gt;"",FU$5&gt;Mitarbeiter!$F$60),0,IF(Planung!FU62="",$C62,IF(ISNUMBER(Planung!FU62),Planung!FU62,IF(UPPER(Planung!FU62)="H",$C62/2,0)))))))</f>
        <v>0</v>
      </c>
      <c r="FV62" s="27">
        <f>IF($A62="",0,IF(Mitarbeiter!$G$60=FALSE,0,IF(AND(Mitarbeiter!$E$60&lt;&gt;"",FV$5+6&lt;Mitarbeiter!$E$60),0,IF(AND(Mitarbeiter!$F$60&lt;&gt;"",FV$5&gt;Mitarbeiter!$F$60),0,IF(Planung!FV62="",$C62,IF(ISNUMBER(Planung!FV62),Planung!FV62,IF(UPPER(Planung!FV62)="H",$C62/2,0)))))))</f>
        <v>0</v>
      </c>
      <c r="FW62" s="27">
        <f>IF($A62="",0,IF(Mitarbeiter!$G$60=FALSE,0,IF(AND(Mitarbeiter!$E$60&lt;&gt;"",FW$5+6&lt;Mitarbeiter!$E$60),0,IF(AND(Mitarbeiter!$F$60&lt;&gt;"",FW$5&gt;Mitarbeiter!$F$60),0,IF(Planung!FW62="",$C62,IF(ISNUMBER(Planung!FW62),Planung!FW62,IF(UPPER(Planung!FW62)="H",$C62/2,0)))))))</f>
        <v>0</v>
      </c>
      <c r="FX62" s="27">
        <f>IF($A62="",0,IF(Mitarbeiter!$G$60=FALSE,0,IF(AND(Mitarbeiter!$E$60&lt;&gt;"",FX$5+6&lt;Mitarbeiter!$E$60),0,IF(AND(Mitarbeiter!$F$60&lt;&gt;"",FX$5&gt;Mitarbeiter!$F$60),0,IF(Planung!FX62="",$C62,IF(ISNUMBER(Planung!FX62),Planung!FX62,IF(UPPER(Planung!FX62)="H",$C62/2,0)))))))</f>
        <v>0</v>
      </c>
      <c r="FY62" s="27">
        <f>IF($A62="",0,IF(Mitarbeiter!$G$60=FALSE,0,IF(AND(Mitarbeiter!$E$60&lt;&gt;"",FY$5+6&lt;Mitarbeiter!$E$60),0,IF(AND(Mitarbeiter!$F$60&lt;&gt;"",FY$5&gt;Mitarbeiter!$F$60),0,IF(Planung!FY62="",$C62,IF(ISNUMBER(Planung!FY62),Planung!FY62,IF(UPPER(Planung!FY62)="H",$C62/2,0)))))))</f>
        <v>0</v>
      </c>
      <c r="FZ62" s="27">
        <f>IF($A62="",0,IF(Mitarbeiter!$G$60=FALSE,0,IF(AND(Mitarbeiter!$E$60&lt;&gt;"",FZ$5+6&lt;Mitarbeiter!$E$60),0,IF(AND(Mitarbeiter!$F$60&lt;&gt;"",FZ$5&gt;Mitarbeiter!$F$60),0,IF(Planung!FZ62="",$C62,IF(ISNUMBER(Planung!FZ62),Planung!FZ62,IF(UPPER(Planung!FZ62)="H",$C62/2,0)))))))</f>
        <v>0</v>
      </c>
      <c r="GA62" s="27">
        <f>IF($A62="",0,IF(Mitarbeiter!$G$60=FALSE,0,IF(AND(Mitarbeiter!$E$60&lt;&gt;"",GA$5+6&lt;Mitarbeiter!$E$60),0,IF(AND(Mitarbeiter!$F$60&lt;&gt;"",GA$5&gt;Mitarbeiter!$F$60),0,IF(Planung!GA62="",$C62,IF(ISNUMBER(Planung!GA62),Planung!GA62,IF(UPPER(Planung!GA62)="H",$C62/2,0)))))))</f>
        <v>0</v>
      </c>
      <c r="GB62" s="27">
        <f>IF($A62="",0,IF(Mitarbeiter!$G$60=FALSE,0,IF(AND(Mitarbeiter!$E$60&lt;&gt;"",GB$5+6&lt;Mitarbeiter!$E$60),0,IF(AND(Mitarbeiter!$F$60&lt;&gt;"",GB$5&gt;Mitarbeiter!$F$60),0,IF(Planung!GB62="",$C62,IF(ISNUMBER(Planung!GB62),Planung!GB62,IF(UPPER(Planung!GB62)="H",$C62/2,0)))))))</f>
        <v>0</v>
      </c>
      <c r="GC62" s="27">
        <f>IF($A62="",0,IF(Mitarbeiter!$G$60=FALSE,0,IF(AND(Mitarbeiter!$E$60&lt;&gt;"",GC$5+6&lt;Mitarbeiter!$E$60),0,IF(AND(Mitarbeiter!$F$60&lt;&gt;"",GC$5&gt;Mitarbeiter!$F$60),0,IF(Planung!GC62="",$C62,IF(ISNUMBER(Planung!GC62),Planung!GC62,IF(UPPER(Planung!GC62)="H",$C62/2,0)))))))</f>
        <v>0</v>
      </c>
      <c r="GD62" s="27">
        <f>IF($A62="",0,IF(Mitarbeiter!$G$60=FALSE,0,IF(AND(Mitarbeiter!$E$60&lt;&gt;"",GD$5+6&lt;Mitarbeiter!$E$60),0,IF(AND(Mitarbeiter!$F$60&lt;&gt;"",GD$5&gt;Mitarbeiter!$F$60),0,IF(Planung!GD62="",$C62,IF(ISNUMBER(Planung!GD62),Planung!GD62,IF(UPPER(Planung!GD62)="H",$C62/2,0)))))))</f>
        <v>0</v>
      </c>
      <c r="GE62" s="27">
        <f>IF($A62="",0,IF(Mitarbeiter!$G$60=FALSE,0,IF(AND(Mitarbeiter!$E$60&lt;&gt;"",GE$5+6&lt;Mitarbeiter!$E$60),0,IF(AND(Mitarbeiter!$F$60&lt;&gt;"",GE$5&gt;Mitarbeiter!$F$60),0,IF(Planung!GE62="",$C62,IF(ISNUMBER(Planung!GE62),Planung!GE62,IF(UPPER(Planung!GE62)="H",$C62/2,0)))))))</f>
        <v>0</v>
      </c>
      <c r="GF62" s="27">
        <f>IF($A62="",0,IF(Mitarbeiter!$G$60=FALSE,0,IF(AND(Mitarbeiter!$E$60&lt;&gt;"",GF$5+6&lt;Mitarbeiter!$E$60),0,IF(AND(Mitarbeiter!$F$60&lt;&gt;"",GF$5&gt;Mitarbeiter!$F$60),0,IF(Planung!GF62="",$C62,IF(ISNUMBER(Planung!GF62),Planung!GF62,IF(UPPER(Planung!GF62)="H",$C62/2,0)))))))</f>
        <v>0</v>
      </c>
      <c r="GG62" s="27">
        <f>IF($A62="",0,IF(Mitarbeiter!$G$60=FALSE,0,IF(AND(Mitarbeiter!$E$60&lt;&gt;"",GG$5+6&lt;Mitarbeiter!$E$60),0,IF(AND(Mitarbeiter!$F$60&lt;&gt;"",GG$5&gt;Mitarbeiter!$F$60),0,IF(Planung!GG62="",$C62,IF(ISNUMBER(Planung!GG62),Planung!GG62,IF(UPPER(Planung!GG62)="H",$C62/2,0)))))))</f>
        <v>0</v>
      </c>
      <c r="GH62" s="27">
        <f>IF($A62="",0,IF(Mitarbeiter!$G$60=FALSE,0,IF(AND(Mitarbeiter!$E$60&lt;&gt;"",GH$5+6&lt;Mitarbeiter!$E$60),0,IF(AND(Mitarbeiter!$F$60&lt;&gt;"",GH$5&gt;Mitarbeiter!$F$60),0,IF(Planung!GH62="",$C62,IF(ISNUMBER(Planung!GH62),Planung!GH62,IF(UPPER(Planung!GH62)="H",$C62/2,0)))))))</f>
        <v>0</v>
      </c>
      <c r="GI62" s="27">
        <f>IF($A62="",0,IF(Mitarbeiter!$G$60=FALSE,0,IF(AND(Mitarbeiter!$E$60&lt;&gt;"",GI$5+6&lt;Mitarbeiter!$E$60),0,IF(AND(Mitarbeiter!$F$60&lt;&gt;"",GI$5&gt;Mitarbeiter!$F$60),0,IF(Planung!GI62="",$C62,IF(ISNUMBER(Planung!GI62),Planung!GI62,IF(UPPER(Planung!GI62)="H",$C62/2,0)))))))</f>
        <v>0</v>
      </c>
      <c r="GJ62" s="27">
        <f>IF($A62="",0,IF(Mitarbeiter!$G$60=FALSE,0,IF(AND(Mitarbeiter!$E$60&lt;&gt;"",GJ$5+6&lt;Mitarbeiter!$E$60),0,IF(AND(Mitarbeiter!$F$60&lt;&gt;"",GJ$5&gt;Mitarbeiter!$F$60),0,IF(Planung!GJ62="",$C62,IF(ISNUMBER(Planung!GJ62),Planung!GJ62,IF(UPPER(Planung!GJ62)="H",$C62/2,0)))))))</f>
        <v>0</v>
      </c>
      <c r="GK62" s="27">
        <f>IF($A62="",0,IF(Mitarbeiter!$G$60=FALSE,0,IF(AND(Mitarbeiter!$E$60&lt;&gt;"",GK$5+6&lt;Mitarbeiter!$E$60),0,IF(AND(Mitarbeiter!$F$60&lt;&gt;"",GK$5&gt;Mitarbeiter!$F$60),0,IF(Planung!GK62="",$C62,IF(ISNUMBER(Planung!GK62),Planung!GK62,IF(UPPER(Planung!GK62)="H",$C62/2,0)))))))</f>
        <v>0</v>
      </c>
      <c r="GL62" s="27">
        <f>IF($A62="",0,IF(Mitarbeiter!$G$60=FALSE,0,IF(AND(Mitarbeiter!$E$60&lt;&gt;"",GL$5+6&lt;Mitarbeiter!$E$60),0,IF(AND(Mitarbeiter!$F$60&lt;&gt;"",GL$5&gt;Mitarbeiter!$F$60),0,IF(Planung!GL62="",$C62,IF(ISNUMBER(Planung!GL62),Planung!GL62,IF(UPPER(Planung!GL62)="H",$C62/2,0)))))))</f>
        <v>0</v>
      </c>
      <c r="GM62" s="27">
        <f>IF($A62="",0,IF(Mitarbeiter!$G$60=FALSE,0,IF(AND(Mitarbeiter!$E$60&lt;&gt;"",GM$5+6&lt;Mitarbeiter!$E$60),0,IF(AND(Mitarbeiter!$F$60&lt;&gt;"",GM$5&gt;Mitarbeiter!$F$60),0,IF(Planung!GM62="",$C62,IF(ISNUMBER(Planung!GM62),Planung!GM62,IF(UPPER(Planung!GM62)="H",$C62/2,0)))))))</f>
        <v>0</v>
      </c>
      <c r="GN62" s="27">
        <f>IF($A62="",0,IF(Mitarbeiter!$G$60=FALSE,0,IF(AND(Mitarbeiter!$E$60&lt;&gt;"",GN$5+6&lt;Mitarbeiter!$E$60),0,IF(AND(Mitarbeiter!$F$60&lt;&gt;"",GN$5&gt;Mitarbeiter!$F$60),0,IF(Planung!GN62="",$C62,IF(ISNUMBER(Planung!GN62),Planung!GN62,IF(UPPER(Planung!GN62)="H",$C62/2,0)))))))</f>
        <v>0</v>
      </c>
      <c r="GO62" s="27">
        <f>IF($A62="",0,IF(Mitarbeiter!$G$60=FALSE,0,IF(AND(Mitarbeiter!$E$60&lt;&gt;"",GO$5+6&lt;Mitarbeiter!$E$60),0,IF(AND(Mitarbeiter!$F$60&lt;&gt;"",GO$5&gt;Mitarbeiter!$F$60),0,IF(Planung!GO62="",$C62,IF(ISNUMBER(Planung!GO62),Planung!GO62,IF(UPPER(Planung!GO62)="H",$C62/2,0)))))))</f>
        <v>0</v>
      </c>
      <c r="GP62" s="27">
        <f>IF($A62="",0,IF(Mitarbeiter!$G$60=FALSE,0,IF(AND(Mitarbeiter!$E$60&lt;&gt;"",GP$5+6&lt;Mitarbeiter!$E$60),0,IF(AND(Mitarbeiter!$F$60&lt;&gt;"",GP$5&gt;Mitarbeiter!$F$60),0,IF(Planung!GP62="",$C62,IF(ISNUMBER(Planung!GP62),Planung!GP62,IF(UPPER(Planung!GP62)="H",$C62/2,0)))))))</f>
        <v>0</v>
      </c>
      <c r="GQ62" s="27">
        <f>IF($A62="",0,IF(Mitarbeiter!$G$60=FALSE,0,IF(AND(Mitarbeiter!$E$60&lt;&gt;"",GQ$5+6&lt;Mitarbeiter!$E$60),0,IF(AND(Mitarbeiter!$F$60&lt;&gt;"",GQ$5&gt;Mitarbeiter!$F$60),0,IF(Planung!GQ62="",$C62,IF(ISNUMBER(Planung!GQ62),Planung!GQ62,IF(UPPER(Planung!GQ62)="H",$C62/2,0)))))))</f>
        <v>0</v>
      </c>
      <c r="GR62" s="27">
        <f>IF($A62="",0,IF(Mitarbeiter!$G$60=FALSE,0,IF(AND(Mitarbeiter!$E$60&lt;&gt;"",GR$5+6&lt;Mitarbeiter!$E$60),0,IF(AND(Mitarbeiter!$F$60&lt;&gt;"",GR$5&gt;Mitarbeiter!$F$60),0,IF(Planung!GR62="",$C62,IF(ISNUMBER(Planung!GR62),Planung!GR62,IF(UPPER(Planung!GR62)="H",$C62/2,0)))))))</f>
        <v>0</v>
      </c>
      <c r="GS62" s="27">
        <f>IF($A62="",0,IF(Mitarbeiter!$G$60=FALSE,0,IF(AND(Mitarbeiter!$E$60&lt;&gt;"",GS$5+6&lt;Mitarbeiter!$E$60),0,IF(AND(Mitarbeiter!$F$60&lt;&gt;"",GS$5&gt;Mitarbeiter!$F$60),0,IF(Planung!GS62="",$C62,IF(ISNUMBER(Planung!GS62),Planung!GS62,IF(UPPER(Planung!GS62)="H",$C62/2,0)))))))</f>
        <v>0</v>
      </c>
      <c r="GT62" s="27">
        <f>IF($A62="",0,IF(Mitarbeiter!$G$60=FALSE,0,IF(AND(Mitarbeiter!$E$60&lt;&gt;"",GT$5+6&lt;Mitarbeiter!$E$60),0,IF(AND(Mitarbeiter!$F$60&lt;&gt;"",GT$5&gt;Mitarbeiter!$F$60),0,IF(Planung!GT62="",$C62,IF(ISNUMBER(Planung!GT62),Planung!GT62,IF(UPPER(Planung!GT62)="H",$C62/2,0)))))))</f>
        <v>0</v>
      </c>
      <c r="GU62" s="27">
        <f>IF($A62="",0,IF(Mitarbeiter!$G$60=FALSE,0,IF(AND(Mitarbeiter!$E$60&lt;&gt;"",GU$5+6&lt;Mitarbeiter!$E$60),0,IF(AND(Mitarbeiter!$F$60&lt;&gt;"",GU$5&gt;Mitarbeiter!$F$60),0,IF(Planung!GU62="",$C62,IF(ISNUMBER(Planung!GU62),Planung!GU62,IF(UPPER(Planung!GU62)="H",$C62/2,0)))))))</f>
        <v>0</v>
      </c>
      <c r="GV62" s="27">
        <f>IF($A62="",0,IF(Mitarbeiter!$G$60=FALSE,0,IF(AND(Mitarbeiter!$E$60&lt;&gt;"",GV$5+6&lt;Mitarbeiter!$E$60),0,IF(AND(Mitarbeiter!$F$60&lt;&gt;"",GV$5&gt;Mitarbeiter!$F$60),0,IF(Planung!GV62="",$C62,IF(ISNUMBER(Planung!GV62),Planung!GV62,IF(UPPER(Planung!GV62)="H",$C62/2,0)))))))</f>
        <v>0</v>
      </c>
      <c r="GW62" s="27">
        <f>IF($A62="",0,IF(Mitarbeiter!$G$60=FALSE,0,IF(AND(Mitarbeiter!$E$60&lt;&gt;"",GW$5+6&lt;Mitarbeiter!$E$60),0,IF(AND(Mitarbeiter!$F$60&lt;&gt;"",GW$5&gt;Mitarbeiter!$F$60),0,IF(Planung!GW62="",$C62,IF(ISNUMBER(Planung!GW62),Planung!GW62,IF(UPPER(Planung!GW62)="H",$C62/2,0)))))))</f>
        <v>0</v>
      </c>
      <c r="GX62" s="27">
        <f>IF($A62="",0,IF(Mitarbeiter!$G$60=FALSE,0,IF(AND(Mitarbeiter!$E$60&lt;&gt;"",GX$5+6&lt;Mitarbeiter!$E$60),0,IF(AND(Mitarbeiter!$F$60&lt;&gt;"",GX$5&gt;Mitarbeiter!$F$60),0,IF(Planung!GX62="",$C62,IF(ISNUMBER(Planung!GX62),Planung!GX62,IF(UPPER(Planung!GX62)="H",$C62/2,0)))))))</f>
        <v>0</v>
      </c>
      <c r="GY62" s="27">
        <f>IF($A62="",0,IF(Mitarbeiter!$G$60=FALSE,0,IF(AND(Mitarbeiter!$E$60&lt;&gt;"",GY$5+6&lt;Mitarbeiter!$E$60),0,IF(AND(Mitarbeiter!$F$60&lt;&gt;"",GY$5&gt;Mitarbeiter!$F$60),0,IF(Planung!GY62="",$C62,IF(ISNUMBER(Planung!GY62),Planung!GY62,IF(UPPER(Planung!GY62)="H",$C62/2,0)))))))</f>
        <v>0</v>
      </c>
      <c r="GZ62" s="27">
        <f>IF($A62="",0,IF(Mitarbeiter!$G$60=FALSE,0,IF(AND(Mitarbeiter!$E$60&lt;&gt;"",GZ$5+6&lt;Mitarbeiter!$E$60),0,IF(AND(Mitarbeiter!$F$60&lt;&gt;"",GZ$5&gt;Mitarbeiter!$F$60),0,IF(Planung!GZ62="",$C62,IF(ISNUMBER(Planung!GZ62),Planung!GZ62,IF(UPPER(Planung!GZ62)="H",$C62/2,0)))))))</f>
        <v>0</v>
      </c>
      <c r="HA62" s="27">
        <f>IF($A62="",0,IF(Mitarbeiter!$G$60=FALSE,0,IF(AND(Mitarbeiter!$E$60&lt;&gt;"",HA$5+6&lt;Mitarbeiter!$E$60),0,IF(AND(Mitarbeiter!$F$60&lt;&gt;"",HA$5&gt;Mitarbeiter!$F$60),0,IF(Planung!HA62="",$C62,IF(ISNUMBER(Planung!HA62),Planung!HA62,IF(UPPER(Planung!HA62)="H",$C62/2,0)))))))</f>
        <v>0</v>
      </c>
      <c r="HB62" s="27">
        <f>IF($A62="",0,IF(Mitarbeiter!$G$60=FALSE,0,IF(AND(Mitarbeiter!$E$60&lt;&gt;"",HB$5+6&lt;Mitarbeiter!$E$60),0,IF(AND(Mitarbeiter!$F$60&lt;&gt;"",HB$5&gt;Mitarbeiter!$F$60),0,IF(Planung!HB62="",$C62,IF(ISNUMBER(Planung!HB62),Planung!HB62,IF(UPPER(Planung!HB62)="H",$C62/2,0)))))))</f>
        <v>0</v>
      </c>
      <c r="HC62" s="27">
        <f>IF($A62="",0,IF(Mitarbeiter!$G$60=FALSE,0,IF(AND(Mitarbeiter!$E$60&lt;&gt;"",HC$5+6&lt;Mitarbeiter!$E$60),0,IF(AND(Mitarbeiter!$F$60&lt;&gt;"",HC$5&gt;Mitarbeiter!$F$60),0,IF(Planung!HC62="",$C62,IF(ISNUMBER(Planung!HC62),Planung!HC62,IF(UPPER(Planung!HC62)="H",$C62/2,0)))))))</f>
        <v>0</v>
      </c>
      <c r="HD62" s="27">
        <f>IF($A62="",0,IF(Mitarbeiter!$G$60=FALSE,0,IF(AND(Mitarbeiter!$E$60&lt;&gt;"",HD$5+6&lt;Mitarbeiter!$E$60),0,IF(AND(Mitarbeiter!$F$60&lt;&gt;"",HD$5&gt;Mitarbeiter!$F$60),0,IF(Planung!HD62="",$C62,IF(ISNUMBER(Planung!HD62),Planung!HD62,IF(UPPER(Planung!HD62)="H",$C62/2,0)))))))</f>
        <v>0</v>
      </c>
      <c r="HE62" s="27">
        <f>IF($A62="",0,IF(Mitarbeiter!$G$60=FALSE,0,IF(AND(Mitarbeiter!$E$60&lt;&gt;"",HE$5+6&lt;Mitarbeiter!$E$60),0,IF(AND(Mitarbeiter!$F$60&lt;&gt;"",HE$5&gt;Mitarbeiter!$F$60),0,IF(Planung!HE62="",$C62,IF(ISNUMBER(Planung!HE62),Planung!HE62,IF(UPPER(Planung!HE62)="H",$C62/2,0)))))))</f>
        <v>0</v>
      </c>
      <c r="HF62" s="27">
        <f>IF($A62="",0,IF(Mitarbeiter!$G$60=FALSE,0,IF(AND(Mitarbeiter!$E$60&lt;&gt;"",HF$5+6&lt;Mitarbeiter!$E$60),0,IF(AND(Mitarbeiter!$F$60&lt;&gt;"",HF$5&gt;Mitarbeiter!$F$60),0,IF(Planung!HF62="",$C62,IF(ISNUMBER(Planung!HF62),Planung!HF62,IF(UPPER(Planung!HF62)="H",$C62/2,0)))))))</f>
        <v>0</v>
      </c>
      <c r="HG62" s="27">
        <f>IF($A62="",0,IF(Mitarbeiter!$G$60=FALSE,0,IF(AND(Mitarbeiter!$E$60&lt;&gt;"",HG$5+6&lt;Mitarbeiter!$E$60),0,IF(AND(Mitarbeiter!$F$60&lt;&gt;"",HG$5&gt;Mitarbeiter!$F$60),0,IF(Planung!HG62="",$C62,IF(ISNUMBER(Planung!HG62),Planung!HG62,IF(UPPER(Planung!HG62)="H",$C62/2,0)))))))</f>
        <v>0</v>
      </c>
      <c r="HH62" s="27">
        <f>IF($A62="",0,IF(Mitarbeiter!$G$60=FALSE,0,IF(AND(Mitarbeiter!$E$60&lt;&gt;"",HH$5+6&lt;Mitarbeiter!$E$60),0,IF(AND(Mitarbeiter!$F$60&lt;&gt;"",HH$5&gt;Mitarbeiter!$F$60),0,IF(Planung!HH62="",$C62,IF(ISNUMBER(Planung!HH62),Planung!HH62,IF(UPPER(Planung!HH62)="H",$C62/2,0)))))))</f>
        <v>0</v>
      </c>
      <c r="HI62" s="27">
        <f>IF($A62="",0,IF(Mitarbeiter!$G$60=FALSE,0,IF(AND(Mitarbeiter!$E$60&lt;&gt;"",HI$5+6&lt;Mitarbeiter!$E$60),0,IF(AND(Mitarbeiter!$F$60&lt;&gt;"",HI$5&gt;Mitarbeiter!$F$60),0,IF(Planung!HI62="",$C62,IF(ISNUMBER(Planung!HI62),Planung!HI62,IF(UPPER(Planung!HI62)="H",$C62/2,0)))))))</f>
        <v>0</v>
      </c>
      <c r="HJ62" s="27">
        <f>IF($A62="",0,IF(Mitarbeiter!$G$60=FALSE,0,IF(AND(Mitarbeiter!$E$60&lt;&gt;"",HJ$5+6&lt;Mitarbeiter!$E$60),0,IF(AND(Mitarbeiter!$F$60&lt;&gt;"",HJ$5&gt;Mitarbeiter!$F$60),0,IF(Planung!HJ62="",$C62,IF(ISNUMBER(Planung!HJ62),Planung!HJ62,IF(UPPER(Planung!HJ62)="H",$C62/2,0)))))))</f>
        <v>0</v>
      </c>
      <c r="HK62" s="27">
        <f>IF($A62="",0,IF(Mitarbeiter!$G$60=FALSE,0,IF(AND(Mitarbeiter!$E$60&lt;&gt;"",HK$5+6&lt;Mitarbeiter!$E$60),0,IF(AND(Mitarbeiter!$F$60&lt;&gt;"",HK$5&gt;Mitarbeiter!$F$60),0,IF(Planung!HK62="",$C62,IF(ISNUMBER(Planung!HK62),Planung!HK62,IF(UPPER(Planung!HK62)="H",$C62/2,0)))))))</f>
        <v>0</v>
      </c>
      <c r="HL62" s="27">
        <f>IF($A62="",0,IF(Mitarbeiter!$G$60=FALSE,0,IF(AND(Mitarbeiter!$E$60&lt;&gt;"",HL$5+6&lt;Mitarbeiter!$E$60),0,IF(AND(Mitarbeiter!$F$60&lt;&gt;"",HL$5&gt;Mitarbeiter!$F$60),0,IF(Planung!HL62="",$C62,IF(ISNUMBER(Planung!HL62),Planung!HL62,IF(UPPER(Planung!HL62)="H",$C62/2,0)))))))</f>
        <v>0</v>
      </c>
      <c r="HM62" s="27">
        <f>IF($A62="",0,IF(Mitarbeiter!$G$60=FALSE,0,IF(AND(Mitarbeiter!$E$60&lt;&gt;"",HM$5+6&lt;Mitarbeiter!$E$60),0,IF(AND(Mitarbeiter!$F$60&lt;&gt;"",HM$5&gt;Mitarbeiter!$F$60),0,IF(Planung!HM62="",$C62,IF(ISNUMBER(Planung!HM62),Planung!HM62,IF(UPPER(Planung!HM62)="H",$C62/2,0)))))))</f>
        <v>0</v>
      </c>
      <c r="HN62" s="27">
        <f>IF($A62="",0,IF(Mitarbeiter!$G$60=FALSE,0,IF(AND(Mitarbeiter!$E$60&lt;&gt;"",HN$5+6&lt;Mitarbeiter!$E$60),0,IF(AND(Mitarbeiter!$F$60&lt;&gt;"",HN$5&gt;Mitarbeiter!$F$60),0,IF(Planung!HN62="",$C62,IF(ISNUMBER(Planung!HN62),Planung!HN62,IF(UPPER(Planung!HN62)="H",$C62/2,0)))))))</f>
        <v>0</v>
      </c>
      <c r="HO62" s="27">
        <f>IF($A62="",0,IF(Mitarbeiter!$G$60=FALSE,0,IF(AND(Mitarbeiter!$E$60&lt;&gt;"",HO$5+6&lt;Mitarbeiter!$E$60),0,IF(AND(Mitarbeiter!$F$60&lt;&gt;"",HO$5&gt;Mitarbeiter!$F$60),0,IF(Planung!HO62="",$C62,IF(ISNUMBER(Planung!HO62),Planung!HO62,IF(UPPER(Planung!HO62)="H",$C62/2,0)))))))</f>
        <v>0</v>
      </c>
      <c r="HP62" s="27">
        <f>IF($A62="",0,IF(Mitarbeiter!$G$60=FALSE,0,IF(AND(Mitarbeiter!$E$60&lt;&gt;"",HP$5+6&lt;Mitarbeiter!$E$60),0,IF(AND(Mitarbeiter!$F$60&lt;&gt;"",HP$5&gt;Mitarbeiter!$F$60),0,IF(Planung!HP62="",$C62,IF(ISNUMBER(Planung!HP62),Planung!HP62,IF(UPPER(Planung!HP62)="H",$C62/2,0)))))))</f>
        <v>0</v>
      </c>
      <c r="HQ62" s="27">
        <f>IF($A62="",0,IF(Mitarbeiter!$G$60=FALSE,0,IF(AND(Mitarbeiter!$E$60&lt;&gt;"",HQ$5+6&lt;Mitarbeiter!$E$60),0,IF(AND(Mitarbeiter!$F$60&lt;&gt;"",HQ$5&gt;Mitarbeiter!$F$60),0,IF(Planung!HQ62="",$C62,IF(ISNUMBER(Planung!HQ62),Planung!HQ62,IF(UPPER(Planung!HQ62)="H",$C62/2,0)))))))</f>
        <v>0</v>
      </c>
      <c r="HR62" s="27">
        <f>IF($A62="",0,IF(Mitarbeiter!$G$60=FALSE,0,IF(AND(Mitarbeiter!$E$60&lt;&gt;"",HR$5+6&lt;Mitarbeiter!$E$60),0,IF(AND(Mitarbeiter!$F$60&lt;&gt;"",HR$5&gt;Mitarbeiter!$F$60),0,IF(Planung!HR62="",$C62,IF(ISNUMBER(Planung!HR62),Planung!HR62,IF(UPPER(Planung!HR62)="H",$C62/2,0)))))))</f>
        <v>0</v>
      </c>
      <c r="HS62" s="27">
        <f>IF($A62="",0,IF(Mitarbeiter!$G$60=FALSE,0,IF(AND(Mitarbeiter!$E$60&lt;&gt;"",HS$5+6&lt;Mitarbeiter!$E$60),0,IF(AND(Mitarbeiter!$F$60&lt;&gt;"",HS$5&gt;Mitarbeiter!$F$60),0,IF(Planung!HS62="",$C62,IF(ISNUMBER(Planung!HS62),Planung!HS62,IF(UPPER(Planung!HS62)="H",$C62/2,0)))))))</f>
        <v>0</v>
      </c>
      <c r="HT62" s="27">
        <f>IF($A62="",0,IF(Mitarbeiter!$G$60=FALSE,0,IF(AND(Mitarbeiter!$E$60&lt;&gt;"",HT$5+6&lt;Mitarbeiter!$E$60),0,IF(AND(Mitarbeiter!$F$60&lt;&gt;"",HT$5&gt;Mitarbeiter!$F$60),0,IF(Planung!HT62="",$C62,IF(ISNUMBER(Planung!HT62),Planung!HT62,IF(UPPER(Planung!HT62)="H",$C62/2,0)))))))</f>
        <v>0</v>
      </c>
      <c r="HU62" s="27">
        <f>IF($A62="",0,IF(Mitarbeiter!$G$60=FALSE,0,IF(AND(Mitarbeiter!$E$60&lt;&gt;"",HU$5+6&lt;Mitarbeiter!$E$60),0,IF(AND(Mitarbeiter!$F$60&lt;&gt;"",HU$5&gt;Mitarbeiter!$F$60),0,IF(Planung!HU62="",$C62,IF(ISNUMBER(Planung!HU62),Planung!HU62,IF(UPPER(Planung!HU62)="H",$C62/2,0)))))))</f>
        <v>0</v>
      </c>
      <c r="HV62" s="27">
        <f>IF($A62="",0,IF(Mitarbeiter!$G$60=FALSE,0,IF(AND(Mitarbeiter!$E$60&lt;&gt;"",HV$5+6&lt;Mitarbeiter!$E$60),0,IF(AND(Mitarbeiter!$F$60&lt;&gt;"",HV$5&gt;Mitarbeiter!$F$60),0,IF(Planung!HV62="",$C62,IF(ISNUMBER(Planung!HV62),Planung!HV62,IF(UPPER(Planung!HV62)="H",$C62/2,0)))))))</f>
        <v>0</v>
      </c>
      <c r="HW62" s="27">
        <f>IF($A62="",0,IF(Mitarbeiter!$G$60=FALSE,0,IF(AND(Mitarbeiter!$E$60&lt;&gt;"",HW$5+6&lt;Mitarbeiter!$E$60),0,IF(AND(Mitarbeiter!$F$60&lt;&gt;"",HW$5&gt;Mitarbeiter!$F$60),0,IF(Planung!HW62="",$C62,IF(ISNUMBER(Planung!HW62),Planung!HW62,IF(UPPER(Planung!HW62)="H",$C62/2,0)))))))</f>
        <v>0</v>
      </c>
      <c r="HX62" s="27">
        <f>IF($A62="",0,IF(Mitarbeiter!$G$60=FALSE,0,IF(AND(Mitarbeiter!$E$60&lt;&gt;"",HX$5+6&lt;Mitarbeiter!$E$60),0,IF(AND(Mitarbeiter!$F$60&lt;&gt;"",HX$5&gt;Mitarbeiter!$F$60),0,IF(Planung!HX62="",$C62,IF(ISNUMBER(Planung!HX62),Planung!HX62,IF(UPPER(Planung!HX62)="H",$C62/2,0)))))))</f>
        <v>0</v>
      </c>
      <c r="HY62" s="27">
        <f>IF($A62="",0,IF(Mitarbeiter!$G$60=FALSE,0,IF(AND(Mitarbeiter!$E$60&lt;&gt;"",HY$5+6&lt;Mitarbeiter!$E$60),0,IF(AND(Mitarbeiter!$F$60&lt;&gt;"",HY$5&gt;Mitarbeiter!$F$60),0,IF(Planung!HY62="",$C62,IF(ISNUMBER(Planung!HY62),Planung!HY62,IF(UPPER(Planung!HY62)="H",$C62/2,0)))))))</f>
        <v>0</v>
      </c>
      <c r="HZ62" s="27">
        <f>IF($A62="",0,IF(Mitarbeiter!$G$60=FALSE,0,IF(AND(Mitarbeiter!$E$60&lt;&gt;"",HZ$5+6&lt;Mitarbeiter!$E$60),0,IF(AND(Mitarbeiter!$F$60&lt;&gt;"",HZ$5&gt;Mitarbeiter!$F$60),0,IF(Planung!HZ62="",$C62,IF(ISNUMBER(Planung!HZ62),Planung!HZ62,IF(UPPER(Planung!HZ62)="H",$C62/2,0)))))))</f>
        <v>0</v>
      </c>
      <c r="IA62" s="27">
        <f>IF($A62="",0,IF(Mitarbeiter!$G$60=FALSE,0,IF(AND(Mitarbeiter!$E$60&lt;&gt;"",IA$5+6&lt;Mitarbeiter!$E$60),0,IF(AND(Mitarbeiter!$F$60&lt;&gt;"",IA$5&gt;Mitarbeiter!$F$60),0,IF(Planung!IA62="",$C62,IF(ISNUMBER(Planung!IA62),Planung!IA62,IF(UPPER(Planung!IA62)="H",$C62/2,0)))))))</f>
        <v>0</v>
      </c>
    </row>
    <row r="63" spans="1:235" x14ac:dyDescent="0.25">
      <c r="A63" s="7" t="str">
        <f>Planung!A63</f>
        <v/>
      </c>
      <c r="B63" s="7" t="str">
        <f>Planung!B63</f>
        <v/>
      </c>
      <c r="C63" s="27">
        <f>N(Mitarbeiter!$D$61)</f>
        <v>0</v>
      </c>
      <c r="D63" s="27">
        <f>IF($A63="",0,IF(Mitarbeiter!$G$61=FALSE,0,IF(AND(Mitarbeiter!$E$61&lt;&gt;"",D$5+6&lt;Mitarbeiter!$E$61),0,IF(AND(Mitarbeiter!$F$61&lt;&gt;"",D$5&gt;Mitarbeiter!$F$61),0,IF(Planung!D63="",$C63,IF(ISNUMBER(Planung!D63),Planung!D63,IF(UPPER(Planung!D63)="H",$C63/2,0)))))))</f>
        <v>0</v>
      </c>
      <c r="E63" s="27">
        <f>IF($A63="",0,IF(Mitarbeiter!$G$61=FALSE,0,IF(AND(Mitarbeiter!$E$61&lt;&gt;"",E$5+6&lt;Mitarbeiter!$E$61),0,IF(AND(Mitarbeiter!$F$61&lt;&gt;"",E$5&gt;Mitarbeiter!$F$61),0,IF(Planung!E63="",$C63,IF(ISNUMBER(Planung!E63),Planung!E63,IF(UPPER(Planung!E63)="H",$C63/2,0)))))))</f>
        <v>0</v>
      </c>
      <c r="F63" s="27">
        <f>IF($A63="",0,IF(Mitarbeiter!$G$61=FALSE,0,IF(AND(Mitarbeiter!$E$61&lt;&gt;"",F$5+6&lt;Mitarbeiter!$E$61),0,IF(AND(Mitarbeiter!$F$61&lt;&gt;"",F$5&gt;Mitarbeiter!$F$61),0,IF(Planung!F63="",$C63,IF(ISNUMBER(Planung!F63),Planung!F63,IF(UPPER(Planung!F63)="H",$C63/2,0)))))))</f>
        <v>0</v>
      </c>
      <c r="G63" s="27">
        <f>IF($A63="",0,IF(Mitarbeiter!$G$61=FALSE,0,IF(AND(Mitarbeiter!$E$61&lt;&gt;"",G$5+6&lt;Mitarbeiter!$E$61),0,IF(AND(Mitarbeiter!$F$61&lt;&gt;"",G$5&gt;Mitarbeiter!$F$61),0,IF(Planung!G63="",$C63,IF(ISNUMBER(Planung!G63),Planung!G63,IF(UPPER(Planung!G63)="H",$C63/2,0)))))))</f>
        <v>0</v>
      </c>
      <c r="H63" s="27">
        <f>IF($A63="",0,IF(Mitarbeiter!$G$61=FALSE,0,IF(AND(Mitarbeiter!$E$61&lt;&gt;"",H$5+6&lt;Mitarbeiter!$E$61),0,IF(AND(Mitarbeiter!$F$61&lt;&gt;"",H$5&gt;Mitarbeiter!$F$61),0,IF(Planung!H63="",$C63,IF(ISNUMBER(Planung!H63),Planung!H63,IF(UPPER(Planung!H63)="H",$C63/2,0)))))))</f>
        <v>0</v>
      </c>
      <c r="I63" s="27">
        <f>IF($A63="",0,IF(Mitarbeiter!$G$61=FALSE,0,IF(AND(Mitarbeiter!$E$61&lt;&gt;"",I$5+6&lt;Mitarbeiter!$E$61),0,IF(AND(Mitarbeiter!$F$61&lt;&gt;"",I$5&gt;Mitarbeiter!$F$61),0,IF(Planung!I63="",$C63,IF(ISNUMBER(Planung!I63),Planung!I63,IF(UPPER(Planung!I63)="H",$C63/2,0)))))))</f>
        <v>0</v>
      </c>
      <c r="J63" s="27">
        <f>IF($A63="",0,IF(Mitarbeiter!$G$61=FALSE,0,IF(AND(Mitarbeiter!$E$61&lt;&gt;"",J$5+6&lt;Mitarbeiter!$E$61),0,IF(AND(Mitarbeiter!$F$61&lt;&gt;"",J$5&gt;Mitarbeiter!$F$61),0,IF(Planung!J63="",$C63,IF(ISNUMBER(Planung!J63),Planung!J63,IF(UPPER(Planung!J63)="H",$C63/2,0)))))))</f>
        <v>0</v>
      </c>
      <c r="K63" s="27">
        <f>IF($A63="",0,IF(Mitarbeiter!$G$61=FALSE,0,IF(AND(Mitarbeiter!$E$61&lt;&gt;"",K$5+6&lt;Mitarbeiter!$E$61),0,IF(AND(Mitarbeiter!$F$61&lt;&gt;"",K$5&gt;Mitarbeiter!$F$61),0,IF(Planung!K63="",$C63,IF(ISNUMBER(Planung!K63),Planung!K63,IF(UPPER(Planung!K63)="H",$C63/2,0)))))))</f>
        <v>0</v>
      </c>
      <c r="L63" s="27">
        <f>IF($A63="",0,IF(Mitarbeiter!$G$61=FALSE,0,IF(AND(Mitarbeiter!$E$61&lt;&gt;"",L$5+6&lt;Mitarbeiter!$E$61),0,IF(AND(Mitarbeiter!$F$61&lt;&gt;"",L$5&gt;Mitarbeiter!$F$61),0,IF(Planung!L63="",$C63,IF(ISNUMBER(Planung!L63),Planung!L63,IF(UPPER(Planung!L63)="H",$C63/2,0)))))))</f>
        <v>0</v>
      </c>
      <c r="M63" s="27">
        <f>IF($A63="",0,IF(Mitarbeiter!$G$61=FALSE,0,IF(AND(Mitarbeiter!$E$61&lt;&gt;"",M$5+6&lt;Mitarbeiter!$E$61),0,IF(AND(Mitarbeiter!$F$61&lt;&gt;"",M$5&gt;Mitarbeiter!$F$61),0,IF(Planung!M63="",$C63,IF(ISNUMBER(Planung!M63),Planung!M63,IF(UPPER(Planung!M63)="H",$C63/2,0)))))))</f>
        <v>0</v>
      </c>
      <c r="N63" s="27">
        <f>IF($A63="",0,IF(Mitarbeiter!$G$61=FALSE,0,IF(AND(Mitarbeiter!$E$61&lt;&gt;"",N$5+6&lt;Mitarbeiter!$E$61),0,IF(AND(Mitarbeiter!$F$61&lt;&gt;"",N$5&gt;Mitarbeiter!$F$61),0,IF(Planung!N63="",$C63,IF(ISNUMBER(Planung!N63),Planung!N63,IF(UPPER(Planung!N63)="H",$C63/2,0)))))))</f>
        <v>0</v>
      </c>
      <c r="O63" s="27">
        <f>IF($A63="",0,IF(Mitarbeiter!$G$61=FALSE,0,IF(AND(Mitarbeiter!$E$61&lt;&gt;"",O$5+6&lt;Mitarbeiter!$E$61),0,IF(AND(Mitarbeiter!$F$61&lt;&gt;"",O$5&gt;Mitarbeiter!$F$61),0,IF(Planung!O63="",$C63,IF(ISNUMBER(Planung!O63),Planung!O63,IF(UPPER(Planung!O63)="H",$C63/2,0)))))))</f>
        <v>0</v>
      </c>
      <c r="P63" s="27">
        <f>IF($A63="",0,IF(Mitarbeiter!$G$61=FALSE,0,IF(AND(Mitarbeiter!$E$61&lt;&gt;"",P$5+6&lt;Mitarbeiter!$E$61),0,IF(AND(Mitarbeiter!$F$61&lt;&gt;"",P$5&gt;Mitarbeiter!$F$61),0,IF(Planung!P63="",$C63,IF(ISNUMBER(Planung!P63),Planung!P63,IF(UPPER(Planung!P63)="H",$C63/2,0)))))))</f>
        <v>0</v>
      </c>
      <c r="Q63" s="27">
        <f>IF($A63="",0,IF(Mitarbeiter!$G$61=FALSE,0,IF(AND(Mitarbeiter!$E$61&lt;&gt;"",Q$5+6&lt;Mitarbeiter!$E$61),0,IF(AND(Mitarbeiter!$F$61&lt;&gt;"",Q$5&gt;Mitarbeiter!$F$61),0,IF(Planung!Q63="",$C63,IF(ISNUMBER(Planung!Q63),Planung!Q63,IF(UPPER(Planung!Q63)="H",$C63/2,0)))))))</f>
        <v>0</v>
      </c>
      <c r="R63" s="27">
        <f>IF($A63="",0,IF(Mitarbeiter!$G$61=FALSE,0,IF(AND(Mitarbeiter!$E$61&lt;&gt;"",R$5+6&lt;Mitarbeiter!$E$61),0,IF(AND(Mitarbeiter!$F$61&lt;&gt;"",R$5&gt;Mitarbeiter!$F$61),0,IF(Planung!R63="",$C63,IF(ISNUMBER(Planung!R63),Planung!R63,IF(UPPER(Planung!R63)="H",$C63/2,0)))))))</f>
        <v>0</v>
      </c>
      <c r="S63" s="27">
        <f>IF($A63="",0,IF(Mitarbeiter!$G$61=FALSE,0,IF(AND(Mitarbeiter!$E$61&lt;&gt;"",S$5+6&lt;Mitarbeiter!$E$61),0,IF(AND(Mitarbeiter!$F$61&lt;&gt;"",S$5&gt;Mitarbeiter!$F$61),0,IF(Planung!S63="",$C63,IF(ISNUMBER(Planung!S63),Planung!S63,IF(UPPER(Planung!S63)="H",$C63/2,0)))))))</f>
        <v>0</v>
      </c>
      <c r="T63" s="27">
        <f>IF($A63="",0,IF(Mitarbeiter!$G$61=FALSE,0,IF(AND(Mitarbeiter!$E$61&lt;&gt;"",T$5+6&lt;Mitarbeiter!$E$61),0,IF(AND(Mitarbeiter!$F$61&lt;&gt;"",T$5&gt;Mitarbeiter!$F$61),0,IF(Planung!T63="",$C63,IF(ISNUMBER(Planung!T63),Planung!T63,IF(UPPER(Planung!T63)="H",$C63/2,0)))))))</f>
        <v>0</v>
      </c>
      <c r="U63" s="27">
        <f>IF($A63="",0,IF(Mitarbeiter!$G$61=FALSE,0,IF(AND(Mitarbeiter!$E$61&lt;&gt;"",U$5+6&lt;Mitarbeiter!$E$61),0,IF(AND(Mitarbeiter!$F$61&lt;&gt;"",U$5&gt;Mitarbeiter!$F$61),0,IF(Planung!U63="",$C63,IF(ISNUMBER(Planung!U63),Planung!U63,IF(UPPER(Planung!U63)="H",$C63/2,0)))))))</f>
        <v>0</v>
      </c>
      <c r="V63" s="27">
        <f>IF($A63="",0,IF(Mitarbeiter!$G$61=FALSE,0,IF(AND(Mitarbeiter!$E$61&lt;&gt;"",V$5+6&lt;Mitarbeiter!$E$61),0,IF(AND(Mitarbeiter!$F$61&lt;&gt;"",V$5&gt;Mitarbeiter!$F$61),0,IF(Planung!V63="",$C63,IF(ISNUMBER(Planung!V63),Planung!V63,IF(UPPER(Planung!V63)="H",$C63/2,0)))))))</f>
        <v>0</v>
      </c>
      <c r="W63" s="27">
        <f>IF($A63="",0,IF(Mitarbeiter!$G$61=FALSE,0,IF(AND(Mitarbeiter!$E$61&lt;&gt;"",W$5+6&lt;Mitarbeiter!$E$61),0,IF(AND(Mitarbeiter!$F$61&lt;&gt;"",W$5&gt;Mitarbeiter!$F$61),0,IF(Planung!W63="",$C63,IF(ISNUMBER(Planung!W63),Planung!W63,IF(UPPER(Planung!W63)="H",$C63/2,0)))))))</f>
        <v>0</v>
      </c>
      <c r="X63" s="27">
        <f>IF($A63="",0,IF(Mitarbeiter!$G$61=FALSE,0,IF(AND(Mitarbeiter!$E$61&lt;&gt;"",X$5+6&lt;Mitarbeiter!$E$61),0,IF(AND(Mitarbeiter!$F$61&lt;&gt;"",X$5&gt;Mitarbeiter!$F$61),0,IF(Planung!X63="",$C63,IF(ISNUMBER(Planung!X63),Planung!X63,IF(UPPER(Planung!X63)="H",$C63/2,0)))))))</f>
        <v>0</v>
      </c>
      <c r="Y63" s="27">
        <f>IF($A63="",0,IF(Mitarbeiter!$G$61=FALSE,0,IF(AND(Mitarbeiter!$E$61&lt;&gt;"",Y$5+6&lt;Mitarbeiter!$E$61),0,IF(AND(Mitarbeiter!$F$61&lt;&gt;"",Y$5&gt;Mitarbeiter!$F$61),0,IF(Planung!Y63="",$C63,IF(ISNUMBER(Planung!Y63),Planung!Y63,IF(UPPER(Planung!Y63)="H",$C63/2,0)))))))</f>
        <v>0</v>
      </c>
      <c r="Z63" s="27">
        <f>IF($A63="",0,IF(Mitarbeiter!$G$61=FALSE,0,IF(AND(Mitarbeiter!$E$61&lt;&gt;"",Z$5+6&lt;Mitarbeiter!$E$61),0,IF(AND(Mitarbeiter!$F$61&lt;&gt;"",Z$5&gt;Mitarbeiter!$F$61),0,IF(Planung!Z63="",$C63,IF(ISNUMBER(Planung!Z63),Planung!Z63,IF(UPPER(Planung!Z63)="H",$C63/2,0)))))))</f>
        <v>0</v>
      </c>
      <c r="AA63" s="27">
        <f>IF($A63="",0,IF(Mitarbeiter!$G$61=FALSE,0,IF(AND(Mitarbeiter!$E$61&lt;&gt;"",AA$5+6&lt;Mitarbeiter!$E$61),0,IF(AND(Mitarbeiter!$F$61&lt;&gt;"",AA$5&gt;Mitarbeiter!$F$61),0,IF(Planung!AA63="",$C63,IF(ISNUMBER(Planung!AA63),Planung!AA63,IF(UPPER(Planung!AA63)="H",$C63/2,0)))))))</f>
        <v>0</v>
      </c>
      <c r="AB63" s="27">
        <f>IF($A63="",0,IF(Mitarbeiter!$G$61=FALSE,0,IF(AND(Mitarbeiter!$E$61&lt;&gt;"",AB$5+6&lt;Mitarbeiter!$E$61),0,IF(AND(Mitarbeiter!$F$61&lt;&gt;"",AB$5&gt;Mitarbeiter!$F$61),0,IF(Planung!AB63="",$C63,IF(ISNUMBER(Planung!AB63),Planung!AB63,IF(UPPER(Planung!AB63)="H",$C63/2,0)))))))</f>
        <v>0</v>
      </c>
      <c r="AC63" s="27">
        <f>IF($A63="",0,IF(Mitarbeiter!$G$61=FALSE,0,IF(AND(Mitarbeiter!$E$61&lt;&gt;"",AC$5+6&lt;Mitarbeiter!$E$61),0,IF(AND(Mitarbeiter!$F$61&lt;&gt;"",AC$5&gt;Mitarbeiter!$F$61),0,IF(Planung!AC63="",$C63,IF(ISNUMBER(Planung!AC63),Planung!AC63,IF(UPPER(Planung!AC63)="H",$C63/2,0)))))))</f>
        <v>0</v>
      </c>
      <c r="AD63" s="27">
        <f>IF($A63="",0,IF(Mitarbeiter!$G$61=FALSE,0,IF(AND(Mitarbeiter!$E$61&lt;&gt;"",AD$5+6&lt;Mitarbeiter!$E$61),0,IF(AND(Mitarbeiter!$F$61&lt;&gt;"",AD$5&gt;Mitarbeiter!$F$61),0,IF(Planung!AD63="",$C63,IF(ISNUMBER(Planung!AD63),Planung!AD63,IF(UPPER(Planung!AD63)="H",$C63/2,0)))))))</f>
        <v>0</v>
      </c>
      <c r="AE63" s="27">
        <f>IF($A63="",0,IF(Mitarbeiter!$G$61=FALSE,0,IF(AND(Mitarbeiter!$E$61&lt;&gt;"",AE$5+6&lt;Mitarbeiter!$E$61),0,IF(AND(Mitarbeiter!$F$61&lt;&gt;"",AE$5&gt;Mitarbeiter!$F$61),0,IF(Planung!AE63="",$C63,IF(ISNUMBER(Planung!AE63),Planung!AE63,IF(UPPER(Planung!AE63)="H",$C63/2,0)))))))</f>
        <v>0</v>
      </c>
      <c r="AF63" s="27">
        <f>IF($A63="",0,IF(Mitarbeiter!$G$61=FALSE,0,IF(AND(Mitarbeiter!$E$61&lt;&gt;"",AF$5+6&lt;Mitarbeiter!$E$61),0,IF(AND(Mitarbeiter!$F$61&lt;&gt;"",AF$5&gt;Mitarbeiter!$F$61),0,IF(Planung!AF63="",$C63,IF(ISNUMBER(Planung!AF63),Planung!AF63,IF(UPPER(Planung!AF63)="H",$C63/2,0)))))))</f>
        <v>0</v>
      </c>
      <c r="AG63" s="27">
        <f>IF($A63="",0,IF(Mitarbeiter!$G$61=FALSE,0,IF(AND(Mitarbeiter!$E$61&lt;&gt;"",AG$5+6&lt;Mitarbeiter!$E$61),0,IF(AND(Mitarbeiter!$F$61&lt;&gt;"",AG$5&gt;Mitarbeiter!$F$61),0,IF(Planung!AG63="",$C63,IF(ISNUMBER(Planung!AG63),Planung!AG63,IF(UPPER(Planung!AG63)="H",$C63/2,0)))))))</f>
        <v>0</v>
      </c>
      <c r="AH63" s="27">
        <f>IF($A63="",0,IF(Mitarbeiter!$G$61=FALSE,0,IF(AND(Mitarbeiter!$E$61&lt;&gt;"",AH$5+6&lt;Mitarbeiter!$E$61),0,IF(AND(Mitarbeiter!$F$61&lt;&gt;"",AH$5&gt;Mitarbeiter!$F$61),0,IF(Planung!AH63="",$C63,IF(ISNUMBER(Planung!AH63),Planung!AH63,IF(UPPER(Planung!AH63)="H",$C63/2,0)))))))</f>
        <v>0</v>
      </c>
      <c r="AI63" s="27">
        <f>IF($A63="",0,IF(Mitarbeiter!$G$61=FALSE,0,IF(AND(Mitarbeiter!$E$61&lt;&gt;"",AI$5+6&lt;Mitarbeiter!$E$61),0,IF(AND(Mitarbeiter!$F$61&lt;&gt;"",AI$5&gt;Mitarbeiter!$F$61),0,IF(Planung!AI63="",$C63,IF(ISNUMBER(Planung!AI63),Planung!AI63,IF(UPPER(Planung!AI63)="H",$C63/2,0)))))))</f>
        <v>0</v>
      </c>
      <c r="AJ63" s="27">
        <f>IF($A63="",0,IF(Mitarbeiter!$G$61=FALSE,0,IF(AND(Mitarbeiter!$E$61&lt;&gt;"",AJ$5+6&lt;Mitarbeiter!$E$61),0,IF(AND(Mitarbeiter!$F$61&lt;&gt;"",AJ$5&gt;Mitarbeiter!$F$61),0,IF(Planung!AJ63="",$C63,IF(ISNUMBER(Planung!AJ63),Planung!AJ63,IF(UPPER(Planung!AJ63)="H",$C63/2,0)))))))</f>
        <v>0</v>
      </c>
      <c r="AK63" s="27">
        <f>IF($A63="",0,IF(Mitarbeiter!$G$61=FALSE,0,IF(AND(Mitarbeiter!$E$61&lt;&gt;"",AK$5+6&lt;Mitarbeiter!$E$61),0,IF(AND(Mitarbeiter!$F$61&lt;&gt;"",AK$5&gt;Mitarbeiter!$F$61),0,IF(Planung!AK63="",$C63,IF(ISNUMBER(Planung!AK63),Planung!AK63,IF(UPPER(Planung!AK63)="H",$C63/2,0)))))))</f>
        <v>0</v>
      </c>
      <c r="AL63" s="27">
        <f>IF($A63="",0,IF(Mitarbeiter!$G$61=FALSE,0,IF(AND(Mitarbeiter!$E$61&lt;&gt;"",AL$5+6&lt;Mitarbeiter!$E$61),0,IF(AND(Mitarbeiter!$F$61&lt;&gt;"",AL$5&gt;Mitarbeiter!$F$61),0,IF(Planung!AL63="",$C63,IF(ISNUMBER(Planung!AL63),Planung!AL63,IF(UPPER(Planung!AL63)="H",$C63/2,0)))))))</f>
        <v>0</v>
      </c>
      <c r="AM63" s="27">
        <f>IF($A63="",0,IF(Mitarbeiter!$G$61=FALSE,0,IF(AND(Mitarbeiter!$E$61&lt;&gt;"",AM$5+6&lt;Mitarbeiter!$E$61),0,IF(AND(Mitarbeiter!$F$61&lt;&gt;"",AM$5&gt;Mitarbeiter!$F$61),0,IF(Planung!AM63="",$C63,IF(ISNUMBER(Planung!AM63),Planung!AM63,IF(UPPER(Planung!AM63)="H",$C63/2,0)))))))</f>
        <v>0</v>
      </c>
      <c r="AN63" s="27">
        <f>IF($A63="",0,IF(Mitarbeiter!$G$61=FALSE,0,IF(AND(Mitarbeiter!$E$61&lt;&gt;"",AN$5+6&lt;Mitarbeiter!$E$61),0,IF(AND(Mitarbeiter!$F$61&lt;&gt;"",AN$5&gt;Mitarbeiter!$F$61),0,IF(Planung!AN63="",$C63,IF(ISNUMBER(Planung!AN63),Planung!AN63,IF(UPPER(Planung!AN63)="H",$C63/2,0)))))))</f>
        <v>0</v>
      </c>
      <c r="AO63" s="27">
        <f>IF($A63="",0,IF(Mitarbeiter!$G$61=FALSE,0,IF(AND(Mitarbeiter!$E$61&lt;&gt;"",AO$5+6&lt;Mitarbeiter!$E$61),0,IF(AND(Mitarbeiter!$F$61&lt;&gt;"",AO$5&gt;Mitarbeiter!$F$61),0,IF(Planung!AO63="",$C63,IF(ISNUMBER(Planung!AO63),Planung!AO63,IF(UPPER(Planung!AO63)="H",$C63/2,0)))))))</f>
        <v>0</v>
      </c>
      <c r="AP63" s="27">
        <f>IF($A63="",0,IF(Mitarbeiter!$G$61=FALSE,0,IF(AND(Mitarbeiter!$E$61&lt;&gt;"",AP$5+6&lt;Mitarbeiter!$E$61),0,IF(AND(Mitarbeiter!$F$61&lt;&gt;"",AP$5&gt;Mitarbeiter!$F$61),0,IF(Planung!AP63="",$C63,IF(ISNUMBER(Planung!AP63),Planung!AP63,IF(UPPER(Planung!AP63)="H",$C63/2,0)))))))</f>
        <v>0</v>
      </c>
      <c r="AQ63" s="27">
        <f>IF($A63="",0,IF(Mitarbeiter!$G$61=FALSE,0,IF(AND(Mitarbeiter!$E$61&lt;&gt;"",AQ$5+6&lt;Mitarbeiter!$E$61),0,IF(AND(Mitarbeiter!$F$61&lt;&gt;"",AQ$5&gt;Mitarbeiter!$F$61),0,IF(Planung!AQ63="",$C63,IF(ISNUMBER(Planung!AQ63),Planung!AQ63,IF(UPPER(Planung!AQ63)="H",$C63/2,0)))))))</f>
        <v>0</v>
      </c>
      <c r="AR63" s="27">
        <f>IF($A63="",0,IF(Mitarbeiter!$G$61=FALSE,0,IF(AND(Mitarbeiter!$E$61&lt;&gt;"",AR$5+6&lt;Mitarbeiter!$E$61),0,IF(AND(Mitarbeiter!$F$61&lt;&gt;"",AR$5&gt;Mitarbeiter!$F$61),0,IF(Planung!AR63="",$C63,IF(ISNUMBER(Planung!AR63),Planung!AR63,IF(UPPER(Planung!AR63)="H",$C63/2,0)))))))</f>
        <v>0</v>
      </c>
      <c r="AS63" s="27">
        <f>IF($A63="",0,IF(Mitarbeiter!$G$61=FALSE,0,IF(AND(Mitarbeiter!$E$61&lt;&gt;"",AS$5+6&lt;Mitarbeiter!$E$61),0,IF(AND(Mitarbeiter!$F$61&lt;&gt;"",AS$5&gt;Mitarbeiter!$F$61),0,IF(Planung!AS63="",$C63,IF(ISNUMBER(Planung!AS63),Planung!AS63,IF(UPPER(Planung!AS63)="H",$C63/2,0)))))))</f>
        <v>0</v>
      </c>
      <c r="AT63" s="27">
        <f>IF($A63="",0,IF(Mitarbeiter!$G$61=FALSE,0,IF(AND(Mitarbeiter!$E$61&lt;&gt;"",AT$5+6&lt;Mitarbeiter!$E$61),0,IF(AND(Mitarbeiter!$F$61&lt;&gt;"",AT$5&gt;Mitarbeiter!$F$61),0,IF(Planung!AT63="",$C63,IF(ISNUMBER(Planung!AT63),Planung!AT63,IF(UPPER(Planung!AT63)="H",$C63/2,0)))))))</f>
        <v>0</v>
      </c>
      <c r="AU63" s="27">
        <f>IF($A63="",0,IF(Mitarbeiter!$G$61=FALSE,0,IF(AND(Mitarbeiter!$E$61&lt;&gt;"",AU$5+6&lt;Mitarbeiter!$E$61),0,IF(AND(Mitarbeiter!$F$61&lt;&gt;"",AU$5&gt;Mitarbeiter!$F$61),0,IF(Planung!AU63="",$C63,IF(ISNUMBER(Planung!AU63),Planung!AU63,IF(UPPER(Planung!AU63)="H",$C63/2,0)))))))</f>
        <v>0</v>
      </c>
      <c r="AV63" s="27">
        <f>IF($A63="",0,IF(Mitarbeiter!$G$61=FALSE,0,IF(AND(Mitarbeiter!$E$61&lt;&gt;"",AV$5+6&lt;Mitarbeiter!$E$61),0,IF(AND(Mitarbeiter!$F$61&lt;&gt;"",AV$5&gt;Mitarbeiter!$F$61),0,IF(Planung!AV63="",$C63,IF(ISNUMBER(Planung!AV63),Planung!AV63,IF(UPPER(Planung!AV63)="H",$C63/2,0)))))))</f>
        <v>0</v>
      </c>
      <c r="AW63" s="27">
        <f>IF($A63="",0,IF(Mitarbeiter!$G$61=FALSE,0,IF(AND(Mitarbeiter!$E$61&lt;&gt;"",AW$5+6&lt;Mitarbeiter!$E$61),0,IF(AND(Mitarbeiter!$F$61&lt;&gt;"",AW$5&gt;Mitarbeiter!$F$61),0,IF(Planung!AW63="",$C63,IF(ISNUMBER(Planung!AW63),Planung!AW63,IF(UPPER(Planung!AW63)="H",$C63/2,0)))))))</f>
        <v>0</v>
      </c>
      <c r="AX63" s="27">
        <f>IF($A63="",0,IF(Mitarbeiter!$G$61=FALSE,0,IF(AND(Mitarbeiter!$E$61&lt;&gt;"",AX$5+6&lt;Mitarbeiter!$E$61),0,IF(AND(Mitarbeiter!$F$61&lt;&gt;"",AX$5&gt;Mitarbeiter!$F$61),0,IF(Planung!AX63="",$C63,IF(ISNUMBER(Planung!AX63),Planung!AX63,IF(UPPER(Planung!AX63)="H",$C63/2,0)))))))</f>
        <v>0</v>
      </c>
      <c r="AY63" s="27">
        <f>IF($A63="",0,IF(Mitarbeiter!$G$61=FALSE,0,IF(AND(Mitarbeiter!$E$61&lt;&gt;"",AY$5+6&lt;Mitarbeiter!$E$61),0,IF(AND(Mitarbeiter!$F$61&lt;&gt;"",AY$5&gt;Mitarbeiter!$F$61),0,IF(Planung!AY63="",$C63,IF(ISNUMBER(Planung!AY63),Planung!AY63,IF(UPPER(Planung!AY63)="H",$C63/2,0)))))))</f>
        <v>0</v>
      </c>
      <c r="AZ63" s="27">
        <f>IF($A63="",0,IF(Mitarbeiter!$G$61=FALSE,0,IF(AND(Mitarbeiter!$E$61&lt;&gt;"",AZ$5+6&lt;Mitarbeiter!$E$61),0,IF(AND(Mitarbeiter!$F$61&lt;&gt;"",AZ$5&gt;Mitarbeiter!$F$61),0,IF(Planung!AZ63="",$C63,IF(ISNUMBER(Planung!AZ63),Planung!AZ63,IF(UPPER(Planung!AZ63)="H",$C63/2,0)))))))</f>
        <v>0</v>
      </c>
      <c r="BA63" s="27">
        <f>IF($A63="",0,IF(Mitarbeiter!$G$61=FALSE,0,IF(AND(Mitarbeiter!$E$61&lt;&gt;"",BA$5+6&lt;Mitarbeiter!$E$61),0,IF(AND(Mitarbeiter!$F$61&lt;&gt;"",BA$5&gt;Mitarbeiter!$F$61),0,IF(Planung!BA63="",$C63,IF(ISNUMBER(Planung!BA63),Planung!BA63,IF(UPPER(Planung!BA63)="H",$C63/2,0)))))))</f>
        <v>0</v>
      </c>
      <c r="BB63" s="27">
        <f>IF($A63="",0,IF(Mitarbeiter!$G$61=FALSE,0,IF(AND(Mitarbeiter!$E$61&lt;&gt;"",BB$5+6&lt;Mitarbeiter!$E$61),0,IF(AND(Mitarbeiter!$F$61&lt;&gt;"",BB$5&gt;Mitarbeiter!$F$61),0,IF(Planung!BB63="",$C63,IF(ISNUMBER(Planung!BB63),Planung!BB63,IF(UPPER(Planung!BB63)="H",$C63/2,0)))))))</f>
        <v>0</v>
      </c>
      <c r="BC63" s="27">
        <f>IF($A63="",0,IF(Mitarbeiter!$G$61=FALSE,0,IF(AND(Mitarbeiter!$E$61&lt;&gt;"",BC$5+6&lt;Mitarbeiter!$E$61),0,IF(AND(Mitarbeiter!$F$61&lt;&gt;"",BC$5&gt;Mitarbeiter!$F$61),0,IF(Planung!BC63="",$C63,IF(ISNUMBER(Planung!BC63),Planung!BC63,IF(UPPER(Planung!BC63)="H",$C63/2,0)))))))</f>
        <v>0</v>
      </c>
      <c r="BD63" s="27">
        <f>IF($A63="",0,IF(Mitarbeiter!$G$61=FALSE,0,IF(AND(Mitarbeiter!$E$61&lt;&gt;"",BD$5+6&lt;Mitarbeiter!$E$61),0,IF(AND(Mitarbeiter!$F$61&lt;&gt;"",BD$5&gt;Mitarbeiter!$F$61),0,IF(Planung!BD63="",$C63,IF(ISNUMBER(Planung!BD63),Planung!BD63,IF(UPPER(Planung!BD63)="H",$C63/2,0)))))))</f>
        <v>0</v>
      </c>
      <c r="BE63" s="27">
        <f>IF($A63="",0,IF(Mitarbeiter!$G$61=FALSE,0,IF(AND(Mitarbeiter!$E$61&lt;&gt;"",BE$5+6&lt;Mitarbeiter!$E$61),0,IF(AND(Mitarbeiter!$F$61&lt;&gt;"",BE$5&gt;Mitarbeiter!$F$61),0,IF(Planung!BE63="",$C63,IF(ISNUMBER(Planung!BE63),Planung!BE63,IF(UPPER(Planung!BE63)="H",$C63/2,0)))))))</f>
        <v>0</v>
      </c>
      <c r="BF63" s="27">
        <f>IF($A63="",0,IF(Mitarbeiter!$G$61=FALSE,0,IF(AND(Mitarbeiter!$E$61&lt;&gt;"",BF$5+6&lt;Mitarbeiter!$E$61),0,IF(AND(Mitarbeiter!$F$61&lt;&gt;"",BF$5&gt;Mitarbeiter!$F$61),0,IF(Planung!BF63="",$C63,IF(ISNUMBER(Planung!BF63),Planung!BF63,IF(UPPER(Planung!BF63)="H",$C63/2,0)))))))</f>
        <v>0</v>
      </c>
      <c r="BG63" s="27">
        <f>IF($A63="",0,IF(Mitarbeiter!$G$61=FALSE,0,IF(AND(Mitarbeiter!$E$61&lt;&gt;"",BG$5+6&lt;Mitarbeiter!$E$61),0,IF(AND(Mitarbeiter!$F$61&lt;&gt;"",BG$5&gt;Mitarbeiter!$F$61),0,IF(Planung!BG63="",$C63,IF(ISNUMBER(Planung!BG63),Planung!BG63,IF(UPPER(Planung!BG63)="H",$C63/2,0)))))))</f>
        <v>0</v>
      </c>
      <c r="BH63" s="27">
        <f>IF($A63="",0,IF(Mitarbeiter!$G$61=FALSE,0,IF(AND(Mitarbeiter!$E$61&lt;&gt;"",BH$5+6&lt;Mitarbeiter!$E$61),0,IF(AND(Mitarbeiter!$F$61&lt;&gt;"",BH$5&gt;Mitarbeiter!$F$61),0,IF(Planung!BH63="",$C63,IF(ISNUMBER(Planung!BH63),Planung!BH63,IF(UPPER(Planung!BH63)="H",$C63/2,0)))))))</f>
        <v>0</v>
      </c>
      <c r="BI63" s="27">
        <f>IF($A63="",0,IF(Mitarbeiter!$G$61=FALSE,0,IF(AND(Mitarbeiter!$E$61&lt;&gt;"",BI$5+6&lt;Mitarbeiter!$E$61),0,IF(AND(Mitarbeiter!$F$61&lt;&gt;"",BI$5&gt;Mitarbeiter!$F$61),0,IF(Planung!BI63="",$C63,IF(ISNUMBER(Planung!BI63),Planung!BI63,IF(UPPER(Planung!BI63)="H",$C63/2,0)))))))</f>
        <v>0</v>
      </c>
      <c r="BJ63" s="27">
        <f>IF($A63="",0,IF(Mitarbeiter!$G$61=FALSE,0,IF(AND(Mitarbeiter!$E$61&lt;&gt;"",BJ$5+6&lt;Mitarbeiter!$E$61),0,IF(AND(Mitarbeiter!$F$61&lt;&gt;"",BJ$5&gt;Mitarbeiter!$F$61),0,IF(Planung!BJ63="",$C63,IF(ISNUMBER(Planung!BJ63),Planung!BJ63,IF(UPPER(Planung!BJ63)="H",$C63/2,0)))))))</f>
        <v>0</v>
      </c>
      <c r="BK63" s="27">
        <f>IF($A63="",0,IF(Mitarbeiter!$G$61=FALSE,0,IF(AND(Mitarbeiter!$E$61&lt;&gt;"",BK$5+6&lt;Mitarbeiter!$E$61),0,IF(AND(Mitarbeiter!$F$61&lt;&gt;"",BK$5&gt;Mitarbeiter!$F$61),0,IF(Planung!BK63="",$C63,IF(ISNUMBER(Planung!BK63),Planung!BK63,IF(UPPER(Planung!BK63)="H",$C63/2,0)))))))</f>
        <v>0</v>
      </c>
      <c r="BL63" s="27">
        <f>IF($A63="",0,IF(Mitarbeiter!$G$61=FALSE,0,IF(AND(Mitarbeiter!$E$61&lt;&gt;"",BL$5+6&lt;Mitarbeiter!$E$61),0,IF(AND(Mitarbeiter!$F$61&lt;&gt;"",BL$5&gt;Mitarbeiter!$F$61),0,IF(Planung!BL63="",$C63,IF(ISNUMBER(Planung!BL63),Planung!BL63,IF(UPPER(Planung!BL63)="H",$C63/2,0)))))))</f>
        <v>0</v>
      </c>
      <c r="BM63" s="27">
        <f>IF($A63="",0,IF(Mitarbeiter!$G$61=FALSE,0,IF(AND(Mitarbeiter!$E$61&lt;&gt;"",BM$5+6&lt;Mitarbeiter!$E$61),0,IF(AND(Mitarbeiter!$F$61&lt;&gt;"",BM$5&gt;Mitarbeiter!$F$61),0,IF(Planung!BM63="",$C63,IF(ISNUMBER(Planung!BM63),Planung!BM63,IF(UPPER(Planung!BM63)="H",$C63/2,0)))))))</f>
        <v>0</v>
      </c>
      <c r="BN63" s="27">
        <f>IF($A63="",0,IF(Mitarbeiter!$G$61=FALSE,0,IF(AND(Mitarbeiter!$E$61&lt;&gt;"",BN$5+6&lt;Mitarbeiter!$E$61),0,IF(AND(Mitarbeiter!$F$61&lt;&gt;"",BN$5&gt;Mitarbeiter!$F$61),0,IF(Planung!BN63="",$C63,IF(ISNUMBER(Planung!BN63),Planung!BN63,IF(UPPER(Planung!BN63)="H",$C63/2,0)))))))</f>
        <v>0</v>
      </c>
      <c r="BO63" s="27">
        <f>IF($A63="",0,IF(Mitarbeiter!$G$61=FALSE,0,IF(AND(Mitarbeiter!$E$61&lt;&gt;"",BO$5+6&lt;Mitarbeiter!$E$61),0,IF(AND(Mitarbeiter!$F$61&lt;&gt;"",BO$5&gt;Mitarbeiter!$F$61),0,IF(Planung!BO63="",$C63,IF(ISNUMBER(Planung!BO63),Planung!BO63,IF(UPPER(Planung!BO63)="H",$C63/2,0)))))))</f>
        <v>0</v>
      </c>
      <c r="BP63" s="27">
        <f>IF($A63="",0,IF(Mitarbeiter!$G$61=FALSE,0,IF(AND(Mitarbeiter!$E$61&lt;&gt;"",BP$5+6&lt;Mitarbeiter!$E$61),0,IF(AND(Mitarbeiter!$F$61&lt;&gt;"",BP$5&gt;Mitarbeiter!$F$61),0,IF(Planung!BP63="",$C63,IF(ISNUMBER(Planung!BP63),Planung!BP63,IF(UPPER(Planung!BP63)="H",$C63/2,0)))))))</f>
        <v>0</v>
      </c>
      <c r="BQ63" s="27">
        <f>IF($A63="",0,IF(Mitarbeiter!$G$61=FALSE,0,IF(AND(Mitarbeiter!$E$61&lt;&gt;"",BQ$5+6&lt;Mitarbeiter!$E$61),0,IF(AND(Mitarbeiter!$F$61&lt;&gt;"",BQ$5&gt;Mitarbeiter!$F$61),0,IF(Planung!BQ63="",$C63,IF(ISNUMBER(Planung!BQ63),Planung!BQ63,IF(UPPER(Planung!BQ63)="H",$C63/2,0)))))))</f>
        <v>0</v>
      </c>
      <c r="BR63" s="27">
        <f>IF($A63="",0,IF(Mitarbeiter!$G$61=FALSE,0,IF(AND(Mitarbeiter!$E$61&lt;&gt;"",BR$5+6&lt;Mitarbeiter!$E$61),0,IF(AND(Mitarbeiter!$F$61&lt;&gt;"",BR$5&gt;Mitarbeiter!$F$61),0,IF(Planung!BR63="",$C63,IF(ISNUMBER(Planung!BR63),Planung!BR63,IF(UPPER(Planung!BR63)="H",$C63/2,0)))))))</f>
        <v>0</v>
      </c>
      <c r="BS63" s="27">
        <f>IF($A63="",0,IF(Mitarbeiter!$G$61=FALSE,0,IF(AND(Mitarbeiter!$E$61&lt;&gt;"",BS$5+6&lt;Mitarbeiter!$E$61),0,IF(AND(Mitarbeiter!$F$61&lt;&gt;"",BS$5&gt;Mitarbeiter!$F$61),0,IF(Planung!BS63="",$C63,IF(ISNUMBER(Planung!BS63),Planung!BS63,IF(UPPER(Planung!BS63)="H",$C63/2,0)))))))</f>
        <v>0</v>
      </c>
      <c r="BT63" s="27">
        <f>IF($A63="",0,IF(Mitarbeiter!$G$61=FALSE,0,IF(AND(Mitarbeiter!$E$61&lt;&gt;"",BT$5+6&lt;Mitarbeiter!$E$61),0,IF(AND(Mitarbeiter!$F$61&lt;&gt;"",BT$5&gt;Mitarbeiter!$F$61),0,IF(Planung!BT63="",$C63,IF(ISNUMBER(Planung!BT63),Planung!BT63,IF(UPPER(Planung!BT63)="H",$C63/2,0)))))))</f>
        <v>0</v>
      </c>
      <c r="BU63" s="27">
        <f>IF($A63="",0,IF(Mitarbeiter!$G$61=FALSE,0,IF(AND(Mitarbeiter!$E$61&lt;&gt;"",BU$5+6&lt;Mitarbeiter!$E$61),0,IF(AND(Mitarbeiter!$F$61&lt;&gt;"",BU$5&gt;Mitarbeiter!$F$61),0,IF(Planung!BU63="",$C63,IF(ISNUMBER(Planung!BU63),Planung!BU63,IF(UPPER(Planung!BU63)="H",$C63/2,0)))))))</f>
        <v>0</v>
      </c>
      <c r="BV63" s="27">
        <f>IF($A63="",0,IF(Mitarbeiter!$G$61=FALSE,0,IF(AND(Mitarbeiter!$E$61&lt;&gt;"",BV$5+6&lt;Mitarbeiter!$E$61),0,IF(AND(Mitarbeiter!$F$61&lt;&gt;"",BV$5&gt;Mitarbeiter!$F$61),0,IF(Planung!BV63="",$C63,IF(ISNUMBER(Planung!BV63),Planung!BV63,IF(UPPER(Planung!BV63)="H",$C63/2,0)))))))</f>
        <v>0</v>
      </c>
      <c r="BW63" s="27">
        <f>IF($A63="",0,IF(Mitarbeiter!$G$61=FALSE,0,IF(AND(Mitarbeiter!$E$61&lt;&gt;"",BW$5+6&lt;Mitarbeiter!$E$61),0,IF(AND(Mitarbeiter!$F$61&lt;&gt;"",BW$5&gt;Mitarbeiter!$F$61),0,IF(Planung!BW63="",$C63,IF(ISNUMBER(Planung!BW63),Planung!BW63,IF(UPPER(Planung!BW63)="H",$C63/2,0)))))))</f>
        <v>0</v>
      </c>
      <c r="BX63" s="27">
        <f>IF($A63="",0,IF(Mitarbeiter!$G$61=FALSE,0,IF(AND(Mitarbeiter!$E$61&lt;&gt;"",BX$5+6&lt;Mitarbeiter!$E$61),0,IF(AND(Mitarbeiter!$F$61&lt;&gt;"",BX$5&gt;Mitarbeiter!$F$61),0,IF(Planung!BX63="",$C63,IF(ISNUMBER(Planung!BX63),Planung!BX63,IF(UPPER(Planung!BX63)="H",$C63/2,0)))))))</f>
        <v>0</v>
      </c>
      <c r="BY63" s="27">
        <f>IF($A63="",0,IF(Mitarbeiter!$G$61=FALSE,0,IF(AND(Mitarbeiter!$E$61&lt;&gt;"",BY$5+6&lt;Mitarbeiter!$E$61),0,IF(AND(Mitarbeiter!$F$61&lt;&gt;"",BY$5&gt;Mitarbeiter!$F$61),0,IF(Planung!BY63="",$C63,IF(ISNUMBER(Planung!BY63),Planung!BY63,IF(UPPER(Planung!BY63)="H",$C63/2,0)))))))</f>
        <v>0</v>
      </c>
      <c r="BZ63" s="27">
        <f>IF($A63="",0,IF(Mitarbeiter!$G$61=FALSE,0,IF(AND(Mitarbeiter!$E$61&lt;&gt;"",BZ$5+6&lt;Mitarbeiter!$E$61),0,IF(AND(Mitarbeiter!$F$61&lt;&gt;"",BZ$5&gt;Mitarbeiter!$F$61),0,IF(Planung!BZ63="",$C63,IF(ISNUMBER(Planung!BZ63),Planung!BZ63,IF(UPPER(Planung!BZ63)="H",$C63/2,0)))))))</f>
        <v>0</v>
      </c>
      <c r="CA63" s="27">
        <f>IF($A63="",0,IF(Mitarbeiter!$G$61=FALSE,0,IF(AND(Mitarbeiter!$E$61&lt;&gt;"",CA$5+6&lt;Mitarbeiter!$E$61),0,IF(AND(Mitarbeiter!$F$61&lt;&gt;"",CA$5&gt;Mitarbeiter!$F$61),0,IF(Planung!CA63="",$C63,IF(ISNUMBER(Planung!CA63),Planung!CA63,IF(UPPER(Planung!CA63)="H",$C63/2,0)))))))</f>
        <v>0</v>
      </c>
      <c r="CB63" s="27">
        <f>IF($A63="",0,IF(Mitarbeiter!$G$61=FALSE,0,IF(AND(Mitarbeiter!$E$61&lt;&gt;"",CB$5+6&lt;Mitarbeiter!$E$61),0,IF(AND(Mitarbeiter!$F$61&lt;&gt;"",CB$5&gt;Mitarbeiter!$F$61),0,IF(Planung!CB63="",$C63,IF(ISNUMBER(Planung!CB63),Planung!CB63,IF(UPPER(Planung!CB63)="H",$C63/2,0)))))))</f>
        <v>0</v>
      </c>
      <c r="CC63" s="27">
        <f>IF($A63="",0,IF(Mitarbeiter!$G$61=FALSE,0,IF(AND(Mitarbeiter!$E$61&lt;&gt;"",CC$5+6&lt;Mitarbeiter!$E$61),0,IF(AND(Mitarbeiter!$F$61&lt;&gt;"",CC$5&gt;Mitarbeiter!$F$61),0,IF(Planung!CC63="",$C63,IF(ISNUMBER(Planung!CC63),Planung!CC63,IF(UPPER(Planung!CC63)="H",$C63/2,0)))))))</f>
        <v>0</v>
      </c>
      <c r="CD63" s="27">
        <f>IF($A63="",0,IF(Mitarbeiter!$G$61=FALSE,0,IF(AND(Mitarbeiter!$E$61&lt;&gt;"",CD$5+6&lt;Mitarbeiter!$E$61),0,IF(AND(Mitarbeiter!$F$61&lt;&gt;"",CD$5&gt;Mitarbeiter!$F$61),0,IF(Planung!CD63="",$C63,IF(ISNUMBER(Planung!CD63),Planung!CD63,IF(UPPER(Planung!CD63)="H",$C63/2,0)))))))</f>
        <v>0</v>
      </c>
      <c r="CE63" s="27">
        <f>IF($A63="",0,IF(Mitarbeiter!$G$61=FALSE,0,IF(AND(Mitarbeiter!$E$61&lt;&gt;"",CE$5+6&lt;Mitarbeiter!$E$61),0,IF(AND(Mitarbeiter!$F$61&lt;&gt;"",CE$5&gt;Mitarbeiter!$F$61),0,IF(Planung!CE63="",$C63,IF(ISNUMBER(Planung!CE63),Planung!CE63,IF(UPPER(Planung!CE63)="H",$C63/2,0)))))))</f>
        <v>0</v>
      </c>
      <c r="CF63" s="27">
        <f>IF($A63="",0,IF(Mitarbeiter!$G$61=FALSE,0,IF(AND(Mitarbeiter!$E$61&lt;&gt;"",CF$5+6&lt;Mitarbeiter!$E$61),0,IF(AND(Mitarbeiter!$F$61&lt;&gt;"",CF$5&gt;Mitarbeiter!$F$61),0,IF(Planung!CF63="",$C63,IF(ISNUMBER(Planung!CF63),Planung!CF63,IF(UPPER(Planung!CF63)="H",$C63/2,0)))))))</f>
        <v>0</v>
      </c>
      <c r="CG63" s="27">
        <f>IF($A63="",0,IF(Mitarbeiter!$G$61=FALSE,0,IF(AND(Mitarbeiter!$E$61&lt;&gt;"",CG$5+6&lt;Mitarbeiter!$E$61),0,IF(AND(Mitarbeiter!$F$61&lt;&gt;"",CG$5&gt;Mitarbeiter!$F$61),0,IF(Planung!CG63="",$C63,IF(ISNUMBER(Planung!CG63),Planung!CG63,IF(UPPER(Planung!CG63)="H",$C63/2,0)))))))</f>
        <v>0</v>
      </c>
      <c r="CH63" s="27">
        <f>IF($A63="",0,IF(Mitarbeiter!$G$61=FALSE,0,IF(AND(Mitarbeiter!$E$61&lt;&gt;"",CH$5+6&lt;Mitarbeiter!$E$61),0,IF(AND(Mitarbeiter!$F$61&lt;&gt;"",CH$5&gt;Mitarbeiter!$F$61),0,IF(Planung!CH63="",$C63,IF(ISNUMBER(Planung!CH63),Planung!CH63,IF(UPPER(Planung!CH63)="H",$C63/2,0)))))))</f>
        <v>0</v>
      </c>
      <c r="CI63" s="27">
        <f>IF($A63="",0,IF(Mitarbeiter!$G$61=FALSE,0,IF(AND(Mitarbeiter!$E$61&lt;&gt;"",CI$5+6&lt;Mitarbeiter!$E$61),0,IF(AND(Mitarbeiter!$F$61&lt;&gt;"",CI$5&gt;Mitarbeiter!$F$61),0,IF(Planung!CI63="",$C63,IF(ISNUMBER(Planung!CI63),Planung!CI63,IF(UPPER(Planung!CI63)="H",$C63/2,0)))))))</f>
        <v>0</v>
      </c>
      <c r="CJ63" s="27">
        <f>IF($A63="",0,IF(Mitarbeiter!$G$61=FALSE,0,IF(AND(Mitarbeiter!$E$61&lt;&gt;"",CJ$5+6&lt;Mitarbeiter!$E$61),0,IF(AND(Mitarbeiter!$F$61&lt;&gt;"",CJ$5&gt;Mitarbeiter!$F$61),0,IF(Planung!CJ63="",$C63,IF(ISNUMBER(Planung!CJ63),Planung!CJ63,IF(UPPER(Planung!CJ63)="H",$C63/2,0)))))))</f>
        <v>0</v>
      </c>
      <c r="CK63" s="27">
        <f>IF($A63="",0,IF(Mitarbeiter!$G$61=FALSE,0,IF(AND(Mitarbeiter!$E$61&lt;&gt;"",CK$5+6&lt;Mitarbeiter!$E$61),0,IF(AND(Mitarbeiter!$F$61&lt;&gt;"",CK$5&gt;Mitarbeiter!$F$61),0,IF(Planung!CK63="",$C63,IF(ISNUMBER(Planung!CK63),Planung!CK63,IF(UPPER(Planung!CK63)="H",$C63/2,0)))))))</f>
        <v>0</v>
      </c>
      <c r="CL63" s="27">
        <f>IF($A63="",0,IF(Mitarbeiter!$G$61=FALSE,0,IF(AND(Mitarbeiter!$E$61&lt;&gt;"",CL$5+6&lt;Mitarbeiter!$E$61),0,IF(AND(Mitarbeiter!$F$61&lt;&gt;"",CL$5&gt;Mitarbeiter!$F$61),0,IF(Planung!CL63="",$C63,IF(ISNUMBER(Planung!CL63),Planung!CL63,IF(UPPER(Planung!CL63)="H",$C63/2,0)))))))</f>
        <v>0</v>
      </c>
      <c r="CM63" s="27">
        <f>IF($A63="",0,IF(Mitarbeiter!$G$61=FALSE,0,IF(AND(Mitarbeiter!$E$61&lt;&gt;"",CM$5+6&lt;Mitarbeiter!$E$61),0,IF(AND(Mitarbeiter!$F$61&lt;&gt;"",CM$5&gt;Mitarbeiter!$F$61),0,IF(Planung!CM63="",$C63,IF(ISNUMBER(Planung!CM63),Planung!CM63,IF(UPPER(Planung!CM63)="H",$C63/2,0)))))))</f>
        <v>0</v>
      </c>
      <c r="CN63" s="27">
        <f>IF($A63="",0,IF(Mitarbeiter!$G$61=FALSE,0,IF(AND(Mitarbeiter!$E$61&lt;&gt;"",CN$5+6&lt;Mitarbeiter!$E$61),0,IF(AND(Mitarbeiter!$F$61&lt;&gt;"",CN$5&gt;Mitarbeiter!$F$61),0,IF(Planung!CN63="",$C63,IF(ISNUMBER(Planung!CN63),Planung!CN63,IF(UPPER(Planung!CN63)="H",$C63/2,0)))))))</f>
        <v>0</v>
      </c>
      <c r="CO63" s="27">
        <f>IF($A63="",0,IF(Mitarbeiter!$G$61=FALSE,0,IF(AND(Mitarbeiter!$E$61&lt;&gt;"",CO$5+6&lt;Mitarbeiter!$E$61),0,IF(AND(Mitarbeiter!$F$61&lt;&gt;"",CO$5&gt;Mitarbeiter!$F$61),0,IF(Planung!CO63="",$C63,IF(ISNUMBER(Planung!CO63),Planung!CO63,IF(UPPER(Planung!CO63)="H",$C63/2,0)))))))</f>
        <v>0</v>
      </c>
      <c r="CP63" s="27">
        <f>IF($A63="",0,IF(Mitarbeiter!$G$61=FALSE,0,IF(AND(Mitarbeiter!$E$61&lt;&gt;"",CP$5+6&lt;Mitarbeiter!$E$61),0,IF(AND(Mitarbeiter!$F$61&lt;&gt;"",CP$5&gt;Mitarbeiter!$F$61),0,IF(Planung!CP63="",$C63,IF(ISNUMBER(Planung!CP63),Planung!CP63,IF(UPPER(Planung!CP63)="H",$C63/2,0)))))))</f>
        <v>0</v>
      </c>
      <c r="CQ63" s="27">
        <f>IF($A63="",0,IF(Mitarbeiter!$G$61=FALSE,0,IF(AND(Mitarbeiter!$E$61&lt;&gt;"",CQ$5+6&lt;Mitarbeiter!$E$61),0,IF(AND(Mitarbeiter!$F$61&lt;&gt;"",CQ$5&gt;Mitarbeiter!$F$61),0,IF(Planung!CQ63="",$C63,IF(ISNUMBER(Planung!CQ63),Planung!CQ63,IF(UPPER(Planung!CQ63)="H",$C63/2,0)))))))</f>
        <v>0</v>
      </c>
      <c r="CR63" s="27">
        <f>IF($A63="",0,IF(Mitarbeiter!$G$61=FALSE,0,IF(AND(Mitarbeiter!$E$61&lt;&gt;"",CR$5+6&lt;Mitarbeiter!$E$61),0,IF(AND(Mitarbeiter!$F$61&lt;&gt;"",CR$5&gt;Mitarbeiter!$F$61),0,IF(Planung!CR63="",$C63,IF(ISNUMBER(Planung!CR63),Planung!CR63,IF(UPPER(Planung!CR63)="H",$C63/2,0)))))))</f>
        <v>0</v>
      </c>
      <c r="CS63" s="27">
        <f>IF($A63="",0,IF(Mitarbeiter!$G$61=FALSE,0,IF(AND(Mitarbeiter!$E$61&lt;&gt;"",CS$5+6&lt;Mitarbeiter!$E$61),0,IF(AND(Mitarbeiter!$F$61&lt;&gt;"",CS$5&gt;Mitarbeiter!$F$61),0,IF(Planung!CS63="",$C63,IF(ISNUMBER(Planung!CS63),Planung!CS63,IF(UPPER(Planung!CS63)="H",$C63/2,0)))))))</f>
        <v>0</v>
      </c>
      <c r="CT63" s="27">
        <f>IF($A63="",0,IF(Mitarbeiter!$G$61=FALSE,0,IF(AND(Mitarbeiter!$E$61&lt;&gt;"",CT$5+6&lt;Mitarbeiter!$E$61),0,IF(AND(Mitarbeiter!$F$61&lt;&gt;"",CT$5&gt;Mitarbeiter!$F$61),0,IF(Planung!CT63="",$C63,IF(ISNUMBER(Planung!CT63),Planung!CT63,IF(UPPER(Planung!CT63)="H",$C63/2,0)))))))</f>
        <v>0</v>
      </c>
      <c r="CU63" s="27">
        <f>IF($A63="",0,IF(Mitarbeiter!$G$61=FALSE,0,IF(AND(Mitarbeiter!$E$61&lt;&gt;"",CU$5+6&lt;Mitarbeiter!$E$61),0,IF(AND(Mitarbeiter!$F$61&lt;&gt;"",CU$5&gt;Mitarbeiter!$F$61),0,IF(Planung!CU63="",$C63,IF(ISNUMBER(Planung!CU63),Planung!CU63,IF(UPPER(Planung!CU63)="H",$C63/2,0)))))))</f>
        <v>0</v>
      </c>
      <c r="CV63" s="27">
        <f>IF($A63="",0,IF(Mitarbeiter!$G$61=FALSE,0,IF(AND(Mitarbeiter!$E$61&lt;&gt;"",CV$5+6&lt;Mitarbeiter!$E$61),0,IF(AND(Mitarbeiter!$F$61&lt;&gt;"",CV$5&gt;Mitarbeiter!$F$61),0,IF(Planung!CV63="",$C63,IF(ISNUMBER(Planung!CV63),Planung!CV63,IF(UPPER(Planung!CV63)="H",$C63/2,0)))))))</f>
        <v>0</v>
      </c>
      <c r="CW63" s="27">
        <f>IF($A63="",0,IF(Mitarbeiter!$G$61=FALSE,0,IF(AND(Mitarbeiter!$E$61&lt;&gt;"",CW$5+6&lt;Mitarbeiter!$E$61),0,IF(AND(Mitarbeiter!$F$61&lt;&gt;"",CW$5&gt;Mitarbeiter!$F$61),0,IF(Planung!CW63="",$C63,IF(ISNUMBER(Planung!CW63),Planung!CW63,IF(UPPER(Planung!CW63)="H",$C63/2,0)))))))</f>
        <v>0</v>
      </c>
      <c r="CX63" s="27">
        <f>IF($A63="",0,IF(Mitarbeiter!$G$61=FALSE,0,IF(AND(Mitarbeiter!$E$61&lt;&gt;"",CX$5+6&lt;Mitarbeiter!$E$61),0,IF(AND(Mitarbeiter!$F$61&lt;&gt;"",CX$5&gt;Mitarbeiter!$F$61),0,IF(Planung!CX63="",$C63,IF(ISNUMBER(Planung!CX63),Planung!CX63,IF(UPPER(Planung!CX63)="H",$C63/2,0)))))))</f>
        <v>0</v>
      </c>
      <c r="CY63" s="27">
        <f>IF($A63="",0,IF(Mitarbeiter!$G$61=FALSE,0,IF(AND(Mitarbeiter!$E$61&lt;&gt;"",CY$5+6&lt;Mitarbeiter!$E$61),0,IF(AND(Mitarbeiter!$F$61&lt;&gt;"",CY$5&gt;Mitarbeiter!$F$61),0,IF(Planung!CY63="",$C63,IF(ISNUMBER(Planung!CY63),Planung!CY63,IF(UPPER(Planung!CY63)="H",$C63/2,0)))))))</f>
        <v>0</v>
      </c>
      <c r="CZ63" s="27">
        <f>IF($A63="",0,IF(Mitarbeiter!$G$61=FALSE,0,IF(AND(Mitarbeiter!$E$61&lt;&gt;"",CZ$5+6&lt;Mitarbeiter!$E$61),0,IF(AND(Mitarbeiter!$F$61&lt;&gt;"",CZ$5&gt;Mitarbeiter!$F$61),0,IF(Planung!CZ63="",$C63,IF(ISNUMBER(Planung!CZ63),Planung!CZ63,IF(UPPER(Planung!CZ63)="H",$C63/2,0)))))))</f>
        <v>0</v>
      </c>
      <c r="DA63" s="27">
        <f>IF($A63="",0,IF(Mitarbeiter!$G$61=FALSE,0,IF(AND(Mitarbeiter!$E$61&lt;&gt;"",DA$5+6&lt;Mitarbeiter!$E$61),0,IF(AND(Mitarbeiter!$F$61&lt;&gt;"",DA$5&gt;Mitarbeiter!$F$61),0,IF(Planung!DA63="",$C63,IF(ISNUMBER(Planung!DA63),Planung!DA63,IF(UPPER(Planung!DA63)="H",$C63/2,0)))))))</f>
        <v>0</v>
      </c>
      <c r="DB63" s="27">
        <f>IF($A63="",0,IF(Mitarbeiter!$G$61=FALSE,0,IF(AND(Mitarbeiter!$E$61&lt;&gt;"",DB$5+6&lt;Mitarbeiter!$E$61),0,IF(AND(Mitarbeiter!$F$61&lt;&gt;"",DB$5&gt;Mitarbeiter!$F$61),0,IF(Planung!DB63="",$C63,IF(ISNUMBER(Planung!DB63),Planung!DB63,IF(UPPER(Planung!DB63)="H",$C63/2,0)))))))</f>
        <v>0</v>
      </c>
      <c r="DC63" s="27">
        <f>IF($A63="",0,IF(Mitarbeiter!$G$61=FALSE,0,IF(AND(Mitarbeiter!$E$61&lt;&gt;"",DC$5+6&lt;Mitarbeiter!$E$61),0,IF(AND(Mitarbeiter!$F$61&lt;&gt;"",DC$5&gt;Mitarbeiter!$F$61),0,IF(Planung!DC63="",$C63,IF(ISNUMBER(Planung!DC63),Planung!DC63,IF(UPPER(Planung!DC63)="H",$C63/2,0)))))))</f>
        <v>0</v>
      </c>
      <c r="DD63" s="27">
        <f>IF($A63="",0,IF(Mitarbeiter!$G$61=FALSE,0,IF(AND(Mitarbeiter!$E$61&lt;&gt;"",DD$5+6&lt;Mitarbeiter!$E$61),0,IF(AND(Mitarbeiter!$F$61&lt;&gt;"",DD$5&gt;Mitarbeiter!$F$61),0,IF(Planung!DD63="",$C63,IF(ISNUMBER(Planung!DD63),Planung!DD63,IF(UPPER(Planung!DD63)="H",$C63/2,0)))))))</f>
        <v>0</v>
      </c>
      <c r="DE63" s="27">
        <f>IF($A63="",0,IF(Mitarbeiter!$G$61=FALSE,0,IF(AND(Mitarbeiter!$E$61&lt;&gt;"",DE$5+6&lt;Mitarbeiter!$E$61),0,IF(AND(Mitarbeiter!$F$61&lt;&gt;"",DE$5&gt;Mitarbeiter!$F$61),0,IF(Planung!DE63="",$C63,IF(ISNUMBER(Planung!DE63),Planung!DE63,IF(UPPER(Planung!DE63)="H",$C63/2,0)))))))</f>
        <v>0</v>
      </c>
      <c r="DF63" s="27">
        <f>IF($A63="",0,IF(Mitarbeiter!$G$61=FALSE,0,IF(AND(Mitarbeiter!$E$61&lt;&gt;"",DF$5+6&lt;Mitarbeiter!$E$61),0,IF(AND(Mitarbeiter!$F$61&lt;&gt;"",DF$5&gt;Mitarbeiter!$F$61),0,IF(Planung!DF63="",$C63,IF(ISNUMBER(Planung!DF63),Planung!DF63,IF(UPPER(Planung!DF63)="H",$C63/2,0)))))))</f>
        <v>0</v>
      </c>
      <c r="DG63" s="27">
        <f>IF($A63="",0,IF(Mitarbeiter!$G$61=FALSE,0,IF(AND(Mitarbeiter!$E$61&lt;&gt;"",DG$5+6&lt;Mitarbeiter!$E$61),0,IF(AND(Mitarbeiter!$F$61&lt;&gt;"",DG$5&gt;Mitarbeiter!$F$61),0,IF(Planung!DG63="",$C63,IF(ISNUMBER(Planung!DG63),Planung!DG63,IF(UPPER(Planung!DG63)="H",$C63/2,0)))))))</f>
        <v>0</v>
      </c>
      <c r="DH63" s="27">
        <f>IF($A63="",0,IF(Mitarbeiter!$G$61=FALSE,0,IF(AND(Mitarbeiter!$E$61&lt;&gt;"",DH$5+6&lt;Mitarbeiter!$E$61),0,IF(AND(Mitarbeiter!$F$61&lt;&gt;"",DH$5&gt;Mitarbeiter!$F$61),0,IF(Planung!DH63="",$C63,IF(ISNUMBER(Planung!DH63),Planung!DH63,IF(UPPER(Planung!DH63)="H",$C63/2,0)))))))</f>
        <v>0</v>
      </c>
      <c r="DI63" s="27">
        <f>IF($A63="",0,IF(Mitarbeiter!$G$61=FALSE,0,IF(AND(Mitarbeiter!$E$61&lt;&gt;"",DI$5+6&lt;Mitarbeiter!$E$61),0,IF(AND(Mitarbeiter!$F$61&lt;&gt;"",DI$5&gt;Mitarbeiter!$F$61),0,IF(Planung!DI63="",$C63,IF(ISNUMBER(Planung!DI63),Planung!DI63,IF(UPPER(Planung!DI63)="H",$C63/2,0)))))))</f>
        <v>0</v>
      </c>
      <c r="DJ63" s="27">
        <f>IF($A63="",0,IF(Mitarbeiter!$G$61=FALSE,0,IF(AND(Mitarbeiter!$E$61&lt;&gt;"",DJ$5+6&lt;Mitarbeiter!$E$61),0,IF(AND(Mitarbeiter!$F$61&lt;&gt;"",DJ$5&gt;Mitarbeiter!$F$61),0,IF(Planung!DJ63="",$C63,IF(ISNUMBER(Planung!DJ63),Planung!DJ63,IF(UPPER(Planung!DJ63)="H",$C63/2,0)))))))</f>
        <v>0</v>
      </c>
      <c r="DK63" s="27">
        <f>IF($A63="",0,IF(Mitarbeiter!$G$61=FALSE,0,IF(AND(Mitarbeiter!$E$61&lt;&gt;"",DK$5+6&lt;Mitarbeiter!$E$61),0,IF(AND(Mitarbeiter!$F$61&lt;&gt;"",DK$5&gt;Mitarbeiter!$F$61),0,IF(Planung!DK63="",$C63,IF(ISNUMBER(Planung!DK63),Planung!DK63,IF(UPPER(Planung!DK63)="H",$C63/2,0)))))))</f>
        <v>0</v>
      </c>
      <c r="DL63" s="27">
        <f>IF($A63="",0,IF(Mitarbeiter!$G$61=FALSE,0,IF(AND(Mitarbeiter!$E$61&lt;&gt;"",DL$5+6&lt;Mitarbeiter!$E$61),0,IF(AND(Mitarbeiter!$F$61&lt;&gt;"",DL$5&gt;Mitarbeiter!$F$61),0,IF(Planung!DL63="",$C63,IF(ISNUMBER(Planung!DL63),Planung!DL63,IF(UPPER(Planung!DL63)="H",$C63/2,0)))))))</f>
        <v>0</v>
      </c>
      <c r="DM63" s="27">
        <f>IF($A63="",0,IF(Mitarbeiter!$G$61=FALSE,0,IF(AND(Mitarbeiter!$E$61&lt;&gt;"",DM$5+6&lt;Mitarbeiter!$E$61),0,IF(AND(Mitarbeiter!$F$61&lt;&gt;"",DM$5&gt;Mitarbeiter!$F$61),0,IF(Planung!DM63="",$C63,IF(ISNUMBER(Planung!DM63),Planung!DM63,IF(UPPER(Planung!DM63)="H",$C63/2,0)))))))</f>
        <v>0</v>
      </c>
      <c r="DN63" s="27">
        <f>IF($A63="",0,IF(Mitarbeiter!$G$61=FALSE,0,IF(AND(Mitarbeiter!$E$61&lt;&gt;"",DN$5+6&lt;Mitarbeiter!$E$61),0,IF(AND(Mitarbeiter!$F$61&lt;&gt;"",DN$5&gt;Mitarbeiter!$F$61),0,IF(Planung!DN63="",$C63,IF(ISNUMBER(Planung!DN63),Planung!DN63,IF(UPPER(Planung!DN63)="H",$C63/2,0)))))))</f>
        <v>0</v>
      </c>
      <c r="DO63" s="27">
        <f>IF($A63="",0,IF(Mitarbeiter!$G$61=FALSE,0,IF(AND(Mitarbeiter!$E$61&lt;&gt;"",DO$5+6&lt;Mitarbeiter!$E$61),0,IF(AND(Mitarbeiter!$F$61&lt;&gt;"",DO$5&gt;Mitarbeiter!$F$61),0,IF(Planung!DO63="",$C63,IF(ISNUMBER(Planung!DO63),Planung!DO63,IF(UPPER(Planung!DO63)="H",$C63/2,0)))))))</f>
        <v>0</v>
      </c>
      <c r="DP63" s="27">
        <f>IF($A63="",0,IF(Mitarbeiter!$G$61=FALSE,0,IF(AND(Mitarbeiter!$E$61&lt;&gt;"",DP$5+6&lt;Mitarbeiter!$E$61),0,IF(AND(Mitarbeiter!$F$61&lt;&gt;"",DP$5&gt;Mitarbeiter!$F$61),0,IF(Planung!DP63="",$C63,IF(ISNUMBER(Planung!DP63),Planung!DP63,IF(UPPER(Planung!DP63)="H",$C63/2,0)))))))</f>
        <v>0</v>
      </c>
      <c r="DQ63" s="27">
        <f>IF($A63="",0,IF(Mitarbeiter!$G$61=FALSE,0,IF(AND(Mitarbeiter!$E$61&lt;&gt;"",DQ$5+6&lt;Mitarbeiter!$E$61),0,IF(AND(Mitarbeiter!$F$61&lt;&gt;"",DQ$5&gt;Mitarbeiter!$F$61),0,IF(Planung!DQ63="",$C63,IF(ISNUMBER(Planung!DQ63),Planung!DQ63,IF(UPPER(Planung!DQ63)="H",$C63/2,0)))))))</f>
        <v>0</v>
      </c>
      <c r="DR63" s="27">
        <f>IF($A63="",0,IF(Mitarbeiter!$G$61=FALSE,0,IF(AND(Mitarbeiter!$E$61&lt;&gt;"",DR$5+6&lt;Mitarbeiter!$E$61),0,IF(AND(Mitarbeiter!$F$61&lt;&gt;"",DR$5&gt;Mitarbeiter!$F$61),0,IF(Planung!DR63="",$C63,IF(ISNUMBER(Planung!DR63),Planung!DR63,IF(UPPER(Planung!DR63)="H",$C63/2,0)))))))</f>
        <v>0</v>
      </c>
      <c r="DS63" s="27">
        <f>IF($A63="",0,IF(Mitarbeiter!$G$61=FALSE,0,IF(AND(Mitarbeiter!$E$61&lt;&gt;"",DS$5+6&lt;Mitarbeiter!$E$61),0,IF(AND(Mitarbeiter!$F$61&lt;&gt;"",DS$5&gt;Mitarbeiter!$F$61),0,IF(Planung!DS63="",$C63,IF(ISNUMBER(Planung!DS63),Planung!DS63,IF(UPPER(Planung!DS63)="H",$C63/2,0)))))))</f>
        <v>0</v>
      </c>
      <c r="DT63" s="27">
        <f>IF($A63="",0,IF(Mitarbeiter!$G$61=FALSE,0,IF(AND(Mitarbeiter!$E$61&lt;&gt;"",DT$5+6&lt;Mitarbeiter!$E$61),0,IF(AND(Mitarbeiter!$F$61&lt;&gt;"",DT$5&gt;Mitarbeiter!$F$61),0,IF(Planung!DT63="",$C63,IF(ISNUMBER(Planung!DT63),Planung!DT63,IF(UPPER(Planung!DT63)="H",$C63/2,0)))))))</f>
        <v>0</v>
      </c>
      <c r="DU63" s="27">
        <f>IF($A63="",0,IF(Mitarbeiter!$G$61=FALSE,0,IF(AND(Mitarbeiter!$E$61&lt;&gt;"",DU$5+6&lt;Mitarbeiter!$E$61),0,IF(AND(Mitarbeiter!$F$61&lt;&gt;"",DU$5&gt;Mitarbeiter!$F$61),0,IF(Planung!DU63="",$C63,IF(ISNUMBER(Planung!DU63),Planung!DU63,IF(UPPER(Planung!DU63)="H",$C63/2,0)))))))</f>
        <v>0</v>
      </c>
      <c r="DV63" s="27">
        <f>IF($A63="",0,IF(Mitarbeiter!$G$61=FALSE,0,IF(AND(Mitarbeiter!$E$61&lt;&gt;"",DV$5+6&lt;Mitarbeiter!$E$61),0,IF(AND(Mitarbeiter!$F$61&lt;&gt;"",DV$5&gt;Mitarbeiter!$F$61),0,IF(Planung!DV63="",$C63,IF(ISNUMBER(Planung!DV63),Planung!DV63,IF(UPPER(Planung!DV63)="H",$C63/2,0)))))))</f>
        <v>0</v>
      </c>
      <c r="DW63" s="27">
        <f>IF($A63="",0,IF(Mitarbeiter!$G$61=FALSE,0,IF(AND(Mitarbeiter!$E$61&lt;&gt;"",DW$5+6&lt;Mitarbeiter!$E$61),0,IF(AND(Mitarbeiter!$F$61&lt;&gt;"",DW$5&gt;Mitarbeiter!$F$61),0,IF(Planung!DW63="",$C63,IF(ISNUMBER(Planung!DW63),Planung!DW63,IF(UPPER(Planung!DW63)="H",$C63/2,0)))))))</f>
        <v>0</v>
      </c>
      <c r="DX63" s="27">
        <f>IF($A63="",0,IF(Mitarbeiter!$G$61=FALSE,0,IF(AND(Mitarbeiter!$E$61&lt;&gt;"",DX$5+6&lt;Mitarbeiter!$E$61),0,IF(AND(Mitarbeiter!$F$61&lt;&gt;"",DX$5&gt;Mitarbeiter!$F$61),0,IF(Planung!DX63="",$C63,IF(ISNUMBER(Planung!DX63),Planung!DX63,IF(UPPER(Planung!DX63)="H",$C63/2,0)))))))</f>
        <v>0</v>
      </c>
      <c r="DY63" s="27">
        <f>IF($A63="",0,IF(Mitarbeiter!$G$61=FALSE,0,IF(AND(Mitarbeiter!$E$61&lt;&gt;"",DY$5+6&lt;Mitarbeiter!$E$61),0,IF(AND(Mitarbeiter!$F$61&lt;&gt;"",DY$5&gt;Mitarbeiter!$F$61),0,IF(Planung!DY63="",$C63,IF(ISNUMBER(Planung!DY63),Planung!DY63,IF(UPPER(Planung!DY63)="H",$C63/2,0)))))))</f>
        <v>0</v>
      </c>
      <c r="DZ63" s="27">
        <f>IF($A63="",0,IF(Mitarbeiter!$G$61=FALSE,0,IF(AND(Mitarbeiter!$E$61&lt;&gt;"",DZ$5+6&lt;Mitarbeiter!$E$61),0,IF(AND(Mitarbeiter!$F$61&lt;&gt;"",DZ$5&gt;Mitarbeiter!$F$61),0,IF(Planung!DZ63="",$C63,IF(ISNUMBER(Planung!DZ63),Planung!DZ63,IF(UPPER(Planung!DZ63)="H",$C63/2,0)))))))</f>
        <v>0</v>
      </c>
      <c r="EA63" s="27">
        <f>IF($A63="",0,IF(Mitarbeiter!$G$61=FALSE,0,IF(AND(Mitarbeiter!$E$61&lt;&gt;"",EA$5+6&lt;Mitarbeiter!$E$61),0,IF(AND(Mitarbeiter!$F$61&lt;&gt;"",EA$5&gt;Mitarbeiter!$F$61),0,IF(Planung!EA63="",$C63,IF(ISNUMBER(Planung!EA63),Planung!EA63,IF(UPPER(Planung!EA63)="H",$C63/2,0)))))))</f>
        <v>0</v>
      </c>
      <c r="EB63" s="27">
        <f>IF($A63="",0,IF(Mitarbeiter!$G$61=FALSE,0,IF(AND(Mitarbeiter!$E$61&lt;&gt;"",EB$5+6&lt;Mitarbeiter!$E$61),0,IF(AND(Mitarbeiter!$F$61&lt;&gt;"",EB$5&gt;Mitarbeiter!$F$61),0,IF(Planung!EB63="",$C63,IF(ISNUMBER(Planung!EB63),Planung!EB63,IF(UPPER(Planung!EB63)="H",$C63/2,0)))))))</f>
        <v>0</v>
      </c>
      <c r="EC63" s="27">
        <f>IF($A63="",0,IF(Mitarbeiter!$G$61=FALSE,0,IF(AND(Mitarbeiter!$E$61&lt;&gt;"",EC$5+6&lt;Mitarbeiter!$E$61),0,IF(AND(Mitarbeiter!$F$61&lt;&gt;"",EC$5&gt;Mitarbeiter!$F$61),0,IF(Planung!EC63="",$C63,IF(ISNUMBER(Planung!EC63),Planung!EC63,IF(UPPER(Planung!EC63)="H",$C63/2,0)))))))</f>
        <v>0</v>
      </c>
      <c r="ED63" s="27">
        <f>IF($A63="",0,IF(Mitarbeiter!$G$61=FALSE,0,IF(AND(Mitarbeiter!$E$61&lt;&gt;"",ED$5+6&lt;Mitarbeiter!$E$61),0,IF(AND(Mitarbeiter!$F$61&lt;&gt;"",ED$5&gt;Mitarbeiter!$F$61),0,IF(Planung!ED63="",$C63,IF(ISNUMBER(Planung!ED63),Planung!ED63,IF(UPPER(Planung!ED63)="H",$C63/2,0)))))))</f>
        <v>0</v>
      </c>
      <c r="EE63" s="27">
        <f>IF($A63="",0,IF(Mitarbeiter!$G$61=FALSE,0,IF(AND(Mitarbeiter!$E$61&lt;&gt;"",EE$5+6&lt;Mitarbeiter!$E$61),0,IF(AND(Mitarbeiter!$F$61&lt;&gt;"",EE$5&gt;Mitarbeiter!$F$61),0,IF(Planung!EE63="",$C63,IF(ISNUMBER(Planung!EE63),Planung!EE63,IF(UPPER(Planung!EE63)="H",$C63/2,0)))))))</f>
        <v>0</v>
      </c>
      <c r="EF63" s="27">
        <f>IF($A63="",0,IF(Mitarbeiter!$G$61=FALSE,0,IF(AND(Mitarbeiter!$E$61&lt;&gt;"",EF$5+6&lt;Mitarbeiter!$E$61),0,IF(AND(Mitarbeiter!$F$61&lt;&gt;"",EF$5&gt;Mitarbeiter!$F$61),0,IF(Planung!EF63="",$C63,IF(ISNUMBER(Planung!EF63),Planung!EF63,IF(UPPER(Planung!EF63)="H",$C63/2,0)))))))</f>
        <v>0</v>
      </c>
      <c r="EG63" s="27">
        <f>IF($A63="",0,IF(Mitarbeiter!$G$61=FALSE,0,IF(AND(Mitarbeiter!$E$61&lt;&gt;"",EG$5+6&lt;Mitarbeiter!$E$61),0,IF(AND(Mitarbeiter!$F$61&lt;&gt;"",EG$5&gt;Mitarbeiter!$F$61),0,IF(Planung!EG63="",$C63,IF(ISNUMBER(Planung!EG63),Planung!EG63,IF(UPPER(Planung!EG63)="H",$C63/2,0)))))))</f>
        <v>0</v>
      </c>
      <c r="EH63" s="27">
        <f>IF($A63="",0,IF(Mitarbeiter!$G$61=FALSE,0,IF(AND(Mitarbeiter!$E$61&lt;&gt;"",EH$5+6&lt;Mitarbeiter!$E$61),0,IF(AND(Mitarbeiter!$F$61&lt;&gt;"",EH$5&gt;Mitarbeiter!$F$61),0,IF(Planung!EH63="",$C63,IF(ISNUMBER(Planung!EH63),Planung!EH63,IF(UPPER(Planung!EH63)="H",$C63/2,0)))))))</f>
        <v>0</v>
      </c>
      <c r="EI63" s="27">
        <f>IF($A63="",0,IF(Mitarbeiter!$G$61=FALSE,0,IF(AND(Mitarbeiter!$E$61&lt;&gt;"",EI$5+6&lt;Mitarbeiter!$E$61),0,IF(AND(Mitarbeiter!$F$61&lt;&gt;"",EI$5&gt;Mitarbeiter!$F$61),0,IF(Planung!EI63="",$C63,IF(ISNUMBER(Planung!EI63),Planung!EI63,IF(UPPER(Planung!EI63)="H",$C63/2,0)))))))</f>
        <v>0</v>
      </c>
      <c r="EJ63" s="27">
        <f>IF($A63="",0,IF(Mitarbeiter!$G$61=FALSE,0,IF(AND(Mitarbeiter!$E$61&lt;&gt;"",EJ$5+6&lt;Mitarbeiter!$E$61),0,IF(AND(Mitarbeiter!$F$61&lt;&gt;"",EJ$5&gt;Mitarbeiter!$F$61),0,IF(Planung!EJ63="",$C63,IF(ISNUMBER(Planung!EJ63),Planung!EJ63,IF(UPPER(Planung!EJ63)="H",$C63/2,0)))))))</f>
        <v>0</v>
      </c>
      <c r="EK63" s="27">
        <f>IF($A63="",0,IF(Mitarbeiter!$G$61=FALSE,0,IF(AND(Mitarbeiter!$E$61&lt;&gt;"",EK$5+6&lt;Mitarbeiter!$E$61),0,IF(AND(Mitarbeiter!$F$61&lt;&gt;"",EK$5&gt;Mitarbeiter!$F$61),0,IF(Planung!EK63="",$C63,IF(ISNUMBER(Planung!EK63),Planung!EK63,IF(UPPER(Planung!EK63)="H",$C63/2,0)))))))</f>
        <v>0</v>
      </c>
      <c r="EL63" s="27">
        <f>IF($A63="",0,IF(Mitarbeiter!$G$61=FALSE,0,IF(AND(Mitarbeiter!$E$61&lt;&gt;"",EL$5+6&lt;Mitarbeiter!$E$61),0,IF(AND(Mitarbeiter!$F$61&lt;&gt;"",EL$5&gt;Mitarbeiter!$F$61),0,IF(Planung!EL63="",$C63,IF(ISNUMBER(Planung!EL63),Planung!EL63,IF(UPPER(Planung!EL63)="H",$C63/2,0)))))))</f>
        <v>0</v>
      </c>
      <c r="EM63" s="27">
        <f>IF($A63="",0,IF(Mitarbeiter!$G$61=FALSE,0,IF(AND(Mitarbeiter!$E$61&lt;&gt;"",EM$5+6&lt;Mitarbeiter!$E$61),0,IF(AND(Mitarbeiter!$F$61&lt;&gt;"",EM$5&gt;Mitarbeiter!$F$61),0,IF(Planung!EM63="",$C63,IF(ISNUMBER(Planung!EM63),Planung!EM63,IF(UPPER(Planung!EM63)="H",$C63/2,0)))))))</f>
        <v>0</v>
      </c>
      <c r="EN63" s="27">
        <f>IF($A63="",0,IF(Mitarbeiter!$G$61=FALSE,0,IF(AND(Mitarbeiter!$E$61&lt;&gt;"",EN$5+6&lt;Mitarbeiter!$E$61),0,IF(AND(Mitarbeiter!$F$61&lt;&gt;"",EN$5&gt;Mitarbeiter!$F$61),0,IF(Planung!EN63="",$C63,IF(ISNUMBER(Planung!EN63),Planung!EN63,IF(UPPER(Planung!EN63)="H",$C63/2,0)))))))</f>
        <v>0</v>
      </c>
      <c r="EO63" s="27">
        <f>IF($A63="",0,IF(Mitarbeiter!$G$61=FALSE,0,IF(AND(Mitarbeiter!$E$61&lt;&gt;"",EO$5+6&lt;Mitarbeiter!$E$61),0,IF(AND(Mitarbeiter!$F$61&lt;&gt;"",EO$5&gt;Mitarbeiter!$F$61),0,IF(Planung!EO63="",$C63,IF(ISNUMBER(Planung!EO63),Planung!EO63,IF(UPPER(Planung!EO63)="H",$C63/2,0)))))))</f>
        <v>0</v>
      </c>
      <c r="EP63" s="27">
        <f>IF($A63="",0,IF(Mitarbeiter!$G$61=FALSE,0,IF(AND(Mitarbeiter!$E$61&lt;&gt;"",EP$5+6&lt;Mitarbeiter!$E$61),0,IF(AND(Mitarbeiter!$F$61&lt;&gt;"",EP$5&gt;Mitarbeiter!$F$61),0,IF(Planung!EP63="",$C63,IF(ISNUMBER(Planung!EP63),Planung!EP63,IF(UPPER(Planung!EP63)="H",$C63/2,0)))))))</f>
        <v>0</v>
      </c>
      <c r="EQ63" s="27">
        <f>IF($A63="",0,IF(Mitarbeiter!$G$61=FALSE,0,IF(AND(Mitarbeiter!$E$61&lt;&gt;"",EQ$5+6&lt;Mitarbeiter!$E$61),0,IF(AND(Mitarbeiter!$F$61&lt;&gt;"",EQ$5&gt;Mitarbeiter!$F$61),0,IF(Planung!EQ63="",$C63,IF(ISNUMBER(Planung!EQ63),Planung!EQ63,IF(UPPER(Planung!EQ63)="H",$C63/2,0)))))))</f>
        <v>0</v>
      </c>
      <c r="ER63" s="27">
        <f>IF($A63="",0,IF(Mitarbeiter!$G$61=FALSE,0,IF(AND(Mitarbeiter!$E$61&lt;&gt;"",ER$5+6&lt;Mitarbeiter!$E$61),0,IF(AND(Mitarbeiter!$F$61&lt;&gt;"",ER$5&gt;Mitarbeiter!$F$61),0,IF(Planung!ER63="",$C63,IF(ISNUMBER(Planung!ER63),Planung!ER63,IF(UPPER(Planung!ER63)="H",$C63/2,0)))))))</f>
        <v>0</v>
      </c>
      <c r="ES63" s="27">
        <f>IF($A63="",0,IF(Mitarbeiter!$G$61=FALSE,0,IF(AND(Mitarbeiter!$E$61&lt;&gt;"",ES$5+6&lt;Mitarbeiter!$E$61),0,IF(AND(Mitarbeiter!$F$61&lt;&gt;"",ES$5&gt;Mitarbeiter!$F$61),0,IF(Planung!ES63="",$C63,IF(ISNUMBER(Planung!ES63),Planung!ES63,IF(UPPER(Planung!ES63)="H",$C63/2,0)))))))</f>
        <v>0</v>
      </c>
      <c r="ET63" s="27">
        <f>IF($A63="",0,IF(Mitarbeiter!$G$61=FALSE,0,IF(AND(Mitarbeiter!$E$61&lt;&gt;"",ET$5+6&lt;Mitarbeiter!$E$61),0,IF(AND(Mitarbeiter!$F$61&lt;&gt;"",ET$5&gt;Mitarbeiter!$F$61),0,IF(Planung!ET63="",$C63,IF(ISNUMBER(Planung!ET63),Planung!ET63,IF(UPPER(Planung!ET63)="H",$C63/2,0)))))))</f>
        <v>0</v>
      </c>
      <c r="EU63" s="27">
        <f>IF($A63="",0,IF(Mitarbeiter!$G$61=FALSE,0,IF(AND(Mitarbeiter!$E$61&lt;&gt;"",EU$5+6&lt;Mitarbeiter!$E$61),0,IF(AND(Mitarbeiter!$F$61&lt;&gt;"",EU$5&gt;Mitarbeiter!$F$61),0,IF(Planung!EU63="",$C63,IF(ISNUMBER(Planung!EU63),Planung!EU63,IF(UPPER(Planung!EU63)="H",$C63/2,0)))))))</f>
        <v>0</v>
      </c>
      <c r="EV63" s="27">
        <f>IF($A63="",0,IF(Mitarbeiter!$G$61=FALSE,0,IF(AND(Mitarbeiter!$E$61&lt;&gt;"",EV$5+6&lt;Mitarbeiter!$E$61),0,IF(AND(Mitarbeiter!$F$61&lt;&gt;"",EV$5&gt;Mitarbeiter!$F$61),0,IF(Planung!EV63="",$C63,IF(ISNUMBER(Planung!EV63),Planung!EV63,IF(UPPER(Planung!EV63)="H",$C63/2,0)))))))</f>
        <v>0</v>
      </c>
      <c r="EW63" s="27">
        <f>IF($A63="",0,IF(Mitarbeiter!$G$61=FALSE,0,IF(AND(Mitarbeiter!$E$61&lt;&gt;"",EW$5+6&lt;Mitarbeiter!$E$61),0,IF(AND(Mitarbeiter!$F$61&lt;&gt;"",EW$5&gt;Mitarbeiter!$F$61),0,IF(Planung!EW63="",$C63,IF(ISNUMBER(Planung!EW63),Planung!EW63,IF(UPPER(Planung!EW63)="H",$C63/2,0)))))))</f>
        <v>0</v>
      </c>
      <c r="EX63" s="27">
        <f>IF($A63="",0,IF(Mitarbeiter!$G$61=FALSE,0,IF(AND(Mitarbeiter!$E$61&lt;&gt;"",EX$5+6&lt;Mitarbeiter!$E$61),0,IF(AND(Mitarbeiter!$F$61&lt;&gt;"",EX$5&gt;Mitarbeiter!$F$61),0,IF(Planung!EX63="",$C63,IF(ISNUMBER(Planung!EX63),Planung!EX63,IF(UPPER(Planung!EX63)="H",$C63/2,0)))))))</f>
        <v>0</v>
      </c>
      <c r="EY63" s="27">
        <f>IF($A63="",0,IF(Mitarbeiter!$G$61=FALSE,0,IF(AND(Mitarbeiter!$E$61&lt;&gt;"",EY$5+6&lt;Mitarbeiter!$E$61),0,IF(AND(Mitarbeiter!$F$61&lt;&gt;"",EY$5&gt;Mitarbeiter!$F$61),0,IF(Planung!EY63="",$C63,IF(ISNUMBER(Planung!EY63),Planung!EY63,IF(UPPER(Planung!EY63)="H",$C63/2,0)))))))</f>
        <v>0</v>
      </c>
      <c r="EZ63" s="27">
        <f>IF($A63="",0,IF(Mitarbeiter!$G$61=FALSE,0,IF(AND(Mitarbeiter!$E$61&lt;&gt;"",EZ$5+6&lt;Mitarbeiter!$E$61),0,IF(AND(Mitarbeiter!$F$61&lt;&gt;"",EZ$5&gt;Mitarbeiter!$F$61),0,IF(Planung!EZ63="",$C63,IF(ISNUMBER(Planung!EZ63),Planung!EZ63,IF(UPPER(Planung!EZ63)="H",$C63/2,0)))))))</f>
        <v>0</v>
      </c>
      <c r="FA63" s="27">
        <f>IF($A63="",0,IF(Mitarbeiter!$G$61=FALSE,0,IF(AND(Mitarbeiter!$E$61&lt;&gt;"",FA$5+6&lt;Mitarbeiter!$E$61),0,IF(AND(Mitarbeiter!$F$61&lt;&gt;"",FA$5&gt;Mitarbeiter!$F$61),0,IF(Planung!FA63="",$C63,IF(ISNUMBER(Planung!FA63),Planung!FA63,IF(UPPER(Planung!FA63)="H",$C63/2,0)))))))</f>
        <v>0</v>
      </c>
      <c r="FB63" s="27">
        <f>IF($A63="",0,IF(Mitarbeiter!$G$61=FALSE,0,IF(AND(Mitarbeiter!$E$61&lt;&gt;"",FB$5+6&lt;Mitarbeiter!$E$61),0,IF(AND(Mitarbeiter!$F$61&lt;&gt;"",FB$5&gt;Mitarbeiter!$F$61),0,IF(Planung!FB63="",$C63,IF(ISNUMBER(Planung!FB63),Planung!FB63,IF(UPPER(Planung!FB63)="H",$C63/2,0)))))))</f>
        <v>0</v>
      </c>
      <c r="FC63" s="27">
        <f>IF($A63="",0,IF(Mitarbeiter!$G$61=FALSE,0,IF(AND(Mitarbeiter!$E$61&lt;&gt;"",FC$5+6&lt;Mitarbeiter!$E$61),0,IF(AND(Mitarbeiter!$F$61&lt;&gt;"",FC$5&gt;Mitarbeiter!$F$61),0,IF(Planung!FC63="",$C63,IF(ISNUMBER(Planung!FC63),Planung!FC63,IF(UPPER(Planung!FC63)="H",$C63/2,0)))))))</f>
        <v>0</v>
      </c>
      <c r="FD63" s="27">
        <f>IF($A63="",0,IF(Mitarbeiter!$G$61=FALSE,0,IF(AND(Mitarbeiter!$E$61&lt;&gt;"",FD$5+6&lt;Mitarbeiter!$E$61),0,IF(AND(Mitarbeiter!$F$61&lt;&gt;"",FD$5&gt;Mitarbeiter!$F$61),0,IF(Planung!FD63="",$C63,IF(ISNUMBER(Planung!FD63),Planung!FD63,IF(UPPER(Planung!FD63)="H",$C63/2,0)))))))</f>
        <v>0</v>
      </c>
      <c r="FE63" s="27">
        <f>IF($A63="",0,IF(Mitarbeiter!$G$61=FALSE,0,IF(AND(Mitarbeiter!$E$61&lt;&gt;"",FE$5+6&lt;Mitarbeiter!$E$61),0,IF(AND(Mitarbeiter!$F$61&lt;&gt;"",FE$5&gt;Mitarbeiter!$F$61),0,IF(Planung!FE63="",$C63,IF(ISNUMBER(Planung!FE63),Planung!FE63,IF(UPPER(Planung!FE63)="H",$C63/2,0)))))))</f>
        <v>0</v>
      </c>
      <c r="FF63" s="27">
        <f>IF($A63="",0,IF(Mitarbeiter!$G$61=FALSE,0,IF(AND(Mitarbeiter!$E$61&lt;&gt;"",FF$5+6&lt;Mitarbeiter!$E$61),0,IF(AND(Mitarbeiter!$F$61&lt;&gt;"",FF$5&gt;Mitarbeiter!$F$61),0,IF(Planung!FF63="",$C63,IF(ISNUMBER(Planung!FF63),Planung!FF63,IF(UPPER(Planung!FF63)="H",$C63/2,0)))))))</f>
        <v>0</v>
      </c>
      <c r="FG63" s="27">
        <f>IF($A63="",0,IF(Mitarbeiter!$G$61=FALSE,0,IF(AND(Mitarbeiter!$E$61&lt;&gt;"",FG$5+6&lt;Mitarbeiter!$E$61),0,IF(AND(Mitarbeiter!$F$61&lt;&gt;"",FG$5&gt;Mitarbeiter!$F$61),0,IF(Planung!FG63="",$C63,IF(ISNUMBER(Planung!FG63),Planung!FG63,IF(UPPER(Planung!FG63)="H",$C63/2,0)))))))</f>
        <v>0</v>
      </c>
      <c r="FH63" s="27">
        <f>IF($A63="",0,IF(Mitarbeiter!$G$61=FALSE,0,IF(AND(Mitarbeiter!$E$61&lt;&gt;"",FH$5+6&lt;Mitarbeiter!$E$61),0,IF(AND(Mitarbeiter!$F$61&lt;&gt;"",FH$5&gt;Mitarbeiter!$F$61),0,IF(Planung!FH63="",$C63,IF(ISNUMBER(Planung!FH63),Planung!FH63,IF(UPPER(Planung!FH63)="H",$C63/2,0)))))))</f>
        <v>0</v>
      </c>
      <c r="FI63" s="27">
        <f>IF($A63="",0,IF(Mitarbeiter!$G$61=FALSE,0,IF(AND(Mitarbeiter!$E$61&lt;&gt;"",FI$5+6&lt;Mitarbeiter!$E$61),0,IF(AND(Mitarbeiter!$F$61&lt;&gt;"",FI$5&gt;Mitarbeiter!$F$61),0,IF(Planung!FI63="",$C63,IF(ISNUMBER(Planung!FI63),Planung!FI63,IF(UPPER(Planung!FI63)="H",$C63/2,0)))))))</f>
        <v>0</v>
      </c>
      <c r="FJ63" s="27">
        <f>IF($A63="",0,IF(Mitarbeiter!$G$61=FALSE,0,IF(AND(Mitarbeiter!$E$61&lt;&gt;"",FJ$5+6&lt;Mitarbeiter!$E$61),0,IF(AND(Mitarbeiter!$F$61&lt;&gt;"",FJ$5&gt;Mitarbeiter!$F$61),0,IF(Planung!FJ63="",$C63,IF(ISNUMBER(Planung!FJ63),Planung!FJ63,IF(UPPER(Planung!FJ63)="H",$C63/2,0)))))))</f>
        <v>0</v>
      </c>
      <c r="FK63" s="27">
        <f>IF($A63="",0,IF(Mitarbeiter!$G$61=FALSE,0,IF(AND(Mitarbeiter!$E$61&lt;&gt;"",FK$5+6&lt;Mitarbeiter!$E$61),0,IF(AND(Mitarbeiter!$F$61&lt;&gt;"",FK$5&gt;Mitarbeiter!$F$61),0,IF(Planung!FK63="",$C63,IF(ISNUMBER(Planung!FK63),Planung!FK63,IF(UPPER(Planung!FK63)="H",$C63/2,0)))))))</f>
        <v>0</v>
      </c>
      <c r="FL63" s="27">
        <f>IF($A63="",0,IF(Mitarbeiter!$G$61=FALSE,0,IF(AND(Mitarbeiter!$E$61&lt;&gt;"",FL$5+6&lt;Mitarbeiter!$E$61),0,IF(AND(Mitarbeiter!$F$61&lt;&gt;"",FL$5&gt;Mitarbeiter!$F$61),0,IF(Planung!FL63="",$C63,IF(ISNUMBER(Planung!FL63),Planung!FL63,IF(UPPER(Planung!FL63)="H",$C63/2,0)))))))</f>
        <v>0</v>
      </c>
      <c r="FM63" s="27">
        <f>IF($A63="",0,IF(Mitarbeiter!$G$61=FALSE,0,IF(AND(Mitarbeiter!$E$61&lt;&gt;"",FM$5+6&lt;Mitarbeiter!$E$61),0,IF(AND(Mitarbeiter!$F$61&lt;&gt;"",FM$5&gt;Mitarbeiter!$F$61),0,IF(Planung!FM63="",$C63,IF(ISNUMBER(Planung!FM63),Planung!FM63,IF(UPPER(Planung!FM63)="H",$C63/2,0)))))))</f>
        <v>0</v>
      </c>
      <c r="FN63" s="27">
        <f>IF($A63="",0,IF(Mitarbeiter!$G$61=FALSE,0,IF(AND(Mitarbeiter!$E$61&lt;&gt;"",FN$5+6&lt;Mitarbeiter!$E$61),0,IF(AND(Mitarbeiter!$F$61&lt;&gt;"",FN$5&gt;Mitarbeiter!$F$61),0,IF(Planung!FN63="",$C63,IF(ISNUMBER(Planung!FN63),Planung!FN63,IF(UPPER(Planung!FN63)="H",$C63/2,0)))))))</f>
        <v>0</v>
      </c>
      <c r="FO63" s="27">
        <f>IF($A63="",0,IF(Mitarbeiter!$G$61=FALSE,0,IF(AND(Mitarbeiter!$E$61&lt;&gt;"",FO$5+6&lt;Mitarbeiter!$E$61),0,IF(AND(Mitarbeiter!$F$61&lt;&gt;"",FO$5&gt;Mitarbeiter!$F$61),0,IF(Planung!FO63="",$C63,IF(ISNUMBER(Planung!FO63),Planung!FO63,IF(UPPER(Planung!FO63)="H",$C63/2,0)))))))</f>
        <v>0</v>
      </c>
      <c r="FP63" s="27">
        <f>IF($A63="",0,IF(Mitarbeiter!$G$61=FALSE,0,IF(AND(Mitarbeiter!$E$61&lt;&gt;"",FP$5+6&lt;Mitarbeiter!$E$61),0,IF(AND(Mitarbeiter!$F$61&lt;&gt;"",FP$5&gt;Mitarbeiter!$F$61),0,IF(Planung!FP63="",$C63,IF(ISNUMBER(Planung!FP63),Planung!FP63,IF(UPPER(Planung!FP63)="H",$C63/2,0)))))))</f>
        <v>0</v>
      </c>
      <c r="FQ63" s="27">
        <f>IF($A63="",0,IF(Mitarbeiter!$G$61=FALSE,0,IF(AND(Mitarbeiter!$E$61&lt;&gt;"",FQ$5+6&lt;Mitarbeiter!$E$61),0,IF(AND(Mitarbeiter!$F$61&lt;&gt;"",FQ$5&gt;Mitarbeiter!$F$61),0,IF(Planung!FQ63="",$C63,IF(ISNUMBER(Planung!FQ63),Planung!FQ63,IF(UPPER(Planung!FQ63)="H",$C63/2,0)))))))</f>
        <v>0</v>
      </c>
      <c r="FR63" s="27">
        <f>IF($A63="",0,IF(Mitarbeiter!$G$61=FALSE,0,IF(AND(Mitarbeiter!$E$61&lt;&gt;"",FR$5+6&lt;Mitarbeiter!$E$61),0,IF(AND(Mitarbeiter!$F$61&lt;&gt;"",FR$5&gt;Mitarbeiter!$F$61),0,IF(Planung!FR63="",$C63,IF(ISNUMBER(Planung!FR63),Planung!FR63,IF(UPPER(Planung!FR63)="H",$C63/2,0)))))))</f>
        <v>0</v>
      </c>
      <c r="FS63" s="27">
        <f>IF($A63="",0,IF(Mitarbeiter!$G$61=FALSE,0,IF(AND(Mitarbeiter!$E$61&lt;&gt;"",FS$5+6&lt;Mitarbeiter!$E$61),0,IF(AND(Mitarbeiter!$F$61&lt;&gt;"",FS$5&gt;Mitarbeiter!$F$61),0,IF(Planung!FS63="",$C63,IF(ISNUMBER(Planung!FS63),Planung!FS63,IF(UPPER(Planung!FS63)="H",$C63/2,0)))))))</f>
        <v>0</v>
      </c>
      <c r="FT63" s="27">
        <f>IF($A63="",0,IF(Mitarbeiter!$G$61=FALSE,0,IF(AND(Mitarbeiter!$E$61&lt;&gt;"",FT$5+6&lt;Mitarbeiter!$E$61),0,IF(AND(Mitarbeiter!$F$61&lt;&gt;"",FT$5&gt;Mitarbeiter!$F$61),0,IF(Planung!FT63="",$C63,IF(ISNUMBER(Planung!FT63),Planung!FT63,IF(UPPER(Planung!FT63)="H",$C63/2,0)))))))</f>
        <v>0</v>
      </c>
      <c r="FU63" s="27">
        <f>IF($A63="",0,IF(Mitarbeiter!$G$61=FALSE,0,IF(AND(Mitarbeiter!$E$61&lt;&gt;"",FU$5+6&lt;Mitarbeiter!$E$61),0,IF(AND(Mitarbeiter!$F$61&lt;&gt;"",FU$5&gt;Mitarbeiter!$F$61),0,IF(Planung!FU63="",$C63,IF(ISNUMBER(Planung!FU63),Planung!FU63,IF(UPPER(Planung!FU63)="H",$C63/2,0)))))))</f>
        <v>0</v>
      </c>
      <c r="FV63" s="27">
        <f>IF($A63="",0,IF(Mitarbeiter!$G$61=FALSE,0,IF(AND(Mitarbeiter!$E$61&lt;&gt;"",FV$5+6&lt;Mitarbeiter!$E$61),0,IF(AND(Mitarbeiter!$F$61&lt;&gt;"",FV$5&gt;Mitarbeiter!$F$61),0,IF(Planung!FV63="",$C63,IF(ISNUMBER(Planung!FV63),Planung!FV63,IF(UPPER(Planung!FV63)="H",$C63/2,0)))))))</f>
        <v>0</v>
      </c>
      <c r="FW63" s="27">
        <f>IF($A63="",0,IF(Mitarbeiter!$G$61=FALSE,0,IF(AND(Mitarbeiter!$E$61&lt;&gt;"",FW$5+6&lt;Mitarbeiter!$E$61),0,IF(AND(Mitarbeiter!$F$61&lt;&gt;"",FW$5&gt;Mitarbeiter!$F$61),0,IF(Planung!FW63="",$C63,IF(ISNUMBER(Planung!FW63),Planung!FW63,IF(UPPER(Planung!FW63)="H",$C63/2,0)))))))</f>
        <v>0</v>
      </c>
      <c r="FX63" s="27">
        <f>IF($A63="",0,IF(Mitarbeiter!$G$61=FALSE,0,IF(AND(Mitarbeiter!$E$61&lt;&gt;"",FX$5+6&lt;Mitarbeiter!$E$61),0,IF(AND(Mitarbeiter!$F$61&lt;&gt;"",FX$5&gt;Mitarbeiter!$F$61),0,IF(Planung!FX63="",$C63,IF(ISNUMBER(Planung!FX63),Planung!FX63,IF(UPPER(Planung!FX63)="H",$C63/2,0)))))))</f>
        <v>0</v>
      </c>
      <c r="FY63" s="27">
        <f>IF($A63="",0,IF(Mitarbeiter!$G$61=FALSE,0,IF(AND(Mitarbeiter!$E$61&lt;&gt;"",FY$5+6&lt;Mitarbeiter!$E$61),0,IF(AND(Mitarbeiter!$F$61&lt;&gt;"",FY$5&gt;Mitarbeiter!$F$61),0,IF(Planung!FY63="",$C63,IF(ISNUMBER(Planung!FY63),Planung!FY63,IF(UPPER(Planung!FY63)="H",$C63/2,0)))))))</f>
        <v>0</v>
      </c>
      <c r="FZ63" s="27">
        <f>IF($A63="",0,IF(Mitarbeiter!$G$61=FALSE,0,IF(AND(Mitarbeiter!$E$61&lt;&gt;"",FZ$5+6&lt;Mitarbeiter!$E$61),0,IF(AND(Mitarbeiter!$F$61&lt;&gt;"",FZ$5&gt;Mitarbeiter!$F$61),0,IF(Planung!FZ63="",$C63,IF(ISNUMBER(Planung!FZ63),Planung!FZ63,IF(UPPER(Planung!FZ63)="H",$C63/2,0)))))))</f>
        <v>0</v>
      </c>
      <c r="GA63" s="27">
        <f>IF($A63="",0,IF(Mitarbeiter!$G$61=FALSE,0,IF(AND(Mitarbeiter!$E$61&lt;&gt;"",GA$5+6&lt;Mitarbeiter!$E$61),0,IF(AND(Mitarbeiter!$F$61&lt;&gt;"",GA$5&gt;Mitarbeiter!$F$61),0,IF(Planung!GA63="",$C63,IF(ISNUMBER(Planung!GA63),Planung!GA63,IF(UPPER(Planung!GA63)="H",$C63/2,0)))))))</f>
        <v>0</v>
      </c>
      <c r="GB63" s="27">
        <f>IF($A63="",0,IF(Mitarbeiter!$G$61=FALSE,0,IF(AND(Mitarbeiter!$E$61&lt;&gt;"",GB$5+6&lt;Mitarbeiter!$E$61),0,IF(AND(Mitarbeiter!$F$61&lt;&gt;"",GB$5&gt;Mitarbeiter!$F$61),0,IF(Planung!GB63="",$C63,IF(ISNUMBER(Planung!GB63),Planung!GB63,IF(UPPER(Planung!GB63)="H",$C63/2,0)))))))</f>
        <v>0</v>
      </c>
      <c r="GC63" s="27">
        <f>IF($A63="",0,IF(Mitarbeiter!$G$61=FALSE,0,IF(AND(Mitarbeiter!$E$61&lt;&gt;"",GC$5+6&lt;Mitarbeiter!$E$61),0,IF(AND(Mitarbeiter!$F$61&lt;&gt;"",GC$5&gt;Mitarbeiter!$F$61),0,IF(Planung!GC63="",$C63,IF(ISNUMBER(Planung!GC63),Planung!GC63,IF(UPPER(Planung!GC63)="H",$C63/2,0)))))))</f>
        <v>0</v>
      </c>
      <c r="GD63" s="27">
        <f>IF($A63="",0,IF(Mitarbeiter!$G$61=FALSE,0,IF(AND(Mitarbeiter!$E$61&lt;&gt;"",GD$5+6&lt;Mitarbeiter!$E$61),0,IF(AND(Mitarbeiter!$F$61&lt;&gt;"",GD$5&gt;Mitarbeiter!$F$61),0,IF(Planung!GD63="",$C63,IF(ISNUMBER(Planung!GD63),Planung!GD63,IF(UPPER(Planung!GD63)="H",$C63/2,0)))))))</f>
        <v>0</v>
      </c>
      <c r="GE63" s="27">
        <f>IF($A63="",0,IF(Mitarbeiter!$G$61=FALSE,0,IF(AND(Mitarbeiter!$E$61&lt;&gt;"",GE$5+6&lt;Mitarbeiter!$E$61),0,IF(AND(Mitarbeiter!$F$61&lt;&gt;"",GE$5&gt;Mitarbeiter!$F$61),0,IF(Planung!GE63="",$C63,IF(ISNUMBER(Planung!GE63),Planung!GE63,IF(UPPER(Planung!GE63)="H",$C63/2,0)))))))</f>
        <v>0</v>
      </c>
      <c r="GF63" s="27">
        <f>IF($A63="",0,IF(Mitarbeiter!$G$61=FALSE,0,IF(AND(Mitarbeiter!$E$61&lt;&gt;"",GF$5+6&lt;Mitarbeiter!$E$61),0,IF(AND(Mitarbeiter!$F$61&lt;&gt;"",GF$5&gt;Mitarbeiter!$F$61),0,IF(Planung!GF63="",$C63,IF(ISNUMBER(Planung!GF63),Planung!GF63,IF(UPPER(Planung!GF63)="H",$C63/2,0)))))))</f>
        <v>0</v>
      </c>
      <c r="GG63" s="27">
        <f>IF($A63="",0,IF(Mitarbeiter!$G$61=FALSE,0,IF(AND(Mitarbeiter!$E$61&lt;&gt;"",GG$5+6&lt;Mitarbeiter!$E$61),0,IF(AND(Mitarbeiter!$F$61&lt;&gt;"",GG$5&gt;Mitarbeiter!$F$61),0,IF(Planung!GG63="",$C63,IF(ISNUMBER(Planung!GG63),Planung!GG63,IF(UPPER(Planung!GG63)="H",$C63/2,0)))))))</f>
        <v>0</v>
      </c>
      <c r="GH63" s="27">
        <f>IF($A63="",0,IF(Mitarbeiter!$G$61=FALSE,0,IF(AND(Mitarbeiter!$E$61&lt;&gt;"",GH$5+6&lt;Mitarbeiter!$E$61),0,IF(AND(Mitarbeiter!$F$61&lt;&gt;"",GH$5&gt;Mitarbeiter!$F$61),0,IF(Planung!GH63="",$C63,IF(ISNUMBER(Planung!GH63),Planung!GH63,IF(UPPER(Planung!GH63)="H",$C63/2,0)))))))</f>
        <v>0</v>
      </c>
      <c r="GI63" s="27">
        <f>IF($A63="",0,IF(Mitarbeiter!$G$61=FALSE,0,IF(AND(Mitarbeiter!$E$61&lt;&gt;"",GI$5+6&lt;Mitarbeiter!$E$61),0,IF(AND(Mitarbeiter!$F$61&lt;&gt;"",GI$5&gt;Mitarbeiter!$F$61),0,IF(Planung!GI63="",$C63,IF(ISNUMBER(Planung!GI63),Planung!GI63,IF(UPPER(Planung!GI63)="H",$C63/2,0)))))))</f>
        <v>0</v>
      </c>
      <c r="GJ63" s="27">
        <f>IF($A63="",0,IF(Mitarbeiter!$G$61=FALSE,0,IF(AND(Mitarbeiter!$E$61&lt;&gt;"",GJ$5+6&lt;Mitarbeiter!$E$61),0,IF(AND(Mitarbeiter!$F$61&lt;&gt;"",GJ$5&gt;Mitarbeiter!$F$61),0,IF(Planung!GJ63="",$C63,IF(ISNUMBER(Planung!GJ63),Planung!GJ63,IF(UPPER(Planung!GJ63)="H",$C63/2,0)))))))</f>
        <v>0</v>
      </c>
      <c r="GK63" s="27">
        <f>IF($A63="",0,IF(Mitarbeiter!$G$61=FALSE,0,IF(AND(Mitarbeiter!$E$61&lt;&gt;"",GK$5+6&lt;Mitarbeiter!$E$61),0,IF(AND(Mitarbeiter!$F$61&lt;&gt;"",GK$5&gt;Mitarbeiter!$F$61),0,IF(Planung!GK63="",$C63,IF(ISNUMBER(Planung!GK63),Planung!GK63,IF(UPPER(Planung!GK63)="H",$C63/2,0)))))))</f>
        <v>0</v>
      </c>
      <c r="GL63" s="27">
        <f>IF($A63="",0,IF(Mitarbeiter!$G$61=FALSE,0,IF(AND(Mitarbeiter!$E$61&lt;&gt;"",GL$5+6&lt;Mitarbeiter!$E$61),0,IF(AND(Mitarbeiter!$F$61&lt;&gt;"",GL$5&gt;Mitarbeiter!$F$61),0,IF(Planung!GL63="",$C63,IF(ISNUMBER(Planung!GL63),Planung!GL63,IF(UPPER(Planung!GL63)="H",$C63/2,0)))))))</f>
        <v>0</v>
      </c>
      <c r="GM63" s="27">
        <f>IF($A63="",0,IF(Mitarbeiter!$G$61=FALSE,0,IF(AND(Mitarbeiter!$E$61&lt;&gt;"",GM$5+6&lt;Mitarbeiter!$E$61),0,IF(AND(Mitarbeiter!$F$61&lt;&gt;"",GM$5&gt;Mitarbeiter!$F$61),0,IF(Planung!GM63="",$C63,IF(ISNUMBER(Planung!GM63),Planung!GM63,IF(UPPER(Planung!GM63)="H",$C63/2,0)))))))</f>
        <v>0</v>
      </c>
      <c r="GN63" s="27">
        <f>IF($A63="",0,IF(Mitarbeiter!$G$61=FALSE,0,IF(AND(Mitarbeiter!$E$61&lt;&gt;"",GN$5+6&lt;Mitarbeiter!$E$61),0,IF(AND(Mitarbeiter!$F$61&lt;&gt;"",GN$5&gt;Mitarbeiter!$F$61),0,IF(Planung!GN63="",$C63,IF(ISNUMBER(Planung!GN63),Planung!GN63,IF(UPPER(Planung!GN63)="H",$C63/2,0)))))))</f>
        <v>0</v>
      </c>
      <c r="GO63" s="27">
        <f>IF($A63="",0,IF(Mitarbeiter!$G$61=FALSE,0,IF(AND(Mitarbeiter!$E$61&lt;&gt;"",GO$5+6&lt;Mitarbeiter!$E$61),0,IF(AND(Mitarbeiter!$F$61&lt;&gt;"",GO$5&gt;Mitarbeiter!$F$61),0,IF(Planung!GO63="",$C63,IF(ISNUMBER(Planung!GO63),Planung!GO63,IF(UPPER(Planung!GO63)="H",$C63/2,0)))))))</f>
        <v>0</v>
      </c>
      <c r="GP63" s="27">
        <f>IF($A63="",0,IF(Mitarbeiter!$G$61=FALSE,0,IF(AND(Mitarbeiter!$E$61&lt;&gt;"",GP$5+6&lt;Mitarbeiter!$E$61),0,IF(AND(Mitarbeiter!$F$61&lt;&gt;"",GP$5&gt;Mitarbeiter!$F$61),0,IF(Planung!GP63="",$C63,IF(ISNUMBER(Planung!GP63),Planung!GP63,IF(UPPER(Planung!GP63)="H",$C63/2,0)))))))</f>
        <v>0</v>
      </c>
      <c r="GQ63" s="27">
        <f>IF($A63="",0,IF(Mitarbeiter!$G$61=FALSE,0,IF(AND(Mitarbeiter!$E$61&lt;&gt;"",GQ$5+6&lt;Mitarbeiter!$E$61),0,IF(AND(Mitarbeiter!$F$61&lt;&gt;"",GQ$5&gt;Mitarbeiter!$F$61),0,IF(Planung!GQ63="",$C63,IF(ISNUMBER(Planung!GQ63),Planung!GQ63,IF(UPPER(Planung!GQ63)="H",$C63/2,0)))))))</f>
        <v>0</v>
      </c>
      <c r="GR63" s="27">
        <f>IF($A63="",0,IF(Mitarbeiter!$G$61=FALSE,0,IF(AND(Mitarbeiter!$E$61&lt;&gt;"",GR$5+6&lt;Mitarbeiter!$E$61),0,IF(AND(Mitarbeiter!$F$61&lt;&gt;"",GR$5&gt;Mitarbeiter!$F$61),0,IF(Planung!GR63="",$C63,IF(ISNUMBER(Planung!GR63),Planung!GR63,IF(UPPER(Planung!GR63)="H",$C63/2,0)))))))</f>
        <v>0</v>
      </c>
      <c r="GS63" s="27">
        <f>IF($A63="",0,IF(Mitarbeiter!$G$61=FALSE,0,IF(AND(Mitarbeiter!$E$61&lt;&gt;"",GS$5+6&lt;Mitarbeiter!$E$61),0,IF(AND(Mitarbeiter!$F$61&lt;&gt;"",GS$5&gt;Mitarbeiter!$F$61),0,IF(Planung!GS63="",$C63,IF(ISNUMBER(Planung!GS63),Planung!GS63,IF(UPPER(Planung!GS63)="H",$C63/2,0)))))))</f>
        <v>0</v>
      </c>
      <c r="GT63" s="27">
        <f>IF($A63="",0,IF(Mitarbeiter!$G$61=FALSE,0,IF(AND(Mitarbeiter!$E$61&lt;&gt;"",GT$5+6&lt;Mitarbeiter!$E$61),0,IF(AND(Mitarbeiter!$F$61&lt;&gt;"",GT$5&gt;Mitarbeiter!$F$61),0,IF(Planung!GT63="",$C63,IF(ISNUMBER(Planung!GT63),Planung!GT63,IF(UPPER(Planung!GT63)="H",$C63/2,0)))))))</f>
        <v>0</v>
      </c>
      <c r="GU63" s="27">
        <f>IF($A63="",0,IF(Mitarbeiter!$G$61=FALSE,0,IF(AND(Mitarbeiter!$E$61&lt;&gt;"",GU$5+6&lt;Mitarbeiter!$E$61),0,IF(AND(Mitarbeiter!$F$61&lt;&gt;"",GU$5&gt;Mitarbeiter!$F$61),0,IF(Planung!GU63="",$C63,IF(ISNUMBER(Planung!GU63),Planung!GU63,IF(UPPER(Planung!GU63)="H",$C63/2,0)))))))</f>
        <v>0</v>
      </c>
      <c r="GV63" s="27">
        <f>IF($A63="",0,IF(Mitarbeiter!$G$61=FALSE,0,IF(AND(Mitarbeiter!$E$61&lt;&gt;"",GV$5+6&lt;Mitarbeiter!$E$61),0,IF(AND(Mitarbeiter!$F$61&lt;&gt;"",GV$5&gt;Mitarbeiter!$F$61),0,IF(Planung!GV63="",$C63,IF(ISNUMBER(Planung!GV63),Planung!GV63,IF(UPPER(Planung!GV63)="H",$C63/2,0)))))))</f>
        <v>0</v>
      </c>
      <c r="GW63" s="27">
        <f>IF($A63="",0,IF(Mitarbeiter!$G$61=FALSE,0,IF(AND(Mitarbeiter!$E$61&lt;&gt;"",GW$5+6&lt;Mitarbeiter!$E$61),0,IF(AND(Mitarbeiter!$F$61&lt;&gt;"",GW$5&gt;Mitarbeiter!$F$61),0,IF(Planung!GW63="",$C63,IF(ISNUMBER(Planung!GW63),Planung!GW63,IF(UPPER(Planung!GW63)="H",$C63/2,0)))))))</f>
        <v>0</v>
      </c>
      <c r="GX63" s="27">
        <f>IF($A63="",0,IF(Mitarbeiter!$G$61=FALSE,0,IF(AND(Mitarbeiter!$E$61&lt;&gt;"",GX$5+6&lt;Mitarbeiter!$E$61),0,IF(AND(Mitarbeiter!$F$61&lt;&gt;"",GX$5&gt;Mitarbeiter!$F$61),0,IF(Planung!GX63="",$C63,IF(ISNUMBER(Planung!GX63),Planung!GX63,IF(UPPER(Planung!GX63)="H",$C63/2,0)))))))</f>
        <v>0</v>
      </c>
      <c r="GY63" s="27">
        <f>IF($A63="",0,IF(Mitarbeiter!$G$61=FALSE,0,IF(AND(Mitarbeiter!$E$61&lt;&gt;"",GY$5+6&lt;Mitarbeiter!$E$61),0,IF(AND(Mitarbeiter!$F$61&lt;&gt;"",GY$5&gt;Mitarbeiter!$F$61),0,IF(Planung!GY63="",$C63,IF(ISNUMBER(Planung!GY63),Planung!GY63,IF(UPPER(Planung!GY63)="H",$C63/2,0)))))))</f>
        <v>0</v>
      </c>
      <c r="GZ63" s="27">
        <f>IF($A63="",0,IF(Mitarbeiter!$G$61=FALSE,0,IF(AND(Mitarbeiter!$E$61&lt;&gt;"",GZ$5+6&lt;Mitarbeiter!$E$61),0,IF(AND(Mitarbeiter!$F$61&lt;&gt;"",GZ$5&gt;Mitarbeiter!$F$61),0,IF(Planung!GZ63="",$C63,IF(ISNUMBER(Planung!GZ63),Planung!GZ63,IF(UPPER(Planung!GZ63)="H",$C63/2,0)))))))</f>
        <v>0</v>
      </c>
      <c r="HA63" s="27">
        <f>IF($A63="",0,IF(Mitarbeiter!$G$61=FALSE,0,IF(AND(Mitarbeiter!$E$61&lt;&gt;"",HA$5+6&lt;Mitarbeiter!$E$61),0,IF(AND(Mitarbeiter!$F$61&lt;&gt;"",HA$5&gt;Mitarbeiter!$F$61),0,IF(Planung!HA63="",$C63,IF(ISNUMBER(Planung!HA63),Planung!HA63,IF(UPPER(Planung!HA63)="H",$C63/2,0)))))))</f>
        <v>0</v>
      </c>
      <c r="HB63" s="27">
        <f>IF($A63="",0,IF(Mitarbeiter!$G$61=FALSE,0,IF(AND(Mitarbeiter!$E$61&lt;&gt;"",HB$5+6&lt;Mitarbeiter!$E$61),0,IF(AND(Mitarbeiter!$F$61&lt;&gt;"",HB$5&gt;Mitarbeiter!$F$61),0,IF(Planung!HB63="",$C63,IF(ISNUMBER(Planung!HB63),Planung!HB63,IF(UPPER(Planung!HB63)="H",$C63/2,0)))))))</f>
        <v>0</v>
      </c>
      <c r="HC63" s="27">
        <f>IF($A63="",0,IF(Mitarbeiter!$G$61=FALSE,0,IF(AND(Mitarbeiter!$E$61&lt;&gt;"",HC$5+6&lt;Mitarbeiter!$E$61),0,IF(AND(Mitarbeiter!$F$61&lt;&gt;"",HC$5&gt;Mitarbeiter!$F$61),0,IF(Planung!HC63="",$C63,IF(ISNUMBER(Planung!HC63),Planung!HC63,IF(UPPER(Planung!HC63)="H",$C63/2,0)))))))</f>
        <v>0</v>
      </c>
      <c r="HD63" s="27">
        <f>IF($A63="",0,IF(Mitarbeiter!$G$61=FALSE,0,IF(AND(Mitarbeiter!$E$61&lt;&gt;"",HD$5+6&lt;Mitarbeiter!$E$61),0,IF(AND(Mitarbeiter!$F$61&lt;&gt;"",HD$5&gt;Mitarbeiter!$F$61),0,IF(Planung!HD63="",$C63,IF(ISNUMBER(Planung!HD63),Planung!HD63,IF(UPPER(Planung!HD63)="H",$C63/2,0)))))))</f>
        <v>0</v>
      </c>
      <c r="HE63" s="27">
        <f>IF($A63="",0,IF(Mitarbeiter!$G$61=FALSE,0,IF(AND(Mitarbeiter!$E$61&lt;&gt;"",HE$5+6&lt;Mitarbeiter!$E$61),0,IF(AND(Mitarbeiter!$F$61&lt;&gt;"",HE$5&gt;Mitarbeiter!$F$61),0,IF(Planung!HE63="",$C63,IF(ISNUMBER(Planung!HE63),Planung!HE63,IF(UPPER(Planung!HE63)="H",$C63/2,0)))))))</f>
        <v>0</v>
      </c>
      <c r="HF63" s="27">
        <f>IF($A63="",0,IF(Mitarbeiter!$G$61=FALSE,0,IF(AND(Mitarbeiter!$E$61&lt;&gt;"",HF$5+6&lt;Mitarbeiter!$E$61),0,IF(AND(Mitarbeiter!$F$61&lt;&gt;"",HF$5&gt;Mitarbeiter!$F$61),0,IF(Planung!HF63="",$C63,IF(ISNUMBER(Planung!HF63),Planung!HF63,IF(UPPER(Planung!HF63)="H",$C63/2,0)))))))</f>
        <v>0</v>
      </c>
      <c r="HG63" s="27">
        <f>IF($A63="",0,IF(Mitarbeiter!$G$61=FALSE,0,IF(AND(Mitarbeiter!$E$61&lt;&gt;"",HG$5+6&lt;Mitarbeiter!$E$61),0,IF(AND(Mitarbeiter!$F$61&lt;&gt;"",HG$5&gt;Mitarbeiter!$F$61),0,IF(Planung!HG63="",$C63,IF(ISNUMBER(Planung!HG63),Planung!HG63,IF(UPPER(Planung!HG63)="H",$C63/2,0)))))))</f>
        <v>0</v>
      </c>
      <c r="HH63" s="27">
        <f>IF($A63="",0,IF(Mitarbeiter!$G$61=FALSE,0,IF(AND(Mitarbeiter!$E$61&lt;&gt;"",HH$5+6&lt;Mitarbeiter!$E$61),0,IF(AND(Mitarbeiter!$F$61&lt;&gt;"",HH$5&gt;Mitarbeiter!$F$61),0,IF(Planung!HH63="",$C63,IF(ISNUMBER(Planung!HH63),Planung!HH63,IF(UPPER(Planung!HH63)="H",$C63/2,0)))))))</f>
        <v>0</v>
      </c>
      <c r="HI63" s="27">
        <f>IF($A63="",0,IF(Mitarbeiter!$G$61=FALSE,0,IF(AND(Mitarbeiter!$E$61&lt;&gt;"",HI$5+6&lt;Mitarbeiter!$E$61),0,IF(AND(Mitarbeiter!$F$61&lt;&gt;"",HI$5&gt;Mitarbeiter!$F$61),0,IF(Planung!HI63="",$C63,IF(ISNUMBER(Planung!HI63),Planung!HI63,IF(UPPER(Planung!HI63)="H",$C63/2,0)))))))</f>
        <v>0</v>
      </c>
      <c r="HJ63" s="27">
        <f>IF($A63="",0,IF(Mitarbeiter!$G$61=FALSE,0,IF(AND(Mitarbeiter!$E$61&lt;&gt;"",HJ$5+6&lt;Mitarbeiter!$E$61),0,IF(AND(Mitarbeiter!$F$61&lt;&gt;"",HJ$5&gt;Mitarbeiter!$F$61),0,IF(Planung!HJ63="",$C63,IF(ISNUMBER(Planung!HJ63),Planung!HJ63,IF(UPPER(Planung!HJ63)="H",$C63/2,0)))))))</f>
        <v>0</v>
      </c>
      <c r="HK63" s="27">
        <f>IF($A63="",0,IF(Mitarbeiter!$G$61=FALSE,0,IF(AND(Mitarbeiter!$E$61&lt;&gt;"",HK$5+6&lt;Mitarbeiter!$E$61),0,IF(AND(Mitarbeiter!$F$61&lt;&gt;"",HK$5&gt;Mitarbeiter!$F$61),0,IF(Planung!HK63="",$C63,IF(ISNUMBER(Planung!HK63),Planung!HK63,IF(UPPER(Planung!HK63)="H",$C63/2,0)))))))</f>
        <v>0</v>
      </c>
      <c r="HL63" s="27">
        <f>IF($A63="",0,IF(Mitarbeiter!$G$61=FALSE,0,IF(AND(Mitarbeiter!$E$61&lt;&gt;"",HL$5+6&lt;Mitarbeiter!$E$61),0,IF(AND(Mitarbeiter!$F$61&lt;&gt;"",HL$5&gt;Mitarbeiter!$F$61),0,IF(Planung!HL63="",$C63,IF(ISNUMBER(Planung!HL63),Planung!HL63,IF(UPPER(Planung!HL63)="H",$C63/2,0)))))))</f>
        <v>0</v>
      </c>
      <c r="HM63" s="27">
        <f>IF($A63="",0,IF(Mitarbeiter!$G$61=FALSE,0,IF(AND(Mitarbeiter!$E$61&lt;&gt;"",HM$5+6&lt;Mitarbeiter!$E$61),0,IF(AND(Mitarbeiter!$F$61&lt;&gt;"",HM$5&gt;Mitarbeiter!$F$61),0,IF(Planung!HM63="",$C63,IF(ISNUMBER(Planung!HM63),Planung!HM63,IF(UPPER(Planung!HM63)="H",$C63/2,0)))))))</f>
        <v>0</v>
      </c>
      <c r="HN63" s="27">
        <f>IF($A63="",0,IF(Mitarbeiter!$G$61=FALSE,0,IF(AND(Mitarbeiter!$E$61&lt;&gt;"",HN$5+6&lt;Mitarbeiter!$E$61),0,IF(AND(Mitarbeiter!$F$61&lt;&gt;"",HN$5&gt;Mitarbeiter!$F$61),0,IF(Planung!HN63="",$C63,IF(ISNUMBER(Planung!HN63),Planung!HN63,IF(UPPER(Planung!HN63)="H",$C63/2,0)))))))</f>
        <v>0</v>
      </c>
      <c r="HO63" s="27">
        <f>IF($A63="",0,IF(Mitarbeiter!$G$61=FALSE,0,IF(AND(Mitarbeiter!$E$61&lt;&gt;"",HO$5+6&lt;Mitarbeiter!$E$61),0,IF(AND(Mitarbeiter!$F$61&lt;&gt;"",HO$5&gt;Mitarbeiter!$F$61),0,IF(Planung!HO63="",$C63,IF(ISNUMBER(Planung!HO63),Planung!HO63,IF(UPPER(Planung!HO63)="H",$C63/2,0)))))))</f>
        <v>0</v>
      </c>
      <c r="HP63" s="27">
        <f>IF($A63="",0,IF(Mitarbeiter!$G$61=FALSE,0,IF(AND(Mitarbeiter!$E$61&lt;&gt;"",HP$5+6&lt;Mitarbeiter!$E$61),0,IF(AND(Mitarbeiter!$F$61&lt;&gt;"",HP$5&gt;Mitarbeiter!$F$61),0,IF(Planung!HP63="",$C63,IF(ISNUMBER(Planung!HP63),Planung!HP63,IF(UPPER(Planung!HP63)="H",$C63/2,0)))))))</f>
        <v>0</v>
      </c>
      <c r="HQ63" s="27">
        <f>IF($A63="",0,IF(Mitarbeiter!$G$61=FALSE,0,IF(AND(Mitarbeiter!$E$61&lt;&gt;"",HQ$5+6&lt;Mitarbeiter!$E$61),0,IF(AND(Mitarbeiter!$F$61&lt;&gt;"",HQ$5&gt;Mitarbeiter!$F$61),0,IF(Planung!HQ63="",$C63,IF(ISNUMBER(Planung!HQ63),Planung!HQ63,IF(UPPER(Planung!HQ63)="H",$C63/2,0)))))))</f>
        <v>0</v>
      </c>
      <c r="HR63" s="27">
        <f>IF($A63="",0,IF(Mitarbeiter!$G$61=FALSE,0,IF(AND(Mitarbeiter!$E$61&lt;&gt;"",HR$5+6&lt;Mitarbeiter!$E$61),0,IF(AND(Mitarbeiter!$F$61&lt;&gt;"",HR$5&gt;Mitarbeiter!$F$61),0,IF(Planung!HR63="",$C63,IF(ISNUMBER(Planung!HR63),Planung!HR63,IF(UPPER(Planung!HR63)="H",$C63/2,0)))))))</f>
        <v>0</v>
      </c>
      <c r="HS63" s="27">
        <f>IF($A63="",0,IF(Mitarbeiter!$G$61=FALSE,0,IF(AND(Mitarbeiter!$E$61&lt;&gt;"",HS$5+6&lt;Mitarbeiter!$E$61),0,IF(AND(Mitarbeiter!$F$61&lt;&gt;"",HS$5&gt;Mitarbeiter!$F$61),0,IF(Planung!HS63="",$C63,IF(ISNUMBER(Planung!HS63),Planung!HS63,IF(UPPER(Planung!HS63)="H",$C63/2,0)))))))</f>
        <v>0</v>
      </c>
      <c r="HT63" s="27">
        <f>IF($A63="",0,IF(Mitarbeiter!$G$61=FALSE,0,IF(AND(Mitarbeiter!$E$61&lt;&gt;"",HT$5+6&lt;Mitarbeiter!$E$61),0,IF(AND(Mitarbeiter!$F$61&lt;&gt;"",HT$5&gt;Mitarbeiter!$F$61),0,IF(Planung!HT63="",$C63,IF(ISNUMBER(Planung!HT63),Planung!HT63,IF(UPPER(Planung!HT63)="H",$C63/2,0)))))))</f>
        <v>0</v>
      </c>
      <c r="HU63" s="27">
        <f>IF($A63="",0,IF(Mitarbeiter!$G$61=FALSE,0,IF(AND(Mitarbeiter!$E$61&lt;&gt;"",HU$5+6&lt;Mitarbeiter!$E$61),0,IF(AND(Mitarbeiter!$F$61&lt;&gt;"",HU$5&gt;Mitarbeiter!$F$61),0,IF(Planung!HU63="",$C63,IF(ISNUMBER(Planung!HU63),Planung!HU63,IF(UPPER(Planung!HU63)="H",$C63/2,0)))))))</f>
        <v>0</v>
      </c>
      <c r="HV63" s="27">
        <f>IF($A63="",0,IF(Mitarbeiter!$G$61=FALSE,0,IF(AND(Mitarbeiter!$E$61&lt;&gt;"",HV$5+6&lt;Mitarbeiter!$E$61),0,IF(AND(Mitarbeiter!$F$61&lt;&gt;"",HV$5&gt;Mitarbeiter!$F$61),0,IF(Planung!HV63="",$C63,IF(ISNUMBER(Planung!HV63),Planung!HV63,IF(UPPER(Planung!HV63)="H",$C63/2,0)))))))</f>
        <v>0</v>
      </c>
      <c r="HW63" s="27">
        <f>IF($A63="",0,IF(Mitarbeiter!$G$61=FALSE,0,IF(AND(Mitarbeiter!$E$61&lt;&gt;"",HW$5+6&lt;Mitarbeiter!$E$61),0,IF(AND(Mitarbeiter!$F$61&lt;&gt;"",HW$5&gt;Mitarbeiter!$F$61),0,IF(Planung!HW63="",$C63,IF(ISNUMBER(Planung!HW63),Planung!HW63,IF(UPPER(Planung!HW63)="H",$C63/2,0)))))))</f>
        <v>0</v>
      </c>
      <c r="HX63" s="27">
        <f>IF($A63="",0,IF(Mitarbeiter!$G$61=FALSE,0,IF(AND(Mitarbeiter!$E$61&lt;&gt;"",HX$5+6&lt;Mitarbeiter!$E$61),0,IF(AND(Mitarbeiter!$F$61&lt;&gt;"",HX$5&gt;Mitarbeiter!$F$61),0,IF(Planung!HX63="",$C63,IF(ISNUMBER(Planung!HX63),Planung!HX63,IF(UPPER(Planung!HX63)="H",$C63/2,0)))))))</f>
        <v>0</v>
      </c>
      <c r="HY63" s="27">
        <f>IF($A63="",0,IF(Mitarbeiter!$G$61=FALSE,0,IF(AND(Mitarbeiter!$E$61&lt;&gt;"",HY$5+6&lt;Mitarbeiter!$E$61),0,IF(AND(Mitarbeiter!$F$61&lt;&gt;"",HY$5&gt;Mitarbeiter!$F$61),0,IF(Planung!HY63="",$C63,IF(ISNUMBER(Planung!HY63),Planung!HY63,IF(UPPER(Planung!HY63)="H",$C63/2,0)))))))</f>
        <v>0</v>
      </c>
      <c r="HZ63" s="27">
        <f>IF($A63="",0,IF(Mitarbeiter!$G$61=FALSE,0,IF(AND(Mitarbeiter!$E$61&lt;&gt;"",HZ$5+6&lt;Mitarbeiter!$E$61),0,IF(AND(Mitarbeiter!$F$61&lt;&gt;"",HZ$5&gt;Mitarbeiter!$F$61),0,IF(Planung!HZ63="",$C63,IF(ISNUMBER(Planung!HZ63),Planung!HZ63,IF(UPPER(Planung!HZ63)="H",$C63/2,0)))))))</f>
        <v>0</v>
      </c>
      <c r="IA63" s="27">
        <f>IF($A63="",0,IF(Mitarbeiter!$G$61=FALSE,0,IF(AND(Mitarbeiter!$E$61&lt;&gt;"",IA$5+6&lt;Mitarbeiter!$E$61),0,IF(AND(Mitarbeiter!$F$61&lt;&gt;"",IA$5&gt;Mitarbeiter!$F$61),0,IF(Planung!IA63="",$C63,IF(ISNUMBER(Planung!IA63),Planung!IA63,IF(UPPER(Planung!IA63)="H",$C63/2,0)))))))</f>
        <v>0</v>
      </c>
    </row>
    <row r="64" spans="1:235" x14ac:dyDescent="0.25">
      <c r="A64" s="7" t="str">
        <f>Planung!A64</f>
        <v/>
      </c>
      <c r="B64" s="7" t="str">
        <f>Planung!B64</f>
        <v/>
      </c>
      <c r="C64" s="27">
        <f>N(Mitarbeiter!$D$62)</f>
        <v>0</v>
      </c>
      <c r="D64" s="27">
        <f>IF($A64="",0,IF(Mitarbeiter!$G$62=FALSE,0,IF(AND(Mitarbeiter!$E$62&lt;&gt;"",D$5+6&lt;Mitarbeiter!$E$62),0,IF(AND(Mitarbeiter!$F$62&lt;&gt;"",D$5&gt;Mitarbeiter!$F$62),0,IF(Planung!D64="",$C64,IF(ISNUMBER(Planung!D64),Planung!D64,IF(UPPER(Planung!D64)="H",$C64/2,0)))))))</f>
        <v>0</v>
      </c>
      <c r="E64" s="27">
        <f>IF($A64="",0,IF(Mitarbeiter!$G$62=FALSE,0,IF(AND(Mitarbeiter!$E$62&lt;&gt;"",E$5+6&lt;Mitarbeiter!$E$62),0,IF(AND(Mitarbeiter!$F$62&lt;&gt;"",E$5&gt;Mitarbeiter!$F$62),0,IF(Planung!E64="",$C64,IF(ISNUMBER(Planung!E64),Planung!E64,IF(UPPER(Planung!E64)="H",$C64/2,0)))))))</f>
        <v>0</v>
      </c>
      <c r="F64" s="27">
        <f>IF($A64="",0,IF(Mitarbeiter!$G$62=FALSE,0,IF(AND(Mitarbeiter!$E$62&lt;&gt;"",F$5+6&lt;Mitarbeiter!$E$62),0,IF(AND(Mitarbeiter!$F$62&lt;&gt;"",F$5&gt;Mitarbeiter!$F$62),0,IF(Planung!F64="",$C64,IF(ISNUMBER(Planung!F64),Planung!F64,IF(UPPER(Planung!F64)="H",$C64/2,0)))))))</f>
        <v>0</v>
      </c>
      <c r="G64" s="27">
        <f>IF($A64="",0,IF(Mitarbeiter!$G$62=FALSE,0,IF(AND(Mitarbeiter!$E$62&lt;&gt;"",G$5+6&lt;Mitarbeiter!$E$62),0,IF(AND(Mitarbeiter!$F$62&lt;&gt;"",G$5&gt;Mitarbeiter!$F$62),0,IF(Planung!G64="",$C64,IF(ISNUMBER(Planung!G64),Planung!G64,IF(UPPER(Planung!G64)="H",$C64/2,0)))))))</f>
        <v>0</v>
      </c>
      <c r="H64" s="27">
        <f>IF($A64="",0,IF(Mitarbeiter!$G$62=FALSE,0,IF(AND(Mitarbeiter!$E$62&lt;&gt;"",H$5+6&lt;Mitarbeiter!$E$62),0,IF(AND(Mitarbeiter!$F$62&lt;&gt;"",H$5&gt;Mitarbeiter!$F$62),0,IF(Planung!H64="",$C64,IF(ISNUMBER(Planung!H64),Planung!H64,IF(UPPER(Planung!H64)="H",$C64/2,0)))))))</f>
        <v>0</v>
      </c>
      <c r="I64" s="27">
        <f>IF($A64="",0,IF(Mitarbeiter!$G$62=FALSE,0,IF(AND(Mitarbeiter!$E$62&lt;&gt;"",I$5+6&lt;Mitarbeiter!$E$62),0,IF(AND(Mitarbeiter!$F$62&lt;&gt;"",I$5&gt;Mitarbeiter!$F$62),0,IF(Planung!I64="",$C64,IF(ISNUMBER(Planung!I64),Planung!I64,IF(UPPER(Planung!I64)="H",$C64/2,0)))))))</f>
        <v>0</v>
      </c>
      <c r="J64" s="27">
        <f>IF($A64="",0,IF(Mitarbeiter!$G$62=FALSE,0,IF(AND(Mitarbeiter!$E$62&lt;&gt;"",J$5+6&lt;Mitarbeiter!$E$62),0,IF(AND(Mitarbeiter!$F$62&lt;&gt;"",J$5&gt;Mitarbeiter!$F$62),0,IF(Planung!J64="",$C64,IF(ISNUMBER(Planung!J64),Planung!J64,IF(UPPER(Planung!J64)="H",$C64/2,0)))))))</f>
        <v>0</v>
      </c>
      <c r="K64" s="27">
        <f>IF($A64="",0,IF(Mitarbeiter!$G$62=FALSE,0,IF(AND(Mitarbeiter!$E$62&lt;&gt;"",K$5+6&lt;Mitarbeiter!$E$62),0,IF(AND(Mitarbeiter!$F$62&lt;&gt;"",K$5&gt;Mitarbeiter!$F$62),0,IF(Planung!K64="",$C64,IF(ISNUMBER(Planung!K64),Planung!K64,IF(UPPER(Planung!K64)="H",$C64/2,0)))))))</f>
        <v>0</v>
      </c>
      <c r="L64" s="27">
        <f>IF($A64="",0,IF(Mitarbeiter!$G$62=FALSE,0,IF(AND(Mitarbeiter!$E$62&lt;&gt;"",L$5+6&lt;Mitarbeiter!$E$62),0,IF(AND(Mitarbeiter!$F$62&lt;&gt;"",L$5&gt;Mitarbeiter!$F$62),0,IF(Planung!L64="",$C64,IF(ISNUMBER(Planung!L64),Planung!L64,IF(UPPER(Planung!L64)="H",$C64/2,0)))))))</f>
        <v>0</v>
      </c>
      <c r="M64" s="27">
        <f>IF($A64="",0,IF(Mitarbeiter!$G$62=FALSE,0,IF(AND(Mitarbeiter!$E$62&lt;&gt;"",M$5+6&lt;Mitarbeiter!$E$62),0,IF(AND(Mitarbeiter!$F$62&lt;&gt;"",M$5&gt;Mitarbeiter!$F$62),0,IF(Planung!M64="",$C64,IF(ISNUMBER(Planung!M64),Planung!M64,IF(UPPER(Planung!M64)="H",$C64/2,0)))))))</f>
        <v>0</v>
      </c>
      <c r="N64" s="27">
        <f>IF($A64="",0,IF(Mitarbeiter!$G$62=FALSE,0,IF(AND(Mitarbeiter!$E$62&lt;&gt;"",N$5+6&lt;Mitarbeiter!$E$62),0,IF(AND(Mitarbeiter!$F$62&lt;&gt;"",N$5&gt;Mitarbeiter!$F$62),0,IF(Planung!N64="",$C64,IF(ISNUMBER(Planung!N64),Planung!N64,IF(UPPER(Planung!N64)="H",$C64/2,0)))))))</f>
        <v>0</v>
      </c>
      <c r="O64" s="27">
        <f>IF($A64="",0,IF(Mitarbeiter!$G$62=FALSE,0,IF(AND(Mitarbeiter!$E$62&lt;&gt;"",O$5+6&lt;Mitarbeiter!$E$62),0,IF(AND(Mitarbeiter!$F$62&lt;&gt;"",O$5&gt;Mitarbeiter!$F$62),0,IF(Planung!O64="",$C64,IF(ISNUMBER(Planung!O64),Planung!O64,IF(UPPER(Planung!O64)="H",$C64/2,0)))))))</f>
        <v>0</v>
      </c>
      <c r="P64" s="27">
        <f>IF($A64="",0,IF(Mitarbeiter!$G$62=FALSE,0,IF(AND(Mitarbeiter!$E$62&lt;&gt;"",P$5+6&lt;Mitarbeiter!$E$62),0,IF(AND(Mitarbeiter!$F$62&lt;&gt;"",P$5&gt;Mitarbeiter!$F$62),0,IF(Planung!P64="",$C64,IF(ISNUMBER(Planung!P64),Planung!P64,IF(UPPER(Planung!P64)="H",$C64/2,0)))))))</f>
        <v>0</v>
      </c>
      <c r="Q64" s="27">
        <f>IF($A64="",0,IF(Mitarbeiter!$G$62=FALSE,0,IF(AND(Mitarbeiter!$E$62&lt;&gt;"",Q$5+6&lt;Mitarbeiter!$E$62),0,IF(AND(Mitarbeiter!$F$62&lt;&gt;"",Q$5&gt;Mitarbeiter!$F$62),0,IF(Planung!Q64="",$C64,IF(ISNUMBER(Planung!Q64),Planung!Q64,IF(UPPER(Planung!Q64)="H",$C64/2,0)))))))</f>
        <v>0</v>
      </c>
      <c r="R64" s="27">
        <f>IF($A64="",0,IF(Mitarbeiter!$G$62=FALSE,0,IF(AND(Mitarbeiter!$E$62&lt;&gt;"",R$5+6&lt;Mitarbeiter!$E$62),0,IF(AND(Mitarbeiter!$F$62&lt;&gt;"",R$5&gt;Mitarbeiter!$F$62),0,IF(Planung!R64="",$C64,IF(ISNUMBER(Planung!R64),Planung!R64,IF(UPPER(Planung!R64)="H",$C64/2,0)))))))</f>
        <v>0</v>
      </c>
      <c r="S64" s="27">
        <f>IF($A64="",0,IF(Mitarbeiter!$G$62=FALSE,0,IF(AND(Mitarbeiter!$E$62&lt;&gt;"",S$5+6&lt;Mitarbeiter!$E$62),0,IF(AND(Mitarbeiter!$F$62&lt;&gt;"",S$5&gt;Mitarbeiter!$F$62),0,IF(Planung!S64="",$C64,IF(ISNUMBER(Planung!S64),Planung!S64,IF(UPPER(Planung!S64)="H",$C64/2,0)))))))</f>
        <v>0</v>
      </c>
      <c r="T64" s="27">
        <f>IF($A64="",0,IF(Mitarbeiter!$G$62=FALSE,0,IF(AND(Mitarbeiter!$E$62&lt;&gt;"",T$5+6&lt;Mitarbeiter!$E$62),0,IF(AND(Mitarbeiter!$F$62&lt;&gt;"",T$5&gt;Mitarbeiter!$F$62),0,IF(Planung!T64="",$C64,IF(ISNUMBER(Planung!T64),Planung!T64,IF(UPPER(Planung!T64)="H",$C64/2,0)))))))</f>
        <v>0</v>
      </c>
      <c r="U64" s="27">
        <f>IF($A64="",0,IF(Mitarbeiter!$G$62=FALSE,0,IF(AND(Mitarbeiter!$E$62&lt;&gt;"",U$5+6&lt;Mitarbeiter!$E$62),0,IF(AND(Mitarbeiter!$F$62&lt;&gt;"",U$5&gt;Mitarbeiter!$F$62),0,IF(Planung!U64="",$C64,IF(ISNUMBER(Planung!U64),Planung!U64,IF(UPPER(Planung!U64)="H",$C64/2,0)))))))</f>
        <v>0</v>
      </c>
      <c r="V64" s="27">
        <f>IF($A64="",0,IF(Mitarbeiter!$G$62=FALSE,0,IF(AND(Mitarbeiter!$E$62&lt;&gt;"",V$5+6&lt;Mitarbeiter!$E$62),0,IF(AND(Mitarbeiter!$F$62&lt;&gt;"",V$5&gt;Mitarbeiter!$F$62),0,IF(Planung!V64="",$C64,IF(ISNUMBER(Planung!V64),Planung!V64,IF(UPPER(Planung!V64)="H",$C64/2,0)))))))</f>
        <v>0</v>
      </c>
      <c r="W64" s="27">
        <f>IF($A64="",0,IF(Mitarbeiter!$G$62=FALSE,0,IF(AND(Mitarbeiter!$E$62&lt;&gt;"",W$5+6&lt;Mitarbeiter!$E$62),0,IF(AND(Mitarbeiter!$F$62&lt;&gt;"",W$5&gt;Mitarbeiter!$F$62),0,IF(Planung!W64="",$C64,IF(ISNUMBER(Planung!W64),Planung!W64,IF(UPPER(Planung!W64)="H",$C64/2,0)))))))</f>
        <v>0</v>
      </c>
      <c r="X64" s="27">
        <f>IF($A64="",0,IF(Mitarbeiter!$G$62=FALSE,0,IF(AND(Mitarbeiter!$E$62&lt;&gt;"",X$5+6&lt;Mitarbeiter!$E$62),0,IF(AND(Mitarbeiter!$F$62&lt;&gt;"",X$5&gt;Mitarbeiter!$F$62),0,IF(Planung!X64="",$C64,IF(ISNUMBER(Planung!X64),Planung!X64,IF(UPPER(Planung!X64)="H",$C64/2,0)))))))</f>
        <v>0</v>
      </c>
      <c r="Y64" s="27">
        <f>IF($A64="",0,IF(Mitarbeiter!$G$62=FALSE,0,IF(AND(Mitarbeiter!$E$62&lt;&gt;"",Y$5+6&lt;Mitarbeiter!$E$62),0,IF(AND(Mitarbeiter!$F$62&lt;&gt;"",Y$5&gt;Mitarbeiter!$F$62),0,IF(Planung!Y64="",$C64,IF(ISNUMBER(Planung!Y64),Planung!Y64,IF(UPPER(Planung!Y64)="H",$C64/2,0)))))))</f>
        <v>0</v>
      </c>
      <c r="Z64" s="27">
        <f>IF($A64="",0,IF(Mitarbeiter!$G$62=FALSE,0,IF(AND(Mitarbeiter!$E$62&lt;&gt;"",Z$5+6&lt;Mitarbeiter!$E$62),0,IF(AND(Mitarbeiter!$F$62&lt;&gt;"",Z$5&gt;Mitarbeiter!$F$62),0,IF(Planung!Z64="",$C64,IF(ISNUMBER(Planung!Z64),Planung!Z64,IF(UPPER(Planung!Z64)="H",$C64/2,0)))))))</f>
        <v>0</v>
      </c>
      <c r="AA64" s="27">
        <f>IF($A64="",0,IF(Mitarbeiter!$G$62=FALSE,0,IF(AND(Mitarbeiter!$E$62&lt;&gt;"",AA$5+6&lt;Mitarbeiter!$E$62),0,IF(AND(Mitarbeiter!$F$62&lt;&gt;"",AA$5&gt;Mitarbeiter!$F$62),0,IF(Planung!AA64="",$C64,IF(ISNUMBER(Planung!AA64),Planung!AA64,IF(UPPER(Planung!AA64)="H",$C64/2,0)))))))</f>
        <v>0</v>
      </c>
      <c r="AB64" s="27">
        <f>IF($A64="",0,IF(Mitarbeiter!$G$62=FALSE,0,IF(AND(Mitarbeiter!$E$62&lt;&gt;"",AB$5+6&lt;Mitarbeiter!$E$62),0,IF(AND(Mitarbeiter!$F$62&lt;&gt;"",AB$5&gt;Mitarbeiter!$F$62),0,IF(Planung!AB64="",$C64,IF(ISNUMBER(Planung!AB64),Planung!AB64,IF(UPPER(Planung!AB64)="H",$C64/2,0)))))))</f>
        <v>0</v>
      </c>
      <c r="AC64" s="27">
        <f>IF($A64="",0,IF(Mitarbeiter!$G$62=FALSE,0,IF(AND(Mitarbeiter!$E$62&lt;&gt;"",AC$5+6&lt;Mitarbeiter!$E$62),0,IF(AND(Mitarbeiter!$F$62&lt;&gt;"",AC$5&gt;Mitarbeiter!$F$62),0,IF(Planung!AC64="",$C64,IF(ISNUMBER(Planung!AC64),Planung!AC64,IF(UPPER(Planung!AC64)="H",$C64/2,0)))))))</f>
        <v>0</v>
      </c>
      <c r="AD64" s="27">
        <f>IF($A64="",0,IF(Mitarbeiter!$G$62=FALSE,0,IF(AND(Mitarbeiter!$E$62&lt;&gt;"",AD$5+6&lt;Mitarbeiter!$E$62),0,IF(AND(Mitarbeiter!$F$62&lt;&gt;"",AD$5&gt;Mitarbeiter!$F$62),0,IF(Planung!AD64="",$C64,IF(ISNUMBER(Planung!AD64),Planung!AD64,IF(UPPER(Planung!AD64)="H",$C64/2,0)))))))</f>
        <v>0</v>
      </c>
      <c r="AE64" s="27">
        <f>IF($A64="",0,IF(Mitarbeiter!$G$62=FALSE,0,IF(AND(Mitarbeiter!$E$62&lt;&gt;"",AE$5+6&lt;Mitarbeiter!$E$62),0,IF(AND(Mitarbeiter!$F$62&lt;&gt;"",AE$5&gt;Mitarbeiter!$F$62),0,IF(Planung!AE64="",$C64,IF(ISNUMBER(Planung!AE64),Planung!AE64,IF(UPPER(Planung!AE64)="H",$C64/2,0)))))))</f>
        <v>0</v>
      </c>
      <c r="AF64" s="27">
        <f>IF($A64="",0,IF(Mitarbeiter!$G$62=FALSE,0,IF(AND(Mitarbeiter!$E$62&lt;&gt;"",AF$5+6&lt;Mitarbeiter!$E$62),0,IF(AND(Mitarbeiter!$F$62&lt;&gt;"",AF$5&gt;Mitarbeiter!$F$62),0,IF(Planung!AF64="",$C64,IF(ISNUMBER(Planung!AF64),Planung!AF64,IF(UPPER(Planung!AF64)="H",$C64/2,0)))))))</f>
        <v>0</v>
      </c>
      <c r="AG64" s="27">
        <f>IF($A64="",0,IF(Mitarbeiter!$G$62=FALSE,0,IF(AND(Mitarbeiter!$E$62&lt;&gt;"",AG$5+6&lt;Mitarbeiter!$E$62),0,IF(AND(Mitarbeiter!$F$62&lt;&gt;"",AG$5&gt;Mitarbeiter!$F$62),0,IF(Planung!AG64="",$C64,IF(ISNUMBER(Planung!AG64),Planung!AG64,IF(UPPER(Planung!AG64)="H",$C64/2,0)))))))</f>
        <v>0</v>
      </c>
      <c r="AH64" s="27">
        <f>IF($A64="",0,IF(Mitarbeiter!$G$62=FALSE,0,IF(AND(Mitarbeiter!$E$62&lt;&gt;"",AH$5+6&lt;Mitarbeiter!$E$62),0,IF(AND(Mitarbeiter!$F$62&lt;&gt;"",AH$5&gt;Mitarbeiter!$F$62),0,IF(Planung!AH64="",$C64,IF(ISNUMBER(Planung!AH64),Planung!AH64,IF(UPPER(Planung!AH64)="H",$C64/2,0)))))))</f>
        <v>0</v>
      </c>
      <c r="AI64" s="27">
        <f>IF($A64="",0,IF(Mitarbeiter!$G$62=FALSE,0,IF(AND(Mitarbeiter!$E$62&lt;&gt;"",AI$5+6&lt;Mitarbeiter!$E$62),0,IF(AND(Mitarbeiter!$F$62&lt;&gt;"",AI$5&gt;Mitarbeiter!$F$62),0,IF(Planung!AI64="",$C64,IF(ISNUMBER(Planung!AI64),Planung!AI64,IF(UPPER(Planung!AI64)="H",$C64/2,0)))))))</f>
        <v>0</v>
      </c>
      <c r="AJ64" s="27">
        <f>IF($A64="",0,IF(Mitarbeiter!$G$62=FALSE,0,IF(AND(Mitarbeiter!$E$62&lt;&gt;"",AJ$5+6&lt;Mitarbeiter!$E$62),0,IF(AND(Mitarbeiter!$F$62&lt;&gt;"",AJ$5&gt;Mitarbeiter!$F$62),0,IF(Planung!AJ64="",$C64,IF(ISNUMBER(Planung!AJ64),Planung!AJ64,IF(UPPER(Planung!AJ64)="H",$C64/2,0)))))))</f>
        <v>0</v>
      </c>
      <c r="AK64" s="27">
        <f>IF($A64="",0,IF(Mitarbeiter!$G$62=FALSE,0,IF(AND(Mitarbeiter!$E$62&lt;&gt;"",AK$5+6&lt;Mitarbeiter!$E$62),0,IF(AND(Mitarbeiter!$F$62&lt;&gt;"",AK$5&gt;Mitarbeiter!$F$62),0,IF(Planung!AK64="",$C64,IF(ISNUMBER(Planung!AK64),Planung!AK64,IF(UPPER(Planung!AK64)="H",$C64/2,0)))))))</f>
        <v>0</v>
      </c>
      <c r="AL64" s="27">
        <f>IF($A64="",0,IF(Mitarbeiter!$G$62=FALSE,0,IF(AND(Mitarbeiter!$E$62&lt;&gt;"",AL$5+6&lt;Mitarbeiter!$E$62),0,IF(AND(Mitarbeiter!$F$62&lt;&gt;"",AL$5&gt;Mitarbeiter!$F$62),0,IF(Planung!AL64="",$C64,IF(ISNUMBER(Planung!AL64),Planung!AL64,IF(UPPER(Planung!AL64)="H",$C64/2,0)))))))</f>
        <v>0</v>
      </c>
      <c r="AM64" s="27">
        <f>IF($A64="",0,IF(Mitarbeiter!$G$62=FALSE,0,IF(AND(Mitarbeiter!$E$62&lt;&gt;"",AM$5+6&lt;Mitarbeiter!$E$62),0,IF(AND(Mitarbeiter!$F$62&lt;&gt;"",AM$5&gt;Mitarbeiter!$F$62),0,IF(Planung!AM64="",$C64,IF(ISNUMBER(Planung!AM64),Planung!AM64,IF(UPPER(Planung!AM64)="H",$C64/2,0)))))))</f>
        <v>0</v>
      </c>
      <c r="AN64" s="27">
        <f>IF($A64="",0,IF(Mitarbeiter!$G$62=FALSE,0,IF(AND(Mitarbeiter!$E$62&lt;&gt;"",AN$5+6&lt;Mitarbeiter!$E$62),0,IF(AND(Mitarbeiter!$F$62&lt;&gt;"",AN$5&gt;Mitarbeiter!$F$62),0,IF(Planung!AN64="",$C64,IF(ISNUMBER(Planung!AN64),Planung!AN64,IF(UPPER(Planung!AN64)="H",$C64/2,0)))))))</f>
        <v>0</v>
      </c>
      <c r="AO64" s="27">
        <f>IF($A64="",0,IF(Mitarbeiter!$G$62=FALSE,0,IF(AND(Mitarbeiter!$E$62&lt;&gt;"",AO$5+6&lt;Mitarbeiter!$E$62),0,IF(AND(Mitarbeiter!$F$62&lt;&gt;"",AO$5&gt;Mitarbeiter!$F$62),0,IF(Planung!AO64="",$C64,IF(ISNUMBER(Planung!AO64),Planung!AO64,IF(UPPER(Planung!AO64)="H",$C64/2,0)))))))</f>
        <v>0</v>
      </c>
      <c r="AP64" s="27">
        <f>IF($A64="",0,IF(Mitarbeiter!$G$62=FALSE,0,IF(AND(Mitarbeiter!$E$62&lt;&gt;"",AP$5+6&lt;Mitarbeiter!$E$62),0,IF(AND(Mitarbeiter!$F$62&lt;&gt;"",AP$5&gt;Mitarbeiter!$F$62),0,IF(Planung!AP64="",$C64,IF(ISNUMBER(Planung!AP64),Planung!AP64,IF(UPPER(Planung!AP64)="H",$C64/2,0)))))))</f>
        <v>0</v>
      </c>
      <c r="AQ64" s="27">
        <f>IF($A64="",0,IF(Mitarbeiter!$G$62=FALSE,0,IF(AND(Mitarbeiter!$E$62&lt;&gt;"",AQ$5+6&lt;Mitarbeiter!$E$62),0,IF(AND(Mitarbeiter!$F$62&lt;&gt;"",AQ$5&gt;Mitarbeiter!$F$62),0,IF(Planung!AQ64="",$C64,IF(ISNUMBER(Planung!AQ64),Planung!AQ64,IF(UPPER(Planung!AQ64)="H",$C64/2,0)))))))</f>
        <v>0</v>
      </c>
      <c r="AR64" s="27">
        <f>IF($A64="",0,IF(Mitarbeiter!$G$62=FALSE,0,IF(AND(Mitarbeiter!$E$62&lt;&gt;"",AR$5+6&lt;Mitarbeiter!$E$62),0,IF(AND(Mitarbeiter!$F$62&lt;&gt;"",AR$5&gt;Mitarbeiter!$F$62),0,IF(Planung!AR64="",$C64,IF(ISNUMBER(Planung!AR64),Planung!AR64,IF(UPPER(Planung!AR64)="H",$C64/2,0)))))))</f>
        <v>0</v>
      </c>
      <c r="AS64" s="27">
        <f>IF($A64="",0,IF(Mitarbeiter!$G$62=FALSE,0,IF(AND(Mitarbeiter!$E$62&lt;&gt;"",AS$5+6&lt;Mitarbeiter!$E$62),0,IF(AND(Mitarbeiter!$F$62&lt;&gt;"",AS$5&gt;Mitarbeiter!$F$62),0,IF(Planung!AS64="",$C64,IF(ISNUMBER(Planung!AS64),Planung!AS64,IF(UPPER(Planung!AS64)="H",$C64/2,0)))))))</f>
        <v>0</v>
      </c>
      <c r="AT64" s="27">
        <f>IF($A64="",0,IF(Mitarbeiter!$G$62=FALSE,0,IF(AND(Mitarbeiter!$E$62&lt;&gt;"",AT$5+6&lt;Mitarbeiter!$E$62),0,IF(AND(Mitarbeiter!$F$62&lt;&gt;"",AT$5&gt;Mitarbeiter!$F$62),0,IF(Planung!AT64="",$C64,IF(ISNUMBER(Planung!AT64),Planung!AT64,IF(UPPER(Planung!AT64)="H",$C64/2,0)))))))</f>
        <v>0</v>
      </c>
      <c r="AU64" s="27">
        <f>IF($A64="",0,IF(Mitarbeiter!$G$62=FALSE,0,IF(AND(Mitarbeiter!$E$62&lt;&gt;"",AU$5+6&lt;Mitarbeiter!$E$62),0,IF(AND(Mitarbeiter!$F$62&lt;&gt;"",AU$5&gt;Mitarbeiter!$F$62),0,IF(Planung!AU64="",$C64,IF(ISNUMBER(Planung!AU64),Planung!AU64,IF(UPPER(Planung!AU64)="H",$C64/2,0)))))))</f>
        <v>0</v>
      </c>
      <c r="AV64" s="27">
        <f>IF($A64="",0,IF(Mitarbeiter!$G$62=FALSE,0,IF(AND(Mitarbeiter!$E$62&lt;&gt;"",AV$5+6&lt;Mitarbeiter!$E$62),0,IF(AND(Mitarbeiter!$F$62&lt;&gt;"",AV$5&gt;Mitarbeiter!$F$62),0,IF(Planung!AV64="",$C64,IF(ISNUMBER(Planung!AV64),Planung!AV64,IF(UPPER(Planung!AV64)="H",$C64/2,0)))))))</f>
        <v>0</v>
      </c>
      <c r="AW64" s="27">
        <f>IF($A64="",0,IF(Mitarbeiter!$G$62=FALSE,0,IF(AND(Mitarbeiter!$E$62&lt;&gt;"",AW$5+6&lt;Mitarbeiter!$E$62),0,IF(AND(Mitarbeiter!$F$62&lt;&gt;"",AW$5&gt;Mitarbeiter!$F$62),0,IF(Planung!AW64="",$C64,IF(ISNUMBER(Planung!AW64),Planung!AW64,IF(UPPER(Planung!AW64)="H",$C64/2,0)))))))</f>
        <v>0</v>
      </c>
      <c r="AX64" s="27">
        <f>IF($A64="",0,IF(Mitarbeiter!$G$62=FALSE,0,IF(AND(Mitarbeiter!$E$62&lt;&gt;"",AX$5+6&lt;Mitarbeiter!$E$62),0,IF(AND(Mitarbeiter!$F$62&lt;&gt;"",AX$5&gt;Mitarbeiter!$F$62),0,IF(Planung!AX64="",$C64,IF(ISNUMBER(Planung!AX64),Planung!AX64,IF(UPPER(Planung!AX64)="H",$C64/2,0)))))))</f>
        <v>0</v>
      </c>
      <c r="AY64" s="27">
        <f>IF($A64="",0,IF(Mitarbeiter!$G$62=FALSE,0,IF(AND(Mitarbeiter!$E$62&lt;&gt;"",AY$5+6&lt;Mitarbeiter!$E$62),0,IF(AND(Mitarbeiter!$F$62&lt;&gt;"",AY$5&gt;Mitarbeiter!$F$62),0,IF(Planung!AY64="",$C64,IF(ISNUMBER(Planung!AY64),Planung!AY64,IF(UPPER(Planung!AY64)="H",$C64/2,0)))))))</f>
        <v>0</v>
      </c>
      <c r="AZ64" s="27">
        <f>IF($A64="",0,IF(Mitarbeiter!$G$62=FALSE,0,IF(AND(Mitarbeiter!$E$62&lt;&gt;"",AZ$5+6&lt;Mitarbeiter!$E$62),0,IF(AND(Mitarbeiter!$F$62&lt;&gt;"",AZ$5&gt;Mitarbeiter!$F$62),0,IF(Planung!AZ64="",$C64,IF(ISNUMBER(Planung!AZ64),Planung!AZ64,IF(UPPER(Planung!AZ64)="H",$C64/2,0)))))))</f>
        <v>0</v>
      </c>
      <c r="BA64" s="27">
        <f>IF($A64="",0,IF(Mitarbeiter!$G$62=FALSE,0,IF(AND(Mitarbeiter!$E$62&lt;&gt;"",BA$5+6&lt;Mitarbeiter!$E$62),0,IF(AND(Mitarbeiter!$F$62&lt;&gt;"",BA$5&gt;Mitarbeiter!$F$62),0,IF(Planung!BA64="",$C64,IF(ISNUMBER(Planung!BA64),Planung!BA64,IF(UPPER(Planung!BA64)="H",$C64/2,0)))))))</f>
        <v>0</v>
      </c>
      <c r="BB64" s="27">
        <f>IF($A64="",0,IF(Mitarbeiter!$G$62=FALSE,0,IF(AND(Mitarbeiter!$E$62&lt;&gt;"",BB$5+6&lt;Mitarbeiter!$E$62),0,IF(AND(Mitarbeiter!$F$62&lt;&gt;"",BB$5&gt;Mitarbeiter!$F$62),0,IF(Planung!BB64="",$C64,IF(ISNUMBER(Planung!BB64),Planung!BB64,IF(UPPER(Planung!BB64)="H",$C64/2,0)))))))</f>
        <v>0</v>
      </c>
      <c r="BC64" s="27">
        <f>IF($A64="",0,IF(Mitarbeiter!$G$62=FALSE,0,IF(AND(Mitarbeiter!$E$62&lt;&gt;"",BC$5+6&lt;Mitarbeiter!$E$62),0,IF(AND(Mitarbeiter!$F$62&lt;&gt;"",BC$5&gt;Mitarbeiter!$F$62),0,IF(Planung!BC64="",$C64,IF(ISNUMBER(Planung!BC64),Planung!BC64,IF(UPPER(Planung!BC64)="H",$C64/2,0)))))))</f>
        <v>0</v>
      </c>
      <c r="BD64" s="27">
        <f>IF($A64="",0,IF(Mitarbeiter!$G$62=FALSE,0,IF(AND(Mitarbeiter!$E$62&lt;&gt;"",BD$5+6&lt;Mitarbeiter!$E$62),0,IF(AND(Mitarbeiter!$F$62&lt;&gt;"",BD$5&gt;Mitarbeiter!$F$62),0,IF(Planung!BD64="",$C64,IF(ISNUMBER(Planung!BD64),Planung!BD64,IF(UPPER(Planung!BD64)="H",$C64/2,0)))))))</f>
        <v>0</v>
      </c>
      <c r="BE64" s="27">
        <f>IF($A64="",0,IF(Mitarbeiter!$G$62=FALSE,0,IF(AND(Mitarbeiter!$E$62&lt;&gt;"",BE$5+6&lt;Mitarbeiter!$E$62),0,IF(AND(Mitarbeiter!$F$62&lt;&gt;"",BE$5&gt;Mitarbeiter!$F$62),0,IF(Planung!BE64="",$C64,IF(ISNUMBER(Planung!BE64),Planung!BE64,IF(UPPER(Planung!BE64)="H",$C64/2,0)))))))</f>
        <v>0</v>
      </c>
      <c r="BF64" s="27">
        <f>IF($A64="",0,IF(Mitarbeiter!$G$62=FALSE,0,IF(AND(Mitarbeiter!$E$62&lt;&gt;"",BF$5+6&lt;Mitarbeiter!$E$62),0,IF(AND(Mitarbeiter!$F$62&lt;&gt;"",BF$5&gt;Mitarbeiter!$F$62),0,IF(Planung!BF64="",$C64,IF(ISNUMBER(Planung!BF64),Planung!BF64,IF(UPPER(Planung!BF64)="H",$C64/2,0)))))))</f>
        <v>0</v>
      </c>
      <c r="BG64" s="27">
        <f>IF($A64="",0,IF(Mitarbeiter!$G$62=FALSE,0,IF(AND(Mitarbeiter!$E$62&lt;&gt;"",BG$5+6&lt;Mitarbeiter!$E$62),0,IF(AND(Mitarbeiter!$F$62&lt;&gt;"",BG$5&gt;Mitarbeiter!$F$62),0,IF(Planung!BG64="",$C64,IF(ISNUMBER(Planung!BG64),Planung!BG64,IF(UPPER(Planung!BG64)="H",$C64/2,0)))))))</f>
        <v>0</v>
      </c>
      <c r="BH64" s="27">
        <f>IF($A64="",0,IF(Mitarbeiter!$G$62=FALSE,0,IF(AND(Mitarbeiter!$E$62&lt;&gt;"",BH$5+6&lt;Mitarbeiter!$E$62),0,IF(AND(Mitarbeiter!$F$62&lt;&gt;"",BH$5&gt;Mitarbeiter!$F$62),0,IF(Planung!BH64="",$C64,IF(ISNUMBER(Planung!BH64),Planung!BH64,IF(UPPER(Planung!BH64)="H",$C64/2,0)))))))</f>
        <v>0</v>
      </c>
      <c r="BI64" s="27">
        <f>IF($A64="",0,IF(Mitarbeiter!$G$62=FALSE,0,IF(AND(Mitarbeiter!$E$62&lt;&gt;"",BI$5+6&lt;Mitarbeiter!$E$62),0,IF(AND(Mitarbeiter!$F$62&lt;&gt;"",BI$5&gt;Mitarbeiter!$F$62),0,IF(Planung!BI64="",$C64,IF(ISNUMBER(Planung!BI64),Planung!BI64,IF(UPPER(Planung!BI64)="H",$C64/2,0)))))))</f>
        <v>0</v>
      </c>
      <c r="BJ64" s="27">
        <f>IF($A64="",0,IF(Mitarbeiter!$G$62=FALSE,0,IF(AND(Mitarbeiter!$E$62&lt;&gt;"",BJ$5+6&lt;Mitarbeiter!$E$62),0,IF(AND(Mitarbeiter!$F$62&lt;&gt;"",BJ$5&gt;Mitarbeiter!$F$62),0,IF(Planung!BJ64="",$C64,IF(ISNUMBER(Planung!BJ64),Planung!BJ64,IF(UPPER(Planung!BJ64)="H",$C64/2,0)))))))</f>
        <v>0</v>
      </c>
      <c r="BK64" s="27">
        <f>IF($A64="",0,IF(Mitarbeiter!$G$62=FALSE,0,IF(AND(Mitarbeiter!$E$62&lt;&gt;"",BK$5+6&lt;Mitarbeiter!$E$62),0,IF(AND(Mitarbeiter!$F$62&lt;&gt;"",BK$5&gt;Mitarbeiter!$F$62),0,IF(Planung!BK64="",$C64,IF(ISNUMBER(Planung!BK64),Planung!BK64,IF(UPPER(Planung!BK64)="H",$C64/2,0)))))))</f>
        <v>0</v>
      </c>
      <c r="BL64" s="27">
        <f>IF($A64="",0,IF(Mitarbeiter!$G$62=FALSE,0,IF(AND(Mitarbeiter!$E$62&lt;&gt;"",BL$5+6&lt;Mitarbeiter!$E$62),0,IF(AND(Mitarbeiter!$F$62&lt;&gt;"",BL$5&gt;Mitarbeiter!$F$62),0,IF(Planung!BL64="",$C64,IF(ISNUMBER(Planung!BL64),Planung!BL64,IF(UPPER(Planung!BL64)="H",$C64/2,0)))))))</f>
        <v>0</v>
      </c>
      <c r="BM64" s="27">
        <f>IF($A64="",0,IF(Mitarbeiter!$G$62=FALSE,0,IF(AND(Mitarbeiter!$E$62&lt;&gt;"",BM$5+6&lt;Mitarbeiter!$E$62),0,IF(AND(Mitarbeiter!$F$62&lt;&gt;"",BM$5&gt;Mitarbeiter!$F$62),0,IF(Planung!BM64="",$C64,IF(ISNUMBER(Planung!BM64),Planung!BM64,IF(UPPER(Planung!BM64)="H",$C64/2,0)))))))</f>
        <v>0</v>
      </c>
      <c r="BN64" s="27">
        <f>IF($A64="",0,IF(Mitarbeiter!$G$62=FALSE,0,IF(AND(Mitarbeiter!$E$62&lt;&gt;"",BN$5+6&lt;Mitarbeiter!$E$62),0,IF(AND(Mitarbeiter!$F$62&lt;&gt;"",BN$5&gt;Mitarbeiter!$F$62),0,IF(Planung!BN64="",$C64,IF(ISNUMBER(Planung!BN64),Planung!BN64,IF(UPPER(Planung!BN64)="H",$C64/2,0)))))))</f>
        <v>0</v>
      </c>
      <c r="BO64" s="27">
        <f>IF($A64="",0,IF(Mitarbeiter!$G$62=FALSE,0,IF(AND(Mitarbeiter!$E$62&lt;&gt;"",BO$5+6&lt;Mitarbeiter!$E$62),0,IF(AND(Mitarbeiter!$F$62&lt;&gt;"",BO$5&gt;Mitarbeiter!$F$62),0,IF(Planung!BO64="",$C64,IF(ISNUMBER(Planung!BO64),Planung!BO64,IF(UPPER(Planung!BO64)="H",$C64/2,0)))))))</f>
        <v>0</v>
      </c>
      <c r="BP64" s="27">
        <f>IF($A64="",0,IF(Mitarbeiter!$G$62=FALSE,0,IF(AND(Mitarbeiter!$E$62&lt;&gt;"",BP$5+6&lt;Mitarbeiter!$E$62),0,IF(AND(Mitarbeiter!$F$62&lt;&gt;"",BP$5&gt;Mitarbeiter!$F$62),0,IF(Planung!BP64="",$C64,IF(ISNUMBER(Planung!BP64),Planung!BP64,IF(UPPER(Planung!BP64)="H",$C64/2,0)))))))</f>
        <v>0</v>
      </c>
      <c r="BQ64" s="27">
        <f>IF($A64="",0,IF(Mitarbeiter!$G$62=FALSE,0,IF(AND(Mitarbeiter!$E$62&lt;&gt;"",BQ$5+6&lt;Mitarbeiter!$E$62),0,IF(AND(Mitarbeiter!$F$62&lt;&gt;"",BQ$5&gt;Mitarbeiter!$F$62),0,IF(Planung!BQ64="",$C64,IF(ISNUMBER(Planung!BQ64),Planung!BQ64,IF(UPPER(Planung!BQ64)="H",$C64/2,0)))))))</f>
        <v>0</v>
      </c>
      <c r="BR64" s="27">
        <f>IF($A64="",0,IF(Mitarbeiter!$G$62=FALSE,0,IF(AND(Mitarbeiter!$E$62&lt;&gt;"",BR$5+6&lt;Mitarbeiter!$E$62),0,IF(AND(Mitarbeiter!$F$62&lt;&gt;"",BR$5&gt;Mitarbeiter!$F$62),0,IF(Planung!BR64="",$C64,IF(ISNUMBER(Planung!BR64),Planung!BR64,IF(UPPER(Planung!BR64)="H",$C64/2,0)))))))</f>
        <v>0</v>
      </c>
      <c r="BS64" s="27">
        <f>IF($A64="",0,IF(Mitarbeiter!$G$62=FALSE,0,IF(AND(Mitarbeiter!$E$62&lt;&gt;"",BS$5+6&lt;Mitarbeiter!$E$62),0,IF(AND(Mitarbeiter!$F$62&lt;&gt;"",BS$5&gt;Mitarbeiter!$F$62),0,IF(Planung!BS64="",$C64,IF(ISNUMBER(Planung!BS64),Planung!BS64,IF(UPPER(Planung!BS64)="H",$C64/2,0)))))))</f>
        <v>0</v>
      </c>
      <c r="BT64" s="27">
        <f>IF($A64="",0,IF(Mitarbeiter!$G$62=FALSE,0,IF(AND(Mitarbeiter!$E$62&lt;&gt;"",BT$5+6&lt;Mitarbeiter!$E$62),0,IF(AND(Mitarbeiter!$F$62&lt;&gt;"",BT$5&gt;Mitarbeiter!$F$62),0,IF(Planung!BT64="",$C64,IF(ISNUMBER(Planung!BT64),Planung!BT64,IF(UPPER(Planung!BT64)="H",$C64/2,0)))))))</f>
        <v>0</v>
      </c>
      <c r="BU64" s="27">
        <f>IF($A64="",0,IF(Mitarbeiter!$G$62=FALSE,0,IF(AND(Mitarbeiter!$E$62&lt;&gt;"",BU$5+6&lt;Mitarbeiter!$E$62),0,IF(AND(Mitarbeiter!$F$62&lt;&gt;"",BU$5&gt;Mitarbeiter!$F$62),0,IF(Planung!BU64="",$C64,IF(ISNUMBER(Planung!BU64),Planung!BU64,IF(UPPER(Planung!BU64)="H",$C64/2,0)))))))</f>
        <v>0</v>
      </c>
      <c r="BV64" s="27">
        <f>IF($A64="",0,IF(Mitarbeiter!$G$62=FALSE,0,IF(AND(Mitarbeiter!$E$62&lt;&gt;"",BV$5+6&lt;Mitarbeiter!$E$62),0,IF(AND(Mitarbeiter!$F$62&lt;&gt;"",BV$5&gt;Mitarbeiter!$F$62),0,IF(Planung!BV64="",$C64,IF(ISNUMBER(Planung!BV64),Planung!BV64,IF(UPPER(Planung!BV64)="H",$C64/2,0)))))))</f>
        <v>0</v>
      </c>
      <c r="BW64" s="27">
        <f>IF($A64="",0,IF(Mitarbeiter!$G$62=FALSE,0,IF(AND(Mitarbeiter!$E$62&lt;&gt;"",BW$5+6&lt;Mitarbeiter!$E$62),0,IF(AND(Mitarbeiter!$F$62&lt;&gt;"",BW$5&gt;Mitarbeiter!$F$62),0,IF(Planung!BW64="",$C64,IF(ISNUMBER(Planung!BW64),Planung!BW64,IF(UPPER(Planung!BW64)="H",$C64/2,0)))))))</f>
        <v>0</v>
      </c>
      <c r="BX64" s="27">
        <f>IF($A64="",0,IF(Mitarbeiter!$G$62=FALSE,0,IF(AND(Mitarbeiter!$E$62&lt;&gt;"",BX$5+6&lt;Mitarbeiter!$E$62),0,IF(AND(Mitarbeiter!$F$62&lt;&gt;"",BX$5&gt;Mitarbeiter!$F$62),0,IF(Planung!BX64="",$C64,IF(ISNUMBER(Planung!BX64),Planung!BX64,IF(UPPER(Planung!BX64)="H",$C64/2,0)))))))</f>
        <v>0</v>
      </c>
      <c r="BY64" s="27">
        <f>IF($A64="",0,IF(Mitarbeiter!$G$62=FALSE,0,IF(AND(Mitarbeiter!$E$62&lt;&gt;"",BY$5+6&lt;Mitarbeiter!$E$62),0,IF(AND(Mitarbeiter!$F$62&lt;&gt;"",BY$5&gt;Mitarbeiter!$F$62),0,IF(Planung!BY64="",$C64,IF(ISNUMBER(Planung!BY64),Planung!BY64,IF(UPPER(Planung!BY64)="H",$C64/2,0)))))))</f>
        <v>0</v>
      </c>
      <c r="BZ64" s="27">
        <f>IF($A64="",0,IF(Mitarbeiter!$G$62=FALSE,0,IF(AND(Mitarbeiter!$E$62&lt;&gt;"",BZ$5+6&lt;Mitarbeiter!$E$62),0,IF(AND(Mitarbeiter!$F$62&lt;&gt;"",BZ$5&gt;Mitarbeiter!$F$62),0,IF(Planung!BZ64="",$C64,IF(ISNUMBER(Planung!BZ64),Planung!BZ64,IF(UPPER(Planung!BZ64)="H",$C64/2,0)))))))</f>
        <v>0</v>
      </c>
      <c r="CA64" s="27">
        <f>IF($A64="",0,IF(Mitarbeiter!$G$62=FALSE,0,IF(AND(Mitarbeiter!$E$62&lt;&gt;"",CA$5+6&lt;Mitarbeiter!$E$62),0,IF(AND(Mitarbeiter!$F$62&lt;&gt;"",CA$5&gt;Mitarbeiter!$F$62),0,IF(Planung!CA64="",$C64,IF(ISNUMBER(Planung!CA64),Planung!CA64,IF(UPPER(Planung!CA64)="H",$C64/2,0)))))))</f>
        <v>0</v>
      </c>
      <c r="CB64" s="27">
        <f>IF($A64="",0,IF(Mitarbeiter!$G$62=FALSE,0,IF(AND(Mitarbeiter!$E$62&lt;&gt;"",CB$5+6&lt;Mitarbeiter!$E$62),0,IF(AND(Mitarbeiter!$F$62&lt;&gt;"",CB$5&gt;Mitarbeiter!$F$62),0,IF(Planung!CB64="",$C64,IF(ISNUMBER(Planung!CB64),Planung!CB64,IF(UPPER(Planung!CB64)="H",$C64/2,0)))))))</f>
        <v>0</v>
      </c>
      <c r="CC64" s="27">
        <f>IF($A64="",0,IF(Mitarbeiter!$G$62=FALSE,0,IF(AND(Mitarbeiter!$E$62&lt;&gt;"",CC$5+6&lt;Mitarbeiter!$E$62),0,IF(AND(Mitarbeiter!$F$62&lt;&gt;"",CC$5&gt;Mitarbeiter!$F$62),0,IF(Planung!CC64="",$C64,IF(ISNUMBER(Planung!CC64),Planung!CC64,IF(UPPER(Planung!CC64)="H",$C64/2,0)))))))</f>
        <v>0</v>
      </c>
      <c r="CD64" s="27">
        <f>IF($A64="",0,IF(Mitarbeiter!$G$62=FALSE,0,IF(AND(Mitarbeiter!$E$62&lt;&gt;"",CD$5+6&lt;Mitarbeiter!$E$62),0,IF(AND(Mitarbeiter!$F$62&lt;&gt;"",CD$5&gt;Mitarbeiter!$F$62),0,IF(Planung!CD64="",$C64,IF(ISNUMBER(Planung!CD64),Planung!CD64,IF(UPPER(Planung!CD64)="H",$C64/2,0)))))))</f>
        <v>0</v>
      </c>
      <c r="CE64" s="27">
        <f>IF($A64="",0,IF(Mitarbeiter!$G$62=FALSE,0,IF(AND(Mitarbeiter!$E$62&lt;&gt;"",CE$5+6&lt;Mitarbeiter!$E$62),0,IF(AND(Mitarbeiter!$F$62&lt;&gt;"",CE$5&gt;Mitarbeiter!$F$62),0,IF(Planung!CE64="",$C64,IF(ISNUMBER(Planung!CE64),Planung!CE64,IF(UPPER(Planung!CE64)="H",$C64/2,0)))))))</f>
        <v>0</v>
      </c>
      <c r="CF64" s="27">
        <f>IF($A64="",0,IF(Mitarbeiter!$G$62=FALSE,0,IF(AND(Mitarbeiter!$E$62&lt;&gt;"",CF$5+6&lt;Mitarbeiter!$E$62),0,IF(AND(Mitarbeiter!$F$62&lt;&gt;"",CF$5&gt;Mitarbeiter!$F$62),0,IF(Planung!CF64="",$C64,IF(ISNUMBER(Planung!CF64),Planung!CF64,IF(UPPER(Planung!CF64)="H",$C64/2,0)))))))</f>
        <v>0</v>
      </c>
      <c r="CG64" s="27">
        <f>IF($A64="",0,IF(Mitarbeiter!$G$62=FALSE,0,IF(AND(Mitarbeiter!$E$62&lt;&gt;"",CG$5+6&lt;Mitarbeiter!$E$62),0,IF(AND(Mitarbeiter!$F$62&lt;&gt;"",CG$5&gt;Mitarbeiter!$F$62),0,IF(Planung!CG64="",$C64,IF(ISNUMBER(Planung!CG64),Planung!CG64,IF(UPPER(Planung!CG64)="H",$C64/2,0)))))))</f>
        <v>0</v>
      </c>
      <c r="CH64" s="27">
        <f>IF($A64="",0,IF(Mitarbeiter!$G$62=FALSE,0,IF(AND(Mitarbeiter!$E$62&lt;&gt;"",CH$5+6&lt;Mitarbeiter!$E$62),0,IF(AND(Mitarbeiter!$F$62&lt;&gt;"",CH$5&gt;Mitarbeiter!$F$62),0,IF(Planung!CH64="",$C64,IF(ISNUMBER(Planung!CH64),Planung!CH64,IF(UPPER(Planung!CH64)="H",$C64/2,0)))))))</f>
        <v>0</v>
      </c>
      <c r="CI64" s="27">
        <f>IF($A64="",0,IF(Mitarbeiter!$G$62=FALSE,0,IF(AND(Mitarbeiter!$E$62&lt;&gt;"",CI$5+6&lt;Mitarbeiter!$E$62),0,IF(AND(Mitarbeiter!$F$62&lt;&gt;"",CI$5&gt;Mitarbeiter!$F$62),0,IF(Planung!CI64="",$C64,IF(ISNUMBER(Planung!CI64),Planung!CI64,IF(UPPER(Planung!CI64)="H",$C64/2,0)))))))</f>
        <v>0</v>
      </c>
      <c r="CJ64" s="27">
        <f>IF($A64="",0,IF(Mitarbeiter!$G$62=FALSE,0,IF(AND(Mitarbeiter!$E$62&lt;&gt;"",CJ$5+6&lt;Mitarbeiter!$E$62),0,IF(AND(Mitarbeiter!$F$62&lt;&gt;"",CJ$5&gt;Mitarbeiter!$F$62),0,IF(Planung!CJ64="",$C64,IF(ISNUMBER(Planung!CJ64),Planung!CJ64,IF(UPPER(Planung!CJ64)="H",$C64/2,0)))))))</f>
        <v>0</v>
      </c>
      <c r="CK64" s="27">
        <f>IF($A64="",0,IF(Mitarbeiter!$G$62=FALSE,0,IF(AND(Mitarbeiter!$E$62&lt;&gt;"",CK$5+6&lt;Mitarbeiter!$E$62),0,IF(AND(Mitarbeiter!$F$62&lt;&gt;"",CK$5&gt;Mitarbeiter!$F$62),0,IF(Planung!CK64="",$C64,IF(ISNUMBER(Planung!CK64),Planung!CK64,IF(UPPER(Planung!CK64)="H",$C64/2,0)))))))</f>
        <v>0</v>
      </c>
      <c r="CL64" s="27">
        <f>IF($A64="",0,IF(Mitarbeiter!$G$62=FALSE,0,IF(AND(Mitarbeiter!$E$62&lt;&gt;"",CL$5+6&lt;Mitarbeiter!$E$62),0,IF(AND(Mitarbeiter!$F$62&lt;&gt;"",CL$5&gt;Mitarbeiter!$F$62),0,IF(Planung!CL64="",$C64,IF(ISNUMBER(Planung!CL64),Planung!CL64,IF(UPPER(Planung!CL64)="H",$C64/2,0)))))))</f>
        <v>0</v>
      </c>
      <c r="CM64" s="27">
        <f>IF($A64="",0,IF(Mitarbeiter!$G$62=FALSE,0,IF(AND(Mitarbeiter!$E$62&lt;&gt;"",CM$5+6&lt;Mitarbeiter!$E$62),0,IF(AND(Mitarbeiter!$F$62&lt;&gt;"",CM$5&gt;Mitarbeiter!$F$62),0,IF(Planung!CM64="",$C64,IF(ISNUMBER(Planung!CM64),Planung!CM64,IF(UPPER(Planung!CM64)="H",$C64/2,0)))))))</f>
        <v>0</v>
      </c>
      <c r="CN64" s="27">
        <f>IF($A64="",0,IF(Mitarbeiter!$G$62=FALSE,0,IF(AND(Mitarbeiter!$E$62&lt;&gt;"",CN$5+6&lt;Mitarbeiter!$E$62),0,IF(AND(Mitarbeiter!$F$62&lt;&gt;"",CN$5&gt;Mitarbeiter!$F$62),0,IF(Planung!CN64="",$C64,IF(ISNUMBER(Planung!CN64),Planung!CN64,IF(UPPER(Planung!CN64)="H",$C64/2,0)))))))</f>
        <v>0</v>
      </c>
      <c r="CO64" s="27">
        <f>IF($A64="",0,IF(Mitarbeiter!$G$62=FALSE,0,IF(AND(Mitarbeiter!$E$62&lt;&gt;"",CO$5+6&lt;Mitarbeiter!$E$62),0,IF(AND(Mitarbeiter!$F$62&lt;&gt;"",CO$5&gt;Mitarbeiter!$F$62),0,IF(Planung!CO64="",$C64,IF(ISNUMBER(Planung!CO64),Planung!CO64,IF(UPPER(Planung!CO64)="H",$C64/2,0)))))))</f>
        <v>0</v>
      </c>
      <c r="CP64" s="27">
        <f>IF($A64="",0,IF(Mitarbeiter!$G$62=FALSE,0,IF(AND(Mitarbeiter!$E$62&lt;&gt;"",CP$5+6&lt;Mitarbeiter!$E$62),0,IF(AND(Mitarbeiter!$F$62&lt;&gt;"",CP$5&gt;Mitarbeiter!$F$62),0,IF(Planung!CP64="",$C64,IF(ISNUMBER(Planung!CP64),Planung!CP64,IF(UPPER(Planung!CP64)="H",$C64/2,0)))))))</f>
        <v>0</v>
      </c>
      <c r="CQ64" s="27">
        <f>IF($A64="",0,IF(Mitarbeiter!$G$62=FALSE,0,IF(AND(Mitarbeiter!$E$62&lt;&gt;"",CQ$5+6&lt;Mitarbeiter!$E$62),0,IF(AND(Mitarbeiter!$F$62&lt;&gt;"",CQ$5&gt;Mitarbeiter!$F$62),0,IF(Planung!CQ64="",$C64,IF(ISNUMBER(Planung!CQ64),Planung!CQ64,IF(UPPER(Planung!CQ64)="H",$C64/2,0)))))))</f>
        <v>0</v>
      </c>
      <c r="CR64" s="27">
        <f>IF($A64="",0,IF(Mitarbeiter!$G$62=FALSE,0,IF(AND(Mitarbeiter!$E$62&lt;&gt;"",CR$5+6&lt;Mitarbeiter!$E$62),0,IF(AND(Mitarbeiter!$F$62&lt;&gt;"",CR$5&gt;Mitarbeiter!$F$62),0,IF(Planung!CR64="",$C64,IF(ISNUMBER(Planung!CR64),Planung!CR64,IF(UPPER(Planung!CR64)="H",$C64/2,0)))))))</f>
        <v>0</v>
      </c>
      <c r="CS64" s="27">
        <f>IF($A64="",0,IF(Mitarbeiter!$G$62=FALSE,0,IF(AND(Mitarbeiter!$E$62&lt;&gt;"",CS$5+6&lt;Mitarbeiter!$E$62),0,IF(AND(Mitarbeiter!$F$62&lt;&gt;"",CS$5&gt;Mitarbeiter!$F$62),0,IF(Planung!CS64="",$C64,IF(ISNUMBER(Planung!CS64),Planung!CS64,IF(UPPER(Planung!CS64)="H",$C64/2,0)))))))</f>
        <v>0</v>
      </c>
      <c r="CT64" s="27">
        <f>IF($A64="",0,IF(Mitarbeiter!$G$62=FALSE,0,IF(AND(Mitarbeiter!$E$62&lt;&gt;"",CT$5+6&lt;Mitarbeiter!$E$62),0,IF(AND(Mitarbeiter!$F$62&lt;&gt;"",CT$5&gt;Mitarbeiter!$F$62),0,IF(Planung!CT64="",$C64,IF(ISNUMBER(Planung!CT64),Planung!CT64,IF(UPPER(Planung!CT64)="H",$C64/2,0)))))))</f>
        <v>0</v>
      </c>
      <c r="CU64" s="27">
        <f>IF($A64="",0,IF(Mitarbeiter!$G$62=FALSE,0,IF(AND(Mitarbeiter!$E$62&lt;&gt;"",CU$5+6&lt;Mitarbeiter!$E$62),0,IF(AND(Mitarbeiter!$F$62&lt;&gt;"",CU$5&gt;Mitarbeiter!$F$62),0,IF(Planung!CU64="",$C64,IF(ISNUMBER(Planung!CU64),Planung!CU64,IF(UPPER(Planung!CU64)="H",$C64/2,0)))))))</f>
        <v>0</v>
      </c>
      <c r="CV64" s="27">
        <f>IF($A64="",0,IF(Mitarbeiter!$G$62=FALSE,0,IF(AND(Mitarbeiter!$E$62&lt;&gt;"",CV$5+6&lt;Mitarbeiter!$E$62),0,IF(AND(Mitarbeiter!$F$62&lt;&gt;"",CV$5&gt;Mitarbeiter!$F$62),0,IF(Planung!CV64="",$C64,IF(ISNUMBER(Planung!CV64),Planung!CV64,IF(UPPER(Planung!CV64)="H",$C64/2,0)))))))</f>
        <v>0</v>
      </c>
      <c r="CW64" s="27">
        <f>IF($A64="",0,IF(Mitarbeiter!$G$62=FALSE,0,IF(AND(Mitarbeiter!$E$62&lt;&gt;"",CW$5+6&lt;Mitarbeiter!$E$62),0,IF(AND(Mitarbeiter!$F$62&lt;&gt;"",CW$5&gt;Mitarbeiter!$F$62),0,IF(Planung!CW64="",$C64,IF(ISNUMBER(Planung!CW64),Planung!CW64,IF(UPPER(Planung!CW64)="H",$C64/2,0)))))))</f>
        <v>0</v>
      </c>
      <c r="CX64" s="27">
        <f>IF($A64="",0,IF(Mitarbeiter!$G$62=FALSE,0,IF(AND(Mitarbeiter!$E$62&lt;&gt;"",CX$5+6&lt;Mitarbeiter!$E$62),0,IF(AND(Mitarbeiter!$F$62&lt;&gt;"",CX$5&gt;Mitarbeiter!$F$62),0,IF(Planung!CX64="",$C64,IF(ISNUMBER(Planung!CX64),Planung!CX64,IF(UPPER(Planung!CX64)="H",$C64/2,0)))))))</f>
        <v>0</v>
      </c>
      <c r="CY64" s="27">
        <f>IF($A64="",0,IF(Mitarbeiter!$G$62=FALSE,0,IF(AND(Mitarbeiter!$E$62&lt;&gt;"",CY$5+6&lt;Mitarbeiter!$E$62),0,IF(AND(Mitarbeiter!$F$62&lt;&gt;"",CY$5&gt;Mitarbeiter!$F$62),0,IF(Planung!CY64="",$C64,IF(ISNUMBER(Planung!CY64),Planung!CY64,IF(UPPER(Planung!CY64)="H",$C64/2,0)))))))</f>
        <v>0</v>
      </c>
      <c r="CZ64" s="27">
        <f>IF($A64="",0,IF(Mitarbeiter!$G$62=FALSE,0,IF(AND(Mitarbeiter!$E$62&lt;&gt;"",CZ$5+6&lt;Mitarbeiter!$E$62),0,IF(AND(Mitarbeiter!$F$62&lt;&gt;"",CZ$5&gt;Mitarbeiter!$F$62),0,IF(Planung!CZ64="",$C64,IF(ISNUMBER(Planung!CZ64),Planung!CZ64,IF(UPPER(Planung!CZ64)="H",$C64/2,0)))))))</f>
        <v>0</v>
      </c>
      <c r="DA64" s="27">
        <f>IF($A64="",0,IF(Mitarbeiter!$G$62=FALSE,0,IF(AND(Mitarbeiter!$E$62&lt;&gt;"",DA$5+6&lt;Mitarbeiter!$E$62),0,IF(AND(Mitarbeiter!$F$62&lt;&gt;"",DA$5&gt;Mitarbeiter!$F$62),0,IF(Planung!DA64="",$C64,IF(ISNUMBER(Planung!DA64),Planung!DA64,IF(UPPER(Planung!DA64)="H",$C64/2,0)))))))</f>
        <v>0</v>
      </c>
      <c r="DB64" s="27">
        <f>IF($A64="",0,IF(Mitarbeiter!$G$62=FALSE,0,IF(AND(Mitarbeiter!$E$62&lt;&gt;"",DB$5+6&lt;Mitarbeiter!$E$62),0,IF(AND(Mitarbeiter!$F$62&lt;&gt;"",DB$5&gt;Mitarbeiter!$F$62),0,IF(Planung!DB64="",$C64,IF(ISNUMBER(Planung!DB64),Planung!DB64,IF(UPPER(Planung!DB64)="H",$C64/2,0)))))))</f>
        <v>0</v>
      </c>
      <c r="DC64" s="27">
        <f>IF($A64="",0,IF(Mitarbeiter!$G$62=FALSE,0,IF(AND(Mitarbeiter!$E$62&lt;&gt;"",DC$5+6&lt;Mitarbeiter!$E$62),0,IF(AND(Mitarbeiter!$F$62&lt;&gt;"",DC$5&gt;Mitarbeiter!$F$62),0,IF(Planung!DC64="",$C64,IF(ISNUMBER(Planung!DC64),Planung!DC64,IF(UPPER(Planung!DC64)="H",$C64/2,0)))))))</f>
        <v>0</v>
      </c>
      <c r="DD64" s="27">
        <f>IF($A64="",0,IF(Mitarbeiter!$G$62=FALSE,0,IF(AND(Mitarbeiter!$E$62&lt;&gt;"",DD$5+6&lt;Mitarbeiter!$E$62),0,IF(AND(Mitarbeiter!$F$62&lt;&gt;"",DD$5&gt;Mitarbeiter!$F$62),0,IF(Planung!DD64="",$C64,IF(ISNUMBER(Planung!DD64),Planung!DD64,IF(UPPER(Planung!DD64)="H",$C64/2,0)))))))</f>
        <v>0</v>
      </c>
      <c r="DE64" s="27">
        <f>IF($A64="",0,IF(Mitarbeiter!$G$62=FALSE,0,IF(AND(Mitarbeiter!$E$62&lt;&gt;"",DE$5+6&lt;Mitarbeiter!$E$62),0,IF(AND(Mitarbeiter!$F$62&lt;&gt;"",DE$5&gt;Mitarbeiter!$F$62),0,IF(Planung!DE64="",$C64,IF(ISNUMBER(Planung!DE64),Planung!DE64,IF(UPPER(Planung!DE64)="H",$C64/2,0)))))))</f>
        <v>0</v>
      </c>
      <c r="DF64" s="27">
        <f>IF($A64="",0,IF(Mitarbeiter!$G$62=FALSE,0,IF(AND(Mitarbeiter!$E$62&lt;&gt;"",DF$5+6&lt;Mitarbeiter!$E$62),0,IF(AND(Mitarbeiter!$F$62&lt;&gt;"",DF$5&gt;Mitarbeiter!$F$62),0,IF(Planung!DF64="",$C64,IF(ISNUMBER(Planung!DF64),Planung!DF64,IF(UPPER(Planung!DF64)="H",$C64/2,0)))))))</f>
        <v>0</v>
      </c>
      <c r="DG64" s="27">
        <f>IF($A64="",0,IF(Mitarbeiter!$G$62=FALSE,0,IF(AND(Mitarbeiter!$E$62&lt;&gt;"",DG$5+6&lt;Mitarbeiter!$E$62),0,IF(AND(Mitarbeiter!$F$62&lt;&gt;"",DG$5&gt;Mitarbeiter!$F$62),0,IF(Planung!DG64="",$C64,IF(ISNUMBER(Planung!DG64),Planung!DG64,IF(UPPER(Planung!DG64)="H",$C64/2,0)))))))</f>
        <v>0</v>
      </c>
      <c r="DH64" s="27">
        <f>IF($A64="",0,IF(Mitarbeiter!$G$62=FALSE,0,IF(AND(Mitarbeiter!$E$62&lt;&gt;"",DH$5+6&lt;Mitarbeiter!$E$62),0,IF(AND(Mitarbeiter!$F$62&lt;&gt;"",DH$5&gt;Mitarbeiter!$F$62),0,IF(Planung!DH64="",$C64,IF(ISNUMBER(Planung!DH64),Planung!DH64,IF(UPPER(Planung!DH64)="H",$C64/2,0)))))))</f>
        <v>0</v>
      </c>
      <c r="DI64" s="27">
        <f>IF($A64="",0,IF(Mitarbeiter!$G$62=FALSE,0,IF(AND(Mitarbeiter!$E$62&lt;&gt;"",DI$5+6&lt;Mitarbeiter!$E$62),0,IF(AND(Mitarbeiter!$F$62&lt;&gt;"",DI$5&gt;Mitarbeiter!$F$62),0,IF(Planung!DI64="",$C64,IF(ISNUMBER(Planung!DI64),Planung!DI64,IF(UPPER(Planung!DI64)="H",$C64/2,0)))))))</f>
        <v>0</v>
      </c>
      <c r="DJ64" s="27">
        <f>IF($A64="",0,IF(Mitarbeiter!$G$62=FALSE,0,IF(AND(Mitarbeiter!$E$62&lt;&gt;"",DJ$5+6&lt;Mitarbeiter!$E$62),0,IF(AND(Mitarbeiter!$F$62&lt;&gt;"",DJ$5&gt;Mitarbeiter!$F$62),0,IF(Planung!DJ64="",$C64,IF(ISNUMBER(Planung!DJ64),Planung!DJ64,IF(UPPER(Planung!DJ64)="H",$C64/2,0)))))))</f>
        <v>0</v>
      </c>
      <c r="DK64" s="27">
        <f>IF($A64="",0,IF(Mitarbeiter!$G$62=FALSE,0,IF(AND(Mitarbeiter!$E$62&lt;&gt;"",DK$5+6&lt;Mitarbeiter!$E$62),0,IF(AND(Mitarbeiter!$F$62&lt;&gt;"",DK$5&gt;Mitarbeiter!$F$62),0,IF(Planung!DK64="",$C64,IF(ISNUMBER(Planung!DK64),Planung!DK64,IF(UPPER(Planung!DK64)="H",$C64/2,0)))))))</f>
        <v>0</v>
      </c>
      <c r="DL64" s="27">
        <f>IF($A64="",0,IF(Mitarbeiter!$G$62=FALSE,0,IF(AND(Mitarbeiter!$E$62&lt;&gt;"",DL$5+6&lt;Mitarbeiter!$E$62),0,IF(AND(Mitarbeiter!$F$62&lt;&gt;"",DL$5&gt;Mitarbeiter!$F$62),0,IF(Planung!DL64="",$C64,IF(ISNUMBER(Planung!DL64),Planung!DL64,IF(UPPER(Planung!DL64)="H",$C64/2,0)))))))</f>
        <v>0</v>
      </c>
      <c r="DM64" s="27">
        <f>IF($A64="",0,IF(Mitarbeiter!$G$62=FALSE,0,IF(AND(Mitarbeiter!$E$62&lt;&gt;"",DM$5+6&lt;Mitarbeiter!$E$62),0,IF(AND(Mitarbeiter!$F$62&lt;&gt;"",DM$5&gt;Mitarbeiter!$F$62),0,IF(Planung!DM64="",$C64,IF(ISNUMBER(Planung!DM64),Planung!DM64,IF(UPPER(Planung!DM64)="H",$C64/2,0)))))))</f>
        <v>0</v>
      </c>
      <c r="DN64" s="27">
        <f>IF($A64="",0,IF(Mitarbeiter!$G$62=FALSE,0,IF(AND(Mitarbeiter!$E$62&lt;&gt;"",DN$5+6&lt;Mitarbeiter!$E$62),0,IF(AND(Mitarbeiter!$F$62&lt;&gt;"",DN$5&gt;Mitarbeiter!$F$62),0,IF(Planung!DN64="",$C64,IF(ISNUMBER(Planung!DN64),Planung!DN64,IF(UPPER(Planung!DN64)="H",$C64/2,0)))))))</f>
        <v>0</v>
      </c>
      <c r="DO64" s="27">
        <f>IF($A64="",0,IF(Mitarbeiter!$G$62=FALSE,0,IF(AND(Mitarbeiter!$E$62&lt;&gt;"",DO$5+6&lt;Mitarbeiter!$E$62),0,IF(AND(Mitarbeiter!$F$62&lt;&gt;"",DO$5&gt;Mitarbeiter!$F$62),0,IF(Planung!DO64="",$C64,IF(ISNUMBER(Planung!DO64),Planung!DO64,IF(UPPER(Planung!DO64)="H",$C64/2,0)))))))</f>
        <v>0</v>
      </c>
      <c r="DP64" s="27">
        <f>IF($A64="",0,IF(Mitarbeiter!$G$62=FALSE,0,IF(AND(Mitarbeiter!$E$62&lt;&gt;"",DP$5+6&lt;Mitarbeiter!$E$62),0,IF(AND(Mitarbeiter!$F$62&lt;&gt;"",DP$5&gt;Mitarbeiter!$F$62),0,IF(Planung!DP64="",$C64,IF(ISNUMBER(Planung!DP64),Planung!DP64,IF(UPPER(Planung!DP64)="H",$C64/2,0)))))))</f>
        <v>0</v>
      </c>
      <c r="DQ64" s="27">
        <f>IF($A64="",0,IF(Mitarbeiter!$G$62=FALSE,0,IF(AND(Mitarbeiter!$E$62&lt;&gt;"",DQ$5+6&lt;Mitarbeiter!$E$62),0,IF(AND(Mitarbeiter!$F$62&lt;&gt;"",DQ$5&gt;Mitarbeiter!$F$62),0,IF(Planung!DQ64="",$C64,IF(ISNUMBER(Planung!DQ64),Planung!DQ64,IF(UPPER(Planung!DQ64)="H",$C64/2,0)))))))</f>
        <v>0</v>
      </c>
      <c r="DR64" s="27">
        <f>IF($A64="",0,IF(Mitarbeiter!$G$62=FALSE,0,IF(AND(Mitarbeiter!$E$62&lt;&gt;"",DR$5+6&lt;Mitarbeiter!$E$62),0,IF(AND(Mitarbeiter!$F$62&lt;&gt;"",DR$5&gt;Mitarbeiter!$F$62),0,IF(Planung!DR64="",$C64,IF(ISNUMBER(Planung!DR64),Planung!DR64,IF(UPPER(Planung!DR64)="H",$C64/2,0)))))))</f>
        <v>0</v>
      </c>
      <c r="DS64" s="27">
        <f>IF($A64="",0,IF(Mitarbeiter!$G$62=FALSE,0,IF(AND(Mitarbeiter!$E$62&lt;&gt;"",DS$5+6&lt;Mitarbeiter!$E$62),0,IF(AND(Mitarbeiter!$F$62&lt;&gt;"",DS$5&gt;Mitarbeiter!$F$62),0,IF(Planung!DS64="",$C64,IF(ISNUMBER(Planung!DS64),Planung!DS64,IF(UPPER(Planung!DS64)="H",$C64/2,0)))))))</f>
        <v>0</v>
      </c>
      <c r="DT64" s="27">
        <f>IF($A64="",0,IF(Mitarbeiter!$G$62=FALSE,0,IF(AND(Mitarbeiter!$E$62&lt;&gt;"",DT$5+6&lt;Mitarbeiter!$E$62),0,IF(AND(Mitarbeiter!$F$62&lt;&gt;"",DT$5&gt;Mitarbeiter!$F$62),0,IF(Planung!DT64="",$C64,IF(ISNUMBER(Planung!DT64),Planung!DT64,IF(UPPER(Planung!DT64)="H",$C64/2,0)))))))</f>
        <v>0</v>
      </c>
      <c r="DU64" s="27">
        <f>IF($A64="",0,IF(Mitarbeiter!$G$62=FALSE,0,IF(AND(Mitarbeiter!$E$62&lt;&gt;"",DU$5+6&lt;Mitarbeiter!$E$62),0,IF(AND(Mitarbeiter!$F$62&lt;&gt;"",DU$5&gt;Mitarbeiter!$F$62),0,IF(Planung!DU64="",$C64,IF(ISNUMBER(Planung!DU64),Planung!DU64,IF(UPPER(Planung!DU64)="H",$C64/2,0)))))))</f>
        <v>0</v>
      </c>
      <c r="DV64" s="27">
        <f>IF($A64="",0,IF(Mitarbeiter!$G$62=FALSE,0,IF(AND(Mitarbeiter!$E$62&lt;&gt;"",DV$5+6&lt;Mitarbeiter!$E$62),0,IF(AND(Mitarbeiter!$F$62&lt;&gt;"",DV$5&gt;Mitarbeiter!$F$62),0,IF(Planung!DV64="",$C64,IF(ISNUMBER(Planung!DV64),Planung!DV64,IF(UPPER(Planung!DV64)="H",$C64/2,0)))))))</f>
        <v>0</v>
      </c>
      <c r="DW64" s="27">
        <f>IF($A64="",0,IF(Mitarbeiter!$G$62=FALSE,0,IF(AND(Mitarbeiter!$E$62&lt;&gt;"",DW$5+6&lt;Mitarbeiter!$E$62),0,IF(AND(Mitarbeiter!$F$62&lt;&gt;"",DW$5&gt;Mitarbeiter!$F$62),0,IF(Planung!DW64="",$C64,IF(ISNUMBER(Planung!DW64),Planung!DW64,IF(UPPER(Planung!DW64)="H",$C64/2,0)))))))</f>
        <v>0</v>
      </c>
      <c r="DX64" s="27">
        <f>IF($A64="",0,IF(Mitarbeiter!$G$62=FALSE,0,IF(AND(Mitarbeiter!$E$62&lt;&gt;"",DX$5+6&lt;Mitarbeiter!$E$62),0,IF(AND(Mitarbeiter!$F$62&lt;&gt;"",DX$5&gt;Mitarbeiter!$F$62),0,IF(Planung!DX64="",$C64,IF(ISNUMBER(Planung!DX64),Planung!DX64,IF(UPPER(Planung!DX64)="H",$C64/2,0)))))))</f>
        <v>0</v>
      </c>
      <c r="DY64" s="27">
        <f>IF($A64="",0,IF(Mitarbeiter!$G$62=FALSE,0,IF(AND(Mitarbeiter!$E$62&lt;&gt;"",DY$5+6&lt;Mitarbeiter!$E$62),0,IF(AND(Mitarbeiter!$F$62&lt;&gt;"",DY$5&gt;Mitarbeiter!$F$62),0,IF(Planung!DY64="",$C64,IF(ISNUMBER(Planung!DY64),Planung!DY64,IF(UPPER(Planung!DY64)="H",$C64/2,0)))))))</f>
        <v>0</v>
      </c>
      <c r="DZ64" s="27">
        <f>IF($A64="",0,IF(Mitarbeiter!$G$62=FALSE,0,IF(AND(Mitarbeiter!$E$62&lt;&gt;"",DZ$5+6&lt;Mitarbeiter!$E$62),0,IF(AND(Mitarbeiter!$F$62&lt;&gt;"",DZ$5&gt;Mitarbeiter!$F$62),0,IF(Planung!DZ64="",$C64,IF(ISNUMBER(Planung!DZ64),Planung!DZ64,IF(UPPER(Planung!DZ64)="H",$C64/2,0)))))))</f>
        <v>0</v>
      </c>
      <c r="EA64" s="27">
        <f>IF($A64="",0,IF(Mitarbeiter!$G$62=FALSE,0,IF(AND(Mitarbeiter!$E$62&lt;&gt;"",EA$5+6&lt;Mitarbeiter!$E$62),0,IF(AND(Mitarbeiter!$F$62&lt;&gt;"",EA$5&gt;Mitarbeiter!$F$62),0,IF(Planung!EA64="",$C64,IF(ISNUMBER(Planung!EA64),Planung!EA64,IF(UPPER(Planung!EA64)="H",$C64/2,0)))))))</f>
        <v>0</v>
      </c>
      <c r="EB64" s="27">
        <f>IF($A64="",0,IF(Mitarbeiter!$G$62=FALSE,0,IF(AND(Mitarbeiter!$E$62&lt;&gt;"",EB$5+6&lt;Mitarbeiter!$E$62),0,IF(AND(Mitarbeiter!$F$62&lt;&gt;"",EB$5&gt;Mitarbeiter!$F$62),0,IF(Planung!EB64="",$C64,IF(ISNUMBER(Planung!EB64),Planung!EB64,IF(UPPER(Planung!EB64)="H",$C64/2,0)))))))</f>
        <v>0</v>
      </c>
      <c r="EC64" s="27">
        <f>IF($A64="",0,IF(Mitarbeiter!$G$62=FALSE,0,IF(AND(Mitarbeiter!$E$62&lt;&gt;"",EC$5+6&lt;Mitarbeiter!$E$62),0,IF(AND(Mitarbeiter!$F$62&lt;&gt;"",EC$5&gt;Mitarbeiter!$F$62),0,IF(Planung!EC64="",$C64,IF(ISNUMBER(Planung!EC64),Planung!EC64,IF(UPPER(Planung!EC64)="H",$C64/2,0)))))))</f>
        <v>0</v>
      </c>
      <c r="ED64" s="27">
        <f>IF($A64="",0,IF(Mitarbeiter!$G$62=FALSE,0,IF(AND(Mitarbeiter!$E$62&lt;&gt;"",ED$5+6&lt;Mitarbeiter!$E$62),0,IF(AND(Mitarbeiter!$F$62&lt;&gt;"",ED$5&gt;Mitarbeiter!$F$62),0,IF(Planung!ED64="",$C64,IF(ISNUMBER(Planung!ED64),Planung!ED64,IF(UPPER(Planung!ED64)="H",$C64/2,0)))))))</f>
        <v>0</v>
      </c>
      <c r="EE64" s="27">
        <f>IF($A64="",0,IF(Mitarbeiter!$G$62=FALSE,0,IF(AND(Mitarbeiter!$E$62&lt;&gt;"",EE$5+6&lt;Mitarbeiter!$E$62),0,IF(AND(Mitarbeiter!$F$62&lt;&gt;"",EE$5&gt;Mitarbeiter!$F$62),0,IF(Planung!EE64="",$C64,IF(ISNUMBER(Planung!EE64),Planung!EE64,IF(UPPER(Planung!EE64)="H",$C64/2,0)))))))</f>
        <v>0</v>
      </c>
      <c r="EF64" s="27">
        <f>IF($A64="",0,IF(Mitarbeiter!$G$62=FALSE,0,IF(AND(Mitarbeiter!$E$62&lt;&gt;"",EF$5+6&lt;Mitarbeiter!$E$62),0,IF(AND(Mitarbeiter!$F$62&lt;&gt;"",EF$5&gt;Mitarbeiter!$F$62),0,IF(Planung!EF64="",$C64,IF(ISNUMBER(Planung!EF64),Planung!EF64,IF(UPPER(Planung!EF64)="H",$C64/2,0)))))))</f>
        <v>0</v>
      </c>
      <c r="EG64" s="27">
        <f>IF($A64="",0,IF(Mitarbeiter!$G$62=FALSE,0,IF(AND(Mitarbeiter!$E$62&lt;&gt;"",EG$5+6&lt;Mitarbeiter!$E$62),0,IF(AND(Mitarbeiter!$F$62&lt;&gt;"",EG$5&gt;Mitarbeiter!$F$62),0,IF(Planung!EG64="",$C64,IF(ISNUMBER(Planung!EG64),Planung!EG64,IF(UPPER(Planung!EG64)="H",$C64/2,0)))))))</f>
        <v>0</v>
      </c>
      <c r="EH64" s="27">
        <f>IF($A64="",0,IF(Mitarbeiter!$G$62=FALSE,0,IF(AND(Mitarbeiter!$E$62&lt;&gt;"",EH$5+6&lt;Mitarbeiter!$E$62),0,IF(AND(Mitarbeiter!$F$62&lt;&gt;"",EH$5&gt;Mitarbeiter!$F$62),0,IF(Planung!EH64="",$C64,IF(ISNUMBER(Planung!EH64),Planung!EH64,IF(UPPER(Planung!EH64)="H",$C64/2,0)))))))</f>
        <v>0</v>
      </c>
      <c r="EI64" s="27">
        <f>IF($A64="",0,IF(Mitarbeiter!$G$62=FALSE,0,IF(AND(Mitarbeiter!$E$62&lt;&gt;"",EI$5+6&lt;Mitarbeiter!$E$62),0,IF(AND(Mitarbeiter!$F$62&lt;&gt;"",EI$5&gt;Mitarbeiter!$F$62),0,IF(Planung!EI64="",$C64,IF(ISNUMBER(Planung!EI64),Planung!EI64,IF(UPPER(Planung!EI64)="H",$C64/2,0)))))))</f>
        <v>0</v>
      </c>
      <c r="EJ64" s="27">
        <f>IF($A64="",0,IF(Mitarbeiter!$G$62=FALSE,0,IF(AND(Mitarbeiter!$E$62&lt;&gt;"",EJ$5+6&lt;Mitarbeiter!$E$62),0,IF(AND(Mitarbeiter!$F$62&lt;&gt;"",EJ$5&gt;Mitarbeiter!$F$62),0,IF(Planung!EJ64="",$C64,IF(ISNUMBER(Planung!EJ64),Planung!EJ64,IF(UPPER(Planung!EJ64)="H",$C64/2,0)))))))</f>
        <v>0</v>
      </c>
      <c r="EK64" s="27">
        <f>IF($A64="",0,IF(Mitarbeiter!$G$62=FALSE,0,IF(AND(Mitarbeiter!$E$62&lt;&gt;"",EK$5+6&lt;Mitarbeiter!$E$62),0,IF(AND(Mitarbeiter!$F$62&lt;&gt;"",EK$5&gt;Mitarbeiter!$F$62),0,IF(Planung!EK64="",$C64,IF(ISNUMBER(Planung!EK64),Planung!EK64,IF(UPPER(Planung!EK64)="H",$C64/2,0)))))))</f>
        <v>0</v>
      </c>
      <c r="EL64" s="27">
        <f>IF($A64="",0,IF(Mitarbeiter!$G$62=FALSE,0,IF(AND(Mitarbeiter!$E$62&lt;&gt;"",EL$5+6&lt;Mitarbeiter!$E$62),0,IF(AND(Mitarbeiter!$F$62&lt;&gt;"",EL$5&gt;Mitarbeiter!$F$62),0,IF(Planung!EL64="",$C64,IF(ISNUMBER(Planung!EL64),Planung!EL64,IF(UPPER(Planung!EL64)="H",$C64/2,0)))))))</f>
        <v>0</v>
      </c>
      <c r="EM64" s="27">
        <f>IF($A64="",0,IF(Mitarbeiter!$G$62=FALSE,0,IF(AND(Mitarbeiter!$E$62&lt;&gt;"",EM$5+6&lt;Mitarbeiter!$E$62),0,IF(AND(Mitarbeiter!$F$62&lt;&gt;"",EM$5&gt;Mitarbeiter!$F$62),0,IF(Planung!EM64="",$C64,IF(ISNUMBER(Planung!EM64),Planung!EM64,IF(UPPER(Planung!EM64)="H",$C64/2,0)))))))</f>
        <v>0</v>
      </c>
      <c r="EN64" s="27">
        <f>IF($A64="",0,IF(Mitarbeiter!$G$62=FALSE,0,IF(AND(Mitarbeiter!$E$62&lt;&gt;"",EN$5+6&lt;Mitarbeiter!$E$62),0,IF(AND(Mitarbeiter!$F$62&lt;&gt;"",EN$5&gt;Mitarbeiter!$F$62),0,IF(Planung!EN64="",$C64,IF(ISNUMBER(Planung!EN64),Planung!EN64,IF(UPPER(Planung!EN64)="H",$C64/2,0)))))))</f>
        <v>0</v>
      </c>
      <c r="EO64" s="27">
        <f>IF($A64="",0,IF(Mitarbeiter!$G$62=FALSE,0,IF(AND(Mitarbeiter!$E$62&lt;&gt;"",EO$5+6&lt;Mitarbeiter!$E$62),0,IF(AND(Mitarbeiter!$F$62&lt;&gt;"",EO$5&gt;Mitarbeiter!$F$62),0,IF(Planung!EO64="",$C64,IF(ISNUMBER(Planung!EO64),Planung!EO64,IF(UPPER(Planung!EO64)="H",$C64/2,0)))))))</f>
        <v>0</v>
      </c>
      <c r="EP64" s="27">
        <f>IF($A64="",0,IF(Mitarbeiter!$G$62=FALSE,0,IF(AND(Mitarbeiter!$E$62&lt;&gt;"",EP$5+6&lt;Mitarbeiter!$E$62),0,IF(AND(Mitarbeiter!$F$62&lt;&gt;"",EP$5&gt;Mitarbeiter!$F$62),0,IF(Planung!EP64="",$C64,IF(ISNUMBER(Planung!EP64),Planung!EP64,IF(UPPER(Planung!EP64)="H",$C64/2,0)))))))</f>
        <v>0</v>
      </c>
      <c r="EQ64" s="27">
        <f>IF($A64="",0,IF(Mitarbeiter!$G$62=FALSE,0,IF(AND(Mitarbeiter!$E$62&lt;&gt;"",EQ$5+6&lt;Mitarbeiter!$E$62),0,IF(AND(Mitarbeiter!$F$62&lt;&gt;"",EQ$5&gt;Mitarbeiter!$F$62),0,IF(Planung!EQ64="",$C64,IF(ISNUMBER(Planung!EQ64),Planung!EQ64,IF(UPPER(Planung!EQ64)="H",$C64/2,0)))))))</f>
        <v>0</v>
      </c>
      <c r="ER64" s="27">
        <f>IF($A64="",0,IF(Mitarbeiter!$G$62=FALSE,0,IF(AND(Mitarbeiter!$E$62&lt;&gt;"",ER$5+6&lt;Mitarbeiter!$E$62),0,IF(AND(Mitarbeiter!$F$62&lt;&gt;"",ER$5&gt;Mitarbeiter!$F$62),0,IF(Planung!ER64="",$C64,IF(ISNUMBER(Planung!ER64),Planung!ER64,IF(UPPER(Planung!ER64)="H",$C64/2,0)))))))</f>
        <v>0</v>
      </c>
      <c r="ES64" s="27">
        <f>IF($A64="",0,IF(Mitarbeiter!$G$62=FALSE,0,IF(AND(Mitarbeiter!$E$62&lt;&gt;"",ES$5+6&lt;Mitarbeiter!$E$62),0,IF(AND(Mitarbeiter!$F$62&lt;&gt;"",ES$5&gt;Mitarbeiter!$F$62),0,IF(Planung!ES64="",$C64,IF(ISNUMBER(Planung!ES64),Planung!ES64,IF(UPPER(Planung!ES64)="H",$C64/2,0)))))))</f>
        <v>0</v>
      </c>
      <c r="ET64" s="27">
        <f>IF($A64="",0,IF(Mitarbeiter!$G$62=FALSE,0,IF(AND(Mitarbeiter!$E$62&lt;&gt;"",ET$5+6&lt;Mitarbeiter!$E$62),0,IF(AND(Mitarbeiter!$F$62&lt;&gt;"",ET$5&gt;Mitarbeiter!$F$62),0,IF(Planung!ET64="",$C64,IF(ISNUMBER(Planung!ET64),Planung!ET64,IF(UPPER(Planung!ET64)="H",$C64/2,0)))))))</f>
        <v>0</v>
      </c>
      <c r="EU64" s="27">
        <f>IF($A64="",0,IF(Mitarbeiter!$G$62=FALSE,0,IF(AND(Mitarbeiter!$E$62&lt;&gt;"",EU$5+6&lt;Mitarbeiter!$E$62),0,IF(AND(Mitarbeiter!$F$62&lt;&gt;"",EU$5&gt;Mitarbeiter!$F$62),0,IF(Planung!EU64="",$C64,IF(ISNUMBER(Planung!EU64),Planung!EU64,IF(UPPER(Planung!EU64)="H",$C64/2,0)))))))</f>
        <v>0</v>
      </c>
      <c r="EV64" s="27">
        <f>IF($A64="",0,IF(Mitarbeiter!$G$62=FALSE,0,IF(AND(Mitarbeiter!$E$62&lt;&gt;"",EV$5+6&lt;Mitarbeiter!$E$62),0,IF(AND(Mitarbeiter!$F$62&lt;&gt;"",EV$5&gt;Mitarbeiter!$F$62),0,IF(Planung!EV64="",$C64,IF(ISNUMBER(Planung!EV64),Planung!EV64,IF(UPPER(Planung!EV64)="H",$C64/2,0)))))))</f>
        <v>0</v>
      </c>
      <c r="EW64" s="27">
        <f>IF($A64="",0,IF(Mitarbeiter!$G$62=FALSE,0,IF(AND(Mitarbeiter!$E$62&lt;&gt;"",EW$5+6&lt;Mitarbeiter!$E$62),0,IF(AND(Mitarbeiter!$F$62&lt;&gt;"",EW$5&gt;Mitarbeiter!$F$62),0,IF(Planung!EW64="",$C64,IF(ISNUMBER(Planung!EW64),Planung!EW64,IF(UPPER(Planung!EW64)="H",$C64/2,0)))))))</f>
        <v>0</v>
      </c>
      <c r="EX64" s="27">
        <f>IF($A64="",0,IF(Mitarbeiter!$G$62=FALSE,0,IF(AND(Mitarbeiter!$E$62&lt;&gt;"",EX$5+6&lt;Mitarbeiter!$E$62),0,IF(AND(Mitarbeiter!$F$62&lt;&gt;"",EX$5&gt;Mitarbeiter!$F$62),0,IF(Planung!EX64="",$C64,IF(ISNUMBER(Planung!EX64),Planung!EX64,IF(UPPER(Planung!EX64)="H",$C64/2,0)))))))</f>
        <v>0</v>
      </c>
      <c r="EY64" s="27">
        <f>IF($A64="",0,IF(Mitarbeiter!$G$62=FALSE,0,IF(AND(Mitarbeiter!$E$62&lt;&gt;"",EY$5+6&lt;Mitarbeiter!$E$62),0,IF(AND(Mitarbeiter!$F$62&lt;&gt;"",EY$5&gt;Mitarbeiter!$F$62),0,IF(Planung!EY64="",$C64,IF(ISNUMBER(Planung!EY64),Planung!EY64,IF(UPPER(Planung!EY64)="H",$C64/2,0)))))))</f>
        <v>0</v>
      </c>
      <c r="EZ64" s="27">
        <f>IF($A64="",0,IF(Mitarbeiter!$G$62=FALSE,0,IF(AND(Mitarbeiter!$E$62&lt;&gt;"",EZ$5+6&lt;Mitarbeiter!$E$62),0,IF(AND(Mitarbeiter!$F$62&lt;&gt;"",EZ$5&gt;Mitarbeiter!$F$62),0,IF(Planung!EZ64="",$C64,IF(ISNUMBER(Planung!EZ64),Planung!EZ64,IF(UPPER(Planung!EZ64)="H",$C64/2,0)))))))</f>
        <v>0</v>
      </c>
      <c r="FA64" s="27">
        <f>IF($A64="",0,IF(Mitarbeiter!$G$62=FALSE,0,IF(AND(Mitarbeiter!$E$62&lt;&gt;"",FA$5+6&lt;Mitarbeiter!$E$62),0,IF(AND(Mitarbeiter!$F$62&lt;&gt;"",FA$5&gt;Mitarbeiter!$F$62),0,IF(Planung!FA64="",$C64,IF(ISNUMBER(Planung!FA64),Planung!FA64,IF(UPPER(Planung!FA64)="H",$C64/2,0)))))))</f>
        <v>0</v>
      </c>
      <c r="FB64" s="27">
        <f>IF($A64="",0,IF(Mitarbeiter!$G$62=FALSE,0,IF(AND(Mitarbeiter!$E$62&lt;&gt;"",FB$5+6&lt;Mitarbeiter!$E$62),0,IF(AND(Mitarbeiter!$F$62&lt;&gt;"",FB$5&gt;Mitarbeiter!$F$62),0,IF(Planung!FB64="",$C64,IF(ISNUMBER(Planung!FB64),Planung!FB64,IF(UPPER(Planung!FB64)="H",$C64/2,0)))))))</f>
        <v>0</v>
      </c>
      <c r="FC64" s="27">
        <f>IF($A64="",0,IF(Mitarbeiter!$G$62=FALSE,0,IF(AND(Mitarbeiter!$E$62&lt;&gt;"",FC$5+6&lt;Mitarbeiter!$E$62),0,IF(AND(Mitarbeiter!$F$62&lt;&gt;"",FC$5&gt;Mitarbeiter!$F$62),0,IF(Planung!FC64="",$C64,IF(ISNUMBER(Planung!FC64),Planung!FC64,IF(UPPER(Planung!FC64)="H",$C64/2,0)))))))</f>
        <v>0</v>
      </c>
      <c r="FD64" s="27">
        <f>IF($A64="",0,IF(Mitarbeiter!$G$62=FALSE,0,IF(AND(Mitarbeiter!$E$62&lt;&gt;"",FD$5+6&lt;Mitarbeiter!$E$62),0,IF(AND(Mitarbeiter!$F$62&lt;&gt;"",FD$5&gt;Mitarbeiter!$F$62),0,IF(Planung!FD64="",$C64,IF(ISNUMBER(Planung!FD64),Planung!FD64,IF(UPPER(Planung!FD64)="H",$C64/2,0)))))))</f>
        <v>0</v>
      </c>
      <c r="FE64" s="27">
        <f>IF($A64="",0,IF(Mitarbeiter!$G$62=FALSE,0,IF(AND(Mitarbeiter!$E$62&lt;&gt;"",FE$5+6&lt;Mitarbeiter!$E$62),0,IF(AND(Mitarbeiter!$F$62&lt;&gt;"",FE$5&gt;Mitarbeiter!$F$62),0,IF(Planung!FE64="",$C64,IF(ISNUMBER(Planung!FE64),Planung!FE64,IF(UPPER(Planung!FE64)="H",$C64/2,0)))))))</f>
        <v>0</v>
      </c>
      <c r="FF64" s="27">
        <f>IF($A64="",0,IF(Mitarbeiter!$G$62=FALSE,0,IF(AND(Mitarbeiter!$E$62&lt;&gt;"",FF$5+6&lt;Mitarbeiter!$E$62),0,IF(AND(Mitarbeiter!$F$62&lt;&gt;"",FF$5&gt;Mitarbeiter!$F$62),0,IF(Planung!FF64="",$C64,IF(ISNUMBER(Planung!FF64),Planung!FF64,IF(UPPER(Planung!FF64)="H",$C64/2,0)))))))</f>
        <v>0</v>
      </c>
      <c r="FG64" s="27">
        <f>IF($A64="",0,IF(Mitarbeiter!$G$62=FALSE,0,IF(AND(Mitarbeiter!$E$62&lt;&gt;"",FG$5+6&lt;Mitarbeiter!$E$62),0,IF(AND(Mitarbeiter!$F$62&lt;&gt;"",FG$5&gt;Mitarbeiter!$F$62),0,IF(Planung!FG64="",$C64,IF(ISNUMBER(Planung!FG64),Planung!FG64,IF(UPPER(Planung!FG64)="H",$C64/2,0)))))))</f>
        <v>0</v>
      </c>
      <c r="FH64" s="27">
        <f>IF($A64="",0,IF(Mitarbeiter!$G$62=FALSE,0,IF(AND(Mitarbeiter!$E$62&lt;&gt;"",FH$5+6&lt;Mitarbeiter!$E$62),0,IF(AND(Mitarbeiter!$F$62&lt;&gt;"",FH$5&gt;Mitarbeiter!$F$62),0,IF(Planung!FH64="",$C64,IF(ISNUMBER(Planung!FH64),Planung!FH64,IF(UPPER(Planung!FH64)="H",$C64/2,0)))))))</f>
        <v>0</v>
      </c>
      <c r="FI64" s="27">
        <f>IF($A64="",0,IF(Mitarbeiter!$G$62=FALSE,0,IF(AND(Mitarbeiter!$E$62&lt;&gt;"",FI$5+6&lt;Mitarbeiter!$E$62),0,IF(AND(Mitarbeiter!$F$62&lt;&gt;"",FI$5&gt;Mitarbeiter!$F$62),0,IF(Planung!FI64="",$C64,IF(ISNUMBER(Planung!FI64),Planung!FI64,IF(UPPER(Planung!FI64)="H",$C64/2,0)))))))</f>
        <v>0</v>
      </c>
      <c r="FJ64" s="27">
        <f>IF($A64="",0,IF(Mitarbeiter!$G$62=FALSE,0,IF(AND(Mitarbeiter!$E$62&lt;&gt;"",FJ$5+6&lt;Mitarbeiter!$E$62),0,IF(AND(Mitarbeiter!$F$62&lt;&gt;"",FJ$5&gt;Mitarbeiter!$F$62),0,IF(Planung!FJ64="",$C64,IF(ISNUMBER(Planung!FJ64),Planung!FJ64,IF(UPPER(Planung!FJ64)="H",$C64/2,0)))))))</f>
        <v>0</v>
      </c>
      <c r="FK64" s="27">
        <f>IF($A64="",0,IF(Mitarbeiter!$G$62=FALSE,0,IF(AND(Mitarbeiter!$E$62&lt;&gt;"",FK$5+6&lt;Mitarbeiter!$E$62),0,IF(AND(Mitarbeiter!$F$62&lt;&gt;"",FK$5&gt;Mitarbeiter!$F$62),0,IF(Planung!FK64="",$C64,IF(ISNUMBER(Planung!FK64),Planung!FK64,IF(UPPER(Planung!FK64)="H",$C64/2,0)))))))</f>
        <v>0</v>
      </c>
      <c r="FL64" s="27">
        <f>IF($A64="",0,IF(Mitarbeiter!$G$62=FALSE,0,IF(AND(Mitarbeiter!$E$62&lt;&gt;"",FL$5+6&lt;Mitarbeiter!$E$62),0,IF(AND(Mitarbeiter!$F$62&lt;&gt;"",FL$5&gt;Mitarbeiter!$F$62),0,IF(Planung!FL64="",$C64,IF(ISNUMBER(Planung!FL64),Planung!FL64,IF(UPPER(Planung!FL64)="H",$C64/2,0)))))))</f>
        <v>0</v>
      </c>
      <c r="FM64" s="27">
        <f>IF($A64="",0,IF(Mitarbeiter!$G$62=FALSE,0,IF(AND(Mitarbeiter!$E$62&lt;&gt;"",FM$5+6&lt;Mitarbeiter!$E$62),0,IF(AND(Mitarbeiter!$F$62&lt;&gt;"",FM$5&gt;Mitarbeiter!$F$62),0,IF(Planung!FM64="",$C64,IF(ISNUMBER(Planung!FM64),Planung!FM64,IF(UPPER(Planung!FM64)="H",$C64/2,0)))))))</f>
        <v>0</v>
      </c>
      <c r="FN64" s="27">
        <f>IF($A64="",0,IF(Mitarbeiter!$G$62=FALSE,0,IF(AND(Mitarbeiter!$E$62&lt;&gt;"",FN$5+6&lt;Mitarbeiter!$E$62),0,IF(AND(Mitarbeiter!$F$62&lt;&gt;"",FN$5&gt;Mitarbeiter!$F$62),0,IF(Planung!FN64="",$C64,IF(ISNUMBER(Planung!FN64),Planung!FN64,IF(UPPER(Planung!FN64)="H",$C64/2,0)))))))</f>
        <v>0</v>
      </c>
      <c r="FO64" s="27">
        <f>IF($A64="",0,IF(Mitarbeiter!$G$62=FALSE,0,IF(AND(Mitarbeiter!$E$62&lt;&gt;"",FO$5+6&lt;Mitarbeiter!$E$62),0,IF(AND(Mitarbeiter!$F$62&lt;&gt;"",FO$5&gt;Mitarbeiter!$F$62),0,IF(Planung!FO64="",$C64,IF(ISNUMBER(Planung!FO64),Planung!FO64,IF(UPPER(Planung!FO64)="H",$C64/2,0)))))))</f>
        <v>0</v>
      </c>
      <c r="FP64" s="27">
        <f>IF($A64="",0,IF(Mitarbeiter!$G$62=FALSE,0,IF(AND(Mitarbeiter!$E$62&lt;&gt;"",FP$5+6&lt;Mitarbeiter!$E$62),0,IF(AND(Mitarbeiter!$F$62&lt;&gt;"",FP$5&gt;Mitarbeiter!$F$62),0,IF(Planung!FP64="",$C64,IF(ISNUMBER(Planung!FP64),Planung!FP64,IF(UPPER(Planung!FP64)="H",$C64/2,0)))))))</f>
        <v>0</v>
      </c>
      <c r="FQ64" s="27">
        <f>IF($A64="",0,IF(Mitarbeiter!$G$62=FALSE,0,IF(AND(Mitarbeiter!$E$62&lt;&gt;"",FQ$5+6&lt;Mitarbeiter!$E$62),0,IF(AND(Mitarbeiter!$F$62&lt;&gt;"",FQ$5&gt;Mitarbeiter!$F$62),0,IF(Planung!FQ64="",$C64,IF(ISNUMBER(Planung!FQ64),Planung!FQ64,IF(UPPER(Planung!FQ64)="H",$C64/2,0)))))))</f>
        <v>0</v>
      </c>
      <c r="FR64" s="27">
        <f>IF($A64="",0,IF(Mitarbeiter!$G$62=FALSE,0,IF(AND(Mitarbeiter!$E$62&lt;&gt;"",FR$5+6&lt;Mitarbeiter!$E$62),0,IF(AND(Mitarbeiter!$F$62&lt;&gt;"",FR$5&gt;Mitarbeiter!$F$62),0,IF(Planung!FR64="",$C64,IF(ISNUMBER(Planung!FR64),Planung!FR64,IF(UPPER(Planung!FR64)="H",$C64/2,0)))))))</f>
        <v>0</v>
      </c>
      <c r="FS64" s="27">
        <f>IF($A64="",0,IF(Mitarbeiter!$G$62=FALSE,0,IF(AND(Mitarbeiter!$E$62&lt;&gt;"",FS$5+6&lt;Mitarbeiter!$E$62),0,IF(AND(Mitarbeiter!$F$62&lt;&gt;"",FS$5&gt;Mitarbeiter!$F$62),0,IF(Planung!FS64="",$C64,IF(ISNUMBER(Planung!FS64),Planung!FS64,IF(UPPER(Planung!FS64)="H",$C64/2,0)))))))</f>
        <v>0</v>
      </c>
      <c r="FT64" s="27">
        <f>IF($A64="",0,IF(Mitarbeiter!$G$62=FALSE,0,IF(AND(Mitarbeiter!$E$62&lt;&gt;"",FT$5+6&lt;Mitarbeiter!$E$62),0,IF(AND(Mitarbeiter!$F$62&lt;&gt;"",FT$5&gt;Mitarbeiter!$F$62),0,IF(Planung!FT64="",$C64,IF(ISNUMBER(Planung!FT64),Planung!FT64,IF(UPPER(Planung!FT64)="H",$C64/2,0)))))))</f>
        <v>0</v>
      </c>
      <c r="FU64" s="27">
        <f>IF($A64="",0,IF(Mitarbeiter!$G$62=FALSE,0,IF(AND(Mitarbeiter!$E$62&lt;&gt;"",FU$5+6&lt;Mitarbeiter!$E$62),0,IF(AND(Mitarbeiter!$F$62&lt;&gt;"",FU$5&gt;Mitarbeiter!$F$62),0,IF(Planung!FU64="",$C64,IF(ISNUMBER(Planung!FU64),Planung!FU64,IF(UPPER(Planung!FU64)="H",$C64/2,0)))))))</f>
        <v>0</v>
      </c>
      <c r="FV64" s="27">
        <f>IF($A64="",0,IF(Mitarbeiter!$G$62=FALSE,0,IF(AND(Mitarbeiter!$E$62&lt;&gt;"",FV$5+6&lt;Mitarbeiter!$E$62),0,IF(AND(Mitarbeiter!$F$62&lt;&gt;"",FV$5&gt;Mitarbeiter!$F$62),0,IF(Planung!FV64="",$C64,IF(ISNUMBER(Planung!FV64),Planung!FV64,IF(UPPER(Planung!FV64)="H",$C64/2,0)))))))</f>
        <v>0</v>
      </c>
      <c r="FW64" s="27">
        <f>IF($A64="",0,IF(Mitarbeiter!$G$62=FALSE,0,IF(AND(Mitarbeiter!$E$62&lt;&gt;"",FW$5+6&lt;Mitarbeiter!$E$62),0,IF(AND(Mitarbeiter!$F$62&lt;&gt;"",FW$5&gt;Mitarbeiter!$F$62),0,IF(Planung!FW64="",$C64,IF(ISNUMBER(Planung!FW64),Planung!FW64,IF(UPPER(Planung!FW64)="H",$C64/2,0)))))))</f>
        <v>0</v>
      </c>
      <c r="FX64" s="27">
        <f>IF($A64="",0,IF(Mitarbeiter!$G$62=FALSE,0,IF(AND(Mitarbeiter!$E$62&lt;&gt;"",FX$5+6&lt;Mitarbeiter!$E$62),0,IF(AND(Mitarbeiter!$F$62&lt;&gt;"",FX$5&gt;Mitarbeiter!$F$62),0,IF(Planung!FX64="",$C64,IF(ISNUMBER(Planung!FX64),Planung!FX64,IF(UPPER(Planung!FX64)="H",$C64/2,0)))))))</f>
        <v>0</v>
      </c>
      <c r="FY64" s="27">
        <f>IF($A64="",0,IF(Mitarbeiter!$G$62=FALSE,0,IF(AND(Mitarbeiter!$E$62&lt;&gt;"",FY$5+6&lt;Mitarbeiter!$E$62),0,IF(AND(Mitarbeiter!$F$62&lt;&gt;"",FY$5&gt;Mitarbeiter!$F$62),0,IF(Planung!FY64="",$C64,IF(ISNUMBER(Planung!FY64),Planung!FY64,IF(UPPER(Planung!FY64)="H",$C64/2,0)))))))</f>
        <v>0</v>
      </c>
      <c r="FZ64" s="27">
        <f>IF($A64="",0,IF(Mitarbeiter!$G$62=FALSE,0,IF(AND(Mitarbeiter!$E$62&lt;&gt;"",FZ$5+6&lt;Mitarbeiter!$E$62),0,IF(AND(Mitarbeiter!$F$62&lt;&gt;"",FZ$5&gt;Mitarbeiter!$F$62),0,IF(Planung!FZ64="",$C64,IF(ISNUMBER(Planung!FZ64),Planung!FZ64,IF(UPPER(Planung!FZ64)="H",$C64/2,0)))))))</f>
        <v>0</v>
      </c>
      <c r="GA64" s="27">
        <f>IF($A64="",0,IF(Mitarbeiter!$G$62=FALSE,0,IF(AND(Mitarbeiter!$E$62&lt;&gt;"",GA$5+6&lt;Mitarbeiter!$E$62),0,IF(AND(Mitarbeiter!$F$62&lt;&gt;"",GA$5&gt;Mitarbeiter!$F$62),0,IF(Planung!GA64="",$C64,IF(ISNUMBER(Planung!GA64),Planung!GA64,IF(UPPER(Planung!GA64)="H",$C64/2,0)))))))</f>
        <v>0</v>
      </c>
      <c r="GB64" s="27">
        <f>IF($A64="",0,IF(Mitarbeiter!$G$62=FALSE,0,IF(AND(Mitarbeiter!$E$62&lt;&gt;"",GB$5+6&lt;Mitarbeiter!$E$62),0,IF(AND(Mitarbeiter!$F$62&lt;&gt;"",GB$5&gt;Mitarbeiter!$F$62),0,IF(Planung!GB64="",$C64,IF(ISNUMBER(Planung!GB64),Planung!GB64,IF(UPPER(Planung!GB64)="H",$C64/2,0)))))))</f>
        <v>0</v>
      </c>
      <c r="GC64" s="27">
        <f>IF($A64="",0,IF(Mitarbeiter!$G$62=FALSE,0,IF(AND(Mitarbeiter!$E$62&lt;&gt;"",GC$5+6&lt;Mitarbeiter!$E$62),0,IF(AND(Mitarbeiter!$F$62&lt;&gt;"",GC$5&gt;Mitarbeiter!$F$62),0,IF(Planung!GC64="",$C64,IF(ISNUMBER(Planung!GC64),Planung!GC64,IF(UPPER(Planung!GC64)="H",$C64/2,0)))))))</f>
        <v>0</v>
      </c>
      <c r="GD64" s="27">
        <f>IF($A64="",0,IF(Mitarbeiter!$G$62=FALSE,0,IF(AND(Mitarbeiter!$E$62&lt;&gt;"",GD$5+6&lt;Mitarbeiter!$E$62),0,IF(AND(Mitarbeiter!$F$62&lt;&gt;"",GD$5&gt;Mitarbeiter!$F$62),0,IF(Planung!GD64="",$C64,IF(ISNUMBER(Planung!GD64),Planung!GD64,IF(UPPER(Planung!GD64)="H",$C64/2,0)))))))</f>
        <v>0</v>
      </c>
      <c r="GE64" s="27">
        <f>IF($A64="",0,IF(Mitarbeiter!$G$62=FALSE,0,IF(AND(Mitarbeiter!$E$62&lt;&gt;"",GE$5+6&lt;Mitarbeiter!$E$62),0,IF(AND(Mitarbeiter!$F$62&lt;&gt;"",GE$5&gt;Mitarbeiter!$F$62),0,IF(Planung!GE64="",$C64,IF(ISNUMBER(Planung!GE64),Planung!GE64,IF(UPPER(Planung!GE64)="H",$C64/2,0)))))))</f>
        <v>0</v>
      </c>
      <c r="GF64" s="27">
        <f>IF($A64="",0,IF(Mitarbeiter!$G$62=FALSE,0,IF(AND(Mitarbeiter!$E$62&lt;&gt;"",GF$5+6&lt;Mitarbeiter!$E$62),0,IF(AND(Mitarbeiter!$F$62&lt;&gt;"",GF$5&gt;Mitarbeiter!$F$62),0,IF(Planung!GF64="",$C64,IF(ISNUMBER(Planung!GF64),Planung!GF64,IF(UPPER(Planung!GF64)="H",$C64/2,0)))))))</f>
        <v>0</v>
      </c>
      <c r="GG64" s="27">
        <f>IF($A64="",0,IF(Mitarbeiter!$G$62=FALSE,0,IF(AND(Mitarbeiter!$E$62&lt;&gt;"",GG$5+6&lt;Mitarbeiter!$E$62),0,IF(AND(Mitarbeiter!$F$62&lt;&gt;"",GG$5&gt;Mitarbeiter!$F$62),0,IF(Planung!GG64="",$C64,IF(ISNUMBER(Planung!GG64),Planung!GG64,IF(UPPER(Planung!GG64)="H",$C64/2,0)))))))</f>
        <v>0</v>
      </c>
      <c r="GH64" s="27">
        <f>IF($A64="",0,IF(Mitarbeiter!$G$62=FALSE,0,IF(AND(Mitarbeiter!$E$62&lt;&gt;"",GH$5+6&lt;Mitarbeiter!$E$62),0,IF(AND(Mitarbeiter!$F$62&lt;&gt;"",GH$5&gt;Mitarbeiter!$F$62),0,IF(Planung!GH64="",$C64,IF(ISNUMBER(Planung!GH64),Planung!GH64,IF(UPPER(Planung!GH64)="H",$C64/2,0)))))))</f>
        <v>0</v>
      </c>
      <c r="GI64" s="27">
        <f>IF($A64="",0,IF(Mitarbeiter!$G$62=FALSE,0,IF(AND(Mitarbeiter!$E$62&lt;&gt;"",GI$5+6&lt;Mitarbeiter!$E$62),0,IF(AND(Mitarbeiter!$F$62&lt;&gt;"",GI$5&gt;Mitarbeiter!$F$62),0,IF(Planung!GI64="",$C64,IF(ISNUMBER(Planung!GI64),Planung!GI64,IF(UPPER(Planung!GI64)="H",$C64/2,0)))))))</f>
        <v>0</v>
      </c>
      <c r="GJ64" s="27">
        <f>IF($A64="",0,IF(Mitarbeiter!$G$62=FALSE,0,IF(AND(Mitarbeiter!$E$62&lt;&gt;"",GJ$5+6&lt;Mitarbeiter!$E$62),0,IF(AND(Mitarbeiter!$F$62&lt;&gt;"",GJ$5&gt;Mitarbeiter!$F$62),0,IF(Planung!GJ64="",$C64,IF(ISNUMBER(Planung!GJ64),Planung!GJ64,IF(UPPER(Planung!GJ64)="H",$C64/2,0)))))))</f>
        <v>0</v>
      </c>
      <c r="GK64" s="27">
        <f>IF($A64="",0,IF(Mitarbeiter!$G$62=FALSE,0,IF(AND(Mitarbeiter!$E$62&lt;&gt;"",GK$5+6&lt;Mitarbeiter!$E$62),0,IF(AND(Mitarbeiter!$F$62&lt;&gt;"",GK$5&gt;Mitarbeiter!$F$62),0,IF(Planung!GK64="",$C64,IF(ISNUMBER(Planung!GK64),Planung!GK64,IF(UPPER(Planung!GK64)="H",$C64/2,0)))))))</f>
        <v>0</v>
      </c>
      <c r="GL64" s="27">
        <f>IF($A64="",0,IF(Mitarbeiter!$G$62=FALSE,0,IF(AND(Mitarbeiter!$E$62&lt;&gt;"",GL$5+6&lt;Mitarbeiter!$E$62),0,IF(AND(Mitarbeiter!$F$62&lt;&gt;"",GL$5&gt;Mitarbeiter!$F$62),0,IF(Planung!GL64="",$C64,IF(ISNUMBER(Planung!GL64),Planung!GL64,IF(UPPER(Planung!GL64)="H",$C64/2,0)))))))</f>
        <v>0</v>
      </c>
      <c r="GM64" s="27">
        <f>IF($A64="",0,IF(Mitarbeiter!$G$62=FALSE,0,IF(AND(Mitarbeiter!$E$62&lt;&gt;"",GM$5+6&lt;Mitarbeiter!$E$62),0,IF(AND(Mitarbeiter!$F$62&lt;&gt;"",GM$5&gt;Mitarbeiter!$F$62),0,IF(Planung!GM64="",$C64,IF(ISNUMBER(Planung!GM64),Planung!GM64,IF(UPPER(Planung!GM64)="H",$C64/2,0)))))))</f>
        <v>0</v>
      </c>
      <c r="GN64" s="27">
        <f>IF($A64="",0,IF(Mitarbeiter!$G$62=FALSE,0,IF(AND(Mitarbeiter!$E$62&lt;&gt;"",GN$5+6&lt;Mitarbeiter!$E$62),0,IF(AND(Mitarbeiter!$F$62&lt;&gt;"",GN$5&gt;Mitarbeiter!$F$62),0,IF(Planung!GN64="",$C64,IF(ISNUMBER(Planung!GN64),Planung!GN64,IF(UPPER(Planung!GN64)="H",$C64/2,0)))))))</f>
        <v>0</v>
      </c>
      <c r="GO64" s="27">
        <f>IF($A64="",0,IF(Mitarbeiter!$G$62=FALSE,0,IF(AND(Mitarbeiter!$E$62&lt;&gt;"",GO$5+6&lt;Mitarbeiter!$E$62),0,IF(AND(Mitarbeiter!$F$62&lt;&gt;"",GO$5&gt;Mitarbeiter!$F$62),0,IF(Planung!GO64="",$C64,IF(ISNUMBER(Planung!GO64),Planung!GO64,IF(UPPER(Planung!GO64)="H",$C64/2,0)))))))</f>
        <v>0</v>
      </c>
      <c r="GP64" s="27">
        <f>IF($A64="",0,IF(Mitarbeiter!$G$62=FALSE,0,IF(AND(Mitarbeiter!$E$62&lt;&gt;"",GP$5+6&lt;Mitarbeiter!$E$62),0,IF(AND(Mitarbeiter!$F$62&lt;&gt;"",GP$5&gt;Mitarbeiter!$F$62),0,IF(Planung!GP64="",$C64,IF(ISNUMBER(Planung!GP64),Planung!GP64,IF(UPPER(Planung!GP64)="H",$C64/2,0)))))))</f>
        <v>0</v>
      </c>
      <c r="GQ64" s="27">
        <f>IF($A64="",0,IF(Mitarbeiter!$G$62=FALSE,0,IF(AND(Mitarbeiter!$E$62&lt;&gt;"",GQ$5+6&lt;Mitarbeiter!$E$62),0,IF(AND(Mitarbeiter!$F$62&lt;&gt;"",GQ$5&gt;Mitarbeiter!$F$62),0,IF(Planung!GQ64="",$C64,IF(ISNUMBER(Planung!GQ64),Planung!GQ64,IF(UPPER(Planung!GQ64)="H",$C64/2,0)))))))</f>
        <v>0</v>
      </c>
      <c r="GR64" s="27">
        <f>IF($A64="",0,IF(Mitarbeiter!$G$62=FALSE,0,IF(AND(Mitarbeiter!$E$62&lt;&gt;"",GR$5+6&lt;Mitarbeiter!$E$62),0,IF(AND(Mitarbeiter!$F$62&lt;&gt;"",GR$5&gt;Mitarbeiter!$F$62),0,IF(Planung!GR64="",$C64,IF(ISNUMBER(Planung!GR64),Planung!GR64,IF(UPPER(Planung!GR64)="H",$C64/2,0)))))))</f>
        <v>0</v>
      </c>
      <c r="GS64" s="27">
        <f>IF($A64="",0,IF(Mitarbeiter!$G$62=FALSE,0,IF(AND(Mitarbeiter!$E$62&lt;&gt;"",GS$5+6&lt;Mitarbeiter!$E$62),0,IF(AND(Mitarbeiter!$F$62&lt;&gt;"",GS$5&gt;Mitarbeiter!$F$62),0,IF(Planung!GS64="",$C64,IF(ISNUMBER(Planung!GS64),Planung!GS64,IF(UPPER(Planung!GS64)="H",$C64/2,0)))))))</f>
        <v>0</v>
      </c>
      <c r="GT64" s="27">
        <f>IF($A64="",0,IF(Mitarbeiter!$G$62=FALSE,0,IF(AND(Mitarbeiter!$E$62&lt;&gt;"",GT$5+6&lt;Mitarbeiter!$E$62),0,IF(AND(Mitarbeiter!$F$62&lt;&gt;"",GT$5&gt;Mitarbeiter!$F$62),0,IF(Planung!GT64="",$C64,IF(ISNUMBER(Planung!GT64),Planung!GT64,IF(UPPER(Planung!GT64)="H",$C64/2,0)))))))</f>
        <v>0</v>
      </c>
      <c r="GU64" s="27">
        <f>IF($A64="",0,IF(Mitarbeiter!$G$62=FALSE,0,IF(AND(Mitarbeiter!$E$62&lt;&gt;"",GU$5+6&lt;Mitarbeiter!$E$62),0,IF(AND(Mitarbeiter!$F$62&lt;&gt;"",GU$5&gt;Mitarbeiter!$F$62),0,IF(Planung!GU64="",$C64,IF(ISNUMBER(Planung!GU64),Planung!GU64,IF(UPPER(Planung!GU64)="H",$C64/2,0)))))))</f>
        <v>0</v>
      </c>
      <c r="GV64" s="27">
        <f>IF($A64="",0,IF(Mitarbeiter!$G$62=FALSE,0,IF(AND(Mitarbeiter!$E$62&lt;&gt;"",GV$5+6&lt;Mitarbeiter!$E$62),0,IF(AND(Mitarbeiter!$F$62&lt;&gt;"",GV$5&gt;Mitarbeiter!$F$62),0,IF(Planung!GV64="",$C64,IF(ISNUMBER(Planung!GV64),Planung!GV64,IF(UPPER(Planung!GV64)="H",$C64/2,0)))))))</f>
        <v>0</v>
      </c>
      <c r="GW64" s="27">
        <f>IF($A64="",0,IF(Mitarbeiter!$G$62=FALSE,0,IF(AND(Mitarbeiter!$E$62&lt;&gt;"",GW$5+6&lt;Mitarbeiter!$E$62),0,IF(AND(Mitarbeiter!$F$62&lt;&gt;"",GW$5&gt;Mitarbeiter!$F$62),0,IF(Planung!GW64="",$C64,IF(ISNUMBER(Planung!GW64),Planung!GW64,IF(UPPER(Planung!GW64)="H",$C64/2,0)))))))</f>
        <v>0</v>
      </c>
      <c r="GX64" s="27">
        <f>IF($A64="",0,IF(Mitarbeiter!$G$62=FALSE,0,IF(AND(Mitarbeiter!$E$62&lt;&gt;"",GX$5+6&lt;Mitarbeiter!$E$62),0,IF(AND(Mitarbeiter!$F$62&lt;&gt;"",GX$5&gt;Mitarbeiter!$F$62),0,IF(Planung!GX64="",$C64,IF(ISNUMBER(Planung!GX64),Planung!GX64,IF(UPPER(Planung!GX64)="H",$C64/2,0)))))))</f>
        <v>0</v>
      </c>
      <c r="GY64" s="27">
        <f>IF($A64="",0,IF(Mitarbeiter!$G$62=FALSE,0,IF(AND(Mitarbeiter!$E$62&lt;&gt;"",GY$5+6&lt;Mitarbeiter!$E$62),0,IF(AND(Mitarbeiter!$F$62&lt;&gt;"",GY$5&gt;Mitarbeiter!$F$62),0,IF(Planung!GY64="",$C64,IF(ISNUMBER(Planung!GY64),Planung!GY64,IF(UPPER(Planung!GY64)="H",$C64/2,0)))))))</f>
        <v>0</v>
      </c>
      <c r="GZ64" s="27">
        <f>IF($A64="",0,IF(Mitarbeiter!$G$62=FALSE,0,IF(AND(Mitarbeiter!$E$62&lt;&gt;"",GZ$5+6&lt;Mitarbeiter!$E$62),0,IF(AND(Mitarbeiter!$F$62&lt;&gt;"",GZ$5&gt;Mitarbeiter!$F$62),0,IF(Planung!GZ64="",$C64,IF(ISNUMBER(Planung!GZ64),Planung!GZ64,IF(UPPER(Planung!GZ64)="H",$C64/2,0)))))))</f>
        <v>0</v>
      </c>
      <c r="HA64" s="27">
        <f>IF($A64="",0,IF(Mitarbeiter!$G$62=FALSE,0,IF(AND(Mitarbeiter!$E$62&lt;&gt;"",HA$5+6&lt;Mitarbeiter!$E$62),0,IF(AND(Mitarbeiter!$F$62&lt;&gt;"",HA$5&gt;Mitarbeiter!$F$62),0,IF(Planung!HA64="",$C64,IF(ISNUMBER(Planung!HA64),Planung!HA64,IF(UPPER(Planung!HA64)="H",$C64/2,0)))))))</f>
        <v>0</v>
      </c>
      <c r="HB64" s="27">
        <f>IF($A64="",0,IF(Mitarbeiter!$G$62=FALSE,0,IF(AND(Mitarbeiter!$E$62&lt;&gt;"",HB$5+6&lt;Mitarbeiter!$E$62),0,IF(AND(Mitarbeiter!$F$62&lt;&gt;"",HB$5&gt;Mitarbeiter!$F$62),0,IF(Planung!HB64="",$C64,IF(ISNUMBER(Planung!HB64),Planung!HB64,IF(UPPER(Planung!HB64)="H",$C64/2,0)))))))</f>
        <v>0</v>
      </c>
      <c r="HC64" s="27">
        <f>IF($A64="",0,IF(Mitarbeiter!$G$62=FALSE,0,IF(AND(Mitarbeiter!$E$62&lt;&gt;"",HC$5+6&lt;Mitarbeiter!$E$62),0,IF(AND(Mitarbeiter!$F$62&lt;&gt;"",HC$5&gt;Mitarbeiter!$F$62),0,IF(Planung!HC64="",$C64,IF(ISNUMBER(Planung!HC64),Planung!HC64,IF(UPPER(Planung!HC64)="H",$C64/2,0)))))))</f>
        <v>0</v>
      </c>
      <c r="HD64" s="27">
        <f>IF($A64="",0,IF(Mitarbeiter!$G$62=FALSE,0,IF(AND(Mitarbeiter!$E$62&lt;&gt;"",HD$5+6&lt;Mitarbeiter!$E$62),0,IF(AND(Mitarbeiter!$F$62&lt;&gt;"",HD$5&gt;Mitarbeiter!$F$62),0,IF(Planung!HD64="",$C64,IF(ISNUMBER(Planung!HD64),Planung!HD64,IF(UPPER(Planung!HD64)="H",$C64/2,0)))))))</f>
        <v>0</v>
      </c>
      <c r="HE64" s="27">
        <f>IF($A64="",0,IF(Mitarbeiter!$G$62=FALSE,0,IF(AND(Mitarbeiter!$E$62&lt;&gt;"",HE$5+6&lt;Mitarbeiter!$E$62),0,IF(AND(Mitarbeiter!$F$62&lt;&gt;"",HE$5&gt;Mitarbeiter!$F$62),0,IF(Planung!HE64="",$C64,IF(ISNUMBER(Planung!HE64),Planung!HE64,IF(UPPER(Planung!HE64)="H",$C64/2,0)))))))</f>
        <v>0</v>
      </c>
      <c r="HF64" s="27">
        <f>IF($A64="",0,IF(Mitarbeiter!$G$62=FALSE,0,IF(AND(Mitarbeiter!$E$62&lt;&gt;"",HF$5+6&lt;Mitarbeiter!$E$62),0,IF(AND(Mitarbeiter!$F$62&lt;&gt;"",HF$5&gt;Mitarbeiter!$F$62),0,IF(Planung!HF64="",$C64,IF(ISNUMBER(Planung!HF64),Planung!HF64,IF(UPPER(Planung!HF64)="H",$C64/2,0)))))))</f>
        <v>0</v>
      </c>
      <c r="HG64" s="27">
        <f>IF($A64="",0,IF(Mitarbeiter!$G$62=FALSE,0,IF(AND(Mitarbeiter!$E$62&lt;&gt;"",HG$5+6&lt;Mitarbeiter!$E$62),0,IF(AND(Mitarbeiter!$F$62&lt;&gt;"",HG$5&gt;Mitarbeiter!$F$62),0,IF(Planung!HG64="",$C64,IF(ISNUMBER(Planung!HG64),Planung!HG64,IF(UPPER(Planung!HG64)="H",$C64/2,0)))))))</f>
        <v>0</v>
      </c>
      <c r="HH64" s="27">
        <f>IF($A64="",0,IF(Mitarbeiter!$G$62=FALSE,0,IF(AND(Mitarbeiter!$E$62&lt;&gt;"",HH$5+6&lt;Mitarbeiter!$E$62),0,IF(AND(Mitarbeiter!$F$62&lt;&gt;"",HH$5&gt;Mitarbeiter!$F$62),0,IF(Planung!HH64="",$C64,IF(ISNUMBER(Planung!HH64),Planung!HH64,IF(UPPER(Planung!HH64)="H",$C64/2,0)))))))</f>
        <v>0</v>
      </c>
      <c r="HI64" s="27">
        <f>IF($A64="",0,IF(Mitarbeiter!$G$62=FALSE,0,IF(AND(Mitarbeiter!$E$62&lt;&gt;"",HI$5+6&lt;Mitarbeiter!$E$62),0,IF(AND(Mitarbeiter!$F$62&lt;&gt;"",HI$5&gt;Mitarbeiter!$F$62),0,IF(Planung!HI64="",$C64,IF(ISNUMBER(Planung!HI64),Planung!HI64,IF(UPPER(Planung!HI64)="H",$C64/2,0)))))))</f>
        <v>0</v>
      </c>
      <c r="HJ64" s="27">
        <f>IF($A64="",0,IF(Mitarbeiter!$G$62=FALSE,0,IF(AND(Mitarbeiter!$E$62&lt;&gt;"",HJ$5+6&lt;Mitarbeiter!$E$62),0,IF(AND(Mitarbeiter!$F$62&lt;&gt;"",HJ$5&gt;Mitarbeiter!$F$62),0,IF(Planung!HJ64="",$C64,IF(ISNUMBER(Planung!HJ64),Planung!HJ64,IF(UPPER(Planung!HJ64)="H",$C64/2,0)))))))</f>
        <v>0</v>
      </c>
      <c r="HK64" s="27">
        <f>IF($A64="",0,IF(Mitarbeiter!$G$62=FALSE,0,IF(AND(Mitarbeiter!$E$62&lt;&gt;"",HK$5+6&lt;Mitarbeiter!$E$62),0,IF(AND(Mitarbeiter!$F$62&lt;&gt;"",HK$5&gt;Mitarbeiter!$F$62),0,IF(Planung!HK64="",$C64,IF(ISNUMBER(Planung!HK64),Planung!HK64,IF(UPPER(Planung!HK64)="H",$C64/2,0)))))))</f>
        <v>0</v>
      </c>
      <c r="HL64" s="27">
        <f>IF($A64="",0,IF(Mitarbeiter!$G$62=FALSE,0,IF(AND(Mitarbeiter!$E$62&lt;&gt;"",HL$5+6&lt;Mitarbeiter!$E$62),0,IF(AND(Mitarbeiter!$F$62&lt;&gt;"",HL$5&gt;Mitarbeiter!$F$62),0,IF(Planung!HL64="",$C64,IF(ISNUMBER(Planung!HL64),Planung!HL64,IF(UPPER(Planung!HL64)="H",$C64/2,0)))))))</f>
        <v>0</v>
      </c>
      <c r="HM64" s="27">
        <f>IF($A64="",0,IF(Mitarbeiter!$G$62=FALSE,0,IF(AND(Mitarbeiter!$E$62&lt;&gt;"",HM$5+6&lt;Mitarbeiter!$E$62),0,IF(AND(Mitarbeiter!$F$62&lt;&gt;"",HM$5&gt;Mitarbeiter!$F$62),0,IF(Planung!HM64="",$C64,IF(ISNUMBER(Planung!HM64),Planung!HM64,IF(UPPER(Planung!HM64)="H",$C64/2,0)))))))</f>
        <v>0</v>
      </c>
      <c r="HN64" s="27">
        <f>IF($A64="",0,IF(Mitarbeiter!$G$62=FALSE,0,IF(AND(Mitarbeiter!$E$62&lt;&gt;"",HN$5+6&lt;Mitarbeiter!$E$62),0,IF(AND(Mitarbeiter!$F$62&lt;&gt;"",HN$5&gt;Mitarbeiter!$F$62),0,IF(Planung!HN64="",$C64,IF(ISNUMBER(Planung!HN64),Planung!HN64,IF(UPPER(Planung!HN64)="H",$C64/2,0)))))))</f>
        <v>0</v>
      </c>
      <c r="HO64" s="27">
        <f>IF($A64="",0,IF(Mitarbeiter!$G$62=FALSE,0,IF(AND(Mitarbeiter!$E$62&lt;&gt;"",HO$5+6&lt;Mitarbeiter!$E$62),0,IF(AND(Mitarbeiter!$F$62&lt;&gt;"",HO$5&gt;Mitarbeiter!$F$62),0,IF(Planung!HO64="",$C64,IF(ISNUMBER(Planung!HO64),Planung!HO64,IF(UPPER(Planung!HO64)="H",$C64/2,0)))))))</f>
        <v>0</v>
      </c>
      <c r="HP64" s="27">
        <f>IF($A64="",0,IF(Mitarbeiter!$G$62=FALSE,0,IF(AND(Mitarbeiter!$E$62&lt;&gt;"",HP$5+6&lt;Mitarbeiter!$E$62),0,IF(AND(Mitarbeiter!$F$62&lt;&gt;"",HP$5&gt;Mitarbeiter!$F$62),0,IF(Planung!HP64="",$C64,IF(ISNUMBER(Planung!HP64),Planung!HP64,IF(UPPER(Planung!HP64)="H",$C64/2,0)))))))</f>
        <v>0</v>
      </c>
      <c r="HQ64" s="27">
        <f>IF($A64="",0,IF(Mitarbeiter!$G$62=FALSE,0,IF(AND(Mitarbeiter!$E$62&lt;&gt;"",HQ$5+6&lt;Mitarbeiter!$E$62),0,IF(AND(Mitarbeiter!$F$62&lt;&gt;"",HQ$5&gt;Mitarbeiter!$F$62),0,IF(Planung!HQ64="",$C64,IF(ISNUMBER(Planung!HQ64),Planung!HQ64,IF(UPPER(Planung!HQ64)="H",$C64/2,0)))))))</f>
        <v>0</v>
      </c>
      <c r="HR64" s="27">
        <f>IF($A64="",0,IF(Mitarbeiter!$G$62=FALSE,0,IF(AND(Mitarbeiter!$E$62&lt;&gt;"",HR$5+6&lt;Mitarbeiter!$E$62),0,IF(AND(Mitarbeiter!$F$62&lt;&gt;"",HR$5&gt;Mitarbeiter!$F$62),0,IF(Planung!HR64="",$C64,IF(ISNUMBER(Planung!HR64),Planung!HR64,IF(UPPER(Planung!HR64)="H",$C64/2,0)))))))</f>
        <v>0</v>
      </c>
      <c r="HS64" s="27">
        <f>IF($A64="",0,IF(Mitarbeiter!$G$62=FALSE,0,IF(AND(Mitarbeiter!$E$62&lt;&gt;"",HS$5+6&lt;Mitarbeiter!$E$62),0,IF(AND(Mitarbeiter!$F$62&lt;&gt;"",HS$5&gt;Mitarbeiter!$F$62),0,IF(Planung!HS64="",$C64,IF(ISNUMBER(Planung!HS64),Planung!HS64,IF(UPPER(Planung!HS64)="H",$C64/2,0)))))))</f>
        <v>0</v>
      </c>
      <c r="HT64" s="27">
        <f>IF($A64="",0,IF(Mitarbeiter!$G$62=FALSE,0,IF(AND(Mitarbeiter!$E$62&lt;&gt;"",HT$5+6&lt;Mitarbeiter!$E$62),0,IF(AND(Mitarbeiter!$F$62&lt;&gt;"",HT$5&gt;Mitarbeiter!$F$62),0,IF(Planung!HT64="",$C64,IF(ISNUMBER(Planung!HT64),Planung!HT64,IF(UPPER(Planung!HT64)="H",$C64/2,0)))))))</f>
        <v>0</v>
      </c>
      <c r="HU64" s="27">
        <f>IF($A64="",0,IF(Mitarbeiter!$G$62=FALSE,0,IF(AND(Mitarbeiter!$E$62&lt;&gt;"",HU$5+6&lt;Mitarbeiter!$E$62),0,IF(AND(Mitarbeiter!$F$62&lt;&gt;"",HU$5&gt;Mitarbeiter!$F$62),0,IF(Planung!HU64="",$C64,IF(ISNUMBER(Planung!HU64),Planung!HU64,IF(UPPER(Planung!HU64)="H",$C64/2,0)))))))</f>
        <v>0</v>
      </c>
      <c r="HV64" s="27">
        <f>IF($A64="",0,IF(Mitarbeiter!$G$62=FALSE,0,IF(AND(Mitarbeiter!$E$62&lt;&gt;"",HV$5+6&lt;Mitarbeiter!$E$62),0,IF(AND(Mitarbeiter!$F$62&lt;&gt;"",HV$5&gt;Mitarbeiter!$F$62),0,IF(Planung!HV64="",$C64,IF(ISNUMBER(Planung!HV64),Planung!HV64,IF(UPPER(Planung!HV64)="H",$C64/2,0)))))))</f>
        <v>0</v>
      </c>
      <c r="HW64" s="27">
        <f>IF($A64="",0,IF(Mitarbeiter!$G$62=FALSE,0,IF(AND(Mitarbeiter!$E$62&lt;&gt;"",HW$5+6&lt;Mitarbeiter!$E$62),0,IF(AND(Mitarbeiter!$F$62&lt;&gt;"",HW$5&gt;Mitarbeiter!$F$62),0,IF(Planung!HW64="",$C64,IF(ISNUMBER(Planung!HW64),Planung!HW64,IF(UPPER(Planung!HW64)="H",$C64/2,0)))))))</f>
        <v>0</v>
      </c>
      <c r="HX64" s="27">
        <f>IF($A64="",0,IF(Mitarbeiter!$G$62=FALSE,0,IF(AND(Mitarbeiter!$E$62&lt;&gt;"",HX$5+6&lt;Mitarbeiter!$E$62),0,IF(AND(Mitarbeiter!$F$62&lt;&gt;"",HX$5&gt;Mitarbeiter!$F$62),0,IF(Planung!HX64="",$C64,IF(ISNUMBER(Planung!HX64),Planung!HX64,IF(UPPER(Planung!HX64)="H",$C64/2,0)))))))</f>
        <v>0</v>
      </c>
      <c r="HY64" s="27">
        <f>IF($A64="",0,IF(Mitarbeiter!$G$62=FALSE,0,IF(AND(Mitarbeiter!$E$62&lt;&gt;"",HY$5+6&lt;Mitarbeiter!$E$62),0,IF(AND(Mitarbeiter!$F$62&lt;&gt;"",HY$5&gt;Mitarbeiter!$F$62),0,IF(Planung!HY64="",$C64,IF(ISNUMBER(Planung!HY64),Planung!HY64,IF(UPPER(Planung!HY64)="H",$C64/2,0)))))))</f>
        <v>0</v>
      </c>
      <c r="HZ64" s="27">
        <f>IF($A64="",0,IF(Mitarbeiter!$G$62=FALSE,0,IF(AND(Mitarbeiter!$E$62&lt;&gt;"",HZ$5+6&lt;Mitarbeiter!$E$62),0,IF(AND(Mitarbeiter!$F$62&lt;&gt;"",HZ$5&gt;Mitarbeiter!$F$62),0,IF(Planung!HZ64="",$C64,IF(ISNUMBER(Planung!HZ64),Planung!HZ64,IF(UPPER(Planung!HZ64)="H",$C64/2,0)))))))</f>
        <v>0</v>
      </c>
      <c r="IA64" s="27">
        <f>IF($A64="",0,IF(Mitarbeiter!$G$62=FALSE,0,IF(AND(Mitarbeiter!$E$62&lt;&gt;"",IA$5+6&lt;Mitarbeiter!$E$62),0,IF(AND(Mitarbeiter!$F$62&lt;&gt;"",IA$5&gt;Mitarbeiter!$F$62),0,IF(Planung!IA64="",$C64,IF(ISNUMBER(Planung!IA64),Planung!IA64,IF(UPPER(Planung!IA64)="H",$C64/2,0)))))))</f>
        <v>0</v>
      </c>
    </row>
    <row r="65" spans="1:235" x14ac:dyDescent="0.25">
      <c r="A65" s="7" t="str">
        <f>Planung!A65</f>
        <v/>
      </c>
      <c r="B65" s="7" t="str">
        <f>Planung!B65</f>
        <v/>
      </c>
      <c r="C65" s="27">
        <f>N(Mitarbeiter!$D$63)</f>
        <v>0</v>
      </c>
      <c r="D65" s="27">
        <f>IF($A65="",0,IF(Mitarbeiter!$G$63=FALSE,0,IF(AND(Mitarbeiter!$E$63&lt;&gt;"",D$5+6&lt;Mitarbeiter!$E$63),0,IF(AND(Mitarbeiter!$F$63&lt;&gt;"",D$5&gt;Mitarbeiter!$F$63),0,IF(Planung!D65="",$C65,IF(ISNUMBER(Planung!D65),Planung!D65,IF(UPPER(Planung!D65)="H",$C65/2,0)))))))</f>
        <v>0</v>
      </c>
      <c r="E65" s="27">
        <f>IF($A65="",0,IF(Mitarbeiter!$G$63=FALSE,0,IF(AND(Mitarbeiter!$E$63&lt;&gt;"",E$5+6&lt;Mitarbeiter!$E$63),0,IF(AND(Mitarbeiter!$F$63&lt;&gt;"",E$5&gt;Mitarbeiter!$F$63),0,IF(Planung!E65="",$C65,IF(ISNUMBER(Planung!E65),Planung!E65,IF(UPPER(Planung!E65)="H",$C65/2,0)))))))</f>
        <v>0</v>
      </c>
      <c r="F65" s="27">
        <f>IF($A65="",0,IF(Mitarbeiter!$G$63=FALSE,0,IF(AND(Mitarbeiter!$E$63&lt;&gt;"",F$5+6&lt;Mitarbeiter!$E$63),0,IF(AND(Mitarbeiter!$F$63&lt;&gt;"",F$5&gt;Mitarbeiter!$F$63),0,IF(Planung!F65="",$C65,IF(ISNUMBER(Planung!F65),Planung!F65,IF(UPPER(Planung!F65)="H",$C65/2,0)))))))</f>
        <v>0</v>
      </c>
      <c r="G65" s="27">
        <f>IF($A65="",0,IF(Mitarbeiter!$G$63=FALSE,0,IF(AND(Mitarbeiter!$E$63&lt;&gt;"",G$5+6&lt;Mitarbeiter!$E$63),0,IF(AND(Mitarbeiter!$F$63&lt;&gt;"",G$5&gt;Mitarbeiter!$F$63),0,IF(Planung!G65="",$C65,IF(ISNUMBER(Planung!G65),Planung!G65,IF(UPPER(Planung!G65)="H",$C65/2,0)))))))</f>
        <v>0</v>
      </c>
      <c r="H65" s="27">
        <f>IF($A65="",0,IF(Mitarbeiter!$G$63=FALSE,0,IF(AND(Mitarbeiter!$E$63&lt;&gt;"",H$5+6&lt;Mitarbeiter!$E$63),0,IF(AND(Mitarbeiter!$F$63&lt;&gt;"",H$5&gt;Mitarbeiter!$F$63),0,IF(Planung!H65="",$C65,IF(ISNUMBER(Planung!H65),Planung!H65,IF(UPPER(Planung!H65)="H",$C65/2,0)))))))</f>
        <v>0</v>
      </c>
      <c r="I65" s="27">
        <f>IF($A65="",0,IF(Mitarbeiter!$G$63=FALSE,0,IF(AND(Mitarbeiter!$E$63&lt;&gt;"",I$5+6&lt;Mitarbeiter!$E$63),0,IF(AND(Mitarbeiter!$F$63&lt;&gt;"",I$5&gt;Mitarbeiter!$F$63),0,IF(Planung!I65="",$C65,IF(ISNUMBER(Planung!I65),Planung!I65,IF(UPPER(Planung!I65)="H",$C65/2,0)))))))</f>
        <v>0</v>
      </c>
      <c r="J65" s="27">
        <f>IF($A65="",0,IF(Mitarbeiter!$G$63=FALSE,0,IF(AND(Mitarbeiter!$E$63&lt;&gt;"",J$5+6&lt;Mitarbeiter!$E$63),0,IF(AND(Mitarbeiter!$F$63&lt;&gt;"",J$5&gt;Mitarbeiter!$F$63),0,IF(Planung!J65="",$C65,IF(ISNUMBER(Planung!J65),Planung!J65,IF(UPPER(Planung!J65)="H",$C65/2,0)))))))</f>
        <v>0</v>
      </c>
      <c r="K65" s="27">
        <f>IF($A65="",0,IF(Mitarbeiter!$G$63=FALSE,0,IF(AND(Mitarbeiter!$E$63&lt;&gt;"",K$5+6&lt;Mitarbeiter!$E$63),0,IF(AND(Mitarbeiter!$F$63&lt;&gt;"",K$5&gt;Mitarbeiter!$F$63),0,IF(Planung!K65="",$C65,IF(ISNUMBER(Planung!K65),Planung!K65,IF(UPPER(Planung!K65)="H",$C65/2,0)))))))</f>
        <v>0</v>
      </c>
      <c r="L65" s="27">
        <f>IF($A65="",0,IF(Mitarbeiter!$G$63=FALSE,0,IF(AND(Mitarbeiter!$E$63&lt;&gt;"",L$5+6&lt;Mitarbeiter!$E$63),0,IF(AND(Mitarbeiter!$F$63&lt;&gt;"",L$5&gt;Mitarbeiter!$F$63),0,IF(Planung!L65="",$C65,IF(ISNUMBER(Planung!L65),Planung!L65,IF(UPPER(Planung!L65)="H",$C65/2,0)))))))</f>
        <v>0</v>
      </c>
      <c r="M65" s="27">
        <f>IF($A65="",0,IF(Mitarbeiter!$G$63=FALSE,0,IF(AND(Mitarbeiter!$E$63&lt;&gt;"",M$5+6&lt;Mitarbeiter!$E$63),0,IF(AND(Mitarbeiter!$F$63&lt;&gt;"",M$5&gt;Mitarbeiter!$F$63),0,IF(Planung!M65="",$C65,IF(ISNUMBER(Planung!M65),Planung!M65,IF(UPPER(Planung!M65)="H",$C65/2,0)))))))</f>
        <v>0</v>
      </c>
      <c r="N65" s="27">
        <f>IF($A65="",0,IF(Mitarbeiter!$G$63=FALSE,0,IF(AND(Mitarbeiter!$E$63&lt;&gt;"",N$5+6&lt;Mitarbeiter!$E$63),0,IF(AND(Mitarbeiter!$F$63&lt;&gt;"",N$5&gt;Mitarbeiter!$F$63),0,IF(Planung!N65="",$C65,IF(ISNUMBER(Planung!N65),Planung!N65,IF(UPPER(Planung!N65)="H",$C65/2,0)))))))</f>
        <v>0</v>
      </c>
      <c r="O65" s="27">
        <f>IF($A65="",0,IF(Mitarbeiter!$G$63=FALSE,0,IF(AND(Mitarbeiter!$E$63&lt;&gt;"",O$5+6&lt;Mitarbeiter!$E$63),0,IF(AND(Mitarbeiter!$F$63&lt;&gt;"",O$5&gt;Mitarbeiter!$F$63),0,IF(Planung!O65="",$C65,IF(ISNUMBER(Planung!O65),Planung!O65,IF(UPPER(Planung!O65)="H",$C65/2,0)))))))</f>
        <v>0</v>
      </c>
      <c r="P65" s="27">
        <f>IF($A65="",0,IF(Mitarbeiter!$G$63=FALSE,0,IF(AND(Mitarbeiter!$E$63&lt;&gt;"",P$5+6&lt;Mitarbeiter!$E$63),0,IF(AND(Mitarbeiter!$F$63&lt;&gt;"",P$5&gt;Mitarbeiter!$F$63),0,IF(Planung!P65="",$C65,IF(ISNUMBER(Planung!P65),Planung!P65,IF(UPPER(Planung!P65)="H",$C65/2,0)))))))</f>
        <v>0</v>
      </c>
      <c r="Q65" s="27">
        <f>IF($A65="",0,IF(Mitarbeiter!$G$63=FALSE,0,IF(AND(Mitarbeiter!$E$63&lt;&gt;"",Q$5+6&lt;Mitarbeiter!$E$63),0,IF(AND(Mitarbeiter!$F$63&lt;&gt;"",Q$5&gt;Mitarbeiter!$F$63),0,IF(Planung!Q65="",$C65,IF(ISNUMBER(Planung!Q65),Planung!Q65,IF(UPPER(Planung!Q65)="H",$C65/2,0)))))))</f>
        <v>0</v>
      </c>
      <c r="R65" s="27">
        <f>IF($A65="",0,IF(Mitarbeiter!$G$63=FALSE,0,IF(AND(Mitarbeiter!$E$63&lt;&gt;"",R$5+6&lt;Mitarbeiter!$E$63),0,IF(AND(Mitarbeiter!$F$63&lt;&gt;"",R$5&gt;Mitarbeiter!$F$63),0,IF(Planung!R65="",$C65,IF(ISNUMBER(Planung!R65),Planung!R65,IF(UPPER(Planung!R65)="H",$C65/2,0)))))))</f>
        <v>0</v>
      </c>
      <c r="S65" s="27">
        <f>IF($A65="",0,IF(Mitarbeiter!$G$63=FALSE,0,IF(AND(Mitarbeiter!$E$63&lt;&gt;"",S$5+6&lt;Mitarbeiter!$E$63),0,IF(AND(Mitarbeiter!$F$63&lt;&gt;"",S$5&gt;Mitarbeiter!$F$63),0,IF(Planung!S65="",$C65,IF(ISNUMBER(Planung!S65),Planung!S65,IF(UPPER(Planung!S65)="H",$C65/2,0)))))))</f>
        <v>0</v>
      </c>
      <c r="T65" s="27">
        <f>IF($A65="",0,IF(Mitarbeiter!$G$63=FALSE,0,IF(AND(Mitarbeiter!$E$63&lt;&gt;"",T$5+6&lt;Mitarbeiter!$E$63),0,IF(AND(Mitarbeiter!$F$63&lt;&gt;"",T$5&gt;Mitarbeiter!$F$63),0,IF(Planung!T65="",$C65,IF(ISNUMBER(Planung!T65),Planung!T65,IF(UPPER(Planung!T65)="H",$C65/2,0)))))))</f>
        <v>0</v>
      </c>
      <c r="U65" s="27">
        <f>IF($A65="",0,IF(Mitarbeiter!$G$63=FALSE,0,IF(AND(Mitarbeiter!$E$63&lt;&gt;"",U$5+6&lt;Mitarbeiter!$E$63),0,IF(AND(Mitarbeiter!$F$63&lt;&gt;"",U$5&gt;Mitarbeiter!$F$63),0,IF(Planung!U65="",$C65,IF(ISNUMBER(Planung!U65),Planung!U65,IF(UPPER(Planung!U65)="H",$C65/2,0)))))))</f>
        <v>0</v>
      </c>
      <c r="V65" s="27">
        <f>IF($A65="",0,IF(Mitarbeiter!$G$63=FALSE,0,IF(AND(Mitarbeiter!$E$63&lt;&gt;"",V$5+6&lt;Mitarbeiter!$E$63),0,IF(AND(Mitarbeiter!$F$63&lt;&gt;"",V$5&gt;Mitarbeiter!$F$63),0,IF(Planung!V65="",$C65,IF(ISNUMBER(Planung!V65),Planung!V65,IF(UPPER(Planung!V65)="H",$C65/2,0)))))))</f>
        <v>0</v>
      </c>
      <c r="W65" s="27">
        <f>IF($A65="",0,IF(Mitarbeiter!$G$63=FALSE,0,IF(AND(Mitarbeiter!$E$63&lt;&gt;"",W$5+6&lt;Mitarbeiter!$E$63),0,IF(AND(Mitarbeiter!$F$63&lt;&gt;"",W$5&gt;Mitarbeiter!$F$63),0,IF(Planung!W65="",$C65,IF(ISNUMBER(Planung!W65),Planung!W65,IF(UPPER(Planung!W65)="H",$C65/2,0)))))))</f>
        <v>0</v>
      </c>
      <c r="X65" s="27">
        <f>IF($A65="",0,IF(Mitarbeiter!$G$63=FALSE,0,IF(AND(Mitarbeiter!$E$63&lt;&gt;"",X$5+6&lt;Mitarbeiter!$E$63),0,IF(AND(Mitarbeiter!$F$63&lt;&gt;"",X$5&gt;Mitarbeiter!$F$63),0,IF(Planung!X65="",$C65,IF(ISNUMBER(Planung!X65),Planung!X65,IF(UPPER(Planung!X65)="H",$C65/2,0)))))))</f>
        <v>0</v>
      </c>
      <c r="Y65" s="27">
        <f>IF($A65="",0,IF(Mitarbeiter!$G$63=FALSE,0,IF(AND(Mitarbeiter!$E$63&lt;&gt;"",Y$5+6&lt;Mitarbeiter!$E$63),0,IF(AND(Mitarbeiter!$F$63&lt;&gt;"",Y$5&gt;Mitarbeiter!$F$63),0,IF(Planung!Y65="",$C65,IF(ISNUMBER(Planung!Y65),Planung!Y65,IF(UPPER(Planung!Y65)="H",$C65/2,0)))))))</f>
        <v>0</v>
      </c>
      <c r="Z65" s="27">
        <f>IF($A65="",0,IF(Mitarbeiter!$G$63=FALSE,0,IF(AND(Mitarbeiter!$E$63&lt;&gt;"",Z$5+6&lt;Mitarbeiter!$E$63),0,IF(AND(Mitarbeiter!$F$63&lt;&gt;"",Z$5&gt;Mitarbeiter!$F$63),0,IF(Planung!Z65="",$C65,IF(ISNUMBER(Planung!Z65),Planung!Z65,IF(UPPER(Planung!Z65)="H",$C65/2,0)))))))</f>
        <v>0</v>
      </c>
      <c r="AA65" s="27">
        <f>IF($A65="",0,IF(Mitarbeiter!$G$63=FALSE,0,IF(AND(Mitarbeiter!$E$63&lt;&gt;"",AA$5+6&lt;Mitarbeiter!$E$63),0,IF(AND(Mitarbeiter!$F$63&lt;&gt;"",AA$5&gt;Mitarbeiter!$F$63),0,IF(Planung!AA65="",$C65,IF(ISNUMBER(Planung!AA65),Planung!AA65,IF(UPPER(Planung!AA65)="H",$C65/2,0)))))))</f>
        <v>0</v>
      </c>
      <c r="AB65" s="27">
        <f>IF($A65="",0,IF(Mitarbeiter!$G$63=FALSE,0,IF(AND(Mitarbeiter!$E$63&lt;&gt;"",AB$5+6&lt;Mitarbeiter!$E$63),0,IF(AND(Mitarbeiter!$F$63&lt;&gt;"",AB$5&gt;Mitarbeiter!$F$63),0,IF(Planung!AB65="",$C65,IF(ISNUMBER(Planung!AB65),Planung!AB65,IF(UPPER(Planung!AB65)="H",$C65/2,0)))))))</f>
        <v>0</v>
      </c>
      <c r="AC65" s="27">
        <f>IF($A65="",0,IF(Mitarbeiter!$G$63=FALSE,0,IF(AND(Mitarbeiter!$E$63&lt;&gt;"",AC$5+6&lt;Mitarbeiter!$E$63),0,IF(AND(Mitarbeiter!$F$63&lt;&gt;"",AC$5&gt;Mitarbeiter!$F$63),0,IF(Planung!AC65="",$C65,IF(ISNUMBER(Planung!AC65),Planung!AC65,IF(UPPER(Planung!AC65)="H",$C65/2,0)))))))</f>
        <v>0</v>
      </c>
      <c r="AD65" s="27">
        <f>IF($A65="",0,IF(Mitarbeiter!$G$63=FALSE,0,IF(AND(Mitarbeiter!$E$63&lt;&gt;"",AD$5+6&lt;Mitarbeiter!$E$63),0,IF(AND(Mitarbeiter!$F$63&lt;&gt;"",AD$5&gt;Mitarbeiter!$F$63),0,IF(Planung!AD65="",$C65,IF(ISNUMBER(Planung!AD65),Planung!AD65,IF(UPPER(Planung!AD65)="H",$C65/2,0)))))))</f>
        <v>0</v>
      </c>
      <c r="AE65" s="27">
        <f>IF($A65="",0,IF(Mitarbeiter!$G$63=FALSE,0,IF(AND(Mitarbeiter!$E$63&lt;&gt;"",AE$5+6&lt;Mitarbeiter!$E$63),0,IF(AND(Mitarbeiter!$F$63&lt;&gt;"",AE$5&gt;Mitarbeiter!$F$63),0,IF(Planung!AE65="",$C65,IF(ISNUMBER(Planung!AE65),Planung!AE65,IF(UPPER(Planung!AE65)="H",$C65/2,0)))))))</f>
        <v>0</v>
      </c>
      <c r="AF65" s="27">
        <f>IF($A65="",0,IF(Mitarbeiter!$G$63=FALSE,0,IF(AND(Mitarbeiter!$E$63&lt;&gt;"",AF$5+6&lt;Mitarbeiter!$E$63),0,IF(AND(Mitarbeiter!$F$63&lt;&gt;"",AF$5&gt;Mitarbeiter!$F$63),0,IF(Planung!AF65="",$C65,IF(ISNUMBER(Planung!AF65),Planung!AF65,IF(UPPER(Planung!AF65)="H",$C65/2,0)))))))</f>
        <v>0</v>
      </c>
      <c r="AG65" s="27">
        <f>IF($A65="",0,IF(Mitarbeiter!$G$63=FALSE,0,IF(AND(Mitarbeiter!$E$63&lt;&gt;"",AG$5+6&lt;Mitarbeiter!$E$63),0,IF(AND(Mitarbeiter!$F$63&lt;&gt;"",AG$5&gt;Mitarbeiter!$F$63),0,IF(Planung!AG65="",$C65,IF(ISNUMBER(Planung!AG65),Planung!AG65,IF(UPPER(Planung!AG65)="H",$C65/2,0)))))))</f>
        <v>0</v>
      </c>
      <c r="AH65" s="27">
        <f>IF($A65="",0,IF(Mitarbeiter!$G$63=FALSE,0,IF(AND(Mitarbeiter!$E$63&lt;&gt;"",AH$5+6&lt;Mitarbeiter!$E$63),0,IF(AND(Mitarbeiter!$F$63&lt;&gt;"",AH$5&gt;Mitarbeiter!$F$63),0,IF(Planung!AH65="",$C65,IF(ISNUMBER(Planung!AH65),Planung!AH65,IF(UPPER(Planung!AH65)="H",$C65/2,0)))))))</f>
        <v>0</v>
      </c>
      <c r="AI65" s="27">
        <f>IF($A65="",0,IF(Mitarbeiter!$G$63=FALSE,0,IF(AND(Mitarbeiter!$E$63&lt;&gt;"",AI$5+6&lt;Mitarbeiter!$E$63),0,IF(AND(Mitarbeiter!$F$63&lt;&gt;"",AI$5&gt;Mitarbeiter!$F$63),0,IF(Planung!AI65="",$C65,IF(ISNUMBER(Planung!AI65),Planung!AI65,IF(UPPER(Planung!AI65)="H",$C65/2,0)))))))</f>
        <v>0</v>
      </c>
      <c r="AJ65" s="27">
        <f>IF($A65="",0,IF(Mitarbeiter!$G$63=FALSE,0,IF(AND(Mitarbeiter!$E$63&lt;&gt;"",AJ$5+6&lt;Mitarbeiter!$E$63),0,IF(AND(Mitarbeiter!$F$63&lt;&gt;"",AJ$5&gt;Mitarbeiter!$F$63),0,IF(Planung!AJ65="",$C65,IF(ISNUMBER(Planung!AJ65),Planung!AJ65,IF(UPPER(Planung!AJ65)="H",$C65/2,0)))))))</f>
        <v>0</v>
      </c>
      <c r="AK65" s="27">
        <f>IF($A65="",0,IF(Mitarbeiter!$G$63=FALSE,0,IF(AND(Mitarbeiter!$E$63&lt;&gt;"",AK$5+6&lt;Mitarbeiter!$E$63),0,IF(AND(Mitarbeiter!$F$63&lt;&gt;"",AK$5&gt;Mitarbeiter!$F$63),0,IF(Planung!AK65="",$C65,IF(ISNUMBER(Planung!AK65),Planung!AK65,IF(UPPER(Planung!AK65)="H",$C65/2,0)))))))</f>
        <v>0</v>
      </c>
      <c r="AL65" s="27">
        <f>IF($A65="",0,IF(Mitarbeiter!$G$63=FALSE,0,IF(AND(Mitarbeiter!$E$63&lt;&gt;"",AL$5+6&lt;Mitarbeiter!$E$63),0,IF(AND(Mitarbeiter!$F$63&lt;&gt;"",AL$5&gt;Mitarbeiter!$F$63),0,IF(Planung!AL65="",$C65,IF(ISNUMBER(Planung!AL65),Planung!AL65,IF(UPPER(Planung!AL65)="H",$C65/2,0)))))))</f>
        <v>0</v>
      </c>
      <c r="AM65" s="27">
        <f>IF($A65="",0,IF(Mitarbeiter!$G$63=FALSE,0,IF(AND(Mitarbeiter!$E$63&lt;&gt;"",AM$5+6&lt;Mitarbeiter!$E$63),0,IF(AND(Mitarbeiter!$F$63&lt;&gt;"",AM$5&gt;Mitarbeiter!$F$63),0,IF(Planung!AM65="",$C65,IF(ISNUMBER(Planung!AM65),Planung!AM65,IF(UPPER(Planung!AM65)="H",$C65/2,0)))))))</f>
        <v>0</v>
      </c>
      <c r="AN65" s="27">
        <f>IF($A65="",0,IF(Mitarbeiter!$G$63=FALSE,0,IF(AND(Mitarbeiter!$E$63&lt;&gt;"",AN$5+6&lt;Mitarbeiter!$E$63),0,IF(AND(Mitarbeiter!$F$63&lt;&gt;"",AN$5&gt;Mitarbeiter!$F$63),0,IF(Planung!AN65="",$C65,IF(ISNUMBER(Planung!AN65),Planung!AN65,IF(UPPER(Planung!AN65)="H",$C65/2,0)))))))</f>
        <v>0</v>
      </c>
      <c r="AO65" s="27">
        <f>IF($A65="",0,IF(Mitarbeiter!$G$63=FALSE,0,IF(AND(Mitarbeiter!$E$63&lt;&gt;"",AO$5+6&lt;Mitarbeiter!$E$63),0,IF(AND(Mitarbeiter!$F$63&lt;&gt;"",AO$5&gt;Mitarbeiter!$F$63),0,IF(Planung!AO65="",$C65,IF(ISNUMBER(Planung!AO65),Planung!AO65,IF(UPPER(Planung!AO65)="H",$C65/2,0)))))))</f>
        <v>0</v>
      </c>
      <c r="AP65" s="27">
        <f>IF($A65="",0,IF(Mitarbeiter!$G$63=FALSE,0,IF(AND(Mitarbeiter!$E$63&lt;&gt;"",AP$5+6&lt;Mitarbeiter!$E$63),0,IF(AND(Mitarbeiter!$F$63&lt;&gt;"",AP$5&gt;Mitarbeiter!$F$63),0,IF(Planung!AP65="",$C65,IF(ISNUMBER(Planung!AP65),Planung!AP65,IF(UPPER(Planung!AP65)="H",$C65/2,0)))))))</f>
        <v>0</v>
      </c>
      <c r="AQ65" s="27">
        <f>IF($A65="",0,IF(Mitarbeiter!$G$63=FALSE,0,IF(AND(Mitarbeiter!$E$63&lt;&gt;"",AQ$5+6&lt;Mitarbeiter!$E$63),0,IF(AND(Mitarbeiter!$F$63&lt;&gt;"",AQ$5&gt;Mitarbeiter!$F$63),0,IF(Planung!AQ65="",$C65,IF(ISNUMBER(Planung!AQ65),Planung!AQ65,IF(UPPER(Planung!AQ65)="H",$C65/2,0)))))))</f>
        <v>0</v>
      </c>
      <c r="AR65" s="27">
        <f>IF($A65="",0,IF(Mitarbeiter!$G$63=FALSE,0,IF(AND(Mitarbeiter!$E$63&lt;&gt;"",AR$5+6&lt;Mitarbeiter!$E$63),0,IF(AND(Mitarbeiter!$F$63&lt;&gt;"",AR$5&gt;Mitarbeiter!$F$63),0,IF(Planung!AR65="",$C65,IF(ISNUMBER(Planung!AR65),Planung!AR65,IF(UPPER(Planung!AR65)="H",$C65/2,0)))))))</f>
        <v>0</v>
      </c>
      <c r="AS65" s="27">
        <f>IF($A65="",0,IF(Mitarbeiter!$G$63=FALSE,0,IF(AND(Mitarbeiter!$E$63&lt;&gt;"",AS$5+6&lt;Mitarbeiter!$E$63),0,IF(AND(Mitarbeiter!$F$63&lt;&gt;"",AS$5&gt;Mitarbeiter!$F$63),0,IF(Planung!AS65="",$C65,IF(ISNUMBER(Planung!AS65),Planung!AS65,IF(UPPER(Planung!AS65)="H",$C65/2,0)))))))</f>
        <v>0</v>
      </c>
      <c r="AT65" s="27">
        <f>IF($A65="",0,IF(Mitarbeiter!$G$63=FALSE,0,IF(AND(Mitarbeiter!$E$63&lt;&gt;"",AT$5+6&lt;Mitarbeiter!$E$63),0,IF(AND(Mitarbeiter!$F$63&lt;&gt;"",AT$5&gt;Mitarbeiter!$F$63),0,IF(Planung!AT65="",$C65,IF(ISNUMBER(Planung!AT65),Planung!AT65,IF(UPPER(Planung!AT65)="H",$C65/2,0)))))))</f>
        <v>0</v>
      </c>
      <c r="AU65" s="27">
        <f>IF($A65="",0,IF(Mitarbeiter!$G$63=FALSE,0,IF(AND(Mitarbeiter!$E$63&lt;&gt;"",AU$5+6&lt;Mitarbeiter!$E$63),0,IF(AND(Mitarbeiter!$F$63&lt;&gt;"",AU$5&gt;Mitarbeiter!$F$63),0,IF(Planung!AU65="",$C65,IF(ISNUMBER(Planung!AU65),Planung!AU65,IF(UPPER(Planung!AU65)="H",$C65/2,0)))))))</f>
        <v>0</v>
      </c>
      <c r="AV65" s="27">
        <f>IF($A65="",0,IF(Mitarbeiter!$G$63=FALSE,0,IF(AND(Mitarbeiter!$E$63&lt;&gt;"",AV$5+6&lt;Mitarbeiter!$E$63),0,IF(AND(Mitarbeiter!$F$63&lt;&gt;"",AV$5&gt;Mitarbeiter!$F$63),0,IF(Planung!AV65="",$C65,IF(ISNUMBER(Planung!AV65),Planung!AV65,IF(UPPER(Planung!AV65)="H",$C65/2,0)))))))</f>
        <v>0</v>
      </c>
      <c r="AW65" s="27">
        <f>IF($A65="",0,IF(Mitarbeiter!$G$63=FALSE,0,IF(AND(Mitarbeiter!$E$63&lt;&gt;"",AW$5+6&lt;Mitarbeiter!$E$63),0,IF(AND(Mitarbeiter!$F$63&lt;&gt;"",AW$5&gt;Mitarbeiter!$F$63),0,IF(Planung!AW65="",$C65,IF(ISNUMBER(Planung!AW65),Planung!AW65,IF(UPPER(Planung!AW65)="H",$C65/2,0)))))))</f>
        <v>0</v>
      </c>
      <c r="AX65" s="27">
        <f>IF($A65="",0,IF(Mitarbeiter!$G$63=FALSE,0,IF(AND(Mitarbeiter!$E$63&lt;&gt;"",AX$5+6&lt;Mitarbeiter!$E$63),0,IF(AND(Mitarbeiter!$F$63&lt;&gt;"",AX$5&gt;Mitarbeiter!$F$63),0,IF(Planung!AX65="",$C65,IF(ISNUMBER(Planung!AX65),Planung!AX65,IF(UPPER(Planung!AX65)="H",$C65/2,0)))))))</f>
        <v>0</v>
      </c>
      <c r="AY65" s="27">
        <f>IF($A65="",0,IF(Mitarbeiter!$G$63=FALSE,0,IF(AND(Mitarbeiter!$E$63&lt;&gt;"",AY$5+6&lt;Mitarbeiter!$E$63),0,IF(AND(Mitarbeiter!$F$63&lt;&gt;"",AY$5&gt;Mitarbeiter!$F$63),0,IF(Planung!AY65="",$C65,IF(ISNUMBER(Planung!AY65),Planung!AY65,IF(UPPER(Planung!AY65)="H",$C65/2,0)))))))</f>
        <v>0</v>
      </c>
      <c r="AZ65" s="27">
        <f>IF($A65="",0,IF(Mitarbeiter!$G$63=FALSE,0,IF(AND(Mitarbeiter!$E$63&lt;&gt;"",AZ$5+6&lt;Mitarbeiter!$E$63),0,IF(AND(Mitarbeiter!$F$63&lt;&gt;"",AZ$5&gt;Mitarbeiter!$F$63),0,IF(Planung!AZ65="",$C65,IF(ISNUMBER(Planung!AZ65),Planung!AZ65,IF(UPPER(Planung!AZ65)="H",$C65/2,0)))))))</f>
        <v>0</v>
      </c>
      <c r="BA65" s="27">
        <f>IF($A65="",0,IF(Mitarbeiter!$G$63=FALSE,0,IF(AND(Mitarbeiter!$E$63&lt;&gt;"",BA$5+6&lt;Mitarbeiter!$E$63),0,IF(AND(Mitarbeiter!$F$63&lt;&gt;"",BA$5&gt;Mitarbeiter!$F$63),0,IF(Planung!BA65="",$C65,IF(ISNUMBER(Planung!BA65),Planung!BA65,IF(UPPER(Planung!BA65)="H",$C65/2,0)))))))</f>
        <v>0</v>
      </c>
      <c r="BB65" s="27">
        <f>IF($A65="",0,IF(Mitarbeiter!$G$63=FALSE,0,IF(AND(Mitarbeiter!$E$63&lt;&gt;"",BB$5+6&lt;Mitarbeiter!$E$63),0,IF(AND(Mitarbeiter!$F$63&lt;&gt;"",BB$5&gt;Mitarbeiter!$F$63),0,IF(Planung!BB65="",$C65,IF(ISNUMBER(Planung!BB65),Planung!BB65,IF(UPPER(Planung!BB65)="H",$C65/2,0)))))))</f>
        <v>0</v>
      </c>
      <c r="BC65" s="27">
        <f>IF($A65="",0,IF(Mitarbeiter!$G$63=FALSE,0,IF(AND(Mitarbeiter!$E$63&lt;&gt;"",BC$5+6&lt;Mitarbeiter!$E$63),0,IF(AND(Mitarbeiter!$F$63&lt;&gt;"",BC$5&gt;Mitarbeiter!$F$63),0,IF(Planung!BC65="",$C65,IF(ISNUMBER(Planung!BC65),Planung!BC65,IF(UPPER(Planung!BC65)="H",$C65/2,0)))))))</f>
        <v>0</v>
      </c>
      <c r="BD65" s="27">
        <f>IF($A65="",0,IF(Mitarbeiter!$G$63=FALSE,0,IF(AND(Mitarbeiter!$E$63&lt;&gt;"",BD$5+6&lt;Mitarbeiter!$E$63),0,IF(AND(Mitarbeiter!$F$63&lt;&gt;"",BD$5&gt;Mitarbeiter!$F$63),0,IF(Planung!BD65="",$C65,IF(ISNUMBER(Planung!BD65),Planung!BD65,IF(UPPER(Planung!BD65)="H",$C65/2,0)))))))</f>
        <v>0</v>
      </c>
      <c r="BE65" s="27">
        <f>IF($A65="",0,IF(Mitarbeiter!$G$63=FALSE,0,IF(AND(Mitarbeiter!$E$63&lt;&gt;"",BE$5+6&lt;Mitarbeiter!$E$63),0,IF(AND(Mitarbeiter!$F$63&lt;&gt;"",BE$5&gt;Mitarbeiter!$F$63),0,IF(Planung!BE65="",$C65,IF(ISNUMBER(Planung!BE65),Planung!BE65,IF(UPPER(Planung!BE65)="H",$C65/2,0)))))))</f>
        <v>0</v>
      </c>
      <c r="BF65" s="27">
        <f>IF($A65="",0,IF(Mitarbeiter!$G$63=FALSE,0,IF(AND(Mitarbeiter!$E$63&lt;&gt;"",BF$5+6&lt;Mitarbeiter!$E$63),0,IF(AND(Mitarbeiter!$F$63&lt;&gt;"",BF$5&gt;Mitarbeiter!$F$63),0,IF(Planung!BF65="",$C65,IF(ISNUMBER(Planung!BF65),Planung!BF65,IF(UPPER(Planung!BF65)="H",$C65/2,0)))))))</f>
        <v>0</v>
      </c>
      <c r="BG65" s="27">
        <f>IF($A65="",0,IF(Mitarbeiter!$G$63=FALSE,0,IF(AND(Mitarbeiter!$E$63&lt;&gt;"",BG$5+6&lt;Mitarbeiter!$E$63),0,IF(AND(Mitarbeiter!$F$63&lt;&gt;"",BG$5&gt;Mitarbeiter!$F$63),0,IF(Planung!BG65="",$C65,IF(ISNUMBER(Planung!BG65),Planung!BG65,IF(UPPER(Planung!BG65)="H",$C65/2,0)))))))</f>
        <v>0</v>
      </c>
      <c r="BH65" s="27">
        <f>IF($A65="",0,IF(Mitarbeiter!$G$63=FALSE,0,IF(AND(Mitarbeiter!$E$63&lt;&gt;"",BH$5+6&lt;Mitarbeiter!$E$63),0,IF(AND(Mitarbeiter!$F$63&lt;&gt;"",BH$5&gt;Mitarbeiter!$F$63),0,IF(Planung!BH65="",$C65,IF(ISNUMBER(Planung!BH65),Planung!BH65,IF(UPPER(Planung!BH65)="H",$C65/2,0)))))))</f>
        <v>0</v>
      </c>
      <c r="BI65" s="27">
        <f>IF($A65="",0,IF(Mitarbeiter!$G$63=FALSE,0,IF(AND(Mitarbeiter!$E$63&lt;&gt;"",BI$5+6&lt;Mitarbeiter!$E$63),0,IF(AND(Mitarbeiter!$F$63&lt;&gt;"",BI$5&gt;Mitarbeiter!$F$63),0,IF(Planung!BI65="",$C65,IF(ISNUMBER(Planung!BI65),Planung!BI65,IF(UPPER(Planung!BI65)="H",$C65/2,0)))))))</f>
        <v>0</v>
      </c>
      <c r="BJ65" s="27">
        <f>IF($A65="",0,IF(Mitarbeiter!$G$63=FALSE,0,IF(AND(Mitarbeiter!$E$63&lt;&gt;"",BJ$5+6&lt;Mitarbeiter!$E$63),0,IF(AND(Mitarbeiter!$F$63&lt;&gt;"",BJ$5&gt;Mitarbeiter!$F$63),0,IF(Planung!BJ65="",$C65,IF(ISNUMBER(Planung!BJ65),Planung!BJ65,IF(UPPER(Planung!BJ65)="H",$C65/2,0)))))))</f>
        <v>0</v>
      </c>
      <c r="BK65" s="27">
        <f>IF($A65="",0,IF(Mitarbeiter!$G$63=FALSE,0,IF(AND(Mitarbeiter!$E$63&lt;&gt;"",BK$5+6&lt;Mitarbeiter!$E$63),0,IF(AND(Mitarbeiter!$F$63&lt;&gt;"",BK$5&gt;Mitarbeiter!$F$63),0,IF(Planung!BK65="",$C65,IF(ISNUMBER(Planung!BK65),Planung!BK65,IF(UPPER(Planung!BK65)="H",$C65/2,0)))))))</f>
        <v>0</v>
      </c>
      <c r="BL65" s="27">
        <f>IF($A65="",0,IF(Mitarbeiter!$G$63=FALSE,0,IF(AND(Mitarbeiter!$E$63&lt;&gt;"",BL$5+6&lt;Mitarbeiter!$E$63),0,IF(AND(Mitarbeiter!$F$63&lt;&gt;"",BL$5&gt;Mitarbeiter!$F$63),0,IF(Planung!BL65="",$C65,IF(ISNUMBER(Planung!BL65),Planung!BL65,IF(UPPER(Planung!BL65)="H",$C65/2,0)))))))</f>
        <v>0</v>
      </c>
      <c r="BM65" s="27">
        <f>IF($A65="",0,IF(Mitarbeiter!$G$63=FALSE,0,IF(AND(Mitarbeiter!$E$63&lt;&gt;"",BM$5+6&lt;Mitarbeiter!$E$63),0,IF(AND(Mitarbeiter!$F$63&lt;&gt;"",BM$5&gt;Mitarbeiter!$F$63),0,IF(Planung!BM65="",$C65,IF(ISNUMBER(Planung!BM65),Planung!BM65,IF(UPPER(Planung!BM65)="H",$C65/2,0)))))))</f>
        <v>0</v>
      </c>
      <c r="BN65" s="27">
        <f>IF($A65="",0,IF(Mitarbeiter!$G$63=FALSE,0,IF(AND(Mitarbeiter!$E$63&lt;&gt;"",BN$5+6&lt;Mitarbeiter!$E$63),0,IF(AND(Mitarbeiter!$F$63&lt;&gt;"",BN$5&gt;Mitarbeiter!$F$63),0,IF(Planung!BN65="",$C65,IF(ISNUMBER(Planung!BN65),Planung!BN65,IF(UPPER(Planung!BN65)="H",$C65/2,0)))))))</f>
        <v>0</v>
      </c>
      <c r="BO65" s="27">
        <f>IF($A65="",0,IF(Mitarbeiter!$G$63=FALSE,0,IF(AND(Mitarbeiter!$E$63&lt;&gt;"",BO$5+6&lt;Mitarbeiter!$E$63),0,IF(AND(Mitarbeiter!$F$63&lt;&gt;"",BO$5&gt;Mitarbeiter!$F$63),0,IF(Planung!BO65="",$C65,IF(ISNUMBER(Planung!BO65),Planung!BO65,IF(UPPER(Planung!BO65)="H",$C65/2,0)))))))</f>
        <v>0</v>
      </c>
      <c r="BP65" s="27">
        <f>IF($A65="",0,IF(Mitarbeiter!$G$63=FALSE,0,IF(AND(Mitarbeiter!$E$63&lt;&gt;"",BP$5+6&lt;Mitarbeiter!$E$63),0,IF(AND(Mitarbeiter!$F$63&lt;&gt;"",BP$5&gt;Mitarbeiter!$F$63),0,IF(Planung!BP65="",$C65,IF(ISNUMBER(Planung!BP65),Planung!BP65,IF(UPPER(Planung!BP65)="H",$C65/2,0)))))))</f>
        <v>0</v>
      </c>
      <c r="BQ65" s="27">
        <f>IF($A65="",0,IF(Mitarbeiter!$G$63=FALSE,0,IF(AND(Mitarbeiter!$E$63&lt;&gt;"",BQ$5+6&lt;Mitarbeiter!$E$63),0,IF(AND(Mitarbeiter!$F$63&lt;&gt;"",BQ$5&gt;Mitarbeiter!$F$63),0,IF(Planung!BQ65="",$C65,IF(ISNUMBER(Planung!BQ65),Planung!BQ65,IF(UPPER(Planung!BQ65)="H",$C65/2,0)))))))</f>
        <v>0</v>
      </c>
      <c r="BR65" s="27">
        <f>IF($A65="",0,IF(Mitarbeiter!$G$63=FALSE,0,IF(AND(Mitarbeiter!$E$63&lt;&gt;"",BR$5+6&lt;Mitarbeiter!$E$63),0,IF(AND(Mitarbeiter!$F$63&lt;&gt;"",BR$5&gt;Mitarbeiter!$F$63),0,IF(Planung!BR65="",$C65,IF(ISNUMBER(Planung!BR65),Planung!BR65,IF(UPPER(Planung!BR65)="H",$C65/2,0)))))))</f>
        <v>0</v>
      </c>
      <c r="BS65" s="27">
        <f>IF($A65="",0,IF(Mitarbeiter!$G$63=FALSE,0,IF(AND(Mitarbeiter!$E$63&lt;&gt;"",BS$5+6&lt;Mitarbeiter!$E$63),0,IF(AND(Mitarbeiter!$F$63&lt;&gt;"",BS$5&gt;Mitarbeiter!$F$63),0,IF(Planung!BS65="",$C65,IF(ISNUMBER(Planung!BS65),Planung!BS65,IF(UPPER(Planung!BS65)="H",$C65/2,0)))))))</f>
        <v>0</v>
      </c>
      <c r="BT65" s="27">
        <f>IF($A65="",0,IF(Mitarbeiter!$G$63=FALSE,0,IF(AND(Mitarbeiter!$E$63&lt;&gt;"",BT$5+6&lt;Mitarbeiter!$E$63),0,IF(AND(Mitarbeiter!$F$63&lt;&gt;"",BT$5&gt;Mitarbeiter!$F$63),0,IF(Planung!BT65="",$C65,IF(ISNUMBER(Planung!BT65),Planung!BT65,IF(UPPER(Planung!BT65)="H",$C65/2,0)))))))</f>
        <v>0</v>
      </c>
      <c r="BU65" s="27">
        <f>IF($A65="",0,IF(Mitarbeiter!$G$63=FALSE,0,IF(AND(Mitarbeiter!$E$63&lt;&gt;"",BU$5+6&lt;Mitarbeiter!$E$63),0,IF(AND(Mitarbeiter!$F$63&lt;&gt;"",BU$5&gt;Mitarbeiter!$F$63),0,IF(Planung!BU65="",$C65,IF(ISNUMBER(Planung!BU65),Planung!BU65,IF(UPPER(Planung!BU65)="H",$C65/2,0)))))))</f>
        <v>0</v>
      </c>
      <c r="BV65" s="27">
        <f>IF($A65="",0,IF(Mitarbeiter!$G$63=FALSE,0,IF(AND(Mitarbeiter!$E$63&lt;&gt;"",BV$5+6&lt;Mitarbeiter!$E$63),0,IF(AND(Mitarbeiter!$F$63&lt;&gt;"",BV$5&gt;Mitarbeiter!$F$63),0,IF(Planung!BV65="",$C65,IF(ISNUMBER(Planung!BV65),Planung!BV65,IF(UPPER(Planung!BV65)="H",$C65/2,0)))))))</f>
        <v>0</v>
      </c>
      <c r="BW65" s="27">
        <f>IF($A65="",0,IF(Mitarbeiter!$G$63=FALSE,0,IF(AND(Mitarbeiter!$E$63&lt;&gt;"",BW$5+6&lt;Mitarbeiter!$E$63),0,IF(AND(Mitarbeiter!$F$63&lt;&gt;"",BW$5&gt;Mitarbeiter!$F$63),0,IF(Planung!BW65="",$C65,IF(ISNUMBER(Planung!BW65),Planung!BW65,IF(UPPER(Planung!BW65)="H",$C65/2,0)))))))</f>
        <v>0</v>
      </c>
      <c r="BX65" s="27">
        <f>IF($A65="",0,IF(Mitarbeiter!$G$63=FALSE,0,IF(AND(Mitarbeiter!$E$63&lt;&gt;"",BX$5+6&lt;Mitarbeiter!$E$63),0,IF(AND(Mitarbeiter!$F$63&lt;&gt;"",BX$5&gt;Mitarbeiter!$F$63),0,IF(Planung!BX65="",$C65,IF(ISNUMBER(Planung!BX65),Planung!BX65,IF(UPPER(Planung!BX65)="H",$C65/2,0)))))))</f>
        <v>0</v>
      </c>
      <c r="BY65" s="27">
        <f>IF($A65="",0,IF(Mitarbeiter!$G$63=FALSE,0,IF(AND(Mitarbeiter!$E$63&lt;&gt;"",BY$5+6&lt;Mitarbeiter!$E$63),0,IF(AND(Mitarbeiter!$F$63&lt;&gt;"",BY$5&gt;Mitarbeiter!$F$63),0,IF(Planung!BY65="",$C65,IF(ISNUMBER(Planung!BY65),Planung!BY65,IF(UPPER(Planung!BY65)="H",$C65/2,0)))))))</f>
        <v>0</v>
      </c>
      <c r="BZ65" s="27">
        <f>IF($A65="",0,IF(Mitarbeiter!$G$63=FALSE,0,IF(AND(Mitarbeiter!$E$63&lt;&gt;"",BZ$5+6&lt;Mitarbeiter!$E$63),0,IF(AND(Mitarbeiter!$F$63&lt;&gt;"",BZ$5&gt;Mitarbeiter!$F$63),0,IF(Planung!BZ65="",$C65,IF(ISNUMBER(Planung!BZ65),Planung!BZ65,IF(UPPER(Planung!BZ65)="H",$C65/2,0)))))))</f>
        <v>0</v>
      </c>
      <c r="CA65" s="27">
        <f>IF($A65="",0,IF(Mitarbeiter!$G$63=FALSE,0,IF(AND(Mitarbeiter!$E$63&lt;&gt;"",CA$5+6&lt;Mitarbeiter!$E$63),0,IF(AND(Mitarbeiter!$F$63&lt;&gt;"",CA$5&gt;Mitarbeiter!$F$63),0,IF(Planung!CA65="",$C65,IF(ISNUMBER(Planung!CA65),Planung!CA65,IF(UPPER(Planung!CA65)="H",$C65/2,0)))))))</f>
        <v>0</v>
      </c>
      <c r="CB65" s="27">
        <f>IF($A65="",0,IF(Mitarbeiter!$G$63=FALSE,0,IF(AND(Mitarbeiter!$E$63&lt;&gt;"",CB$5+6&lt;Mitarbeiter!$E$63),0,IF(AND(Mitarbeiter!$F$63&lt;&gt;"",CB$5&gt;Mitarbeiter!$F$63),0,IF(Planung!CB65="",$C65,IF(ISNUMBER(Planung!CB65),Planung!CB65,IF(UPPER(Planung!CB65)="H",$C65/2,0)))))))</f>
        <v>0</v>
      </c>
      <c r="CC65" s="27">
        <f>IF($A65="",0,IF(Mitarbeiter!$G$63=FALSE,0,IF(AND(Mitarbeiter!$E$63&lt;&gt;"",CC$5+6&lt;Mitarbeiter!$E$63),0,IF(AND(Mitarbeiter!$F$63&lt;&gt;"",CC$5&gt;Mitarbeiter!$F$63),0,IF(Planung!CC65="",$C65,IF(ISNUMBER(Planung!CC65),Planung!CC65,IF(UPPER(Planung!CC65)="H",$C65/2,0)))))))</f>
        <v>0</v>
      </c>
      <c r="CD65" s="27">
        <f>IF($A65="",0,IF(Mitarbeiter!$G$63=FALSE,0,IF(AND(Mitarbeiter!$E$63&lt;&gt;"",CD$5+6&lt;Mitarbeiter!$E$63),0,IF(AND(Mitarbeiter!$F$63&lt;&gt;"",CD$5&gt;Mitarbeiter!$F$63),0,IF(Planung!CD65="",$C65,IF(ISNUMBER(Planung!CD65),Planung!CD65,IF(UPPER(Planung!CD65)="H",$C65/2,0)))))))</f>
        <v>0</v>
      </c>
      <c r="CE65" s="27">
        <f>IF($A65="",0,IF(Mitarbeiter!$G$63=FALSE,0,IF(AND(Mitarbeiter!$E$63&lt;&gt;"",CE$5+6&lt;Mitarbeiter!$E$63),0,IF(AND(Mitarbeiter!$F$63&lt;&gt;"",CE$5&gt;Mitarbeiter!$F$63),0,IF(Planung!CE65="",$C65,IF(ISNUMBER(Planung!CE65),Planung!CE65,IF(UPPER(Planung!CE65)="H",$C65/2,0)))))))</f>
        <v>0</v>
      </c>
      <c r="CF65" s="27">
        <f>IF($A65="",0,IF(Mitarbeiter!$G$63=FALSE,0,IF(AND(Mitarbeiter!$E$63&lt;&gt;"",CF$5+6&lt;Mitarbeiter!$E$63),0,IF(AND(Mitarbeiter!$F$63&lt;&gt;"",CF$5&gt;Mitarbeiter!$F$63),0,IF(Planung!CF65="",$C65,IF(ISNUMBER(Planung!CF65),Planung!CF65,IF(UPPER(Planung!CF65)="H",$C65/2,0)))))))</f>
        <v>0</v>
      </c>
      <c r="CG65" s="27">
        <f>IF($A65="",0,IF(Mitarbeiter!$G$63=FALSE,0,IF(AND(Mitarbeiter!$E$63&lt;&gt;"",CG$5+6&lt;Mitarbeiter!$E$63),0,IF(AND(Mitarbeiter!$F$63&lt;&gt;"",CG$5&gt;Mitarbeiter!$F$63),0,IF(Planung!CG65="",$C65,IF(ISNUMBER(Planung!CG65),Planung!CG65,IF(UPPER(Planung!CG65)="H",$C65/2,0)))))))</f>
        <v>0</v>
      </c>
      <c r="CH65" s="27">
        <f>IF($A65="",0,IF(Mitarbeiter!$G$63=FALSE,0,IF(AND(Mitarbeiter!$E$63&lt;&gt;"",CH$5+6&lt;Mitarbeiter!$E$63),0,IF(AND(Mitarbeiter!$F$63&lt;&gt;"",CH$5&gt;Mitarbeiter!$F$63),0,IF(Planung!CH65="",$C65,IF(ISNUMBER(Planung!CH65),Planung!CH65,IF(UPPER(Planung!CH65)="H",$C65/2,0)))))))</f>
        <v>0</v>
      </c>
      <c r="CI65" s="27">
        <f>IF($A65="",0,IF(Mitarbeiter!$G$63=FALSE,0,IF(AND(Mitarbeiter!$E$63&lt;&gt;"",CI$5+6&lt;Mitarbeiter!$E$63),0,IF(AND(Mitarbeiter!$F$63&lt;&gt;"",CI$5&gt;Mitarbeiter!$F$63),0,IF(Planung!CI65="",$C65,IF(ISNUMBER(Planung!CI65),Planung!CI65,IF(UPPER(Planung!CI65)="H",$C65/2,0)))))))</f>
        <v>0</v>
      </c>
      <c r="CJ65" s="27">
        <f>IF($A65="",0,IF(Mitarbeiter!$G$63=FALSE,0,IF(AND(Mitarbeiter!$E$63&lt;&gt;"",CJ$5+6&lt;Mitarbeiter!$E$63),0,IF(AND(Mitarbeiter!$F$63&lt;&gt;"",CJ$5&gt;Mitarbeiter!$F$63),0,IF(Planung!CJ65="",$C65,IF(ISNUMBER(Planung!CJ65),Planung!CJ65,IF(UPPER(Planung!CJ65)="H",$C65/2,0)))))))</f>
        <v>0</v>
      </c>
      <c r="CK65" s="27">
        <f>IF($A65="",0,IF(Mitarbeiter!$G$63=FALSE,0,IF(AND(Mitarbeiter!$E$63&lt;&gt;"",CK$5+6&lt;Mitarbeiter!$E$63),0,IF(AND(Mitarbeiter!$F$63&lt;&gt;"",CK$5&gt;Mitarbeiter!$F$63),0,IF(Planung!CK65="",$C65,IF(ISNUMBER(Planung!CK65),Planung!CK65,IF(UPPER(Planung!CK65)="H",$C65/2,0)))))))</f>
        <v>0</v>
      </c>
      <c r="CL65" s="27">
        <f>IF($A65="",0,IF(Mitarbeiter!$G$63=FALSE,0,IF(AND(Mitarbeiter!$E$63&lt;&gt;"",CL$5+6&lt;Mitarbeiter!$E$63),0,IF(AND(Mitarbeiter!$F$63&lt;&gt;"",CL$5&gt;Mitarbeiter!$F$63),0,IF(Planung!CL65="",$C65,IF(ISNUMBER(Planung!CL65),Planung!CL65,IF(UPPER(Planung!CL65)="H",$C65/2,0)))))))</f>
        <v>0</v>
      </c>
      <c r="CM65" s="27">
        <f>IF($A65="",0,IF(Mitarbeiter!$G$63=FALSE,0,IF(AND(Mitarbeiter!$E$63&lt;&gt;"",CM$5+6&lt;Mitarbeiter!$E$63),0,IF(AND(Mitarbeiter!$F$63&lt;&gt;"",CM$5&gt;Mitarbeiter!$F$63),0,IF(Planung!CM65="",$C65,IF(ISNUMBER(Planung!CM65),Planung!CM65,IF(UPPER(Planung!CM65)="H",$C65/2,0)))))))</f>
        <v>0</v>
      </c>
      <c r="CN65" s="27">
        <f>IF($A65="",0,IF(Mitarbeiter!$G$63=FALSE,0,IF(AND(Mitarbeiter!$E$63&lt;&gt;"",CN$5+6&lt;Mitarbeiter!$E$63),0,IF(AND(Mitarbeiter!$F$63&lt;&gt;"",CN$5&gt;Mitarbeiter!$F$63),0,IF(Planung!CN65="",$C65,IF(ISNUMBER(Planung!CN65),Planung!CN65,IF(UPPER(Planung!CN65)="H",$C65/2,0)))))))</f>
        <v>0</v>
      </c>
      <c r="CO65" s="27">
        <f>IF($A65="",0,IF(Mitarbeiter!$G$63=FALSE,0,IF(AND(Mitarbeiter!$E$63&lt;&gt;"",CO$5+6&lt;Mitarbeiter!$E$63),0,IF(AND(Mitarbeiter!$F$63&lt;&gt;"",CO$5&gt;Mitarbeiter!$F$63),0,IF(Planung!CO65="",$C65,IF(ISNUMBER(Planung!CO65),Planung!CO65,IF(UPPER(Planung!CO65)="H",$C65/2,0)))))))</f>
        <v>0</v>
      </c>
      <c r="CP65" s="27">
        <f>IF($A65="",0,IF(Mitarbeiter!$G$63=FALSE,0,IF(AND(Mitarbeiter!$E$63&lt;&gt;"",CP$5+6&lt;Mitarbeiter!$E$63),0,IF(AND(Mitarbeiter!$F$63&lt;&gt;"",CP$5&gt;Mitarbeiter!$F$63),0,IF(Planung!CP65="",$C65,IF(ISNUMBER(Planung!CP65),Planung!CP65,IF(UPPER(Planung!CP65)="H",$C65/2,0)))))))</f>
        <v>0</v>
      </c>
      <c r="CQ65" s="27">
        <f>IF($A65="",0,IF(Mitarbeiter!$G$63=FALSE,0,IF(AND(Mitarbeiter!$E$63&lt;&gt;"",CQ$5+6&lt;Mitarbeiter!$E$63),0,IF(AND(Mitarbeiter!$F$63&lt;&gt;"",CQ$5&gt;Mitarbeiter!$F$63),0,IF(Planung!CQ65="",$C65,IF(ISNUMBER(Planung!CQ65),Planung!CQ65,IF(UPPER(Planung!CQ65)="H",$C65/2,0)))))))</f>
        <v>0</v>
      </c>
      <c r="CR65" s="27">
        <f>IF($A65="",0,IF(Mitarbeiter!$G$63=FALSE,0,IF(AND(Mitarbeiter!$E$63&lt;&gt;"",CR$5+6&lt;Mitarbeiter!$E$63),0,IF(AND(Mitarbeiter!$F$63&lt;&gt;"",CR$5&gt;Mitarbeiter!$F$63),0,IF(Planung!CR65="",$C65,IF(ISNUMBER(Planung!CR65),Planung!CR65,IF(UPPER(Planung!CR65)="H",$C65/2,0)))))))</f>
        <v>0</v>
      </c>
      <c r="CS65" s="27">
        <f>IF($A65="",0,IF(Mitarbeiter!$G$63=FALSE,0,IF(AND(Mitarbeiter!$E$63&lt;&gt;"",CS$5+6&lt;Mitarbeiter!$E$63),0,IF(AND(Mitarbeiter!$F$63&lt;&gt;"",CS$5&gt;Mitarbeiter!$F$63),0,IF(Planung!CS65="",$C65,IF(ISNUMBER(Planung!CS65),Planung!CS65,IF(UPPER(Planung!CS65)="H",$C65/2,0)))))))</f>
        <v>0</v>
      </c>
      <c r="CT65" s="27">
        <f>IF($A65="",0,IF(Mitarbeiter!$G$63=FALSE,0,IF(AND(Mitarbeiter!$E$63&lt;&gt;"",CT$5+6&lt;Mitarbeiter!$E$63),0,IF(AND(Mitarbeiter!$F$63&lt;&gt;"",CT$5&gt;Mitarbeiter!$F$63),0,IF(Planung!CT65="",$C65,IF(ISNUMBER(Planung!CT65),Planung!CT65,IF(UPPER(Planung!CT65)="H",$C65/2,0)))))))</f>
        <v>0</v>
      </c>
      <c r="CU65" s="27">
        <f>IF($A65="",0,IF(Mitarbeiter!$G$63=FALSE,0,IF(AND(Mitarbeiter!$E$63&lt;&gt;"",CU$5+6&lt;Mitarbeiter!$E$63),0,IF(AND(Mitarbeiter!$F$63&lt;&gt;"",CU$5&gt;Mitarbeiter!$F$63),0,IF(Planung!CU65="",$C65,IF(ISNUMBER(Planung!CU65),Planung!CU65,IF(UPPER(Planung!CU65)="H",$C65/2,0)))))))</f>
        <v>0</v>
      </c>
      <c r="CV65" s="27">
        <f>IF($A65="",0,IF(Mitarbeiter!$G$63=FALSE,0,IF(AND(Mitarbeiter!$E$63&lt;&gt;"",CV$5+6&lt;Mitarbeiter!$E$63),0,IF(AND(Mitarbeiter!$F$63&lt;&gt;"",CV$5&gt;Mitarbeiter!$F$63),0,IF(Planung!CV65="",$C65,IF(ISNUMBER(Planung!CV65),Planung!CV65,IF(UPPER(Planung!CV65)="H",$C65/2,0)))))))</f>
        <v>0</v>
      </c>
      <c r="CW65" s="27">
        <f>IF($A65="",0,IF(Mitarbeiter!$G$63=FALSE,0,IF(AND(Mitarbeiter!$E$63&lt;&gt;"",CW$5+6&lt;Mitarbeiter!$E$63),0,IF(AND(Mitarbeiter!$F$63&lt;&gt;"",CW$5&gt;Mitarbeiter!$F$63),0,IF(Planung!CW65="",$C65,IF(ISNUMBER(Planung!CW65),Planung!CW65,IF(UPPER(Planung!CW65)="H",$C65/2,0)))))))</f>
        <v>0</v>
      </c>
      <c r="CX65" s="27">
        <f>IF($A65="",0,IF(Mitarbeiter!$G$63=FALSE,0,IF(AND(Mitarbeiter!$E$63&lt;&gt;"",CX$5+6&lt;Mitarbeiter!$E$63),0,IF(AND(Mitarbeiter!$F$63&lt;&gt;"",CX$5&gt;Mitarbeiter!$F$63),0,IF(Planung!CX65="",$C65,IF(ISNUMBER(Planung!CX65),Planung!CX65,IF(UPPER(Planung!CX65)="H",$C65/2,0)))))))</f>
        <v>0</v>
      </c>
      <c r="CY65" s="27">
        <f>IF($A65="",0,IF(Mitarbeiter!$G$63=FALSE,0,IF(AND(Mitarbeiter!$E$63&lt;&gt;"",CY$5+6&lt;Mitarbeiter!$E$63),0,IF(AND(Mitarbeiter!$F$63&lt;&gt;"",CY$5&gt;Mitarbeiter!$F$63),0,IF(Planung!CY65="",$C65,IF(ISNUMBER(Planung!CY65),Planung!CY65,IF(UPPER(Planung!CY65)="H",$C65/2,0)))))))</f>
        <v>0</v>
      </c>
      <c r="CZ65" s="27">
        <f>IF($A65="",0,IF(Mitarbeiter!$G$63=FALSE,0,IF(AND(Mitarbeiter!$E$63&lt;&gt;"",CZ$5+6&lt;Mitarbeiter!$E$63),0,IF(AND(Mitarbeiter!$F$63&lt;&gt;"",CZ$5&gt;Mitarbeiter!$F$63),0,IF(Planung!CZ65="",$C65,IF(ISNUMBER(Planung!CZ65),Planung!CZ65,IF(UPPER(Planung!CZ65)="H",$C65/2,0)))))))</f>
        <v>0</v>
      </c>
      <c r="DA65" s="27">
        <f>IF($A65="",0,IF(Mitarbeiter!$G$63=FALSE,0,IF(AND(Mitarbeiter!$E$63&lt;&gt;"",DA$5+6&lt;Mitarbeiter!$E$63),0,IF(AND(Mitarbeiter!$F$63&lt;&gt;"",DA$5&gt;Mitarbeiter!$F$63),0,IF(Planung!DA65="",$C65,IF(ISNUMBER(Planung!DA65),Planung!DA65,IF(UPPER(Planung!DA65)="H",$C65/2,0)))))))</f>
        <v>0</v>
      </c>
      <c r="DB65" s="27">
        <f>IF($A65="",0,IF(Mitarbeiter!$G$63=FALSE,0,IF(AND(Mitarbeiter!$E$63&lt;&gt;"",DB$5+6&lt;Mitarbeiter!$E$63),0,IF(AND(Mitarbeiter!$F$63&lt;&gt;"",DB$5&gt;Mitarbeiter!$F$63),0,IF(Planung!DB65="",$C65,IF(ISNUMBER(Planung!DB65),Planung!DB65,IF(UPPER(Planung!DB65)="H",$C65/2,0)))))))</f>
        <v>0</v>
      </c>
      <c r="DC65" s="27">
        <f>IF($A65="",0,IF(Mitarbeiter!$G$63=FALSE,0,IF(AND(Mitarbeiter!$E$63&lt;&gt;"",DC$5+6&lt;Mitarbeiter!$E$63),0,IF(AND(Mitarbeiter!$F$63&lt;&gt;"",DC$5&gt;Mitarbeiter!$F$63),0,IF(Planung!DC65="",$C65,IF(ISNUMBER(Planung!DC65),Planung!DC65,IF(UPPER(Planung!DC65)="H",$C65/2,0)))))))</f>
        <v>0</v>
      </c>
      <c r="DD65" s="27">
        <f>IF($A65="",0,IF(Mitarbeiter!$G$63=FALSE,0,IF(AND(Mitarbeiter!$E$63&lt;&gt;"",DD$5+6&lt;Mitarbeiter!$E$63),0,IF(AND(Mitarbeiter!$F$63&lt;&gt;"",DD$5&gt;Mitarbeiter!$F$63),0,IF(Planung!DD65="",$C65,IF(ISNUMBER(Planung!DD65),Planung!DD65,IF(UPPER(Planung!DD65)="H",$C65/2,0)))))))</f>
        <v>0</v>
      </c>
      <c r="DE65" s="27">
        <f>IF($A65="",0,IF(Mitarbeiter!$G$63=FALSE,0,IF(AND(Mitarbeiter!$E$63&lt;&gt;"",DE$5+6&lt;Mitarbeiter!$E$63),0,IF(AND(Mitarbeiter!$F$63&lt;&gt;"",DE$5&gt;Mitarbeiter!$F$63),0,IF(Planung!DE65="",$C65,IF(ISNUMBER(Planung!DE65),Planung!DE65,IF(UPPER(Planung!DE65)="H",$C65/2,0)))))))</f>
        <v>0</v>
      </c>
      <c r="DF65" s="27">
        <f>IF($A65="",0,IF(Mitarbeiter!$G$63=FALSE,0,IF(AND(Mitarbeiter!$E$63&lt;&gt;"",DF$5+6&lt;Mitarbeiter!$E$63),0,IF(AND(Mitarbeiter!$F$63&lt;&gt;"",DF$5&gt;Mitarbeiter!$F$63),0,IF(Planung!DF65="",$C65,IF(ISNUMBER(Planung!DF65),Planung!DF65,IF(UPPER(Planung!DF65)="H",$C65/2,0)))))))</f>
        <v>0</v>
      </c>
      <c r="DG65" s="27">
        <f>IF($A65="",0,IF(Mitarbeiter!$G$63=FALSE,0,IF(AND(Mitarbeiter!$E$63&lt;&gt;"",DG$5+6&lt;Mitarbeiter!$E$63),0,IF(AND(Mitarbeiter!$F$63&lt;&gt;"",DG$5&gt;Mitarbeiter!$F$63),0,IF(Planung!DG65="",$C65,IF(ISNUMBER(Planung!DG65),Planung!DG65,IF(UPPER(Planung!DG65)="H",$C65/2,0)))))))</f>
        <v>0</v>
      </c>
      <c r="DH65" s="27">
        <f>IF($A65="",0,IF(Mitarbeiter!$G$63=FALSE,0,IF(AND(Mitarbeiter!$E$63&lt;&gt;"",DH$5+6&lt;Mitarbeiter!$E$63),0,IF(AND(Mitarbeiter!$F$63&lt;&gt;"",DH$5&gt;Mitarbeiter!$F$63),0,IF(Planung!DH65="",$C65,IF(ISNUMBER(Planung!DH65),Planung!DH65,IF(UPPER(Planung!DH65)="H",$C65/2,0)))))))</f>
        <v>0</v>
      </c>
      <c r="DI65" s="27">
        <f>IF($A65="",0,IF(Mitarbeiter!$G$63=FALSE,0,IF(AND(Mitarbeiter!$E$63&lt;&gt;"",DI$5+6&lt;Mitarbeiter!$E$63),0,IF(AND(Mitarbeiter!$F$63&lt;&gt;"",DI$5&gt;Mitarbeiter!$F$63),0,IF(Planung!DI65="",$C65,IF(ISNUMBER(Planung!DI65),Planung!DI65,IF(UPPER(Planung!DI65)="H",$C65/2,0)))))))</f>
        <v>0</v>
      </c>
      <c r="DJ65" s="27">
        <f>IF($A65="",0,IF(Mitarbeiter!$G$63=FALSE,0,IF(AND(Mitarbeiter!$E$63&lt;&gt;"",DJ$5+6&lt;Mitarbeiter!$E$63),0,IF(AND(Mitarbeiter!$F$63&lt;&gt;"",DJ$5&gt;Mitarbeiter!$F$63),0,IF(Planung!DJ65="",$C65,IF(ISNUMBER(Planung!DJ65),Planung!DJ65,IF(UPPER(Planung!DJ65)="H",$C65/2,0)))))))</f>
        <v>0</v>
      </c>
      <c r="DK65" s="27">
        <f>IF($A65="",0,IF(Mitarbeiter!$G$63=FALSE,0,IF(AND(Mitarbeiter!$E$63&lt;&gt;"",DK$5+6&lt;Mitarbeiter!$E$63),0,IF(AND(Mitarbeiter!$F$63&lt;&gt;"",DK$5&gt;Mitarbeiter!$F$63),0,IF(Planung!DK65="",$C65,IF(ISNUMBER(Planung!DK65),Planung!DK65,IF(UPPER(Planung!DK65)="H",$C65/2,0)))))))</f>
        <v>0</v>
      </c>
      <c r="DL65" s="27">
        <f>IF($A65="",0,IF(Mitarbeiter!$G$63=FALSE,0,IF(AND(Mitarbeiter!$E$63&lt;&gt;"",DL$5+6&lt;Mitarbeiter!$E$63),0,IF(AND(Mitarbeiter!$F$63&lt;&gt;"",DL$5&gt;Mitarbeiter!$F$63),0,IF(Planung!DL65="",$C65,IF(ISNUMBER(Planung!DL65),Planung!DL65,IF(UPPER(Planung!DL65)="H",$C65/2,0)))))))</f>
        <v>0</v>
      </c>
      <c r="DM65" s="27">
        <f>IF($A65="",0,IF(Mitarbeiter!$G$63=FALSE,0,IF(AND(Mitarbeiter!$E$63&lt;&gt;"",DM$5+6&lt;Mitarbeiter!$E$63),0,IF(AND(Mitarbeiter!$F$63&lt;&gt;"",DM$5&gt;Mitarbeiter!$F$63),0,IF(Planung!DM65="",$C65,IF(ISNUMBER(Planung!DM65),Planung!DM65,IF(UPPER(Planung!DM65)="H",$C65/2,0)))))))</f>
        <v>0</v>
      </c>
      <c r="DN65" s="27">
        <f>IF($A65="",0,IF(Mitarbeiter!$G$63=FALSE,0,IF(AND(Mitarbeiter!$E$63&lt;&gt;"",DN$5+6&lt;Mitarbeiter!$E$63),0,IF(AND(Mitarbeiter!$F$63&lt;&gt;"",DN$5&gt;Mitarbeiter!$F$63),0,IF(Planung!DN65="",$C65,IF(ISNUMBER(Planung!DN65),Planung!DN65,IF(UPPER(Planung!DN65)="H",$C65/2,0)))))))</f>
        <v>0</v>
      </c>
      <c r="DO65" s="27">
        <f>IF($A65="",0,IF(Mitarbeiter!$G$63=FALSE,0,IF(AND(Mitarbeiter!$E$63&lt;&gt;"",DO$5+6&lt;Mitarbeiter!$E$63),0,IF(AND(Mitarbeiter!$F$63&lt;&gt;"",DO$5&gt;Mitarbeiter!$F$63),0,IF(Planung!DO65="",$C65,IF(ISNUMBER(Planung!DO65),Planung!DO65,IF(UPPER(Planung!DO65)="H",$C65/2,0)))))))</f>
        <v>0</v>
      </c>
      <c r="DP65" s="27">
        <f>IF($A65="",0,IF(Mitarbeiter!$G$63=FALSE,0,IF(AND(Mitarbeiter!$E$63&lt;&gt;"",DP$5+6&lt;Mitarbeiter!$E$63),0,IF(AND(Mitarbeiter!$F$63&lt;&gt;"",DP$5&gt;Mitarbeiter!$F$63),0,IF(Planung!DP65="",$C65,IF(ISNUMBER(Planung!DP65),Planung!DP65,IF(UPPER(Planung!DP65)="H",$C65/2,0)))))))</f>
        <v>0</v>
      </c>
      <c r="DQ65" s="27">
        <f>IF($A65="",0,IF(Mitarbeiter!$G$63=FALSE,0,IF(AND(Mitarbeiter!$E$63&lt;&gt;"",DQ$5+6&lt;Mitarbeiter!$E$63),0,IF(AND(Mitarbeiter!$F$63&lt;&gt;"",DQ$5&gt;Mitarbeiter!$F$63),0,IF(Planung!DQ65="",$C65,IF(ISNUMBER(Planung!DQ65),Planung!DQ65,IF(UPPER(Planung!DQ65)="H",$C65/2,0)))))))</f>
        <v>0</v>
      </c>
      <c r="DR65" s="27">
        <f>IF($A65="",0,IF(Mitarbeiter!$G$63=FALSE,0,IF(AND(Mitarbeiter!$E$63&lt;&gt;"",DR$5+6&lt;Mitarbeiter!$E$63),0,IF(AND(Mitarbeiter!$F$63&lt;&gt;"",DR$5&gt;Mitarbeiter!$F$63),0,IF(Planung!DR65="",$C65,IF(ISNUMBER(Planung!DR65),Planung!DR65,IF(UPPER(Planung!DR65)="H",$C65/2,0)))))))</f>
        <v>0</v>
      </c>
      <c r="DS65" s="27">
        <f>IF($A65="",0,IF(Mitarbeiter!$G$63=FALSE,0,IF(AND(Mitarbeiter!$E$63&lt;&gt;"",DS$5+6&lt;Mitarbeiter!$E$63),0,IF(AND(Mitarbeiter!$F$63&lt;&gt;"",DS$5&gt;Mitarbeiter!$F$63),0,IF(Planung!DS65="",$C65,IF(ISNUMBER(Planung!DS65),Planung!DS65,IF(UPPER(Planung!DS65)="H",$C65/2,0)))))))</f>
        <v>0</v>
      </c>
      <c r="DT65" s="27">
        <f>IF($A65="",0,IF(Mitarbeiter!$G$63=FALSE,0,IF(AND(Mitarbeiter!$E$63&lt;&gt;"",DT$5+6&lt;Mitarbeiter!$E$63),0,IF(AND(Mitarbeiter!$F$63&lt;&gt;"",DT$5&gt;Mitarbeiter!$F$63),0,IF(Planung!DT65="",$C65,IF(ISNUMBER(Planung!DT65),Planung!DT65,IF(UPPER(Planung!DT65)="H",$C65/2,0)))))))</f>
        <v>0</v>
      </c>
      <c r="DU65" s="27">
        <f>IF($A65="",0,IF(Mitarbeiter!$G$63=FALSE,0,IF(AND(Mitarbeiter!$E$63&lt;&gt;"",DU$5+6&lt;Mitarbeiter!$E$63),0,IF(AND(Mitarbeiter!$F$63&lt;&gt;"",DU$5&gt;Mitarbeiter!$F$63),0,IF(Planung!DU65="",$C65,IF(ISNUMBER(Planung!DU65),Planung!DU65,IF(UPPER(Planung!DU65)="H",$C65/2,0)))))))</f>
        <v>0</v>
      </c>
      <c r="DV65" s="27">
        <f>IF($A65="",0,IF(Mitarbeiter!$G$63=FALSE,0,IF(AND(Mitarbeiter!$E$63&lt;&gt;"",DV$5+6&lt;Mitarbeiter!$E$63),0,IF(AND(Mitarbeiter!$F$63&lt;&gt;"",DV$5&gt;Mitarbeiter!$F$63),0,IF(Planung!DV65="",$C65,IF(ISNUMBER(Planung!DV65),Planung!DV65,IF(UPPER(Planung!DV65)="H",$C65/2,0)))))))</f>
        <v>0</v>
      </c>
      <c r="DW65" s="27">
        <f>IF($A65="",0,IF(Mitarbeiter!$G$63=FALSE,0,IF(AND(Mitarbeiter!$E$63&lt;&gt;"",DW$5+6&lt;Mitarbeiter!$E$63),0,IF(AND(Mitarbeiter!$F$63&lt;&gt;"",DW$5&gt;Mitarbeiter!$F$63),0,IF(Planung!DW65="",$C65,IF(ISNUMBER(Planung!DW65),Planung!DW65,IF(UPPER(Planung!DW65)="H",$C65/2,0)))))))</f>
        <v>0</v>
      </c>
      <c r="DX65" s="27">
        <f>IF($A65="",0,IF(Mitarbeiter!$G$63=FALSE,0,IF(AND(Mitarbeiter!$E$63&lt;&gt;"",DX$5+6&lt;Mitarbeiter!$E$63),0,IF(AND(Mitarbeiter!$F$63&lt;&gt;"",DX$5&gt;Mitarbeiter!$F$63),0,IF(Planung!DX65="",$C65,IF(ISNUMBER(Planung!DX65),Planung!DX65,IF(UPPER(Planung!DX65)="H",$C65/2,0)))))))</f>
        <v>0</v>
      </c>
      <c r="DY65" s="27">
        <f>IF($A65="",0,IF(Mitarbeiter!$G$63=FALSE,0,IF(AND(Mitarbeiter!$E$63&lt;&gt;"",DY$5+6&lt;Mitarbeiter!$E$63),0,IF(AND(Mitarbeiter!$F$63&lt;&gt;"",DY$5&gt;Mitarbeiter!$F$63),0,IF(Planung!DY65="",$C65,IF(ISNUMBER(Planung!DY65),Planung!DY65,IF(UPPER(Planung!DY65)="H",$C65/2,0)))))))</f>
        <v>0</v>
      </c>
      <c r="DZ65" s="27">
        <f>IF($A65="",0,IF(Mitarbeiter!$G$63=FALSE,0,IF(AND(Mitarbeiter!$E$63&lt;&gt;"",DZ$5+6&lt;Mitarbeiter!$E$63),0,IF(AND(Mitarbeiter!$F$63&lt;&gt;"",DZ$5&gt;Mitarbeiter!$F$63),0,IF(Planung!DZ65="",$C65,IF(ISNUMBER(Planung!DZ65),Planung!DZ65,IF(UPPER(Planung!DZ65)="H",$C65/2,0)))))))</f>
        <v>0</v>
      </c>
      <c r="EA65" s="27">
        <f>IF($A65="",0,IF(Mitarbeiter!$G$63=FALSE,0,IF(AND(Mitarbeiter!$E$63&lt;&gt;"",EA$5+6&lt;Mitarbeiter!$E$63),0,IF(AND(Mitarbeiter!$F$63&lt;&gt;"",EA$5&gt;Mitarbeiter!$F$63),0,IF(Planung!EA65="",$C65,IF(ISNUMBER(Planung!EA65),Planung!EA65,IF(UPPER(Planung!EA65)="H",$C65/2,0)))))))</f>
        <v>0</v>
      </c>
      <c r="EB65" s="27">
        <f>IF($A65="",0,IF(Mitarbeiter!$G$63=FALSE,0,IF(AND(Mitarbeiter!$E$63&lt;&gt;"",EB$5+6&lt;Mitarbeiter!$E$63),0,IF(AND(Mitarbeiter!$F$63&lt;&gt;"",EB$5&gt;Mitarbeiter!$F$63),0,IF(Planung!EB65="",$C65,IF(ISNUMBER(Planung!EB65),Planung!EB65,IF(UPPER(Planung!EB65)="H",$C65/2,0)))))))</f>
        <v>0</v>
      </c>
      <c r="EC65" s="27">
        <f>IF($A65="",0,IF(Mitarbeiter!$G$63=FALSE,0,IF(AND(Mitarbeiter!$E$63&lt;&gt;"",EC$5+6&lt;Mitarbeiter!$E$63),0,IF(AND(Mitarbeiter!$F$63&lt;&gt;"",EC$5&gt;Mitarbeiter!$F$63),0,IF(Planung!EC65="",$C65,IF(ISNUMBER(Planung!EC65),Planung!EC65,IF(UPPER(Planung!EC65)="H",$C65/2,0)))))))</f>
        <v>0</v>
      </c>
      <c r="ED65" s="27">
        <f>IF($A65="",0,IF(Mitarbeiter!$G$63=FALSE,0,IF(AND(Mitarbeiter!$E$63&lt;&gt;"",ED$5+6&lt;Mitarbeiter!$E$63),0,IF(AND(Mitarbeiter!$F$63&lt;&gt;"",ED$5&gt;Mitarbeiter!$F$63),0,IF(Planung!ED65="",$C65,IF(ISNUMBER(Planung!ED65),Planung!ED65,IF(UPPER(Planung!ED65)="H",$C65/2,0)))))))</f>
        <v>0</v>
      </c>
      <c r="EE65" s="27">
        <f>IF($A65="",0,IF(Mitarbeiter!$G$63=FALSE,0,IF(AND(Mitarbeiter!$E$63&lt;&gt;"",EE$5+6&lt;Mitarbeiter!$E$63),0,IF(AND(Mitarbeiter!$F$63&lt;&gt;"",EE$5&gt;Mitarbeiter!$F$63),0,IF(Planung!EE65="",$C65,IF(ISNUMBER(Planung!EE65),Planung!EE65,IF(UPPER(Planung!EE65)="H",$C65/2,0)))))))</f>
        <v>0</v>
      </c>
      <c r="EF65" s="27">
        <f>IF($A65="",0,IF(Mitarbeiter!$G$63=FALSE,0,IF(AND(Mitarbeiter!$E$63&lt;&gt;"",EF$5+6&lt;Mitarbeiter!$E$63),0,IF(AND(Mitarbeiter!$F$63&lt;&gt;"",EF$5&gt;Mitarbeiter!$F$63),0,IF(Planung!EF65="",$C65,IF(ISNUMBER(Planung!EF65),Planung!EF65,IF(UPPER(Planung!EF65)="H",$C65/2,0)))))))</f>
        <v>0</v>
      </c>
      <c r="EG65" s="27">
        <f>IF($A65="",0,IF(Mitarbeiter!$G$63=FALSE,0,IF(AND(Mitarbeiter!$E$63&lt;&gt;"",EG$5+6&lt;Mitarbeiter!$E$63),0,IF(AND(Mitarbeiter!$F$63&lt;&gt;"",EG$5&gt;Mitarbeiter!$F$63),0,IF(Planung!EG65="",$C65,IF(ISNUMBER(Planung!EG65),Planung!EG65,IF(UPPER(Planung!EG65)="H",$C65/2,0)))))))</f>
        <v>0</v>
      </c>
      <c r="EH65" s="27">
        <f>IF($A65="",0,IF(Mitarbeiter!$G$63=FALSE,0,IF(AND(Mitarbeiter!$E$63&lt;&gt;"",EH$5+6&lt;Mitarbeiter!$E$63),0,IF(AND(Mitarbeiter!$F$63&lt;&gt;"",EH$5&gt;Mitarbeiter!$F$63),0,IF(Planung!EH65="",$C65,IF(ISNUMBER(Planung!EH65),Planung!EH65,IF(UPPER(Planung!EH65)="H",$C65/2,0)))))))</f>
        <v>0</v>
      </c>
      <c r="EI65" s="27">
        <f>IF($A65="",0,IF(Mitarbeiter!$G$63=FALSE,0,IF(AND(Mitarbeiter!$E$63&lt;&gt;"",EI$5+6&lt;Mitarbeiter!$E$63),0,IF(AND(Mitarbeiter!$F$63&lt;&gt;"",EI$5&gt;Mitarbeiter!$F$63),0,IF(Planung!EI65="",$C65,IF(ISNUMBER(Planung!EI65),Planung!EI65,IF(UPPER(Planung!EI65)="H",$C65/2,0)))))))</f>
        <v>0</v>
      </c>
      <c r="EJ65" s="27">
        <f>IF($A65="",0,IF(Mitarbeiter!$G$63=FALSE,0,IF(AND(Mitarbeiter!$E$63&lt;&gt;"",EJ$5+6&lt;Mitarbeiter!$E$63),0,IF(AND(Mitarbeiter!$F$63&lt;&gt;"",EJ$5&gt;Mitarbeiter!$F$63),0,IF(Planung!EJ65="",$C65,IF(ISNUMBER(Planung!EJ65),Planung!EJ65,IF(UPPER(Planung!EJ65)="H",$C65/2,0)))))))</f>
        <v>0</v>
      </c>
      <c r="EK65" s="27">
        <f>IF($A65="",0,IF(Mitarbeiter!$G$63=FALSE,0,IF(AND(Mitarbeiter!$E$63&lt;&gt;"",EK$5+6&lt;Mitarbeiter!$E$63),0,IF(AND(Mitarbeiter!$F$63&lt;&gt;"",EK$5&gt;Mitarbeiter!$F$63),0,IF(Planung!EK65="",$C65,IF(ISNUMBER(Planung!EK65),Planung!EK65,IF(UPPER(Planung!EK65)="H",$C65/2,0)))))))</f>
        <v>0</v>
      </c>
      <c r="EL65" s="27">
        <f>IF($A65="",0,IF(Mitarbeiter!$G$63=FALSE,0,IF(AND(Mitarbeiter!$E$63&lt;&gt;"",EL$5+6&lt;Mitarbeiter!$E$63),0,IF(AND(Mitarbeiter!$F$63&lt;&gt;"",EL$5&gt;Mitarbeiter!$F$63),0,IF(Planung!EL65="",$C65,IF(ISNUMBER(Planung!EL65),Planung!EL65,IF(UPPER(Planung!EL65)="H",$C65/2,0)))))))</f>
        <v>0</v>
      </c>
      <c r="EM65" s="27">
        <f>IF($A65="",0,IF(Mitarbeiter!$G$63=FALSE,0,IF(AND(Mitarbeiter!$E$63&lt;&gt;"",EM$5+6&lt;Mitarbeiter!$E$63),0,IF(AND(Mitarbeiter!$F$63&lt;&gt;"",EM$5&gt;Mitarbeiter!$F$63),0,IF(Planung!EM65="",$C65,IF(ISNUMBER(Planung!EM65),Planung!EM65,IF(UPPER(Planung!EM65)="H",$C65/2,0)))))))</f>
        <v>0</v>
      </c>
      <c r="EN65" s="27">
        <f>IF($A65="",0,IF(Mitarbeiter!$G$63=FALSE,0,IF(AND(Mitarbeiter!$E$63&lt;&gt;"",EN$5+6&lt;Mitarbeiter!$E$63),0,IF(AND(Mitarbeiter!$F$63&lt;&gt;"",EN$5&gt;Mitarbeiter!$F$63),0,IF(Planung!EN65="",$C65,IF(ISNUMBER(Planung!EN65),Planung!EN65,IF(UPPER(Planung!EN65)="H",$C65/2,0)))))))</f>
        <v>0</v>
      </c>
      <c r="EO65" s="27">
        <f>IF($A65="",0,IF(Mitarbeiter!$G$63=FALSE,0,IF(AND(Mitarbeiter!$E$63&lt;&gt;"",EO$5+6&lt;Mitarbeiter!$E$63),0,IF(AND(Mitarbeiter!$F$63&lt;&gt;"",EO$5&gt;Mitarbeiter!$F$63),0,IF(Planung!EO65="",$C65,IF(ISNUMBER(Planung!EO65),Planung!EO65,IF(UPPER(Planung!EO65)="H",$C65/2,0)))))))</f>
        <v>0</v>
      </c>
      <c r="EP65" s="27">
        <f>IF($A65="",0,IF(Mitarbeiter!$G$63=FALSE,0,IF(AND(Mitarbeiter!$E$63&lt;&gt;"",EP$5+6&lt;Mitarbeiter!$E$63),0,IF(AND(Mitarbeiter!$F$63&lt;&gt;"",EP$5&gt;Mitarbeiter!$F$63),0,IF(Planung!EP65="",$C65,IF(ISNUMBER(Planung!EP65),Planung!EP65,IF(UPPER(Planung!EP65)="H",$C65/2,0)))))))</f>
        <v>0</v>
      </c>
      <c r="EQ65" s="27">
        <f>IF($A65="",0,IF(Mitarbeiter!$G$63=FALSE,0,IF(AND(Mitarbeiter!$E$63&lt;&gt;"",EQ$5+6&lt;Mitarbeiter!$E$63),0,IF(AND(Mitarbeiter!$F$63&lt;&gt;"",EQ$5&gt;Mitarbeiter!$F$63),0,IF(Planung!EQ65="",$C65,IF(ISNUMBER(Planung!EQ65),Planung!EQ65,IF(UPPER(Planung!EQ65)="H",$C65/2,0)))))))</f>
        <v>0</v>
      </c>
      <c r="ER65" s="27">
        <f>IF($A65="",0,IF(Mitarbeiter!$G$63=FALSE,0,IF(AND(Mitarbeiter!$E$63&lt;&gt;"",ER$5+6&lt;Mitarbeiter!$E$63),0,IF(AND(Mitarbeiter!$F$63&lt;&gt;"",ER$5&gt;Mitarbeiter!$F$63),0,IF(Planung!ER65="",$C65,IF(ISNUMBER(Planung!ER65),Planung!ER65,IF(UPPER(Planung!ER65)="H",$C65/2,0)))))))</f>
        <v>0</v>
      </c>
      <c r="ES65" s="27">
        <f>IF($A65="",0,IF(Mitarbeiter!$G$63=FALSE,0,IF(AND(Mitarbeiter!$E$63&lt;&gt;"",ES$5+6&lt;Mitarbeiter!$E$63),0,IF(AND(Mitarbeiter!$F$63&lt;&gt;"",ES$5&gt;Mitarbeiter!$F$63),0,IF(Planung!ES65="",$C65,IF(ISNUMBER(Planung!ES65),Planung!ES65,IF(UPPER(Planung!ES65)="H",$C65/2,0)))))))</f>
        <v>0</v>
      </c>
      <c r="ET65" s="27">
        <f>IF($A65="",0,IF(Mitarbeiter!$G$63=FALSE,0,IF(AND(Mitarbeiter!$E$63&lt;&gt;"",ET$5+6&lt;Mitarbeiter!$E$63),0,IF(AND(Mitarbeiter!$F$63&lt;&gt;"",ET$5&gt;Mitarbeiter!$F$63),0,IF(Planung!ET65="",$C65,IF(ISNUMBER(Planung!ET65),Planung!ET65,IF(UPPER(Planung!ET65)="H",$C65/2,0)))))))</f>
        <v>0</v>
      </c>
      <c r="EU65" s="27">
        <f>IF($A65="",0,IF(Mitarbeiter!$G$63=FALSE,0,IF(AND(Mitarbeiter!$E$63&lt;&gt;"",EU$5+6&lt;Mitarbeiter!$E$63),0,IF(AND(Mitarbeiter!$F$63&lt;&gt;"",EU$5&gt;Mitarbeiter!$F$63),0,IF(Planung!EU65="",$C65,IF(ISNUMBER(Planung!EU65),Planung!EU65,IF(UPPER(Planung!EU65)="H",$C65/2,0)))))))</f>
        <v>0</v>
      </c>
      <c r="EV65" s="27">
        <f>IF($A65="",0,IF(Mitarbeiter!$G$63=FALSE,0,IF(AND(Mitarbeiter!$E$63&lt;&gt;"",EV$5+6&lt;Mitarbeiter!$E$63),0,IF(AND(Mitarbeiter!$F$63&lt;&gt;"",EV$5&gt;Mitarbeiter!$F$63),0,IF(Planung!EV65="",$C65,IF(ISNUMBER(Planung!EV65),Planung!EV65,IF(UPPER(Planung!EV65)="H",$C65/2,0)))))))</f>
        <v>0</v>
      </c>
      <c r="EW65" s="27">
        <f>IF($A65="",0,IF(Mitarbeiter!$G$63=FALSE,0,IF(AND(Mitarbeiter!$E$63&lt;&gt;"",EW$5+6&lt;Mitarbeiter!$E$63),0,IF(AND(Mitarbeiter!$F$63&lt;&gt;"",EW$5&gt;Mitarbeiter!$F$63),0,IF(Planung!EW65="",$C65,IF(ISNUMBER(Planung!EW65),Planung!EW65,IF(UPPER(Planung!EW65)="H",$C65/2,0)))))))</f>
        <v>0</v>
      </c>
      <c r="EX65" s="27">
        <f>IF($A65="",0,IF(Mitarbeiter!$G$63=FALSE,0,IF(AND(Mitarbeiter!$E$63&lt;&gt;"",EX$5+6&lt;Mitarbeiter!$E$63),0,IF(AND(Mitarbeiter!$F$63&lt;&gt;"",EX$5&gt;Mitarbeiter!$F$63),0,IF(Planung!EX65="",$C65,IF(ISNUMBER(Planung!EX65),Planung!EX65,IF(UPPER(Planung!EX65)="H",$C65/2,0)))))))</f>
        <v>0</v>
      </c>
      <c r="EY65" s="27">
        <f>IF($A65="",0,IF(Mitarbeiter!$G$63=FALSE,0,IF(AND(Mitarbeiter!$E$63&lt;&gt;"",EY$5+6&lt;Mitarbeiter!$E$63),0,IF(AND(Mitarbeiter!$F$63&lt;&gt;"",EY$5&gt;Mitarbeiter!$F$63),0,IF(Planung!EY65="",$C65,IF(ISNUMBER(Planung!EY65),Planung!EY65,IF(UPPER(Planung!EY65)="H",$C65/2,0)))))))</f>
        <v>0</v>
      </c>
      <c r="EZ65" s="27">
        <f>IF($A65="",0,IF(Mitarbeiter!$G$63=FALSE,0,IF(AND(Mitarbeiter!$E$63&lt;&gt;"",EZ$5+6&lt;Mitarbeiter!$E$63),0,IF(AND(Mitarbeiter!$F$63&lt;&gt;"",EZ$5&gt;Mitarbeiter!$F$63),0,IF(Planung!EZ65="",$C65,IF(ISNUMBER(Planung!EZ65),Planung!EZ65,IF(UPPER(Planung!EZ65)="H",$C65/2,0)))))))</f>
        <v>0</v>
      </c>
      <c r="FA65" s="27">
        <f>IF($A65="",0,IF(Mitarbeiter!$G$63=FALSE,0,IF(AND(Mitarbeiter!$E$63&lt;&gt;"",FA$5+6&lt;Mitarbeiter!$E$63),0,IF(AND(Mitarbeiter!$F$63&lt;&gt;"",FA$5&gt;Mitarbeiter!$F$63),0,IF(Planung!FA65="",$C65,IF(ISNUMBER(Planung!FA65),Planung!FA65,IF(UPPER(Planung!FA65)="H",$C65/2,0)))))))</f>
        <v>0</v>
      </c>
      <c r="FB65" s="27">
        <f>IF($A65="",0,IF(Mitarbeiter!$G$63=FALSE,0,IF(AND(Mitarbeiter!$E$63&lt;&gt;"",FB$5+6&lt;Mitarbeiter!$E$63),0,IF(AND(Mitarbeiter!$F$63&lt;&gt;"",FB$5&gt;Mitarbeiter!$F$63),0,IF(Planung!FB65="",$C65,IF(ISNUMBER(Planung!FB65),Planung!FB65,IF(UPPER(Planung!FB65)="H",$C65/2,0)))))))</f>
        <v>0</v>
      </c>
      <c r="FC65" s="27">
        <f>IF($A65="",0,IF(Mitarbeiter!$G$63=FALSE,0,IF(AND(Mitarbeiter!$E$63&lt;&gt;"",FC$5+6&lt;Mitarbeiter!$E$63),0,IF(AND(Mitarbeiter!$F$63&lt;&gt;"",FC$5&gt;Mitarbeiter!$F$63),0,IF(Planung!FC65="",$C65,IF(ISNUMBER(Planung!FC65),Planung!FC65,IF(UPPER(Planung!FC65)="H",$C65/2,0)))))))</f>
        <v>0</v>
      </c>
      <c r="FD65" s="27">
        <f>IF($A65="",0,IF(Mitarbeiter!$G$63=FALSE,0,IF(AND(Mitarbeiter!$E$63&lt;&gt;"",FD$5+6&lt;Mitarbeiter!$E$63),0,IF(AND(Mitarbeiter!$F$63&lt;&gt;"",FD$5&gt;Mitarbeiter!$F$63),0,IF(Planung!FD65="",$C65,IF(ISNUMBER(Planung!FD65),Planung!FD65,IF(UPPER(Planung!FD65)="H",$C65/2,0)))))))</f>
        <v>0</v>
      </c>
      <c r="FE65" s="27">
        <f>IF($A65="",0,IF(Mitarbeiter!$G$63=FALSE,0,IF(AND(Mitarbeiter!$E$63&lt;&gt;"",FE$5+6&lt;Mitarbeiter!$E$63),0,IF(AND(Mitarbeiter!$F$63&lt;&gt;"",FE$5&gt;Mitarbeiter!$F$63),0,IF(Planung!FE65="",$C65,IF(ISNUMBER(Planung!FE65),Planung!FE65,IF(UPPER(Planung!FE65)="H",$C65/2,0)))))))</f>
        <v>0</v>
      </c>
      <c r="FF65" s="27">
        <f>IF($A65="",0,IF(Mitarbeiter!$G$63=FALSE,0,IF(AND(Mitarbeiter!$E$63&lt;&gt;"",FF$5+6&lt;Mitarbeiter!$E$63),0,IF(AND(Mitarbeiter!$F$63&lt;&gt;"",FF$5&gt;Mitarbeiter!$F$63),0,IF(Planung!FF65="",$C65,IF(ISNUMBER(Planung!FF65),Planung!FF65,IF(UPPER(Planung!FF65)="H",$C65/2,0)))))))</f>
        <v>0</v>
      </c>
      <c r="FG65" s="27">
        <f>IF($A65="",0,IF(Mitarbeiter!$G$63=FALSE,0,IF(AND(Mitarbeiter!$E$63&lt;&gt;"",FG$5+6&lt;Mitarbeiter!$E$63),0,IF(AND(Mitarbeiter!$F$63&lt;&gt;"",FG$5&gt;Mitarbeiter!$F$63),0,IF(Planung!FG65="",$C65,IF(ISNUMBER(Planung!FG65),Planung!FG65,IF(UPPER(Planung!FG65)="H",$C65/2,0)))))))</f>
        <v>0</v>
      </c>
      <c r="FH65" s="27">
        <f>IF($A65="",0,IF(Mitarbeiter!$G$63=FALSE,0,IF(AND(Mitarbeiter!$E$63&lt;&gt;"",FH$5+6&lt;Mitarbeiter!$E$63),0,IF(AND(Mitarbeiter!$F$63&lt;&gt;"",FH$5&gt;Mitarbeiter!$F$63),0,IF(Planung!FH65="",$C65,IF(ISNUMBER(Planung!FH65),Planung!FH65,IF(UPPER(Planung!FH65)="H",$C65/2,0)))))))</f>
        <v>0</v>
      </c>
      <c r="FI65" s="27">
        <f>IF($A65="",0,IF(Mitarbeiter!$G$63=FALSE,0,IF(AND(Mitarbeiter!$E$63&lt;&gt;"",FI$5+6&lt;Mitarbeiter!$E$63),0,IF(AND(Mitarbeiter!$F$63&lt;&gt;"",FI$5&gt;Mitarbeiter!$F$63),0,IF(Planung!FI65="",$C65,IF(ISNUMBER(Planung!FI65),Planung!FI65,IF(UPPER(Planung!FI65)="H",$C65/2,0)))))))</f>
        <v>0</v>
      </c>
      <c r="FJ65" s="27">
        <f>IF($A65="",0,IF(Mitarbeiter!$G$63=FALSE,0,IF(AND(Mitarbeiter!$E$63&lt;&gt;"",FJ$5+6&lt;Mitarbeiter!$E$63),0,IF(AND(Mitarbeiter!$F$63&lt;&gt;"",FJ$5&gt;Mitarbeiter!$F$63),0,IF(Planung!FJ65="",$C65,IF(ISNUMBER(Planung!FJ65),Planung!FJ65,IF(UPPER(Planung!FJ65)="H",$C65/2,0)))))))</f>
        <v>0</v>
      </c>
      <c r="FK65" s="27">
        <f>IF($A65="",0,IF(Mitarbeiter!$G$63=FALSE,0,IF(AND(Mitarbeiter!$E$63&lt;&gt;"",FK$5+6&lt;Mitarbeiter!$E$63),0,IF(AND(Mitarbeiter!$F$63&lt;&gt;"",FK$5&gt;Mitarbeiter!$F$63),0,IF(Planung!FK65="",$C65,IF(ISNUMBER(Planung!FK65),Planung!FK65,IF(UPPER(Planung!FK65)="H",$C65/2,0)))))))</f>
        <v>0</v>
      </c>
      <c r="FL65" s="27">
        <f>IF($A65="",0,IF(Mitarbeiter!$G$63=FALSE,0,IF(AND(Mitarbeiter!$E$63&lt;&gt;"",FL$5+6&lt;Mitarbeiter!$E$63),0,IF(AND(Mitarbeiter!$F$63&lt;&gt;"",FL$5&gt;Mitarbeiter!$F$63),0,IF(Planung!FL65="",$C65,IF(ISNUMBER(Planung!FL65),Planung!FL65,IF(UPPER(Planung!FL65)="H",$C65/2,0)))))))</f>
        <v>0</v>
      </c>
      <c r="FM65" s="27">
        <f>IF($A65="",0,IF(Mitarbeiter!$G$63=FALSE,0,IF(AND(Mitarbeiter!$E$63&lt;&gt;"",FM$5+6&lt;Mitarbeiter!$E$63),0,IF(AND(Mitarbeiter!$F$63&lt;&gt;"",FM$5&gt;Mitarbeiter!$F$63),0,IF(Planung!FM65="",$C65,IF(ISNUMBER(Planung!FM65),Planung!FM65,IF(UPPER(Planung!FM65)="H",$C65/2,0)))))))</f>
        <v>0</v>
      </c>
      <c r="FN65" s="27">
        <f>IF($A65="",0,IF(Mitarbeiter!$G$63=FALSE,0,IF(AND(Mitarbeiter!$E$63&lt;&gt;"",FN$5+6&lt;Mitarbeiter!$E$63),0,IF(AND(Mitarbeiter!$F$63&lt;&gt;"",FN$5&gt;Mitarbeiter!$F$63),0,IF(Planung!FN65="",$C65,IF(ISNUMBER(Planung!FN65),Planung!FN65,IF(UPPER(Planung!FN65)="H",$C65/2,0)))))))</f>
        <v>0</v>
      </c>
      <c r="FO65" s="27">
        <f>IF($A65="",0,IF(Mitarbeiter!$G$63=FALSE,0,IF(AND(Mitarbeiter!$E$63&lt;&gt;"",FO$5+6&lt;Mitarbeiter!$E$63),0,IF(AND(Mitarbeiter!$F$63&lt;&gt;"",FO$5&gt;Mitarbeiter!$F$63),0,IF(Planung!FO65="",$C65,IF(ISNUMBER(Planung!FO65),Planung!FO65,IF(UPPER(Planung!FO65)="H",$C65/2,0)))))))</f>
        <v>0</v>
      </c>
      <c r="FP65" s="27">
        <f>IF($A65="",0,IF(Mitarbeiter!$G$63=FALSE,0,IF(AND(Mitarbeiter!$E$63&lt;&gt;"",FP$5+6&lt;Mitarbeiter!$E$63),0,IF(AND(Mitarbeiter!$F$63&lt;&gt;"",FP$5&gt;Mitarbeiter!$F$63),0,IF(Planung!FP65="",$C65,IF(ISNUMBER(Planung!FP65),Planung!FP65,IF(UPPER(Planung!FP65)="H",$C65/2,0)))))))</f>
        <v>0</v>
      </c>
      <c r="FQ65" s="27">
        <f>IF($A65="",0,IF(Mitarbeiter!$G$63=FALSE,0,IF(AND(Mitarbeiter!$E$63&lt;&gt;"",FQ$5+6&lt;Mitarbeiter!$E$63),0,IF(AND(Mitarbeiter!$F$63&lt;&gt;"",FQ$5&gt;Mitarbeiter!$F$63),0,IF(Planung!FQ65="",$C65,IF(ISNUMBER(Planung!FQ65),Planung!FQ65,IF(UPPER(Planung!FQ65)="H",$C65/2,0)))))))</f>
        <v>0</v>
      </c>
      <c r="FR65" s="27">
        <f>IF($A65="",0,IF(Mitarbeiter!$G$63=FALSE,0,IF(AND(Mitarbeiter!$E$63&lt;&gt;"",FR$5+6&lt;Mitarbeiter!$E$63),0,IF(AND(Mitarbeiter!$F$63&lt;&gt;"",FR$5&gt;Mitarbeiter!$F$63),0,IF(Planung!FR65="",$C65,IF(ISNUMBER(Planung!FR65),Planung!FR65,IF(UPPER(Planung!FR65)="H",$C65/2,0)))))))</f>
        <v>0</v>
      </c>
      <c r="FS65" s="27">
        <f>IF($A65="",0,IF(Mitarbeiter!$G$63=FALSE,0,IF(AND(Mitarbeiter!$E$63&lt;&gt;"",FS$5+6&lt;Mitarbeiter!$E$63),0,IF(AND(Mitarbeiter!$F$63&lt;&gt;"",FS$5&gt;Mitarbeiter!$F$63),0,IF(Planung!FS65="",$C65,IF(ISNUMBER(Planung!FS65),Planung!FS65,IF(UPPER(Planung!FS65)="H",$C65/2,0)))))))</f>
        <v>0</v>
      </c>
      <c r="FT65" s="27">
        <f>IF($A65="",0,IF(Mitarbeiter!$G$63=FALSE,0,IF(AND(Mitarbeiter!$E$63&lt;&gt;"",FT$5+6&lt;Mitarbeiter!$E$63),0,IF(AND(Mitarbeiter!$F$63&lt;&gt;"",FT$5&gt;Mitarbeiter!$F$63),0,IF(Planung!FT65="",$C65,IF(ISNUMBER(Planung!FT65),Planung!FT65,IF(UPPER(Planung!FT65)="H",$C65/2,0)))))))</f>
        <v>0</v>
      </c>
      <c r="FU65" s="27">
        <f>IF($A65="",0,IF(Mitarbeiter!$G$63=FALSE,0,IF(AND(Mitarbeiter!$E$63&lt;&gt;"",FU$5+6&lt;Mitarbeiter!$E$63),0,IF(AND(Mitarbeiter!$F$63&lt;&gt;"",FU$5&gt;Mitarbeiter!$F$63),0,IF(Planung!FU65="",$C65,IF(ISNUMBER(Planung!FU65),Planung!FU65,IF(UPPER(Planung!FU65)="H",$C65/2,0)))))))</f>
        <v>0</v>
      </c>
      <c r="FV65" s="27">
        <f>IF($A65="",0,IF(Mitarbeiter!$G$63=FALSE,0,IF(AND(Mitarbeiter!$E$63&lt;&gt;"",FV$5+6&lt;Mitarbeiter!$E$63),0,IF(AND(Mitarbeiter!$F$63&lt;&gt;"",FV$5&gt;Mitarbeiter!$F$63),0,IF(Planung!FV65="",$C65,IF(ISNUMBER(Planung!FV65),Planung!FV65,IF(UPPER(Planung!FV65)="H",$C65/2,0)))))))</f>
        <v>0</v>
      </c>
      <c r="FW65" s="27">
        <f>IF($A65="",0,IF(Mitarbeiter!$G$63=FALSE,0,IF(AND(Mitarbeiter!$E$63&lt;&gt;"",FW$5+6&lt;Mitarbeiter!$E$63),0,IF(AND(Mitarbeiter!$F$63&lt;&gt;"",FW$5&gt;Mitarbeiter!$F$63),0,IF(Planung!FW65="",$C65,IF(ISNUMBER(Planung!FW65),Planung!FW65,IF(UPPER(Planung!FW65)="H",$C65/2,0)))))))</f>
        <v>0</v>
      </c>
      <c r="FX65" s="27">
        <f>IF($A65="",0,IF(Mitarbeiter!$G$63=FALSE,0,IF(AND(Mitarbeiter!$E$63&lt;&gt;"",FX$5+6&lt;Mitarbeiter!$E$63),0,IF(AND(Mitarbeiter!$F$63&lt;&gt;"",FX$5&gt;Mitarbeiter!$F$63),0,IF(Planung!FX65="",$C65,IF(ISNUMBER(Planung!FX65),Planung!FX65,IF(UPPER(Planung!FX65)="H",$C65/2,0)))))))</f>
        <v>0</v>
      </c>
      <c r="FY65" s="27">
        <f>IF($A65="",0,IF(Mitarbeiter!$G$63=FALSE,0,IF(AND(Mitarbeiter!$E$63&lt;&gt;"",FY$5+6&lt;Mitarbeiter!$E$63),0,IF(AND(Mitarbeiter!$F$63&lt;&gt;"",FY$5&gt;Mitarbeiter!$F$63),0,IF(Planung!FY65="",$C65,IF(ISNUMBER(Planung!FY65),Planung!FY65,IF(UPPER(Planung!FY65)="H",$C65/2,0)))))))</f>
        <v>0</v>
      </c>
      <c r="FZ65" s="27">
        <f>IF($A65="",0,IF(Mitarbeiter!$G$63=FALSE,0,IF(AND(Mitarbeiter!$E$63&lt;&gt;"",FZ$5+6&lt;Mitarbeiter!$E$63),0,IF(AND(Mitarbeiter!$F$63&lt;&gt;"",FZ$5&gt;Mitarbeiter!$F$63),0,IF(Planung!FZ65="",$C65,IF(ISNUMBER(Planung!FZ65),Planung!FZ65,IF(UPPER(Planung!FZ65)="H",$C65/2,0)))))))</f>
        <v>0</v>
      </c>
      <c r="GA65" s="27">
        <f>IF($A65="",0,IF(Mitarbeiter!$G$63=FALSE,0,IF(AND(Mitarbeiter!$E$63&lt;&gt;"",GA$5+6&lt;Mitarbeiter!$E$63),0,IF(AND(Mitarbeiter!$F$63&lt;&gt;"",GA$5&gt;Mitarbeiter!$F$63),0,IF(Planung!GA65="",$C65,IF(ISNUMBER(Planung!GA65),Planung!GA65,IF(UPPER(Planung!GA65)="H",$C65/2,0)))))))</f>
        <v>0</v>
      </c>
      <c r="GB65" s="27">
        <f>IF($A65="",0,IF(Mitarbeiter!$G$63=FALSE,0,IF(AND(Mitarbeiter!$E$63&lt;&gt;"",GB$5+6&lt;Mitarbeiter!$E$63),0,IF(AND(Mitarbeiter!$F$63&lt;&gt;"",GB$5&gt;Mitarbeiter!$F$63),0,IF(Planung!GB65="",$C65,IF(ISNUMBER(Planung!GB65),Planung!GB65,IF(UPPER(Planung!GB65)="H",$C65/2,0)))))))</f>
        <v>0</v>
      </c>
      <c r="GC65" s="27">
        <f>IF($A65="",0,IF(Mitarbeiter!$G$63=FALSE,0,IF(AND(Mitarbeiter!$E$63&lt;&gt;"",GC$5+6&lt;Mitarbeiter!$E$63),0,IF(AND(Mitarbeiter!$F$63&lt;&gt;"",GC$5&gt;Mitarbeiter!$F$63),0,IF(Planung!GC65="",$C65,IF(ISNUMBER(Planung!GC65),Planung!GC65,IF(UPPER(Planung!GC65)="H",$C65/2,0)))))))</f>
        <v>0</v>
      </c>
      <c r="GD65" s="27">
        <f>IF($A65="",0,IF(Mitarbeiter!$G$63=FALSE,0,IF(AND(Mitarbeiter!$E$63&lt;&gt;"",GD$5+6&lt;Mitarbeiter!$E$63),0,IF(AND(Mitarbeiter!$F$63&lt;&gt;"",GD$5&gt;Mitarbeiter!$F$63),0,IF(Planung!GD65="",$C65,IF(ISNUMBER(Planung!GD65),Planung!GD65,IF(UPPER(Planung!GD65)="H",$C65/2,0)))))))</f>
        <v>0</v>
      </c>
      <c r="GE65" s="27">
        <f>IF($A65="",0,IF(Mitarbeiter!$G$63=FALSE,0,IF(AND(Mitarbeiter!$E$63&lt;&gt;"",GE$5+6&lt;Mitarbeiter!$E$63),0,IF(AND(Mitarbeiter!$F$63&lt;&gt;"",GE$5&gt;Mitarbeiter!$F$63),0,IF(Planung!GE65="",$C65,IF(ISNUMBER(Planung!GE65),Planung!GE65,IF(UPPER(Planung!GE65)="H",$C65/2,0)))))))</f>
        <v>0</v>
      </c>
      <c r="GF65" s="27">
        <f>IF($A65="",0,IF(Mitarbeiter!$G$63=FALSE,0,IF(AND(Mitarbeiter!$E$63&lt;&gt;"",GF$5+6&lt;Mitarbeiter!$E$63),0,IF(AND(Mitarbeiter!$F$63&lt;&gt;"",GF$5&gt;Mitarbeiter!$F$63),0,IF(Planung!GF65="",$C65,IF(ISNUMBER(Planung!GF65),Planung!GF65,IF(UPPER(Planung!GF65)="H",$C65/2,0)))))))</f>
        <v>0</v>
      </c>
      <c r="GG65" s="27">
        <f>IF($A65="",0,IF(Mitarbeiter!$G$63=FALSE,0,IF(AND(Mitarbeiter!$E$63&lt;&gt;"",GG$5+6&lt;Mitarbeiter!$E$63),0,IF(AND(Mitarbeiter!$F$63&lt;&gt;"",GG$5&gt;Mitarbeiter!$F$63),0,IF(Planung!GG65="",$C65,IF(ISNUMBER(Planung!GG65),Planung!GG65,IF(UPPER(Planung!GG65)="H",$C65/2,0)))))))</f>
        <v>0</v>
      </c>
      <c r="GH65" s="27">
        <f>IF($A65="",0,IF(Mitarbeiter!$G$63=FALSE,0,IF(AND(Mitarbeiter!$E$63&lt;&gt;"",GH$5+6&lt;Mitarbeiter!$E$63),0,IF(AND(Mitarbeiter!$F$63&lt;&gt;"",GH$5&gt;Mitarbeiter!$F$63),0,IF(Planung!GH65="",$C65,IF(ISNUMBER(Planung!GH65),Planung!GH65,IF(UPPER(Planung!GH65)="H",$C65/2,0)))))))</f>
        <v>0</v>
      </c>
      <c r="GI65" s="27">
        <f>IF($A65="",0,IF(Mitarbeiter!$G$63=FALSE,0,IF(AND(Mitarbeiter!$E$63&lt;&gt;"",GI$5+6&lt;Mitarbeiter!$E$63),0,IF(AND(Mitarbeiter!$F$63&lt;&gt;"",GI$5&gt;Mitarbeiter!$F$63),0,IF(Planung!GI65="",$C65,IF(ISNUMBER(Planung!GI65),Planung!GI65,IF(UPPER(Planung!GI65)="H",$C65/2,0)))))))</f>
        <v>0</v>
      </c>
      <c r="GJ65" s="27">
        <f>IF($A65="",0,IF(Mitarbeiter!$G$63=FALSE,0,IF(AND(Mitarbeiter!$E$63&lt;&gt;"",GJ$5+6&lt;Mitarbeiter!$E$63),0,IF(AND(Mitarbeiter!$F$63&lt;&gt;"",GJ$5&gt;Mitarbeiter!$F$63),0,IF(Planung!GJ65="",$C65,IF(ISNUMBER(Planung!GJ65),Planung!GJ65,IF(UPPER(Planung!GJ65)="H",$C65/2,0)))))))</f>
        <v>0</v>
      </c>
      <c r="GK65" s="27">
        <f>IF($A65="",0,IF(Mitarbeiter!$G$63=FALSE,0,IF(AND(Mitarbeiter!$E$63&lt;&gt;"",GK$5+6&lt;Mitarbeiter!$E$63),0,IF(AND(Mitarbeiter!$F$63&lt;&gt;"",GK$5&gt;Mitarbeiter!$F$63),0,IF(Planung!GK65="",$C65,IF(ISNUMBER(Planung!GK65),Planung!GK65,IF(UPPER(Planung!GK65)="H",$C65/2,0)))))))</f>
        <v>0</v>
      </c>
      <c r="GL65" s="27">
        <f>IF($A65="",0,IF(Mitarbeiter!$G$63=FALSE,0,IF(AND(Mitarbeiter!$E$63&lt;&gt;"",GL$5+6&lt;Mitarbeiter!$E$63),0,IF(AND(Mitarbeiter!$F$63&lt;&gt;"",GL$5&gt;Mitarbeiter!$F$63),0,IF(Planung!GL65="",$C65,IF(ISNUMBER(Planung!GL65),Planung!GL65,IF(UPPER(Planung!GL65)="H",$C65/2,0)))))))</f>
        <v>0</v>
      </c>
      <c r="GM65" s="27">
        <f>IF($A65="",0,IF(Mitarbeiter!$G$63=FALSE,0,IF(AND(Mitarbeiter!$E$63&lt;&gt;"",GM$5+6&lt;Mitarbeiter!$E$63),0,IF(AND(Mitarbeiter!$F$63&lt;&gt;"",GM$5&gt;Mitarbeiter!$F$63),0,IF(Planung!GM65="",$C65,IF(ISNUMBER(Planung!GM65),Planung!GM65,IF(UPPER(Planung!GM65)="H",$C65/2,0)))))))</f>
        <v>0</v>
      </c>
      <c r="GN65" s="27">
        <f>IF($A65="",0,IF(Mitarbeiter!$G$63=FALSE,0,IF(AND(Mitarbeiter!$E$63&lt;&gt;"",GN$5+6&lt;Mitarbeiter!$E$63),0,IF(AND(Mitarbeiter!$F$63&lt;&gt;"",GN$5&gt;Mitarbeiter!$F$63),0,IF(Planung!GN65="",$C65,IF(ISNUMBER(Planung!GN65),Planung!GN65,IF(UPPER(Planung!GN65)="H",$C65/2,0)))))))</f>
        <v>0</v>
      </c>
      <c r="GO65" s="27">
        <f>IF($A65="",0,IF(Mitarbeiter!$G$63=FALSE,0,IF(AND(Mitarbeiter!$E$63&lt;&gt;"",GO$5+6&lt;Mitarbeiter!$E$63),0,IF(AND(Mitarbeiter!$F$63&lt;&gt;"",GO$5&gt;Mitarbeiter!$F$63),0,IF(Planung!GO65="",$C65,IF(ISNUMBER(Planung!GO65),Planung!GO65,IF(UPPER(Planung!GO65)="H",$C65/2,0)))))))</f>
        <v>0</v>
      </c>
      <c r="GP65" s="27">
        <f>IF($A65="",0,IF(Mitarbeiter!$G$63=FALSE,0,IF(AND(Mitarbeiter!$E$63&lt;&gt;"",GP$5+6&lt;Mitarbeiter!$E$63),0,IF(AND(Mitarbeiter!$F$63&lt;&gt;"",GP$5&gt;Mitarbeiter!$F$63),0,IF(Planung!GP65="",$C65,IF(ISNUMBER(Planung!GP65),Planung!GP65,IF(UPPER(Planung!GP65)="H",$C65/2,0)))))))</f>
        <v>0</v>
      </c>
      <c r="GQ65" s="27">
        <f>IF($A65="",0,IF(Mitarbeiter!$G$63=FALSE,0,IF(AND(Mitarbeiter!$E$63&lt;&gt;"",GQ$5+6&lt;Mitarbeiter!$E$63),0,IF(AND(Mitarbeiter!$F$63&lt;&gt;"",GQ$5&gt;Mitarbeiter!$F$63),0,IF(Planung!GQ65="",$C65,IF(ISNUMBER(Planung!GQ65),Planung!GQ65,IF(UPPER(Planung!GQ65)="H",$C65/2,0)))))))</f>
        <v>0</v>
      </c>
      <c r="GR65" s="27">
        <f>IF($A65="",0,IF(Mitarbeiter!$G$63=FALSE,0,IF(AND(Mitarbeiter!$E$63&lt;&gt;"",GR$5+6&lt;Mitarbeiter!$E$63),0,IF(AND(Mitarbeiter!$F$63&lt;&gt;"",GR$5&gt;Mitarbeiter!$F$63),0,IF(Planung!GR65="",$C65,IF(ISNUMBER(Planung!GR65),Planung!GR65,IF(UPPER(Planung!GR65)="H",$C65/2,0)))))))</f>
        <v>0</v>
      </c>
      <c r="GS65" s="27">
        <f>IF($A65="",0,IF(Mitarbeiter!$G$63=FALSE,0,IF(AND(Mitarbeiter!$E$63&lt;&gt;"",GS$5+6&lt;Mitarbeiter!$E$63),0,IF(AND(Mitarbeiter!$F$63&lt;&gt;"",GS$5&gt;Mitarbeiter!$F$63),0,IF(Planung!GS65="",$C65,IF(ISNUMBER(Planung!GS65),Planung!GS65,IF(UPPER(Planung!GS65)="H",$C65/2,0)))))))</f>
        <v>0</v>
      </c>
      <c r="GT65" s="27">
        <f>IF($A65="",0,IF(Mitarbeiter!$G$63=FALSE,0,IF(AND(Mitarbeiter!$E$63&lt;&gt;"",GT$5+6&lt;Mitarbeiter!$E$63),0,IF(AND(Mitarbeiter!$F$63&lt;&gt;"",GT$5&gt;Mitarbeiter!$F$63),0,IF(Planung!GT65="",$C65,IF(ISNUMBER(Planung!GT65),Planung!GT65,IF(UPPER(Planung!GT65)="H",$C65/2,0)))))))</f>
        <v>0</v>
      </c>
      <c r="GU65" s="27">
        <f>IF($A65="",0,IF(Mitarbeiter!$G$63=FALSE,0,IF(AND(Mitarbeiter!$E$63&lt;&gt;"",GU$5+6&lt;Mitarbeiter!$E$63),0,IF(AND(Mitarbeiter!$F$63&lt;&gt;"",GU$5&gt;Mitarbeiter!$F$63),0,IF(Planung!GU65="",$C65,IF(ISNUMBER(Planung!GU65),Planung!GU65,IF(UPPER(Planung!GU65)="H",$C65/2,0)))))))</f>
        <v>0</v>
      </c>
      <c r="GV65" s="27">
        <f>IF($A65="",0,IF(Mitarbeiter!$G$63=FALSE,0,IF(AND(Mitarbeiter!$E$63&lt;&gt;"",GV$5+6&lt;Mitarbeiter!$E$63),0,IF(AND(Mitarbeiter!$F$63&lt;&gt;"",GV$5&gt;Mitarbeiter!$F$63),0,IF(Planung!GV65="",$C65,IF(ISNUMBER(Planung!GV65),Planung!GV65,IF(UPPER(Planung!GV65)="H",$C65/2,0)))))))</f>
        <v>0</v>
      </c>
      <c r="GW65" s="27">
        <f>IF($A65="",0,IF(Mitarbeiter!$G$63=FALSE,0,IF(AND(Mitarbeiter!$E$63&lt;&gt;"",GW$5+6&lt;Mitarbeiter!$E$63),0,IF(AND(Mitarbeiter!$F$63&lt;&gt;"",GW$5&gt;Mitarbeiter!$F$63),0,IF(Planung!GW65="",$C65,IF(ISNUMBER(Planung!GW65),Planung!GW65,IF(UPPER(Planung!GW65)="H",$C65/2,0)))))))</f>
        <v>0</v>
      </c>
      <c r="GX65" s="27">
        <f>IF($A65="",0,IF(Mitarbeiter!$G$63=FALSE,0,IF(AND(Mitarbeiter!$E$63&lt;&gt;"",GX$5+6&lt;Mitarbeiter!$E$63),0,IF(AND(Mitarbeiter!$F$63&lt;&gt;"",GX$5&gt;Mitarbeiter!$F$63),0,IF(Planung!GX65="",$C65,IF(ISNUMBER(Planung!GX65),Planung!GX65,IF(UPPER(Planung!GX65)="H",$C65/2,0)))))))</f>
        <v>0</v>
      </c>
      <c r="GY65" s="27">
        <f>IF($A65="",0,IF(Mitarbeiter!$G$63=FALSE,0,IF(AND(Mitarbeiter!$E$63&lt;&gt;"",GY$5+6&lt;Mitarbeiter!$E$63),0,IF(AND(Mitarbeiter!$F$63&lt;&gt;"",GY$5&gt;Mitarbeiter!$F$63),0,IF(Planung!GY65="",$C65,IF(ISNUMBER(Planung!GY65),Planung!GY65,IF(UPPER(Planung!GY65)="H",$C65/2,0)))))))</f>
        <v>0</v>
      </c>
      <c r="GZ65" s="27">
        <f>IF($A65="",0,IF(Mitarbeiter!$G$63=FALSE,0,IF(AND(Mitarbeiter!$E$63&lt;&gt;"",GZ$5+6&lt;Mitarbeiter!$E$63),0,IF(AND(Mitarbeiter!$F$63&lt;&gt;"",GZ$5&gt;Mitarbeiter!$F$63),0,IF(Planung!GZ65="",$C65,IF(ISNUMBER(Planung!GZ65),Planung!GZ65,IF(UPPER(Planung!GZ65)="H",$C65/2,0)))))))</f>
        <v>0</v>
      </c>
      <c r="HA65" s="27">
        <f>IF($A65="",0,IF(Mitarbeiter!$G$63=FALSE,0,IF(AND(Mitarbeiter!$E$63&lt;&gt;"",HA$5+6&lt;Mitarbeiter!$E$63),0,IF(AND(Mitarbeiter!$F$63&lt;&gt;"",HA$5&gt;Mitarbeiter!$F$63),0,IF(Planung!HA65="",$C65,IF(ISNUMBER(Planung!HA65),Planung!HA65,IF(UPPER(Planung!HA65)="H",$C65/2,0)))))))</f>
        <v>0</v>
      </c>
      <c r="HB65" s="27">
        <f>IF($A65="",0,IF(Mitarbeiter!$G$63=FALSE,0,IF(AND(Mitarbeiter!$E$63&lt;&gt;"",HB$5+6&lt;Mitarbeiter!$E$63),0,IF(AND(Mitarbeiter!$F$63&lt;&gt;"",HB$5&gt;Mitarbeiter!$F$63),0,IF(Planung!HB65="",$C65,IF(ISNUMBER(Planung!HB65),Planung!HB65,IF(UPPER(Planung!HB65)="H",$C65/2,0)))))))</f>
        <v>0</v>
      </c>
      <c r="HC65" s="27">
        <f>IF($A65="",0,IF(Mitarbeiter!$G$63=FALSE,0,IF(AND(Mitarbeiter!$E$63&lt;&gt;"",HC$5+6&lt;Mitarbeiter!$E$63),0,IF(AND(Mitarbeiter!$F$63&lt;&gt;"",HC$5&gt;Mitarbeiter!$F$63),0,IF(Planung!HC65="",$C65,IF(ISNUMBER(Planung!HC65),Planung!HC65,IF(UPPER(Planung!HC65)="H",$C65/2,0)))))))</f>
        <v>0</v>
      </c>
      <c r="HD65" s="27">
        <f>IF($A65="",0,IF(Mitarbeiter!$G$63=FALSE,0,IF(AND(Mitarbeiter!$E$63&lt;&gt;"",HD$5+6&lt;Mitarbeiter!$E$63),0,IF(AND(Mitarbeiter!$F$63&lt;&gt;"",HD$5&gt;Mitarbeiter!$F$63),0,IF(Planung!HD65="",$C65,IF(ISNUMBER(Planung!HD65),Planung!HD65,IF(UPPER(Planung!HD65)="H",$C65/2,0)))))))</f>
        <v>0</v>
      </c>
      <c r="HE65" s="27">
        <f>IF($A65="",0,IF(Mitarbeiter!$G$63=FALSE,0,IF(AND(Mitarbeiter!$E$63&lt;&gt;"",HE$5+6&lt;Mitarbeiter!$E$63),0,IF(AND(Mitarbeiter!$F$63&lt;&gt;"",HE$5&gt;Mitarbeiter!$F$63),0,IF(Planung!HE65="",$C65,IF(ISNUMBER(Planung!HE65),Planung!HE65,IF(UPPER(Planung!HE65)="H",$C65/2,0)))))))</f>
        <v>0</v>
      </c>
      <c r="HF65" s="27">
        <f>IF($A65="",0,IF(Mitarbeiter!$G$63=FALSE,0,IF(AND(Mitarbeiter!$E$63&lt;&gt;"",HF$5+6&lt;Mitarbeiter!$E$63),0,IF(AND(Mitarbeiter!$F$63&lt;&gt;"",HF$5&gt;Mitarbeiter!$F$63),0,IF(Planung!HF65="",$C65,IF(ISNUMBER(Planung!HF65),Planung!HF65,IF(UPPER(Planung!HF65)="H",$C65/2,0)))))))</f>
        <v>0</v>
      </c>
      <c r="HG65" s="27">
        <f>IF($A65="",0,IF(Mitarbeiter!$G$63=FALSE,0,IF(AND(Mitarbeiter!$E$63&lt;&gt;"",HG$5+6&lt;Mitarbeiter!$E$63),0,IF(AND(Mitarbeiter!$F$63&lt;&gt;"",HG$5&gt;Mitarbeiter!$F$63),0,IF(Planung!HG65="",$C65,IF(ISNUMBER(Planung!HG65),Planung!HG65,IF(UPPER(Planung!HG65)="H",$C65/2,0)))))))</f>
        <v>0</v>
      </c>
      <c r="HH65" s="27">
        <f>IF($A65="",0,IF(Mitarbeiter!$G$63=FALSE,0,IF(AND(Mitarbeiter!$E$63&lt;&gt;"",HH$5+6&lt;Mitarbeiter!$E$63),0,IF(AND(Mitarbeiter!$F$63&lt;&gt;"",HH$5&gt;Mitarbeiter!$F$63),0,IF(Planung!HH65="",$C65,IF(ISNUMBER(Planung!HH65),Planung!HH65,IF(UPPER(Planung!HH65)="H",$C65/2,0)))))))</f>
        <v>0</v>
      </c>
      <c r="HI65" s="27">
        <f>IF($A65="",0,IF(Mitarbeiter!$G$63=FALSE,0,IF(AND(Mitarbeiter!$E$63&lt;&gt;"",HI$5+6&lt;Mitarbeiter!$E$63),0,IF(AND(Mitarbeiter!$F$63&lt;&gt;"",HI$5&gt;Mitarbeiter!$F$63),0,IF(Planung!HI65="",$C65,IF(ISNUMBER(Planung!HI65),Planung!HI65,IF(UPPER(Planung!HI65)="H",$C65/2,0)))))))</f>
        <v>0</v>
      </c>
      <c r="HJ65" s="27">
        <f>IF($A65="",0,IF(Mitarbeiter!$G$63=FALSE,0,IF(AND(Mitarbeiter!$E$63&lt;&gt;"",HJ$5+6&lt;Mitarbeiter!$E$63),0,IF(AND(Mitarbeiter!$F$63&lt;&gt;"",HJ$5&gt;Mitarbeiter!$F$63),0,IF(Planung!HJ65="",$C65,IF(ISNUMBER(Planung!HJ65),Planung!HJ65,IF(UPPER(Planung!HJ65)="H",$C65/2,0)))))))</f>
        <v>0</v>
      </c>
      <c r="HK65" s="27">
        <f>IF($A65="",0,IF(Mitarbeiter!$G$63=FALSE,0,IF(AND(Mitarbeiter!$E$63&lt;&gt;"",HK$5+6&lt;Mitarbeiter!$E$63),0,IF(AND(Mitarbeiter!$F$63&lt;&gt;"",HK$5&gt;Mitarbeiter!$F$63),0,IF(Planung!HK65="",$C65,IF(ISNUMBER(Planung!HK65),Planung!HK65,IF(UPPER(Planung!HK65)="H",$C65/2,0)))))))</f>
        <v>0</v>
      </c>
      <c r="HL65" s="27">
        <f>IF($A65="",0,IF(Mitarbeiter!$G$63=FALSE,0,IF(AND(Mitarbeiter!$E$63&lt;&gt;"",HL$5+6&lt;Mitarbeiter!$E$63),0,IF(AND(Mitarbeiter!$F$63&lt;&gt;"",HL$5&gt;Mitarbeiter!$F$63),0,IF(Planung!HL65="",$C65,IF(ISNUMBER(Planung!HL65),Planung!HL65,IF(UPPER(Planung!HL65)="H",$C65/2,0)))))))</f>
        <v>0</v>
      </c>
      <c r="HM65" s="27">
        <f>IF($A65="",0,IF(Mitarbeiter!$G$63=FALSE,0,IF(AND(Mitarbeiter!$E$63&lt;&gt;"",HM$5+6&lt;Mitarbeiter!$E$63),0,IF(AND(Mitarbeiter!$F$63&lt;&gt;"",HM$5&gt;Mitarbeiter!$F$63),0,IF(Planung!HM65="",$C65,IF(ISNUMBER(Planung!HM65),Planung!HM65,IF(UPPER(Planung!HM65)="H",$C65/2,0)))))))</f>
        <v>0</v>
      </c>
      <c r="HN65" s="27">
        <f>IF($A65="",0,IF(Mitarbeiter!$G$63=FALSE,0,IF(AND(Mitarbeiter!$E$63&lt;&gt;"",HN$5+6&lt;Mitarbeiter!$E$63),0,IF(AND(Mitarbeiter!$F$63&lt;&gt;"",HN$5&gt;Mitarbeiter!$F$63),0,IF(Planung!HN65="",$C65,IF(ISNUMBER(Planung!HN65),Planung!HN65,IF(UPPER(Planung!HN65)="H",$C65/2,0)))))))</f>
        <v>0</v>
      </c>
      <c r="HO65" s="27">
        <f>IF($A65="",0,IF(Mitarbeiter!$G$63=FALSE,0,IF(AND(Mitarbeiter!$E$63&lt;&gt;"",HO$5+6&lt;Mitarbeiter!$E$63),0,IF(AND(Mitarbeiter!$F$63&lt;&gt;"",HO$5&gt;Mitarbeiter!$F$63),0,IF(Planung!HO65="",$C65,IF(ISNUMBER(Planung!HO65),Planung!HO65,IF(UPPER(Planung!HO65)="H",$C65/2,0)))))))</f>
        <v>0</v>
      </c>
      <c r="HP65" s="27">
        <f>IF($A65="",0,IF(Mitarbeiter!$G$63=FALSE,0,IF(AND(Mitarbeiter!$E$63&lt;&gt;"",HP$5+6&lt;Mitarbeiter!$E$63),0,IF(AND(Mitarbeiter!$F$63&lt;&gt;"",HP$5&gt;Mitarbeiter!$F$63),0,IF(Planung!HP65="",$C65,IF(ISNUMBER(Planung!HP65),Planung!HP65,IF(UPPER(Planung!HP65)="H",$C65/2,0)))))))</f>
        <v>0</v>
      </c>
      <c r="HQ65" s="27">
        <f>IF($A65="",0,IF(Mitarbeiter!$G$63=FALSE,0,IF(AND(Mitarbeiter!$E$63&lt;&gt;"",HQ$5+6&lt;Mitarbeiter!$E$63),0,IF(AND(Mitarbeiter!$F$63&lt;&gt;"",HQ$5&gt;Mitarbeiter!$F$63),0,IF(Planung!HQ65="",$C65,IF(ISNUMBER(Planung!HQ65),Planung!HQ65,IF(UPPER(Planung!HQ65)="H",$C65/2,0)))))))</f>
        <v>0</v>
      </c>
      <c r="HR65" s="27">
        <f>IF($A65="",0,IF(Mitarbeiter!$G$63=FALSE,0,IF(AND(Mitarbeiter!$E$63&lt;&gt;"",HR$5+6&lt;Mitarbeiter!$E$63),0,IF(AND(Mitarbeiter!$F$63&lt;&gt;"",HR$5&gt;Mitarbeiter!$F$63),0,IF(Planung!HR65="",$C65,IF(ISNUMBER(Planung!HR65),Planung!HR65,IF(UPPER(Planung!HR65)="H",$C65/2,0)))))))</f>
        <v>0</v>
      </c>
      <c r="HS65" s="27">
        <f>IF($A65="",0,IF(Mitarbeiter!$G$63=FALSE,0,IF(AND(Mitarbeiter!$E$63&lt;&gt;"",HS$5+6&lt;Mitarbeiter!$E$63),0,IF(AND(Mitarbeiter!$F$63&lt;&gt;"",HS$5&gt;Mitarbeiter!$F$63),0,IF(Planung!HS65="",$C65,IF(ISNUMBER(Planung!HS65),Planung!HS65,IF(UPPER(Planung!HS65)="H",$C65/2,0)))))))</f>
        <v>0</v>
      </c>
      <c r="HT65" s="27">
        <f>IF($A65="",0,IF(Mitarbeiter!$G$63=FALSE,0,IF(AND(Mitarbeiter!$E$63&lt;&gt;"",HT$5+6&lt;Mitarbeiter!$E$63),0,IF(AND(Mitarbeiter!$F$63&lt;&gt;"",HT$5&gt;Mitarbeiter!$F$63),0,IF(Planung!HT65="",$C65,IF(ISNUMBER(Planung!HT65),Planung!HT65,IF(UPPER(Planung!HT65)="H",$C65/2,0)))))))</f>
        <v>0</v>
      </c>
      <c r="HU65" s="27">
        <f>IF($A65="",0,IF(Mitarbeiter!$G$63=FALSE,0,IF(AND(Mitarbeiter!$E$63&lt;&gt;"",HU$5+6&lt;Mitarbeiter!$E$63),0,IF(AND(Mitarbeiter!$F$63&lt;&gt;"",HU$5&gt;Mitarbeiter!$F$63),0,IF(Planung!HU65="",$C65,IF(ISNUMBER(Planung!HU65),Planung!HU65,IF(UPPER(Planung!HU65)="H",$C65/2,0)))))))</f>
        <v>0</v>
      </c>
      <c r="HV65" s="27">
        <f>IF($A65="",0,IF(Mitarbeiter!$G$63=FALSE,0,IF(AND(Mitarbeiter!$E$63&lt;&gt;"",HV$5+6&lt;Mitarbeiter!$E$63),0,IF(AND(Mitarbeiter!$F$63&lt;&gt;"",HV$5&gt;Mitarbeiter!$F$63),0,IF(Planung!HV65="",$C65,IF(ISNUMBER(Planung!HV65),Planung!HV65,IF(UPPER(Planung!HV65)="H",$C65/2,0)))))))</f>
        <v>0</v>
      </c>
      <c r="HW65" s="27">
        <f>IF($A65="",0,IF(Mitarbeiter!$G$63=FALSE,0,IF(AND(Mitarbeiter!$E$63&lt;&gt;"",HW$5+6&lt;Mitarbeiter!$E$63),0,IF(AND(Mitarbeiter!$F$63&lt;&gt;"",HW$5&gt;Mitarbeiter!$F$63),0,IF(Planung!HW65="",$C65,IF(ISNUMBER(Planung!HW65),Planung!HW65,IF(UPPER(Planung!HW65)="H",$C65/2,0)))))))</f>
        <v>0</v>
      </c>
      <c r="HX65" s="27">
        <f>IF($A65="",0,IF(Mitarbeiter!$G$63=FALSE,0,IF(AND(Mitarbeiter!$E$63&lt;&gt;"",HX$5+6&lt;Mitarbeiter!$E$63),0,IF(AND(Mitarbeiter!$F$63&lt;&gt;"",HX$5&gt;Mitarbeiter!$F$63),0,IF(Planung!HX65="",$C65,IF(ISNUMBER(Planung!HX65),Planung!HX65,IF(UPPER(Planung!HX65)="H",$C65/2,0)))))))</f>
        <v>0</v>
      </c>
      <c r="HY65" s="27">
        <f>IF($A65="",0,IF(Mitarbeiter!$G$63=FALSE,0,IF(AND(Mitarbeiter!$E$63&lt;&gt;"",HY$5+6&lt;Mitarbeiter!$E$63),0,IF(AND(Mitarbeiter!$F$63&lt;&gt;"",HY$5&gt;Mitarbeiter!$F$63),0,IF(Planung!HY65="",$C65,IF(ISNUMBER(Planung!HY65),Planung!HY65,IF(UPPER(Planung!HY65)="H",$C65/2,0)))))))</f>
        <v>0</v>
      </c>
      <c r="HZ65" s="27">
        <f>IF($A65="",0,IF(Mitarbeiter!$G$63=FALSE,0,IF(AND(Mitarbeiter!$E$63&lt;&gt;"",HZ$5+6&lt;Mitarbeiter!$E$63),0,IF(AND(Mitarbeiter!$F$63&lt;&gt;"",HZ$5&gt;Mitarbeiter!$F$63),0,IF(Planung!HZ65="",$C65,IF(ISNUMBER(Planung!HZ65),Planung!HZ65,IF(UPPER(Planung!HZ65)="H",$C65/2,0)))))))</f>
        <v>0</v>
      </c>
      <c r="IA65" s="27">
        <f>IF($A65="",0,IF(Mitarbeiter!$G$63=FALSE,0,IF(AND(Mitarbeiter!$E$63&lt;&gt;"",IA$5+6&lt;Mitarbeiter!$E$63),0,IF(AND(Mitarbeiter!$F$63&lt;&gt;"",IA$5&gt;Mitarbeiter!$F$63),0,IF(Planung!IA65="",$C65,IF(ISNUMBER(Planung!IA65),Planung!IA65,IF(UPPER(Planung!IA65)="H",$C65/2,0)))))))</f>
        <v>0</v>
      </c>
    </row>
    <row r="66" spans="1:235" x14ac:dyDescent="0.25">
      <c r="A66" s="7" t="str">
        <f>Planung!A66</f>
        <v/>
      </c>
      <c r="B66" s="7" t="str">
        <f>Planung!B66</f>
        <v/>
      </c>
      <c r="C66" s="27">
        <f>N(Mitarbeiter!$D$64)</f>
        <v>0</v>
      </c>
      <c r="D66" s="27">
        <f>IF($A66="",0,IF(Mitarbeiter!$G$64=FALSE,0,IF(AND(Mitarbeiter!$E$64&lt;&gt;"",D$5+6&lt;Mitarbeiter!$E$64),0,IF(AND(Mitarbeiter!$F$64&lt;&gt;"",D$5&gt;Mitarbeiter!$F$64),0,IF(Planung!D66="",$C66,IF(ISNUMBER(Planung!D66),Planung!D66,IF(UPPER(Planung!D66)="H",$C66/2,0)))))))</f>
        <v>0</v>
      </c>
      <c r="E66" s="27">
        <f>IF($A66="",0,IF(Mitarbeiter!$G$64=FALSE,0,IF(AND(Mitarbeiter!$E$64&lt;&gt;"",E$5+6&lt;Mitarbeiter!$E$64),0,IF(AND(Mitarbeiter!$F$64&lt;&gt;"",E$5&gt;Mitarbeiter!$F$64),0,IF(Planung!E66="",$C66,IF(ISNUMBER(Planung!E66),Planung!E66,IF(UPPER(Planung!E66)="H",$C66/2,0)))))))</f>
        <v>0</v>
      </c>
      <c r="F66" s="27">
        <f>IF($A66="",0,IF(Mitarbeiter!$G$64=FALSE,0,IF(AND(Mitarbeiter!$E$64&lt;&gt;"",F$5+6&lt;Mitarbeiter!$E$64),0,IF(AND(Mitarbeiter!$F$64&lt;&gt;"",F$5&gt;Mitarbeiter!$F$64),0,IF(Planung!F66="",$C66,IF(ISNUMBER(Planung!F66),Planung!F66,IF(UPPER(Planung!F66)="H",$C66/2,0)))))))</f>
        <v>0</v>
      </c>
      <c r="G66" s="27">
        <f>IF($A66="",0,IF(Mitarbeiter!$G$64=FALSE,0,IF(AND(Mitarbeiter!$E$64&lt;&gt;"",G$5+6&lt;Mitarbeiter!$E$64),0,IF(AND(Mitarbeiter!$F$64&lt;&gt;"",G$5&gt;Mitarbeiter!$F$64),0,IF(Planung!G66="",$C66,IF(ISNUMBER(Planung!G66),Planung!G66,IF(UPPER(Planung!G66)="H",$C66/2,0)))))))</f>
        <v>0</v>
      </c>
      <c r="H66" s="27">
        <f>IF($A66="",0,IF(Mitarbeiter!$G$64=FALSE,0,IF(AND(Mitarbeiter!$E$64&lt;&gt;"",H$5+6&lt;Mitarbeiter!$E$64),0,IF(AND(Mitarbeiter!$F$64&lt;&gt;"",H$5&gt;Mitarbeiter!$F$64),0,IF(Planung!H66="",$C66,IF(ISNUMBER(Planung!H66),Planung!H66,IF(UPPER(Planung!H66)="H",$C66/2,0)))))))</f>
        <v>0</v>
      </c>
      <c r="I66" s="27">
        <f>IF($A66="",0,IF(Mitarbeiter!$G$64=FALSE,0,IF(AND(Mitarbeiter!$E$64&lt;&gt;"",I$5+6&lt;Mitarbeiter!$E$64),0,IF(AND(Mitarbeiter!$F$64&lt;&gt;"",I$5&gt;Mitarbeiter!$F$64),0,IF(Planung!I66="",$C66,IF(ISNUMBER(Planung!I66),Planung!I66,IF(UPPER(Planung!I66)="H",$C66/2,0)))))))</f>
        <v>0</v>
      </c>
      <c r="J66" s="27">
        <f>IF($A66="",0,IF(Mitarbeiter!$G$64=FALSE,0,IF(AND(Mitarbeiter!$E$64&lt;&gt;"",J$5+6&lt;Mitarbeiter!$E$64),0,IF(AND(Mitarbeiter!$F$64&lt;&gt;"",J$5&gt;Mitarbeiter!$F$64),0,IF(Planung!J66="",$C66,IF(ISNUMBER(Planung!J66),Planung!J66,IF(UPPER(Planung!J66)="H",$C66/2,0)))))))</f>
        <v>0</v>
      </c>
      <c r="K66" s="27">
        <f>IF($A66="",0,IF(Mitarbeiter!$G$64=FALSE,0,IF(AND(Mitarbeiter!$E$64&lt;&gt;"",K$5+6&lt;Mitarbeiter!$E$64),0,IF(AND(Mitarbeiter!$F$64&lt;&gt;"",K$5&gt;Mitarbeiter!$F$64),0,IF(Planung!K66="",$C66,IF(ISNUMBER(Planung!K66),Planung!K66,IF(UPPER(Planung!K66)="H",$C66/2,0)))))))</f>
        <v>0</v>
      </c>
      <c r="L66" s="27">
        <f>IF($A66="",0,IF(Mitarbeiter!$G$64=FALSE,0,IF(AND(Mitarbeiter!$E$64&lt;&gt;"",L$5+6&lt;Mitarbeiter!$E$64),0,IF(AND(Mitarbeiter!$F$64&lt;&gt;"",L$5&gt;Mitarbeiter!$F$64),0,IF(Planung!L66="",$C66,IF(ISNUMBER(Planung!L66),Planung!L66,IF(UPPER(Planung!L66)="H",$C66/2,0)))))))</f>
        <v>0</v>
      </c>
      <c r="M66" s="27">
        <f>IF($A66="",0,IF(Mitarbeiter!$G$64=FALSE,0,IF(AND(Mitarbeiter!$E$64&lt;&gt;"",M$5+6&lt;Mitarbeiter!$E$64),0,IF(AND(Mitarbeiter!$F$64&lt;&gt;"",M$5&gt;Mitarbeiter!$F$64),0,IF(Planung!M66="",$C66,IF(ISNUMBER(Planung!M66),Planung!M66,IF(UPPER(Planung!M66)="H",$C66/2,0)))))))</f>
        <v>0</v>
      </c>
      <c r="N66" s="27">
        <f>IF($A66="",0,IF(Mitarbeiter!$G$64=FALSE,0,IF(AND(Mitarbeiter!$E$64&lt;&gt;"",N$5+6&lt;Mitarbeiter!$E$64),0,IF(AND(Mitarbeiter!$F$64&lt;&gt;"",N$5&gt;Mitarbeiter!$F$64),0,IF(Planung!N66="",$C66,IF(ISNUMBER(Planung!N66),Planung!N66,IF(UPPER(Planung!N66)="H",$C66/2,0)))))))</f>
        <v>0</v>
      </c>
      <c r="O66" s="27">
        <f>IF($A66="",0,IF(Mitarbeiter!$G$64=FALSE,0,IF(AND(Mitarbeiter!$E$64&lt;&gt;"",O$5+6&lt;Mitarbeiter!$E$64),0,IF(AND(Mitarbeiter!$F$64&lt;&gt;"",O$5&gt;Mitarbeiter!$F$64),0,IF(Planung!O66="",$C66,IF(ISNUMBER(Planung!O66),Planung!O66,IF(UPPER(Planung!O66)="H",$C66/2,0)))))))</f>
        <v>0</v>
      </c>
      <c r="P66" s="27">
        <f>IF($A66="",0,IF(Mitarbeiter!$G$64=FALSE,0,IF(AND(Mitarbeiter!$E$64&lt;&gt;"",P$5+6&lt;Mitarbeiter!$E$64),0,IF(AND(Mitarbeiter!$F$64&lt;&gt;"",P$5&gt;Mitarbeiter!$F$64),0,IF(Planung!P66="",$C66,IF(ISNUMBER(Planung!P66),Planung!P66,IF(UPPER(Planung!P66)="H",$C66/2,0)))))))</f>
        <v>0</v>
      </c>
      <c r="Q66" s="27">
        <f>IF($A66="",0,IF(Mitarbeiter!$G$64=FALSE,0,IF(AND(Mitarbeiter!$E$64&lt;&gt;"",Q$5+6&lt;Mitarbeiter!$E$64),0,IF(AND(Mitarbeiter!$F$64&lt;&gt;"",Q$5&gt;Mitarbeiter!$F$64),0,IF(Planung!Q66="",$C66,IF(ISNUMBER(Planung!Q66),Planung!Q66,IF(UPPER(Planung!Q66)="H",$C66/2,0)))))))</f>
        <v>0</v>
      </c>
      <c r="R66" s="27">
        <f>IF($A66="",0,IF(Mitarbeiter!$G$64=FALSE,0,IF(AND(Mitarbeiter!$E$64&lt;&gt;"",R$5+6&lt;Mitarbeiter!$E$64),0,IF(AND(Mitarbeiter!$F$64&lt;&gt;"",R$5&gt;Mitarbeiter!$F$64),0,IF(Planung!R66="",$C66,IF(ISNUMBER(Planung!R66),Planung!R66,IF(UPPER(Planung!R66)="H",$C66/2,0)))))))</f>
        <v>0</v>
      </c>
      <c r="S66" s="27">
        <f>IF($A66="",0,IF(Mitarbeiter!$G$64=FALSE,0,IF(AND(Mitarbeiter!$E$64&lt;&gt;"",S$5+6&lt;Mitarbeiter!$E$64),0,IF(AND(Mitarbeiter!$F$64&lt;&gt;"",S$5&gt;Mitarbeiter!$F$64),0,IF(Planung!S66="",$C66,IF(ISNUMBER(Planung!S66),Planung!S66,IF(UPPER(Planung!S66)="H",$C66/2,0)))))))</f>
        <v>0</v>
      </c>
      <c r="T66" s="27">
        <f>IF($A66="",0,IF(Mitarbeiter!$G$64=FALSE,0,IF(AND(Mitarbeiter!$E$64&lt;&gt;"",T$5+6&lt;Mitarbeiter!$E$64),0,IF(AND(Mitarbeiter!$F$64&lt;&gt;"",T$5&gt;Mitarbeiter!$F$64),0,IF(Planung!T66="",$C66,IF(ISNUMBER(Planung!T66),Planung!T66,IF(UPPER(Planung!T66)="H",$C66/2,0)))))))</f>
        <v>0</v>
      </c>
      <c r="U66" s="27">
        <f>IF($A66="",0,IF(Mitarbeiter!$G$64=FALSE,0,IF(AND(Mitarbeiter!$E$64&lt;&gt;"",U$5+6&lt;Mitarbeiter!$E$64),0,IF(AND(Mitarbeiter!$F$64&lt;&gt;"",U$5&gt;Mitarbeiter!$F$64),0,IF(Planung!U66="",$C66,IF(ISNUMBER(Planung!U66),Planung!U66,IF(UPPER(Planung!U66)="H",$C66/2,0)))))))</f>
        <v>0</v>
      </c>
      <c r="V66" s="27">
        <f>IF($A66="",0,IF(Mitarbeiter!$G$64=FALSE,0,IF(AND(Mitarbeiter!$E$64&lt;&gt;"",V$5+6&lt;Mitarbeiter!$E$64),0,IF(AND(Mitarbeiter!$F$64&lt;&gt;"",V$5&gt;Mitarbeiter!$F$64),0,IF(Planung!V66="",$C66,IF(ISNUMBER(Planung!V66),Planung!V66,IF(UPPER(Planung!V66)="H",$C66/2,0)))))))</f>
        <v>0</v>
      </c>
      <c r="W66" s="27">
        <f>IF($A66="",0,IF(Mitarbeiter!$G$64=FALSE,0,IF(AND(Mitarbeiter!$E$64&lt;&gt;"",W$5+6&lt;Mitarbeiter!$E$64),0,IF(AND(Mitarbeiter!$F$64&lt;&gt;"",W$5&gt;Mitarbeiter!$F$64),0,IF(Planung!W66="",$C66,IF(ISNUMBER(Planung!W66),Planung!W66,IF(UPPER(Planung!W66)="H",$C66/2,0)))))))</f>
        <v>0</v>
      </c>
      <c r="X66" s="27">
        <f>IF($A66="",0,IF(Mitarbeiter!$G$64=FALSE,0,IF(AND(Mitarbeiter!$E$64&lt;&gt;"",X$5+6&lt;Mitarbeiter!$E$64),0,IF(AND(Mitarbeiter!$F$64&lt;&gt;"",X$5&gt;Mitarbeiter!$F$64),0,IF(Planung!X66="",$C66,IF(ISNUMBER(Planung!X66),Planung!X66,IF(UPPER(Planung!X66)="H",$C66/2,0)))))))</f>
        <v>0</v>
      </c>
      <c r="Y66" s="27">
        <f>IF($A66="",0,IF(Mitarbeiter!$G$64=FALSE,0,IF(AND(Mitarbeiter!$E$64&lt;&gt;"",Y$5+6&lt;Mitarbeiter!$E$64),0,IF(AND(Mitarbeiter!$F$64&lt;&gt;"",Y$5&gt;Mitarbeiter!$F$64),0,IF(Planung!Y66="",$C66,IF(ISNUMBER(Planung!Y66),Planung!Y66,IF(UPPER(Planung!Y66)="H",$C66/2,0)))))))</f>
        <v>0</v>
      </c>
      <c r="Z66" s="27">
        <f>IF($A66="",0,IF(Mitarbeiter!$G$64=FALSE,0,IF(AND(Mitarbeiter!$E$64&lt;&gt;"",Z$5+6&lt;Mitarbeiter!$E$64),0,IF(AND(Mitarbeiter!$F$64&lt;&gt;"",Z$5&gt;Mitarbeiter!$F$64),0,IF(Planung!Z66="",$C66,IF(ISNUMBER(Planung!Z66),Planung!Z66,IF(UPPER(Planung!Z66)="H",$C66/2,0)))))))</f>
        <v>0</v>
      </c>
      <c r="AA66" s="27">
        <f>IF($A66="",0,IF(Mitarbeiter!$G$64=FALSE,0,IF(AND(Mitarbeiter!$E$64&lt;&gt;"",AA$5+6&lt;Mitarbeiter!$E$64),0,IF(AND(Mitarbeiter!$F$64&lt;&gt;"",AA$5&gt;Mitarbeiter!$F$64),0,IF(Planung!AA66="",$C66,IF(ISNUMBER(Planung!AA66),Planung!AA66,IF(UPPER(Planung!AA66)="H",$C66/2,0)))))))</f>
        <v>0</v>
      </c>
      <c r="AB66" s="27">
        <f>IF($A66="",0,IF(Mitarbeiter!$G$64=FALSE,0,IF(AND(Mitarbeiter!$E$64&lt;&gt;"",AB$5+6&lt;Mitarbeiter!$E$64),0,IF(AND(Mitarbeiter!$F$64&lt;&gt;"",AB$5&gt;Mitarbeiter!$F$64),0,IF(Planung!AB66="",$C66,IF(ISNUMBER(Planung!AB66),Planung!AB66,IF(UPPER(Planung!AB66)="H",$C66/2,0)))))))</f>
        <v>0</v>
      </c>
      <c r="AC66" s="27">
        <f>IF($A66="",0,IF(Mitarbeiter!$G$64=FALSE,0,IF(AND(Mitarbeiter!$E$64&lt;&gt;"",AC$5+6&lt;Mitarbeiter!$E$64),0,IF(AND(Mitarbeiter!$F$64&lt;&gt;"",AC$5&gt;Mitarbeiter!$F$64),0,IF(Planung!AC66="",$C66,IF(ISNUMBER(Planung!AC66),Planung!AC66,IF(UPPER(Planung!AC66)="H",$C66/2,0)))))))</f>
        <v>0</v>
      </c>
      <c r="AD66" s="27">
        <f>IF($A66="",0,IF(Mitarbeiter!$G$64=FALSE,0,IF(AND(Mitarbeiter!$E$64&lt;&gt;"",AD$5+6&lt;Mitarbeiter!$E$64),0,IF(AND(Mitarbeiter!$F$64&lt;&gt;"",AD$5&gt;Mitarbeiter!$F$64),0,IF(Planung!AD66="",$C66,IF(ISNUMBER(Planung!AD66),Planung!AD66,IF(UPPER(Planung!AD66)="H",$C66/2,0)))))))</f>
        <v>0</v>
      </c>
      <c r="AE66" s="27">
        <f>IF($A66="",0,IF(Mitarbeiter!$G$64=FALSE,0,IF(AND(Mitarbeiter!$E$64&lt;&gt;"",AE$5+6&lt;Mitarbeiter!$E$64),0,IF(AND(Mitarbeiter!$F$64&lt;&gt;"",AE$5&gt;Mitarbeiter!$F$64),0,IF(Planung!AE66="",$C66,IF(ISNUMBER(Planung!AE66),Planung!AE66,IF(UPPER(Planung!AE66)="H",$C66/2,0)))))))</f>
        <v>0</v>
      </c>
      <c r="AF66" s="27">
        <f>IF($A66="",0,IF(Mitarbeiter!$G$64=FALSE,0,IF(AND(Mitarbeiter!$E$64&lt;&gt;"",AF$5+6&lt;Mitarbeiter!$E$64),0,IF(AND(Mitarbeiter!$F$64&lt;&gt;"",AF$5&gt;Mitarbeiter!$F$64),0,IF(Planung!AF66="",$C66,IF(ISNUMBER(Planung!AF66),Planung!AF66,IF(UPPER(Planung!AF66)="H",$C66/2,0)))))))</f>
        <v>0</v>
      </c>
      <c r="AG66" s="27">
        <f>IF($A66="",0,IF(Mitarbeiter!$G$64=FALSE,0,IF(AND(Mitarbeiter!$E$64&lt;&gt;"",AG$5+6&lt;Mitarbeiter!$E$64),0,IF(AND(Mitarbeiter!$F$64&lt;&gt;"",AG$5&gt;Mitarbeiter!$F$64),0,IF(Planung!AG66="",$C66,IF(ISNUMBER(Planung!AG66),Planung!AG66,IF(UPPER(Planung!AG66)="H",$C66/2,0)))))))</f>
        <v>0</v>
      </c>
      <c r="AH66" s="27">
        <f>IF($A66="",0,IF(Mitarbeiter!$G$64=FALSE,0,IF(AND(Mitarbeiter!$E$64&lt;&gt;"",AH$5+6&lt;Mitarbeiter!$E$64),0,IF(AND(Mitarbeiter!$F$64&lt;&gt;"",AH$5&gt;Mitarbeiter!$F$64),0,IF(Planung!AH66="",$C66,IF(ISNUMBER(Planung!AH66),Planung!AH66,IF(UPPER(Planung!AH66)="H",$C66/2,0)))))))</f>
        <v>0</v>
      </c>
      <c r="AI66" s="27">
        <f>IF($A66="",0,IF(Mitarbeiter!$G$64=FALSE,0,IF(AND(Mitarbeiter!$E$64&lt;&gt;"",AI$5+6&lt;Mitarbeiter!$E$64),0,IF(AND(Mitarbeiter!$F$64&lt;&gt;"",AI$5&gt;Mitarbeiter!$F$64),0,IF(Planung!AI66="",$C66,IF(ISNUMBER(Planung!AI66),Planung!AI66,IF(UPPER(Planung!AI66)="H",$C66/2,0)))))))</f>
        <v>0</v>
      </c>
      <c r="AJ66" s="27">
        <f>IF($A66="",0,IF(Mitarbeiter!$G$64=FALSE,0,IF(AND(Mitarbeiter!$E$64&lt;&gt;"",AJ$5+6&lt;Mitarbeiter!$E$64),0,IF(AND(Mitarbeiter!$F$64&lt;&gt;"",AJ$5&gt;Mitarbeiter!$F$64),0,IF(Planung!AJ66="",$C66,IF(ISNUMBER(Planung!AJ66),Planung!AJ66,IF(UPPER(Planung!AJ66)="H",$C66/2,0)))))))</f>
        <v>0</v>
      </c>
      <c r="AK66" s="27">
        <f>IF($A66="",0,IF(Mitarbeiter!$G$64=FALSE,0,IF(AND(Mitarbeiter!$E$64&lt;&gt;"",AK$5+6&lt;Mitarbeiter!$E$64),0,IF(AND(Mitarbeiter!$F$64&lt;&gt;"",AK$5&gt;Mitarbeiter!$F$64),0,IF(Planung!AK66="",$C66,IF(ISNUMBER(Planung!AK66),Planung!AK66,IF(UPPER(Planung!AK66)="H",$C66/2,0)))))))</f>
        <v>0</v>
      </c>
      <c r="AL66" s="27">
        <f>IF($A66="",0,IF(Mitarbeiter!$G$64=FALSE,0,IF(AND(Mitarbeiter!$E$64&lt;&gt;"",AL$5+6&lt;Mitarbeiter!$E$64),0,IF(AND(Mitarbeiter!$F$64&lt;&gt;"",AL$5&gt;Mitarbeiter!$F$64),0,IF(Planung!AL66="",$C66,IF(ISNUMBER(Planung!AL66),Planung!AL66,IF(UPPER(Planung!AL66)="H",$C66/2,0)))))))</f>
        <v>0</v>
      </c>
      <c r="AM66" s="27">
        <f>IF($A66="",0,IF(Mitarbeiter!$G$64=FALSE,0,IF(AND(Mitarbeiter!$E$64&lt;&gt;"",AM$5+6&lt;Mitarbeiter!$E$64),0,IF(AND(Mitarbeiter!$F$64&lt;&gt;"",AM$5&gt;Mitarbeiter!$F$64),0,IF(Planung!AM66="",$C66,IF(ISNUMBER(Planung!AM66),Planung!AM66,IF(UPPER(Planung!AM66)="H",$C66/2,0)))))))</f>
        <v>0</v>
      </c>
      <c r="AN66" s="27">
        <f>IF($A66="",0,IF(Mitarbeiter!$G$64=FALSE,0,IF(AND(Mitarbeiter!$E$64&lt;&gt;"",AN$5+6&lt;Mitarbeiter!$E$64),0,IF(AND(Mitarbeiter!$F$64&lt;&gt;"",AN$5&gt;Mitarbeiter!$F$64),0,IF(Planung!AN66="",$C66,IF(ISNUMBER(Planung!AN66),Planung!AN66,IF(UPPER(Planung!AN66)="H",$C66/2,0)))))))</f>
        <v>0</v>
      </c>
      <c r="AO66" s="27">
        <f>IF($A66="",0,IF(Mitarbeiter!$G$64=FALSE,0,IF(AND(Mitarbeiter!$E$64&lt;&gt;"",AO$5+6&lt;Mitarbeiter!$E$64),0,IF(AND(Mitarbeiter!$F$64&lt;&gt;"",AO$5&gt;Mitarbeiter!$F$64),0,IF(Planung!AO66="",$C66,IF(ISNUMBER(Planung!AO66),Planung!AO66,IF(UPPER(Planung!AO66)="H",$C66/2,0)))))))</f>
        <v>0</v>
      </c>
      <c r="AP66" s="27">
        <f>IF($A66="",0,IF(Mitarbeiter!$G$64=FALSE,0,IF(AND(Mitarbeiter!$E$64&lt;&gt;"",AP$5+6&lt;Mitarbeiter!$E$64),0,IF(AND(Mitarbeiter!$F$64&lt;&gt;"",AP$5&gt;Mitarbeiter!$F$64),0,IF(Planung!AP66="",$C66,IF(ISNUMBER(Planung!AP66),Planung!AP66,IF(UPPER(Planung!AP66)="H",$C66/2,0)))))))</f>
        <v>0</v>
      </c>
      <c r="AQ66" s="27">
        <f>IF($A66="",0,IF(Mitarbeiter!$G$64=FALSE,0,IF(AND(Mitarbeiter!$E$64&lt;&gt;"",AQ$5+6&lt;Mitarbeiter!$E$64),0,IF(AND(Mitarbeiter!$F$64&lt;&gt;"",AQ$5&gt;Mitarbeiter!$F$64),0,IF(Planung!AQ66="",$C66,IF(ISNUMBER(Planung!AQ66),Planung!AQ66,IF(UPPER(Planung!AQ66)="H",$C66/2,0)))))))</f>
        <v>0</v>
      </c>
      <c r="AR66" s="27">
        <f>IF($A66="",0,IF(Mitarbeiter!$G$64=FALSE,0,IF(AND(Mitarbeiter!$E$64&lt;&gt;"",AR$5+6&lt;Mitarbeiter!$E$64),0,IF(AND(Mitarbeiter!$F$64&lt;&gt;"",AR$5&gt;Mitarbeiter!$F$64),0,IF(Planung!AR66="",$C66,IF(ISNUMBER(Planung!AR66),Planung!AR66,IF(UPPER(Planung!AR66)="H",$C66/2,0)))))))</f>
        <v>0</v>
      </c>
      <c r="AS66" s="27">
        <f>IF($A66="",0,IF(Mitarbeiter!$G$64=FALSE,0,IF(AND(Mitarbeiter!$E$64&lt;&gt;"",AS$5+6&lt;Mitarbeiter!$E$64),0,IF(AND(Mitarbeiter!$F$64&lt;&gt;"",AS$5&gt;Mitarbeiter!$F$64),0,IF(Planung!AS66="",$C66,IF(ISNUMBER(Planung!AS66),Planung!AS66,IF(UPPER(Planung!AS66)="H",$C66/2,0)))))))</f>
        <v>0</v>
      </c>
      <c r="AT66" s="27">
        <f>IF($A66="",0,IF(Mitarbeiter!$G$64=FALSE,0,IF(AND(Mitarbeiter!$E$64&lt;&gt;"",AT$5+6&lt;Mitarbeiter!$E$64),0,IF(AND(Mitarbeiter!$F$64&lt;&gt;"",AT$5&gt;Mitarbeiter!$F$64),0,IF(Planung!AT66="",$C66,IF(ISNUMBER(Planung!AT66),Planung!AT66,IF(UPPER(Planung!AT66)="H",$C66/2,0)))))))</f>
        <v>0</v>
      </c>
      <c r="AU66" s="27">
        <f>IF($A66="",0,IF(Mitarbeiter!$G$64=FALSE,0,IF(AND(Mitarbeiter!$E$64&lt;&gt;"",AU$5+6&lt;Mitarbeiter!$E$64),0,IF(AND(Mitarbeiter!$F$64&lt;&gt;"",AU$5&gt;Mitarbeiter!$F$64),0,IF(Planung!AU66="",$C66,IF(ISNUMBER(Planung!AU66),Planung!AU66,IF(UPPER(Planung!AU66)="H",$C66/2,0)))))))</f>
        <v>0</v>
      </c>
      <c r="AV66" s="27">
        <f>IF($A66="",0,IF(Mitarbeiter!$G$64=FALSE,0,IF(AND(Mitarbeiter!$E$64&lt;&gt;"",AV$5+6&lt;Mitarbeiter!$E$64),0,IF(AND(Mitarbeiter!$F$64&lt;&gt;"",AV$5&gt;Mitarbeiter!$F$64),0,IF(Planung!AV66="",$C66,IF(ISNUMBER(Planung!AV66),Planung!AV66,IF(UPPER(Planung!AV66)="H",$C66/2,0)))))))</f>
        <v>0</v>
      </c>
      <c r="AW66" s="27">
        <f>IF($A66="",0,IF(Mitarbeiter!$G$64=FALSE,0,IF(AND(Mitarbeiter!$E$64&lt;&gt;"",AW$5+6&lt;Mitarbeiter!$E$64),0,IF(AND(Mitarbeiter!$F$64&lt;&gt;"",AW$5&gt;Mitarbeiter!$F$64),0,IF(Planung!AW66="",$C66,IF(ISNUMBER(Planung!AW66),Planung!AW66,IF(UPPER(Planung!AW66)="H",$C66/2,0)))))))</f>
        <v>0</v>
      </c>
      <c r="AX66" s="27">
        <f>IF($A66="",0,IF(Mitarbeiter!$G$64=FALSE,0,IF(AND(Mitarbeiter!$E$64&lt;&gt;"",AX$5+6&lt;Mitarbeiter!$E$64),0,IF(AND(Mitarbeiter!$F$64&lt;&gt;"",AX$5&gt;Mitarbeiter!$F$64),0,IF(Planung!AX66="",$C66,IF(ISNUMBER(Planung!AX66),Planung!AX66,IF(UPPER(Planung!AX66)="H",$C66/2,0)))))))</f>
        <v>0</v>
      </c>
      <c r="AY66" s="27">
        <f>IF($A66="",0,IF(Mitarbeiter!$G$64=FALSE,0,IF(AND(Mitarbeiter!$E$64&lt;&gt;"",AY$5+6&lt;Mitarbeiter!$E$64),0,IF(AND(Mitarbeiter!$F$64&lt;&gt;"",AY$5&gt;Mitarbeiter!$F$64),0,IF(Planung!AY66="",$C66,IF(ISNUMBER(Planung!AY66),Planung!AY66,IF(UPPER(Planung!AY66)="H",$C66/2,0)))))))</f>
        <v>0</v>
      </c>
      <c r="AZ66" s="27">
        <f>IF($A66="",0,IF(Mitarbeiter!$G$64=FALSE,0,IF(AND(Mitarbeiter!$E$64&lt;&gt;"",AZ$5+6&lt;Mitarbeiter!$E$64),0,IF(AND(Mitarbeiter!$F$64&lt;&gt;"",AZ$5&gt;Mitarbeiter!$F$64),0,IF(Planung!AZ66="",$C66,IF(ISNUMBER(Planung!AZ66),Planung!AZ66,IF(UPPER(Planung!AZ66)="H",$C66/2,0)))))))</f>
        <v>0</v>
      </c>
      <c r="BA66" s="27">
        <f>IF($A66="",0,IF(Mitarbeiter!$G$64=FALSE,0,IF(AND(Mitarbeiter!$E$64&lt;&gt;"",BA$5+6&lt;Mitarbeiter!$E$64),0,IF(AND(Mitarbeiter!$F$64&lt;&gt;"",BA$5&gt;Mitarbeiter!$F$64),0,IF(Planung!BA66="",$C66,IF(ISNUMBER(Planung!BA66),Planung!BA66,IF(UPPER(Planung!BA66)="H",$C66/2,0)))))))</f>
        <v>0</v>
      </c>
      <c r="BB66" s="27">
        <f>IF($A66="",0,IF(Mitarbeiter!$G$64=FALSE,0,IF(AND(Mitarbeiter!$E$64&lt;&gt;"",BB$5+6&lt;Mitarbeiter!$E$64),0,IF(AND(Mitarbeiter!$F$64&lt;&gt;"",BB$5&gt;Mitarbeiter!$F$64),0,IF(Planung!BB66="",$C66,IF(ISNUMBER(Planung!BB66),Planung!BB66,IF(UPPER(Planung!BB66)="H",$C66/2,0)))))))</f>
        <v>0</v>
      </c>
      <c r="BC66" s="27">
        <f>IF($A66="",0,IF(Mitarbeiter!$G$64=FALSE,0,IF(AND(Mitarbeiter!$E$64&lt;&gt;"",BC$5+6&lt;Mitarbeiter!$E$64),0,IF(AND(Mitarbeiter!$F$64&lt;&gt;"",BC$5&gt;Mitarbeiter!$F$64),0,IF(Planung!BC66="",$C66,IF(ISNUMBER(Planung!BC66),Planung!BC66,IF(UPPER(Planung!BC66)="H",$C66/2,0)))))))</f>
        <v>0</v>
      </c>
      <c r="BD66" s="27">
        <f>IF($A66="",0,IF(Mitarbeiter!$G$64=FALSE,0,IF(AND(Mitarbeiter!$E$64&lt;&gt;"",BD$5+6&lt;Mitarbeiter!$E$64),0,IF(AND(Mitarbeiter!$F$64&lt;&gt;"",BD$5&gt;Mitarbeiter!$F$64),0,IF(Planung!BD66="",$C66,IF(ISNUMBER(Planung!BD66),Planung!BD66,IF(UPPER(Planung!BD66)="H",$C66/2,0)))))))</f>
        <v>0</v>
      </c>
      <c r="BE66" s="27">
        <f>IF($A66="",0,IF(Mitarbeiter!$G$64=FALSE,0,IF(AND(Mitarbeiter!$E$64&lt;&gt;"",BE$5+6&lt;Mitarbeiter!$E$64),0,IF(AND(Mitarbeiter!$F$64&lt;&gt;"",BE$5&gt;Mitarbeiter!$F$64),0,IF(Planung!BE66="",$C66,IF(ISNUMBER(Planung!BE66),Planung!BE66,IF(UPPER(Planung!BE66)="H",$C66/2,0)))))))</f>
        <v>0</v>
      </c>
      <c r="BF66" s="27">
        <f>IF($A66="",0,IF(Mitarbeiter!$G$64=FALSE,0,IF(AND(Mitarbeiter!$E$64&lt;&gt;"",BF$5+6&lt;Mitarbeiter!$E$64),0,IF(AND(Mitarbeiter!$F$64&lt;&gt;"",BF$5&gt;Mitarbeiter!$F$64),0,IF(Planung!BF66="",$C66,IF(ISNUMBER(Planung!BF66),Planung!BF66,IF(UPPER(Planung!BF66)="H",$C66/2,0)))))))</f>
        <v>0</v>
      </c>
      <c r="BG66" s="27">
        <f>IF($A66="",0,IF(Mitarbeiter!$G$64=FALSE,0,IF(AND(Mitarbeiter!$E$64&lt;&gt;"",BG$5+6&lt;Mitarbeiter!$E$64),0,IF(AND(Mitarbeiter!$F$64&lt;&gt;"",BG$5&gt;Mitarbeiter!$F$64),0,IF(Planung!BG66="",$C66,IF(ISNUMBER(Planung!BG66),Planung!BG66,IF(UPPER(Planung!BG66)="H",$C66/2,0)))))))</f>
        <v>0</v>
      </c>
      <c r="BH66" s="27">
        <f>IF($A66="",0,IF(Mitarbeiter!$G$64=FALSE,0,IF(AND(Mitarbeiter!$E$64&lt;&gt;"",BH$5+6&lt;Mitarbeiter!$E$64),0,IF(AND(Mitarbeiter!$F$64&lt;&gt;"",BH$5&gt;Mitarbeiter!$F$64),0,IF(Planung!BH66="",$C66,IF(ISNUMBER(Planung!BH66),Planung!BH66,IF(UPPER(Planung!BH66)="H",$C66/2,0)))))))</f>
        <v>0</v>
      </c>
      <c r="BI66" s="27">
        <f>IF($A66="",0,IF(Mitarbeiter!$G$64=FALSE,0,IF(AND(Mitarbeiter!$E$64&lt;&gt;"",BI$5+6&lt;Mitarbeiter!$E$64),0,IF(AND(Mitarbeiter!$F$64&lt;&gt;"",BI$5&gt;Mitarbeiter!$F$64),0,IF(Planung!BI66="",$C66,IF(ISNUMBER(Planung!BI66),Planung!BI66,IF(UPPER(Planung!BI66)="H",$C66/2,0)))))))</f>
        <v>0</v>
      </c>
      <c r="BJ66" s="27">
        <f>IF($A66="",0,IF(Mitarbeiter!$G$64=FALSE,0,IF(AND(Mitarbeiter!$E$64&lt;&gt;"",BJ$5+6&lt;Mitarbeiter!$E$64),0,IF(AND(Mitarbeiter!$F$64&lt;&gt;"",BJ$5&gt;Mitarbeiter!$F$64),0,IF(Planung!BJ66="",$C66,IF(ISNUMBER(Planung!BJ66),Planung!BJ66,IF(UPPER(Planung!BJ66)="H",$C66/2,0)))))))</f>
        <v>0</v>
      </c>
      <c r="BK66" s="27">
        <f>IF($A66="",0,IF(Mitarbeiter!$G$64=FALSE,0,IF(AND(Mitarbeiter!$E$64&lt;&gt;"",BK$5+6&lt;Mitarbeiter!$E$64),0,IF(AND(Mitarbeiter!$F$64&lt;&gt;"",BK$5&gt;Mitarbeiter!$F$64),0,IF(Planung!BK66="",$C66,IF(ISNUMBER(Planung!BK66),Planung!BK66,IF(UPPER(Planung!BK66)="H",$C66/2,0)))))))</f>
        <v>0</v>
      </c>
      <c r="BL66" s="27">
        <f>IF($A66="",0,IF(Mitarbeiter!$G$64=FALSE,0,IF(AND(Mitarbeiter!$E$64&lt;&gt;"",BL$5+6&lt;Mitarbeiter!$E$64),0,IF(AND(Mitarbeiter!$F$64&lt;&gt;"",BL$5&gt;Mitarbeiter!$F$64),0,IF(Planung!BL66="",$C66,IF(ISNUMBER(Planung!BL66),Planung!BL66,IF(UPPER(Planung!BL66)="H",$C66/2,0)))))))</f>
        <v>0</v>
      </c>
      <c r="BM66" s="27">
        <f>IF($A66="",0,IF(Mitarbeiter!$G$64=FALSE,0,IF(AND(Mitarbeiter!$E$64&lt;&gt;"",BM$5+6&lt;Mitarbeiter!$E$64),0,IF(AND(Mitarbeiter!$F$64&lt;&gt;"",BM$5&gt;Mitarbeiter!$F$64),0,IF(Planung!BM66="",$C66,IF(ISNUMBER(Planung!BM66),Planung!BM66,IF(UPPER(Planung!BM66)="H",$C66/2,0)))))))</f>
        <v>0</v>
      </c>
      <c r="BN66" s="27">
        <f>IF($A66="",0,IF(Mitarbeiter!$G$64=FALSE,0,IF(AND(Mitarbeiter!$E$64&lt;&gt;"",BN$5+6&lt;Mitarbeiter!$E$64),0,IF(AND(Mitarbeiter!$F$64&lt;&gt;"",BN$5&gt;Mitarbeiter!$F$64),0,IF(Planung!BN66="",$C66,IF(ISNUMBER(Planung!BN66),Planung!BN66,IF(UPPER(Planung!BN66)="H",$C66/2,0)))))))</f>
        <v>0</v>
      </c>
      <c r="BO66" s="27">
        <f>IF($A66="",0,IF(Mitarbeiter!$G$64=FALSE,0,IF(AND(Mitarbeiter!$E$64&lt;&gt;"",BO$5+6&lt;Mitarbeiter!$E$64),0,IF(AND(Mitarbeiter!$F$64&lt;&gt;"",BO$5&gt;Mitarbeiter!$F$64),0,IF(Planung!BO66="",$C66,IF(ISNUMBER(Planung!BO66),Planung!BO66,IF(UPPER(Planung!BO66)="H",$C66/2,0)))))))</f>
        <v>0</v>
      </c>
      <c r="BP66" s="27">
        <f>IF($A66="",0,IF(Mitarbeiter!$G$64=FALSE,0,IF(AND(Mitarbeiter!$E$64&lt;&gt;"",BP$5+6&lt;Mitarbeiter!$E$64),0,IF(AND(Mitarbeiter!$F$64&lt;&gt;"",BP$5&gt;Mitarbeiter!$F$64),0,IF(Planung!BP66="",$C66,IF(ISNUMBER(Planung!BP66),Planung!BP66,IF(UPPER(Planung!BP66)="H",$C66/2,0)))))))</f>
        <v>0</v>
      </c>
      <c r="BQ66" s="27">
        <f>IF($A66="",0,IF(Mitarbeiter!$G$64=FALSE,0,IF(AND(Mitarbeiter!$E$64&lt;&gt;"",BQ$5+6&lt;Mitarbeiter!$E$64),0,IF(AND(Mitarbeiter!$F$64&lt;&gt;"",BQ$5&gt;Mitarbeiter!$F$64),0,IF(Planung!BQ66="",$C66,IF(ISNUMBER(Planung!BQ66),Planung!BQ66,IF(UPPER(Planung!BQ66)="H",$C66/2,0)))))))</f>
        <v>0</v>
      </c>
      <c r="BR66" s="27">
        <f>IF($A66="",0,IF(Mitarbeiter!$G$64=FALSE,0,IF(AND(Mitarbeiter!$E$64&lt;&gt;"",BR$5+6&lt;Mitarbeiter!$E$64),0,IF(AND(Mitarbeiter!$F$64&lt;&gt;"",BR$5&gt;Mitarbeiter!$F$64),0,IF(Planung!BR66="",$C66,IF(ISNUMBER(Planung!BR66),Planung!BR66,IF(UPPER(Planung!BR66)="H",$C66/2,0)))))))</f>
        <v>0</v>
      </c>
      <c r="BS66" s="27">
        <f>IF($A66="",0,IF(Mitarbeiter!$G$64=FALSE,0,IF(AND(Mitarbeiter!$E$64&lt;&gt;"",BS$5+6&lt;Mitarbeiter!$E$64),0,IF(AND(Mitarbeiter!$F$64&lt;&gt;"",BS$5&gt;Mitarbeiter!$F$64),0,IF(Planung!BS66="",$C66,IF(ISNUMBER(Planung!BS66),Planung!BS66,IF(UPPER(Planung!BS66)="H",$C66/2,0)))))))</f>
        <v>0</v>
      </c>
      <c r="BT66" s="27">
        <f>IF($A66="",0,IF(Mitarbeiter!$G$64=FALSE,0,IF(AND(Mitarbeiter!$E$64&lt;&gt;"",BT$5+6&lt;Mitarbeiter!$E$64),0,IF(AND(Mitarbeiter!$F$64&lt;&gt;"",BT$5&gt;Mitarbeiter!$F$64),0,IF(Planung!BT66="",$C66,IF(ISNUMBER(Planung!BT66),Planung!BT66,IF(UPPER(Planung!BT66)="H",$C66/2,0)))))))</f>
        <v>0</v>
      </c>
      <c r="BU66" s="27">
        <f>IF($A66="",0,IF(Mitarbeiter!$G$64=FALSE,0,IF(AND(Mitarbeiter!$E$64&lt;&gt;"",BU$5+6&lt;Mitarbeiter!$E$64),0,IF(AND(Mitarbeiter!$F$64&lt;&gt;"",BU$5&gt;Mitarbeiter!$F$64),0,IF(Planung!BU66="",$C66,IF(ISNUMBER(Planung!BU66),Planung!BU66,IF(UPPER(Planung!BU66)="H",$C66/2,0)))))))</f>
        <v>0</v>
      </c>
      <c r="BV66" s="27">
        <f>IF($A66="",0,IF(Mitarbeiter!$G$64=FALSE,0,IF(AND(Mitarbeiter!$E$64&lt;&gt;"",BV$5+6&lt;Mitarbeiter!$E$64),0,IF(AND(Mitarbeiter!$F$64&lt;&gt;"",BV$5&gt;Mitarbeiter!$F$64),0,IF(Planung!BV66="",$C66,IF(ISNUMBER(Planung!BV66),Planung!BV66,IF(UPPER(Planung!BV66)="H",$C66/2,0)))))))</f>
        <v>0</v>
      </c>
      <c r="BW66" s="27">
        <f>IF($A66="",0,IF(Mitarbeiter!$G$64=FALSE,0,IF(AND(Mitarbeiter!$E$64&lt;&gt;"",BW$5+6&lt;Mitarbeiter!$E$64),0,IF(AND(Mitarbeiter!$F$64&lt;&gt;"",BW$5&gt;Mitarbeiter!$F$64),0,IF(Planung!BW66="",$C66,IF(ISNUMBER(Planung!BW66),Planung!BW66,IF(UPPER(Planung!BW66)="H",$C66/2,0)))))))</f>
        <v>0</v>
      </c>
      <c r="BX66" s="27">
        <f>IF($A66="",0,IF(Mitarbeiter!$G$64=FALSE,0,IF(AND(Mitarbeiter!$E$64&lt;&gt;"",BX$5+6&lt;Mitarbeiter!$E$64),0,IF(AND(Mitarbeiter!$F$64&lt;&gt;"",BX$5&gt;Mitarbeiter!$F$64),0,IF(Planung!BX66="",$C66,IF(ISNUMBER(Planung!BX66),Planung!BX66,IF(UPPER(Planung!BX66)="H",$C66/2,0)))))))</f>
        <v>0</v>
      </c>
      <c r="BY66" s="27">
        <f>IF($A66="",0,IF(Mitarbeiter!$G$64=FALSE,0,IF(AND(Mitarbeiter!$E$64&lt;&gt;"",BY$5+6&lt;Mitarbeiter!$E$64),0,IF(AND(Mitarbeiter!$F$64&lt;&gt;"",BY$5&gt;Mitarbeiter!$F$64),0,IF(Planung!BY66="",$C66,IF(ISNUMBER(Planung!BY66),Planung!BY66,IF(UPPER(Planung!BY66)="H",$C66/2,0)))))))</f>
        <v>0</v>
      </c>
      <c r="BZ66" s="27">
        <f>IF($A66="",0,IF(Mitarbeiter!$G$64=FALSE,0,IF(AND(Mitarbeiter!$E$64&lt;&gt;"",BZ$5+6&lt;Mitarbeiter!$E$64),0,IF(AND(Mitarbeiter!$F$64&lt;&gt;"",BZ$5&gt;Mitarbeiter!$F$64),0,IF(Planung!BZ66="",$C66,IF(ISNUMBER(Planung!BZ66),Planung!BZ66,IF(UPPER(Planung!BZ66)="H",$C66/2,0)))))))</f>
        <v>0</v>
      </c>
      <c r="CA66" s="27">
        <f>IF($A66="",0,IF(Mitarbeiter!$G$64=FALSE,0,IF(AND(Mitarbeiter!$E$64&lt;&gt;"",CA$5+6&lt;Mitarbeiter!$E$64),0,IF(AND(Mitarbeiter!$F$64&lt;&gt;"",CA$5&gt;Mitarbeiter!$F$64),0,IF(Planung!CA66="",$C66,IF(ISNUMBER(Planung!CA66),Planung!CA66,IF(UPPER(Planung!CA66)="H",$C66/2,0)))))))</f>
        <v>0</v>
      </c>
      <c r="CB66" s="27">
        <f>IF($A66="",0,IF(Mitarbeiter!$G$64=FALSE,0,IF(AND(Mitarbeiter!$E$64&lt;&gt;"",CB$5+6&lt;Mitarbeiter!$E$64),0,IF(AND(Mitarbeiter!$F$64&lt;&gt;"",CB$5&gt;Mitarbeiter!$F$64),0,IF(Planung!CB66="",$C66,IF(ISNUMBER(Planung!CB66),Planung!CB66,IF(UPPER(Planung!CB66)="H",$C66/2,0)))))))</f>
        <v>0</v>
      </c>
      <c r="CC66" s="27">
        <f>IF($A66="",0,IF(Mitarbeiter!$G$64=FALSE,0,IF(AND(Mitarbeiter!$E$64&lt;&gt;"",CC$5+6&lt;Mitarbeiter!$E$64),0,IF(AND(Mitarbeiter!$F$64&lt;&gt;"",CC$5&gt;Mitarbeiter!$F$64),0,IF(Planung!CC66="",$C66,IF(ISNUMBER(Planung!CC66),Planung!CC66,IF(UPPER(Planung!CC66)="H",$C66/2,0)))))))</f>
        <v>0</v>
      </c>
      <c r="CD66" s="27">
        <f>IF($A66="",0,IF(Mitarbeiter!$G$64=FALSE,0,IF(AND(Mitarbeiter!$E$64&lt;&gt;"",CD$5+6&lt;Mitarbeiter!$E$64),0,IF(AND(Mitarbeiter!$F$64&lt;&gt;"",CD$5&gt;Mitarbeiter!$F$64),0,IF(Planung!CD66="",$C66,IF(ISNUMBER(Planung!CD66),Planung!CD66,IF(UPPER(Planung!CD66)="H",$C66/2,0)))))))</f>
        <v>0</v>
      </c>
      <c r="CE66" s="27">
        <f>IF($A66="",0,IF(Mitarbeiter!$G$64=FALSE,0,IF(AND(Mitarbeiter!$E$64&lt;&gt;"",CE$5+6&lt;Mitarbeiter!$E$64),0,IF(AND(Mitarbeiter!$F$64&lt;&gt;"",CE$5&gt;Mitarbeiter!$F$64),0,IF(Planung!CE66="",$C66,IF(ISNUMBER(Planung!CE66),Planung!CE66,IF(UPPER(Planung!CE66)="H",$C66/2,0)))))))</f>
        <v>0</v>
      </c>
      <c r="CF66" s="27">
        <f>IF($A66="",0,IF(Mitarbeiter!$G$64=FALSE,0,IF(AND(Mitarbeiter!$E$64&lt;&gt;"",CF$5+6&lt;Mitarbeiter!$E$64),0,IF(AND(Mitarbeiter!$F$64&lt;&gt;"",CF$5&gt;Mitarbeiter!$F$64),0,IF(Planung!CF66="",$C66,IF(ISNUMBER(Planung!CF66),Planung!CF66,IF(UPPER(Planung!CF66)="H",$C66/2,0)))))))</f>
        <v>0</v>
      </c>
      <c r="CG66" s="27">
        <f>IF($A66="",0,IF(Mitarbeiter!$G$64=FALSE,0,IF(AND(Mitarbeiter!$E$64&lt;&gt;"",CG$5+6&lt;Mitarbeiter!$E$64),0,IF(AND(Mitarbeiter!$F$64&lt;&gt;"",CG$5&gt;Mitarbeiter!$F$64),0,IF(Planung!CG66="",$C66,IF(ISNUMBER(Planung!CG66),Planung!CG66,IF(UPPER(Planung!CG66)="H",$C66/2,0)))))))</f>
        <v>0</v>
      </c>
      <c r="CH66" s="27">
        <f>IF($A66="",0,IF(Mitarbeiter!$G$64=FALSE,0,IF(AND(Mitarbeiter!$E$64&lt;&gt;"",CH$5+6&lt;Mitarbeiter!$E$64),0,IF(AND(Mitarbeiter!$F$64&lt;&gt;"",CH$5&gt;Mitarbeiter!$F$64),0,IF(Planung!CH66="",$C66,IF(ISNUMBER(Planung!CH66),Planung!CH66,IF(UPPER(Planung!CH66)="H",$C66/2,0)))))))</f>
        <v>0</v>
      </c>
      <c r="CI66" s="27">
        <f>IF($A66="",0,IF(Mitarbeiter!$G$64=FALSE,0,IF(AND(Mitarbeiter!$E$64&lt;&gt;"",CI$5+6&lt;Mitarbeiter!$E$64),0,IF(AND(Mitarbeiter!$F$64&lt;&gt;"",CI$5&gt;Mitarbeiter!$F$64),0,IF(Planung!CI66="",$C66,IF(ISNUMBER(Planung!CI66),Planung!CI66,IF(UPPER(Planung!CI66)="H",$C66/2,0)))))))</f>
        <v>0</v>
      </c>
      <c r="CJ66" s="27">
        <f>IF($A66="",0,IF(Mitarbeiter!$G$64=FALSE,0,IF(AND(Mitarbeiter!$E$64&lt;&gt;"",CJ$5+6&lt;Mitarbeiter!$E$64),0,IF(AND(Mitarbeiter!$F$64&lt;&gt;"",CJ$5&gt;Mitarbeiter!$F$64),0,IF(Planung!CJ66="",$C66,IF(ISNUMBER(Planung!CJ66),Planung!CJ66,IF(UPPER(Planung!CJ66)="H",$C66/2,0)))))))</f>
        <v>0</v>
      </c>
      <c r="CK66" s="27">
        <f>IF($A66="",0,IF(Mitarbeiter!$G$64=FALSE,0,IF(AND(Mitarbeiter!$E$64&lt;&gt;"",CK$5+6&lt;Mitarbeiter!$E$64),0,IF(AND(Mitarbeiter!$F$64&lt;&gt;"",CK$5&gt;Mitarbeiter!$F$64),0,IF(Planung!CK66="",$C66,IF(ISNUMBER(Planung!CK66),Planung!CK66,IF(UPPER(Planung!CK66)="H",$C66/2,0)))))))</f>
        <v>0</v>
      </c>
      <c r="CL66" s="27">
        <f>IF($A66="",0,IF(Mitarbeiter!$G$64=FALSE,0,IF(AND(Mitarbeiter!$E$64&lt;&gt;"",CL$5+6&lt;Mitarbeiter!$E$64),0,IF(AND(Mitarbeiter!$F$64&lt;&gt;"",CL$5&gt;Mitarbeiter!$F$64),0,IF(Planung!CL66="",$C66,IF(ISNUMBER(Planung!CL66),Planung!CL66,IF(UPPER(Planung!CL66)="H",$C66/2,0)))))))</f>
        <v>0</v>
      </c>
      <c r="CM66" s="27">
        <f>IF($A66="",0,IF(Mitarbeiter!$G$64=FALSE,0,IF(AND(Mitarbeiter!$E$64&lt;&gt;"",CM$5+6&lt;Mitarbeiter!$E$64),0,IF(AND(Mitarbeiter!$F$64&lt;&gt;"",CM$5&gt;Mitarbeiter!$F$64),0,IF(Planung!CM66="",$C66,IF(ISNUMBER(Planung!CM66),Planung!CM66,IF(UPPER(Planung!CM66)="H",$C66/2,0)))))))</f>
        <v>0</v>
      </c>
      <c r="CN66" s="27">
        <f>IF($A66="",0,IF(Mitarbeiter!$G$64=FALSE,0,IF(AND(Mitarbeiter!$E$64&lt;&gt;"",CN$5+6&lt;Mitarbeiter!$E$64),0,IF(AND(Mitarbeiter!$F$64&lt;&gt;"",CN$5&gt;Mitarbeiter!$F$64),0,IF(Planung!CN66="",$C66,IF(ISNUMBER(Planung!CN66),Planung!CN66,IF(UPPER(Planung!CN66)="H",$C66/2,0)))))))</f>
        <v>0</v>
      </c>
      <c r="CO66" s="27">
        <f>IF($A66="",0,IF(Mitarbeiter!$G$64=FALSE,0,IF(AND(Mitarbeiter!$E$64&lt;&gt;"",CO$5+6&lt;Mitarbeiter!$E$64),0,IF(AND(Mitarbeiter!$F$64&lt;&gt;"",CO$5&gt;Mitarbeiter!$F$64),0,IF(Planung!CO66="",$C66,IF(ISNUMBER(Planung!CO66),Planung!CO66,IF(UPPER(Planung!CO66)="H",$C66/2,0)))))))</f>
        <v>0</v>
      </c>
      <c r="CP66" s="27">
        <f>IF($A66="",0,IF(Mitarbeiter!$G$64=FALSE,0,IF(AND(Mitarbeiter!$E$64&lt;&gt;"",CP$5+6&lt;Mitarbeiter!$E$64),0,IF(AND(Mitarbeiter!$F$64&lt;&gt;"",CP$5&gt;Mitarbeiter!$F$64),0,IF(Planung!CP66="",$C66,IF(ISNUMBER(Planung!CP66),Planung!CP66,IF(UPPER(Planung!CP66)="H",$C66/2,0)))))))</f>
        <v>0</v>
      </c>
      <c r="CQ66" s="27">
        <f>IF($A66="",0,IF(Mitarbeiter!$G$64=FALSE,0,IF(AND(Mitarbeiter!$E$64&lt;&gt;"",CQ$5+6&lt;Mitarbeiter!$E$64),0,IF(AND(Mitarbeiter!$F$64&lt;&gt;"",CQ$5&gt;Mitarbeiter!$F$64),0,IF(Planung!CQ66="",$C66,IF(ISNUMBER(Planung!CQ66),Planung!CQ66,IF(UPPER(Planung!CQ66)="H",$C66/2,0)))))))</f>
        <v>0</v>
      </c>
      <c r="CR66" s="27">
        <f>IF($A66="",0,IF(Mitarbeiter!$G$64=FALSE,0,IF(AND(Mitarbeiter!$E$64&lt;&gt;"",CR$5+6&lt;Mitarbeiter!$E$64),0,IF(AND(Mitarbeiter!$F$64&lt;&gt;"",CR$5&gt;Mitarbeiter!$F$64),0,IF(Planung!CR66="",$C66,IF(ISNUMBER(Planung!CR66),Planung!CR66,IF(UPPER(Planung!CR66)="H",$C66/2,0)))))))</f>
        <v>0</v>
      </c>
      <c r="CS66" s="27">
        <f>IF($A66="",0,IF(Mitarbeiter!$G$64=FALSE,0,IF(AND(Mitarbeiter!$E$64&lt;&gt;"",CS$5+6&lt;Mitarbeiter!$E$64),0,IF(AND(Mitarbeiter!$F$64&lt;&gt;"",CS$5&gt;Mitarbeiter!$F$64),0,IF(Planung!CS66="",$C66,IF(ISNUMBER(Planung!CS66),Planung!CS66,IF(UPPER(Planung!CS66)="H",$C66/2,0)))))))</f>
        <v>0</v>
      </c>
      <c r="CT66" s="27">
        <f>IF($A66="",0,IF(Mitarbeiter!$G$64=FALSE,0,IF(AND(Mitarbeiter!$E$64&lt;&gt;"",CT$5+6&lt;Mitarbeiter!$E$64),0,IF(AND(Mitarbeiter!$F$64&lt;&gt;"",CT$5&gt;Mitarbeiter!$F$64),0,IF(Planung!CT66="",$C66,IF(ISNUMBER(Planung!CT66),Planung!CT66,IF(UPPER(Planung!CT66)="H",$C66/2,0)))))))</f>
        <v>0</v>
      </c>
      <c r="CU66" s="27">
        <f>IF($A66="",0,IF(Mitarbeiter!$G$64=FALSE,0,IF(AND(Mitarbeiter!$E$64&lt;&gt;"",CU$5+6&lt;Mitarbeiter!$E$64),0,IF(AND(Mitarbeiter!$F$64&lt;&gt;"",CU$5&gt;Mitarbeiter!$F$64),0,IF(Planung!CU66="",$C66,IF(ISNUMBER(Planung!CU66),Planung!CU66,IF(UPPER(Planung!CU66)="H",$C66/2,0)))))))</f>
        <v>0</v>
      </c>
      <c r="CV66" s="27">
        <f>IF($A66="",0,IF(Mitarbeiter!$G$64=FALSE,0,IF(AND(Mitarbeiter!$E$64&lt;&gt;"",CV$5+6&lt;Mitarbeiter!$E$64),0,IF(AND(Mitarbeiter!$F$64&lt;&gt;"",CV$5&gt;Mitarbeiter!$F$64),0,IF(Planung!CV66="",$C66,IF(ISNUMBER(Planung!CV66),Planung!CV66,IF(UPPER(Planung!CV66)="H",$C66/2,0)))))))</f>
        <v>0</v>
      </c>
      <c r="CW66" s="27">
        <f>IF($A66="",0,IF(Mitarbeiter!$G$64=FALSE,0,IF(AND(Mitarbeiter!$E$64&lt;&gt;"",CW$5+6&lt;Mitarbeiter!$E$64),0,IF(AND(Mitarbeiter!$F$64&lt;&gt;"",CW$5&gt;Mitarbeiter!$F$64),0,IF(Planung!CW66="",$C66,IF(ISNUMBER(Planung!CW66),Planung!CW66,IF(UPPER(Planung!CW66)="H",$C66/2,0)))))))</f>
        <v>0</v>
      </c>
      <c r="CX66" s="27">
        <f>IF($A66="",0,IF(Mitarbeiter!$G$64=FALSE,0,IF(AND(Mitarbeiter!$E$64&lt;&gt;"",CX$5+6&lt;Mitarbeiter!$E$64),0,IF(AND(Mitarbeiter!$F$64&lt;&gt;"",CX$5&gt;Mitarbeiter!$F$64),0,IF(Planung!CX66="",$C66,IF(ISNUMBER(Planung!CX66),Planung!CX66,IF(UPPER(Planung!CX66)="H",$C66/2,0)))))))</f>
        <v>0</v>
      </c>
      <c r="CY66" s="27">
        <f>IF($A66="",0,IF(Mitarbeiter!$G$64=FALSE,0,IF(AND(Mitarbeiter!$E$64&lt;&gt;"",CY$5+6&lt;Mitarbeiter!$E$64),0,IF(AND(Mitarbeiter!$F$64&lt;&gt;"",CY$5&gt;Mitarbeiter!$F$64),0,IF(Planung!CY66="",$C66,IF(ISNUMBER(Planung!CY66),Planung!CY66,IF(UPPER(Planung!CY66)="H",$C66/2,0)))))))</f>
        <v>0</v>
      </c>
      <c r="CZ66" s="27">
        <f>IF($A66="",0,IF(Mitarbeiter!$G$64=FALSE,0,IF(AND(Mitarbeiter!$E$64&lt;&gt;"",CZ$5+6&lt;Mitarbeiter!$E$64),0,IF(AND(Mitarbeiter!$F$64&lt;&gt;"",CZ$5&gt;Mitarbeiter!$F$64),0,IF(Planung!CZ66="",$C66,IF(ISNUMBER(Planung!CZ66),Planung!CZ66,IF(UPPER(Planung!CZ66)="H",$C66/2,0)))))))</f>
        <v>0</v>
      </c>
      <c r="DA66" s="27">
        <f>IF($A66="",0,IF(Mitarbeiter!$G$64=FALSE,0,IF(AND(Mitarbeiter!$E$64&lt;&gt;"",DA$5+6&lt;Mitarbeiter!$E$64),0,IF(AND(Mitarbeiter!$F$64&lt;&gt;"",DA$5&gt;Mitarbeiter!$F$64),0,IF(Planung!DA66="",$C66,IF(ISNUMBER(Planung!DA66),Planung!DA66,IF(UPPER(Planung!DA66)="H",$C66/2,0)))))))</f>
        <v>0</v>
      </c>
      <c r="DB66" s="27">
        <f>IF($A66="",0,IF(Mitarbeiter!$G$64=FALSE,0,IF(AND(Mitarbeiter!$E$64&lt;&gt;"",DB$5+6&lt;Mitarbeiter!$E$64),0,IF(AND(Mitarbeiter!$F$64&lt;&gt;"",DB$5&gt;Mitarbeiter!$F$64),0,IF(Planung!DB66="",$C66,IF(ISNUMBER(Planung!DB66),Planung!DB66,IF(UPPER(Planung!DB66)="H",$C66/2,0)))))))</f>
        <v>0</v>
      </c>
      <c r="DC66" s="27">
        <f>IF($A66="",0,IF(Mitarbeiter!$G$64=FALSE,0,IF(AND(Mitarbeiter!$E$64&lt;&gt;"",DC$5+6&lt;Mitarbeiter!$E$64),0,IF(AND(Mitarbeiter!$F$64&lt;&gt;"",DC$5&gt;Mitarbeiter!$F$64),0,IF(Planung!DC66="",$C66,IF(ISNUMBER(Planung!DC66),Planung!DC66,IF(UPPER(Planung!DC66)="H",$C66/2,0)))))))</f>
        <v>0</v>
      </c>
      <c r="DD66" s="27">
        <f>IF($A66="",0,IF(Mitarbeiter!$G$64=FALSE,0,IF(AND(Mitarbeiter!$E$64&lt;&gt;"",DD$5+6&lt;Mitarbeiter!$E$64),0,IF(AND(Mitarbeiter!$F$64&lt;&gt;"",DD$5&gt;Mitarbeiter!$F$64),0,IF(Planung!DD66="",$C66,IF(ISNUMBER(Planung!DD66),Planung!DD66,IF(UPPER(Planung!DD66)="H",$C66/2,0)))))))</f>
        <v>0</v>
      </c>
      <c r="DE66" s="27">
        <f>IF($A66="",0,IF(Mitarbeiter!$G$64=FALSE,0,IF(AND(Mitarbeiter!$E$64&lt;&gt;"",DE$5+6&lt;Mitarbeiter!$E$64),0,IF(AND(Mitarbeiter!$F$64&lt;&gt;"",DE$5&gt;Mitarbeiter!$F$64),0,IF(Planung!DE66="",$C66,IF(ISNUMBER(Planung!DE66),Planung!DE66,IF(UPPER(Planung!DE66)="H",$C66/2,0)))))))</f>
        <v>0</v>
      </c>
      <c r="DF66" s="27">
        <f>IF($A66="",0,IF(Mitarbeiter!$G$64=FALSE,0,IF(AND(Mitarbeiter!$E$64&lt;&gt;"",DF$5+6&lt;Mitarbeiter!$E$64),0,IF(AND(Mitarbeiter!$F$64&lt;&gt;"",DF$5&gt;Mitarbeiter!$F$64),0,IF(Planung!DF66="",$C66,IF(ISNUMBER(Planung!DF66),Planung!DF66,IF(UPPER(Planung!DF66)="H",$C66/2,0)))))))</f>
        <v>0</v>
      </c>
      <c r="DG66" s="27">
        <f>IF($A66="",0,IF(Mitarbeiter!$G$64=FALSE,0,IF(AND(Mitarbeiter!$E$64&lt;&gt;"",DG$5+6&lt;Mitarbeiter!$E$64),0,IF(AND(Mitarbeiter!$F$64&lt;&gt;"",DG$5&gt;Mitarbeiter!$F$64),0,IF(Planung!DG66="",$C66,IF(ISNUMBER(Planung!DG66),Planung!DG66,IF(UPPER(Planung!DG66)="H",$C66/2,0)))))))</f>
        <v>0</v>
      </c>
      <c r="DH66" s="27">
        <f>IF($A66="",0,IF(Mitarbeiter!$G$64=FALSE,0,IF(AND(Mitarbeiter!$E$64&lt;&gt;"",DH$5+6&lt;Mitarbeiter!$E$64),0,IF(AND(Mitarbeiter!$F$64&lt;&gt;"",DH$5&gt;Mitarbeiter!$F$64),0,IF(Planung!DH66="",$C66,IF(ISNUMBER(Planung!DH66),Planung!DH66,IF(UPPER(Planung!DH66)="H",$C66/2,0)))))))</f>
        <v>0</v>
      </c>
      <c r="DI66" s="27">
        <f>IF($A66="",0,IF(Mitarbeiter!$G$64=FALSE,0,IF(AND(Mitarbeiter!$E$64&lt;&gt;"",DI$5+6&lt;Mitarbeiter!$E$64),0,IF(AND(Mitarbeiter!$F$64&lt;&gt;"",DI$5&gt;Mitarbeiter!$F$64),0,IF(Planung!DI66="",$C66,IF(ISNUMBER(Planung!DI66),Planung!DI66,IF(UPPER(Planung!DI66)="H",$C66/2,0)))))))</f>
        <v>0</v>
      </c>
      <c r="DJ66" s="27">
        <f>IF($A66="",0,IF(Mitarbeiter!$G$64=FALSE,0,IF(AND(Mitarbeiter!$E$64&lt;&gt;"",DJ$5+6&lt;Mitarbeiter!$E$64),0,IF(AND(Mitarbeiter!$F$64&lt;&gt;"",DJ$5&gt;Mitarbeiter!$F$64),0,IF(Planung!DJ66="",$C66,IF(ISNUMBER(Planung!DJ66),Planung!DJ66,IF(UPPER(Planung!DJ66)="H",$C66/2,0)))))))</f>
        <v>0</v>
      </c>
      <c r="DK66" s="27">
        <f>IF($A66="",0,IF(Mitarbeiter!$G$64=FALSE,0,IF(AND(Mitarbeiter!$E$64&lt;&gt;"",DK$5+6&lt;Mitarbeiter!$E$64),0,IF(AND(Mitarbeiter!$F$64&lt;&gt;"",DK$5&gt;Mitarbeiter!$F$64),0,IF(Planung!DK66="",$C66,IF(ISNUMBER(Planung!DK66),Planung!DK66,IF(UPPER(Planung!DK66)="H",$C66/2,0)))))))</f>
        <v>0</v>
      </c>
      <c r="DL66" s="27">
        <f>IF($A66="",0,IF(Mitarbeiter!$G$64=FALSE,0,IF(AND(Mitarbeiter!$E$64&lt;&gt;"",DL$5+6&lt;Mitarbeiter!$E$64),0,IF(AND(Mitarbeiter!$F$64&lt;&gt;"",DL$5&gt;Mitarbeiter!$F$64),0,IF(Planung!DL66="",$C66,IF(ISNUMBER(Planung!DL66),Planung!DL66,IF(UPPER(Planung!DL66)="H",$C66/2,0)))))))</f>
        <v>0</v>
      </c>
      <c r="DM66" s="27">
        <f>IF($A66="",0,IF(Mitarbeiter!$G$64=FALSE,0,IF(AND(Mitarbeiter!$E$64&lt;&gt;"",DM$5+6&lt;Mitarbeiter!$E$64),0,IF(AND(Mitarbeiter!$F$64&lt;&gt;"",DM$5&gt;Mitarbeiter!$F$64),0,IF(Planung!DM66="",$C66,IF(ISNUMBER(Planung!DM66),Planung!DM66,IF(UPPER(Planung!DM66)="H",$C66/2,0)))))))</f>
        <v>0</v>
      </c>
      <c r="DN66" s="27">
        <f>IF($A66="",0,IF(Mitarbeiter!$G$64=FALSE,0,IF(AND(Mitarbeiter!$E$64&lt;&gt;"",DN$5+6&lt;Mitarbeiter!$E$64),0,IF(AND(Mitarbeiter!$F$64&lt;&gt;"",DN$5&gt;Mitarbeiter!$F$64),0,IF(Planung!DN66="",$C66,IF(ISNUMBER(Planung!DN66),Planung!DN66,IF(UPPER(Planung!DN66)="H",$C66/2,0)))))))</f>
        <v>0</v>
      </c>
      <c r="DO66" s="27">
        <f>IF($A66="",0,IF(Mitarbeiter!$G$64=FALSE,0,IF(AND(Mitarbeiter!$E$64&lt;&gt;"",DO$5+6&lt;Mitarbeiter!$E$64),0,IF(AND(Mitarbeiter!$F$64&lt;&gt;"",DO$5&gt;Mitarbeiter!$F$64),0,IF(Planung!DO66="",$C66,IF(ISNUMBER(Planung!DO66),Planung!DO66,IF(UPPER(Planung!DO66)="H",$C66/2,0)))))))</f>
        <v>0</v>
      </c>
      <c r="DP66" s="27">
        <f>IF($A66="",0,IF(Mitarbeiter!$G$64=FALSE,0,IF(AND(Mitarbeiter!$E$64&lt;&gt;"",DP$5+6&lt;Mitarbeiter!$E$64),0,IF(AND(Mitarbeiter!$F$64&lt;&gt;"",DP$5&gt;Mitarbeiter!$F$64),0,IF(Planung!DP66="",$C66,IF(ISNUMBER(Planung!DP66),Planung!DP66,IF(UPPER(Planung!DP66)="H",$C66/2,0)))))))</f>
        <v>0</v>
      </c>
      <c r="DQ66" s="27">
        <f>IF($A66="",0,IF(Mitarbeiter!$G$64=FALSE,0,IF(AND(Mitarbeiter!$E$64&lt;&gt;"",DQ$5+6&lt;Mitarbeiter!$E$64),0,IF(AND(Mitarbeiter!$F$64&lt;&gt;"",DQ$5&gt;Mitarbeiter!$F$64),0,IF(Planung!DQ66="",$C66,IF(ISNUMBER(Planung!DQ66),Planung!DQ66,IF(UPPER(Planung!DQ66)="H",$C66/2,0)))))))</f>
        <v>0</v>
      </c>
      <c r="DR66" s="27">
        <f>IF($A66="",0,IF(Mitarbeiter!$G$64=FALSE,0,IF(AND(Mitarbeiter!$E$64&lt;&gt;"",DR$5+6&lt;Mitarbeiter!$E$64),0,IF(AND(Mitarbeiter!$F$64&lt;&gt;"",DR$5&gt;Mitarbeiter!$F$64),0,IF(Planung!DR66="",$C66,IF(ISNUMBER(Planung!DR66),Planung!DR66,IF(UPPER(Planung!DR66)="H",$C66/2,0)))))))</f>
        <v>0</v>
      </c>
      <c r="DS66" s="27">
        <f>IF($A66="",0,IF(Mitarbeiter!$G$64=FALSE,0,IF(AND(Mitarbeiter!$E$64&lt;&gt;"",DS$5+6&lt;Mitarbeiter!$E$64),0,IF(AND(Mitarbeiter!$F$64&lt;&gt;"",DS$5&gt;Mitarbeiter!$F$64),0,IF(Planung!DS66="",$C66,IF(ISNUMBER(Planung!DS66),Planung!DS66,IF(UPPER(Planung!DS66)="H",$C66/2,0)))))))</f>
        <v>0</v>
      </c>
      <c r="DT66" s="27">
        <f>IF($A66="",0,IF(Mitarbeiter!$G$64=FALSE,0,IF(AND(Mitarbeiter!$E$64&lt;&gt;"",DT$5+6&lt;Mitarbeiter!$E$64),0,IF(AND(Mitarbeiter!$F$64&lt;&gt;"",DT$5&gt;Mitarbeiter!$F$64),0,IF(Planung!DT66="",$C66,IF(ISNUMBER(Planung!DT66),Planung!DT66,IF(UPPER(Planung!DT66)="H",$C66/2,0)))))))</f>
        <v>0</v>
      </c>
      <c r="DU66" s="27">
        <f>IF($A66="",0,IF(Mitarbeiter!$G$64=FALSE,0,IF(AND(Mitarbeiter!$E$64&lt;&gt;"",DU$5+6&lt;Mitarbeiter!$E$64),0,IF(AND(Mitarbeiter!$F$64&lt;&gt;"",DU$5&gt;Mitarbeiter!$F$64),0,IF(Planung!DU66="",$C66,IF(ISNUMBER(Planung!DU66),Planung!DU66,IF(UPPER(Planung!DU66)="H",$C66/2,0)))))))</f>
        <v>0</v>
      </c>
      <c r="DV66" s="27">
        <f>IF($A66="",0,IF(Mitarbeiter!$G$64=FALSE,0,IF(AND(Mitarbeiter!$E$64&lt;&gt;"",DV$5+6&lt;Mitarbeiter!$E$64),0,IF(AND(Mitarbeiter!$F$64&lt;&gt;"",DV$5&gt;Mitarbeiter!$F$64),0,IF(Planung!DV66="",$C66,IF(ISNUMBER(Planung!DV66),Planung!DV66,IF(UPPER(Planung!DV66)="H",$C66/2,0)))))))</f>
        <v>0</v>
      </c>
      <c r="DW66" s="27">
        <f>IF($A66="",0,IF(Mitarbeiter!$G$64=FALSE,0,IF(AND(Mitarbeiter!$E$64&lt;&gt;"",DW$5+6&lt;Mitarbeiter!$E$64),0,IF(AND(Mitarbeiter!$F$64&lt;&gt;"",DW$5&gt;Mitarbeiter!$F$64),0,IF(Planung!DW66="",$C66,IF(ISNUMBER(Planung!DW66),Planung!DW66,IF(UPPER(Planung!DW66)="H",$C66/2,0)))))))</f>
        <v>0</v>
      </c>
      <c r="DX66" s="27">
        <f>IF($A66="",0,IF(Mitarbeiter!$G$64=FALSE,0,IF(AND(Mitarbeiter!$E$64&lt;&gt;"",DX$5+6&lt;Mitarbeiter!$E$64),0,IF(AND(Mitarbeiter!$F$64&lt;&gt;"",DX$5&gt;Mitarbeiter!$F$64),0,IF(Planung!DX66="",$C66,IF(ISNUMBER(Planung!DX66),Planung!DX66,IF(UPPER(Planung!DX66)="H",$C66/2,0)))))))</f>
        <v>0</v>
      </c>
      <c r="DY66" s="27">
        <f>IF($A66="",0,IF(Mitarbeiter!$G$64=FALSE,0,IF(AND(Mitarbeiter!$E$64&lt;&gt;"",DY$5+6&lt;Mitarbeiter!$E$64),0,IF(AND(Mitarbeiter!$F$64&lt;&gt;"",DY$5&gt;Mitarbeiter!$F$64),0,IF(Planung!DY66="",$C66,IF(ISNUMBER(Planung!DY66),Planung!DY66,IF(UPPER(Planung!DY66)="H",$C66/2,0)))))))</f>
        <v>0</v>
      </c>
      <c r="DZ66" s="27">
        <f>IF($A66="",0,IF(Mitarbeiter!$G$64=FALSE,0,IF(AND(Mitarbeiter!$E$64&lt;&gt;"",DZ$5+6&lt;Mitarbeiter!$E$64),0,IF(AND(Mitarbeiter!$F$64&lt;&gt;"",DZ$5&gt;Mitarbeiter!$F$64),0,IF(Planung!DZ66="",$C66,IF(ISNUMBER(Planung!DZ66),Planung!DZ66,IF(UPPER(Planung!DZ66)="H",$C66/2,0)))))))</f>
        <v>0</v>
      </c>
      <c r="EA66" s="27">
        <f>IF($A66="",0,IF(Mitarbeiter!$G$64=FALSE,0,IF(AND(Mitarbeiter!$E$64&lt;&gt;"",EA$5+6&lt;Mitarbeiter!$E$64),0,IF(AND(Mitarbeiter!$F$64&lt;&gt;"",EA$5&gt;Mitarbeiter!$F$64),0,IF(Planung!EA66="",$C66,IF(ISNUMBER(Planung!EA66),Planung!EA66,IF(UPPER(Planung!EA66)="H",$C66/2,0)))))))</f>
        <v>0</v>
      </c>
      <c r="EB66" s="27">
        <f>IF($A66="",0,IF(Mitarbeiter!$G$64=FALSE,0,IF(AND(Mitarbeiter!$E$64&lt;&gt;"",EB$5+6&lt;Mitarbeiter!$E$64),0,IF(AND(Mitarbeiter!$F$64&lt;&gt;"",EB$5&gt;Mitarbeiter!$F$64),0,IF(Planung!EB66="",$C66,IF(ISNUMBER(Planung!EB66),Planung!EB66,IF(UPPER(Planung!EB66)="H",$C66/2,0)))))))</f>
        <v>0</v>
      </c>
      <c r="EC66" s="27">
        <f>IF($A66="",0,IF(Mitarbeiter!$G$64=FALSE,0,IF(AND(Mitarbeiter!$E$64&lt;&gt;"",EC$5+6&lt;Mitarbeiter!$E$64),0,IF(AND(Mitarbeiter!$F$64&lt;&gt;"",EC$5&gt;Mitarbeiter!$F$64),0,IF(Planung!EC66="",$C66,IF(ISNUMBER(Planung!EC66),Planung!EC66,IF(UPPER(Planung!EC66)="H",$C66/2,0)))))))</f>
        <v>0</v>
      </c>
      <c r="ED66" s="27">
        <f>IF($A66="",0,IF(Mitarbeiter!$G$64=FALSE,0,IF(AND(Mitarbeiter!$E$64&lt;&gt;"",ED$5+6&lt;Mitarbeiter!$E$64),0,IF(AND(Mitarbeiter!$F$64&lt;&gt;"",ED$5&gt;Mitarbeiter!$F$64),0,IF(Planung!ED66="",$C66,IF(ISNUMBER(Planung!ED66),Planung!ED66,IF(UPPER(Planung!ED66)="H",$C66/2,0)))))))</f>
        <v>0</v>
      </c>
      <c r="EE66" s="27">
        <f>IF($A66="",0,IF(Mitarbeiter!$G$64=FALSE,0,IF(AND(Mitarbeiter!$E$64&lt;&gt;"",EE$5+6&lt;Mitarbeiter!$E$64),0,IF(AND(Mitarbeiter!$F$64&lt;&gt;"",EE$5&gt;Mitarbeiter!$F$64),0,IF(Planung!EE66="",$C66,IF(ISNUMBER(Planung!EE66),Planung!EE66,IF(UPPER(Planung!EE66)="H",$C66/2,0)))))))</f>
        <v>0</v>
      </c>
      <c r="EF66" s="27">
        <f>IF($A66="",0,IF(Mitarbeiter!$G$64=FALSE,0,IF(AND(Mitarbeiter!$E$64&lt;&gt;"",EF$5+6&lt;Mitarbeiter!$E$64),0,IF(AND(Mitarbeiter!$F$64&lt;&gt;"",EF$5&gt;Mitarbeiter!$F$64),0,IF(Planung!EF66="",$C66,IF(ISNUMBER(Planung!EF66),Planung!EF66,IF(UPPER(Planung!EF66)="H",$C66/2,0)))))))</f>
        <v>0</v>
      </c>
      <c r="EG66" s="27">
        <f>IF($A66="",0,IF(Mitarbeiter!$G$64=FALSE,0,IF(AND(Mitarbeiter!$E$64&lt;&gt;"",EG$5+6&lt;Mitarbeiter!$E$64),0,IF(AND(Mitarbeiter!$F$64&lt;&gt;"",EG$5&gt;Mitarbeiter!$F$64),0,IF(Planung!EG66="",$C66,IF(ISNUMBER(Planung!EG66),Planung!EG66,IF(UPPER(Planung!EG66)="H",$C66/2,0)))))))</f>
        <v>0</v>
      </c>
      <c r="EH66" s="27">
        <f>IF($A66="",0,IF(Mitarbeiter!$G$64=FALSE,0,IF(AND(Mitarbeiter!$E$64&lt;&gt;"",EH$5+6&lt;Mitarbeiter!$E$64),0,IF(AND(Mitarbeiter!$F$64&lt;&gt;"",EH$5&gt;Mitarbeiter!$F$64),0,IF(Planung!EH66="",$C66,IF(ISNUMBER(Planung!EH66),Planung!EH66,IF(UPPER(Planung!EH66)="H",$C66/2,0)))))))</f>
        <v>0</v>
      </c>
      <c r="EI66" s="27">
        <f>IF($A66="",0,IF(Mitarbeiter!$G$64=FALSE,0,IF(AND(Mitarbeiter!$E$64&lt;&gt;"",EI$5+6&lt;Mitarbeiter!$E$64),0,IF(AND(Mitarbeiter!$F$64&lt;&gt;"",EI$5&gt;Mitarbeiter!$F$64),0,IF(Planung!EI66="",$C66,IF(ISNUMBER(Planung!EI66),Planung!EI66,IF(UPPER(Planung!EI66)="H",$C66/2,0)))))))</f>
        <v>0</v>
      </c>
      <c r="EJ66" s="27">
        <f>IF($A66="",0,IF(Mitarbeiter!$G$64=FALSE,0,IF(AND(Mitarbeiter!$E$64&lt;&gt;"",EJ$5+6&lt;Mitarbeiter!$E$64),0,IF(AND(Mitarbeiter!$F$64&lt;&gt;"",EJ$5&gt;Mitarbeiter!$F$64),0,IF(Planung!EJ66="",$C66,IF(ISNUMBER(Planung!EJ66),Planung!EJ66,IF(UPPER(Planung!EJ66)="H",$C66/2,0)))))))</f>
        <v>0</v>
      </c>
      <c r="EK66" s="27">
        <f>IF($A66="",0,IF(Mitarbeiter!$G$64=FALSE,0,IF(AND(Mitarbeiter!$E$64&lt;&gt;"",EK$5+6&lt;Mitarbeiter!$E$64),0,IF(AND(Mitarbeiter!$F$64&lt;&gt;"",EK$5&gt;Mitarbeiter!$F$64),0,IF(Planung!EK66="",$C66,IF(ISNUMBER(Planung!EK66),Planung!EK66,IF(UPPER(Planung!EK66)="H",$C66/2,0)))))))</f>
        <v>0</v>
      </c>
      <c r="EL66" s="27">
        <f>IF($A66="",0,IF(Mitarbeiter!$G$64=FALSE,0,IF(AND(Mitarbeiter!$E$64&lt;&gt;"",EL$5+6&lt;Mitarbeiter!$E$64),0,IF(AND(Mitarbeiter!$F$64&lt;&gt;"",EL$5&gt;Mitarbeiter!$F$64),0,IF(Planung!EL66="",$C66,IF(ISNUMBER(Planung!EL66),Planung!EL66,IF(UPPER(Planung!EL66)="H",$C66/2,0)))))))</f>
        <v>0</v>
      </c>
      <c r="EM66" s="27">
        <f>IF($A66="",0,IF(Mitarbeiter!$G$64=FALSE,0,IF(AND(Mitarbeiter!$E$64&lt;&gt;"",EM$5+6&lt;Mitarbeiter!$E$64),0,IF(AND(Mitarbeiter!$F$64&lt;&gt;"",EM$5&gt;Mitarbeiter!$F$64),0,IF(Planung!EM66="",$C66,IF(ISNUMBER(Planung!EM66),Planung!EM66,IF(UPPER(Planung!EM66)="H",$C66/2,0)))))))</f>
        <v>0</v>
      </c>
      <c r="EN66" s="27">
        <f>IF($A66="",0,IF(Mitarbeiter!$G$64=FALSE,0,IF(AND(Mitarbeiter!$E$64&lt;&gt;"",EN$5+6&lt;Mitarbeiter!$E$64),0,IF(AND(Mitarbeiter!$F$64&lt;&gt;"",EN$5&gt;Mitarbeiter!$F$64),0,IF(Planung!EN66="",$C66,IF(ISNUMBER(Planung!EN66),Planung!EN66,IF(UPPER(Planung!EN66)="H",$C66/2,0)))))))</f>
        <v>0</v>
      </c>
      <c r="EO66" s="27">
        <f>IF($A66="",0,IF(Mitarbeiter!$G$64=FALSE,0,IF(AND(Mitarbeiter!$E$64&lt;&gt;"",EO$5+6&lt;Mitarbeiter!$E$64),0,IF(AND(Mitarbeiter!$F$64&lt;&gt;"",EO$5&gt;Mitarbeiter!$F$64),0,IF(Planung!EO66="",$C66,IF(ISNUMBER(Planung!EO66),Planung!EO66,IF(UPPER(Planung!EO66)="H",$C66/2,0)))))))</f>
        <v>0</v>
      </c>
      <c r="EP66" s="27">
        <f>IF($A66="",0,IF(Mitarbeiter!$G$64=FALSE,0,IF(AND(Mitarbeiter!$E$64&lt;&gt;"",EP$5+6&lt;Mitarbeiter!$E$64),0,IF(AND(Mitarbeiter!$F$64&lt;&gt;"",EP$5&gt;Mitarbeiter!$F$64),0,IF(Planung!EP66="",$C66,IF(ISNUMBER(Planung!EP66),Planung!EP66,IF(UPPER(Planung!EP66)="H",$C66/2,0)))))))</f>
        <v>0</v>
      </c>
      <c r="EQ66" s="27">
        <f>IF($A66="",0,IF(Mitarbeiter!$G$64=FALSE,0,IF(AND(Mitarbeiter!$E$64&lt;&gt;"",EQ$5+6&lt;Mitarbeiter!$E$64),0,IF(AND(Mitarbeiter!$F$64&lt;&gt;"",EQ$5&gt;Mitarbeiter!$F$64),0,IF(Planung!EQ66="",$C66,IF(ISNUMBER(Planung!EQ66),Planung!EQ66,IF(UPPER(Planung!EQ66)="H",$C66/2,0)))))))</f>
        <v>0</v>
      </c>
      <c r="ER66" s="27">
        <f>IF($A66="",0,IF(Mitarbeiter!$G$64=FALSE,0,IF(AND(Mitarbeiter!$E$64&lt;&gt;"",ER$5+6&lt;Mitarbeiter!$E$64),0,IF(AND(Mitarbeiter!$F$64&lt;&gt;"",ER$5&gt;Mitarbeiter!$F$64),0,IF(Planung!ER66="",$C66,IF(ISNUMBER(Planung!ER66),Planung!ER66,IF(UPPER(Planung!ER66)="H",$C66/2,0)))))))</f>
        <v>0</v>
      </c>
      <c r="ES66" s="27">
        <f>IF($A66="",0,IF(Mitarbeiter!$G$64=FALSE,0,IF(AND(Mitarbeiter!$E$64&lt;&gt;"",ES$5+6&lt;Mitarbeiter!$E$64),0,IF(AND(Mitarbeiter!$F$64&lt;&gt;"",ES$5&gt;Mitarbeiter!$F$64),0,IF(Planung!ES66="",$C66,IF(ISNUMBER(Planung!ES66),Planung!ES66,IF(UPPER(Planung!ES66)="H",$C66/2,0)))))))</f>
        <v>0</v>
      </c>
      <c r="ET66" s="27">
        <f>IF($A66="",0,IF(Mitarbeiter!$G$64=FALSE,0,IF(AND(Mitarbeiter!$E$64&lt;&gt;"",ET$5+6&lt;Mitarbeiter!$E$64),0,IF(AND(Mitarbeiter!$F$64&lt;&gt;"",ET$5&gt;Mitarbeiter!$F$64),0,IF(Planung!ET66="",$C66,IF(ISNUMBER(Planung!ET66),Planung!ET66,IF(UPPER(Planung!ET66)="H",$C66/2,0)))))))</f>
        <v>0</v>
      </c>
      <c r="EU66" s="27">
        <f>IF($A66="",0,IF(Mitarbeiter!$G$64=FALSE,0,IF(AND(Mitarbeiter!$E$64&lt;&gt;"",EU$5+6&lt;Mitarbeiter!$E$64),0,IF(AND(Mitarbeiter!$F$64&lt;&gt;"",EU$5&gt;Mitarbeiter!$F$64),0,IF(Planung!EU66="",$C66,IF(ISNUMBER(Planung!EU66),Planung!EU66,IF(UPPER(Planung!EU66)="H",$C66/2,0)))))))</f>
        <v>0</v>
      </c>
      <c r="EV66" s="27">
        <f>IF($A66="",0,IF(Mitarbeiter!$G$64=FALSE,0,IF(AND(Mitarbeiter!$E$64&lt;&gt;"",EV$5+6&lt;Mitarbeiter!$E$64),0,IF(AND(Mitarbeiter!$F$64&lt;&gt;"",EV$5&gt;Mitarbeiter!$F$64),0,IF(Planung!EV66="",$C66,IF(ISNUMBER(Planung!EV66),Planung!EV66,IF(UPPER(Planung!EV66)="H",$C66/2,0)))))))</f>
        <v>0</v>
      </c>
      <c r="EW66" s="27">
        <f>IF($A66="",0,IF(Mitarbeiter!$G$64=FALSE,0,IF(AND(Mitarbeiter!$E$64&lt;&gt;"",EW$5+6&lt;Mitarbeiter!$E$64),0,IF(AND(Mitarbeiter!$F$64&lt;&gt;"",EW$5&gt;Mitarbeiter!$F$64),0,IF(Planung!EW66="",$C66,IF(ISNUMBER(Planung!EW66),Planung!EW66,IF(UPPER(Planung!EW66)="H",$C66/2,0)))))))</f>
        <v>0</v>
      </c>
      <c r="EX66" s="27">
        <f>IF($A66="",0,IF(Mitarbeiter!$G$64=FALSE,0,IF(AND(Mitarbeiter!$E$64&lt;&gt;"",EX$5+6&lt;Mitarbeiter!$E$64),0,IF(AND(Mitarbeiter!$F$64&lt;&gt;"",EX$5&gt;Mitarbeiter!$F$64),0,IF(Planung!EX66="",$C66,IF(ISNUMBER(Planung!EX66),Planung!EX66,IF(UPPER(Planung!EX66)="H",$C66/2,0)))))))</f>
        <v>0</v>
      </c>
      <c r="EY66" s="27">
        <f>IF($A66="",0,IF(Mitarbeiter!$G$64=FALSE,0,IF(AND(Mitarbeiter!$E$64&lt;&gt;"",EY$5+6&lt;Mitarbeiter!$E$64),0,IF(AND(Mitarbeiter!$F$64&lt;&gt;"",EY$5&gt;Mitarbeiter!$F$64),0,IF(Planung!EY66="",$C66,IF(ISNUMBER(Planung!EY66),Planung!EY66,IF(UPPER(Planung!EY66)="H",$C66/2,0)))))))</f>
        <v>0</v>
      </c>
      <c r="EZ66" s="27">
        <f>IF($A66="",0,IF(Mitarbeiter!$G$64=FALSE,0,IF(AND(Mitarbeiter!$E$64&lt;&gt;"",EZ$5+6&lt;Mitarbeiter!$E$64),0,IF(AND(Mitarbeiter!$F$64&lt;&gt;"",EZ$5&gt;Mitarbeiter!$F$64),0,IF(Planung!EZ66="",$C66,IF(ISNUMBER(Planung!EZ66),Planung!EZ66,IF(UPPER(Planung!EZ66)="H",$C66/2,0)))))))</f>
        <v>0</v>
      </c>
      <c r="FA66" s="27">
        <f>IF($A66="",0,IF(Mitarbeiter!$G$64=FALSE,0,IF(AND(Mitarbeiter!$E$64&lt;&gt;"",FA$5+6&lt;Mitarbeiter!$E$64),0,IF(AND(Mitarbeiter!$F$64&lt;&gt;"",FA$5&gt;Mitarbeiter!$F$64),0,IF(Planung!FA66="",$C66,IF(ISNUMBER(Planung!FA66),Planung!FA66,IF(UPPER(Planung!FA66)="H",$C66/2,0)))))))</f>
        <v>0</v>
      </c>
      <c r="FB66" s="27">
        <f>IF($A66="",0,IF(Mitarbeiter!$G$64=FALSE,0,IF(AND(Mitarbeiter!$E$64&lt;&gt;"",FB$5+6&lt;Mitarbeiter!$E$64),0,IF(AND(Mitarbeiter!$F$64&lt;&gt;"",FB$5&gt;Mitarbeiter!$F$64),0,IF(Planung!FB66="",$C66,IF(ISNUMBER(Planung!FB66),Planung!FB66,IF(UPPER(Planung!FB66)="H",$C66/2,0)))))))</f>
        <v>0</v>
      </c>
      <c r="FC66" s="27">
        <f>IF($A66="",0,IF(Mitarbeiter!$G$64=FALSE,0,IF(AND(Mitarbeiter!$E$64&lt;&gt;"",FC$5+6&lt;Mitarbeiter!$E$64),0,IF(AND(Mitarbeiter!$F$64&lt;&gt;"",FC$5&gt;Mitarbeiter!$F$64),0,IF(Planung!FC66="",$C66,IF(ISNUMBER(Planung!FC66),Planung!FC66,IF(UPPER(Planung!FC66)="H",$C66/2,0)))))))</f>
        <v>0</v>
      </c>
      <c r="FD66" s="27">
        <f>IF($A66="",0,IF(Mitarbeiter!$G$64=FALSE,0,IF(AND(Mitarbeiter!$E$64&lt;&gt;"",FD$5+6&lt;Mitarbeiter!$E$64),0,IF(AND(Mitarbeiter!$F$64&lt;&gt;"",FD$5&gt;Mitarbeiter!$F$64),0,IF(Planung!FD66="",$C66,IF(ISNUMBER(Planung!FD66),Planung!FD66,IF(UPPER(Planung!FD66)="H",$C66/2,0)))))))</f>
        <v>0</v>
      </c>
      <c r="FE66" s="27">
        <f>IF($A66="",0,IF(Mitarbeiter!$G$64=FALSE,0,IF(AND(Mitarbeiter!$E$64&lt;&gt;"",FE$5+6&lt;Mitarbeiter!$E$64),0,IF(AND(Mitarbeiter!$F$64&lt;&gt;"",FE$5&gt;Mitarbeiter!$F$64),0,IF(Planung!FE66="",$C66,IF(ISNUMBER(Planung!FE66),Planung!FE66,IF(UPPER(Planung!FE66)="H",$C66/2,0)))))))</f>
        <v>0</v>
      </c>
      <c r="FF66" s="27">
        <f>IF($A66="",0,IF(Mitarbeiter!$G$64=FALSE,0,IF(AND(Mitarbeiter!$E$64&lt;&gt;"",FF$5+6&lt;Mitarbeiter!$E$64),0,IF(AND(Mitarbeiter!$F$64&lt;&gt;"",FF$5&gt;Mitarbeiter!$F$64),0,IF(Planung!FF66="",$C66,IF(ISNUMBER(Planung!FF66),Planung!FF66,IF(UPPER(Planung!FF66)="H",$C66/2,0)))))))</f>
        <v>0</v>
      </c>
      <c r="FG66" s="27">
        <f>IF($A66="",0,IF(Mitarbeiter!$G$64=FALSE,0,IF(AND(Mitarbeiter!$E$64&lt;&gt;"",FG$5+6&lt;Mitarbeiter!$E$64),0,IF(AND(Mitarbeiter!$F$64&lt;&gt;"",FG$5&gt;Mitarbeiter!$F$64),0,IF(Planung!FG66="",$C66,IF(ISNUMBER(Planung!FG66),Planung!FG66,IF(UPPER(Planung!FG66)="H",$C66/2,0)))))))</f>
        <v>0</v>
      </c>
      <c r="FH66" s="27">
        <f>IF($A66="",0,IF(Mitarbeiter!$G$64=FALSE,0,IF(AND(Mitarbeiter!$E$64&lt;&gt;"",FH$5+6&lt;Mitarbeiter!$E$64),0,IF(AND(Mitarbeiter!$F$64&lt;&gt;"",FH$5&gt;Mitarbeiter!$F$64),0,IF(Planung!FH66="",$C66,IF(ISNUMBER(Planung!FH66),Planung!FH66,IF(UPPER(Planung!FH66)="H",$C66/2,0)))))))</f>
        <v>0</v>
      </c>
      <c r="FI66" s="27">
        <f>IF($A66="",0,IF(Mitarbeiter!$G$64=FALSE,0,IF(AND(Mitarbeiter!$E$64&lt;&gt;"",FI$5+6&lt;Mitarbeiter!$E$64),0,IF(AND(Mitarbeiter!$F$64&lt;&gt;"",FI$5&gt;Mitarbeiter!$F$64),0,IF(Planung!FI66="",$C66,IF(ISNUMBER(Planung!FI66),Planung!FI66,IF(UPPER(Planung!FI66)="H",$C66/2,0)))))))</f>
        <v>0</v>
      </c>
      <c r="FJ66" s="27">
        <f>IF($A66="",0,IF(Mitarbeiter!$G$64=FALSE,0,IF(AND(Mitarbeiter!$E$64&lt;&gt;"",FJ$5+6&lt;Mitarbeiter!$E$64),0,IF(AND(Mitarbeiter!$F$64&lt;&gt;"",FJ$5&gt;Mitarbeiter!$F$64),0,IF(Planung!FJ66="",$C66,IF(ISNUMBER(Planung!FJ66),Planung!FJ66,IF(UPPER(Planung!FJ66)="H",$C66/2,0)))))))</f>
        <v>0</v>
      </c>
      <c r="FK66" s="27">
        <f>IF($A66="",0,IF(Mitarbeiter!$G$64=FALSE,0,IF(AND(Mitarbeiter!$E$64&lt;&gt;"",FK$5+6&lt;Mitarbeiter!$E$64),0,IF(AND(Mitarbeiter!$F$64&lt;&gt;"",FK$5&gt;Mitarbeiter!$F$64),0,IF(Planung!FK66="",$C66,IF(ISNUMBER(Planung!FK66),Planung!FK66,IF(UPPER(Planung!FK66)="H",$C66/2,0)))))))</f>
        <v>0</v>
      </c>
      <c r="FL66" s="27">
        <f>IF($A66="",0,IF(Mitarbeiter!$G$64=FALSE,0,IF(AND(Mitarbeiter!$E$64&lt;&gt;"",FL$5+6&lt;Mitarbeiter!$E$64),0,IF(AND(Mitarbeiter!$F$64&lt;&gt;"",FL$5&gt;Mitarbeiter!$F$64),0,IF(Planung!FL66="",$C66,IF(ISNUMBER(Planung!FL66),Planung!FL66,IF(UPPER(Planung!FL66)="H",$C66/2,0)))))))</f>
        <v>0</v>
      </c>
      <c r="FM66" s="27">
        <f>IF($A66="",0,IF(Mitarbeiter!$G$64=FALSE,0,IF(AND(Mitarbeiter!$E$64&lt;&gt;"",FM$5+6&lt;Mitarbeiter!$E$64),0,IF(AND(Mitarbeiter!$F$64&lt;&gt;"",FM$5&gt;Mitarbeiter!$F$64),0,IF(Planung!FM66="",$C66,IF(ISNUMBER(Planung!FM66),Planung!FM66,IF(UPPER(Planung!FM66)="H",$C66/2,0)))))))</f>
        <v>0</v>
      </c>
      <c r="FN66" s="27">
        <f>IF($A66="",0,IF(Mitarbeiter!$G$64=FALSE,0,IF(AND(Mitarbeiter!$E$64&lt;&gt;"",FN$5+6&lt;Mitarbeiter!$E$64),0,IF(AND(Mitarbeiter!$F$64&lt;&gt;"",FN$5&gt;Mitarbeiter!$F$64),0,IF(Planung!FN66="",$C66,IF(ISNUMBER(Planung!FN66),Planung!FN66,IF(UPPER(Planung!FN66)="H",$C66/2,0)))))))</f>
        <v>0</v>
      </c>
      <c r="FO66" s="27">
        <f>IF($A66="",0,IF(Mitarbeiter!$G$64=FALSE,0,IF(AND(Mitarbeiter!$E$64&lt;&gt;"",FO$5+6&lt;Mitarbeiter!$E$64),0,IF(AND(Mitarbeiter!$F$64&lt;&gt;"",FO$5&gt;Mitarbeiter!$F$64),0,IF(Planung!FO66="",$C66,IF(ISNUMBER(Planung!FO66),Planung!FO66,IF(UPPER(Planung!FO66)="H",$C66/2,0)))))))</f>
        <v>0</v>
      </c>
      <c r="FP66" s="27">
        <f>IF($A66="",0,IF(Mitarbeiter!$G$64=FALSE,0,IF(AND(Mitarbeiter!$E$64&lt;&gt;"",FP$5+6&lt;Mitarbeiter!$E$64),0,IF(AND(Mitarbeiter!$F$64&lt;&gt;"",FP$5&gt;Mitarbeiter!$F$64),0,IF(Planung!FP66="",$C66,IF(ISNUMBER(Planung!FP66),Planung!FP66,IF(UPPER(Planung!FP66)="H",$C66/2,0)))))))</f>
        <v>0</v>
      </c>
      <c r="FQ66" s="27">
        <f>IF($A66="",0,IF(Mitarbeiter!$G$64=FALSE,0,IF(AND(Mitarbeiter!$E$64&lt;&gt;"",FQ$5+6&lt;Mitarbeiter!$E$64),0,IF(AND(Mitarbeiter!$F$64&lt;&gt;"",FQ$5&gt;Mitarbeiter!$F$64),0,IF(Planung!FQ66="",$C66,IF(ISNUMBER(Planung!FQ66),Planung!FQ66,IF(UPPER(Planung!FQ66)="H",$C66/2,0)))))))</f>
        <v>0</v>
      </c>
      <c r="FR66" s="27">
        <f>IF($A66="",0,IF(Mitarbeiter!$G$64=FALSE,0,IF(AND(Mitarbeiter!$E$64&lt;&gt;"",FR$5+6&lt;Mitarbeiter!$E$64),0,IF(AND(Mitarbeiter!$F$64&lt;&gt;"",FR$5&gt;Mitarbeiter!$F$64),0,IF(Planung!FR66="",$C66,IF(ISNUMBER(Planung!FR66),Planung!FR66,IF(UPPER(Planung!FR66)="H",$C66/2,0)))))))</f>
        <v>0</v>
      </c>
      <c r="FS66" s="27">
        <f>IF($A66="",0,IF(Mitarbeiter!$G$64=FALSE,0,IF(AND(Mitarbeiter!$E$64&lt;&gt;"",FS$5+6&lt;Mitarbeiter!$E$64),0,IF(AND(Mitarbeiter!$F$64&lt;&gt;"",FS$5&gt;Mitarbeiter!$F$64),0,IF(Planung!FS66="",$C66,IF(ISNUMBER(Planung!FS66),Planung!FS66,IF(UPPER(Planung!FS66)="H",$C66/2,0)))))))</f>
        <v>0</v>
      </c>
      <c r="FT66" s="27">
        <f>IF($A66="",0,IF(Mitarbeiter!$G$64=FALSE,0,IF(AND(Mitarbeiter!$E$64&lt;&gt;"",FT$5+6&lt;Mitarbeiter!$E$64),0,IF(AND(Mitarbeiter!$F$64&lt;&gt;"",FT$5&gt;Mitarbeiter!$F$64),0,IF(Planung!FT66="",$C66,IF(ISNUMBER(Planung!FT66),Planung!FT66,IF(UPPER(Planung!FT66)="H",$C66/2,0)))))))</f>
        <v>0</v>
      </c>
      <c r="FU66" s="27">
        <f>IF($A66="",0,IF(Mitarbeiter!$G$64=FALSE,0,IF(AND(Mitarbeiter!$E$64&lt;&gt;"",FU$5+6&lt;Mitarbeiter!$E$64),0,IF(AND(Mitarbeiter!$F$64&lt;&gt;"",FU$5&gt;Mitarbeiter!$F$64),0,IF(Planung!FU66="",$C66,IF(ISNUMBER(Planung!FU66),Planung!FU66,IF(UPPER(Planung!FU66)="H",$C66/2,0)))))))</f>
        <v>0</v>
      </c>
      <c r="FV66" s="27">
        <f>IF($A66="",0,IF(Mitarbeiter!$G$64=FALSE,0,IF(AND(Mitarbeiter!$E$64&lt;&gt;"",FV$5+6&lt;Mitarbeiter!$E$64),0,IF(AND(Mitarbeiter!$F$64&lt;&gt;"",FV$5&gt;Mitarbeiter!$F$64),0,IF(Planung!FV66="",$C66,IF(ISNUMBER(Planung!FV66),Planung!FV66,IF(UPPER(Planung!FV66)="H",$C66/2,0)))))))</f>
        <v>0</v>
      </c>
      <c r="FW66" s="27">
        <f>IF($A66="",0,IF(Mitarbeiter!$G$64=FALSE,0,IF(AND(Mitarbeiter!$E$64&lt;&gt;"",FW$5+6&lt;Mitarbeiter!$E$64),0,IF(AND(Mitarbeiter!$F$64&lt;&gt;"",FW$5&gt;Mitarbeiter!$F$64),0,IF(Planung!FW66="",$C66,IF(ISNUMBER(Planung!FW66),Planung!FW66,IF(UPPER(Planung!FW66)="H",$C66/2,0)))))))</f>
        <v>0</v>
      </c>
      <c r="FX66" s="27">
        <f>IF($A66="",0,IF(Mitarbeiter!$G$64=FALSE,0,IF(AND(Mitarbeiter!$E$64&lt;&gt;"",FX$5+6&lt;Mitarbeiter!$E$64),0,IF(AND(Mitarbeiter!$F$64&lt;&gt;"",FX$5&gt;Mitarbeiter!$F$64),0,IF(Planung!FX66="",$C66,IF(ISNUMBER(Planung!FX66),Planung!FX66,IF(UPPER(Planung!FX66)="H",$C66/2,0)))))))</f>
        <v>0</v>
      </c>
      <c r="FY66" s="27">
        <f>IF($A66="",0,IF(Mitarbeiter!$G$64=FALSE,0,IF(AND(Mitarbeiter!$E$64&lt;&gt;"",FY$5+6&lt;Mitarbeiter!$E$64),0,IF(AND(Mitarbeiter!$F$64&lt;&gt;"",FY$5&gt;Mitarbeiter!$F$64),0,IF(Planung!FY66="",$C66,IF(ISNUMBER(Planung!FY66),Planung!FY66,IF(UPPER(Planung!FY66)="H",$C66/2,0)))))))</f>
        <v>0</v>
      </c>
      <c r="FZ66" s="27">
        <f>IF($A66="",0,IF(Mitarbeiter!$G$64=FALSE,0,IF(AND(Mitarbeiter!$E$64&lt;&gt;"",FZ$5+6&lt;Mitarbeiter!$E$64),0,IF(AND(Mitarbeiter!$F$64&lt;&gt;"",FZ$5&gt;Mitarbeiter!$F$64),0,IF(Planung!FZ66="",$C66,IF(ISNUMBER(Planung!FZ66),Planung!FZ66,IF(UPPER(Planung!FZ66)="H",$C66/2,0)))))))</f>
        <v>0</v>
      </c>
      <c r="GA66" s="27">
        <f>IF($A66="",0,IF(Mitarbeiter!$G$64=FALSE,0,IF(AND(Mitarbeiter!$E$64&lt;&gt;"",GA$5+6&lt;Mitarbeiter!$E$64),0,IF(AND(Mitarbeiter!$F$64&lt;&gt;"",GA$5&gt;Mitarbeiter!$F$64),0,IF(Planung!GA66="",$C66,IF(ISNUMBER(Planung!GA66),Planung!GA66,IF(UPPER(Planung!GA66)="H",$C66/2,0)))))))</f>
        <v>0</v>
      </c>
      <c r="GB66" s="27">
        <f>IF($A66="",0,IF(Mitarbeiter!$G$64=FALSE,0,IF(AND(Mitarbeiter!$E$64&lt;&gt;"",GB$5+6&lt;Mitarbeiter!$E$64),0,IF(AND(Mitarbeiter!$F$64&lt;&gt;"",GB$5&gt;Mitarbeiter!$F$64),0,IF(Planung!GB66="",$C66,IF(ISNUMBER(Planung!GB66),Planung!GB66,IF(UPPER(Planung!GB66)="H",$C66/2,0)))))))</f>
        <v>0</v>
      </c>
      <c r="GC66" s="27">
        <f>IF($A66="",0,IF(Mitarbeiter!$G$64=FALSE,0,IF(AND(Mitarbeiter!$E$64&lt;&gt;"",GC$5+6&lt;Mitarbeiter!$E$64),0,IF(AND(Mitarbeiter!$F$64&lt;&gt;"",GC$5&gt;Mitarbeiter!$F$64),0,IF(Planung!GC66="",$C66,IF(ISNUMBER(Planung!GC66),Planung!GC66,IF(UPPER(Planung!GC66)="H",$C66/2,0)))))))</f>
        <v>0</v>
      </c>
      <c r="GD66" s="27">
        <f>IF($A66="",0,IF(Mitarbeiter!$G$64=FALSE,0,IF(AND(Mitarbeiter!$E$64&lt;&gt;"",GD$5+6&lt;Mitarbeiter!$E$64),0,IF(AND(Mitarbeiter!$F$64&lt;&gt;"",GD$5&gt;Mitarbeiter!$F$64),0,IF(Planung!GD66="",$C66,IF(ISNUMBER(Planung!GD66),Planung!GD66,IF(UPPER(Planung!GD66)="H",$C66/2,0)))))))</f>
        <v>0</v>
      </c>
      <c r="GE66" s="27">
        <f>IF($A66="",0,IF(Mitarbeiter!$G$64=FALSE,0,IF(AND(Mitarbeiter!$E$64&lt;&gt;"",GE$5+6&lt;Mitarbeiter!$E$64),0,IF(AND(Mitarbeiter!$F$64&lt;&gt;"",GE$5&gt;Mitarbeiter!$F$64),0,IF(Planung!GE66="",$C66,IF(ISNUMBER(Planung!GE66),Planung!GE66,IF(UPPER(Planung!GE66)="H",$C66/2,0)))))))</f>
        <v>0</v>
      </c>
      <c r="GF66" s="27">
        <f>IF($A66="",0,IF(Mitarbeiter!$G$64=FALSE,0,IF(AND(Mitarbeiter!$E$64&lt;&gt;"",GF$5+6&lt;Mitarbeiter!$E$64),0,IF(AND(Mitarbeiter!$F$64&lt;&gt;"",GF$5&gt;Mitarbeiter!$F$64),0,IF(Planung!GF66="",$C66,IF(ISNUMBER(Planung!GF66),Planung!GF66,IF(UPPER(Planung!GF66)="H",$C66/2,0)))))))</f>
        <v>0</v>
      </c>
      <c r="GG66" s="27">
        <f>IF($A66="",0,IF(Mitarbeiter!$G$64=FALSE,0,IF(AND(Mitarbeiter!$E$64&lt;&gt;"",GG$5+6&lt;Mitarbeiter!$E$64),0,IF(AND(Mitarbeiter!$F$64&lt;&gt;"",GG$5&gt;Mitarbeiter!$F$64),0,IF(Planung!GG66="",$C66,IF(ISNUMBER(Planung!GG66),Planung!GG66,IF(UPPER(Planung!GG66)="H",$C66/2,0)))))))</f>
        <v>0</v>
      </c>
      <c r="GH66" s="27">
        <f>IF($A66="",0,IF(Mitarbeiter!$G$64=FALSE,0,IF(AND(Mitarbeiter!$E$64&lt;&gt;"",GH$5+6&lt;Mitarbeiter!$E$64),0,IF(AND(Mitarbeiter!$F$64&lt;&gt;"",GH$5&gt;Mitarbeiter!$F$64),0,IF(Planung!GH66="",$C66,IF(ISNUMBER(Planung!GH66),Planung!GH66,IF(UPPER(Planung!GH66)="H",$C66/2,0)))))))</f>
        <v>0</v>
      </c>
      <c r="GI66" s="27">
        <f>IF($A66="",0,IF(Mitarbeiter!$G$64=FALSE,0,IF(AND(Mitarbeiter!$E$64&lt;&gt;"",GI$5+6&lt;Mitarbeiter!$E$64),0,IF(AND(Mitarbeiter!$F$64&lt;&gt;"",GI$5&gt;Mitarbeiter!$F$64),0,IF(Planung!GI66="",$C66,IF(ISNUMBER(Planung!GI66),Planung!GI66,IF(UPPER(Planung!GI66)="H",$C66/2,0)))))))</f>
        <v>0</v>
      </c>
      <c r="GJ66" s="27">
        <f>IF($A66="",0,IF(Mitarbeiter!$G$64=FALSE,0,IF(AND(Mitarbeiter!$E$64&lt;&gt;"",GJ$5+6&lt;Mitarbeiter!$E$64),0,IF(AND(Mitarbeiter!$F$64&lt;&gt;"",GJ$5&gt;Mitarbeiter!$F$64),0,IF(Planung!GJ66="",$C66,IF(ISNUMBER(Planung!GJ66),Planung!GJ66,IF(UPPER(Planung!GJ66)="H",$C66/2,0)))))))</f>
        <v>0</v>
      </c>
      <c r="GK66" s="27">
        <f>IF($A66="",0,IF(Mitarbeiter!$G$64=FALSE,0,IF(AND(Mitarbeiter!$E$64&lt;&gt;"",GK$5+6&lt;Mitarbeiter!$E$64),0,IF(AND(Mitarbeiter!$F$64&lt;&gt;"",GK$5&gt;Mitarbeiter!$F$64),0,IF(Planung!GK66="",$C66,IF(ISNUMBER(Planung!GK66),Planung!GK66,IF(UPPER(Planung!GK66)="H",$C66/2,0)))))))</f>
        <v>0</v>
      </c>
      <c r="GL66" s="27">
        <f>IF($A66="",0,IF(Mitarbeiter!$G$64=FALSE,0,IF(AND(Mitarbeiter!$E$64&lt;&gt;"",GL$5+6&lt;Mitarbeiter!$E$64),0,IF(AND(Mitarbeiter!$F$64&lt;&gt;"",GL$5&gt;Mitarbeiter!$F$64),0,IF(Planung!GL66="",$C66,IF(ISNUMBER(Planung!GL66),Planung!GL66,IF(UPPER(Planung!GL66)="H",$C66/2,0)))))))</f>
        <v>0</v>
      </c>
      <c r="GM66" s="27">
        <f>IF($A66="",0,IF(Mitarbeiter!$G$64=FALSE,0,IF(AND(Mitarbeiter!$E$64&lt;&gt;"",GM$5+6&lt;Mitarbeiter!$E$64),0,IF(AND(Mitarbeiter!$F$64&lt;&gt;"",GM$5&gt;Mitarbeiter!$F$64),0,IF(Planung!GM66="",$C66,IF(ISNUMBER(Planung!GM66),Planung!GM66,IF(UPPER(Planung!GM66)="H",$C66/2,0)))))))</f>
        <v>0</v>
      </c>
      <c r="GN66" s="27">
        <f>IF($A66="",0,IF(Mitarbeiter!$G$64=FALSE,0,IF(AND(Mitarbeiter!$E$64&lt;&gt;"",GN$5+6&lt;Mitarbeiter!$E$64),0,IF(AND(Mitarbeiter!$F$64&lt;&gt;"",GN$5&gt;Mitarbeiter!$F$64),0,IF(Planung!GN66="",$C66,IF(ISNUMBER(Planung!GN66),Planung!GN66,IF(UPPER(Planung!GN66)="H",$C66/2,0)))))))</f>
        <v>0</v>
      </c>
      <c r="GO66" s="27">
        <f>IF($A66="",0,IF(Mitarbeiter!$G$64=FALSE,0,IF(AND(Mitarbeiter!$E$64&lt;&gt;"",GO$5+6&lt;Mitarbeiter!$E$64),0,IF(AND(Mitarbeiter!$F$64&lt;&gt;"",GO$5&gt;Mitarbeiter!$F$64),0,IF(Planung!GO66="",$C66,IF(ISNUMBER(Planung!GO66),Planung!GO66,IF(UPPER(Planung!GO66)="H",$C66/2,0)))))))</f>
        <v>0</v>
      </c>
      <c r="GP66" s="27">
        <f>IF($A66="",0,IF(Mitarbeiter!$G$64=FALSE,0,IF(AND(Mitarbeiter!$E$64&lt;&gt;"",GP$5+6&lt;Mitarbeiter!$E$64),0,IF(AND(Mitarbeiter!$F$64&lt;&gt;"",GP$5&gt;Mitarbeiter!$F$64),0,IF(Planung!GP66="",$C66,IF(ISNUMBER(Planung!GP66),Planung!GP66,IF(UPPER(Planung!GP66)="H",$C66/2,0)))))))</f>
        <v>0</v>
      </c>
      <c r="GQ66" s="27">
        <f>IF($A66="",0,IF(Mitarbeiter!$G$64=FALSE,0,IF(AND(Mitarbeiter!$E$64&lt;&gt;"",GQ$5+6&lt;Mitarbeiter!$E$64),0,IF(AND(Mitarbeiter!$F$64&lt;&gt;"",GQ$5&gt;Mitarbeiter!$F$64),0,IF(Planung!GQ66="",$C66,IF(ISNUMBER(Planung!GQ66),Planung!GQ66,IF(UPPER(Planung!GQ66)="H",$C66/2,0)))))))</f>
        <v>0</v>
      </c>
      <c r="GR66" s="27">
        <f>IF($A66="",0,IF(Mitarbeiter!$G$64=FALSE,0,IF(AND(Mitarbeiter!$E$64&lt;&gt;"",GR$5+6&lt;Mitarbeiter!$E$64),0,IF(AND(Mitarbeiter!$F$64&lt;&gt;"",GR$5&gt;Mitarbeiter!$F$64),0,IF(Planung!GR66="",$C66,IF(ISNUMBER(Planung!GR66),Planung!GR66,IF(UPPER(Planung!GR66)="H",$C66/2,0)))))))</f>
        <v>0</v>
      </c>
      <c r="GS66" s="27">
        <f>IF($A66="",0,IF(Mitarbeiter!$G$64=FALSE,0,IF(AND(Mitarbeiter!$E$64&lt;&gt;"",GS$5+6&lt;Mitarbeiter!$E$64),0,IF(AND(Mitarbeiter!$F$64&lt;&gt;"",GS$5&gt;Mitarbeiter!$F$64),0,IF(Planung!GS66="",$C66,IF(ISNUMBER(Planung!GS66),Planung!GS66,IF(UPPER(Planung!GS66)="H",$C66/2,0)))))))</f>
        <v>0</v>
      </c>
      <c r="GT66" s="27">
        <f>IF($A66="",0,IF(Mitarbeiter!$G$64=FALSE,0,IF(AND(Mitarbeiter!$E$64&lt;&gt;"",GT$5+6&lt;Mitarbeiter!$E$64),0,IF(AND(Mitarbeiter!$F$64&lt;&gt;"",GT$5&gt;Mitarbeiter!$F$64),0,IF(Planung!GT66="",$C66,IF(ISNUMBER(Planung!GT66),Planung!GT66,IF(UPPER(Planung!GT66)="H",$C66/2,0)))))))</f>
        <v>0</v>
      </c>
      <c r="GU66" s="27">
        <f>IF($A66="",0,IF(Mitarbeiter!$G$64=FALSE,0,IF(AND(Mitarbeiter!$E$64&lt;&gt;"",GU$5+6&lt;Mitarbeiter!$E$64),0,IF(AND(Mitarbeiter!$F$64&lt;&gt;"",GU$5&gt;Mitarbeiter!$F$64),0,IF(Planung!GU66="",$C66,IF(ISNUMBER(Planung!GU66),Planung!GU66,IF(UPPER(Planung!GU66)="H",$C66/2,0)))))))</f>
        <v>0</v>
      </c>
      <c r="GV66" s="27">
        <f>IF($A66="",0,IF(Mitarbeiter!$G$64=FALSE,0,IF(AND(Mitarbeiter!$E$64&lt;&gt;"",GV$5+6&lt;Mitarbeiter!$E$64),0,IF(AND(Mitarbeiter!$F$64&lt;&gt;"",GV$5&gt;Mitarbeiter!$F$64),0,IF(Planung!GV66="",$C66,IF(ISNUMBER(Planung!GV66),Planung!GV66,IF(UPPER(Planung!GV66)="H",$C66/2,0)))))))</f>
        <v>0</v>
      </c>
      <c r="GW66" s="27">
        <f>IF($A66="",0,IF(Mitarbeiter!$G$64=FALSE,0,IF(AND(Mitarbeiter!$E$64&lt;&gt;"",GW$5+6&lt;Mitarbeiter!$E$64),0,IF(AND(Mitarbeiter!$F$64&lt;&gt;"",GW$5&gt;Mitarbeiter!$F$64),0,IF(Planung!GW66="",$C66,IF(ISNUMBER(Planung!GW66),Planung!GW66,IF(UPPER(Planung!GW66)="H",$C66/2,0)))))))</f>
        <v>0</v>
      </c>
      <c r="GX66" s="27">
        <f>IF($A66="",0,IF(Mitarbeiter!$G$64=FALSE,0,IF(AND(Mitarbeiter!$E$64&lt;&gt;"",GX$5+6&lt;Mitarbeiter!$E$64),0,IF(AND(Mitarbeiter!$F$64&lt;&gt;"",GX$5&gt;Mitarbeiter!$F$64),0,IF(Planung!GX66="",$C66,IF(ISNUMBER(Planung!GX66),Planung!GX66,IF(UPPER(Planung!GX66)="H",$C66/2,0)))))))</f>
        <v>0</v>
      </c>
      <c r="GY66" s="27">
        <f>IF($A66="",0,IF(Mitarbeiter!$G$64=FALSE,0,IF(AND(Mitarbeiter!$E$64&lt;&gt;"",GY$5+6&lt;Mitarbeiter!$E$64),0,IF(AND(Mitarbeiter!$F$64&lt;&gt;"",GY$5&gt;Mitarbeiter!$F$64),0,IF(Planung!GY66="",$C66,IF(ISNUMBER(Planung!GY66),Planung!GY66,IF(UPPER(Planung!GY66)="H",$C66/2,0)))))))</f>
        <v>0</v>
      </c>
      <c r="GZ66" s="27">
        <f>IF($A66="",0,IF(Mitarbeiter!$G$64=FALSE,0,IF(AND(Mitarbeiter!$E$64&lt;&gt;"",GZ$5+6&lt;Mitarbeiter!$E$64),0,IF(AND(Mitarbeiter!$F$64&lt;&gt;"",GZ$5&gt;Mitarbeiter!$F$64),0,IF(Planung!GZ66="",$C66,IF(ISNUMBER(Planung!GZ66),Planung!GZ66,IF(UPPER(Planung!GZ66)="H",$C66/2,0)))))))</f>
        <v>0</v>
      </c>
      <c r="HA66" s="27">
        <f>IF($A66="",0,IF(Mitarbeiter!$G$64=FALSE,0,IF(AND(Mitarbeiter!$E$64&lt;&gt;"",HA$5+6&lt;Mitarbeiter!$E$64),0,IF(AND(Mitarbeiter!$F$64&lt;&gt;"",HA$5&gt;Mitarbeiter!$F$64),0,IF(Planung!HA66="",$C66,IF(ISNUMBER(Planung!HA66),Planung!HA66,IF(UPPER(Planung!HA66)="H",$C66/2,0)))))))</f>
        <v>0</v>
      </c>
      <c r="HB66" s="27">
        <f>IF($A66="",0,IF(Mitarbeiter!$G$64=FALSE,0,IF(AND(Mitarbeiter!$E$64&lt;&gt;"",HB$5+6&lt;Mitarbeiter!$E$64),0,IF(AND(Mitarbeiter!$F$64&lt;&gt;"",HB$5&gt;Mitarbeiter!$F$64),0,IF(Planung!HB66="",$C66,IF(ISNUMBER(Planung!HB66),Planung!HB66,IF(UPPER(Planung!HB66)="H",$C66/2,0)))))))</f>
        <v>0</v>
      </c>
      <c r="HC66" s="27">
        <f>IF($A66="",0,IF(Mitarbeiter!$G$64=FALSE,0,IF(AND(Mitarbeiter!$E$64&lt;&gt;"",HC$5+6&lt;Mitarbeiter!$E$64),0,IF(AND(Mitarbeiter!$F$64&lt;&gt;"",HC$5&gt;Mitarbeiter!$F$64),0,IF(Planung!HC66="",$C66,IF(ISNUMBER(Planung!HC66),Planung!HC66,IF(UPPER(Planung!HC66)="H",$C66/2,0)))))))</f>
        <v>0</v>
      </c>
      <c r="HD66" s="27">
        <f>IF($A66="",0,IF(Mitarbeiter!$G$64=FALSE,0,IF(AND(Mitarbeiter!$E$64&lt;&gt;"",HD$5+6&lt;Mitarbeiter!$E$64),0,IF(AND(Mitarbeiter!$F$64&lt;&gt;"",HD$5&gt;Mitarbeiter!$F$64),0,IF(Planung!HD66="",$C66,IF(ISNUMBER(Planung!HD66),Planung!HD66,IF(UPPER(Planung!HD66)="H",$C66/2,0)))))))</f>
        <v>0</v>
      </c>
      <c r="HE66" s="27">
        <f>IF($A66="",0,IF(Mitarbeiter!$G$64=FALSE,0,IF(AND(Mitarbeiter!$E$64&lt;&gt;"",HE$5+6&lt;Mitarbeiter!$E$64),0,IF(AND(Mitarbeiter!$F$64&lt;&gt;"",HE$5&gt;Mitarbeiter!$F$64),0,IF(Planung!HE66="",$C66,IF(ISNUMBER(Planung!HE66),Planung!HE66,IF(UPPER(Planung!HE66)="H",$C66/2,0)))))))</f>
        <v>0</v>
      </c>
      <c r="HF66" s="27">
        <f>IF($A66="",0,IF(Mitarbeiter!$G$64=FALSE,0,IF(AND(Mitarbeiter!$E$64&lt;&gt;"",HF$5+6&lt;Mitarbeiter!$E$64),0,IF(AND(Mitarbeiter!$F$64&lt;&gt;"",HF$5&gt;Mitarbeiter!$F$64),0,IF(Planung!HF66="",$C66,IF(ISNUMBER(Planung!HF66),Planung!HF66,IF(UPPER(Planung!HF66)="H",$C66/2,0)))))))</f>
        <v>0</v>
      </c>
      <c r="HG66" s="27">
        <f>IF($A66="",0,IF(Mitarbeiter!$G$64=FALSE,0,IF(AND(Mitarbeiter!$E$64&lt;&gt;"",HG$5+6&lt;Mitarbeiter!$E$64),0,IF(AND(Mitarbeiter!$F$64&lt;&gt;"",HG$5&gt;Mitarbeiter!$F$64),0,IF(Planung!HG66="",$C66,IF(ISNUMBER(Planung!HG66),Planung!HG66,IF(UPPER(Planung!HG66)="H",$C66/2,0)))))))</f>
        <v>0</v>
      </c>
      <c r="HH66" s="27">
        <f>IF($A66="",0,IF(Mitarbeiter!$G$64=FALSE,0,IF(AND(Mitarbeiter!$E$64&lt;&gt;"",HH$5+6&lt;Mitarbeiter!$E$64),0,IF(AND(Mitarbeiter!$F$64&lt;&gt;"",HH$5&gt;Mitarbeiter!$F$64),0,IF(Planung!HH66="",$C66,IF(ISNUMBER(Planung!HH66),Planung!HH66,IF(UPPER(Planung!HH66)="H",$C66/2,0)))))))</f>
        <v>0</v>
      </c>
      <c r="HI66" s="27">
        <f>IF($A66="",0,IF(Mitarbeiter!$G$64=FALSE,0,IF(AND(Mitarbeiter!$E$64&lt;&gt;"",HI$5+6&lt;Mitarbeiter!$E$64),0,IF(AND(Mitarbeiter!$F$64&lt;&gt;"",HI$5&gt;Mitarbeiter!$F$64),0,IF(Planung!HI66="",$C66,IF(ISNUMBER(Planung!HI66),Planung!HI66,IF(UPPER(Planung!HI66)="H",$C66/2,0)))))))</f>
        <v>0</v>
      </c>
      <c r="HJ66" s="27">
        <f>IF($A66="",0,IF(Mitarbeiter!$G$64=FALSE,0,IF(AND(Mitarbeiter!$E$64&lt;&gt;"",HJ$5+6&lt;Mitarbeiter!$E$64),0,IF(AND(Mitarbeiter!$F$64&lt;&gt;"",HJ$5&gt;Mitarbeiter!$F$64),0,IF(Planung!HJ66="",$C66,IF(ISNUMBER(Planung!HJ66),Planung!HJ66,IF(UPPER(Planung!HJ66)="H",$C66/2,0)))))))</f>
        <v>0</v>
      </c>
      <c r="HK66" s="27">
        <f>IF($A66="",0,IF(Mitarbeiter!$G$64=FALSE,0,IF(AND(Mitarbeiter!$E$64&lt;&gt;"",HK$5+6&lt;Mitarbeiter!$E$64),0,IF(AND(Mitarbeiter!$F$64&lt;&gt;"",HK$5&gt;Mitarbeiter!$F$64),0,IF(Planung!HK66="",$C66,IF(ISNUMBER(Planung!HK66),Planung!HK66,IF(UPPER(Planung!HK66)="H",$C66/2,0)))))))</f>
        <v>0</v>
      </c>
      <c r="HL66" s="27">
        <f>IF($A66="",0,IF(Mitarbeiter!$G$64=FALSE,0,IF(AND(Mitarbeiter!$E$64&lt;&gt;"",HL$5+6&lt;Mitarbeiter!$E$64),0,IF(AND(Mitarbeiter!$F$64&lt;&gt;"",HL$5&gt;Mitarbeiter!$F$64),0,IF(Planung!HL66="",$C66,IF(ISNUMBER(Planung!HL66),Planung!HL66,IF(UPPER(Planung!HL66)="H",$C66/2,0)))))))</f>
        <v>0</v>
      </c>
      <c r="HM66" s="27">
        <f>IF($A66="",0,IF(Mitarbeiter!$G$64=FALSE,0,IF(AND(Mitarbeiter!$E$64&lt;&gt;"",HM$5+6&lt;Mitarbeiter!$E$64),0,IF(AND(Mitarbeiter!$F$64&lt;&gt;"",HM$5&gt;Mitarbeiter!$F$64),0,IF(Planung!HM66="",$C66,IF(ISNUMBER(Planung!HM66),Planung!HM66,IF(UPPER(Planung!HM66)="H",$C66/2,0)))))))</f>
        <v>0</v>
      </c>
      <c r="HN66" s="27">
        <f>IF($A66="",0,IF(Mitarbeiter!$G$64=FALSE,0,IF(AND(Mitarbeiter!$E$64&lt;&gt;"",HN$5+6&lt;Mitarbeiter!$E$64),0,IF(AND(Mitarbeiter!$F$64&lt;&gt;"",HN$5&gt;Mitarbeiter!$F$64),0,IF(Planung!HN66="",$C66,IF(ISNUMBER(Planung!HN66),Planung!HN66,IF(UPPER(Planung!HN66)="H",$C66/2,0)))))))</f>
        <v>0</v>
      </c>
      <c r="HO66" s="27">
        <f>IF($A66="",0,IF(Mitarbeiter!$G$64=FALSE,0,IF(AND(Mitarbeiter!$E$64&lt;&gt;"",HO$5+6&lt;Mitarbeiter!$E$64),0,IF(AND(Mitarbeiter!$F$64&lt;&gt;"",HO$5&gt;Mitarbeiter!$F$64),0,IF(Planung!HO66="",$C66,IF(ISNUMBER(Planung!HO66),Planung!HO66,IF(UPPER(Planung!HO66)="H",$C66/2,0)))))))</f>
        <v>0</v>
      </c>
      <c r="HP66" s="27">
        <f>IF($A66="",0,IF(Mitarbeiter!$G$64=FALSE,0,IF(AND(Mitarbeiter!$E$64&lt;&gt;"",HP$5+6&lt;Mitarbeiter!$E$64),0,IF(AND(Mitarbeiter!$F$64&lt;&gt;"",HP$5&gt;Mitarbeiter!$F$64),0,IF(Planung!HP66="",$C66,IF(ISNUMBER(Planung!HP66),Planung!HP66,IF(UPPER(Planung!HP66)="H",$C66/2,0)))))))</f>
        <v>0</v>
      </c>
      <c r="HQ66" s="27">
        <f>IF($A66="",0,IF(Mitarbeiter!$G$64=FALSE,0,IF(AND(Mitarbeiter!$E$64&lt;&gt;"",HQ$5+6&lt;Mitarbeiter!$E$64),0,IF(AND(Mitarbeiter!$F$64&lt;&gt;"",HQ$5&gt;Mitarbeiter!$F$64),0,IF(Planung!HQ66="",$C66,IF(ISNUMBER(Planung!HQ66),Planung!HQ66,IF(UPPER(Planung!HQ66)="H",$C66/2,0)))))))</f>
        <v>0</v>
      </c>
      <c r="HR66" s="27">
        <f>IF($A66="",0,IF(Mitarbeiter!$G$64=FALSE,0,IF(AND(Mitarbeiter!$E$64&lt;&gt;"",HR$5+6&lt;Mitarbeiter!$E$64),0,IF(AND(Mitarbeiter!$F$64&lt;&gt;"",HR$5&gt;Mitarbeiter!$F$64),0,IF(Planung!HR66="",$C66,IF(ISNUMBER(Planung!HR66),Planung!HR66,IF(UPPER(Planung!HR66)="H",$C66/2,0)))))))</f>
        <v>0</v>
      </c>
      <c r="HS66" s="27">
        <f>IF($A66="",0,IF(Mitarbeiter!$G$64=FALSE,0,IF(AND(Mitarbeiter!$E$64&lt;&gt;"",HS$5+6&lt;Mitarbeiter!$E$64),0,IF(AND(Mitarbeiter!$F$64&lt;&gt;"",HS$5&gt;Mitarbeiter!$F$64),0,IF(Planung!HS66="",$C66,IF(ISNUMBER(Planung!HS66),Planung!HS66,IF(UPPER(Planung!HS66)="H",$C66/2,0)))))))</f>
        <v>0</v>
      </c>
      <c r="HT66" s="27">
        <f>IF($A66="",0,IF(Mitarbeiter!$G$64=FALSE,0,IF(AND(Mitarbeiter!$E$64&lt;&gt;"",HT$5+6&lt;Mitarbeiter!$E$64),0,IF(AND(Mitarbeiter!$F$64&lt;&gt;"",HT$5&gt;Mitarbeiter!$F$64),0,IF(Planung!HT66="",$C66,IF(ISNUMBER(Planung!HT66),Planung!HT66,IF(UPPER(Planung!HT66)="H",$C66/2,0)))))))</f>
        <v>0</v>
      </c>
      <c r="HU66" s="27">
        <f>IF($A66="",0,IF(Mitarbeiter!$G$64=FALSE,0,IF(AND(Mitarbeiter!$E$64&lt;&gt;"",HU$5+6&lt;Mitarbeiter!$E$64),0,IF(AND(Mitarbeiter!$F$64&lt;&gt;"",HU$5&gt;Mitarbeiter!$F$64),0,IF(Planung!HU66="",$C66,IF(ISNUMBER(Planung!HU66),Planung!HU66,IF(UPPER(Planung!HU66)="H",$C66/2,0)))))))</f>
        <v>0</v>
      </c>
      <c r="HV66" s="27">
        <f>IF($A66="",0,IF(Mitarbeiter!$G$64=FALSE,0,IF(AND(Mitarbeiter!$E$64&lt;&gt;"",HV$5+6&lt;Mitarbeiter!$E$64),0,IF(AND(Mitarbeiter!$F$64&lt;&gt;"",HV$5&gt;Mitarbeiter!$F$64),0,IF(Planung!HV66="",$C66,IF(ISNUMBER(Planung!HV66),Planung!HV66,IF(UPPER(Planung!HV66)="H",$C66/2,0)))))))</f>
        <v>0</v>
      </c>
      <c r="HW66" s="27">
        <f>IF($A66="",0,IF(Mitarbeiter!$G$64=FALSE,0,IF(AND(Mitarbeiter!$E$64&lt;&gt;"",HW$5+6&lt;Mitarbeiter!$E$64),0,IF(AND(Mitarbeiter!$F$64&lt;&gt;"",HW$5&gt;Mitarbeiter!$F$64),0,IF(Planung!HW66="",$C66,IF(ISNUMBER(Planung!HW66),Planung!HW66,IF(UPPER(Planung!HW66)="H",$C66/2,0)))))))</f>
        <v>0</v>
      </c>
      <c r="HX66" s="27">
        <f>IF($A66="",0,IF(Mitarbeiter!$G$64=FALSE,0,IF(AND(Mitarbeiter!$E$64&lt;&gt;"",HX$5+6&lt;Mitarbeiter!$E$64),0,IF(AND(Mitarbeiter!$F$64&lt;&gt;"",HX$5&gt;Mitarbeiter!$F$64),0,IF(Planung!HX66="",$C66,IF(ISNUMBER(Planung!HX66),Planung!HX66,IF(UPPER(Planung!HX66)="H",$C66/2,0)))))))</f>
        <v>0</v>
      </c>
      <c r="HY66" s="27">
        <f>IF($A66="",0,IF(Mitarbeiter!$G$64=FALSE,0,IF(AND(Mitarbeiter!$E$64&lt;&gt;"",HY$5+6&lt;Mitarbeiter!$E$64),0,IF(AND(Mitarbeiter!$F$64&lt;&gt;"",HY$5&gt;Mitarbeiter!$F$64),0,IF(Planung!HY66="",$C66,IF(ISNUMBER(Planung!HY66),Planung!HY66,IF(UPPER(Planung!HY66)="H",$C66/2,0)))))))</f>
        <v>0</v>
      </c>
      <c r="HZ66" s="27">
        <f>IF($A66="",0,IF(Mitarbeiter!$G$64=FALSE,0,IF(AND(Mitarbeiter!$E$64&lt;&gt;"",HZ$5+6&lt;Mitarbeiter!$E$64),0,IF(AND(Mitarbeiter!$F$64&lt;&gt;"",HZ$5&gt;Mitarbeiter!$F$64),0,IF(Planung!HZ66="",$C66,IF(ISNUMBER(Planung!HZ66),Planung!HZ66,IF(UPPER(Planung!HZ66)="H",$C66/2,0)))))))</f>
        <v>0</v>
      </c>
      <c r="IA66" s="27">
        <f>IF($A66="",0,IF(Mitarbeiter!$G$64=FALSE,0,IF(AND(Mitarbeiter!$E$64&lt;&gt;"",IA$5+6&lt;Mitarbeiter!$E$64),0,IF(AND(Mitarbeiter!$F$64&lt;&gt;"",IA$5&gt;Mitarbeiter!$F$64),0,IF(Planung!IA66="",$C66,IF(ISNUMBER(Planung!IA66),Planung!IA66,IF(UPPER(Planung!IA66)="H",$C66/2,0)))))))</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G3"/>
  <sheetViews>
    <sheetView showGridLines="0" workbookViewId="0"/>
  </sheetViews>
  <sheetFormatPr defaultRowHeight="13.5" x14ac:dyDescent="0.25"/>
  <sheetData>
    <row r="1" spans="1:7" ht="27" x14ac:dyDescent="0.25">
      <c r="A1" s="20" t="s">
        <v>160</v>
      </c>
      <c r="B1" s="20" t="s">
        <v>45</v>
      </c>
      <c r="C1" s="20" t="s">
        <v>46</v>
      </c>
      <c r="D1" s="20" t="s">
        <v>47</v>
      </c>
      <c r="E1" s="20" t="s">
        <v>48</v>
      </c>
      <c r="G1" s="20" t="s">
        <v>43</v>
      </c>
    </row>
    <row r="2" spans="1:7" x14ac:dyDescent="0.25">
      <c r="G2" s="7" t="s">
        <v>390</v>
      </c>
    </row>
    <row r="3" spans="1:7" x14ac:dyDescent="0.25">
      <c r="G3" s="7" t="s">
        <v>160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G3"/>
  <sheetViews>
    <sheetView showGridLines="0" workbookViewId="0"/>
  </sheetViews>
  <sheetFormatPr defaultRowHeight="13.5" x14ac:dyDescent="0.25"/>
  <sheetData>
    <row r="1" spans="1:7" ht="27" x14ac:dyDescent="0.25">
      <c r="A1" s="20" t="s">
        <v>160</v>
      </c>
      <c r="B1" s="20" t="s">
        <v>45</v>
      </c>
      <c r="C1" s="20" t="s">
        <v>46</v>
      </c>
      <c r="D1" s="20" t="s">
        <v>47</v>
      </c>
      <c r="E1" s="20" t="s">
        <v>48</v>
      </c>
      <c r="G1" s="20" t="s">
        <v>43</v>
      </c>
    </row>
    <row r="2" spans="1:7" x14ac:dyDescent="0.25">
      <c r="G2" s="7" t="s">
        <v>390</v>
      </c>
    </row>
    <row r="3" spans="1:7" x14ac:dyDescent="0.25">
      <c r="G3" s="7" t="s">
        <v>160</v>
      </c>
    </row>
  </sheetData>
  <pageMargins left="0.7" right="0.7" top="0.75" bottom="0.75" header="0.3" footer="0.3"/>
</worksheet>
</file>

<file path=docMetadata/LabelInfo.xml><?xml version="1.0" encoding="utf-8"?>
<clbl:labelList xmlns:clbl="http://schemas.microsoft.com/office/2020/mipLabelMetadata">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25</vt:i4>
      </vt:variant>
    </vt:vector>
  </HeadingPairs>
  <TitlesOfParts>
    <vt:vector size="40" baseType="lpstr">
      <vt:lpstr>Cockpit</vt:lpstr>
      <vt:lpstr>PPT</vt:lpstr>
      <vt:lpstr>Anleitung</vt:lpstr>
      <vt:lpstr>Planung</vt:lpstr>
      <vt:lpstr>Mitarbeiter</vt:lpstr>
      <vt:lpstr>Verlauf</vt:lpstr>
      <vt:lpstr>KW</vt:lpstr>
      <vt:lpstr>Fakten</vt:lpstr>
      <vt:lpstr>Filter</vt:lpstr>
      <vt:lpstr>Konfiguration</vt:lpstr>
      <vt:lpstr>Ladeprotokoll</vt:lpstr>
      <vt:lpstr>Diagrammdaten</vt:lpstr>
      <vt:lpstr>Wirksam</vt:lpstr>
      <vt:lpstr>Snapshot_OPAG</vt:lpstr>
      <vt:lpstr>Snapshot_Verbund</vt:lpstr>
      <vt:lpstr>BUESchluessel</vt:lpstr>
      <vt:lpstr>F_A0</vt:lpstr>
      <vt:lpstr>F_A1</vt:lpstr>
      <vt:lpstr>F_A2</vt:lpstr>
      <vt:lpstr>F_A3</vt:lpstr>
      <vt:lpstr>F_Abgang</vt:lpstr>
      <vt:lpstr>F_Aktiv</vt:lpstr>
      <vt:lpstr>F_Eingang</vt:lpstr>
      <vt:lpstr>F_GevoNr</vt:lpstr>
      <vt:lpstr>F_GevoTyp</vt:lpstr>
      <vt:lpstr>F_Postkorb</vt:lpstr>
      <vt:lpstr>F_Quelle</vt:lpstr>
      <vt:lpstr>F_Rueckstand</vt:lpstr>
      <vt:lpstr>F_Sparte</vt:lpstr>
      <vt:lpstr>F_Stichtag</vt:lpstr>
      <vt:lpstr>GV_Aktiv</vt:lpstr>
      <vt:lpstr>GV_Liste</vt:lpstr>
      <vt:lpstr>PK_Aktiv</vt:lpstr>
      <vt:lpstr>PK_Liste</vt:lpstr>
      <vt:lpstr>PresetAktiv</vt:lpstr>
      <vt:lpstr>Cockpit!Print_Area</vt:lpstr>
      <vt:lpstr>PPT!Print_Area</vt:lpstr>
      <vt:lpstr>SP_Aktiv</vt:lpstr>
      <vt:lpstr>SP_Liste</vt:lpstr>
      <vt:lpstr>SparteZuordnung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Brenneisen, Eike</dc:creator>
  <cp:lastModifiedBy>Brenneisen, Eike</cp:lastModifiedBy>
  <dcterms:created xsi:type="dcterms:W3CDTF">2026-09-30T12:26:46Z</dcterms:created>
  <dcterms:modified xsi:type="dcterms:W3CDTF">2026-09-30T13:10:04Z</dcterms:modified>
</cp:coreProperties>
</file>