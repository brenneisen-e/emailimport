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docProps/app.xml" ContentType="application/vnd.openxmlformats-officedocument.extended-properties+xml"/>
  <Override PartName="/docProps/core.xml" ContentType="application/vnd.openxmlformats-package.core-propertie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drawings/drawing1.xml" ContentType="application/vnd.openxmlformats-officedocument.drawing+xml"/>
  <Override PartName="/xl/sharedStrings.xml" ContentType="application/vnd.openxmlformats-officedocument.spreadsheetml.sharedString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240" yWindow="15" windowWidth="16095" windowHeight="9660"/>
  </bookViews>
  <sheets>
    <sheet name="Auf einen Blick" sheetId="1" r:id="rId1"/>
    <sheet name="Umsetzung" sheetId="2" r:id="rId2"/>
    <sheet name="Vergleich" sheetId="3" r:id="rId3"/>
    <sheet name="Anlegen" sheetId="4" r:id="rId4"/>
    <sheet name="Übersicht" sheetId="5" r:id="rId5"/>
    <sheet name="Regel-Logik" sheetId="6" r:id="rId6"/>
    <sheet name="Elemente" sheetId="7" r:id="rId7"/>
    <sheet name="Zielordner" sheetId="8" r:id="rId8"/>
    <sheet name="Prüfhinweise" sheetId="9" r:id="rId9"/>
    <sheet name="Diagnose" sheetId="10" r:id="rId10"/>
    <sheet name="Live" sheetId="11" r:id="rId11"/>
    <sheet name="Sicherung" sheetId="12" r:id="rId12"/>
    <sheet name="Protokoll" sheetId="13" r:id="rId13"/>
  </sheets>
  <definedNames>
    <definedName name="_xlnm._FilterDatabase" localSheetId="9" hidden="1">Diagnose!$A$4:$M$47</definedName>
    <definedName name="_xlnm._FilterDatabase" localSheetId="6" hidden="1">Elemente!$A$1:$G$187</definedName>
    <definedName name="_xlnm._FilterDatabase" localSheetId="10" hidden="1">Live!$A$4:$N$2004</definedName>
    <definedName name="_xlnm._FilterDatabase" localSheetId="12" hidden="1">Protokoll!$A$4:$G$2004</definedName>
    <definedName name="_xlnm._FilterDatabase" localSheetId="8" hidden="1">Prüfhinweise!$A$4:$D$42</definedName>
    <definedName name="_xlnm._FilterDatabase" localSheetId="11" hidden="1">Sicherung!$A$4:$L$2004</definedName>
    <definedName name="_xlnm._FilterDatabase" localSheetId="7" hidden="1">Zielordner!$A$4:$E$41</definedName>
    <definedName name="_xlnm._FilterDatabase" localSheetId="4" hidden="1">Übersicht!$A$7:$N$50</definedName>
    <definedName name="_xlnm.Print_Area" localSheetId="0">'Auf einen Blick'!$A$1:$M$56</definedName>
    <definedName name="_xlnm.Print_Area" localSheetId="1">Umsetzung!$A$1:$L$54</definedName>
    <definedName name="_xlnm.Print_Titles" localSheetId="3">Anlegen!$10:$10</definedName>
    <definedName name="_xlnm.Print_Titles" localSheetId="9">Diagnose!$4:$4</definedName>
    <definedName name="_xlnm.Print_Titles" localSheetId="6">Elemente!$1:$1</definedName>
    <definedName name="_xlnm.Print_Titles" localSheetId="10">Live!$4:$4</definedName>
    <definedName name="_xlnm.Print_Titles" localSheetId="12">Protokoll!$4:$4</definedName>
    <definedName name="_xlnm.Print_Titles" localSheetId="8">Prüfhinweise!$4:$4</definedName>
    <definedName name="_xlnm.Print_Titles" localSheetId="5">'Regel-Logik'!$4:$4</definedName>
    <definedName name="_xlnm.Print_Titles" localSheetId="11">Sicherung!$4:$4</definedName>
    <definedName name="_xlnm.Print_Titles" localSheetId="1">Umsetzung!$17:$17</definedName>
    <definedName name="_xlnm.Print_Titles" localSheetId="2">Vergleich!$6:$6</definedName>
    <definedName name="_xlnm.Print_Titles" localSheetId="7">Zielordner!$4:$4</definedName>
    <definedName name="_xlnm.Print_Titles" localSheetId="4">Übersicht!$7:$7</definedName>
    <definedName name="UM_AUSF_ZEIT">'Umsetzung'!$H$14</definedName>
    <definedName name="UM_LIVE_ZEIT">'Live'!$A$2</definedName>
    <definedName name="UM_PLAN">'Umsetzung'!$B$18:$L$37</definedName>
    <definedName name="UM_PLANKOPF">'Umsetzung'!$B$17:$L$17</definedName>
    <definedName name="UM_PRUEFWERT">'Umsetzung'!$F$14</definedName>
    <definedName name="UM_QUELLE">'Umsetzung'!$E$11</definedName>
    <definedName name="UM_STATUS">'Umsetzung'!$E$13</definedName>
    <definedName name="UM_TROTZ">'Umsetzung'!$E$12</definedName>
    <definedName name="UM_VORSCHAU_ZEIT">'Umsetzung'!$E$14</definedName>
    <definedName name="UM_ZIEL">'Umsetzung'!$E$10</definedName>
  </definedNames>
  <calcPr calcId="124519" fullCalcOnLoad="1"/>
</workbook>
</file>

<file path=xl/sharedStrings.xml><?xml version="1.0" encoding="utf-8"?>
<sst xmlns="http://schemas.openxmlformats.org/spreadsheetml/2006/main" count="3751" uniqueCount="672">
  <si>
    <t>Outlook-Regeln – auf einen Blick</t>
  </si>
  <si>
    <t>REGELN GESAMT</t>
  </si>
  <si>
    <t>AKTIV</t>
  </si>
  <si>
    <t>DEAKTIVIERT</t>
  </si>
  <si>
    <t>greifen derzeit nicht</t>
  </si>
  <si>
    <t>NUR LOKAL</t>
  </si>
  <si>
    <t>nur bei geöffnetem Outlook</t>
  </si>
  <si>
    <t>ZIELORDNER</t>
  </si>
  <si>
    <t>per Verschieben oder Kopieren</t>
  </si>
  <si>
    <t>PRÜFHINWEISE</t>
  </si>
  <si>
    <t>Bestandsuebertragungen im Vergleich zu Maklerauftraege</t>
  </si>
  <si>
    <t>Vergleich</t>
  </si>
  <si>
    <t>Regeln</t>
  </si>
  <si>
    <t>Bedeutung</t>
  </si>
  <si>
    <t>Logik anders</t>
  </si>
  <si>
    <t>In beiden Postfächern, aber Bedingung, Aktion oder Aktiv-Status unterscheiden sich.</t>
  </si>
  <si>
    <t>Nur Ordner anders</t>
  </si>
  <si>
    <t>Gleiche Logik, nur die Zielordner heißen anders.</t>
  </si>
  <si>
    <t>Nur Bestand</t>
  </si>
  <si>
    <t>Regel gibt es nur in Bestandsuebertragungen.</t>
  </si>
  <si>
    <t>Nur Makler</t>
  </si>
  <si>
    <t>Regel gibt es nur in Maklerauftraege.</t>
  </si>
  <si>
    <t>Gleich</t>
  </si>
  <si>
    <t>Im Export identisch (Ordner ohne Postfachnamen verglichen).</t>
  </si>
  <si>
    <t>Hinweis: Der Export enthält die Bedingungen aller Regeln. Bei 5 von 43 Regeln zeigt Outlook keine Bedingung (Spalte „Bedingung lesbar“ = „keine sichtbar“), z. B. „E - KWAD – Gruppenpostfach“; „TEST | Komplett an Celonis 09.10.2026“ und 3 weitere: Sammelregel für alle übrigen Mails oder in Outlook im Web angelegt. Das Makro speichert ein Postfach mit solchen Regeln nur nach ausdrücklicher Bestätigung (Blatt Umsetzung).</t>
  </si>
  <si>
    <t>Umsetzung in Bestand</t>
  </si>
  <si>
    <t>Aufgaben</t>
  </si>
  <si>
    <t>Was heißt das?</t>
  </si>
  <si>
    <t>Aus Makler kopieren</t>
  </si>
  <si>
    <t>Fehlt in Bestand – bei Makler markieren, „Kopieren…“ nach Bestand, dann Zielordner, Name und Position anpassen.</t>
  </si>
  <si>
    <t>Anpassen</t>
  </si>
  <si>
    <t>Regel gibt es in Bestand schon – Ziel, Aktion oder Position ändern.</t>
  </si>
  <si>
    <t>Prüfen</t>
  </si>
  <si>
    <t>Erst vergleichen oder klären, ob solche Mails in Bestand eingehen – dann kopieren oder löschen.</t>
  </si>
  <si>
    <t>Klären</t>
  </si>
  <si>
    <t>Unterschiedliche Behandlung – fachlich entscheiden, bevor etwas angelegt wird.</t>
  </si>
  <si>
    <t>Info</t>
  </si>
  <si>
    <t>Unterschied ist gewollt – kein Handlungsbedarf, nur zur Einordnung.</t>
  </si>
  <si>
    <t>Zum Vergleich</t>
  </si>
  <si>
    <t>Zur Liste „Anlegen“</t>
  </si>
  <si>
    <t>Automatisch umsetzen (Makro)</t>
  </si>
  <si>
    <t>Je Postfach</t>
  </si>
  <si>
    <t>Postfach</t>
  </si>
  <si>
    <t>aktiv</t>
  </si>
  <si>
    <t>deaktiviert</t>
  </si>
  <si>
    <t>Prüfhinweise</t>
  </si>
  <si>
    <t>Bestandsuebertragungen@ergo.de</t>
  </si>
  <si>
    <t>Maklerauftraege@ergo.de</t>
  </si>
  <si>
    <t>Gesamt</t>
  </si>
  <si>
    <t>Prüfhinweise nach Kategorie</t>
  </si>
  <si>
    <t>Kategorie</t>
  </si>
  <si>
    <t>Anzahl</t>
  </si>
  <si>
    <t>Was bedeutet das?</t>
  </si>
  <si>
    <t>Datenabfluss prüfen</t>
  </si>
  <si>
    <t>Regel leitet Mails weiter oder um – Empfänger und Ziel-Domäne prüfen.</t>
  </si>
  <si>
    <t>Nur-lokale Regel</t>
  </si>
  <si>
    <t>Läuft nur, wenn genau dieses Outlook geöffnet ist – für ein Gruppenpostfach serverseitige Regel bevorzugen.</t>
  </si>
  <si>
    <t>Keine Bedingung sichtbar</t>
  </si>
  <si>
    <t>Outlook zeigt keine Bedingung – Sammelregel für alle Mails oder in Outlook im Web angelegt.</t>
  </si>
  <si>
    <t>Mehrfachziel</t>
  </si>
  <si>
    <t>Regel schreibt in mehrere Ordner, z. B. Arbeitsordner und Archiv.</t>
  </si>
  <si>
    <t>Inaktiv</t>
  </si>
  <si>
    <t>Regel ist deaktiviert und greift derzeit nicht.</t>
  </si>
  <si>
    <t>Was steht wo?</t>
  </si>
  <si>
    <t>Blatt</t>
  </si>
  <si>
    <t>Inhalt</t>
  </si>
  <si>
    <t>Bestandsuebertragungen und Maklerauftraege nebeneinander – je Regel, was gleich und was anders ist.</t>
  </si>
  <si>
    <t>Anlegen</t>
  </si>
  <si>
    <t>Was in Bestandsuebertragungen neu anzulegen oder anzupassen ist, mit Soll-Reihenfolge und Abhakspalte.</t>
  </si>
  <si>
    <t>Umsetzung</t>
  </si>
  <si>
    <t>Makro: Plan der Änderungen in Outlook – Vorschau (ändert nichts), Ausführen mit Sicherung, Sperre und Prüfung.</t>
  </si>
  <si>
    <t>Übersicht</t>
  </si>
  <si>
    <t>Alle Regeln je Postfach in Ausführungsreihenfolge – eine Zeile je Regel mit Kurzlogik und Zielordner. Grau = deaktiviert.</t>
  </si>
  <si>
    <t>Regel-Logik</t>
  </si>
  <si>
    <t>Jede Regel aufgeklappt in WENN, DANN und AUSSER WENN. Über die Gliederung links (1 | 2 | 3) lassen sich Details einklappen.</t>
  </si>
  <si>
    <t>Elemente</t>
  </si>
  <si>
    <t>Jede Bedingung, Ausnahme und Aktion als eigene Zeile – zum Filtern und Suchen.</t>
  </si>
  <si>
    <t>Zielordner</t>
  </si>
  <si>
    <t>In welche Ordner die Regeln Mails verschieben oder kopieren, mit Anzahl der Regeln je Ordner.</t>
  </si>
  <si>
    <t>Automatisch erkannte Auffälligkeiten – Grundlage für die fachliche Prüfung, Regel für Regel.</t>
  </si>
  <si>
    <t>Diagnose</t>
  </si>
  <si>
    <t>Je Regel, welche Bedingungen und Ausnahmen Outlook liefert (aktive und inaktive Typen) und ob sie lesbar sind.</t>
  </si>
  <si>
    <t>Live</t>
  </si>
  <si>
    <t>Stand der Regeln direkt aus Outlook (Knopf „Regeln aus Outlook lesen“) – mit Diagnose, ob Bedingungen lesbar sind.</t>
  </si>
  <si>
    <t>Sicherung</t>
  </si>
  <si>
    <t>Alle Regeln des Zielpostfachs vor jeder Ausführung, mit Zeitpunkt – wird nur ergänzt.</t>
  </si>
  <si>
    <t>Protokoll</t>
  </si>
  <si>
    <t>Jeder Lauf und jede Änderung in Outlook mit Zeitpunkt.</t>
  </si>
  <si>
    <t>Farben und Markierungen</t>
  </si>
  <si>
    <t>WENN  ·  Bedingung</t>
  </si>
  <si>
    <t>DANN  ·  Aktion</t>
  </si>
  <si>
    <t>AUSSER WENN  ·  Ausnahme</t>
  </si>
  <si>
    <t>Ja  ·  aktiv</t>
  </si>
  <si>
    <t>Nein  ·  deaktiviert</t>
  </si>
  <si>
    <t>Nur auf diesem Client</t>
  </si>
  <si>
    <t>Regeln mit gleichem Namen stehen sich gegenüber („Kopie von“ wird dabei ignoriert). Ordnerpfade werden ohne Postfachnamen verglichen.</t>
  </si>
  <si>
    <t>Bedingungen laut Export lesbar. „keine sichtbar“: Outlook zeigt für die Regel keine Bedingung (5 Regeln) – Sammelregel oder in Outlook im Web angelegt. „nicht im Export“ nur, wenn die Bedingung laut Spalte „Bedingung lesbar“ nicht gelesen werden konnte.</t>
  </si>
  <si>
    <t>Spalten Aktiv bis Ordner:  grau = gleich,  rot = anders,  gelb = nicht im Export.  Grau und kursiv: Regel ist deaktiviert.</t>
  </si>
  <si>
    <t>Status</t>
  </si>
  <si>
    <t>Regel</t>
  </si>
  <si>
    <t>Bestand #</t>
  </si>
  <si>
    <t>Makler #</t>
  </si>
  <si>
    <t>Aktiv</t>
  </si>
  <si>
    <t>Bedingung</t>
  </si>
  <si>
    <t>Aktion</t>
  </si>
  <si>
    <t>Ordner</t>
  </si>
  <si>
    <t>Was ist anders?</t>
  </si>
  <si>
    <t>Logik Bestandsuebertragungen</t>
  </si>
  <si>
    <t>Logik Maklerauftraege</t>
  </si>
  <si>
    <t>Logik anders  ·  6 Regeln  –  In beiden Postfächern, aber Bedingung, Aktion oder Aktiv-Status unterscheiden sich.</t>
  </si>
  <si>
    <t>Umleitung - Technische Fehler</t>
  </si>
  <si>
    <t>anders</t>
  </si>
  <si>
    <t>gleich</t>
  </si>
  <si>
    <t>Aktiv: Bestand Ja · Makler Nein
Gültigkeit: Bestand Server (immer) · Makler Nur auf diesem Client
Ordner: Bestand „Umleitung - Technischer Fehler“ · Makler (kein Ordner angegeben)</t>
  </si>
  <si>
    <t>WENN Mailtext enthält "The attached message was sent by a member of this shared mailbox. Usually, it would appear in Sent Items, but your service is currently being upgraded. Things will be back to normal after the upgrade."  DANN In Ordner verschieben \\Bestandsuebertragungen@ergo.de\Umleitung - Technischer Fehler + Keine weiteren Regeln anwenden</t>
  </si>
  <si>
    <t>WENN Mailtext enthält "The attached message was sent by a member of this shared mailbox. Usually, it would appear in Sent Items, but your service is currently being upgraded. Things will be back to normal after the upgrade."  DANN In Ordner verschieben + Keine weiteren Regeln anwenden</t>
  </si>
  <si>
    <t>Mails von BÜ-Bot, Robert (ODPB2D-EXTERN)</t>
  </si>
  <si>
    <t>Bedingung: Bestand Absender ist BÜ-Bot, Robert (ODPB2D-EXTERN); PVBHH, Bot2 (PVA15B-EXTERN); robotics - Gruppenpostfach · Makler Absender ist BÜ-Bot, Robert (ODPB2D-EXTERN); Betreff enthält "Bestandsübertragung"
Ordner: Bestand „BÜ-Bot-Mails“ · Makler „Rückläufer FL Verträge (ODPB3D)\BÜ-Bot Mails“</t>
  </si>
  <si>
    <t>WENN Absender ist BÜ-Bot, Robert (ODPB2D-EXTERN); PVBHH, Bot2 (PVA15B-EXTERN); robotics - Gruppenpostfach  DANN In Ordner verschieben \\Bestandsuebertragungen@ergo.de\BÜ-Bot-Mails + Keine weiteren Regeln anwenden</t>
  </si>
  <si>
    <t>WENN Absender ist BÜ-Bot, Robert (ODPB2D-EXTERN) UND Betreff enthält "Bestandsübertragung"  DANN In Ordner verschieben \\Maklerauftraege@ergo.de\Rückläufer FL Verträge (ODPB3D)\BÜ-Bot Mails + Keine weiteren Regeln anwenden</t>
  </si>
  <si>
    <t>Beschwerden/Prio in den Prio-Ordner</t>
  </si>
  <si>
    <t>Bedingung: Bestand Betreff enthält "Vorstandsbeschwerde", "Beschwerde", "Prio" · Makler Betreff enthält "Vorstandsbeschwerde", "Beschwerde", "Prio", "Eskalation"
Ordner: Bestand „Prio“, „Archiv\Archiv: Dopplung der Neuzugänge“ · Makler „Posteingang\Prio“, „Archiv\Archiv zu den Neuzugängen im Postfach\Beschwerden %2F Prio (Archiv)“</t>
  </si>
  <si>
    <t>WENN Betreff enthält "Vorstandsbeschwerde", "Beschwerde", "Prio"  DANN In Ordner verschieben \\Bestandsuebertragungen@ergo.de\Prio + In Ordner kopieren \\Bestandsuebertragungen@ergo.de\Archiv\Archiv: Dopplung der Neuzugänge + Keine weiteren Regeln anwenden</t>
  </si>
  <si>
    <t>WENN Betreff enthält "Vorstandsbeschwerde", "Beschwerde", "Prio", "Eskalation"  DANN In Ordner verschieben \\Maklerauftraege@ergo.de\Posteingang\Prio + In Ordner kopieren \\Maklerauftraege@ergo.de\Archiv\Archiv zu den Neuzugängen im Postfach\Beschwerden %2F Prio (Archiv) + Keine weiteren Regeln anwenden</t>
  </si>
  <si>
    <t>KV Solo</t>
  </si>
  <si>
    <t>Bedingung: Bestand Betreff enthält "KV", "DKV" · Makler Betreff enthält "DKV", "KV"
Ausnahme: Bestand keine · Makler Absender ist VL KBIDMA - Alle Mitarbeiter; VL KBIAB - Alle Mitarbeiter; VL KBIBHH - Alle Mitarbeiter; VL KBICD - Alle Mitarbeiter; VL KBIEM - Alle Mitarbeiter; VL KBIFM - Alle Mitarbeiter; VL BKHH - Alle Mitarbeiter; VL EPLD - Alle Mitarbeiter; VL FMDD - Alle Mitarbeiter; VL FMEB - Alle Mitarbeiter; KBI Haftpflicht Berlin - Gruppenpostfach; KBI Haftpflicht Duesseldorf - Gruppenpostfach; KBI Haftpflicht Hamburg - Gruppenpostfach; KBI Haftpflicht Mannheim - Gruppenpostfach; KBI Haftpflicht Muenchen - Gruppenpostfach; KBI Sach Berlin - Gruppenpostfach; KBI Sach Duesseldorf - Gruppenpostfach; KBI Sach Hamburg - Gruppenpostfach; KBI Sach Mannheim - Gruppenpostfach; KBI Sach Muenchen - Gruppenpostfach; KBI TR Berlin - Gruppenpostfach; KBI TR Duesseldorf - Gruppenpostfach; KBI TR Hamburg - Gruppenpostfach; KBI TR Mannheim - Gruppenpostfach; KBI TR Muenchen - Gruppenpostfach; KBI TV Berlin - Gruppenpostfach; KBI TV Duesseldorf - Gruppenpostfach; KBI TV Hamburg - Gruppenpostfach; KBI TV Mannheim - Gruppenpostfach; KBI TV Muenchen - Gruppenpostfach; KBI VH Berlin - Gruppenpostfach; KBI VH Duesseldorf - Gruppenpostfach; KBI VH Hamburg - Gruppenpostfach; KBI VH Mannheim - Gruppenpostfach; KBI VH Muenchen - Gruppenpostfach; Microsoft Outlook; Betreff enthält "Unzustellbar"
Aktionen: Bestand In Ordner verschieben + Weiterleiten an + Keine weiteren Regeln anwenden · Makler In Ordner verschieben + Umleiten an + Keine weiteren Regeln anwenden
Ordner: Bestand „Archiv\Archiv: Weiterleitung an KWAD“ · Makler „Archiv\Archiv zu den weitergeleiteten Mails an KWAD“</t>
  </si>
  <si>
    <t>WENN Betreff enthält "KV", "DKV"  DANN In Ordner verschieben \\Bestandsuebertragungen@ergo.de\Archiv\Archiv: Weiterleitung an KWAD + Weiterleiten an KWAD - Gruppenpostfach + Keine weiteren Regeln anwenden</t>
  </si>
  <si>
    <t>WENN Betreff enthält "DKV", "KV"  DANN In Ordner verschieben \\Maklerauftraege@ergo.de\Archiv\Archiv zu den weitergeleiteten Mails an KWAD + Umleiten an KWAD - Gruppenpostfach + Keine weiteren Regeln anwenden  AUSSER WENN Absender ist VL KBIDMA - Alle Mitarbeiter; VL KBIAB - Alle Mitarbeiter; VL KBIBHH - Alle Mitarbeiter; VL KBICD - Alle Mitarbeiter; VL KBIEM - Alle Mitarbeiter; VL KBIFM - Alle Mitarbeiter; VL BKHH - Alle Mitarbeiter; VL EPLD - Alle Mitarbeiter; VL FMDD - Alle Mitarbeiter; VL FMEB - Alle Mitarbeiter; KBI Haftpflicht Berlin - Gruppenpostfach; KBI Haftpflicht Duesseldorf - Gruppenpostfach; KBI Haftpflicht Hamburg - Gruppenpostfach; KBI Haftpflicht Mannheim - Gruppenpostfach; KBI Haftpflicht Muenchen - Gruppenpostfach; KBI Sach Berlin - Gruppenpostfach; KBI Sach Duesseldorf - Gruppenpostfach; KBI Sach Hamburg - Gruppenpostfach; KBI Sach Mannheim - Gruppenpostfach; KBI Sa...</t>
  </si>
  <si>
    <t>E - KWAD – Gruppenpostfach</t>
  </si>
  <si>
    <t>Ausnahme: Bestand keine · Makler Absender ist Microsoft Outlook; Betreff enthält "Unzustellbar", "Nachrichtenrückruf erfolgreich:", "Nachrichtenrückruf fehlgeschlagen:", "Papierakte"
Ordner: Bestand „Archiv\Archiv: Weiterleitung an KWAD“ · Makler „Archiv\Archiv zu den weitergeleiteten Mails an KWAD“</t>
  </si>
  <si>
    <t>WENN keine Bedingung sichtbar (gilt für alle Mails oder in Outlook im Web angelegt – dort prüfen)  DANN In Ordner verschieben \\Bestandsuebertragungen@ergo.de\Archiv\Archiv: Weiterleitung an KWAD + Umleiten an KWAD - Gruppenpostfach + Keine weiteren Regeln anwenden</t>
  </si>
  <si>
    <t>WENN keine Bedingung sichtbar (gilt für alle Mails oder in Outlook im Web angelegt – dort prüfen)  DANN In Ordner verschieben \\Maklerauftraege@ergo.de\Archiv\Archiv zu den weitergeleiteten Mails an KWAD + Umleiten an KWAD - Gruppenpostfach + Keine weiteren Regeln anwenden  AUSSER WENN Absender ist Microsoft Outlook ODER Betreff enthält "Unzustellbar", "Nachrichtenrückruf erfolgreich:", "Nachrichtenrückruf fehlgeschlagen:", "Papierakte"</t>
  </si>
  <si>
    <t>TEST | Komplett an Celonis 09.10.2026</t>
  </si>
  <si>
    <t>Empfänger: Bestand Celonis_Bue_Makler - Gruppenpostfach · Makler Celonis_Bue_Makler - Gruppenpostfach; Celonis_Bue_Makler - Gruppenpostfach
Ordner: Bestand „BÜ-Archiv: Weitergeleiteten Mails an Celonis“ · Makler „Archiv\Archiv zu den weitergeleiteten Mails an Celonis“</t>
  </si>
  <si>
    <t>WENN keine Bedingung sichtbar (gilt für alle Mails oder in Outlook im Web angelegt – dort prüfen)  DANN In Ordner verschieben \\Bestandsuebertragungen@ergo.de\BÜ-Archiv: Weitergeleiteten Mails an Celonis + Umleiten an Celonis_Bue_Makler - Gruppenpostfach + Keine weiteren Regeln anwenden  AUSSER WENN Absender ist Microsoft Outlook ODER Betreff enthält "Unzustellbar", "Nachrichtenrückruf erfolgreich:", "Nachrichtenrückruf fehlgeschlagen:", "Papierakte"</t>
  </si>
  <si>
    <t>WENN keine Bedingung sichtbar (gilt für alle Mails oder in Outlook im Web angelegt – dort prüfen)  DANN In Ordner verschieben \\Maklerauftraege@ergo.de\Archiv\Archiv zu den weitergeleiteten Mails an Celonis + Umleiten an Celonis_Bue_Makler - Gruppenpostfach; Celonis_Bue_Makler - Gruppenpostfach + Keine weiteren Regeln anwenden  AUSSER WENN Absender ist Microsoft Outlook ODER Betreff enthält "Unzustellbar", "Nachrichtenrückruf erfolgreich:", "Nachrichtenrückruf fehlgeschlagen:", "Papierakte"</t>
  </si>
  <si>
    <t>Nur Ordner anders  ·  8 Regeln  –  Gleiche Logik, nur die Zielordner heißen anders.</t>
  </si>
  <si>
    <t>Automatische Antworten aussortieren</t>
  </si>
  <si>
    <t>Name: Bestand „Kopie von Automatische Antworten aussortieren“ · Makler „Automatische Antworten aussortieren“
Achtung: Zielordner von Bestand liegt im Postfach Maklerauftraege@ergo.de</t>
  </si>
  <si>
    <t>WENN Formular / Nachrichtenklasse "IPM.Note.Rules.OofTemplate.Microsoft"  DANN In Ordner verschieben \\Maklerauftraege@ergo.de\Archiv\Auotmatische Antworten + Keine weiteren Regeln anwenden</t>
  </si>
  <si>
    <t>eBIS-Kennzeichnung konnte nicht umgesetzt werden</t>
  </si>
  <si>
    <t>Ordner: Bestand „Archiv\Archiv: BeMaS-Kennzeichen konnte nicht gesetzt werden“ · Makler „Archiv\EBIS %2F BeMAs“</t>
  </si>
  <si>
    <t>WENN Betreff enthält "BeMaS-Kennzeichnung konnte nicht umgesetzt werden", "BeMaS-Kennzeichnung"  DANN In Ordner verschieben \\Bestandsuebertragungen@ergo.de\Archiv\Archiv: BeMaS-Kennzeichen konnte nicht gesetzt werden + Keine weiteren Regeln anwenden</t>
  </si>
  <si>
    <t>WENN Betreff enthält "BeMaS-Kennzeichnung konnte nicht umgesetzt werden", "BeMaS-Kennzeichnung"  DANN In Ordner verschieben \\Maklerauftraege@ergo.de\Archiv\EBIS %2F BeMAs + Keine weiteren Regeln anwenden</t>
  </si>
  <si>
    <t>eBIS-Kennzeichnung - Verteilung erfrderlich / neu an KWAD</t>
  </si>
  <si>
    <t>Ordner: Bestand „Archiv\Archiv: BeMaS an KWAD“ · Makler „Archiv\BeMaS an KWAD“</t>
  </si>
  <si>
    <t>WENN Gesendet an MaKoop Bestandsuebertragungen - Gruppenpostfach; ERGO Maklervertrieb - Gruppenpostfach UND Betreff enthält "BeMaS-Kennzeichnung", "BeMaS-Kennzeichnung konnte nicht umgesetzt werden"  DANN In Ordner verschieben \\Bestandsuebertragungen@ergo.de\Archiv\Archiv: BeMaS an KWAD + Umleiten an KWAD - Gruppenpostfach + Keine weiteren Regeln anwenden  AUSSER WENN Gesendet an VL KBIGD - Alle Mitarbeiter; VL ODPB3D - Alle Mitarbeiter; VL PVAK - Alle Mitarbeiter; VL PVAK-Externe - Alle Mitarbeiter; VL PVBHH - Alle Mitarbeiter; VL PVBHH-Externe - Alle Mitarbeiter; VL ODSUD - Alle Mitarbeiter</t>
  </si>
  <si>
    <t>WENN Gesendet an MaKoop Bestandsuebertragungen - Gruppenpostfach; ERGO Maklervertrieb - Gruppenpostfach UND Betreff enthält "BeMaS-Kennzeichnung", "BeMaS-Kennzeichnung konnte nicht umgesetzt werden"  DANN In Ordner verschieben \\Maklerauftraege@ergo.de\Archiv\BeMaS an KWAD + Umleiten an KWAD - Gruppenpostfach + Keine weiteren Regeln anwenden  AUSSER WENN Gesendet an VL KBIGD - Alle Mitarbeiter; VL ODPB3D - Alle Mitarbeiter; VL PVAK - Alle Mitarbeiter; VL PVAK-Externe - Alle Mitarbeiter; VL PVBHH - Alle Mitarbeiter; VL PVBHH-Externe - Alle Mitarbeiter; VL ODSUD - Alle Mitarbeiter</t>
  </si>
  <si>
    <t>Umleitung FL Verträge an VSLV3D</t>
  </si>
  <si>
    <t>Ordner: Bestand „Archiv\Archiv: Weitergeleiteten Mails zu FL an VSLV3“ · Makler „Rückläufer FL Verträge (ODPB3D)“</t>
  </si>
  <si>
    <t>WENN Absender ist VL EPLK - Alle Mitarbeiter; E - KWAD – Gruppenpostfach; KSC - Gruppenpostfach; VL FMEB - Alle Mitarbeiter; VL VSLB4D - Alle Mitarbeiter; VL LKEM4HH - Alle Mitarbeiter; VL LKEM5HH - Alle Mitarbeiter; Leben-Klassik - Gruppenpostfach UND Betreff oder Mailtext enthält "FL0", "FL1", "FL2", "FL3", "FL4", "FL5", "FL6", "FL7", "FL8", "FL9", "FL"  DANN In Ordner verschieben \\Bestandsuebertragungen@ergo.de\Archiv\Archiv: Weitergeleiteten Mails zu FL an VSLV3 + Weiterleiten an VSLV3 D - Gruppenpostfach + Keine weiteren Regeln anwenden</t>
  </si>
  <si>
    <t>WENN Absender ist VL EPLK - Alle Mitarbeiter; E - KWAD – Gruppenpostfach; KSC - Gruppenpostfach; VL FMEB - Alle Mitarbeiter; VL VSLB4D - Alle Mitarbeiter; VL LKEM4HH - Alle Mitarbeiter; VL LKEM5HH - Alle Mitarbeiter; Leben-Klassik - Gruppenpostfach UND Betreff oder Mailtext enthält "FL0", "FL1", "FL2", "FL3", "FL4", "FL5", "FL6", "FL7", "FL8", "FL9", "FL"  DANN In Ordner verschieben \\Maklerauftraege@ergo.de\Rückläufer FL Verträge (ODPB3D) + Weiterleiten an VSLV3 D - Gruppenpostfach + Keine weiteren Regeln anwenden</t>
  </si>
  <si>
    <t>KWAD-Rückläufer: EPL / KWAD / KVC /  LKEM</t>
  </si>
  <si>
    <t>Ordner: Bestand „KWAD-Rückläufer“, „Archiv\Archiv: Dopplung der Neuzugänge“ · Makler „KWAD-Rückläufer“, „Archiv\Archiv zu den Neuzugängen im Postfach\EPL (Archiv)“</t>
  </si>
  <si>
    <t>WENN Absender ist VL EPLK - Alle Mitarbeiter; E - KWAD – Gruppenpostfach; KSC - Gruppenpostfach; VL FMEB - Alle Mitarbeiter; VL VSLB4D - Alle Mitarbeiter; VL LKEM4HH - Alle Mitarbeiter; VL LKEM5HH - Alle Mitarbeiter; Leben-Klassik - Gruppenpostfach  DANN In Ordner verschieben \\Bestandsuebertragungen@ergo.de\KWAD-Rückläufer + In Ordner kopieren \\Bestandsuebertragungen@ergo.de\Archiv\Archiv: Dopplung der Neuzugänge + Keine weiteren Regeln anwenden</t>
  </si>
  <si>
    <t>WENN Absender ist VL EPLK - Alle Mitarbeiter; E - KWAD – Gruppenpostfach; KSC - Gruppenpostfach; VL FMEB - Alle Mitarbeiter; VL VSLB4D - Alle Mitarbeiter; VL LKEM4HH - Alle Mitarbeiter; VL LKEM5HH - Alle Mitarbeiter; Leben-Klassik - Gruppenpostfach  DANN In Ordner verschieben \\Maklerauftraege@ergo.de\KWAD-Rückläufer + In Ordner kopieren \\Maklerauftraege@ergo.de\Archiv\Archiv zu den Neuzugängen im Postfach\EPL (Archiv) + Keine weiteren Regeln anwenden</t>
  </si>
  <si>
    <t>Rückfelder FL Verträge (von VSLV3 D - Gruppenpostfach)</t>
  </si>
  <si>
    <t>Ordner: Bestand „Rückläufer EPL und FL Verträge“, „Archiv\Archiv: Dopplung der Neuzugänge“ · Makler „Rückläufer FL Verträge (ODPB3D)“, „Archiv\Archiv zu den Neuzugängen im Postfach\FL Rückläufer (Archiv - neu)“</t>
  </si>
  <si>
    <t>WENN Absender ist VSLV3 D - Gruppenpostfach; info@ergo-vorsorge.de; AktivRente - Gruppenpostfach; VSLVD - Gruppenpostfach; info@vorsorge-leben.de; VL VSLV3D - Alle Mitarbeiter; info@ergo-life.com; zz service(Vorsorge-Internet)  DANN In Ordner verschieben \\Bestandsuebertragungen@ergo.de\Rückläufer EPL und FL Verträge + In Ordner kopieren \\Bestandsuebertragungen@ergo.de\Archiv\Archiv: Dopplung der Neuzugänge + Keine weiteren Regeln anwenden</t>
  </si>
  <si>
    <t>WENN Absender ist VSLV3 D - Gruppenpostfach; info@ergo-vorsorge.de; AktivRente - Gruppenpostfach; VSLVD - Gruppenpostfach; info@vorsorge-leben.de; VL VSLV3D - Alle Mitarbeiter; info@ergo-life.com; zz service(Vorsorge-Internet)  DANN In Ordner verschieben \\Maklerauftraege@ergo.de\Rückläufer FL Verträge (ODPB3D) + In Ordner kopieren \\Maklerauftraege@ergo.de\Archiv\Archiv zu den Neuzugängen im Postfach\FL Rückläufer (Archiv - neu) + Keine weiteren Regeln anwenden</t>
  </si>
  <si>
    <t>Papierakten (keine eAkte)</t>
  </si>
  <si>
    <t>Ordner: Bestand „Papierakten“, „Archiv\Archiv: Dopplung der Neuzugänge“ · Makler „Papierakten (KBIG)“, „Archiv\Archiv zu den Neuzugängen im Postfach\KBI (Archiv)“</t>
  </si>
  <si>
    <t>WENN Betreff enthält "Achtung Papierakte – KEIN EDM-Vorgang – bitte nicht an KWAD senden", "Achtung Papierakte"  DANN In Ordner verschieben \\Bestandsuebertragungen@ergo.de\Papierakten + In Ordner kopieren \\Bestandsuebertragungen@ergo.de\Archiv\Archiv: Dopplung der Neuzugänge + Keine weiteren Regeln anwenden</t>
  </si>
  <si>
    <t>WENN Betreff enthält "Achtung Papierakte – KEIN EDM-Vorgang – bitte nicht an KWAD senden", "Achtung Papierakte"  DANN In Ordner verschieben \\Maklerauftraege@ergo.de\Papierakten (KBIG) + In Ordner kopieren \\Maklerauftraege@ergo.de\Archiv\Archiv zu den Neuzugängen im Postfach\KBI (Archiv) + Keine weiteren Regeln anwenden</t>
  </si>
  <si>
    <t>Papierakten - Rückläufer aus KBI 'klassik" (keine eAkte)</t>
  </si>
  <si>
    <t>WENN Absender ist KBI Haftpflicht Berlin - Gruppenpostfach; KBI Haftpflicht Duesseldorf - Gruppenpostfach; KBI Haftpflicht Hamburg - Gruppenpostfach; KBI Haftpflicht Mannheim - Gruppenpostfach; KBI Haftpflicht Muenchen - Gruppenpostfach; KBI Sach Berlin - Gruppenpostfach; KBI Sach Duesseldorf - Gruppenpostfach; KBI Sach Hamburg - Gruppenpostfach; KBI Sach Mannheim - Gruppenpostfach; KBI Sach Muenchen - Gruppenpostfach; KBI TR Berlin - Gruppenpostfach; KBI TR Duesseldorf - Gruppenpostfach; KBI TR Hamburg - Gruppenpostfach; KBI TR Mannheim - Gruppenpostfach; KBI TR Muenchen - Gruppenpostfach; KBI TV Berlin - Gruppenpostfach; KBI TV Duesseldorf - Gruppenpostfach; KBI TV Hamburg - Gruppenpostfach; KBI TV Mannheim - Gruppenpostfach; KBI TV Muenchen - Gruppenpostfach; KBI VH Berlin - Gruppenpostfach; KBI VH Duesseldorf - Gruppenpostfach; KBI VH Hamburg - Gruppenpostfach; KBI VH Mannheim - G...</t>
  </si>
  <si>
    <t>Nur Bestand  ·  4 Regeln  –  Regel gibt es nur in Bestandsuebertragungen.</t>
  </si>
  <si>
    <t>Service Team Vermittlerverwaltung - Makler u Koop - Gruppenpostfach</t>
  </si>
  <si>
    <t>–</t>
  </si>
  <si>
    <t>Gibt es nur in Bestandsuebertragungen.</t>
  </si>
  <si>
    <t>WENN Absender ist Service Team Vermittlerverwaltung - Makler u Koop - Gruppenpostfach UND Betreff enthält "offener Provisionsvertrag"  DANN In Ordner verschieben \\Bestandsuebertragungen@ergo.de\Ablösebuchungen offen (PV nicht aktiviert) + Keine weiteren Regeln anwenden</t>
  </si>
  <si>
    <t>PVB, Bot 1 (PVBHH-EXTERN)</t>
  </si>
  <si>
    <t>WENN Absender ist PVB, Bot 1 (PVBHH-EXTERN) UND Betreff enthält "Vorabinfo"  DANN In Ordner verschieben \\Bestandsuebertragungen@ergo.de\Archiv\Archiv: Vorabinfo + Keine weiteren Regeln anwenden</t>
  </si>
  <si>
    <t>Automatische Antworten aussortieren (2)</t>
  </si>
  <si>
    <t>Gibt es nur in Bestandsuebertragungen.
Verwandt: Makler #1 „Automatische Antworten aussortieren“ (ähnlicher Name)
Verwandt: Makler #2 „Automatische Antworten 1zu1 aussortieren“ (ähnlicher Name)</t>
  </si>
  <si>
    <t>WENN Betreff enthält "[EXTERN] Vielen Dank für Ihre Mail:", "[EXTERN] Wir haben Ihre Nachricht erhalten:"  DANN In Ordner verschieben \\Bestandsuebertragungen@ergo.de\Archiv\No Reply Mails etc. + Keine weiteren Regeln anwenden  AUSSER WENN Betreff enthält "AW:", "RE:", "WG:"</t>
  </si>
  <si>
    <t>CCPI mit Anlagen "hell"</t>
  </si>
  <si>
    <t>Gibt es nur in Bestandsuebertragungen.
Verwandt: Makler #15 „Umleitung CCPI an Vermittlerwaltung - Anfragen zur Klärung von BVP-Ansprüchen nach BÜ“ (gleiche Bedingung: Absender ist VL CCPID - Alle Mitarbeiter)</t>
  </si>
  <si>
    <t>WENN Absender ist VL CCPID - Alle Mitarbeiter UND Hat Anhang  DANN In Ordner verschieben \\Bestandsuebertragungen@ergo.de\CCPI + In Ordner kopieren \\Bestandsuebertragungen@ergo.de\Archiv\Archiv: Dopplung der Neuzugänge + Keine weiteren Regeln anwenden</t>
  </si>
  <si>
    <t>Nur Makler  ·  11 Regeln  –  Regel gibt es nur in Maklerauftraege.</t>
  </si>
  <si>
    <t>Automatische Antworten 1zu1 aussortieren</t>
  </si>
  <si>
    <t>Gibt es nur in Maklerauftraege.
Verwandt: Bestand #1 „Kopie von Automatische Antworten aussortieren“ (ähnlicher Name)
Verwandt: Bestand #4 „Automatische Antworten aussortieren (2)“ (ähnlicher Name)</t>
  </si>
  <si>
    <t>WENN Absender ist noreply@1zu1.ag UND Mailtext enthält "Diese E-Mail wurde automatisch generiert."  DANN In Ordner verschieben \\Maklerauftraege@ergo.de\Archiv\Auotmatische Antworten + Keine weiteren Regeln anwenden</t>
  </si>
  <si>
    <t>TEST | Fonds Finanz an Celonis | 10.09.2026</t>
  </si>
  <si>
    <t>Gibt es nur in Maklerauftraege.</t>
  </si>
  <si>
    <t>WENN Absenderadresse enthält "@fondsfinanz.de"  DANN In Ordner verschieben \\Maklerauftraege@ergo.de\Archiv\Archiv zu den weitergeleiteten Mails an Celonis + Umleiten an Celonis_Bue_Makler - Gruppenpostfach + Keine weiteren Regeln anwenden</t>
  </si>
  <si>
    <t>Eskalations-GPF in den Prio-Ordner</t>
  </si>
  <si>
    <t>WENN Absender ist Eskalation Strategische Partner Bestandsuebertragu - Gruppenpostfach  DANN In Ordner verschieben \\Maklerauftraege@ergo.de\Posteingang\Prio + In Ordner kopieren \\Maklerauftraege@ergo.de\Archiv\Archiv zu den Neuzugängen im Postfach\Beschwerden %2F Prio (Archiv) + Keine weiteren Regeln anwenden</t>
  </si>
  <si>
    <t>Erinnerungen JungDMS in einen Unterordner</t>
  </si>
  <si>
    <t>WENN Absenderadresse enthält "jungdms" UND Betreff enthält "Erinnerung"  DANN In Ordner verschieben \\Maklerauftraege@ergo.de\Archiv\Erinnerung JungDMS + Keine weiteren Regeln anwenden</t>
  </si>
  <si>
    <t>Erinnerungen Qualitypool in einen Unterordner</t>
  </si>
  <si>
    <t>WENN Absenderadresse enthält "qualitypool" UND Betreff enthält "Erinnerung"  DANN In Ordner verschieben \\Maklerauftraege@ergo.de\Archiv\Erinnerungen Qualitypool + Keine weiteren Regeln anwenden</t>
  </si>
  <si>
    <t>KV@Qualitypool in einen Unterordner</t>
  </si>
  <si>
    <t>WENN Absenderadresse enthält "kv@qualitypool.de"  DANN In Ordner verschieben \\Maklerauftraege@ergo.de\Archiv\KV Qualitypool + Keine weiteren Regeln anwenden</t>
  </si>
  <si>
    <t>Erinnerungen FondsFinanz in einen Unterordner</t>
  </si>
  <si>
    <t>WENN Absenderadresse enthält "fondsfinanz" UND Betreff enthält "Erinnerung"  DANN In Ordner verschieben \\Maklerauftraege@ergo.de\Archiv\Erinnerungen Fonds Finanz + Keine weiteren Regeln anwenden</t>
  </si>
  <si>
    <t>Umleitung CCPI an Vermittlerwaltung - Anfragen zur Klärung von BVP-Ansprüchen nach BÜ</t>
  </si>
  <si>
    <t>Gibt es nur in Maklerauftraege.
Verwandt: Bestand #11 „CCPI mit Anlagen "hell"“ (gleiche Bedingung: Absender ist VL CCPID - Alle Mitarbeiter)</t>
  </si>
  <si>
    <t>WENN Absender ist VL CCPID - Alle Mitarbeiter  DANN In Ordner verschieben \\Maklerauftraege@ergo.de\Archiv\Archiv zu den Neuzugängen im Postfach\CCPI (Archiv - weiter an Verwaltung) + Umleiten an Service Team Vermittlerverwaltung - Makler u Koop - Gruppenpostfach + Keine weiteren Regeln anwenden</t>
  </si>
  <si>
    <t>KWAD-Rückläufer: EPL / KWAD / KVC /  LKEM (an Verwaltung)</t>
  </si>
  <si>
    <t>Gibt es nur in Maklerauftraege.
Verwandt: Bestand #10 „Umleitung FL Verträge an VSLV3D“ (gleiche Bedingung: Absender ist VL EPLK - Alle Mitarbeiter; E - KWAD – Gruppenpostfach; KSC - Gruppenpostfach; VL FMEB - Alle Mitarbeiter; VL VSLB4D - Alle Mitarbeiter; VL LKEM4HH - Alle Mitarbeiter; VL LKEM5HH - Alle Mitarbeiter; Leben-Klassik - Gruppenpostfach)
Verwandt: Bestand #12 „KWAD-Rückläufer: EPL / KWAD / KVC /  LKEM“ (gleiche Bedingung: Absender ist VL EPLK - Alle Mitarbeiter; E - KWAD – Gruppenpostfach; KSC - Gruppenpostfach; VL FMEB - Alle Mitarbeiter; VL VSLB4D - Alle Mitarbeiter; VL LKEM4HH - Alle Mitarbeiter; VL LKEM5HH - Alle Mitarbeiter; Leben-Klassik - Gruppenpostfach)</t>
  </si>
  <si>
    <t>WENN Absender ist VL EPLK - Alle Mitarbeiter; E - KWAD – Gruppenpostfach; KSC - Gruppenpostfach; VL FMEB - Alle Mitarbeiter; VL VSLB4D - Alle Mitarbeiter; VL LKEM4HH - Alle Mitarbeiter; VL LKEM5HH - Alle Mitarbeiter; Leben-Klassik - Gruppenpostfach UND Betreff enthält "Anschrift", "Adresse", "Bankverbindung", "Adressänderung", "Makleranbindung", "Rufnummer", "Verschmelzung"  DANN In Ordner verschieben \\Maklerauftraege@ergo.de\Archiv\Archiv zu den Neuzugängen im Postfach\EPL (Archiv) + Umleiten an Service Team Vermittlerverwaltung - Makler u Koop - Gruppenpostfach + Keine weiteren Regeln anwenden</t>
  </si>
  <si>
    <t>Teil/Gesamt-BÜ an Vermittlerverwaltung</t>
  </si>
  <si>
    <t>WENN Betreff enthält "Teilbestand", "Sammel-Bestandsübertragung in den VEMA-Pool", "Gesamt-BÜ", "Teil-BÜ", "Gesamt-Bestandsübertragung", "Teil-Bestandsübertragung"  DANN In Ordner verschieben \\Maklerauftraege@ergo.de\Archiv\Teil%2FGesamt-BÜ nicht an KWAD sondern an Verwaltung + Umleiten an Service Team Vermittlerverwaltung - Makler u Koop - Gruppenpostfach + Keine weiteren Regeln anwenden</t>
  </si>
  <si>
    <t>KI BOT | Weiterleiten an E - KWAD – Gruppenpostfach</t>
  </si>
  <si>
    <t>WENN keine Bedingung sichtbar (gilt für alle Mails oder in Outlook im Web angelegt – dort prüfen)  DANN In Ordner verschieben \\Maklerauftraege@ergo.de\Archiv\Archiv zu den weitergeleiteten Mails an KWAD + Weiterleiten an KWAD - Gruppenpostfach + Keine weiteren Regeln anwenden  AUSSER WENN Absender ist Microsoft Outlook ODER Betreff enthält "Unzustellbar", "Nachrichtenrückruf erfolgreich:", "Nachrichtenrückruf fehlgeschlagen:", "Papierakte"</t>
  </si>
  <si>
    <t>Was ist in Bestandsuebertragungen anzulegen?</t>
  </si>
  <si>
    <t>Vorschläge aus dem Vergleich mit Maklerauftraege (Export vom 08.10.2026 20:28). Pfade sind schon auf Bestandsuebertragungen@ergo.de umgestellt.</t>
  </si>
  <si>
    <t>Bedingungen nicht abtippen: Regeln bei Maklerauftraege mit „Kopieren…“ nach Bestandsuebertragungen kopieren – Bedingungen und Ausnahmen kommen vollständig mit (auch die, die der Export nicht zeigt). Danach nur Zielordner, Name und Position anpassen.</t>
  </si>
  <si>
    <t>So geht’s (Outlook: Datei › Regeln und Benachrichtigungen verwalten)</t>
  </si>
  <si>
    <t>1.  Oben „Änderungen in diesem Ordner anwenden: Posteingang [maklerauftraege@ergo.de]“ wählen, die Vorbild-Regel markieren, „Kopieren…“ klicken und als Ziel „Posteingang [bestandsuebertragungen@ergo.de]“ wählen.</t>
  </si>
  <si>
    <t>2.  Oben auf „Posteingang [bestandsuebertragungen@ergo.de]“ wechseln, die Kopie markieren, „Regel ändern“: Zielordner wie in Spalte DANN setzen (Ordner aus „Ordner vorher anlegen“ zuerst anlegen), „Kopie von“ aus dem Namen streichen.</t>
  </si>
  <si>
    <t>3.  Mit den Pfeilen auf die Soll-Position schieben – die Reihenfolge zählt, weil alle Regeln „Keine weiteren Regeln anwenden“ setzen (Soll-Reihenfolge unten).</t>
  </si>
  <si>
    <t>4.  In Spalte „Erledigt“ den Stand eintragen.</t>
  </si>
  <si>
    <t>Automatisch umsetzen: Blatt „Umsetzung“ (Makro) – die Vorschau zeigt jeden Schritt, bevor etwas geändert wird.</t>
  </si>
  <si>
    <t>Nr</t>
  </si>
  <si>
    <t>Was</t>
  </si>
  <si>
    <t>Regel in Bestandsuebertragungen</t>
  </si>
  <si>
    <t>Soll-Pos.</t>
  </si>
  <si>
    <t>Vorbild in Maklerauftraege</t>
  </si>
  <si>
    <t>WENN (Bedingung)</t>
  </si>
  <si>
    <t>AUSSER WENN</t>
  </si>
  <si>
    <t>DANN (Aktionen)</t>
  </si>
  <si>
    <t>Ordner vorher anlegen</t>
  </si>
  <si>
    <t>Warum</t>
  </si>
  <si>
    <t>Erledigt</t>
  </si>
  <si>
    <t>Automatische Antworten aussortieren
(bisher #1 „Kopie von Automatische Antworten aussortieren“)</t>
  </si>
  <si>
    <t>Makler #1 „Automatische Antworten aussortieren“</t>
  </si>
  <si>
    <t>bleibt – schon identisch mit Makler #1:
Formular / Nachrichtenklasse "IPM.Note.Rules.OofTemplate.Microsoft"</t>
  </si>
  <si>
    <t>In Ordner verschieben \\Bestandsuebertragungen@ergo.de\Archiv\Automatische Antworten
+ Keine weiteren Regeln anwenden</t>
  </si>
  <si>
    <t>\\Bestandsuebertragungen@ergo.de\Archiv\Automatische Antworten</t>
  </si>
  <si>
    <t>Das Ziel zeigt noch ins Postfach Maklerauftraege (\\Maklerauftraege@ergo.de\Archiv\Auotmatische Antworten) – beim Kopieren nicht umgestellt. Neues Ziel ist der Bestand-Ordner Archiv\Automatische Antworten (wird angelegt, bewusst richtig geschrieben; der Makler-Ordner heißt „Auotmatische Antworten“). „Kopie von“ aus dem Namen streichen.</t>
  </si>
  <si>
    <t>offen</t>
  </si>
  <si>
    <t>Makler #2 „Automatische Antworten 1zu1 aussortieren“</t>
  </si>
  <si>
    <t>Absender ist noreply@1zu1.ag
Mailtext enthält "Diese E-Mail wurde automatisch generiert."
(kommt beim Kopieren mit)</t>
  </si>
  <si>
    <t>– (wie oben)</t>
  </si>
  <si>
    <t>Fehlt in Bestand. Bei Makler steht sie direkt hinter „Automatische Antworten aussortieren“; gleicher Zielordner wie dort.</t>
  </si>
  <si>
    <t>Automatische Antworten aussortieren (2)
(bisher #4)</t>
  </si>
  <si>
    <t>– (gibt es nur in Bestand)</t>
  </si>
  <si>
    <t>unverändert:
Betreff enthält "[EXTERN] Vielen Dank für Ihre Mail:", "[EXTERN] Wir haben Ihre Nachricht erhalten:"</t>
  </si>
  <si>
    <t>Betreff enthält "AW:", "RE:", "WG:"</t>
  </si>
  <si>
    <t>In Ordner verschieben \\Bestandsuebertragungen@ergo.de\Archiv\No Reply Mails etc.
+ Keine weiteren Regeln anwenden</t>
  </si>
  <si>
    <t>Regel bleibt (eigene Bedingung, Ziel unverändert) – nur direkt hinter „Automatische Antworten 1zu1 aussortieren“ schieben. Bisher laufen #2 „Service Team Vermittlerverwaltung - Makler u Koop - Gruppenpostfach“ und #3 „PVB, Bot 1 (PVBHH-EXTERN)“ vorher, beide mit „Keine weiteren Regeln anwenden“.</t>
  </si>
  <si>
    <t>Makler #8 „Eskalations-GPF in den Prio-Ordner“</t>
  </si>
  <si>
    <t>Absender ist Eskalation Strategische Partner Bestandsuebertragu - Gruppenpostfach
(kommt beim Kopieren mit)</t>
  </si>
  <si>
    <t>In Ordner verschieben \\Bestandsuebertragungen@ergo.de\Prio
+ In Ordner kopieren \\Bestandsuebertragungen@ergo.de\Archiv\Archiv: Dopplung der Neuzugänge
+ Keine weiteren Regeln anwenden</t>
  </si>
  <si>
    <t>– (Ordner bestehen, Regel #9 „Beschwerden/Prio in den Prio-Ordner“ nutzt sie)</t>
  </si>
  <si>
    <t>Eskalationen aus diesem Gruppenpostfach landen bei Makler direkt im Prio-Ordner; bei Bestand fehlt die Regel. Zielordner wie bei Bestand #9. Position direkt vor „Beschwerden/Prio in den Prio-Ordner“, wie bei Makler.</t>
  </si>
  <si>
    <t>Beschwerden/Prio in den Prio-Ordner
(bisher #9)</t>
  </si>
  <si>
    <t>Makler #9 „Beschwerden/Prio in den Prio-Ordner“</t>
  </si>
  <si>
    <t>Betreff enthält "Vorstandsbeschwerde", "Beschwerde", "Prio"
+ "Eskalation"</t>
  </si>
  <si>
    <t>Makler #9 prüft im Betreff zusätzlich „Eskalation“. Fehlende Wörter anhängen, vorhandene bleiben unverändert.</t>
  </si>
  <si>
    <t>KV Solo
(bisher #16)</t>
  </si>
  <si>
    <t>Makler #21 „KV Solo“</t>
  </si>
  <si>
    <t>unverändert:
Betreff enthält "KV", "DKV"</t>
  </si>
  <si>
    <t>neu wie Makler #21:
Absender ist VL KBIDMA - Alle Mitarbeiter; VL KBIAB - Alle Mitarbeiter; VL KBIBHH - Alle Mitarbeiter … (36 Einträge)
Betreff enthält "Unzustellbar"</t>
  </si>
  <si>
    <t>In Ordner verschieben \\Bestandsuebertragungen@ergo.de\Archiv\Archiv: Weiterleitung an KWAD
+ Umleiten an KWAD - Gruppenpostfach
+ Keine weiteren Regeln anwenden</t>
  </si>
  <si>
    <t>Bestand leitet weiter, Makler leitet um – wie Bestand #17 „E - KWAD – Gruppenpostfach“. Umleiten behält den ursprünglichen Absender. Dazu die Ausnahmen von Makler #21 übernehmen; Bestand hat bisher keine.</t>
  </si>
  <si>
    <t>E - KWAD – Gruppenpostfach
(bisher #17)</t>
  </si>
  <si>
    <t>Makler #23 „E - KWAD – Gruppenpostfach“</t>
  </si>
  <si>
    <t>keine Bedingung – Sammelregel für alle übrigen Mails</t>
  </si>
  <si>
    <t>neu wie Makler #23:
Absender ist Microsoft Outlook
Betreff enthält "Unzustellbar", "Nachrichtenrückruf erfolgreich:", "Nachrichtenrückruf fehlgeschlagen:", "Papierakte"</t>
  </si>
  <si>
    <t>Makler #23 nimmt Unzustellbar-Meldungen, Nachrichtenrückrufe und Papierakten aus; Bestand leitet bisher alle übrigen Mails an KWAD um. Ausnahmen übernehmen, vorhandene bleiben.</t>
  </si>
  <si>
    <t>Makler #11 „Erinnerungen JungDMS in einen Unterordner“</t>
  </si>
  <si>
    <t>Absenderadresse enthält "jungdms"
Betreff enthält "Erinnerung"
(kommt beim Kopieren mit)</t>
  </si>
  <si>
    <t>In Ordner verschieben \\Bestandsuebertragungen@ergo.de\Archiv\Erinnerung JungDMS
+ Keine weiteren Regeln anwenden</t>
  </si>
  <si>
    <t>\\Bestandsuebertragungen@ergo.de\Archiv\Erinnerung JungDMS</t>
  </si>
  <si>
    <t>Nur kopieren, wenn diese Erinnerungen auch im Postfach Bestandsuebertragungen eingehen (im Plan auf Ausführen = Nein).</t>
  </si>
  <si>
    <t>Makler #12 „Erinnerungen Qualitypool in einen Unterordner“</t>
  </si>
  <si>
    <t>Absenderadresse enthält "qualitypool"
Betreff enthält "Erinnerung"
(kommt beim Kopieren mit)</t>
  </si>
  <si>
    <t>In Ordner verschieben \\Bestandsuebertragungen@ergo.de\Archiv\Erinnerungen Qualitypool
+ Keine weiteren Regeln anwenden</t>
  </si>
  <si>
    <t>\\Bestandsuebertragungen@ergo.de\Archiv\Erinnerungen Qualitypool</t>
  </si>
  <si>
    <t>Makler #14 „Erinnerungen FondsFinanz in einen Unterordner“</t>
  </si>
  <si>
    <t>Absenderadresse enthält "fondsfinanz"
Betreff enthält "Erinnerung"
(kommt beim Kopieren mit)</t>
  </si>
  <si>
    <t>In Ordner verschieben \\Bestandsuebertragungen@ergo.de\Archiv\Erinnerungen Fonds Finanz
+ Keine weiteren Regeln anwenden</t>
  </si>
  <si>
    <t>\\Bestandsuebertragungen@ergo.de\Archiv\Erinnerungen Fonds Finanz</t>
  </si>
  <si>
    <t>Makler #13 „KV@Qualitypool in einen Unterordner“</t>
  </si>
  <si>
    <t>Absenderadresse enthält "kv@qualitypool.de"</t>
  </si>
  <si>
    <t>In Ordner verschieben \\Maklerauftraege@ergo.de\Archiv\KV Qualitypool
+ Keine weiteren Regeln anwenden</t>
  </si>
  <si>
    <t>Schiebt ALLE Mails dieses Absenders ins Archiv, nicht nur Erinnerungen. Nur übernehmen, wenn das für Bestand gewollt ist – deshalb nicht im Plan.</t>
  </si>
  <si>
    <t>CCPI mit Anlagen "hell"
(bisher #11)</t>
  </si>
  <si>
    <t>Makler #15 „Umleitung CCPI an Vermittlerwaltung - Anfragen zur Klärung von BVP-Ansprüchen nach BÜ“</t>
  </si>
  <si>
    <t>Bestand: Absender ist VL CCPID - Alle Mitarbeiter; Hat Anhang
Makler: Absender ist VL CCPID - Alle Mitarbeiter</t>
  </si>
  <si>
    <t>Bestand: In Ordner verschieben \\Bestandsuebertragungen@ergo.de\CCPI + In Ordner kopieren \\Bestandsuebertragungen@ergo.de\Archiv\Archiv: Dopplung der Neuzugänge + Keine weiteren Regeln anwenden
Makler: In Ordner verschieben \\Maklerauftraege@ergo.de\Archiv\Archiv zu den Neuzugängen im Postfach\CCPI (Archiv - weiter an Verwaltung) + Umleiten an Service Team Vermittlerverwaltung - Makler u Koop - Gruppenpostfach + Keine weiteren Regeln anwenden</t>
  </si>
  <si>
    <t>Gleicher Absender, andere Behandlung: Bestand legt Mails mit Anhang im Ordner CCPI ab, Makler leitet alle Mails an die Vermittlerverwaltung um. Fachlich entscheiden, was für Bestand gelten soll.</t>
  </si>
  <si>
    <t>Makler #16 „KWAD-Rückläufer: EPL / KWAD / KVC /  LKEM (an Verwaltung)“</t>
  </si>
  <si>
    <t>Absender ist VL EPLK - Alle Mitarbeiter; E - KWAD – Gruppenpostfach; KSC - Gruppenpostfach … (8 Einträge)
Betreff enthält "Anschrift", "Adresse", "Bankverbindung", "Adressänderung", "Makleranbindung", "Rufnummer", "Verschmelzung"</t>
  </si>
  <si>
    <t>In Ordner verschieben \\Maklerauftraege@ergo.de\Archiv\Archiv zu den Neuzugängen im Postfach\EPL (Archiv)
+ Umleiten an Service Team Vermittlerverwaltung - Makler u Koop - Gruppenpostfach
+ Keine weiteren Regeln anwenden</t>
  </si>
  <si>
    <t>Makler leitet diese Mails an die Vermittlerverwaltung um; bei Bestand gibt es kein Gegenstück. Fachlich klären, ob Bestand das braucht.</t>
  </si>
  <si>
    <t>Makler #22 „Teil/Gesamt-BÜ an Vermittlerverwaltung“</t>
  </si>
  <si>
    <t>Betreff enthält "Teilbestand", "Sammel-Bestandsübertragung in den VEMA-Pool", "Gesamt-BÜ", "Teil-BÜ", "Gesamt-Bestandsübertragung", "Teil-Bestandsübertragung"</t>
  </si>
  <si>
    <t>In Ordner verschieben \\Maklerauftraege@ergo.de\Archiv\Teil%2FGesamt-BÜ nicht an KWAD sondern an Verwaltung
+ Umleiten an Service Team Vermittlerverwaltung - Makler u Koop - Gruppenpostfach
+ Keine weiteren Regeln anwenden</t>
  </si>
  <si>
    <t>Mails von BÜ-Bot, Robert (ODPB2D-EXTERN)
(bisher #6)</t>
  </si>
  <si>
    <t>Makler #5 „Mails von BÜ-Bot, Robert (ODPB2D-EXTERN)“</t>
  </si>
  <si>
    <t>Bestand: Absender ist BÜ-Bot, Robert (ODPB2D-EXTERN); PVBHH, Bot2 (PVA15B-EXTERN); robotics - Gruppenpostfach
Makler: Absender ist BÜ-Bot, Robert (ODPB2D-EXTERN); Betreff enthält "Bestandsübertragung"</t>
  </si>
  <si>
    <t>In Ordner verschieben \\Bestandsuebertragungen@ergo.de\BÜ-Bot-Mails
+ Keine weiteren Regeln anwenden</t>
  </si>
  <si>
    <t>Bestand ist bewusst breiter: 3 Absender, ohne Betreff-Filter. Kein Handlungsbedarf.</t>
  </si>
  <si>
    <t>Soll-Reihenfolge in Bestandsuebertragungen nach der Umsetzung</t>
  </si>
  <si>
    <t>Pos.</t>
  </si>
  <si>
    <t>Änderung</t>
  </si>
  <si>
    <t>bisher #</t>
  </si>
  <si>
    <t>angepasst</t>
  </si>
  <si>
    <t>aus Makler kopieren</t>
  </si>
  <si>
    <t>verschoben</t>
  </si>
  <si>
    <t>unverändert</t>
  </si>
  <si>
    <t>kopieren, falls benötigt</t>
  </si>
  <si>
    <t>deaktiviert, unverändert</t>
  </si>
  <si>
    <t>Werden die Erinnerungsregeln nicht gebraucht, rücken die folgenden Regeln entsprechend nach oben.</t>
  </si>
  <si>
    <t>Hinweise für Maklerauftraege (nicht Teil des Plans)</t>
  </si>
  <si>
    <t>Makler #3 „Umleitung - Technische Fehler“ ist deaktiviert, läuft nur auf einem Client und hat keinen Zielordner (Outlook zeigt „(Fehler)“).</t>
  </si>
  <si>
    <t>Makler fehlt die Bestand-Regel „Automatische Antworten aussortieren (2)“ (Betreff enthält "[EXTERN] Vielen Dank für Ihre Mail:", "[EXTERN] Wir haben Ihre Nachricht erhalten:", außer Betreff enthält "AW:", "RE:", "WG:").</t>
  </si>
  <si>
    <t>Outlook-Regeln – Übersicht</t>
  </si>
  <si>
    <t>Erstellt am:</t>
  </si>
  <si>
    <t>08.10.2026 20:28</t>
  </si>
  <si>
    <t>Postfächer:</t>
  </si>
  <si>
    <t>Maklerauftraege@ergo.de (25 Regeln)  |  Bestandsuebertragungen@ergo.de (18 Regeln)</t>
  </si>
  <si>
    <t>Regeln ausgegeben:</t>
  </si>
  <si>
    <t>Optionen:</t>
  </si>
  <si>
    <t>inkl. deaktivierte, inkl. Nur-lokale, nur Empfangen-Regeln</t>
  </si>
  <si>
    <t>Reihenfolge</t>
  </si>
  <si>
    <t>Regelname</t>
  </si>
  <si>
    <t>Regeltyp</t>
  </si>
  <si>
    <t>Gültigkeit</t>
  </si>
  <si>
    <t>Bedingungen</t>
  </si>
  <si>
    <t>Bedingung lesbar</t>
  </si>
  <si>
    <t>Ausnahmen</t>
  </si>
  <si>
    <t>Aktionen</t>
  </si>
  <si>
    <t>Stopp danach</t>
  </si>
  <si>
    <t>Logik (WENN / DANN / AUSSER WENN)</t>
  </si>
  <si>
    <t>Kopie von Automatische Antworten aussortieren</t>
  </si>
  <si>
    <t>Ja</t>
  </si>
  <si>
    <t>Empfangen</t>
  </si>
  <si>
    <t>Server (immer)</t>
  </si>
  <si>
    <t>\\Maklerauftraege@ergo.de\Archiv\Auotmatische Antworten</t>
  </si>
  <si>
    <t>\\Bestandsuebertragungen@ergo.de\Ablösebuchungen offen (PV nicht aktiviert)</t>
  </si>
  <si>
    <t>\\Bestandsuebertragungen@ergo.de\Archiv\Archiv: Vorabinfo</t>
  </si>
  <si>
    <t>\\Bestandsuebertragungen@ergo.de\Archiv\No Reply Mails etc.</t>
  </si>
  <si>
    <t>\\Bestandsuebertragungen@ergo.de\Umleitung - Technischer Fehler</t>
  </si>
  <si>
    <t>\\Bestandsuebertragungen@ergo.de\BÜ-Bot-Mails</t>
  </si>
  <si>
    <t>\\Bestandsuebertragungen@ergo.de\Archiv\Archiv: BeMaS-Kennzeichen konnte nicht gesetzt werden</t>
  </si>
  <si>
    <t>\\Bestandsuebertragungen@ergo.de\Archiv\Archiv: BeMaS an KWAD</t>
  </si>
  <si>
    <t>\\Bestandsuebertragungen@ergo.de\Prio | \\Bestandsuebertragungen@ergo.de\Archiv\Archiv: Dopplung der Neuzugänge</t>
  </si>
  <si>
    <t>\\Bestandsuebertragungen@ergo.de\Archiv\Archiv: Weitergeleiteten Mails zu FL an VSLV3</t>
  </si>
  <si>
    <t>\\Bestandsuebertragungen@ergo.de\CCPI | \\Bestandsuebertragungen@ergo.de\Archiv\Archiv: Dopplung der Neuzugänge</t>
  </si>
  <si>
    <t>\\Bestandsuebertragungen@ergo.de\KWAD-Rückläufer | \\Bestandsuebertragungen@ergo.de\Archiv\Archiv: Dopplung der Neuzugänge</t>
  </si>
  <si>
    <t>\\Bestandsuebertragungen@ergo.de\Rückläufer EPL und FL Verträge | \\Bestandsuebertragungen@ergo.de\Archiv\Archiv: Dopplung der Neuzugänge</t>
  </si>
  <si>
    <t>\\Bestandsuebertragungen@ergo.de\Papierakten | \\Bestandsuebertragungen@ergo.de\Archiv\Archiv: Dopplung der Neuzugänge</t>
  </si>
  <si>
    <t>\\Bestandsuebertragungen@ergo.de\Archiv\Archiv: Weiterleitung an KWAD</t>
  </si>
  <si>
    <t>keine sichtbar</t>
  </si>
  <si>
    <t>Nein</t>
  </si>
  <si>
    <t>\\Bestandsuebertragungen@ergo.de\BÜ-Archiv: Weitergeleiteten Mails an Celonis</t>
  </si>
  <si>
    <t>\\Maklerauftraege@ergo.de\Archiv\Archiv zu den weitergeleiteten Mails an Celonis</t>
  </si>
  <si>
    <t>\\Maklerauftraege@ergo.de\Rückläufer FL Verträge (ODPB3D)\BÜ-Bot Mails</t>
  </si>
  <si>
    <t>\\Maklerauftraege@ergo.de\Archiv\EBIS %2F BeMAs</t>
  </si>
  <si>
    <t>\\Maklerauftraege@ergo.de\Archiv\BeMaS an KWAD</t>
  </si>
  <si>
    <t>\\Maklerauftraege@ergo.de\Posteingang\Prio | \\Maklerauftraege@ergo.de\Archiv\Archiv zu den Neuzugängen im Postfach\Beschwerden %2F Prio (Archiv)</t>
  </si>
  <si>
    <t>\\Maklerauftraege@ergo.de\Rückläufer FL Verträge (ODPB3D)</t>
  </si>
  <si>
    <t>\\Maklerauftraege@ergo.de\Archiv\Erinnerung JungDMS</t>
  </si>
  <si>
    <t>\\Maklerauftraege@ergo.de\Archiv\Erinnerungen Qualitypool</t>
  </si>
  <si>
    <t>\\Maklerauftraege@ergo.de\Archiv\KV Qualitypool</t>
  </si>
  <si>
    <t>\\Maklerauftraege@ergo.de\Archiv\Erinnerungen Fonds Finanz</t>
  </si>
  <si>
    <t>\\Maklerauftraege@ergo.de\Archiv\Archiv zu den Neuzugängen im Postfach\CCPI (Archiv - weiter an Verwaltung)</t>
  </si>
  <si>
    <t>\\Maklerauftraege@ergo.de\Archiv\Archiv zu den Neuzugängen im Postfach\EPL (Archiv)</t>
  </si>
  <si>
    <t>\\Maklerauftraege@ergo.de\KWAD-Rückläufer | \\Maklerauftraege@ergo.de\Archiv\Archiv zu den Neuzugängen im Postfach\EPL (Archiv)</t>
  </si>
  <si>
    <t>\\Maklerauftraege@ergo.de\Rückläufer FL Verträge (ODPB3D) | \\Maklerauftraege@ergo.de\Archiv\Archiv zu den Neuzugängen im Postfach\FL Rückläufer (Archiv - neu)</t>
  </si>
  <si>
    <t>\\Maklerauftraege@ergo.de\Papierakten (KBIG) | \\Maklerauftraege@ergo.de\Archiv\Archiv zu den Neuzugängen im Postfach\KBI (Archiv)</t>
  </si>
  <si>
    <t>\\Maklerauftraege@ergo.de\Archiv\Archiv zu den weitergeleiteten Mails an KWAD</t>
  </si>
  <si>
    <t>\\Maklerauftraege@ergo.de\Archiv\Teil%2FGesamt-BÜ nicht an KWAD sondern an Verwaltung</t>
  </si>
  <si>
    <t>Regel-Logik im Detail</t>
  </si>
  <si>
    <t>Legende:</t>
  </si>
  <si>
    <t>Bedingungen sind UND-verknüpft (alle müssen zutreffen). Jede einzelne Ausnahme verhindert die Regel. Aktionen laufen von oben nach unten; "Keine weiteren Regeln anwenden" beendet die Kette. "Keine Bedingung sichtbar" / "Bedingung nicht lesbar" / "weitere Bedingung nicht lesbar": Outlook liefert die Bedingung nicht oder nicht vollständig (oft in Outlook im Web angelegt) – dort prüfen, Details im Blatt "Diagnose". Gelbe Bezeichnung in WENN-/UND-/DANN-Zeilen = nicht (vollständig) lesbar.</t>
  </si>
  <si>
    <t>Grau = deaktivierte Regel ([INAKTIV]).  Über die Gliederung links (1 | 2 | 3) lassen sich Postfächer und Regel-Details ein- und ausklappen.</t>
  </si>
  <si>
    <t>Block</t>
  </si>
  <si>
    <t>Bezeichnung</t>
  </si>
  <si>
    <t>Details</t>
  </si>
  <si>
    <t>POSTFACH: Bestandsuebertragungen@ergo.de</t>
  </si>
  <si>
    <t>REGEL</t>
  </si>
  <si>
    <t>Regel #1: Kopie von Automatische Antworten aussortieren</t>
  </si>
  <si>
    <t>WENN</t>
  </si>
  <si>
    <t>Formular / Nachrichtenklasse</t>
  </si>
  <si>
    <t>"IPM.Note.Rules.OofTemplate.Microsoft"</t>
  </si>
  <si>
    <t>DANN</t>
  </si>
  <si>
    <t>In Ordner verschieben</t>
  </si>
  <si>
    <t>UND DANN</t>
  </si>
  <si>
    <t>Keine weiteren Regeln anwenden</t>
  </si>
  <si>
    <t>Regel #2: Service Team Vermittlerverwaltung - Makler u Koop - Gruppenpostfach</t>
  </si>
  <si>
    <t>Absender ist</t>
  </si>
  <si>
    <t>UND</t>
  </si>
  <si>
    <t>Betreff enthält</t>
  </si>
  <si>
    <t>"offener Provisionsvertrag"</t>
  </si>
  <si>
    <t>Regel #3: PVB, Bot 1 (PVBHH-EXTERN)</t>
  </si>
  <si>
    <t>"Vorabinfo"</t>
  </si>
  <si>
    <t>Regel #4: Automatische Antworten aussortieren (2)</t>
  </si>
  <si>
    <t>"[EXTERN] Vielen Dank für Ihre Mail:", "[EXTERN] Wir haben Ihre Nachricht erhalten:"</t>
  </si>
  <si>
    <t>"AW:", "RE:", "WG:"</t>
  </si>
  <si>
    <t>Regel #5: Umleitung - Technische Fehler</t>
  </si>
  <si>
    <t>Mailtext enthält</t>
  </si>
  <si>
    <t>"The attached message was sent by a member of this shared mailbox. Usually, it would appear in Sent Items, but your service is currently being upgraded. Things will be back to normal after the upgrade."</t>
  </si>
  <si>
    <t>Regel #6: Mails von BÜ-Bot, Robert (ODPB2D-EXTERN)</t>
  </si>
  <si>
    <t>BÜ-Bot, Robert (ODPB2D-EXTERN); PVBHH, Bot2 (PVA15B-EXTERN); robotics - Gruppenpostfach</t>
  </si>
  <si>
    <t>Regel #7: eBIS-Kennzeichnung konnte nicht umgesetzt werden</t>
  </si>
  <si>
    <t>"BeMaS-Kennzeichnung konnte nicht umgesetzt werden", "BeMaS-Kennzeichnung"</t>
  </si>
  <si>
    <t>Regel #8: eBIS-Kennzeichnung - Verteilung erfrderlich / neu an KWAD</t>
  </si>
  <si>
    <t>Gesendet an</t>
  </si>
  <si>
    <t>MaKoop Bestandsuebertragungen - Gruppenpostfach; ERGO Maklervertrieb - Gruppenpostfach</t>
  </si>
  <si>
    <t>"BeMaS-Kennzeichnung", "BeMaS-Kennzeichnung konnte nicht umgesetzt werden"</t>
  </si>
  <si>
    <t>VL KBIGD - Alle Mitarbeiter; VL ODPB3D - Alle Mitarbeiter; VL PVAK - Alle Mitarbeiter; VL PVAK-Externe - Alle Mitarbeiter; VL PVBHH - Alle Mitarbeiter; VL PVBHH-Externe - Alle Mitarbeiter; VL ODSUD - Alle Mitarbeiter</t>
  </si>
  <si>
    <t>Umleiten an</t>
  </si>
  <si>
    <t>KWAD - Gruppenpostfach</t>
  </si>
  <si>
    <t>Regel #9: Beschwerden/Prio in den Prio-Ordner</t>
  </si>
  <si>
    <t>"Vorstandsbeschwerde", "Beschwerde", "Prio"</t>
  </si>
  <si>
    <t>\\Bestandsuebertragungen@ergo.de\Prio</t>
  </si>
  <si>
    <t>In Ordner kopieren</t>
  </si>
  <si>
    <t>\\Bestandsuebertragungen@ergo.de\Archiv\Archiv: Dopplung der Neuzugänge</t>
  </si>
  <si>
    <t>Regel #10: Umleitung FL Verträge an VSLV3D</t>
  </si>
  <si>
    <t>VL EPLK - Alle Mitarbeiter; E - KWAD – Gruppenpostfach; KSC - Gruppenpostfach; VL FMEB - Alle Mitarbeiter; VL VSLB4D - Alle Mitarbeiter; VL LKEM4HH - Alle Mitarbeiter; VL LKEM5HH - Alle Mitarbeiter; Leben-Klassik - Gruppenpostfach</t>
  </si>
  <si>
    <t>Betreff oder Mailtext enthält</t>
  </si>
  <si>
    <t>"FL0", "FL1", "FL2", "FL3", "FL4", "FL5", "FL6", "FL7", "FL8", "FL9", "FL"</t>
  </si>
  <si>
    <t>Weiterleiten an</t>
  </si>
  <si>
    <t>VSLV3 D - Gruppenpostfach</t>
  </si>
  <si>
    <t>Regel #11: CCPI mit Anlagen "hell"</t>
  </si>
  <si>
    <t>VL CCPID - Alle Mitarbeiter</t>
  </si>
  <si>
    <t>Hat Anhang</t>
  </si>
  <si>
    <t>\\Bestandsuebertragungen@ergo.de\CCPI</t>
  </si>
  <si>
    <t>Regel #12: KWAD-Rückläufer: EPL / KWAD / KVC /  LKEM</t>
  </si>
  <si>
    <t>\\Bestandsuebertragungen@ergo.de\KWAD-Rückläufer</t>
  </si>
  <si>
    <t>Regel #13: Rückfelder FL Verträge (von VSLV3 D - Gruppenpostfach)</t>
  </si>
  <si>
    <t>VSLV3 D - Gruppenpostfach; info@ergo-vorsorge.de; AktivRente - Gruppenpostfach; VSLVD - Gruppenpostfach; info@vorsorge-leben.de; VL VSLV3D - Alle Mitarbeiter; info@ergo-life.com; zz service(Vorsorge-Internet)</t>
  </si>
  <si>
    <t>\\Bestandsuebertragungen@ergo.de\Rückläufer EPL und FL Verträge</t>
  </si>
  <si>
    <t>Regel #14: Papierakten (keine eAkte)</t>
  </si>
  <si>
    <t>"Achtung Papierakte – KEIN EDM-Vorgang – bitte nicht an KWAD senden", "Achtung Papierakte"</t>
  </si>
  <si>
    <t>\\Bestandsuebertragungen@ergo.de\Papierakten</t>
  </si>
  <si>
    <t>Regel #15: Papierakten - Rückläufer aus KBI 'klassik" (keine eAkte)</t>
  </si>
  <si>
    <t>KBI Haftpflicht Berlin - Gruppenpostfach; KBI Haftpflicht Duesseldorf - Gruppenpostfach; KBI Haftpflicht Hamburg - Gruppenpostfach; KBI Haftpflicht Mannheim - Gruppenpostfach; KBI Haftpflicht Muenchen - Gruppenpostfach; KBI Sach Berlin - Gruppenpostfach; KBI Sach Duesseldorf - Gruppenpostfach; KBI Sach Hamburg - Gruppenpostfach; KBI Sach Mannheim - Gruppenpostfach; KBI Sach Muenchen - Gruppenpostfach; KBI TR Berlin - Gruppenpostfach; KBI TR Duesseldorf - Gruppenpostfach; KBI TR Hamburg - Gruppenpostfach; KBI TR Mannheim - Gruppenpostfach; KBI TR Muenchen - Gruppenpostfach; KBI TV Berlin - Gruppenpostfach; KBI TV Duesseldorf - Gruppenpostfach; KBI TV Hamburg - Gruppenpostfach; KBI TV Mannheim - Gruppenpostfach; KBI TV Muenchen - Gruppenpostfach; KBI VH Berlin - Gruppenpostfach; KBI VH Duesseldorf - Gruppenpostfach; KBI VH Hamburg - Gruppenpostfach; KBI VH Mannheim - Gruppenpostfach; KBI VH Muenchen - Gruppenpostfach; KBI VH Berlin - Gruppenpostfach; EHID - Gruppenpostfach; VL G2 - Alle Mitarbeiter</t>
  </si>
  <si>
    <t>"EDM mit Sonderakte", "Papierakte", "Akte", "Bitte nicht zum Vorgang eröffnen", "EDM", "KWAD", "ACHTUNG"</t>
  </si>
  <si>
    <t>VL KBIGD - Alle Mitarbeiter; VL KBIFM - Alle Mitarbeiter</t>
  </si>
  <si>
    <t>Regel #16: KV Solo</t>
  </si>
  <si>
    <t>"KV", "DKV"</t>
  </si>
  <si>
    <t>Regel #17: E - KWAD – Gruppenpostfach</t>
  </si>
  <si>
    <t>keine Bedingung sichtbar</t>
  </si>
  <si>
    <t>Outlook zeigt keine Bedingung – entweder greift die Regel bei ALLEN Mails, oder die Bedingung wurde in Outlook im Web angelegt und ist für Outlook nicht lesbar (dort prüfen)</t>
  </si>
  <si>
    <t>Regel #18: TEST | Komplett an Celonis 09.10.2026   [INAKTIV]</t>
  </si>
  <si>
    <t>Microsoft Outlook</t>
  </si>
  <si>
    <t>ODER</t>
  </si>
  <si>
    <t>"Unzustellbar", "Nachrichtenrückruf erfolgreich:", "Nachrichtenrückruf fehlgeschlagen:", "Papierakte"</t>
  </si>
  <si>
    <t>Celonis_Bue_Makler - Gruppenpostfach</t>
  </si>
  <si>
    <t>POSTFACH: Maklerauftraege@ergo.de</t>
  </si>
  <si>
    <t>Regel #1: Automatische Antworten aussortieren</t>
  </si>
  <si>
    <t>Regel #2: Automatische Antworten 1zu1 aussortieren</t>
  </si>
  <si>
    <t>noreply@1zu1.ag</t>
  </si>
  <si>
    <t>"Diese E-Mail wurde automatisch generiert."</t>
  </si>
  <si>
    <t>Regel #3: Umleitung - Technische Fehler   [INAKTIV]   [nur auf diesem Client]</t>
  </si>
  <si>
    <t>Regel #4: TEST | Fonds Finanz an Celonis | 10.09.2026   [INAKTIV]</t>
  </si>
  <si>
    <t>Absenderadresse enthält</t>
  </si>
  <si>
    <t>"@fondsfinanz.de"</t>
  </si>
  <si>
    <t>Regel #5: Mails von BÜ-Bot, Robert (ODPB2D-EXTERN)</t>
  </si>
  <si>
    <t>BÜ-Bot, Robert (ODPB2D-EXTERN)</t>
  </si>
  <si>
    <t>"Bestandsübertragung"</t>
  </si>
  <si>
    <t>Regel #6: eBIS-Kennzeichnung konnte nicht umgesetzt werden</t>
  </si>
  <si>
    <t>Regel #7: eBIS-Kennzeichnung - Verteilung erfrderlich / neu an KWAD</t>
  </si>
  <si>
    <t>Regel #8: Eskalations-GPF in den Prio-Ordner</t>
  </si>
  <si>
    <t>Eskalation Strategische Partner Bestandsuebertragu - Gruppenpostfach</t>
  </si>
  <si>
    <t>\\Maklerauftraege@ergo.de\Posteingang\Prio</t>
  </si>
  <si>
    <t>\\Maklerauftraege@ergo.de\Archiv\Archiv zu den Neuzugängen im Postfach\Beschwerden %2F Prio (Archiv)</t>
  </si>
  <si>
    <t>"Vorstandsbeschwerde", "Beschwerde", "Prio", "Eskalation"</t>
  </si>
  <si>
    <t>Regel #11: Erinnerungen JungDMS in einen Unterordner</t>
  </si>
  <si>
    <t>"jungdms"</t>
  </si>
  <si>
    <t>"Erinnerung"</t>
  </si>
  <si>
    <t>Regel #12: Erinnerungen Qualitypool in einen Unterordner</t>
  </si>
  <si>
    <t>"qualitypool"</t>
  </si>
  <si>
    <t>Regel #13: KV@Qualitypool in einen Unterordner</t>
  </si>
  <si>
    <t>"kv@qualitypool.de"</t>
  </si>
  <si>
    <t>Regel #14: Erinnerungen FondsFinanz in einen Unterordner</t>
  </si>
  <si>
    <t>"fondsfinanz"</t>
  </si>
  <si>
    <t>Regel #15: Umleitung CCPI an Vermittlerwaltung - Anfragen zur Klärung von BVP-Ansprüchen nach BÜ</t>
  </si>
  <si>
    <t>Regel #16: KWAD-Rückläufer: EPL / KWAD / KVC /  LKEM (an Verwaltung)</t>
  </si>
  <si>
    <t>"Anschrift", "Adresse", "Bankverbindung", "Adressänderung", "Makleranbindung", "Rufnummer", "Verschmelzung"</t>
  </si>
  <si>
    <t>Regel #17: KWAD-Rückläufer: EPL / KWAD / KVC /  LKEM</t>
  </si>
  <si>
    <t>\\Maklerauftraege@ergo.de\KWAD-Rückläufer</t>
  </si>
  <si>
    <t>Regel #18: Rückfelder FL Verträge (von VSLV3 D - Gruppenpostfach)</t>
  </si>
  <si>
    <t>\\Maklerauftraege@ergo.de\Archiv\Archiv zu den Neuzugängen im Postfach\FL Rückläufer (Archiv - neu)</t>
  </si>
  <si>
    <t>Regel #19: Papierakten (keine eAkte)</t>
  </si>
  <si>
    <t>\\Maklerauftraege@ergo.de\Papierakten (KBIG)</t>
  </si>
  <si>
    <t>\\Maklerauftraege@ergo.de\Archiv\Archiv zu den Neuzugängen im Postfach\KBI (Archiv)</t>
  </si>
  <si>
    <t>Regel #20: Papierakten - Rückläufer aus KBI 'klassik" (keine eAkte)</t>
  </si>
  <si>
    <t>Regel #21: KV Solo</t>
  </si>
  <si>
    <t>"DKV", "KV"</t>
  </si>
  <si>
    <t>VL KBIDMA - Alle Mitarbeiter; VL KBIAB - Alle Mitarbeiter; VL KBIBHH - Alle Mitarbeiter; VL KBICD - Alle Mitarbeiter; VL KBIEM - Alle Mitarbeiter; VL KBIFM - Alle Mitarbeiter; VL BKHH - Alle Mitarbeiter; VL EPLD - Alle Mitarbeiter; VL FMDD - Alle Mitarbeiter; VL FMEB - Alle Mitarbeiter; KBI Haftpflicht Berlin - Gruppenpostfach; KBI Haftpflicht Duesseldorf - Gruppenpostfach; KBI Haftpflicht Hamburg - Gruppenpostfach; KBI Haftpflicht Mannheim - Gruppenpostfach; KBI Haftpflicht Muenchen - Gruppenpostfach; KBI Sach Berlin - Gruppenpostfach; KBI Sach Duesseldorf - Gruppenpostfach; KBI Sach Hamburg - Gruppenpostfach; KBI Sach Mannheim - Gruppenpostfach; KBI Sach Muenchen - Gruppenpostfach; KBI TR Berlin - Gruppenpostfach; KBI TR Duesseldorf - Gruppenpostfach; KBI TR Hamburg - Gruppenpostfach; KBI TR Mannheim - Gruppenpostfach; KBI TR Muenchen - Gruppenpostfach; KBI TV Berlin - Gruppenpostfach; KBI TV Duesseldorf - Gruppenpostfach; KBI TV Hamburg - Gruppenpostfach; KBI TV Mannheim - Gruppenpostfach; KBI TV Muenchen - Gruppenpostfach; KBI VH Berlin - Gruppenpostfach; KBI VH Duesseldorf - Gruppenpostfach; KBI VH Hamburg - Gruppenpostfach; KBI VH Mannheim - Gruppenpostfach; KBI VH Muenchen - Gruppenpostfach; Microsoft Outlook</t>
  </si>
  <si>
    <t>"Unzustellbar"</t>
  </si>
  <si>
    <t>Regel #22: Teil/Gesamt-BÜ an Vermittlerverwaltung</t>
  </si>
  <si>
    <t>"Teilbestand", "Sammel-Bestandsübertragung in den VEMA-Pool", "Gesamt-BÜ", "Teil-BÜ", "Gesamt-Bestandsübertragung", "Teil-Bestandsübertragung"</t>
  </si>
  <si>
    <t>Regel #23: E - KWAD – Gruppenpostfach</t>
  </si>
  <si>
    <t>Regel #24: TEST | Komplett an Celonis 09.10.2026   [INAKTIV]</t>
  </si>
  <si>
    <t>Celonis_Bue_Makler - Gruppenpostfach; Celonis_Bue_Makler - Gruppenpostfach</t>
  </si>
  <si>
    <t>Regel #25: KI BOT | Weiterleiten an E - KWAD – Gruppenpostfach   [INAKTIV]</t>
  </si>
  <si>
    <t>Art</t>
  </si>
  <si>
    <t>Ausnahme</t>
  </si>
  <si>
    <t>Outlook liefert keine aktive Bedingung – in Outlook im Web unter Einstellungen › E-Mail › Regeln nachsehen</t>
  </si>
  <si>
    <t>Wohin schreiben die Regeln?</t>
  </si>
  <si>
    <t>Grundlage: Aktionen "In Ordner verschieben" und "In Ordner kopieren".</t>
  </si>
  <si>
    <t>Balken = Anzahl Regeln je Ordner.  Gelb in „davon aktiv“: nicht alle Regeln dieses Ordners sind aktiv.</t>
  </si>
  <si>
    <t>Anzahl Regeln</t>
  </si>
  <si>
    <t>davon aktiv</t>
  </si>
  <si>
    <t>Beschwerden/Prio in den Prio-Ordner, CCPI mit Anlagen "hell", KWAD-Rückläufer: EPL / KWAD / KVC /  LKEM, Rückfelder FL Verträge (von VSLV3 D - Gruppenpostfach), Papierakten (keine eAkte), Papierakten - Rückläufer aus KBI 'klassik" (keine eAkte)</t>
  </si>
  <si>
    <t>KV Solo, E - KWAD – Gruppenpostfach</t>
  </si>
  <si>
    <t>Papierakten (keine eAkte), Papierakten - Rückläufer aus KBI 'klassik" (keine eAkte)</t>
  </si>
  <si>
    <t>TEST | Komplett an Celonis 09.10.2026 [inaktiv]</t>
  </si>
  <si>
    <t>KV Solo, E - KWAD – Gruppenpostfach, KI BOT | Weiterleiten an E - KWAD – Gruppenpostfach [inaktiv]</t>
  </si>
  <si>
    <t>Eskalations-GPF in den Prio-Ordner, Beschwerden/Prio in den Prio-Ordner</t>
  </si>
  <si>
    <t>KWAD-Rückläufer: EPL / KWAD / KVC /  LKEM (an Verwaltung), KWAD-Rückläufer: EPL / KWAD / KVC /  LKEM</t>
  </si>
  <si>
    <t>TEST | Fonds Finanz an Celonis | 10.09.2026 [inaktiv], TEST | Komplett an Celonis 09.10.2026 [inaktiv]</t>
  </si>
  <si>
    <t>Automatische Antworten aussortieren, Automatische Antworten 1zu1 aussortieren</t>
  </si>
  <si>
    <t>Umleitung FL Verträge an VSLV3D, Rückfelder FL Verträge (von VSLV3 D - Gruppenpostfach)</t>
  </si>
  <si>
    <t>Summe</t>
  </si>
  <si>
    <t>Prüfhinweise zur Regel-Logik</t>
  </si>
  <si>
    <t>Automatisch erkannte Auffälligkeiten. Kein Ersatz für die fachliche Prüfung – bitte einzeln bewerten.</t>
  </si>
  <si>
    <t>Hinweis</t>
  </si>
  <si>
    <t>Client-Regel: läuft nur, wenn genau dieses Outlook geöffnet ist. Für ein Gruppenpostfach mit mehreren Bearbeitern meist unerwünscht – serverseitige Regel bevorzugen.</t>
  </si>
  <si>
    <t>Regel leitet Mails weiter oder um: Umleiten an Celonis_Bue_Makler - Gruppenpostfach. Empfänger und Ziel-Domäne prüfen.</t>
  </si>
  <si>
    <t>Regel leitet Mails weiter oder um: Umleiten an KWAD - Gruppenpostfach. Empfänger und Ziel-Domäne prüfen.</t>
  </si>
  <si>
    <t>Regel schreibt in mehrere Ordner: \\Maklerauftraege@ergo.de\Posteingang\Prio | \\Maklerauftraege@ergo.de\Archiv\Archiv zu den Neuzugängen im Postfach\Beschwerden %2F Prio (Archiv).</t>
  </si>
  <si>
    <t>Regel leitet Mails weiter oder um: Weiterleiten an VSLV3 D - Gruppenpostfach. Empfänger und Ziel-Domäne prüfen.</t>
  </si>
  <si>
    <t>Regel leitet Mails weiter oder um: Umleiten an Service Team Vermittlerverwaltung - Makler u Koop - Gruppenpostfach. Empfänger und Ziel-Domäne prüfen.</t>
  </si>
  <si>
    <t>Regel schreibt in mehrere Ordner: \\Maklerauftraege@ergo.de\KWAD-Rückläufer | \\Maklerauftraege@ergo.de\Archiv\Archiv zu den Neuzugängen im Postfach\EPL (Archiv).</t>
  </si>
  <si>
    <t>Regel schreibt in mehrere Ordner: \\Maklerauftraege@ergo.de\Rückläufer FL Verträge (ODPB3D) | \\Maklerauftraege@ergo.de\Archiv\Archiv zu den Neuzugängen im Postfach\FL Rückläufer (Archiv - neu).</t>
  </si>
  <si>
    <t>Regel schreibt in mehrere Ordner: \\Maklerauftraege@ergo.de\Papierakten (KBIG) | \\Maklerauftraege@ergo.de\Archiv\Archiv zu den Neuzugängen im Postfach\KBI (Archiv).</t>
  </si>
  <si>
    <t>Outlook zeigt keine Bedingung. Entweder greift die Regel bei allen Mails, oder die Bedingung wurde in Outlook im Web angelegt (z. B. Nachrichtentyp automatische Antwort) und ist für Outlook nicht lesbar – in Outlook im Web unter Einstellungen › E-Mail › Regeln nachsehen.</t>
  </si>
  <si>
    <t>Regel leitet Mails weiter oder um: Umleiten an Celonis_Bue_Makler - Gruppenpostfach; Celonis_Bue_Makler - Gruppenpostfach. Empfänger und Ziel-Domäne prüfen.</t>
  </si>
  <si>
    <t>Regel leitet Mails weiter oder um: Weiterleiten an KWAD - Gruppenpostfach. Empfänger und Ziel-Domäne prüfen.</t>
  </si>
  <si>
    <t>Regel schreibt in mehrere Ordner: \\Bestandsuebertragungen@ergo.de\Prio | \\Bestandsuebertragungen@ergo.de\Archiv\Archiv: Dopplung der Neuzugänge.</t>
  </si>
  <si>
    <t>Regel schreibt in mehrere Ordner: \\Bestandsuebertragungen@ergo.de\CCPI | \\Bestandsuebertragungen@ergo.de\Archiv\Archiv: Dopplung der Neuzugänge.</t>
  </si>
  <si>
    <t>Regel schreibt in mehrere Ordner: \\Bestandsuebertragungen@ergo.de\KWAD-Rückläufer | \\Bestandsuebertragungen@ergo.de\Archiv\Archiv: Dopplung der Neuzugänge.</t>
  </si>
  <si>
    <t>Regel schreibt in mehrere Ordner: \\Bestandsuebertragungen@ergo.de\Rückläufer EPL und FL Verträge | \\Bestandsuebertragungen@ergo.de\Archiv\Archiv: Dopplung der Neuzugänge.</t>
  </si>
  <si>
    <t>Regel schreibt in mehrere Ordner: \\Bestandsuebertragungen@ergo.de\Papierakten | \\Bestandsuebertragungen@ergo.de\Archiv\Archiv: Dopplung der Neuzugänge.</t>
  </si>
  <si>
    <t>Diagnose: Bedingungen und Ausnahmen laut Outlook</t>
  </si>
  <si>
    <t>Zustand a = Bedingung(en) gelesen ("teilweise": ein weiterer Eintrag nicht lesbar oder Bedingung unbekannten Typs), b = keine Bedingung sichtbar (Outlook liefert keine aktive Bedingung, kein Fehler), c = Bedingung nicht lesbar (Fehler beim Zugriff). Bei b, c und teilweise: in Outlook im Web unter Einstellungen › E-Mail › Regeln nachsehen. Typ-Kennung C&lt;Zahl&gt; = OlRuleConditionType. Der Fehlertext nennt auch Lesefehler bei Ausnahmen und Aktionen.</t>
  </si>
  <si>
    <t>Nur lokal</t>
  </si>
  <si>
    <t>Zustand</t>
  </si>
  <si>
    <t>Bedingungen: Anzahl laut Outlook</t>
  </si>
  <si>
    <t>Bedingungen: aktive Typen</t>
  </si>
  <si>
    <t>Bedingungen: inaktive Typen</t>
  </si>
  <si>
    <t>Ausnahmen: Anzahl laut Outlook</t>
  </si>
  <si>
    <t>Ausnahmen: aktive Typen</t>
  </si>
  <si>
    <t>Ausnahmen: inaktive Typen</t>
  </si>
  <si>
    <t>Fehlertext</t>
  </si>
  <si>
    <t>a – Bedingung(en) gelesen</t>
  </si>
  <si>
    <t>C23 Formular / Nachrichtenklasse</t>
  </si>
  <si>
    <t>C4, C26, C9, C20, C11, C5, C10, C6, C3, C18, C13, C14, C15, C16, C17, C2, C1, C12, C25, C27, C7, C8, C19, C21, C22, C24, C28, C29, C31, C30</t>
  </si>
  <si>
    <t>C4, C26, C9, C20, C11, C5, C10, C6, C3, C18, C13, C14, C15, C16, C17, C2, C23, C1, C12, C25, C27, C7, C8, C19, C21, C22, C24, C28, C29, C31, C30</t>
  </si>
  <si>
    <t>C2 Betreff enthält | C1 Absender ist</t>
  </si>
  <si>
    <t>C4, C26, C9, C20, C11, C5, C10, C6, C3, C18, C13, C14, C15, C16, C17, C23, C12, C25, C27, C7, C8, C19, C21, C22, C24, C28, C29, C31, C30</t>
  </si>
  <si>
    <t>C2 Betreff enthält</t>
  </si>
  <si>
    <t>C4, C26, C9, C20, C11, C5, C10, C6, C3, C18, C13, C14, C15, C16, C17, C23, C1, C12, C25, C27, C7, C8, C19, C21, C22, C24, C28, C29, C31, C30</t>
  </si>
  <si>
    <t>C13 Mailtext enthält</t>
  </si>
  <si>
    <t>C4, C26, C9, C20, C11, C5, C10, C6, C3, C18, C14, C15, C16, C17, C2, C23, C1, C12, C25, C27, C7, C8, C19, C21, C22, C24, C28, C29, C31, C30</t>
  </si>
  <si>
    <t>C1 Absender ist</t>
  </si>
  <si>
    <t>C4, C26, C9, C20, C11, C5, C10, C6, C3, C18, C13, C14, C15, C16, C17, C2, C23, C12, C25, C27, C7, C8, C19, C21, C22, C24, C28, C29, C31, C30</t>
  </si>
  <si>
    <t>C2 Betreff enthält | C12 Gesendet an</t>
  </si>
  <si>
    <t>C4, C26, C9, C20, C11, C5, C10, C6, C3, C18, C13, C14, C15, C16, C17, C23, C1, C25, C27, C7, C8, C19, C21, C22, C24, C28, C29, C31, C30</t>
  </si>
  <si>
    <t>C12 Gesendet an</t>
  </si>
  <si>
    <t>C4, C26, C9, C20, C11, C5, C10, C6, C3, C18, C13, C14, C15, C16, C17, C2, C23, C1, C25, C27, C7, C8, C19, C21, C22, C24, C28, C29, C31, C30</t>
  </si>
  <si>
    <t>C14 Betreff oder Mailtext enthält | C1 Absender ist</t>
  </si>
  <si>
    <t>C4, C26, C9, C20, C11, C5, C10, C6, C3, C18, C13, C15, C16, C17, C2, C23, C12, C25, C27, C7, C8, C19, C21, C22, C24, C28, C29, C31, C30</t>
  </si>
  <si>
    <t>C20 Hat Anhang | C1 Absender ist</t>
  </si>
  <si>
    <t>C4, C26, C9, C11, C5, C10, C6, C3, C18, C13, C14, C15, C16, C17, C2, C23, C12, C25, C27, C7, C8, C19, C21, C22, C24, C28, C29, C31, C30</t>
  </si>
  <si>
    <t>b – keine Bedingung sichtbar</t>
  </si>
  <si>
    <t>C13 Mailtext enthält | C1 Absender ist</t>
  </si>
  <si>
    <t>C4, C26, C9, C20, C11, C5, C10, C6, C3, C18, C14, C15, C16, C17, C2, C23, C12, C25, C27, C7, C8, C19, C21, C22, C24, C28, C29, C31, C30</t>
  </si>
  <si>
    <t>C17 Absenderadresse enthält</t>
  </si>
  <si>
    <t>C4, C26, C9, C20, C11, C5, C10, C6, C3, C18, C13, C14, C15, C16, C2, C23, C1, C12, C25, C27, C7, C8, C19, C21, C22, C24, C28, C29, C31, C30</t>
  </si>
  <si>
    <t>C17 Absenderadresse enthält | C2 Betreff enthält</t>
  </si>
  <si>
    <t>C4, C26, C9, C20, C11, C5, C10, C6, C3, C18, C13, C14, C15, C16, C23, C1, C12, C25, C27, C7, C8, C19, C21, C22, C24, C28, C29, C31, C30</t>
  </si>
  <si>
    <t>Regeln in Outlook umsetzen</t>
  </si>
  <si>
    <t>Das Makro passt die Regeln des Zielpostfachs nach dem Plan unten an – nach Vorbild des Quellpostfachs. Es löscht keine Regeln und speichert das Quellpostfach nie.</t>
  </si>
  <si>
    <t>1</t>
  </si>
  <si>
    <r>
      <rPr>
        <b/>
        <sz val="10"/>
        <color rgb="FF1F2933"/>
        <rFont val="Aptos"/>
        <family val="2"/>
      </rPr>
      <t xml:space="preserve">Sicherung exportieren – </t>
    </r>
    <r>
      <rPr>
        <sz val="9.5"/>
        <color rgb="FF1F2933"/>
        <rFont val="Aptos"/>
        <family val="2"/>
      </rPr>
      <t>In Outlook: Datei › Regeln und Benachrichtigungen verwalten › Optionen › Regeln exportieren – oben zuerst das Zielpostfach wählen; danach den Dialog schließen. Die .rwz-Datei ist der einzige vollständige Stand zum Zurückspielen. Der Knopf zeigt den aktuellen Stand im Blatt Live (nur lesen).</t>
    </r>
  </si>
  <si>
    <t>2</t>
  </si>
  <si>
    <r>
      <rPr>
        <b/>
        <sz val="10"/>
        <color rgb="FF1F2933"/>
        <rFont val="Aptos"/>
        <family val="2"/>
      </rPr>
      <t xml:space="preserve">Vorschau – </t>
    </r>
    <r>
      <rPr>
        <sz val="9.5"/>
        <color rgb="FF1F2933"/>
        <rFont val="Aptos"/>
        <family val="2"/>
      </rPr>
      <t>Liest beide Postfächer und spielt den Plan Zeile für Zeile durch: bereit, schon erledigt oder blockiert mit Grund. Schreibt nichts nach Outlook – auch keine Ordner.</t>
    </r>
  </si>
  <si>
    <t>3</t>
  </si>
  <si>
    <r>
      <rPr>
        <b/>
        <sz val="10"/>
        <color rgb="FF1F2933"/>
        <rFont val="Aptos"/>
        <family val="2"/>
      </rPr>
      <t xml:space="preserve">Ausführen – </t>
    </r>
    <r>
      <rPr>
        <sz val="9.5"/>
        <color rgb="FF1F2933"/>
        <rFont val="Aptos"/>
        <family val="2"/>
      </rPr>
      <t>Nur nach einer Vorschau ohne Blocker und mit unverändertem Plan. Fragt nach der Sicherung, schreibt alle Regeln ins Blatt Sicherung, ändert erst im Speicher, legt fehlende Ordner an, speichert und prüft danach jede Regel.</t>
    </r>
  </si>
  <si>
    <t>Einstellungen</t>
  </si>
  <si>
    <t>Zielpostfach (wird geändert)</t>
  </si>
  <si>
    <t>Postfach, dessen Regeln das Makro ändert. Muss im Outlook-Profil eingebunden sein (im Regel-Dialog „Posteingang [bestandsuebertragungen@ergo.de]“).</t>
  </si>
  <si>
    <t>Quellpostfach (nur gelesen)</t>
  </si>
  <si>
    <t>Vorbild für KOPIEREN und AUSNAHMEN_UEBERNEHMEN. Wird nur gelesen und nie gespeichert.</t>
  </si>
  <si>
    <t>Trotz nicht lesbarer Bedingungen speichern (Sicherung als .rwz vorhanden)</t>
  </si>
  <si>
    <t>Standard Nein. Nur nötig, wenn Regeln im Zielpostfach nicht lesbar sind – Begründung unter dem Plan.</t>
  </si>
  <si>
    <t>Stand Zielpostfach</t>
  </si>
  <si>
    <t>noch nicht gelesen – Knopf „Vorschau“ oder „Regeln aus Outlook lesen“</t>
  </si>
  <si>
    <t>Letzte Vorschau · Prüfwert des Plans</t>
  </si>
  <si>
    <t/>
  </si>
  <si>
    <t>Letzte Ausführung</t>
  </si>
  <si>
    <t>Plan</t>
  </si>
  <si>
    <t>Von oben nach unten. Ausführen = Ja/Nein je Zeile; eigene Schritte in die leeren Zeilen. Ändert sich der Plan nach der Vorschau, ist vor „Ausführen“ eine neue Vorschau nötig.</t>
  </si>
  <si>
    <t>Ausführen</t>
  </si>
  <si>
    <t>Regel (im Zielpostfach)</t>
  </si>
  <si>
    <t>Neuer Name / Position / Wert</t>
  </si>
  <si>
    <t>Vorschau</t>
  </si>
  <si>
    <t>Ergebnis</t>
  </si>
  <si>
    <t>Ordner: Verschieben-Ziel</t>
  </si>
  <si>
    <t>Ordner: Kopieren-Ziel</t>
  </si>
  <si>
    <t>Quelle (Regel im Quellpostfach)</t>
  </si>
  <si>
    <t>Ziel liegt im Postfach Maklerauftraege (Archiv\Auotmatische Antworten) – beim Kopieren nicht umgestellt. Neuer Ordner Archiv\Automatische Antworten wird angelegt (richtig geschrieben; bei Makler heißt er „Auotmatische Antworten“).</t>
  </si>
  <si>
    <t>UMBENENNEN</t>
  </si>
  <si>
    <t>„Kopie von“ streichen – heißt dann wie Makler #1. Bedingung ist schon identisch (Formular / Nachrichtenklasse "IPM.Note.Rules.OofTemplate.Microsoft").</t>
  </si>
  <si>
    <t>KOPIEREN</t>
  </si>
  <si>
    <t>Fehlt in Bestand. Makler #2: Absender ist noreply@1zu1.ag; Mailtext enthält "Diese E-Mail wurde automatisch generiert.". Zeigt Outlook die Bedingung nicht, meldet die Vorschau, wie die Regel einmal in Outlook zu kopieren ist.</t>
  </si>
  <si>
    <t>POSITION</t>
  </si>
  <si>
    <t>nach: Automatische Antworten aussortieren</t>
  </si>
  <si>
    <t>Wie bei Makler: #2 direkt hinter #1.</t>
  </si>
  <si>
    <t>nach: Automatische Antworten 1zu1 aussortieren || Automatische Antworten aussortieren</t>
  </si>
  <si>
    <t>Regel bleibt (eigene Bedingung, Ziel unverändert) – nur direkt dahinter. Ausweich-Bezug: fehlt „Automatische Antworten 1zu1 aussortieren“ (Zeilen 3/4 auf Nein), direkt hinter „Automatische Antworten aussortieren“.</t>
  </si>
  <si>
    <t>Makler-Regel #8 (Absender ist Eskalation Strategische Partner Bestandsuebertragu - Gruppenpostfach). Ziele wie Bestand #9 „Beschwerden/Prio in den Prio-Ordner“.</t>
  </si>
  <si>
    <t>vor: Beschwerden/Prio in den Prio-Ordner</t>
  </si>
  <si>
    <t>Wie bei Makler: direkt vor „Beschwerden/Prio in den Prio-Ordner“.</t>
  </si>
  <si>
    <t>BEDINGUNG_WORT_ERGAENZEN</t>
  </si>
  <si>
    <t>Betreff enthält: "Eskalation"</t>
  </si>
  <si>
    <t>Makler #9 prüft im Betreff zusätzlich „Eskalation“. Vorhandene Wörter ("Vorstandsbeschwerde", "Beschwerde", "Prio") bleiben.</t>
  </si>
  <si>
    <t>UMLEITEN_STATT_WEITERLEITEN</t>
  </si>
  <si>
    <t>Bestand leitet an KWAD - Gruppenpostfach weiter, Makler leitet um – wie Bestand #17 „E - KWAD – Gruppenpostfach“. Umleiten behält den ursprünglichen Absender.</t>
  </si>
  <si>
    <t>AUSNAHMEN_UEBERNEHMEN</t>
  </si>
  <si>
    <t>Makler #21 schließt aus: Absender ist VL KBIDMA - Alle Mitarbeiter; VL KBIAB - Alle Mitarbeiter; VL KBIBHH - Alle Mitarbeiter … (36 Einträge); Betreff enthält "Unzustellbar". Bestand bisher: keine. Nur fehlende Einträge werden ergänzt.</t>
  </si>
  <si>
    <t>Makler #23 schließt aus: Absender ist Microsoft Outlook; Betreff enthält "Unzustellbar", "Nachrichtenrückruf erfolgreich:", "Nachrichtenrückruf fehlgeschlagen:", "Papierakte". Bestand bisher: keine (Regel ohne Bedingung – leitet alle übrigen Mails an KWAD um).</t>
  </si>
  <si>
    <t>nach: Umleitung FL Verträge an VSLV3D</t>
  </si>
  <si>
    <t>Nur nötig, wenn diese Erinnerungen auch in Bestand eingehen. Ordner wird bei Bedarf angelegt; Position wie bei Makler (#11).</t>
  </si>
  <si>
    <t>nach: Erinnerungen JungDMS in einen Unterordner || Umleitung FL Verträge an VSLV3D</t>
  </si>
  <si>
    <t>Nur nötig, wenn diese Erinnerungen auch in Bestand eingehen. Ordner wird bei Bedarf angelegt; Position wie bei Makler (#12).</t>
  </si>
  <si>
    <t>nach: Erinnerungen Qualitypool in einen Unterordner || Erinnerungen JungDMS in einen Unterordner || Umleitung FL Verträge an VSLV3D</t>
  </si>
  <si>
    <t>Nur nötig, wenn diese Erinnerungen auch in Bestand eingehen. Ordner wird bei Bedarf angelegt; Position wie bei Makler (#14).</t>
  </si>
  <si>
    <t>Spalten</t>
  </si>
  <si>
    <t>Was das Makro tut</t>
  </si>
  <si>
    <t>ORDNER_ANLEGEN</t>
  </si>
  <si>
    <t>I</t>
  </si>
  <si>
    <t>Legt den Ordner aus Spalte I (samt fehlender Elternordner) im Zielpostfach an – erst unmittelbar vor dem Speichern.</t>
  </si>
  <si>
    <t>E, I und/oder J</t>
  </si>
  <si>
    <t>Setzt das Ziel von „In Ordner verschieben“ (I) bzw. „In Ordner kopieren“ (J). Die Aktion muss in der Regel schon aktiv sein; fehlende Ordner werden angelegt.</t>
  </si>
  <si>
    <t>E (alt), F (neu)</t>
  </si>
  <si>
    <t>Benennt die Regel um. Heißt sie schon so: schon erledigt. Spätere Zeilen finden die Regel unter beiden Namen.</t>
  </si>
  <si>
    <t>E</t>
  </si>
  <si>
    <t>Schaltet „Weiterleiten an“ aus und „Umleiten an“ mit genau denselben Empfängern ein. Enthält „Umleiten an“ schon andere Empfänger (auch ausgeschaltet), ist die Zeile blockiert.</t>
  </si>
  <si>
    <t>E, F</t>
  </si>
  <si>
    <t>„nach: Regel“, „vor: Regel“ oder „Platz n“. Ausweich-Bezüge mit „||“: „nach: A || B“ – A, sonst B. Ein einzelnes „|“ gehört zum Regelnamen.</t>
  </si>
  <si>
    <t>E (neuer Name), F (Position), I, J, K</t>
  </si>
  <si>
    <t>Übernimmt eine Regel aus dem Quellpostfach (K): gibt es sie schon – angleichen; gibt es „Kopie von …“ aus Outlook – umbenennen; sonst neu anlegen, wenn alle Bedingungen lesbar und anlegbar sind, sonst Anleitung zum Kopieren in Outlook. Nie ohne Bedingung; die neue Regel wird vor dem Speichern gegen die Quelle geprüft.</t>
  </si>
  <si>
    <t>Ergänzt Wörter in einer aktiven Bedingung, z. B. F = Betreff enthält: "Eskalation". Vorhandene Wörter bleiben unverändert; schon vorhandene zählen als erledigt. Neue Wörter werden ohne Leerzeichen am Rand geschrieben.</t>
  </si>
  <si>
    <t>E, K</t>
  </si>
  <si>
    <t>Übernimmt die Ausnahmen der Quellregel (K): fehlende Einträge werden ergänzt, vorhandene Ausnahmen bleiben. Empfänger werden aufgelöst; nicht auflösbar = blockiert.</t>
  </si>
  <si>
    <t>DEAKTIVIEREN</t>
  </si>
  <si>
    <t>Schaltet die Regel aus. Regeln löscht das Makro nie.</t>
  </si>
  <si>
    <t>Warum gesperrt?</t>
  </si>
  <si>
    <t>Outlook speichert beim Sichern immer alle Regeln eines Postfachs neu – auch die, die der Plan nicht berührt. Kann das Makro eine Bedingung, Ausnahme oder Aktion nicht lesen (Zugriffsfehler, unbekannter Typ, Werte nicht lesbar), könnte sie dabei verloren gehen; die Regel griffe dann womöglich bei jeder Mail. Dann speichert das Makro nur, wenn in den Einstellungen „Ja“ steht (erst nach dem Export als .rwz). Dasselbe gilt für eine Regel ohne sichtbare Bedingung vor aktiven Regeln (unten). Laut Export: alle Bedingungen in Bestandsuebertragungen@ergo.de lesbar.</t>
  </si>
  <si>
    <t>Regeln ohne Bedingung</t>
  </si>
  <si>
    <t>Eine Regel, für die Outlook gar keine Bedingung liefert, ist lesbar und greift bei allen Mails, die bis zu ihr kommen (Sammelregel), oder ihre Bedingung wurde in Outlook im Web angelegt. Ist sie ausgeschaltet oder die letzte aktive Regel, sperrt sie nicht: Die Vorschau listet sie (Zeilen, die sie ändern, mit „Regel ohne sichtbare Bedingung“), vor dem Ausführen fragt das Makro ausdrücklich nach. Verschiebt oder stoppt sie aber und steht vor anderen aktiven Regeln – geprüft wird der Stand nach dem Plan, auch eine neue Regel dahinter zählt –, würde sie alles Folgende abfangen. Das ist unplausibel; das Makro sperrt dann das Speichern (Freigabe wie oben nur mit „Ja“; besser per Plan ans Ende setzen oder deaktivieren). Laut Export in Bestandsuebertragungen@ergo.de: „E - KWAD – Gruppenpostfach“; „TEST | Komplett an Celonis 09.10.2026“ (aus).</t>
  </si>
  <si>
    <t>Ablauf</t>
  </si>
  <si>
    <t>Blockiert eine ausgewählte Zeile, führt das Makro gar nichts aus. Fehler beim Ausführen: nichts wird gespeichert (Ordner legt das Makro erst unmittelbar vor dem Speichern an). Ändert sich die Lage in Outlook zwischen Vorschau und Speichern (Regel nicht mehr lesbar, Regel ohne Bedingung vor aktiven Regeln), speichert es nicht und setzt den Stand neu – mit „Ja“ fragt es eigens nach. Nach dem Speichern liest das Makro alle Regeln neu und vergleicht jede mit dem erwarteten Stand (Name, Reihenfolge, Bedingungen, Ausnahmen, Aktionen); weicht eine neu angelegte Regel ab (auch nur bei den Ausnahmen), bietet es an, sie sofort zu deaktivieren.</t>
  </si>
  <si>
    <t>Regeln live aus Outlook</t>
  </si>
  <si>
    <t>Noch nicht gelesen – Knopf „Regeln aus Outlook lesen“ im Blatt Umsetzung.</t>
  </si>
  <si>
    <t>Platz</t>
  </si>
  <si>
    <t>Bedingungen (sichtbar)</t>
  </si>
  <si>
    <t>Ausnahmen (sichtbar)</t>
  </si>
  <si>
    <t>Verschieben nach</t>
  </si>
  <si>
    <t>Kopieren nach</t>
  </si>
  <si>
    <t>Bedingungs-einträge</t>
  </si>
  <si>
    <t>Condition-Types (aktiv)</t>
  </si>
  <si>
    <t>Lesbar</t>
  </si>
  <si>
    <t>Sicherung vor dem Ausführen</t>
  </si>
  <si>
    <t>Wird vor jeder Ausführung ergänzt, nie überschrieben. Vollständig zurückspielen lässt sich der alte Stand nur mit dem Outlook-Export (.rwz).</t>
  </si>
  <si>
    <t>Zeitpunkt</t>
  </si>
  <si>
    <t>Jeder Lauf (Lesen, Vorschau, Ausführen) und jede Änderung in Outlook mit Zeitpunkt.</t>
  </si>
  <si>
    <t>Lauf</t>
  </si>
  <si>
    <t>Zeile</t>
  </si>
  <si>
    <t>Meldung</t>
  </si>
</sst>
</file>

<file path=xl/styles.xml><?xml version="1.0" encoding="utf-8"?>
<styleSheet xmlns="http://schemas.openxmlformats.org/spreadsheetml/2006/main">
  <numFmts count="2">
    <numFmt numFmtId="164" formatCode="#,##0"/>
    <numFmt numFmtId="165" formatCode="@"/>
  </numFmts>
  <fonts count="69">
    <font>
      <sz val="10"/>
      <color theme="1"/>
      <name val="Aptos"/>
      <family val="2"/>
    </font>
    <font>
      <b/>
      <sz val="22"/>
      <color rgb="FF1F2933"/>
      <name val="Aptos Display"/>
      <family val="2"/>
    </font>
    <font>
      <sz val="10"/>
      <color rgb="FF5F6B7A"/>
      <name val="Aptos"/>
      <family val="2"/>
    </font>
    <font>
      <b/>
      <sz val="8.5"/>
      <color rgb="FF5F6B7A"/>
      <name val="Aptos"/>
      <family val="2"/>
    </font>
    <font>
      <b/>
      <sz val="26"/>
      <color rgb="FF1F2933"/>
      <name val="Aptos Display"/>
      <family val="2"/>
    </font>
    <font>
      <b/>
      <sz val="26"/>
      <color rgb="FF1E7F4F"/>
      <name val="Aptos Display"/>
      <family val="2"/>
    </font>
    <font>
      <b/>
      <sz val="26"/>
      <color rgb="FF4A5360"/>
      <name val="Aptos Display"/>
      <family val="2"/>
    </font>
    <font>
      <b/>
      <sz val="26"/>
      <color rgb="FF8A5A00"/>
      <name val="Aptos Display"/>
      <family val="2"/>
    </font>
    <font>
      <b/>
      <sz val="26"/>
      <color rgb="FF0B6F7D"/>
      <name val="Aptos Display"/>
      <family val="2"/>
    </font>
    <font>
      <b/>
      <sz val="26"/>
      <color rgb="FFBF1528"/>
      <name val="Aptos Display"/>
      <family val="2"/>
    </font>
    <font>
      <sz val="9"/>
      <color rgb="FF5F6B7A"/>
      <name val="Aptos"/>
      <family val="2"/>
    </font>
    <font>
      <b/>
      <sz val="13"/>
      <color rgb="FF1F2933"/>
      <name val="Aptos Display"/>
      <family val="2"/>
    </font>
    <font>
      <b/>
      <sz val="10"/>
      <color rgb="FFFFFFFF"/>
      <name val="Aptos"/>
      <family val="2"/>
    </font>
    <font>
      <b/>
      <sz val="10"/>
      <color rgb="FF8E0F1E"/>
      <name val="Aptos"/>
      <family val="2"/>
    </font>
    <font>
      <sz val="10"/>
      <color rgb="FF1F2933"/>
      <name val="Aptos"/>
      <family val="2"/>
    </font>
    <font>
      <b/>
      <sz val="10"/>
      <color rgb="FF3B4F8A"/>
      <name val="Aptos"/>
      <family val="2"/>
    </font>
    <font>
      <b/>
      <sz val="10"/>
      <color rgb="FF0B6F7D"/>
      <name val="Aptos"/>
      <family val="2"/>
    </font>
    <font>
      <b/>
      <sz val="10"/>
      <color rgb="FF5B3E96"/>
      <name val="Aptos"/>
      <family val="2"/>
    </font>
    <font>
      <b/>
      <sz val="10"/>
      <color rgb="FF1E7F4F"/>
      <name val="Aptos"/>
      <family val="2"/>
    </font>
    <font>
      <sz val="9.5"/>
      <color rgb="FF8A5A00"/>
      <name val="Aptos"/>
      <family val="2"/>
    </font>
    <font>
      <b/>
      <sz val="10"/>
      <color rgb="FF8A5A00"/>
      <name val="Aptos"/>
      <family val="2"/>
    </font>
    <font>
      <b/>
      <sz val="10"/>
      <color rgb="FF9A4A00"/>
      <name val="Aptos"/>
      <family val="2"/>
    </font>
    <font>
      <b/>
      <sz val="10"/>
      <color rgb="FF4A5360"/>
      <name val="Aptos"/>
      <family val="2"/>
    </font>
    <font>
      <b/>
      <u/>
      <sz val="10"/>
      <color rgb="FFBF1528"/>
      <name val="Aptos"/>
      <family val="2"/>
    </font>
    <font>
      <b/>
      <sz val="10"/>
      <color rgb="FF1F2933"/>
      <name val="Aptos"/>
      <family val="2"/>
    </font>
    <font>
      <b/>
      <sz val="9"/>
      <color rgb="FF3B4F8A"/>
      <name val="Aptos"/>
      <family val="2"/>
    </font>
    <font>
      <b/>
      <sz val="9"/>
      <color rgb="FF0B6F7D"/>
      <name val="Aptos"/>
      <family val="2"/>
    </font>
    <font>
      <b/>
      <sz val="9"/>
      <color rgb="FF8A5A00"/>
      <name val="Aptos"/>
      <family val="2"/>
    </font>
    <font>
      <b/>
      <sz val="9"/>
      <color rgb="FF1E7F4F"/>
      <name val="Aptos"/>
      <family val="2"/>
    </font>
    <font>
      <b/>
      <sz val="9"/>
      <color rgb="FF4A5360"/>
      <name val="Aptos"/>
      <family val="2"/>
    </font>
    <font>
      <b/>
      <sz val="20"/>
      <color rgb="FF1F2933"/>
      <name val="Aptos Display"/>
      <family val="2"/>
    </font>
    <font>
      <b/>
      <sz val="16"/>
      <color rgb="FFBF1528"/>
      <name val="Aptos Display"/>
      <family val="2"/>
    </font>
    <font>
      <sz val="9.5"/>
      <color rgb="FF1F2933"/>
      <name val="Aptos"/>
      <family val="2"/>
    </font>
    <font>
      <b/>
      <sz val="12"/>
      <color rgb="FF1F2933"/>
      <name val="Aptos Display"/>
      <family val="2"/>
    </font>
    <font>
      <b/>
      <sz val="9.5"/>
      <color rgb="FF1F2933"/>
      <name val="Aptos"/>
      <family val="2"/>
    </font>
    <font>
      <sz val="9.5"/>
      <color rgb="FF5F6B7A"/>
      <name val="Aptos"/>
      <family val="2"/>
    </font>
    <font>
      <b/>
      <sz val="8.5"/>
      <color rgb="FF1F2933"/>
      <name val="Aptos"/>
      <family val="2"/>
    </font>
    <font>
      <sz val="9.5"/>
      <color rgb="FF1F2933"/>
      <name val="Aptos"/>
      <family val="2"/>
    </font>
    <font>
      <sz val="9"/>
      <color rgb="FF1F2933"/>
      <name val="Aptos"/>
      <family val="2"/>
    </font>
    <font>
      <b/>
      <sz val="9.5"/>
      <color rgb="FF8A5A00"/>
      <name val="Aptos"/>
      <family val="2"/>
    </font>
    <font>
      <b/>
      <sz val="9.5"/>
      <color rgb="FF9A4A00"/>
      <name val="Aptos"/>
      <family val="2"/>
    </font>
    <font>
      <sz val="9.5"/>
      <color rgb="FF9A4A00"/>
      <name val="Aptos"/>
      <family val="2"/>
    </font>
    <font>
      <b/>
      <sz val="10.5"/>
      <color rgb="FFFFFFFF"/>
      <name val="Aptos"/>
      <family val="2"/>
    </font>
    <font>
      <b/>
      <sz val="9"/>
      <color rgb="FF8E0F1E"/>
      <name val="Aptos"/>
      <family val="2"/>
    </font>
    <font>
      <i/>
      <sz val="10"/>
      <color rgb="FF9AA3AD"/>
      <name val="Aptos"/>
      <family val="2"/>
    </font>
    <font>
      <sz val="10"/>
      <color rgb="FF9AA3AD"/>
      <name val="Aptos"/>
      <family val="2"/>
    </font>
    <font>
      <sz val="9"/>
      <color rgb="FF5F6B7A"/>
      <name val="Aptos"/>
      <family val="2"/>
    </font>
    <font>
      <i/>
      <sz val="9"/>
      <color rgb="FF9AA3AD"/>
      <name val="Aptos"/>
      <family val="2"/>
    </font>
    <font>
      <sz val="10"/>
      <color rgb="FFC5CDD6"/>
      <name val="Aptos"/>
      <family val="2"/>
    </font>
    <font>
      <b/>
      <sz val="9"/>
      <color rgb="FF5B3E96"/>
      <name val="Aptos"/>
      <family val="2"/>
    </font>
    <font>
      <b/>
      <sz val="9.5"/>
      <color rgb="FF1E7F4F"/>
      <name val="Aptos"/>
      <family val="2"/>
    </font>
    <font>
      <b/>
      <sz val="10.5"/>
      <color rgb="FF1F2933"/>
      <name val="Aptos"/>
      <family val="2"/>
    </font>
    <font>
      <b/>
      <u/>
      <sz val="9.5"/>
      <color rgb="FFBF1528"/>
      <name val="Aptos"/>
      <family val="2"/>
    </font>
    <font>
      <i/>
      <sz val="10"/>
      <color rgb="FF1E7F4F"/>
      <name val="Aptos"/>
      <family val="2"/>
    </font>
    <font>
      <b/>
      <sz val="9"/>
      <color rgb="FF9A4A00"/>
      <name val="Aptos"/>
      <family val="2"/>
    </font>
    <font>
      <b/>
      <sz val="8.5"/>
      <color rgb="FF3B4F8A"/>
      <name val="Aptos"/>
      <family val="2"/>
    </font>
    <font>
      <b/>
      <sz val="8.5"/>
      <color rgb="FF1E7F4F"/>
      <name val="Aptos"/>
      <family val="2"/>
    </font>
    <font>
      <sz val="9"/>
      <color rgb="FF9AA3AD"/>
      <name val="Aptos"/>
      <family val="2"/>
    </font>
    <font>
      <sz val="10"/>
      <color rgb="FF1F2933"/>
      <name val="Aptos"/>
      <family val="2"/>
    </font>
    <font>
      <b/>
      <sz val="8.5"/>
      <color rgb="FF8A5A00"/>
      <name val="Aptos"/>
      <family val="2"/>
    </font>
    <font>
      <b/>
      <sz val="8.5"/>
      <color rgb="FF4A5360"/>
      <name val="Aptos"/>
      <family val="2"/>
    </font>
    <font>
      <sz val="10"/>
      <color rgb="FF9AA3AD"/>
      <name val="Aptos"/>
      <family val="2"/>
    </font>
    <font>
      <i/>
      <sz val="9.5"/>
      <color rgb="FF5F6B7A"/>
      <name val="Aptos"/>
      <family val="2"/>
    </font>
    <font>
      <b/>
      <sz val="9.5"/>
      <color rgb="FF5F6B7A"/>
      <name val="Aptos"/>
      <family val="2"/>
    </font>
    <font>
      <b/>
      <sz val="11"/>
      <color rgb="FFFFFFFF"/>
      <name val="Aptos"/>
      <family val="2"/>
    </font>
    <font>
      <b/>
      <sz val="8.5"/>
      <color rgb="FFFFFFFF"/>
      <name val="Aptos"/>
      <family val="2"/>
    </font>
    <font>
      <b/>
      <sz val="8.5"/>
      <color rgb="FF0B6F7D"/>
      <name val="Aptos"/>
      <family val="2"/>
    </font>
    <font>
      <b/>
      <sz val="10"/>
      <color rgb="FF9AA3AD"/>
      <name val="Aptos"/>
      <family val="2"/>
    </font>
    <font>
      <b/>
      <sz val="8.5"/>
      <color rgb="FF9AA3AD"/>
      <name val="Aptos"/>
      <family val="2"/>
    </font>
  </fonts>
  <fills count="16">
    <fill>
      <patternFill patternType="none"/>
    </fill>
    <fill>
      <patternFill patternType="gray125"/>
    </fill>
    <fill>
      <patternFill patternType="solid">
        <fgColor rgb="FFF3F5F8"/>
        <bgColor indexed="64"/>
      </patternFill>
    </fill>
    <fill>
      <patternFill patternType="solid">
        <fgColor rgb="FF1F2933"/>
        <bgColor indexed="64"/>
      </patternFill>
    </fill>
    <fill>
      <patternFill patternType="solid">
        <fgColor rgb="FFFBE9EB"/>
        <bgColor indexed="64"/>
      </patternFill>
    </fill>
    <fill>
      <patternFill patternType="solid">
        <fgColor rgb="FFE3E7F3"/>
        <bgColor indexed="64"/>
      </patternFill>
    </fill>
    <fill>
      <patternFill patternType="solid">
        <fgColor rgb="FFCCEBED"/>
        <bgColor indexed="64"/>
      </patternFill>
    </fill>
    <fill>
      <patternFill patternType="solid">
        <fgColor rgb="FFECE6F5"/>
        <bgColor indexed="64"/>
      </patternFill>
    </fill>
    <fill>
      <patternFill patternType="solid">
        <fgColor rgb="FFDDF3E4"/>
        <bgColor indexed="64"/>
      </patternFill>
    </fill>
    <fill>
      <patternFill patternType="solid">
        <fgColor rgb="FFFBEFC7"/>
        <bgColor indexed="64"/>
      </patternFill>
    </fill>
    <fill>
      <patternFill patternType="solid">
        <fgColor rgb="FFFDE8D4"/>
        <bgColor indexed="64"/>
      </patternFill>
    </fill>
    <fill>
      <patternFill patternType="solid">
        <fgColor rgb="FFE9ECF0"/>
        <bgColor indexed="64"/>
      </patternFill>
    </fill>
    <fill>
      <patternFill patternType="solid">
        <fgColor rgb="FFFFF8E1"/>
        <bgColor indexed="64"/>
      </patternFill>
    </fill>
    <fill>
      <patternFill patternType="solid">
        <fgColor rgb="FFEEF1F5"/>
        <bgColor indexed="64"/>
      </patternFill>
    </fill>
    <fill>
      <patternFill patternType="solid">
        <fgColor rgb="FFFFFFFF"/>
        <bgColor indexed="64"/>
      </patternFill>
    </fill>
    <fill>
      <patternFill patternType="solid">
        <fgColor rgb="FFE6F4F5"/>
        <bgColor indexed="64"/>
      </patternFill>
    </fill>
  </fills>
  <borders count="11">
    <border>
      <left/>
      <right/>
      <top/>
      <bottom/>
      <diagonal/>
    </border>
    <border>
      <left style="thin">
        <color rgb="FF1F2933"/>
      </left>
      <right style="thin">
        <color rgb="FF1F2933"/>
      </right>
      <top style="thin">
        <color rgb="FF1F2933"/>
      </top>
      <bottom style="thin">
        <color rgb="FF1F2933"/>
      </bottom>
      <diagonal/>
    </border>
    <border>
      <left style="medium">
        <color rgb="FFFFFFFF"/>
      </left>
      <right style="medium">
        <color rgb="FFFFFFFF"/>
      </right>
      <top style="medium">
        <color rgb="FFFFFFFF"/>
      </top>
      <bottom style="medium">
        <color rgb="FFFFFFFF"/>
      </bottom>
      <diagonal/>
    </border>
    <border>
      <left/>
      <right/>
      <top/>
      <bottom style="thin">
        <color rgb="FFE3E7EC"/>
      </bottom>
      <diagonal/>
    </border>
    <border>
      <left/>
      <right/>
      <top style="thin">
        <color rgb="FF1F2933"/>
      </top>
      <bottom/>
      <diagonal/>
    </border>
    <border>
      <left style="thin">
        <color rgb="FFE8D9A8"/>
      </left>
      <right style="thin">
        <color rgb="FFE8D9A8"/>
      </right>
      <top style="thin">
        <color rgb="FFE8D9A8"/>
      </top>
      <bottom style="thin">
        <color rgb="FFE8D9A8"/>
      </bottom>
      <diagonal/>
    </border>
    <border>
      <left/>
      <right/>
      <top style="medium">
        <color rgb="FFC5CDD6"/>
      </top>
      <bottom style="thin">
        <color rgb="FFE3E7EC"/>
      </bottom>
      <diagonal/>
    </border>
    <border>
      <left/>
      <right/>
      <top style="thin">
        <color rgb="FFC5CDD6"/>
      </top>
      <bottom/>
      <diagonal/>
    </border>
    <border>
      <left style="medium">
        <color rgb="FFEEF1F5"/>
      </left>
      <right style="medium">
        <color rgb="FFEEF1F5"/>
      </right>
      <top style="medium">
        <color rgb="FFEEF1F5"/>
      </top>
      <bottom style="medium">
        <color rgb="FFEEF1F5"/>
      </bottom>
      <diagonal/>
    </border>
    <border>
      <left/>
      <right/>
      <top style="thin">
        <color rgb="FFC5CDD6"/>
      </top>
      <bottom style="thin">
        <color rgb="FFE3E7EC"/>
      </bottom>
      <diagonal/>
    </border>
    <border>
      <left/>
      <right/>
      <top style="medium">
        <color rgb="FF1F2933"/>
      </top>
      <bottom/>
      <diagonal/>
    </border>
  </borders>
  <cellStyleXfs count="1">
    <xf numFmtId="0" fontId="0" fillId="0" borderId="0"/>
  </cellStyleXfs>
  <cellXfs count="154">
    <xf numFmtId="0" fontId="0" fillId="0" borderId="0" xfId="0"/>
    <xf numFmtId="0" fontId="1" fillId="0" borderId="0" xfId="0" applyFont="1" applyAlignment="1"/>
    <xf numFmtId="0" fontId="2" fillId="0" borderId="0" xfId="0" applyFont="1" applyAlignment="1">
      <alignment vertical="center"/>
    </xf>
    <xf numFmtId="0" fontId="3" fillId="2" borderId="0" xfId="0" applyFont="1" applyFill="1" applyAlignment="1">
      <alignment indent="1"/>
    </xf>
    <xf numFmtId="164" fontId="4" fillId="2" borderId="0" xfId="0" applyNumberFormat="1" applyFont="1" applyFill="1" applyAlignment="1">
      <alignment horizontal="left" vertical="center" indent="1"/>
    </xf>
    <xf numFmtId="164" fontId="5" fillId="2" borderId="0" xfId="0" applyNumberFormat="1" applyFont="1" applyFill="1" applyAlignment="1">
      <alignment horizontal="left" vertical="center" indent="1"/>
    </xf>
    <xf numFmtId="164" fontId="6" fillId="2" borderId="0" xfId="0" applyNumberFormat="1" applyFont="1" applyFill="1" applyAlignment="1">
      <alignment horizontal="left" vertical="center" indent="1"/>
    </xf>
    <xf numFmtId="164" fontId="7" fillId="2" borderId="0" xfId="0" applyNumberFormat="1" applyFont="1" applyFill="1" applyAlignment="1">
      <alignment horizontal="left" vertical="center" indent="1"/>
    </xf>
    <xf numFmtId="164" fontId="8" fillId="2" borderId="0" xfId="0" applyNumberFormat="1" applyFont="1" applyFill="1" applyAlignment="1">
      <alignment horizontal="left" vertical="center" indent="1"/>
    </xf>
    <xf numFmtId="164" fontId="9" fillId="2" borderId="0" xfId="0" applyNumberFormat="1" applyFont="1" applyFill="1" applyAlignment="1">
      <alignment horizontal="left" vertical="center" indent="1"/>
    </xf>
    <xf numFmtId="0" fontId="10" fillId="2" borderId="0" xfId="0" applyFont="1" applyFill="1" applyAlignment="1">
      <alignment vertical="top" indent="1"/>
    </xf>
    <xf numFmtId="0" fontId="11" fillId="0" borderId="0" xfId="0" applyFont="1" applyAlignment="1"/>
    <xf numFmtId="0" fontId="12" fillId="3" borderId="1" xfId="0" applyFont="1" applyFill="1" applyBorder="1" applyAlignment="1">
      <alignment horizontal="left" vertical="center" indent="1" wrapText="1"/>
    </xf>
    <xf numFmtId="0" fontId="12" fillId="3" borderId="1" xfId="0" applyFont="1" applyFill="1" applyBorder="1" applyAlignment="1">
      <alignment horizontal="center" vertical="center" wrapText="1"/>
    </xf>
    <xf numFmtId="0" fontId="13" fillId="4" borderId="2" xfId="0" applyFont="1" applyFill="1" applyBorder="1" applyAlignment="1">
      <alignment horizontal="left" vertical="center" indent="1"/>
    </xf>
    <xf numFmtId="164" fontId="14" fillId="0" borderId="3" xfId="0" applyNumberFormat="1" applyFont="1" applyBorder="1" applyAlignment="1">
      <alignment horizontal="center" vertical="center"/>
    </xf>
    <xf numFmtId="0" fontId="2" fillId="0" borderId="3" xfId="0" applyFont="1" applyBorder="1" applyAlignment="1">
      <alignment horizontal="left" vertical="center" indent="1"/>
    </xf>
    <xf numFmtId="0" fontId="15" fillId="5" borderId="2" xfId="0" applyFont="1" applyFill="1" applyBorder="1" applyAlignment="1">
      <alignment horizontal="left" vertical="center" indent="1"/>
    </xf>
    <xf numFmtId="0" fontId="16" fillId="6" borderId="2" xfId="0" applyFont="1" applyFill="1" applyBorder="1" applyAlignment="1">
      <alignment horizontal="left" vertical="center" indent="1"/>
    </xf>
    <xf numFmtId="0" fontId="17" fillId="7" borderId="2" xfId="0" applyFont="1" applyFill="1" applyBorder="1" applyAlignment="1">
      <alignment horizontal="left" vertical="center" indent="1"/>
    </xf>
    <xf numFmtId="0" fontId="18" fillId="8" borderId="2" xfId="0" applyFont="1" applyFill="1" applyBorder="1" applyAlignment="1">
      <alignment horizontal="left" vertical="center" indent="1"/>
    </xf>
    <xf numFmtId="0" fontId="19" fillId="9" borderId="0" xfId="0" applyFont="1" applyFill="1" applyAlignment="1">
      <alignment horizontal="left" vertical="center" indent="1" wrapText="1"/>
    </xf>
    <xf numFmtId="0" fontId="20" fillId="9" borderId="2" xfId="0" applyFont="1" applyFill="1" applyBorder="1" applyAlignment="1">
      <alignment horizontal="left" vertical="center" indent="1"/>
    </xf>
    <xf numFmtId="0" fontId="21" fillId="10" borderId="2" xfId="0" applyFont="1" applyFill="1" applyBorder="1" applyAlignment="1">
      <alignment horizontal="left" vertical="center" indent="1"/>
    </xf>
    <xf numFmtId="0" fontId="22" fillId="11" borderId="2" xfId="0" applyFont="1" applyFill="1" applyBorder="1" applyAlignment="1">
      <alignment horizontal="left" vertical="center" indent="1"/>
    </xf>
    <xf numFmtId="0" fontId="23" fillId="0" borderId="0" xfId="0" applyFont="1" applyAlignment="1">
      <alignment horizontal="left" vertical="center" indent="1"/>
    </xf>
    <xf numFmtId="0" fontId="24" fillId="0" borderId="3" xfId="0" applyFont="1" applyBorder="1" applyAlignment="1">
      <alignment horizontal="left" vertical="center" indent="1"/>
    </xf>
    <xf numFmtId="0" fontId="24" fillId="0" borderId="4" xfId="0" applyFont="1" applyBorder="1" applyAlignment="1">
      <alignment horizontal="left" vertical="center" indent="1"/>
    </xf>
    <xf numFmtId="164" fontId="24" fillId="0" borderId="4" xfId="0" applyNumberFormat="1" applyFont="1" applyBorder="1" applyAlignment="1">
      <alignment horizontal="center" vertical="center"/>
    </xf>
    <xf numFmtId="0" fontId="23" fillId="0" borderId="3" xfId="0" applyFont="1" applyBorder="1" applyAlignment="1">
      <alignment horizontal="left" vertical="center" indent="1"/>
    </xf>
    <xf numFmtId="0" fontId="14" fillId="0" borderId="3" xfId="0" applyFont="1" applyBorder="1" applyAlignment="1">
      <alignment horizontal="left" vertical="center" indent="1"/>
    </xf>
    <xf numFmtId="0" fontId="25" fillId="5" borderId="2" xfId="0" applyFont="1" applyFill="1" applyBorder="1" applyAlignment="1">
      <alignment horizontal="center" vertical="center"/>
    </xf>
    <xf numFmtId="0" fontId="26" fillId="6" borderId="2" xfId="0" applyFont="1" applyFill="1" applyBorder="1" applyAlignment="1">
      <alignment horizontal="center" vertical="center"/>
    </xf>
    <xf numFmtId="0" fontId="27" fillId="9" borderId="2" xfId="0" applyFont="1" applyFill="1" applyBorder="1" applyAlignment="1">
      <alignment horizontal="center" vertical="center"/>
    </xf>
    <xf numFmtId="0" fontId="28" fillId="8" borderId="2" xfId="0" applyFont="1" applyFill="1" applyBorder="1" applyAlignment="1">
      <alignment horizontal="center" vertical="center"/>
    </xf>
    <xf numFmtId="0" fontId="29" fillId="11" borderId="2" xfId="0" applyFont="1" applyFill="1" applyBorder="1" applyAlignment="1">
      <alignment horizontal="center" vertical="center"/>
    </xf>
    <xf numFmtId="0" fontId="30" fillId="0" borderId="0" xfId="0" applyFont="1" applyAlignment="1"/>
    <xf numFmtId="0" fontId="31" fillId="2" borderId="0" xfId="0" applyFont="1" applyFill="1" applyAlignment="1">
      <alignment horizontal="center" vertical="center"/>
    </xf>
    <xf numFmtId="0" fontId="14" fillId="2" borderId="0" xfId="0" applyFont="1" applyFill="1" applyAlignment="1">
      <alignment vertical="center"/>
    </xf>
    <xf numFmtId="0" fontId="32" fillId="2" borderId="0" xfId="0" applyFont="1" applyFill="1" applyAlignment="1">
      <alignment horizontal="left" vertical="center" indent="1" wrapText="1"/>
    </xf>
    <xf numFmtId="0" fontId="33" fillId="0" borderId="0" xfId="0" applyFont="1" applyAlignment="1"/>
    <xf numFmtId="0" fontId="34" fillId="0" borderId="3" xfId="0" applyFont="1" applyBorder="1" applyAlignment="1">
      <alignment horizontal="left" vertical="center" indent="1" wrapText="1"/>
    </xf>
    <xf numFmtId="165" fontId="24" fillId="12" borderId="5" xfId="0" applyNumberFormat="1" applyFont="1" applyFill="1" applyBorder="1" applyAlignment="1">
      <alignment horizontal="left" vertical="center" indent="1"/>
    </xf>
    <xf numFmtId="0" fontId="10" fillId="0" borderId="3" xfId="0" applyFont="1" applyBorder="1" applyAlignment="1">
      <alignment horizontal="left" vertical="center" indent="1" wrapText="1"/>
    </xf>
    <xf numFmtId="165" fontId="22" fillId="11" borderId="0" xfId="0" applyNumberFormat="1" applyFont="1" applyFill="1" applyAlignment="1">
      <alignment vertical="top" indent="1" wrapText="1"/>
    </xf>
    <xf numFmtId="165" fontId="14" fillId="0" borderId="3" xfId="0" applyNumberFormat="1" applyFont="1" applyBorder="1" applyAlignment="1">
      <alignment horizontal="left" vertical="center" indent="1"/>
    </xf>
    <xf numFmtId="165" fontId="2" fillId="0" borderId="3" xfId="0" applyNumberFormat="1" applyFont="1" applyBorder="1" applyAlignment="1">
      <alignment horizontal="left" vertical="center" indent="1"/>
    </xf>
    <xf numFmtId="0" fontId="34" fillId="0" borderId="3" xfId="0" applyFont="1" applyBorder="1" applyAlignment="1">
      <alignment horizontal="right" vertical="center" indent="1"/>
    </xf>
    <xf numFmtId="0" fontId="35" fillId="0" borderId="0" xfId="0" applyFont="1" applyAlignment="1"/>
    <xf numFmtId="0" fontId="2" fillId="0" borderId="3" xfId="0" applyFont="1" applyBorder="1" applyAlignment="1">
      <alignment horizontal="center" vertical="top"/>
    </xf>
    <xf numFmtId="165" fontId="24" fillId="0" borderId="3" xfId="0" applyNumberFormat="1" applyFont="1" applyBorder="1" applyAlignment="1">
      <alignment horizontal="center" vertical="top"/>
    </xf>
    <xf numFmtId="165" fontId="36" fillId="0" borderId="3" xfId="0" applyNumberFormat="1" applyFont="1" applyBorder="1" applyAlignment="1">
      <alignment horizontal="left" vertical="top" indent="1" wrapText="1"/>
    </xf>
    <xf numFmtId="165" fontId="34" fillId="0" borderId="3" xfId="0" applyNumberFormat="1" applyFont="1" applyBorder="1" applyAlignment="1">
      <alignment horizontal="left" vertical="top" indent="1" wrapText="1"/>
    </xf>
    <xf numFmtId="165" fontId="37" fillId="0" borderId="3" xfId="0" applyNumberFormat="1" applyFont="1" applyBorder="1" applyAlignment="1">
      <alignment horizontal="left" vertical="top" indent="1" wrapText="1"/>
    </xf>
    <xf numFmtId="165" fontId="38" fillId="0" borderId="3" xfId="0" applyNumberFormat="1" applyFont="1" applyBorder="1" applyAlignment="1">
      <alignment horizontal="left" vertical="top" indent="1" wrapText="1"/>
    </xf>
    <xf numFmtId="0" fontId="10" fillId="0" borderId="3" xfId="0" applyFont="1" applyBorder="1" applyAlignment="1">
      <alignment horizontal="left" vertical="top" indent="1" wrapText="1"/>
    </xf>
    <xf numFmtId="0" fontId="36" fillId="0" borderId="3" xfId="0" applyFont="1" applyBorder="1" applyAlignment="1">
      <alignment horizontal="left" vertical="center" indent="1" wrapText="1"/>
    </xf>
    <xf numFmtId="0" fontId="10" fillId="0" borderId="3" xfId="0" applyFont="1" applyBorder="1" applyAlignment="1">
      <alignment horizontal="left" vertical="center" indent="1" wrapText="1"/>
    </xf>
    <xf numFmtId="0" fontId="38" fillId="0" borderId="3" xfId="0" applyFont="1" applyBorder="1" applyAlignment="1">
      <alignment horizontal="left" vertical="center" indent="1" wrapText="1"/>
    </xf>
    <xf numFmtId="0" fontId="39" fillId="9" borderId="0" xfId="0" applyFont="1" applyFill="1" applyAlignment="1">
      <alignment vertical="top" indent="1"/>
    </xf>
    <xf numFmtId="0" fontId="19" fillId="9" borderId="0" xfId="0" applyFont="1" applyFill="1" applyAlignment="1">
      <alignment vertical="top" indent="1" wrapText="1"/>
    </xf>
    <xf numFmtId="0" fontId="40" fillId="10" borderId="0" xfId="0" applyFont="1" applyFill="1" applyAlignment="1">
      <alignment vertical="top" indent="1"/>
    </xf>
    <xf numFmtId="0" fontId="41" fillId="10" borderId="0" xfId="0" applyFont="1" applyFill="1" applyAlignment="1">
      <alignment vertical="top" indent="1" wrapText="1"/>
    </xf>
    <xf numFmtId="0" fontId="34" fillId="2" borderId="0" xfId="0" applyFont="1" applyFill="1" applyAlignment="1">
      <alignment vertical="top" indent="1"/>
    </xf>
    <xf numFmtId="0" fontId="32" fillId="2" borderId="0" xfId="0" applyFont="1" applyFill="1" applyAlignment="1">
      <alignment vertical="top" indent="1" wrapText="1"/>
    </xf>
    <xf numFmtId="0" fontId="35" fillId="0" borderId="0" xfId="0" applyFont="1" applyAlignment="1">
      <alignment vertical="center"/>
    </xf>
    <xf numFmtId="0" fontId="42" fillId="3" borderId="0" xfId="0" applyFont="1" applyFill="1" applyAlignment="1">
      <alignment horizontal="left" vertical="center" indent="1"/>
    </xf>
    <xf numFmtId="0" fontId="43" fillId="4" borderId="2" xfId="0" applyFont="1" applyFill="1" applyBorder="1" applyAlignment="1">
      <alignment horizontal="left" vertical="center" indent="1"/>
    </xf>
    <xf numFmtId="0" fontId="24" fillId="0" borderId="3" xfId="0" applyFont="1" applyBorder="1" applyAlignment="1">
      <alignment horizontal="left" vertical="center" indent="1" wrapText="1"/>
    </xf>
    <xf numFmtId="0" fontId="24" fillId="0" borderId="3" xfId="0" applyFont="1" applyBorder="1" applyAlignment="1">
      <alignment horizontal="center" vertical="center"/>
    </xf>
    <xf numFmtId="0" fontId="44" fillId="0" borderId="3" xfId="0" applyFont="1" applyBorder="1" applyAlignment="1">
      <alignment horizontal="center" vertical="center"/>
    </xf>
    <xf numFmtId="0" fontId="13" fillId="4" borderId="2" xfId="0" applyFont="1" applyFill="1" applyBorder="1" applyAlignment="1">
      <alignment horizontal="center" vertical="center"/>
    </xf>
    <xf numFmtId="0" fontId="45" fillId="0" borderId="3" xfId="0" applyFont="1" applyBorder="1" applyAlignment="1">
      <alignment horizontal="center" vertical="center"/>
    </xf>
    <xf numFmtId="0" fontId="14" fillId="0" borderId="3" xfId="0" applyFont="1" applyBorder="1" applyAlignment="1">
      <alignment horizontal="left" vertical="center" indent="1" wrapText="1"/>
    </xf>
    <xf numFmtId="0" fontId="46" fillId="0" borderId="3" xfId="0" applyFont="1" applyBorder="1" applyAlignment="1">
      <alignment horizontal="left" vertical="center" indent="1" wrapText="1"/>
    </xf>
    <xf numFmtId="0" fontId="47" fillId="0" borderId="3" xfId="0" applyFont="1" applyBorder="1" applyAlignment="1">
      <alignment horizontal="left" vertical="center" indent="1" wrapText="1"/>
    </xf>
    <xf numFmtId="0" fontId="25" fillId="5" borderId="2" xfId="0" applyFont="1" applyFill="1" applyBorder="1" applyAlignment="1">
      <alignment horizontal="left" vertical="center" indent="1"/>
    </xf>
    <xf numFmtId="0" fontId="26" fillId="6" borderId="2" xfId="0" applyFont="1" applyFill="1" applyBorder="1" applyAlignment="1">
      <alignment horizontal="left" vertical="center" indent="1"/>
    </xf>
    <xf numFmtId="0" fontId="48" fillId="0" borderId="3" xfId="0" applyFont="1" applyBorder="1" applyAlignment="1">
      <alignment horizontal="center" vertical="center"/>
    </xf>
    <xf numFmtId="0" fontId="48" fillId="0" borderId="3" xfId="0" applyFont="1" applyBorder="1" applyAlignment="1">
      <alignment horizontal="center" vertical="center"/>
    </xf>
    <xf numFmtId="0" fontId="48" fillId="0" borderId="3" xfId="0" applyFont="1" applyBorder="1" applyAlignment="1">
      <alignment horizontal="left" vertical="center" indent="1"/>
    </xf>
    <xf numFmtId="0" fontId="49" fillId="7" borderId="2" xfId="0" applyFont="1" applyFill="1" applyBorder="1" applyAlignment="1">
      <alignment horizontal="left" vertical="center" indent="1"/>
    </xf>
    <xf numFmtId="0" fontId="50" fillId="8" borderId="0" xfId="0" applyFont="1" applyFill="1" applyAlignment="1">
      <alignment horizontal="left" vertical="center" indent="1" wrapText="1"/>
    </xf>
    <xf numFmtId="0" fontId="51" fillId="0" borderId="0" xfId="0" applyFont="1" applyAlignment="1"/>
    <xf numFmtId="0" fontId="32" fillId="0" borderId="0" xfId="0" applyFont="1" applyAlignment="1">
      <alignment vertical="center"/>
    </xf>
    <xf numFmtId="0" fontId="52" fillId="0" borderId="0" xfId="0" applyFont="1" applyAlignment="1">
      <alignment vertical="center"/>
    </xf>
    <xf numFmtId="0" fontId="25" fillId="5" borderId="2" xfId="0" applyFont="1" applyFill="1" applyBorder="1" applyAlignment="1">
      <alignment vertical="top" indent="1"/>
    </xf>
    <xf numFmtId="0" fontId="24" fillId="0" borderId="3" xfId="0" applyFont="1" applyBorder="1" applyAlignment="1">
      <alignment horizontal="left" vertical="top" indent="1" wrapText="1"/>
    </xf>
    <xf numFmtId="0" fontId="24" fillId="0" borderId="3" xfId="0" applyFont="1" applyBorder="1" applyAlignment="1">
      <alignment horizontal="center" vertical="top"/>
    </xf>
    <xf numFmtId="0" fontId="14" fillId="0" borderId="3" xfId="0" applyFont="1" applyBorder="1" applyAlignment="1">
      <alignment horizontal="left" vertical="top" indent="1" wrapText="1"/>
    </xf>
    <xf numFmtId="0" fontId="53" fillId="0" borderId="3" xfId="0" applyFont="1" applyBorder="1" applyAlignment="1">
      <alignment horizontal="left" vertical="top" indent="1" wrapText="1"/>
    </xf>
    <xf numFmtId="0" fontId="2" fillId="0" borderId="3" xfId="0" applyFont="1" applyBorder="1" applyAlignment="1">
      <alignment horizontal="left" vertical="top" indent="1" wrapText="1"/>
    </xf>
    <xf numFmtId="0" fontId="28" fillId="8" borderId="2" xfId="0" applyFont="1" applyFill="1" applyBorder="1" applyAlignment="1">
      <alignment vertical="top" indent="1"/>
    </xf>
    <xf numFmtId="0" fontId="27" fillId="9" borderId="2" xfId="0" applyFont="1" applyFill="1" applyBorder="1" applyAlignment="1">
      <alignment vertical="top" indent="1"/>
    </xf>
    <xf numFmtId="0" fontId="54" fillId="10" borderId="2" xfId="0" applyFont="1" applyFill="1" applyBorder="1" applyAlignment="1">
      <alignment vertical="top" indent="1"/>
    </xf>
    <xf numFmtId="0" fontId="29" fillId="11" borderId="2" xfId="0" applyFont="1" applyFill="1" applyBorder="1" applyAlignment="1">
      <alignment vertical="top" indent="1"/>
    </xf>
    <xf numFmtId="0" fontId="55" fillId="5" borderId="2" xfId="0" applyFont="1" applyFill="1" applyBorder="1" applyAlignment="1">
      <alignment horizontal="left" vertical="center" indent="1" wrapText="1"/>
    </xf>
    <xf numFmtId="0" fontId="56" fillId="8" borderId="2" xfId="0" applyFont="1" applyFill="1" applyBorder="1" applyAlignment="1">
      <alignment horizontal="left" vertical="center" indent="1" wrapText="1"/>
    </xf>
    <xf numFmtId="0" fontId="57" fillId="0" borderId="3" xfId="0" applyFont="1" applyBorder="1" applyAlignment="1">
      <alignment horizontal="left" vertical="center" indent="1"/>
    </xf>
    <xf numFmtId="0" fontId="58" fillId="0" borderId="3" xfId="0" applyFont="1" applyBorder="1" applyAlignment="1">
      <alignment horizontal="left" vertical="center" indent="1"/>
    </xf>
    <xf numFmtId="0" fontId="59" fillId="9" borderId="2" xfId="0" applyFont="1" applyFill="1" applyBorder="1" applyAlignment="1">
      <alignment horizontal="left" vertical="center" indent="1" wrapText="1"/>
    </xf>
    <xf numFmtId="0" fontId="60" fillId="11" borderId="2" xfId="0" applyFont="1" applyFill="1" applyBorder="1" applyAlignment="1">
      <alignment horizontal="left" vertical="center" indent="1" wrapText="1"/>
    </xf>
    <xf numFmtId="0" fontId="61" fillId="0" borderId="3" xfId="0" applyFont="1" applyBorder="1" applyAlignment="1">
      <alignment horizontal="left" vertical="center" indent="1"/>
    </xf>
    <xf numFmtId="0" fontId="62" fillId="0" borderId="0" xfId="0" applyFont="1" applyAlignment="1">
      <alignment vertical="center"/>
    </xf>
    <xf numFmtId="0" fontId="2" fillId="0" borderId="3" xfId="0" applyFont="1" applyBorder="1" applyAlignment="1">
      <alignment horizontal="center" vertical="center"/>
    </xf>
    <xf numFmtId="0" fontId="58" fillId="0" borderId="0" xfId="0" applyFont="1" applyAlignment="1">
      <alignment horizontal="left" vertical="center"/>
    </xf>
    <xf numFmtId="0" fontId="24" fillId="0" borderId="0" xfId="0" applyFont="1" applyAlignment="1">
      <alignment horizontal="left" vertical="center"/>
    </xf>
    <xf numFmtId="0" fontId="14" fillId="0" borderId="3" xfId="0" applyFont="1" applyBorder="1" applyAlignment="1">
      <alignment horizontal="center" vertical="center"/>
    </xf>
    <xf numFmtId="0" fontId="2" fillId="0" borderId="6" xfId="0" applyFont="1" applyBorder="1" applyAlignment="1">
      <alignment horizontal="center" vertical="center"/>
    </xf>
    <xf numFmtId="0" fontId="2" fillId="0" borderId="6" xfId="0" applyFont="1" applyBorder="1" applyAlignment="1">
      <alignment horizontal="left" vertical="center" indent="1"/>
    </xf>
    <xf numFmtId="0" fontId="24" fillId="0" borderId="6" xfId="0" applyFont="1" applyBorder="1" applyAlignment="1">
      <alignment horizontal="left" vertical="center" indent="1" wrapText="1"/>
    </xf>
    <xf numFmtId="0" fontId="14" fillId="0" borderId="6" xfId="0" applyFont="1" applyBorder="1" applyAlignment="1">
      <alignment horizontal="center" vertical="center"/>
    </xf>
    <xf numFmtId="0" fontId="14" fillId="0" borderId="6" xfId="0" applyFont="1" applyBorder="1" applyAlignment="1">
      <alignment horizontal="left" vertical="center" indent="1" wrapText="1"/>
    </xf>
    <xf numFmtId="0" fontId="63" fillId="0" borderId="0" xfId="0" applyFont="1" applyAlignment="1">
      <alignment vertical="center"/>
    </xf>
    <xf numFmtId="0" fontId="35" fillId="0" borderId="0" xfId="0" applyFont="1" applyAlignment="1">
      <alignment vertical="top" wrapText="1"/>
    </xf>
    <xf numFmtId="0" fontId="64" fillId="3" borderId="0" xfId="0" applyFont="1" applyFill="1" applyAlignment="1">
      <alignment horizontal="left" vertical="center" indent="1"/>
    </xf>
    <xf numFmtId="0" fontId="10" fillId="13" borderId="7" xfId="0" applyFont="1" applyFill="1" applyBorder="1" applyAlignment="1">
      <alignment horizontal="left" vertical="center" indent="1"/>
    </xf>
    <xf numFmtId="0" fontId="24" fillId="13" borderId="7" xfId="0" applyFont="1" applyFill="1" applyBorder="1" applyAlignment="1">
      <alignment horizontal="center" vertical="center"/>
    </xf>
    <xf numFmtId="0" fontId="65" fillId="3" borderId="8" xfId="0" applyFont="1" applyFill="1" applyBorder="1" applyAlignment="1">
      <alignment horizontal="center" vertical="center"/>
    </xf>
    <xf numFmtId="0" fontId="24" fillId="13" borderId="7" xfId="0" applyFont="1" applyFill="1" applyBorder="1" applyAlignment="1">
      <alignment horizontal="left" vertical="center" indent="1" wrapText="1"/>
    </xf>
    <xf numFmtId="0" fontId="10" fillId="13" borderId="7" xfId="0" applyFont="1" applyFill="1" applyBorder="1" applyAlignment="1">
      <alignment horizontal="left" vertical="center" indent="1" wrapText="1"/>
    </xf>
    <xf numFmtId="0" fontId="14" fillId="0" borderId="0" xfId="0" applyFont="1" applyAlignment="1">
      <alignment vertical="center"/>
    </xf>
    <xf numFmtId="0" fontId="55" fillId="5" borderId="2" xfId="0" applyFont="1" applyFill="1" applyBorder="1" applyAlignment="1">
      <alignment horizontal="center" vertical="center"/>
    </xf>
    <xf numFmtId="0" fontId="58" fillId="14" borderId="3" xfId="0" applyFont="1" applyFill="1" applyBorder="1" applyAlignment="1">
      <alignment horizontal="left" vertical="center" indent="1" wrapText="1"/>
    </xf>
    <xf numFmtId="0" fontId="14" fillId="0" borderId="3" xfId="0" applyFont="1" applyBorder="1" applyAlignment="1">
      <alignment horizontal="left" vertical="center" indent="1" wrapText="1"/>
    </xf>
    <xf numFmtId="0" fontId="66" fillId="6" borderId="2" xfId="0" applyFont="1" applyFill="1" applyBorder="1" applyAlignment="1">
      <alignment horizontal="center" vertical="center"/>
    </xf>
    <xf numFmtId="0" fontId="66" fillId="15" borderId="2" xfId="0" applyFont="1" applyFill="1" applyBorder="1" applyAlignment="1">
      <alignment horizontal="center" vertical="center"/>
    </xf>
    <xf numFmtId="0" fontId="14" fillId="0" borderId="3" xfId="0" applyFont="1" applyBorder="1" applyAlignment="1">
      <alignment vertical="center"/>
    </xf>
    <xf numFmtId="0" fontId="59" fillId="9" borderId="2" xfId="0" applyFont="1" applyFill="1" applyBorder="1" applyAlignment="1">
      <alignment horizontal="center" vertical="center"/>
    </xf>
    <xf numFmtId="0" fontId="20" fillId="9" borderId="3" xfId="0" applyFont="1" applyFill="1" applyBorder="1" applyAlignment="1">
      <alignment horizontal="left" vertical="center" indent="1" wrapText="1"/>
    </xf>
    <xf numFmtId="0" fontId="57" fillId="13" borderId="7" xfId="0" applyFont="1" applyFill="1" applyBorder="1" applyAlignment="1">
      <alignment horizontal="left" vertical="center" indent="1"/>
    </xf>
    <xf numFmtId="0" fontId="67" fillId="13" borderId="7" xfId="0" applyFont="1" applyFill="1" applyBorder="1" applyAlignment="1">
      <alignment horizontal="center" vertical="center"/>
    </xf>
    <xf numFmtId="0" fontId="60" fillId="11" borderId="8" xfId="0" applyFont="1" applyFill="1" applyBorder="1" applyAlignment="1">
      <alignment horizontal="center" vertical="center"/>
    </xf>
    <xf numFmtId="0" fontId="67" fillId="13" borderId="7" xfId="0" applyFont="1" applyFill="1" applyBorder="1" applyAlignment="1">
      <alignment horizontal="left" vertical="center" indent="1" wrapText="1"/>
    </xf>
    <xf numFmtId="0" fontId="57" fillId="13" borderId="7" xfId="0" applyFont="1" applyFill="1" applyBorder="1" applyAlignment="1">
      <alignment horizontal="left" vertical="center" indent="1" wrapText="1"/>
    </xf>
    <xf numFmtId="0" fontId="68" fillId="11" borderId="2" xfId="0" applyFont="1" applyFill="1" applyBorder="1" applyAlignment="1">
      <alignment horizontal="center" vertical="center"/>
    </xf>
    <xf numFmtId="0" fontId="45" fillId="0" borderId="3" xfId="0" applyFont="1" applyBorder="1" applyAlignment="1">
      <alignment horizontal="left" vertical="center" indent="1" wrapText="1"/>
    </xf>
    <xf numFmtId="0" fontId="61" fillId="14" borderId="3" xfId="0" applyFont="1" applyFill="1" applyBorder="1" applyAlignment="1">
      <alignment horizontal="left" vertical="center" indent="1" wrapText="1"/>
    </xf>
    <xf numFmtId="0" fontId="2" fillId="0" borderId="9" xfId="0" applyFont="1" applyBorder="1" applyAlignment="1">
      <alignment horizontal="left" vertical="center" indent="1"/>
    </xf>
    <xf numFmtId="0" fontId="2" fillId="0" borderId="9" xfId="0" applyFont="1" applyBorder="1" applyAlignment="1">
      <alignment horizontal="center" vertical="center"/>
    </xf>
    <xf numFmtId="0" fontId="14" fillId="0" borderId="9" xfId="0" applyFont="1" applyBorder="1" applyAlignment="1">
      <alignment horizontal="left" vertical="center" indent="1" wrapText="1"/>
    </xf>
    <xf numFmtId="0" fontId="14" fillId="0" borderId="9" xfId="0" applyFont="1" applyBorder="1" applyAlignment="1">
      <alignment horizontal="center" vertical="center"/>
    </xf>
    <xf numFmtId="0" fontId="24" fillId="0" borderId="10" xfId="0" applyFont="1" applyBorder="1" applyAlignment="1">
      <alignment horizontal="left" vertical="center" indent="1"/>
    </xf>
    <xf numFmtId="0" fontId="24" fillId="0" borderId="10" xfId="0" applyFont="1" applyBorder="1" applyAlignment="1">
      <alignment horizontal="center" vertical="center"/>
    </xf>
    <xf numFmtId="0" fontId="24" fillId="0" borderId="9" xfId="0" applyFont="1" applyBorder="1" applyAlignment="1">
      <alignment horizontal="left" vertical="center" indent="1"/>
    </xf>
    <xf numFmtId="0" fontId="24" fillId="0" borderId="6" xfId="0" applyFont="1" applyBorder="1" applyAlignment="1">
      <alignment horizontal="left" vertical="center" indent="1"/>
    </xf>
    <xf numFmtId="0" fontId="10" fillId="0" borderId="3" xfId="0" applyFont="1" applyBorder="1" applyAlignment="1">
      <alignment horizontal="center" vertical="top"/>
    </xf>
    <xf numFmtId="0" fontId="38" fillId="0" borderId="3" xfId="0" applyFont="1" applyBorder="1" applyAlignment="1">
      <alignment horizontal="left" vertical="top" indent="1" wrapText="1"/>
    </xf>
    <xf numFmtId="0" fontId="38" fillId="0" borderId="3" xfId="0" applyFont="1" applyBorder="1" applyAlignment="1">
      <alignment horizontal="center" vertical="top"/>
    </xf>
    <xf numFmtId="0" fontId="10" fillId="0" borderId="6" xfId="0" applyFont="1" applyBorder="1" applyAlignment="1">
      <alignment horizontal="left" vertical="top" indent="1" wrapText="1"/>
    </xf>
    <xf numFmtId="0" fontId="10" fillId="0" borderId="6" xfId="0" applyFont="1" applyBorder="1" applyAlignment="1">
      <alignment horizontal="center" vertical="top"/>
    </xf>
    <xf numFmtId="0" fontId="38" fillId="0" borderId="6" xfId="0" applyFont="1" applyBorder="1" applyAlignment="1">
      <alignment horizontal="left" vertical="top" indent="1" wrapText="1"/>
    </xf>
    <xf numFmtId="0" fontId="38" fillId="0" borderId="6" xfId="0" applyFont="1" applyBorder="1" applyAlignment="1">
      <alignment horizontal="center" vertical="top"/>
    </xf>
    <xf numFmtId="165" fontId="38" fillId="0" borderId="3" xfId="0" applyNumberFormat="1" applyFont="1" applyBorder="1" applyAlignment="1">
      <alignment vertical="top" indent="1" wrapText="1"/>
    </xf>
  </cellXfs>
  <cellStyles count="1">
    <cellStyle name="Normal" xfId="0" builtinId="0"/>
  </cellStyles>
  <dxfs count="17">
    <dxf>
      <font>
        <b/>
        <color rgb="FF1E7F4F"/>
      </font>
      <fill>
        <patternFill>
          <bgColor rgb="FFDDF3E4"/>
        </patternFill>
      </fill>
    </dxf>
    <dxf>
      <font>
        <i/>
        <color rgb="FF4A5360"/>
      </font>
      <fill>
        <patternFill>
          <bgColor rgb="FFE9ECF0"/>
        </patternFill>
      </fill>
    </dxf>
    <dxf>
      <font>
        <color rgb="FF9AA3AD"/>
      </font>
    </dxf>
    <dxf>
      <font>
        <b/>
        <color rgb="FF1E7F4F"/>
      </font>
    </dxf>
    <dxf>
      <font>
        <b/>
        <color rgb="FF4A5360"/>
      </font>
      <fill>
        <patternFill>
          <bgColor rgb="FFE9ECF0"/>
        </patternFill>
      </fill>
    </dxf>
    <dxf>
      <font>
        <b/>
        <color rgb="FF8A5A00"/>
      </font>
      <fill>
        <patternFill>
          <bgColor rgb="FFFBEFC7"/>
        </patternFill>
      </fill>
    </dxf>
    <dxf>
      <font>
        <color rgb="FFB7BEC7"/>
      </font>
    </dxf>
    <dxf>
      <font>
        <color rgb="FF1E7F4F"/>
      </font>
    </dxf>
    <dxf>
      <font>
        <b/>
        <color rgb="FF9A4A00"/>
      </font>
      <fill>
        <patternFill>
          <bgColor rgb="FFFDE8D4"/>
        </patternFill>
      </fill>
    </dxf>
    <dxf>
      <font>
        <b/>
        <color rgb="FF8E0F1E"/>
      </font>
      <fill>
        <patternFill>
          <bgColor rgb="FFFBE9EB"/>
        </patternFill>
      </fill>
    </dxf>
    <dxf>
      <font>
        <i/>
        <color rgb="FF9AA3AD"/>
      </font>
    </dxf>
    <dxf>
      <font>
        <b/>
        <color rgb="FF3B4F8A"/>
      </font>
      <fill>
        <patternFill>
          <bgColor rgb="FFE3E7F3"/>
        </patternFill>
      </fill>
    </dxf>
    <dxf>
      <font>
        <b/>
        <color rgb="FF0B6F7D"/>
      </font>
      <fill>
        <patternFill>
          <bgColor rgb="FFCCEBED"/>
        </patternFill>
      </fill>
    </dxf>
    <dxf>
      <font>
        <color rgb="FF1E7F4F"/>
      </font>
      <fill>
        <patternFill>
          <bgColor rgb="FFDDF3E4"/>
        </patternFill>
      </fill>
    </dxf>
    <dxf>
      <font>
        <color rgb="FF4A5360"/>
      </font>
      <fill>
        <patternFill>
          <bgColor rgb="FFE9ECF0"/>
        </patternFill>
      </fill>
    </dxf>
    <dxf>
      <font>
        <b/>
        <color rgb="FF1E7F4F"/>
      </font>
      <fill>
        <patternFill>
          <bgColor rgb="FFEEF6F0"/>
        </patternFill>
      </fill>
    </dxf>
    <dxf>
      <font>
        <color rgb="FF9A4A00"/>
      </font>
      <fill>
        <patternFill>
          <bgColor rgb="FFFDE8D4"/>
        </patternFill>
      </fill>
    </dxf>
  </dxfs>
  <tableStyles count="0" defaultTableStyle="TableStyleMedium9" defaultPivotStyle="PivotStyleLight16"/>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theme" Target="theme/theme1.xml"/><Relationship Id="rId15" Type="http://schemas.openxmlformats.org/officeDocument/2006/relationships/styles" Target="styles.xml"/><Relationship Id="rId16" Type="http://schemas.openxmlformats.org/officeDocument/2006/relationships/sharedStrings" Target="sharedStrings.xml"/><Relationship Id="rId17"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editAs="absolute">
    <xdr:from>
      <xdr:col>2</xdr:col>
      <xdr:colOff>57150</xdr:colOff>
      <xdr:row>4</xdr:row>
      <xdr:rowOff>152400</xdr:rowOff>
    </xdr:from>
    <xdr:to>
      <xdr:col>4</xdr:col>
      <xdr:colOff>0</xdr:colOff>
      <xdr:row>4</xdr:row>
      <xdr:rowOff>438150</xdr:rowOff>
    </xdr:to>
    <xdr:sp macro="[0]!modUmbau.RegelnLesen" textlink="">
      <xdr:nvSpPr>
        <xdr:cNvPr id="2" name="BTN_Lesen"/>
        <xdr:cNvSpPr txBox="1"/>
      </xdr:nvSpPr>
      <xdr:spPr>
        <a:xfrm>
          <a:off x="657225" y="952500"/>
          <a:ext cx="1771650" cy="285750"/>
        </a:xfrm>
        <a:prstGeom prst="roundRect">
          <a:avLst>
            <a:gd name="adj" fmla="val 22000"/>
          </a:avLst>
        </a:prstGeom>
        <a:solidFill>
          <a:srgbClr val="FFFFFF"/>
        </a:solidFill>
        <a:ln w="12700" cmpd="sng">
          <a:solidFill>
            <a:srgbClr val="C5CDD6"/>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1000" b="1">
              <a:solidFill>
                <a:srgbClr val="1F2933"/>
              </a:solidFill>
              <a:latin typeface="Aptos"/>
              <a:cs typeface="Aptos"/>
            </a:rPr>
            <a:t>Regeln aus Outlook lesen</a:t>
          </a:r>
        </a:p>
      </xdr:txBody>
    </xdr:sp>
    <xdr:clientData/>
  </xdr:twoCellAnchor>
  <xdr:twoCellAnchor editAs="absolute">
    <xdr:from>
      <xdr:col>2</xdr:col>
      <xdr:colOff>57150</xdr:colOff>
      <xdr:row>5</xdr:row>
      <xdr:rowOff>95250</xdr:rowOff>
    </xdr:from>
    <xdr:to>
      <xdr:col>4</xdr:col>
      <xdr:colOff>0</xdr:colOff>
      <xdr:row>5</xdr:row>
      <xdr:rowOff>381000</xdr:rowOff>
    </xdr:to>
    <xdr:sp macro="[0]!modUmbau.Vorschau" textlink="">
      <xdr:nvSpPr>
        <xdr:cNvPr id="3" name="BTN_Vorschau"/>
        <xdr:cNvSpPr txBox="1"/>
      </xdr:nvSpPr>
      <xdr:spPr>
        <a:xfrm>
          <a:off x="657225" y="1485900"/>
          <a:ext cx="1771650" cy="285750"/>
        </a:xfrm>
        <a:prstGeom prst="roundRect">
          <a:avLst>
            <a:gd name="adj" fmla="val 22000"/>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1000" b="1">
              <a:solidFill>
                <a:srgbClr val="FFFFFF"/>
              </a:solidFill>
              <a:latin typeface="Aptos"/>
              <a:cs typeface="Aptos"/>
            </a:rPr>
            <a:t>Vorschau</a:t>
          </a:r>
        </a:p>
      </xdr:txBody>
    </xdr:sp>
    <xdr:clientData/>
  </xdr:twoCellAnchor>
  <xdr:twoCellAnchor editAs="absolute">
    <xdr:from>
      <xdr:col>2</xdr:col>
      <xdr:colOff>57150</xdr:colOff>
      <xdr:row>6</xdr:row>
      <xdr:rowOff>95250</xdr:rowOff>
    </xdr:from>
    <xdr:to>
      <xdr:col>4</xdr:col>
      <xdr:colOff>0</xdr:colOff>
      <xdr:row>6</xdr:row>
      <xdr:rowOff>381000</xdr:rowOff>
    </xdr:to>
    <xdr:sp macro="[0]!modUmbau.Ausfuehren" textlink="">
      <xdr:nvSpPr>
        <xdr:cNvPr id="4" name="BTN_Ausfuehren"/>
        <xdr:cNvSpPr txBox="1"/>
      </xdr:nvSpPr>
      <xdr:spPr>
        <a:xfrm>
          <a:off x="657225" y="1962150"/>
          <a:ext cx="1771650" cy="285750"/>
        </a:xfrm>
        <a:prstGeom prst="roundRect">
          <a:avLst>
            <a:gd name="adj" fmla="val 22000"/>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1000" b="1">
              <a:solidFill>
                <a:srgbClr val="FFFFFF"/>
              </a:solidFill>
              <a:latin typeface="Aptos"/>
              <a:cs typeface="Aptos"/>
            </a:rPr>
            <a:t>Ausführen …</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Aptos Display"/>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Aptos"/>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sheetPr codeName="shBlick">
    <tabColor rgb="FFBF1528"/>
    <pageSetUpPr fitToPage="1"/>
  </sheetPr>
  <dimension ref="A1:M56"/>
  <sheetViews>
    <sheetView showGridLines="0" tabSelected="1" workbookViewId="0"/>
  </sheetViews>
  <sheetFormatPr defaultRowHeight="15"/>
  <cols>
    <col min="1" max="1" width="3.28515625" customWidth="1"/>
    <col min="2" max="2" width="23.7109375" customWidth="1"/>
    <col min="3" max="3" width="3.28515625" customWidth="1"/>
    <col min="4" max="4" width="23.7109375" customWidth="1"/>
    <col min="5" max="5" width="3.28515625" customWidth="1"/>
    <col min="6" max="6" width="23.7109375" customWidth="1"/>
    <col min="7" max="7" width="3.28515625" customWidth="1"/>
    <col min="8" max="8" width="23.7109375" customWidth="1"/>
    <col min="9" max="9" width="3.28515625" customWidth="1"/>
    <col min="10" max="10" width="23.7109375" customWidth="1"/>
    <col min="11" max="11" width="3.28515625" customWidth="1"/>
    <col min="12" max="12" width="23.7109375" customWidth="1"/>
    <col min="13" max="13" width="3.28515625" customWidth="1"/>
  </cols>
  <sheetData>
    <row r="1" spans="2:13" ht="10" customHeight="1"/>
    <row r="2" spans="2:13" ht="38" customHeight="1">
      <c r="B2" s="1" t="s">
        <v>0</v>
      </c>
    </row>
    <row r="3" spans="2:13" ht="20" customHeight="1">
      <c r="B3" s="2" t="str">
        <f>"Export vom "&amp;'Übersicht'!$C$2&amp;"  ·  "&amp;'Übersicht'!$C$5</f>
        <v>Export vom 08.10.2026 20:28  ·  inkl. deaktivierte, inkl. Nur-lokale, nur Empfangen-Regeln</v>
      </c>
    </row>
    <row r="4" spans="2:13" ht="14" customHeight="1"/>
    <row r="5" spans="2:13" ht="24" customHeight="1">
      <c r="B5" s="3" t="s">
        <v>1</v>
      </c>
      <c r="D5" s="3" t="s">
        <v>2</v>
      </c>
      <c r="F5" s="3" t="s">
        <v>3</v>
      </c>
      <c r="H5" s="3" t="s">
        <v>5</v>
      </c>
      <c r="J5" s="3" t="s">
        <v>7</v>
      </c>
      <c r="L5" s="3" t="s">
        <v>9</v>
      </c>
    </row>
    <row r="6" spans="2:13" ht="40" customHeight="1">
      <c r="B6" s="4">
        <f>COUNTA('Übersicht'!$D$8:$D$50)</f>
        <v>43</v>
      </c>
      <c r="D6" s="5">
        <f>COUNTIF('Übersicht'!$E$8:$E$50,"Ja")</f>
        <v>38</v>
      </c>
      <c r="F6" s="6">
        <f>COUNTIF('Übersicht'!$E$8:$E$50,"Nein")</f>
        <v>5</v>
      </c>
      <c r="H6" s="7">
        <f>COUNTIF('Übersicht'!$G$8:$G$50,"Nur auf diesem Client")</f>
        <v>1</v>
      </c>
      <c r="J6" s="8">
        <f>COUNTA('Zielordner'!$B$5:$B$41)</f>
        <v>37</v>
      </c>
      <c r="L6" s="9">
        <f>COUNTA('Prüfhinweise'!$A$5:$A$42)</f>
        <v>38</v>
      </c>
    </row>
    <row r="7" spans="2:13" ht="24" customHeight="1">
      <c r="B7" s="10" t="str">
        <f>"Bestand "&amp;COUNTIF('Übersicht'!$B$8:$B$50,"Bestandsuebertragungen@ergo.de")&amp;"  ·  "&amp;"Makler "&amp;COUNTIF('Übersicht'!$B$8:$B$50,"Maklerauftraege@ergo.de")</f>
        <v>Bestand 18  ·  Makler 25</v>
      </c>
      <c r="D7" s="10" t="str">
        <f>"von "&amp;$B$6&amp;" Regeln"</f>
        <v>von 43 Regeln</v>
      </c>
      <c r="F7" s="10" t="s">
        <v>4</v>
      </c>
      <c r="H7" s="10" t="s">
        <v>6</v>
      </c>
      <c r="J7" s="10" t="s">
        <v>8</v>
      </c>
      <c r="L7" s="10" t="str">
        <f>"davon "&amp;COUNTIF('Prüfhinweise'!$A$5:$A$42,"Datenabfluss prüfen")&amp;" Datenabfluss"</f>
        <v>davon 15 Datenabfluss</v>
      </c>
    </row>
    <row r="8" spans="2:13" ht="22" customHeight="1"/>
    <row r="9" spans="2:13" ht="26" customHeight="1">
      <c r="B9" s="11" t="s">
        <v>10</v>
      </c>
    </row>
    <row r="10" spans="2:13" ht="24" customHeight="1">
      <c r="B10" s="12" t="s">
        <v>11</v>
      </c>
      <c r="C10" s="12"/>
      <c r="D10" s="13" t="s">
        <v>12</v>
      </c>
      <c r="E10" s="13"/>
      <c r="F10" s="12" t="s">
        <v>13</v>
      </c>
      <c r="G10" s="12"/>
      <c r="H10" s="12"/>
      <c r="I10" s="12"/>
      <c r="J10" s="12"/>
      <c r="K10" s="12"/>
      <c r="L10" s="12"/>
      <c r="M10" s="12"/>
    </row>
    <row r="11" spans="2:13" ht="22" customHeight="1">
      <c r="B11" s="14" t="s">
        <v>14</v>
      </c>
      <c r="C11" s="14"/>
      <c r="D11" s="15">
        <f>COUNTIF('Vergleich'!$A$7:$A$39,$B11)</f>
        <v>6</v>
      </c>
      <c r="E11" s="15"/>
      <c r="F11" s="16" t="s">
        <v>15</v>
      </c>
      <c r="G11" s="16"/>
      <c r="H11" s="16"/>
      <c r="I11" s="16"/>
      <c r="J11" s="16"/>
      <c r="K11" s="16"/>
      <c r="L11" s="16"/>
      <c r="M11" s="16"/>
    </row>
    <row r="12" spans="2:13" ht="22" customHeight="1">
      <c r="B12" s="17" t="s">
        <v>16</v>
      </c>
      <c r="C12" s="17"/>
      <c r="D12" s="15">
        <f>COUNTIF('Vergleich'!$A$7:$A$39,$B12)</f>
        <v>8</v>
      </c>
      <c r="E12" s="15"/>
      <c r="F12" s="16" t="s">
        <v>17</v>
      </c>
      <c r="G12" s="16"/>
      <c r="H12" s="16"/>
      <c r="I12" s="16"/>
      <c r="J12" s="16"/>
      <c r="K12" s="16"/>
      <c r="L12" s="16"/>
      <c r="M12" s="16"/>
    </row>
    <row r="13" spans="2:13" ht="22" customHeight="1">
      <c r="B13" s="18" t="s">
        <v>18</v>
      </c>
      <c r="C13" s="18"/>
      <c r="D13" s="15">
        <f>COUNTIF('Vergleich'!$A$7:$A$39,$B13)</f>
        <v>4</v>
      </c>
      <c r="E13" s="15"/>
      <c r="F13" s="16" t="s">
        <v>19</v>
      </c>
      <c r="G13" s="16"/>
      <c r="H13" s="16"/>
      <c r="I13" s="16"/>
      <c r="J13" s="16"/>
      <c r="K13" s="16"/>
      <c r="L13" s="16"/>
      <c r="M13" s="16"/>
    </row>
    <row r="14" spans="2:13" ht="22" customHeight="1">
      <c r="B14" s="19" t="s">
        <v>20</v>
      </c>
      <c r="C14" s="19"/>
      <c r="D14" s="15">
        <f>COUNTIF('Vergleich'!$A$7:$A$39,$B14)</f>
        <v>11</v>
      </c>
      <c r="E14" s="15"/>
      <c r="F14" s="16" t="s">
        <v>21</v>
      </c>
      <c r="G14" s="16"/>
      <c r="H14" s="16"/>
      <c r="I14" s="16"/>
      <c r="J14" s="16"/>
      <c r="K14" s="16"/>
      <c r="L14" s="16"/>
      <c r="M14" s="16"/>
    </row>
    <row r="15" spans="2:13" ht="22" customHeight="1">
      <c r="B15" s="20" t="s">
        <v>22</v>
      </c>
      <c r="C15" s="20"/>
      <c r="D15" s="15">
        <f>COUNTIF('Vergleich'!$A$7:$A$39,$B15)</f>
        <v>0</v>
      </c>
      <c r="E15" s="15"/>
      <c r="F15" s="16" t="s">
        <v>23</v>
      </c>
      <c r="G15" s="16"/>
      <c r="H15" s="16"/>
      <c r="I15" s="16"/>
      <c r="J15" s="16"/>
      <c r="K15" s="16"/>
      <c r="L15" s="16"/>
      <c r="M15" s="16"/>
    </row>
    <row r="16" spans="2:13" ht="48.8" customHeight="1">
      <c r="B16" s="21" t="s">
        <v>24</v>
      </c>
      <c r="C16" s="21"/>
      <c r="D16" s="21"/>
      <c r="E16" s="21"/>
      <c r="F16" s="21"/>
      <c r="G16" s="21"/>
      <c r="H16" s="21"/>
      <c r="I16" s="21"/>
      <c r="J16" s="21"/>
      <c r="K16" s="21"/>
      <c r="L16" s="21"/>
      <c r="M16" s="21"/>
    </row>
    <row r="17" spans="2:13" ht="8" customHeight="1"/>
    <row r="18" spans="2:13" ht="24" customHeight="1">
      <c r="B18" s="12" t="s">
        <v>25</v>
      </c>
      <c r="C18" s="12"/>
      <c r="D18" s="13" t="s">
        <v>26</v>
      </c>
      <c r="E18" s="13"/>
      <c r="F18" s="12" t="s">
        <v>27</v>
      </c>
      <c r="G18" s="12"/>
      <c r="H18" s="12"/>
      <c r="I18" s="12"/>
      <c r="J18" s="12"/>
      <c r="K18" s="12"/>
      <c r="L18" s="12"/>
      <c r="M18" s="12"/>
    </row>
    <row r="19" spans="2:13" ht="22" customHeight="1">
      <c r="B19" s="20" t="s">
        <v>28</v>
      </c>
      <c r="C19" s="20"/>
      <c r="D19" s="15">
        <f>COUNTIF('Anlegen'!$B$11:$B$25,$B19)</f>
        <v>2</v>
      </c>
      <c r="E19" s="15"/>
      <c r="F19" s="16" t="s">
        <v>29</v>
      </c>
      <c r="G19" s="16"/>
      <c r="H19" s="16"/>
      <c r="I19" s="16"/>
      <c r="J19" s="16"/>
      <c r="K19" s="16"/>
      <c r="L19" s="16"/>
      <c r="M19" s="16"/>
    </row>
    <row r="20" spans="2:13" ht="22" customHeight="1">
      <c r="B20" s="17" t="s">
        <v>30</v>
      </c>
      <c r="C20" s="17"/>
      <c r="D20" s="15">
        <f>COUNTIF('Anlegen'!$B$11:$B$25,$B20)</f>
        <v>5</v>
      </c>
      <c r="E20" s="15"/>
      <c r="F20" s="16" t="s">
        <v>31</v>
      </c>
      <c r="G20" s="16"/>
      <c r="H20" s="16"/>
      <c r="I20" s="16"/>
      <c r="J20" s="16"/>
      <c r="K20" s="16"/>
      <c r="L20" s="16"/>
      <c r="M20" s="16"/>
    </row>
    <row r="21" spans="2:13" ht="22" customHeight="1">
      <c r="B21" s="22" t="s">
        <v>32</v>
      </c>
      <c r="C21" s="22"/>
      <c r="D21" s="15">
        <f>COUNTIF('Anlegen'!$B$11:$B$25,$B21)</f>
        <v>3</v>
      </c>
      <c r="E21" s="15"/>
      <c r="F21" s="16" t="s">
        <v>33</v>
      </c>
      <c r="G21" s="16"/>
      <c r="H21" s="16"/>
      <c r="I21" s="16"/>
      <c r="J21" s="16"/>
      <c r="K21" s="16"/>
      <c r="L21" s="16"/>
      <c r="M21" s="16"/>
    </row>
    <row r="22" spans="2:13" ht="22" customHeight="1">
      <c r="B22" s="23" t="s">
        <v>34</v>
      </c>
      <c r="C22" s="23"/>
      <c r="D22" s="15">
        <f>COUNTIF('Anlegen'!$B$11:$B$25,$B22)</f>
        <v>4</v>
      </c>
      <c r="E22" s="15"/>
      <c r="F22" s="16" t="s">
        <v>35</v>
      </c>
      <c r="G22" s="16"/>
      <c r="H22" s="16"/>
      <c r="I22" s="16"/>
      <c r="J22" s="16"/>
      <c r="K22" s="16"/>
      <c r="L22" s="16"/>
      <c r="M22" s="16"/>
    </row>
    <row r="23" spans="2:13" ht="22" customHeight="1">
      <c r="B23" s="24" t="s">
        <v>36</v>
      </c>
      <c r="C23" s="24"/>
      <c r="D23" s="15">
        <f>COUNTIF('Anlegen'!$B$11:$B$25,$B23)</f>
        <v>1</v>
      </c>
      <c r="E23" s="15"/>
      <c r="F23" s="16" t="s">
        <v>37</v>
      </c>
      <c r="G23" s="16"/>
      <c r="H23" s="16"/>
      <c r="I23" s="16"/>
      <c r="J23" s="16"/>
      <c r="K23" s="16"/>
      <c r="L23" s="16"/>
      <c r="M23" s="16"/>
    </row>
    <row r="24" spans="2:13" ht="24" customHeight="1">
      <c r="B24" s="25" t="s">
        <v>38</v>
      </c>
      <c r="C24" s="25"/>
      <c r="D24" s="25"/>
      <c r="E24" s="25"/>
      <c r="F24" s="25" t="s">
        <v>39</v>
      </c>
      <c r="G24" s="25"/>
      <c r="H24" s="25"/>
      <c r="I24" s="25"/>
      <c r="J24" s="25" t="s">
        <v>40</v>
      </c>
      <c r="K24" s="25"/>
      <c r="L24" s="25"/>
      <c r="M24" s="25"/>
    </row>
    <row r="26" spans="2:13" ht="26" customHeight="1">
      <c r="B26" s="11" t="s">
        <v>41</v>
      </c>
    </row>
    <row r="27" spans="2:13" ht="24" customHeight="1">
      <c r="B27" s="12" t="s">
        <v>42</v>
      </c>
      <c r="C27" s="12"/>
      <c r="D27" s="12"/>
      <c r="E27" s="12"/>
      <c r="F27" s="13" t="s">
        <v>12</v>
      </c>
      <c r="G27" s="13"/>
      <c r="H27" s="13" t="s">
        <v>43</v>
      </c>
      <c r="I27" s="13"/>
      <c r="J27" s="13" t="s">
        <v>44</v>
      </c>
      <c r="K27" s="13"/>
      <c r="L27" s="13" t="s">
        <v>45</v>
      </c>
      <c r="M27" s="13"/>
    </row>
    <row r="28" spans="2:13" ht="22" customHeight="1">
      <c r="B28" s="26" t="s">
        <v>46</v>
      </c>
      <c r="C28" s="26"/>
      <c r="D28" s="26"/>
      <c r="E28" s="26"/>
      <c r="F28" s="15">
        <f>COUNTIF('Übersicht'!$B$8:$B$50,$B28)</f>
        <v>18</v>
      </c>
      <c r="G28" s="15"/>
      <c r="H28" s="15">
        <f>COUNTIFS('Übersicht'!$B$8:$B$50,$B28,'Übersicht'!$E$8:$E$50,"Ja")</f>
        <v>17</v>
      </c>
      <c r="I28" s="15"/>
      <c r="J28" s="15">
        <f>COUNTIFS('Übersicht'!$B$8:$B$50,$B28,'Übersicht'!$E$8:$E$50,"Nein")</f>
        <v>1</v>
      </c>
      <c r="K28" s="15"/>
      <c r="L28" s="15">
        <f>COUNTIF('Prüfhinweise'!$B$5:$B$42,$B28)</f>
        <v>14</v>
      </c>
      <c r="M28" s="15"/>
    </row>
    <row r="29" spans="2:13" ht="22" customHeight="1">
      <c r="B29" s="26" t="s">
        <v>47</v>
      </c>
      <c r="C29" s="26"/>
      <c r="D29" s="26"/>
      <c r="E29" s="26"/>
      <c r="F29" s="15">
        <f>COUNTIF('Übersicht'!$B$8:$B$50,$B29)</f>
        <v>25</v>
      </c>
      <c r="G29" s="15"/>
      <c r="H29" s="15">
        <f>COUNTIFS('Übersicht'!$B$8:$B$50,$B29,'Übersicht'!$E$8:$E$50,"Ja")</f>
        <v>21</v>
      </c>
      <c r="I29" s="15"/>
      <c r="J29" s="15">
        <f>COUNTIFS('Übersicht'!$B$8:$B$50,$B29,'Übersicht'!$E$8:$E$50,"Nein")</f>
        <v>4</v>
      </c>
      <c r="K29" s="15"/>
      <c r="L29" s="15">
        <f>COUNTIF('Prüfhinweise'!$B$5:$B$42,$B29)</f>
        <v>24</v>
      </c>
      <c r="M29" s="15"/>
    </row>
    <row r="30" spans="2:13" ht="22" customHeight="1">
      <c r="B30" s="27" t="s">
        <v>48</v>
      </c>
      <c r="C30" s="27"/>
      <c r="D30" s="27"/>
      <c r="E30" s="27"/>
      <c r="F30" s="28">
        <f>SUM(F28:F29)</f>
        <v>43</v>
      </c>
      <c r="G30" s="28"/>
      <c r="H30" s="28">
        <f>SUM(H28:H29)</f>
        <v>38</v>
      </c>
      <c r="I30" s="28"/>
      <c r="J30" s="28">
        <f>SUM(J28:J29)</f>
        <v>5</v>
      </c>
      <c r="K30" s="28"/>
      <c r="L30" s="28">
        <f>SUM(L28:L29)</f>
        <v>38</v>
      </c>
      <c r="M30" s="28"/>
    </row>
    <row r="32" spans="2:13" ht="26" customHeight="1">
      <c r="B32" s="11" t="s">
        <v>49</v>
      </c>
    </row>
    <row r="33" spans="2:13" ht="24" customHeight="1">
      <c r="B33" s="12" t="s">
        <v>50</v>
      </c>
      <c r="C33" s="12"/>
      <c r="D33" s="13" t="s">
        <v>51</v>
      </c>
      <c r="E33" s="13"/>
      <c r="F33" s="12" t="s">
        <v>52</v>
      </c>
      <c r="G33" s="12"/>
      <c r="H33" s="12"/>
      <c r="I33" s="12"/>
      <c r="J33" s="12"/>
      <c r="K33" s="12"/>
      <c r="L33" s="12"/>
      <c r="M33" s="12"/>
    </row>
    <row r="34" spans="2:13" ht="22" customHeight="1">
      <c r="B34" s="14" t="s">
        <v>53</v>
      </c>
      <c r="C34" s="14"/>
      <c r="D34" s="15">
        <f>COUNTIF('Prüfhinweise'!$A$5:$A$42,$B34)</f>
        <v>15</v>
      </c>
      <c r="E34" s="15"/>
      <c r="F34" s="16" t="s">
        <v>54</v>
      </c>
      <c r="G34" s="16"/>
      <c r="H34" s="16"/>
      <c r="I34" s="16"/>
      <c r="J34" s="16"/>
      <c r="K34" s="16"/>
      <c r="L34" s="16"/>
      <c r="M34" s="16"/>
    </row>
    <row r="35" spans="2:13" ht="22" customHeight="1">
      <c r="B35" s="22" t="s">
        <v>55</v>
      </c>
      <c r="C35" s="22"/>
      <c r="D35" s="15">
        <f>COUNTIF('Prüfhinweise'!$A$5:$A$42,$B35)</f>
        <v>1</v>
      </c>
      <c r="E35" s="15"/>
      <c r="F35" s="16" t="s">
        <v>56</v>
      </c>
      <c r="G35" s="16"/>
      <c r="H35" s="16"/>
      <c r="I35" s="16"/>
      <c r="J35" s="16"/>
      <c r="K35" s="16"/>
      <c r="L35" s="16"/>
      <c r="M35" s="16"/>
    </row>
    <row r="36" spans="2:13" ht="22" customHeight="1">
      <c r="B36" s="23" t="s">
        <v>57</v>
      </c>
      <c r="C36" s="23"/>
      <c r="D36" s="15">
        <f>COUNTIF('Prüfhinweise'!$A$5:$A$42,$B36)</f>
        <v>5</v>
      </c>
      <c r="E36" s="15"/>
      <c r="F36" s="16" t="s">
        <v>58</v>
      </c>
      <c r="G36" s="16"/>
      <c r="H36" s="16"/>
      <c r="I36" s="16"/>
      <c r="J36" s="16"/>
      <c r="K36" s="16"/>
      <c r="L36" s="16"/>
      <c r="M36" s="16"/>
    </row>
    <row r="37" spans="2:13" ht="22" customHeight="1">
      <c r="B37" s="17" t="s">
        <v>59</v>
      </c>
      <c r="C37" s="17"/>
      <c r="D37" s="15">
        <f>COUNTIF('Prüfhinweise'!$A$5:$A$42,$B37)</f>
        <v>12</v>
      </c>
      <c r="E37" s="15"/>
      <c r="F37" s="16" t="s">
        <v>60</v>
      </c>
      <c r="G37" s="16"/>
      <c r="H37" s="16"/>
      <c r="I37" s="16"/>
      <c r="J37" s="16"/>
      <c r="K37" s="16"/>
      <c r="L37" s="16"/>
      <c r="M37" s="16"/>
    </row>
    <row r="38" spans="2:13" ht="22" customHeight="1">
      <c r="B38" s="24" t="s">
        <v>61</v>
      </c>
      <c r="C38" s="24"/>
      <c r="D38" s="15">
        <f>COUNTIF('Prüfhinweise'!$A$5:$A$42,$B38)</f>
        <v>5</v>
      </c>
      <c r="E38" s="15"/>
      <c r="F38" s="16" t="s">
        <v>62</v>
      </c>
      <c r="G38" s="16"/>
      <c r="H38" s="16"/>
      <c r="I38" s="16"/>
      <c r="J38" s="16"/>
      <c r="K38" s="16"/>
      <c r="L38" s="16"/>
      <c r="M38" s="16"/>
    </row>
    <row r="40" spans="2:13" ht="26" customHeight="1">
      <c r="B40" s="11" t="s">
        <v>63</v>
      </c>
    </row>
    <row r="41" spans="2:13" ht="24" customHeight="1">
      <c r="B41" s="12" t="s">
        <v>64</v>
      </c>
      <c r="C41" s="12"/>
      <c r="D41" s="12" t="s">
        <v>65</v>
      </c>
      <c r="E41" s="12"/>
      <c r="F41" s="12"/>
      <c r="G41" s="12"/>
      <c r="H41" s="12"/>
      <c r="I41" s="12"/>
      <c r="J41" s="12"/>
      <c r="K41" s="12"/>
      <c r="L41" s="12"/>
      <c r="M41" s="12"/>
    </row>
    <row r="42" spans="2:13" ht="22" customHeight="1">
      <c r="B42" s="29" t="s">
        <v>11</v>
      </c>
      <c r="C42" s="29"/>
      <c r="D42" s="30" t="s">
        <v>66</v>
      </c>
      <c r="E42" s="30"/>
      <c r="F42" s="30"/>
      <c r="G42" s="30"/>
      <c r="H42" s="30"/>
      <c r="I42" s="30"/>
      <c r="J42" s="30"/>
      <c r="K42" s="30"/>
      <c r="L42" s="30"/>
      <c r="M42" s="30"/>
    </row>
    <row r="43" spans="2:13" ht="22" customHeight="1">
      <c r="B43" s="29" t="s">
        <v>67</v>
      </c>
      <c r="C43" s="29"/>
      <c r="D43" s="30" t="s">
        <v>68</v>
      </c>
      <c r="E43" s="30"/>
      <c r="F43" s="30"/>
      <c r="G43" s="30"/>
      <c r="H43" s="30"/>
      <c r="I43" s="30"/>
      <c r="J43" s="30"/>
      <c r="K43" s="30"/>
      <c r="L43" s="30"/>
      <c r="M43" s="30"/>
    </row>
    <row r="44" spans="2:13" ht="22" customHeight="1">
      <c r="B44" s="29" t="s">
        <v>69</v>
      </c>
      <c r="C44" s="29"/>
      <c r="D44" s="30" t="s">
        <v>70</v>
      </c>
      <c r="E44" s="30"/>
      <c r="F44" s="30"/>
      <c r="G44" s="30"/>
      <c r="H44" s="30"/>
      <c r="I44" s="30"/>
      <c r="J44" s="30"/>
      <c r="K44" s="30"/>
      <c r="L44" s="30"/>
      <c r="M44" s="30"/>
    </row>
    <row r="45" spans="2:13" ht="22" customHeight="1">
      <c r="B45" s="29" t="s">
        <v>71</v>
      </c>
      <c r="C45" s="29"/>
      <c r="D45" s="30" t="s">
        <v>72</v>
      </c>
      <c r="E45" s="30"/>
      <c r="F45" s="30"/>
      <c r="G45" s="30"/>
      <c r="H45" s="30"/>
      <c r="I45" s="30"/>
      <c r="J45" s="30"/>
      <c r="K45" s="30"/>
      <c r="L45" s="30"/>
      <c r="M45" s="30"/>
    </row>
    <row r="46" spans="2:13" ht="22" customHeight="1">
      <c r="B46" s="29" t="s">
        <v>73</v>
      </c>
      <c r="C46" s="29"/>
      <c r="D46" s="30" t="s">
        <v>74</v>
      </c>
      <c r="E46" s="30"/>
      <c r="F46" s="30"/>
      <c r="G46" s="30"/>
      <c r="H46" s="30"/>
      <c r="I46" s="30"/>
      <c r="J46" s="30"/>
      <c r="K46" s="30"/>
      <c r="L46" s="30"/>
      <c r="M46" s="30"/>
    </row>
    <row r="47" spans="2:13" ht="22" customHeight="1">
      <c r="B47" s="29" t="s">
        <v>75</v>
      </c>
      <c r="C47" s="29"/>
      <c r="D47" s="30" t="s">
        <v>76</v>
      </c>
      <c r="E47" s="30"/>
      <c r="F47" s="30"/>
      <c r="G47" s="30"/>
      <c r="H47" s="30"/>
      <c r="I47" s="30"/>
      <c r="J47" s="30"/>
      <c r="K47" s="30"/>
      <c r="L47" s="30"/>
      <c r="M47" s="30"/>
    </row>
    <row r="48" spans="2:13" ht="22" customHeight="1">
      <c r="B48" s="29" t="s">
        <v>77</v>
      </c>
      <c r="C48" s="29"/>
      <c r="D48" s="30" t="s">
        <v>78</v>
      </c>
      <c r="E48" s="30"/>
      <c r="F48" s="30"/>
      <c r="G48" s="30"/>
      <c r="H48" s="30"/>
      <c r="I48" s="30"/>
      <c r="J48" s="30"/>
      <c r="K48" s="30"/>
      <c r="L48" s="30"/>
      <c r="M48" s="30"/>
    </row>
    <row r="49" spans="2:13" ht="22" customHeight="1">
      <c r="B49" s="29" t="s">
        <v>45</v>
      </c>
      <c r="C49" s="29"/>
      <c r="D49" s="30" t="s">
        <v>79</v>
      </c>
      <c r="E49" s="30"/>
      <c r="F49" s="30"/>
      <c r="G49" s="30"/>
      <c r="H49" s="30"/>
      <c r="I49" s="30"/>
      <c r="J49" s="30"/>
      <c r="K49" s="30"/>
      <c r="L49" s="30"/>
      <c r="M49" s="30"/>
    </row>
    <row r="50" spans="2:13" ht="22" customHeight="1">
      <c r="B50" s="29" t="s">
        <v>80</v>
      </c>
      <c r="C50" s="29"/>
      <c r="D50" s="30" t="s">
        <v>81</v>
      </c>
      <c r="E50" s="30"/>
      <c r="F50" s="30"/>
      <c r="G50" s="30"/>
      <c r="H50" s="30"/>
      <c r="I50" s="30"/>
      <c r="J50" s="30"/>
      <c r="K50" s="30"/>
      <c r="L50" s="30"/>
      <c r="M50" s="30"/>
    </row>
    <row r="51" spans="2:13" ht="22" customHeight="1">
      <c r="B51" s="29" t="s">
        <v>82</v>
      </c>
      <c r="C51" s="29"/>
      <c r="D51" s="30" t="s">
        <v>83</v>
      </c>
      <c r="E51" s="30"/>
      <c r="F51" s="30"/>
      <c r="G51" s="30"/>
      <c r="H51" s="30"/>
      <c r="I51" s="30"/>
      <c r="J51" s="30"/>
      <c r="K51" s="30"/>
      <c r="L51" s="30"/>
      <c r="M51" s="30"/>
    </row>
    <row r="52" spans="2:13" ht="22" customHeight="1">
      <c r="B52" s="29" t="s">
        <v>84</v>
      </c>
      <c r="C52" s="29"/>
      <c r="D52" s="30" t="s">
        <v>85</v>
      </c>
      <c r="E52" s="30"/>
      <c r="F52" s="30"/>
      <c r="G52" s="30"/>
      <c r="H52" s="30"/>
      <c r="I52" s="30"/>
      <c r="J52" s="30"/>
      <c r="K52" s="30"/>
      <c r="L52" s="30"/>
      <c r="M52" s="30"/>
    </row>
    <row r="53" spans="2:13" ht="22" customHeight="1">
      <c r="B53" s="29" t="s">
        <v>86</v>
      </c>
      <c r="C53" s="29"/>
      <c r="D53" s="30" t="s">
        <v>87</v>
      </c>
      <c r="E53" s="30"/>
      <c r="F53" s="30"/>
      <c r="G53" s="30"/>
      <c r="H53" s="30"/>
      <c r="I53" s="30"/>
      <c r="J53" s="30"/>
      <c r="K53" s="30"/>
      <c r="L53" s="30"/>
      <c r="M53" s="30"/>
    </row>
    <row r="55" spans="2:13" ht="26" customHeight="1">
      <c r="B55" s="11" t="s">
        <v>88</v>
      </c>
    </row>
    <row r="56" spans="2:13" ht="24" customHeight="1">
      <c r="B56" s="31" t="s">
        <v>89</v>
      </c>
      <c r="D56" s="32" t="s">
        <v>90</v>
      </c>
      <c r="F56" s="33" t="s">
        <v>91</v>
      </c>
      <c r="H56" s="34" t="s">
        <v>92</v>
      </c>
      <c r="J56" s="35" t="s">
        <v>93</v>
      </c>
      <c r="L56" s="33" t="s">
        <v>94</v>
      </c>
    </row>
  </sheetData>
  <mergeCells count="104">
    <mergeCell ref="B10:C10"/>
    <mergeCell ref="D10:E10"/>
    <mergeCell ref="F10:M10"/>
    <mergeCell ref="B11:C11"/>
    <mergeCell ref="D11:E11"/>
    <mergeCell ref="F11:M11"/>
    <mergeCell ref="B12:C12"/>
    <mergeCell ref="D12:E12"/>
    <mergeCell ref="F12:M12"/>
    <mergeCell ref="B13:C13"/>
    <mergeCell ref="D13:E13"/>
    <mergeCell ref="F13:M13"/>
    <mergeCell ref="B14:C14"/>
    <mergeCell ref="D14:E14"/>
    <mergeCell ref="F14:M14"/>
    <mergeCell ref="B15:C15"/>
    <mergeCell ref="D15:E15"/>
    <mergeCell ref="F15:M15"/>
    <mergeCell ref="B16:M16"/>
    <mergeCell ref="B18:C18"/>
    <mergeCell ref="D18:E18"/>
    <mergeCell ref="F18:M18"/>
    <mergeCell ref="B19:C19"/>
    <mergeCell ref="D19:E19"/>
    <mergeCell ref="F19:M19"/>
    <mergeCell ref="B20:C20"/>
    <mergeCell ref="D20:E20"/>
    <mergeCell ref="F20:M20"/>
    <mergeCell ref="B21:C21"/>
    <mergeCell ref="D21:E21"/>
    <mergeCell ref="F21:M21"/>
    <mergeCell ref="B22:C22"/>
    <mergeCell ref="D22:E22"/>
    <mergeCell ref="F22:M22"/>
    <mergeCell ref="B23:C23"/>
    <mergeCell ref="D23:E23"/>
    <mergeCell ref="F23:M23"/>
    <mergeCell ref="B24:E24"/>
    <mergeCell ref="F24:I24"/>
    <mergeCell ref="J24:M24"/>
    <mergeCell ref="B27:E27"/>
    <mergeCell ref="F27:G27"/>
    <mergeCell ref="H27:I27"/>
    <mergeCell ref="J27:K27"/>
    <mergeCell ref="L27:M27"/>
    <mergeCell ref="B28:E28"/>
    <mergeCell ref="F28:G28"/>
    <mergeCell ref="H28:I28"/>
    <mergeCell ref="J28:K28"/>
    <mergeCell ref="L28:M28"/>
    <mergeCell ref="B29:E29"/>
    <mergeCell ref="F29:G29"/>
    <mergeCell ref="H29:I29"/>
    <mergeCell ref="J29:K29"/>
    <mergeCell ref="L29:M29"/>
    <mergeCell ref="B30:E30"/>
    <mergeCell ref="F30:G30"/>
    <mergeCell ref="H30:I30"/>
    <mergeCell ref="J30:K30"/>
    <mergeCell ref="L30:M30"/>
    <mergeCell ref="B33:C33"/>
    <mergeCell ref="D33:E33"/>
    <mergeCell ref="F33:M33"/>
    <mergeCell ref="B34:C34"/>
    <mergeCell ref="D34:E34"/>
    <mergeCell ref="F34:M34"/>
    <mergeCell ref="B35:C35"/>
    <mergeCell ref="D35:E35"/>
    <mergeCell ref="F35:M35"/>
    <mergeCell ref="B36:C36"/>
    <mergeCell ref="D36:E36"/>
    <mergeCell ref="F36:M36"/>
    <mergeCell ref="B37:C37"/>
    <mergeCell ref="D37:E37"/>
    <mergeCell ref="F37:M37"/>
    <mergeCell ref="B38:C38"/>
    <mergeCell ref="D38:E38"/>
    <mergeCell ref="F38:M38"/>
    <mergeCell ref="B41:C41"/>
    <mergeCell ref="D41:M41"/>
    <mergeCell ref="B42:C42"/>
    <mergeCell ref="D42:M42"/>
    <mergeCell ref="B43:C43"/>
    <mergeCell ref="D43:M43"/>
    <mergeCell ref="B44:C44"/>
    <mergeCell ref="D44:M44"/>
    <mergeCell ref="B45:C45"/>
    <mergeCell ref="D45:M45"/>
    <mergeCell ref="B46:C46"/>
    <mergeCell ref="D46:M46"/>
    <mergeCell ref="B47:C47"/>
    <mergeCell ref="D47:M47"/>
    <mergeCell ref="B48:C48"/>
    <mergeCell ref="D48:M48"/>
    <mergeCell ref="B49:C49"/>
    <mergeCell ref="D49:M49"/>
    <mergeCell ref="B50:C50"/>
    <mergeCell ref="D50:M50"/>
    <mergeCell ref="B51:C51"/>
    <mergeCell ref="D51:M51"/>
    <mergeCell ref="B52:C52"/>
    <mergeCell ref="D52:M52"/>
    <mergeCell ref="B53:C53"/>
    <mergeCell ref="D53:M53"/>
  </mergeCells>
  <hyperlinks>
    <hyperlink ref="B24" location="'Vergleich'!A1" tooltip="Blatt Vergleich öffnen" display="Zum Vergleich"/>
    <hyperlink ref="F24" location="'Anlegen'!A1" tooltip="Blatt Anlegen öffnen" display="Zur Liste „Anlegen“"/>
    <hyperlink ref="J24" location="'Umsetzung'!A1" tooltip="Blatt Umsetzung öffnen: Vorschau und Ausführen in Outlook" display="Automatisch umsetzen (Makro)"/>
    <hyperlink ref="B42" location="'Vergleich'!A1" tooltip="Zum Blatt Vergleich" display="Vergleich"/>
    <hyperlink ref="B43" location="'Anlegen'!A1" tooltip="Zum Blatt Anlegen" display="Anlegen"/>
    <hyperlink ref="B44" location="'Umsetzung'!A1" tooltip="Zum Blatt Umsetzung" display="Umsetzung"/>
    <hyperlink ref="B45" location="'Übersicht'!A1" tooltip="Zum Blatt Übersicht" display="Übersicht"/>
    <hyperlink ref="B46" location="'Regel-Logik'!A1" tooltip="Zum Blatt Regel-Logik" display="Regel-Logik"/>
    <hyperlink ref="B47" location="'Elemente'!A1" tooltip="Zum Blatt Elemente" display="Elemente"/>
    <hyperlink ref="B48" location="'Zielordner'!A1" tooltip="Zum Blatt Zielordner" display="Zielordner"/>
    <hyperlink ref="B49" location="'Prüfhinweise'!A1" tooltip="Zum Blatt Prüfhinweise" display="Prüfhinweise"/>
    <hyperlink ref="B50" location="'Diagnose'!A1" tooltip="Zum Blatt Diagnose" display="Diagnose"/>
    <hyperlink ref="B51" location="'Live'!A1" tooltip="Zum Blatt Live" display="Live"/>
    <hyperlink ref="B52" location="'Sicherung'!A1" tooltip="Zum Blatt Sicherung" display="Sicherung"/>
    <hyperlink ref="B53" location="'Protokoll'!A1" tooltip="Zum Blatt Protokoll" display="Protokoll"/>
  </hyperlinks>
  <pageMargins left="0.4" right="0.4" top="0.5" bottom="0.6" header="0.3" footer="0.3"/>
  <pageSetup paperSize="9" orientation="landscape"/>
  <headerFooter>
    <oddFooter>&amp;L&amp;"Aptos,Regular"&amp;8Outlook-Regeln – &amp;A&amp;R&amp;"Aptos,Regular"&amp;8Seite &amp;P von &amp;N</oddFooter>
  </headerFooter>
</worksheet>
</file>

<file path=xl/worksheets/sheet2.xml><?xml version="1.0" encoding="utf-8"?>
<worksheet xmlns="http://schemas.openxmlformats.org/spreadsheetml/2006/main" xmlns:r="http://schemas.openxmlformats.org/officeDocument/2006/relationships">
  <sheetPr codeName="shUmsetzung">
    <tabColor rgb="FFBF1528"/>
    <pageSetUpPr fitToPage="1"/>
  </sheetPr>
  <dimension ref="A1:L53"/>
  <sheetViews>
    <sheetView showGridLines="0" workbookViewId="0"/>
  </sheetViews>
  <sheetFormatPr defaultRowHeight="15"/>
  <cols>
    <col min="1" max="1" width="3.28515625" customWidth="1"/>
    <col min="2" max="2" width="5.7109375" customWidth="1"/>
    <col min="3" max="3" width="9.7109375" customWidth="1"/>
    <col min="4" max="4" width="17.7109375" customWidth="1"/>
    <col min="5" max="5" width="31.7109375" customWidth="1"/>
    <col min="6" max="6" width="32.7109375" customWidth="1"/>
    <col min="7" max="7" width="40.7109375" customWidth="1"/>
    <col min="8" max="9" width="34.7109375" customWidth="1"/>
    <col min="10" max="11" width="30.7109375" customWidth="1"/>
    <col min="12" max="12" width="46.7109375" customWidth="1"/>
  </cols>
  <sheetData>
    <row r="1" spans="2:8" ht="8" customHeight="1"/>
    <row r="2" spans="2:8" ht="32" customHeight="1">
      <c r="B2" s="36" t="s">
        <v>572</v>
      </c>
    </row>
    <row r="3" spans="2:8" ht="18" customHeight="1">
      <c r="B3" s="2" t="s">
        <v>573</v>
      </c>
    </row>
    <row r="4" spans="2:8" ht="6" customHeight="1"/>
    <row r="5" spans="2:8" ht="46.8" customHeight="1">
      <c r="B5" s="37" t="s">
        <v>574</v>
      </c>
      <c r="C5" s="38"/>
      <c r="D5" s="38"/>
      <c r="E5" s="39" t="s">
        <v>575</v>
      </c>
      <c r="F5" s="39"/>
      <c r="G5" s="39"/>
      <c r="H5" s="39"/>
    </row>
    <row r="6" spans="2:8" ht="38" customHeight="1">
      <c r="B6" s="37" t="s">
        <v>576</v>
      </c>
      <c r="C6" s="38"/>
      <c r="D6" s="38"/>
      <c r="E6" s="39" t="s">
        <v>577</v>
      </c>
      <c r="F6" s="39"/>
      <c r="G6" s="39"/>
      <c r="H6" s="39"/>
    </row>
    <row r="7" spans="2:8" ht="38" customHeight="1">
      <c r="B7" s="37" t="s">
        <v>578</v>
      </c>
      <c r="C7" s="38"/>
      <c r="D7" s="38"/>
      <c r="E7" s="39" t="s">
        <v>579</v>
      </c>
      <c r="F7" s="39"/>
      <c r="G7" s="39"/>
      <c r="H7" s="39"/>
    </row>
    <row r="8" spans="2:8" ht="8" customHeight="1"/>
    <row r="9" spans="2:8" ht="22" customHeight="1">
      <c r="B9" s="40" t="s">
        <v>580</v>
      </c>
    </row>
    <row r="10" spans="2:8" ht="24" customHeight="1">
      <c r="B10" s="41" t="s">
        <v>581</v>
      </c>
      <c r="C10" s="41"/>
      <c r="D10" s="41"/>
      <c r="E10" s="42" t="s">
        <v>46</v>
      </c>
      <c r="F10" s="43" t="s">
        <v>582</v>
      </c>
      <c r="G10" s="43"/>
      <c r="H10" s="43"/>
    </row>
    <row r="11" spans="2:8" ht="24" customHeight="1">
      <c r="B11" s="41" t="s">
        <v>583</v>
      </c>
      <c r="C11" s="41"/>
      <c r="D11" s="41"/>
      <c r="E11" s="42" t="s">
        <v>47</v>
      </c>
      <c r="F11" s="43" t="s">
        <v>584</v>
      </c>
      <c r="G11" s="43"/>
      <c r="H11" s="43"/>
    </row>
    <row r="12" spans="2:8" ht="38" customHeight="1">
      <c r="B12" s="41" t="s">
        <v>585</v>
      </c>
      <c r="C12" s="41"/>
      <c r="D12" s="41"/>
      <c r="E12" s="42" t="s">
        <v>349</v>
      </c>
      <c r="F12" s="43" t="s">
        <v>586</v>
      </c>
      <c r="G12" s="43"/>
      <c r="H12" s="43"/>
    </row>
    <row r="13" spans="2:8" ht="34" customHeight="1">
      <c r="B13" s="41" t="s">
        <v>587</v>
      </c>
      <c r="C13" s="41"/>
      <c r="D13" s="41"/>
      <c r="E13" s="44" t="s">
        <v>588</v>
      </c>
      <c r="F13" s="44"/>
      <c r="G13" s="44"/>
      <c r="H13" s="44"/>
    </row>
    <row r="14" spans="2:8" ht="22" customHeight="1">
      <c r="B14" s="41" t="s">
        <v>589</v>
      </c>
      <c r="C14" s="41"/>
      <c r="D14" s="41"/>
      <c r="E14" s="45" t="s">
        <v>590</v>
      </c>
      <c r="F14" s="46" t="s">
        <v>590</v>
      </c>
      <c r="G14" s="47" t="s">
        <v>591</v>
      </c>
      <c r="H14" s="45" t="s">
        <v>590</v>
      </c>
    </row>
    <row r="15" spans="2:8" ht="10" customHeight="1"/>
    <row r="16" spans="2:8" ht="24" customHeight="1">
      <c r="B16" s="11" t="s">
        <v>592</v>
      </c>
      <c r="E16" s="48" t="s">
        <v>593</v>
      </c>
    </row>
    <row r="17" spans="2:12" ht="30" customHeight="1">
      <c r="B17" s="13" t="s">
        <v>215</v>
      </c>
      <c r="C17" s="13" t="s">
        <v>594</v>
      </c>
      <c r="D17" s="12" t="s">
        <v>104</v>
      </c>
      <c r="E17" s="12" t="s">
        <v>595</v>
      </c>
      <c r="F17" s="12" t="s">
        <v>596</v>
      </c>
      <c r="G17" s="12" t="s">
        <v>597</v>
      </c>
      <c r="H17" s="12" t="s">
        <v>598</v>
      </c>
      <c r="I17" s="12" t="s">
        <v>599</v>
      </c>
      <c r="J17" s="12" t="s">
        <v>600</v>
      </c>
      <c r="K17" s="12" t="s">
        <v>601</v>
      </c>
      <c r="L17" s="12" t="s">
        <v>224</v>
      </c>
    </row>
    <row r="18" spans="2:12" ht="74.6" customHeight="1">
      <c r="B18" s="49">
        <v>1</v>
      </c>
      <c r="C18" s="50" t="s">
        <v>330</v>
      </c>
      <c r="D18" s="51" t="s">
        <v>7</v>
      </c>
      <c r="E18" s="52" t="s">
        <v>329</v>
      </c>
      <c r="F18" s="53" t="s">
        <v>590</v>
      </c>
      <c r="G18" s="54" t="s">
        <v>590</v>
      </c>
      <c r="H18" s="54" t="s">
        <v>590</v>
      </c>
      <c r="I18" s="53" t="s">
        <v>230</v>
      </c>
      <c r="J18" s="53" t="s">
        <v>590</v>
      </c>
      <c r="K18" s="53" t="s">
        <v>590</v>
      </c>
      <c r="L18" s="55" t="s">
        <v>602</v>
      </c>
    </row>
    <row r="19" spans="2:12" ht="61.7" customHeight="1">
      <c r="B19" s="49">
        <v>2</v>
      </c>
      <c r="C19" s="50" t="s">
        <v>330</v>
      </c>
      <c r="D19" s="51" t="s">
        <v>603</v>
      </c>
      <c r="E19" s="52" t="s">
        <v>329</v>
      </c>
      <c r="F19" s="53" t="s">
        <v>137</v>
      </c>
      <c r="G19" s="54" t="s">
        <v>590</v>
      </c>
      <c r="H19" s="54" t="s">
        <v>590</v>
      </c>
      <c r="I19" s="53" t="s">
        <v>590</v>
      </c>
      <c r="J19" s="53" t="s">
        <v>590</v>
      </c>
      <c r="K19" s="53" t="s">
        <v>590</v>
      </c>
      <c r="L19" s="55" t="s">
        <v>604</v>
      </c>
    </row>
    <row r="20" spans="2:12" ht="74.6" customHeight="1">
      <c r="B20" s="49">
        <v>3</v>
      </c>
      <c r="C20" s="50" t="s">
        <v>330</v>
      </c>
      <c r="D20" s="51" t="s">
        <v>605</v>
      </c>
      <c r="E20" s="52" t="s">
        <v>180</v>
      </c>
      <c r="F20" s="53" t="s">
        <v>590</v>
      </c>
      <c r="G20" s="54" t="s">
        <v>590</v>
      </c>
      <c r="H20" s="54" t="s">
        <v>590</v>
      </c>
      <c r="I20" s="53" t="s">
        <v>230</v>
      </c>
      <c r="J20" s="53" t="s">
        <v>590</v>
      </c>
      <c r="K20" s="53" t="s">
        <v>180</v>
      </c>
      <c r="L20" s="55" t="s">
        <v>606</v>
      </c>
    </row>
    <row r="21" spans="2:12" ht="48.8" customHeight="1">
      <c r="B21" s="49">
        <v>4</v>
      </c>
      <c r="C21" s="50" t="s">
        <v>330</v>
      </c>
      <c r="D21" s="51" t="s">
        <v>607</v>
      </c>
      <c r="E21" s="52" t="s">
        <v>180</v>
      </c>
      <c r="F21" s="53" t="s">
        <v>608</v>
      </c>
      <c r="G21" s="54" t="s">
        <v>590</v>
      </c>
      <c r="H21" s="54" t="s">
        <v>590</v>
      </c>
      <c r="I21" s="53" t="s">
        <v>590</v>
      </c>
      <c r="J21" s="53" t="s">
        <v>590</v>
      </c>
      <c r="K21" s="53" t="s">
        <v>590</v>
      </c>
      <c r="L21" s="55" t="s">
        <v>609</v>
      </c>
    </row>
    <row r="22" spans="2:12" ht="61.7" customHeight="1">
      <c r="B22" s="49">
        <v>5</v>
      </c>
      <c r="C22" s="50" t="s">
        <v>330</v>
      </c>
      <c r="D22" s="51" t="s">
        <v>607</v>
      </c>
      <c r="E22" s="52" t="s">
        <v>173</v>
      </c>
      <c r="F22" s="53" t="s">
        <v>610</v>
      </c>
      <c r="G22" s="54" t="s">
        <v>590</v>
      </c>
      <c r="H22" s="54" t="s">
        <v>590</v>
      </c>
      <c r="I22" s="53" t="s">
        <v>590</v>
      </c>
      <c r="J22" s="53" t="s">
        <v>590</v>
      </c>
      <c r="K22" s="53" t="s">
        <v>590</v>
      </c>
      <c r="L22" s="55" t="s">
        <v>611</v>
      </c>
    </row>
    <row r="23" spans="2:12" ht="48.8" customHeight="1">
      <c r="B23" s="49">
        <v>6</v>
      </c>
      <c r="C23" s="50" t="s">
        <v>330</v>
      </c>
      <c r="D23" s="51" t="s">
        <v>605</v>
      </c>
      <c r="E23" s="52" t="s">
        <v>186</v>
      </c>
      <c r="F23" s="53" t="s">
        <v>590</v>
      </c>
      <c r="G23" s="54" t="s">
        <v>590</v>
      </c>
      <c r="H23" s="54" t="s">
        <v>590</v>
      </c>
      <c r="I23" s="53" t="s">
        <v>411</v>
      </c>
      <c r="J23" s="53" t="s">
        <v>413</v>
      </c>
      <c r="K23" s="53" t="s">
        <v>186</v>
      </c>
      <c r="L23" s="55" t="s">
        <v>612</v>
      </c>
    </row>
    <row r="24" spans="2:12" ht="48.8" customHeight="1">
      <c r="B24" s="49">
        <v>7</v>
      </c>
      <c r="C24" s="50" t="s">
        <v>330</v>
      </c>
      <c r="D24" s="51" t="s">
        <v>607</v>
      </c>
      <c r="E24" s="52" t="s">
        <v>186</v>
      </c>
      <c r="F24" s="53" t="s">
        <v>613</v>
      </c>
      <c r="G24" s="54" t="s">
        <v>590</v>
      </c>
      <c r="H24" s="54" t="s">
        <v>590</v>
      </c>
      <c r="I24" s="53" t="s">
        <v>590</v>
      </c>
      <c r="J24" s="53" t="s">
        <v>590</v>
      </c>
      <c r="K24" s="53" t="s">
        <v>590</v>
      </c>
      <c r="L24" s="55" t="s">
        <v>614</v>
      </c>
    </row>
    <row r="25" spans="2:12" ht="48.8" customHeight="1">
      <c r="B25" s="49">
        <v>8</v>
      </c>
      <c r="C25" s="50" t="s">
        <v>330</v>
      </c>
      <c r="D25" s="51" t="s">
        <v>615</v>
      </c>
      <c r="E25" s="52" t="s">
        <v>120</v>
      </c>
      <c r="F25" s="53" t="s">
        <v>616</v>
      </c>
      <c r="G25" s="54" t="s">
        <v>590</v>
      </c>
      <c r="H25" s="54" t="s">
        <v>590</v>
      </c>
      <c r="I25" s="53" t="s">
        <v>590</v>
      </c>
      <c r="J25" s="53" t="s">
        <v>590</v>
      </c>
      <c r="K25" s="53" t="s">
        <v>590</v>
      </c>
      <c r="L25" s="55" t="s">
        <v>617</v>
      </c>
    </row>
    <row r="26" spans="2:12" ht="61.7" customHeight="1">
      <c r="B26" s="49">
        <v>9</v>
      </c>
      <c r="C26" s="50" t="s">
        <v>330</v>
      </c>
      <c r="D26" s="51" t="s">
        <v>618</v>
      </c>
      <c r="E26" s="52" t="s">
        <v>124</v>
      </c>
      <c r="F26" s="53" t="s">
        <v>590</v>
      </c>
      <c r="G26" s="54" t="s">
        <v>590</v>
      </c>
      <c r="H26" s="54" t="s">
        <v>590</v>
      </c>
      <c r="I26" s="53" t="s">
        <v>590</v>
      </c>
      <c r="J26" s="53" t="s">
        <v>590</v>
      </c>
      <c r="K26" s="53" t="s">
        <v>590</v>
      </c>
      <c r="L26" s="55" t="s">
        <v>619</v>
      </c>
    </row>
    <row r="27" spans="2:12" ht="74.6" customHeight="1">
      <c r="B27" s="49">
        <v>10</v>
      </c>
      <c r="C27" s="50" t="s">
        <v>330</v>
      </c>
      <c r="D27" s="51" t="s">
        <v>620</v>
      </c>
      <c r="E27" s="52" t="s">
        <v>124</v>
      </c>
      <c r="F27" s="53" t="s">
        <v>590</v>
      </c>
      <c r="G27" s="54" t="s">
        <v>590</v>
      </c>
      <c r="H27" s="54" t="s">
        <v>590</v>
      </c>
      <c r="I27" s="53" t="s">
        <v>590</v>
      </c>
      <c r="J27" s="53" t="s">
        <v>590</v>
      </c>
      <c r="K27" s="53" t="s">
        <v>124</v>
      </c>
      <c r="L27" s="55" t="s">
        <v>621</v>
      </c>
    </row>
    <row r="28" spans="2:12" ht="74.6" customHeight="1">
      <c r="B28" s="49">
        <v>11</v>
      </c>
      <c r="C28" s="50" t="s">
        <v>330</v>
      </c>
      <c r="D28" s="51" t="s">
        <v>620</v>
      </c>
      <c r="E28" s="52" t="s">
        <v>128</v>
      </c>
      <c r="F28" s="53" t="s">
        <v>590</v>
      </c>
      <c r="G28" s="54" t="s">
        <v>590</v>
      </c>
      <c r="H28" s="54" t="s">
        <v>590</v>
      </c>
      <c r="I28" s="53" t="s">
        <v>590</v>
      </c>
      <c r="J28" s="53" t="s">
        <v>590</v>
      </c>
      <c r="K28" s="53" t="s">
        <v>128</v>
      </c>
      <c r="L28" s="55" t="s">
        <v>622</v>
      </c>
    </row>
    <row r="29" spans="2:12" ht="48.8" customHeight="1">
      <c r="B29" s="49">
        <v>12</v>
      </c>
      <c r="C29" s="50" t="s">
        <v>349</v>
      </c>
      <c r="D29" s="51" t="s">
        <v>605</v>
      </c>
      <c r="E29" s="52" t="s">
        <v>188</v>
      </c>
      <c r="F29" s="53" t="s">
        <v>623</v>
      </c>
      <c r="G29" s="54" t="s">
        <v>590</v>
      </c>
      <c r="H29" s="54" t="s">
        <v>590</v>
      </c>
      <c r="I29" s="53" t="s">
        <v>266</v>
      </c>
      <c r="J29" s="53" t="s">
        <v>590</v>
      </c>
      <c r="K29" s="53" t="s">
        <v>188</v>
      </c>
      <c r="L29" s="55" t="s">
        <v>624</v>
      </c>
    </row>
    <row r="30" spans="2:12" ht="48.8" customHeight="1">
      <c r="B30" s="49">
        <v>13</v>
      </c>
      <c r="C30" s="50" t="s">
        <v>349</v>
      </c>
      <c r="D30" s="51" t="s">
        <v>605</v>
      </c>
      <c r="E30" s="52" t="s">
        <v>190</v>
      </c>
      <c r="F30" s="53" t="s">
        <v>625</v>
      </c>
      <c r="G30" s="54" t="s">
        <v>590</v>
      </c>
      <c r="H30" s="54" t="s">
        <v>590</v>
      </c>
      <c r="I30" s="53" t="s">
        <v>271</v>
      </c>
      <c r="J30" s="53" t="s">
        <v>590</v>
      </c>
      <c r="K30" s="53" t="s">
        <v>190</v>
      </c>
      <c r="L30" s="55" t="s">
        <v>626</v>
      </c>
    </row>
    <row r="31" spans="2:12" ht="61.7" customHeight="1">
      <c r="B31" s="49">
        <v>14</v>
      </c>
      <c r="C31" s="50" t="s">
        <v>349</v>
      </c>
      <c r="D31" s="51" t="s">
        <v>605</v>
      </c>
      <c r="E31" s="52" t="s">
        <v>194</v>
      </c>
      <c r="F31" s="53" t="s">
        <v>627</v>
      </c>
      <c r="G31" s="54" t="s">
        <v>590</v>
      </c>
      <c r="H31" s="54" t="s">
        <v>590</v>
      </c>
      <c r="I31" s="53" t="s">
        <v>275</v>
      </c>
      <c r="J31" s="53" t="s">
        <v>590</v>
      </c>
      <c r="K31" s="53" t="s">
        <v>194</v>
      </c>
      <c r="L31" s="55" t="s">
        <v>628</v>
      </c>
    </row>
    <row r="32" spans="2:12" ht="24" customHeight="1">
      <c r="B32" s="49"/>
      <c r="C32" s="50" t="s">
        <v>590</v>
      </c>
      <c r="D32" s="51" t="s">
        <v>590</v>
      </c>
      <c r="E32" s="52" t="s">
        <v>590</v>
      </c>
      <c r="F32" s="53" t="s">
        <v>590</v>
      </c>
      <c r="G32" s="54" t="s">
        <v>590</v>
      </c>
      <c r="H32" s="54" t="s">
        <v>590</v>
      </c>
      <c r="I32" s="53" t="s">
        <v>590</v>
      </c>
      <c r="J32" s="53" t="s">
        <v>590</v>
      </c>
      <c r="K32" s="53" t="s">
        <v>590</v>
      </c>
      <c r="L32" s="55" t="s">
        <v>590</v>
      </c>
    </row>
    <row r="33" spans="2:12" ht="24" customHeight="1">
      <c r="B33" s="49"/>
      <c r="C33" s="50" t="s">
        <v>590</v>
      </c>
      <c r="D33" s="51" t="s">
        <v>590</v>
      </c>
      <c r="E33" s="52" t="s">
        <v>590</v>
      </c>
      <c r="F33" s="53" t="s">
        <v>590</v>
      </c>
      <c r="G33" s="54" t="s">
        <v>590</v>
      </c>
      <c r="H33" s="54" t="s">
        <v>590</v>
      </c>
      <c r="I33" s="53" t="s">
        <v>590</v>
      </c>
      <c r="J33" s="53" t="s">
        <v>590</v>
      </c>
      <c r="K33" s="53" t="s">
        <v>590</v>
      </c>
      <c r="L33" s="55" t="s">
        <v>590</v>
      </c>
    </row>
    <row r="34" spans="2:12" ht="24" customHeight="1">
      <c r="B34" s="49"/>
      <c r="C34" s="50" t="s">
        <v>590</v>
      </c>
      <c r="D34" s="51" t="s">
        <v>590</v>
      </c>
      <c r="E34" s="52" t="s">
        <v>590</v>
      </c>
      <c r="F34" s="53" t="s">
        <v>590</v>
      </c>
      <c r="G34" s="54" t="s">
        <v>590</v>
      </c>
      <c r="H34" s="54" t="s">
        <v>590</v>
      </c>
      <c r="I34" s="53" t="s">
        <v>590</v>
      </c>
      <c r="J34" s="53" t="s">
        <v>590</v>
      </c>
      <c r="K34" s="53" t="s">
        <v>590</v>
      </c>
      <c r="L34" s="55" t="s">
        <v>590</v>
      </c>
    </row>
    <row r="35" spans="2:12" ht="24" customHeight="1">
      <c r="B35" s="49"/>
      <c r="C35" s="50" t="s">
        <v>590</v>
      </c>
      <c r="D35" s="51" t="s">
        <v>590</v>
      </c>
      <c r="E35" s="52" t="s">
        <v>590</v>
      </c>
      <c r="F35" s="53" t="s">
        <v>590</v>
      </c>
      <c r="G35" s="54" t="s">
        <v>590</v>
      </c>
      <c r="H35" s="54" t="s">
        <v>590</v>
      </c>
      <c r="I35" s="53" t="s">
        <v>590</v>
      </c>
      <c r="J35" s="53" t="s">
        <v>590</v>
      </c>
      <c r="K35" s="53" t="s">
        <v>590</v>
      </c>
      <c r="L35" s="55" t="s">
        <v>590</v>
      </c>
    </row>
    <row r="36" spans="2:12" ht="24" customHeight="1">
      <c r="B36" s="49"/>
      <c r="C36" s="50" t="s">
        <v>590</v>
      </c>
      <c r="D36" s="51" t="s">
        <v>590</v>
      </c>
      <c r="E36" s="52" t="s">
        <v>590</v>
      </c>
      <c r="F36" s="53" t="s">
        <v>590</v>
      </c>
      <c r="G36" s="54" t="s">
        <v>590</v>
      </c>
      <c r="H36" s="54" t="s">
        <v>590</v>
      </c>
      <c r="I36" s="53" t="s">
        <v>590</v>
      </c>
      <c r="J36" s="53" t="s">
        <v>590</v>
      </c>
      <c r="K36" s="53" t="s">
        <v>590</v>
      </c>
      <c r="L36" s="55" t="s">
        <v>590</v>
      </c>
    </row>
    <row r="37" spans="2:12" ht="24" customHeight="1">
      <c r="B37" s="49"/>
      <c r="C37" s="50" t="s">
        <v>590</v>
      </c>
      <c r="D37" s="51" t="s">
        <v>590</v>
      </c>
      <c r="E37" s="52" t="s">
        <v>590</v>
      </c>
      <c r="F37" s="53" t="s">
        <v>590</v>
      </c>
      <c r="G37" s="54" t="s">
        <v>590</v>
      </c>
      <c r="H37" s="54" t="s">
        <v>590</v>
      </c>
      <c r="I37" s="53" t="s">
        <v>590</v>
      </c>
      <c r="J37" s="53" t="s">
        <v>590</v>
      </c>
      <c r="K37" s="53" t="s">
        <v>590</v>
      </c>
      <c r="L37" s="55" t="s">
        <v>590</v>
      </c>
    </row>
    <row r="39" spans="2:12" ht="26" customHeight="1">
      <c r="B39" s="11" t="s">
        <v>326</v>
      </c>
    </row>
    <row r="40" spans="2:12" ht="24" customHeight="1">
      <c r="B40" s="12" t="s">
        <v>104</v>
      </c>
      <c r="C40" s="12"/>
      <c r="D40" s="12"/>
      <c r="E40" s="12" t="s">
        <v>629</v>
      </c>
      <c r="F40" s="12" t="s">
        <v>630</v>
      </c>
      <c r="G40" s="12"/>
      <c r="H40" s="12"/>
      <c r="I40" s="12"/>
      <c r="J40" s="12"/>
      <c r="K40" s="12"/>
      <c r="L40" s="12"/>
    </row>
    <row r="41" spans="2:12" ht="19.2" customHeight="1">
      <c r="B41" s="56" t="s">
        <v>631</v>
      </c>
      <c r="C41" s="56"/>
      <c r="D41" s="56"/>
      <c r="E41" s="57" t="s">
        <v>632</v>
      </c>
      <c r="F41" s="58" t="s">
        <v>633</v>
      </c>
      <c r="G41" s="58"/>
      <c r="H41" s="58"/>
      <c r="I41" s="58"/>
      <c r="J41" s="58"/>
      <c r="K41" s="58"/>
      <c r="L41" s="58"/>
    </row>
    <row r="42" spans="2:12" ht="19.2" customHeight="1">
      <c r="B42" s="56" t="s">
        <v>7</v>
      </c>
      <c r="C42" s="56"/>
      <c r="D42" s="56"/>
      <c r="E42" s="57" t="s">
        <v>634</v>
      </c>
      <c r="F42" s="58" t="s">
        <v>635</v>
      </c>
      <c r="G42" s="58"/>
      <c r="H42" s="58"/>
      <c r="I42" s="58"/>
      <c r="J42" s="58"/>
      <c r="K42" s="58"/>
      <c r="L42" s="58"/>
    </row>
    <row r="43" spans="2:12" ht="19.2" customHeight="1">
      <c r="B43" s="56" t="s">
        <v>603</v>
      </c>
      <c r="C43" s="56"/>
      <c r="D43" s="56"/>
      <c r="E43" s="57" t="s">
        <v>636</v>
      </c>
      <c r="F43" s="58" t="s">
        <v>637</v>
      </c>
      <c r="G43" s="58"/>
      <c r="H43" s="58"/>
      <c r="I43" s="58"/>
      <c r="J43" s="58"/>
      <c r="K43" s="58"/>
      <c r="L43" s="58"/>
    </row>
    <row r="44" spans="2:12" ht="19.2" customHeight="1">
      <c r="B44" s="56" t="s">
        <v>618</v>
      </c>
      <c r="C44" s="56"/>
      <c r="D44" s="56"/>
      <c r="E44" s="57" t="s">
        <v>638</v>
      </c>
      <c r="F44" s="58" t="s">
        <v>639</v>
      </c>
      <c r="G44" s="58"/>
      <c r="H44" s="58"/>
      <c r="I44" s="58"/>
      <c r="J44" s="58"/>
      <c r="K44" s="58"/>
      <c r="L44" s="58"/>
    </row>
    <row r="45" spans="2:12" ht="19.2" customHeight="1">
      <c r="B45" s="56" t="s">
        <v>607</v>
      </c>
      <c r="C45" s="56"/>
      <c r="D45" s="56"/>
      <c r="E45" s="57" t="s">
        <v>640</v>
      </c>
      <c r="F45" s="58" t="s">
        <v>641</v>
      </c>
      <c r="G45" s="58"/>
      <c r="H45" s="58"/>
      <c r="I45" s="58"/>
      <c r="J45" s="58"/>
      <c r="K45" s="58"/>
      <c r="L45" s="58"/>
    </row>
    <row r="46" spans="2:12" ht="31.5" customHeight="1">
      <c r="B46" s="56" t="s">
        <v>605</v>
      </c>
      <c r="C46" s="56"/>
      <c r="D46" s="56"/>
      <c r="E46" s="57" t="s">
        <v>642</v>
      </c>
      <c r="F46" s="58" t="s">
        <v>643</v>
      </c>
      <c r="G46" s="58"/>
      <c r="H46" s="58"/>
      <c r="I46" s="58"/>
      <c r="J46" s="58"/>
      <c r="K46" s="58"/>
      <c r="L46" s="58"/>
    </row>
    <row r="47" spans="2:12" ht="19.2" customHeight="1">
      <c r="B47" s="56" t="s">
        <v>615</v>
      </c>
      <c r="C47" s="56"/>
      <c r="D47" s="56"/>
      <c r="E47" s="57" t="s">
        <v>640</v>
      </c>
      <c r="F47" s="58" t="s">
        <v>644</v>
      </c>
      <c r="G47" s="58"/>
      <c r="H47" s="58"/>
      <c r="I47" s="58"/>
      <c r="J47" s="58"/>
      <c r="K47" s="58"/>
      <c r="L47" s="58"/>
    </row>
    <row r="48" spans="2:12" ht="19.2" customHeight="1">
      <c r="B48" s="56" t="s">
        <v>620</v>
      </c>
      <c r="C48" s="56"/>
      <c r="D48" s="56"/>
      <c r="E48" s="57" t="s">
        <v>645</v>
      </c>
      <c r="F48" s="58" t="s">
        <v>646</v>
      </c>
      <c r="G48" s="58"/>
      <c r="H48" s="58"/>
      <c r="I48" s="58"/>
      <c r="J48" s="58"/>
      <c r="K48" s="58"/>
      <c r="L48" s="58"/>
    </row>
    <row r="49" spans="2:12" ht="19.2" customHeight="1">
      <c r="B49" s="56" t="s">
        <v>647</v>
      </c>
      <c r="C49" s="56"/>
      <c r="D49" s="56"/>
      <c r="E49" s="57" t="s">
        <v>638</v>
      </c>
      <c r="F49" s="58" t="s">
        <v>648</v>
      </c>
      <c r="G49" s="58"/>
      <c r="H49" s="58"/>
      <c r="I49" s="58"/>
      <c r="J49" s="58"/>
      <c r="K49" s="58"/>
      <c r="L49" s="58"/>
    </row>
    <row r="51" spans="2:12" ht="35.8" customHeight="1">
      <c r="B51" s="59" t="s">
        <v>649</v>
      </c>
      <c r="C51" s="59"/>
      <c r="D51" s="59"/>
      <c r="E51" s="60" t="s">
        <v>650</v>
      </c>
      <c r="F51" s="60"/>
      <c r="G51" s="60"/>
      <c r="H51" s="60"/>
      <c r="I51" s="60"/>
      <c r="J51" s="60"/>
      <c r="K51" s="60"/>
      <c r="L51" s="60"/>
    </row>
    <row r="52" spans="2:12" ht="48.8" customHeight="1">
      <c r="B52" s="61" t="s">
        <v>651</v>
      </c>
      <c r="C52" s="61"/>
      <c r="D52" s="61"/>
      <c r="E52" s="62" t="s">
        <v>652</v>
      </c>
      <c r="F52" s="62"/>
      <c r="G52" s="62"/>
      <c r="H52" s="62"/>
      <c r="I52" s="62"/>
      <c r="J52" s="62"/>
      <c r="K52" s="62"/>
      <c r="L52" s="62"/>
    </row>
    <row r="53" spans="2:12" ht="48.8" customHeight="1">
      <c r="B53" s="63" t="s">
        <v>653</v>
      </c>
      <c r="C53" s="63"/>
      <c r="D53" s="63"/>
      <c r="E53" s="64" t="s">
        <v>654</v>
      </c>
      <c r="F53" s="64"/>
      <c r="G53" s="64"/>
      <c r="H53" s="64"/>
      <c r="I53" s="64"/>
      <c r="J53" s="64"/>
      <c r="K53" s="64"/>
      <c r="L53" s="64"/>
    </row>
  </sheetData>
  <mergeCells count="41">
    <mergeCell ref="C5:D5"/>
    <mergeCell ref="E5:H5"/>
    <mergeCell ref="C6:D6"/>
    <mergeCell ref="E6:H6"/>
    <mergeCell ref="C7:D7"/>
    <mergeCell ref="E7:H7"/>
    <mergeCell ref="B10:D10"/>
    <mergeCell ref="F10:H10"/>
    <mergeCell ref="B11:D11"/>
    <mergeCell ref="F11:H11"/>
    <mergeCell ref="B12:D12"/>
    <mergeCell ref="F12:H12"/>
    <mergeCell ref="B13:D13"/>
    <mergeCell ref="E13:H13"/>
    <mergeCell ref="B14:D14"/>
    <mergeCell ref="B40:D40"/>
    <mergeCell ref="F40:L40"/>
    <mergeCell ref="B41:D41"/>
    <mergeCell ref="F41:L41"/>
    <mergeCell ref="B42:D42"/>
    <mergeCell ref="F42:L42"/>
    <mergeCell ref="B43:D43"/>
    <mergeCell ref="F43:L43"/>
    <mergeCell ref="B44:D44"/>
    <mergeCell ref="F44:L44"/>
    <mergeCell ref="B45:D45"/>
    <mergeCell ref="F45:L45"/>
    <mergeCell ref="B46:D46"/>
    <mergeCell ref="F46:L46"/>
    <mergeCell ref="B47:D47"/>
    <mergeCell ref="F47:L47"/>
    <mergeCell ref="B48:D48"/>
    <mergeCell ref="F48:L48"/>
    <mergeCell ref="B49:D49"/>
    <mergeCell ref="F49:L49"/>
    <mergeCell ref="B51:D51"/>
    <mergeCell ref="E51:L51"/>
    <mergeCell ref="B52:D52"/>
    <mergeCell ref="E52:L52"/>
    <mergeCell ref="B53:D53"/>
    <mergeCell ref="E53:L53"/>
  </mergeCells>
  <conditionalFormatting sqref="B18:F37">
    <cfRule type="expression" dxfId="2" priority="20">
      <formula>$C18="Nein"</formula>
    </cfRule>
  </conditionalFormatting>
  <conditionalFormatting sqref="C18:C37">
    <cfRule type="cellIs" dxfId="13" priority="8" operator="equal">
      <formula>"Ja"</formula>
    </cfRule>
    <cfRule type="cellIs" dxfId="14" priority="9" operator="equal">
      <formula>"Nein"</formula>
    </cfRule>
  </conditionalFormatting>
  <conditionalFormatting sqref="E12">
    <cfRule type="cellIs" dxfId="9" priority="1" operator="equal">
      <formula>"Ja"</formula>
    </cfRule>
  </conditionalFormatting>
  <conditionalFormatting sqref="E13:H13">
    <cfRule type="beginsWith" dxfId="9" priority="2" operator="beginsWith" text="Speichern gesperrt">
      <formula>LEFT(E13,18)="Speichern gesperrt"</formula>
    </cfRule>
    <cfRule type="beginsWith" dxfId="9" priority="3" operator="beginsWith" text="Vorschau nicht">
      <formula>LEFT(E13,14)="Vorschau nicht"</formula>
    </cfRule>
    <cfRule type="beginsWith" dxfId="9" priority="4" operator="beginsWith" text="Lesen nicht">
      <formula>LEFT(E13,11)="Lesen nicht"</formula>
    </cfRule>
    <cfRule type="beginsWith" dxfId="5" priority="5" operator="beginsWith" text="Speichern freigegeben">
      <formula>LEFT(E13,21)="Speichern freigegeben"</formula>
    </cfRule>
    <cfRule type="beginsWith" dxfId="8" priority="6" operator="beginsWith" text="Speichern möglich mit">
      <formula>LEFT(E13,21)="Speichern möglich mit"</formula>
    </cfRule>
    <cfRule type="beginsWith" dxfId="0" priority="7" operator="beginsWith" text="Speichern möglich">
      <formula>LEFT(E13,17)="Speichern möglich"</formula>
    </cfRule>
  </conditionalFormatting>
  <conditionalFormatting sqref="G18:H37">
    <cfRule type="beginsWith" dxfId="9" priority="10" operator="beginsWith" text="blockiert">
      <formula>LEFT(G18,9)="blockiert"</formula>
    </cfRule>
    <cfRule type="beginsWith" dxfId="9" priority="11" operator="beginsWith" text="nicht ausgeführt">
      <formula>LEFT(G18,16)="nicht ausgeführt"</formula>
    </cfRule>
    <cfRule type="beginsWith" dxfId="9" priority="12" operator="beginsWith" text="gespeichert, Prüfung">
      <formula>LEFT(G18,20)="gespeichert, Prüfung"</formula>
    </cfRule>
    <cfRule type="beginsWith" dxfId="5" priority="13" operator="beginsWith" text="im Speicher">
      <formula>LEFT(G18,11)="im Speicher"</formula>
    </cfRule>
    <cfRule type="beginsWith" dxfId="5" priority="14" operator="beginsWith" text="erledigt (geprüft, Bedingung">
      <formula>LEFT(G18,28)="erledigt (geprüft, Bedingung"</formula>
    </cfRule>
    <cfRule type="beginsWith" dxfId="8" priority="15" operator="beginsWith" text="erledigt (geprüft, ohne">
      <formula>LEFT(G18,23)="erledigt (geprüft, ohne"</formula>
    </cfRule>
    <cfRule type="beginsWith" dxfId="12" priority="16" operator="beginsWith" text="bereit">
      <formula>LEFT(G18,6)="bereit"</formula>
    </cfRule>
    <cfRule type="beginsWith" dxfId="0" priority="17" operator="beginsWith" text="erledigt (geprüft)">
      <formula>LEFT(G18,18)="erledigt (geprüft)"</formula>
    </cfRule>
    <cfRule type="beginsWith" dxfId="15" priority="18" operator="beginsWith" text="schon erledigt">
      <formula>LEFT(G18,14)="schon erledigt"</formula>
    </cfRule>
    <cfRule type="beginsWith" dxfId="4" priority="19" operator="beginsWith" text="nicht ausgewählt">
      <formula>LEFT(G18,16)="nicht ausgewählt"</formula>
    </cfRule>
  </conditionalFormatting>
  <conditionalFormatting sqref="I18:L37">
    <cfRule type="expression" dxfId="2" priority="21">
      <formula>$C18="Nein"</formula>
    </cfRule>
  </conditionalFormatting>
  <dataValidations count="3">
    <dataValidation type="list" allowBlank="1" showInputMessage="1" showErrorMessage="1" promptTitle="Sperre aufheben?" prompt="Ja nur, wenn die Regeln in Outlook exportiert sind (.rwz)." sqref="E12">
      <formula1>"Nein,Ja"</formula1>
    </dataValidation>
    <dataValidation type="list" allowBlank="1" showInputMessage="1" showErrorMessage="1" sqref="C18:C37">
      <formula1>"Ja,Nein"</formula1>
    </dataValidation>
    <dataValidation type="list" allowBlank="1" showInputMessage="1" showErrorMessage="1" error="Bitte eine Aktion aus der Liste." sqref="D18:D37">
      <formula1>"ORDNER_ANLEGEN,ZIELORDNER,UMBENENNEN,UMLEITEN_STATT_WEITERLEITEN,POSITION,KOPIEREN,BEDINGUNG_WORT_ERGAENZEN,AUSNAHMEN_UEBERNEHMEN,DEAKTIVIEREN"</formula1>
    </dataValidation>
  </dataValidations>
  <pageMargins left="0.4" right="0.4" top="0.5" bottom="0.6" header="0.3" footer="0.3"/>
  <pageSetup paperSize="9" fitToHeight="0" orientation="landscape"/>
  <headerFooter>
    <oddFooter>&amp;L&amp;"Aptos,Regular"&amp;8Outlook-Regeln – &amp;A&amp;R&amp;"Aptos,Regular"&amp;8Seite &amp;P von &amp;N</oddFooter>
  </headerFooter>
  <drawing r:id="rId1"/>
</worksheet>
</file>

<file path=xl/worksheets/sheet3.xml><?xml version="1.0" encoding="utf-8"?>
<worksheet xmlns="http://schemas.openxmlformats.org/spreadsheetml/2006/main" xmlns:r="http://schemas.openxmlformats.org/officeDocument/2006/relationships">
  <sheetPr codeName="shVergleich">
    <tabColor rgb="FF5B3E96"/>
    <pageSetUpPr fitToPage="1"/>
  </sheetPr>
  <dimension ref="A1:K39"/>
  <sheetViews>
    <sheetView showGridLines="0" workbookViewId="0">
      <pane ySplit="6" topLeftCell="A7" activePane="bottomLeft" state="frozen"/>
      <selection pane="bottomLeft"/>
    </sheetView>
  </sheetViews>
  <sheetFormatPr defaultRowHeight="15"/>
  <cols>
    <col min="1" max="1" width="19.7109375" customWidth="1"/>
    <col min="2" max="2" width="40.7109375" customWidth="1"/>
    <col min="3" max="5" width="9.7109375" customWidth="1"/>
    <col min="6" max="6" width="14.7109375" customWidth="1"/>
    <col min="7" max="8" width="9.7109375" customWidth="1"/>
    <col min="9" max="9" width="72.7109375" customWidth="1"/>
    <col min="10" max="11" width="58.7109375" customWidth="1"/>
  </cols>
  <sheetData>
    <row r="1" spans="1:11" ht="36" customHeight="1">
      <c r="A1" s="36" t="s">
        <v>10</v>
      </c>
    </row>
    <row r="2" spans="1:11" ht="18" customHeight="1">
      <c r="A2" s="65" t="s">
        <v>95</v>
      </c>
    </row>
    <row r="3" spans="1:11" ht="30" customHeight="1">
      <c r="A3" s="21" t="s">
        <v>96</v>
      </c>
      <c r="B3" s="21"/>
      <c r="C3" s="21"/>
      <c r="D3" s="21"/>
      <c r="E3" s="21"/>
      <c r="F3" s="21"/>
      <c r="G3" s="21"/>
      <c r="H3" s="21"/>
      <c r="I3" s="21"/>
      <c r="J3" s="21"/>
      <c r="K3" s="21"/>
    </row>
    <row r="4" spans="1:11" ht="8" customHeight="1"/>
    <row r="5" spans="1:11" ht="18" customHeight="1">
      <c r="A5" s="65" t="s">
        <v>97</v>
      </c>
    </row>
    <row r="6" spans="1:11" ht="30" customHeight="1">
      <c r="A6" s="12" t="s">
        <v>98</v>
      </c>
      <c r="B6" s="12" t="s">
        <v>99</v>
      </c>
      <c r="C6" s="13" t="s">
        <v>100</v>
      </c>
      <c r="D6" s="13" t="s">
        <v>101</v>
      </c>
      <c r="E6" s="13" t="s">
        <v>102</v>
      </c>
      <c r="F6" s="13" t="s">
        <v>103</v>
      </c>
      <c r="G6" s="13" t="s">
        <v>104</v>
      </c>
      <c r="H6" s="13" t="s">
        <v>105</v>
      </c>
      <c r="I6" s="12" t="s">
        <v>106</v>
      </c>
      <c r="J6" s="12" t="s">
        <v>107</v>
      </c>
      <c r="K6" s="12" t="s">
        <v>108</v>
      </c>
    </row>
    <row r="7" spans="1:11" ht="26" customHeight="1">
      <c r="A7" s="66" t="s">
        <v>109</v>
      </c>
      <c r="B7" s="66"/>
      <c r="C7" s="66"/>
      <c r="D7" s="66"/>
      <c r="E7" s="66"/>
      <c r="F7" s="66"/>
      <c r="G7" s="66"/>
      <c r="H7" s="66"/>
      <c r="I7" s="66"/>
      <c r="J7" s="66"/>
      <c r="K7" s="66"/>
    </row>
    <row r="8" spans="1:11" ht="88.6" customHeight="1">
      <c r="A8" s="67" t="s">
        <v>14</v>
      </c>
      <c r="B8" s="68" t="s">
        <v>110</v>
      </c>
      <c r="C8" s="69">
        <v>5</v>
      </c>
      <c r="D8" s="70">
        <v>3</v>
      </c>
      <c r="E8" s="71" t="s">
        <v>111</v>
      </c>
      <c r="F8" s="72" t="s">
        <v>112</v>
      </c>
      <c r="G8" s="72" t="s">
        <v>112</v>
      </c>
      <c r="H8" s="71" t="s">
        <v>111</v>
      </c>
      <c r="I8" s="73" t="s">
        <v>113</v>
      </c>
      <c r="J8" s="74" t="s">
        <v>114</v>
      </c>
      <c r="K8" s="75" t="s">
        <v>115</v>
      </c>
    </row>
    <row r="9" spans="1:11" ht="75" customHeight="1">
      <c r="A9" s="67" t="s">
        <v>14</v>
      </c>
      <c r="B9" s="68" t="s">
        <v>116</v>
      </c>
      <c r="C9" s="69">
        <v>6</v>
      </c>
      <c r="D9" s="69">
        <v>5</v>
      </c>
      <c r="E9" s="72" t="s">
        <v>112</v>
      </c>
      <c r="F9" s="71" t="s">
        <v>111</v>
      </c>
      <c r="G9" s="72" t="s">
        <v>112</v>
      </c>
      <c r="H9" s="71" t="s">
        <v>111</v>
      </c>
      <c r="I9" s="73" t="s">
        <v>117</v>
      </c>
      <c r="J9" s="74" t="s">
        <v>118</v>
      </c>
      <c r="K9" s="74" t="s">
        <v>119</v>
      </c>
    </row>
    <row r="10" spans="1:11" ht="88.6" customHeight="1">
      <c r="A10" s="67" t="s">
        <v>14</v>
      </c>
      <c r="B10" s="68" t="s">
        <v>120</v>
      </c>
      <c r="C10" s="69">
        <v>9</v>
      </c>
      <c r="D10" s="69">
        <v>9</v>
      </c>
      <c r="E10" s="72" t="s">
        <v>112</v>
      </c>
      <c r="F10" s="71" t="s">
        <v>111</v>
      </c>
      <c r="G10" s="72" t="s">
        <v>112</v>
      </c>
      <c r="H10" s="71" t="s">
        <v>111</v>
      </c>
      <c r="I10" s="73" t="s">
        <v>121</v>
      </c>
      <c r="J10" s="74" t="s">
        <v>122</v>
      </c>
      <c r="K10" s="74" t="s">
        <v>123</v>
      </c>
    </row>
    <row r="11" spans="1:11" ht="333.4" customHeight="1">
      <c r="A11" s="67" t="s">
        <v>14</v>
      </c>
      <c r="B11" s="68" t="s">
        <v>124</v>
      </c>
      <c r="C11" s="69">
        <v>16</v>
      </c>
      <c r="D11" s="69">
        <v>21</v>
      </c>
      <c r="E11" s="72" t="s">
        <v>112</v>
      </c>
      <c r="F11" s="71" t="s">
        <v>111</v>
      </c>
      <c r="G11" s="71" t="s">
        <v>111</v>
      </c>
      <c r="H11" s="71" t="s">
        <v>111</v>
      </c>
      <c r="I11" s="73" t="s">
        <v>125</v>
      </c>
      <c r="J11" s="74" t="s">
        <v>126</v>
      </c>
      <c r="K11" s="74" t="s">
        <v>127</v>
      </c>
    </row>
    <row r="12" spans="1:11" ht="102.2" customHeight="1">
      <c r="A12" s="67" t="s">
        <v>14</v>
      </c>
      <c r="B12" s="68" t="s">
        <v>128</v>
      </c>
      <c r="C12" s="69">
        <v>17</v>
      </c>
      <c r="D12" s="69">
        <v>23</v>
      </c>
      <c r="E12" s="72" t="s">
        <v>112</v>
      </c>
      <c r="F12" s="71" t="s">
        <v>111</v>
      </c>
      <c r="G12" s="72" t="s">
        <v>112</v>
      </c>
      <c r="H12" s="71" t="s">
        <v>111</v>
      </c>
      <c r="I12" s="73" t="s">
        <v>129</v>
      </c>
      <c r="J12" s="74" t="s">
        <v>130</v>
      </c>
      <c r="K12" s="74" t="s">
        <v>131</v>
      </c>
    </row>
    <row r="13" spans="1:11" ht="115.8" customHeight="1">
      <c r="A13" s="67" t="s">
        <v>14</v>
      </c>
      <c r="B13" s="68" t="s">
        <v>132</v>
      </c>
      <c r="C13" s="70">
        <v>18</v>
      </c>
      <c r="D13" s="70">
        <v>24</v>
      </c>
      <c r="E13" s="72" t="s">
        <v>112</v>
      </c>
      <c r="F13" s="72" t="s">
        <v>112</v>
      </c>
      <c r="G13" s="71" t="s">
        <v>111</v>
      </c>
      <c r="H13" s="71" t="s">
        <v>111</v>
      </c>
      <c r="I13" s="73" t="s">
        <v>133</v>
      </c>
      <c r="J13" s="75" t="s">
        <v>134</v>
      </c>
      <c r="K13" s="75" t="s">
        <v>135</v>
      </c>
    </row>
    <row r="14" spans="1:11" ht="26" customHeight="1">
      <c r="A14" s="66" t="s">
        <v>136</v>
      </c>
      <c r="B14" s="66"/>
      <c r="C14" s="66"/>
      <c r="D14" s="66"/>
      <c r="E14" s="66"/>
      <c r="F14" s="66"/>
      <c r="G14" s="66"/>
      <c r="H14" s="66"/>
      <c r="I14" s="66"/>
      <c r="J14" s="66"/>
      <c r="K14" s="66"/>
    </row>
    <row r="15" spans="1:11" ht="61.4" customHeight="1">
      <c r="A15" s="76" t="s">
        <v>16</v>
      </c>
      <c r="B15" s="68" t="s">
        <v>137</v>
      </c>
      <c r="C15" s="69">
        <v>1</v>
      </c>
      <c r="D15" s="69">
        <v>1</v>
      </c>
      <c r="E15" s="72" t="s">
        <v>112</v>
      </c>
      <c r="F15" s="72" t="s">
        <v>112</v>
      </c>
      <c r="G15" s="72" t="s">
        <v>112</v>
      </c>
      <c r="H15" s="71" t="s">
        <v>111</v>
      </c>
      <c r="I15" s="73" t="s">
        <v>138</v>
      </c>
      <c r="J15" s="74" t="s">
        <v>139</v>
      </c>
      <c r="K15" s="74" t="s">
        <v>139</v>
      </c>
    </row>
    <row r="16" spans="1:11" ht="61.4" customHeight="1">
      <c r="A16" s="76" t="s">
        <v>16</v>
      </c>
      <c r="B16" s="68" t="s">
        <v>140</v>
      </c>
      <c r="C16" s="69">
        <v>7</v>
      </c>
      <c r="D16" s="69">
        <v>6</v>
      </c>
      <c r="E16" s="72" t="s">
        <v>112</v>
      </c>
      <c r="F16" s="72" t="s">
        <v>112</v>
      </c>
      <c r="G16" s="72" t="s">
        <v>112</v>
      </c>
      <c r="H16" s="71" t="s">
        <v>111</v>
      </c>
      <c r="I16" s="73" t="s">
        <v>141</v>
      </c>
      <c r="J16" s="74" t="s">
        <v>142</v>
      </c>
      <c r="K16" s="74" t="s">
        <v>143</v>
      </c>
    </row>
    <row r="17" spans="1:11" ht="143" customHeight="1">
      <c r="A17" s="76" t="s">
        <v>16</v>
      </c>
      <c r="B17" s="68" t="s">
        <v>144</v>
      </c>
      <c r="C17" s="69">
        <v>8</v>
      </c>
      <c r="D17" s="69">
        <v>7</v>
      </c>
      <c r="E17" s="72" t="s">
        <v>112</v>
      </c>
      <c r="F17" s="72" t="s">
        <v>112</v>
      </c>
      <c r="G17" s="72" t="s">
        <v>112</v>
      </c>
      <c r="H17" s="71" t="s">
        <v>111</v>
      </c>
      <c r="I17" s="73" t="s">
        <v>145</v>
      </c>
      <c r="J17" s="74" t="s">
        <v>146</v>
      </c>
      <c r="K17" s="74" t="s">
        <v>147</v>
      </c>
    </row>
    <row r="18" spans="1:11" ht="129.4" customHeight="1">
      <c r="A18" s="76" t="s">
        <v>16</v>
      </c>
      <c r="B18" s="68" t="s">
        <v>148</v>
      </c>
      <c r="C18" s="69">
        <v>10</v>
      </c>
      <c r="D18" s="69">
        <v>10</v>
      </c>
      <c r="E18" s="72" t="s">
        <v>112</v>
      </c>
      <c r="F18" s="72" t="s">
        <v>112</v>
      </c>
      <c r="G18" s="72" t="s">
        <v>112</v>
      </c>
      <c r="H18" s="71" t="s">
        <v>111</v>
      </c>
      <c r="I18" s="73" t="s">
        <v>149</v>
      </c>
      <c r="J18" s="74" t="s">
        <v>150</v>
      </c>
      <c r="K18" s="74" t="s">
        <v>151</v>
      </c>
    </row>
    <row r="19" spans="1:11" ht="115.8" customHeight="1">
      <c r="A19" s="76" t="s">
        <v>16</v>
      </c>
      <c r="B19" s="68" t="s">
        <v>152</v>
      </c>
      <c r="C19" s="69">
        <v>12</v>
      </c>
      <c r="D19" s="69">
        <v>17</v>
      </c>
      <c r="E19" s="72" t="s">
        <v>112</v>
      </c>
      <c r="F19" s="72" t="s">
        <v>112</v>
      </c>
      <c r="G19" s="72" t="s">
        <v>112</v>
      </c>
      <c r="H19" s="71" t="s">
        <v>111</v>
      </c>
      <c r="I19" s="73" t="s">
        <v>153</v>
      </c>
      <c r="J19" s="74" t="s">
        <v>154</v>
      </c>
      <c r="K19" s="74" t="s">
        <v>155</v>
      </c>
    </row>
    <row r="20" spans="1:11" ht="129.4" customHeight="1">
      <c r="A20" s="76" t="s">
        <v>16</v>
      </c>
      <c r="B20" s="68" t="s">
        <v>156</v>
      </c>
      <c r="C20" s="69">
        <v>13</v>
      </c>
      <c r="D20" s="69">
        <v>18</v>
      </c>
      <c r="E20" s="72" t="s">
        <v>112</v>
      </c>
      <c r="F20" s="72" t="s">
        <v>112</v>
      </c>
      <c r="G20" s="72" t="s">
        <v>112</v>
      </c>
      <c r="H20" s="71" t="s">
        <v>111</v>
      </c>
      <c r="I20" s="73" t="s">
        <v>157</v>
      </c>
      <c r="J20" s="74" t="s">
        <v>158</v>
      </c>
      <c r="K20" s="74" t="s">
        <v>159</v>
      </c>
    </row>
    <row r="21" spans="1:11" ht="75" customHeight="1">
      <c r="A21" s="76" t="s">
        <v>16</v>
      </c>
      <c r="B21" s="68" t="s">
        <v>160</v>
      </c>
      <c r="C21" s="69">
        <v>14</v>
      </c>
      <c r="D21" s="69">
        <v>19</v>
      </c>
      <c r="E21" s="72" t="s">
        <v>112</v>
      </c>
      <c r="F21" s="72" t="s">
        <v>112</v>
      </c>
      <c r="G21" s="72" t="s">
        <v>112</v>
      </c>
      <c r="H21" s="71" t="s">
        <v>111</v>
      </c>
      <c r="I21" s="73" t="s">
        <v>161</v>
      </c>
      <c r="J21" s="74" t="s">
        <v>162</v>
      </c>
      <c r="K21" s="74" t="s">
        <v>163</v>
      </c>
    </row>
    <row r="22" spans="1:11" ht="211" customHeight="1">
      <c r="A22" s="76" t="s">
        <v>16</v>
      </c>
      <c r="B22" s="68" t="s">
        <v>164</v>
      </c>
      <c r="C22" s="69">
        <v>15</v>
      </c>
      <c r="D22" s="69">
        <v>20</v>
      </c>
      <c r="E22" s="72" t="s">
        <v>112</v>
      </c>
      <c r="F22" s="72" t="s">
        <v>112</v>
      </c>
      <c r="G22" s="72" t="s">
        <v>112</v>
      </c>
      <c r="H22" s="71" t="s">
        <v>111</v>
      </c>
      <c r="I22" s="73" t="s">
        <v>161</v>
      </c>
      <c r="J22" s="74" t="s">
        <v>165</v>
      </c>
      <c r="K22" s="74" t="s">
        <v>165</v>
      </c>
    </row>
    <row r="23" spans="1:11" ht="26" customHeight="1">
      <c r="A23" s="66" t="s">
        <v>166</v>
      </c>
      <c r="B23" s="66"/>
      <c r="C23" s="66"/>
      <c r="D23" s="66"/>
      <c r="E23" s="66"/>
      <c r="F23" s="66"/>
      <c r="G23" s="66"/>
      <c r="H23" s="66"/>
      <c r="I23" s="66"/>
      <c r="J23" s="66"/>
      <c r="K23" s="66"/>
    </row>
    <row r="24" spans="1:11" ht="75" customHeight="1">
      <c r="A24" s="77" t="s">
        <v>18</v>
      </c>
      <c r="B24" s="68" t="s">
        <v>167</v>
      </c>
      <c r="C24" s="69">
        <v>2</v>
      </c>
      <c r="D24" s="78" t="s">
        <v>168</v>
      </c>
      <c r="E24" s="79" t="s">
        <v>168</v>
      </c>
      <c r="F24" s="79" t="s">
        <v>168</v>
      </c>
      <c r="G24" s="79" t="s">
        <v>168</v>
      </c>
      <c r="H24" s="79" t="s">
        <v>168</v>
      </c>
      <c r="I24" s="73" t="s">
        <v>169</v>
      </c>
      <c r="J24" s="74" t="s">
        <v>170</v>
      </c>
      <c r="K24" s="80" t="s">
        <v>168</v>
      </c>
    </row>
    <row r="25" spans="1:11" ht="61.4" customHeight="1">
      <c r="A25" s="77" t="s">
        <v>18</v>
      </c>
      <c r="B25" s="68" t="s">
        <v>171</v>
      </c>
      <c r="C25" s="69">
        <v>3</v>
      </c>
      <c r="D25" s="78" t="s">
        <v>168</v>
      </c>
      <c r="E25" s="79" t="s">
        <v>168</v>
      </c>
      <c r="F25" s="79" t="s">
        <v>168</v>
      </c>
      <c r="G25" s="79" t="s">
        <v>168</v>
      </c>
      <c r="H25" s="79" t="s">
        <v>168</v>
      </c>
      <c r="I25" s="73" t="s">
        <v>169</v>
      </c>
      <c r="J25" s="74" t="s">
        <v>172</v>
      </c>
      <c r="K25" s="80" t="s">
        <v>168</v>
      </c>
    </row>
    <row r="26" spans="1:11" ht="75" customHeight="1">
      <c r="A26" s="77" t="s">
        <v>18</v>
      </c>
      <c r="B26" s="68" t="s">
        <v>173</v>
      </c>
      <c r="C26" s="69">
        <v>4</v>
      </c>
      <c r="D26" s="78" t="s">
        <v>168</v>
      </c>
      <c r="E26" s="79" t="s">
        <v>168</v>
      </c>
      <c r="F26" s="79" t="s">
        <v>168</v>
      </c>
      <c r="G26" s="79" t="s">
        <v>168</v>
      </c>
      <c r="H26" s="79" t="s">
        <v>168</v>
      </c>
      <c r="I26" s="73" t="s">
        <v>174</v>
      </c>
      <c r="J26" s="74" t="s">
        <v>175</v>
      </c>
      <c r="K26" s="80" t="s">
        <v>168</v>
      </c>
    </row>
    <row r="27" spans="1:11" ht="61.4" customHeight="1">
      <c r="A27" s="77" t="s">
        <v>18</v>
      </c>
      <c r="B27" s="68" t="s">
        <v>176</v>
      </c>
      <c r="C27" s="69">
        <v>11</v>
      </c>
      <c r="D27" s="78" t="s">
        <v>168</v>
      </c>
      <c r="E27" s="79" t="s">
        <v>168</v>
      </c>
      <c r="F27" s="79" t="s">
        <v>168</v>
      </c>
      <c r="G27" s="79" t="s">
        <v>168</v>
      </c>
      <c r="H27" s="79" t="s">
        <v>168</v>
      </c>
      <c r="I27" s="73" t="s">
        <v>177</v>
      </c>
      <c r="J27" s="74" t="s">
        <v>178</v>
      </c>
      <c r="K27" s="80" t="s">
        <v>168</v>
      </c>
    </row>
    <row r="28" spans="1:11" ht="26" customHeight="1">
      <c r="A28" s="66" t="s">
        <v>179</v>
      </c>
      <c r="B28" s="66"/>
      <c r="C28" s="66"/>
      <c r="D28" s="66"/>
      <c r="E28" s="66"/>
      <c r="F28" s="66"/>
      <c r="G28" s="66"/>
      <c r="H28" s="66"/>
      <c r="I28" s="66"/>
      <c r="J28" s="66"/>
      <c r="K28" s="66"/>
    </row>
    <row r="29" spans="1:11" ht="61.4" customHeight="1">
      <c r="A29" s="81" t="s">
        <v>20</v>
      </c>
      <c r="B29" s="68" t="s">
        <v>180</v>
      </c>
      <c r="C29" s="78" t="s">
        <v>168</v>
      </c>
      <c r="D29" s="69">
        <v>2</v>
      </c>
      <c r="E29" s="79" t="s">
        <v>168</v>
      </c>
      <c r="F29" s="79" t="s">
        <v>168</v>
      </c>
      <c r="G29" s="79" t="s">
        <v>168</v>
      </c>
      <c r="H29" s="79" t="s">
        <v>168</v>
      </c>
      <c r="I29" s="73" t="s">
        <v>181</v>
      </c>
      <c r="J29" s="80" t="s">
        <v>168</v>
      </c>
      <c r="K29" s="74" t="s">
        <v>182</v>
      </c>
    </row>
    <row r="30" spans="1:11" ht="61.4" customHeight="1">
      <c r="A30" s="81" t="s">
        <v>20</v>
      </c>
      <c r="B30" s="68" t="s">
        <v>183</v>
      </c>
      <c r="C30" s="78" t="s">
        <v>168</v>
      </c>
      <c r="D30" s="70">
        <v>4</v>
      </c>
      <c r="E30" s="79" t="s">
        <v>168</v>
      </c>
      <c r="F30" s="79" t="s">
        <v>168</v>
      </c>
      <c r="G30" s="79" t="s">
        <v>168</v>
      </c>
      <c r="H30" s="79" t="s">
        <v>168</v>
      </c>
      <c r="I30" s="73" t="s">
        <v>184</v>
      </c>
      <c r="J30" s="80" t="s">
        <v>168</v>
      </c>
      <c r="K30" s="75" t="s">
        <v>185</v>
      </c>
    </row>
    <row r="31" spans="1:11" ht="88.6" customHeight="1">
      <c r="A31" s="81" t="s">
        <v>20</v>
      </c>
      <c r="B31" s="68" t="s">
        <v>186</v>
      </c>
      <c r="C31" s="78" t="s">
        <v>168</v>
      </c>
      <c r="D31" s="69">
        <v>8</v>
      </c>
      <c r="E31" s="79" t="s">
        <v>168</v>
      </c>
      <c r="F31" s="79" t="s">
        <v>168</v>
      </c>
      <c r="G31" s="79" t="s">
        <v>168</v>
      </c>
      <c r="H31" s="79" t="s">
        <v>168</v>
      </c>
      <c r="I31" s="73" t="s">
        <v>184</v>
      </c>
      <c r="J31" s="80" t="s">
        <v>168</v>
      </c>
      <c r="K31" s="74" t="s">
        <v>187</v>
      </c>
    </row>
    <row r="32" spans="1:11" ht="61.4" customHeight="1">
      <c r="A32" s="81" t="s">
        <v>20</v>
      </c>
      <c r="B32" s="68" t="s">
        <v>188</v>
      </c>
      <c r="C32" s="78" t="s">
        <v>168</v>
      </c>
      <c r="D32" s="69">
        <v>11</v>
      </c>
      <c r="E32" s="79" t="s">
        <v>168</v>
      </c>
      <c r="F32" s="79" t="s">
        <v>168</v>
      </c>
      <c r="G32" s="79" t="s">
        <v>168</v>
      </c>
      <c r="H32" s="79" t="s">
        <v>168</v>
      </c>
      <c r="I32" s="73" t="s">
        <v>184</v>
      </c>
      <c r="J32" s="80" t="s">
        <v>168</v>
      </c>
      <c r="K32" s="74" t="s">
        <v>189</v>
      </c>
    </row>
    <row r="33" spans="1:11" ht="61.4" customHeight="1">
      <c r="A33" s="81" t="s">
        <v>20</v>
      </c>
      <c r="B33" s="68" t="s">
        <v>190</v>
      </c>
      <c r="C33" s="78" t="s">
        <v>168</v>
      </c>
      <c r="D33" s="69">
        <v>12</v>
      </c>
      <c r="E33" s="79" t="s">
        <v>168</v>
      </c>
      <c r="F33" s="79" t="s">
        <v>168</v>
      </c>
      <c r="G33" s="79" t="s">
        <v>168</v>
      </c>
      <c r="H33" s="79" t="s">
        <v>168</v>
      </c>
      <c r="I33" s="73" t="s">
        <v>184</v>
      </c>
      <c r="J33" s="80" t="s">
        <v>168</v>
      </c>
      <c r="K33" s="74" t="s">
        <v>191</v>
      </c>
    </row>
    <row r="34" spans="1:11" ht="47.8" customHeight="1">
      <c r="A34" s="81" t="s">
        <v>20</v>
      </c>
      <c r="B34" s="68" t="s">
        <v>192</v>
      </c>
      <c r="C34" s="78" t="s">
        <v>168</v>
      </c>
      <c r="D34" s="69">
        <v>13</v>
      </c>
      <c r="E34" s="79" t="s">
        <v>168</v>
      </c>
      <c r="F34" s="79" t="s">
        <v>168</v>
      </c>
      <c r="G34" s="79" t="s">
        <v>168</v>
      </c>
      <c r="H34" s="79" t="s">
        <v>168</v>
      </c>
      <c r="I34" s="73" t="s">
        <v>184</v>
      </c>
      <c r="J34" s="80" t="s">
        <v>168</v>
      </c>
      <c r="K34" s="74" t="s">
        <v>193</v>
      </c>
    </row>
    <row r="35" spans="1:11" ht="61.4" customHeight="1">
      <c r="A35" s="81" t="s">
        <v>20</v>
      </c>
      <c r="B35" s="68" t="s">
        <v>194</v>
      </c>
      <c r="C35" s="78" t="s">
        <v>168</v>
      </c>
      <c r="D35" s="69">
        <v>14</v>
      </c>
      <c r="E35" s="79" t="s">
        <v>168</v>
      </c>
      <c r="F35" s="79" t="s">
        <v>168</v>
      </c>
      <c r="G35" s="79" t="s">
        <v>168</v>
      </c>
      <c r="H35" s="79" t="s">
        <v>168</v>
      </c>
      <c r="I35" s="73" t="s">
        <v>184</v>
      </c>
      <c r="J35" s="80" t="s">
        <v>168</v>
      </c>
      <c r="K35" s="74" t="s">
        <v>195</v>
      </c>
    </row>
    <row r="36" spans="1:11" ht="75" customHeight="1">
      <c r="A36" s="81" t="s">
        <v>20</v>
      </c>
      <c r="B36" s="68" t="s">
        <v>196</v>
      </c>
      <c r="C36" s="78" t="s">
        <v>168</v>
      </c>
      <c r="D36" s="69">
        <v>15</v>
      </c>
      <c r="E36" s="79" t="s">
        <v>168</v>
      </c>
      <c r="F36" s="79" t="s">
        <v>168</v>
      </c>
      <c r="G36" s="79" t="s">
        <v>168</v>
      </c>
      <c r="H36" s="79" t="s">
        <v>168</v>
      </c>
      <c r="I36" s="73" t="s">
        <v>197</v>
      </c>
      <c r="J36" s="80" t="s">
        <v>168</v>
      </c>
      <c r="K36" s="74" t="s">
        <v>198</v>
      </c>
    </row>
    <row r="37" spans="1:11" ht="156.6" customHeight="1">
      <c r="A37" s="81" t="s">
        <v>20</v>
      </c>
      <c r="B37" s="68" t="s">
        <v>199</v>
      </c>
      <c r="C37" s="78" t="s">
        <v>168</v>
      </c>
      <c r="D37" s="69">
        <v>16</v>
      </c>
      <c r="E37" s="79" t="s">
        <v>168</v>
      </c>
      <c r="F37" s="79" t="s">
        <v>168</v>
      </c>
      <c r="G37" s="79" t="s">
        <v>168</v>
      </c>
      <c r="H37" s="79" t="s">
        <v>168</v>
      </c>
      <c r="I37" s="73" t="s">
        <v>200</v>
      </c>
      <c r="J37" s="80" t="s">
        <v>168</v>
      </c>
      <c r="K37" s="74" t="s">
        <v>201</v>
      </c>
    </row>
    <row r="38" spans="1:11" ht="102.2" customHeight="1">
      <c r="A38" s="81" t="s">
        <v>20</v>
      </c>
      <c r="B38" s="68" t="s">
        <v>202</v>
      </c>
      <c r="C38" s="78" t="s">
        <v>168</v>
      </c>
      <c r="D38" s="69">
        <v>22</v>
      </c>
      <c r="E38" s="79" t="s">
        <v>168</v>
      </c>
      <c r="F38" s="79" t="s">
        <v>168</v>
      </c>
      <c r="G38" s="79" t="s">
        <v>168</v>
      </c>
      <c r="H38" s="79" t="s">
        <v>168</v>
      </c>
      <c r="I38" s="73" t="s">
        <v>184</v>
      </c>
      <c r="J38" s="80" t="s">
        <v>168</v>
      </c>
      <c r="K38" s="74" t="s">
        <v>203</v>
      </c>
    </row>
    <row r="39" spans="1:11" ht="102.2" customHeight="1">
      <c r="A39" s="81" t="s">
        <v>20</v>
      </c>
      <c r="B39" s="68" t="s">
        <v>204</v>
      </c>
      <c r="C39" s="78" t="s">
        <v>168</v>
      </c>
      <c r="D39" s="70">
        <v>25</v>
      </c>
      <c r="E39" s="79" t="s">
        <v>168</v>
      </c>
      <c r="F39" s="79" t="s">
        <v>168</v>
      </c>
      <c r="G39" s="79" t="s">
        <v>168</v>
      </c>
      <c r="H39" s="79" t="s">
        <v>168</v>
      </c>
      <c r="I39" s="73" t="s">
        <v>184</v>
      </c>
      <c r="J39" s="80" t="s">
        <v>168</v>
      </c>
      <c r="K39" s="75" t="s">
        <v>205</v>
      </c>
    </row>
  </sheetData>
  <mergeCells count="5">
    <mergeCell ref="A3:K3"/>
    <mergeCell ref="A7:K7"/>
    <mergeCell ref="A14:K14"/>
    <mergeCell ref="A23:K23"/>
    <mergeCell ref="A28:K28"/>
  </mergeCells>
  <pageMargins left="0.4" right="0.4" top="0.5" bottom="0.6" header="0.3" footer="0.3"/>
  <pageSetup paperSize="9" fitToHeight="0" orientation="landscape"/>
  <headerFooter>
    <oddFooter>&amp;L&amp;"Aptos,Regular"&amp;8Outlook-Regeln – &amp;A&amp;R&amp;"Aptos,Regular"&amp;8Seite &amp;P von &amp;N</oddFooter>
  </headerFooter>
</worksheet>
</file>

<file path=xl/worksheets/sheet4.xml><?xml version="1.0" encoding="utf-8"?>
<worksheet xmlns="http://schemas.openxmlformats.org/spreadsheetml/2006/main" xmlns:r="http://schemas.openxmlformats.org/officeDocument/2006/relationships">
  <sheetPr codeName="shAnlegen">
    <tabColor rgb="FF1E7F4F"/>
    <pageSetUpPr fitToPage="1"/>
  </sheetPr>
  <dimension ref="A1:K56"/>
  <sheetViews>
    <sheetView showGridLines="0" workbookViewId="0">
      <pane ySplit="10" topLeftCell="A11" activePane="bottomLeft" state="frozen"/>
      <selection pane="bottomLeft"/>
    </sheetView>
  </sheetViews>
  <sheetFormatPr defaultRowHeight="15"/>
  <cols>
    <col min="1" max="1" width="5.7109375" customWidth="1"/>
    <col min="2" max="2" width="19.7109375" customWidth="1"/>
    <col min="3" max="3" width="34.7109375" customWidth="1"/>
    <col min="4" max="4" width="8.7109375" customWidth="1"/>
    <col min="5" max="5" width="30.7109375" customWidth="1"/>
    <col min="6" max="6" width="38.7109375" customWidth="1"/>
    <col min="7" max="7" width="20.7109375" customWidth="1"/>
    <col min="8" max="8" width="52.7109375" customWidth="1"/>
    <col min="9" max="9" width="32.7109375" customWidth="1"/>
    <col min="10" max="10" width="52.7109375" customWidth="1"/>
    <col min="11" max="11" width="12.7109375" customWidth="1"/>
  </cols>
  <sheetData>
    <row r="1" spans="1:11" ht="36" customHeight="1">
      <c r="A1" s="36" t="s">
        <v>206</v>
      </c>
    </row>
    <row r="2" spans="1:11" ht="18" customHeight="1">
      <c r="A2" s="65" t="s">
        <v>207</v>
      </c>
    </row>
    <row r="3" spans="1:11" ht="30" customHeight="1">
      <c r="A3" s="82" t="s">
        <v>208</v>
      </c>
      <c r="B3" s="82"/>
      <c r="C3" s="82"/>
      <c r="D3" s="82"/>
      <c r="E3" s="82"/>
      <c r="F3" s="82"/>
      <c r="G3" s="82"/>
      <c r="H3" s="82"/>
      <c r="I3" s="82"/>
      <c r="J3" s="82"/>
      <c r="K3" s="82"/>
    </row>
    <row r="4" spans="1:11" ht="22" customHeight="1">
      <c r="A4" s="83" t="s">
        <v>209</v>
      </c>
    </row>
    <row r="5" spans="1:11" ht="16" customHeight="1">
      <c r="A5" s="84" t="s">
        <v>210</v>
      </c>
    </row>
    <row r="6" spans="1:11" ht="16" customHeight="1">
      <c r="A6" s="84" t="s">
        <v>211</v>
      </c>
    </row>
    <row r="7" spans="1:11" ht="16" customHeight="1">
      <c r="A7" s="84" t="s">
        <v>212</v>
      </c>
    </row>
    <row r="8" spans="1:11" ht="16" customHeight="1">
      <c r="A8" s="84" t="s">
        <v>213</v>
      </c>
    </row>
    <row r="9" spans="1:11" ht="22" customHeight="1">
      <c r="A9" s="85" t="s">
        <v>214</v>
      </c>
    </row>
    <row r="10" spans="1:11" ht="30" customHeight="1">
      <c r="A10" s="13" t="s">
        <v>215</v>
      </c>
      <c r="B10" s="12" t="s">
        <v>216</v>
      </c>
      <c r="C10" s="12" t="s">
        <v>217</v>
      </c>
      <c r="D10" s="13" t="s">
        <v>218</v>
      </c>
      <c r="E10" s="12" t="s">
        <v>219</v>
      </c>
      <c r="F10" s="12" t="s">
        <v>220</v>
      </c>
      <c r="G10" s="12" t="s">
        <v>221</v>
      </c>
      <c r="H10" s="12" t="s">
        <v>222</v>
      </c>
      <c r="I10" s="12" t="s">
        <v>223</v>
      </c>
      <c r="J10" s="12" t="s">
        <v>224</v>
      </c>
      <c r="K10" s="13" t="s">
        <v>225</v>
      </c>
    </row>
    <row r="11" spans="1:11" ht="105.2" customHeight="1">
      <c r="A11" s="49">
        <v>1</v>
      </c>
      <c r="B11" s="86" t="s">
        <v>30</v>
      </c>
      <c r="C11" s="87" t="s">
        <v>226</v>
      </c>
      <c r="D11" s="88">
        <v>1</v>
      </c>
      <c r="E11" s="89" t="s">
        <v>227</v>
      </c>
      <c r="F11" s="90" t="s">
        <v>228</v>
      </c>
      <c r="G11" s="89" t="s">
        <v>168</v>
      </c>
      <c r="H11" s="89" t="s">
        <v>229</v>
      </c>
      <c r="I11" s="89" t="s">
        <v>230</v>
      </c>
      <c r="J11" s="91" t="s">
        <v>231</v>
      </c>
      <c r="K11" s="49" t="s">
        <v>232</v>
      </c>
    </row>
    <row r="12" spans="1:11" ht="64.4" customHeight="1">
      <c r="A12" s="49">
        <v>2</v>
      </c>
      <c r="B12" s="92" t="s">
        <v>28</v>
      </c>
      <c r="C12" s="87" t="s">
        <v>180</v>
      </c>
      <c r="D12" s="88">
        <v>2</v>
      </c>
      <c r="E12" s="89" t="s">
        <v>233</v>
      </c>
      <c r="F12" s="90" t="s">
        <v>234</v>
      </c>
      <c r="G12" s="89" t="s">
        <v>168</v>
      </c>
      <c r="H12" s="89" t="s">
        <v>229</v>
      </c>
      <c r="I12" s="89" t="s">
        <v>235</v>
      </c>
      <c r="J12" s="91" t="s">
        <v>236</v>
      </c>
      <c r="K12" s="49" t="s">
        <v>232</v>
      </c>
    </row>
    <row r="13" spans="1:11" ht="91.6" customHeight="1">
      <c r="A13" s="49">
        <v>3</v>
      </c>
      <c r="B13" s="86" t="s">
        <v>30</v>
      </c>
      <c r="C13" s="87" t="s">
        <v>237</v>
      </c>
      <c r="D13" s="88">
        <v>3</v>
      </c>
      <c r="E13" s="89" t="s">
        <v>238</v>
      </c>
      <c r="F13" s="89" t="s">
        <v>239</v>
      </c>
      <c r="G13" s="89" t="s">
        <v>240</v>
      </c>
      <c r="H13" s="89" t="s">
        <v>241</v>
      </c>
      <c r="I13" s="89" t="s">
        <v>168</v>
      </c>
      <c r="J13" s="91" t="s">
        <v>242</v>
      </c>
      <c r="K13" s="49" t="s">
        <v>232</v>
      </c>
    </row>
    <row r="14" spans="1:11" ht="91.6" customHeight="1">
      <c r="A14" s="49">
        <v>4</v>
      </c>
      <c r="B14" s="92" t="s">
        <v>28</v>
      </c>
      <c r="C14" s="87" t="s">
        <v>186</v>
      </c>
      <c r="D14" s="88">
        <v>10</v>
      </c>
      <c r="E14" s="89" t="s">
        <v>243</v>
      </c>
      <c r="F14" s="90" t="s">
        <v>244</v>
      </c>
      <c r="G14" s="89" t="s">
        <v>168</v>
      </c>
      <c r="H14" s="89" t="s">
        <v>245</v>
      </c>
      <c r="I14" s="89" t="s">
        <v>246</v>
      </c>
      <c r="J14" s="91" t="s">
        <v>247</v>
      </c>
      <c r="K14" s="49" t="s">
        <v>232</v>
      </c>
    </row>
    <row r="15" spans="1:11" ht="91.6" customHeight="1">
      <c r="A15" s="49">
        <v>5</v>
      </c>
      <c r="B15" s="86" t="s">
        <v>30</v>
      </c>
      <c r="C15" s="87" t="s">
        <v>248</v>
      </c>
      <c r="D15" s="88">
        <v>11</v>
      </c>
      <c r="E15" s="89" t="s">
        <v>249</v>
      </c>
      <c r="F15" s="89" t="s">
        <v>250</v>
      </c>
      <c r="G15" s="89" t="s">
        <v>168</v>
      </c>
      <c r="H15" s="89" t="s">
        <v>245</v>
      </c>
      <c r="I15" s="89" t="s">
        <v>168</v>
      </c>
      <c r="J15" s="91" t="s">
        <v>251</v>
      </c>
      <c r="K15" s="49" t="s">
        <v>232</v>
      </c>
    </row>
    <row r="16" spans="1:11" ht="146" customHeight="1">
      <c r="A16" s="49">
        <v>6</v>
      </c>
      <c r="B16" s="86" t="s">
        <v>30</v>
      </c>
      <c r="C16" s="87" t="s">
        <v>252</v>
      </c>
      <c r="D16" s="88">
        <v>21</v>
      </c>
      <c r="E16" s="89" t="s">
        <v>253</v>
      </c>
      <c r="F16" s="89" t="s">
        <v>254</v>
      </c>
      <c r="G16" s="89" t="s">
        <v>255</v>
      </c>
      <c r="H16" s="89" t="s">
        <v>256</v>
      </c>
      <c r="I16" s="89" t="s">
        <v>168</v>
      </c>
      <c r="J16" s="91" t="s">
        <v>257</v>
      </c>
      <c r="K16" s="49" t="s">
        <v>232</v>
      </c>
    </row>
    <row r="17" spans="1:11" ht="146" customHeight="1">
      <c r="A17" s="49">
        <v>7</v>
      </c>
      <c r="B17" s="86" t="s">
        <v>30</v>
      </c>
      <c r="C17" s="87" t="s">
        <v>258</v>
      </c>
      <c r="D17" s="88">
        <v>22</v>
      </c>
      <c r="E17" s="89" t="s">
        <v>259</v>
      </c>
      <c r="F17" s="89" t="s">
        <v>260</v>
      </c>
      <c r="G17" s="89" t="s">
        <v>261</v>
      </c>
      <c r="H17" s="89" t="s">
        <v>256</v>
      </c>
      <c r="I17" s="89" t="s">
        <v>168</v>
      </c>
      <c r="J17" s="91" t="s">
        <v>262</v>
      </c>
      <c r="K17" s="49" t="s">
        <v>232</v>
      </c>
    </row>
    <row r="18" spans="1:11" ht="64.4" customHeight="1">
      <c r="A18" s="49">
        <v>8</v>
      </c>
      <c r="B18" s="93" t="s">
        <v>32</v>
      </c>
      <c r="C18" s="87" t="s">
        <v>188</v>
      </c>
      <c r="D18" s="88">
        <v>13</v>
      </c>
      <c r="E18" s="89" t="s">
        <v>263</v>
      </c>
      <c r="F18" s="90" t="s">
        <v>264</v>
      </c>
      <c r="G18" s="89" t="s">
        <v>168</v>
      </c>
      <c r="H18" s="89" t="s">
        <v>265</v>
      </c>
      <c r="I18" s="89" t="s">
        <v>266</v>
      </c>
      <c r="J18" s="91" t="s">
        <v>267</v>
      </c>
      <c r="K18" s="49" t="s">
        <v>232</v>
      </c>
    </row>
    <row r="19" spans="1:11" ht="64.4" customHeight="1">
      <c r="A19" s="49">
        <v>9</v>
      </c>
      <c r="B19" s="93" t="s">
        <v>32</v>
      </c>
      <c r="C19" s="87" t="s">
        <v>190</v>
      </c>
      <c r="D19" s="88">
        <v>14</v>
      </c>
      <c r="E19" s="89" t="s">
        <v>268</v>
      </c>
      <c r="F19" s="90" t="s">
        <v>269</v>
      </c>
      <c r="G19" s="89" t="s">
        <v>168</v>
      </c>
      <c r="H19" s="89" t="s">
        <v>270</v>
      </c>
      <c r="I19" s="89" t="s">
        <v>271</v>
      </c>
      <c r="J19" s="91" t="s">
        <v>267</v>
      </c>
      <c r="K19" s="49" t="s">
        <v>232</v>
      </c>
    </row>
    <row r="20" spans="1:11" ht="64.4" customHeight="1">
      <c r="A20" s="49">
        <v>10</v>
      </c>
      <c r="B20" s="93" t="s">
        <v>32</v>
      </c>
      <c r="C20" s="87" t="s">
        <v>194</v>
      </c>
      <c r="D20" s="88">
        <v>15</v>
      </c>
      <c r="E20" s="89" t="s">
        <v>272</v>
      </c>
      <c r="F20" s="90" t="s">
        <v>273</v>
      </c>
      <c r="G20" s="89" t="s">
        <v>168</v>
      </c>
      <c r="H20" s="89" t="s">
        <v>274</v>
      </c>
      <c r="I20" s="89" t="s">
        <v>275</v>
      </c>
      <c r="J20" s="91" t="s">
        <v>267</v>
      </c>
      <c r="K20" s="49" t="s">
        <v>232</v>
      </c>
    </row>
    <row r="21" spans="1:11" ht="50.8" customHeight="1">
      <c r="A21" s="49">
        <v>11</v>
      </c>
      <c r="B21" s="94" t="s">
        <v>34</v>
      </c>
      <c r="C21" s="87" t="s">
        <v>192</v>
      </c>
      <c r="D21" s="88" t="s">
        <v>168</v>
      </c>
      <c r="E21" s="89" t="s">
        <v>276</v>
      </c>
      <c r="F21" s="89" t="s">
        <v>277</v>
      </c>
      <c r="G21" s="89" t="s">
        <v>168</v>
      </c>
      <c r="H21" s="89" t="s">
        <v>278</v>
      </c>
      <c r="I21" s="89" t="s">
        <v>168</v>
      </c>
      <c r="J21" s="91" t="s">
        <v>279</v>
      </c>
      <c r="K21" s="49" t="s">
        <v>232</v>
      </c>
    </row>
    <row r="22" spans="1:11" ht="159.6" customHeight="1">
      <c r="A22" s="49">
        <v>12</v>
      </c>
      <c r="B22" s="94" t="s">
        <v>34</v>
      </c>
      <c r="C22" s="87" t="s">
        <v>280</v>
      </c>
      <c r="D22" s="88">
        <v>16</v>
      </c>
      <c r="E22" s="89" t="s">
        <v>281</v>
      </c>
      <c r="F22" s="89" t="s">
        <v>282</v>
      </c>
      <c r="G22" s="89" t="s">
        <v>168</v>
      </c>
      <c r="H22" s="89" t="s">
        <v>283</v>
      </c>
      <c r="I22" s="89" t="s">
        <v>168</v>
      </c>
      <c r="J22" s="91" t="s">
        <v>284</v>
      </c>
      <c r="K22" s="49" t="s">
        <v>232</v>
      </c>
    </row>
    <row r="23" spans="1:11" ht="105.2" customHeight="1">
      <c r="A23" s="49">
        <v>13</v>
      </c>
      <c r="B23" s="94" t="s">
        <v>34</v>
      </c>
      <c r="C23" s="87" t="s">
        <v>199</v>
      </c>
      <c r="D23" s="88" t="s">
        <v>168</v>
      </c>
      <c r="E23" s="89" t="s">
        <v>285</v>
      </c>
      <c r="F23" s="89" t="s">
        <v>286</v>
      </c>
      <c r="G23" s="89" t="s">
        <v>168</v>
      </c>
      <c r="H23" s="89" t="s">
        <v>287</v>
      </c>
      <c r="I23" s="89" t="s">
        <v>168</v>
      </c>
      <c r="J23" s="91" t="s">
        <v>288</v>
      </c>
      <c r="K23" s="49" t="s">
        <v>232</v>
      </c>
    </row>
    <row r="24" spans="1:11" ht="91.6" customHeight="1">
      <c r="A24" s="49">
        <v>14</v>
      </c>
      <c r="B24" s="94" t="s">
        <v>34</v>
      </c>
      <c r="C24" s="87" t="s">
        <v>202</v>
      </c>
      <c r="D24" s="88" t="s">
        <v>168</v>
      </c>
      <c r="E24" s="89" t="s">
        <v>289</v>
      </c>
      <c r="F24" s="89" t="s">
        <v>290</v>
      </c>
      <c r="G24" s="89" t="s">
        <v>168</v>
      </c>
      <c r="H24" s="89" t="s">
        <v>291</v>
      </c>
      <c r="I24" s="89" t="s">
        <v>168</v>
      </c>
      <c r="J24" s="91" t="s">
        <v>288</v>
      </c>
      <c r="K24" s="49" t="s">
        <v>232</v>
      </c>
    </row>
    <row r="25" spans="1:11" ht="105.2" customHeight="1">
      <c r="A25" s="49">
        <v>15</v>
      </c>
      <c r="B25" s="95" t="s">
        <v>36</v>
      </c>
      <c r="C25" s="87" t="s">
        <v>292</v>
      </c>
      <c r="D25" s="88">
        <v>7</v>
      </c>
      <c r="E25" s="89" t="s">
        <v>293</v>
      </c>
      <c r="F25" s="89" t="s">
        <v>294</v>
      </c>
      <c r="G25" s="89" t="s">
        <v>168</v>
      </c>
      <c r="H25" s="89" t="s">
        <v>295</v>
      </c>
      <c r="I25" s="89" t="s">
        <v>168</v>
      </c>
      <c r="J25" s="91" t="s">
        <v>296</v>
      </c>
      <c r="K25" s="49" t="s">
        <v>232</v>
      </c>
    </row>
    <row r="26" spans="1:11" ht="14" customHeight="1"/>
    <row r="27" spans="1:11" ht="30" customHeight="1">
      <c r="A27" s="11" t="s">
        <v>297</v>
      </c>
    </row>
    <row r="28" spans="1:11" ht="26" customHeight="1">
      <c r="A28" s="13" t="s">
        <v>298</v>
      </c>
      <c r="B28" s="12" t="s">
        <v>299</v>
      </c>
      <c r="C28" s="12" t="s">
        <v>99</v>
      </c>
      <c r="D28" s="12"/>
      <c r="E28" s="12"/>
      <c r="F28" s="12" t="s">
        <v>300</v>
      </c>
    </row>
    <row r="29" spans="1:11" ht="22" customHeight="1">
      <c r="A29" s="69">
        <v>1</v>
      </c>
      <c r="B29" s="96" t="s">
        <v>301</v>
      </c>
      <c r="C29" s="26" t="s">
        <v>137</v>
      </c>
      <c r="D29" s="26"/>
      <c r="E29" s="26"/>
      <c r="F29" s="16">
        <v>1</v>
      </c>
    </row>
    <row r="30" spans="1:11" ht="26" customHeight="1">
      <c r="A30" s="69">
        <v>2</v>
      </c>
      <c r="B30" s="97" t="s">
        <v>302</v>
      </c>
      <c r="C30" s="26" t="s">
        <v>180</v>
      </c>
      <c r="D30" s="26"/>
      <c r="E30" s="26"/>
      <c r="F30" s="16" t="s">
        <v>168</v>
      </c>
    </row>
    <row r="31" spans="1:11" ht="22" customHeight="1">
      <c r="A31" s="69">
        <v>3</v>
      </c>
      <c r="B31" s="96" t="s">
        <v>303</v>
      </c>
      <c r="C31" s="26" t="s">
        <v>173</v>
      </c>
      <c r="D31" s="26"/>
      <c r="E31" s="26"/>
      <c r="F31" s="16">
        <v>4</v>
      </c>
    </row>
    <row r="32" spans="1:11" ht="22" customHeight="1">
      <c r="A32" s="69">
        <v>4</v>
      </c>
      <c r="B32" s="98" t="s">
        <v>304</v>
      </c>
      <c r="C32" s="99" t="s">
        <v>167</v>
      </c>
      <c r="D32" s="99"/>
      <c r="E32" s="99"/>
      <c r="F32" s="16">
        <v>2</v>
      </c>
    </row>
    <row r="33" spans="1:6" ht="22" customHeight="1">
      <c r="A33" s="69">
        <v>5</v>
      </c>
      <c r="B33" s="98" t="s">
        <v>304</v>
      </c>
      <c r="C33" s="99" t="s">
        <v>171</v>
      </c>
      <c r="D33" s="99"/>
      <c r="E33" s="99"/>
      <c r="F33" s="16">
        <v>3</v>
      </c>
    </row>
    <row r="34" spans="1:6" ht="22" customHeight="1">
      <c r="A34" s="69">
        <v>6</v>
      </c>
      <c r="B34" s="98" t="s">
        <v>304</v>
      </c>
      <c r="C34" s="99" t="s">
        <v>110</v>
      </c>
      <c r="D34" s="99"/>
      <c r="E34" s="99"/>
      <c r="F34" s="16">
        <v>5</v>
      </c>
    </row>
    <row r="35" spans="1:6" ht="22" customHeight="1">
      <c r="A35" s="69">
        <v>7</v>
      </c>
      <c r="B35" s="98" t="s">
        <v>304</v>
      </c>
      <c r="C35" s="99" t="s">
        <v>116</v>
      </c>
      <c r="D35" s="99"/>
      <c r="E35" s="99"/>
      <c r="F35" s="16">
        <v>6</v>
      </c>
    </row>
    <row r="36" spans="1:6" ht="22" customHeight="1">
      <c r="A36" s="69">
        <v>8</v>
      </c>
      <c r="B36" s="98" t="s">
        <v>304</v>
      </c>
      <c r="C36" s="99" t="s">
        <v>140</v>
      </c>
      <c r="D36" s="99"/>
      <c r="E36" s="99"/>
      <c r="F36" s="16">
        <v>7</v>
      </c>
    </row>
    <row r="37" spans="1:6" ht="22" customHeight="1">
      <c r="A37" s="69">
        <v>9</v>
      </c>
      <c r="B37" s="98" t="s">
        <v>304</v>
      </c>
      <c r="C37" s="99" t="s">
        <v>144</v>
      </c>
      <c r="D37" s="99"/>
      <c r="E37" s="99"/>
      <c r="F37" s="16">
        <v>8</v>
      </c>
    </row>
    <row r="38" spans="1:6" ht="26" customHeight="1">
      <c r="A38" s="69">
        <v>10</v>
      </c>
      <c r="B38" s="97" t="s">
        <v>302</v>
      </c>
      <c r="C38" s="26" t="s">
        <v>186</v>
      </c>
      <c r="D38" s="26"/>
      <c r="E38" s="26"/>
      <c r="F38" s="16" t="s">
        <v>168</v>
      </c>
    </row>
    <row r="39" spans="1:6" ht="22" customHeight="1">
      <c r="A39" s="69">
        <v>11</v>
      </c>
      <c r="B39" s="96" t="s">
        <v>301</v>
      </c>
      <c r="C39" s="26" t="s">
        <v>120</v>
      </c>
      <c r="D39" s="26"/>
      <c r="E39" s="26"/>
      <c r="F39" s="16">
        <v>9</v>
      </c>
    </row>
    <row r="40" spans="1:6" ht="22" customHeight="1">
      <c r="A40" s="69">
        <v>12</v>
      </c>
      <c r="B40" s="98" t="s">
        <v>304</v>
      </c>
      <c r="C40" s="99" t="s">
        <v>148</v>
      </c>
      <c r="D40" s="99"/>
      <c r="E40" s="99"/>
      <c r="F40" s="16">
        <v>10</v>
      </c>
    </row>
    <row r="41" spans="1:6" ht="26" customHeight="1">
      <c r="A41" s="69">
        <v>13</v>
      </c>
      <c r="B41" s="100" t="s">
        <v>305</v>
      </c>
      <c r="C41" s="26" t="s">
        <v>188</v>
      </c>
      <c r="D41" s="26"/>
      <c r="E41" s="26"/>
      <c r="F41" s="16" t="s">
        <v>168</v>
      </c>
    </row>
    <row r="42" spans="1:6" ht="26" customHeight="1">
      <c r="A42" s="69">
        <v>14</v>
      </c>
      <c r="B42" s="100" t="s">
        <v>305</v>
      </c>
      <c r="C42" s="26" t="s">
        <v>190</v>
      </c>
      <c r="D42" s="26"/>
      <c r="E42" s="26"/>
      <c r="F42" s="16" t="s">
        <v>168</v>
      </c>
    </row>
    <row r="43" spans="1:6" ht="26" customHeight="1">
      <c r="A43" s="69">
        <v>15</v>
      </c>
      <c r="B43" s="100" t="s">
        <v>305</v>
      </c>
      <c r="C43" s="26" t="s">
        <v>194</v>
      </c>
      <c r="D43" s="26"/>
      <c r="E43" s="26"/>
      <c r="F43" s="16" t="s">
        <v>168</v>
      </c>
    </row>
    <row r="44" spans="1:6" ht="22" customHeight="1">
      <c r="A44" s="69">
        <v>16</v>
      </c>
      <c r="B44" s="98" t="s">
        <v>304</v>
      </c>
      <c r="C44" s="99" t="s">
        <v>176</v>
      </c>
      <c r="D44" s="99"/>
      <c r="E44" s="99"/>
      <c r="F44" s="16">
        <v>11</v>
      </c>
    </row>
    <row r="45" spans="1:6" ht="22" customHeight="1">
      <c r="A45" s="69">
        <v>17</v>
      </c>
      <c r="B45" s="98" t="s">
        <v>304</v>
      </c>
      <c r="C45" s="99" t="s">
        <v>152</v>
      </c>
      <c r="D45" s="99"/>
      <c r="E45" s="99"/>
      <c r="F45" s="16">
        <v>12</v>
      </c>
    </row>
    <row r="46" spans="1:6" ht="22" customHeight="1">
      <c r="A46" s="69">
        <v>18</v>
      </c>
      <c r="B46" s="98" t="s">
        <v>304</v>
      </c>
      <c r="C46" s="99" t="s">
        <v>156</v>
      </c>
      <c r="D46" s="99"/>
      <c r="E46" s="99"/>
      <c r="F46" s="16">
        <v>13</v>
      </c>
    </row>
    <row r="47" spans="1:6" ht="22" customHeight="1">
      <c r="A47" s="69">
        <v>19</v>
      </c>
      <c r="B47" s="98" t="s">
        <v>304</v>
      </c>
      <c r="C47" s="99" t="s">
        <v>160</v>
      </c>
      <c r="D47" s="99"/>
      <c r="E47" s="99"/>
      <c r="F47" s="16">
        <v>14</v>
      </c>
    </row>
    <row r="48" spans="1:6" ht="22" customHeight="1">
      <c r="A48" s="69">
        <v>20</v>
      </c>
      <c r="B48" s="98" t="s">
        <v>304</v>
      </c>
      <c r="C48" s="99" t="s">
        <v>164</v>
      </c>
      <c r="D48" s="99"/>
      <c r="E48" s="99"/>
      <c r="F48" s="16">
        <v>15</v>
      </c>
    </row>
    <row r="49" spans="1:8" ht="22" customHeight="1">
      <c r="A49" s="69">
        <v>21</v>
      </c>
      <c r="B49" s="96" t="s">
        <v>301</v>
      </c>
      <c r="C49" s="26" t="s">
        <v>124</v>
      </c>
      <c r="D49" s="26"/>
      <c r="E49" s="26"/>
      <c r="F49" s="16">
        <v>16</v>
      </c>
    </row>
    <row r="50" spans="1:8" ht="22" customHeight="1">
      <c r="A50" s="69">
        <v>22</v>
      </c>
      <c r="B50" s="96" t="s">
        <v>301</v>
      </c>
      <c r="C50" s="26" t="s">
        <v>128</v>
      </c>
      <c r="D50" s="26"/>
      <c r="E50" s="26"/>
      <c r="F50" s="16">
        <v>17</v>
      </c>
    </row>
    <row r="51" spans="1:8" ht="26" customHeight="1">
      <c r="A51" s="69">
        <v>23</v>
      </c>
      <c r="B51" s="101" t="s">
        <v>306</v>
      </c>
      <c r="C51" s="102" t="s">
        <v>132</v>
      </c>
      <c r="D51" s="102"/>
      <c r="E51" s="102"/>
      <c r="F51" s="16">
        <v>18</v>
      </c>
    </row>
    <row r="52" spans="1:8">
      <c r="A52" s="103" t="s">
        <v>307</v>
      </c>
    </row>
    <row r="54" spans="1:8" ht="30" customHeight="1">
      <c r="A54" s="11" t="s">
        <v>308</v>
      </c>
    </row>
    <row r="55" spans="1:8" ht="20.6" customHeight="1">
      <c r="A55" s="104" t="s">
        <v>168</v>
      </c>
      <c r="B55" s="73" t="s">
        <v>309</v>
      </c>
      <c r="C55" s="73"/>
      <c r="D55" s="73"/>
      <c r="E55" s="73"/>
      <c r="F55" s="73"/>
      <c r="G55" s="73"/>
      <c r="H55" s="73"/>
    </row>
    <row r="56" spans="1:8" ht="20.6" customHeight="1">
      <c r="A56" s="104" t="s">
        <v>168</v>
      </c>
      <c r="B56" s="73" t="s">
        <v>310</v>
      </c>
      <c r="C56" s="73"/>
      <c r="D56" s="73"/>
      <c r="E56" s="73"/>
      <c r="F56" s="73"/>
      <c r="G56" s="73"/>
      <c r="H56" s="73"/>
    </row>
  </sheetData>
  <mergeCells count="27">
    <mergeCell ref="A3:K3"/>
    <mergeCell ref="C28:E28"/>
    <mergeCell ref="C29:E29"/>
    <mergeCell ref="C30:E30"/>
    <mergeCell ref="C31:E31"/>
    <mergeCell ref="C32:E32"/>
    <mergeCell ref="C33:E33"/>
    <mergeCell ref="C34:E34"/>
    <mergeCell ref="C35:E35"/>
    <mergeCell ref="C36:E36"/>
    <mergeCell ref="C37:E37"/>
    <mergeCell ref="C38:E38"/>
    <mergeCell ref="C39:E39"/>
    <mergeCell ref="C40:E40"/>
    <mergeCell ref="C41:E41"/>
    <mergeCell ref="C42:E42"/>
    <mergeCell ref="C43:E43"/>
    <mergeCell ref="C44:E44"/>
    <mergeCell ref="C45:E45"/>
    <mergeCell ref="C46:E46"/>
    <mergeCell ref="C47:E47"/>
    <mergeCell ref="C48:E48"/>
    <mergeCell ref="C49:E49"/>
    <mergeCell ref="C50:E50"/>
    <mergeCell ref="C51:E51"/>
    <mergeCell ref="B55:H55"/>
    <mergeCell ref="B56:H56"/>
  </mergeCells>
  <conditionalFormatting sqref="A11:J25">
    <cfRule type="expression" dxfId="2" priority="3">
      <formula>$K11="erledigt"</formula>
    </cfRule>
  </conditionalFormatting>
  <conditionalFormatting sqref="K11:K25">
    <cfRule type="cellIs" dxfId="0" priority="1" operator="equal">
      <formula>"erledigt"</formula>
    </cfRule>
    <cfRule type="cellIs" dxfId="1" priority="2" operator="equal">
      <formula>"verworfen"</formula>
    </cfRule>
  </conditionalFormatting>
  <dataValidations count="1">
    <dataValidation type="list" allowBlank="1" showInputMessage="1" showErrorMessage="1" promptTitle="Stand" prompt="offen, erledigt oder verworfen" sqref="K11:K25">
      <formula1>"offen,erledigt,verworfen"</formula1>
    </dataValidation>
  </dataValidations>
  <hyperlinks>
    <hyperlink ref="A9" location="'Umsetzung'!A1" tooltip="Blatt Umsetzung öffnen" display="Automatisch umsetzen: Blatt „Umsetzung“ (Makro) – die Vorschau zeigt jeden Schritt, bevor etwas geändert wird."/>
  </hyperlinks>
  <pageMargins left="0.4" right="0.4" top="0.5" bottom="0.6" header="0.3" footer="0.3"/>
  <pageSetup paperSize="9" fitToHeight="0" orientation="landscape"/>
  <headerFooter>
    <oddFooter>&amp;L&amp;"Aptos,Regular"&amp;8Outlook-Regeln – &amp;A&amp;R&amp;"Aptos,Regular"&amp;8Seite &amp;P von &amp;N</oddFooter>
  </headerFooter>
</worksheet>
</file>

<file path=xl/worksheets/sheet5.xml><?xml version="1.0" encoding="utf-8"?>
<worksheet xmlns="http://schemas.openxmlformats.org/spreadsheetml/2006/main" xmlns:r="http://schemas.openxmlformats.org/officeDocument/2006/relationships">
  <sheetPr codeName="shUebersicht">
    <tabColor rgb="FF1F2933"/>
    <pageSetUpPr fitToPage="1"/>
  </sheetPr>
  <dimension ref="A1:N50"/>
  <sheetViews>
    <sheetView showGridLines="0" workbookViewId="0">
      <pane ySplit="7" topLeftCell="A8" activePane="bottomLeft" state="frozen"/>
      <selection pane="bottomLeft"/>
    </sheetView>
  </sheetViews>
  <sheetFormatPr defaultRowHeight="15"/>
  <cols>
    <col min="1" max="1" width="6.7109375" customWidth="1"/>
    <col min="2" max="2" width="30.7109375" customWidth="1"/>
    <col min="3" max="3" width="12.7109375" customWidth="1"/>
    <col min="4" max="4" width="42.7109375" customWidth="1"/>
    <col min="5" max="5" width="8.7109375" customWidth="1"/>
    <col min="6" max="6" width="11.7109375" customWidth="1"/>
    <col min="7" max="7" width="21.7109375" customWidth="1"/>
    <col min="8" max="8" width="12.7109375" customWidth="1"/>
    <col min="9" max="9" width="13.7109375" customWidth="1"/>
    <col min="10" max="10" width="11.7109375" customWidth="1"/>
    <col min="11" max="12" width="9.7109375" customWidth="1"/>
    <col min="13" max="13" width="50.7109375" customWidth="1"/>
    <col min="14" max="14" width="90.7109375" customWidth="1"/>
  </cols>
  <sheetData>
    <row r="1" spans="1:14" ht="36" customHeight="1">
      <c r="A1" s="36" t="s">
        <v>311</v>
      </c>
    </row>
    <row r="2" spans="1:14" ht="17" customHeight="1">
      <c r="A2" s="65" t="s">
        <v>312</v>
      </c>
      <c r="C2" s="105" t="s">
        <v>313</v>
      </c>
    </row>
    <row r="3" spans="1:14" ht="17" customHeight="1">
      <c r="A3" s="65" t="s">
        <v>314</v>
      </c>
      <c r="C3" s="105" t="s">
        <v>315</v>
      </c>
    </row>
    <row r="4" spans="1:14" ht="17" customHeight="1">
      <c r="A4" s="65" t="s">
        <v>316</v>
      </c>
      <c r="C4" s="106">
        <v>43</v>
      </c>
    </row>
    <row r="5" spans="1:14" ht="17" customHeight="1">
      <c r="A5" s="65" t="s">
        <v>317</v>
      </c>
      <c r="C5" s="105" t="s">
        <v>318</v>
      </c>
    </row>
    <row r="6" spans="1:14" ht="12" customHeight="1"/>
    <row r="7" spans="1:14" ht="30" customHeight="1">
      <c r="A7" s="13" t="s">
        <v>215</v>
      </c>
      <c r="B7" s="12" t="s">
        <v>42</v>
      </c>
      <c r="C7" s="13" t="s">
        <v>319</v>
      </c>
      <c r="D7" s="12" t="s">
        <v>320</v>
      </c>
      <c r="E7" s="13" t="s">
        <v>102</v>
      </c>
      <c r="F7" s="13" t="s">
        <v>321</v>
      </c>
      <c r="G7" s="12" t="s">
        <v>322</v>
      </c>
      <c r="H7" s="13" t="s">
        <v>323</v>
      </c>
      <c r="I7" s="13" t="s">
        <v>324</v>
      </c>
      <c r="J7" s="13" t="s">
        <v>325</v>
      </c>
      <c r="K7" s="13" t="s">
        <v>326</v>
      </c>
      <c r="L7" s="13" t="s">
        <v>327</v>
      </c>
      <c r="M7" s="12" t="s">
        <v>77</v>
      </c>
      <c r="N7" s="12" t="s">
        <v>328</v>
      </c>
    </row>
    <row r="8" spans="1:14" ht="47.8" customHeight="1">
      <c r="A8" s="104">
        <v>1</v>
      </c>
      <c r="B8" s="16" t="s">
        <v>46</v>
      </c>
      <c r="C8" s="104">
        <v>1</v>
      </c>
      <c r="D8" s="68" t="s">
        <v>329</v>
      </c>
      <c r="E8" s="107" t="s">
        <v>330</v>
      </c>
      <c r="F8" s="104" t="s">
        <v>331</v>
      </c>
      <c r="G8" s="16" t="s">
        <v>332</v>
      </c>
      <c r="H8" s="107">
        <v>1</v>
      </c>
      <c r="I8" s="107" t="s">
        <v>330</v>
      </c>
      <c r="J8" s="107">
        <v>0</v>
      </c>
      <c r="K8" s="107">
        <v>1</v>
      </c>
      <c r="L8" s="104" t="s">
        <v>330</v>
      </c>
      <c r="M8" s="73" t="s">
        <v>333</v>
      </c>
      <c r="N8" s="73" t="s">
        <v>139</v>
      </c>
    </row>
    <row r="9" spans="1:14" ht="61.4" customHeight="1">
      <c r="A9" s="104">
        <v>2</v>
      </c>
      <c r="B9" s="16" t="s">
        <v>46</v>
      </c>
      <c r="C9" s="104">
        <v>2</v>
      </c>
      <c r="D9" s="68" t="s">
        <v>167</v>
      </c>
      <c r="E9" s="107" t="s">
        <v>330</v>
      </c>
      <c r="F9" s="104" t="s">
        <v>331</v>
      </c>
      <c r="G9" s="16" t="s">
        <v>332</v>
      </c>
      <c r="H9" s="107">
        <v>2</v>
      </c>
      <c r="I9" s="107" t="s">
        <v>330</v>
      </c>
      <c r="J9" s="107">
        <v>0</v>
      </c>
      <c r="K9" s="107">
        <v>1</v>
      </c>
      <c r="L9" s="104" t="s">
        <v>330</v>
      </c>
      <c r="M9" s="73" t="s">
        <v>334</v>
      </c>
      <c r="N9" s="73" t="s">
        <v>170</v>
      </c>
    </row>
    <row r="10" spans="1:14" ht="47.8" customHeight="1">
      <c r="A10" s="104">
        <v>3</v>
      </c>
      <c r="B10" s="16" t="s">
        <v>46</v>
      </c>
      <c r="C10" s="104">
        <v>3</v>
      </c>
      <c r="D10" s="68" t="s">
        <v>171</v>
      </c>
      <c r="E10" s="107" t="s">
        <v>330</v>
      </c>
      <c r="F10" s="104" t="s">
        <v>331</v>
      </c>
      <c r="G10" s="16" t="s">
        <v>332</v>
      </c>
      <c r="H10" s="107">
        <v>2</v>
      </c>
      <c r="I10" s="107" t="s">
        <v>330</v>
      </c>
      <c r="J10" s="107">
        <v>0</v>
      </c>
      <c r="K10" s="107">
        <v>1</v>
      </c>
      <c r="L10" s="104" t="s">
        <v>330</v>
      </c>
      <c r="M10" s="73" t="s">
        <v>335</v>
      </c>
      <c r="N10" s="73" t="s">
        <v>172</v>
      </c>
    </row>
    <row r="11" spans="1:14" ht="47.8" customHeight="1">
      <c r="A11" s="104">
        <v>4</v>
      </c>
      <c r="B11" s="16" t="s">
        <v>46</v>
      </c>
      <c r="C11" s="104">
        <v>4</v>
      </c>
      <c r="D11" s="68" t="s">
        <v>173</v>
      </c>
      <c r="E11" s="107" t="s">
        <v>330</v>
      </c>
      <c r="F11" s="104" t="s">
        <v>331</v>
      </c>
      <c r="G11" s="16" t="s">
        <v>332</v>
      </c>
      <c r="H11" s="107">
        <v>1</v>
      </c>
      <c r="I11" s="107" t="s">
        <v>330</v>
      </c>
      <c r="J11" s="107">
        <v>1</v>
      </c>
      <c r="K11" s="107">
        <v>1</v>
      </c>
      <c r="L11" s="104" t="s">
        <v>330</v>
      </c>
      <c r="M11" s="73" t="s">
        <v>336</v>
      </c>
      <c r="N11" s="73" t="s">
        <v>175</v>
      </c>
    </row>
    <row r="12" spans="1:14" ht="61.4" customHeight="1">
      <c r="A12" s="104">
        <v>5</v>
      </c>
      <c r="B12" s="16" t="s">
        <v>46</v>
      </c>
      <c r="C12" s="104">
        <v>5</v>
      </c>
      <c r="D12" s="68" t="s">
        <v>110</v>
      </c>
      <c r="E12" s="107" t="s">
        <v>330</v>
      </c>
      <c r="F12" s="104" t="s">
        <v>331</v>
      </c>
      <c r="G12" s="16" t="s">
        <v>332</v>
      </c>
      <c r="H12" s="107">
        <v>1</v>
      </c>
      <c r="I12" s="107" t="s">
        <v>330</v>
      </c>
      <c r="J12" s="107">
        <v>0</v>
      </c>
      <c r="K12" s="107">
        <v>1</v>
      </c>
      <c r="L12" s="104" t="s">
        <v>330</v>
      </c>
      <c r="M12" s="73" t="s">
        <v>337</v>
      </c>
      <c r="N12" s="73" t="s">
        <v>114</v>
      </c>
    </row>
    <row r="13" spans="1:14" ht="47.8" customHeight="1">
      <c r="A13" s="104">
        <v>6</v>
      </c>
      <c r="B13" s="16" t="s">
        <v>46</v>
      </c>
      <c r="C13" s="104">
        <v>6</v>
      </c>
      <c r="D13" s="68" t="s">
        <v>116</v>
      </c>
      <c r="E13" s="107" t="s">
        <v>330</v>
      </c>
      <c r="F13" s="104" t="s">
        <v>331</v>
      </c>
      <c r="G13" s="16" t="s">
        <v>332</v>
      </c>
      <c r="H13" s="107">
        <v>1</v>
      </c>
      <c r="I13" s="107" t="s">
        <v>330</v>
      </c>
      <c r="J13" s="107">
        <v>0</v>
      </c>
      <c r="K13" s="107">
        <v>1</v>
      </c>
      <c r="L13" s="104" t="s">
        <v>330</v>
      </c>
      <c r="M13" s="73" t="s">
        <v>338</v>
      </c>
      <c r="N13" s="73" t="s">
        <v>118</v>
      </c>
    </row>
    <row r="14" spans="1:14" ht="61.4" customHeight="1">
      <c r="A14" s="104">
        <v>7</v>
      </c>
      <c r="B14" s="16" t="s">
        <v>46</v>
      </c>
      <c r="C14" s="104">
        <v>7</v>
      </c>
      <c r="D14" s="68" t="s">
        <v>140</v>
      </c>
      <c r="E14" s="107" t="s">
        <v>330</v>
      </c>
      <c r="F14" s="104" t="s">
        <v>331</v>
      </c>
      <c r="G14" s="16" t="s">
        <v>332</v>
      </c>
      <c r="H14" s="107">
        <v>1</v>
      </c>
      <c r="I14" s="107" t="s">
        <v>330</v>
      </c>
      <c r="J14" s="107">
        <v>0</v>
      </c>
      <c r="K14" s="107">
        <v>1</v>
      </c>
      <c r="L14" s="104" t="s">
        <v>330</v>
      </c>
      <c r="M14" s="73" t="s">
        <v>339</v>
      </c>
      <c r="N14" s="73" t="s">
        <v>142</v>
      </c>
    </row>
    <row r="15" spans="1:14" ht="102.2" customHeight="1">
      <c r="A15" s="104">
        <v>8</v>
      </c>
      <c r="B15" s="16" t="s">
        <v>46</v>
      </c>
      <c r="C15" s="104">
        <v>8</v>
      </c>
      <c r="D15" s="68" t="s">
        <v>144</v>
      </c>
      <c r="E15" s="107" t="s">
        <v>330</v>
      </c>
      <c r="F15" s="104" t="s">
        <v>331</v>
      </c>
      <c r="G15" s="16" t="s">
        <v>332</v>
      </c>
      <c r="H15" s="107">
        <v>2</v>
      </c>
      <c r="I15" s="107" t="s">
        <v>330</v>
      </c>
      <c r="J15" s="107">
        <v>1</v>
      </c>
      <c r="K15" s="107">
        <v>2</v>
      </c>
      <c r="L15" s="104" t="s">
        <v>330</v>
      </c>
      <c r="M15" s="73" t="s">
        <v>340</v>
      </c>
      <c r="N15" s="73" t="s">
        <v>146</v>
      </c>
    </row>
    <row r="16" spans="1:14" ht="61.4" customHeight="1">
      <c r="A16" s="104">
        <v>9</v>
      </c>
      <c r="B16" s="16" t="s">
        <v>46</v>
      </c>
      <c r="C16" s="104">
        <v>9</v>
      </c>
      <c r="D16" s="68" t="s">
        <v>120</v>
      </c>
      <c r="E16" s="107" t="s">
        <v>330</v>
      </c>
      <c r="F16" s="104" t="s">
        <v>331</v>
      </c>
      <c r="G16" s="16" t="s">
        <v>332</v>
      </c>
      <c r="H16" s="107">
        <v>1</v>
      </c>
      <c r="I16" s="107" t="s">
        <v>330</v>
      </c>
      <c r="J16" s="107">
        <v>0</v>
      </c>
      <c r="K16" s="107">
        <v>2</v>
      </c>
      <c r="L16" s="104" t="s">
        <v>330</v>
      </c>
      <c r="M16" s="73" t="s">
        <v>341</v>
      </c>
      <c r="N16" s="73" t="s">
        <v>122</v>
      </c>
    </row>
    <row r="17" spans="1:14" ht="88.6" customHeight="1">
      <c r="A17" s="104">
        <v>10</v>
      </c>
      <c r="B17" s="16" t="s">
        <v>46</v>
      </c>
      <c r="C17" s="104">
        <v>10</v>
      </c>
      <c r="D17" s="68" t="s">
        <v>148</v>
      </c>
      <c r="E17" s="107" t="s">
        <v>330</v>
      </c>
      <c r="F17" s="104" t="s">
        <v>331</v>
      </c>
      <c r="G17" s="16" t="s">
        <v>332</v>
      </c>
      <c r="H17" s="107">
        <v>2</v>
      </c>
      <c r="I17" s="107" t="s">
        <v>330</v>
      </c>
      <c r="J17" s="107">
        <v>0</v>
      </c>
      <c r="K17" s="107">
        <v>2</v>
      </c>
      <c r="L17" s="104" t="s">
        <v>330</v>
      </c>
      <c r="M17" s="73" t="s">
        <v>342</v>
      </c>
      <c r="N17" s="73" t="s">
        <v>150</v>
      </c>
    </row>
    <row r="18" spans="1:14" ht="61.4" customHeight="1">
      <c r="A18" s="104">
        <v>11</v>
      </c>
      <c r="B18" s="16" t="s">
        <v>46</v>
      </c>
      <c r="C18" s="104">
        <v>11</v>
      </c>
      <c r="D18" s="68" t="s">
        <v>176</v>
      </c>
      <c r="E18" s="107" t="s">
        <v>330</v>
      </c>
      <c r="F18" s="104" t="s">
        <v>331</v>
      </c>
      <c r="G18" s="16" t="s">
        <v>332</v>
      </c>
      <c r="H18" s="107">
        <v>2</v>
      </c>
      <c r="I18" s="107" t="s">
        <v>330</v>
      </c>
      <c r="J18" s="107">
        <v>0</v>
      </c>
      <c r="K18" s="107">
        <v>2</v>
      </c>
      <c r="L18" s="104" t="s">
        <v>330</v>
      </c>
      <c r="M18" s="73" t="s">
        <v>343</v>
      </c>
      <c r="N18" s="73" t="s">
        <v>178</v>
      </c>
    </row>
    <row r="19" spans="1:14" ht="88.6" customHeight="1">
      <c r="A19" s="104">
        <v>12</v>
      </c>
      <c r="B19" s="16" t="s">
        <v>46</v>
      </c>
      <c r="C19" s="104">
        <v>12</v>
      </c>
      <c r="D19" s="68" t="s">
        <v>152</v>
      </c>
      <c r="E19" s="107" t="s">
        <v>330</v>
      </c>
      <c r="F19" s="104" t="s">
        <v>331</v>
      </c>
      <c r="G19" s="16" t="s">
        <v>332</v>
      </c>
      <c r="H19" s="107">
        <v>1</v>
      </c>
      <c r="I19" s="107" t="s">
        <v>330</v>
      </c>
      <c r="J19" s="107">
        <v>0</v>
      </c>
      <c r="K19" s="107">
        <v>2</v>
      </c>
      <c r="L19" s="104" t="s">
        <v>330</v>
      </c>
      <c r="M19" s="73" t="s">
        <v>344</v>
      </c>
      <c r="N19" s="73" t="s">
        <v>154</v>
      </c>
    </row>
    <row r="20" spans="1:14" ht="75" customHeight="1">
      <c r="A20" s="104">
        <v>13</v>
      </c>
      <c r="B20" s="16" t="s">
        <v>46</v>
      </c>
      <c r="C20" s="104">
        <v>13</v>
      </c>
      <c r="D20" s="68" t="s">
        <v>156</v>
      </c>
      <c r="E20" s="107" t="s">
        <v>330</v>
      </c>
      <c r="F20" s="104" t="s">
        <v>331</v>
      </c>
      <c r="G20" s="16" t="s">
        <v>332</v>
      </c>
      <c r="H20" s="107">
        <v>1</v>
      </c>
      <c r="I20" s="107" t="s">
        <v>330</v>
      </c>
      <c r="J20" s="107">
        <v>0</v>
      </c>
      <c r="K20" s="107">
        <v>2</v>
      </c>
      <c r="L20" s="104" t="s">
        <v>330</v>
      </c>
      <c r="M20" s="73" t="s">
        <v>345</v>
      </c>
      <c r="N20" s="73" t="s">
        <v>158</v>
      </c>
    </row>
    <row r="21" spans="1:14" ht="61.4" customHeight="1">
      <c r="A21" s="104">
        <v>14</v>
      </c>
      <c r="B21" s="16" t="s">
        <v>46</v>
      </c>
      <c r="C21" s="104">
        <v>14</v>
      </c>
      <c r="D21" s="68" t="s">
        <v>160</v>
      </c>
      <c r="E21" s="107" t="s">
        <v>330</v>
      </c>
      <c r="F21" s="104" t="s">
        <v>331</v>
      </c>
      <c r="G21" s="16" t="s">
        <v>332</v>
      </c>
      <c r="H21" s="107">
        <v>1</v>
      </c>
      <c r="I21" s="107" t="s">
        <v>330</v>
      </c>
      <c r="J21" s="107">
        <v>0</v>
      </c>
      <c r="K21" s="107">
        <v>2</v>
      </c>
      <c r="L21" s="104" t="s">
        <v>330</v>
      </c>
      <c r="M21" s="73" t="s">
        <v>346</v>
      </c>
      <c r="N21" s="73" t="s">
        <v>162</v>
      </c>
    </row>
    <row r="22" spans="1:14" ht="143" customHeight="1">
      <c r="A22" s="104">
        <v>15</v>
      </c>
      <c r="B22" s="16" t="s">
        <v>46</v>
      </c>
      <c r="C22" s="104">
        <v>15</v>
      </c>
      <c r="D22" s="68" t="s">
        <v>164</v>
      </c>
      <c r="E22" s="107" t="s">
        <v>330</v>
      </c>
      <c r="F22" s="104" t="s">
        <v>331</v>
      </c>
      <c r="G22" s="16" t="s">
        <v>332</v>
      </c>
      <c r="H22" s="107">
        <v>2</v>
      </c>
      <c r="I22" s="107" t="s">
        <v>330</v>
      </c>
      <c r="J22" s="107">
        <v>1</v>
      </c>
      <c r="K22" s="107">
        <v>2</v>
      </c>
      <c r="L22" s="104" t="s">
        <v>330</v>
      </c>
      <c r="M22" s="73" t="s">
        <v>346</v>
      </c>
      <c r="N22" s="73" t="s">
        <v>165</v>
      </c>
    </row>
    <row r="23" spans="1:14" ht="47.8" customHeight="1">
      <c r="A23" s="104">
        <v>16</v>
      </c>
      <c r="B23" s="16" t="s">
        <v>46</v>
      </c>
      <c r="C23" s="104">
        <v>16</v>
      </c>
      <c r="D23" s="68" t="s">
        <v>124</v>
      </c>
      <c r="E23" s="107" t="s">
        <v>330</v>
      </c>
      <c r="F23" s="104" t="s">
        <v>331</v>
      </c>
      <c r="G23" s="16" t="s">
        <v>332</v>
      </c>
      <c r="H23" s="107">
        <v>1</v>
      </c>
      <c r="I23" s="107" t="s">
        <v>330</v>
      </c>
      <c r="J23" s="107">
        <v>0</v>
      </c>
      <c r="K23" s="107">
        <v>2</v>
      </c>
      <c r="L23" s="104" t="s">
        <v>330</v>
      </c>
      <c r="M23" s="73" t="s">
        <v>347</v>
      </c>
      <c r="N23" s="73" t="s">
        <v>126</v>
      </c>
    </row>
    <row r="24" spans="1:14" ht="47.8" customHeight="1">
      <c r="A24" s="104">
        <v>17</v>
      </c>
      <c r="B24" s="16" t="s">
        <v>46</v>
      </c>
      <c r="C24" s="104">
        <v>17</v>
      </c>
      <c r="D24" s="68" t="s">
        <v>128</v>
      </c>
      <c r="E24" s="107" t="s">
        <v>330</v>
      </c>
      <c r="F24" s="104" t="s">
        <v>331</v>
      </c>
      <c r="G24" s="16" t="s">
        <v>332</v>
      </c>
      <c r="H24" s="107">
        <v>0</v>
      </c>
      <c r="I24" s="107" t="s">
        <v>348</v>
      </c>
      <c r="J24" s="107">
        <v>0</v>
      </c>
      <c r="K24" s="107">
        <v>2</v>
      </c>
      <c r="L24" s="104" t="s">
        <v>330</v>
      </c>
      <c r="M24" s="73" t="s">
        <v>347</v>
      </c>
      <c r="N24" s="73" t="s">
        <v>130</v>
      </c>
    </row>
    <row r="25" spans="1:14" ht="75" customHeight="1">
      <c r="A25" s="104">
        <v>18</v>
      </c>
      <c r="B25" s="16" t="s">
        <v>46</v>
      </c>
      <c r="C25" s="104">
        <v>18</v>
      </c>
      <c r="D25" s="68" t="s">
        <v>132</v>
      </c>
      <c r="E25" s="107" t="s">
        <v>349</v>
      </c>
      <c r="F25" s="104" t="s">
        <v>331</v>
      </c>
      <c r="G25" s="16" t="s">
        <v>332</v>
      </c>
      <c r="H25" s="107">
        <v>0</v>
      </c>
      <c r="I25" s="107" t="s">
        <v>348</v>
      </c>
      <c r="J25" s="107">
        <v>2</v>
      </c>
      <c r="K25" s="107">
        <v>2</v>
      </c>
      <c r="L25" s="104" t="s">
        <v>330</v>
      </c>
      <c r="M25" s="73" t="s">
        <v>350</v>
      </c>
      <c r="N25" s="73" t="s">
        <v>134</v>
      </c>
    </row>
    <row r="26" spans="1:14" ht="47.8" customHeight="1">
      <c r="A26" s="108">
        <v>19</v>
      </c>
      <c r="B26" s="109" t="s">
        <v>47</v>
      </c>
      <c r="C26" s="108">
        <v>1</v>
      </c>
      <c r="D26" s="110" t="s">
        <v>137</v>
      </c>
      <c r="E26" s="111" t="s">
        <v>330</v>
      </c>
      <c r="F26" s="108" t="s">
        <v>331</v>
      </c>
      <c r="G26" s="109" t="s">
        <v>332</v>
      </c>
      <c r="H26" s="111">
        <v>1</v>
      </c>
      <c r="I26" s="111" t="s">
        <v>330</v>
      </c>
      <c r="J26" s="111">
        <v>0</v>
      </c>
      <c r="K26" s="111">
        <v>1</v>
      </c>
      <c r="L26" s="108" t="s">
        <v>330</v>
      </c>
      <c r="M26" s="112" t="s">
        <v>333</v>
      </c>
      <c r="N26" s="112" t="s">
        <v>139</v>
      </c>
    </row>
    <row r="27" spans="1:14" ht="47.8" customHeight="1">
      <c r="A27" s="104">
        <v>20</v>
      </c>
      <c r="B27" s="16" t="s">
        <v>47</v>
      </c>
      <c r="C27" s="104">
        <v>2</v>
      </c>
      <c r="D27" s="68" t="s">
        <v>180</v>
      </c>
      <c r="E27" s="107" t="s">
        <v>330</v>
      </c>
      <c r="F27" s="104" t="s">
        <v>331</v>
      </c>
      <c r="G27" s="16" t="s">
        <v>332</v>
      </c>
      <c r="H27" s="107">
        <v>2</v>
      </c>
      <c r="I27" s="107" t="s">
        <v>330</v>
      </c>
      <c r="J27" s="107">
        <v>0</v>
      </c>
      <c r="K27" s="107">
        <v>1</v>
      </c>
      <c r="L27" s="104" t="s">
        <v>330</v>
      </c>
      <c r="M27" s="73" t="s">
        <v>333</v>
      </c>
      <c r="N27" s="73" t="s">
        <v>182</v>
      </c>
    </row>
    <row r="28" spans="1:14" ht="47.8" customHeight="1">
      <c r="A28" s="104">
        <v>21</v>
      </c>
      <c r="B28" s="16" t="s">
        <v>47</v>
      </c>
      <c r="C28" s="104">
        <v>3</v>
      </c>
      <c r="D28" s="68" t="s">
        <v>110</v>
      </c>
      <c r="E28" s="107" t="s">
        <v>349</v>
      </c>
      <c r="F28" s="104" t="s">
        <v>331</v>
      </c>
      <c r="G28" s="16" t="s">
        <v>94</v>
      </c>
      <c r="H28" s="107">
        <v>1</v>
      </c>
      <c r="I28" s="107" t="s">
        <v>330</v>
      </c>
      <c r="J28" s="107">
        <v>0</v>
      </c>
      <c r="K28" s="107">
        <v>1</v>
      </c>
      <c r="L28" s="104" t="s">
        <v>330</v>
      </c>
      <c r="M28" s="73"/>
      <c r="N28" s="73" t="s">
        <v>115</v>
      </c>
    </row>
    <row r="29" spans="1:14" ht="47.8" customHeight="1">
      <c r="A29" s="104">
        <v>22</v>
      </c>
      <c r="B29" s="16" t="s">
        <v>47</v>
      </c>
      <c r="C29" s="104">
        <v>4</v>
      </c>
      <c r="D29" s="68" t="s">
        <v>183</v>
      </c>
      <c r="E29" s="107" t="s">
        <v>349</v>
      </c>
      <c r="F29" s="104" t="s">
        <v>331</v>
      </c>
      <c r="G29" s="16" t="s">
        <v>332</v>
      </c>
      <c r="H29" s="107">
        <v>1</v>
      </c>
      <c r="I29" s="107" t="s">
        <v>330</v>
      </c>
      <c r="J29" s="107">
        <v>0</v>
      </c>
      <c r="K29" s="107">
        <v>2</v>
      </c>
      <c r="L29" s="104" t="s">
        <v>330</v>
      </c>
      <c r="M29" s="73" t="s">
        <v>351</v>
      </c>
      <c r="N29" s="73" t="s">
        <v>185</v>
      </c>
    </row>
    <row r="30" spans="1:14" ht="47.8" customHeight="1">
      <c r="A30" s="104">
        <v>23</v>
      </c>
      <c r="B30" s="16" t="s">
        <v>47</v>
      </c>
      <c r="C30" s="104">
        <v>5</v>
      </c>
      <c r="D30" s="68" t="s">
        <v>116</v>
      </c>
      <c r="E30" s="107" t="s">
        <v>330</v>
      </c>
      <c r="F30" s="104" t="s">
        <v>331</v>
      </c>
      <c r="G30" s="16" t="s">
        <v>332</v>
      </c>
      <c r="H30" s="107">
        <v>2</v>
      </c>
      <c r="I30" s="107" t="s">
        <v>330</v>
      </c>
      <c r="J30" s="107">
        <v>0</v>
      </c>
      <c r="K30" s="107">
        <v>1</v>
      </c>
      <c r="L30" s="104" t="s">
        <v>330</v>
      </c>
      <c r="M30" s="73" t="s">
        <v>352</v>
      </c>
      <c r="N30" s="73" t="s">
        <v>119</v>
      </c>
    </row>
    <row r="31" spans="1:14" ht="47.8" customHeight="1">
      <c r="A31" s="104">
        <v>24</v>
      </c>
      <c r="B31" s="16" t="s">
        <v>47</v>
      </c>
      <c r="C31" s="104">
        <v>6</v>
      </c>
      <c r="D31" s="68" t="s">
        <v>140</v>
      </c>
      <c r="E31" s="107" t="s">
        <v>330</v>
      </c>
      <c r="F31" s="104" t="s">
        <v>331</v>
      </c>
      <c r="G31" s="16" t="s">
        <v>332</v>
      </c>
      <c r="H31" s="107">
        <v>1</v>
      </c>
      <c r="I31" s="107" t="s">
        <v>330</v>
      </c>
      <c r="J31" s="107">
        <v>0</v>
      </c>
      <c r="K31" s="107">
        <v>1</v>
      </c>
      <c r="L31" s="104" t="s">
        <v>330</v>
      </c>
      <c r="M31" s="73" t="s">
        <v>353</v>
      </c>
      <c r="N31" s="73" t="s">
        <v>143</v>
      </c>
    </row>
    <row r="32" spans="1:14" ht="102.2" customHeight="1">
      <c r="A32" s="104">
        <v>25</v>
      </c>
      <c r="B32" s="16" t="s">
        <v>47</v>
      </c>
      <c r="C32" s="104">
        <v>7</v>
      </c>
      <c r="D32" s="68" t="s">
        <v>144</v>
      </c>
      <c r="E32" s="107" t="s">
        <v>330</v>
      </c>
      <c r="F32" s="104" t="s">
        <v>331</v>
      </c>
      <c r="G32" s="16" t="s">
        <v>332</v>
      </c>
      <c r="H32" s="107">
        <v>2</v>
      </c>
      <c r="I32" s="107" t="s">
        <v>330</v>
      </c>
      <c r="J32" s="107">
        <v>1</v>
      </c>
      <c r="K32" s="107">
        <v>2</v>
      </c>
      <c r="L32" s="104" t="s">
        <v>330</v>
      </c>
      <c r="M32" s="73" t="s">
        <v>354</v>
      </c>
      <c r="N32" s="73" t="s">
        <v>147</v>
      </c>
    </row>
    <row r="33" spans="1:14" ht="61.4" customHeight="1">
      <c r="A33" s="104">
        <v>26</v>
      </c>
      <c r="B33" s="16" t="s">
        <v>47</v>
      </c>
      <c r="C33" s="104">
        <v>8</v>
      </c>
      <c r="D33" s="68" t="s">
        <v>186</v>
      </c>
      <c r="E33" s="107" t="s">
        <v>330</v>
      </c>
      <c r="F33" s="104" t="s">
        <v>331</v>
      </c>
      <c r="G33" s="16" t="s">
        <v>332</v>
      </c>
      <c r="H33" s="107">
        <v>1</v>
      </c>
      <c r="I33" s="107" t="s">
        <v>330</v>
      </c>
      <c r="J33" s="107">
        <v>0</v>
      </c>
      <c r="K33" s="107">
        <v>2</v>
      </c>
      <c r="L33" s="104" t="s">
        <v>330</v>
      </c>
      <c r="M33" s="73" t="s">
        <v>355</v>
      </c>
      <c r="N33" s="73" t="s">
        <v>187</v>
      </c>
    </row>
    <row r="34" spans="1:14" ht="61.4" customHeight="1">
      <c r="A34" s="104">
        <v>27</v>
      </c>
      <c r="B34" s="16" t="s">
        <v>47</v>
      </c>
      <c r="C34" s="104">
        <v>9</v>
      </c>
      <c r="D34" s="68" t="s">
        <v>120</v>
      </c>
      <c r="E34" s="107" t="s">
        <v>330</v>
      </c>
      <c r="F34" s="104" t="s">
        <v>331</v>
      </c>
      <c r="G34" s="16" t="s">
        <v>332</v>
      </c>
      <c r="H34" s="107">
        <v>1</v>
      </c>
      <c r="I34" s="107" t="s">
        <v>330</v>
      </c>
      <c r="J34" s="107">
        <v>0</v>
      </c>
      <c r="K34" s="107">
        <v>2</v>
      </c>
      <c r="L34" s="104" t="s">
        <v>330</v>
      </c>
      <c r="M34" s="73" t="s">
        <v>355</v>
      </c>
      <c r="N34" s="73" t="s">
        <v>123</v>
      </c>
    </row>
    <row r="35" spans="1:14" ht="88.6" customHeight="1">
      <c r="A35" s="104">
        <v>28</v>
      </c>
      <c r="B35" s="16" t="s">
        <v>47</v>
      </c>
      <c r="C35" s="104">
        <v>10</v>
      </c>
      <c r="D35" s="68" t="s">
        <v>148</v>
      </c>
      <c r="E35" s="107" t="s">
        <v>330</v>
      </c>
      <c r="F35" s="104" t="s">
        <v>331</v>
      </c>
      <c r="G35" s="16" t="s">
        <v>332</v>
      </c>
      <c r="H35" s="107">
        <v>2</v>
      </c>
      <c r="I35" s="107" t="s">
        <v>330</v>
      </c>
      <c r="J35" s="107">
        <v>0</v>
      </c>
      <c r="K35" s="107">
        <v>2</v>
      </c>
      <c r="L35" s="104" t="s">
        <v>330</v>
      </c>
      <c r="M35" s="73" t="s">
        <v>356</v>
      </c>
      <c r="N35" s="73" t="s">
        <v>151</v>
      </c>
    </row>
    <row r="36" spans="1:14" ht="47.8" customHeight="1">
      <c r="A36" s="104">
        <v>29</v>
      </c>
      <c r="B36" s="16" t="s">
        <v>47</v>
      </c>
      <c r="C36" s="104">
        <v>11</v>
      </c>
      <c r="D36" s="68" t="s">
        <v>188</v>
      </c>
      <c r="E36" s="107" t="s">
        <v>330</v>
      </c>
      <c r="F36" s="104" t="s">
        <v>331</v>
      </c>
      <c r="G36" s="16" t="s">
        <v>332</v>
      </c>
      <c r="H36" s="107">
        <v>2</v>
      </c>
      <c r="I36" s="107" t="s">
        <v>330</v>
      </c>
      <c r="J36" s="107">
        <v>0</v>
      </c>
      <c r="K36" s="107">
        <v>1</v>
      </c>
      <c r="L36" s="104" t="s">
        <v>330</v>
      </c>
      <c r="M36" s="73" t="s">
        <v>357</v>
      </c>
      <c r="N36" s="73" t="s">
        <v>189</v>
      </c>
    </row>
    <row r="37" spans="1:14" ht="47.8" customHeight="1">
      <c r="A37" s="104">
        <v>30</v>
      </c>
      <c r="B37" s="16" t="s">
        <v>47</v>
      </c>
      <c r="C37" s="104">
        <v>12</v>
      </c>
      <c r="D37" s="68" t="s">
        <v>190</v>
      </c>
      <c r="E37" s="107" t="s">
        <v>330</v>
      </c>
      <c r="F37" s="104" t="s">
        <v>331</v>
      </c>
      <c r="G37" s="16" t="s">
        <v>332</v>
      </c>
      <c r="H37" s="107">
        <v>2</v>
      </c>
      <c r="I37" s="107" t="s">
        <v>330</v>
      </c>
      <c r="J37" s="107">
        <v>0</v>
      </c>
      <c r="K37" s="107">
        <v>1</v>
      </c>
      <c r="L37" s="104" t="s">
        <v>330</v>
      </c>
      <c r="M37" s="73" t="s">
        <v>358</v>
      </c>
      <c r="N37" s="73" t="s">
        <v>191</v>
      </c>
    </row>
    <row r="38" spans="1:14" ht="34.2" customHeight="1">
      <c r="A38" s="104">
        <v>31</v>
      </c>
      <c r="B38" s="16" t="s">
        <v>47</v>
      </c>
      <c r="C38" s="104">
        <v>13</v>
      </c>
      <c r="D38" s="68" t="s">
        <v>192</v>
      </c>
      <c r="E38" s="107" t="s">
        <v>330</v>
      </c>
      <c r="F38" s="104" t="s">
        <v>331</v>
      </c>
      <c r="G38" s="16" t="s">
        <v>332</v>
      </c>
      <c r="H38" s="107">
        <v>1</v>
      </c>
      <c r="I38" s="107" t="s">
        <v>330</v>
      </c>
      <c r="J38" s="107">
        <v>0</v>
      </c>
      <c r="K38" s="107">
        <v>1</v>
      </c>
      <c r="L38" s="104" t="s">
        <v>330</v>
      </c>
      <c r="M38" s="73" t="s">
        <v>359</v>
      </c>
      <c r="N38" s="73" t="s">
        <v>193</v>
      </c>
    </row>
    <row r="39" spans="1:14" ht="47.8" customHeight="1">
      <c r="A39" s="104">
        <v>32</v>
      </c>
      <c r="B39" s="16" t="s">
        <v>47</v>
      </c>
      <c r="C39" s="104">
        <v>14</v>
      </c>
      <c r="D39" s="68" t="s">
        <v>194</v>
      </c>
      <c r="E39" s="107" t="s">
        <v>330</v>
      </c>
      <c r="F39" s="104" t="s">
        <v>331</v>
      </c>
      <c r="G39" s="16" t="s">
        <v>332</v>
      </c>
      <c r="H39" s="107">
        <v>2</v>
      </c>
      <c r="I39" s="107" t="s">
        <v>330</v>
      </c>
      <c r="J39" s="107">
        <v>0</v>
      </c>
      <c r="K39" s="107">
        <v>1</v>
      </c>
      <c r="L39" s="104" t="s">
        <v>330</v>
      </c>
      <c r="M39" s="73" t="s">
        <v>360</v>
      </c>
      <c r="N39" s="73" t="s">
        <v>195</v>
      </c>
    </row>
    <row r="40" spans="1:14" ht="61.4" customHeight="1">
      <c r="A40" s="104">
        <v>33</v>
      </c>
      <c r="B40" s="16" t="s">
        <v>47</v>
      </c>
      <c r="C40" s="104">
        <v>15</v>
      </c>
      <c r="D40" s="68" t="s">
        <v>196</v>
      </c>
      <c r="E40" s="107" t="s">
        <v>330</v>
      </c>
      <c r="F40" s="104" t="s">
        <v>331</v>
      </c>
      <c r="G40" s="16" t="s">
        <v>332</v>
      </c>
      <c r="H40" s="107">
        <v>1</v>
      </c>
      <c r="I40" s="107" t="s">
        <v>330</v>
      </c>
      <c r="J40" s="107">
        <v>0</v>
      </c>
      <c r="K40" s="107">
        <v>2</v>
      </c>
      <c r="L40" s="104" t="s">
        <v>330</v>
      </c>
      <c r="M40" s="73" t="s">
        <v>361</v>
      </c>
      <c r="N40" s="73" t="s">
        <v>198</v>
      </c>
    </row>
    <row r="41" spans="1:14" ht="102.2" customHeight="1">
      <c r="A41" s="104">
        <v>34</v>
      </c>
      <c r="B41" s="16" t="s">
        <v>47</v>
      </c>
      <c r="C41" s="104">
        <v>16</v>
      </c>
      <c r="D41" s="68" t="s">
        <v>199</v>
      </c>
      <c r="E41" s="107" t="s">
        <v>330</v>
      </c>
      <c r="F41" s="104" t="s">
        <v>331</v>
      </c>
      <c r="G41" s="16" t="s">
        <v>332</v>
      </c>
      <c r="H41" s="107">
        <v>2</v>
      </c>
      <c r="I41" s="107" t="s">
        <v>330</v>
      </c>
      <c r="J41" s="107">
        <v>0</v>
      </c>
      <c r="K41" s="107">
        <v>2</v>
      </c>
      <c r="L41" s="104" t="s">
        <v>330</v>
      </c>
      <c r="M41" s="73" t="s">
        <v>362</v>
      </c>
      <c r="N41" s="73" t="s">
        <v>201</v>
      </c>
    </row>
    <row r="42" spans="1:14" ht="88.6" customHeight="1">
      <c r="A42" s="104">
        <v>35</v>
      </c>
      <c r="B42" s="16" t="s">
        <v>47</v>
      </c>
      <c r="C42" s="104">
        <v>17</v>
      </c>
      <c r="D42" s="68" t="s">
        <v>152</v>
      </c>
      <c r="E42" s="107" t="s">
        <v>330</v>
      </c>
      <c r="F42" s="104" t="s">
        <v>331</v>
      </c>
      <c r="G42" s="16" t="s">
        <v>332</v>
      </c>
      <c r="H42" s="107">
        <v>1</v>
      </c>
      <c r="I42" s="107" t="s">
        <v>330</v>
      </c>
      <c r="J42" s="107">
        <v>0</v>
      </c>
      <c r="K42" s="107">
        <v>2</v>
      </c>
      <c r="L42" s="104" t="s">
        <v>330</v>
      </c>
      <c r="M42" s="73" t="s">
        <v>363</v>
      </c>
      <c r="N42" s="73" t="s">
        <v>155</v>
      </c>
    </row>
    <row r="43" spans="1:14" ht="75" customHeight="1">
      <c r="A43" s="104">
        <v>36</v>
      </c>
      <c r="B43" s="16" t="s">
        <v>47</v>
      </c>
      <c r="C43" s="104">
        <v>18</v>
      </c>
      <c r="D43" s="68" t="s">
        <v>156</v>
      </c>
      <c r="E43" s="107" t="s">
        <v>330</v>
      </c>
      <c r="F43" s="104" t="s">
        <v>331</v>
      </c>
      <c r="G43" s="16" t="s">
        <v>332</v>
      </c>
      <c r="H43" s="107">
        <v>1</v>
      </c>
      <c r="I43" s="107" t="s">
        <v>330</v>
      </c>
      <c r="J43" s="107">
        <v>0</v>
      </c>
      <c r="K43" s="107">
        <v>2</v>
      </c>
      <c r="L43" s="104" t="s">
        <v>330</v>
      </c>
      <c r="M43" s="73" t="s">
        <v>364</v>
      </c>
      <c r="N43" s="73" t="s">
        <v>159</v>
      </c>
    </row>
    <row r="44" spans="1:14" ht="61.4" customHeight="1">
      <c r="A44" s="104">
        <v>37</v>
      </c>
      <c r="B44" s="16" t="s">
        <v>47</v>
      </c>
      <c r="C44" s="104">
        <v>19</v>
      </c>
      <c r="D44" s="68" t="s">
        <v>160</v>
      </c>
      <c r="E44" s="107" t="s">
        <v>330</v>
      </c>
      <c r="F44" s="104" t="s">
        <v>331</v>
      </c>
      <c r="G44" s="16" t="s">
        <v>332</v>
      </c>
      <c r="H44" s="107">
        <v>1</v>
      </c>
      <c r="I44" s="107" t="s">
        <v>330</v>
      </c>
      <c r="J44" s="107">
        <v>0</v>
      </c>
      <c r="K44" s="107">
        <v>2</v>
      </c>
      <c r="L44" s="104" t="s">
        <v>330</v>
      </c>
      <c r="M44" s="73" t="s">
        <v>365</v>
      </c>
      <c r="N44" s="73" t="s">
        <v>163</v>
      </c>
    </row>
    <row r="45" spans="1:14" ht="143" customHeight="1">
      <c r="A45" s="104">
        <v>38</v>
      </c>
      <c r="B45" s="16" t="s">
        <v>47</v>
      </c>
      <c r="C45" s="104">
        <v>20</v>
      </c>
      <c r="D45" s="68" t="s">
        <v>164</v>
      </c>
      <c r="E45" s="107" t="s">
        <v>330</v>
      </c>
      <c r="F45" s="104" t="s">
        <v>331</v>
      </c>
      <c r="G45" s="16" t="s">
        <v>332</v>
      </c>
      <c r="H45" s="107">
        <v>2</v>
      </c>
      <c r="I45" s="107" t="s">
        <v>330</v>
      </c>
      <c r="J45" s="107">
        <v>1</v>
      </c>
      <c r="K45" s="107">
        <v>2</v>
      </c>
      <c r="L45" s="104" t="s">
        <v>330</v>
      </c>
      <c r="M45" s="73" t="s">
        <v>365</v>
      </c>
      <c r="N45" s="73" t="s">
        <v>165</v>
      </c>
    </row>
    <row r="46" spans="1:14" ht="143" customHeight="1">
      <c r="A46" s="104">
        <v>39</v>
      </c>
      <c r="B46" s="16" t="s">
        <v>47</v>
      </c>
      <c r="C46" s="104">
        <v>21</v>
      </c>
      <c r="D46" s="68" t="s">
        <v>124</v>
      </c>
      <c r="E46" s="107" t="s">
        <v>330</v>
      </c>
      <c r="F46" s="104" t="s">
        <v>331</v>
      </c>
      <c r="G46" s="16" t="s">
        <v>332</v>
      </c>
      <c r="H46" s="107">
        <v>1</v>
      </c>
      <c r="I46" s="107" t="s">
        <v>330</v>
      </c>
      <c r="J46" s="107">
        <v>2</v>
      </c>
      <c r="K46" s="107">
        <v>2</v>
      </c>
      <c r="L46" s="104" t="s">
        <v>330</v>
      </c>
      <c r="M46" s="73" t="s">
        <v>366</v>
      </c>
      <c r="N46" s="73" t="s">
        <v>127</v>
      </c>
    </row>
    <row r="47" spans="1:14" ht="75" customHeight="1">
      <c r="A47" s="104">
        <v>40</v>
      </c>
      <c r="B47" s="16" t="s">
        <v>47</v>
      </c>
      <c r="C47" s="104">
        <v>22</v>
      </c>
      <c r="D47" s="68" t="s">
        <v>202</v>
      </c>
      <c r="E47" s="107" t="s">
        <v>330</v>
      </c>
      <c r="F47" s="104" t="s">
        <v>331</v>
      </c>
      <c r="G47" s="16" t="s">
        <v>332</v>
      </c>
      <c r="H47" s="107">
        <v>1</v>
      </c>
      <c r="I47" s="107" t="s">
        <v>330</v>
      </c>
      <c r="J47" s="107">
        <v>0</v>
      </c>
      <c r="K47" s="107">
        <v>2</v>
      </c>
      <c r="L47" s="104" t="s">
        <v>330</v>
      </c>
      <c r="M47" s="73" t="s">
        <v>367</v>
      </c>
      <c r="N47" s="73" t="s">
        <v>203</v>
      </c>
    </row>
    <row r="48" spans="1:14" ht="75" customHeight="1">
      <c r="A48" s="104">
        <v>41</v>
      </c>
      <c r="B48" s="16" t="s">
        <v>47</v>
      </c>
      <c r="C48" s="104">
        <v>23</v>
      </c>
      <c r="D48" s="68" t="s">
        <v>128</v>
      </c>
      <c r="E48" s="107" t="s">
        <v>330</v>
      </c>
      <c r="F48" s="104" t="s">
        <v>331</v>
      </c>
      <c r="G48" s="16" t="s">
        <v>332</v>
      </c>
      <c r="H48" s="107">
        <v>0</v>
      </c>
      <c r="I48" s="107" t="s">
        <v>348</v>
      </c>
      <c r="J48" s="107">
        <v>2</v>
      </c>
      <c r="K48" s="107">
        <v>2</v>
      </c>
      <c r="L48" s="104" t="s">
        <v>330</v>
      </c>
      <c r="M48" s="73" t="s">
        <v>366</v>
      </c>
      <c r="N48" s="73" t="s">
        <v>131</v>
      </c>
    </row>
    <row r="49" spans="1:14" ht="88.6" customHeight="1">
      <c r="A49" s="104">
        <v>42</v>
      </c>
      <c r="B49" s="16" t="s">
        <v>47</v>
      </c>
      <c r="C49" s="104">
        <v>24</v>
      </c>
      <c r="D49" s="68" t="s">
        <v>132</v>
      </c>
      <c r="E49" s="107" t="s">
        <v>349</v>
      </c>
      <c r="F49" s="104" t="s">
        <v>331</v>
      </c>
      <c r="G49" s="16" t="s">
        <v>332</v>
      </c>
      <c r="H49" s="107">
        <v>0</v>
      </c>
      <c r="I49" s="107" t="s">
        <v>348</v>
      </c>
      <c r="J49" s="107">
        <v>2</v>
      </c>
      <c r="K49" s="107">
        <v>2</v>
      </c>
      <c r="L49" s="104" t="s">
        <v>330</v>
      </c>
      <c r="M49" s="73" t="s">
        <v>351</v>
      </c>
      <c r="N49" s="73" t="s">
        <v>135</v>
      </c>
    </row>
    <row r="50" spans="1:14" ht="75" customHeight="1">
      <c r="A50" s="104">
        <v>43</v>
      </c>
      <c r="B50" s="16" t="s">
        <v>47</v>
      </c>
      <c r="C50" s="104">
        <v>25</v>
      </c>
      <c r="D50" s="68" t="s">
        <v>204</v>
      </c>
      <c r="E50" s="107" t="s">
        <v>349</v>
      </c>
      <c r="F50" s="104" t="s">
        <v>331</v>
      </c>
      <c r="G50" s="16" t="s">
        <v>332</v>
      </c>
      <c r="H50" s="107">
        <v>0</v>
      </c>
      <c r="I50" s="107" t="s">
        <v>348</v>
      </c>
      <c r="J50" s="107">
        <v>2</v>
      </c>
      <c r="K50" s="107">
        <v>2</v>
      </c>
      <c r="L50" s="104" t="s">
        <v>330</v>
      </c>
      <c r="M50" s="73" t="s">
        <v>366</v>
      </c>
      <c r="N50" s="73" t="s">
        <v>205</v>
      </c>
    </row>
  </sheetData>
  <autoFilter ref="A7:N50"/>
  <conditionalFormatting sqref="A8:N50">
    <cfRule type="expression" dxfId="10" priority="11">
      <formula>$E8="Nein"</formula>
    </cfRule>
  </conditionalFormatting>
  <conditionalFormatting sqref="E8:E50">
    <cfRule type="cellIs" dxfId="3" priority="1" operator="equal">
      <formula>"Ja"</formula>
    </cfRule>
    <cfRule type="cellIs" dxfId="4" priority="2" operator="equal">
      <formula>"Nein"</formula>
    </cfRule>
  </conditionalFormatting>
  <conditionalFormatting sqref="G8:G50">
    <cfRule type="cellIs" dxfId="5" priority="3" operator="equal">
      <formula>"Nur auf diesem Client"</formula>
    </cfRule>
  </conditionalFormatting>
  <conditionalFormatting sqref="H8:H50">
    <cfRule type="cellIs" dxfId="6" priority="4" operator="equal">
      <formula>0</formula>
    </cfRule>
  </conditionalFormatting>
  <conditionalFormatting sqref="I8:I50">
    <cfRule type="cellIs" dxfId="7" priority="7" operator="equal">
      <formula>"Ja"</formula>
    </cfRule>
    <cfRule type="beginsWith" dxfId="8" priority="8" operator="beginsWith" text="keine">
      <formula>LEFT(I8,5)="keine"</formula>
    </cfRule>
    <cfRule type="beginsWith" dxfId="9" priority="9" operator="beginsWith" text="Nein">
      <formula>LEFT(I8,4)="Nein"</formula>
    </cfRule>
    <cfRule type="beginsWith" dxfId="9" priority="10" operator="beginsWith" text="teil">
      <formula>LEFT(I8,4)="teil"</formula>
    </cfRule>
  </conditionalFormatting>
  <conditionalFormatting sqref="J8:J50">
    <cfRule type="cellIs" dxfId="6" priority="5" operator="equal">
      <formula>0</formula>
    </cfRule>
  </conditionalFormatting>
  <conditionalFormatting sqref="K8:K50">
    <cfRule type="cellIs" dxfId="6" priority="6" operator="equal">
      <formula>0</formula>
    </cfRule>
  </conditionalFormatting>
  <pageMargins left="0.4" right="0.4" top="0.5" bottom="0.6" header="0.3" footer="0.3"/>
  <pageSetup paperSize="9" fitToHeight="0" orientation="landscape"/>
  <headerFooter>
    <oddFooter>&amp;L&amp;"Aptos,Regular"&amp;8Outlook-Regeln – &amp;A&amp;R&amp;"Aptos,Regular"&amp;8Seite &amp;P von &amp;N</oddFooter>
  </headerFooter>
</worksheet>
</file>

<file path=xl/worksheets/sheet6.xml><?xml version="1.0" encoding="utf-8"?>
<worksheet xmlns="http://schemas.openxmlformats.org/spreadsheetml/2006/main" xmlns:r="http://schemas.openxmlformats.org/officeDocument/2006/relationships">
  <sheetPr codeName="shLogik">
    <tabColor rgb="FF3B4F8A"/>
    <outlinePr summaryBelow="0" summaryRight="0"/>
    <pageSetUpPr fitToPage="1"/>
  </sheetPr>
  <dimension ref="A1:E278"/>
  <sheetViews>
    <sheetView showGridLines="0" workbookViewId="0">
      <pane ySplit="4" topLeftCell="A5" activePane="bottomLeft" state="frozen"/>
      <selection pane="bottomLeft"/>
    </sheetView>
  </sheetViews>
  <sheetFormatPr defaultRowHeight="15" outlineLevelRow="2"/>
  <cols>
    <col min="1" max="1" width="28.7109375" customWidth="1"/>
    <col min="2" max="2" width="6.7109375" customWidth="1"/>
    <col min="3" max="3" width="13.7109375" customWidth="1"/>
    <col min="4" max="4" width="48.7109375" customWidth="1"/>
    <col min="5" max="5" width="100.7109375" customWidth="1"/>
  </cols>
  <sheetData>
    <row r="1" spans="1:5" ht="36" customHeight="1">
      <c r="A1" s="36" t="s">
        <v>368</v>
      </c>
    </row>
    <row r="2" spans="1:5" ht="42.8" customHeight="1">
      <c r="A2" s="113" t="s">
        <v>369</v>
      </c>
      <c r="B2" s="114" t="s">
        <v>370</v>
      </c>
      <c r="C2" s="114"/>
      <c r="D2" s="114"/>
      <c r="E2" s="114"/>
    </row>
    <row r="3" spans="1:5" ht="18" customHeight="1">
      <c r="A3" s="65" t="s">
        <v>371</v>
      </c>
    </row>
    <row r="4" spans="1:5" ht="26" customHeight="1">
      <c r="A4" s="12" t="s">
        <v>42</v>
      </c>
      <c r="B4" s="13" t="s">
        <v>215</v>
      </c>
      <c r="C4" s="13" t="s">
        <v>372</v>
      </c>
      <c r="D4" s="12" t="s">
        <v>373</v>
      </c>
      <c r="E4" s="12" t="s">
        <v>374</v>
      </c>
    </row>
    <row r="5" spans="1:5" ht="28" customHeight="1">
      <c r="A5" s="115" t="s">
        <v>375</v>
      </c>
      <c r="B5" s="115"/>
      <c r="C5" s="115"/>
      <c r="D5" s="115"/>
      <c r="E5" s="115"/>
    </row>
    <row r="6" spans="1:5" ht="36.2" customHeight="1" outlineLevel="1">
      <c r="A6" s="116" t="s">
        <v>46</v>
      </c>
      <c r="B6" s="117">
        <v>1</v>
      </c>
      <c r="C6" s="118" t="s">
        <v>376</v>
      </c>
      <c r="D6" s="119" t="s">
        <v>377</v>
      </c>
      <c r="E6" s="120" t="s">
        <v>139</v>
      </c>
    </row>
    <row r="7" spans="1:5" ht="20.6" customHeight="1" outlineLevel="2">
      <c r="A7" s="121"/>
      <c r="B7" s="121"/>
      <c r="C7" s="122" t="s">
        <v>378</v>
      </c>
      <c r="D7" s="123" t="s">
        <v>379</v>
      </c>
      <c r="E7" s="124" t="s">
        <v>380</v>
      </c>
    </row>
    <row r="8" spans="1:5" ht="20.6" customHeight="1" outlineLevel="2">
      <c r="A8" s="121"/>
      <c r="B8" s="121"/>
      <c r="C8" s="125" t="s">
        <v>381</v>
      </c>
      <c r="D8" s="123" t="s">
        <v>382</v>
      </c>
      <c r="E8" s="124" t="s">
        <v>333</v>
      </c>
    </row>
    <row r="9" spans="1:5" ht="20.6" customHeight="1" outlineLevel="2">
      <c r="A9" s="121"/>
      <c r="B9" s="121"/>
      <c r="C9" s="126" t="s">
        <v>383</v>
      </c>
      <c r="D9" s="123" t="s">
        <v>384</v>
      </c>
      <c r="E9" s="127"/>
    </row>
    <row r="10" spans="1:5" ht="7" customHeight="1" outlineLevel="1"/>
    <row r="11" spans="1:5" ht="49.8" customHeight="1" outlineLevel="1">
      <c r="A11" s="116" t="s">
        <v>46</v>
      </c>
      <c r="B11" s="117">
        <v>2</v>
      </c>
      <c r="C11" s="118" t="s">
        <v>376</v>
      </c>
      <c r="D11" s="119" t="s">
        <v>385</v>
      </c>
      <c r="E11" s="120" t="s">
        <v>170</v>
      </c>
    </row>
    <row r="12" spans="1:5" ht="20.6" customHeight="1" outlineLevel="2">
      <c r="A12" s="121"/>
      <c r="B12" s="121"/>
      <c r="C12" s="122" t="s">
        <v>378</v>
      </c>
      <c r="D12" s="123" t="s">
        <v>386</v>
      </c>
      <c r="E12" s="124" t="s">
        <v>167</v>
      </c>
    </row>
    <row r="13" spans="1:5" ht="20.6" customHeight="1" outlineLevel="2">
      <c r="A13" s="121"/>
      <c r="B13" s="121"/>
      <c r="C13" s="122" t="s">
        <v>387</v>
      </c>
      <c r="D13" s="123" t="s">
        <v>388</v>
      </c>
      <c r="E13" s="124" t="s">
        <v>389</v>
      </c>
    </row>
    <row r="14" spans="1:5" ht="20.6" customHeight="1" outlineLevel="2">
      <c r="A14" s="121"/>
      <c r="B14" s="121"/>
      <c r="C14" s="125" t="s">
        <v>381</v>
      </c>
      <c r="D14" s="123" t="s">
        <v>382</v>
      </c>
      <c r="E14" s="124" t="s">
        <v>334</v>
      </c>
    </row>
    <row r="15" spans="1:5" ht="20.6" customHeight="1" outlineLevel="2">
      <c r="A15" s="121"/>
      <c r="B15" s="121"/>
      <c r="C15" s="126" t="s">
        <v>383</v>
      </c>
      <c r="D15" s="123" t="s">
        <v>384</v>
      </c>
      <c r="E15" s="127"/>
    </row>
    <row r="16" spans="1:5" ht="7" customHeight="1" outlineLevel="1"/>
    <row r="17" spans="1:5" ht="36.2" customHeight="1" outlineLevel="1">
      <c r="A17" s="116" t="s">
        <v>46</v>
      </c>
      <c r="B17" s="117">
        <v>3</v>
      </c>
      <c r="C17" s="118" t="s">
        <v>376</v>
      </c>
      <c r="D17" s="119" t="s">
        <v>390</v>
      </c>
      <c r="E17" s="120" t="s">
        <v>172</v>
      </c>
    </row>
    <row r="18" spans="1:5" ht="20.6" customHeight="1" outlineLevel="2">
      <c r="A18" s="121"/>
      <c r="B18" s="121"/>
      <c r="C18" s="122" t="s">
        <v>378</v>
      </c>
      <c r="D18" s="123" t="s">
        <v>386</v>
      </c>
      <c r="E18" s="124" t="s">
        <v>171</v>
      </c>
    </row>
    <row r="19" spans="1:5" ht="20.6" customHeight="1" outlineLevel="2">
      <c r="A19" s="121"/>
      <c r="B19" s="121"/>
      <c r="C19" s="122" t="s">
        <v>387</v>
      </c>
      <c r="D19" s="123" t="s">
        <v>388</v>
      </c>
      <c r="E19" s="124" t="s">
        <v>391</v>
      </c>
    </row>
    <row r="20" spans="1:5" ht="20.6" customHeight="1" outlineLevel="2">
      <c r="A20" s="121"/>
      <c r="B20" s="121"/>
      <c r="C20" s="125" t="s">
        <v>381</v>
      </c>
      <c r="D20" s="123" t="s">
        <v>382</v>
      </c>
      <c r="E20" s="124" t="s">
        <v>335</v>
      </c>
    </row>
    <row r="21" spans="1:5" ht="20.6" customHeight="1" outlineLevel="2">
      <c r="A21" s="121"/>
      <c r="B21" s="121"/>
      <c r="C21" s="126" t="s">
        <v>383</v>
      </c>
      <c r="D21" s="123" t="s">
        <v>384</v>
      </c>
      <c r="E21" s="127"/>
    </row>
    <row r="22" spans="1:5" ht="7" customHeight="1" outlineLevel="1"/>
    <row r="23" spans="1:5" ht="49.8" customHeight="1" outlineLevel="1">
      <c r="A23" s="116" t="s">
        <v>46</v>
      </c>
      <c r="B23" s="117">
        <v>4</v>
      </c>
      <c r="C23" s="118" t="s">
        <v>376</v>
      </c>
      <c r="D23" s="119" t="s">
        <v>392</v>
      </c>
      <c r="E23" s="120" t="s">
        <v>175</v>
      </c>
    </row>
    <row r="24" spans="1:5" ht="20.6" customHeight="1" outlineLevel="2">
      <c r="A24" s="121"/>
      <c r="B24" s="121"/>
      <c r="C24" s="122" t="s">
        <v>378</v>
      </c>
      <c r="D24" s="123" t="s">
        <v>388</v>
      </c>
      <c r="E24" s="124" t="s">
        <v>393</v>
      </c>
    </row>
    <row r="25" spans="1:5" ht="20.6" customHeight="1" outlineLevel="2">
      <c r="A25" s="121"/>
      <c r="B25" s="121"/>
      <c r="C25" s="128" t="s">
        <v>221</v>
      </c>
      <c r="D25" s="123" t="s">
        <v>388</v>
      </c>
      <c r="E25" s="124" t="s">
        <v>394</v>
      </c>
    </row>
    <row r="26" spans="1:5" ht="20.6" customHeight="1" outlineLevel="2">
      <c r="A26" s="121"/>
      <c r="B26" s="121"/>
      <c r="C26" s="125" t="s">
        <v>381</v>
      </c>
      <c r="D26" s="123" t="s">
        <v>382</v>
      </c>
      <c r="E26" s="124" t="s">
        <v>336</v>
      </c>
    </row>
    <row r="27" spans="1:5" ht="20.6" customHeight="1" outlineLevel="2">
      <c r="A27" s="121"/>
      <c r="B27" s="121"/>
      <c r="C27" s="126" t="s">
        <v>383</v>
      </c>
      <c r="D27" s="123" t="s">
        <v>384</v>
      </c>
      <c r="E27" s="127"/>
    </row>
    <row r="28" spans="1:5" ht="7" customHeight="1" outlineLevel="1"/>
    <row r="29" spans="1:5" ht="49.8" customHeight="1" outlineLevel="1">
      <c r="A29" s="116" t="s">
        <v>46</v>
      </c>
      <c r="B29" s="117">
        <v>5</v>
      </c>
      <c r="C29" s="118" t="s">
        <v>376</v>
      </c>
      <c r="D29" s="119" t="s">
        <v>395</v>
      </c>
      <c r="E29" s="120" t="s">
        <v>114</v>
      </c>
    </row>
    <row r="30" spans="1:5" ht="34.2" customHeight="1" outlineLevel="2">
      <c r="A30" s="121"/>
      <c r="B30" s="121"/>
      <c r="C30" s="122" t="s">
        <v>378</v>
      </c>
      <c r="D30" s="123" t="s">
        <v>396</v>
      </c>
      <c r="E30" s="124" t="s">
        <v>397</v>
      </c>
    </row>
    <row r="31" spans="1:5" ht="20.6" customHeight="1" outlineLevel="2">
      <c r="A31" s="121"/>
      <c r="B31" s="121"/>
      <c r="C31" s="125" t="s">
        <v>381</v>
      </c>
      <c r="D31" s="123" t="s">
        <v>382</v>
      </c>
      <c r="E31" s="124" t="s">
        <v>337</v>
      </c>
    </row>
    <row r="32" spans="1:5" ht="20.6" customHeight="1" outlineLevel="2">
      <c r="A32" s="121"/>
      <c r="B32" s="121"/>
      <c r="C32" s="126" t="s">
        <v>383</v>
      </c>
      <c r="D32" s="123" t="s">
        <v>384</v>
      </c>
      <c r="E32" s="127"/>
    </row>
    <row r="33" spans="1:5" ht="7" customHeight="1" outlineLevel="1"/>
    <row r="34" spans="1:5" ht="36.2" customHeight="1" outlineLevel="1">
      <c r="A34" s="116" t="s">
        <v>46</v>
      </c>
      <c r="B34" s="117">
        <v>6</v>
      </c>
      <c r="C34" s="118" t="s">
        <v>376</v>
      </c>
      <c r="D34" s="119" t="s">
        <v>398</v>
      </c>
      <c r="E34" s="120" t="s">
        <v>118</v>
      </c>
    </row>
    <row r="35" spans="1:5" ht="20.6" customHeight="1" outlineLevel="2">
      <c r="A35" s="121"/>
      <c r="B35" s="121"/>
      <c r="C35" s="122" t="s">
        <v>378</v>
      </c>
      <c r="D35" s="123" t="s">
        <v>386</v>
      </c>
      <c r="E35" s="124" t="s">
        <v>399</v>
      </c>
    </row>
    <row r="36" spans="1:5" ht="20.6" customHeight="1" outlineLevel="2">
      <c r="A36" s="121"/>
      <c r="B36" s="121"/>
      <c r="C36" s="125" t="s">
        <v>381</v>
      </c>
      <c r="D36" s="123" t="s">
        <v>382</v>
      </c>
      <c r="E36" s="124" t="s">
        <v>338</v>
      </c>
    </row>
    <row r="37" spans="1:5" ht="20.6" customHeight="1" outlineLevel="2">
      <c r="A37" s="121"/>
      <c r="B37" s="121"/>
      <c r="C37" s="126" t="s">
        <v>383</v>
      </c>
      <c r="D37" s="123" t="s">
        <v>384</v>
      </c>
      <c r="E37" s="127"/>
    </row>
    <row r="38" spans="1:5" ht="7" customHeight="1" outlineLevel="1"/>
    <row r="39" spans="1:5" ht="49.8" customHeight="1" outlineLevel="1">
      <c r="A39" s="116" t="s">
        <v>46</v>
      </c>
      <c r="B39" s="117">
        <v>7</v>
      </c>
      <c r="C39" s="118" t="s">
        <v>376</v>
      </c>
      <c r="D39" s="119" t="s">
        <v>400</v>
      </c>
      <c r="E39" s="120" t="s">
        <v>142</v>
      </c>
    </row>
    <row r="40" spans="1:5" ht="20.6" customHeight="1" outlineLevel="2">
      <c r="A40" s="121"/>
      <c r="B40" s="121"/>
      <c r="C40" s="122" t="s">
        <v>378</v>
      </c>
      <c r="D40" s="123" t="s">
        <v>388</v>
      </c>
      <c r="E40" s="124" t="s">
        <v>401</v>
      </c>
    </row>
    <row r="41" spans="1:5" ht="20.6" customHeight="1" outlineLevel="2">
      <c r="A41" s="121"/>
      <c r="B41" s="121"/>
      <c r="C41" s="125" t="s">
        <v>381</v>
      </c>
      <c r="D41" s="123" t="s">
        <v>382</v>
      </c>
      <c r="E41" s="124" t="s">
        <v>339</v>
      </c>
    </row>
    <row r="42" spans="1:5" ht="20.6" customHeight="1" outlineLevel="2">
      <c r="A42" s="121"/>
      <c r="B42" s="121"/>
      <c r="C42" s="126" t="s">
        <v>383</v>
      </c>
      <c r="D42" s="123" t="s">
        <v>384</v>
      </c>
      <c r="E42" s="127"/>
    </row>
    <row r="43" spans="1:5" ht="7" customHeight="1" outlineLevel="1"/>
    <row r="44" spans="1:5" ht="90.6" customHeight="1" outlineLevel="1">
      <c r="A44" s="116" t="s">
        <v>46</v>
      </c>
      <c r="B44" s="117">
        <v>8</v>
      </c>
      <c r="C44" s="118" t="s">
        <v>376</v>
      </c>
      <c r="D44" s="119" t="s">
        <v>402</v>
      </c>
      <c r="E44" s="120" t="s">
        <v>146</v>
      </c>
    </row>
    <row r="45" spans="1:5" ht="20.6" customHeight="1" outlineLevel="2">
      <c r="A45" s="121"/>
      <c r="B45" s="121"/>
      <c r="C45" s="122" t="s">
        <v>378</v>
      </c>
      <c r="D45" s="123" t="s">
        <v>403</v>
      </c>
      <c r="E45" s="124" t="s">
        <v>404</v>
      </c>
    </row>
    <row r="46" spans="1:5" ht="20.6" customHeight="1" outlineLevel="2">
      <c r="A46" s="121"/>
      <c r="B46" s="121"/>
      <c r="C46" s="122" t="s">
        <v>387</v>
      </c>
      <c r="D46" s="123" t="s">
        <v>388</v>
      </c>
      <c r="E46" s="124" t="s">
        <v>405</v>
      </c>
    </row>
    <row r="47" spans="1:5" ht="34.2" customHeight="1" outlineLevel="2">
      <c r="A47" s="121"/>
      <c r="B47" s="121"/>
      <c r="C47" s="128" t="s">
        <v>221</v>
      </c>
      <c r="D47" s="123" t="s">
        <v>403</v>
      </c>
      <c r="E47" s="124" t="s">
        <v>406</v>
      </c>
    </row>
    <row r="48" spans="1:5" ht="20.6" customHeight="1" outlineLevel="2">
      <c r="A48" s="121"/>
      <c r="B48" s="121"/>
      <c r="C48" s="125" t="s">
        <v>381</v>
      </c>
      <c r="D48" s="123" t="s">
        <v>382</v>
      </c>
      <c r="E48" s="124" t="s">
        <v>340</v>
      </c>
    </row>
    <row r="49" spans="1:5" ht="20.6" customHeight="1" outlineLevel="2">
      <c r="A49" s="121"/>
      <c r="B49" s="121"/>
      <c r="C49" s="126" t="s">
        <v>383</v>
      </c>
      <c r="D49" s="123" t="s">
        <v>407</v>
      </c>
      <c r="E49" s="124" t="s">
        <v>408</v>
      </c>
    </row>
    <row r="50" spans="1:5" ht="20.6" customHeight="1" outlineLevel="2">
      <c r="A50" s="121"/>
      <c r="B50" s="121"/>
      <c r="C50" s="126" t="s">
        <v>383</v>
      </c>
      <c r="D50" s="123" t="s">
        <v>384</v>
      </c>
      <c r="E50" s="127"/>
    </row>
    <row r="51" spans="1:5" ht="7" customHeight="1" outlineLevel="1"/>
    <row r="52" spans="1:5" ht="49.8" customHeight="1" outlineLevel="1">
      <c r="A52" s="116" t="s">
        <v>46</v>
      </c>
      <c r="B52" s="117">
        <v>9</v>
      </c>
      <c r="C52" s="118" t="s">
        <v>376</v>
      </c>
      <c r="D52" s="119" t="s">
        <v>409</v>
      </c>
      <c r="E52" s="120" t="s">
        <v>122</v>
      </c>
    </row>
    <row r="53" spans="1:5" ht="20.6" customHeight="1" outlineLevel="2">
      <c r="A53" s="121"/>
      <c r="B53" s="121"/>
      <c r="C53" s="122" t="s">
        <v>378</v>
      </c>
      <c r="D53" s="123" t="s">
        <v>388</v>
      </c>
      <c r="E53" s="124" t="s">
        <v>410</v>
      </c>
    </row>
    <row r="54" spans="1:5" ht="20.6" customHeight="1" outlineLevel="2">
      <c r="A54" s="121"/>
      <c r="B54" s="121"/>
      <c r="C54" s="125" t="s">
        <v>381</v>
      </c>
      <c r="D54" s="123" t="s">
        <v>382</v>
      </c>
      <c r="E54" s="124" t="s">
        <v>411</v>
      </c>
    </row>
    <row r="55" spans="1:5" ht="20.6" customHeight="1" outlineLevel="2">
      <c r="A55" s="121"/>
      <c r="B55" s="121"/>
      <c r="C55" s="126" t="s">
        <v>383</v>
      </c>
      <c r="D55" s="123" t="s">
        <v>412</v>
      </c>
      <c r="E55" s="124" t="s">
        <v>413</v>
      </c>
    </row>
    <row r="56" spans="1:5" ht="20.6" customHeight="1" outlineLevel="2">
      <c r="A56" s="121"/>
      <c r="B56" s="121"/>
      <c r="C56" s="126" t="s">
        <v>383</v>
      </c>
      <c r="D56" s="123" t="s">
        <v>384</v>
      </c>
      <c r="E56" s="127"/>
    </row>
    <row r="57" spans="1:5" ht="7" customHeight="1" outlineLevel="1"/>
    <row r="58" spans="1:5" ht="77" customHeight="1" outlineLevel="1">
      <c r="A58" s="116" t="s">
        <v>46</v>
      </c>
      <c r="B58" s="117">
        <v>10</v>
      </c>
      <c r="C58" s="118" t="s">
        <v>376</v>
      </c>
      <c r="D58" s="119" t="s">
        <v>414</v>
      </c>
      <c r="E58" s="120" t="s">
        <v>150</v>
      </c>
    </row>
    <row r="59" spans="1:5" ht="47.8" customHeight="1" outlineLevel="2">
      <c r="A59" s="121"/>
      <c r="B59" s="121"/>
      <c r="C59" s="122" t="s">
        <v>378</v>
      </c>
      <c r="D59" s="123" t="s">
        <v>386</v>
      </c>
      <c r="E59" s="124" t="s">
        <v>415</v>
      </c>
    </row>
    <row r="60" spans="1:5" ht="20.6" customHeight="1" outlineLevel="2">
      <c r="A60" s="121"/>
      <c r="B60" s="121"/>
      <c r="C60" s="122" t="s">
        <v>387</v>
      </c>
      <c r="D60" s="123" t="s">
        <v>416</v>
      </c>
      <c r="E60" s="124" t="s">
        <v>417</v>
      </c>
    </row>
    <row r="61" spans="1:5" ht="20.6" customHeight="1" outlineLevel="2">
      <c r="A61" s="121"/>
      <c r="B61" s="121"/>
      <c r="C61" s="125" t="s">
        <v>381</v>
      </c>
      <c r="D61" s="123" t="s">
        <v>382</v>
      </c>
      <c r="E61" s="124" t="s">
        <v>342</v>
      </c>
    </row>
    <row r="62" spans="1:5" ht="20.6" customHeight="1" outlineLevel="2">
      <c r="A62" s="121"/>
      <c r="B62" s="121"/>
      <c r="C62" s="126" t="s">
        <v>383</v>
      </c>
      <c r="D62" s="123" t="s">
        <v>418</v>
      </c>
      <c r="E62" s="124" t="s">
        <v>419</v>
      </c>
    </row>
    <row r="63" spans="1:5" ht="20.6" customHeight="1" outlineLevel="2">
      <c r="A63" s="121"/>
      <c r="B63" s="121"/>
      <c r="C63" s="126" t="s">
        <v>383</v>
      </c>
      <c r="D63" s="123" t="s">
        <v>384</v>
      </c>
      <c r="E63" s="127"/>
    </row>
    <row r="64" spans="1:5" ht="7" customHeight="1" outlineLevel="1"/>
    <row r="65" spans="1:5" ht="49.8" customHeight="1" outlineLevel="1">
      <c r="A65" s="116" t="s">
        <v>46</v>
      </c>
      <c r="B65" s="117">
        <v>11</v>
      </c>
      <c r="C65" s="118" t="s">
        <v>376</v>
      </c>
      <c r="D65" s="119" t="s">
        <v>420</v>
      </c>
      <c r="E65" s="120" t="s">
        <v>178</v>
      </c>
    </row>
    <row r="66" spans="1:5" ht="20.6" customHeight="1" outlineLevel="2">
      <c r="A66" s="121"/>
      <c r="B66" s="121"/>
      <c r="C66" s="122" t="s">
        <v>378</v>
      </c>
      <c r="D66" s="123" t="s">
        <v>386</v>
      </c>
      <c r="E66" s="124" t="s">
        <v>421</v>
      </c>
    </row>
    <row r="67" spans="1:5" ht="20.6" customHeight="1" outlineLevel="2">
      <c r="A67" s="121"/>
      <c r="B67" s="121"/>
      <c r="C67" s="122" t="s">
        <v>387</v>
      </c>
      <c r="D67" s="123" t="s">
        <v>422</v>
      </c>
      <c r="E67" s="127"/>
    </row>
    <row r="68" spans="1:5" ht="20.6" customHeight="1" outlineLevel="2">
      <c r="A68" s="121"/>
      <c r="B68" s="121"/>
      <c r="C68" s="125" t="s">
        <v>381</v>
      </c>
      <c r="D68" s="123" t="s">
        <v>382</v>
      </c>
      <c r="E68" s="124" t="s">
        <v>423</v>
      </c>
    </row>
    <row r="69" spans="1:5" ht="20.6" customHeight="1" outlineLevel="2">
      <c r="A69" s="121"/>
      <c r="B69" s="121"/>
      <c r="C69" s="126" t="s">
        <v>383</v>
      </c>
      <c r="D69" s="123" t="s">
        <v>412</v>
      </c>
      <c r="E69" s="124" t="s">
        <v>413</v>
      </c>
    </row>
    <row r="70" spans="1:5" ht="20.6" customHeight="1" outlineLevel="2">
      <c r="A70" s="121"/>
      <c r="B70" s="121"/>
      <c r="C70" s="126" t="s">
        <v>383</v>
      </c>
      <c r="D70" s="123" t="s">
        <v>384</v>
      </c>
      <c r="E70" s="127"/>
    </row>
    <row r="71" spans="1:5" ht="7" customHeight="1" outlineLevel="1"/>
    <row r="72" spans="1:5" ht="63.4" customHeight="1" outlineLevel="1">
      <c r="A72" s="116" t="s">
        <v>46</v>
      </c>
      <c r="B72" s="117">
        <v>12</v>
      </c>
      <c r="C72" s="118" t="s">
        <v>376</v>
      </c>
      <c r="D72" s="119" t="s">
        <v>424</v>
      </c>
      <c r="E72" s="120" t="s">
        <v>154</v>
      </c>
    </row>
    <row r="73" spans="1:5" ht="47.8" customHeight="1" outlineLevel="2">
      <c r="A73" s="121"/>
      <c r="B73" s="121"/>
      <c r="C73" s="122" t="s">
        <v>378</v>
      </c>
      <c r="D73" s="123" t="s">
        <v>386</v>
      </c>
      <c r="E73" s="124" t="s">
        <v>415</v>
      </c>
    </row>
    <row r="74" spans="1:5" ht="20.6" customHeight="1" outlineLevel="2">
      <c r="A74" s="121"/>
      <c r="B74" s="121"/>
      <c r="C74" s="125" t="s">
        <v>381</v>
      </c>
      <c r="D74" s="123" t="s">
        <v>382</v>
      </c>
      <c r="E74" s="124" t="s">
        <v>425</v>
      </c>
    </row>
    <row r="75" spans="1:5" ht="20.6" customHeight="1" outlineLevel="2">
      <c r="A75" s="121"/>
      <c r="B75" s="121"/>
      <c r="C75" s="126" t="s">
        <v>383</v>
      </c>
      <c r="D75" s="123" t="s">
        <v>412</v>
      </c>
      <c r="E75" s="124" t="s">
        <v>413</v>
      </c>
    </row>
    <row r="76" spans="1:5" ht="20.6" customHeight="1" outlineLevel="2">
      <c r="A76" s="121"/>
      <c r="B76" s="121"/>
      <c r="C76" s="126" t="s">
        <v>383</v>
      </c>
      <c r="D76" s="123" t="s">
        <v>384</v>
      </c>
      <c r="E76" s="127"/>
    </row>
    <row r="77" spans="1:5" ht="7" customHeight="1" outlineLevel="1"/>
    <row r="78" spans="1:5" ht="63.4" customHeight="1" outlineLevel="1">
      <c r="A78" s="116" t="s">
        <v>46</v>
      </c>
      <c r="B78" s="117">
        <v>13</v>
      </c>
      <c r="C78" s="118" t="s">
        <v>376</v>
      </c>
      <c r="D78" s="119" t="s">
        <v>426</v>
      </c>
      <c r="E78" s="120" t="s">
        <v>158</v>
      </c>
    </row>
    <row r="79" spans="1:5" ht="34.2" customHeight="1" outlineLevel="2">
      <c r="A79" s="121"/>
      <c r="B79" s="121"/>
      <c r="C79" s="122" t="s">
        <v>378</v>
      </c>
      <c r="D79" s="123" t="s">
        <v>386</v>
      </c>
      <c r="E79" s="124" t="s">
        <v>427</v>
      </c>
    </row>
    <row r="80" spans="1:5" ht="20.6" customHeight="1" outlineLevel="2">
      <c r="A80" s="121"/>
      <c r="B80" s="121"/>
      <c r="C80" s="125" t="s">
        <v>381</v>
      </c>
      <c r="D80" s="123" t="s">
        <v>382</v>
      </c>
      <c r="E80" s="124" t="s">
        <v>428</v>
      </c>
    </row>
    <row r="81" spans="1:5" ht="20.6" customHeight="1" outlineLevel="2">
      <c r="A81" s="121"/>
      <c r="B81" s="121"/>
      <c r="C81" s="126" t="s">
        <v>383</v>
      </c>
      <c r="D81" s="123" t="s">
        <v>412</v>
      </c>
      <c r="E81" s="124" t="s">
        <v>413</v>
      </c>
    </row>
    <row r="82" spans="1:5" ht="20.6" customHeight="1" outlineLevel="2">
      <c r="A82" s="121"/>
      <c r="B82" s="121"/>
      <c r="C82" s="126" t="s">
        <v>383</v>
      </c>
      <c r="D82" s="123" t="s">
        <v>384</v>
      </c>
      <c r="E82" s="127"/>
    </row>
    <row r="83" spans="1:5" ht="7" customHeight="1" outlineLevel="1"/>
    <row r="84" spans="1:5" ht="49.8" customHeight="1" outlineLevel="1">
      <c r="A84" s="116" t="s">
        <v>46</v>
      </c>
      <c r="B84" s="117">
        <v>14</v>
      </c>
      <c r="C84" s="118" t="s">
        <v>376</v>
      </c>
      <c r="D84" s="119" t="s">
        <v>429</v>
      </c>
      <c r="E84" s="120" t="s">
        <v>162</v>
      </c>
    </row>
    <row r="85" spans="1:5" ht="20.6" customHeight="1" outlineLevel="2">
      <c r="A85" s="121"/>
      <c r="B85" s="121"/>
      <c r="C85" s="122" t="s">
        <v>378</v>
      </c>
      <c r="D85" s="123" t="s">
        <v>388</v>
      </c>
      <c r="E85" s="124" t="s">
        <v>430</v>
      </c>
    </row>
    <row r="86" spans="1:5" ht="20.6" customHeight="1" outlineLevel="2">
      <c r="A86" s="121"/>
      <c r="B86" s="121"/>
      <c r="C86" s="125" t="s">
        <v>381</v>
      </c>
      <c r="D86" s="123" t="s">
        <v>382</v>
      </c>
      <c r="E86" s="124" t="s">
        <v>431</v>
      </c>
    </row>
    <row r="87" spans="1:5" ht="20.6" customHeight="1" outlineLevel="2">
      <c r="A87" s="121"/>
      <c r="B87" s="121"/>
      <c r="C87" s="126" t="s">
        <v>383</v>
      </c>
      <c r="D87" s="123" t="s">
        <v>412</v>
      </c>
      <c r="E87" s="124" t="s">
        <v>413</v>
      </c>
    </row>
    <row r="88" spans="1:5" ht="20.6" customHeight="1" outlineLevel="2">
      <c r="A88" s="121"/>
      <c r="B88" s="121"/>
      <c r="C88" s="126" t="s">
        <v>383</v>
      </c>
      <c r="D88" s="123" t="s">
        <v>384</v>
      </c>
      <c r="E88" s="127"/>
    </row>
    <row r="89" spans="1:5" ht="7" customHeight="1" outlineLevel="1"/>
    <row r="90" spans="1:5" ht="117.8" customHeight="1" outlineLevel="1">
      <c r="A90" s="116" t="s">
        <v>46</v>
      </c>
      <c r="B90" s="117">
        <v>15</v>
      </c>
      <c r="C90" s="118" t="s">
        <v>376</v>
      </c>
      <c r="D90" s="119" t="s">
        <v>432</v>
      </c>
      <c r="E90" s="120" t="s">
        <v>165</v>
      </c>
    </row>
    <row r="91" spans="1:5" ht="143" customHeight="1" outlineLevel="2">
      <c r="A91" s="121"/>
      <c r="B91" s="121"/>
      <c r="C91" s="122" t="s">
        <v>378</v>
      </c>
      <c r="D91" s="123" t="s">
        <v>386</v>
      </c>
      <c r="E91" s="124" t="s">
        <v>433</v>
      </c>
    </row>
    <row r="92" spans="1:5" ht="20.6" customHeight="1" outlineLevel="2">
      <c r="A92" s="121"/>
      <c r="B92" s="121"/>
      <c r="C92" s="122" t="s">
        <v>387</v>
      </c>
      <c r="D92" s="123" t="s">
        <v>388</v>
      </c>
      <c r="E92" s="124" t="s">
        <v>434</v>
      </c>
    </row>
    <row r="93" spans="1:5" ht="20.6" customHeight="1" outlineLevel="2">
      <c r="A93" s="121"/>
      <c r="B93" s="121"/>
      <c r="C93" s="128" t="s">
        <v>221</v>
      </c>
      <c r="D93" s="123" t="s">
        <v>386</v>
      </c>
      <c r="E93" s="124" t="s">
        <v>435</v>
      </c>
    </row>
    <row r="94" spans="1:5" ht="20.6" customHeight="1" outlineLevel="2">
      <c r="A94" s="121"/>
      <c r="B94" s="121"/>
      <c r="C94" s="125" t="s">
        <v>381</v>
      </c>
      <c r="D94" s="123" t="s">
        <v>382</v>
      </c>
      <c r="E94" s="124" t="s">
        <v>431</v>
      </c>
    </row>
    <row r="95" spans="1:5" ht="20.6" customHeight="1" outlineLevel="2">
      <c r="A95" s="121"/>
      <c r="B95" s="121"/>
      <c r="C95" s="126" t="s">
        <v>383</v>
      </c>
      <c r="D95" s="123" t="s">
        <v>412</v>
      </c>
      <c r="E95" s="124" t="s">
        <v>413</v>
      </c>
    </row>
    <row r="96" spans="1:5" ht="20.6" customHeight="1" outlineLevel="2">
      <c r="A96" s="121"/>
      <c r="B96" s="121"/>
      <c r="C96" s="126" t="s">
        <v>383</v>
      </c>
      <c r="D96" s="123" t="s">
        <v>384</v>
      </c>
      <c r="E96" s="127"/>
    </row>
    <row r="97" spans="1:5" ht="7" customHeight="1" outlineLevel="1"/>
    <row r="98" spans="1:5" ht="36.2" customHeight="1" outlineLevel="1">
      <c r="A98" s="116" t="s">
        <v>46</v>
      </c>
      <c r="B98" s="117">
        <v>16</v>
      </c>
      <c r="C98" s="118" t="s">
        <v>376</v>
      </c>
      <c r="D98" s="119" t="s">
        <v>436</v>
      </c>
      <c r="E98" s="120" t="s">
        <v>126</v>
      </c>
    </row>
    <row r="99" spans="1:5" ht="20.6" customHeight="1" outlineLevel="2">
      <c r="A99" s="121"/>
      <c r="B99" s="121"/>
      <c r="C99" s="122" t="s">
        <v>378</v>
      </c>
      <c r="D99" s="123" t="s">
        <v>388</v>
      </c>
      <c r="E99" s="124" t="s">
        <v>437</v>
      </c>
    </row>
    <row r="100" spans="1:5" ht="20.6" customHeight="1" outlineLevel="2">
      <c r="A100" s="121"/>
      <c r="B100" s="121"/>
      <c r="C100" s="125" t="s">
        <v>381</v>
      </c>
      <c r="D100" s="123" t="s">
        <v>382</v>
      </c>
      <c r="E100" s="124" t="s">
        <v>347</v>
      </c>
    </row>
    <row r="101" spans="1:5" ht="20.6" customHeight="1" outlineLevel="2">
      <c r="A101" s="121"/>
      <c r="B101" s="121"/>
      <c r="C101" s="126" t="s">
        <v>383</v>
      </c>
      <c r="D101" s="123" t="s">
        <v>418</v>
      </c>
      <c r="E101" s="124" t="s">
        <v>408</v>
      </c>
    </row>
    <row r="102" spans="1:5" ht="20.6" customHeight="1" outlineLevel="2">
      <c r="A102" s="121"/>
      <c r="B102" s="121"/>
      <c r="C102" s="126" t="s">
        <v>383</v>
      </c>
      <c r="D102" s="123" t="s">
        <v>384</v>
      </c>
      <c r="E102" s="127"/>
    </row>
    <row r="103" spans="1:5" ht="7" customHeight="1" outlineLevel="1"/>
    <row r="104" spans="1:5" ht="49.8" customHeight="1" outlineLevel="1">
      <c r="A104" s="116" t="s">
        <v>46</v>
      </c>
      <c r="B104" s="117">
        <v>17</v>
      </c>
      <c r="C104" s="118" t="s">
        <v>376</v>
      </c>
      <c r="D104" s="119" t="s">
        <v>438</v>
      </c>
      <c r="E104" s="120" t="s">
        <v>130</v>
      </c>
    </row>
    <row r="105" spans="1:5" ht="34.2" customHeight="1" outlineLevel="2">
      <c r="A105" s="121"/>
      <c r="B105" s="121"/>
      <c r="C105" s="122" t="s">
        <v>378</v>
      </c>
      <c r="D105" s="129" t="s">
        <v>439</v>
      </c>
      <c r="E105" s="124" t="s">
        <v>440</v>
      </c>
    </row>
    <row r="106" spans="1:5" ht="20.6" customHeight="1" outlineLevel="2">
      <c r="A106" s="121"/>
      <c r="B106" s="121"/>
      <c r="C106" s="125" t="s">
        <v>381</v>
      </c>
      <c r="D106" s="123" t="s">
        <v>382</v>
      </c>
      <c r="E106" s="124" t="s">
        <v>347</v>
      </c>
    </row>
    <row r="107" spans="1:5" ht="20.6" customHeight="1" outlineLevel="2">
      <c r="A107" s="121"/>
      <c r="B107" s="121"/>
      <c r="C107" s="126" t="s">
        <v>383</v>
      </c>
      <c r="D107" s="123" t="s">
        <v>407</v>
      </c>
      <c r="E107" s="124" t="s">
        <v>408</v>
      </c>
    </row>
    <row r="108" spans="1:5" ht="20.6" customHeight="1" outlineLevel="2">
      <c r="A108" s="121"/>
      <c r="B108" s="121"/>
      <c r="C108" s="126" t="s">
        <v>383</v>
      </c>
      <c r="D108" s="123" t="s">
        <v>384</v>
      </c>
      <c r="E108" s="127"/>
    </row>
    <row r="109" spans="1:5" ht="7" customHeight="1" outlineLevel="1"/>
    <row r="110" spans="1:5" ht="63.4" customHeight="1" outlineLevel="1">
      <c r="A110" s="130" t="s">
        <v>46</v>
      </c>
      <c r="B110" s="131">
        <v>18</v>
      </c>
      <c r="C110" s="132" t="s">
        <v>376</v>
      </c>
      <c r="D110" s="133" t="s">
        <v>441</v>
      </c>
      <c r="E110" s="134" t="s">
        <v>134</v>
      </c>
    </row>
    <row r="111" spans="1:5" ht="34.2" customHeight="1" outlineLevel="2">
      <c r="A111" s="121"/>
      <c r="B111" s="121"/>
      <c r="C111" s="135" t="s">
        <v>378</v>
      </c>
      <c r="D111" s="129" t="s">
        <v>439</v>
      </c>
      <c r="E111" s="136" t="s">
        <v>440</v>
      </c>
    </row>
    <row r="112" spans="1:5" ht="20.6" customHeight="1" outlineLevel="2">
      <c r="A112" s="121"/>
      <c r="B112" s="121"/>
      <c r="C112" s="135" t="s">
        <v>221</v>
      </c>
      <c r="D112" s="137" t="s">
        <v>386</v>
      </c>
      <c r="E112" s="136" t="s">
        <v>442</v>
      </c>
    </row>
    <row r="113" spans="1:5" ht="20.6" customHeight="1" outlineLevel="2">
      <c r="A113" s="121"/>
      <c r="B113" s="121"/>
      <c r="C113" s="135" t="s">
        <v>443</v>
      </c>
      <c r="D113" s="137" t="s">
        <v>388</v>
      </c>
      <c r="E113" s="136" t="s">
        <v>444</v>
      </c>
    </row>
    <row r="114" spans="1:5" ht="20.6" customHeight="1" outlineLevel="2">
      <c r="A114" s="121"/>
      <c r="B114" s="121"/>
      <c r="C114" s="135" t="s">
        <v>381</v>
      </c>
      <c r="D114" s="137" t="s">
        <v>382</v>
      </c>
      <c r="E114" s="136" t="s">
        <v>350</v>
      </c>
    </row>
    <row r="115" spans="1:5" ht="20.6" customHeight="1" outlineLevel="2">
      <c r="A115" s="121"/>
      <c r="B115" s="121"/>
      <c r="C115" s="135" t="s">
        <v>383</v>
      </c>
      <c r="D115" s="137" t="s">
        <v>407</v>
      </c>
      <c r="E115" s="136" t="s">
        <v>445</v>
      </c>
    </row>
    <row r="116" spans="1:5" ht="20.6" customHeight="1" outlineLevel="2">
      <c r="A116" s="121"/>
      <c r="B116" s="121"/>
      <c r="C116" s="135" t="s">
        <v>383</v>
      </c>
      <c r="D116" s="137" t="s">
        <v>384</v>
      </c>
      <c r="E116" s="127"/>
    </row>
    <row r="117" spans="1:5" ht="7" customHeight="1" outlineLevel="1"/>
    <row r="118" spans="1:5" ht="7" customHeight="1" outlineLevel="1"/>
    <row r="119" spans="1:5" ht="28" customHeight="1">
      <c r="A119" s="115" t="s">
        <v>446</v>
      </c>
      <c r="B119" s="115"/>
      <c r="C119" s="115"/>
      <c r="D119" s="115"/>
      <c r="E119" s="115"/>
    </row>
    <row r="120" spans="1:5" ht="36.2" customHeight="1" outlineLevel="1">
      <c r="A120" s="116" t="s">
        <v>47</v>
      </c>
      <c r="B120" s="117">
        <v>1</v>
      </c>
      <c r="C120" s="118" t="s">
        <v>376</v>
      </c>
      <c r="D120" s="119" t="s">
        <v>447</v>
      </c>
      <c r="E120" s="120" t="s">
        <v>139</v>
      </c>
    </row>
    <row r="121" spans="1:5" ht="20.6" customHeight="1" outlineLevel="2">
      <c r="A121" s="121"/>
      <c r="B121" s="121"/>
      <c r="C121" s="122" t="s">
        <v>378</v>
      </c>
      <c r="D121" s="123" t="s">
        <v>379</v>
      </c>
      <c r="E121" s="124" t="s">
        <v>380</v>
      </c>
    </row>
    <row r="122" spans="1:5" ht="20.6" customHeight="1" outlineLevel="2">
      <c r="A122" s="121"/>
      <c r="B122" s="121"/>
      <c r="C122" s="125" t="s">
        <v>381</v>
      </c>
      <c r="D122" s="123" t="s">
        <v>382</v>
      </c>
      <c r="E122" s="124" t="s">
        <v>333</v>
      </c>
    </row>
    <row r="123" spans="1:5" ht="20.6" customHeight="1" outlineLevel="2">
      <c r="A123" s="121"/>
      <c r="B123" s="121"/>
      <c r="C123" s="126" t="s">
        <v>383</v>
      </c>
      <c r="D123" s="123" t="s">
        <v>384</v>
      </c>
      <c r="E123" s="127"/>
    </row>
    <row r="124" spans="1:5" ht="7" customHeight="1" outlineLevel="1"/>
    <row r="125" spans="1:5" ht="36.2" customHeight="1" outlineLevel="1">
      <c r="A125" s="116" t="s">
        <v>47</v>
      </c>
      <c r="B125" s="117">
        <v>2</v>
      </c>
      <c r="C125" s="118" t="s">
        <v>376</v>
      </c>
      <c r="D125" s="119" t="s">
        <v>448</v>
      </c>
      <c r="E125" s="120" t="s">
        <v>182</v>
      </c>
    </row>
    <row r="126" spans="1:5" ht="20.6" customHeight="1" outlineLevel="2">
      <c r="A126" s="121"/>
      <c r="B126" s="121"/>
      <c r="C126" s="122" t="s">
        <v>378</v>
      </c>
      <c r="D126" s="123" t="s">
        <v>386</v>
      </c>
      <c r="E126" s="124" t="s">
        <v>449</v>
      </c>
    </row>
    <row r="127" spans="1:5" ht="20.6" customHeight="1" outlineLevel="2">
      <c r="A127" s="121"/>
      <c r="B127" s="121"/>
      <c r="C127" s="122" t="s">
        <v>387</v>
      </c>
      <c r="D127" s="123" t="s">
        <v>396</v>
      </c>
      <c r="E127" s="124" t="s">
        <v>450</v>
      </c>
    </row>
    <row r="128" spans="1:5" ht="20.6" customHeight="1" outlineLevel="2">
      <c r="A128" s="121"/>
      <c r="B128" s="121"/>
      <c r="C128" s="125" t="s">
        <v>381</v>
      </c>
      <c r="D128" s="123" t="s">
        <v>382</v>
      </c>
      <c r="E128" s="124" t="s">
        <v>333</v>
      </c>
    </row>
    <row r="129" spans="1:5" ht="20.6" customHeight="1" outlineLevel="2">
      <c r="A129" s="121"/>
      <c r="B129" s="121"/>
      <c r="C129" s="126" t="s">
        <v>383</v>
      </c>
      <c r="D129" s="123" t="s">
        <v>384</v>
      </c>
      <c r="E129" s="127"/>
    </row>
    <row r="130" spans="1:5" ht="7" customHeight="1" outlineLevel="1"/>
    <row r="131" spans="1:5" ht="49.8" customHeight="1" outlineLevel="1">
      <c r="A131" s="130" t="s">
        <v>47</v>
      </c>
      <c r="B131" s="131">
        <v>3</v>
      </c>
      <c r="C131" s="132" t="s">
        <v>376</v>
      </c>
      <c r="D131" s="133" t="s">
        <v>451</v>
      </c>
      <c r="E131" s="134" t="s">
        <v>115</v>
      </c>
    </row>
    <row r="132" spans="1:5" ht="34.2" customHeight="1" outlineLevel="2">
      <c r="A132" s="121"/>
      <c r="B132" s="121"/>
      <c r="C132" s="135" t="s">
        <v>378</v>
      </c>
      <c r="D132" s="137" t="s">
        <v>396</v>
      </c>
      <c r="E132" s="136" t="s">
        <v>397</v>
      </c>
    </row>
    <row r="133" spans="1:5" ht="20.6" customHeight="1" outlineLevel="2">
      <c r="A133" s="121"/>
      <c r="B133" s="121"/>
      <c r="C133" s="135" t="s">
        <v>381</v>
      </c>
      <c r="D133" s="137" t="s">
        <v>382</v>
      </c>
      <c r="E133" s="127"/>
    </row>
    <row r="134" spans="1:5" ht="20.6" customHeight="1" outlineLevel="2">
      <c r="A134" s="121"/>
      <c r="B134" s="121"/>
      <c r="C134" s="135" t="s">
        <v>383</v>
      </c>
      <c r="D134" s="137" t="s">
        <v>384</v>
      </c>
      <c r="E134" s="127"/>
    </row>
    <row r="135" spans="1:5" ht="7" customHeight="1" outlineLevel="1"/>
    <row r="136" spans="1:5" ht="49.8" customHeight="1" outlineLevel="1">
      <c r="A136" s="130" t="s">
        <v>47</v>
      </c>
      <c r="B136" s="131">
        <v>4</v>
      </c>
      <c r="C136" s="132" t="s">
        <v>376</v>
      </c>
      <c r="D136" s="133" t="s">
        <v>452</v>
      </c>
      <c r="E136" s="134" t="s">
        <v>185</v>
      </c>
    </row>
    <row r="137" spans="1:5" ht="20.6" customHeight="1" outlineLevel="2">
      <c r="A137" s="121"/>
      <c r="B137" s="121"/>
      <c r="C137" s="135" t="s">
        <v>378</v>
      </c>
      <c r="D137" s="137" t="s">
        <v>453</v>
      </c>
      <c r="E137" s="136" t="s">
        <v>454</v>
      </c>
    </row>
    <row r="138" spans="1:5" ht="20.6" customHeight="1" outlineLevel="2">
      <c r="A138" s="121"/>
      <c r="B138" s="121"/>
      <c r="C138" s="135" t="s">
        <v>381</v>
      </c>
      <c r="D138" s="137" t="s">
        <v>382</v>
      </c>
      <c r="E138" s="136" t="s">
        <v>351</v>
      </c>
    </row>
    <row r="139" spans="1:5" ht="20.6" customHeight="1" outlineLevel="2">
      <c r="A139" s="121"/>
      <c r="B139" s="121"/>
      <c r="C139" s="135" t="s">
        <v>383</v>
      </c>
      <c r="D139" s="137" t="s">
        <v>407</v>
      </c>
      <c r="E139" s="136" t="s">
        <v>445</v>
      </c>
    </row>
    <row r="140" spans="1:5" ht="20.6" customHeight="1" outlineLevel="2">
      <c r="A140" s="121"/>
      <c r="B140" s="121"/>
      <c r="C140" s="135" t="s">
        <v>383</v>
      </c>
      <c r="D140" s="137" t="s">
        <v>384</v>
      </c>
      <c r="E140" s="127"/>
    </row>
    <row r="141" spans="1:5" ht="7" customHeight="1" outlineLevel="1"/>
    <row r="142" spans="1:5" ht="36.2" customHeight="1" outlineLevel="1">
      <c r="A142" s="116" t="s">
        <v>47</v>
      </c>
      <c r="B142" s="117">
        <v>5</v>
      </c>
      <c r="C142" s="118" t="s">
        <v>376</v>
      </c>
      <c r="D142" s="119" t="s">
        <v>455</v>
      </c>
      <c r="E142" s="120" t="s">
        <v>119</v>
      </c>
    </row>
    <row r="143" spans="1:5" ht="20.6" customHeight="1" outlineLevel="2">
      <c r="A143" s="121"/>
      <c r="B143" s="121"/>
      <c r="C143" s="122" t="s">
        <v>378</v>
      </c>
      <c r="D143" s="123" t="s">
        <v>386</v>
      </c>
      <c r="E143" s="124" t="s">
        <v>456</v>
      </c>
    </row>
    <row r="144" spans="1:5" ht="20.6" customHeight="1" outlineLevel="2">
      <c r="A144" s="121"/>
      <c r="B144" s="121"/>
      <c r="C144" s="122" t="s">
        <v>387</v>
      </c>
      <c r="D144" s="123" t="s">
        <v>388</v>
      </c>
      <c r="E144" s="124" t="s">
        <v>457</v>
      </c>
    </row>
    <row r="145" spans="1:5" ht="20.6" customHeight="1" outlineLevel="2">
      <c r="A145" s="121"/>
      <c r="B145" s="121"/>
      <c r="C145" s="125" t="s">
        <v>381</v>
      </c>
      <c r="D145" s="123" t="s">
        <v>382</v>
      </c>
      <c r="E145" s="124" t="s">
        <v>352</v>
      </c>
    </row>
    <row r="146" spans="1:5" ht="20.6" customHeight="1" outlineLevel="2">
      <c r="A146" s="121"/>
      <c r="B146" s="121"/>
      <c r="C146" s="126" t="s">
        <v>383</v>
      </c>
      <c r="D146" s="123" t="s">
        <v>384</v>
      </c>
      <c r="E146" s="127"/>
    </row>
    <row r="147" spans="1:5" ht="7" customHeight="1" outlineLevel="1"/>
    <row r="148" spans="1:5" ht="36.2" customHeight="1" outlineLevel="1">
      <c r="A148" s="116" t="s">
        <v>47</v>
      </c>
      <c r="B148" s="117">
        <v>6</v>
      </c>
      <c r="C148" s="118" t="s">
        <v>376</v>
      </c>
      <c r="D148" s="119" t="s">
        <v>458</v>
      </c>
      <c r="E148" s="120" t="s">
        <v>143</v>
      </c>
    </row>
    <row r="149" spans="1:5" ht="20.6" customHeight="1" outlineLevel="2">
      <c r="A149" s="121"/>
      <c r="B149" s="121"/>
      <c r="C149" s="122" t="s">
        <v>378</v>
      </c>
      <c r="D149" s="123" t="s">
        <v>388</v>
      </c>
      <c r="E149" s="124" t="s">
        <v>401</v>
      </c>
    </row>
    <row r="150" spans="1:5" ht="20.6" customHeight="1" outlineLevel="2">
      <c r="A150" s="121"/>
      <c r="B150" s="121"/>
      <c r="C150" s="125" t="s">
        <v>381</v>
      </c>
      <c r="D150" s="123" t="s">
        <v>382</v>
      </c>
      <c r="E150" s="124" t="s">
        <v>353</v>
      </c>
    </row>
    <row r="151" spans="1:5" ht="20.6" customHeight="1" outlineLevel="2">
      <c r="A151" s="121"/>
      <c r="B151" s="121"/>
      <c r="C151" s="126" t="s">
        <v>383</v>
      </c>
      <c r="D151" s="123" t="s">
        <v>384</v>
      </c>
      <c r="E151" s="127"/>
    </row>
    <row r="152" spans="1:5" ht="7" customHeight="1" outlineLevel="1"/>
    <row r="153" spans="1:5" ht="90.6" customHeight="1" outlineLevel="1">
      <c r="A153" s="116" t="s">
        <v>47</v>
      </c>
      <c r="B153" s="117">
        <v>7</v>
      </c>
      <c r="C153" s="118" t="s">
        <v>376</v>
      </c>
      <c r="D153" s="119" t="s">
        <v>459</v>
      </c>
      <c r="E153" s="120" t="s">
        <v>147</v>
      </c>
    </row>
    <row r="154" spans="1:5" ht="20.6" customHeight="1" outlineLevel="2">
      <c r="A154" s="121"/>
      <c r="B154" s="121"/>
      <c r="C154" s="122" t="s">
        <v>378</v>
      </c>
      <c r="D154" s="123" t="s">
        <v>403</v>
      </c>
      <c r="E154" s="124" t="s">
        <v>404</v>
      </c>
    </row>
    <row r="155" spans="1:5" ht="20.6" customHeight="1" outlineLevel="2">
      <c r="A155" s="121"/>
      <c r="B155" s="121"/>
      <c r="C155" s="122" t="s">
        <v>387</v>
      </c>
      <c r="D155" s="123" t="s">
        <v>388</v>
      </c>
      <c r="E155" s="124" t="s">
        <v>405</v>
      </c>
    </row>
    <row r="156" spans="1:5" ht="34.2" customHeight="1" outlineLevel="2">
      <c r="A156" s="121"/>
      <c r="B156" s="121"/>
      <c r="C156" s="128" t="s">
        <v>221</v>
      </c>
      <c r="D156" s="123" t="s">
        <v>403</v>
      </c>
      <c r="E156" s="124" t="s">
        <v>406</v>
      </c>
    </row>
    <row r="157" spans="1:5" ht="20.6" customHeight="1" outlineLevel="2">
      <c r="A157" s="121"/>
      <c r="B157" s="121"/>
      <c r="C157" s="125" t="s">
        <v>381</v>
      </c>
      <c r="D157" s="123" t="s">
        <v>382</v>
      </c>
      <c r="E157" s="124" t="s">
        <v>354</v>
      </c>
    </row>
    <row r="158" spans="1:5" ht="20.6" customHeight="1" outlineLevel="2">
      <c r="A158" s="121"/>
      <c r="B158" s="121"/>
      <c r="C158" s="126" t="s">
        <v>383</v>
      </c>
      <c r="D158" s="123" t="s">
        <v>407</v>
      </c>
      <c r="E158" s="124" t="s">
        <v>408</v>
      </c>
    </row>
    <row r="159" spans="1:5" ht="20.6" customHeight="1" outlineLevel="2">
      <c r="A159" s="121"/>
      <c r="B159" s="121"/>
      <c r="C159" s="126" t="s">
        <v>383</v>
      </c>
      <c r="D159" s="123" t="s">
        <v>384</v>
      </c>
      <c r="E159" s="127"/>
    </row>
    <row r="160" spans="1:5" ht="7" customHeight="1" outlineLevel="1"/>
    <row r="161" spans="1:5" ht="49.8" customHeight="1" outlineLevel="1">
      <c r="A161" s="116" t="s">
        <v>47</v>
      </c>
      <c r="B161" s="117">
        <v>8</v>
      </c>
      <c r="C161" s="118" t="s">
        <v>376</v>
      </c>
      <c r="D161" s="119" t="s">
        <v>460</v>
      </c>
      <c r="E161" s="120" t="s">
        <v>187</v>
      </c>
    </row>
    <row r="162" spans="1:5" ht="20.6" customHeight="1" outlineLevel="2">
      <c r="A162" s="121"/>
      <c r="B162" s="121"/>
      <c r="C162" s="122" t="s">
        <v>378</v>
      </c>
      <c r="D162" s="123" t="s">
        <v>386</v>
      </c>
      <c r="E162" s="124" t="s">
        <v>461</v>
      </c>
    </row>
    <row r="163" spans="1:5" ht="20.6" customHeight="1" outlineLevel="2">
      <c r="A163" s="121"/>
      <c r="B163" s="121"/>
      <c r="C163" s="125" t="s">
        <v>381</v>
      </c>
      <c r="D163" s="123" t="s">
        <v>382</v>
      </c>
      <c r="E163" s="124" t="s">
        <v>462</v>
      </c>
    </row>
    <row r="164" spans="1:5" ht="20.6" customHeight="1" outlineLevel="2">
      <c r="A164" s="121"/>
      <c r="B164" s="121"/>
      <c r="C164" s="126" t="s">
        <v>383</v>
      </c>
      <c r="D164" s="123" t="s">
        <v>412</v>
      </c>
      <c r="E164" s="124" t="s">
        <v>463</v>
      </c>
    </row>
    <row r="165" spans="1:5" ht="20.6" customHeight="1" outlineLevel="2">
      <c r="A165" s="121"/>
      <c r="B165" s="121"/>
      <c r="C165" s="126" t="s">
        <v>383</v>
      </c>
      <c r="D165" s="123" t="s">
        <v>384</v>
      </c>
      <c r="E165" s="127"/>
    </row>
    <row r="166" spans="1:5" ht="7" customHeight="1" outlineLevel="1"/>
    <row r="167" spans="1:5" ht="49.8" customHeight="1" outlineLevel="1">
      <c r="A167" s="116" t="s">
        <v>47</v>
      </c>
      <c r="B167" s="117">
        <v>9</v>
      </c>
      <c r="C167" s="118" t="s">
        <v>376</v>
      </c>
      <c r="D167" s="119" t="s">
        <v>409</v>
      </c>
      <c r="E167" s="120" t="s">
        <v>123</v>
      </c>
    </row>
    <row r="168" spans="1:5" ht="20.6" customHeight="1" outlineLevel="2">
      <c r="A168" s="121"/>
      <c r="B168" s="121"/>
      <c r="C168" s="122" t="s">
        <v>378</v>
      </c>
      <c r="D168" s="123" t="s">
        <v>388</v>
      </c>
      <c r="E168" s="124" t="s">
        <v>464</v>
      </c>
    </row>
    <row r="169" spans="1:5" ht="20.6" customHeight="1" outlineLevel="2">
      <c r="A169" s="121"/>
      <c r="B169" s="121"/>
      <c r="C169" s="125" t="s">
        <v>381</v>
      </c>
      <c r="D169" s="123" t="s">
        <v>382</v>
      </c>
      <c r="E169" s="124" t="s">
        <v>462</v>
      </c>
    </row>
    <row r="170" spans="1:5" ht="20.6" customHeight="1" outlineLevel="2">
      <c r="A170" s="121"/>
      <c r="B170" s="121"/>
      <c r="C170" s="126" t="s">
        <v>383</v>
      </c>
      <c r="D170" s="123" t="s">
        <v>412</v>
      </c>
      <c r="E170" s="124" t="s">
        <v>463</v>
      </c>
    </row>
    <row r="171" spans="1:5" ht="20.6" customHeight="1" outlineLevel="2">
      <c r="A171" s="121"/>
      <c r="B171" s="121"/>
      <c r="C171" s="126" t="s">
        <v>383</v>
      </c>
      <c r="D171" s="123" t="s">
        <v>384</v>
      </c>
      <c r="E171" s="127"/>
    </row>
    <row r="172" spans="1:5" ht="7" customHeight="1" outlineLevel="1"/>
    <row r="173" spans="1:5" ht="77" customHeight="1" outlineLevel="1">
      <c r="A173" s="116" t="s">
        <v>47</v>
      </c>
      <c r="B173" s="117">
        <v>10</v>
      </c>
      <c r="C173" s="118" t="s">
        <v>376</v>
      </c>
      <c r="D173" s="119" t="s">
        <v>414</v>
      </c>
      <c r="E173" s="120" t="s">
        <v>151</v>
      </c>
    </row>
    <row r="174" spans="1:5" ht="47.8" customHeight="1" outlineLevel="2">
      <c r="A174" s="121"/>
      <c r="B174" s="121"/>
      <c r="C174" s="122" t="s">
        <v>378</v>
      </c>
      <c r="D174" s="123" t="s">
        <v>386</v>
      </c>
      <c r="E174" s="124" t="s">
        <v>415</v>
      </c>
    </row>
    <row r="175" spans="1:5" ht="20.6" customHeight="1" outlineLevel="2">
      <c r="A175" s="121"/>
      <c r="B175" s="121"/>
      <c r="C175" s="122" t="s">
        <v>387</v>
      </c>
      <c r="D175" s="123" t="s">
        <v>416</v>
      </c>
      <c r="E175" s="124" t="s">
        <v>417</v>
      </c>
    </row>
    <row r="176" spans="1:5" ht="20.6" customHeight="1" outlineLevel="2">
      <c r="A176" s="121"/>
      <c r="B176" s="121"/>
      <c r="C176" s="125" t="s">
        <v>381</v>
      </c>
      <c r="D176" s="123" t="s">
        <v>382</v>
      </c>
      <c r="E176" s="124" t="s">
        <v>356</v>
      </c>
    </row>
    <row r="177" spans="1:5" ht="20.6" customHeight="1" outlineLevel="2">
      <c r="A177" s="121"/>
      <c r="B177" s="121"/>
      <c r="C177" s="126" t="s">
        <v>383</v>
      </c>
      <c r="D177" s="123" t="s">
        <v>418</v>
      </c>
      <c r="E177" s="124" t="s">
        <v>419</v>
      </c>
    </row>
    <row r="178" spans="1:5" ht="20.6" customHeight="1" outlineLevel="2">
      <c r="A178" s="121"/>
      <c r="B178" s="121"/>
      <c r="C178" s="126" t="s">
        <v>383</v>
      </c>
      <c r="D178" s="123" t="s">
        <v>384</v>
      </c>
      <c r="E178" s="127"/>
    </row>
    <row r="179" spans="1:5" ht="7" customHeight="1" outlineLevel="1"/>
    <row r="180" spans="1:5" ht="36.2" customHeight="1" outlineLevel="1">
      <c r="A180" s="116" t="s">
        <v>47</v>
      </c>
      <c r="B180" s="117">
        <v>11</v>
      </c>
      <c r="C180" s="118" t="s">
        <v>376</v>
      </c>
      <c r="D180" s="119" t="s">
        <v>465</v>
      </c>
      <c r="E180" s="120" t="s">
        <v>189</v>
      </c>
    </row>
    <row r="181" spans="1:5" ht="20.6" customHeight="1" outlineLevel="2">
      <c r="A181" s="121"/>
      <c r="B181" s="121"/>
      <c r="C181" s="122" t="s">
        <v>378</v>
      </c>
      <c r="D181" s="123" t="s">
        <v>453</v>
      </c>
      <c r="E181" s="124" t="s">
        <v>466</v>
      </c>
    </row>
    <row r="182" spans="1:5" ht="20.6" customHeight="1" outlineLevel="2">
      <c r="A182" s="121"/>
      <c r="B182" s="121"/>
      <c r="C182" s="122" t="s">
        <v>387</v>
      </c>
      <c r="D182" s="123" t="s">
        <v>388</v>
      </c>
      <c r="E182" s="124" t="s">
        <v>467</v>
      </c>
    </row>
    <row r="183" spans="1:5" ht="20.6" customHeight="1" outlineLevel="2">
      <c r="A183" s="121"/>
      <c r="B183" s="121"/>
      <c r="C183" s="125" t="s">
        <v>381</v>
      </c>
      <c r="D183" s="123" t="s">
        <v>382</v>
      </c>
      <c r="E183" s="124" t="s">
        <v>357</v>
      </c>
    </row>
    <row r="184" spans="1:5" ht="20.6" customHeight="1" outlineLevel="2">
      <c r="A184" s="121"/>
      <c r="B184" s="121"/>
      <c r="C184" s="126" t="s">
        <v>383</v>
      </c>
      <c r="D184" s="123" t="s">
        <v>384</v>
      </c>
      <c r="E184" s="127"/>
    </row>
    <row r="185" spans="1:5" ht="7" customHeight="1" outlineLevel="1"/>
    <row r="186" spans="1:5" ht="36.2" customHeight="1" outlineLevel="1">
      <c r="A186" s="116" t="s">
        <v>47</v>
      </c>
      <c r="B186" s="117">
        <v>12</v>
      </c>
      <c r="C186" s="118" t="s">
        <v>376</v>
      </c>
      <c r="D186" s="119" t="s">
        <v>468</v>
      </c>
      <c r="E186" s="120" t="s">
        <v>191</v>
      </c>
    </row>
    <row r="187" spans="1:5" ht="20.6" customHeight="1" outlineLevel="2">
      <c r="A187" s="121"/>
      <c r="B187" s="121"/>
      <c r="C187" s="122" t="s">
        <v>378</v>
      </c>
      <c r="D187" s="123" t="s">
        <v>453</v>
      </c>
      <c r="E187" s="124" t="s">
        <v>469</v>
      </c>
    </row>
    <row r="188" spans="1:5" ht="20.6" customHeight="1" outlineLevel="2">
      <c r="A188" s="121"/>
      <c r="B188" s="121"/>
      <c r="C188" s="122" t="s">
        <v>387</v>
      </c>
      <c r="D188" s="123" t="s">
        <v>388</v>
      </c>
      <c r="E188" s="124" t="s">
        <v>467</v>
      </c>
    </row>
    <row r="189" spans="1:5" ht="20.6" customHeight="1" outlineLevel="2">
      <c r="A189" s="121"/>
      <c r="B189" s="121"/>
      <c r="C189" s="125" t="s">
        <v>381</v>
      </c>
      <c r="D189" s="123" t="s">
        <v>382</v>
      </c>
      <c r="E189" s="124" t="s">
        <v>358</v>
      </c>
    </row>
    <row r="190" spans="1:5" ht="20.6" customHeight="1" outlineLevel="2">
      <c r="A190" s="121"/>
      <c r="B190" s="121"/>
      <c r="C190" s="126" t="s">
        <v>383</v>
      </c>
      <c r="D190" s="123" t="s">
        <v>384</v>
      </c>
      <c r="E190" s="127"/>
    </row>
    <row r="191" spans="1:5" ht="7" customHeight="1" outlineLevel="1"/>
    <row r="192" spans="1:5" ht="36.2" customHeight="1" outlineLevel="1">
      <c r="A192" s="116" t="s">
        <v>47</v>
      </c>
      <c r="B192" s="117">
        <v>13</v>
      </c>
      <c r="C192" s="118" t="s">
        <v>376</v>
      </c>
      <c r="D192" s="119" t="s">
        <v>470</v>
      </c>
      <c r="E192" s="120" t="s">
        <v>193</v>
      </c>
    </row>
    <row r="193" spans="1:5" ht="20.6" customHeight="1" outlineLevel="2">
      <c r="A193" s="121"/>
      <c r="B193" s="121"/>
      <c r="C193" s="122" t="s">
        <v>378</v>
      </c>
      <c r="D193" s="123" t="s">
        <v>453</v>
      </c>
      <c r="E193" s="124" t="s">
        <v>471</v>
      </c>
    </row>
    <row r="194" spans="1:5" ht="20.6" customHeight="1" outlineLevel="2">
      <c r="A194" s="121"/>
      <c r="B194" s="121"/>
      <c r="C194" s="125" t="s">
        <v>381</v>
      </c>
      <c r="D194" s="123" t="s">
        <v>382</v>
      </c>
      <c r="E194" s="124" t="s">
        <v>359</v>
      </c>
    </row>
    <row r="195" spans="1:5" ht="20.6" customHeight="1" outlineLevel="2">
      <c r="A195" s="121"/>
      <c r="B195" s="121"/>
      <c r="C195" s="126" t="s">
        <v>383</v>
      </c>
      <c r="D195" s="123" t="s">
        <v>384</v>
      </c>
      <c r="E195" s="127"/>
    </row>
    <row r="196" spans="1:5" ht="7" customHeight="1" outlineLevel="1"/>
    <row r="197" spans="1:5" ht="36.2" customHeight="1" outlineLevel="1">
      <c r="A197" s="116" t="s">
        <v>47</v>
      </c>
      <c r="B197" s="117">
        <v>14</v>
      </c>
      <c r="C197" s="118" t="s">
        <v>376</v>
      </c>
      <c r="D197" s="119" t="s">
        <v>472</v>
      </c>
      <c r="E197" s="120" t="s">
        <v>195</v>
      </c>
    </row>
    <row r="198" spans="1:5" ht="20.6" customHeight="1" outlineLevel="2">
      <c r="A198" s="121"/>
      <c r="B198" s="121"/>
      <c r="C198" s="122" t="s">
        <v>378</v>
      </c>
      <c r="D198" s="123" t="s">
        <v>453</v>
      </c>
      <c r="E198" s="124" t="s">
        <v>473</v>
      </c>
    </row>
    <row r="199" spans="1:5" ht="20.6" customHeight="1" outlineLevel="2">
      <c r="A199" s="121"/>
      <c r="B199" s="121"/>
      <c r="C199" s="122" t="s">
        <v>387</v>
      </c>
      <c r="D199" s="123" t="s">
        <v>388</v>
      </c>
      <c r="E199" s="124" t="s">
        <v>467</v>
      </c>
    </row>
    <row r="200" spans="1:5" ht="20.6" customHeight="1" outlineLevel="2">
      <c r="A200" s="121"/>
      <c r="B200" s="121"/>
      <c r="C200" s="125" t="s">
        <v>381</v>
      </c>
      <c r="D200" s="123" t="s">
        <v>382</v>
      </c>
      <c r="E200" s="124" t="s">
        <v>360</v>
      </c>
    </row>
    <row r="201" spans="1:5" ht="20.6" customHeight="1" outlineLevel="2">
      <c r="A201" s="121"/>
      <c r="B201" s="121"/>
      <c r="C201" s="126" t="s">
        <v>383</v>
      </c>
      <c r="D201" s="123" t="s">
        <v>384</v>
      </c>
      <c r="E201" s="127"/>
    </row>
    <row r="202" spans="1:5" ht="7" customHeight="1" outlineLevel="1"/>
    <row r="203" spans="1:5" ht="49.8" customHeight="1" outlineLevel="1">
      <c r="A203" s="116" t="s">
        <v>47</v>
      </c>
      <c r="B203" s="117">
        <v>15</v>
      </c>
      <c r="C203" s="118" t="s">
        <v>376</v>
      </c>
      <c r="D203" s="119" t="s">
        <v>474</v>
      </c>
      <c r="E203" s="120" t="s">
        <v>198</v>
      </c>
    </row>
    <row r="204" spans="1:5" ht="20.6" customHeight="1" outlineLevel="2">
      <c r="A204" s="121"/>
      <c r="B204" s="121"/>
      <c r="C204" s="122" t="s">
        <v>378</v>
      </c>
      <c r="D204" s="123" t="s">
        <v>386</v>
      </c>
      <c r="E204" s="124" t="s">
        <v>421</v>
      </c>
    </row>
    <row r="205" spans="1:5" ht="20.6" customHeight="1" outlineLevel="2">
      <c r="A205" s="121"/>
      <c r="B205" s="121"/>
      <c r="C205" s="125" t="s">
        <v>381</v>
      </c>
      <c r="D205" s="123" t="s">
        <v>382</v>
      </c>
      <c r="E205" s="124" t="s">
        <v>361</v>
      </c>
    </row>
    <row r="206" spans="1:5" ht="20.6" customHeight="1" outlineLevel="2">
      <c r="A206" s="121"/>
      <c r="B206" s="121"/>
      <c r="C206" s="126" t="s">
        <v>383</v>
      </c>
      <c r="D206" s="123" t="s">
        <v>407</v>
      </c>
      <c r="E206" s="124" t="s">
        <v>167</v>
      </c>
    </row>
    <row r="207" spans="1:5" ht="20.6" customHeight="1" outlineLevel="2">
      <c r="A207" s="121"/>
      <c r="B207" s="121"/>
      <c r="C207" s="126" t="s">
        <v>383</v>
      </c>
      <c r="D207" s="123" t="s">
        <v>384</v>
      </c>
      <c r="E207" s="127"/>
    </row>
    <row r="208" spans="1:5" ht="7" customHeight="1" outlineLevel="1"/>
    <row r="209" spans="1:5" ht="90.6" customHeight="1" outlineLevel="1">
      <c r="A209" s="116" t="s">
        <v>47</v>
      </c>
      <c r="B209" s="117">
        <v>16</v>
      </c>
      <c r="C209" s="118" t="s">
        <v>376</v>
      </c>
      <c r="D209" s="119" t="s">
        <v>475</v>
      </c>
      <c r="E209" s="120" t="s">
        <v>201</v>
      </c>
    </row>
    <row r="210" spans="1:5" ht="47.8" customHeight="1" outlineLevel="2">
      <c r="A210" s="121"/>
      <c r="B210" s="121"/>
      <c r="C210" s="122" t="s">
        <v>378</v>
      </c>
      <c r="D210" s="123" t="s">
        <v>386</v>
      </c>
      <c r="E210" s="124" t="s">
        <v>415</v>
      </c>
    </row>
    <row r="211" spans="1:5" ht="20.6" customHeight="1" outlineLevel="2">
      <c r="A211" s="121"/>
      <c r="B211" s="121"/>
      <c r="C211" s="122" t="s">
        <v>387</v>
      </c>
      <c r="D211" s="123" t="s">
        <v>388</v>
      </c>
      <c r="E211" s="124" t="s">
        <v>476</v>
      </c>
    </row>
    <row r="212" spans="1:5" ht="20.6" customHeight="1" outlineLevel="2">
      <c r="A212" s="121"/>
      <c r="B212" s="121"/>
      <c r="C212" s="125" t="s">
        <v>381</v>
      </c>
      <c r="D212" s="123" t="s">
        <v>382</v>
      </c>
      <c r="E212" s="124" t="s">
        <v>362</v>
      </c>
    </row>
    <row r="213" spans="1:5" ht="20.6" customHeight="1" outlineLevel="2">
      <c r="A213" s="121"/>
      <c r="B213" s="121"/>
      <c r="C213" s="126" t="s">
        <v>383</v>
      </c>
      <c r="D213" s="123" t="s">
        <v>407</v>
      </c>
      <c r="E213" s="124" t="s">
        <v>167</v>
      </c>
    </row>
    <row r="214" spans="1:5" ht="20.6" customHeight="1" outlineLevel="2">
      <c r="A214" s="121"/>
      <c r="B214" s="121"/>
      <c r="C214" s="126" t="s">
        <v>383</v>
      </c>
      <c r="D214" s="123" t="s">
        <v>384</v>
      </c>
      <c r="E214" s="127"/>
    </row>
    <row r="215" spans="1:5" ht="7" customHeight="1" outlineLevel="1"/>
    <row r="216" spans="1:5" ht="63.4" customHeight="1" outlineLevel="1">
      <c r="A216" s="116" t="s">
        <v>47</v>
      </c>
      <c r="B216" s="117">
        <v>17</v>
      </c>
      <c r="C216" s="118" t="s">
        <v>376</v>
      </c>
      <c r="D216" s="119" t="s">
        <v>477</v>
      </c>
      <c r="E216" s="120" t="s">
        <v>155</v>
      </c>
    </row>
    <row r="217" spans="1:5" ht="47.8" customHeight="1" outlineLevel="2">
      <c r="A217" s="121"/>
      <c r="B217" s="121"/>
      <c r="C217" s="122" t="s">
        <v>378</v>
      </c>
      <c r="D217" s="123" t="s">
        <v>386</v>
      </c>
      <c r="E217" s="124" t="s">
        <v>415</v>
      </c>
    </row>
    <row r="218" spans="1:5" ht="20.6" customHeight="1" outlineLevel="2">
      <c r="A218" s="121"/>
      <c r="B218" s="121"/>
      <c r="C218" s="125" t="s">
        <v>381</v>
      </c>
      <c r="D218" s="123" t="s">
        <v>382</v>
      </c>
      <c r="E218" s="124" t="s">
        <v>478</v>
      </c>
    </row>
    <row r="219" spans="1:5" ht="20.6" customHeight="1" outlineLevel="2">
      <c r="A219" s="121"/>
      <c r="B219" s="121"/>
      <c r="C219" s="126" t="s">
        <v>383</v>
      </c>
      <c r="D219" s="123" t="s">
        <v>412</v>
      </c>
      <c r="E219" s="124" t="s">
        <v>362</v>
      </c>
    </row>
    <row r="220" spans="1:5" ht="20.6" customHeight="1" outlineLevel="2">
      <c r="A220" s="121"/>
      <c r="B220" s="121"/>
      <c r="C220" s="126" t="s">
        <v>383</v>
      </c>
      <c r="D220" s="123" t="s">
        <v>384</v>
      </c>
      <c r="E220" s="127"/>
    </row>
    <row r="221" spans="1:5" ht="7" customHeight="1" outlineLevel="1"/>
    <row r="222" spans="1:5" ht="77" customHeight="1" outlineLevel="1">
      <c r="A222" s="116" t="s">
        <v>47</v>
      </c>
      <c r="B222" s="117">
        <v>18</v>
      </c>
      <c r="C222" s="118" t="s">
        <v>376</v>
      </c>
      <c r="D222" s="119" t="s">
        <v>479</v>
      </c>
      <c r="E222" s="120" t="s">
        <v>159</v>
      </c>
    </row>
    <row r="223" spans="1:5" ht="34.2" customHeight="1" outlineLevel="2">
      <c r="A223" s="121"/>
      <c r="B223" s="121"/>
      <c r="C223" s="122" t="s">
        <v>378</v>
      </c>
      <c r="D223" s="123" t="s">
        <v>386</v>
      </c>
      <c r="E223" s="124" t="s">
        <v>427</v>
      </c>
    </row>
    <row r="224" spans="1:5" ht="20.6" customHeight="1" outlineLevel="2">
      <c r="A224" s="121"/>
      <c r="B224" s="121"/>
      <c r="C224" s="125" t="s">
        <v>381</v>
      </c>
      <c r="D224" s="123" t="s">
        <v>382</v>
      </c>
      <c r="E224" s="124" t="s">
        <v>356</v>
      </c>
    </row>
    <row r="225" spans="1:5" ht="20.6" customHeight="1" outlineLevel="2">
      <c r="A225" s="121"/>
      <c r="B225" s="121"/>
      <c r="C225" s="126" t="s">
        <v>383</v>
      </c>
      <c r="D225" s="123" t="s">
        <v>412</v>
      </c>
      <c r="E225" s="124" t="s">
        <v>480</v>
      </c>
    </row>
    <row r="226" spans="1:5" ht="20.6" customHeight="1" outlineLevel="2">
      <c r="A226" s="121"/>
      <c r="B226" s="121"/>
      <c r="C226" s="126" t="s">
        <v>383</v>
      </c>
      <c r="D226" s="123" t="s">
        <v>384</v>
      </c>
      <c r="E226" s="127"/>
    </row>
    <row r="227" spans="1:5" ht="7" customHeight="1" outlineLevel="1"/>
    <row r="228" spans="1:5" ht="49.8" customHeight="1" outlineLevel="1">
      <c r="A228" s="116" t="s">
        <v>47</v>
      </c>
      <c r="B228" s="117">
        <v>19</v>
      </c>
      <c r="C228" s="118" t="s">
        <v>376</v>
      </c>
      <c r="D228" s="119" t="s">
        <v>481</v>
      </c>
      <c r="E228" s="120" t="s">
        <v>163</v>
      </c>
    </row>
    <row r="229" spans="1:5" ht="20.6" customHeight="1" outlineLevel="2">
      <c r="A229" s="121"/>
      <c r="B229" s="121"/>
      <c r="C229" s="122" t="s">
        <v>378</v>
      </c>
      <c r="D229" s="123" t="s">
        <v>388</v>
      </c>
      <c r="E229" s="124" t="s">
        <v>430</v>
      </c>
    </row>
    <row r="230" spans="1:5" ht="20.6" customHeight="1" outlineLevel="2">
      <c r="A230" s="121"/>
      <c r="B230" s="121"/>
      <c r="C230" s="125" t="s">
        <v>381</v>
      </c>
      <c r="D230" s="123" t="s">
        <v>382</v>
      </c>
      <c r="E230" s="124" t="s">
        <v>482</v>
      </c>
    </row>
    <row r="231" spans="1:5" ht="20.6" customHeight="1" outlineLevel="2">
      <c r="A231" s="121"/>
      <c r="B231" s="121"/>
      <c r="C231" s="126" t="s">
        <v>383</v>
      </c>
      <c r="D231" s="123" t="s">
        <v>412</v>
      </c>
      <c r="E231" s="124" t="s">
        <v>483</v>
      </c>
    </row>
    <row r="232" spans="1:5" ht="20.6" customHeight="1" outlineLevel="2">
      <c r="A232" s="121"/>
      <c r="B232" s="121"/>
      <c r="C232" s="126" t="s">
        <v>383</v>
      </c>
      <c r="D232" s="123" t="s">
        <v>384</v>
      </c>
      <c r="E232" s="127"/>
    </row>
    <row r="233" spans="1:5" ht="7" customHeight="1" outlineLevel="1"/>
    <row r="234" spans="1:5" ht="117.8" customHeight="1" outlineLevel="1">
      <c r="A234" s="116" t="s">
        <v>47</v>
      </c>
      <c r="B234" s="117">
        <v>20</v>
      </c>
      <c r="C234" s="118" t="s">
        <v>376</v>
      </c>
      <c r="D234" s="119" t="s">
        <v>484</v>
      </c>
      <c r="E234" s="120" t="s">
        <v>165</v>
      </c>
    </row>
    <row r="235" spans="1:5" ht="143" customHeight="1" outlineLevel="2">
      <c r="A235" s="121"/>
      <c r="B235" s="121"/>
      <c r="C235" s="122" t="s">
        <v>378</v>
      </c>
      <c r="D235" s="123" t="s">
        <v>386</v>
      </c>
      <c r="E235" s="124" t="s">
        <v>433</v>
      </c>
    </row>
    <row r="236" spans="1:5" ht="20.6" customHeight="1" outlineLevel="2">
      <c r="A236" s="121"/>
      <c r="B236" s="121"/>
      <c r="C236" s="122" t="s">
        <v>387</v>
      </c>
      <c r="D236" s="123" t="s">
        <v>388</v>
      </c>
      <c r="E236" s="124" t="s">
        <v>434</v>
      </c>
    </row>
    <row r="237" spans="1:5" ht="20.6" customHeight="1" outlineLevel="2">
      <c r="A237" s="121"/>
      <c r="B237" s="121"/>
      <c r="C237" s="128" t="s">
        <v>221</v>
      </c>
      <c r="D237" s="123" t="s">
        <v>386</v>
      </c>
      <c r="E237" s="124" t="s">
        <v>435</v>
      </c>
    </row>
    <row r="238" spans="1:5" ht="20.6" customHeight="1" outlineLevel="2">
      <c r="A238" s="121"/>
      <c r="B238" s="121"/>
      <c r="C238" s="125" t="s">
        <v>381</v>
      </c>
      <c r="D238" s="123" t="s">
        <v>382</v>
      </c>
      <c r="E238" s="124" t="s">
        <v>482</v>
      </c>
    </row>
    <row r="239" spans="1:5" ht="20.6" customHeight="1" outlineLevel="2">
      <c r="A239" s="121"/>
      <c r="B239" s="121"/>
      <c r="C239" s="126" t="s">
        <v>383</v>
      </c>
      <c r="D239" s="123" t="s">
        <v>412</v>
      </c>
      <c r="E239" s="124" t="s">
        <v>483</v>
      </c>
    </row>
    <row r="240" spans="1:5" ht="20.6" customHeight="1" outlineLevel="2">
      <c r="A240" s="121"/>
      <c r="B240" s="121"/>
      <c r="C240" s="126" t="s">
        <v>383</v>
      </c>
      <c r="D240" s="123" t="s">
        <v>384</v>
      </c>
      <c r="E240" s="127"/>
    </row>
    <row r="241" spans="1:5" ht="7" customHeight="1" outlineLevel="1"/>
    <row r="242" spans="1:5" ht="117.8" customHeight="1" outlineLevel="1">
      <c r="A242" s="116" t="s">
        <v>47</v>
      </c>
      <c r="B242" s="117">
        <v>21</v>
      </c>
      <c r="C242" s="118" t="s">
        <v>376</v>
      </c>
      <c r="D242" s="119" t="s">
        <v>485</v>
      </c>
      <c r="E242" s="120" t="s">
        <v>127</v>
      </c>
    </row>
    <row r="243" spans="1:5" ht="20.6" customHeight="1" outlineLevel="2">
      <c r="A243" s="121"/>
      <c r="B243" s="121"/>
      <c r="C243" s="122" t="s">
        <v>378</v>
      </c>
      <c r="D243" s="123" t="s">
        <v>388</v>
      </c>
      <c r="E243" s="124" t="s">
        <v>486</v>
      </c>
    </row>
    <row r="244" spans="1:5" ht="170.2" customHeight="1" outlineLevel="2">
      <c r="A244" s="121"/>
      <c r="B244" s="121"/>
      <c r="C244" s="128" t="s">
        <v>221</v>
      </c>
      <c r="D244" s="123" t="s">
        <v>386</v>
      </c>
      <c r="E244" s="124" t="s">
        <v>487</v>
      </c>
    </row>
    <row r="245" spans="1:5" ht="20.6" customHeight="1" outlineLevel="2">
      <c r="A245" s="121"/>
      <c r="B245" s="121"/>
      <c r="C245" s="128" t="s">
        <v>443</v>
      </c>
      <c r="D245" s="123" t="s">
        <v>388</v>
      </c>
      <c r="E245" s="124" t="s">
        <v>488</v>
      </c>
    </row>
    <row r="246" spans="1:5" ht="20.6" customHeight="1" outlineLevel="2">
      <c r="A246" s="121"/>
      <c r="B246" s="121"/>
      <c r="C246" s="125" t="s">
        <v>381</v>
      </c>
      <c r="D246" s="123" t="s">
        <v>382</v>
      </c>
      <c r="E246" s="124" t="s">
        <v>366</v>
      </c>
    </row>
    <row r="247" spans="1:5" ht="20.6" customHeight="1" outlineLevel="2">
      <c r="A247" s="121"/>
      <c r="B247" s="121"/>
      <c r="C247" s="126" t="s">
        <v>383</v>
      </c>
      <c r="D247" s="123" t="s">
        <v>407</v>
      </c>
      <c r="E247" s="124" t="s">
        <v>408</v>
      </c>
    </row>
    <row r="248" spans="1:5" ht="20.6" customHeight="1" outlineLevel="2">
      <c r="A248" s="121"/>
      <c r="B248" s="121"/>
      <c r="C248" s="126" t="s">
        <v>383</v>
      </c>
      <c r="D248" s="123" t="s">
        <v>384</v>
      </c>
      <c r="E248" s="127"/>
    </row>
    <row r="249" spans="1:5" ht="7" customHeight="1" outlineLevel="1"/>
    <row r="250" spans="1:5" ht="63.4" customHeight="1" outlineLevel="1">
      <c r="A250" s="116" t="s">
        <v>47</v>
      </c>
      <c r="B250" s="117">
        <v>22</v>
      </c>
      <c r="C250" s="118" t="s">
        <v>376</v>
      </c>
      <c r="D250" s="119" t="s">
        <v>489</v>
      </c>
      <c r="E250" s="120" t="s">
        <v>203</v>
      </c>
    </row>
    <row r="251" spans="1:5" ht="34.2" customHeight="1" outlineLevel="2">
      <c r="A251" s="121"/>
      <c r="B251" s="121"/>
      <c r="C251" s="122" t="s">
        <v>378</v>
      </c>
      <c r="D251" s="123" t="s">
        <v>388</v>
      </c>
      <c r="E251" s="124" t="s">
        <v>490</v>
      </c>
    </row>
    <row r="252" spans="1:5" ht="20.6" customHeight="1" outlineLevel="2">
      <c r="A252" s="121"/>
      <c r="B252" s="121"/>
      <c r="C252" s="125" t="s">
        <v>381</v>
      </c>
      <c r="D252" s="123" t="s">
        <v>382</v>
      </c>
      <c r="E252" s="124" t="s">
        <v>367</v>
      </c>
    </row>
    <row r="253" spans="1:5" ht="20.6" customHeight="1" outlineLevel="2">
      <c r="A253" s="121"/>
      <c r="B253" s="121"/>
      <c r="C253" s="126" t="s">
        <v>383</v>
      </c>
      <c r="D253" s="123" t="s">
        <v>407</v>
      </c>
      <c r="E253" s="124" t="s">
        <v>167</v>
      </c>
    </row>
    <row r="254" spans="1:5" ht="20.6" customHeight="1" outlineLevel="2">
      <c r="A254" s="121"/>
      <c r="B254" s="121"/>
      <c r="C254" s="126" t="s">
        <v>383</v>
      </c>
      <c r="D254" s="123" t="s">
        <v>384</v>
      </c>
      <c r="E254" s="127"/>
    </row>
    <row r="255" spans="1:5" ht="7" customHeight="1" outlineLevel="1"/>
    <row r="256" spans="1:5" ht="63.4" customHeight="1" outlineLevel="1">
      <c r="A256" s="116" t="s">
        <v>47</v>
      </c>
      <c r="B256" s="117">
        <v>23</v>
      </c>
      <c r="C256" s="118" t="s">
        <v>376</v>
      </c>
      <c r="D256" s="119" t="s">
        <v>491</v>
      </c>
      <c r="E256" s="120" t="s">
        <v>131</v>
      </c>
    </row>
    <row r="257" spans="1:5" ht="34.2" customHeight="1" outlineLevel="2">
      <c r="A257" s="121"/>
      <c r="B257" s="121"/>
      <c r="C257" s="122" t="s">
        <v>378</v>
      </c>
      <c r="D257" s="129" t="s">
        <v>439</v>
      </c>
      <c r="E257" s="124" t="s">
        <v>440</v>
      </c>
    </row>
    <row r="258" spans="1:5" ht="20.6" customHeight="1" outlineLevel="2">
      <c r="A258" s="121"/>
      <c r="B258" s="121"/>
      <c r="C258" s="128" t="s">
        <v>221</v>
      </c>
      <c r="D258" s="123" t="s">
        <v>386</v>
      </c>
      <c r="E258" s="124" t="s">
        <v>442</v>
      </c>
    </row>
    <row r="259" spans="1:5" ht="20.6" customHeight="1" outlineLevel="2">
      <c r="A259" s="121"/>
      <c r="B259" s="121"/>
      <c r="C259" s="128" t="s">
        <v>443</v>
      </c>
      <c r="D259" s="123" t="s">
        <v>388</v>
      </c>
      <c r="E259" s="124" t="s">
        <v>444</v>
      </c>
    </row>
    <row r="260" spans="1:5" ht="20.6" customHeight="1" outlineLevel="2">
      <c r="A260" s="121"/>
      <c r="B260" s="121"/>
      <c r="C260" s="125" t="s">
        <v>381</v>
      </c>
      <c r="D260" s="123" t="s">
        <v>382</v>
      </c>
      <c r="E260" s="124" t="s">
        <v>366</v>
      </c>
    </row>
    <row r="261" spans="1:5" ht="20.6" customHeight="1" outlineLevel="2">
      <c r="A261" s="121"/>
      <c r="B261" s="121"/>
      <c r="C261" s="126" t="s">
        <v>383</v>
      </c>
      <c r="D261" s="123" t="s">
        <v>407</v>
      </c>
      <c r="E261" s="124" t="s">
        <v>408</v>
      </c>
    </row>
    <row r="262" spans="1:5" ht="20.6" customHeight="1" outlineLevel="2">
      <c r="A262" s="121"/>
      <c r="B262" s="121"/>
      <c r="C262" s="126" t="s">
        <v>383</v>
      </c>
      <c r="D262" s="123" t="s">
        <v>384</v>
      </c>
      <c r="E262" s="127"/>
    </row>
    <row r="263" spans="1:5" ht="7" customHeight="1" outlineLevel="1"/>
    <row r="264" spans="1:5" ht="77" customHeight="1" outlineLevel="1">
      <c r="A264" s="130" t="s">
        <v>47</v>
      </c>
      <c r="B264" s="131">
        <v>24</v>
      </c>
      <c r="C264" s="132" t="s">
        <v>376</v>
      </c>
      <c r="D264" s="133" t="s">
        <v>492</v>
      </c>
      <c r="E264" s="134" t="s">
        <v>135</v>
      </c>
    </row>
    <row r="265" spans="1:5" ht="34.2" customHeight="1" outlineLevel="2">
      <c r="A265" s="121"/>
      <c r="B265" s="121"/>
      <c r="C265" s="135" t="s">
        <v>378</v>
      </c>
      <c r="D265" s="129" t="s">
        <v>439</v>
      </c>
      <c r="E265" s="136" t="s">
        <v>440</v>
      </c>
    </row>
    <row r="266" spans="1:5" ht="20.6" customHeight="1" outlineLevel="2">
      <c r="A266" s="121"/>
      <c r="B266" s="121"/>
      <c r="C266" s="135" t="s">
        <v>221</v>
      </c>
      <c r="D266" s="137" t="s">
        <v>386</v>
      </c>
      <c r="E266" s="136" t="s">
        <v>442</v>
      </c>
    </row>
    <row r="267" spans="1:5" ht="20.6" customHeight="1" outlineLevel="2">
      <c r="A267" s="121"/>
      <c r="B267" s="121"/>
      <c r="C267" s="135" t="s">
        <v>443</v>
      </c>
      <c r="D267" s="137" t="s">
        <v>388</v>
      </c>
      <c r="E267" s="136" t="s">
        <v>444</v>
      </c>
    </row>
    <row r="268" spans="1:5" ht="20.6" customHeight="1" outlineLevel="2">
      <c r="A268" s="121"/>
      <c r="B268" s="121"/>
      <c r="C268" s="135" t="s">
        <v>381</v>
      </c>
      <c r="D268" s="137" t="s">
        <v>382</v>
      </c>
      <c r="E268" s="136" t="s">
        <v>351</v>
      </c>
    </row>
    <row r="269" spans="1:5" ht="20.6" customHeight="1" outlineLevel="2">
      <c r="A269" s="121"/>
      <c r="B269" s="121"/>
      <c r="C269" s="135" t="s">
        <v>383</v>
      </c>
      <c r="D269" s="137" t="s">
        <v>407</v>
      </c>
      <c r="E269" s="136" t="s">
        <v>493</v>
      </c>
    </row>
    <row r="270" spans="1:5" ht="20.6" customHeight="1" outlineLevel="2">
      <c r="A270" s="121"/>
      <c r="B270" s="121"/>
      <c r="C270" s="135" t="s">
        <v>383</v>
      </c>
      <c r="D270" s="137" t="s">
        <v>384</v>
      </c>
      <c r="E270" s="127"/>
    </row>
    <row r="271" spans="1:5" ht="7" customHeight="1" outlineLevel="1"/>
    <row r="272" spans="1:5" ht="63.4" customHeight="1" outlineLevel="1">
      <c r="A272" s="130" t="s">
        <v>47</v>
      </c>
      <c r="B272" s="131">
        <v>25</v>
      </c>
      <c r="C272" s="132" t="s">
        <v>376</v>
      </c>
      <c r="D272" s="133" t="s">
        <v>494</v>
      </c>
      <c r="E272" s="134" t="s">
        <v>205</v>
      </c>
    </row>
    <row r="273" spans="1:5" ht="34.2" customHeight="1" outlineLevel="2">
      <c r="A273" s="121"/>
      <c r="B273" s="121"/>
      <c r="C273" s="135" t="s">
        <v>378</v>
      </c>
      <c r="D273" s="129" t="s">
        <v>439</v>
      </c>
      <c r="E273" s="136" t="s">
        <v>440</v>
      </c>
    </row>
    <row r="274" spans="1:5" ht="20.6" customHeight="1" outlineLevel="2">
      <c r="A274" s="121"/>
      <c r="B274" s="121"/>
      <c r="C274" s="135" t="s">
        <v>221</v>
      </c>
      <c r="D274" s="137" t="s">
        <v>386</v>
      </c>
      <c r="E274" s="136" t="s">
        <v>442</v>
      </c>
    </row>
    <row r="275" spans="1:5" ht="20.6" customHeight="1" outlineLevel="2">
      <c r="A275" s="121"/>
      <c r="B275" s="121"/>
      <c r="C275" s="135" t="s">
        <v>443</v>
      </c>
      <c r="D275" s="137" t="s">
        <v>388</v>
      </c>
      <c r="E275" s="136" t="s">
        <v>444</v>
      </c>
    </row>
    <row r="276" spans="1:5" ht="20.6" customHeight="1" outlineLevel="2">
      <c r="A276" s="121"/>
      <c r="B276" s="121"/>
      <c r="C276" s="135" t="s">
        <v>381</v>
      </c>
      <c r="D276" s="137" t="s">
        <v>382</v>
      </c>
      <c r="E276" s="136" t="s">
        <v>366</v>
      </c>
    </row>
    <row r="277" spans="1:5" ht="20.6" customHeight="1" outlineLevel="2">
      <c r="A277" s="121"/>
      <c r="B277" s="121"/>
      <c r="C277" s="135" t="s">
        <v>383</v>
      </c>
      <c r="D277" s="137" t="s">
        <v>418</v>
      </c>
      <c r="E277" s="136" t="s">
        <v>408</v>
      </c>
    </row>
    <row r="278" spans="1:5" ht="20.6" customHeight="1" outlineLevel="2">
      <c r="A278" s="121"/>
      <c r="B278" s="121"/>
      <c r="C278" s="135" t="s">
        <v>383</v>
      </c>
      <c r="D278" s="137" t="s">
        <v>384</v>
      </c>
      <c r="E278" s="127"/>
    </row>
  </sheetData>
  <mergeCells count="1">
    <mergeCell ref="B2:E2"/>
  </mergeCells>
  <pageMargins left="0.4" right="0.4" top="0.5" bottom="0.6" header="0.3" footer="0.3"/>
  <pageSetup paperSize="9" fitToHeight="0" orientation="landscape"/>
  <headerFooter>
    <oddFooter>&amp;L&amp;"Aptos,Regular"&amp;8Outlook-Regeln – &amp;A&amp;R&amp;"Aptos,Regular"&amp;8Seite &amp;P von &amp;N</oddFooter>
  </headerFooter>
</worksheet>
</file>

<file path=xl/worksheets/sheet7.xml><?xml version="1.0" encoding="utf-8"?>
<worksheet xmlns="http://schemas.openxmlformats.org/spreadsheetml/2006/main" xmlns:r="http://schemas.openxmlformats.org/officeDocument/2006/relationships">
  <sheetPr codeName="shElemente">
    <tabColor rgb="FF6B7685"/>
    <pageSetUpPr fitToPage="1"/>
  </sheetPr>
  <dimension ref="A1:G187"/>
  <sheetViews>
    <sheetView showGridLines="0" workbookViewId="0">
      <pane ySplit="1" topLeftCell="A2" activePane="bottomLeft" state="frozen"/>
      <selection pane="bottomLeft"/>
    </sheetView>
  </sheetViews>
  <sheetFormatPr defaultRowHeight="15"/>
  <cols>
    <col min="1" max="1" width="29.7109375" customWidth="1"/>
    <col min="2" max="2" width="9.7109375" customWidth="1"/>
    <col min="3" max="3" width="40.7109375" customWidth="1"/>
    <col min="4" max="4" width="8.7109375" customWidth="1"/>
    <col min="5" max="5" width="11.7109375" customWidth="1"/>
    <col min="6" max="6" width="34.7109375" customWidth="1"/>
    <col min="7" max="7" width="80.7109375" customWidth="1"/>
  </cols>
  <sheetData>
    <row r="1" spans="1:7" ht="30" customHeight="1">
      <c r="A1" s="12" t="s">
        <v>42</v>
      </c>
      <c r="B1" s="13" t="s">
        <v>319</v>
      </c>
      <c r="C1" s="12" t="s">
        <v>320</v>
      </c>
      <c r="D1" s="13" t="s">
        <v>102</v>
      </c>
      <c r="E1" s="13" t="s">
        <v>495</v>
      </c>
      <c r="F1" s="12" t="s">
        <v>373</v>
      </c>
      <c r="G1" s="12" t="s">
        <v>374</v>
      </c>
    </row>
    <row r="2" spans="1:7" ht="20.6" customHeight="1">
      <c r="A2" s="16" t="s">
        <v>47</v>
      </c>
      <c r="B2" s="104">
        <v>1</v>
      </c>
      <c r="C2" s="73" t="s">
        <v>137</v>
      </c>
      <c r="D2" s="107" t="s">
        <v>330</v>
      </c>
      <c r="E2" s="107" t="s">
        <v>103</v>
      </c>
      <c r="F2" s="73" t="s">
        <v>379</v>
      </c>
      <c r="G2" s="73" t="s">
        <v>380</v>
      </c>
    </row>
    <row r="3" spans="1:7" ht="20.6" customHeight="1">
      <c r="A3" s="16" t="s">
        <v>47</v>
      </c>
      <c r="B3" s="104">
        <v>1</v>
      </c>
      <c r="C3" s="73" t="s">
        <v>137</v>
      </c>
      <c r="D3" s="107" t="s">
        <v>330</v>
      </c>
      <c r="E3" s="107" t="s">
        <v>104</v>
      </c>
      <c r="F3" s="73" t="s">
        <v>382</v>
      </c>
      <c r="G3" s="73" t="s">
        <v>333</v>
      </c>
    </row>
    <row r="4" spans="1:7" ht="20.6" customHeight="1">
      <c r="A4" s="16" t="s">
        <v>47</v>
      </c>
      <c r="B4" s="104">
        <v>1</v>
      </c>
      <c r="C4" s="73" t="s">
        <v>137</v>
      </c>
      <c r="D4" s="107" t="s">
        <v>330</v>
      </c>
      <c r="E4" s="107" t="s">
        <v>104</v>
      </c>
      <c r="F4" s="73" t="s">
        <v>384</v>
      </c>
      <c r="G4" s="73"/>
    </row>
    <row r="5" spans="1:7" ht="20.6" customHeight="1">
      <c r="A5" s="138" t="s">
        <v>47</v>
      </c>
      <c r="B5" s="139">
        <v>2</v>
      </c>
      <c r="C5" s="140" t="s">
        <v>180</v>
      </c>
      <c r="D5" s="141" t="s">
        <v>330</v>
      </c>
      <c r="E5" s="141" t="s">
        <v>103</v>
      </c>
      <c r="F5" s="140" t="s">
        <v>386</v>
      </c>
      <c r="G5" s="140" t="s">
        <v>449</v>
      </c>
    </row>
    <row r="6" spans="1:7" ht="20.6" customHeight="1">
      <c r="A6" s="16" t="s">
        <v>47</v>
      </c>
      <c r="B6" s="104">
        <v>2</v>
      </c>
      <c r="C6" s="73" t="s">
        <v>180</v>
      </c>
      <c r="D6" s="107" t="s">
        <v>330</v>
      </c>
      <c r="E6" s="107" t="s">
        <v>103</v>
      </c>
      <c r="F6" s="73" t="s">
        <v>396</v>
      </c>
      <c r="G6" s="73" t="s">
        <v>450</v>
      </c>
    </row>
    <row r="7" spans="1:7" ht="20.6" customHeight="1">
      <c r="A7" s="16" t="s">
        <v>47</v>
      </c>
      <c r="B7" s="104">
        <v>2</v>
      </c>
      <c r="C7" s="73" t="s">
        <v>180</v>
      </c>
      <c r="D7" s="107" t="s">
        <v>330</v>
      </c>
      <c r="E7" s="107" t="s">
        <v>104</v>
      </c>
      <c r="F7" s="73" t="s">
        <v>382</v>
      </c>
      <c r="G7" s="73" t="s">
        <v>333</v>
      </c>
    </row>
    <row r="8" spans="1:7" ht="20.6" customHeight="1">
      <c r="A8" s="16" t="s">
        <v>47</v>
      </c>
      <c r="B8" s="104">
        <v>2</v>
      </c>
      <c r="C8" s="73" t="s">
        <v>180</v>
      </c>
      <c r="D8" s="107" t="s">
        <v>330</v>
      </c>
      <c r="E8" s="107" t="s">
        <v>104</v>
      </c>
      <c r="F8" s="73" t="s">
        <v>384</v>
      </c>
      <c r="G8" s="73"/>
    </row>
    <row r="9" spans="1:7" ht="47.8" customHeight="1">
      <c r="A9" s="138" t="s">
        <v>47</v>
      </c>
      <c r="B9" s="139">
        <v>3</v>
      </c>
      <c r="C9" s="140" t="s">
        <v>110</v>
      </c>
      <c r="D9" s="141" t="s">
        <v>349</v>
      </c>
      <c r="E9" s="141" t="s">
        <v>103</v>
      </c>
      <c r="F9" s="140" t="s">
        <v>396</v>
      </c>
      <c r="G9" s="140" t="s">
        <v>397</v>
      </c>
    </row>
    <row r="10" spans="1:7" ht="20.6" customHeight="1">
      <c r="A10" s="16" t="s">
        <v>47</v>
      </c>
      <c r="B10" s="104">
        <v>3</v>
      </c>
      <c r="C10" s="73" t="s">
        <v>110</v>
      </c>
      <c r="D10" s="107" t="s">
        <v>349</v>
      </c>
      <c r="E10" s="107" t="s">
        <v>104</v>
      </c>
      <c r="F10" s="73" t="s">
        <v>382</v>
      </c>
      <c r="G10" s="73"/>
    </row>
    <row r="11" spans="1:7" ht="20.6" customHeight="1">
      <c r="A11" s="16" t="s">
        <v>47</v>
      </c>
      <c r="B11" s="104">
        <v>3</v>
      </c>
      <c r="C11" s="73" t="s">
        <v>110</v>
      </c>
      <c r="D11" s="107" t="s">
        <v>349</v>
      </c>
      <c r="E11" s="107" t="s">
        <v>104</v>
      </c>
      <c r="F11" s="73" t="s">
        <v>384</v>
      </c>
      <c r="G11" s="73"/>
    </row>
    <row r="12" spans="1:7" ht="20.6" customHeight="1">
      <c r="A12" s="138" t="s">
        <v>47</v>
      </c>
      <c r="B12" s="139">
        <v>4</v>
      </c>
      <c r="C12" s="140" t="s">
        <v>183</v>
      </c>
      <c r="D12" s="141" t="s">
        <v>349</v>
      </c>
      <c r="E12" s="141" t="s">
        <v>103</v>
      </c>
      <c r="F12" s="140" t="s">
        <v>453</v>
      </c>
      <c r="G12" s="140" t="s">
        <v>454</v>
      </c>
    </row>
    <row r="13" spans="1:7" ht="20.6" customHeight="1">
      <c r="A13" s="16" t="s">
        <v>47</v>
      </c>
      <c r="B13" s="104">
        <v>4</v>
      </c>
      <c r="C13" s="73" t="s">
        <v>183</v>
      </c>
      <c r="D13" s="107" t="s">
        <v>349</v>
      </c>
      <c r="E13" s="107" t="s">
        <v>104</v>
      </c>
      <c r="F13" s="73" t="s">
        <v>382</v>
      </c>
      <c r="G13" s="73" t="s">
        <v>351</v>
      </c>
    </row>
    <row r="14" spans="1:7" ht="20.6" customHeight="1">
      <c r="A14" s="16" t="s">
        <v>47</v>
      </c>
      <c r="B14" s="104">
        <v>4</v>
      </c>
      <c r="C14" s="73" t="s">
        <v>183</v>
      </c>
      <c r="D14" s="107" t="s">
        <v>349</v>
      </c>
      <c r="E14" s="107" t="s">
        <v>104</v>
      </c>
      <c r="F14" s="73" t="s">
        <v>407</v>
      </c>
      <c r="G14" s="73" t="s">
        <v>445</v>
      </c>
    </row>
    <row r="15" spans="1:7" ht="20.6" customHeight="1">
      <c r="A15" s="16" t="s">
        <v>47</v>
      </c>
      <c r="B15" s="104">
        <v>4</v>
      </c>
      <c r="C15" s="73" t="s">
        <v>183</v>
      </c>
      <c r="D15" s="107" t="s">
        <v>349</v>
      </c>
      <c r="E15" s="107" t="s">
        <v>104</v>
      </c>
      <c r="F15" s="73" t="s">
        <v>384</v>
      </c>
      <c r="G15" s="73"/>
    </row>
    <row r="16" spans="1:7" ht="34.2" customHeight="1">
      <c r="A16" s="138" t="s">
        <v>47</v>
      </c>
      <c r="B16" s="139">
        <v>5</v>
      </c>
      <c r="C16" s="140" t="s">
        <v>116</v>
      </c>
      <c r="D16" s="141" t="s">
        <v>330</v>
      </c>
      <c r="E16" s="141" t="s">
        <v>103</v>
      </c>
      <c r="F16" s="140" t="s">
        <v>386</v>
      </c>
      <c r="G16" s="140" t="s">
        <v>456</v>
      </c>
    </row>
    <row r="17" spans="1:7" ht="34.2" customHeight="1">
      <c r="A17" s="16" t="s">
        <v>47</v>
      </c>
      <c r="B17" s="104">
        <v>5</v>
      </c>
      <c r="C17" s="73" t="s">
        <v>116</v>
      </c>
      <c r="D17" s="107" t="s">
        <v>330</v>
      </c>
      <c r="E17" s="107" t="s">
        <v>103</v>
      </c>
      <c r="F17" s="73" t="s">
        <v>388</v>
      </c>
      <c r="G17" s="73" t="s">
        <v>457</v>
      </c>
    </row>
    <row r="18" spans="1:7" ht="34.2" customHeight="1">
      <c r="A18" s="16" t="s">
        <v>47</v>
      </c>
      <c r="B18" s="104">
        <v>5</v>
      </c>
      <c r="C18" s="73" t="s">
        <v>116</v>
      </c>
      <c r="D18" s="107" t="s">
        <v>330</v>
      </c>
      <c r="E18" s="107" t="s">
        <v>104</v>
      </c>
      <c r="F18" s="73" t="s">
        <v>382</v>
      </c>
      <c r="G18" s="73" t="s">
        <v>352</v>
      </c>
    </row>
    <row r="19" spans="1:7" ht="34.2" customHeight="1">
      <c r="A19" s="16" t="s">
        <v>47</v>
      </c>
      <c r="B19" s="104">
        <v>5</v>
      </c>
      <c r="C19" s="73" t="s">
        <v>116</v>
      </c>
      <c r="D19" s="107" t="s">
        <v>330</v>
      </c>
      <c r="E19" s="107" t="s">
        <v>104</v>
      </c>
      <c r="F19" s="73" t="s">
        <v>384</v>
      </c>
      <c r="G19" s="73"/>
    </row>
    <row r="20" spans="1:7" ht="34.2" customHeight="1">
      <c r="A20" s="138" t="s">
        <v>47</v>
      </c>
      <c r="B20" s="139">
        <v>6</v>
      </c>
      <c r="C20" s="140" t="s">
        <v>140</v>
      </c>
      <c r="D20" s="141" t="s">
        <v>330</v>
      </c>
      <c r="E20" s="141" t="s">
        <v>103</v>
      </c>
      <c r="F20" s="140" t="s">
        <v>388</v>
      </c>
      <c r="G20" s="140" t="s">
        <v>401</v>
      </c>
    </row>
    <row r="21" spans="1:7" ht="34.2" customHeight="1">
      <c r="A21" s="16" t="s">
        <v>47</v>
      </c>
      <c r="B21" s="104">
        <v>6</v>
      </c>
      <c r="C21" s="73" t="s">
        <v>140</v>
      </c>
      <c r="D21" s="107" t="s">
        <v>330</v>
      </c>
      <c r="E21" s="107" t="s">
        <v>104</v>
      </c>
      <c r="F21" s="73" t="s">
        <v>382</v>
      </c>
      <c r="G21" s="73" t="s">
        <v>353</v>
      </c>
    </row>
    <row r="22" spans="1:7" ht="34.2" customHeight="1">
      <c r="A22" s="16" t="s">
        <v>47</v>
      </c>
      <c r="B22" s="104">
        <v>6</v>
      </c>
      <c r="C22" s="73" t="s">
        <v>140</v>
      </c>
      <c r="D22" s="107" t="s">
        <v>330</v>
      </c>
      <c r="E22" s="107" t="s">
        <v>104</v>
      </c>
      <c r="F22" s="73" t="s">
        <v>384</v>
      </c>
      <c r="G22" s="73"/>
    </row>
    <row r="23" spans="1:7" ht="34.2" customHeight="1">
      <c r="A23" s="138" t="s">
        <v>47</v>
      </c>
      <c r="B23" s="139">
        <v>7</v>
      </c>
      <c r="C23" s="140" t="s">
        <v>144</v>
      </c>
      <c r="D23" s="141" t="s">
        <v>330</v>
      </c>
      <c r="E23" s="141" t="s">
        <v>103</v>
      </c>
      <c r="F23" s="140" t="s">
        <v>403</v>
      </c>
      <c r="G23" s="140" t="s">
        <v>404</v>
      </c>
    </row>
    <row r="24" spans="1:7" ht="34.2" customHeight="1">
      <c r="A24" s="16" t="s">
        <v>47</v>
      </c>
      <c r="B24" s="104">
        <v>7</v>
      </c>
      <c r="C24" s="73" t="s">
        <v>144</v>
      </c>
      <c r="D24" s="107" t="s">
        <v>330</v>
      </c>
      <c r="E24" s="107" t="s">
        <v>103</v>
      </c>
      <c r="F24" s="73" t="s">
        <v>388</v>
      </c>
      <c r="G24" s="73" t="s">
        <v>405</v>
      </c>
    </row>
    <row r="25" spans="1:7" ht="47.8" customHeight="1">
      <c r="A25" s="16" t="s">
        <v>47</v>
      </c>
      <c r="B25" s="104">
        <v>7</v>
      </c>
      <c r="C25" s="73" t="s">
        <v>144</v>
      </c>
      <c r="D25" s="107" t="s">
        <v>330</v>
      </c>
      <c r="E25" s="107" t="s">
        <v>496</v>
      </c>
      <c r="F25" s="73" t="s">
        <v>403</v>
      </c>
      <c r="G25" s="73" t="s">
        <v>406</v>
      </c>
    </row>
    <row r="26" spans="1:7" ht="34.2" customHeight="1">
      <c r="A26" s="16" t="s">
        <v>47</v>
      </c>
      <c r="B26" s="104">
        <v>7</v>
      </c>
      <c r="C26" s="73" t="s">
        <v>144</v>
      </c>
      <c r="D26" s="107" t="s">
        <v>330</v>
      </c>
      <c r="E26" s="107" t="s">
        <v>104</v>
      </c>
      <c r="F26" s="73" t="s">
        <v>382</v>
      </c>
      <c r="G26" s="73" t="s">
        <v>354</v>
      </c>
    </row>
    <row r="27" spans="1:7" ht="34.2" customHeight="1">
      <c r="A27" s="16" t="s">
        <v>47</v>
      </c>
      <c r="B27" s="104">
        <v>7</v>
      </c>
      <c r="C27" s="73" t="s">
        <v>144</v>
      </c>
      <c r="D27" s="107" t="s">
        <v>330</v>
      </c>
      <c r="E27" s="107" t="s">
        <v>104</v>
      </c>
      <c r="F27" s="73" t="s">
        <v>407</v>
      </c>
      <c r="G27" s="73" t="s">
        <v>408</v>
      </c>
    </row>
    <row r="28" spans="1:7" ht="34.2" customHeight="1">
      <c r="A28" s="16" t="s">
        <v>47</v>
      </c>
      <c r="B28" s="104">
        <v>7</v>
      </c>
      <c r="C28" s="73" t="s">
        <v>144</v>
      </c>
      <c r="D28" s="107" t="s">
        <v>330</v>
      </c>
      <c r="E28" s="107" t="s">
        <v>104</v>
      </c>
      <c r="F28" s="73" t="s">
        <v>384</v>
      </c>
      <c r="G28" s="73"/>
    </row>
    <row r="29" spans="1:7" ht="20.6" customHeight="1">
      <c r="A29" s="138" t="s">
        <v>47</v>
      </c>
      <c r="B29" s="139">
        <v>8</v>
      </c>
      <c r="C29" s="140" t="s">
        <v>186</v>
      </c>
      <c r="D29" s="141" t="s">
        <v>330</v>
      </c>
      <c r="E29" s="141" t="s">
        <v>103</v>
      </c>
      <c r="F29" s="140" t="s">
        <v>386</v>
      </c>
      <c r="G29" s="140" t="s">
        <v>461</v>
      </c>
    </row>
    <row r="30" spans="1:7" ht="20.6" customHeight="1">
      <c r="A30" s="16" t="s">
        <v>47</v>
      </c>
      <c r="B30" s="104">
        <v>8</v>
      </c>
      <c r="C30" s="73" t="s">
        <v>186</v>
      </c>
      <c r="D30" s="107" t="s">
        <v>330</v>
      </c>
      <c r="E30" s="107" t="s">
        <v>104</v>
      </c>
      <c r="F30" s="73" t="s">
        <v>382</v>
      </c>
      <c r="G30" s="73" t="s">
        <v>462</v>
      </c>
    </row>
    <row r="31" spans="1:7" ht="34.2" customHeight="1">
      <c r="A31" s="16" t="s">
        <v>47</v>
      </c>
      <c r="B31" s="104">
        <v>8</v>
      </c>
      <c r="C31" s="73" t="s">
        <v>186</v>
      </c>
      <c r="D31" s="107" t="s">
        <v>330</v>
      </c>
      <c r="E31" s="107" t="s">
        <v>104</v>
      </c>
      <c r="F31" s="73" t="s">
        <v>412</v>
      </c>
      <c r="G31" s="73" t="s">
        <v>463</v>
      </c>
    </row>
    <row r="32" spans="1:7" ht="20.6" customHeight="1">
      <c r="A32" s="16" t="s">
        <v>47</v>
      </c>
      <c r="B32" s="104">
        <v>8</v>
      </c>
      <c r="C32" s="73" t="s">
        <v>186</v>
      </c>
      <c r="D32" s="107" t="s">
        <v>330</v>
      </c>
      <c r="E32" s="107" t="s">
        <v>104</v>
      </c>
      <c r="F32" s="73" t="s">
        <v>384</v>
      </c>
      <c r="G32" s="73"/>
    </row>
    <row r="33" spans="1:7" ht="20.6" customHeight="1">
      <c r="A33" s="138" t="s">
        <v>47</v>
      </c>
      <c r="B33" s="139">
        <v>9</v>
      </c>
      <c r="C33" s="140" t="s">
        <v>120</v>
      </c>
      <c r="D33" s="141" t="s">
        <v>330</v>
      </c>
      <c r="E33" s="141" t="s">
        <v>103</v>
      </c>
      <c r="F33" s="140" t="s">
        <v>388</v>
      </c>
      <c r="G33" s="140" t="s">
        <v>464</v>
      </c>
    </row>
    <row r="34" spans="1:7" ht="20.6" customHeight="1">
      <c r="A34" s="16" t="s">
        <v>47</v>
      </c>
      <c r="B34" s="104">
        <v>9</v>
      </c>
      <c r="C34" s="73" t="s">
        <v>120</v>
      </c>
      <c r="D34" s="107" t="s">
        <v>330</v>
      </c>
      <c r="E34" s="107" t="s">
        <v>104</v>
      </c>
      <c r="F34" s="73" t="s">
        <v>382</v>
      </c>
      <c r="G34" s="73" t="s">
        <v>462</v>
      </c>
    </row>
    <row r="35" spans="1:7" ht="34.2" customHeight="1">
      <c r="A35" s="16" t="s">
        <v>47</v>
      </c>
      <c r="B35" s="104">
        <v>9</v>
      </c>
      <c r="C35" s="73" t="s">
        <v>120</v>
      </c>
      <c r="D35" s="107" t="s">
        <v>330</v>
      </c>
      <c r="E35" s="107" t="s">
        <v>104</v>
      </c>
      <c r="F35" s="73" t="s">
        <v>412</v>
      </c>
      <c r="G35" s="73" t="s">
        <v>463</v>
      </c>
    </row>
    <row r="36" spans="1:7" ht="20.6" customHeight="1">
      <c r="A36" s="16" t="s">
        <v>47</v>
      </c>
      <c r="B36" s="104">
        <v>9</v>
      </c>
      <c r="C36" s="73" t="s">
        <v>120</v>
      </c>
      <c r="D36" s="107" t="s">
        <v>330</v>
      </c>
      <c r="E36" s="107" t="s">
        <v>104</v>
      </c>
      <c r="F36" s="73" t="s">
        <v>384</v>
      </c>
      <c r="G36" s="73"/>
    </row>
    <row r="37" spans="1:7" ht="47.8" customHeight="1">
      <c r="A37" s="138" t="s">
        <v>47</v>
      </c>
      <c r="B37" s="139">
        <v>10</v>
      </c>
      <c r="C37" s="140" t="s">
        <v>148</v>
      </c>
      <c r="D37" s="141" t="s">
        <v>330</v>
      </c>
      <c r="E37" s="141" t="s">
        <v>103</v>
      </c>
      <c r="F37" s="140" t="s">
        <v>386</v>
      </c>
      <c r="G37" s="140" t="s">
        <v>415</v>
      </c>
    </row>
    <row r="38" spans="1:7" ht="20.6" customHeight="1">
      <c r="A38" s="16" t="s">
        <v>47</v>
      </c>
      <c r="B38" s="104">
        <v>10</v>
      </c>
      <c r="C38" s="73" t="s">
        <v>148</v>
      </c>
      <c r="D38" s="107" t="s">
        <v>330</v>
      </c>
      <c r="E38" s="107" t="s">
        <v>103</v>
      </c>
      <c r="F38" s="73" t="s">
        <v>416</v>
      </c>
      <c r="G38" s="73" t="s">
        <v>417</v>
      </c>
    </row>
    <row r="39" spans="1:7" ht="20.6" customHeight="1">
      <c r="A39" s="16" t="s">
        <v>47</v>
      </c>
      <c r="B39" s="104">
        <v>10</v>
      </c>
      <c r="C39" s="73" t="s">
        <v>148</v>
      </c>
      <c r="D39" s="107" t="s">
        <v>330</v>
      </c>
      <c r="E39" s="107" t="s">
        <v>104</v>
      </c>
      <c r="F39" s="73" t="s">
        <v>382</v>
      </c>
      <c r="G39" s="73" t="s">
        <v>356</v>
      </c>
    </row>
    <row r="40" spans="1:7" ht="20.6" customHeight="1">
      <c r="A40" s="16" t="s">
        <v>47</v>
      </c>
      <c r="B40" s="104">
        <v>10</v>
      </c>
      <c r="C40" s="73" t="s">
        <v>148</v>
      </c>
      <c r="D40" s="107" t="s">
        <v>330</v>
      </c>
      <c r="E40" s="107" t="s">
        <v>104</v>
      </c>
      <c r="F40" s="73" t="s">
        <v>418</v>
      </c>
      <c r="G40" s="73" t="s">
        <v>419</v>
      </c>
    </row>
    <row r="41" spans="1:7" ht="20.6" customHeight="1">
      <c r="A41" s="16" t="s">
        <v>47</v>
      </c>
      <c r="B41" s="104">
        <v>10</v>
      </c>
      <c r="C41" s="73" t="s">
        <v>148</v>
      </c>
      <c r="D41" s="107" t="s">
        <v>330</v>
      </c>
      <c r="E41" s="107" t="s">
        <v>104</v>
      </c>
      <c r="F41" s="73" t="s">
        <v>384</v>
      </c>
      <c r="G41" s="73"/>
    </row>
    <row r="42" spans="1:7" ht="20.6" customHeight="1">
      <c r="A42" s="138" t="s">
        <v>47</v>
      </c>
      <c r="B42" s="139">
        <v>11</v>
      </c>
      <c r="C42" s="140" t="s">
        <v>188</v>
      </c>
      <c r="D42" s="141" t="s">
        <v>330</v>
      </c>
      <c r="E42" s="141" t="s">
        <v>103</v>
      </c>
      <c r="F42" s="140" t="s">
        <v>453</v>
      </c>
      <c r="G42" s="140" t="s">
        <v>466</v>
      </c>
    </row>
    <row r="43" spans="1:7" ht="20.6" customHeight="1">
      <c r="A43" s="16" t="s">
        <v>47</v>
      </c>
      <c r="B43" s="104">
        <v>11</v>
      </c>
      <c r="C43" s="73" t="s">
        <v>188</v>
      </c>
      <c r="D43" s="107" t="s">
        <v>330</v>
      </c>
      <c r="E43" s="107" t="s">
        <v>103</v>
      </c>
      <c r="F43" s="73" t="s">
        <v>388</v>
      </c>
      <c r="G43" s="73" t="s">
        <v>467</v>
      </c>
    </row>
    <row r="44" spans="1:7" ht="20.6" customHeight="1">
      <c r="A44" s="16" t="s">
        <v>47</v>
      </c>
      <c r="B44" s="104">
        <v>11</v>
      </c>
      <c r="C44" s="73" t="s">
        <v>188</v>
      </c>
      <c r="D44" s="107" t="s">
        <v>330</v>
      </c>
      <c r="E44" s="107" t="s">
        <v>104</v>
      </c>
      <c r="F44" s="73" t="s">
        <v>382</v>
      </c>
      <c r="G44" s="73" t="s">
        <v>357</v>
      </c>
    </row>
    <row r="45" spans="1:7" ht="20.6" customHeight="1">
      <c r="A45" s="16" t="s">
        <v>47</v>
      </c>
      <c r="B45" s="104">
        <v>11</v>
      </c>
      <c r="C45" s="73" t="s">
        <v>188</v>
      </c>
      <c r="D45" s="107" t="s">
        <v>330</v>
      </c>
      <c r="E45" s="107" t="s">
        <v>104</v>
      </c>
      <c r="F45" s="73" t="s">
        <v>384</v>
      </c>
      <c r="G45" s="73"/>
    </row>
    <row r="46" spans="1:7" ht="34.2" customHeight="1">
      <c r="A46" s="138" t="s">
        <v>47</v>
      </c>
      <c r="B46" s="139">
        <v>12</v>
      </c>
      <c r="C46" s="140" t="s">
        <v>190</v>
      </c>
      <c r="D46" s="141" t="s">
        <v>330</v>
      </c>
      <c r="E46" s="141" t="s">
        <v>103</v>
      </c>
      <c r="F46" s="140" t="s">
        <v>453</v>
      </c>
      <c r="G46" s="140" t="s">
        <v>469</v>
      </c>
    </row>
    <row r="47" spans="1:7" ht="34.2" customHeight="1">
      <c r="A47" s="16" t="s">
        <v>47</v>
      </c>
      <c r="B47" s="104">
        <v>12</v>
      </c>
      <c r="C47" s="73" t="s">
        <v>190</v>
      </c>
      <c r="D47" s="107" t="s">
        <v>330</v>
      </c>
      <c r="E47" s="107" t="s">
        <v>103</v>
      </c>
      <c r="F47" s="73" t="s">
        <v>388</v>
      </c>
      <c r="G47" s="73" t="s">
        <v>467</v>
      </c>
    </row>
    <row r="48" spans="1:7" ht="34.2" customHeight="1">
      <c r="A48" s="16" t="s">
        <v>47</v>
      </c>
      <c r="B48" s="104">
        <v>12</v>
      </c>
      <c r="C48" s="73" t="s">
        <v>190</v>
      </c>
      <c r="D48" s="107" t="s">
        <v>330</v>
      </c>
      <c r="E48" s="107" t="s">
        <v>104</v>
      </c>
      <c r="F48" s="73" t="s">
        <v>382</v>
      </c>
      <c r="G48" s="73" t="s">
        <v>358</v>
      </c>
    </row>
    <row r="49" spans="1:7" ht="34.2" customHeight="1">
      <c r="A49" s="16" t="s">
        <v>47</v>
      </c>
      <c r="B49" s="104">
        <v>12</v>
      </c>
      <c r="C49" s="73" t="s">
        <v>190</v>
      </c>
      <c r="D49" s="107" t="s">
        <v>330</v>
      </c>
      <c r="E49" s="107" t="s">
        <v>104</v>
      </c>
      <c r="F49" s="73" t="s">
        <v>384</v>
      </c>
      <c r="G49" s="73"/>
    </row>
    <row r="50" spans="1:7" ht="20.6" customHeight="1">
      <c r="A50" s="138" t="s">
        <v>47</v>
      </c>
      <c r="B50" s="139">
        <v>13</v>
      </c>
      <c r="C50" s="140" t="s">
        <v>192</v>
      </c>
      <c r="D50" s="141" t="s">
        <v>330</v>
      </c>
      <c r="E50" s="141" t="s">
        <v>103</v>
      </c>
      <c r="F50" s="140" t="s">
        <v>453</v>
      </c>
      <c r="G50" s="140" t="s">
        <v>471</v>
      </c>
    </row>
    <row r="51" spans="1:7" ht="20.6" customHeight="1">
      <c r="A51" s="16" t="s">
        <v>47</v>
      </c>
      <c r="B51" s="104">
        <v>13</v>
      </c>
      <c r="C51" s="73" t="s">
        <v>192</v>
      </c>
      <c r="D51" s="107" t="s">
        <v>330</v>
      </c>
      <c r="E51" s="107" t="s">
        <v>104</v>
      </c>
      <c r="F51" s="73" t="s">
        <v>382</v>
      </c>
      <c r="G51" s="73" t="s">
        <v>359</v>
      </c>
    </row>
    <row r="52" spans="1:7" ht="20.6" customHeight="1">
      <c r="A52" s="16" t="s">
        <v>47</v>
      </c>
      <c r="B52" s="104">
        <v>13</v>
      </c>
      <c r="C52" s="73" t="s">
        <v>192</v>
      </c>
      <c r="D52" s="107" t="s">
        <v>330</v>
      </c>
      <c r="E52" s="107" t="s">
        <v>104</v>
      </c>
      <c r="F52" s="73" t="s">
        <v>384</v>
      </c>
      <c r="G52" s="73"/>
    </row>
    <row r="53" spans="1:7" ht="34.2" customHeight="1">
      <c r="A53" s="138" t="s">
        <v>47</v>
      </c>
      <c r="B53" s="139">
        <v>14</v>
      </c>
      <c r="C53" s="140" t="s">
        <v>194</v>
      </c>
      <c r="D53" s="141" t="s">
        <v>330</v>
      </c>
      <c r="E53" s="141" t="s">
        <v>103</v>
      </c>
      <c r="F53" s="140" t="s">
        <v>453</v>
      </c>
      <c r="G53" s="140" t="s">
        <v>473</v>
      </c>
    </row>
    <row r="54" spans="1:7" ht="34.2" customHeight="1">
      <c r="A54" s="16" t="s">
        <v>47</v>
      </c>
      <c r="B54" s="104">
        <v>14</v>
      </c>
      <c r="C54" s="73" t="s">
        <v>194</v>
      </c>
      <c r="D54" s="107" t="s">
        <v>330</v>
      </c>
      <c r="E54" s="107" t="s">
        <v>103</v>
      </c>
      <c r="F54" s="73" t="s">
        <v>388</v>
      </c>
      <c r="G54" s="73" t="s">
        <v>467</v>
      </c>
    </row>
    <row r="55" spans="1:7" ht="34.2" customHeight="1">
      <c r="A55" s="16" t="s">
        <v>47</v>
      </c>
      <c r="B55" s="104">
        <v>14</v>
      </c>
      <c r="C55" s="73" t="s">
        <v>194</v>
      </c>
      <c r="D55" s="107" t="s">
        <v>330</v>
      </c>
      <c r="E55" s="107" t="s">
        <v>104</v>
      </c>
      <c r="F55" s="73" t="s">
        <v>382</v>
      </c>
      <c r="G55" s="73" t="s">
        <v>360</v>
      </c>
    </row>
    <row r="56" spans="1:7" ht="34.2" customHeight="1">
      <c r="A56" s="16" t="s">
        <v>47</v>
      </c>
      <c r="B56" s="104">
        <v>14</v>
      </c>
      <c r="C56" s="73" t="s">
        <v>194</v>
      </c>
      <c r="D56" s="107" t="s">
        <v>330</v>
      </c>
      <c r="E56" s="107" t="s">
        <v>104</v>
      </c>
      <c r="F56" s="73" t="s">
        <v>384</v>
      </c>
      <c r="G56" s="73"/>
    </row>
    <row r="57" spans="1:7" ht="47.8" customHeight="1">
      <c r="A57" s="138" t="s">
        <v>47</v>
      </c>
      <c r="B57" s="139">
        <v>15</v>
      </c>
      <c r="C57" s="140" t="s">
        <v>196</v>
      </c>
      <c r="D57" s="141" t="s">
        <v>330</v>
      </c>
      <c r="E57" s="141" t="s">
        <v>103</v>
      </c>
      <c r="F57" s="140" t="s">
        <v>386</v>
      </c>
      <c r="G57" s="140" t="s">
        <v>421</v>
      </c>
    </row>
    <row r="58" spans="1:7" ht="47.8" customHeight="1">
      <c r="A58" s="16" t="s">
        <v>47</v>
      </c>
      <c r="B58" s="104">
        <v>15</v>
      </c>
      <c r="C58" s="73" t="s">
        <v>196</v>
      </c>
      <c r="D58" s="107" t="s">
        <v>330</v>
      </c>
      <c r="E58" s="107" t="s">
        <v>104</v>
      </c>
      <c r="F58" s="73" t="s">
        <v>382</v>
      </c>
      <c r="G58" s="73" t="s">
        <v>361</v>
      </c>
    </row>
    <row r="59" spans="1:7" ht="47.8" customHeight="1">
      <c r="A59" s="16" t="s">
        <v>47</v>
      </c>
      <c r="B59" s="104">
        <v>15</v>
      </c>
      <c r="C59" s="73" t="s">
        <v>196</v>
      </c>
      <c r="D59" s="107" t="s">
        <v>330</v>
      </c>
      <c r="E59" s="107" t="s">
        <v>104</v>
      </c>
      <c r="F59" s="73" t="s">
        <v>407</v>
      </c>
      <c r="G59" s="73" t="s">
        <v>167</v>
      </c>
    </row>
    <row r="60" spans="1:7" ht="47.8" customHeight="1">
      <c r="A60" s="16" t="s">
        <v>47</v>
      </c>
      <c r="B60" s="104">
        <v>15</v>
      </c>
      <c r="C60" s="73" t="s">
        <v>196</v>
      </c>
      <c r="D60" s="107" t="s">
        <v>330</v>
      </c>
      <c r="E60" s="107" t="s">
        <v>104</v>
      </c>
      <c r="F60" s="73" t="s">
        <v>384</v>
      </c>
      <c r="G60" s="73"/>
    </row>
    <row r="61" spans="1:7" ht="47.8" customHeight="1">
      <c r="A61" s="138" t="s">
        <v>47</v>
      </c>
      <c r="B61" s="139">
        <v>16</v>
      </c>
      <c r="C61" s="140" t="s">
        <v>199</v>
      </c>
      <c r="D61" s="141" t="s">
        <v>330</v>
      </c>
      <c r="E61" s="141" t="s">
        <v>103</v>
      </c>
      <c r="F61" s="140" t="s">
        <v>386</v>
      </c>
      <c r="G61" s="140" t="s">
        <v>415</v>
      </c>
    </row>
    <row r="62" spans="1:7" ht="34.2" customHeight="1">
      <c r="A62" s="16" t="s">
        <v>47</v>
      </c>
      <c r="B62" s="104">
        <v>16</v>
      </c>
      <c r="C62" s="73" t="s">
        <v>199</v>
      </c>
      <c r="D62" s="107" t="s">
        <v>330</v>
      </c>
      <c r="E62" s="107" t="s">
        <v>103</v>
      </c>
      <c r="F62" s="73" t="s">
        <v>388</v>
      </c>
      <c r="G62" s="73" t="s">
        <v>476</v>
      </c>
    </row>
    <row r="63" spans="1:7" ht="34.2" customHeight="1">
      <c r="A63" s="16" t="s">
        <v>47</v>
      </c>
      <c r="B63" s="104">
        <v>16</v>
      </c>
      <c r="C63" s="73" t="s">
        <v>199</v>
      </c>
      <c r="D63" s="107" t="s">
        <v>330</v>
      </c>
      <c r="E63" s="107" t="s">
        <v>104</v>
      </c>
      <c r="F63" s="73" t="s">
        <v>382</v>
      </c>
      <c r="G63" s="73" t="s">
        <v>362</v>
      </c>
    </row>
    <row r="64" spans="1:7" ht="34.2" customHeight="1">
      <c r="A64" s="16" t="s">
        <v>47</v>
      </c>
      <c r="B64" s="104">
        <v>16</v>
      </c>
      <c r="C64" s="73" t="s">
        <v>199</v>
      </c>
      <c r="D64" s="107" t="s">
        <v>330</v>
      </c>
      <c r="E64" s="107" t="s">
        <v>104</v>
      </c>
      <c r="F64" s="73" t="s">
        <v>407</v>
      </c>
      <c r="G64" s="73" t="s">
        <v>167</v>
      </c>
    </row>
    <row r="65" spans="1:7" ht="34.2" customHeight="1">
      <c r="A65" s="16" t="s">
        <v>47</v>
      </c>
      <c r="B65" s="104">
        <v>16</v>
      </c>
      <c r="C65" s="73" t="s">
        <v>199</v>
      </c>
      <c r="D65" s="107" t="s">
        <v>330</v>
      </c>
      <c r="E65" s="107" t="s">
        <v>104</v>
      </c>
      <c r="F65" s="73" t="s">
        <v>384</v>
      </c>
      <c r="G65" s="73"/>
    </row>
    <row r="66" spans="1:7" ht="47.8" customHeight="1">
      <c r="A66" s="138" t="s">
        <v>47</v>
      </c>
      <c r="B66" s="139">
        <v>17</v>
      </c>
      <c r="C66" s="140" t="s">
        <v>152</v>
      </c>
      <c r="D66" s="141" t="s">
        <v>330</v>
      </c>
      <c r="E66" s="141" t="s">
        <v>103</v>
      </c>
      <c r="F66" s="140" t="s">
        <v>386</v>
      </c>
      <c r="G66" s="140" t="s">
        <v>415</v>
      </c>
    </row>
    <row r="67" spans="1:7" ht="34.2" customHeight="1">
      <c r="A67" s="16" t="s">
        <v>47</v>
      </c>
      <c r="B67" s="104">
        <v>17</v>
      </c>
      <c r="C67" s="73" t="s">
        <v>152</v>
      </c>
      <c r="D67" s="107" t="s">
        <v>330</v>
      </c>
      <c r="E67" s="107" t="s">
        <v>104</v>
      </c>
      <c r="F67" s="73" t="s">
        <v>382</v>
      </c>
      <c r="G67" s="73" t="s">
        <v>478</v>
      </c>
    </row>
    <row r="68" spans="1:7" ht="34.2" customHeight="1">
      <c r="A68" s="16" t="s">
        <v>47</v>
      </c>
      <c r="B68" s="104">
        <v>17</v>
      </c>
      <c r="C68" s="73" t="s">
        <v>152</v>
      </c>
      <c r="D68" s="107" t="s">
        <v>330</v>
      </c>
      <c r="E68" s="107" t="s">
        <v>104</v>
      </c>
      <c r="F68" s="73" t="s">
        <v>412</v>
      </c>
      <c r="G68" s="73" t="s">
        <v>362</v>
      </c>
    </row>
    <row r="69" spans="1:7" ht="34.2" customHeight="1">
      <c r="A69" s="16" t="s">
        <v>47</v>
      </c>
      <c r="B69" s="104">
        <v>17</v>
      </c>
      <c r="C69" s="73" t="s">
        <v>152</v>
      </c>
      <c r="D69" s="107" t="s">
        <v>330</v>
      </c>
      <c r="E69" s="107" t="s">
        <v>104</v>
      </c>
      <c r="F69" s="73" t="s">
        <v>384</v>
      </c>
      <c r="G69" s="73"/>
    </row>
    <row r="70" spans="1:7" ht="47.8" customHeight="1">
      <c r="A70" s="138" t="s">
        <v>47</v>
      </c>
      <c r="B70" s="139">
        <v>18</v>
      </c>
      <c r="C70" s="140" t="s">
        <v>156</v>
      </c>
      <c r="D70" s="141" t="s">
        <v>330</v>
      </c>
      <c r="E70" s="141" t="s">
        <v>103</v>
      </c>
      <c r="F70" s="140" t="s">
        <v>386</v>
      </c>
      <c r="G70" s="140" t="s">
        <v>427</v>
      </c>
    </row>
    <row r="71" spans="1:7" ht="34.2" customHeight="1">
      <c r="A71" s="16" t="s">
        <v>47</v>
      </c>
      <c r="B71" s="104">
        <v>18</v>
      </c>
      <c r="C71" s="73" t="s">
        <v>156</v>
      </c>
      <c r="D71" s="107" t="s">
        <v>330</v>
      </c>
      <c r="E71" s="107" t="s">
        <v>104</v>
      </c>
      <c r="F71" s="73" t="s">
        <v>382</v>
      </c>
      <c r="G71" s="73" t="s">
        <v>356</v>
      </c>
    </row>
    <row r="72" spans="1:7" ht="34.2" customHeight="1">
      <c r="A72" s="16" t="s">
        <v>47</v>
      </c>
      <c r="B72" s="104">
        <v>18</v>
      </c>
      <c r="C72" s="73" t="s">
        <v>156</v>
      </c>
      <c r="D72" s="107" t="s">
        <v>330</v>
      </c>
      <c r="E72" s="107" t="s">
        <v>104</v>
      </c>
      <c r="F72" s="73" t="s">
        <v>412</v>
      </c>
      <c r="G72" s="73" t="s">
        <v>480</v>
      </c>
    </row>
    <row r="73" spans="1:7" ht="34.2" customHeight="1">
      <c r="A73" s="16" t="s">
        <v>47</v>
      </c>
      <c r="B73" s="104">
        <v>18</v>
      </c>
      <c r="C73" s="73" t="s">
        <v>156</v>
      </c>
      <c r="D73" s="107" t="s">
        <v>330</v>
      </c>
      <c r="E73" s="107" t="s">
        <v>104</v>
      </c>
      <c r="F73" s="73" t="s">
        <v>384</v>
      </c>
      <c r="G73" s="73"/>
    </row>
    <row r="74" spans="1:7" ht="34.2" customHeight="1">
      <c r="A74" s="138" t="s">
        <v>47</v>
      </c>
      <c r="B74" s="139">
        <v>19</v>
      </c>
      <c r="C74" s="140" t="s">
        <v>160</v>
      </c>
      <c r="D74" s="141" t="s">
        <v>330</v>
      </c>
      <c r="E74" s="141" t="s">
        <v>103</v>
      </c>
      <c r="F74" s="140" t="s">
        <v>388</v>
      </c>
      <c r="G74" s="140" t="s">
        <v>430</v>
      </c>
    </row>
    <row r="75" spans="1:7" ht="20.6" customHeight="1">
      <c r="A75" s="16" t="s">
        <v>47</v>
      </c>
      <c r="B75" s="104">
        <v>19</v>
      </c>
      <c r="C75" s="73" t="s">
        <v>160</v>
      </c>
      <c r="D75" s="107" t="s">
        <v>330</v>
      </c>
      <c r="E75" s="107" t="s">
        <v>104</v>
      </c>
      <c r="F75" s="73" t="s">
        <v>382</v>
      </c>
      <c r="G75" s="73" t="s">
        <v>482</v>
      </c>
    </row>
    <row r="76" spans="1:7" ht="20.6" customHeight="1">
      <c r="A76" s="16" t="s">
        <v>47</v>
      </c>
      <c r="B76" s="104">
        <v>19</v>
      </c>
      <c r="C76" s="73" t="s">
        <v>160</v>
      </c>
      <c r="D76" s="107" t="s">
        <v>330</v>
      </c>
      <c r="E76" s="107" t="s">
        <v>104</v>
      </c>
      <c r="F76" s="73" t="s">
        <v>412</v>
      </c>
      <c r="G76" s="73" t="s">
        <v>483</v>
      </c>
    </row>
    <row r="77" spans="1:7" ht="20.6" customHeight="1">
      <c r="A77" s="16" t="s">
        <v>47</v>
      </c>
      <c r="B77" s="104">
        <v>19</v>
      </c>
      <c r="C77" s="73" t="s">
        <v>160</v>
      </c>
      <c r="D77" s="107" t="s">
        <v>330</v>
      </c>
      <c r="E77" s="107" t="s">
        <v>104</v>
      </c>
      <c r="F77" s="73" t="s">
        <v>384</v>
      </c>
      <c r="G77" s="73"/>
    </row>
    <row r="78" spans="1:7" ht="183.8" customHeight="1">
      <c r="A78" s="138" t="s">
        <v>47</v>
      </c>
      <c r="B78" s="139">
        <v>20</v>
      </c>
      <c r="C78" s="140" t="s">
        <v>164</v>
      </c>
      <c r="D78" s="141" t="s">
        <v>330</v>
      </c>
      <c r="E78" s="141" t="s">
        <v>103</v>
      </c>
      <c r="F78" s="140" t="s">
        <v>386</v>
      </c>
      <c r="G78" s="140" t="s">
        <v>433</v>
      </c>
    </row>
    <row r="79" spans="1:7" ht="34.2" customHeight="1">
      <c r="A79" s="16" t="s">
        <v>47</v>
      </c>
      <c r="B79" s="104">
        <v>20</v>
      </c>
      <c r="C79" s="73" t="s">
        <v>164</v>
      </c>
      <c r="D79" s="107" t="s">
        <v>330</v>
      </c>
      <c r="E79" s="107" t="s">
        <v>103</v>
      </c>
      <c r="F79" s="73" t="s">
        <v>388</v>
      </c>
      <c r="G79" s="73" t="s">
        <v>434</v>
      </c>
    </row>
    <row r="80" spans="1:7" ht="34.2" customHeight="1">
      <c r="A80" s="16" t="s">
        <v>47</v>
      </c>
      <c r="B80" s="104">
        <v>20</v>
      </c>
      <c r="C80" s="73" t="s">
        <v>164</v>
      </c>
      <c r="D80" s="107" t="s">
        <v>330</v>
      </c>
      <c r="E80" s="107" t="s">
        <v>496</v>
      </c>
      <c r="F80" s="73" t="s">
        <v>386</v>
      </c>
      <c r="G80" s="73" t="s">
        <v>435</v>
      </c>
    </row>
    <row r="81" spans="1:7" ht="34.2" customHeight="1">
      <c r="A81" s="16" t="s">
        <v>47</v>
      </c>
      <c r="B81" s="104">
        <v>20</v>
      </c>
      <c r="C81" s="73" t="s">
        <v>164</v>
      </c>
      <c r="D81" s="107" t="s">
        <v>330</v>
      </c>
      <c r="E81" s="107" t="s">
        <v>104</v>
      </c>
      <c r="F81" s="73" t="s">
        <v>382</v>
      </c>
      <c r="G81" s="73" t="s">
        <v>482</v>
      </c>
    </row>
    <row r="82" spans="1:7" ht="34.2" customHeight="1">
      <c r="A82" s="16" t="s">
        <v>47</v>
      </c>
      <c r="B82" s="104">
        <v>20</v>
      </c>
      <c r="C82" s="73" t="s">
        <v>164</v>
      </c>
      <c r="D82" s="107" t="s">
        <v>330</v>
      </c>
      <c r="E82" s="107" t="s">
        <v>104</v>
      </c>
      <c r="F82" s="73" t="s">
        <v>412</v>
      </c>
      <c r="G82" s="73" t="s">
        <v>483</v>
      </c>
    </row>
    <row r="83" spans="1:7" ht="34.2" customHeight="1">
      <c r="A83" s="16" t="s">
        <v>47</v>
      </c>
      <c r="B83" s="104">
        <v>20</v>
      </c>
      <c r="C83" s="73" t="s">
        <v>164</v>
      </c>
      <c r="D83" s="107" t="s">
        <v>330</v>
      </c>
      <c r="E83" s="107" t="s">
        <v>104</v>
      </c>
      <c r="F83" s="73" t="s">
        <v>384</v>
      </c>
      <c r="G83" s="73"/>
    </row>
    <row r="84" spans="1:7" ht="20.6" customHeight="1">
      <c r="A84" s="138" t="s">
        <v>47</v>
      </c>
      <c r="B84" s="139">
        <v>21</v>
      </c>
      <c r="C84" s="140" t="s">
        <v>124</v>
      </c>
      <c r="D84" s="141" t="s">
        <v>330</v>
      </c>
      <c r="E84" s="141" t="s">
        <v>103</v>
      </c>
      <c r="F84" s="140" t="s">
        <v>388</v>
      </c>
      <c r="G84" s="140" t="s">
        <v>486</v>
      </c>
    </row>
    <row r="85" spans="1:7" ht="211" customHeight="1">
      <c r="A85" s="16" t="s">
        <v>47</v>
      </c>
      <c r="B85" s="104">
        <v>21</v>
      </c>
      <c r="C85" s="73" t="s">
        <v>124</v>
      </c>
      <c r="D85" s="107" t="s">
        <v>330</v>
      </c>
      <c r="E85" s="107" t="s">
        <v>496</v>
      </c>
      <c r="F85" s="73" t="s">
        <v>386</v>
      </c>
      <c r="G85" s="73" t="s">
        <v>487</v>
      </c>
    </row>
    <row r="86" spans="1:7" ht="20.6" customHeight="1">
      <c r="A86" s="16" t="s">
        <v>47</v>
      </c>
      <c r="B86" s="104">
        <v>21</v>
      </c>
      <c r="C86" s="73" t="s">
        <v>124</v>
      </c>
      <c r="D86" s="107" t="s">
        <v>330</v>
      </c>
      <c r="E86" s="107" t="s">
        <v>496</v>
      </c>
      <c r="F86" s="73" t="s">
        <v>388</v>
      </c>
      <c r="G86" s="73" t="s">
        <v>488</v>
      </c>
    </row>
    <row r="87" spans="1:7" ht="20.6" customHeight="1">
      <c r="A87" s="16" t="s">
        <v>47</v>
      </c>
      <c r="B87" s="104">
        <v>21</v>
      </c>
      <c r="C87" s="73" t="s">
        <v>124</v>
      </c>
      <c r="D87" s="107" t="s">
        <v>330</v>
      </c>
      <c r="E87" s="107" t="s">
        <v>104</v>
      </c>
      <c r="F87" s="73" t="s">
        <v>382</v>
      </c>
      <c r="G87" s="73" t="s">
        <v>366</v>
      </c>
    </row>
    <row r="88" spans="1:7" ht="20.6" customHeight="1">
      <c r="A88" s="16" t="s">
        <v>47</v>
      </c>
      <c r="B88" s="104">
        <v>21</v>
      </c>
      <c r="C88" s="73" t="s">
        <v>124</v>
      </c>
      <c r="D88" s="107" t="s">
        <v>330</v>
      </c>
      <c r="E88" s="107" t="s">
        <v>104</v>
      </c>
      <c r="F88" s="73" t="s">
        <v>407</v>
      </c>
      <c r="G88" s="73" t="s">
        <v>408</v>
      </c>
    </row>
    <row r="89" spans="1:7" ht="20.6" customHeight="1">
      <c r="A89" s="16" t="s">
        <v>47</v>
      </c>
      <c r="B89" s="104">
        <v>21</v>
      </c>
      <c r="C89" s="73" t="s">
        <v>124</v>
      </c>
      <c r="D89" s="107" t="s">
        <v>330</v>
      </c>
      <c r="E89" s="107" t="s">
        <v>104</v>
      </c>
      <c r="F89" s="73" t="s">
        <v>384</v>
      </c>
      <c r="G89" s="73"/>
    </row>
    <row r="90" spans="1:7" ht="34.2" customHeight="1">
      <c r="A90" s="138" t="s">
        <v>47</v>
      </c>
      <c r="B90" s="139">
        <v>22</v>
      </c>
      <c r="C90" s="140" t="s">
        <v>202</v>
      </c>
      <c r="D90" s="141" t="s">
        <v>330</v>
      </c>
      <c r="E90" s="141" t="s">
        <v>103</v>
      </c>
      <c r="F90" s="140" t="s">
        <v>388</v>
      </c>
      <c r="G90" s="140" t="s">
        <v>490</v>
      </c>
    </row>
    <row r="91" spans="1:7" ht="34.2" customHeight="1">
      <c r="A91" s="16" t="s">
        <v>47</v>
      </c>
      <c r="B91" s="104">
        <v>22</v>
      </c>
      <c r="C91" s="73" t="s">
        <v>202</v>
      </c>
      <c r="D91" s="107" t="s">
        <v>330</v>
      </c>
      <c r="E91" s="107" t="s">
        <v>104</v>
      </c>
      <c r="F91" s="73" t="s">
        <v>382</v>
      </c>
      <c r="G91" s="73" t="s">
        <v>367</v>
      </c>
    </row>
    <row r="92" spans="1:7" ht="20.6" customHeight="1">
      <c r="A92" s="16" t="s">
        <v>47</v>
      </c>
      <c r="B92" s="104">
        <v>22</v>
      </c>
      <c r="C92" s="73" t="s">
        <v>202</v>
      </c>
      <c r="D92" s="107" t="s">
        <v>330</v>
      </c>
      <c r="E92" s="107" t="s">
        <v>104</v>
      </c>
      <c r="F92" s="73" t="s">
        <v>407</v>
      </c>
      <c r="G92" s="73" t="s">
        <v>167</v>
      </c>
    </row>
    <row r="93" spans="1:7" ht="20.6" customHeight="1">
      <c r="A93" s="16" t="s">
        <v>47</v>
      </c>
      <c r="B93" s="104">
        <v>22</v>
      </c>
      <c r="C93" s="73" t="s">
        <v>202</v>
      </c>
      <c r="D93" s="107" t="s">
        <v>330</v>
      </c>
      <c r="E93" s="107" t="s">
        <v>104</v>
      </c>
      <c r="F93" s="73" t="s">
        <v>384</v>
      </c>
      <c r="G93" s="73"/>
    </row>
    <row r="94" spans="1:7" ht="34.2" customHeight="1">
      <c r="A94" s="138" t="s">
        <v>47</v>
      </c>
      <c r="B94" s="139">
        <v>23</v>
      </c>
      <c r="C94" s="140" t="s">
        <v>128</v>
      </c>
      <c r="D94" s="141" t="s">
        <v>330</v>
      </c>
      <c r="E94" s="141" t="s">
        <v>103</v>
      </c>
      <c r="F94" s="140" t="s">
        <v>439</v>
      </c>
      <c r="G94" s="140" t="s">
        <v>497</v>
      </c>
    </row>
    <row r="95" spans="1:7" ht="20.6" customHeight="1">
      <c r="A95" s="16" t="s">
        <v>47</v>
      </c>
      <c r="B95" s="104">
        <v>23</v>
      </c>
      <c r="C95" s="73" t="s">
        <v>128</v>
      </c>
      <c r="D95" s="107" t="s">
        <v>330</v>
      </c>
      <c r="E95" s="107" t="s">
        <v>496</v>
      </c>
      <c r="F95" s="73" t="s">
        <v>386</v>
      </c>
      <c r="G95" s="73" t="s">
        <v>442</v>
      </c>
    </row>
    <row r="96" spans="1:7" ht="34.2" customHeight="1">
      <c r="A96" s="16" t="s">
        <v>47</v>
      </c>
      <c r="B96" s="104">
        <v>23</v>
      </c>
      <c r="C96" s="73" t="s">
        <v>128</v>
      </c>
      <c r="D96" s="107" t="s">
        <v>330</v>
      </c>
      <c r="E96" s="107" t="s">
        <v>496</v>
      </c>
      <c r="F96" s="73" t="s">
        <v>388</v>
      </c>
      <c r="G96" s="73" t="s">
        <v>444</v>
      </c>
    </row>
    <row r="97" spans="1:7" ht="20.6" customHeight="1">
      <c r="A97" s="16" t="s">
        <v>47</v>
      </c>
      <c r="B97" s="104">
        <v>23</v>
      </c>
      <c r="C97" s="73" t="s">
        <v>128</v>
      </c>
      <c r="D97" s="107" t="s">
        <v>330</v>
      </c>
      <c r="E97" s="107" t="s">
        <v>104</v>
      </c>
      <c r="F97" s="73" t="s">
        <v>382</v>
      </c>
      <c r="G97" s="73" t="s">
        <v>366</v>
      </c>
    </row>
    <row r="98" spans="1:7" ht="20.6" customHeight="1">
      <c r="A98" s="16" t="s">
        <v>47</v>
      </c>
      <c r="B98" s="104">
        <v>23</v>
      </c>
      <c r="C98" s="73" t="s">
        <v>128</v>
      </c>
      <c r="D98" s="107" t="s">
        <v>330</v>
      </c>
      <c r="E98" s="107" t="s">
        <v>104</v>
      </c>
      <c r="F98" s="73" t="s">
        <v>407</v>
      </c>
      <c r="G98" s="73" t="s">
        <v>408</v>
      </c>
    </row>
    <row r="99" spans="1:7" ht="20.6" customHeight="1">
      <c r="A99" s="16" t="s">
        <v>47</v>
      </c>
      <c r="B99" s="104">
        <v>23</v>
      </c>
      <c r="C99" s="73" t="s">
        <v>128</v>
      </c>
      <c r="D99" s="107" t="s">
        <v>330</v>
      </c>
      <c r="E99" s="107" t="s">
        <v>104</v>
      </c>
      <c r="F99" s="73" t="s">
        <v>384</v>
      </c>
      <c r="G99" s="73"/>
    </row>
    <row r="100" spans="1:7" ht="34.2" customHeight="1">
      <c r="A100" s="138" t="s">
        <v>47</v>
      </c>
      <c r="B100" s="139">
        <v>24</v>
      </c>
      <c r="C100" s="140" t="s">
        <v>132</v>
      </c>
      <c r="D100" s="141" t="s">
        <v>349</v>
      </c>
      <c r="E100" s="141" t="s">
        <v>103</v>
      </c>
      <c r="F100" s="140" t="s">
        <v>439</v>
      </c>
      <c r="G100" s="140" t="s">
        <v>497</v>
      </c>
    </row>
    <row r="101" spans="1:7" ht="20.6" customHeight="1">
      <c r="A101" s="16" t="s">
        <v>47</v>
      </c>
      <c r="B101" s="104">
        <v>24</v>
      </c>
      <c r="C101" s="73" t="s">
        <v>132</v>
      </c>
      <c r="D101" s="107" t="s">
        <v>349</v>
      </c>
      <c r="E101" s="107" t="s">
        <v>496</v>
      </c>
      <c r="F101" s="73" t="s">
        <v>386</v>
      </c>
      <c r="G101" s="73" t="s">
        <v>442</v>
      </c>
    </row>
    <row r="102" spans="1:7" ht="34.2" customHeight="1">
      <c r="A102" s="16" t="s">
        <v>47</v>
      </c>
      <c r="B102" s="104">
        <v>24</v>
      </c>
      <c r="C102" s="73" t="s">
        <v>132</v>
      </c>
      <c r="D102" s="107" t="s">
        <v>349</v>
      </c>
      <c r="E102" s="107" t="s">
        <v>496</v>
      </c>
      <c r="F102" s="73" t="s">
        <v>388</v>
      </c>
      <c r="G102" s="73" t="s">
        <v>444</v>
      </c>
    </row>
    <row r="103" spans="1:7" ht="20.6" customHeight="1">
      <c r="A103" s="16" t="s">
        <v>47</v>
      </c>
      <c r="B103" s="104">
        <v>24</v>
      </c>
      <c r="C103" s="73" t="s">
        <v>132</v>
      </c>
      <c r="D103" s="107" t="s">
        <v>349</v>
      </c>
      <c r="E103" s="107" t="s">
        <v>104</v>
      </c>
      <c r="F103" s="73" t="s">
        <v>382</v>
      </c>
      <c r="G103" s="73" t="s">
        <v>351</v>
      </c>
    </row>
    <row r="104" spans="1:7" ht="20.6" customHeight="1">
      <c r="A104" s="16" t="s">
        <v>47</v>
      </c>
      <c r="B104" s="104">
        <v>24</v>
      </c>
      <c r="C104" s="73" t="s">
        <v>132</v>
      </c>
      <c r="D104" s="107" t="s">
        <v>349</v>
      </c>
      <c r="E104" s="107" t="s">
        <v>104</v>
      </c>
      <c r="F104" s="73" t="s">
        <v>407</v>
      </c>
      <c r="G104" s="73" t="s">
        <v>493</v>
      </c>
    </row>
    <row r="105" spans="1:7" ht="20.6" customHeight="1">
      <c r="A105" s="16" t="s">
        <v>47</v>
      </c>
      <c r="B105" s="104">
        <v>24</v>
      </c>
      <c r="C105" s="73" t="s">
        <v>132</v>
      </c>
      <c r="D105" s="107" t="s">
        <v>349</v>
      </c>
      <c r="E105" s="107" t="s">
        <v>104</v>
      </c>
      <c r="F105" s="73" t="s">
        <v>384</v>
      </c>
      <c r="G105" s="73"/>
    </row>
    <row r="106" spans="1:7" ht="34.2" customHeight="1">
      <c r="A106" s="138" t="s">
        <v>47</v>
      </c>
      <c r="B106" s="139">
        <v>25</v>
      </c>
      <c r="C106" s="140" t="s">
        <v>204</v>
      </c>
      <c r="D106" s="141" t="s">
        <v>349</v>
      </c>
      <c r="E106" s="141" t="s">
        <v>103</v>
      </c>
      <c r="F106" s="140" t="s">
        <v>439</v>
      </c>
      <c r="G106" s="140" t="s">
        <v>497</v>
      </c>
    </row>
    <row r="107" spans="1:7" ht="34.2" customHeight="1">
      <c r="A107" s="16" t="s">
        <v>47</v>
      </c>
      <c r="B107" s="104">
        <v>25</v>
      </c>
      <c r="C107" s="73" t="s">
        <v>204</v>
      </c>
      <c r="D107" s="107" t="s">
        <v>349</v>
      </c>
      <c r="E107" s="107" t="s">
        <v>496</v>
      </c>
      <c r="F107" s="73" t="s">
        <v>386</v>
      </c>
      <c r="G107" s="73" t="s">
        <v>442</v>
      </c>
    </row>
    <row r="108" spans="1:7" ht="34.2" customHeight="1">
      <c r="A108" s="16" t="s">
        <v>47</v>
      </c>
      <c r="B108" s="104">
        <v>25</v>
      </c>
      <c r="C108" s="73" t="s">
        <v>204</v>
      </c>
      <c r="D108" s="107" t="s">
        <v>349</v>
      </c>
      <c r="E108" s="107" t="s">
        <v>496</v>
      </c>
      <c r="F108" s="73" t="s">
        <v>388</v>
      </c>
      <c r="G108" s="73" t="s">
        <v>444</v>
      </c>
    </row>
    <row r="109" spans="1:7" ht="34.2" customHeight="1">
      <c r="A109" s="16" t="s">
        <v>47</v>
      </c>
      <c r="B109" s="104">
        <v>25</v>
      </c>
      <c r="C109" s="73" t="s">
        <v>204</v>
      </c>
      <c r="D109" s="107" t="s">
        <v>349</v>
      </c>
      <c r="E109" s="107" t="s">
        <v>104</v>
      </c>
      <c r="F109" s="73" t="s">
        <v>382</v>
      </c>
      <c r="G109" s="73" t="s">
        <v>366</v>
      </c>
    </row>
    <row r="110" spans="1:7" ht="34.2" customHeight="1">
      <c r="A110" s="16" t="s">
        <v>47</v>
      </c>
      <c r="B110" s="104">
        <v>25</v>
      </c>
      <c r="C110" s="73" t="s">
        <v>204</v>
      </c>
      <c r="D110" s="107" t="s">
        <v>349</v>
      </c>
      <c r="E110" s="107" t="s">
        <v>104</v>
      </c>
      <c r="F110" s="73" t="s">
        <v>418</v>
      </c>
      <c r="G110" s="73" t="s">
        <v>408</v>
      </c>
    </row>
    <row r="111" spans="1:7" ht="34.2" customHeight="1">
      <c r="A111" s="16" t="s">
        <v>47</v>
      </c>
      <c r="B111" s="104">
        <v>25</v>
      </c>
      <c r="C111" s="73" t="s">
        <v>204</v>
      </c>
      <c r="D111" s="107" t="s">
        <v>349</v>
      </c>
      <c r="E111" s="107" t="s">
        <v>104</v>
      </c>
      <c r="F111" s="73" t="s">
        <v>384</v>
      </c>
      <c r="G111" s="73"/>
    </row>
    <row r="112" spans="1:7" ht="34.2" customHeight="1">
      <c r="A112" s="109" t="s">
        <v>46</v>
      </c>
      <c r="B112" s="108">
        <v>1</v>
      </c>
      <c r="C112" s="112" t="s">
        <v>329</v>
      </c>
      <c r="D112" s="111" t="s">
        <v>330</v>
      </c>
      <c r="E112" s="111" t="s">
        <v>103</v>
      </c>
      <c r="F112" s="112" t="s">
        <v>379</v>
      </c>
      <c r="G112" s="112" t="s">
        <v>380</v>
      </c>
    </row>
    <row r="113" spans="1:7" ht="34.2" customHeight="1">
      <c r="A113" s="16" t="s">
        <v>46</v>
      </c>
      <c r="B113" s="104">
        <v>1</v>
      </c>
      <c r="C113" s="73" t="s">
        <v>329</v>
      </c>
      <c r="D113" s="107" t="s">
        <v>330</v>
      </c>
      <c r="E113" s="107" t="s">
        <v>104</v>
      </c>
      <c r="F113" s="73" t="s">
        <v>382</v>
      </c>
      <c r="G113" s="73" t="s">
        <v>333</v>
      </c>
    </row>
    <row r="114" spans="1:7" ht="34.2" customHeight="1">
      <c r="A114" s="16" t="s">
        <v>46</v>
      </c>
      <c r="B114" s="104">
        <v>1</v>
      </c>
      <c r="C114" s="73" t="s">
        <v>329</v>
      </c>
      <c r="D114" s="107" t="s">
        <v>330</v>
      </c>
      <c r="E114" s="107" t="s">
        <v>104</v>
      </c>
      <c r="F114" s="73" t="s">
        <v>384</v>
      </c>
      <c r="G114" s="73"/>
    </row>
    <row r="115" spans="1:7" ht="34.2" customHeight="1">
      <c r="A115" s="138" t="s">
        <v>46</v>
      </c>
      <c r="B115" s="139">
        <v>2</v>
      </c>
      <c r="C115" s="140" t="s">
        <v>167</v>
      </c>
      <c r="D115" s="141" t="s">
        <v>330</v>
      </c>
      <c r="E115" s="141" t="s">
        <v>103</v>
      </c>
      <c r="F115" s="140" t="s">
        <v>386</v>
      </c>
      <c r="G115" s="140" t="s">
        <v>167</v>
      </c>
    </row>
    <row r="116" spans="1:7" ht="34.2" customHeight="1">
      <c r="A116" s="16" t="s">
        <v>46</v>
      </c>
      <c r="B116" s="104">
        <v>2</v>
      </c>
      <c r="C116" s="73" t="s">
        <v>167</v>
      </c>
      <c r="D116" s="107" t="s">
        <v>330</v>
      </c>
      <c r="E116" s="107" t="s">
        <v>103</v>
      </c>
      <c r="F116" s="73" t="s">
        <v>388</v>
      </c>
      <c r="G116" s="73" t="s">
        <v>389</v>
      </c>
    </row>
    <row r="117" spans="1:7" ht="34.2" customHeight="1">
      <c r="A117" s="16" t="s">
        <v>46</v>
      </c>
      <c r="B117" s="104">
        <v>2</v>
      </c>
      <c r="C117" s="73" t="s">
        <v>167</v>
      </c>
      <c r="D117" s="107" t="s">
        <v>330</v>
      </c>
      <c r="E117" s="107" t="s">
        <v>104</v>
      </c>
      <c r="F117" s="73" t="s">
        <v>382</v>
      </c>
      <c r="G117" s="73" t="s">
        <v>334</v>
      </c>
    </row>
    <row r="118" spans="1:7" ht="34.2" customHeight="1">
      <c r="A118" s="16" t="s">
        <v>46</v>
      </c>
      <c r="B118" s="104">
        <v>2</v>
      </c>
      <c r="C118" s="73" t="s">
        <v>167</v>
      </c>
      <c r="D118" s="107" t="s">
        <v>330</v>
      </c>
      <c r="E118" s="107" t="s">
        <v>104</v>
      </c>
      <c r="F118" s="73" t="s">
        <v>384</v>
      </c>
      <c r="G118" s="73"/>
    </row>
    <row r="119" spans="1:7" ht="20.6" customHeight="1">
      <c r="A119" s="138" t="s">
        <v>46</v>
      </c>
      <c r="B119" s="139">
        <v>3</v>
      </c>
      <c r="C119" s="140" t="s">
        <v>171</v>
      </c>
      <c r="D119" s="141" t="s">
        <v>330</v>
      </c>
      <c r="E119" s="141" t="s">
        <v>103</v>
      </c>
      <c r="F119" s="140" t="s">
        <v>386</v>
      </c>
      <c r="G119" s="140" t="s">
        <v>171</v>
      </c>
    </row>
    <row r="120" spans="1:7" ht="20.6" customHeight="1">
      <c r="A120" s="16" t="s">
        <v>46</v>
      </c>
      <c r="B120" s="104">
        <v>3</v>
      </c>
      <c r="C120" s="73" t="s">
        <v>171</v>
      </c>
      <c r="D120" s="107" t="s">
        <v>330</v>
      </c>
      <c r="E120" s="107" t="s">
        <v>103</v>
      </c>
      <c r="F120" s="73" t="s">
        <v>388</v>
      </c>
      <c r="G120" s="73" t="s">
        <v>391</v>
      </c>
    </row>
    <row r="121" spans="1:7" ht="20.6" customHeight="1">
      <c r="A121" s="16" t="s">
        <v>46</v>
      </c>
      <c r="B121" s="104">
        <v>3</v>
      </c>
      <c r="C121" s="73" t="s">
        <v>171</v>
      </c>
      <c r="D121" s="107" t="s">
        <v>330</v>
      </c>
      <c r="E121" s="107" t="s">
        <v>104</v>
      </c>
      <c r="F121" s="73" t="s">
        <v>382</v>
      </c>
      <c r="G121" s="73" t="s">
        <v>335</v>
      </c>
    </row>
    <row r="122" spans="1:7" ht="20.6" customHeight="1">
      <c r="A122" s="16" t="s">
        <v>46</v>
      </c>
      <c r="B122" s="104">
        <v>3</v>
      </c>
      <c r="C122" s="73" t="s">
        <v>171</v>
      </c>
      <c r="D122" s="107" t="s">
        <v>330</v>
      </c>
      <c r="E122" s="107" t="s">
        <v>104</v>
      </c>
      <c r="F122" s="73" t="s">
        <v>384</v>
      </c>
      <c r="G122" s="73"/>
    </row>
    <row r="123" spans="1:7" ht="20.6" customHeight="1">
      <c r="A123" s="138" t="s">
        <v>46</v>
      </c>
      <c r="B123" s="139">
        <v>4</v>
      </c>
      <c r="C123" s="140" t="s">
        <v>173</v>
      </c>
      <c r="D123" s="141" t="s">
        <v>330</v>
      </c>
      <c r="E123" s="141" t="s">
        <v>103</v>
      </c>
      <c r="F123" s="140" t="s">
        <v>388</v>
      </c>
      <c r="G123" s="140" t="s">
        <v>393</v>
      </c>
    </row>
    <row r="124" spans="1:7" ht="20.6" customHeight="1">
      <c r="A124" s="16" t="s">
        <v>46</v>
      </c>
      <c r="B124" s="104">
        <v>4</v>
      </c>
      <c r="C124" s="73" t="s">
        <v>173</v>
      </c>
      <c r="D124" s="107" t="s">
        <v>330</v>
      </c>
      <c r="E124" s="107" t="s">
        <v>496</v>
      </c>
      <c r="F124" s="73" t="s">
        <v>388</v>
      </c>
      <c r="G124" s="73" t="s">
        <v>394</v>
      </c>
    </row>
    <row r="125" spans="1:7" ht="20.6" customHeight="1">
      <c r="A125" s="16" t="s">
        <v>46</v>
      </c>
      <c r="B125" s="104">
        <v>4</v>
      </c>
      <c r="C125" s="73" t="s">
        <v>173</v>
      </c>
      <c r="D125" s="107" t="s">
        <v>330</v>
      </c>
      <c r="E125" s="107" t="s">
        <v>104</v>
      </c>
      <c r="F125" s="73" t="s">
        <v>382</v>
      </c>
      <c r="G125" s="73" t="s">
        <v>336</v>
      </c>
    </row>
    <row r="126" spans="1:7" ht="20.6" customHeight="1">
      <c r="A126" s="16" t="s">
        <v>46</v>
      </c>
      <c r="B126" s="104">
        <v>4</v>
      </c>
      <c r="C126" s="73" t="s">
        <v>173</v>
      </c>
      <c r="D126" s="107" t="s">
        <v>330</v>
      </c>
      <c r="E126" s="107" t="s">
        <v>104</v>
      </c>
      <c r="F126" s="73" t="s">
        <v>384</v>
      </c>
      <c r="G126" s="73"/>
    </row>
    <row r="127" spans="1:7" ht="47.8" customHeight="1">
      <c r="A127" s="138" t="s">
        <v>46</v>
      </c>
      <c r="B127" s="139">
        <v>5</v>
      </c>
      <c r="C127" s="140" t="s">
        <v>110</v>
      </c>
      <c r="D127" s="141" t="s">
        <v>330</v>
      </c>
      <c r="E127" s="141" t="s">
        <v>103</v>
      </c>
      <c r="F127" s="140" t="s">
        <v>396</v>
      </c>
      <c r="G127" s="140" t="s">
        <v>397</v>
      </c>
    </row>
    <row r="128" spans="1:7" ht="20.6" customHeight="1">
      <c r="A128" s="16" t="s">
        <v>46</v>
      </c>
      <c r="B128" s="104">
        <v>5</v>
      </c>
      <c r="C128" s="73" t="s">
        <v>110</v>
      </c>
      <c r="D128" s="107" t="s">
        <v>330</v>
      </c>
      <c r="E128" s="107" t="s">
        <v>104</v>
      </c>
      <c r="F128" s="73" t="s">
        <v>382</v>
      </c>
      <c r="G128" s="73" t="s">
        <v>337</v>
      </c>
    </row>
    <row r="129" spans="1:7" ht="20.6" customHeight="1">
      <c r="A129" s="16" t="s">
        <v>46</v>
      </c>
      <c r="B129" s="104">
        <v>5</v>
      </c>
      <c r="C129" s="73" t="s">
        <v>110</v>
      </c>
      <c r="D129" s="107" t="s">
        <v>330</v>
      </c>
      <c r="E129" s="107" t="s">
        <v>104</v>
      </c>
      <c r="F129" s="73" t="s">
        <v>384</v>
      </c>
      <c r="G129" s="73"/>
    </row>
    <row r="130" spans="1:7" ht="34.2" customHeight="1">
      <c r="A130" s="138" t="s">
        <v>46</v>
      </c>
      <c r="B130" s="139">
        <v>6</v>
      </c>
      <c r="C130" s="140" t="s">
        <v>116</v>
      </c>
      <c r="D130" s="141" t="s">
        <v>330</v>
      </c>
      <c r="E130" s="141" t="s">
        <v>103</v>
      </c>
      <c r="F130" s="140" t="s">
        <v>386</v>
      </c>
      <c r="G130" s="140" t="s">
        <v>399</v>
      </c>
    </row>
    <row r="131" spans="1:7" ht="34.2" customHeight="1">
      <c r="A131" s="16" t="s">
        <v>46</v>
      </c>
      <c r="B131" s="104">
        <v>6</v>
      </c>
      <c r="C131" s="73" t="s">
        <v>116</v>
      </c>
      <c r="D131" s="107" t="s">
        <v>330</v>
      </c>
      <c r="E131" s="107" t="s">
        <v>104</v>
      </c>
      <c r="F131" s="73" t="s">
        <v>382</v>
      </c>
      <c r="G131" s="73" t="s">
        <v>338</v>
      </c>
    </row>
    <row r="132" spans="1:7" ht="34.2" customHeight="1">
      <c r="A132" s="16" t="s">
        <v>46</v>
      </c>
      <c r="B132" s="104">
        <v>6</v>
      </c>
      <c r="C132" s="73" t="s">
        <v>116</v>
      </c>
      <c r="D132" s="107" t="s">
        <v>330</v>
      </c>
      <c r="E132" s="107" t="s">
        <v>104</v>
      </c>
      <c r="F132" s="73" t="s">
        <v>384</v>
      </c>
      <c r="G132" s="73"/>
    </row>
    <row r="133" spans="1:7" ht="34.2" customHeight="1">
      <c r="A133" s="138" t="s">
        <v>46</v>
      </c>
      <c r="B133" s="139">
        <v>7</v>
      </c>
      <c r="C133" s="140" t="s">
        <v>140</v>
      </c>
      <c r="D133" s="141" t="s">
        <v>330</v>
      </c>
      <c r="E133" s="141" t="s">
        <v>103</v>
      </c>
      <c r="F133" s="140" t="s">
        <v>388</v>
      </c>
      <c r="G133" s="140" t="s">
        <v>401</v>
      </c>
    </row>
    <row r="134" spans="1:7" ht="34.2" customHeight="1">
      <c r="A134" s="16" t="s">
        <v>46</v>
      </c>
      <c r="B134" s="104">
        <v>7</v>
      </c>
      <c r="C134" s="73" t="s">
        <v>140</v>
      </c>
      <c r="D134" s="107" t="s">
        <v>330</v>
      </c>
      <c r="E134" s="107" t="s">
        <v>104</v>
      </c>
      <c r="F134" s="73" t="s">
        <v>382</v>
      </c>
      <c r="G134" s="73" t="s">
        <v>339</v>
      </c>
    </row>
    <row r="135" spans="1:7" ht="34.2" customHeight="1">
      <c r="A135" s="16" t="s">
        <v>46</v>
      </c>
      <c r="B135" s="104">
        <v>7</v>
      </c>
      <c r="C135" s="73" t="s">
        <v>140</v>
      </c>
      <c r="D135" s="107" t="s">
        <v>330</v>
      </c>
      <c r="E135" s="107" t="s">
        <v>104</v>
      </c>
      <c r="F135" s="73" t="s">
        <v>384</v>
      </c>
      <c r="G135" s="73"/>
    </row>
    <row r="136" spans="1:7" ht="34.2" customHeight="1">
      <c r="A136" s="138" t="s">
        <v>46</v>
      </c>
      <c r="B136" s="139">
        <v>8</v>
      </c>
      <c r="C136" s="140" t="s">
        <v>144</v>
      </c>
      <c r="D136" s="141" t="s">
        <v>330</v>
      </c>
      <c r="E136" s="141" t="s">
        <v>103</v>
      </c>
      <c r="F136" s="140" t="s">
        <v>403</v>
      </c>
      <c r="G136" s="140" t="s">
        <v>404</v>
      </c>
    </row>
    <row r="137" spans="1:7" ht="34.2" customHeight="1">
      <c r="A137" s="16" t="s">
        <v>46</v>
      </c>
      <c r="B137" s="104">
        <v>8</v>
      </c>
      <c r="C137" s="73" t="s">
        <v>144</v>
      </c>
      <c r="D137" s="107" t="s">
        <v>330</v>
      </c>
      <c r="E137" s="107" t="s">
        <v>103</v>
      </c>
      <c r="F137" s="73" t="s">
        <v>388</v>
      </c>
      <c r="G137" s="73" t="s">
        <v>405</v>
      </c>
    </row>
    <row r="138" spans="1:7" ht="47.8" customHeight="1">
      <c r="A138" s="16" t="s">
        <v>46</v>
      </c>
      <c r="B138" s="104">
        <v>8</v>
      </c>
      <c r="C138" s="73" t="s">
        <v>144</v>
      </c>
      <c r="D138" s="107" t="s">
        <v>330</v>
      </c>
      <c r="E138" s="107" t="s">
        <v>496</v>
      </c>
      <c r="F138" s="73" t="s">
        <v>403</v>
      </c>
      <c r="G138" s="73" t="s">
        <v>406</v>
      </c>
    </row>
    <row r="139" spans="1:7" ht="34.2" customHeight="1">
      <c r="A139" s="16" t="s">
        <v>46</v>
      </c>
      <c r="B139" s="104">
        <v>8</v>
      </c>
      <c r="C139" s="73" t="s">
        <v>144</v>
      </c>
      <c r="D139" s="107" t="s">
        <v>330</v>
      </c>
      <c r="E139" s="107" t="s">
        <v>104</v>
      </c>
      <c r="F139" s="73" t="s">
        <v>382</v>
      </c>
      <c r="G139" s="73" t="s">
        <v>340</v>
      </c>
    </row>
    <row r="140" spans="1:7" ht="34.2" customHeight="1">
      <c r="A140" s="16" t="s">
        <v>46</v>
      </c>
      <c r="B140" s="104">
        <v>8</v>
      </c>
      <c r="C140" s="73" t="s">
        <v>144</v>
      </c>
      <c r="D140" s="107" t="s">
        <v>330</v>
      </c>
      <c r="E140" s="107" t="s">
        <v>104</v>
      </c>
      <c r="F140" s="73" t="s">
        <v>407</v>
      </c>
      <c r="G140" s="73" t="s">
        <v>408</v>
      </c>
    </row>
    <row r="141" spans="1:7" ht="34.2" customHeight="1">
      <c r="A141" s="16" t="s">
        <v>46</v>
      </c>
      <c r="B141" s="104">
        <v>8</v>
      </c>
      <c r="C141" s="73" t="s">
        <v>144</v>
      </c>
      <c r="D141" s="107" t="s">
        <v>330</v>
      </c>
      <c r="E141" s="107" t="s">
        <v>104</v>
      </c>
      <c r="F141" s="73" t="s">
        <v>384</v>
      </c>
      <c r="G141" s="73"/>
    </row>
    <row r="142" spans="1:7" ht="20.6" customHeight="1">
      <c r="A142" s="138" t="s">
        <v>46</v>
      </c>
      <c r="B142" s="139">
        <v>9</v>
      </c>
      <c r="C142" s="140" t="s">
        <v>120</v>
      </c>
      <c r="D142" s="141" t="s">
        <v>330</v>
      </c>
      <c r="E142" s="141" t="s">
        <v>103</v>
      </c>
      <c r="F142" s="140" t="s">
        <v>388</v>
      </c>
      <c r="G142" s="140" t="s">
        <v>410</v>
      </c>
    </row>
    <row r="143" spans="1:7" ht="20.6" customHeight="1">
      <c r="A143" s="16" t="s">
        <v>46</v>
      </c>
      <c r="B143" s="104">
        <v>9</v>
      </c>
      <c r="C143" s="73" t="s">
        <v>120</v>
      </c>
      <c r="D143" s="107" t="s">
        <v>330</v>
      </c>
      <c r="E143" s="107" t="s">
        <v>104</v>
      </c>
      <c r="F143" s="73" t="s">
        <v>382</v>
      </c>
      <c r="G143" s="73" t="s">
        <v>411</v>
      </c>
    </row>
    <row r="144" spans="1:7" ht="20.6" customHeight="1">
      <c r="A144" s="16" t="s">
        <v>46</v>
      </c>
      <c r="B144" s="104">
        <v>9</v>
      </c>
      <c r="C144" s="73" t="s">
        <v>120</v>
      </c>
      <c r="D144" s="107" t="s">
        <v>330</v>
      </c>
      <c r="E144" s="107" t="s">
        <v>104</v>
      </c>
      <c r="F144" s="73" t="s">
        <v>412</v>
      </c>
      <c r="G144" s="73" t="s">
        <v>413</v>
      </c>
    </row>
    <row r="145" spans="1:7" ht="20.6" customHeight="1">
      <c r="A145" s="16" t="s">
        <v>46</v>
      </c>
      <c r="B145" s="104">
        <v>9</v>
      </c>
      <c r="C145" s="73" t="s">
        <v>120</v>
      </c>
      <c r="D145" s="107" t="s">
        <v>330</v>
      </c>
      <c r="E145" s="107" t="s">
        <v>104</v>
      </c>
      <c r="F145" s="73" t="s">
        <v>384</v>
      </c>
      <c r="G145" s="73"/>
    </row>
    <row r="146" spans="1:7" ht="47.8" customHeight="1">
      <c r="A146" s="138" t="s">
        <v>46</v>
      </c>
      <c r="B146" s="139">
        <v>10</v>
      </c>
      <c r="C146" s="140" t="s">
        <v>148</v>
      </c>
      <c r="D146" s="141" t="s">
        <v>330</v>
      </c>
      <c r="E146" s="141" t="s">
        <v>103</v>
      </c>
      <c r="F146" s="140" t="s">
        <v>386</v>
      </c>
      <c r="G146" s="140" t="s">
        <v>415</v>
      </c>
    </row>
    <row r="147" spans="1:7" ht="20.6" customHeight="1">
      <c r="A147" s="16" t="s">
        <v>46</v>
      </c>
      <c r="B147" s="104">
        <v>10</v>
      </c>
      <c r="C147" s="73" t="s">
        <v>148</v>
      </c>
      <c r="D147" s="107" t="s">
        <v>330</v>
      </c>
      <c r="E147" s="107" t="s">
        <v>103</v>
      </c>
      <c r="F147" s="73" t="s">
        <v>416</v>
      </c>
      <c r="G147" s="73" t="s">
        <v>417</v>
      </c>
    </row>
    <row r="148" spans="1:7" ht="20.6" customHeight="1">
      <c r="A148" s="16" t="s">
        <v>46</v>
      </c>
      <c r="B148" s="104">
        <v>10</v>
      </c>
      <c r="C148" s="73" t="s">
        <v>148</v>
      </c>
      <c r="D148" s="107" t="s">
        <v>330</v>
      </c>
      <c r="E148" s="107" t="s">
        <v>104</v>
      </c>
      <c r="F148" s="73" t="s">
        <v>382</v>
      </c>
      <c r="G148" s="73" t="s">
        <v>342</v>
      </c>
    </row>
    <row r="149" spans="1:7" ht="20.6" customHeight="1">
      <c r="A149" s="16" t="s">
        <v>46</v>
      </c>
      <c r="B149" s="104">
        <v>10</v>
      </c>
      <c r="C149" s="73" t="s">
        <v>148</v>
      </c>
      <c r="D149" s="107" t="s">
        <v>330</v>
      </c>
      <c r="E149" s="107" t="s">
        <v>104</v>
      </c>
      <c r="F149" s="73" t="s">
        <v>418</v>
      </c>
      <c r="G149" s="73" t="s">
        <v>419</v>
      </c>
    </row>
    <row r="150" spans="1:7" ht="20.6" customHeight="1">
      <c r="A150" s="16" t="s">
        <v>46</v>
      </c>
      <c r="B150" s="104">
        <v>10</v>
      </c>
      <c r="C150" s="73" t="s">
        <v>148</v>
      </c>
      <c r="D150" s="107" t="s">
        <v>330</v>
      </c>
      <c r="E150" s="107" t="s">
        <v>104</v>
      </c>
      <c r="F150" s="73" t="s">
        <v>384</v>
      </c>
      <c r="G150" s="73"/>
    </row>
    <row r="151" spans="1:7" ht="20.6" customHeight="1">
      <c r="A151" s="138" t="s">
        <v>46</v>
      </c>
      <c r="B151" s="139">
        <v>11</v>
      </c>
      <c r="C151" s="140" t="s">
        <v>176</v>
      </c>
      <c r="D151" s="141" t="s">
        <v>330</v>
      </c>
      <c r="E151" s="141" t="s">
        <v>103</v>
      </c>
      <c r="F151" s="140" t="s">
        <v>386</v>
      </c>
      <c r="G151" s="140" t="s">
        <v>421</v>
      </c>
    </row>
    <row r="152" spans="1:7" ht="20.6" customHeight="1">
      <c r="A152" s="16" t="s">
        <v>46</v>
      </c>
      <c r="B152" s="104">
        <v>11</v>
      </c>
      <c r="C152" s="73" t="s">
        <v>176</v>
      </c>
      <c r="D152" s="107" t="s">
        <v>330</v>
      </c>
      <c r="E152" s="107" t="s">
        <v>103</v>
      </c>
      <c r="F152" s="73" t="s">
        <v>422</v>
      </c>
      <c r="G152" s="73"/>
    </row>
    <row r="153" spans="1:7" ht="20.6" customHeight="1">
      <c r="A153" s="16" t="s">
        <v>46</v>
      </c>
      <c r="B153" s="104">
        <v>11</v>
      </c>
      <c r="C153" s="73" t="s">
        <v>176</v>
      </c>
      <c r="D153" s="107" t="s">
        <v>330</v>
      </c>
      <c r="E153" s="107" t="s">
        <v>104</v>
      </c>
      <c r="F153" s="73" t="s">
        <v>382</v>
      </c>
      <c r="G153" s="73" t="s">
        <v>423</v>
      </c>
    </row>
    <row r="154" spans="1:7" ht="20.6" customHeight="1">
      <c r="A154" s="16" t="s">
        <v>46</v>
      </c>
      <c r="B154" s="104">
        <v>11</v>
      </c>
      <c r="C154" s="73" t="s">
        <v>176</v>
      </c>
      <c r="D154" s="107" t="s">
        <v>330</v>
      </c>
      <c r="E154" s="107" t="s">
        <v>104</v>
      </c>
      <c r="F154" s="73" t="s">
        <v>412</v>
      </c>
      <c r="G154" s="73" t="s">
        <v>413</v>
      </c>
    </row>
    <row r="155" spans="1:7" ht="20.6" customHeight="1">
      <c r="A155" s="16" t="s">
        <v>46</v>
      </c>
      <c r="B155" s="104">
        <v>11</v>
      </c>
      <c r="C155" s="73" t="s">
        <v>176</v>
      </c>
      <c r="D155" s="107" t="s">
        <v>330</v>
      </c>
      <c r="E155" s="107" t="s">
        <v>104</v>
      </c>
      <c r="F155" s="73" t="s">
        <v>384</v>
      </c>
      <c r="G155" s="73"/>
    </row>
    <row r="156" spans="1:7" ht="47.8" customHeight="1">
      <c r="A156" s="138" t="s">
        <v>46</v>
      </c>
      <c r="B156" s="139">
        <v>12</v>
      </c>
      <c r="C156" s="140" t="s">
        <v>152</v>
      </c>
      <c r="D156" s="141" t="s">
        <v>330</v>
      </c>
      <c r="E156" s="141" t="s">
        <v>103</v>
      </c>
      <c r="F156" s="140" t="s">
        <v>386</v>
      </c>
      <c r="G156" s="140" t="s">
        <v>415</v>
      </c>
    </row>
    <row r="157" spans="1:7" ht="34.2" customHeight="1">
      <c r="A157" s="16" t="s">
        <v>46</v>
      </c>
      <c r="B157" s="104">
        <v>12</v>
      </c>
      <c r="C157" s="73" t="s">
        <v>152</v>
      </c>
      <c r="D157" s="107" t="s">
        <v>330</v>
      </c>
      <c r="E157" s="107" t="s">
        <v>104</v>
      </c>
      <c r="F157" s="73" t="s">
        <v>382</v>
      </c>
      <c r="G157" s="73" t="s">
        <v>425</v>
      </c>
    </row>
    <row r="158" spans="1:7" ht="34.2" customHeight="1">
      <c r="A158" s="16" t="s">
        <v>46</v>
      </c>
      <c r="B158" s="104">
        <v>12</v>
      </c>
      <c r="C158" s="73" t="s">
        <v>152</v>
      </c>
      <c r="D158" s="107" t="s">
        <v>330</v>
      </c>
      <c r="E158" s="107" t="s">
        <v>104</v>
      </c>
      <c r="F158" s="73" t="s">
        <v>412</v>
      </c>
      <c r="G158" s="73" t="s">
        <v>413</v>
      </c>
    </row>
    <row r="159" spans="1:7" ht="34.2" customHeight="1">
      <c r="A159" s="16" t="s">
        <v>46</v>
      </c>
      <c r="B159" s="104">
        <v>12</v>
      </c>
      <c r="C159" s="73" t="s">
        <v>152</v>
      </c>
      <c r="D159" s="107" t="s">
        <v>330</v>
      </c>
      <c r="E159" s="107" t="s">
        <v>104</v>
      </c>
      <c r="F159" s="73" t="s">
        <v>384</v>
      </c>
      <c r="G159" s="73"/>
    </row>
    <row r="160" spans="1:7" ht="47.8" customHeight="1">
      <c r="A160" s="138" t="s">
        <v>46</v>
      </c>
      <c r="B160" s="139">
        <v>13</v>
      </c>
      <c r="C160" s="140" t="s">
        <v>156</v>
      </c>
      <c r="D160" s="141" t="s">
        <v>330</v>
      </c>
      <c r="E160" s="141" t="s">
        <v>103</v>
      </c>
      <c r="F160" s="140" t="s">
        <v>386</v>
      </c>
      <c r="G160" s="140" t="s">
        <v>427</v>
      </c>
    </row>
    <row r="161" spans="1:7" ht="34.2" customHeight="1">
      <c r="A161" s="16" t="s">
        <v>46</v>
      </c>
      <c r="B161" s="104">
        <v>13</v>
      </c>
      <c r="C161" s="73" t="s">
        <v>156</v>
      </c>
      <c r="D161" s="107" t="s">
        <v>330</v>
      </c>
      <c r="E161" s="107" t="s">
        <v>104</v>
      </c>
      <c r="F161" s="73" t="s">
        <v>382</v>
      </c>
      <c r="G161" s="73" t="s">
        <v>428</v>
      </c>
    </row>
    <row r="162" spans="1:7" ht="34.2" customHeight="1">
      <c r="A162" s="16" t="s">
        <v>46</v>
      </c>
      <c r="B162" s="104">
        <v>13</v>
      </c>
      <c r="C162" s="73" t="s">
        <v>156</v>
      </c>
      <c r="D162" s="107" t="s">
        <v>330</v>
      </c>
      <c r="E162" s="107" t="s">
        <v>104</v>
      </c>
      <c r="F162" s="73" t="s">
        <v>412</v>
      </c>
      <c r="G162" s="73" t="s">
        <v>413</v>
      </c>
    </row>
    <row r="163" spans="1:7" ht="34.2" customHeight="1">
      <c r="A163" s="16" t="s">
        <v>46</v>
      </c>
      <c r="B163" s="104">
        <v>13</v>
      </c>
      <c r="C163" s="73" t="s">
        <v>156</v>
      </c>
      <c r="D163" s="107" t="s">
        <v>330</v>
      </c>
      <c r="E163" s="107" t="s">
        <v>104</v>
      </c>
      <c r="F163" s="73" t="s">
        <v>384</v>
      </c>
      <c r="G163" s="73"/>
    </row>
    <row r="164" spans="1:7" ht="34.2" customHeight="1">
      <c r="A164" s="138" t="s">
        <v>46</v>
      </c>
      <c r="B164" s="139">
        <v>14</v>
      </c>
      <c r="C164" s="140" t="s">
        <v>160</v>
      </c>
      <c r="D164" s="141" t="s">
        <v>330</v>
      </c>
      <c r="E164" s="141" t="s">
        <v>103</v>
      </c>
      <c r="F164" s="140" t="s">
        <v>388</v>
      </c>
      <c r="G164" s="140" t="s">
        <v>430</v>
      </c>
    </row>
    <row r="165" spans="1:7" ht="20.6" customHeight="1">
      <c r="A165" s="16" t="s">
        <v>46</v>
      </c>
      <c r="B165" s="104">
        <v>14</v>
      </c>
      <c r="C165" s="73" t="s">
        <v>160</v>
      </c>
      <c r="D165" s="107" t="s">
        <v>330</v>
      </c>
      <c r="E165" s="107" t="s">
        <v>104</v>
      </c>
      <c r="F165" s="73" t="s">
        <v>382</v>
      </c>
      <c r="G165" s="73" t="s">
        <v>431</v>
      </c>
    </row>
    <row r="166" spans="1:7" ht="20.6" customHeight="1">
      <c r="A166" s="16" t="s">
        <v>46</v>
      </c>
      <c r="B166" s="104">
        <v>14</v>
      </c>
      <c r="C166" s="73" t="s">
        <v>160</v>
      </c>
      <c r="D166" s="107" t="s">
        <v>330</v>
      </c>
      <c r="E166" s="107" t="s">
        <v>104</v>
      </c>
      <c r="F166" s="73" t="s">
        <v>412</v>
      </c>
      <c r="G166" s="73" t="s">
        <v>413</v>
      </c>
    </row>
    <row r="167" spans="1:7" ht="20.6" customHeight="1">
      <c r="A167" s="16" t="s">
        <v>46</v>
      </c>
      <c r="B167" s="104">
        <v>14</v>
      </c>
      <c r="C167" s="73" t="s">
        <v>160</v>
      </c>
      <c r="D167" s="107" t="s">
        <v>330</v>
      </c>
      <c r="E167" s="107" t="s">
        <v>104</v>
      </c>
      <c r="F167" s="73" t="s">
        <v>384</v>
      </c>
      <c r="G167" s="73"/>
    </row>
    <row r="168" spans="1:7" ht="183.8" customHeight="1">
      <c r="A168" s="138" t="s">
        <v>46</v>
      </c>
      <c r="B168" s="139">
        <v>15</v>
      </c>
      <c r="C168" s="140" t="s">
        <v>164</v>
      </c>
      <c r="D168" s="141" t="s">
        <v>330</v>
      </c>
      <c r="E168" s="141" t="s">
        <v>103</v>
      </c>
      <c r="F168" s="140" t="s">
        <v>386</v>
      </c>
      <c r="G168" s="140" t="s">
        <v>433</v>
      </c>
    </row>
    <row r="169" spans="1:7" ht="34.2" customHeight="1">
      <c r="A169" s="16" t="s">
        <v>46</v>
      </c>
      <c r="B169" s="104">
        <v>15</v>
      </c>
      <c r="C169" s="73" t="s">
        <v>164</v>
      </c>
      <c r="D169" s="107" t="s">
        <v>330</v>
      </c>
      <c r="E169" s="107" t="s">
        <v>103</v>
      </c>
      <c r="F169" s="73" t="s">
        <v>388</v>
      </c>
      <c r="G169" s="73" t="s">
        <v>434</v>
      </c>
    </row>
    <row r="170" spans="1:7" ht="34.2" customHeight="1">
      <c r="A170" s="16" t="s">
        <v>46</v>
      </c>
      <c r="B170" s="104">
        <v>15</v>
      </c>
      <c r="C170" s="73" t="s">
        <v>164</v>
      </c>
      <c r="D170" s="107" t="s">
        <v>330</v>
      </c>
      <c r="E170" s="107" t="s">
        <v>496</v>
      </c>
      <c r="F170" s="73" t="s">
        <v>386</v>
      </c>
      <c r="G170" s="73" t="s">
        <v>435</v>
      </c>
    </row>
    <row r="171" spans="1:7" ht="34.2" customHeight="1">
      <c r="A171" s="16" t="s">
        <v>46</v>
      </c>
      <c r="B171" s="104">
        <v>15</v>
      </c>
      <c r="C171" s="73" t="s">
        <v>164</v>
      </c>
      <c r="D171" s="107" t="s">
        <v>330</v>
      </c>
      <c r="E171" s="107" t="s">
        <v>104</v>
      </c>
      <c r="F171" s="73" t="s">
        <v>382</v>
      </c>
      <c r="G171" s="73" t="s">
        <v>431</v>
      </c>
    </row>
    <row r="172" spans="1:7" ht="34.2" customHeight="1">
      <c r="A172" s="16" t="s">
        <v>46</v>
      </c>
      <c r="B172" s="104">
        <v>15</v>
      </c>
      <c r="C172" s="73" t="s">
        <v>164</v>
      </c>
      <c r="D172" s="107" t="s">
        <v>330</v>
      </c>
      <c r="E172" s="107" t="s">
        <v>104</v>
      </c>
      <c r="F172" s="73" t="s">
        <v>412</v>
      </c>
      <c r="G172" s="73" t="s">
        <v>413</v>
      </c>
    </row>
    <row r="173" spans="1:7" ht="34.2" customHeight="1">
      <c r="A173" s="16" t="s">
        <v>46</v>
      </c>
      <c r="B173" s="104">
        <v>15</v>
      </c>
      <c r="C173" s="73" t="s">
        <v>164</v>
      </c>
      <c r="D173" s="107" t="s">
        <v>330</v>
      </c>
      <c r="E173" s="107" t="s">
        <v>104</v>
      </c>
      <c r="F173" s="73" t="s">
        <v>384</v>
      </c>
      <c r="G173" s="73"/>
    </row>
    <row r="174" spans="1:7" ht="20.6" customHeight="1">
      <c r="A174" s="138" t="s">
        <v>46</v>
      </c>
      <c r="B174" s="139">
        <v>16</v>
      </c>
      <c r="C174" s="140" t="s">
        <v>124</v>
      </c>
      <c r="D174" s="141" t="s">
        <v>330</v>
      </c>
      <c r="E174" s="141" t="s">
        <v>103</v>
      </c>
      <c r="F174" s="140" t="s">
        <v>388</v>
      </c>
      <c r="G174" s="140" t="s">
        <v>437</v>
      </c>
    </row>
    <row r="175" spans="1:7" ht="20.6" customHeight="1">
      <c r="A175" s="16" t="s">
        <v>46</v>
      </c>
      <c r="B175" s="104">
        <v>16</v>
      </c>
      <c r="C175" s="73" t="s">
        <v>124</v>
      </c>
      <c r="D175" s="107" t="s">
        <v>330</v>
      </c>
      <c r="E175" s="107" t="s">
        <v>104</v>
      </c>
      <c r="F175" s="73" t="s">
        <v>382</v>
      </c>
      <c r="G175" s="73" t="s">
        <v>347</v>
      </c>
    </row>
    <row r="176" spans="1:7" ht="20.6" customHeight="1">
      <c r="A176" s="16" t="s">
        <v>46</v>
      </c>
      <c r="B176" s="104">
        <v>16</v>
      </c>
      <c r="C176" s="73" t="s">
        <v>124</v>
      </c>
      <c r="D176" s="107" t="s">
        <v>330</v>
      </c>
      <c r="E176" s="107" t="s">
        <v>104</v>
      </c>
      <c r="F176" s="73" t="s">
        <v>418</v>
      </c>
      <c r="G176" s="73" t="s">
        <v>408</v>
      </c>
    </row>
    <row r="177" spans="1:7" ht="20.6" customHeight="1">
      <c r="A177" s="16" t="s">
        <v>46</v>
      </c>
      <c r="B177" s="104">
        <v>16</v>
      </c>
      <c r="C177" s="73" t="s">
        <v>124</v>
      </c>
      <c r="D177" s="107" t="s">
        <v>330</v>
      </c>
      <c r="E177" s="107" t="s">
        <v>104</v>
      </c>
      <c r="F177" s="73" t="s">
        <v>384</v>
      </c>
      <c r="G177" s="73"/>
    </row>
    <row r="178" spans="1:7" ht="34.2" customHeight="1">
      <c r="A178" s="138" t="s">
        <v>46</v>
      </c>
      <c r="B178" s="139">
        <v>17</v>
      </c>
      <c r="C178" s="140" t="s">
        <v>128</v>
      </c>
      <c r="D178" s="141" t="s">
        <v>330</v>
      </c>
      <c r="E178" s="141" t="s">
        <v>103</v>
      </c>
      <c r="F178" s="140" t="s">
        <v>439</v>
      </c>
      <c r="G178" s="140" t="s">
        <v>497</v>
      </c>
    </row>
    <row r="179" spans="1:7" ht="20.6" customHeight="1">
      <c r="A179" s="16" t="s">
        <v>46</v>
      </c>
      <c r="B179" s="104">
        <v>17</v>
      </c>
      <c r="C179" s="73" t="s">
        <v>128</v>
      </c>
      <c r="D179" s="107" t="s">
        <v>330</v>
      </c>
      <c r="E179" s="107" t="s">
        <v>104</v>
      </c>
      <c r="F179" s="73" t="s">
        <v>382</v>
      </c>
      <c r="G179" s="73" t="s">
        <v>347</v>
      </c>
    </row>
    <row r="180" spans="1:7" ht="20.6" customHeight="1">
      <c r="A180" s="16" t="s">
        <v>46</v>
      </c>
      <c r="B180" s="104">
        <v>17</v>
      </c>
      <c r="C180" s="73" t="s">
        <v>128</v>
      </c>
      <c r="D180" s="107" t="s">
        <v>330</v>
      </c>
      <c r="E180" s="107" t="s">
        <v>104</v>
      </c>
      <c r="F180" s="73" t="s">
        <v>407</v>
      </c>
      <c r="G180" s="73" t="s">
        <v>408</v>
      </c>
    </row>
    <row r="181" spans="1:7" ht="20.6" customHeight="1">
      <c r="A181" s="16" t="s">
        <v>46</v>
      </c>
      <c r="B181" s="104">
        <v>17</v>
      </c>
      <c r="C181" s="73" t="s">
        <v>128</v>
      </c>
      <c r="D181" s="107" t="s">
        <v>330</v>
      </c>
      <c r="E181" s="107" t="s">
        <v>104</v>
      </c>
      <c r="F181" s="73" t="s">
        <v>384</v>
      </c>
      <c r="G181" s="73"/>
    </row>
    <row r="182" spans="1:7" ht="34.2" customHeight="1">
      <c r="A182" s="138" t="s">
        <v>46</v>
      </c>
      <c r="B182" s="139">
        <v>18</v>
      </c>
      <c r="C182" s="140" t="s">
        <v>132</v>
      </c>
      <c r="D182" s="141" t="s">
        <v>349</v>
      </c>
      <c r="E182" s="141" t="s">
        <v>103</v>
      </c>
      <c r="F182" s="140" t="s">
        <v>439</v>
      </c>
      <c r="G182" s="140" t="s">
        <v>497</v>
      </c>
    </row>
    <row r="183" spans="1:7" ht="20.6" customHeight="1">
      <c r="A183" s="16" t="s">
        <v>46</v>
      </c>
      <c r="B183" s="104">
        <v>18</v>
      </c>
      <c r="C183" s="73" t="s">
        <v>132</v>
      </c>
      <c r="D183" s="107" t="s">
        <v>349</v>
      </c>
      <c r="E183" s="107" t="s">
        <v>496</v>
      </c>
      <c r="F183" s="73" t="s">
        <v>386</v>
      </c>
      <c r="G183" s="73" t="s">
        <v>442</v>
      </c>
    </row>
    <row r="184" spans="1:7" ht="34.2" customHeight="1">
      <c r="A184" s="16" t="s">
        <v>46</v>
      </c>
      <c r="B184" s="104">
        <v>18</v>
      </c>
      <c r="C184" s="73" t="s">
        <v>132</v>
      </c>
      <c r="D184" s="107" t="s">
        <v>349</v>
      </c>
      <c r="E184" s="107" t="s">
        <v>496</v>
      </c>
      <c r="F184" s="73" t="s">
        <v>388</v>
      </c>
      <c r="G184" s="73" t="s">
        <v>444</v>
      </c>
    </row>
    <row r="185" spans="1:7" ht="20.6" customHeight="1">
      <c r="A185" s="16" t="s">
        <v>46</v>
      </c>
      <c r="B185" s="104">
        <v>18</v>
      </c>
      <c r="C185" s="73" t="s">
        <v>132</v>
      </c>
      <c r="D185" s="107" t="s">
        <v>349</v>
      </c>
      <c r="E185" s="107" t="s">
        <v>104</v>
      </c>
      <c r="F185" s="73" t="s">
        <v>382</v>
      </c>
      <c r="G185" s="73" t="s">
        <v>350</v>
      </c>
    </row>
    <row r="186" spans="1:7" ht="20.6" customHeight="1">
      <c r="A186" s="16" t="s">
        <v>46</v>
      </c>
      <c r="B186" s="104">
        <v>18</v>
      </c>
      <c r="C186" s="73" t="s">
        <v>132</v>
      </c>
      <c r="D186" s="107" t="s">
        <v>349</v>
      </c>
      <c r="E186" s="107" t="s">
        <v>104</v>
      </c>
      <c r="F186" s="73" t="s">
        <v>407</v>
      </c>
      <c r="G186" s="73" t="s">
        <v>445</v>
      </c>
    </row>
    <row r="187" spans="1:7" ht="20.6" customHeight="1">
      <c r="A187" s="16" t="s">
        <v>46</v>
      </c>
      <c r="B187" s="104">
        <v>18</v>
      </c>
      <c r="C187" s="73" t="s">
        <v>132</v>
      </c>
      <c r="D187" s="107" t="s">
        <v>349</v>
      </c>
      <c r="E187" s="107" t="s">
        <v>104</v>
      </c>
      <c r="F187" s="73" t="s">
        <v>384</v>
      </c>
      <c r="G187" s="73"/>
    </row>
  </sheetData>
  <autoFilter ref="A1:G187"/>
  <conditionalFormatting sqref="A2:G187">
    <cfRule type="expression" dxfId="10" priority="6">
      <formula>$D2="Nein"</formula>
    </cfRule>
  </conditionalFormatting>
  <conditionalFormatting sqref="D2:D187">
    <cfRule type="cellIs" dxfId="3" priority="4" operator="equal">
      <formula>"Ja"</formula>
    </cfRule>
    <cfRule type="cellIs" dxfId="4" priority="5" operator="equal">
      <formula>"Nein"</formula>
    </cfRule>
  </conditionalFormatting>
  <conditionalFormatting sqref="E2:E187">
    <cfRule type="cellIs" dxfId="11" priority="1" operator="equal">
      <formula>"Bedingung"</formula>
    </cfRule>
    <cfRule type="cellIs" dxfId="12" priority="2" operator="equal">
      <formula>"Aktion"</formula>
    </cfRule>
    <cfRule type="cellIs" dxfId="5" priority="3" operator="equal">
      <formula>"Ausnahme"</formula>
    </cfRule>
  </conditionalFormatting>
  <pageMargins left="0.4" right="0.4" top="0.5" bottom="0.6" header="0.3" footer="0.3"/>
  <pageSetup paperSize="9" fitToHeight="0" orientation="landscape"/>
  <headerFooter>
    <oddFooter>&amp;L&amp;"Aptos,Regular"&amp;8Outlook-Regeln – &amp;A&amp;R&amp;"Aptos,Regular"&amp;8Seite &amp;P von &amp;N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Zielordner">
    <tabColor rgb="FF0F94A7"/>
    <pageSetUpPr fitToPage="1"/>
  </sheetPr>
  <dimension ref="A1:E42"/>
  <sheetViews>
    <sheetView showGridLines="0" workbookViewId="0">
      <pane ySplit="4" topLeftCell="A5" activePane="bottomLeft" state="frozen"/>
      <selection pane="bottomLeft"/>
    </sheetView>
  </sheetViews>
  <sheetFormatPr defaultRowHeight="15" x14ac:dyDescent="0.25"/>
  <cols>
    <col min="1" max="1" width="29.7109375" customWidth="1"/>
    <col min="2" max="2" width="72.7109375" customWidth="1"/>
    <col min="3" max="3" width="12.7109375" customWidth="1"/>
    <col min="4" max="4" width="11.7109375" customWidth="1"/>
    <col min="5" max="5" width="80.7109375" customWidth="1"/>
  </cols>
  <sheetData>
    <row r="1" spans="1:5" ht="36" customHeight="1" x14ac:dyDescent="0.25">
      <c r="A1" s="36" t="s">
        <v>498</v>
      </c>
    </row>
    <row r="2" spans="1:5" ht="18" customHeight="1" x14ac:dyDescent="0.25">
      <c r="A2" s="65" t="s">
        <v>499</v>
      </c>
    </row>
    <row r="3" spans="1:5" ht="18" customHeight="1" x14ac:dyDescent="0.25">
      <c r="A3" s="65" t="s">
        <v>500</v>
      </c>
    </row>
    <row r="4" spans="1:5" ht="30" customHeight="1" x14ac:dyDescent="0.25">
      <c r="A4" s="12" t="s">
        <v>42</v>
      </c>
      <c r="B4" s="12" t="s">
        <v>77</v>
      </c>
      <c r="C4" s="13" t="s">
        <v>501</v>
      </c>
      <c r="D4" s="13" t="s">
        <v>502</v>
      </c>
      <c r="E4" s="12" t="s">
        <v>12</v>
      </c>
    </row>
    <row r="5" spans="1:5" ht="47.8" customHeight="1" x14ac:dyDescent="0.25">
      <c r="A5" s="16" t="s">
        <v>46</v>
      </c>
      <c r="B5" s="73" t="s">
        <v>413</v>
      </c>
      <c r="C5" s="107">
        <v>6</v>
      </c>
      <c r="D5" s="107">
        <v>6</v>
      </c>
      <c r="E5" s="73" t="s">
        <v>503</v>
      </c>
    </row>
    <row r="6" spans="1:5" ht="20.6" customHeight="1" x14ac:dyDescent="0.25">
      <c r="A6" s="16" t="s">
        <v>46</v>
      </c>
      <c r="B6" s="73" t="s">
        <v>347</v>
      </c>
      <c r="C6" s="107">
        <v>2</v>
      </c>
      <c r="D6" s="107">
        <v>2</v>
      </c>
      <c r="E6" s="73" t="s">
        <v>504</v>
      </c>
    </row>
    <row r="7" spans="1:5" ht="20.6" customHeight="1" x14ac:dyDescent="0.25">
      <c r="A7" s="16" t="s">
        <v>46</v>
      </c>
      <c r="B7" s="73" t="s">
        <v>431</v>
      </c>
      <c r="C7" s="107">
        <v>2</v>
      </c>
      <c r="D7" s="107">
        <v>2</v>
      </c>
      <c r="E7" s="73" t="s">
        <v>505</v>
      </c>
    </row>
    <row r="8" spans="1:5" ht="20.6" customHeight="1" x14ac:dyDescent="0.25">
      <c r="A8" s="16" t="s">
        <v>46</v>
      </c>
      <c r="B8" s="73" t="s">
        <v>334</v>
      </c>
      <c r="C8" s="107">
        <v>1</v>
      </c>
      <c r="D8" s="107">
        <v>1</v>
      </c>
      <c r="E8" s="73" t="s">
        <v>167</v>
      </c>
    </row>
    <row r="9" spans="1:5" ht="20.6" customHeight="1" x14ac:dyDescent="0.25">
      <c r="A9" s="16" t="s">
        <v>46</v>
      </c>
      <c r="B9" s="73" t="s">
        <v>340</v>
      </c>
      <c r="C9" s="107">
        <v>1</v>
      </c>
      <c r="D9" s="107">
        <v>1</v>
      </c>
      <c r="E9" s="73" t="s">
        <v>144</v>
      </c>
    </row>
    <row r="10" spans="1:5" ht="34.2" customHeight="1" x14ac:dyDescent="0.25">
      <c r="A10" s="16" t="s">
        <v>46</v>
      </c>
      <c r="B10" s="73" t="s">
        <v>339</v>
      </c>
      <c r="C10" s="107">
        <v>1</v>
      </c>
      <c r="D10" s="107">
        <v>1</v>
      </c>
      <c r="E10" s="73" t="s">
        <v>140</v>
      </c>
    </row>
    <row r="11" spans="1:5" ht="20.6" customHeight="1" x14ac:dyDescent="0.25">
      <c r="A11" s="16" t="s">
        <v>46</v>
      </c>
      <c r="B11" s="73" t="s">
        <v>335</v>
      </c>
      <c r="C11" s="107">
        <v>1</v>
      </c>
      <c r="D11" s="107">
        <v>1</v>
      </c>
      <c r="E11" s="73" t="s">
        <v>171</v>
      </c>
    </row>
    <row r="12" spans="1:5" ht="34.2" customHeight="1" x14ac:dyDescent="0.25">
      <c r="A12" s="16" t="s">
        <v>46</v>
      </c>
      <c r="B12" s="73" t="s">
        <v>342</v>
      </c>
      <c r="C12" s="107">
        <v>1</v>
      </c>
      <c r="D12" s="107">
        <v>1</v>
      </c>
      <c r="E12" s="73" t="s">
        <v>148</v>
      </c>
    </row>
    <row r="13" spans="1:5" ht="20.6" customHeight="1" x14ac:dyDescent="0.25">
      <c r="A13" s="16" t="s">
        <v>46</v>
      </c>
      <c r="B13" s="73" t="s">
        <v>336</v>
      </c>
      <c r="C13" s="107">
        <v>1</v>
      </c>
      <c r="D13" s="107">
        <v>1</v>
      </c>
      <c r="E13" s="73" t="s">
        <v>173</v>
      </c>
    </row>
    <row r="14" spans="1:5" ht="20.6" customHeight="1" x14ac:dyDescent="0.25">
      <c r="A14" s="16" t="s">
        <v>46</v>
      </c>
      <c r="B14" s="73" t="s">
        <v>350</v>
      </c>
      <c r="C14" s="107">
        <v>1</v>
      </c>
      <c r="D14" s="107">
        <v>0</v>
      </c>
      <c r="E14" s="73" t="s">
        <v>506</v>
      </c>
    </row>
    <row r="15" spans="1:5" ht="20.6" customHeight="1" x14ac:dyDescent="0.25">
      <c r="A15" s="16" t="s">
        <v>46</v>
      </c>
      <c r="B15" s="73" t="s">
        <v>338</v>
      </c>
      <c r="C15" s="107">
        <v>1</v>
      </c>
      <c r="D15" s="107">
        <v>1</v>
      </c>
      <c r="E15" s="73" t="s">
        <v>116</v>
      </c>
    </row>
    <row r="16" spans="1:5" ht="20.6" customHeight="1" x14ac:dyDescent="0.25">
      <c r="A16" s="16" t="s">
        <v>46</v>
      </c>
      <c r="B16" s="73" t="s">
        <v>423</v>
      </c>
      <c r="C16" s="107">
        <v>1</v>
      </c>
      <c r="D16" s="107">
        <v>1</v>
      </c>
      <c r="E16" s="73" t="s">
        <v>176</v>
      </c>
    </row>
    <row r="17" spans="1:5" ht="20.6" customHeight="1" x14ac:dyDescent="0.25">
      <c r="A17" s="16" t="s">
        <v>46</v>
      </c>
      <c r="B17" s="73" t="s">
        <v>425</v>
      </c>
      <c r="C17" s="107">
        <v>1</v>
      </c>
      <c r="D17" s="107">
        <v>1</v>
      </c>
      <c r="E17" s="73" t="s">
        <v>152</v>
      </c>
    </row>
    <row r="18" spans="1:5" ht="20.6" customHeight="1" x14ac:dyDescent="0.25">
      <c r="A18" s="16" t="s">
        <v>46</v>
      </c>
      <c r="B18" s="73" t="s">
        <v>411</v>
      </c>
      <c r="C18" s="107">
        <v>1</v>
      </c>
      <c r="D18" s="107">
        <v>1</v>
      </c>
      <c r="E18" s="73" t="s">
        <v>120</v>
      </c>
    </row>
    <row r="19" spans="1:5" ht="20.6" customHeight="1" x14ac:dyDescent="0.25">
      <c r="A19" s="16" t="s">
        <v>46</v>
      </c>
      <c r="B19" s="73" t="s">
        <v>428</v>
      </c>
      <c r="C19" s="107">
        <v>1</v>
      </c>
      <c r="D19" s="107">
        <v>1</v>
      </c>
      <c r="E19" s="73" t="s">
        <v>156</v>
      </c>
    </row>
    <row r="20" spans="1:5" ht="20.6" customHeight="1" x14ac:dyDescent="0.25">
      <c r="A20" s="16" t="s">
        <v>46</v>
      </c>
      <c r="B20" s="73" t="s">
        <v>337</v>
      </c>
      <c r="C20" s="107">
        <v>1</v>
      </c>
      <c r="D20" s="107">
        <v>1</v>
      </c>
      <c r="E20" s="73" t="s">
        <v>110</v>
      </c>
    </row>
    <row r="21" spans="1:5" ht="20.6" customHeight="1" x14ac:dyDescent="0.25">
      <c r="A21" s="16" t="s">
        <v>46</v>
      </c>
      <c r="B21" s="73" t="s">
        <v>333</v>
      </c>
      <c r="C21" s="107">
        <v>1</v>
      </c>
      <c r="D21" s="107">
        <v>1</v>
      </c>
      <c r="E21" s="73" t="s">
        <v>329</v>
      </c>
    </row>
    <row r="22" spans="1:5" ht="34.2" customHeight="1" x14ac:dyDescent="0.25">
      <c r="A22" s="109" t="s">
        <v>47</v>
      </c>
      <c r="B22" s="112" t="s">
        <v>366</v>
      </c>
      <c r="C22" s="111">
        <v>3</v>
      </c>
      <c r="D22" s="111">
        <v>2</v>
      </c>
      <c r="E22" s="112" t="s">
        <v>507</v>
      </c>
    </row>
    <row r="23" spans="1:5" ht="34.2" customHeight="1" x14ac:dyDescent="0.25">
      <c r="A23" s="16" t="s">
        <v>47</v>
      </c>
      <c r="B23" s="73" t="s">
        <v>463</v>
      </c>
      <c r="C23" s="107">
        <v>2</v>
      </c>
      <c r="D23" s="107">
        <v>2</v>
      </c>
      <c r="E23" s="73" t="s">
        <v>508</v>
      </c>
    </row>
    <row r="24" spans="1:5" ht="34.2" customHeight="1" x14ac:dyDescent="0.25">
      <c r="A24" s="16" t="s">
        <v>47</v>
      </c>
      <c r="B24" s="73" t="s">
        <v>362</v>
      </c>
      <c r="C24" s="107">
        <v>2</v>
      </c>
      <c r="D24" s="107">
        <v>2</v>
      </c>
      <c r="E24" s="73" t="s">
        <v>509</v>
      </c>
    </row>
    <row r="25" spans="1:5" ht="34.2" customHeight="1" x14ac:dyDescent="0.25">
      <c r="A25" s="16" t="s">
        <v>47</v>
      </c>
      <c r="B25" s="73" t="s">
        <v>483</v>
      </c>
      <c r="C25" s="107">
        <v>2</v>
      </c>
      <c r="D25" s="107">
        <v>2</v>
      </c>
      <c r="E25" s="73" t="s">
        <v>505</v>
      </c>
    </row>
    <row r="26" spans="1:5" ht="34.2" customHeight="1" x14ac:dyDescent="0.25">
      <c r="A26" s="16" t="s">
        <v>47</v>
      </c>
      <c r="B26" s="73" t="s">
        <v>351</v>
      </c>
      <c r="C26" s="107">
        <v>2</v>
      </c>
      <c r="D26" s="107">
        <v>0</v>
      </c>
      <c r="E26" s="73" t="s">
        <v>510</v>
      </c>
    </row>
    <row r="27" spans="1:5" ht="20.6" customHeight="1" x14ac:dyDescent="0.25">
      <c r="A27" s="16" t="s">
        <v>47</v>
      </c>
      <c r="B27" s="73" t="s">
        <v>333</v>
      </c>
      <c r="C27" s="107">
        <v>2</v>
      </c>
      <c r="D27" s="107">
        <v>2</v>
      </c>
      <c r="E27" s="73" t="s">
        <v>511</v>
      </c>
    </row>
    <row r="28" spans="1:5" ht="20.6" customHeight="1" x14ac:dyDescent="0.25">
      <c r="A28" s="16" t="s">
        <v>47</v>
      </c>
      <c r="B28" s="73" t="s">
        <v>482</v>
      </c>
      <c r="C28" s="107">
        <v>2</v>
      </c>
      <c r="D28" s="107">
        <v>2</v>
      </c>
      <c r="E28" s="73" t="s">
        <v>505</v>
      </c>
    </row>
    <row r="29" spans="1:5" ht="20.6" customHeight="1" x14ac:dyDescent="0.25">
      <c r="A29" s="16" t="s">
        <v>47</v>
      </c>
      <c r="B29" s="73" t="s">
        <v>462</v>
      </c>
      <c r="C29" s="107">
        <v>2</v>
      </c>
      <c r="D29" s="107">
        <v>2</v>
      </c>
      <c r="E29" s="73" t="s">
        <v>508</v>
      </c>
    </row>
    <row r="30" spans="1:5" ht="34.2" customHeight="1" x14ac:dyDescent="0.25">
      <c r="A30" s="16" t="s">
        <v>47</v>
      </c>
      <c r="B30" s="73" t="s">
        <v>356</v>
      </c>
      <c r="C30" s="107">
        <v>2</v>
      </c>
      <c r="D30" s="107">
        <v>2</v>
      </c>
      <c r="E30" s="73" t="s">
        <v>512</v>
      </c>
    </row>
    <row r="31" spans="1:5" ht="34.2" customHeight="1" x14ac:dyDescent="0.25">
      <c r="A31" s="16" t="s">
        <v>47</v>
      </c>
      <c r="B31" s="73" t="s">
        <v>361</v>
      </c>
      <c r="C31" s="107">
        <v>1</v>
      </c>
      <c r="D31" s="107">
        <v>1</v>
      </c>
      <c r="E31" s="73" t="s">
        <v>196</v>
      </c>
    </row>
    <row r="32" spans="1:5" ht="34.2" customHeight="1" x14ac:dyDescent="0.25">
      <c r="A32" s="16" t="s">
        <v>47</v>
      </c>
      <c r="B32" s="73" t="s">
        <v>480</v>
      </c>
      <c r="C32" s="107">
        <v>1</v>
      </c>
      <c r="D32" s="107">
        <v>1</v>
      </c>
      <c r="E32" s="73" t="s">
        <v>156</v>
      </c>
    </row>
    <row r="33" spans="1:5" ht="20.6" customHeight="1" x14ac:dyDescent="0.25">
      <c r="A33" s="16" t="s">
        <v>47</v>
      </c>
      <c r="B33" s="73" t="s">
        <v>354</v>
      </c>
      <c r="C33" s="107">
        <v>1</v>
      </c>
      <c r="D33" s="107">
        <v>1</v>
      </c>
      <c r="E33" s="73" t="s">
        <v>144</v>
      </c>
    </row>
    <row r="34" spans="1:5" ht="20.6" customHeight="1" x14ac:dyDescent="0.25">
      <c r="A34" s="16" t="s">
        <v>47</v>
      </c>
      <c r="B34" s="73" t="s">
        <v>353</v>
      </c>
      <c r="C34" s="107">
        <v>1</v>
      </c>
      <c r="D34" s="107">
        <v>1</v>
      </c>
      <c r="E34" s="73" t="s">
        <v>140</v>
      </c>
    </row>
    <row r="35" spans="1:5" ht="20.6" customHeight="1" x14ac:dyDescent="0.25">
      <c r="A35" s="16" t="s">
        <v>47</v>
      </c>
      <c r="B35" s="73" t="s">
        <v>357</v>
      </c>
      <c r="C35" s="107">
        <v>1</v>
      </c>
      <c r="D35" s="107">
        <v>1</v>
      </c>
      <c r="E35" s="73" t="s">
        <v>188</v>
      </c>
    </row>
    <row r="36" spans="1:5" ht="20.6" customHeight="1" x14ac:dyDescent="0.25">
      <c r="A36" s="16" t="s">
        <v>47</v>
      </c>
      <c r="B36" s="73" t="s">
        <v>360</v>
      </c>
      <c r="C36" s="107">
        <v>1</v>
      </c>
      <c r="D36" s="107">
        <v>1</v>
      </c>
      <c r="E36" s="73" t="s">
        <v>194</v>
      </c>
    </row>
    <row r="37" spans="1:5" ht="20.6" customHeight="1" x14ac:dyDescent="0.25">
      <c r="A37" s="16" t="s">
        <v>47</v>
      </c>
      <c r="B37" s="73" t="s">
        <v>358</v>
      </c>
      <c r="C37" s="107">
        <v>1</v>
      </c>
      <c r="D37" s="107">
        <v>1</v>
      </c>
      <c r="E37" s="73" t="s">
        <v>190</v>
      </c>
    </row>
    <row r="38" spans="1:5" ht="20.6" customHeight="1" x14ac:dyDescent="0.25">
      <c r="A38" s="16" t="s">
        <v>47</v>
      </c>
      <c r="B38" s="73" t="s">
        <v>359</v>
      </c>
      <c r="C38" s="107">
        <v>1</v>
      </c>
      <c r="D38" s="107">
        <v>1</v>
      </c>
      <c r="E38" s="73" t="s">
        <v>192</v>
      </c>
    </row>
    <row r="39" spans="1:5" ht="34.2" customHeight="1" x14ac:dyDescent="0.25">
      <c r="A39" s="16" t="s">
        <v>47</v>
      </c>
      <c r="B39" s="73" t="s">
        <v>367</v>
      </c>
      <c r="C39" s="107">
        <v>1</v>
      </c>
      <c r="D39" s="107">
        <v>1</v>
      </c>
      <c r="E39" s="73" t="s">
        <v>202</v>
      </c>
    </row>
    <row r="40" spans="1:5" ht="20.6" customHeight="1" x14ac:dyDescent="0.25">
      <c r="A40" s="16" t="s">
        <v>47</v>
      </c>
      <c r="B40" s="73" t="s">
        <v>478</v>
      </c>
      <c r="C40" s="107">
        <v>1</v>
      </c>
      <c r="D40" s="107">
        <v>1</v>
      </c>
      <c r="E40" s="73" t="s">
        <v>152</v>
      </c>
    </row>
    <row r="41" spans="1:5" ht="20.6" customHeight="1" x14ac:dyDescent="0.25">
      <c r="A41" s="16" t="s">
        <v>47</v>
      </c>
      <c r="B41" s="73" t="s">
        <v>352</v>
      </c>
      <c r="C41" s="107">
        <v>1</v>
      </c>
      <c r="D41" s="107">
        <v>1</v>
      </c>
      <c r="E41" s="73" t="s">
        <v>116</v>
      </c>
    </row>
    <row r="42" spans="1:5" ht="24" customHeight="1" x14ac:dyDescent="0.25">
      <c r="A42" s="142" t="s">
        <v>513</v>
      </c>
      <c r="B42" s="142"/>
      <c r="C42" s="143">
        <f>SUBTOTAL(109,C5:C41)</f>
        <v>54</v>
      </c>
      <c r="D42" s="143">
        <f>SUBTOTAL(109,D5:D41)</f>
        <v>50</v>
      </c>
      <c r="E42" s="142"/>
    </row>
  </sheetData>
  <autoFilter ref="A4:E41"/>
  <conditionalFormatting sqref="C5:C41">
    <cfRule type="dataBar" priority="1">
      <dataBar>
        <cfvo type="num" val="0"/>
        <cfvo type="max"/>
        <color rgb="FF7FCBD4"/>
      </dataBar>
      <extLst>
        <ext xmlns:x14="http://schemas.microsoft.com/office/spreadsheetml/2009/9/main" uri="{B025F937-C7B1-47D3-B67F-A62EFF666E3E}">
          <x14:id>{DA7ABA51-AAAA-BBBB-0008-000000000001}</x14:id>
        </ext>
      </extLst>
    </cfRule>
  </conditionalFormatting>
  <conditionalFormatting sqref="D5:D41">
    <cfRule type="expression" dxfId="5" priority="2">
      <formula>$D5&lt;$C5</formula>
    </cfRule>
  </conditionalFormatting>
  <pageMargins left="0.4" right="0.4" top="0.5" bottom="0.6" header="0.3" footer="0.3"/>
  <pageSetup paperSize="9" fitToHeight="0" orientation="landscape"/>
  <headerFooter>
    <oddFooter>&amp;L&amp;"Aptos,Regular"&amp;8Outlook-Regeln – &amp;A&amp;R&amp;"Aptos,Regular"&amp;8Seite &amp;P von &amp;N</oddFooter>
  </headerFooter>
  <extLst>
    <ext xmlns:x14="http://schemas.microsoft.com/office/spreadsheetml/2009/9/main" uri="{78C0D931-6437-407d-A8EE-F0AAD7539E65}">
      <x14:conditionalFormattings>
        <x14:conditionalFormatting xmlns:xm="http://schemas.microsoft.com/office/excel/2006/main">
          <x14:cfRule type="dataBar" id="{DA7ABA51-AAAA-BBBB-0008-000000000001}">
            <x14:dataBar minLength="0" maxLength="100" border="1" gradient="0" direction="leftToRight" negativeBarBorderColorSameAsPositive="0">
              <x14:cfvo type="num">
                <xm:f>0</xm:f>
              </x14:cfvo>
              <x14:cfvo type="autoMax"/>
              <x14:borderColor rgb="FF7FCBD4"/>
              <x14:negativeFillColor rgb="FFFF0000"/>
              <x14:negativeBorderColor rgb="FFFF0000"/>
              <x14:axisColor rgb="FF000000"/>
            </x14:dataBar>
          </x14:cfRule>
          <xm:sqref>C5:C41</xm:sqref>
        </x14:conditionalFormatting>
      </x14:conditionalFormattings>
    </ext>
  </extLst>
</worksheet>
</file>

<file path=xl/worksheets/sheet9.xml><?xml version="1.0" encoding="utf-8"?>
<worksheet xmlns="http://schemas.openxmlformats.org/spreadsheetml/2006/main" xmlns:r="http://schemas.openxmlformats.org/officeDocument/2006/relationships">
  <sheetPr codeName="shHinweise">
    <tabColor rgb="FFE07000"/>
    <pageSetUpPr fitToPage="1"/>
  </sheetPr>
  <dimension ref="A1:D42"/>
  <sheetViews>
    <sheetView showGridLines="0" workbookViewId="0">
      <pane ySplit="4" topLeftCell="A5" activePane="bottomLeft" state="frozen"/>
      <selection pane="bottomLeft"/>
    </sheetView>
  </sheetViews>
  <sheetFormatPr defaultRowHeight="15"/>
  <cols>
    <col min="1" max="1" width="22.7109375" customWidth="1"/>
    <col min="2" max="2" width="29.7109375" customWidth="1"/>
    <col min="3" max="3" width="42.7109375" customWidth="1"/>
    <col min="4" max="4" width="100.7109375" customWidth="1"/>
  </cols>
  <sheetData>
    <row r="1" spans="1:4" ht="36" customHeight="1">
      <c r="A1" s="36" t="s">
        <v>514</v>
      </c>
    </row>
    <row r="2" spans="1:4" ht="18" customHeight="1">
      <c r="A2" s="65" t="s">
        <v>515</v>
      </c>
    </row>
    <row r="3" spans="1:4" ht="12" customHeight="1"/>
    <row r="4" spans="1:4" ht="30" customHeight="1">
      <c r="A4" s="12" t="s">
        <v>50</v>
      </c>
      <c r="B4" s="12" t="s">
        <v>42</v>
      </c>
      <c r="C4" s="12" t="s">
        <v>99</v>
      </c>
      <c r="D4" s="12" t="s">
        <v>516</v>
      </c>
    </row>
    <row r="5" spans="1:4" ht="20.6" customHeight="1">
      <c r="A5" s="26" t="s">
        <v>61</v>
      </c>
      <c r="B5" s="16" t="s">
        <v>47</v>
      </c>
      <c r="C5" s="73" t="s">
        <v>110</v>
      </c>
      <c r="D5" s="73" t="s">
        <v>62</v>
      </c>
    </row>
    <row r="6" spans="1:4" ht="34.2" customHeight="1">
      <c r="A6" s="26" t="s">
        <v>55</v>
      </c>
      <c r="B6" s="16" t="s">
        <v>47</v>
      </c>
      <c r="C6" s="73" t="s">
        <v>110</v>
      </c>
      <c r="D6" s="73" t="s">
        <v>517</v>
      </c>
    </row>
    <row r="7" spans="1:4" ht="20.6" customHeight="1">
      <c r="A7" s="144" t="s">
        <v>61</v>
      </c>
      <c r="B7" s="138" t="s">
        <v>47</v>
      </c>
      <c r="C7" s="140" t="s">
        <v>183</v>
      </c>
      <c r="D7" s="140" t="s">
        <v>62</v>
      </c>
    </row>
    <row r="8" spans="1:4" ht="34.2" customHeight="1">
      <c r="A8" s="26" t="s">
        <v>53</v>
      </c>
      <c r="B8" s="16" t="s">
        <v>47</v>
      </c>
      <c r="C8" s="73" t="s">
        <v>183</v>
      </c>
      <c r="D8" s="73" t="s">
        <v>518</v>
      </c>
    </row>
    <row r="9" spans="1:4" ht="34.2" customHeight="1">
      <c r="A9" s="144" t="s">
        <v>53</v>
      </c>
      <c r="B9" s="138" t="s">
        <v>47</v>
      </c>
      <c r="C9" s="140" t="s">
        <v>144</v>
      </c>
      <c r="D9" s="140" t="s">
        <v>519</v>
      </c>
    </row>
    <row r="10" spans="1:4" ht="34.2" customHeight="1">
      <c r="A10" s="144" t="s">
        <v>59</v>
      </c>
      <c r="B10" s="138" t="s">
        <v>47</v>
      </c>
      <c r="C10" s="140" t="s">
        <v>186</v>
      </c>
      <c r="D10" s="140" t="s">
        <v>520</v>
      </c>
    </row>
    <row r="11" spans="1:4" ht="34.2" customHeight="1">
      <c r="A11" s="144" t="s">
        <v>59</v>
      </c>
      <c r="B11" s="138" t="s">
        <v>47</v>
      </c>
      <c r="C11" s="140" t="s">
        <v>120</v>
      </c>
      <c r="D11" s="140" t="s">
        <v>520</v>
      </c>
    </row>
    <row r="12" spans="1:4" ht="20.6" customHeight="1">
      <c r="A12" s="144" t="s">
        <v>53</v>
      </c>
      <c r="B12" s="138" t="s">
        <v>47</v>
      </c>
      <c r="C12" s="140" t="s">
        <v>148</v>
      </c>
      <c r="D12" s="140" t="s">
        <v>521</v>
      </c>
    </row>
    <row r="13" spans="1:4" ht="34.2" customHeight="1">
      <c r="A13" s="144" t="s">
        <v>53</v>
      </c>
      <c r="B13" s="138" t="s">
        <v>47</v>
      </c>
      <c r="C13" s="140" t="s">
        <v>196</v>
      </c>
      <c r="D13" s="140" t="s">
        <v>522</v>
      </c>
    </row>
    <row r="14" spans="1:4" ht="34.2" customHeight="1">
      <c r="A14" s="144" t="s">
        <v>53</v>
      </c>
      <c r="B14" s="138" t="s">
        <v>47</v>
      </c>
      <c r="C14" s="140" t="s">
        <v>199</v>
      </c>
      <c r="D14" s="140" t="s">
        <v>522</v>
      </c>
    </row>
    <row r="15" spans="1:4" ht="34.2" customHeight="1">
      <c r="A15" s="144" t="s">
        <v>59</v>
      </c>
      <c r="B15" s="138" t="s">
        <v>47</v>
      </c>
      <c r="C15" s="140" t="s">
        <v>152</v>
      </c>
      <c r="D15" s="140" t="s">
        <v>523</v>
      </c>
    </row>
    <row r="16" spans="1:4" ht="34.2" customHeight="1">
      <c r="A16" s="144" t="s">
        <v>59</v>
      </c>
      <c r="B16" s="138" t="s">
        <v>47</v>
      </c>
      <c r="C16" s="140" t="s">
        <v>156</v>
      </c>
      <c r="D16" s="140" t="s">
        <v>524</v>
      </c>
    </row>
    <row r="17" spans="1:4" ht="34.2" customHeight="1">
      <c r="A17" s="144" t="s">
        <v>59</v>
      </c>
      <c r="B17" s="138" t="s">
        <v>47</v>
      </c>
      <c r="C17" s="140" t="s">
        <v>160</v>
      </c>
      <c r="D17" s="140" t="s">
        <v>525</v>
      </c>
    </row>
    <row r="18" spans="1:4" ht="34.2" customHeight="1">
      <c r="A18" s="144" t="s">
        <v>59</v>
      </c>
      <c r="B18" s="138" t="s">
        <v>47</v>
      </c>
      <c r="C18" s="140" t="s">
        <v>164</v>
      </c>
      <c r="D18" s="140" t="s">
        <v>525</v>
      </c>
    </row>
    <row r="19" spans="1:4" ht="20.6" customHeight="1">
      <c r="A19" s="144" t="s">
        <v>53</v>
      </c>
      <c r="B19" s="138" t="s">
        <v>47</v>
      </c>
      <c r="C19" s="140" t="s">
        <v>124</v>
      </c>
      <c r="D19" s="140" t="s">
        <v>519</v>
      </c>
    </row>
    <row r="20" spans="1:4" ht="34.2" customHeight="1">
      <c r="A20" s="144" t="s">
        <v>53</v>
      </c>
      <c r="B20" s="138" t="s">
        <v>47</v>
      </c>
      <c r="C20" s="140" t="s">
        <v>202</v>
      </c>
      <c r="D20" s="140" t="s">
        <v>522</v>
      </c>
    </row>
    <row r="21" spans="1:4" ht="47.8" customHeight="1">
      <c r="A21" s="144" t="s">
        <v>57</v>
      </c>
      <c r="B21" s="138" t="s">
        <v>47</v>
      </c>
      <c r="C21" s="140" t="s">
        <v>128</v>
      </c>
      <c r="D21" s="140" t="s">
        <v>526</v>
      </c>
    </row>
    <row r="22" spans="1:4" ht="20.6" customHeight="1">
      <c r="A22" s="26" t="s">
        <v>53</v>
      </c>
      <c r="B22" s="16" t="s">
        <v>47</v>
      </c>
      <c r="C22" s="73" t="s">
        <v>128</v>
      </c>
      <c r="D22" s="73" t="s">
        <v>519</v>
      </c>
    </row>
    <row r="23" spans="1:4" ht="20.6" customHeight="1">
      <c r="A23" s="144" t="s">
        <v>61</v>
      </c>
      <c r="B23" s="138" t="s">
        <v>47</v>
      </c>
      <c r="C23" s="140" t="s">
        <v>132</v>
      </c>
      <c r="D23" s="140" t="s">
        <v>62</v>
      </c>
    </row>
    <row r="24" spans="1:4" ht="47.8" customHeight="1">
      <c r="A24" s="26" t="s">
        <v>57</v>
      </c>
      <c r="B24" s="16" t="s">
        <v>47</v>
      </c>
      <c r="C24" s="73" t="s">
        <v>132</v>
      </c>
      <c r="D24" s="73" t="s">
        <v>526</v>
      </c>
    </row>
    <row r="25" spans="1:4" ht="34.2" customHeight="1">
      <c r="A25" s="26" t="s">
        <v>53</v>
      </c>
      <c r="B25" s="16" t="s">
        <v>47</v>
      </c>
      <c r="C25" s="73" t="s">
        <v>132</v>
      </c>
      <c r="D25" s="73" t="s">
        <v>527</v>
      </c>
    </row>
    <row r="26" spans="1:4" ht="34.2" customHeight="1">
      <c r="A26" s="144" t="s">
        <v>61</v>
      </c>
      <c r="B26" s="138" t="s">
        <v>47</v>
      </c>
      <c r="C26" s="140" t="s">
        <v>204</v>
      </c>
      <c r="D26" s="140" t="s">
        <v>62</v>
      </c>
    </row>
    <row r="27" spans="1:4" ht="47.8" customHeight="1">
      <c r="A27" s="26" t="s">
        <v>57</v>
      </c>
      <c r="B27" s="16" t="s">
        <v>47</v>
      </c>
      <c r="C27" s="73" t="s">
        <v>204</v>
      </c>
      <c r="D27" s="73" t="s">
        <v>526</v>
      </c>
    </row>
    <row r="28" spans="1:4" ht="34.2" customHeight="1">
      <c r="A28" s="26" t="s">
        <v>53</v>
      </c>
      <c r="B28" s="16" t="s">
        <v>47</v>
      </c>
      <c r="C28" s="73" t="s">
        <v>204</v>
      </c>
      <c r="D28" s="73" t="s">
        <v>528</v>
      </c>
    </row>
    <row r="29" spans="1:4" ht="34.2" customHeight="1">
      <c r="A29" s="145" t="s">
        <v>53</v>
      </c>
      <c r="B29" s="109" t="s">
        <v>46</v>
      </c>
      <c r="C29" s="112" t="s">
        <v>144</v>
      </c>
      <c r="D29" s="112" t="s">
        <v>519</v>
      </c>
    </row>
    <row r="30" spans="1:4" ht="34.2" customHeight="1">
      <c r="A30" s="144" t="s">
        <v>59</v>
      </c>
      <c r="B30" s="138" t="s">
        <v>46</v>
      </c>
      <c r="C30" s="140" t="s">
        <v>120</v>
      </c>
      <c r="D30" s="140" t="s">
        <v>529</v>
      </c>
    </row>
    <row r="31" spans="1:4" ht="20.6" customHeight="1">
      <c r="A31" s="144" t="s">
        <v>53</v>
      </c>
      <c r="B31" s="138" t="s">
        <v>46</v>
      </c>
      <c r="C31" s="140" t="s">
        <v>148</v>
      </c>
      <c r="D31" s="140" t="s">
        <v>521</v>
      </c>
    </row>
    <row r="32" spans="1:4" ht="34.2" customHeight="1">
      <c r="A32" s="144" t="s">
        <v>59</v>
      </c>
      <c r="B32" s="138" t="s">
        <v>46</v>
      </c>
      <c r="C32" s="140" t="s">
        <v>176</v>
      </c>
      <c r="D32" s="140" t="s">
        <v>530</v>
      </c>
    </row>
    <row r="33" spans="1:4" ht="34.2" customHeight="1">
      <c r="A33" s="144" t="s">
        <v>59</v>
      </c>
      <c r="B33" s="138" t="s">
        <v>46</v>
      </c>
      <c r="C33" s="140" t="s">
        <v>152</v>
      </c>
      <c r="D33" s="140" t="s">
        <v>531</v>
      </c>
    </row>
    <row r="34" spans="1:4" ht="34.2" customHeight="1">
      <c r="A34" s="144" t="s">
        <v>59</v>
      </c>
      <c r="B34" s="138" t="s">
        <v>46</v>
      </c>
      <c r="C34" s="140" t="s">
        <v>156</v>
      </c>
      <c r="D34" s="140" t="s">
        <v>532</v>
      </c>
    </row>
    <row r="35" spans="1:4" ht="34.2" customHeight="1">
      <c r="A35" s="144" t="s">
        <v>59</v>
      </c>
      <c r="B35" s="138" t="s">
        <v>46</v>
      </c>
      <c r="C35" s="140" t="s">
        <v>160</v>
      </c>
      <c r="D35" s="140" t="s">
        <v>533</v>
      </c>
    </row>
    <row r="36" spans="1:4" ht="34.2" customHeight="1">
      <c r="A36" s="144" t="s">
        <v>59</v>
      </c>
      <c r="B36" s="138" t="s">
        <v>46</v>
      </c>
      <c r="C36" s="140" t="s">
        <v>164</v>
      </c>
      <c r="D36" s="140" t="s">
        <v>533</v>
      </c>
    </row>
    <row r="37" spans="1:4" ht="20.6" customHeight="1">
      <c r="A37" s="144" t="s">
        <v>53</v>
      </c>
      <c r="B37" s="138" t="s">
        <v>46</v>
      </c>
      <c r="C37" s="140" t="s">
        <v>124</v>
      </c>
      <c r="D37" s="140" t="s">
        <v>528</v>
      </c>
    </row>
    <row r="38" spans="1:4" ht="47.8" customHeight="1">
      <c r="A38" s="144" t="s">
        <v>57</v>
      </c>
      <c r="B38" s="138" t="s">
        <v>46</v>
      </c>
      <c r="C38" s="140" t="s">
        <v>128</v>
      </c>
      <c r="D38" s="140" t="s">
        <v>526</v>
      </c>
    </row>
    <row r="39" spans="1:4" ht="20.6" customHeight="1">
      <c r="A39" s="26" t="s">
        <v>53</v>
      </c>
      <c r="B39" s="16" t="s">
        <v>46</v>
      </c>
      <c r="C39" s="73" t="s">
        <v>128</v>
      </c>
      <c r="D39" s="73" t="s">
        <v>519</v>
      </c>
    </row>
    <row r="40" spans="1:4" ht="20.6" customHeight="1">
      <c r="A40" s="144" t="s">
        <v>61</v>
      </c>
      <c r="B40" s="138" t="s">
        <v>46</v>
      </c>
      <c r="C40" s="140" t="s">
        <v>132</v>
      </c>
      <c r="D40" s="140" t="s">
        <v>62</v>
      </c>
    </row>
    <row r="41" spans="1:4" ht="47.8" customHeight="1">
      <c r="A41" s="26" t="s">
        <v>57</v>
      </c>
      <c r="B41" s="16" t="s">
        <v>46</v>
      </c>
      <c r="C41" s="73" t="s">
        <v>132</v>
      </c>
      <c r="D41" s="73" t="s">
        <v>526</v>
      </c>
    </row>
    <row r="42" spans="1:4" ht="34.2" customHeight="1">
      <c r="A42" s="26" t="s">
        <v>53</v>
      </c>
      <c r="B42" s="16" t="s">
        <v>46</v>
      </c>
      <c r="C42" s="73" t="s">
        <v>132</v>
      </c>
      <c r="D42" s="73" t="s">
        <v>518</v>
      </c>
    </row>
  </sheetData>
  <autoFilter ref="A4:D42"/>
  <conditionalFormatting sqref="A5:A42">
    <cfRule type="cellIs" dxfId="9" priority="1" operator="equal">
      <formula>"Datenabfluss prüfen"</formula>
    </cfRule>
    <cfRule type="cellIs" dxfId="5" priority="2" operator="equal">
      <formula>"Nur-lokale Regel"</formula>
    </cfRule>
    <cfRule type="cellIs" dxfId="8" priority="3" operator="equal">
      <formula>"Sehr breit"</formula>
    </cfRule>
    <cfRule type="cellIs" dxfId="8" priority="4" operator="equal">
      <formula>"Keine Bedingung sichtbar"</formula>
    </cfRule>
    <cfRule type="cellIs" dxfId="9" priority="5" operator="equal">
      <formula>"Bedingung nicht lesbar"</formula>
    </cfRule>
    <cfRule type="cellIs" dxfId="11" priority="6" operator="equal">
      <formula>"Mehrfachziel"</formula>
    </cfRule>
    <cfRule type="cellIs" dxfId="4" priority="7" operator="equal">
      <formula>"Inaktiv"</formula>
    </cfRule>
  </conditionalFormatting>
  <pageMargins left="0.4" right="0.4" top="0.5" bottom="0.6" header="0.3" footer="0.3"/>
  <pageSetup paperSize="9" fitToHeight="0" orientation="landscape"/>
  <headerFooter>
    <oddFooter>&amp;L&amp;"Aptos,Regular"&amp;8Outlook-Regeln – &amp;A&amp;R&amp;"Aptos,Regular"&amp;8Seite &amp;P von &amp;N</oddFooter>
  </headerFooter>
</worksheet>
</file>

<file path=xl/worksheets/sheet10.xml><?xml version="1.0" encoding="utf-8"?>
<worksheet xmlns="http://schemas.openxmlformats.org/spreadsheetml/2006/main" xmlns:r="http://schemas.openxmlformats.org/officeDocument/2006/relationships">
  <sheetPr codeName="shDiagnose">
    <tabColor rgb="FF8A5A00"/>
    <pageSetUpPr fitToPage="1"/>
  </sheetPr>
  <dimension ref="A1:M47"/>
  <sheetViews>
    <sheetView showGridLines="0" workbookViewId="0">
      <pane ySplit="4" topLeftCell="A5" activePane="bottomLeft" state="frozen"/>
      <selection pane="bottomLeft"/>
    </sheetView>
  </sheetViews>
  <sheetFormatPr defaultRowHeight="15"/>
  <cols>
    <col min="1" max="1" width="28.7109375" customWidth="1"/>
    <col min="2" max="2" width="10.7109375" customWidth="1"/>
    <col min="3" max="3" width="40.7109375" customWidth="1"/>
    <col min="4" max="4" width="7.7109375" customWidth="1"/>
    <col min="5" max="5" width="8.7109375" customWidth="1"/>
    <col min="6" max="6" width="24.7109375" customWidth="1"/>
    <col min="7" max="7" width="12.7109375" customWidth="1"/>
    <col min="8" max="9" width="34.7109375" customWidth="1"/>
    <col min="10" max="10" width="12.7109375" customWidth="1"/>
    <col min="11" max="12" width="34.7109375" customWidth="1"/>
    <col min="13" max="13" width="40.7109375" customWidth="1"/>
  </cols>
  <sheetData>
    <row r="1" spans="1:13" ht="36" customHeight="1">
      <c r="A1" s="36" t="s">
        <v>534</v>
      </c>
    </row>
    <row r="2" spans="1:13" ht="29.8" customHeight="1">
      <c r="A2" s="114" t="s">
        <v>535</v>
      </c>
      <c r="B2" s="114"/>
      <c r="C2" s="114"/>
      <c r="D2" s="114"/>
      <c r="E2" s="114"/>
      <c r="F2" s="114"/>
      <c r="G2" s="114"/>
      <c r="H2" s="114"/>
      <c r="I2" s="114"/>
      <c r="J2" s="114"/>
      <c r="K2" s="114"/>
      <c r="L2" s="114"/>
      <c r="M2" s="114"/>
    </row>
    <row r="3" spans="1:13" ht="8" customHeight="1"/>
    <row r="4" spans="1:13" ht="30" customHeight="1">
      <c r="A4" s="12" t="s">
        <v>42</v>
      </c>
      <c r="B4" s="13" t="s">
        <v>319</v>
      </c>
      <c r="C4" s="12" t="s">
        <v>320</v>
      </c>
      <c r="D4" s="13" t="s">
        <v>102</v>
      </c>
      <c r="E4" s="13" t="s">
        <v>536</v>
      </c>
      <c r="F4" s="12" t="s">
        <v>537</v>
      </c>
      <c r="G4" s="13" t="s">
        <v>538</v>
      </c>
      <c r="H4" s="12" t="s">
        <v>539</v>
      </c>
      <c r="I4" s="12" t="s">
        <v>540</v>
      </c>
      <c r="J4" s="13" t="s">
        <v>541</v>
      </c>
      <c r="K4" s="12" t="s">
        <v>542</v>
      </c>
      <c r="L4" s="12" t="s">
        <v>543</v>
      </c>
      <c r="M4" s="12" t="s">
        <v>544</v>
      </c>
    </row>
    <row r="5" spans="1:13" ht="31.5" customHeight="1">
      <c r="A5" s="55" t="s">
        <v>46</v>
      </c>
      <c r="B5" s="146">
        <v>1</v>
      </c>
      <c r="C5" s="147" t="s">
        <v>329</v>
      </c>
      <c r="D5" s="148" t="s">
        <v>330</v>
      </c>
      <c r="E5" s="148" t="s">
        <v>349</v>
      </c>
      <c r="F5" s="147" t="s">
        <v>545</v>
      </c>
      <c r="G5" s="148">
        <v>31</v>
      </c>
      <c r="H5" s="147" t="s">
        <v>546</v>
      </c>
      <c r="I5" s="147" t="s">
        <v>547</v>
      </c>
      <c r="J5" s="148">
        <v>31</v>
      </c>
      <c r="K5" s="147"/>
      <c r="L5" s="147" t="s">
        <v>548</v>
      </c>
      <c r="M5" s="147"/>
    </row>
    <row r="6" spans="1:13" ht="31.5" customHeight="1">
      <c r="A6" s="55" t="s">
        <v>46</v>
      </c>
      <c r="B6" s="146">
        <v>2</v>
      </c>
      <c r="C6" s="147" t="s">
        <v>167</v>
      </c>
      <c r="D6" s="148" t="s">
        <v>330</v>
      </c>
      <c r="E6" s="148" t="s">
        <v>349</v>
      </c>
      <c r="F6" s="147" t="s">
        <v>545</v>
      </c>
      <c r="G6" s="148">
        <v>31</v>
      </c>
      <c r="H6" s="147" t="s">
        <v>549</v>
      </c>
      <c r="I6" s="147" t="s">
        <v>550</v>
      </c>
      <c r="J6" s="148">
        <v>31</v>
      </c>
      <c r="K6" s="147"/>
      <c r="L6" s="147" t="s">
        <v>548</v>
      </c>
      <c r="M6" s="147"/>
    </row>
    <row r="7" spans="1:13" ht="31.5" customHeight="1">
      <c r="A7" s="55" t="s">
        <v>46</v>
      </c>
      <c r="B7" s="146">
        <v>3</v>
      </c>
      <c r="C7" s="147" t="s">
        <v>171</v>
      </c>
      <c r="D7" s="148" t="s">
        <v>330</v>
      </c>
      <c r="E7" s="148" t="s">
        <v>349</v>
      </c>
      <c r="F7" s="147" t="s">
        <v>545</v>
      </c>
      <c r="G7" s="148">
        <v>31</v>
      </c>
      <c r="H7" s="147" t="s">
        <v>549</v>
      </c>
      <c r="I7" s="147" t="s">
        <v>550</v>
      </c>
      <c r="J7" s="148">
        <v>31</v>
      </c>
      <c r="K7" s="147"/>
      <c r="L7" s="147" t="s">
        <v>548</v>
      </c>
      <c r="M7" s="147"/>
    </row>
    <row r="8" spans="1:13" ht="31.5" customHeight="1">
      <c r="A8" s="55" t="s">
        <v>46</v>
      </c>
      <c r="B8" s="146">
        <v>4</v>
      </c>
      <c r="C8" s="147" t="s">
        <v>173</v>
      </c>
      <c r="D8" s="148" t="s">
        <v>330</v>
      </c>
      <c r="E8" s="148" t="s">
        <v>349</v>
      </c>
      <c r="F8" s="147" t="s">
        <v>545</v>
      </c>
      <c r="G8" s="148">
        <v>31</v>
      </c>
      <c r="H8" s="147" t="s">
        <v>551</v>
      </c>
      <c r="I8" s="147" t="s">
        <v>552</v>
      </c>
      <c r="J8" s="148">
        <v>31</v>
      </c>
      <c r="K8" s="147" t="s">
        <v>551</v>
      </c>
      <c r="L8" s="147" t="s">
        <v>552</v>
      </c>
      <c r="M8" s="147"/>
    </row>
    <row r="9" spans="1:13" ht="31.5" customHeight="1">
      <c r="A9" s="55" t="s">
        <v>46</v>
      </c>
      <c r="B9" s="146">
        <v>5</v>
      </c>
      <c r="C9" s="147" t="s">
        <v>110</v>
      </c>
      <c r="D9" s="148" t="s">
        <v>330</v>
      </c>
      <c r="E9" s="148" t="s">
        <v>349</v>
      </c>
      <c r="F9" s="147" t="s">
        <v>545</v>
      </c>
      <c r="G9" s="148">
        <v>31</v>
      </c>
      <c r="H9" s="147" t="s">
        <v>553</v>
      </c>
      <c r="I9" s="147" t="s">
        <v>554</v>
      </c>
      <c r="J9" s="148">
        <v>31</v>
      </c>
      <c r="K9" s="147"/>
      <c r="L9" s="147" t="s">
        <v>548</v>
      </c>
      <c r="M9" s="147"/>
    </row>
    <row r="10" spans="1:13" ht="31.5" customHeight="1">
      <c r="A10" s="55" t="s">
        <v>46</v>
      </c>
      <c r="B10" s="146">
        <v>6</v>
      </c>
      <c r="C10" s="147" t="s">
        <v>116</v>
      </c>
      <c r="D10" s="148" t="s">
        <v>330</v>
      </c>
      <c r="E10" s="148" t="s">
        <v>349</v>
      </c>
      <c r="F10" s="147" t="s">
        <v>545</v>
      </c>
      <c r="G10" s="148">
        <v>31</v>
      </c>
      <c r="H10" s="147" t="s">
        <v>555</v>
      </c>
      <c r="I10" s="147" t="s">
        <v>556</v>
      </c>
      <c r="J10" s="148">
        <v>31</v>
      </c>
      <c r="K10" s="147"/>
      <c r="L10" s="147" t="s">
        <v>548</v>
      </c>
      <c r="M10" s="147"/>
    </row>
    <row r="11" spans="1:13" ht="31.5" customHeight="1">
      <c r="A11" s="55" t="s">
        <v>46</v>
      </c>
      <c r="B11" s="146">
        <v>7</v>
      </c>
      <c r="C11" s="147" t="s">
        <v>140</v>
      </c>
      <c r="D11" s="148" t="s">
        <v>330</v>
      </c>
      <c r="E11" s="148" t="s">
        <v>349</v>
      </c>
      <c r="F11" s="147" t="s">
        <v>545</v>
      </c>
      <c r="G11" s="148">
        <v>31</v>
      </c>
      <c r="H11" s="147" t="s">
        <v>551</v>
      </c>
      <c r="I11" s="147" t="s">
        <v>552</v>
      </c>
      <c r="J11" s="148">
        <v>31</v>
      </c>
      <c r="K11" s="147"/>
      <c r="L11" s="147" t="s">
        <v>548</v>
      </c>
      <c r="M11" s="147"/>
    </row>
    <row r="12" spans="1:13" ht="31.5" customHeight="1">
      <c r="A12" s="55" t="s">
        <v>46</v>
      </c>
      <c r="B12" s="146">
        <v>8</v>
      </c>
      <c r="C12" s="147" t="s">
        <v>144</v>
      </c>
      <c r="D12" s="148" t="s">
        <v>330</v>
      </c>
      <c r="E12" s="148" t="s">
        <v>349</v>
      </c>
      <c r="F12" s="147" t="s">
        <v>545</v>
      </c>
      <c r="G12" s="148">
        <v>31</v>
      </c>
      <c r="H12" s="147" t="s">
        <v>557</v>
      </c>
      <c r="I12" s="147" t="s">
        <v>558</v>
      </c>
      <c r="J12" s="148">
        <v>31</v>
      </c>
      <c r="K12" s="147" t="s">
        <v>559</v>
      </c>
      <c r="L12" s="147" t="s">
        <v>560</v>
      </c>
      <c r="M12" s="147"/>
    </row>
    <row r="13" spans="1:13" ht="31.5" customHeight="1">
      <c r="A13" s="55" t="s">
        <v>46</v>
      </c>
      <c r="B13" s="146">
        <v>9</v>
      </c>
      <c r="C13" s="147" t="s">
        <v>120</v>
      </c>
      <c r="D13" s="148" t="s">
        <v>330</v>
      </c>
      <c r="E13" s="148" t="s">
        <v>349</v>
      </c>
      <c r="F13" s="147" t="s">
        <v>545</v>
      </c>
      <c r="G13" s="148">
        <v>31</v>
      </c>
      <c r="H13" s="147" t="s">
        <v>551</v>
      </c>
      <c r="I13" s="147" t="s">
        <v>552</v>
      </c>
      <c r="J13" s="148">
        <v>31</v>
      </c>
      <c r="K13" s="147"/>
      <c r="L13" s="147" t="s">
        <v>548</v>
      </c>
      <c r="M13" s="147"/>
    </row>
    <row r="14" spans="1:13" ht="31.5" customHeight="1">
      <c r="A14" s="55" t="s">
        <v>46</v>
      </c>
      <c r="B14" s="146">
        <v>10</v>
      </c>
      <c r="C14" s="147" t="s">
        <v>148</v>
      </c>
      <c r="D14" s="148" t="s">
        <v>330</v>
      </c>
      <c r="E14" s="148" t="s">
        <v>349</v>
      </c>
      <c r="F14" s="147" t="s">
        <v>545</v>
      </c>
      <c r="G14" s="148">
        <v>31</v>
      </c>
      <c r="H14" s="147" t="s">
        <v>561</v>
      </c>
      <c r="I14" s="147" t="s">
        <v>562</v>
      </c>
      <c r="J14" s="148">
        <v>31</v>
      </c>
      <c r="K14" s="147"/>
      <c r="L14" s="147" t="s">
        <v>548</v>
      </c>
      <c r="M14" s="147"/>
    </row>
    <row r="15" spans="1:13" ht="31.5" customHeight="1">
      <c r="A15" s="55" t="s">
        <v>46</v>
      </c>
      <c r="B15" s="146">
        <v>11</v>
      </c>
      <c r="C15" s="147" t="s">
        <v>176</v>
      </c>
      <c r="D15" s="148" t="s">
        <v>330</v>
      </c>
      <c r="E15" s="148" t="s">
        <v>349</v>
      </c>
      <c r="F15" s="147" t="s">
        <v>545</v>
      </c>
      <c r="G15" s="148">
        <v>31</v>
      </c>
      <c r="H15" s="147" t="s">
        <v>563</v>
      </c>
      <c r="I15" s="147" t="s">
        <v>564</v>
      </c>
      <c r="J15" s="148">
        <v>31</v>
      </c>
      <c r="K15" s="147"/>
      <c r="L15" s="147" t="s">
        <v>548</v>
      </c>
      <c r="M15" s="147"/>
    </row>
    <row r="16" spans="1:13" ht="31.5" customHeight="1">
      <c r="A16" s="55" t="s">
        <v>46</v>
      </c>
      <c r="B16" s="146">
        <v>12</v>
      </c>
      <c r="C16" s="147" t="s">
        <v>152</v>
      </c>
      <c r="D16" s="148" t="s">
        <v>330</v>
      </c>
      <c r="E16" s="148" t="s">
        <v>349</v>
      </c>
      <c r="F16" s="147" t="s">
        <v>545</v>
      </c>
      <c r="G16" s="148">
        <v>31</v>
      </c>
      <c r="H16" s="147" t="s">
        <v>555</v>
      </c>
      <c r="I16" s="147" t="s">
        <v>556</v>
      </c>
      <c r="J16" s="148">
        <v>31</v>
      </c>
      <c r="K16" s="147"/>
      <c r="L16" s="147" t="s">
        <v>548</v>
      </c>
      <c r="M16" s="147"/>
    </row>
    <row r="17" spans="1:13" ht="31.5" customHeight="1">
      <c r="A17" s="55" t="s">
        <v>46</v>
      </c>
      <c r="B17" s="146">
        <v>13</v>
      </c>
      <c r="C17" s="147" t="s">
        <v>156</v>
      </c>
      <c r="D17" s="148" t="s">
        <v>330</v>
      </c>
      <c r="E17" s="148" t="s">
        <v>349</v>
      </c>
      <c r="F17" s="147" t="s">
        <v>545</v>
      </c>
      <c r="G17" s="148">
        <v>31</v>
      </c>
      <c r="H17" s="147" t="s">
        <v>555</v>
      </c>
      <c r="I17" s="147" t="s">
        <v>556</v>
      </c>
      <c r="J17" s="148">
        <v>31</v>
      </c>
      <c r="K17" s="147"/>
      <c r="L17" s="147" t="s">
        <v>548</v>
      </c>
      <c r="M17" s="147"/>
    </row>
    <row r="18" spans="1:13" ht="31.5" customHeight="1">
      <c r="A18" s="55" t="s">
        <v>46</v>
      </c>
      <c r="B18" s="146">
        <v>14</v>
      </c>
      <c r="C18" s="147" t="s">
        <v>160</v>
      </c>
      <c r="D18" s="148" t="s">
        <v>330</v>
      </c>
      <c r="E18" s="148" t="s">
        <v>349</v>
      </c>
      <c r="F18" s="147" t="s">
        <v>545</v>
      </c>
      <c r="G18" s="148">
        <v>31</v>
      </c>
      <c r="H18" s="147" t="s">
        <v>551</v>
      </c>
      <c r="I18" s="147" t="s">
        <v>552</v>
      </c>
      <c r="J18" s="148">
        <v>31</v>
      </c>
      <c r="K18" s="147"/>
      <c r="L18" s="147" t="s">
        <v>548</v>
      </c>
      <c r="M18" s="147"/>
    </row>
    <row r="19" spans="1:13" ht="31.5" customHeight="1">
      <c r="A19" s="55" t="s">
        <v>46</v>
      </c>
      <c r="B19" s="146">
        <v>15</v>
      </c>
      <c r="C19" s="147" t="s">
        <v>164</v>
      </c>
      <c r="D19" s="148" t="s">
        <v>330</v>
      </c>
      <c r="E19" s="148" t="s">
        <v>349</v>
      </c>
      <c r="F19" s="147" t="s">
        <v>545</v>
      </c>
      <c r="G19" s="148">
        <v>31</v>
      </c>
      <c r="H19" s="147" t="s">
        <v>549</v>
      </c>
      <c r="I19" s="147" t="s">
        <v>550</v>
      </c>
      <c r="J19" s="148">
        <v>31</v>
      </c>
      <c r="K19" s="147" t="s">
        <v>555</v>
      </c>
      <c r="L19" s="147" t="s">
        <v>556</v>
      </c>
      <c r="M19" s="147"/>
    </row>
    <row r="20" spans="1:13" ht="31.5" customHeight="1">
      <c r="A20" s="55" t="s">
        <v>46</v>
      </c>
      <c r="B20" s="146">
        <v>16</v>
      </c>
      <c r="C20" s="147" t="s">
        <v>124</v>
      </c>
      <c r="D20" s="148" t="s">
        <v>330</v>
      </c>
      <c r="E20" s="148" t="s">
        <v>349</v>
      </c>
      <c r="F20" s="147" t="s">
        <v>545</v>
      </c>
      <c r="G20" s="148">
        <v>31</v>
      </c>
      <c r="H20" s="147" t="s">
        <v>551</v>
      </c>
      <c r="I20" s="147" t="s">
        <v>552</v>
      </c>
      <c r="J20" s="148">
        <v>31</v>
      </c>
      <c r="K20" s="147"/>
      <c r="L20" s="147" t="s">
        <v>548</v>
      </c>
      <c r="M20" s="147"/>
    </row>
    <row r="21" spans="1:13" ht="31.5" customHeight="1">
      <c r="A21" s="55" t="s">
        <v>46</v>
      </c>
      <c r="B21" s="146">
        <v>17</v>
      </c>
      <c r="C21" s="147" t="s">
        <v>128</v>
      </c>
      <c r="D21" s="148" t="s">
        <v>330</v>
      </c>
      <c r="E21" s="148" t="s">
        <v>349</v>
      </c>
      <c r="F21" s="147" t="s">
        <v>565</v>
      </c>
      <c r="G21" s="148">
        <v>31</v>
      </c>
      <c r="H21" s="147"/>
      <c r="I21" s="147" t="s">
        <v>548</v>
      </c>
      <c r="J21" s="148">
        <v>31</v>
      </c>
      <c r="K21" s="147"/>
      <c r="L21" s="147" t="s">
        <v>548</v>
      </c>
      <c r="M21" s="147"/>
    </row>
    <row r="22" spans="1:13" ht="31.5" customHeight="1">
      <c r="A22" s="55" t="s">
        <v>46</v>
      </c>
      <c r="B22" s="146">
        <v>18</v>
      </c>
      <c r="C22" s="147" t="s">
        <v>132</v>
      </c>
      <c r="D22" s="148" t="s">
        <v>349</v>
      </c>
      <c r="E22" s="148" t="s">
        <v>349</v>
      </c>
      <c r="F22" s="147" t="s">
        <v>565</v>
      </c>
      <c r="G22" s="148">
        <v>31</v>
      </c>
      <c r="H22" s="147"/>
      <c r="I22" s="147" t="s">
        <v>548</v>
      </c>
      <c r="J22" s="148">
        <v>31</v>
      </c>
      <c r="K22" s="147" t="s">
        <v>549</v>
      </c>
      <c r="L22" s="147" t="s">
        <v>550</v>
      </c>
      <c r="M22" s="147"/>
    </row>
    <row r="23" spans="1:13" ht="19.2" customHeight="1">
      <c r="A23" s="149" t="s">
        <v>47</v>
      </c>
      <c r="B23" s="150">
        <v>1</v>
      </c>
      <c r="C23" s="151" t="s">
        <v>137</v>
      </c>
      <c r="D23" s="152" t="s">
        <v>330</v>
      </c>
      <c r="E23" s="152" t="s">
        <v>349</v>
      </c>
      <c r="F23" s="151" t="s">
        <v>545</v>
      </c>
      <c r="G23" s="152">
        <v>31</v>
      </c>
      <c r="H23" s="151" t="s">
        <v>546</v>
      </c>
      <c r="I23" s="151" t="s">
        <v>547</v>
      </c>
      <c r="J23" s="152">
        <v>31</v>
      </c>
      <c r="K23" s="151"/>
      <c r="L23" s="151" t="s">
        <v>548</v>
      </c>
      <c r="M23" s="151"/>
    </row>
    <row r="24" spans="1:13" ht="19.2" customHeight="1">
      <c r="A24" s="55" t="s">
        <v>47</v>
      </c>
      <c r="B24" s="146">
        <v>2</v>
      </c>
      <c r="C24" s="147" t="s">
        <v>180</v>
      </c>
      <c r="D24" s="148" t="s">
        <v>330</v>
      </c>
      <c r="E24" s="148" t="s">
        <v>349</v>
      </c>
      <c r="F24" s="147" t="s">
        <v>545</v>
      </c>
      <c r="G24" s="148">
        <v>31</v>
      </c>
      <c r="H24" s="147" t="s">
        <v>566</v>
      </c>
      <c r="I24" s="147" t="s">
        <v>567</v>
      </c>
      <c r="J24" s="148">
        <v>31</v>
      </c>
      <c r="K24" s="147"/>
      <c r="L24" s="147" t="s">
        <v>548</v>
      </c>
      <c r="M24" s="147"/>
    </row>
    <row r="25" spans="1:13" ht="19.2" customHeight="1">
      <c r="A25" s="55" t="s">
        <v>47</v>
      </c>
      <c r="B25" s="146">
        <v>3</v>
      </c>
      <c r="C25" s="147" t="s">
        <v>110</v>
      </c>
      <c r="D25" s="148" t="s">
        <v>349</v>
      </c>
      <c r="E25" s="148" t="s">
        <v>330</v>
      </c>
      <c r="F25" s="147" t="s">
        <v>545</v>
      </c>
      <c r="G25" s="148">
        <v>31</v>
      </c>
      <c r="H25" s="147" t="s">
        <v>553</v>
      </c>
      <c r="I25" s="147" t="s">
        <v>554</v>
      </c>
      <c r="J25" s="148">
        <v>31</v>
      </c>
      <c r="K25" s="147"/>
      <c r="L25" s="147" t="s">
        <v>548</v>
      </c>
      <c r="M25" s="147"/>
    </row>
    <row r="26" spans="1:13" ht="19.2" customHeight="1">
      <c r="A26" s="55" t="s">
        <v>47</v>
      </c>
      <c r="B26" s="146">
        <v>4</v>
      </c>
      <c r="C26" s="147" t="s">
        <v>183</v>
      </c>
      <c r="D26" s="148" t="s">
        <v>349</v>
      </c>
      <c r="E26" s="148" t="s">
        <v>349</v>
      </c>
      <c r="F26" s="147" t="s">
        <v>545</v>
      </c>
      <c r="G26" s="148">
        <v>31</v>
      </c>
      <c r="H26" s="147" t="s">
        <v>568</v>
      </c>
      <c r="I26" s="147" t="s">
        <v>569</v>
      </c>
      <c r="J26" s="148">
        <v>31</v>
      </c>
      <c r="K26" s="147"/>
      <c r="L26" s="147" t="s">
        <v>548</v>
      </c>
      <c r="M26" s="147"/>
    </row>
    <row r="27" spans="1:13" ht="19.2" customHeight="1">
      <c r="A27" s="55" t="s">
        <v>47</v>
      </c>
      <c r="B27" s="146">
        <v>5</v>
      </c>
      <c r="C27" s="147" t="s">
        <v>116</v>
      </c>
      <c r="D27" s="148" t="s">
        <v>330</v>
      </c>
      <c r="E27" s="148" t="s">
        <v>349</v>
      </c>
      <c r="F27" s="147" t="s">
        <v>545</v>
      </c>
      <c r="G27" s="148">
        <v>31</v>
      </c>
      <c r="H27" s="147" t="s">
        <v>549</v>
      </c>
      <c r="I27" s="147" t="s">
        <v>550</v>
      </c>
      <c r="J27" s="148">
        <v>31</v>
      </c>
      <c r="K27" s="147"/>
      <c r="L27" s="147" t="s">
        <v>548</v>
      </c>
      <c r="M27" s="147"/>
    </row>
    <row r="28" spans="1:13" ht="31.5" customHeight="1">
      <c r="A28" s="55" t="s">
        <v>47</v>
      </c>
      <c r="B28" s="146">
        <v>6</v>
      </c>
      <c r="C28" s="147" t="s">
        <v>140</v>
      </c>
      <c r="D28" s="148" t="s">
        <v>330</v>
      </c>
      <c r="E28" s="148" t="s">
        <v>349</v>
      </c>
      <c r="F28" s="147" t="s">
        <v>545</v>
      </c>
      <c r="G28" s="148">
        <v>31</v>
      </c>
      <c r="H28" s="147" t="s">
        <v>551</v>
      </c>
      <c r="I28" s="147" t="s">
        <v>552</v>
      </c>
      <c r="J28" s="148">
        <v>31</v>
      </c>
      <c r="K28" s="147"/>
      <c r="L28" s="147" t="s">
        <v>548</v>
      </c>
      <c r="M28" s="147"/>
    </row>
    <row r="29" spans="1:13" ht="31.5" customHeight="1">
      <c r="A29" s="55" t="s">
        <v>47</v>
      </c>
      <c r="B29" s="146">
        <v>7</v>
      </c>
      <c r="C29" s="147" t="s">
        <v>144</v>
      </c>
      <c r="D29" s="148" t="s">
        <v>330</v>
      </c>
      <c r="E29" s="148" t="s">
        <v>349</v>
      </c>
      <c r="F29" s="147" t="s">
        <v>545</v>
      </c>
      <c r="G29" s="148">
        <v>31</v>
      </c>
      <c r="H29" s="147" t="s">
        <v>557</v>
      </c>
      <c r="I29" s="147" t="s">
        <v>558</v>
      </c>
      <c r="J29" s="148">
        <v>31</v>
      </c>
      <c r="K29" s="147" t="s">
        <v>559</v>
      </c>
      <c r="L29" s="147" t="s">
        <v>560</v>
      </c>
      <c r="M29" s="147"/>
    </row>
    <row r="30" spans="1:13" ht="19.2" customHeight="1">
      <c r="A30" s="55" t="s">
        <v>47</v>
      </c>
      <c r="B30" s="146">
        <v>8</v>
      </c>
      <c r="C30" s="147" t="s">
        <v>186</v>
      </c>
      <c r="D30" s="148" t="s">
        <v>330</v>
      </c>
      <c r="E30" s="148" t="s">
        <v>349</v>
      </c>
      <c r="F30" s="147" t="s">
        <v>545</v>
      </c>
      <c r="G30" s="148">
        <v>31</v>
      </c>
      <c r="H30" s="147" t="s">
        <v>555</v>
      </c>
      <c r="I30" s="147" t="s">
        <v>556</v>
      </c>
      <c r="J30" s="148">
        <v>31</v>
      </c>
      <c r="K30" s="147"/>
      <c r="L30" s="147" t="s">
        <v>548</v>
      </c>
      <c r="M30" s="147"/>
    </row>
    <row r="31" spans="1:13" ht="19.2" customHeight="1">
      <c r="A31" s="55" t="s">
        <v>47</v>
      </c>
      <c r="B31" s="146">
        <v>9</v>
      </c>
      <c r="C31" s="147" t="s">
        <v>120</v>
      </c>
      <c r="D31" s="148" t="s">
        <v>330</v>
      </c>
      <c r="E31" s="148" t="s">
        <v>349</v>
      </c>
      <c r="F31" s="147" t="s">
        <v>545</v>
      </c>
      <c r="G31" s="148">
        <v>31</v>
      </c>
      <c r="H31" s="147" t="s">
        <v>551</v>
      </c>
      <c r="I31" s="147" t="s">
        <v>552</v>
      </c>
      <c r="J31" s="148">
        <v>31</v>
      </c>
      <c r="K31" s="147"/>
      <c r="L31" s="147" t="s">
        <v>548</v>
      </c>
      <c r="M31" s="147"/>
    </row>
    <row r="32" spans="1:13" ht="31.5" customHeight="1">
      <c r="A32" s="55" t="s">
        <v>47</v>
      </c>
      <c r="B32" s="146">
        <v>10</v>
      </c>
      <c r="C32" s="147" t="s">
        <v>148</v>
      </c>
      <c r="D32" s="148" t="s">
        <v>330</v>
      </c>
      <c r="E32" s="148" t="s">
        <v>349</v>
      </c>
      <c r="F32" s="147" t="s">
        <v>545</v>
      </c>
      <c r="G32" s="148">
        <v>31</v>
      </c>
      <c r="H32" s="147" t="s">
        <v>561</v>
      </c>
      <c r="I32" s="147" t="s">
        <v>562</v>
      </c>
      <c r="J32" s="148">
        <v>31</v>
      </c>
      <c r="K32" s="147"/>
      <c r="L32" s="147" t="s">
        <v>548</v>
      </c>
      <c r="M32" s="147"/>
    </row>
    <row r="33" spans="1:13" ht="31.5" customHeight="1">
      <c r="A33" s="55" t="s">
        <v>47</v>
      </c>
      <c r="B33" s="146">
        <v>11</v>
      </c>
      <c r="C33" s="147" t="s">
        <v>188</v>
      </c>
      <c r="D33" s="148" t="s">
        <v>330</v>
      </c>
      <c r="E33" s="148" t="s">
        <v>349</v>
      </c>
      <c r="F33" s="147" t="s">
        <v>545</v>
      </c>
      <c r="G33" s="148">
        <v>31</v>
      </c>
      <c r="H33" s="147" t="s">
        <v>570</v>
      </c>
      <c r="I33" s="147" t="s">
        <v>571</v>
      </c>
      <c r="J33" s="148">
        <v>31</v>
      </c>
      <c r="K33" s="147"/>
      <c r="L33" s="147" t="s">
        <v>548</v>
      </c>
      <c r="M33" s="147"/>
    </row>
    <row r="34" spans="1:13" ht="31.5" customHeight="1">
      <c r="A34" s="55" t="s">
        <v>47</v>
      </c>
      <c r="B34" s="146">
        <v>12</v>
      </c>
      <c r="C34" s="147" t="s">
        <v>190</v>
      </c>
      <c r="D34" s="148" t="s">
        <v>330</v>
      </c>
      <c r="E34" s="148" t="s">
        <v>349</v>
      </c>
      <c r="F34" s="147" t="s">
        <v>545</v>
      </c>
      <c r="G34" s="148">
        <v>31</v>
      </c>
      <c r="H34" s="147" t="s">
        <v>570</v>
      </c>
      <c r="I34" s="147" t="s">
        <v>571</v>
      </c>
      <c r="J34" s="148">
        <v>31</v>
      </c>
      <c r="K34" s="147"/>
      <c r="L34" s="147" t="s">
        <v>548</v>
      </c>
      <c r="M34" s="147"/>
    </row>
    <row r="35" spans="1:13" ht="19.2" customHeight="1">
      <c r="A35" s="55" t="s">
        <v>47</v>
      </c>
      <c r="B35" s="146">
        <v>13</v>
      </c>
      <c r="C35" s="147" t="s">
        <v>192</v>
      </c>
      <c r="D35" s="148" t="s">
        <v>330</v>
      </c>
      <c r="E35" s="148" t="s">
        <v>349</v>
      </c>
      <c r="F35" s="147" t="s">
        <v>545</v>
      </c>
      <c r="G35" s="148">
        <v>31</v>
      </c>
      <c r="H35" s="147" t="s">
        <v>568</v>
      </c>
      <c r="I35" s="147" t="s">
        <v>569</v>
      </c>
      <c r="J35" s="148">
        <v>31</v>
      </c>
      <c r="K35" s="147"/>
      <c r="L35" s="147" t="s">
        <v>548</v>
      </c>
      <c r="M35" s="147"/>
    </row>
    <row r="36" spans="1:13" ht="31.5" customHeight="1">
      <c r="A36" s="55" t="s">
        <v>47</v>
      </c>
      <c r="B36" s="146">
        <v>14</v>
      </c>
      <c r="C36" s="147" t="s">
        <v>194</v>
      </c>
      <c r="D36" s="148" t="s">
        <v>330</v>
      </c>
      <c r="E36" s="148" t="s">
        <v>349</v>
      </c>
      <c r="F36" s="147" t="s">
        <v>545</v>
      </c>
      <c r="G36" s="148">
        <v>31</v>
      </c>
      <c r="H36" s="147" t="s">
        <v>570</v>
      </c>
      <c r="I36" s="147" t="s">
        <v>571</v>
      </c>
      <c r="J36" s="148">
        <v>31</v>
      </c>
      <c r="K36" s="147"/>
      <c r="L36" s="147" t="s">
        <v>548</v>
      </c>
      <c r="M36" s="147"/>
    </row>
    <row r="37" spans="1:13" ht="31.5" customHeight="1">
      <c r="A37" s="55" t="s">
        <v>47</v>
      </c>
      <c r="B37" s="146">
        <v>15</v>
      </c>
      <c r="C37" s="147" t="s">
        <v>196</v>
      </c>
      <c r="D37" s="148" t="s">
        <v>330</v>
      </c>
      <c r="E37" s="148" t="s">
        <v>349</v>
      </c>
      <c r="F37" s="147" t="s">
        <v>545</v>
      </c>
      <c r="G37" s="148">
        <v>31</v>
      </c>
      <c r="H37" s="147" t="s">
        <v>555</v>
      </c>
      <c r="I37" s="147" t="s">
        <v>556</v>
      </c>
      <c r="J37" s="148">
        <v>31</v>
      </c>
      <c r="K37" s="147"/>
      <c r="L37" s="147" t="s">
        <v>548</v>
      </c>
      <c r="M37" s="147"/>
    </row>
    <row r="38" spans="1:13" ht="31.5" customHeight="1">
      <c r="A38" s="55" t="s">
        <v>47</v>
      </c>
      <c r="B38" s="146">
        <v>16</v>
      </c>
      <c r="C38" s="147" t="s">
        <v>199</v>
      </c>
      <c r="D38" s="148" t="s">
        <v>330</v>
      </c>
      <c r="E38" s="148" t="s">
        <v>349</v>
      </c>
      <c r="F38" s="147" t="s">
        <v>545</v>
      </c>
      <c r="G38" s="148">
        <v>31</v>
      </c>
      <c r="H38" s="147" t="s">
        <v>549</v>
      </c>
      <c r="I38" s="147" t="s">
        <v>550</v>
      </c>
      <c r="J38" s="148">
        <v>31</v>
      </c>
      <c r="K38" s="147"/>
      <c r="L38" s="147" t="s">
        <v>548</v>
      </c>
      <c r="M38" s="147"/>
    </row>
    <row r="39" spans="1:13" ht="19.2" customHeight="1">
      <c r="A39" s="55" t="s">
        <v>47</v>
      </c>
      <c r="B39" s="146">
        <v>17</v>
      </c>
      <c r="C39" s="147" t="s">
        <v>152</v>
      </c>
      <c r="D39" s="148" t="s">
        <v>330</v>
      </c>
      <c r="E39" s="148" t="s">
        <v>349</v>
      </c>
      <c r="F39" s="147" t="s">
        <v>545</v>
      </c>
      <c r="G39" s="148">
        <v>31</v>
      </c>
      <c r="H39" s="147" t="s">
        <v>555</v>
      </c>
      <c r="I39" s="147" t="s">
        <v>556</v>
      </c>
      <c r="J39" s="148">
        <v>31</v>
      </c>
      <c r="K39" s="147"/>
      <c r="L39" s="147" t="s">
        <v>548</v>
      </c>
      <c r="M39" s="147"/>
    </row>
    <row r="40" spans="1:13" ht="31.5" customHeight="1">
      <c r="A40" s="55" t="s">
        <v>47</v>
      </c>
      <c r="B40" s="146">
        <v>18</v>
      </c>
      <c r="C40" s="147" t="s">
        <v>156</v>
      </c>
      <c r="D40" s="148" t="s">
        <v>330</v>
      </c>
      <c r="E40" s="148" t="s">
        <v>349</v>
      </c>
      <c r="F40" s="147" t="s">
        <v>545</v>
      </c>
      <c r="G40" s="148">
        <v>31</v>
      </c>
      <c r="H40" s="147" t="s">
        <v>555</v>
      </c>
      <c r="I40" s="147" t="s">
        <v>556</v>
      </c>
      <c r="J40" s="148">
        <v>31</v>
      </c>
      <c r="K40" s="147"/>
      <c r="L40" s="147" t="s">
        <v>548</v>
      </c>
      <c r="M40" s="147"/>
    </row>
    <row r="41" spans="1:13" ht="19.2" customHeight="1">
      <c r="A41" s="55" t="s">
        <v>47</v>
      </c>
      <c r="B41" s="146">
        <v>19</v>
      </c>
      <c r="C41" s="147" t="s">
        <v>160</v>
      </c>
      <c r="D41" s="148" t="s">
        <v>330</v>
      </c>
      <c r="E41" s="148" t="s">
        <v>349</v>
      </c>
      <c r="F41" s="147" t="s">
        <v>545</v>
      </c>
      <c r="G41" s="148">
        <v>31</v>
      </c>
      <c r="H41" s="147" t="s">
        <v>551</v>
      </c>
      <c r="I41" s="147" t="s">
        <v>552</v>
      </c>
      <c r="J41" s="148">
        <v>31</v>
      </c>
      <c r="K41" s="147"/>
      <c r="L41" s="147" t="s">
        <v>548</v>
      </c>
      <c r="M41" s="147"/>
    </row>
    <row r="42" spans="1:13" ht="31.5" customHeight="1">
      <c r="A42" s="55" t="s">
        <v>47</v>
      </c>
      <c r="B42" s="146">
        <v>20</v>
      </c>
      <c r="C42" s="147" t="s">
        <v>164</v>
      </c>
      <c r="D42" s="148" t="s">
        <v>330</v>
      </c>
      <c r="E42" s="148" t="s">
        <v>349</v>
      </c>
      <c r="F42" s="147" t="s">
        <v>545</v>
      </c>
      <c r="G42" s="148">
        <v>31</v>
      </c>
      <c r="H42" s="147" t="s">
        <v>549</v>
      </c>
      <c r="I42" s="147" t="s">
        <v>550</v>
      </c>
      <c r="J42" s="148">
        <v>31</v>
      </c>
      <c r="K42" s="147" t="s">
        <v>555</v>
      </c>
      <c r="L42" s="147" t="s">
        <v>556</v>
      </c>
      <c r="M42" s="147"/>
    </row>
    <row r="43" spans="1:13" ht="19.2" customHeight="1">
      <c r="A43" s="55" t="s">
        <v>47</v>
      </c>
      <c r="B43" s="146">
        <v>21</v>
      </c>
      <c r="C43" s="147" t="s">
        <v>124</v>
      </c>
      <c r="D43" s="148" t="s">
        <v>330</v>
      </c>
      <c r="E43" s="148" t="s">
        <v>349</v>
      </c>
      <c r="F43" s="147" t="s">
        <v>545</v>
      </c>
      <c r="G43" s="148">
        <v>31</v>
      </c>
      <c r="H43" s="147" t="s">
        <v>551</v>
      </c>
      <c r="I43" s="147" t="s">
        <v>552</v>
      </c>
      <c r="J43" s="148">
        <v>31</v>
      </c>
      <c r="K43" s="147" t="s">
        <v>549</v>
      </c>
      <c r="L43" s="147" t="s">
        <v>550</v>
      </c>
      <c r="M43" s="147"/>
    </row>
    <row r="44" spans="1:13" ht="19.2" customHeight="1">
      <c r="A44" s="55" t="s">
        <v>47</v>
      </c>
      <c r="B44" s="146">
        <v>22</v>
      </c>
      <c r="C44" s="147" t="s">
        <v>202</v>
      </c>
      <c r="D44" s="148" t="s">
        <v>330</v>
      </c>
      <c r="E44" s="148" t="s">
        <v>349</v>
      </c>
      <c r="F44" s="147" t="s">
        <v>545</v>
      </c>
      <c r="G44" s="148">
        <v>31</v>
      </c>
      <c r="H44" s="147" t="s">
        <v>551</v>
      </c>
      <c r="I44" s="147" t="s">
        <v>552</v>
      </c>
      <c r="J44" s="148">
        <v>31</v>
      </c>
      <c r="K44" s="147"/>
      <c r="L44" s="147" t="s">
        <v>548</v>
      </c>
      <c r="M44" s="147"/>
    </row>
    <row r="45" spans="1:13" ht="19.2" customHeight="1">
      <c r="A45" s="55" t="s">
        <v>47</v>
      </c>
      <c r="B45" s="146">
        <v>23</v>
      </c>
      <c r="C45" s="147" t="s">
        <v>128</v>
      </c>
      <c r="D45" s="148" t="s">
        <v>330</v>
      </c>
      <c r="E45" s="148" t="s">
        <v>349</v>
      </c>
      <c r="F45" s="147" t="s">
        <v>565</v>
      </c>
      <c r="G45" s="148">
        <v>31</v>
      </c>
      <c r="H45" s="147"/>
      <c r="I45" s="147" t="s">
        <v>548</v>
      </c>
      <c r="J45" s="148">
        <v>31</v>
      </c>
      <c r="K45" s="147" t="s">
        <v>549</v>
      </c>
      <c r="L45" s="147" t="s">
        <v>550</v>
      </c>
      <c r="M45" s="147"/>
    </row>
    <row r="46" spans="1:13" ht="19.2" customHeight="1">
      <c r="A46" s="55" t="s">
        <v>47</v>
      </c>
      <c r="B46" s="146">
        <v>24</v>
      </c>
      <c r="C46" s="147" t="s">
        <v>132</v>
      </c>
      <c r="D46" s="148" t="s">
        <v>349</v>
      </c>
      <c r="E46" s="148" t="s">
        <v>349</v>
      </c>
      <c r="F46" s="147" t="s">
        <v>565</v>
      </c>
      <c r="G46" s="148">
        <v>31</v>
      </c>
      <c r="H46" s="147"/>
      <c r="I46" s="147" t="s">
        <v>548</v>
      </c>
      <c r="J46" s="148">
        <v>31</v>
      </c>
      <c r="K46" s="147" t="s">
        <v>549</v>
      </c>
      <c r="L46" s="147" t="s">
        <v>550</v>
      </c>
      <c r="M46" s="147"/>
    </row>
    <row r="47" spans="1:13" ht="31.5" customHeight="1">
      <c r="A47" s="55" t="s">
        <v>47</v>
      </c>
      <c r="B47" s="146">
        <v>25</v>
      </c>
      <c r="C47" s="147" t="s">
        <v>204</v>
      </c>
      <c r="D47" s="148" t="s">
        <v>349</v>
      </c>
      <c r="E47" s="148" t="s">
        <v>349</v>
      </c>
      <c r="F47" s="147" t="s">
        <v>565</v>
      </c>
      <c r="G47" s="148">
        <v>31</v>
      </c>
      <c r="H47" s="147"/>
      <c r="I47" s="147" t="s">
        <v>548</v>
      </c>
      <c r="J47" s="148">
        <v>31</v>
      </c>
      <c r="K47" s="147" t="s">
        <v>549</v>
      </c>
      <c r="L47" s="147" t="s">
        <v>550</v>
      </c>
      <c r="M47" s="147"/>
    </row>
  </sheetData>
  <autoFilter ref="A4:M47"/>
  <mergeCells count="1">
    <mergeCell ref="A2:M2"/>
  </mergeCells>
  <conditionalFormatting sqref="F5:F47">
    <cfRule type="beginsWith" dxfId="0" priority="1" operator="beginsWith" text="a ">
      <formula>LEFT(F5,2)="a "</formula>
    </cfRule>
    <cfRule type="beginsWith" dxfId="8" priority="2" operator="beginsWith" text="b ">
      <formula>LEFT(F5,2)="b "</formula>
    </cfRule>
    <cfRule type="beginsWith" dxfId="9" priority="3" operator="beginsWith" text="c ">
      <formula>LEFT(F5,2)="c "</formula>
    </cfRule>
    <cfRule type="containsText" dxfId="9" priority="4" operator="containsText" text="teilweise">
      <formula>NOT(ISERROR(SEARCH("teilweise",F5)))</formula>
    </cfRule>
  </conditionalFormatting>
  <pageMargins left="0.4" right="0.4" top="0.5" bottom="0.6" header="0.3" footer="0.3"/>
  <pageSetup paperSize="9" fitToHeight="0" orientation="landscape"/>
  <headerFooter>
    <oddFooter>&amp;L&amp;"Aptos,Regular"&amp;8Outlook-Regeln – &amp;A&amp;R&amp;"Aptos,Regular"&amp;8Seite &amp;P von &amp;N</oddFooter>
  </headerFooter>
</worksheet>
</file>

<file path=xl/worksheets/sheet11.xml><?xml version="1.0" encoding="utf-8"?>
<worksheet xmlns="http://schemas.openxmlformats.org/spreadsheetml/2006/main" xmlns:r="http://schemas.openxmlformats.org/officeDocument/2006/relationships">
  <sheetPr codeName="shLive">
    <tabColor rgb="FF0F94A7"/>
    <pageSetUpPr fitToPage="1"/>
  </sheetPr>
  <dimension ref="A1:N4"/>
  <sheetViews>
    <sheetView showGridLines="0" workbookViewId="0">
      <pane ySplit="4" topLeftCell="A5" activePane="bottomLeft" state="frozen"/>
      <selection pane="bottomLeft"/>
    </sheetView>
  </sheetViews>
  <sheetFormatPr defaultRowHeight="15"/>
  <cols>
    <col min="1" max="1" width="26.7109375" style="153" customWidth="1"/>
    <col min="2" max="2" width="6.7109375" style="153" customWidth="1"/>
    <col min="3" max="3" width="40.7109375" style="153" customWidth="1"/>
    <col min="4" max="4" width="7.7109375" style="153" customWidth="1"/>
    <col min="5" max="5" width="8.7109375" style="153" customWidth="1"/>
    <col min="6" max="6" width="44.7109375" style="153" customWidth="1"/>
    <col min="7" max="7" width="30.7109375" style="153" customWidth="1"/>
    <col min="8" max="8" width="56.7109375" style="153" customWidth="1"/>
    <col min="9" max="10" width="40.7109375" style="153" customWidth="1"/>
    <col min="11" max="11" width="10.7109375" style="153" customWidth="1"/>
    <col min="12" max="12" width="12.7109375" style="153" customWidth="1"/>
    <col min="13" max="13" width="8.7109375" style="153" customWidth="1"/>
    <col min="14" max="14" width="44.7109375" style="153" customWidth="1"/>
  </cols>
  <sheetData>
    <row r="1" spans="1:14" ht="36" customHeight="1">
      <c r="A1" s="36" t="s">
        <v>655</v>
      </c>
    </row>
    <row r="2" spans="1:14" ht="18" customHeight="1">
      <c r="A2" s="65" t="s">
        <v>656</v>
      </c>
    </row>
    <row r="3" spans="1:14" ht="8" customHeight="1"/>
    <row r="4" spans="1:14" ht="30" customHeight="1">
      <c r="A4" s="12" t="s">
        <v>42</v>
      </c>
      <c r="B4" s="12" t="s">
        <v>657</v>
      </c>
      <c r="C4" s="12" t="s">
        <v>99</v>
      </c>
      <c r="D4" s="12" t="s">
        <v>102</v>
      </c>
      <c r="E4" s="12" t="s">
        <v>536</v>
      </c>
      <c r="F4" s="12" t="s">
        <v>658</v>
      </c>
      <c r="G4" s="12" t="s">
        <v>659</v>
      </c>
      <c r="H4" s="12" t="s">
        <v>326</v>
      </c>
      <c r="I4" s="12" t="s">
        <v>660</v>
      </c>
      <c r="J4" s="12" t="s">
        <v>661</v>
      </c>
      <c r="K4" s="12" t="s">
        <v>662</v>
      </c>
      <c r="L4" s="12" t="s">
        <v>663</v>
      </c>
      <c r="M4" s="12" t="s">
        <v>664</v>
      </c>
      <c r="N4" s="12" t="s">
        <v>80</v>
      </c>
    </row>
  </sheetData>
  <autoFilter ref="A4:N2004"/>
  <conditionalFormatting sqref="D5:D2005">
    <cfRule type="cellIs" dxfId="14" priority="3" operator="equal">
      <formula>"Nein"</formula>
    </cfRule>
  </conditionalFormatting>
  <conditionalFormatting sqref="M5:M2005">
    <cfRule type="cellIs" dxfId="9" priority="1" operator="equal">
      <formula>"Nein"</formula>
    </cfRule>
  </conditionalFormatting>
  <conditionalFormatting sqref="N5:N2005">
    <cfRule type="beginsWith" dxfId="16" priority="2" operator="beginsWith" text="keine sichtbare">
      <formula>LEFT(N5,15)="keine sichtbare"</formula>
    </cfRule>
  </conditionalFormatting>
  <pageMargins left="0.4" right="0.4" top="0.5" bottom="0.6" header="0.3" footer="0.3"/>
  <pageSetup paperSize="9" fitToHeight="0" orientation="landscape"/>
  <headerFooter>
    <oddFooter>&amp;L&amp;"Aptos,Regular"&amp;8Outlook-Regeln – &amp;A&amp;R&amp;"Aptos,Regular"&amp;8Seite &amp;P von &amp;N</oddFooter>
  </headerFooter>
</worksheet>
</file>

<file path=xl/worksheets/sheet12.xml><?xml version="1.0" encoding="utf-8"?>
<worksheet xmlns="http://schemas.openxmlformats.org/spreadsheetml/2006/main" xmlns:r="http://schemas.openxmlformats.org/officeDocument/2006/relationships">
  <sheetPr codeName="shSicherung">
    <tabColor rgb="FF4A5360"/>
    <pageSetUpPr fitToPage="1"/>
  </sheetPr>
  <dimension ref="A1:L4"/>
  <sheetViews>
    <sheetView showGridLines="0" workbookViewId="0">
      <pane ySplit="4" topLeftCell="A5" activePane="bottomLeft" state="frozen"/>
      <selection pane="bottomLeft"/>
    </sheetView>
  </sheetViews>
  <sheetFormatPr defaultRowHeight="15"/>
  <cols>
    <col min="1" max="1" width="16.7109375" style="153" customWidth="1"/>
    <col min="2" max="2" width="26.7109375" style="153" customWidth="1"/>
    <col min="3" max="3" width="6.7109375" style="153" customWidth="1"/>
    <col min="4" max="4" width="40.7109375" style="153" customWidth="1"/>
    <col min="5" max="5" width="7.7109375" style="153" customWidth="1"/>
    <col min="6" max="6" width="8.7109375" style="153" customWidth="1"/>
    <col min="7" max="7" width="44.7109375" style="153" customWidth="1"/>
    <col min="8" max="8" width="30.7109375" style="153" customWidth="1"/>
    <col min="9" max="9" width="56.7109375" style="153" customWidth="1"/>
    <col min="10" max="11" width="40.7109375" style="153" customWidth="1"/>
    <col min="12" max="12" width="8.7109375" style="153" customWidth="1"/>
  </cols>
  <sheetData>
    <row r="1" spans="1:12" ht="36" customHeight="1">
      <c r="A1" s="36" t="s">
        <v>665</v>
      </c>
    </row>
    <row r="2" spans="1:12" ht="18" customHeight="1">
      <c r="A2" s="65" t="s">
        <v>666</v>
      </c>
    </row>
    <row r="3" spans="1:12" ht="8" customHeight="1"/>
    <row r="4" spans="1:12" ht="30" customHeight="1">
      <c r="A4" s="12" t="s">
        <v>667</v>
      </c>
      <c r="B4" s="12" t="s">
        <v>42</v>
      </c>
      <c r="C4" s="12" t="s">
        <v>657</v>
      </c>
      <c r="D4" s="12" t="s">
        <v>99</v>
      </c>
      <c r="E4" s="12" t="s">
        <v>102</v>
      </c>
      <c r="F4" s="12" t="s">
        <v>536</v>
      </c>
      <c r="G4" s="12" t="s">
        <v>658</v>
      </c>
      <c r="H4" s="12" t="s">
        <v>659</v>
      </c>
      <c r="I4" s="12" t="s">
        <v>326</v>
      </c>
      <c r="J4" s="12" t="s">
        <v>660</v>
      </c>
      <c r="K4" s="12" t="s">
        <v>661</v>
      </c>
      <c r="L4" s="12" t="s">
        <v>664</v>
      </c>
    </row>
  </sheetData>
  <autoFilter ref="A4:L2004"/>
  <pageMargins left="0.4" right="0.4" top="0.5" bottom="0.6" header="0.3" footer="0.3"/>
  <pageSetup paperSize="9" fitToHeight="0" orientation="landscape"/>
  <headerFooter>
    <oddFooter>&amp;L&amp;"Aptos,Regular"&amp;8Outlook-Regeln – &amp;A&amp;R&amp;"Aptos,Regular"&amp;8Seite &amp;P von &amp;N</oddFooter>
  </headerFooter>
</worksheet>
</file>

<file path=xl/worksheets/sheet13.xml><?xml version="1.0" encoding="utf-8"?>
<worksheet xmlns="http://schemas.openxmlformats.org/spreadsheetml/2006/main" xmlns:r="http://schemas.openxmlformats.org/officeDocument/2006/relationships">
  <sheetPr codeName="shProtokoll">
    <tabColor rgb="FF1F2933"/>
    <pageSetUpPr fitToPage="1"/>
  </sheetPr>
  <dimension ref="A1:G4"/>
  <sheetViews>
    <sheetView showGridLines="0" workbookViewId="0">
      <pane ySplit="4" topLeftCell="A5" activePane="bottomLeft" state="frozen"/>
      <selection pane="bottomLeft"/>
    </sheetView>
  </sheetViews>
  <sheetFormatPr defaultRowHeight="15"/>
  <cols>
    <col min="1" max="1" width="16.7109375" style="153" customWidth="1"/>
    <col min="2" max="2" width="24.7109375" style="153" customWidth="1"/>
    <col min="3" max="3" width="30.7109375" style="153" customWidth="1"/>
    <col min="4" max="4" width="6.7109375" style="153" customWidth="1"/>
    <col min="5" max="5" width="30.7109375" style="153" customWidth="1"/>
    <col min="6" max="6" width="40.7109375" style="153" customWidth="1"/>
    <col min="7" max="7" width="100.7109375" style="153" customWidth="1"/>
  </cols>
  <sheetData>
    <row r="1" spans="1:7" ht="36" customHeight="1">
      <c r="A1" s="36" t="s">
        <v>86</v>
      </c>
    </row>
    <row r="2" spans="1:7" ht="18" customHeight="1">
      <c r="A2" s="65" t="s">
        <v>668</v>
      </c>
    </row>
    <row r="3" spans="1:7" ht="8" customHeight="1"/>
    <row r="4" spans="1:7" ht="30" customHeight="1">
      <c r="A4" s="12" t="s">
        <v>667</v>
      </c>
      <c r="B4" s="12" t="s">
        <v>669</v>
      </c>
      <c r="C4" s="12" t="s">
        <v>42</v>
      </c>
      <c r="D4" s="12" t="s">
        <v>670</v>
      </c>
      <c r="E4" s="12" t="s">
        <v>104</v>
      </c>
      <c r="F4" s="12" t="s">
        <v>99</v>
      </c>
      <c r="G4" s="12" t="s">
        <v>671</v>
      </c>
    </row>
  </sheetData>
  <autoFilter ref="A4:G2004"/>
  <pageMargins left="0.4" right="0.4" top="0.5" bottom="0.6" header="0.3" footer="0.3"/>
  <pageSetup paperSize="9" fitToHeight="0" orientation="landscape"/>
  <headerFooter>
    <oddFooter>&amp;L&amp;"Aptos,Regular"&amp;8Outlook-Regeln – &amp;A&amp;R&amp;"Aptos,Regular"&amp;8Seite &amp;P von &amp;N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24</vt:i4>
      </vt:variant>
    </vt:vector>
  </HeadingPairs>
  <TitlesOfParts>
    <vt:vector size="37" baseType="lpstr">
      <vt:lpstr>Auf einen Blick</vt:lpstr>
      <vt:lpstr>Umsetzung</vt:lpstr>
      <vt:lpstr>Vergleich</vt:lpstr>
      <vt:lpstr>Anlegen</vt:lpstr>
      <vt:lpstr>Übersicht</vt:lpstr>
      <vt:lpstr>Regel-Logik</vt:lpstr>
      <vt:lpstr>Elemente</vt:lpstr>
      <vt:lpstr>Zielordner</vt:lpstr>
      <vt:lpstr>Prüfhinweise</vt:lpstr>
      <vt:lpstr>Diagnose</vt:lpstr>
      <vt:lpstr>Live</vt:lpstr>
      <vt:lpstr>Sicherung</vt:lpstr>
      <vt:lpstr>Protokoll</vt:lpstr>
      <vt:lpstr>'Auf einen Blick'!Print_Area</vt:lpstr>
      <vt:lpstr>Umsetzung!Print_Area</vt:lpstr>
      <vt:lpstr>Anlegen!Print_Titles</vt:lpstr>
      <vt:lpstr>Diagnose!Print_Titles</vt:lpstr>
      <vt:lpstr>Elemente!Print_Titles</vt:lpstr>
      <vt:lpstr>Live!Print_Titles</vt:lpstr>
      <vt:lpstr>Protokoll!Print_Titles</vt:lpstr>
      <vt:lpstr>Prüfhinweise!Print_Titles</vt:lpstr>
      <vt:lpstr>'Regel-Logik'!Print_Titles</vt:lpstr>
      <vt:lpstr>Sicherung!Print_Titles</vt:lpstr>
      <vt:lpstr>Umsetzung!Print_Titles</vt:lpstr>
      <vt:lpstr>Vergleich!Print_Titles</vt:lpstr>
      <vt:lpstr>Zielordner!Print_Titles</vt:lpstr>
      <vt:lpstr>Übersicht!Print_Titles</vt:lpstr>
      <vt:lpstr>UM_AUSF_ZEIT</vt:lpstr>
      <vt:lpstr>UM_LIVE_ZEIT</vt:lpstr>
      <vt:lpstr>UM_PLAN</vt:lpstr>
      <vt:lpstr>UM_PLANKOPF</vt:lpstr>
      <vt:lpstr>UM_PRUEFWERT</vt:lpstr>
      <vt:lpstr>UM_QUELLE</vt:lpstr>
      <vt:lpstr>UM_STATUS</vt:lpstr>
      <vt:lpstr>UM_TROTZ</vt:lpstr>
      <vt:lpstr>UM_VORSCHAU_ZEIT</vt:lpstr>
      <vt:lpstr>UM_ZIEL</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Brenneisen, Eike (HSB4K-EXTERN)</dc:creator>
  <cp:lastModifiedBy>Brenneisen, Eike (HSB4K-EXTERN)</cp:lastModifiedBy>
  <dcterms:created xsi:type="dcterms:W3CDTF">2026-10-08T18:28:43Z</dcterms:created>
  <dcterms:modified xsi:type="dcterms:W3CDTF">2026-10-08T18:29:34Z</dcterms:modified>
</cp:coreProperties>
</file>